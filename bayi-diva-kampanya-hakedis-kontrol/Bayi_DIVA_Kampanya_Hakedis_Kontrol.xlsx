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9760" lockStructure="1" lockWindows="0"/>
  <bookViews>
    <workbookView visibility="visible" minimized="0" showHorizontalScroll="1" showVerticalScroll="1" showSheetTabs="1" tabRatio="600" firstSheet="0" activeTab="0" autoFilterDateGrouping="1"/>
  </bookViews>
  <sheets>
    <sheet name="Talimatlar" sheetId="1" state="visible" r:id="rId1"/>
    <sheet name="Parametreler" sheetId="2" state="visible" r:id="rId2"/>
    <sheet name="Kampanyalar" sheetId="3" state="visible" r:id="rId3"/>
    <sheet name="DIVA Satislari" sheetId="4" state="visible" r:id="rId4"/>
    <sheet name="E2E Nakliye Montaj" sheetId="5" state="visible" r:id="rId5"/>
    <sheet name="Hakedis Fatura Detay" sheetId="6" state="visible" r:id="rId6"/>
    <sheet name="Kontrol" sheetId="7" state="visible" r:id="rId7"/>
    <sheet name="Yil Sonu Kontrolu" sheetId="8" state="visible" r:id="rId8"/>
    <sheet name="Ozet" sheetId="9" state="visible" r:id="rId9"/>
  </sheets>
  <definedNames/>
  <calcPr calcId="124519" fullCalcOnLoad="1"/>
</workbook>
</file>

<file path=xl/styles.xml><?xml version="1.0" encoding="utf-8"?>
<styleSheet xmlns="http://schemas.openxmlformats.org/spreadsheetml/2006/main">
  <numFmts count="3">
    <numFmt numFmtId="164" formatCode="dd.mm.yyyy"/>
    <numFmt numFmtId="165" formatCode="0.0%"/>
    <numFmt numFmtId="166" formatCode="#,##0.00 &quot;TL&quot;"/>
  </numFmts>
  <fonts count="15">
    <font>
      <name val="Calibri"/>
      <family val="2"/>
      <color theme="1"/>
      <sz val="11"/>
      <scheme val="minor"/>
    </font>
    <font>
      <name val="Arial"/>
      <b val="1"/>
      <color rgb="001F4E78"/>
      <sz val="15"/>
    </font>
    <font>
      <name val="Arial"/>
      <b val="1"/>
      <color rgb="001F4E78"/>
      <sz val="11"/>
    </font>
    <font>
      <name val="Arial"/>
      <sz val="10"/>
    </font>
    <font>
      <name val="Arial"/>
      <b val="1"/>
      <color rgb="001F4E78"/>
      <sz val="14"/>
    </font>
    <font>
      <name val="Arial"/>
      <b val="1"/>
      <color rgb="001F4E78"/>
      <sz val="10"/>
    </font>
    <font>
      <name val="Arial"/>
      <color rgb="000000FF"/>
      <sz val="10"/>
    </font>
    <font>
      <name val="Arial"/>
      <i val="1"/>
      <color rgb="007F7F7F"/>
      <sz val="9"/>
    </font>
    <font>
      <name val="Arial"/>
      <b val="1"/>
      <color rgb="001F4E78"/>
      <sz val="9"/>
    </font>
    <font>
      <name val="Arial"/>
      <b val="1"/>
      <color rgb="00FFFFFF"/>
      <sz val="9"/>
    </font>
    <font>
      <name val="Arial"/>
      <i val="1"/>
      <color rgb="00808080"/>
      <sz val="9"/>
    </font>
    <font>
      <name val="Arial"/>
      <color rgb="00000000"/>
      <sz val="9"/>
    </font>
    <font>
      <name val="Arial"/>
      <b val="1"/>
      <sz val="9"/>
    </font>
    <font>
      <name val="Arial"/>
      <b val="1"/>
      <color rgb="001F4E78"/>
      <sz val="13"/>
    </font>
    <font>
      <name val="Arial"/>
      <b val="1"/>
      <sz val="11"/>
    </font>
  </fonts>
  <fills count="8">
    <fill>
      <patternFill/>
    </fill>
    <fill>
      <patternFill patternType="gray125"/>
    </fill>
    <fill>
      <patternFill patternType="solid">
        <fgColor rgb="00FFFDE7"/>
      </patternFill>
    </fill>
    <fill>
      <patternFill patternType="solid">
        <fgColor rgb="00FFF2CC"/>
      </patternFill>
    </fill>
    <fill>
      <patternFill patternType="solid">
        <fgColor rgb="00808080"/>
      </patternFill>
    </fill>
    <fill>
      <patternFill patternType="solid">
        <fgColor rgb="002E75B6"/>
      </patternFill>
    </fill>
    <fill>
      <patternFill patternType="solid">
        <fgColor rgb="00F2F2F2"/>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2" borderId="1" applyProtection="1" pivotButton="0" quotePrefix="0" xfId="0">
      <protection locked="0" hidden="0"/>
    </xf>
    <xf numFmtId="0" fontId="0" fillId="0" borderId="0" applyProtection="1" pivotButton="0" quotePrefix="0" xfId="0">
      <protection locked="0" hidden="0"/>
    </xf>
    <xf numFmtId="0" fontId="5" fillId="0" borderId="0" applyAlignment="1" pivotButton="0" quotePrefix="0" xfId="0">
      <alignment vertical="center" wrapText="1"/>
    </xf>
    <xf numFmtId="0" fontId="6" fillId="2" borderId="1" applyAlignment="1" applyProtection="1" pivotButton="0" quotePrefix="0" xfId="0">
      <alignment horizontal="center"/>
      <protection locked="0" hidden="0"/>
    </xf>
    <xf numFmtId="164" fontId="6" fillId="2" borderId="1" applyAlignment="1" applyProtection="1" pivotButton="0" quotePrefix="0" xfId="0">
      <alignment horizontal="center"/>
      <protection locked="0" hidden="0"/>
    </xf>
    <xf numFmtId="165" fontId="6" fillId="2" borderId="1" applyAlignment="1" applyProtection="1" pivotButton="0" quotePrefix="0" xfId="0">
      <alignment horizontal="center"/>
      <protection locked="0" hidden="0"/>
    </xf>
    <xf numFmtId="0" fontId="7" fillId="0" borderId="0" applyAlignment="1" pivotButton="0" quotePrefix="0" xfId="0">
      <alignment wrapText="1"/>
    </xf>
    <xf numFmtId="0" fontId="8" fillId="3" borderId="1" applyAlignment="1" pivotButton="0" quotePrefix="0" xfId="0">
      <alignment horizontal="center" vertical="center" wrapText="1"/>
    </xf>
    <xf numFmtId="0" fontId="6" fillId="3" borderId="1" applyAlignment="1" pivotButton="0" quotePrefix="0" xfId="0">
      <alignment horizontal="left" vertical="center" wrapText="1"/>
    </xf>
    <xf numFmtId="0" fontId="6" fillId="3" borderId="1" applyAlignment="1" pivotButton="0" quotePrefix="0" xfId="0">
      <alignment horizontal="center" vertical="center" wrapText="1"/>
    </xf>
    <xf numFmtId="164" fontId="6" fillId="3" borderId="1" applyAlignment="1" pivotButton="0" quotePrefix="0" xfId="0">
      <alignment horizontal="center" vertical="center" wrapText="1"/>
    </xf>
    <xf numFmtId="166" fontId="6" fillId="3" borderId="1" applyAlignment="1" pivotButton="0" quotePrefix="0" xfId="0">
      <alignment horizontal="center" vertical="center" wrapText="1"/>
    </xf>
    <xf numFmtId="0" fontId="9" fillId="4" borderId="1" applyAlignment="1" pivotButton="0" quotePrefix="0" xfId="0">
      <alignment horizontal="center" vertical="center" wrapText="1"/>
    </xf>
    <xf numFmtId="0" fontId="9" fillId="5" borderId="1" applyAlignment="1" pivotButton="0" quotePrefix="0" xfId="0">
      <alignment horizontal="center" vertical="center" wrapText="1"/>
    </xf>
    <xf numFmtId="0" fontId="10" fillId="6" borderId="1" applyAlignment="1" applyProtection="1" pivotButton="0" quotePrefix="0" xfId="0">
      <alignment horizontal="center" vertical="center" wrapText="1"/>
      <protection locked="0" hidden="0"/>
    </xf>
    <xf numFmtId="164" fontId="10" fillId="6" borderId="1" applyAlignment="1" applyProtection="1" pivotButton="0" quotePrefix="0" xfId="0">
      <alignment horizontal="center" vertical="center" wrapText="1"/>
      <protection locked="0" hidden="0"/>
    </xf>
    <xf numFmtId="166" fontId="10" fillId="6" borderId="1" applyAlignment="1" applyProtection="1" pivotButton="0" quotePrefix="0" xfId="0">
      <alignment horizontal="center" vertical="center" wrapText="1"/>
      <protection locked="0" hidden="0"/>
    </xf>
    <xf numFmtId="0" fontId="6" fillId="2" borderId="1" applyAlignment="1" applyProtection="1" pivotButton="0" quotePrefix="0" xfId="0">
      <alignment horizontal="center" vertical="center" wrapText="1"/>
      <protection locked="0" hidden="0"/>
    </xf>
    <xf numFmtId="164" fontId="6" fillId="2" borderId="1" applyAlignment="1" applyProtection="1" pivotButton="0" quotePrefix="0" xfId="0">
      <alignment horizontal="center" vertical="center" wrapText="1"/>
      <protection locked="0" hidden="0"/>
    </xf>
    <xf numFmtId="166" fontId="6" fillId="2" borderId="1" applyAlignment="1" applyProtection="1" pivotButton="0" quotePrefix="0" xfId="0">
      <alignment horizontal="center" vertical="center" wrapText="1"/>
      <protection locked="0" hidden="0"/>
    </xf>
    <xf numFmtId="0" fontId="11" fillId="0" borderId="1" applyAlignment="1" pivotButton="0" quotePrefix="0" xfId="0">
      <alignment horizontal="center" vertical="center" wrapText="1"/>
    </xf>
    <xf numFmtId="164" fontId="11" fillId="0" borderId="1" applyAlignment="1" pivotButton="0" quotePrefix="0" xfId="0">
      <alignment horizontal="center" vertical="center" wrapText="1"/>
    </xf>
    <xf numFmtId="166" fontId="11" fillId="0" borderId="1" applyAlignment="1" pivotButton="0" quotePrefix="0" xfId="0">
      <alignment horizontal="center" vertical="center" wrapText="1"/>
    </xf>
    <xf numFmtId="0" fontId="7" fillId="0" borderId="0" applyAlignment="1" pivotButton="0" quotePrefix="0" xfId="0">
      <alignment vertical="center" wrapText="1"/>
    </xf>
    <xf numFmtId="0" fontId="12" fillId="0" borderId="1" applyAlignment="1" pivotButton="0" quotePrefix="0" xfId="0">
      <alignment horizontal="center" vertical="center" wrapText="1"/>
    </xf>
    <xf numFmtId="0" fontId="13" fillId="0" borderId="0" pivotButton="0" quotePrefix="0" xfId="0"/>
    <xf numFmtId="0" fontId="14" fillId="0" borderId="1" applyAlignment="1" pivotButton="0" quotePrefix="0" xfId="0">
      <alignment horizontal="center"/>
    </xf>
    <xf numFmtId="165" fontId="14" fillId="0" borderId="1" applyAlignment="1" pivotButton="0" quotePrefix="0" xfId="0">
      <alignment horizontal="center"/>
    </xf>
    <xf numFmtId="0" fontId="5" fillId="7" borderId="0" applyAlignment="1" pivotButton="0" quotePrefix="0" xfId="0">
      <alignment vertical="center" wrapText="1"/>
    </xf>
    <xf numFmtId="0" fontId="14" fillId="7" borderId="1" applyAlignment="1" pivotButton="0" quotePrefix="0" xfId="0">
      <alignment horizontal="center"/>
    </xf>
    <xf numFmtId="166" fontId="14" fillId="0"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8"/>
    <outlinePr summaryBelow="1" summaryRight="1"/>
    <pageSetUpPr/>
  </sheetPr>
  <dimension ref="B2:B23"/>
  <sheetViews>
    <sheetView showGridLines="0" workbookViewId="0">
      <selection activeCell="A1" sqref="A1"/>
    </sheetView>
  </sheetViews>
  <sheetFormatPr baseColWidth="8" defaultRowHeight="15"/>
  <cols>
    <col width="3" customWidth="1" min="1" max="1"/>
    <col width="105" customWidth="1" min="2" max="2"/>
  </cols>
  <sheetData>
    <row r="2">
      <c r="B2" s="1" t="inlineStr">
        <is>
          <t>BSH BAYİ - DİVA SATIŞ / KAMPANYA / HAKEDİŞ KONTROL SİSTEMİ</t>
        </is>
      </c>
    </row>
    <row r="4">
      <c r="B4" s="2" t="inlineStr">
        <is>
          <t>AMAÇ</t>
        </is>
      </c>
    </row>
    <row r="5" ht="54" customHeight="1">
      <c r="B5" s="3" t="inlineStr">
        <is>
          <t>Bu dosya; bayinin DİVA üzerinden yaptığı kampanya kodlu satışları, E2E portaldan alınan nakliye/montaj sonuçlarını ve BSH'nin bayiye kestiği hakediş faturası detayını tek noktada eşleştirerek, hakedişin doğru hesaplanıp doğru ödenip ödenmediğini otomatik olarak kontrol eder.</t>
        </is>
      </c>
    </row>
    <row r="7">
      <c r="B7" s="2" t="inlineStr">
        <is>
          <t>İKİ FARKLI HAKEDİŞ KURALI (kaynak: aylık 'Perakende Uygulama Yazısı')</t>
        </is>
      </c>
    </row>
    <row r="8" ht="144" customHeight="1">
      <c r="B8" s="3" t="inlineStr">
        <is>
          <t>Kural A - Stok Mutabakatlı Bayi: Hakediş, DİVA'da hemen teslim faturalandırıldığı anda ödenir. Buna karşılık 30.11 itibarıyla yıl içinde hakediş ödenen ürünlerin nakliye VEYA montaj tamamlanma ORANININ toplam hakedişe oranı en az %75 olmalıdır; altında kalırsa aradaki fark mahsuplaşılır. (Bkz. 'Yil Sonu Kontrolu' sekmesi)
Kural B - Stok Mutabakatı Yapılmamış Bayi: Hakediş, DİVA hemen teslim faturası olsa dahi hemen ödenmez; nakliye verisi varsa nakliyenin tamamlanmasını takip eden ayda, nakliye verisi yoksa montajın tamamlanmasını takip eden ayda ödenir. Bu tamamlanma, kampanyanın 'Hakediş Son Tarihi'nden önce gerçekleşmiş olmalıdır; aksi halde hakediş RİSK olarak işaretlenir.</t>
        </is>
      </c>
    </row>
    <row r="10">
      <c r="B10" s="2" t="inlineStr">
        <is>
          <t>HANGİ BAYİ HANGİ KURALA TABİ?</t>
        </is>
      </c>
    </row>
    <row r="11" ht="54" customHeight="1">
      <c r="B11" s="3" t="inlineStr">
        <is>
          <t>'Parametreler' sekmesinde tek bir alanla belirlenir: 'Stok Mutabakatı Yapıldı mı?'. Bu bilgiyi BSH saha/finans ekibinizden teyit edin. Bu alan tüm 'DİVA Satışları' sekmesindeki her satır için otomatik kural ataması yapar.</t>
        </is>
      </c>
    </row>
    <row r="13">
      <c r="B13" s="2" t="inlineStr">
        <is>
          <t>VERİ AKIŞI VE SEKME SAHİPLİĞİ</t>
        </is>
      </c>
    </row>
    <row r="14" ht="198" customHeight="1">
      <c r="B14" s="3" t="inlineStr">
        <is>
          <t>'Kampanyalar' sekmesi YÖNETİCİ (BSH) tarafından doldurulur ve şifre ile korumalıdır; bayi bu sekmeyi görebilir ama değiştiremez. Aylık kampanya duyuru yazısı (PDF) BSH tarafından işlenip bu sekmeye satır olarak eklenir.
'DİVA Satışları' sekmesine bayi, DİVA'dan alınan 'Kampanya Kodlu Satış' raporunu (Şirket Kodu...Kategori, 35 sütun) olduğu gibi kopyalayıp A3 hücresinden başlayarak yapıştırır.
'E2E Nakliye Montaj' sekmesine bayi, E2E portaldan alınan raporu (MerkezKodu...PlatformName, 38 sütun) A3 hücresinden başlayarak yapıştırır.
'Hakedis Fatura Detay' sekmesine bayi, BSH'nin kestiği hakediş faturasının satır detayını yapıştırır (bu sekmenin sütun yapısı, ilk gerçek örnek dosya incelendikten sonra kesinleştirilecektir; şimdilik eşleştirme için gereken asgari alanlar tanımlanmıştır).</t>
        </is>
      </c>
    </row>
    <row r="16">
      <c r="B16" s="2" t="inlineStr">
        <is>
          <t>EŞLEŞTİRME ANAHTARI</t>
        </is>
      </c>
    </row>
    <row r="17" ht="36" customHeight="1">
      <c r="B17" s="3" t="inlineStr">
        <is>
          <t>Tüm kaynaklar 'DİVA Fatura No (26 ile başlayan) + Ürün Kodu' ikilisi ile eşleştirilir. 'Kontrol' sekmesi bu anahtarla otomatik birleştirme yapar ve nihai durumu üretir.</t>
        </is>
      </c>
    </row>
    <row r="19">
      <c r="B19" s="2" t="inlineStr">
        <is>
          <t>BİLİNEN VERİ SINIRLAMALARI</t>
        </is>
      </c>
    </row>
    <row r="20" ht="162" customHeight="1">
      <c r="B20" s="3" t="inlineStr">
        <is>
          <t>E2E raporundaki tarih alanları (SiparisTarihi, TeslimatIstenilenTarih, MontajIstenilenilenTarih, IrsaliyeTarihi) DİVA/E2E tarafından METİN olarak farklı biçimlerde gelmektedir; 'E2E Nakliye Montaj' sekmesinde bu alanlar otomatik olarak gerçek tarihe çevrilir (sütun AN-AQ). İrsaliye tarihi, nakliyenin tamamlanma tarihi için; montaj istenilen tarihi ise gerçek tamamlanma tarihi bilgisi rapor dışı olduğundan montajın tamamlanma tarihi için en yakın vekil (proxy) olarak kullanılmıştır. Gerçek 'montaj tamamlanma tarihi' alanı E2E raporuna eklenirse formüller kolayca güncellenebilir.
'Bayi Aracı' ile yapılan teslimatlarda nakliye süreci BSH tarafından izlenemediğinden (bkz. kampanya yazısı), bu satışlarda sistem otomatik olarak montaj verisini esas alır.</t>
        </is>
      </c>
    </row>
    <row r="22">
      <c r="B22" s="2" t="inlineStr">
        <is>
          <t>RENK KODLARI</t>
        </is>
      </c>
    </row>
    <row r="23" ht="54" customHeight="1">
      <c r="B23" s="3" t="inlineStr">
        <is>
          <t>Sarı zemin + mavi yazı = elle doldurulacak/yapıştırılacak alan. Gri başlık = kaynak rapordan birebir gelen ham sütun. Mavi başlık = otomatik hesaplanan sütun, dokunmayın. Turuncu zemin = risk/uyuşmazlık uyarısı.</t>
        </is>
      </c>
    </row>
  </sheetData>
  <pageMargins left="0.75" right="0.75" top="1" bottom="1" header="0.5" footer="0.5"/>
</worksheet>
</file>

<file path=xl/worksheets/sheet2.xml><?xml version="1.0" encoding="utf-8"?>
<worksheet xmlns="http://schemas.openxmlformats.org/spreadsheetml/2006/main">
  <sheetPr>
    <tabColor rgb="001F4E78"/>
    <outlinePr summaryBelow="1" summaryRight="1"/>
    <pageSetUpPr/>
  </sheetPr>
  <dimension ref="A1:D20"/>
  <sheetViews>
    <sheetView showGridLines="0" workbookViewId="0">
      <selection activeCell="A1" sqref="A1"/>
    </sheetView>
  </sheetViews>
  <sheetFormatPr baseColWidth="8" defaultRowHeight="15"/>
  <cols>
    <col width="3" customWidth="1" min="1" max="1"/>
    <col width="55" customWidth="1" min="2" max="2"/>
    <col width="22" customWidth="1" min="3" max="3"/>
    <col width="3" customWidth="1" min="4" max="4"/>
  </cols>
  <sheetData>
    <row r="1"/>
    <row r="2">
      <c r="B2" s="4" t="inlineStr">
        <is>
          <t>PARAMETRELER</t>
        </is>
      </c>
    </row>
    <row r="3"/>
    <row r="4">
      <c r="B4" s="5" t="inlineStr">
        <is>
          <t>Bayi Kodu</t>
        </is>
      </c>
      <c r="C4" s="6" t="inlineStr">
        <is>
          <t>7000129546</t>
        </is>
      </c>
    </row>
    <row r="5">
      <c r="B5" s="5" t="inlineStr">
        <is>
          <t>Bayi Adı</t>
        </is>
      </c>
      <c r="C5" s="6" t="inlineStr">
        <is>
          <t>MUSTAFA DEMİREL</t>
        </is>
      </c>
    </row>
    <row r="6">
      <c r="C6" s="7" t="n"/>
    </row>
    <row r="7" ht="48" customHeight="1">
      <c r="B7" s="8" t="inlineStr">
        <is>
          <t>Bu bayi için STOK MUTABAKATI yapıldı mı? (Evet = Kural A: hakediş DİVA çıkışında hemen ödenir. Hayır = Kural B: hakediş nakliye/montaj tamamlandıktan sonraki ay ödenir.)</t>
        </is>
      </c>
      <c r="C7" s="9" t="inlineStr">
        <is>
          <t>Evet</t>
        </is>
      </c>
    </row>
    <row r="8">
      <c r="C8" s="7" t="n"/>
    </row>
    <row r="9">
      <c r="B9" s="5" t="inlineStr">
        <is>
          <t>Yıl Sonu Nakliye/Montaj Oranı Kontrol Tarihi (Kural A bayileri için)</t>
        </is>
      </c>
      <c r="C9" s="10" t="inlineStr">
        <is>
          <t>30.11.2026</t>
        </is>
      </c>
    </row>
    <row r="10">
      <c r="B10" s="5" t="inlineStr">
        <is>
          <t>Minimum Nakliye/Montaj Oranı Eşiği (Kural A)</t>
        </is>
      </c>
      <c r="C10" s="11" t="n">
        <v>0.75</v>
      </c>
    </row>
    <row r="11">
      <c r="C11" s="7" t="n"/>
    </row>
    <row r="12" ht="30" customHeight="1">
      <c r="B12" s="12" t="inlineStr">
        <is>
          <t>Not: 'Stok Mutabakatı' durumunu ve oranları BSH saha/finans ekibinizden teyit edin. Değer değiştiğinde tüm 'DİVA Satışları' ve 'Kontrol' sekmeleri otomatik olarak yeniden hesaplanır.</t>
        </is>
      </c>
      <c r="C12" s="7" t="n"/>
    </row>
    <row r="13">
      <c r="C13" s="7" t="n"/>
    </row>
    <row r="14">
      <c r="C14" s="7" t="n"/>
    </row>
    <row r="15">
      <c r="C15" s="7" t="n"/>
    </row>
    <row r="16">
      <c r="C16" s="7" t="n"/>
    </row>
    <row r="17">
      <c r="C17" s="7" t="n"/>
    </row>
    <row r="18">
      <c r="C18" s="7" t="n"/>
    </row>
    <row r="19">
      <c r="C19" s="7" t="n"/>
    </row>
    <row r="20">
      <c r="C20" s="7" t="n"/>
    </row>
  </sheetData>
  <sheetProtection selectLockedCells="0" selectUnlockedCells="0" sheet="1" objects="0" insertRows="0" insertHyperlinks="1" autoFilter="1" scenarios="0" formatColumns="1" deleteColumns="1" insertColumns="1" pivotTables="1" deleteRows="0" formatCells="1" formatRows="1" sort="1" password="D6F9"/>
  <dataValidations count="1">
    <dataValidation sqref="C7" showDropDown="0" showInputMessage="0" showErrorMessage="0" allowBlank="0" type="list">
      <formula1>"Evet,Hayır"</formula1>
    </dataValidation>
  </dataValidations>
  <pageMargins left="0.75" right="0.75" top="1" bottom="1" header="0.5" footer="0.5"/>
</worksheet>
</file>

<file path=xl/worksheets/sheet3.xml><?xml version="1.0" encoding="utf-8"?>
<worksheet xmlns="http://schemas.openxmlformats.org/spreadsheetml/2006/main">
  <sheetPr>
    <tabColor rgb="00BF8F00"/>
    <outlinePr summaryBelow="1" summaryRight="1"/>
    <pageSetUpPr/>
  </sheetPr>
  <dimension ref="A1:K153"/>
  <sheetViews>
    <sheetView showGridLines="0" workbookViewId="0">
      <pane ySplit="2" topLeftCell="A3" activePane="bottomLeft" state="frozen"/>
      <selection pane="bottomLeft" activeCell="A1" sqref="A1"/>
    </sheetView>
  </sheetViews>
  <sheetFormatPr baseColWidth="8" defaultRowHeight="15"/>
  <cols>
    <col width="30" customWidth="1" min="1" max="1"/>
    <col width="10" customWidth="1" min="2" max="2"/>
    <col width="14" customWidth="1" min="3" max="3"/>
    <col width="24" customWidth="1" min="4" max="4"/>
    <col width="12" customWidth="1" min="5" max="5"/>
    <col width="12" customWidth="1" min="6" max="6"/>
    <col width="12" customWidth="1" min="7" max="7"/>
    <col width="16" customWidth="1" min="8" max="8"/>
    <col width="10" customWidth="1" min="9" max="9"/>
    <col width="16" customWidth="1" min="10" max="10"/>
    <col width="34" customWidth="1" min="11" max="11"/>
  </cols>
  <sheetData>
    <row r="1" ht="48" customHeight="1">
      <c r="A1" s="13" t="inlineStr">
        <is>
          <t>Kampanya Adı
(DİVA 'Paket Adı' ile
BİREBİR aynı olmalı)</t>
        </is>
      </c>
      <c r="B1" s="13" t="inlineStr">
        <is>
          <t>Dönem
(AAYYYY)</t>
        </is>
      </c>
      <c r="C1" s="13" t="inlineStr">
        <is>
          <t>Kampanya Tipi</t>
        </is>
      </c>
      <c r="D1" s="13" t="inlineStr">
        <is>
          <t>Ürün Grubu / Kapsam</t>
        </is>
      </c>
      <c r="E1" s="13" t="inlineStr">
        <is>
          <t>Kampanya
Başlangıç</t>
        </is>
      </c>
      <c r="F1" s="13" t="inlineStr">
        <is>
          <t>Kampanya
Bitiş</t>
        </is>
      </c>
      <c r="G1" s="13" t="inlineStr">
        <is>
          <t>Hakediş
Son Tarihi</t>
        </is>
      </c>
      <c r="H1" s="13" t="inlineStr">
        <is>
          <t>Bayiye Ödenecek
Sabit Hakediş Tutarı
(TL) (boşsa DİVA
indirimi esas alınır)</t>
        </is>
      </c>
      <c r="I1" s="13" t="inlineStr">
        <is>
          <t>Adet Limiti</t>
        </is>
      </c>
      <c r="J1" s="13" t="inlineStr">
        <is>
          <t>Diğer Kampanyalarla
Birleşebilir mi</t>
        </is>
      </c>
      <c r="K1" s="13" t="inlineStr">
        <is>
          <t>Kaynak / Not</t>
        </is>
      </c>
    </row>
    <row r="2" ht="30" customHeight="1">
      <c r="A2" s="14" t="inlineStr">
        <is>
          <t>Ağustos-Tekil Soğutucu Kampanyası-202608</t>
        </is>
      </c>
      <c r="B2" s="15" t="inlineStr">
        <is>
          <t>082026</t>
        </is>
      </c>
      <c r="C2" s="15" t="inlineStr">
        <is>
          <t>Tekil</t>
        </is>
      </c>
      <c r="D2" s="14" t="inlineStr">
        <is>
          <t>Soğutucu/Buzdolabı-Dondurucu</t>
        </is>
      </c>
      <c r="E2" s="16" t="inlineStr">
        <is>
          <t>01.08.2026</t>
        </is>
      </c>
      <c r="F2" s="16" t="inlineStr">
        <is>
          <t>31.08.2026</t>
        </is>
      </c>
      <c r="G2" s="16" t="inlineStr">
        <is>
          <t>30.11.2026</t>
        </is>
      </c>
      <c r="H2" s="15" t="n"/>
      <c r="I2" s="15" t="n"/>
      <c r="J2" s="15" t="inlineStr">
        <is>
          <t>Evet</t>
        </is>
      </c>
      <c r="K2" s="14" t="inlineStr">
        <is>
          <t>Kaynak: 18-31 Ağustos 2026 Perakende Uygulama Yazısı - Tekil Soğutucu Kampanyası. Hakediş tutarı DİVA'daki 'Toplam İndirim' esas alınarak hesaplanır.</t>
        </is>
      </c>
    </row>
    <row r="3" ht="30" customHeight="1">
      <c r="A3" s="14" t="inlineStr">
        <is>
          <t>Ağustos-Tekil Bulaşık Makinesi Kampanyası-202608</t>
        </is>
      </c>
      <c r="B3" s="15" t="inlineStr">
        <is>
          <t>082026</t>
        </is>
      </c>
      <c r="C3" s="15" t="inlineStr">
        <is>
          <t>Tekil</t>
        </is>
      </c>
      <c r="D3" s="14" t="inlineStr">
        <is>
          <t>Bulaşık Makinesi</t>
        </is>
      </c>
      <c r="E3" s="16" t="inlineStr">
        <is>
          <t>01.08.2026</t>
        </is>
      </c>
      <c r="F3" s="16" t="inlineStr">
        <is>
          <t>31.08.2026</t>
        </is>
      </c>
      <c r="G3" s="16" t="inlineStr">
        <is>
          <t>30.11.2026</t>
        </is>
      </c>
      <c r="H3" s="15" t="n"/>
      <c r="I3" s="15" t="n"/>
      <c r="J3" s="15" t="inlineStr">
        <is>
          <t>Evet</t>
        </is>
      </c>
      <c r="K3" s="14" t="inlineStr">
        <is>
          <t>Kaynak: Ağustos 2026 Uygulama Yazısı - Tekil Bulaşık Makinesi Kampanyası.</t>
        </is>
      </c>
    </row>
    <row r="4" ht="30" customHeight="1">
      <c r="A4" s="14" t="inlineStr">
        <is>
          <t>Ağustos-Tekil Çamaşır Kampanyası-202608</t>
        </is>
      </c>
      <c r="B4" s="15" t="inlineStr">
        <is>
          <t>082026</t>
        </is>
      </c>
      <c r="C4" s="15" t="inlineStr">
        <is>
          <t>Tekil</t>
        </is>
      </c>
      <c r="D4" s="14" t="inlineStr">
        <is>
          <t>Çamaşır Makinesi</t>
        </is>
      </c>
      <c r="E4" s="16" t="inlineStr">
        <is>
          <t>01.08.2026</t>
        </is>
      </c>
      <c r="F4" s="16" t="inlineStr">
        <is>
          <t>31.08.2026</t>
        </is>
      </c>
      <c r="G4" s="16" t="inlineStr">
        <is>
          <t>30.11.2026</t>
        </is>
      </c>
      <c r="H4" s="15" t="n"/>
      <c r="I4" s="15" t="n"/>
      <c r="J4" s="15" t="inlineStr">
        <is>
          <t>Evet</t>
        </is>
      </c>
      <c r="K4" s="14" t="inlineStr">
        <is>
          <t>Kaynak: Ağustos 2026 Uygulama Yazısı - Tekil Çamaşır Makinesi Kampanyası.</t>
        </is>
      </c>
    </row>
    <row r="5" ht="30" customHeight="1">
      <c r="A5" s="14" t="inlineStr">
        <is>
          <t>Ağustos-Tekil Kurutma Makinesi Kampanyası-202608</t>
        </is>
      </c>
      <c r="B5" s="15" t="inlineStr">
        <is>
          <t>082026</t>
        </is>
      </c>
      <c r="C5" s="15" t="inlineStr">
        <is>
          <t>Tekil</t>
        </is>
      </c>
      <c r="D5" s="14" t="inlineStr">
        <is>
          <t>Kurutma Makinesi</t>
        </is>
      </c>
      <c r="E5" s="16" t="inlineStr">
        <is>
          <t>01.08.2026</t>
        </is>
      </c>
      <c r="F5" s="16" t="inlineStr">
        <is>
          <t>31.08.2026</t>
        </is>
      </c>
      <c r="G5" s="16" t="inlineStr">
        <is>
          <t>30.11.2026</t>
        </is>
      </c>
      <c r="H5" s="15" t="n"/>
      <c r="I5" s="15" t="n"/>
      <c r="J5" s="15" t="inlineStr">
        <is>
          <t>Evet</t>
        </is>
      </c>
      <c r="K5" s="14" t="inlineStr">
        <is>
          <t>Kaynak: Ağustos 2026 Uygulama Yazısı - Kurutma Makinesi Kampanyası.</t>
        </is>
      </c>
    </row>
    <row r="6" ht="30" customHeight="1">
      <c r="A6" s="14" t="inlineStr">
        <is>
          <t>Ağustos-Tekil Klima Kampanyası-202608</t>
        </is>
      </c>
      <c r="B6" s="15" t="inlineStr">
        <is>
          <t>082026</t>
        </is>
      </c>
      <c r="C6" s="15" t="inlineStr">
        <is>
          <t>Tekil</t>
        </is>
      </c>
      <c r="D6" s="14" t="inlineStr">
        <is>
          <t>Klima</t>
        </is>
      </c>
      <c r="E6" s="16" t="inlineStr">
        <is>
          <t>01.08.2026</t>
        </is>
      </c>
      <c r="F6" s="16" t="inlineStr">
        <is>
          <t>31.08.2026</t>
        </is>
      </c>
      <c r="G6" s="16" t="inlineStr">
        <is>
          <t>30.11.2026</t>
        </is>
      </c>
      <c r="H6" s="15" t="n"/>
      <c r="I6" s="15" t="n"/>
      <c r="J6" s="15" t="inlineStr">
        <is>
          <t>Evet</t>
        </is>
      </c>
      <c r="K6" s="14" t="inlineStr">
        <is>
          <t>Kaynak: Ağustos 2026 Uygulama Yazısı - Klima Kampanyası.</t>
        </is>
      </c>
    </row>
    <row r="7" ht="30" customHeight="1">
      <c r="A7" s="14" t="inlineStr">
        <is>
          <t>Ağustos-Ankastre Set Alana 5000 TL İndirim-202608</t>
        </is>
      </c>
      <c r="B7" s="15" t="inlineStr">
        <is>
          <t>082026</t>
        </is>
      </c>
      <c r="C7" s="15" t="inlineStr">
        <is>
          <t>Bundle-Set</t>
        </is>
      </c>
      <c r="D7" s="14" t="inlineStr">
        <is>
          <t>Ankastre Fırın+Ocak/Davlumbaz Set</t>
        </is>
      </c>
      <c r="E7" s="16" t="inlineStr">
        <is>
          <t>01.08.2026</t>
        </is>
      </c>
      <c r="F7" s="16" t="inlineStr">
        <is>
          <t>31.08.2026</t>
        </is>
      </c>
      <c r="G7" s="16" t="inlineStr">
        <is>
          <t>30.11.2026</t>
        </is>
      </c>
      <c r="H7" s="17" t="n">
        <v>3700</v>
      </c>
      <c r="I7" s="15" t="n">
        <v>2500</v>
      </c>
      <c r="J7" s="15" t="inlineStr">
        <is>
          <t>Tekil Evet / Bundle Hayır</t>
        </is>
      </c>
      <c r="K7" s="14" t="inlineStr">
        <is>
          <t>Kaynak: Ankastre Set Fırsat 1 (5.000 TL tüketici indirimi / 3.700 TL bayi hakediş). Tüketici indirimi ile bayi hakedişi FARKLIDIR - kontrol formülü sabit tutarı esas alır.</t>
        </is>
      </c>
    </row>
    <row r="8" ht="30" customHeight="1">
      <c r="A8" s="14" t="inlineStr">
        <is>
          <t>Ağustos-Kurutma+Bulaşık Alımına 5000 TL İndirim-202608</t>
        </is>
      </c>
      <c r="B8" s="15" t="inlineStr">
        <is>
          <t>082026</t>
        </is>
      </c>
      <c r="C8" s="15" t="inlineStr">
        <is>
          <t>Bundle-Set</t>
        </is>
      </c>
      <c r="D8" s="14" t="inlineStr">
        <is>
          <t>Kurutma+Bulaşık/Set</t>
        </is>
      </c>
      <c r="E8" s="16" t="inlineStr">
        <is>
          <t>01.08.2026</t>
        </is>
      </c>
      <c r="F8" s="16" t="inlineStr">
        <is>
          <t>31.08.2026</t>
        </is>
      </c>
      <c r="G8" s="16" t="inlineStr">
        <is>
          <t>30.11.2026</t>
        </is>
      </c>
      <c r="H8" s="17" t="n">
        <v>4000</v>
      </c>
      <c r="I8" s="15" t="n">
        <v>4000</v>
      </c>
      <c r="J8" s="15" t="inlineStr">
        <is>
          <t>Tekil Evet / Bundle Hayır</t>
        </is>
      </c>
      <c r="K8" s="14" t="inlineStr">
        <is>
          <t>Kaynak: Ağustos Ayı 2'li Beyaz Eşya Fırsatı ailesi (5.000 TL tüketici indirimi / 4.000 TL bayi hakediş, 4.000 adet ile TÜM 2'li set kampanyaları ortak sınırlıdır). TEYİT EDİLMELİ.</t>
        </is>
      </c>
    </row>
    <row r="9" ht="30" customHeight="1">
      <c r="A9" s="14" t="inlineStr">
        <is>
          <t>Ağustos Seçili Soğutucu + Çamaşır Alımına 5000 TL İndirim-202608</t>
        </is>
      </c>
      <c r="B9" s="15" t="inlineStr">
        <is>
          <t>082026</t>
        </is>
      </c>
      <c r="C9" s="15" t="inlineStr">
        <is>
          <t>Bundle-Set</t>
        </is>
      </c>
      <c r="D9" s="14" t="inlineStr">
        <is>
          <t>Soğutucu+Çamaşır/Set</t>
        </is>
      </c>
      <c r="E9" s="16" t="inlineStr">
        <is>
          <t>01.08.2026</t>
        </is>
      </c>
      <c r="F9" s="16" t="inlineStr">
        <is>
          <t>31.08.2026</t>
        </is>
      </c>
      <c r="G9" s="16" t="inlineStr">
        <is>
          <t>30.11.2026</t>
        </is>
      </c>
      <c r="H9" s="17" t="n">
        <v>4000</v>
      </c>
      <c r="I9" s="15" t="n">
        <v>4000</v>
      </c>
      <c r="J9" s="15" t="inlineStr">
        <is>
          <t>Tekil Evet / Bundle Hayır</t>
        </is>
      </c>
      <c r="K9" s="14" t="inlineStr">
        <is>
          <t>Kaynak: Ağustos Ayı 2'li Beyaz Eşya Fırsatı ailesi. TEYİT EDİLMELİ - tutar/adet limiti admin tarafından kesinleştirilecektir.</t>
        </is>
      </c>
    </row>
    <row r="10" ht="30" customHeight="1">
      <c r="A10" s="14" t="inlineStr">
        <is>
          <t>Ağustos Ayı Fırsat Ürünleri Kampanyası-202608</t>
        </is>
      </c>
      <c r="B10" s="15" t="inlineStr">
        <is>
          <t>082026</t>
        </is>
      </c>
      <c r="C10" s="15" t="inlineStr">
        <is>
          <t>Tekil</t>
        </is>
      </c>
      <c r="D10" s="14" t="inlineStr">
        <is>
          <t>Fırsat Ürünleri (Hareket Hızı Düşük)</t>
        </is>
      </c>
      <c r="E10" s="16" t="inlineStr">
        <is>
          <t>01.08.2026</t>
        </is>
      </c>
      <c r="F10" s="16" t="inlineStr">
        <is>
          <t>31.08.2026</t>
        </is>
      </c>
      <c r="G10" s="16" t="inlineStr">
        <is>
          <t>30.09.2026</t>
        </is>
      </c>
      <c r="H10" s="15" t="n"/>
      <c r="I10" s="15" t="n"/>
      <c r="J10" s="15" t="inlineStr">
        <is>
          <t>Evet</t>
        </is>
      </c>
      <c r="K10" s="14" t="inlineStr">
        <is>
          <t>Kaynak: Ağustos Ayı Fırsat Ürünleri Kampanyası. DİKKAT: Hakediş son tarihi diğer kampanyalardan farklı olarak 30.09.2026'dır.</t>
        </is>
      </c>
    </row>
    <row r="11" ht="30" customHeight="1">
      <c r="A11" s="14" t="inlineStr">
        <is>
          <t>Stanley Mug Hediyeli Espresso Makineleri Kampanyası-202608</t>
        </is>
      </c>
      <c r="B11" s="15" t="inlineStr">
        <is>
          <t>082026</t>
        </is>
      </c>
      <c r="C11" s="15" t="inlineStr">
        <is>
          <t>Küçük Ev Aletleri (Hediye)</t>
        </is>
      </c>
      <c r="D11" s="14" t="inlineStr">
        <is>
          <t>Tam Otomatik Espresso Makinesi</t>
        </is>
      </c>
      <c r="E11" s="16" t="inlineStr">
        <is>
          <t>18.08.2026</t>
        </is>
      </c>
      <c r="F11" s="16" t="inlineStr">
        <is>
          <t>31.08.2026</t>
        </is>
      </c>
      <c r="G11" s="16" t="inlineStr">
        <is>
          <t>30.09.2026</t>
        </is>
      </c>
      <c r="H11" s="17" t="n">
        <v>0</v>
      </c>
      <c r="I11" s="15" t="n">
        <v>50</v>
      </c>
      <c r="J11" s="15" t="inlineStr">
        <is>
          <t>Evet</t>
        </is>
      </c>
      <c r="K11" s="14" t="inlineStr">
        <is>
          <t>Kaynak: Stanley Mug Hediyeli Espresso Makineleri. Fiyat farkı hakedişi YOK; kampanya şartı sağlanan montajı takip eden hafta BSH tarafından hediye kargolanır. Bu satır sadece takip amaçlıdır, tutar 0 girilmiştir.</t>
        </is>
      </c>
    </row>
    <row r="12">
      <c r="A12" s="14" t="n"/>
      <c r="B12" s="15" t="n"/>
      <c r="C12" s="15" t="n"/>
      <c r="D12" s="14" t="n"/>
      <c r="E12" s="16" t="n"/>
      <c r="F12" s="16" t="n"/>
      <c r="G12" s="16" t="n"/>
      <c r="H12" s="17" t="n"/>
      <c r="I12" s="15" t="n"/>
      <c r="J12" s="15" t="n"/>
      <c r="K12" s="14" t="n"/>
    </row>
    <row r="13">
      <c r="A13" s="14" t="n"/>
      <c r="B13" s="15" t="n"/>
      <c r="C13" s="15" t="n"/>
      <c r="D13" s="14" t="n"/>
      <c r="E13" s="16" t="n"/>
      <c r="F13" s="16" t="n"/>
      <c r="G13" s="16" t="n"/>
      <c r="H13" s="17" t="n"/>
      <c r="I13" s="15" t="n"/>
      <c r="J13" s="15" t="n"/>
      <c r="K13" s="14" t="n"/>
    </row>
    <row r="14">
      <c r="A14" s="14" t="n"/>
      <c r="B14" s="15" t="n"/>
      <c r="C14" s="15" t="n"/>
      <c r="D14" s="14" t="n"/>
      <c r="E14" s="16" t="n"/>
      <c r="F14" s="16" t="n"/>
      <c r="G14" s="16" t="n"/>
      <c r="H14" s="17" t="n"/>
      <c r="I14" s="15" t="n"/>
      <c r="J14" s="15" t="n"/>
      <c r="K14" s="14" t="n"/>
    </row>
    <row r="15">
      <c r="A15" s="14" t="n"/>
      <c r="B15" s="15" t="n"/>
      <c r="C15" s="15" t="n"/>
      <c r="D15" s="14" t="n"/>
      <c r="E15" s="16" t="n"/>
      <c r="F15" s="16" t="n"/>
      <c r="G15" s="16" t="n"/>
      <c r="H15" s="17" t="n"/>
      <c r="I15" s="15" t="n"/>
      <c r="J15" s="15" t="n"/>
      <c r="K15" s="14" t="n"/>
    </row>
    <row r="16">
      <c r="A16" s="14" t="n"/>
      <c r="B16" s="15" t="n"/>
      <c r="C16" s="15" t="n"/>
      <c r="D16" s="14" t="n"/>
      <c r="E16" s="16" t="n"/>
      <c r="F16" s="16" t="n"/>
      <c r="G16" s="16" t="n"/>
      <c r="H16" s="17" t="n"/>
      <c r="I16" s="15" t="n"/>
      <c r="J16" s="15" t="n"/>
      <c r="K16" s="14" t="n"/>
    </row>
    <row r="17">
      <c r="A17" s="14" t="n"/>
      <c r="B17" s="15" t="n"/>
      <c r="C17" s="15" t="n"/>
      <c r="D17" s="14" t="n"/>
      <c r="E17" s="16" t="n"/>
      <c r="F17" s="16" t="n"/>
      <c r="G17" s="16" t="n"/>
      <c r="H17" s="17" t="n"/>
      <c r="I17" s="15" t="n"/>
      <c r="J17" s="15" t="n"/>
      <c r="K17" s="14" t="n"/>
    </row>
    <row r="18">
      <c r="A18" s="14" t="n"/>
      <c r="B18" s="15" t="n"/>
      <c r="C18" s="15" t="n"/>
      <c r="D18" s="14" t="n"/>
      <c r="E18" s="16" t="n"/>
      <c r="F18" s="16" t="n"/>
      <c r="G18" s="16" t="n"/>
      <c r="H18" s="17" t="n"/>
      <c r="I18" s="15" t="n"/>
      <c r="J18" s="15" t="n"/>
      <c r="K18" s="14" t="n"/>
    </row>
    <row r="19">
      <c r="A19" s="14" t="n"/>
      <c r="B19" s="15" t="n"/>
      <c r="C19" s="15" t="n"/>
      <c r="D19" s="14" t="n"/>
      <c r="E19" s="16" t="n"/>
      <c r="F19" s="16" t="n"/>
      <c r="G19" s="16" t="n"/>
      <c r="H19" s="17" t="n"/>
      <c r="I19" s="15" t="n"/>
      <c r="J19" s="15" t="n"/>
      <c r="K19" s="14" t="n"/>
    </row>
    <row r="20">
      <c r="A20" s="14" t="n"/>
      <c r="B20" s="15" t="n"/>
      <c r="C20" s="15" t="n"/>
      <c r="D20" s="14" t="n"/>
      <c r="E20" s="16" t="n"/>
      <c r="F20" s="16" t="n"/>
      <c r="G20" s="16" t="n"/>
      <c r="H20" s="17" t="n"/>
      <c r="I20" s="15" t="n"/>
      <c r="J20" s="15" t="n"/>
      <c r="K20" s="14" t="n"/>
    </row>
    <row r="21">
      <c r="A21" s="14" t="n"/>
      <c r="B21" s="15" t="n"/>
      <c r="C21" s="15" t="n"/>
      <c r="D21" s="14" t="n"/>
      <c r="E21" s="16" t="n"/>
      <c r="F21" s="16" t="n"/>
      <c r="G21" s="16" t="n"/>
      <c r="H21" s="17" t="n"/>
      <c r="I21" s="15" t="n"/>
      <c r="J21" s="15" t="n"/>
      <c r="K21" s="14" t="n"/>
    </row>
    <row r="22">
      <c r="A22" s="14" t="n"/>
      <c r="B22" s="15" t="n"/>
      <c r="C22" s="15" t="n"/>
      <c r="D22" s="14" t="n"/>
      <c r="E22" s="16" t="n"/>
      <c r="F22" s="16" t="n"/>
      <c r="G22" s="16" t="n"/>
      <c r="H22" s="17" t="n"/>
      <c r="I22" s="15" t="n"/>
      <c r="J22" s="15" t="n"/>
      <c r="K22" s="14" t="n"/>
    </row>
    <row r="23">
      <c r="A23" s="14" t="n"/>
      <c r="B23" s="15" t="n"/>
      <c r="C23" s="15" t="n"/>
      <c r="D23" s="14" t="n"/>
      <c r="E23" s="16" t="n"/>
      <c r="F23" s="16" t="n"/>
      <c r="G23" s="16" t="n"/>
      <c r="H23" s="17" t="n"/>
      <c r="I23" s="15" t="n"/>
      <c r="J23" s="15" t="n"/>
      <c r="K23" s="14" t="n"/>
    </row>
    <row r="24">
      <c r="A24" s="14" t="n"/>
      <c r="B24" s="15" t="n"/>
      <c r="C24" s="15" t="n"/>
      <c r="D24" s="14" t="n"/>
      <c r="E24" s="16" t="n"/>
      <c r="F24" s="16" t="n"/>
      <c r="G24" s="16" t="n"/>
      <c r="H24" s="17" t="n"/>
      <c r="I24" s="15" t="n"/>
      <c r="J24" s="15" t="n"/>
      <c r="K24" s="14" t="n"/>
    </row>
    <row r="25">
      <c r="A25" s="14" t="n"/>
      <c r="B25" s="15" t="n"/>
      <c r="C25" s="15" t="n"/>
      <c r="D25" s="14" t="n"/>
      <c r="E25" s="16" t="n"/>
      <c r="F25" s="16" t="n"/>
      <c r="G25" s="16" t="n"/>
      <c r="H25" s="17" t="n"/>
      <c r="I25" s="15" t="n"/>
      <c r="J25" s="15" t="n"/>
      <c r="K25" s="14" t="n"/>
    </row>
    <row r="26">
      <c r="A26" s="14" t="n"/>
      <c r="B26" s="15" t="n"/>
      <c r="C26" s="15" t="n"/>
      <c r="D26" s="14" t="n"/>
      <c r="E26" s="16" t="n"/>
      <c r="F26" s="16" t="n"/>
      <c r="G26" s="16" t="n"/>
      <c r="H26" s="17" t="n"/>
      <c r="I26" s="15" t="n"/>
      <c r="J26" s="15" t="n"/>
      <c r="K26" s="14" t="n"/>
    </row>
    <row r="27">
      <c r="A27" s="14" t="n"/>
      <c r="B27" s="15" t="n"/>
      <c r="C27" s="15" t="n"/>
      <c r="D27" s="14" t="n"/>
      <c r="E27" s="16" t="n"/>
      <c r="F27" s="16" t="n"/>
      <c r="G27" s="16" t="n"/>
      <c r="H27" s="17" t="n"/>
      <c r="I27" s="15" t="n"/>
      <c r="J27" s="15" t="n"/>
      <c r="K27" s="14" t="n"/>
    </row>
    <row r="28">
      <c r="A28" s="14" t="n"/>
      <c r="B28" s="15" t="n"/>
      <c r="C28" s="15" t="n"/>
      <c r="D28" s="14" t="n"/>
      <c r="E28" s="16" t="n"/>
      <c r="F28" s="16" t="n"/>
      <c r="G28" s="16" t="n"/>
      <c r="H28" s="17" t="n"/>
      <c r="I28" s="15" t="n"/>
      <c r="J28" s="15" t="n"/>
      <c r="K28" s="14" t="n"/>
    </row>
    <row r="29">
      <c r="A29" s="14" t="n"/>
      <c r="B29" s="15" t="n"/>
      <c r="C29" s="15" t="n"/>
      <c r="D29" s="14" t="n"/>
      <c r="E29" s="16" t="n"/>
      <c r="F29" s="16" t="n"/>
      <c r="G29" s="16" t="n"/>
      <c r="H29" s="17" t="n"/>
      <c r="I29" s="15" t="n"/>
      <c r="J29" s="15" t="n"/>
      <c r="K29" s="14" t="n"/>
    </row>
    <row r="30">
      <c r="A30" s="14" t="n"/>
      <c r="B30" s="15" t="n"/>
      <c r="C30" s="15" t="n"/>
      <c r="D30" s="14" t="n"/>
      <c r="E30" s="16" t="n"/>
      <c r="F30" s="16" t="n"/>
      <c r="G30" s="16" t="n"/>
      <c r="H30" s="17" t="n"/>
      <c r="I30" s="15" t="n"/>
      <c r="J30" s="15" t="n"/>
      <c r="K30" s="14" t="n"/>
    </row>
    <row r="31">
      <c r="A31" s="14" t="n"/>
      <c r="B31" s="15" t="n"/>
      <c r="C31" s="15" t="n"/>
      <c r="D31" s="14" t="n"/>
      <c r="E31" s="16" t="n"/>
      <c r="F31" s="16" t="n"/>
      <c r="G31" s="16" t="n"/>
      <c r="H31" s="17" t="n"/>
      <c r="I31" s="15" t="n"/>
      <c r="J31" s="15" t="n"/>
      <c r="K31" s="14" t="n"/>
    </row>
    <row r="32">
      <c r="A32" s="14" t="n"/>
      <c r="B32" s="15" t="n"/>
      <c r="C32" s="15" t="n"/>
      <c r="D32" s="14" t="n"/>
      <c r="E32" s="16" t="n"/>
      <c r="F32" s="16" t="n"/>
      <c r="G32" s="16" t="n"/>
      <c r="H32" s="17" t="n"/>
      <c r="I32" s="15" t="n"/>
      <c r="J32" s="15" t="n"/>
      <c r="K32" s="14" t="n"/>
    </row>
    <row r="33">
      <c r="A33" s="14" t="n"/>
      <c r="B33" s="15" t="n"/>
      <c r="C33" s="15" t="n"/>
      <c r="D33" s="14" t="n"/>
      <c r="E33" s="16" t="n"/>
      <c r="F33" s="16" t="n"/>
      <c r="G33" s="16" t="n"/>
      <c r="H33" s="17" t="n"/>
      <c r="I33" s="15" t="n"/>
      <c r="J33" s="15" t="n"/>
      <c r="K33" s="14" t="n"/>
    </row>
    <row r="34">
      <c r="A34" s="14" t="n"/>
      <c r="B34" s="15" t="n"/>
      <c r="C34" s="15" t="n"/>
      <c r="D34" s="14" t="n"/>
      <c r="E34" s="16" t="n"/>
      <c r="F34" s="16" t="n"/>
      <c r="G34" s="16" t="n"/>
      <c r="H34" s="17" t="n"/>
      <c r="I34" s="15" t="n"/>
      <c r="J34" s="15" t="n"/>
      <c r="K34" s="14" t="n"/>
    </row>
    <row r="35">
      <c r="A35" s="14" t="n"/>
      <c r="B35" s="15" t="n"/>
      <c r="C35" s="15" t="n"/>
      <c r="D35" s="14" t="n"/>
      <c r="E35" s="16" t="n"/>
      <c r="F35" s="16" t="n"/>
      <c r="G35" s="16" t="n"/>
      <c r="H35" s="17" t="n"/>
      <c r="I35" s="15" t="n"/>
      <c r="J35" s="15" t="n"/>
      <c r="K35" s="14" t="n"/>
    </row>
    <row r="36">
      <c r="A36" s="14" t="n"/>
      <c r="B36" s="15" t="n"/>
      <c r="C36" s="15" t="n"/>
      <c r="D36" s="14" t="n"/>
      <c r="E36" s="16" t="n"/>
      <c r="F36" s="16" t="n"/>
      <c r="G36" s="16" t="n"/>
      <c r="H36" s="17" t="n"/>
      <c r="I36" s="15" t="n"/>
      <c r="J36" s="15" t="n"/>
      <c r="K36" s="14" t="n"/>
    </row>
    <row r="37">
      <c r="A37" s="14" t="n"/>
      <c r="B37" s="15" t="n"/>
      <c r="C37" s="15" t="n"/>
      <c r="D37" s="14" t="n"/>
      <c r="E37" s="16" t="n"/>
      <c r="F37" s="16" t="n"/>
      <c r="G37" s="16" t="n"/>
      <c r="H37" s="17" t="n"/>
      <c r="I37" s="15" t="n"/>
      <c r="J37" s="15" t="n"/>
      <c r="K37" s="14" t="n"/>
    </row>
    <row r="38">
      <c r="A38" s="14" t="n"/>
      <c r="B38" s="15" t="n"/>
      <c r="C38" s="15" t="n"/>
      <c r="D38" s="14" t="n"/>
      <c r="E38" s="16" t="n"/>
      <c r="F38" s="16" t="n"/>
      <c r="G38" s="16" t="n"/>
      <c r="H38" s="17" t="n"/>
      <c r="I38" s="15" t="n"/>
      <c r="J38" s="15" t="n"/>
      <c r="K38" s="14" t="n"/>
    </row>
    <row r="39">
      <c r="A39" s="14" t="n"/>
      <c r="B39" s="15" t="n"/>
      <c r="C39" s="15" t="n"/>
      <c r="D39" s="14" t="n"/>
      <c r="E39" s="16" t="n"/>
      <c r="F39" s="16" t="n"/>
      <c r="G39" s="16" t="n"/>
      <c r="H39" s="17" t="n"/>
      <c r="I39" s="15" t="n"/>
      <c r="J39" s="15" t="n"/>
      <c r="K39" s="14" t="n"/>
    </row>
    <row r="40">
      <c r="A40" s="14" t="n"/>
      <c r="B40" s="15" t="n"/>
      <c r="C40" s="15" t="n"/>
      <c r="D40" s="14" t="n"/>
      <c r="E40" s="16" t="n"/>
      <c r="F40" s="16" t="n"/>
      <c r="G40" s="16" t="n"/>
      <c r="H40" s="17" t="n"/>
      <c r="I40" s="15" t="n"/>
      <c r="J40" s="15" t="n"/>
      <c r="K40" s="14" t="n"/>
    </row>
    <row r="41">
      <c r="A41" s="14" t="n"/>
      <c r="B41" s="15" t="n"/>
      <c r="C41" s="15" t="n"/>
      <c r="D41" s="14" t="n"/>
      <c r="E41" s="16" t="n"/>
      <c r="F41" s="16" t="n"/>
      <c r="G41" s="16" t="n"/>
      <c r="H41" s="17" t="n"/>
      <c r="I41" s="15" t="n"/>
      <c r="J41" s="15" t="n"/>
      <c r="K41" s="14" t="n"/>
    </row>
    <row r="42">
      <c r="A42" s="14" t="n"/>
      <c r="B42" s="15" t="n"/>
      <c r="C42" s="15" t="n"/>
      <c r="D42" s="14" t="n"/>
      <c r="E42" s="16" t="n"/>
      <c r="F42" s="16" t="n"/>
      <c r="G42" s="16" t="n"/>
      <c r="H42" s="17" t="n"/>
      <c r="I42" s="15" t="n"/>
      <c r="J42" s="15" t="n"/>
      <c r="K42" s="14" t="n"/>
    </row>
    <row r="43">
      <c r="A43" s="14" t="n"/>
      <c r="B43" s="15" t="n"/>
      <c r="C43" s="15" t="n"/>
      <c r="D43" s="14" t="n"/>
      <c r="E43" s="16" t="n"/>
      <c r="F43" s="16" t="n"/>
      <c r="G43" s="16" t="n"/>
      <c r="H43" s="17" t="n"/>
      <c r="I43" s="15" t="n"/>
      <c r="J43" s="15" t="n"/>
      <c r="K43" s="14" t="n"/>
    </row>
    <row r="44">
      <c r="A44" s="14" t="n"/>
      <c r="B44" s="15" t="n"/>
      <c r="C44" s="15" t="n"/>
      <c r="D44" s="14" t="n"/>
      <c r="E44" s="16" t="n"/>
      <c r="F44" s="16" t="n"/>
      <c r="G44" s="16" t="n"/>
      <c r="H44" s="17" t="n"/>
      <c r="I44" s="15" t="n"/>
      <c r="J44" s="15" t="n"/>
      <c r="K44" s="14" t="n"/>
    </row>
    <row r="45">
      <c r="A45" s="14" t="n"/>
      <c r="B45" s="15" t="n"/>
      <c r="C45" s="15" t="n"/>
      <c r="D45" s="14" t="n"/>
      <c r="E45" s="16" t="n"/>
      <c r="F45" s="16" t="n"/>
      <c r="G45" s="16" t="n"/>
      <c r="H45" s="17" t="n"/>
      <c r="I45" s="15" t="n"/>
      <c r="J45" s="15" t="n"/>
      <c r="K45" s="14" t="n"/>
    </row>
    <row r="46">
      <c r="A46" s="14" t="n"/>
      <c r="B46" s="15" t="n"/>
      <c r="C46" s="15" t="n"/>
      <c r="D46" s="14" t="n"/>
      <c r="E46" s="16" t="n"/>
      <c r="F46" s="16" t="n"/>
      <c r="G46" s="16" t="n"/>
      <c r="H46" s="17" t="n"/>
      <c r="I46" s="15" t="n"/>
      <c r="J46" s="15" t="n"/>
      <c r="K46" s="14" t="n"/>
    </row>
    <row r="47">
      <c r="A47" s="14" t="n"/>
      <c r="B47" s="15" t="n"/>
      <c r="C47" s="15" t="n"/>
      <c r="D47" s="14" t="n"/>
      <c r="E47" s="16" t="n"/>
      <c r="F47" s="16" t="n"/>
      <c r="G47" s="16" t="n"/>
      <c r="H47" s="17" t="n"/>
      <c r="I47" s="15" t="n"/>
      <c r="J47" s="15" t="n"/>
      <c r="K47" s="14" t="n"/>
    </row>
    <row r="48">
      <c r="A48" s="14" t="n"/>
      <c r="B48" s="15" t="n"/>
      <c r="C48" s="15" t="n"/>
      <c r="D48" s="14" t="n"/>
      <c r="E48" s="16" t="n"/>
      <c r="F48" s="16" t="n"/>
      <c r="G48" s="16" t="n"/>
      <c r="H48" s="17" t="n"/>
      <c r="I48" s="15" t="n"/>
      <c r="J48" s="15" t="n"/>
      <c r="K48" s="14" t="n"/>
    </row>
    <row r="49">
      <c r="A49" s="14" t="n"/>
      <c r="B49" s="15" t="n"/>
      <c r="C49" s="15" t="n"/>
      <c r="D49" s="14" t="n"/>
      <c r="E49" s="16" t="n"/>
      <c r="F49" s="16" t="n"/>
      <c r="G49" s="16" t="n"/>
      <c r="H49" s="17" t="n"/>
      <c r="I49" s="15" t="n"/>
      <c r="J49" s="15" t="n"/>
      <c r="K49" s="14" t="n"/>
    </row>
    <row r="50">
      <c r="A50" s="14" t="n"/>
      <c r="B50" s="15" t="n"/>
      <c r="C50" s="15" t="n"/>
      <c r="D50" s="14" t="n"/>
      <c r="E50" s="16" t="n"/>
      <c r="F50" s="16" t="n"/>
      <c r="G50" s="16" t="n"/>
      <c r="H50" s="17" t="n"/>
      <c r="I50" s="15" t="n"/>
      <c r="J50" s="15" t="n"/>
      <c r="K50" s="14" t="n"/>
    </row>
    <row r="51">
      <c r="A51" s="14" t="n"/>
      <c r="B51" s="15" t="n"/>
      <c r="C51" s="15" t="n"/>
      <c r="D51" s="14" t="n"/>
      <c r="E51" s="16" t="n"/>
      <c r="F51" s="16" t="n"/>
      <c r="G51" s="16" t="n"/>
      <c r="H51" s="17" t="n"/>
      <c r="I51" s="15" t="n"/>
      <c r="J51" s="15" t="n"/>
      <c r="K51" s="14" t="n"/>
    </row>
    <row r="52">
      <c r="A52" s="14" t="n"/>
      <c r="B52" s="15" t="n"/>
      <c r="C52" s="15" t="n"/>
      <c r="D52" s="14" t="n"/>
      <c r="E52" s="16" t="n"/>
      <c r="F52" s="16" t="n"/>
      <c r="G52" s="16" t="n"/>
      <c r="H52" s="17" t="n"/>
      <c r="I52" s="15" t="n"/>
      <c r="J52" s="15" t="n"/>
      <c r="K52" s="14" t="n"/>
    </row>
    <row r="53">
      <c r="A53" s="14" t="n"/>
      <c r="B53" s="15" t="n"/>
      <c r="C53" s="15" t="n"/>
      <c r="D53" s="14" t="n"/>
      <c r="E53" s="16" t="n"/>
      <c r="F53" s="16" t="n"/>
      <c r="G53" s="16" t="n"/>
      <c r="H53" s="17" t="n"/>
      <c r="I53" s="15" t="n"/>
      <c r="J53" s="15" t="n"/>
      <c r="K53" s="14" t="n"/>
    </row>
    <row r="54">
      <c r="A54" s="14" t="n"/>
      <c r="B54" s="15" t="n"/>
      <c r="C54" s="15" t="n"/>
      <c r="D54" s="14" t="n"/>
      <c r="E54" s="16" t="n"/>
      <c r="F54" s="16" t="n"/>
      <c r="G54" s="16" t="n"/>
      <c r="H54" s="17" t="n"/>
      <c r="I54" s="15" t="n"/>
      <c r="J54" s="15" t="n"/>
      <c r="K54" s="14" t="n"/>
    </row>
    <row r="55">
      <c r="A55" s="14" t="n"/>
      <c r="B55" s="15" t="n"/>
      <c r="C55" s="15" t="n"/>
      <c r="D55" s="14" t="n"/>
      <c r="E55" s="16" t="n"/>
      <c r="F55" s="16" t="n"/>
      <c r="G55" s="16" t="n"/>
      <c r="H55" s="17" t="n"/>
      <c r="I55" s="15" t="n"/>
      <c r="J55" s="15" t="n"/>
      <c r="K55" s="14" t="n"/>
    </row>
    <row r="56">
      <c r="A56" s="14" t="n"/>
      <c r="B56" s="15" t="n"/>
      <c r="C56" s="15" t="n"/>
      <c r="D56" s="14" t="n"/>
      <c r="E56" s="16" t="n"/>
      <c r="F56" s="16" t="n"/>
      <c r="G56" s="16" t="n"/>
      <c r="H56" s="17" t="n"/>
      <c r="I56" s="15" t="n"/>
      <c r="J56" s="15" t="n"/>
      <c r="K56" s="14" t="n"/>
    </row>
    <row r="57">
      <c r="A57" s="14" t="n"/>
      <c r="B57" s="15" t="n"/>
      <c r="C57" s="15" t="n"/>
      <c r="D57" s="14" t="n"/>
      <c r="E57" s="16" t="n"/>
      <c r="F57" s="16" t="n"/>
      <c r="G57" s="16" t="n"/>
      <c r="H57" s="17" t="n"/>
      <c r="I57" s="15" t="n"/>
      <c r="J57" s="15" t="n"/>
      <c r="K57" s="14" t="n"/>
    </row>
    <row r="58">
      <c r="A58" s="14" t="n"/>
      <c r="B58" s="15" t="n"/>
      <c r="C58" s="15" t="n"/>
      <c r="D58" s="14" t="n"/>
      <c r="E58" s="16" t="n"/>
      <c r="F58" s="16" t="n"/>
      <c r="G58" s="16" t="n"/>
      <c r="H58" s="17" t="n"/>
      <c r="I58" s="15" t="n"/>
      <c r="J58" s="15" t="n"/>
      <c r="K58" s="14" t="n"/>
    </row>
    <row r="59">
      <c r="A59" s="14" t="n"/>
      <c r="B59" s="15" t="n"/>
      <c r="C59" s="15" t="n"/>
      <c r="D59" s="14" t="n"/>
      <c r="E59" s="16" t="n"/>
      <c r="F59" s="16" t="n"/>
      <c r="G59" s="16" t="n"/>
      <c r="H59" s="17" t="n"/>
      <c r="I59" s="15" t="n"/>
      <c r="J59" s="15" t="n"/>
      <c r="K59" s="14" t="n"/>
    </row>
    <row r="60">
      <c r="A60" s="14" t="n"/>
      <c r="B60" s="15" t="n"/>
      <c r="C60" s="15" t="n"/>
      <c r="D60" s="14" t="n"/>
      <c r="E60" s="16" t="n"/>
      <c r="F60" s="16" t="n"/>
      <c r="G60" s="16" t="n"/>
      <c r="H60" s="17" t="n"/>
      <c r="I60" s="15" t="n"/>
      <c r="J60" s="15" t="n"/>
      <c r="K60" s="14" t="n"/>
    </row>
    <row r="61">
      <c r="A61" s="14" t="n"/>
      <c r="B61" s="15" t="n"/>
      <c r="C61" s="15" t="n"/>
      <c r="D61" s="14" t="n"/>
      <c r="E61" s="16" t="n"/>
      <c r="F61" s="16" t="n"/>
      <c r="G61" s="16" t="n"/>
      <c r="H61" s="17" t="n"/>
      <c r="I61" s="15" t="n"/>
      <c r="J61" s="15" t="n"/>
      <c r="K61" s="14" t="n"/>
    </row>
    <row r="62">
      <c r="A62" s="14" t="n"/>
      <c r="B62" s="15" t="n"/>
      <c r="C62" s="15" t="n"/>
      <c r="D62" s="14" t="n"/>
      <c r="E62" s="16" t="n"/>
      <c r="F62" s="16" t="n"/>
      <c r="G62" s="16" t="n"/>
      <c r="H62" s="17" t="n"/>
      <c r="I62" s="15" t="n"/>
      <c r="J62" s="15" t="n"/>
      <c r="K62" s="14" t="n"/>
    </row>
    <row r="63">
      <c r="A63" s="14" t="n"/>
      <c r="B63" s="15" t="n"/>
      <c r="C63" s="15" t="n"/>
      <c r="D63" s="14" t="n"/>
      <c r="E63" s="16" t="n"/>
      <c r="F63" s="16" t="n"/>
      <c r="G63" s="16" t="n"/>
      <c r="H63" s="17" t="n"/>
      <c r="I63" s="15" t="n"/>
      <c r="J63" s="15" t="n"/>
      <c r="K63" s="14" t="n"/>
    </row>
    <row r="64">
      <c r="A64" s="14" t="n"/>
      <c r="B64" s="15" t="n"/>
      <c r="C64" s="15" t="n"/>
      <c r="D64" s="14" t="n"/>
      <c r="E64" s="16" t="n"/>
      <c r="F64" s="16" t="n"/>
      <c r="G64" s="16" t="n"/>
      <c r="H64" s="17" t="n"/>
      <c r="I64" s="15" t="n"/>
      <c r="J64" s="15" t="n"/>
      <c r="K64" s="14" t="n"/>
    </row>
    <row r="65">
      <c r="A65" s="14" t="n"/>
      <c r="B65" s="15" t="n"/>
      <c r="C65" s="15" t="n"/>
      <c r="D65" s="14" t="n"/>
      <c r="E65" s="16" t="n"/>
      <c r="F65" s="16" t="n"/>
      <c r="G65" s="16" t="n"/>
      <c r="H65" s="17" t="n"/>
      <c r="I65" s="15" t="n"/>
      <c r="J65" s="15" t="n"/>
      <c r="K65" s="14" t="n"/>
    </row>
    <row r="66">
      <c r="A66" s="14" t="n"/>
      <c r="B66" s="15" t="n"/>
      <c r="C66" s="15" t="n"/>
      <c r="D66" s="14" t="n"/>
      <c r="E66" s="16" t="n"/>
      <c r="F66" s="16" t="n"/>
      <c r="G66" s="16" t="n"/>
      <c r="H66" s="17" t="n"/>
      <c r="I66" s="15" t="n"/>
      <c r="J66" s="15" t="n"/>
      <c r="K66" s="14" t="n"/>
    </row>
    <row r="67">
      <c r="A67" s="14" t="n"/>
      <c r="B67" s="15" t="n"/>
      <c r="C67" s="15" t="n"/>
      <c r="D67" s="14" t="n"/>
      <c r="E67" s="16" t="n"/>
      <c r="F67" s="16" t="n"/>
      <c r="G67" s="16" t="n"/>
      <c r="H67" s="17" t="n"/>
      <c r="I67" s="15" t="n"/>
      <c r="J67" s="15" t="n"/>
      <c r="K67" s="14" t="n"/>
    </row>
    <row r="68">
      <c r="A68" s="14" t="n"/>
      <c r="B68" s="15" t="n"/>
      <c r="C68" s="15" t="n"/>
      <c r="D68" s="14" t="n"/>
      <c r="E68" s="16" t="n"/>
      <c r="F68" s="16" t="n"/>
      <c r="G68" s="16" t="n"/>
      <c r="H68" s="17" t="n"/>
      <c r="I68" s="15" t="n"/>
      <c r="J68" s="15" t="n"/>
      <c r="K68" s="14" t="n"/>
    </row>
    <row r="69">
      <c r="A69" s="14" t="n"/>
      <c r="B69" s="15" t="n"/>
      <c r="C69" s="15" t="n"/>
      <c r="D69" s="14" t="n"/>
      <c r="E69" s="16" t="n"/>
      <c r="F69" s="16" t="n"/>
      <c r="G69" s="16" t="n"/>
      <c r="H69" s="17" t="n"/>
      <c r="I69" s="15" t="n"/>
      <c r="J69" s="15" t="n"/>
      <c r="K69" s="14" t="n"/>
    </row>
    <row r="70">
      <c r="A70" s="14" t="n"/>
      <c r="B70" s="15" t="n"/>
      <c r="C70" s="15" t="n"/>
      <c r="D70" s="14" t="n"/>
      <c r="E70" s="16" t="n"/>
      <c r="F70" s="16" t="n"/>
      <c r="G70" s="16" t="n"/>
      <c r="H70" s="17" t="n"/>
      <c r="I70" s="15" t="n"/>
      <c r="J70" s="15" t="n"/>
      <c r="K70" s="14" t="n"/>
    </row>
    <row r="71">
      <c r="A71" s="14" t="n"/>
      <c r="B71" s="15" t="n"/>
      <c r="C71" s="15" t="n"/>
      <c r="D71" s="14" t="n"/>
      <c r="E71" s="16" t="n"/>
      <c r="F71" s="16" t="n"/>
      <c r="G71" s="16" t="n"/>
      <c r="H71" s="17" t="n"/>
      <c r="I71" s="15" t="n"/>
      <c r="J71" s="15" t="n"/>
      <c r="K71" s="14" t="n"/>
    </row>
    <row r="72">
      <c r="A72" s="14" t="n"/>
      <c r="B72" s="15" t="n"/>
      <c r="C72" s="15" t="n"/>
      <c r="D72" s="14" t="n"/>
      <c r="E72" s="16" t="n"/>
      <c r="F72" s="16" t="n"/>
      <c r="G72" s="16" t="n"/>
      <c r="H72" s="17" t="n"/>
      <c r="I72" s="15" t="n"/>
      <c r="J72" s="15" t="n"/>
      <c r="K72" s="14" t="n"/>
    </row>
    <row r="73">
      <c r="A73" s="14" t="n"/>
      <c r="B73" s="15" t="n"/>
      <c r="C73" s="15" t="n"/>
      <c r="D73" s="14" t="n"/>
      <c r="E73" s="16" t="n"/>
      <c r="F73" s="16" t="n"/>
      <c r="G73" s="16" t="n"/>
      <c r="H73" s="17" t="n"/>
      <c r="I73" s="15" t="n"/>
      <c r="J73" s="15" t="n"/>
      <c r="K73" s="14" t="n"/>
    </row>
    <row r="74">
      <c r="A74" s="14" t="n"/>
      <c r="B74" s="15" t="n"/>
      <c r="C74" s="15" t="n"/>
      <c r="D74" s="14" t="n"/>
      <c r="E74" s="16" t="n"/>
      <c r="F74" s="16" t="n"/>
      <c r="G74" s="16" t="n"/>
      <c r="H74" s="17" t="n"/>
      <c r="I74" s="15" t="n"/>
      <c r="J74" s="15" t="n"/>
      <c r="K74" s="14" t="n"/>
    </row>
    <row r="75">
      <c r="A75" s="14" t="n"/>
      <c r="B75" s="15" t="n"/>
      <c r="C75" s="15" t="n"/>
      <c r="D75" s="14" t="n"/>
      <c r="E75" s="16" t="n"/>
      <c r="F75" s="16" t="n"/>
      <c r="G75" s="16" t="n"/>
      <c r="H75" s="17" t="n"/>
      <c r="I75" s="15" t="n"/>
      <c r="J75" s="15" t="n"/>
      <c r="K75" s="14" t="n"/>
    </row>
    <row r="76">
      <c r="A76" s="14" t="n"/>
      <c r="B76" s="15" t="n"/>
      <c r="C76" s="15" t="n"/>
      <c r="D76" s="14" t="n"/>
      <c r="E76" s="16" t="n"/>
      <c r="F76" s="16" t="n"/>
      <c r="G76" s="16" t="n"/>
      <c r="H76" s="17" t="n"/>
      <c r="I76" s="15" t="n"/>
      <c r="J76" s="15" t="n"/>
      <c r="K76" s="14" t="n"/>
    </row>
    <row r="77">
      <c r="A77" s="14" t="n"/>
      <c r="B77" s="15" t="n"/>
      <c r="C77" s="15" t="n"/>
      <c r="D77" s="14" t="n"/>
      <c r="E77" s="16" t="n"/>
      <c r="F77" s="16" t="n"/>
      <c r="G77" s="16" t="n"/>
      <c r="H77" s="17" t="n"/>
      <c r="I77" s="15" t="n"/>
      <c r="J77" s="15" t="n"/>
      <c r="K77" s="14" t="n"/>
    </row>
    <row r="78">
      <c r="A78" s="14" t="n"/>
      <c r="B78" s="15" t="n"/>
      <c r="C78" s="15" t="n"/>
      <c r="D78" s="14" t="n"/>
      <c r="E78" s="16" t="n"/>
      <c r="F78" s="16" t="n"/>
      <c r="G78" s="16" t="n"/>
      <c r="H78" s="17" t="n"/>
      <c r="I78" s="15" t="n"/>
      <c r="J78" s="15" t="n"/>
      <c r="K78" s="14" t="n"/>
    </row>
    <row r="79">
      <c r="A79" s="14" t="n"/>
      <c r="B79" s="15" t="n"/>
      <c r="C79" s="15" t="n"/>
      <c r="D79" s="14" t="n"/>
      <c r="E79" s="16" t="n"/>
      <c r="F79" s="16" t="n"/>
      <c r="G79" s="16" t="n"/>
      <c r="H79" s="17" t="n"/>
      <c r="I79" s="15" t="n"/>
      <c r="J79" s="15" t="n"/>
      <c r="K79" s="14" t="n"/>
    </row>
    <row r="80">
      <c r="A80" s="14" t="n"/>
      <c r="B80" s="15" t="n"/>
      <c r="C80" s="15" t="n"/>
      <c r="D80" s="14" t="n"/>
      <c r="E80" s="16" t="n"/>
      <c r="F80" s="16" t="n"/>
      <c r="G80" s="16" t="n"/>
      <c r="H80" s="17" t="n"/>
      <c r="I80" s="15" t="n"/>
      <c r="J80" s="15" t="n"/>
      <c r="K80" s="14" t="n"/>
    </row>
    <row r="81">
      <c r="A81" s="14" t="n"/>
      <c r="B81" s="15" t="n"/>
      <c r="C81" s="15" t="n"/>
      <c r="D81" s="14" t="n"/>
      <c r="E81" s="16" t="n"/>
      <c r="F81" s="16" t="n"/>
      <c r="G81" s="16" t="n"/>
      <c r="H81" s="17" t="n"/>
      <c r="I81" s="15" t="n"/>
      <c r="J81" s="15" t="n"/>
      <c r="K81" s="14" t="n"/>
    </row>
    <row r="82">
      <c r="A82" s="14" t="n"/>
      <c r="B82" s="15" t="n"/>
      <c r="C82" s="15" t="n"/>
      <c r="D82" s="14" t="n"/>
      <c r="E82" s="16" t="n"/>
      <c r="F82" s="16" t="n"/>
      <c r="G82" s="16" t="n"/>
      <c r="H82" s="17" t="n"/>
      <c r="I82" s="15" t="n"/>
      <c r="J82" s="15" t="n"/>
      <c r="K82" s="14" t="n"/>
    </row>
    <row r="83">
      <c r="A83" s="14" t="n"/>
      <c r="B83" s="15" t="n"/>
      <c r="C83" s="15" t="n"/>
      <c r="D83" s="14" t="n"/>
      <c r="E83" s="16" t="n"/>
      <c r="F83" s="16" t="n"/>
      <c r="G83" s="16" t="n"/>
      <c r="H83" s="17" t="n"/>
      <c r="I83" s="15" t="n"/>
      <c r="J83" s="15" t="n"/>
      <c r="K83" s="14" t="n"/>
    </row>
    <row r="84">
      <c r="A84" s="14" t="n"/>
      <c r="B84" s="15" t="n"/>
      <c r="C84" s="15" t="n"/>
      <c r="D84" s="14" t="n"/>
      <c r="E84" s="16" t="n"/>
      <c r="F84" s="16" t="n"/>
      <c r="G84" s="16" t="n"/>
      <c r="H84" s="17" t="n"/>
      <c r="I84" s="15" t="n"/>
      <c r="J84" s="15" t="n"/>
      <c r="K84" s="14" t="n"/>
    </row>
    <row r="85">
      <c r="A85" s="14" t="n"/>
      <c r="B85" s="15" t="n"/>
      <c r="C85" s="15" t="n"/>
      <c r="D85" s="14" t="n"/>
      <c r="E85" s="16" t="n"/>
      <c r="F85" s="16" t="n"/>
      <c r="G85" s="16" t="n"/>
      <c r="H85" s="17" t="n"/>
      <c r="I85" s="15" t="n"/>
      <c r="J85" s="15" t="n"/>
      <c r="K85" s="14" t="n"/>
    </row>
    <row r="86">
      <c r="A86" s="14" t="n"/>
      <c r="B86" s="15" t="n"/>
      <c r="C86" s="15" t="n"/>
      <c r="D86" s="14" t="n"/>
      <c r="E86" s="16" t="n"/>
      <c r="F86" s="16" t="n"/>
      <c r="G86" s="16" t="n"/>
      <c r="H86" s="17" t="n"/>
      <c r="I86" s="15" t="n"/>
      <c r="J86" s="15" t="n"/>
      <c r="K86" s="14" t="n"/>
    </row>
    <row r="87">
      <c r="A87" s="14" t="n"/>
      <c r="B87" s="15" t="n"/>
      <c r="C87" s="15" t="n"/>
      <c r="D87" s="14" t="n"/>
      <c r="E87" s="16" t="n"/>
      <c r="F87" s="16" t="n"/>
      <c r="G87" s="16" t="n"/>
      <c r="H87" s="17" t="n"/>
      <c r="I87" s="15" t="n"/>
      <c r="J87" s="15" t="n"/>
      <c r="K87" s="14" t="n"/>
    </row>
    <row r="88">
      <c r="A88" s="14" t="n"/>
      <c r="B88" s="15" t="n"/>
      <c r="C88" s="15" t="n"/>
      <c r="D88" s="14" t="n"/>
      <c r="E88" s="16" t="n"/>
      <c r="F88" s="16" t="n"/>
      <c r="G88" s="16" t="n"/>
      <c r="H88" s="17" t="n"/>
      <c r="I88" s="15" t="n"/>
      <c r="J88" s="15" t="n"/>
      <c r="K88" s="14" t="n"/>
    </row>
    <row r="89">
      <c r="A89" s="14" t="n"/>
      <c r="B89" s="15" t="n"/>
      <c r="C89" s="15" t="n"/>
      <c r="D89" s="14" t="n"/>
      <c r="E89" s="16" t="n"/>
      <c r="F89" s="16" t="n"/>
      <c r="G89" s="16" t="n"/>
      <c r="H89" s="17" t="n"/>
      <c r="I89" s="15" t="n"/>
      <c r="J89" s="15" t="n"/>
      <c r="K89" s="14" t="n"/>
    </row>
    <row r="90">
      <c r="A90" s="14" t="n"/>
      <c r="B90" s="15" t="n"/>
      <c r="C90" s="15" t="n"/>
      <c r="D90" s="14" t="n"/>
      <c r="E90" s="16" t="n"/>
      <c r="F90" s="16" t="n"/>
      <c r="G90" s="16" t="n"/>
      <c r="H90" s="17" t="n"/>
      <c r="I90" s="15" t="n"/>
      <c r="J90" s="15" t="n"/>
      <c r="K90" s="14" t="n"/>
    </row>
    <row r="91">
      <c r="A91" s="14" t="n"/>
      <c r="B91" s="15" t="n"/>
      <c r="C91" s="15" t="n"/>
      <c r="D91" s="14" t="n"/>
      <c r="E91" s="16" t="n"/>
      <c r="F91" s="16" t="n"/>
      <c r="G91" s="16" t="n"/>
      <c r="H91" s="17" t="n"/>
      <c r="I91" s="15" t="n"/>
      <c r="J91" s="15" t="n"/>
      <c r="K91" s="14" t="n"/>
    </row>
    <row r="92">
      <c r="A92" s="14" t="n"/>
      <c r="B92" s="15" t="n"/>
      <c r="C92" s="15" t="n"/>
      <c r="D92" s="14" t="n"/>
      <c r="E92" s="16" t="n"/>
      <c r="F92" s="16" t="n"/>
      <c r="G92" s="16" t="n"/>
      <c r="H92" s="17" t="n"/>
      <c r="I92" s="15" t="n"/>
      <c r="J92" s="15" t="n"/>
      <c r="K92" s="14" t="n"/>
    </row>
    <row r="93">
      <c r="A93" s="14" t="n"/>
      <c r="B93" s="15" t="n"/>
      <c r="C93" s="15" t="n"/>
      <c r="D93" s="14" t="n"/>
      <c r="E93" s="16" t="n"/>
      <c r="F93" s="16" t="n"/>
      <c r="G93" s="16" t="n"/>
      <c r="H93" s="17" t="n"/>
      <c r="I93" s="15" t="n"/>
      <c r="J93" s="15" t="n"/>
      <c r="K93" s="14" t="n"/>
    </row>
    <row r="94">
      <c r="A94" s="14" t="n"/>
      <c r="B94" s="15" t="n"/>
      <c r="C94" s="15" t="n"/>
      <c r="D94" s="14" t="n"/>
      <c r="E94" s="16" t="n"/>
      <c r="F94" s="16" t="n"/>
      <c r="G94" s="16" t="n"/>
      <c r="H94" s="17" t="n"/>
      <c r="I94" s="15" t="n"/>
      <c r="J94" s="15" t="n"/>
      <c r="K94" s="14" t="n"/>
    </row>
    <row r="95">
      <c r="A95" s="14" t="n"/>
      <c r="B95" s="15" t="n"/>
      <c r="C95" s="15" t="n"/>
      <c r="D95" s="14" t="n"/>
      <c r="E95" s="16" t="n"/>
      <c r="F95" s="16" t="n"/>
      <c r="G95" s="16" t="n"/>
      <c r="H95" s="17" t="n"/>
      <c r="I95" s="15" t="n"/>
      <c r="J95" s="15" t="n"/>
      <c r="K95" s="14" t="n"/>
    </row>
    <row r="96">
      <c r="A96" s="14" t="n"/>
      <c r="B96" s="15" t="n"/>
      <c r="C96" s="15" t="n"/>
      <c r="D96" s="14" t="n"/>
      <c r="E96" s="16" t="n"/>
      <c r="F96" s="16" t="n"/>
      <c r="G96" s="16" t="n"/>
      <c r="H96" s="17" t="n"/>
      <c r="I96" s="15" t="n"/>
      <c r="J96" s="15" t="n"/>
      <c r="K96" s="14" t="n"/>
    </row>
    <row r="97">
      <c r="A97" s="14" t="n"/>
      <c r="B97" s="15" t="n"/>
      <c r="C97" s="15" t="n"/>
      <c r="D97" s="14" t="n"/>
      <c r="E97" s="16" t="n"/>
      <c r="F97" s="16" t="n"/>
      <c r="G97" s="16" t="n"/>
      <c r="H97" s="17" t="n"/>
      <c r="I97" s="15" t="n"/>
      <c r="J97" s="15" t="n"/>
      <c r="K97" s="14" t="n"/>
    </row>
    <row r="98">
      <c r="A98" s="14" t="n"/>
      <c r="B98" s="15" t="n"/>
      <c r="C98" s="15" t="n"/>
      <c r="D98" s="14" t="n"/>
      <c r="E98" s="16" t="n"/>
      <c r="F98" s="16" t="n"/>
      <c r="G98" s="16" t="n"/>
      <c r="H98" s="17" t="n"/>
      <c r="I98" s="15" t="n"/>
      <c r="J98" s="15" t="n"/>
      <c r="K98" s="14" t="n"/>
    </row>
    <row r="99">
      <c r="A99" s="14" t="n"/>
      <c r="B99" s="15" t="n"/>
      <c r="C99" s="15" t="n"/>
      <c r="D99" s="14" t="n"/>
      <c r="E99" s="16" t="n"/>
      <c r="F99" s="16" t="n"/>
      <c r="G99" s="16" t="n"/>
      <c r="H99" s="17" t="n"/>
      <c r="I99" s="15" t="n"/>
      <c r="J99" s="15" t="n"/>
      <c r="K99" s="14" t="n"/>
    </row>
    <row r="100">
      <c r="A100" s="14" t="n"/>
      <c r="B100" s="15" t="n"/>
      <c r="C100" s="15" t="n"/>
      <c r="D100" s="14" t="n"/>
      <c r="E100" s="16" t="n"/>
      <c r="F100" s="16" t="n"/>
      <c r="G100" s="16" t="n"/>
      <c r="H100" s="17" t="n"/>
      <c r="I100" s="15" t="n"/>
      <c r="J100" s="15" t="n"/>
      <c r="K100" s="14" t="n"/>
    </row>
    <row r="101">
      <c r="A101" s="14" t="n"/>
      <c r="B101" s="15" t="n"/>
      <c r="C101" s="15" t="n"/>
      <c r="D101" s="14" t="n"/>
      <c r="E101" s="16" t="n"/>
      <c r="F101" s="16" t="n"/>
      <c r="G101" s="16" t="n"/>
      <c r="H101" s="17" t="n"/>
      <c r="I101" s="15" t="n"/>
      <c r="J101" s="15" t="n"/>
      <c r="K101" s="14" t="n"/>
    </row>
    <row r="102">
      <c r="A102" s="14" t="n"/>
      <c r="B102" s="15" t="n"/>
      <c r="C102" s="15" t="n"/>
      <c r="D102" s="14" t="n"/>
      <c r="E102" s="16" t="n"/>
      <c r="F102" s="16" t="n"/>
      <c r="G102" s="16" t="n"/>
      <c r="H102" s="17" t="n"/>
      <c r="I102" s="15" t="n"/>
      <c r="J102" s="15" t="n"/>
      <c r="K102" s="14" t="n"/>
    </row>
    <row r="103">
      <c r="A103" s="14" t="n"/>
      <c r="B103" s="15" t="n"/>
      <c r="C103" s="15" t="n"/>
      <c r="D103" s="14" t="n"/>
      <c r="E103" s="16" t="n"/>
      <c r="F103" s="16" t="n"/>
      <c r="G103" s="16" t="n"/>
      <c r="H103" s="17" t="n"/>
      <c r="I103" s="15" t="n"/>
      <c r="J103" s="15" t="n"/>
      <c r="K103" s="14" t="n"/>
    </row>
    <row r="104">
      <c r="A104" s="14" t="n"/>
      <c r="B104" s="15" t="n"/>
      <c r="C104" s="15" t="n"/>
      <c r="D104" s="14" t="n"/>
      <c r="E104" s="16" t="n"/>
      <c r="F104" s="16" t="n"/>
      <c r="G104" s="16" t="n"/>
      <c r="H104" s="17" t="n"/>
      <c r="I104" s="15" t="n"/>
      <c r="J104" s="15" t="n"/>
      <c r="K104" s="14" t="n"/>
    </row>
    <row r="105">
      <c r="A105" s="14" t="n"/>
      <c r="B105" s="15" t="n"/>
      <c r="C105" s="15" t="n"/>
      <c r="D105" s="14" t="n"/>
      <c r="E105" s="16" t="n"/>
      <c r="F105" s="16" t="n"/>
      <c r="G105" s="16" t="n"/>
      <c r="H105" s="17" t="n"/>
      <c r="I105" s="15" t="n"/>
      <c r="J105" s="15" t="n"/>
      <c r="K105" s="14" t="n"/>
    </row>
    <row r="106">
      <c r="A106" s="14" t="n"/>
      <c r="B106" s="15" t="n"/>
      <c r="C106" s="15" t="n"/>
      <c r="D106" s="14" t="n"/>
      <c r="E106" s="16" t="n"/>
      <c r="F106" s="16" t="n"/>
      <c r="G106" s="16" t="n"/>
      <c r="H106" s="17" t="n"/>
      <c r="I106" s="15" t="n"/>
      <c r="J106" s="15" t="n"/>
      <c r="K106" s="14" t="n"/>
    </row>
    <row r="107">
      <c r="A107" s="14" t="n"/>
      <c r="B107" s="15" t="n"/>
      <c r="C107" s="15" t="n"/>
      <c r="D107" s="14" t="n"/>
      <c r="E107" s="16" t="n"/>
      <c r="F107" s="16" t="n"/>
      <c r="G107" s="16" t="n"/>
      <c r="H107" s="17" t="n"/>
      <c r="I107" s="15" t="n"/>
      <c r="J107" s="15" t="n"/>
      <c r="K107" s="14" t="n"/>
    </row>
    <row r="108">
      <c r="A108" s="14" t="n"/>
      <c r="B108" s="15" t="n"/>
      <c r="C108" s="15" t="n"/>
      <c r="D108" s="14" t="n"/>
      <c r="E108" s="16" t="n"/>
      <c r="F108" s="16" t="n"/>
      <c r="G108" s="16" t="n"/>
      <c r="H108" s="17" t="n"/>
      <c r="I108" s="15" t="n"/>
      <c r="J108" s="15" t="n"/>
      <c r="K108" s="14" t="n"/>
    </row>
    <row r="109">
      <c r="A109" s="14" t="n"/>
      <c r="B109" s="15" t="n"/>
      <c r="C109" s="15" t="n"/>
      <c r="D109" s="14" t="n"/>
      <c r="E109" s="16" t="n"/>
      <c r="F109" s="16" t="n"/>
      <c r="G109" s="16" t="n"/>
      <c r="H109" s="17" t="n"/>
      <c r="I109" s="15" t="n"/>
      <c r="J109" s="15" t="n"/>
      <c r="K109" s="14" t="n"/>
    </row>
    <row r="110">
      <c r="A110" s="14" t="n"/>
      <c r="B110" s="15" t="n"/>
      <c r="C110" s="15" t="n"/>
      <c r="D110" s="14" t="n"/>
      <c r="E110" s="16" t="n"/>
      <c r="F110" s="16" t="n"/>
      <c r="G110" s="16" t="n"/>
      <c r="H110" s="17" t="n"/>
      <c r="I110" s="15" t="n"/>
      <c r="J110" s="15" t="n"/>
      <c r="K110" s="14" t="n"/>
    </row>
    <row r="111">
      <c r="A111" s="14" t="n"/>
      <c r="B111" s="15" t="n"/>
      <c r="C111" s="15" t="n"/>
      <c r="D111" s="14" t="n"/>
      <c r="E111" s="16" t="n"/>
      <c r="F111" s="16" t="n"/>
      <c r="G111" s="16" t="n"/>
      <c r="H111" s="17" t="n"/>
      <c r="I111" s="15" t="n"/>
      <c r="J111" s="15" t="n"/>
      <c r="K111" s="14" t="n"/>
    </row>
    <row r="112">
      <c r="A112" s="14" t="n"/>
      <c r="B112" s="15" t="n"/>
      <c r="C112" s="15" t="n"/>
      <c r="D112" s="14" t="n"/>
      <c r="E112" s="16" t="n"/>
      <c r="F112" s="16" t="n"/>
      <c r="G112" s="16" t="n"/>
      <c r="H112" s="17" t="n"/>
      <c r="I112" s="15" t="n"/>
      <c r="J112" s="15" t="n"/>
      <c r="K112" s="14" t="n"/>
    </row>
    <row r="113">
      <c r="A113" s="14" t="n"/>
      <c r="B113" s="15" t="n"/>
      <c r="C113" s="15" t="n"/>
      <c r="D113" s="14" t="n"/>
      <c r="E113" s="16" t="n"/>
      <c r="F113" s="16" t="n"/>
      <c r="G113" s="16" t="n"/>
      <c r="H113" s="17" t="n"/>
      <c r="I113" s="15" t="n"/>
      <c r="J113" s="15" t="n"/>
      <c r="K113" s="14" t="n"/>
    </row>
    <row r="114">
      <c r="A114" s="14" t="n"/>
      <c r="B114" s="15" t="n"/>
      <c r="C114" s="15" t="n"/>
      <c r="D114" s="14" t="n"/>
      <c r="E114" s="16" t="n"/>
      <c r="F114" s="16" t="n"/>
      <c r="G114" s="16" t="n"/>
      <c r="H114" s="17" t="n"/>
      <c r="I114" s="15" t="n"/>
      <c r="J114" s="15" t="n"/>
      <c r="K114" s="14" t="n"/>
    </row>
    <row r="115">
      <c r="A115" s="14" t="n"/>
      <c r="B115" s="15" t="n"/>
      <c r="C115" s="15" t="n"/>
      <c r="D115" s="14" t="n"/>
      <c r="E115" s="16" t="n"/>
      <c r="F115" s="16" t="n"/>
      <c r="G115" s="16" t="n"/>
      <c r="H115" s="17" t="n"/>
      <c r="I115" s="15" t="n"/>
      <c r="J115" s="15" t="n"/>
      <c r="K115" s="14" t="n"/>
    </row>
    <row r="116">
      <c r="A116" s="14" t="n"/>
      <c r="B116" s="15" t="n"/>
      <c r="C116" s="15" t="n"/>
      <c r="D116" s="14" t="n"/>
      <c r="E116" s="16" t="n"/>
      <c r="F116" s="16" t="n"/>
      <c r="G116" s="16" t="n"/>
      <c r="H116" s="17" t="n"/>
      <c r="I116" s="15" t="n"/>
      <c r="J116" s="15" t="n"/>
      <c r="K116" s="14" t="n"/>
    </row>
    <row r="117">
      <c r="A117" s="14" t="n"/>
      <c r="B117" s="15" t="n"/>
      <c r="C117" s="15" t="n"/>
      <c r="D117" s="14" t="n"/>
      <c r="E117" s="16" t="n"/>
      <c r="F117" s="16" t="n"/>
      <c r="G117" s="16" t="n"/>
      <c r="H117" s="17" t="n"/>
      <c r="I117" s="15" t="n"/>
      <c r="J117" s="15" t="n"/>
      <c r="K117" s="14" t="n"/>
    </row>
    <row r="118">
      <c r="A118" s="14" t="n"/>
      <c r="B118" s="15" t="n"/>
      <c r="C118" s="15" t="n"/>
      <c r="D118" s="14" t="n"/>
      <c r="E118" s="16" t="n"/>
      <c r="F118" s="16" t="n"/>
      <c r="G118" s="16" t="n"/>
      <c r="H118" s="17" t="n"/>
      <c r="I118" s="15" t="n"/>
      <c r="J118" s="15" t="n"/>
      <c r="K118" s="14" t="n"/>
    </row>
    <row r="119">
      <c r="A119" s="14" t="n"/>
      <c r="B119" s="15" t="n"/>
      <c r="C119" s="15" t="n"/>
      <c r="D119" s="14" t="n"/>
      <c r="E119" s="16" t="n"/>
      <c r="F119" s="16" t="n"/>
      <c r="G119" s="16" t="n"/>
      <c r="H119" s="17" t="n"/>
      <c r="I119" s="15" t="n"/>
      <c r="J119" s="15" t="n"/>
      <c r="K119" s="14" t="n"/>
    </row>
    <row r="120">
      <c r="A120" s="14" t="n"/>
      <c r="B120" s="15" t="n"/>
      <c r="C120" s="15" t="n"/>
      <c r="D120" s="14" t="n"/>
      <c r="E120" s="16" t="n"/>
      <c r="F120" s="16" t="n"/>
      <c r="G120" s="16" t="n"/>
      <c r="H120" s="17" t="n"/>
      <c r="I120" s="15" t="n"/>
      <c r="J120" s="15" t="n"/>
      <c r="K120" s="14" t="n"/>
    </row>
    <row r="121">
      <c r="A121" s="14" t="n"/>
      <c r="B121" s="15" t="n"/>
      <c r="C121" s="15" t="n"/>
      <c r="D121" s="14" t="n"/>
      <c r="E121" s="16" t="n"/>
      <c r="F121" s="16" t="n"/>
      <c r="G121" s="16" t="n"/>
      <c r="H121" s="17" t="n"/>
      <c r="I121" s="15" t="n"/>
      <c r="J121" s="15" t="n"/>
      <c r="K121" s="14" t="n"/>
    </row>
    <row r="122">
      <c r="A122" s="14" t="n"/>
      <c r="B122" s="15" t="n"/>
      <c r="C122" s="15" t="n"/>
      <c r="D122" s="14" t="n"/>
      <c r="E122" s="16" t="n"/>
      <c r="F122" s="16" t="n"/>
      <c r="G122" s="16" t="n"/>
      <c r="H122" s="17" t="n"/>
      <c r="I122" s="15" t="n"/>
      <c r="J122" s="15" t="n"/>
      <c r="K122" s="14" t="n"/>
    </row>
    <row r="123">
      <c r="A123" s="14" t="n"/>
      <c r="B123" s="15" t="n"/>
      <c r="C123" s="15" t="n"/>
      <c r="D123" s="14" t="n"/>
      <c r="E123" s="16" t="n"/>
      <c r="F123" s="16" t="n"/>
      <c r="G123" s="16" t="n"/>
      <c r="H123" s="17" t="n"/>
      <c r="I123" s="15" t="n"/>
      <c r="J123" s="15" t="n"/>
      <c r="K123" s="14" t="n"/>
    </row>
    <row r="124">
      <c r="A124" s="14" t="n"/>
      <c r="B124" s="15" t="n"/>
      <c r="C124" s="15" t="n"/>
      <c r="D124" s="14" t="n"/>
      <c r="E124" s="16" t="n"/>
      <c r="F124" s="16" t="n"/>
      <c r="G124" s="16" t="n"/>
      <c r="H124" s="17" t="n"/>
      <c r="I124" s="15" t="n"/>
      <c r="J124" s="15" t="n"/>
      <c r="K124" s="14" t="n"/>
    </row>
    <row r="125">
      <c r="A125" s="14" t="n"/>
      <c r="B125" s="15" t="n"/>
      <c r="C125" s="15" t="n"/>
      <c r="D125" s="14" t="n"/>
      <c r="E125" s="16" t="n"/>
      <c r="F125" s="16" t="n"/>
      <c r="G125" s="16" t="n"/>
      <c r="H125" s="17" t="n"/>
      <c r="I125" s="15" t="n"/>
      <c r="J125" s="15" t="n"/>
      <c r="K125" s="14" t="n"/>
    </row>
    <row r="126">
      <c r="A126" s="14" t="n"/>
      <c r="B126" s="15" t="n"/>
      <c r="C126" s="15" t="n"/>
      <c r="D126" s="14" t="n"/>
      <c r="E126" s="16" t="n"/>
      <c r="F126" s="16" t="n"/>
      <c r="G126" s="16" t="n"/>
      <c r="H126" s="17" t="n"/>
      <c r="I126" s="15" t="n"/>
      <c r="J126" s="15" t="n"/>
      <c r="K126" s="14" t="n"/>
    </row>
    <row r="127">
      <c r="A127" s="14" t="n"/>
      <c r="B127" s="15" t="n"/>
      <c r="C127" s="15" t="n"/>
      <c r="D127" s="14" t="n"/>
      <c r="E127" s="16" t="n"/>
      <c r="F127" s="16" t="n"/>
      <c r="G127" s="16" t="n"/>
      <c r="H127" s="17" t="n"/>
      <c r="I127" s="15" t="n"/>
      <c r="J127" s="15" t="n"/>
      <c r="K127" s="14" t="n"/>
    </row>
    <row r="128">
      <c r="A128" s="14" t="n"/>
      <c r="B128" s="15" t="n"/>
      <c r="C128" s="15" t="n"/>
      <c r="D128" s="14" t="n"/>
      <c r="E128" s="16" t="n"/>
      <c r="F128" s="16" t="n"/>
      <c r="G128" s="16" t="n"/>
      <c r="H128" s="17" t="n"/>
      <c r="I128" s="15" t="n"/>
      <c r="J128" s="15" t="n"/>
      <c r="K128" s="14" t="n"/>
    </row>
    <row r="129">
      <c r="A129" s="14" t="n"/>
      <c r="B129" s="15" t="n"/>
      <c r="C129" s="15" t="n"/>
      <c r="D129" s="14" t="n"/>
      <c r="E129" s="16" t="n"/>
      <c r="F129" s="16" t="n"/>
      <c r="G129" s="16" t="n"/>
      <c r="H129" s="17" t="n"/>
      <c r="I129" s="15" t="n"/>
      <c r="J129" s="15" t="n"/>
      <c r="K129" s="14" t="n"/>
    </row>
    <row r="130">
      <c r="A130" s="14" t="n"/>
      <c r="B130" s="15" t="n"/>
      <c r="C130" s="15" t="n"/>
      <c r="D130" s="14" t="n"/>
      <c r="E130" s="16" t="n"/>
      <c r="F130" s="16" t="n"/>
      <c r="G130" s="16" t="n"/>
      <c r="H130" s="17" t="n"/>
      <c r="I130" s="15" t="n"/>
      <c r="J130" s="15" t="n"/>
      <c r="K130" s="14" t="n"/>
    </row>
    <row r="131">
      <c r="A131" s="14" t="n"/>
      <c r="B131" s="15" t="n"/>
      <c r="C131" s="15" t="n"/>
      <c r="D131" s="14" t="n"/>
      <c r="E131" s="16" t="n"/>
      <c r="F131" s="16" t="n"/>
      <c r="G131" s="16" t="n"/>
      <c r="H131" s="17" t="n"/>
      <c r="I131" s="15" t="n"/>
      <c r="J131" s="15" t="n"/>
      <c r="K131" s="14" t="n"/>
    </row>
    <row r="132">
      <c r="A132" s="14" t="n"/>
      <c r="B132" s="15" t="n"/>
      <c r="C132" s="15" t="n"/>
      <c r="D132" s="14" t="n"/>
      <c r="E132" s="16" t="n"/>
      <c r="F132" s="16" t="n"/>
      <c r="G132" s="16" t="n"/>
      <c r="H132" s="17" t="n"/>
      <c r="I132" s="15" t="n"/>
      <c r="J132" s="15" t="n"/>
      <c r="K132" s="14" t="n"/>
    </row>
    <row r="133">
      <c r="A133" s="14" t="n"/>
      <c r="B133" s="15" t="n"/>
      <c r="C133" s="15" t="n"/>
      <c r="D133" s="14" t="n"/>
      <c r="E133" s="16" t="n"/>
      <c r="F133" s="16" t="n"/>
      <c r="G133" s="16" t="n"/>
      <c r="H133" s="17" t="n"/>
      <c r="I133" s="15" t="n"/>
      <c r="J133" s="15" t="n"/>
      <c r="K133" s="14" t="n"/>
    </row>
    <row r="134">
      <c r="A134" s="14" t="n"/>
      <c r="B134" s="15" t="n"/>
      <c r="C134" s="15" t="n"/>
      <c r="D134" s="14" t="n"/>
      <c r="E134" s="16" t="n"/>
      <c r="F134" s="16" t="n"/>
      <c r="G134" s="16" t="n"/>
      <c r="H134" s="17" t="n"/>
      <c r="I134" s="15" t="n"/>
      <c r="J134" s="15" t="n"/>
      <c r="K134" s="14" t="n"/>
    </row>
    <row r="135">
      <c r="A135" s="14" t="n"/>
      <c r="B135" s="15" t="n"/>
      <c r="C135" s="15" t="n"/>
      <c r="D135" s="14" t="n"/>
      <c r="E135" s="16" t="n"/>
      <c r="F135" s="16" t="n"/>
      <c r="G135" s="16" t="n"/>
      <c r="H135" s="17" t="n"/>
      <c r="I135" s="15" t="n"/>
      <c r="J135" s="15" t="n"/>
      <c r="K135" s="14" t="n"/>
    </row>
    <row r="136">
      <c r="A136" s="14" t="n"/>
      <c r="B136" s="15" t="n"/>
      <c r="C136" s="15" t="n"/>
      <c r="D136" s="14" t="n"/>
      <c r="E136" s="16" t="n"/>
      <c r="F136" s="16" t="n"/>
      <c r="G136" s="16" t="n"/>
      <c r="H136" s="17" t="n"/>
      <c r="I136" s="15" t="n"/>
      <c r="J136" s="15" t="n"/>
      <c r="K136" s="14" t="n"/>
    </row>
    <row r="137">
      <c r="A137" s="14" t="n"/>
      <c r="B137" s="15" t="n"/>
      <c r="C137" s="15" t="n"/>
      <c r="D137" s="14" t="n"/>
      <c r="E137" s="16" t="n"/>
      <c r="F137" s="16" t="n"/>
      <c r="G137" s="16" t="n"/>
      <c r="H137" s="17" t="n"/>
      <c r="I137" s="15" t="n"/>
      <c r="J137" s="15" t="n"/>
      <c r="K137" s="14" t="n"/>
    </row>
    <row r="138">
      <c r="A138" s="14" t="n"/>
      <c r="B138" s="15" t="n"/>
      <c r="C138" s="15" t="n"/>
      <c r="D138" s="14" t="n"/>
      <c r="E138" s="16" t="n"/>
      <c r="F138" s="16" t="n"/>
      <c r="G138" s="16" t="n"/>
      <c r="H138" s="17" t="n"/>
      <c r="I138" s="15" t="n"/>
      <c r="J138" s="15" t="n"/>
      <c r="K138" s="14" t="n"/>
    </row>
    <row r="139">
      <c r="A139" s="14" t="n"/>
      <c r="B139" s="15" t="n"/>
      <c r="C139" s="15" t="n"/>
      <c r="D139" s="14" t="n"/>
      <c r="E139" s="16" t="n"/>
      <c r="F139" s="16" t="n"/>
      <c r="G139" s="16" t="n"/>
      <c r="H139" s="17" t="n"/>
      <c r="I139" s="15" t="n"/>
      <c r="J139" s="15" t="n"/>
      <c r="K139" s="14" t="n"/>
    </row>
    <row r="140">
      <c r="A140" s="14" t="n"/>
      <c r="B140" s="15" t="n"/>
      <c r="C140" s="15" t="n"/>
      <c r="D140" s="14" t="n"/>
      <c r="E140" s="16" t="n"/>
      <c r="F140" s="16" t="n"/>
      <c r="G140" s="16" t="n"/>
      <c r="H140" s="17" t="n"/>
      <c r="I140" s="15" t="n"/>
      <c r="J140" s="15" t="n"/>
      <c r="K140" s="14" t="n"/>
    </row>
    <row r="141">
      <c r="A141" s="14" t="n"/>
      <c r="B141" s="15" t="n"/>
      <c r="C141" s="15" t="n"/>
      <c r="D141" s="14" t="n"/>
      <c r="E141" s="16" t="n"/>
      <c r="F141" s="16" t="n"/>
      <c r="G141" s="16" t="n"/>
      <c r="H141" s="17" t="n"/>
      <c r="I141" s="15" t="n"/>
      <c r="J141" s="15" t="n"/>
      <c r="K141" s="14" t="n"/>
    </row>
    <row r="142">
      <c r="A142" s="14" t="n"/>
      <c r="B142" s="15" t="n"/>
      <c r="C142" s="15" t="n"/>
      <c r="D142" s="14" t="n"/>
      <c r="E142" s="16" t="n"/>
      <c r="F142" s="16" t="n"/>
      <c r="G142" s="16" t="n"/>
      <c r="H142" s="17" t="n"/>
      <c r="I142" s="15" t="n"/>
      <c r="J142" s="15" t="n"/>
      <c r="K142" s="14" t="n"/>
    </row>
    <row r="143">
      <c r="A143" s="14" t="n"/>
      <c r="B143" s="15" t="n"/>
      <c r="C143" s="15" t="n"/>
      <c r="D143" s="14" t="n"/>
      <c r="E143" s="16" t="n"/>
      <c r="F143" s="16" t="n"/>
      <c r="G143" s="16" t="n"/>
      <c r="H143" s="17" t="n"/>
      <c r="I143" s="15" t="n"/>
      <c r="J143" s="15" t="n"/>
      <c r="K143" s="14" t="n"/>
    </row>
    <row r="144">
      <c r="A144" s="14" t="n"/>
      <c r="B144" s="15" t="n"/>
      <c r="C144" s="15" t="n"/>
      <c r="D144" s="14" t="n"/>
      <c r="E144" s="16" t="n"/>
      <c r="F144" s="16" t="n"/>
      <c r="G144" s="16" t="n"/>
      <c r="H144" s="17" t="n"/>
      <c r="I144" s="15" t="n"/>
      <c r="J144" s="15" t="n"/>
      <c r="K144" s="14" t="n"/>
    </row>
    <row r="145">
      <c r="A145" s="14" t="n"/>
      <c r="B145" s="15" t="n"/>
      <c r="C145" s="15" t="n"/>
      <c r="D145" s="14" t="n"/>
      <c r="E145" s="16" t="n"/>
      <c r="F145" s="16" t="n"/>
      <c r="G145" s="16" t="n"/>
      <c r="H145" s="17" t="n"/>
      <c r="I145" s="15" t="n"/>
      <c r="J145" s="15" t="n"/>
      <c r="K145" s="14" t="n"/>
    </row>
    <row r="146">
      <c r="A146" s="14" t="n"/>
      <c r="B146" s="15" t="n"/>
      <c r="C146" s="15" t="n"/>
      <c r="D146" s="14" t="n"/>
      <c r="E146" s="16" t="n"/>
      <c r="F146" s="16" t="n"/>
      <c r="G146" s="16" t="n"/>
      <c r="H146" s="17" t="n"/>
      <c r="I146" s="15" t="n"/>
      <c r="J146" s="15" t="n"/>
      <c r="K146" s="14" t="n"/>
    </row>
    <row r="147">
      <c r="A147" s="14" t="n"/>
      <c r="B147" s="15" t="n"/>
      <c r="C147" s="15" t="n"/>
      <c r="D147" s="14" t="n"/>
      <c r="E147" s="16" t="n"/>
      <c r="F147" s="16" t="n"/>
      <c r="G147" s="16" t="n"/>
      <c r="H147" s="17" t="n"/>
      <c r="I147" s="15" t="n"/>
      <c r="J147" s="15" t="n"/>
      <c r="K147" s="14" t="n"/>
    </row>
    <row r="148">
      <c r="A148" s="14" t="n"/>
      <c r="B148" s="15" t="n"/>
      <c r="C148" s="15" t="n"/>
      <c r="D148" s="14" t="n"/>
      <c r="E148" s="16" t="n"/>
      <c r="F148" s="16" t="n"/>
      <c r="G148" s="16" t="n"/>
      <c r="H148" s="17" t="n"/>
      <c r="I148" s="15" t="n"/>
      <c r="J148" s="15" t="n"/>
      <c r="K148" s="14" t="n"/>
    </row>
    <row r="149">
      <c r="A149" s="14" t="n"/>
      <c r="B149" s="15" t="n"/>
      <c r="C149" s="15" t="n"/>
      <c r="D149" s="14" t="n"/>
      <c r="E149" s="16" t="n"/>
      <c r="F149" s="16" t="n"/>
      <c r="G149" s="16" t="n"/>
      <c r="H149" s="17" t="n"/>
      <c r="I149" s="15" t="n"/>
      <c r="J149" s="15" t="n"/>
      <c r="K149" s="14" t="n"/>
    </row>
    <row r="150">
      <c r="A150" s="14" t="n"/>
      <c r="B150" s="15" t="n"/>
      <c r="C150" s="15" t="n"/>
      <c r="D150" s="14" t="n"/>
      <c r="E150" s="16" t="n"/>
      <c r="F150" s="16" t="n"/>
      <c r="G150" s="16" t="n"/>
      <c r="H150" s="17" t="n"/>
      <c r="I150" s="15" t="n"/>
      <c r="J150" s="15" t="n"/>
      <c r="K150" s="14" t="n"/>
    </row>
    <row r="151"/>
    <row r="152" ht="40" customHeight="1">
      <c r="A152" s="12" t="inlineStr">
        <is>
          <t>YÖNETİCİ NOTU: Her ay yeni kampanya duyuru PDF'i geldiğinde bu tabloya yeni satırlar eklenir. Kampanya Adı sütunu mutlaka DİVA'daki 'Paket Adı' ile birebir aynı yazılmalıdır, aksi halde 'DİVA Satışları' ve 'Kontrol' sekmelerindeki eşleştirme formülleri kampanyayı bulamaz.</t>
        </is>
      </c>
    </row>
    <row r="153"/>
  </sheetData>
  <sheetProtection selectLockedCells="0" selectUnlockedCells="0" sheet="1" objects="0" insertRows="1" insertHyperlinks="1" autoFilter="1" scenarios="0" formatColumns="1" deleteColumns="1" insertColumns="0" pivotTables="1" deleteRows="1" formatCells="1" formatRows="1" sort="1" password="9760"/>
  <mergeCells count="1">
    <mergeCell ref="A152:K152"/>
  </mergeCells>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AR1002"/>
  <sheetViews>
    <sheetView showGridLines="0" workbookViewId="0">
      <pane ySplit="2" topLeftCell="A3"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6" customWidth="1" min="36" max="36"/>
    <col width="12" customWidth="1" min="37" max="37"/>
    <col width="11" customWidth="1" min="38" max="38"/>
    <col width="11" customWidth="1" min="39" max="39"/>
    <col width="11" customWidth="1" min="40" max="40"/>
    <col width="12" customWidth="1" min="41" max="41"/>
    <col width="13" customWidth="1" min="42" max="42"/>
    <col width="13" customWidth="1" min="43" max="43"/>
    <col width="20" customWidth="1" min="44" max="44"/>
  </cols>
  <sheetData>
    <row r="1" ht="44" customHeight="1">
      <c r="A1" s="18" t="inlineStr">
        <is>
          <t>Şirket Kodu</t>
        </is>
      </c>
      <c r="B1" s="18" t="inlineStr">
        <is>
          <t>Şirket Adı</t>
        </is>
      </c>
      <c r="C1" s="18" t="inlineStr">
        <is>
          <t>Şube Kodu</t>
        </is>
      </c>
      <c r="D1" s="18" t="inlineStr">
        <is>
          <t>Şube Adı</t>
        </is>
      </c>
      <c r="E1" s="18" t="inlineStr">
        <is>
          <t>Bayi Kodu</t>
        </is>
      </c>
      <c r="F1" s="18" t="inlineStr">
        <is>
          <t>Aile</t>
        </is>
      </c>
      <c r="G1" s="18" t="inlineStr">
        <is>
          <t>Firma Adı</t>
        </is>
      </c>
      <c r="H1" s="18" t="inlineStr">
        <is>
          <t>Fatura Tarihi</t>
        </is>
      </c>
      <c r="I1" s="18" t="inlineStr">
        <is>
          <t>Fatura No</t>
        </is>
      </c>
      <c r="J1" s="18" t="inlineStr">
        <is>
          <t>Sipariş No</t>
        </is>
      </c>
      <c r="K1" s="18" t="inlineStr">
        <is>
          <t>Müşteri Kart No</t>
        </is>
      </c>
      <c r="L1" s="18" t="inlineStr">
        <is>
          <t>Hesap Kodu</t>
        </is>
      </c>
      <c r="M1" s="18" t="inlineStr">
        <is>
          <t>Ad Soyad</t>
        </is>
      </c>
      <c r="N1" s="18" t="inlineStr">
        <is>
          <t>Kampanya Tipi</t>
        </is>
      </c>
      <c r="O1" s="18" t="inlineStr">
        <is>
          <t>Paket Adı</t>
        </is>
      </c>
      <c r="P1" s="18" t="inlineStr">
        <is>
          <t>Satır İndirim Tipi</t>
        </is>
      </c>
      <c r="Q1" s="18" t="inlineStr">
        <is>
          <t>Dip İndirim Tipi</t>
        </is>
      </c>
      <c r="R1" s="18" t="inlineStr">
        <is>
          <t>Ürün Kodu</t>
        </is>
      </c>
      <c r="S1" s="18" t="inlineStr">
        <is>
          <t>Ürün Adı</t>
        </is>
      </c>
      <c r="T1" s="18" t="inlineStr">
        <is>
          <t>Barkod</t>
        </is>
      </c>
      <c r="U1" s="18" t="inlineStr">
        <is>
          <t>Miktar</t>
        </is>
      </c>
      <c r="V1" s="18" t="inlineStr">
        <is>
          <t>Kazanılan Kod</t>
        </is>
      </c>
      <c r="W1" s="18" t="inlineStr">
        <is>
          <t>Kullanılan Kod</t>
        </is>
      </c>
      <c r="X1" s="18" t="inlineStr">
        <is>
          <t>Seri No</t>
        </is>
      </c>
      <c r="Y1" s="18" t="inlineStr">
        <is>
          <t>Brüt</t>
        </is>
      </c>
      <c r="Z1" s="18" t="inlineStr">
        <is>
          <t>Satır İndirimi</t>
        </is>
      </c>
      <c r="AA1" s="18" t="inlineStr">
        <is>
          <t>İndirim (%)</t>
        </is>
      </c>
      <c r="AB1" s="18" t="inlineStr">
        <is>
          <t>Dip İndirim</t>
        </is>
      </c>
      <c r="AC1" s="18" t="inlineStr">
        <is>
          <t>İndirim (%)1</t>
        </is>
      </c>
      <c r="AD1" s="18" t="inlineStr">
        <is>
          <t>Toplam İndirim</t>
        </is>
      </c>
      <c r="AE1" s="18" t="inlineStr">
        <is>
          <t>İndirim (%)2</t>
        </is>
      </c>
      <c r="AF1" s="18" t="inlineStr">
        <is>
          <t>Fatura Tutarı</t>
        </is>
      </c>
      <c r="AG1" s="18" t="inlineStr">
        <is>
          <t>KDV Tutarı</t>
        </is>
      </c>
      <c r="AH1" s="18" t="inlineStr">
        <is>
          <t>Özel Kod 2</t>
        </is>
      </c>
      <c r="AI1" s="18" t="inlineStr">
        <is>
          <t>Kategori</t>
        </is>
      </c>
      <c r="AJ1" s="19" t="inlineStr">
        <is>
          <t>Eşleştirme
Anahtarı</t>
        </is>
      </c>
      <c r="AK1" s="19" t="inlineStr">
        <is>
          <t>Kampanya
Bulundu mu</t>
        </is>
      </c>
      <c r="AL1" s="19" t="inlineStr">
        <is>
          <t>Kampanya
Başlangıç</t>
        </is>
      </c>
      <c r="AM1" s="19" t="inlineStr">
        <is>
          <t>Kampanya
Bitiş</t>
        </is>
      </c>
      <c r="AN1" s="19" t="inlineStr">
        <is>
          <t>Hakediş
Son Tarihi</t>
        </is>
      </c>
      <c r="AO1" s="19" t="inlineStr">
        <is>
          <t>Fatura Tarihi
Kampanya
Aralığında mı</t>
        </is>
      </c>
      <c r="AP1" s="19" t="inlineStr">
        <is>
          <t>Sabit Hakediş
Tutarı (varsa)</t>
        </is>
      </c>
      <c r="AQ1" s="19" t="inlineStr">
        <is>
          <t>Beklenen
Hakediş Tutarı</t>
        </is>
      </c>
      <c r="AR1" s="19" t="inlineStr">
        <is>
          <t>Uygulanacak
Kural</t>
        </is>
      </c>
    </row>
    <row r="2">
      <c r="A2" s="20" t="inlineStr">
        <is>
          <t>BSHMDEMIR</t>
        </is>
      </c>
      <c r="B2" s="20" t="inlineStr">
        <is>
          <t>MUSTAFA DEMİREL</t>
        </is>
      </c>
      <c r="C2" s="20" t="inlineStr">
        <is>
          <t>BSHMDEMIR</t>
        </is>
      </c>
      <c r="D2" s="20" t="inlineStr">
        <is>
          <t>MUSTAFA DEMİREL</t>
        </is>
      </c>
      <c r="E2" s="20" t="inlineStr">
        <is>
          <t>7000129546</t>
        </is>
      </c>
      <c r="F2" s="20" t="inlineStr">
        <is>
          <t>Bosch-LDA</t>
        </is>
      </c>
      <c r="G2" s="20" t="inlineStr"/>
      <c r="H2" s="21" t="inlineStr">
        <is>
          <t>24.08.2026</t>
        </is>
      </c>
      <c r="I2" s="20" t="inlineStr">
        <is>
          <t>2600000650</t>
        </is>
      </c>
      <c r="J2" s="20" t="inlineStr"/>
      <c r="K2" s="20" t="inlineStr"/>
      <c r="L2" s="20" t="inlineStr">
        <is>
          <t>X000002267</t>
        </is>
      </c>
      <c r="M2" s="20" t="inlineStr">
        <is>
          <t>ÖRNEK MÜŞTERİ</t>
        </is>
      </c>
      <c r="N2" s="20" t="inlineStr">
        <is>
          <t>Fatura altı indirim</t>
        </is>
      </c>
      <c r="O2" s="20" t="inlineStr">
        <is>
          <t>Ağustos-Tekil Bulaşık Makinesi Kampanyası-202608</t>
        </is>
      </c>
      <c r="P2" s="20" t="inlineStr"/>
      <c r="Q2" s="20" t="inlineStr"/>
      <c r="R2" s="20" t="inlineStr">
        <is>
          <t>SMS4IKW62T</t>
        </is>
      </c>
      <c r="S2" s="20" t="inlineStr">
        <is>
          <t>Solo bulaşık makinesi</t>
        </is>
      </c>
      <c r="T2" s="20" t="inlineStr">
        <is>
          <t>4242005342716</t>
        </is>
      </c>
      <c r="U2" s="20" t="n">
        <v>1</v>
      </c>
      <c r="V2" s="20" t="inlineStr"/>
      <c r="W2" s="20" t="inlineStr"/>
      <c r="X2" s="20" t="inlineStr"/>
      <c r="Y2" s="22" t="n">
        <v>37000</v>
      </c>
      <c r="Z2" s="22" t="n">
        <v>5761.9</v>
      </c>
      <c r="AA2" s="20" t="n">
        <v>15.57</v>
      </c>
      <c r="AB2" s="22" t="n">
        <v>0</v>
      </c>
      <c r="AC2" s="20" t="n">
        <v>0</v>
      </c>
      <c r="AD2" s="22" t="n">
        <v>5761.9</v>
      </c>
      <c r="AE2" s="20" t="n">
        <v>15.6</v>
      </c>
      <c r="AF2" s="22" t="n">
        <v>31238.1</v>
      </c>
      <c r="AG2" s="22" t="n">
        <v>5206.35</v>
      </c>
      <c r="AH2" s="20" t="inlineStr"/>
      <c r="AI2" s="20" t="inlineStr"/>
    </row>
    <row r="3">
      <c r="A3" s="23" t="n"/>
      <c r="B3" s="23" t="n"/>
      <c r="C3" s="23" t="n"/>
      <c r="D3" s="23" t="n"/>
      <c r="E3" s="23" t="n"/>
      <c r="F3" s="23" t="n"/>
      <c r="G3" s="23" t="n"/>
      <c r="H3" s="24" t="n"/>
      <c r="I3" s="23" t="n"/>
      <c r="J3" s="23" t="n"/>
      <c r="K3" s="23" t="n"/>
      <c r="L3" s="23" t="n"/>
      <c r="M3" s="23" t="n"/>
      <c r="N3" s="23" t="n"/>
      <c r="O3" s="23" t="n"/>
      <c r="P3" s="23" t="n"/>
      <c r="Q3" s="23" t="n"/>
      <c r="R3" s="23" t="n"/>
      <c r="S3" s="23" t="n"/>
      <c r="T3" s="23" t="n"/>
      <c r="U3" s="23" t="n"/>
      <c r="V3" s="23" t="n"/>
      <c r="W3" s="23" t="n"/>
      <c r="X3" s="23" t="n"/>
      <c r="Y3" s="25" t="n"/>
      <c r="Z3" s="25" t="n"/>
      <c r="AA3" s="23" t="n"/>
      <c r="AB3" s="25" t="n"/>
      <c r="AC3" s="23" t="n"/>
      <c r="AD3" s="25" t="n"/>
      <c r="AE3" s="23" t="n"/>
      <c r="AF3" s="25" t="n"/>
      <c r="AG3" s="25" t="n"/>
      <c r="AH3" s="23" t="n"/>
      <c r="AI3" s="23" t="n"/>
      <c r="AJ3" s="26">
        <f>IF(I3="","",I3&amp;"|"&amp;R3)</f>
        <v/>
      </c>
      <c r="AK3" s="26">
        <f>IF(I3="","",IF(ISNA(MATCH(O3,Kampanyalar!$A$2:$A$150,0)),"Hayır - Kampanyalar'da Yok","Evet"))</f>
        <v/>
      </c>
      <c r="AL3" s="27">
        <f>IF(I3="","",IFERROR(INDEX(Kampanyalar!$E$2:$E$150,MATCH(O3,Kampanyalar!$A$2:$A$150,0)),""))</f>
        <v/>
      </c>
      <c r="AM3" s="27">
        <f>IF(I3="","",IFERROR(INDEX(Kampanyalar!$F$2:$F$150,MATCH(O3,Kampanyalar!$A$2:$A$150,0)),""))</f>
        <v/>
      </c>
      <c r="AN3" s="27">
        <f>IF(I3="","",IFERROR(INDEX(Kampanyalar!$G$2:$G$150,MATCH(O3,Kampanyalar!$A$2:$A$150,0)),""))</f>
        <v/>
      </c>
      <c r="AO3" s="26">
        <f>IF(OR(I3="",AL3="",AM3=""),"",IF(AND(H3&gt;=AL3,H3&lt;=AM3),"Evet","HAYIR - Tarih Dışı"))</f>
        <v/>
      </c>
      <c r="AP3" s="28">
        <f>IF(I3="","",IFERROR(INDEX(Kampanyalar!$H$2:$H$150,MATCH(O3,Kampanyalar!$A$2:$A$150,0)),""))</f>
        <v/>
      </c>
      <c r="AQ3" s="28">
        <f>IF(I3="","",IF(ISNUMBER(AP3),AP3,AD3))</f>
        <v/>
      </c>
      <c r="AR3" s="26">
        <f>IF(I3="","",IF(Parametreler!$C$7="Evet","Kural A - Hemen Ödeme (Stok Mutabakatlı)","Kural B - Nakliye/Montaj Sonrası Ödeme"))</f>
        <v/>
      </c>
    </row>
    <row r="4">
      <c r="A4" s="23" t="n"/>
      <c r="B4" s="23" t="n"/>
      <c r="C4" s="23" t="n"/>
      <c r="D4" s="23" t="n"/>
      <c r="E4" s="23" t="n"/>
      <c r="F4" s="23" t="n"/>
      <c r="G4" s="23" t="n"/>
      <c r="H4" s="24" t="n"/>
      <c r="I4" s="23" t="n"/>
      <c r="J4" s="23" t="n"/>
      <c r="K4" s="23" t="n"/>
      <c r="L4" s="23" t="n"/>
      <c r="M4" s="23" t="n"/>
      <c r="N4" s="23" t="n"/>
      <c r="O4" s="23" t="n"/>
      <c r="P4" s="23" t="n"/>
      <c r="Q4" s="23" t="n"/>
      <c r="R4" s="23" t="n"/>
      <c r="S4" s="23" t="n"/>
      <c r="T4" s="23" t="n"/>
      <c r="U4" s="23" t="n"/>
      <c r="V4" s="23" t="n"/>
      <c r="W4" s="23" t="n"/>
      <c r="X4" s="23" t="n"/>
      <c r="Y4" s="25" t="n"/>
      <c r="Z4" s="25" t="n"/>
      <c r="AA4" s="23" t="n"/>
      <c r="AB4" s="25" t="n"/>
      <c r="AC4" s="23" t="n"/>
      <c r="AD4" s="25" t="n"/>
      <c r="AE4" s="23" t="n"/>
      <c r="AF4" s="25" t="n"/>
      <c r="AG4" s="25" t="n"/>
      <c r="AH4" s="23" t="n"/>
      <c r="AI4" s="23" t="n"/>
      <c r="AJ4" s="26">
        <f>IF(I4="","",I4&amp;"|"&amp;R4)</f>
        <v/>
      </c>
      <c r="AK4" s="26">
        <f>IF(I4="","",IF(ISNA(MATCH(O4,Kampanyalar!$A$2:$A$150,0)),"Hayır - Kampanyalar'da Yok","Evet"))</f>
        <v/>
      </c>
      <c r="AL4" s="27">
        <f>IF(I4="","",IFERROR(INDEX(Kampanyalar!$E$2:$E$150,MATCH(O4,Kampanyalar!$A$2:$A$150,0)),""))</f>
        <v/>
      </c>
      <c r="AM4" s="27">
        <f>IF(I4="","",IFERROR(INDEX(Kampanyalar!$F$2:$F$150,MATCH(O4,Kampanyalar!$A$2:$A$150,0)),""))</f>
        <v/>
      </c>
      <c r="AN4" s="27">
        <f>IF(I4="","",IFERROR(INDEX(Kampanyalar!$G$2:$G$150,MATCH(O4,Kampanyalar!$A$2:$A$150,0)),""))</f>
        <v/>
      </c>
      <c r="AO4" s="26">
        <f>IF(OR(I4="",AL4="",AM4=""),"",IF(AND(H4&gt;=AL4,H4&lt;=AM4),"Evet","HAYIR - Tarih Dışı"))</f>
        <v/>
      </c>
      <c r="AP4" s="28">
        <f>IF(I4="","",IFERROR(INDEX(Kampanyalar!$H$2:$H$150,MATCH(O4,Kampanyalar!$A$2:$A$150,0)),""))</f>
        <v/>
      </c>
      <c r="AQ4" s="28">
        <f>IF(I4="","",IF(ISNUMBER(AP4),AP4,AD4))</f>
        <v/>
      </c>
      <c r="AR4" s="26">
        <f>IF(I4="","",IF(Parametreler!$C$7="Evet","Kural A - Hemen Ödeme (Stok Mutabakatlı)","Kural B - Nakliye/Montaj Sonrası Ödeme"))</f>
        <v/>
      </c>
    </row>
    <row r="5">
      <c r="A5" s="23" t="n"/>
      <c r="B5" s="23" t="n"/>
      <c r="C5" s="23" t="n"/>
      <c r="D5" s="23" t="n"/>
      <c r="E5" s="23" t="n"/>
      <c r="F5" s="23" t="n"/>
      <c r="G5" s="23" t="n"/>
      <c r="H5" s="24" t="n"/>
      <c r="I5" s="23" t="n"/>
      <c r="J5" s="23" t="n"/>
      <c r="K5" s="23" t="n"/>
      <c r="L5" s="23" t="n"/>
      <c r="M5" s="23" t="n"/>
      <c r="N5" s="23" t="n"/>
      <c r="O5" s="23" t="n"/>
      <c r="P5" s="23" t="n"/>
      <c r="Q5" s="23" t="n"/>
      <c r="R5" s="23" t="n"/>
      <c r="S5" s="23" t="n"/>
      <c r="T5" s="23" t="n"/>
      <c r="U5" s="23" t="n"/>
      <c r="V5" s="23" t="n"/>
      <c r="W5" s="23" t="n"/>
      <c r="X5" s="23" t="n"/>
      <c r="Y5" s="25" t="n"/>
      <c r="Z5" s="25" t="n"/>
      <c r="AA5" s="23" t="n"/>
      <c r="AB5" s="25" t="n"/>
      <c r="AC5" s="23" t="n"/>
      <c r="AD5" s="25" t="n"/>
      <c r="AE5" s="23" t="n"/>
      <c r="AF5" s="25" t="n"/>
      <c r="AG5" s="25" t="n"/>
      <c r="AH5" s="23" t="n"/>
      <c r="AI5" s="23" t="n"/>
      <c r="AJ5" s="26">
        <f>IF(I5="","",I5&amp;"|"&amp;R5)</f>
        <v/>
      </c>
      <c r="AK5" s="26">
        <f>IF(I5="","",IF(ISNA(MATCH(O5,Kampanyalar!$A$2:$A$150,0)),"Hayır - Kampanyalar'da Yok","Evet"))</f>
        <v/>
      </c>
      <c r="AL5" s="27">
        <f>IF(I5="","",IFERROR(INDEX(Kampanyalar!$E$2:$E$150,MATCH(O5,Kampanyalar!$A$2:$A$150,0)),""))</f>
        <v/>
      </c>
      <c r="AM5" s="27">
        <f>IF(I5="","",IFERROR(INDEX(Kampanyalar!$F$2:$F$150,MATCH(O5,Kampanyalar!$A$2:$A$150,0)),""))</f>
        <v/>
      </c>
      <c r="AN5" s="27">
        <f>IF(I5="","",IFERROR(INDEX(Kampanyalar!$G$2:$G$150,MATCH(O5,Kampanyalar!$A$2:$A$150,0)),""))</f>
        <v/>
      </c>
      <c r="AO5" s="26">
        <f>IF(OR(I5="",AL5="",AM5=""),"",IF(AND(H5&gt;=AL5,H5&lt;=AM5),"Evet","HAYIR - Tarih Dışı"))</f>
        <v/>
      </c>
      <c r="AP5" s="28">
        <f>IF(I5="","",IFERROR(INDEX(Kampanyalar!$H$2:$H$150,MATCH(O5,Kampanyalar!$A$2:$A$150,0)),""))</f>
        <v/>
      </c>
      <c r="AQ5" s="28">
        <f>IF(I5="","",IF(ISNUMBER(AP5),AP5,AD5))</f>
        <v/>
      </c>
      <c r="AR5" s="26">
        <f>IF(I5="","",IF(Parametreler!$C$7="Evet","Kural A - Hemen Ödeme (Stok Mutabakatlı)","Kural B - Nakliye/Montaj Sonrası Ödeme"))</f>
        <v/>
      </c>
    </row>
    <row r="6">
      <c r="A6" s="23" t="n"/>
      <c r="B6" s="23" t="n"/>
      <c r="C6" s="23" t="n"/>
      <c r="D6" s="23" t="n"/>
      <c r="E6" s="23" t="n"/>
      <c r="F6" s="23" t="n"/>
      <c r="G6" s="23" t="n"/>
      <c r="H6" s="24" t="n"/>
      <c r="I6" s="23" t="n"/>
      <c r="J6" s="23" t="n"/>
      <c r="K6" s="23" t="n"/>
      <c r="L6" s="23" t="n"/>
      <c r="M6" s="23" t="n"/>
      <c r="N6" s="23" t="n"/>
      <c r="O6" s="23" t="n"/>
      <c r="P6" s="23" t="n"/>
      <c r="Q6" s="23" t="n"/>
      <c r="R6" s="23" t="n"/>
      <c r="S6" s="23" t="n"/>
      <c r="T6" s="23" t="n"/>
      <c r="U6" s="23" t="n"/>
      <c r="V6" s="23" t="n"/>
      <c r="W6" s="23" t="n"/>
      <c r="X6" s="23" t="n"/>
      <c r="Y6" s="25" t="n"/>
      <c r="Z6" s="25" t="n"/>
      <c r="AA6" s="23" t="n"/>
      <c r="AB6" s="25" t="n"/>
      <c r="AC6" s="23" t="n"/>
      <c r="AD6" s="25" t="n"/>
      <c r="AE6" s="23" t="n"/>
      <c r="AF6" s="25" t="n"/>
      <c r="AG6" s="25" t="n"/>
      <c r="AH6" s="23" t="n"/>
      <c r="AI6" s="23" t="n"/>
      <c r="AJ6" s="26">
        <f>IF(I6="","",I6&amp;"|"&amp;R6)</f>
        <v/>
      </c>
      <c r="AK6" s="26">
        <f>IF(I6="","",IF(ISNA(MATCH(O6,Kampanyalar!$A$2:$A$150,0)),"Hayır - Kampanyalar'da Yok","Evet"))</f>
        <v/>
      </c>
      <c r="AL6" s="27">
        <f>IF(I6="","",IFERROR(INDEX(Kampanyalar!$E$2:$E$150,MATCH(O6,Kampanyalar!$A$2:$A$150,0)),""))</f>
        <v/>
      </c>
      <c r="AM6" s="27">
        <f>IF(I6="","",IFERROR(INDEX(Kampanyalar!$F$2:$F$150,MATCH(O6,Kampanyalar!$A$2:$A$150,0)),""))</f>
        <v/>
      </c>
      <c r="AN6" s="27">
        <f>IF(I6="","",IFERROR(INDEX(Kampanyalar!$G$2:$G$150,MATCH(O6,Kampanyalar!$A$2:$A$150,0)),""))</f>
        <v/>
      </c>
      <c r="AO6" s="26">
        <f>IF(OR(I6="",AL6="",AM6=""),"",IF(AND(H6&gt;=AL6,H6&lt;=AM6),"Evet","HAYIR - Tarih Dışı"))</f>
        <v/>
      </c>
      <c r="AP6" s="28">
        <f>IF(I6="","",IFERROR(INDEX(Kampanyalar!$H$2:$H$150,MATCH(O6,Kampanyalar!$A$2:$A$150,0)),""))</f>
        <v/>
      </c>
      <c r="AQ6" s="28">
        <f>IF(I6="","",IF(ISNUMBER(AP6),AP6,AD6))</f>
        <v/>
      </c>
      <c r="AR6" s="26">
        <f>IF(I6="","",IF(Parametreler!$C$7="Evet","Kural A - Hemen Ödeme (Stok Mutabakatlı)","Kural B - Nakliye/Montaj Sonrası Ödeme"))</f>
        <v/>
      </c>
    </row>
    <row r="7">
      <c r="A7" s="23" t="n"/>
      <c r="B7" s="23" t="n"/>
      <c r="C7" s="23" t="n"/>
      <c r="D7" s="23" t="n"/>
      <c r="E7" s="23" t="n"/>
      <c r="F7" s="23" t="n"/>
      <c r="G7" s="23" t="n"/>
      <c r="H7" s="24" t="n"/>
      <c r="I7" s="23" t="n"/>
      <c r="J7" s="23" t="n"/>
      <c r="K7" s="23" t="n"/>
      <c r="L7" s="23" t="n"/>
      <c r="M7" s="23" t="n"/>
      <c r="N7" s="23" t="n"/>
      <c r="O7" s="23" t="n"/>
      <c r="P7" s="23" t="n"/>
      <c r="Q7" s="23" t="n"/>
      <c r="R7" s="23" t="n"/>
      <c r="S7" s="23" t="n"/>
      <c r="T7" s="23" t="n"/>
      <c r="U7" s="23" t="n"/>
      <c r="V7" s="23" t="n"/>
      <c r="W7" s="23" t="n"/>
      <c r="X7" s="23" t="n"/>
      <c r="Y7" s="25" t="n"/>
      <c r="Z7" s="25" t="n"/>
      <c r="AA7" s="23" t="n"/>
      <c r="AB7" s="25" t="n"/>
      <c r="AC7" s="23" t="n"/>
      <c r="AD7" s="25" t="n"/>
      <c r="AE7" s="23" t="n"/>
      <c r="AF7" s="25" t="n"/>
      <c r="AG7" s="25" t="n"/>
      <c r="AH7" s="23" t="n"/>
      <c r="AI7" s="23" t="n"/>
      <c r="AJ7" s="26">
        <f>IF(I7="","",I7&amp;"|"&amp;R7)</f>
        <v/>
      </c>
      <c r="AK7" s="26">
        <f>IF(I7="","",IF(ISNA(MATCH(O7,Kampanyalar!$A$2:$A$150,0)),"Hayır - Kampanyalar'da Yok","Evet"))</f>
        <v/>
      </c>
      <c r="AL7" s="27">
        <f>IF(I7="","",IFERROR(INDEX(Kampanyalar!$E$2:$E$150,MATCH(O7,Kampanyalar!$A$2:$A$150,0)),""))</f>
        <v/>
      </c>
      <c r="AM7" s="27">
        <f>IF(I7="","",IFERROR(INDEX(Kampanyalar!$F$2:$F$150,MATCH(O7,Kampanyalar!$A$2:$A$150,0)),""))</f>
        <v/>
      </c>
      <c r="AN7" s="27">
        <f>IF(I7="","",IFERROR(INDEX(Kampanyalar!$G$2:$G$150,MATCH(O7,Kampanyalar!$A$2:$A$150,0)),""))</f>
        <v/>
      </c>
      <c r="AO7" s="26">
        <f>IF(OR(I7="",AL7="",AM7=""),"",IF(AND(H7&gt;=AL7,H7&lt;=AM7),"Evet","HAYIR - Tarih Dışı"))</f>
        <v/>
      </c>
      <c r="AP7" s="28">
        <f>IF(I7="","",IFERROR(INDEX(Kampanyalar!$H$2:$H$150,MATCH(O7,Kampanyalar!$A$2:$A$150,0)),""))</f>
        <v/>
      </c>
      <c r="AQ7" s="28">
        <f>IF(I7="","",IF(ISNUMBER(AP7),AP7,AD7))</f>
        <v/>
      </c>
      <c r="AR7" s="26">
        <f>IF(I7="","",IF(Parametreler!$C$7="Evet","Kural A - Hemen Ödeme (Stok Mutabakatlı)","Kural B - Nakliye/Montaj Sonrası Ödeme"))</f>
        <v/>
      </c>
    </row>
    <row r="8">
      <c r="A8" s="23" t="n"/>
      <c r="B8" s="23" t="n"/>
      <c r="C8" s="23" t="n"/>
      <c r="D8" s="23" t="n"/>
      <c r="E8" s="23" t="n"/>
      <c r="F8" s="23" t="n"/>
      <c r="G8" s="23" t="n"/>
      <c r="H8" s="24" t="n"/>
      <c r="I8" s="23" t="n"/>
      <c r="J8" s="23" t="n"/>
      <c r="K8" s="23" t="n"/>
      <c r="L8" s="23" t="n"/>
      <c r="M8" s="23" t="n"/>
      <c r="N8" s="23" t="n"/>
      <c r="O8" s="23" t="n"/>
      <c r="P8" s="23" t="n"/>
      <c r="Q8" s="23" t="n"/>
      <c r="R8" s="23" t="n"/>
      <c r="S8" s="23" t="n"/>
      <c r="T8" s="23" t="n"/>
      <c r="U8" s="23" t="n"/>
      <c r="V8" s="23" t="n"/>
      <c r="W8" s="23" t="n"/>
      <c r="X8" s="23" t="n"/>
      <c r="Y8" s="25" t="n"/>
      <c r="Z8" s="25" t="n"/>
      <c r="AA8" s="23" t="n"/>
      <c r="AB8" s="25" t="n"/>
      <c r="AC8" s="23" t="n"/>
      <c r="AD8" s="25" t="n"/>
      <c r="AE8" s="23" t="n"/>
      <c r="AF8" s="25" t="n"/>
      <c r="AG8" s="25" t="n"/>
      <c r="AH8" s="23" t="n"/>
      <c r="AI8" s="23" t="n"/>
      <c r="AJ8" s="26">
        <f>IF(I8="","",I8&amp;"|"&amp;R8)</f>
        <v/>
      </c>
      <c r="AK8" s="26">
        <f>IF(I8="","",IF(ISNA(MATCH(O8,Kampanyalar!$A$2:$A$150,0)),"Hayır - Kampanyalar'da Yok","Evet"))</f>
        <v/>
      </c>
      <c r="AL8" s="27">
        <f>IF(I8="","",IFERROR(INDEX(Kampanyalar!$E$2:$E$150,MATCH(O8,Kampanyalar!$A$2:$A$150,0)),""))</f>
        <v/>
      </c>
      <c r="AM8" s="27">
        <f>IF(I8="","",IFERROR(INDEX(Kampanyalar!$F$2:$F$150,MATCH(O8,Kampanyalar!$A$2:$A$150,0)),""))</f>
        <v/>
      </c>
      <c r="AN8" s="27">
        <f>IF(I8="","",IFERROR(INDEX(Kampanyalar!$G$2:$G$150,MATCH(O8,Kampanyalar!$A$2:$A$150,0)),""))</f>
        <v/>
      </c>
      <c r="AO8" s="26">
        <f>IF(OR(I8="",AL8="",AM8=""),"",IF(AND(H8&gt;=AL8,H8&lt;=AM8),"Evet","HAYIR - Tarih Dışı"))</f>
        <v/>
      </c>
      <c r="AP8" s="28">
        <f>IF(I8="","",IFERROR(INDEX(Kampanyalar!$H$2:$H$150,MATCH(O8,Kampanyalar!$A$2:$A$150,0)),""))</f>
        <v/>
      </c>
      <c r="AQ8" s="28">
        <f>IF(I8="","",IF(ISNUMBER(AP8),AP8,AD8))</f>
        <v/>
      </c>
      <c r="AR8" s="26">
        <f>IF(I8="","",IF(Parametreler!$C$7="Evet","Kural A - Hemen Ödeme (Stok Mutabakatlı)","Kural B - Nakliye/Montaj Sonrası Ödeme"))</f>
        <v/>
      </c>
    </row>
    <row r="9">
      <c r="A9" s="23" t="n"/>
      <c r="B9" s="23" t="n"/>
      <c r="C9" s="23" t="n"/>
      <c r="D9" s="23" t="n"/>
      <c r="E9" s="23" t="n"/>
      <c r="F9" s="23" t="n"/>
      <c r="G9" s="23" t="n"/>
      <c r="H9" s="24" t="n"/>
      <c r="I9" s="23" t="n"/>
      <c r="J9" s="23" t="n"/>
      <c r="K9" s="23" t="n"/>
      <c r="L9" s="23" t="n"/>
      <c r="M9" s="23" t="n"/>
      <c r="N9" s="23" t="n"/>
      <c r="O9" s="23" t="n"/>
      <c r="P9" s="23" t="n"/>
      <c r="Q9" s="23" t="n"/>
      <c r="R9" s="23" t="n"/>
      <c r="S9" s="23" t="n"/>
      <c r="T9" s="23" t="n"/>
      <c r="U9" s="23" t="n"/>
      <c r="V9" s="23" t="n"/>
      <c r="W9" s="23" t="n"/>
      <c r="X9" s="23" t="n"/>
      <c r="Y9" s="25" t="n"/>
      <c r="Z9" s="25" t="n"/>
      <c r="AA9" s="23" t="n"/>
      <c r="AB9" s="25" t="n"/>
      <c r="AC9" s="23" t="n"/>
      <c r="AD9" s="25" t="n"/>
      <c r="AE9" s="23" t="n"/>
      <c r="AF9" s="25" t="n"/>
      <c r="AG9" s="25" t="n"/>
      <c r="AH9" s="23" t="n"/>
      <c r="AI9" s="23" t="n"/>
      <c r="AJ9" s="26">
        <f>IF(I9="","",I9&amp;"|"&amp;R9)</f>
        <v/>
      </c>
      <c r="AK9" s="26">
        <f>IF(I9="","",IF(ISNA(MATCH(O9,Kampanyalar!$A$2:$A$150,0)),"Hayır - Kampanyalar'da Yok","Evet"))</f>
        <v/>
      </c>
      <c r="AL9" s="27">
        <f>IF(I9="","",IFERROR(INDEX(Kampanyalar!$E$2:$E$150,MATCH(O9,Kampanyalar!$A$2:$A$150,0)),""))</f>
        <v/>
      </c>
      <c r="AM9" s="27">
        <f>IF(I9="","",IFERROR(INDEX(Kampanyalar!$F$2:$F$150,MATCH(O9,Kampanyalar!$A$2:$A$150,0)),""))</f>
        <v/>
      </c>
      <c r="AN9" s="27">
        <f>IF(I9="","",IFERROR(INDEX(Kampanyalar!$G$2:$G$150,MATCH(O9,Kampanyalar!$A$2:$A$150,0)),""))</f>
        <v/>
      </c>
      <c r="AO9" s="26">
        <f>IF(OR(I9="",AL9="",AM9=""),"",IF(AND(H9&gt;=AL9,H9&lt;=AM9),"Evet","HAYIR - Tarih Dışı"))</f>
        <v/>
      </c>
      <c r="AP9" s="28">
        <f>IF(I9="","",IFERROR(INDEX(Kampanyalar!$H$2:$H$150,MATCH(O9,Kampanyalar!$A$2:$A$150,0)),""))</f>
        <v/>
      </c>
      <c r="AQ9" s="28">
        <f>IF(I9="","",IF(ISNUMBER(AP9),AP9,AD9))</f>
        <v/>
      </c>
      <c r="AR9" s="26">
        <f>IF(I9="","",IF(Parametreler!$C$7="Evet","Kural A - Hemen Ödeme (Stok Mutabakatlı)","Kural B - Nakliye/Montaj Sonrası Ödeme"))</f>
        <v/>
      </c>
    </row>
    <row r="10">
      <c r="A10" s="23" t="n"/>
      <c r="B10" s="23" t="n"/>
      <c r="C10" s="23" t="n"/>
      <c r="D10" s="23" t="n"/>
      <c r="E10" s="23" t="n"/>
      <c r="F10" s="23" t="n"/>
      <c r="G10" s="23" t="n"/>
      <c r="H10" s="24" t="n"/>
      <c r="I10" s="23" t="n"/>
      <c r="J10" s="23" t="n"/>
      <c r="K10" s="23" t="n"/>
      <c r="L10" s="23" t="n"/>
      <c r="M10" s="23" t="n"/>
      <c r="N10" s="23" t="n"/>
      <c r="O10" s="23" t="n"/>
      <c r="P10" s="23" t="n"/>
      <c r="Q10" s="23" t="n"/>
      <c r="R10" s="23" t="n"/>
      <c r="S10" s="23" t="n"/>
      <c r="T10" s="23" t="n"/>
      <c r="U10" s="23" t="n"/>
      <c r="V10" s="23" t="n"/>
      <c r="W10" s="23" t="n"/>
      <c r="X10" s="23" t="n"/>
      <c r="Y10" s="25" t="n"/>
      <c r="Z10" s="25" t="n"/>
      <c r="AA10" s="23" t="n"/>
      <c r="AB10" s="25" t="n"/>
      <c r="AC10" s="23" t="n"/>
      <c r="AD10" s="25" t="n"/>
      <c r="AE10" s="23" t="n"/>
      <c r="AF10" s="25" t="n"/>
      <c r="AG10" s="25" t="n"/>
      <c r="AH10" s="23" t="n"/>
      <c r="AI10" s="23" t="n"/>
      <c r="AJ10" s="26">
        <f>IF(I10="","",I10&amp;"|"&amp;R10)</f>
        <v/>
      </c>
      <c r="AK10" s="26">
        <f>IF(I10="","",IF(ISNA(MATCH(O10,Kampanyalar!$A$2:$A$150,0)),"Hayır - Kampanyalar'da Yok","Evet"))</f>
        <v/>
      </c>
      <c r="AL10" s="27">
        <f>IF(I10="","",IFERROR(INDEX(Kampanyalar!$E$2:$E$150,MATCH(O10,Kampanyalar!$A$2:$A$150,0)),""))</f>
        <v/>
      </c>
      <c r="AM10" s="27">
        <f>IF(I10="","",IFERROR(INDEX(Kampanyalar!$F$2:$F$150,MATCH(O10,Kampanyalar!$A$2:$A$150,0)),""))</f>
        <v/>
      </c>
      <c r="AN10" s="27">
        <f>IF(I10="","",IFERROR(INDEX(Kampanyalar!$G$2:$G$150,MATCH(O10,Kampanyalar!$A$2:$A$150,0)),""))</f>
        <v/>
      </c>
      <c r="AO10" s="26">
        <f>IF(OR(I10="",AL10="",AM10=""),"",IF(AND(H10&gt;=AL10,H10&lt;=AM10),"Evet","HAYIR - Tarih Dışı"))</f>
        <v/>
      </c>
      <c r="AP10" s="28">
        <f>IF(I10="","",IFERROR(INDEX(Kampanyalar!$H$2:$H$150,MATCH(O10,Kampanyalar!$A$2:$A$150,0)),""))</f>
        <v/>
      </c>
      <c r="AQ10" s="28">
        <f>IF(I10="","",IF(ISNUMBER(AP10),AP10,AD10))</f>
        <v/>
      </c>
      <c r="AR10" s="26">
        <f>IF(I10="","",IF(Parametreler!$C$7="Evet","Kural A - Hemen Ödeme (Stok Mutabakatlı)","Kural B - Nakliye/Montaj Sonrası Ödeme"))</f>
        <v/>
      </c>
    </row>
    <row r="11">
      <c r="A11" s="23" t="n"/>
      <c r="B11" s="23" t="n"/>
      <c r="C11" s="23" t="n"/>
      <c r="D11" s="23" t="n"/>
      <c r="E11" s="23" t="n"/>
      <c r="F11" s="23" t="n"/>
      <c r="G11" s="23" t="n"/>
      <c r="H11" s="24" t="n"/>
      <c r="I11" s="23" t="n"/>
      <c r="J11" s="23" t="n"/>
      <c r="K11" s="23" t="n"/>
      <c r="L11" s="23" t="n"/>
      <c r="M11" s="23" t="n"/>
      <c r="N11" s="23" t="n"/>
      <c r="O11" s="23" t="n"/>
      <c r="P11" s="23" t="n"/>
      <c r="Q11" s="23" t="n"/>
      <c r="R11" s="23" t="n"/>
      <c r="S11" s="23" t="n"/>
      <c r="T11" s="23" t="n"/>
      <c r="U11" s="23" t="n"/>
      <c r="V11" s="23" t="n"/>
      <c r="W11" s="23" t="n"/>
      <c r="X11" s="23" t="n"/>
      <c r="Y11" s="25" t="n"/>
      <c r="Z11" s="25" t="n"/>
      <c r="AA11" s="23" t="n"/>
      <c r="AB11" s="25" t="n"/>
      <c r="AC11" s="23" t="n"/>
      <c r="AD11" s="25" t="n"/>
      <c r="AE11" s="23" t="n"/>
      <c r="AF11" s="25" t="n"/>
      <c r="AG11" s="25" t="n"/>
      <c r="AH11" s="23" t="n"/>
      <c r="AI11" s="23" t="n"/>
      <c r="AJ11" s="26">
        <f>IF(I11="","",I11&amp;"|"&amp;R11)</f>
        <v/>
      </c>
      <c r="AK11" s="26">
        <f>IF(I11="","",IF(ISNA(MATCH(O11,Kampanyalar!$A$2:$A$150,0)),"Hayır - Kampanyalar'da Yok","Evet"))</f>
        <v/>
      </c>
      <c r="AL11" s="27">
        <f>IF(I11="","",IFERROR(INDEX(Kampanyalar!$E$2:$E$150,MATCH(O11,Kampanyalar!$A$2:$A$150,0)),""))</f>
        <v/>
      </c>
      <c r="AM11" s="27">
        <f>IF(I11="","",IFERROR(INDEX(Kampanyalar!$F$2:$F$150,MATCH(O11,Kampanyalar!$A$2:$A$150,0)),""))</f>
        <v/>
      </c>
      <c r="AN11" s="27">
        <f>IF(I11="","",IFERROR(INDEX(Kampanyalar!$G$2:$G$150,MATCH(O11,Kampanyalar!$A$2:$A$150,0)),""))</f>
        <v/>
      </c>
      <c r="AO11" s="26">
        <f>IF(OR(I11="",AL11="",AM11=""),"",IF(AND(H11&gt;=AL11,H11&lt;=AM11),"Evet","HAYIR - Tarih Dışı"))</f>
        <v/>
      </c>
      <c r="AP11" s="28">
        <f>IF(I11="","",IFERROR(INDEX(Kampanyalar!$H$2:$H$150,MATCH(O11,Kampanyalar!$A$2:$A$150,0)),""))</f>
        <v/>
      </c>
      <c r="AQ11" s="28">
        <f>IF(I11="","",IF(ISNUMBER(AP11),AP11,AD11))</f>
        <v/>
      </c>
      <c r="AR11" s="26">
        <f>IF(I11="","",IF(Parametreler!$C$7="Evet","Kural A - Hemen Ödeme (Stok Mutabakatlı)","Kural B - Nakliye/Montaj Sonrası Ödeme"))</f>
        <v/>
      </c>
    </row>
    <row r="12">
      <c r="A12" s="23" t="n"/>
      <c r="B12" s="23" t="n"/>
      <c r="C12" s="23" t="n"/>
      <c r="D12" s="23" t="n"/>
      <c r="E12" s="23" t="n"/>
      <c r="F12" s="23" t="n"/>
      <c r="G12" s="23" t="n"/>
      <c r="H12" s="24" t="n"/>
      <c r="I12" s="23" t="n"/>
      <c r="J12" s="23" t="n"/>
      <c r="K12" s="23" t="n"/>
      <c r="L12" s="23" t="n"/>
      <c r="M12" s="23" t="n"/>
      <c r="N12" s="23" t="n"/>
      <c r="O12" s="23" t="n"/>
      <c r="P12" s="23" t="n"/>
      <c r="Q12" s="23" t="n"/>
      <c r="R12" s="23" t="n"/>
      <c r="S12" s="23" t="n"/>
      <c r="T12" s="23" t="n"/>
      <c r="U12" s="23" t="n"/>
      <c r="V12" s="23" t="n"/>
      <c r="W12" s="23" t="n"/>
      <c r="X12" s="23" t="n"/>
      <c r="Y12" s="25" t="n"/>
      <c r="Z12" s="25" t="n"/>
      <c r="AA12" s="23" t="n"/>
      <c r="AB12" s="25" t="n"/>
      <c r="AC12" s="23" t="n"/>
      <c r="AD12" s="25" t="n"/>
      <c r="AE12" s="23" t="n"/>
      <c r="AF12" s="25" t="n"/>
      <c r="AG12" s="25" t="n"/>
      <c r="AH12" s="23" t="n"/>
      <c r="AI12" s="23" t="n"/>
      <c r="AJ12" s="26">
        <f>IF(I12="","",I12&amp;"|"&amp;R12)</f>
        <v/>
      </c>
      <c r="AK12" s="26">
        <f>IF(I12="","",IF(ISNA(MATCH(O12,Kampanyalar!$A$2:$A$150,0)),"Hayır - Kampanyalar'da Yok","Evet"))</f>
        <v/>
      </c>
      <c r="AL12" s="27">
        <f>IF(I12="","",IFERROR(INDEX(Kampanyalar!$E$2:$E$150,MATCH(O12,Kampanyalar!$A$2:$A$150,0)),""))</f>
        <v/>
      </c>
      <c r="AM12" s="27">
        <f>IF(I12="","",IFERROR(INDEX(Kampanyalar!$F$2:$F$150,MATCH(O12,Kampanyalar!$A$2:$A$150,0)),""))</f>
        <v/>
      </c>
      <c r="AN12" s="27">
        <f>IF(I12="","",IFERROR(INDEX(Kampanyalar!$G$2:$G$150,MATCH(O12,Kampanyalar!$A$2:$A$150,0)),""))</f>
        <v/>
      </c>
      <c r="AO12" s="26">
        <f>IF(OR(I12="",AL12="",AM12=""),"",IF(AND(H12&gt;=AL12,H12&lt;=AM12),"Evet","HAYIR - Tarih Dışı"))</f>
        <v/>
      </c>
      <c r="AP12" s="28">
        <f>IF(I12="","",IFERROR(INDEX(Kampanyalar!$H$2:$H$150,MATCH(O12,Kampanyalar!$A$2:$A$150,0)),""))</f>
        <v/>
      </c>
      <c r="AQ12" s="28">
        <f>IF(I12="","",IF(ISNUMBER(AP12),AP12,AD12))</f>
        <v/>
      </c>
      <c r="AR12" s="26">
        <f>IF(I12="","",IF(Parametreler!$C$7="Evet","Kural A - Hemen Ödeme (Stok Mutabakatlı)","Kural B - Nakliye/Montaj Sonrası Ödeme"))</f>
        <v/>
      </c>
    </row>
    <row r="13">
      <c r="A13" s="23" t="n"/>
      <c r="B13" s="23" t="n"/>
      <c r="C13" s="23" t="n"/>
      <c r="D13" s="23" t="n"/>
      <c r="E13" s="23" t="n"/>
      <c r="F13" s="23" t="n"/>
      <c r="G13" s="23" t="n"/>
      <c r="H13" s="24" t="n"/>
      <c r="I13" s="23" t="n"/>
      <c r="J13" s="23" t="n"/>
      <c r="K13" s="23" t="n"/>
      <c r="L13" s="23" t="n"/>
      <c r="M13" s="23" t="n"/>
      <c r="N13" s="23" t="n"/>
      <c r="O13" s="23" t="n"/>
      <c r="P13" s="23" t="n"/>
      <c r="Q13" s="23" t="n"/>
      <c r="R13" s="23" t="n"/>
      <c r="S13" s="23" t="n"/>
      <c r="T13" s="23" t="n"/>
      <c r="U13" s="23" t="n"/>
      <c r="V13" s="23" t="n"/>
      <c r="W13" s="23" t="n"/>
      <c r="X13" s="23" t="n"/>
      <c r="Y13" s="25" t="n"/>
      <c r="Z13" s="25" t="n"/>
      <c r="AA13" s="23" t="n"/>
      <c r="AB13" s="25" t="n"/>
      <c r="AC13" s="23" t="n"/>
      <c r="AD13" s="25" t="n"/>
      <c r="AE13" s="23" t="n"/>
      <c r="AF13" s="25" t="n"/>
      <c r="AG13" s="25" t="n"/>
      <c r="AH13" s="23" t="n"/>
      <c r="AI13" s="23" t="n"/>
      <c r="AJ13" s="26">
        <f>IF(I13="","",I13&amp;"|"&amp;R13)</f>
        <v/>
      </c>
      <c r="AK13" s="26">
        <f>IF(I13="","",IF(ISNA(MATCH(O13,Kampanyalar!$A$2:$A$150,0)),"Hayır - Kampanyalar'da Yok","Evet"))</f>
        <v/>
      </c>
      <c r="AL13" s="27">
        <f>IF(I13="","",IFERROR(INDEX(Kampanyalar!$E$2:$E$150,MATCH(O13,Kampanyalar!$A$2:$A$150,0)),""))</f>
        <v/>
      </c>
      <c r="AM13" s="27">
        <f>IF(I13="","",IFERROR(INDEX(Kampanyalar!$F$2:$F$150,MATCH(O13,Kampanyalar!$A$2:$A$150,0)),""))</f>
        <v/>
      </c>
      <c r="AN13" s="27">
        <f>IF(I13="","",IFERROR(INDEX(Kampanyalar!$G$2:$G$150,MATCH(O13,Kampanyalar!$A$2:$A$150,0)),""))</f>
        <v/>
      </c>
      <c r="AO13" s="26">
        <f>IF(OR(I13="",AL13="",AM13=""),"",IF(AND(H13&gt;=AL13,H13&lt;=AM13),"Evet","HAYIR - Tarih Dışı"))</f>
        <v/>
      </c>
      <c r="AP13" s="28">
        <f>IF(I13="","",IFERROR(INDEX(Kampanyalar!$H$2:$H$150,MATCH(O13,Kampanyalar!$A$2:$A$150,0)),""))</f>
        <v/>
      </c>
      <c r="AQ13" s="28">
        <f>IF(I13="","",IF(ISNUMBER(AP13),AP13,AD13))</f>
        <v/>
      </c>
      <c r="AR13" s="26">
        <f>IF(I13="","",IF(Parametreler!$C$7="Evet","Kural A - Hemen Ödeme (Stok Mutabakatlı)","Kural B - Nakliye/Montaj Sonrası Ödeme"))</f>
        <v/>
      </c>
    </row>
    <row r="14">
      <c r="A14" s="23" t="n"/>
      <c r="B14" s="23" t="n"/>
      <c r="C14" s="23" t="n"/>
      <c r="D14" s="23" t="n"/>
      <c r="E14" s="23" t="n"/>
      <c r="F14" s="23" t="n"/>
      <c r="G14" s="23" t="n"/>
      <c r="H14" s="24" t="n"/>
      <c r="I14" s="23" t="n"/>
      <c r="J14" s="23" t="n"/>
      <c r="K14" s="23" t="n"/>
      <c r="L14" s="23" t="n"/>
      <c r="M14" s="23" t="n"/>
      <c r="N14" s="23" t="n"/>
      <c r="O14" s="23" t="n"/>
      <c r="P14" s="23" t="n"/>
      <c r="Q14" s="23" t="n"/>
      <c r="R14" s="23" t="n"/>
      <c r="S14" s="23" t="n"/>
      <c r="T14" s="23" t="n"/>
      <c r="U14" s="23" t="n"/>
      <c r="V14" s="23" t="n"/>
      <c r="W14" s="23" t="n"/>
      <c r="X14" s="23" t="n"/>
      <c r="Y14" s="25" t="n"/>
      <c r="Z14" s="25" t="n"/>
      <c r="AA14" s="23" t="n"/>
      <c r="AB14" s="25" t="n"/>
      <c r="AC14" s="23" t="n"/>
      <c r="AD14" s="25" t="n"/>
      <c r="AE14" s="23" t="n"/>
      <c r="AF14" s="25" t="n"/>
      <c r="AG14" s="25" t="n"/>
      <c r="AH14" s="23" t="n"/>
      <c r="AI14" s="23" t="n"/>
      <c r="AJ14" s="26">
        <f>IF(I14="","",I14&amp;"|"&amp;R14)</f>
        <v/>
      </c>
      <c r="AK14" s="26">
        <f>IF(I14="","",IF(ISNA(MATCH(O14,Kampanyalar!$A$2:$A$150,0)),"Hayır - Kampanyalar'da Yok","Evet"))</f>
        <v/>
      </c>
      <c r="AL14" s="27">
        <f>IF(I14="","",IFERROR(INDEX(Kampanyalar!$E$2:$E$150,MATCH(O14,Kampanyalar!$A$2:$A$150,0)),""))</f>
        <v/>
      </c>
      <c r="AM14" s="27">
        <f>IF(I14="","",IFERROR(INDEX(Kampanyalar!$F$2:$F$150,MATCH(O14,Kampanyalar!$A$2:$A$150,0)),""))</f>
        <v/>
      </c>
      <c r="AN14" s="27">
        <f>IF(I14="","",IFERROR(INDEX(Kampanyalar!$G$2:$G$150,MATCH(O14,Kampanyalar!$A$2:$A$150,0)),""))</f>
        <v/>
      </c>
      <c r="AO14" s="26">
        <f>IF(OR(I14="",AL14="",AM14=""),"",IF(AND(H14&gt;=AL14,H14&lt;=AM14),"Evet","HAYIR - Tarih Dışı"))</f>
        <v/>
      </c>
      <c r="AP14" s="28">
        <f>IF(I14="","",IFERROR(INDEX(Kampanyalar!$H$2:$H$150,MATCH(O14,Kampanyalar!$A$2:$A$150,0)),""))</f>
        <v/>
      </c>
      <c r="AQ14" s="28">
        <f>IF(I14="","",IF(ISNUMBER(AP14),AP14,AD14))</f>
        <v/>
      </c>
      <c r="AR14" s="26">
        <f>IF(I14="","",IF(Parametreler!$C$7="Evet","Kural A - Hemen Ödeme (Stok Mutabakatlı)","Kural B - Nakliye/Montaj Sonrası Ödeme"))</f>
        <v/>
      </c>
    </row>
    <row r="15">
      <c r="A15" s="23" t="n"/>
      <c r="B15" s="23" t="n"/>
      <c r="C15" s="23" t="n"/>
      <c r="D15" s="23" t="n"/>
      <c r="E15" s="23" t="n"/>
      <c r="F15" s="23" t="n"/>
      <c r="G15" s="23" t="n"/>
      <c r="H15" s="24" t="n"/>
      <c r="I15" s="23" t="n"/>
      <c r="J15" s="23" t="n"/>
      <c r="K15" s="23" t="n"/>
      <c r="L15" s="23" t="n"/>
      <c r="M15" s="23" t="n"/>
      <c r="N15" s="23" t="n"/>
      <c r="O15" s="23" t="n"/>
      <c r="P15" s="23" t="n"/>
      <c r="Q15" s="23" t="n"/>
      <c r="R15" s="23" t="n"/>
      <c r="S15" s="23" t="n"/>
      <c r="T15" s="23" t="n"/>
      <c r="U15" s="23" t="n"/>
      <c r="V15" s="23" t="n"/>
      <c r="W15" s="23" t="n"/>
      <c r="X15" s="23" t="n"/>
      <c r="Y15" s="25" t="n"/>
      <c r="Z15" s="25" t="n"/>
      <c r="AA15" s="23" t="n"/>
      <c r="AB15" s="25" t="n"/>
      <c r="AC15" s="23" t="n"/>
      <c r="AD15" s="25" t="n"/>
      <c r="AE15" s="23" t="n"/>
      <c r="AF15" s="25" t="n"/>
      <c r="AG15" s="25" t="n"/>
      <c r="AH15" s="23" t="n"/>
      <c r="AI15" s="23" t="n"/>
      <c r="AJ15" s="26">
        <f>IF(I15="","",I15&amp;"|"&amp;R15)</f>
        <v/>
      </c>
      <c r="AK15" s="26">
        <f>IF(I15="","",IF(ISNA(MATCH(O15,Kampanyalar!$A$2:$A$150,0)),"Hayır - Kampanyalar'da Yok","Evet"))</f>
        <v/>
      </c>
      <c r="AL15" s="27">
        <f>IF(I15="","",IFERROR(INDEX(Kampanyalar!$E$2:$E$150,MATCH(O15,Kampanyalar!$A$2:$A$150,0)),""))</f>
        <v/>
      </c>
      <c r="AM15" s="27">
        <f>IF(I15="","",IFERROR(INDEX(Kampanyalar!$F$2:$F$150,MATCH(O15,Kampanyalar!$A$2:$A$150,0)),""))</f>
        <v/>
      </c>
      <c r="AN15" s="27">
        <f>IF(I15="","",IFERROR(INDEX(Kampanyalar!$G$2:$G$150,MATCH(O15,Kampanyalar!$A$2:$A$150,0)),""))</f>
        <v/>
      </c>
      <c r="AO15" s="26">
        <f>IF(OR(I15="",AL15="",AM15=""),"",IF(AND(H15&gt;=AL15,H15&lt;=AM15),"Evet","HAYIR - Tarih Dışı"))</f>
        <v/>
      </c>
      <c r="AP15" s="28">
        <f>IF(I15="","",IFERROR(INDEX(Kampanyalar!$H$2:$H$150,MATCH(O15,Kampanyalar!$A$2:$A$150,0)),""))</f>
        <v/>
      </c>
      <c r="AQ15" s="28">
        <f>IF(I15="","",IF(ISNUMBER(AP15),AP15,AD15))</f>
        <v/>
      </c>
      <c r="AR15" s="26">
        <f>IF(I15="","",IF(Parametreler!$C$7="Evet","Kural A - Hemen Ödeme (Stok Mutabakatlı)","Kural B - Nakliye/Montaj Sonrası Ödeme"))</f>
        <v/>
      </c>
    </row>
    <row r="16">
      <c r="A16" s="23" t="n"/>
      <c r="B16" s="23" t="n"/>
      <c r="C16" s="23" t="n"/>
      <c r="D16" s="23" t="n"/>
      <c r="E16" s="23" t="n"/>
      <c r="F16" s="23" t="n"/>
      <c r="G16" s="23" t="n"/>
      <c r="H16" s="24" t="n"/>
      <c r="I16" s="23" t="n"/>
      <c r="J16" s="23" t="n"/>
      <c r="K16" s="23" t="n"/>
      <c r="L16" s="23" t="n"/>
      <c r="M16" s="23" t="n"/>
      <c r="N16" s="23" t="n"/>
      <c r="O16" s="23" t="n"/>
      <c r="P16" s="23" t="n"/>
      <c r="Q16" s="23" t="n"/>
      <c r="R16" s="23" t="n"/>
      <c r="S16" s="23" t="n"/>
      <c r="T16" s="23" t="n"/>
      <c r="U16" s="23" t="n"/>
      <c r="V16" s="23" t="n"/>
      <c r="W16" s="23" t="n"/>
      <c r="X16" s="23" t="n"/>
      <c r="Y16" s="25" t="n"/>
      <c r="Z16" s="25" t="n"/>
      <c r="AA16" s="23" t="n"/>
      <c r="AB16" s="25" t="n"/>
      <c r="AC16" s="23" t="n"/>
      <c r="AD16" s="25" t="n"/>
      <c r="AE16" s="23" t="n"/>
      <c r="AF16" s="25" t="n"/>
      <c r="AG16" s="25" t="n"/>
      <c r="AH16" s="23" t="n"/>
      <c r="AI16" s="23" t="n"/>
      <c r="AJ16" s="26">
        <f>IF(I16="","",I16&amp;"|"&amp;R16)</f>
        <v/>
      </c>
      <c r="AK16" s="26">
        <f>IF(I16="","",IF(ISNA(MATCH(O16,Kampanyalar!$A$2:$A$150,0)),"Hayır - Kampanyalar'da Yok","Evet"))</f>
        <v/>
      </c>
      <c r="AL16" s="27">
        <f>IF(I16="","",IFERROR(INDEX(Kampanyalar!$E$2:$E$150,MATCH(O16,Kampanyalar!$A$2:$A$150,0)),""))</f>
        <v/>
      </c>
      <c r="AM16" s="27">
        <f>IF(I16="","",IFERROR(INDEX(Kampanyalar!$F$2:$F$150,MATCH(O16,Kampanyalar!$A$2:$A$150,0)),""))</f>
        <v/>
      </c>
      <c r="AN16" s="27">
        <f>IF(I16="","",IFERROR(INDEX(Kampanyalar!$G$2:$G$150,MATCH(O16,Kampanyalar!$A$2:$A$150,0)),""))</f>
        <v/>
      </c>
      <c r="AO16" s="26">
        <f>IF(OR(I16="",AL16="",AM16=""),"",IF(AND(H16&gt;=AL16,H16&lt;=AM16),"Evet","HAYIR - Tarih Dışı"))</f>
        <v/>
      </c>
      <c r="AP16" s="28">
        <f>IF(I16="","",IFERROR(INDEX(Kampanyalar!$H$2:$H$150,MATCH(O16,Kampanyalar!$A$2:$A$150,0)),""))</f>
        <v/>
      </c>
      <c r="AQ16" s="28">
        <f>IF(I16="","",IF(ISNUMBER(AP16),AP16,AD16))</f>
        <v/>
      </c>
      <c r="AR16" s="26">
        <f>IF(I16="","",IF(Parametreler!$C$7="Evet","Kural A - Hemen Ödeme (Stok Mutabakatlı)","Kural B - Nakliye/Montaj Sonrası Ödeme"))</f>
        <v/>
      </c>
    </row>
    <row r="17">
      <c r="A17" s="23" t="n"/>
      <c r="B17" s="23" t="n"/>
      <c r="C17" s="23" t="n"/>
      <c r="D17" s="23" t="n"/>
      <c r="E17" s="23" t="n"/>
      <c r="F17" s="23" t="n"/>
      <c r="G17" s="23" t="n"/>
      <c r="H17" s="24" t="n"/>
      <c r="I17" s="23" t="n"/>
      <c r="J17" s="23" t="n"/>
      <c r="K17" s="23" t="n"/>
      <c r="L17" s="23" t="n"/>
      <c r="M17" s="23" t="n"/>
      <c r="N17" s="23" t="n"/>
      <c r="O17" s="23" t="n"/>
      <c r="P17" s="23" t="n"/>
      <c r="Q17" s="23" t="n"/>
      <c r="R17" s="23" t="n"/>
      <c r="S17" s="23" t="n"/>
      <c r="T17" s="23" t="n"/>
      <c r="U17" s="23" t="n"/>
      <c r="V17" s="23" t="n"/>
      <c r="W17" s="23" t="n"/>
      <c r="X17" s="23" t="n"/>
      <c r="Y17" s="25" t="n"/>
      <c r="Z17" s="25" t="n"/>
      <c r="AA17" s="23" t="n"/>
      <c r="AB17" s="25" t="n"/>
      <c r="AC17" s="23" t="n"/>
      <c r="AD17" s="25" t="n"/>
      <c r="AE17" s="23" t="n"/>
      <c r="AF17" s="25" t="n"/>
      <c r="AG17" s="25" t="n"/>
      <c r="AH17" s="23" t="n"/>
      <c r="AI17" s="23" t="n"/>
      <c r="AJ17" s="26">
        <f>IF(I17="","",I17&amp;"|"&amp;R17)</f>
        <v/>
      </c>
      <c r="AK17" s="26">
        <f>IF(I17="","",IF(ISNA(MATCH(O17,Kampanyalar!$A$2:$A$150,0)),"Hayır - Kampanyalar'da Yok","Evet"))</f>
        <v/>
      </c>
      <c r="AL17" s="27">
        <f>IF(I17="","",IFERROR(INDEX(Kampanyalar!$E$2:$E$150,MATCH(O17,Kampanyalar!$A$2:$A$150,0)),""))</f>
        <v/>
      </c>
      <c r="AM17" s="27">
        <f>IF(I17="","",IFERROR(INDEX(Kampanyalar!$F$2:$F$150,MATCH(O17,Kampanyalar!$A$2:$A$150,0)),""))</f>
        <v/>
      </c>
      <c r="AN17" s="27">
        <f>IF(I17="","",IFERROR(INDEX(Kampanyalar!$G$2:$G$150,MATCH(O17,Kampanyalar!$A$2:$A$150,0)),""))</f>
        <v/>
      </c>
      <c r="AO17" s="26">
        <f>IF(OR(I17="",AL17="",AM17=""),"",IF(AND(H17&gt;=AL17,H17&lt;=AM17),"Evet","HAYIR - Tarih Dışı"))</f>
        <v/>
      </c>
      <c r="AP17" s="28">
        <f>IF(I17="","",IFERROR(INDEX(Kampanyalar!$H$2:$H$150,MATCH(O17,Kampanyalar!$A$2:$A$150,0)),""))</f>
        <v/>
      </c>
      <c r="AQ17" s="28">
        <f>IF(I17="","",IF(ISNUMBER(AP17),AP17,AD17))</f>
        <v/>
      </c>
      <c r="AR17" s="26">
        <f>IF(I17="","",IF(Parametreler!$C$7="Evet","Kural A - Hemen Ödeme (Stok Mutabakatlı)","Kural B - Nakliye/Montaj Sonrası Ödeme"))</f>
        <v/>
      </c>
    </row>
    <row r="18">
      <c r="A18" s="23" t="n"/>
      <c r="B18" s="23" t="n"/>
      <c r="C18" s="23" t="n"/>
      <c r="D18" s="23" t="n"/>
      <c r="E18" s="23" t="n"/>
      <c r="F18" s="23" t="n"/>
      <c r="G18" s="23" t="n"/>
      <c r="H18" s="24" t="n"/>
      <c r="I18" s="23" t="n"/>
      <c r="J18" s="23" t="n"/>
      <c r="K18" s="23" t="n"/>
      <c r="L18" s="23" t="n"/>
      <c r="M18" s="23" t="n"/>
      <c r="N18" s="23" t="n"/>
      <c r="O18" s="23" t="n"/>
      <c r="P18" s="23" t="n"/>
      <c r="Q18" s="23" t="n"/>
      <c r="R18" s="23" t="n"/>
      <c r="S18" s="23" t="n"/>
      <c r="T18" s="23" t="n"/>
      <c r="U18" s="23" t="n"/>
      <c r="V18" s="23" t="n"/>
      <c r="W18" s="23" t="n"/>
      <c r="X18" s="23" t="n"/>
      <c r="Y18" s="25" t="n"/>
      <c r="Z18" s="25" t="n"/>
      <c r="AA18" s="23" t="n"/>
      <c r="AB18" s="25" t="n"/>
      <c r="AC18" s="23" t="n"/>
      <c r="AD18" s="25" t="n"/>
      <c r="AE18" s="23" t="n"/>
      <c r="AF18" s="25" t="n"/>
      <c r="AG18" s="25" t="n"/>
      <c r="AH18" s="23" t="n"/>
      <c r="AI18" s="23" t="n"/>
      <c r="AJ18" s="26">
        <f>IF(I18="","",I18&amp;"|"&amp;R18)</f>
        <v/>
      </c>
      <c r="AK18" s="26">
        <f>IF(I18="","",IF(ISNA(MATCH(O18,Kampanyalar!$A$2:$A$150,0)),"Hayır - Kampanyalar'da Yok","Evet"))</f>
        <v/>
      </c>
      <c r="AL18" s="27">
        <f>IF(I18="","",IFERROR(INDEX(Kampanyalar!$E$2:$E$150,MATCH(O18,Kampanyalar!$A$2:$A$150,0)),""))</f>
        <v/>
      </c>
      <c r="AM18" s="27">
        <f>IF(I18="","",IFERROR(INDEX(Kampanyalar!$F$2:$F$150,MATCH(O18,Kampanyalar!$A$2:$A$150,0)),""))</f>
        <v/>
      </c>
      <c r="AN18" s="27">
        <f>IF(I18="","",IFERROR(INDEX(Kampanyalar!$G$2:$G$150,MATCH(O18,Kampanyalar!$A$2:$A$150,0)),""))</f>
        <v/>
      </c>
      <c r="AO18" s="26">
        <f>IF(OR(I18="",AL18="",AM18=""),"",IF(AND(H18&gt;=AL18,H18&lt;=AM18),"Evet","HAYIR - Tarih Dışı"))</f>
        <v/>
      </c>
      <c r="AP18" s="28">
        <f>IF(I18="","",IFERROR(INDEX(Kampanyalar!$H$2:$H$150,MATCH(O18,Kampanyalar!$A$2:$A$150,0)),""))</f>
        <v/>
      </c>
      <c r="AQ18" s="28">
        <f>IF(I18="","",IF(ISNUMBER(AP18),AP18,AD18))</f>
        <v/>
      </c>
      <c r="AR18" s="26">
        <f>IF(I18="","",IF(Parametreler!$C$7="Evet","Kural A - Hemen Ödeme (Stok Mutabakatlı)","Kural B - Nakliye/Montaj Sonrası Ödeme"))</f>
        <v/>
      </c>
    </row>
    <row r="19">
      <c r="A19" s="23" t="n"/>
      <c r="B19" s="23" t="n"/>
      <c r="C19" s="23" t="n"/>
      <c r="D19" s="23" t="n"/>
      <c r="E19" s="23" t="n"/>
      <c r="F19" s="23" t="n"/>
      <c r="G19" s="23" t="n"/>
      <c r="H19" s="24" t="n"/>
      <c r="I19" s="23" t="n"/>
      <c r="J19" s="23" t="n"/>
      <c r="K19" s="23" t="n"/>
      <c r="L19" s="23" t="n"/>
      <c r="M19" s="23" t="n"/>
      <c r="N19" s="23" t="n"/>
      <c r="O19" s="23" t="n"/>
      <c r="P19" s="23" t="n"/>
      <c r="Q19" s="23" t="n"/>
      <c r="R19" s="23" t="n"/>
      <c r="S19" s="23" t="n"/>
      <c r="T19" s="23" t="n"/>
      <c r="U19" s="23" t="n"/>
      <c r="V19" s="23" t="n"/>
      <c r="W19" s="23" t="n"/>
      <c r="X19" s="23" t="n"/>
      <c r="Y19" s="25" t="n"/>
      <c r="Z19" s="25" t="n"/>
      <c r="AA19" s="23" t="n"/>
      <c r="AB19" s="25" t="n"/>
      <c r="AC19" s="23" t="n"/>
      <c r="AD19" s="25" t="n"/>
      <c r="AE19" s="23" t="n"/>
      <c r="AF19" s="25" t="n"/>
      <c r="AG19" s="25" t="n"/>
      <c r="AH19" s="23" t="n"/>
      <c r="AI19" s="23" t="n"/>
      <c r="AJ19" s="26">
        <f>IF(I19="","",I19&amp;"|"&amp;R19)</f>
        <v/>
      </c>
      <c r="AK19" s="26">
        <f>IF(I19="","",IF(ISNA(MATCH(O19,Kampanyalar!$A$2:$A$150,0)),"Hayır - Kampanyalar'da Yok","Evet"))</f>
        <v/>
      </c>
      <c r="AL19" s="27">
        <f>IF(I19="","",IFERROR(INDEX(Kampanyalar!$E$2:$E$150,MATCH(O19,Kampanyalar!$A$2:$A$150,0)),""))</f>
        <v/>
      </c>
      <c r="AM19" s="27">
        <f>IF(I19="","",IFERROR(INDEX(Kampanyalar!$F$2:$F$150,MATCH(O19,Kampanyalar!$A$2:$A$150,0)),""))</f>
        <v/>
      </c>
      <c r="AN19" s="27">
        <f>IF(I19="","",IFERROR(INDEX(Kampanyalar!$G$2:$G$150,MATCH(O19,Kampanyalar!$A$2:$A$150,0)),""))</f>
        <v/>
      </c>
      <c r="AO19" s="26">
        <f>IF(OR(I19="",AL19="",AM19=""),"",IF(AND(H19&gt;=AL19,H19&lt;=AM19),"Evet","HAYIR - Tarih Dışı"))</f>
        <v/>
      </c>
      <c r="AP19" s="28">
        <f>IF(I19="","",IFERROR(INDEX(Kampanyalar!$H$2:$H$150,MATCH(O19,Kampanyalar!$A$2:$A$150,0)),""))</f>
        <v/>
      </c>
      <c r="AQ19" s="28">
        <f>IF(I19="","",IF(ISNUMBER(AP19),AP19,AD19))</f>
        <v/>
      </c>
      <c r="AR19" s="26">
        <f>IF(I19="","",IF(Parametreler!$C$7="Evet","Kural A - Hemen Ödeme (Stok Mutabakatlı)","Kural B - Nakliye/Montaj Sonrası Ödeme"))</f>
        <v/>
      </c>
    </row>
    <row r="20">
      <c r="A20" s="23" t="n"/>
      <c r="B20" s="23" t="n"/>
      <c r="C20" s="23" t="n"/>
      <c r="D20" s="23" t="n"/>
      <c r="E20" s="23" t="n"/>
      <c r="F20" s="23" t="n"/>
      <c r="G20" s="23" t="n"/>
      <c r="H20" s="24" t="n"/>
      <c r="I20" s="23" t="n"/>
      <c r="J20" s="23" t="n"/>
      <c r="K20" s="23" t="n"/>
      <c r="L20" s="23" t="n"/>
      <c r="M20" s="23" t="n"/>
      <c r="N20" s="23" t="n"/>
      <c r="O20" s="23" t="n"/>
      <c r="P20" s="23" t="n"/>
      <c r="Q20" s="23" t="n"/>
      <c r="R20" s="23" t="n"/>
      <c r="S20" s="23" t="n"/>
      <c r="T20" s="23" t="n"/>
      <c r="U20" s="23" t="n"/>
      <c r="V20" s="23" t="n"/>
      <c r="W20" s="23" t="n"/>
      <c r="X20" s="23" t="n"/>
      <c r="Y20" s="25" t="n"/>
      <c r="Z20" s="25" t="n"/>
      <c r="AA20" s="23" t="n"/>
      <c r="AB20" s="25" t="n"/>
      <c r="AC20" s="23" t="n"/>
      <c r="AD20" s="25" t="n"/>
      <c r="AE20" s="23" t="n"/>
      <c r="AF20" s="25" t="n"/>
      <c r="AG20" s="25" t="n"/>
      <c r="AH20" s="23" t="n"/>
      <c r="AI20" s="23" t="n"/>
      <c r="AJ20" s="26">
        <f>IF(I20="","",I20&amp;"|"&amp;R20)</f>
        <v/>
      </c>
      <c r="AK20" s="26">
        <f>IF(I20="","",IF(ISNA(MATCH(O20,Kampanyalar!$A$2:$A$150,0)),"Hayır - Kampanyalar'da Yok","Evet"))</f>
        <v/>
      </c>
      <c r="AL20" s="27">
        <f>IF(I20="","",IFERROR(INDEX(Kampanyalar!$E$2:$E$150,MATCH(O20,Kampanyalar!$A$2:$A$150,0)),""))</f>
        <v/>
      </c>
      <c r="AM20" s="27">
        <f>IF(I20="","",IFERROR(INDEX(Kampanyalar!$F$2:$F$150,MATCH(O20,Kampanyalar!$A$2:$A$150,0)),""))</f>
        <v/>
      </c>
      <c r="AN20" s="27">
        <f>IF(I20="","",IFERROR(INDEX(Kampanyalar!$G$2:$G$150,MATCH(O20,Kampanyalar!$A$2:$A$150,0)),""))</f>
        <v/>
      </c>
      <c r="AO20" s="26">
        <f>IF(OR(I20="",AL20="",AM20=""),"",IF(AND(H20&gt;=AL20,H20&lt;=AM20),"Evet","HAYIR - Tarih Dışı"))</f>
        <v/>
      </c>
      <c r="AP20" s="28">
        <f>IF(I20="","",IFERROR(INDEX(Kampanyalar!$H$2:$H$150,MATCH(O20,Kampanyalar!$A$2:$A$150,0)),""))</f>
        <v/>
      </c>
      <c r="AQ20" s="28">
        <f>IF(I20="","",IF(ISNUMBER(AP20),AP20,AD20))</f>
        <v/>
      </c>
      <c r="AR20" s="26">
        <f>IF(I20="","",IF(Parametreler!$C$7="Evet","Kural A - Hemen Ödeme (Stok Mutabakatlı)","Kural B - Nakliye/Montaj Sonrası Ödeme"))</f>
        <v/>
      </c>
    </row>
    <row r="21">
      <c r="A21" s="23" t="n"/>
      <c r="B21" s="23" t="n"/>
      <c r="C21" s="23" t="n"/>
      <c r="D21" s="23" t="n"/>
      <c r="E21" s="23" t="n"/>
      <c r="F21" s="23" t="n"/>
      <c r="G21" s="23" t="n"/>
      <c r="H21" s="24" t="n"/>
      <c r="I21" s="23" t="n"/>
      <c r="J21" s="23" t="n"/>
      <c r="K21" s="23" t="n"/>
      <c r="L21" s="23" t="n"/>
      <c r="M21" s="23" t="n"/>
      <c r="N21" s="23" t="n"/>
      <c r="O21" s="23" t="n"/>
      <c r="P21" s="23" t="n"/>
      <c r="Q21" s="23" t="n"/>
      <c r="R21" s="23" t="n"/>
      <c r="S21" s="23" t="n"/>
      <c r="T21" s="23" t="n"/>
      <c r="U21" s="23" t="n"/>
      <c r="V21" s="23" t="n"/>
      <c r="W21" s="23" t="n"/>
      <c r="X21" s="23" t="n"/>
      <c r="Y21" s="25" t="n"/>
      <c r="Z21" s="25" t="n"/>
      <c r="AA21" s="23" t="n"/>
      <c r="AB21" s="25" t="n"/>
      <c r="AC21" s="23" t="n"/>
      <c r="AD21" s="25" t="n"/>
      <c r="AE21" s="23" t="n"/>
      <c r="AF21" s="25" t="n"/>
      <c r="AG21" s="25" t="n"/>
      <c r="AH21" s="23" t="n"/>
      <c r="AI21" s="23" t="n"/>
      <c r="AJ21" s="26">
        <f>IF(I21="","",I21&amp;"|"&amp;R21)</f>
        <v/>
      </c>
      <c r="AK21" s="26">
        <f>IF(I21="","",IF(ISNA(MATCH(O21,Kampanyalar!$A$2:$A$150,0)),"Hayır - Kampanyalar'da Yok","Evet"))</f>
        <v/>
      </c>
      <c r="AL21" s="27">
        <f>IF(I21="","",IFERROR(INDEX(Kampanyalar!$E$2:$E$150,MATCH(O21,Kampanyalar!$A$2:$A$150,0)),""))</f>
        <v/>
      </c>
      <c r="AM21" s="27">
        <f>IF(I21="","",IFERROR(INDEX(Kampanyalar!$F$2:$F$150,MATCH(O21,Kampanyalar!$A$2:$A$150,0)),""))</f>
        <v/>
      </c>
      <c r="AN21" s="27">
        <f>IF(I21="","",IFERROR(INDEX(Kampanyalar!$G$2:$G$150,MATCH(O21,Kampanyalar!$A$2:$A$150,0)),""))</f>
        <v/>
      </c>
      <c r="AO21" s="26">
        <f>IF(OR(I21="",AL21="",AM21=""),"",IF(AND(H21&gt;=AL21,H21&lt;=AM21),"Evet","HAYIR - Tarih Dışı"))</f>
        <v/>
      </c>
      <c r="AP21" s="28">
        <f>IF(I21="","",IFERROR(INDEX(Kampanyalar!$H$2:$H$150,MATCH(O21,Kampanyalar!$A$2:$A$150,0)),""))</f>
        <v/>
      </c>
      <c r="AQ21" s="28">
        <f>IF(I21="","",IF(ISNUMBER(AP21),AP21,AD21))</f>
        <v/>
      </c>
      <c r="AR21" s="26">
        <f>IF(I21="","",IF(Parametreler!$C$7="Evet","Kural A - Hemen Ödeme (Stok Mutabakatlı)","Kural B - Nakliye/Montaj Sonrası Ödeme"))</f>
        <v/>
      </c>
    </row>
    <row r="22">
      <c r="A22" s="23" t="n"/>
      <c r="B22" s="23" t="n"/>
      <c r="C22" s="23" t="n"/>
      <c r="D22" s="23" t="n"/>
      <c r="E22" s="23" t="n"/>
      <c r="F22" s="23" t="n"/>
      <c r="G22" s="23" t="n"/>
      <c r="H22" s="24" t="n"/>
      <c r="I22" s="23" t="n"/>
      <c r="J22" s="23" t="n"/>
      <c r="K22" s="23" t="n"/>
      <c r="L22" s="23" t="n"/>
      <c r="M22" s="23" t="n"/>
      <c r="N22" s="23" t="n"/>
      <c r="O22" s="23" t="n"/>
      <c r="P22" s="23" t="n"/>
      <c r="Q22" s="23" t="n"/>
      <c r="R22" s="23" t="n"/>
      <c r="S22" s="23" t="n"/>
      <c r="T22" s="23" t="n"/>
      <c r="U22" s="23" t="n"/>
      <c r="V22" s="23" t="n"/>
      <c r="W22" s="23" t="n"/>
      <c r="X22" s="23" t="n"/>
      <c r="Y22" s="25" t="n"/>
      <c r="Z22" s="25" t="n"/>
      <c r="AA22" s="23" t="n"/>
      <c r="AB22" s="25" t="n"/>
      <c r="AC22" s="23" t="n"/>
      <c r="AD22" s="25" t="n"/>
      <c r="AE22" s="23" t="n"/>
      <c r="AF22" s="25" t="n"/>
      <c r="AG22" s="25" t="n"/>
      <c r="AH22" s="23" t="n"/>
      <c r="AI22" s="23" t="n"/>
      <c r="AJ22" s="26">
        <f>IF(I22="","",I22&amp;"|"&amp;R22)</f>
        <v/>
      </c>
      <c r="AK22" s="26">
        <f>IF(I22="","",IF(ISNA(MATCH(O22,Kampanyalar!$A$2:$A$150,0)),"Hayır - Kampanyalar'da Yok","Evet"))</f>
        <v/>
      </c>
      <c r="AL22" s="27">
        <f>IF(I22="","",IFERROR(INDEX(Kampanyalar!$E$2:$E$150,MATCH(O22,Kampanyalar!$A$2:$A$150,0)),""))</f>
        <v/>
      </c>
      <c r="AM22" s="27">
        <f>IF(I22="","",IFERROR(INDEX(Kampanyalar!$F$2:$F$150,MATCH(O22,Kampanyalar!$A$2:$A$150,0)),""))</f>
        <v/>
      </c>
      <c r="AN22" s="27">
        <f>IF(I22="","",IFERROR(INDEX(Kampanyalar!$G$2:$G$150,MATCH(O22,Kampanyalar!$A$2:$A$150,0)),""))</f>
        <v/>
      </c>
      <c r="AO22" s="26">
        <f>IF(OR(I22="",AL22="",AM22=""),"",IF(AND(H22&gt;=AL22,H22&lt;=AM22),"Evet","HAYIR - Tarih Dışı"))</f>
        <v/>
      </c>
      <c r="AP22" s="28">
        <f>IF(I22="","",IFERROR(INDEX(Kampanyalar!$H$2:$H$150,MATCH(O22,Kampanyalar!$A$2:$A$150,0)),""))</f>
        <v/>
      </c>
      <c r="AQ22" s="28">
        <f>IF(I22="","",IF(ISNUMBER(AP22),AP22,AD22))</f>
        <v/>
      </c>
      <c r="AR22" s="26">
        <f>IF(I22="","",IF(Parametreler!$C$7="Evet","Kural A - Hemen Ödeme (Stok Mutabakatlı)","Kural B - Nakliye/Montaj Sonrası Ödeme"))</f>
        <v/>
      </c>
    </row>
    <row r="23">
      <c r="A23" s="23" t="n"/>
      <c r="B23" s="23" t="n"/>
      <c r="C23" s="23" t="n"/>
      <c r="D23" s="23" t="n"/>
      <c r="E23" s="23" t="n"/>
      <c r="F23" s="23" t="n"/>
      <c r="G23" s="23" t="n"/>
      <c r="H23" s="24" t="n"/>
      <c r="I23" s="23" t="n"/>
      <c r="J23" s="23" t="n"/>
      <c r="K23" s="23" t="n"/>
      <c r="L23" s="23" t="n"/>
      <c r="M23" s="23" t="n"/>
      <c r="N23" s="23" t="n"/>
      <c r="O23" s="23" t="n"/>
      <c r="P23" s="23" t="n"/>
      <c r="Q23" s="23" t="n"/>
      <c r="R23" s="23" t="n"/>
      <c r="S23" s="23" t="n"/>
      <c r="T23" s="23" t="n"/>
      <c r="U23" s="23" t="n"/>
      <c r="V23" s="23" t="n"/>
      <c r="W23" s="23" t="n"/>
      <c r="X23" s="23" t="n"/>
      <c r="Y23" s="25" t="n"/>
      <c r="Z23" s="25" t="n"/>
      <c r="AA23" s="23" t="n"/>
      <c r="AB23" s="25" t="n"/>
      <c r="AC23" s="23" t="n"/>
      <c r="AD23" s="25" t="n"/>
      <c r="AE23" s="23" t="n"/>
      <c r="AF23" s="25" t="n"/>
      <c r="AG23" s="25" t="n"/>
      <c r="AH23" s="23" t="n"/>
      <c r="AI23" s="23" t="n"/>
      <c r="AJ23" s="26">
        <f>IF(I23="","",I23&amp;"|"&amp;R23)</f>
        <v/>
      </c>
      <c r="AK23" s="26">
        <f>IF(I23="","",IF(ISNA(MATCH(O23,Kampanyalar!$A$2:$A$150,0)),"Hayır - Kampanyalar'da Yok","Evet"))</f>
        <v/>
      </c>
      <c r="AL23" s="27">
        <f>IF(I23="","",IFERROR(INDEX(Kampanyalar!$E$2:$E$150,MATCH(O23,Kampanyalar!$A$2:$A$150,0)),""))</f>
        <v/>
      </c>
      <c r="AM23" s="27">
        <f>IF(I23="","",IFERROR(INDEX(Kampanyalar!$F$2:$F$150,MATCH(O23,Kampanyalar!$A$2:$A$150,0)),""))</f>
        <v/>
      </c>
      <c r="AN23" s="27">
        <f>IF(I23="","",IFERROR(INDEX(Kampanyalar!$G$2:$G$150,MATCH(O23,Kampanyalar!$A$2:$A$150,0)),""))</f>
        <v/>
      </c>
      <c r="AO23" s="26">
        <f>IF(OR(I23="",AL23="",AM23=""),"",IF(AND(H23&gt;=AL23,H23&lt;=AM23),"Evet","HAYIR - Tarih Dışı"))</f>
        <v/>
      </c>
      <c r="AP23" s="28">
        <f>IF(I23="","",IFERROR(INDEX(Kampanyalar!$H$2:$H$150,MATCH(O23,Kampanyalar!$A$2:$A$150,0)),""))</f>
        <v/>
      </c>
      <c r="AQ23" s="28">
        <f>IF(I23="","",IF(ISNUMBER(AP23),AP23,AD23))</f>
        <v/>
      </c>
      <c r="AR23" s="26">
        <f>IF(I23="","",IF(Parametreler!$C$7="Evet","Kural A - Hemen Ödeme (Stok Mutabakatlı)","Kural B - Nakliye/Montaj Sonrası Ödeme"))</f>
        <v/>
      </c>
    </row>
    <row r="24">
      <c r="A24" s="23" t="n"/>
      <c r="B24" s="23" t="n"/>
      <c r="C24" s="23" t="n"/>
      <c r="D24" s="23" t="n"/>
      <c r="E24" s="23" t="n"/>
      <c r="F24" s="23" t="n"/>
      <c r="G24" s="23" t="n"/>
      <c r="H24" s="24" t="n"/>
      <c r="I24" s="23" t="n"/>
      <c r="J24" s="23" t="n"/>
      <c r="K24" s="23" t="n"/>
      <c r="L24" s="23" t="n"/>
      <c r="M24" s="23" t="n"/>
      <c r="N24" s="23" t="n"/>
      <c r="O24" s="23" t="n"/>
      <c r="P24" s="23" t="n"/>
      <c r="Q24" s="23" t="n"/>
      <c r="R24" s="23" t="n"/>
      <c r="S24" s="23" t="n"/>
      <c r="T24" s="23" t="n"/>
      <c r="U24" s="23" t="n"/>
      <c r="V24" s="23" t="n"/>
      <c r="W24" s="23" t="n"/>
      <c r="X24" s="23" t="n"/>
      <c r="Y24" s="25" t="n"/>
      <c r="Z24" s="25" t="n"/>
      <c r="AA24" s="23" t="n"/>
      <c r="AB24" s="25" t="n"/>
      <c r="AC24" s="23" t="n"/>
      <c r="AD24" s="25" t="n"/>
      <c r="AE24" s="23" t="n"/>
      <c r="AF24" s="25" t="n"/>
      <c r="AG24" s="25" t="n"/>
      <c r="AH24" s="23" t="n"/>
      <c r="AI24" s="23" t="n"/>
      <c r="AJ24" s="26">
        <f>IF(I24="","",I24&amp;"|"&amp;R24)</f>
        <v/>
      </c>
      <c r="AK24" s="26">
        <f>IF(I24="","",IF(ISNA(MATCH(O24,Kampanyalar!$A$2:$A$150,0)),"Hayır - Kampanyalar'da Yok","Evet"))</f>
        <v/>
      </c>
      <c r="AL24" s="27">
        <f>IF(I24="","",IFERROR(INDEX(Kampanyalar!$E$2:$E$150,MATCH(O24,Kampanyalar!$A$2:$A$150,0)),""))</f>
        <v/>
      </c>
      <c r="AM24" s="27">
        <f>IF(I24="","",IFERROR(INDEX(Kampanyalar!$F$2:$F$150,MATCH(O24,Kampanyalar!$A$2:$A$150,0)),""))</f>
        <v/>
      </c>
      <c r="AN24" s="27">
        <f>IF(I24="","",IFERROR(INDEX(Kampanyalar!$G$2:$G$150,MATCH(O24,Kampanyalar!$A$2:$A$150,0)),""))</f>
        <v/>
      </c>
      <c r="AO24" s="26">
        <f>IF(OR(I24="",AL24="",AM24=""),"",IF(AND(H24&gt;=AL24,H24&lt;=AM24),"Evet","HAYIR - Tarih Dışı"))</f>
        <v/>
      </c>
      <c r="AP24" s="28">
        <f>IF(I24="","",IFERROR(INDEX(Kampanyalar!$H$2:$H$150,MATCH(O24,Kampanyalar!$A$2:$A$150,0)),""))</f>
        <v/>
      </c>
      <c r="AQ24" s="28">
        <f>IF(I24="","",IF(ISNUMBER(AP24),AP24,AD24))</f>
        <v/>
      </c>
      <c r="AR24" s="26">
        <f>IF(I24="","",IF(Parametreler!$C$7="Evet","Kural A - Hemen Ödeme (Stok Mutabakatlı)","Kural B - Nakliye/Montaj Sonrası Ödeme"))</f>
        <v/>
      </c>
    </row>
    <row r="25">
      <c r="A25" s="23" t="n"/>
      <c r="B25" s="23" t="n"/>
      <c r="C25" s="23" t="n"/>
      <c r="D25" s="23" t="n"/>
      <c r="E25" s="23" t="n"/>
      <c r="F25" s="23" t="n"/>
      <c r="G25" s="23" t="n"/>
      <c r="H25" s="24" t="n"/>
      <c r="I25" s="23" t="n"/>
      <c r="J25" s="23" t="n"/>
      <c r="K25" s="23" t="n"/>
      <c r="L25" s="23" t="n"/>
      <c r="M25" s="23" t="n"/>
      <c r="N25" s="23" t="n"/>
      <c r="O25" s="23" t="n"/>
      <c r="P25" s="23" t="n"/>
      <c r="Q25" s="23" t="n"/>
      <c r="R25" s="23" t="n"/>
      <c r="S25" s="23" t="n"/>
      <c r="T25" s="23" t="n"/>
      <c r="U25" s="23" t="n"/>
      <c r="V25" s="23" t="n"/>
      <c r="W25" s="23" t="n"/>
      <c r="X25" s="23" t="n"/>
      <c r="Y25" s="25" t="n"/>
      <c r="Z25" s="25" t="n"/>
      <c r="AA25" s="23" t="n"/>
      <c r="AB25" s="25" t="n"/>
      <c r="AC25" s="23" t="n"/>
      <c r="AD25" s="25" t="n"/>
      <c r="AE25" s="23" t="n"/>
      <c r="AF25" s="25" t="n"/>
      <c r="AG25" s="25" t="n"/>
      <c r="AH25" s="23" t="n"/>
      <c r="AI25" s="23" t="n"/>
      <c r="AJ25" s="26">
        <f>IF(I25="","",I25&amp;"|"&amp;R25)</f>
        <v/>
      </c>
      <c r="AK25" s="26">
        <f>IF(I25="","",IF(ISNA(MATCH(O25,Kampanyalar!$A$2:$A$150,0)),"Hayır - Kampanyalar'da Yok","Evet"))</f>
        <v/>
      </c>
      <c r="AL25" s="27">
        <f>IF(I25="","",IFERROR(INDEX(Kampanyalar!$E$2:$E$150,MATCH(O25,Kampanyalar!$A$2:$A$150,0)),""))</f>
        <v/>
      </c>
      <c r="AM25" s="27">
        <f>IF(I25="","",IFERROR(INDEX(Kampanyalar!$F$2:$F$150,MATCH(O25,Kampanyalar!$A$2:$A$150,0)),""))</f>
        <v/>
      </c>
      <c r="AN25" s="27">
        <f>IF(I25="","",IFERROR(INDEX(Kampanyalar!$G$2:$G$150,MATCH(O25,Kampanyalar!$A$2:$A$150,0)),""))</f>
        <v/>
      </c>
      <c r="AO25" s="26">
        <f>IF(OR(I25="",AL25="",AM25=""),"",IF(AND(H25&gt;=AL25,H25&lt;=AM25),"Evet","HAYIR - Tarih Dışı"))</f>
        <v/>
      </c>
      <c r="AP25" s="28">
        <f>IF(I25="","",IFERROR(INDEX(Kampanyalar!$H$2:$H$150,MATCH(O25,Kampanyalar!$A$2:$A$150,0)),""))</f>
        <v/>
      </c>
      <c r="AQ25" s="28">
        <f>IF(I25="","",IF(ISNUMBER(AP25),AP25,AD25))</f>
        <v/>
      </c>
      <c r="AR25" s="26">
        <f>IF(I25="","",IF(Parametreler!$C$7="Evet","Kural A - Hemen Ödeme (Stok Mutabakatlı)","Kural B - Nakliye/Montaj Sonrası Ödeme"))</f>
        <v/>
      </c>
    </row>
    <row r="26">
      <c r="A26" s="23" t="n"/>
      <c r="B26" s="23" t="n"/>
      <c r="C26" s="23" t="n"/>
      <c r="D26" s="23" t="n"/>
      <c r="E26" s="23" t="n"/>
      <c r="F26" s="23" t="n"/>
      <c r="G26" s="23" t="n"/>
      <c r="H26" s="24" t="n"/>
      <c r="I26" s="23" t="n"/>
      <c r="J26" s="23" t="n"/>
      <c r="K26" s="23" t="n"/>
      <c r="L26" s="23" t="n"/>
      <c r="M26" s="23" t="n"/>
      <c r="N26" s="23" t="n"/>
      <c r="O26" s="23" t="n"/>
      <c r="P26" s="23" t="n"/>
      <c r="Q26" s="23" t="n"/>
      <c r="R26" s="23" t="n"/>
      <c r="S26" s="23" t="n"/>
      <c r="T26" s="23" t="n"/>
      <c r="U26" s="23" t="n"/>
      <c r="V26" s="23" t="n"/>
      <c r="W26" s="23" t="n"/>
      <c r="X26" s="23" t="n"/>
      <c r="Y26" s="25" t="n"/>
      <c r="Z26" s="25" t="n"/>
      <c r="AA26" s="23" t="n"/>
      <c r="AB26" s="25" t="n"/>
      <c r="AC26" s="23" t="n"/>
      <c r="AD26" s="25" t="n"/>
      <c r="AE26" s="23" t="n"/>
      <c r="AF26" s="25" t="n"/>
      <c r="AG26" s="25" t="n"/>
      <c r="AH26" s="23" t="n"/>
      <c r="AI26" s="23" t="n"/>
      <c r="AJ26" s="26">
        <f>IF(I26="","",I26&amp;"|"&amp;R26)</f>
        <v/>
      </c>
      <c r="AK26" s="26">
        <f>IF(I26="","",IF(ISNA(MATCH(O26,Kampanyalar!$A$2:$A$150,0)),"Hayır - Kampanyalar'da Yok","Evet"))</f>
        <v/>
      </c>
      <c r="AL26" s="27">
        <f>IF(I26="","",IFERROR(INDEX(Kampanyalar!$E$2:$E$150,MATCH(O26,Kampanyalar!$A$2:$A$150,0)),""))</f>
        <v/>
      </c>
      <c r="AM26" s="27">
        <f>IF(I26="","",IFERROR(INDEX(Kampanyalar!$F$2:$F$150,MATCH(O26,Kampanyalar!$A$2:$A$150,0)),""))</f>
        <v/>
      </c>
      <c r="AN26" s="27">
        <f>IF(I26="","",IFERROR(INDEX(Kampanyalar!$G$2:$G$150,MATCH(O26,Kampanyalar!$A$2:$A$150,0)),""))</f>
        <v/>
      </c>
      <c r="AO26" s="26">
        <f>IF(OR(I26="",AL26="",AM26=""),"",IF(AND(H26&gt;=AL26,H26&lt;=AM26),"Evet","HAYIR - Tarih Dışı"))</f>
        <v/>
      </c>
      <c r="AP26" s="28">
        <f>IF(I26="","",IFERROR(INDEX(Kampanyalar!$H$2:$H$150,MATCH(O26,Kampanyalar!$A$2:$A$150,0)),""))</f>
        <v/>
      </c>
      <c r="AQ26" s="28">
        <f>IF(I26="","",IF(ISNUMBER(AP26),AP26,AD26))</f>
        <v/>
      </c>
      <c r="AR26" s="26">
        <f>IF(I26="","",IF(Parametreler!$C$7="Evet","Kural A - Hemen Ödeme (Stok Mutabakatlı)","Kural B - Nakliye/Montaj Sonrası Ödeme"))</f>
        <v/>
      </c>
    </row>
    <row r="27">
      <c r="A27" s="23" t="n"/>
      <c r="B27" s="23" t="n"/>
      <c r="C27" s="23" t="n"/>
      <c r="D27" s="23" t="n"/>
      <c r="E27" s="23" t="n"/>
      <c r="F27" s="23" t="n"/>
      <c r="G27" s="23" t="n"/>
      <c r="H27" s="24" t="n"/>
      <c r="I27" s="23" t="n"/>
      <c r="J27" s="23" t="n"/>
      <c r="K27" s="23" t="n"/>
      <c r="L27" s="23" t="n"/>
      <c r="M27" s="23" t="n"/>
      <c r="N27" s="23" t="n"/>
      <c r="O27" s="23" t="n"/>
      <c r="P27" s="23" t="n"/>
      <c r="Q27" s="23" t="n"/>
      <c r="R27" s="23" t="n"/>
      <c r="S27" s="23" t="n"/>
      <c r="T27" s="23" t="n"/>
      <c r="U27" s="23" t="n"/>
      <c r="V27" s="23" t="n"/>
      <c r="W27" s="23" t="n"/>
      <c r="X27" s="23" t="n"/>
      <c r="Y27" s="25" t="n"/>
      <c r="Z27" s="25" t="n"/>
      <c r="AA27" s="23" t="n"/>
      <c r="AB27" s="25" t="n"/>
      <c r="AC27" s="23" t="n"/>
      <c r="AD27" s="25" t="n"/>
      <c r="AE27" s="23" t="n"/>
      <c r="AF27" s="25" t="n"/>
      <c r="AG27" s="25" t="n"/>
      <c r="AH27" s="23" t="n"/>
      <c r="AI27" s="23" t="n"/>
      <c r="AJ27" s="26">
        <f>IF(I27="","",I27&amp;"|"&amp;R27)</f>
        <v/>
      </c>
      <c r="AK27" s="26">
        <f>IF(I27="","",IF(ISNA(MATCH(O27,Kampanyalar!$A$2:$A$150,0)),"Hayır - Kampanyalar'da Yok","Evet"))</f>
        <v/>
      </c>
      <c r="AL27" s="27">
        <f>IF(I27="","",IFERROR(INDEX(Kampanyalar!$E$2:$E$150,MATCH(O27,Kampanyalar!$A$2:$A$150,0)),""))</f>
        <v/>
      </c>
      <c r="AM27" s="27">
        <f>IF(I27="","",IFERROR(INDEX(Kampanyalar!$F$2:$F$150,MATCH(O27,Kampanyalar!$A$2:$A$150,0)),""))</f>
        <v/>
      </c>
      <c r="AN27" s="27">
        <f>IF(I27="","",IFERROR(INDEX(Kampanyalar!$G$2:$G$150,MATCH(O27,Kampanyalar!$A$2:$A$150,0)),""))</f>
        <v/>
      </c>
      <c r="AO27" s="26">
        <f>IF(OR(I27="",AL27="",AM27=""),"",IF(AND(H27&gt;=AL27,H27&lt;=AM27),"Evet","HAYIR - Tarih Dışı"))</f>
        <v/>
      </c>
      <c r="AP27" s="28">
        <f>IF(I27="","",IFERROR(INDEX(Kampanyalar!$H$2:$H$150,MATCH(O27,Kampanyalar!$A$2:$A$150,0)),""))</f>
        <v/>
      </c>
      <c r="AQ27" s="28">
        <f>IF(I27="","",IF(ISNUMBER(AP27),AP27,AD27))</f>
        <v/>
      </c>
      <c r="AR27" s="26">
        <f>IF(I27="","",IF(Parametreler!$C$7="Evet","Kural A - Hemen Ödeme (Stok Mutabakatlı)","Kural B - Nakliye/Montaj Sonrası Ödeme"))</f>
        <v/>
      </c>
    </row>
    <row r="28">
      <c r="A28" s="23" t="n"/>
      <c r="B28" s="23" t="n"/>
      <c r="C28" s="23" t="n"/>
      <c r="D28" s="23" t="n"/>
      <c r="E28" s="23" t="n"/>
      <c r="F28" s="23" t="n"/>
      <c r="G28" s="23" t="n"/>
      <c r="H28" s="24" t="n"/>
      <c r="I28" s="23" t="n"/>
      <c r="J28" s="23" t="n"/>
      <c r="K28" s="23" t="n"/>
      <c r="L28" s="23" t="n"/>
      <c r="M28" s="23" t="n"/>
      <c r="N28" s="23" t="n"/>
      <c r="O28" s="23" t="n"/>
      <c r="P28" s="23" t="n"/>
      <c r="Q28" s="23" t="n"/>
      <c r="R28" s="23" t="n"/>
      <c r="S28" s="23" t="n"/>
      <c r="T28" s="23" t="n"/>
      <c r="U28" s="23" t="n"/>
      <c r="V28" s="23" t="n"/>
      <c r="W28" s="23" t="n"/>
      <c r="X28" s="23" t="n"/>
      <c r="Y28" s="25" t="n"/>
      <c r="Z28" s="25" t="n"/>
      <c r="AA28" s="23" t="n"/>
      <c r="AB28" s="25" t="n"/>
      <c r="AC28" s="23" t="n"/>
      <c r="AD28" s="25" t="n"/>
      <c r="AE28" s="23" t="n"/>
      <c r="AF28" s="25" t="n"/>
      <c r="AG28" s="25" t="n"/>
      <c r="AH28" s="23" t="n"/>
      <c r="AI28" s="23" t="n"/>
      <c r="AJ28" s="26">
        <f>IF(I28="","",I28&amp;"|"&amp;R28)</f>
        <v/>
      </c>
      <c r="AK28" s="26">
        <f>IF(I28="","",IF(ISNA(MATCH(O28,Kampanyalar!$A$2:$A$150,0)),"Hayır - Kampanyalar'da Yok","Evet"))</f>
        <v/>
      </c>
      <c r="AL28" s="27">
        <f>IF(I28="","",IFERROR(INDEX(Kampanyalar!$E$2:$E$150,MATCH(O28,Kampanyalar!$A$2:$A$150,0)),""))</f>
        <v/>
      </c>
      <c r="AM28" s="27">
        <f>IF(I28="","",IFERROR(INDEX(Kampanyalar!$F$2:$F$150,MATCH(O28,Kampanyalar!$A$2:$A$150,0)),""))</f>
        <v/>
      </c>
      <c r="AN28" s="27">
        <f>IF(I28="","",IFERROR(INDEX(Kampanyalar!$G$2:$G$150,MATCH(O28,Kampanyalar!$A$2:$A$150,0)),""))</f>
        <v/>
      </c>
      <c r="AO28" s="26">
        <f>IF(OR(I28="",AL28="",AM28=""),"",IF(AND(H28&gt;=AL28,H28&lt;=AM28),"Evet","HAYIR - Tarih Dışı"))</f>
        <v/>
      </c>
      <c r="AP28" s="28">
        <f>IF(I28="","",IFERROR(INDEX(Kampanyalar!$H$2:$H$150,MATCH(O28,Kampanyalar!$A$2:$A$150,0)),""))</f>
        <v/>
      </c>
      <c r="AQ28" s="28">
        <f>IF(I28="","",IF(ISNUMBER(AP28),AP28,AD28))</f>
        <v/>
      </c>
      <c r="AR28" s="26">
        <f>IF(I28="","",IF(Parametreler!$C$7="Evet","Kural A - Hemen Ödeme (Stok Mutabakatlı)","Kural B - Nakliye/Montaj Sonrası Ödeme"))</f>
        <v/>
      </c>
    </row>
    <row r="29">
      <c r="A29" s="23" t="n"/>
      <c r="B29" s="23" t="n"/>
      <c r="C29" s="23" t="n"/>
      <c r="D29" s="23" t="n"/>
      <c r="E29" s="23" t="n"/>
      <c r="F29" s="23" t="n"/>
      <c r="G29" s="23" t="n"/>
      <c r="H29" s="24" t="n"/>
      <c r="I29" s="23" t="n"/>
      <c r="J29" s="23" t="n"/>
      <c r="K29" s="23" t="n"/>
      <c r="L29" s="23" t="n"/>
      <c r="M29" s="23" t="n"/>
      <c r="N29" s="23" t="n"/>
      <c r="O29" s="23" t="n"/>
      <c r="P29" s="23" t="n"/>
      <c r="Q29" s="23" t="n"/>
      <c r="R29" s="23" t="n"/>
      <c r="S29" s="23" t="n"/>
      <c r="T29" s="23" t="n"/>
      <c r="U29" s="23" t="n"/>
      <c r="V29" s="23" t="n"/>
      <c r="W29" s="23" t="n"/>
      <c r="X29" s="23" t="n"/>
      <c r="Y29" s="25" t="n"/>
      <c r="Z29" s="25" t="n"/>
      <c r="AA29" s="23" t="n"/>
      <c r="AB29" s="25" t="n"/>
      <c r="AC29" s="23" t="n"/>
      <c r="AD29" s="25" t="n"/>
      <c r="AE29" s="23" t="n"/>
      <c r="AF29" s="25" t="n"/>
      <c r="AG29" s="25" t="n"/>
      <c r="AH29" s="23" t="n"/>
      <c r="AI29" s="23" t="n"/>
      <c r="AJ29" s="26">
        <f>IF(I29="","",I29&amp;"|"&amp;R29)</f>
        <v/>
      </c>
      <c r="AK29" s="26">
        <f>IF(I29="","",IF(ISNA(MATCH(O29,Kampanyalar!$A$2:$A$150,0)),"Hayır - Kampanyalar'da Yok","Evet"))</f>
        <v/>
      </c>
      <c r="AL29" s="27">
        <f>IF(I29="","",IFERROR(INDEX(Kampanyalar!$E$2:$E$150,MATCH(O29,Kampanyalar!$A$2:$A$150,0)),""))</f>
        <v/>
      </c>
      <c r="AM29" s="27">
        <f>IF(I29="","",IFERROR(INDEX(Kampanyalar!$F$2:$F$150,MATCH(O29,Kampanyalar!$A$2:$A$150,0)),""))</f>
        <v/>
      </c>
      <c r="AN29" s="27">
        <f>IF(I29="","",IFERROR(INDEX(Kampanyalar!$G$2:$G$150,MATCH(O29,Kampanyalar!$A$2:$A$150,0)),""))</f>
        <v/>
      </c>
      <c r="AO29" s="26">
        <f>IF(OR(I29="",AL29="",AM29=""),"",IF(AND(H29&gt;=AL29,H29&lt;=AM29),"Evet","HAYIR - Tarih Dışı"))</f>
        <v/>
      </c>
      <c r="AP29" s="28">
        <f>IF(I29="","",IFERROR(INDEX(Kampanyalar!$H$2:$H$150,MATCH(O29,Kampanyalar!$A$2:$A$150,0)),""))</f>
        <v/>
      </c>
      <c r="AQ29" s="28">
        <f>IF(I29="","",IF(ISNUMBER(AP29),AP29,AD29))</f>
        <v/>
      </c>
      <c r="AR29" s="26">
        <f>IF(I29="","",IF(Parametreler!$C$7="Evet","Kural A - Hemen Ödeme (Stok Mutabakatlı)","Kural B - Nakliye/Montaj Sonrası Ödeme"))</f>
        <v/>
      </c>
    </row>
    <row r="30">
      <c r="A30" s="23" t="n"/>
      <c r="B30" s="23" t="n"/>
      <c r="C30" s="23" t="n"/>
      <c r="D30" s="23" t="n"/>
      <c r="E30" s="23" t="n"/>
      <c r="F30" s="23" t="n"/>
      <c r="G30" s="23" t="n"/>
      <c r="H30" s="24" t="n"/>
      <c r="I30" s="23" t="n"/>
      <c r="J30" s="23" t="n"/>
      <c r="K30" s="23" t="n"/>
      <c r="L30" s="23" t="n"/>
      <c r="M30" s="23" t="n"/>
      <c r="N30" s="23" t="n"/>
      <c r="O30" s="23" t="n"/>
      <c r="P30" s="23" t="n"/>
      <c r="Q30" s="23" t="n"/>
      <c r="R30" s="23" t="n"/>
      <c r="S30" s="23" t="n"/>
      <c r="T30" s="23" t="n"/>
      <c r="U30" s="23" t="n"/>
      <c r="V30" s="23" t="n"/>
      <c r="W30" s="23" t="n"/>
      <c r="X30" s="23" t="n"/>
      <c r="Y30" s="25" t="n"/>
      <c r="Z30" s="25" t="n"/>
      <c r="AA30" s="23" t="n"/>
      <c r="AB30" s="25" t="n"/>
      <c r="AC30" s="23" t="n"/>
      <c r="AD30" s="25" t="n"/>
      <c r="AE30" s="23" t="n"/>
      <c r="AF30" s="25" t="n"/>
      <c r="AG30" s="25" t="n"/>
      <c r="AH30" s="23" t="n"/>
      <c r="AI30" s="23" t="n"/>
      <c r="AJ30" s="26">
        <f>IF(I30="","",I30&amp;"|"&amp;R30)</f>
        <v/>
      </c>
      <c r="AK30" s="26">
        <f>IF(I30="","",IF(ISNA(MATCH(O30,Kampanyalar!$A$2:$A$150,0)),"Hayır - Kampanyalar'da Yok","Evet"))</f>
        <v/>
      </c>
      <c r="AL30" s="27">
        <f>IF(I30="","",IFERROR(INDEX(Kampanyalar!$E$2:$E$150,MATCH(O30,Kampanyalar!$A$2:$A$150,0)),""))</f>
        <v/>
      </c>
      <c r="AM30" s="27">
        <f>IF(I30="","",IFERROR(INDEX(Kampanyalar!$F$2:$F$150,MATCH(O30,Kampanyalar!$A$2:$A$150,0)),""))</f>
        <v/>
      </c>
      <c r="AN30" s="27">
        <f>IF(I30="","",IFERROR(INDEX(Kampanyalar!$G$2:$G$150,MATCH(O30,Kampanyalar!$A$2:$A$150,0)),""))</f>
        <v/>
      </c>
      <c r="AO30" s="26">
        <f>IF(OR(I30="",AL30="",AM30=""),"",IF(AND(H30&gt;=AL30,H30&lt;=AM30),"Evet","HAYIR - Tarih Dışı"))</f>
        <v/>
      </c>
      <c r="AP30" s="28">
        <f>IF(I30="","",IFERROR(INDEX(Kampanyalar!$H$2:$H$150,MATCH(O30,Kampanyalar!$A$2:$A$150,0)),""))</f>
        <v/>
      </c>
      <c r="AQ30" s="28">
        <f>IF(I30="","",IF(ISNUMBER(AP30),AP30,AD30))</f>
        <v/>
      </c>
      <c r="AR30" s="26">
        <f>IF(I30="","",IF(Parametreler!$C$7="Evet","Kural A - Hemen Ödeme (Stok Mutabakatlı)","Kural B - Nakliye/Montaj Sonrası Ödeme"))</f>
        <v/>
      </c>
    </row>
    <row r="31">
      <c r="A31" s="23" t="n"/>
      <c r="B31" s="23" t="n"/>
      <c r="C31" s="23" t="n"/>
      <c r="D31" s="23" t="n"/>
      <c r="E31" s="23" t="n"/>
      <c r="F31" s="23" t="n"/>
      <c r="G31" s="23" t="n"/>
      <c r="H31" s="24" t="n"/>
      <c r="I31" s="23" t="n"/>
      <c r="J31" s="23" t="n"/>
      <c r="K31" s="23" t="n"/>
      <c r="L31" s="23" t="n"/>
      <c r="M31" s="23" t="n"/>
      <c r="N31" s="23" t="n"/>
      <c r="O31" s="23" t="n"/>
      <c r="P31" s="23" t="n"/>
      <c r="Q31" s="23" t="n"/>
      <c r="R31" s="23" t="n"/>
      <c r="S31" s="23" t="n"/>
      <c r="T31" s="23" t="n"/>
      <c r="U31" s="23" t="n"/>
      <c r="V31" s="23" t="n"/>
      <c r="W31" s="23" t="n"/>
      <c r="X31" s="23" t="n"/>
      <c r="Y31" s="25" t="n"/>
      <c r="Z31" s="25" t="n"/>
      <c r="AA31" s="23" t="n"/>
      <c r="AB31" s="25" t="n"/>
      <c r="AC31" s="23" t="n"/>
      <c r="AD31" s="25" t="n"/>
      <c r="AE31" s="23" t="n"/>
      <c r="AF31" s="25" t="n"/>
      <c r="AG31" s="25" t="n"/>
      <c r="AH31" s="23" t="n"/>
      <c r="AI31" s="23" t="n"/>
      <c r="AJ31" s="26">
        <f>IF(I31="","",I31&amp;"|"&amp;R31)</f>
        <v/>
      </c>
      <c r="AK31" s="26">
        <f>IF(I31="","",IF(ISNA(MATCH(O31,Kampanyalar!$A$2:$A$150,0)),"Hayır - Kampanyalar'da Yok","Evet"))</f>
        <v/>
      </c>
      <c r="AL31" s="27">
        <f>IF(I31="","",IFERROR(INDEX(Kampanyalar!$E$2:$E$150,MATCH(O31,Kampanyalar!$A$2:$A$150,0)),""))</f>
        <v/>
      </c>
      <c r="AM31" s="27">
        <f>IF(I31="","",IFERROR(INDEX(Kampanyalar!$F$2:$F$150,MATCH(O31,Kampanyalar!$A$2:$A$150,0)),""))</f>
        <v/>
      </c>
      <c r="AN31" s="27">
        <f>IF(I31="","",IFERROR(INDEX(Kampanyalar!$G$2:$G$150,MATCH(O31,Kampanyalar!$A$2:$A$150,0)),""))</f>
        <v/>
      </c>
      <c r="AO31" s="26">
        <f>IF(OR(I31="",AL31="",AM31=""),"",IF(AND(H31&gt;=AL31,H31&lt;=AM31),"Evet","HAYIR - Tarih Dışı"))</f>
        <v/>
      </c>
      <c r="AP31" s="28">
        <f>IF(I31="","",IFERROR(INDEX(Kampanyalar!$H$2:$H$150,MATCH(O31,Kampanyalar!$A$2:$A$150,0)),""))</f>
        <v/>
      </c>
      <c r="AQ31" s="28">
        <f>IF(I31="","",IF(ISNUMBER(AP31),AP31,AD31))</f>
        <v/>
      </c>
      <c r="AR31" s="26">
        <f>IF(I31="","",IF(Parametreler!$C$7="Evet","Kural A - Hemen Ödeme (Stok Mutabakatlı)","Kural B - Nakliye/Montaj Sonrası Ödeme"))</f>
        <v/>
      </c>
    </row>
    <row r="32">
      <c r="A32" s="23" t="n"/>
      <c r="B32" s="23" t="n"/>
      <c r="C32" s="23" t="n"/>
      <c r="D32" s="23" t="n"/>
      <c r="E32" s="23" t="n"/>
      <c r="F32" s="23" t="n"/>
      <c r="G32" s="23" t="n"/>
      <c r="H32" s="24" t="n"/>
      <c r="I32" s="23" t="n"/>
      <c r="J32" s="23" t="n"/>
      <c r="K32" s="23" t="n"/>
      <c r="L32" s="23" t="n"/>
      <c r="M32" s="23" t="n"/>
      <c r="N32" s="23" t="n"/>
      <c r="O32" s="23" t="n"/>
      <c r="P32" s="23" t="n"/>
      <c r="Q32" s="23" t="n"/>
      <c r="R32" s="23" t="n"/>
      <c r="S32" s="23" t="n"/>
      <c r="T32" s="23" t="n"/>
      <c r="U32" s="23" t="n"/>
      <c r="V32" s="23" t="n"/>
      <c r="W32" s="23" t="n"/>
      <c r="X32" s="23" t="n"/>
      <c r="Y32" s="25" t="n"/>
      <c r="Z32" s="25" t="n"/>
      <c r="AA32" s="23" t="n"/>
      <c r="AB32" s="25" t="n"/>
      <c r="AC32" s="23" t="n"/>
      <c r="AD32" s="25" t="n"/>
      <c r="AE32" s="23" t="n"/>
      <c r="AF32" s="25" t="n"/>
      <c r="AG32" s="25" t="n"/>
      <c r="AH32" s="23" t="n"/>
      <c r="AI32" s="23" t="n"/>
      <c r="AJ32" s="26">
        <f>IF(I32="","",I32&amp;"|"&amp;R32)</f>
        <v/>
      </c>
      <c r="AK32" s="26">
        <f>IF(I32="","",IF(ISNA(MATCH(O32,Kampanyalar!$A$2:$A$150,0)),"Hayır - Kampanyalar'da Yok","Evet"))</f>
        <v/>
      </c>
      <c r="AL32" s="27">
        <f>IF(I32="","",IFERROR(INDEX(Kampanyalar!$E$2:$E$150,MATCH(O32,Kampanyalar!$A$2:$A$150,0)),""))</f>
        <v/>
      </c>
      <c r="AM32" s="27">
        <f>IF(I32="","",IFERROR(INDEX(Kampanyalar!$F$2:$F$150,MATCH(O32,Kampanyalar!$A$2:$A$150,0)),""))</f>
        <v/>
      </c>
      <c r="AN32" s="27">
        <f>IF(I32="","",IFERROR(INDEX(Kampanyalar!$G$2:$G$150,MATCH(O32,Kampanyalar!$A$2:$A$150,0)),""))</f>
        <v/>
      </c>
      <c r="AO32" s="26">
        <f>IF(OR(I32="",AL32="",AM32=""),"",IF(AND(H32&gt;=AL32,H32&lt;=AM32),"Evet","HAYIR - Tarih Dışı"))</f>
        <v/>
      </c>
      <c r="AP32" s="28">
        <f>IF(I32="","",IFERROR(INDEX(Kampanyalar!$H$2:$H$150,MATCH(O32,Kampanyalar!$A$2:$A$150,0)),""))</f>
        <v/>
      </c>
      <c r="AQ32" s="28">
        <f>IF(I32="","",IF(ISNUMBER(AP32),AP32,AD32))</f>
        <v/>
      </c>
      <c r="AR32" s="26">
        <f>IF(I32="","",IF(Parametreler!$C$7="Evet","Kural A - Hemen Ödeme (Stok Mutabakatlı)","Kural B - Nakliye/Montaj Sonrası Ödeme"))</f>
        <v/>
      </c>
    </row>
    <row r="33">
      <c r="A33" s="23" t="n"/>
      <c r="B33" s="23" t="n"/>
      <c r="C33" s="23" t="n"/>
      <c r="D33" s="23" t="n"/>
      <c r="E33" s="23" t="n"/>
      <c r="F33" s="23" t="n"/>
      <c r="G33" s="23" t="n"/>
      <c r="H33" s="24" t="n"/>
      <c r="I33" s="23" t="n"/>
      <c r="J33" s="23" t="n"/>
      <c r="K33" s="23" t="n"/>
      <c r="L33" s="23" t="n"/>
      <c r="M33" s="23" t="n"/>
      <c r="N33" s="23" t="n"/>
      <c r="O33" s="23" t="n"/>
      <c r="P33" s="23" t="n"/>
      <c r="Q33" s="23" t="n"/>
      <c r="R33" s="23" t="n"/>
      <c r="S33" s="23" t="n"/>
      <c r="T33" s="23" t="n"/>
      <c r="U33" s="23" t="n"/>
      <c r="V33" s="23" t="n"/>
      <c r="W33" s="23" t="n"/>
      <c r="X33" s="23" t="n"/>
      <c r="Y33" s="25" t="n"/>
      <c r="Z33" s="25" t="n"/>
      <c r="AA33" s="23" t="n"/>
      <c r="AB33" s="25" t="n"/>
      <c r="AC33" s="23" t="n"/>
      <c r="AD33" s="25" t="n"/>
      <c r="AE33" s="23" t="n"/>
      <c r="AF33" s="25" t="n"/>
      <c r="AG33" s="25" t="n"/>
      <c r="AH33" s="23" t="n"/>
      <c r="AI33" s="23" t="n"/>
      <c r="AJ33" s="26">
        <f>IF(I33="","",I33&amp;"|"&amp;R33)</f>
        <v/>
      </c>
      <c r="AK33" s="26">
        <f>IF(I33="","",IF(ISNA(MATCH(O33,Kampanyalar!$A$2:$A$150,0)),"Hayır - Kampanyalar'da Yok","Evet"))</f>
        <v/>
      </c>
      <c r="AL33" s="27">
        <f>IF(I33="","",IFERROR(INDEX(Kampanyalar!$E$2:$E$150,MATCH(O33,Kampanyalar!$A$2:$A$150,0)),""))</f>
        <v/>
      </c>
      <c r="AM33" s="27">
        <f>IF(I33="","",IFERROR(INDEX(Kampanyalar!$F$2:$F$150,MATCH(O33,Kampanyalar!$A$2:$A$150,0)),""))</f>
        <v/>
      </c>
      <c r="AN33" s="27">
        <f>IF(I33="","",IFERROR(INDEX(Kampanyalar!$G$2:$G$150,MATCH(O33,Kampanyalar!$A$2:$A$150,0)),""))</f>
        <v/>
      </c>
      <c r="AO33" s="26">
        <f>IF(OR(I33="",AL33="",AM33=""),"",IF(AND(H33&gt;=AL33,H33&lt;=AM33),"Evet","HAYIR - Tarih Dışı"))</f>
        <v/>
      </c>
      <c r="AP33" s="28">
        <f>IF(I33="","",IFERROR(INDEX(Kampanyalar!$H$2:$H$150,MATCH(O33,Kampanyalar!$A$2:$A$150,0)),""))</f>
        <v/>
      </c>
      <c r="AQ33" s="28">
        <f>IF(I33="","",IF(ISNUMBER(AP33),AP33,AD33))</f>
        <v/>
      </c>
      <c r="AR33" s="26">
        <f>IF(I33="","",IF(Parametreler!$C$7="Evet","Kural A - Hemen Ödeme (Stok Mutabakatlı)","Kural B - Nakliye/Montaj Sonrası Ödeme"))</f>
        <v/>
      </c>
    </row>
    <row r="34">
      <c r="A34" s="23" t="n"/>
      <c r="B34" s="23" t="n"/>
      <c r="C34" s="23" t="n"/>
      <c r="D34" s="23" t="n"/>
      <c r="E34" s="23" t="n"/>
      <c r="F34" s="23" t="n"/>
      <c r="G34" s="23" t="n"/>
      <c r="H34" s="24" t="n"/>
      <c r="I34" s="23" t="n"/>
      <c r="J34" s="23" t="n"/>
      <c r="K34" s="23" t="n"/>
      <c r="L34" s="23" t="n"/>
      <c r="M34" s="23" t="n"/>
      <c r="N34" s="23" t="n"/>
      <c r="O34" s="23" t="n"/>
      <c r="P34" s="23" t="n"/>
      <c r="Q34" s="23" t="n"/>
      <c r="R34" s="23" t="n"/>
      <c r="S34" s="23" t="n"/>
      <c r="T34" s="23" t="n"/>
      <c r="U34" s="23" t="n"/>
      <c r="V34" s="23" t="n"/>
      <c r="W34" s="23" t="n"/>
      <c r="X34" s="23" t="n"/>
      <c r="Y34" s="25" t="n"/>
      <c r="Z34" s="25" t="n"/>
      <c r="AA34" s="23" t="n"/>
      <c r="AB34" s="25" t="n"/>
      <c r="AC34" s="23" t="n"/>
      <c r="AD34" s="25" t="n"/>
      <c r="AE34" s="23" t="n"/>
      <c r="AF34" s="25" t="n"/>
      <c r="AG34" s="25" t="n"/>
      <c r="AH34" s="23" t="n"/>
      <c r="AI34" s="23" t="n"/>
      <c r="AJ34" s="26">
        <f>IF(I34="","",I34&amp;"|"&amp;R34)</f>
        <v/>
      </c>
      <c r="AK34" s="26">
        <f>IF(I34="","",IF(ISNA(MATCH(O34,Kampanyalar!$A$2:$A$150,0)),"Hayır - Kampanyalar'da Yok","Evet"))</f>
        <v/>
      </c>
      <c r="AL34" s="27">
        <f>IF(I34="","",IFERROR(INDEX(Kampanyalar!$E$2:$E$150,MATCH(O34,Kampanyalar!$A$2:$A$150,0)),""))</f>
        <v/>
      </c>
      <c r="AM34" s="27">
        <f>IF(I34="","",IFERROR(INDEX(Kampanyalar!$F$2:$F$150,MATCH(O34,Kampanyalar!$A$2:$A$150,0)),""))</f>
        <v/>
      </c>
      <c r="AN34" s="27">
        <f>IF(I34="","",IFERROR(INDEX(Kampanyalar!$G$2:$G$150,MATCH(O34,Kampanyalar!$A$2:$A$150,0)),""))</f>
        <v/>
      </c>
      <c r="AO34" s="26">
        <f>IF(OR(I34="",AL34="",AM34=""),"",IF(AND(H34&gt;=AL34,H34&lt;=AM34),"Evet","HAYIR - Tarih Dışı"))</f>
        <v/>
      </c>
      <c r="AP34" s="28">
        <f>IF(I34="","",IFERROR(INDEX(Kampanyalar!$H$2:$H$150,MATCH(O34,Kampanyalar!$A$2:$A$150,0)),""))</f>
        <v/>
      </c>
      <c r="AQ34" s="28">
        <f>IF(I34="","",IF(ISNUMBER(AP34),AP34,AD34))</f>
        <v/>
      </c>
      <c r="AR34" s="26">
        <f>IF(I34="","",IF(Parametreler!$C$7="Evet","Kural A - Hemen Ödeme (Stok Mutabakatlı)","Kural B - Nakliye/Montaj Sonrası Ödeme"))</f>
        <v/>
      </c>
    </row>
    <row r="35">
      <c r="A35" s="23" t="n"/>
      <c r="B35" s="23" t="n"/>
      <c r="C35" s="23" t="n"/>
      <c r="D35" s="23" t="n"/>
      <c r="E35" s="23" t="n"/>
      <c r="F35" s="23" t="n"/>
      <c r="G35" s="23" t="n"/>
      <c r="H35" s="24" t="n"/>
      <c r="I35" s="23" t="n"/>
      <c r="J35" s="23" t="n"/>
      <c r="K35" s="23" t="n"/>
      <c r="L35" s="23" t="n"/>
      <c r="M35" s="23" t="n"/>
      <c r="N35" s="23" t="n"/>
      <c r="O35" s="23" t="n"/>
      <c r="P35" s="23" t="n"/>
      <c r="Q35" s="23" t="n"/>
      <c r="R35" s="23" t="n"/>
      <c r="S35" s="23" t="n"/>
      <c r="T35" s="23" t="n"/>
      <c r="U35" s="23" t="n"/>
      <c r="V35" s="23" t="n"/>
      <c r="W35" s="23" t="n"/>
      <c r="X35" s="23" t="n"/>
      <c r="Y35" s="25" t="n"/>
      <c r="Z35" s="25" t="n"/>
      <c r="AA35" s="23" t="n"/>
      <c r="AB35" s="25" t="n"/>
      <c r="AC35" s="23" t="n"/>
      <c r="AD35" s="25" t="n"/>
      <c r="AE35" s="23" t="n"/>
      <c r="AF35" s="25" t="n"/>
      <c r="AG35" s="25" t="n"/>
      <c r="AH35" s="23" t="n"/>
      <c r="AI35" s="23" t="n"/>
      <c r="AJ35" s="26">
        <f>IF(I35="","",I35&amp;"|"&amp;R35)</f>
        <v/>
      </c>
      <c r="AK35" s="26">
        <f>IF(I35="","",IF(ISNA(MATCH(O35,Kampanyalar!$A$2:$A$150,0)),"Hayır - Kampanyalar'da Yok","Evet"))</f>
        <v/>
      </c>
      <c r="AL35" s="27">
        <f>IF(I35="","",IFERROR(INDEX(Kampanyalar!$E$2:$E$150,MATCH(O35,Kampanyalar!$A$2:$A$150,0)),""))</f>
        <v/>
      </c>
      <c r="AM35" s="27">
        <f>IF(I35="","",IFERROR(INDEX(Kampanyalar!$F$2:$F$150,MATCH(O35,Kampanyalar!$A$2:$A$150,0)),""))</f>
        <v/>
      </c>
      <c r="AN35" s="27">
        <f>IF(I35="","",IFERROR(INDEX(Kampanyalar!$G$2:$G$150,MATCH(O35,Kampanyalar!$A$2:$A$150,0)),""))</f>
        <v/>
      </c>
      <c r="AO35" s="26">
        <f>IF(OR(I35="",AL35="",AM35=""),"",IF(AND(H35&gt;=AL35,H35&lt;=AM35),"Evet","HAYIR - Tarih Dışı"))</f>
        <v/>
      </c>
      <c r="AP35" s="28">
        <f>IF(I35="","",IFERROR(INDEX(Kampanyalar!$H$2:$H$150,MATCH(O35,Kampanyalar!$A$2:$A$150,0)),""))</f>
        <v/>
      </c>
      <c r="AQ35" s="28">
        <f>IF(I35="","",IF(ISNUMBER(AP35),AP35,AD35))</f>
        <v/>
      </c>
      <c r="AR35" s="26">
        <f>IF(I35="","",IF(Parametreler!$C$7="Evet","Kural A - Hemen Ödeme (Stok Mutabakatlı)","Kural B - Nakliye/Montaj Sonrası Ödeme"))</f>
        <v/>
      </c>
    </row>
    <row r="36">
      <c r="A36" s="23" t="n"/>
      <c r="B36" s="23" t="n"/>
      <c r="C36" s="23" t="n"/>
      <c r="D36" s="23" t="n"/>
      <c r="E36" s="23" t="n"/>
      <c r="F36" s="23" t="n"/>
      <c r="G36" s="23" t="n"/>
      <c r="H36" s="24" t="n"/>
      <c r="I36" s="23" t="n"/>
      <c r="J36" s="23" t="n"/>
      <c r="K36" s="23" t="n"/>
      <c r="L36" s="23" t="n"/>
      <c r="M36" s="23" t="n"/>
      <c r="N36" s="23" t="n"/>
      <c r="O36" s="23" t="n"/>
      <c r="P36" s="23" t="n"/>
      <c r="Q36" s="23" t="n"/>
      <c r="R36" s="23" t="n"/>
      <c r="S36" s="23" t="n"/>
      <c r="T36" s="23" t="n"/>
      <c r="U36" s="23" t="n"/>
      <c r="V36" s="23" t="n"/>
      <c r="W36" s="23" t="n"/>
      <c r="X36" s="23" t="n"/>
      <c r="Y36" s="25" t="n"/>
      <c r="Z36" s="25" t="n"/>
      <c r="AA36" s="23" t="n"/>
      <c r="AB36" s="25" t="n"/>
      <c r="AC36" s="23" t="n"/>
      <c r="AD36" s="25" t="n"/>
      <c r="AE36" s="23" t="n"/>
      <c r="AF36" s="25" t="n"/>
      <c r="AG36" s="25" t="n"/>
      <c r="AH36" s="23" t="n"/>
      <c r="AI36" s="23" t="n"/>
      <c r="AJ36" s="26">
        <f>IF(I36="","",I36&amp;"|"&amp;R36)</f>
        <v/>
      </c>
      <c r="AK36" s="26">
        <f>IF(I36="","",IF(ISNA(MATCH(O36,Kampanyalar!$A$2:$A$150,0)),"Hayır - Kampanyalar'da Yok","Evet"))</f>
        <v/>
      </c>
      <c r="AL36" s="27">
        <f>IF(I36="","",IFERROR(INDEX(Kampanyalar!$E$2:$E$150,MATCH(O36,Kampanyalar!$A$2:$A$150,0)),""))</f>
        <v/>
      </c>
      <c r="AM36" s="27">
        <f>IF(I36="","",IFERROR(INDEX(Kampanyalar!$F$2:$F$150,MATCH(O36,Kampanyalar!$A$2:$A$150,0)),""))</f>
        <v/>
      </c>
      <c r="AN36" s="27">
        <f>IF(I36="","",IFERROR(INDEX(Kampanyalar!$G$2:$G$150,MATCH(O36,Kampanyalar!$A$2:$A$150,0)),""))</f>
        <v/>
      </c>
      <c r="AO36" s="26">
        <f>IF(OR(I36="",AL36="",AM36=""),"",IF(AND(H36&gt;=AL36,H36&lt;=AM36),"Evet","HAYIR - Tarih Dışı"))</f>
        <v/>
      </c>
      <c r="AP36" s="28">
        <f>IF(I36="","",IFERROR(INDEX(Kampanyalar!$H$2:$H$150,MATCH(O36,Kampanyalar!$A$2:$A$150,0)),""))</f>
        <v/>
      </c>
      <c r="AQ36" s="28">
        <f>IF(I36="","",IF(ISNUMBER(AP36),AP36,AD36))</f>
        <v/>
      </c>
      <c r="AR36" s="26">
        <f>IF(I36="","",IF(Parametreler!$C$7="Evet","Kural A - Hemen Ödeme (Stok Mutabakatlı)","Kural B - Nakliye/Montaj Sonrası Ödeme"))</f>
        <v/>
      </c>
    </row>
    <row r="37">
      <c r="A37" s="23" t="n"/>
      <c r="B37" s="23" t="n"/>
      <c r="C37" s="23" t="n"/>
      <c r="D37" s="23" t="n"/>
      <c r="E37" s="23" t="n"/>
      <c r="F37" s="23" t="n"/>
      <c r="G37" s="23" t="n"/>
      <c r="H37" s="24" t="n"/>
      <c r="I37" s="23" t="n"/>
      <c r="J37" s="23" t="n"/>
      <c r="K37" s="23" t="n"/>
      <c r="L37" s="23" t="n"/>
      <c r="M37" s="23" t="n"/>
      <c r="N37" s="23" t="n"/>
      <c r="O37" s="23" t="n"/>
      <c r="P37" s="23" t="n"/>
      <c r="Q37" s="23" t="n"/>
      <c r="R37" s="23" t="n"/>
      <c r="S37" s="23" t="n"/>
      <c r="T37" s="23" t="n"/>
      <c r="U37" s="23" t="n"/>
      <c r="V37" s="23" t="n"/>
      <c r="W37" s="23" t="n"/>
      <c r="X37" s="23" t="n"/>
      <c r="Y37" s="25" t="n"/>
      <c r="Z37" s="25" t="n"/>
      <c r="AA37" s="23" t="n"/>
      <c r="AB37" s="25" t="n"/>
      <c r="AC37" s="23" t="n"/>
      <c r="AD37" s="25" t="n"/>
      <c r="AE37" s="23" t="n"/>
      <c r="AF37" s="25" t="n"/>
      <c r="AG37" s="25" t="n"/>
      <c r="AH37" s="23" t="n"/>
      <c r="AI37" s="23" t="n"/>
      <c r="AJ37" s="26">
        <f>IF(I37="","",I37&amp;"|"&amp;R37)</f>
        <v/>
      </c>
      <c r="AK37" s="26">
        <f>IF(I37="","",IF(ISNA(MATCH(O37,Kampanyalar!$A$2:$A$150,0)),"Hayır - Kampanyalar'da Yok","Evet"))</f>
        <v/>
      </c>
      <c r="AL37" s="27">
        <f>IF(I37="","",IFERROR(INDEX(Kampanyalar!$E$2:$E$150,MATCH(O37,Kampanyalar!$A$2:$A$150,0)),""))</f>
        <v/>
      </c>
      <c r="AM37" s="27">
        <f>IF(I37="","",IFERROR(INDEX(Kampanyalar!$F$2:$F$150,MATCH(O37,Kampanyalar!$A$2:$A$150,0)),""))</f>
        <v/>
      </c>
      <c r="AN37" s="27">
        <f>IF(I37="","",IFERROR(INDEX(Kampanyalar!$G$2:$G$150,MATCH(O37,Kampanyalar!$A$2:$A$150,0)),""))</f>
        <v/>
      </c>
      <c r="AO37" s="26">
        <f>IF(OR(I37="",AL37="",AM37=""),"",IF(AND(H37&gt;=AL37,H37&lt;=AM37),"Evet","HAYIR - Tarih Dışı"))</f>
        <v/>
      </c>
      <c r="AP37" s="28">
        <f>IF(I37="","",IFERROR(INDEX(Kampanyalar!$H$2:$H$150,MATCH(O37,Kampanyalar!$A$2:$A$150,0)),""))</f>
        <v/>
      </c>
      <c r="AQ37" s="28">
        <f>IF(I37="","",IF(ISNUMBER(AP37),AP37,AD37))</f>
        <v/>
      </c>
      <c r="AR37" s="26">
        <f>IF(I37="","",IF(Parametreler!$C$7="Evet","Kural A - Hemen Ödeme (Stok Mutabakatlı)","Kural B - Nakliye/Montaj Sonrası Ödeme"))</f>
        <v/>
      </c>
    </row>
    <row r="38">
      <c r="A38" s="23" t="n"/>
      <c r="B38" s="23" t="n"/>
      <c r="C38" s="23" t="n"/>
      <c r="D38" s="23" t="n"/>
      <c r="E38" s="23" t="n"/>
      <c r="F38" s="23" t="n"/>
      <c r="G38" s="23" t="n"/>
      <c r="H38" s="24" t="n"/>
      <c r="I38" s="23" t="n"/>
      <c r="J38" s="23" t="n"/>
      <c r="K38" s="23" t="n"/>
      <c r="L38" s="23" t="n"/>
      <c r="M38" s="23" t="n"/>
      <c r="N38" s="23" t="n"/>
      <c r="O38" s="23" t="n"/>
      <c r="P38" s="23" t="n"/>
      <c r="Q38" s="23" t="n"/>
      <c r="R38" s="23" t="n"/>
      <c r="S38" s="23" t="n"/>
      <c r="T38" s="23" t="n"/>
      <c r="U38" s="23" t="n"/>
      <c r="V38" s="23" t="n"/>
      <c r="W38" s="23" t="n"/>
      <c r="X38" s="23" t="n"/>
      <c r="Y38" s="25" t="n"/>
      <c r="Z38" s="25" t="n"/>
      <c r="AA38" s="23" t="n"/>
      <c r="AB38" s="25" t="n"/>
      <c r="AC38" s="23" t="n"/>
      <c r="AD38" s="25" t="n"/>
      <c r="AE38" s="23" t="n"/>
      <c r="AF38" s="25" t="n"/>
      <c r="AG38" s="25" t="n"/>
      <c r="AH38" s="23" t="n"/>
      <c r="AI38" s="23" t="n"/>
      <c r="AJ38" s="26">
        <f>IF(I38="","",I38&amp;"|"&amp;R38)</f>
        <v/>
      </c>
      <c r="AK38" s="26">
        <f>IF(I38="","",IF(ISNA(MATCH(O38,Kampanyalar!$A$2:$A$150,0)),"Hayır - Kampanyalar'da Yok","Evet"))</f>
        <v/>
      </c>
      <c r="AL38" s="27">
        <f>IF(I38="","",IFERROR(INDEX(Kampanyalar!$E$2:$E$150,MATCH(O38,Kampanyalar!$A$2:$A$150,0)),""))</f>
        <v/>
      </c>
      <c r="AM38" s="27">
        <f>IF(I38="","",IFERROR(INDEX(Kampanyalar!$F$2:$F$150,MATCH(O38,Kampanyalar!$A$2:$A$150,0)),""))</f>
        <v/>
      </c>
      <c r="AN38" s="27">
        <f>IF(I38="","",IFERROR(INDEX(Kampanyalar!$G$2:$G$150,MATCH(O38,Kampanyalar!$A$2:$A$150,0)),""))</f>
        <v/>
      </c>
      <c r="AO38" s="26">
        <f>IF(OR(I38="",AL38="",AM38=""),"",IF(AND(H38&gt;=AL38,H38&lt;=AM38),"Evet","HAYIR - Tarih Dışı"))</f>
        <v/>
      </c>
      <c r="AP38" s="28">
        <f>IF(I38="","",IFERROR(INDEX(Kampanyalar!$H$2:$H$150,MATCH(O38,Kampanyalar!$A$2:$A$150,0)),""))</f>
        <v/>
      </c>
      <c r="AQ38" s="28">
        <f>IF(I38="","",IF(ISNUMBER(AP38),AP38,AD38))</f>
        <v/>
      </c>
      <c r="AR38" s="26">
        <f>IF(I38="","",IF(Parametreler!$C$7="Evet","Kural A - Hemen Ödeme (Stok Mutabakatlı)","Kural B - Nakliye/Montaj Sonrası Ödeme"))</f>
        <v/>
      </c>
    </row>
    <row r="39">
      <c r="A39" s="23" t="n"/>
      <c r="B39" s="23" t="n"/>
      <c r="C39" s="23" t="n"/>
      <c r="D39" s="23" t="n"/>
      <c r="E39" s="23" t="n"/>
      <c r="F39" s="23" t="n"/>
      <c r="G39" s="23" t="n"/>
      <c r="H39" s="24" t="n"/>
      <c r="I39" s="23" t="n"/>
      <c r="J39" s="23" t="n"/>
      <c r="K39" s="23" t="n"/>
      <c r="L39" s="23" t="n"/>
      <c r="M39" s="23" t="n"/>
      <c r="N39" s="23" t="n"/>
      <c r="O39" s="23" t="n"/>
      <c r="P39" s="23" t="n"/>
      <c r="Q39" s="23" t="n"/>
      <c r="R39" s="23" t="n"/>
      <c r="S39" s="23" t="n"/>
      <c r="T39" s="23" t="n"/>
      <c r="U39" s="23" t="n"/>
      <c r="V39" s="23" t="n"/>
      <c r="W39" s="23" t="n"/>
      <c r="X39" s="23" t="n"/>
      <c r="Y39" s="25" t="n"/>
      <c r="Z39" s="25" t="n"/>
      <c r="AA39" s="23" t="n"/>
      <c r="AB39" s="25" t="n"/>
      <c r="AC39" s="23" t="n"/>
      <c r="AD39" s="25" t="n"/>
      <c r="AE39" s="23" t="n"/>
      <c r="AF39" s="25" t="n"/>
      <c r="AG39" s="25" t="n"/>
      <c r="AH39" s="23" t="n"/>
      <c r="AI39" s="23" t="n"/>
      <c r="AJ39" s="26">
        <f>IF(I39="","",I39&amp;"|"&amp;R39)</f>
        <v/>
      </c>
      <c r="AK39" s="26">
        <f>IF(I39="","",IF(ISNA(MATCH(O39,Kampanyalar!$A$2:$A$150,0)),"Hayır - Kampanyalar'da Yok","Evet"))</f>
        <v/>
      </c>
      <c r="AL39" s="27">
        <f>IF(I39="","",IFERROR(INDEX(Kampanyalar!$E$2:$E$150,MATCH(O39,Kampanyalar!$A$2:$A$150,0)),""))</f>
        <v/>
      </c>
      <c r="AM39" s="27">
        <f>IF(I39="","",IFERROR(INDEX(Kampanyalar!$F$2:$F$150,MATCH(O39,Kampanyalar!$A$2:$A$150,0)),""))</f>
        <v/>
      </c>
      <c r="AN39" s="27">
        <f>IF(I39="","",IFERROR(INDEX(Kampanyalar!$G$2:$G$150,MATCH(O39,Kampanyalar!$A$2:$A$150,0)),""))</f>
        <v/>
      </c>
      <c r="AO39" s="26">
        <f>IF(OR(I39="",AL39="",AM39=""),"",IF(AND(H39&gt;=AL39,H39&lt;=AM39),"Evet","HAYIR - Tarih Dışı"))</f>
        <v/>
      </c>
      <c r="AP39" s="28">
        <f>IF(I39="","",IFERROR(INDEX(Kampanyalar!$H$2:$H$150,MATCH(O39,Kampanyalar!$A$2:$A$150,0)),""))</f>
        <v/>
      </c>
      <c r="AQ39" s="28">
        <f>IF(I39="","",IF(ISNUMBER(AP39),AP39,AD39))</f>
        <v/>
      </c>
      <c r="AR39" s="26">
        <f>IF(I39="","",IF(Parametreler!$C$7="Evet","Kural A - Hemen Ödeme (Stok Mutabakatlı)","Kural B - Nakliye/Montaj Sonrası Ödeme"))</f>
        <v/>
      </c>
    </row>
    <row r="40">
      <c r="A40" s="23" t="n"/>
      <c r="B40" s="23" t="n"/>
      <c r="C40" s="23" t="n"/>
      <c r="D40" s="23" t="n"/>
      <c r="E40" s="23" t="n"/>
      <c r="F40" s="23" t="n"/>
      <c r="G40" s="23" t="n"/>
      <c r="H40" s="24" t="n"/>
      <c r="I40" s="23" t="n"/>
      <c r="J40" s="23" t="n"/>
      <c r="K40" s="23" t="n"/>
      <c r="L40" s="23" t="n"/>
      <c r="M40" s="23" t="n"/>
      <c r="N40" s="23" t="n"/>
      <c r="O40" s="23" t="n"/>
      <c r="P40" s="23" t="n"/>
      <c r="Q40" s="23" t="n"/>
      <c r="R40" s="23" t="n"/>
      <c r="S40" s="23" t="n"/>
      <c r="T40" s="23" t="n"/>
      <c r="U40" s="23" t="n"/>
      <c r="V40" s="23" t="n"/>
      <c r="W40" s="23" t="n"/>
      <c r="X40" s="23" t="n"/>
      <c r="Y40" s="25" t="n"/>
      <c r="Z40" s="25" t="n"/>
      <c r="AA40" s="23" t="n"/>
      <c r="AB40" s="25" t="n"/>
      <c r="AC40" s="23" t="n"/>
      <c r="AD40" s="25" t="n"/>
      <c r="AE40" s="23" t="n"/>
      <c r="AF40" s="25" t="n"/>
      <c r="AG40" s="25" t="n"/>
      <c r="AH40" s="23" t="n"/>
      <c r="AI40" s="23" t="n"/>
      <c r="AJ40" s="26">
        <f>IF(I40="","",I40&amp;"|"&amp;R40)</f>
        <v/>
      </c>
      <c r="AK40" s="26">
        <f>IF(I40="","",IF(ISNA(MATCH(O40,Kampanyalar!$A$2:$A$150,0)),"Hayır - Kampanyalar'da Yok","Evet"))</f>
        <v/>
      </c>
      <c r="AL40" s="27">
        <f>IF(I40="","",IFERROR(INDEX(Kampanyalar!$E$2:$E$150,MATCH(O40,Kampanyalar!$A$2:$A$150,0)),""))</f>
        <v/>
      </c>
      <c r="AM40" s="27">
        <f>IF(I40="","",IFERROR(INDEX(Kampanyalar!$F$2:$F$150,MATCH(O40,Kampanyalar!$A$2:$A$150,0)),""))</f>
        <v/>
      </c>
      <c r="AN40" s="27">
        <f>IF(I40="","",IFERROR(INDEX(Kampanyalar!$G$2:$G$150,MATCH(O40,Kampanyalar!$A$2:$A$150,0)),""))</f>
        <v/>
      </c>
      <c r="AO40" s="26">
        <f>IF(OR(I40="",AL40="",AM40=""),"",IF(AND(H40&gt;=AL40,H40&lt;=AM40),"Evet","HAYIR - Tarih Dışı"))</f>
        <v/>
      </c>
      <c r="AP40" s="28">
        <f>IF(I40="","",IFERROR(INDEX(Kampanyalar!$H$2:$H$150,MATCH(O40,Kampanyalar!$A$2:$A$150,0)),""))</f>
        <v/>
      </c>
      <c r="AQ40" s="28">
        <f>IF(I40="","",IF(ISNUMBER(AP40),AP40,AD40))</f>
        <v/>
      </c>
      <c r="AR40" s="26">
        <f>IF(I40="","",IF(Parametreler!$C$7="Evet","Kural A - Hemen Ödeme (Stok Mutabakatlı)","Kural B - Nakliye/Montaj Sonrası Ödeme"))</f>
        <v/>
      </c>
    </row>
    <row r="41">
      <c r="A41" s="23" t="n"/>
      <c r="B41" s="23" t="n"/>
      <c r="C41" s="23" t="n"/>
      <c r="D41" s="23" t="n"/>
      <c r="E41" s="23" t="n"/>
      <c r="F41" s="23" t="n"/>
      <c r="G41" s="23" t="n"/>
      <c r="H41" s="24" t="n"/>
      <c r="I41" s="23" t="n"/>
      <c r="J41" s="23" t="n"/>
      <c r="K41" s="23" t="n"/>
      <c r="L41" s="23" t="n"/>
      <c r="M41" s="23" t="n"/>
      <c r="N41" s="23" t="n"/>
      <c r="O41" s="23" t="n"/>
      <c r="P41" s="23" t="n"/>
      <c r="Q41" s="23" t="n"/>
      <c r="R41" s="23" t="n"/>
      <c r="S41" s="23" t="n"/>
      <c r="T41" s="23" t="n"/>
      <c r="U41" s="23" t="n"/>
      <c r="V41" s="23" t="n"/>
      <c r="W41" s="23" t="n"/>
      <c r="X41" s="23" t="n"/>
      <c r="Y41" s="25" t="n"/>
      <c r="Z41" s="25" t="n"/>
      <c r="AA41" s="23" t="n"/>
      <c r="AB41" s="25" t="n"/>
      <c r="AC41" s="23" t="n"/>
      <c r="AD41" s="25" t="n"/>
      <c r="AE41" s="23" t="n"/>
      <c r="AF41" s="25" t="n"/>
      <c r="AG41" s="25" t="n"/>
      <c r="AH41" s="23" t="n"/>
      <c r="AI41" s="23" t="n"/>
      <c r="AJ41" s="26">
        <f>IF(I41="","",I41&amp;"|"&amp;R41)</f>
        <v/>
      </c>
      <c r="AK41" s="26">
        <f>IF(I41="","",IF(ISNA(MATCH(O41,Kampanyalar!$A$2:$A$150,0)),"Hayır - Kampanyalar'da Yok","Evet"))</f>
        <v/>
      </c>
      <c r="AL41" s="27">
        <f>IF(I41="","",IFERROR(INDEX(Kampanyalar!$E$2:$E$150,MATCH(O41,Kampanyalar!$A$2:$A$150,0)),""))</f>
        <v/>
      </c>
      <c r="AM41" s="27">
        <f>IF(I41="","",IFERROR(INDEX(Kampanyalar!$F$2:$F$150,MATCH(O41,Kampanyalar!$A$2:$A$150,0)),""))</f>
        <v/>
      </c>
      <c r="AN41" s="27">
        <f>IF(I41="","",IFERROR(INDEX(Kampanyalar!$G$2:$G$150,MATCH(O41,Kampanyalar!$A$2:$A$150,0)),""))</f>
        <v/>
      </c>
      <c r="AO41" s="26">
        <f>IF(OR(I41="",AL41="",AM41=""),"",IF(AND(H41&gt;=AL41,H41&lt;=AM41),"Evet","HAYIR - Tarih Dışı"))</f>
        <v/>
      </c>
      <c r="AP41" s="28">
        <f>IF(I41="","",IFERROR(INDEX(Kampanyalar!$H$2:$H$150,MATCH(O41,Kampanyalar!$A$2:$A$150,0)),""))</f>
        <v/>
      </c>
      <c r="AQ41" s="28">
        <f>IF(I41="","",IF(ISNUMBER(AP41),AP41,AD41))</f>
        <v/>
      </c>
      <c r="AR41" s="26">
        <f>IF(I41="","",IF(Parametreler!$C$7="Evet","Kural A - Hemen Ödeme (Stok Mutabakatlı)","Kural B - Nakliye/Montaj Sonrası Ödeme"))</f>
        <v/>
      </c>
    </row>
    <row r="42">
      <c r="A42" s="23" t="n"/>
      <c r="B42" s="23" t="n"/>
      <c r="C42" s="23" t="n"/>
      <c r="D42" s="23" t="n"/>
      <c r="E42" s="23" t="n"/>
      <c r="F42" s="23" t="n"/>
      <c r="G42" s="23" t="n"/>
      <c r="H42" s="24" t="n"/>
      <c r="I42" s="23" t="n"/>
      <c r="J42" s="23" t="n"/>
      <c r="K42" s="23" t="n"/>
      <c r="L42" s="23" t="n"/>
      <c r="M42" s="23" t="n"/>
      <c r="N42" s="23" t="n"/>
      <c r="O42" s="23" t="n"/>
      <c r="P42" s="23" t="n"/>
      <c r="Q42" s="23" t="n"/>
      <c r="R42" s="23" t="n"/>
      <c r="S42" s="23" t="n"/>
      <c r="T42" s="23" t="n"/>
      <c r="U42" s="23" t="n"/>
      <c r="V42" s="23" t="n"/>
      <c r="W42" s="23" t="n"/>
      <c r="X42" s="23" t="n"/>
      <c r="Y42" s="25" t="n"/>
      <c r="Z42" s="25" t="n"/>
      <c r="AA42" s="23" t="n"/>
      <c r="AB42" s="25" t="n"/>
      <c r="AC42" s="23" t="n"/>
      <c r="AD42" s="25" t="n"/>
      <c r="AE42" s="23" t="n"/>
      <c r="AF42" s="25" t="n"/>
      <c r="AG42" s="25" t="n"/>
      <c r="AH42" s="23" t="n"/>
      <c r="AI42" s="23" t="n"/>
      <c r="AJ42" s="26">
        <f>IF(I42="","",I42&amp;"|"&amp;R42)</f>
        <v/>
      </c>
      <c r="AK42" s="26">
        <f>IF(I42="","",IF(ISNA(MATCH(O42,Kampanyalar!$A$2:$A$150,0)),"Hayır - Kampanyalar'da Yok","Evet"))</f>
        <v/>
      </c>
      <c r="AL42" s="27">
        <f>IF(I42="","",IFERROR(INDEX(Kampanyalar!$E$2:$E$150,MATCH(O42,Kampanyalar!$A$2:$A$150,0)),""))</f>
        <v/>
      </c>
      <c r="AM42" s="27">
        <f>IF(I42="","",IFERROR(INDEX(Kampanyalar!$F$2:$F$150,MATCH(O42,Kampanyalar!$A$2:$A$150,0)),""))</f>
        <v/>
      </c>
      <c r="AN42" s="27">
        <f>IF(I42="","",IFERROR(INDEX(Kampanyalar!$G$2:$G$150,MATCH(O42,Kampanyalar!$A$2:$A$150,0)),""))</f>
        <v/>
      </c>
      <c r="AO42" s="26">
        <f>IF(OR(I42="",AL42="",AM42=""),"",IF(AND(H42&gt;=AL42,H42&lt;=AM42),"Evet","HAYIR - Tarih Dışı"))</f>
        <v/>
      </c>
      <c r="AP42" s="28">
        <f>IF(I42="","",IFERROR(INDEX(Kampanyalar!$H$2:$H$150,MATCH(O42,Kampanyalar!$A$2:$A$150,0)),""))</f>
        <v/>
      </c>
      <c r="AQ42" s="28">
        <f>IF(I42="","",IF(ISNUMBER(AP42),AP42,AD42))</f>
        <v/>
      </c>
      <c r="AR42" s="26">
        <f>IF(I42="","",IF(Parametreler!$C$7="Evet","Kural A - Hemen Ödeme (Stok Mutabakatlı)","Kural B - Nakliye/Montaj Sonrası Ödeme"))</f>
        <v/>
      </c>
    </row>
    <row r="43">
      <c r="A43" s="23" t="n"/>
      <c r="B43" s="23" t="n"/>
      <c r="C43" s="23" t="n"/>
      <c r="D43" s="23" t="n"/>
      <c r="E43" s="23" t="n"/>
      <c r="F43" s="23" t="n"/>
      <c r="G43" s="23" t="n"/>
      <c r="H43" s="24" t="n"/>
      <c r="I43" s="23" t="n"/>
      <c r="J43" s="23" t="n"/>
      <c r="K43" s="23" t="n"/>
      <c r="L43" s="23" t="n"/>
      <c r="M43" s="23" t="n"/>
      <c r="N43" s="23" t="n"/>
      <c r="O43" s="23" t="n"/>
      <c r="P43" s="23" t="n"/>
      <c r="Q43" s="23" t="n"/>
      <c r="R43" s="23" t="n"/>
      <c r="S43" s="23" t="n"/>
      <c r="T43" s="23" t="n"/>
      <c r="U43" s="23" t="n"/>
      <c r="V43" s="23" t="n"/>
      <c r="W43" s="23" t="n"/>
      <c r="X43" s="23" t="n"/>
      <c r="Y43" s="25" t="n"/>
      <c r="Z43" s="25" t="n"/>
      <c r="AA43" s="23" t="n"/>
      <c r="AB43" s="25" t="n"/>
      <c r="AC43" s="23" t="n"/>
      <c r="AD43" s="25" t="n"/>
      <c r="AE43" s="23" t="n"/>
      <c r="AF43" s="25" t="n"/>
      <c r="AG43" s="25" t="n"/>
      <c r="AH43" s="23" t="n"/>
      <c r="AI43" s="23" t="n"/>
      <c r="AJ43" s="26">
        <f>IF(I43="","",I43&amp;"|"&amp;R43)</f>
        <v/>
      </c>
      <c r="AK43" s="26">
        <f>IF(I43="","",IF(ISNA(MATCH(O43,Kampanyalar!$A$2:$A$150,0)),"Hayır - Kampanyalar'da Yok","Evet"))</f>
        <v/>
      </c>
      <c r="AL43" s="27">
        <f>IF(I43="","",IFERROR(INDEX(Kampanyalar!$E$2:$E$150,MATCH(O43,Kampanyalar!$A$2:$A$150,0)),""))</f>
        <v/>
      </c>
      <c r="AM43" s="27">
        <f>IF(I43="","",IFERROR(INDEX(Kampanyalar!$F$2:$F$150,MATCH(O43,Kampanyalar!$A$2:$A$150,0)),""))</f>
        <v/>
      </c>
      <c r="AN43" s="27">
        <f>IF(I43="","",IFERROR(INDEX(Kampanyalar!$G$2:$G$150,MATCH(O43,Kampanyalar!$A$2:$A$150,0)),""))</f>
        <v/>
      </c>
      <c r="AO43" s="26">
        <f>IF(OR(I43="",AL43="",AM43=""),"",IF(AND(H43&gt;=AL43,H43&lt;=AM43),"Evet","HAYIR - Tarih Dışı"))</f>
        <v/>
      </c>
      <c r="AP43" s="28">
        <f>IF(I43="","",IFERROR(INDEX(Kampanyalar!$H$2:$H$150,MATCH(O43,Kampanyalar!$A$2:$A$150,0)),""))</f>
        <v/>
      </c>
      <c r="AQ43" s="28">
        <f>IF(I43="","",IF(ISNUMBER(AP43),AP43,AD43))</f>
        <v/>
      </c>
      <c r="AR43" s="26">
        <f>IF(I43="","",IF(Parametreler!$C$7="Evet","Kural A - Hemen Ödeme (Stok Mutabakatlı)","Kural B - Nakliye/Montaj Sonrası Ödeme"))</f>
        <v/>
      </c>
    </row>
    <row r="44">
      <c r="A44" s="23" t="n"/>
      <c r="B44" s="23" t="n"/>
      <c r="C44" s="23" t="n"/>
      <c r="D44" s="23" t="n"/>
      <c r="E44" s="23" t="n"/>
      <c r="F44" s="23" t="n"/>
      <c r="G44" s="23" t="n"/>
      <c r="H44" s="24" t="n"/>
      <c r="I44" s="23" t="n"/>
      <c r="J44" s="23" t="n"/>
      <c r="K44" s="23" t="n"/>
      <c r="L44" s="23" t="n"/>
      <c r="M44" s="23" t="n"/>
      <c r="N44" s="23" t="n"/>
      <c r="O44" s="23" t="n"/>
      <c r="P44" s="23" t="n"/>
      <c r="Q44" s="23" t="n"/>
      <c r="R44" s="23" t="n"/>
      <c r="S44" s="23" t="n"/>
      <c r="T44" s="23" t="n"/>
      <c r="U44" s="23" t="n"/>
      <c r="V44" s="23" t="n"/>
      <c r="W44" s="23" t="n"/>
      <c r="X44" s="23" t="n"/>
      <c r="Y44" s="25" t="n"/>
      <c r="Z44" s="25" t="n"/>
      <c r="AA44" s="23" t="n"/>
      <c r="AB44" s="25" t="n"/>
      <c r="AC44" s="23" t="n"/>
      <c r="AD44" s="25" t="n"/>
      <c r="AE44" s="23" t="n"/>
      <c r="AF44" s="25" t="n"/>
      <c r="AG44" s="25" t="n"/>
      <c r="AH44" s="23" t="n"/>
      <c r="AI44" s="23" t="n"/>
      <c r="AJ44" s="26">
        <f>IF(I44="","",I44&amp;"|"&amp;R44)</f>
        <v/>
      </c>
      <c r="AK44" s="26">
        <f>IF(I44="","",IF(ISNA(MATCH(O44,Kampanyalar!$A$2:$A$150,0)),"Hayır - Kampanyalar'da Yok","Evet"))</f>
        <v/>
      </c>
      <c r="AL44" s="27">
        <f>IF(I44="","",IFERROR(INDEX(Kampanyalar!$E$2:$E$150,MATCH(O44,Kampanyalar!$A$2:$A$150,0)),""))</f>
        <v/>
      </c>
      <c r="AM44" s="27">
        <f>IF(I44="","",IFERROR(INDEX(Kampanyalar!$F$2:$F$150,MATCH(O44,Kampanyalar!$A$2:$A$150,0)),""))</f>
        <v/>
      </c>
      <c r="AN44" s="27">
        <f>IF(I44="","",IFERROR(INDEX(Kampanyalar!$G$2:$G$150,MATCH(O44,Kampanyalar!$A$2:$A$150,0)),""))</f>
        <v/>
      </c>
      <c r="AO44" s="26">
        <f>IF(OR(I44="",AL44="",AM44=""),"",IF(AND(H44&gt;=AL44,H44&lt;=AM44),"Evet","HAYIR - Tarih Dışı"))</f>
        <v/>
      </c>
      <c r="AP44" s="28">
        <f>IF(I44="","",IFERROR(INDEX(Kampanyalar!$H$2:$H$150,MATCH(O44,Kampanyalar!$A$2:$A$150,0)),""))</f>
        <v/>
      </c>
      <c r="AQ44" s="28">
        <f>IF(I44="","",IF(ISNUMBER(AP44),AP44,AD44))</f>
        <v/>
      </c>
      <c r="AR44" s="26">
        <f>IF(I44="","",IF(Parametreler!$C$7="Evet","Kural A - Hemen Ödeme (Stok Mutabakatlı)","Kural B - Nakliye/Montaj Sonrası Ödeme"))</f>
        <v/>
      </c>
    </row>
    <row r="45">
      <c r="A45" s="23" t="n"/>
      <c r="B45" s="23" t="n"/>
      <c r="C45" s="23" t="n"/>
      <c r="D45" s="23" t="n"/>
      <c r="E45" s="23" t="n"/>
      <c r="F45" s="23" t="n"/>
      <c r="G45" s="23" t="n"/>
      <c r="H45" s="24" t="n"/>
      <c r="I45" s="23" t="n"/>
      <c r="J45" s="23" t="n"/>
      <c r="K45" s="23" t="n"/>
      <c r="L45" s="23" t="n"/>
      <c r="M45" s="23" t="n"/>
      <c r="N45" s="23" t="n"/>
      <c r="O45" s="23" t="n"/>
      <c r="P45" s="23" t="n"/>
      <c r="Q45" s="23" t="n"/>
      <c r="R45" s="23" t="n"/>
      <c r="S45" s="23" t="n"/>
      <c r="T45" s="23" t="n"/>
      <c r="U45" s="23" t="n"/>
      <c r="V45" s="23" t="n"/>
      <c r="W45" s="23" t="n"/>
      <c r="X45" s="23" t="n"/>
      <c r="Y45" s="25" t="n"/>
      <c r="Z45" s="25" t="n"/>
      <c r="AA45" s="23" t="n"/>
      <c r="AB45" s="25" t="n"/>
      <c r="AC45" s="23" t="n"/>
      <c r="AD45" s="25" t="n"/>
      <c r="AE45" s="23" t="n"/>
      <c r="AF45" s="25" t="n"/>
      <c r="AG45" s="25" t="n"/>
      <c r="AH45" s="23" t="n"/>
      <c r="AI45" s="23" t="n"/>
      <c r="AJ45" s="26">
        <f>IF(I45="","",I45&amp;"|"&amp;R45)</f>
        <v/>
      </c>
      <c r="AK45" s="26">
        <f>IF(I45="","",IF(ISNA(MATCH(O45,Kampanyalar!$A$2:$A$150,0)),"Hayır - Kampanyalar'da Yok","Evet"))</f>
        <v/>
      </c>
      <c r="AL45" s="27">
        <f>IF(I45="","",IFERROR(INDEX(Kampanyalar!$E$2:$E$150,MATCH(O45,Kampanyalar!$A$2:$A$150,0)),""))</f>
        <v/>
      </c>
      <c r="AM45" s="27">
        <f>IF(I45="","",IFERROR(INDEX(Kampanyalar!$F$2:$F$150,MATCH(O45,Kampanyalar!$A$2:$A$150,0)),""))</f>
        <v/>
      </c>
      <c r="AN45" s="27">
        <f>IF(I45="","",IFERROR(INDEX(Kampanyalar!$G$2:$G$150,MATCH(O45,Kampanyalar!$A$2:$A$150,0)),""))</f>
        <v/>
      </c>
      <c r="AO45" s="26">
        <f>IF(OR(I45="",AL45="",AM45=""),"",IF(AND(H45&gt;=AL45,H45&lt;=AM45),"Evet","HAYIR - Tarih Dışı"))</f>
        <v/>
      </c>
      <c r="AP45" s="28">
        <f>IF(I45="","",IFERROR(INDEX(Kampanyalar!$H$2:$H$150,MATCH(O45,Kampanyalar!$A$2:$A$150,0)),""))</f>
        <v/>
      </c>
      <c r="AQ45" s="28">
        <f>IF(I45="","",IF(ISNUMBER(AP45),AP45,AD45))</f>
        <v/>
      </c>
      <c r="AR45" s="26">
        <f>IF(I45="","",IF(Parametreler!$C$7="Evet","Kural A - Hemen Ödeme (Stok Mutabakatlı)","Kural B - Nakliye/Montaj Sonrası Ödeme"))</f>
        <v/>
      </c>
    </row>
    <row r="46">
      <c r="A46" s="23" t="n"/>
      <c r="B46" s="23" t="n"/>
      <c r="C46" s="23" t="n"/>
      <c r="D46" s="23" t="n"/>
      <c r="E46" s="23" t="n"/>
      <c r="F46" s="23" t="n"/>
      <c r="G46" s="23" t="n"/>
      <c r="H46" s="24" t="n"/>
      <c r="I46" s="23" t="n"/>
      <c r="J46" s="23" t="n"/>
      <c r="K46" s="23" t="n"/>
      <c r="L46" s="23" t="n"/>
      <c r="M46" s="23" t="n"/>
      <c r="N46" s="23" t="n"/>
      <c r="O46" s="23" t="n"/>
      <c r="P46" s="23" t="n"/>
      <c r="Q46" s="23" t="n"/>
      <c r="R46" s="23" t="n"/>
      <c r="S46" s="23" t="n"/>
      <c r="T46" s="23" t="n"/>
      <c r="U46" s="23" t="n"/>
      <c r="V46" s="23" t="n"/>
      <c r="W46" s="23" t="n"/>
      <c r="X46" s="23" t="n"/>
      <c r="Y46" s="25" t="n"/>
      <c r="Z46" s="25" t="n"/>
      <c r="AA46" s="23" t="n"/>
      <c r="AB46" s="25" t="n"/>
      <c r="AC46" s="23" t="n"/>
      <c r="AD46" s="25" t="n"/>
      <c r="AE46" s="23" t="n"/>
      <c r="AF46" s="25" t="n"/>
      <c r="AG46" s="25" t="n"/>
      <c r="AH46" s="23" t="n"/>
      <c r="AI46" s="23" t="n"/>
      <c r="AJ46" s="26">
        <f>IF(I46="","",I46&amp;"|"&amp;R46)</f>
        <v/>
      </c>
      <c r="AK46" s="26">
        <f>IF(I46="","",IF(ISNA(MATCH(O46,Kampanyalar!$A$2:$A$150,0)),"Hayır - Kampanyalar'da Yok","Evet"))</f>
        <v/>
      </c>
      <c r="AL46" s="27">
        <f>IF(I46="","",IFERROR(INDEX(Kampanyalar!$E$2:$E$150,MATCH(O46,Kampanyalar!$A$2:$A$150,0)),""))</f>
        <v/>
      </c>
      <c r="AM46" s="27">
        <f>IF(I46="","",IFERROR(INDEX(Kampanyalar!$F$2:$F$150,MATCH(O46,Kampanyalar!$A$2:$A$150,0)),""))</f>
        <v/>
      </c>
      <c r="AN46" s="27">
        <f>IF(I46="","",IFERROR(INDEX(Kampanyalar!$G$2:$G$150,MATCH(O46,Kampanyalar!$A$2:$A$150,0)),""))</f>
        <v/>
      </c>
      <c r="AO46" s="26">
        <f>IF(OR(I46="",AL46="",AM46=""),"",IF(AND(H46&gt;=AL46,H46&lt;=AM46),"Evet","HAYIR - Tarih Dışı"))</f>
        <v/>
      </c>
      <c r="AP46" s="28">
        <f>IF(I46="","",IFERROR(INDEX(Kampanyalar!$H$2:$H$150,MATCH(O46,Kampanyalar!$A$2:$A$150,0)),""))</f>
        <v/>
      </c>
      <c r="AQ46" s="28">
        <f>IF(I46="","",IF(ISNUMBER(AP46),AP46,AD46))</f>
        <v/>
      </c>
      <c r="AR46" s="26">
        <f>IF(I46="","",IF(Parametreler!$C$7="Evet","Kural A - Hemen Ödeme (Stok Mutabakatlı)","Kural B - Nakliye/Montaj Sonrası Ödeme"))</f>
        <v/>
      </c>
    </row>
    <row r="47">
      <c r="A47" s="23" t="n"/>
      <c r="B47" s="23" t="n"/>
      <c r="C47" s="23" t="n"/>
      <c r="D47" s="23" t="n"/>
      <c r="E47" s="23" t="n"/>
      <c r="F47" s="23" t="n"/>
      <c r="G47" s="23" t="n"/>
      <c r="H47" s="24" t="n"/>
      <c r="I47" s="23" t="n"/>
      <c r="J47" s="23" t="n"/>
      <c r="K47" s="23" t="n"/>
      <c r="L47" s="23" t="n"/>
      <c r="M47" s="23" t="n"/>
      <c r="N47" s="23" t="n"/>
      <c r="O47" s="23" t="n"/>
      <c r="P47" s="23" t="n"/>
      <c r="Q47" s="23" t="n"/>
      <c r="R47" s="23" t="n"/>
      <c r="S47" s="23" t="n"/>
      <c r="T47" s="23" t="n"/>
      <c r="U47" s="23" t="n"/>
      <c r="V47" s="23" t="n"/>
      <c r="W47" s="23" t="n"/>
      <c r="X47" s="23" t="n"/>
      <c r="Y47" s="25" t="n"/>
      <c r="Z47" s="25" t="n"/>
      <c r="AA47" s="23" t="n"/>
      <c r="AB47" s="25" t="n"/>
      <c r="AC47" s="23" t="n"/>
      <c r="AD47" s="25" t="n"/>
      <c r="AE47" s="23" t="n"/>
      <c r="AF47" s="25" t="n"/>
      <c r="AG47" s="25" t="n"/>
      <c r="AH47" s="23" t="n"/>
      <c r="AI47" s="23" t="n"/>
      <c r="AJ47" s="26">
        <f>IF(I47="","",I47&amp;"|"&amp;R47)</f>
        <v/>
      </c>
      <c r="AK47" s="26">
        <f>IF(I47="","",IF(ISNA(MATCH(O47,Kampanyalar!$A$2:$A$150,0)),"Hayır - Kampanyalar'da Yok","Evet"))</f>
        <v/>
      </c>
      <c r="AL47" s="27">
        <f>IF(I47="","",IFERROR(INDEX(Kampanyalar!$E$2:$E$150,MATCH(O47,Kampanyalar!$A$2:$A$150,0)),""))</f>
        <v/>
      </c>
      <c r="AM47" s="27">
        <f>IF(I47="","",IFERROR(INDEX(Kampanyalar!$F$2:$F$150,MATCH(O47,Kampanyalar!$A$2:$A$150,0)),""))</f>
        <v/>
      </c>
      <c r="AN47" s="27">
        <f>IF(I47="","",IFERROR(INDEX(Kampanyalar!$G$2:$G$150,MATCH(O47,Kampanyalar!$A$2:$A$150,0)),""))</f>
        <v/>
      </c>
      <c r="AO47" s="26">
        <f>IF(OR(I47="",AL47="",AM47=""),"",IF(AND(H47&gt;=AL47,H47&lt;=AM47),"Evet","HAYIR - Tarih Dışı"))</f>
        <v/>
      </c>
      <c r="AP47" s="28">
        <f>IF(I47="","",IFERROR(INDEX(Kampanyalar!$H$2:$H$150,MATCH(O47,Kampanyalar!$A$2:$A$150,0)),""))</f>
        <v/>
      </c>
      <c r="AQ47" s="28">
        <f>IF(I47="","",IF(ISNUMBER(AP47),AP47,AD47))</f>
        <v/>
      </c>
      <c r="AR47" s="26">
        <f>IF(I47="","",IF(Parametreler!$C$7="Evet","Kural A - Hemen Ödeme (Stok Mutabakatlı)","Kural B - Nakliye/Montaj Sonrası Ödeme"))</f>
        <v/>
      </c>
    </row>
    <row r="48">
      <c r="A48" s="23" t="n"/>
      <c r="B48" s="23" t="n"/>
      <c r="C48" s="23" t="n"/>
      <c r="D48" s="23" t="n"/>
      <c r="E48" s="23" t="n"/>
      <c r="F48" s="23" t="n"/>
      <c r="G48" s="23" t="n"/>
      <c r="H48" s="24" t="n"/>
      <c r="I48" s="23" t="n"/>
      <c r="J48" s="23" t="n"/>
      <c r="K48" s="23" t="n"/>
      <c r="L48" s="23" t="n"/>
      <c r="M48" s="23" t="n"/>
      <c r="N48" s="23" t="n"/>
      <c r="O48" s="23" t="n"/>
      <c r="P48" s="23" t="n"/>
      <c r="Q48" s="23" t="n"/>
      <c r="R48" s="23" t="n"/>
      <c r="S48" s="23" t="n"/>
      <c r="T48" s="23" t="n"/>
      <c r="U48" s="23" t="n"/>
      <c r="V48" s="23" t="n"/>
      <c r="W48" s="23" t="n"/>
      <c r="X48" s="23" t="n"/>
      <c r="Y48" s="25" t="n"/>
      <c r="Z48" s="25" t="n"/>
      <c r="AA48" s="23" t="n"/>
      <c r="AB48" s="25" t="n"/>
      <c r="AC48" s="23" t="n"/>
      <c r="AD48" s="25" t="n"/>
      <c r="AE48" s="23" t="n"/>
      <c r="AF48" s="25" t="n"/>
      <c r="AG48" s="25" t="n"/>
      <c r="AH48" s="23" t="n"/>
      <c r="AI48" s="23" t="n"/>
      <c r="AJ48" s="26">
        <f>IF(I48="","",I48&amp;"|"&amp;R48)</f>
        <v/>
      </c>
      <c r="AK48" s="26">
        <f>IF(I48="","",IF(ISNA(MATCH(O48,Kampanyalar!$A$2:$A$150,0)),"Hayır - Kampanyalar'da Yok","Evet"))</f>
        <v/>
      </c>
      <c r="AL48" s="27">
        <f>IF(I48="","",IFERROR(INDEX(Kampanyalar!$E$2:$E$150,MATCH(O48,Kampanyalar!$A$2:$A$150,0)),""))</f>
        <v/>
      </c>
      <c r="AM48" s="27">
        <f>IF(I48="","",IFERROR(INDEX(Kampanyalar!$F$2:$F$150,MATCH(O48,Kampanyalar!$A$2:$A$150,0)),""))</f>
        <v/>
      </c>
      <c r="AN48" s="27">
        <f>IF(I48="","",IFERROR(INDEX(Kampanyalar!$G$2:$G$150,MATCH(O48,Kampanyalar!$A$2:$A$150,0)),""))</f>
        <v/>
      </c>
      <c r="AO48" s="26">
        <f>IF(OR(I48="",AL48="",AM48=""),"",IF(AND(H48&gt;=AL48,H48&lt;=AM48),"Evet","HAYIR - Tarih Dışı"))</f>
        <v/>
      </c>
      <c r="AP48" s="28">
        <f>IF(I48="","",IFERROR(INDEX(Kampanyalar!$H$2:$H$150,MATCH(O48,Kampanyalar!$A$2:$A$150,0)),""))</f>
        <v/>
      </c>
      <c r="AQ48" s="28">
        <f>IF(I48="","",IF(ISNUMBER(AP48),AP48,AD48))</f>
        <v/>
      </c>
      <c r="AR48" s="26">
        <f>IF(I48="","",IF(Parametreler!$C$7="Evet","Kural A - Hemen Ödeme (Stok Mutabakatlı)","Kural B - Nakliye/Montaj Sonrası Ödeme"))</f>
        <v/>
      </c>
    </row>
    <row r="49">
      <c r="A49" s="23" t="n"/>
      <c r="B49" s="23" t="n"/>
      <c r="C49" s="23" t="n"/>
      <c r="D49" s="23" t="n"/>
      <c r="E49" s="23" t="n"/>
      <c r="F49" s="23" t="n"/>
      <c r="G49" s="23" t="n"/>
      <c r="H49" s="24" t="n"/>
      <c r="I49" s="23" t="n"/>
      <c r="J49" s="23" t="n"/>
      <c r="K49" s="23" t="n"/>
      <c r="L49" s="23" t="n"/>
      <c r="M49" s="23" t="n"/>
      <c r="N49" s="23" t="n"/>
      <c r="O49" s="23" t="n"/>
      <c r="P49" s="23" t="n"/>
      <c r="Q49" s="23" t="n"/>
      <c r="R49" s="23" t="n"/>
      <c r="S49" s="23" t="n"/>
      <c r="T49" s="23" t="n"/>
      <c r="U49" s="23" t="n"/>
      <c r="V49" s="23" t="n"/>
      <c r="W49" s="23" t="n"/>
      <c r="X49" s="23" t="n"/>
      <c r="Y49" s="25" t="n"/>
      <c r="Z49" s="25" t="n"/>
      <c r="AA49" s="23" t="n"/>
      <c r="AB49" s="25" t="n"/>
      <c r="AC49" s="23" t="n"/>
      <c r="AD49" s="25" t="n"/>
      <c r="AE49" s="23" t="n"/>
      <c r="AF49" s="25" t="n"/>
      <c r="AG49" s="25" t="n"/>
      <c r="AH49" s="23" t="n"/>
      <c r="AI49" s="23" t="n"/>
      <c r="AJ49" s="26">
        <f>IF(I49="","",I49&amp;"|"&amp;R49)</f>
        <v/>
      </c>
      <c r="AK49" s="26">
        <f>IF(I49="","",IF(ISNA(MATCH(O49,Kampanyalar!$A$2:$A$150,0)),"Hayır - Kampanyalar'da Yok","Evet"))</f>
        <v/>
      </c>
      <c r="AL49" s="27">
        <f>IF(I49="","",IFERROR(INDEX(Kampanyalar!$E$2:$E$150,MATCH(O49,Kampanyalar!$A$2:$A$150,0)),""))</f>
        <v/>
      </c>
      <c r="AM49" s="27">
        <f>IF(I49="","",IFERROR(INDEX(Kampanyalar!$F$2:$F$150,MATCH(O49,Kampanyalar!$A$2:$A$150,0)),""))</f>
        <v/>
      </c>
      <c r="AN49" s="27">
        <f>IF(I49="","",IFERROR(INDEX(Kampanyalar!$G$2:$G$150,MATCH(O49,Kampanyalar!$A$2:$A$150,0)),""))</f>
        <v/>
      </c>
      <c r="AO49" s="26">
        <f>IF(OR(I49="",AL49="",AM49=""),"",IF(AND(H49&gt;=AL49,H49&lt;=AM49),"Evet","HAYIR - Tarih Dışı"))</f>
        <v/>
      </c>
      <c r="AP49" s="28">
        <f>IF(I49="","",IFERROR(INDEX(Kampanyalar!$H$2:$H$150,MATCH(O49,Kampanyalar!$A$2:$A$150,0)),""))</f>
        <v/>
      </c>
      <c r="AQ49" s="28">
        <f>IF(I49="","",IF(ISNUMBER(AP49),AP49,AD49))</f>
        <v/>
      </c>
      <c r="AR49" s="26">
        <f>IF(I49="","",IF(Parametreler!$C$7="Evet","Kural A - Hemen Ödeme (Stok Mutabakatlı)","Kural B - Nakliye/Montaj Sonrası Ödeme"))</f>
        <v/>
      </c>
    </row>
    <row r="50">
      <c r="A50" s="23" t="n"/>
      <c r="B50" s="23" t="n"/>
      <c r="C50" s="23" t="n"/>
      <c r="D50" s="23" t="n"/>
      <c r="E50" s="23" t="n"/>
      <c r="F50" s="23" t="n"/>
      <c r="G50" s="23" t="n"/>
      <c r="H50" s="24" t="n"/>
      <c r="I50" s="23" t="n"/>
      <c r="J50" s="23" t="n"/>
      <c r="K50" s="23" t="n"/>
      <c r="L50" s="23" t="n"/>
      <c r="M50" s="23" t="n"/>
      <c r="N50" s="23" t="n"/>
      <c r="O50" s="23" t="n"/>
      <c r="P50" s="23" t="n"/>
      <c r="Q50" s="23" t="n"/>
      <c r="R50" s="23" t="n"/>
      <c r="S50" s="23" t="n"/>
      <c r="T50" s="23" t="n"/>
      <c r="U50" s="23" t="n"/>
      <c r="V50" s="23" t="n"/>
      <c r="W50" s="23" t="n"/>
      <c r="X50" s="23" t="n"/>
      <c r="Y50" s="25" t="n"/>
      <c r="Z50" s="25" t="n"/>
      <c r="AA50" s="23" t="n"/>
      <c r="AB50" s="25" t="n"/>
      <c r="AC50" s="23" t="n"/>
      <c r="AD50" s="25" t="n"/>
      <c r="AE50" s="23" t="n"/>
      <c r="AF50" s="25" t="n"/>
      <c r="AG50" s="25" t="n"/>
      <c r="AH50" s="23" t="n"/>
      <c r="AI50" s="23" t="n"/>
      <c r="AJ50" s="26">
        <f>IF(I50="","",I50&amp;"|"&amp;R50)</f>
        <v/>
      </c>
      <c r="AK50" s="26">
        <f>IF(I50="","",IF(ISNA(MATCH(O50,Kampanyalar!$A$2:$A$150,0)),"Hayır - Kampanyalar'da Yok","Evet"))</f>
        <v/>
      </c>
      <c r="AL50" s="27">
        <f>IF(I50="","",IFERROR(INDEX(Kampanyalar!$E$2:$E$150,MATCH(O50,Kampanyalar!$A$2:$A$150,0)),""))</f>
        <v/>
      </c>
      <c r="AM50" s="27">
        <f>IF(I50="","",IFERROR(INDEX(Kampanyalar!$F$2:$F$150,MATCH(O50,Kampanyalar!$A$2:$A$150,0)),""))</f>
        <v/>
      </c>
      <c r="AN50" s="27">
        <f>IF(I50="","",IFERROR(INDEX(Kampanyalar!$G$2:$G$150,MATCH(O50,Kampanyalar!$A$2:$A$150,0)),""))</f>
        <v/>
      </c>
      <c r="AO50" s="26">
        <f>IF(OR(I50="",AL50="",AM50=""),"",IF(AND(H50&gt;=AL50,H50&lt;=AM50),"Evet","HAYIR - Tarih Dışı"))</f>
        <v/>
      </c>
      <c r="AP50" s="28">
        <f>IF(I50="","",IFERROR(INDEX(Kampanyalar!$H$2:$H$150,MATCH(O50,Kampanyalar!$A$2:$A$150,0)),""))</f>
        <v/>
      </c>
      <c r="AQ50" s="28">
        <f>IF(I50="","",IF(ISNUMBER(AP50),AP50,AD50))</f>
        <v/>
      </c>
      <c r="AR50" s="26">
        <f>IF(I50="","",IF(Parametreler!$C$7="Evet","Kural A - Hemen Ödeme (Stok Mutabakatlı)","Kural B - Nakliye/Montaj Sonrası Ödeme"))</f>
        <v/>
      </c>
    </row>
    <row r="51">
      <c r="A51" s="23" t="n"/>
      <c r="B51" s="23" t="n"/>
      <c r="C51" s="23" t="n"/>
      <c r="D51" s="23" t="n"/>
      <c r="E51" s="23" t="n"/>
      <c r="F51" s="23" t="n"/>
      <c r="G51" s="23" t="n"/>
      <c r="H51" s="24" t="n"/>
      <c r="I51" s="23" t="n"/>
      <c r="J51" s="23" t="n"/>
      <c r="K51" s="23" t="n"/>
      <c r="L51" s="23" t="n"/>
      <c r="M51" s="23" t="n"/>
      <c r="N51" s="23" t="n"/>
      <c r="O51" s="23" t="n"/>
      <c r="P51" s="23" t="n"/>
      <c r="Q51" s="23" t="n"/>
      <c r="R51" s="23" t="n"/>
      <c r="S51" s="23" t="n"/>
      <c r="T51" s="23" t="n"/>
      <c r="U51" s="23" t="n"/>
      <c r="V51" s="23" t="n"/>
      <c r="W51" s="23" t="n"/>
      <c r="X51" s="23" t="n"/>
      <c r="Y51" s="25" t="n"/>
      <c r="Z51" s="25" t="n"/>
      <c r="AA51" s="23" t="n"/>
      <c r="AB51" s="25" t="n"/>
      <c r="AC51" s="23" t="n"/>
      <c r="AD51" s="25" t="n"/>
      <c r="AE51" s="23" t="n"/>
      <c r="AF51" s="25" t="n"/>
      <c r="AG51" s="25" t="n"/>
      <c r="AH51" s="23" t="n"/>
      <c r="AI51" s="23" t="n"/>
      <c r="AJ51" s="26">
        <f>IF(I51="","",I51&amp;"|"&amp;R51)</f>
        <v/>
      </c>
      <c r="AK51" s="26">
        <f>IF(I51="","",IF(ISNA(MATCH(O51,Kampanyalar!$A$2:$A$150,0)),"Hayır - Kampanyalar'da Yok","Evet"))</f>
        <v/>
      </c>
      <c r="AL51" s="27">
        <f>IF(I51="","",IFERROR(INDEX(Kampanyalar!$E$2:$E$150,MATCH(O51,Kampanyalar!$A$2:$A$150,0)),""))</f>
        <v/>
      </c>
      <c r="AM51" s="27">
        <f>IF(I51="","",IFERROR(INDEX(Kampanyalar!$F$2:$F$150,MATCH(O51,Kampanyalar!$A$2:$A$150,0)),""))</f>
        <v/>
      </c>
      <c r="AN51" s="27">
        <f>IF(I51="","",IFERROR(INDEX(Kampanyalar!$G$2:$G$150,MATCH(O51,Kampanyalar!$A$2:$A$150,0)),""))</f>
        <v/>
      </c>
      <c r="AO51" s="26">
        <f>IF(OR(I51="",AL51="",AM51=""),"",IF(AND(H51&gt;=AL51,H51&lt;=AM51),"Evet","HAYIR - Tarih Dışı"))</f>
        <v/>
      </c>
      <c r="AP51" s="28">
        <f>IF(I51="","",IFERROR(INDEX(Kampanyalar!$H$2:$H$150,MATCH(O51,Kampanyalar!$A$2:$A$150,0)),""))</f>
        <v/>
      </c>
      <c r="AQ51" s="28">
        <f>IF(I51="","",IF(ISNUMBER(AP51),AP51,AD51))</f>
        <v/>
      </c>
      <c r="AR51" s="26">
        <f>IF(I51="","",IF(Parametreler!$C$7="Evet","Kural A - Hemen Ödeme (Stok Mutabakatlı)","Kural B - Nakliye/Montaj Sonrası Ödeme"))</f>
        <v/>
      </c>
    </row>
    <row r="52">
      <c r="A52" s="23" t="n"/>
      <c r="B52" s="23" t="n"/>
      <c r="C52" s="23" t="n"/>
      <c r="D52" s="23" t="n"/>
      <c r="E52" s="23" t="n"/>
      <c r="F52" s="23" t="n"/>
      <c r="G52" s="23" t="n"/>
      <c r="H52" s="24" t="n"/>
      <c r="I52" s="23" t="n"/>
      <c r="J52" s="23" t="n"/>
      <c r="K52" s="23" t="n"/>
      <c r="L52" s="23" t="n"/>
      <c r="M52" s="23" t="n"/>
      <c r="N52" s="23" t="n"/>
      <c r="O52" s="23" t="n"/>
      <c r="P52" s="23" t="n"/>
      <c r="Q52" s="23" t="n"/>
      <c r="R52" s="23" t="n"/>
      <c r="S52" s="23" t="n"/>
      <c r="T52" s="23" t="n"/>
      <c r="U52" s="23" t="n"/>
      <c r="V52" s="23" t="n"/>
      <c r="W52" s="23" t="n"/>
      <c r="X52" s="23" t="n"/>
      <c r="Y52" s="25" t="n"/>
      <c r="Z52" s="25" t="n"/>
      <c r="AA52" s="23" t="n"/>
      <c r="AB52" s="25" t="n"/>
      <c r="AC52" s="23" t="n"/>
      <c r="AD52" s="25" t="n"/>
      <c r="AE52" s="23" t="n"/>
      <c r="AF52" s="25" t="n"/>
      <c r="AG52" s="25" t="n"/>
      <c r="AH52" s="23" t="n"/>
      <c r="AI52" s="23" t="n"/>
      <c r="AJ52" s="26">
        <f>IF(I52="","",I52&amp;"|"&amp;R52)</f>
        <v/>
      </c>
      <c r="AK52" s="26">
        <f>IF(I52="","",IF(ISNA(MATCH(O52,Kampanyalar!$A$2:$A$150,0)),"Hayır - Kampanyalar'da Yok","Evet"))</f>
        <v/>
      </c>
      <c r="AL52" s="27">
        <f>IF(I52="","",IFERROR(INDEX(Kampanyalar!$E$2:$E$150,MATCH(O52,Kampanyalar!$A$2:$A$150,0)),""))</f>
        <v/>
      </c>
      <c r="AM52" s="27">
        <f>IF(I52="","",IFERROR(INDEX(Kampanyalar!$F$2:$F$150,MATCH(O52,Kampanyalar!$A$2:$A$150,0)),""))</f>
        <v/>
      </c>
      <c r="AN52" s="27">
        <f>IF(I52="","",IFERROR(INDEX(Kampanyalar!$G$2:$G$150,MATCH(O52,Kampanyalar!$A$2:$A$150,0)),""))</f>
        <v/>
      </c>
      <c r="AO52" s="26">
        <f>IF(OR(I52="",AL52="",AM52=""),"",IF(AND(H52&gt;=AL52,H52&lt;=AM52),"Evet","HAYIR - Tarih Dışı"))</f>
        <v/>
      </c>
      <c r="AP52" s="28">
        <f>IF(I52="","",IFERROR(INDEX(Kampanyalar!$H$2:$H$150,MATCH(O52,Kampanyalar!$A$2:$A$150,0)),""))</f>
        <v/>
      </c>
      <c r="AQ52" s="28">
        <f>IF(I52="","",IF(ISNUMBER(AP52),AP52,AD52))</f>
        <v/>
      </c>
      <c r="AR52" s="26">
        <f>IF(I52="","",IF(Parametreler!$C$7="Evet","Kural A - Hemen Ödeme (Stok Mutabakatlı)","Kural B - Nakliye/Montaj Sonrası Ödeme"))</f>
        <v/>
      </c>
    </row>
    <row r="53">
      <c r="A53" s="23" t="n"/>
      <c r="B53" s="23" t="n"/>
      <c r="C53" s="23" t="n"/>
      <c r="D53" s="23" t="n"/>
      <c r="E53" s="23" t="n"/>
      <c r="F53" s="23" t="n"/>
      <c r="G53" s="23" t="n"/>
      <c r="H53" s="24" t="n"/>
      <c r="I53" s="23" t="n"/>
      <c r="J53" s="23" t="n"/>
      <c r="K53" s="23" t="n"/>
      <c r="L53" s="23" t="n"/>
      <c r="M53" s="23" t="n"/>
      <c r="N53" s="23" t="n"/>
      <c r="O53" s="23" t="n"/>
      <c r="P53" s="23" t="n"/>
      <c r="Q53" s="23" t="n"/>
      <c r="R53" s="23" t="n"/>
      <c r="S53" s="23" t="n"/>
      <c r="T53" s="23" t="n"/>
      <c r="U53" s="23" t="n"/>
      <c r="V53" s="23" t="n"/>
      <c r="W53" s="23" t="n"/>
      <c r="X53" s="23" t="n"/>
      <c r="Y53" s="25" t="n"/>
      <c r="Z53" s="25" t="n"/>
      <c r="AA53" s="23" t="n"/>
      <c r="AB53" s="25" t="n"/>
      <c r="AC53" s="23" t="n"/>
      <c r="AD53" s="25" t="n"/>
      <c r="AE53" s="23" t="n"/>
      <c r="AF53" s="25" t="n"/>
      <c r="AG53" s="25" t="n"/>
      <c r="AH53" s="23" t="n"/>
      <c r="AI53" s="23" t="n"/>
      <c r="AJ53" s="26">
        <f>IF(I53="","",I53&amp;"|"&amp;R53)</f>
        <v/>
      </c>
      <c r="AK53" s="26">
        <f>IF(I53="","",IF(ISNA(MATCH(O53,Kampanyalar!$A$2:$A$150,0)),"Hayır - Kampanyalar'da Yok","Evet"))</f>
        <v/>
      </c>
      <c r="AL53" s="27">
        <f>IF(I53="","",IFERROR(INDEX(Kampanyalar!$E$2:$E$150,MATCH(O53,Kampanyalar!$A$2:$A$150,0)),""))</f>
        <v/>
      </c>
      <c r="AM53" s="27">
        <f>IF(I53="","",IFERROR(INDEX(Kampanyalar!$F$2:$F$150,MATCH(O53,Kampanyalar!$A$2:$A$150,0)),""))</f>
        <v/>
      </c>
      <c r="AN53" s="27">
        <f>IF(I53="","",IFERROR(INDEX(Kampanyalar!$G$2:$G$150,MATCH(O53,Kampanyalar!$A$2:$A$150,0)),""))</f>
        <v/>
      </c>
      <c r="AO53" s="26">
        <f>IF(OR(I53="",AL53="",AM53=""),"",IF(AND(H53&gt;=AL53,H53&lt;=AM53),"Evet","HAYIR - Tarih Dışı"))</f>
        <v/>
      </c>
      <c r="AP53" s="28">
        <f>IF(I53="","",IFERROR(INDEX(Kampanyalar!$H$2:$H$150,MATCH(O53,Kampanyalar!$A$2:$A$150,0)),""))</f>
        <v/>
      </c>
      <c r="AQ53" s="28">
        <f>IF(I53="","",IF(ISNUMBER(AP53),AP53,AD53))</f>
        <v/>
      </c>
      <c r="AR53" s="26">
        <f>IF(I53="","",IF(Parametreler!$C$7="Evet","Kural A - Hemen Ödeme (Stok Mutabakatlı)","Kural B - Nakliye/Montaj Sonrası Ödeme"))</f>
        <v/>
      </c>
    </row>
    <row r="54">
      <c r="A54" s="23" t="n"/>
      <c r="B54" s="23" t="n"/>
      <c r="C54" s="23" t="n"/>
      <c r="D54" s="23" t="n"/>
      <c r="E54" s="23" t="n"/>
      <c r="F54" s="23" t="n"/>
      <c r="G54" s="23" t="n"/>
      <c r="H54" s="24" t="n"/>
      <c r="I54" s="23" t="n"/>
      <c r="J54" s="23" t="n"/>
      <c r="K54" s="23" t="n"/>
      <c r="L54" s="23" t="n"/>
      <c r="M54" s="23" t="n"/>
      <c r="N54" s="23" t="n"/>
      <c r="O54" s="23" t="n"/>
      <c r="P54" s="23" t="n"/>
      <c r="Q54" s="23" t="n"/>
      <c r="R54" s="23" t="n"/>
      <c r="S54" s="23" t="n"/>
      <c r="T54" s="23" t="n"/>
      <c r="U54" s="23" t="n"/>
      <c r="V54" s="23" t="n"/>
      <c r="W54" s="23" t="n"/>
      <c r="X54" s="23" t="n"/>
      <c r="Y54" s="25" t="n"/>
      <c r="Z54" s="25" t="n"/>
      <c r="AA54" s="23" t="n"/>
      <c r="AB54" s="25" t="n"/>
      <c r="AC54" s="23" t="n"/>
      <c r="AD54" s="25" t="n"/>
      <c r="AE54" s="23" t="n"/>
      <c r="AF54" s="25" t="n"/>
      <c r="AG54" s="25" t="n"/>
      <c r="AH54" s="23" t="n"/>
      <c r="AI54" s="23" t="n"/>
      <c r="AJ54" s="26">
        <f>IF(I54="","",I54&amp;"|"&amp;R54)</f>
        <v/>
      </c>
      <c r="AK54" s="26">
        <f>IF(I54="","",IF(ISNA(MATCH(O54,Kampanyalar!$A$2:$A$150,0)),"Hayır - Kampanyalar'da Yok","Evet"))</f>
        <v/>
      </c>
      <c r="AL54" s="27">
        <f>IF(I54="","",IFERROR(INDEX(Kampanyalar!$E$2:$E$150,MATCH(O54,Kampanyalar!$A$2:$A$150,0)),""))</f>
        <v/>
      </c>
      <c r="AM54" s="27">
        <f>IF(I54="","",IFERROR(INDEX(Kampanyalar!$F$2:$F$150,MATCH(O54,Kampanyalar!$A$2:$A$150,0)),""))</f>
        <v/>
      </c>
      <c r="AN54" s="27">
        <f>IF(I54="","",IFERROR(INDEX(Kampanyalar!$G$2:$G$150,MATCH(O54,Kampanyalar!$A$2:$A$150,0)),""))</f>
        <v/>
      </c>
      <c r="AO54" s="26">
        <f>IF(OR(I54="",AL54="",AM54=""),"",IF(AND(H54&gt;=AL54,H54&lt;=AM54),"Evet","HAYIR - Tarih Dışı"))</f>
        <v/>
      </c>
      <c r="AP54" s="28">
        <f>IF(I54="","",IFERROR(INDEX(Kampanyalar!$H$2:$H$150,MATCH(O54,Kampanyalar!$A$2:$A$150,0)),""))</f>
        <v/>
      </c>
      <c r="AQ54" s="28">
        <f>IF(I54="","",IF(ISNUMBER(AP54),AP54,AD54))</f>
        <v/>
      </c>
      <c r="AR54" s="26">
        <f>IF(I54="","",IF(Parametreler!$C$7="Evet","Kural A - Hemen Ödeme (Stok Mutabakatlı)","Kural B - Nakliye/Montaj Sonrası Ödeme"))</f>
        <v/>
      </c>
    </row>
    <row r="55">
      <c r="A55" s="23" t="n"/>
      <c r="B55" s="23" t="n"/>
      <c r="C55" s="23" t="n"/>
      <c r="D55" s="23" t="n"/>
      <c r="E55" s="23" t="n"/>
      <c r="F55" s="23" t="n"/>
      <c r="G55" s="23" t="n"/>
      <c r="H55" s="24" t="n"/>
      <c r="I55" s="23" t="n"/>
      <c r="J55" s="23" t="n"/>
      <c r="K55" s="23" t="n"/>
      <c r="L55" s="23" t="n"/>
      <c r="M55" s="23" t="n"/>
      <c r="N55" s="23" t="n"/>
      <c r="O55" s="23" t="n"/>
      <c r="P55" s="23" t="n"/>
      <c r="Q55" s="23" t="n"/>
      <c r="R55" s="23" t="n"/>
      <c r="S55" s="23" t="n"/>
      <c r="T55" s="23" t="n"/>
      <c r="U55" s="23" t="n"/>
      <c r="V55" s="23" t="n"/>
      <c r="W55" s="23" t="n"/>
      <c r="X55" s="23" t="n"/>
      <c r="Y55" s="25" t="n"/>
      <c r="Z55" s="25" t="n"/>
      <c r="AA55" s="23" t="n"/>
      <c r="AB55" s="25" t="n"/>
      <c r="AC55" s="23" t="n"/>
      <c r="AD55" s="25" t="n"/>
      <c r="AE55" s="23" t="n"/>
      <c r="AF55" s="25" t="n"/>
      <c r="AG55" s="25" t="n"/>
      <c r="AH55" s="23" t="n"/>
      <c r="AI55" s="23" t="n"/>
      <c r="AJ55" s="26">
        <f>IF(I55="","",I55&amp;"|"&amp;R55)</f>
        <v/>
      </c>
      <c r="AK55" s="26">
        <f>IF(I55="","",IF(ISNA(MATCH(O55,Kampanyalar!$A$2:$A$150,0)),"Hayır - Kampanyalar'da Yok","Evet"))</f>
        <v/>
      </c>
      <c r="AL55" s="27">
        <f>IF(I55="","",IFERROR(INDEX(Kampanyalar!$E$2:$E$150,MATCH(O55,Kampanyalar!$A$2:$A$150,0)),""))</f>
        <v/>
      </c>
      <c r="AM55" s="27">
        <f>IF(I55="","",IFERROR(INDEX(Kampanyalar!$F$2:$F$150,MATCH(O55,Kampanyalar!$A$2:$A$150,0)),""))</f>
        <v/>
      </c>
      <c r="AN55" s="27">
        <f>IF(I55="","",IFERROR(INDEX(Kampanyalar!$G$2:$G$150,MATCH(O55,Kampanyalar!$A$2:$A$150,0)),""))</f>
        <v/>
      </c>
      <c r="AO55" s="26">
        <f>IF(OR(I55="",AL55="",AM55=""),"",IF(AND(H55&gt;=AL55,H55&lt;=AM55),"Evet","HAYIR - Tarih Dışı"))</f>
        <v/>
      </c>
      <c r="AP55" s="28">
        <f>IF(I55="","",IFERROR(INDEX(Kampanyalar!$H$2:$H$150,MATCH(O55,Kampanyalar!$A$2:$A$150,0)),""))</f>
        <v/>
      </c>
      <c r="AQ55" s="28">
        <f>IF(I55="","",IF(ISNUMBER(AP55),AP55,AD55))</f>
        <v/>
      </c>
      <c r="AR55" s="26">
        <f>IF(I55="","",IF(Parametreler!$C$7="Evet","Kural A - Hemen Ödeme (Stok Mutabakatlı)","Kural B - Nakliye/Montaj Sonrası Ödeme"))</f>
        <v/>
      </c>
    </row>
    <row r="56">
      <c r="A56" s="23" t="n"/>
      <c r="B56" s="23" t="n"/>
      <c r="C56" s="23" t="n"/>
      <c r="D56" s="23" t="n"/>
      <c r="E56" s="23" t="n"/>
      <c r="F56" s="23" t="n"/>
      <c r="G56" s="23" t="n"/>
      <c r="H56" s="24" t="n"/>
      <c r="I56" s="23" t="n"/>
      <c r="J56" s="23" t="n"/>
      <c r="K56" s="23" t="n"/>
      <c r="L56" s="23" t="n"/>
      <c r="M56" s="23" t="n"/>
      <c r="N56" s="23" t="n"/>
      <c r="O56" s="23" t="n"/>
      <c r="P56" s="23" t="n"/>
      <c r="Q56" s="23" t="n"/>
      <c r="R56" s="23" t="n"/>
      <c r="S56" s="23" t="n"/>
      <c r="T56" s="23" t="n"/>
      <c r="U56" s="23" t="n"/>
      <c r="V56" s="23" t="n"/>
      <c r="W56" s="23" t="n"/>
      <c r="X56" s="23" t="n"/>
      <c r="Y56" s="25" t="n"/>
      <c r="Z56" s="25" t="n"/>
      <c r="AA56" s="23" t="n"/>
      <c r="AB56" s="25" t="n"/>
      <c r="AC56" s="23" t="n"/>
      <c r="AD56" s="25" t="n"/>
      <c r="AE56" s="23" t="n"/>
      <c r="AF56" s="25" t="n"/>
      <c r="AG56" s="25" t="n"/>
      <c r="AH56" s="23" t="n"/>
      <c r="AI56" s="23" t="n"/>
      <c r="AJ56" s="26">
        <f>IF(I56="","",I56&amp;"|"&amp;R56)</f>
        <v/>
      </c>
      <c r="AK56" s="26">
        <f>IF(I56="","",IF(ISNA(MATCH(O56,Kampanyalar!$A$2:$A$150,0)),"Hayır - Kampanyalar'da Yok","Evet"))</f>
        <v/>
      </c>
      <c r="AL56" s="27">
        <f>IF(I56="","",IFERROR(INDEX(Kampanyalar!$E$2:$E$150,MATCH(O56,Kampanyalar!$A$2:$A$150,0)),""))</f>
        <v/>
      </c>
      <c r="AM56" s="27">
        <f>IF(I56="","",IFERROR(INDEX(Kampanyalar!$F$2:$F$150,MATCH(O56,Kampanyalar!$A$2:$A$150,0)),""))</f>
        <v/>
      </c>
      <c r="AN56" s="27">
        <f>IF(I56="","",IFERROR(INDEX(Kampanyalar!$G$2:$G$150,MATCH(O56,Kampanyalar!$A$2:$A$150,0)),""))</f>
        <v/>
      </c>
      <c r="AO56" s="26">
        <f>IF(OR(I56="",AL56="",AM56=""),"",IF(AND(H56&gt;=AL56,H56&lt;=AM56),"Evet","HAYIR - Tarih Dışı"))</f>
        <v/>
      </c>
      <c r="AP56" s="28">
        <f>IF(I56="","",IFERROR(INDEX(Kampanyalar!$H$2:$H$150,MATCH(O56,Kampanyalar!$A$2:$A$150,0)),""))</f>
        <v/>
      </c>
      <c r="AQ56" s="28">
        <f>IF(I56="","",IF(ISNUMBER(AP56),AP56,AD56))</f>
        <v/>
      </c>
      <c r="AR56" s="26">
        <f>IF(I56="","",IF(Parametreler!$C$7="Evet","Kural A - Hemen Ödeme (Stok Mutabakatlı)","Kural B - Nakliye/Montaj Sonrası Ödeme"))</f>
        <v/>
      </c>
    </row>
    <row r="57">
      <c r="A57" s="23" t="n"/>
      <c r="B57" s="23" t="n"/>
      <c r="C57" s="23" t="n"/>
      <c r="D57" s="23" t="n"/>
      <c r="E57" s="23" t="n"/>
      <c r="F57" s="23" t="n"/>
      <c r="G57" s="23" t="n"/>
      <c r="H57" s="24" t="n"/>
      <c r="I57" s="23" t="n"/>
      <c r="J57" s="23" t="n"/>
      <c r="K57" s="23" t="n"/>
      <c r="L57" s="23" t="n"/>
      <c r="M57" s="23" t="n"/>
      <c r="N57" s="23" t="n"/>
      <c r="O57" s="23" t="n"/>
      <c r="P57" s="23" t="n"/>
      <c r="Q57" s="23" t="n"/>
      <c r="R57" s="23" t="n"/>
      <c r="S57" s="23" t="n"/>
      <c r="T57" s="23" t="n"/>
      <c r="U57" s="23" t="n"/>
      <c r="V57" s="23" t="n"/>
      <c r="W57" s="23" t="n"/>
      <c r="X57" s="23" t="n"/>
      <c r="Y57" s="25" t="n"/>
      <c r="Z57" s="25" t="n"/>
      <c r="AA57" s="23" t="n"/>
      <c r="AB57" s="25" t="n"/>
      <c r="AC57" s="23" t="n"/>
      <c r="AD57" s="25" t="n"/>
      <c r="AE57" s="23" t="n"/>
      <c r="AF57" s="25" t="n"/>
      <c r="AG57" s="25" t="n"/>
      <c r="AH57" s="23" t="n"/>
      <c r="AI57" s="23" t="n"/>
      <c r="AJ57" s="26">
        <f>IF(I57="","",I57&amp;"|"&amp;R57)</f>
        <v/>
      </c>
      <c r="AK57" s="26">
        <f>IF(I57="","",IF(ISNA(MATCH(O57,Kampanyalar!$A$2:$A$150,0)),"Hayır - Kampanyalar'da Yok","Evet"))</f>
        <v/>
      </c>
      <c r="AL57" s="27">
        <f>IF(I57="","",IFERROR(INDEX(Kampanyalar!$E$2:$E$150,MATCH(O57,Kampanyalar!$A$2:$A$150,0)),""))</f>
        <v/>
      </c>
      <c r="AM57" s="27">
        <f>IF(I57="","",IFERROR(INDEX(Kampanyalar!$F$2:$F$150,MATCH(O57,Kampanyalar!$A$2:$A$150,0)),""))</f>
        <v/>
      </c>
      <c r="AN57" s="27">
        <f>IF(I57="","",IFERROR(INDEX(Kampanyalar!$G$2:$G$150,MATCH(O57,Kampanyalar!$A$2:$A$150,0)),""))</f>
        <v/>
      </c>
      <c r="AO57" s="26">
        <f>IF(OR(I57="",AL57="",AM57=""),"",IF(AND(H57&gt;=AL57,H57&lt;=AM57),"Evet","HAYIR - Tarih Dışı"))</f>
        <v/>
      </c>
      <c r="AP57" s="28">
        <f>IF(I57="","",IFERROR(INDEX(Kampanyalar!$H$2:$H$150,MATCH(O57,Kampanyalar!$A$2:$A$150,0)),""))</f>
        <v/>
      </c>
      <c r="AQ57" s="28">
        <f>IF(I57="","",IF(ISNUMBER(AP57),AP57,AD57))</f>
        <v/>
      </c>
      <c r="AR57" s="26">
        <f>IF(I57="","",IF(Parametreler!$C$7="Evet","Kural A - Hemen Ödeme (Stok Mutabakatlı)","Kural B - Nakliye/Montaj Sonrası Ödeme"))</f>
        <v/>
      </c>
    </row>
    <row r="58">
      <c r="A58" s="23" t="n"/>
      <c r="B58" s="23" t="n"/>
      <c r="C58" s="23" t="n"/>
      <c r="D58" s="23" t="n"/>
      <c r="E58" s="23" t="n"/>
      <c r="F58" s="23" t="n"/>
      <c r="G58" s="23" t="n"/>
      <c r="H58" s="24" t="n"/>
      <c r="I58" s="23" t="n"/>
      <c r="J58" s="23" t="n"/>
      <c r="K58" s="23" t="n"/>
      <c r="L58" s="23" t="n"/>
      <c r="M58" s="23" t="n"/>
      <c r="N58" s="23" t="n"/>
      <c r="O58" s="23" t="n"/>
      <c r="P58" s="23" t="n"/>
      <c r="Q58" s="23" t="n"/>
      <c r="R58" s="23" t="n"/>
      <c r="S58" s="23" t="n"/>
      <c r="T58" s="23" t="n"/>
      <c r="U58" s="23" t="n"/>
      <c r="V58" s="23" t="n"/>
      <c r="W58" s="23" t="n"/>
      <c r="X58" s="23" t="n"/>
      <c r="Y58" s="25" t="n"/>
      <c r="Z58" s="25" t="n"/>
      <c r="AA58" s="23" t="n"/>
      <c r="AB58" s="25" t="n"/>
      <c r="AC58" s="23" t="n"/>
      <c r="AD58" s="25" t="n"/>
      <c r="AE58" s="23" t="n"/>
      <c r="AF58" s="25" t="n"/>
      <c r="AG58" s="25" t="n"/>
      <c r="AH58" s="23" t="n"/>
      <c r="AI58" s="23" t="n"/>
      <c r="AJ58" s="26">
        <f>IF(I58="","",I58&amp;"|"&amp;R58)</f>
        <v/>
      </c>
      <c r="AK58" s="26">
        <f>IF(I58="","",IF(ISNA(MATCH(O58,Kampanyalar!$A$2:$A$150,0)),"Hayır - Kampanyalar'da Yok","Evet"))</f>
        <v/>
      </c>
      <c r="AL58" s="27">
        <f>IF(I58="","",IFERROR(INDEX(Kampanyalar!$E$2:$E$150,MATCH(O58,Kampanyalar!$A$2:$A$150,0)),""))</f>
        <v/>
      </c>
      <c r="AM58" s="27">
        <f>IF(I58="","",IFERROR(INDEX(Kampanyalar!$F$2:$F$150,MATCH(O58,Kampanyalar!$A$2:$A$150,0)),""))</f>
        <v/>
      </c>
      <c r="AN58" s="27">
        <f>IF(I58="","",IFERROR(INDEX(Kampanyalar!$G$2:$G$150,MATCH(O58,Kampanyalar!$A$2:$A$150,0)),""))</f>
        <v/>
      </c>
      <c r="AO58" s="26">
        <f>IF(OR(I58="",AL58="",AM58=""),"",IF(AND(H58&gt;=AL58,H58&lt;=AM58),"Evet","HAYIR - Tarih Dışı"))</f>
        <v/>
      </c>
      <c r="AP58" s="28">
        <f>IF(I58="","",IFERROR(INDEX(Kampanyalar!$H$2:$H$150,MATCH(O58,Kampanyalar!$A$2:$A$150,0)),""))</f>
        <v/>
      </c>
      <c r="AQ58" s="28">
        <f>IF(I58="","",IF(ISNUMBER(AP58),AP58,AD58))</f>
        <v/>
      </c>
      <c r="AR58" s="26">
        <f>IF(I58="","",IF(Parametreler!$C$7="Evet","Kural A - Hemen Ödeme (Stok Mutabakatlı)","Kural B - Nakliye/Montaj Sonrası Ödeme"))</f>
        <v/>
      </c>
    </row>
    <row r="59">
      <c r="A59" s="23" t="n"/>
      <c r="B59" s="23" t="n"/>
      <c r="C59" s="23" t="n"/>
      <c r="D59" s="23" t="n"/>
      <c r="E59" s="23" t="n"/>
      <c r="F59" s="23" t="n"/>
      <c r="G59" s="23" t="n"/>
      <c r="H59" s="24" t="n"/>
      <c r="I59" s="23" t="n"/>
      <c r="J59" s="23" t="n"/>
      <c r="K59" s="23" t="n"/>
      <c r="L59" s="23" t="n"/>
      <c r="M59" s="23" t="n"/>
      <c r="N59" s="23" t="n"/>
      <c r="O59" s="23" t="n"/>
      <c r="P59" s="23" t="n"/>
      <c r="Q59" s="23" t="n"/>
      <c r="R59" s="23" t="n"/>
      <c r="S59" s="23" t="n"/>
      <c r="T59" s="23" t="n"/>
      <c r="U59" s="23" t="n"/>
      <c r="V59" s="23" t="n"/>
      <c r="W59" s="23" t="n"/>
      <c r="X59" s="23" t="n"/>
      <c r="Y59" s="25" t="n"/>
      <c r="Z59" s="25" t="n"/>
      <c r="AA59" s="23" t="n"/>
      <c r="AB59" s="25" t="n"/>
      <c r="AC59" s="23" t="n"/>
      <c r="AD59" s="25" t="n"/>
      <c r="AE59" s="23" t="n"/>
      <c r="AF59" s="25" t="n"/>
      <c r="AG59" s="25" t="n"/>
      <c r="AH59" s="23" t="n"/>
      <c r="AI59" s="23" t="n"/>
      <c r="AJ59" s="26">
        <f>IF(I59="","",I59&amp;"|"&amp;R59)</f>
        <v/>
      </c>
      <c r="AK59" s="26">
        <f>IF(I59="","",IF(ISNA(MATCH(O59,Kampanyalar!$A$2:$A$150,0)),"Hayır - Kampanyalar'da Yok","Evet"))</f>
        <v/>
      </c>
      <c r="AL59" s="27">
        <f>IF(I59="","",IFERROR(INDEX(Kampanyalar!$E$2:$E$150,MATCH(O59,Kampanyalar!$A$2:$A$150,0)),""))</f>
        <v/>
      </c>
      <c r="AM59" s="27">
        <f>IF(I59="","",IFERROR(INDEX(Kampanyalar!$F$2:$F$150,MATCH(O59,Kampanyalar!$A$2:$A$150,0)),""))</f>
        <v/>
      </c>
      <c r="AN59" s="27">
        <f>IF(I59="","",IFERROR(INDEX(Kampanyalar!$G$2:$G$150,MATCH(O59,Kampanyalar!$A$2:$A$150,0)),""))</f>
        <v/>
      </c>
      <c r="AO59" s="26">
        <f>IF(OR(I59="",AL59="",AM59=""),"",IF(AND(H59&gt;=AL59,H59&lt;=AM59),"Evet","HAYIR - Tarih Dışı"))</f>
        <v/>
      </c>
      <c r="AP59" s="28">
        <f>IF(I59="","",IFERROR(INDEX(Kampanyalar!$H$2:$H$150,MATCH(O59,Kampanyalar!$A$2:$A$150,0)),""))</f>
        <v/>
      </c>
      <c r="AQ59" s="28">
        <f>IF(I59="","",IF(ISNUMBER(AP59),AP59,AD59))</f>
        <v/>
      </c>
      <c r="AR59" s="26">
        <f>IF(I59="","",IF(Parametreler!$C$7="Evet","Kural A - Hemen Ödeme (Stok Mutabakatlı)","Kural B - Nakliye/Montaj Sonrası Ödeme"))</f>
        <v/>
      </c>
    </row>
    <row r="60">
      <c r="A60" s="23" t="n"/>
      <c r="B60" s="23" t="n"/>
      <c r="C60" s="23" t="n"/>
      <c r="D60" s="23" t="n"/>
      <c r="E60" s="23" t="n"/>
      <c r="F60" s="23" t="n"/>
      <c r="G60" s="23" t="n"/>
      <c r="H60" s="24" t="n"/>
      <c r="I60" s="23" t="n"/>
      <c r="J60" s="23" t="n"/>
      <c r="K60" s="23" t="n"/>
      <c r="L60" s="23" t="n"/>
      <c r="M60" s="23" t="n"/>
      <c r="N60" s="23" t="n"/>
      <c r="O60" s="23" t="n"/>
      <c r="P60" s="23" t="n"/>
      <c r="Q60" s="23" t="n"/>
      <c r="R60" s="23" t="n"/>
      <c r="S60" s="23" t="n"/>
      <c r="T60" s="23" t="n"/>
      <c r="U60" s="23" t="n"/>
      <c r="V60" s="23" t="n"/>
      <c r="W60" s="23" t="n"/>
      <c r="X60" s="23" t="n"/>
      <c r="Y60" s="25" t="n"/>
      <c r="Z60" s="25" t="n"/>
      <c r="AA60" s="23" t="n"/>
      <c r="AB60" s="25" t="n"/>
      <c r="AC60" s="23" t="n"/>
      <c r="AD60" s="25" t="n"/>
      <c r="AE60" s="23" t="n"/>
      <c r="AF60" s="25" t="n"/>
      <c r="AG60" s="25" t="n"/>
      <c r="AH60" s="23" t="n"/>
      <c r="AI60" s="23" t="n"/>
      <c r="AJ60" s="26">
        <f>IF(I60="","",I60&amp;"|"&amp;R60)</f>
        <v/>
      </c>
      <c r="AK60" s="26">
        <f>IF(I60="","",IF(ISNA(MATCH(O60,Kampanyalar!$A$2:$A$150,0)),"Hayır - Kampanyalar'da Yok","Evet"))</f>
        <v/>
      </c>
      <c r="AL60" s="27">
        <f>IF(I60="","",IFERROR(INDEX(Kampanyalar!$E$2:$E$150,MATCH(O60,Kampanyalar!$A$2:$A$150,0)),""))</f>
        <v/>
      </c>
      <c r="AM60" s="27">
        <f>IF(I60="","",IFERROR(INDEX(Kampanyalar!$F$2:$F$150,MATCH(O60,Kampanyalar!$A$2:$A$150,0)),""))</f>
        <v/>
      </c>
      <c r="AN60" s="27">
        <f>IF(I60="","",IFERROR(INDEX(Kampanyalar!$G$2:$G$150,MATCH(O60,Kampanyalar!$A$2:$A$150,0)),""))</f>
        <v/>
      </c>
      <c r="AO60" s="26">
        <f>IF(OR(I60="",AL60="",AM60=""),"",IF(AND(H60&gt;=AL60,H60&lt;=AM60),"Evet","HAYIR - Tarih Dışı"))</f>
        <v/>
      </c>
      <c r="AP60" s="28">
        <f>IF(I60="","",IFERROR(INDEX(Kampanyalar!$H$2:$H$150,MATCH(O60,Kampanyalar!$A$2:$A$150,0)),""))</f>
        <v/>
      </c>
      <c r="AQ60" s="28">
        <f>IF(I60="","",IF(ISNUMBER(AP60),AP60,AD60))</f>
        <v/>
      </c>
      <c r="AR60" s="26">
        <f>IF(I60="","",IF(Parametreler!$C$7="Evet","Kural A - Hemen Ödeme (Stok Mutabakatlı)","Kural B - Nakliye/Montaj Sonrası Ödeme"))</f>
        <v/>
      </c>
    </row>
    <row r="61">
      <c r="A61" s="23" t="n"/>
      <c r="B61" s="23" t="n"/>
      <c r="C61" s="23" t="n"/>
      <c r="D61" s="23" t="n"/>
      <c r="E61" s="23" t="n"/>
      <c r="F61" s="23" t="n"/>
      <c r="G61" s="23" t="n"/>
      <c r="H61" s="24" t="n"/>
      <c r="I61" s="23" t="n"/>
      <c r="J61" s="23" t="n"/>
      <c r="K61" s="23" t="n"/>
      <c r="L61" s="23" t="n"/>
      <c r="M61" s="23" t="n"/>
      <c r="N61" s="23" t="n"/>
      <c r="O61" s="23" t="n"/>
      <c r="P61" s="23" t="n"/>
      <c r="Q61" s="23" t="n"/>
      <c r="R61" s="23" t="n"/>
      <c r="S61" s="23" t="n"/>
      <c r="T61" s="23" t="n"/>
      <c r="U61" s="23" t="n"/>
      <c r="V61" s="23" t="n"/>
      <c r="W61" s="23" t="n"/>
      <c r="X61" s="23" t="n"/>
      <c r="Y61" s="25" t="n"/>
      <c r="Z61" s="25" t="n"/>
      <c r="AA61" s="23" t="n"/>
      <c r="AB61" s="25" t="n"/>
      <c r="AC61" s="23" t="n"/>
      <c r="AD61" s="25" t="n"/>
      <c r="AE61" s="23" t="n"/>
      <c r="AF61" s="25" t="n"/>
      <c r="AG61" s="25" t="n"/>
      <c r="AH61" s="23" t="n"/>
      <c r="AI61" s="23" t="n"/>
      <c r="AJ61" s="26">
        <f>IF(I61="","",I61&amp;"|"&amp;R61)</f>
        <v/>
      </c>
      <c r="AK61" s="26">
        <f>IF(I61="","",IF(ISNA(MATCH(O61,Kampanyalar!$A$2:$A$150,0)),"Hayır - Kampanyalar'da Yok","Evet"))</f>
        <v/>
      </c>
      <c r="AL61" s="27">
        <f>IF(I61="","",IFERROR(INDEX(Kampanyalar!$E$2:$E$150,MATCH(O61,Kampanyalar!$A$2:$A$150,0)),""))</f>
        <v/>
      </c>
      <c r="AM61" s="27">
        <f>IF(I61="","",IFERROR(INDEX(Kampanyalar!$F$2:$F$150,MATCH(O61,Kampanyalar!$A$2:$A$150,0)),""))</f>
        <v/>
      </c>
      <c r="AN61" s="27">
        <f>IF(I61="","",IFERROR(INDEX(Kampanyalar!$G$2:$G$150,MATCH(O61,Kampanyalar!$A$2:$A$150,0)),""))</f>
        <v/>
      </c>
      <c r="AO61" s="26">
        <f>IF(OR(I61="",AL61="",AM61=""),"",IF(AND(H61&gt;=AL61,H61&lt;=AM61),"Evet","HAYIR - Tarih Dışı"))</f>
        <v/>
      </c>
      <c r="AP61" s="28">
        <f>IF(I61="","",IFERROR(INDEX(Kampanyalar!$H$2:$H$150,MATCH(O61,Kampanyalar!$A$2:$A$150,0)),""))</f>
        <v/>
      </c>
      <c r="AQ61" s="28">
        <f>IF(I61="","",IF(ISNUMBER(AP61),AP61,AD61))</f>
        <v/>
      </c>
      <c r="AR61" s="26">
        <f>IF(I61="","",IF(Parametreler!$C$7="Evet","Kural A - Hemen Ödeme (Stok Mutabakatlı)","Kural B - Nakliye/Montaj Sonrası Ödeme"))</f>
        <v/>
      </c>
    </row>
    <row r="62">
      <c r="A62" s="23" t="n"/>
      <c r="B62" s="23" t="n"/>
      <c r="C62" s="23" t="n"/>
      <c r="D62" s="23" t="n"/>
      <c r="E62" s="23" t="n"/>
      <c r="F62" s="23" t="n"/>
      <c r="G62" s="23" t="n"/>
      <c r="H62" s="24" t="n"/>
      <c r="I62" s="23" t="n"/>
      <c r="J62" s="23" t="n"/>
      <c r="K62" s="23" t="n"/>
      <c r="L62" s="23" t="n"/>
      <c r="M62" s="23" t="n"/>
      <c r="N62" s="23" t="n"/>
      <c r="O62" s="23" t="n"/>
      <c r="P62" s="23" t="n"/>
      <c r="Q62" s="23" t="n"/>
      <c r="R62" s="23" t="n"/>
      <c r="S62" s="23" t="n"/>
      <c r="T62" s="23" t="n"/>
      <c r="U62" s="23" t="n"/>
      <c r="V62" s="23" t="n"/>
      <c r="W62" s="23" t="n"/>
      <c r="X62" s="23" t="n"/>
      <c r="Y62" s="25" t="n"/>
      <c r="Z62" s="25" t="n"/>
      <c r="AA62" s="23" t="n"/>
      <c r="AB62" s="25" t="n"/>
      <c r="AC62" s="23" t="n"/>
      <c r="AD62" s="25" t="n"/>
      <c r="AE62" s="23" t="n"/>
      <c r="AF62" s="25" t="n"/>
      <c r="AG62" s="25" t="n"/>
      <c r="AH62" s="23" t="n"/>
      <c r="AI62" s="23" t="n"/>
      <c r="AJ62" s="26">
        <f>IF(I62="","",I62&amp;"|"&amp;R62)</f>
        <v/>
      </c>
      <c r="AK62" s="26">
        <f>IF(I62="","",IF(ISNA(MATCH(O62,Kampanyalar!$A$2:$A$150,0)),"Hayır - Kampanyalar'da Yok","Evet"))</f>
        <v/>
      </c>
      <c r="AL62" s="27">
        <f>IF(I62="","",IFERROR(INDEX(Kampanyalar!$E$2:$E$150,MATCH(O62,Kampanyalar!$A$2:$A$150,0)),""))</f>
        <v/>
      </c>
      <c r="AM62" s="27">
        <f>IF(I62="","",IFERROR(INDEX(Kampanyalar!$F$2:$F$150,MATCH(O62,Kampanyalar!$A$2:$A$150,0)),""))</f>
        <v/>
      </c>
      <c r="AN62" s="27">
        <f>IF(I62="","",IFERROR(INDEX(Kampanyalar!$G$2:$G$150,MATCH(O62,Kampanyalar!$A$2:$A$150,0)),""))</f>
        <v/>
      </c>
      <c r="AO62" s="26">
        <f>IF(OR(I62="",AL62="",AM62=""),"",IF(AND(H62&gt;=AL62,H62&lt;=AM62),"Evet","HAYIR - Tarih Dışı"))</f>
        <v/>
      </c>
      <c r="AP62" s="28">
        <f>IF(I62="","",IFERROR(INDEX(Kampanyalar!$H$2:$H$150,MATCH(O62,Kampanyalar!$A$2:$A$150,0)),""))</f>
        <v/>
      </c>
      <c r="AQ62" s="28">
        <f>IF(I62="","",IF(ISNUMBER(AP62),AP62,AD62))</f>
        <v/>
      </c>
      <c r="AR62" s="26">
        <f>IF(I62="","",IF(Parametreler!$C$7="Evet","Kural A - Hemen Ödeme (Stok Mutabakatlı)","Kural B - Nakliye/Montaj Sonrası Ödeme"))</f>
        <v/>
      </c>
    </row>
    <row r="63">
      <c r="A63" s="23" t="n"/>
      <c r="B63" s="23" t="n"/>
      <c r="C63" s="23" t="n"/>
      <c r="D63" s="23" t="n"/>
      <c r="E63" s="23" t="n"/>
      <c r="F63" s="23" t="n"/>
      <c r="G63" s="23" t="n"/>
      <c r="H63" s="24" t="n"/>
      <c r="I63" s="23" t="n"/>
      <c r="J63" s="23" t="n"/>
      <c r="K63" s="23" t="n"/>
      <c r="L63" s="23" t="n"/>
      <c r="M63" s="23" t="n"/>
      <c r="N63" s="23" t="n"/>
      <c r="O63" s="23" t="n"/>
      <c r="P63" s="23" t="n"/>
      <c r="Q63" s="23" t="n"/>
      <c r="R63" s="23" t="n"/>
      <c r="S63" s="23" t="n"/>
      <c r="T63" s="23" t="n"/>
      <c r="U63" s="23" t="n"/>
      <c r="V63" s="23" t="n"/>
      <c r="W63" s="23" t="n"/>
      <c r="X63" s="23" t="n"/>
      <c r="Y63" s="25" t="n"/>
      <c r="Z63" s="25" t="n"/>
      <c r="AA63" s="23" t="n"/>
      <c r="AB63" s="25" t="n"/>
      <c r="AC63" s="23" t="n"/>
      <c r="AD63" s="25" t="n"/>
      <c r="AE63" s="23" t="n"/>
      <c r="AF63" s="25" t="n"/>
      <c r="AG63" s="25" t="n"/>
      <c r="AH63" s="23" t="n"/>
      <c r="AI63" s="23" t="n"/>
      <c r="AJ63" s="26">
        <f>IF(I63="","",I63&amp;"|"&amp;R63)</f>
        <v/>
      </c>
      <c r="AK63" s="26">
        <f>IF(I63="","",IF(ISNA(MATCH(O63,Kampanyalar!$A$2:$A$150,0)),"Hayır - Kampanyalar'da Yok","Evet"))</f>
        <v/>
      </c>
      <c r="AL63" s="27">
        <f>IF(I63="","",IFERROR(INDEX(Kampanyalar!$E$2:$E$150,MATCH(O63,Kampanyalar!$A$2:$A$150,0)),""))</f>
        <v/>
      </c>
      <c r="AM63" s="27">
        <f>IF(I63="","",IFERROR(INDEX(Kampanyalar!$F$2:$F$150,MATCH(O63,Kampanyalar!$A$2:$A$150,0)),""))</f>
        <v/>
      </c>
      <c r="AN63" s="27">
        <f>IF(I63="","",IFERROR(INDEX(Kampanyalar!$G$2:$G$150,MATCH(O63,Kampanyalar!$A$2:$A$150,0)),""))</f>
        <v/>
      </c>
      <c r="AO63" s="26">
        <f>IF(OR(I63="",AL63="",AM63=""),"",IF(AND(H63&gt;=AL63,H63&lt;=AM63),"Evet","HAYIR - Tarih Dışı"))</f>
        <v/>
      </c>
      <c r="AP63" s="28">
        <f>IF(I63="","",IFERROR(INDEX(Kampanyalar!$H$2:$H$150,MATCH(O63,Kampanyalar!$A$2:$A$150,0)),""))</f>
        <v/>
      </c>
      <c r="AQ63" s="28">
        <f>IF(I63="","",IF(ISNUMBER(AP63),AP63,AD63))</f>
        <v/>
      </c>
      <c r="AR63" s="26">
        <f>IF(I63="","",IF(Parametreler!$C$7="Evet","Kural A - Hemen Ödeme (Stok Mutabakatlı)","Kural B - Nakliye/Montaj Sonrası Ödeme"))</f>
        <v/>
      </c>
    </row>
    <row r="64">
      <c r="A64" s="23" t="n"/>
      <c r="B64" s="23" t="n"/>
      <c r="C64" s="23" t="n"/>
      <c r="D64" s="23" t="n"/>
      <c r="E64" s="23" t="n"/>
      <c r="F64" s="23" t="n"/>
      <c r="G64" s="23" t="n"/>
      <c r="H64" s="24" t="n"/>
      <c r="I64" s="23" t="n"/>
      <c r="J64" s="23" t="n"/>
      <c r="K64" s="23" t="n"/>
      <c r="L64" s="23" t="n"/>
      <c r="M64" s="23" t="n"/>
      <c r="N64" s="23" t="n"/>
      <c r="O64" s="23" t="n"/>
      <c r="P64" s="23" t="n"/>
      <c r="Q64" s="23" t="n"/>
      <c r="R64" s="23" t="n"/>
      <c r="S64" s="23" t="n"/>
      <c r="T64" s="23" t="n"/>
      <c r="U64" s="23" t="n"/>
      <c r="V64" s="23" t="n"/>
      <c r="W64" s="23" t="n"/>
      <c r="X64" s="23" t="n"/>
      <c r="Y64" s="25" t="n"/>
      <c r="Z64" s="25" t="n"/>
      <c r="AA64" s="23" t="n"/>
      <c r="AB64" s="25" t="n"/>
      <c r="AC64" s="23" t="n"/>
      <c r="AD64" s="25" t="n"/>
      <c r="AE64" s="23" t="n"/>
      <c r="AF64" s="25" t="n"/>
      <c r="AG64" s="25" t="n"/>
      <c r="AH64" s="23" t="n"/>
      <c r="AI64" s="23" t="n"/>
      <c r="AJ64" s="26">
        <f>IF(I64="","",I64&amp;"|"&amp;R64)</f>
        <v/>
      </c>
      <c r="AK64" s="26">
        <f>IF(I64="","",IF(ISNA(MATCH(O64,Kampanyalar!$A$2:$A$150,0)),"Hayır - Kampanyalar'da Yok","Evet"))</f>
        <v/>
      </c>
      <c r="AL64" s="27">
        <f>IF(I64="","",IFERROR(INDEX(Kampanyalar!$E$2:$E$150,MATCH(O64,Kampanyalar!$A$2:$A$150,0)),""))</f>
        <v/>
      </c>
      <c r="AM64" s="27">
        <f>IF(I64="","",IFERROR(INDEX(Kampanyalar!$F$2:$F$150,MATCH(O64,Kampanyalar!$A$2:$A$150,0)),""))</f>
        <v/>
      </c>
      <c r="AN64" s="27">
        <f>IF(I64="","",IFERROR(INDEX(Kampanyalar!$G$2:$G$150,MATCH(O64,Kampanyalar!$A$2:$A$150,0)),""))</f>
        <v/>
      </c>
      <c r="AO64" s="26">
        <f>IF(OR(I64="",AL64="",AM64=""),"",IF(AND(H64&gt;=AL64,H64&lt;=AM64),"Evet","HAYIR - Tarih Dışı"))</f>
        <v/>
      </c>
      <c r="AP64" s="28">
        <f>IF(I64="","",IFERROR(INDEX(Kampanyalar!$H$2:$H$150,MATCH(O64,Kampanyalar!$A$2:$A$150,0)),""))</f>
        <v/>
      </c>
      <c r="AQ64" s="28">
        <f>IF(I64="","",IF(ISNUMBER(AP64),AP64,AD64))</f>
        <v/>
      </c>
      <c r="AR64" s="26">
        <f>IF(I64="","",IF(Parametreler!$C$7="Evet","Kural A - Hemen Ödeme (Stok Mutabakatlı)","Kural B - Nakliye/Montaj Sonrası Ödeme"))</f>
        <v/>
      </c>
    </row>
    <row r="65">
      <c r="A65" s="23" t="n"/>
      <c r="B65" s="23" t="n"/>
      <c r="C65" s="23" t="n"/>
      <c r="D65" s="23" t="n"/>
      <c r="E65" s="23" t="n"/>
      <c r="F65" s="23" t="n"/>
      <c r="G65" s="23" t="n"/>
      <c r="H65" s="24" t="n"/>
      <c r="I65" s="23" t="n"/>
      <c r="J65" s="23" t="n"/>
      <c r="K65" s="23" t="n"/>
      <c r="L65" s="23" t="n"/>
      <c r="M65" s="23" t="n"/>
      <c r="N65" s="23" t="n"/>
      <c r="O65" s="23" t="n"/>
      <c r="P65" s="23" t="n"/>
      <c r="Q65" s="23" t="n"/>
      <c r="R65" s="23" t="n"/>
      <c r="S65" s="23" t="n"/>
      <c r="T65" s="23" t="n"/>
      <c r="U65" s="23" t="n"/>
      <c r="V65" s="23" t="n"/>
      <c r="W65" s="23" t="n"/>
      <c r="X65" s="23" t="n"/>
      <c r="Y65" s="25" t="n"/>
      <c r="Z65" s="25" t="n"/>
      <c r="AA65" s="23" t="n"/>
      <c r="AB65" s="25" t="n"/>
      <c r="AC65" s="23" t="n"/>
      <c r="AD65" s="25" t="n"/>
      <c r="AE65" s="23" t="n"/>
      <c r="AF65" s="25" t="n"/>
      <c r="AG65" s="25" t="n"/>
      <c r="AH65" s="23" t="n"/>
      <c r="AI65" s="23" t="n"/>
      <c r="AJ65" s="26">
        <f>IF(I65="","",I65&amp;"|"&amp;R65)</f>
        <v/>
      </c>
      <c r="AK65" s="26">
        <f>IF(I65="","",IF(ISNA(MATCH(O65,Kampanyalar!$A$2:$A$150,0)),"Hayır - Kampanyalar'da Yok","Evet"))</f>
        <v/>
      </c>
      <c r="AL65" s="27">
        <f>IF(I65="","",IFERROR(INDEX(Kampanyalar!$E$2:$E$150,MATCH(O65,Kampanyalar!$A$2:$A$150,0)),""))</f>
        <v/>
      </c>
      <c r="AM65" s="27">
        <f>IF(I65="","",IFERROR(INDEX(Kampanyalar!$F$2:$F$150,MATCH(O65,Kampanyalar!$A$2:$A$150,0)),""))</f>
        <v/>
      </c>
      <c r="AN65" s="27">
        <f>IF(I65="","",IFERROR(INDEX(Kampanyalar!$G$2:$G$150,MATCH(O65,Kampanyalar!$A$2:$A$150,0)),""))</f>
        <v/>
      </c>
      <c r="AO65" s="26">
        <f>IF(OR(I65="",AL65="",AM65=""),"",IF(AND(H65&gt;=AL65,H65&lt;=AM65),"Evet","HAYIR - Tarih Dışı"))</f>
        <v/>
      </c>
      <c r="AP65" s="28">
        <f>IF(I65="","",IFERROR(INDEX(Kampanyalar!$H$2:$H$150,MATCH(O65,Kampanyalar!$A$2:$A$150,0)),""))</f>
        <v/>
      </c>
      <c r="AQ65" s="28">
        <f>IF(I65="","",IF(ISNUMBER(AP65),AP65,AD65))</f>
        <v/>
      </c>
      <c r="AR65" s="26">
        <f>IF(I65="","",IF(Parametreler!$C$7="Evet","Kural A - Hemen Ödeme (Stok Mutabakatlı)","Kural B - Nakliye/Montaj Sonrası Ödeme"))</f>
        <v/>
      </c>
    </row>
    <row r="66">
      <c r="A66" s="23" t="n"/>
      <c r="B66" s="23" t="n"/>
      <c r="C66" s="23" t="n"/>
      <c r="D66" s="23" t="n"/>
      <c r="E66" s="23" t="n"/>
      <c r="F66" s="23" t="n"/>
      <c r="G66" s="23" t="n"/>
      <c r="H66" s="24" t="n"/>
      <c r="I66" s="23" t="n"/>
      <c r="J66" s="23" t="n"/>
      <c r="K66" s="23" t="n"/>
      <c r="L66" s="23" t="n"/>
      <c r="M66" s="23" t="n"/>
      <c r="N66" s="23" t="n"/>
      <c r="O66" s="23" t="n"/>
      <c r="P66" s="23" t="n"/>
      <c r="Q66" s="23" t="n"/>
      <c r="R66" s="23" t="n"/>
      <c r="S66" s="23" t="n"/>
      <c r="T66" s="23" t="n"/>
      <c r="U66" s="23" t="n"/>
      <c r="V66" s="23" t="n"/>
      <c r="W66" s="23" t="n"/>
      <c r="X66" s="23" t="n"/>
      <c r="Y66" s="25" t="n"/>
      <c r="Z66" s="25" t="n"/>
      <c r="AA66" s="23" t="n"/>
      <c r="AB66" s="25" t="n"/>
      <c r="AC66" s="23" t="n"/>
      <c r="AD66" s="25" t="n"/>
      <c r="AE66" s="23" t="n"/>
      <c r="AF66" s="25" t="n"/>
      <c r="AG66" s="25" t="n"/>
      <c r="AH66" s="23" t="n"/>
      <c r="AI66" s="23" t="n"/>
      <c r="AJ66" s="26">
        <f>IF(I66="","",I66&amp;"|"&amp;R66)</f>
        <v/>
      </c>
      <c r="AK66" s="26">
        <f>IF(I66="","",IF(ISNA(MATCH(O66,Kampanyalar!$A$2:$A$150,0)),"Hayır - Kampanyalar'da Yok","Evet"))</f>
        <v/>
      </c>
      <c r="AL66" s="27">
        <f>IF(I66="","",IFERROR(INDEX(Kampanyalar!$E$2:$E$150,MATCH(O66,Kampanyalar!$A$2:$A$150,0)),""))</f>
        <v/>
      </c>
      <c r="AM66" s="27">
        <f>IF(I66="","",IFERROR(INDEX(Kampanyalar!$F$2:$F$150,MATCH(O66,Kampanyalar!$A$2:$A$150,0)),""))</f>
        <v/>
      </c>
      <c r="AN66" s="27">
        <f>IF(I66="","",IFERROR(INDEX(Kampanyalar!$G$2:$G$150,MATCH(O66,Kampanyalar!$A$2:$A$150,0)),""))</f>
        <v/>
      </c>
      <c r="AO66" s="26">
        <f>IF(OR(I66="",AL66="",AM66=""),"",IF(AND(H66&gt;=AL66,H66&lt;=AM66),"Evet","HAYIR - Tarih Dışı"))</f>
        <v/>
      </c>
      <c r="AP66" s="28">
        <f>IF(I66="","",IFERROR(INDEX(Kampanyalar!$H$2:$H$150,MATCH(O66,Kampanyalar!$A$2:$A$150,0)),""))</f>
        <v/>
      </c>
      <c r="AQ66" s="28">
        <f>IF(I66="","",IF(ISNUMBER(AP66),AP66,AD66))</f>
        <v/>
      </c>
      <c r="AR66" s="26">
        <f>IF(I66="","",IF(Parametreler!$C$7="Evet","Kural A - Hemen Ödeme (Stok Mutabakatlı)","Kural B - Nakliye/Montaj Sonrası Ödeme"))</f>
        <v/>
      </c>
    </row>
    <row r="67">
      <c r="A67" s="23" t="n"/>
      <c r="B67" s="23" t="n"/>
      <c r="C67" s="23" t="n"/>
      <c r="D67" s="23" t="n"/>
      <c r="E67" s="23" t="n"/>
      <c r="F67" s="23" t="n"/>
      <c r="G67" s="23" t="n"/>
      <c r="H67" s="24" t="n"/>
      <c r="I67" s="23" t="n"/>
      <c r="J67" s="23" t="n"/>
      <c r="K67" s="23" t="n"/>
      <c r="L67" s="23" t="n"/>
      <c r="M67" s="23" t="n"/>
      <c r="N67" s="23" t="n"/>
      <c r="O67" s="23" t="n"/>
      <c r="P67" s="23" t="n"/>
      <c r="Q67" s="23" t="n"/>
      <c r="R67" s="23" t="n"/>
      <c r="S67" s="23" t="n"/>
      <c r="T67" s="23" t="n"/>
      <c r="U67" s="23" t="n"/>
      <c r="V67" s="23" t="n"/>
      <c r="W67" s="23" t="n"/>
      <c r="X67" s="23" t="n"/>
      <c r="Y67" s="25" t="n"/>
      <c r="Z67" s="25" t="n"/>
      <c r="AA67" s="23" t="n"/>
      <c r="AB67" s="25" t="n"/>
      <c r="AC67" s="23" t="n"/>
      <c r="AD67" s="25" t="n"/>
      <c r="AE67" s="23" t="n"/>
      <c r="AF67" s="25" t="n"/>
      <c r="AG67" s="25" t="n"/>
      <c r="AH67" s="23" t="n"/>
      <c r="AI67" s="23" t="n"/>
      <c r="AJ67" s="26">
        <f>IF(I67="","",I67&amp;"|"&amp;R67)</f>
        <v/>
      </c>
      <c r="AK67" s="26">
        <f>IF(I67="","",IF(ISNA(MATCH(O67,Kampanyalar!$A$2:$A$150,0)),"Hayır - Kampanyalar'da Yok","Evet"))</f>
        <v/>
      </c>
      <c r="AL67" s="27">
        <f>IF(I67="","",IFERROR(INDEX(Kampanyalar!$E$2:$E$150,MATCH(O67,Kampanyalar!$A$2:$A$150,0)),""))</f>
        <v/>
      </c>
      <c r="AM67" s="27">
        <f>IF(I67="","",IFERROR(INDEX(Kampanyalar!$F$2:$F$150,MATCH(O67,Kampanyalar!$A$2:$A$150,0)),""))</f>
        <v/>
      </c>
      <c r="AN67" s="27">
        <f>IF(I67="","",IFERROR(INDEX(Kampanyalar!$G$2:$G$150,MATCH(O67,Kampanyalar!$A$2:$A$150,0)),""))</f>
        <v/>
      </c>
      <c r="AO67" s="26">
        <f>IF(OR(I67="",AL67="",AM67=""),"",IF(AND(H67&gt;=AL67,H67&lt;=AM67),"Evet","HAYIR - Tarih Dışı"))</f>
        <v/>
      </c>
      <c r="AP67" s="28">
        <f>IF(I67="","",IFERROR(INDEX(Kampanyalar!$H$2:$H$150,MATCH(O67,Kampanyalar!$A$2:$A$150,0)),""))</f>
        <v/>
      </c>
      <c r="AQ67" s="28">
        <f>IF(I67="","",IF(ISNUMBER(AP67),AP67,AD67))</f>
        <v/>
      </c>
      <c r="AR67" s="26">
        <f>IF(I67="","",IF(Parametreler!$C$7="Evet","Kural A - Hemen Ödeme (Stok Mutabakatlı)","Kural B - Nakliye/Montaj Sonrası Ödeme"))</f>
        <v/>
      </c>
    </row>
    <row r="68">
      <c r="A68" s="23" t="n"/>
      <c r="B68" s="23" t="n"/>
      <c r="C68" s="23" t="n"/>
      <c r="D68" s="23" t="n"/>
      <c r="E68" s="23" t="n"/>
      <c r="F68" s="23" t="n"/>
      <c r="G68" s="23" t="n"/>
      <c r="H68" s="24" t="n"/>
      <c r="I68" s="23" t="n"/>
      <c r="J68" s="23" t="n"/>
      <c r="K68" s="23" t="n"/>
      <c r="L68" s="23" t="n"/>
      <c r="M68" s="23" t="n"/>
      <c r="N68" s="23" t="n"/>
      <c r="O68" s="23" t="n"/>
      <c r="P68" s="23" t="n"/>
      <c r="Q68" s="23" t="n"/>
      <c r="R68" s="23" t="n"/>
      <c r="S68" s="23" t="n"/>
      <c r="T68" s="23" t="n"/>
      <c r="U68" s="23" t="n"/>
      <c r="V68" s="23" t="n"/>
      <c r="W68" s="23" t="n"/>
      <c r="X68" s="23" t="n"/>
      <c r="Y68" s="25" t="n"/>
      <c r="Z68" s="25" t="n"/>
      <c r="AA68" s="23" t="n"/>
      <c r="AB68" s="25" t="n"/>
      <c r="AC68" s="23" t="n"/>
      <c r="AD68" s="25" t="n"/>
      <c r="AE68" s="23" t="n"/>
      <c r="AF68" s="25" t="n"/>
      <c r="AG68" s="25" t="n"/>
      <c r="AH68" s="23" t="n"/>
      <c r="AI68" s="23" t="n"/>
      <c r="AJ68" s="26">
        <f>IF(I68="","",I68&amp;"|"&amp;R68)</f>
        <v/>
      </c>
      <c r="AK68" s="26">
        <f>IF(I68="","",IF(ISNA(MATCH(O68,Kampanyalar!$A$2:$A$150,0)),"Hayır - Kampanyalar'da Yok","Evet"))</f>
        <v/>
      </c>
      <c r="AL68" s="27">
        <f>IF(I68="","",IFERROR(INDEX(Kampanyalar!$E$2:$E$150,MATCH(O68,Kampanyalar!$A$2:$A$150,0)),""))</f>
        <v/>
      </c>
      <c r="AM68" s="27">
        <f>IF(I68="","",IFERROR(INDEX(Kampanyalar!$F$2:$F$150,MATCH(O68,Kampanyalar!$A$2:$A$150,0)),""))</f>
        <v/>
      </c>
      <c r="AN68" s="27">
        <f>IF(I68="","",IFERROR(INDEX(Kampanyalar!$G$2:$G$150,MATCH(O68,Kampanyalar!$A$2:$A$150,0)),""))</f>
        <v/>
      </c>
      <c r="AO68" s="26">
        <f>IF(OR(I68="",AL68="",AM68=""),"",IF(AND(H68&gt;=AL68,H68&lt;=AM68),"Evet","HAYIR - Tarih Dışı"))</f>
        <v/>
      </c>
      <c r="AP68" s="28">
        <f>IF(I68="","",IFERROR(INDEX(Kampanyalar!$H$2:$H$150,MATCH(O68,Kampanyalar!$A$2:$A$150,0)),""))</f>
        <v/>
      </c>
      <c r="AQ68" s="28">
        <f>IF(I68="","",IF(ISNUMBER(AP68),AP68,AD68))</f>
        <v/>
      </c>
      <c r="AR68" s="26">
        <f>IF(I68="","",IF(Parametreler!$C$7="Evet","Kural A - Hemen Ödeme (Stok Mutabakatlı)","Kural B - Nakliye/Montaj Sonrası Ödeme"))</f>
        <v/>
      </c>
    </row>
    <row r="69">
      <c r="A69" s="23" t="n"/>
      <c r="B69" s="23" t="n"/>
      <c r="C69" s="23" t="n"/>
      <c r="D69" s="23" t="n"/>
      <c r="E69" s="23" t="n"/>
      <c r="F69" s="23" t="n"/>
      <c r="G69" s="23" t="n"/>
      <c r="H69" s="24" t="n"/>
      <c r="I69" s="23" t="n"/>
      <c r="J69" s="23" t="n"/>
      <c r="K69" s="23" t="n"/>
      <c r="L69" s="23" t="n"/>
      <c r="M69" s="23" t="n"/>
      <c r="N69" s="23" t="n"/>
      <c r="O69" s="23" t="n"/>
      <c r="P69" s="23" t="n"/>
      <c r="Q69" s="23" t="n"/>
      <c r="R69" s="23" t="n"/>
      <c r="S69" s="23" t="n"/>
      <c r="T69" s="23" t="n"/>
      <c r="U69" s="23" t="n"/>
      <c r="V69" s="23" t="n"/>
      <c r="W69" s="23" t="n"/>
      <c r="X69" s="23" t="n"/>
      <c r="Y69" s="25" t="n"/>
      <c r="Z69" s="25" t="n"/>
      <c r="AA69" s="23" t="n"/>
      <c r="AB69" s="25" t="n"/>
      <c r="AC69" s="23" t="n"/>
      <c r="AD69" s="25" t="n"/>
      <c r="AE69" s="23" t="n"/>
      <c r="AF69" s="25" t="n"/>
      <c r="AG69" s="25" t="n"/>
      <c r="AH69" s="23" t="n"/>
      <c r="AI69" s="23" t="n"/>
      <c r="AJ69" s="26">
        <f>IF(I69="","",I69&amp;"|"&amp;R69)</f>
        <v/>
      </c>
      <c r="AK69" s="26">
        <f>IF(I69="","",IF(ISNA(MATCH(O69,Kampanyalar!$A$2:$A$150,0)),"Hayır - Kampanyalar'da Yok","Evet"))</f>
        <v/>
      </c>
      <c r="AL69" s="27">
        <f>IF(I69="","",IFERROR(INDEX(Kampanyalar!$E$2:$E$150,MATCH(O69,Kampanyalar!$A$2:$A$150,0)),""))</f>
        <v/>
      </c>
      <c r="AM69" s="27">
        <f>IF(I69="","",IFERROR(INDEX(Kampanyalar!$F$2:$F$150,MATCH(O69,Kampanyalar!$A$2:$A$150,0)),""))</f>
        <v/>
      </c>
      <c r="AN69" s="27">
        <f>IF(I69="","",IFERROR(INDEX(Kampanyalar!$G$2:$G$150,MATCH(O69,Kampanyalar!$A$2:$A$150,0)),""))</f>
        <v/>
      </c>
      <c r="AO69" s="26">
        <f>IF(OR(I69="",AL69="",AM69=""),"",IF(AND(H69&gt;=AL69,H69&lt;=AM69),"Evet","HAYIR - Tarih Dışı"))</f>
        <v/>
      </c>
      <c r="AP69" s="28">
        <f>IF(I69="","",IFERROR(INDEX(Kampanyalar!$H$2:$H$150,MATCH(O69,Kampanyalar!$A$2:$A$150,0)),""))</f>
        <v/>
      </c>
      <c r="AQ69" s="28">
        <f>IF(I69="","",IF(ISNUMBER(AP69),AP69,AD69))</f>
        <v/>
      </c>
      <c r="AR69" s="26">
        <f>IF(I69="","",IF(Parametreler!$C$7="Evet","Kural A - Hemen Ödeme (Stok Mutabakatlı)","Kural B - Nakliye/Montaj Sonrası Ödeme"))</f>
        <v/>
      </c>
    </row>
    <row r="70">
      <c r="A70" s="23" t="n"/>
      <c r="B70" s="23" t="n"/>
      <c r="C70" s="23" t="n"/>
      <c r="D70" s="23" t="n"/>
      <c r="E70" s="23" t="n"/>
      <c r="F70" s="23" t="n"/>
      <c r="G70" s="23" t="n"/>
      <c r="H70" s="24" t="n"/>
      <c r="I70" s="23" t="n"/>
      <c r="J70" s="23" t="n"/>
      <c r="K70" s="23" t="n"/>
      <c r="L70" s="23" t="n"/>
      <c r="M70" s="23" t="n"/>
      <c r="N70" s="23" t="n"/>
      <c r="O70" s="23" t="n"/>
      <c r="P70" s="23" t="n"/>
      <c r="Q70" s="23" t="n"/>
      <c r="R70" s="23" t="n"/>
      <c r="S70" s="23" t="n"/>
      <c r="T70" s="23" t="n"/>
      <c r="U70" s="23" t="n"/>
      <c r="V70" s="23" t="n"/>
      <c r="W70" s="23" t="n"/>
      <c r="X70" s="23" t="n"/>
      <c r="Y70" s="25" t="n"/>
      <c r="Z70" s="25" t="n"/>
      <c r="AA70" s="23" t="n"/>
      <c r="AB70" s="25" t="n"/>
      <c r="AC70" s="23" t="n"/>
      <c r="AD70" s="25" t="n"/>
      <c r="AE70" s="23" t="n"/>
      <c r="AF70" s="25" t="n"/>
      <c r="AG70" s="25" t="n"/>
      <c r="AH70" s="23" t="n"/>
      <c r="AI70" s="23" t="n"/>
      <c r="AJ70" s="26">
        <f>IF(I70="","",I70&amp;"|"&amp;R70)</f>
        <v/>
      </c>
      <c r="AK70" s="26">
        <f>IF(I70="","",IF(ISNA(MATCH(O70,Kampanyalar!$A$2:$A$150,0)),"Hayır - Kampanyalar'da Yok","Evet"))</f>
        <v/>
      </c>
      <c r="AL70" s="27">
        <f>IF(I70="","",IFERROR(INDEX(Kampanyalar!$E$2:$E$150,MATCH(O70,Kampanyalar!$A$2:$A$150,0)),""))</f>
        <v/>
      </c>
      <c r="AM70" s="27">
        <f>IF(I70="","",IFERROR(INDEX(Kampanyalar!$F$2:$F$150,MATCH(O70,Kampanyalar!$A$2:$A$150,0)),""))</f>
        <v/>
      </c>
      <c r="AN70" s="27">
        <f>IF(I70="","",IFERROR(INDEX(Kampanyalar!$G$2:$G$150,MATCH(O70,Kampanyalar!$A$2:$A$150,0)),""))</f>
        <v/>
      </c>
      <c r="AO70" s="26">
        <f>IF(OR(I70="",AL70="",AM70=""),"",IF(AND(H70&gt;=AL70,H70&lt;=AM70),"Evet","HAYIR - Tarih Dışı"))</f>
        <v/>
      </c>
      <c r="AP70" s="28">
        <f>IF(I70="","",IFERROR(INDEX(Kampanyalar!$H$2:$H$150,MATCH(O70,Kampanyalar!$A$2:$A$150,0)),""))</f>
        <v/>
      </c>
      <c r="AQ70" s="28">
        <f>IF(I70="","",IF(ISNUMBER(AP70),AP70,AD70))</f>
        <v/>
      </c>
      <c r="AR70" s="26">
        <f>IF(I70="","",IF(Parametreler!$C$7="Evet","Kural A - Hemen Ödeme (Stok Mutabakatlı)","Kural B - Nakliye/Montaj Sonrası Ödeme"))</f>
        <v/>
      </c>
    </row>
    <row r="71">
      <c r="A71" s="23" t="n"/>
      <c r="B71" s="23" t="n"/>
      <c r="C71" s="23" t="n"/>
      <c r="D71" s="23" t="n"/>
      <c r="E71" s="23" t="n"/>
      <c r="F71" s="23" t="n"/>
      <c r="G71" s="23" t="n"/>
      <c r="H71" s="24" t="n"/>
      <c r="I71" s="23" t="n"/>
      <c r="J71" s="23" t="n"/>
      <c r="K71" s="23" t="n"/>
      <c r="L71" s="23" t="n"/>
      <c r="M71" s="23" t="n"/>
      <c r="N71" s="23" t="n"/>
      <c r="O71" s="23" t="n"/>
      <c r="P71" s="23" t="n"/>
      <c r="Q71" s="23" t="n"/>
      <c r="R71" s="23" t="n"/>
      <c r="S71" s="23" t="n"/>
      <c r="T71" s="23" t="n"/>
      <c r="U71" s="23" t="n"/>
      <c r="V71" s="23" t="n"/>
      <c r="W71" s="23" t="n"/>
      <c r="X71" s="23" t="n"/>
      <c r="Y71" s="25" t="n"/>
      <c r="Z71" s="25" t="n"/>
      <c r="AA71" s="23" t="n"/>
      <c r="AB71" s="25" t="n"/>
      <c r="AC71" s="23" t="n"/>
      <c r="AD71" s="25" t="n"/>
      <c r="AE71" s="23" t="n"/>
      <c r="AF71" s="25" t="n"/>
      <c r="AG71" s="25" t="n"/>
      <c r="AH71" s="23" t="n"/>
      <c r="AI71" s="23" t="n"/>
      <c r="AJ71" s="26">
        <f>IF(I71="","",I71&amp;"|"&amp;R71)</f>
        <v/>
      </c>
      <c r="AK71" s="26">
        <f>IF(I71="","",IF(ISNA(MATCH(O71,Kampanyalar!$A$2:$A$150,0)),"Hayır - Kampanyalar'da Yok","Evet"))</f>
        <v/>
      </c>
      <c r="AL71" s="27">
        <f>IF(I71="","",IFERROR(INDEX(Kampanyalar!$E$2:$E$150,MATCH(O71,Kampanyalar!$A$2:$A$150,0)),""))</f>
        <v/>
      </c>
      <c r="AM71" s="27">
        <f>IF(I71="","",IFERROR(INDEX(Kampanyalar!$F$2:$F$150,MATCH(O71,Kampanyalar!$A$2:$A$150,0)),""))</f>
        <v/>
      </c>
      <c r="AN71" s="27">
        <f>IF(I71="","",IFERROR(INDEX(Kampanyalar!$G$2:$G$150,MATCH(O71,Kampanyalar!$A$2:$A$150,0)),""))</f>
        <v/>
      </c>
      <c r="AO71" s="26">
        <f>IF(OR(I71="",AL71="",AM71=""),"",IF(AND(H71&gt;=AL71,H71&lt;=AM71),"Evet","HAYIR - Tarih Dışı"))</f>
        <v/>
      </c>
      <c r="AP71" s="28">
        <f>IF(I71="","",IFERROR(INDEX(Kampanyalar!$H$2:$H$150,MATCH(O71,Kampanyalar!$A$2:$A$150,0)),""))</f>
        <v/>
      </c>
      <c r="AQ71" s="28">
        <f>IF(I71="","",IF(ISNUMBER(AP71),AP71,AD71))</f>
        <v/>
      </c>
      <c r="AR71" s="26">
        <f>IF(I71="","",IF(Parametreler!$C$7="Evet","Kural A - Hemen Ödeme (Stok Mutabakatlı)","Kural B - Nakliye/Montaj Sonrası Ödeme"))</f>
        <v/>
      </c>
    </row>
    <row r="72">
      <c r="A72" s="23" t="n"/>
      <c r="B72" s="23" t="n"/>
      <c r="C72" s="23" t="n"/>
      <c r="D72" s="23" t="n"/>
      <c r="E72" s="23" t="n"/>
      <c r="F72" s="23" t="n"/>
      <c r="G72" s="23" t="n"/>
      <c r="H72" s="24" t="n"/>
      <c r="I72" s="23" t="n"/>
      <c r="J72" s="23" t="n"/>
      <c r="K72" s="23" t="n"/>
      <c r="L72" s="23" t="n"/>
      <c r="M72" s="23" t="n"/>
      <c r="N72" s="23" t="n"/>
      <c r="O72" s="23" t="n"/>
      <c r="P72" s="23" t="n"/>
      <c r="Q72" s="23" t="n"/>
      <c r="R72" s="23" t="n"/>
      <c r="S72" s="23" t="n"/>
      <c r="T72" s="23" t="n"/>
      <c r="U72" s="23" t="n"/>
      <c r="V72" s="23" t="n"/>
      <c r="W72" s="23" t="n"/>
      <c r="X72" s="23" t="n"/>
      <c r="Y72" s="25" t="n"/>
      <c r="Z72" s="25" t="n"/>
      <c r="AA72" s="23" t="n"/>
      <c r="AB72" s="25" t="n"/>
      <c r="AC72" s="23" t="n"/>
      <c r="AD72" s="25" t="n"/>
      <c r="AE72" s="23" t="n"/>
      <c r="AF72" s="25" t="n"/>
      <c r="AG72" s="25" t="n"/>
      <c r="AH72" s="23" t="n"/>
      <c r="AI72" s="23" t="n"/>
      <c r="AJ72" s="26">
        <f>IF(I72="","",I72&amp;"|"&amp;R72)</f>
        <v/>
      </c>
      <c r="AK72" s="26">
        <f>IF(I72="","",IF(ISNA(MATCH(O72,Kampanyalar!$A$2:$A$150,0)),"Hayır - Kampanyalar'da Yok","Evet"))</f>
        <v/>
      </c>
      <c r="AL72" s="27">
        <f>IF(I72="","",IFERROR(INDEX(Kampanyalar!$E$2:$E$150,MATCH(O72,Kampanyalar!$A$2:$A$150,0)),""))</f>
        <v/>
      </c>
      <c r="AM72" s="27">
        <f>IF(I72="","",IFERROR(INDEX(Kampanyalar!$F$2:$F$150,MATCH(O72,Kampanyalar!$A$2:$A$150,0)),""))</f>
        <v/>
      </c>
      <c r="AN72" s="27">
        <f>IF(I72="","",IFERROR(INDEX(Kampanyalar!$G$2:$G$150,MATCH(O72,Kampanyalar!$A$2:$A$150,0)),""))</f>
        <v/>
      </c>
      <c r="AO72" s="26">
        <f>IF(OR(I72="",AL72="",AM72=""),"",IF(AND(H72&gt;=AL72,H72&lt;=AM72),"Evet","HAYIR - Tarih Dışı"))</f>
        <v/>
      </c>
      <c r="AP72" s="28">
        <f>IF(I72="","",IFERROR(INDEX(Kampanyalar!$H$2:$H$150,MATCH(O72,Kampanyalar!$A$2:$A$150,0)),""))</f>
        <v/>
      </c>
      <c r="AQ72" s="28">
        <f>IF(I72="","",IF(ISNUMBER(AP72),AP72,AD72))</f>
        <v/>
      </c>
      <c r="AR72" s="26">
        <f>IF(I72="","",IF(Parametreler!$C$7="Evet","Kural A - Hemen Ödeme (Stok Mutabakatlı)","Kural B - Nakliye/Montaj Sonrası Ödeme"))</f>
        <v/>
      </c>
    </row>
    <row r="73">
      <c r="A73" s="23" t="n"/>
      <c r="B73" s="23" t="n"/>
      <c r="C73" s="23" t="n"/>
      <c r="D73" s="23" t="n"/>
      <c r="E73" s="23" t="n"/>
      <c r="F73" s="23" t="n"/>
      <c r="G73" s="23" t="n"/>
      <c r="H73" s="24" t="n"/>
      <c r="I73" s="23" t="n"/>
      <c r="J73" s="23" t="n"/>
      <c r="K73" s="23" t="n"/>
      <c r="L73" s="23" t="n"/>
      <c r="M73" s="23" t="n"/>
      <c r="N73" s="23" t="n"/>
      <c r="O73" s="23" t="n"/>
      <c r="P73" s="23" t="n"/>
      <c r="Q73" s="23" t="n"/>
      <c r="R73" s="23" t="n"/>
      <c r="S73" s="23" t="n"/>
      <c r="T73" s="23" t="n"/>
      <c r="U73" s="23" t="n"/>
      <c r="V73" s="23" t="n"/>
      <c r="W73" s="23" t="n"/>
      <c r="X73" s="23" t="n"/>
      <c r="Y73" s="25" t="n"/>
      <c r="Z73" s="25" t="n"/>
      <c r="AA73" s="23" t="n"/>
      <c r="AB73" s="25" t="n"/>
      <c r="AC73" s="23" t="n"/>
      <c r="AD73" s="25" t="n"/>
      <c r="AE73" s="23" t="n"/>
      <c r="AF73" s="25" t="n"/>
      <c r="AG73" s="25" t="n"/>
      <c r="AH73" s="23" t="n"/>
      <c r="AI73" s="23" t="n"/>
      <c r="AJ73" s="26">
        <f>IF(I73="","",I73&amp;"|"&amp;R73)</f>
        <v/>
      </c>
      <c r="AK73" s="26">
        <f>IF(I73="","",IF(ISNA(MATCH(O73,Kampanyalar!$A$2:$A$150,0)),"Hayır - Kampanyalar'da Yok","Evet"))</f>
        <v/>
      </c>
      <c r="AL73" s="27">
        <f>IF(I73="","",IFERROR(INDEX(Kampanyalar!$E$2:$E$150,MATCH(O73,Kampanyalar!$A$2:$A$150,0)),""))</f>
        <v/>
      </c>
      <c r="AM73" s="27">
        <f>IF(I73="","",IFERROR(INDEX(Kampanyalar!$F$2:$F$150,MATCH(O73,Kampanyalar!$A$2:$A$150,0)),""))</f>
        <v/>
      </c>
      <c r="AN73" s="27">
        <f>IF(I73="","",IFERROR(INDEX(Kampanyalar!$G$2:$G$150,MATCH(O73,Kampanyalar!$A$2:$A$150,0)),""))</f>
        <v/>
      </c>
      <c r="AO73" s="26">
        <f>IF(OR(I73="",AL73="",AM73=""),"",IF(AND(H73&gt;=AL73,H73&lt;=AM73),"Evet","HAYIR - Tarih Dışı"))</f>
        <v/>
      </c>
      <c r="AP73" s="28">
        <f>IF(I73="","",IFERROR(INDEX(Kampanyalar!$H$2:$H$150,MATCH(O73,Kampanyalar!$A$2:$A$150,0)),""))</f>
        <v/>
      </c>
      <c r="AQ73" s="28">
        <f>IF(I73="","",IF(ISNUMBER(AP73),AP73,AD73))</f>
        <v/>
      </c>
      <c r="AR73" s="26">
        <f>IF(I73="","",IF(Parametreler!$C$7="Evet","Kural A - Hemen Ödeme (Stok Mutabakatlı)","Kural B - Nakliye/Montaj Sonrası Ödeme"))</f>
        <v/>
      </c>
    </row>
    <row r="74">
      <c r="A74" s="23" t="n"/>
      <c r="B74" s="23" t="n"/>
      <c r="C74" s="23" t="n"/>
      <c r="D74" s="23" t="n"/>
      <c r="E74" s="23" t="n"/>
      <c r="F74" s="23" t="n"/>
      <c r="G74" s="23" t="n"/>
      <c r="H74" s="24" t="n"/>
      <c r="I74" s="23" t="n"/>
      <c r="J74" s="23" t="n"/>
      <c r="K74" s="23" t="n"/>
      <c r="L74" s="23" t="n"/>
      <c r="M74" s="23" t="n"/>
      <c r="N74" s="23" t="n"/>
      <c r="O74" s="23" t="n"/>
      <c r="P74" s="23" t="n"/>
      <c r="Q74" s="23" t="n"/>
      <c r="R74" s="23" t="n"/>
      <c r="S74" s="23" t="n"/>
      <c r="T74" s="23" t="n"/>
      <c r="U74" s="23" t="n"/>
      <c r="V74" s="23" t="n"/>
      <c r="W74" s="23" t="n"/>
      <c r="X74" s="23" t="n"/>
      <c r="Y74" s="25" t="n"/>
      <c r="Z74" s="25" t="n"/>
      <c r="AA74" s="23" t="n"/>
      <c r="AB74" s="25" t="n"/>
      <c r="AC74" s="23" t="n"/>
      <c r="AD74" s="25" t="n"/>
      <c r="AE74" s="23" t="n"/>
      <c r="AF74" s="25" t="n"/>
      <c r="AG74" s="25" t="n"/>
      <c r="AH74" s="23" t="n"/>
      <c r="AI74" s="23" t="n"/>
      <c r="AJ74" s="26">
        <f>IF(I74="","",I74&amp;"|"&amp;R74)</f>
        <v/>
      </c>
      <c r="AK74" s="26">
        <f>IF(I74="","",IF(ISNA(MATCH(O74,Kampanyalar!$A$2:$A$150,0)),"Hayır - Kampanyalar'da Yok","Evet"))</f>
        <v/>
      </c>
      <c r="AL74" s="27">
        <f>IF(I74="","",IFERROR(INDEX(Kampanyalar!$E$2:$E$150,MATCH(O74,Kampanyalar!$A$2:$A$150,0)),""))</f>
        <v/>
      </c>
      <c r="AM74" s="27">
        <f>IF(I74="","",IFERROR(INDEX(Kampanyalar!$F$2:$F$150,MATCH(O74,Kampanyalar!$A$2:$A$150,0)),""))</f>
        <v/>
      </c>
      <c r="AN74" s="27">
        <f>IF(I74="","",IFERROR(INDEX(Kampanyalar!$G$2:$G$150,MATCH(O74,Kampanyalar!$A$2:$A$150,0)),""))</f>
        <v/>
      </c>
      <c r="AO74" s="26">
        <f>IF(OR(I74="",AL74="",AM74=""),"",IF(AND(H74&gt;=AL74,H74&lt;=AM74),"Evet","HAYIR - Tarih Dışı"))</f>
        <v/>
      </c>
      <c r="AP74" s="28">
        <f>IF(I74="","",IFERROR(INDEX(Kampanyalar!$H$2:$H$150,MATCH(O74,Kampanyalar!$A$2:$A$150,0)),""))</f>
        <v/>
      </c>
      <c r="AQ74" s="28">
        <f>IF(I74="","",IF(ISNUMBER(AP74),AP74,AD74))</f>
        <v/>
      </c>
      <c r="AR74" s="26">
        <f>IF(I74="","",IF(Parametreler!$C$7="Evet","Kural A - Hemen Ödeme (Stok Mutabakatlı)","Kural B - Nakliye/Montaj Sonrası Ödeme"))</f>
        <v/>
      </c>
    </row>
    <row r="75">
      <c r="A75" s="23" t="n"/>
      <c r="B75" s="23" t="n"/>
      <c r="C75" s="23" t="n"/>
      <c r="D75" s="23" t="n"/>
      <c r="E75" s="23" t="n"/>
      <c r="F75" s="23" t="n"/>
      <c r="G75" s="23" t="n"/>
      <c r="H75" s="24" t="n"/>
      <c r="I75" s="23" t="n"/>
      <c r="J75" s="23" t="n"/>
      <c r="K75" s="23" t="n"/>
      <c r="L75" s="23" t="n"/>
      <c r="M75" s="23" t="n"/>
      <c r="N75" s="23" t="n"/>
      <c r="O75" s="23" t="n"/>
      <c r="P75" s="23" t="n"/>
      <c r="Q75" s="23" t="n"/>
      <c r="R75" s="23" t="n"/>
      <c r="S75" s="23" t="n"/>
      <c r="T75" s="23" t="n"/>
      <c r="U75" s="23" t="n"/>
      <c r="V75" s="23" t="n"/>
      <c r="W75" s="23" t="n"/>
      <c r="X75" s="23" t="n"/>
      <c r="Y75" s="25" t="n"/>
      <c r="Z75" s="25" t="n"/>
      <c r="AA75" s="23" t="n"/>
      <c r="AB75" s="25" t="n"/>
      <c r="AC75" s="23" t="n"/>
      <c r="AD75" s="25" t="n"/>
      <c r="AE75" s="23" t="n"/>
      <c r="AF75" s="25" t="n"/>
      <c r="AG75" s="25" t="n"/>
      <c r="AH75" s="23" t="n"/>
      <c r="AI75" s="23" t="n"/>
      <c r="AJ75" s="26">
        <f>IF(I75="","",I75&amp;"|"&amp;R75)</f>
        <v/>
      </c>
      <c r="AK75" s="26">
        <f>IF(I75="","",IF(ISNA(MATCH(O75,Kampanyalar!$A$2:$A$150,0)),"Hayır - Kampanyalar'da Yok","Evet"))</f>
        <v/>
      </c>
      <c r="AL75" s="27">
        <f>IF(I75="","",IFERROR(INDEX(Kampanyalar!$E$2:$E$150,MATCH(O75,Kampanyalar!$A$2:$A$150,0)),""))</f>
        <v/>
      </c>
      <c r="AM75" s="27">
        <f>IF(I75="","",IFERROR(INDEX(Kampanyalar!$F$2:$F$150,MATCH(O75,Kampanyalar!$A$2:$A$150,0)),""))</f>
        <v/>
      </c>
      <c r="AN75" s="27">
        <f>IF(I75="","",IFERROR(INDEX(Kampanyalar!$G$2:$G$150,MATCH(O75,Kampanyalar!$A$2:$A$150,0)),""))</f>
        <v/>
      </c>
      <c r="AO75" s="26">
        <f>IF(OR(I75="",AL75="",AM75=""),"",IF(AND(H75&gt;=AL75,H75&lt;=AM75),"Evet","HAYIR - Tarih Dışı"))</f>
        <v/>
      </c>
      <c r="AP75" s="28">
        <f>IF(I75="","",IFERROR(INDEX(Kampanyalar!$H$2:$H$150,MATCH(O75,Kampanyalar!$A$2:$A$150,0)),""))</f>
        <v/>
      </c>
      <c r="AQ75" s="28">
        <f>IF(I75="","",IF(ISNUMBER(AP75),AP75,AD75))</f>
        <v/>
      </c>
      <c r="AR75" s="26">
        <f>IF(I75="","",IF(Parametreler!$C$7="Evet","Kural A - Hemen Ödeme (Stok Mutabakatlı)","Kural B - Nakliye/Montaj Sonrası Ödeme"))</f>
        <v/>
      </c>
    </row>
    <row r="76">
      <c r="A76" s="23" t="n"/>
      <c r="B76" s="23" t="n"/>
      <c r="C76" s="23" t="n"/>
      <c r="D76" s="23" t="n"/>
      <c r="E76" s="23" t="n"/>
      <c r="F76" s="23" t="n"/>
      <c r="G76" s="23" t="n"/>
      <c r="H76" s="24" t="n"/>
      <c r="I76" s="23" t="n"/>
      <c r="J76" s="23" t="n"/>
      <c r="K76" s="23" t="n"/>
      <c r="L76" s="23" t="n"/>
      <c r="M76" s="23" t="n"/>
      <c r="N76" s="23" t="n"/>
      <c r="O76" s="23" t="n"/>
      <c r="P76" s="23" t="n"/>
      <c r="Q76" s="23" t="n"/>
      <c r="R76" s="23" t="n"/>
      <c r="S76" s="23" t="n"/>
      <c r="T76" s="23" t="n"/>
      <c r="U76" s="23" t="n"/>
      <c r="V76" s="23" t="n"/>
      <c r="W76" s="23" t="n"/>
      <c r="X76" s="23" t="n"/>
      <c r="Y76" s="25" t="n"/>
      <c r="Z76" s="25" t="n"/>
      <c r="AA76" s="23" t="n"/>
      <c r="AB76" s="25" t="n"/>
      <c r="AC76" s="23" t="n"/>
      <c r="AD76" s="25" t="n"/>
      <c r="AE76" s="23" t="n"/>
      <c r="AF76" s="25" t="n"/>
      <c r="AG76" s="25" t="n"/>
      <c r="AH76" s="23" t="n"/>
      <c r="AI76" s="23" t="n"/>
      <c r="AJ76" s="26">
        <f>IF(I76="","",I76&amp;"|"&amp;R76)</f>
        <v/>
      </c>
      <c r="AK76" s="26">
        <f>IF(I76="","",IF(ISNA(MATCH(O76,Kampanyalar!$A$2:$A$150,0)),"Hayır - Kampanyalar'da Yok","Evet"))</f>
        <v/>
      </c>
      <c r="AL76" s="27">
        <f>IF(I76="","",IFERROR(INDEX(Kampanyalar!$E$2:$E$150,MATCH(O76,Kampanyalar!$A$2:$A$150,0)),""))</f>
        <v/>
      </c>
      <c r="AM76" s="27">
        <f>IF(I76="","",IFERROR(INDEX(Kampanyalar!$F$2:$F$150,MATCH(O76,Kampanyalar!$A$2:$A$150,0)),""))</f>
        <v/>
      </c>
      <c r="AN76" s="27">
        <f>IF(I76="","",IFERROR(INDEX(Kampanyalar!$G$2:$G$150,MATCH(O76,Kampanyalar!$A$2:$A$150,0)),""))</f>
        <v/>
      </c>
      <c r="AO76" s="26">
        <f>IF(OR(I76="",AL76="",AM76=""),"",IF(AND(H76&gt;=AL76,H76&lt;=AM76),"Evet","HAYIR - Tarih Dışı"))</f>
        <v/>
      </c>
      <c r="AP76" s="28">
        <f>IF(I76="","",IFERROR(INDEX(Kampanyalar!$H$2:$H$150,MATCH(O76,Kampanyalar!$A$2:$A$150,0)),""))</f>
        <v/>
      </c>
      <c r="AQ76" s="28">
        <f>IF(I76="","",IF(ISNUMBER(AP76),AP76,AD76))</f>
        <v/>
      </c>
      <c r="AR76" s="26">
        <f>IF(I76="","",IF(Parametreler!$C$7="Evet","Kural A - Hemen Ödeme (Stok Mutabakatlı)","Kural B - Nakliye/Montaj Sonrası Ödeme"))</f>
        <v/>
      </c>
    </row>
    <row r="77">
      <c r="A77" s="23" t="n"/>
      <c r="B77" s="23" t="n"/>
      <c r="C77" s="23" t="n"/>
      <c r="D77" s="23" t="n"/>
      <c r="E77" s="23" t="n"/>
      <c r="F77" s="23" t="n"/>
      <c r="G77" s="23" t="n"/>
      <c r="H77" s="24" t="n"/>
      <c r="I77" s="23" t="n"/>
      <c r="J77" s="23" t="n"/>
      <c r="K77" s="23" t="n"/>
      <c r="L77" s="23" t="n"/>
      <c r="M77" s="23" t="n"/>
      <c r="N77" s="23" t="n"/>
      <c r="O77" s="23" t="n"/>
      <c r="P77" s="23" t="n"/>
      <c r="Q77" s="23" t="n"/>
      <c r="R77" s="23" t="n"/>
      <c r="S77" s="23" t="n"/>
      <c r="T77" s="23" t="n"/>
      <c r="U77" s="23" t="n"/>
      <c r="V77" s="23" t="n"/>
      <c r="W77" s="23" t="n"/>
      <c r="X77" s="23" t="n"/>
      <c r="Y77" s="25" t="n"/>
      <c r="Z77" s="25" t="n"/>
      <c r="AA77" s="23" t="n"/>
      <c r="AB77" s="25" t="n"/>
      <c r="AC77" s="23" t="n"/>
      <c r="AD77" s="25" t="n"/>
      <c r="AE77" s="23" t="n"/>
      <c r="AF77" s="25" t="n"/>
      <c r="AG77" s="25" t="n"/>
      <c r="AH77" s="23" t="n"/>
      <c r="AI77" s="23" t="n"/>
      <c r="AJ77" s="26">
        <f>IF(I77="","",I77&amp;"|"&amp;R77)</f>
        <v/>
      </c>
      <c r="AK77" s="26">
        <f>IF(I77="","",IF(ISNA(MATCH(O77,Kampanyalar!$A$2:$A$150,0)),"Hayır - Kampanyalar'da Yok","Evet"))</f>
        <v/>
      </c>
      <c r="AL77" s="27">
        <f>IF(I77="","",IFERROR(INDEX(Kampanyalar!$E$2:$E$150,MATCH(O77,Kampanyalar!$A$2:$A$150,0)),""))</f>
        <v/>
      </c>
      <c r="AM77" s="27">
        <f>IF(I77="","",IFERROR(INDEX(Kampanyalar!$F$2:$F$150,MATCH(O77,Kampanyalar!$A$2:$A$150,0)),""))</f>
        <v/>
      </c>
      <c r="AN77" s="27">
        <f>IF(I77="","",IFERROR(INDEX(Kampanyalar!$G$2:$G$150,MATCH(O77,Kampanyalar!$A$2:$A$150,0)),""))</f>
        <v/>
      </c>
      <c r="AO77" s="26">
        <f>IF(OR(I77="",AL77="",AM77=""),"",IF(AND(H77&gt;=AL77,H77&lt;=AM77),"Evet","HAYIR - Tarih Dışı"))</f>
        <v/>
      </c>
      <c r="AP77" s="28">
        <f>IF(I77="","",IFERROR(INDEX(Kampanyalar!$H$2:$H$150,MATCH(O77,Kampanyalar!$A$2:$A$150,0)),""))</f>
        <v/>
      </c>
      <c r="AQ77" s="28">
        <f>IF(I77="","",IF(ISNUMBER(AP77),AP77,AD77))</f>
        <v/>
      </c>
      <c r="AR77" s="26">
        <f>IF(I77="","",IF(Parametreler!$C$7="Evet","Kural A - Hemen Ödeme (Stok Mutabakatlı)","Kural B - Nakliye/Montaj Sonrası Ödeme"))</f>
        <v/>
      </c>
    </row>
    <row r="78">
      <c r="A78" s="23" t="n"/>
      <c r="B78" s="23" t="n"/>
      <c r="C78" s="23" t="n"/>
      <c r="D78" s="23" t="n"/>
      <c r="E78" s="23" t="n"/>
      <c r="F78" s="23" t="n"/>
      <c r="G78" s="23" t="n"/>
      <c r="H78" s="24" t="n"/>
      <c r="I78" s="23" t="n"/>
      <c r="J78" s="23" t="n"/>
      <c r="K78" s="23" t="n"/>
      <c r="L78" s="23" t="n"/>
      <c r="M78" s="23" t="n"/>
      <c r="N78" s="23" t="n"/>
      <c r="O78" s="23" t="n"/>
      <c r="P78" s="23" t="n"/>
      <c r="Q78" s="23" t="n"/>
      <c r="R78" s="23" t="n"/>
      <c r="S78" s="23" t="n"/>
      <c r="T78" s="23" t="n"/>
      <c r="U78" s="23" t="n"/>
      <c r="V78" s="23" t="n"/>
      <c r="W78" s="23" t="n"/>
      <c r="X78" s="23" t="n"/>
      <c r="Y78" s="25" t="n"/>
      <c r="Z78" s="25" t="n"/>
      <c r="AA78" s="23" t="n"/>
      <c r="AB78" s="25" t="n"/>
      <c r="AC78" s="23" t="n"/>
      <c r="AD78" s="25" t="n"/>
      <c r="AE78" s="23" t="n"/>
      <c r="AF78" s="25" t="n"/>
      <c r="AG78" s="25" t="n"/>
      <c r="AH78" s="23" t="n"/>
      <c r="AI78" s="23" t="n"/>
      <c r="AJ78" s="26">
        <f>IF(I78="","",I78&amp;"|"&amp;R78)</f>
        <v/>
      </c>
      <c r="AK78" s="26">
        <f>IF(I78="","",IF(ISNA(MATCH(O78,Kampanyalar!$A$2:$A$150,0)),"Hayır - Kampanyalar'da Yok","Evet"))</f>
        <v/>
      </c>
      <c r="AL78" s="27">
        <f>IF(I78="","",IFERROR(INDEX(Kampanyalar!$E$2:$E$150,MATCH(O78,Kampanyalar!$A$2:$A$150,0)),""))</f>
        <v/>
      </c>
      <c r="AM78" s="27">
        <f>IF(I78="","",IFERROR(INDEX(Kampanyalar!$F$2:$F$150,MATCH(O78,Kampanyalar!$A$2:$A$150,0)),""))</f>
        <v/>
      </c>
      <c r="AN78" s="27">
        <f>IF(I78="","",IFERROR(INDEX(Kampanyalar!$G$2:$G$150,MATCH(O78,Kampanyalar!$A$2:$A$150,0)),""))</f>
        <v/>
      </c>
      <c r="AO78" s="26">
        <f>IF(OR(I78="",AL78="",AM78=""),"",IF(AND(H78&gt;=AL78,H78&lt;=AM78),"Evet","HAYIR - Tarih Dışı"))</f>
        <v/>
      </c>
      <c r="AP78" s="28">
        <f>IF(I78="","",IFERROR(INDEX(Kampanyalar!$H$2:$H$150,MATCH(O78,Kampanyalar!$A$2:$A$150,0)),""))</f>
        <v/>
      </c>
      <c r="AQ78" s="28">
        <f>IF(I78="","",IF(ISNUMBER(AP78),AP78,AD78))</f>
        <v/>
      </c>
      <c r="AR78" s="26">
        <f>IF(I78="","",IF(Parametreler!$C$7="Evet","Kural A - Hemen Ödeme (Stok Mutabakatlı)","Kural B - Nakliye/Montaj Sonrası Ödeme"))</f>
        <v/>
      </c>
    </row>
    <row r="79">
      <c r="A79" s="23" t="n"/>
      <c r="B79" s="23" t="n"/>
      <c r="C79" s="23" t="n"/>
      <c r="D79" s="23" t="n"/>
      <c r="E79" s="23" t="n"/>
      <c r="F79" s="23" t="n"/>
      <c r="G79" s="23" t="n"/>
      <c r="H79" s="24" t="n"/>
      <c r="I79" s="23" t="n"/>
      <c r="J79" s="23" t="n"/>
      <c r="K79" s="23" t="n"/>
      <c r="L79" s="23" t="n"/>
      <c r="M79" s="23" t="n"/>
      <c r="N79" s="23" t="n"/>
      <c r="O79" s="23" t="n"/>
      <c r="P79" s="23" t="n"/>
      <c r="Q79" s="23" t="n"/>
      <c r="R79" s="23" t="n"/>
      <c r="S79" s="23" t="n"/>
      <c r="T79" s="23" t="n"/>
      <c r="U79" s="23" t="n"/>
      <c r="V79" s="23" t="n"/>
      <c r="W79" s="23" t="n"/>
      <c r="X79" s="23" t="n"/>
      <c r="Y79" s="25" t="n"/>
      <c r="Z79" s="25" t="n"/>
      <c r="AA79" s="23" t="n"/>
      <c r="AB79" s="25" t="n"/>
      <c r="AC79" s="23" t="n"/>
      <c r="AD79" s="25" t="n"/>
      <c r="AE79" s="23" t="n"/>
      <c r="AF79" s="25" t="n"/>
      <c r="AG79" s="25" t="n"/>
      <c r="AH79" s="23" t="n"/>
      <c r="AI79" s="23" t="n"/>
      <c r="AJ79" s="26">
        <f>IF(I79="","",I79&amp;"|"&amp;R79)</f>
        <v/>
      </c>
      <c r="AK79" s="26">
        <f>IF(I79="","",IF(ISNA(MATCH(O79,Kampanyalar!$A$2:$A$150,0)),"Hayır - Kampanyalar'da Yok","Evet"))</f>
        <v/>
      </c>
      <c r="AL79" s="27">
        <f>IF(I79="","",IFERROR(INDEX(Kampanyalar!$E$2:$E$150,MATCH(O79,Kampanyalar!$A$2:$A$150,0)),""))</f>
        <v/>
      </c>
      <c r="AM79" s="27">
        <f>IF(I79="","",IFERROR(INDEX(Kampanyalar!$F$2:$F$150,MATCH(O79,Kampanyalar!$A$2:$A$150,0)),""))</f>
        <v/>
      </c>
      <c r="AN79" s="27">
        <f>IF(I79="","",IFERROR(INDEX(Kampanyalar!$G$2:$G$150,MATCH(O79,Kampanyalar!$A$2:$A$150,0)),""))</f>
        <v/>
      </c>
      <c r="AO79" s="26">
        <f>IF(OR(I79="",AL79="",AM79=""),"",IF(AND(H79&gt;=AL79,H79&lt;=AM79),"Evet","HAYIR - Tarih Dışı"))</f>
        <v/>
      </c>
      <c r="AP79" s="28">
        <f>IF(I79="","",IFERROR(INDEX(Kampanyalar!$H$2:$H$150,MATCH(O79,Kampanyalar!$A$2:$A$150,0)),""))</f>
        <v/>
      </c>
      <c r="AQ79" s="28">
        <f>IF(I79="","",IF(ISNUMBER(AP79),AP79,AD79))</f>
        <v/>
      </c>
      <c r="AR79" s="26">
        <f>IF(I79="","",IF(Parametreler!$C$7="Evet","Kural A - Hemen Ödeme (Stok Mutabakatlı)","Kural B - Nakliye/Montaj Sonrası Ödeme"))</f>
        <v/>
      </c>
    </row>
    <row r="80">
      <c r="A80" s="23" t="n"/>
      <c r="B80" s="23" t="n"/>
      <c r="C80" s="23" t="n"/>
      <c r="D80" s="23" t="n"/>
      <c r="E80" s="23" t="n"/>
      <c r="F80" s="23" t="n"/>
      <c r="G80" s="23" t="n"/>
      <c r="H80" s="24" t="n"/>
      <c r="I80" s="23" t="n"/>
      <c r="J80" s="23" t="n"/>
      <c r="K80" s="23" t="n"/>
      <c r="L80" s="23" t="n"/>
      <c r="M80" s="23" t="n"/>
      <c r="N80" s="23" t="n"/>
      <c r="O80" s="23" t="n"/>
      <c r="P80" s="23" t="n"/>
      <c r="Q80" s="23" t="n"/>
      <c r="R80" s="23" t="n"/>
      <c r="S80" s="23" t="n"/>
      <c r="T80" s="23" t="n"/>
      <c r="U80" s="23" t="n"/>
      <c r="V80" s="23" t="n"/>
      <c r="W80" s="23" t="n"/>
      <c r="X80" s="23" t="n"/>
      <c r="Y80" s="25" t="n"/>
      <c r="Z80" s="25" t="n"/>
      <c r="AA80" s="23" t="n"/>
      <c r="AB80" s="25" t="n"/>
      <c r="AC80" s="23" t="n"/>
      <c r="AD80" s="25" t="n"/>
      <c r="AE80" s="23" t="n"/>
      <c r="AF80" s="25" t="n"/>
      <c r="AG80" s="25" t="n"/>
      <c r="AH80" s="23" t="n"/>
      <c r="AI80" s="23" t="n"/>
      <c r="AJ80" s="26">
        <f>IF(I80="","",I80&amp;"|"&amp;R80)</f>
        <v/>
      </c>
      <c r="AK80" s="26">
        <f>IF(I80="","",IF(ISNA(MATCH(O80,Kampanyalar!$A$2:$A$150,0)),"Hayır - Kampanyalar'da Yok","Evet"))</f>
        <v/>
      </c>
      <c r="AL80" s="27">
        <f>IF(I80="","",IFERROR(INDEX(Kampanyalar!$E$2:$E$150,MATCH(O80,Kampanyalar!$A$2:$A$150,0)),""))</f>
        <v/>
      </c>
      <c r="AM80" s="27">
        <f>IF(I80="","",IFERROR(INDEX(Kampanyalar!$F$2:$F$150,MATCH(O80,Kampanyalar!$A$2:$A$150,0)),""))</f>
        <v/>
      </c>
      <c r="AN80" s="27">
        <f>IF(I80="","",IFERROR(INDEX(Kampanyalar!$G$2:$G$150,MATCH(O80,Kampanyalar!$A$2:$A$150,0)),""))</f>
        <v/>
      </c>
      <c r="AO80" s="26">
        <f>IF(OR(I80="",AL80="",AM80=""),"",IF(AND(H80&gt;=AL80,H80&lt;=AM80),"Evet","HAYIR - Tarih Dışı"))</f>
        <v/>
      </c>
      <c r="AP80" s="28">
        <f>IF(I80="","",IFERROR(INDEX(Kampanyalar!$H$2:$H$150,MATCH(O80,Kampanyalar!$A$2:$A$150,0)),""))</f>
        <v/>
      </c>
      <c r="AQ80" s="28">
        <f>IF(I80="","",IF(ISNUMBER(AP80),AP80,AD80))</f>
        <v/>
      </c>
      <c r="AR80" s="26">
        <f>IF(I80="","",IF(Parametreler!$C$7="Evet","Kural A - Hemen Ödeme (Stok Mutabakatlı)","Kural B - Nakliye/Montaj Sonrası Ödeme"))</f>
        <v/>
      </c>
    </row>
    <row r="81">
      <c r="A81" s="23" t="n"/>
      <c r="B81" s="23" t="n"/>
      <c r="C81" s="23" t="n"/>
      <c r="D81" s="23" t="n"/>
      <c r="E81" s="23" t="n"/>
      <c r="F81" s="23" t="n"/>
      <c r="G81" s="23" t="n"/>
      <c r="H81" s="24" t="n"/>
      <c r="I81" s="23" t="n"/>
      <c r="J81" s="23" t="n"/>
      <c r="K81" s="23" t="n"/>
      <c r="L81" s="23" t="n"/>
      <c r="M81" s="23" t="n"/>
      <c r="N81" s="23" t="n"/>
      <c r="O81" s="23" t="n"/>
      <c r="P81" s="23" t="n"/>
      <c r="Q81" s="23" t="n"/>
      <c r="R81" s="23" t="n"/>
      <c r="S81" s="23" t="n"/>
      <c r="T81" s="23" t="n"/>
      <c r="U81" s="23" t="n"/>
      <c r="V81" s="23" t="n"/>
      <c r="W81" s="23" t="n"/>
      <c r="X81" s="23" t="n"/>
      <c r="Y81" s="25" t="n"/>
      <c r="Z81" s="25" t="n"/>
      <c r="AA81" s="23" t="n"/>
      <c r="AB81" s="25" t="n"/>
      <c r="AC81" s="23" t="n"/>
      <c r="AD81" s="25" t="n"/>
      <c r="AE81" s="23" t="n"/>
      <c r="AF81" s="25" t="n"/>
      <c r="AG81" s="25" t="n"/>
      <c r="AH81" s="23" t="n"/>
      <c r="AI81" s="23" t="n"/>
      <c r="AJ81" s="26">
        <f>IF(I81="","",I81&amp;"|"&amp;R81)</f>
        <v/>
      </c>
      <c r="AK81" s="26">
        <f>IF(I81="","",IF(ISNA(MATCH(O81,Kampanyalar!$A$2:$A$150,0)),"Hayır - Kampanyalar'da Yok","Evet"))</f>
        <v/>
      </c>
      <c r="AL81" s="27">
        <f>IF(I81="","",IFERROR(INDEX(Kampanyalar!$E$2:$E$150,MATCH(O81,Kampanyalar!$A$2:$A$150,0)),""))</f>
        <v/>
      </c>
      <c r="AM81" s="27">
        <f>IF(I81="","",IFERROR(INDEX(Kampanyalar!$F$2:$F$150,MATCH(O81,Kampanyalar!$A$2:$A$150,0)),""))</f>
        <v/>
      </c>
      <c r="AN81" s="27">
        <f>IF(I81="","",IFERROR(INDEX(Kampanyalar!$G$2:$G$150,MATCH(O81,Kampanyalar!$A$2:$A$150,0)),""))</f>
        <v/>
      </c>
      <c r="AO81" s="26">
        <f>IF(OR(I81="",AL81="",AM81=""),"",IF(AND(H81&gt;=AL81,H81&lt;=AM81),"Evet","HAYIR - Tarih Dışı"))</f>
        <v/>
      </c>
      <c r="AP81" s="28">
        <f>IF(I81="","",IFERROR(INDEX(Kampanyalar!$H$2:$H$150,MATCH(O81,Kampanyalar!$A$2:$A$150,0)),""))</f>
        <v/>
      </c>
      <c r="AQ81" s="28">
        <f>IF(I81="","",IF(ISNUMBER(AP81),AP81,AD81))</f>
        <v/>
      </c>
      <c r="AR81" s="26">
        <f>IF(I81="","",IF(Parametreler!$C$7="Evet","Kural A - Hemen Ödeme (Stok Mutabakatlı)","Kural B - Nakliye/Montaj Sonrası Ödeme"))</f>
        <v/>
      </c>
    </row>
    <row r="82">
      <c r="A82" s="23" t="n"/>
      <c r="B82" s="23" t="n"/>
      <c r="C82" s="23" t="n"/>
      <c r="D82" s="23" t="n"/>
      <c r="E82" s="23" t="n"/>
      <c r="F82" s="23" t="n"/>
      <c r="G82" s="23" t="n"/>
      <c r="H82" s="24" t="n"/>
      <c r="I82" s="23" t="n"/>
      <c r="J82" s="23" t="n"/>
      <c r="K82" s="23" t="n"/>
      <c r="L82" s="23" t="n"/>
      <c r="M82" s="23" t="n"/>
      <c r="N82" s="23" t="n"/>
      <c r="O82" s="23" t="n"/>
      <c r="P82" s="23" t="n"/>
      <c r="Q82" s="23" t="n"/>
      <c r="R82" s="23" t="n"/>
      <c r="S82" s="23" t="n"/>
      <c r="T82" s="23" t="n"/>
      <c r="U82" s="23" t="n"/>
      <c r="V82" s="23" t="n"/>
      <c r="W82" s="23" t="n"/>
      <c r="X82" s="23" t="n"/>
      <c r="Y82" s="25" t="n"/>
      <c r="Z82" s="25" t="n"/>
      <c r="AA82" s="23" t="n"/>
      <c r="AB82" s="25" t="n"/>
      <c r="AC82" s="23" t="n"/>
      <c r="AD82" s="25" t="n"/>
      <c r="AE82" s="23" t="n"/>
      <c r="AF82" s="25" t="n"/>
      <c r="AG82" s="25" t="n"/>
      <c r="AH82" s="23" t="n"/>
      <c r="AI82" s="23" t="n"/>
      <c r="AJ82" s="26">
        <f>IF(I82="","",I82&amp;"|"&amp;R82)</f>
        <v/>
      </c>
      <c r="AK82" s="26">
        <f>IF(I82="","",IF(ISNA(MATCH(O82,Kampanyalar!$A$2:$A$150,0)),"Hayır - Kampanyalar'da Yok","Evet"))</f>
        <v/>
      </c>
      <c r="AL82" s="27">
        <f>IF(I82="","",IFERROR(INDEX(Kampanyalar!$E$2:$E$150,MATCH(O82,Kampanyalar!$A$2:$A$150,0)),""))</f>
        <v/>
      </c>
      <c r="AM82" s="27">
        <f>IF(I82="","",IFERROR(INDEX(Kampanyalar!$F$2:$F$150,MATCH(O82,Kampanyalar!$A$2:$A$150,0)),""))</f>
        <v/>
      </c>
      <c r="AN82" s="27">
        <f>IF(I82="","",IFERROR(INDEX(Kampanyalar!$G$2:$G$150,MATCH(O82,Kampanyalar!$A$2:$A$150,0)),""))</f>
        <v/>
      </c>
      <c r="AO82" s="26">
        <f>IF(OR(I82="",AL82="",AM82=""),"",IF(AND(H82&gt;=AL82,H82&lt;=AM82),"Evet","HAYIR - Tarih Dışı"))</f>
        <v/>
      </c>
      <c r="AP82" s="28">
        <f>IF(I82="","",IFERROR(INDEX(Kampanyalar!$H$2:$H$150,MATCH(O82,Kampanyalar!$A$2:$A$150,0)),""))</f>
        <v/>
      </c>
      <c r="AQ82" s="28">
        <f>IF(I82="","",IF(ISNUMBER(AP82),AP82,AD82))</f>
        <v/>
      </c>
      <c r="AR82" s="26">
        <f>IF(I82="","",IF(Parametreler!$C$7="Evet","Kural A - Hemen Ödeme (Stok Mutabakatlı)","Kural B - Nakliye/Montaj Sonrası Ödeme"))</f>
        <v/>
      </c>
    </row>
    <row r="83">
      <c r="A83" s="23" t="n"/>
      <c r="B83" s="23" t="n"/>
      <c r="C83" s="23" t="n"/>
      <c r="D83" s="23" t="n"/>
      <c r="E83" s="23" t="n"/>
      <c r="F83" s="23" t="n"/>
      <c r="G83" s="23" t="n"/>
      <c r="H83" s="24" t="n"/>
      <c r="I83" s="23" t="n"/>
      <c r="J83" s="23" t="n"/>
      <c r="K83" s="23" t="n"/>
      <c r="L83" s="23" t="n"/>
      <c r="M83" s="23" t="n"/>
      <c r="N83" s="23" t="n"/>
      <c r="O83" s="23" t="n"/>
      <c r="P83" s="23" t="n"/>
      <c r="Q83" s="23" t="n"/>
      <c r="R83" s="23" t="n"/>
      <c r="S83" s="23" t="n"/>
      <c r="T83" s="23" t="n"/>
      <c r="U83" s="23" t="n"/>
      <c r="V83" s="23" t="n"/>
      <c r="W83" s="23" t="n"/>
      <c r="X83" s="23" t="n"/>
      <c r="Y83" s="25" t="n"/>
      <c r="Z83" s="25" t="n"/>
      <c r="AA83" s="23" t="n"/>
      <c r="AB83" s="25" t="n"/>
      <c r="AC83" s="23" t="n"/>
      <c r="AD83" s="25" t="n"/>
      <c r="AE83" s="23" t="n"/>
      <c r="AF83" s="25" t="n"/>
      <c r="AG83" s="25" t="n"/>
      <c r="AH83" s="23" t="n"/>
      <c r="AI83" s="23" t="n"/>
      <c r="AJ83" s="26">
        <f>IF(I83="","",I83&amp;"|"&amp;R83)</f>
        <v/>
      </c>
      <c r="AK83" s="26">
        <f>IF(I83="","",IF(ISNA(MATCH(O83,Kampanyalar!$A$2:$A$150,0)),"Hayır - Kampanyalar'da Yok","Evet"))</f>
        <v/>
      </c>
      <c r="AL83" s="27">
        <f>IF(I83="","",IFERROR(INDEX(Kampanyalar!$E$2:$E$150,MATCH(O83,Kampanyalar!$A$2:$A$150,0)),""))</f>
        <v/>
      </c>
      <c r="AM83" s="27">
        <f>IF(I83="","",IFERROR(INDEX(Kampanyalar!$F$2:$F$150,MATCH(O83,Kampanyalar!$A$2:$A$150,0)),""))</f>
        <v/>
      </c>
      <c r="AN83" s="27">
        <f>IF(I83="","",IFERROR(INDEX(Kampanyalar!$G$2:$G$150,MATCH(O83,Kampanyalar!$A$2:$A$150,0)),""))</f>
        <v/>
      </c>
      <c r="AO83" s="26">
        <f>IF(OR(I83="",AL83="",AM83=""),"",IF(AND(H83&gt;=AL83,H83&lt;=AM83),"Evet","HAYIR - Tarih Dışı"))</f>
        <v/>
      </c>
      <c r="AP83" s="28">
        <f>IF(I83="","",IFERROR(INDEX(Kampanyalar!$H$2:$H$150,MATCH(O83,Kampanyalar!$A$2:$A$150,0)),""))</f>
        <v/>
      </c>
      <c r="AQ83" s="28">
        <f>IF(I83="","",IF(ISNUMBER(AP83),AP83,AD83))</f>
        <v/>
      </c>
      <c r="AR83" s="26">
        <f>IF(I83="","",IF(Parametreler!$C$7="Evet","Kural A - Hemen Ödeme (Stok Mutabakatlı)","Kural B - Nakliye/Montaj Sonrası Ödeme"))</f>
        <v/>
      </c>
    </row>
    <row r="84">
      <c r="A84" s="23" t="n"/>
      <c r="B84" s="23" t="n"/>
      <c r="C84" s="23" t="n"/>
      <c r="D84" s="23" t="n"/>
      <c r="E84" s="23" t="n"/>
      <c r="F84" s="23" t="n"/>
      <c r="G84" s="23" t="n"/>
      <c r="H84" s="24" t="n"/>
      <c r="I84" s="23" t="n"/>
      <c r="J84" s="23" t="n"/>
      <c r="K84" s="23" t="n"/>
      <c r="L84" s="23" t="n"/>
      <c r="M84" s="23" t="n"/>
      <c r="N84" s="23" t="n"/>
      <c r="O84" s="23" t="n"/>
      <c r="P84" s="23" t="n"/>
      <c r="Q84" s="23" t="n"/>
      <c r="R84" s="23" t="n"/>
      <c r="S84" s="23" t="n"/>
      <c r="T84" s="23" t="n"/>
      <c r="U84" s="23" t="n"/>
      <c r="V84" s="23" t="n"/>
      <c r="W84" s="23" t="n"/>
      <c r="X84" s="23" t="n"/>
      <c r="Y84" s="25" t="n"/>
      <c r="Z84" s="25" t="n"/>
      <c r="AA84" s="23" t="n"/>
      <c r="AB84" s="25" t="n"/>
      <c r="AC84" s="23" t="n"/>
      <c r="AD84" s="25" t="n"/>
      <c r="AE84" s="23" t="n"/>
      <c r="AF84" s="25" t="n"/>
      <c r="AG84" s="25" t="n"/>
      <c r="AH84" s="23" t="n"/>
      <c r="AI84" s="23" t="n"/>
      <c r="AJ84" s="26">
        <f>IF(I84="","",I84&amp;"|"&amp;R84)</f>
        <v/>
      </c>
      <c r="AK84" s="26">
        <f>IF(I84="","",IF(ISNA(MATCH(O84,Kampanyalar!$A$2:$A$150,0)),"Hayır - Kampanyalar'da Yok","Evet"))</f>
        <v/>
      </c>
      <c r="AL84" s="27">
        <f>IF(I84="","",IFERROR(INDEX(Kampanyalar!$E$2:$E$150,MATCH(O84,Kampanyalar!$A$2:$A$150,0)),""))</f>
        <v/>
      </c>
      <c r="AM84" s="27">
        <f>IF(I84="","",IFERROR(INDEX(Kampanyalar!$F$2:$F$150,MATCH(O84,Kampanyalar!$A$2:$A$150,0)),""))</f>
        <v/>
      </c>
      <c r="AN84" s="27">
        <f>IF(I84="","",IFERROR(INDEX(Kampanyalar!$G$2:$G$150,MATCH(O84,Kampanyalar!$A$2:$A$150,0)),""))</f>
        <v/>
      </c>
      <c r="AO84" s="26">
        <f>IF(OR(I84="",AL84="",AM84=""),"",IF(AND(H84&gt;=AL84,H84&lt;=AM84),"Evet","HAYIR - Tarih Dışı"))</f>
        <v/>
      </c>
      <c r="AP84" s="28">
        <f>IF(I84="","",IFERROR(INDEX(Kampanyalar!$H$2:$H$150,MATCH(O84,Kampanyalar!$A$2:$A$150,0)),""))</f>
        <v/>
      </c>
      <c r="AQ84" s="28">
        <f>IF(I84="","",IF(ISNUMBER(AP84),AP84,AD84))</f>
        <v/>
      </c>
      <c r="AR84" s="26">
        <f>IF(I84="","",IF(Parametreler!$C$7="Evet","Kural A - Hemen Ödeme (Stok Mutabakatlı)","Kural B - Nakliye/Montaj Sonrası Ödeme"))</f>
        <v/>
      </c>
    </row>
    <row r="85">
      <c r="A85" s="23" t="n"/>
      <c r="B85" s="23" t="n"/>
      <c r="C85" s="23" t="n"/>
      <c r="D85" s="23" t="n"/>
      <c r="E85" s="23" t="n"/>
      <c r="F85" s="23" t="n"/>
      <c r="G85" s="23" t="n"/>
      <c r="H85" s="24" t="n"/>
      <c r="I85" s="23" t="n"/>
      <c r="J85" s="23" t="n"/>
      <c r="K85" s="23" t="n"/>
      <c r="L85" s="23" t="n"/>
      <c r="M85" s="23" t="n"/>
      <c r="N85" s="23" t="n"/>
      <c r="O85" s="23" t="n"/>
      <c r="P85" s="23" t="n"/>
      <c r="Q85" s="23" t="n"/>
      <c r="R85" s="23" t="n"/>
      <c r="S85" s="23" t="n"/>
      <c r="T85" s="23" t="n"/>
      <c r="U85" s="23" t="n"/>
      <c r="V85" s="23" t="n"/>
      <c r="W85" s="23" t="n"/>
      <c r="X85" s="23" t="n"/>
      <c r="Y85" s="25" t="n"/>
      <c r="Z85" s="25" t="n"/>
      <c r="AA85" s="23" t="n"/>
      <c r="AB85" s="25" t="n"/>
      <c r="AC85" s="23" t="n"/>
      <c r="AD85" s="25" t="n"/>
      <c r="AE85" s="23" t="n"/>
      <c r="AF85" s="25" t="n"/>
      <c r="AG85" s="25" t="n"/>
      <c r="AH85" s="23" t="n"/>
      <c r="AI85" s="23" t="n"/>
      <c r="AJ85" s="26">
        <f>IF(I85="","",I85&amp;"|"&amp;R85)</f>
        <v/>
      </c>
      <c r="AK85" s="26">
        <f>IF(I85="","",IF(ISNA(MATCH(O85,Kampanyalar!$A$2:$A$150,0)),"Hayır - Kampanyalar'da Yok","Evet"))</f>
        <v/>
      </c>
      <c r="AL85" s="27">
        <f>IF(I85="","",IFERROR(INDEX(Kampanyalar!$E$2:$E$150,MATCH(O85,Kampanyalar!$A$2:$A$150,0)),""))</f>
        <v/>
      </c>
      <c r="AM85" s="27">
        <f>IF(I85="","",IFERROR(INDEX(Kampanyalar!$F$2:$F$150,MATCH(O85,Kampanyalar!$A$2:$A$150,0)),""))</f>
        <v/>
      </c>
      <c r="AN85" s="27">
        <f>IF(I85="","",IFERROR(INDEX(Kampanyalar!$G$2:$G$150,MATCH(O85,Kampanyalar!$A$2:$A$150,0)),""))</f>
        <v/>
      </c>
      <c r="AO85" s="26">
        <f>IF(OR(I85="",AL85="",AM85=""),"",IF(AND(H85&gt;=AL85,H85&lt;=AM85),"Evet","HAYIR - Tarih Dışı"))</f>
        <v/>
      </c>
      <c r="AP85" s="28">
        <f>IF(I85="","",IFERROR(INDEX(Kampanyalar!$H$2:$H$150,MATCH(O85,Kampanyalar!$A$2:$A$150,0)),""))</f>
        <v/>
      </c>
      <c r="AQ85" s="28">
        <f>IF(I85="","",IF(ISNUMBER(AP85),AP85,AD85))</f>
        <v/>
      </c>
      <c r="AR85" s="26">
        <f>IF(I85="","",IF(Parametreler!$C$7="Evet","Kural A - Hemen Ödeme (Stok Mutabakatlı)","Kural B - Nakliye/Montaj Sonrası Ödeme"))</f>
        <v/>
      </c>
    </row>
    <row r="86">
      <c r="A86" s="23" t="n"/>
      <c r="B86" s="23" t="n"/>
      <c r="C86" s="23" t="n"/>
      <c r="D86" s="23" t="n"/>
      <c r="E86" s="23" t="n"/>
      <c r="F86" s="23" t="n"/>
      <c r="G86" s="23" t="n"/>
      <c r="H86" s="24" t="n"/>
      <c r="I86" s="23" t="n"/>
      <c r="J86" s="23" t="n"/>
      <c r="K86" s="23" t="n"/>
      <c r="L86" s="23" t="n"/>
      <c r="M86" s="23" t="n"/>
      <c r="N86" s="23" t="n"/>
      <c r="O86" s="23" t="n"/>
      <c r="P86" s="23" t="n"/>
      <c r="Q86" s="23" t="n"/>
      <c r="R86" s="23" t="n"/>
      <c r="S86" s="23" t="n"/>
      <c r="T86" s="23" t="n"/>
      <c r="U86" s="23" t="n"/>
      <c r="V86" s="23" t="n"/>
      <c r="W86" s="23" t="n"/>
      <c r="X86" s="23" t="n"/>
      <c r="Y86" s="25" t="n"/>
      <c r="Z86" s="25" t="n"/>
      <c r="AA86" s="23" t="n"/>
      <c r="AB86" s="25" t="n"/>
      <c r="AC86" s="23" t="n"/>
      <c r="AD86" s="25" t="n"/>
      <c r="AE86" s="23" t="n"/>
      <c r="AF86" s="25" t="n"/>
      <c r="AG86" s="25" t="n"/>
      <c r="AH86" s="23" t="n"/>
      <c r="AI86" s="23" t="n"/>
      <c r="AJ86" s="26">
        <f>IF(I86="","",I86&amp;"|"&amp;R86)</f>
        <v/>
      </c>
      <c r="AK86" s="26">
        <f>IF(I86="","",IF(ISNA(MATCH(O86,Kampanyalar!$A$2:$A$150,0)),"Hayır - Kampanyalar'da Yok","Evet"))</f>
        <v/>
      </c>
      <c r="AL86" s="27">
        <f>IF(I86="","",IFERROR(INDEX(Kampanyalar!$E$2:$E$150,MATCH(O86,Kampanyalar!$A$2:$A$150,0)),""))</f>
        <v/>
      </c>
      <c r="AM86" s="27">
        <f>IF(I86="","",IFERROR(INDEX(Kampanyalar!$F$2:$F$150,MATCH(O86,Kampanyalar!$A$2:$A$150,0)),""))</f>
        <v/>
      </c>
      <c r="AN86" s="27">
        <f>IF(I86="","",IFERROR(INDEX(Kampanyalar!$G$2:$G$150,MATCH(O86,Kampanyalar!$A$2:$A$150,0)),""))</f>
        <v/>
      </c>
      <c r="AO86" s="26">
        <f>IF(OR(I86="",AL86="",AM86=""),"",IF(AND(H86&gt;=AL86,H86&lt;=AM86),"Evet","HAYIR - Tarih Dışı"))</f>
        <v/>
      </c>
      <c r="AP86" s="28">
        <f>IF(I86="","",IFERROR(INDEX(Kampanyalar!$H$2:$H$150,MATCH(O86,Kampanyalar!$A$2:$A$150,0)),""))</f>
        <v/>
      </c>
      <c r="AQ86" s="28">
        <f>IF(I86="","",IF(ISNUMBER(AP86),AP86,AD86))</f>
        <v/>
      </c>
      <c r="AR86" s="26">
        <f>IF(I86="","",IF(Parametreler!$C$7="Evet","Kural A - Hemen Ödeme (Stok Mutabakatlı)","Kural B - Nakliye/Montaj Sonrası Ödeme"))</f>
        <v/>
      </c>
    </row>
    <row r="87">
      <c r="A87" s="23" t="n"/>
      <c r="B87" s="23" t="n"/>
      <c r="C87" s="23" t="n"/>
      <c r="D87" s="23" t="n"/>
      <c r="E87" s="23" t="n"/>
      <c r="F87" s="23" t="n"/>
      <c r="G87" s="23" t="n"/>
      <c r="H87" s="24" t="n"/>
      <c r="I87" s="23" t="n"/>
      <c r="J87" s="23" t="n"/>
      <c r="K87" s="23" t="n"/>
      <c r="L87" s="23" t="n"/>
      <c r="M87" s="23" t="n"/>
      <c r="N87" s="23" t="n"/>
      <c r="O87" s="23" t="n"/>
      <c r="P87" s="23" t="n"/>
      <c r="Q87" s="23" t="n"/>
      <c r="R87" s="23" t="n"/>
      <c r="S87" s="23" t="n"/>
      <c r="T87" s="23" t="n"/>
      <c r="U87" s="23" t="n"/>
      <c r="V87" s="23" t="n"/>
      <c r="W87" s="23" t="n"/>
      <c r="X87" s="23" t="n"/>
      <c r="Y87" s="25" t="n"/>
      <c r="Z87" s="25" t="n"/>
      <c r="AA87" s="23" t="n"/>
      <c r="AB87" s="25" t="n"/>
      <c r="AC87" s="23" t="n"/>
      <c r="AD87" s="25" t="n"/>
      <c r="AE87" s="23" t="n"/>
      <c r="AF87" s="25" t="n"/>
      <c r="AG87" s="25" t="n"/>
      <c r="AH87" s="23" t="n"/>
      <c r="AI87" s="23" t="n"/>
      <c r="AJ87" s="26">
        <f>IF(I87="","",I87&amp;"|"&amp;R87)</f>
        <v/>
      </c>
      <c r="AK87" s="26">
        <f>IF(I87="","",IF(ISNA(MATCH(O87,Kampanyalar!$A$2:$A$150,0)),"Hayır - Kampanyalar'da Yok","Evet"))</f>
        <v/>
      </c>
      <c r="AL87" s="27">
        <f>IF(I87="","",IFERROR(INDEX(Kampanyalar!$E$2:$E$150,MATCH(O87,Kampanyalar!$A$2:$A$150,0)),""))</f>
        <v/>
      </c>
      <c r="AM87" s="27">
        <f>IF(I87="","",IFERROR(INDEX(Kampanyalar!$F$2:$F$150,MATCH(O87,Kampanyalar!$A$2:$A$150,0)),""))</f>
        <v/>
      </c>
      <c r="AN87" s="27">
        <f>IF(I87="","",IFERROR(INDEX(Kampanyalar!$G$2:$G$150,MATCH(O87,Kampanyalar!$A$2:$A$150,0)),""))</f>
        <v/>
      </c>
      <c r="AO87" s="26">
        <f>IF(OR(I87="",AL87="",AM87=""),"",IF(AND(H87&gt;=AL87,H87&lt;=AM87),"Evet","HAYIR - Tarih Dışı"))</f>
        <v/>
      </c>
      <c r="AP87" s="28">
        <f>IF(I87="","",IFERROR(INDEX(Kampanyalar!$H$2:$H$150,MATCH(O87,Kampanyalar!$A$2:$A$150,0)),""))</f>
        <v/>
      </c>
      <c r="AQ87" s="28">
        <f>IF(I87="","",IF(ISNUMBER(AP87),AP87,AD87))</f>
        <v/>
      </c>
      <c r="AR87" s="26">
        <f>IF(I87="","",IF(Parametreler!$C$7="Evet","Kural A - Hemen Ödeme (Stok Mutabakatlı)","Kural B - Nakliye/Montaj Sonrası Ödeme"))</f>
        <v/>
      </c>
    </row>
    <row r="88">
      <c r="A88" s="23" t="n"/>
      <c r="B88" s="23" t="n"/>
      <c r="C88" s="23" t="n"/>
      <c r="D88" s="23" t="n"/>
      <c r="E88" s="23" t="n"/>
      <c r="F88" s="23" t="n"/>
      <c r="G88" s="23" t="n"/>
      <c r="H88" s="24" t="n"/>
      <c r="I88" s="23" t="n"/>
      <c r="J88" s="23" t="n"/>
      <c r="K88" s="23" t="n"/>
      <c r="L88" s="23" t="n"/>
      <c r="M88" s="23" t="n"/>
      <c r="N88" s="23" t="n"/>
      <c r="O88" s="23" t="n"/>
      <c r="P88" s="23" t="n"/>
      <c r="Q88" s="23" t="n"/>
      <c r="R88" s="23" t="n"/>
      <c r="S88" s="23" t="n"/>
      <c r="T88" s="23" t="n"/>
      <c r="U88" s="23" t="n"/>
      <c r="V88" s="23" t="n"/>
      <c r="W88" s="23" t="n"/>
      <c r="X88" s="23" t="n"/>
      <c r="Y88" s="25" t="n"/>
      <c r="Z88" s="25" t="n"/>
      <c r="AA88" s="23" t="n"/>
      <c r="AB88" s="25" t="n"/>
      <c r="AC88" s="23" t="n"/>
      <c r="AD88" s="25" t="n"/>
      <c r="AE88" s="23" t="n"/>
      <c r="AF88" s="25" t="n"/>
      <c r="AG88" s="25" t="n"/>
      <c r="AH88" s="23" t="n"/>
      <c r="AI88" s="23" t="n"/>
      <c r="AJ88" s="26">
        <f>IF(I88="","",I88&amp;"|"&amp;R88)</f>
        <v/>
      </c>
      <c r="AK88" s="26">
        <f>IF(I88="","",IF(ISNA(MATCH(O88,Kampanyalar!$A$2:$A$150,0)),"Hayır - Kampanyalar'da Yok","Evet"))</f>
        <v/>
      </c>
      <c r="AL88" s="27">
        <f>IF(I88="","",IFERROR(INDEX(Kampanyalar!$E$2:$E$150,MATCH(O88,Kampanyalar!$A$2:$A$150,0)),""))</f>
        <v/>
      </c>
      <c r="AM88" s="27">
        <f>IF(I88="","",IFERROR(INDEX(Kampanyalar!$F$2:$F$150,MATCH(O88,Kampanyalar!$A$2:$A$150,0)),""))</f>
        <v/>
      </c>
      <c r="AN88" s="27">
        <f>IF(I88="","",IFERROR(INDEX(Kampanyalar!$G$2:$G$150,MATCH(O88,Kampanyalar!$A$2:$A$150,0)),""))</f>
        <v/>
      </c>
      <c r="AO88" s="26">
        <f>IF(OR(I88="",AL88="",AM88=""),"",IF(AND(H88&gt;=AL88,H88&lt;=AM88),"Evet","HAYIR - Tarih Dışı"))</f>
        <v/>
      </c>
      <c r="AP88" s="28">
        <f>IF(I88="","",IFERROR(INDEX(Kampanyalar!$H$2:$H$150,MATCH(O88,Kampanyalar!$A$2:$A$150,0)),""))</f>
        <v/>
      </c>
      <c r="AQ88" s="28">
        <f>IF(I88="","",IF(ISNUMBER(AP88),AP88,AD88))</f>
        <v/>
      </c>
      <c r="AR88" s="26">
        <f>IF(I88="","",IF(Parametreler!$C$7="Evet","Kural A - Hemen Ödeme (Stok Mutabakatlı)","Kural B - Nakliye/Montaj Sonrası Ödeme"))</f>
        <v/>
      </c>
    </row>
    <row r="89">
      <c r="A89" s="23" t="n"/>
      <c r="B89" s="23" t="n"/>
      <c r="C89" s="23" t="n"/>
      <c r="D89" s="23" t="n"/>
      <c r="E89" s="23" t="n"/>
      <c r="F89" s="23" t="n"/>
      <c r="G89" s="23" t="n"/>
      <c r="H89" s="24" t="n"/>
      <c r="I89" s="23" t="n"/>
      <c r="J89" s="23" t="n"/>
      <c r="K89" s="23" t="n"/>
      <c r="L89" s="23" t="n"/>
      <c r="M89" s="23" t="n"/>
      <c r="N89" s="23" t="n"/>
      <c r="O89" s="23" t="n"/>
      <c r="P89" s="23" t="n"/>
      <c r="Q89" s="23" t="n"/>
      <c r="R89" s="23" t="n"/>
      <c r="S89" s="23" t="n"/>
      <c r="T89" s="23" t="n"/>
      <c r="U89" s="23" t="n"/>
      <c r="V89" s="23" t="n"/>
      <c r="W89" s="23" t="n"/>
      <c r="X89" s="23" t="n"/>
      <c r="Y89" s="25" t="n"/>
      <c r="Z89" s="25" t="n"/>
      <c r="AA89" s="23" t="n"/>
      <c r="AB89" s="25" t="n"/>
      <c r="AC89" s="23" t="n"/>
      <c r="AD89" s="25" t="n"/>
      <c r="AE89" s="23" t="n"/>
      <c r="AF89" s="25" t="n"/>
      <c r="AG89" s="25" t="n"/>
      <c r="AH89" s="23" t="n"/>
      <c r="AI89" s="23" t="n"/>
      <c r="AJ89" s="26">
        <f>IF(I89="","",I89&amp;"|"&amp;R89)</f>
        <v/>
      </c>
      <c r="AK89" s="26">
        <f>IF(I89="","",IF(ISNA(MATCH(O89,Kampanyalar!$A$2:$A$150,0)),"Hayır - Kampanyalar'da Yok","Evet"))</f>
        <v/>
      </c>
      <c r="AL89" s="27">
        <f>IF(I89="","",IFERROR(INDEX(Kampanyalar!$E$2:$E$150,MATCH(O89,Kampanyalar!$A$2:$A$150,0)),""))</f>
        <v/>
      </c>
      <c r="AM89" s="27">
        <f>IF(I89="","",IFERROR(INDEX(Kampanyalar!$F$2:$F$150,MATCH(O89,Kampanyalar!$A$2:$A$150,0)),""))</f>
        <v/>
      </c>
      <c r="AN89" s="27">
        <f>IF(I89="","",IFERROR(INDEX(Kampanyalar!$G$2:$G$150,MATCH(O89,Kampanyalar!$A$2:$A$150,0)),""))</f>
        <v/>
      </c>
      <c r="AO89" s="26">
        <f>IF(OR(I89="",AL89="",AM89=""),"",IF(AND(H89&gt;=AL89,H89&lt;=AM89),"Evet","HAYIR - Tarih Dışı"))</f>
        <v/>
      </c>
      <c r="AP89" s="28">
        <f>IF(I89="","",IFERROR(INDEX(Kampanyalar!$H$2:$H$150,MATCH(O89,Kampanyalar!$A$2:$A$150,0)),""))</f>
        <v/>
      </c>
      <c r="AQ89" s="28">
        <f>IF(I89="","",IF(ISNUMBER(AP89),AP89,AD89))</f>
        <v/>
      </c>
      <c r="AR89" s="26">
        <f>IF(I89="","",IF(Parametreler!$C$7="Evet","Kural A - Hemen Ödeme (Stok Mutabakatlı)","Kural B - Nakliye/Montaj Sonrası Ödeme"))</f>
        <v/>
      </c>
    </row>
    <row r="90">
      <c r="A90" s="23" t="n"/>
      <c r="B90" s="23" t="n"/>
      <c r="C90" s="23" t="n"/>
      <c r="D90" s="23" t="n"/>
      <c r="E90" s="23" t="n"/>
      <c r="F90" s="23" t="n"/>
      <c r="G90" s="23" t="n"/>
      <c r="H90" s="24" t="n"/>
      <c r="I90" s="23" t="n"/>
      <c r="J90" s="23" t="n"/>
      <c r="K90" s="23" t="n"/>
      <c r="L90" s="23" t="n"/>
      <c r="M90" s="23" t="n"/>
      <c r="N90" s="23" t="n"/>
      <c r="O90" s="23" t="n"/>
      <c r="P90" s="23" t="n"/>
      <c r="Q90" s="23" t="n"/>
      <c r="R90" s="23" t="n"/>
      <c r="S90" s="23" t="n"/>
      <c r="T90" s="23" t="n"/>
      <c r="U90" s="23" t="n"/>
      <c r="V90" s="23" t="n"/>
      <c r="W90" s="23" t="n"/>
      <c r="X90" s="23" t="n"/>
      <c r="Y90" s="25" t="n"/>
      <c r="Z90" s="25" t="n"/>
      <c r="AA90" s="23" t="n"/>
      <c r="AB90" s="25" t="n"/>
      <c r="AC90" s="23" t="n"/>
      <c r="AD90" s="25" t="n"/>
      <c r="AE90" s="23" t="n"/>
      <c r="AF90" s="25" t="n"/>
      <c r="AG90" s="25" t="n"/>
      <c r="AH90" s="23" t="n"/>
      <c r="AI90" s="23" t="n"/>
      <c r="AJ90" s="26">
        <f>IF(I90="","",I90&amp;"|"&amp;R90)</f>
        <v/>
      </c>
      <c r="AK90" s="26">
        <f>IF(I90="","",IF(ISNA(MATCH(O90,Kampanyalar!$A$2:$A$150,0)),"Hayır - Kampanyalar'da Yok","Evet"))</f>
        <v/>
      </c>
      <c r="AL90" s="27">
        <f>IF(I90="","",IFERROR(INDEX(Kampanyalar!$E$2:$E$150,MATCH(O90,Kampanyalar!$A$2:$A$150,0)),""))</f>
        <v/>
      </c>
      <c r="AM90" s="27">
        <f>IF(I90="","",IFERROR(INDEX(Kampanyalar!$F$2:$F$150,MATCH(O90,Kampanyalar!$A$2:$A$150,0)),""))</f>
        <v/>
      </c>
      <c r="AN90" s="27">
        <f>IF(I90="","",IFERROR(INDEX(Kampanyalar!$G$2:$G$150,MATCH(O90,Kampanyalar!$A$2:$A$150,0)),""))</f>
        <v/>
      </c>
      <c r="AO90" s="26">
        <f>IF(OR(I90="",AL90="",AM90=""),"",IF(AND(H90&gt;=AL90,H90&lt;=AM90),"Evet","HAYIR - Tarih Dışı"))</f>
        <v/>
      </c>
      <c r="AP90" s="28">
        <f>IF(I90="","",IFERROR(INDEX(Kampanyalar!$H$2:$H$150,MATCH(O90,Kampanyalar!$A$2:$A$150,0)),""))</f>
        <v/>
      </c>
      <c r="AQ90" s="28">
        <f>IF(I90="","",IF(ISNUMBER(AP90),AP90,AD90))</f>
        <v/>
      </c>
      <c r="AR90" s="26">
        <f>IF(I90="","",IF(Parametreler!$C$7="Evet","Kural A - Hemen Ödeme (Stok Mutabakatlı)","Kural B - Nakliye/Montaj Sonrası Ödeme"))</f>
        <v/>
      </c>
    </row>
    <row r="91">
      <c r="A91" s="23" t="n"/>
      <c r="B91" s="23" t="n"/>
      <c r="C91" s="23" t="n"/>
      <c r="D91" s="23" t="n"/>
      <c r="E91" s="23" t="n"/>
      <c r="F91" s="23" t="n"/>
      <c r="G91" s="23" t="n"/>
      <c r="H91" s="24" t="n"/>
      <c r="I91" s="23" t="n"/>
      <c r="J91" s="23" t="n"/>
      <c r="K91" s="23" t="n"/>
      <c r="L91" s="23" t="n"/>
      <c r="M91" s="23" t="n"/>
      <c r="N91" s="23" t="n"/>
      <c r="O91" s="23" t="n"/>
      <c r="P91" s="23" t="n"/>
      <c r="Q91" s="23" t="n"/>
      <c r="R91" s="23" t="n"/>
      <c r="S91" s="23" t="n"/>
      <c r="T91" s="23" t="n"/>
      <c r="U91" s="23" t="n"/>
      <c r="V91" s="23" t="n"/>
      <c r="W91" s="23" t="n"/>
      <c r="X91" s="23" t="n"/>
      <c r="Y91" s="25" t="n"/>
      <c r="Z91" s="25" t="n"/>
      <c r="AA91" s="23" t="n"/>
      <c r="AB91" s="25" t="n"/>
      <c r="AC91" s="23" t="n"/>
      <c r="AD91" s="25" t="n"/>
      <c r="AE91" s="23" t="n"/>
      <c r="AF91" s="25" t="n"/>
      <c r="AG91" s="25" t="n"/>
      <c r="AH91" s="23" t="n"/>
      <c r="AI91" s="23" t="n"/>
      <c r="AJ91" s="26">
        <f>IF(I91="","",I91&amp;"|"&amp;R91)</f>
        <v/>
      </c>
      <c r="AK91" s="26">
        <f>IF(I91="","",IF(ISNA(MATCH(O91,Kampanyalar!$A$2:$A$150,0)),"Hayır - Kampanyalar'da Yok","Evet"))</f>
        <v/>
      </c>
      <c r="AL91" s="27">
        <f>IF(I91="","",IFERROR(INDEX(Kampanyalar!$E$2:$E$150,MATCH(O91,Kampanyalar!$A$2:$A$150,0)),""))</f>
        <v/>
      </c>
      <c r="AM91" s="27">
        <f>IF(I91="","",IFERROR(INDEX(Kampanyalar!$F$2:$F$150,MATCH(O91,Kampanyalar!$A$2:$A$150,0)),""))</f>
        <v/>
      </c>
      <c r="AN91" s="27">
        <f>IF(I91="","",IFERROR(INDEX(Kampanyalar!$G$2:$G$150,MATCH(O91,Kampanyalar!$A$2:$A$150,0)),""))</f>
        <v/>
      </c>
      <c r="AO91" s="26">
        <f>IF(OR(I91="",AL91="",AM91=""),"",IF(AND(H91&gt;=AL91,H91&lt;=AM91),"Evet","HAYIR - Tarih Dışı"))</f>
        <v/>
      </c>
      <c r="AP91" s="28">
        <f>IF(I91="","",IFERROR(INDEX(Kampanyalar!$H$2:$H$150,MATCH(O91,Kampanyalar!$A$2:$A$150,0)),""))</f>
        <v/>
      </c>
      <c r="AQ91" s="28">
        <f>IF(I91="","",IF(ISNUMBER(AP91),AP91,AD91))</f>
        <v/>
      </c>
      <c r="AR91" s="26">
        <f>IF(I91="","",IF(Parametreler!$C$7="Evet","Kural A - Hemen Ödeme (Stok Mutabakatlı)","Kural B - Nakliye/Montaj Sonrası Ödeme"))</f>
        <v/>
      </c>
    </row>
    <row r="92">
      <c r="A92" s="23" t="n"/>
      <c r="B92" s="23" t="n"/>
      <c r="C92" s="23" t="n"/>
      <c r="D92" s="23" t="n"/>
      <c r="E92" s="23" t="n"/>
      <c r="F92" s="23" t="n"/>
      <c r="G92" s="23" t="n"/>
      <c r="H92" s="24" t="n"/>
      <c r="I92" s="23" t="n"/>
      <c r="J92" s="23" t="n"/>
      <c r="K92" s="23" t="n"/>
      <c r="L92" s="23" t="n"/>
      <c r="M92" s="23" t="n"/>
      <c r="N92" s="23" t="n"/>
      <c r="O92" s="23" t="n"/>
      <c r="P92" s="23" t="n"/>
      <c r="Q92" s="23" t="n"/>
      <c r="R92" s="23" t="n"/>
      <c r="S92" s="23" t="n"/>
      <c r="T92" s="23" t="n"/>
      <c r="U92" s="23" t="n"/>
      <c r="V92" s="23" t="n"/>
      <c r="W92" s="23" t="n"/>
      <c r="X92" s="23" t="n"/>
      <c r="Y92" s="25" t="n"/>
      <c r="Z92" s="25" t="n"/>
      <c r="AA92" s="23" t="n"/>
      <c r="AB92" s="25" t="n"/>
      <c r="AC92" s="23" t="n"/>
      <c r="AD92" s="25" t="n"/>
      <c r="AE92" s="23" t="n"/>
      <c r="AF92" s="25" t="n"/>
      <c r="AG92" s="25" t="n"/>
      <c r="AH92" s="23" t="n"/>
      <c r="AI92" s="23" t="n"/>
      <c r="AJ92" s="26">
        <f>IF(I92="","",I92&amp;"|"&amp;R92)</f>
        <v/>
      </c>
      <c r="AK92" s="26">
        <f>IF(I92="","",IF(ISNA(MATCH(O92,Kampanyalar!$A$2:$A$150,0)),"Hayır - Kampanyalar'da Yok","Evet"))</f>
        <v/>
      </c>
      <c r="AL92" s="27">
        <f>IF(I92="","",IFERROR(INDEX(Kampanyalar!$E$2:$E$150,MATCH(O92,Kampanyalar!$A$2:$A$150,0)),""))</f>
        <v/>
      </c>
      <c r="AM92" s="27">
        <f>IF(I92="","",IFERROR(INDEX(Kampanyalar!$F$2:$F$150,MATCH(O92,Kampanyalar!$A$2:$A$150,0)),""))</f>
        <v/>
      </c>
      <c r="AN92" s="27">
        <f>IF(I92="","",IFERROR(INDEX(Kampanyalar!$G$2:$G$150,MATCH(O92,Kampanyalar!$A$2:$A$150,0)),""))</f>
        <v/>
      </c>
      <c r="AO92" s="26">
        <f>IF(OR(I92="",AL92="",AM92=""),"",IF(AND(H92&gt;=AL92,H92&lt;=AM92),"Evet","HAYIR - Tarih Dışı"))</f>
        <v/>
      </c>
      <c r="AP92" s="28">
        <f>IF(I92="","",IFERROR(INDEX(Kampanyalar!$H$2:$H$150,MATCH(O92,Kampanyalar!$A$2:$A$150,0)),""))</f>
        <v/>
      </c>
      <c r="AQ92" s="28">
        <f>IF(I92="","",IF(ISNUMBER(AP92),AP92,AD92))</f>
        <v/>
      </c>
      <c r="AR92" s="26">
        <f>IF(I92="","",IF(Parametreler!$C$7="Evet","Kural A - Hemen Ödeme (Stok Mutabakatlı)","Kural B - Nakliye/Montaj Sonrası Ödeme"))</f>
        <v/>
      </c>
    </row>
    <row r="93">
      <c r="A93" s="23" t="n"/>
      <c r="B93" s="23" t="n"/>
      <c r="C93" s="23" t="n"/>
      <c r="D93" s="23" t="n"/>
      <c r="E93" s="23" t="n"/>
      <c r="F93" s="23" t="n"/>
      <c r="G93" s="23" t="n"/>
      <c r="H93" s="24" t="n"/>
      <c r="I93" s="23" t="n"/>
      <c r="J93" s="23" t="n"/>
      <c r="K93" s="23" t="n"/>
      <c r="L93" s="23" t="n"/>
      <c r="M93" s="23" t="n"/>
      <c r="N93" s="23" t="n"/>
      <c r="O93" s="23" t="n"/>
      <c r="P93" s="23" t="n"/>
      <c r="Q93" s="23" t="n"/>
      <c r="R93" s="23" t="n"/>
      <c r="S93" s="23" t="n"/>
      <c r="T93" s="23" t="n"/>
      <c r="U93" s="23" t="n"/>
      <c r="V93" s="23" t="n"/>
      <c r="W93" s="23" t="n"/>
      <c r="X93" s="23" t="n"/>
      <c r="Y93" s="25" t="n"/>
      <c r="Z93" s="25" t="n"/>
      <c r="AA93" s="23" t="n"/>
      <c r="AB93" s="25" t="n"/>
      <c r="AC93" s="23" t="n"/>
      <c r="AD93" s="25" t="n"/>
      <c r="AE93" s="23" t="n"/>
      <c r="AF93" s="25" t="n"/>
      <c r="AG93" s="25" t="n"/>
      <c r="AH93" s="23" t="n"/>
      <c r="AI93" s="23" t="n"/>
      <c r="AJ93" s="26">
        <f>IF(I93="","",I93&amp;"|"&amp;R93)</f>
        <v/>
      </c>
      <c r="AK93" s="26">
        <f>IF(I93="","",IF(ISNA(MATCH(O93,Kampanyalar!$A$2:$A$150,0)),"Hayır - Kampanyalar'da Yok","Evet"))</f>
        <v/>
      </c>
      <c r="AL93" s="27">
        <f>IF(I93="","",IFERROR(INDEX(Kampanyalar!$E$2:$E$150,MATCH(O93,Kampanyalar!$A$2:$A$150,0)),""))</f>
        <v/>
      </c>
      <c r="AM93" s="27">
        <f>IF(I93="","",IFERROR(INDEX(Kampanyalar!$F$2:$F$150,MATCH(O93,Kampanyalar!$A$2:$A$150,0)),""))</f>
        <v/>
      </c>
      <c r="AN93" s="27">
        <f>IF(I93="","",IFERROR(INDEX(Kampanyalar!$G$2:$G$150,MATCH(O93,Kampanyalar!$A$2:$A$150,0)),""))</f>
        <v/>
      </c>
      <c r="AO93" s="26">
        <f>IF(OR(I93="",AL93="",AM93=""),"",IF(AND(H93&gt;=AL93,H93&lt;=AM93),"Evet","HAYIR - Tarih Dışı"))</f>
        <v/>
      </c>
      <c r="AP93" s="28">
        <f>IF(I93="","",IFERROR(INDEX(Kampanyalar!$H$2:$H$150,MATCH(O93,Kampanyalar!$A$2:$A$150,0)),""))</f>
        <v/>
      </c>
      <c r="AQ93" s="28">
        <f>IF(I93="","",IF(ISNUMBER(AP93),AP93,AD93))</f>
        <v/>
      </c>
      <c r="AR93" s="26">
        <f>IF(I93="","",IF(Parametreler!$C$7="Evet","Kural A - Hemen Ödeme (Stok Mutabakatlı)","Kural B - Nakliye/Montaj Sonrası Ödeme"))</f>
        <v/>
      </c>
    </row>
    <row r="94">
      <c r="A94" s="23" t="n"/>
      <c r="B94" s="23" t="n"/>
      <c r="C94" s="23" t="n"/>
      <c r="D94" s="23" t="n"/>
      <c r="E94" s="23" t="n"/>
      <c r="F94" s="23" t="n"/>
      <c r="G94" s="23" t="n"/>
      <c r="H94" s="24" t="n"/>
      <c r="I94" s="23" t="n"/>
      <c r="J94" s="23" t="n"/>
      <c r="K94" s="23" t="n"/>
      <c r="L94" s="23" t="n"/>
      <c r="M94" s="23" t="n"/>
      <c r="N94" s="23" t="n"/>
      <c r="O94" s="23" t="n"/>
      <c r="P94" s="23" t="n"/>
      <c r="Q94" s="23" t="n"/>
      <c r="R94" s="23" t="n"/>
      <c r="S94" s="23" t="n"/>
      <c r="T94" s="23" t="n"/>
      <c r="U94" s="23" t="n"/>
      <c r="V94" s="23" t="n"/>
      <c r="W94" s="23" t="n"/>
      <c r="X94" s="23" t="n"/>
      <c r="Y94" s="25" t="n"/>
      <c r="Z94" s="25" t="n"/>
      <c r="AA94" s="23" t="n"/>
      <c r="AB94" s="25" t="n"/>
      <c r="AC94" s="23" t="n"/>
      <c r="AD94" s="25" t="n"/>
      <c r="AE94" s="23" t="n"/>
      <c r="AF94" s="25" t="n"/>
      <c r="AG94" s="25" t="n"/>
      <c r="AH94" s="23" t="n"/>
      <c r="AI94" s="23" t="n"/>
      <c r="AJ94" s="26">
        <f>IF(I94="","",I94&amp;"|"&amp;R94)</f>
        <v/>
      </c>
      <c r="AK94" s="26">
        <f>IF(I94="","",IF(ISNA(MATCH(O94,Kampanyalar!$A$2:$A$150,0)),"Hayır - Kampanyalar'da Yok","Evet"))</f>
        <v/>
      </c>
      <c r="AL94" s="27">
        <f>IF(I94="","",IFERROR(INDEX(Kampanyalar!$E$2:$E$150,MATCH(O94,Kampanyalar!$A$2:$A$150,0)),""))</f>
        <v/>
      </c>
      <c r="AM94" s="27">
        <f>IF(I94="","",IFERROR(INDEX(Kampanyalar!$F$2:$F$150,MATCH(O94,Kampanyalar!$A$2:$A$150,0)),""))</f>
        <v/>
      </c>
      <c r="AN94" s="27">
        <f>IF(I94="","",IFERROR(INDEX(Kampanyalar!$G$2:$G$150,MATCH(O94,Kampanyalar!$A$2:$A$150,0)),""))</f>
        <v/>
      </c>
      <c r="AO94" s="26">
        <f>IF(OR(I94="",AL94="",AM94=""),"",IF(AND(H94&gt;=AL94,H94&lt;=AM94),"Evet","HAYIR - Tarih Dışı"))</f>
        <v/>
      </c>
      <c r="AP94" s="28">
        <f>IF(I94="","",IFERROR(INDEX(Kampanyalar!$H$2:$H$150,MATCH(O94,Kampanyalar!$A$2:$A$150,0)),""))</f>
        <v/>
      </c>
      <c r="AQ94" s="28">
        <f>IF(I94="","",IF(ISNUMBER(AP94),AP94,AD94))</f>
        <v/>
      </c>
      <c r="AR94" s="26">
        <f>IF(I94="","",IF(Parametreler!$C$7="Evet","Kural A - Hemen Ödeme (Stok Mutabakatlı)","Kural B - Nakliye/Montaj Sonrası Ödeme"))</f>
        <v/>
      </c>
    </row>
    <row r="95">
      <c r="A95" s="23" t="n"/>
      <c r="B95" s="23" t="n"/>
      <c r="C95" s="23" t="n"/>
      <c r="D95" s="23" t="n"/>
      <c r="E95" s="23" t="n"/>
      <c r="F95" s="23" t="n"/>
      <c r="G95" s="23" t="n"/>
      <c r="H95" s="24" t="n"/>
      <c r="I95" s="23" t="n"/>
      <c r="J95" s="23" t="n"/>
      <c r="K95" s="23" t="n"/>
      <c r="L95" s="23" t="n"/>
      <c r="M95" s="23" t="n"/>
      <c r="N95" s="23" t="n"/>
      <c r="O95" s="23" t="n"/>
      <c r="P95" s="23" t="n"/>
      <c r="Q95" s="23" t="n"/>
      <c r="R95" s="23" t="n"/>
      <c r="S95" s="23" t="n"/>
      <c r="T95" s="23" t="n"/>
      <c r="U95" s="23" t="n"/>
      <c r="V95" s="23" t="n"/>
      <c r="W95" s="23" t="n"/>
      <c r="X95" s="23" t="n"/>
      <c r="Y95" s="25" t="n"/>
      <c r="Z95" s="25" t="n"/>
      <c r="AA95" s="23" t="n"/>
      <c r="AB95" s="25" t="n"/>
      <c r="AC95" s="23" t="n"/>
      <c r="AD95" s="25" t="n"/>
      <c r="AE95" s="23" t="n"/>
      <c r="AF95" s="25" t="n"/>
      <c r="AG95" s="25" t="n"/>
      <c r="AH95" s="23" t="n"/>
      <c r="AI95" s="23" t="n"/>
      <c r="AJ95" s="26">
        <f>IF(I95="","",I95&amp;"|"&amp;R95)</f>
        <v/>
      </c>
      <c r="AK95" s="26">
        <f>IF(I95="","",IF(ISNA(MATCH(O95,Kampanyalar!$A$2:$A$150,0)),"Hayır - Kampanyalar'da Yok","Evet"))</f>
        <v/>
      </c>
      <c r="AL95" s="27">
        <f>IF(I95="","",IFERROR(INDEX(Kampanyalar!$E$2:$E$150,MATCH(O95,Kampanyalar!$A$2:$A$150,0)),""))</f>
        <v/>
      </c>
      <c r="AM95" s="27">
        <f>IF(I95="","",IFERROR(INDEX(Kampanyalar!$F$2:$F$150,MATCH(O95,Kampanyalar!$A$2:$A$150,0)),""))</f>
        <v/>
      </c>
      <c r="AN95" s="27">
        <f>IF(I95="","",IFERROR(INDEX(Kampanyalar!$G$2:$G$150,MATCH(O95,Kampanyalar!$A$2:$A$150,0)),""))</f>
        <v/>
      </c>
      <c r="AO95" s="26">
        <f>IF(OR(I95="",AL95="",AM95=""),"",IF(AND(H95&gt;=AL95,H95&lt;=AM95),"Evet","HAYIR - Tarih Dışı"))</f>
        <v/>
      </c>
      <c r="AP95" s="28">
        <f>IF(I95="","",IFERROR(INDEX(Kampanyalar!$H$2:$H$150,MATCH(O95,Kampanyalar!$A$2:$A$150,0)),""))</f>
        <v/>
      </c>
      <c r="AQ95" s="28">
        <f>IF(I95="","",IF(ISNUMBER(AP95),AP95,AD95))</f>
        <v/>
      </c>
      <c r="AR95" s="26">
        <f>IF(I95="","",IF(Parametreler!$C$7="Evet","Kural A - Hemen Ödeme (Stok Mutabakatlı)","Kural B - Nakliye/Montaj Sonrası Ödeme"))</f>
        <v/>
      </c>
    </row>
    <row r="96">
      <c r="A96" s="23" t="n"/>
      <c r="B96" s="23" t="n"/>
      <c r="C96" s="23" t="n"/>
      <c r="D96" s="23" t="n"/>
      <c r="E96" s="23" t="n"/>
      <c r="F96" s="23" t="n"/>
      <c r="G96" s="23" t="n"/>
      <c r="H96" s="24" t="n"/>
      <c r="I96" s="23" t="n"/>
      <c r="J96" s="23" t="n"/>
      <c r="K96" s="23" t="n"/>
      <c r="L96" s="23" t="n"/>
      <c r="M96" s="23" t="n"/>
      <c r="N96" s="23" t="n"/>
      <c r="O96" s="23" t="n"/>
      <c r="P96" s="23" t="n"/>
      <c r="Q96" s="23" t="n"/>
      <c r="R96" s="23" t="n"/>
      <c r="S96" s="23" t="n"/>
      <c r="T96" s="23" t="n"/>
      <c r="U96" s="23" t="n"/>
      <c r="V96" s="23" t="n"/>
      <c r="W96" s="23" t="n"/>
      <c r="X96" s="23" t="n"/>
      <c r="Y96" s="25" t="n"/>
      <c r="Z96" s="25" t="n"/>
      <c r="AA96" s="23" t="n"/>
      <c r="AB96" s="25" t="n"/>
      <c r="AC96" s="23" t="n"/>
      <c r="AD96" s="25" t="n"/>
      <c r="AE96" s="23" t="n"/>
      <c r="AF96" s="25" t="n"/>
      <c r="AG96" s="25" t="n"/>
      <c r="AH96" s="23" t="n"/>
      <c r="AI96" s="23" t="n"/>
      <c r="AJ96" s="26">
        <f>IF(I96="","",I96&amp;"|"&amp;R96)</f>
        <v/>
      </c>
      <c r="AK96" s="26">
        <f>IF(I96="","",IF(ISNA(MATCH(O96,Kampanyalar!$A$2:$A$150,0)),"Hayır - Kampanyalar'da Yok","Evet"))</f>
        <v/>
      </c>
      <c r="AL96" s="27">
        <f>IF(I96="","",IFERROR(INDEX(Kampanyalar!$E$2:$E$150,MATCH(O96,Kampanyalar!$A$2:$A$150,0)),""))</f>
        <v/>
      </c>
      <c r="AM96" s="27">
        <f>IF(I96="","",IFERROR(INDEX(Kampanyalar!$F$2:$F$150,MATCH(O96,Kampanyalar!$A$2:$A$150,0)),""))</f>
        <v/>
      </c>
      <c r="AN96" s="27">
        <f>IF(I96="","",IFERROR(INDEX(Kampanyalar!$G$2:$G$150,MATCH(O96,Kampanyalar!$A$2:$A$150,0)),""))</f>
        <v/>
      </c>
      <c r="AO96" s="26">
        <f>IF(OR(I96="",AL96="",AM96=""),"",IF(AND(H96&gt;=AL96,H96&lt;=AM96),"Evet","HAYIR - Tarih Dışı"))</f>
        <v/>
      </c>
      <c r="AP96" s="28">
        <f>IF(I96="","",IFERROR(INDEX(Kampanyalar!$H$2:$H$150,MATCH(O96,Kampanyalar!$A$2:$A$150,0)),""))</f>
        <v/>
      </c>
      <c r="AQ96" s="28">
        <f>IF(I96="","",IF(ISNUMBER(AP96),AP96,AD96))</f>
        <v/>
      </c>
      <c r="AR96" s="26">
        <f>IF(I96="","",IF(Parametreler!$C$7="Evet","Kural A - Hemen Ödeme (Stok Mutabakatlı)","Kural B - Nakliye/Montaj Sonrası Ödeme"))</f>
        <v/>
      </c>
    </row>
    <row r="97">
      <c r="A97" s="23" t="n"/>
      <c r="B97" s="23" t="n"/>
      <c r="C97" s="23" t="n"/>
      <c r="D97" s="23" t="n"/>
      <c r="E97" s="23" t="n"/>
      <c r="F97" s="23" t="n"/>
      <c r="G97" s="23" t="n"/>
      <c r="H97" s="24" t="n"/>
      <c r="I97" s="23" t="n"/>
      <c r="J97" s="23" t="n"/>
      <c r="K97" s="23" t="n"/>
      <c r="L97" s="23" t="n"/>
      <c r="M97" s="23" t="n"/>
      <c r="N97" s="23" t="n"/>
      <c r="O97" s="23" t="n"/>
      <c r="P97" s="23" t="n"/>
      <c r="Q97" s="23" t="n"/>
      <c r="R97" s="23" t="n"/>
      <c r="S97" s="23" t="n"/>
      <c r="T97" s="23" t="n"/>
      <c r="U97" s="23" t="n"/>
      <c r="V97" s="23" t="n"/>
      <c r="W97" s="23" t="n"/>
      <c r="X97" s="23" t="n"/>
      <c r="Y97" s="25" t="n"/>
      <c r="Z97" s="25" t="n"/>
      <c r="AA97" s="23" t="n"/>
      <c r="AB97" s="25" t="n"/>
      <c r="AC97" s="23" t="n"/>
      <c r="AD97" s="25" t="n"/>
      <c r="AE97" s="23" t="n"/>
      <c r="AF97" s="25" t="n"/>
      <c r="AG97" s="25" t="n"/>
      <c r="AH97" s="23" t="n"/>
      <c r="AI97" s="23" t="n"/>
      <c r="AJ97" s="26">
        <f>IF(I97="","",I97&amp;"|"&amp;R97)</f>
        <v/>
      </c>
      <c r="AK97" s="26">
        <f>IF(I97="","",IF(ISNA(MATCH(O97,Kampanyalar!$A$2:$A$150,0)),"Hayır - Kampanyalar'da Yok","Evet"))</f>
        <v/>
      </c>
      <c r="AL97" s="27">
        <f>IF(I97="","",IFERROR(INDEX(Kampanyalar!$E$2:$E$150,MATCH(O97,Kampanyalar!$A$2:$A$150,0)),""))</f>
        <v/>
      </c>
      <c r="AM97" s="27">
        <f>IF(I97="","",IFERROR(INDEX(Kampanyalar!$F$2:$F$150,MATCH(O97,Kampanyalar!$A$2:$A$150,0)),""))</f>
        <v/>
      </c>
      <c r="AN97" s="27">
        <f>IF(I97="","",IFERROR(INDEX(Kampanyalar!$G$2:$G$150,MATCH(O97,Kampanyalar!$A$2:$A$150,0)),""))</f>
        <v/>
      </c>
      <c r="AO97" s="26">
        <f>IF(OR(I97="",AL97="",AM97=""),"",IF(AND(H97&gt;=AL97,H97&lt;=AM97),"Evet","HAYIR - Tarih Dışı"))</f>
        <v/>
      </c>
      <c r="AP97" s="28">
        <f>IF(I97="","",IFERROR(INDEX(Kampanyalar!$H$2:$H$150,MATCH(O97,Kampanyalar!$A$2:$A$150,0)),""))</f>
        <v/>
      </c>
      <c r="AQ97" s="28">
        <f>IF(I97="","",IF(ISNUMBER(AP97),AP97,AD97))</f>
        <v/>
      </c>
      <c r="AR97" s="26">
        <f>IF(I97="","",IF(Parametreler!$C$7="Evet","Kural A - Hemen Ödeme (Stok Mutabakatlı)","Kural B - Nakliye/Montaj Sonrası Ödeme"))</f>
        <v/>
      </c>
    </row>
    <row r="98">
      <c r="A98" s="23" t="n"/>
      <c r="B98" s="23" t="n"/>
      <c r="C98" s="23" t="n"/>
      <c r="D98" s="23" t="n"/>
      <c r="E98" s="23" t="n"/>
      <c r="F98" s="23" t="n"/>
      <c r="G98" s="23" t="n"/>
      <c r="H98" s="24" t="n"/>
      <c r="I98" s="23" t="n"/>
      <c r="J98" s="23" t="n"/>
      <c r="K98" s="23" t="n"/>
      <c r="L98" s="23" t="n"/>
      <c r="M98" s="23" t="n"/>
      <c r="N98" s="23" t="n"/>
      <c r="O98" s="23" t="n"/>
      <c r="P98" s="23" t="n"/>
      <c r="Q98" s="23" t="n"/>
      <c r="R98" s="23" t="n"/>
      <c r="S98" s="23" t="n"/>
      <c r="T98" s="23" t="n"/>
      <c r="U98" s="23" t="n"/>
      <c r="V98" s="23" t="n"/>
      <c r="W98" s="23" t="n"/>
      <c r="X98" s="23" t="n"/>
      <c r="Y98" s="25" t="n"/>
      <c r="Z98" s="25" t="n"/>
      <c r="AA98" s="23" t="n"/>
      <c r="AB98" s="25" t="n"/>
      <c r="AC98" s="23" t="n"/>
      <c r="AD98" s="25" t="n"/>
      <c r="AE98" s="23" t="n"/>
      <c r="AF98" s="25" t="n"/>
      <c r="AG98" s="25" t="n"/>
      <c r="AH98" s="23" t="n"/>
      <c r="AI98" s="23" t="n"/>
      <c r="AJ98" s="26">
        <f>IF(I98="","",I98&amp;"|"&amp;R98)</f>
        <v/>
      </c>
      <c r="AK98" s="26">
        <f>IF(I98="","",IF(ISNA(MATCH(O98,Kampanyalar!$A$2:$A$150,0)),"Hayır - Kampanyalar'da Yok","Evet"))</f>
        <v/>
      </c>
      <c r="AL98" s="27">
        <f>IF(I98="","",IFERROR(INDEX(Kampanyalar!$E$2:$E$150,MATCH(O98,Kampanyalar!$A$2:$A$150,0)),""))</f>
        <v/>
      </c>
      <c r="AM98" s="27">
        <f>IF(I98="","",IFERROR(INDEX(Kampanyalar!$F$2:$F$150,MATCH(O98,Kampanyalar!$A$2:$A$150,0)),""))</f>
        <v/>
      </c>
      <c r="AN98" s="27">
        <f>IF(I98="","",IFERROR(INDEX(Kampanyalar!$G$2:$G$150,MATCH(O98,Kampanyalar!$A$2:$A$150,0)),""))</f>
        <v/>
      </c>
      <c r="AO98" s="26">
        <f>IF(OR(I98="",AL98="",AM98=""),"",IF(AND(H98&gt;=AL98,H98&lt;=AM98),"Evet","HAYIR - Tarih Dışı"))</f>
        <v/>
      </c>
      <c r="AP98" s="28">
        <f>IF(I98="","",IFERROR(INDEX(Kampanyalar!$H$2:$H$150,MATCH(O98,Kampanyalar!$A$2:$A$150,0)),""))</f>
        <v/>
      </c>
      <c r="AQ98" s="28">
        <f>IF(I98="","",IF(ISNUMBER(AP98),AP98,AD98))</f>
        <v/>
      </c>
      <c r="AR98" s="26">
        <f>IF(I98="","",IF(Parametreler!$C$7="Evet","Kural A - Hemen Ödeme (Stok Mutabakatlı)","Kural B - Nakliye/Montaj Sonrası Ödeme"))</f>
        <v/>
      </c>
    </row>
    <row r="99">
      <c r="A99" s="23" t="n"/>
      <c r="B99" s="23" t="n"/>
      <c r="C99" s="23" t="n"/>
      <c r="D99" s="23" t="n"/>
      <c r="E99" s="23" t="n"/>
      <c r="F99" s="23" t="n"/>
      <c r="G99" s="23" t="n"/>
      <c r="H99" s="24" t="n"/>
      <c r="I99" s="23" t="n"/>
      <c r="J99" s="23" t="n"/>
      <c r="K99" s="23" t="n"/>
      <c r="L99" s="23" t="n"/>
      <c r="M99" s="23" t="n"/>
      <c r="N99" s="23" t="n"/>
      <c r="O99" s="23" t="n"/>
      <c r="P99" s="23" t="n"/>
      <c r="Q99" s="23" t="n"/>
      <c r="R99" s="23" t="n"/>
      <c r="S99" s="23" t="n"/>
      <c r="T99" s="23" t="n"/>
      <c r="U99" s="23" t="n"/>
      <c r="V99" s="23" t="n"/>
      <c r="W99" s="23" t="n"/>
      <c r="X99" s="23" t="n"/>
      <c r="Y99" s="25" t="n"/>
      <c r="Z99" s="25" t="n"/>
      <c r="AA99" s="23" t="n"/>
      <c r="AB99" s="25" t="n"/>
      <c r="AC99" s="23" t="n"/>
      <c r="AD99" s="25" t="n"/>
      <c r="AE99" s="23" t="n"/>
      <c r="AF99" s="25" t="n"/>
      <c r="AG99" s="25" t="n"/>
      <c r="AH99" s="23" t="n"/>
      <c r="AI99" s="23" t="n"/>
      <c r="AJ99" s="26">
        <f>IF(I99="","",I99&amp;"|"&amp;R99)</f>
        <v/>
      </c>
      <c r="AK99" s="26">
        <f>IF(I99="","",IF(ISNA(MATCH(O99,Kampanyalar!$A$2:$A$150,0)),"Hayır - Kampanyalar'da Yok","Evet"))</f>
        <v/>
      </c>
      <c r="AL99" s="27">
        <f>IF(I99="","",IFERROR(INDEX(Kampanyalar!$E$2:$E$150,MATCH(O99,Kampanyalar!$A$2:$A$150,0)),""))</f>
        <v/>
      </c>
      <c r="AM99" s="27">
        <f>IF(I99="","",IFERROR(INDEX(Kampanyalar!$F$2:$F$150,MATCH(O99,Kampanyalar!$A$2:$A$150,0)),""))</f>
        <v/>
      </c>
      <c r="AN99" s="27">
        <f>IF(I99="","",IFERROR(INDEX(Kampanyalar!$G$2:$G$150,MATCH(O99,Kampanyalar!$A$2:$A$150,0)),""))</f>
        <v/>
      </c>
      <c r="AO99" s="26">
        <f>IF(OR(I99="",AL99="",AM99=""),"",IF(AND(H99&gt;=AL99,H99&lt;=AM99),"Evet","HAYIR - Tarih Dışı"))</f>
        <v/>
      </c>
      <c r="AP99" s="28">
        <f>IF(I99="","",IFERROR(INDEX(Kampanyalar!$H$2:$H$150,MATCH(O99,Kampanyalar!$A$2:$A$150,0)),""))</f>
        <v/>
      </c>
      <c r="AQ99" s="28">
        <f>IF(I99="","",IF(ISNUMBER(AP99),AP99,AD99))</f>
        <v/>
      </c>
      <c r="AR99" s="26">
        <f>IF(I99="","",IF(Parametreler!$C$7="Evet","Kural A - Hemen Ödeme (Stok Mutabakatlı)","Kural B - Nakliye/Montaj Sonrası Ödeme"))</f>
        <v/>
      </c>
    </row>
    <row r="100">
      <c r="A100" s="23" t="n"/>
      <c r="B100" s="23" t="n"/>
      <c r="C100" s="23" t="n"/>
      <c r="D100" s="23" t="n"/>
      <c r="E100" s="23" t="n"/>
      <c r="F100" s="23" t="n"/>
      <c r="G100" s="23" t="n"/>
      <c r="H100" s="24" t="n"/>
      <c r="I100" s="23" t="n"/>
      <c r="J100" s="23" t="n"/>
      <c r="K100" s="23" t="n"/>
      <c r="L100" s="23" t="n"/>
      <c r="M100" s="23" t="n"/>
      <c r="N100" s="23" t="n"/>
      <c r="O100" s="23" t="n"/>
      <c r="P100" s="23" t="n"/>
      <c r="Q100" s="23" t="n"/>
      <c r="R100" s="23" t="n"/>
      <c r="S100" s="23" t="n"/>
      <c r="T100" s="23" t="n"/>
      <c r="U100" s="23" t="n"/>
      <c r="V100" s="23" t="n"/>
      <c r="W100" s="23" t="n"/>
      <c r="X100" s="23" t="n"/>
      <c r="Y100" s="25" t="n"/>
      <c r="Z100" s="25" t="n"/>
      <c r="AA100" s="23" t="n"/>
      <c r="AB100" s="25" t="n"/>
      <c r="AC100" s="23" t="n"/>
      <c r="AD100" s="25" t="n"/>
      <c r="AE100" s="23" t="n"/>
      <c r="AF100" s="25" t="n"/>
      <c r="AG100" s="25" t="n"/>
      <c r="AH100" s="23" t="n"/>
      <c r="AI100" s="23" t="n"/>
      <c r="AJ100" s="26">
        <f>IF(I100="","",I100&amp;"|"&amp;R100)</f>
        <v/>
      </c>
      <c r="AK100" s="26">
        <f>IF(I100="","",IF(ISNA(MATCH(O100,Kampanyalar!$A$2:$A$150,0)),"Hayır - Kampanyalar'da Yok","Evet"))</f>
        <v/>
      </c>
      <c r="AL100" s="27">
        <f>IF(I100="","",IFERROR(INDEX(Kampanyalar!$E$2:$E$150,MATCH(O100,Kampanyalar!$A$2:$A$150,0)),""))</f>
        <v/>
      </c>
      <c r="AM100" s="27">
        <f>IF(I100="","",IFERROR(INDEX(Kampanyalar!$F$2:$F$150,MATCH(O100,Kampanyalar!$A$2:$A$150,0)),""))</f>
        <v/>
      </c>
      <c r="AN100" s="27">
        <f>IF(I100="","",IFERROR(INDEX(Kampanyalar!$G$2:$G$150,MATCH(O100,Kampanyalar!$A$2:$A$150,0)),""))</f>
        <v/>
      </c>
      <c r="AO100" s="26">
        <f>IF(OR(I100="",AL100="",AM100=""),"",IF(AND(H100&gt;=AL100,H100&lt;=AM100),"Evet","HAYIR - Tarih Dışı"))</f>
        <v/>
      </c>
      <c r="AP100" s="28">
        <f>IF(I100="","",IFERROR(INDEX(Kampanyalar!$H$2:$H$150,MATCH(O100,Kampanyalar!$A$2:$A$150,0)),""))</f>
        <v/>
      </c>
      <c r="AQ100" s="28">
        <f>IF(I100="","",IF(ISNUMBER(AP100),AP100,AD100))</f>
        <v/>
      </c>
      <c r="AR100" s="26">
        <f>IF(I100="","",IF(Parametreler!$C$7="Evet","Kural A - Hemen Ödeme (Stok Mutabakatlı)","Kural B - Nakliye/Montaj Sonrası Ödeme"))</f>
        <v/>
      </c>
    </row>
    <row r="101">
      <c r="A101" s="23" t="n"/>
      <c r="B101" s="23" t="n"/>
      <c r="C101" s="23" t="n"/>
      <c r="D101" s="23" t="n"/>
      <c r="E101" s="23" t="n"/>
      <c r="F101" s="23" t="n"/>
      <c r="G101" s="23" t="n"/>
      <c r="H101" s="24" t="n"/>
      <c r="I101" s="23" t="n"/>
      <c r="J101" s="23" t="n"/>
      <c r="K101" s="23" t="n"/>
      <c r="L101" s="23" t="n"/>
      <c r="M101" s="23" t="n"/>
      <c r="N101" s="23" t="n"/>
      <c r="O101" s="23" t="n"/>
      <c r="P101" s="23" t="n"/>
      <c r="Q101" s="23" t="n"/>
      <c r="R101" s="23" t="n"/>
      <c r="S101" s="23" t="n"/>
      <c r="T101" s="23" t="n"/>
      <c r="U101" s="23" t="n"/>
      <c r="V101" s="23" t="n"/>
      <c r="W101" s="23" t="n"/>
      <c r="X101" s="23" t="n"/>
      <c r="Y101" s="25" t="n"/>
      <c r="Z101" s="25" t="n"/>
      <c r="AA101" s="23" t="n"/>
      <c r="AB101" s="25" t="n"/>
      <c r="AC101" s="23" t="n"/>
      <c r="AD101" s="25" t="n"/>
      <c r="AE101" s="23" t="n"/>
      <c r="AF101" s="25" t="n"/>
      <c r="AG101" s="25" t="n"/>
      <c r="AH101" s="23" t="n"/>
      <c r="AI101" s="23" t="n"/>
      <c r="AJ101" s="26">
        <f>IF(I101="","",I101&amp;"|"&amp;R101)</f>
        <v/>
      </c>
      <c r="AK101" s="26">
        <f>IF(I101="","",IF(ISNA(MATCH(O101,Kampanyalar!$A$2:$A$150,0)),"Hayır - Kampanyalar'da Yok","Evet"))</f>
        <v/>
      </c>
      <c r="AL101" s="27">
        <f>IF(I101="","",IFERROR(INDEX(Kampanyalar!$E$2:$E$150,MATCH(O101,Kampanyalar!$A$2:$A$150,0)),""))</f>
        <v/>
      </c>
      <c r="AM101" s="27">
        <f>IF(I101="","",IFERROR(INDEX(Kampanyalar!$F$2:$F$150,MATCH(O101,Kampanyalar!$A$2:$A$150,0)),""))</f>
        <v/>
      </c>
      <c r="AN101" s="27">
        <f>IF(I101="","",IFERROR(INDEX(Kampanyalar!$G$2:$G$150,MATCH(O101,Kampanyalar!$A$2:$A$150,0)),""))</f>
        <v/>
      </c>
      <c r="AO101" s="26">
        <f>IF(OR(I101="",AL101="",AM101=""),"",IF(AND(H101&gt;=AL101,H101&lt;=AM101),"Evet","HAYIR - Tarih Dışı"))</f>
        <v/>
      </c>
      <c r="AP101" s="28">
        <f>IF(I101="","",IFERROR(INDEX(Kampanyalar!$H$2:$H$150,MATCH(O101,Kampanyalar!$A$2:$A$150,0)),""))</f>
        <v/>
      </c>
      <c r="AQ101" s="28">
        <f>IF(I101="","",IF(ISNUMBER(AP101),AP101,AD101))</f>
        <v/>
      </c>
      <c r="AR101" s="26">
        <f>IF(I101="","",IF(Parametreler!$C$7="Evet","Kural A - Hemen Ödeme (Stok Mutabakatlı)","Kural B - Nakliye/Montaj Sonrası Ödeme"))</f>
        <v/>
      </c>
    </row>
    <row r="102">
      <c r="A102" s="23" t="n"/>
      <c r="B102" s="23" t="n"/>
      <c r="C102" s="23" t="n"/>
      <c r="D102" s="23" t="n"/>
      <c r="E102" s="23" t="n"/>
      <c r="F102" s="23" t="n"/>
      <c r="G102" s="23" t="n"/>
      <c r="H102" s="24" t="n"/>
      <c r="I102" s="23" t="n"/>
      <c r="J102" s="23" t="n"/>
      <c r="K102" s="23" t="n"/>
      <c r="L102" s="23" t="n"/>
      <c r="M102" s="23" t="n"/>
      <c r="N102" s="23" t="n"/>
      <c r="O102" s="23" t="n"/>
      <c r="P102" s="23" t="n"/>
      <c r="Q102" s="23" t="n"/>
      <c r="R102" s="23" t="n"/>
      <c r="S102" s="23" t="n"/>
      <c r="T102" s="23" t="n"/>
      <c r="U102" s="23" t="n"/>
      <c r="V102" s="23" t="n"/>
      <c r="W102" s="23" t="n"/>
      <c r="X102" s="23" t="n"/>
      <c r="Y102" s="25" t="n"/>
      <c r="Z102" s="25" t="n"/>
      <c r="AA102" s="23" t="n"/>
      <c r="AB102" s="25" t="n"/>
      <c r="AC102" s="23" t="n"/>
      <c r="AD102" s="25" t="n"/>
      <c r="AE102" s="23" t="n"/>
      <c r="AF102" s="25" t="n"/>
      <c r="AG102" s="25" t="n"/>
      <c r="AH102" s="23" t="n"/>
      <c r="AI102" s="23" t="n"/>
      <c r="AJ102" s="26">
        <f>IF(I102="","",I102&amp;"|"&amp;R102)</f>
        <v/>
      </c>
      <c r="AK102" s="26">
        <f>IF(I102="","",IF(ISNA(MATCH(O102,Kampanyalar!$A$2:$A$150,0)),"Hayır - Kampanyalar'da Yok","Evet"))</f>
        <v/>
      </c>
      <c r="AL102" s="27">
        <f>IF(I102="","",IFERROR(INDEX(Kampanyalar!$E$2:$E$150,MATCH(O102,Kampanyalar!$A$2:$A$150,0)),""))</f>
        <v/>
      </c>
      <c r="AM102" s="27">
        <f>IF(I102="","",IFERROR(INDEX(Kampanyalar!$F$2:$F$150,MATCH(O102,Kampanyalar!$A$2:$A$150,0)),""))</f>
        <v/>
      </c>
      <c r="AN102" s="27">
        <f>IF(I102="","",IFERROR(INDEX(Kampanyalar!$G$2:$G$150,MATCH(O102,Kampanyalar!$A$2:$A$150,0)),""))</f>
        <v/>
      </c>
      <c r="AO102" s="26">
        <f>IF(OR(I102="",AL102="",AM102=""),"",IF(AND(H102&gt;=AL102,H102&lt;=AM102),"Evet","HAYIR - Tarih Dışı"))</f>
        <v/>
      </c>
      <c r="AP102" s="28">
        <f>IF(I102="","",IFERROR(INDEX(Kampanyalar!$H$2:$H$150,MATCH(O102,Kampanyalar!$A$2:$A$150,0)),""))</f>
        <v/>
      </c>
      <c r="AQ102" s="28">
        <f>IF(I102="","",IF(ISNUMBER(AP102),AP102,AD102))</f>
        <v/>
      </c>
      <c r="AR102" s="26">
        <f>IF(I102="","",IF(Parametreler!$C$7="Evet","Kural A - Hemen Ödeme (Stok Mutabakatlı)","Kural B - Nakliye/Montaj Sonrası Ödeme"))</f>
        <v/>
      </c>
    </row>
    <row r="103">
      <c r="A103" s="23" t="n"/>
      <c r="B103" s="23" t="n"/>
      <c r="C103" s="23" t="n"/>
      <c r="D103" s="23" t="n"/>
      <c r="E103" s="23" t="n"/>
      <c r="F103" s="23" t="n"/>
      <c r="G103" s="23" t="n"/>
      <c r="H103" s="24" t="n"/>
      <c r="I103" s="23" t="n"/>
      <c r="J103" s="23" t="n"/>
      <c r="K103" s="23" t="n"/>
      <c r="L103" s="23" t="n"/>
      <c r="M103" s="23" t="n"/>
      <c r="N103" s="23" t="n"/>
      <c r="O103" s="23" t="n"/>
      <c r="P103" s="23" t="n"/>
      <c r="Q103" s="23" t="n"/>
      <c r="R103" s="23" t="n"/>
      <c r="S103" s="23" t="n"/>
      <c r="T103" s="23" t="n"/>
      <c r="U103" s="23" t="n"/>
      <c r="V103" s="23" t="n"/>
      <c r="W103" s="23" t="n"/>
      <c r="X103" s="23" t="n"/>
      <c r="Y103" s="25" t="n"/>
      <c r="Z103" s="25" t="n"/>
      <c r="AA103" s="23" t="n"/>
      <c r="AB103" s="25" t="n"/>
      <c r="AC103" s="23" t="n"/>
      <c r="AD103" s="25" t="n"/>
      <c r="AE103" s="23" t="n"/>
      <c r="AF103" s="25" t="n"/>
      <c r="AG103" s="25" t="n"/>
      <c r="AH103" s="23" t="n"/>
      <c r="AI103" s="23" t="n"/>
      <c r="AJ103" s="26">
        <f>IF(I103="","",I103&amp;"|"&amp;R103)</f>
        <v/>
      </c>
      <c r="AK103" s="26">
        <f>IF(I103="","",IF(ISNA(MATCH(O103,Kampanyalar!$A$2:$A$150,0)),"Hayır - Kampanyalar'da Yok","Evet"))</f>
        <v/>
      </c>
      <c r="AL103" s="27">
        <f>IF(I103="","",IFERROR(INDEX(Kampanyalar!$E$2:$E$150,MATCH(O103,Kampanyalar!$A$2:$A$150,0)),""))</f>
        <v/>
      </c>
      <c r="AM103" s="27">
        <f>IF(I103="","",IFERROR(INDEX(Kampanyalar!$F$2:$F$150,MATCH(O103,Kampanyalar!$A$2:$A$150,0)),""))</f>
        <v/>
      </c>
      <c r="AN103" s="27">
        <f>IF(I103="","",IFERROR(INDEX(Kampanyalar!$G$2:$G$150,MATCH(O103,Kampanyalar!$A$2:$A$150,0)),""))</f>
        <v/>
      </c>
      <c r="AO103" s="26">
        <f>IF(OR(I103="",AL103="",AM103=""),"",IF(AND(H103&gt;=AL103,H103&lt;=AM103),"Evet","HAYIR - Tarih Dışı"))</f>
        <v/>
      </c>
      <c r="AP103" s="28">
        <f>IF(I103="","",IFERROR(INDEX(Kampanyalar!$H$2:$H$150,MATCH(O103,Kampanyalar!$A$2:$A$150,0)),""))</f>
        <v/>
      </c>
      <c r="AQ103" s="28">
        <f>IF(I103="","",IF(ISNUMBER(AP103),AP103,AD103))</f>
        <v/>
      </c>
      <c r="AR103" s="26">
        <f>IF(I103="","",IF(Parametreler!$C$7="Evet","Kural A - Hemen Ödeme (Stok Mutabakatlı)","Kural B - Nakliye/Montaj Sonrası Ödeme"))</f>
        <v/>
      </c>
    </row>
    <row r="104">
      <c r="A104" s="23" t="n"/>
      <c r="B104" s="23" t="n"/>
      <c r="C104" s="23" t="n"/>
      <c r="D104" s="23" t="n"/>
      <c r="E104" s="23" t="n"/>
      <c r="F104" s="23" t="n"/>
      <c r="G104" s="23" t="n"/>
      <c r="H104" s="24" t="n"/>
      <c r="I104" s="23" t="n"/>
      <c r="J104" s="23" t="n"/>
      <c r="K104" s="23" t="n"/>
      <c r="L104" s="23" t="n"/>
      <c r="M104" s="23" t="n"/>
      <c r="N104" s="23" t="n"/>
      <c r="O104" s="23" t="n"/>
      <c r="P104" s="23" t="n"/>
      <c r="Q104" s="23" t="n"/>
      <c r="R104" s="23" t="n"/>
      <c r="S104" s="23" t="n"/>
      <c r="T104" s="23" t="n"/>
      <c r="U104" s="23" t="n"/>
      <c r="V104" s="23" t="n"/>
      <c r="W104" s="23" t="n"/>
      <c r="X104" s="23" t="n"/>
      <c r="Y104" s="25" t="n"/>
      <c r="Z104" s="25" t="n"/>
      <c r="AA104" s="23" t="n"/>
      <c r="AB104" s="25" t="n"/>
      <c r="AC104" s="23" t="n"/>
      <c r="AD104" s="25" t="n"/>
      <c r="AE104" s="23" t="n"/>
      <c r="AF104" s="25" t="n"/>
      <c r="AG104" s="25" t="n"/>
      <c r="AH104" s="23" t="n"/>
      <c r="AI104" s="23" t="n"/>
      <c r="AJ104" s="26">
        <f>IF(I104="","",I104&amp;"|"&amp;R104)</f>
        <v/>
      </c>
      <c r="AK104" s="26">
        <f>IF(I104="","",IF(ISNA(MATCH(O104,Kampanyalar!$A$2:$A$150,0)),"Hayır - Kampanyalar'da Yok","Evet"))</f>
        <v/>
      </c>
      <c r="AL104" s="27">
        <f>IF(I104="","",IFERROR(INDEX(Kampanyalar!$E$2:$E$150,MATCH(O104,Kampanyalar!$A$2:$A$150,0)),""))</f>
        <v/>
      </c>
      <c r="AM104" s="27">
        <f>IF(I104="","",IFERROR(INDEX(Kampanyalar!$F$2:$F$150,MATCH(O104,Kampanyalar!$A$2:$A$150,0)),""))</f>
        <v/>
      </c>
      <c r="AN104" s="27">
        <f>IF(I104="","",IFERROR(INDEX(Kampanyalar!$G$2:$G$150,MATCH(O104,Kampanyalar!$A$2:$A$150,0)),""))</f>
        <v/>
      </c>
      <c r="AO104" s="26">
        <f>IF(OR(I104="",AL104="",AM104=""),"",IF(AND(H104&gt;=AL104,H104&lt;=AM104),"Evet","HAYIR - Tarih Dışı"))</f>
        <v/>
      </c>
      <c r="AP104" s="28">
        <f>IF(I104="","",IFERROR(INDEX(Kampanyalar!$H$2:$H$150,MATCH(O104,Kampanyalar!$A$2:$A$150,0)),""))</f>
        <v/>
      </c>
      <c r="AQ104" s="28">
        <f>IF(I104="","",IF(ISNUMBER(AP104),AP104,AD104))</f>
        <v/>
      </c>
      <c r="AR104" s="26">
        <f>IF(I104="","",IF(Parametreler!$C$7="Evet","Kural A - Hemen Ödeme (Stok Mutabakatlı)","Kural B - Nakliye/Montaj Sonrası Ödeme"))</f>
        <v/>
      </c>
    </row>
    <row r="105">
      <c r="A105" s="23" t="n"/>
      <c r="B105" s="23" t="n"/>
      <c r="C105" s="23" t="n"/>
      <c r="D105" s="23" t="n"/>
      <c r="E105" s="23" t="n"/>
      <c r="F105" s="23" t="n"/>
      <c r="G105" s="23" t="n"/>
      <c r="H105" s="24" t="n"/>
      <c r="I105" s="23" t="n"/>
      <c r="J105" s="23" t="n"/>
      <c r="K105" s="23" t="n"/>
      <c r="L105" s="23" t="n"/>
      <c r="M105" s="23" t="n"/>
      <c r="N105" s="23" t="n"/>
      <c r="O105" s="23" t="n"/>
      <c r="P105" s="23" t="n"/>
      <c r="Q105" s="23" t="n"/>
      <c r="R105" s="23" t="n"/>
      <c r="S105" s="23" t="n"/>
      <c r="T105" s="23" t="n"/>
      <c r="U105" s="23" t="n"/>
      <c r="V105" s="23" t="n"/>
      <c r="W105" s="23" t="n"/>
      <c r="X105" s="23" t="n"/>
      <c r="Y105" s="25" t="n"/>
      <c r="Z105" s="25" t="n"/>
      <c r="AA105" s="23" t="n"/>
      <c r="AB105" s="25" t="n"/>
      <c r="AC105" s="23" t="n"/>
      <c r="AD105" s="25" t="n"/>
      <c r="AE105" s="23" t="n"/>
      <c r="AF105" s="25" t="n"/>
      <c r="AG105" s="25" t="n"/>
      <c r="AH105" s="23" t="n"/>
      <c r="AI105" s="23" t="n"/>
      <c r="AJ105" s="26">
        <f>IF(I105="","",I105&amp;"|"&amp;R105)</f>
        <v/>
      </c>
      <c r="AK105" s="26">
        <f>IF(I105="","",IF(ISNA(MATCH(O105,Kampanyalar!$A$2:$A$150,0)),"Hayır - Kampanyalar'da Yok","Evet"))</f>
        <v/>
      </c>
      <c r="AL105" s="27">
        <f>IF(I105="","",IFERROR(INDEX(Kampanyalar!$E$2:$E$150,MATCH(O105,Kampanyalar!$A$2:$A$150,0)),""))</f>
        <v/>
      </c>
      <c r="AM105" s="27">
        <f>IF(I105="","",IFERROR(INDEX(Kampanyalar!$F$2:$F$150,MATCH(O105,Kampanyalar!$A$2:$A$150,0)),""))</f>
        <v/>
      </c>
      <c r="AN105" s="27">
        <f>IF(I105="","",IFERROR(INDEX(Kampanyalar!$G$2:$G$150,MATCH(O105,Kampanyalar!$A$2:$A$150,0)),""))</f>
        <v/>
      </c>
      <c r="AO105" s="26">
        <f>IF(OR(I105="",AL105="",AM105=""),"",IF(AND(H105&gt;=AL105,H105&lt;=AM105),"Evet","HAYIR - Tarih Dışı"))</f>
        <v/>
      </c>
      <c r="AP105" s="28">
        <f>IF(I105="","",IFERROR(INDEX(Kampanyalar!$H$2:$H$150,MATCH(O105,Kampanyalar!$A$2:$A$150,0)),""))</f>
        <v/>
      </c>
      <c r="AQ105" s="28">
        <f>IF(I105="","",IF(ISNUMBER(AP105),AP105,AD105))</f>
        <v/>
      </c>
      <c r="AR105" s="26">
        <f>IF(I105="","",IF(Parametreler!$C$7="Evet","Kural A - Hemen Ödeme (Stok Mutabakatlı)","Kural B - Nakliye/Montaj Sonrası Ödeme"))</f>
        <v/>
      </c>
    </row>
    <row r="106">
      <c r="A106" s="23" t="n"/>
      <c r="B106" s="23" t="n"/>
      <c r="C106" s="23" t="n"/>
      <c r="D106" s="23" t="n"/>
      <c r="E106" s="23" t="n"/>
      <c r="F106" s="23" t="n"/>
      <c r="G106" s="23" t="n"/>
      <c r="H106" s="24" t="n"/>
      <c r="I106" s="23" t="n"/>
      <c r="J106" s="23" t="n"/>
      <c r="K106" s="23" t="n"/>
      <c r="L106" s="23" t="n"/>
      <c r="M106" s="23" t="n"/>
      <c r="N106" s="23" t="n"/>
      <c r="O106" s="23" t="n"/>
      <c r="P106" s="23" t="n"/>
      <c r="Q106" s="23" t="n"/>
      <c r="R106" s="23" t="n"/>
      <c r="S106" s="23" t="n"/>
      <c r="T106" s="23" t="n"/>
      <c r="U106" s="23" t="n"/>
      <c r="V106" s="23" t="n"/>
      <c r="W106" s="23" t="n"/>
      <c r="X106" s="23" t="n"/>
      <c r="Y106" s="25" t="n"/>
      <c r="Z106" s="25" t="n"/>
      <c r="AA106" s="23" t="n"/>
      <c r="AB106" s="25" t="n"/>
      <c r="AC106" s="23" t="n"/>
      <c r="AD106" s="25" t="n"/>
      <c r="AE106" s="23" t="n"/>
      <c r="AF106" s="25" t="n"/>
      <c r="AG106" s="25" t="n"/>
      <c r="AH106" s="23" t="n"/>
      <c r="AI106" s="23" t="n"/>
      <c r="AJ106" s="26">
        <f>IF(I106="","",I106&amp;"|"&amp;R106)</f>
        <v/>
      </c>
      <c r="AK106" s="26">
        <f>IF(I106="","",IF(ISNA(MATCH(O106,Kampanyalar!$A$2:$A$150,0)),"Hayır - Kampanyalar'da Yok","Evet"))</f>
        <v/>
      </c>
      <c r="AL106" s="27">
        <f>IF(I106="","",IFERROR(INDEX(Kampanyalar!$E$2:$E$150,MATCH(O106,Kampanyalar!$A$2:$A$150,0)),""))</f>
        <v/>
      </c>
      <c r="AM106" s="27">
        <f>IF(I106="","",IFERROR(INDEX(Kampanyalar!$F$2:$F$150,MATCH(O106,Kampanyalar!$A$2:$A$150,0)),""))</f>
        <v/>
      </c>
      <c r="AN106" s="27">
        <f>IF(I106="","",IFERROR(INDEX(Kampanyalar!$G$2:$G$150,MATCH(O106,Kampanyalar!$A$2:$A$150,0)),""))</f>
        <v/>
      </c>
      <c r="AO106" s="26">
        <f>IF(OR(I106="",AL106="",AM106=""),"",IF(AND(H106&gt;=AL106,H106&lt;=AM106),"Evet","HAYIR - Tarih Dışı"))</f>
        <v/>
      </c>
      <c r="AP106" s="28">
        <f>IF(I106="","",IFERROR(INDEX(Kampanyalar!$H$2:$H$150,MATCH(O106,Kampanyalar!$A$2:$A$150,0)),""))</f>
        <v/>
      </c>
      <c r="AQ106" s="28">
        <f>IF(I106="","",IF(ISNUMBER(AP106),AP106,AD106))</f>
        <v/>
      </c>
      <c r="AR106" s="26">
        <f>IF(I106="","",IF(Parametreler!$C$7="Evet","Kural A - Hemen Ödeme (Stok Mutabakatlı)","Kural B - Nakliye/Montaj Sonrası Ödeme"))</f>
        <v/>
      </c>
    </row>
    <row r="107">
      <c r="A107" s="23" t="n"/>
      <c r="B107" s="23" t="n"/>
      <c r="C107" s="23" t="n"/>
      <c r="D107" s="23" t="n"/>
      <c r="E107" s="23" t="n"/>
      <c r="F107" s="23" t="n"/>
      <c r="G107" s="23" t="n"/>
      <c r="H107" s="24" t="n"/>
      <c r="I107" s="23" t="n"/>
      <c r="J107" s="23" t="n"/>
      <c r="K107" s="23" t="n"/>
      <c r="L107" s="23" t="n"/>
      <c r="M107" s="23" t="n"/>
      <c r="N107" s="23" t="n"/>
      <c r="O107" s="23" t="n"/>
      <c r="P107" s="23" t="n"/>
      <c r="Q107" s="23" t="n"/>
      <c r="R107" s="23" t="n"/>
      <c r="S107" s="23" t="n"/>
      <c r="T107" s="23" t="n"/>
      <c r="U107" s="23" t="n"/>
      <c r="V107" s="23" t="n"/>
      <c r="W107" s="23" t="n"/>
      <c r="X107" s="23" t="n"/>
      <c r="Y107" s="25" t="n"/>
      <c r="Z107" s="25" t="n"/>
      <c r="AA107" s="23" t="n"/>
      <c r="AB107" s="25" t="n"/>
      <c r="AC107" s="23" t="n"/>
      <c r="AD107" s="25" t="n"/>
      <c r="AE107" s="23" t="n"/>
      <c r="AF107" s="25" t="n"/>
      <c r="AG107" s="25" t="n"/>
      <c r="AH107" s="23" t="n"/>
      <c r="AI107" s="23" t="n"/>
      <c r="AJ107" s="26">
        <f>IF(I107="","",I107&amp;"|"&amp;R107)</f>
        <v/>
      </c>
      <c r="AK107" s="26">
        <f>IF(I107="","",IF(ISNA(MATCH(O107,Kampanyalar!$A$2:$A$150,0)),"Hayır - Kampanyalar'da Yok","Evet"))</f>
        <v/>
      </c>
      <c r="AL107" s="27">
        <f>IF(I107="","",IFERROR(INDEX(Kampanyalar!$E$2:$E$150,MATCH(O107,Kampanyalar!$A$2:$A$150,0)),""))</f>
        <v/>
      </c>
      <c r="AM107" s="27">
        <f>IF(I107="","",IFERROR(INDEX(Kampanyalar!$F$2:$F$150,MATCH(O107,Kampanyalar!$A$2:$A$150,0)),""))</f>
        <v/>
      </c>
      <c r="AN107" s="27">
        <f>IF(I107="","",IFERROR(INDEX(Kampanyalar!$G$2:$G$150,MATCH(O107,Kampanyalar!$A$2:$A$150,0)),""))</f>
        <v/>
      </c>
      <c r="AO107" s="26">
        <f>IF(OR(I107="",AL107="",AM107=""),"",IF(AND(H107&gt;=AL107,H107&lt;=AM107),"Evet","HAYIR - Tarih Dışı"))</f>
        <v/>
      </c>
      <c r="AP107" s="28">
        <f>IF(I107="","",IFERROR(INDEX(Kampanyalar!$H$2:$H$150,MATCH(O107,Kampanyalar!$A$2:$A$150,0)),""))</f>
        <v/>
      </c>
      <c r="AQ107" s="28">
        <f>IF(I107="","",IF(ISNUMBER(AP107),AP107,AD107))</f>
        <v/>
      </c>
      <c r="AR107" s="26">
        <f>IF(I107="","",IF(Parametreler!$C$7="Evet","Kural A - Hemen Ödeme (Stok Mutabakatlı)","Kural B - Nakliye/Montaj Sonrası Ödeme"))</f>
        <v/>
      </c>
    </row>
    <row r="108">
      <c r="A108" s="23" t="n"/>
      <c r="B108" s="23" t="n"/>
      <c r="C108" s="23" t="n"/>
      <c r="D108" s="23" t="n"/>
      <c r="E108" s="23" t="n"/>
      <c r="F108" s="23" t="n"/>
      <c r="G108" s="23" t="n"/>
      <c r="H108" s="24" t="n"/>
      <c r="I108" s="23" t="n"/>
      <c r="J108" s="23" t="n"/>
      <c r="K108" s="23" t="n"/>
      <c r="L108" s="23" t="n"/>
      <c r="M108" s="23" t="n"/>
      <c r="N108" s="23" t="n"/>
      <c r="O108" s="23" t="n"/>
      <c r="P108" s="23" t="n"/>
      <c r="Q108" s="23" t="n"/>
      <c r="R108" s="23" t="n"/>
      <c r="S108" s="23" t="n"/>
      <c r="T108" s="23" t="n"/>
      <c r="U108" s="23" t="n"/>
      <c r="V108" s="23" t="n"/>
      <c r="W108" s="23" t="n"/>
      <c r="X108" s="23" t="n"/>
      <c r="Y108" s="25" t="n"/>
      <c r="Z108" s="25" t="n"/>
      <c r="AA108" s="23" t="n"/>
      <c r="AB108" s="25" t="n"/>
      <c r="AC108" s="23" t="n"/>
      <c r="AD108" s="25" t="n"/>
      <c r="AE108" s="23" t="n"/>
      <c r="AF108" s="25" t="n"/>
      <c r="AG108" s="25" t="n"/>
      <c r="AH108" s="23" t="n"/>
      <c r="AI108" s="23" t="n"/>
      <c r="AJ108" s="26">
        <f>IF(I108="","",I108&amp;"|"&amp;R108)</f>
        <v/>
      </c>
      <c r="AK108" s="26">
        <f>IF(I108="","",IF(ISNA(MATCH(O108,Kampanyalar!$A$2:$A$150,0)),"Hayır - Kampanyalar'da Yok","Evet"))</f>
        <v/>
      </c>
      <c r="AL108" s="27">
        <f>IF(I108="","",IFERROR(INDEX(Kampanyalar!$E$2:$E$150,MATCH(O108,Kampanyalar!$A$2:$A$150,0)),""))</f>
        <v/>
      </c>
      <c r="AM108" s="27">
        <f>IF(I108="","",IFERROR(INDEX(Kampanyalar!$F$2:$F$150,MATCH(O108,Kampanyalar!$A$2:$A$150,0)),""))</f>
        <v/>
      </c>
      <c r="AN108" s="27">
        <f>IF(I108="","",IFERROR(INDEX(Kampanyalar!$G$2:$G$150,MATCH(O108,Kampanyalar!$A$2:$A$150,0)),""))</f>
        <v/>
      </c>
      <c r="AO108" s="26">
        <f>IF(OR(I108="",AL108="",AM108=""),"",IF(AND(H108&gt;=AL108,H108&lt;=AM108),"Evet","HAYIR - Tarih Dışı"))</f>
        <v/>
      </c>
      <c r="AP108" s="28">
        <f>IF(I108="","",IFERROR(INDEX(Kampanyalar!$H$2:$H$150,MATCH(O108,Kampanyalar!$A$2:$A$150,0)),""))</f>
        <v/>
      </c>
      <c r="AQ108" s="28">
        <f>IF(I108="","",IF(ISNUMBER(AP108),AP108,AD108))</f>
        <v/>
      </c>
      <c r="AR108" s="26">
        <f>IF(I108="","",IF(Parametreler!$C$7="Evet","Kural A - Hemen Ödeme (Stok Mutabakatlı)","Kural B - Nakliye/Montaj Sonrası Ödeme"))</f>
        <v/>
      </c>
    </row>
    <row r="109">
      <c r="A109" s="23" t="n"/>
      <c r="B109" s="23" t="n"/>
      <c r="C109" s="23" t="n"/>
      <c r="D109" s="23" t="n"/>
      <c r="E109" s="23" t="n"/>
      <c r="F109" s="23" t="n"/>
      <c r="G109" s="23" t="n"/>
      <c r="H109" s="24" t="n"/>
      <c r="I109" s="23" t="n"/>
      <c r="J109" s="23" t="n"/>
      <c r="K109" s="23" t="n"/>
      <c r="L109" s="23" t="n"/>
      <c r="M109" s="23" t="n"/>
      <c r="N109" s="23" t="n"/>
      <c r="O109" s="23" t="n"/>
      <c r="P109" s="23" t="n"/>
      <c r="Q109" s="23" t="n"/>
      <c r="R109" s="23" t="n"/>
      <c r="S109" s="23" t="n"/>
      <c r="T109" s="23" t="n"/>
      <c r="U109" s="23" t="n"/>
      <c r="V109" s="23" t="n"/>
      <c r="W109" s="23" t="n"/>
      <c r="X109" s="23" t="n"/>
      <c r="Y109" s="25" t="n"/>
      <c r="Z109" s="25" t="n"/>
      <c r="AA109" s="23" t="n"/>
      <c r="AB109" s="25" t="n"/>
      <c r="AC109" s="23" t="n"/>
      <c r="AD109" s="25" t="n"/>
      <c r="AE109" s="23" t="n"/>
      <c r="AF109" s="25" t="n"/>
      <c r="AG109" s="25" t="n"/>
      <c r="AH109" s="23" t="n"/>
      <c r="AI109" s="23" t="n"/>
      <c r="AJ109" s="26">
        <f>IF(I109="","",I109&amp;"|"&amp;R109)</f>
        <v/>
      </c>
      <c r="AK109" s="26">
        <f>IF(I109="","",IF(ISNA(MATCH(O109,Kampanyalar!$A$2:$A$150,0)),"Hayır - Kampanyalar'da Yok","Evet"))</f>
        <v/>
      </c>
      <c r="AL109" s="27">
        <f>IF(I109="","",IFERROR(INDEX(Kampanyalar!$E$2:$E$150,MATCH(O109,Kampanyalar!$A$2:$A$150,0)),""))</f>
        <v/>
      </c>
      <c r="AM109" s="27">
        <f>IF(I109="","",IFERROR(INDEX(Kampanyalar!$F$2:$F$150,MATCH(O109,Kampanyalar!$A$2:$A$150,0)),""))</f>
        <v/>
      </c>
      <c r="AN109" s="27">
        <f>IF(I109="","",IFERROR(INDEX(Kampanyalar!$G$2:$G$150,MATCH(O109,Kampanyalar!$A$2:$A$150,0)),""))</f>
        <v/>
      </c>
      <c r="AO109" s="26">
        <f>IF(OR(I109="",AL109="",AM109=""),"",IF(AND(H109&gt;=AL109,H109&lt;=AM109),"Evet","HAYIR - Tarih Dışı"))</f>
        <v/>
      </c>
      <c r="AP109" s="28">
        <f>IF(I109="","",IFERROR(INDEX(Kampanyalar!$H$2:$H$150,MATCH(O109,Kampanyalar!$A$2:$A$150,0)),""))</f>
        <v/>
      </c>
      <c r="AQ109" s="28">
        <f>IF(I109="","",IF(ISNUMBER(AP109),AP109,AD109))</f>
        <v/>
      </c>
      <c r="AR109" s="26">
        <f>IF(I109="","",IF(Parametreler!$C$7="Evet","Kural A - Hemen Ödeme (Stok Mutabakatlı)","Kural B - Nakliye/Montaj Sonrası Ödeme"))</f>
        <v/>
      </c>
    </row>
    <row r="110">
      <c r="A110" s="23" t="n"/>
      <c r="B110" s="23" t="n"/>
      <c r="C110" s="23" t="n"/>
      <c r="D110" s="23" t="n"/>
      <c r="E110" s="23" t="n"/>
      <c r="F110" s="23" t="n"/>
      <c r="G110" s="23" t="n"/>
      <c r="H110" s="24" t="n"/>
      <c r="I110" s="23" t="n"/>
      <c r="J110" s="23" t="n"/>
      <c r="K110" s="23" t="n"/>
      <c r="L110" s="23" t="n"/>
      <c r="M110" s="23" t="n"/>
      <c r="N110" s="23" t="n"/>
      <c r="O110" s="23" t="n"/>
      <c r="P110" s="23" t="n"/>
      <c r="Q110" s="23" t="n"/>
      <c r="R110" s="23" t="n"/>
      <c r="S110" s="23" t="n"/>
      <c r="T110" s="23" t="n"/>
      <c r="U110" s="23" t="n"/>
      <c r="V110" s="23" t="n"/>
      <c r="W110" s="23" t="n"/>
      <c r="X110" s="23" t="n"/>
      <c r="Y110" s="25" t="n"/>
      <c r="Z110" s="25" t="n"/>
      <c r="AA110" s="23" t="n"/>
      <c r="AB110" s="25" t="n"/>
      <c r="AC110" s="23" t="n"/>
      <c r="AD110" s="25" t="n"/>
      <c r="AE110" s="23" t="n"/>
      <c r="AF110" s="25" t="n"/>
      <c r="AG110" s="25" t="n"/>
      <c r="AH110" s="23" t="n"/>
      <c r="AI110" s="23" t="n"/>
      <c r="AJ110" s="26">
        <f>IF(I110="","",I110&amp;"|"&amp;R110)</f>
        <v/>
      </c>
      <c r="AK110" s="26">
        <f>IF(I110="","",IF(ISNA(MATCH(O110,Kampanyalar!$A$2:$A$150,0)),"Hayır - Kampanyalar'da Yok","Evet"))</f>
        <v/>
      </c>
      <c r="AL110" s="27">
        <f>IF(I110="","",IFERROR(INDEX(Kampanyalar!$E$2:$E$150,MATCH(O110,Kampanyalar!$A$2:$A$150,0)),""))</f>
        <v/>
      </c>
      <c r="AM110" s="27">
        <f>IF(I110="","",IFERROR(INDEX(Kampanyalar!$F$2:$F$150,MATCH(O110,Kampanyalar!$A$2:$A$150,0)),""))</f>
        <v/>
      </c>
      <c r="AN110" s="27">
        <f>IF(I110="","",IFERROR(INDEX(Kampanyalar!$G$2:$G$150,MATCH(O110,Kampanyalar!$A$2:$A$150,0)),""))</f>
        <v/>
      </c>
      <c r="AO110" s="26">
        <f>IF(OR(I110="",AL110="",AM110=""),"",IF(AND(H110&gt;=AL110,H110&lt;=AM110),"Evet","HAYIR - Tarih Dışı"))</f>
        <v/>
      </c>
      <c r="AP110" s="28">
        <f>IF(I110="","",IFERROR(INDEX(Kampanyalar!$H$2:$H$150,MATCH(O110,Kampanyalar!$A$2:$A$150,0)),""))</f>
        <v/>
      </c>
      <c r="AQ110" s="28">
        <f>IF(I110="","",IF(ISNUMBER(AP110),AP110,AD110))</f>
        <v/>
      </c>
      <c r="AR110" s="26">
        <f>IF(I110="","",IF(Parametreler!$C$7="Evet","Kural A - Hemen Ödeme (Stok Mutabakatlı)","Kural B - Nakliye/Montaj Sonrası Ödeme"))</f>
        <v/>
      </c>
    </row>
    <row r="111">
      <c r="A111" s="23" t="n"/>
      <c r="B111" s="23" t="n"/>
      <c r="C111" s="23" t="n"/>
      <c r="D111" s="23" t="n"/>
      <c r="E111" s="23" t="n"/>
      <c r="F111" s="23" t="n"/>
      <c r="G111" s="23" t="n"/>
      <c r="H111" s="24" t="n"/>
      <c r="I111" s="23" t="n"/>
      <c r="J111" s="23" t="n"/>
      <c r="K111" s="23" t="n"/>
      <c r="L111" s="23" t="n"/>
      <c r="M111" s="23" t="n"/>
      <c r="N111" s="23" t="n"/>
      <c r="O111" s="23" t="n"/>
      <c r="P111" s="23" t="n"/>
      <c r="Q111" s="23" t="n"/>
      <c r="R111" s="23" t="n"/>
      <c r="S111" s="23" t="n"/>
      <c r="T111" s="23" t="n"/>
      <c r="U111" s="23" t="n"/>
      <c r="V111" s="23" t="n"/>
      <c r="W111" s="23" t="n"/>
      <c r="X111" s="23" t="n"/>
      <c r="Y111" s="25" t="n"/>
      <c r="Z111" s="25" t="n"/>
      <c r="AA111" s="23" t="n"/>
      <c r="AB111" s="25" t="n"/>
      <c r="AC111" s="23" t="n"/>
      <c r="AD111" s="25" t="n"/>
      <c r="AE111" s="23" t="n"/>
      <c r="AF111" s="25" t="n"/>
      <c r="AG111" s="25" t="n"/>
      <c r="AH111" s="23" t="n"/>
      <c r="AI111" s="23" t="n"/>
      <c r="AJ111" s="26">
        <f>IF(I111="","",I111&amp;"|"&amp;R111)</f>
        <v/>
      </c>
      <c r="AK111" s="26">
        <f>IF(I111="","",IF(ISNA(MATCH(O111,Kampanyalar!$A$2:$A$150,0)),"Hayır - Kampanyalar'da Yok","Evet"))</f>
        <v/>
      </c>
      <c r="AL111" s="27">
        <f>IF(I111="","",IFERROR(INDEX(Kampanyalar!$E$2:$E$150,MATCH(O111,Kampanyalar!$A$2:$A$150,0)),""))</f>
        <v/>
      </c>
      <c r="AM111" s="27">
        <f>IF(I111="","",IFERROR(INDEX(Kampanyalar!$F$2:$F$150,MATCH(O111,Kampanyalar!$A$2:$A$150,0)),""))</f>
        <v/>
      </c>
      <c r="AN111" s="27">
        <f>IF(I111="","",IFERROR(INDEX(Kampanyalar!$G$2:$G$150,MATCH(O111,Kampanyalar!$A$2:$A$150,0)),""))</f>
        <v/>
      </c>
      <c r="AO111" s="26">
        <f>IF(OR(I111="",AL111="",AM111=""),"",IF(AND(H111&gt;=AL111,H111&lt;=AM111),"Evet","HAYIR - Tarih Dışı"))</f>
        <v/>
      </c>
      <c r="AP111" s="28">
        <f>IF(I111="","",IFERROR(INDEX(Kampanyalar!$H$2:$H$150,MATCH(O111,Kampanyalar!$A$2:$A$150,0)),""))</f>
        <v/>
      </c>
      <c r="AQ111" s="28">
        <f>IF(I111="","",IF(ISNUMBER(AP111),AP111,AD111))</f>
        <v/>
      </c>
      <c r="AR111" s="26">
        <f>IF(I111="","",IF(Parametreler!$C$7="Evet","Kural A - Hemen Ödeme (Stok Mutabakatlı)","Kural B - Nakliye/Montaj Sonrası Ödeme"))</f>
        <v/>
      </c>
    </row>
    <row r="112">
      <c r="A112" s="23" t="n"/>
      <c r="B112" s="23" t="n"/>
      <c r="C112" s="23" t="n"/>
      <c r="D112" s="23" t="n"/>
      <c r="E112" s="23" t="n"/>
      <c r="F112" s="23" t="n"/>
      <c r="G112" s="23" t="n"/>
      <c r="H112" s="24" t="n"/>
      <c r="I112" s="23" t="n"/>
      <c r="J112" s="23" t="n"/>
      <c r="K112" s="23" t="n"/>
      <c r="L112" s="23" t="n"/>
      <c r="M112" s="23" t="n"/>
      <c r="N112" s="23" t="n"/>
      <c r="O112" s="23" t="n"/>
      <c r="P112" s="23" t="n"/>
      <c r="Q112" s="23" t="n"/>
      <c r="R112" s="23" t="n"/>
      <c r="S112" s="23" t="n"/>
      <c r="T112" s="23" t="n"/>
      <c r="U112" s="23" t="n"/>
      <c r="V112" s="23" t="n"/>
      <c r="W112" s="23" t="n"/>
      <c r="X112" s="23" t="n"/>
      <c r="Y112" s="25" t="n"/>
      <c r="Z112" s="25" t="n"/>
      <c r="AA112" s="23" t="n"/>
      <c r="AB112" s="25" t="n"/>
      <c r="AC112" s="23" t="n"/>
      <c r="AD112" s="25" t="n"/>
      <c r="AE112" s="23" t="n"/>
      <c r="AF112" s="25" t="n"/>
      <c r="AG112" s="25" t="n"/>
      <c r="AH112" s="23" t="n"/>
      <c r="AI112" s="23" t="n"/>
      <c r="AJ112" s="26">
        <f>IF(I112="","",I112&amp;"|"&amp;R112)</f>
        <v/>
      </c>
      <c r="AK112" s="26">
        <f>IF(I112="","",IF(ISNA(MATCH(O112,Kampanyalar!$A$2:$A$150,0)),"Hayır - Kampanyalar'da Yok","Evet"))</f>
        <v/>
      </c>
      <c r="AL112" s="27">
        <f>IF(I112="","",IFERROR(INDEX(Kampanyalar!$E$2:$E$150,MATCH(O112,Kampanyalar!$A$2:$A$150,0)),""))</f>
        <v/>
      </c>
      <c r="AM112" s="27">
        <f>IF(I112="","",IFERROR(INDEX(Kampanyalar!$F$2:$F$150,MATCH(O112,Kampanyalar!$A$2:$A$150,0)),""))</f>
        <v/>
      </c>
      <c r="AN112" s="27">
        <f>IF(I112="","",IFERROR(INDEX(Kampanyalar!$G$2:$G$150,MATCH(O112,Kampanyalar!$A$2:$A$150,0)),""))</f>
        <v/>
      </c>
      <c r="AO112" s="26">
        <f>IF(OR(I112="",AL112="",AM112=""),"",IF(AND(H112&gt;=AL112,H112&lt;=AM112),"Evet","HAYIR - Tarih Dışı"))</f>
        <v/>
      </c>
      <c r="AP112" s="28">
        <f>IF(I112="","",IFERROR(INDEX(Kampanyalar!$H$2:$H$150,MATCH(O112,Kampanyalar!$A$2:$A$150,0)),""))</f>
        <v/>
      </c>
      <c r="AQ112" s="28">
        <f>IF(I112="","",IF(ISNUMBER(AP112),AP112,AD112))</f>
        <v/>
      </c>
      <c r="AR112" s="26">
        <f>IF(I112="","",IF(Parametreler!$C$7="Evet","Kural A - Hemen Ödeme (Stok Mutabakatlı)","Kural B - Nakliye/Montaj Sonrası Ödeme"))</f>
        <v/>
      </c>
    </row>
    <row r="113">
      <c r="A113" s="23" t="n"/>
      <c r="B113" s="23" t="n"/>
      <c r="C113" s="23" t="n"/>
      <c r="D113" s="23" t="n"/>
      <c r="E113" s="23" t="n"/>
      <c r="F113" s="23" t="n"/>
      <c r="G113" s="23" t="n"/>
      <c r="H113" s="24" t="n"/>
      <c r="I113" s="23" t="n"/>
      <c r="J113" s="23" t="n"/>
      <c r="K113" s="23" t="n"/>
      <c r="L113" s="23" t="n"/>
      <c r="M113" s="23" t="n"/>
      <c r="N113" s="23" t="n"/>
      <c r="O113" s="23" t="n"/>
      <c r="P113" s="23" t="n"/>
      <c r="Q113" s="23" t="n"/>
      <c r="R113" s="23" t="n"/>
      <c r="S113" s="23" t="n"/>
      <c r="T113" s="23" t="n"/>
      <c r="U113" s="23" t="n"/>
      <c r="V113" s="23" t="n"/>
      <c r="W113" s="23" t="n"/>
      <c r="X113" s="23" t="n"/>
      <c r="Y113" s="25" t="n"/>
      <c r="Z113" s="25" t="n"/>
      <c r="AA113" s="23" t="n"/>
      <c r="AB113" s="25" t="n"/>
      <c r="AC113" s="23" t="n"/>
      <c r="AD113" s="25" t="n"/>
      <c r="AE113" s="23" t="n"/>
      <c r="AF113" s="25" t="n"/>
      <c r="AG113" s="25" t="n"/>
      <c r="AH113" s="23" t="n"/>
      <c r="AI113" s="23" t="n"/>
      <c r="AJ113" s="26">
        <f>IF(I113="","",I113&amp;"|"&amp;R113)</f>
        <v/>
      </c>
      <c r="AK113" s="26">
        <f>IF(I113="","",IF(ISNA(MATCH(O113,Kampanyalar!$A$2:$A$150,0)),"Hayır - Kampanyalar'da Yok","Evet"))</f>
        <v/>
      </c>
      <c r="AL113" s="27">
        <f>IF(I113="","",IFERROR(INDEX(Kampanyalar!$E$2:$E$150,MATCH(O113,Kampanyalar!$A$2:$A$150,0)),""))</f>
        <v/>
      </c>
      <c r="AM113" s="27">
        <f>IF(I113="","",IFERROR(INDEX(Kampanyalar!$F$2:$F$150,MATCH(O113,Kampanyalar!$A$2:$A$150,0)),""))</f>
        <v/>
      </c>
      <c r="AN113" s="27">
        <f>IF(I113="","",IFERROR(INDEX(Kampanyalar!$G$2:$G$150,MATCH(O113,Kampanyalar!$A$2:$A$150,0)),""))</f>
        <v/>
      </c>
      <c r="AO113" s="26">
        <f>IF(OR(I113="",AL113="",AM113=""),"",IF(AND(H113&gt;=AL113,H113&lt;=AM113),"Evet","HAYIR - Tarih Dışı"))</f>
        <v/>
      </c>
      <c r="AP113" s="28">
        <f>IF(I113="","",IFERROR(INDEX(Kampanyalar!$H$2:$H$150,MATCH(O113,Kampanyalar!$A$2:$A$150,0)),""))</f>
        <v/>
      </c>
      <c r="AQ113" s="28">
        <f>IF(I113="","",IF(ISNUMBER(AP113),AP113,AD113))</f>
        <v/>
      </c>
      <c r="AR113" s="26">
        <f>IF(I113="","",IF(Parametreler!$C$7="Evet","Kural A - Hemen Ödeme (Stok Mutabakatlı)","Kural B - Nakliye/Montaj Sonrası Ödeme"))</f>
        <v/>
      </c>
    </row>
    <row r="114">
      <c r="A114" s="23" t="n"/>
      <c r="B114" s="23" t="n"/>
      <c r="C114" s="23" t="n"/>
      <c r="D114" s="23" t="n"/>
      <c r="E114" s="23" t="n"/>
      <c r="F114" s="23" t="n"/>
      <c r="G114" s="23" t="n"/>
      <c r="H114" s="24" t="n"/>
      <c r="I114" s="23" t="n"/>
      <c r="J114" s="23" t="n"/>
      <c r="K114" s="23" t="n"/>
      <c r="L114" s="23" t="n"/>
      <c r="M114" s="23" t="n"/>
      <c r="N114" s="23" t="n"/>
      <c r="O114" s="23" t="n"/>
      <c r="P114" s="23" t="n"/>
      <c r="Q114" s="23" t="n"/>
      <c r="R114" s="23" t="n"/>
      <c r="S114" s="23" t="n"/>
      <c r="T114" s="23" t="n"/>
      <c r="U114" s="23" t="n"/>
      <c r="V114" s="23" t="n"/>
      <c r="W114" s="23" t="n"/>
      <c r="X114" s="23" t="n"/>
      <c r="Y114" s="25" t="n"/>
      <c r="Z114" s="25" t="n"/>
      <c r="AA114" s="23" t="n"/>
      <c r="AB114" s="25" t="n"/>
      <c r="AC114" s="23" t="n"/>
      <c r="AD114" s="25" t="n"/>
      <c r="AE114" s="23" t="n"/>
      <c r="AF114" s="25" t="n"/>
      <c r="AG114" s="25" t="n"/>
      <c r="AH114" s="23" t="n"/>
      <c r="AI114" s="23" t="n"/>
      <c r="AJ114" s="26">
        <f>IF(I114="","",I114&amp;"|"&amp;R114)</f>
        <v/>
      </c>
      <c r="AK114" s="26">
        <f>IF(I114="","",IF(ISNA(MATCH(O114,Kampanyalar!$A$2:$A$150,0)),"Hayır - Kampanyalar'da Yok","Evet"))</f>
        <v/>
      </c>
      <c r="AL114" s="27">
        <f>IF(I114="","",IFERROR(INDEX(Kampanyalar!$E$2:$E$150,MATCH(O114,Kampanyalar!$A$2:$A$150,0)),""))</f>
        <v/>
      </c>
      <c r="AM114" s="27">
        <f>IF(I114="","",IFERROR(INDEX(Kampanyalar!$F$2:$F$150,MATCH(O114,Kampanyalar!$A$2:$A$150,0)),""))</f>
        <v/>
      </c>
      <c r="AN114" s="27">
        <f>IF(I114="","",IFERROR(INDEX(Kampanyalar!$G$2:$G$150,MATCH(O114,Kampanyalar!$A$2:$A$150,0)),""))</f>
        <v/>
      </c>
      <c r="AO114" s="26">
        <f>IF(OR(I114="",AL114="",AM114=""),"",IF(AND(H114&gt;=AL114,H114&lt;=AM114),"Evet","HAYIR - Tarih Dışı"))</f>
        <v/>
      </c>
      <c r="AP114" s="28">
        <f>IF(I114="","",IFERROR(INDEX(Kampanyalar!$H$2:$H$150,MATCH(O114,Kampanyalar!$A$2:$A$150,0)),""))</f>
        <v/>
      </c>
      <c r="AQ114" s="28">
        <f>IF(I114="","",IF(ISNUMBER(AP114),AP114,AD114))</f>
        <v/>
      </c>
      <c r="AR114" s="26">
        <f>IF(I114="","",IF(Parametreler!$C$7="Evet","Kural A - Hemen Ödeme (Stok Mutabakatlı)","Kural B - Nakliye/Montaj Sonrası Ödeme"))</f>
        <v/>
      </c>
    </row>
    <row r="115">
      <c r="A115" s="23" t="n"/>
      <c r="B115" s="23" t="n"/>
      <c r="C115" s="23" t="n"/>
      <c r="D115" s="23" t="n"/>
      <c r="E115" s="23" t="n"/>
      <c r="F115" s="23" t="n"/>
      <c r="G115" s="23" t="n"/>
      <c r="H115" s="24" t="n"/>
      <c r="I115" s="23" t="n"/>
      <c r="J115" s="23" t="n"/>
      <c r="K115" s="23" t="n"/>
      <c r="L115" s="23" t="n"/>
      <c r="M115" s="23" t="n"/>
      <c r="N115" s="23" t="n"/>
      <c r="O115" s="23" t="n"/>
      <c r="P115" s="23" t="n"/>
      <c r="Q115" s="23" t="n"/>
      <c r="R115" s="23" t="n"/>
      <c r="S115" s="23" t="n"/>
      <c r="T115" s="23" t="n"/>
      <c r="U115" s="23" t="n"/>
      <c r="V115" s="23" t="n"/>
      <c r="W115" s="23" t="n"/>
      <c r="X115" s="23" t="n"/>
      <c r="Y115" s="25" t="n"/>
      <c r="Z115" s="25" t="n"/>
      <c r="AA115" s="23" t="n"/>
      <c r="AB115" s="25" t="n"/>
      <c r="AC115" s="23" t="n"/>
      <c r="AD115" s="25" t="n"/>
      <c r="AE115" s="23" t="n"/>
      <c r="AF115" s="25" t="n"/>
      <c r="AG115" s="25" t="n"/>
      <c r="AH115" s="23" t="n"/>
      <c r="AI115" s="23" t="n"/>
      <c r="AJ115" s="26">
        <f>IF(I115="","",I115&amp;"|"&amp;R115)</f>
        <v/>
      </c>
      <c r="AK115" s="26">
        <f>IF(I115="","",IF(ISNA(MATCH(O115,Kampanyalar!$A$2:$A$150,0)),"Hayır - Kampanyalar'da Yok","Evet"))</f>
        <v/>
      </c>
      <c r="AL115" s="27">
        <f>IF(I115="","",IFERROR(INDEX(Kampanyalar!$E$2:$E$150,MATCH(O115,Kampanyalar!$A$2:$A$150,0)),""))</f>
        <v/>
      </c>
      <c r="AM115" s="27">
        <f>IF(I115="","",IFERROR(INDEX(Kampanyalar!$F$2:$F$150,MATCH(O115,Kampanyalar!$A$2:$A$150,0)),""))</f>
        <v/>
      </c>
      <c r="AN115" s="27">
        <f>IF(I115="","",IFERROR(INDEX(Kampanyalar!$G$2:$G$150,MATCH(O115,Kampanyalar!$A$2:$A$150,0)),""))</f>
        <v/>
      </c>
      <c r="AO115" s="26">
        <f>IF(OR(I115="",AL115="",AM115=""),"",IF(AND(H115&gt;=AL115,H115&lt;=AM115),"Evet","HAYIR - Tarih Dışı"))</f>
        <v/>
      </c>
      <c r="AP115" s="28">
        <f>IF(I115="","",IFERROR(INDEX(Kampanyalar!$H$2:$H$150,MATCH(O115,Kampanyalar!$A$2:$A$150,0)),""))</f>
        <v/>
      </c>
      <c r="AQ115" s="28">
        <f>IF(I115="","",IF(ISNUMBER(AP115),AP115,AD115))</f>
        <v/>
      </c>
      <c r="AR115" s="26">
        <f>IF(I115="","",IF(Parametreler!$C$7="Evet","Kural A - Hemen Ödeme (Stok Mutabakatlı)","Kural B - Nakliye/Montaj Sonrası Ödeme"))</f>
        <v/>
      </c>
    </row>
    <row r="116">
      <c r="A116" s="23" t="n"/>
      <c r="B116" s="23" t="n"/>
      <c r="C116" s="23" t="n"/>
      <c r="D116" s="23" t="n"/>
      <c r="E116" s="23" t="n"/>
      <c r="F116" s="23" t="n"/>
      <c r="G116" s="23" t="n"/>
      <c r="H116" s="24" t="n"/>
      <c r="I116" s="23" t="n"/>
      <c r="J116" s="23" t="n"/>
      <c r="K116" s="23" t="n"/>
      <c r="L116" s="23" t="n"/>
      <c r="M116" s="23" t="n"/>
      <c r="N116" s="23" t="n"/>
      <c r="O116" s="23" t="n"/>
      <c r="P116" s="23" t="n"/>
      <c r="Q116" s="23" t="n"/>
      <c r="R116" s="23" t="n"/>
      <c r="S116" s="23" t="n"/>
      <c r="T116" s="23" t="n"/>
      <c r="U116" s="23" t="n"/>
      <c r="V116" s="23" t="n"/>
      <c r="W116" s="23" t="n"/>
      <c r="X116" s="23" t="n"/>
      <c r="Y116" s="25" t="n"/>
      <c r="Z116" s="25" t="n"/>
      <c r="AA116" s="23" t="n"/>
      <c r="AB116" s="25" t="n"/>
      <c r="AC116" s="23" t="n"/>
      <c r="AD116" s="25" t="n"/>
      <c r="AE116" s="23" t="n"/>
      <c r="AF116" s="25" t="n"/>
      <c r="AG116" s="25" t="n"/>
      <c r="AH116" s="23" t="n"/>
      <c r="AI116" s="23" t="n"/>
      <c r="AJ116" s="26">
        <f>IF(I116="","",I116&amp;"|"&amp;R116)</f>
        <v/>
      </c>
      <c r="AK116" s="26">
        <f>IF(I116="","",IF(ISNA(MATCH(O116,Kampanyalar!$A$2:$A$150,0)),"Hayır - Kampanyalar'da Yok","Evet"))</f>
        <v/>
      </c>
      <c r="AL116" s="27">
        <f>IF(I116="","",IFERROR(INDEX(Kampanyalar!$E$2:$E$150,MATCH(O116,Kampanyalar!$A$2:$A$150,0)),""))</f>
        <v/>
      </c>
      <c r="AM116" s="27">
        <f>IF(I116="","",IFERROR(INDEX(Kampanyalar!$F$2:$F$150,MATCH(O116,Kampanyalar!$A$2:$A$150,0)),""))</f>
        <v/>
      </c>
      <c r="AN116" s="27">
        <f>IF(I116="","",IFERROR(INDEX(Kampanyalar!$G$2:$G$150,MATCH(O116,Kampanyalar!$A$2:$A$150,0)),""))</f>
        <v/>
      </c>
      <c r="AO116" s="26">
        <f>IF(OR(I116="",AL116="",AM116=""),"",IF(AND(H116&gt;=AL116,H116&lt;=AM116),"Evet","HAYIR - Tarih Dışı"))</f>
        <v/>
      </c>
      <c r="AP116" s="28">
        <f>IF(I116="","",IFERROR(INDEX(Kampanyalar!$H$2:$H$150,MATCH(O116,Kampanyalar!$A$2:$A$150,0)),""))</f>
        <v/>
      </c>
      <c r="AQ116" s="28">
        <f>IF(I116="","",IF(ISNUMBER(AP116),AP116,AD116))</f>
        <v/>
      </c>
      <c r="AR116" s="26">
        <f>IF(I116="","",IF(Parametreler!$C$7="Evet","Kural A - Hemen Ödeme (Stok Mutabakatlı)","Kural B - Nakliye/Montaj Sonrası Ödeme"))</f>
        <v/>
      </c>
    </row>
    <row r="117">
      <c r="A117" s="23" t="n"/>
      <c r="B117" s="23" t="n"/>
      <c r="C117" s="23" t="n"/>
      <c r="D117" s="23" t="n"/>
      <c r="E117" s="23" t="n"/>
      <c r="F117" s="23" t="n"/>
      <c r="G117" s="23" t="n"/>
      <c r="H117" s="24" t="n"/>
      <c r="I117" s="23" t="n"/>
      <c r="J117" s="23" t="n"/>
      <c r="K117" s="23" t="n"/>
      <c r="L117" s="23" t="n"/>
      <c r="M117" s="23" t="n"/>
      <c r="N117" s="23" t="n"/>
      <c r="O117" s="23" t="n"/>
      <c r="P117" s="23" t="n"/>
      <c r="Q117" s="23" t="n"/>
      <c r="R117" s="23" t="n"/>
      <c r="S117" s="23" t="n"/>
      <c r="T117" s="23" t="n"/>
      <c r="U117" s="23" t="n"/>
      <c r="V117" s="23" t="n"/>
      <c r="W117" s="23" t="n"/>
      <c r="X117" s="23" t="n"/>
      <c r="Y117" s="25" t="n"/>
      <c r="Z117" s="25" t="n"/>
      <c r="AA117" s="23" t="n"/>
      <c r="AB117" s="25" t="n"/>
      <c r="AC117" s="23" t="n"/>
      <c r="AD117" s="25" t="n"/>
      <c r="AE117" s="23" t="n"/>
      <c r="AF117" s="25" t="n"/>
      <c r="AG117" s="25" t="n"/>
      <c r="AH117" s="23" t="n"/>
      <c r="AI117" s="23" t="n"/>
      <c r="AJ117" s="26">
        <f>IF(I117="","",I117&amp;"|"&amp;R117)</f>
        <v/>
      </c>
      <c r="AK117" s="26">
        <f>IF(I117="","",IF(ISNA(MATCH(O117,Kampanyalar!$A$2:$A$150,0)),"Hayır - Kampanyalar'da Yok","Evet"))</f>
        <v/>
      </c>
      <c r="AL117" s="27">
        <f>IF(I117="","",IFERROR(INDEX(Kampanyalar!$E$2:$E$150,MATCH(O117,Kampanyalar!$A$2:$A$150,0)),""))</f>
        <v/>
      </c>
      <c r="AM117" s="27">
        <f>IF(I117="","",IFERROR(INDEX(Kampanyalar!$F$2:$F$150,MATCH(O117,Kampanyalar!$A$2:$A$150,0)),""))</f>
        <v/>
      </c>
      <c r="AN117" s="27">
        <f>IF(I117="","",IFERROR(INDEX(Kampanyalar!$G$2:$G$150,MATCH(O117,Kampanyalar!$A$2:$A$150,0)),""))</f>
        <v/>
      </c>
      <c r="AO117" s="26">
        <f>IF(OR(I117="",AL117="",AM117=""),"",IF(AND(H117&gt;=AL117,H117&lt;=AM117),"Evet","HAYIR - Tarih Dışı"))</f>
        <v/>
      </c>
      <c r="AP117" s="28">
        <f>IF(I117="","",IFERROR(INDEX(Kampanyalar!$H$2:$H$150,MATCH(O117,Kampanyalar!$A$2:$A$150,0)),""))</f>
        <v/>
      </c>
      <c r="AQ117" s="28">
        <f>IF(I117="","",IF(ISNUMBER(AP117),AP117,AD117))</f>
        <v/>
      </c>
      <c r="AR117" s="26">
        <f>IF(I117="","",IF(Parametreler!$C$7="Evet","Kural A - Hemen Ödeme (Stok Mutabakatlı)","Kural B - Nakliye/Montaj Sonrası Ödeme"))</f>
        <v/>
      </c>
    </row>
    <row r="118">
      <c r="A118" s="23" t="n"/>
      <c r="B118" s="23" t="n"/>
      <c r="C118" s="23" t="n"/>
      <c r="D118" s="23" t="n"/>
      <c r="E118" s="23" t="n"/>
      <c r="F118" s="23" t="n"/>
      <c r="G118" s="23" t="n"/>
      <c r="H118" s="24" t="n"/>
      <c r="I118" s="23" t="n"/>
      <c r="J118" s="23" t="n"/>
      <c r="K118" s="23" t="n"/>
      <c r="L118" s="23" t="n"/>
      <c r="M118" s="23" t="n"/>
      <c r="N118" s="23" t="n"/>
      <c r="O118" s="23" t="n"/>
      <c r="P118" s="23" t="n"/>
      <c r="Q118" s="23" t="n"/>
      <c r="R118" s="23" t="n"/>
      <c r="S118" s="23" t="n"/>
      <c r="T118" s="23" t="n"/>
      <c r="U118" s="23" t="n"/>
      <c r="V118" s="23" t="n"/>
      <c r="W118" s="23" t="n"/>
      <c r="X118" s="23" t="n"/>
      <c r="Y118" s="25" t="n"/>
      <c r="Z118" s="25" t="n"/>
      <c r="AA118" s="23" t="n"/>
      <c r="AB118" s="25" t="n"/>
      <c r="AC118" s="23" t="n"/>
      <c r="AD118" s="25" t="n"/>
      <c r="AE118" s="23" t="n"/>
      <c r="AF118" s="25" t="n"/>
      <c r="AG118" s="25" t="n"/>
      <c r="AH118" s="23" t="n"/>
      <c r="AI118" s="23" t="n"/>
      <c r="AJ118" s="26">
        <f>IF(I118="","",I118&amp;"|"&amp;R118)</f>
        <v/>
      </c>
      <c r="AK118" s="26">
        <f>IF(I118="","",IF(ISNA(MATCH(O118,Kampanyalar!$A$2:$A$150,0)),"Hayır - Kampanyalar'da Yok","Evet"))</f>
        <v/>
      </c>
      <c r="AL118" s="27">
        <f>IF(I118="","",IFERROR(INDEX(Kampanyalar!$E$2:$E$150,MATCH(O118,Kampanyalar!$A$2:$A$150,0)),""))</f>
        <v/>
      </c>
      <c r="AM118" s="27">
        <f>IF(I118="","",IFERROR(INDEX(Kampanyalar!$F$2:$F$150,MATCH(O118,Kampanyalar!$A$2:$A$150,0)),""))</f>
        <v/>
      </c>
      <c r="AN118" s="27">
        <f>IF(I118="","",IFERROR(INDEX(Kampanyalar!$G$2:$G$150,MATCH(O118,Kampanyalar!$A$2:$A$150,0)),""))</f>
        <v/>
      </c>
      <c r="AO118" s="26">
        <f>IF(OR(I118="",AL118="",AM118=""),"",IF(AND(H118&gt;=AL118,H118&lt;=AM118),"Evet","HAYIR - Tarih Dışı"))</f>
        <v/>
      </c>
      <c r="AP118" s="28">
        <f>IF(I118="","",IFERROR(INDEX(Kampanyalar!$H$2:$H$150,MATCH(O118,Kampanyalar!$A$2:$A$150,0)),""))</f>
        <v/>
      </c>
      <c r="AQ118" s="28">
        <f>IF(I118="","",IF(ISNUMBER(AP118),AP118,AD118))</f>
        <v/>
      </c>
      <c r="AR118" s="26">
        <f>IF(I118="","",IF(Parametreler!$C$7="Evet","Kural A - Hemen Ödeme (Stok Mutabakatlı)","Kural B - Nakliye/Montaj Sonrası Ödeme"))</f>
        <v/>
      </c>
    </row>
    <row r="119">
      <c r="A119" s="23" t="n"/>
      <c r="B119" s="23" t="n"/>
      <c r="C119" s="23" t="n"/>
      <c r="D119" s="23" t="n"/>
      <c r="E119" s="23" t="n"/>
      <c r="F119" s="23" t="n"/>
      <c r="G119" s="23" t="n"/>
      <c r="H119" s="24" t="n"/>
      <c r="I119" s="23" t="n"/>
      <c r="J119" s="23" t="n"/>
      <c r="K119" s="23" t="n"/>
      <c r="L119" s="23" t="n"/>
      <c r="M119" s="23" t="n"/>
      <c r="N119" s="23" t="n"/>
      <c r="O119" s="23" t="n"/>
      <c r="P119" s="23" t="n"/>
      <c r="Q119" s="23" t="n"/>
      <c r="R119" s="23" t="n"/>
      <c r="S119" s="23" t="n"/>
      <c r="T119" s="23" t="n"/>
      <c r="U119" s="23" t="n"/>
      <c r="V119" s="23" t="n"/>
      <c r="W119" s="23" t="n"/>
      <c r="X119" s="23" t="n"/>
      <c r="Y119" s="25" t="n"/>
      <c r="Z119" s="25" t="n"/>
      <c r="AA119" s="23" t="n"/>
      <c r="AB119" s="25" t="n"/>
      <c r="AC119" s="23" t="n"/>
      <c r="AD119" s="25" t="n"/>
      <c r="AE119" s="23" t="n"/>
      <c r="AF119" s="25" t="n"/>
      <c r="AG119" s="25" t="n"/>
      <c r="AH119" s="23" t="n"/>
      <c r="AI119" s="23" t="n"/>
      <c r="AJ119" s="26">
        <f>IF(I119="","",I119&amp;"|"&amp;R119)</f>
        <v/>
      </c>
      <c r="AK119" s="26">
        <f>IF(I119="","",IF(ISNA(MATCH(O119,Kampanyalar!$A$2:$A$150,0)),"Hayır - Kampanyalar'da Yok","Evet"))</f>
        <v/>
      </c>
      <c r="AL119" s="27">
        <f>IF(I119="","",IFERROR(INDEX(Kampanyalar!$E$2:$E$150,MATCH(O119,Kampanyalar!$A$2:$A$150,0)),""))</f>
        <v/>
      </c>
      <c r="AM119" s="27">
        <f>IF(I119="","",IFERROR(INDEX(Kampanyalar!$F$2:$F$150,MATCH(O119,Kampanyalar!$A$2:$A$150,0)),""))</f>
        <v/>
      </c>
      <c r="AN119" s="27">
        <f>IF(I119="","",IFERROR(INDEX(Kampanyalar!$G$2:$G$150,MATCH(O119,Kampanyalar!$A$2:$A$150,0)),""))</f>
        <v/>
      </c>
      <c r="AO119" s="26">
        <f>IF(OR(I119="",AL119="",AM119=""),"",IF(AND(H119&gt;=AL119,H119&lt;=AM119),"Evet","HAYIR - Tarih Dışı"))</f>
        <v/>
      </c>
      <c r="AP119" s="28">
        <f>IF(I119="","",IFERROR(INDEX(Kampanyalar!$H$2:$H$150,MATCH(O119,Kampanyalar!$A$2:$A$150,0)),""))</f>
        <v/>
      </c>
      <c r="AQ119" s="28">
        <f>IF(I119="","",IF(ISNUMBER(AP119),AP119,AD119))</f>
        <v/>
      </c>
      <c r="AR119" s="26">
        <f>IF(I119="","",IF(Parametreler!$C$7="Evet","Kural A - Hemen Ödeme (Stok Mutabakatlı)","Kural B - Nakliye/Montaj Sonrası Ödeme"))</f>
        <v/>
      </c>
    </row>
    <row r="120">
      <c r="A120" s="23" t="n"/>
      <c r="B120" s="23" t="n"/>
      <c r="C120" s="23" t="n"/>
      <c r="D120" s="23" t="n"/>
      <c r="E120" s="23" t="n"/>
      <c r="F120" s="23" t="n"/>
      <c r="G120" s="23" t="n"/>
      <c r="H120" s="24" t="n"/>
      <c r="I120" s="23" t="n"/>
      <c r="J120" s="23" t="n"/>
      <c r="K120" s="23" t="n"/>
      <c r="L120" s="23" t="n"/>
      <c r="M120" s="23" t="n"/>
      <c r="N120" s="23" t="n"/>
      <c r="O120" s="23" t="n"/>
      <c r="P120" s="23" t="n"/>
      <c r="Q120" s="23" t="n"/>
      <c r="R120" s="23" t="n"/>
      <c r="S120" s="23" t="n"/>
      <c r="T120" s="23" t="n"/>
      <c r="U120" s="23" t="n"/>
      <c r="V120" s="23" t="n"/>
      <c r="W120" s="23" t="n"/>
      <c r="X120" s="23" t="n"/>
      <c r="Y120" s="25" t="n"/>
      <c r="Z120" s="25" t="n"/>
      <c r="AA120" s="23" t="n"/>
      <c r="AB120" s="25" t="n"/>
      <c r="AC120" s="23" t="n"/>
      <c r="AD120" s="25" t="n"/>
      <c r="AE120" s="23" t="n"/>
      <c r="AF120" s="25" t="n"/>
      <c r="AG120" s="25" t="n"/>
      <c r="AH120" s="23" t="n"/>
      <c r="AI120" s="23" t="n"/>
      <c r="AJ120" s="26">
        <f>IF(I120="","",I120&amp;"|"&amp;R120)</f>
        <v/>
      </c>
      <c r="AK120" s="26">
        <f>IF(I120="","",IF(ISNA(MATCH(O120,Kampanyalar!$A$2:$A$150,0)),"Hayır - Kampanyalar'da Yok","Evet"))</f>
        <v/>
      </c>
      <c r="AL120" s="27">
        <f>IF(I120="","",IFERROR(INDEX(Kampanyalar!$E$2:$E$150,MATCH(O120,Kampanyalar!$A$2:$A$150,0)),""))</f>
        <v/>
      </c>
      <c r="AM120" s="27">
        <f>IF(I120="","",IFERROR(INDEX(Kampanyalar!$F$2:$F$150,MATCH(O120,Kampanyalar!$A$2:$A$150,0)),""))</f>
        <v/>
      </c>
      <c r="AN120" s="27">
        <f>IF(I120="","",IFERROR(INDEX(Kampanyalar!$G$2:$G$150,MATCH(O120,Kampanyalar!$A$2:$A$150,0)),""))</f>
        <v/>
      </c>
      <c r="AO120" s="26">
        <f>IF(OR(I120="",AL120="",AM120=""),"",IF(AND(H120&gt;=AL120,H120&lt;=AM120),"Evet","HAYIR - Tarih Dışı"))</f>
        <v/>
      </c>
      <c r="AP120" s="28">
        <f>IF(I120="","",IFERROR(INDEX(Kampanyalar!$H$2:$H$150,MATCH(O120,Kampanyalar!$A$2:$A$150,0)),""))</f>
        <v/>
      </c>
      <c r="AQ120" s="28">
        <f>IF(I120="","",IF(ISNUMBER(AP120),AP120,AD120))</f>
        <v/>
      </c>
      <c r="AR120" s="26">
        <f>IF(I120="","",IF(Parametreler!$C$7="Evet","Kural A - Hemen Ödeme (Stok Mutabakatlı)","Kural B - Nakliye/Montaj Sonrası Ödeme"))</f>
        <v/>
      </c>
    </row>
    <row r="121">
      <c r="A121" s="23" t="n"/>
      <c r="B121" s="23" t="n"/>
      <c r="C121" s="23" t="n"/>
      <c r="D121" s="23" t="n"/>
      <c r="E121" s="23" t="n"/>
      <c r="F121" s="23" t="n"/>
      <c r="G121" s="23" t="n"/>
      <c r="H121" s="24" t="n"/>
      <c r="I121" s="23" t="n"/>
      <c r="J121" s="23" t="n"/>
      <c r="K121" s="23" t="n"/>
      <c r="L121" s="23" t="n"/>
      <c r="M121" s="23" t="n"/>
      <c r="N121" s="23" t="n"/>
      <c r="O121" s="23" t="n"/>
      <c r="P121" s="23" t="n"/>
      <c r="Q121" s="23" t="n"/>
      <c r="R121" s="23" t="n"/>
      <c r="S121" s="23" t="n"/>
      <c r="T121" s="23" t="n"/>
      <c r="U121" s="23" t="n"/>
      <c r="V121" s="23" t="n"/>
      <c r="W121" s="23" t="n"/>
      <c r="X121" s="23" t="n"/>
      <c r="Y121" s="25" t="n"/>
      <c r="Z121" s="25" t="n"/>
      <c r="AA121" s="23" t="n"/>
      <c r="AB121" s="25" t="n"/>
      <c r="AC121" s="23" t="n"/>
      <c r="AD121" s="25" t="n"/>
      <c r="AE121" s="23" t="n"/>
      <c r="AF121" s="25" t="n"/>
      <c r="AG121" s="25" t="n"/>
      <c r="AH121" s="23" t="n"/>
      <c r="AI121" s="23" t="n"/>
      <c r="AJ121" s="26">
        <f>IF(I121="","",I121&amp;"|"&amp;R121)</f>
        <v/>
      </c>
      <c r="AK121" s="26">
        <f>IF(I121="","",IF(ISNA(MATCH(O121,Kampanyalar!$A$2:$A$150,0)),"Hayır - Kampanyalar'da Yok","Evet"))</f>
        <v/>
      </c>
      <c r="AL121" s="27">
        <f>IF(I121="","",IFERROR(INDEX(Kampanyalar!$E$2:$E$150,MATCH(O121,Kampanyalar!$A$2:$A$150,0)),""))</f>
        <v/>
      </c>
      <c r="AM121" s="27">
        <f>IF(I121="","",IFERROR(INDEX(Kampanyalar!$F$2:$F$150,MATCH(O121,Kampanyalar!$A$2:$A$150,0)),""))</f>
        <v/>
      </c>
      <c r="AN121" s="27">
        <f>IF(I121="","",IFERROR(INDEX(Kampanyalar!$G$2:$G$150,MATCH(O121,Kampanyalar!$A$2:$A$150,0)),""))</f>
        <v/>
      </c>
      <c r="AO121" s="26">
        <f>IF(OR(I121="",AL121="",AM121=""),"",IF(AND(H121&gt;=AL121,H121&lt;=AM121),"Evet","HAYIR - Tarih Dışı"))</f>
        <v/>
      </c>
      <c r="AP121" s="28">
        <f>IF(I121="","",IFERROR(INDEX(Kampanyalar!$H$2:$H$150,MATCH(O121,Kampanyalar!$A$2:$A$150,0)),""))</f>
        <v/>
      </c>
      <c r="AQ121" s="28">
        <f>IF(I121="","",IF(ISNUMBER(AP121),AP121,AD121))</f>
        <v/>
      </c>
      <c r="AR121" s="26">
        <f>IF(I121="","",IF(Parametreler!$C$7="Evet","Kural A - Hemen Ödeme (Stok Mutabakatlı)","Kural B - Nakliye/Montaj Sonrası Ödeme"))</f>
        <v/>
      </c>
    </row>
    <row r="122">
      <c r="A122" s="23" t="n"/>
      <c r="B122" s="23" t="n"/>
      <c r="C122" s="23" t="n"/>
      <c r="D122" s="23" t="n"/>
      <c r="E122" s="23" t="n"/>
      <c r="F122" s="23" t="n"/>
      <c r="G122" s="23" t="n"/>
      <c r="H122" s="24" t="n"/>
      <c r="I122" s="23" t="n"/>
      <c r="J122" s="23" t="n"/>
      <c r="K122" s="23" t="n"/>
      <c r="L122" s="23" t="n"/>
      <c r="M122" s="23" t="n"/>
      <c r="N122" s="23" t="n"/>
      <c r="O122" s="23" t="n"/>
      <c r="P122" s="23" t="n"/>
      <c r="Q122" s="23" t="n"/>
      <c r="R122" s="23" t="n"/>
      <c r="S122" s="23" t="n"/>
      <c r="T122" s="23" t="n"/>
      <c r="U122" s="23" t="n"/>
      <c r="V122" s="23" t="n"/>
      <c r="W122" s="23" t="n"/>
      <c r="X122" s="23" t="n"/>
      <c r="Y122" s="25" t="n"/>
      <c r="Z122" s="25" t="n"/>
      <c r="AA122" s="23" t="n"/>
      <c r="AB122" s="25" t="n"/>
      <c r="AC122" s="23" t="n"/>
      <c r="AD122" s="25" t="n"/>
      <c r="AE122" s="23" t="n"/>
      <c r="AF122" s="25" t="n"/>
      <c r="AG122" s="25" t="n"/>
      <c r="AH122" s="23" t="n"/>
      <c r="AI122" s="23" t="n"/>
      <c r="AJ122" s="26">
        <f>IF(I122="","",I122&amp;"|"&amp;R122)</f>
        <v/>
      </c>
      <c r="AK122" s="26">
        <f>IF(I122="","",IF(ISNA(MATCH(O122,Kampanyalar!$A$2:$A$150,0)),"Hayır - Kampanyalar'da Yok","Evet"))</f>
        <v/>
      </c>
      <c r="AL122" s="27">
        <f>IF(I122="","",IFERROR(INDEX(Kampanyalar!$E$2:$E$150,MATCH(O122,Kampanyalar!$A$2:$A$150,0)),""))</f>
        <v/>
      </c>
      <c r="AM122" s="27">
        <f>IF(I122="","",IFERROR(INDEX(Kampanyalar!$F$2:$F$150,MATCH(O122,Kampanyalar!$A$2:$A$150,0)),""))</f>
        <v/>
      </c>
      <c r="AN122" s="27">
        <f>IF(I122="","",IFERROR(INDEX(Kampanyalar!$G$2:$G$150,MATCH(O122,Kampanyalar!$A$2:$A$150,0)),""))</f>
        <v/>
      </c>
      <c r="AO122" s="26">
        <f>IF(OR(I122="",AL122="",AM122=""),"",IF(AND(H122&gt;=AL122,H122&lt;=AM122),"Evet","HAYIR - Tarih Dışı"))</f>
        <v/>
      </c>
      <c r="AP122" s="28">
        <f>IF(I122="","",IFERROR(INDEX(Kampanyalar!$H$2:$H$150,MATCH(O122,Kampanyalar!$A$2:$A$150,0)),""))</f>
        <v/>
      </c>
      <c r="AQ122" s="28">
        <f>IF(I122="","",IF(ISNUMBER(AP122),AP122,AD122))</f>
        <v/>
      </c>
      <c r="AR122" s="26">
        <f>IF(I122="","",IF(Parametreler!$C$7="Evet","Kural A - Hemen Ödeme (Stok Mutabakatlı)","Kural B - Nakliye/Montaj Sonrası Ödeme"))</f>
        <v/>
      </c>
    </row>
    <row r="123">
      <c r="A123" s="23" t="n"/>
      <c r="B123" s="23" t="n"/>
      <c r="C123" s="23" t="n"/>
      <c r="D123" s="23" t="n"/>
      <c r="E123" s="23" t="n"/>
      <c r="F123" s="23" t="n"/>
      <c r="G123" s="23" t="n"/>
      <c r="H123" s="24" t="n"/>
      <c r="I123" s="23" t="n"/>
      <c r="J123" s="23" t="n"/>
      <c r="K123" s="23" t="n"/>
      <c r="L123" s="23" t="n"/>
      <c r="M123" s="23" t="n"/>
      <c r="N123" s="23" t="n"/>
      <c r="O123" s="23" t="n"/>
      <c r="P123" s="23" t="n"/>
      <c r="Q123" s="23" t="n"/>
      <c r="R123" s="23" t="n"/>
      <c r="S123" s="23" t="n"/>
      <c r="T123" s="23" t="n"/>
      <c r="U123" s="23" t="n"/>
      <c r="V123" s="23" t="n"/>
      <c r="W123" s="23" t="n"/>
      <c r="X123" s="23" t="n"/>
      <c r="Y123" s="25" t="n"/>
      <c r="Z123" s="25" t="n"/>
      <c r="AA123" s="23" t="n"/>
      <c r="AB123" s="25" t="n"/>
      <c r="AC123" s="23" t="n"/>
      <c r="AD123" s="25" t="n"/>
      <c r="AE123" s="23" t="n"/>
      <c r="AF123" s="25" t="n"/>
      <c r="AG123" s="25" t="n"/>
      <c r="AH123" s="23" t="n"/>
      <c r="AI123" s="23" t="n"/>
      <c r="AJ123" s="26">
        <f>IF(I123="","",I123&amp;"|"&amp;R123)</f>
        <v/>
      </c>
      <c r="AK123" s="26">
        <f>IF(I123="","",IF(ISNA(MATCH(O123,Kampanyalar!$A$2:$A$150,0)),"Hayır - Kampanyalar'da Yok","Evet"))</f>
        <v/>
      </c>
      <c r="AL123" s="27">
        <f>IF(I123="","",IFERROR(INDEX(Kampanyalar!$E$2:$E$150,MATCH(O123,Kampanyalar!$A$2:$A$150,0)),""))</f>
        <v/>
      </c>
      <c r="AM123" s="27">
        <f>IF(I123="","",IFERROR(INDEX(Kampanyalar!$F$2:$F$150,MATCH(O123,Kampanyalar!$A$2:$A$150,0)),""))</f>
        <v/>
      </c>
      <c r="AN123" s="27">
        <f>IF(I123="","",IFERROR(INDEX(Kampanyalar!$G$2:$G$150,MATCH(O123,Kampanyalar!$A$2:$A$150,0)),""))</f>
        <v/>
      </c>
      <c r="AO123" s="26">
        <f>IF(OR(I123="",AL123="",AM123=""),"",IF(AND(H123&gt;=AL123,H123&lt;=AM123),"Evet","HAYIR - Tarih Dışı"))</f>
        <v/>
      </c>
      <c r="AP123" s="28">
        <f>IF(I123="","",IFERROR(INDEX(Kampanyalar!$H$2:$H$150,MATCH(O123,Kampanyalar!$A$2:$A$150,0)),""))</f>
        <v/>
      </c>
      <c r="AQ123" s="28">
        <f>IF(I123="","",IF(ISNUMBER(AP123),AP123,AD123))</f>
        <v/>
      </c>
      <c r="AR123" s="26">
        <f>IF(I123="","",IF(Parametreler!$C$7="Evet","Kural A - Hemen Ödeme (Stok Mutabakatlı)","Kural B - Nakliye/Montaj Sonrası Ödeme"))</f>
        <v/>
      </c>
    </row>
    <row r="124">
      <c r="A124" s="23" t="n"/>
      <c r="B124" s="23" t="n"/>
      <c r="C124" s="23" t="n"/>
      <c r="D124" s="23" t="n"/>
      <c r="E124" s="23" t="n"/>
      <c r="F124" s="23" t="n"/>
      <c r="G124" s="23" t="n"/>
      <c r="H124" s="24" t="n"/>
      <c r="I124" s="23" t="n"/>
      <c r="J124" s="23" t="n"/>
      <c r="K124" s="23" t="n"/>
      <c r="L124" s="23" t="n"/>
      <c r="M124" s="23" t="n"/>
      <c r="N124" s="23" t="n"/>
      <c r="O124" s="23" t="n"/>
      <c r="P124" s="23" t="n"/>
      <c r="Q124" s="23" t="n"/>
      <c r="R124" s="23" t="n"/>
      <c r="S124" s="23" t="n"/>
      <c r="T124" s="23" t="n"/>
      <c r="U124" s="23" t="n"/>
      <c r="V124" s="23" t="n"/>
      <c r="W124" s="23" t="n"/>
      <c r="X124" s="23" t="n"/>
      <c r="Y124" s="25" t="n"/>
      <c r="Z124" s="25" t="n"/>
      <c r="AA124" s="23" t="n"/>
      <c r="AB124" s="25" t="n"/>
      <c r="AC124" s="23" t="n"/>
      <c r="AD124" s="25" t="n"/>
      <c r="AE124" s="23" t="n"/>
      <c r="AF124" s="25" t="n"/>
      <c r="AG124" s="25" t="n"/>
      <c r="AH124" s="23" t="n"/>
      <c r="AI124" s="23" t="n"/>
      <c r="AJ124" s="26">
        <f>IF(I124="","",I124&amp;"|"&amp;R124)</f>
        <v/>
      </c>
      <c r="AK124" s="26">
        <f>IF(I124="","",IF(ISNA(MATCH(O124,Kampanyalar!$A$2:$A$150,0)),"Hayır - Kampanyalar'da Yok","Evet"))</f>
        <v/>
      </c>
      <c r="AL124" s="27">
        <f>IF(I124="","",IFERROR(INDEX(Kampanyalar!$E$2:$E$150,MATCH(O124,Kampanyalar!$A$2:$A$150,0)),""))</f>
        <v/>
      </c>
      <c r="AM124" s="27">
        <f>IF(I124="","",IFERROR(INDEX(Kampanyalar!$F$2:$F$150,MATCH(O124,Kampanyalar!$A$2:$A$150,0)),""))</f>
        <v/>
      </c>
      <c r="AN124" s="27">
        <f>IF(I124="","",IFERROR(INDEX(Kampanyalar!$G$2:$G$150,MATCH(O124,Kampanyalar!$A$2:$A$150,0)),""))</f>
        <v/>
      </c>
      <c r="AO124" s="26">
        <f>IF(OR(I124="",AL124="",AM124=""),"",IF(AND(H124&gt;=AL124,H124&lt;=AM124),"Evet","HAYIR - Tarih Dışı"))</f>
        <v/>
      </c>
      <c r="AP124" s="28">
        <f>IF(I124="","",IFERROR(INDEX(Kampanyalar!$H$2:$H$150,MATCH(O124,Kampanyalar!$A$2:$A$150,0)),""))</f>
        <v/>
      </c>
      <c r="AQ124" s="28">
        <f>IF(I124="","",IF(ISNUMBER(AP124),AP124,AD124))</f>
        <v/>
      </c>
      <c r="AR124" s="26">
        <f>IF(I124="","",IF(Parametreler!$C$7="Evet","Kural A - Hemen Ödeme (Stok Mutabakatlı)","Kural B - Nakliye/Montaj Sonrası Ödeme"))</f>
        <v/>
      </c>
    </row>
    <row r="125">
      <c r="A125" s="23" t="n"/>
      <c r="B125" s="23" t="n"/>
      <c r="C125" s="23" t="n"/>
      <c r="D125" s="23" t="n"/>
      <c r="E125" s="23" t="n"/>
      <c r="F125" s="23" t="n"/>
      <c r="G125" s="23" t="n"/>
      <c r="H125" s="24" t="n"/>
      <c r="I125" s="23" t="n"/>
      <c r="J125" s="23" t="n"/>
      <c r="K125" s="23" t="n"/>
      <c r="L125" s="23" t="n"/>
      <c r="M125" s="23" t="n"/>
      <c r="N125" s="23" t="n"/>
      <c r="O125" s="23" t="n"/>
      <c r="P125" s="23" t="n"/>
      <c r="Q125" s="23" t="n"/>
      <c r="R125" s="23" t="n"/>
      <c r="S125" s="23" t="n"/>
      <c r="T125" s="23" t="n"/>
      <c r="U125" s="23" t="n"/>
      <c r="V125" s="23" t="n"/>
      <c r="W125" s="23" t="n"/>
      <c r="X125" s="23" t="n"/>
      <c r="Y125" s="25" t="n"/>
      <c r="Z125" s="25" t="n"/>
      <c r="AA125" s="23" t="n"/>
      <c r="AB125" s="25" t="n"/>
      <c r="AC125" s="23" t="n"/>
      <c r="AD125" s="25" t="n"/>
      <c r="AE125" s="23" t="n"/>
      <c r="AF125" s="25" t="n"/>
      <c r="AG125" s="25" t="n"/>
      <c r="AH125" s="23" t="n"/>
      <c r="AI125" s="23" t="n"/>
      <c r="AJ125" s="26">
        <f>IF(I125="","",I125&amp;"|"&amp;R125)</f>
        <v/>
      </c>
      <c r="AK125" s="26">
        <f>IF(I125="","",IF(ISNA(MATCH(O125,Kampanyalar!$A$2:$A$150,0)),"Hayır - Kampanyalar'da Yok","Evet"))</f>
        <v/>
      </c>
      <c r="AL125" s="27">
        <f>IF(I125="","",IFERROR(INDEX(Kampanyalar!$E$2:$E$150,MATCH(O125,Kampanyalar!$A$2:$A$150,0)),""))</f>
        <v/>
      </c>
      <c r="AM125" s="27">
        <f>IF(I125="","",IFERROR(INDEX(Kampanyalar!$F$2:$F$150,MATCH(O125,Kampanyalar!$A$2:$A$150,0)),""))</f>
        <v/>
      </c>
      <c r="AN125" s="27">
        <f>IF(I125="","",IFERROR(INDEX(Kampanyalar!$G$2:$G$150,MATCH(O125,Kampanyalar!$A$2:$A$150,0)),""))</f>
        <v/>
      </c>
      <c r="AO125" s="26">
        <f>IF(OR(I125="",AL125="",AM125=""),"",IF(AND(H125&gt;=AL125,H125&lt;=AM125),"Evet","HAYIR - Tarih Dışı"))</f>
        <v/>
      </c>
      <c r="AP125" s="28">
        <f>IF(I125="","",IFERROR(INDEX(Kampanyalar!$H$2:$H$150,MATCH(O125,Kampanyalar!$A$2:$A$150,0)),""))</f>
        <v/>
      </c>
      <c r="AQ125" s="28">
        <f>IF(I125="","",IF(ISNUMBER(AP125),AP125,AD125))</f>
        <v/>
      </c>
      <c r="AR125" s="26">
        <f>IF(I125="","",IF(Parametreler!$C$7="Evet","Kural A - Hemen Ödeme (Stok Mutabakatlı)","Kural B - Nakliye/Montaj Sonrası Ödeme"))</f>
        <v/>
      </c>
    </row>
    <row r="126">
      <c r="A126" s="23" t="n"/>
      <c r="B126" s="23" t="n"/>
      <c r="C126" s="23" t="n"/>
      <c r="D126" s="23" t="n"/>
      <c r="E126" s="23" t="n"/>
      <c r="F126" s="23" t="n"/>
      <c r="G126" s="23" t="n"/>
      <c r="H126" s="24" t="n"/>
      <c r="I126" s="23" t="n"/>
      <c r="J126" s="23" t="n"/>
      <c r="K126" s="23" t="n"/>
      <c r="L126" s="23" t="n"/>
      <c r="M126" s="23" t="n"/>
      <c r="N126" s="23" t="n"/>
      <c r="O126" s="23" t="n"/>
      <c r="P126" s="23" t="n"/>
      <c r="Q126" s="23" t="n"/>
      <c r="R126" s="23" t="n"/>
      <c r="S126" s="23" t="n"/>
      <c r="T126" s="23" t="n"/>
      <c r="U126" s="23" t="n"/>
      <c r="V126" s="23" t="n"/>
      <c r="W126" s="23" t="n"/>
      <c r="X126" s="23" t="n"/>
      <c r="Y126" s="25" t="n"/>
      <c r="Z126" s="25" t="n"/>
      <c r="AA126" s="23" t="n"/>
      <c r="AB126" s="25" t="n"/>
      <c r="AC126" s="23" t="n"/>
      <c r="AD126" s="25" t="n"/>
      <c r="AE126" s="23" t="n"/>
      <c r="AF126" s="25" t="n"/>
      <c r="AG126" s="25" t="n"/>
      <c r="AH126" s="23" t="n"/>
      <c r="AI126" s="23" t="n"/>
      <c r="AJ126" s="26">
        <f>IF(I126="","",I126&amp;"|"&amp;R126)</f>
        <v/>
      </c>
      <c r="AK126" s="26">
        <f>IF(I126="","",IF(ISNA(MATCH(O126,Kampanyalar!$A$2:$A$150,0)),"Hayır - Kampanyalar'da Yok","Evet"))</f>
        <v/>
      </c>
      <c r="AL126" s="27">
        <f>IF(I126="","",IFERROR(INDEX(Kampanyalar!$E$2:$E$150,MATCH(O126,Kampanyalar!$A$2:$A$150,0)),""))</f>
        <v/>
      </c>
      <c r="AM126" s="27">
        <f>IF(I126="","",IFERROR(INDEX(Kampanyalar!$F$2:$F$150,MATCH(O126,Kampanyalar!$A$2:$A$150,0)),""))</f>
        <v/>
      </c>
      <c r="AN126" s="27">
        <f>IF(I126="","",IFERROR(INDEX(Kampanyalar!$G$2:$G$150,MATCH(O126,Kampanyalar!$A$2:$A$150,0)),""))</f>
        <v/>
      </c>
      <c r="AO126" s="26">
        <f>IF(OR(I126="",AL126="",AM126=""),"",IF(AND(H126&gt;=AL126,H126&lt;=AM126),"Evet","HAYIR - Tarih Dışı"))</f>
        <v/>
      </c>
      <c r="AP126" s="28">
        <f>IF(I126="","",IFERROR(INDEX(Kampanyalar!$H$2:$H$150,MATCH(O126,Kampanyalar!$A$2:$A$150,0)),""))</f>
        <v/>
      </c>
      <c r="AQ126" s="28">
        <f>IF(I126="","",IF(ISNUMBER(AP126),AP126,AD126))</f>
        <v/>
      </c>
      <c r="AR126" s="26">
        <f>IF(I126="","",IF(Parametreler!$C$7="Evet","Kural A - Hemen Ödeme (Stok Mutabakatlı)","Kural B - Nakliye/Montaj Sonrası Ödeme"))</f>
        <v/>
      </c>
    </row>
    <row r="127">
      <c r="A127" s="23" t="n"/>
      <c r="B127" s="23" t="n"/>
      <c r="C127" s="23" t="n"/>
      <c r="D127" s="23" t="n"/>
      <c r="E127" s="23" t="n"/>
      <c r="F127" s="23" t="n"/>
      <c r="G127" s="23" t="n"/>
      <c r="H127" s="24" t="n"/>
      <c r="I127" s="23" t="n"/>
      <c r="J127" s="23" t="n"/>
      <c r="K127" s="23" t="n"/>
      <c r="L127" s="23" t="n"/>
      <c r="M127" s="23" t="n"/>
      <c r="N127" s="23" t="n"/>
      <c r="O127" s="23" t="n"/>
      <c r="P127" s="23" t="n"/>
      <c r="Q127" s="23" t="n"/>
      <c r="R127" s="23" t="n"/>
      <c r="S127" s="23" t="n"/>
      <c r="T127" s="23" t="n"/>
      <c r="U127" s="23" t="n"/>
      <c r="V127" s="23" t="n"/>
      <c r="W127" s="23" t="n"/>
      <c r="X127" s="23" t="n"/>
      <c r="Y127" s="25" t="n"/>
      <c r="Z127" s="25" t="n"/>
      <c r="AA127" s="23" t="n"/>
      <c r="AB127" s="25" t="n"/>
      <c r="AC127" s="23" t="n"/>
      <c r="AD127" s="25" t="n"/>
      <c r="AE127" s="23" t="n"/>
      <c r="AF127" s="25" t="n"/>
      <c r="AG127" s="25" t="n"/>
      <c r="AH127" s="23" t="n"/>
      <c r="AI127" s="23" t="n"/>
      <c r="AJ127" s="26">
        <f>IF(I127="","",I127&amp;"|"&amp;R127)</f>
        <v/>
      </c>
      <c r="AK127" s="26">
        <f>IF(I127="","",IF(ISNA(MATCH(O127,Kampanyalar!$A$2:$A$150,0)),"Hayır - Kampanyalar'da Yok","Evet"))</f>
        <v/>
      </c>
      <c r="AL127" s="27">
        <f>IF(I127="","",IFERROR(INDEX(Kampanyalar!$E$2:$E$150,MATCH(O127,Kampanyalar!$A$2:$A$150,0)),""))</f>
        <v/>
      </c>
      <c r="AM127" s="27">
        <f>IF(I127="","",IFERROR(INDEX(Kampanyalar!$F$2:$F$150,MATCH(O127,Kampanyalar!$A$2:$A$150,0)),""))</f>
        <v/>
      </c>
      <c r="AN127" s="27">
        <f>IF(I127="","",IFERROR(INDEX(Kampanyalar!$G$2:$G$150,MATCH(O127,Kampanyalar!$A$2:$A$150,0)),""))</f>
        <v/>
      </c>
      <c r="AO127" s="26">
        <f>IF(OR(I127="",AL127="",AM127=""),"",IF(AND(H127&gt;=AL127,H127&lt;=AM127),"Evet","HAYIR - Tarih Dışı"))</f>
        <v/>
      </c>
      <c r="AP127" s="28">
        <f>IF(I127="","",IFERROR(INDEX(Kampanyalar!$H$2:$H$150,MATCH(O127,Kampanyalar!$A$2:$A$150,0)),""))</f>
        <v/>
      </c>
      <c r="AQ127" s="28">
        <f>IF(I127="","",IF(ISNUMBER(AP127),AP127,AD127))</f>
        <v/>
      </c>
      <c r="AR127" s="26">
        <f>IF(I127="","",IF(Parametreler!$C$7="Evet","Kural A - Hemen Ödeme (Stok Mutabakatlı)","Kural B - Nakliye/Montaj Sonrası Ödeme"))</f>
        <v/>
      </c>
    </row>
    <row r="128">
      <c r="A128" s="23" t="n"/>
      <c r="B128" s="23" t="n"/>
      <c r="C128" s="23" t="n"/>
      <c r="D128" s="23" t="n"/>
      <c r="E128" s="23" t="n"/>
      <c r="F128" s="23" t="n"/>
      <c r="G128" s="23" t="n"/>
      <c r="H128" s="24" t="n"/>
      <c r="I128" s="23" t="n"/>
      <c r="J128" s="23" t="n"/>
      <c r="K128" s="23" t="n"/>
      <c r="L128" s="23" t="n"/>
      <c r="M128" s="23" t="n"/>
      <c r="N128" s="23" t="n"/>
      <c r="O128" s="23" t="n"/>
      <c r="P128" s="23" t="n"/>
      <c r="Q128" s="23" t="n"/>
      <c r="R128" s="23" t="n"/>
      <c r="S128" s="23" t="n"/>
      <c r="T128" s="23" t="n"/>
      <c r="U128" s="23" t="n"/>
      <c r="V128" s="23" t="n"/>
      <c r="W128" s="23" t="n"/>
      <c r="X128" s="23" t="n"/>
      <c r="Y128" s="25" t="n"/>
      <c r="Z128" s="25" t="n"/>
      <c r="AA128" s="23" t="n"/>
      <c r="AB128" s="25" t="n"/>
      <c r="AC128" s="23" t="n"/>
      <c r="AD128" s="25" t="n"/>
      <c r="AE128" s="23" t="n"/>
      <c r="AF128" s="25" t="n"/>
      <c r="AG128" s="25" t="n"/>
      <c r="AH128" s="23" t="n"/>
      <c r="AI128" s="23" t="n"/>
      <c r="AJ128" s="26">
        <f>IF(I128="","",I128&amp;"|"&amp;R128)</f>
        <v/>
      </c>
      <c r="AK128" s="26">
        <f>IF(I128="","",IF(ISNA(MATCH(O128,Kampanyalar!$A$2:$A$150,0)),"Hayır - Kampanyalar'da Yok","Evet"))</f>
        <v/>
      </c>
      <c r="AL128" s="27">
        <f>IF(I128="","",IFERROR(INDEX(Kampanyalar!$E$2:$E$150,MATCH(O128,Kampanyalar!$A$2:$A$150,0)),""))</f>
        <v/>
      </c>
      <c r="AM128" s="27">
        <f>IF(I128="","",IFERROR(INDEX(Kampanyalar!$F$2:$F$150,MATCH(O128,Kampanyalar!$A$2:$A$150,0)),""))</f>
        <v/>
      </c>
      <c r="AN128" s="27">
        <f>IF(I128="","",IFERROR(INDEX(Kampanyalar!$G$2:$G$150,MATCH(O128,Kampanyalar!$A$2:$A$150,0)),""))</f>
        <v/>
      </c>
      <c r="AO128" s="26">
        <f>IF(OR(I128="",AL128="",AM128=""),"",IF(AND(H128&gt;=AL128,H128&lt;=AM128),"Evet","HAYIR - Tarih Dışı"))</f>
        <v/>
      </c>
      <c r="AP128" s="28">
        <f>IF(I128="","",IFERROR(INDEX(Kampanyalar!$H$2:$H$150,MATCH(O128,Kampanyalar!$A$2:$A$150,0)),""))</f>
        <v/>
      </c>
      <c r="AQ128" s="28">
        <f>IF(I128="","",IF(ISNUMBER(AP128),AP128,AD128))</f>
        <v/>
      </c>
      <c r="AR128" s="26">
        <f>IF(I128="","",IF(Parametreler!$C$7="Evet","Kural A - Hemen Ödeme (Stok Mutabakatlı)","Kural B - Nakliye/Montaj Sonrası Ödeme"))</f>
        <v/>
      </c>
    </row>
    <row r="129">
      <c r="A129" s="23" t="n"/>
      <c r="B129" s="23" t="n"/>
      <c r="C129" s="23" t="n"/>
      <c r="D129" s="23" t="n"/>
      <c r="E129" s="23" t="n"/>
      <c r="F129" s="23" t="n"/>
      <c r="G129" s="23" t="n"/>
      <c r="H129" s="24" t="n"/>
      <c r="I129" s="23" t="n"/>
      <c r="J129" s="23" t="n"/>
      <c r="K129" s="23" t="n"/>
      <c r="L129" s="23" t="n"/>
      <c r="M129" s="23" t="n"/>
      <c r="N129" s="23" t="n"/>
      <c r="O129" s="23" t="n"/>
      <c r="P129" s="23" t="n"/>
      <c r="Q129" s="23" t="n"/>
      <c r="R129" s="23" t="n"/>
      <c r="S129" s="23" t="n"/>
      <c r="T129" s="23" t="n"/>
      <c r="U129" s="23" t="n"/>
      <c r="V129" s="23" t="n"/>
      <c r="W129" s="23" t="n"/>
      <c r="X129" s="23" t="n"/>
      <c r="Y129" s="25" t="n"/>
      <c r="Z129" s="25" t="n"/>
      <c r="AA129" s="23" t="n"/>
      <c r="AB129" s="25" t="n"/>
      <c r="AC129" s="23" t="n"/>
      <c r="AD129" s="25" t="n"/>
      <c r="AE129" s="23" t="n"/>
      <c r="AF129" s="25" t="n"/>
      <c r="AG129" s="25" t="n"/>
      <c r="AH129" s="23" t="n"/>
      <c r="AI129" s="23" t="n"/>
      <c r="AJ129" s="26">
        <f>IF(I129="","",I129&amp;"|"&amp;R129)</f>
        <v/>
      </c>
      <c r="AK129" s="26">
        <f>IF(I129="","",IF(ISNA(MATCH(O129,Kampanyalar!$A$2:$A$150,0)),"Hayır - Kampanyalar'da Yok","Evet"))</f>
        <v/>
      </c>
      <c r="AL129" s="27">
        <f>IF(I129="","",IFERROR(INDEX(Kampanyalar!$E$2:$E$150,MATCH(O129,Kampanyalar!$A$2:$A$150,0)),""))</f>
        <v/>
      </c>
      <c r="AM129" s="27">
        <f>IF(I129="","",IFERROR(INDEX(Kampanyalar!$F$2:$F$150,MATCH(O129,Kampanyalar!$A$2:$A$150,0)),""))</f>
        <v/>
      </c>
      <c r="AN129" s="27">
        <f>IF(I129="","",IFERROR(INDEX(Kampanyalar!$G$2:$G$150,MATCH(O129,Kampanyalar!$A$2:$A$150,0)),""))</f>
        <v/>
      </c>
      <c r="AO129" s="26">
        <f>IF(OR(I129="",AL129="",AM129=""),"",IF(AND(H129&gt;=AL129,H129&lt;=AM129),"Evet","HAYIR - Tarih Dışı"))</f>
        <v/>
      </c>
      <c r="AP129" s="28">
        <f>IF(I129="","",IFERROR(INDEX(Kampanyalar!$H$2:$H$150,MATCH(O129,Kampanyalar!$A$2:$A$150,0)),""))</f>
        <v/>
      </c>
      <c r="AQ129" s="28">
        <f>IF(I129="","",IF(ISNUMBER(AP129),AP129,AD129))</f>
        <v/>
      </c>
      <c r="AR129" s="26">
        <f>IF(I129="","",IF(Parametreler!$C$7="Evet","Kural A - Hemen Ödeme (Stok Mutabakatlı)","Kural B - Nakliye/Montaj Sonrası Ödeme"))</f>
        <v/>
      </c>
    </row>
    <row r="130">
      <c r="A130" s="23" t="n"/>
      <c r="B130" s="23" t="n"/>
      <c r="C130" s="23" t="n"/>
      <c r="D130" s="23" t="n"/>
      <c r="E130" s="23" t="n"/>
      <c r="F130" s="23" t="n"/>
      <c r="G130" s="23" t="n"/>
      <c r="H130" s="24" t="n"/>
      <c r="I130" s="23" t="n"/>
      <c r="J130" s="23" t="n"/>
      <c r="K130" s="23" t="n"/>
      <c r="L130" s="23" t="n"/>
      <c r="M130" s="23" t="n"/>
      <c r="N130" s="23" t="n"/>
      <c r="O130" s="23" t="n"/>
      <c r="P130" s="23" t="n"/>
      <c r="Q130" s="23" t="n"/>
      <c r="R130" s="23" t="n"/>
      <c r="S130" s="23" t="n"/>
      <c r="T130" s="23" t="n"/>
      <c r="U130" s="23" t="n"/>
      <c r="V130" s="23" t="n"/>
      <c r="W130" s="23" t="n"/>
      <c r="X130" s="23" t="n"/>
      <c r="Y130" s="25" t="n"/>
      <c r="Z130" s="25" t="n"/>
      <c r="AA130" s="23" t="n"/>
      <c r="AB130" s="25" t="n"/>
      <c r="AC130" s="23" t="n"/>
      <c r="AD130" s="25" t="n"/>
      <c r="AE130" s="23" t="n"/>
      <c r="AF130" s="25" t="n"/>
      <c r="AG130" s="25" t="n"/>
      <c r="AH130" s="23" t="n"/>
      <c r="AI130" s="23" t="n"/>
      <c r="AJ130" s="26">
        <f>IF(I130="","",I130&amp;"|"&amp;R130)</f>
        <v/>
      </c>
      <c r="AK130" s="26">
        <f>IF(I130="","",IF(ISNA(MATCH(O130,Kampanyalar!$A$2:$A$150,0)),"Hayır - Kampanyalar'da Yok","Evet"))</f>
        <v/>
      </c>
      <c r="AL130" s="27">
        <f>IF(I130="","",IFERROR(INDEX(Kampanyalar!$E$2:$E$150,MATCH(O130,Kampanyalar!$A$2:$A$150,0)),""))</f>
        <v/>
      </c>
      <c r="AM130" s="27">
        <f>IF(I130="","",IFERROR(INDEX(Kampanyalar!$F$2:$F$150,MATCH(O130,Kampanyalar!$A$2:$A$150,0)),""))</f>
        <v/>
      </c>
      <c r="AN130" s="27">
        <f>IF(I130="","",IFERROR(INDEX(Kampanyalar!$G$2:$G$150,MATCH(O130,Kampanyalar!$A$2:$A$150,0)),""))</f>
        <v/>
      </c>
      <c r="AO130" s="26">
        <f>IF(OR(I130="",AL130="",AM130=""),"",IF(AND(H130&gt;=AL130,H130&lt;=AM130),"Evet","HAYIR - Tarih Dışı"))</f>
        <v/>
      </c>
      <c r="AP130" s="28">
        <f>IF(I130="","",IFERROR(INDEX(Kampanyalar!$H$2:$H$150,MATCH(O130,Kampanyalar!$A$2:$A$150,0)),""))</f>
        <v/>
      </c>
      <c r="AQ130" s="28">
        <f>IF(I130="","",IF(ISNUMBER(AP130),AP130,AD130))</f>
        <v/>
      </c>
      <c r="AR130" s="26">
        <f>IF(I130="","",IF(Parametreler!$C$7="Evet","Kural A - Hemen Ödeme (Stok Mutabakatlı)","Kural B - Nakliye/Montaj Sonrası Ödeme"))</f>
        <v/>
      </c>
    </row>
    <row r="131">
      <c r="A131" s="23" t="n"/>
      <c r="B131" s="23" t="n"/>
      <c r="C131" s="23" t="n"/>
      <c r="D131" s="23" t="n"/>
      <c r="E131" s="23" t="n"/>
      <c r="F131" s="23" t="n"/>
      <c r="G131" s="23" t="n"/>
      <c r="H131" s="24" t="n"/>
      <c r="I131" s="23" t="n"/>
      <c r="J131" s="23" t="n"/>
      <c r="K131" s="23" t="n"/>
      <c r="L131" s="23" t="n"/>
      <c r="M131" s="23" t="n"/>
      <c r="N131" s="23" t="n"/>
      <c r="O131" s="23" t="n"/>
      <c r="P131" s="23" t="n"/>
      <c r="Q131" s="23" t="n"/>
      <c r="R131" s="23" t="n"/>
      <c r="S131" s="23" t="n"/>
      <c r="T131" s="23" t="n"/>
      <c r="U131" s="23" t="n"/>
      <c r="V131" s="23" t="n"/>
      <c r="W131" s="23" t="n"/>
      <c r="X131" s="23" t="n"/>
      <c r="Y131" s="25" t="n"/>
      <c r="Z131" s="25" t="n"/>
      <c r="AA131" s="23" t="n"/>
      <c r="AB131" s="25" t="n"/>
      <c r="AC131" s="23" t="n"/>
      <c r="AD131" s="25" t="n"/>
      <c r="AE131" s="23" t="n"/>
      <c r="AF131" s="25" t="n"/>
      <c r="AG131" s="25" t="n"/>
      <c r="AH131" s="23" t="n"/>
      <c r="AI131" s="23" t="n"/>
      <c r="AJ131" s="26">
        <f>IF(I131="","",I131&amp;"|"&amp;R131)</f>
        <v/>
      </c>
      <c r="AK131" s="26">
        <f>IF(I131="","",IF(ISNA(MATCH(O131,Kampanyalar!$A$2:$A$150,0)),"Hayır - Kampanyalar'da Yok","Evet"))</f>
        <v/>
      </c>
      <c r="AL131" s="27">
        <f>IF(I131="","",IFERROR(INDEX(Kampanyalar!$E$2:$E$150,MATCH(O131,Kampanyalar!$A$2:$A$150,0)),""))</f>
        <v/>
      </c>
      <c r="AM131" s="27">
        <f>IF(I131="","",IFERROR(INDEX(Kampanyalar!$F$2:$F$150,MATCH(O131,Kampanyalar!$A$2:$A$150,0)),""))</f>
        <v/>
      </c>
      <c r="AN131" s="27">
        <f>IF(I131="","",IFERROR(INDEX(Kampanyalar!$G$2:$G$150,MATCH(O131,Kampanyalar!$A$2:$A$150,0)),""))</f>
        <v/>
      </c>
      <c r="AO131" s="26">
        <f>IF(OR(I131="",AL131="",AM131=""),"",IF(AND(H131&gt;=AL131,H131&lt;=AM131),"Evet","HAYIR - Tarih Dışı"))</f>
        <v/>
      </c>
      <c r="AP131" s="28">
        <f>IF(I131="","",IFERROR(INDEX(Kampanyalar!$H$2:$H$150,MATCH(O131,Kampanyalar!$A$2:$A$150,0)),""))</f>
        <v/>
      </c>
      <c r="AQ131" s="28">
        <f>IF(I131="","",IF(ISNUMBER(AP131),AP131,AD131))</f>
        <v/>
      </c>
      <c r="AR131" s="26">
        <f>IF(I131="","",IF(Parametreler!$C$7="Evet","Kural A - Hemen Ödeme (Stok Mutabakatlı)","Kural B - Nakliye/Montaj Sonrası Ödeme"))</f>
        <v/>
      </c>
    </row>
    <row r="132">
      <c r="A132" s="23" t="n"/>
      <c r="B132" s="23" t="n"/>
      <c r="C132" s="23" t="n"/>
      <c r="D132" s="23" t="n"/>
      <c r="E132" s="23" t="n"/>
      <c r="F132" s="23" t="n"/>
      <c r="G132" s="23" t="n"/>
      <c r="H132" s="24" t="n"/>
      <c r="I132" s="23" t="n"/>
      <c r="J132" s="23" t="n"/>
      <c r="K132" s="23" t="n"/>
      <c r="L132" s="23" t="n"/>
      <c r="M132" s="23" t="n"/>
      <c r="N132" s="23" t="n"/>
      <c r="O132" s="23" t="n"/>
      <c r="P132" s="23" t="n"/>
      <c r="Q132" s="23" t="n"/>
      <c r="R132" s="23" t="n"/>
      <c r="S132" s="23" t="n"/>
      <c r="T132" s="23" t="n"/>
      <c r="U132" s="23" t="n"/>
      <c r="V132" s="23" t="n"/>
      <c r="W132" s="23" t="n"/>
      <c r="X132" s="23" t="n"/>
      <c r="Y132" s="25" t="n"/>
      <c r="Z132" s="25" t="n"/>
      <c r="AA132" s="23" t="n"/>
      <c r="AB132" s="25" t="n"/>
      <c r="AC132" s="23" t="n"/>
      <c r="AD132" s="25" t="n"/>
      <c r="AE132" s="23" t="n"/>
      <c r="AF132" s="25" t="n"/>
      <c r="AG132" s="25" t="n"/>
      <c r="AH132" s="23" t="n"/>
      <c r="AI132" s="23" t="n"/>
      <c r="AJ132" s="26">
        <f>IF(I132="","",I132&amp;"|"&amp;R132)</f>
        <v/>
      </c>
      <c r="AK132" s="26">
        <f>IF(I132="","",IF(ISNA(MATCH(O132,Kampanyalar!$A$2:$A$150,0)),"Hayır - Kampanyalar'da Yok","Evet"))</f>
        <v/>
      </c>
      <c r="AL132" s="27">
        <f>IF(I132="","",IFERROR(INDEX(Kampanyalar!$E$2:$E$150,MATCH(O132,Kampanyalar!$A$2:$A$150,0)),""))</f>
        <v/>
      </c>
      <c r="AM132" s="27">
        <f>IF(I132="","",IFERROR(INDEX(Kampanyalar!$F$2:$F$150,MATCH(O132,Kampanyalar!$A$2:$A$150,0)),""))</f>
        <v/>
      </c>
      <c r="AN132" s="27">
        <f>IF(I132="","",IFERROR(INDEX(Kampanyalar!$G$2:$G$150,MATCH(O132,Kampanyalar!$A$2:$A$150,0)),""))</f>
        <v/>
      </c>
      <c r="AO132" s="26">
        <f>IF(OR(I132="",AL132="",AM132=""),"",IF(AND(H132&gt;=AL132,H132&lt;=AM132),"Evet","HAYIR - Tarih Dışı"))</f>
        <v/>
      </c>
      <c r="AP132" s="28">
        <f>IF(I132="","",IFERROR(INDEX(Kampanyalar!$H$2:$H$150,MATCH(O132,Kampanyalar!$A$2:$A$150,0)),""))</f>
        <v/>
      </c>
      <c r="AQ132" s="28">
        <f>IF(I132="","",IF(ISNUMBER(AP132),AP132,AD132))</f>
        <v/>
      </c>
      <c r="AR132" s="26">
        <f>IF(I132="","",IF(Parametreler!$C$7="Evet","Kural A - Hemen Ödeme (Stok Mutabakatlı)","Kural B - Nakliye/Montaj Sonrası Ödeme"))</f>
        <v/>
      </c>
    </row>
    <row r="133">
      <c r="A133" s="23" t="n"/>
      <c r="B133" s="23" t="n"/>
      <c r="C133" s="23" t="n"/>
      <c r="D133" s="23" t="n"/>
      <c r="E133" s="23" t="n"/>
      <c r="F133" s="23" t="n"/>
      <c r="G133" s="23" t="n"/>
      <c r="H133" s="24" t="n"/>
      <c r="I133" s="23" t="n"/>
      <c r="J133" s="23" t="n"/>
      <c r="K133" s="23" t="n"/>
      <c r="L133" s="23" t="n"/>
      <c r="M133" s="23" t="n"/>
      <c r="N133" s="23" t="n"/>
      <c r="O133" s="23" t="n"/>
      <c r="P133" s="23" t="n"/>
      <c r="Q133" s="23" t="n"/>
      <c r="R133" s="23" t="n"/>
      <c r="S133" s="23" t="n"/>
      <c r="T133" s="23" t="n"/>
      <c r="U133" s="23" t="n"/>
      <c r="V133" s="23" t="n"/>
      <c r="W133" s="23" t="n"/>
      <c r="X133" s="23" t="n"/>
      <c r="Y133" s="25" t="n"/>
      <c r="Z133" s="25" t="n"/>
      <c r="AA133" s="23" t="n"/>
      <c r="AB133" s="25" t="n"/>
      <c r="AC133" s="23" t="n"/>
      <c r="AD133" s="25" t="n"/>
      <c r="AE133" s="23" t="n"/>
      <c r="AF133" s="25" t="n"/>
      <c r="AG133" s="25" t="n"/>
      <c r="AH133" s="23" t="n"/>
      <c r="AI133" s="23" t="n"/>
      <c r="AJ133" s="26">
        <f>IF(I133="","",I133&amp;"|"&amp;R133)</f>
        <v/>
      </c>
      <c r="AK133" s="26">
        <f>IF(I133="","",IF(ISNA(MATCH(O133,Kampanyalar!$A$2:$A$150,0)),"Hayır - Kampanyalar'da Yok","Evet"))</f>
        <v/>
      </c>
      <c r="AL133" s="27">
        <f>IF(I133="","",IFERROR(INDEX(Kampanyalar!$E$2:$E$150,MATCH(O133,Kampanyalar!$A$2:$A$150,0)),""))</f>
        <v/>
      </c>
      <c r="AM133" s="27">
        <f>IF(I133="","",IFERROR(INDEX(Kampanyalar!$F$2:$F$150,MATCH(O133,Kampanyalar!$A$2:$A$150,0)),""))</f>
        <v/>
      </c>
      <c r="AN133" s="27">
        <f>IF(I133="","",IFERROR(INDEX(Kampanyalar!$G$2:$G$150,MATCH(O133,Kampanyalar!$A$2:$A$150,0)),""))</f>
        <v/>
      </c>
      <c r="AO133" s="26">
        <f>IF(OR(I133="",AL133="",AM133=""),"",IF(AND(H133&gt;=AL133,H133&lt;=AM133),"Evet","HAYIR - Tarih Dışı"))</f>
        <v/>
      </c>
      <c r="AP133" s="28">
        <f>IF(I133="","",IFERROR(INDEX(Kampanyalar!$H$2:$H$150,MATCH(O133,Kampanyalar!$A$2:$A$150,0)),""))</f>
        <v/>
      </c>
      <c r="AQ133" s="28">
        <f>IF(I133="","",IF(ISNUMBER(AP133),AP133,AD133))</f>
        <v/>
      </c>
      <c r="AR133" s="26">
        <f>IF(I133="","",IF(Parametreler!$C$7="Evet","Kural A - Hemen Ödeme (Stok Mutabakatlı)","Kural B - Nakliye/Montaj Sonrası Ödeme"))</f>
        <v/>
      </c>
    </row>
    <row r="134">
      <c r="A134" s="23" t="n"/>
      <c r="B134" s="23" t="n"/>
      <c r="C134" s="23" t="n"/>
      <c r="D134" s="23" t="n"/>
      <c r="E134" s="23" t="n"/>
      <c r="F134" s="23" t="n"/>
      <c r="G134" s="23" t="n"/>
      <c r="H134" s="24" t="n"/>
      <c r="I134" s="23" t="n"/>
      <c r="J134" s="23" t="n"/>
      <c r="K134" s="23" t="n"/>
      <c r="L134" s="23" t="n"/>
      <c r="M134" s="23" t="n"/>
      <c r="N134" s="23" t="n"/>
      <c r="O134" s="23" t="n"/>
      <c r="P134" s="23" t="n"/>
      <c r="Q134" s="23" t="n"/>
      <c r="R134" s="23" t="n"/>
      <c r="S134" s="23" t="n"/>
      <c r="T134" s="23" t="n"/>
      <c r="U134" s="23" t="n"/>
      <c r="V134" s="23" t="n"/>
      <c r="W134" s="23" t="n"/>
      <c r="X134" s="23" t="n"/>
      <c r="Y134" s="25" t="n"/>
      <c r="Z134" s="25" t="n"/>
      <c r="AA134" s="23" t="n"/>
      <c r="AB134" s="25" t="n"/>
      <c r="AC134" s="23" t="n"/>
      <c r="AD134" s="25" t="n"/>
      <c r="AE134" s="23" t="n"/>
      <c r="AF134" s="25" t="n"/>
      <c r="AG134" s="25" t="n"/>
      <c r="AH134" s="23" t="n"/>
      <c r="AI134" s="23" t="n"/>
      <c r="AJ134" s="26">
        <f>IF(I134="","",I134&amp;"|"&amp;R134)</f>
        <v/>
      </c>
      <c r="AK134" s="26">
        <f>IF(I134="","",IF(ISNA(MATCH(O134,Kampanyalar!$A$2:$A$150,0)),"Hayır - Kampanyalar'da Yok","Evet"))</f>
        <v/>
      </c>
      <c r="AL134" s="27">
        <f>IF(I134="","",IFERROR(INDEX(Kampanyalar!$E$2:$E$150,MATCH(O134,Kampanyalar!$A$2:$A$150,0)),""))</f>
        <v/>
      </c>
      <c r="AM134" s="27">
        <f>IF(I134="","",IFERROR(INDEX(Kampanyalar!$F$2:$F$150,MATCH(O134,Kampanyalar!$A$2:$A$150,0)),""))</f>
        <v/>
      </c>
      <c r="AN134" s="27">
        <f>IF(I134="","",IFERROR(INDEX(Kampanyalar!$G$2:$G$150,MATCH(O134,Kampanyalar!$A$2:$A$150,0)),""))</f>
        <v/>
      </c>
      <c r="AO134" s="26">
        <f>IF(OR(I134="",AL134="",AM134=""),"",IF(AND(H134&gt;=AL134,H134&lt;=AM134),"Evet","HAYIR - Tarih Dışı"))</f>
        <v/>
      </c>
      <c r="AP134" s="28">
        <f>IF(I134="","",IFERROR(INDEX(Kampanyalar!$H$2:$H$150,MATCH(O134,Kampanyalar!$A$2:$A$150,0)),""))</f>
        <v/>
      </c>
      <c r="AQ134" s="28">
        <f>IF(I134="","",IF(ISNUMBER(AP134),AP134,AD134))</f>
        <v/>
      </c>
      <c r="AR134" s="26">
        <f>IF(I134="","",IF(Parametreler!$C$7="Evet","Kural A - Hemen Ödeme (Stok Mutabakatlı)","Kural B - Nakliye/Montaj Sonrası Ödeme"))</f>
        <v/>
      </c>
    </row>
    <row r="135">
      <c r="A135" s="23" t="n"/>
      <c r="B135" s="23" t="n"/>
      <c r="C135" s="23" t="n"/>
      <c r="D135" s="23" t="n"/>
      <c r="E135" s="23" t="n"/>
      <c r="F135" s="23" t="n"/>
      <c r="G135" s="23" t="n"/>
      <c r="H135" s="24" t="n"/>
      <c r="I135" s="23" t="n"/>
      <c r="J135" s="23" t="n"/>
      <c r="K135" s="23" t="n"/>
      <c r="L135" s="23" t="n"/>
      <c r="M135" s="23" t="n"/>
      <c r="N135" s="23" t="n"/>
      <c r="O135" s="23" t="n"/>
      <c r="P135" s="23" t="n"/>
      <c r="Q135" s="23" t="n"/>
      <c r="R135" s="23" t="n"/>
      <c r="S135" s="23" t="n"/>
      <c r="T135" s="23" t="n"/>
      <c r="U135" s="23" t="n"/>
      <c r="V135" s="23" t="n"/>
      <c r="W135" s="23" t="n"/>
      <c r="X135" s="23" t="n"/>
      <c r="Y135" s="25" t="n"/>
      <c r="Z135" s="25" t="n"/>
      <c r="AA135" s="23" t="n"/>
      <c r="AB135" s="25" t="n"/>
      <c r="AC135" s="23" t="n"/>
      <c r="AD135" s="25" t="n"/>
      <c r="AE135" s="23" t="n"/>
      <c r="AF135" s="25" t="n"/>
      <c r="AG135" s="25" t="n"/>
      <c r="AH135" s="23" t="n"/>
      <c r="AI135" s="23" t="n"/>
      <c r="AJ135" s="26">
        <f>IF(I135="","",I135&amp;"|"&amp;R135)</f>
        <v/>
      </c>
      <c r="AK135" s="26">
        <f>IF(I135="","",IF(ISNA(MATCH(O135,Kampanyalar!$A$2:$A$150,0)),"Hayır - Kampanyalar'da Yok","Evet"))</f>
        <v/>
      </c>
      <c r="AL135" s="27">
        <f>IF(I135="","",IFERROR(INDEX(Kampanyalar!$E$2:$E$150,MATCH(O135,Kampanyalar!$A$2:$A$150,0)),""))</f>
        <v/>
      </c>
      <c r="AM135" s="27">
        <f>IF(I135="","",IFERROR(INDEX(Kampanyalar!$F$2:$F$150,MATCH(O135,Kampanyalar!$A$2:$A$150,0)),""))</f>
        <v/>
      </c>
      <c r="AN135" s="27">
        <f>IF(I135="","",IFERROR(INDEX(Kampanyalar!$G$2:$G$150,MATCH(O135,Kampanyalar!$A$2:$A$150,0)),""))</f>
        <v/>
      </c>
      <c r="AO135" s="26">
        <f>IF(OR(I135="",AL135="",AM135=""),"",IF(AND(H135&gt;=AL135,H135&lt;=AM135),"Evet","HAYIR - Tarih Dışı"))</f>
        <v/>
      </c>
      <c r="AP135" s="28">
        <f>IF(I135="","",IFERROR(INDEX(Kampanyalar!$H$2:$H$150,MATCH(O135,Kampanyalar!$A$2:$A$150,0)),""))</f>
        <v/>
      </c>
      <c r="AQ135" s="28">
        <f>IF(I135="","",IF(ISNUMBER(AP135),AP135,AD135))</f>
        <v/>
      </c>
      <c r="AR135" s="26">
        <f>IF(I135="","",IF(Parametreler!$C$7="Evet","Kural A - Hemen Ödeme (Stok Mutabakatlı)","Kural B - Nakliye/Montaj Sonrası Ödeme"))</f>
        <v/>
      </c>
    </row>
    <row r="136">
      <c r="A136" s="23" t="n"/>
      <c r="B136" s="23" t="n"/>
      <c r="C136" s="23" t="n"/>
      <c r="D136" s="23" t="n"/>
      <c r="E136" s="23" t="n"/>
      <c r="F136" s="23" t="n"/>
      <c r="G136" s="23" t="n"/>
      <c r="H136" s="24" t="n"/>
      <c r="I136" s="23" t="n"/>
      <c r="J136" s="23" t="n"/>
      <c r="K136" s="23" t="n"/>
      <c r="L136" s="23" t="n"/>
      <c r="M136" s="23" t="n"/>
      <c r="N136" s="23" t="n"/>
      <c r="O136" s="23" t="n"/>
      <c r="P136" s="23" t="n"/>
      <c r="Q136" s="23" t="n"/>
      <c r="R136" s="23" t="n"/>
      <c r="S136" s="23" t="n"/>
      <c r="T136" s="23" t="n"/>
      <c r="U136" s="23" t="n"/>
      <c r="V136" s="23" t="n"/>
      <c r="W136" s="23" t="n"/>
      <c r="X136" s="23" t="n"/>
      <c r="Y136" s="25" t="n"/>
      <c r="Z136" s="25" t="n"/>
      <c r="AA136" s="23" t="n"/>
      <c r="AB136" s="25" t="n"/>
      <c r="AC136" s="23" t="n"/>
      <c r="AD136" s="25" t="n"/>
      <c r="AE136" s="23" t="n"/>
      <c r="AF136" s="25" t="n"/>
      <c r="AG136" s="25" t="n"/>
      <c r="AH136" s="23" t="n"/>
      <c r="AI136" s="23" t="n"/>
      <c r="AJ136" s="26">
        <f>IF(I136="","",I136&amp;"|"&amp;R136)</f>
        <v/>
      </c>
      <c r="AK136" s="26">
        <f>IF(I136="","",IF(ISNA(MATCH(O136,Kampanyalar!$A$2:$A$150,0)),"Hayır - Kampanyalar'da Yok","Evet"))</f>
        <v/>
      </c>
      <c r="AL136" s="27">
        <f>IF(I136="","",IFERROR(INDEX(Kampanyalar!$E$2:$E$150,MATCH(O136,Kampanyalar!$A$2:$A$150,0)),""))</f>
        <v/>
      </c>
      <c r="AM136" s="27">
        <f>IF(I136="","",IFERROR(INDEX(Kampanyalar!$F$2:$F$150,MATCH(O136,Kampanyalar!$A$2:$A$150,0)),""))</f>
        <v/>
      </c>
      <c r="AN136" s="27">
        <f>IF(I136="","",IFERROR(INDEX(Kampanyalar!$G$2:$G$150,MATCH(O136,Kampanyalar!$A$2:$A$150,0)),""))</f>
        <v/>
      </c>
      <c r="AO136" s="26">
        <f>IF(OR(I136="",AL136="",AM136=""),"",IF(AND(H136&gt;=AL136,H136&lt;=AM136),"Evet","HAYIR - Tarih Dışı"))</f>
        <v/>
      </c>
      <c r="AP136" s="28">
        <f>IF(I136="","",IFERROR(INDEX(Kampanyalar!$H$2:$H$150,MATCH(O136,Kampanyalar!$A$2:$A$150,0)),""))</f>
        <v/>
      </c>
      <c r="AQ136" s="28">
        <f>IF(I136="","",IF(ISNUMBER(AP136),AP136,AD136))</f>
        <v/>
      </c>
      <c r="AR136" s="26">
        <f>IF(I136="","",IF(Parametreler!$C$7="Evet","Kural A - Hemen Ödeme (Stok Mutabakatlı)","Kural B - Nakliye/Montaj Sonrası Ödeme"))</f>
        <v/>
      </c>
    </row>
    <row r="137">
      <c r="A137" s="23" t="n"/>
      <c r="B137" s="23" t="n"/>
      <c r="C137" s="23" t="n"/>
      <c r="D137" s="23" t="n"/>
      <c r="E137" s="23" t="n"/>
      <c r="F137" s="23" t="n"/>
      <c r="G137" s="23" t="n"/>
      <c r="H137" s="24" t="n"/>
      <c r="I137" s="23" t="n"/>
      <c r="J137" s="23" t="n"/>
      <c r="K137" s="23" t="n"/>
      <c r="L137" s="23" t="n"/>
      <c r="M137" s="23" t="n"/>
      <c r="N137" s="23" t="n"/>
      <c r="O137" s="23" t="n"/>
      <c r="P137" s="23" t="n"/>
      <c r="Q137" s="23" t="n"/>
      <c r="R137" s="23" t="n"/>
      <c r="S137" s="23" t="n"/>
      <c r="T137" s="23" t="n"/>
      <c r="U137" s="23" t="n"/>
      <c r="V137" s="23" t="n"/>
      <c r="W137" s="23" t="n"/>
      <c r="X137" s="23" t="n"/>
      <c r="Y137" s="25" t="n"/>
      <c r="Z137" s="25" t="n"/>
      <c r="AA137" s="23" t="n"/>
      <c r="AB137" s="25" t="n"/>
      <c r="AC137" s="23" t="n"/>
      <c r="AD137" s="25" t="n"/>
      <c r="AE137" s="23" t="n"/>
      <c r="AF137" s="25" t="n"/>
      <c r="AG137" s="25" t="n"/>
      <c r="AH137" s="23" t="n"/>
      <c r="AI137" s="23" t="n"/>
      <c r="AJ137" s="26">
        <f>IF(I137="","",I137&amp;"|"&amp;R137)</f>
        <v/>
      </c>
      <c r="AK137" s="26">
        <f>IF(I137="","",IF(ISNA(MATCH(O137,Kampanyalar!$A$2:$A$150,0)),"Hayır - Kampanyalar'da Yok","Evet"))</f>
        <v/>
      </c>
      <c r="AL137" s="27">
        <f>IF(I137="","",IFERROR(INDEX(Kampanyalar!$E$2:$E$150,MATCH(O137,Kampanyalar!$A$2:$A$150,0)),""))</f>
        <v/>
      </c>
      <c r="AM137" s="27">
        <f>IF(I137="","",IFERROR(INDEX(Kampanyalar!$F$2:$F$150,MATCH(O137,Kampanyalar!$A$2:$A$150,0)),""))</f>
        <v/>
      </c>
      <c r="AN137" s="27">
        <f>IF(I137="","",IFERROR(INDEX(Kampanyalar!$G$2:$G$150,MATCH(O137,Kampanyalar!$A$2:$A$150,0)),""))</f>
        <v/>
      </c>
      <c r="AO137" s="26">
        <f>IF(OR(I137="",AL137="",AM137=""),"",IF(AND(H137&gt;=AL137,H137&lt;=AM137),"Evet","HAYIR - Tarih Dışı"))</f>
        <v/>
      </c>
      <c r="AP137" s="28">
        <f>IF(I137="","",IFERROR(INDEX(Kampanyalar!$H$2:$H$150,MATCH(O137,Kampanyalar!$A$2:$A$150,0)),""))</f>
        <v/>
      </c>
      <c r="AQ137" s="28">
        <f>IF(I137="","",IF(ISNUMBER(AP137),AP137,AD137))</f>
        <v/>
      </c>
      <c r="AR137" s="26">
        <f>IF(I137="","",IF(Parametreler!$C$7="Evet","Kural A - Hemen Ödeme (Stok Mutabakatlı)","Kural B - Nakliye/Montaj Sonrası Ödeme"))</f>
        <v/>
      </c>
    </row>
    <row r="138">
      <c r="A138" s="23" t="n"/>
      <c r="B138" s="23" t="n"/>
      <c r="C138" s="23" t="n"/>
      <c r="D138" s="23" t="n"/>
      <c r="E138" s="23" t="n"/>
      <c r="F138" s="23" t="n"/>
      <c r="G138" s="23" t="n"/>
      <c r="H138" s="24" t="n"/>
      <c r="I138" s="23" t="n"/>
      <c r="J138" s="23" t="n"/>
      <c r="K138" s="23" t="n"/>
      <c r="L138" s="23" t="n"/>
      <c r="M138" s="23" t="n"/>
      <c r="N138" s="23" t="n"/>
      <c r="O138" s="23" t="n"/>
      <c r="P138" s="23" t="n"/>
      <c r="Q138" s="23" t="n"/>
      <c r="R138" s="23" t="n"/>
      <c r="S138" s="23" t="n"/>
      <c r="T138" s="23" t="n"/>
      <c r="U138" s="23" t="n"/>
      <c r="V138" s="23" t="n"/>
      <c r="W138" s="23" t="n"/>
      <c r="X138" s="23" t="n"/>
      <c r="Y138" s="25" t="n"/>
      <c r="Z138" s="25" t="n"/>
      <c r="AA138" s="23" t="n"/>
      <c r="AB138" s="25" t="n"/>
      <c r="AC138" s="23" t="n"/>
      <c r="AD138" s="25" t="n"/>
      <c r="AE138" s="23" t="n"/>
      <c r="AF138" s="25" t="n"/>
      <c r="AG138" s="25" t="n"/>
      <c r="AH138" s="23" t="n"/>
      <c r="AI138" s="23" t="n"/>
      <c r="AJ138" s="26">
        <f>IF(I138="","",I138&amp;"|"&amp;R138)</f>
        <v/>
      </c>
      <c r="AK138" s="26">
        <f>IF(I138="","",IF(ISNA(MATCH(O138,Kampanyalar!$A$2:$A$150,0)),"Hayır - Kampanyalar'da Yok","Evet"))</f>
        <v/>
      </c>
      <c r="AL138" s="27">
        <f>IF(I138="","",IFERROR(INDEX(Kampanyalar!$E$2:$E$150,MATCH(O138,Kampanyalar!$A$2:$A$150,0)),""))</f>
        <v/>
      </c>
      <c r="AM138" s="27">
        <f>IF(I138="","",IFERROR(INDEX(Kampanyalar!$F$2:$F$150,MATCH(O138,Kampanyalar!$A$2:$A$150,0)),""))</f>
        <v/>
      </c>
      <c r="AN138" s="27">
        <f>IF(I138="","",IFERROR(INDEX(Kampanyalar!$G$2:$G$150,MATCH(O138,Kampanyalar!$A$2:$A$150,0)),""))</f>
        <v/>
      </c>
      <c r="AO138" s="26">
        <f>IF(OR(I138="",AL138="",AM138=""),"",IF(AND(H138&gt;=AL138,H138&lt;=AM138),"Evet","HAYIR - Tarih Dışı"))</f>
        <v/>
      </c>
      <c r="AP138" s="28">
        <f>IF(I138="","",IFERROR(INDEX(Kampanyalar!$H$2:$H$150,MATCH(O138,Kampanyalar!$A$2:$A$150,0)),""))</f>
        <v/>
      </c>
      <c r="AQ138" s="28">
        <f>IF(I138="","",IF(ISNUMBER(AP138),AP138,AD138))</f>
        <v/>
      </c>
      <c r="AR138" s="26">
        <f>IF(I138="","",IF(Parametreler!$C$7="Evet","Kural A - Hemen Ödeme (Stok Mutabakatlı)","Kural B - Nakliye/Montaj Sonrası Ödeme"))</f>
        <v/>
      </c>
    </row>
    <row r="139">
      <c r="A139" s="23" t="n"/>
      <c r="B139" s="23" t="n"/>
      <c r="C139" s="23" t="n"/>
      <c r="D139" s="23" t="n"/>
      <c r="E139" s="23" t="n"/>
      <c r="F139" s="23" t="n"/>
      <c r="G139" s="23" t="n"/>
      <c r="H139" s="24" t="n"/>
      <c r="I139" s="23" t="n"/>
      <c r="J139" s="23" t="n"/>
      <c r="K139" s="23" t="n"/>
      <c r="L139" s="23" t="n"/>
      <c r="M139" s="23" t="n"/>
      <c r="N139" s="23" t="n"/>
      <c r="O139" s="23" t="n"/>
      <c r="P139" s="23" t="n"/>
      <c r="Q139" s="23" t="n"/>
      <c r="R139" s="23" t="n"/>
      <c r="S139" s="23" t="n"/>
      <c r="T139" s="23" t="n"/>
      <c r="U139" s="23" t="n"/>
      <c r="V139" s="23" t="n"/>
      <c r="W139" s="23" t="n"/>
      <c r="X139" s="23" t="n"/>
      <c r="Y139" s="25" t="n"/>
      <c r="Z139" s="25" t="n"/>
      <c r="AA139" s="23" t="n"/>
      <c r="AB139" s="25" t="n"/>
      <c r="AC139" s="23" t="n"/>
      <c r="AD139" s="25" t="n"/>
      <c r="AE139" s="23" t="n"/>
      <c r="AF139" s="25" t="n"/>
      <c r="AG139" s="25" t="n"/>
      <c r="AH139" s="23" t="n"/>
      <c r="AI139" s="23" t="n"/>
      <c r="AJ139" s="26">
        <f>IF(I139="","",I139&amp;"|"&amp;R139)</f>
        <v/>
      </c>
      <c r="AK139" s="26">
        <f>IF(I139="","",IF(ISNA(MATCH(O139,Kampanyalar!$A$2:$A$150,0)),"Hayır - Kampanyalar'da Yok","Evet"))</f>
        <v/>
      </c>
      <c r="AL139" s="27">
        <f>IF(I139="","",IFERROR(INDEX(Kampanyalar!$E$2:$E$150,MATCH(O139,Kampanyalar!$A$2:$A$150,0)),""))</f>
        <v/>
      </c>
      <c r="AM139" s="27">
        <f>IF(I139="","",IFERROR(INDEX(Kampanyalar!$F$2:$F$150,MATCH(O139,Kampanyalar!$A$2:$A$150,0)),""))</f>
        <v/>
      </c>
      <c r="AN139" s="27">
        <f>IF(I139="","",IFERROR(INDEX(Kampanyalar!$G$2:$G$150,MATCH(O139,Kampanyalar!$A$2:$A$150,0)),""))</f>
        <v/>
      </c>
      <c r="AO139" s="26">
        <f>IF(OR(I139="",AL139="",AM139=""),"",IF(AND(H139&gt;=AL139,H139&lt;=AM139),"Evet","HAYIR - Tarih Dışı"))</f>
        <v/>
      </c>
      <c r="AP139" s="28">
        <f>IF(I139="","",IFERROR(INDEX(Kampanyalar!$H$2:$H$150,MATCH(O139,Kampanyalar!$A$2:$A$150,0)),""))</f>
        <v/>
      </c>
      <c r="AQ139" s="28">
        <f>IF(I139="","",IF(ISNUMBER(AP139),AP139,AD139))</f>
        <v/>
      </c>
      <c r="AR139" s="26">
        <f>IF(I139="","",IF(Parametreler!$C$7="Evet","Kural A - Hemen Ödeme (Stok Mutabakatlı)","Kural B - Nakliye/Montaj Sonrası Ödeme"))</f>
        <v/>
      </c>
    </row>
    <row r="140">
      <c r="A140" s="23" t="n"/>
      <c r="B140" s="23" t="n"/>
      <c r="C140" s="23" t="n"/>
      <c r="D140" s="23" t="n"/>
      <c r="E140" s="23" t="n"/>
      <c r="F140" s="23" t="n"/>
      <c r="G140" s="23" t="n"/>
      <c r="H140" s="24" t="n"/>
      <c r="I140" s="23" t="n"/>
      <c r="J140" s="23" t="n"/>
      <c r="K140" s="23" t="n"/>
      <c r="L140" s="23" t="n"/>
      <c r="M140" s="23" t="n"/>
      <c r="N140" s="23" t="n"/>
      <c r="O140" s="23" t="n"/>
      <c r="P140" s="23" t="n"/>
      <c r="Q140" s="23" t="n"/>
      <c r="R140" s="23" t="n"/>
      <c r="S140" s="23" t="n"/>
      <c r="T140" s="23" t="n"/>
      <c r="U140" s="23" t="n"/>
      <c r="V140" s="23" t="n"/>
      <c r="W140" s="23" t="n"/>
      <c r="X140" s="23" t="n"/>
      <c r="Y140" s="25" t="n"/>
      <c r="Z140" s="25" t="n"/>
      <c r="AA140" s="23" t="n"/>
      <c r="AB140" s="25" t="n"/>
      <c r="AC140" s="23" t="n"/>
      <c r="AD140" s="25" t="n"/>
      <c r="AE140" s="23" t="n"/>
      <c r="AF140" s="25" t="n"/>
      <c r="AG140" s="25" t="n"/>
      <c r="AH140" s="23" t="n"/>
      <c r="AI140" s="23" t="n"/>
      <c r="AJ140" s="26">
        <f>IF(I140="","",I140&amp;"|"&amp;R140)</f>
        <v/>
      </c>
      <c r="AK140" s="26">
        <f>IF(I140="","",IF(ISNA(MATCH(O140,Kampanyalar!$A$2:$A$150,0)),"Hayır - Kampanyalar'da Yok","Evet"))</f>
        <v/>
      </c>
      <c r="AL140" s="27">
        <f>IF(I140="","",IFERROR(INDEX(Kampanyalar!$E$2:$E$150,MATCH(O140,Kampanyalar!$A$2:$A$150,0)),""))</f>
        <v/>
      </c>
      <c r="AM140" s="27">
        <f>IF(I140="","",IFERROR(INDEX(Kampanyalar!$F$2:$F$150,MATCH(O140,Kampanyalar!$A$2:$A$150,0)),""))</f>
        <v/>
      </c>
      <c r="AN140" s="27">
        <f>IF(I140="","",IFERROR(INDEX(Kampanyalar!$G$2:$G$150,MATCH(O140,Kampanyalar!$A$2:$A$150,0)),""))</f>
        <v/>
      </c>
      <c r="AO140" s="26">
        <f>IF(OR(I140="",AL140="",AM140=""),"",IF(AND(H140&gt;=AL140,H140&lt;=AM140),"Evet","HAYIR - Tarih Dışı"))</f>
        <v/>
      </c>
      <c r="AP140" s="28">
        <f>IF(I140="","",IFERROR(INDEX(Kampanyalar!$H$2:$H$150,MATCH(O140,Kampanyalar!$A$2:$A$150,0)),""))</f>
        <v/>
      </c>
      <c r="AQ140" s="28">
        <f>IF(I140="","",IF(ISNUMBER(AP140),AP140,AD140))</f>
        <v/>
      </c>
      <c r="AR140" s="26">
        <f>IF(I140="","",IF(Parametreler!$C$7="Evet","Kural A - Hemen Ödeme (Stok Mutabakatlı)","Kural B - Nakliye/Montaj Sonrası Ödeme"))</f>
        <v/>
      </c>
    </row>
    <row r="141">
      <c r="A141" s="23" t="n"/>
      <c r="B141" s="23" t="n"/>
      <c r="C141" s="23" t="n"/>
      <c r="D141" s="23" t="n"/>
      <c r="E141" s="23" t="n"/>
      <c r="F141" s="23" t="n"/>
      <c r="G141" s="23" t="n"/>
      <c r="H141" s="24" t="n"/>
      <c r="I141" s="23" t="n"/>
      <c r="J141" s="23" t="n"/>
      <c r="K141" s="23" t="n"/>
      <c r="L141" s="23" t="n"/>
      <c r="M141" s="23" t="n"/>
      <c r="N141" s="23" t="n"/>
      <c r="O141" s="23" t="n"/>
      <c r="P141" s="23" t="n"/>
      <c r="Q141" s="23" t="n"/>
      <c r="R141" s="23" t="n"/>
      <c r="S141" s="23" t="n"/>
      <c r="T141" s="23" t="n"/>
      <c r="U141" s="23" t="n"/>
      <c r="V141" s="23" t="n"/>
      <c r="W141" s="23" t="n"/>
      <c r="X141" s="23" t="n"/>
      <c r="Y141" s="25" t="n"/>
      <c r="Z141" s="25" t="n"/>
      <c r="AA141" s="23" t="n"/>
      <c r="AB141" s="25" t="n"/>
      <c r="AC141" s="23" t="n"/>
      <c r="AD141" s="25" t="n"/>
      <c r="AE141" s="23" t="n"/>
      <c r="AF141" s="25" t="n"/>
      <c r="AG141" s="25" t="n"/>
      <c r="AH141" s="23" t="n"/>
      <c r="AI141" s="23" t="n"/>
      <c r="AJ141" s="26">
        <f>IF(I141="","",I141&amp;"|"&amp;R141)</f>
        <v/>
      </c>
      <c r="AK141" s="26">
        <f>IF(I141="","",IF(ISNA(MATCH(O141,Kampanyalar!$A$2:$A$150,0)),"Hayır - Kampanyalar'da Yok","Evet"))</f>
        <v/>
      </c>
      <c r="AL141" s="27">
        <f>IF(I141="","",IFERROR(INDEX(Kampanyalar!$E$2:$E$150,MATCH(O141,Kampanyalar!$A$2:$A$150,0)),""))</f>
        <v/>
      </c>
      <c r="AM141" s="27">
        <f>IF(I141="","",IFERROR(INDEX(Kampanyalar!$F$2:$F$150,MATCH(O141,Kampanyalar!$A$2:$A$150,0)),""))</f>
        <v/>
      </c>
      <c r="AN141" s="27">
        <f>IF(I141="","",IFERROR(INDEX(Kampanyalar!$G$2:$G$150,MATCH(O141,Kampanyalar!$A$2:$A$150,0)),""))</f>
        <v/>
      </c>
      <c r="AO141" s="26">
        <f>IF(OR(I141="",AL141="",AM141=""),"",IF(AND(H141&gt;=AL141,H141&lt;=AM141),"Evet","HAYIR - Tarih Dışı"))</f>
        <v/>
      </c>
      <c r="AP141" s="28">
        <f>IF(I141="","",IFERROR(INDEX(Kampanyalar!$H$2:$H$150,MATCH(O141,Kampanyalar!$A$2:$A$150,0)),""))</f>
        <v/>
      </c>
      <c r="AQ141" s="28">
        <f>IF(I141="","",IF(ISNUMBER(AP141),AP141,AD141))</f>
        <v/>
      </c>
      <c r="AR141" s="26">
        <f>IF(I141="","",IF(Parametreler!$C$7="Evet","Kural A - Hemen Ödeme (Stok Mutabakatlı)","Kural B - Nakliye/Montaj Sonrası Ödeme"))</f>
        <v/>
      </c>
    </row>
    <row r="142">
      <c r="A142" s="23" t="n"/>
      <c r="B142" s="23" t="n"/>
      <c r="C142" s="23" t="n"/>
      <c r="D142" s="23" t="n"/>
      <c r="E142" s="23" t="n"/>
      <c r="F142" s="23" t="n"/>
      <c r="G142" s="23" t="n"/>
      <c r="H142" s="24" t="n"/>
      <c r="I142" s="23" t="n"/>
      <c r="J142" s="23" t="n"/>
      <c r="K142" s="23" t="n"/>
      <c r="L142" s="23" t="n"/>
      <c r="M142" s="23" t="n"/>
      <c r="N142" s="23" t="n"/>
      <c r="O142" s="23" t="n"/>
      <c r="P142" s="23" t="n"/>
      <c r="Q142" s="23" t="n"/>
      <c r="R142" s="23" t="n"/>
      <c r="S142" s="23" t="n"/>
      <c r="T142" s="23" t="n"/>
      <c r="U142" s="23" t="n"/>
      <c r="V142" s="23" t="n"/>
      <c r="W142" s="23" t="n"/>
      <c r="X142" s="23" t="n"/>
      <c r="Y142" s="25" t="n"/>
      <c r="Z142" s="25" t="n"/>
      <c r="AA142" s="23" t="n"/>
      <c r="AB142" s="25" t="n"/>
      <c r="AC142" s="23" t="n"/>
      <c r="AD142" s="25" t="n"/>
      <c r="AE142" s="23" t="n"/>
      <c r="AF142" s="25" t="n"/>
      <c r="AG142" s="25" t="n"/>
      <c r="AH142" s="23" t="n"/>
      <c r="AI142" s="23" t="n"/>
      <c r="AJ142" s="26">
        <f>IF(I142="","",I142&amp;"|"&amp;R142)</f>
        <v/>
      </c>
      <c r="AK142" s="26">
        <f>IF(I142="","",IF(ISNA(MATCH(O142,Kampanyalar!$A$2:$A$150,0)),"Hayır - Kampanyalar'da Yok","Evet"))</f>
        <v/>
      </c>
      <c r="AL142" s="27">
        <f>IF(I142="","",IFERROR(INDEX(Kampanyalar!$E$2:$E$150,MATCH(O142,Kampanyalar!$A$2:$A$150,0)),""))</f>
        <v/>
      </c>
      <c r="AM142" s="27">
        <f>IF(I142="","",IFERROR(INDEX(Kampanyalar!$F$2:$F$150,MATCH(O142,Kampanyalar!$A$2:$A$150,0)),""))</f>
        <v/>
      </c>
      <c r="AN142" s="27">
        <f>IF(I142="","",IFERROR(INDEX(Kampanyalar!$G$2:$G$150,MATCH(O142,Kampanyalar!$A$2:$A$150,0)),""))</f>
        <v/>
      </c>
      <c r="AO142" s="26">
        <f>IF(OR(I142="",AL142="",AM142=""),"",IF(AND(H142&gt;=AL142,H142&lt;=AM142),"Evet","HAYIR - Tarih Dışı"))</f>
        <v/>
      </c>
      <c r="AP142" s="28">
        <f>IF(I142="","",IFERROR(INDEX(Kampanyalar!$H$2:$H$150,MATCH(O142,Kampanyalar!$A$2:$A$150,0)),""))</f>
        <v/>
      </c>
      <c r="AQ142" s="28">
        <f>IF(I142="","",IF(ISNUMBER(AP142),AP142,AD142))</f>
        <v/>
      </c>
      <c r="AR142" s="26">
        <f>IF(I142="","",IF(Parametreler!$C$7="Evet","Kural A - Hemen Ödeme (Stok Mutabakatlı)","Kural B - Nakliye/Montaj Sonrası Ödeme"))</f>
        <v/>
      </c>
    </row>
    <row r="143">
      <c r="A143" s="23" t="n"/>
      <c r="B143" s="23" t="n"/>
      <c r="C143" s="23" t="n"/>
      <c r="D143" s="23" t="n"/>
      <c r="E143" s="23" t="n"/>
      <c r="F143" s="23" t="n"/>
      <c r="G143" s="23" t="n"/>
      <c r="H143" s="24" t="n"/>
      <c r="I143" s="23" t="n"/>
      <c r="J143" s="23" t="n"/>
      <c r="K143" s="23" t="n"/>
      <c r="L143" s="23" t="n"/>
      <c r="M143" s="23" t="n"/>
      <c r="N143" s="23" t="n"/>
      <c r="O143" s="23" t="n"/>
      <c r="P143" s="23" t="n"/>
      <c r="Q143" s="23" t="n"/>
      <c r="R143" s="23" t="n"/>
      <c r="S143" s="23" t="n"/>
      <c r="T143" s="23" t="n"/>
      <c r="U143" s="23" t="n"/>
      <c r="V143" s="23" t="n"/>
      <c r="W143" s="23" t="n"/>
      <c r="X143" s="23" t="n"/>
      <c r="Y143" s="25" t="n"/>
      <c r="Z143" s="25" t="n"/>
      <c r="AA143" s="23" t="n"/>
      <c r="AB143" s="25" t="n"/>
      <c r="AC143" s="23" t="n"/>
      <c r="AD143" s="25" t="n"/>
      <c r="AE143" s="23" t="n"/>
      <c r="AF143" s="25" t="n"/>
      <c r="AG143" s="25" t="n"/>
      <c r="AH143" s="23" t="n"/>
      <c r="AI143" s="23" t="n"/>
      <c r="AJ143" s="26">
        <f>IF(I143="","",I143&amp;"|"&amp;R143)</f>
        <v/>
      </c>
      <c r="AK143" s="26">
        <f>IF(I143="","",IF(ISNA(MATCH(O143,Kampanyalar!$A$2:$A$150,0)),"Hayır - Kampanyalar'da Yok","Evet"))</f>
        <v/>
      </c>
      <c r="AL143" s="27">
        <f>IF(I143="","",IFERROR(INDEX(Kampanyalar!$E$2:$E$150,MATCH(O143,Kampanyalar!$A$2:$A$150,0)),""))</f>
        <v/>
      </c>
      <c r="AM143" s="27">
        <f>IF(I143="","",IFERROR(INDEX(Kampanyalar!$F$2:$F$150,MATCH(O143,Kampanyalar!$A$2:$A$150,0)),""))</f>
        <v/>
      </c>
      <c r="AN143" s="27">
        <f>IF(I143="","",IFERROR(INDEX(Kampanyalar!$G$2:$G$150,MATCH(O143,Kampanyalar!$A$2:$A$150,0)),""))</f>
        <v/>
      </c>
      <c r="AO143" s="26">
        <f>IF(OR(I143="",AL143="",AM143=""),"",IF(AND(H143&gt;=AL143,H143&lt;=AM143),"Evet","HAYIR - Tarih Dışı"))</f>
        <v/>
      </c>
      <c r="AP143" s="28">
        <f>IF(I143="","",IFERROR(INDEX(Kampanyalar!$H$2:$H$150,MATCH(O143,Kampanyalar!$A$2:$A$150,0)),""))</f>
        <v/>
      </c>
      <c r="AQ143" s="28">
        <f>IF(I143="","",IF(ISNUMBER(AP143),AP143,AD143))</f>
        <v/>
      </c>
      <c r="AR143" s="26">
        <f>IF(I143="","",IF(Parametreler!$C$7="Evet","Kural A - Hemen Ödeme (Stok Mutabakatlı)","Kural B - Nakliye/Montaj Sonrası Ödeme"))</f>
        <v/>
      </c>
    </row>
    <row r="144">
      <c r="A144" s="23" t="n"/>
      <c r="B144" s="23" t="n"/>
      <c r="C144" s="23" t="n"/>
      <c r="D144" s="23" t="n"/>
      <c r="E144" s="23" t="n"/>
      <c r="F144" s="23" t="n"/>
      <c r="G144" s="23" t="n"/>
      <c r="H144" s="24" t="n"/>
      <c r="I144" s="23" t="n"/>
      <c r="J144" s="23" t="n"/>
      <c r="K144" s="23" t="n"/>
      <c r="L144" s="23" t="n"/>
      <c r="M144" s="23" t="n"/>
      <c r="N144" s="23" t="n"/>
      <c r="O144" s="23" t="n"/>
      <c r="P144" s="23" t="n"/>
      <c r="Q144" s="23" t="n"/>
      <c r="R144" s="23" t="n"/>
      <c r="S144" s="23" t="n"/>
      <c r="T144" s="23" t="n"/>
      <c r="U144" s="23" t="n"/>
      <c r="V144" s="23" t="n"/>
      <c r="W144" s="23" t="n"/>
      <c r="X144" s="23" t="n"/>
      <c r="Y144" s="25" t="n"/>
      <c r="Z144" s="25" t="n"/>
      <c r="AA144" s="23" t="n"/>
      <c r="AB144" s="25" t="n"/>
      <c r="AC144" s="23" t="n"/>
      <c r="AD144" s="25" t="n"/>
      <c r="AE144" s="23" t="n"/>
      <c r="AF144" s="25" t="n"/>
      <c r="AG144" s="25" t="n"/>
      <c r="AH144" s="23" t="n"/>
      <c r="AI144" s="23" t="n"/>
      <c r="AJ144" s="26">
        <f>IF(I144="","",I144&amp;"|"&amp;R144)</f>
        <v/>
      </c>
      <c r="AK144" s="26">
        <f>IF(I144="","",IF(ISNA(MATCH(O144,Kampanyalar!$A$2:$A$150,0)),"Hayır - Kampanyalar'da Yok","Evet"))</f>
        <v/>
      </c>
      <c r="AL144" s="27">
        <f>IF(I144="","",IFERROR(INDEX(Kampanyalar!$E$2:$E$150,MATCH(O144,Kampanyalar!$A$2:$A$150,0)),""))</f>
        <v/>
      </c>
      <c r="AM144" s="27">
        <f>IF(I144="","",IFERROR(INDEX(Kampanyalar!$F$2:$F$150,MATCH(O144,Kampanyalar!$A$2:$A$150,0)),""))</f>
        <v/>
      </c>
      <c r="AN144" s="27">
        <f>IF(I144="","",IFERROR(INDEX(Kampanyalar!$G$2:$G$150,MATCH(O144,Kampanyalar!$A$2:$A$150,0)),""))</f>
        <v/>
      </c>
      <c r="AO144" s="26">
        <f>IF(OR(I144="",AL144="",AM144=""),"",IF(AND(H144&gt;=AL144,H144&lt;=AM144),"Evet","HAYIR - Tarih Dışı"))</f>
        <v/>
      </c>
      <c r="AP144" s="28">
        <f>IF(I144="","",IFERROR(INDEX(Kampanyalar!$H$2:$H$150,MATCH(O144,Kampanyalar!$A$2:$A$150,0)),""))</f>
        <v/>
      </c>
      <c r="AQ144" s="28">
        <f>IF(I144="","",IF(ISNUMBER(AP144),AP144,AD144))</f>
        <v/>
      </c>
      <c r="AR144" s="26">
        <f>IF(I144="","",IF(Parametreler!$C$7="Evet","Kural A - Hemen Ödeme (Stok Mutabakatlı)","Kural B - Nakliye/Montaj Sonrası Ödeme"))</f>
        <v/>
      </c>
    </row>
    <row r="145">
      <c r="A145" s="23" t="n"/>
      <c r="B145" s="23" t="n"/>
      <c r="C145" s="23" t="n"/>
      <c r="D145" s="23" t="n"/>
      <c r="E145" s="23" t="n"/>
      <c r="F145" s="23" t="n"/>
      <c r="G145" s="23" t="n"/>
      <c r="H145" s="24" t="n"/>
      <c r="I145" s="23" t="n"/>
      <c r="J145" s="23" t="n"/>
      <c r="K145" s="23" t="n"/>
      <c r="L145" s="23" t="n"/>
      <c r="M145" s="23" t="n"/>
      <c r="N145" s="23" t="n"/>
      <c r="O145" s="23" t="n"/>
      <c r="P145" s="23" t="n"/>
      <c r="Q145" s="23" t="n"/>
      <c r="R145" s="23" t="n"/>
      <c r="S145" s="23" t="n"/>
      <c r="T145" s="23" t="n"/>
      <c r="U145" s="23" t="n"/>
      <c r="V145" s="23" t="n"/>
      <c r="W145" s="23" t="n"/>
      <c r="X145" s="23" t="n"/>
      <c r="Y145" s="25" t="n"/>
      <c r="Z145" s="25" t="n"/>
      <c r="AA145" s="23" t="n"/>
      <c r="AB145" s="25" t="n"/>
      <c r="AC145" s="23" t="n"/>
      <c r="AD145" s="25" t="n"/>
      <c r="AE145" s="23" t="n"/>
      <c r="AF145" s="25" t="n"/>
      <c r="AG145" s="25" t="n"/>
      <c r="AH145" s="23" t="n"/>
      <c r="AI145" s="23" t="n"/>
      <c r="AJ145" s="26">
        <f>IF(I145="","",I145&amp;"|"&amp;R145)</f>
        <v/>
      </c>
      <c r="AK145" s="26">
        <f>IF(I145="","",IF(ISNA(MATCH(O145,Kampanyalar!$A$2:$A$150,0)),"Hayır - Kampanyalar'da Yok","Evet"))</f>
        <v/>
      </c>
      <c r="AL145" s="27">
        <f>IF(I145="","",IFERROR(INDEX(Kampanyalar!$E$2:$E$150,MATCH(O145,Kampanyalar!$A$2:$A$150,0)),""))</f>
        <v/>
      </c>
      <c r="AM145" s="27">
        <f>IF(I145="","",IFERROR(INDEX(Kampanyalar!$F$2:$F$150,MATCH(O145,Kampanyalar!$A$2:$A$150,0)),""))</f>
        <v/>
      </c>
      <c r="AN145" s="27">
        <f>IF(I145="","",IFERROR(INDEX(Kampanyalar!$G$2:$G$150,MATCH(O145,Kampanyalar!$A$2:$A$150,0)),""))</f>
        <v/>
      </c>
      <c r="AO145" s="26">
        <f>IF(OR(I145="",AL145="",AM145=""),"",IF(AND(H145&gt;=AL145,H145&lt;=AM145),"Evet","HAYIR - Tarih Dışı"))</f>
        <v/>
      </c>
      <c r="AP145" s="28">
        <f>IF(I145="","",IFERROR(INDEX(Kampanyalar!$H$2:$H$150,MATCH(O145,Kampanyalar!$A$2:$A$150,0)),""))</f>
        <v/>
      </c>
      <c r="AQ145" s="28">
        <f>IF(I145="","",IF(ISNUMBER(AP145),AP145,AD145))</f>
        <v/>
      </c>
      <c r="AR145" s="26">
        <f>IF(I145="","",IF(Parametreler!$C$7="Evet","Kural A - Hemen Ödeme (Stok Mutabakatlı)","Kural B - Nakliye/Montaj Sonrası Ödeme"))</f>
        <v/>
      </c>
    </row>
    <row r="146">
      <c r="A146" s="23" t="n"/>
      <c r="B146" s="23" t="n"/>
      <c r="C146" s="23" t="n"/>
      <c r="D146" s="23" t="n"/>
      <c r="E146" s="23" t="n"/>
      <c r="F146" s="23" t="n"/>
      <c r="G146" s="23" t="n"/>
      <c r="H146" s="24" t="n"/>
      <c r="I146" s="23" t="n"/>
      <c r="J146" s="23" t="n"/>
      <c r="K146" s="23" t="n"/>
      <c r="L146" s="23" t="n"/>
      <c r="M146" s="23" t="n"/>
      <c r="N146" s="23" t="n"/>
      <c r="O146" s="23" t="n"/>
      <c r="P146" s="23" t="n"/>
      <c r="Q146" s="23" t="n"/>
      <c r="R146" s="23" t="n"/>
      <c r="S146" s="23" t="n"/>
      <c r="T146" s="23" t="n"/>
      <c r="U146" s="23" t="n"/>
      <c r="V146" s="23" t="n"/>
      <c r="W146" s="23" t="n"/>
      <c r="X146" s="23" t="n"/>
      <c r="Y146" s="25" t="n"/>
      <c r="Z146" s="25" t="n"/>
      <c r="AA146" s="23" t="n"/>
      <c r="AB146" s="25" t="n"/>
      <c r="AC146" s="23" t="n"/>
      <c r="AD146" s="25" t="n"/>
      <c r="AE146" s="23" t="n"/>
      <c r="AF146" s="25" t="n"/>
      <c r="AG146" s="25" t="n"/>
      <c r="AH146" s="23" t="n"/>
      <c r="AI146" s="23" t="n"/>
      <c r="AJ146" s="26">
        <f>IF(I146="","",I146&amp;"|"&amp;R146)</f>
        <v/>
      </c>
      <c r="AK146" s="26">
        <f>IF(I146="","",IF(ISNA(MATCH(O146,Kampanyalar!$A$2:$A$150,0)),"Hayır - Kampanyalar'da Yok","Evet"))</f>
        <v/>
      </c>
      <c r="AL146" s="27">
        <f>IF(I146="","",IFERROR(INDEX(Kampanyalar!$E$2:$E$150,MATCH(O146,Kampanyalar!$A$2:$A$150,0)),""))</f>
        <v/>
      </c>
      <c r="AM146" s="27">
        <f>IF(I146="","",IFERROR(INDEX(Kampanyalar!$F$2:$F$150,MATCH(O146,Kampanyalar!$A$2:$A$150,0)),""))</f>
        <v/>
      </c>
      <c r="AN146" s="27">
        <f>IF(I146="","",IFERROR(INDEX(Kampanyalar!$G$2:$G$150,MATCH(O146,Kampanyalar!$A$2:$A$150,0)),""))</f>
        <v/>
      </c>
      <c r="AO146" s="26">
        <f>IF(OR(I146="",AL146="",AM146=""),"",IF(AND(H146&gt;=AL146,H146&lt;=AM146),"Evet","HAYIR - Tarih Dışı"))</f>
        <v/>
      </c>
      <c r="AP146" s="28">
        <f>IF(I146="","",IFERROR(INDEX(Kampanyalar!$H$2:$H$150,MATCH(O146,Kampanyalar!$A$2:$A$150,0)),""))</f>
        <v/>
      </c>
      <c r="AQ146" s="28">
        <f>IF(I146="","",IF(ISNUMBER(AP146),AP146,AD146))</f>
        <v/>
      </c>
      <c r="AR146" s="26">
        <f>IF(I146="","",IF(Parametreler!$C$7="Evet","Kural A - Hemen Ödeme (Stok Mutabakatlı)","Kural B - Nakliye/Montaj Sonrası Ödeme"))</f>
        <v/>
      </c>
    </row>
    <row r="147">
      <c r="A147" s="23" t="n"/>
      <c r="B147" s="23" t="n"/>
      <c r="C147" s="23" t="n"/>
      <c r="D147" s="23" t="n"/>
      <c r="E147" s="23" t="n"/>
      <c r="F147" s="23" t="n"/>
      <c r="G147" s="23" t="n"/>
      <c r="H147" s="24" t="n"/>
      <c r="I147" s="23" t="n"/>
      <c r="J147" s="23" t="n"/>
      <c r="K147" s="23" t="n"/>
      <c r="L147" s="23" t="n"/>
      <c r="M147" s="23" t="n"/>
      <c r="N147" s="23" t="n"/>
      <c r="O147" s="23" t="n"/>
      <c r="P147" s="23" t="n"/>
      <c r="Q147" s="23" t="n"/>
      <c r="R147" s="23" t="n"/>
      <c r="S147" s="23" t="n"/>
      <c r="T147" s="23" t="n"/>
      <c r="U147" s="23" t="n"/>
      <c r="V147" s="23" t="n"/>
      <c r="W147" s="23" t="n"/>
      <c r="X147" s="23" t="n"/>
      <c r="Y147" s="25" t="n"/>
      <c r="Z147" s="25" t="n"/>
      <c r="AA147" s="23" t="n"/>
      <c r="AB147" s="25" t="n"/>
      <c r="AC147" s="23" t="n"/>
      <c r="AD147" s="25" t="n"/>
      <c r="AE147" s="23" t="n"/>
      <c r="AF147" s="25" t="n"/>
      <c r="AG147" s="25" t="n"/>
      <c r="AH147" s="23" t="n"/>
      <c r="AI147" s="23" t="n"/>
      <c r="AJ147" s="26">
        <f>IF(I147="","",I147&amp;"|"&amp;R147)</f>
        <v/>
      </c>
      <c r="AK147" s="26">
        <f>IF(I147="","",IF(ISNA(MATCH(O147,Kampanyalar!$A$2:$A$150,0)),"Hayır - Kampanyalar'da Yok","Evet"))</f>
        <v/>
      </c>
      <c r="AL147" s="27">
        <f>IF(I147="","",IFERROR(INDEX(Kampanyalar!$E$2:$E$150,MATCH(O147,Kampanyalar!$A$2:$A$150,0)),""))</f>
        <v/>
      </c>
      <c r="AM147" s="27">
        <f>IF(I147="","",IFERROR(INDEX(Kampanyalar!$F$2:$F$150,MATCH(O147,Kampanyalar!$A$2:$A$150,0)),""))</f>
        <v/>
      </c>
      <c r="AN147" s="27">
        <f>IF(I147="","",IFERROR(INDEX(Kampanyalar!$G$2:$G$150,MATCH(O147,Kampanyalar!$A$2:$A$150,0)),""))</f>
        <v/>
      </c>
      <c r="AO147" s="26">
        <f>IF(OR(I147="",AL147="",AM147=""),"",IF(AND(H147&gt;=AL147,H147&lt;=AM147),"Evet","HAYIR - Tarih Dışı"))</f>
        <v/>
      </c>
      <c r="AP147" s="28">
        <f>IF(I147="","",IFERROR(INDEX(Kampanyalar!$H$2:$H$150,MATCH(O147,Kampanyalar!$A$2:$A$150,0)),""))</f>
        <v/>
      </c>
      <c r="AQ147" s="28">
        <f>IF(I147="","",IF(ISNUMBER(AP147),AP147,AD147))</f>
        <v/>
      </c>
      <c r="AR147" s="26">
        <f>IF(I147="","",IF(Parametreler!$C$7="Evet","Kural A - Hemen Ödeme (Stok Mutabakatlı)","Kural B - Nakliye/Montaj Sonrası Ödeme"))</f>
        <v/>
      </c>
    </row>
    <row r="148">
      <c r="A148" s="23" t="n"/>
      <c r="B148" s="23" t="n"/>
      <c r="C148" s="23" t="n"/>
      <c r="D148" s="23" t="n"/>
      <c r="E148" s="23" t="n"/>
      <c r="F148" s="23" t="n"/>
      <c r="G148" s="23" t="n"/>
      <c r="H148" s="24" t="n"/>
      <c r="I148" s="23" t="n"/>
      <c r="J148" s="23" t="n"/>
      <c r="K148" s="23" t="n"/>
      <c r="L148" s="23" t="n"/>
      <c r="M148" s="23" t="n"/>
      <c r="N148" s="23" t="n"/>
      <c r="O148" s="23" t="n"/>
      <c r="P148" s="23" t="n"/>
      <c r="Q148" s="23" t="n"/>
      <c r="R148" s="23" t="n"/>
      <c r="S148" s="23" t="n"/>
      <c r="T148" s="23" t="n"/>
      <c r="U148" s="23" t="n"/>
      <c r="V148" s="23" t="n"/>
      <c r="W148" s="23" t="n"/>
      <c r="X148" s="23" t="n"/>
      <c r="Y148" s="25" t="n"/>
      <c r="Z148" s="25" t="n"/>
      <c r="AA148" s="23" t="n"/>
      <c r="AB148" s="25" t="n"/>
      <c r="AC148" s="23" t="n"/>
      <c r="AD148" s="25" t="n"/>
      <c r="AE148" s="23" t="n"/>
      <c r="AF148" s="25" t="n"/>
      <c r="AG148" s="25" t="n"/>
      <c r="AH148" s="23" t="n"/>
      <c r="AI148" s="23" t="n"/>
      <c r="AJ148" s="26">
        <f>IF(I148="","",I148&amp;"|"&amp;R148)</f>
        <v/>
      </c>
      <c r="AK148" s="26">
        <f>IF(I148="","",IF(ISNA(MATCH(O148,Kampanyalar!$A$2:$A$150,0)),"Hayır - Kampanyalar'da Yok","Evet"))</f>
        <v/>
      </c>
      <c r="AL148" s="27">
        <f>IF(I148="","",IFERROR(INDEX(Kampanyalar!$E$2:$E$150,MATCH(O148,Kampanyalar!$A$2:$A$150,0)),""))</f>
        <v/>
      </c>
      <c r="AM148" s="27">
        <f>IF(I148="","",IFERROR(INDEX(Kampanyalar!$F$2:$F$150,MATCH(O148,Kampanyalar!$A$2:$A$150,0)),""))</f>
        <v/>
      </c>
      <c r="AN148" s="27">
        <f>IF(I148="","",IFERROR(INDEX(Kampanyalar!$G$2:$G$150,MATCH(O148,Kampanyalar!$A$2:$A$150,0)),""))</f>
        <v/>
      </c>
      <c r="AO148" s="26">
        <f>IF(OR(I148="",AL148="",AM148=""),"",IF(AND(H148&gt;=AL148,H148&lt;=AM148),"Evet","HAYIR - Tarih Dışı"))</f>
        <v/>
      </c>
      <c r="AP148" s="28">
        <f>IF(I148="","",IFERROR(INDEX(Kampanyalar!$H$2:$H$150,MATCH(O148,Kampanyalar!$A$2:$A$150,0)),""))</f>
        <v/>
      </c>
      <c r="AQ148" s="28">
        <f>IF(I148="","",IF(ISNUMBER(AP148),AP148,AD148))</f>
        <v/>
      </c>
      <c r="AR148" s="26">
        <f>IF(I148="","",IF(Parametreler!$C$7="Evet","Kural A - Hemen Ödeme (Stok Mutabakatlı)","Kural B - Nakliye/Montaj Sonrası Ödeme"))</f>
        <v/>
      </c>
    </row>
    <row r="149">
      <c r="A149" s="23" t="n"/>
      <c r="B149" s="23" t="n"/>
      <c r="C149" s="23" t="n"/>
      <c r="D149" s="23" t="n"/>
      <c r="E149" s="23" t="n"/>
      <c r="F149" s="23" t="n"/>
      <c r="G149" s="23" t="n"/>
      <c r="H149" s="24" t="n"/>
      <c r="I149" s="23" t="n"/>
      <c r="J149" s="23" t="n"/>
      <c r="K149" s="23" t="n"/>
      <c r="L149" s="23" t="n"/>
      <c r="M149" s="23" t="n"/>
      <c r="N149" s="23" t="n"/>
      <c r="O149" s="23" t="n"/>
      <c r="P149" s="23" t="n"/>
      <c r="Q149" s="23" t="n"/>
      <c r="R149" s="23" t="n"/>
      <c r="S149" s="23" t="n"/>
      <c r="T149" s="23" t="n"/>
      <c r="U149" s="23" t="n"/>
      <c r="V149" s="23" t="n"/>
      <c r="W149" s="23" t="n"/>
      <c r="X149" s="23" t="n"/>
      <c r="Y149" s="25" t="n"/>
      <c r="Z149" s="25" t="n"/>
      <c r="AA149" s="23" t="n"/>
      <c r="AB149" s="25" t="n"/>
      <c r="AC149" s="23" t="n"/>
      <c r="AD149" s="25" t="n"/>
      <c r="AE149" s="23" t="n"/>
      <c r="AF149" s="25" t="n"/>
      <c r="AG149" s="25" t="n"/>
      <c r="AH149" s="23" t="n"/>
      <c r="AI149" s="23" t="n"/>
      <c r="AJ149" s="26">
        <f>IF(I149="","",I149&amp;"|"&amp;R149)</f>
        <v/>
      </c>
      <c r="AK149" s="26">
        <f>IF(I149="","",IF(ISNA(MATCH(O149,Kampanyalar!$A$2:$A$150,0)),"Hayır - Kampanyalar'da Yok","Evet"))</f>
        <v/>
      </c>
      <c r="AL149" s="27">
        <f>IF(I149="","",IFERROR(INDEX(Kampanyalar!$E$2:$E$150,MATCH(O149,Kampanyalar!$A$2:$A$150,0)),""))</f>
        <v/>
      </c>
      <c r="AM149" s="27">
        <f>IF(I149="","",IFERROR(INDEX(Kampanyalar!$F$2:$F$150,MATCH(O149,Kampanyalar!$A$2:$A$150,0)),""))</f>
        <v/>
      </c>
      <c r="AN149" s="27">
        <f>IF(I149="","",IFERROR(INDEX(Kampanyalar!$G$2:$G$150,MATCH(O149,Kampanyalar!$A$2:$A$150,0)),""))</f>
        <v/>
      </c>
      <c r="AO149" s="26">
        <f>IF(OR(I149="",AL149="",AM149=""),"",IF(AND(H149&gt;=AL149,H149&lt;=AM149),"Evet","HAYIR - Tarih Dışı"))</f>
        <v/>
      </c>
      <c r="AP149" s="28">
        <f>IF(I149="","",IFERROR(INDEX(Kampanyalar!$H$2:$H$150,MATCH(O149,Kampanyalar!$A$2:$A$150,0)),""))</f>
        <v/>
      </c>
      <c r="AQ149" s="28">
        <f>IF(I149="","",IF(ISNUMBER(AP149),AP149,AD149))</f>
        <v/>
      </c>
      <c r="AR149" s="26">
        <f>IF(I149="","",IF(Parametreler!$C$7="Evet","Kural A - Hemen Ödeme (Stok Mutabakatlı)","Kural B - Nakliye/Montaj Sonrası Ödeme"))</f>
        <v/>
      </c>
    </row>
    <row r="150">
      <c r="A150" s="23" t="n"/>
      <c r="B150" s="23" t="n"/>
      <c r="C150" s="23" t="n"/>
      <c r="D150" s="23" t="n"/>
      <c r="E150" s="23" t="n"/>
      <c r="F150" s="23" t="n"/>
      <c r="G150" s="23" t="n"/>
      <c r="H150" s="24" t="n"/>
      <c r="I150" s="23" t="n"/>
      <c r="J150" s="23" t="n"/>
      <c r="K150" s="23" t="n"/>
      <c r="L150" s="23" t="n"/>
      <c r="M150" s="23" t="n"/>
      <c r="N150" s="23" t="n"/>
      <c r="O150" s="23" t="n"/>
      <c r="P150" s="23" t="n"/>
      <c r="Q150" s="23" t="n"/>
      <c r="R150" s="23" t="n"/>
      <c r="S150" s="23" t="n"/>
      <c r="T150" s="23" t="n"/>
      <c r="U150" s="23" t="n"/>
      <c r="V150" s="23" t="n"/>
      <c r="W150" s="23" t="n"/>
      <c r="X150" s="23" t="n"/>
      <c r="Y150" s="25" t="n"/>
      <c r="Z150" s="25" t="n"/>
      <c r="AA150" s="23" t="n"/>
      <c r="AB150" s="25" t="n"/>
      <c r="AC150" s="23" t="n"/>
      <c r="AD150" s="25" t="n"/>
      <c r="AE150" s="23" t="n"/>
      <c r="AF150" s="25" t="n"/>
      <c r="AG150" s="25" t="n"/>
      <c r="AH150" s="23" t="n"/>
      <c r="AI150" s="23" t="n"/>
      <c r="AJ150" s="26">
        <f>IF(I150="","",I150&amp;"|"&amp;R150)</f>
        <v/>
      </c>
      <c r="AK150" s="26">
        <f>IF(I150="","",IF(ISNA(MATCH(O150,Kampanyalar!$A$2:$A$150,0)),"Hayır - Kampanyalar'da Yok","Evet"))</f>
        <v/>
      </c>
      <c r="AL150" s="27">
        <f>IF(I150="","",IFERROR(INDEX(Kampanyalar!$E$2:$E$150,MATCH(O150,Kampanyalar!$A$2:$A$150,0)),""))</f>
        <v/>
      </c>
      <c r="AM150" s="27">
        <f>IF(I150="","",IFERROR(INDEX(Kampanyalar!$F$2:$F$150,MATCH(O150,Kampanyalar!$A$2:$A$150,0)),""))</f>
        <v/>
      </c>
      <c r="AN150" s="27">
        <f>IF(I150="","",IFERROR(INDEX(Kampanyalar!$G$2:$G$150,MATCH(O150,Kampanyalar!$A$2:$A$150,0)),""))</f>
        <v/>
      </c>
      <c r="AO150" s="26">
        <f>IF(OR(I150="",AL150="",AM150=""),"",IF(AND(H150&gt;=AL150,H150&lt;=AM150),"Evet","HAYIR - Tarih Dışı"))</f>
        <v/>
      </c>
      <c r="AP150" s="28">
        <f>IF(I150="","",IFERROR(INDEX(Kampanyalar!$H$2:$H$150,MATCH(O150,Kampanyalar!$A$2:$A$150,0)),""))</f>
        <v/>
      </c>
      <c r="AQ150" s="28">
        <f>IF(I150="","",IF(ISNUMBER(AP150),AP150,AD150))</f>
        <v/>
      </c>
      <c r="AR150" s="26">
        <f>IF(I150="","",IF(Parametreler!$C$7="Evet","Kural A - Hemen Ödeme (Stok Mutabakatlı)","Kural B - Nakliye/Montaj Sonrası Ödeme"))</f>
        <v/>
      </c>
    </row>
    <row r="151">
      <c r="A151" s="23" t="n"/>
      <c r="B151" s="23" t="n"/>
      <c r="C151" s="23" t="n"/>
      <c r="D151" s="23" t="n"/>
      <c r="E151" s="23" t="n"/>
      <c r="F151" s="23" t="n"/>
      <c r="G151" s="23" t="n"/>
      <c r="H151" s="24" t="n"/>
      <c r="I151" s="23" t="n"/>
      <c r="J151" s="23" t="n"/>
      <c r="K151" s="23" t="n"/>
      <c r="L151" s="23" t="n"/>
      <c r="M151" s="23" t="n"/>
      <c r="N151" s="23" t="n"/>
      <c r="O151" s="23" t="n"/>
      <c r="P151" s="23" t="n"/>
      <c r="Q151" s="23" t="n"/>
      <c r="R151" s="23" t="n"/>
      <c r="S151" s="23" t="n"/>
      <c r="T151" s="23" t="n"/>
      <c r="U151" s="23" t="n"/>
      <c r="V151" s="23" t="n"/>
      <c r="W151" s="23" t="n"/>
      <c r="X151" s="23" t="n"/>
      <c r="Y151" s="25" t="n"/>
      <c r="Z151" s="25" t="n"/>
      <c r="AA151" s="23" t="n"/>
      <c r="AB151" s="25" t="n"/>
      <c r="AC151" s="23" t="n"/>
      <c r="AD151" s="25" t="n"/>
      <c r="AE151" s="23" t="n"/>
      <c r="AF151" s="25" t="n"/>
      <c r="AG151" s="25" t="n"/>
      <c r="AH151" s="23" t="n"/>
      <c r="AI151" s="23" t="n"/>
      <c r="AJ151" s="26">
        <f>IF(I151="","",I151&amp;"|"&amp;R151)</f>
        <v/>
      </c>
      <c r="AK151" s="26">
        <f>IF(I151="","",IF(ISNA(MATCH(O151,Kampanyalar!$A$2:$A$150,0)),"Hayır - Kampanyalar'da Yok","Evet"))</f>
        <v/>
      </c>
      <c r="AL151" s="27">
        <f>IF(I151="","",IFERROR(INDEX(Kampanyalar!$E$2:$E$150,MATCH(O151,Kampanyalar!$A$2:$A$150,0)),""))</f>
        <v/>
      </c>
      <c r="AM151" s="27">
        <f>IF(I151="","",IFERROR(INDEX(Kampanyalar!$F$2:$F$150,MATCH(O151,Kampanyalar!$A$2:$A$150,0)),""))</f>
        <v/>
      </c>
      <c r="AN151" s="27">
        <f>IF(I151="","",IFERROR(INDEX(Kampanyalar!$G$2:$G$150,MATCH(O151,Kampanyalar!$A$2:$A$150,0)),""))</f>
        <v/>
      </c>
      <c r="AO151" s="26">
        <f>IF(OR(I151="",AL151="",AM151=""),"",IF(AND(H151&gt;=AL151,H151&lt;=AM151),"Evet","HAYIR - Tarih Dışı"))</f>
        <v/>
      </c>
      <c r="AP151" s="28">
        <f>IF(I151="","",IFERROR(INDEX(Kampanyalar!$H$2:$H$150,MATCH(O151,Kampanyalar!$A$2:$A$150,0)),""))</f>
        <v/>
      </c>
      <c r="AQ151" s="28">
        <f>IF(I151="","",IF(ISNUMBER(AP151),AP151,AD151))</f>
        <v/>
      </c>
      <c r="AR151" s="26">
        <f>IF(I151="","",IF(Parametreler!$C$7="Evet","Kural A - Hemen Ödeme (Stok Mutabakatlı)","Kural B - Nakliye/Montaj Sonrası Ödeme"))</f>
        <v/>
      </c>
    </row>
    <row r="152">
      <c r="A152" s="23" t="n"/>
      <c r="B152" s="23" t="n"/>
      <c r="C152" s="23" t="n"/>
      <c r="D152" s="23" t="n"/>
      <c r="E152" s="23" t="n"/>
      <c r="F152" s="23" t="n"/>
      <c r="G152" s="23" t="n"/>
      <c r="H152" s="24" t="n"/>
      <c r="I152" s="23" t="n"/>
      <c r="J152" s="23" t="n"/>
      <c r="K152" s="23" t="n"/>
      <c r="L152" s="23" t="n"/>
      <c r="M152" s="23" t="n"/>
      <c r="N152" s="23" t="n"/>
      <c r="O152" s="23" t="n"/>
      <c r="P152" s="23" t="n"/>
      <c r="Q152" s="23" t="n"/>
      <c r="R152" s="23" t="n"/>
      <c r="S152" s="23" t="n"/>
      <c r="T152" s="23" t="n"/>
      <c r="U152" s="23" t="n"/>
      <c r="V152" s="23" t="n"/>
      <c r="W152" s="23" t="n"/>
      <c r="X152" s="23" t="n"/>
      <c r="Y152" s="25" t="n"/>
      <c r="Z152" s="25" t="n"/>
      <c r="AA152" s="23" t="n"/>
      <c r="AB152" s="25" t="n"/>
      <c r="AC152" s="23" t="n"/>
      <c r="AD152" s="25" t="n"/>
      <c r="AE152" s="23" t="n"/>
      <c r="AF152" s="25" t="n"/>
      <c r="AG152" s="25" t="n"/>
      <c r="AH152" s="23" t="n"/>
      <c r="AI152" s="23" t="n"/>
      <c r="AJ152" s="26">
        <f>IF(I152="","",I152&amp;"|"&amp;R152)</f>
        <v/>
      </c>
      <c r="AK152" s="26">
        <f>IF(I152="","",IF(ISNA(MATCH(O152,Kampanyalar!$A$2:$A$150,0)),"Hayır - Kampanyalar'da Yok","Evet"))</f>
        <v/>
      </c>
      <c r="AL152" s="27">
        <f>IF(I152="","",IFERROR(INDEX(Kampanyalar!$E$2:$E$150,MATCH(O152,Kampanyalar!$A$2:$A$150,0)),""))</f>
        <v/>
      </c>
      <c r="AM152" s="27">
        <f>IF(I152="","",IFERROR(INDEX(Kampanyalar!$F$2:$F$150,MATCH(O152,Kampanyalar!$A$2:$A$150,0)),""))</f>
        <v/>
      </c>
      <c r="AN152" s="27">
        <f>IF(I152="","",IFERROR(INDEX(Kampanyalar!$G$2:$G$150,MATCH(O152,Kampanyalar!$A$2:$A$150,0)),""))</f>
        <v/>
      </c>
      <c r="AO152" s="26">
        <f>IF(OR(I152="",AL152="",AM152=""),"",IF(AND(H152&gt;=AL152,H152&lt;=AM152),"Evet","HAYIR - Tarih Dışı"))</f>
        <v/>
      </c>
      <c r="AP152" s="28">
        <f>IF(I152="","",IFERROR(INDEX(Kampanyalar!$H$2:$H$150,MATCH(O152,Kampanyalar!$A$2:$A$150,0)),""))</f>
        <v/>
      </c>
      <c r="AQ152" s="28">
        <f>IF(I152="","",IF(ISNUMBER(AP152),AP152,AD152))</f>
        <v/>
      </c>
      <c r="AR152" s="26">
        <f>IF(I152="","",IF(Parametreler!$C$7="Evet","Kural A - Hemen Ödeme (Stok Mutabakatlı)","Kural B - Nakliye/Montaj Sonrası Ödeme"))</f>
        <v/>
      </c>
    </row>
    <row r="153">
      <c r="A153" s="23" t="n"/>
      <c r="B153" s="23" t="n"/>
      <c r="C153" s="23" t="n"/>
      <c r="D153" s="23" t="n"/>
      <c r="E153" s="23" t="n"/>
      <c r="F153" s="23" t="n"/>
      <c r="G153" s="23" t="n"/>
      <c r="H153" s="24" t="n"/>
      <c r="I153" s="23" t="n"/>
      <c r="J153" s="23" t="n"/>
      <c r="K153" s="23" t="n"/>
      <c r="L153" s="23" t="n"/>
      <c r="M153" s="23" t="n"/>
      <c r="N153" s="23" t="n"/>
      <c r="O153" s="23" t="n"/>
      <c r="P153" s="23" t="n"/>
      <c r="Q153" s="23" t="n"/>
      <c r="R153" s="23" t="n"/>
      <c r="S153" s="23" t="n"/>
      <c r="T153" s="23" t="n"/>
      <c r="U153" s="23" t="n"/>
      <c r="V153" s="23" t="n"/>
      <c r="W153" s="23" t="n"/>
      <c r="X153" s="23" t="n"/>
      <c r="Y153" s="25" t="n"/>
      <c r="Z153" s="25" t="n"/>
      <c r="AA153" s="23" t="n"/>
      <c r="AB153" s="25" t="n"/>
      <c r="AC153" s="23" t="n"/>
      <c r="AD153" s="25" t="n"/>
      <c r="AE153" s="23" t="n"/>
      <c r="AF153" s="25" t="n"/>
      <c r="AG153" s="25" t="n"/>
      <c r="AH153" s="23" t="n"/>
      <c r="AI153" s="23" t="n"/>
      <c r="AJ153" s="26">
        <f>IF(I153="","",I153&amp;"|"&amp;R153)</f>
        <v/>
      </c>
      <c r="AK153" s="26">
        <f>IF(I153="","",IF(ISNA(MATCH(O153,Kampanyalar!$A$2:$A$150,0)),"Hayır - Kampanyalar'da Yok","Evet"))</f>
        <v/>
      </c>
      <c r="AL153" s="27">
        <f>IF(I153="","",IFERROR(INDEX(Kampanyalar!$E$2:$E$150,MATCH(O153,Kampanyalar!$A$2:$A$150,0)),""))</f>
        <v/>
      </c>
      <c r="AM153" s="27">
        <f>IF(I153="","",IFERROR(INDEX(Kampanyalar!$F$2:$F$150,MATCH(O153,Kampanyalar!$A$2:$A$150,0)),""))</f>
        <v/>
      </c>
      <c r="AN153" s="27">
        <f>IF(I153="","",IFERROR(INDEX(Kampanyalar!$G$2:$G$150,MATCH(O153,Kampanyalar!$A$2:$A$150,0)),""))</f>
        <v/>
      </c>
      <c r="AO153" s="26">
        <f>IF(OR(I153="",AL153="",AM153=""),"",IF(AND(H153&gt;=AL153,H153&lt;=AM153),"Evet","HAYIR - Tarih Dışı"))</f>
        <v/>
      </c>
      <c r="AP153" s="28">
        <f>IF(I153="","",IFERROR(INDEX(Kampanyalar!$H$2:$H$150,MATCH(O153,Kampanyalar!$A$2:$A$150,0)),""))</f>
        <v/>
      </c>
      <c r="AQ153" s="28">
        <f>IF(I153="","",IF(ISNUMBER(AP153),AP153,AD153))</f>
        <v/>
      </c>
      <c r="AR153" s="26">
        <f>IF(I153="","",IF(Parametreler!$C$7="Evet","Kural A - Hemen Ödeme (Stok Mutabakatlı)","Kural B - Nakliye/Montaj Sonrası Ödeme"))</f>
        <v/>
      </c>
    </row>
    <row r="154">
      <c r="A154" s="23" t="n"/>
      <c r="B154" s="23" t="n"/>
      <c r="C154" s="23" t="n"/>
      <c r="D154" s="23" t="n"/>
      <c r="E154" s="23" t="n"/>
      <c r="F154" s="23" t="n"/>
      <c r="G154" s="23" t="n"/>
      <c r="H154" s="24" t="n"/>
      <c r="I154" s="23" t="n"/>
      <c r="J154" s="23" t="n"/>
      <c r="K154" s="23" t="n"/>
      <c r="L154" s="23" t="n"/>
      <c r="M154" s="23" t="n"/>
      <c r="N154" s="23" t="n"/>
      <c r="O154" s="23" t="n"/>
      <c r="P154" s="23" t="n"/>
      <c r="Q154" s="23" t="n"/>
      <c r="R154" s="23" t="n"/>
      <c r="S154" s="23" t="n"/>
      <c r="T154" s="23" t="n"/>
      <c r="U154" s="23" t="n"/>
      <c r="V154" s="23" t="n"/>
      <c r="W154" s="23" t="n"/>
      <c r="X154" s="23" t="n"/>
      <c r="Y154" s="25" t="n"/>
      <c r="Z154" s="25" t="n"/>
      <c r="AA154" s="23" t="n"/>
      <c r="AB154" s="25" t="n"/>
      <c r="AC154" s="23" t="n"/>
      <c r="AD154" s="25" t="n"/>
      <c r="AE154" s="23" t="n"/>
      <c r="AF154" s="25" t="n"/>
      <c r="AG154" s="25" t="n"/>
      <c r="AH154" s="23" t="n"/>
      <c r="AI154" s="23" t="n"/>
      <c r="AJ154" s="26">
        <f>IF(I154="","",I154&amp;"|"&amp;R154)</f>
        <v/>
      </c>
      <c r="AK154" s="26">
        <f>IF(I154="","",IF(ISNA(MATCH(O154,Kampanyalar!$A$2:$A$150,0)),"Hayır - Kampanyalar'da Yok","Evet"))</f>
        <v/>
      </c>
      <c r="AL154" s="27">
        <f>IF(I154="","",IFERROR(INDEX(Kampanyalar!$E$2:$E$150,MATCH(O154,Kampanyalar!$A$2:$A$150,0)),""))</f>
        <v/>
      </c>
      <c r="AM154" s="27">
        <f>IF(I154="","",IFERROR(INDEX(Kampanyalar!$F$2:$F$150,MATCH(O154,Kampanyalar!$A$2:$A$150,0)),""))</f>
        <v/>
      </c>
      <c r="AN154" s="27">
        <f>IF(I154="","",IFERROR(INDEX(Kampanyalar!$G$2:$G$150,MATCH(O154,Kampanyalar!$A$2:$A$150,0)),""))</f>
        <v/>
      </c>
      <c r="AO154" s="26">
        <f>IF(OR(I154="",AL154="",AM154=""),"",IF(AND(H154&gt;=AL154,H154&lt;=AM154),"Evet","HAYIR - Tarih Dışı"))</f>
        <v/>
      </c>
      <c r="AP154" s="28">
        <f>IF(I154="","",IFERROR(INDEX(Kampanyalar!$H$2:$H$150,MATCH(O154,Kampanyalar!$A$2:$A$150,0)),""))</f>
        <v/>
      </c>
      <c r="AQ154" s="28">
        <f>IF(I154="","",IF(ISNUMBER(AP154),AP154,AD154))</f>
        <v/>
      </c>
      <c r="AR154" s="26">
        <f>IF(I154="","",IF(Parametreler!$C$7="Evet","Kural A - Hemen Ödeme (Stok Mutabakatlı)","Kural B - Nakliye/Montaj Sonrası Ödeme"))</f>
        <v/>
      </c>
    </row>
    <row r="155">
      <c r="A155" s="23" t="n"/>
      <c r="B155" s="23" t="n"/>
      <c r="C155" s="23" t="n"/>
      <c r="D155" s="23" t="n"/>
      <c r="E155" s="23" t="n"/>
      <c r="F155" s="23" t="n"/>
      <c r="G155" s="23" t="n"/>
      <c r="H155" s="24" t="n"/>
      <c r="I155" s="23" t="n"/>
      <c r="J155" s="23" t="n"/>
      <c r="K155" s="23" t="n"/>
      <c r="L155" s="23" t="n"/>
      <c r="M155" s="23" t="n"/>
      <c r="N155" s="23" t="n"/>
      <c r="O155" s="23" t="n"/>
      <c r="P155" s="23" t="n"/>
      <c r="Q155" s="23" t="n"/>
      <c r="R155" s="23" t="n"/>
      <c r="S155" s="23" t="n"/>
      <c r="T155" s="23" t="n"/>
      <c r="U155" s="23" t="n"/>
      <c r="V155" s="23" t="n"/>
      <c r="W155" s="23" t="n"/>
      <c r="X155" s="23" t="n"/>
      <c r="Y155" s="25" t="n"/>
      <c r="Z155" s="25" t="n"/>
      <c r="AA155" s="23" t="n"/>
      <c r="AB155" s="25" t="n"/>
      <c r="AC155" s="23" t="n"/>
      <c r="AD155" s="25" t="n"/>
      <c r="AE155" s="23" t="n"/>
      <c r="AF155" s="25" t="n"/>
      <c r="AG155" s="25" t="n"/>
      <c r="AH155" s="23" t="n"/>
      <c r="AI155" s="23" t="n"/>
      <c r="AJ155" s="26">
        <f>IF(I155="","",I155&amp;"|"&amp;R155)</f>
        <v/>
      </c>
      <c r="AK155" s="26">
        <f>IF(I155="","",IF(ISNA(MATCH(O155,Kampanyalar!$A$2:$A$150,0)),"Hayır - Kampanyalar'da Yok","Evet"))</f>
        <v/>
      </c>
      <c r="AL155" s="27">
        <f>IF(I155="","",IFERROR(INDEX(Kampanyalar!$E$2:$E$150,MATCH(O155,Kampanyalar!$A$2:$A$150,0)),""))</f>
        <v/>
      </c>
      <c r="AM155" s="27">
        <f>IF(I155="","",IFERROR(INDEX(Kampanyalar!$F$2:$F$150,MATCH(O155,Kampanyalar!$A$2:$A$150,0)),""))</f>
        <v/>
      </c>
      <c r="AN155" s="27">
        <f>IF(I155="","",IFERROR(INDEX(Kampanyalar!$G$2:$G$150,MATCH(O155,Kampanyalar!$A$2:$A$150,0)),""))</f>
        <v/>
      </c>
      <c r="AO155" s="26">
        <f>IF(OR(I155="",AL155="",AM155=""),"",IF(AND(H155&gt;=AL155,H155&lt;=AM155),"Evet","HAYIR - Tarih Dışı"))</f>
        <v/>
      </c>
      <c r="AP155" s="28">
        <f>IF(I155="","",IFERROR(INDEX(Kampanyalar!$H$2:$H$150,MATCH(O155,Kampanyalar!$A$2:$A$150,0)),""))</f>
        <v/>
      </c>
      <c r="AQ155" s="28">
        <f>IF(I155="","",IF(ISNUMBER(AP155),AP155,AD155))</f>
        <v/>
      </c>
      <c r="AR155" s="26">
        <f>IF(I155="","",IF(Parametreler!$C$7="Evet","Kural A - Hemen Ödeme (Stok Mutabakatlı)","Kural B - Nakliye/Montaj Sonrası Ödeme"))</f>
        <v/>
      </c>
    </row>
    <row r="156">
      <c r="A156" s="23" t="n"/>
      <c r="B156" s="23" t="n"/>
      <c r="C156" s="23" t="n"/>
      <c r="D156" s="23" t="n"/>
      <c r="E156" s="23" t="n"/>
      <c r="F156" s="23" t="n"/>
      <c r="G156" s="23" t="n"/>
      <c r="H156" s="24" t="n"/>
      <c r="I156" s="23" t="n"/>
      <c r="J156" s="23" t="n"/>
      <c r="K156" s="23" t="n"/>
      <c r="L156" s="23" t="n"/>
      <c r="M156" s="23" t="n"/>
      <c r="N156" s="23" t="n"/>
      <c r="O156" s="23" t="n"/>
      <c r="P156" s="23" t="n"/>
      <c r="Q156" s="23" t="n"/>
      <c r="R156" s="23" t="n"/>
      <c r="S156" s="23" t="n"/>
      <c r="T156" s="23" t="n"/>
      <c r="U156" s="23" t="n"/>
      <c r="V156" s="23" t="n"/>
      <c r="W156" s="23" t="n"/>
      <c r="X156" s="23" t="n"/>
      <c r="Y156" s="25" t="n"/>
      <c r="Z156" s="25" t="n"/>
      <c r="AA156" s="23" t="n"/>
      <c r="AB156" s="25" t="n"/>
      <c r="AC156" s="23" t="n"/>
      <c r="AD156" s="25" t="n"/>
      <c r="AE156" s="23" t="n"/>
      <c r="AF156" s="25" t="n"/>
      <c r="AG156" s="25" t="n"/>
      <c r="AH156" s="23" t="n"/>
      <c r="AI156" s="23" t="n"/>
      <c r="AJ156" s="26">
        <f>IF(I156="","",I156&amp;"|"&amp;R156)</f>
        <v/>
      </c>
      <c r="AK156" s="26">
        <f>IF(I156="","",IF(ISNA(MATCH(O156,Kampanyalar!$A$2:$A$150,0)),"Hayır - Kampanyalar'da Yok","Evet"))</f>
        <v/>
      </c>
      <c r="AL156" s="27">
        <f>IF(I156="","",IFERROR(INDEX(Kampanyalar!$E$2:$E$150,MATCH(O156,Kampanyalar!$A$2:$A$150,0)),""))</f>
        <v/>
      </c>
      <c r="AM156" s="27">
        <f>IF(I156="","",IFERROR(INDEX(Kampanyalar!$F$2:$F$150,MATCH(O156,Kampanyalar!$A$2:$A$150,0)),""))</f>
        <v/>
      </c>
      <c r="AN156" s="27">
        <f>IF(I156="","",IFERROR(INDEX(Kampanyalar!$G$2:$G$150,MATCH(O156,Kampanyalar!$A$2:$A$150,0)),""))</f>
        <v/>
      </c>
      <c r="AO156" s="26">
        <f>IF(OR(I156="",AL156="",AM156=""),"",IF(AND(H156&gt;=AL156,H156&lt;=AM156),"Evet","HAYIR - Tarih Dışı"))</f>
        <v/>
      </c>
      <c r="AP156" s="28">
        <f>IF(I156="","",IFERROR(INDEX(Kampanyalar!$H$2:$H$150,MATCH(O156,Kampanyalar!$A$2:$A$150,0)),""))</f>
        <v/>
      </c>
      <c r="AQ156" s="28">
        <f>IF(I156="","",IF(ISNUMBER(AP156),AP156,AD156))</f>
        <v/>
      </c>
      <c r="AR156" s="26">
        <f>IF(I156="","",IF(Parametreler!$C$7="Evet","Kural A - Hemen Ödeme (Stok Mutabakatlı)","Kural B - Nakliye/Montaj Sonrası Ödeme"))</f>
        <v/>
      </c>
    </row>
    <row r="157">
      <c r="A157" s="23" t="n"/>
      <c r="B157" s="23" t="n"/>
      <c r="C157" s="23" t="n"/>
      <c r="D157" s="23" t="n"/>
      <c r="E157" s="23" t="n"/>
      <c r="F157" s="23" t="n"/>
      <c r="G157" s="23" t="n"/>
      <c r="H157" s="24" t="n"/>
      <c r="I157" s="23" t="n"/>
      <c r="J157" s="23" t="n"/>
      <c r="K157" s="23" t="n"/>
      <c r="L157" s="23" t="n"/>
      <c r="M157" s="23" t="n"/>
      <c r="N157" s="23" t="n"/>
      <c r="O157" s="23" t="n"/>
      <c r="P157" s="23" t="n"/>
      <c r="Q157" s="23" t="n"/>
      <c r="R157" s="23" t="n"/>
      <c r="S157" s="23" t="n"/>
      <c r="T157" s="23" t="n"/>
      <c r="U157" s="23" t="n"/>
      <c r="V157" s="23" t="n"/>
      <c r="W157" s="23" t="n"/>
      <c r="X157" s="23" t="n"/>
      <c r="Y157" s="25" t="n"/>
      <c r="Z157" s="25" t="n"/>
      <c r="AA157" s="23" t="n"/>
      <c r="AB157" s="25" t="n"/>
      <c r="AC157" s="23" t="n"/>
      <c r="AD157" s="25" t="n"/>
      <c r="AE157" s="23" t="n"/>
      <c r="AF157" s="25" t="n"/>
      <c r="AG157" s="25" t="n"/>
      <c r="AH157" s="23" t="n"/>
      <c r="AI157" s="23" t="n"/>
      <c r="AJ157" s="26">
        <f>IF(I157="","",I157&amp;"|"&amp;R157)</f>
        <v/>
      </c>
      <c r="AK157" s="26">
        <f>IF(I157="","",IF(ISNA(MATCH(O157,Kampanyalar!$A$2:$A$150,0)),"Hayır - Kampanyalar'da Yok","Evet"))</f>
        <v/>
      </c>
      <c r="AL157" s="27">
        <f>IF(I157="","",IFERROR(INDEX(Kampanyalar!$E$2:$E$150,MATCH(O157,Kampanyalar!$A$2:$A$150,0)),""))</f>
        <v/>
      </c>
      <c r="AM157" s="27">
        <f>IF(I157="","",IFERROR(INDEX(Kampanyalar!$F$2:$F$150,MATCH(O157,Kampanyalar!$A$2:$A$150,0)),""))</f>
        <v/>
      </c>
      <c r="AN157" s="27">
        <f>IF(I157="","",IFERROR(INDEX(Kampanyalar!$G$2:$G$150,MATCH(O157,Kampanyalar!$A$2:$A$150,0)),""))</f>
        <v/>
      </c>
      <c r="AO157" s="26">
        <f>IF(OR(I157="",AL157="",AM157=""),"",IF(AND(H157&gt;=AL157,H157&lt;=AM157),"Evet","HAYIR - Tarih Dışı"))</f>
        <v/>
      </c>
      <c r="AP157" s="28">
        <f>IF(I157="","",IFERROR(INDEX(Kampanyalar!$H$2:$H$150,MATCH(O157,Kampanyalar!$A$2:$A$150,0)),""))</f>
        <v/>
      </c>
      <c r="AQ157" s="28">
        <f>IF(I157="","",IF(ISNUMBER(AP157),AP157,AD157))</f>
        <v/>
      </c>
      <c r="AR157" s="26">
        <f>IF(I157="","",IF(Parametreler!$C$7="Evet","Kural A - Hemen Ödeme (Stok Mutabakatlı)","Kural B - Nakliye/Montaj Sonrası Ödeme"))</f>
        <v/>
      </c>
    </row>
    <row r="158">
      <c r="A158" s="23" t="n"/>
      <c r="B158" s="23" t="n"/>
      <c r="C158" s="23" t="n"/>
      <c r="D158" s="23" t="n"/>
      <c r="E158" s="23" t="n"/>
      <c r="F158" s="23" t="n"/>
      <c r="G158" s="23" t="n"/>
      <c r="H158" s="24" t="n"/>
      <c r="I158" s="23" t="n"/>
      <c r="J158" s="23" t="n"/>
      <c r="K158" s="23" t="n"/>
      <c r="L158" s="23" t="n"/>
      <c r="M158" s="23" t="n"/>
      <c r="N158" s="23" t="n"/>
      <c r="O158" s="23" t="n"/>
      <c r="P158" s="23" t="n"/>
      <c r="Q158" s="23" t="n"/>
      <c r="R158" s="23" t="n"/>
      <c r="S158" s="23" t="n"/>
      <c r="T158" s="23" t="n"/>
      <c r="U158" s="23" t="n"/>
      <c r="V158" s="23" t="n"/>
      <c r="W158" s="23" t="n"/>
      <c r="X158" s="23" t="n"/>
      <c r="Y158" s="25" t="n"/>
      <c r="Z158" s="25" t="n"/>
      <c r="AA158" s="23" t="n"/>
      <c r="AB158" s="25" t="n"/>
      <c r="AC158" s="23" t="n"/>
      <c r="AD158" s="25" t="n"/>
      <c r="AE158" s="23" t="n"/>
      <c r="AF158" s="25" t="n"/>
      <c r="AG158" s="25" t="n"/>
      <c r="AH158" s="23" t="n"/>
      <c r="AI158" s="23" t="n"/>
      <c r="AJ158" s="26">
        <f>IF(I158="","",I158&amp;"|"&amp;R158)</f>
        <v/>
      </c>
      <c r="AK158" s="26">
        <f>IF(I158="","",IF(ISNA(MATCH(O158,Kampanyalar!$A$2:$A$150,0)),"Hayır - Kampanyalar'da Yok","Evet"))</f>
        <v/>
      </c>
      <c r="AL158" s="27">
        <f>IF(I158="","",IFERROR(INDEX(Kampanyalar!$E$2:$E$150,MATCH(O158,Kampanyalar!$A$2:$A$150,0)),""))</f>
        <v/>
      </c>
      <c r="AM158" s="27">
        <f>IF(I158="","",IFERROR(INDEX(Kampanyalar!$F$2:$F$150,MATCH(O158,Kampanyalar!$A$2:$A$150,0)),""))</f>
        <v/>
      </c>
      <c r="AN158" s="27">
        <f>IF(I158="","",IFERROR(INDEX(Kampanyalar!$G$2:$G$150,MATCH(O158,Kampanyalar!$A$2:$A$150,0)),""))</f>
        <v/>
      </c>
      <c r="AO158" s="26">
        <f>IF(OR(I158="",AL158="",AM158=""),"",IF(AND(H158&gt;=AL158,H158&lt;=AM158),"Evet","HAYIR - Tarih Dışı"))</f>
        <v/>
      </c>
      <c r="AP158" s="28">
        <f>IF(I158="","",IFERROR(INDEX(Kampanyalar!$H$2:$H$150,MATCH(O158,Kampanyalar!$A$2:$A$150,0)),""))</f>
        <v/>
      </c>
      <c r="AQ158" s="28">
        <f>IF(I158="","",IF(ISNUMBER(AP158),AP158,AD158))</f>
        <v/>
      </c>
      <c r="AR158" s="26">
        <f>IF(I158="","",IF(Parametreler!$C$7="Evet","Kural A - Hemen Ödeme (Stok Mutabakatlı)","Kural B - Nakliye/Montaj Sonrası Ödeme"))</f>
        <v/>
      </c>
    </row>
    <row r="159">
      <c r="A159" s="23" t="n"/>
      <c r="B159" s="23" t="n"/>
      <c r="C159" s="23" t="n"/>
      <c r="D159" s="23" t="n"/>
      <c r="E159" s="23" t="n"/>
      <c r="F159" s="23" t="n"/>
      <c r="G159" s="23" t="n"/>
      <c r="H159" s="24" t="n"/>
      <c r="I159" s="23" t="n"/>
      <c r="J159" s="23" t="n"/>
      <c r="K159" s="23" t="n"/>
      <c r="L159" s="23" t="n"/>
      <c r="M159" s="23" t="n"/>
      <c r="N159" s="23" t="n"/>
      <c r="O159" s="23" t="n"/>
      <c r="P159" s="23" t="n"/>
      <c r="Q159" s="23" t="n"/>
      <c r="R159" s="23" t="n"/>
      <c r="S159" s="23" t="n"/>
      <c r="T159" s="23" t="n"/>
      <c r="U159" s="23" t="n"/>
      <c r="V159" s="23" t="n"/>
      <c r="W159" s="23" t="n"/>
      <c r="X159" s="23" t="n"/>
      <c r="Y159" s="25" t="n"/>
      <c r="Z159" s="25" t="n"/>
      <c r="AA159" s="23" t="n"/>
      <c r="AB159" s="25" t="n"/>
      <c r="AC159" s="23" t="n"/>
      <c r="AD159" s="25" t="n"/>
      <c r="AE159" s="23" t="n"/>
      <c r="AF159" s="25" t="n"/>
      <c r="AG159" s="25" t="n"/>
      <c r="AH159" s="23" t="n"/>
      <c r="AI159" s="23" t="n"/>
      <c r="AJ159" s="26">
        <f>IF(I159="","",I159&amp;"|"&amp;R159)</f>
        <v/>
      </c>
      <c r="AK159" s="26">
        <f>IF(I159="","",IF(ISNA(MATCH(O159,Kampanyalar!$A$2:$A$150,0)),"Hayır - Kampanyalar'da Yok","Evet"))</f>
        <v/>
      </c>
      <c r="AL159" s="27">
        <f>IF(I159="","",IFERROR(INDEX(Kampanyalar!$E$2:$E$150,MATCH(O159,Kampanyalar!$A$2:$A$150,0)),""))</f>
        <v/>
      </c>
      <c r="AM159" s="27">
        <f>IF(I159="","",IFERROR(INDEX(Kampanyalar!$F$2:$F$150,MATCH(O159,Kampanyalar!$A$2:$A$150,0)),""))</f>
        <v/>
      </c>
      <c r="AN159" s="27">
        <f>IF(I159="","",IFERROR(INDEX(Kampanyalar!$G$2:$G$150,MATCH(O159,Kampanyalar!$A$2:$A$150,0)),""))</f>
        <v/>
      </c>
      <c r="AO159" s="26">
        <f>IF(OR(I159="",AL159="",AM159=""),"",IF(AND(H159&gt;=AL159,H159&lt;=AM159),"Evet","HAYIR - Tarih Dışı"))</f>
        <v/>
      </c>
      <c r="AP159" s="28">
        <f>IF(I159="","",IFERROR(INDEX(Kampanyalar!$H$2:$H$150,MATCH(O159,Kampanyalar!$A$2:$A$150,0)),""))</f>
        <v/>
      </c>
      <c r="AQ159" s="28">
        <f>IF(I159="","",IF(ISNUMBER(AP159),AP159,AD159))</f>
        <v/>
      </c>
      <c r="AR159" s="26">
        <f>IF(I159="","",IF(Parametreler!$C$7="Evet","Kural A - Hemen Ödeme (Stok Mutabakatlı)","Kural B - Nakliye/Montaj Sonrası Ödeme"))</f>
        <v/>
      </c>
    </row>
    <row r="160">
      <c r="A160" s="23" t="n"/>
      <c r="B160" s="23" t="n"/>
      <c r="C160" s="23" t="n"/>
      <c r="D160" s="23" t="n"/>
      <c r="E160" s="23" t="n"/>
      <c r="F160" s="23" t="n"/>
      <c r="G160" s="23" t="n"/>
      <c r="H160" s="24" t="n"/>
      <c r="I160" s="23" t="n"/>
      <c r="J160" s="23" t="n"/>
      <c r="K160" s="23" t="n"/>
      <c r="L160" s="23" t="n"/>
      <c r="M160" s="23" t="n"/>
      <c r="N160" s="23" t="n"/>
      <c r="O160" s="23" t="n"/>
      <c r="P160" s="23" t="n"/>
      <c r="Q160" s="23" t="n"/>
      <c r="R160" s="23" t="n"/>
      <c r="S160" s="23" t="n"/>
      <c r="T160" s="23" t="n"/>
      <c r="U160" s="23" t="n"/>
      <c r="V160" s="23" t="n"/>
      <c r="W160" s="23" t="n"/>
      <c r="X160" s="23" t="n"/>
      <c r="Y160" s="25" t="n"/>
      <c r="Z160" s="25" t="n"/>
      <c r="AA160" s="23" t="n"/>
      <c r="AB160" s="25" t="n"/>
      <c r="AC160" s="23" t="n"/>
      <c r="AD160" s="25" t="n"/>
      <c r="AE160" s="23" t="n"/>
      <c r="AF160" s="25" t="n"/>
      <c r="AG160" s="25" t="n"/>
      <c r="AH160" s="23" t="n"/>
      <c r="AI160" s="23" t="n"/>
      <c r="AJ160" s="26">
        <f>IF(I160="","",I160&amp;"|"&amp;R160)</f>
        <v/>
      </c>
      <c r="AK160" s="26">
        <f>IF(I160="","",IF(ISNA(MATCH(O160,Kampanyalar!$A$2:$A$150,0)),"Hayır - Kampanyalar'da Yok","Evet"))</f>
        <v/>
      </c>
      <c r="AL160" s="27">
        <f>IF(I160="","",IFERROR(INDEX(Kampanyalar!$E$2:$E$150,MATCH(O160,Kampanyalar!$A$2:$A$150,0)),""))</f>
        <v/>
      </c>
      <c r="AM160" s="27">
        <f>IF(I160="","",IFERROR(INDEX(Kampanyalar!$F$2:$F$150,MATCH(O160,Kampanyalar!$A$2:$A$150,0)),""))</f>
        <v/>
      </c>
      <c r="AN160" s="27">
        <f>IF(I160="","",IFERROR(INDEX(Kampanyalar!$G$2:$G$150,MATCH(O160,Kampanyalar!$A$2:$A$150,0)),""))</f>
        <v/>
      </c>
      <c r="AO160" s="26">
        <f>IF(OR(I160="",AL160="",AM160=""),"",IF(AND(H160&gt;=AL160,H160&lt;=AM160),"Evet","HAYIR - Tarih Dışı"))</f>
        <v/>
      </c>
      <c r="AP160" s="28">
        <f>IF(I160="","",IFERROR(INDEX(Kampanyalar!$H$2:$H$150,MATCH(O160,Kampanyalar!$A$2:$A$150,0)),""))</f>
        <v/>
      </c>
      <c r="AQ160" s="28">
        <f>IF(I160="","",IF(ISNUMBER(AP160),AP160,AD160))</f>
        <v/>
      </c>
      <c r="AR160" s="26">
        <f>IF(I160="","",IF(Parametreler!$C$7="Evet","Kural A - Hemen Ödeme (Stok Mutabakatlı)","Kural B - Nakliye/Montaj Sonrası Ödeme"))</f>
        <v/>
      </c>
    </row>
    <row r="161">
      <c r="A161" s="23" t="n"/>
      <c r="B161" s="23" t="n"/>
      <c r="C161" s="23" t="n"/>
      <c r="D161" s="23" t="n"/>
      <c r="E161" s="23" t="n"/>
      <c r="F161" s="23" t="n"/>
      <c r="G161" s="23" t="n"/>
      <c r="H161" s="24" t="n"/>
      <c r="I161" s="23" t="n"/>
      <c r="J161" s="23" t="n"/>
      <c r="K161" s="23" t="n"/>
      <c r="L161" s="23" t="n"/>
      <c r="M161" s="23" t="n"/>
      <c r="N161" s="23" t="n"/>
      <c r="O161" s="23" t="n"/>
      <c r="P161" s="23" t="n"/>
      <c r="Q161" s="23" t="n"/>
      <c r="R161" s="23" t="n"/>
      <c r="S161" s="23" t="n"/>
      <c r="T161" s="23" t="n"/>
      <c r="U161" s="23" t="n"/>
      <c r="V161" s="23" t="n"/>
      <c r="W161" s="23" t="n"/>
      <c r="X161" s="23" t="n"/>
      <c r="Y161" s="25" t="n"/>
      <c r="Z161" s="25" t="n"/>
      <c r="AA161" s="23" t="n"/>
      <c r="AB161" s="25" t="n"/>
      <c r="AC161" s="23" t="n"/>
      <c r="AD161" s="25" t="n"/>
      <c r="AE161" s="23" t="n"/>
      <c r="AF161" s="25" t="n"/>
      <c r="AG161" s="25" t="n"/>
      <c r="AH161" s="23" t="n"/>
      <c r="AI161" s="23" t="n"/>
      <c r="AJ161" s="26">
        <f>IF(I161="","",I161&amp;"|"&amp;R161)</f>
        <v/>
      </c>
      <c r="AK161" s="26">
        <f>IF(I161="","",IF(ISNA(MATCH(O161,Kampanyalar!$A$2:$A$150,0)),"Hayır - Kampanyalar'da Yok","Evet"))</f>
        <v/>
      </c>
      <c r="AL161" s="27">
        <f>IF(I161="","",IFERROR(INDEX(Kampanyalar!$E$2:$E$150,MATCH(O161,Kampanyalar!$A$2:$A$150,0)),""))</f>
        <v/>
      </c>
      <c r="AM161" s="27">
        <f>IF(I161="","",IFERROR(INDEX(Kampanyalar!$F$2:$F$150,MATCH(O161,Kampanyalar!$A$2:$A$150,0)),""))</f>
        <v/>
      </c>
      <c r="AN161" s="27">
        <f>IF(I161="","",IFERROR(INDEX(Kampanyalar!$G$2:$G$150,MATCH(O161,Kampanyalar!$A$2:$A$150,0)),""))</f>
        <v/>
      </c>
      <c r="AO161" s="26">
        <f>IF(OR(I161="",AL161="",AM161=""),"",IF(AND(H161&gt;=AL161,H161&lt;=AM161),"Evet","HAYIR - Tarih Dışı"))</f>
        <v/>
      </c>
      <c r="AP161" s="28">
        <f>IF(I161="","",IFERROR(INDEX(Kampanyalar!$H$2:$H$150,MATCH(O161,Kampanyalar!$A$2:$A$150,0)),""))</f>
        <v/>
      </c>
      <c r="AQ161" s="28">
        <f>IF(I161="","",IF(ISNUMBER(AP161),AP161,AD161))</f>
        <v/>
      </c>
      <c r="AR161" s="26">
        <f>IF(I161="","",IF(Parametreler!$C$7="Evet","Kural A - Hemen Ödeme (Stok Mutabakatlı)","Kural B - Nakliye/Montaj Sonrası Ödeme"))</f>
        <v/>
      </c>
    </row>
    <row r="162">
      <c r="A162" s="23" t="n"/>
      <c r="B162" s="23" t="n"/>
      <c r="C162" s="23" t="n"/>
      <c r="D162" s="23" t="n"/>
      <c r="E162" s="23" t="n"/>
      <c r="F162" s="23" t="n"/>
      <c r="G162" s="23" t="n"/>
      <c r="H162" s="24" t="n"/>
      <c r="I162" s="23" t="n"/>
      <c r="J162" s="23" t="n"/>
      <c r="K162" s="23" t="n"/>
      <c r="L162" s="23" t="n"/>
      <c r="M162" s="23" t="n"/>
      <c r="N162" s="23" t="n"/>
      <c r="O162" s="23" t="n"/>
      <c r="P162" s="23" t="n"/>
      <c r="Q162" s="23" t="n"/>
      <c r="R162" s="23" t="n"/>
      <c r="S162" s="23" t="n"/>
      <c r="T162" s="23" t="n"/>
      <c r="U162" s="23" t="n"/>
      <c r="V162" s="23" t="n"/>
      <c r="W162" s="23" t="n"/>
      <c r="X162" s="23" t="n"/>
      <c r="Y162" s="25" t="n"/>
      <c r="Z162" s="25" t="n"/>
      <c r="AA162" s="23" t="n"/>
      <c r="AB162" s="25" t="n"/>
      <c r="AC162" s="23" t="n"/>
      <c r="AD162" s="25" t="n"/>
      <c r="AE162" s="23" t="n"/>
      <c r="AF162" s="25" t="n"/>
      <c r="AG162" s="25" t="n"/>
      <c r="AH162" s="23" t="n"/>
      <c r="AI162" s="23" t="n"/>
      <c r="AJ162" s="26">
        <f>IF(I162="","",I162&amp;"|"&amp;R162)</f>
        <v/>
      </c>
      <c r="AK162" s="26">
        <f>IF(I162="","",IF(ISNA(MATCH(O162,Kampanyalar!$A$2:$A$150,0)),"Hayır - Kampanyalar'da Yok","Evet"))</f>
        <v/>
      </c>
      <c r="AL162" s="27">
        <f>IF(I162="","",IFERROR(INDEX(Kampanyalar!$E$2:$E$150,MATCH(O162,Kampanyalar!$A$2:$A$150,0)),""))</f>
        <v/>
      </c>
      <c r="AM162" s="27">
        <f>IF(I162="","",IFERROR(INDEX(Kampanyalar!$F$2:$F$150,MATCH(O162,Kampanyalar!$A$2:$A$150,0)),""))</f>
        <v/>
      </c>
      <c r="AN162" s="27">
        <f>IF(I162="","",IFERROR(INDEX(Kampanyalar!$G$2:$G$150,MATCH(O162,Kampanyalar!$A$2:$A$150,0)),""))</f>
        <v/>
      </c>
      <c r="AO162" s="26">
        <f>IF(OR(I162="",AL162="",AM162=""),"",IF(AND(H162&gt;=AL162,H162&lt;=AM162),"Evet","HAYIR - Tarih Dışı"))</f>
        <v/>
      </c>
      <c r="AP162" s="28">
        <f>IF(I162="","",IFERROR(INDEX(Kampanyalar!$H$2:$H$150,MATCH(O162,Kampanyalar!$A$2:$A$150,0)),""))</f>
        <v/>
      </c>
      <c r="AQ162" s="28">
        <f>IF(I162="","",IF(ISNUMBER(AP162),AP162,AD162))</f>
        <v/>
      </c>
      <c r="AR162" s="26">
        <f>IF(I162="","",IF(Parametreler!$C$7="Evet","Kural A - Hemen Ödeme (Stok Mutabakatlı)","Kural B - Nakliye/Montaj Sonrası Ödeme"))</f>
        <v/>
      </c>
    </row>
    <row r="163">
      <c r="A163" s="23" t="n"/>
      <c r="B163" s="23" t="n"/>
      <c r="C163" s="23" t="n"/>
      <c r="D163" s="23" t="n"/>
      <c r="E163" s="23" t="n"/>
      <c r="F163" s="23" t="n"/>
      <c r="G163" s="23" t="n"/>
      <c r="H163" s="24" t="n"/>
      <c r="I163" s="23" t="n"/>
      <c r="J163" s="23" t="n"/>
      <c r="K163" s="23" t="n"/>
      <c r="L163" s="23" t="n"/>
      <c r="M163" s="23" t="n"/>
      <c r="N163" s="23" t="n"/>
      <c r="O163" s="23" t="n"/>
      <c r="P163" s="23" t="n"/>
      <c r="Q163" s="23" t="n"/>
      <c r="R163" s="23" t="n"/>
      <c r="S163" s="23" t="n"/>
      <c r="T163" s="23" t="n"/>
      <c r="U163" s="23" t="n"/>
      <c r="V163" s="23" t="n"/>
      <c r="W163" s="23" t="n"/>
      <c r="X163" s="23" t="n"/>
      <c r="Y163" s="25" t="n"/>
      <c r="Z163" s="25" t="n"/>
      <c r="AA163" s="23" t="n"/>
      <c r="AB163" s="25" t="n"/>
      <c r="AC163" s="23" t="n"/>
      <c r="AD163" s="25" t="n"/>
      <c r="AE163" s="23" t="n"/>
      <c r="AF163" s="25" t="n"/>
      <c r="AG163" s="25" t="n"/>
      <c r="AH163" s="23" t="n"/>
      <c r="AI163" s="23" t="n"/>
      <c r="AJ163" s="26">
        <f>IF(I163="","",I163&amp;"|"&amp;R163)</f>
        <v/>
      </c>
      <c r="AK163" s="26">
        <f>IF(I163="","",IF(ISNA(MATCH(O163,Kampanyalar!$A$2:$A$150,0)),"Hayır - Kampanyalar'da Yok","Evet"))</f>
        <v/>
      </c>
      <c r="AL163" s="27">
        <f>IF(I163="","",IFERROR(INDEX(Kampanyalar!$E$2:$E$150,MATCH(O163,Kampanyalar!$A$2:$A$150,0)),""))</f>
        <v/>
      </c>
      <c r="AM163" s="27">
        <f>IF(I163="","",IFERROR(INDEX(Kampanyalar!$F$2:$F$150,MATCH(O163,Kampanyalar!$A$2:$A$150,0)),""))</f>
        <v/>
      </c>
      <c r="AN163" s="27">
        <f>IF(I163="","",IFERROR(INDEX(Kampanyalar!$G$2:$G$150,MATCH(O163,Kampanyalar!$A$2:$A$150,0)),""))</f>
        <v/>
      </c>
      <c r="AO163" s="26">
        <f>IF(OR(I163="",AL163="",AM163=""),"",IF(AND(H163&gt;=AL163,H163&lt;=AM163),"Evet","HAYIR - Tarih Dışı"))</f>
        <v/>
      </c>
      <c r="AP163" s="28">
        <f>IF(I163="","",IFERROR(INDEX(Kampanyalar!$H$2:$H$150,MATCH(O163,Kampanyalar!$A$2:$A$150,0)),""))</f>
        <v/>
      </c>
      <c r="AQ163" s="28">
        <f>IF(I163="","",IF(ISNUMBER(AP163),AP163,AD163))</f>
        <v/>
      </c>
      <c r="AR163" s="26">
        <f>IF(I163="","",IF(Parametreler!$C$7="Evet","Kural A - Hemen Ödeme (Stok Mutabakatlı)","Kural B - Nakliye/Montaj Sonrası Ödeme"))</f>
        <v/>
      </c>
    </row>
    <row r="164">
      <c r="A164" s="23" t="n"/>
      <c r="B164" s="23" t="n"/>
      <c r="C164" s="23" t="n"/>
      <c r="D164" s="23" t="n"/>
      <c r="E164" s="23" t="n"/>
      <c r="F164" s="23" t="n"/>
      <c r="G164" s="23" t="n"/>
      <c r="H164" s="24" t="n"/>
      <c r="I164" s="23" t="n"/>
      <c r="J164" s="23" t="n"/>
      <c r="K164" s="23" t="n"/>
      <c r="L164" s="23" t="n"/>
      <c r="M164" s="23" t="n"/>
      <c r="N164" s="23" t="n"/>
      <c r="O164" s="23" t="n"/>
      <c r="P164" s="23" t="n"/>
      <c r="Q164" s="23" t="n"/>
      <c r="R164" s="23" t="n"/>
      <c r="S164" s="23" t="n"/>
      <c r="T164" s="23" t="n"/>
      <c r="U164" s="23" t="n"/>
      <c r="V164" s="23" t="n"/>
      <c r="W164" s="23" t="n"/>
      <c r="X164" s="23" t="n"/>
      <c r="Y164" s="25" t="n"/>
      <c r="Z164" s="25" t="n"/>
      <c r="AA164" s="23" t="n"/>
      <c r="AB164" s="25" t="n"/>
      <c r="AC164" s="23" t="n"/>
      <c r="AD164" s="25" t="n"/>
      <c r="AE164" s="23" t="n"/>
      <c r="AF164" s="25" t="n"/>
      <c r="AG164" s="25" t="n"/>
      <c r="AH164" s="23" t="n"/>
      <c r="AI164" s="23" t="n"/>
      <c r="AJ164" s="26">
        <f>IF(I164="","",I164&amp;"|"&amp;R164)</f>
        <v/>
      </c>
      <c r="AK164" s="26">
        <f>IF(I164="","",IF(ISNA(MATCH(O164,Kampanyalar!$A$2:$A$150,0)),"Hayır - Kampanyalar'da Yok","Evet"))</f>
        <v/>
      </c>
      <c r="AL164" s="27">
        <f>IF(I164="","",IFERROR(INDEX(Kampanyalar!$E$2:$E$150,MATCH(O164,Kampanyalar!$A$2:$A$150,0)),""))</f>
        <v/>
      </c>
      <c r="AM164" s="27">
        <f>IF(I164="","",IFERROR(INDEX(Kampanyalar!$F$2:$F$150,MATCH(O164,Kampanyalar!$A$2:$A$150,0)),""))</f>
        <v/>
      </c>
      <c r="AN164" s="27">
        <f>IF(I164="","",IFERROR(INDEX(Kampanyalar!$G$2:$G$150,MATCH(O164,Kampanyalar!$A$2:$A$150,0)),""))</f>
        <v/>
      </c>
      <c r="AO164" s="26">
        <f>IF(OR(I164="",AL164="",AM164=""),"",IF(AND(H164&gt;=AL164,H164&lt;=AM164),"Evet","HAYIR - Tarih Dışı"))</f>
        <v/>
      </c>
      <c r="AP164" s="28">
        <f>IF(I164="","",IFERROR(INDEX(Kampanyalar!$H$2:$H$150,MATCH(O164,Kampanyalar!$A$2:$A$150,0)),""))</f>
        <v/>
      </c>
      <c r="AQ164" s="28">
        <f>IF(I164="","",IF(ISNUMBER(AP164),AP164,AD164))</f>
        <v/>
      </c>
      <c r="AR164" s="26">
        <f>IF(I164="","",IF(Parametreler!$C$7="Evet","Kural A - Hemen Ödeme (Stok Mutabakatlı)","Kural B - Nakliye/Montaj Sonrası Ödeme"))</f>
        <v/>
      </c>
    </row>
    <row r="165">
      <c r="A165" s="23" t="n"/>
      <c r="B165" s="23" t="n"/>
      <c r="C165" s="23" t="n"/>
      <c r="D165" s="23" t="n"/>
      <c r="E165" s="23" t="n"/>
      <c r="F165" s="23" t="n"/>
      <c r="G165" s="23" t="n"/>
      <c r="H165" s="24" t="n"/>
      <c r="I165" s="23" t="n"/>
      <c r="J165" s="23" t="n"/>
      <c r="K165" s="23" t="n"/>
      <c r="L165" s="23" t="n"/>
      <c r="M165" s="23" t="n"/>
      <c r="N165" s="23" t="n"/>
      <c r="O165" s="23" t="n"/>
      <c r="P165" s="23" t="n"/>
      <c r="Q165" s="23" t="n"/>
      <c r="R165" s="23" t="n"/>
      <c r="S165" s="23" t="n"/>
      <c r="T165" s="23" t="n"/>
      <c r="U165" s="23" t="n"/>
      <c r="V165" s="23" t="n"/>
      <c r="W165" s="23" t="n"/>
      <c r="X165" s="23" t="n"/>
      <c r="Y165" s="25" t="n"/>
      <c r="Z165" s="25" t="n"/>
      <c r="AA165" s="23" t="n"/>
      <c r="AB165" s="25" t="n"/>
      <c r="AC165" s="23" t="n"/>
      <c r="AD165" s="25" t="n"/>
      <c r="AE165" s="23" t="n"/>
      <c r="AF165" s="25" t="n"/>
      <c r="AG165" s="25" t="n"/>
      <c r="AH165" s="23" t="n"/>
      <c r="AI165" s="23" t="n"/>
      <c r="AJ165" s="26">
        <f>IF(I165="","",I165&amp;"|"&amp;R165)</f>
        <v/>
      </c>
      <c r="AK165" s="26">
        <f>IF(I165="","",IF(ISNA(MATCH(O165,Kampanyalar!$A$2:$A$150,0)),"Hayır - Kampanyalar'da Yok","Evet"))</f>
        <v/>
      </c>
      <c r="AL165" s="27">
        <f>IF(I165="","",IFERROR(INDEX(Kampanyalar!$E$2:$E$150,MATCH(O165,Kampanyalar!$A$2:$A$150,0)),""))</f>
        <v/>
      </c>
      <c r="AM165" s="27">
        <f>IF(I165="","",IFERROR(INDEX(Kampanyalar!$F$2:$F$150,MATCH(O165,Kampanyalar!$A$2:$A$150,0)),""))</f>
        <v/>
      </c>
      <c r="AN165" s="27">
        <f>IF(I165="","",IFERROR(INDEX(Kampanyalar!$G$2:$G$150,MATCH(O165,Kampanyalar!$A$2:$A$150,0)),""))</f>
        <v/>
      </c>
      <c r="AO165" s="26">
        <f>IF(OR(I165="",AL165="",AM165=""),"",IF(AND(H165&gt;=AL165,H165&lt;=AM165),"Evet","HAYIR - Tarih Dışı"))</f>
        <v/>
      </c>
      <c r="AP165" s="28">
        <f>IF(I165="","",IFERROR(INDEX(Kampanyalar!$H$2:$H$150,MATCH(O165,Kampanyalar!$A$2:$A$150,0)),""))</f>
        <v/>
      </c>
      <c r="AQ165" s="28">
        <f>IF(I165="","",IF(ISNUMBER(AP165),AP165,AD165))</f>
        <v/>
      </c>
      <c r="AR165" s="26">
        <f>IF(I165="","",IF(Parametreler!$C$7="Evet","Kural A - Hemen Ödeme (Stok Mutabakatlı)","Kural B - Nakliye/Montaj Sonrası Ödeme"))</f>
        <v/>
      </c>
    </row>
    <row r="166">
      <c r="A166" s="23" t="n"/>
      <c r="B166" s="23" t="n"/>
      <c r="C166" s="23" t="n"/>
      <c r="D166" s="23" t="n"/>
      <c r="E166" s="23" t="n"/>
      <c r="F166" s="23" t="n"/>
      <c r="G166" s="23" t="n"/>
      <c r="H166" s="24" t="n"/>
      <c r="I166" s="23" t="n"/>
      <c r="J166" s="23" t="n"/>
      <c r="K166" s="23" t="n"/>
      <c r="L166" s="23" t="n"/>
      <c r="M166" s="23" t="n"/>
      <c r="N166" s="23" t="n"/>
      <c r="O166" s="23" t="n"/>
      <c r="P166" s="23" t="n"/>
      <c r="Q166" s="23" t="n"/>
      <c r="R166" s="23" t="n"/>
      <c r="S166" s="23" t="n"/>
      <c r="T166" s="23" t="n"/>
      <c r="U166" s="23" t="n"/>
      <c r="V166" s="23" t="n"/>
      <c r="W166" s="23" t="n"/>
      <c r="X166" s="23" t="n"/>
      <c r="Y166" s="25" t="n"/>
      <c r="Z166" s="25" t="n"/>
      <c r="AA166" s="23" t="n"/>
      <c r="AB166" s="25" t="n"/>
      <c r="AC166" s="23" t="n"/>
      <c r="AD166" s="25" t="n"/>
      <c r="AE166" s="23" t="n"/>
      <c r="AF166" s="25" t="n"/>
      <c r="AG166" s="25" t="n"/>
      <c r="AH166" s="23" t="n"/>
      <c r="AI166" s="23" t="n"/>
      <c r="AJ166" s="26">
        <f>IF(I166="","",I166&amp;"|"&amp;R166)</f>
        <v/>
      </c>
      <c r="AK166" s="26">
        <f>IF(I166="","",IF(ISNA(MATCH(O166,Kampanyalar!$A$2:$A$150,0)),"Hayır - Kampanyalar'da Yok","Evet"))</f>
        <v/>
      </c>
      <c r="AL166" s="27">
        <f>IF(I166="","",IFERROR(INDEX(Kampanyalar!$E$2:$E$150,MATCH(O166,Kampanyalar!$A$2:$A$150,0)),""))</f>
        <v/>
      </c>
      <c r="AM166" s="27">
        <f>IF(I166="","",IFERROR(INDEX(Kampanyalar!$F$2:$F$150,MATCH(O166,Kampanyalar!$A$2:$A$150,0)),""))</f>
        <v/>
      </c>
      <c r="AN166" s="27">
        <f>IF(I166="","",IFERROR(INDEX(Kampanyalar!$G$2:$G$150,MATCH(O166,Kampanyalar!$A$2:$A$150,0)),""))</f>
        <v/>
      </c>
      <c r="AO166" s="26">
        <f>IF(OR(I166="",AL166="",AM166=""),"",IF(AND(H166&gt;=AL166,H166&lt;=AM166),"Evet","HAYIR - Tarih Dışı"))</f>
        <v/>
      </c>
      <c r="AP166" s="28">
        <f>IF(I166="","",IFERROR(INDEX(Kampanyalar!$H$2:$H$150,MATCH(O166,Kampanyalar!$A$2:$A$150,0)),""))</f>
        <v/>
      </c>
      <c r="AQ166" s="28">
        <f>IF(I166="","",IF(ISNUMBER(AP166),AP166,AD166))</f>
        <v/>
      </c>
      <c r="AR166" s="26">
        <f>IF(I166="","",IF(Parametreler!$C$7="Evet","Kural A - Hemen Ödeme (Stok Mutabakatlı)","Kural B - Nakliye/Montaj Sonrası Ödeme"))</f>
        <v/>
      </c>
    </row>
    <row r="167">
      <c r="A167" s="23" t="n"/>
      <c r="B167" s="23" t="n"/>
      <c r="C167" s="23" t="n"/>
      <c r="D167" s="23" t="n"/>
      <c r="E167" s="23" t="n"/>
      <c r="F167" s="23" t="n"/>
      <c r="G167" s="23" t="n"/>
      <c r="H167" s="24" t="n"/>
      <c r="I167" s="23" t="n"/>
      <c r="J167" s="23" t="n"/>
      <c r="K167" s="23" t="n"/>
      <c r="L167" s="23" t="n"/>
      <c r="M167" s="23" t="n"/>
      <c r="N167" s="23" t="n"/>
      <c r="O167" s="23" t="n"/>
      <c r="P167" s="23" t="n"/>
      <c r="Q167" s="23" t="n"/>
      <c r="R167" s="23" t="n"/>
      <c r="S167" s="23" t="n"/>
      <c r="T167" s="23" t="n"/>
      <c r="U167" s="23" t="n"/>
      <c r="V167" s="23" t="n"/>
      <c r="W167" s="23" t="n"/>
      <c r="X167" s="23" t="n"/>
      <c r="Y167" s="25" t="n"/>
      <c r="Z167" s="25" t="n"/>
      <c r="AA167" s="23" t="n"/>
      <c r="AB167" s="25" t="n"/>
      <c r="AC167" s="23" t="n"/>
      <c r="AD167" s="25" t="n"/>
      <c r="AE167" s="23" t="n"/>
      <c r="AF167" s="25" t="n"/>
      <c r="AG167" s="25" t="n"/>
      <c r="AH167" s="23" t="n"/>
      <c r="AI167" s="23" t="n"/>
      <c r="AJ167" s="26">
        <f>IF(I167="","",I167&amp;"|"&amp;R167)</f>
        <v/>
      </c>
      <c r="AK167" s="26">
        <f>IF(I167="","",IF(ISNA(MATCH(O167,Kampanyalar!$A$2:$A$150,0)),"Hayır - Kampanyalar'da Yok","Evet"))</f>
        <v/>
      </c>
      <c r="AL167" s="27">
        <f>IF(I167="","",IFERROR(INDEX(Kampanyalar!$E$2:$E$150,MATCH(O167,Kampanyalar!$A$2:$A$150,0)),""))</f>
        <v/>
      </c>
      <c r="AM167" s="27">
        <f>IF(I167="","",IFERROR(INDEX(Kampanyalar!$F$2:$F$150,MATCH(O167,Kampanyalar!$A$2:$A$150,0)),""))</f>
        <v/>
      </c>
      <c r="AN167" s="27">
        <f>IF(I167="","",IFERROR(INDEX(Kampanyalar!$G$2:$G$150,MATCH(O167,Kampanyalar!$A$2:$A$150,0)),""))</f>
        <v/>
      </c>
      <c r="AO167" s="26">
        <f>IF(OR(I167="",AL167="",AM167=""),"",IF(AND(H167&gt;=AL167,H167&lt;=AM167),"Evet","HAYIR - Tarih Dışı"))</f>
        <v/>
      </c>
      <c r="AP167" s="28">
        <f>IF(I167="","",IFERROR(INDEX(Kampanyalar!$H$2:$H$150,MATCH(O167,Kampanyalar!$A$2:$A$150,0)),""))</f>
        <v/>
      </c>
      <c r="AQ167" s="28">
        <f>IF(I167="","",IF(ISNUMBER(AP167),AP167,AD167))</f>
        <v/>
      </c>
      <c r="AR167" s="26">
        <f>IF(I167="","",IF(Parametreler!$C$7="Evet","Kural A - Hemen Ödeme (Stok Mutabakatlı)","Kural B - Nakliye/Montaj Sonrası Ödeme"))</f>
        <v/>
      </c>
    </row>
    <row r="168">
      <c r="A168" s="23" t="n"/>
      <c r="B168" s="23" t="n"/>
      <c r="C168" s="23" t="n"/>
      <c r="D168" s="23" t="n"/>
      <c r="E168" s="23" t="n"/>
      <c r="F168" s="23" t="n"/>
      <c r="G168" s="23" t="n"/>
      <c r="H168" s="24" t="n"/>
      <c r="I168" s="23" t="n"/>
      <c r="J168" s="23" t="n"/>
      <c r="K168" s="23" t="n"/>
      <c r="L168" s="23" t="n"/>
      <c r="M168" s="23" t="n"/>
      <c r="N168" s="23" t="n"/>
      <c r="O168" s="23" t="n"/>
      <c r="P168" s="23" t="n"/>
      <c r="Q168" s="23" t="n"/>
      <c r="R168" s="23" t="n"/>
      <c r="S168" s="23" t="n"/>
      <c r="T168" s="23" t="n"/>
      <c r="U168" s="23" t="n"/>
      <c r="V168" s="23" t="n"/>
      <c r="W168" s="23" t="n"/>
      <c r="X168" s="23" t="n"/>
      <c r="Y168" s="25" t="n"/>
      <c r="Z168" s="25" t="n"/>
      <c r="AA168" s="23" t="n"/>
      <c r="AB168" s="25" t="n"/>
      <c r="AC168" s="23" t="n"/>
      <c r="AD168" s="25" t="n"/>
      <c r="AE168" s="23" t="n"/>
      <c r="AF168" s="25" t="n"/>
      <c r="AG168" s="25" t="n"/>
      <c r="AH168" s="23" t="n"/>
      <c r="AI168" s="23" t="n"/>
      <c r="AJ168" s="26">
        <f>IF(I168="","",I168&amp;"|"&amp;R168)</f>
        <v/>
      </c>
      <c r="AK168" s="26">
        <f>IF(I168="","",IF(ISNA(MATCH(O168,Kampanyalar!$A$2:$A$150,0)),"Hayır - Kampanyalar'da Yok","Evet"))</f>
        <v/>
      </c>
      <c r="AL168" s="27">
        <f>IF(I168="","",IFERROR(INDEX(Kampanyalar!$E$2:$E$150,MATCH(O168,Kampanyalar!$A$2:$A$150,0)),""))</f>
        <v/>
      </c>
      <c r="AM168" s="27">
        <f>IF(I168="","",IFERROR(INDEX(Kampanyalar!$F$2:$F$150,MATCH(O168,Kampanyalar!$A$2:$A$150,0)),""))</f>
        <v/>
      </c>
      <c r="AN168" s="27">
        <f>IF(I168="","",IFERROR(INDEX(Kampanyalar!$G$2:$G$150,MATCH(O168,Kampanyalar!$A$2:$A$150,0)),""))</f>
        <v/>
      </c>
      <c r="AO168" s="26">
        <f>IF(OR(I168="",AL168="",AM168=""),"",IF(AND(H168&gt;=AL168,H168&lt;=AM168),"Evet","HAYIR - Tarih Dışı"))</f>
        <v/>
      </c>
      <c r="AP168" s="28">
        <f>IF(I168="","",IFERROR(INDEX(Kampanyalar!$H$2:$H$150,MATCH(O168,Kampanyalar!$A$2:$A$150,0)),""))</f>
        <v/>
      </c>
      <c r="AQ168" s="28">
        <f>IF(I168="","",IF(ISNUMBER(AP168),AP168,AD168))</f>
        <v/>
      </c>
      <c r="AR168" s="26">
        <f>IF(I168="","",IF(Parametreler!$C$7="Evet","Kural A - Hemen Ödeme (Stok Mutabakatlı)","Kural B - Nakliye/Montaj Sonrası Ödeme"))</f>
        <v/>
      </c>
    </row>
    <row r="169">
      <c r="A169" s="23" t="n"/>
      <c r="B169" s="23" t="n"/>
      <c r="C169" s="23" t="n"/>
      <c r="D169" s="23" t="n"/>
      <c r="E169" s="23" t="n"/>
      <c r="F169" s="23" t="n"/>
      <c r="G169" s="23" t="n"/>
      <c r="H169" s="24" t="n"/>
      <c r="I169" s="23" t="n"/>
      <c r="J169" s="23" t="n"/>
      <c r="K169" s="23" t="n"/>
      <c r="L169" s="23" t="n"/>
      <c r="M169" s="23" t="n"/>
      <c r="N169" s="23" t="n"/>
      <c r="O169" s="23" t="n"/>
      <c r="P169" s="23" t="n"/>
      <c r="Q169" s="23" t="n"/>
      <c r="R169" s="23" t="n"/>
      <c r="S169" s="23" t="n"/>
      <c r="T169" s="23" t="n"/>
      <c r="U169" s="23" t="n"/>
      <c r="V169" s="23" t="n"/>
      <c r="W169" s="23" t="n"/>
      <c r="X169" s="23" t="n"/>
      <c r="Y169" s="25" t="n"/>
      <c r="Z169" s="25" t="n"/>
      <c r="AA169" s="23" t="n"/>
      <c r="AB169" s="25" t="n"/>
      <c r="AC169" s="23" t="n"/>
      <c r="AD169" s="25" t="n"/>
      <c r="AE169" s="23" t="n"/>
      <c r="AF169" s="25" t="n"/>
      <c r="AG169" s="25" t="n"/>
      <c r="AH169" s="23" t="n"/>
      <c r="AI169" s="23" t="n"/>
      <c r="AJ169" s="26">
        <f>IF(I169="","",I169&amp;"|"&amp;R169)</f>
        <v/>
      </c>
      <c r="AK169" s="26">
        <f>IF(I169="","",IF(ISNA(MATCH(O169,Kampanyalar!$A$2:$A$150,0)),"Hayır - Kampanyalar'da Yok","Evet"))</f>
        <v/>
      </c>
      <c r="AL169" s="27">
        <f>IF(I169="","",IFERROR(INDEX(Kampanyalar!$E$2:$E$150,MATCH(O169,Kampanyalar!$A$2:$A$150,0)),""))</f>
        <v/>
      </c>
      <c r="AM169" s="27">
        <f>IF(I169="","",IFERROR(INDEX(Kampanyalar!$F$2:$F$150,MATCH(O169,Kampanyalar!$A$2:$A$150,0)),""))</f>
        <v/>
      </c>
      <c r="AN169" s="27">
        <f>IF(I169="","",IFERROR(INDEX(Kampanyalar!$G$2:$G$150,MATCH(O169,Kampanyalar!$A$2:$A$150,0)),""))</f>
        <v/>
      </c>
      <c r="AO169" s="26">
        <f>IF(OR(I169="",AL169="",AM169=""),"",IF(AND(H169&gt;=AL169,H169&lt;=AM169),"Evet","HAYIR - Tarih Dışı"))</f>
        <v/>
      </c>
      <c r="AP169" s="28">
        <f>IF(I169="","",IFERROR(INDEX(Kampanyalar!$H$2:$H$150,MATCH(O169,Kampanyalar!$A$2:$A$150,0)),""))</f>
        <v/>
      </c>
      <c r="AQ169" s="28">
        <f>IF(I169="","",IF(ISNUMBER(AP169),AP169,AD169))</f>
        <v/>
      </c>
      <c r="AR169" s="26">
        <f>IF(I169="","",IF(Parametreler!$C$7="Evet","Kural A - Hemen Ödeme (Stok Mutabakatlı)","Kural B - Nakliye/Montaj Sonrası Ödeme"))</f>
        <v/>
      </c>
    </row>
    <row r="170">
      <c r="A170" s="23" t="n"/>
      <c r="B170" s="23" t="n"/>
      <c r="C170" s="23" t="n"/>
      <c r="D170" s="23" t="n"/>
      <c r="E170" s="23" t="n"/>
      <c r="F170" s="23" t="n"/>
      <c r="G170" s="23" t="n"/>
      <c r="H170" s="24" t="n"/>
      <c r="I170" s="23" t="n"/>
      <c r="J170" s="23" t="n"/>
      <c r="K170" s="23" t="n"/>
      <c r="L170" s="23" t="n"/>
      <c r="M170" s="23" t="n"/>
      <c r="N170" s="23" t="n"/>
      <c r="O170" s="23" t="n"/>
      <c r="P170" s="23" t="n"/>
      <c r="Q170" s="23" t="n"/>
      <c r="R170" s="23" t="n"/>
      <c r="S170" s="23" t="n"/>
      <c r="T170" s="23" t="n"/>
      <c r="U170" s="23" t="n"/>
      <c r="V170" s="23" t="n"/>
      <c r="W170" s="23" t="n"/>
      <c r="X170" s="23" t="n"/>
      <c r="Y170" s="25" t="n"/>
      <c r="Z170" s="25" t="n"/>
      <c r="AA170" s="23" t="n"/>
      <c r="AB170" s="25" t="n"/>
      <c r="AC170" s="23" t="n"/>
      <c r="AD170" s="25" t="n"/>
      <c r="AE170" s="23" t="n"/>
      <c r="AF170" s="25" t="n"/>
      <c r="AG170" s="25" t="n"/>
      <c r="AH170" s="23" t="n"/>
      <c r="AI170" s="23" t="n"/>
      <c r="AJ170" s="26">
        <f>IF(I170="","",I170&amp;"|"&amp;R170)</f>
        <v/>
      </c>
      <c r="AK170" s="26">
        <f>IF(I170="","",IF(ISNA(MATCH(O170,Kampanyalar!$A$2:$A$150,0)),"Hayır - Kampanyalar'da Yok","Evet"))</f>
        <v/>
      </c>
      <c r="AL170" s="27">
        <f>IF(I170="","",IFERROR(INDEX(Kampanyalar!$E$2:$E$150,MATCH(O170,Kampanyalar!$A$2:$A$150,0)),""))</f>
        <v/>
      </c>
      <c r="AM170" s="27">
        <f>IF(I170="","",IFERROR(INDEX(Kampanyalar!$F$2:$F$150,MATCH(O170,Kampanyalar!$A$2:$A$150,0)),""))</f>
        <v/>
      </c>
      <c r="AN170" s="27">
        <f>IF(I170="","",IFERROR(INDEX(Kampanyalar!$G$2:$G$150,MATCH(O170,Kampanyalar!$A$2:$A$150,0)),""))</f>
        <v/>
      </c>
      <c r="AO170" s="26">
        <f>IF(OR(I170="",AL170="",AM170=""),"",IF(AND(H170&gt;=AL170,H170&lt;=AM170),"Evet","HAYIR - Tarih Dışı"))</f>
        <v/>
      </c>
      <c r="AP170" s="28">
        <f>IF(I170="","",IFERROR(INDEX(Kampanyalar!$H$2:$H$150,MATCH(O170,Kampanyalar!$A$2:$A$150,0)),""))</f>
        <v/>
      </c>
      <c r="AQ170" s="28">
        <f>IF(I170="","",IF(ISNUMBER(AP170),AP170,AD170))</f>
        <v/>
      </c>
      <c r="AR170" s="26">
        <f>IF(I170="","",IF(Parametreler!$C$7="Evet","Kural A - Hemen Ödeme (Stok Mutabakatlı)","Kural B - Nakliye/Montaj Sonrası Ödeme"))</f>
        <v/>
      </c>
    </row>
    <row r="171">
      <c r="A171" s="23" t="n"/>
      <c r="B171" s="23" t="n"/>
      <c r="C171" s="23" t="n"/>
      <c r="D171" s="23" t="n"/>
      <c r="E171" s="23" t="n"/>
      <c r="F171" s="23" t="n"/>
      <c r="G171" s="23" t="n"/>
      <c r="H171" s="24" t="n"/>
      <c r="I171" s="23" t="n"/>
      <c r="J171" s="23" t="n"/>
      <c r="K171" s="23" t="n"/>
      <c r="L171" s="23" t="n"/>
      <c r="M171" s="23" t="n"/>
      <c r="N171" s="23" t="n"/>
      <c r="O171" s="23" t="n"/>
      <c r="P171" s="23" t="n"/>
      <c r="Q171" s="23" t="n"/>
      <c r="R171" s="23" t="n"/>
      <c r="S171" s="23" t="n"/>
      <c r="T171" s="23" t="n"/>
      <c r="U171" s="23" t="n"/>
      <c r="V171" s="23" t="n"/>
      <c r="W171" s="23" t="n"/>
      <c r="X171" s="23" t="n"/>
      <c r="Y171" s="25" t="n"/>
      <c r="Z171" s="25" t="n"/>
      <c r="AA171" s="23" t="n"/>
      <c r="AB171" s="25" t="n"/>
      <c r="AC171" s="23" t="n"/>
      <c r="AD171" s="25" t="n"/>
      <c r="AE171" s="23" t="n"/>
      <c r="AF171" s="25" t="n"/>
      <c r="AG171" s="25" t="n"/>
      <c r="AH171" s="23" t="n"/>
      <c r="AI171" s="23" t="n"/>
      <c r="AJ171" s="26">
        <f>IF(I171="","",I171&amp;"|"&amp;R171)</f>
        <v/>
      </c>
      <c r="AK171" s="26">
        <f>IF(I171="","",IF(ISNA(MATCH(O171,Kampanyalar!$A$2:$A$150,0)),"Hayır - Kampanyalar'da Yok","Evet"))</f>
        <v/>
      </c>
      <c r="AL171" s="27">
        <f>IF(I171="","",IFERROR(INDEX(Kampanyalar!$E$2:$E$150,MATCH(O171,Kampanyalar!$A$2:$A$150,0)),""))</f>
        <v/>
      </c>
      <c r="AM171" s="27">
        <f>IF(I171="","",IFERROR(INDEX(Kampanyalar!$F$2:$F$150,MATCH(O171,Kampanyalar!$A$2:$A$150,0)),""))</f>
        <v/>
      </c>
      <c r="AN171" s="27">
        <f>IF(I171="","",IFERROR(INDEX(Kampanyalar!$G$2:$G$150,MATCH(O171,Kampanyalar!$A$2:$A$150,0)),""))</f>
        <v/>
      </c>
      <c r="AO171" s="26">
        <f>IF(OR(I171="",AL171="",AM171=""),"",IF(AND(H171&gt;=AL171,H171&lt;=AM171),"Evet","HAYIR - Tarih Dışı"))</f>
        <v/>
      </c>
      <c r="AP171" s="28">
        <f>IF(I171="","",IFERROR(INDEX(Kampanyalar!$H$2:$H$150,MATCH(O171,Kampanyalar!$A$2:$A$150,0)),""))</f>
        <v/>
      </c>
      <c r="AQ171" s="28">
        <f>IF(I171="","",IF(ISNUMBER(AP171),AP171,AD171))</f>
        <v/>
      </c>
      <c r="AR171" s="26">
        <f>IF(I171="","",IF(Parametreler!$C$7="Evet","Kural A - Hemen Ödeme (Stok Mutabakatlı)","Kural B - Nakliye/Montaj Sonrası Ödeme"))</f>
        <v/>
      </c>
    </row>
    <row r="172">
      <c r="A172" s="23" t="n"/>
      <c r="B172" s="23" t="n"/>
      <c r="C172" s="23" t="n"/>
      <c r="D172" s="23" t="n"/>
      <c r="E172" s="23" t="n"/>
      <c r="F172" s="23" t="n"/>
      <c r="G172" s="23" t="n"/>
      <c r="H172" s="24" t="n"/>
      <c r="I172" s="23" t="n"/>
      <c r="J172" s="23" t="n"/>
      <c r="K172" s="23" t="n"/>
      <c r="L172" s="23" t="n"/>
      <c r="M172" s="23" t="n"/>
      <c r="N172" s="23" t="n"/>
      <c r="O172" s="23" t="n"/>
      <c r="P172" s="23" t="n"/>
      <c r="Q172" s="23" t="n"/>
      <c r="R172" s="23" t="n"/>
      <c r="S172" s="23" t="n"/>
      <c r="T172" s="23" t="n"/>
      <c r="U172" s="23" t="n"/>
      <c r="V172" s="23" t="n"/>
      <c r="W172" s="23" t="n"/>
      <c r="X172" s="23" t="n"/>
      <c r="Y172" s="25" t="n"/>
      <c r="Z172" s="25" t="n"/>
      <c r="AA172" s="23" t="n"/>
      <c r="AB172" s="25" t="n"/>
      <c r="AC172" s="23" t="n"/>
      <c r="AD172" s="25" t="n"/>
      <c r="AE172" s="23" t="n"/>
      <c r="AF172" s="25" t="n"/>
      <c r="AG172" s="25" t="n"/>
      <c r="AH172" s="23" t="n"/>
      <c r="AI172" s="23" t="n"/>
      <c r="AJ172" s="26">
        <f>IF(I172="","",I172&amp;"|"&amp;R172)</f>
        <v/>
      </c>
      <c r="AK172" s="26">
        <f>IF(I172="","",IF(ISNA(MATCH(O172,Kampanyalar!$A$2:$A$150,0)),"Hayır - Kampanyalar'da Yok","Evet"))</f>
        <v/>
      </c>
      <c r="AL172" s="27">
        <f>IF(I172="","",IFERROR(INDEX(Kampanyalar!$E$2:$E$150,MATCH(O172,Kampanyalar!$A$2:$A$150,0)),""))</f>
        <v/>
      </c>
      <c r="AM172" s="27">
        <f>IF(I172="","",IFERROR(INDEX(Kampanyalar!$F$2:$F$150,MATCH(O172,Kampanyalar!$A$2:$A$150,0)),""))</f>
        <v/>
      </c>
      <c r="AN172" s="27">
        <f>IF(I172="","",IFERROR(INDEX(Kampanyalar!$G$2:$G$150,MATCH(O172,Kampanyalar!$A$2:$A$150,0)),""))</f>
        <v/>
      </c>
      <c r="AO172" s="26">
        <f>IF(OR(I172="",AL172="",AM172=""),"",IF(AND(H172&gt;=AL172,H172&lt;=AM172),"Evet","HAYIR - Tarih Dışı"))</f>
        <v/>
      </c>
      <c r="AP172" s="28">
        <f>IF(I172="","",IFERROR(INDEX(Kampanyalar!$H$2:$H$150,MATCH(O172,Kampanyalar!$A$2:$A$150,0)),""))</f>
        <v/>
      </c>
      <c r="AQ172" s="28">
        <f>IF(I172="","",IF(ISNUMBER(AP172),AP172,AD172))</f>
        <v/>
      </c>
      <c r="AR172" s="26">
        <f>IF(I172="","",IF(Parametreler!$C$7="Evet","Kural A - Hemen Ödeme (Stok Mutabakatlı)","Kural B - Nakliye/Montaj Sonrası Ödeme"))</f>
        <v/>
      </c>
    </row>
    <row r="173">
      <c r="A173" s="23" t="n"/>
      <c r="B173" s="23" t="n"/>
      <c r="C173" s="23" t="n"/>
      <c r="D173" s="23" t="n"/>
      <c r="E173" s="23" t="n"/>
      <c r="F173" s="23" t="n"/>
      <c r="G173" s="23" t="n"/>
      <c r="H173" s="24" t="n"/>
      <c r="I173" s="23" t="n"/>
      <c r="J173" s="23" t="n"/>
      <c r="K173" s="23" t="n"/>
      <c r="L173" s="23" t="n"/>
      <c r="M173" s="23" t="n"/>
      <c r="N173" s="23" t="n"/>
      <c r="O173" s="23" t="n"/>
      <c r="P173" s="23" t="n"/>
      <c r="Q173" s="23" t="n"/>
      <c r="R173" s="23" t="n"/>
      <c r="S173" s="23" t="n"/>
      <c r="T173" s="23" t="n"/>
      <c r="U173" s="23" t="n"/>
      <c r="V173" s="23" t="n"/>
      <c r="W173" s="23" t="n"/>
      <c r="X173" s="23" t="n"/>
      <c r="Y173" s="25" t="n"/>
      <c r="Z173" s="25" t="n"/>
      <c r="AA173" s="23" t="n"/>
      <c r="AB173" s="25" t="n"/>
      <c r="AC173" s="23" t="n"/>
      <c r="AD173" s="25" t="n"/>
      <c r="AE173" s="23" t="n"/>
      <c r="AF173" s="25" t="n"/>
      <c r="AG173" s="25" t="n"/>
      <c r="AH173" s="23" t="n"/>
      <c r="AI173" s="23" t="n"/>
      <c r="AJ173" s="26">
        <f>IF(I173="","",I173&amp;"|"&amp;R173)</f>
        <v/>
      </c>
      <c r="AK173" s="26">
        <f>IF(I173="","",IF(ISNA(MATCH(O173,Kampanyalar!$A$2:$A$150,0)),"Hayır - Kampanyalar'da Yok","Evet"))</f>
        <v/>
      </c>
      <c r="AL173" s="27">
        <f>IF(I173="","",IFERROR(INDEX(Kampanyalar!$E$2:$E$150,MATCH(O173,Kampanyalar!$A$2:$A$150,0)),""))</f>
        <v/>
      </c>
      <c r="AM173" s="27">
        <f>IF(I173="","",IFERROR(INDEX(Kampanyalar!$F$2:$F$150,MATCH(O173,Kampanyalar!$A$2:$A$150,0)),""))</f>
        <v/>
      </c>
      <c r="AN173" s="27">
        <f>IF(I173="","",IFERROR(INDEX(Kampanyalar!$G$2:$G$150,MATCH(O173,Kampanyalar!$A$2:$A$150,0)),""))</f>
        <v/>
      </c>
      <c r="AO173" s="26">
        <f>IF(OR(I173="",AL173="",AM173=""),"",IF(AND(H173&gt;=AL173,H173&lt;=AM173),"Evet","HAYIR - Tarih Dışı"))</f>
        <v/>
      </c>
      <c r="AP173" s="28">
        <f>IF(I173="","",IFERROR(INDEX(Kampanyalar!$H$2:$H$150,MATCH(O173,Kampanyalar!$A$2:$A$150,0)),""))</f>
        <v/>
      </c>
      <c r="AQ173" s="28">
        <f>IF(I173="","",IF(ISNUMBER(AP173),AP173,AD173))</f>
        <v/>
      </c>
      <c r="AR173" s="26">
        <f>IF(I173="","",IF(Parametreler!$C$7="Evet","Kural A - Hemen Ödeme (Stok Mutabakatlı)","Kural B - Nakliye/Montaj Sonrası Ödeme"))</f>
        <v/>
      </c>
    </row>
    <row r="174">
      <c r="A174" s="23" t="n"/>
      <c r="B174" s="23" t="n"/>
      <c r="C174" s="23" t="n"/>
      <c r="D174" s="23" t="n"/>
      <c r="E174" s="23" t="n"/>
      <c r="F174" s="23" t="n"/>
      <c r="G174" s="23" t="n"/>
      <c r="H174" s="24" t="n"/>
      <c r="I174" s="23" t="n"/>
      <c r="J174" s="23" t="n"/>
      <c r="K174" s="23" t="n"/>
      <c r="L174" s="23" t="n"/>
      <c r="M174" s="23" t="n"/>
      <c r="N174" s="23" t="n"/>
      <c r="O174" s="23" t="n"/>
      <c r="P174" s="23" t="n"/>
      <c r="Q174" s="23" t="n"/>
      <c r="R174" s="23" t="n"/>
      <c r="S174" s="23" t="n"/>
      <c r="T174" s="23" t="n"/>
      <c r="U174" s="23" t="n"/>
      <c r="V174" s="23" t="n"/>
      <c r="W174" s="23" t="n"/>
      <c r="X174" s="23" t="n"/>
      <c r="Y174" s="25" t="n"/>
      <c r="Z174" s="25" t="n"/>
      <c r="AA174" s="23" t="n"/>
      <c r="AB174" s="25" t="n"/>
      <c r="AC174" s="23" t="n"/>
      <c r="AD174" s="25" t="n"/>
      <c r="AE174" s="23" t="n"/>
      <c r="AF174" s="25" t="n"/>
      <c r="AG174" s="25" t="n"/>
      <c r="AH174" s="23" t="n"/>
      <c r="AI174" s="23" t="n"/>
      <c r="AJ174" s="26">
        <f>IF(I174="","",I174&amp;"|"&amp;R174)</f>
        <v/>
      </c>
      <c r="AK174" s="26">
        <f>IF(I174="","",IF(ISNA(MATCH(O174,Kampanyalar!$A$2:$A$150,0)),"Hayır - Kampanyalar'da Yok","Evet"))</f>
        <v/>
      </c>
      <c r="AL174" s="27">
        <f>IF(I174="","",IFERROR(INDEX(Kampanyalar!$E$2:$E$150,MATCH(O174,Kampanyalar!$A$2:$A$150,0)),""))</f>
        <v/>
      </c>
      <c r="AM174" s="27">
        <f>IF(I174="","",IFERROR(INDEX(Kampanyalar!$F$2:$F$150,MATCH(O174,Kampanyalar!$A$2:$A$150,0)),""))</f>
        <v/>
      </c>
      <c r="AN174" s="27">
        <f>IF(I174="","",IFERROR(INDEX(Kampanyalar!$G$2:$G$150,MATCH(O174,Kampanyalar!$A$2:$A$150,0)),""))</f>
        <v/>
      </c>
      <c r="AO174" s="26">
        <f>IF(OR(I174="",AL174="",AM174=""),"",IF(AND(H174&gt;=AL174,H174&lt;=AM174),"Evet","HAYIR - Tarih Dışı"))</f>
        <v/>
      </c>
      <c r="AP174" s="28">
        <f>IF(I174="","",IFERROR(INDEX(Kampanyalar!$H$2:$H$150,MATCH(O174,Kampanyalar!$A$2:$A$150,0)),""))</f>
        <v/>
      </c>
      <c r="AQ174" s="28">
        <f>IF(I174="","",IF(ISNUMBER(AP174),AP174,AD174))</f>
        <v/>
      </c>
      <c r="AR174" s="26">
        <f>IF(I174="","",IF(Parametreler!$C$7="Evet","Kural A - Hemen Ödeme (Stok Mutabakatlı)","Kural B - Nakliye/Montaj Sonrası Ödeme"))</f>
        <v/>
      </c>
    </row>
    <row r="175">
      <c r="A175" s="23" t="n"/>
      <c r="B175" s="23" t="n"/>
      <c r="C175" s="23" t="n"/>
      <c r="D175" s="23" t="n"/>
      <c r="E175" s="23" t="n"/>
      <c r="F175" s="23" t="n"/>
      <c r="G175" s="23" t="n"/>
      <c r="H175" s="24" t="n"/>
      <c r="I175" s="23" t="n"/>
      <c r="J175" s="23" t="n"/>
      <c r="K175" s="23" t="n"/>
      <c r="L175" s="23" t="n"/>
      <c r="M175" s="23" t="n"/>
      <c r="N175" s="23" t="n"/>
      <c r="O175" s="23" t="n"/>
      <c r="P175" s="23" t="n"/>
      <c r="Q175" s="23" t="n"/>
      <c r="R175" s="23" t="n"/>
      <c r="S175" s="23" t="n"/>
      <c r="T175" s="23" t="n"/>
      <c r="U175" s="23" t="n"/>
      <c r="V175" s="23" t="n"/>
      <c r="W175" s="23" t="n"/>
      <c r="X175" s="23" t="n"/>
      <c r="Y175" s="25" t="n"/>
      <c r="Z175" s="25" t="n"/>
      <c r="AA175" s="23" t="n"/>
      <c r="AB175" s="25" t="n"/>
      <c r="AC175" s="23" t="n"/>
      <c r="AD175" s="25" t="n"/>
      <c r="AE175" s="23" t="n"/>
      <c r="AF175" s="25" t="n"/>
      <c r="AG175" s="25" t="n"/>
      <c r="AH175" s="23" t="n"/>
      <c r="AI175" s="23" t="n"/>
      <c r="AJ175" s="26">
        <f>IF(I175="","",I175&amp;"|"&amp;R175)</f>
        <v/>
      </c>
      <c r="AK175" s="26">
        <f>IF(I175="","",IF(ISNA(MATCH(O175,Kampanyalar!$A$2:$A$150,0)),"Hayır - Kampanyalar'da Yok","Evet"))</f>
        <v/>
      </c>
      <c r="AL175" s="27">
        <f>IF(I175="","",IFERROR(INDEX(Kampanyalar!$E$2:$E$150,MATCH(O175,Kampanyalar!$A$2:$A$150,0)),""))</f>
        <v/>
      </c>
      <c r="AM175" s="27">
        <f>IF(I175="","",IFERROR(INDEX(Kampanyalar!$F$2:$F$150,MATCH(O175,Kampanyalar!$A$2:$A$150,0)),""))</f>
        <v/>
      </c>
      <c r="AN175" s="27">
        <f>IF(I175="","",IFERROR(INDEX(Kampanyalar!$G$2:$G$150,MATCH(O175,Kampanyalar!$A$2:$A$150,0)),""))</f>
        <v/>
      </c>
      <c r="AO175" s="26">
        <f>IF(OR(I175="",AL175="",AM175=""),"",IF(AND(H175&gt;=AL175,H175&lt;=AM175),"Evet","HAYIR - Tarih Dışı"))</f>
        <v/>
      </c>
      <c r="AP175" s="28">
        <f>IF(I175="","",IFERROR(INDEX(Kampanyalar!$H$2:$H$150,MATCH(O175,Kampanyalar!$A$2:$A$150,0)),""))</f>
        <v/>
      </c>
      <c r="AQ175" s="28">
        <f>IF(I175="","",IF(ISNUMBER(AP175),AP175,AD175))</f>
        <v/>
      </c>
      <c r="AR175" s="26">
        <f>IF(I175="","",IF(Parametreler!$C$7="Evet","Kural A - Hemen Ödeme (Stok Mutabakatlı)","Kural B - Nakliye/Montaj Sonrası Ödeme"))</f>
        <v/>
      </c>
    </row>
    <row r="176">
      <c r="A176" s="23" t="n"/>
      <c r="B176" s="23" t="n"/>
      <c r="C176" s="23" t="n"/>
      <c r="D176" s="23" t="n"/>
      <c r="E176" s="23" t="n"/>
      <c r="F176" s="23" t="n"/>
      <c r="G176" s="23" t="n"/>
      <c r="H176" s="24" t="n"/>
      <c r="I176" s="23" t="n"/>
      <c r="J176" s="23" t="n"/>
      <c r="K176" s="23" t="n"/>
      <c r="L176" s="23" t="n"/>
      <c r="M176" s="23" t="n"/>
      <c r="N176" s="23" t="n"/>
      <c r="O176" s="23" t="n"/>
      <c r="P176" s="23" t="n"/>
      <c r="Q176" s="23" t="n"/>
      <c r="R176" s="23" t="n"/>
      <c r="S176" s="23" t="n"/>
      <c r="T176" s="23" t="n"/>
      <c r="U176" s="23" t="n"/>
      <c r="V176" s="23" t="n"/>
      <c r="W176" s="23" t="n"/>
      <c r="X176" s="23" t="n"/>
      <c r="Y176" s="25" t="n"/>
      <c r="Z176" s="25" t="n"/>
      <c r="AA176" s="23" t="n"/>
      <c r="AB176" s="25" t="n"/>
      <c r="AC176" s="23" t="n"/>
      <c r="AD176" s="25" t="n"/>
      <c r="AE176" s="23" t="n"/>
      <c r="AF176" s="25" t="n"/>
      <c r="AG176" s="25" t="n"/>
      <c r="AH176" s="23" t="n"/>
      <c r="AI176" s="23" t="n"/>
      <c r="AJ176" s="26">
        <f>IF(I176="","",I176&amp;"|"&amp;R176)</f>
        <v/>
      </c>
      <c r="AK176" s="26">
        <f>IF(I176="","",IF(ISNA(MATCH(O176,Kampanyalar!$A$2:$A$150,0)),"Hayır - Kampanyalar'da Yok","Evet"))</f>
        <v/>
      </c>
      <c r="AL176" s="27">
        <f>IF(I176="","",IFERROR(INDEX(Kampanyalar!$E$2:$E$150,MATCH(O176,Kampanyalar!$A$2:$A$150,0)),""))</f>
        <v/>
      </c>
      <c r="AM176" s="27">
        <f>IF(I176="","",IFERROR(INDEX(Kampanyalar!$F$2:$F$150,MATCH(O176,Kampanyalar!$A$2:$A$150,0)),""))</f>
        <v/>
      </c>
      <c r="AN176" s="27">
        <f>IF(I176="","",IFERROR(INDEX(Kampanyalar!$G$2:$G$150,MATCH(O176,Kampanyalar!$A$2:$A$150,0)),""))</f>
        <v/>
      </c>
      <c r="AO176" s="26">
        <f>IF(OR(I176="",AL176="",AM176=""),"",IF(AND(H176&gt;=AL176,H176&lt;=AM176),"Evet","HAYIR - Tarih Dışı"))</f>
        <v/>
      </c>
      <c r="AP176" s="28">
        <f>IF(I176="","",IFERROR(INDEX(Kampanyalar!$H$2:$H$150,MATCH(O176,Kampanyalar!$A$2:$A$150,0)),""))</f>
        <v/>
      </c>
      <c r="AQ176" s="28">
        <f>IF(I176="","",IF(ISNUMBER(AP176),AP176,AD176))</f>
        <v/>
      </c>
      <c r="AR176" s="26">
        <f>IF(I176="","",IF(Parametreler!$C$7="Evet","Kural A - Hemen Ödeme (Stok Mutabakatlı)","Kural B - Nakliye/Montaj Sonrası Ödeme"))</f>
        <v/>
      </c>
    </row>
    <row r="177">
      <c r="A177" s="23" t="n"/>
      <c r="B177" s="23" t="n"/>
      <c r="C177" s="23" t="n"/>
      <c r="D177" s="23" t="n"/>
      <c r="E177" s="23" t="n"/>
      <c r="F177" s="23" t="n"/>
      <c r="G177" s="23" t="n"/>
      <c r="H177" s="24" t="n"/>
      <c r="I177" s="23" t="n"/>
      <c r="J177" s="23" t="n"/>
      <c r="K177" s="23" t="n"/>
      <c r="L177" s="23" t="n"/>
      <c r="M177" s="23" t="n"/>
      <c r="N177" s="23" t="n"/>
      <c r="O177" s="23" t="n"/>
      <c r="P177" s="23" t="n"/>
      <c r="Q177" s="23" t="n"/>
      <c r="R177" s="23" t="n"/>
      <c r="S177" s="23" t="n"/>
      <c r="T177" s="23" t="n"/>
      <c r="U177" s="23" t="n"/>
      <c r="V177" s="23" t="n"/>
      <c r="W177" s="23" t="n"/>
      <c r="X177" s="23" t="n"/>
      <c r="Y177" s="25" t="n"/>
      <c r="Z177" s="25" t="n"/>
      <c r="AA177" s="23" t="n"/>
      <c r="AB177" s="25" t="n"/>
      <c r="AC177" s="23" t="n"/>
      <c r="AD177" s="25" t="n"/>
      <c r="AE177" s="23" t="n"/>
      <c r="AF177" s="25" t="n"/>
      <c r="AG177" s="25" t="n"/>
      <c r="AH177" s="23" t="n"/>
      <c r="AI177" s="23" t="n"/>
      <c r="AJ177" s="26">
        <f>IF(I177="","",I177&amp;"|"&amp;R177)</f>
        <v/>
      </c>
      <c r="AK177" s="26">
        <f>IF(I177="","",IF(ISNA(MATCH(O177,Kampanyalar!$A$2:$A$150,0)),"Hayır - Kampanyalar'da Yok","Evet"))</f>
        <v/>
      </c>
      <c r="AL177" s="27">
        <f>IF(I177="","",IFERROR(INDEX(Kampanyalar!$E$2:$E$150,MATCH(O177,Kampanyalar!$A$2:$A$150,0)),""))</f>
        <v/>
      </c>
      <c r="AM177" s="27">
        <f>IF(I177="","",IFERROR(INDEX(Kampanyalar!$F$2:$F$150,MATCH(O177,Kampanyalar!$A$2:$A$150,0)),""))</f>
        <v/>
      </c>
      <c r="AN177" s="27">
        <f>IF(I177="","",IFERROR(INDEX(Kampanyalar!$G$2:$G$150,MATCH(O177,Kampanyalar!$A$2:$A$150,0)),""))</f>
        <v/>
      </c>
      <c r="AO177" s="26">
        <f>IF(OR(I177="",AL177="",AM177=""),"",IF(AND(H177&gt;=AL177,H177&lt;=AM177),"Evet","HAYIR - Tarih Dışı"))</f>
        <v/>
      </c>
      <c r="AP177" s="28">
        <f>IF(I177="","",IFERROR(INDEX(Kampanyalar!$H$2:$H$150,MATCH(O177,Kampanyalar!$A$2:$A$150,0)),""))</f>
        <v/>
      </c>
      <c r="AQ177" s="28">
        <f>IF(I177="","",IF(ISNUMBER(AP177),AP177,AD177))</f>
        <v/>
      </c>
      <c r="AR177" s="26">
        <f>IF(I177="","",IF(Parametreler!$C$7="Evet","Kural A - Hemen Ödeme (Stok Mutabakatlı)","Kural B - Nakliye/Montaj Sonrası Ödeme"))</f>
        <v/>
      </c>
    </row>
    <row r="178">
      <c r="A178" s="23" t="n"/>
      <c r="B178" s="23" t="n"/>
      <c r="C178" s="23" t="n"/>
      <c r="D178" s="23" t="n"/>
      <c r="E178" s="23" t="n"/>
      <c r="F178" s="23" t="n"/>
      <c r="G178" s="23" t="n"/>
      <c r="H178" s="24" t="n"/>
      <c r="I178" s="23" t="n"/>
      <c r="J178" s="23" t="n"/>
      <c r="K178" s="23" t="n"/>
      <c r="L178" s="23" t="n"/>
      <c r="M178" s="23" t="n"/>
      <c r="N178" s="23" t="n"/>
      <c r="O178" s="23" t="n"/>
      <c r="P178" s="23" t="n"/>
      <c r="Q178" s="23" t="n"/>
      <c r="R178" s="23" t="n"/>
      <c r="S178" s="23" t="n"/>
      <c r="T178" s="23" t="n"/>
      <c r="U178" s="23" t="n"/>
      <c r="V178" s="23" t="n"/>
      <c r="W178" s="23" t="n"/>
      <c r="X178" s="23" t="n"/>
      <c r="Y178" s="25" t="n"/>
      <c r="Z178" s="25" t="n"/>
      <c r="AA178" s="23" t="n"/>
      <c r="AB178" s="25" t="n"/>
      <c r="AC178" s="23" t="n"/>
      <c r="AD178" s="25" t="n"/>
      <c r="AE178" s="23" t="n"/>
      <c r="AF178" s="25" t="n"/>
      <c r="AG178" s="25" t="n"/>
      <c r="AH178" s="23" t="n"/>
      <c r="AI178" s="23" t="n"/>
      <c r="AJ178" s="26">
        <f>IF(I178="","",I178&amp;"|"&amp;R178)</f>
        <v/>
      </c>
      <c r="AK178" s="26">
        <f>IF(I178="","",IF(ISNA(MATCH(O178,Kampanyalar!$A$2:$A$150,0)),"Hayır - Kampanyalar'da Yok","Evet"))</f>
        <v/>
      </c>
      <c r="AL178" s="27">
        <f>IF(I178="","",IFERROR(INDEX(Kampanyalar!$E$2:$E$150,MATCH(O178,Kampanyalar!$A$2:$A$150,0)),""))</f>
        <v/>
      </c>
      <c r="AM178" s="27">
        <f>IF(I178="","",IFERROR(INDEX(Kampanyalar!$F$2:$F$150,MATCH(O178,Kampanyalar!$A$2:$A$150,0)),""))</f>
        <v/>
      </c>
      <c r="AN178" s="27">
        <f>IF(I178="","",IFERROR(INDEX(Kampanyalar!$G$2:$G$150,MATCH(O178,Kampanyalar!$A$2:$A$150,0)),""))</f>
        <v/>
      </c>
      <c r="AO178" s="26">
        <f>IF(OR(I178="",AL178="",AM178=""),"",IF(AND(H178&gt;=AL178,H178&lt;=AM178),"Evet","HAYIR - Tarih Dışı"))</f>
        <v/>
      </c>
      <c r="AP178" s="28">
        <f>IF(I178="","",IFERROR(INDEX(Kampanyalar!$H$2:$H$150,MATCH(O178,Kampanyalar!$A$2:$A$150,0)),""))</f>
        <v/>
      </c>
      <c r="AQ178" s="28">
        <f>IF(I178="","",IF(ISNUMBER(AP178),AP178,AD178))</f>
        <v/>
      </c>
      <c r="AR178" s="26">
        <f>IF(I178="","",IF(Parametreler!$C$7="Evet","Kural A - Hemen Ödeme (Stok Mutabakatlı)","Kural B - Nakliye/Montaj Sonrası Ödeme"))</f>
        <v/>
      </c>
    </row>
    <row r="179">
      <c r="A179" s="23" t="n"/>
      <c r="B179" s="23" t="n"/>
      <c r="C179" s="23" t="n"/>
      <c r="D179" s="23" t="n"/>
      <c r="E179" s="23" t="n"/>
      <c r="F179" s="23" t="n"/>
      <c r="G179" s="23" t="n"/>
      <c r="H179" s="24" t="n"/>
      <c r="I179" s="23" t="n"/>
      <c r="J179" s="23" t="n"/>
      <c r="K179" s="23" t="n"/>
      <c r="L179" s="23" t="n"/>
      <c r="M179" s="23" t="n"/>
      <c r="N179" s="23" t="n"/>
      <c r="O179" s="23" t="n"/>
      <c r="P179" s="23" t="n"/>
      <c r="Q179" s="23" t="n"/>
      <c r="R179" s="23" t="n"/>
      <c r="S179" s="23" t="n"/>
      <c r="T179" s="23" t="n"/>
      <c r="U179" s="23" t="n"/>
      <c r="V179" s="23" t="n"/>
      <c r="W179" s="23" t="n"/>
      <c r="X179" s="23" t="n"/>
      <c r="Y179" s="25" t="n"/>
      <c r="Z179" s="25" t="n"/>
      <c r="AA179" s="23" t="n"/>
      <c r="AB179" s="25" t="n"/>
      <c r="AC179" s="23" t="n"/>
      <c r="AD179" s="25" t="n"/>
      <c r="AE179" s="23" t="n"/>
      <c r="AF179" s="25" t="n"/>
      <c r="AG179" s="25" t="n"/>
      <c r="AH179" s="23" t="n"/>
      <c r="AI179" s="23" t="n"/>
      <c r="AJ179" s="26">
        <f>IF(I179="","",I179&amp;"|"&amp;R179)</f>
        <v/>
      </c>
      <c r="AK179" s="26">
        <f>IF(I179="","",IF(ISNA(MATCH(O179,Kampanyalar!$A$2:$A$150,0)),"Hayır - Kampanyalar'da Yok","Evet"))</f>
        <v/>
      </c>
      <c r="AL179" s="27">
        <f>IF(I179="","",IFERROR(INDEX(Kampanyalar!$E$2:$E$150,MATCH(O179,Kampanyalar!$A$2:$A$150,0)),""))</f>
        <v/>
      </c>
      <c r="AM179" s="27">
        <f>IF(I179="","",IFERROR(INDEX(Kampanyalar!$F$2:$F$150,MATCH(O179,Kampanyalar!$A$2:$A$150,0)),""))</f>
        <v/>
      </c>
      <c r="AN179" s="27">
        <f>IF(I179="","",IFERROR(INDEX(Kampanyalar!$G$2:$G$150,MATCH(O179,Kampanyalar!$A$2:$A$150,0)),""))</f>
        <v/>
      </c>
      <c r="AO179" s="26">
        <f>IF(OR(I179="",AL179="",AM179=""),"",IF(AND(H179&gt;=AL179,H179&lt;=AM179),"Evet","HAYIR - Tarih Dışı"))</f>
        <v/>
      </c>
      <c r="AP179" s="28">
        <f>IF(I179="","",IFERROR(INDEX(Kampanyalar!$H$2:$H$150,MATCH(O179,Kampanyalar!$A$2:$A$150,0)),""))</f>
        <v/>
      </c>
      <c r="AQ179" s="28">
        <f>IF(I179="","",IF(ISNUMBER(AP179),AP179,AD179))</f>
        <v/>
      </c>
      <c r="AR179" s="26">
        <f>IF(I179="","",IF(Parametreler!$C$7="Evet","Kural A - Hemen Ödeme (Stok Mutabakatlı)","Kural B - Nakliye/Montaj Sonrası Ödeme"))</f>
        <v/>
      </c>
    </row>
    <row r="180">
      <c r="A180" s="23" t="n"/>
      <c r="B180" s="23" t="n"/>
      <c r="C180" s="23" t="n"/>
      <c r="D180" s="23" t="n"/>
      <c r="E180" s="23" t="n"/>
      <c r="F180" s="23" t="n"/>
      <c r="G180" s="23" t="n"/>
      <c r="H180" s="24" t="n"/>
      <c r="I180" s="23" t="n"/>
      <c r="J180" s="23" t="n"/>
      <c r="K180" s="23" t="n"/>
      <c r="L180" s="23" t="n"/>
      <c r="M180" s="23" t="n"/>
      <c r="N180" s="23" t="n"/>
      <c r="O180" s="23" t="n"/>
      <c r="P180" s="23" t="n"/>
      <c r="Q180" s="23" t="n"/>
      <c r="R180" s="23" t="n"/>
      <c r="S180" s="23" t="n"/>
      <c r="T180" s="23" t="n"/>
      <c r="U180" s="23" t="n"/>
      <c r="V180" s="23" t="n"/>
      <c r="W180" s="23" t="n"/>
      <c r="X180" s="23" t="n"/>
      <c r="Y180" s="25" t="n"/>
      <c r="Z180" s="25" t="n"/>
      <c r="AA180" s="23" t="n"/>
      <c r="AB180" s="25" t="n"/>
      <c r="AC180" s="23" t="n"/>
      <c r="AD180" s="25" t="n"/>
      <c r="AE180" s="23" t="n"/>
      <c r="AF180" s="25" t="n"/>
      <c r="AG180" s="25" t="n"/>
      <c r="AH180" s="23" t="n"/>
      <c r="AI180" s="23" t="n"/>
      <c r="AJ180" s="26">
        <f>IF(I180="","",I180&amp;"|"&amp;R180)</f>
        <v/>
      </c>
      <c r="AK180" s="26">
        <f>IF(I180="","",IF(ISNA(MATCH(O180,Kampanyalar!$A$2:$A$150,0)),"Hayır - Kampanyalar'da Yok","Evet"))</f>
        <v/>
      </c>
      <c r="AL180" s="27">
        <f>IF(I180="","",IFERROR(INDEX(Kampanyalar!$E$2:$E$150,MATCH(O180,Kampanyalar!$A$2:$A$150,0)),""))</f>
        <v/>
      </c>
      <c r="AM180" s="27">
        <f>IF(I180="","",IFERROR(INDEX(Kampanyalar!$F$2:$F$150,MATCH(O180,Kampanyalar!$A$2:$A$150,0)),""))</f>
        <v/>
      </c>
      <c r="AN180" s="27">
        <f>IF(I180="","",IFERROR(INDEX(Kampanyalar!$G$2:$G$150,MATCH(O180,Kampanyalar!$A$2:$A$150,0)),""))</f>
        <v/>
      </c>
      <c r="AO180" s="26">
        <f>IF(OR(I180="",AL180="",AM180=""),"",IF(AND(H180&gt;=AL180,H180&lt;=AM180),"Evet","HAYIR - Tarih Dışı"))</f>
        <v/>
      </c>
      <c r="AP180" s="28">
        <f>IF(I180="","",IFERROR(INDEX(Kampanyalar!$H$2:$H$150,MATCH(O180,Kampanyalar!$A$2:$A$150,0)),""))</f>
        <v/>
      </c>
      <c r="AQ180" s="28">
        <f>IF(I180="","",IF(ISNUMBER(AP180),AP180,AD180))</f>
        <v/>
      </c>
      <c r="AR180" s="26">
        <f>IF(I180="","",IF(Parametreler!$C$7="Evet","Kural A - Hemen Ödeme (Stok Mutabakatlı)","Kural B - Nakliye/Montaj Sonrası Ödeme"))</f>
        <v/>
      </c>
    </row>
    <row r="181">
      <c r="A181" s="23" t="n"/>
      <c r="B181" s="23" t="n"/>
      <c r="C181" s="23" t="n"/>
      <c r="D181" s="23" t="n"/>
      <c r="E181" s="23" t="n"/>
      <c r="F181" s="23" t="n"/>
      <c r="G181" s="23" t="n"/>
      <c r="H181" s="24" t="n"/>
      <c r="I181" s="23" t="n"/>
      <c r="J181" s="23" t="n"/>
      <c r="K181" s="23" t="n"/>
      <c r="L181" s="23" t="n"/>
      <c r="M181" s="23" t="n"/>
      <c r="N181" s="23" t="n"/>
      <c r="O181" s="23" t="n"/>
      <c r="P181" s="23" t="n"/>
      <c r="Q181" s="23" t="n"/>
      <c r="R181" s="23" t="n"/>
      <c r="S181" s="23" t="n"/>
      <c r="T181" s="23" t="n"/>
      <c r="U181" s="23" t="n"/>
      <c r="V181" s="23" t="n"/>
      <c r="W181" s="23" t="n"/>
      <c r="X181" s="23" t="n"/>
      <c r="Y181" s="25" t="n"/>
      <c r="Z181" s="25" t="n"/>
      <c r="AA181" s="23" t="n"/>
      <c r="AB181" s="25" t="n"/>
      <c r="AC181" s="23" t="n"/>
      <c r="AD181" s="25" t="n"/>
      <c r="AE181" s="23" t="n"/>
      <c r="AF181" s="25" t="n"/>
      <c r="AG181" s="25" t="n"/>
      <c r="AH181" s="23" t="n"/>
      <c r="AI181" s="23" t="n"/>
      <c r="AJ181" s="26">
        <f>IF(I181="","",I181&amp;"|"&amp;R181)</f>
        <v/>
      </c>
      <c r="AK181" s="26">
        <f>IF(I181="","",IF(ISNA(MATCH(O181,Kampanyalar!$A$2:$A$150,0)),"Hayır - Kampanyalar'da Yok","Evet"))</f>
        <v/>
      </c>
      <c r="AL181" s="27">
        <f>IF(I181="","",IFERROR(INDEX(Kampanyalar!$E$2:$E$150,MATCH(O181,Kampanyalar!$A$2:$A$150,0)),""))</f>
        <v/>
      </c>
      <c r="AM181" s="27">
        <f>IF(I181="","",IFERROR(INDEX(Kampanyalar!$F$2:$F$150,MATCH(O181,Kampanyalar!$A$2:$A$150,0)),""))</f>
        <v/>
      </c>
      <c r="AN181" s="27">
        <f>IF(I181="","",IFERROR(INDEX(Kampanyalar!$G$2:$G$150,MATCH(O181,Kampanyalar!$A$2:$A$150,0)),""))</f>
        <v/>
      </c>
      <c r="AO181" s="26">
        <f>IF(OR(I181="",AL181="",AM181=""),"",IF(AND(H181&gt;=AL181,H181&lt;=AM181),"Evet","HAYIR - Tarih Dışı"))</f>
        <v/>
      </c>
      <c r="AP181" s="28">
        <f>IF(I181="","",IFERROR(INDEX(Kampanyalar!$H$2:$H$150,MATCH(O181,Kampanyalar!$A$2:$A$150,0)),""))</f>
        <v/>
      </c>
      <c r="AQ181" s="28">
        <f>IF(I181="","",IF(ISNUMBER(AP181),AP181,AD181))</f>
        <v/>
      </c>
      <c r="AR181" s="26">
        <f>IF(I181="","",IF(Parametreler!$C$7="Evet","Kural A - Hemen Ödeme (Stok Mutabakatlı)","Kural B - Nakliye/Montaj Sonrası Ödeme"))</f>
        <v/>
      </c>
    </row>
    <row r="182">
      <c r="A182" s="23" t="n"/>
      <c r="B182" s="23" t="n"/>
      <c r="C182" s="23" t="n"/>
      <c r="D182" s="23" t="n"/>
      <c r="E182" s="23" t="n"/>
      <c r="F182" s="23" t="n"/>
      <c r="G182" s="23" t="n"/>
      <c r="H182" s="24" t="n"/>
      <c r="I182" s="23" t="n"/>
      <c r="J182" s="23" t="n"/>
      <c r="K182" s="23" t="n"/>
      <c r="L182" s="23" t="n"/>
      <c r="M182" s="23" t="n"/>
      <c r="N182" s="23" t="n"/>
      <c r="O182" s="23" t="n"/>
      <c r="P182" s="23" t="n"/>
      <c r="Q182" s="23" t="n"/>
      <c r="R182" s="23" t="n"/>
      <c r="S182" s="23" t="n"/>
      <c r="T182" s="23" t="n"/>
      <c r="U182" s="23" t="n"/>
      <c r="V182" s="23" t="n"/>
      <c r="W182" s="23" t="n"/>
      <c r="X182" s="23" t="n"/>
      <c r="Y182" s="25" t="n"/>
      <c r="Z182" s="25" t="n"/>
      <c r="AA182" s="23" t="n"/>
      <c r="AB182" s="25" t="n"/>
      <c r="AC182" s="23" t="n"/>
      <c r="AD182" s="25" t="n"/>
      <c r="AE182" s="23" t="n"/>
      <c r="AF182" s="25" t="n"/>
      <c r="AG182" s="25" t="n"/>
      <c r="AH182" s="23" t="n"/>
      <c r="AI182" s="23" t="n"/>
      <c r="AJ182" s="26">
        <f>IF(I182="","",I182&amp;"|"&amp;R182)</f>
        <v/>
      </c>
      <c r="AK182" s="26">
        <f>IF(I182="","",IF(ISNA(MATCH(O182,Kampanyalar!$A$2:$A$150,0)),"Hayır - Kampanyalar'da Yok","Evet"))</f>
        <v/>
      </c>
      <c r="AL182" s="27">
        <f>IF(I182="","",IFERROR(INDEX(Kampanyalar!$E$2:$E$150,MATCH(O182,Kampanyalar!$A$2:$A$150,0)),""))</f>
        <v/>
      </c>
      <c r="AM182" s="27">
        <f>IF(I182="","",IFERROR(INDEX(Kampanyalar!$F$2:$F$150,MATCH(O182,Kampanyalar!$A$2:$A$150,0)),""))</f>
        <v/>
      </c>
      <c r="AN182" s="27">
        <f>IF(I182="","",IFERROR(INDEX(Kampanyalar!$G$2:$G$150,MATCH(O182,Kampanyalar!$A$2:$A$150,0)),""))</f>
        <v/>
      </c>
      <c r="AO182" s="26">
        <f>IF(OR(I182="",AL182="",AM182=""),"",IF(AND(H182&gt;=AL182,H182&lt;=AM182),"Evet","HAYIR - Tarih Dışı"))</f>
        <v/>
      </c>
      <c r="AP182" s="28">
        <f>IF(I182="","",IFERROR(INDEX(Kampanyalar!$H$2:$H$150,MATCH(O182,Kampanyalar!$A$2:$A$150,0)),""))</f>
        <v/>
      </c>
      <c r="AQ182" s="28">
        <f>IF(I182="","",IF(ISNUMBER(AP182),AP182,AD182))</f>
        <v/>
      </c>
      <c r="AR182" s="26">
        <f>IF(I182="","",IF(Parametreler!$C$7="Evet","Kural A - Hemen Ödeme (Stok Mutabakatlı)","Kural B - Nakliye/Montaj Sonrası Ödeme"))</f>
        <v/>
      </c>
    </row>
    <row r="183">
      <c r="A183" s="23" t="n"/>
      <c r="B183" s="23" t="n"/>
      <c r="C183" s="23" t="n"/>
      <c r="D183" s="23" t="n"/>
      <c r="E183" s="23" t="n"/>
      <c r="F183" s="23" t="n"/>
      <c r="G183" s="23" t="n"/>
      <c r="H183" s="24" t="n"/>
      <c r="I183" s="23" t="n"/>
      <c r="J183" s="23" t="n"/>
      <c r="K183" s="23" t="n"/>
      <c r="L183" s="23" t="n"/>
      <c r="M183" s="23" t="n"/>
      <c r="N183" s="23" t="n"/>
      <c r="O183" s="23" t="n"/>
      <c r="P183" s="23" t="n"/>
      <c r="Q183" s="23" t="n"/>
      <c r="R183" s="23" t="n"/>
      <c r="S183" s="23" t="n"/>
      <c r="T183" s="23" t="n"/>
      <c r="U183" s="23" t="n"/>
      <c r="V183" s="23" t="n"/>
      <c r="W183" s="23" t="n"/>
      <c r="X183" s="23" t="n"/>
      <c r="Y183" s="25" t="n"/>
      <c r="Z183" s="25" t="n"/>
      <c r="AA183" s="23" t="n"/>
      <c r="AB183" s="25" t="n"/>
      <c r="AC183" s="23" t="n"/>
      <c r="AD183" s="25" t="n"/>
      <c r="AE183" s="23" t="n"/>
      <c r="AF183" s="25" t="n"/>
      <c r="AG183" s="25" t="n"/>
      <c r="AH183" s="23" t="n"/>
      <c r="AI183" s="23" t="n"/>
      <c r="AJ183" s="26">
        <f>IF(I183="","",I183&amp;"|"&amp;R183)</f>
        <v/>
      </c>
      <c r="AK183" s="26">
        <f>IF(I183="","",IF(ISNA(MATCH(O183,Kampanyalar!$A$2:$A$150,0)),"Hayır - Kampanyalar'da Yok","Evet"))</f>
        <v/>
      </c>
      <c r="AL183" s="27">
        <f>IF(I183="","",IFERROR(INDEX(Kampanyalar!$E$2:$E$150,MATCH(O183,Kampanyalar!$A$2:$A$150,0)),""))</f>
        <v/>
      </c>
      <c r="AM183" s="27">
        <f>IF(I183="","",IFERROR(INDEX(Kampanyalar!$F$2:$F$150,MATCH(O183,Kampanyalar!$A$2:$A$150,0)),""))</f>
        <v/>
      </c>
      <c r="AN183" s="27">
        <f>IF(I183="","",IFERROR(INDEX(Kampanyalar!$G$2:$G$150,MATCH(O183,Kampanyalar!$A$2:$A$150,0)),""))</f>
        <v/>
      </c>
      <c r="AO183" s="26">
        <f>IF(OR(I183="",AL183="",AM183=""),"",IF(AND(H183&gt;=AL183,H183&lt;=AM183),"Evet","HAYIR - Tarih Dışı"))</f>
        <v/>
      </c>
      <c r="AP183" s="28">
        <f>IF(I183="","",IFERROR(INDEX(Kampanyalar!$H$2:$H$150,MATCH(O183,Kampanyalar!$A$2:$A$150,0)),""))</f>
        <v/>
      </c>
      <c r="AQ183" s="28">
        <f>IF(I183="","",IF(ISNUMBER(AP183),AP183,AD183))</f>
        <v/>
      </c>
      <c r="AR183" s="26">
        <f>IF(I183="","",IF(Parametreler!$C$7="Evet","Kural A - Hemen Ödeme (Stok Mutabakatlı)","Kural B - Nakliye/Montaj Sonrası Ödeme"))</f>
        <v/>
      </c>
    </row>
    <row r="184">
      <c r="A184" s="23" t="n"/>
      <c r="B184" s="23" t="n"/>
      <c r="C184" s="23" t="n"/>
      <c r="D184" s="23" t="n"/>
      <c r="E184" s="23" t="n"/>
      <c r="F184" s="23" t="n"/>
      <c r="G184" s="23" t="n"/>
      <c r="H184" s="24" t="n"/>
      <c r="I184" s="23" t="n"/>
      <c r="J184" s="23" t="n"/>
      <c r="K184" s="23" t="n"/>
      <c r="L184" s="23" t="n"/>
      <c r="M184" s="23" t="n"/>
      <c r="N184" s="23" t="n"/>
      <c r="O184" s="23" t="n"/>
      <c r="P184" s="23" t="n"/>
      <c r="Q184" s="23" t="n"/>
      <c r="R184" s="23" t="n"/>
      <c r="S184" s="23" t="n"/>
      <c r="T184" s="23" t="n"/>
      <c r="U184" s="23" t="n"/>
      <c r="V184" s="23" t="n"/>
      <c r="W184" s="23" t="n"/>
      <c r="X184" s="23" t="n"/>
      <c r="Y184" s="25" t="n"/>
      <c r="Z184" s="25" t="n"/>
      <c r="AA184" s="23" t="n"/>
      <c r="AB184" s="25" t="n"/>
      <c r="AC184" s="23" t="n"/>
      <c r="AD184" s="25" t="n"/>
      <c r="AE184" s="23" t="n"/>
      <c r="AF184" s="25" t="n"/>
      <c r="AG184" s="25" t="n"/>
      <c r="AH184" s="23" t="n"/>
      <c r="AI184" s="23" t="n"/>
      <c r="AJ184" s="26">
        <f>IF(I184="","",I184&amp;"|"&amp;R184)</f>
        <v/>
      </c>
      <c r="AK184" s="26">
        <f>IF(I184="","",IF(ISNA(MATCH(O184,Kampanyalar!$A$2:$A$150,0)),"Hayır - Kampanyalar'da Yok","Evet"))</f>
        <v/>
      </c>
      <c r="AL184" s="27">
        <f>IF(I184="","",IFERROR(INDEX(Kampanyalar!$E$2:$E$150,MATCH(O184,Kampanyalar!$A$2:$A$150,0)),""))</f>
        <v/>
      </c>
      <c r="AM184" s="27">
        <f>IF(I184="","",IFERROR(INDEX(Kampanyalar!$F$2:$F$150,MATCH(O184,Kampanyalar!$A$2:$A$150,0)),""))</f>
        <v/>
      </c>
      <c r="AN184" s="27">
        <f>IF(I184="","",IFERROR(INDEX(Kampanyalar!$G$2:$G$150,MATCH(O184,Kampanyalar!$A$2:$A$150,0)),""))</f>
        <v/>
      </c>
      <c r="AO184" s="26">
        <f>IF(OR(I184="",AL184="",AM184=""),"",IF(AND(H184&gt;=AL184,H184&lt;=AM184),"Evet","HAYIR - Tarih Dışı"))</f>
        <v/>
      </c>
      <c r="AP184" s="28">
        <f>IF(I184="","",IFERROR(INDEX(Kampanyalar!$H$2:$H$150,MATCH(O184,Kampanyalar!$A$2:$A$150,0)),""))</f>
        <v/>
      </c>
      <c r="AQ184" s="28">
        <f>IF(I184="","",IF(ISNUMBER(AP184),AP184,AD184))</f>
        <v/>
      </c>
      <c r="AR184" s="26">
        <f>IF(I184="","",IF(Parametreler!$C$7="Evet","Kural A - Hemen Ödeme (Stok Mutabakatlı)","Kural B - Nakliye/Montaj Sonrası Ödeme"))</f>
        <v/>
      </c>
    </row>
    <row r="185">
      <c r="A185" s="23" t="n"/>
      <c r="B185" s="23" t="n"/>
      <c r="C185" s="23" t="n"/>
      <c r="D185" s="23" t="n"/>
      <c r="E185" s="23" t="n"/>
      <c r="F185" s="23" t="n"/>
      <c r="G185" s="23" t="n"/>
      <c r="H185" s="24" t="n"/>
      <c r="I185" s="23" t="n"/>
      <c r="J185" s="23" t="n"/>
      <c r="K185" s="23" t="n"/>
      <c r="L185" s="23" t="n"/>
      <c r="M185" s="23" t="n"/>
      <c r="N185" s="23" t="n"/>
      <c r="O185" s="23" t="n"/>
      <c r="P185" s="23" t="n"/>
      <c r="Q185" s="23" t="n"/>
      <c r="R185" s="23" t="n"/>
      <c r="S185" s="23" t="n"/>
      <c r="T185" s="23" t="n"/>
      <c r="U185" s="23" t="n"/>
      <c r="V185" s="23" t="n"/>
      <c r="W185" s="23" t="n"/>
      <c r="X185" s="23" t="n"/>
      <c r="Y185" s="25" t="n"/>
      <c r="Z185" s="25" t="n"/>
      <c r="AA185" s="23" t="n"/>
      <c r="AB185" s="25" t="n"/>
      <c r="AC185" s="23" t="n"/>
      <c r="AD185" s="25" t="n"/>
      <c r="AE185" s="23" t="n"/>
      <c r="AF185" s="25" t="n"/>
      <c r="AG185" s="25" t="n"/>
      <c r="AH185" s="23" t="n"/>
      <c r="AI185" s="23" t="n"/>
      <c r="AJ185" s="26">
        <f>IF(I185="","",I185&amp;"|"&amp;R185)</f>
        <v/>
      </c>
      <c r="AK185" s="26">
        <f>IF(I185="","",IF(ISNA(MATCH(O185,Kampanyalar!$A$2:$A$150,0)),"Hayır - Kampanyalar'da Yok","Evet"))</f>
        <v/>
      </c>
      <c r="AL185" s="27">
        <f>IF(I185="","",IFERROR(INDEX(Kampanyalar!$E$2:$E$150,MATCH(O185,Kampanyalar!$A$2:$A$150,0)),""))</f>
        <v/>
      </c>
      <c r="AM185" s="27">
        <f>IF(I185="","",IFERROR(INDEX(Kampanyalar!$F$2:$F$150,MATCH(O185,Kampanyalar!$A$2:$A$150,0)),""))</f>
        <v/>
      </c>
      <c r="AN185" s="27">
        <f>IF(I185="","",IFERROR(INDEX(Kampanyalar!$G$2:$G$150,MATCH(O185,Kampanyalar!$A$2:$A$150,0)),""))</f>
        <v/>
      </c>
      <c r="AO185" s="26">
        <f>IF(OR(I185="",AL185="",AM185=""),"",IF(AND(H185&gt;=AL185,H185&lt;=AM185),"Evet","HAYIR - Tarih Dışı"))</f>
        <v/>
      </c>
      <c r="AP185" s="28">
        <f>IF(I185="","",IFERROR(INDEX(Kampanyalar!$H$2:$H$150,MATCH(O185,Kampanyalar!$A$2:$A$150,0)),""))</f>
        <v/>
      </c>
      <c r="AQ185" s="28">
        <f>IF(I185="","",IF(ISNUMBER(AP185),AP185,AD185))</f>
        <v/>
      </c>
      <c r="AR185" s="26">
        <f>IF(I185="","",IF(Parametreler!$C$7="Evet","Kural A - Hemen Ödeme (Stok Mutabakatlı)","Kural B - Nakliye/Montaj Sonrası Ödeme"))</f>
        <v/>
      </c>
    </row>
    <row r="186">
      <c r="A186" s="23" t="n"/>
      <c r="B186" s="23" t="n"/>
      <c r="C186" s="23" t="n"/>
      <c r="D186" s="23" t="n"/>
      <c r="E186" s="23" t="n"/>
      <c r="F186" s="23" t="n"/>
      <c r="G186" s="23" t="n"/>
      <c r="H186" s="24" t="n"/>
      <c r="I186" s="23" t="n"/>
      <c r="J186" s="23" t="n"/>
      <c r="K186" s="23" t="n"/>
      <c r="L186" s="23" t="n"/>
      <c r="M186" s="23" t="n"/>
      <c r="N186" s="23" t="n"/>
      <c r="O186" s="23" t="n"/>
      <c r="P186" s="23" t="n"/>
      <c r="Q186" s="23" t="n"/>
      <c r="R186" s="23" t="n"/>
      <c r="S186" s="23" t="n"/>
      <c r="T186" s="23" t="n"/>
      <c r="U186" s="23" t="n"/>
      <c r="V186" s="23" t="n"/>
      <c r="W186" s="23" t="n"/>
      <c r="X186" s="23" t="n"/>
      <c r="Y186" s="25" t="n"/>
      <c r="Z186" s="25" t="n"/>
      <c r="AA186" s="23" t="n"/>
      <c r="AB186" s="25" t="n"/>
      <c r="AC186" s="23" t="n"/>
      <c r="AD186" s="25" t="n"/>
      <c r="AE186" s="23" t="n"/>
      <c r="AF186" s="25" t="n"/>
      <c r="AG186" s="25" t="n"/>
      <c r="AH186" s="23" t="n"/>
      <c r="AI186" s="23" t="n"/>
      <c r="AJ186" s="26">
        <f>IF(I186="","",I186&amp;"|"&amp;R186)</f>
        <v/>
      </c>
      <c r="AK186" s="26">
        <f>IF(I186="","",IF(ISNA(MATCH(O186,Kampanyalar!$A$2:$A$150,0)),"Hayır - Kampanyalar'da Yok","Evet"))</f>
        <v/>
      </c>
      <c r="AL186" s="27">
        <f>IF(I186="","",IFERROR(INDEX(Kampanyalar!$E$2:$E$150,MATCH(O186,Kampanyalar!$A$2:$A$150,0)),""))</f>
        <v/>
      </c>
      <c r="AM186" s="27">
        <f>IF(I186="","",IFERROR(INDEX(Kampanyalar!$F$2:$F$150,MATCH(O186,Kampanyalar!$A$2:$A$150,0)),""))</f>
        <v/>
      </c>
      <c r="AN186" s="27">
        <f>IF(I186="","",IFERROR(INDEX(Kampanyalar!$G$2:$G$150,MATCH(O186,Kampanyalar!$A$2:$A$150,0)),""))</f>
        <v/>
      </c>
      <c r="AO186" s="26">
        <f>IF(OR(I186="",AL186="",AM186=""),"",IF(AND(H186&gt;=AL186,H186&lt;=AM186),"Evet","HAYIR - Tarih Dışı"))</f>
        <v/>
      </c>
      <c r="AP186" s="28">
        <f>IF(I186="","",IFERROR(INDEX(Kampanyalar!$H$2:$H$150,MATCH(O186,Kampanyalar!$A$2:$A$150,0)),""))</f>
        <v/>
      </c>
      <c r="AQ186" s="28">
        <f>IF(I186="","",IF(ISNUMBER(AP186),AP186,AD186))</f>
        <v/>
      </c>
      <c r="AR186" s="26">
        <f>IF(I186="","",IF(Parametreler!$C$7="Evet","Kural A - Hemen Ödeme (Stok Mutabakatlı)","Kural B - Nakliye/Montaj Sonrası Ödeme"))</f>
        <v/>
      </c>
    </row>
    <row r="187">
      <c r="A187" s="23" t="n"/>
      <c r="B187" s="23" t="n"/>
      <c r="C187" s="23" t="n"/>
      <c r="D187" s="23" t="n"/>
      <c r="E187" s="23" t="n"/>
      <c r="F187" s="23" t="n"/>
      <c r="G187" s="23" t="n"/>
      <c r="H187" s="24" t="n"/>
      <c r="I187" s="23" t="n"/>
      <c r="J187" s="23" t="n"/>
      <c r="K187" s="23" t="n"/>
      <c r="L187" s="23" t="n"/>
      <c r="M187" s="23" t="n"/>
      <c r="N187" s="23" t="n"/>
      <c r="O187" s="23" t="n"/>
      <c r="P187" s="23" t="n"/>
      <c r="Q187" s="23" t="n"/>
      <c r="R187" s="23" t="n"/>
      <c r="S187" s="23" t="n"/>
      <c r="T187" s="23" t="n"/>
      <c r="U187" s="23" t="n"/>
      <c r="V187" s="23" t="n"/>
      <c r="W187" s="23" t="n"/>
      <c r="X187" s="23" t="n"/>
      <c r="Y187" s="25" t="n"/>
      <c r="Z187" s="25" t="n"/>
      <c r="AA187" s="23" t="n"/>
      <c r="AB187" s="25" t="n"/>
      <c r="AC187" s="23" t="n"/>
      <c r="AD187" s="25" t="n"/>
      <c r="AE187" s="23" t="n"/>
      <c r="AF187" s="25" t="n"/>
      <c r="AG187" s="25" t="n"/>
      <c r="AH187" s="23" t="n"/>
      <c r="AI187" s="23" t="n"/>
      <c r="AJ187" s="26">
        <f>IF(I187="","",I187&amp;"|"&amp;R187)</f>
        <v/>
      </c>
      <c r="AK187" s="26">
        <f>IF(I187="","",IF(ISNA(MATCH(O187,Kampanyalar!$A$2:$A$150,0)),"Hayır - Kampanyalar'da Yok","Evet"))</f>
        <v/>
      </c>
      <c r="AL187" s="27">
        <f>IF(I187="","",IFERROR(INDEX(Kampanyalar!$E$2:$E$150,MATCH(O187,Kampanyalar!$A$2:$A$150,0)),""))</f>
        <v/>
      </c>
      <c r="AM187" s="27">
        <f>IF(I187="","",IFERROR(INDEX(Kampanyalar!$F$2:$F$150,MATCH(O187,Kampanyalar!$A$2:$A$150,0)),""))</f>
        <v/>
      </c>
      <c r="AN187" s="27">
        <f>IF(I187="","",IFERROR(INDEX(Kampanyalar!$G$2:$G$150,MATCH(O187,Kampanyalar!$A$2:$A$150,0)),""))</f>
        <v/>
      </c>
      <c r="AO187" s="26">
        <f>IF(OR(I187="",AL187="",AM187=""),"",IF(AND(H187&gt;=AL187,H187&lt;=AM187),"Evet","HAYIR - Tarih Dışı"))</f>
        <v/>
      </c>
      <c r="AP187" s="28">
        <f>IF(I187="","",IFERROR(INDEX(Kampanyalar!$H$2:$H$150,MATCH(O187,Kampanyalar!$A$2:$A$150,0)),""))</f>
        <v/>
      </c>
      <c r="AQ187" s="28">
        <f>IF(I187="","",IF(ISNUMBER(AP187),AP187,AD187))</f>
        <v/>
      </c>
      <c r="AR187" s="26">
        <f>IF(I187="","",IF(Parametreler!$C$7="Evet","Kural A - Hemen Ödeme (Stok Mutabakatlı)","Kural B - Nakliye/Montaj Sonrası Ödeme"))</f>
        <v/>
      </c>
    </row>
    <row r="188">
      <c r="A188" s="23" t="n"/>
      <c r="B188" s="23" t="n"/>
      <c r="C188" s="23" t="n"/>
      <c r="D188" s="23" t="n"/>
      <c r="E188" s="23" t="n"/>
      <c r="F188" s="23" t="n"/>
      <c r="G188" s="23" t="n"/>
      <c r="H188" s="24" t="n"/>
      <c r="I188" s="23" t="n"/>
      <c r="J188" s="23" t="n"/>
      <c r="K188" s="23" t="n"/>
      <c r="L188" s="23" t="n"/>
      <c r="M188" s="23" t="n"/>
      <c r="N188" s="23" t="n"/>
      <c r="O188" s="23" t="n"/>
      <c r="P188" s="23" t="n"/>
      <c r="Q188" s="23" t="n"/>
      <c r="R188" s="23" t="n"/>
      <c r="S188" s="23" t="n"/>
      <c r="T188" s="23" t="n"/>
      <c r="U188" s="23" t="n"/>
      <c r="V188" s="23" t="n"/>
      <c r="W188" s="23" t="n"/>
      <c r="X188" s="23" t="n"/>
      <c r="Y188" s="25" t="n"/>
      <c r="Z188" s="25" t="n"/>
      <c r="AA188" s="23" t="n"/>
      <c r="AB188" s="25" t="n"/>
      <c r="AC188" s="23" t="n"/>
      <c r="AD188" s="25" t="n"/>
      <c r="AE188" s="23" t="n"/>
      <c r="AF188" s="25" t="n"/>
      <c r="AG188" s="25" t="n"/>
      <c r="AH188" s="23" t="n"/>
      <c r="AI188" s="23" t="n"/>
      <c r="AJ188" s="26">
        <f>IF(I188="","",I188&amp;"|"&amp;R188)</f>
        <v/>
      </c>
      <c r="AK188" s="26">
        <f>IF(I188="","",IF(ISNA(MATCH(O188,Kampanyalar!$A$2:$A$150,0)),"Hayır - Kampanyalar'da Yok","Evet"))</f>
        <v/>
      </c>
      <c r="AL188" s="27">
        <f>IF(I188="","",IFERROR(INDEX(Kampanyalar!$E$2:$E$150,MATCH(O188,Kampanyalar!$A$2:$A$150,0)),""))</f>
        <v/>
      </c>
      <c r="AM188" s="27">
        <f>IF(I188="","",IFERROR(INDEX(Kampanyalar!$F$2:$F$150,MATCH(O188,Kampanyalar!$A$2:$A$150,0)),""))</f>
        <v/>
      </c>
      <c r="AN188" s="27">
        <f>IF(I188="","",IFERROR(INDEX(Kampanyalar!$G$2:$G$150,MATCH(O188,Kampanyalar!$A$2:$A$150,0)),""))</f>
        <v/>
      </c>
      <c r="AO188" s="26">
        <f>IF(OR(I188="",AL188="",AM188=""),"",IF(AND(H188&gt;=AL188,H188&lt;=AM188),"Evet","HAYIR - Tarih Dışı"))</f>
        <v/>
      </c>
      <c r="AP188" s="28">
        <f>IF(I188="","",IFERROR(INDEX(Kampanyalar!$H$2:$H$150,MATCH(O188,Kampanyalar!$A$2:$A$150,0)),""))</f>
        <v/>
      </c>
      <c r="AQ188" s="28">
        <f>IF(I188="","",IF(ISNUMBER(AP188),AP188,AD188))</f>
        <v/>
      </c>
      <c r="AR188" s="26">
        <f>IF(I188="","",IF(Parametreler!$C$7="Evet","Kural A - Hemen Ödeme (Stok Mutabakatlı)","Kural B - Nakliye/Montaj Sonrası Ödeme"))</f>
        <v/>
      </c>
    </row>
    <row r="189">
      <c r="A189" s="23" t="n"/>
      <c r="B189" s="23" t="n"/>
      <c r="C189" s="23" t="n"/>
      <c r="D189" s="23" t="n"/>
      <c r="E189" s="23" t="n"/>
      <c r="F189" s="23" t="n"/>
      <c r="G189" s="23" t="n"/>
      <c r="H189" s="24" t="n"/>
      <c r="I189" s="23" t="n"/>
      <c r="J189" s="23" t="n"/>
      <c r="K189" s="23" t="n"/>
      <c r="L189" s="23" t="n"/>
      <c r="M189" s="23" t="n"/>
      <c r="N189" s="23" t="n"/>
      <c r="O189" s="23" t="n"/>
      <c r="P189" s="23" t="n"/>
      <c r="Q189" s="23" t="n"/>
      <c r="R189" s="23" t="n"/>
      <c r="S189" s="23" t="n"/>
      <c r="T189" s="23" t="n"/>
      <c r="U189" s="23" t="n"/>
      <c r="V189" s="23" t="n"/>
      <c r="W189" s="23" t="n"/>
      <c r="X189" s="23" t="n"/>
      <c r="Y189" s="25" t="n"/>
      <c r="Z189" s="25" t="n"/>
      <c r="AA189" s="23" t="n"/>
      <c r="AB189" s="25" t="n"/>
      <c r="AC189" s="23" t="n"/>
      <c r="AD189" s="25" t="n"/>
      <c r="AE189" s="23" t="n"/>
      <c r="AF189" s="25" t="n"/>
      <c r="AG189" s="25" t="n"/>
      <c r="AH189" s="23" t="n"/>
      <c r="AI189" s="23" t="n"/>
      <c r="AJ189" s="26">
        <f>IF(I189="","",I189&amp;"|"&amp;R189)</f>
        <v/>
      </c>
      <c r="AK189" s="26">
        <f>IF(I189="","",IF(ISNA(MATCH(O189,Kampanyalar!$A$2:$A$150,0)),"Hayır - Kampanyalar'da Yok","Evet"))</f>
        <v/>
      </c>
      <c r="AL189" s="27">
        <f>IF(I189="","",IFERROR(INDEX(Kampanyalar!$E$2:$E$150,MATCH(O189,Kampanyalar!$A$2:$A$150,0)),""))</f>
        <v/>
      </c>
      <c r="AM189" s="27">
        <f>IF(I189="","",IFERROR(INDEX(Kampanyalar!$F$2:$F$150,MATCH(O189,Kampanyalar!$A$2:$A$150,0)),""))</f>
        <v/>
      </c>
      <c r="AN189" s="27">
        <f>IF(I189="","",IFERROR(INDEX(Kampanyalar!$G$2:$G$150,MATCH(O189,Kampanyalar!$A$2:$A$150,0)),""))</f>
        <v/>
      </c>
      <c r="AO189" s="26">
        <f>IF(OR(I189="",AL189="",AM189=""),"",IF(AND(H189&gt;=AL189,H189&lt;=AM189),"Evet","HAYIR - Tarih Dışı"))</f>
        <v/>
      </c>
      <c r="AP189" s="28">
        <f>IF(I189="","",IFERROR(INDEX(Kampanyalar!$H$2:$H$150,MATCH(O189,Kampanyalar!$A$2:$A$150,0)),""))</f>
        <v/>
      </c>
      <c r="AQ189" s="28">
        <f>IF(I189="","",IF(ISNUMBER(AP189),AP189,AD189))</f>
        <v/>
      </c>
      <c r="AR189" s="26">
        <f>IF(I189="","",IF(Parametreler!$C$7="Evet","Kural A - Hemen Ödeme (Stok Mutabakatlı)","Kural B - Nakliye/Montaj Sonrası Ödeme"))</f>
        <v/>
      </c>
    </row>
    <row r="190">
      <c r="A190" s="23" t="n"/>
      <c r="B190" s="23" t="n"/>
      <c r="C190" s="23" t="n"/>
      <c r="D190" s="23" t="n"/>
      <c r="E190" s="23" t="n"/>
      <c r="F190" s="23" t="n"/>
      <c r="G190" s="23" t="n"/>
      <c r="H190" s="24" t="n"/>
      <c r="I190" s="23" t="n"/>
      <c r="J190" s="23" t="n"/>
      <c r="K190" s="23" t="n"/>
      <c r="L190" s="23" t="n"/>
      <c r="M190" s="23" t="n"/>
      <c r="N190" s="23" t="n"/>
      <c r="O190" s="23" t="n"/>
      <c r="P190" s="23" t="n"/>
      <c r="Q190" s="23" t="n"/>
      <c r="R190" s="23" t="n"/>
      <c r="S190" s="23" t="n"/>
      <c r="T190" s="23" t="n"/>
      <c r="U190" s="23" t="n"/>
      <c r="V190" s="23" t="n"/>
      <c r="W190" s="23" t="n"/>
      <c r="X190" s="23" t="n"/>
      <c r="Y190" s="25" t="n"/>
      <c r="Z190" s="25" t="n"/>
      <c r="AA190" s="23" t="n"/>
      <c r="AB190" s="25" t="n"/>
      <c r="AC190" s="23" t="n"/>
      <c r="AD190" s="25" t="n"/>
      <c r="AE190" s="23" t="n"/>
      <c r="AF190" s="25" t="n"/>
      <c r="AG190" s="25" t="n"/>
      <c r="AH190" s="23" t="n"/>
      <c r="AI190" s="23" t="n"/>
      <c r="AJ190" s="26">
        <f>IF(I190="","",I190&amp;"|"&amp;R190)</f>
        <v/>
      </c>
      <c r="AK190" s="26">
        <f>IF(I190="","",IF(ISNA(MATCH(O190,Kampanyalar!$A$2:$A$150,0)),"Hayır - Kampanyalar'da Yok","Evet"))</f>
        <v/>
      </c>
      <c r="AL190" s="27">
        <f>IF(I190="","",IFERROR(INDEX(Kampanyalar!$E$2:$E$150,MATCH(O190,Kampanyalar!$A$2:$A$150,0)),""))</f>
        <v/>
      </c>
      <c r="AM190" s="27">
        <f>IF(I190="","",IFERROR(INDEX(Kampanyalar!$F$2:$F$150,MATCH(O190,Kampanyalar!$A$2:$A$150,0)),""))</f>
        <v/>
      </c>
      <c r="AN190" s="27">
        <f>IF(I190="","",IFERROR(INDEX(Kampanyalar!$G$2:$G$150,MATCH(O190,Kampanyalar!$A$2:$A$150,0)),""))</f>
        <v/>
      </c>
      <c r="AO190" s="26">
        <f>IF(OR(I190="",AL190="",AM190=""),"",IF(AND(H190&gt;=AL190,H190&lt;=AM190),"Evet","HAYIR - Tarih Dışı"))</f>
        <v/>
      </c>
      <c r="AP190" s="28">
        <f>IF(I190="","",IFERROR(INDEX(Kampanyalar!$H$2:$H$150,MATCH(O190,Kampanyalar!$A$2:$A$150,0)),""))</f>
        <v/>
      </c>
      <c r="AQ190" s="28">
        <f>IF(I190="","",IF(ISNUMBER(AP190),AP190,AD190))</f>
        <v/>
      </c>
      <c r="AR190" s="26">
        <f>IF(I190="","",IF(Parametreler!$C$7="Evet","Kural A - Hemen Ödeme (Stok Mutabakatlı)","Kural B - Nakliye/Montaj Sonrası Ödeme"))</f>
        <v/>
      </c>
    </row>
    <row r="191">
      <c r="A191" s="23" t="n"/>
      <c r="B191" s="23" t="n"/>
      <c r="C191" s="23" t="n"/>
      <c r="D191" s="23" t="n"/>
      <c r="E191" s="23" t="n"/>
      <c r="F191" s="23" t="n"/>
      <c r="G191" s="23" t="n"/>
      <c r="H191" s="24" t="n"/>
      <c r="I191" s="23" t="n"/>
      <c r="J191" s="23" t="n"/>
      <c r="K191" s="23" t="n"/>
      <c r="L191" s="23" t="n"/>
      <c r="M191" s="23" t="n"/>
      <c r="N191" s="23" t="n"/>
      <c r="O191" s="23" t="n"/>
      <c r="P191" s="23" t="n"/>
      <c r="Q191" s="23" t="n"/>
      <c r="R191" s="23" t="n"/>
      <c r="S191" s="23" t="n"/>
      <c r="T191" s="23" t="n"/>
      <c r="U191" s="23" t="n"/>
      <c r="V191" s="23" t="n"/>
      <c r="W191" s="23" t="n"/>
      <c r="X191" s="23" t="n"/>
      <c r="Y191" s="25" t="n"/>
      <c r="Z191" s="25" t="n"/>
      <c r="AA191" s="23" t="n"/>
      <c r="AB191" s="25" t="n"/>
      <c r="AC191" s="23" t="n"/>
      <c r="AD191" s="25" t="n"/>
      <c r="AE191" s="23" t="n"/>
      <c r="AF191" s="25" t="n"/>
      <c r="AG191" s="25" t="n"/>
      <c r="AH191" s="23" t="n"/>
      <c r="AI191" s="23" t="n"/>
      <c r="AJ191" s="26">
        <f>IF(I191="","",I191&amp;"|"&amp;R191)</f>
        <v/>
      </c>
      <c r="AK191" s="26">
        <f>IF(I191="","",IF(ISNA(MATCH(O191,Kampanyalar!$A$2:$A$150,0)),"Hayır - Kampanyalar'da Yok","Evet"))</f>
        <v/>
      </c>
      <c r="AL191" s="27">
        <f>IF(I191="","",IFERROR(INDEX(Kampanyalar!$E$2:$E$150,MATCH(O191,Kampanyalar!$A$2:$A$150,0)),""))</f>
        <v/>
      </c>
      <c r="AM191" s="27">
        <f>IF(I191="","",IFERROR(INDEX(Kampanyalar!$F$2:$F$150,MATCH(O191,Kampanyalar!$A$2:$A$150,0)),""))</f>
        <v/>
      </c>
      <c r="AN191" s="27">
        <f>IF(I191="","",IFERROR(INDEX(Kampanyalar!$G$2:$G$150,MATCH(O191,Kampanyalar!$A$2:$A$150,0)),""))</f>
        <v/>
      </c>
      <c r="AO191" s="26">
        <f>IF(OR(I191="",AL191="",AM191=""),"",IF(AND(H191&gt;=AL191,H191&lt;=AM191),"Evet","HAYIR - Tarih Dışı"))</f>
        <v/>
      </c>
      <c r="AP191" s="28">
        <f>IF(I191="","",IFERROR(INDEX(Kampanyalar!$H$2:$H$150,MATCH(O191,Kampanyalar!$A$2:$A$150,0)),""))</f>
        <v/>
      </c>
      <c r="AQ191" s="28">
        <f>IF(I191="","",IF(ISNUMBER(AP191),AP191,AD191))</f>
        <v/>
      </c>
      <c r="AR191" s="26">
        <f>IF(I191="","",IF(Parametreler!$C$7="Evet","Kural A - Hemen Ödeme (Stok Mutabakatlı)","Kural B - Nakliye/Montaj Sonrası Ödeme"))</f>
        <v/>
      </c>
    </row>
    <row r="192">
      <c r="A192" s="23" t="n"/>
      <c r="B192" s="23" t="n"/>
      <c r="C192" s="23" t="n"/>
      <c r="D192" s="23" t="n"/>
      <c r="E192" s="23" t="n"/>
      <c r="F192" s="23" t="n"/>
      <c r="G192" s="23" t="n"/>
      <c r="H192" s="24" t="n"/>
      <c r="I192" s="23" t="n"/>
      <c r="J192" s="23" t="n"/>
      <c r="K192" s="23" t="n"/>
      <c r="L192" s="23" t="n"/>
      <c r="M192" s="23" t="n"/>
      <c r="N192" s="23" t="n"/>
      <c r="O192" s="23" t="n"/>
      <c r="P192" s="23" t="n"/>
      <c r="Q192" s="23" t="n"/>
      <c r="R192" s="23" t="n"/>
      <c r="S192" s="23" t="n"/>
      <c r="T192" s="23" t="n"/>
      <c r="U192" s="23" t="n"/>
      <c r="V192" s="23" t="n"/>
      <c r="W192" s="23" t="n"/>
      <c r="X192" s="23" t="n"/>
      <c r="Y192" s="25" t="n"/>
      <c r="Z192" s="25" t="n"/>
      <c r="AA192" s="23" t="n"/>
      <c r="AB192" s="25" t="n"/>
      <c r="AC192" s="23" t="n"/>
      <c r="AD192" s="25" t="n"/>
      <c r="AE192" s="23" t="n"/>
      <c r="AF192" s="25" t="n"/>
      <c r="AG192" s="25" t="n"/>
      <c r="AH192" s="23" t="n"/>
      <c r="AI192" s="23" t="n"/>
      <c r="AJ192" s="26">
        <f>IF(I192="","",I192&amp;"|"&amp;R192)</f>
        <v/>
      </c>
      <c r="AK192" s="26">
        <f>IF(I192="","",IF(ISNA(MATCH(O192,Kampanyalar!$A$2:$A$150,0)),"Hayır - Kampanyalar'da Yok","Evet"))</f>
        <v/>
      </c>
      <c r="AL192" s="27">
        <f>IF(I192="","",IFERROR(INDEX(Kampanyalar!$E$2:$E$150,MATCH(O192,Kampanyalar!$A$2:$A$150,0)),""))</f>
        <v/>
      </c>
      <c r="AM192" s="27">
        <f>IF(I192="","",IFERROR(INDEX(Kampanyalar!$F$2:$F$150,MATCH(O192,Kampanyalar!$A$2:$A$150,0)),""))</f>
        <v/>
      </c>
      <c r="AN192" s="27">
        <f>IF(I192="","",IFERROR(INDEX(Kampanyalar!$G$2:$G$150,MATCH(O192,Kampanyalar!$A$2:$A$150,0)),""))</f>
        <v/>
      </c>
      <c r="AO192" s="26">
        <f>IF(OR(I192="",AL192="",AM192=""),"",IF(AND(H192&gt;=AL192,H192&lt;=AM192),"Evet","HAYIR - Tarih Dışı"))</f>
        <v/>
      </c>
      <c r="AP192" s="28">
        <f>IF(I192="","",IFERROR(INDEX(Kampanyalar!$H$2:$H$150,MATCH(O192,Kampanyalar!$A$2:$A$150,0)),""))</f>
        <v/>
      </c>
      <c r="AQ192" s="28">
        <f>IF(I192="","",IF(ISNUMBER(AP192),AP192,AD192))</f>
        <v/>
      </c>
      <c r="AR192" s="26">
        <f>IF(I192="","",IF(Parametreler!$C$7="Evet","Kural A - Hemen Ödeme (Stok Mutabakatlı)","Kural B - Nakliye/Montaj Sonrası Ödeme"))</f>
        <v/>
      </c>
    </row>
    <row r="193">
      <c r="A193" s="23" t="n"/>
      <c r="B193" s="23" t="n"/>
      <c r="C193" s="23" t="n"/>
      <c r="D193" s="23" t="n"/>
      <c r="E193" s="23" t="n"/>
      <c r="F193" s="23" t="n"/>
      <c r="G193" s="23" t="n"/>
      <c r="H193" s="24" t="n"/>
      <c r="I193" s="23" t="n"/>
      <c r="J193" s="23" t="n"/>
      <c r="K193" s="23" t="n"/>
      <c r="L193" s="23" t="n"/>
      <c r="M193" s="23" t="n"/>
      <c r="N193" s="23" t="n"/>
      <c r="O193" s="23" t="n"/>
      <c r="P193" s="23" t="n"/>
      <c r="Q193" s="23" t="n"/>
      <c r="R193" s="23" t="n"/>
      <c r="S193" s="23" t="n"/>
      <c r="T193" s="23" t="n"/>
      <c r="U193" s="23" t="n"/>
      <c r="V193" s="23" t="n"/>
      <c r="W193" s="23" t="n"/>
      <c r="X193" s="23" t="n"/>
      <c r="Y193" s="25" t="n"/>
      <c r="Z193" s="25" t="n"/>
      <c r="AA193" s="23" t="n"/>
      <c r="AB193" s="25" t="n"/>
      <c r="AC193" s="23" t="n"/>
      <c r="AD193" s="25" t="n"/>
      <c r="AE193" s="23" t="n"/>
      <c r="AF193" s="25" t="n"/>
      <c r="AG193" s="25" t="n"/>
      <c r="AH193" s="23" t="n"/>
      <c r="AI193" s="23" t="n"/>
      <c r="AJ193" s="26">
        <f>IF(I193="","",I193&amp;"|"&amp;R193)</f>
        <v/>
      </c>
      <c r="AK193" s="26">
        <f>IF(I193="","",IF(ISNA(MATCH(O193,Kampanyalar!$A$2:$A$150,0)),"Hayır - Kampanyalar'da Yok","Evet"))</f>
        <v/>
      </c>
      <c r="AL193" s="27">
        <f>IF(I193="","",IFERROR(INDEX(Kampanyalar!$E$2:$E$150,MATCH(O193,Kampanyalar!$A$2:$A$150,0)),""))</f>
        <v/>
      </c>
      <c r="AM193" s="27">
        <f>IF(I193="","",IFERROR(INDEX(Kampanyalar!$F$2:$F$150,MATCH(O193,Kampanyalar!$A$2:$A$150,0)),""))</f>
        <v/>
      </c>
      <c r="AN193" s="27">
        <f>IF(I193="","",IFERROR(INDEX(Kampanyalar!$G$2:$G$150,MATCH(O193,Kampanyalar!$A$2:$A$150,0)),""))</f>
        <v/>
      </c>
      <c r="AO193" s="26">
        <f>IF(OR(I193="",AL193="",AM193=""),"",IF(AND(H193&gt;=AL193,H193&lt;=AM193),"Evet","HAYIR - Tarih Dışı"))</f>
        <v/>
      </c>
      <c r="AP193" s="28">
        <f>IF(I193="","",IFERROR(INDEX(Kampanyalar!$H$2:$H$150,MATCH(O193,Kampanyalar!$A$2:$A$150,0)),""))</f>
        <v/>
      </c>
      <c r="AQ193" s="28">
        <f>IF(I193="","",IF(ISNUMBER(AP193),AP193,AD193))</f>
        <v/>
      </c>
      <c r="AR193" s="26">
        <f>IF(I193="","",IF(Parametreler!$C$7="Evet","Kural A - Hemen Ödeme (Stok Mutabakatlı)","Kural B - Nakliye/Montaj Sonrası Ödeme"))</f>
        <v/>
      </c>
    </row>
    <row r="194">
      <c r="A194" s="23" t="n"/>
      <c r="B194" s="23" t="n"/>
      <c r="C194" s="23" t="n"/>
      <c r="D194" s="23" t="n"/>
      <c r="E194" s="23" t="n"/>
      <c r="F194" s="23" t="n"/>
      <c r="G194" s="23" t="n"/>
      <c r="H194" s="24" t="n"/>
      <c r="I194" s="23" t="n"/>
      <c r="J194" s="23" t="n"/>
      <c r="K194" s="23" t="n"/>
      <c r="L194" s="23" t="n"/>
      <c r="M194" s="23" t="n"/>
      <c r="N194" s="23" t="n"/>
      <c r="O194" s="23" t="n"/>
      <c r="P194" s="23" t="n"/>
      <c r="Q194" s="23" t="n"/>
      <c r="R194" s="23" t="n"/>
      <c r="S194" s="23" t="n"/>
      <c r="T194" s="23" t="n"/>
      <c r="U194" s="23" t="n"/>
      <c r="V194" s="23" t="n"/>
      <c r="W194" s="23" t="n"/>
      <c r="X194" s="23" t="n"/>
      <c r="Y194" s="25" t="n"/>
      <c r="Z194" s="25" t="n"/>
      <c r="AA194" s="23" t="n"/>
      <c r="AB194" s="25" t="n"/>
      <c r="AC194" s="23" t="n"/>
      <c r="AD194" s="25" t="n"/>
      <c r="AE194" s="23" t="n"/>
      <c r="AF194" s="25" t="n"/>
      <c r="AG194" s="25" t="n"/>
      <c r="AH194" s="23" t="n"/>
      <c r="AI194" s="23" t="n"/>
      <c r="AJ194" s="26">
        <f>IF(I194="","",I194&amp;"|"&amp;R194)</f>
        <v/>
      </c>
      <c r="AK194" s="26">
        <f>IF(I194="","",IF(ISNA(MATCH(O194,Kampanyalar!$A$2:$A$150,0)),"Hayır - Kampanyalar'da Yok","Evet"))</f>
        <v/>
      </c>
      <c r="AL194" s="27">
        <f>IF(I194="","",IFERROR(INDEX(Kampanyalar!$E$2:$E$150,MATCH(O194,Kampanyalar!$A$2:$A$150,0)),""))</f>
        <v/>
      </c>
      <c r="AM194" s="27">
        <f>IF(I194="","",IFERROR(INDEX(Kampanyalar!$F$2:$F$150,MATCH(O194,Kampanyalar!$A$2:$A$150,0)),""))</f>
        <v/>
      </c>
      <c r="AN194" s="27">
        <f>IF(I194="","",IFERROR(INDEX(Kampanyalar!$G$2:$G$150,MATCH(O194,Kampanyalar!$A$2:$A$150,0)),""))</f>
        <v/>
      </c>
      <c r="AO194" s="26">
        <f>IF(OR(I194="",AL194="",AM194=""),"",IF(AND(H194&gt;=AL194,H194&lt;=AM194),"Evet","HAYIR - Tarih Dışı"))</f>
        <v/>
      </c>
      <c r="AP194" s="28">
        <f>IF(I194="","",IFERROR(INDEX(Kampanyalar!$H$2:$H$150,MATCH(O194,Kampanyalar!$A$2:$A$150,0)),""))</f>
        <v/>
      </c>
      <c r="AQ194" s="28">
        <f>IF(I194="","",IF(ISNUMBER(AP194),AP194,AD194))</f>
        <v/>
      </c>
      <c r="AR194" s="26">
        <f>IF(I194="","",IF(Parametreler!$C$7="Evet","Kural A - Hemen Ödeme (Stok Mutabakatlı)","Kural B - Nakliye/Montaj Sonrası Ödeme"))</f>
        <v/>
      </c>
    </row>
    <row r="195">
      <c r="A195" s="23" t="n"/>
      <c r="B195" s="23" t="n"/>
      <c r="C195" s="23" t="n"/>
      <c r="D195" s="23" t="n"/>
      <c r="E195" s="23" t="n"/>
      <c r="F195" s="23" t="n"/>
      <c r="G195" s="23" t="n"/>
      <c r="H195" s="24" t="n"/>
      <c r="I195" s="23" t="n"/>
      <c r="J195" s="23" t="n"/>
      <c r="K195" s="23" t="n"/>
      <c r="L195" s="23" t="n"/>
      <c r="M195" s="23" t="n"/>
      <c r="N195" s="23" t="n"/>
      <c r="O195" s="23" t="n"/>
      <c r="P195" s="23" t="n"/>
      <c r="Q195" s="23" t="n"/>
      <c r="R195" s="23" t="n"/>
      <c r="S195" s="23" t="n"/>
      <c r="T195" s="23" t="n"/>
      <c r="U195" s="23" t="n"/>
      <c r="V195" s="23" t="n"/>
      <c r="W195" s="23" t="n"/>
      <c r="X195" s="23" t="n"/>
      <c r="Y195" s="25" t="n"/>
      <c r="Z195" s="25" t="n"/>
      <c r="AA195" s="23" t="n"/>
      <c r="AB195" s="25" t="n"/>
      <c r="AC195" s="23" t="n"/>
      <c r="AD195" s="25" t="n"/>
      <c r="AE195" s="23" t="n"/>
      <c r="AF195" s="25" t="n"/>
      <c r="AG195" s="25" t="n"/>
      <c r="AH195" s="23" t="n"/>
      <c r="AI195" s="23" t="n"/>
      <c r="AJ195" s="26">
        <f>IF(I195="","",I195&amp;"|"&amp;R195)</f>
        <v/>
      </c>
      <c r="AK195" s="26">
        <f>IF(I195="","",IF(ISNA(MATCH(O195,Kampanyalar!$A$2:$A$150,0)),"Hayır - Kampanyalar'da Yok","Evet"))</f>
        <v/>
      </c>
      <c r="AL195" s="27">
        <f>IF(I195="","",IFERROR(INDEX(Kampanyalar!$E$2:$E$150,MATCH(O195,Kampanyalar!$A$2:$A$150,0)),""))</f>
        <v/>
      </c>
      <c r="AM195" s="27">
        <f>IF(I195="","",IFERROR(INDEX(Kampanyalar!$F$2:$F$150,MATCH(O195,Kampanyalar!$A$2:$A$150,0)),""))</f>
        <v/>
      </c>
      <c r="AN195" s="27">
        <f>IF(I195="","",IFERROR(INDEX(Kampanyalar!$G$2:$G$150,MATCH(O195,Kampanyalar!$A$2:$A$150,0)),""))</f>
        <v/>
      </c>
      <c r="AO195" s="26">
        <f>IF(OR(I195="",AL195="",AM195=""),"",IF(AND(H195&gt;=AL195,H195&lt;=AM195),"Evet","HAYIR - Tarih Dışı"))</f>
        <v/>
      </c>
      <c r="AP195" s="28">
        <f>IF(I195="","",IFERROR(INDEX(Kampanyalar!$H$2:$H$150,MATCH(O195,Kampanyalar!$A$2:$A$150,0)),""))</f>
        <v/>
      </c>
      <c r="AQ195" s="28">
        <f>IF(I195="","",IF(ISNUMBER(AP195),AP195,AD195))</f>
        <v/>
      </c>
      <c r="AR195" s="26">
        <f>IF(I195="","",IF(Parametreler!$C$7="Evet","Kural A - Hemen Ödeme (Stok Mutabakatlı)","Kural B - Nakliye/Montaj Sonrası Ödeme"))</f>
        <v/>
      </c>
    </row>
    <row r="196">
      <c r="A196" s="23" t="n"/>
      <c r="B196" s="23" t="n"/>
      <c r="C196" s="23" t="n"/>
      <c r="D196" s="23" t="n"/>
      <c r="E196" s="23" t="n"/>
      <c r="F196" s="23" t="n"/>
      <c r="G196" s="23" t="n"/>
      <c r="H196" s="24" t="n"/>
      <c r="I196" s="23" t="n"/>
      <c r="J196" s="23" t="n"/>
      <c r="K196" s="23" t="n"/>
      <c r="L196" s="23" t="n"/>
      <c r="M196" s="23" t="n"/>
      <c r="N196" s="23" t="n"/>
      <c r="O196" s="23" t="n"/>
      <c r="P196" s="23" t="n"/>
      <c r="Q196" s="23" t="n"/>
      <c r="R196" s="23" t="n"/>
      <c r="S196" s="23" t="n"/>
      <c r="T196" s="23" t="n"/>
      <c r="U196" s="23" t="n"/>
      <c r="V196" s="23" t="n"/>
      <c r="W196" s="23" t="n"/>
      <c r="X196" s="23" t="n"/>
      <c r="Y196" s="25" t="n"/>
      <c r="Z196" s="25" t="n"/>
      <c r="AA196" s="23" t="n"/>
      <c r="AB196" s="25" t="n"/>
      <c r="AC196" s="23" t="n"/>
      <c r="AD196" s="25" t="n"/>
      <c r="AE196" s="23" t="n"/>
      <c r="AF196" s="25" t="n"/>
      <c r="AG196" s="25" t="n"/>
      <c r="AH196" s="23" t="n"/>
      <c r="AI196" s="23" t="n"/>
      <c r="AJ196" s="26">
        <f>IF(I196="","",I196&amp;"|"&amp;R196)</f>
        <v/>
      </c>
      <c r="AK196" s="26">
        <f>IF(I196="","",IF(ISNA(MATCH(O196,Kampanyalar!$A$2:$A$150,0)),"Hayır - Kampanyalar'da Yok","Evet"))</f>
        <v/>
      </c>
      <c r="AL196" s="27">
        <f>IF(I196="","",IFERROR(INDEX(Kampanyalar!$E$2:$E$150,MATCH(O196,Kampanyalar!$A$2:$A$150,0)),""))</f>
        <v/>
      </c>
      <c r="AM196" s="27">
        <f>IF(I196="","",IFERROR(INDEX(Kampanyalar!$F$2:$F$150,MATCH(O196,Kampanyalar!$A$2:$A$150,0)),""))</f>
        <v/>
      </c>
      <c r="AN196" s="27">
        <f>IF(I196="","",IFERROR(INDEX(Kampanyalar!$G$2:$G$150,MATCH(O196,Kampanyalar!$A$2:$A$150,0)),""))</f>
        <v/>
      </c>
      <c r="AO196" s="26">
        <f>IF(OR(I196="",AL196="",AM196=""),"",IF(AND(H196&gt;=AL196,H196&lt;=AM196),"Evet","HAYIR - Tarih Dışı"))</f>
        <v/>
      </c>
      <c r="AP196" s="28">
        <f>IF(I196="","",IFERROR(INDEX(Kampanyalar!$H$2:$H$150,MATCH(O196,Kampanyalar!$A$2:$A$150,0)),""))</f>
        <v/>
      </c>
      <c r="AQ196" s="28">
        <f>IF(I196="","",IF(ISNUMBER(AP196),AP196,AD196))</f>
        <v/>
      </c>
      <c r="AR196" s="26">
        <f>IF(I196="","",IF(Parametreler!$C$7="Evet","Kural A - Hemen Ödeme (Stok Mutabakatlı)","Kural B - Nakliye/Montaj Sonrası Ödeme"))</f>
        <v/>
      </c>
    </row>
    <row r="197">
      <c r="A197" s="23" t="n"/>
      <c r="B197" s="23" t="n"/>
      <c r="C197" s="23" t="n"/>
      <c r="D197" s="23" t="n"/>
      <c r="E197" s="23" t="n"/>
      <c r="F197" s="23" t="n"/>
      <c r="G197" s="23" t="n"/>
      <c r="H197" s="24" t="n"/>
      <c r="I197" s="23" t="n"/>
      <c r="J197" s="23" t="n"/>
      <c r="K197" s="23" t="n"/>
      <c r="L197" s="23" t="n"/>
      <c r="M197" s="23" t="n"/>
      <c r="N197" s="23" t="n"/>
      <c r="O197" s="23" t="n"/>
      <c r="P197" s="23" t="n"/>
      <c r="Q197" s="23" t="n"/>
      <c r="R197" s="23" t="n"/>
      <c r="S197" s="23" t="n"/>
      <c r="T197" s="23" t="n"/>
      <c r="U197" s="23" t="n"/>
      <c r="V197" s="23" t="n"/>
      <c r="W197" s="23" t="n"/>
      <c r="X197" s="23" t="n"/>
      <c r="Y197" s="25" t="n"/>
      <c r="Z197" s="25" t="n"/>
      <c r="AA197" s="23" t="n"/>
      <c r="AB197" s="25" t="n"/>
      <c r="AC197" s="23" t="n"/>
      <c r="AD197" s="25" t="n"/>
      <c r="AE197" s="23" t="n"/>
      <c r="AF197" s="25" t="n"/>
      <c r="AG197" s="25" t="n"/>
      <c r="AH197" s="23" t="n"/>
      <c r="AI197" s="23" t="n"/>
      <c r="AJ197" s="26">
        <f>IF(I197="","",I197&amp;"|"&amp;R197)</f>
        <v/>
      </c>
      <c r="AK197" s="26">
        <f>IF(I197="","",IF(ISNA(MATCH(O197,Kampanyalar!$A$2:$A$150,0)),"Hayır - Kampanyalar'da Yok","Evet"))</f>
        <v/>
      </c>
      <c r="AL197" s="27">
        <f>IF(I197="","",IFERROR(INDEX(Kampanyalar!$E$2:$E$150,MATCH(O197,Kampanyalar!$A$2:$A$150,0)),""))</f>
        <v/>
      </c>
      <c r="AM197" s="27">
        <f>IF(I197="","",IFERROR(INDEX(Kampanyalar!$F$2:$F$150,MATCH(O197,Kampanyalar!$A$2:$A$150,0)),""))</f>
        <v/>
      </c>
      <c r="AN197" s="27">
        <f>IF(I197="","",IFERROR(INDEX(Kampanyalar!$G$2:$G$150,MATCH(O197,Kampanyalar!$A$2:$A$150,0)),""))</f>
        <v/>
      </c>
      <c r="AO197" s="26">
        <f>IF(OR(I197="",AL197="",AM197=""),"",IF(AND(H197&gt;=AL197,H197&lt;=AM197),"Evet","HAYIR - Tarih Dışı"))</f>
        <v/>
      </c>
      <c r="AP197" s="28">
        <f>IF(I197="","",IFERROR(INDEX(Kampanyalar!$H$2:$H$150,MATCH(O197,Kampanyalar!$A$2:$A$150,0)),""))</f>
        <v/>
      </c>
      <c r="AQ197" s="28">
        <f>IF(I197="","",IF(ISNUMBER(AP197),AP197,AD197))</f>
        <v/>
      </c>
      <c r="AR197" s="26">
        <f>IF(I197="","",IF(Parametreler!$C$7="Evet","Kural A - Hemen Ödeme (Stok Mutabakatlı)","Kural B - Nakliye/Montaj Sonrası Ödeme"))</f>
        <v/>
      </c>
    </row>
    <row r="198">
      <c r="A198" s="23" t="n"/>
      <c r="B198" s="23" t="n"/>
      <c r="C198" s="23" t="n"/>
      <c r="D198" s="23" t="n"/>
      <c r="E198" s="23" t="n"/>
      <c r="F198" s="23" t="n"/>
      <c r="G198" s="23" t="n"/>
      <c r="H198" s="24" t="n"/>
      <c r="I198" s="23" t="n"/>
      <c r="J198" s="23" t="n"/>
      <c r="K198" s="23" t="n"/>
      <c r="L198" s="23" t="n"/>
      <c r="M198" s="23" t="n"/>
      <c r="N198" s="23" t="n"/>
      <c r="O198" s="23" t="n"/>
      <c r="P198" s="23" t="n"/>
      <c r="Q198" s="23" t="n"/>
      <c r="R198" s="23" t="n"/>
      <c r="S198" s="23" t="n"/>
      <c r="T198" s="23" t="n"/>
      <c r="U198" s="23" t="n"/>
      <c r="V198" s="23" t="n"/>
      <c r="W198" s="23" t="n"/>
      <c r="X198" s="23" t="n"/>
      <c r="Y198" s="25" t="n"/>
      <c r="Z198" s="25" t="n"/>
      <c r="AA198" s="23" t="n"/>
      <c r="AB198" s="25" t="n"/>
      <c r="AC198" s="23" t="n"/>
      <c r="AD198" s="25" t="n"/>
      <c r="AE198" s="23" t="n"/>
      <c r="AF198" s="25" t="n"/>
      <c r="AG198" s="25" t="n"/>
      <c r="AH198" s="23" t="n"/>
      <c r="AI198" s="23" t="n"/>
      <c r="AJ198" s="26">
        <f>IF(I198="","",I198&amp;"|"&amp;R198)</f>
        <v/>
      </c>
      <c r="AK198" s="26">
        <f>IF(I198="","",IF(ISNA(MATCH(O198,Kampanyalar!$A$2:$A$150,0)),"Hayır - Kampanyalar'da Yok","Evet"))</f>
        <v/>
      </c>
      <c r="AL198" s="27">
        <f>IF(I198="","",IFERROR(INDEX(Kampanyalar!$E$2:$E$150,MATCH(O198,Kampanyalar!$A$2:$A$150,0)),""))</f>
        <v/>
      </c>
      <c r="AM198" s="27">
        <f>IF(I198="","",IFERROR(INDEX(Kampanyalar!$F$2:$F$150,MATCH(O198,Kampanyalar!$A$2:$A$150,0)),""))</f>
        <v/>
      </c>
      <c r="AN198" s="27">
        <f>IF(I198="","",IFERROR(INDEX(Kampanyalar!$G$2:$G$150,MATCH(O198,Kampanyalar!$A$2:$A$150,0)),""))</f>
        <v/>
      </c>
      <c r="AO198" s="26">
        <f>IF(OR(I198="",AL198="",AM198=""),"",IF(AND(H198&gt;=AL198,H198&lt;=AM198),"Evet","HAYIR - Tarih Dışı"))</f>
        <v/>
      </c>
      <c r="AP198" s="28">
        <f>IF(I198="","",IFERROR(INDEX(Kampanyalar!$H$2:$H$150,MATCH(O198,Kampanyalar!$A$2:$A$150,0)),""))</f>
        <v/>
      </c>
      <c r="AQ198" s="28">
        <f>IF(I198="","",IF(ISNUMBER(AP198),AP198,AD198))</f>
        <v/>
      </c>
      <c r="AR198" s="26">
        <f>IF(I198="","",IF(Parametreler!$C$7="Evet","Kural A - Hemen Ödeme (Stok Mutabakatlı)","Kural B - Nakliye/Montaj Sonrası Ödeme"))</f>
        <v/>
      </c>
    </row>
    <row r="199">
      <c r="A199" s="23" t="n"/>
      <c r="B199" s="23" t="n"/>
      <c r="C199" s="23" t="n"/>
      <c r="D199" s="23" t="n"/>
      <c r="E199" s="23" t="n"/>
      <c r="F199" s="23" t="n"/>
      <c r="G199" s="23" t="n"/>
      <c r="H199" s="24" t="n"/>
      <c r="I199" s="23" t="n"/>
      <c r="J199" s="23" t="n"/>
      <c r="K199" s="23" t="n"/>
      <c r="L199" s="23" t="n"/>
      <c r="M199" s="23" t="n"/>
      <c r="N199" s="23" t="n"/>
      <c r="O199" s="23" t="n"/>
      <c r="P199" s="23" t="n"/>
      <c r="Q199" s="23" t="n"/>
      <c r="R199" s="23" t="n"/>
      <c r="S199" s="23" t="n"/>
      <c r="T199" s="23" t="n"/>
      <c r="U199" s="23" t="n"/>
      <c r="V199" s="23" t="n"/>
      <c r="W199" s="23" t="n"/>
      <c r="X199" s="23" t="n"/>
      <c r="Y199" s="25" t="n"/>
      <c r="Z199" s="25" t="n"/>
      <c r="AA199" s="23" t="n"/>
      <c r="AB199" s="25" t="n"/>
      <c r="AC199" s="23" t="n"/>
      <c r="AD199" s="25" t="n"/>
      <c r="AE199" s="23" t="n"/>
      <c r="AF199" s="25" t="n"/>
      <c r="AG199" s="25" t="n"/>
      <c r="AH199" s="23" t="n"/>
      <c r="AI199" s="23" t="n"/>
      <c r="AJ199" s="26">
        <f>IF(I199="","",I199&amp;"|"&amp;R199)</f>
        <v/>
      </c>
      <c r="AK199" s="26">
        <f>IF(I199="","",IF(ISNA(MATCH(O199,Kampanyalar!$A$2:$A$150,0)),"Hayır - Kampanyalar'da Yok","Evet"))</f>
        <v/>
      </c>
      <c r="AL199" s="27">
        <f>IF(I199="","",IFERROR(INDEX(Kampanyalar!$E$2:$E$150,MATCH(O199,Kampanyalar!$A$2:$A$150,0)),""))</f>
        <v/>
      </c>
      <c r="AM199" s="27">
        <f>IF(I199="","",IFERROR(INDEX(Kampanyalar!$F$2:$F$150,MATCH(O199,Kampanyalar!$A$2:$A$150,0)),""))</f>
        <v/>
      </c>
      <c r="AN199" s="27">
        <f>IF(I199="","",IFERROR(INDEX(Kampanyalar!$G$2:$G$150,MATCH(O199,Kampanyalar!$A$2:$A$150,0)),""))</f>
        <v/>
      </c>
      <c r="AO199" s="26">
        <f>IF(OR(I199="",AL199="",AM199=""),"",IF(AND(H199&gt;=AL199,H199&lt;=AM199),"Evet","HAYIR - Tarih Dışı"))</f>
        <v/>
      </c>
      <c r="AP199" s="28">
        <f>IF(I199="","",IFERROR(INDEX(Kampanyalar!$H$2:$H$150,MATCH(O199,Kampanyalar!$A$2:$A$150,0)),""))</f>
        <v/>
      </c>
      <c r="AQ199" s="28">
        <f>IF(I199="","",IF(ISNUMBER(AP199),AP199,AD199))</f>
        <v/>
      </c>
      <c r="AR199" s="26">
        <f>IF(I199="","",IF(Parametreler!$C$7="Evet","Kural A - Hemen Ödeme (Stok Mutabakatlı)","Kural B - Nakliye/Montaj Sonrası Ödeme"))</f>
        <v/>
      </c>
    </row>
    <row r="200">
      <c r="A200" s="23" t="n"/>
      <c r="B200" s="23" t="n"/>
      <c r="C200" s="23" t="n"/>
      <c r="D200" s="23" t="n"/>
      <c r="E200" s="23" t="n"/>
      <c r="F200" s="23" t="n"/>
      <c r="G200" s="23" t="n"/>
      <c r="H200" s="24" t="n"/>
      <c r="I200" s="23" t="n"/>
      <c r="J200" s="23" t="n"/>
      <c r="K200" s="23" t="n"/>
      <c r="L200" s="23" t="n"/>
      <c r="M200" s="23" t="n"/>
      <c r="N200" s="23" t="n"/>
      <c r="O200" s="23" t="n"/>
      <c r="P200" s="23" t="n"/>
      <c r="Q200" s="23" t="n"/>
      <c r="R200" s="23" t="n"/>
      <c r="S200" s="23" t="n"/>
      <c r="T200" s="23" t="n"/>
      <c r="U200" s="23" t="n"/>
      <c r="V200" s="23" t="n"/>
      <c r="W200" s="23" t="n"/>
      <c r="X200" s="23" t="n"/>
      <c r="Y200" s="25" t="n"/>
      <c r="Z200" s="25" t="n"/>
      <c r="AA200" s="23" t="n"/>
      <c r="AB200" s="25" t="n"/>
      <c r="AC200" s="23" t="n"/>
      <c r="AD200" s="25" t="n"/>
      <c r="AE200" s="23" t="n"/>
      <c r="AF200" s="25" t="n"/>
      <c r="AG200" s="25" t="n"/>
      <c r="AH200" s="23" t="n"/>
      <c r="AI200" s="23" t="n"/>
      <c r="AJ200" s="26">
        <f>IF(I200="","",I200&amp;"|"&amp;R200)</f>
        <v/>
      </c>
      <c r="AK200" s="26">
        <f>IF(I200="","",IF(ISNA(MATCH(O200,Kampanyalar!$A$2:$A$150,0)),"Hayır - Kampanyalar'da Yok","Evet"))</f>
        <v/>
      </c>
      <c r="AL200" s="27">
        <f>IF(I200="","",IFERROR(INDEX(Kampanyalar!$E$2:$E$150,MATCH(O200,Kampanyalar!$A$2:$A$150,0)),""))</f>
        <v/>
      </c>
      <c r="AM200" s="27">
        <f>IF(I200="","",IFERROR(INDEX(Kampanyalar!$F$2:$F$150,MATCH(O200,Kampanyalar!$A$2:$A$150,0)),""))</f>
        <v/>
      </c>
      <c r="AN200" s="27">
        <f>IF(I200="","",IFERROR(INDEX(Kampanyalar!$G$2:$G$150,MATCH(O200,Kampanyalar!$A$2:$A$150,0)),""))</f>
        <v/>
      </c>
      <c r="AO200" s="26">
        <f>IF(OR(I200="",AL200="",AM200=""),"",IF(AND(H200&gt;=AL200,H200&lt;=AM200),"Evet","HAYIR - Tarih Dışı"))</f>
        <v/>
      </c>
      <c r="AP200" s="28">
        <f>IF(I200="","",IFERROR(INDEX(Kampanyalar!$H$2:$H$150,MATCH(O200,Kampanyalar!$A$2:$A$150,0)),""))</f>
        <v/>
      </c>
      <c r="AQ200" s="28">
        <f>IF(I200="","",IF(ISNUMBER(AP200),AP200,AD200))</f>
        <v/>
      </c>
      <c r="AR200" s="26">
        <f>IF(I200="","",IF(Parametreler!$C$7="Evet","Kural A - Hemen Ödeme (Stok Mutabakatlı)","Kural B - Nakliye/Montaj Sonrası Ödeme"))</f>
        <v/>
      </c>
    </row>
    <row r="201">
      <c r="A201" s="23" t="n"/>
      <c r="B201" s="23" t="n"/>
      <c r="C201" s="23" t="n"/>
      <c r="D201" s="23" t="n"/>
      <c r="E201" s="23" t="n"/>
      <c r="F201" s="23" t="n"/>
      <c r="G201" s="23" t="n"/>
      <c r="H201" s="24" t="n"/>
      <c r="I201" s="23" t="n"/>
      <c r="J201" s="23" t="n"/>
      <c r="K201" s="23" t="n"/>
      <c r="L201" s="23" t="n"/>
      <c r="M201" s="23" t="n"/>
      <c r="N201" s="23" t="n"/>
      <c r="O201" s="23" t="n"/>
      <c r="P201" s="23" t="n"/>
      <c r="Q201" s="23" t="n"/>
      <c r="R201" s="23" t="n"/>
      <c r="S201" s="23" t="n"/>
      <c r="T201" s="23" t="n"/>
      <c r="U201" s="23" t="n"/>
      <c r="V201" s="23" t="n"/>
      <c r="W201" s="23" t="n"/>
      <c r="X201" s="23" t="n"/>
      <c r="Y201" s="25" t="n"/>
      <c r="Z201" s="25" t="n"/>
      <c r="AA201" s="23" t="n"/>
      <c r="AB201" s="25" t="n"/>
      <c r="AC201" s="23" t="n"/>
      <c r="AD201" s="25" t="n"/>
      <c r="AE201" s="23" t="n"/>
      <c r="AF201" s="25" t="n"/>
      <c r="AG201" s="25" t="n"/>
      <c r="AH201" s="23" t="n"/>
      <c r="AI201" s="23" t="n"/>
      <c r="AJ201" s="26">
        <f>IF(I201="","",I201&amp;"|"&amp;R201)</f>
        <v/>
      </c>
      <c r="AK201" s="26">
        <f>IF(I201="","",IF(ISNA(MATCH(O201,Kampanyalar!$A$2:$A$150,0)),"Hayır - Kampanyalar'da Yok","Evet"))</f>
        <v/>
      </c>
      <c r="AL201" s="27">
        <f>IF(I201="","",IFERROR(INDEX(Kampanyalar!$E$2:$E$150,MATCH(O201,Kampanyalar!$A$2:$A$150,0)),""))</f>
        <v/>
      </c>
      <c r="AM201" s="27">
        <f>IF(I201="","",IFERROR(INDEX(Kampanyalar!$F$2:$F$150,MATCH(O201,Kampanyalar!$A$2:$A$150,0)),""))</f>
        <v/>
      </c>
      <c r="AN201" s="27">
        <f>IF(I201="","",IFERROR(INDEX(Kampanyalar!$G$2:$G$150,MATCH(O201,Kampanyalar!$A$2:$A$150,0)),""))</f>
        <v/>
      </c>
      <c r="AO201" s="26">
        <f>IF(OR(I201="",AL201="",AM201=""),"",IF(AND(H201&gt;=AL201,H201&lt;=AM201),"Evet","HAYIR - Tarih Dışı"))</f>
        <v/>
      </c>
      <c r="AP201" s="28">
        <f>IF(I201="","",IFERROR(INDEX(Kampanyalar!$H$2:$H$150,MATCH(O201,Kampanyalar!$A$2:$A$150,0)),""))</f>
        <v/>
      </c>
      <c r="AQ201" s="28">
        <f>IF(I201="","",IF(ISNUMBER(AP201),AP201,AD201))</f>
        <v/>
      </c>
      <c r="AR201" s="26">
        <f>IF(I201="","",IF(Parametreler!$C$7="Evet","Kural A - Hemen Ödeme (Stok Mutabakatlı)","Kural B - Nakliye/Montaj Sonrası Ödeme"))</f>
        <v/>
      </c>
    </row>
    <row r="202">
      <c r="A202" s="23" t="n"/>
      <c r="B202" s="23" t="n"/>
      <c r="C202" s="23" t="n"/>
      <c r="D202" s="23" t="n"/>
      <c r="E202" s="23" t="n"/>
      <c r="F202" s="23" t="n"/>
      <c r="G202" s="23" t="n"/>
      <c r="H202" s="24" t="n"/>
      <c r="I202" s="23" t="n"/>
      <c r="J202" s="23" t="n"/>
      <c r="K202" s="23" t="n"/>
      <c r="L202" s="23" t="n"/>
      <c r="M202" s="23" t="n"/>
      <c r="N202" s="23" t="n"/>
      <c r="O202" s="23" t="n"/>
      <c r="P202" s="23" t="n"/>
      <c r="Q202" s="23" t="n"/>
      <c r="R202" s="23" t="n"/>
      <c r="S202" s="23" t="n"/>
      <c r="T202" s="23" t="n"/>
      <c r="U202" s="23" t="n"/>
      <c r="V202" s="23" t="n"/>
      <c r="W202" s="23" t="n"/>
      <c r="X202" s="23" t="n"/>
      <c r="Y202" s="25" t="n"/>
      <c r="Z202" s="25" t="n"/>
      <c r="AA202" s="23" t="n"/>
      <c r="AB202" s="25" t="n"/>
      <c r="AC202" s="23" t="n"/>
      <c r="AD202" s="25" t="n"/>
      <c r="AE202" s="23" t="n"/>
      <c r="AF202" s="25" t="n"/>
      <c r="AG202" s="25" t="n"/>
      <c r="AH202" s="23" t="n"/>
      <c r="AI202" s="23" t="n"/>
      <c r="AJ202" s="26">
        <f>IF(I202="","",I202&amp;"|"&amp;R202)</f>
        <v/>
      </c>
      <c r="AK202" s="26">
        <f>IF(I202="","",IF(ISNA(MATCH(O202,Kampanyalar!$A$2:$A$150,0)),"Hayır - Kampanyalar'da Yok","Evet"))</f>
        <v/>
      </c>
      <c r="AL202" s="27">
        <f>IF(I202="","",IFERROR(INDEX(Kampanyalar!$E$2:$E$150,MATCH(O202,Kampanyalar!$A$2:$A$150,0)),""))</f>
        <v/>
      </c>
      <c r="AM202" s="27">
        <f>IF(I202="","",IFERROR(INDEX(Kampanyalar!$F$2:$F$150,MATCH(O202,Kampanyalar!$A$2:$A$150,0)),""))</f>
        <v/>
      </c>
      <c r="AN202" s="27">
        <f>IF(I202="","",IFERROR(INDEX(Kampanyalar!$G$2:$G$150,MATCH(O202,Kampanyalar!$A$2:$A$150,0)),""))</f>
        <v/>
      </c>
      <c r="AO202" s="26">
        <f>IF(OR(I202="",AL202="",AM202=""),"",IF(AND(H202&gt;=AL202,H202&lt;=AM202),"Evet","HAYIR - Tarih Dışı"))</f>
        <v/>
      </c>
      <c r="AP202" s="28">
        <f>IF(I202="","",IFERROR(INDEX(Kampanyalar!$H$2:$H$150,MATCH(O202,Kampanyalar!$A$2:$A$150,0)),""))</f>
        <v/>
      </c>
      <c r="AQ202" s="28">
        <f>IF(I202="","",IF(ISNUMBER(AP202),AP202,AD202))</f>
        <v/>
      </c>
      <c r="AR202" s="26">
        <f>IF(I202="","",IF(Parametreler!$C$7="Evet","Kural A - Hemen Ödeme (Stok Mutabakatlı)","Kural B - Nakliye/Montaj Sonrası Ödeme"))</f>
        <v/>
      </c>
    </row>
    <row r="203">
      <c r="A203" s="23" t="n"/>
      <c r="B203" s="23" t="n"/>
      <c r="C203" s="23" t="n"/>
      <c r="D203" s="23" t="n"/>
      <c r="E203" s="23" t="n"/>
      <c r="F203" s="23" t="n"/>
      <c r="G203" s="23" t="n"/>
      <c r="H203" s="24" t="n"/>
      <c r="I203" s="23" t="n"/>
      <c r="J203" s="23" t="n"/>
      <c r="K203" s="23" t="n"/>
      <c r="L203" s="23" t="n"/>
      <c r="M203" s="23" t="n"/>
      <c r="N203" s="23" t="n"/>
      <c r="O203" s="23" t="n"/>
      <c r="P203" s="23" t="n"/>
      <c r="Q203" s="23" t="n"/>
      <c r="R203" s="23" t="n"/>
      <c r="S203" s="23" t="n"/>
      <c r="T203" s="23" t="n"/>
      <c r="U203" s="23" t="n"/>
      <c r="V203" s="23" t="n"/>
      <c r="W203" s="23" t="n"/>
      <c r="X203" s="23" t="n"/>
      <c r="Y203" s="25" t="n"/>
      <c r="Z203" s="25" t="n"/>
      <c r="AA203" s="23" t="n"/>
      <c r="AB203" s="25" t="n"/>
      <c r="AC203" s="23" t="n"/>
      <c r="AD203" s="25" t="n"/>
      <c r="AE203" s="23" t="n"/>
      <c r="AF203" s="25" t="n"/>
      <c r="AG203" s="25" t="n"/>
      <c r="AH203" s="23" t="n"/>
      <c r="AI203" s="23" t="n"/>
      <c r="AJ203" s="26">
        <f>IF(I203="","",I203&amp;"|"&amp;R203)</f>
        <v/>
      </c>
      <c r="AK203" s="26">
        <f>IF(I203="","",IF(ISNA(MATCH(O203,Kampanyalar!$A$2:$A$150,0)),"Hayır - Kampanyalar'da Yok","Evet"))</f>
        <v/>
      </c>
      <c r="AL203" s="27">
        <f>IF(I203="","",IFERROR(INDEX(Kampanyalar!$E$2:$E$150,MATCH(O203,Kampanyalar!$A$2:$A$150,0)),""))</f>
        <v/>
      </c>
      <c r="AM203" s="27">
        <f>IF(I203="","",IFERROR(INDEX(Kampanyalar!$F$2:$F$150,MATCH(O203,Kampanyalar!$A$2:$A$150,0)),""))</f>
        <v/>
      </c>
      <c r="AN203" s="27">
        <f>IF(I203="","",IFERROR(INDEX(Kampanyalar!$G$2:$G$150,MATCH(O203,Kampanyalar!$A$2:$A$150,0)),""))</f>
        <v/>
      </c>
      <c r="AO203" s="26">
        <f>IF(OR(I203="",AL203="",AM203=""),"",IF(AND(H203&gt;=AL203,H203&lt;=AM203),"Evet","HAYIR - Tarih Dışı"))</f>
        <v/>
      </c>
      <c r="AP203" s="28">
        <f>IF(I203="","",IFERROR(INDEX(Kampanyalar!$H$2:$H$150,MATCH(O203,Kampanyalar!$A$2:$A$150,0)),""))</f>
        <v/>
      </c>
      <c r="AQ203" s="28">
        <f>IF(I203="","",IF(ISNUMBER(AP203),AP203,AD203))</f>
        <v/>
      </c>
      <c r="AR203" s="26">
        <f>IF(I203="","",IF(Parametreler!$C$7="Evet","Kural A - Hemen Ödeme (Stok Mutabakatlı)","Kural B - Nakliye/Montaj Sonrası Ödeme"))</f>
        <v/>
      </c>
    </row>
    <row r="204">
      <c r="A204" s="23" t="n"/>
      <c r="B204" s="23" t="n"/>
      <c r="C204" s="23" t="n"/>
      <c r="D204" s="23" t="n"/>
      <c r="E204" s="23" t="n"/>
      <c r="F204" s="23" t="n"/>
      <c r="G204" s="23" t="n"/>
      <c r="H204" s="24" t="n"/>
      <c r="I204" s="23" t="n"/>
      <c r="J204" s="23" t="n"/>
      <c r="K204" s="23" t="n"/>
      <c r="L204" s="23" t="n"/>
      <c r="M204" s="23" t="n"/>
      <c r="N204" s="23" t="n"/>
      <c r="O204" s="23" t="n"/>
      <c r="P204" s="23" t="n"/>
      <c r="Q204" s="23" t="n"/>
      <c r="R204" s="23" t="n"/>
      <c r="S204" s="23" t="n"/>
      <c r="T204" s="23" t="n"/>
      <c r="U204" s="23" t="n"/>
      <c r="V204" s="23" t="n"/>
      <c r="W204" s="23" t="n"/>
      <c r="X204" s="23" t="n"/>
      <c r="Y204" s="25" t="n"/>
      <c r="Z204" s="25" t="n"/>
      <c r="AA204" s="23" t="n"/>
      <c r="AB204" s="25" t="n"/>
      <c r="AC204" s="23" t="n"/>
      <c r="AD204" s="25" t="n"/>
      <c r="AE204" s="23" t="n"/>
      <c r="AF204" s="25" t="n"/>
      <c r="AG204" s="25" t="n"/>
      <c r="AH204" s="23" t="n"/>
      <c r="AI204" s="23" t="n"/>
      <c r="AJ204" s="26">
        <f>IF(I204="","",I204&amp;"|"&amp;R204)</f>
        <v/>
      </c>
      <c r="AK204" s="26">
        <f>IF(I204="","",IF(ISNA(MATCH(O204,Kampanyalar!$A$2:$A$150,0)),"Hayır - Kampanyalar'da Yok","Evet"))</f>
        <v/>
      </c>
      <c r="AL204" s="27">
        <f>IF(I204="","",IFERROR(INDEX(Kampanyalar!$E$2:$E$150,MATCH(O204,Kampanyalar!$A$2:$A$150,0)),""))</f>
        <v/>
      </c>
      <c r="AM204" s="27">
        <f>IF(I204="","",IFERROR(INDEX(Kampanyalar!$F$2:$F$150,MATCH(O204,Kampanyalar!$A$2:$A$150,0)),""))</f>
        <v/>
      </c>
      <c r="AN204" s="27">
        <f>IF(I204="","",IFERROR(INDEX(Kampanyalar!$G$2:$G$150,MATCH(O204,Kampanyalar!$A$2:$A$150,0)),""))</f>
        <v/>
      </c>
      <c r="AO204" s="26">
        <f>IF(OR(I204="",AL204="",AM204=""),"",IF(AND(H204&gt;=AL204,H204&lt;=AM204),"Evet","HAYIR - Tarih Dışı"))</f>
        <v/>
      </c>
      <c r="AP204" s="28">
        <f>IF(I204="","",IFERROR(INDEX(Kampanyalar!$H$2:$H$150,MATCH(O204,Kampanyalar!$A$2:$A$150,0)),""))</f>
        <v/>
      </c>
      <c r="AQ204" s="28">
        <f>IF(I204="","",IF(ISNUMBER(AP204),AP204,AD204))</f>
        <v/>
      </c>
      <c r="AR204" s="26">
        <f>IF(I204="","",IF(Parametreler!$C$7="Evet","Kural A - Hemen Ödeme (Stok Mutabakatlı)","Kural B - Nakliye/Montaj Sonrası Ödeme"))</f>
        <v/>
      </c>
    </row>
    <row r="205">
      <c r="A205" s="23" t="n"/>
      <c r="B205" s="23" t="n"/>
      <c r="C205" s="23" t="n"/>
      <c r="D205" s="23" t="n"/>
      <c r="E205" s="23" t="n"/>
      <c r="F205" s="23" t="n"/>
      <c r="G205" s="23" t="n"/>
      <c r="H205" s="24" t="n"/>
      <c r="I205" s="23" t="n"/>
      <c r="J205" s="23" t="n"/>
      <c r="K205" s="23" t="n"/>
      <c r="L205" s="23" t="n"/>
      <c r="M205" s="23" t="n"/>
      <c r="N205" s="23" t="n"/>
      <c r="O205" s="23" t="n"/>
      <c r="P205" s="23" t="n"/>
      <c r="Q205" s="23" t="n"/>
      <c r="R205" s="23" t="n"/>
      <c r="S205" s="23" t="n"/>
      <c r="T205" s="23" t="n"/>
      <c r="U205" s="23" t="n"/>
      <c r="V205" s="23" t="n"/>
      <c r="W205" s="23" t="n"/>
      <c r="X205" s="23" t="n"/>
      <c r="Y205" s="25" t="n"/>
      <c r="Z205" s="25" t="n"/>
      <c r="AA205" s="23" t="n"/>
      <c r="AB205" s="25" t="n"/>
      <c r="AC205" s="23" t="n"/>
      <c r="AD205" s="25" t="n"/>
      <c r="AE205" s="23" t="n"/>
      <c r="AF205" s="25" t="n"/>
      <c r="AG205" s="25" t="n"/>
      <c r="AH205" s="23" t="n"/>
      <c r="AI205" s="23" t="n"/>
      <c r="AJ205" s="26">
        <f>IF(I205="","",I205&amp;"|"&amp;R205)</f>
        <v/>
      </c>
      <c r="AK205" s="26">
        <f>IF(I205="","",IF(ISNA(MATCH(O205,Kampanyalar!$A$2:$A$150,0)),"Hayır - Kampanyalar'da Yok","Evet"))</f>
        <v/>
      </c>
      <c r="AL205" s="27">
        <f>IF(I205="","",IFERROR(INDEX(Kampanyalar!$E$2:$E$150,MATCH(O205,Kampanyalar!$A$2:$A$150,0)),""))</f>
        <v/>
      </c>
      <c r="AM205" s="27">
        <f>IF(I205="","",IFERROR(INDEX(Kampanyalar!$F$2:$F$150,MATCH(O205,Kampanyalar!$A$2:$A$150,0)),""))</f>
        <v/>
      </c>
      <c r="AN205" s="27">
        <f>IF(I205="","",IFERROR(INDEX(Kampanyalar!$G$2:$G$150,MATCH(O205,Kampanyalar!$A$2:$A$150,0)),""))</f>
        <v/>
      </c>
      <c r="AO205" s="26">
        <f>IF(OR(I205="",AL205="",AM205=""),"",IF(AND(H205&gt;=AL205,H205&lt;=AM205),"Evet","HAYIR - Tarih Dışı"))</f>
        <v/>
      </c>
      <c r="AP205" s="28">
        <f>IF(I205="","",IFERROR(INDEX(Kampanyalar!$H$2:$H$150,MATCH(O205,Kampanyalar!$A$2:$A$150,0)),""))</f>
        <v/>
      </c>
      <c r="AQ205" s="28">
        <f>IF(I205="","",IF(ISNUMBER(AP205),AP205,AD205))</f>
        <v/>
      </c>
      <c r="AR205" s="26">
        <f>IF(I205="","",IF(Parametreler!$C$7="Evet","Kural A - Hemen Ödeme (Stok Mutabakatlı)","Kural B - Nakliye/Montaj Sonrası Ödeme"))</f>
        <v/>
      </c>
    </row>
    <row r="206">
      <c r="A206" s="23" t="n"/>
      <c r="B206" s="23" t="n"/>
      <c r="C206" s="23" t="n"/>
      <c r="D206" s="23" t="n"/>
      <c r="E206" s="23" t="n"/>
      <c r="F206" s="23" t="n"/>
      <c r="G206" s="23" t="n"/>
      <c r="H206" s="24" t="n"/>
      <c r="I206" s="23" t="n"/>
      <c r="J206" s="23" t="n"/>
      <c r="K206" s="23" t="n"/>
      <c r="L206" s="23" t="n"/>
      <c r="M206" s="23" t="n"/>
      <c r="N206" s="23" t="n"/>
      <c r="O206" s="23" t="n"/>
      <c r="P206" s="23" t="n"/>
      <c r="Q206" s="23" t="n"/>
      <c r="R206" s="23" t="n"/>
      <c r="S206" s="23" t="n"/>
      <c r="T206" s="23" t="n"/>
      <c r="U206" s="23" t="n"/>
      <c r="V206" s="23" t="n"/>
      <c r="W206" s="23" t="n"/>
      <c r="X206" s="23" t="n"/>
      <c r="Y206" s="25" t="n"/>
      <c r="Z206" s="25" t="n"/>
      <c r="AA206" s="23" t="n"/>
      <c r="AB206" s="25" t="n"/>
      <c r="AC206" s="23" t="n"/>
      <c r="AD206" s="25" t="n"/>
      <c r="AE206" s="23" t="n"/>
      <c r="AF206" s="25" t="n"/>
      <c r="AG206" s="25" t="n"/>
      <c r="AH206" s="23" t="n"/>
      <c r="AI206" s="23" t="n"/>
      <c r="AJ206" s="26">
        <f>IF(I206="","",I206&amp;"|"&amp;R206)</f>
        <v/>
      </c>
      <c r="AK206" s="26">
        <f>IF(I206="","",IF(ISNA(MATCH(O206,Kampanyalar!$A$2:$A$150,0)),"Hayır - Kampanyalar'da Yok","Evet"))</f>
        <v/>
      </c>
      <c r="AL206" s="27">
        <f>IF(I206="","",IFERROR(INDEX(Kampanyalar!$E$2:$E$150,MATCH(O206,Kampanyalar!$A$2:$A$150,0)),""))</f>
        <v/>
      </c>
      <c r="AM206" s="27">
        <f>IF(I206="","",IFERROR(INDEX(Kampanyalar!$F$2:$F$150,MATCH(O206,Kampanyalar!$A$2:$A$150,0)),""))</f>
        <v/>
      </c>
      <c r="AN206" s="27">
        <f>IF(I206="","",IFERROR(INDEX(Kampanyalar!$G$2:$G$150,MATCH(O206,Kampanyalar!$A$2:$A$150,0)),""))</f>
        <v/>
      </c>
      <c r="AO206" s="26">
        <f>IF(OR(I206="",AL206="",AM206=""),"",IF(AND(H206&gt;=AL206,H206&lt;=AM206),"Evet","HAYIR - Tarih Dışı"))</f>
        <v/>
      </c>
      <c r="AP206" s="28">
        <f>IF(I206="","",IFERROR(INDEX(Kampanyalar!$H$2:$H$150,MATCH(O206,Kampanyalar!$A$2:$A$150,0)),""))</f>
        <v/>
      </c>
      <c r="AQ206" s="28">
        <f>IF(I206="","",IF(ISNUMBER(AP206),AP206,AD206))</f>
        <v/>
      </c>
      <c r="AR206" s="26">
        <f>IF(I206="","",IF(Parametreler!$C$7="Evet","Kural A - Hemen Ödeme (Stok Mutabakatlı)","Kural B - Nakliye/Montaj Sonrası Ödeme"))</f>
        <v/>
      </c>
    </row>
    <row r="207">
      <c r="A207" s="23" t="n"/>
      <c r="B207" s="23" t="n"/>
      <c r="C207" s="23" t="n"/>
      <c r="D207" s="23" t="n"/>
      <c r="E207" s="23" t="n"/>
      <c r="F207" s="23" t="n"/>
      <c r="G207" s="23" t="n"/>
      <c r="H207" s="24" t="n"/>
      <c r="I207" s="23" t="n"/>
      <c r="J207" s="23" t="n"/>
      <c r="K207" s="23" t="n"/>
      <c r="L207" s="23" t="n"/>
      <c r="M207" s="23" t="n"/>
      <c r="N207" s="23" t="n"/>
      <c r="O207" s="23" t="n"/>
      <c r="P207" s="23" t="n"/>
      <c r="Q207" s="23" t="n"/>
      <c r="R207" s="23" t="n"/>
      <c r="S207" s="23" t="n"/>
      <c r="T207" s="23" t="n"/>
      <c r="U207" s="23" t="n"/>
      <c r="V207" s="23" t="n"/>
      <c r="W207" s="23" t="n"/>
      <c r="X207" s="23" t="n"/>
      <c r="Y207" s="25" t="n"/>
      <c r="Z207" s="25" t="n"/>
      <c r="AA207" s="23" t="n"/>
      <c r="AB207" s="25" t="n"/>
      <c r="AC207" s="23" t="n"/>
      <c r="AD207" s="25" t="n"/>
      <c r="AE207" s="23" t="n"/>
      <c r="AF207" s="25" t="n"/>
      <c r="AG207" s="25" t="n"/>
      <c r="AH207" s="23" t="n"/>
      <c r="AI207" s="23" t="n"/>
      <c r="AJ207" s="26">
        <f>IF(I207="","",I207&amp;"|"&amp;R207)</f>
        <v/>
      </c>
      <c r="AK207" s="26">
        <f>IF(I207="","",IF(ISNA(MATCH(O207,Kampanyalar!$A$2:$A$150,0)),"Hayır - Kampanyalar'da Yok","Evet"))</f>
        <v/>
      </c>
      <c r="AL207" s="27">
        <f>IF(I207="","",IFERROR(INDEX(Kampanyalar!$E$2:$E$150,MATCH(O207,Kampanyalar!$A$2:$A$150,0)),""))</f>
        <v/>
      </c>
      <c r="AM207" s="27">
        <f>IF(I207="","",IFERROR(INDEX(Kampanyalar!$F$2:$F$150,MATCH(O207,Kampanyalar!$A$2:$A$150,0)),""))</f>
        <v/>
      </c>
      <c r="AN207" s="27">
        <f>IF(I207="","",IFERROR(INDEX(Kampanyalar!$G$2:$G$150,MATCH(O207,Kampanyalar!$A$2:$A$150,0)),""))</f>
        <v/>
      </c>
      <c r="AO207" s="26">
        <f>IF(OR(I207="",AL207="",AM207=""),"",IF(AND(H207&gt;=AL207,H207&lt;=AM207),"Evet","HAYIR - Tarih Dışı"))</f>
        <v/>
      </c>
      <c r="AP207" s="28">
        <f>IF(I207="","",IFERROR(INDEX(Kampanyalar!$H$2:$H$150,MATCH(O207,Kampanyalar!$A$2:$A$150,0)),""))</f>
        <v/>
      </c>
      <c r="AQ207" s="28">
        <f>IF(I207="","",IF(ISNUMBER(AP207),AP207,AD207))</f>
        <v/>
      </c>
      <c r="AR207" s="26">
        <f>IF(I207="","",IF(Parametreler!$C$7="Evet","Kural A - Hemen Ödeme (Stok Mutabakatlı)","Kural B - Nakliye/Montaj Sonrası Ödeme"))</f>
        <v/>
      </c>
    </row>
    <row r="208">
      <c r="A208" s="23" t="n"/>
      <c r="B208" s="23" t="n"/>
      <c r="C208" s="23" t="n"/>
      <c r="D208" s="23" t="n"/>
      <c r="E208" s="23" t="n"/>
      <c r="F208" s="23" t="n"/>
      <c r="G208" s="23" t="n"/>
      <c r="H208" s="24" t="n"/>
      <c r="I208" s="23" t="n"/>
      <c r="J208" s="23" t="n"/>
      <c r="K208" s="23" t="n"/>
      <c r="L208" s="23" t="n"/>
      <c r="M208" s="23" t="n"/>
      <c r="N208" s="23" t="n"/>
      <c r="O208" s="23" t="n"/>
      <c r="P208" s="23" t="n"/>
      <c r="Q208" s="23" t="n"/>
      <c r="R208" s="23" t="n"/>
      <c r="S208" s="23" t="n"/>
      <c r="T208" s="23" t="n"/>
      <c r="U208" s="23" t="n"/>
      <c r="V208" s="23" t="n"/>
      <c r="W208" s="23" t="n"/>
      <c r="X208" s="23" t="n"/>
      <c r="Y208" s="25" t="n"/>
      <c r="Z208" s="25" t="n"/>
      <c r="AA208" s="23" t="n"/>
      <c r="AB208" s="25" t="n"/>
      <c r="AC208" s="23" t="n"/>
      <c r="AD208" s="25" t="n"/>
      <c r="AE208" s="23" t="n"/>
      <c r="AF208" s="25" t="n"/>
      <c r="AG208" s="25" t="n"/>
      <c r="AH208" s="23" t="n"/>
      <c r="AI208" s="23" t="n"/>
      <c r="AJ208" s="26">
        <f>IF(I208="","",I208&amp;"|"&amp;R208)</f>
        <v/>
      </c>
      <c r="AK208" s="26">
        <f>IF(I208="","",IF(ISNA(MATCH(O208,Kampanyalar!$A$2:$A$150,0)),"Hayır - Kampanyalar'da Yok","Evet"))</f>
        <v/>
      </c>
      <c r="AL208" s="27">
        <f>IF(I208="","",IFERROR(INDEX(Kampanyalar!$E$2:$E$150,MATCH(O208,Kampanyalar!$A$2:$A$150,0)),""))</f>
        <v/>
      </c>
      <c r="AM208" s="27">
        <f>IF(I208="","",IFERROR(INDEX(Kampanyalar!$F$2:$F$150,MATCH(O208,Kampanyalar!$A$2:$A$150,0)),""))</f>
        <v/>
      </c>
      <c r="AN208" s="27">
        <f>IF(I208="","",IFERROR(INDEX(Kampanyalar!$G$2:$G$150,MATCH(O208,Kampanyalar!$A$2:$A$150,0)),""))</f>
        <v/>
      </c>
      <c r="AO208" s="26">
        <f>IF(OR(I208="",AL208="",AM208=""),"",IF(AND(H208&gt;=AL208,H208&lt;=AM208),"Evet","HAYIR - Tarih Dışı"))</f>
        <v/>
      </c>
      <c r="AP208" s="28">
        <f>IF(I208="","",IFERROR(INDEX(Kampanyalar!$H$2:$H$150,MATCH(O208,Kampanyalar!$A$2:$A$150,0)),""))</f>
        <v/>
      </c>
      <c r="AQ208" s="28">
        <f>IF(I208="","",IF(ISNUMBER(AP208),AP208,AD208))</f>
        <v/>
      </c>
      <c r="AR208" s="26">
        <f>IF(I208="","",IF(Parametreler!$C$7="Evet","Kural A - Hemen Ödeme (Stok Mutabakatlı)","Kural B - Nakliye/Montaj Sonrası Ödeme"))</f>
        <v/>
      </c>
    </row>
    <row r="209">
      <c r="A209" s="23" t="n"/>
      <c r="B209" s="23" t="n"/>
      <c r="C209" s="23" t="n"/>
      <c r="D209" s="23" t="n"/>
      <c r="E209" s="23" t="n"/>
      <c r="F209" s="23" t="n"/>
      <c r="G209" s="23" t="n"/>
      <c r="H209" s="24" t="n"/>
      <c r="I209" s="23" t="n"/>
      <c r="J209" s="23" t="n"/>
      <c r="K209" s="23" t="n"/>
      <c r="L209" s="23" t="n"/>
      <c r="M209" s="23" t="n"/>
      <c r="N209" s="23" t="n"/>
      <c r="O209" s="23" t="n"/>
      <c r="P209" s="23" t="n"/>
      <c r="Q209" s="23" t="n"/>
      <c r="R209" s="23" t="n"/>
      <c r="S209" s="23" t="n"/>
      <c r="T209" s="23" t="n"/>
      <c r="U209" s="23" t="n"/>
      <c r="V209" s="23" t="n"/>
      <c r="W209" s="23" t="n"/>
      <c r="X209" s="23" t="n"/>
      <c r="Y209" s="25" t="n"/>
      <c r="Z209" s="25" t="n"/>
      <c r="AA209" s="23" t="n"/>
      <c r="AB209" s="25" t="n"/>
      <c r="AC209" s="23" t="n"/>
      <c r="AD209" s="25" t="n"/>
      <c r="AE209" s="23" t="n"/>
      <c r="AF209" s="25" t="n"/>
      <c r="AG209" s="25" t="n"/>
      <c r="AH209" s="23" t="n"/>
      <c r="AI209" s="23" t="n"/>
      <c r="AJ209" s="26">
        <f>IF(I209="","",I209&amp;"|"&amp;R209)</f>
        <v/>
      </c>
      <c r="AK209" s="26">
        <f>IF(I209="","",IF(ISNA(MATCH(O209,Kampanyalar!$A$2:$A$150,0)),"Hayır - Kampanyalar'da Yok","Evet"))</f>
        <v/>
      </c>
      <c r="AL209" s="27">
        <f>IF(I209="","",IFERROR(INDEX(Kampanyalar!$E$2:$E$150,MATCH(O209,Kampanyalar!$A$2:$A$150,0)),""))</f>
        <v/>
      </c>
      <c r="AM209" s="27">
        <f>IF(I209="","",IFERROR(INDEX(Kampanyalar!$F$2:$F$150,MATCH(O209,Kampanyalar!$A$2:$A$150,0)),""))</f>
        <v/>
      </c>
      <c r="AN209" s="27">
        <f>IF(I209="","",IFERROR(INDEX(Kampanyalar!$G$2:$G$150,MATCH(O209,Kampanyalar!$A$2:$A$150,0)),""))</f>
        <v/>
      </c>
      <c r="AO209" s="26">
        <f>IF(OR(I209="",AL209="",AM209=""),"",IF(AND(H209&gt;=AL209,H209&lt;=AM209),"Evet","HAYIR - Tarih Dışı"))</f>
        <v/>
      </c>
      <c r="AP209" s="28">
        <f>IF(I209="","",IFERROR(INDEX(Kampanyalar!$H$2:$H$150,MATCH(O209,Kampanyalar!$A$2:$A$150,0)),""))</f>
        <v/>
      </c>
      <c r="AQ209" s="28">
        <f>IF(I209="","",IF(ISNUMBER(AP209),AP209,AD209))</f>
        <v/>
      </c>
      <c r="AR209" s="26">
        <f>IF(I209="","",IF(Parametreler!$C$7="Evet","Kural A - Hemen Ödeme (Stok Mutabakatlı)","Kural B - Nakliye/Montaj Sonrası Ödeme"))</f>
        <v/>
      </c>
    </row>
    <row r="210">
      <c r="A210" s="23" t="n"/>
      <c r="B210" s="23" t="n"/>
      <c r="C210" s="23" t="n"/>
      <c r="D210" s="23" t="n"/>
      <c r="E210" s="23" t="n"/>
      <c r="F210" s="23" t="n"/>
      <c r="G210" s="23" t="n"/>
      <c r="H210" s="24" t="n"/>
      <c r="I210" s="23" t="n"/>
      <c r="J210" s="23" t="n"/>
      <c r="K210" s="23" t="n"/>
      <c r="L210" s="23" t="n"/>
      <c r="M210" s="23" t="n"/>
      <c r="N210" s="23" t="n"/>
      <c r="O210" s="23" t="n"/>
      <c r="P210" s="23" t="n"/>
      <c r="Q210" s="23" t="n"/>
      <c r="R210" s="23" t="n"/>
      <c r="S210" s="23" t="n"/>
      <c r="T210" s="23" t="n"/>
      <c r="U210" s="23" t="n"/>
      <c r="V210" s="23" t="n"/>
      <c r="W210" s="23" t="n"/>
      <c r="X210" s="23" t="n"/>
      <c r="Y210" s="25" t="n"/>
      <c r="Z210" s="25" t="n"/>
      <c r="AA210" s="23" t="n"/>
      <c r="AB210" s="25" t="n"/>
      <c r="AC210" s="23" t="n"/>
      <c r="AD210" s="25" t="n"/>
      <c r="AE210" s="23" t="n"/>
      <c r="AF210" s="25" t="n"/>
      <c r="AG210" s="25" t="n"/>
      <c r="AH210" s="23" t="n"/>
      <c r="AI210" s="23" t="n"/>
      <c r="AJ210" s="26">
        <f>IF(I210="","",I210&amp;"|"&amp;R210)</f>
        <v/>
      </c>
      <c r="AK210" s="26">
        <f>IF(I210="","",IF(ISNA(MATCH(O210,Kampanyalar!$A$2:$A$150,0)),"Hayır - Kampanyalar'da Yok","Evet"))</f>
        <v/>
      </c>
      <c r="AL210" s="27">
        <f>IF(I210="","",IFERROR(INDEX(Kampanyalar!$E$2:$E$150,MATCH(O210,Kampanyalar!$A$2:$A$150,0)),""))</f>
        <v/>
      </c>
      <c r="AM210" s="27">
        <f>IF(I210="","",IFERROR(INDEX(Kampanyalar!$F$2:$F$150,MATCH(O210,Kampanyalar!$A$2:$A$150,0)),""))</f>
        <v/>
      </c>
      <c r="AN210" s="27">
        <f>IF(I210="","",IFERROR(INDEX(Kampanyalar!$G$2:$G$150,MATCH(O210,Kampanyalar!$A$2:$A$150,0)),""))</f>
        <v/>
      </c>
      <c r="AO210" s="26">
        <f>IF(OR(I210="",AL210="",AM210=""),"",IF(AND(H210&gt;=AL210,H210&lt;=AM210),"Evet","HAYIR - Tarih Dışı"))</f>
        <v/>
      </c>
      <c r="AP210" s="28">
        <f>IF(I210="","",IFERROR(INDEX(Kampanyalar!$H$2:$H$150,MATCH(O210,Kampanyalar!$A$2:$A$150,0)),""))</f>
        <v/>
      </c>
      <c r="AQ210" s="28">
        <f>IF(I210="","",IF(ISNUMBER(AP210),AP210,AD210))</f>
        <v/>
      </c>
      <c r="AR210" s="26">
        <f>IF(I210="","",IF(Parametreler!$C$7="Evet","Kural A - Hemen Ödeme (Stok Mutabakatlı)","Kural B - Nakliye/Montaj Sonrası Ödeme"))</f>
        <v/>
      </c>
    </row>
    <row r="211">
      <c r="A211" s="23" t="n"/>
      <c r="B211" s="23" t="n"/>
      <c r="C211" s="23" t="n"/>
      <c r="D211" s="23" t="n"/>
      <c r="E211" s="23" t="n"/>
      <c r="F211" s="23" t="n"/>
      <c r="G211" s="23" t="n"/>
      <c r="H211" s="24" t="n"/>
      <c r="I211" s="23" t="n"/>
      <c r="J211" s="23" t="n"/>
      <c r="K211" s="23" t="n"/>
      <c r="L211" s="23" t="n"/>
      <c r="M211" s="23" t="n"/>
      <c r="N211" s="23" t="n"/>
      <c r="O211" s="23" t="n"/>
      <c r="P211" s="23" t="n"/>
      <c r="Q211" s="23" t="n"/>
      <c r="R211" s="23" t="n"/>
      <c r="S211" s="23" t="n"/>
      <c r="T211" s="23" t="n"/>
      <c r="U211" s="23" t="n"/>
      <c r="V211" s="23" t="n"/>
      <c r="W211" s="23" t="n"/>
      <c r="X211" s="23" t="n"/>
      <c r="Y211" s="25" t="n"/>
      <c r="Z211" s="25" t="n"/>
      <c r="AA211" s="23" t="n"/>
      <c r="AB211" s="25" t="n"/>
      <c r="AC211" s="23" t="n"/>
      <c r="AD211" s="25" t="n"/>
      <c r="AE211" s="23" t="n"/>
      <c r="AF211" s="25" t="n"/>
      <c r="AG211" s="25" t="n"/>
      <c r="AH211" s="23" t="n"/>
      <c r="AI211" s="23" t="n"/>
      <c r="AJ211" s="26">
        <f>IF(I211="","",I211&amp;"|"&amp;R211)</f>
        <v/>
      </c>
      <c r="AK211" s="26">
        <f>IF(I211="","",IF(ISNA(MATCH(O211,Kampanyalar!$A$2:$A$150,0)),"Hayır - Kampanyalar'da Yok","Evet"))</f>
        <v/>
      </c>
      <c r="AL211" s="27">
        <f>IF(I211="","",IFERROR(INDEX(Kampanyalar!$E$2:$E$150,MATCH(O211,Kampanyalar!$A$2:$A$150,0)),""))</f>
        <v/>
      </c>
      <c r="AM211" s="27">
        <f>IF(I211="","",IFERROR(INDEX(Kampanyalar!$F$2:$F$150,MATCH(O211,Kampanyalar!$A$2:$A$150,0)),""))</f>
        <v/>
      </c>
      <c r="AN211" s="27">
        <f>IF(I211="","",IFERROR(INDEX(Kampanyalar!$G$2:$G$150,MATCH(O211,Kampanyalar!$A$2:$A$150,0)),""))</f>
        <v/>
      </c>
      <c r="AO211" s="26">
        <f>IF(OR(I211="",AL211="",AM211=""),"",IF(AND(H211&gt;=AL211,H211&lt;=AM211),"Evet","HAYIR - Tarih Dışı"))</f>
        <v/>
      </c>
      <c r="AP211" s="28">
        <f>IF(I211="","",IFERROR(INDEX(Kampanyalar!$H$2:$H$150,MATCH(O211,Kampanyalar!$A$2:$A$150,0)),""))</f>
        <v/>
      </c>
      <c r="AQ211" s="28">
        <f>IF(I211="","",IF(ISNUMBER(AP211),AP211,AD211))</f>
        <v/>
      </c>
      <c r="AR211" s="26">
        <f>IF(I211="","",IF(Parametreler!$C$7="Evet","Kural A - Hemen Ödeme (Stok Mutabakatlı)","Kural B - Nakliye/Montaj Sonrası Ödeme"))</f>
        <v/>
      </c>
    </row>
    <row r="212">
      <c r="A212" s="23" t="n"/>
      <c r="B212" s="23" t="n"/>
      <c r="C212" s="23" t="n"/>
      <c r="D212" s="23" t="n"/>
      <c r="E212" s="23" t="n"/>
      <c r="F212" s="23" t="n"/>
      <c r="G212" s="23" t="n"/>
      <c r="H212" s="24" t="n"/>
      <c r="I212" s="23" t="n"/>
      <c r="J212" s="23" t="n"/>
      <c r="K212" s="23" t="n"/>
      <c r="L212" s="23" t="n"/>
      <c r="M212" s="23" t="n"/>
      <c r="N212" s="23" t="n"/>
      <c r="O212" s="23" t="n"/>
      <c r="P212" s="23" t="n"/>
      <c r="Q212" s="23" t="n"/>
      <c r="R212" s="23" t="n"/>
      <c r="S212" s="23" t="n"/>
      <c r="T212" s="23" t="n"/>
      <c r="U212" s="23" t="n"/>
      <c r="V212" s="23" t="n"/>
      <c r="W212" s="23" t="n"/>
      <c r="X212" s="23" t="n"/>
      <c r="Y212" s="25" t="n"/>
      <c r="Z212" s="25" t="n"/>
      <c r="AA212" s="23" t="n"/>
      <c r="AB212" s="25" t="n"/>
      <c r="AC212" s="23" t="n"/>
      <c r="AD212" s="25" t="n"/>
      <c r="AE212" s="23" t="n"/>
      <c r="AF212" s="25" t="n"/>
      <c r="AG212" s="25" t="n"/>
      <c r="AH212" s="23" t="n"/>
      <c r="AI212" s="23" t="n"/>
      <c r="AJ212" s="26">
        <f>IF(I212="","",I212&amp;"|"&amp;R212)</f>
        <v/>
      </c>
      <c r="AK212" s="26">
        <f>IF(I212="","",IF(ISNA(MATCH(O212,Kampanyalar!$A$2:$A$150,0)),"Hayır - Kampanyalar'da Yok","Evet"))</f>
        <v/>
      </c>
      <c r="AL212" s="27">
        <f>IF(I212="","",IFERROR(INDEX(Kampanyalar!$E$2:$E$150,MATCH(O212,Kampanyalar!$A$2:$A$150,0)),""))</f>
        <v/>
      </c>
      <c r="AM212" s="27">
        <f>IF(I212="","",IFERROR(INDEX(Kampanyalar!$F$2:$F$150,MATCH(O212,Kampanyalar!$A$2:$A$150,0)),""))</f>
        <v/>
      </c>
      <c r="AN212" s="27">
        <f>IF(I212="","",IFERROR(INDEX(Kampanyalar!$G$2:$G$150,MATCH(O212,Kampanyalar!$A$2:$A$150,0)),""))</f>
        <v/>
      </c>
      <c r="AO212" s="26">
        <f>IF(OR(I212="",AL212="",AM212=""),"",IF(AND(H212&gt;=AL212,H212&lt;=AM212),"Evet","HAYIR - Tarih Dışı"))</f>
        <v/>
      </c>
      <c r="AP212" s="28">
        <f>IF(I212="","",IFERROR(INDEX(Kampanyalar!$H$2:$H$150,MATCH(O212,Kampanyalar!$A$2:$A$150,0)),""))</f>
        <v/>
      </c>
      <c r="AQ212" s="28">
        <f>IF(I212="","",IF(ISNUMBER(AP212),AP212,AD212))</f>
        <v/>
      </c>
      <c r="AR212" s="26">
        <f>IF(I212="","",IF(Parametreler!$C$7="Evet","Kural A - Hemen Ödeme (Stok Mutabakatlı)","Kural B - Nakliye/Montaj Sonrası Ödeme"))</f>
        <v/>
      </c>
    </row>
    <row r="213">
      <c r="A213" s="23" t="n"/>
      <c r="B213" s="23" t="n"/>
      <c r="C213" s="23" t="n"/>
      <c r="D213" s="23" t="n"/>
      <c r="E213" s="23" t="n"/>
      <c r="F213" s="23" t="n"/>
      <c r="G213" s="23" t="n"/>
      <c r="H213" s="24" t="n"/>
      <c r="I213" s="23" t="n"/>
      <c r="J213" s="23" t="n"/>
      <c r="K213" s="23" t="n"/>
      <c r="L213" s="23" t="n"/>
      <c r="M213" s="23" t="n"/>
      <c r="N213" s="23" t="n"/>
      <c r="O213" s="23" t="n"/>
      <c r="P213" s="23" t="n"/>
      <c r="Q213" s="23" t="n"/>
      <c r="R213" s="23" t="n"/>
      <c r="S213" s="23" t="n"/>
      <c r="T213" s="23" t="n"/>
      <c r="U213" s="23" t="n"/>
      <c r="V213" s="23" t="n"/>
      <c r="W213" s="23" t="n"/>
      <c r="X213" s="23" t="n"/>
      <c r="Y213" s="25" t="n"/>
      <c r="Z213" s="25" t="n"/>
      <c r="AA213" s="23" t="n"/>
      <c r="AB213" s="25" t="n"/>
      <c r="AC213" s="23" t="n"/>
      <c r="AD213" s="25" t="n"/>
      <c r="AE213" s="23" t="n"/>
      <c r="AF213" s="25" t="n"/>
      <c r="AG213" s="25" t="n"/>
      <c r="AH213" s="23" t="n"/>
      <c r="AI213" s="23" t="n"/>
      <c r="AJ213" s="26">
        <f>IF(I213="","",I213&amp;"|"&amp;R213)</f>
        <v/>
      </c>
      <c r="AK213" s="26">
        <f>IF(I213="","",IF(ISNA(MATCH(O213,Kampanyalar!$A$2:$A$150,0)),"Hayır - Kampanyalar'da Yok","Evet"))</f>
        <v/>
      </c>
      <c r="AL213" s="27">
        <f>IF(I213="","",IFERROR(INDEX(Kampanyalar!$E$2:$E$150,MATCH(O213,Kampanyalar!$A$2:$A$150,0)),""))</f>
        <v/>
      </c>
      <c r="AM213" s="27">
        <f>IF(I213="","",IFERROR(INDEX(Kampanyalar!$F$2:$F$150,MATCH(O213,Kampanyalar!$A$2:$A$150,0)),""))</f>
        <v/>
      </c>
      <c r="AN213" s="27">
        <f>IF(I213="","",IFERROR(INDEX(Kampanyalar!$G$2:$G$150,MATCH(O213,Kampanyalar!$A$2:$A$150,0)),""))</f>
        <v/>
      </c>
      <c r="AO213" s="26">
        <f>IF(OR(I213="",AL213="",AM213=""),"",IF(AND(H213&gt;=AL213,H213&lt;=AM213),"Evet","HAYIR - Tarih Dışı"))</f>
        <v/>
      </c>
      <c r="AP213" s="28">
        <f>IF(I213="","",IFERROR(INDEX(Kampanyalar!$H$2:$H$150,MATCH(O213,Kampanyalar!$A$2:$A$150,0)),""))</f>
        <v/>
      </c>
      <c r="AQ213" s="28">
        <f>IF(I213="","",IF(ISNUMBER(AP213),AP213,AD213))</f>
        <v/>
      </c>
      <c r="AR213" s="26">
        <f>IF(I213="","",IF(Parametreler!$C$7="Evet","Kural A - Hemen Ödeme (Stok Mutabakatlı)","Kural B - Nakliye/Montaj Sonrası Ödeme"))</f>
        <v/>
      </c>
    </row>
    <row r="214">
      <c r="A214" s="23" t="n"/>
      <c r="B214" s="23" t="n"/>
      <c r="C214" s="23" t="n"/>
      <c r="D214" s="23" t="n"/>
      <c r="E214" s="23" t="n"/>
      <c r="F214" s="23" t="n"/>
      <c r="G214" s="23" t="n"/>
      <c r="H214" s="24" t="n"/>
      <c r="I214" s="23" t="n"/>
      <c r="J214" s="23" t="n"/>
      <c r="K214" s="23" t="n"/>
      <c r="L214" s="23" t="n"/>
      <c r="M214" s="23" t="n"/>
      <c r="N214" s="23" t="n"/>
      <c r="O214" s="23" t="n"/>
      <c r="P214" s="23" t="n"/>
      <c r="Q214" s="23" t="n"/>
      <c r="R214" s="23" t="n"/>
      <c r="S214" s="23" t="n"/>
      <c r="T214" s="23" t="n"/>
      <c r="U214" s="23" t="n"/>
      <c r="V214" s="23" t="n"/>
      <c r="W214" s="23" t="n"/>
      <c r="X214" s="23" t="n"/>
      <c r="Y214" s="25" t="n"/>
      <c r="Z214" s="25" t="n"/>
      <c r="AA214" s="23" t="n"/>
      <c r="AB214" s="25" t="n"/>
      <c r="AC214" s="23" t="n"/>
      <c r="AD214" s="25" t="n"/>
      <c r="AE214" s="23" t="n"/>
      <c r="AF214" s="25" t="n"/>
      <c r="AG214" s="25" t="n"/>
      <c r="AH214" s="23" t="n"/>
      <c r="AI214" s="23" t="n"/>
      <c r="AJ214" s="26">
        <f>IF(I214="","",I214&amp;"|"&amp;R214)</f>
        <v/>
      </c>
      <c r="AK214" s="26">
        <f>IF(I214="","",IF(ISNA(MATCH(O214,Kampanyalar!$A$2:$A$150,0)),"Hayır - Kampanyalar'da Yok","Evet"))</f>
        <v/>
      </c>
      <c r="AL214" s="27">
        <f>IF(I214="","",IFERROR(INDEX(Kampanyalar!$E$2:$E$150,MATCH(O214,Kampanyalar!$A$2:$A$150,0)),""))</f>
        <v/>
      </c>
      <c r="AM214" s="27">
        <f>IF(I214="","",IFERROR(INDEX(Kampanyalar!$F$2:$F$150,MATCH(O214,Kampanyalar!$A$2:$A$150,0)),""))</f>
        <v/>
      </c>
      <c r="AN214" s="27">
        <f>IF(I214="","",IFERROR(INDEX(Kampanyalar!$G$2:$G$150,MATCH(O214,Kampanyalar!$A$2:$A$150,0)),""))</f>
        <v/>
      </c>
      <c r="AO214" s="26">
        <f>IF(OR(I214="",AL214="",AM214=""),"",IF(AND(H214&gt;=AL214,H214&lt;=AM214),"Evet","HAYIR - Tarih Dışı"))</f>
        <v/>
      </c>
      <c r="AP214" s="28">
        <f>IF(I214="","",IFERROR(INDEX(Kampanyalar!$H$2:$H$150,MATCH(O214,Kampanyalar!$A$2:$A$150,0)),""))</f>
        <v/>
      </c>
      <c r="AQ214" s="28">
        <f>IF(I214="","",IF(ISNUMBER(AP214),AP214,AD214))</f>
        <v/>
      </c>
      <c r="AR214" s="26">
        <f>IF(I214="","",IF(Parametreler!$C$7="Evet","Kural A - Hemen Ödeme (Stok Mutabakatlı)","Kural B - Nakliye/Montaj Sonrası Ödeme"))</f>
        <v/>
      </c>
    </row>
    <row r="215">
      <c r="A215" s="23" t="n"/>
      <c r="B215" s="23" t="n"/>
      <c r="C215" s="23" t="n"/>
      <c r="D215" s="23" t="n"/>
      <c r="E215" s="23" t="n"/>
      <c r="F215" s="23" t="n"/>
      <c r="G215" s="23" t="n"/>
      <c r="H215" s="24" t="n"/>
      <c r="I215" s="23" t="n"/>
      <c r="J215" s="23" t="n"/>
      <c r="K215" s="23" t="n"/>
      <c r="L215" s="23" t="n"/>
      <c r="M215" s="23" t="n"/>
      <c r="N215" s="23" t="n"/>
      <c r="O215" s="23" t="n"/>
      <c r="P215" s="23" t="n"/>
      <c r="Q215" s="23" t="n"/>
      <c r="R215" s="23" t="n"/>
      <c r="S215" s="23" t="n"/>
      <c r="T215" s="23" t="n"/>
      <c r="U215" s="23" t="n"/>
      <c r="V215" s="23" t="n"/>
      <c r="W215" s="23" t="n"/>
      <c r="X215" s="23" t="n"/>
      <c r="Y215" s="25" t="n"/>
      <c r="Z215" s="25" t="n"/>
      <c r="AA215" s="23" t="n"/>
      <c r="AB215" s="25" t="n"/>
      <c r="AC215" s="23" t="n"/>
      <c r="AD215" s="25" t="n"/>
      <c r="AE215" s="23" t="n"/>
      <c r="AF215" s="25" t="n"/>
      <c r="AG215" s="25" t="n"/>
      <c r="AH215" s="23" t="n"/>
      <c r="AI215" s="23" t="n"/>
      <c r="AJ215" s="26">
        <f>IF(I215="","",I215&amp;"|"&amp;R215)</f>
        <v/>
      </c>
      <c r="AK215" s="26">
        <f>IF(I215="","",IF(ISNA(MATCH(O215,Kampanyalar!$A$2:$A$150,0)),"Hayır - Kampanyalar'da Yok","Evet"))</f>
        <v/>
      </c>
      <c r="AL215" s="27">
        <f>IF(I215="","",IFERROR(INDEX(Kampanyalar!$E$2:$E$150,MATCH(O215,Kampanyalar!$A$2:$A$150,0)),""))</f>
        <v/>
      </c>
      <c r="AM215" s="27">
        <f>IF(I215="","",IFERROR(INDEX(Kampanyalar!$F$2:$F$150,MATCH(O215,Kampanyalar!$A$2:$A$150,0)),""))</f>
        <v/>
      </c>
      <c r="AN215" s="27">
        <f>IF(I215="","",IFERROR(INDEX(Kampanyalar!$G$2:$G$150,MATCH(O215,Kampanyalar!$A$2:$A$150,0)),""))</f>
        <v/>
      </c>
      <c r="AO215" s="26">
        <f>IF(OR(I215="",AL215="",AM215=""),"",IF(AND(H215&gt;=AL215,H215&lt;=AM215),"Evet","HAYIR - Tarih Dışı"))</f>
        <v/>
      </c>
      <c r="AP215" s="28">
        <f>IF(I215="","",IFERROR(INDEX(Kampanyalar!$H$2:$H$150,MATCH(O215,Kampanyalar!$A$2:$A$150,0)),""))</f>
        <v/>
      </c>
      <c r="AQ215" s="28">
        <f>IF(I215="","",IF(ISNUMBER(AP215),AP215,AD215))</f>
        <v/>
      </c>
      <c r="AR215" s="26">
        <f>IF(I215="","",IF(Parametreler!$C$7="Evet","Kural A - Hemen Ödeme (Stok Mutabakatlı)","Kural B - Nakliye/Montaj Sonrası Ödeme"))</f>
        <v/>
      </c>
    </row>
    <row r="216">
      <c r="A216" s="23" t="n"/>
      <c r="B216" s="23" t="n"/>
      <c r="C216" s="23" t="n"/>
      <c r="D216" s="23" t="n"/>
      <c r="E216" s="23" t="n"/>
      <c r="F216" s="23" t="n"/>
      <c r="G216" s="23" t="n"/>
      <c r="H216" s="24" t="n"/>
      <c r="I216" s="23" t="n"/>
      <c r="J216" s="23" t="n"/>
      <c r="K216" s="23" t="n"/>
      <c r="L216" s="23" t="n"/>
      <c r="M216" s="23" t="n"/>
      <c r="N216" s="23" t="n"/>
      <c r="O216" s="23" t="n"/>
      <c r="P216" s="23" t="n"/>
      <c r="Q216" s="23" t="n"/>
      <c r="R216" s="23" t="n"/>
      <c r="S216" s="23" t="n"/>
      <c r="T216" s="23" t="n"/>
      <c r="U216" s="23" t="n"/>
      <c r="V216" s="23" t="n"/>
      <c r="W216" s="23" t="n"/>
      <c r="X216" s="23" t="n"/>
      <c r="Y216" s="25" t="n"/>
      <c r="Z216" s="25" t="n"/>
      <c r="AA216" s="23" t="n"/>
      <c r="AB216" s="25" t="n"/>
      <c r="AC216" s="23" t="n"/>
      <c r="AD216" s="25" t="n"/>
      <c r="AE216" s="23" t="n"/>
      <c r="AF216" s="25" t="n"/>
      <c r="AG216" s="25" t="n"/>
      <c r="AH216" s="23" t="n"/>
      <c r="AI216" s="23" t="n"/>
      <c r="AJ216" s="26">
        <f>IF(I216="","",I216&amp;"|"&amp;R216)</f>
        <v/>
      </c>
      <c r="AK216" s="26">
        <f>IF(I216="","",IF(ISNA(MATCH(O216,Kampanyalar!$A$2:$A$150,0)),"Hayır - Kampanyalar'da Yok","Evet"))</f>
        <v/>
      </c>
      <c r="AL216" s="27">
        <f>IF(I216="","",IFERROR(INDEX(Kampanyalar!$E$2:$E$150,MATCH(O216,Kampanyalar!$A$2:$A$150,0)),""))</f>
        <v/>
      </c>
      <c r="AM216" s="27">
        <f>IF(I216="","",IFERROR(INDEX(Kampanyalar!$F$2:$F$150,MATCH(O216,Kampanyalar!$A$2:$A$150,0)),""))</f>
        <v/>
      </c>
      <c r="AN216" s="27">
        <f>IF(I216="","",IFERROR(INDEX(Kampanyalar!$G$2:$G$150,MATCH(O216,Kampanyalar!$A$2:$A$150,0)),""))</f>
        <v/>
      </c>
      <c r="AO216" s="26">
        <f>IF(OR(I216="",AL216="",AM216=""),"",IF(AND(H216&gt;=AL216,H216&lt;=AM216),"Evet","HAYIR - Tarih Dışı"))</f>
        <v/>
      </c>
      <c r="AP216" s="28">
        <f>IF(I216="","",IFERROR(INDEX(Kampanyalar!$H$2:$H$150,MATCH(O216,Kampanyalar!$A$2:$A$150,0)),""))</f>
        <v/>
      </c>
      <c r="AQ216" s="28">
        <f>IF(I216="","",IF(ISNUMBER(AP216),AP216,AD216))</f>
        <v/>
      </c>
      <c r="AR216" s="26">
        <f>IF(I216="","",IF(Parametreler!$C$7="Evet","Kural A - Hemen Ödeme (Stok Mutabakatlı)","Kural B - Nakliye/Montaj Sonrası Ödeme"))</f>
        <v/>
      </c>
    </row>
    <row r="217">
      <c r="A217" s="23" t="n"/>
      <c r="B217" s="23" t="n"/>
      <c r="C217" s="23" t="n"/>
      <c r="D217" s="23" t="n"/>
      <c r="E217" s="23" t="n"/>
      <c r="F217" s="23" t="n"/>
      <c r="G217" s="23" t="n"/>
      <c r="H217" s="24" t="n"/>
      <c r="I217" s="23" t="n"/>
      <c r="J217" s="23" t="n"/>
      <c r="K217" s="23" t="n"/>
      <c r="L217" s="23" t="n"/>
      <c r="M217" s="23" t="n"/>
      <c r="N217" s="23" t="n"/>
      <c r="O217" s="23" t="n"/>
      <c r="P217" s="23" t="n"/>
      <c r="Q217" s="23" t="n"/>
      <c r="R217" s="23" t="n"/>
      <c r="S217" s="23" t="n"/>
      <c r="T217" s="23" t="n"/>
      <c r="U217" s="23" t="n"/>
      <c r="V217" s="23" t="n"/>
      <c r="W217" s="23" t="n"/>
      <c r="X217" s="23" t="n"/>
      <c r="Y217" s="25" t="n"/>
      <c r="Z217" s="25" t="n"/>
      <c r="AA217" s="23" t="n"/>
      <c r="AB217" s="25" t="n"/>
      <c r="AC217" s="23" t="n"/>
      <c r="AD217" s="25" t="n"/>
      <c r="AE217" s="23" t="n"/>
      <c r="AF217" s="25" t="n"/>
      <c r="AG217" s="25" t="n"/>
      <c r="AH217" s="23" t="n"/>
      <c r="AI217" s="23" t="n"/>
      <c r="AJ217" s="26">
        <f>IF(I217="","",I217&amp;"|"&amp;R217)</f>
        <v/>
      </c>
      <c r="AK217" s="26">
        <f>IF(I217="","",IF(ISNA(MATCH(O217,Kampanyalar!$A$2:$A$150,0)),"Hayır - Kampanyalar'da Yok","Evet"))</f>
        <v/>
      </c>
      <c r="AL217" s="27">
        <f>IF(I217="","",IFERROR(INDEX(Kampanyalar!$E$2:$E$150,MATCH(O217,Kampanyalar!$A$2:$A$150,0)),""))</f>
        <v/>
      </c>
      <c r="AM217" s="27">
        <f>IF(I217="","",IFERROR(INDEX(Kampanyalar!$F$2:$F$150,MATCH(O217,Kampanyalar!$A$2:$A$150,0)),""))</f>
        <v/>
      </c>
      <c r="AN217" s="27">
        <f>IF(I217="","",IFERROR(INDEX(Kampanyalar!$G$2:$G$150,MATCH(O217,Kampanyalar!$A$2:$A$150,0)),""))</f>
        <v/>
      </c>
      <c r="AO217" s="26">
        <f>IF(OR(I217="",AL217="",AM217=""),"",IF(AND(H217&gt;=AL217,H217&lt;=AM217),"Evet","HAYIR - Tarih Dışı"))</f>
        <v/>
      </c>
      <c r="AP217" s="28">
        <f>IF(I217="","",IFERROR(INDEX(Kampanyalar!$H$2:$H$150,MATCH(O217,Kampanyalar!$A$2:$A$150,0)),""))</f>
        <v/>
      </c>
      <c r="AQ217" s="28">
        <f>IF(I217="","",IF(ISNUMBER(AP217),AP217,AD217))</f>
        <v/>
      </c>
      <c r="AR217" s="26">
        <f>IF(I217="","",IF(Parametreler!$C$7="Evet","Kural A - Hemen Ödeme (Stok Mutabakatlı)","Kural B - Nakliye/Montaj Sonrası Ödeme"))</f>
        <v/>
      </c>
    </row>
    <row r="218">
      <c r="A218" s="23" t="n"/>
      <c r="B218" s="23" t="n"/>
      <c r="C218" s="23" t="n"/>
      <c r="D218" s="23" t="n"/>
      <c r="E218" s="23" t="n"/>
      <c r="F218" s="23" t="n"/>
      <c r="G218" s="23" t="n"/>
      <c r="H218" s="24" t="n"/>
      <c r="I218" s="23" t="n"/>
      <c r="J218" s="23" t="n"/>
      <c r="K218" s="23" t="n"/>
      <c r="L218" s="23" t="n"/>
      <c r="M218" s="23" t="n"/>
      <c r="N218" s="23" t="n"/>
      <c r="O218" s="23" t="n"/>
      <c r="P218" s="23" t="n"/>
      <c r="Q218" s="23" t="n"/>
      <c r="R218" s="23" t="n"/>
      <c r="S218" s="23" t="n"/>
      <c r="T218" s="23" t="n"/>
      <c r="U218" s="23" t="n"/>
      <c r="V218" s="23" t="n"/>
      <c r="W218" s="23" t="n"/>
      <c r="X218" s="23" t="n"/>
      <c r="Y218" s="25" t="n"/>
      <c r="Z218" s="25" t="n"/>
      <c r="AA218" s="23" t="n"/>
      <c r="AB218" s="25" t="n"/>
      <c r="AC218" s="23" t="n"/>
      <c r="AD218" s="25" t="n"/>
      <c r="AE218" s="23" t="n"/>
      <c r="AF218" s="25" t="n"/>
      <c r="AG218" s="25" t="n"/>
      <c r="AH218" s="23" t="n"/>
      <c r="AI218" s="23" t="n"/>
      <c r="AJ218" s="26">
        <f>IF(I218="","",I218&amp;"|"&amp;R218)</f>
        <v/>
      </c>
      <c r="AK218" s="26">
        <f>IF(I218="","",IF(ISNA(MATCH(O218,Kampanyalar!$A$2:$A$150,0)),"Hayır - Kampanyalar'da Yok","Evet"))</f>
        <v/>
      </c>
      <c r="AL218" s="27">
        <f>IF(I218="","",IFERROR(INDEX(Kampanyalar!$E$2:$E$150,MATCH(O218,Kampanyalar!$A$2:$A$150,0)),""))</f>
        <v/>
      </c>
      <c r="AM218" s="27">
        <f>IF(I218="","",IFERROR(INDEX(Kampanyalar!$F$2:$F$150,MATCH(O218,Kampanyalar!$A$2:$A$150,0)),""))</f>
        <v/>
      </c>
      <c r="AN218" s="27">
        <f>IF(I218="","",IFERROR(INDEX(Kampanyalar!$G$2:$G$150,MATCH(O218,Kampanyalar!$A$2:$A$150,0)),""))</f>
        <v/>
      </c>
      <c r="AO218" s="26">
        <f>IF(OR(I218="",AL218="",AM218=""),"",IF(AND(H218&gt;=AL218,H218&lt;=AM218),"Evet","HAYIR - Tarih Dışı"))</f>
        <v/>
      </c>
      <c r="AP218" s="28">
        <f>IF(I218="","",IFERROR(INDEX(Kampanyalar!$H$2:$H$150,MATCH(O218,Kampanyalar!$A$2:$A$150,0)),""))</f>
        <v/>
      </c>
      <c r="AQ218" s="28">
        <f>IF(I218="","",IF(ISNUMBER(AP218),AP218,AD218))</f>
        <v/>
      </c>
      <c r="AR218" s="26">
        <f>IF(I218="","",IF(Parametreler!$C$7="Evet","Kural A - Hemen Ödeme (Stok Mutabakatlı)","Kural B - Nakliye/Montaj Sonrası Ödeme"))</f>
        <v/>
      </c>
    </row>
    <row r="219">
      <c r="A219" s="23" t="n"/>
      <c r="B219" s="23" t="n"/>
      <c r="C219" s="23" t="n"/>
      <c r="D219" s="23" t="n"/>
      <c r="E219" s="23" t="n"/>
      <c r="F219" s="23" t="n"/>
      <c r="G219" s="23" t="n"/>
      <c r="H219" s="24" t="n"/>
      <c r="I219" s="23" t="n"/>
      <c r="J219" s="23" t="n"/>
      <c r="K219" s="23" t="n"/>
      <c r="L219" s="23" t="n"/>
      <c r="M219" s="23" t="n"/>
      <c r="N219" s="23" t="n"/>
      <c r="O219" s="23" t="n"/>
      <c r="P219" s="23" t="n"/>
      <c r="Q219" s="23" t="n"/>
      <c r="R219" s="23" t="n"/>
      <c r="S219" s="23" t="n"/>
      <c r="T219" s="23" t="n"/>
      <c r="U219" s="23" t="n"/>
      <c r="V219" s="23" t="n"/>
      <c r="W219" s="23" t="n"/>
      <c r="X219" s="23" t="n"/>
      <c r="Y219" s="25" t="n"/>
      <c r="Z219" s="25" t="n"/>
      <c r="AA219" s="23" t="n"/>
      <c r="AB219" s="25" t="n"/>
      <c r="AC219" s="23" t="n"/>
      <c r="AD219" s="25" t="n"/>
      <c r="AE219" s="23" t="n"/>
      <c r="AF219" s="25" t="n"/>
      <c r="AG219" s="25" t="n"/>
      <c r="AH219" s="23" t="n"/>
      <c r="AI219" s="23" t="n"/>
      <c r="AJ219" s="26">
        <f>IF(I219="","",I219&amp;"|"&amp;R219)</f>
        <v/>
      </c>
      <c r="AK219" s="26">
        <f>IF(I219="","",IF(ISNA(MATCH(O219,Kampanyalar!$A$2:$A$150,0)),"Hayır - Kampanyalar'da Yok","Evet"))</f>
        <v/>
      </c>
      <c r="AL219" s="27">
        <f>IF(I219="","",IFERROR(INDEX(Kampanyalar!$E$2:$E$150,MATCH(O219,Kampanyalar!$A$2:$A$150,0)),""))</f>
        <v/>
      </c>
      <c r="AM219" s="27">
        <f>IF(I219="","",IFERROR(INDEX(Kampanyalar!$F$2:$F$150,MATCH(O219,Kampanyalar!$A$2:$A$150,0)),""))</f>
        <v/>
      </c>
      <c r="AN219" s="27">
        <f>IF(I219="","",IFERROR(INDEX(Kampanyalar!$G$2:$G$150,MATCH(O219,Kampanyalar!$A$2:$A$150,0)),""))</f>
        <v/>
      </c>
      <c r="AO219" s="26">
        <f>IF(OR(I219="",AL219="",AM219=""),"",IF(AND(H219&gt;=AL219,H219&lt;=AM219),"Evet","HAYIR - Tarih Dışı"))</f>
        <v/>
      </c>
      <c r="AP219" s="28">
        <f>IF(I219="","",IFERROR(INDEX(Kampanyalar!$H$2:$H$150,MATCH(O219,Kampanyalar!$A$2:$A$150,0)),""))</f>
        <v/>
      </c>
      <c r="AQ219" s="28">
        <f>IF(I219="","",IF(ISNUMBER(AP219),AP219,AD219))</f>
        <v/>
      </c>
      <c r="AR219" s="26">
        <f>IF(I219="","",IF(Parametreler!$C$7="Evet","Kural A - Hemen Ödeme (Stok Mutabakatlı)","Kural B - Nakliye/Montaj Sonrası Ödeme"))</f>
        <v/>
      </c>
    </row>
    <row r="220">
      <c r="A220" s="23" t="n"/>
      <c r="B220" s="23" t="n"/>
      <c r="C220" s="23" t="n"/>
      <c r="D220" s="23" t="n"/>
      <c r="E220" s="23" t="n"/>
      <c r="F220" s="23" t="n"/>
      <c r="G220" s="23" t="n"/>
      <c r="H220" s="24" t="n"/>
      <c r="I220" s="23" t="n"/>
      <c r="J220" s="23" t="n"/>
      <c r="K220" s="23" t="n"/>
      <c r="L220" s="23" t="n"/>
      <c r="M220" s="23" t="n"/>
      <c r="N220" s="23" t="n"/>
      <c r="O220" s="23" t="n"/>
      <c r="P220" s="23" t="n"/>
      <c r="Q220" s="23" t="n"/>
      <c r="R220" s="23" t="n"/>
      <c r="S220" s="23" t="n"/>
      <c r="T220" s="23" t="n"/>
      <c r="U220" s="23" t="n"/>
      <c r="V220" s="23" t="n"/>
      <c r="W220" s="23" t="n"/>
      <c r="X220" s="23" t="n"/>
      <c r="Y220" s="25" t="n"/>
      <c r="Z220" s="25" t="n"/>
      <c r="AA220" s="23" t="n"/>
      <c r="AB220" s="25" t="n"/>
      <c r="AC220" s="23" t="n"/>
      <c r="AD220" s="25" t="n"/>
      <c r="AE220" s="23" t="n"/>
      <c r="AF220" s="25" t="n"/>
      <c r="AG220" s="25" t="n"/>
      <c r="AH220" s="23" t="n"/>
      <c r="AI220" s="23" t="n"/>
      <c r="AJ220" s="26">
        <f>IF(I220="","",I220&amp;"|"&amp;R220)</f>
        <v/>
      </c>
      <c r="AK220" s="26">
        <f>IF(I220="","",IF(ISNA(MATCH(O220,Kampanyalar!$A$2:$A$150,0)),"Hayır - Kampanyalar'da Yok","Evet"))</f>
        <v/>
      </c>
      <c r="AL220" s="27">
        <f>IF(I220="","",IFERROR(INDEX(Kampanyalar!$E$2:$E$150,MATCH(O220,Kampanyalar!$A$2:$A$150,0)),""))</f>
        <v/>
      </c>
      <c r="AM220" s="27">
        <f>IF(I220="","",IFERROR(INDEX(Kampanyalar!$F$2:$F$150,MATCH(O220,Kampanyalar!$A$2:$A$150,0)),""))</f>
        <v/>
      </c>
      <c r="AN220" s="27">
        <f>IF(I220="","",IFERROR(INDEX(Kampanyalar!$G$2:$G$150,MATCH(O220,Kampanyalar!$A$2:$A$150,0)),""))</f>
        <v/>
      </c>
      <c r="AO220" s="26">
        <f>IF(OR(I220="",AL220="",AM220=""),"",IF(AND(H220&gt;=AL220,H220&lt;=AM220),"Evet","HAYIR - Tarih Dışı"))</f>
        <v/>
      </c>
      <c r="AP220" s="28">
        <f>IF(I220="","",IFERROR(INDEX(Kampanyalar!$H$2:$H$150,MATCH(O220,Kampanyalar!$A$2:$A$150,0)),""))</f>
        <v/>
      </c>
      <c r="AQ220" s="28">
        <f>IF(I220="","",IF(ISNUMBER(AP220),AP220,AD220))</f>
        <v/>
      </c>
      <c r="AR220" s="26">
        <f>IF(I220="","",IF(Parametreler!$C$7="Evet","Kural A - Hemen Ödeme (Stok Mutabakatlı)","Kural B - Nakliye/Montaj Sonrası Ödeme"))</f>
        <v/>
      </c>
    </row>
    <row r="221">
      <c r="A221" s="23" t="n"/>
      <c r="B221" s="23" t="n"/>
      <c r="C221" s="23" t="n"/>
      <c r="D221" s="23" t="n"/>
      <c r="E221" s="23" t="n"/>
      <c r="F221" s="23" t="n"/>
      <c r="G221" s="23" t="n"/>
      <c r="H221" s="24" t="n"/>
      <c r="I221" s="23" t="n"/>
      <c r="J221" s="23" t="n"/>
      <c r="K221" s="23" t="n"/>
      <c r="L221" s="23" t="n"/>
      <c r="M221" s="23" t="n"/>
      <c r="N221" s="23" t="n"/>
      <c r="O221" s="23" t="n"/>
      <c r="P221" s="23" t="n"/>
      <c r="Q221" s="23" t="n"/>
      <c r="R221" s="23" t="n"/>
      <c r="S221" s="23" t="n"/>
      <c r="T221" s="23" t="n"/>
      <c r="U221" s="23" t="n"/>
      <c r="V221" s="23" t="n"/>
      <c r="W221" s="23" t="n"/>
      <c r="X221" s="23" t="n"/>
      <c r="Y221" s="25" t="n"/>
      <c r="Z221" s="25" t="n"/>
      <c r="AA221" s="23" t="n"/>
      <c r="AB221" s="25" t="n"/>
      <c r="AC221" s="23" t="n"/>
      <c r="AD221" s="25" t="n"/>
      <c r="AE221" s="23" t="n"/>
      <c r="AF221" s="25" t="n"/>
      <c r="AG221" s="25" t="n"/>
      <c r="AH221" s="23" t="n"/>
      <c r="AI221" s="23" t="n"/>
      <c r="AJ221" s="26">
        <f>IF(I221="","",I221&amp;"|"&amp;R221)</f>
        <v/>
      </c>
      <c r="AK221" s="26">
        <f>IF(I221="","",IF(ISNA(MATCH(O221,Kampanyalar!$A$2:$A$150,0)),"Hayır - Kampanyalar'da Yok","Evet"))</f>
        <v/>
      </c>
      <c r="AL221" s="27">
        <f>IF(I221="","",IFERROR(INDEX(Kampanyalar!$E$2:$E$150,MATCH(O221,Kampanyalar!$A$2:$A$150,0)),""))</f>
        <v/>
      </c>
      <c r="AM221" s="27">
        <f>IF(I221="","",IFERROR(INDEX(Kampanyalar!$F$2:$F$150,MATCH(O221,Kampanyalar!$A$2:$A$150,0)),""))</f>
        <v/>
      </c>
      <c r="AN221" s="27">
        <f>IF(I221="","",IFERROR(INDEX(Kampanyalar!$G$2:$G$150,MATCH(O221,Kampanyalar!$A$2:$A$150,0)),""))</f>
        <v/>
      </c>
      <c r="AO221" s="26">
        <f>IF(OR(I221="",AL221="",AM221=""),"",IF(AND(H221&gt;=AL221,H221&lt;=AM221),"Evet","HAYIR - Tarih Dışı"))</f>
        <v/>
      </c>
      <c r="AP221" s="28">
        <f>IF(I221="","",IFERROR(INDEX(Kampanyalar!$H$2:$H$150,MATCH(O221,Kampanyalar!$A$2:$A$150,0)),""))</f>
        <v/>
      </c>
      <c r="AQ221" s="28">
        <f>IF(I221="","",IF(ISNUMBER(AP221),AP221,AD221))</f>
        <v/>
      </c>
      <c r="AR221" s="26">
        <f>IF(I221="","",IF(Parametreler!$C$7="Evet","Kural A - Hemen Ödeme (Stok Mutabakatlı)","Kural B - Nakliye/Montaj Sonrası Ödeme"))</f>
        <v/>
      </c>
    </row>
    <row r="222">
      <c r="A222" s="23" t="n"/>
      <c r="B222" s="23" t="n"/>
      <c r="C222" s="23" t="n"/>
      <c r="D222" s="23" t="n"/>
      <c r="E222" s="23" t="n"/>
      <c r="F222" s="23" t="n"/>
      <c r="G222" s="23" t="n"/>
      <c r="H222" s="24" t="n"/>
      <c r="I222" s="23" t="n"/>
      <c r="J222" s="23" t="n"/>
      <c r="K222" s="23" t="n"/>
      <c r="L222" s="23" t="n"/>
      <c r="M222" s="23" t="n"/>
      <c r="N222" s="23" t="n"/>
      <c r="O222" s="23" t="n"/>
      <c r="P222" s="23" t="n"/>
      <c r="Q222" s="23" t="n"/>
      <c r="R222" s="23" t="n"/>
      <c r="S222" s="23" t="n"/>
      <c r="T222" s="23" t="n"/>
      <c r="U222" s="23" t="n"/>
      <c r="V222" s="23" t="n"/>
      <c r="W222" s="23" t="n"/>
      <c r="X222" s="23" t="n"/>
      <c r="Y222" s="25" t="n"/>
      <c r="Z222" s="25" t="n"/>
      <c r="AA222" s="23" t="n"/>
      <c r="AB222" s="25" t="n"/>
      <c r="AC222" s="23" t="n"/>
      <c r="AD222" s="25" t="n"/>
      <c r="AE222" s="23" t="n"/>
      <c r="AF222" s="25" t="n"/>
      <c r="AG222" s="25" t="n"/>
      <c r="AH222" s="23" t="n"/>
      <c r="AI222" s="23" t="n"/>
      <c r="AJ222" s="26">
        <f>IF(I222="","",I222&amp;"|"&amp;R222)</f>
        <v/>
      </c>
      <c r="AK222" s="26">
        <f>IF(I222="","",IF(ISNA(MATCH(O222,Kampanyalar!$A$2:$A$150,0)),"Hayır - Kampanyalar'da Yok","Evet"))</f>
        <v/>
      </c>
      <c r="AL222" s="27">
        <f>IF(I222="","",IFERROR(INDEX(Kampanyalar!$E$2:$E$150,MATCH(O222,Kampanyalar!$A$2:$A$150,0)),""))</f>
        <v/>
      </c>
      <c r="AM222" s="27">
        <f>IF(I222="","",IFERROR(INDEX(Kampanyalar!$F$2:$F$150,MATCH(O222,Kampanyalar!$A$2:$A$150,0)),""))</f>
        <v/>
      </c>
      <c r="AN222" s="27">
        <f>IF(I222="","",IFERROR(INDEX(Kampanyalar!$G$2:$G$150,MATCH(O222,Kampanyalar!$A$2:$A$150,0)),""))</f>
        <v/>
      </c>
      <c r="AO222" s="26">
        <f>IF(OR(I222="",AL222="",AM222=""),"",IF(AND(H222&gt;=AL222,H222&lt;=AM222),"Evet","HAYIR - Tarih Dışı"))</f>
        <v/>
      </c>
      <c r="AP222" s="28">
        <f>IF(I222="","",IFERROR(INDEX(Kampanyalar!$H$2:$H$150,MATCH(O222,Kampanyalar!$A$2:$A$150,0)),""))</f>
        <v/>
      </c>
      <c r="AQ222" s="28">
        <f>IF(I222="","",IF(ISNUMBER(AP222),AP222,AD222))</f>
        <v/>
      </c>
      <c r="AR222" s="26">
        <f>IF(I222="","",IF(Parametreler!$C$7="Evet","Kural A - Hemen Ödeme (Stok Mutabakatlı)","Kural B - Nakliye/Montaj Sonrası Ödeme"))</f>
        <v/>
      </c>
    </row>
    <row r="223">
      <c r="A223" s="23" t="n"/>
      <c r="B223" s="23" t="n"/>
      <c r="C223" s="23" t="n"/>
      <c r="D223" s="23" t="n"/>
      <c r="E223" s="23" t="n"/>
      <c r="F223" s="23" t="n"/>
      <c r="G223" s="23" t="n"/>
      <c r="H223" s="24" t="n"/>
      <c r="I223" s="23" t="n"/>
      <c r="J223" s="23" t="n"/>
      <c r="K223" s="23" t="n"/>
      <c r="L223" s="23" t="n"/>
      <c r="M223" s="23" t="n"/>
      <c r="N223" s="23" t="n"/>
      <c r="O223" s="23" t="n"/>
      <c r="P223" s="23" t="n"/>
      <c r="Q223" s="23" t="n"/>
      <c r="R223" s="23" t="n"/>
      <c r="S223" s="23" t="n"/>
      <c r="T223" s="23" t="n"/>
      <c r="U223" s="23" t="n"/>
      <c r="V223" s="23" t="n"/>
      <c r="W223" s="23" t="n"/>
      <c r="X223" s="23" t="n"/>
      <c r="Y223" s="25" t="n"/>
      <c r="Z223" s="25" t="n"/>
      <c r="AA223" s="23" t="n"/>
      <c r="AB223" s="25" t="n"/>
      <c r="AC223" s="23" t="n"/>
      <c r="AD223" s="25" t="n"/>
      <c r="AE223" s="23" t="n"/>
      <c r="AF223" s="25" t="n"/>
      <c r="AG223" s="25" t="n"/>
      <c r="AH223" s="23" t="n"/>
      <c r="AI223" s="23" t="n"/>
      <c r="AJ223" s="26">
        <f>IF(I223="","",I223&amp;"|"&amp;R223)</f>
        <v/>
      </c>
      <c r="AK223" s="26">
        <f>IF(I223="","",IF(ISNA(MATCH(O223,Kampanyalar!$A$2:$A$150,0)),"Hayır - Kampanyalar'da Yok","Evet"))</f>
        <v/>
      </c>
      <c r="AL223" s="27">
        <f>IF(I223="","",IFERROR(INDEX(Kampanyalar!$E$2:$E$150,MATCH(O223,Kampanyalar!$A$2:$A$150,0)),""))</f>
        <v/>
      </c>
      <c r="AM223" s="27">
        <f>IF(I223="","",IFERROR(INDEX(Kampanyalar!$F$2:$F$150,MATCH(O223,Kampanyalar!$A$2:$A$150,0)),""))</f>
        <v/>
      </c>
      <c r="AN223" s="27">
        <f>IF(I223="","",IFERROR(INDEX(Kampanyalar!$G$2:$G$150,MATCH(O223,Kampanyalar!$A$2:$A$150,0)),""))</f>
        <v/>
      </c>
      <c r="AO223" s="26">
        <f>IF(OR(I223="",AL223="",AM223=""),"",IF(AND(H223&gt;=AL223,H223&lt;=AM223),"Evet","HAYIR - Tarih Dışı"))</f>
        <v/>
      </c>
      <c r="AP223" s="28">
        <f>IF(I223="","",IFERROR(INDEX(Kampanyalar!$H$2:$H$150,MATCH(O223,Kampanyalar!$A$2:$A$150,0)),""))</f>
        <v/>
      </c>
      <c r="AQ223" s="28">
        <f>IF(I223="","",IF(ISNUMBER(AP223),AP223,AD223))</f>
        <v/>
      </c>
      <c r="AR223" s="26">
        <f>IF(I223="","",IF(Parametreler!$C$7="Evet","Kural A - Hemen Ödeme (Stok Mutabakatlı)","Kural B - Nakliye/Montaj Sonrası Ödeme"))</f>
        <v/>
      </c>
    </row>
    <row r="224">
      <c r="A224" s="23" t="n"/>
      <c r="B224" s="23" t="n"/>
      <c r="C224" s="23" t="n"/>
      <c r="D224" s="23" t="n"/>
      <c r="E224" s="23" t="n"/>
      <c r="F224" s="23" t="n"/>
      <c r="G224" s="23" t="n"/>
      <c r="H224" s="24" t="n"/>
      <c r="I224" s="23" t="n"/>
      <c r="J224" s="23" t="n"/>
      <c r="K224" s="23" t="n"/>
      <c r="L224" s="23" t="n"/>
      <c r="M224" s="23" t="n"/>
      <c r="N224" s="23" t="n"/>
      <c r="O224" s="23" t="n"/>
      <c r="P224" s="23" t="n"/>
      <c r="Q224" s="23" t="n"/>
      <c r="R224" s="23" t="n"/>
      <c r="S224" s="23" t="n"/>
      <c r="T224" s="23" t="n"/>
      <c r="U224" s="23" t="n"/>
      <c r="V224" s="23" t="n"/>
      <c r="W224" s="23" t="n"/>
      <c r="X224" s="23" t="n"/>
      <c r="Y224" s="25" t="n"/>
      <c r="Z224" s="25" t="n"/>
      <c r="AA224" s="23" t="n"/>
      <c r="AB224" s="25" t="n"/>
      <c r="AC224" s="23" t="n"/>
      <c r="AD224" s="25" t="n"/>
      <c r="AE224" s="23" t="n"/>
      <c r="AF224" s="25" t="n"/>
      <c r="AG224" s="25" t="n"/>
      <c r="AH224" s="23" t="n"/>
      <c r="AI224" s="23" t="n"/>
      <c r="AJ224" s="26">
        <f>IF(I224="","",I224&amp;"|"&amp;R224)</f>
        <v/>
      </c>
      <c r="AK224" s="26">
        <f>IF(I224="","",IF(ISNA(MATCH(O224,Kampanyalar!$A$2:$A$150,0)),"Hayır - Kampanyalar'da Yok","Evet"))</f>
        <v/>
      </c>
      <c r="AL224" s="27">
        <f>IF(I224="","",IFERROR(INDEX(Kampanyalar!$E$2:$E$150,MATCH(O224,Kampanyalar!$A$2:$A$150,0)),""))</f>
        <v/>
      </c>
      <c r="AM224" s="27">
        <f>IF(I224="","",IFERROR(INDEX(Kampanyalar!$F$2:$F$150,MATCH(O224,Kampanyalar!$A$2:$A$150,0)),""))</f>
        <v/>
      </c>
      <c r="AN224" s="27">
        <f>IF(I224="","",IFERROR(INDEX(Kampanyalar!$G$2:$G$150,MATCH(O224,Kampanyalar!$A$2:$A$150,0)),""))</f>
        <v/>
      </c>
      <c r="AO224" s="26">
        <f>IF(OR(I224="",AL224="",AM224=""),"",IF(AND(H224&gt;=AL224,H224&lt;=AM224),"Evet","HAYIR - Tarih Dışı"))</f>
        <v/>
      </c>
      <c r="AP224" s="28">
        <f>IF(I224="","",IFERROR(INDEX(Kampanyalar!$H$2:$H$150,MATCH(O224,Kampanyalar!$A$2:$A$150,0)),""))</f>
        <v/>
      </c>
      <c r="AQ224" s="28">
        <f>IF(I224="","",IF(ISNUMBER(AP224),AP224,AD224))</f>
        <v/>
      </c>
      <c r="AR224" s="26">
        <f>IF(I224="","",IF(Parametreler!$C$7="Evet","Kural A - Hemen Ödeme (Stok Mutabakatlı)","Kural B - Nakliye/Montaj Sonrası Ödeme"))</f>
        <v/>
      </c>
    </row>
    <row r="225">
      <c r="A225" s="23" t="n"/>
      <c r="B225" s="23" t="n"/>
      <c r="C225" s="23" t="n"/>
      <c r="D225" s="23" t="n"/>
      <c r="E225" s="23" t="n"/>
      <c r="F225" s="23" t="n"/>
      <c r="G225" s="23" t="n"/>
      <c r="H225" s="24" t="n"/>
      <c r="I225" s="23" t="n"/>
      <c r="J225" s="23" t="n"/>
      <c r="K225" s="23" t="n"/>
      <c r="L225" s="23" t="n"/>
      <c r="M225" s="23" t="n"/>
      <c r="N225" s="23" t="n"/>
      <c r="O225" s="23" t="n"/>
      <c r="P225" s="23" t="n"/>
      <c r="Q225" s="23" t="n"/>
      <c r="R225" s="23" t="n"/>
      <c r="S225" s="23" t="n"/>
      <c r="T225" s="23" t="n"/>
      <c r="U225" s="23" t="n"/>
      <c r="V225" s="23" t="n"/>
      <c r="W225" s="23" t="n"/>
      <c r="X225" s="23" t="n"/>
      <c r="Y225" s="25" t="n"/>
      <c r="Z225" s="25" t="n"/>
      <c r="AA225" s="23" t="n"/>
      <c r="AB225" s="25" t="n"/>
      <c r="AC225" s="23" t="n"/>
      <c r="AD225" s="25" t="n"/>
      <c r="AE225" s="23" t="n"/>
      <c r="AF225" s="25" t="n"/>
      <c r="AG225" s="25" t="n"/>
      <c r="AH225" s="23" t="n"/>
      <c r="AI225" s="23" t="n"/>
      <c r="AJ225" s="26">
        <f>IF(I225="","",I225&amp;"|"&amp;R225)</f>
        <v/>
      </c>
      <c r="AK225" s="26">
        <f>IF(I225="","",IF(ISNA(MATCH(O225,Kampanyalar!$A$2:$A$150,0)),"Hayır - Kampanyalar'da Yok","Evet"))</f>
        <v/>
      </c>
      <c r="AL225" s="27">
        <f>IF(I225="","",IFERROR(INDEX(Kampanyalar!$E$2:$E$150,MATCH(O225,Kampanyalar!$A$2:$A$150,0)),""))</f>
        <v/>
      </c>
      <c r="AM225" s="27">
        <f>IF(I225="","",IFERROR(INDEX(Kampanyalar!$F$2:$F$150,MATCH(O225,Kampanyalar!$A$2:$A$150,0)),""))</f>
        <v/>
      </c>
      <c r="AN225" s="27">
        <f>IF(I225="","",IFERROR(INDEX(Kampanyalar!$G$2:$G$150,MATCH(O225,Kampanyalar!$A$2:$A$150,0)),""))</f>
        <v/>
      </c>
      <c r="AO225" s="26">
        <f>IF(OR(I225="",AL225="",AM225=""),"",IF(AND(H225&gt;=AL225,H225&lt;=AM225),"Evet","HAYIR - Tarih Dışı"))</f>
        <v/>
      </c>
      <c r="AP225" s="28">
        <f>IF(I225="","",IFERROR(INDEX(Kampanyalar!$H$2:$H$150,MATCH(O225,Kampanyalar!$A$2:$A$150,0)),""))</f>
        <v/>
      </c>
      <c r="AQ225" s="28">
        <f>IF(I225="","",IF(ISNUMBER(AP225),AP225,AD225))</f>
        <v/>
      </c>
      <c r="AR225" s="26">
        <f>IF(I225="","",IF(Parametreler!$C$7="Evet","Kural A - Hemen Ödeme (Stok Mutabakatlı)","Kural B - Nakliye/Montaj Sonrası Ödeme"))</f>
        <v/>
      </c>
    </row>
    <row r="226">
      <c r="A226" s="23" t="n"/>
      <c r="B226" s="23" t="n"/>
      <c r="C226" s="23" t="n"/>
      <c r="D226" s="23" t="n"/>
      <c r="E226" s="23" t="n"/>
      <c r="F226" s="23" t="n"/>
      <c r="G226" s="23" t="n"/>
      <c r="H226" s="24" t="n"/>
      <c r="I226" s="23" t="n"/>
      <c r="J226" s="23" t="n"/>
      <c r="K226" s="23" t="n"/>
      <c r="L226" s="23" t="n"/>
      <c r="M226" s="23" t="n"/>
      <c r="N226" s="23" t="n"/>
      <c r="O226" s="23" t="n"/>
      <c r="P226" s="23" t="n"/>
      <c r="Q226" s="23" t="n"/>
      <c r="R226" s="23" t="n"/>
      <c r="S226" s="23" t="n"/>
      <c r="T226" s="23" t="n"/>
      <c r="U226" s="23" t="n"/>
      <c r="V226" s="23" t="n"/>
      <c r="W226" s="23" t="n"/>
      <c r="X226" s="23" t="n"/>
      <c r="Y226" s="25" t="n"/>
      <c r="Z226" s="25" t="n"/>
      <c r="AA226" s="23" t="n"/>
      <c r="AB226" s="25" t="n"/>
      <c r="AC226" s="23" t="n"/>
      <c r="AD226" s="25" t="n"/>
      <c r="AE226" s="23" t="n"/>
      <c r="AF226" s="25" t="n"/>
      <c r="AG226" s="25" t="n"/>
      <c r="AH226" s="23" t="n"/>
      <c r="AI226" s="23" t="n"/>
      <c r="AJ226" s="26">
        <f>IF(I226="","",I226&amp;"|"&amp;R226)</f>
        <v/>
      </c>
      <c r="AK226" s="26">
        <f>IF(I226="","",IF(ISNA(MATCH(O226,Kampanyalar!$A$2:$A$150,0)),"Hayır - Kampanyalar'da Yok","Evet"))</f>
        <v/>
      </c>
      <c r="AL226" s="27">
        <f>IF(I226="","",IFERROR(INDEX(Kampanyalar!$E$2:$E$150,MATCH(O226,Kampanyalar!$A$2:$A$150,0)),""))</f>
        <v/>
      </c>
      <c r="AM226" s="27">
        <f>IF(I226="","",IFERROR(INDEX(Kampanyalar!$F$2:$F$150,MATCH(O226,Kampanyalar!$A$2:$A$150,0)),""))</f>
        <v/>
      </c>
      <c r="AN226" s="27">
        <f>IF(I226="","",IFERROR(INDEX(Kampanyalar!$G$2:$G$150,MATCH(O226,Kampanyalar!$A$2:$A$150,0)),""))</f>
        <v/>
      </c>
      <c r="AO226" s="26">
        <f>IF(OR(I226="",AL226="",AM226=""),"",IF(AND(H226&gt;=AL226,H226&lt;=AM226),"Evet","HAYIR - Tarih Dışı"))</f>
        <v/>
      </c>
      <c r="AP226" s="28">
        <f>IF(I226="","",IFERROR(INDEX(Kampanyalar!$H$2:$H$150,MATCH(O226,Kampanyalar!$A$2:$A$150,0)),""))</f>
        <v/>
      </c>
      <c r="AQ226" s="28">
        <f>IF(I226="","",IF(ISNUMBER(AP226),AP226,AD226))</f>
        <v/>
      </c>
      <c r="AR226" s="26">
        <f>IF(I226="","",IF(Parametreler!$C$7="Evet","Kural A - Hemen Ödeme (Stok Mutabakatlı)","Kural B - Nakliye/Montaj Sonrası Ödeme"))</f>
        <v/>
      </c>
    </row>
    <row r="227">
      <c r="A227" s="23" t="n"/>
      <c r="B227" s="23" t="n"/>
      <c r="C227" s="23" t="n"/>
      <c r="D227" s="23" t="n"/>
      <c r="E227" s="23" t="n"/>
      <c r="F227" s="23" t="n"/>
      <c r="G227" s="23" t="n"/>
      <c r="H227" s="24" t="n"/>
      <c r="I227" s="23" t="n"/>
      <c r="J227" s="23" t="n"/>
      <c r="K227" s="23" t="n"/>
      <c r="L227" s="23" t="n"/>
      <c r="M227" s="23" t="n"/>
      <c r="N227" s="23" t="n"/>
      <c r="O227" s="23" t="n"/>
      <c r="P227" s="23" t="n"/>
      <c r="Q227" s="23" t="n"/>
      <c r="R227" s="23" t="n"/>
      <c r="S227" s="23" t="n"/>
      <c r="T227" s="23" t="n"/>
      <c r="U227" s="23" t="n"/>
      <c r="V227" s="23" t="n"/>
      <c r="W227" s="23" t="n"/>
      <c r="X227" s="23" t="n"/>
      <c r="Y227" s="25" t="n"/>
      <c r="Z227" s="25" t="n"/>
      <c r="AA227" s="23" t="n"/>
      <c r="AB227" s="25" t="n"/>
      <c r="AC227" s="23" t="n"/>
      <c r="AD227" s="25" t="n"/>
      <c r="AE227" s="23" t="n"/>
      <c r="AF227" s="25" t="n"/>
      <c r="AG227" s="25" t="n"/>
      <c r="AH227" s="23" t="n"/>
      <c r="AI227" s="23" t="n"/>
      <c r="AJ227" s="26">
        <f>IF(I227="","",I227&amp;"|"&amp;R227)</f>
        <v/>
      </c>
      <c r="AK227" s="26">
        <f>IF(I227="","",IF(ISNA(MATCH(O227,Kampanyalar!$A$2:$A$150,0)),"Hayır - Kampanyalar'da Yok","Evet"))</f>
        <v/>
      </c>
      <c r="AL227" s="27">
        <f>IF(I227="","",IFERROR(INDEX(Kampanyalar!$E$2:$E$150,MATCH(O227,Kampanyalar!$A$2:$A$150,0)),""))</f>
        <v/>
      </c>
      <c r="AM227" s="27">
        <f>IF(I227="","",IFERROR(INDEX(Kampanyalar!$F$2:$F$150,MATCH(O227,Kampanyalar!$A$2:$A$150,0)),""))</f>
        <v/>
      </c>
      <c r="AN227" s="27">
        <f>IF(I227="","",IFERROR(INDEX(Kampanyalar!$G$2:$G$150,MATCH(O227,Kampanyalar!$A$2:$A$150,0)),""))</f>
        <v/>
      </c>
      <c r="AO227" s="26">
        <f>IF(OR(I227="",AL227="",AM227=""),"",IF(AND(H227&gt;=AL227,H227&lt;=AM227),"Evet","HAYIR - Tarih Dışı"))</f>
        <v/>
      </c>
      <c r="AP227" s="28">
        <f>IF(I227="","",IFERROR(INDEX(Kampanyalar!$H$2:$H$150,MATCH(O227,Kampanyalar!$A$2:$A$150,0)),""))</f>
        <v/>
      </c>
      <c r="AQ227" s="28">
        <f>IF(I227="","",IF(ISNUMBER(AP227),AP227,AD227))</f>
        <v/>
      </c>
      <c r="AR227" s="26">
        <f>IF(I227="","",IF(Parametreler!$C$7="Evet","Kural A - Hemen Ödeme (Stok Mutabakatlı)","Kural B - Nakliye/Montaj Sonrası Ödeme"))</f>
        <v/>
      </c>
    </row>
    <row r="228">
      <c r="A228" s="23" t="n"/>
      <c r="B228" s="23" t="n"/>
      <c r="C228" s="23" t="n"/>
      <c r="D228" s="23" t="n"/>
      <c r="E228" s="23" t="n"/>
      <c r="F228" s="23" t="n"/>
      <c r="G228" s="23" t="n"/>
      <c r="H228" s="24" t="n"/>
      <c r="I228" s="23" t="n"/>
      <c r="J228" s="23" t="n"/>
      <c r="K228" s="23" t="n"/>
      <c r="L228" s="23" t="n"/>
      <c r="M228" s="23" t="n"/>
      <c r="N228" s="23" t="n"/>
      <c r="O228" s="23" t="n"/>
      <c r="P228" s="23" t="n"/>
      <c r="Q228" s="23" t="n"/>
      <c r="R228" s="23" t="n"/>
      <c r="S228" s="23" t="n"/>
      <c r="T228" s="23" t="n"/>
      <c r="U228" s="23" t="n"/>
      <c r="V228" s="23" t="n"/>
      <c r="W228" s="23" t="n"/>
      <c r="X228" s="23" t="n"/>
      <c r="Y228" s="25" t="n"/>
      <c r="Z228" s="25" t="n"/>
      <c r="AA228" s="23" t="n"/>
      <c r="AB228" s="25" t="n"/>
      <c r="AC228" s="23" t="n"/>
      <c r="AD228" s="25" t="n"/>
      <c r="AE228" s="23" t="n"/>
      <c r="AF228" s="25" t="n"/>
      <c r="AG228" s="25" t="n"/>
      <c r="AH228" s="23" t="n"/>
      <c r="AI228" s="23" t="n"/>
      <c r="AJ228" s="26">
        <f>IF(I228="","",I228&amp;"|"&amp;R228)</f>
        <v/>
      </c>
      <c r="AK228" s="26">
        <f>IF(I228="","",IF(ISNA(MATCH(O228,Kampanyalar!$A$2:$A$150,0)),"Hayır - Kampanyalar'da Yok","Evet"))</f>
        <v/>
      </c>
      <c r="AL228" s="27">
        <f>IF(I228="","",IFERROR(INDEX(Kampanyalar!$E$2:$E$150,MATCH(O228,Kampanyalar!$A$2:$A$150,0)),""))</f>
        <v/>
      </c>
      <c r="AM228" s="27">
        <f>IF(I228="","",IFERROR(INDEX(Kampanyalar!$F$2:$F$150,MATCH(O228,Kampanyalar!$A$2:$A$150,0)),""))</f>
        <v/>
      </c>
      <c r="AN228" s="27">
        <f>IF(I228="","",IFERROR(INDEX(Kampanyalar!$G$2:$G$150,MATCH(O228,Kampanyalar!$A$2:$A$150,0)),""))</f>
        <v/>
      </c>
      <c r="AO228" s="26">
        <f>IF(OR(I228="",AL228="",AM228=""),"",IF(AND(H228&gt;=AL228,H228&lt;=AM228),"Evet","HAYIR - Tarih Dışı"))</f>
        <v/>
      </c>
      <c r="AP228" s="28">
        <f>IF(I228="","",IFERROR(INDEX(Kampanyalar!$H$2:$H$150,MATCH(O228,Kampanyalar!$A$2:$A$150,0)),""))</f>
        <v/>
      </c>
      <c r="AQ228" s="28">
        <f>IF(I228="","",IF(ISNUMBER(AP228),AP228,AD228))</f>
        <v/>
      </c>
      <c r="AR228" s="26">
        <f>IF(I228="","",IF(Parametreler!$C$7="Evet","Kural A - Hemen Ödeme (Stok Mutabakatlı)","Kural B - Nakliye/Montaj Sonrası Ödeme"))</f>
        <v/>
      </c>
    </row>
    <row r="229">
      <c r="A229" s="23" t="n"/>
      <c r="B229" s="23" t="n"/>
      <c r="C229" s="23" t="n"/>
      <c r="D229" s="23" t="n"/>
      <c r="E229" s="23" t="n"/>
      <c r="F229" s="23" t="n"/>
      <c r="G229" s="23" t="n"/>
      <c r="H229" s="24" t="n"/>
      <c r="I229" s="23" t="n"/>
      <c r="J229" s="23" t="n"/>
      <c r="K229" s="23" t="n"/>
      <c r="L229" s="23" t="n"/>
      <c r="M229" s="23" t="n"/>
      <c r="N229" s="23" t="n"/>
      <c r="O229" s="23" t="n"/>
      <c r="P229" s="23" t="n"/>
      <c r="Q229" s="23" t="n"/>
      <c r="R229" s="23" t="n"/>
      <c r="S229" s="23" t="n"/>
      <c r="T229" s="23" t="n"/>
      <c r="U229" s="23" t="n"/>
      <c r="V229" s="23" t="n"/>
      <c r="W229" s="23" t="n"/>
      <c r="X229" s="23" t="n"/>
      <c r="Y229" s="25" t="n"/>
      <c r="Z229" s="25" t="n"/>
      <c r="AA229" s="23" t="n"/>
      <c r="AB229" s="25" t="n"/>
      <c r="AC229" s="23" t="n"/>
      <c r="AD229" s="25" t="n"/>
      <c r="AE229" s="23" t="n"/>
      <c r="AF229" s="25" t="n"/>
      <c r="AG229" s="25" t="n"/>
      <c r="AH229" s="23" t="n"/>
      <c r="AI229" s="23" t="n"/>
      <c r="AJ229" s="26">
        <f>IF(I229="","",I229&amp;"|"&amp;R229)</f>
        <v/>
      </c>
      <c r="AK229" s="26">
        <f>IF(I229="","",IF(ISNA(MATCH(O229,Kampanyalar!$A$2:$A$150,0)),"Hayır - Kampanyalar'da Yok","Evet"))</f>
        <v/>
      </c>
      <c r="AL229" s="27">
        <f>IF(I229="","",IFERROR(INDEX(Kampanyalar!$E$2:$E$150,MATCH(O229,Kampanyalar!$A$2:$A$150,0)),""))</f>
        <v/>
      </c>
      <c r="AM229" s="27">
        <f>IF(I229="","",IFERROR(INDEX(Kampanyalar!$F$2:$F$150,MATCH(O229,Kampanyalar!$A$2:$A$150,0)),""))</f>
        <v/>
      </c>
      <c r="AN229" s="27">
        <f>IF(I229="","",IFERROR(INDEX(Kampanyalar!$G$2:$G$150,MATCH(O229,Kampanyalar!$A$2:$A$150,0)),""))</f>
        <v/>
      </c>
      <c r="AO229" s="26">
        <f>IF(OR(I229="",AL229="",AM229=""),"",IF(AND(H229&gt;=AL229,H229&lt;=AM229),"Evet","HAYIR - Tarih Dışı"))</f>
        <v/>
      </c>
      <c r="AP229" s="28">
        <f>IF(I229="","",IFERROR(INDEX(Kampanyalar!$H$2:$H$150,MATCH(O229,Kampanyalar!$A$2:$A$150,0)),""))</f>
        <v/>
      </c>
      <c r="AQ229" s="28">
        <f>IF(I229="","",IF(ISNUMBER(AP229),AP229,AD229))</f>
        <v/>
      </c>
      <c r="AR229" s="26">
        <f>IF(I229="","",IF(Parametreler!$C$7="Evet","Kural A - Hemen Ödeme (Stok Mutabakatlı)","Kural B - Nakliye/Montaj Sonrası Ödeme"))</f>
        <v/>
      </c>
    </row>
    <row r="230">
      <c r="A230" s="23" t="n"/>
      <c r="B230" s="23" t="n"/>
      <c r="C230" s="23" t="n"/>
      <c r="D230" s="23" t="n"/>
      <c r="E230" s="23" t="n"/>
      <c r="F230" s="23" t="n"/>
      <c r="G230" s="23" t="n"/>
      <c r="H230" s="24" t="n"/>
      <c r="I230" s="23" t="n"/>
      <c r="J230" s="23" t="n"/>
      <c r="K230" s="23" t="n"/>
      <c r="L230" s="23" t="n"/>
      <c r="M230" s="23" t="n"/>
      <c r="N230" s="23" t="n"/>
      <c r="O230" s="23" t="n"/>
      <c r="P230" s="23" t="n"/>
      <c r="Q230" s="23" t="n"/>
      <c r="R230" s="23" t="n"/>
      <c r="S230" s="23" t="n"/>
      <c r="T230" s="23" t="n"/>
      <c r="U230" s="23" t="n"/>
      <c r="V230" s="23" t="n"/>
      <c r="W230" s="23" t="n"/>
      <c r="X230" s="23" t="n"/>
      <c r="Y230" s="25" t="n"/>
      <c r="Z230" s="25" t="n"/>
      <c r="AA230" s="23" t="n"/>
      <c r="AB230" s="25" t="n"/>
      <c r="AC230" s="23" t="n"/>
      <c r="AD230" s="25" t="n"/>
      <c r="AE230" s="23" t="n"/>
      <c r="AF230" s="25" t="n"/>
      <c r="AG230" s="25" t="n"/>
      <c r="AH230" s="23" t="n"/>
      <c r="AI230" s="23" t="n"/>
      <c r="AJ230" s="26">
        <f>IF(I230="","",I230&amp;"|"&amp;R230)</f>
        <v/>
      </c>
      <c r="AK230" s="26">
        <f>IF(I230="","",IF(ISNA(MATCH(O230,Kampanyalar!$A$2:$A$150,0)),"Hayır - Kampanyalar'da Yok","Evet"))</f>
        <v/>
      </c>
      <c r="AL230" s="27">
        <f>IF(I230="","",IFERROR(INDEX(Kampanyalar!$E$2:$E$150,MATCH(O230,Kampanyalar!$A$2:$A$150,0)),""))</f>
        <v/>
      </c>
      <c r="AM230" s="27">
        <f>IF(I230="","",IFERROR(INDEX(Kampanyalar!$F$2:$F$150,MATCH(O230,Kampanyalar!$A$2:$A$150,0)),""))</f>
        <v/>
      </c>
      <c r="AN230" s="27">
        <f>IF(I230="","",IFERROR(INDEX(Kampanyalar!$G$2:$G$150,MATCH(O230,Kampanyalar!$A$2:$A$150,0)),""))</f>
        <v/>
      </c>
      <c r="AO230" s="26">
        <f>IF(OR(I230="",AL230="",AM230=""),"",IF(AND(H230&gt;=AL230,H230&lt;=AM230),"Evet","HAYIR - Tarih Dışı"))</f>
        <v/>
      </c>
      <c r="AP230" s="28">
        <f>IF(I230="","",IFERROR(INDEX(Kampanyalar!$H$2:$H$150,MATCH(O230,Kampanyalar!$A$2:$A$150,0)),""))</f>
        <v/>
      </c>
      <c r="AQ230" s="28">
        <f>IF(I230="","",IF(ISNUMBER(AP230),AP230,AD230))</f>
        <v/>
      </c>
      <c r="AR230" s="26">
        <f>IF(I230="","",IF(Parametreler!$C$7="Evet","Kural A - Hemen Ödeme (Stok Mutabakatlı)","Kural B - Nakliye/Montaj Sonrası Ödeme"))</f>
        <v/>
      </c>
    </row>
    <row r="231">
      <c r="A231" s="23" t="n"/>
      <c r="B231" s="23" t="n"/>
      <c r="C231" s="23" t="n"/>
      <c r="D231" s="23" t="n"/>
      <c r="E231" s="23" t="n"/>
      <c r="F231" s="23" t="n"/>
      <c r="G231" s="23" t="n"/>
      <c r="H231" s="24" t="n"/>
      <c r="I231" s="23" t="n"/>
      <c r="J231" s="23" t="n"/>
      <c r="K231" s="23" t="n"/>
      <c r="L231" s="23" t="n"/>
      <c r="M231" s="23" t="n"/>
      <c r="N231" s="23" t="n"/>
      <c r="O231" s="23" t="n"/>
      <c r="P231" s="23" t="n"/>
      <c r="Q231" s="23" t="n"/>
      <c r="R231" s="23" t="n"/>
      <c r="S231" s="23" t="n"/>
      <c r="T231" s="23" t="n"/>
      <c r="U231" s="23" t="n"/>
      <c r="V231" s="23" t="n"/>
      <c r="W231" s="23" t="n"/>
      <c r="X231" s="23" t="n"/>
      <c r="Y231" s="25" t="n"/>
      <c r="Z231" s="25" t="n"/>
      <c r="AA231" s="23" t="n"/>
      <c r="AB231" s="25" t="n"/>
      <c r="AC231" s="23" t="n"/>
      <c r="AD231" s="25" t="n"/>
      <c r="AE231" s="23" t="n"/>
      <c r="AF231" s="25" t="n"/>
      <c r="AG231" s="25" t="n"/>
      <c r="AH231" s="23" t="n"/>
      <c r="AI231" s="23" t="n"/>
      <c r="AJ231" s="26">
        <f>IF(I231="","",I231&amp;"|"&amp;R231)</f>
        <v/>
      </c>
      <c r="AK231" s="26">
        <f>IF(I231="","",IF(ISNA(MATCH(O231,Kampanyalar!$A$2:$A$150,0)),"Hayır - Kampanyalar'da Yok","Evet"))</f>
        <v/>
      </c>
      <c r="AL231" s="27">
        <f>IF(I231="","",IFERROR(INDEX(Kampanyalar!$E$2:$E$150,MATCH(O231,Kampanyalar!$A$2:$A$150,0)),""))</f>
        <v/>
      </c>
      <c r="AM231" s="27">
        <f>IF(I231="","",IFERROR(INDEX(Kampanyalar!$F$2:$F$150,MATCH(O231,Kampanyalar!$A$2:$A$150,0)),""))</f>
        <v/>
      </c>
      <c r="AN231" s="27">
        <f>IF(I231="","",IFERROR(INDEX(Kampanyalar!$G$2:$G$150,MATCH(O231,Kampanyalar!$A$2:$A$150,0)),""))</f>
        <v/>
      </c>
      <c r="AO231" s="26">
        <f>IF(OR(I231="",AL231="",AM231=""),"",IF(AND(H231&gt;=AL231,H231&lt;=AM231),"Evet","HAYIR - Tarih Dışı"))</f>
        <v/>
      </c>
      <c r="AP231" s="28">
        <f>IF(I231="","",IFERROR(INDEX(Kampanyalar!$H$2:$H$150,MATCH(O231,Kampanyalar!$A$2:$A$150,0)),""))</f>
        <v/>
      </c>
      <c r="AQ231" s="28">
        <f>IF(I231="","",IF(ISNUMBER(AP231),AP231,AD231))</f>
        <v/>
      </c>
      <c r="AR231" s="26">
        <f>IF(I231="","",IF(Parametreler!$C$7="Evet","Kural A - Hemen Ödeme (Stok Mutabakatlı)","Kural B - Nakliye/Montaj Sonrası Ödeme"))</f>
        <v/>
      </c>
    </row>
    <row r="232">
      <c r="A232" s="23" t="n"/>
      <c r="B232" s="23" t="n"/>
      <c r="C232" s="23" t="n"/>
      <c r="D232" s="23" t="n"/>
      <c r="E232" s="23" t="n"/>
      <c r="F232" s="23" t="n"/>
      <c r="G232" s="23" t="n"/>
      <c r="H232" s="24" t="n"/>
      <c r="I232" s="23" t="n"/>
      <c r="J232" s="23" t="n"/>
      <c r="K232" s="23" t="n"/>
      <c r="L232" s="23" t="n"/>
      <c r="M232" s="23" t="n"/>
      <c r="N232" s="23" t="n"/>
      <c r="O232" s="23" t="n"/>
      <c r="P232" s="23" t="n"/>
      <c r="Q232" s="23" t="n"/>
      <c r="R232" s="23" t="n"/>
      <c r="S232" s="23" t="n"/>
      <c r="T232" s="23" t="n"/>
      <c r="U232" s="23" t="n"/>
      <c r="V232" s="23" t="n"/>
      <c r="W232" s="23" t="n"/>
      <c r="X232" s="23" t="n"/>
      <c r="Y232" s="25" t="n"/>
      <c r="Z232" s="25" t="n"/>
      <c r="AA232" s="23" t="n"/>
      <c r="AB232" s="25" t="n"/>
      <c r="AC232" s="23" t="n"/>
      <c r="AD232" s="25" t="n"/>
      <c r="AE232" s="23" t="n"/>
      <c r="AF232" s="25" t="n"/>
      <c r="AG232" s="25" t="n"/>
      <c r="AH232" s="23" t="n"/>
      <c r="AI232" s="23" t="n"/>
      <c r="AJ232" s="26">
        <f>IF(I232="","",I232&amp;"|"&amp;R232)</f>
        <v/>
      </c>
      <c r="AK232" s="26">
        <f>IF(I232="","",IF(ISNA(MATCH(O232,Kampanyalar!$A$2:$A$150,0)),"Hayır - Kampanyalar'da Yok","Evet"))</f>
        <v/>
      </c>
      <c r="AL232" s="27">
        <f>IF(I232="","",IFERROR(INDEX(Kampanyalar!$E$2:$E$150,MATCH(O232,Kampanyalar!$A$2:$A$150,0)),""))</f>
        <v/>
      </c>
      <c r="AM232" s="27">
        <f>IF(I232="","",IFERROR(INDEX(Kampanyalar!$F$2:$F$150,MATCH(O232,Kampanyalar!$A$2:$A$150,0)),""))</f>
        <v/>
      </c>
      <c r="AN232" s="27">
        <f>IF(I232="","",IFERROR(INDEX(Kampanyalar!$G$2:$G$150,MATCH(O232,Kampanyalar!$A$2:$A$150,0)),""))</f>
        <v/>
      </c>
      <c r="AO232" s="26">
        <f>IF(OR(I232="",AL232="",AM232=""),"",IF(AND(H232&gt;=AL232,H232&lt;=AM232),"Evet","HAYIR - Tarih Dışı"))</f>
        <v/>
      </c>
      <c r="AP232" s="28">
        <f>IF(I232="","",IFERROR(INDEX(Kampanyalar!$H$2:$H$150,MATCH(O232,Kampanyalar!$A$2:$A$150,0)),""))</f>
        <v/>
      </c>
      <c r="AQ232" s="28">
        <f>IF(I232="","",IF(ISNUMBER(AP232),AP232,AD232))</f>
        <v/>
      </c>
      <c r="AR232" s="26">
        <f>IF(I232="","",IF(Parametreler!$C$7="Evet","Kural A - Hemen Ödeme (Stok Mutabakatlı)","Kural B - Nakliye/Montaj Sonrası Ödeme"))</f>
        <v/>
      </c>
    </row>
    <row r="233">
      <c r="A233" s="23" t="n"/>
      <c r="B233" s="23" t="n"/>
      <c r="C233" s="23" t="n"/>
      <c r="D233" s="23" t="n"/>
      <c r="E233" s="23" t="n"/>
      <c r="F233" s="23" t="n"/>
      <c r="G233" s="23" t="n"/>
      <c r="H233" s="24" t="n"/>
      <c r="I233" s="23" t="n"/>
      <c r="J233" s="23" t="n"/>
      <c r="K233" s="23" t="n"/>
      <c r="L233" s="23" t="n"/>
      <c r="M233" s="23" t="n"/>
      <c r="N233" s="23" t="n"/>
      <c r="O233" s="23" t="n"/>
      <c r="P233" s="23" t="n"/>
      <c r="Q233" s="23" t="n"/>
      <c r="R233" s="23" t="n"/>
      <c r="S233" s="23" t="n"/>
      <c r="T233" s="23" t="n"/>
      <c r="U233" s="23" t="n"/>
      <c r="V233" s="23" t="n"/>
      <c r="W233" s="23" t="n"/>
      <c r="X233" s="23" t="n"/>
      <c r="Y233" s="25" t="n"/>
      <c r="Z233" s="25" t="n"/>
      <c r="AA233" s="23" t="n"/>
      <c r="AB233" s="25" t="n"/>
      <c r="AC233" s="23" t="n"/>
      <c r="AD233" s="25" t="n"/>
      <c r="AE233" s="23" t="n"/>
      <c r="AF233" s="25" t="n"/>
      <c r="AG233" s="25" t="n"/>
      <c r="AH233" s="23" t="n"/>
      <c r="AI233" s="23" t="n"/>
      <c r="AJ233" s="26">
        <f>IF(I233="","",I233&amp;"|"&amp;R233)</f>
        <v/>
      </c>
      <c r="AK233" s="26">
        <f>IF(I233="","",IF(ISNA(MATCH(O233,Kampanyalar!$A$2:$A$150,0)),"Hayır - Kampanyalar'da Yok","Evet"))</f>
        <v/>
      </c>
      <c r="AL233" s="27">
        <f>IF(I233="","",IFERROR(INDEX(Kampanyalar!$E$2:$E$150,MATCH(O233,Kampanyalar!$A$2:$A$150,0)),""))</f>
        <v/>
      </c>
      <c r="AM233" s="27">
        <f>IF(I233="","",IFERROR(INDEX(Kampanyalar!$F$2:$F$150,MATCH(O233,Kampanyalar!$A$2:$A$150,0)),""))</f>
        <v/>
      </c>
      <c r="AN233" s="27">
        <f>IF(I233="","",IFERROR(INDEX(Kampanyalar!$G$2:$G$150,MATCH(O233,Kampanyalar!$A$2:$A$150,0)),""))</f>
        <v/>
      </c>
      <c r="AO233" s="26">
        <f>IF(OR(I233="",AL233="",AM233=""),"",IF(AND(H233&gt;=AL233,H233&lt;=AM233),"Evet","HAYIR - Tarih Dışı"))</f>
        <v/>
      </c>
      <c r="AP233" s="28">
        <f>IF(I233="","",IFERROR(INDEX(Kampanyalar!$H$2:$H$150,MATCH(O233,Kampanyalar!$A$2:$A$150,0)),""))</f>
        <v/>
      </c>
      <c r="AQ233" s="28">
        <f>IF(I233="","",IF(ISNUMBER(AP233),AP233,AD233))</f>
        <v/>
      </c>
      <c r="AR233" s="26">
        <f>IF(I233="","",IF(Parametreler!$C$7="Evet","Kural A - Hemen Ödeme (Stok Mutabakatlı)","Kural B - Nakliye/Montaj Sonrası Ödeme"))</f>
        <v/>
      </c>
    </row>
    <row r="234">
      <c r="A234" s="23" t="n"/>
      <c r="B234" s="23" t="n"/>
      <c r="C234" s="23" t="n"/>
      <c r="D234" s="23" t="n"/>
      <c r="E234" s="23" t="n"/>
      <c r="F234" s="23" t="n"/>
      <c r="G234" s="23" t="n"/>
      <c r="H234" s="24" t="n"/>
      <c r="I234" s="23" t="n"/>
      <c r="J234" s="23" t="n"/>
      <c r="K234" s="23" t="n"/>
      <c r="L234" s="23" t="n"/>
      <c r="M234" s="23" t="n"/>
      <c r="N234" s="23" t="n"/>
      <c r="O234" s="23" t="n"/>
      <c r="P234" s="23" t="n"/>
      <c r="Q234" s="23" t="n"/>
      <c r="R234" s="23" t="n"/>
      <c r="S234" s="23" t="n"/>
      <c r="T234" s="23" t="n"/>
      <c r="U234" s="23" t="n"/>
      <c r="V234" s="23" t="n"/>
      <c r="W234" s="23" t="n"/>
      <c r="X234" s="23" t="n"/>
      <c r="Y234" s="25" t="n"/>
      <c r="Z234" s="25" t="n"/>
      <c r="AA234" s="23" t="n"/>
      <c r="AB234" s="25" t="n"/>
      <c r="AC234" s="23" t="n"/>
      <c r="AD234" s="25" t="n"/>
      <c r="AE234" s="23" t="n"/>
      <c r="AF234" s="25" t="n"/>
      <c r="AG234" s="25" t="n"/>
      <c r="AH234" s="23" t="n"/>
      <c r="AI234" s="23" t="n"/>
      <c r="AJ234" s="26">
        <f>IF(I234="","",I234&amp;"|"&amp;R234)</f>
        <v/>
      </c>
      <c r="AK234" s="26">
        <f>IF(I234="","",IF(ISNA(MATCH(O234,Kampanyalar!$A$2:$A$150,0)),"Hayır - Kampanyalar'da Yok","Evet"))</f>
        <v/>
      </c>
      <c r="AL234" s="27">
        <f>IF(I234="","",IFERROR(INDEX(Kampanyalar!$E$2:$E$150,MATCH(O234,Kampanyalar!$A$2:$A$150,0)),""))</f>
        <v/>
      </c>
      <c r="AM234" s="27">
        <f>IF(I234="","",IFERROR(INDEX(Kampanyalar!$F$2:$F$150,MATCH(O234,Kampanyalar!$A$2:$A$150,0)),""))</f>
        <v/>
      </c>
      <c r="AN234" s="27">
        <f>IF(I234="","",IFERROR(INDEX(Kampanyalar!$G$2:$G$150,MATCH(O234,Kampanyalar!$A$2:$A$150,0)),""))</f>
        <v/>
      </c>
      <c r="AO234" s="26">
        <f>IF(OR(I234="",AL234="",AM234=""),"",IF(AND(H234&gt;=AL234,H234&lt;=AM234),"Evet","HAYIR - Tarih Dışı"))</f>
        <v/>
      </c>
      <c r="AP234" s="28">
        <f>IF(I234="","",IFERROR(INDEX(Kampanyalar!$H$2:$H$150,MATCH(O234,Kampanyalar!$A$2:$A$150,0)),""))</f>
        <v/>
      </c>
      <c r="AQ234" s="28">
        <f>IF(I234="","",IF(ISNUMBER(AP234),AP234,AD234))</f>
        <v/>
      </c>
      <c r="AR234" s="26">
        <f>IF(I234="","",IF(Parametreler!$C$7="Evet","Kural A - Hemen Ödeme (Stok Mutabakatlı)","Kural B - Nakliye/Montaj Sonrası Ödeme"))</f>
        <v/>
      </c>
    </row>
    <row r="235">
      <c r="A235" s="23" t="n"/>
      <c r="B235" s="23" t="n"/>
      <c r="C235" s="23" t="n"/>
      <c r="D235" s="23" t="n"/>
      <c r="E235" s="23" t="n"/>
      <c r="F235" s="23" t="n"/>
      <c r="G235" s="23" t="n"/>
      <c r="H235" s="24" t="n"/>
      <c r="I235" s="23" t="n"/>
      <c r="J235" s="23" t="n"/>
      <c r="K235" s="23" t="n"/>
      <c r="L235" s="23" t="n"/>
      <c r="M235" s="23" t="n"/>
      <c r="N235" s="23" t="n"/>
      <c r="O235" s="23" t="n"/>
      <c r="P235" s="23" t="n"/>
      <c r="Q235" s="23" t="n"/>
      <c r="R235" s="23" t="n"/>
      <c r="S235" s="23" t="n"/>
      <c r="T235" s="23" t="n"/>
      <c r="U235" s="23" t="n"/>
      <c r="V235" s="23" t="n"/>
      <c r="W235" s="23" t="n"/>
      <c r="X235" s="23" t="n"/>
      <c r="Y235" s="25" t="n"/>
      <c r="Z235" s="25" t="n"/>
      <c r="AA235" s="23" t="n"/>
      <c r="AB235" s="25" t="n"/>
      <c r="AC235" s="23" t="n"/>
      <c r="AD235" s="25" t="n"/>
      <c r="AE235" s="23" t="n"/>
      <c r="AF235" s="25" t="n"/>
      <c r="AG235" s="25" t="n"/>
      <c r="AH235" s="23" t="n"/>
      <c r="AI235" s="23" t="n"/>
      <c r="AJ235" s="26">
        <f>IF(I235="","",I235&amp;"|"&amp;R235)</f>
        <v/>
      </c>
      <c r="AK235" s="26">
        <f>IF(I235="","",IF(ISNA(MATCH(O235,Kampanyalar!$A$2:$A$150,0)),"Hayır - Kampanyalar'da Yok","Evet"))</f>
        <v/>
      </c>
      <c r="AL235" s="27">
        <f>IF(I235="","",IFERROR(INDEX(Kampanyalar!$E$2:$E$150,MATCH(O235,Kampanyalar!$A$2:$A$150,0)),""))</f>
        <v/>
      </c>
      <c r="AM235" s="27">
        <f>IF(I235="","",IFERROR(INDEX(Kampanyalar!$F$2:$F$150,MATCH(O235,Kampanyalar!$A$2:$A$150,0)),""))</f>
        <v/>
      </c>
      <c r="AN235" s="27">
        <f>IF(I235="","",IFERROR(INDEX(Kampanyalar!$G$2:$G$150,MATCH(O235,Kampanyalar!$A$2:$A$150,0)),""))</f>
        <v/>
      </c>
      <c r="AO235" s="26">
        <f>IF(OR(I235="",AL235="",AM235=""),"",IF(AND(H235&gt;=AL235,H235&lt;=AM235),"Evet","HAYIR - Tarih Dışı"))</f>
        <v/>
      </c>
      <c r="AP235" s="28">
        <f>IF(I235="","",IFERROR(INDEX(Kampanyalar!$H$2:$H$150,MATCH(O235,Kampanyalar!$A$2:$A$150,0)),""))</f>
        <v/>
      </c>
      <c r="AQ235" s="28">
        <f>IF(I235="","",IF(ISNUMBER(AP235),AP235,AD235))</f>
        <v/>
      </c>
      <c r="AR235" s="26">
        <f>IF(I235="","",IF(Parametreler!$C$7="Evet","Kural A - Hemen Ödeme (Stok Mutabakatlı)","Kural B - Nakliye/Montaj Sonrası Ödeme"))</f>
        <v/>
      </c>
    </row>
    <row r="236">
      <c r="A236" s="23" t="n"/>
      <c r="B236" s="23" t="n"/>
      <c r="C236" s="23" t="n"/>
      <c r="D236" s="23" t="n"/>
      <c r="E236" s="23" t="n"/>
      <c r="F236" s="23" t="n"/>
      <c r="G236" s="23" t="n"/>
      <c r="H236" s="24" t="n"/>
      <c r="I236" s="23" t="n"/>
      <c r="J236" s="23" t="n"/>
      <c r="K236" s="23" t="n"/>
      <c r="L236" s="23" t="n"/>
      <c r="M236" s="23" t="n"/>
      <c r="N236" s="23" t="n"/>
      <c r="O236" s="23" t="n"/>
      <c r="P236" s="23" t="n"/>
      <c r="Q236" s="23" t="n"/>
      <c r="R236" s="23" t="n"/>
      <c r="S236" s="23" t="n"/>
      <c r="T236" s="23" t="n"/>
      <c r="U236" s="23" t="n"/>
      <c r="V236" s="23" t="n"/>
      <c r="W236" s="23" t="n"/>
      <c r="X236" s="23" t="n"/>
      <c r="Y236" s="25" t="n"/>
      <c r="Z236" s="25" t="n"/>
      <c r="AA236" s="23" t="n"/>
      <c r="AB236" s="25" t="n"/>
      <c r="AC236" s="23" t="n"/>
      <c r="AD236" s="25" t="n"/>
      <c r="AE236" s="23" t="n"/>
      <c r="AF236" s="25" t="n"/>
      <c r="AG236" s="25" t="n"/>
      <c r="AH236" s="23" t="n"/>
      <c r="AI236" s="23" t="n"/>
      <c r="AJ236" s="26">
        <f>IF(I236="","",I236&amp;"|"&amp;R236)</f>
        <v/>
      </c>
      <c r="AK236" s="26">
        <f>IF(I236="","",IF(ISNA(MATCH(O236,Kampanyalar!$A$2:$A$150,0)),"Hayır - Kampanyalar'da Yok","Evet"))</f>
        <v/>
      </c>
      <c r="AL236" s="27">
        <f>IF(I236="","",IFERROR(INDEX(Kampanyalar!$E$2:$E$150,MATCH(O236,Kampanyalar!$A$2:$A$150,0)),""))</f>
        <v/>
      </c>
      <c r="AM236" s="27">
        <f>IF(I236="","",IFERROR(INDEX(Kampanyalar!$F$2:$F$150,MATCH(O236,Kampanyalar!$A$2:$A$150,0)),""))</f>
        <v/>
      </c>
      <c r="AN236" s="27">
        <f>IF(I236="","",IFERROR(INDEX(Kampanyalar!$G$2:$G$150,MATCH(O236,Kampanyalar!$A$2:$A$150,0)),""))</f>
        <v/>
      </c>
      <c r="AO236" s="26">
        <f>IF(OR(I236="",AL236="",AM236=""),"",IF(AND(H236&gt;=AL236,H236&lt;=AM236),"Evet","HAYIR - Tarih Dışı"))</f>
        <v/>
      </c>
      <c r="AP236" s="28">
        <f>IF(I236="","",IFERROR(INDEX(Kampanyalar!$H$2:$H$150,MATCH(O236,Kampanyalar!$A$2:$A$150,0)),""))</f>
        <v/>
      </c>
      <c r="AQ236" s="28">
        <f>IF(I236="","",IF(ISNUMBER(AP236),AP236,AD236))</f>
        <v/>
      </c>
      <c r="AR236" s="26">
        <f>IF(I236="","",IF(Parametreler!$C$7="Evet","Kural A - Hemen Ödeme (Stok Mutabakatlı)","Kural B - Nakliye/Montaj Sonrası Ödeme"))</f>
        <v/>
      </c>
    </row>
    <row r="237">
      <c r="A237" s="23" t="n"/>
      <c r="B237" s="23" t="n"/>
      <c r="C237" s="23" t="n"/>
      <c r="D237" s="23" t="n"/>
      <c r="E237" s="23" t="n"/>
      <c r="F237" s="23" t="n"/>
      <c r="G237" s="23" t="n"/>
      <c r="H237" s="24" t="n"/>
      <c r="I237" s="23" t="n"/>
      <c r="J237" s="23" t="n"/>
      <c r="K237" s="23" t="n"/>
      <c r="L237" s="23" t="n"/>
      <c r="M237" s="23" t="n"/>
      <c r="N237" s="23" t="n"/>
      <c r="O237" s="23" t="n"/>
      <c r="P237" s="23" t="n"/>
      <c r="Q237" s="23" t="n"/>
      <c r="R237" s="23" t="n"/>
      <c r="S237" s="23" t="n"/>
      <c r="T237" s="23" t="n"/>
      <c r="U237" s="23" t="n"/>
      <c r="V237" s="23" t="n"/>
      <c r="W237" s="23" t="n"/>
      <c r="X237" s="23" t="n"/>
      <c r="Y237" s="25" t="n"/>
      <c r="Z237" s="25" t="n"/>
      <c r="AA237" s="23" t="n"/>
      <c r="AB237" s="25" t="n"/>
      <c r="AC237" s="23" t="n"/>
      <c r="AD237" s="25" t="n"/>
      <c r="AE237" s="23" t="n"/>
      <c r="AF237" s="25" t="n"/>
      <c r="AG237" s="25" t="n"/>
      <c r="AH237" s="23" t="n"/>
      <c r="AI237" s="23" t="n"/>
      <c r="AJ237" s="26">
        <f>IF(I237="","",I237&amp;"|"&amp;R237)</f>
        <v/>
      </c>
      <c r="AK237" s="26">
        <f>IF(I237="","",IF(ISNA(MATCH(O237,Kampanyalar!$A$2:$A$150,0)),"Hayır - Kampanyalar'da Yok","Evet"))</f>
        <v/>
      </c>
      <c r="AL237" s="27">
        <f>IF(I237="","",IFERROR(INDEX(Kampanyalar!$E$2:$E$150,MATCH(O237,Kampanyalar!$A$2:$A$150,0)),""))</f>
        <v/>
      </c>
      <c r="AM237" s="27">
        <f>IF(I237="","",IFERROR(INDEX(Kampanyalar!$F$2:$F$150,MATCH(O237,Kampanyalar!$A$2:$A$150,0)),""))</f>
        <v/>
      </c>
      <c r="AN237" s="27">
        <f>IF(I237="","",IFERROR(INDEX(Kampanyalar!$G$2:$G$150,MATCH(O237,Kampanyalar!$A$2:$A$150,0)),""))</f>
        <v/>
      </c>
      <c r="AO237" s="26">
        <f>IF(OR(I237="",AL237="",AM237=""),"",IF(AND(H237&gt;=AL237,H237&lt;=AM237),"Evet","HAYIR - Tarih Dışı"))</f>
        <v/>
      </c>
      <c r="AP237" s="28">
        <f>IF(I237="","",IFERROR(INDEX(Kampanyalar!$H$2:$H$150,MATCH(O237,Kampanyalar!$A$2:$A$150,0)),""))</f>
        <v/>
      </c>
      <c r="AQ237" s="28">
        <f>IF(I237="","",IF(ISNUMBER(AP237),AP237,AD237))</f>
        <v/>
      </c>
      <c r="AR237" s="26">
        <f>IF(I237="","",IF(Parametreler!$C$7="Evet","Kural A - Hemen Ödeme (Stok Mutabakatlı)","Kural B - Nakliye/Montaj Sonrası Ödeme"))</f>
        <v/>
      </c>
    </row>
    <row r="238">
      <c r="A238" s="23" t="n"/>
      <c r="B238" s="23" t="n"/>
      <c r="C238" s="23" t="n"/>
      <c r="D238" s="23" t="n"/>
      <c r="E238" s="23" t="n"/>
      <c r="F238" s="23" t="n"/>
      <c r="G238" s="23" t="n"/>
      <c r="H238" s="24" t="n"/>
      <c r="I238" s="23" t="n"/>
      <c r="J238" s="23" t="n"/>
      <c r="K238" s="23" t="n"/>
      <c r="L238" s="23" t="n"/>
      <c r="M238" s="23" t="n"/>
      <c r="N238" s="23" t="n"/>
      <c r="O238" s="23" t="n"/>
      <c r="P238" s="23" t="n"/>
      <c r="Q238" s="23" t="n"/>
      <c r="R238" s="23" t="n"/>
      <c r="S238" s="23" t="n"/>
      <c r="T238" s="23" t="n"/>
      <c r="U238" s="23" t="n"/>
      <c r="V238" s="23" t="n"/>
      <c r="W238" s="23" t="n"/>
      <c r="X238" s="23" t="n"/>
      <c r="Y238" s="25" t="n"/>
      <c r="Z238" s="25" t="n"/>
      <c r="AA238" s="23" t="n"/>
      <c r="AB238" s="25" t="n"/>
      <c r="AC238" s="23" t="n"/>
      <c r="AD238" s="25" t="n"/>
      <c r="AE238" s="23" t="n"/>
      <c r="AF238" s="25" t="n"/>
      <c r="AG238" s="25" t="n"/>
      <c r="AH238" s="23" t="n"/>
      <c r="AI238" s="23" t="n"/>
      <c r="AJ238" s="26">
        <f>IF(I238="","",I238&amp;"|"&amp;R238)</f>
        <v/>
      </c>
      <c r="AK238" s="26">
        <f>IF(I238="","",IF(ISNA(MATCH(O238,Kampanyalar!$A$2:$A$150,0)),"Hayır - Kampanyalar'da Yok","Evet"))</f>
        <v/>
      </c>
      <c r="AL238" s="27">
        <f>IF(I238="","",IFERROR(INDEX(Kampanyalar!$E$2:$E$150,MATCH(O238,Kampanyalar!$A$2:$A$150,0)),""))</f>
        <v/>
      </c>
      <c r="AM238" s="27">
        <f>IF(I238="","",IFERROR(INDEX(Kampanyalar!$F$2:$F$150,MATCH(O238,Kampanyalar!$A$2:$A$150,0)),""))</f>
        <v/>
      </c>
      <c r="AN238" s="27">
        <f>IF(I238="","",IFERROR(INDEX(Kampanyalar!$G$2:$G$150,MATCH(O238,Kampanyalar!$A$2:$A$150,0)),""))</f>
        <v/>
      </c>
      <c r="AO238" s="26">
        <f>IF(OR(I238="",AL238="",AM238=""),"",IF(AND(H238&gt;=AL238,H238&lt;=AM238),"Evet","HAYIR - Tarih Dışı"))</f>
        <v/>
      </c>
      <c r="AP238" s="28">
        <f>IF(I238="","",IFERROR(INDEX(Kampanyalar!$H$2:$H$150,MATCH(O238,Kampanyalar!$A$2:$A$150,0)),""))</f>
        <v/>
      </c>
      <c r="AQ238" s="28">
        <f>IF(I238="","",IF(ISNUMBER(AP238),AP238,AD238))</f>
        <v/>
      </c>
      <c r="AR238" s="26">
        <f>IF(I238="","",IF(Parametreler!$C$7="Evet","Kural A - Hemen Ödeme (Stok Mutabakatlı)","Kural B - Nakliye/Montaj Sonrası Ödeme"))</f>
        <v/>
      </c>
    </row>
    <row r="239">
      <c r="A239" s="23" t="n"/>
      <c r="B239" s="23" t="n"/>
      <c r="C239" s="23" t="n"/>
      <c r="D239" s="23" t="n"/>
      <c r="E239" s="23" t="n"/>
      <c r="F239" s="23" t="n"/>
      <c r="G239" s="23" t="n"/>
      <c r="H239" s="24" t="n"/>
      <c r="I239" s="23" t="n"/>
      <c r="J239" s="23" t="n"/>
      <c r="K239" s="23" t="n"/>
      <c r="L239" s="23" t="n"/>
      <c r="M239" s="23" t="n"/>
      <c r="N239" s="23" t="n"/>
      <c r="O239" s="23" t="n"/>
      <c r="P239" s="23" t="n"/>
      <c r="Q239" s="23" t="n"/>
      <c r="R239" s="23" t="n"/>
      <c r="S239" s="23" t="n"/>
      <c r="T239" s="23" t="n"/>
      <c r="U239" s="23" t="n"/>
      <c r="V239" s="23" t="n"/>
      <c r="W239" s="23" t="n"/>
      <c r="X239" s="23" t="n"/>
      <c r="Y239" s="25" t="n"/>
      <c r="Z239" s="25" t="n"/>
      <c r="AA239" s="23" t="n"/>
      <c r="AB239" s="25" t="n"/>
      <c r="AC239" s="23" t="n"/>
      <c r="AD239" s="25" t="n"/>
      <c r="AE239" s="23" t="n"/>
      <c r="AF239" s="25" t="n"/>
      <c r="AG239" s="25" t="n"/>
      <c r="AH239" s="23" t="n"/>
      <c r="AI239" s="23" t="n"/>
      <c r="AJ239" s="26">
        <f>IF(I239="","",I239&amp;"|"&amp;R239)</f>
        <v/>
      </c>
      <c r="AK239" s="26">
        <f>IF(I239="","",IF(ISNA(MATCH(O239,Kampanyalar!$A$2:$A$150,0)),"Hayır - Kampanyalar'da Yok","Evet"))</f>
        <v/>
      </c>
      <c r="AL239" s="27">
        <f>IF(I239="","",IFERROR(INDEX(Kampanyalar!$E$2:$E$150,MATCH(O239,Kampanyalar!$A$2:$A$150,0)),""))</f>
        <v/>
      </c>
      <c r="AM239" s="27">
        <f>IF(I239="","",IFERROR(INDEX(Kampanyalar!$F$2:$F$150,MATCH(O239,Kampanyalar!$A$2:$A$150,0)),""))</f>
        <v/>
      </c>
      <c r="AN239" s="27">
        <f>IF(I239="","",IFERROR(INDEX(Kampanyalar!$G$2:$G$150,MATCH(O239,Kampanyalar!$A$2:$A$150,0)),""))</f>
        <v/>
      </c>
      <c r="AO239" s="26">
        <f>IF(OR(I239="",AL239="",AM239=""),"",IF(AND(H239&gt;=AL239,H239&lt;=AM239),"Evet","HAYIR - Tarih Dışı"))</f>
        <v/>
      </c>
      <c r="AP239" s="28">
        <f>IF(I239="","",IFERROR(INDEX(Kampanyalar!$H$2:$H$150,MATCH(O239,Kampanyalar!$A$2:$A$150,0)),""))</f>
        <v/>
      </c>
      <c r="AQ239" s="28">
        <f>IF(I239="","",IF(ISNUMBER(AP239),AP239,AD239))</f>
        <v/>
      </c>
      <c r="AR239" s="26">
        <f>IF(I239="","",IF(Parametreler!$C$7="Evet","Kural A - Hemen Ödeme (Stok Mutabakatlı)","Kural B - Nakliye/Montaj Sonrası Ödeme"))</f>
        <v/>
      </c>
    </row>
    <row r="240">
      <c r="A240" s="23" t="n"/>
      <c r="B240" s="23" t="n"/>
      <c r="C240" s="23" t="n"/>
      <c r="D240" s="23" t="n"/>
      <c r="E240" s="23" t="n"/>
      <c r="F240" s="23" t="n"/>
      <c r="G240" s="23" t="n"/>
      <c r="H240" s="24" t="n"/>
      <c r="I240" s="23" t="n"/>
      <c r="J240" s="23" t="n"/>
      <c r="K240" s="23" t="n"/>
      <c r="L240" s="23" t="n"/>
      <c r="M240" s="23" t="n"/>
      <c r="N240" s="23" t="n"/>
      <c r="O240" s="23" t="n"/>
      <c r="P240" s="23" t="n"/>
      <c r="Q240" s="23" t="n"/>
      <c r="R240" s="23" t="n"/>
      <c r="S240" s="23" t="n"/>
      <c r="T240" s="23" t="n"/>
      <c r="U240" s="23" t="n"/>
      <c r="V240" s="23" t="n"/>
      <c r="W240" s="23" t="n"/>
      <c r="X240" s="23" t="n"/>
      <c r="Y240" s="25" t="n"/>
      <c r="Z240" s="25" t="n"/>
      <c r="AA240" s="23" t="n"/>
      <c r="AB240" s="25" t="n"/>
      <c r="AC240" s="23" t="n"/>
      <c r="AD240" s="25" t="n"/>
      <c r="AE240" s="23" t="n"/>
      <c r="AF240" s="25" t="n"/>
      <c r="AG240" s="25" t="n"/>
      <c r="AH240" s="23" t="n"/>
      <c r="AI240" s="23" t="n"/>
      <c r="AJ240" s="26">
        <f>IF(I240="","",I240&amp;"|"&amp;R240)</f>
        <v/>
      </c>
      <c r="AK240" s="26">
        <f>IF(I240="","",IF(ISNA(MATCH(O240,Kampanyalar!$A$2:$A$150,0)),"Hayır - Kampanyalar'da Yok","Evet"))</f>
        <v/>
      </c>
      <c r="AL240" s="27">
        <f>IF(I240="","",IFERROR(INDEX(Kampanyalar!$E$2:$E$150,MATCH(O240,Kampanyalar!$A$2:$A$150,0)),""))</f>
        <v/>
      </c>
      <c r="AM240" s="27">
        <f>IF(I240="","",IFERROR(INDEX(Kampanyalar!$F$2:$F$150,MATCH(O240,Kampanyalar!$A$2:$A$150,0)),""))</f>
        <v/>
      </c>
      <c r="AN240" s="27">
        <f>IF(I240="","",IFERROR(INDEX(Kampanyalar!$G$2:$G$150,MATCH(O240,Kampanyalar!$A$2:$A$150,0)),""))</f>
        <v/>
      </c>
      <c r="AO240" s="26">
        <f>IF(OR(I240="",AL240="",AM240=""),"",IF(AND(H240&gt;=AL240,H240&lt;=AM240),"Evet","HAYIR - Tarih Dışı"))</f>
        <v/>
      </c>
      <c r="AP240" s="28">
        <f>IF(I240="","",IFERROR(INDEX(Kampanyalar!$H$2:$H$150,MATCH(O240,Kampanyalar!$A$2:$A$150,0)),""))</f>
        <v/>
      </c>
      <c r="AQ240" s="28">
        <f>IF(I240="","",IF(ISNUMBER(AP240),AP240,AD240))</f>
        <v/>
      </c>
      <c r="AR240" s="26">
        <f>IF(I240="","",IF(Parametreler!$C$7="Evet","Kural A - Hemen Ödeme (Stok Mutabakatlı)","Kural B - Nakliye/Montaj Sonrası Ödeme"))</f>
        <v/>
      </c>
    </row>
    <row r="241">
      <c r="A241" s="23" t="n"/>
      <c r="B241" s="23" t="n"/>
      <c r="C241" s="23" t="n"/>
      <c r="D241" s="23" t="n"/>
      <c r="E241" s="23" t="n"/>
      <c r="F241" s="23" t="n"/>
      <c r="G241" s="23" t="n"/>
      <c r="H241" s="24" t="n"/>
      <c r="I241" s="23" t="n"/>
      <c r="J241" s="23" t="n"/>
      <c r="K241" s="23" t="n"/>
      <c r="L241" s="23" t="n"/>
      <c r="M241" s="23" t="n"/>
      <c r="N241" s="23" t="n"/>
      <c r="O241" s="23" t="n"/>
      <c r="P241" s="23" t="n"/>
      <c r="Q241" s="23" t="n"/>
      <c r="R241" s="23" t="n"/>
      <c r="S241" s="23" t="n"/>
      <c r="T241" s="23" t="n"/>
      <c r="U241" s="23" t="n"/>
      <c r="V241" s="23" t="n"/>
      <c r="W241" s="23" t="n"/>
      <c r="X241" s="23" t="n"/>
      <c r="Y241" s="25" t="n"/>
      <c r="Z241" s="25" t="n"/>
      <c r="AA241" s="23" t="n"/>
      <c r="AB241" s="25" t="n"/>
      <c r="AC241" s="23" t="n"/>
      <c r="AD241" s="25" t="n"/>
      <c r="AE241" s="23" t="n"/>
      <c r="AF241" s="25" t="n"/>
      <c r="AG241" s="25" t="n"/>
      <c r="AH241" s="23" t="n"/>
      <c r="AI241" s="23" t="n"/>
      <c r="AJ241" s="26">
        <f>IF(I241="","",I241&amp;"|"&amp;R241)</f>
        <v/>
      </c>
      <c r="AK241" s="26">
        <f>IF(I241="","",IF(ISNA(MATCH(O241,Kampanyalar!$A$2:$A$150,0)),"Hayır - Kampanyalar'da Yok","Evet"))</f>
        <v/>
      </c>
      <c r="AL241" s="27">
        <f>IF(I241="","",IFERROR(INDEX(Kampanyalar!$E$2:$E$150,MATCH(O241,Kampanyalar!$A$2:$A$150,0)),""))</f>
        <v/>
      </c>
      <c r="AM241" s="27">
        <f>IF(I241="","",IFERROR(INDEX(Kampanyalar!$F$2:$F$150,MATCH(O241,Kampanyalar!$A$2:$A$150,0)),""))</f>
        <v/>
      </c>
      <c r="AN241" s="27">
        <f>IF(I241="","",IFERROR(INDEX(Kampanyalar!$G$2:$G$150,MATCH(O241,Kampanyalar!$A$2:$A$150,0)),""))</f>
        <v/>
      </c>
      <c r="AO241" s="26">
        <f>IF(OR(I241="",AL241="",AM241=""),"",IF(AND(H241&gt;=AL241,H241&lt;=AM241),"Evet","HAYIR - Tarih Dışı"))</f>
        <v/>
      </c>
      <c r="AP241" s="28">
        <f>IF(I241="","",IFERROR(INDEX(Kampanyalar!$H$2:$H$150,MATCH(O241,Kampanyalar!$A$2:$A$150,0)),""))</f>
        <v/>
      </c>
      <c r="AQ241" s="28">
        <f>IF(I241="","",IF(ISNUMBER(AP241),AP241,AD241))</f>
        <v/>
      </c>
      <c r="AR241" s="26">
        <f>IF(I241="","",IF(Parametreler!$C$7="Evet","Kural A - Hemen Ödeme (Stok Mutabakatlı)","Kural B - Nakliye/Montaj Sonrası Ödeme"))</f>
        <v/>
      </c>
    </row>
    <row r="242">
      <c r="A242" s="23" t="n"/>
      <c r="B242" s="23" t="n"/>
      <c r="C242" s="23" t="n"/>
      <c r="D242" s="23" t="n"/>
      <c r="E242" s="23" t="n"/>
      <c r="F242" s="23" t="n"/>
      <c r="G242" s="23" t="n"/>
      <c r="H242" s="24" t="n"/>
      <c r="I242" s="23" t="n"/>
      <c r="J242" s="23" t="n"/>
      <c r="K242" s="23" t="n"/>
      <c r="L242" s="23" t="n"/>
      <c r="M242" s="23" t="n"/>
      <c r="N242" s="23" t="n"/>
      <c r="O242" s="23" t="n"/>
      <c r="P242" s="23" t="n"/>
      <c r="Q242" s="23" t="n"/>
      <c r="R242" s="23" t="n"/>
      <c r="S242" s="23" t="n"/>
      <c r="T242" s="23" t="n"/>
      <c r="U242" s="23" t="n"/>
      <c r="V242" s="23" t="n"/>
      <c r="W242" s="23" t="n"/>
      <c r="X242" s="23" t="n"/>
      <c r="Y242" s="25" t="n"/>
      <c r="Z242" s="25" t="n"/>
      <c r="AA242" s="23" t="n"/>
      <c r="AB242" s="25" t="n"/>
      <c r="AC242" s="23" t="n"/>
      <c r="AD242" s="25" t="n"/>
      <c r="AE242" s="23" t="n"/>
      <c r="AF242" s="25" t="n"/>
      <c r="AG242" s="25" t="n"/>
      <c r="AH242" s="23" t="n"/>
      <c r="AI242" s="23" t="n"/>
      <c r="AJ242" s="26">
        <f>IF(I242="","",I242&amp;"|"&amp;R242)</f>
        <v/>
      </c>
      <c r="AK242" s="26">
        <f>IF(I242="","",IF(ISNA(MATCH(O242,Kampanyalar!$A$2:$A$150,0)),"Hayır - Kampanyalar'da Yok","Evet"))</f>
        <v/>
      </c>
      <c r="AL242" s="27">
        <f>IF(I242="","",IFERROR(INDEX(Kampanyalar!$E$2:$E$150,MATCH(O242,Kampanyalar!$A$2:$A$150,0)),""))</f>
        <v/>
      </c>
      <c r="AM242" s="27">
        <f>IF(I242="","",IFERROR(INDEX(Kampanyalar!$F$2:$F$150,MATCH(O242,Kampanyalar!$A$2:$A$150,0)),""))</f>
        <v/>
      </c>
      <c r="AN242" s="27">
        <f>IF(I242="","",IFERROR(INDEX(Kampanyalar!$G$2:$G$150,MATCH(O242,Kampanyalar!$A$2:$A$150,0)),""))</f>
        <v/>
      </c>
      <c r="AO242" s="26">
        <f>IF(OR(I242="",AL242="",AM242=""),"",IF(AND(H242&gt;=AL242,H242&lt;=AM242),"Evet","HAYIR - Tarih Dışı"))</f>
        <v/>
      </c>
      <c r="AP242" s="28">
        <f>IF(I242="","",IFERROR(INDEX(Kampanyalar!$H$2:$H$150,MATCH(O242,Kampanyalar!$A$2:$A$150,0)),""))</f>
        <v/>
      </c>
      <c r="AQ242" s="28">
        <f>IF(I242="","",IF(ISNUMBER(AP242),AP242,AD242))</f>
        <v/>
      </c>
      <c r="AR242" s="26">
        <f>IF(I242="","",IF(Parametreler!$C$7="Evet","Kural A - Hemen Ödeme (Stok Mutabakatlı)","Kural B - Nakliye/Montaj Sonrası Ödeme"))</f>
        <v/>
      </c>
    </row>
    <row r="243">
      <c r="A243" s="23" t="n"/>
      <c r="B243" s="23" t="n"/>
      <c r="C243" s="23" t="n"/>
      <c r="D243" s="23" t="n"/>
      <c r="E243" s="23" t="n"/>
      <c r="F243" s="23" t="n"/>
      <c r="G243" s="23" t="n"/>
      <c r="H243" s="24" t="n"/>
      <c r="I243" s="23" t="n"/>
      <c r="J243" s="23" t="n"/>
      <c r="K243" s="23" t="n"/>
      <c r="L243" s="23" t="n"/>
      <c r="M243" s="23" t="n"/>
      <c r="N243" s="23" t="n"/>
      <c r="O243" s="23" t="n"/>
      <c r="P243" s="23" t="n"/>
      <c r="Q243" s="23" t="n"/>
      <c r="R243" s="23" t="n"/>
      <c r="S243" s="23" t="n"/>
      <c r="T243" s="23" t="n"/>
      <c r="U243" s="23" t="n"/>
      <c r="V243" s="23" t="n"/>
      <c r="W243" s="23" t="n"/>
      <c r="X243" s="23" t="n"/>
      <c r="Y243" s="25" t="n"/>
      <c r="Z243" s="25" t="n"/>
      <c r="AA243" s="23" t="n"/>
      <c r="AB243" s="25" t="n"/>
      <c r="AC243" s="23" t="n"/>
      <c r="AD243" s="25" t="n"/>
      <c r="AE243" s="23" t="n"/>
      <c r="AF243" s="25" t="n"/>
      <c r="AG243" s="25" t="n"/>
      <c r="AH243" s="23" t="n"/>
      <c r="AI243" s="23" t="n"/>
      <c r="AJ243" s="26">
        <f>IF(I243="","",I243&amp;"|"&amp;R243)</f>
        <v/>
      </c>
      <c r="AK243" s="26">
        <f>IF(I243="","",IF(ISNA(MATCH(O243,Kampanyalar!$A$2:$A$150,0)),"Hayır - Kampanyalar'da Yok","Evet"))</f>
        <v/>
      </c>
      <c r="AL243" s="27">
        <f>IF(I243="","",IFERROR(INDEX(Kampanyalar!$E$2:$E$150,MATCH(O243,Kampanyalar!$A$2:$A$150,0)),""))</f>
        <v/>
      </c>
      <c r="AM243" s="27">
        <f>IF(I243="","",IFERROR(INDEX(Kampanyalar!$F$2:$F$150,MATCH(O243,Kampanyalar!$A$2:$A$150,0)),""))</f>
        <v/>
      </c>
      <c r="AN243" s="27">
        <f>IF(I243="","",IFERROR(INDEX(Kampanyalar!$G$2:$G$150,MATCH(O243,Kampanyalar!$A$2:$A$150,0)),""))</f>
        <v/>
      </c>
      <c r="AO243" s="26">
        <f>IF(OR(I243="",AL243="",AM243=""),"",IF(AND(H243&gt;=AL243,H243&lt;=AM243),"Evet","HAYIR - Tarih Dışı"))</f>
        <v/>
      </c>
      <c r="AP243" s="28">
        <f>IF(I243="","",IFERROR(INDEX(Kampanyalar!$H$2:$H$150,MATCH(O243,Kampanyalar!$A$2:$A$150,0)),""))</f>
        <v/>
      </c>
      <c r="AQ243" s="28">
        <f>IF(I243="","",IF(ISNUMBER(AP243),AP243,AD243))</f>
        <v/>
      </c>
      <c r="AR243" s="26">
        <f>IF(I243="","",IF(Parametreler!$C$7="Evet","Kural A - Hemen Ödeme (Stok Mutabakatlı)","Kural B - Nakliye/Montaj Sonrası Ödeme"))</f>
        <v/>
      </c>
    </row>
    <row r="244">
      <c r="A244" s="23" t="n"/>
      <c r="B244" s="23" t="n"/>
      <c r="C244" s="23" t="n"/>
      <c r="D244" s="23" t="n"/>
      <c r="E244" s="23" t="n"/>
      <c r="F244" s="23" t="n"/>
      <c r="G244" s="23" t="n"/>
      <c r="H244" s="24" t="n"/>
      <c r="I244" s="23" t="n"/>
      <c r="J244" s="23" t="n"/>
      <c r="K244" s="23" t="n"/>
      <c r="L244" s="23" t="n"/>
      <c r="M244" s="23" t="n"/>
      <c r="N244" s="23" t="n"/>
      <c r="O244" s="23" t="n"/>
      <c r="P244" s="23" t="n"/>
      <c r="Q244" s="23" t="n"/>
      <c r="R244" s="23" t="n"/>
      <c r="S244" s="23" t="n"/>
      <c r="T244" s="23" t="n"/>
      <c r="U244" s="23" t="n"/>
      <c r="V244" s="23" t="n"/>
      <c r="W244" s="23" t="n"/>
      <c r="X244" s="23" t="n"/>
      <c r="Y244" s="25" t="n"/>
      <c r="Z244" s="25" t="n"/>
      <c r="AA244" s="23" t="n"/>
      <c r="AB244" s="25" t="n"/>
      <c r="AC244" s="23" t="n"/>
      <c r="AD244" s="25" t="n"/>
      <c r="AE244" s="23" t="n"/>
      <c r="AF244" s="25" t="n"/>
      <c r="AG244" s="25" t="n"/>
      <c r="AH244" s="23" t="n"/>
      <c r="AI244" s="23" t="n"/>
      <c r="AJ244" s="26">
        <f>IF(I244="","",I244&amp;"|"&amp;R244)</f>
        <v/>
      </c>
      <c r="AK244" s="26">
        <f>IF(I244="","",IF(ISNA(MATCH(O244,Kampanyalar!$A$2:$A$150,0)),"Hayır - Kampanyalar'da Yok","Evet"))</f>
        <v/>
      </c>
      <c r="AL244" s="27">
        <f>IF(I244="","",IFERROR(INDEX(Kampanyalar!$E$2:$E$150,MATCH(O244,Kampanyalar!$A$2:$A$150,0)),""))</f>
        <v/>
      </c>
      <c r="AM244" s="27">
        <f>IF(I244="","",IFERROR(INDEX(Kampanyalar!$F$2:$F$150,MATCH(O244,Kampanyalar!$A$2:$A$150,0)),""))</f>
        <v/>
      </c>
      <c r="AN244" s="27">
        <f>IF(I244="","",IFERROR(INDEX(Kampanyalar!$G$2:$G$150,MATCH(O244,Kampanyalar!$A$2:$A$150,0)),""))</f>
        <v/>
      </c>
      <c r="AO244" s="26">
        <f>IF(OR(I244="",AL244="",AM244=""),"",IF(AND(H244&gt;=AL244,H244&lt;=AM244),"Evet","HAYIR - Tarih Dışı"))</f>
        <v/>
      </c>
      <c r="AP244" s="28">
        <f>IF(I244="","",IFERROR(INDEX(Kampanyalar!$H$2:$H$150,MATCH(O244,Kampanyalar!$A$2:$A$150,0)),""))</f>
        <v/>
      </c>
      <c r="AQ244" s="28">
        <f>IF(I244="","",IF(ISNUMBER(AP244),AP244,AD244))</f>
        <v/>
      </c>
      <c r="AR244" s="26">
        <f>IF(I244="","",IF(Parametreler!$C$7="Evet","Kural A - Hemen Ödeme (Stok Mutabakatlı)","Kural B - Nakliye/Montaj Sonrası Ödeme"))</f>
        <v/>
      </c>
    </row>
    <row r="245">
      <c r="A245" s="23" t="n"/>
      <c r="B245" s="23" t="n"/>
      <c r="C245" s="23" t="n"/>
      <c r="D245" s="23" t="n"/>
      <c r="E245" s="23" t="n"/>
      <c r="F245" s="23" t="n"/>
      <c r="G245" s="23" t="n"/>
      <c r="H245" s="24" t="n"/>
      <c r="I245" s="23" t="n"/>
      <c r="J245" s="23" t="n"/>
      <c r="K245" s="23" t="n"/>
      <c r="L245" s="23" t="n"/>
      <c r="M245" s="23" t="n"/>
      <c r="N245" s="23" t="n"/>
      <c r="O245" s="23" t="n"/>
      <c r="P245" s="23" t="n"/>
      <c r="Q245" s="23" t="n"/>
      <c r="R245" s="23" t="n"/>
      <c r="S245" s="23" t="n"/>
      <c r="T245" s="23" t="n"/>
      <c r="U245" s="23" t="n"/>
      <c r="V245" s="23" t="n"/>
      <c r="W245" s="23" t="n"/>
      <c r="X245" s="23" t="n"/>
      <c r="Y245" s="25" t="n"/>
      <c r="Z245" s="25" t="n"/>
      <c r="AA245" s="23" t="n"/>
      <c r="AB245" s="25" t="n"/>
      <c r="AC245" s="23" t="n"/>
      <c r="AD245" s="25" t="n"/>
      <c r="AE245" s="23" t="n"/>
      <c r="AF245" s="25" t="n"/>
      <c r="AG245" s="25" t="n"/>
      <c r="AH245" s="23" t="n"/>
      <c r="AI245" s="23" t="n"/>
      <c r="AJ245" s="26">
        <f>IF(I245="","",I245&amp;"|"&amp;R245)</f>
        <v/>
      </c>
      <c r="AK245" s="26">
        <f>IF(I245="","",IF(ISNA(MATCH(O245,Kampanyalar!$A$2:$A$150,0)),"Hayır - Kampanyalar'da Yok","Evet"))</f>
        <v/>
      </c>
      <c r="AL245" s="27">
        <f>IF(I245="","",IFERROR(INDEX(Kampanyalar!$E$2:$E$150,MATCH(O245,Kampanyalar!$A$2:$A$150,0)),""))</f>
        <v/>
      </c>
      <c r="AM245" s="27">
        <f>IF(I245="","",IFERROR(INDEX(Kampanyalar!$F$2:$F$150,MATCH(O245,Kampanyalar!$A$2:$A$150,0)),""))</f>
        <v/>
      </c>
      <c r="AN245" s="27">
        <f>IF(I245="","",IFERROR(INDEX(Kampanyalar!$G$2:$G$150,MATCH(O245,Kampanyalar!$A$2:$A$150,0)),""))</f>
        <v/>
      </c>
      <c r="AO245" s="26">
        <f>IF(OR(I245="",AL245="",AM245=""),"",IF(AND(H245&gt;=AL245,H245&lt;=AM245),"Evet","HAYIR - Tarih Dışı"))</f>
        <v/>
      </c>
      <c r="AP245" s="28">
        <f>IF(I245="","",IFERROR(INDEX(Kampanyalar!$H$2:$H$150,MATCH(O245,Kampanyalar!$A$2:$A$150,0)),""))</f>
        <v/>
      </c>
      <c r="AQ245" s="28">
        <f>IF(I245="","",IF(ISNUMBER(AP245),AP245,AD245))</f>
        <v/>
      </c>
      <c r="AR245" s="26">
        <f>IF(I245="","",IF(Parametreler!$C$7="Evet","Kural A - Hemen Ödeme (Stok Mutabakatlı)","Kural B - Nakliye/Montaj Sonrası Ödeme"))</f>
        <v/>
      </c>
    </row>
    <row r="246">
      <c r="A246" s="23" t="n"/>
      <c r="B246" s="23" t="n"/>
      <c r="C246" s="23" t="n"/>
      <c r="D246" s="23" t="n"/>
      <c r="E246" s="23" t="n"/>
      <c r="F246" s="23" t="n"/>
      <c r="G246" s="23" t="n"/>
      <c r="H246" s="24" t="n"/>
      <c r="I246" s="23" t="n"/>
      <c r="J246" s="23" t="n"/>
      <c r="K246" s="23" t="n"/>
      <c r="L246" s="23" t="n"/>
      <c r="M246" s="23" t="n"/>
      <c r="N246" s="23" t="n"/>
      <c r="O246" s="23" t="n"/>
      <c r="P246" s="23" t="n"/>
      <c r="Q246" s="23" t="n"/>
      <c r="R246" s="23" t="n"/>
      <c r="S246" s="23" t="n"/>
      <c r="T246" s="23" t="n"/>
      <c r="U246" s="23" t="n"/>
      <c r="V246" s="23" t="n"/>
      <c r="W246" s="23" t="n"/>
      <c r="X246" s="23" t="n"/>
      <c r="Y246" s="25" t="n"/>
      <c r="Z246" s="25" t="n"/>
      <c r="AA246" s="23" t="n"/>
      <c r="AB246" s="25" t="n"/>
      <c r="AC246" s="23" t="n"/>
      <c r="AD246" s="25" t="n"/>
      <c r="AE246" s="23" t="n"/>
      <c r="AF246" s="25" t="n"/>
      <c r="AG246" s="25" t="n"/>
      <c r="AH246" s="23" t="n"/>
      <c r="AI246" s="23" t="n"/>
      <c r="AJ246" s="26">
        <f>IF(I246="","",I246&amp;"|"&amp;R246)</f>
        <v/>
      </c>
      <c r="AK246" s="26">
        <f>IF(I246="","",IF(ISNA(MATCH(O246,Kampanyalar!$A$2:$A$150,0)),"Hayır - Kampanyalar'da Yok","Evet"))</f>
        <v/>
      </c>
      <c r="AL246" s="27">
        <f>IF(I246="","",IFERROR(INDEX(Kampanyalar!$E$2:$E$150,MATCH(O246,Kampanyalar!$A$2:$A$150,0)),""))</f>
        <v/>
      </c>
      <c r="AM246" s="27">
        <f>IF(I246="","",IFERROR(INDEX(Kampanyalar!$F$2:$F$150,MATCH(O246,Kampanyalar!$A$2:$A$150,0)),""))</f>
        <v/>
      </c>
      <c r="AN246" s="27">
        <f>IF(I246="","",IFERROR(INDEX(Kampanyalar!$G$2:$G$150,MATCH(O246,Kampanyalar!$A$2:$A$150,0)),""))</f>
        <v/>
      </c>
      <c r="AO246" s="26">
        <f>IF(OR(I246="",AL246="",AM246=""),"",IF(AND(H246&gt;=AL246,H246&lt;=AM246),"Evet","HAYIR - Tarih Dışı"))</f>
        <v/>
      </c>
      <c r="AP246" s="28">
        <f>IF(I246="","",IFERROR(INDEX(Kampanyalar!$H$2:$H$150,MATCH(O246,Kampanyalar!$A$2:$A$150,0)),""))</f>
        <v/>
      </c>
      <c r="AQ246" s="28">
        <f>IF(I246="","",IF(ISNUMBER(AP246),AP246,AD246))</f>
        <v/>
      </c>
      <c r="AR246" s="26">
        <f>IF(I246="","",IF(Parametreler!$C$7="Evet","Kural A - Hemen Ödeme (Stok Mutabakatlı)","Kural B - Nakliye/Montaj Sonrası Ödeme"))</f>
        <v/>
      </c>
    </row>
    <row r="247">
      <c r="A247" s="23" t="n"/>
      <c r="B247" s="23" t="n"/>
      <c r="C247" s="23" t="n"/>
      <c r="D247" s="23" t="n"/>
      <c r="E247" s="23" t="n"/>
      <c r="F247" s="23" t="n"/>
      <c r="G247" s="23" t="n"/>
      <c r="H247" s="24" t="n"/>
      <c r="I247" s="23" t="n"/>
      <c r="J247" s="23" t="n"/>
      <c r="K247" s="23" t="n"/>
      <c r="L247" s="23" t="n"/>
      <c r="M247" s="23" t="n"/>
      <c r="N247" s="23" t="n"/>
      <c r="O247" s="23" t="n"/>
      <c r="P247" s="23" t="n"/>
      <c r="Q247" s="23" t="n"/>
      <c r="R247" s="23" t="n"/>
      <c r="S247" s="23" t="n"/>
      <c r="T247" s="23" t="n"/>
      <c r="U247" s="23" t="n"/>
      <c r="V247" s="23" t="n"/>
      <c r="W247" s="23" t="n"/>
      <c r="X247" s="23" t="n"/>
      <c r="Y247" s="25" t="n"/>
      <c r="Z247" s="25" t="n"/>
      <c r="AA247" s="23" t="n"/>
      <c r="AB247" s="25" t="n"/>
      <c r="AC247" s="23" t="n"/>
      <c r="AD247" s="25" t="n"/>
      <c r="AE247" s="23" t="n"/>
      <c r="AF247" s="25" t="n"/>
      <c r="AG247" s="25" t="n"/>
      <c r="AH247" s="23" t="n"/>
      <c r="AI247" s="23" t="n"/>
      <c r="AJ247" s="26">
        <f>IF(I247="","",I247&amp;"|"&amp;R247)</f>
        <v/>
      </c>
      <c r="AK247" s="26">
        <f>IF(I247="","",IF(ISNA(MATCH(O247,Kampanyalar!$A$2:$A$150,0)),"Hayır - Kampanyalar'da Yok","Evet"))</f>
        <v/>
      </c>
      <c r="AL247" s="27">
        <f>IF(I247="","",IFERROR(INDEX(Kampanyalar!$E$2:$E$150,MATCH(O247,Kampanyalar!$A$2:$A$150,0)),""))</f>
        <v/>
      </c>
      <c r="AM247" s="27">
        <f>IF(I247="","",IFERROR(INDEX(Kampanyalar!$F$2:$F$150,MATCH(O247,Kampanyalar!$A$2:$A$150,0)),""))</f>
        <v/>
      </c>
      <c r="AN247" s="27">
        <f>IF(I247="","",IFERROR(INDEX(Kampanyalar!$G$2:$G$150,MATCH(O247,Kampanyalar!$A$2:$A$150,0)),""))</f>
        <v/>
      </c>
      <c r="AO247" s="26">
        <f>IF(OR(I247="",AL247="",AM247=""),"",IF(AND(H247&gt;=AL247,H247&lt;=AM247),"Evet","HAYIR - Tarih Dışı"))</f>
        <v/>
      </c>
      <c r="AP247" s="28">
        <f>IF(I247="","",IFERROR(INDEX(Kampanyalar!$H$2:$H$150,MATCH(O247,Kampanyalar!$A$2:$A$150,0)),""))</f>
        <v/>
      </c>
      <c r="AQ247" s="28">
        <f>IF(I247="","",IF(ISNUMBER(AP247),AP247,AD247))</f>
        <v/>
      </c>
      <c r="AR247" s="26">
        <f>IF(I247="","",IF(Parametreler!$C$7="Evet","Kural A - Hemen Ödeme (Stok Mutabakatlı)","Kural B - Nakliye/Montaj Sonrası Ödeme"))</f>
        <v/>
      </c>
    </row>
    <row r="248">
      <c r="A248" s="23" t="n"/>
      <c r="B248" s="23" t="n"/>
      <c r="C248" s="23" t="n"/>
      <c r="D248" s="23" t="n"/>
      <c r="E248" s="23" t="n"/>
      <c r="F248" s="23" t="n"/>
      <c r="G248" s="23" t="n"/>
      <c r="H248" s="24" t="n"/>
      <c r="I248" s="23" t="n"/>
      <c r="J248" s="23" t="n"/>
      <c r="K248" s="23" t="n"/>
      <c r="L248" s="23" t="n"/>
      <c r="M248" s="23" t="n"/>
      <c r="N248" s="23" t="n"/>
      <c r="O248" s="23" t="n"/>
      <c r="P248" s="23" t="n"/>
      <c r="Q248" s="23" t="n"/>
      <c r="R248" s="23" t="n"/>
      <c r="S248" s="23" t="n"/>
      <c r="T248" s="23" t="n"/>
      <c r="U248" s="23" t="n"/>
      <c r="V248" s="23" t="n"/>
      <c r="W248" s="23" t="n"/>
      <c r="X248" s="23" t="n"/>
      <c r="Y248" s="25" t="n"/>
      <c r="Z248" s="25" t="n"/>
      <c r="AA248" s="23" t="n"/>
      <c r="AB248" s="25" t="n"/>
      <c r="AC248" s="23" t="n"/>
      <c r="AD248" s="25" t="n"/>
      <c r="AE248" s="23" t="n"/>
      <c r="AF248" s="25" t="n"/>
      <c r="AG248" s="25" t="n"/>
      <c r="AH248" s="23" t="n"/>
      <c r="AI248" s="23" t="n"/>
      <c r="AJ248" s="26">
        <f>IF(I248="","",I248&amp;"|"&amp;R248)</f>
        <v/>
      </c>
      <c r="AK248" s="26">
        <f>IF(I248="","",IF(ISNA(MATCH(O248,Kampanyalar!$A$2:$A$150,0)),"Hayır - Kampanyalar'da Yok","Evet"))</f>
        <v/>
      </c>
      <c r="AL248" s="27">
        <f>IF(I248="","",IFERROR(INDEX(Kampanyalar!$E$2:$E$150,MATCH(O248,Kampanyalar!$A$2:$A$150,0)),""))</f>
        <v/>
      </c>
      <c r="AM248" s="27">
        <f>IF(I248="","",IFERROR(INDEX(Kampanyalar!$F$2:$F$150,MATCH(O248,Kampanyalar!$A$2:$A$150,0)),""))</f>
        <v/>
      </c>
      <c r="AN248" s="27">
        <f>IF(I248="","",IFERROR(INDEX(Kampanyalar!$G$2:$G$150,MATCH(O248,Kampanyalar!$A$2:$A$150,0)),""))</f>
        <v/>
      </c>
      <c r="AO248" s="26">
        <f>IF(OR(I248="",AL248="",AM248=""),"",IF(AND(H248&gt;=AL248,H248&lt;=AM248),"Evet","HAYIR - Tarih Dışı"))</f>
        <v/>
      </c>
      <c r="AP248" s="28">
        <f>IF(I248="","",IFERROR(INDEX(Kampanyalar!$H$2:$H$150,MATCH(O248,Kampanyalar!$A$2:$A$150,0)),""))</f>
        <v/>
      </c>
      <c r="AQ248" s="28">
        <f>IF(I248="","",IF(ISNUMBER(AP248),AP248,AD248))</f>
        <v/>
      </c>
      <c r="AR248" s="26">
        <f>IF(I248="","",IF(Parametreler!$C$7="Evet","Kural A - Hemen Ödeme (Stok Mutabakatlı)","Kural B - Nakliye/Montaj Sonrası Ödeme"))</f>
        <v/>
      </c>
    </row>
    <row r="249">
      <c r="A249" s="23" t="n"/>
      <c r="B249" s="23" t="n"/>
      <c r="C249" s="23" t="n"/>
      <c r="D249" s="23" t="n"/>
      <c r="E249" s="23" t="n"/>
      <c r="F249" s="23" t="n"/>
      <c r="G249" s="23" t="n"/>
      <c r="H249" s="24" t="n"/>
      <c r="I249" s="23" t="n"/>
      <c r="J249" s="23" t="n"/>
      <c r="K249" s="23" t="n"/>
      <c r="L249" s="23" t="n"/>
      <c r="M249" s="23" t="n"/>
      <c r="N249" s="23" t="n"/>
      <c r="O249" s="23" t="n"/>
      <c r="P249" s="23" t="n"/>
      <c r="Q249" s="23" t="n"/>
      <c r="R249" s="23" t="n"/>
      <c r="S249" s="23" t="n"/>
      <c r="T249" s="23" t="n"/>
      <c r="U249" s="23" t="n"/>
      <c r="V249" s="23" t="n"/>
      <c r="W249" s="23" t="n"/>
      <c r="X249" s="23" t="n"/>
      <c r="Y249" s="25" t="n"/>
      <c r="Z249" s="25" t="n"/>
      <c r="AA249" s="23" t="n"/>
      <c r="AB249" s="25" t="n"/>
      <c r="AC249" s="23" t="n"/>
      <c r="AD249" s="25" t="n"/>
      <c r="AE249" s="23" t="n"/>
      <c r="AF249" s="25" t="n"/>
      <c r="AG249" s="25" t="n"/>
      <c r="AH249" s="23" t="n"/>
      <c r="AI249" s="23" t="n"/>
      <c r="AJ249" s="26">
        <f>IF(I249="","",I249&amp;"|"&amp;R249)</f>
        <v/>
      </c>
      <c r="AK249" s="26">
        <f>IF(I249="","",IF(ISNA(MATCH(O249,Kampanyalar!$A$2:$A$150,0)),"Hayır - Kampanyalar'da Yok","Evet"))</f>
        <v/>
      </c>
      <c r="AL249" s="27">
        <f>IF(I249="","",IFERROR(INDEX(Kampanyalar!$E$2:$E$150,MATCH(O249,Kampanyalar!$A$2:$A$150,0)),""))</f>
        <v/>
      </c>
      <c r="AM249" s="27">
        <f>IF(I249="","",IFERROR(INDEX(Kampanyalar!$F$2:$F$150,MATCH(O249,Kampanyalar!$A$2:$A$150,0)),""))</f>
        <v/>
      </c>
      <c r="AN249" s="27">
        <f>IF(I249="","",IFERROR(INDEX(Kampanyalar!$G$2:$G$150,MATCH(O249,Kampanyalar!$A$2:$A$150,0)),""))</f>
        <v/>
      </c>
      <c r="AO249" s="26">
        <f>IF(OR(I249="",AL249="",AM249=""),"",IF(AND(H249&gt;=AL249,H249&lt;=AM249),"Evet","HAYIR - Tarih Dışı"))</f>
        <v/>
      </c>
      <c r="AP249" s="28">
        <f>IF(I249="","",IFERROR(INDEX(Kampanyalar!$H$2:$H$150,MATCH(O249,Kampanyalar!$A$2:$A$150,0)),""))</f>
        <v/>
      </c>
      <c r="AQ249" s="28">
        <f>IF(I249="","",IF(ISNUMBER(AP249),AP249,AD249))</f>
        <v/>
      </c>
      <c r="AR249" s="26">
        <f>IF(I249="","",IF(Parametreler!$C$7="Evet","Kural A - Hemen Ödeme (Stok Mutabakatlı)","Kural B - Nakliye/Montaj Sonrası Ödeme"))</f>
        <v/>
      </c>
    </row>
    <row r="250">
      <c r="A250" s="23" t="n"/>
      <c r="B250" s="23" t="n"/>
      <c r="C250" s="23" t="n"/>
      <c r="D250" s="23" t="n"/>
      <c r="E250" s="23" t="n"/>
      <c r="F250" s="23" t="n"/>
      <c r="G250" s="23" t="n"/>
      <c r="H250" s="24" t="n"/>
      <c r="I250" s="23" t="n"/>
      <c r="J250" s="23" t="n"/>
      <c r="K250" s="23" t="n"/>
      <c r="L250" s="23" t="n"/>
      <c r="M250" s="23" t="n"/>
      <c r="N250" s="23" t="n"/>
      <c r="O250" s="23" t="n"/>
      <c r="P250" s="23" t="n"/>
      <c r="Q250" s="23" t="n"/>
      <c r="R250" s="23" t="n"/>
      <c r="S250" s="23" t="n"/>
      <c r="T250" s="23" t="n"/>
      <c r="U250" s="23" t="n"/>
      <c r="V250" s="23" t="n"/>
      <c r="W250" s="23" t="n"/>
      <c r="X250" s="23" t="n"/>
      <c r="Y250" s="25" t="n"/>
      <c r="Z250" s="25" t="n"/>
      <c r="AA250" s="23" t="n"/>
      <c r="AB250" s="25" t="n"/>
      <c r="AC250" s="23" t="n"/>
      <c r="AD250" s="25" t="n"/>
      <c r="AE250" s="23" t="n"/>
      <c r="AF250" s="25" t="n"/>
      <c r="AG250" s="25" t="n"/>
      <c r="AH250" s="23" t="n"/>
      <c r="AI250" s="23" t="n"/>
      <c r="AJ250" s="26">
        <f>IF(I250="","",I250&amp;"|"&amp;R250)</f>
        <v/>
      </c>
      <c r="AK250" s="26">
        <f>IF(I250="","",IF(ISNA(MATCH(O250,Kampanyalar!$A$2:$A$150,0)),"Hayır - Kampanyalar'da Yok","Evet"))</f>
        <v/>
      </c>
      <c r="AL250" s="27">
        <f>IF(I250="","",IFERROR(INDEX(Kampanyalar!$E$2:$E$150,MATCH(O250,Kampanyalar!$A$2:$A$150,0)),""))</f>
        <v/>
      </c>
      <c r="AM250" s="27">
        <f>IF(I250="","",IFERROR(INDEX(Kampanyalar!$F$2:$F$150,MATCH(O250,Kampanyalar!$A$2:$A$150,0)),""))</f>
        <v/>
      </c>
      <c r="AN250" s="27">
        <f>IF(I250="","",IFERROR(INDEX(Kampanyalar!$G$2:$G$150,MATCH(O250,Kampanyalar!$A$2:$A$150,0)),""))</f>
        <v/>
      </c>
      <c r="AO250" s="26">
        <f>IF(OR(I250="",AL250="",AM250=""),"",IF(AND(H250&gt;=AL250,H250&lt;=AM250),"Evet","HAYIR - Tarih Dışı"))</f>
        <v/>
      </c>
      <c r="AP250" s="28">
        <f>IF(I250="","",IFERROR(INDEX(Kampanyalar!$H$2:$H$150,MATCH(O250,Kampanyalar!$A$2:$A$150,0)),""))</f>
        <v/>
      </c>
      <c r="AQ250" s="28">
        <f>IF(I250="","",IF(ISNUMBER(AP250),AP250,AD250))</f>
        <v/>
      </c>
      <c r="AR250" s="26">
        <f>IF(I250="","",IF(Parametreler!$C$7="Evet","Kural A - Hemen Ödeme (Stok Mutabakatlı)","Kural B - Nakliye/Montaj Sonrası Ödeme"))</f>
        <v/>
      </c>
    </row>
    <row r="251">
      <c r="A251" s="23" t="n"/>
      <c r="B251" s="23" t="n"/>
      <c r="C251" s="23" t="n"/>
      <c r="D251" s="23" t="n"/>
      <c r="E251" s="23" t="n"/>
      <c r="F251" s="23" t="n"/>
      <c r="G251" s="23" t="n"/>
      <c r="H251" s="24" t="n"/>
      <c r="I251" s="23" t="n"/>
      <c r="J251" s="23" t="n"/>
      <c r="K251" s="23" t="n"/>
      <c r="L251" s="23" t="n"/>
      <c r="M251" s="23" t="n"/>
      <c r="N251" s="23" t="n"/>
      <c r="O251" s="23" t="n"/>
      <c r="P251" s="23" t="n"/>
      <c r="Q251" s="23" t="n"/>
      <c r="R251" s="23" t="n"/>
      <c r="S251" s="23" t="n"/>
      <c r="T251" s="23" t="n"/>
      <c r="U251" s="23" t="n"/>
      <c r="V251" s="23" t="n"/>
      <c r="W251" s="23" t="n"/>
      <c r="X251" s="23" t="n"/>
      <c r="Y251" s="25" t="n"/>
      <c r="Z251" s="25" t="n"/>
      <c r="AA251" s="23" t="n"/>
      <c r="AB251" s="25" t="n"/>
      <c r="AC251" s="23" t="n"/>
      <c r="AD251" s="25" t="n"/>
      <c r="AE251" s="23" t="n"/>
      <c r="AF251" s="25" t="n"/>
      <c r="AG251" s="25" t="n"/>
      <c r="AH251" s="23" t="n"/>
      <c r="AI251" s="23" t="n"/>
      <c r="AJ251" s="26">
        <f>IF(I251="","",I251&amp;"|"&amp;R251)</f>
        <v/>
      </c>
      <c r="AK251" s="26">
        <f>IF(I251="","",IF(ISNA(MATCH(O251,Kampanyalar!$A$2:$A$150,0)),"Hayır - Kampanyalar'da Yok","Evet"))</f>
        <v/>
      </c>
      <c r="AL251" s="27">
        <f>IF(I251="","",IFERROR(INDEX(Kampanyalar!$E$2:$E$150,MATCH(O251,Kampanyalar!$A$2:$A$150,0)),""))</f>
        <v/>
      </c>
      <c r="AM251" s="27">
        <f>IF(I251="","",IFERROR(INDEX(Kampanyalar!$F$2:$F$150,MATCH(O251,Kampanyalar!$A$2:$A$150,0)),""))</f>
        <v/>
      </c>
      <c r="AN251" s="27">
        <f>IF(I251="","",IFERROR(INDEX(Kampanyalar!$G$2:$G$150,MATCH(O251,Kampanyalar!$A$2:$A$150,0)),""))</f>
        <v/>
      </c>
      <c r="AO251" s="26">
        <f>IF(OR(I251="",AL251="",AM251=""),"",IF(AND(H251&gt;=AL251,H251&lt;=AM251),"Evet","HAYIR - Tarih Dışı"))</f>
        <v/>
      </c>
      <c r="AP251" s="28">
        <f>IF(I251="","",IFERROR(INDEX(Kampanyalar!$H$2:$H$150,MATCH(O251,Kampanyalar!$A$2:$A$150,0)),""))</f>
        <v/>
      </c>
      <c r="AQ251" s="28">
        <f>IF(I251="","",IF(ISNUMBER(AP251),AP251,AD251))</f>
        <v/>
      </c>
      <c r="AR251" s="26">
        <f>IF(I251="","",IF(Parametreler!$C$7="Evet","Kural A - Hemen Ödeme (Stok Mutabakatlı)","Kural B - Nakliye/Montaj Sonrası Ödeme"))</f>
        <v/>
      </c>
    </row>
    <row r="252">
      <c r="A252" s="23" t="n"/>
      <c r="B252" s="23" t="n"/>
      <c r="C252" s="23" t="n"/>
      <c r="D252" s="23" t="n"/>
      <c r="E252" s="23" t="n"/>
      <c r="F252" s="23" t="n"/>
      <c r="G252" s="23" t="n"/>
      <c r="H252" s="24" t="n"/>
      <c r="I252" s="23" t="n"/>
      <c r="J252" s="23" t="n"/>
      <c r="K252" s="23" t="n"/>
      <c r="L252" s="23" t="n"/>
      <c r="M252" s="23" t="n"/>
      <c r="N252" s="23" t="n"/>
      <c r="O252" s="23" t="n"/>
      <c r="P252" s="23" t="n"/>
      <c r="Q252" s="23" t="n"/>
      <c r="R252" s="23" t="n"/>
      <c r="S252" s="23" t="n"/>
      <c r="T252" s="23" t="n"/>
      <c r="U252" s="23" t="n"/>
      <c r="V252" s="23" t="n"/>
      <c r="W252" s="23" t="n"/>
      <c r="X252" s="23" t="n"/>
      <c r="Y252" s="25" t="n"/>
      <c r="Z252" s="25" t="n"/>
      <c r="AA252" s="23" t="n"/>
      <c r="AB252" s="25" t="n"/>
      <c r="AC252" s="23" t="n"/>
      <c r="AD252" s="25" t="n"/>
      <c r="AE252" s="23" t="n"/>
      <c r="AF252" s="25" t="n"/>
      <c r="AG252" s="25" t="n"/>
      <c r="AH252" s="23" t="n"/>
      <c r="AI252" s="23" t="n"/>
      <c r="AJ252" s="26">
        <f>IF(I252="","",I252&amp;"|"&amp;R252)</f>
        <v/>
      </c>
      <c r="AK252" s="26">
        <f>IF(I252="","",IF(ISNA(MATCH(O252,Kampanyalar!$A$2:$A$150,0)),"Hayır - Kampanyalar'da Yok","Evet"))</f>
        <v/>
      </c>
      <c r="AL252" s="27">
        <f>IF(I252="","",IFERROR(INDEX(Kampanyalar!$E$2:$E$150,MATCH(O252,Kampanyalar!$A$2:$A$150,0)),""))</f>
        <v/>
      </c>
      <c r="AM252" s="27">
        <f>IF(I252="","",IFERROR(INDEX(Kampanyalar!$F$2:$F$150,MATCH(O252,Kampanyalar!$A$2:$A$150,0)),""))</f>
        <v/>
      </c>
      <c r="AN252" s="27">
        <f>IF(I252="","",IFERROR(INDEX(Kampanyalar!$G$2:$G$150,MATCH(O252,Kampanyalar!$A$2:$A$150,0)),""))</f>
        <v/>
      </c>
      <c r="AO252" s="26">
        <f>IF(OR(I252="",AL252="",AM252=""),"",IF(AND(H252&gt;=AL252,H252&lt;=AM252),"Evet","HAYIR - Tarih Dışı"))</f>
        <v/>
      </c>
      <c r="AP252" s="28">
        <f>IF(I252="","",IFERROR(INDEX(Kampanyalar!$H$2:$H$150,MATCH(O252,Kampanyalar!$A$2:$A$150,0)),""))</f>
        <v/>
      </c>
      <c r="AQ252" s="28">
        <f>IF(I252="","",IF(ISNUMBER(AP252),AP252,AD252))</f>
        <v/>
      </c>
      <c r="AR252" s="26">
        <f>IF(I252="","",IF(Parametreler!$C$7="Evet","Kural A - Hemen Ödeme (Stok Mutabakatlı)","Kural B - Nakliye/Montaj Sonrası Ödeme"))</f>
        <v/>
      </c>
    </row>
    <row r="253">
      <c r="A253" s="23" t="n"/>
      <c r="B253" s="23" t="n"/>
      <c r="C253" s="23" t="n"/>
      <c r="D253" s="23" t="n"/>
      <c r="E253" s="23" t="n"/>
      <c r="F253" s="23" t="n"/>
      <c r="G253" s="23" t="n"/>
      <c r="H253" s="24" t="n"/>
      <c r="I253" s="23" t="n"/>
      <c r="J253" s="23" t="n"/>
      <c r="K253" s="23" t="n"/>
      <c r="L253" s="23" t="n"/>
      <c r="M253" s="23" t="n"/>
      <c r="N253" s="23" t="n"/>
      <c r="O253" s="23" t="n"/>
      <c r="P253" s="23" t="n"/>
      <c r="Q253" s="23" t="n"/>
      <c r="R253" s="23" t="n"/>
      <c r="S253" s="23" t="n"/>
      <c r="T253" s="23" t="n"/>
      <c r="U253" s="23" t="n"/>
      <c r="V253" s="23" t="n"/>
      <c r="W253" s="23" t="n"/>
      <c r="X253" s="23" t="n"/>
      <c r="Y253" s="25" t="n"/>
      <c r="Z253" s="25" t="n"/>
      <c r="AA253" s="23" t="n"/>
      <c r="AB253" s="25" t="n"/>
      <c r="AC253" s="23" t="n"/>
      <c r="AD253" s="25" t="n"/>
      <c r="AE253" s="23" t="n"/>
      <c r="AF253" s="25" t="n"/>
      <c r="AG253" s="25" t="n"/>
      <c r="AH253" s="23" t="n"/>
      <c r="AI253" s="23" t="n"/>
      <c r="AJ253" s="26">
        <f>IF(I253="","",I253&amp;"|"&amp;R253)</f>
        <v/>
      </c>
      <c r="AK253" s="26">
        <f>IF(I253="","",IF(ISNA(MATCH(O253,Kampanyalar!$A$2:$A$150,0)),"Hayır - Kampanyalar'da Yok","Evet"))</f>
        <v/>
      </c>
      <c r="AL253" s="27">
        <f>IF(I253="","",IFERROR(INDEX(Kampanyalar!$E$2:$E$150,MATCH(O253,Kampanyalar!$A$2:$A$150,0)),""))</f>
        <v/>
      </c>
      <c r="AM253" s="27">
        <f>IF(I253="","",IFERROR(INDEX(Kampanyalar!$F$2:$F$150,MATCH(O253,Kampanyalar!$A$2:$A$150,0)),""))</f>
        <v/>
      </c>
      <c r="AN253" s="27">
        <f>IF(I253="","",IFERROR(INDEX(Kampanyalar!$G$2:$G$150,MATCH(O253,Kampanyalar!$A$2:$A$150,0)),""))</f>
        <v/>
      </c>
      <c r="AO253" s="26">
        <f>IF(OR(I253="",AL253="",AM253=""),"",IF(AND(H253&gt;=AL253,H253&lt;=AM253),"Evet","HAYIR - Tarih Dışı"))</f>
        <v/>
      </c>
      <c r="AP253" s="28">
        <f>IF(I253="","",IFERROR(INDEX(Kampanyalar!$H$2:$H$150,MATCH(O253,Kampanyalar!$A$2:$A$150,0)),""))</f>
        <v/>
      </c>
      <c r="AQ253" s="28">
        <f>IF(I253="","",IF(ISNUMBER(AP253),AP253,AD253))</f>
        <v/>
      </c>
      <c r="AR253" s="26">
        <f>IF(I253="","",IF(Parametreler!$C$7="Evet","Kural A - Hemen Ödeme (Stok Mutabakatlı)","Kural B - Nakliye/Montaj Sonrası Ödeme"))</f>
        <v/>
      </c>
    </row>
    <row r="254">
      <c r="A254" s="23" t="n"/>
      <c r="B254" s="23" t="n"/>
      <c r="C254" s="23" t="n"/>
      <c r="D254" s="23" t="n"/>
      <c r="E254" s="23" t="n"/>
      <c r="F254" s="23" t="n"/>
      <c r="G254" s="23" t="n"/>
      <c r="H254" s="24" t="n"/>
      <c r="I254" s="23" t="n"/>
      <c r="J254" s="23" t="n"/>
      <c r="K254" s="23" t="n"/>
      <c r="L254" s="23" t="n"/>
      <c r="M254" s="23" t="n"/>
      <c r="N254" s="23" t="n"/>
      <c r="O254" s="23" t="n"/>
      <c r="P254" s="23" t="n"/>
      <c r="Q254" s="23" t="n"/>
      <c r="R254" s="23" t="n"/>
      <c r="S254" s="23" t="n"/>
      <c r="T254" s="23" t="n"/>
      <c r="U254" s="23" t="n"/>
      <c r="V254" s="23" t="n"/>
      <c r="W254" s="23" t="n"/>
      <c r="X254" s="23" t="n"/>
      <c r="Y254" s="25" t="n"/>
      <c r="Z254" s="25" t="n"/>
      <c r="AA254" s="23" t="n"/>
      <c r="AB254" s="25" t="n"/>
      <c r="AC254" s="23" t="n"/>
      <c r="AD254" s="25" t="n"/>
      <c r="AE254" s="23" t="n"/>
      <c r="AF254" s="25" t="n"/>
      <c r="AG254" s="25" t="n"/>
      <c r="AH254" s="23" t="n"/>
      <c r="AI254" s="23" t="n"/>
      <c r="AJ254" s="26">
        <f>IF(I254="","",I254&amp;"|"&amp;R254)</f>
        <v/>
      </c>
      <c r="AK254" s="26">
        <f>IF(I254="","",IF(ISNA(MATCH(O254,Kampanyalar!$A$2:$A$150,0)),"Hayır - Kampanyalar'da Yok","Evet"))</f>
        <v/>
      </c>
      <c r="AL254" s="27">
        <f>IF(I254="","",IFERROR(INDEX(Kampanyalar!$E$2:$E$150,MATCH(O254,Kampanyalar!$A$2:$A$150,0)),""))</f>
        <v/>
      </c>
      <c r="AM254" s="27">
        <f>IF(I254="","",IFERROR(INDEX(Kampanyalar!$F$2:$F$150,MATCH(O254,Kampanyalar!$A$2:$A$150,0)),""))</f>
        <v/>
      </c>
      <c r="AN254" s="27">
        <f>IF(I254="","",IFERROR(INDEX(Kampanyalar!$G$2:$G$150,MATCH(O254,Kampanyalar!$A$2:$A$150,0)),""))</f>
        <v/>
      </c>
      <c r="AO254" s="26">
        <f>IF(OR(I254="",AL254="",AM254=""),"",IF(AND(H254&gt;=AL254,H254&lt;=AM254),"Evet","HAYIR - Tarih Dışı"))</f>
        <v/>
      </c>
      <c r="AP254" s="28">
        <f>IF(I254="","",IFERROR(INDEX(Kampanyalar!$H$2:$H$150,MATCH(O254,Kampanyalar!$A$2:$A$150,0)),""))</f>
        <v/>
      </c>
      <c r="AQ254" s="28">
        <f>IF(I254="","",IF(ISNUMBER(AP254),AP254,AD254))</f>
        <v/>
      </c>
      <c r="AR254" s="26">
        <f>IF(I254="","",IF(Parametreler!$C$7="Evet","Kural A - Hemen Ödeme (Stok Mutabakatlı)","Kural B - Nakliye/Montaj Sonrası Ödeme"))</f>
        <v/>
      </c>
    </row>
    <row r="255">
      <c r="A255" s="23" t="n"/>
      <c r="B255" s="23" t="n"/>
      <c r="C255" s="23" t="n"/>
      <c r="D255" s="23" t="n"/>
      <c r="E255" s="23" t="n"/>
      <c r="F255" s="23" t="n"/>
      <c r="G255" s="23" t="n"/>
      <c r="H255" s="24" t="n"/>
      <c r="I255" s="23" t="n"/>
      <c r="J255" s="23" t="n"/>
      <c r="K255" s="23" t="n"/>
      <c r="L255" s="23" t="n"/>
      <c r="M255" s="23" t="n"/>
      <c r="N255" s="23" t="n"/>
      <c r="O255" s="23" t="n"/>
      <c r="P255" s="23" t="n"/>
      <c r="Q255" s="23" t="n"/>
      <c r="R255" s="23" t="n"/>
      <c r="S255" s="23" t="n"/>
      <c r="T255" s="23" t="n"/>
      <c r="U255" s="23" t="n"/>
      <c r="V255" s="23" t="n"/>
      <c r="W255" s="23" t="n"/>
      <c r="X255" s="23" t="n"/>
      <c r="Y255" s="25" t="n"/>
      <c r="Z255" s="25" t="n"/>
      <c r="AA255" s="23" t="n"/>
      <c r="AB255" s="25" t="n"/>
      <c r="AC255" s="23" t="n"/>
      <c r="AD255" s="25" t="n"/>
      <c r="AE255" s="23" t="n"/>
      <c r="AF255" s="25" t="n"/>
      <c r="AG255" s="25" t="n"/>
      <c r="AH255" s="23" t="n"/>
      <c r="AI255" s="23" t="n"/>
      <c r="AJ255" s="26">
        <f>IF(I255="","",I255&amp;"|"&amp;R255)</f>
        <v/>
      </c>
      <c r="AK255" s="26">
        <f>IF(I255="","",IF(ISNA(MATCH(O255,Kampanyalar!$A$2:$A$150,0)),"Hayır - Kampanyalar'da Yok","Evet"))</f>
        <v/>
      </c>
      <c r="AL255" s="27">
        <f>IF(I255="","",IFERROR(INDEX(Kampanyalar!$E$2:$E$150,MATCH(O255,Kampanyalar!$A$2:$A$150,0)),""))</f>
        <v/>
      </c>
      <c r="AM255" s="27">
        <f>IF(I255="","",IFERROR(INDEX(Kampanyalar!$F$2:$F$150,MATCH(O255,Kampanyalar!$A$2:$A$150,0)),""))</f>
        <v/>
      </c>
      <c r="AN255" s="27">
        <f>IF(I255="","",IFERROR(INDEX(Kampanyalar!$G$2:$G$150,MATCH(O255,Kampanyalar!$A$2:$A$150,0)),""))</f>
        <v/>
      </c>
      <c r="AO255" s="26">
        <f>IF(OR(I255="",AL255="",AM255=""),"",IF(AND(H255&gt;=AL255,H255&lt;=AM255),"Evet","HAYIR - Tarih Dışı"))</f>
        <v/>
      </c>
      <c r="AP255" s="28">
        <f>IF(I255="","",IFERROR(INDEX(Kampanyalar!$H$2:$H$150,MATCH(O255,Kampanyalar!$A$2:$A$150,0)),""))</f>
        <v/>
      </c>
      <c r="AQ255" s="28">
        <f>IF(I255="","",IF(ISNUMBER(AP255),AP255,AD255))</f>
        <v/>
      </c>
      <c r="AR255" s="26">
        <f>IF(I255="","",IF(Parametreler!$C$7="Evet","Kural A - Hemen Ödeme (Stok Mutabakatlı)","Kural B - Nakliye/Montaj Sonrası Ödeme"))</f>
        <v/>
      </c>
    </row>
    <row r="256">
      <c r="A256" s="23" t="n"/>
      <c r="B256" s="23" t="n"/>
      <c r="C256" s="23" t="n"/>
      <c r="D256" s="23" t="n"/>
      <c r="E256" s="23" t="n"/>
      <c r="F256" s="23" t="n"/>
      <c r="G256" s="23" t="n"/>
      <c r="H256" s="24" t="n"/>
      <c r="I256" s="23" t="n"/>
      <c r="J256" s="23" t="n"/>
      <c r="K256" s="23" t="n"/>
      <c r="L256" s="23" t="n"/>
      <c r="M256" s="23" t="n"/>
      <c r="N256" s="23" t="n"/>
      <c r="O256" s="23" t="n"/>
      <c r="P256" s="23" t="n"/>
      <c r="Q256" s="23" t="n"/>
      <c r="R256" s="23" t="n"/>
      <c r="S256" s="23" t="n"/>
      <c r="T256" s="23" t="n"/>
      <c r="U256" s="23" t="n"/>
      <c r="V256" s="23" t="n"/>
      <c r="W256" s="23" t="n"/>
      <c r="X256" s="23" t="n"/>
      <c r="Y256" s="25" t="n"/>
      <c r="Z256" s="25" t="n"/>
      <c r="AA256" s="23" t="n"/>
      <c r="AB256" s="25" t="n"/>
      <c r="AC256" s="23" t="n"/>
      <c r="AD256" s="25" t="n"/>
      <c r="AE256" s="23" t="n"/>
      <c r="AF256" s="25" t="n"/>
      <c r="AG256" s="25" t="n"/>
      <c r="AH256" s="23" t="n"/>
      <c r="AI256" s="23" t="n"/>
      <c r="AJ256" s="26">
        <f>IF(I256="","",I256&amp;"|"&amp;R256)</f>
        <v/>
      </c>
      <c r="AK256" s="26">
        <f>IF(I256="","",IF(ISNA(MATCH(O256,Kampanyalar!$A$2:$A$150,0)),"Hayır - Kampanyalar'da Yok","Evet"))</f>
        <v/>
      </c>
      <c r="AL256" s="27">
        <f>IF(I256="","",IFERROR(INDEX(Kampanyalar!$E$2:$E$150,MATCH(O256,Kampanyalar!$A$2:$A$150,0)),""))</f>
        <v/>
      </c>
      <c r="AM256" s="27">
        <f>IF(I256="","",IFERROR(INDEX(Kampanyalar!$F$2:$F$150,MATCH(O256,Kampanyalar!$A$2:$A$150,0)),""))</f>
        <v/>
      </c>
      <c r="AN256" s="27">
        <f>IF(I256="","",IFERROR(INDEX(Kampanyalar!$G$2:$G$150,MATCH(O256,Kampanyalar!$A$2:$A$150,0)),""))</f>
        <v/>
      </c>
      <c r="AO256" s="26">
        <f>IF(OR(I256="",AL256="",AM256=""),"",IF(AND(H256&gt;=AL256,H256&lt;=AM256),"Evet","HAYIR - Tarih Dışı"))</f>
        <v/>
      </c>
      <c r="AP256" s="28">
        <f>IF(I256="","",IFERROR(INDEX(Kampanyalar!$H$2:$H$150,MATCH(O256,Kampanyalar!$A$2:$A$150,0)),""))</f>
        <v/>
      </c>
      <c r="AQ256" s="28">
        <f>IF(I256="","",IF(ISNUMBER(AP256),AP256,AD256))</f>
        <v/>
      </c>
      <c r="AR256" s="26">
        <f>IF(I256="","",IF(Parametreler!$C$7="Evet","Kural A - Hemen Ödeme (Stok Mutabakatlı)","Kural B - Nakliye/Montaj Sonrası Ödeme"))</f>
        <v/>
      </c>
    </row>
    <row r="257">
      <c r="A257" s="23" t="n"/>
      <c r="B257" s="23" t="n"/>
      <c r="C257" s="23" t="n"/>
      <c r="D257" s="23" t="n"/>
      <c r="E257" s="23" t="n"/>
      <c r="F257" s="23" t="n"/>
      <c r="G257" s="23" t="n"/>
      <c r="H257" s="24" t="n"/>
      <c r="I257" s="23" t="n"/>
      <c r="J257" s="23" t="n"/>
      <c r="K257" s="23" t="n"/>
      <c r="L257" s="23" t="n"/>
      <c r="M257" s="23" t="n"/>
      <c r="N257" s="23" t="n"/>
      <c r="O257" s="23" t="n"/>
      <c r="P257" s="23" t="n"/>
      <c r="Q257" s="23" t="n"/>
      <c r="R257" s="23" t="n"/>
      <c r="S257" s="23" t="n"/>
      <c r="T257" s="23" t="n"/>
      <c r="U257" s="23" t="n"/>
      <c r="V257" s="23" t="n"/>
      <c r="W257" s="23" t="n"/>
      <c r="X257" s="23" t="n"/>
      <c r="Y257" s="25" t="n"/>
      <c r="Z257" s="25" t="n"/>
      <c r="AA257" s="23" t="n"/>
      <c r="AB257" s="25" t="n"/>
      <c r="AC257" s="23" t="n"/>
      <c r="AD257" s="25" t="n"/>
      <c r="AE257" s="23" t="n"/>
      <c r="AF257" s="25" t="n"/>
      <c r="AG257" s="25" t="n"/>
      <c r="AH257" s="23" t="n"/>
      <c r="AI257" s="23" t="n"/>
      <c r="AJ257" s="26">
        <f>IF(I257="","",I257&amp;"|"&amp;R257)</f>
        <v/>
      </c>
      <c r="AK257" s="26">
        <f>IF(I257="","",IF(ISNA(MATCH(O257,Kampanyalar!$A$2:$A$150,0)),"Hayır - Kampanyalar'da Yok","Evet"))</f>
        <v/>
      </c>
      <c r="AL257" s="27">
        <f>IF(I257="","",IFERROR(INDEX(Kampanyalar!$E$2:$E$150,MATCH(O257,Kampanyalar!$A$2:$A$150,0)),""))</f>
        <v/>
      </c>
      <c r="AM257" s="27">
        <f>IF(I257="","",IFERROR(INDEX(Kampanyalar!$F$2:$F$150,MATCH(O257,Kampanyalar!$A$2:$A$150,0)),""))</f>
        <v/>
      </c>
      <c r="AN257" s="27">
        <f>IF(I257="","",IFERROR(INDEX(Kampanyalar!$G$2:$G$150,MATCH(O257,Kampanyalar!$A$2:$A$150,0)),""))</f>
        <v/>
      </c>
      <c r="AO257" s="26">
        <f>IF(OR(I257="",AL257="",AM257=""),"",IF(AND(H257&gt;=AL257,H257&lt;=AM257),"Evet","HAYIR - Tarih Dışı"))</f>
        <v/>
      </c>
      <c r="AP257" s="28">
        <f>IF(I257="","",IFERROR(INDEX(Kampanyalar!$H$2:$H$150,MATCH(O257,Kampanyalar!$A$2:$A$150,0)),""))</f>
        <v/>
      </c>
      <c r="AQ257" s="28">
        <f>IF(I257="","",IF(ISNUMBER(AP257),AP257,AD257))</f>
        <v/>
      </c>
      <c r="AR257" s="26">
        <f>IF(I257="","",IF(Parametreler!$C$7="Evet","Kural A - Hemen Ödeme (Stok Mutabakatlı)","Kural B - Nakliye/Montaj Sonrası Ödeme"))</f>
        <v/>
      </c>
    </row>
    <row r="258">
      <c r="A258" s="23" t="n"/>
      <c r="B258" s="23" t="n"/>
      <c r="C258" s="23" t="n"/>
      <c r="D258" s="23" t="n"/>
      <c r="E258" s="23" t="n"/>
      <c r="F258" s="23" t="n"/>
      <c r="G258" s="23" t="n"/>
      <c r="H258" s="24" t="n"/>
      <c r="I258" s="23" t="n"/>
      <c r="J258" s="23" t="n"/>
      <c r="K258" s="23" t="n"/>
      <c r="L258" s="23" t="n"/>
      <c r="M258" s="23" t="n"/>
      <c r="N258" s="23" t="n"/>
      <c r="O258" s="23" t="n"/>
      <c r="P258" s="23" t="n"/>
      <c r="Q258" s="23" t="n"/>
      <c r="R258" s="23" t="n"/>
      <c r="S258" s="23" t="n"/>
      <c r="T258" s="23" t="n"/>
      <c r="U258" s="23" t="n"/>
      <c r="V258" s="23" t="n"/>
      <c r="W258" s="23" t="n"/>
      <c r="X258" s="23" t="n"/>
      <c r="Y258" s="25" t="n"/>
      <c r="Z258" s="25" t="n"/>
      <c r="AA258" s="23" t="n"/>
      <c r="AB258" s="25" t="n"/>
      <c r="AC258" s="23" t="n"/>
      <c r="AD258" s="25" t="n"/>
      <c r="AE258" s="23" t="n"/>
      <c r="AF258" s="25" t="n"/>
      <c r="AG258" s="25" t="n"/>
      <c r="AH258" s="23" t="n"/>
      <c r="AI258" s="23" t="n"/>
      <c r="AJ258" s="26">
        <f>IF(I258="","",I258&amp;"|"&amp;R258)</f>
        <v/>
      </c>
      <c r="AK258" s="26">
        <f>IF(I258="","",IF(ISNA(MATCH(O258,Kampanyalar!$A$2:$A$150,0)),"Hayır - Kampanyalar'da Yok","Evet"))</f>
        <v/>
      </c>
      <c r="AL258" s="27">
        <f>IF(I258="","",IFERROR(INDEX(Kampanyalar!$E$2:$E$150,MATCH(O258,Kampanyalar!$A$2:$A$150,0)),""))</f>
        <v/>
      </c>
      <c r="AM258" s="27">
        <f>IF(I258="","",IFERROR(INDEX(Kampanyalar!$F$2:$F$150,MATCH(O258,Kampanyalar!$A$2:$A$150,0)),""))</f>
        <v/>
      </c>
      <c r="AN258" s="27">
        <f>IF(I258="","",IFERROR(INDEX(Kampanyalar!$G$2:$G$150,MATCH(O258,Kampanyalar!$A$2:$A$150,0)),""))</f>
        <v/>
      </c>
      <c r="AO258" s="26">
        <f>IF(OR(I258="",AL258="",AM258=""),"",IF(AND(H258&gt;=AL258,H258&lt;=AM258),"Evet","HAYIR - Tarih Dışı"))</f>
        <v/>
      </c>
      <c r="AP258" s="28">
        <f>IF(I258="","",IFERROR(INDEX(Kampanyalar!$H$2:$H$150,MATCH(O258,Kampanyalar!$A$2:$A$150,0)),""))</f>
        <v/>
      </c>
      <c r="AQ258" s="28">
        <f>IF(I258="","",IF(ISNUMBER(AP258),AP258,AD258))</f>
        <v/>
      </c>
      <c r="AR258" s="26">
        <f>IF(I258="","",IF(Parametreler!$C$7="Evet","Kural A - Hemen Ödeme (Stok Mutabakatlı)","Kural B - Nakliye/Montaj Sonrası Ödeme"))</f>
        <v/>
      </c>
    </row>
    <row r="259">
      <c r="A259" s="23" t="n"/>
      <c r="B259" s="23" t="n"/>
      <c r="C259" s="23" t="n"/>
      <c r="D259" s="23" t="n"/>
      <c r="E259" s="23" t="n"/>
      <c r="F259" s="23" t="n"/>
      <c r="G259" s="23" t="n"/>
      <c r="H259" s="24" t="n"/>
      <c r="I259" s="23" t="n"/>
      <c r="J259" s="23" t="n"/>
      <c r="K259" s="23" t="n"/>
      <c r="L259" s="23" t="n"/>
      <c r="M259" s="23" t="n"/>
      <c r="N259" s="23" t="n"/>
      <c r="O259" s="23" t="n"/>
      <c r="P259" s="23" t="n"/>
      <c r="Q259" s="23" t="n"/>
      <c r="R259" s="23" t="n"/>
      <c r="S259" s="23" t="n"/>
      <c r="T259" s="23" t="n"/>
      <c r="U259" s="23" t="n"/>
      <c r="V259" s="23" t="n"/>
      <c r="W259" s="23" t="n"/>
      <c r="X259" s="23" t="n"/>
      <c r="Y259" s="25" t="n"/>
      <c r="Z259" s="25" t="n"/>
      <c r="AA259" s="23" t="n"/>
      <c r="AB259" s="25" t="n"/>
      <c r="AC259" s="23" t="n"/>
      <c r="AD259" s="25" t="n"/>
      <c r="AE259" s="23" t="n"/>
      <c r="AF259" s="25" t="n"/>
      <c r="AG259" s="25" t="n"/>
      <c r="AH259" s="23" t="n"/>
      <c r="AI259" s="23" t="n"/>
      <c r="AJ259" s="26">
        <f>IF(I259="","",I259&amp;"|"&amp;R259)</f>
        <v/>
      </c>
      <c r="AK259" s="26">
        <f>IF(I259="","",IF(ISNA(MATCH(O259,Kampanyalar!$A$2:$A$150,0)),"Hayır - Kampanyalar'da Yok","Evet"))</f>
        <v/>
      </c>
      <c r="AL259" s="27">
        <f>IF(I259="","",IFERROR(INDEX(Kampanyalar!$E$2:$E$150,MATCH(O259,Kampanyalar!$A$2:$A$150,0)),""))</f>
        <v/>
      </c>
      <c r="AM259" s="27">
        <f>IF(I259="","",IFERROR(INDEX(Kampanyalar!$F$2:$F$150,MATCH(O259,Kampanyalar!$A$2:$A$150,0)),""))</f>
        <v/>
      </c>
      <c r="AN259" s="27">
        <f>IF(I259="","",IFERROR(INDEX(Kampanyalar!$G$2:$G$150,MATCH(O259,Kampanyalar!$A$2:$A$150,0)),""))</f>
        <v/>
      </c>
      <c r="AO259" s="26">
        <f>IF(OR(I259="",AL259="",AM259=""),"",IF(AND(H259&gt;=AL259,H259&lt;=AM259),"Evet","HAYIR - Tarih Dışı"))</f>
        <v/>
      </c>
      <c r="AP259" s="28">
        <f>IF(I259="","",IFERROR(INDEX(Kampanyalar!$H$2:$H$150,MATCH(O259,Kampanyalar!$A$2:$A$150,0)),""))</f>
        <v/>
      </c>
      <c r="AQ259" s="28">
        <f>IF(I259="","",IF(ISNUMBER(AP259),AP259,AD259))</f>
        <v/>
      </c>
      <c r="AR259" s="26">
        <f>IF(I259="","",IF(Parametreler!$C$7="Evet","Kural A - Hemen Ödeme (Stok Mutabakatlı)","Kural B - Nakliye/Montaj Sonrası Ödeme"))</f>
        <v/>
      </c>
    </row>
    <row r="260">
      <c r="A260" s="23" t="n"/>
      <c r="B260" s="23" t="n"/>
      <c r="C260" s="23" t="n"/>
      <c r="D260" s="23" t="n"/>
      <c r="E260" s="23" t="n"/>
      <c r="F260" s="23" t="n"/>
      <c r="G260" s="23" t="n"/>
      <c r="H260" s="24" t="n"/>
      <c r="I260" s="23" t="n"/>
      <c r="J260" s="23" t="n"/>
      <c r="K260" s="23" t="n"/>
      <c r="L260" s="23" t="n"/>
      <c r="M260" s="23" t="n"/>
      <c r="N260" s="23" t="n"/>
      <c r="O260" s="23" t="n"/>
      <c r="P260" s="23" t="n"/>
      <c r="Q260" s="23" t="n"/>
      <c r="R260" s="23" t="n"/>
      <c r="S260" s="23" t="n"/>
      <c r="T260" s="23" t="n"/>
      <c r="U260" s="23" t="n"/>
      <c r="V260" s="23" t="n"/>
      <c r="W260" s="23" t="n"/>
      <c r="X260" s="23" t="n"/>
      <c r="Y260" s="25" t="n"/>
      <c r="Z260" s="25" t="n"/>
      <c r="AA260" s="23" t="n"/>
      <c r="AB260" s="25" t="n"/>
      <c r="AC260" s="23" t="n"/>
      <c r="AD260" s="25" t="n"/>
      <c r="AE260" s="23" t="n"/>
      <c r="AF260" s="25" t="n"/>
      <c r="AG260" s="25" t="n"/>
      <c r="AH260" s="23" t="n"/>
      <c r="AI260" s="23" t="n"/>
      <c r="AJ260" s="26">
        <f>IF(I260="","",I260&amp;"|"&amp;R260)</f>
        <v/>
      </c>
      <c r="AK260" s="26">
        <f>IF(I260="","",IF(ISNA(MATCH(O260,Kampanyalar!$A$2:$A$150,0)),"Hayır - Kampanyalar'da Yok","Evet"))</f>
        <v/>
      </c>
      <c r="AL260" s="27">
        <f>IF(I260="","",IFERROR(INDEX(Kampanyalar!$E$2:$E$150,MATCH(O260,Kampanyalar!$A$2:$A$150,0)),""))</f>
        <v/>
      </c>
      <c r="AM260" s="27">
        <f>IF(I260="","",IFERROR(INDEX(Kampanyalar!$F$2:$F$150,MATCH(O260,Kampanyalar!$A$2:$A$150,0)),""))</f>
        <v/>
      </c>
      <c r="AN260" s="27">
        <f>IF(I260="","",IFERROR(INDEX(Kampanyalar!$G$2:$G$150,MATCH(O260,Kampanyalar!$A$2:$A$150,0)),""))</f>
        <v/>
      </c>
      <c r="AO260" s="26">
        <f>IF(OR(I260="",AL260="",AM260=""),"",IF(AND(H260&gt;=AL260,H260&lt;=AM260),"Evet","HAYIR - Tarih Dışı"))</f>
        <v/>
      </c>
      <c r="AP260" s="28">
        <f>IF(I260="","",IFERROR(INDEX(Kampanyalar!$H$2:$H$150,MATCH(O260,Kampanyalar!$A$2:$A$150,0)),""))</f>
        <v/>
      </c>
      <c r="AQ260" s="28">
        <f>IF(I260="","",IF(ISNUMBER(AP260),AP260,AD260))</f>
        <v/>
      </c>
      <c r="AR260" s="26">
        <f>IF(I260="","",IF(Parametreler!$C$7="Evet","Kural A - Hemen Ödeme (Stok Mutabakatlı)","Kural B - Nakliye/Montaj Sonrası Ödeme"))</f>
        <v/>
      </c>
    </row>
    <row r="261">
      <c r="A261" s="23" t="n"/>
      <c r="B261" s="23" t="n"/>
      <c r="C261" s="23" t="n"/>
      <c r="D261" s="23" t="n"/>
      <c r="E261" s="23" t="n"/>
      <c r="F261" s="23" t="n"/>
      <c r="G261" s="23" t="n"/>
      <c r="H261" s="24" t="n"/>
      <c r="I261" s="23" t="n"/>
      <c r="J261" s="23" t="n"/>
      <c r="K261" s="23" t="n"/>
      <c r="L261" s="23" t="n"/>
      <c r="M261" s="23" t="n"/>
      <c r="N261" s="23" t="n"/>
      <c r="O261" s="23" t="n"/>
      <c r="P261" s="23" t="n"/>
      <c r="Q261" s="23" t="n"/>
      <c r="R261" s="23" t="n"/>
      <c r="S261" s="23" t="n"/>
      <c r="T261" s="23" t="n"/>
      <c r="U261" s="23" t="n"/>
      <c r="V261" s="23" t="n"/>
      <c r="W261" s="23" t="n"/>
      <c r="X261" s="23" t="n"/>
      <c r="Y261" s="25" t="n"/>
      <c r="Z261" s="25" t="n"/>
      <c r="AA261" s="23" t="n"/>
      <c r="AB261" s="25" t="n"/>
      <c r="AC261" s="23" t="n"/>
      <c r="AD261" s="25" t="n"/>
      <c r="AE261" s="23" t="n"/>
      <c r="AF261" s="25" t="n"/>
      <c r="AG261" s="25" t="n"/>
      <c r="AH261" s="23" t="n"/>
      <c r="AI261" s="23" t="n"/>
      <c r="AJ261" s="26">
        <f>IF(I261="","",I261&amp;"|"&amp;R261)</f>
        <v/>
      </c>
      <c r="AK261" s="26">
        <f>IF(I261="","",IF(ISNA(MATCH(O261,Kampanyalar!$A$2:$A$150,0)),"Hayır - Kampanyalar'da Yok","Evet"))</f>
        <v/>
      </c>
      <c r="AL261" s="27">
        <f>IF(I261="","",IFERROR(INDEX(Kampanyalar!$E$2:$E$150,MATCH(O261,Kampanyalar!$A$2:$A$150,0)),""))</f>
        <v/>
      </c>
      <c r="AM261" s="27">
        <f>IF(I261="","",IFERROR(INDEX(Kampanyalar!$F$2:$F$150,MATCH(O261,Kampanyalar!$A$2:$A$150,0)),""))</f>
        <v/>
      </c>
      <c r="AN261" s="27">
        <f>IF(I261="","",IFERROR(INDEX(Kampanyalar!$G$2:$G$150,MATCH(O261,Kampanyalar!$A$2:$A$150,0)),""))</f>
        <v/>
      </c>
      <c r="AO261" s="26">
        <f>IF(OR(I261="",AL261="",AM261=""),"",IF(AND(H261&gt;=AL261,H261&lt;=AM261),"Evet","HAYIR - Tarih Dışı"))</f>
        <v/>
      </c>
      <c r="AP261" s="28">
        <f>IF(I261="","",IFERROR(INDEX(Kampanyalar!$H$2:$H$150,MATCH(O261,Kampanyalar!$A$2:$A$150,0)),""))</f>
        <v/>
      </c>
      <c r="AQ261" s="28">
        <f>IF(I261="","",IF(ISNUMBER(AP261),AP261,AD261))</f>
        <v/>
      </c>
      <c r="AR261" s="26">
        <f>IF(I261="","",IF(Parametreler!$C$7="Evet","Kural A - Hemen Ödeme (Stok Mutabakatlı)","Kural B - Nakliye/Montaj Sonrası Ödeme"))</f>
        <v/>
      </c>
    </row>
    <row r="262">
      <c r="A262" s="23" t="n"/>
      <c r="B262" s="23" t="n"/>
      <c r="C262" s="23" t="n"/>
      <c r="D262" s="23" t="n"/>
      <c r="E262" s="23" t="n"/>
      <c r="F262" s="23" t="n"/>
      <c r="G262" s="23" t="n"/>
      <c r="H262" s="24" t="n"/>
      <c r="I262" s="23" t="n"/>
      <c r="J262" s="23" t="n"/>
      <c r="K262" s="23" t="n"/>
      <c r="L262" s="23" t="n"/>
      <c r="M262" s="23" t="n"/>
      <c r="N262" s="23" t="n"/>
      <c r="O262" s="23" t="n"/>
      <c r="P262" s="23" t="n"/>
      <c r="Q262" s="23" t="n"/>
      <c r="R262" s="23" t="n"/>
      <c r="S262" s="23" t="n"/>
      <c r="T262" s="23" t="n"/>
      <c r="U262" s="23" t="n"/>
      <c r="V262" s="23" t="n"/>
      <c r="W262" s="23" t="n"/>
      <c r="X262" s="23" t="n"/>
      <c r="Y262" s="25" t="n"/>
      <c r="Z262" s="25" t="n"/>
      <c r="AA262" s="23" t="n"/>
      <c r="AB262" s="25" t="n"/>
      <c r="AC262" s="23" t="n"/>
      <c r="AD262" s="25" t="n"/>
      <c r="AE262" s="23" t="n"/>
      <c r="AF262" s="25" t="n"/>
      <c r="AG262" s="25" t="n"/>
      <c r="AH262" s="23" t="n"/>
      <c r="AI262" s="23" t="n"/>
      <c r="AJ262" s="26">
        <f>IF(I262="","",I262&amp;"|"&amp;R262)</f>
        <v/>
      </c>
      <c r="AK262" s="26">
        <f>IF(I262="","",IF(ISNA(MATCH(O262,Kampanyalar!$A$2:$A$150,0)),"Hayır - Kampanyalar'da Yok","Evet"))</f>
        <v/>
      </c>
      <c r="AL262" s="27">
        <f>IF(I262="","",IFERROR(INDEX(Kampanyalar!$E$2:$E$150,MATCH(O262,Kampanyalar!$A$2:$A$150,0)),""))</f>
        <v/>
      </c>
      <c r="AM262" s="27">
        <f>IF(I262="","",IFERROR(INDEX(Kampanyalar!$F$2:$F$150,MATCH(O262,Kampanyalar!$A$2:$A$150,0)),""))</f>
        <v/>
      </c>
      <c r="AN262" s="27">
        <f>IF(I262="","",IFERROR(INDEX(Kampanyalar!$G$2:$G$150,MATCH(O262,Kampanyalar!$A$2:$A$150,0)),""))</f>
        <v/>
      </c>
      <c r="AO262" s="26">
        <f>IF(OR(I262="",AL262="",AM262=""),"",IF(AND(H262&gt;=AL262,H262&lt;=AM262),"Evet","HAYIR - Tarih Dışı"))</f>
        <v/>
      </c>
      <c r="AP262" s="28">
        <f>IF(I262="","",IFERROR(INDEX(Kampanyalar!$H$2:$H$150,MATCH(O262,Kampanyalar!$A$2:$A$150,0)),""))</f>
        <v/>
      </c>
      <c r="AQ262" s="28">
        <f>IF(I262="","",IF(ISNUMBER(AP262),AP262,AD262))</f>
        <v/>
      </c>
      <c r="AR262" s="26">
        <f>IF(I262="","",IF(Parametreler!$C$7="Evet","Kural A - Hemen Ödeme (Stok Mutabakatlı)","Kural B - Nakliye/Montaj Sonrası Ödeme"))</f>
        <v/>
      </c>
    </row>
    <row r="263">
      <c r="A263" s="23" t="n"/>
      <c r="B263" s="23" t="n"/>
      <c r="C263" s="23" t="n"/>
      <c r="D263" s="23" t="n"/>
      <c r="E263" s="23" t="n"/>
      <c r="F263" s="23" t="n"/>
      <c r="G263" s="23" t="n"/>
      <c r="H263" s="24" t="n"/>
      <c r="I263" s="23" t="n"/>
      <c r="J263" s="23" t="n"/>
      <c r="K263" s="23" t="n"/>
      <c r="L263" s="23" t="n"/>
      <c r="M263" s="23" t="n"/>
      <c r="N263" s="23" t="n"/>
      <c r="O263" s="23" t="n"/>
      <c r="P263" s="23" t="n"/>
      <c r="Q263" s="23" t="n"/>
      <c r="R263" s="23" t="n"/>
      <c r="S263" s="23" t="n"/>
      <c r="T263" s="23" t="n"/>
      <c r="U263" s="23" t="n"/>
      <c r="V263" s="23" t="n"/>
      <c r="W263" s="23" t="n"/>
      <c r="X263" s="23" t="n"/>
      <c r="Y263" s="25" t="n"/>
      <c r="Z263" s="25" t="n"/>
      <c r="AA263" s="23" t="n"/>
      <c r="AB263" s="25" t="n"/>
      <c r="AC263" s="23" t="n"/>
      <c r="AD263" s="25" t="n"/>
      <c r="AE263" s="23" t="n"/>
      <c r="AF263" s="25" t="n"/>
      <c r="AG263" s="25" t="n"/>
      <c r="AH263" s="23" t="n"/>
      <c r="AI263" s="23" t="n"/>
      <c r="AJ263" s="26">
        <f>IF(I263="","",I263&amp;"|"&amp;R263)</f>
        <v/>
      </c>
      <c r="AK263" s="26">
        <f>IF(I263="","",IF(ISNA(MATCH(O263,Kampanyalar!$A$2:$A$150,0)),"Hayır - Kampanyalar'da Yok","Evet"))</f>
        <v/>
      </c>
      <c r="AL263" s="27">
        <f>IF(I263="","",IFERROR(INDEX(Kampanyalar!$E$2:$E$150,MATCH(O263,Kampanyalar!$A$2:$A$150,0)),""))</f>
        <v/>
      </c>
      <c r="AM263" s="27">
        <f>IF(I263="","",IFERROR(INDEX(Kampanyalar!$F$2:$F$150,MATCH(O263,Kampanyalar!$A$2:$A$150,0)),""))</f>
        <v/>
      </c>
      <c r="AN263" s="27">
        <f>IF(I263="","",IFERROR(INDEX(Kampanyalar!$G$2:$G$150,MATCH(O263,Kampanyalar!$A$2:$A$150,0)),""))</f>
        <v/>
      </c>
      <c r="AO263" s="26">
        <f>IF(OR(I263="",AL263="",AM263=""),"",IF(AND(H263&gt;=AL263,H263&lt;=AM263),"Evet","HAYIR - Tarih Dışı"))</f>
        <v/>
      </c>
      <c r="AP263" s="28">
        <f>IF(I263="","",IFERROR(INDEX(Kampanyalar!$H$2:$H$150,MATCH(O263,Kampanyalar!$A$2:$A$150,0)),""))</f>
        <v/>
      </c>
      <c r="AQ263" s="28">
        <f>IF(I263="","",IF(ISNUMBER(AP263),AP263,AD263))</f>
        <v/>
      </c>
      <c r="AR263" s="26">
        <f>IF(I263="","",IF(Parametreler!$C$7="Evet","Kural A - Hemen Ödeme (Stok Mutabakatlı)","Kural B - Nakliye/Montaj Sonrası Ödeme"))</f>
        <v/>
      </c>
    </row>
    <row r="264">
      <c r="A264" s="23" t="n"/>
      <c r="B264" s="23" t="n"/>
      <c r="C264" s="23" t="n"/>
      <c r="D264" s="23" t="n"/>
      <c r="E264" s="23" t="n"/>
      <c r="F264" s="23" t="n"/>
      <c r="G264" s="23" t="n"/>
      <c r="H264" s="24" t="n"/>
      <c r="I264" s="23" t="n"/>
      <c r="J264" s="23" t="n"/>
      <c r="K264" s="23" t="n"/>
      <c r="L264" s="23" t="n"/>
      <c r="M264" s="23" t="n"/>
      <c r="N264" s="23" t="n"/>
      <c r="O264" s="23" t="n"/>
      <c r="P264" s="23" t="n"/>
      <c r="Q264" s="23" t="n"/>
      <c r="R264" s="23" t="n"/>
      <c r="S264" s="23" t="n"/>
      <c r="T264" s="23" t="n"/>
      <c r="U264" s="23" t="n"/>
      <c r="V264" s="23" t="n"/>
      <c r="W264" s="23" t="n"/>
      <c r="X264" s="23" t="n"/>
      <c r="Y264" s="25" t="n"/>
      <c r="Z264" s="25" t="n"/>
      <c r="AA264" s="23" t="n"/>
      <c r="AB264" s="25" t="n"/>
      <c r="AC264" s="23" t="n"/>
      <c r="AD264" s="25" t="n"/>
      <c r="AE264" s="23" t="n"/>
      <c r="AF264" s="25" t="n"/>
      <c r="AG264" s="25" t="n"/>
      <c r="AH264" s="23" t="n"/>
      <c r="AI264" s="23" t="n"/>
      <c r="AJ264" s="26">
        <f>IF(I264="","",I264&amp;"|"&amp;R264)</f>
        <v/>
      </c>
      <c r="AK264" s="26">
        <f>IF(I264="","",IF(ISNA(MATCH(O264,Kampanyalar!$A$2:$A$150,0)),"Hayır - Kampanyalar'da Yok","Evet"))</f>
        <v/>
      </c>
      <c r="AL264" s="27">
        <f>IF(I264="","",IFERROR(INDEX(Kampanyalar!$E$2:$E$150,MATCH(O264,Kampanyalar!$A$2:$A$150,0)),""))</f>
        <v/>
      </c>
      <c r="AM264" s="27">
        <f>IF(I264="","",IFERROR(INDEX(Kampanyalar!$F$2:$F$150,MATCH(O264,Kampanyalar!$A$2:$A$150,0)),""))</f>
        <v/>
      </c>
      <c r="AN264" s="27">
        <f>IF(I264="","",IFERROR(INDEX(Kampanyalar!$G$2:$G$150,MATCH(O264,Kampanyalar!$A$2:$A$150,0)),""))</f>
        <v/>
      </c>
      <c r="AO264" s="26">
        <f>IF(OR(I264="",AL264="",AM264=""),"",IF(AND(H264&gt;=AL264,H264&lt;=AM264),"Evet","HAYIR - Tarih Dışı"))</f>
        <v/>
      </c>
      <c r="AP264" s="28">
        <f>IF(I264="","",IFERROR(INDEX(Kampanyalar!$H$2:$H$150,MATCH(O264,Kampanyalar!$A$2:$A$150,0)),""))</f>
        <v/>
      </c>
      <c r="AQ264" s="28">
        <f>IF(I264="","",IF(ISNUMBER(AP264),AP264,AD264))</f>
        <v/>
      </c>
      <c r="AR264" s="26">
        <f>IF(I264="","",IF(Parametreler!$C$7="Evet","Kural A - Hemen Ödeme (Stok Mutabakatlı)","Kural B - Nakliye/Montaj Sonrası Ödeme"))</f>
        <v/>
      </c>
    </row>
    <row r="265">
      <c r="A265" s="23" t="n"/>
      <c r="B265" s="23" t="n"/>
      <c r="C265" s="23" t="n"/>
      <c r="D265" s="23" t="n"/>
      <c r="E265" s="23" t="n"/>
      <c r="F265" s="23" t="n"/>
      <c r="G265" s="23" t="n"/>
      <c r="H265" s="24" t="n"/>
      <c r="I265" s="23" t="n"/>
      <c r="J265" s="23" t="n"/>
      <c r="K265" s="23" t="n"/>
      <c r="L265" s="23" t="n"/>
      <c r="M265" s="23" t="n"/>
      <c r="N265" s="23" t="n"/>
      <c r="O265" s="23" t="n"/>
      <c r="P265" s="23" t="n"/>
      <c r="Q265" s="23" t="n"/>
      <c r="R265" s="23" t="n"/>
      <c r="S265" s="23" t="n"/>
      <c r="T265" s="23" t="n"/>
      <c r="U265" s="23" t="n"/>
      <c r="V265" s="23" t="n"/>
      <c r="W265" s="23" t="n"/>
      <c r="X265" s="23" t="n"/>
      <c r="Y265" s="25" t="n"/>
      <c r="Z265" s="25" t="n"/>
      <c r="AA265" s="23" t="n"/>
      <c r="AB265" s="25" t="n"/>
      <c r="AC265" s="23" t="n"/>
      <c r="AD265" s="25" t="n"/>
      <c r="AE265" s="23" t="n"/>
      <c r="AF265" s="25" t="n"/>
      <c r="AG265" s="25" t="n"/>
      <c r="AH265" s="23" t="n"/>
      <c r="AI265" s="23" t="n"/>
      <c r="AJ265" s="26">
        <f>IF(I265="","",I265&amp;"|"&amp;R265)</f>
        <v/>
      </c>
      <c r="AK265" s="26">
        <f>IF(I265="","",IF(ISNA(MATCH(O265,Kampanyalar!$A$2:$A$150,0)),"Hayır - Kampanyalar'da Yok","Evet"))</f>
        <v/>
      </c>
      <c r="AL265" s="27">
        <f>IF(I265="","",IFERROR(INDEX(Kampanyalar!$E$2:$E$150,MATCH(O265,Kampanyalar!$A$2:$A$150,0)),""))</f>
        <v/>
      </c>
      <c r="AM265" s="27">
        <f>IF(I265="","",IFERROR(INDEX(Kampanyalar!$F$2:$F$150,MATCH(O265,Kampanyalar!$A$2:$A$150,0)),""))</f>
        <v/>
      </c>
      <c r="AN265" s="27">
        <f>IF(I265="","",IFERROR(INDEX(Kampanyalar!$G$2:$G$150,MATCH(O265,Kampanyalar!$A$2:$A$150,0)),""))</f>
        <v/>
      </c>
      <c r="AO265" s="26">
        <f>IF(OR(I265="",AL265="",AM265=""),"",IF(AND(H265&gt;=AL265,H265&lt;=AM265),"Evet","HAYIR - Tarih Dışı"))</f>
        <v/>
      </c>
      <c r="AP265" s="28">
        <f>IF(I265="","",IFERROR(INDEX(Kampanyalar!$H$2:$H$150,MATCH(O265,Kampanyalar!$A$2:$A$150,0)),""))</f>
        <v/>
      </c>
      <c r="AQ265" s="28">
        <f>IF(I265="","",IF(ISNUMBER(AP265),AP265,AD265))</f>
        <v/>
      </c>
      <c r="AR265" s="26">
        <f>IF(I265="","",IF(Parametreler!$C$7="Evet","Kural A - Hemen Ödeme (Stok Mutabakatlı)","Kural B - Nakliye/Montaj Sonrası Ödeme"))</f>
        <v/>
      </c>
    </row>
    <row r="266">
      <c r="A266" s="23" t="n"/>
      <c r="B266" s="23" t="n"/>
      <c r="C266" s="23" t="n"/>
      <c r="D266" s="23" t="n"/>
      <c r="E266" s="23" t="n"/>
      <c r="F266" s="23" t="n"/>
      <c r="G266" s="23" t="n"/>
      <c r="H266" s="24" t="n"/>
      <c r="I266" s="23" t="n"/>
      <c r="J266" s="23" t="n"/>
      <c r="K266" s="23" t="n"/>
      <c r="L266" s="23" t="n"/>
      <c r="M266" s="23" t="n"/>
      <c r="N266" s="23" t="n"/>
      <c r="O266" s="23" t="n"/>
      <c r="P266" s="23" t="n"/>
      <c r="Q266" s="23" t="n"/>
      <c r="R266" s="23" t="n"/>
      <c r="S266" s="23" t="n"/>
      <c r="T266" s="23" t="n"/>
      <c r="U266" s="23" t="n"/>
      <c r="V266" s="23" t="n"/>
      <c r="W266" s="23" t="n"/>
      <c r="X266" s="23" t="n"/>
      <c r="Y266" s="25" t="n"/>
      <c r="Z266" s="25" t="n"/>
      <c r="AA266" s="23" t="n"/>
      <c r="AB266" s="25" t="n"/>
      <c r="AC266" s="23" t="n"/>
      <c r="AD266" s="25" t="n"/>
      <c r="AE266" s="23" t="n"/>
      <c r="AF266" s="25" t="n"/>
      <c r="AG266" s="25" t="n"/>
      <c r="AH266" s="23" t="n"/>
      <c r="AI266" s="23" t="n"/>
      <c r="AJ266" s="26">
        <f>IF(I266="","",I266&amp;"|"&amp;R266)</f>
        <v/>
      </c>
      <c r="AK266" s="26">
        <f>IF(I266="","",IF(ISNA(MATCH(O266,Kampanyalar!$A$2:$A$150,0)),"Hayır - Kampanyalar'da Yok","Evet"))</f>
        <v/>
      </c>
      <c r="AL266" s="27">
        <f>IF(I266="","",IFERROR(INDEX(Kampanyalar!$E$2:$E$150,MATCH(O266,Kampanyalar!$A$2:$A$150,0)),""))</f>
        <v/>
      </c>
      <c r="AM266" s="27">
        <f>IF(I266="","",IFERROR(INDEX(Kampanyalar!$F$2:$F$150,MATCH(O266,Kampanyalar!$A$2:$A$150,0)),""))</f>
        <v/>
      </c>
      <c r="AN266" s="27">
        <f>IF(I266="","",IFERROR(INDEX(Kampanyalar!$G$2:$G$150,MATCH(O266,Kampanyalar!$A$2:$A$150,0)),""))</f>
        <v/>
      </c>
      <c r="AO266" s="26">
        <f>IF(OR(I266="",AL266="",AM266=""),"",IF(AND(H266&gt;=AL266,H266&lt;=AM266),"Evet","HAYIR - Tarih Dışı"))</f>
        <v/>
      </c>
      <c r="AP266" s="28">
        <f>IF(I266="","",IFERROR(INDEX(Kampanyalar!$H$2:$H$150,MATCH(O266,Kampanyalar!$A$2:$A$150,0)),""))</f>
        <v/>
      </c>
      <c r="AQ266" s="28">
        <f>IF(I266="","",IF(ISNUMBER(AP266),AP266,AD266))</f>
        <v/>
      </c>
      <c r="AR266" s="26">
        <f>IF(I266="","",IF(Parametreler!$C$7="Evet","Kural A - Hemen Ödeme (Stok Mutabakatlı)","Kural B - Nakliye/Montaj Sonrası Ödeme"))</f>
        <v/>
      </c>
    </row>
    <row r="267">
      <c r="A267" s="23" t="n"/>
      <c r="B267" s="23" t="n"/>
      <c r="C267" s="23" t="n"/>
      <c r="D267" s="23" t="n"/>
      <c r="E267" s="23" t="n"/>
      <c r="F267" s="23" t="n"/>
      <c r="G267" s="23" t="n"/>
      <c r="H267" s="24" t="n"/>
      <c r="I267" s="23" t="n"/>
      <c r="J267" s="23" t="n"/>
      <c r="K267" s="23" t="n"/>
      <c r="L267" s="23" t="n"/>
      <c r="M267" s="23" t="n"/>
      <c r="N267" s="23" t="n"/>
      <c r="O267" s="23" t="n"/>
      <c r="P267" s="23" t="n"/>
      <c r="Q267" s="23" t="n"/>
      <c r="R267" s="23" t="n"/>
      <c r="S267" s="23" t="n"/>
      <c r="T267" s="23" t="n"/>
      <c r="U267" s="23" t="n"/>
      <c r="V267" s="23" t="n"/>
      <c r="W267" s="23" t="n"/>
      <c r="X267" s="23" t="n"/>
      <c r="Y267" s="25" t="n"/>
      <c r="Z267" s="25" t="n"/>
      <c r="AA267" s="23" t="n"/>
      <c r="AB267" s="25" t="n"/>
      <c r="AC267" s="23" t="n"/>
      <c r="AD267" s="25" t="n"/>
      <c r="AE267" s="23" t="n"/>
      <c r="AF267" s="25" t="n"/>
      <c r="AG267" s="25" t="n"/>
      <c r="AH267" s="23" t="n"/>
      <c r="AI267" s="23" t="n"/>
      <c r="AJ267" s="26">
        <f>IF(I267="","",I267&amp;"|"&amp;R267)</f>
        <v/>
      </c>
      <c r="AK267" s="26">
        <f>IF(I267="","",IF(ISNA(MATCH(O267,Kampanyalar!$A$2:$A$150,0)),"Hayır - Kampanyalar'da Yok","Evet"))</f>
        <v/>
      </c>
      <c r="AL267" s="27">
        <f>IF(I267="","",IFERROR(INDEX(Kampanyalar!$E$2:$E$150,MATCH(O267,Kampanyalar!$A$2:$A$150,0)),""))</f>
        <v/>
      </c>
      <c r="AM267" s="27">
        <f>IF(I267="","",IFERROR(INDEX(Kampanyalar!$F$2:$F$150,MATCH(O267,Kampanyalar!$A$2:$A$150,0)),""))</f>
        <v/>
      </c>
      <c r="AN267" s="27">
        <f>IF(I267="","",IFERROR(INDEX(Kampanyalar!$G$2:$G$150,MATCH(O267,Kampanyalar!$A$2:$A$150,0)),""))</f>
        <v/>
      </c>
      <c r="AO267" s="26">
        <f>IF(OR(I267="",AL267="",AM267=""),"",IF(AND(H267&gt;=AL267,H267&lt;=AM267),"Evet","HAYIR - Tarih Dışı"))</f>
        <v/>
      </c>
      <c r="AP267" s="28">
        <f>IF(I267="","",IFERROR(INDEX(Kampanyalar!$H$2:$H$150,MATCH(O267,Kampanyalar!$A$2:$A$150,0)),""))</f>
        <v/>
      </c>
      <c r="AQ267" s="28">
        <f>IF(I267="","",IF(ISNUMBER(AP267),AP267,AD267))</f>
        <v/>
      </c>
      <c r="AR267" s="26">
        <f>IF(I267="","",IF(Parametreler!$C$7="Evet","Kural A - Hemen Ödeme (Stok Mutabakatlı)","Kural B - Nakliye/Montaj Sonrası Ödeme"))</f>
        <v/>
      </c>
    </row>
    <row r="268">
      <c r="A268" s="23" t="n"/>
      <c r="B268" s="23" t="n"/>
      <c r="C268" s="23" t="n"/>
      <c r="D268" s="23" t="n"/>
      <c r="E268" s="23" t="n"/>
      <c r="F268" s="23" t="n"/>
      <c r="G268" s="23" t="n"/>
      <c r="H268" s="24" t="n"/>
      <c r="I268" s="23" t="n"/>
      <c r="J268" s="23" t="n"/>
      <c r="K268" s="23" t="n"/>
      <c r="L268" s="23" t="n"/>
      <c r="M268" s="23" t="n"/>
      <c r="N268" s="23" t="n"/>
      <c r="O268" s="23" t="n"/>
      <c r="P268" s="23" t="n"/>
      <c r="Q268" s="23" t="n"/>
      <c r="R268" s="23" t="n"/>
      <c r="S268" s="23" t="n"/>
      <c r="T268" s="23" t="n"/>
      <c r="U268" s="23" t="n"/>
      <c r="V268" s="23" t="n"/>
      <c r="W268" s="23" t="n"/>
      <c r="X268" s="23" t="n"/>
      <c r="Y268" s="25" t="n"/>
      <c r="Z268" s="25" t="n"/>
      <c r="AA268" s="23" t="n"/>
      <c r="AB268" s="25" t="n"/>
      <c r="AC268" s="23" t="n"/>
      <c r="AD268" s="25" t="n"/>
      <c r="AE268" s="23" t="n"/>
      <c r="AF268" s="25" t="n"/>
      <c r="AG268" s="25" t="n"/>
      <c r="AH268" s="23" t="n"/>
      <c r="AI268" s="23" t="n"/>
      <c r="AJ268" s="26">
        <f>IF(I268="","",I268&amp;"|"&amp;R268)</f>
        <v/>
      </c>
      <c r="AK268" s="26">
        <f>IF(I268="","",IF(ISNA(MATCH(O268,Kampanyalar!$A$2:$A$150,0)),"Hayır - Kampanyalar'da Yok","Evet"))</f>
        <v/>
      </c>
      <c r="AL268" s="27">
        <f>IF(I268="","",IFERROR(INDEX(Kampanyalar!$E$2:$E$150,MATCH(O268,Kampanyalar!$A$2:$A$150,0)),""))</f>
        <v/>
      </c>
      <c r="AM268" s="27">
        <f>IF(I268="","",IFERROR(INDEX(Kampanyalar!$F$2:$F$150,MATCH(O268,Kampanyalar!$A$2:$A$150,0)),""))</f>
        <v/>
      </c>
      <c r="AN268" s="27">
        <f>IF(I268="","",IFERROR(INDEX(Kampanyalar!$G$2:$G$150,MATCH(O268,Kampanyalar!$A$2:$A$150,0)),""))</f>
        <v/>
      </c>
      <c r="AO268" s="26">
        <f>IF(OR(I268="",AL268="",AM268=""),"",IF(AND(H268&gt;=AL268,H268&lt;=AM268),"Evet","HAYIR - Tarih Dışı"))</f>
        <v/>
      </c>
      <c r="AP268" s="28">
        <f>IF(I268="","",IFERROR(INDEX(Kampanyalar!$H$2:$H$150,MATCH(O268,Kampanyalar!$A$2:$A$150,0)),""))</f>
        <v/>
      </c>
      <c r="AQ268" s="28">
        <f>IF(I268="","",IF(ISNUMBER(AP268),AP268,AD268))</f>
        <v/>
      </c>
      <c r="AR268" s="26">
        <f>IF(I268="","",IF(Parametreler!$C$7="Evet","Kural A - Hemen Ödeme (Stok Mutabakatlı)","Kural B - Nakliye/Montaj Sonrası Ödeme"))</f>
        <v/>
      </c>
    </row>
    <row r="269">
      <c r="A269" s="23" t="n"/>
      <c r="B269" s="23" t="n"/>
      <c r="C269" s="23" t="n"/>
      <c r="D269" s="23" t="n"/>
      <c r="E269" s="23" t="n"/>
      <c r="F269" s="23" t="n"/>
      <c r="G269" s="23" t="n"/>
      <c r="H269" s="24" t="n"/>
      <c r="I269" s="23" t="n"/>
      <c r="J269" s="23" t="n"/>
      <c r="K269" s="23" t="n"/>
      <c r="L269" s="23" t="n"/>
      <c r="M269" s="23" t="n"/>
      <c r="N269" s="23" t="n"/>
      <c r="O269" s="23" t="n"/>
      <c r="P269" s="23" t="n"/>
      <c r="Q269" s="23" t="n"/>
      <c r="R269" s="23" t="n"/>
      <c r="S269" s="23" t="n"/>
      <c r="T269" s="23" t="n"/>
      <c r="U269" s="23" t="n"/>
      <c r="V269" s="23" t="n"/>
      <c r="W269" s="23" t="n"/>
      <c r="X269" s="23" t="n"/>
      <c r="Y269" s="25" t="n"/>
      <c r="Z269" s="25" t="n"/>
      <c r="AA269" s="23" t="n"/>
      <c r="AB269" s="25" t="n"/>
      <c r="AC269" s="23" t="n"/>
      <c r="AD269" s="25" t="n"/>
      <c r="AE269" s="23" t="n"/>
      <c r="AF269" s="25" t="n"/>
      <c r="AG269" s="25" t="n"/>
      <c r="AH269" s="23" t="n"/>
      <c r="AI269" s="23" t="n"/>
      <c r="AJ269" s="26">
        <f>IF(I269="","",I269&amp;"|"&amp;R269)</f>
        <v/>
      </c>
      <c r="AK269" s="26">
        <f>IF(I269="","",IF(ISNA(MATCH(O269,Kampanyalar!$A$2:$A$150,0)),"Hayır - Kampanyalar'da Yok","Evet"))</f>
        <v/>
      </c>
      <c r="AL269" s="27">
        <f>IF(I269="","",IFERROR(INDEX(Kampanyalar!$E$2:$E$150,MATCH(O269,Kampanyalar!$A$2:$A$150,0)),""))</f>
        <v/>
      </c>
      <c r="AM269" s="27">
        <f>IF(I269="","",IFERROR(INDEX(Kampanyalar!$F$2:$F$150,MATCH(O269,Kampanyalar!$A$2:$A$150,0)),""))</f>
        <v/>
      </c>
      <c r="AN269" s="27">
        <f>IF(I269="","",IFERROR(INDEX(Kampanyalar!$G$2:$G$150,MATCH(O269,Kampanyalar!$A$2:$A$150,0)),""))</f>
        <v/>
      </c>
      <c r="AO269" s="26">
        <f>IF(OR(I269="",AL269="",AM269=""),"",IF(AND(H269&gt;=AL269,H269&lt;=AM269),"Evet","HAYIR - Tarih Dışı"))</f>
        <v/>
      </c>
      <c r="AP269" s="28">
        <f>IF(I269="","",IFERROR(INDEX(Kampanyalar!$H$2:$H$150,MATCH(O269,Kampanyalar!$A$2:$A$150,0)),""))</f>
        <v/>
      </c>
      <c r="AQ269" s="28">
        <f>IF(I269="","",IF(ISNUMBER(AP269),AP269,AD269))</f>
        <v/>
      </c>
      <c r="AR269" s="26">
        <f>IF(I269="","",IF(Parametreler!$C$7="Evet","Kural A - Hemen Ödeme (Stok Mutabakatlı)","Kural B - Nakliye/Montaj Sonrası Ödeme"))</f>
        <v/>
      </c>
    </row>
    <row r="270">
      <c r="A270" s="23" t="n"/>
      <c r="B270" s="23" t="n"/>
      <c r="C270" s="23" t="n"/>
      <c r="D270" s="23" t="n"/>
      <c r="E270" s="23" t="n"/>
      <c r="F270" s="23" t="n"/>
      <c r="G270" s="23" t="n"/>
      <c r="H270" s="24" t="n"/>
      <c r="I270" s="23" t="n"/>
      <c r="J270" s="23" t="n"/>
      <c r="K270" s="23" t="n"/>
      <c r="L270" s="23" t="n"/>
      <c r="M270" s="23" t="n"/>
      <c r="N270" s="23" t="n"/>
      <c r="O270" s="23" t="n"/>
      <c r="P270" s="23" t="n"/>
      <c r="Q270" s="23" t="n"/>
      <c r="R270" s="23" t="n"/>
      <c r="S270" s="23" t="n"/>
      <c r="T270" s="23" t="n"/>
      <c r="U270" s="23" t="n"/>
      <c r="V270" s="23" t="n"/>
      <c r="W270" s="23" t="n"/>
      <c r="X270" s="23" t="n"/>
      <c r="Y270" s="25" t="n"/>
      <c r="Z270" s="25" t="n"/>
      <c r="AA270" s="23" t="n"/>
      <c r="AB270" s="25" t="n"/>
      <c r="AC270" s="23" t="n"/>
      <c r="AD270" s="25" t="n"/>
      <c r="AE270" s="23" t="n"/>
      <c r="AF270" s="25" t="n"/>
      <c r="AG270" s="25" t="n"/>
      <c r="AH270" s="23" t="n"/>
      <c r="AI270" s="23" t="n"/>
      <c r="AJ270" s="26">
        <f>IF(I270="","",I270&amp;"|"&amp;R270)</f>
        <v/>
      </c>
      <c r="AK270" s="26">
        <f>IF(I270="","",IF(ISNA(MATCH(O270,Kampanyalar!$A$2:$A$150,0)),"Hayır - Kampanyalar'da Yok","Evet"))</f>
        <v/>
      </c>
      <c r="AL270" s="27">
        <f>IF(I270="","",IFERROR(INDEX(Kampanyalar!$E$2:$E$150,MATCH(O270,Kampanyalar!$A$2:$A$150,0)),""))</f>
        <v/>
      </c>
      <c r="AM270" s="27">
        <f>IF(I270="","",IFERROR(INDEX(Kampanyalar!$F$2:$F$150,MATCH(O270,Kampanyalar!$A$2:$A$150,0)),""))</f>
        <v/>
      </c>
      <c r="AN270" s="27">
        <f>IF(I270="","",IFERROR(INDEX(Kampanyalar!$G$2:$G$150,MATCH(O270,Kampanyalar!$A$2:$A$150,0)),""))</f>
        <v/>
      </c>
      <c r="AO270" s="26">
        <f>IF(OR(I270="",AL270="",AM270=""),"",IF(AND(H270&gt;=AL270,H270&lt;=AM270),"Evet","HAYIR - Tarih Dışı"))</f>
        <v/>
      </c>
      <c r="AP270" s="28">
        <f>IF(I270="","",IFERROR(INDEX(Kampanyalar!$H$2:$H$150,MATCH(O270,Kampanyalar!$A$2:$A$150,0)),""))</f>
        <v/>
      </c>
      <c r="AQ270" s="28">
        <f>IF(I270="","",IF(ISNUMBER(AP270),AP270,AD270))</f>
        <v/>
      </c>
      <c r="AR270" s="26">
        <f>IF(I270="","",IF(Parametreler!$C$7="Evet","Kural A - Hemen Ödeme (Stok Mutabakatlı)","Kural B - Nakliye/Montaj Sonrası Ödeme"))</f>
        <v/>
      </c>
    </row>
    <row r="271">
      <c r="A271" s="23" t="n"/>
      <c r="B271" s="23" t="n"/>
      <c r="C271" s="23" t="n"/>
      <c r="D271" s="23" t="n"/>
      <c r="E271" s="23" t="n"/>
      <c r="F271" s="23" t="n"/>
      <c r="G271" s="23" t="n"/>
      <c r="H271" s="24" t="n"/>
      <c r="I271" s="23" t="n"/>
      <c r="J271" s="23" t="n"/>
      <c r="K271" s="23" t="n"/>
      <c r="L271" s="23" t="n"/>
      <c r="M271" s="23" t="n"/>
      <c r="N271" s="23" t="n"/>
      <c r="O271" s="23" t="n"/>
      <c r="P271" s="23" t="n"/>
      <c r="Q271" s="23" t="n"/>
      <c r="R271" s="23" t="n"/>
      <c r="S271" s="23" t="n"/>
      <c r="T271" s="23" t="n"/>
      <c r="U271" s="23" t="n"/>
      <c r="V271" s="23" t="n"/>
      <c r="W271" s="23" t="n"/>
      <c r="X271" s="23" t="n"/>
      <c r="Y271" s="25" t="n"/>
      <c r="Z271" s="25" t="n"/>
      <c r="AA271" s="23" t="n"/>
      <c r="AB271" s="25" t="n"/>
      <c r="AC271" s="23" t="n"/>
      <c r="AD271" s="25" t="n"/>
      <c r="AE271" s="23" t="n"/>
      <c r="AF271" s="25" t="n"/>
      <c r="AG271" s="25" t="n"/>
      <c r="AH271" s="23" t="n"/>
      <c r="AI271" s="23" t="n"/>
      <c r="AJ271" s="26">
        <f>IF(I271="","",I271&amp;"|"&amp;R271)</f>
        <v/>
      </c>
      <c r="AK271" s="26">
        <f>IF(I271="","",IF(ISNA(MATCH(O271,Kampanyalar!$A$2:$A$150,0)),"Hayır - Kampanyalar'da Yok","Evet"))</f>
        <v/>
      </c>
      <c r="AL271" s="27">
        <f>IF(I271="","",IFERROR(INDEX(Kampanyalar!$E$2:$E$150,MATCH(O271,Kampanyalar!$A$2:$A$150,0)),""))</f>
        <v/>
      </c>
      <c r="AM271" s="27">
        <f>IF(I271="","",IFERROR(INDEX(Kampanyalar!$F$2:$F$150,MATCH(O271,Kampanyalar!$A$2:$A$150,0)),""))</f>
        <v/>
      </c>
      <c r="AN271" s="27">
        <f>IF(I271="","",IFERROR(INDEX(Kampanyalar!$G$2:$G$150,MATCH(O271,Kampanyalar!$A$2:$A$150,0)),""))</f>
        <v/>
      </c>
      <c r="AO271" s="26">
        <f>IF(OR(I271="",AL271="",AM271=""),"",IF(AND(H271&gt;=AL271,H271&lt;=AM271),"Evet","HAYIR - Tarih Dışı"))</f>
        <v/>
      </c>
      <c r="AP271" s="28">
        <f>IF(I271="","",IFERROR(INDEX(Kampanyalar!$H$2:$H$150,MATCH(O271,Kampanyalar!$A$2:$A$150,0)),""))</f>
        <v/>
      </c>
      <c r="AQ271" s="28">
        <f>IF(I271="","",IF(ISNUMBER(AP271),AP271,AD271))</f>
        <v/>
      </c>
      <c r="AR271" s="26">
        <f>IF(I271="","",IF(Parametreler!$C$7="Evet","Kural A - Hemen Ödeme (Stok Mutabakatlı)","Kural B - Nakliye/Montaj Sonrası Ödeme"))</f>
        <v/>
      </c>
    </row>
    <row r="272">
      <c r="A272" s="23" t="n"/>
      <c r="B272" s="23" t="n"/>
      <c r="C272" s="23" t="n"/>
      <c r="D272" s="23" t="n"/>
      <c r="E272" s="23" t="n"/>
      <c r="F272" s="23" t="n"/>
      <c r="G272" s="23" t="n"/>
      <c r="H272" s="24" t="n"/>
      <c r="I272" s="23" t="n"/>
      <c r="J272" s="23" t="n"/>
      <c r="K272" s="23" t="n"/>
      <c r="L272" s="23" t="n"/>
      <c r="M272" s="23" t="n"/>
      <c r="N272" s="23" t="n"/>
      <c r="O272" s="23" t="n"/>
      <c r="P272" s="23" t="n"/>
      <c r="Q272" s="23" t="n"/>
      <c r="R272" s="23" t="n"/>
      <c r="S272" s="23" t="n"/>
      <c r="T272" s="23" t="n"/>
      <c r="U272" s="23" t="n"/>
      <c r="V272" s="23" t="n"/>
      <c r="W272" s="23" t="n"/>
      <c r="X272" s="23" t="n"/>
      <c r="Y272" s="25" t="n"/>
      <c r="Z272" s="25" t="n"/>
      <c r="AA272" s="23" t="n"/>
      <c r="AB272" s="25" t="n"/>
      <c r="AC272" s="23" t="n"/>
      <c r="AD272" s="25" t="n"/>
      <c r="AE272" s="23" t="n"/>
      <c r="AF272" s="25" t="n"/>
      <c r="AG272" s="25" t="n"/>
      <c r="AH272" s="23" t="n"/>
      <c r="AI272" s="23" t="n"/>
      <c r="AJ272" s="26">
        <f>IF(I272="","",I272&amp;"|"&amp;R272)</f>
        <v/>
      </c>
      <c r="AK272" s="26">
        <f>IF(I272="","",IF(ISNA(MATCH(O272,Kampanyalar!$A$2:$A$150,0)),"Hayır - Kampanyalar'da Yok","Evet"))</f>
        <v/>
      </c>
      <c r="AL272" s="27">
        <f>IF(I272="","",IFERROR(INDEX(Kampanyalar!$E$2:$E$150,MATCH(O272,Kampanyalar!$A$2:$A$150,0)),""))</f>
        <v/>
      </c>
      <c r="AM272" s="27">
        <f>IF(I272="","",IFERROR(INDEX(Kampanyalar!$F$2:$F$150,MATCH(O272,Kampanyalar!$A$2:$A$150,0)),""))</f>
        <v/>
      </c>
      <c r="AN272" s="27">
        <f>IF(I272="","",IFERROR(INDEX(Kampanyalar!$G$2:$G$150,MATCH(O272,Kampanyalar!$A$2:$A$150,0)),""))</f>
        <v/>
      </c>
      <c r="AO272" s="26">
        <f>IF(OR(I272="",AL272="",AM272=""),"",IF(AND(H272&gt;=AL272,H272&lt;=AM272),"Evet","HAYIR - Tarih Dışı"))</f>
        <v/>
      </c>
      <c r="AP272" s="28">
        <f>IF(I272="","",IFERROR(INDEX(Kampanyalar!$H$2:$H$150,MATCH(O272,Kampanyalar!$A$2:$A$150,0)),""))</f>
        <v/>
      </c>
      <c r="AQ272" s="28">
        <f>IF(I272="","",IF(ISNUMBER(AP272),AP272,AD272))</f>
        <v/>
      </c>
      <c r="AR272" s="26">
        <f>IF(I272="","",IF(Parametreler!$C$7="Evet","Kural A - Hemen Ödeme (Stok Mutabakatlı)","Kural B - Nakliye/Montaj Sonrası Ödeme"))</f>
        <v/>
      </c>
    </row>
    <row r="273">
      <c r="A273" s="23" t="n"/>
      <c r="B273" s="23" t="n"/>
      <c r="C273" s="23" t="n"/>
      <c r="D273" s="23" t="n"/>
      <c r="E273" s="23" t="n"/>
      <c r="F273" s="23" t="n"/>
      <c r="G273" s="23" t="n"/>
      <c r="H273" s="24" t="n"/>
      <c r="I273" s="23" t="n"/>
      <c r="J273" s="23" t="n"/>
      <c r="K273" s="23" t="n"/>
      <c r="L273" s="23" t="n"/>
      <c r="M273" s="23" t="n"/>
      <c r="N273" s="23" t="n"/>
      <c r="O273" s="23" t="n"/>
      <c r="P273" s="23" t="n"/>
      <c r="Q273" s="23" t="n"/>
      <c r="R273" s="23" t="n"/>
      <c r="S273" s="23" t="n"/>
      <c r="T273" s="23" t="n"/>
      <c r="U273" s="23" t="n"/>
      <c r="V273" s="23" t="n"/>
      <c r="W273" s="23" t="n"/>
      <c r="X273" s="23" t="n"/>
      <c r="Y273" s="25" t="n"/>
      <c r="Z273" s="25" t="n"/>
      <c r="AA273" s="23" t="n"/>
      <c r="AB273" s="25" t="n"/>
      <c r="AC273" s="23" t="n"/>
      <c r="AD273" s="25" t="n"/>
      <c r="AE273" s="23" t="n"/>
      <c r="AF273" s="25" t="n"/>
      <c r="AG273" s="25" t="n"/>
      <c r="AH273" s="23" t="n"/>
      <c r="AI273" s="23" t="n"/>
      <c r="AJ273" s="26">
        <f>IF(I273="","",I273&amp;"|"&amp;R273)</f>
        <v/>
      </c>
      <c r="AK273" s="26">
        <f>IF(I273="","",IF(ISNA(MATCH(O273,Kampanyalar!$A$2:$A$150,0)),"Hayır - Kampanyalar'da Yok","Evet"))</f>
        <v/>
      </c>
      <c r="AL273" s="27">
        <f>IF(I273="","",IFERROR(INDEX(Kampanyalar!$E$2:$E$150,MATCH(O273,Kampanyalar!$A$2:$A$150,0)),""))</f>
        <v/>
      </c>
      <c r="AM273" s="27">
        <f>IF(I273="","",IFERROR(INDEX(Kampanyalar!$F$2:$F$150,MATCH(O273,Kampanyalar!$A$2:$A$150,0)),""))</f>
        <v/>
      </c>
      <c r="AN273" s="27">
        <f>IF(I273="","",IFERROR(INDEX(Kampanyalar!$G$2:$G$150,MATCH(O273,Kampanyalar!$A$2:$A$150,0)),""))</f>
        <v/>
      </c>
      <c r="AO273" s="26">
        <f>IF(OR(I273="",AL273="",AM273=""),"",IF(AND(H273&gt;=AL273,H273&lt;=AM273),"Evet","HAYIR - Tarih Dışı"))</f>
        <v/>
      </c>
      <c r="AP273" s="28">
        <f>IF(I273="","",IFERROR(INDEX(Kampanyalar!$H$2:$H$150,MATCH(O273,Kampanyalar!$A$2:$A$150,0)),""))</f>
        <v/>
      </c>
      <c r="AQ273" s="28">
        <f>IF(I273="","",IF(ISNUMBER(AP273),AP273,AD273))</f>
        <v/>
      </c>
      <c r="AR273" s="26">
        <f>IF(I273="","",IF(Parametreler!$C$7="Evet","Kural A - Hemen Ödeme (Stok Mutabakatlı)","Kural B - Nakliye/Montaj Sonrası Ödeme"))</f>
        <v/>
      </c>
    </row>
    <row r="274">
      <c r="A274" s="23" t="n"/>
      <c r="B274" s="23" t="n"/>
      <c r="C274" s="23" t="n"/>
      <c r="D274" s="23" t="n"/>
      <c r="E274" s="23" t="n"/>
      <c r="F274" s="23" t="n"/>
      <c r="G274" s="23" t="n"/>
      <c r="H274" s="24" t="n"/>
      <c r="I274" s="23" t="n"/>
      <c r="J274" s="23" t="n"/>
      <c r="K274" s="23" t="n"/>
      <c r="L274" s="23" t="n"/>
      <c r="M274" s="23" t="n"/>
      <c r="N274" s="23" t="n"/>
      <c r="O274" s="23" t="n"/>
      <c r="P274" s="23" t="n"/>
      <c r="Q274" s="23" t="n"/>
      <c r="R274" s="23" t="n"/>
      <c r="S274" s="23" t="n"/>
      <c r="T274" s="23" t="n"/>
      <c r="U274" s="23" t="n"/>
      <c r="V274" s="23" t="n"/>
      <c r="W274" s="23" t="n"/>
      <c r="X274" s="23" t="n"/>
      <c r="Y274" s="25" t="n"/>
      <c r="Z274" s="25" t="n"/>
      <c r="AA274" s="23" t="n"/>
      <c r="AB274" s="25" t="n"/>
      <c r="AC274" s="23" t="n"/>
      <c r="AD274" s="25" t="n"/>
      <c r="AE274" s="23" t="n"/>
      <c r="AF274" s="25" t="n"/>
      <c r="AG274" s="25" t="n"/>
      <c r="AH274" s="23" t="n"/>
      <c r="AI274" s="23" t="n"/>
      <c r="AJ274" s="26">
        <f>IF(I274="","",I274&amp;"|"&amp;R274)</f>
        <v/>
      </c>
      <c r="AK274" s="26">
        <f>IF(I274="","",IF(ISNA(MATCH(O274,Kampanyalar!$A$2:$A$150,0)),"Hayır - Kampanyalar'da Yok","Evet"))</f>
        <v/>
      </c>
      <c r="AL274" s="27">
        <f>IF(I274="","",IFERROR(INDEX(Kampanyalar!$E$2:$E$150,MATCH(O274,Kampanyalar!$A$2:$A$150,0)),""))</f>
        <v/>
      </c>
      <c r="AM274" s="27">
        <f>IF(I274="","",IFERROR(INDEX(Kampanyalar!$F$2:$F$150,MATCH(O274,Kampanyalar!$A$2:$A$150,0)),""))</f>
        <v/>
      </c>
      <c r="AN274" s="27">
        <f>IF(I274="","",IFERROR(INDEX(Kampanyalar!$G$2:$G$150,MATCH(O274,Kampanyalar!$A$2:$A$150,0)),""))</f>
        <v/>
      </c>
      <c r="AO274" s="26">
        <f>IF(OR(I274="",AL274="",AM274=""),"",IF(AND(H274&gt;=AL274,H274&lt;=AM274),"Evet","HAYIR - Tarih Dışı"))</f>
        <v/>
      </c>
      <c r="AP274" s="28">
        <f>IF(I274="","",IFERROR(INDEX(Kampanyalar!$H$2:$H$150,MATCH(O274,Kampanyalar!$A$2:$A$150,0)),""))</f>
        <v/>
      </c>
      <c r="AQ274" s="28">
        <f>IF(I274="","",IF(ISNUMBER(AP274),AP274,AD274))</f>
        <v/>
      </c>
      <c r="AR274" s="26">
        <f>IF(I274="","",IF(Parametreler!$C$7="Evet","Kural A - Hemen Ödeme (Stok Mutabakatlı)","Kural B - Nakliye/Montaj Sonrası Ödeme"))</f>
        <v/>
      </c>
    </row>
    <row r="275">
      <c r="A275" s="23" t="n"/>
      <c r="B275" s="23" t="n"/>
      <c r="C275" s="23" t="n"/>
      <c r="D275" s="23" t="n"/>
      <c r="E275" s="23" t="n"/>
      <c r="F275" s="23" t="n"/>
      <c r="G275" s="23" t="n"/>
      <c r="H275" s="24" t="n"/>
      <c r="I275" s="23" t="n"/>
      <c r="J275" s="23" t="n"/>
      <c r="K275" s="23" t="n"/>
      <c r="L275" s="23" t="n"/>
      <c r="M275" s="23" t="n"/>
      <c r="N275" s="23" t="n"/>
      <c r="O275" s="23" t="n"/>
      <c r="P275" s="23" t="n"/>
      <c r="Q275" s="23" t="n"/>
      <c r="R275" s="23" t="n"/>
      <c r="S275" s="23" t="n"/>
      <c r="T275" s="23" t="n"/>
      <c r="U275" s="23" t="n"/>
      <c r="V275" s="23" t="n"/>
      <c r="W275" s="23" t="n"/>
      <c r="X275" s="23" t="n"/>
      <c r="Y275" s="25" t="n"/>
      <c r="Z275" s="25" t="n"/>
      <c r="AA275" s="23" t="n"/>
      <c r="AB275" s="25" t="n"/>
      <c r="AC275" s="23" t="n"/>
      <c r="AD275" s="25" t="n"/>
      <c r="AE275" s="23" t="n"/>
      <c r="AF275" s="25" t="n"/>
      <c r="AG275" s="25" t="n"/>
      <c r="AH275" s="23" t="n"/>
      <c r="AI275" s="23" t="n"/>
      <c r="AJ275" s="26">
        <f>IF(I275="","",I275&amp;"|"&amp;R275)</f>
        <v/>
      </c>
      <c r="AK275" s="26">
        <f>IF(I275="","",IF(ISNA(MATCH(O275,Kampanyalar!$A$2:$A$150,0)),"Hayır - Kampanyalar'da Yok","Evet"))</f>
        <v/>
      </c>
      <c r="AL275" s="27">
        <f>IF(I275="","",IFERROR(INDEX(Kampanyalar!$E$2:$E$150,MATCH(O275,Kampanyalar!$A$2:$A$150,0)),""))</f>
        <v/>
      </c>
      <c r="AM275" s="27">
        <f>IF(I275="","",IFERROR(INDEX(Kampanyalar!$F$2:$F$150,MATCH(O275,Kampanyalar!$A$2:$A$150,0)),""))</f>
        <v/>
      </c>
      <c r="AN275" s="27">
        <f>IF(I275="","",IFERROR(INDEX(Kampanyalar!$G$2:$G$150,MATCH(O275,Kampanyalar!$A$2:$A$150,0)),""))</f>
        <v/>
      </c>
      <c r="AO275" s="26">
        <f>IF(OR(I275="",AL275="",AM275=""),"",IF(AND(H275&gt;=AL275,H275&lt;=AM275),"Evet","HAYIR - Tarih Dışı"))</f>
        <v/>
      </c>
      <c r="AP275" s="28">
        <f>IF(I275="","",IFERROR(INDEX(Kampanyalar!$H$2:$H$150,MATCH(O275,Kampanyalar!$A$2:$A$150,0)),""))</f>
        <v/>
      </c>
      <c r="AQ275" s="28">
        <f>IF(I275="","",IF(ISNUMBER(AP275),AP275,AD275))</f>
        <v/>
      </c>
      <c r="AR275" s="26">
        <f>IF(I275="","",IF(Parametreler!$C$7="Evet","Kural A - Hemen Ödeme (Stok Mutabakatlı)","Kural B - Nakliye/Montaj Sonrası Ödeme"))</f>
        <v/>
      </c>
    </row>
    <row r="276">
      <c r="A276" s="23" t="n"/>
      <c r="B276" s="23" t="n"/>
      <c r="C276" s="23" t="n"/>
      <c r="D276" s="23" t="n"/>
      <c r="E276" s="23" t="n"/>
      <c r="F276" s="23" t="n"/>
      <c r="G276" s="23" t="n"/>
      <c r="H276" s="24" t="n"/>
      <c r="I276" s="23" t="n"/>
      <c r="J276" s="23" t="n"/>
      <c r="K276" s="23" t="n"/>
      <c r="L276" s="23" t="n"/>
      <c r="M276" s="23" t="n"/>
      <c r="N276" s="23" t="n"/>
      <c r="O276" s="23" t="n"/>
      <c r="P276" s="23" t="n"/>
      <c r="Q276" s="23" t="n"/>
      <c r="R276" s="23" t="n"/>
      <c r="S276" s="23" t="n"/>
      <c r="T276" s="23" t="n"/>
      <c r="U276" s="23" t="n"/>
      <c r="V276" s="23" t="n"/>
      <c r="W276" s="23" t="n"/>
      <c r="X276" s="23" t="n"/>
      <c r="Y276" s="25" t="n"/>
      <c r="Z276" s="25" t="n"/>
      <c r="AA276" s="23" t="n"/>
      <c r="AB276" s="25" t="n"/>
      <c r="AC276" s="23" t="n"/>
      <c r="AD276" s="25" t="n"/>
      <c r="AE276" s="23" t="n"/>
      <c r="AF276" s="25" t="n"/>
      <c r="AG276" s="25" t="n"/>
      <c r="AH276" s="23" t="n"/>
      <c r="AI276" s="23" t="n"/>
      <c r="AJ276" s="26">
        <f>IF(I276="","",I276&amp;"|"&amp;R276)</f>
        <v/>
      </c>
      <c r="AK276" s="26">
        <f>IF(I276="","",IF(ISNA(MATCH(O276,Kampanyalar!$A$2:$A$150,0)),"Hayır - Kampanyalar'da Yok","Evet"))</f>
        <v/>
      </c>
      <c r="AL276" s="27">
        <f>IF(I276="","",IFERROR(INDEX(Kampanyalar!$E$2:$E$150,MATCH(O276,Kampanyalar!$A$2:$A$150,0)),""))</f>
        <v/>
      </c>
      <c r="AM276" s="27">
        <f>IF(I276="","",IFERROR(INDEX(Kampanyalar!$F$2:$F$150,MATCH(O276,Kampanyalar!$A$2:$A$150,0)),""))</f>
        <v/>
      </c>
      <c r="AN276" s="27">
        <f>IF(I276="","",IFERROR(INDEX(Kampanyalar!$G$2:$G$150,MATCH(O276,Kampanyalar!$A$2:$A$150,0)),""))</f>
        <v/>
      </c>
      <c r="AO276" s="26">
        <f>IF(OR(I276="",AL276="",AM276=""),"",IF(AND(H276&gt;=AL276,H276&lt;=AM276),"Evet","HAYIR - Tarih Dışı"))</f>
        <v/>
      </c>
      <c r="AP276" s="28">
        <f>IF(I276="","",IFERROR(INDEX(Kampanyalar!$H$2:$H$150,MATCH(O276,Kampanyalar!$A$2:$A$150,0)),""))</f>
        <v/>
      </c>
      <c r="AQ276" s="28">
        <f>IF(I276="","",IF(ISNUMBER(AP276),AP276,AD276))</f>
        <v/>
      </c>
      <c r="AR276" s="26">
        <f>IF(I276="","",IF(Parametreler!$C$7="Evet","Kural A - Hemen Ödeme (Stok Mutabakatlı)","Kural B - Nakliye/Montaj Sonrası Ödeme"))</f>
        <v/>
      </c>
    </row>
    <row r="277">
      <c r="A277" s="23" t="n"/>
      <c r="B277" s="23" t="n"/>
      <c r="C277" s="23" t="n"/>
      <c r="D277" s="23" t="n"/>
      <c r="E277" s="23" t="n"/>
      <c r="F277" s="23" t="n"/>
      <c r="G277" s="23" t="n"/>
      <c r="H277" s="24" t="n"/>
      <c r="I277" s="23" t="n"/>
      <c r="J277" s="23" t="n"/>
      <c r="K277" s="23" t="n"/>
      <c r="L277" s="23" t="n"/>
      <c r="M277" s="23" t="n"/>
      <c r="N277" s="23" t="n"/>
      <c r="O277" s="23" t="n"/>
      <c r="P277" s="23" t="n"/>
      <c r="Q277" s="23" t="n"/>
      <c r="R277" s="23" t="n"/>
      <c r="S277" s="23" t="n"/>
      <c r="T277" s="23" t="n"/>
      <c r="U277" s="23" t="n"/>
      <c r="V277" s="23" t="n"/>
      <c r="W277" s="23" t="n"/>
      <c r="X277" s="23" t="n"/>
      <c r="Y277" s="25" t="n"/>
      <c r="Z277" s="25" t="n"/>
      <c r="AA277" s="23" t="n"/>
      <c r="AB277" s="25" t="n"/>
      <c r="AC277" s="23" t="n"/>
      <c r="AD277" s="25" t="n"/>
      <c r="AE277" s="23" t="n"/>
      <c r="AF277" s="25" t="n"/>
      <c r="AG277" s="25" t="n"/>
      <c r="AH277" s="23" t="n"/>
      <c r="AI277" s="23" t="n"/>
      <c r="AJ277" s="26">
        <f>IF(I277="","",I277&amp;"|"&amp;R277)</f>
        <v/>
      </c>
      <c r="AK277" s="26">
        <f>IF(I277="","",IF(ISNA(MATCH(O277,Kampanyalar!$A$2:$A$150,0)),"Hayır - Kampanyalar'da Yok","Evet"))</f>
        <v/>
      </c>
      <c r="AL277" s="27">
        <f>IF(I277="","",IFERROR(INDEX(Kampanyalar!$E$2:$E$150,MATCH(O277,Kampanyalar!$A$2:$A$150,0)),""))</f>
        <v/>
      </c>
      <c r="AM277" s="27">
        <f>IF(I277="","",IFERROR(INDEX(Kampanyalar!$F$2:$F$150,MATCH(O277,Kampanyalar!$A$2:$A$150,0)),""))</f>
        <v/>
      </c>
      <c r="AN277" s="27">
        <f>IF(I277="","",IFERROR(INDEX(Kampanyalar!$G$2:$G$150,MATCH(O277,Kampanyalar!$A$2:$A$150,0)),""))</f>
        <v/>
      </c>
      <c r="AO277" s="26">
        <f>IF(OR(I277="",AL277="",AM277=""),"",IF(AND(H277&gt;=AL277,H277&lt;=AM277),"Evet","HAYIR - Tarih Dışı"))</f>
        <v/>
      </c>
      <c r="AP277" s="28">
        <f>IF(I277="","",IFERROR(INDEX(Kampanyalar!$H$2:$H$150,MATCH(O277,Kampanyalar!$A$2:$A$150,0)),""))</f>
        <v/>
      </c>
      <c r="AQ277" s="28">
        <f>IF(I277="","",IF(ISNUMBER(AP277),AP277,AD277))</f>
        <v/>
      </c>
      <c r="AR277" s="26">
        <f>IF(I277="","",IF(Parametreler!$C$7="Evet","Kural A - Hemen Ödeme (Stok Mutabakatlı)","Kural B - Nakliye/Montaj Sonrası Ödeme"))</f>
        <v/>
      </c>
    </row>
    <row r="278">
      <c r="A278" s="23" t="n"/>
      <c r="B278" s="23" t="n"/>
      <c r="C278" s="23" t="n"/>
      <c r="D278" s="23" t="n"/>
      <c r="E278" s="23" t="n"/>
      <c r="F278" s="23" t="n"/>
      <c r="G278" s="23" t="n"/>
      <c r="H278" s="24" t="n"/>
      <c r="I278" s="23" t="n"/>
      <c r="J278" s="23" t="n"/>
      <c r="K278" s="23" t="n"/>
      <c r="L278" s="23" t="n"/>
      <c r="M278" s="23" t="n"/>
      <c r="N278" s="23" t="n"/>
      <c r="O278" s="23" t="n"/>
      <c r="P278" s="23" t="n"/>
      <c r="Q278" s="23" t="n"/>
      <c r="R278" s="23" t="n"/>
      <c r="S278" s="23" t="n"/>
      <c r="T278" s="23" t="n"/>
      <c r="U278" s="23" t="n"/>
      <c r="V278" s="23" t="n"/>
      <c r="W278" s="23" t="n"/>
      <c r="X278" s="23" t="n"/>
      <c r="Y278" s="25" t="n"/>
      <c r="Z278" s="25" t="n"/>
      <c r="AA278" s="23" t="n"/>
      <c r="AB278" s="25" t="n"/>
      <c r="AC278" s="23" t="n"/>
      <c r="AD278" s="25" t="n"/>
      <c r="AE278" s="23" t="n"/>
      <c r="AF278" s="25" t="n"/>
      <c r="AG278" s="25" t="n"/>
      <c r="AH278" s="23" t="n"/>
      <c r="AI278" s="23" t="n"/>
      <c r="AJ278" s="26">
        <f>IF(I278="","",I278&amp;"|"&amp;R278)</f>
        <v/>
      </c>
      <c r="AK278" s="26">
        <f>IF(I278="","",IF(ISNA(MATCH(O278,Kampanyalar!$A$2:$A$150,0)),"Hayır - Kampanyalar'da Yok","Evet"))</f>
        <v/>
      </c>
      <c r="AL278" s="27">
        <f>IF(I278="","",IFERROR(INDEX(Kampanyalar!$E$2:$E$150,MATCH(O278,Kampanyalar!$A$2:$A$150,0)),""))</f>
        <v/>
      </c>
      <c r="AM278" s="27">
        <f>IF(I278="","",IFERROR(INDEX(Kampanyalar!$F$2:$F$150,MATCH(O278,Kampanyalar!$A$2:$A$150,0)),""))</f>
        <v/>
      </c>
      <c r="AN278" s="27">
        <f>IF(I278="","",IFERROR(INDEX(Kampanyalar!$G$2:$G$150,MATCH(O278,Kampanyalar!$A$2:$A$150,0)),""))</f>
        <v/>
      </c>
      <c r="AO278" s="26">
        <f>IF(OR(I278="",AL278="",AM278=""),"",IF(AND(H278&gt;=AL278,H278&lt;=AM278),"Evet","HAYIR - Tarih Dışı"))</f>
        <v/>
      </c>
      <c r="AP278" s="28">
        <f>IF(I278="","",IFERROR(INDEX(Kampanyalar!$H$2:$H$150,MATCH(O278,Kampanyalar!$A$2:$A$150,0)),""))</f>
        <v/>
      </c>
      <c r="AQ278" s="28">
        <f>IF(I278="","",IF(ISNUMBER(AP278),AP278,AD278))</f>
        <v/>
      </c>
      <c r="AR278" s="26">
        <f>IF(I278="","",IF(Parametreler!$C$7="Evet","Kural A - Hemen Ödeme (Stok Mutabakatlı)","Kural B - Nakliye/Montaj Sonrası Ödeme"))</f>
        <v/>
      </c>
    </row>
    <row r="279">
      <c r="A279" s="23" t="n"/>
      <c r="B279" s="23" t="n"/>
      <c r="C279" s="23" t="n"/>
      <c r="D279" s="23" t="n"/>
      <c r="E279" s="23" t="n"/>
      <c r="F279" s="23" t="n"/>
      <c r="G279" s="23" t="n"/>
      <c r="H279" s="24" t="n"/>
      <c r="I279" s="23" t="n"/>
      <c r="J279" s="23" t="n"/>
      <c r="K279" s="23" t="n"/>
      <c r="L279" s="23" t="n"/>
      <c r="M279" s="23" t="n"/>
      <c r="N279" s="23" t="n"/>
      <c r="O279" s="23" t="n"/>
      <c r="P279" s="23" t="n"/>
      <c r="Q279" s="23" t="n"/>
      <c r="R279" s="23" t="n"/>
      <c r="S279" s="23" t="n"/>
      <c r="T279" s="23" t="n"/>
      <c r="U279" s="23" t="n"/>
      <c r="V279" s="23" t="n"/>
      <c r="W279" s="23" t="n"/>
      <c r="X279" s="23" t="n"/>
      <c r="Y279" s="25" t="n"/>
      <c r="Z279" s="25" t="n"/>
      <c r="AA279" s="23" t="n"/>
      <c r="AB279" s="25" t="n"/>
      <c r="AC279" s="23" t="n"/>
      <c r="AD279" s="25" t="n"/>
      <c r="AE279" s="23" t="n"/>
      <c r="AF279" s="25" t="n"/>
      <c r="AG279" s="25" t="n"/>
      <c r="AH279" s="23" t="n"/>
      <c r="AI279" s="23" t="n"/>
      <c r="AJ279" s="26">
        <f>IF(I279="","",I279&amp;"|"&amp;R279)</f>
        <v/>
      </c>
      <c r="AK279" s="26">
        <f>IF(I279="","",IF(ISNA(MATCH(O279,Kampanyalar!$A$2:$A$150,0)),"Hayır - Kampanyalar'da Yok","Evet"))</f>
        <v/>
      </c>
      <c r="AL279" s="27">
        <f>IF(I279="","",IFERROR(INDEX(Kampanyalar!$E$2:$E$150,MATCH(O279,Kampanyalar!$A$2:$A$150,0)),""))</f>
        <v/>
      </c>
      <c r="AM279" s="27">
        <f>IF(I279="","",IFERROR(INDEX(Kampanyalar!$F$2:$F$150,MATCH(O279,Kampanyalar!$A$2:$A$150,0)),""))</f>
        <v/>
      </c>
      <c r="AN279" s="27">
        <f>IF(I279="","",IFERROR(INDEX(Kampanyalar!$G$2:$G$150,MATCH(O279,Kampanyalar!$A$2:$A$150,0)),""))</f>
        <v/>
      </c>
      <c r="AO279" s="26">
        <f>IF(OR(I279="",AL279="",AM279=""),"",IF(AND(H279&gt;=AL279,H279&lt;=AM279),"Evet","HAYIR - Tarih Dışı"))</f>
        <v/>
      </c>
      <c r="AP279" s="28">
        <f>IF(I279="","",IFERROR(INDEX(Kampanyalar!$H$2:$H$150,MATCH(O279,Kampanyalar!$A$2:$A$150,0)),""))</f>
        <v/>
      </c>
      <c r="AQ279" s="28">
        <f>IF(I279="","",IF(ISNUMBER(AP279),AP279,AD279))</f>
        <v/>
      </c>
      <c r="AR279" s="26">
        <f>IF(I279="","",IF(Parametreler!$C$7="Evet","Kural A - Hemen Ödeme (Stok Mutabakatlı)","Kural B - Nakliye/Montaj Sonrası Ödeme"))</f>
        <v/>
      </c>
    </row>
    <row r="280">
      <c r="A280" s="23" t="n"/>
      <c r="B280" s="23" t="n"/>
      <c r="C280" s="23" t="n"/>
      <c r="D280" s="23" t="n"/>
      <c r="E280" s="23" t="n"/>
      <c r="F280" s="23" t="n"/>
      <c r="G280" s="23" t="n"/>
      <c r="H280" s="24" t="n"/>
      <c r="I280" s="23" t="n"/>
      <c r="J280" s="23" t="n"/>
      <c r="K280" s="23" t="n"/>
      <c r="L280" s="23" t="n"/>
      <c r="M280" s="23" t="n"/>
      <c r="N280" s="23" t="n"/>
      <c r="O280" s="23" t="n"/>
      <c r="P280" s="23" t="n"/>
      <c r="Q280" s="23" t="n"/>
      <c r="R280" s="23" t="n"/>
      <c r="S280" s="23" t="n"/>
      <c r="T280" s="23" t="n"/>
      <c r="U280" s="23" t="n"/>
      <c r="V280" s="23" t="n"/>
      <c r="W280" s="23" t="n"/>
      <c r="X280" s="23" t="n"/>
      <c r="Y280" s="25" t="n"/>
      <c r="Z280" s="25" t="n"/>
      <c r="AA280" s="23" t="n"/>
      <c r="AB280" s="25" t="n"/>
      <c r="AC280" s="23" t="n"/>
      <c r="AD280" s="25" t="n"/>
      <c r="AE280" s="23" t="n"/>
      <c r="AF280" s="25" t="n"/>
      <c r="AG280" s="25" t="n"/>
      <c r="AH280" s="23" t="n"/>
      <c r="AI280" s="23" t="n"/>
      <c r="AJ280" s="26">
        <f>IF(I280="","",I280&amp;"|"&amp;R280)</f>
        <v/>
      </c>
      <c r="AK280" s="26">
        <f>IF(I280="","",IF(ISNA(MATCH(O280,Kampanyalar!$A$2:$A$150,0)),"Hayır - Kampanyalar'da Yok","Evet"))</f>
        <v/>
      </c>
      <c r="AL280" s="27">
        <f>IF(I280="","",IFERROR(INDEX(Kampanyalar!$E$2:$E$150,MATCH(O280,Kampanyalar!$A$2:$A$150,0)),""))</f>
        <v/>
      </c>
      <c r="AM280" s="27">
        <f>IF(I280="","",IFERROR(INDEX(Kampanyalar!$F$2:$F$150,MATCH(O280,Kampanyalar!$A$2:$A$150,0)),""))</f>
        <v/>
      </c>
      <c r="AN280" s="27">
        <f>IF(I280="","",IFERROR(INDEX(Kampanyalar!$G$2:$G$150,MATCH(O280,Kampanyalar!$A$2:$A$150,0)),""))</f>
        <v/>
      </c>
      <c r="AO280" s="26">
        <f>IF(OR(I280="",AL280="",AM280=""),"",IF(AND(H280&gt;=AL280,H280&lt;=AM280),"Evet","HAYIR - Tarih Dışı"))</f>
        <v/>
      </c>
      <c r="AP280" s="28">
        <f>IF(I280="","",IFERROR(INDEX(Kampanyalar!$H$2:$H$150,MATCH(O280,Kampanyalar!$A$2:$A$150,0)),""))</f>
        <v/>
      </c>
      <c r="AQ280" s="28">
        <f>IF(I280="","",IF(ISNUMBER(AP280),AP280,AD280))</f>
        <v/>
      </c>
      <c r="AR280" s="26">
        <f>IF(I280="","",IF(Parametreler!$C$7="Evet","Kural A - Hemen Ödeme (Stok Mutabakatlı)","Kural B - Nakliye/Montaj Sonrası Ödeme"))</f>
        <v/>
      </c>
    </row>
    <row r="281">
      <c r="A281" s="23" t="n"/>
      <c r="B281" s="23" t="n"/>
      <c r="C281" s="23" t="n"/>
      <c r="D281" s="23" t="n"/>
      <c r="E281" s="23" t="n"/>
      <c r="F281" s="23" t="n"/>
      <c r="G281" s="23" t="n"/>
      <c r="H281" s="24" t="n"/>
      <c r="I281" s="23" t="n"/>
      <c r="J281" s="23" t="n"/>
      <c r="K281" s="23" t="n"/>
      <c r="L281" s="23" t="n"/>
      <c r="M281" s="23" t="n"/>
      <c r="N281" s="23" t="n"/>
      <c r="O281" s="23" t="n"/>
      <c r="P281" s="23" t="n"/>
      <c r="Q281" s="23" t="n"/>
      <c r="R281" s="23" t="n"/>
      <c r="S281" s="23" t="n"/>
      <c r="T281" s="23" t="n"/>
      <c r="U281" s="23" t="n"/>
      <c r="V281" s="23" t="n"/>
      <c r="W281" s="23" t="n"/>
      <c r="X281" s="23" t="n"/>
      <c r="Y281" s="25" t="n"/>
      <c r="Z281" s="25" t="n"/>
      <c r="AA281" s="23" t="n"/>
      <c r="AB281" s="25" t="n"/>
      <c r="AC281" s="23" t="n"/>
      <c r="AD281" s="25" t="n"/>
      <c r="AE281" s="23" t="n"/>
      <c r="AF281" s="25" t="n"/>
      <c r="AG281" s="25" t="n"/>
      <c r="AH281" s="23" t="n"/>
      <c r="AI281" s="23" t="n"/>
      <c r="AJ281" s="26">
        <f>IF(I281="","",I281&amp;"|"&amp;R281)</f>
        <v/>
      </c>
      <c r="AK281" s="26">
        <f>IF(I281="","",IF(ISNA(MATCH(O281,Kampanyalar!$A$2:$A$150,0)),"Hayır - Kampanyalar'da Yok","Evet"))</f>
        <v/>
      </c>
      <c r="AL281" s="27">
        <f>IF(I281="","",IFERROR(INDEX(Kampanyalar!$E$2:$E$150,MATCH(O281,Kampanyalar!$A$2:$A$150,0)),""))</f>
        <v/>
      </c>
      <c r="AM281" s="27">
        <f>IF(I281="","",IFERROR(INDEX(Kampanyalar!$F$2:$F$150,MATCH(O281,Kampanyalar!$A$2:$A$150,0)),""))</f>
        <v/>
      </c>
      <c r="AN281" s="27">
        <f>IF(I281="","",IFERROR(INDEX(Kampanyalar!$G$2:$G$150,MATCH(O281,Kampanyalar!$A$2:$A$150,0)),""))</f>
        <v/>
      </c>
      <c r="AO281" s="26">
        <f>IF(OR(I281="",AL281="",AM281=""),"",IF(AND(H281&gt;=AL281,H281&lt;=AM281),"Evet","HAYIR - Tarih Dışı"))</f>
        <v/>
      </c>
      <c r="AP281" s="28">
        <f>IF(I281="","",IFERROR(INDEX(Kampanyalar!$H$2:$H$150,MATCH(O281,Kampanyalar!$A$2:$A$150,0)),""))</f>
        <v/>
      </c>
      <c r="AQ281" s="28">
        <f>IF(I281="","",IF(ISNUMBER(AP281),AP281,AD281))</f>
        <v/>
      </c>
      <c r="AR281" s="26">
        <f>IF(I281="","",IF(Parametreler!$C$7="Evet","Kural A - Hemen Ödeme (Stok Mutabakatlı)","Kural B - Nakliye/Montaj Sonrası Ödeme"))</f>
        <v/>
      </c>
    </row>
    <row r="282">
      <c r="A282" s="23" t="n"/>
      <c r="B282" s="23" t="n"/>
      <c r="C282" s="23" t="n"/>
      <c r="D282" s="23" t="n"/>
      <c r="E282" s="23" t="n"/>
      <c r="F282" s="23" t="n"/>
      <c r="G282" s="23" t="n"/>
      <c r="H282" s="24" t="n"/>
      <c r="I282" s="23" t="n"/>
      <c r="J282" s="23" t="n"/>
      <c r="K282" s="23" t="n"/>
      <c r="L282" s="23" t="n"/>
      <c r="M282" s="23" t="n"/>
      <c r="N282" s="23" t="n"/>
      <c r="O282" s="23" t="n"/>
      <c r="P282" s="23" t="n"/>
      <c r="Q282" s="23" t="n"/>
      <c r="R282" s="23" t="n"/>
      <c r="S282" s="23" t="n"/>
      <c r="T282" s="23" t="n"/>
      <c r="U282" s="23" t="n"/>
      <c r="V282" s="23" t="n"/>
      <c r="W282" s="23" t="n"/>
      <c r="X282" s="23" t="n"/>
      <c r="Y282" s="25" t="n"/>
      <c r="Z282" s="25" t="n"/>
      <c r="AA282" s="23" t="n"/>
      <c r="AB282" s="25" t="n"/>
      <c r="AC282" s="23" t="n"/>
      <c r="AD282" s="25" t="n"/>
      <c r="AE282" s="23" t="n"/>
      <c r="AF282" s="25" t="n"/>
      <c r="AG282" s="25" t="n"/>
      <c r="AH282" s="23" t="n"/>
      <c r="AI282" s="23" t="n"/>
      <c r="AJ282" s="26">
        <f>IF(I282="","",I282&amp;"|"&amp;R282)</f>
        <v/>
      </c>
      <c r="AK282" s="26">
        <f>IF(I282="","",IF(ISNA(MATCH(O282,Kampanyalar!$A$2:$A$150,0)),"Hayır - Kampanyalar'da Yok","Evet"))</f>
        <v/>
      </c>
      <c r="AL282" s="27">
        <f>IF(I282="","",IFERROR(INDEX(Kampanyalar!$E$2:$E$150,MATCH(O282,Kampanyalar!$A$2:$A$150,0)),""))</f>
        <v/>
      </c>
      <c r="AM282" s="27">
        <f>IF(I282="","",IFERROR(INDEX(Kampanyalar!$F$2:$F$150,MATCH(O282,Kampanyalar!$A$2:$A$150,0)),""))</f>
        <v/>
      </c>
      <c r="AN282" s="27">
        <f>IF(I282="","",IFERROR(INDEX(Kampanyalar!$G$2:$G$150,MATCH(O282,Kampanyalar!$A$2:$A$150,0)),""))</f>
        <v/>
      </c>
      <c r="AO282" s="26">
        <f>IF(OR(I282="",AL282="",AM282=""),"",IF(AND(H282&gt;=AL282,H282&lt;=AM282),"Evet","HAYIR - Tarih Dışı"))</f>
        <v/>
      </c>
      <c r="AP282" s="28">
        <f>IF(I282="","",IFERROR(INDEX(Kampanyalar!$H$2:$H$150,MATCH(O282,Kampanyalar!$A$2:$A$150,0)),""))</f>
        <v/>
      </c>
      <c r="AQ282" s="28">
        <f>IF(I282="","",IF(ISNUMBER(AP282),AP282,AD282))</f>
        <v/>
      </c>
      <c r="AR282" s="26">
        <f>IF(I282="","",IF(Parametreler!$C$7="Evet","Kural A - Hemen Ödeme (Stok Mutabakatlı)","Kural B - Nakliye/Montaj Sonrası Ödeme"))</f>
        <v/>
      </c>
    </row>
    <row r="283">
      <c r="A283" s="23" t="n"/>
      <c r="B283" s="23" t="n"/>
      <c r="C283" s="23" t="n"/>
      <c r="D283" s="23" t="n"/>
      <c r="E283" s="23" t="n"/>
      <c r="F283" s="23" t="n"/>
      <c r="G283" s="23" t="n"/>
      <c r="H283" s="24" t="n"/>
      <c r="I283" s="23" t="n"/>
      <c r="J283" s="23" t="n"/>
      <c r="K283" s="23" t="n"/>
      <c r="L283" s="23" t="n"/>
      <c r="M283" s="23" t="n"/>
      <c r="N283" s="23" t="n"/>
      <c r="O283" s="23" t="n"/>
      <c r="P283" s="23" t="n"/>
      <c r="Q283" s="23" t="n"/>
      <c r="R283" s="23" t="n"/>
      <c r="S283" s="23" t="n"/>
      <c r="T283" s="23" t="n"/>
      <c r="U283" s="23" t="n"/>
      <c r="V283" s="23" t="n"/>
      <c r="W283" s="23" t="n"/>
      <c r="X283" s="23" t="n"/>
      <c r="Y283" s="25" t="n"/>
      <c r="Z283" s="25" t="n"/>
      <c r="AA283" s="23" t="n"/>
      <c r="AB283" s="25" t="n"/>
      <c r="AC283" s="23" t="n"/>
      <c r="AD283" s="25" t="n"/>
      <c r="AE283" s="23" t="n"/>
      <c r="AF283" s="25" t="n"/>
      <c r="AG283" s="25" t="n"/>
      <c r="AH283" s="23" t="n"/>
      <c r="AI283" s="23" t="n"/>
      <c r="AJ283" s="26">
        <f>IF(I283="","",I283&amp;"|"&amp;R283)</f>
        <v/>
      </c>
      <c r="AK283" s="26">
        <f>IF(I283="","",IF(ISNA(MATCH(O283,Kampanyalar!$A$2:$A$150,0)),"Hayır - Kampanyalar'da Yok","Evet"))</f>
        <v/>
      </c>
      <c r="AL283" s="27">
        <f>IF(I283="","",IFERROR(INDEX(Kampanyalar!$E$2:$E$150,MATCH(O283,Kampanyalar!$A$2:$A$150,0)),""))</f>
        <v/>
      </c>
      <c r="AM283" s="27">
        <f>IF(I283="","",IFERROR(INDEX(Kampanyalar!$F$2:$F$150,MATCH(O283,Kampanyalar!$A$2:$A$150,0)),""))</f>
        <v/>
      </c>
      <c r="AN283" s="27">
        <f>IF(I283="","",IFERROR(INDEX(Kampanyalar!$G$2:$G$150,MATCH(O283,Kampanyalar!$A$2:$A$150,0)),""))</f>
        <v/>
      </c>
      <c r="AO283" s="26">
        <f>IF(OR(I283="",AL283="",AM283=""),"",IF(AND(H283&gt;=AL283,H283&lt;=AM283),"Evet","HAYIR - Tarih Dışı"))</f>
        <v/>
      </c>
      <c r="AP283" s="28">
        <f>IF(I283="","",IFERROR(INDEX(Kampanyalar!$H$2:$H$150,MATCH(O283,Kampanyalar!$A$2:$A$150,0)),""))</f>
        <v/>
      </c>
      <c r="AQ283" s="28">
        <f>IF(I283="","",IF(ISNUMBER(AP283),AP283,AD283))</f>
        <v/>
      </c>
      <c r="AR283" s="26">
        <f>IF(I283="","",IF(Parametreler!$C$7="Evet","Kural A - Hemen Ödeme (Stok Mutabakatlı)","Kural B - Nakliye/Montaj Sonrası Ödeme"))</f>
        <v/>
      </c>
    </row>
    <row r="284">
      <c r="A284" s="23" t="n"/>
      <c r="B284" s="23" t="n"/>
      <c r="C284" s="23" t="n"/>
      <c r="D284" s="23" t="n"/>
      <c r="E284" s="23" t="n"/>
      <c r="F284" s="23" t="n"/>
      <c r="G284" s="23" t="n"/>
      <c r="H284" s="24" t="n"/>
      <c r="I284" s="23" t="n"/>
      <c r="J284" s="23" t="n"/>
      <c r="K284" s="23" t="n"/>
      <c r="L284" s="23" t="n"/>
      <c r="M284" s="23" t="n"/>
      <c r="N284" s="23" t="n"/>
      <c r="O284" s="23" t="n"/>
      <c r="P284" s="23" t="n"/>
      <c r="Q284" s="23" t="n"/>
      <c r="R284" s="23" t="n"/>
      <c r="S284" s="23" t="n"/>
      <c r="T284" s="23" t="n"/>
      <c r="U284" s="23" t="n"/>
      <c r="V284" s="23" t="n"/>
      <c r="W284" s="23" t="n"/>
      <c r="X284" s="23" t="n"/>
      <c r="Y284" s="25" t="n"/>
      <c r="Z284" s="25" t="n"/>
      <c r="AA284" s="23" t="n"/>
      <c r="AB284" s="25" t="n"/>
      <c r="AC284" s="23" t="n"/>
      <c r="AD284" s="25" t="n"/>
      <c r="AE284" s="23" t="n"/>
      <c r="AF284" s="25" t="n"/>
      <c r="AG284" s="25" t="n"/>
      <c r="AH284" s="23" t="n"/>
      <c r="AI284" s="23" t="n"/>
      <c r="AJ284" s="26">
        <f>IF(I284="","",I284&amp;"|"&amp;R284)</f>
        <v/>
      </c>
      <c r="AK284" s="26">
        <f>IF(I284="","",IF(ISNA(MATCH(O284,Kampanyalar!$A$2:$A$150,0)),"Hayır - Kampanyalar'da Yok","Evet"))</f>
        <v/>
      </c>
      <c r="AL284" s="27">
        <f>IF(I284="","",IFERROR(INDEX(Kampanyalar!$E$2:$E$150,MATCH(O284,Kampanyalar!$A$2:$A$150,0)),""))</f>
        <v/>
      </c>
      <c r="AM284" s="27">
        <f>IF(I284="","",IFERROR(INDEX(Kampanyalar!$F$2:$F$150,MATCH(O284,Kampanyalar!$A$2:$A$150,0)),""))</f>
        <v/>
      </c>
      <c r="AN284" s="27">
        <f>IF(I284="","",IFERROR(INDEX(Kampanyalar!$G$2:$G$150,MATCH(O284,Kampanyalar!$A$2:$A$150,0)),""))</f>
        <v/>
      </c>
      <c r="AO284" s="26">
        <f>IF(OR(I284="",AL284="",AM284=""),"",IF(AND(H284&gt;=AL284,H284&lt;=AM284),"Evet","HAYIR - Tarih Dışı"))</f>
        <v/>
      </c>
      <c r="AP284" s="28">
        <f>IF(I284="","",IFERROR(INDEX(Kampanyalar!$H$2:$H$150,MATCH(O284,Kampanyalar!$A$2:$A$150,0)),""))</f>
        <v/>
      </c>
      <c r="AQ284" s="28">
        <f>IF(I284="","",IF(ISNUMBER(AP284),AP284,AD284))</f>
        <v/>
      </c>
      <c r="AR284" s="26">
        <f>IF(I284="","",IF(Parametreler!$C$7="Evet","Kural A - Hemen Ödeme (Stok Mutabakatlı)","Kural B - Nakliye/Montaj Sonrası Ödeme"))</f>
        <v/>
      </c>
    </row>
    <row r="285">
      <c r="A285" s="23" t="n"/>
      <c r="B285" s="23" t="n"/>
      <c r="C285" s="23" t="n"/>
      <c r="D285" s="23" t="n"/>
      <c r="E285" s="23" t="n"/>
      <c r="F285" s="23" t="n"/>
      <c r="G285" s="23" t="n"/>
      <c r="H285" s="24" t="n"/>
      <c r="I285" s="23" t="n"/>
      <c r="J285" s="23" t="n"/>
      <c r="K285" s="23" t="n"/>
      <c r="L285" s="23" t="n"/>
      <c r="M285" s="23" t="n"/>
      <c r="N285" s="23" t="n"/>
      <c r="O285" s="23" t="n"/>
      <c r="P285" s="23" t="n"/>
      <c r="Q285" s="23" t="n"/>
      <c r="R285" s="23" t="n"/>
      <c r="S285" s="23" t="n"/>
      <c r="T285" s="23" t="n"/>
      <c r="U285" s="23" t="n"/>
      <c r="V285" s="23" t="n"/>
      <c r="W285" s="23" t="n"/>
      <c r="X285" s="23" t="n"/>
      <c r="Y285" s="25" t="n"/>
      <c r="Z285" s="25" t="n"/>
      <c r="AA285" s="23" t="n"/>
      <c r="AB285" s="25" t="n"/>
      <c r="AC285" s="23" t="n"/>
      <c r="AD285" s="25" t="n"/>
      <c r="AE285" s="23" t="n"/>
      <c r="AF285" s="25" t="n"/>
      <c r="AG285" s="25" t="n"/>
      <c r="AH285" s="23" t="n"/>
      <c r="AI285" s="23" t="n"/>
      <c r="AJ285" s="26">
        <f>IF(I285="","",I285&amp;"|"&amp;R285)</f>
        <v/>
      </c>
      <c r="AK285" s="26">
        <f>IF(I285="","",IF(ISNA(MATCH(O285,Kampanyalar!$A$2:$A$150,0)),"Hayır - Kampanyalar'da Yok","Evet"))</f>
        <v/>
      </c>
      <c r="AL285" s="27">
        <f>IF(I285="","",IFERROR(INDEX(Kampanyalar!$E$2:$E$150,MATCH(O285,Kampanyalar!$A$2:$A$150,0)),""))</f>
        <v/>
      </c>
      <c r="AM285" s="27">
        <f>IF(I285="","",IFERROR(INDEX(Kampanyalar!$F$2:$F$150,MATCH(O285,Kampanyalar!$A$2:$A$150,0)),""))</f>
        <v/>
      </c>
      <c r="AN285" s="27">
        <f>IF(I285="","",IFERROR(INDEX(Kampanyalar!$G$2:$G$150,MATCH(O285,Kampanyalar!$A$2:$A$150,0)),""))</f>
        <v/>
      </c>
      <c r="AO285" s="26">
        <f>IF(OR(I285="",AL285="",AM285=""),"",IF(AND(H285&gt;=AL285,H285&lt;=AM285),"Evet","HAYIR - Tarih Dışı"))</f>
        <v/>
      </c>
      <c r="AP285" s="28">
        <f>IF(I285="","",IFERROR(INDEX(Kampanyalar!$H$2:$H$150,MATCH(O285,Kampanyalar!$A$2:$A$150,0)),""))</f>
        <v/>
      </c>
      <c r="AQ285" s="28">
        <f>IF(I285="","",IF(ISNUMBER(AP285),AP285,AD285))</f>
        <v/>
      </c>
      <c r="AR285" s="26">
        <f>IF(I285="","",IF(Parametreler!$C$7="Evet","Kural A - Hemen Ödeme (Stok Mutabakatlı)","Kural B - Nakliye/Montaj Sonrası Ödeme"))</f>
        <v/>
      </c>
    </row>
    <row r="286">
      <c r="A286" s="23" t="n"/>
      <c r="B286" s="23" t="n"/>
      <c r="C286" s="23" t="n"/>
      <c r="D286" s="23" t="n"/>
      <c r="E286" s="23" t="n"/>
      <c r="F286" s="23" t="n"/>
      <c r="G286" s="23" t="n"/>
      <c r="H286" s="24" t="n"/>
      <c r="I286" s="23" t="n"/>
      <c r="J286" s="23" t="n"/>
      <c r="K286" s="23" t="n"/>
      <c r="L286" s="23" t="n"/>
      <c r="M286" s="23" t="n"/>
      <c r="N286" s="23" t="n"/>
      <c r="O286" s="23" t="n"/>
      <c r="P286" s="23" t="n"/>
      <c r="Q286" s="23" t="n"/>
      <c r="R286" s="23" t="n"/>
      <c r="S286" s="23" t="n"/>
      <c r="T286" s="23" t="n"/>
      <c r="U286" s="23" t="n"/>
      <c r="V286" s="23" t="n"/>
      <c r="W286" s="23" t="n"/>
      <c r="X286" s="23" t="n"/>
      <c r="Y286" s="25" t="n"/>
      <c r="Z286" s="25" t="n"/>
      <c r="AA286" s="23" t="n"/>
      <c r="AB286" s="25" t="n"/>
      <c r="AC286" s="23" t="n"/>
      <c r="AD286" s="25" t="n"/>
      <c r="AE286" s="23" t="n"/>
      <c r="AF286" s="25" t="n"/>
      <c r="AG286" s="25" t="n"/>
      <c r="AH286" s="23" t="n"/>
      <c r="AI286" s="23" t="n"/>
      <c r="AJ286" s="26">
        <f>IF(I286="","",I286&amp;"|"&amp;R286)</f>
        <v/>
      </c>
      <c r="AK286" s="26">
        <f>IF(I286="","",IF(ISNA(MATCH(O286,Kampanyalar!$A$2:$A$150,0)),"Hayır - Kampanyalar'da Yok","Evet"))</f>
        <v/>
      </c>
      <c r="AL286" s="27">
        <f>IF(I286="","",IFERROR(INDEX(Kampanyalar!$E$2:$E$150,MATCH(O286,Kampanyalar!$A$2:$A$150,0)),""))</f>
        <v/>
      </c>
      <c r="AM286" s="27">
        <f>IF(I286="","",IFERROR(INDEX(Kampanyalar!$F$2:$F$150,MATCH(O286,Kampanyalar!$A$2:$A$150,0)),""))</f>
        <v/>
      </c>
      <c r="AN286" s="27">
        <f>IF(I286="","",IFERROR(INDEX(Kampanyalar!$G$2:$G$150,MATCH(O286,Kampanyalar!$A$2:$A$150,0)),""))</f>
        <v/>
      </c>
      <c r="AO286" s="26">
        <f>IF(OR(I286="",AL286="",AM286=""),"",IF(AND(H286&gt;=AL286,H286&lt;=AM286),"Evet","HAYIR - Tarih Dışı"))</f>
        <v/>
      </c>
      <c r="AP286" s="28">
        <f>IF(I286="","",IFERROR(INDEX(Kampanyalar!$H$2:$H$150,MATCH(O286,Kampanyalar!$A$2:$A$150,0)),""))</f>
        <v/>
      </c>
      <c r="AQ286" s="28">
        <f>IF(I286="","",IF(ISNUMBER(AP286),AP286,AD286))</f>
        <v/>
      </c>
      <c r="AR286" s="26">
        <f>IF(I286="","",IF(Parametreler!$C$7="Evet","Kural A - Hemen Ödeme (Stok Mutabakatlı)","Kural B - Nakliye/Montaj Sonrası Ödeme"))</f>
        <v/>
      </c>
    </row>
    <row r="287">
      <c r="A287" s="23" t="n"/>
      <c r="B287" s="23" t="n"/>
      <c r="C287" s="23" t="n"/>
      <c r="D287" s="23" t="n"/>
      <c r="E287" s="23" t="n"/>
      <c r="F287" s="23" t="n"/>
      <c r="G287" s="23" t="n"/>
      <c r="H287" s="24" t="n"/>
      <c r="I287" s="23" t="n"/>
      <c r="J287" s="23" t="n"/>
      <c r="K287" s="23" t="n"/>
      <c r="L287" s="23" t="n"/>
      <c r="M287" s="23" t="n"/>
      <c r="N287" s="23" t="n"/>
      <c r="O287" s="23" t="n"/>
      <c r="P287" s="23" t="n"/>
      <c r="Q287" s="23" t="n"/>
      <c r="R287" s="23" t="n"/>
      <c r="S287" s="23" t="n"/>
      <c r="T287" s="23" t="n"/>
      <c r="U287" s="23" t="n"/>
      <c r="V287" s="23" t="n"/>
      <c r="W287" s="23" t="n"/>
      <c r="X287" s="23" t="n"/>
      <c r="Y287" s="25" t="n"/>
      <c r="Z287" s="25" t="n"/>
      <c r="AA287" s="23" t="n"/>
      <c r="AB287" s="25" t="n"/>
      <c r="AC287" s="23" t="n"/>
      <c r="AD287" s="25" t="n"/>
      <c r="AE287" s="23" t="n"/>
      <c r="AF287" s="25" t="n"/>
      <c r="AG287" s="25" t="n"/>
      <c r="AH287" s="23" t="n"/>
      <c r="AI287" s="23" t="n"/>
      <c r="AJ287" s="26">
        <f>IF(I287="","",I287&amp;"|"&amp;R287)</f>
        <v/>
      </c>
      <c r="AK287" s="26">
        <f>IF(I287="","",IF(ISNA(MATCH(O287,Kampanyalar!$A$2:$A$150,0)),"Hayır - Kampanyalar'da Yok","Evet"))</f>
        <v/>
      </c>
      <c r="AL287" s="27">
        <f>IF(I287="","",IFERROR(INDEX(Kampanyalar!$E$2:$E$150,MATCH(O287,Kampanyalar!$A$2:$A$150,0)),""))</f>
        <v/>
      </c>
      <c r="AM287" s="27">
        <f>IF(I287="","",IFERROR(INDEX(Kampanyalar!$F$2:$F$150,MATCH(O287,Kampanyalar!$A$2:$A$150,0)),""))</f>
        <v/>
      </c>
      <c r="AN287" s="27">
        <f>IF(I287="","",IFERROR(INDEX(Kampanyalar!$G$2:$G$150,MATCH(O287,Kampanyalar!$A$2:$A$150,0)),""))</f>
        <v/>
      </c>
      <c r="AO287" s="26">
        <f>IF(OR(I287="",AL287="",AM287=""),"",IF(AND(H287&gt;=AL287,H287&lt;=AM287),"Evet","HAYIR - Tarih Dışı"))</f>
        <v/>
      </c>
      <c r="AP287" s="28">
        <f>IF(I287="","",IFERROR(INDEX(Kampanyalar!$H$2:$H$150,MATCH(O287,Kampanyalar!$A$2:$A$150,0)),""))</f>
        <v/>
      </c>
      <c r="AQ287" s="28">
        <f>IF(I287="","",IF(ISNUMBER(AP287),AP287,AD287))</f>
        <v/>
      </c>
      <c r="AR287" s="26">
        <f>IF(I287="","",IF(Parametreler!$C$7="Evet","Kural A - Hemen Ödeme (Stok Mutabakatlı)","Kural B - Nakliye/Montaj Sonrası Ödeme"))</f>
        <v/>
      </c>
    </row>
    <row r="288">
      <c r="A288" s="23" t="n"/>
      <c r="B288" s="23" t="n"/>
      <c r="C288" s="23" t="n"/>
      <c r="D288" s="23" t="n"/>
      <c r="E288" s="23" t="n"/>
      <c r="F288" s="23" t="n"/>
      <c r="G288" s="23" t="n"/>
      <c r="H288" s="24" t="n"/>
      <c r="I288" s="23" t="n"/>
      <c r="J288" s="23" t="n"/>
      <c r="K288" s="23" t="n"/>
      <c r="L288" s="23" t="n"/>
      <c r="M288" s="23" t="n"/>
      <c r="N288" s="23" t="n"/>
      <c r="O288" s="23" t="n"/>
      <c r="P288" s="23" t="n"/>
      <c r="Q288" s="23" t="n"/>
      <c r="R288" s="23" t="n"/>
      <c r="S288" s="23" t="n"/>
      <c r="T288" s="23" t="n"/>
      <c r="U288" s="23" t="n"/>
      <c r="V288" s="23" t="n"/>
      <c r="W288" s="23" t="n"/>
      <c r="X288" s="23" t="n"/>
      <c r="Y288" s="25" t="n"/>
      <c r="Z288" s="25" t="n"/>
      <c r="AA288" s="23" t="n"/>
      <c r="AB288" s="25" t="n"/>
      <c r="AC288" s="23" t="n"/>
      <c r="AD288" s="25" t="n"/>
      <c r="AE288" s="23" t="n"/>
      <c r="AF288" s="25" t="n"/>
      <c r="AG288" s="25" t="n"/>
      <c r="AH288" s="23" t="n"/>
      <c r="AI288" s="23" t="n"/>
      <c r="AJ288" s="26">
        <f>IF(I288="","",I288&amp;"|"&amp;R288)</f>
        <v/>
      </c>
      <c r="AK288" s="26">
        <f>IF(I288="","",IF(ISNA(MATCH(O288,Kampanyalar!$A$2:$A$150,0)),"Hayır - Kampanyalar'da Yok","Evet"))</f>
        <v/>
      </c>
      <c r="AL288" s="27">
        <f>IF(I288="","",IFERROR(INDEX(Kampanyalar!$E$2:$E$150,MATCH(O288,Kampanyalar!$A$2:$A$150,0)),""))</f>
        <v/>
      </c>
      <c r="AM288" s="27">
        <f>IF(I288="","",IFERROR(INDEX(Kampanyalar!$F$2:$F$150,MATCH(O288,Kampanyalar!$A$2:$A$150,0)),""))</f>
        <v/>
      </c>
      <c r="AN288" s="27">
        <f>IF(I288="","",IFERROR(INDEX(Kampanyalar!$G$2:$G$150,MATCH(O288,Kampanyalar!$A$2:$A$150,0)),""))</f>
        <v/>
      </c>
      <c r="AO288" s="26">
        <f>IF(OR(I288="",AL288="",AM288=""),"",IF(AND(H288&gt;=AL288,H288&lt;=AM288),"Evet","HAYIR - Tarih Dışı"))</f>
        <v/>
      </c>
      <c r="AP288" s="28">
        <f>IF(I288="","",IFERROR(INDEX(Kampanyalar!$H$2:$H$150,MATCH(O288,Kampanyalar!$A$2:$A$150,0)),""))</f>
        <v/>
      </c>
      <c r="AQ288" s="28">
        <f>IF(I288="","",IF(ISNUMBER(AP288),AP288,AD288))</f>
        <v/>
      </c>
      <c r="AR288" s="26">
        <f>IF(I288="","",IF(Parametreler!$C$7="Evet","Kural A - Hemen Ödeme (Stok Mutabakatlı)","Kural B - Nakliye/Montaj Sonrası Ödeme"))</f>
        <v/>
      </c>
    </row>
    <row r="289">
      <c r="A289" s="23" t="n"/>
      <c r="B289" s="23" t="n"/>
      <c r="C289" s="23" t="n"/>
      <c r="D289" s="23" t="n"/>
      <c r="E289" s="23" t="n"/>
      <c r="F289" s="23" t="n"/>
      <c r="G289" s="23" t="n"/>
      <c r="H289" s="24" t="n"/>
      <c r="I289" s="23" t="n"/>
      <c r="J289" s="23" t="n"/>
      <c r="K289" s="23" t="n"/>
      <c r="L289" s="23" t="n"/>
      <c r="M289" s="23" t="n"/>
      <c r="N289" s="23" t="n"/>
      <c r="O289" s="23" t="n"/>
      <c r="P289" s="23" t="n"/>
      <c r="Q289" s="23" t="n"/>
      <c r="R289" s="23" t="n"/>
      <c r="S289" s="23" t="n"/>
      <c r="T289" s="23" t="n"/>
      <c r="U289" s="23" t="n"/>
      <c r="V289" s="23" t="n"/>
      <c r="W289" s="23" t="n"/>
      <c r="X289" s="23" t="n"/>
      <c r="Y289" s="25" t="n"/>
      <c r="Z289" s="25" t="n"/>
      <c r="AA289" s="23" t="n"/>
      <c r="AB289" s="25" t="n"/>
      <c r="AC289" s="23" t="n"/>
      <c r="AD289" s="25" t="n"/>
      <c r="AE289" s="23" t="n"/>
      <c r="AF289" s="25" t="n"/>
      <c r="AG289" s="25" t="n"/>
      <c r="AH289" s="23" t="n"/>
      <c r="AI289" s="23" t="n"/>
      <c r="AJ289" s="26">
        <f>IF(I289="","",I289&amp;"|"&amp;R289)</f>
        <v/>
      </c>
      <c r="AK289" s="26">
        <f>IF(I289="","",IF(ISNA(MATCH(O289,Kampanyalar!$A$2:$A$150,0)),"Hayır - Kampanyalar'da Yok","Evet"))</f>
        <v/>
      </c>
      <c r="AL289" s="27">
        <f>IF(I289="","",IFERROR(INDEX(Kampanyalar!$E$2:$E$150,MATCH(O289,Kampanyalar!$A$2:$A$150,0)),""))</f>
        <v/>
      </c>
      <c r="AM289" s="27">
        <f>IF(I289="","",IFERROR(INDEX(Kampanyalar!$F$2:$F$150,MATCH(O289,Kampanyalar!$A$2:$A$150,0)),""))</f>
        <v/>
      </c>
      <c r="AN289" s="27">
        <f>IF(I289="","",IFERROR(INDEX(Kampanyalar!$G$2:$G$150,MATCH(O289,Kampanyalar!$A$2:$A$150,0)),""))</f>
        <v/>
      </c>
      <c r="AO289" s="26">
        <f>IF(OR(I289="",AL289="",AM289=""),"",IF(AND(H289&gt;=AL289,H289&lt;=AM289),"Evet","HAYIR - Tarih Dışı"))</f>
        <v/>
      </c>
      <c r="AP289" s="28">
        <f>IF(I289="","",IFERROR(INDEX(Kampanyalar!$H$2:$H$150,MATCH(O289,Kampanyalar!$A$2:$A$150,0)),""))</f>
        <v/>
      </c>
      <c r="AQ289" s="28">
        <f>IF(I289="","",IF(ISNUMBER(AP289),AP289,AD289))</f>
        <v/>
      </c>
      <c r="AR289" s="26">
        <f>IF(I289="","",IF(Parametreler!$C$7="Evet","Kural A - Hemen Ödeme (Stok Mutabakatlı)","Kural B - Nakliye/Montaj Sonrası Ödeme"))</f>
        <v/>
      </c>
    </row>
    <row r="290">
      <c r="A290" s="23" t="n"/>
      <c r="B290" s="23" t="n"/>
      <c r="C290" s="23" t="n"/>
      <c r="D290" s="23" t="n"/>
      <c r="E290" s="23" t="n"/>
      <c r="F290" s="23" t="n"/>
      <c r="G290" s="23" t="n"/>
      <c r="H290" s="24" t="n"/>
      <c r="I290" s="23" t="n"/>
      <c r="J290" s="23" t="n"/>
      <c r="K290" s="23" t="n"/>
      <c r="L290" s="23" t="n"/>
      <c r="M290" s="23" t="n"/>
      <c r="N290" s="23" t="n"/>
      <c r="O290" s="23" t="n"/>
      <c r="P290" s="23" t="n"/>
      <c r="Q290" s="23" t="n"/>
      <c r="R290" s="23" t="n"/>
      <c r="S290" s="23" t="n"/>
      <c r="T290" s="23" t="n"/>
      <c r="U290" s="23" t="n"/>
      <c r="V290" s="23" t="n"/>
      <c r="W290" s="23" t="n"/>
      <c r="X290" s="23" t="n"/>
      <c r="Y290" s="25" t="n"/>
      <c r="Z290" s="25" t="n"/>
      <c r="AA290" s="23" t="n"/>
      <c r="AB290" s="25" t="n"/>
      <c r="AC290" s="23" t="n"/>
      <c r="AD290" s="25" t="n"/>
      <c r="AE290" s="23" t="n"/>
      <c r="AF290" s="25" t="n"/>
      <c r="AG290" s="25" t="n"/>
      <c r="AH290" s="23" t="n"/>
      <c r="AI290" s="23" t="n"/>
      <c r="AJ290" s="26">
        <f>IF(I290="","",I290&amp;"|"&amp;R290)</f>
        <v/>
      </c>
      <c r="AK290" s="26">
        <f>IF(I290="","",IF(ISNA(MATCH(O290,Kampanyalar!$A$2:$A$150,0)),"Hayır - Kampanyalar'da Yok","Evet"))</f>
        <v/>
      </c>
      <c r="AL290" s="27">
        <f>IF(I290="","",IFERROR(INDEX(Kampanyalar!$E$2:$E$150,MATCH(O290,Kampanyalar!$A$2:$A$150,0)),""))</f>
        <v/>
      </c>
      <c r="AM290" s="27">
        <f>IF(I290="","",IFERROR(INDEX(Kampanyalar!$F$2:$F$150,MATCH(O290,Kampanyalar!$A$2:$A$150,0)),""))</f>
        <v/>
      </c>
      <c r="AN290" s="27">
        <f>IF(I290="","",IFERROR(INDEX(Kampanyalar!$G$2:$G$150,MATCH(O290,Kampanyalar!$A$2:$A$150,0)),""))</f>
        <v/>
      </c>
      <c r="AO290" s="26">
        <f>IF(OR(I290="",AL290="",AM290=""),"",IF(AND(H290&gt;=AL290,H290&lt;=AM290),"Evet","HAYIR - Tarih Dışı"))</f>
        <v/>
      </c>
      <c r="AP290" s="28">
        <f>IF(I290="","",IFERROR(INDEX(Kampanyalar!$H$2:$H$150,MATCH(O290,Kampanyalar!$A$2:$A$150,0)),""))</f>
        <v/>
      </c>
      <c r="AQ290" s="28">
        <f>IF(I290="","",IF(ISNUMBER(AP290),AP290,AD290))</f>
        <v/>
      </c>
      <c r="AR290" s="26">
        <f>IF(I290="","",IF(Parametreler!$C$7="Evet","Kural A - Hemen Ödeme (Stok Mutabakatlı)","Kural B - Nakliye/Montaj Sonrası Ödeme"))</f>
        <v/>
      </c>
    </row>
    <row r="291">
      <c r="A291" s="23" t="n"/>
      <c r="B291" s="23" t="n"/>
      <c r="C291" s="23" t="n"/>
      <c r="D291" s="23" t="n"/>
      <c r="E291" s="23" t="n"/>
      <c r="F291" s="23" t="n"/>
      <c r="G291" s="23" t="n"/>
      <c r="H291" s="24" t="n"/>
      <c r="I291" s="23" t="n"/>
      <c r="J291" s="23" t="n"/>
      <c r="K291" s="23" t="n"/>
      <c r="L291" s="23" t="n"/>
      <c r="M291" s="23" t="n"/>
      <c r="N291" s="23" t="n"/>
      <c r="O291" s="23" t="n"/>
      <c r="P291" s="23" t="n"/>
      <c r="Q291" s="23" t="n"/>
      <c r="R291" s="23" t="n"/>
      <c r="S291" s="23" t="n"/>
      <c r="T291" s="23" t="n"/>
      <c r="U291" s="23" t="n"/>
      <c r="V291" s="23" t="n"/>
      <c r="W291" s="23" t="n"/>
      <c r="X291" s="23" t="n"/>
      <c r="Y291" s="25" t="n"/>
      <c r="Z291" s="25" t="n"/>
      <c r="AA291" s="23" t="n"/>
      <c r="AB291" s="25" t="n"/>
      <c r="AC291" s="23" t="n"/>
      <c r="AD291" s="25" t="n"/>
      <c r="AE291" s="23" t="n"/>
      <c r="AF291" s="25" t="n"/>
      <c r="AG291" s="25" t="n"/>
      <c r="AH291" s="23" t="n"/>
      <c r="AI291" s="23" t="n"/>
      <c r="AJ291" s="26">
        <f>IF(I291="","",I291&amp;"|"&amp;R291)</f>
        <v/>
      </c>
      <c r="AK291" s="26">
        <f>IF(I291="","",IF(ISNA(MATCH(O291,Kampanyalar!$A$2:$A$150,0)),"Hayır - Kampanyalar'da Yok","Evet"))</f>
        <v/>
      </c>
      <c r="AL291" s="27">
        <f>IF(I291="","",IFERROR(INDEX(Kampanyalar!$E$2:$E$150,MATCH(O291,Kampanyalar!$A$2:$A$150,0)),""))</f>
        <v/>
      </c>
      <c r="AM291" s="27">
        <f>IF(I291="","",IFERROR(INDEX(Kampanyalar!$F$2:$F$150,MATCH(O291,Kampanyalar!$A$2:$A$150,0)),""))</f>
        <v/>
      </c>
      <c r="AN291" s="27">
        <f>IF(I291="","",IFERROR(INDEX(Kampanyalar!$G$2:$G$150,MATCH(O291,Kampanyalar!$A$2:$A$150,0)),""))</f>
        <v/>
      </c>
      <c r="AO291" s="26">
        <f>IF(OR(I291="",AL291="",AM291=""),"",IF(AND(H291&gt;=AL291,H291&lt;=AM291),"Evet","HAYIR - Tarih Dışı"))</f>
        <v/>
      </c>
      <c r="AP291" s="28">
        <f>IF(I291="","",IFERROR(INDEX(Kampanyalar!$H$2:$H$150,MATCH(O291,Kampanyalar!$A$2:$A$150,0)),""))</f>
        <v/>
      </c>
      <c r="AQ291" s="28">
        <f>IF(I291="","",IF(ISNUMBER(AP291),AP291,AD291))</f>
        <v/>
      </c>
      <c r="AR291" s="26">
        <f>IF(I291="","",IF(Parametreler!$C$7="Evet","Kural A - Hemen Ödeme (Stok Mutabakatlı)","Kural B - Nakliye/Montaj Sonrası Ödeme"))</f>
        <v/>
      </c>
    </row>
    <row r="292">
      <c r="A292" s="23" t="n"/>
      <c r="B292" s="23" t="n"/>
      <c r="C292" s="23" t="n"/>
      <c r="D292" s="23" t="n"/>
      <c r="E292" s="23" t="n"/>
      <c r="F292" s="23" t="n"/>
      <c r="G292" s="23" t="n"/>
      <c r="H292" s="24" t="n"/>
      <c r="I292" s="23" t="n"/>
      <c r="J292" s="23" t="n"/>
      <c r="K292" s="23" t="n"/>
      <c r="L292" s="23" t="n"/>
      <c r="M292" s="23" t="n"/>
      <c r="N292" s="23" t="n"/>
      <c r="O292" s="23" t="n"/>
      <c r="P292" s="23" t="n"/>
      <c r="Q292" s="23" t="n"/>
      <c r="R292" s="23" t="n"/>
      <c r="S292" s="23" t="n"/>
      <c r="T292" s="23" t="n"/>
      <c r="U292" s="23" t="n"/>
      <c r="V292" s="23" t="n"/>
      <c r="W292" s="23" t="n"/>
      <c r="X292" s="23" t="n"/>
      <c r="Y292" s="25" t="n"/>
      <c r="Z292" s="25" t="n"/>
      <c r="AA292" s="23" t="n"/>
      <c r="AB292" s="25" t="n"/>
      <c r="AC292" s="23" t="n"/>
      <c r="AD292" s="25" t="n"/>
      <c r="AE292" s="23" t="n"/>
      <c r="AF292" s="25" t="n"/>
      <c r="AG292" s="25" t="n"/>
      <c r="AH292" s="23" t="n"/>
      <c r="AI292" s="23" t="n"/>
      <c r="AJ292" s="26">
        <f>IF(I292="","",I292&amp;"|"&amp;R292)</f>
        <v/>
      </c>
      <c r="AK292" s="26">
        <f>IF(I292="","",IF(ISNA(MATCH(O292,Kampanyalar!$A$2:$A$150,0)),"Hayır - Kampanyalar'da Yok","Evet"))</f>
        <v/>
      </c>
      <c r="AL292" s="27">
        <f>IF(I292="","",IFERROR(INDEX(Kampanyalar!$E$2:$E$150,MATCH(O292,Kampanyalar!$A$2:$A$150,0)),""))</f>
        <v/>
      </c>
      <c r="AM292" s="27">
        <f>IF(I292="","",IFERROR(INDEX(Kampanyalar!$F$2:$F$150,MATCH(O292,Kampanyalar!$A$2:$A$150,0)),""))</f>
        <v/>
      </c>
      <c r="AN292" s="27">
        <f>IF(I292="","",IFERROR(INDEX(Kampanyalar!$G$2:$G$150,MATCH(O292,Kampanyalar!$A$2:$A$150,0)),""))</f>
        <v/>
      </c>
      <c r="AO292" s="26">
        <f>IF(OR(I292="",AL292="",AM292=""),"",IF(AND(H292&gt;=AL292,H292&lt;=AM292),"Evet","HAYIR - Tarih Dışı"))</f>
        <v/>
      </c>
      <c r="AP292" s="28">
        <f>IF(I292="","",IFERROR(INDEX(Kampanyalar!$H$2:$H$150,MATCH(O292,Kampanyalar!$A$2:$A$150,0)),""))</f>
        <v/>
      </c>
      <c r="AQ292" s="28">
        <f>IF(I292="","",IF(ISNUMBER(AP292),AP292,AD292))</f>
        <v/>
      </c>
      <c r="AR292" s="26">
        <f>IF(I292="","",IF(Parametreler!$C$7="Evet","Kural A - Hemen Ödeme (Stok Mutabakatlı)","Kural B - Nakliye/Montaj Sonrası Ödeme"))</f>
        <v/>
      </c>
    </row>
    <row r="293">
      <c r="A293" s="23" t="n"/>
      <c r="B293" s="23" t="n"/>
      <c r="C293" s="23" t="n"/>
      <c r="D293" s="23" t="n"/>
      <c r="E293" s="23" t="n"/>
      <c r="F293" s="23" t="n"/>
      <c r="G293" s="23" t="n"/>
      <c r="H293" s="24" t="n"/>
      <c r="I293" s="23" t="n"/>
      <c r="J293" s="23" t="n"/>
      <c r="K293" s="23" t="n"/>
      <c r="L293" s="23" t="n"/>
      <c r="M293" s="23" t="n"/>
      <c r="N293" s="23" t="n"/>
      <c r="O293" s="23" t="n"/>
      <c r="P293" s="23" t="n"/>
      <c r="Q293" s="23" t="n"/>
      <c r="R293" s="23" t="n"/>
      <c r="S293" s="23" t="n"/>
      <c r="T293" s="23" t="n"/>
      <c r="U293" s="23" t="n"/>
      <c r="V293" s="23" t="n"/>
      <c r="W293" s="23" t="n"/>
      <c r="X293" s="23" t="n"/>
      <c r="Y293" s="25" t="n"/>
      <c r="Z293" s="25" t="n"/>
      <c r="AA293" s="23" t="n"/>
      <c r="AB293" s="25" t="n"/>
      <c r="AC293" s="23" t="n"/>
      <c r="AD293" s="25" t="n"/>
      <c r="AE293" s="23" t="n"/>
      <c r="AF293" s="25" t="n"/>
      <c r="AG293" s="25" t="n"/>
      <c r="AH293" s="23" t="n"/>
      <c r="AI293" s="23" t="n"/>
      <c r="AJ293" s="26">
        <f>IF(I293="","",I293&amp;"|"&amp;R293)</f>
        <v/>
      </c>
      <c r="AK293" s="26">
        <f>IF(I293="","",IF(ISNA(MATCH(O293,Kampanyalar!$A$2:$A$150,0)),"Hayır - Kampanyalar'da Yok","Evet"))</f>
        <v/>
      </c>
      <c r="AL293" s="27">
        <f>IF(I293="","",IFERROR(INDEX(Kampanyalar!$E$2:$E$150,MATCH(O293,Kampanyalar!$A$2:$A$150,0)),""))</f>
        <v/>
      </c>
      <c r="AM293" s="27">
        <f>IF(I293="","",IFERROR(INDEX(Kampanyalar!$F$2:$F$150,MATCH(O293,Kampanyalar!$A$2:$A$150,0)),""))</f>
        <v/>
      </c>
      <c r="AN293" s="27">
        <f>IF(I293="","",IFERROR(INDEX(Kampanyalar!$G$2:$G$150,MATCH(O293,Kampanyalar!$A$2:$A$150,0)),""))</f>
        <v/>
      </c>
      <c r="AO293" s="26">
        <f>IF(OR(I293="",AL293="",AM293=""),"",IF(AND(H293&gt;=AL293,H293&lt;=AM293),"Evet","HAYIR - Tarih Dışı"))</f>
        <v/>
      </c>
      <c r="AP293" s="28">
        <f>IF(I293="","",IFERROR(INDEX(Kampanyalar!$H$2:$H$150,MATCH(O293,Kampanyalar!$A$2:$A$150,0)),""))</f>
        <v/>
      </c>
      <c r="AQ293" s="28">
        <f>IF(I293="","",IF(ISNUMBER(AP293),AP293,AD293))</f>
        <v/>
      </c>
      <c r="AR293" s="26">
        <f>IF(I293="","",IF(Parametreler!$C$7="Evet","Kural A - Hemen Ödeme (Stok Mutabakatlı)","Kural B - Nakliye/Montaj Sonrası Ödeme"))</f>
        <v/>
      </c>
    </row>
    <row r="294">
      <c r="A294" s="23" t="n"/>
      <c r="B294" s="23" t="n"/>
      <c r="C294" s="23" t="n"/>
      <c r="D294" s="23" t="n"/>
      <c r="E294" s="23" t="n"/>
      <c r="F294" s="23" t="n"/>
      <c r="G294" s="23" t="n"/>
      <c r="H294" s="24" t="n"/>
      <c r="I294" s="23" t="n"/>
      <c r="J294" s="23" t="n"/>
      <c r="K294" s="23" t="n"/>
      <c r="L294" s="23" t="n"/>
      <c r="M294" s="23" t="n"/>
      <c r="N294" s="23" t="n"/>
      <c r="O294" s="23" t="n"/>
      <c r="P294" s="23" t="n"/>
      <c r="Q294" s="23" t="n"/>
      <c r="R294" s="23" t="n"/>
      <c r="S294" s="23" t="n"/>
      <c r="T294" s="23" t="n"/>
      <c r="U294" s="23" t="n"/>
      <c r="V294" s="23" t="n"/>
      <c r="W294" s="23" t="n"/>
      <c r="X294" s="23" t="n"/>
      <c r="Y294" s="25" t="n"/>
      <c r="Z294" s="25" t="n"/>
      <c r="AA294" s="23" t="n"/>
      <c r="AB294" s="25" t="n"/>
      <c r="AC294" s="23" t="n"/>
      <c r="AD294" s="25" t="n"/>
      <c r="AE294" s="23" t="n"/>
      <c r="AF294" s="25" t="n"/>
      <c r="AG294" s="25" t="n"/>
      <c r="AH294" s="23" t="n"/>
      <c r="AI294" s="23" t="n"/>
      <c r="AJ294" s="26">
        <f>IF(I294="","",I294&amp;"|"&amp;R294)</f>
        <v/>
      </c>
      <c r="AK294" s="26">
        <f>IF(I294="","",IF(ISNA(MATCH(O294,Kampanyalar!$A$2:$A$150,0)),"Hayır - Kampanyalar'da Yok","Evet"))</f>
        <v/>
      </c>
      <c r="AL294" s="27">
        <f>IF(I294="","",IFERROR(INDEX(Kampanyalar!$E$2:$E$150,MATCH(O294,Kampanyalar!$A$2:$A$150,0)),""))</f>
        <v/>
      </c>
      <c r="AM294" s="27">
        <f>IF(I294="","",IFERROR(INDEX(Kampanyalar!$F$2:$F$150,MATCH(O294,Kampanyalar!$A$2:$A$150,0)),""))</f>
        <v/>
      </c>
      <c r="AN294" s="27">
        <f>IF(I294="","",IFERROR(INDEX(Kampanyalar!$G$2:$G$150,MATCH(O294,Kampanyalar!$A$2:$A$150,0)),""))</f>
        <v/>
      </c>
      <c r="AO294" s="26">
        <f>IF(OR(I294="",AL294="",AM294=""),"",IF(AND(H294&gt;=AL294,H294&lt;=AM294),"Evet","HAYIR - Tarih Dışı"))</f>
        <v/>
      </c>
      <c r="AP294" s="28">
        <f>IF(I294="","",IFERROR(INDEX(Kampanyalar!$H$2:$H$150,MATCH(O294,Kampanyalar!$A$2:$A$150,0)),""))</f>
        <v/>
      </c>
      <c r="AQ294" s="28">
        <f>IF(I294="","",IF(ISNUMBER(AP294),AP294,AD294))</f>
        <v/>
      </c>
      <c r="AR294" s="26">
        <f>IF(I294="","",IF(Parametreler!$C$7="Evet","Kural A - Hemen Ödeme (Stok Mutabakatlı)","Kural B - Nakliye/Montaj Sonrası Ödeme"))</f>
        <v/>
      </c>
    </row>
    <row r="295">
      <c r="A295" s="23" t="n"/>
      <c r="B295" s="23" t="n"/>
      <c r="C295" s="23" t="n"/>
      <c r="D295" s="23" t="n"/>
      <c r="E295" s="23" t="n"/>
      <c r="F295" s="23" t="n"/>
      <c r="G295" s="23" t="n"/>
      <c r="H295" s="24" t="n"/>
      <c r="I295" s="23" t="n"/>
      <c r="J295" s="23" t="n"/>
      <c r="K295" s="23" t="n"/>
      <c r="L295" s="23" t="n"/>
      <c r="M295" s="23" t="n"/>
      <c r="N295" s="23" t="n"/>
      <c r="O295" s="23" t="n"/>
      <c r="P295" s="23" t="n"/>
      <c r="Q295" s="23" t="n"/>
      <c r="R295" s="23" t="n"/>
      <c r="S295" s="23" t="n"/>
      <c r="T295" s="23" t="n"/>
      <c r="U295" s="23" t="n"/>
      <c r="V295" s="23" t="n"/>
      <c r="W295" s="23" t="n"/>
      <c r="X295" s="23" t="n"/>
      <c r="Y295" s="25" t="n"/>
      <c r="Z295" s="25" t="n"/>
      <c r="AA295" s="23" t="n"/>
      <c r="AB295" s="25" t="n"/>
      <c r="AC295" s="23" t="n"/>
      <c r="AD295" s="25" t="n"/>
      <c r="AE295" s="23" t="n"/>
      <c r="AF295" s="25" t="n"/>
      <c r="AG295" s="25" t="n"/>
      <c r="AH295" s="23" t="n"/>
      <c r="AI295" s="23" t="n"/>
      <c r="AJ295" s="26">
        <f>IF(I295="","",I295&amp;"|"&amp;R295)</f>
        <v/>
      </c>
      <c r="AK295" s="26">
        <f>IF(I295="","",IF(ISNA(MATCH(O295,Kampanyalar!$A$2:$A$150,0)),"Hayır - Kampanyalar'da Yok","Evet"))</f>
        <v/>
      </c>
      <c r="AL295" s="27">
        <f>IF(I295="","",IFERROR(INDEX(Kampanyalar!$E$2:$E$150,MATCH(O295,Kampanyalar!$A$2:$A$150,0)),""))</f>
        <v/>
      </c>
      <c r="AM295" s="27">
        <f>IF(I295="","",IFERROR(INDEX(Kampanyalar!$F$2:$F$150,MATCH(O295,Kampanyalar!$A$2:$A$150,0)),""))</f>
        <v/>
      </c>
      <c r="AN295" s="27">
        <f>IF(I295="","",IFERROR(INDEX(Kampanyalar!$G$2:$G$150,MATCH(O295,Kampanyalar!$A$2:$A$150,0)),""))</f>
        <v/>
      </c>
      <c r="AO295" s="26">
        <f>IF(OR(I295="",AL295="",AM295=""),"",IF(AND(H295&gt;=AL295,H295&lt;=AM295),"Evet","HAYIR - Tarih Dışı"))</f>
        <v/>
      </c>
      <c r="AP295" s="28">
        <f>IF(I295="","",IFERROR(INDEX(Kampanyalar!$H$2:$H$150,MATCH(O295,Kampanyalar!$A$2:$A$150,0)),""))</f>
        <v/>
      </c>
      <c r="AQ295" s="28">
        <f>IF(I295="","",IF(ISNUMBER(AP295),AP295,AD295))</f>
        <v/>
      </c>
      <c r="AR295" s="26">
        <f>IF(I295="","",IF(Parametreler!$C$7="Evet","Kural A - Hemen Ödeme (Stok Mutabakatlı)","Kural B - Nakliye/Montaj Sonrası Ödeme"))</f>
        <v/>
      </c>
    </row>
    <row r="296">
      <c r="A296" s="23" t="n"/>
      <c r="B296" s="23" t="n"/>
      <c r="C296" s="23" t="n"/>
      <c r="D296" s="23" t="n"/>
      <c r="E296" s="23" t="n"/>
      <c r="F296" s="23" t="n"/>
      <c r="G296" s="23" t="n"/>
      <c r="H296" s="24" t="n"/>
      <c r="I296" s="23" t="n"/>
      <c r="J296" s="23" t="n"/>
      <c r="K296" s="23" t="n"/>
      <c r="L296" s="23" t="n"/>
      <c r="M296" s="23" t="n"/>
      <c r="N296" s="23" t="n"/>
      <c r="O296" s="23" t="n"/>
      <c r="P296" s="23" t="n"/>
      <c r="Q296" s="23" t="n"/>
      <c r="R296" s="23" t="n"/>
      <c r="S296" s="23" t="n"/>
      <c r="T296" s="23" t="n"/>
      <c r="U296" s="23" t="n"/>
      <c r="V296" s="23" t="n"/>
      <c r="W296" s="23" t="n"/>
      <c r="X296" s="23" t="n"/>
      <c r="Y296" s="25" t="n"/>
      <c r="Z296" s="25" t="n"/>
      <c r="AA296" s="23" t="n"/>
      <c r="AB296" s="25" t="n"/>
      <c r="AC296" s="23" t="n"/>
      <c r="AD296" s="25" t="n"/>
      <c r="AE296" s="23" t="n"/>
      <c r="AF296" s="25" t="n"/>
      <c r="AG296" s="25" t="n"/>
      <c r="AH296" s="23" t="n"/>
      <c r="AI296" s="23" t="n"/>
      <c r="AJ296" s="26">
        <f>IF(I296="","",I296&amp;"|"&amp;R296)</f>
        <v/>
      </c>
      <c r="AK296" s="26">
        <f>IF(I296="","",IF(ISNA(MATCH(O296,Kampanyalar!$A$2:$A$150,0)),"Hayır - Kampanyalar'da Yok","Evet"))</f>
        <v/>
      </c>
      <c r="AL296" s="27">
        <f>IF(I296="","",IFERROR(INDEX(Kampanyalar!$E$2:$E$150,MATCH(O296,Kampanyalar!$A$2:$A$150,0)),""))</f>
        <v/>
      </c>
      <c r="AM296" s="27">
        <f>IF(I296="","",IFERROR(INDEX(Kampanyalar!$F$2:$F$150,MATCH(O296,Kampanyalar!$A$2:$A$150,0)),""))</f>
        <v/>
      </c>
      <c r="AN296" s="27">
        <f>IF(I296="","",IFERROR(INDEX(Kampanyalar!$G$2:$G$150,MATCH(O296,Kampanyalar!$A$2:$A$150,0)),""))</f>
        <v/>
      </c>
      <c r="AO296" s="26">
        <f>IF(OR(I296="",AL296="",AM296=""),"",IF(AND(H296&gt;=AL296,H296&lt;=AM296),"Evet","HAYIR - Tarih Dışı"))</f>
        <v/>
      </c>
      <c r="AP296" s="28">
        <f>IF(I296="","",IFERROR(INDEX(Kampanyalar!$H$2:$H$150,MATCH(O296,Kampanyalar!$A$2:$A$150,0)),""))</f>
        <v/>
      </c>
      <c r="AQ296" s="28">
        <f>IF(I296="","",IF(ISNUMBER(AP296),AP296,AD296))</f>
        <v/>
      </c>
      <c r="AR296" s="26">
        <f>IF(I296="","",IF(Parametreler!$C$7="Evet","Kural A - Hemen Ödeme (Stok Mutabakatlı)","Kural B - Nakliye/Montaj Sonrası Ödeme"))</f>
        <v/>
      </c>
    </row>
    <row r="297">
      <c r="A297" s="23" t="n"/>
      <c r="B297" s="23" t="n"/>
      <c r="C297" s="23" t="n"/>
      <c r="D297" s="23" t="n"/>
      <c r="E297" s="23" t="n"/>
      <c r="F297" s="23" t="n"/>
      <c r="G297" s="23" t="n"/>
      <c r="H297" s="24" t="n"/>
      <c r="I297" s="23" t="n"/>
      <c r="J297" s="23" t="n"/>
      <c r="K297" s="23" t="n"/>
      <c r="L297" s="23" t="n"/>
      <c r="M297" s="23" t="n"/>
      <c r="N297" s="23" t="n"/>
      <c r="O297" s="23" t="n"/>
      <c r="P297" s="23" t="n"/>
      <c r="Q297" s="23" t="n"/>
      <c r="R297" s="23" t="n"/>
      <c r="S297" s="23" t="n"/>
      <c r="T297" s="23" t="n"/>
      <c r="U297" s="23" t="n"/>
      <c r="V297" s="23" t="n"/>
      <c r="W297" s="23" t="n"/>
      <c r="X297" s="23" t="n"/>
      <c r="Y297" s="25" t="n"/>
      <c r="Z297" s="25" t="n"/>
      <c r="AA297" s="23" t="n"/>
      <c r="AB297" s="25" t="n"/>
      <c r="AC297" s="23" t="n"/>
      <c r="AD297" s="25" t="n"/>
      <c r="AE297" s="23" t="n"/>
      <c r="AF297" s="25" t="n"/>
      <c r="AG297" s="25" t="n"/>
      <c r="AH297" s="23" t="n"/>
      <c r="AI297" s="23" t="n"/>
      <c r="AJ297" s="26">
        <f>IF(I297="","",I297&amp;"|"&amp;R297)</f>
        <v/>
      </c>
      <c r="AK297" s="26">
        <f>IF(I297="","",IF(ISNA(MATCH(O297,Kampanyalar!$A$2:$A$150,0)),"Hayır - Kampanyalar'da Yok","Evet"))</f>
        <v/>
      </c>
      <c r="AL297" s="27">
        <f>IF(I297="","",IFERROR(INDEX(Kampanyalar!$E$2:$E$150,MATCH(O297,Kampanyalar!$A$2:$A$150,0)),""))</f>
        <v/>
      </c>
      <c r="AM297" s="27">
        <f>IF(I297="","",IFERROR(INDEX(Kampanyalar!$F$2:$F$150,MATCH(O297,Kampanyalar!$A$2:$A$150,0)),""))</f>
        <v/>
      </c>
      <c r="AN297" s="27">
        <f>IF(I297="","",IFERROR(INDEX(Kampanyalar!$G$2:$G$150,MATCH(O297,Kampanyalar!$A$2:$A$150,0)),""))</f>
        <v/>
      </c>
      <c r="AO297" s="26">
        <f>IF(OR(I297="",AL297="",AM297=""),"",IF(AND(H297&gt;=AL297,H297&lt;=AM297),"Evet","HAYIR - Tarih Dışı"))</f>
        <v/>
      </c>
      <c r="AP297" s="28">
        <f>IF(I297="","",IFERROR(INDEX(Kampanyalar!$H$2:$H$150,MATCH(O297,Kampanyalar!$A$2:$A$150,0)),""))</f>
        <v/>
      </c>
      <c r="AQ297" s="28">
        <f>IF(I297="","",IF(ISNUMBER(AP297),AP297,AD297))</f>
        <v/>
      </c>
      <c r="AR297" s="26">
        <f>IF(I297="","",IF(Parametreler!$C$7="Evet","Kural A - Hemen Ödeme (Stok Mutabakatlı)","Kural B - Nakliye/Montaj Sonrası Ödeme"))</f>
        <v/>
      </c>
    </row>
    <row r="298">
      <c r="A298" s="23" t="n"/>
      <c r="B298" s="23" t="n"/>
      <c r="C298" s="23" t="n"/>
      <c r="D298" s="23" t="n"/>
      <c r="E298" s="23" t="n"/>
      <c r="F298" s="23" t="n"/>
      <c r="G298" s="23" t="n"/>
      <c r="H298" s="24" t="n"/>
      <c r="I298" s="23" t="n"/>
      <c r="J298" s="23" t="n"/>
      <c r="K298" s="23" t="n"/>
      <c r="L298" s="23" t="n"/>
      <c r="M298" s="23" t="n"/>
      <c r="N298" s="23" t="n"/>
      <c r="O298" s="23" t="n"/>
      <c r="P298" s="23" t="n"/>
      <c r="Q298" s="23" t="n"/>
      <c r="R298" s="23" t="n"/>
      <c r="S298" s="23" t="n"/>
      <c r="T298" s="23" t="n"/>
      <c r="U298" s="23" t="n"/>
      <c r="V298" s="23" t="n"/>
      <c r="W298" s="23" t="n"/>
      <c r="X298" s="23" t="n"/>
      <c r="Y298" s="25" t="n"/>
      <c r="Z298" s="25" t="n"/>
      <c r="AA298" s="23" t="n"/>
      <c r="AB298" s="25" t="n"/>
      <c r="AC298" s="23" t="n"/>
      <c r="AD298" s="25" t="n"/>
      <c r="AE298" s="23" t="n"/>
      <c r="AF298" s="25" t="n"/>
      <c r="AG298" s="25" t="n"/>
      <c r="AH298" s="23" t="n"/>
      <c r="AI298" s="23" t="n"/>
      <c r="AJ298" s="26">
        <f>IF(I298="","",I298&amp;"|"&amp;R298)</f>
        <v/>
      </c>
      <c r="AK298" s="26">
        <f>IF(I298="","",IF(ISNA(MATCH(O298,Kampanyalar!$A$2:$A$150,0)),"Hayır - Kampanyalar'da Yok","Evet"))</f>
        <v/>
      </c>
      <c r="AL298" s="27">
        <f>IF(I298="","",IFERROR(INDEX(Kampanyalar!$E$2:$E$150,MATCH(O298,Kampanyalar!$A$2:$A$150,0)),""))</f>
        <v/>
      </c>
      <c r="AM298" s="27">
        <f>IF(I298="","",IFERROR(INDEX(Kampanyalar!$F$2:$F$150,MATCH(O298,Kampanyalar!$A$2:$A$150,0)),""))</f>
        <v/>
      </c>
      <c r="AN298" s="27">
        <f>IF(I298="","",IFERROR(INDEX(Kampanyalar!$G$2:$G$150,MATCH(O298,Kampanyalar!$A$2:$A$150,0)),""))</f>
        <v/>
      </c>
      <c r="AO298" s="26">
        <f>IF(OR(I298="",AL298="",AM298=""),"",IF(AND(H298&gt;=AL298,H298&lt;=AM298),"Evet","HAYIR - Tarih Dışı"))</f>
        <v/>
      </c>
      <c r="AP298" s="28">
        <f>IF(I298="","",IFERROR(INDEX(Kampanyalar!$H$2:$H$150,MATCH(O298,Kampanyalar!$A$2:$A$150,0)),""))</f>
        <v/>
      </c>
      <c r="AQ298" s="28">
        <f>IF(I298="","",IF(ISNUMBER(AP298),AP298,AD298))</f>
        <v/>
      </c>
      <c r="AR298" s="26">
        <f>IF(I298="","",IF(Parametreler!$C$7="Evet","Kural A - Hemen Ödeme (Stok Mutabakatlı)","Kural B - Nakliye/Montaj Sonrası Ödeme"))</f>
        <v/>
      </c>
    </row>
    <row r="299">
      <c r="A299" s="23" t="n"/>
      <c r="B299" s="23" t="n"/>
      <c r="C299" s="23" t="n"/>
      <c r="D299" s="23" t="n"/>
      <c r="E299" s="23" t="n"/>
      <c r="F299" s="23" t="n"/>
      <c r="G299" s="23" t="n"/>
      <c r="H299" s="24" t="n"/>
      <c r="I299" s="23" t="n"/>
      <c r="J299" s="23" t="n"/>
      <c r="K299" s="23" t="n"/>
      <c r="L299" s="23" t="n"/>
      <c r="M299" s="23" t="n"/>
      <c r="N299" s="23" t="n"/>
      <c r="O299" s="23" t="n"/>
      <c r="P299" s="23" t="n"/>
      <c r="Q299" s="23" t="n"/>
      <c r="R299" s="23" t="n"/>
      <c r="S299" s="23" t="n"/>
      <c r="T299" s="23" t="n"/>
      <c r="U299" s="23" t="n"/>
      <c r="V299" s="23" t="n"/>
      <c r="W299" s="23" t="n"/>
      <c r="X299" s="23" t="n"/>
      <c r="Y299" s="25" t="n"/>
      <c r="Z299" s="25" t="n"/>
      <c r="AA299" s="23" t="n"/>
      <c r="AB299" s="25" t="n"/>
      <c r="AC299" s="23" t="n"/>
      <c r="AD299" s="25" t="n"/>
      <c r="AE299" s="23" t="n"/>
      <c r="AF299" s="25" t="n"/>
      <c r="AG299" s="25" t="n"/>
      <c r="AH299" s="23" t="n"/>
      <c r="AI299" s="23" t="n"/>
      <c r="AJ299" s="26">
        <f>IF(I299="","",I299&amp;"|"&amp;R299)</f>
        <v/>
      </c>
      <c r="AK299" s="26">
        <f>IF(I299="","",IF(ISNA(MATCH(O299,Kampanyalar!$A$2:$A$150,0)),"Hayır - Kampanyalar'da Yok","Evet"))</f>
        <v/>
      </c>
      <c r="AL299" s="27">
        <f>IF(I299="","",IFERROR(INDEX(Kampanyalar!$E$2:$E$150,MATCH(O299,Kampanyalar!$A$2:$A$150,0)),""))</f>
        <v/>
      </c>
      <c r="AM299" s="27">
        <f>IF(I299="","",IFERROR(INDEX(Kampanyalar!$F$2:$F$150,MATCH(O299,Kampanyalar!$A$2:$A$150,0)),""))</f>
        <v/>
      </c>
      <c r="AN299" s="27">
        <f>IF(I299="","",IFERROR(INDEX(Kampanyalar!$G$2:$G$150,MATCH(O299,Kampanyalar!$A$2:$A$150,0)),""))</f>
        <v/>
      </c>
      <c r="AO299" s="26">
        <f>IF(OR(I299="",AL299="",AM299=""),"",IF(AND(H299&gt;=AL299,H299&lt;=AM299),"Evet","HAYIR - Tarih Dışı"))</f>
        <v/>
      </c>
      <c r="AP299" s="28">
        <f>IF(I299="","",IFERROR(INDEX(Kampanyalar!$H$2:$H$150,MATCH(O299,Kampanyalar!$A$2:$A$150,0)),""))</f>
        <v/>
      </c>
      <c r="AQ299" s="28">
        <f>IF(I299="","",IF(ISNUMBER(AP299),AP299,AD299))</f>
        <v/>
      </c>
      <c r="AR299" s="26">
        <f>IF(I299="","",IF(Parametreler!$C$7="Evet","Kural A - Hemen Ödeme (Stok Mutabakatlı)","Kural B - Nakliye/Montaj Sonrası Ödeme"))</f>
        <v/>
      </c>
    </row>
    <row r="300">
      <c r="A300" s="23" t="n"/>
      <c r="B300" s="23" t="n"/>
      <c r="C300" s="23" t="n"/>
      <c r="D300" s="23" t="n"/>
      <c r="E300" s="23" t="n"/>
      <c r="F300" s="23" t="n"/>
      <c r="G300" s="23" t="n"/>
      <c r="H300" s="24" t="n"/>
      <c r="I300" s="23" t="n"/>
      <c r="J300" s="23" t="n"/>
      <c r="K300" s="23" t="n"/>
      <c r="L300" s="23" t="n"/>
      <c r="M300" s="23" t="n"/>
      <c r="N300" s="23" t="n"/>
      <c r="O300" s="23" t="n"/>
      <c r="P300" s="23" t="n"/>
      <c r="Q300" s="23" t="n"/>
      <c r="R300" s="23" t="n"/>
      <c r="S300" s="23" t="n"/>
      <c r="T300" s="23" t="n"/>
      <c r="U300" s="23" t="n"/>
      <c r="V300" s="23" t="n"/>
      <c r="W300" s="23" t="n"/>
      <c r="X300" s="23" t="n"/>
      <c r="Y300" s="25" t="n"/>
      <c r="Z300" s="25" t="n"/>
      <c r="AA300" s="23" t="n"/>
      <c r="AB300" s="25" t="n"/>
      <c r="AC300" s="23" t="n"/>
      <c r="AD300" s="25" t="n"/>
      <c r="AE300" s="23" t="n"/>
      <c r="AF300" s="25" t="n"/>
      <c r="AG300" s="25" t="n"/>
      <c r="AH300" s="23" t="n"/>
      <c r="AI300" s="23" t="n"/>
      <c r="AJ300" s="26">
        <f>IF(I300="","",I300&amp;"|"&amp;R300)</f>
        <v/>
      </c>
      <c r="AK300" s="26">
        <f>IF(I300="","",IF(ISNA(MATCH(O300,Kampanyalar!$A$2:$A$150,0)),"Hayır - Kampanyalar'da Yok","Evet"))</f>
        <v/>
      </c>
      <c r="AL300" s="27">
        <f>IF(I300="","",IFERROR(INDEX(Kampanyalar!$E$2:$E$150,MATCH(O300,Kampanyalar!$A$2:$A$150,0)),""))</f>
        <v/>
      </c>
      <c r="AM300" s="27">
        <f>IF(I300="","",IFERROR(INDEX(Kampanyalar!$F$2:$F$150,MATCH(O300,Kampanyalar!$A$2:$A$150,0)),""))</f>
        <v/>
      </c>
      <c r="AN300" s="27">
        <f>IF(I300="","",IFERROR(INDEX(Kampanyalar!$G$2:$G$150,MATCH(O300,Kampanyalar!$A$2:$A$150,0)),""))</f>
        <v/>
      </c>
      <c r="AO300" s="26">
        <f>IF(OR(I300="",AL300="",AM300=""),"",IF(AND(H300&gt;=AL300,H300&lt;=AM300),"Evet","HAYIR - Tarih Dışı"))</f>
        <v/>
      </c>
      <c r="AP300" s="28">
        <f>IF(I300="","",IFERROR(INDEX(Kampanyalar!$H$2:$H$150,MATCH(O300,Kampanyalar!$A$2:$A$150,0)),""))</f>
        <v/>
      </c>
      <c r="AQ300" s="28">
        <f>IF(I300="","",IF(ISNUMBER(AP300),AP300,AD300))</f>
        <v/>
      </c>
      <c r="AR300" s="26">
        <f>IF(I300="","",IF(Parametreler!$C$7="Evet","Kural A - Hemen Ödeme (Stok Mutabakatlı)","Kural B - Nakliye/Montaj Sonrası Ödeme"))</f>
        <v/>
      </c>
    </row>
    <row r="301">
      <c r="A301" s="23" t="n"/>
      <c r="B301" s="23" t="n"/>
      <c r="C301" s="23" t="n"/>
      <c r="D301" s="23" t="n"/>
      <c r="E301" s="23" t="n"/>
      <c r="F301" s="23" t="n"/>
      <c r="G301" s="23" t="n"/>
      <c r="H301" s="24" t="n"/>
      <c r="I301" s="23" t="n"/>
      <c r="J301" s="23" t="n"/>
      <c r="K301" s="23" t="n"/>
      <c r="L301" s="23" t="n"/>
      <c r="M301" s="23" t="n"/>
      <c r="N301" s="23" t="n"/>
      <c r="O301" s="23" t="n"/>
      <c r="P301" s="23" t="n"/>
      <c r="Q301" s="23" t="n"/>
      <c r="R301" s="23" t="n"/>
      <c r="S301" s="23" t="n"/>
      <c r="T301" s="23" t="n"/>
      <c r="U301" s="23" t="n"/>
      <c r="V301" s="23" t="n"/>
      <c r="W301" s="23" t="n"/>
      <c r="X301" s="23" t="n"/>
      <c r="Y301" s="25" t="n"/>
      <c r="Z301" s="25" t="n"/>
      <c r="AA301" s="23" t="n"/>
      <c r="AB301" s="25" t="n"/>
      <c r="AC301" s="23" t="n"/>
      <c r="AD301" s="25" t="n"/>
      <c r="AE301" s="23" t="n"/>
      <c r="AF301" s="25" t="n"/>
      <c r="AG301" s="25" t="n"/>
      <c r="AH301" s="23" t="n"/>
      <c r="AI301" s="23" t="n"/>
      <c r="AJ301" s="26">
        <f>IF(I301="","",I301&amp;"|"&amp;R301)</f>
        <v/>
      </c>
      <c r="AK301" s="26">
        <f>IF(I301="","",IF(ISNA(MATCH(O301,Kampanyalar!$A$2:$A$150,0)),"Hayır - Kampanyalar'da Yok","Evet"))</f>
        <v/>
      </c>
      <c r="AL301" s="27">
        <f>IF(I301="","",IFERROR(INDEX(Kampanyalar!$E$2:$E$150,MATCH(O301,Kampanyalar!$A$2:$A$150,0)),""))</f>
        <v/>
      </c>
      <c r="AM301" s="27">
        <f>IF(I301="","",IFERROR(INDEX(Kampanyalar!$F$2:$F$150,MATCH(O301,Kampanyalar!$A$2:$A$150,0)),""))</f>
        <v/>
      </c>
      <c r="AN301" s="27">
        <f>IF(I301="","",IFERROR(INDEX(Kampanyalar!$G$2:$G$150,MATCH(O301,Kampanyalar!$A$2:$A$150,0)),""))</f>
        <v/>
      </c>
      <c r="AO301" s="26">
        <f>IF(OR(I301="",AL301="",AM301=""),"",IF(AND(H301&gt;=AL301,H301&lt;=AM301),"Evet","HAYIR - Tarih Dışı"))</f>
        <v/>
      </c>
      <c r="AP301" s="28">
        <f>IF(I301="","",IFERROR(INDEX(Kampanyalar!$H$2:$H$150,MATCH(O301,Kampanyalar!$A$2:$A$150,0)),""))</f>
        <v/>
      </c>
      <c r="AQ301" s="28">
        <f>IF(I301="","",IF(ISNUMBER(AP301),AP301,AD301))</f>
        <v/>
      </c>
      <c r="AR301" s="26">
        <f>IF(I301="","",IF(Parametreler!$C$7="Evet","Kural A - Hemen Ödeme (Stok Mutabakatlı)","Kural B - Nakliye/Montaj Sonrası Ödeme"))</f>
        <v/>
      </c>
    </row>
    <row r="302">
      <c r="A302" s="23" t="n"/>
      <c r="B302" s="23" t="n"/>
      <c r="C302" s="23" t="n"/>
      <c r="D302" s="23" t="n"/>
      <c r="E302" s="23" t="n"/>
      <c r="F302" s="23" t="n"/>
      <c r="G302" s="23" t="n"/>
      <c r="H302" s="24" t="n"/>
      <c r="I302" s="23" t="n"/>
      <c r="J302" s="23" t="n"/>
      <c r="K302" s="23" t="n"/>
      <c r="L302" s="23" t="n"/>
      <c r="M302" s="23" t="n"/>
      <c r="N302" s="23" t="n"/>
      <c r="O302" s="23" t="n"/>
      <c r="P302" s="23" t="n"/>
      <c r="Q302" s="23" t="n"/>
      <c r="R302" s="23" t="n"/>
      <c r="S302" s="23" t="n"/>
      <c r="T302" s="23" t="n"/>
      <c r="U302" s="23" t="n"/>
      <c r="V302" s="23" t="n"/>
      <c r="W302" s="23" t="n"/>
      <c r="X302" s="23" t="n"/>
      <c r="Y302" s="25" t="n"/>
      <c r="Z302" s="25" t="n"/>
      <c r="AA302" s="23" t="n"/>
      <c r="AB302" s="25" t="n"/>
      <c r="AC302" s="23" t="n"/>
      <c r="AD302" s="25" t="n"/>
      <c r="AE302" s="23" t="n"/>
      <c r="AF302" s="25" t="n"/>
      <c r="AG302" s="25" t="n"/>
      <c r="AH302" s="23" t="n"/>
      <c r="AI302" s="23" t="n"/>
      <c r="AJ302" s="26">
        <f>IF(I302="","",I302&amp;"|"&amp;R302)</f>
        <v/>
      </c>
      <c r="AK302" s="26">
        <f>IF(I302="","",IF(ISNA(MATCH(O302,Kampanyalar!$A$2:$A$150,0)),"Hayır - Kampanyalar'da Yok","Evet"))</f>
        <v/>
      </c>
      <c r="AL302" s="27">
        <f>IF(I302="","",IFERROR(INDEX(Kampanyalar!$E$2:$E$150,MATCH(O302,Kampanyalar!$A$2:$A$150,0)),""))</f>
        <v/>
      </c>
      <c r="AM302" s="27">
        <f>IF(I302="","",IFERROR(INDEX(Kampanyalar!$F$2:$F$150,MATCH(O302,Kampanyalar!$A$2:$A$150,0)),""))</f>
        <v/>
      </c>
      <c r="AN302" s="27">
        <f>IF(I302="","",IFERROR(INDEX(Kampanyalar!$G$2:$G$150,MATCH(O302,Kampanyalar!$A$2:$A$150,0)),""))</f>
        <v/>
      </c>
      <c r="AO302" s="26">
        <f>IF(OR(I302="",AL302="",AM302=""),"",IF(AND(H302&gt;=AL302,H302&lt;=AM302),"Evet","HAYIR - Tarih Dışı"))</f>
        <v/>
      </c>
      <c r="AP302" s="28">
        <f>IF(I302="","",IFERROR(INDEX(Kampanyalar!$H$2:$H$150,MATCH(O302,Kampanyalar!$A$2:$A$150,0)),""))</f>
        <v/>
      </c>
      <c r="AQ302" s="28">
        <f>IF(I302="","",IF(ISNUMBER(AP302),AP302,AD302))</f>
        <v/>
      </c>
      <c r="AR302" s="26">
        <f>IF(I302="","",IF(Parametreler!$C$7="Evet","Kural A - Hemen Ödeme (Stok Mutabakatlı)","Kural B - Nakliye/Montaj Sonrası Ödeme"))</f>
        <v/>
      </c>
    </row>
    <row r="303">
      <c r="A303" s="23" t="n"/>
      <c r="B303" s="23" t="n"/>
      <c r="C303" s="23" t="n"/>
      <c r="D303" s="23" t="n"/>
      <c r="E303" s="23" t="n"/>
      <c r="F303" s="23" t="n"/>
      <c r="G303" s="23" t="n"/>
      <c r="H303" s="24" t="n"/>
      <c r="I303" s="23" t="n"/>
      <c r="J303" s="23" t="n"/>
      <c r="K303" s="23" t="n"/>
      <c r="L303" s="23" t="n"/>
      <c r="M303" s="23" t="n"/>
      <c r="N303" s="23" t="n"/>
      <c r="O303" s="23" t="n"/>
      <c r="P303" s="23" t="n"/>
      <c r="Q303" s="23" t="n"/>
      <c r="R303" s="23" t="n"/>
      <c r="S303" s="23" t="n"/>
      <c r="T303" s="23" t="n"/>
      <c r="U303" s="23" t="n"/>
      <c r="V303" s="23" t="n"/>
      <c r="W303" s="23" t="n"/>
      <c r="X303" s="23" t="n"/>
      <c r="Y303" s="25" t="n"/>
      <c r="Z303" s="25" t="n"/>
      <c r="AA303" s="23" t="n"/>
      <c r="AB303" s="25" t="n"/>
      <c r="AC303" s="23" t="n"/>
      <c r="AD303" s="25" t="n"/>
      <c r="AE303" s="23" t="n"/>
      <c r="AF303" s="25" t="n"/>
      <c r="AG303" s="25" t="n"/>
      <c r="AH303" s="23" t="n"/>
      <c r="AI303" s="23" t="n"/>
      <c r="AJ303" s="26">
        <f>IF(I303="","",I303&amp;"|"&amp;R303)</f>
        <v/>
      </c>
      <c r="AK303" s="26">
        <f>IF(I303="","",IF(ISNA(MATCH(O303,Kampanyalar!$A$2:$A$150,0)),"Hayır - Kampanyalar'da Yok","Evet"))</f>
        <v/>
      </c>
      <c r="AL303" s="27">
        <f>IF(I303="","",IFERROR(INDEX(Kampanyalar!$E$2:$E$150,MATCH(O303,Kampanyalar!$A$2:$A$150,0)),""))</f>
        <v/>
      </c>
      <c r="AM303" s="27">
        <f>IF(I303="","",IFERROR(INDEX(Kampanyalar!$F$2:$F$150,MATCH(O303,Kampanyalar!$A$2:$A$150,0)),""))</f>
        <v/>
      </c>
      <c r="AN303" s="27">
        <f>IF(I303="","",IFERROR(INDEX(Kampanyalar!$G$2:$G$150,MATCH(O303,Kampanyalar!$A$2:$A$150,0)),""))</f>
        <v/>
      </c>
      <c r="AO303" s="26">
        <f>IF(OR(I303="",AL303="",AM303=""),"",IF(AND(H303&gt;=AL303,H303&lt;=AM303),"Evet","HAYIR - Tarih Dışı"))</f>
        <v/>
      </c>
      <c r="AP303" s="28">
        <f>IF(I303="","",IFERROR(INDEX(Kampanyalar!$H$2:$H$150,MATCH(O303,Kampanyalar!$A$2:$A$150,0)),""))</f>
        <v/>
      </c>
      <c r="AQ303" s="28">
        <f>IF(I303="","",IF(ISNUMBER(AP303),AP303,AD303))</f>
        <v/>
      </c>
      <c r="AR303" s="26">
        <f>IF(I303="","",IF(Parametreler!$C$7="Evet","Kural A - Hemen Ödeme (Stok Mutabakatlı)","Kural B - Nakliye/Montaj Sonrası Ödeme"))</f>
        <v/>
      </c>
    </row>
    <row r="304">
      <c r="A304" s="23" t="n"/>
      <c r="B304" s="23" t="n"/>
      <c r="C304" s="23" t="n"/>
      <c r="D304" s="23" t="n"/>
      <c r="E304" s="23" t="n"/>
      <c r="F304" s="23" t="n"/>
      <c r="G304" s="23" t="n"/>
      <c r="H304" s="24" t="n"/>
      <c r="I304" s="23" t="n"/>
      <c r="J304" s="23" t="n"/>
      <c r="K304" s="23" t="n"/>
      <c r="L304" s="23" t="n"/>
      <c r="M304" s="23" t="n"/>
      <c r="N304" s="23" t="n"/>
      <c r="O304" s="23" t="n"/>
      <c r="P304" s="23" t="n"/>
      <c r="Q304" s="23" t="n"/>
      <c r="R304" s="23" t="n"/>
      <c r="S304" s="23" t="n"/>
      <c r="T304" s="23" t="n"/>
      <c r="U304" s="23" t="n"/>
      <c r="V304" s="23" t="n"/>
      <c r="W304" s="23" t="n"/>
      <c r="X304" s="23" t="n"/>
      <c r="Y304" s="25" t="n"/>
      <c r="Z304" s="25" t="n"/>
      <c r="AA304" s="23" t="n"/>
      <c r="AB304" s="25" t="n"/>
      <c r="AC304" s="23" t="n"/>
      <c r="AD304" s="25" t="n"/>
      <c r="AE304" s="23" t="n"/>
      <c r="AF304" s="25" t="n"/>
      <c r="AG304" s="25" t="n"/>
      <c r="AH304" s="23" t="n"/>
      <c r="AI304" s="23" t="n"/>
      <c r="AJ304" s="26">
        <f>IF(I304="","",I304&amp;"|"&amp;R304)</f>
        <v/>
      </c>
      <c r="AK304" s="26">
        <f>IF(I304="","",IF(ISNA(MATCH(O304,Kampanyalar!$A$2:$A$150,0)),"Hayır - Kampanyalar'da Yok","Evet"))</f>
        <v/>
      </c>
      <c r="AL304" s="27">
        <f>IF(I304="","",IFERROR(INDEX(Kampanyalar!$E$2:$E$150,MATCH(O304,Kampanyalar!$A$2:$A$150,0)),""))</f>
        <v/>
      </c>
      <c r="AM304" s="27">
        <f>IF(I304="","",IFERROR(INDEX(Kampanyalar!$F$2:$F$150,MATCH(O304,Kampanyalar!$A$2:$A$150,0)),""))</f>
        <v/>
      </c>
      <c r="AN304" s="27">
        <f>IF(I304="","",IFERROR(INDEX(Kampanyalar!$G$2:$G$150,MATCH(O304,Kampanyalar!$A$2:$A$150,0)),""))</f>
        <v/>
      </c>
      <c r="AO304" s="26">
        <f>IF(OR(I304="",AL304="",AM304=""),"",IF(AND(H304&gt;=AL304,H304&lt;=AM304),"Evet","HAYIR - Tarih Dışı"))</f>
        <v/>
      </c>
      <c r="AP304" s="28">
        <f>IF(I304="","",IFERROR(INDEX(Kampanyalar!$H$2:$H$150,MATCH(O304,Kampanyalar!$A$2:$A$150,0)),""))</f>
        <v/>
      </c>
      <c r="AQ304" s="28">
        <f>IF(I304="","",IF(ISNUMBER(AP304),AP304,AD304))</f>
        <v/>
      </c>
      <c r="AR304" s="26">
        <f>IF(I304="","",IF(Parametreler!$C$7="Evet","Kural A - Hemen Ödeme (Stok Mutabakatlı)","Kural B - Nakliye/Montaj Sonrası Ödeme"))</f>
        <v/>
      </c>
    </row>
    <row r="305">
      <c r="A305" s="23" t="n"/>
      <c r="B305" s="23" t="n"/>
      <c r="C305" s="23" t="n"/>
      <c r="D305" s="23" t="n"/>
      <c r="E305" s="23" t="n"/>
      <c r="F305" s="23" t="n"/>
      <c r="G305" s="23" t="n"/>
      <c r="H305" s="24" t="n"/>
      <c r="I305" s="23" t="n"/>
      <c r="J305" s="23" t="n"/>
      <c r="K305" s="23" t="n"/>
      <c r="L305" s="23" t="n"/>
      <c r="M305" s="23" t="n"/>
      <c r="N305" s="23" t="n"/>
      <c r="O305" s="23" t="n"/>
      <c r="P305" s="23" t="n"/>
      <c r="Q305" s="23" t="n"/>
      <c r="R305" s="23" t="n"/>
      <c r="S305" s="23" t="n"/>
      <c r="T305" s="23" t="n"/>
      <c r="U305" s="23" t="n"/>
      <c r="V305" s="23" t="n"/>
      <c r="W305" s="23" t="n"/>
      <c r="X305" s="23" t="n"/>
      <c r="Y305" s="25" t="n"/>
      <c r="Z305" s="25" t="n"/>
      <c r="AA305" s="23" t="n"/>
      <c r="AB305" s="25" t="n"/>
      <c r="AC305" s="23" t="n"/>
      <c r="AD305" s="25" t="n"/>
      <c r="AE305" s="23" t="n"/>
      <c r="AF305" s="25" t="n"/>
      <c r="AG305" s="25" t="n"/>
      <c r="AH305" s="23" t="n"/>
      <c r="AI305" s="23" t="n"/>
      <c r="AJ305" s="26">
        <f>IF(I305="","",I305&amp;"|"&amp;R305)</f>
        <v/>
      </c>
      <c r="AK305" s="26">
        <f>IF(I305="","",IF(ISNA(MATCH(O305,Kampanyalar!$A$2:$A$150,0)),"Hayır - Kampanyalar'da Yok","Evet"))</f>
        <v/>
      </c>
      <c r="AL305" s="27">
        <f>IF(I305="","",IFERROR(INDEX(Kampanyalar!$E$2:$E$150,MATCH(O305,Kampanyalar!$A$2:$A$150,0)),""))</f>
        <v/>
      </c>
      <c r="AM305" s="27">
        <f>IF(I305="","",IFERROR(INDEX(Kampanyalar!$F$2:$F$150,MATCH(O305,Kampanyalar!$A$2:$A$150,0)),""))</f>
        <v/>
      </c>
      <c r="AN305" s="27">
        <f>IF(I305="","",IFERROR(INDEX(Kampanyalar!$G$2:$G$150,MATCH(O305,Kampanyalar!$A$2:$A$150,0)),""))</f>
        <v/>
      </c>
      <c r="AO305" s="26">
        <f>IF(OR(I305="",AL305="",AM305=""),"",IF(AND(H305&gt;=AL305,H305&lt;=AM305),"Evet","HAYIR - Tarih Dışı"))</f>
        <v/>
      </c>
      <c r="AP305" s="28">
        <f>IF(I305="","",IFERROR(INDEX(Kampanyalar!$H$2:$H$150,MATCH(O305,Kampanyalar!$A$2:$A$150,0)),""))</f>
        <v/>
      </c>
      <c r="AQ305" s="28">
        <f>IF(I305="","",IF(ISNUMBER(AP305),AP305,AD305))</f>
        <v/>
      </c>
      <c r="AR305" s="26">
        <f>IF(I305="","",IF(Parametreler!$C$7="Evet","Kural A - Hemen Ödeme (Stok Mutabakatlı)","Kural B - Nakliye/Montaj Sonrası Ödeme"))</f>
        <v/>
      </c>
    </row>
    <row r="306">
      <c r="A306" s="23" t="n"/>
      <c r="B306" s="23" t="n"/>
      <c r="C306" s="23" t="n"/>
      <c r="D306" s="23" t="n"/>
      <c r="E306" s="23" t="n"/>
      <c r="F306" s="23" t="n"/>
      <c r="G306" s="23" t="n"/>
      <c r="H306" s="24" t="n"/>
      <c r="I306" s="23" t="n"/>
      <c r="J306" s="23" t="n"/>
      <c r="K306" s="23" t="n"/>
      <c r="L306" s="23" t="n"/>
      <c r="M306" s="23" t="n"/>
      <c r="N306" s="23" t="n"/>
      <c r="O306" s="23" t="n"/>
      <c r="P306" s="23" t="n"/>
      <c r="Q306" s="23" t="n"/>
      <c r="R306" s="23" t="n"/>
      <c r="S306" s="23" t="n"/>
      <c r="T306" s="23" t="n"/>
      <c r="U306" s="23" t="n"/>
      <c r="V306" s="23" t="n"/>
      <c r="W306" s="23" t="n"/>
      <c r="X306" s="23" t="n"/>
      <c r="Y306" s="25" t="n"/>
      <c r="Z306" s="25" t="n"/>
      <c r="AA306" s="23" t="n"/>
      <c r="AB306" s="25" t="n"/>
      <c r="AC306" s="23" t="n"/>
      <c r="AD306" s="25" t="n"/>
      <c r="AE306" s="23" t="n"/>
      <c r="AF306" s="25" t="n"/>
      <c r="AG306" s="25" t="n"/>
      <c r="AH306" s="23" t="n"/>
      <c r="AI306" s="23" t="n"/>
      <c r="AJ306" s="26">
        <f>IF(I306="","",I306&amp;"|"&amp;R306)</f>
        <v/>
      </c>
      <c r="AK306" s="26">
        <f>IF(I306="","",IF(ISNA(MATCH(O306,Kampanyalar!$A$2:$A$150,0)),"Hayır - Kampanyalar'da Yok","Evet"))</f>
        <v/>
      </c>
      <c r="AL306" s="27">
        <f>IF(I306="","",IFERROR(INDEX(Kampanyalar!$E$2:$E$150,MATCH(O306,Kampanyalar!$A$2:$A$150,0)),""))</f>
        <v/>
      </c>
      <c r="AM306" s="27">
        <f>IF(I306="","",IFERROR(INDEX(Kampanyalar!$F$2:$F$150,MATCH(O306,Kampanyalar!$A$2:$A$150,0)),""))</f>
        <v/>
      </c>
      <c r="AN306" s="27">
        <f>IF(I306="","",IFERROR(INDEX(Kampanyalar!$G$2:$G$150,MATCH(O306,Kampanyalar!$A$2:$A$150,0)),""))</f>
        <v/>
      </c>
      <c r="AO306" s="26">
        <f>IF(OR(I306="",AL306="",AM306=""),"",IF(AND(H306&gt;=AL306,H306&lt;=AM306),"Evet","HAYIR - Tarih Dışı"))</f>
        <v/>
      </c>
      <c r="AP306" s="28">
        <f>IF(I306="","",IFERROR(INDEX(Kampanyalar!$H$2:$H$150,MATCH(O306,Kampanyalar!$A$2:$A$150,0)),""))</f>
        <v/>
      </c>
      <c r="AQ306" s="28">
        <f>IF(I306="","",IF(ISNUMBER(AP306),AP306,AD306))</f>
        <v/>
      </c>
      <c r="AR306" s="26">
        <f>IF(I306="","",IF(Parametreler!$C$7="Evet","Kural A - Hemen Ödeme (Stok Mutabakatlı)","Kural B - Nakliye/Montaj Sonrası Ödeme"))</f>
        <v/>
      </c>
    </row>
    <row r="307">
      <c r="A307" s="23" t="n"/>
      <c r="B307" s="23" t="n"/>
      <c r="C307" s="23" t="n"/>
      <c r="D307" s="23" t="n"/>
      <c r="E307" s="23" t="n"/>
      <c r="F307" s="23" t="n"/>
      <c r="G307" s="23" t="n"/>
      <c r="H307" s="24" t="n"/>
      <c r="I307" s="23" t="n"/>
      <c r="J307" s="23" t="n"/>
      <c r="K307" s="23" t="n"/>
      <c r="L307" s="23" t="n"/>
      <c r="M307" s="23" t="n"/>
      <c r="N307" s="23" t="n"/>
      <c r="O307" s="23" t="n"/>
      <c r="P307" s="23" t="n"/>
      <c r="Q307" s="23" t="n"/>
      <c r="R307" s="23" t="n"/>
      <c r="S307" s="23" t="n"/>
      <c r="T307" s="23" t="n"/>
      <c r="U307" s="23" t="n"/>
      <c r="V307" s="23" t="n"/>
      <c r="W307" s="23" t="n"/>
      <c r="X307" s="23" t="n"/>
      <c r="Y307" s="25" t="n"/>
      <c r="Z307" s="25" t="n"/>
      <c r="AA307" s="23" t="n"/>
      <c r="AB307" s="25" t="n"/>
      <c r="AC307" s="23" t="n"/>
      <c r="AD307" s="25" t="n"/>
      <c r="AE307" s="23" t="n"/>
      <c r="AF307" s="25" t="n"/>
      <c r="AG307" s="25" t="n"/>
      <c r="AH307" s="23" t="n"/>
      <c r="AI307" s="23" t="n"/>
      <c r="AJ307" s="26">
        <f>IF(I307="","",I307&amp;"|"&amp;R307)</f>
        <v/>
      </c>
      <c r="AK307" s="26">
        <f>IF(I307="","",IF(ISNA(MATCH(O307,Kampanyalar!$A$2:$A$150,0)),"Hayır - Kampanyalar'da Yok","Evet"))</f>
        <v/>
      </c>
      <c r="AL307" s="27">
        <f>IF(I307="","",IFERROR(INDEX(Kampanyalar!$E$2:$E$150,MATCH(O307,Kampanyalar!$A$2:$A$150,0)),""))</f>
        <v/>
      </c>
      <c r="AM307" s="27">
        <f>IF(I307="","",IFERROR(INDEX(Kampanyalar!$F$2:$F$150,MATCH(O307,Kampanyalar!$A$2:$A$150,0)),""))</f>
        <v/>
      </c>
      <c r="AN307" s="27">
        <f>IF(I307="","",IFERROR(INDEX(Kampanyalar!$G$2:$G$150,MATCH(O307,Kampanyalar!$A$2:$A$150,0)),""))</f>
        <v/>
      </c>
      <c r="AO307" s="26">
        <f>IF(OR(I307="",AL307="",AM307=""),"",IF(AND(H307&gt;=AL307,H307&lt;=AM307),"Evet","HAYIR - Tarih Dışı"))</f>
        <v/>
      </c>
      <c r="AP307" s="28">
        <f>IF(I307="","",IFERROR(INDEX(Kampanyalar!$H$2:$H$150,MATCH(O307,Kampanyalar!$A$2:$A$150,0)),""))</f>
        <v/>
      </c>
      <c r="AQ307" s="28">
        <f>IF(I307="","",IF(ISNUMBER(AP307),AP307,AD307))</f>
        <v/>
      </c>
      <c r="AR307" s="26">
        <f>IF(I307="","",IF(Parametreler!$C$7="Evet","Kural A - Hemen Ödeme (Stok Mutabakatlı)","Kural B - Nakliye/Montaj Sonrası Ödeme"))</f>
        <v/>
      </c>
    </row>
    <row r="308">
      <c r="A308" s="23" t="n"/>
      <c r="B308" s="23" t="n"/>
      <c r="C308" s="23" t="n"/>
      <c r="D308" s="23" t="n"/>
      <c r="E308" s="23" t="n"/>
      <c r="F308" s="23" t="n"/>
      <c r="G308" s="23" t="n"/>
      <c r="H308" s="24" t="n"/>
      <c r="I308" s="23" t="n"/>
      <c r="J308" s="23" t="n"/>
      <c r="K308" s="23" t="n"/>
      <c r="L308" s="23" t="n"/>
      <c r="M308" s="23" t="n"/>
      <c r="N308" s="23" t="n"/>
      <c r="O308" s="23" t="n"/>
      <c r="P308" s="23" t="n"/>
      <c r="Q308" s="23" t="n"/>
      <c r="R308" s="23" t="n"/>
      <c r="S308" s="23" t="n"/>
      <c r="T308" s="23" t="n"/>
      <c r="U308" s="23" t="n"/>
      <c r="V308" s="23" t="n"/>
      <c r="W308" s="23" t="n"/>
      <c r="X308" s="23" t="n"/>
      <c r="Y308" s="25" t="n"/>
      <c r="Z308" s="25" t="n"/>
      <c r="AA308" s="23" t="n"/>
      <c r="AB308" s="25" t="n"/>
      <c r="AC308" s="23" t="n"/>
      <c r="AD308" s="25" t="n"/>
      <c r="AE308" s="23" t="n"/>
      <c r="AF308" s="25" t="n"/>
      <c r="AG308" s="25" t="n"/>
      <c r="AH308" s="23" t="n"/>
      <c r="AI308" s="23" t="n"/>
      <c r="AJ308" s="26">
        <f>IF(I308="","",I308&amp;"|"&amp;R308)</f>
        <v/>
      </c>
      <c r="AK308" s="26">
        <f>IF(I308="","",IF(ISNA(MATCH(O308,Kampanyalar!$A$2:$A$150,0)),"Hayır - Kampanyalar'da Yok","Evet"))</f>
        <v/>
      </c>
      <c r="AL308" s="27">
        <f>IF(I308="","",IFERROR(INDEX(Kampanyalar!$E$2:$E$150,MATCH(O308,Kampanyalar!$A$2:$A$150,0)),""))</f>
        <v/>
      </c>
      <c r="AM308" s="27">
        <f>IF(I308="","",IFERROR(INDEX(Kampanyalar!$F$2:$F$150,MATCH(O308,Kampanyalar!$A$2:$A$150,0)),""))</f>
        <v/>
      </c>
      <c r="AN308" s="27">
        <f>IF(I308="","",IFERROR(INDEX(Kampanyalar!$G$2:$G$150,MATCH(O308,Kampanyalar!$A$2:$A$150,0)),""))</f>
        <v/>
      </c>
      <c r="AO308" s="26">
        <f>IF(OR(I308="",AL308="",AM308=""),"",IF(AND(H308&gt;=AL308,H308&lt;=AM308),"Evet","HAYIR - Tarih Dışı"))</f>
        <v/>
      </c>
      <c r="AP308" s="28">
        <f>IF(I308="","",IFERROR(INDEX(Kampanyalar!$H$2:$H$150,MATCH(O308,Kampanyalar!$A$2:$A$150,0)),""))</f>
        <v/>
      </c>
      <c r="AQ308" s="28">
        <f>IF(I308="","",IF(ISNUMBER(AP308),AP308,AD308))</f>
        <v/>
      </c>
      <c r="AR308" s="26">
        <f>IF(I308="","",IF(Parametreler!$C$7="Evet","Kural A - Hemen Ödeme (Stok Mutabakatlı)","Kural B - Nakliye/Montaj Sonrası Ödeme"))</f>
        <v/>
      </c>
    </row>
    <row r="309">
      <c r="A309" s="23" t="n"/>
      <c r="B309" s="23" t="n"/>
      <c r="C309" s="23" t="n"/>
      <c r="D309" s="23" t="n"/>
      <c r="E309" s="23" t="n"/>
      <c r="F309" s="23" t="n"/>
      <c r="G309" s="23" t="n"/>
      <c r="H309" s="24" t="n"/>
      <c r="I309" s="23" t="n"/>
      <c r="J309" s="23" t="n"/>
      <c r="K309" s="23" t="n"/>
      <c r="L309" s="23" t="n"/>
      <c r="M309" s="23" t="n"/>
      <c r="N309" s="23" t="n"/>
      <c r="O309" s="23" t="n"/>
      <c r="P309" s="23" t="n"/>
      <c r="Q309" s="23" t="n"/>
      <c r="R309" s="23" t="n"/>
      <c r="S309" s="23" t="n"/>
      <c r="T309" s="23" t="n"/>
      <c r="U309" s="23" t="n"/>
      <c r="V309" s="23" t="n"/>
      <c r="W309" s="23" t="n"/>
      <c r="X309" s="23" t="n"/>
      <c r="Y309" s="25" t="n"/>
      <c r="Z309" s="25" t="n"/>
      <c r="AA309" s="23" t="n"/>
      <c r="AB309" s="25" t="n"/>
      <c r="AC309" s="23" t="n"/>
      <c r="AD309" s="25" t="n"/>
      <c r="AE309" s="23" t="n"/>
      <c r="AF309" s="25" t="n"/>
      <c r="AG309" s="25" t="n"/>
      <c r="AH309" s="23" t="n"/>
      <c r="AI309" s="23" t="n"/>
      <c r="AJ309" s="26">
        <f>IF(I309="","",I309&amp;"|"&amp;R309)</f>
        <v/>
      </c>
      <c r="AK309" s="26">
        <f>IF(I309="","",IF(ISNA(MATCH(O309,Kampanyalar!$A$2:$A$150,0)),"Hayır - Kampanyalar'da Yok","Evet"))</f>
        <v/>
      </c>
      <c r="AL309" s="27">
        <f>IF(I309="","",IFERROR(INDEX(Kampanyalar!$E$2:$E$150,MATCH(O309,Kampanyalar!$A$2:$A$150,0)),""))</f>
        <v/>
      </c>
      <c r="AM309" s="27">
        <f>IF(I309="","",IFERROR(INDEX(Kampanyalar!$F$2:$F$150,MATCH(O309,Kampanyalar!$A$2:$A$150,0)),""))</f>
        <v/>
      </c>
      <c r="AN309" s="27">
        <f>IF(I309="","",IFERROR(INDEX(Kampanyalar!$G$2:$G$150,MATCH(O309,Kampanyalar!$A$2:$A$150,0)),""))</f>
        <v/>
      </c>
      <c r="AO309" s="26">
        <f>IF(OR(I309="",AL309="",AM309=""),"",IF(AND(H309&gt;=AL309,H309&lt;=AM309),"Evet","HAYIR - Tarih Dışı"))</f>
        <v/>
      </c>
      <c r="AP309" s="28">
        <f>IF(I309="","",IFERROR(INDEX(Kampanyalar!$H$2:$H$150,MATCH(O309,Kampanyalar!$A$2:$A$150,0)),""))</f>
        <v/>
      </c>
      <c r="AQ309" s="28">
        <f>IF(I309="","",IF(ISNUMBER(AP309),AP309,AD309))</f>
        <v/>
      </c>
      <c r="AR309" s="26">
        <f>IF(I309="","",IF(Parametreler!$C$7="Evet","Kural A - Hemen Ödeme (Stok Mutabakatlı)","Kural B - Nakliye/Montaj Sonrası Ödeme"))</f>
        <v/>
      </c>
    </row>
    <row r="310">
      <c r="A310" s="23" t="n"/>
      <c r="B310" s="23" t="n"/>
      <c r="C310" s="23" t="n"/>
      <c r="D310" s="23" t="n"/>
      <c r="E310" s="23" t="n"/>
      <c r="F310" s="23" t="n"/>
      <c r="G310" s="23" t="n"/>
      <c r="H310" s="24" t="n"/>
      <c r="I310" s="23" t="n"/>
      <c r="J310" s="23" t="n"/>
      <c r="K310" s="23" t="n"/>
      <c r="L310" s="23" t="n"/>
      <c r="M310" s="23" t="n"/>
      <c r="N310" s="23" t="n"/>
      <c r="O310" s="23" t="n"/>
      <c r="P310" s="23" t="n"/>
      <c r="Q310" s="23" t="n"/>
      <c r="R310" s="23" t="n"/>
      <c r="S310" s="23" t="n"/>
      <c r="T310" s="23" t="n"/>
      <c r="U310" s="23" t="n"/>
      <c r="V310" s="23" t="n"/>
      <c r="W310" s="23" t="n"/>
      <c r="X310" s="23" t="n"/>
      <c r="Y310" s="25" t="n"/>
      <c r="Z310" s="25" t="n"/>
      <c r="AA310" s="23" t="n"/>
      <c r="AB310" s="25" t="n"/>
      <c r="AC310" s="23" t="n"/>
      <c r="AD310" s="25" t="n"/>
      <c r="AE310" s="23" t="n"/>
      <c r="AF310" s="25" t="n"/>
      <c r="AG310" s="25" t="n"/>
      <c r="AH310" s="23" t="n"/>
      <c r="AI310" s="23" t="n"/>
      <c r="AJ310" s="26">
        <f>IF(I310="","",I310&amp;"|"&amp;R310)</f>
        <v/>
      </c>
      <c r="AK310" s="26">
        <f>IF(I310="","",IF(ISNA(MATCH(O310,Kampanyalar!$A$2:$A$150,0)),"Hayır - Kampanyalar'da Yok","Evet"))</f>
        <v/>
      </c>
      <c r="AL310" s="27">
        <f>IF(I310="","",IFERROR(INDEX(Kampanyalar!$E$2:$E$150,MATCH(O310,Kampanyalar!$A$2:$A$150,0)),""))</f>
        <v/>
      </c>
      <c r="AM310" s="27">
        <f>IF(I310="","",IFERROR(INDEX(Kampanyalar!$F$2:$F$150,MATCH(O310,Kampanyalar!$A$2:$A$150,0)),""))</f>
        <v/>
      </c>
      <c r="AN310" s="27">
        <f>IF(I310="","",IFERROR(INDEX(Kampanyalar!$G$2:$G$150,MATCH(O310,Kampanyalar!$A$2:$A$150,0)),""))</f>
        <v/>
      </c>
      <c r="AO310" s="26">
        <f>IF(OR(I310="",AL310="",AM310=""),"",IF(AND(H310&gt;=AL310,H310&lt;=AM310),"Evet","HAYIR - Tarih Dışı"))</f>
        <v/>
      </c>
      <c r="AP310" s="28">
        <f>IF(I310="","",IFERROR(INDEX(Kampanyalar!$H$2:$H$150,MATCH(O310,Kampanyalar!$A$2:$A$150,0)),""))</f>
        <v/>
      </c>
      <c r="AQ310" s="28">
        <f>IF(I310="","",IF(ISNUMBER(AP310),AP310,AD310))</f>
        <v/>
      </c>
      <c r="AR310" s="26">
        <f>IF(I310="","",IF(Parametreler!$C$7="Evet","Kural A - Hemen Ödeme (Stok Mutabakatlı)","Kural B - Nakliye/Montaj Sonrası Ödeme"))</f>
        <v/>
      </c>
    </row>
    <row r="311">
      <c r="A311" s="23" t="n"/>
      <c r="B311" s="23" t="n"/>
      <c r="C311" s="23" t="n"/>
      <c r="D311" s="23" t="n"/>
      <c r="E311" s="23" t="n"/>
      <c r="F311" s="23" t="n"/>
      <c r="G311" s="23" t="n"/>
      <c r="H311" s="24" t="n"/>
      <c r="I311" s="23" t="n"/>
      <c r="J311" s="23" t="n"/>
      <c r="K311" s="23" t="n"/>
      <c r="L311" s="23" t="n"/>
      <c r="M311" s="23" t="n"/>
      <c r="N311" s="23" t="n"/>
      <c r="O311" s="23" t="n"/>
      <c r="P311" s="23" t="n"/>
      <c r="Q311" s="23" t="n"/>
      <c r="R311" s="23" t="n"/>
      <c r="S311" s="23" t="n"/>
      <c r="T311" s="23" t="n"/>
      <c r="U311" s="23" t="n"/>
      <c r="V311" s="23" t="n"/>
      <c r="W311" s="23" t="n"/>
      <c r="X311" s="23" t="n"/>
      <c r="Y311" s="25" t="n"/>
      <c r="Z311" s="25" t="n"/>
      <c r="AA311" s="23" t="n"/>
      <c r="AB311" s="25" t="n"/>
      <c r="AC311" s="23" t="n"/>
      <c r="AD311" s="25" t="n"/>
      <c r="AE311" s="23" t="n"/>
      <c r="AF311" s="25" t="n"/>
      <c r="AG311" s="25" t="n"/>
      <c r="AH311" s="23" t="n"/>
      <c r="AI311" s="23" t="n"/>
      <c r="AJ311" s="26">
        <f>IF(I311="","",I311&amp;"|"&amp;R311)</f>
        <v/>
      </c>
      <c r="AK311" s="26">
        <f>IF(I311="","",IF(ISNA(MATCH(O311,Kampanyalar!$A$2:$A$150,0)),"Hayır - Kampanyalar'da Yok","Evet"))</f>
        <v/>
      </c>
      <c r="AL311" s="27">
        <f>IF(I311="","",IFERROR(INDEX(Kampanyalar!$E$2:$E$150,MATCH(O311,Kampanyalar!$A$2:$A$150,0)),""))</f>
        <v/>
      </c>
      <c r="AM311" s="27">
        <f>IF(I311="","",IFERROR(INDEX(Kampanyalar!$F$2:$F$150,MATCH(O311,Kampanyalar!$A$2:$A$150,0)),""))</f>
        <v/>
      </c>
      <c r="AN311" s="27">
        <f>IF(I311="","",IFERROR(INDEX(Kampanyalar!$G$2:$G$150,MATCH(O311,Kampanyalar!$A$2:$A$150,0)),""))</f>
        <v/>
      </c>
      <c r="AO311" s="26">
        <f>IF(OR(I311="",AL311="",AM311=""),"",IF(AND(H311&gt;=AL311,H311&lt;=AM311),"Evet","HAYIR - Tarih Dışı"))</f>
        <v/>
      </c>
      <c r="AP311" s="28">
        <f>IF(I311="","",IFERROR(INDEX(Kampanyalar!$H$2:$H$150,MATCH(O311,Kampanyalar!$A$2:$A$150,0)),""))</f>
        <v/>
      </c>
      <c r="AQ311" s="28">
        <f>IF(I311="","",IF(ISNUMBER(AP311),AP311,AD311))</f>
        <v/>
      </c>
      <c r="AR311" s="26">
        <f>IF(I311="","",IF(Parametreler!$C$7="Evet","Kural A - Hemen Ödeme (Stok Mutabakatlı)","Kural B - Nakliye/Montaj Sonrası Ödeme"))</f>
        <v/>
      </c>
    </row>
    <row r="312">
      <c r="A312" s="23" t="n"/>
      <c r="B312" s="23" t="n"/>
      <c r="C312" s="23" t="n"/>
      <c r="D312" s="23" t="n"/>
      <c r="E312" s="23" t="n"/>
      <c r="F312" s="23" t="n"/>
      <c r="G312" s="23" t="n"/>
      <c r="H312" s="24" t="n"/>
      <c r="I312" s="23" t="n"/>
      <c r="J312" s="23" t="n"/>
      <c r="K312" s="23" t="n"/>
      <c r="L312" s="23" t="n"/>
      <c r="M312" s="23" t="n"/>
      <c r="N312" s="23" t="n"/>
      <c r="O312" s="23" t="n"/>
      <c r="P312" s="23" t="n"/>
      <c r="Q312" s="23" t="n"/>
      <c r="R312" s="23" t="n"/>
      <c r="S312" s="23" t="n"/>
      <c r="T312" s="23" t="n"/>
      <c r="U312" s="23" t="n"/>
      <c r="V312" s="23" t="n"/>
      <c r="W312" s="23" t="n"/>
      <c r="X312" s="23" t="n"/>
      <c r="Y312" s="25" t="n"/>
      <c r="Z312" s="25" t="n"/>
      <c r="AA312" s="23" t="n"/>
      <c r="AB312" s="25" t="n"/>
      <c r="AC312" s="23" t="n"/>
      <c r="AD312" s="25" t="n"/>
      <c r="AE312" s="23" t="n"/>
      <c r="AF312" s="25" t="n"/>
      <c r="AG312" s="25" t="n"/>
      <c r="AH312" s="23" t="n"/>
      <c r="AI312" s="23" t="n"/>
      <c r="AJ312" s="26">
        <f>IF(I312="","",I312&amp;"|"&amp;R312)</f>
        <v/>
      </c>
      <c r="AK312" s="26">
        <f>IF(I312="","",IF(ISNA(MATCH(O312,Kampanyalar!$A$2:$A$150,0)),"Hayır - Kampanyalar'da Yok","Evet"))</f>
        <v/>
      </c>
      <c r="AL312" s="27">
        <f>IF(I312="","",IFERROR(INDEX(Kampanyalar!$E$2:$E$150,MATCH(O312,Kampanyalar!$A$2:$A$150,0)),""))</f>
        <v/>
      </c>
      <c r="AM312" s="27">
        <f>IF(I312="","",IFERROR(INDEX(Kampanyalar!$F$2:$F$150,MATCH(O312,Kampanyalar!$A$2:$A$150,0)),""))</f>
        <v/>
      </c>
      <c r="AN312" s="27">
        <f>IF(I312="","",IFERROR(INDEX(Kampanyalar!$G$2:$G$150,MATCH(O312,Kampanyalar!$A$2:$A$150,0)),""))</f>
        <v/>
      </c>
      <c r="AO312" s="26">
        <f>IF(OR(I312="",AL312="",AM312=""),"",IF(AND(H312&gt;=AL312,H312&lt;=AM312),"Evet","HAYIR - Tarih Dışı"))</f>
        <v/>
      </c>
      <c r="AP312" s="28">
        <f>IF(I312="","",IFERROR(INDEX(Kampanyalar!$H$2:$H$150,MATCH(O312,Kampanyalar!$A$2:$A$150,0)),""))</f>
        <v/>
      </c>
      <c r="AQ312" s="28">
        <f>IF(I312="","",IF(ISNUMBER(AP312),AP312,AD312))</f>
        <v/>
      </c>
      <c r="AR312" s="26">
        <f>IF(I312="","",IF(Parametreler!$C$7="Evet","Kural A - Hemen Ödeme (Stok Mutabakatlı)","Kural B - Nakliye/Montaj Sonrası Ödeme"))</f>
        <v/>
      </c>
    </row>
    <row r="313">
      <c r="A313" s="23" t="n"/>
      <c r="B313" s="23" t="n"/>
      <c r="C313" s="23" t="n"/>
      <c r="D313" s="23" t="n"/>
      <c r="E313" s="23" t="n"/>
      <c r="F313" s="23" t="n"/>
      <c r="G313" s="23" t="n"/>
      <c r="H313" s="24" t="n"/>
      <c r="I313" s="23" t="n"/>
      <c r="J313" s="23" t="n"/>
      <c r="K313" s="23" t="n"/>
      <c r="L313" s="23" t="n"/>
      <c r="M313" s="23" t="n"/>
      <c r="N313" s="23" t="n"/>
      <c r="O313" s="23" t="n"/>
      <c r="P313" s="23" t="n"/>
      <c r="Q313" s="23" t="n"/>
      <c r="R313" s="23" t="n"/>
      <c r="S313" s="23" t="n"/>
      <c r="T313" s="23" t="n"/>
      <c r="U313" s="23" t="n"/>
      <c r="V313" s="23" t="n"/>
      <c r="W313" s="23" t="n"/>
      <c r="X313" s="23" t="n"/>
      <c r="Y313" s="25" t="n"/>
      <c r="Z313" s="25" t="n"/>
      <c r="AA313" s="23" t="n"/>
      <c r="AB313" s="25" t="n"/>
      <c r="AC313" s="23" t="n"/>
      <c r="AD313" s="25" t="n"/>
      <c r="AE313" s="23" t="n"/>
      <c r="AF313" s="25" t="n"/>
      <c r="AG313" s="25" t="n"/>
      <c r="AH313" s="23" t="n"/>
      <c r="AI313" s="23" t="n"/>
      <c r="AJ313" s="26">
        <f>IF(I313="","",I313&amp;"|"&amp;R313)</f>
        <v/>
      </c>
      <c r="AK313" s="26">
        <f>IF(I313="","",IF(ISNA(MATCH(O313,Kampanyalar!$A$2:$A$150,0)),"Hayır - Kampanyalar'da Yok","Evet"))</f>
        <v/>
      </c>
      <c r="AL313" s="27">
        <f>IF(I313="","",IFERROR(INDEX(Kampanyalar!$E$2:$E$150,MATCH(O313,Kampanyalar!$A$2:$A$150,0)),""))</f>
        <v/>
      </c>
      <c r="AM313" s="27">
        <f>IF(I313="","",IFERROR(INDEX(Kampanyalar!$F$2:$F$150,MATCH(O313,Kampanyalar!$A$2:$A$150,0)),""))</f>
        <v/>
      </c>
      <c r="AN313" s="27">
        <f>IF(I313="","",IFERROR(INDEX(Kampanyalar!$G$2:$G$150,MATCH(O313,Kampanyalar!$A$2:$A$150,0)),""))</f>
        <v/>
      </c>
      <c r="AO313" s="26">
        <f>IF(OR(I313="",AL313="",AM313=""),"",IF(AND(H313&gt;=AL313,H313&lt;=AM313),"Evet","HAYIR - Tarih Dışı"))</f>
        <v/>
      </c>
      <c r="AP313" s="28">
        <f>IF(I313="","",IFERROR(INDEX(Kampanyalar!$H$2:$H$150,MATCH(O313,Kampanyalar!$A$2:$A$150,0)),""))</f>
        <v/>
      </c>
      <c r="AQ313" s="28">
        <f>IF(I313="","",IF(ISNUMBER(AP313),AP313,AD313))</f>
        <v/>
      </c>
      <c r="AR313" s="26">
        <f>IF(I313="","",IF(Parametreler!$C$7="Evet","Kural A - Hemen Ödeme (Stok Mutabakatlı)","Kural B - Nakliye/Montaj Sonrası Ödeme"))</f>
        <v/>
      </c>
    </row>
    <row r="314">
      <c r="A314" s="23" t="n"/>
      <c r="B314" s="23" t="n"/>
      <c r="C314" s="23" t="n"/>
      <c r="D314" s="23" t="n"/>
      <c r="E314" s="23" t="n"/>
      <c r="F314" s="23" t="n"/>
      <c r="G314" s="23" t="n"/>
      <c r="H314" s="24" t="n"/>
      <c r="I314" s="23" t="n"/>
      <c r="J314" s="23" t="n"/>
      <c r="K314" s="23" t="n"/>
      <c r="L314" s="23" t="n"/>
      <c r="M314" s="23" t="n"/>
      <c r="N314" s="23" t="n"/>
      <c r="O314" s="23" t="n"/>
      <c r="P314" s="23" t="n"/>
      <c r="Q314" s="23" t="n"/>
      <c r="R314" s="23" t="n"/>
      <c r="S314" s="23" t="n"/>
      <c r="T314" s="23" t="n"/>
      <c r="U314" s="23" t="n"/>
      <c r="V314" s="23" t="n"/>
      <c r="W314" s="23" t="n"/>
      <c r="X314" s="23" t="n"/>
      <c r="Y314" s="25" t="n"/>
      <c r="Z314" s="25" t="n"/>
      <c r="AA314" s="23" t="n"/>
      <c r="AB314" s="25" t="n"/>
      <c r="AC314" s="23" t="n"/>
      <c r="AD314" s="25" t="n"/>
      <c r="AE314" s="23" t="n"/>
      <c r="AF314" s="25" t="n"/>
      <c r="AG314" s="25" t="n"/>
      <c r="AH314" s="23" t="n"/>
      <c r="AI314" s="23" t="n"/>
      <c r="AJ314" s="26">
        <f>IF(I314="","",I314&amp;"|"&amp;R314)</f>
        <v/>
      </c>
      <c r="AK314" s="26">
        <f>IF(I314="","",IF(ISNA(MATCH(O314,Kampanyalar!$A$2:$A$150,0)),"Hayır - Kampanyalar'da Yok","Evet"))</f>
        <v/>
      </c>
      <c r="AL314" s="27">
        <f>IF(I314="","",IFERROR(INDEX(Kampanyalar!$E$2:$E$150,MATCH(O314,Kampanyalar!$A$2:$A$150,0)),""))</f>
        <v/>
      </c>
      <c r="AM314" s="27">
        <f>IF(I314="","",IFERROR(INDEX(Kampanyalar!$F$2:$F$150,MATCH(O314,Kampanyalar!$A$2:$A$150,0)),""))</f>
        <v/>
      </c>
      <c r="AN314" s="27">
        <f>IF(I314="","",IFERROR(INDEX(Kampanyalar!$G$2:$G$150,MATCH(O314,Kampanyalar!$A$2:$A$150,0)),""))</f>
        <v/>
      </c>
      <c r="AO314" s="26">
        <f>IF(OR(I314="",AL314="",AM314=""),"",IF(AND(H314&gt;=AL314,H314&lt;=AM314),"Evet","HAYIR - Tarih Dışı"))</f>
        <v/>
      </c>
      <c r="AP314" s="28">
        <f>IF(I314="","",IFERROR(INDEX(Kampanyalar!$H$2:$H$150,MATCH(O314,Kampanyalar!$A$2:$A$150,0)),""))</f>
        <v/>
      </c>
      <c r="AQ314" s="28">
        <f>IF(I314="","",IF(ISNUMBER(AP314),AP314,AD314))</f>
        <v/>
      </c>
      <c r="AR314" s="26">
        <f>IF(I314="","",IF(Parametreler!$C$7="Evet","Kural A - Hemen Ödeme (Stok Mutabakatlı)","Kural B - Nakliye/Montaj Sonrası Ödeme"))</f>
        <v/>
      </c>
    </row>
    <row r="315">
      <c r="A315" s="23" t="n"/>
      <c r="B315" s="23" t="n"/>
      <c r="C315" s="23" t="n"/>
      <c r="D315" s="23" t="n"/>
      <c r="E315" s="23" t="n"/>
      <c r="F315" s="23" t="n"/>
      <c r="G315" s="23" t="n"/>
      <c r="H315" s="24" t="n"/>
      <c r="I315" s="23" t="n"/>
      <c r="J315" s="23" t="n"/>
      <c r="K315" s="23" t="n"/>
      <c r="L315" s="23" t="n"/>
      <c r="M315" s="23" t="n"/>
      <c r="N315" s="23" t="n"/>
      <c r="O315" s="23" t="n"/>
      <c r="P315" s="23" t="n"/>
      <c r="Q315" s="23" t="n"/>
      <c r="R315" s="23" t="n"/>
      <c r="S315" s="23" t="n"/>
      <c r="T315" s="23" t="n"/>
      <c r="U315" s="23" t="n"/>
      <c r="V315" s="23" t="n"/>
      <c r="W315" s="23" t="n"/>
      <c r="X315" s="23" t="n"/>
      <c r="Y315" s="25" t="n"/>
      <c r="Z315" s="25" t="n"/>
      <c r="AA315" s="23" t="n"/>
      <c r="AB315" s="25" t="n"/>
      <c r="AC315" s="23" t="n"/>
      <c r="AD315" s="25" t="n"/>
      <c r="AE315" s="23" t="n"/>
      <c r="AF315" s="25" t="n"/>
      <c r="AG315" s="25" t="n"/>
      <c r="AH315" s="23" t="n"/>
      <c r="AI315" s="23" t="n"/>
      <c r="AJ315" s="26">
        <f>IF(I315="","",I315&amp;"|"&amp;R315)</f>
        <v/>
      </c>
      <c r="AK315" s="26">
        <f>IF(I315="","",IF(ISNA(MATCH(O315,Kampanyalar!$A$2:$A$150,0)),"Hayır - Kampanyalar'da Yok","Evet"))</f>
        <v/>
      </c>
      <c r="AL315" s="27">
        <f>IF(I315="","",IFERROR(INDEX(Kampanyalar!$E$2:$E$150,MATCH(O315,Kampanyalar!$A$2:$A$150,0)),""))</f>
        <v/>
      </c>
      <c r="AM315" s="27">
        <f>IF(I315="","",IFERROR(INDEX(Kampanyalar!$F$2:$F$150,MATCH(O315,Kampanyalar!$A$2:$A$150,0)),""))</f>
        <v/>
      </c>
      <c r="AN315" s="27">
        <f>IF(I315="","",IFERROR(INDEX(Kampanyalar!$G$2:$G$150,MATCH(O315,Kampanyalar!$A$2:$A$150,0)),""))</f>
        <v/>
      </c>
      <c r="AO315" s="26">
        <f>IF(OR(I315="",AL315="",AM315=""),"",IF(AND(H315&gt;=AL315,H315&lt;=AM315),"Evet","HAYIR - Tarih Dışı"))</f>
        <v/>
      </c>
      <c r="AP315" s="28">
        <f>IF(I315="","",IFERROR(INDEX(Kampanyalar!$H$2:$H$150,MATCH(O315,Kampanyalar!$A$2:$A$150,0)),""))</f>
        <v/>
      </c>
      <c r="AQ315" s="28">
        <f>IF(I315="","",IF(ISNUMBER(AP315),AP315,AD315))</f>
        <v/>
      </c>
      <c r="AR315" s="26">
        <f>IF(I315="","",IF(Parametreler!$C$7="Evet","Kural A - Hemen Ödeme (Stok Mutabakatlı)","Kural B - Nakliye/Montaj Sonrası Ödeme"))</f>
        <v/>
      </c>
    </row>
    <row r="316">
      <c r="A316" s="23" t="n"/>
      <c r="B316" s="23" t="n"/>
      <c r="C316" s="23" t="n"/>
      <c r="D316" s="23" t="n"/>
      <c r="E316" s="23" t="n"/>
      <c r="F316" s="23" t="n"/>
      <c r="G316" s="23" t="n"/>
      <c r="H316" s="24" t="n"/>
      <c r="I316" s="23" t="n"/>
      <c r="J316" s="23" t="n"/>
      <c r="K316" s="23" t="n"/>
      <c r="L316" s="23" t="n"/>
      <c r="M316" s="23" t="n"/>
      <c r="N316" s="23" t="n"/>
      <c r="O316" s="23" t="n"/>
      <c r="P316" s="23" t="n"/>
      <c r="Q316" s="23" t="n"/>
      <c r="R316" s="23" t="n"/>
      <c r="S316" s="23" t="n"/>
      <c r="T316" s="23" t="n"/>
      <c r="U316" s="23" t="n"/>
      <c r="V316" s="23" t="n"/>
      <c r="W316" s="23" t="n"/>
      <c r="X316" s="23" t="n"/>
      <c r="Y316" s="25" t="n"/>
      <c r="Z316" s="25" t="n"/>
      <c r="AA316" s="23" t="n"/>
      <c r="AB316" s="25" t="n"/>
      <c r="AC316" s="23" t="n"/>
      <c r="AD316" s="25" t="n"/>
      <c r="AE316" s="23" t="n"/>
      <c r="AF316" s="25" t="n"/>
      <c r="AG316" s="25" t="n"/>
      <c r="AH316" s="23" t="n"/>
      <c r="AI316" s="23" t="n"/>
      <c r="AJ316" s="26">
        <f>IF(I316="","",I316&amp;"|"&amp;R316)</f>
        <v/>
      </c>
      <c r="AK316" s="26">
        <f>IF(I316="","",IF(ISNA(MATCH(O316,Kampanyalar!$A$2:$A$150,0)),"Hayır - Kampanyalar'da Yok","Evet"))</f>
        <v/>
      </c>
      <c r="AL316" s="27">
        <f>IF(I316="","",IFERROR(INDEX(Kampanyalar!$E$2:$E$150,MATCH(O316,Kampanyalar!$A$2:$A$150,0)),""))</f>
        <v/>
      </c>
      <c r="AM316" s="27">
        <f>IF(I316="","",IFERROR(INDEX(Kampanyalar!$F$2:$F$150,MATCH(O316,Kampanyalar!$A$2:$A$150,0)),""))</f>
        <v/>
      </c>
      <c r="AN316" s="27">
        <f>IF(I316="","",IFERROR(INDEX(Kampanyalar!$G$2:$G$150,MATCH(O316,Kampanyalar!$A$2:$A$150,0)),""))</f>
        <v/>
      </c>
      <c r="AO316" s="26">
        <f>IF(OR(I316="",AL316="",AM316=""),"",IF(AND(H316&gt;=AL316,H316&lt;=AM316),"Evet","HAYIR - Tarih Dışı"))</f>
        <v/>
      </c>
      <c r="AP316" s="28">
        <f>IF(I316="","",IFERROR(INDEX(Kampanyalar!$H$2:$H$150,MATCH(O316,Kampanyalar!$A$2:$A$150,0)),""))</f>
        <v/>
      </c>
      <c r="AQ316" s="28">
        <f>IF(I316="","",IF(ISNUMBER(AP316),AP316,AD316))</f>
        <v/>
      </c>
      <c r="AR316" s="26">
        <f>IF(I316="","",IF(Parametreler!$C$7="Evet","Kural A - Hemen Ödeme (Stok Mutabakatlı)","Kural B - Nakliye/Montaj Sonrası Ödeme"))</f>
        <v/>
      </c>
    </row>
    <row r="317">
      <c r="A317" s="23" t="n"/>
      <c r="B317" s="23" t="n"/>
      <c r="C317" s="23" t="n"/>
      <c r="D317" s="23" t="n"/>
      <c r="E317" s="23" t="n"/>
      <c r="F317" s="23" t="n"/>
      <c r="G317" s="23" t="n"/>
      <c r="H317" s="24" t="n"/>
      <c r="I317" s="23" t="n"/>
      <c r="J317" s="23" t="n"/>
      <c r="K317" s="23" t="n"/>
      <c r="L317" s="23" t="n"/>
      <c r="M317" s="23" t="n"/>
      <c r="N317" s="23" t="n"/>
      <c r="O317" s="23" t="n"/>
      <c r="P317" s="23" t="n"/>
      <c r="Q317" s="23" t="n"/>
      <c r="R317" s="23" t="n"/>
      <c r="S317" s="23" t="n"/>
      <c r="T317" s="23" t="n"/>
      <c r="U317" s="23" t="n"/>
      <c r="V317" s="23" t="n"/>
      <c r="W317" s="23" t="n"/>
      <c r="X317" s="23" t="n"/>
      <c r="Y317" s="25" t="n"/>
      <c r="Z317" s="25" t="n"/>
      <c r="AA317" s="23" t="n"/>
      <c r="AB317" s="25" t="n"/>
      <c r="AC317" s="23" t="n"/>
      <c r="AD317" s="25" t="n"/>
      <c r="AE317" s="23" t="n"/>
      <c r="AF317" s="25" t="n"/>
      <c r="AG317" s="25" t="n"/>
      <c r="AH317" s="23" t="n"/>
      <c r="AI317" s="23" t="n"/>
      <c r="AJ317" s="26">
        <f>IF(I317="","",I317&amp;"|"&amp;R317)</f>
        <v/>
      </c>
      <c r="AK317" s="26">
        <f>IF(I317="","",IF(ISNA(MATCH(O317,Kampanyalar!$A$2:$A$150,0)),"Hayır - Kampanyalar'da Yok","Evet"))</f>
        <v/>
      </c>
      <c r="AL317" s="27">
        <f>IF(I317="","",IFERROR(INDEX(Kampanyalar!$E$2:$E$150,MATCH(O317,Kampanyalar!$A$2:$A$150,0)),""))</f>
        <v/>
      </c>
      <c r="AM317" s="27">
        <f>IF(I317="","",IFERROR(INDEX(Kampanyalar!$F$2:$F$150,MATCH(O317,Kampanyalar!$A$2:$A$150,0)),""))</f>
        <v/>
      </c>
      <c r="AN317" s="27">
        <f>IF(I317="","",IFERROR(INDEX(Kampanyalar!$G$2:$G$150,MATCH(O317,Kampanyalar!$A$2:$A$150,0)),""))</f>
        <v/>
      </c>
      <c r="AO317" s="26">
        <f>IF(OR(I317="",AL317="",AM317=""),"",IF(AND(H317&gt;=AL317,H317&lt;=AM317),"Evet","HAYIR - Tarih Dışı"))</f>
        <v/>
      </c>
      <c r="AP317" s="28">
        <f>IF(I317="","",IFERROR(INDEX(Kampanyalar!$H$2:$H$150,MATCH(O317,Kampanyalar!$A$2:$A$150,0)),""))</f>
        <v/>
      </c>
      <c r="AQ317" s="28">
        <f>IF(I317="","",IF(ISNUMBER(AP317),AP317,AD317))</f>
        <v/>
      </c>
      <c r="AR317" s="26">
        <f>IF(I317="","",IF(Parametreler!$C$7="Evet","Kural A - Hemen Ödeme (Stok Mutabakatlı)","Kural B - Nakliye/Montaj Sonrası Ödeme"))</f>
        <v/>
      </c>
    </row>
    <row r="318">
      <c r="A318" s="23" t="n"/>
      <c r="B318" s="23" t="n"/>
      <c r="C318" s="23" t="n"/>
      <c r="D318" s="23" t="n"/>
      <c r="E318" s="23" t="n"/>
      <c r="F318" s="23" t="n"/>
      <c r="G318" s="23" t="n"/>
      <c r="H318" s="24" t="n"/>
      <c r="I318" s="23" t="n"/>
      <c r="J318" s="23" t="n"/>
      <c r="K318" s="23" t="n"/>
      <c r="L318" s="23" t="n"/>
      <c r="M318" s="23" t="n"/>
      <c r="N318" s="23" t="n"/>
      <c r="O318" s="23" t="n"/>
      <c r="P318" s="23" t="n"/>
      <c r="Q318" s="23" t="n"/>
      <c r="R318" s="23" t="n"/>
      <c r="S318" s="23" t="n"/>
      <c r="T318" s="23" t="n"/>
      <c r="U318" s="23" t="n"/>
      <c r="V318" s="23" t="n"/>
      <c r="W318" s="23" t="n"/>
      <c r="X318" s="23" t="n"/>
      <c r="Y318" s="25" t="n"/>
      <c r="Z318" s="25" t="n"/>
      <c r="AA318" s="23" t="n"/>
      <c r="AB318" s="25" t="n"/>
      <c r="AC318" s="23" t="n"/>
      <c r="AD318" s="25" t="n"/>
      <c r="AE318" s="23" t="n"/>
      <c r="AF318" s="25" t="n"/>
      <c r="AG318" s="25" t="n"/>
      <c r="AH318" s="23" t="n"/>
      <c r="AI318" s="23" t="n"/>
      <c r="AJ318" s="26">
        <f>IF(I318="","",I318&amp;"|"&amp;R318)</f>
        <v/>
      </c>
      <c r="AK318" s="26">
        <f>IF(I318="","",IF(ISNA(MATCH(O318,Kampanyalar!$A$2:$A$150,0)),"Hayır - Kampanyalar'da Yok","Evet"))</f>
        <v/>
      </c>
      <c r="AL318" s="27">
        <f>IF(I318="","",IFERROR(INDEX(Kampanyalar!$E$2:$E$150,MATCH(O318,Kampanyalar!$A$2:$A$150,0)),""))</f>
        <v/>
      </c>
      <c r="AM318" s="27">
        <f>IF(I318="","",IFERROR(INDEX(Kampanyalar!$F$2:$F$150,MATCH(O318,Kampanyalar!$A$2:$A$150,0)),""))</f>
        <v/>
      </c>
      <c r="AN318" s="27">
        <f>IF(I318="","",IFERROR(INDEX(Kampanyalar!$G$2:$G$150,MATCH(O318,Kampanyalar!$A$2:$A$150,0)),""))</f>
        <v/>
      </c>
      <c r="AO318" s="26">
        <f>IF(OR(I318="",AL318="",AM318=""),"",IF(AND(H318&gt;=AL318,H318&lt;=AM318),"Evet","HAYIR - Tarih Dışı"))</f>
        <v/>
      </c>
      <c r="AP318" s="28">
        <f>IF(I318="","",IFERROR(INDEX(Kampanyalar!$H$2:$H$150,MATCH(O318,Kampanyalar!$A$2:$A$150,0)),""))</f>
        <v/>
      </c>
      <c r="AQ318" s="28">
        <f>IF(I318="","",IF(ISNUMBER(AP318),AP318,AD318))</f>
        <v/>
      </c>
      <c r="AR318" s="26">
        <f>IF(I318="","",IF(Parametreler!$C$7="Evet","Kural A - Hemen Ödeme (Stok Mutabakatlı)","Kural B - Nakliye/Montaj Sonrası Ödeme"))</f>
        <v/>
      </c>
    </row>
    <row r="319">
      <c r="A319" s="23" t="n"/>
      <c r="B319" s="23" t="n"/>
      <c r="C319" s="23" t="n"/>
      <c r="D319" s="23" t="n"/>
      <c r="E319" s="23" t="n"/>
      <c r="F319" s="23" t="n"/>
      <c r="G319" s="23" t="n"/>
      <c r="H319" s="24" t="n"/>
      <c r="I319" s="23" t="n"/>
      <c r="J319" s="23" t="n"/>
      <c r="K319" s="23" t="n"/>
      <c r="L319" s="23" t="n"/>
      <c r="M319" s="23" t="n"/>
      <c r="N319" s="23" t="n"/>
      <c r="O319" s="23" t="n"/>
      <c r="P319" s="23" t="n"/>
      <c r="Q319" s="23" t="n"/>
      <c r="R319" s="23" t="n"/>
      <c r="S319" s="23" t="n"/>
      <c r="T319" s="23" t="n"/>
      <c r="U319" s="23" t="n"/>
      <c r="V319" s="23" t="n"/>
      <c r="W319" s="23" t="n"/>
      <c r="X319" s="23" t="n"/>
      <c r="Y319" s="25" t="n"/>
      <c r="Z319" s="25" t="n"/>
      <c r="AA319" s="23" t="n"/>
      <c r="AB319" s="25" t="n"/>
      <c r="AC319" s="23" t="n"/>
      <c r="AD319" s="25" t="n"/>
      <c r="AE319" s="23" t="n"/>
      <c r="AF319" s="25" t="n"/>
      <c r="AG319" s="25" t="n"/>
      <c r="AH319" s="23" t="n"/>
      <c r="AI319" s="23" t="n"/>
      <c r="AJ319" s="26">
        <f>IF(I319="","",I319&amp;"|"&amp;R319)</f>
        <v/>
      </c>
      <c r="AK319" s="26">
        <f>IF(I319="","",IF(ISNA(MATCH(O319,Kampanyalar!$A$2:$A$150,0)),"Hayır - Kampanyalar'da Yok","Evet"))</f>
        <v/>
      </c>
      <c r="AL319" s="27">
        <f>IF(I319="","",IFERROR(INDEX(Kampanyalar!$E$2:$E$150,MATCH(O319,Kampanyalar!$A$2:$A$150,0)),""))</f>
        <v/>
      </c>
      <c r="AM319" s="27">
        <f>IF(I319="","",IFERROR(INDEX(Kampanyalar!$F$2:$F$150,MATCH(O319,Kampanyalar!$A$2:$A$150,0)),""))</f>
        <v/>
      </c>
      <c r="AN319" s="27">
        <f>IF(I319="","",IFERROR(INDEX(Kampanyalar!$G$2:$G$150,MATCH(O319,Kampanyalar!$A$2:$A$150,0)),""))</f>
        <v/>
      </c>
      <c r="AO319" s="26">
        <f>IF(OR(I319="",AL319="",AM319=""),"",IF(AND(H319&gt;=AL319,H319&lt;=AM319),"Evet","HAYIR - Tarih Dışı"))</f>
        <v/>
      </c>
      <c r="AP319" s="28">
        <f>IF(I319="","",IFERROR(INDEX(Kampanyalar!$H$2:$H$150,MATCH(O319,Kampanyalar!$A$2:$A$150,0)),""))</f>
        <v/>
      </c>
      <c r="AQ319" s="28">
        <f>IF(I319="","",IF(ISNUMBER(AP319),AP319,AD319))</f>
        <v/>
      </c>
      <c r="AR319" s="26">
        <f>IF(I319="","",IF(Parametreler!$C$7="Evet","Kural A - Hemen Ödeme (Stok Mutabakatlı)","Kural B - Nakliye/Montaj Sonrası Ödeme"))</f>
        <v/>
      </c>
    </row>
    <row r="320">
      <c r="A320" s="23" t="n"/>
      <c r="B320" s="23" t="n"/>
      <c r="C320" s="23" t="n"/>
      <c r="D320" s="23" t="n"/>
      <c r="E320" s="23" t="n"/>
      <c r="F320" s="23" t="n"/>
      <c r="G320" s="23" t="n"/>
      <c r="H320" s="24" t="n"/>
      <c r="I320" s="23" t="n"/>
      <c r="J320" s="23" t="n"/>
      <c r="K320" s="23" t="n"/>
      <c r="L320" s="23" t="n"/>
      <c r="M320" s="23" t="n"/>
      <c r="N320" s="23" t="n"/>
      <c r="O320" s="23" t="n"/>
      <c r="P320" s="23" t="n"/>
      <c r="Q320" s="23" t="n"/>
      <c r="R320" s="23" t="n"/>
      <c r="S320" s="23" t="n"/>
      <c r="T320" s="23" t="n"/>
      <c r="U320" s="23" t="n"/>
      <c r="V320" s="23" t="n"/>
      <c r="W320" s="23" t="n"/>
      <c r="X320" s="23" t="n"/>
      <c r="Y320" s="25" t="n"/>
      <c r="Z320" s="25" t="n"/>
      <c r="AA320" s="23" t="n"/>
      <c r="AB320" s="25" t="n"/>
      <c r="AC320" s="23" t="n"/>
      <c r="AD320" s="25" t="n"/>
      <c r="AE320" s="23" t="n"/>
      <c r="AF320" s="25" t="n"/>
      <c r="AG320" s="25" t="n"/>
      <c r="AH320" s="23" t="n"/>
      <c r="AI320" s="23" t="n"/>
      <c r="AJ320" s="26">
        <f>IF(I320="","",I320&amp;"|"&amp;R320)</f>
        <v/>
      </c>
      <c r="AK320" s="26">
        <f>IF(I320="","",IF(ISNA(MATCH(O320,Kampanyalar!$A$2:$A$150,0)),"Hayır - Kampanyalar'da Yok","Evet"))</f>
        <v/>
      </c>
      <c r="AL320" s="27">
        <f>IF(I320="","",IFERROR(INDEX(Kampanyalar!$E$2:$E$150,MATCH(O320,Kampanyalar!$A$2:$A$150,0)),""))</f>
        <v/>
      </c>
      <c r="AM320" s="27">
        <f>IF(I320="","",IFERROR(INDEX(Kampanyalar!$F$2:$F$150,MATCH(O320,Kampanyalar!$A$2:$A$150,0)),""))</f>
        <v/>
      </c>
      <c r="AN320" s="27">
        <f>IF(I320="","",IFERROR(INDEX(Kampanyalar!$G$2:$G$150,MATCH(O320,Kampanyalar!$A$2:$A$150,0)),""))</f>
        <v/>
      </c>
      <c r="AO320" s="26">
        <f>IF(OR(I320="",AL320="",AM320=""),"",IF(AND(H320&gt;=AL320,H320&lt;=AM320),"Evet","HAYIR - Tarih Dışı"))</f>
        <v/>
      </c>
      <c r="AP320" s="28">
        <f>IF(I320="","",IFERROR(INDEX(Kampanyalar!$H$2:$H$150,MATCH(O320,Kampanyalar!$A$2:$A$150,0)),""))</f>
        <v/>
      </c>
      <c r="AQ320" s="28">
        <f>IF(I320="","",IF(ISNUMBER(AP320),AP320,AD320))</f>
        <v/>
      </c>
      <c r="AR320" s="26">
        <f>IF(I320="","",IF(Parametreler!$C$7="Evet","Kural A - Hemen Ödeme (Stok Mutabakatlı)","Kural B - Nakliye/Montaj Sonrası Ödeme"))</f>
        <v/>
      </c>
    </row>
    <row r="321">
      <c r="A321" s="23" t="n"/>
      <c r="B321" s="23" t="n"/>
      <c r="C321" s="23" t="n"/>
      <c r="D321" s="23" t="n"/>
      <c r="E321" s="23" t="n"/>
      <c r="F321" s="23" t="n"/>
      <c r="G321" s="23" t="n"/>
      <c r="H321" s="24" t="n"/>
      <c r="I321" s="23" t="n"/>
      <c r="J321" s="23" t="n"/>
      <c r="K321" s="23" t="n"/>
      <c r="L321" s="23" t="n"/>
      <c r="M321" s="23" t="n"/>
      <c r="N321" s="23" t="n"/>
      <c r="O321" s="23" t="n"/>
      <c r="P321" s="23" t="n"/>
      <c r="Q321" s="23" t="n"/>
      <c r="R321" s="23" t="n"/>
      <c r="S321" s="23" t="n"/>
      <c r="T321" s="23" t="n"/>
      <c r="U321" s="23" t="n"/>
      <c r="V321" s="23" t="n"/>
      <c r="W321" s="23" t="n"/>
      <c r="X321" s="23" t="n"/>
      <c r="Y321" s="25" t="n"/>
      <c r="Z321" s="25" t="n"/>
      <c r="AA321" s="23" t="n"/>
      <c r="AB321" s="25" t="n"/>
      <c r="AC321" s="23" t="n"/>
      <c r="AD321" s="25" t="n"/>
      <c r="AE321" s="23" t="n"/>
      <c r="AF321" s="25" t="n"/>
      <c r="AG321" s="25" t="n"/>
      <c r="AH321" s="23" t="n"/>
      <c r="AI321" s="23" t="n"/>
      <c r="AJ321" s="26">
        <f>IF(I321="","",I321&amp;"|"&amp;R321)</f>
        <v/>
      </c>
      <c r="AK321" s="26">
        <f>IF(I321="","",IF(ISNA(MATCH(O321,Kampanyalar!$A$2:$A$150,0)),"Hayır - Kampanyalar'da Yok","Evet"))</f>
        <v/>
      </c>
      <c r="AL321" s="27">
        <f>IF(I321="","",IFERROR(INDEX(Kampanyalar!$E$2:$E$150,MATCH(O321,Kampanyalar!$A$2:$A$150,0)),""))</f>
        <v/>
      </c>
      <c r="AM321" s="27">
        <f>IF(I321="","",IFERROR(INDEX(Kampanyalar!$F$2:$F$150,MATCH(O321,Kampanyalar!$A$2:$A$150,0)),""))</f>
        <v/>
      </c>
      <c r="AN321" s="27">
        <f>IF(I321="","",IFERROR(INDEX(Kampanyalar!$G$2:$G$150,MATCH(O321,Kampanyalar!$A$2:$A$150,0)),""))</f>
        <v/>
      </c>
      <c r="AO321" s="26">
        <f>IF(OR(I321="",AL321="",AM321=""),"",IF(AND(H321&gt;=AL321,H321&lt;=AM321),"Evet","HAYIR - Tarih Dışı"))</f>
        <v/>
      </c>
      <c r="AP321" s="28">
        <f>IF(I321="","",IFERROR(INDEX(Kampanyalar!$H$2:$H$150,MATCH(O321,Kampanyalar!$A$2:$A$150,0)),""))</f>
        <v/>
      </c>
      <c r="AQ321" s="28">
        <f>IF(I321="","",IF(ISNUMBER(AP321),AP321,AD321))</f>
        <v/>
      </c>
      <c r="AR321" s="26">
        <f>IF(I321="","",IF(Parametreler!$C$7="Evet","Kural A - Hemen Ödeme (Stok Mutabakatlı)","Kural B - Nakliye/Montaj Sonrası Ödeme"))</f>
        <v/>
      </c>
    </row>
    <row r="322">
      <c r="A322" s="23" t="n"/>
      <c r="B322" s="23" t="n"/>
      <c r="C322" s="23" t="n"/>
      <c r="D322" s="23" t="n"/>
      <c r="E322" s="23" t="n"/>
      <c r="F322" s="23" t="n"/>
      <c r="G322" s="23" t="n"/>
      <c r="H322" s="24" t="n"/>
      <c r="I322" s="23" t="n"/>
      <c r="J322" s="23" t="n"/>
      <c r="K322" s="23" t="n"/>
      <c r="L322" s="23" t="n"/>
      <c r="M322" s="23" t="n"/>
      <c r="N322" s="23" t="n"/>
      <c r="O322" s="23" t="n"/>
      <c r="P322" s="23" t="n"/>
      <c r="Q322" s="23" t="n"/>
      <c r="R322" s="23" t="n"/>
      <c r="S322" s="23" t="n"/>
      <c r="T322" s="23" t="n"/>
      <c r="U322" s="23" t="n"/>
      <c r="V322" s="23" t="n"/>
      <c r="W322" s="23" t="n"/>
      <c r="X322" s="23" t="n"/>
      <c r="Y322" s="25" t="n"/>
      <c r="Z322" s="25" t="n"/>
      <c r="AA322" s="23" t="n"/>
      <c r="AB322" s="25" t="n"/>
      <c r="AC322" s="23" t="n"/>
      <c r="AD322" s="25" t="n"/>
      <c r="AE322" s="23" t="n"/>
      <c r="AF322" s="25" t="n"/>
      <c r="AG322" s="25" t="n"/>
      <c r="AH322" s="23" t="n"/>
      <c r="AI322" s="23" t="n"/>
      <c r="AJ322" s="26">
        <f>IF(I322="","",I322&amp;"|"&amp;R322)</f>
        <v/>
      </c>
      <c r="AK322" s="26">
        <f>IF(I322="","",IF(ISNA(MATCH(O322,Kampanyalar!$A$2:$A$150,0)),"Hayır - Kampanyalar'da Yok","Evet"))</f>
        <v/>
      </c>
      <c r="AL322" s="27">
        <f>IF(I322="","",IFERROR(INDEX(Kampanyalar!$E$2:$E$150,MATCH(O322,Kampanyalar!$A$2:$A$150,0)),""))</f>
        <v/>
      </c>
      <c r="AM322" s="27">
        <f>IF(I322="","",IFERROR(INDEX(Kampanyalar!$F$2:$F$150,MATCH(O322,Kampanyalar!$A$2:$A$150,0)),""))</f>
        <v/>
      </c>
      <c r="AN322" s="27">
        <f>IF(I322="","",IFERROR(INDEX(Kampanyalar!$G$2:$G$150,MATCH(O322,Kampanyalar!$A$2:$A$150,0)),""))</f>
        <v/>
      </c>
      <c r="AO322" s="26">
        <f>IF(OR(I322="",AL322="",AM322=""),"",IF(AND(H322&gt;=AL322,H322&lt;=AM322),"Evet","HAYIR - Tarih Dışı"))</f>
        <v/>
      </c>
      <c r="AP322" s="28">
        <f>IF(I322="","",IFERROR(INDEX(Kampanyalar!$H$2:$H$150,MATCH(O322,Kampanyalar!$A$2:$A$150,0)),""))</f>
        <v/>
      </c>
      <c r="AQ322" s="28">
        <f>IF(I322="","",IF(ISNUMBER(AP322),AP322,AD322))</f>
        <v/>
      </c>
      <c r="AR322" s="26">
        <f>IF(I322="","",IF(Parametreler!$C$7="Evet","Kural A - Hemen Ödeme (Stok Mutabakatlı)","Kural B - Nakliye/Montaj Sonrası Ödeme"))</f>
        <v/>
      </c>
    </row>
    <row r="323">
      <c r="A323" s="23" t="n"/>
      <c r="B323" s="23" t="n"/>
      <c r="C323" s="23" t="n"/>
      <c r="D323" s="23" t="n"/>
      <c r="E323" s="23" t="n"/>
      <c r="F323" s="23" t="n"/>
      <c r="G323" s="23" t="n"/>
      <c r="H323" s="24" t="n"/>
      <c r="I323" s="23" t="n"/>
      <c r="J323" s="23" t="n"/>
      <c r="K323" s="23" t="n"/>
      <c r="L323" s="23" t="n"/>
      <c r="M323" s="23" t="n"/>
      <c r="N323" s="23" t="n"/>
      <c r="O323" s="23" t="n"/>
      <c r="P323" s="23" t="n"/>
      <c r="Q323" s="23" t="n"/>
      <c r="R323" s="23" t="n"/>
      <c r="S323" s="23" t="n"/>
      <c r="T323" s="23" t="n"/>
      <c r="U323" s="23" t="n"/>
      <c r="V323" s="23" t="n"/>
      <c r="W323" s="23" t="n"/>
      <c r="X323" s="23" t="n"/>
      <c r="Y323" s="25" t="n"/>
      <c r="Z323" s="25" t="n"/>
      <c r="AA323" s="23" t="n"/>
      <c r="AB323" s="25" t="n"/>
      <c r="AC323" s="23" t="n"/>
      <c r="AD323" s="25" t="n"/>
      <c r="AE323" s="23" t="n"/>
      <c r="AF323" s="25" t="n"/>
      <c r="AG323" s="25" t="n"/>
      <c r="AH323" s="23" t="n"/>
      <c r="AI323" s="23" t="n"/>
      <c r="AJ323" s="26">
        <f>IF(I323="","",I323&amp;"|"&amp;R323)</f>
        <v/>
      </c>
      <c r="AK323" s="26">
        <f>IF(I323="","",IF(ISNA(MATCH(O323,Kampanyalar!$A$2:$A$150,0)),"Hayır - Kampanyalar'da Yok","Evet"))</f>
        <v/>
      </c>
      <c r="AL323" s="27">
        <f>IF(I323="","",IFERROR(INDEX(Kampanyalar!$E$2:$E$150,MATCH(O323,Kampanyalar!$A$2:$A$150,0)),""))</f>
        <v/>
      </c>
      <c r="AM323" s="27">
        <f>IF(I323="","",IFERROR(INDEX(Kampanyalar!$F$2:$F$150,MATCH(O323,Kampanyalar!$A$2:$A$150,0)),""))</f>
        <v/>
      </c>
      <c r="AN323" s="27">
        <f>IF(I323="","",IFERROR(INDEX(Kampanyalar!$G$2:$G$150,MATCH(O323,Kampanyalar!$A$2:$A$150,0)),""))</f>
        <v/>
      </c>
      <c r="AO323" s="26">
        <f>IF(OR(I323="",AL323="",AM323=""),"",IF(AND(H323&gt;=AL323,H323&lt;=AM323),"Evet","HAYIR - Tarih Dışı"))</f>
        <v/>
      </c>
      <c r="AP323" s="28">
        <f>IF(I323="","",IFERROR(INDEX(Kampanyalar!$H$2:$H$150,MATCH(O323,Kampanyalar!$A$2:$A$150,0)),""))</f>
        <v/>
      </c>
      <c r="AQ323" s="28">
        <f>IF(I323="","",IF(ISNUMBER(AP323),AP323,AD323))</f>
        <v/>
      </c>
      <c r="AR323" s="26">
        <f>IF(I323="","",IF(Parametreler!$C$7="Evet","Kural A - Hemen Ödeme (Stok Mutabakatlı)","Kural B - Nakliye/Montaj Sonrası Ödeme"))</f>
        <v/>
      </c>
    </row>
    <row r="324">
      <c r="A324" s="23" t="n"/>
      <c r="B324" s="23" t="n"/>
      <c r="C324" s="23" t="n"/>
      <c r="D324" s="23" t="n"/>
      <c r="E324" s="23" t="n"/>
      <c r="F324" s="23" t="n"/>
      <c r="G324" s="23" t="n"/>
      <c r="H324" s="24" t="n"/>
      <c r="I324" s="23" t="n"/>
      <c r="J324" s="23" t="n"/>
      <c r="K324" s="23" t="n"/>
      <c r="L324" s="23" t="n"/>
      <c r="M324" s="23" t="n"/>
      <c r="N324" s="23" t="n"/>
      <c r="O324" s="23" t="n"/>
      <c r="P324" s="23" t="n"/>
      <c r="Q324" s="23" t="n"/>
      <c r="R324" s="23" t="n"/>
      <c r="S324" s="23" t="n"/>
      <c r="T324" s="23" t="n"/>
      <c r="U324" s="23" t="n"/>
      <c r="V324" s="23" t="n"/>
      <c r="W324" s="23" t="n"/>
      <c r="X324" s="23" t="n"/>
      <c r="Y324" s="25" t="n"/>
      <c r="Z324" s="25" t="n"/>
      <c r="AA324" s="23" t="n"/>
      <c r="AB324" s="25" t="n"/>
      <c r="AC324" s="23" t="n"/>
      <c r="AD324" s="25" t="n"/>
      <c r="AE324" s="23" t="n"/>
      <c r="AF324" s="25" t="n"/>
      <c r="AG324" s="25" t="n"/>
      <c r="AH324" s="23" t="n"/>
      <c r="AI324" s="23" t="n"/>
      <c r="AJ324" s="26">
        <f>IF(I324="","",I324&amp;"|"&amp;R324)</f>
        <v/>
      </c>
      <c r="AK324" s="26">
        <f>IF(I324="","",IF(ISNA(MATCH(O324,Kampanyalar!$A$2:$A$150,0)),"Hayır - Kampanyalar'da Yok","Evet"))</f>
        <v/>
      </c>
      <c r="AL324" s="27">
        <f>IF(I324="","",IFERROR(INDEX(Kampanyalar!$E$2:$E$150,MATCH(O324,Kampanyalar!$A$2:$A$150,0)),""))</f>
        <v/>
      </c>
      <c r="AM324" s="27">
        <f>IF(I324="","",IFERROR(INDEX(Kampanyalar!$F$2:$F$150,MATCH(O324,Kampanyalar!$A$2:$A$150,0)),""))</f>
        <v/>
      </c>
      <c r="AN324" s="27">
        <f>IF(I324="","",IFERROR(INDEX(Kampanyalar!$G$2:$G$150,MATCH(O324,Kampanyalar!$A$2:$A$150,0)),""))</f>
        <v/>
      </c>
      <c r="AO324" s="26">
        <f>IF(OR(I324="",AL324="",AM324=""),"",IF(AND(H324&gt;=AL324,H324&lt;=AM324),"Evet","HAYIR - Tarih Dışı"))</f>
        <v/>
      </c>
      <c r="AP324" s="28">
        <f>IF(I324="","",IFERROR(INDEX(Kampanyalar!$H$2:$H$150,MATCH(O324,Kampanyalar!$A$2:$A$150,0)),""))</f>
        <v/>
      </c>
      <c r="AQ324" s="28">
        <f>IF(I324="","",IF(ISNUMBER(AP324),AP324,AD324))</f>
        <v/>
      </c>
      <c r="AR324" s="26">
        <f>IF(I324="","",IF(Parametreler!$C$7="Evet","Kural A - Hemen Ödeme (Stok Mutabakatlı)","Kural B - Nakliye/Montaj Sonrası Ödeme"))</f>
        <v/>
      </c>
    </row>
    <row r="325">
      <c r="A325" s="23" t="n"/>
      <c r="B325" s="23" t="n"/>
      <c r="C325" s="23" t="n"/>
      <c r="D325" s="23" t="n"/>
      <c r="E325" s="23" t="n"/>
      <c r="F325" s="23" t="n"/>
      <c r="G325" s="23" t="n"/>
      <c r="H325" s="24" t="n"/>
      <c r="I325" s="23" t="n"/>
      <c r="J325" s="23" t="n"/>
      <c r="K325" s="23" t="n"/>
      <c r="L325" s="23" t="n"/>
      <c r="M325" s="23" t="n"/>
      <c r="N325" s="23" t="n"/>
      <c r="O325" s="23" t="n"/>
      <c r="P325" s="23" t="n"/>
      <c r="Q325" s="23" t="n"/>
      <c r="R325" s="23" t="n"/>
      <c r="S325" s="23" t="n"/>
      <c r="T325" s="23" t="n"/>
      <c r="U325" s="23" t="n"/>
      <c r="V325" s="23" t="n"/>
      <c r="W325" s="23" t="n"/>
      <c r="X325" s="23" t="n"/>
      <c r="Y325" s="25" t="n"/>
      <c r="Z325" s="25" t="n"/>
      <c r="AA325" s="23" t="n"/>
      <c r="AB325" s="25" t="n"/>
      <c r="AC325" s="23" t="n"/>
      <c r="AD325" s="25" t="n"/>
      <c r="AE325" s="23" t="n"/>
      <c r="AF325" s="25" t="n"/>
      <c r="AG325" s="25" t="n"/>
      <c r="AH325" s="23" t="n"/>
      <c r="AI325" s="23" t="n"/>
      <c r="AJ325" s="26">
        <f>IF(I325="","",I325&amp;"|"&amp;R325)</f>
        <v/>
      </c>
      <c r="AK325" s="26">
        <f>IF(I325="","",IF(ISNA(MATCH(O325,Kampanyalar!$A$2:$A$150,0)),"Hayır - Kampanyalar'da Yok","Evet"))</f>
        <v/>
      </c>
      <c r="AL325" s="27">
        <f>IF(I325="","",IFERROR(INDEX(Kampanyalar!$E$2:$E$150,MATCH(O325,Kampanyalar!$A$2:$A$150,0)),""))</f>
        <v/>
      </c>
      <c r="AM325" s="27">
        <f>IF(I325="","",IFERROR(INDEX(Kampanyalar!$F$2:$F$150,MATCH(O325,Kampanyalar!$A$2:$A$150,0)),""))</f>
        <v/>
      </c>
      <c r="AN325" s="27">
        <f>IF(I325="","",IFERROR(INDEX(Kampanyalar!$G$2:$G$150,MATCH(O325,Kampanyalar!$A$2:$A$150,0)),""))</f>
        <v/>
      </c>
      <c r="AO325" s="26">
        <f>IF(OR(I325="",AL325="",AM325=""),"",IF(AND(H325&gt;=AL325,H325&lt;=AM325),"Evet","HAYIR - Tarih Dışı"))</f>
        <v/>
      </c>
      <c r="AP325" s="28">
        <f>IF(I325="","",IFERROR(INDEX(Kampanyalar!$H$2:$H$150,MATCH(O325,Kampanyalar!$A$2:$A$150,0)),""))</f>
        <v/>
      </c>
      <c r="AQ325" s="28">
        <f>IF(I325="","",IF(ISNUMBER(AP325),AP325,AD325))</f>
        <v/>
      </c>
      <c r="AR325" s="26">
        <f>IF(I325="","",IF(Parametreler!$C$7="Evet","Kural A - Hemen Ödeme (Stok Mutabakatlı)","Kural B - Nakliye/Montaj Sonrası Ödeme"))</f>
        <v/>
      </c>
    </row>
    <row r="326">
      <c r="A326" s="23" t="n"/>
      <c r="B326" s="23" t="n"/>
      <c r="C326" s="23" t="n"/>
      <c r="D326" s="23" t="n"/>
      <c r="E326" s="23" t="n"/>
      <c r="F326" s="23" t="n"/>
      <c r="G326" s="23" t="n"/>
      <c r="H326" s="24" t="n"/>
      <c r="I326" s="23" t="n"/>
      <c r="J326" s="23" t="n"/>
      <c r="K326" s="23" t="n"/>
      <c r="L326" s="23" t="n"/>
      <c r="M326" s="23" t="n"/>
      <c r="N326" s="23" t="n"/>
      <c r="O326" s="23" t="n"/>
      <c r="P326" s="23" t="n"/>
      <c r="Q326" s="23" t="n"/>
      <c r="R326" s="23" t="n"/>
      <c r="S326" s="23" t="n"/>
      <c r="T326" s="23" t="n"/>
      <c r="U326" s="23" t="n"/>
      <c r="V326" s="23" t="n"/>
      <c r="W326" s="23" t="n"/>
      <c r="X326" s="23" t="n"/>
      <c r="Y326" s="25" t="n"/>
      <c r="Z326" s="25" t="n"/>
      <c r="AA326" s="23" t="n"/>
      <c r="AB326" s="25" t="n"/>
      <c r="AC326" s="23" t="n"/>
      <c r="AD326" s="25" t="n"/>
      <c r="AE326" s="23" t="n"/>
      <c r="AF326" s="25" t="n"/>
      <c r="AG326" s="25" t="n"/>
      <c r="AH326" s="23" t="n"/>
      <c r="AI326" s="23" t="n"/>
      <c r="AJ326" s="26">
        <f>IF(I326="","",I326&amp;"|"&amp;R326)</f>
        <v/>
      </c>
      <c r="AK326" s="26">
        <f>IF(I326="","",IF(ISNA(MATCH(O326,Kampanyalar!$A$2:$A$150,0)),"Hayır - Kampanyalar'da Yok","Evet"))</f>
        <v/>
      </c>
      <c r="AL326" s="27">
        <f>IF(I326="","",IFERROR(INDEX(Kampanyalar!$E$2:$E$150,MATCH(O326,Kampanyalar!$A$2:$A$150,0)),""))</f>
        <v/>
      </c>
      <c r="AM326" s="27">
        <f>IF(I326="","",IFERROR(INDEX(Kampanyalar!$F$2:$F$150,MATCH(O326,Kampanyalar!$A$2:$A$150,0)),""))</f>
        <v/>
      </c>
      <c r="AN326" s="27">
        <f>IF(I326="","",IFERROR(INDEX(Kampanyalar!$G$2:$G$150,MATCH(O326,Kampanyalar!$A$2:$A$150,0)),""))</f>
        <v/>
      </c>
      <c r="AO326" s="26">
        <f>IF(OR(I326="",AL326="",AM326=""),"",IF(AND(H326&gt;=AL326,H326&lt;=AM326),"Evet","HAYIR - Tarih Dışı"))</f>
        <v/>
      </c>
      <c r="AP326" s="28">
        <f>IF(I326="","",IFERROR(INDEX(Kampanyalar!$H$2:$H$150,MATCH(O326,Kampanyalar!$A$2:$A$150,0)),""))</f>
        <v/>
      </c>
      <c r="AQ326" s="28">
        <f>IF(I326="","",IF(ISNUMBER(AP326),AP326,AD326))</f>
        <v/>
      </c>
      <c r="AR326" s="26">
        <f>IF(I326="","",IF(Parametreler!$C$7="Evet","Kural A - Hemen Ödeme (Stok Mutabakatlı)","Kural B - Nakliye/Montaj Sonrası Ödeme"))</f>
        <v/>
      </c>
    </row>
    <row r="327">
      <c r="A327" s="23" t="n"/>
      <c r="B327" s="23" t="n"/>
      <c r="C327" s="23" t="n"/>
      <c r="D327" s="23" t="n"/>
      <c r="E327" s="23" t="n"/>
      <c r="F327" s="23" t="n"/>
      <c r="G327" s="23" t="n"/>
      <c r="H327" s="24" t="n"/>
      <c r="I327" s="23" t="n"/>
      <c r="J327" s="23" t="n"/>
      <c r="K327" s="23" t="n"/>
      <c r="L327" s="23" t="n"/>
      <c r="M327" s="23" t="n"/>
      <c r="N327" s="23" t="n"/>
      <c r="O327" s="23" t="n"/>
      <c r="P327" s="23" t="n"/>
      <c r="Q327" s="23" t="n"/>
      <c r="R327" s="23" t="n"/>
      <c r="S327" s="23" t="n"/>
      <c r="T327" s="23" t="n"/>
      <c r="U327" s="23" t="n"/>
      <c r="V327" s="23" t="n"/>
      <c r="W327" s="23" t="n"/>
      <c r="X327" s="23" t="n"/>
      <c r="Y327" s="25" t="n"/>
      <c r="Z327" s="25" t="n"/>
      <c r="AA327" s="23" t="n"/>
      <c r="AB327" s="25" t="n"/>
      <c r="AC327" s="23" t="n"/>
      <c r="AD327" s="25" t="n"/>
      <c r="AE327" s="23" t="n"/>
      <c r="AF327" s="25" t="n"/>
      <c r="AG327" s="25" t="n"/>
      <c r="AH327" s="23" t="n"/>
      <c r="AI327" s="23" t="n"/>
      <c r="AJ327" s="26">
        <f>IF(I327="","",I327&amp;"|"&amp;R327)</f>
        <v/>
      </c>
      <c r="AK327" s="26">
        <f>IF(I327="","",IF(ISNA(MATCH(O327,Kampanyalar!$A$2:$A$150,0)),"Hayır - Kampanyalar'da Yok","Evet"))</f>
        <v/>
      </c>
      <c r="AL327" s="27">
        <f>IF(I327="","",IFERROR(INDEX(Kampanyalar!$E$2:$E$150,MATCH(O327,Kampanyalar!$A$2:$A$150,0)),""))</f>
        <v/>
      </c>
      <c r="AM327" s="27">
        <f>IF(I327="","",IFERROR(INDEX(Kampanyalar!$F$2:$F$150,MATCH(O327,Kampanyalar!$A$2:$A$150,0)),""))</f>
        <v/>
      </c>
      <c r="AN327" s="27">
        <f>IF(I327="","",IFERROR(INDEX(Kampanyalar!$G$2:$G$150,MATCH(O327,Kampanyalar!$A$2:$A$150,0)),""))</f>
        <v/>
      </c>
      <c r="AO327" s="26">
        <f>IF(OR(I327="",AL327="",AM327=""),"",IF(AND(H327&gt;=AL327,H327&lt;=AM327),"Evet","HAYIR - Tarih Dışı"))</f>
        <v/>
      </c>
      <c r="AP327" s="28">
        <f>IF(I327="","",IFERROR(INDEX(Kampanyalar!$H$2:$H$150,MATCH(O327,Kampanyalar!$A$2:$A$150,0)),""))</f>
        <v/>
      </c>
      <c r="AQ327" s="28">
        <f>IF(I327="","",IF(ISNUMBER(AP327),AP327,AD327))</f>
        <v/>
      </c>
      <c r="AR327" s="26">
        <f>IF(I327="","",IF(Parametreler!$C$7="Evet","Kural A - Hemen Ödeme (Stok Mutabakatlı)","Kural B - Nakliye/Montaj Sonrası Ödeme"))</f>
        <v/>
      </c>
    </row>
    <row r="328">
      <c r="A328" s="23" t="n"/>
      <c r="B328" s="23" t="n"/>
      <c r="C328" s="23" t="n"/>
      <c r="D328" s="23" t="n"/>
      <c r="E328" s="23" t="n"/>
      <c r="F328" s="23" t="n"/>
      <c r="G328" s="23" t="n"/>
      <c r="H328" s="24" t="n"/>
      <c r="I328" s="23" t="n"/>
      <c r="J328" s="23" t="n"/>
      <c r="K328" s="23" t="n"/>
      <c r="L328" s="23" t="n"/>
      <c r="M328" s="23" t="n"/>
      <c r="N328" s="23" t="n"/>
      <c r="O328" s="23" t="n"/>
      <c r="P328" s="23" t="n"/>
      <c r="Q328" s="23" t="n"/>
      <c r="R328" s="23" t="n"/>
      <c r="S328" s="23" t="n"/>
      <c r="T328" s="23" t="n"/>
      <c r="U328" s="23" t="n"/>
      <c r="V328" s="23" t="n"/>
      <c r="W328" s="23" t="n"/>
      <c r="X328" s="23" t="n"/>
      <c r="Y328" s="25" t="n"/>
      <c r="Z328" s="25" t="n"/>
      <c r="AA328" s="23" t="n"/>
      <c r="AB328" s="25" t="n"/>
      <c r="AC328" s="23" t="n"/>
      <c r="AD328" s="25" t="n"/>
      <c r="AE328" s="23" t="n"/>
      <c r="AF328" s="25" t="n"/>
      <c r="AG328" s="25" t="n"/>
      <c r="AH328" s="23" t="n"/>
      <c r="AI328" s="23" t="n"/>
      <c r="AJ328" s="26">
        <f>IF(I328="","",I328&amp;"|"&amp;R328)</f>
        <v/>
      </c>
      <c r="AK328" s="26">
        <f>IF(I328="","",IF(ISNA(MATCH(O328,Kampanyalar!$A$2:$A$150,0)),"Hayır - Kampanyalar'da Yok","Evet"))</f>
        <v/>
      </c>
      <c r="AL328" s="27">
        <f>IF(I328="","",IFERROR(INDEX(Kampanyalar!$E$2:$E$150,MATCH(O328,Kampanyalar!$A$2:$A$150,0)),""))</f>
        <v/>
      </c>
      <c r="AM328" s="27">
        <f>IF(I328="","",IFERROR(INDEX(Kampanyalar!$F$2:$F$150,MATCH(O328,Kampanyalar!$A$2:$A$150,0)),""))</f>
        <v/>
      </c>
      <c r="AN328" s="27">
        <f>IF(I328="","",IFERROR(INDEX(Kampanyalar!$G$2:$G$150,MATCH(O328,Kampanyalar!$A$2:$A$150,0)),""))</f>
        <v/>
      </c>
      <c r="AO328" s="26">
        <f>IF(OR(I328="",AL328="",AM328=""),"",IF(AND(H328&gt;=AL328,H328&lt;=AM328),"Evet","HAYIR - Tarih Dışı"))</f>
        <v/>
      </c>
      <c r="AP328" s="28">
        <f>IF(I328="","",IFERROR(INDEX(Kampanyalar!$H$2:$H$150,MATCH(O328,Kampanyalar!$A$2:$A$150,0)),""))</f>
        <v/>
      </c>
      <c r="AQ328" s="28">
        <f>IF(I328="","",IF(ISNUMBER(AP328),AP328,AD328))</f>
        <v/>
      </c>
      <c r="AR328" s="26">
        <f>IF(I328="","",IF(Parametreler!$C$7="Evet","Kural A - Hemen Ödeme (Stok Mutabakatlı)","Kural B - Nakliye/Montaj Sonrası Ödeme"))</f>
        <v/>
      </c>
    </row>
    <row r="329">
      <c r="A329" s="23" t="n"/>
      <c r="B329" s="23" t="n"/>
      <c r="C329" s="23" t="n"/>
      <c r="D329" s="23" t="n"/>
      <c r="E329" s="23" t="n"/>
      <c r="F329" s="23" t="n"/>
      <c r="G329" s="23" t="n"/>
      <c r="H329" s="24" t="n"/>
      <c r="I329" s="23" t="n"/>
      <c r="J329" s="23" t="n"/>
      <c r="K329" s="23" t="n"/>
      <c r="L329" s="23" t="n"/>
      <c r="M329" s="23" t="n"/>
      <c r="N329" s="23" t="n"/>
      <c r="O329" s="23" t="n"/>
      <c r="P329" s="23" t="n"/>
      <c r="Q329" s="23" t="n"/>
      <c r="R329" s="23" t="n"/>
      <c r="S329" s="23" t="n"/>
      <c r="T329" s="23" t="n"/>
      <c r="U329" s="23" t="n"/>
      <c r="V329" s="23" t="n"/>
      <c r="W329" s="23" t="n"/>
      <c r="X329" s="23" t="n"/>
      <c r="Y329" s="25" t="n"/>
      <c r="Z329" s="25" t="n"/>
      <c r="AA329" s="23" t="n"/>
      <c r="AB329" s="25" t="n"/>
      <c r="AC329" s="23" t="n"/>
      <c r="AD329" s="25" t="n"/>
      <c r="AE329" s="23" t="n"/>
      <c r="AF329" s="25" t="n"/>
      <c r="AG329" s="25" t="n"/>
      <c r="AH329" s="23" t="n"/>
      <c r="AI329" s="23" t="n"/>
      <c r="AJ329" s="26">
        <f>IF(I329="","",I329&amp;"|"&amp;R329)</f>
        <v/>
      </c>
      <c r="AK329" s="26">
        <f>IF(I329="","",IF(ISNA(MATCH(O329,Kampanyalar!$A$2:$A$150,0)),"Hayır - Kampanyalar'da Yok","Evet"))</f>
        <v/>
      </c>
      <c r="AL329" s="27">
        <f>IF(I329="","",IFERROR(INDEX(Kampanyalar!$E$2:$E$150,MATCH(O329,Kampanyalar!$A$2:$A$150,0)),""))</f>
        <v/>
      </c>
      <c r="AM329" s="27">
        <f>IF(I329="","",IFERROR(INDEX(Kampanyalar!$F$2:$F$150,MATCH(O329,Kampanyalar!$A$2:$A$150,0)),""))</f>
        <v/>
      </c>
      <c r="AN329" s="27">
        <f>IF(I329="","",IFERROR(INDEX(Kampanyalar!$G$2:$G$150,MATCH(O329,Kampanyalar!$A$2:$A$150,0)),""))</f>
        <v/>
      </c>
      <c r="AO329" s="26">
        <f>IF(OR(I329="",AL329="",AM329=""),"",IF(AND(H329&gt;=AL329,H329&lt;=AM329),"Evet","HAYIR - Tarih Dışı"))</f>
        <v/>
      </c>
      <c r="AP329" s="28">
        <f>IF(I329="","",IFERROR(INDEX(Kampanyalar!$H$2:$H$150,MATCH(O329,Kampanyalar!$A$2:$A$150,0)),""))</f>
        <v/>
      </c>
      <c r="AQ329" s="28">
        <f>IF(I329="","",IF(ISNUMBER(AP329),AP329,AD329))</f>
        <v/>
      </c>
      <c r="AR329" s="26">
        <f>IF(I329="","",IF(Parametreler!$C$7="Evet","Kural A - Hemen Ödeme (Stok Mutabakatlı)","Kural B - Nakliye/Montaj Sonrası Ödeme"))</f>
        <v/>
      </c>
    </row>
    <row r="330">
      <c r="A330" s="23" t="n"/>
      <c r="B330" s="23" t="n"/>
      <c r="C330" s="23" t="n"/>
      <c r="D330" s="23" t="n"/>
      <c r="E330" s="23" t="n"/>
      <c r="F330" s="23" t="n"/>
      <c r="G330" s="23" t="n"/>
      <c r="H330" s="24" t="n"/>
      <c r="I330" s="23" t="n"/>
      <c r="J330" s="23" t="n"/>
      <c r="K330" s="23" t="n"/>
      <c r="L330" s="23" t="n"/>
      <c r="M330" s="23" t="n"/>
      <c r="N330" s="23" t="n"/>
      <c r="O330" s="23" t="n"/>
      <c r="P330" s="23" t="n"/>
      <c r="Q330" s="23" t="n"/>
      <c r="R330" s="23" t="n"/>
      <c r="S330" s="23" t="n"/>
      <c r="T330" s="23" t="n"/>
      <c r="U330" s="23" t="n"/>
      <c r="V330" s="23" t="n"/>
      <c r="W330" s="23" t="n"/>
      <c r="X330" s="23" t="n"/>
      <c r="Y330" s="25" t="n"/>
      <c r="Z330" s="25" t="n"/>
      <c r="AA330" s="23" t="n"/>
      <c r="AB330" s="25" t="n"/>
      <c r="AC330" s="23" t="n"/>
      <c r="AD330" s="25" t="n"/>
      <c r="AE330" s="23" t="n"/>
      <c r="AF330" s="25" t="n"/>
      <c r="AG330" s="25" t="n"/>
      <c r="AH330" s="23" t="n"/>
      <c r="AI330" s="23" t="n"/>
      <c r="AJ330" s="26">
        <f>IF(I330="","",I330&amp;"|"&amp;R330)</f>
        <v/>
      </c>
      <c r="AK330" s="26">
        <f>IF(I330="","",IF(ISNA(MATCH(O330,Kampanyalar!$A$2:$A$150,0)),"Hayır - Kampanyalar'da Yok","Evet"))</f>
        <v/>
      </c>
      <c r="AL330" s="27">
        <f>IF(I330="","",IFERROR(INDEX(Kampanyalar!$E$2:$E$150,MATCH(O330,Kampanyalar!$A$2:$A$150,0)),""))</f>
        <v/>
      </c>
      <c r="AM330" s="27">
        <f>IF(I330="","",IFERROR(INDEX(Kampanyalar!$F$2:$F$150,MATCH(O330,Kampanyalar!$A$2:$A$150,0)),""))</f>
        <v/>
      </c>
      <c r="AN330" s="27">
        <f>IF(I330="","",IFERROR(INDEX(Kampanyalar!$G$2:$G$150,MATCH(O330,Kampanyalar!$A$2:$A$150,0)),""))</f>
        <v/>
      </c>
      <c r="AO330" s="26">
        <f>IF(OR(I330="",AL330="",AM330=""),"",IF(AND(H330&gt;=AL330,H330&lt;=AM330),"Evet","HAYIR - Tarih Dışı"))</f>
        <v/>
      </c>
      <c r="AP330" s="28">
        <f>IF(I330="","",IFERROR(INDEX(Kampanyalar!$H$2:$H$150,MATCH(O330,Kampanyalar!$A$2:$A$150,0)),""))</f>
        <v/>
      </c>
      <c r="AQ330" s="28">
        <f>IF(I330="","",IF(ISNUMBER(AP330),AP330,AD330))</f>
        <v/>
      </c>
      <c r="AR330" s="26">
        <f>IF(I330="","",IF(Parametreler!$C$7="Evet","Kural A - Hemen Ödeme (Stok Mutabakatlı)","Kural B - Nakliye/Montaj Sonrası Ödeme"))</f>
        <v/>
      </c>
    </row>
    <row r="331">
      <c r="A331" s="23" t="n"/>
      <c r="B331" s="23" t="n"/>
      <c r="C331" s="23" t="n"/>
      <c r="D331" s="23" t="n"/>
      <c r="E331" s="23" t="n"/>
      <c r="F331" s="23" t="n"/>
      <c r="G331" s="23" t="n"/>
      <c r="H331" s="24" t="n"/>
      <c r="I331" s="23" t="n"/>
      <c r="J331" s="23" t="n"/>
      <c r="K331" s="23" t="n"/>
      <c r="L331" s="23" t="n"/>
      <c r="M331" s="23" t="n"/>
      <c r="N331" s="23" t="n"/>
      <c r="O331" s="23" t="n"/>
      <c r="P331" s="23" t="n"/>
      <c r="Q331" s="23" t="n"/>
      <c r="R331" s="23" t="n"/>
      <c r="S331" s="23" t="n"/>
      <c r="T331" s="23" t="n"/>
      <c r="U331" s="23" t="n"/>
      <c r="V331" s="23" t="n"/>
      <c r="W331" s="23" t="n"/>
      <c r="X331" s="23" t="n"/>
      <c r="Y331" s="25" t="n"/>
      <c r="Z331" s="25" t="n"/>
      <c r="AA331" s="23" t="n"/>
      <c r="AB331" s="25" t="n"/>
      <c r="AC331" s="23" t="n"/>
      <c r="AD331" s="25" t="n"/>
      <c r="AE331" s="23" t="n"/>
      <c r="AF331" s="25" t="n"/>
      <c r="AG331" s="25" t="n"/>
      <c r="AH331" s="23" t="n"/>
      <c r="AI331" s="23" t="n"/>
      <c r="AJ331" s="26">
        <f>IF(I331="","",I331&amp;"|"&amp;R331)</f>
        <v/>
      </c>
      <c r="AK331" s="26">
        <f>IF(I331="","",IF(ISNA(MATCH(O331,Kampanyalar!$A$2:$A$150,0)),"Hayır - Kampanyalar'da Yok","Evet"))</f>
        <v/>
      </c>
      <c r="AL331" s="27">
        <f>IF(I331="","",IFERROR(INDEX(Kampanyalar!$E$2:$E$150,MATCH(O331,Kampanyalar!$A$2:$A$150,0)),""))</f>
        <v/>
      </c>
      <c r="AM331" s="27">
        <f>IF(I331="","",IFERROR(INDEX(Kampanyalar!$F$2:$F$150,MATCH(O331,Kampanyalar!$A$2:$A$150,0)),""))</f>
        <v/>
      </c>
      <c r="AN331" s="27">
        <f>IF(I331="","",IFERROR(INDEX(Kampanyalar!$G$2:$G$150,MATCH(O331,Kampanyalar!$A$2:$A$150,0)),""))</f>
        <v/>
      </c>
      <c r="AO331" s="26">
        <f>IF(OR(I331="",AL331="",AM331=""),"",IF(AND(H331&gt;=AL331,H331&lt;=AM331),"Evet","HAYIR - Tarih Dışı"))</f>
        <v/>
      </c>
      <c r="AP331" s="28">
        <f>IF(I331="","",IFERROR(INDEX(Kampanyalar!$H$2:$H$150,MATCH(O331,Kampanyalar!$A$2:$A$150,0)),""))</f>
        <v/>
      </c>
      <c r="AQ331" s="28">
        <f>IF(I331="","",IF(ISNUMBER(AP331),AP331,AD331))</f>
        <v/>
      </c>
      <c r="AR331" s="26">
        <f>IF(I331="","",IF(Parametreler!$C$7="Evet","Kural A - Hemen Ödeme (Stok Mutabakatlı)","Kural B - Nakliye/Montaj Sonrası Ödeme"))</f>
        <v/>
      </c>
    </row>
    <row r="332">
      <c r="A332" s="23" t="n"/>
      <c r="B332" s="23" t="n"/>
      <c r="C332" s="23" t="n"/>
      <c r="D332" s="23" t="n"/>
      <c r="E332" s="23" t="n"/>
      <c r="F332" s="23" t="n"/>
      <c r="G332" s="23" t="n"/>
      <c r="H332" s="24" t="n"/>
      <c r="I332" s="23" t="n"/>
      <c r="J332" s="23" t="n"/>
      <c r="K332" s="23" t="n"/>
      <c r="L332" s="23" t="n"/>
      <c r="M332" s="23" t="n"/>
      <c r="N332" s="23" t="n"/>
      <c r="O332" s="23" t="n"/>
      <c r="P332" s="23" t="n"/>
      <c r="Q332" s="23" t="n"/>
      <c r="R332" s="23" t="n"/>
      <c r="S332" s="23" t="n"/>
      <c r="T332" s="23" t="n"/>
      <c r="U332" s="23" t="n"/>
      <c r="V332" s="23" t="n"/>
      <c r="W332" s="23" t="n"/>
      <c r="X332" s="23" t="n"/>
      <c r="Y332" s="25" t="n"/>
      <c r="Z332" s="25" t="n"/>
      <c r="AA332" s="23" t="n"/>
      <c r="AB332" s="25" t="n"/>
      <c r="AC332" s="23" t="n"/>
      <c r="AD332" s="25" t="n"/>
      <c r="AE332" s="23" t="n"/>
      <c r="AF332" s="25" t="n"/>
      <c r="AG332" s="25" t="n"/>
      <c r="AH332" s="23" t="n"/>
      <c r="AI332" s="23" t="n"/>
      <c r="AJ332" s="26">
        <f>IF(I332="","",I332&amp;"|"&amp;R332)</f>
        <v/>
      </c>
      <c r="AK332" s="26">
        <f>IF(I332="","",IF(ISNA(MATCH(O332,Kampanyalar!$A$2:$A$150,0)),"Hayır - Kampanyalar'da Yok","Evet"))</f>
        <v/>
      </c>
      <c r="AL332" s="27">
        <f>IF(I332="","",IFERROR(INDEX(Kampanyalar!$E$2:$E$150,MATCH(O332,Kampanyalar!$A$2:$A$150,0)),""))</f>
        <v/>
      </c>
      <c r="AM332" s="27">
        <f>IF(I332="","",IFERROR(INDEX(Kampanyalar!$F$2:$F$150,MATCH(O332,Kampanyalar!$A$2:$A$150,0)),""))</f>
        <v/>
      </c>
      <c r="AN332" s="27">
        <f>IF(I332="","",IFERROR(INDEX(Kampanyalar!$G$2:$G$150,MATCH(O332,Kampanyalar!$A$2:$A$150,0)),""))</f>
        <v/>
      </c>
      <c r="AO332" s="26">
        <f>IF(OR(I332="",AL332="",AM332=""),"",IF(AND(H332&gt;=AL332,H332&lt;=AM332),"Evet","HAYIR - Tarih Dışı"))</f>
        <v/>
      </c>
      <c r="AP332" s="28">
        <f>IF(I332="","",IFERROR(INDEX(Kampanyalar!$H$2:$H$150,MATCH(O332,Kampanyalar!$A$2:$A$150,0)),""))</f>
        <v/>
      </c>
      <c r="AQ332" s="28">
        <f>IF(I332="","",IF(ISNUMBER(AP332),AP332,AD332))</f>
        <v/>
      </c>
      <c r="AR332" s="26">
        <f>IF(I332="","",IF(Parametreler!$C$7="Evet","Kural A - Hemen Ödeme (Stok Mutabakatlı)","Kural B - Nakliye/Montaj Sonrası Ödeme"))</f>
        <v/>
      </c>
    </row>
    <row r="333">
      <c r="A333" s="23" t="n"/>
      <c r="B333" s="23" t="n"/>
      <c r="C333" s="23" t="n"/>
      <c r="D333" s="23" t="n"/>
      <c r="E333" s="23" t="n"/>
      <c r="F333" s="23" t="n"/>
      <c r="G333" s="23" t="n"/>
      <c r="H333" s="24" t="n"/>
      <c r="I333" s="23" t="n"/>
      <c r="J333" s="23" t="n"/>
      <c r="K333" s="23" t="n"/>
      <c r="L333" s="23" t="n"/>
      <c r="M333" s="23" t="n"/>
      <c r="N333" s="23" t="n"/>
      <c r="O333" s="23" t="n"/>
      <c r="P333" s="23" t="n"/>
      <c r="Q333" s="23" t="n"/>
      <c r="R333" s="23" t="n"/>
      <c r="S333" s="23" t="n"/>
      <c r="T333" s="23" t="n"/>
      <c r="U333" s="23" t="n"/>
      <c r="V333" s="23" t="n"/>
      <c r="W333" s="23" t="n"/>
      <c r="X333" s="23" t="n"/>
      <c r="Y333" s="25" t="n"/>
      <c r="Z333" s="25" t="n"/>
      <c r="AA333" s="23" t="n"/>
      <c r="AB333" s="25" t="n"/>
      <c r="AC333" s="23" t="n"/>
      <c r="AD333" s="25" t="n"/>
      <c r="AE333" s="23" t="n"/>
      <c r="AF333" s="25" t="n"/>
      <c r="AG333" s="25" t="n"/>
      <c r="AH333" s="23" t="n"/>
      <c r="AI333" s="23" t="n"/>
      <c r="AJ333" s="26">
        <f>IF(I333="","",I333&amp;"|"&amp;R333)</f>
        <v/>
      </c>
      <c r="AK333" s="26">
        <f>IF(I333="","",IF(ISNA(MATCH(O333,Kampanyalar!$A$2:$A$150,0)),"Hayır - Kampanyalar'da Yok","Evet"))</f>
        <v/>
      </c>
      <c r="AL333" s="27">
        <f>IF(I333="","",IFERROR(INDEX(Kampanyalar!$E$2:$E$150,MATCH(O333,Kampanyalar!$A$2:$A$150,0)),""))</f>
        <v/>
      </c>
      <c r="AM333" s="27">
        <f>IF(I333="","",IFERROR(INDEX(Kampanyalar!$F$2:$F$150,MATCH(O333,Kampanyalar!$A$2:$A$150,0)),""))</f>
        <v/>
      </c>
      <c r="AN333" s="27">
        <f>IF(I333="","",IFERROR(INDEX(Kampanyalar!$G$2:$G$150,MATCH(O333,Kampanyalar!$A$2:$A$150,0)),""))</f>
        <v/>
      </c>
      <c r="AO333" s="26">
        <f>IF(OR(I333="",AL333="",AM333=""),"",IF(AND(H333&gt;=AL333,H333&lt;=AM333),"Evet","HAYIR - Tarih Dışı"))</f>
        <v/>
      </c>
      <c r="AP333" s="28">
        <f>IF(I333="","",IFERROR(INDEX(Kampanyalar!$H$2:$H$150,MATCH(O333,Kampanyalar!$A$2:$A$150,0)),""))</f>
        <v/>
      </c>
      <c r="AQ333" s="28">
        <f>IF(I333="","",IF(ISNUMBER(AP333),AP333,AD333))</f>
        <v/>
      </c>
      <c r="AR333" s="26">
        <f>IF(I333="","",IF(Parametreler!$C$7="Evet","Kural A - Hemen Ödeme (Stok Mutabakatlı)","Kural B - Nakliye/Montaj Sonrası Ödeme"))</f>
        <v/>
      </c>
    </row>
    <row r="334">
      <c r="A334" s="23" t="n"/>
      <c r="B334" s="23" t="n"/>
      <c r="C334" s="23" t="n"/>
      <c r="D334" s="23" t="n"/>
      <c r="E334" s="23" t="n"/>
      <c r="F334" s="23" t="n"/>
      <c r="G334" s="23" t="n"/>
      <c r="H334" s="24" t="n"/>
      <c r="I334" s="23" t="n"/>
      <c r="J334" s="23" t="n"/>
      <c r="K334" s="23" t="n"/>
      <c r="L334" s="23" t="n"/>
      <c r="M334" s="23" t="n"/>
      <c r="N334" s="23" t="n"/>
      <c r="O334" s="23" t="n"/>
      <c r="P334" s="23" t="n"/>
      <c r="Q334" s="23" t="n"/>
      <c r="R334" s="23" t="n"/>
      <c r="S334" s="23" t="n"/>
      <c r="T334" s="23" t="n"/>
      <c r="U334" s="23" t="n"/>
      <c r="V334" s="23" t="n"/>
      <c r="W334" s="23" t="n"/>
      <c r="X334" s="23" t="n"/>
      <c r="Y334" s="25" t="n"/>
      <c r="Z334" s="25" t="n"/>
      <c r="AA334" s="23" t="n"/>
      <c r="AB334" s="25" t="n"/>
      <c r="AC334" s="23" t="n"/>
      <c r="AD334" s="25" t="n"/>
      <c r="AE334" s="23" t="n"/>
      <c r="AF334" s="25" t="n"/>
      <c r="AG334" s="25" t="n"/>
      <c r="AH334" s="23" t="n"/>
      <c r="AI334" s="23" t="n"/>
      <c r="AJ334" s="26">
        <f>IF(I334="","",I334&amp;"|"&amp;R334)</f>
        <v/>
      </c>
      <c r="AK334" s="26">
        <f>IF(I334="","",IF(ISNA(MATCH(O334,Kampanyalar!$A$2:$A$150,0)),"Hayır - Kampanyalar'da Yok","Evet"))</f>
        <v/>
      </c>
      <c r="AL334" s="27">
        <f>IF(I334="","",IFERROR(INDEX(Kampanyalar!$E$2:$E$150,MATCH(O334,Kampanyalar!$A$2:$A$150,0)),""))</f>
        <v/>
      </c>
      <c r="AM334" s="27">
        <f>IF(I334="","",IFERROR(INDEX(Kampanyalar!$F$2:$F$150,MATCH(O334,Kampanyalar!$A$2:$A$150,0)),""))</f>
        <v/>
      </c>
      <c r="AN334" s="27">
        <f>IF(I334="","",IFERROR(INDEX(Kampanyalar!$G$2:$G$150,MATCH(O334,Kampanyalar!$A$2:$A$150,0)),""))</f>
        <v/>
      </c>
      <c r="AO334" s="26">
        <f>IF(OR(I334="",AL334="",AM334=""),"",IF(AND(H334&gt;=AL334,H334&lt;=AM334),"Evet","HAYIR - Tarih Dışı"))</f>
        <v/>
      </c>
      <c r="AP334" s="28">
        <f>IF(I334="","",IFERROR(INDEX(Kampanyalar!$H$2:$H$150,MATCH(O334,Kampanyalar!$A$2:$A$150,0)),""))</f>
        <v/>
      </c>
      <c r="AQ334" s="28">
        <f>IF(I334="","",IF(ISNUMBER(AP334),AP334,AD334))</f>
        <v/>
      </c>
      <c r="AR334" s="26">
        <f>IF(I334="","",IF(Parametreler!$C$7="Evet","Kural A - Hemen Ödeme (Stok Mutabakatlı)","Kural B - Nakliye/Montaj Sonrası Ödeme"))</f>
        <v/>
      </c>
    </row>
    <row r="335">
      <c r="A335" s="23" t="n"/>
      <c r="B335" s="23" t="n"/>
      <c r="C335" s="23" t="n"/>
      <c r="D335" s="23" t="n"/>
      <c r="E335" s="23" t="n"/>
      <c r="F335" s="23" t="n"/>
      <c r="G335" s="23" t="n"/>
      <c r="H335" s="24" t="n"/>
      <c r="I335" s="23" t="n"/>
      <c r="J335" s="23" t="n"/>
      <c r="K335" s="23" t="n"/>
      <c r="L335" s="23" t="n"/>
      <c r="M335" s="23" t="n"/>
      <c r="N335" s="23" t="n"/>
      <c r="O335" s="23" t="n"/>
      <c r="P335" s="23" t="n"/>
      <c r="Q335" s="23" t="n"/>
      <c r="R335" s="23" t="n"/>
      <c r="S335" s="23" t="n"/>
      <c r="T335" s="23" t="n"/>
      <c r="U335" s="23" t="n"/>
      <c r="V335" s="23" t="n"/>
      <c r="W335" s="23" t="n"/>
      <c r="X335" s="23" t="n"/>
      <c r="Y335" s="25" t="n"/>
      <c r="Z335" s="25" t="n"/>
      <c r="AA335" s="23" t="n"/>
      <c r="AB335" s="25" t="n"/>
      <c r="AC335" s="23" t="n"/>
      <c r="AD335" s="25" t="n"/>
      <c r="AE335" s="23" t="n"/>
      <c r="AF335" s="25" t="n"/>
      <c r="AG335" s="25" t="n"/>
      <c r="AH335" s="23" t="n"/>
      <c r="AI335" s="23" t="n"/>
      <c r="AJ335" s="26">
        <f>IF(I335="","",I335&amp;"|"&amp;R335)</f>
        <v/>
      </c>
      <c r="AK335" s="26">
        <f>IF(I335="","",IF(ISNA(MATCH(O335,Kampanyalar!$A$2:$A$150,0)),"Hayır - Kampanyalar'da Yok","Evet"))</f>
        <v/>
      </c>
      <c r="AL335" s="27">
        <f>IF(I335="","",IFERROR(INDEX(Kampanyalar!$E$2:$E$150,MATCH(O335,Kampanyalar!$A$2:$A$150,0)),""))</f>
        <v/>
      </c>
      <c r="AM335" s="27">
        <f>IF(I335="","",IFERROR(INDEX(Kampanyalar!$F$2:$F$150,MATCH(O335,Kampanyalar!$A$2:$A$150,0)),""))</f>
        <v/>
      </c>
      <c r="AN335" s="27">
        <f>IF(I335="","",IFERROR(INDEX(Kampanyalar!$G$2:$G$150,MATCH(O335,Kampanyalar!$A$2:$A$150,0)),""))</f>
        <v/>
      </c>
      <c r="AO335" s="26">
        <f>IF(OR(I335="",AL335="",AM335=""),"",IF(AND(H335&gt;=AL335,H335&lt;=AM335),"Evet","HAYIR - Tarih Dışı"))</f>
        <v/>
      </c>
      <c r="AP335" s="28">
        <f>IF(I335="","",IFERROR(INDEX(Kampanyalar!$H$2:$H$150,MATCH(O335,Kampanyalar!$A$2:$A$150,0)),""))</f>
        <v/>
      </c>
      <c r="AQ335" s="28">
        <f>IF(I335="","",IF(ISNUMBER(AP335),AP335,AD335))</f>
        <v/>
      </c>
      <c r="AR335" s="26">
        <f>IF(I335="","",IF(Parametreler!$C$7="Evet","Kural A - Hemen Ödeme (Stok Mutabakatlı)","Kural B - Nakliye/Montaj Sonrası Ödeme"))</f>
        <v/>
      </c>
    </row>
    <row r="336">
      <c r="A336" s="23" t="n"/>
      <c r="B336" s="23" t="n"/>
      <c r="C336" s="23" t="n"/>
      <c r="D336" s="23" t="n"/>
      <c r="E336" s="23" t="n"/>
      <c r="F336" s="23" t="n"/>
      <c r="G336" s="23" t="n"/>
      <c r="H336" s="24" t="n"/>
      <c r="I336" s="23" t="n"/>
      <c r="J336" s="23" t="n"/>
      <c r="K336" s="23" t="n"/>
      <c r="L336" s="23" t="n"/>
      <c r="M336" s="23" t="n"/>
      <c r="N336" s="23" t="n"/>
      <c r="O336" s="23" t="n"/>
      <c r="P336" s="23" t="n"/>
      <c r="Q336" s="23" t="n"/>
      <c r="R336" s="23" t="n"/>
      <c r="S336" s="23" t="n"/>
      <c r="T336" s="23" t="n"/>
      <c r="U336" s="23" t="n"/>
      <c r="V336" s="23" t="n"/>
      <c r="W336" s="23" t="n"/>
      <c r="X336" s="23" t="n"/>
      <c r="Y336" s="25" t="n"/>
      <c r="Z336" s="25" t="n"/>
      <c r="AA336" s="23" t="n"/>
      <c r="AB336" s="25" t="n"/>
      <c r="AC336" s="23" t="n"/>
      <c r="AD336" s="25" t="n"/>
      <c r="AE336" s="23" t="n"/>
      <c r="AF336" s="25" t="n"/>
      <c r="AG336" s="25" t="n"/>
      <c r="AH336" s="23" t="n"/>
      <c r="AI336" s="23" t="n"/>
      <c r="AJ336" s="26">
        <f>IF(I336="","",I336&amp;"|"&amp;R336)</f>
        <v/>
      </c>
      <c r="AK336" s="26">
        <f>IF(I336="","",IF(ISNA(MATCH(O336,Kampanyalar!$A$2:$A$150,0)),"Hayır - Kampanyalar'da Yok","Evet"))</f>
        <v/>
      </c>
      <c r="AL336" s="27">
        <f>IF(I336="","",IFERROR(INDEX(Kampanyalar!$E$2:$E$150,MATCH(O336,Kampanyalar!$A$2:$A$150,0)),""))</f>
        <v/>
      </c>
      <c r="AM336" s="27">
        <f>IF(I336="","",IFERROR(INDEX(Kampanyalar!$F$2:$F$150,MATCH(O336,Kampanyalar!$A$2:$A$150,0)),""))</f>
        <v/>
      </c>
      <c r="AN336" s="27">
        <f>IF(I336="","",IFERROR(INDEX(Kampanyalar!$G$2:$G$150,MATCH(O336,Kampanyalar!$A$2:$A$150,0)),""))</f>
        <v/>
      </c>
      <c r="AO336" s="26">
        <f>IF(OR(I336="",AL336="",AM336=""),"",IF(AND(H336&gt;=AL336,H336&lt;=AM336),"Evet","HAYIR - Tarih Dışı"))</f>
        <v/>
      </c>
      <c r="AP336" s="28">
        <f>IF(I336="","",IFERROR(INDEX(Kampanyalar!$H$2:$H$150,MATCH(O336,Kampanyalar!$A$2:$A$150,0)),""))</f>
        <v/>
      </c>
      <c r="AQ336" s="28">
        <f>IF(I336="","",IF(ISNUMBER(AP336),AP336,AD336))</f>
        <v/>
      </c>
      <c r="AR336" s="26">
        <f>IF(I336="","",IF(Parametreler!$C$7="Evet","Kural A - Hemen Ödeme (Stok Mutabakatlı)","Kural B - Nakliye/Montaj Sonrası Ödeme"))</f>
        <v/>
      </c>
    </row>
    <row r="337">
      <c r="A337" s="23" t="n"/>
      <c r="B337" s="23" t="n"/>
      <c r="C337" s="23" t="n"/>
      <c r="D337" s="23" t="n"/>
      <c r="E337" s="23" t="n"/>
      <c r="F337" s="23" t="n"/>
      <c r="G337" s="23" t="n"/>
      <c r="H337" s="24" t="n"/>
      <c r="I337" s="23" t="n"/>
      <c r="J337" s="23" t="n"/>
      <c r="K337" s="23" t="n"/>
      <c r="L337" s="23" t="n"/>
      <c r="M337" s="23" t="n"/>
      <c r="N337" s="23" t="n"/>
      <c r="O337" s="23" t="n"/>
      <c r="P337" s="23" t="n"/>
      <c r="Q337" s="23" t="n"/>
      <c r="R337" s="23" t="n"/>
      <c r="S337" s="23" t="n"/>
      <c r="T337" s="23" t="n"/>
      <c r="U337" s="23" t="n"/>
      <c r="V337" s="23" t="n"/>
      <c r="W337" s="23" t="n"/>
      <c r="X337" s="23" t="n"/>
      <c r="Y337" s="25" t="n"/>
      <c r="Z337" s="25" t="n"/>
      <c r="AA337" s="23" t="n"/>
      <c r="AB337" s="25" t="n"/>
      <c r="AC337" s="23" t="n"/>
      <c r="AD337" s="25" t="n"/>
      <c r="AE337" s="23" t="n"/>
      <c r="AF337" s="25" t="n"/>
      <c r="AG337" s="25" t="n"/>
      <c r="AH337" s="23" t="n"/>
      <c r="AI337" s="23" t="n"/>
      <c r="AJ337" s="26">
        <f>IF(I337="","",I337&amp;"|"&amp;R337)</f>
        <v/>
      </c>
      <c r="AK337" s="26">
        <f>IF(I337="","",IF(ISNA(MATCH(O337,Kampanyalar!$A$2:$A$150,0)),"Hayır - Kampanyalar'da Yok","Evet"))</f>
        <v/>
      </c>
      <c r="AL337" s="27">
        <f>IF(I337="","",IFERROR(INDEX(Kampanyalar!$E$2:$E$150,MATCH(O337,Kampanyalar!$A$2:$A$150,0)),""))</f>
        <v/>
      </c>
      <c r="AM337" s="27">
        <f>IF(I337="","",IFERROR(INDEX(Kampanyalar!$F$2:$F$150,MATCH(O337,Kampanyalar!$A$2:$A$150,0)),""))</f>
        <v/>
      </c>
      <c r="AN337" s="27">
        <f>IF(I337="","",IFERROR(INDEX(Kampanyalar!$G$2:$G$150,MATCH(O337,Kampanyalar!$A$2:$A$150,0)),""))</f>
        <v/>
      </c>
      <c r="AO337" s="26">
        <f>IF(OR(I337="",AL337="",AM337=""),"",IF(AND(H337&gt;=AL337,H337&lt;=AM337),"Evet","HAYIR - Tarih Dışı"))</f>
        <v/>
      </c>
      <c r="AP337" s="28">
        <f>IF(I337="","",IFERROR(INDEX(Kampanyalar!$H$2:$H$150,MATCH(O337,Kampanyalar!$A$2:$A$150,0)),""))</f>
        <v/>
      </c>
      <c r="AQ337" s="28">
        <f>IF(I337="","",IF(ISNUMBER(AP337),AP337,AD337))</f>
        <v/>
      </c>
      <c r="AR337" s="26">
        <f>IF(I337="","",IF(Parametreler!$C$7="Evet","Kural A - Hemen Ödeme (Stok Mutabakatlı)","Kural B - Nakliye/Montaj Sonrası Ödeme"))</f>
        <v/>
      </c>
    </row>
    <row r="338">
      <c r="A338" s="23" t="n"/>
      <c r="B338" s="23" t="n"/>
      <c r="C338" s="23" t="n"/>
      <c r="D338" s="23" t="n"/>
      <c r="E338" s="23" t="n"/>
      <c r="F338" s="23" t="n"/>
      <c r="G338" s="23" t="n"/>
      <c r="H338" s="24" t="n"/>
      <c r="I338" s="23" t="n"/>
      <c r="J338" s="23" t="n"/>
      <c r="K338" s="23" t="n"/>
      <c r="L338" s="23" t="n"/>
      <c r="M338" s="23" t="n"/>
      <c r="N338" s="23" t="n"/>
      <c r="O338" s="23" t="n"/>
      <c r="P338" s="23" t="n"/>
      <c r="Q338" s="23" t="n"/>
      <c r="R338" s="23" t="n"/>
      <c r="S338" s="23" t="n"/>
      <c r="T338" s="23" t="n"/>
      <c r="U338" s="23" t="n"/>
      <c r="V338" s="23" t="n"/>
      <c r="W338" s="23" t="n"/>
      <c r="X338" s="23" t="n"/>
      <c r="Y338" s="25" t="n"/>
      <c r="Z338" s="25" t="n"/>
      <c r="AA338" s="23" t="n"/>
      <c r="AB338" s="25" t="n"/>
      <c r="AC338" s="23" t="n"/>
      <c r="AD338" s="25" t="n"/>
      <c r="AE338" s="23" t="n"/>
      <c r="AF338" s="25" t="n"/>
      <c r="AG338" s="25" t="n"/>
      <c r="AH338" s="23" t="n"/>
      <c r="AI338" s="23" t="n"/>
      <c r="AJ338" s="26">
        <f>IF(I338="","",I338&amp;"|"&amp;R338)</f>
        <v/>
      </c>
      <c r="AK338" s="26">
        <f>IF(I338="","",IF(ISNA(MATCH(O338,Kampanyalar!$A$2:$A$150,0)),"Hayır - Kampanyalar'da Yok","Evet"))</f>
        <v/>
      </c>
      <c r="AL338" s="27">
        <f>IF(I338="","",IFERROR(INDEX(Kampanyalar!$E$2:$E$150,MATCH(O338,Kampanyalar!$A$2:$A$150,0)),""))</f>
        <v/>
      </c>
      <c r="AM338" s="27">
        <f>IF(I338="","",IFERROR(INDEX(Kampanyalar!$F$2:$F$150,MATCH(O338,Kampanyalar!$A$2:$A$150,0)),""))</f>
        <v/>
      </c>
      <c r="AN338" s="27">
        <f>IF(I338="","",IFERROR(INDEX(Kampanyalar!$G$2:$G$150,MATCH(O338,Kampanyalar!$A$2:$A$150,0)),""))</f>
        <v/>
      </c>
      <c r="AO338" s="26">
        <f>IF(OR(I338="",AL338="",AM338=""),"",IF(AND(H338&gt;=AL338,H338&lt;=AM338),"Evet","HAYIR - Tarih Dışı"))</f>
        <v/>
      </c>
      <c r="AP338" s="28">
        <f>IF(I338="","",IFERROR(INDEX(Kampanyalar!$H$2:$H$150,MATCH(O338,Kampanyalar!$A$2:$A$150,0)),""))</f>
        <v/>
      </c>
      <c r="AQ338" s="28">
        <f>IF(I338="","",IF(ISNUMBER(AP338),AP338,AD338))</f>
        <v/>
      </c>
      <c r="AR338" s="26">
        <f>IF(I338="","",IF(Parametreler!$C$7="Evet","Kural A - Hemen Ödeme (Stok Mutabakatlı)","Kural B - Nakliye/Montaj Sonrası Ödeme"))</f>
        <v/>
      </c>
    </row>
    <row r="339">
      <c r="A339" s="23" t="n"/>
      <c r="B339" s="23" t="n"/>
      <c r="C339" s="23" t="n"/>
      <c r="D339" s="23" t="n"/>
      <c r="E339" s="23" t="n"/>
      <c r="F339" s="23" t="n"/>
      <c r="G339" s="23" t="n"/>
      <c r="H339" s="24" t="n"/>
      <c r="I339" s="23" t="n"/>
      <c r="J339" s="23" t="n"/>
      <c r="K339" s="23" t="n"/>
      <c r="L339" s="23" t="n"/>
      <c r="M339" s="23" t="n"/>
      <c r="N339" s="23" t="n"/>
      <c r="O339" s="23" t="n"/>
      <c r="P339" s="23" t="n"/>
      <c r="Q339" s="23" t="n"/>
      <c r="R339" s="23" t="n"/>
      <c r="S339" s="23" t="n"/>
      <c r="T339" s="23" t="n"/>
      <c r="U339" s="23" t="n"/>
      <c r="V339" s="23" t="n"/>
      <c r="W339" s="23" t="n"/>
      <c r="X339" s="23" t="n"/>
      <c r="Y339" s="25" t="n"/>
      <c r="Z339" s="25" t="n"/>
      <c r="AA339" s="23" t="n"/>
      <c r="AB339" s="25" t="n"/>
      <c r="AC339" s="23" t="n"/>
      <c r="AD339" s="25" t="n"/>
      <c r="AE339" s="23" t="n"/>
      <c r="AF339" s="25" t="n"/>
      <c r="AG339" s="25" t="n"/>
      <c r="AH339" s="23" t="n"/>
      <c r="AI339" s="23" t="n"/>
      <c r="AJ339" s="26">
        <f>IF(I339="","",I339&amp;"|"&amp;R339)</f>
        <v/>
      </c>
      <c r="AK339" s="26">
        <f>IF(I339="","",IF(ISNA(MATCH(O339,Kampanyalar!$A$2:$A$150,0)),"Hayır - Kampanyalar'da Yok","Evet"))</f>
        <v/>
      </c>
      <c r="AL339" s="27">
        <f>IF(I339="","",IFERROR(INDEX(Kampanyalar!$E$2:$E$150,MATCH(O339,Kampanyalar!$A$2:$A$150,0)),""))</f>
        <v/>
      </c>
      <c r="AM339" s="27">
        <f>IF(I339="","",IFERROR(INDEX(Kampanyalar!$F$2:$F$150,MATCH(O339,Kampanyalar!$A$2:$A$150,0)),""))</f>
        <v/>
      </c>
      <c r="AN339" s="27">
        <f>IF(I339="","",IFERROR(INDEX(Kampanyalar!$G$2:$G$150,MATCH(O339,Kampanyalar!$A$2:$A$150,0)),""))</f>
        <v/>
      </c>
      <c r="AO339" s="26">
        <f>IF(OR(I339="",AL339="",AM339=""),"",IF(AND(H339&gt;=AL339,H339&lt;=AM339),"Evet","HAYIR - Tarih Dışı"))</f>
        <v/>
      </c>
      <c r="AP339" s="28">
        <f>IF(I339="","",IFERROR(INDEX(Kampanyalar!$H$2:$H$150,MATCH(O339,Kampanyalar!$A$2:$A$150,0)),""))</f>
        <v/>
      </c>
      <c r="AQ339" s="28">
        <f>IF(I339="","",IF(ISNUMBER(AP339),AP339,AD339))</f>
        <v/>
      </c>
      <c r="AR339" s="26">
        <f>IF(I339="","",IF(Parametreler!$C$7="Evet","Kural A - Hemen Ödeme (Stok Mutabakatlı)","Kural B - Nakliye/Montaj Sonrası Ödeme"))</f>
        <v/>
      </c>
    </row>
    <row r="340">
      <c r="A340" s="23" t="n"/>
      <c r="B340" s="23" t="n"/>
      <c r="C340" s="23" t="n"/>
      <c r="D340" s="23" t="n"/>
      <c r="E340" s="23" t="n"/>
      <c r="F340" s="23" t="n"/>
      <c r="G340" s="23" t="n"/>
      <c r="H340" s="24" t="n"/>
      <c r="I340" s="23" t="n"/>
      <c r="J340" s="23" t="n"/>
      <c r="K340" s="23" t="n"/>
      <c r="L340" s="23" t="n"/>
      <c r="M340" s="23" t="n"/>
      <c r="N340" s="23" t="n"/>
      <c r="O340" s="23" t="n"/>
      <c r="P340" s="23" t="n"/>
      <c r="Q340" s="23" t="n"/>
      <c r="R340" s="23" t="n"/>
      <c r="S340" s="23" t="n"/>
      <c r="T340" s="23" t="n"/>
      <c r="U340" s="23" t="n"/>
      <c r="V340" s="23" t="n"/>
      <c r="W340" s="23" t="n"/>
      <c r="X340" s="23" t="n"/>
      <c r="Y340" s="25" t="n"/>
      <c r="Z340" s="25" t="n"/>
      <c r="AA340" s="23" t="n"/>
      <c r="AB340" s="25" t="n"/>
      <c r="AC340" s="23" t="n"/>
      <c r="AD340" s="25" t="n"/>
      <c r="AE340" s="23" t="n"/>
      <c r="AF340" s="25" t="n"/>
      <c r="AG340" s="25" t="n"/>
      <c r="AH340" s="23" t="n"/>
      <c r="AI340" s="23" t="n"/>
      <c r="AJ340" s="26">
        <f>IF(I340="","",I340&amp;"|"&amp;R340)</f>
        <v/>
      </c>
      <c r="AK340" s="26">
        <f>IF(I340="","",IF(ISNA(MATCH(O340,Kampanyalar!$A$2:$A$150,0)),"Hayır - Kampanyalar'da Yok","Evet"))</f>
        <v/>
      </c>
      <c r="AL340" s="27">
        <f>IF(I340="","",IFERROR(INDEX(Kampanyalar!$E$2:$E$150,MATCH(O340,Kampanyalar!$A$2:$A$150,0)),""))</f>
        <v/>
      </c>
      <c r="AM340" s="27">
        <f>IF(I340="","",IFERROR(INDEX(Kampanyalar!$F$2:$F$150,MATCH(O340,Kampanyalar!$A$2:$A$150,0)),""))</f>
        <v/>
      </c>
      <c r="AN340" s="27">
        <f>IF(I340="","",IFERROR(INDEX(Kampanyalar!$G$2:$G$150,MATCH(O340,Kampanyalar!$A$2:$A$150,0)),""))</f>
        <v/>
      </c>
      <c r="AO340" s="26">
        <f>IF(OR(I340="",AL340="",AM340=""),"",IF(AND(H340&gt;=AL340,H340&lt;=AM340),"Evet","HAYIR - Tarih Dışı"))</f>
        <v/>
      </c>
      <c r="AP340" s="28">
        <f>IF(I340="","",IFERROR(INDEX(Kampanyalar!$H$2:$H$150,MATCH(O340,Kampanyalar!$A$2:$A$150,0)),""))</f>
        <v/>
      </c>
      <c r="AQ340" s="28">
        <f>IF(I340="","",IF(ISNUMBER(AP340),AP340,AD340))</f>
        <v/>
      </c>
      <c r="AR340" s="26">
        <f>IF(I340="","",IF(Parametreler!$C$7="Evet","Kural A - Hemen Ödeme (Stok Mutabakatlı)","Kural B - Nakliye/Montaj Sonrası Ödeme"))</f>
        <v/>
      </c>
    </row>
    <row r="341">
      <c r="A341" s="23" t="n"/>
      <c r="B341" s="23" t="n"/>
      <c r="C341" s="23" t="n"/>
      <c r="D341" s="23" t="n"/>
      <c r="E341" s="23" t="n"/>
      <c r="F341" s="23" t="n"/>
      <c r="G341" s="23" t="n"/>
      <c r="H341" s="24" t="n"/>
      <c r="I341" s="23" t="n"/>
      <c r="J341" s="23" t="n"/>
      <c r="K341" s="23" t="n"/>
      <c r="L341" s="23" t="n"/>
      <c r="M341" s="23" t="n"/>
      <c r="N341" s="23" t="n"/>
      <c r="O341" s="23" t="n"/>
      <c r="P341" s="23" t="n"/>
      <c r="Q341" s="23" t="n"/>
      <c r="R341" s="23" t="n"/>
      <c r="S341" s="23" t="n"/>
      <c r="T341" s="23" t="n"/>
      <c r="U341" s="23" t="n"/>
      <c r="V341" s="23" t="n"/>
      <c r="W341" s="23" t="n"/>
      <c r="X341" s="23" t="n"/>
      <c r="Y341" s="25" t="n"/>
      <c r="Z341" s="25" t="n"/>
      <c r="AA341" s="23" t="n"/>
      <c r="AB341" s="25" t="n"/>
      <c r="AC341" s="23" t="n"/>
      <c r="AD341" s="25" t="n"/>
      <c r="AE341" s="23" t="n"/>
      <c r="AF341" s="25" t="n"/>
      <c r="AG341" s="25" t="n"/>
      <c r="AH341" s="23" t="n"/>
      <c r="AI341" s="23" t="n"/>
      <c r="AJ341" s="26">
        <f>IF(I341="","",I341&amp;"|"&amp;R341)</f>
        <v/>
      </c>
      <c r="AK341" s="26">
        <f>IF(I341="","",IF(ISNA(MATCH(O341,Kampanyalar!$A$2:$A$150,0)),"Hayır - Kampanyalar'da Yok","Evet"))</f>
        <v/>
      </c>
      <c r="AL341" s="27">
        <f>IF(I341="","",IFERROR(INDEX(Kampanyalar!$E$2:$E$150,MATCH(O341,Kampanyalar!$A$2:$A$150,0)),""))</f>
        <v/>
      </c>
      <c r="AM341" s="27">
        <f>IF(I341="","",IFERROR(INDEX(Kampanyalar!$F$2:$F$150,MATCH(O341,Kampanyalar!$A$2:$A$150,0)),""))</f>
        <v/>
      </c>
      <c r="AN341" s="27">
        <f>IF(I341="","",IFERROR(INDEX(Kampanyalar!$G$2:$G$150,MATCH(O341,Kampanyalar!$A$2:$A$150,0)),""))</f>
        <v/>
      </c>
      <c r="AO341" s="26">
        <f>IF(OR(I341="",AL341="",AM341=""),"",IF(AND(H341&gt;=AL341,H341&lt;=AM341),"Evet","HAYIR - Tarih Dışı"))</f>
        <v/>
      </c>
      <c r="AP341" s="28">
        <f>IF(I341="","",IFERROR(INDEX(Kampanyalar!$H$2:$H$150,MATCH(O341,Kampanyalar!$A$2:$A$150,0)),""))</f>
        <v/>
      </c>
      <c r="AQ341" s="28">
        <f>IF(I341="","",IF(ISNUMBER(AP341),AP341,AD341))</f>
        <v/>
      </c>
      <c r="AR341" s="26">
        <f>IF(I341="","",IF(Parametreler!$C$7="Evet","Kural A - Hemen Ödeme (Stok Mutabakatlı)","Kural B - Nakliye/Montaj Sonrası Ödeme"))</f>
        <v/>
      </c>
    </row>
    <row r="342">
      <c r="A342" s="23" t="n"/>
      <c r="B342" s="23" t="n"/>
      <c r="C342" s="23" t="n"/>
      <c r="D342" s="23" t="n"/>
      <c r="E342" s="23" t="n"/>
      <c r="F342" s="23" t="n"/>
      <c r="G342" s="23" t="n"/>
      <c r="H342" s="24" t="n"/>
      <c r="I342" s="23" t="n"/>
      <c r="J342" s="23" t="n"/>
      <c r="K342" s="23" t="n"/>
      <c r="L342" s="23" t="n"/>
      <c r="M342" s="23" t="n"/>
      <c r="N342" s="23" t="n"/>
      <c r="O342" s="23" t="n"/>
      <c r="P342" s="23" t="n"/>
      <c r="Q342" s="23" t="n"/>
      <c r="R342" s="23" t="n"/>
      <c r="S342" s="23" t="n"/>
      <c r="T342" s="23" t="n"/>
      <c r="U342" s="23" t="n"/>
      <c r="V342" s="23" t="n"/>
      <c r="W342" s="23" t="n"/>
      <c r="X342" s="23" t="n"/>
      <c r="Y342" s="25" t="n"/>
      <c r="Z342" s="25" t="n"/>
      <c r="AA342" s="23" t="n"/>
      <c r="AB342" s="25" t="n"/>
      <c r="AC342" s="23" t="n"/>
      <c r="AD342" s="25" t="n"/>
      <c r="AE342" s="23" t="n"/>
      <c r="AF342" s="25" t="n"/>
      <c r="AG342" s="25" t="n"/>
      <c r="AH342" s="23" t="n"/>
      <c r="AI342" s="23" t="n"/>
      <c r="AJ342" s="26">
        <f>IF(I342="","",I342&amp;"|"&amp;R342)</f>
        <v/>
      </c>
      <c r="AK342" s="26">
        <f>IF(I342="","",IF(ISNA(MATCH(O342,Kampanyalar!$A$2:$A$150,0)),"Hayır - Kampanyalar'da Yok","Evet"))</f>
        <v/>
      </c>
      <c r="AL342" s="27">
        <f>IF(I342="","",IFERROR(INDEX(Kampanyalar!$E$2:$E$150,MATCH(O342,Kampanyalar!$A$2:$A$150,0)),""))</f>
        <v/>
      </c>
      <c r="AM342" s="27">
        <f>IF(I342="","",IFERROR(INDEX(Kampanyalar!$F$2:$F$150,MATCH(O342,Kampanyalar!$A$2:$A$150,0)),""))</f>
        <v/>
      </c>
      <c r="AN342" s="27">
        <f>IF(I342="","",IFERROR(INDEX(Kampanyalar!$G$2:$G$150,MATCH(O342,Kampanyalar!$A$2:$A$150,0)),""))</f>
        <v/>
      </c>
      <c r="AO342" s="26">
        <f>IF(OR(I342="",AL342="",AM342=""),"",IF(AND(H342&gt;=AL342,H342&lt;=AM342),"Evet","HAYIR - Tarih Dışı"))</f>
        <v/>
      </c>
      <c r="AP342" s="28">
        <f>IF(I342="","",IFERROR(INDEX(Kampanyalar!$H$2:$H$150,MATCH(O342,Kampanyalar!$A$2:$A$150,0)),""))</f>
        <v/>
      </c>
      <c r="AQ342" s="28">
        <f>IF(I342="","",IF(ISNUMBER(AP342),AP342,AD342))</f>
        <v/>
      </c>
      <c r="AR342" s="26">
        <f>IF(I342="","",IF(Parametreler!$C$7="Evet","Kural A - Hemen Ödeme (Stok Mutabakatlı)","Kural B - Nakliye/Montaj Sonrası Ödeme"))</f>
        <v/>
      </c>
    </row>
    <row r="343">
      <c r="A343" s="23" t="n"/>
      <c r="B343" s="23" t="n"/>
      <c r="C343" s="23" t="n"/>
      <c r="D343" s="23" t="n"/>
      <c r="E343" s="23" t="n"/>
      <c r="F343" s="23" t="n"/>
      <c r="G343" s="23" t="n"/>
      <c r="H343" s="24" t="n"/>
      <c r="I343" s="23" t="n"/>
      <c r="J343" s="23" t="n"/>
      <c r="K343" s="23" t="n"/>
      <c r="L343" s="23" t="n"/>
      <c r="M343" s="23" t="n"/>
      <c r="N343" s="23" t="n"/>
      <c r="O343" s="23" t="n"/>
      <c r="P343" s="23" t="n"/>
      <c r="Q343" s="23" t="n"/>
      <c r="R343" s="23" t="n"/>
      <c r="S343" s="23" t="n"/>
      <c r="T343" s="23" t="n"/>
      <c r="U343" s="23" t="n"/>
      <c r="V343" s="23" t="n"/>
      <c r="W343" s="23" t="n"/>
      <c r="X343" s="23" t="n"/>
      <c r="Y343" s="25" t="n"/>
      <c r="Z343" s="25" t="n"/>
      <c r="AA343" s="23" t="n"/>
      <c r="AB343" s="25" t="n"/>
      <c r="AC343" s="23" t="n"/>
      <c r="AD343" s="25" t="n"/>
      <c r="AE343" s="23" t="n"/>
      <c r="AF343" s="25" t="n"/>
      <c r="AG343" s="25" t="n"/>
      <c r="AH343" s="23" t="n"/>
      <c r="AI343" s="23" t="n"/>
      <c r="AJ343" s="26">
        <f>IF(I343="","",I343&amp;"|"&amp;R343)</f>
        <v/>
      </c>
      <c r="AK343" s="26">
        <f>IF(I343="","",IF(ISNA(MATCH(O343,Kampanyalar!$A$2:$A$150,0)),"Hayır - Kampanyalar'da Yok","Evet"))</f>
        <v/>
      </c>
      <c r="AL343" s="27">
        <f>IF(I343="","",IFERROR(INDEX(Kampanyalar!$E$2:$E$150,MATCH(O343,Kampanyalar!$A$2:$A$150,0)),""))</f>
        <v/>
      </c>
      <c r="AM343" s="27">
        <f>IF(I343="","",IFERROR(INDEX(Kampanyalar!$F$2:$F$150,MATCH(O343,Kampanyalar!$A$2:$A$150,0)),""))</f>
        <v/>
      </c>
      <c r="AN343" s="27">
        <f>IF(I343="","",IFERROR(INDEX(Kampanyalar!$G$2:$G$150,MATCH(O343,Kampanyalar!$A$2:$A$150,0)),""))</f>
        <v/>
      </c>
      <c r="AO343" s="26">
        <f>IF(OR(I343="",AL343="",AM343=""),"",IF(AND(H343&gt;=AL343,H343&lt;=AM343),"Evet","HAYIR - Tarih Dışı"))</f>
        <v/>
      </c>
      <c r="AP343" s="28">
        <f>IF(I343="","",IFERROR(INDEX(Kampanyalar!$H$2:$H$150,MATCH(O343,Kampanyalar!$A$2:$A$150,0)),""))</f>
        <v/>
      </c>
      <c r="AQ343" s="28">
        <f>IF(I343="","",IF(ISNUMBER(AP343),AP343,AD343))</f>
        <v/>
      </c>
      <c r="AR343" s="26">
        <f>IF(I343="","",IF(Parametreler!$C$7="Evet","Kural A - Hemen Ödeme (Stok Mutabakatlı)","Kural B - Nakliye/Montaj Sonrası Ödeme"))</f>
        <v/>
      </c>
    </row>
    <row r="344">
      <c r="A344" s="23" t="n"/>
      <c r="B344" s="23" t="n"/>
      <c r="C344" s="23" t="n"/>
      <c r="D344" s="23" t="n"/>
      <c r="E344" s="23" t="n"/>
      <c r="F344" s="23" t="n"/>
      <c r="G344" s="23" t="n"/>
      <c r="H344" s="24" t="n"/>
      <c r="I344" s="23" t="n"/>
      <c r="J344" s="23" t="n"/>
      <c r="K344" s="23" t="n"/>
      <c r="L344" s="23" t="n"/>
      <c r="M344" s="23" t="n"/>
      <c r="N344" s="23" t="n"/>
      <c r="O344" s="23" t="n"/>
      <c r="P344" s="23" t="n"/>
      <c r="Q344" s="23" t="n"/>
      <c r="R344" s="23" t="n"/>
      <c r="S344" s="23" t="n"/>
      <c r="T344" s="23" t="n"/>
      <c r="U344" s="23" t="n"/>
      <c r="V344" s="23" t="n"/>
      <c r="W344" s="23" t="n"/>
      <c r="X344" s="23" t="n"/>
      <c r="Y344" s="25" t="n"/>
      <c r="Z344" s="25" t="n"/>
      <c r="AA344" s="23" t="n"/>
      <c r="AB344" s="25" t="n"/>
      <c r="AC344" s="23" t="n"/>
      <c r="AD344" s="25" t="n"/>
      <c r="AE344" s="23" t="n"/>
      <c r="AF344" s="25" t="n"/>
      <c r="AG344" s="25" t="n"/>
      <c r="AH344" s="23" t="n"/>
      <c r="AI344" s="23" t="n"/>
      <c r="AJ344" s="26">
        <f>IF(I344="","",I344&amp;"|"&amp;R344)</f>
        <v/>
      </c>
      <c r="AK344" s="26">
        <f>IF(I344="","",IF(ISNA(MATCH(O344,Kampanyalar!$A$2:$A$150,0)),"Hayır - Kampanyalar'da Yok","Evet"))</f>
        <v/>
      </c>
      <c r="AL344" s="27">
        <f>IF(I344="","",IFERROR(INDEX(Kampanyalar!$E$2:$E$150,MATCH(O344,Kampanyalar!$A$2:$A$150,0)),""))</f>
        <v/>
      </c>
      <c r="AM344" s="27">
        <f>IF(I344="","",IFERROR(INDEX(Kampanyalar!$F$2:$F$150,MATCH(O344,Kampanyalar!$A$2:$A$150,0)),""))</f>
        <v/>
      </c>
      <c r="AN344" s="27">
        <f>IF(I344="","",IFERROR(INDEX(Kampanyalar!$G$2:$G$150,MATCH(O344,Kampanyalar!$A$2:$A$150,0)),""))</f>
        <v/>
      </c>
      <c r="AO344" s="26">
        <f>IF(OR(I344="",AL344="",AM344=""),"",IF(AND(H344&gt;=AL344,H344&lt;=AM344),"Evet","HAYIR - Tarih Dışı"))</f>
        <v/>
      </c>
      <c r="AP344" s="28">
        <f>IF(I344="","",IFERROR(INDEX(Kampanyalar!$H$2:$H$150,MATCH(O344,Kampanyalar!$A$2:$A$150,0)),""))</f>
        <v/>
      </c>
      <c r="AQ344" s="28">
        <f>IF(I344="","",IF(ISNUMBER(AP344),AP344,AD344))</f>
        <v/>
      </c>
      <c r="AR344" s="26">
        <f>IF(I344="","",IF(Parametreler!$C$7="Evet","Kural A - Hemen Ödeme (Stok Mutabakatlı)","Kural B - Nakliye/Montaj Sonrası Ödeme"))</f>
        <v/>
      </c>
    </row>
    <row r="345">
      <c r="A345" s="23" t="n"/>
      <c r="B345" s="23" t="n"/>
      <c r="C345" s="23" t="n"/>
      <c r="D345" s="23" t="n"/>
      <c r="E345" s="23" t="n"/>
      <c r="F345" s="23" t="n"/>
      <c r="G345" s="23" t="n"/>
      <c r="H345" s="24" t="n"/>
      <c r="I345" s="23" t="n"/>
      <c r="J345" s="23" t="n"/>
      <c r="K345" s="23" t="n"/>
      <c r="L345" s="23" t="n"/>
      <c r="M345" s="23" t="n"/>
      <c r="N345" s="23" t="n"/>
      <c r="O345" s="23" t="n"/>
      <c r="P345" s="23" t="n"/>
      <c r="Q345" s="23" t="n"/>
      <c r="R345" s="23" t="n"/>
      <c r="S345" s="23" t="n"/>
      <c r="T345" s="23" t="n"/>
      <c r="U345" s="23" t="n"/>
      <c r="V345" s="23" t="n"/>
      <c r="W345" s="23" t="n"/>
      <c r="X345" s="23" t="n"/>
      <c r="Y345" s="25" t="n"/>
      <c r="Z345" s="25" t="n"/>
      <c r="AA345" s="23" t="n"/>
      <c r="AB345" s="25" t="n"/>
      <c r="AC345" s="23" t="n"/>
      <c r="AD345" s="25" t="n"/>
      <c r="AE345" s="23" t="n"/>
      <c r="AF345" s="25" t="n"/>
      <c r="AG345" s="25" t="n"/>
      <c r="AH345" s="23" t="n"/>
      <c r="AI345" s="23" t="n"/>
      <c r="AJ345" s="26">
        <f>IF(I345="","",I345&amp;"|"&amp;R345)</f>
        <v/>
      </c>
      <c r="AK345" s="26">
        <f>IF(I345="","",IF(ISNA(MATCH(O345,Kampanyalar!$A$2:$A$150,0)),"Hayır - Kampanyalar'da Yok","Evet"))</f>
        <v/>
      </c>
      <c r="AL345" s="27">
        <f>IF(I345="","",IFERROR(INDEX(Kampanyalar!$E$2:$E$150,MATCH(O345,Kampanyalar!$A$2:$A$150,0)),""))</f>
        <v/>
      </c>
      <c r="AM345" s="27">
        <f>IF(I345="","",IFERROR(INDEX(Kampanyalar!$F$2:$F$150,MATCH(O345,Kampanyalar!$A$2:$A$150,0)),""))</f>
        <v/>
      </c>
      <c r="AN345" s="27">
        <f>IF(I345="","",IFERROR(INDEX(Kampanyalar!$G$2:$G$150,MATCH(O345,Kampanyalar!$A$2:$A$150,0)),""))</f>
        <v/>
      </c>
      <c r="AO345" s="26">
        <f>IF(OR(I345="",AL345="",AM345=""),"",IF(AND(H345&gt;=AL345,H345&lt;=AM345),"Evet","HAYIR - Tarih Dışı"))</f>
        <v/>
      </c>
      <c r="AP345" s="28">
        <f>IF(I345="","",IFERROR(INDEX(Kampanyalar!$H$2:$H$150,MATCH(O345,Kampanyalar!$A$2:$A$150,0)),""))</f>
        <v/>
      </c>
      <c r="AQ345" s="28">
        <f>IF(I345="","",IF(ISNUMBER(AP345),AP345,AD345))</f>
        <v/>
      </c>
      <c r="AR345" s="26">
        <f>IF(I345="","",IF(Parametreler!$C$7="Evet","Kural A - Hemen Ödeme (Stok Mutabakatlı)","Kural B - Nakliye/Montaj Sonrası Ödeme"))</f>
        <v/>
      </c>
    </row>
    <row r="346">
      <c r="A346" s="23" t="n"/>
      <c r="B346" s="23" t="n"/>
      <c r="C346" s="23" t="n"/>
      <c r="D346" s="23" t="n"/>
      <c r="E346" s="23" t="n"/>
      <c r="F346" s="23" t="n"/>
      <c r="G346" s="23" t="n"/>
      <c r="H346" s="24" t="n"/>
      <c r="I346" s="23" t="n"/>
      <c r="J346" s="23" t="n"/>
      <c r="K346" s="23" t="n"/>
      <c r="L346" s="23" t="n"/>
      <c r="M346" s="23" t="n"/>
      <c r="N346" s="23" t="n"/>
      <c r="O346" s="23" t="n"/>
      <c r="P346" s="23" t="n"/>
      <c r="Q346" s="23" t="n"/>
      <c r="R346" s="23" t="n"/>
      <c r="S346" s="23" t="n"/>
      <c r="T346" s="23" t="n"/>
      <c r="U346" s="23" t="n"/>
      <c r="V346" s="23" t="n"/>
      <c r="W346" s="23" t="n"/>
      <c r="X346" s="23" t="n"/>
      <c r="Y346" s="25" t="n"/>
      <c r="Z346" s="25" t="n"/>
      <c r="AA346" s="23" t="n"/>
      <c r="AB346" s="25" t="n"/>
      <c r="AC346" s="23" t="n"/>
      <c r="AD346" s="25" t="n"/>
      <c r="AE346" s="23" t="n"/>
      <c r="AF346" s="25" t="n"/>
      <c r="AG346" s="25" t="n"/>
      <c r="AH346" s="23" t="n"/>
      <c r="AI346" s="23" t="n"/>
      <c r="AJ346" s="26">
        <f>IF(I346="","",I346&amp;"|"&amp;R346)</f>
        <v/>
      </c>
      <c r="AK346" s="26">
        <f>IF(I346="","",IF(ISNA(MATCH(O346,Kampanyalar!$A$2:$A$150,0)),"Hayır - Kampanyalar'da Yok","Evet"))</f>
        <v/>
      </c>
      <c r="AL346" s="27">
        <f>IF(I346="","",IFERROR(INDEX(Kampanyalar!$E$2:$E$150,MATCH(O346,Kampanyalar!$A$2:$A$150,0)),""))</f>
        <v/>
      </c>
      <c r="AM346" s="27">
        <f>IF(I346="","",IFERROR(INDEX(Kampanyalar!$F$2:$F$150,MATCH(O346,Kampanyalar!$A$2:$A$150,0)),""))</f>
        <v/>
      </c>
      <c r="AN346" s="27">
        <f>IF(I346="","",IFERROR(INDEX(Kampanyalar!$G$2:$G$150,MATCH(O346,Kampanyalar!$A$2:$A$150,0)),""))</f>
        <v/>
      </c>
      <c r="AO346" s="26">
        <f>IF(OR(I346="",AL346="",AM346=""),"",IF(AND(H346&gt;=AL346,H346&lt;=AM346),"Evet","HAYIR - Tarih Dışı"))</f>
        <v/>
      </c>
      <c r="AP346" s="28">
        <f>IF(I346="","",IFERROR(INDEX(Kampanyalar!$H$2:$H$150,MATCH(O346,Kampanyalar!$A$2:$A$150,0)),""))</f>
        <v/>
      </c>
      <c r="AQ346" s="28">
        <f>IF(I346="","",IF(ISNUMBER(AP346),AP346,AD346))</f>
        <v/>
      </c>
      <c r="AR346" s="26">
        <f>IF(I346="","",IF(Parametreler!$C$7="Evet","Kural A - Hemen Ödeme (Stok Mutabakatlı)","Kural B - Nakliye/Montaj Sonrası Ödeme"))</f>
        <v/>
      </c>
    </row>
    <row r="347">
      <c r="A347" s="23" t="n"/>
      <c r="B347" s="23" t="n"/>
      <c r="C347" s="23" t="n"/>
      <c r="D347" s="23" t="n"/>
      <c r="E347" s="23" t="n"/>
      <c r="F347" s="23" t="n"/>
      <c r="G347" s="23" t="n"/>
      <c r="H347" s="24" t="n"/>
      <c r="I347" s="23" t="n"/>
      <c r="J347" s="23" t="n"/>
      <c r="K347" s="23" t="n"/>
      <c r="L347" s="23" t="n"/>
      <c r="M347" s="23" t="n"/>
      <c r="N347" s="23" t="n"/>
      <c r="O347" s="23" t="n"/>
      <c r="P347" s="23" t="n"/>
      <c r="Q347" s="23" t="n"/>
      <c r="R347" s="23" t="n"/>
      <c r="S347" s="23" t="n"/>
      <c r="T347" s="23" t="n"/>
      <c r="U347" s="23" t="n"/>
      <c r="V347" s="23" t="n"/>
      <c r="W347" s="23" t="n"/>
      <c r="X347" s="23" t="n"/>
      <c r="Y347" s="25" t="n"/>
      <c r="Z347" s="25" t="n"/>
      <c r="AA347" s="23" t="n"/>
      <c r="AB347" s="25" t="n"/>
      <c r="AC347" s="23" t="n"/>
      <c r="AD347" s="25" t="n"/>
      <c r="AE347" s="23" t="n"/>
      <c r="AF347" s="25" t="n"/>
      <c r="AG347" s="25" t="n"/>
      <c r="AH347" s="23" t="n"/>
      <c r="AI347" s="23" t="n"/>
      <c r="AJ347" s="26">
        <f>IF(I347="","",I347&amp;"|"&amp;R347)</f>
        <v/>
      </c>
      <c r="AK347" s="26">
        <f>IF(I347="","",IF(ISNA(MATCH(O347,Kampanyalar!$A$2:$A$150,0)),"Hayır - Kampanyalar'da Yok","Evet"))</f>
        <v/>
      </c>
      <c r="AL347" s="27">
        <f>IF(I347="","",IFERROR(INDEX(Kampanyalar!$E$2:$E$150,MATCH(O347,Kampanyalar!$A$2:$A$150,0)),""))</f>
        <v/>
      </c>
      <c r="AM347" s="27">
        <f>IF(I347="","",IFERROR(INDEX(Kampanyalar!$F$2:$F$150,MATCH(O347,Kampanyalar!$A$2:$A$150,0)),""))</f>
        <v/>
      </c>
      <c r="AN347" s="27">
        <f>IF(I347="","",IFERROR(INDEX(Kampanyalar!$G$2:$G$150,MATCH(O347,Kampanyalar!$A$2:$A$150,0)),""))</f>
        <v/>
      </c>
      <c r="AO347" s="26">
        <f>IF(OR(I347="",AL347="",AM347=""),"",IF(AND(H347&gt;=AL347,H347&lt;=AM347),"Evet","HAYIR - Tarih Dışı"))</f>
        <v/>
      </c>
      <c r="AP347" s="28">
        <f>IF(I347="","",IFERROR(INDEX(Kampanyalar!$H$2:$H$150,MATCH(O347,Kampanyalar!$A$2:$A$150,0)),""))</f>
        <v/>
      </c>
      <c r="AQ347" s="28">
        <f>IF(I347="","",IF(ISNUMBER(AP347),AP347,AD347))</f>
        <v/>
      </c>
      <c r="AR347" s="26">
        <f>IF(I347="","",IF(Parametreler!$C$7="Evet","Kural A - Hemen Ödeme (Stok Mutabakatlı)","Kural B - Nakliye/Montaj Sonrası Ödeme"))</f>
        <v/>
      </c>
    </row>
    <row r="348">
      <c r="A348" s="23" t="n"/>
      <c r="B348" s="23" t="n"/>
      <c r="C348" s="23" t="n"/>
      <c r="D348" s="23" t="n"/>
      <c r="E348" s="23" t="n"/>
      <c r="F348" s="23" t="n"/>
      <c r="G348" s="23" t="n"/>
      <c r="H348" s="24" t="n"/>
      <c r="I348" s="23" t="n"/>
      <c r="J348" s="23" t="n"/>
      <c r="K348" s="23" t="n"/>
      <c r="L348" s="23" t="n"/>
      <c r="M348" s="23" t="n"/>
      <c r="N348" s="23" t="n"/>
      <c r="O348" s="23" t="n"/>
      <c r="P348" s="23" t="n"/>
      <c r="Q348" s="23" t="n"/>
      <c r="R348" s="23" t="n"/>
      <c r="S348" s="23" t="n"/>
      <c r="T348" s="23" t="n"/>
      <c r="U348" s="23" t="n"/>
      <c r="V348" s="23" t="n"/>
      <c r="W348" s="23" t="n"/>
      <c r="X348" s="23" t="n"/>
      <c r="Y348" s="25" t="n"/>
      <c r="Z348" s="25" t="n"/>
      <c r="AA348" s="23" t="n"/>
      <c r="AB348" s="25" t="n"/>
      <c r="AC348" s="23" t="n"/>
      <c r="AD348" s="25" t="n"/>
      <c r="AE348" s="23" t="n"/>
      <c r="AF348" s="25" t="n"/>
      <c r="AG348" s="25" t="n"/>
      <c r="AH348" s="23" t="n"/>
      <c r="AI348" s="23" t="n"/>
      <c r="AJ348" s="26">
        <f>IF(I348="","",I348&amp;"|"&amp;R348)</f>
        <v/>
      </c>
      <c r="AK348" s="26">
        <f>IF(I348="","",IF(ISNA(MATCH(O348,Kampanyalar!$A$2:$A$150,0)),"Hayır - Kampanyalar'da Yok","Evet"))</f>
        <v/>
      </c>
      <c r="AL348" s="27">
        <f>IF(I348="","",IFERROR(INDEX(Kampanyalar!$E$2:$E$150,MATCH(O348,Kampanyalar!$A$2:$A$150,0)),""))</f>
        <v/>
      </c>
      <c r="AM348" s="27">
        <f>IF(I348="","",IFERROR(INDEX(Kampanyalar!$F$2:$F$150,MATCH(O348,Kampanyalar!$A$2:$A$150,0)),""))</f>
        <v/>
      </c>
      <c r="AN348" s="27">
        <f>IF(I348="","",IFERROR(INDEX(Kampanyalar!$G$2:$G$150,MATCH(O348,Kampanyalar!$A$2:$A$150,0)),""))</f>
        <v/>
      </c>
      <c r="AO348" s="26">
        <f>IF(OR(I348="",AL348="",AM348=""),"",IF(AND(H348&gt;=AL348,H348&lt;=AM348),"Evet","HAYIR - Tarih Dışı"))</f>
        <v/>
      </c>
      <c r="AP348" s="28">
        <f>IF(I348="","",IFERROR(INDEX(Kampanyalar!$H$2:$H$150,MATCH(O348,Kampanyalar!$A$2:$A$150,0)),""))</f>
        <v/>
      </c>
      <c r="AQ348" s="28">
        <f>IF(I348="","",IF(ISNUMBER(AP348),AP348,AD348))</f>
        <v/>
      </c>
      <c r="AR348" s="26">
        <f>IF(I348="","",IF(Parametreler!$C$7="Evet","Kural A - Hemen Ödeme (Stok Mutabakatlı)","Kural B - Nakliye/Montaj Sonrası Ödeme"))</f>
        <v/>
      </c>
    </row>
    <row r="349">
      <c r="A349" s="23" t="n"/>
      <c r="B349" s="23" t="n"/>
      <c r="C349" s="23" t="n"/>
      <c r="D349" s="23" t="n"/>
      <c r="E349" s="23" t="n"/>
      <c r="F349" s="23" t="n"/>
      <c r="G349" s="23" t="n"/>
      <c r="H349" s="24" t="n"/>
      <c r="I349" s="23" t="n"/>
      <c r="J349" s="23" t="n"/>
      <c r="K349" s="23" t="n"/>
      <c r="L349" s="23" t="n"/>
      <c r="M349" s="23" t="n"/>
      <c r="N349" s="23" t="n"/>
      <c r="O349" s="23" t="n"/>
      <c r="P349" s="23" t="n"/>
      <c r="Q349" s="23" t="n"/>
      <c r="R349" s="23" t="n"/>
      <c r="S349" s="23" t="n"/>
      <c r="T349" s="23" t="n"/>
      <c r="U349" s="23" t="n"/>
      <c r="V349" s="23" t="n"/>
      <c r="W349" s="23" t="n"/>
      <c r="X349" s="23" t="n"/>
      <c r="Y349" s="25" t="n"/>
      <c r="Z349" s="25" t="n"/>
      <c r="AA349" s="23" t="n"/>
      <c r="AB349" s="25" t="n"/>
      <c r="AC349" s="23" t="n"/>
      <c r="AD349" s="25" t="n"/>
      <c r="AE349" s="23" t="n"/>
      <c r="AF349" s="25" t="n"/>
      <c r="AG349" s="25" t="n"/>
      <c r="AH349" s="23" t="n"/>
      <c r="AI349" s="23" t="n"/>
      <c r="AJ349" s="26">
        <f>IF(I349="","",I349&amp;"|"&amp;R349)</f>
        <v/>
      </c>
      <c r="AK349" s="26">
        <f>IF(I349="","",IF(ISNA(MATCH(O349,Kampanyalar!$A$2:$A$150,0)),"Hayır - Kampanyalar'da Yok","Evet"))</f>
        <v/>
      </c>
      <c r="AL349" s="27">
        <f>IF(I349="","",IFERROR(INDEX(Kampanyalar!$E$2:$E$150,MATCH(O349,Kampanyalar!$A$2:$A$150,0)),""))</f>
        <v/>
      </c>
      <c r="AM349" s="27">
        <f>IF(I349="","",IFERROR(INDEX(Kampanyalar!$F$2:$F$150,MATCH(O349,Kampanyalar!$A$2:$A$150,0)),""))</f>
        <v/>
      </c>
      <c r="AN349" s="27">
        <f>IF(I349="","",IFERROR(INDEX(Kampanyalar!$G$2:$G$150,MATCH(O349,Kampanyalar!$A$2:$A$150,0)),""))</f>
        <v/>
      </c>
      <c r="AO349" s="26">
        <f>IF(OR(I349="",AL349="",AM349=""),"",IF(AND(H349&gt;=AL349,H349&lt;=AM349),"Evet","HAYIR - Tarih Dışı"))</f>
        <v/>
      </c>
      <c r="AP349" s="28">
        <f>IF(I349="","",IFERROR(INDEX(Kampanyalar!$H$2:$H$150,MATCH(O349,Kampanyalar!$A$2:$A$150,0)),""))</f>
        <v/>
      </c>
      <c r="AQ349" s="28">
        <f>IF(I349="","",IF(ISNUMBER(AP349),AP349,AD349))</f>
        <v/>
      </c>
      <c r="AR349" s="26">
        <f>IF(I349="","",IF(Parametreler!$C$7="Evet","Kural A - Hemen Ödeme (Stok Mutabakatlı)","Kural B - Nakliye/Montaj Sonrası Ödeme"))</f>
        <v/>
      </c>
    </row>
    <row r="350">
      <c r="A350" s="23" t="n"/>
      <c r="B350" s="23" t="n"/>
      <c r="C350" s="23" t="n"/>
      <c r="D350" s="23" t="n"/>
      <c r="E350" s="23" t="n"/>
      <c r="F350" s="23" t="n"/>
      <c r="G350" s="23" t="n"/>
      <c r="H350" s="24" t="n"/>
      <c r="I350" s="23" t="n"/>
      <c r="J350" s="23" t="n"/>
      <c r="K350" s="23" t="n"/>
      <c r="L350" s="23" t="n"/>
      <c r="M350" s="23" t="n"/>
      <c r="N350" s="23" t="n"/>
      <c r="O350" s="23" t="n"/>
      <c r="P350" s="23" t="n"/>
      <c r="Q350" s="23" t="n"/>
      <c r="R350" s="23" t="n"/>
      <c r="S350" s="23" t="n"/>
      <c r="T350" s="23" t="n"/>
      <c r="U350" s="23" t="n"/>
      <c r="V350" s="23" t="n"/>
      <c r="W350" s="23" t="n"/>
      <c r="X350" s="23" t="n"/>
      <c r="Y350" s="25" t="n"/>
      <c r="Z350" s="25" t="n"/>
      <c r="AA350" s="23" t="n"/>
      <c r="AB350" s="25" t="n"/>
      <c r="AC350" s="23" t="n"/>
      <c r="AD350" s="25" t="n"/>
      <c r="AE350" s="23" t="n"/>
      <c r="AF350" s="25" t="n"/>
      <c r="AG350" s="25" t="n"/>
      <c r="AH350" s="23" t="n"/>
      <c r="AI350" s="23" t="n"/>
      <c r="AJ350" s="26">
        <f>IF(I350="","",I350&amp;"|"&amp;R350)</f>
        <v/>
      </c>
      <c r="AK350" s="26">
        <f>IF(I350="","",IF(ISNA(MATCH(O350,Kampanyalar!$A$2:$A$150,0)),"Hayır - Kampanyalar'da Yok","Evet"))</f>
        <v/>
      </c>
      <c r="AL350" s="27">
        <f>IF(I350="","",IFERROR(INDEX(Kampanyalar!$E$2:$E$150,MATCH(O350,Kampanyalar!$A$2:$A$150,0)),""))</f>
        <v/>
      </c>
      <c r="AM350" s="27">
        <f>IF(I350="","",IFERROR(INDEX(Kampanyalar!$F$2:$F$150,MATCH(O350,Kampanyalar!$A$2:$A$150,0)),""))</f>
        <v/>
      </c>
      <c r="AN350" s="27">
        <f>IF(I350="","",IFERROR(INDEX(Kampanyalar!$G$2:$G$150,MATCH(O350,Kampanyalar!$A$2:$A$150,0)),""))</f>
        <v/>
      </c>
      <c r="AO350" s="26">
        <f>IF(OR(I350="",AL350="",AM350=""),"",IF(AND(H350&gt;=AL350,H350&lt;=AM350),"Evet","HAYIR - Tarih Dışı"))</f>
        <v/>
      </c>
      <c r="AP350" s="28">
        <f>IF(I350="","",IFERROR(INDEX(Kampanyalar!$H$2:$H$150,MATCH(O350,Kampanyalar!$A$2:$A$150,0)),""))</f>
        <v/>
      </c>
      <c r="AQ350" s="28">
        <f>IF(I350="","",IF(ISNUMBER(AP350),AP350,AD350))</f>
        <v/>
      </c>
      <c r="AR350" s="26">
        <f>IF(I350="","",IF(Parametreler!$C$7="Evet","Kural A - Hemen Ödeme (Stok Mutabakatlı)","Kural B - Nakliye/Montaj Sonrası Ödeme"))</f>
        <v/>
      </c>
    </row>
    <row r="351">
      <c r="A351" s="23" t="n"/>
      <c r="B351" s="23" t="n"/>
      <c r="C351" s="23" t="n"/>
      <c r="D351" s="23" t="n"/>
      <c r="E351" s="23" t="n"/>
      <c r="F351" s="23" t="n"/>
      <c r="G351" s="23" t="n"/>
      <c r="H351" s="24" t="n"/>
      <c r="I351" s="23" t="n"/>
      <c r="J351" s="23" t="n"/>
      <c r="K351" s="23" t="n"/>
      <c r="L351" s="23" t="n"/>
      <c r="M351" s="23" t="n"/>
      <c r="N351" s="23" t="n"/>
      <c r="O351" s="23" t="n"/>
      <c r="P351" s="23" t="n"/>
      <c r="Q351" s="23" t="n"/>
      <c r="R351" s="23" t="n"/>
      <c r="S351" s="23" t="n"/>
      <c r="T351" s="23" t="n"/>
      <c r="U351" s="23" t="n"/>
      <c r="V351" s="23" t="n"/>
      <c r="W351" s="23" t="n"/>
      <c r="X351" s="23" t="n"/>
      <c r="Y351" s="25" t="n"/>
      <c r="Z351" s="25" t="n"/>
      <c r="AA351" s="23" t="n"/>
      <c r="AB351" s="25" t="n"/>
      <c r="AC351" s="23" t="n"/>
      <c r="AD351" s="25" t="n"/>
      <c r="AE351" s="23" t="n"/>
      <c r="AF351" s="25" t="n"/>
      <c r="AG351" s="25" t="n"/>
      <c r="AH351" s="23" t="n"/>
      <c r="AI351" s="23" t="n"/>
      <c r="AJ351" s="26">
        <f>IF(I351="","",I351&amp;"|"&amp;R351)</f>
        <v/>
      </c>
      <c r="AK351" s="26">
        <f>IF(I351="","",IF(ISNA(MATCH(O351,Kampanyalar!$A$2:$A$150,0)),"Hayır - Kampanyalar'da Yok","Evet"))</f>
        <v/>
      </c>
      <c r="AL351" s="27">
        <f>IF(I351="","",IFERROR(INDEX(Kampanyalar!$E$2:$E$150,MATCH(O351,Kampanyalar!$A$2:$A$150,0)),""))</f>
        <v/>
      </c>
      <c r="AM351" s="27">
        <f>IF(I351="","",IFERROR(INDEX(Kampanyalar!$F$2:$F$150,MATCH(O351,Kampanyalar!$A$2:$A$150,0)),""))</f>
        <v/>
      </c>
      <c r="AN351" s="27">
        <f>IF(I351="","",IFERROR(INDEX(Kampanyalar!$G$2:$G$150,MATCH(O351,Kampanyalar!$A$2:$A$150,0)),""))</f>
        <v/>
      </c>
      <c r="AO351" s="26">
        <f>IF(OR(I351="",AL351="",AM351=""),"",IF(AND(H351&gt;=AL351,H351&lt;=AM351),"Evet","HAYIR - Tarih Dışı"))</f>
        <v/>
      </c>
      <c r="AP351" s="28">
        <f>IF(I351="","",IFERROR(INDEX(Kampanyalar!$H$2:$H$150,MATCH(O351,Kampanyalar!$A$2:$A$150,0)),""))</f>
        <v/>
      </c>
      <c r="AQ351" s="28">
        <f>IF(I351="","",IF(ISNUMBER(AP351),AP351,AD351))</f>
        <v/>
      </c>
      <c r="AR351" s="26">
        <f>IF(I351="","",IF(Parametreler!$C$7="Evet","Kural A - Hemen Ödeme (Stok Mutabakatlı)","Kural B - Nakliye/Montaj Sonrası Ödeme"))</f>
        <v/>
      </c>
    </row>
    <row r="352">
      <c r="A352" s="23" t="n"/>
      <c r="B352" s="23" t="n"/>
      <c r="C352" s="23" t="n"/>
      <c r="D352" s="23" t="n"/>
      <c r="E352" s="23" t="n"/>
      <c r="F352" s="23" t="n"/>
      <c r="G352" s="23" t="n"/>
      <c r="H352" s="24" t="n"/>
      <c r="I352" s="23" t="n"/>
      <c r="J352" s="23" t="n"/>
      <c r="K352" s="23" t="n"/>
      <c r="L352" s="23" t="n"/>
      <c r="M352" s="23" t="n"/>
      <c r="N352" s="23" t="n"/>
      <c r="O352" s="23" t="n"/>
      <c r="P352" s="23" t="n"/>
      <c r="Q352" s="23" t="n"/>
      <c r="R352" s="23" t="n"/>
      <c r="S352" s="23" t="n"/>
      <c r="T352" s="23" t="n"/>
      <c r="U352" s="23" t="n"/>
      <c r="V352" s="23" t="n"/>
      <c r="W352" s="23" t="n"/>
      <c r="X352" s="23" t="n"/>
      <c r="Y352" s="25" t="n"/>
      <c r="Z352" s="25" t="n"/>
      <c r="AA352" s="23" t="n"/>
      <c r="AB352" s="25" t="n"/>
      <c r="AC352" s="23" t="n"/>
      <c r="AD352" s="25" t="n"/>
      <c r="AE352" s="23" t="n"/>
      <c r="AF352" s="25" t="n"/>
      <c r="AG352" s="25" t="n"/>
      <c r="AH352" s="23" t="n"/>
      <c r="AI352" s="23" t="n"/>
      <c r="AJ352" s="26">
        <f>IF(I352="","",I352&amp;"|"&amp;R352)</f>
        <v/>
      </c>
      <c r="AK352" s="26">
        <f>IF(I352="","",IF(ISNA(MATCH(O352,Kampanyalar!$A$2:$A$150,0)),"Hayır - Kampanyalar'da Yok","Evet"))</f>
        <v/>
      </c>
      <c r="AL352" s="27">
        <f>IF(I352="","",IFERROR(INDEX(Kampanyalar!$E$2:$E$150,MATCH(O352,Kampanyalar!$A$2:$A$150,0)),""))</f>
        <v/>
      </c>
      <c r="AM352" s="27">
        <f>IF(I352="","",IFERROR(INDEX(Kampanyalar!$F$2:$F$150,MATCH(O352,Kampanyalar!$A$2:$A$150,0)),""))</f>
        <v/>
      </c>
      <c r="AN352" s="27">
        <f>IF(I352="","",IFERROR(INDEX(Kampanyalar!$G$2:$G$150,MATCH(O352,Kampanyalar!$A$2:$A$150,0)),""))</f>
        <v/>
      </c>
      <c r="AO352" s="26">
        <f>IF(OR(I352="",AL352="",AM352=""),"",IF(AND(H352&gt;=AL352,H352&lt;=AM352),"Evet","HAYIR - Tarih Dışı"))</f>
        <v/>
      </c>
      <c r="AP352" s="28">
        <f>IF(I352="","",IFERROR(INDEX(Kampanyalar!$H$2:$H$150,MATCH(O352,Kampanyalar!$A$2:$A$150,0)),""))</f>
        <v/>
      </c>
      <c r="AQ352" s="28">
        <f>IF(I352="","",IF(ISNUMBER(AP352),AP352,AD352))</f>
        <v/>
      </c>
      <c r="AR352" s="26">
        <f>IF(I352="","",IF(Parametreler!$C$7="Evet","Kural A - Hemen Ödeme (Stok Mutabakatlı)","Kural B - Nakliye/Montaj Sonrası Ödeme"))</f>
        <v/>
      </c>
    </row>
    <row r="353">
      <c r="A353" s="23" t="n"/>
      <c r="B353" s="23" t="n"/>
      <c r="C353" s="23" t="n"/>
      <c r="D353" s="23" t="n"/>
      <c r="E353" s="23" t="n"/>
      <c r="F353" s="23" t="n"/>
      <c r="G353" s="23" t="n"/>
      <c r="H353" s="24" t="n"/>
      <c r="I353" s="23" t="n"/>
      <c r="J353" s="23" t="n"/>
      <c r="K353" s="23" t="n"/>
      <c r="L353" s="23" t="n"/>
      <c r="M353" s="23" t="n"/>
      <c r="N353" s="23" t="n"/>
      <c r="O353" s="23" t="n"/>
      <c r="P353" s="23" t="n"/>
      <c r="Q353" s="23" t="n"/>
      <c r="R353" s="23" t="n"/>
      <c r="S353" s="23" t="n"/>
      <c r="T353" s="23" t="n"/>
      <c r="U353" s="23" t="n"/>
      <c r="V353" s="23" t="n"/>
      <c r="W353" s="23" t="n"/>
      <c r="X353" s="23" t="n"/>
      <c r="Y353" s="25" t="n"/>
      <c r="Z353" s="25" t="n"/>
      <c r="AA353" s="23" t="n"/>
      <c r="AB353" s="25" t="n"/>
      <c r="AC353" s="23" t="n"/>
      <c r="AD353" s="25" t="n"/>
      <c r="AE353" s="23" t="n"/>
      <c r="AF353" s="25" t="n"/>
      <c r="AG353" s="25" t="n"/>
      <c r="AH353" s="23" t="n"/>
      <c r="AI353" s="23" t="n"/>
      <c r="AJ353" s="26">
        <f>IF(I353="","",I353&amp;"|"&amp;R353)</f>
        <v/>
      </c>
      <c r="AK353" s="26">
        <f>IF(I353="","",IF(ISNA(MATCH(O353,Kampanyalar!$A$2:$A$150,0)),"Hayır - Kampanyalar'da Yok","Evet"))</f>
        <v/>
      </c>
      <c r="AL353" s="27">
        <f>IF(I353="","",IFERROR(INDEX(Kampanyalar!$E$2:$E$150,MATCH(O353,Kampanyalar!$A$2:$A$150,0)),""))</f>
        <v/>
      </c>
      <c r="AM353" s="27">
        <f>IF(I353="","",IFERROR(INDEX(Kampanyalar!$F$2:$F$150,MATCH(O353,Kampanyalar!$A$2:$A$150,0)),""))</f>
        <v/>
      </c>
      <c r="AN353" s="27">
        <f>IF(I353="","",IFERROR(INDEX(Kampanyalar!$G$2:$G$150,MATCH(O353,Kampanyalar!$A$2:$A$150,0)),""))</f>
        <v/>
      </c>
      <c r="AO353" s="26">
        <f>IF(OR(I353="",AL353="",AM353=""),"",IF(AND(H353&gt;=AL353,H353&lt;=AM353),"Evet","HAYIR - Tarih Dışı"))</f>
        <v/>
      </c>
      <c r="AP353" s="28">
        <f>IF(I353="","",IFERROR(INDEX(Kampanyalar!$H$2:$H$150,MATCH(O353,Kampanyalar!$A$2:$A$150,0)),""))</f>
        <v/>
      </c>
      <c r="AQ353" s="28">
        <f>IF(I353="","",IF(ISNUMBER(AP353),AP353,AD353))</f>
        <v/>
      </c>
      <c r="AR353" s="26">
        <f>IF(I353="","",IF(Parametreler!$C$7="Evet","Kural A - Hemen Ödeme (Stok Mutabakatlı)","Kural B - Nakliye/Montaj Sonrası Ödeme"))</f>
        <v/>
      </c>
    </row>
    <row r="354">
      <c r="A354" s="23" t="n"/>
      <c r="B354" s="23" t="n"/>
      <c r="C354" s="23" t="n"/>
      <c r="D354" s="23" t="n"/>
      <c r="E354" s="23" t="n"/>
      <c r="F354" s="23" t="n"/>
      <c r="G354" s="23" t="n"/>
      <c r="H354" s="24" t="n"/>
      <c r="I354" s="23" t="n"/>
      <c r="J354" s="23" t="n"/>
      <c r="K354" s="23" t="n"/>
      <c r="L354" s="23" t="n"/>
      <c r="M354" s="23" t="n"/>
      <c r="N354" s="23" t="n"/>
      <c r="O354" s="23" t="n"/>
      <c r="P354" s="23" t="n"/>
      <c r="Q354" s="23" t="n"/>
      <c r="R354" s="23" t="n"/>
      <c r="S354" s="23" t="n"/>
      <c r="T354" s="23" t="n"/>
      <c r="U354" s="23" t="n"/>
      <c r="V354" s="23" t="n"/>
      <c r="W354" s="23" t="n"/>
      <c r="X354" s="23" t="n"/>
      <c r="Y354" s="25" t="n"/>
      <c r="Z354" s="25" t="n"/>
      <c r="AA354" s="23" t="n"/>
      <c r="AB354" s="25" t="n"/>
      <c r="AC354" s="23" t="n"/>
      <c r="AD354" s="25" t="n"/>
      <c r="AE354" s="23" t="n"/>
      <c r="AF354" s="25" t="n"/>
      <c r="AG354" s="25" t="n"/>
      <c r="AH354" s="23" t="n"/>
      <c r="AI354" s="23" t="n"/>
      <c r="AJ354" s="26">
        <f>IF(I354="","",I354&amp;"|"&amp;R354)</f>
        <v/>
      </c>
      <c r="AK354" s="26">
        <f>IF(I354="","",IF(ISNA(MATCH(O354,Kampanyalar!$A$2:$A$150,0)),"Hayır - Kampanyalar'da Yok","Evet"))</f>
        <v/>
      </c>
      <c r="AL354" s="27">
        <f>IF(I354="","",IFERROR(INDEX(Kampanyalar!$E$2:$E$150,MATCH(O354,Kampanyalar!$A$2:$A$150,0)),""))</f>
        <v/>
      </c>
      <c r="AM354" s="27">
        <f>IF(I354="","",IFERROR(INDEX(Kampanyalar!$F$2:$F$150,MATCH(O354,Kampanyalar!$A$2:$A$150,0)),""))</f>
        <v/>
      </c>
      <c r="AN354" s="27">
        <f>IF(I354="","",IFERROR(INDEX(Kampanyalar!$G$2:$G$150,MATCH(O354,Kampanyalar!$A$2:$A$150,0)),""))</f>
        <v/>
      </c>
      <c r="AO354" s="26">
        <f>IF(OR(I354="",AL354="",AM354=""),"",IF(AND(H354&gt;=AL354,H354&lt;=AM354),"Evet","HAYIR - Tarih Dışı"))</f>
        <v/>
      </c>
      <c r="AP354" s="28">
        <f>IF(I354="","",IFERROR(INDEX(Kampanyalar!$H$2:$H$150,MATCH(O354,Kampanyalar!$A$2:$A$150,0)),""))</f>
        <v/>
      </c>
      <c r="AQ354" s="28">
        <f>IF(I354="","",IF(ISNUMBER(AP354),AP354,AD354))</f>
        <v/>
      </c>
      <c r="AR354" s="26">
        <f>IF(I354="","",IF(Parametreler!$C$7="Evet","Kural A - Hemen Ödeme (Stok Mutabakatlı)","Kural B - Nakliye/Montaj Sonrası Ödeme"))</f>
        <v/>
      </c>
    </row>
    <row r="355">
      <c r="A355" s="23" t="n"/>
      <c r="B355" s="23" t="n"/>
      <c r="C355" s="23" t="n"/>
      <c r="D355" s="23" t="n"/>
      <c r="E355" s="23" t="n"/>
      <c r="F355" s="23" t="n"/>
      <c r="G355" s="23" t="n"/>
      <c r="H355" s="24" t="n"/>
      <c r="I355" s="23" t="n"/>
      <c r="J355" s="23" t="n"/>
      <c r="K355" s="23" t="n"/>
      <c r="L355" s="23" t="n"/>
      <c r="M355" s="23" t="n"/>
      <c r="N355" s="23" t="n"/>
      <c r="O355" s="23" t="n"/>
      <c r="P355" s="23" t="n"/>
      <c r="Q355" s="23" t="n"/>
      <c r="R355" s="23" t="n"/>
      <c r="S355" s="23" t="n"/>
      <c r="T355" s="23" t="n"/>
      <c r="U355" s="23" t="n"/>
      <c r="V355" s="23" t="n"/>
      <c r="W355" s="23" t="n"/>
      <c r="X355" s="23" t="n"/>
      <c r="Y355" s="25" t="n"/>
      <c r="Z355" s="25" t="n"/>
      <c r="AA355" s="23" t="n"/>
      <c r="AB355" s="25" t="n"/>
      <c r="AC355" s="23" t="n"/>
      <c r="AD355" s="25" t="n"/>
      <c r="AE355" s="23" t="n"/>
      <c r="AF355" s="25" t="n"/>
      <c r="AG355" s="25" t="n"/>
      <c r="AH355" s="23" t="n"/>
      <c r="AI355" s="23" t="n"/>
      <c r="AJ355" s="26">
        <f>IF(I355="","",I355&amp;"|"&amp;R355)</f>
        <v/>
      </c>
      <c r="AK355" s="26">
        <f>IF(I355="","",IF(ISNA(MATCH(O355,Kampanyalar!$A$2:$A$150,0)),"Hayır - Kampanyalar'da Yok","Evet"))</f>
        <v/>
      </c>
      <c r="AL355" s="27">
        <f>IF(I355="","",IFERROR(INDEX(Kampanyalar!$E$2:$E$150,MATCH(O355,Kampanyalar!$A$2:$A$150,0)),""))</f>
        <v/>
      </c>
      <c r="AM355" s="27">
        <f>IF(I355="","",IFERROR(INDEX(Kampanyalar!$F$2:$F$150,MATCH(O355,Kampanyalar!$A$2:$A$150,0)),""))</f>
        <v/>
      </c>
      <c r="AN355" s="27">
        <f>IF(I355="","",IFERROR(INDEX(Kampanyalar!$G$2:$G$150,MATCH(O355,Kampanyalar!$A$2:$A$150,0)),""))</f>
        <v/>
      </c>
      <c r="AO355" s="26">
        <f>IF(OR(I355="",AL355="",AM355=""),"",IF(AND(H355&gt;=AL355,H355&lt;=AM355),"Evet","HAYIR - Tarih Dışı"))</f>
        <v/>
      </c>
      <c r="AP355" s="28">
        <f>IF(I355="","",IFERROR(INDEX(Kampanyalar!$H$2:$H$150,MATCH(O355,Kampanyalar!$A$2:$A$150,0)),""))</f>
        <v/>
      </c>
      <c r="AQ355" s="28">
        <f>IF(I355="","",IF(ISNUMBER(AP355),AP355,AD355))</f>
        <v/>
      </c>
      <c r="AR355" s="26">
        <f>IF(I355="","",IF(Parametreler!$C$7="Evet","Kural A - Hemen Ödeme (Stok Mutabakatlı)","Kural B - Nakliye/Montaj Sonrası Ödeme"))</f>
        <v/>
      </c>
    </row>
    <row r="356">
      <c r="A356" s="23" t="n"/>
      <c r="B356" s="23" t="n"/>
      <c r="C356" s="23" t="n"/>
      <c r="D356" s="23" t="n"/>
      <c r="E356" s="23" t="n"/>
      <c r="F356" s="23" t="n"/>
      <c r="G356" s="23" t="n"/>
      <c r="H356" s="24" t="n"/>
      <c r="I356" s="23" t="n"/>
      <c r="J356" s="23" t="n"/>
      <c r="K356" s="23" t="n"/>
      <c r="L356" s="23" t="n"/>
      <c r="M356" s="23" t="n"/>
      <c r="N356" s="23" t="n"/>
      <c r="O356" s="23" t="n"/>
      <c r="P356" s="23" t="n"/>
      <c r="Q356" s="23" t="n"/>
      <c r="R356" s="23" t="n"/>
      <c r="S356" s="23" t="n"/>
      <c r="T356" s="23" t="n"/>
      <c r="U356" s="23" t="n"/>
      <c r="V356" s="23" t="n"/>
      <c r="W356" s="23" t="n"/>
      <c r="X356" s="23" t="n"/>
      <c r="Y356" s="25" t="n"/>
      <c r="Z356" s="25" t="n"/>
      <c r="AA356" s="23" t="n"/>
      <c r="AB356" s="25" t="n"/>
      <c r="AC356" s="23" t="n"/>
      <c r="AD356" s="25" t="n"/>
      <c r="AE356" s="23" t="n"/>
      <c r="AF356" s="25" t="n"/>
      <c r="AG356" s="25" t="n"/>
      <c r="AH356" s="23" t="n"/>
      <c r="AI356" s="23" t="n"/>
      <c r="AJ356" s="26">
        <f>IF(I356="","",I356&amp;"|"&amp;R356)</f>
        <v/>
      </c>
      <c r="AK356" s="26">
        <f>IF(I356="","",IF(ISNA(MATCH(O356,Kampanyalar!$A$2:$A$150,0)),"Hayır - Kampanyalar'da Yok","Evet"))</f>
        <v/>
      </c>
      <c r="AL356" s="27">
        <f>IF(I356="","",IFERROR(INDEX(Kampanyalar!$E$2:$E$150,MATCH(O356,Kampanyalar!$A$2:$A$150,0)),""))</f>
        <v/>
      </c>
      <c r="AM356" s="27">
        <f>IF(I356="","",IFERROR(INDEX(Kampanyalar!$F$2:$F$150,MATCH(O356,Kampanyalar!$A$2:$A$150,0)),""))</f>
        <v/>
      </c>
      <c r="AN356" s="27">
        <f>IF(I356="","",IFERROR(INDEX(Kampanyalar!$G$2:$G$150,MATCH(O356,Kampanyalar!$A$2:$A$150,0)),""))</f>
        <v/>
      </c>
      <c r="AO356" s="26">
        <f>IF(OR(I356="",AL356="",AM356=""),"",IF(AND(H356&gt;=AL356,H356&lt;=AM356),"Evet","HAYIR - Tarih Dışı"))</f>
        <v/>
      </c>
      <c r="AP356" s="28">
        <f>IF(I356="","",IFERROR(INDEX(Kampanyalar!$H$2:$H$150,MATCH(O356,Kampanyalar!$A$2:$A$150,0)),""))</f>
        <v/>
      </c>
      <c r="AQ356" s="28">
        <f>IF(I356="","",IF(ISNUMBER(AP356),AP356,AD356))</f>
        <v/>
      </c>
      <c r="AR356" s="26">
        <f>IF(I356="","",IF(Parametreler!$C$7="Evet","Kural A - Hemen Ödeme (Stok Mutabakatlı)","Kural B - Nakliye/Montaj Sonrası Ödeme"))</f>
        <v/>
      </c>
    </row>
    <row r="357">
      <c r="A357" s="23" t="n"/>
      <c r="B357" s="23" t="n"/>
      <c r="C357" s="23" t="n"/>
      <c r="D357" s="23" t="n"/>
      <c r="E357" s="23" t="n"/>
      <c r="F357" s="23" t="n"/>
      <c r="G357" s="23" t="n"/>
      <c r="H357" s="24" t="n"/>
      <c r="I357" s="23" t="n"/>
      <c r="J357" s="23" t="n"/>
      <c r="K357" s="23" t="n"/>
      <c r="L357" s="23" t="n"/>
      <c r="M357" s="23" t="n"/>
      <c r="N357" s="23" t="n"/>
      <c r="O357" s="23" t="n"/>
      <c r="P357" s="23" t="n"/>
      <c r="Q357" s="23" t="n"/>
      <c r="R357" s="23" t="n"/>
      <c r="S357" s="23" t="n"/>
      <c r="T357" s="23" t="n"/>
      <c r="U357" s="23" t="n"/>
      <c r="V357" s="23" t="n"/>
      <c r="W357" s="23" t="n"/>
      <c r="X357" s="23" t="n"/>
      <c r="Y357" s="25" t="n"/>
      <c r="Z357" s="25" t="n"/>
      <c r="AA357" s="23" t="n"/>
      <c r="AB357" s="25" t="n"/>
      <c r="AC357" s="23" t="n"/>
      <c r="AD357" s="25" t="n"/>
      <c r="AE357" s="23" t="n"/>
      <c r="AF357" s="25" t="n"/>
      <c r="AG357" s="25" t="n"/>
      <c r="AH357" s="23" t="n"/>
      <c r="AI357" s="23" t="n"/>
      <c r="AJ357" s="26">
        <f>IF(I357="","",I357&amp;"|"&amp;R357)</f>
        <v/>
      </c>
      <c r="AK357" s="26">
        <f>IF(I357="","",IF(ISNA(MATCH(O357,Kampanyalar!$A$2:$A$150,0)),"Hayır - Kampanyalar'da Yok","Evet"))</f>
        <v/>
      </c>
      <c r="AL357" s="27">
        <f>IF(I357="","",IFERROR(INDEX(Kampanyalar!$E$2:$E$150,MATCH(O357,Kampanyalar!$A$2:$A$150,0)),""))</f>
        <v/>
      </c>
      <c r="AM357" s="27">
        <f>IF(I357="","",IFERROR(INDEX(Kampanyalar!$F$2:$F$150,MATCH(O357,Kampanyalar!$A$2:$A$150,0)),""))</f>
        <v/>
      </c>
      <c r="AN357" s="27">
        <f>IF(I357="","",IFERROR(INDEX(Kampanyalar!$G$2:$G$150,MATCH(O357,Kampanyalar!$A$2:$A$150,0)),""))</f>
        <v/>
      </c>
      <c r="AO357" s="26">
        <f>IF(OR(I357="",AL357="",AM357=""),"",IF(AND(H357&gt;=AL357,H357&lt;=AM357),"Evet","HAYIR - Tarih Dışı"))</f>
        <v/>
      </c>
      <c r="AP357" s="28">
        <f>IF(I357="","",IFERROR(INDEX(Kampanyalar!$H$2:$H$150,MATCH(O357,Kampanyalar!$A$2:$A$150,0)),""))</f>
        <v/>
      </c>
      <c r="AQ357" s="28">
        <f>IF(I357="","",IF(ISNUMBER(AP357),AP357,AD357))</f>
        <v/>
      </c>
      <c r="AR357" s="26">
        <f>IF(I357="","",IF(Parametreler!$C$7="Evet","Kural A - Hemen Ödeme (Stok Mutabakatlı)","Kural B - Nakliye/Montaj Sonrası Ödeme"))</f>
        <v/>
      </c>
    </row>
    <row r="358">
      <c r="A358" s="23" t="n"/>
      <c r="B358" s="23" t="n"/>
      <c r="C358" s="23" t="n"/>
      <c r="D358" s="23" t="n"/>
      <c r="E358" s="23" t="n"/>
      <c r="F358" s="23" t="n"/>
      <c r="G358" s="23" t="n"/>
      <c r="H358" s="24" t="n"/>
      <c r="I358" s="23" t="n"/>
      <c r="J358" s="23" t="n"/>
      <c r="K358" s="23" t="n"/>
      <c r="L358" s="23" t="n"/>
      <c r="M358" s="23" t="n"/>
      <c r="N358" s="23" t="n"/>
      <c r="O358" s="23" t="n"/>
      <c r="P358" s="23" t="n"/>
      <c r="Q358" s="23" t="n"/>
      <c r="R358" s="23" t="n"/>
      <c r="S358" s="23" t="n"/>
      <c r="T358" s="23" t="n"/>
      <c r="U358" s="23" t="n"/>
      <c r="V358" s="23" t="n"/>
      <c r="W358" s="23" t="n"/>
      <c r="X358" s="23" t="n"/>
      <c r="Y358" s="25" t="n"/>
      <c r="Z358" s="25" t="n"/>
      <c r="AA358" s="23" t="n"/>
      <c r="AB358" s="25" t="n"/>
      <c r="AC358" s="23" t="n"/>
      <c r="AD358" s="25" t="n"/>
      <c r="AE358" s="23" t="n"/>
      <c r="AF358" s="25" t="n"/>
      <c r="AG358" s="25" t="n"/>
      <c r="AH358" s="23" t="n"/>
      <c r="AI358" s="23" t="n"/>
      <c r="AJ358" s="26">
        <f>IF(I358="","",I358&amp;"|"&amp;R358)</f>
        <v/>
      </c>
      <c r="AK358" s="26">
        <f>IF(I358="","",IF(ISNA(MATCH(O358,Kampanyalar!$A$2:$A$150,0)),"Hayır - Kampanyalar'da Yok","Evet"))</f>
        <v/>
      </c>
      <c r="AL358" s="27">
        <f>IF(I358="","",IFERROR(INDEX(Kampanyalar!$E$2:$E$150,MATCH(O358,Kampanyalar!$A$2:$A$150,0)),""))</f>
        <v/>
      </c>
      <c r="AM358" s="27">
        <f>IF(I358="","",IFERROR(INDEX(Kampanyalar!$F$2:$F$150,MATCH(O358,Kampanyalar!$A$2:$A$150,0)),""))</f>
        <v/>
      </c>
      <c r="AN358" s="27">
        <f>IF(I358="","",IFERROR(INDEX(Kampanyalar!$G$2:$G$150,MATCH(O358,Kampanyalar!$A$2:$A$150,0)),""))</f>
        <v/>
      </c>
      <c r="AO358" s="26">
        <f>IF(OR(I358="",AL358="",AM358=""),"",IF(AND(H358&gt;=AL358,H358&lt;=AM358),"Evet","HAYIR - Tarih Dışı"))</f>
        <v/>
      </c>
      <c r="AP358" s="28">
        <f>IF(I358="","",IFERROR(INDEX(Kampanyalar!$H$2:$H$150,MATCH(O358,Kampanyalar!$A$2:$A$150,0)),""))</f>
        <v/>
      </c>
      <c r="AQ358" s="28">
        <f>IF(I358="","",IF(ISNUMBER(AP358),AP358,AD358))</f>
        <v/>
      </c>
      <c r="AR358" s="26">
        <f>IF(I358="","",IF(Parametreler!$C$7="Evet","Kural A - Hemen Ödeme (Stok Mutabakatlı)","Kural B - Nakliye/Montaj Sonrası Ödeme"))</f>
        <v/>
      </c>
    </row>
    <row r="359">
      <c r="A359" s="23" t="n"/>
      <c r="B359" s="23" t="n"/>
      <c r="C359" s="23" t="n"/>
      <c r="D359" s="23" t="n"/>
      <c r="E359" s="23" t="n"/>
      <c r="F359" s="23" t="n"/>
      <c r="G359" s="23" t="n"/>
      <c r="H359" s="24" t="n"/>
      <c r="I359" s="23" t="n"/>
      <c r="J359" s="23" t="n"/>
      <c r="K359" s="23" t="n"/>
      <c r="L359" s="23" t="n"/>
      <c r="M359" s="23" t="n"/>
      <c r="N359" s="23" t="n"/>
      <c r="O359" s="23" t="n"/>
      <c r="P359" s="23" t="n"/>
      <c r="Q359" s="23" t="n"/>
      <c r="R359" s="23" t="n"/>
      <c r="S359" s="23" t="n"/>
      <c r="T359" s="23" t="n"/>
      <c r="U359" s="23" t="n"/>
      <c r="V359" s="23" t="n"/>
      <c r="W359" s="23" t="n"/>
      <c r="X359" s="23" t="n"/>
      <c r="Y359" s="25" t="n"/>
      <c r="Z359" s="25" t="n"/>
      <c r="AA359" s="23" t="n"/>
      <c r="AB359" s="25" t="n"/>
      <c r="AC359" s="23" t="n"/>
      <c r="AD359" s="25" t="n"/>
      <c r="AE359" s="23" t="n"/>
      <c r="AF359" s="25" t="n"/>
      <c r="AG359" s="25" t="n"/>
      <c r="AH359" s="23" t="n"/>
      <c r="AI359" s="23" t="n"/>
      <c r="AJ359" s="26">
        <f>IF(I359="","",I359&amp;"|"&amp;R359)</f>
        <v/>
      </c>
      <c r="AK359" s="26">
        <f>IF(I359="","",IF(ISNA(MATCH(O359,Kampanyalar!$A$2:$A$150,0)),"Hayır - Kampanyalar'da Yok","Evet"))</f>
        <v/>
      </c>
      <c r="AL359" s="27">
        <f>IF(I359="","",IFERROR(INDEX(Kampanyalar!$E$2:$E$150,MATCH(O359,Kampanyalar!$A$2:$A$150,0)),""))</f>
        <v/>
      </c>
      <c r="AM359" s="27">
        <f>IF(I359="","",IFERROR(INDEX(Kampanyalar!$F$2:$F$150,MATCH(O359,Kampanyalar!$A$2:$A$150,0)),""))</f>
        <v/>
      </c>
      <c r="AN359" s="27">
        <f>IF(I359="","",IFERROR(INDEX(Kampanyalar!$G$2:$G$150,MATCH(O359,Kampanyalar!$A$2:$A$150,0)),""))</f>
        <v/>
      </c>
      <c r="AO359" s="26">
        <f>IF(OR(I359="",AL359="",AM359=""),"",IF(AND(H359&gt;=AL359,H359&lt;=AM359),"Evet","HAYIR - Tarih Dışı"))</f>
        <v/>
      </c>
      <c r="AP359" s="28">
        <f>IF(I359="","",IFERROR(INDEX(Kampanyalar!$H$2:$H$150,MATCH(O359,Kampanyalar!$A$2:$A$150,0)),""))</f>
        <v/>
      </c>
      <c r="AQ359" s="28">
        <f>IF(I359="","",IF(ISNUMBER(AP359),AP359,AD359))</f>
        <v/>
      </c>
      <c r="AR359" s="26">
        <f>IF(I359="","",IF(Parametreler!$C$7="Evet","Kural A - Hemen Ödeme (Stok Mutabakatlı)","Kural B - Nakliye/Montaj Sonrası Ödeme"))</f>
        <v/>
      </c>
    </row>
    <row r="360">
      <c r="A360" s="23" t="n"/>
      <c r="B360" s="23" t="n"/>
      <c r="C360" s="23" t="n"/>
      <c r="D360" s="23" t="n"/>
      <c r="E360" s="23" t="n"/>
      <c r="F360" s="23" t="n"/>
      <c r="G360" s="23" t="n"/>
      <c r="H360" s="24" t="n"/>
      <c r="I360" s="23" t="n"/>
      <c r="J360" s="23" t="n"/>
      <c r="K360" s="23" t="n"/>
      <c r="L360" s="23" t="n"/>
      <c r="M360" s="23" t="n"/>
      <c r="N360" s="23" t="n"/>
      <c r="O360" s="23" t="n"/>
      <c r="P360" s="23" t="n"/>
      <c r="Q360" s="23" t="n"/>
      <c r="R360" s="23" t="n"/>
      <c r="S360" s="23" t="n"/>
      <c r="T360" s="23" t="n"/>
      <c r="U360" s="23" t="n"/>
      <c r="V360" s="23" t="n"/>
      <c r="W360" s="23" t="n"/>
      <c r="X360" s="23" t="n"/>
      <c r="Y360" s="25" t="n"/>
      <c r="Z360" s="25" t="n"/>
      <c r="AA360" s="23" t="n"/>
      <c r="AB360" s="25" t="n"/>
      <c r="AC360" s="23" t="n"/>
      <c r="AD360" s="25" t="n"/>
      <c r="AE360" s="23" t="n"/>
      <c r="AF360" s="25" t="n"/>
      <c r="AG360" s="25" t="n"/>
      <c r="AH360" s="23" t="n"/>
      <c r="AI360" s="23" t="n"/>
      <c r="AJ360" s="26">
        <f>IF(I360="","",I360&amp;"|"&amp;R360)</f>
        <v/>
      </c>
      <c r="AK360" s="26">
        <f>IF(I360="","",IF(ISNA(MATCH(O360,Kampanyalar!$A$2:$A$150,0)),"Hayır - Kampanyalar'da Yok","Evet"))</f>
        <v/>
      </c>
      <c r="AL360" s="27">
        <f>IF(I360="","",IFERROR(INDEX(Kampanyalar!$E$2:$E$150,MATCH(O360,Kampanyalar!$A$2:$A$150,0)),""))</f>
        <v/>
      </c>
      <c r="AM360" s="27">
        <f>IF(I360="","",IFERROR(INDEX(Kampanyalar!$F$2:$F$150,MATCH(O360,Kampanyalar!$A$2:$A$150,0)),""))</f>
        <v/>
      </c>
      <c r="AN360" s="27">
        <f>IF(I360="","",IFERROR(INDEX(Kampanyalar!$G$2:$G$150,MATCH(O360,Kampanyalar!$A$2:$A$150,0)),""))</f>
        <v/>
      </c>
      <c r="AO360" s="26">
        <f>IF(OR(I360="",AL360="",AM360=""),"",IF(AND(H360&gt;=AL360,H360&lt;=AM360),"Evet","HAYIR - Tarih Dışı"))</f>
        <v/>
      </c>
      <c r="AP360" s="28">
        <f>IF(I360="","",IFERROR(INDEX(Kampanyalar!$H$2:$H$150,MATCH(O360,Kampanyalar!$A$2:$A$150,0)),""))</f>
        <v/>
      </c>
      <c r="AQ360" s="28">
        <f>IF(I360="","",IF(ISNUMBER(AP360),AP360,AD360))</f>
        <v/>
      </c>
      <c r="AR360" s="26">
        <f>IF(I360="","",IF(Parametreler!$C$7="Evet","Kural A - Hemen Ödeme (Stok Mutabakatlı)","Kural B - Nakliye/Montaj Sonrası Ödeme"))</f>
        <v/>
      </c>
    </row>
    <row r="361">
      <c r="A361" s="23" t="n"/>
      <c r="B361" s="23" t="n"/>
      <c r="C361" s="23" t="n"/>
      <c r="D361" s="23" t="n"/>
      <c r="E361" s="23" t="n"/>
      <c r="F361" s="23" t="n"/>
      <c r="G361" s="23" t="n"/>
      <c r="H361" s="24" t="n"/>
      <c r="I361" s="23" t="n"/>
      <c r="J361" s="23" t="n"/>
      <c r="K361" s="23" t="n"/>
      <c r="L361" s="23" t="n"/>
      <c r="M361" s="23" t="n"/>
      <c r="N361" s="23" t="n"/>
      <c r="O361" s="23" t="n"/>
      <c r="P361" s="23" t="n"/>
      <c r="Q361" s="23" t="n"/>
      <c r="R361" s="23" t="n"/>
      <c r="S361" s="23" t="n"/>
      <c r="T361" s="23" t="n"/>
      <c r="U361" s="23" t="n"/>
      <c r="V361" s="23" t="n"/>
      <c r="W361" s="23" t="n"/>
      <c r="X361" s="23" t="n"/>
      <c r="Y361" s="25" t="n"/>
      <c r="Z361" s="25" t="n"/>
      <c r="AA361" s="23" t="n"/>
      <c r="AB361" s="25" t="n"/>
      <c r="AC361" s="23" t="n"/>
      <c r="AD361" s="25" t="n"/>
      <c r="AE361" s="23" t="n"/>
      <c r="AF361" s="25" t="n"/>
      <c r="AG361" s="25" t="n"/>
      <c r="AH361" s="23" t="n"/>
      <c r="AI361" s="23" t="n"/>
      <c r="AJ361" s="26">
        <f>IF(I361="","",I361&amp;"|"&amp;R361)</f>
        <v/>
      </c>
      <c r="AK361" s="26">
        <f>IF(I361="","",IF(ISNA(MATCH(O361,Kampanyalar!$A$2:$A$150,0)),"Hayır - Kampanyalar'da Yok","Evet"))</f>
        <v/>
      </c>
      <c r="AL361" s="27">
        <f>IF(I361="","",IFERROR(INDEX(Kampanyalar!$E$2:$E$150,MATCH(O361,Kampanyalar!$A$2:$A$150,0)),""))</f>
        <v/>
      </c>
      <c r="AM361" s="27">
        <f>IF(I361="","",IFERROR(INDEX(Kampanyalar!$F$2:$F$150,MATCH(O361,Kampanyalar!$A$2:$A$150,0)),""))</f>
        <v/>
      </c>
      <c r="AN361" s="27">
        <f>IF(I361="","",IFERROR(INDEX(Kampanyalar!$G$2:$G$150,MATCH(O361,Kampanyalar!$A$2:$A$150,0)),""))</f>
        <v/>
      </c>
      <c r="AO361" s="26">
        <f>IF(OR(I361="",AL361="",AM361=""),"",IF(AND(H361&gt;=AL361,H361&lt;=AM361),"Evet","HAYIR - Tarih Dışı"))</f>
        <v/>
      </c>
      <c r="AP361" s="28">
        <f>IF(I361="","",IFERROR(INDEX(Kampanyalar!$H$2:$H$150,MATCH(O361,Kampanyalar!$A$2:$A$150,0)),""))</f>
        <v/>
      </c>
      <c r="AQ361" s="28">
        <f>IF(I361="","",IF(ISNUMBER(AP361),AP361,AD361))</f>
        <v/>
      </c>
      <c r="AR361" s="26">
        <f>IF(I361="","",IF(Parametreler!$C$7="Evet","Kural A - Hemen Ödeme (Stok Mutabakatlı)","Kural B - Nakliye/Montaj Sonrası Ödeme"))</f>
        <v/>
      </c>
    </row>
    <row r="362">
      <c r="A362" s="23" t="n"/>
      <c r="B362" s="23" t="n"/>
      <c r="C362" s="23" t="n"/>
      <c r="D362" s="23" t="n"/>
      <c r="E362" s="23" t="n"/>
      <c r="F362" s="23" t="n"/>
      <c r="G362" s="23" t="n"/>
      <c r="H362" s="24" t="n"/>
      <c r="I362" s="23" t="n"/>
      <c r="J362" s="23" t="n"/>
      <c r="K362" s="23" t="n"/>
      <c r="L362" s="23" t="n"/>
      <c r="M362" s="23" t="n"/>
      <c r="N362" s="23" t="n"/>
      <c r="O362" s="23" t="n"/>
      <c r="P362" s="23" t="n"/>
      <c r="Q362" s="23" t="n"/>
      <c r="R362" s="23" t="n"/>
      <c r="S362" s="23" t="n"/>
      <c r="T362" s="23" t="n"/>
      <c r="U362" s="23" t="n"/>
      <c r="V362" s="23" t="n"/>
      <c r="W362" s="23" t="n"/>
      <c r="X362" s="23" t="n"/>
      <c r="Y362" s="25" t="n"/>
      <c r="Z362" s="25" t="n"/>
      <c r="AA362" s="23" t="n"/>
      <c r="AB362" s="25" t="n"/>
      <c r="AC362" s="23" t="n"/>
      <c r="AD362" s="25" t="n"/>
      <c r="AE362" s="23" t="n"/>
      <c r="AF362" s="25" t="n"/>
      <c r="AG362" s="25" t="n"/>
      <c r="AH362" s="23" t="n"/>
      <c r="AI362" s="23" t="n"/>
      <c r="AJ362" s="26">
        <f>IF(I362="","",I362&amp;"|"&amp;R362)</f>
        <v/>
      </c>
      <c r="AK362" s="26">
        <f>IF(I362="","",IF(ISNA(MATCH(O362,Kampanyalar!$A$2:$A$150,0)),"Hayır - Kampanyalar'da Yok","Evet"))</f>
        <v/>
      </c>
      <c r="AL362" s="27">
        <f>IF(I362="","",IFERROR(INDEX(Kampanyalar!$E$2:$E$150,MATCH(O362,Kampanyalar!$A$2:$A$150,0)),""))</f>
        <v/>
      </c>
      <c r="AM362" s="27">
        <f>IF(I362="","",IFERROR(INDEX(Kampanyalar!$F$2:$F$150,MATCH(O362,Kampanyalar!$A$2:$A$150,0)),""))</f>
        <v/>
      </c>
      <c r="AN362" s="27">
        <f>IF(I362="","",IFERROR(INDEX(Kampanyalar!$G$2:$G$150,MATCH(O362,Kampanyalar!$A$2:$A$150,0)),""))</f>
        <v/>
      </c>
      <c r="AO362" s="26">
        <f>IF(OR(I362="",AL362="",AM362=""),"",IF(AND(H362&gt;=AL362,H362&lt;=AM362),"Evet","HAYIR - Tarih Dışı"))</f>
        <v/>
      </c>
      <c r="AP362" s="28">
        <f>IF(I362="","",IFERROR(INDEX(Kampanyalar!$H$2:$H$150,MATCH(O362,Kampanyalar!$A$2:$A$150,0)),""))</f>
        <v/>
      </c>
      <c r="AQ362" s="28">
        <f>IF(I362="","",IF(ISNUMBER(AP362),AP362,AD362))</f>
        <v/>
      </c>
      <c r="AR362" s="26">
        <f>IF(I362="","",IF(Parametreler!$C$7="Evet","Kural A - Hemen Ödeme (Stok Mutabakatlı)","Kural B - Nakliye/Montaj Sonrası Ödeme"))</f>
        <v/>
      </c>
    </row>
    <row r="363">
      <c r="A363" s="23" t="n"/>
      <c r="B363" s="23" t="n"/>
      <c r="C363" s="23" t="n"/>
      <c r="D363" s="23" t="n"/>
      <c r="E363" s="23" t="n"/>
      <c r="F363" s="23" t="n"/>
      <c r="G363" s="23" t="n"/>
      <c r="H363" s="24" t="n"/>
      <c r="I363" s="23" t="n"/>
      <c r="J363" s="23" t="n"/>
      <c r="K363" s="23" t="n"/>
      <c r="L363" s="23" t="n"/>
      <c r="M363" s="23" t="n"/>
      <c r="N363" s="23" t="n"/>
      <c r="O363" s="23" t="n"/>
      <c r="P363" s="23" t="n"/>
      <c r="Q363" s="23" t="n"/>
      <c r="R363" s="23" t="n"/>
      <c r="S363" s="23" t="n"/>
      <c r="T363" s="23" t="n"/>
      <c r="U363" s="23" t="n"/>
      <c r="V363" s="23" t="n"/>
      <c r="W363" s="23" t="n"/>
      <c r="X363" s="23" t="n"/>
      <c r="Y363" s="25" t="n"/>
      <c r="Z363" s="25" t="n"/>
      <c r="AA363" s="23" t="n"/>
      <c r="AB363" s="25" t="n"/>
      <c r="AC363" s="23" t="n"/>
      <c r="AD363" s="25" t="n"/>
      <c r="AE363" s="23" t="n"/>
      <c r="AF363" s="25" t="n"/>
      <c r="AG363" s="25" t="n"/>
      <c r="AH363" s="23" t="n"/>
      <c r="AI363" s="23" t="n"/>
      <c r="AJ363" s="26">
        <f>IF(I363="","",I363&amp;"|"&amp;R363)</f>
        <v/>
      </c>
      <c r="AK363" s="26">
        <f>IF(I363="","",IF(ISNA(MATCH(O363,Kampanyalar!$A$2:$A$150,0)),"Hayır - Kampanyalar'da Yok","Evet"))</f>
        <v/>
      </c>
      <c r="AL363" s="27">
        <f>IF(I363="","",IFERROR(INDEX(Kampanyalar!$E$2:$E$150,MATCH(O363,Kampanyalar!$A$2:$A$150,0)),""))</f>
        <v/>
      </c>
      <c r="AM363" s="27">
        <f>IF(I363="","",IFERROR(INDEX(Kampanyalar!$F$2:$F$150,MATCH(O363,Kampanyalar!$A$2:$A$150,0)),""))</f>
        <v/>
      </c>
      <c r="AN363" s="27">
        <f>IF(I363="","",IFERROR(INDEX(Kampanyalar!$G$2:$G$150,MATCH(O363,Kampanyalar!$A$2:$A$150,0)),""))</f>
        <v/>
      </c>
      <c r="AO363" s="26">
        <f>IF(OR(I363="",AL363="",AM363=""),"",IF(AND(H363&gt;=AL363,H363&lt;=AM363),"Evet","HAYIR - Tarih Dışı"))</f>
        <v/>
      </c>
      <c r="AP363" s="28">
        <f>IF(I363="","",IFERROR(INDEX(Kampanyalar!$H$2:$H$150,MATCH(O363,Kampanyalar!$A$2:$A$150,0)),""))</f>
        <v/>
      </c>
      <c r="AQ363" s="28">
        <f>IF(I363="","",IF(ISNUMBER(AP363),AP363,AD363))</f>
        <v/>
      </c>
      <c r="AR363" s="26">
        <f>IF(I363="","",IF(Parametreler!$C$7="Evet","Kural A - Hemen Ödeme (Stok Mutabakatlı)","Kural B - Nakliye/Montaj Sonrası Ödeme"))</f>
        <v/>
      </c>
    </row>
    <row r="364">
      <c r="A364" s="23" t="n"/>
      <c r="B364" s="23" t="n"/>
      <c r="C364" s="23" t="n"/>
      <c r="D364" s="23" t="n"/>
      <c r="E364" s="23" t="n"/>
      <c r="F364" s="23" t="n"/>
      <c r="G364" s="23" t="n"/>
      <c r="H364" s="24" t="n"/>
      <c r="I364" s="23" t="n"/>
      <c r="J364" s="23" t="n"/>
      <c r="K364" s="23" t="n"/>
      <c r="L364" s="23" t="n"/>
      <c r="M364" s="23" t="n"/>
      <c r="N364" s="23" t="n"/>
      <c r="O364" s="23" t="n"/>
      <c r="P364" s="23" t="n"/>
      <c r="Q364" s="23" t="n"/>
      <c r="R364" s="23" t="n"/>
      <c r="S364" s="23" t="n"/>
      <c r="T364" s="23" t="n"/>
      <c r="U364" s="23" t="n"/>
      <c r="V364" s="23" t="n"/>
      <c r="W364" s="23" t="n"/>
      <c r="X364" s="23" t="n"/>
      <c r="Y364" s="25" t="n"/>
      <c r="Z364" s="25" t="n"/>
      <c r="AA364" s="23" t="n"/>
      <c r="AB364" s="25" t="n"/>
      <c r="AC364" s="23" t="n"/>
      <c r="AD364" s="25" t="n"/>
      <c r="AE364" s="23" t="n"/>
      <c r="AF364" s="25" t="n"/>
      <c r="AG364" s="25" t="n"/>
      <c r="AH364" s="23" t="n"/>
      <c r="AI364" s="23" t="n"/>
      <c r="AJ364" s="26">
        <f>IF(I364="","",I364&amp;"|"&amp;R364)</f>
        <v/>
      </c>
      <c r="AK364" s="26">
        <f>IF(I364="","",IF(ISNA(MATCH(O364,Kampanyalar!$A$2:$A$150,0)),"Hayır - Kampanyalar'da Yok","Evet"))</f>
        <v/>
      </c>
      <c r="AL364" s="27">
        <f>IF(I364="","",IFERROR(INDEX(Kampanyalar!$E$2:$E$150,MATCH(O364,Kampanyalar!$A$2:$A$150,0)),""))</f>
        <v/>
      </c>
      <c r="AM364" s="27">
        <f>IF(I364="","",IFERROR(INDEX(Kampanyalar!$F$2:$F$150,MATCH(O364,Kampanyalar!$A$2:$A$150,0)),""))</f>
        <v/>
      </c>
      <c r="AN364" s="27">
        <f>IF(I364="","",IFERROR(INDEX(Kampanyalar!$G$2:$G$150,MATCH(O364,Kampanyalar!$A$2:$A$150,0)),""))</f>
        <v/>
      </c>
      <c r="AO364" s="26">
        <f>IF(OR(I364="",AL364="",AM364=""),"",IF(AND(H364&gt;=AL364,H364&lt;=AM364),"Evet","HAYIR - Tarih Dışı"))</f>
        <v/>
      </c>
      <c r="AP364" s="28">
        <f>IF(I364="","",IFERROR(INDEX(Kampanyalar!$H$2:$H$150,MATCH(O364,Kampanyalar!$A$2:$A$150,0)),""))</f>
        <v/>
      </c>
      <c r="AQ364" s="28">
        <f>IF(I364="","",IF(ISNUMBER(AP364),AP364,AD364))</f>
        <v/>
      </c>
      <c r="AR364" s="26">
        <f>IF(I364="","",IF(Parametreler!$C$7="Evet","Kural A - Hemen Ödeme (Stok Mutabakatlı)","Kural B - Nakliye/Montaj Sonrası Ödeme"))</f>
        <v/>
      </c>
    </row>
    <row r="365">
      <c r="A365" s="23" t="n"/>
      <c r="B365" s="23" t="n"/>
      <c r="C365" s="23" t="n"/>
      <c r="D365" s="23" t="n"/>
      <c r="E365" s="23" t="n"/>
      <c r="F365" s="23" t="n"/>
      <c r="G365" s="23" t="n"/>
      <c r="H365" s="24" t="n"/>
      <c r="I365" s="23" t="n"/>
      <c r="J365" s="23" t="n"/>
      <c r="K365" s="23" t="n"/>
      <c r="L365" s="23" t="n"/>
      <c r="M365" s="23" t="n"/>
      <c r="N365" s="23" t="n"/>
      <c r="O365" s="23" t="n"/>
      <c r="P365" s="23" t="n"/>
      <c r="Q365" s="23" t="n"/>
      <c r="R365" s="23" t="n"/>
      <c r="S365" s="23" t="n"/>
      <c r="T365" s="23" t="n"/>
      <c r="U365" s="23" t="n"/>
      <c r="V365" s="23" t="n"/>
      <c r="W365" s="23" t="n"/>
      <c r="X365" s="23" t="n"/>
      <c r="Y365" s="25" t="n"/>
      <c r="Z365" s="25" t="n"/>
      <c r="AA365" s="23" t="n"/>
      <c r="AB365" s="25" t="n"/>
      <c r="AC365" s="23" t="n"/>
      <c r="AD365" s="25" t="n"/>
      <c r="AE365" s="23" t="n"/>
      <c r="AF365" s="25" t="n"/>
      <c r="AG365" s="25" t="n"/>
      <c r="AH365" s="23" t="n"/>
      <c r="AI365" s="23" t="n"/>
      <c r="AJ365" s="26">
        <f>IF(I365="","",I365&amp;"|"&amp;R365)</f>
        <v/>
      </c>
      <c r="AK365" s="26">
        <f>IF(I365="","",IF(ISNA(MATCH(O365,Kampanyalar!$A$2:$A$150,0)),"Hayır - Kampanyalar'da Yok","Evet"))</f>
        <v/>
      </c>
      <c r="AL365" s="27">
        <f>IF(I365="","",IFERROR(INDEX(Kampanyalar!$E$2:$E$150,MATCH(O365,Kampanyalar!$A$2:$A$150,0)),""))</f>
        <v/>
      </c>
      <c r="AM365" s="27">
        <f>IF(I365="","",IFERROR(INDEX(Kampanyalar!$F$2:$F$150,MATCH(O365,Kampanyalar!$A$2:$A$150,0)),""))</f>
        <v/>
      </c>
      <c r="AN365" s="27">
        <f>IF(I365="","",IFERROR(INDEX(Kampanyalar!$G$2:$G$150,MATCH(O365,Kampanyalar!$A$2:$A$150,0)),""))</f>
        <v/>
      </c>
      <c r="AO365" s="26">
        <f>IF(OR(I365="",AL365="",AM365=""),"",IF(AND(H365&gt;=AL365,H365&lt;=AM365),"Evet","HAYIR - Tarih Dışı"))</f>
        <v/>
      </c>
      <c r="AP365" s="28">
        <f>IF(I365="","",IFERROR(INDEX(Kampanyalar!$H$2:$H$150,MATCH(O365,Kampanyalar!$A$2:$A$150,0)),""))</f>
        <v/>
      </c>
      <c r="AQ365" s="28">
        <f>IF(I365="","",IF(ISNUMBER(AP365),AP365,AD365))</f>
        <v/>
      </c>
      <c r="AR365" s="26">
        <f>IF(I365="","",IF(Parametreler!$C$7="Evet","Kural A - Hemen Ödeme (Stok Mutabakatlı)","Kural B - Nakliye/Montaj Sonrası Ödeme"))</f>
        <v/>
      </c>
    </row>
    <row r="366">
      <c r="A366" s="23" t="n"/>
      <c r="B366" s="23" t="n"/>
      <c r="C366" s="23" t="n"/>
      <c r="D366" s="23" t="n"/>
      <c r="E366" s="23" t="n"/>
      <c r="F366" s="23" t="n"/>
      <c r="G366" s="23" t="n"/>
      <c r="H366" s="24" t="n"/>
      <c r="I366" s="23" t="n"/>
      <c r="J366" s="23" t="n"/>
      <c r="K366" s="23" t="n"/>
      <c r="L366" s="23" t="n"/>
      <c r="M366" s="23" t="n"/>
      <c r="N366" s="23" t="n"/>
      <c r="O366" s="23" t="n"/>
      <c r="P366" s="23" t="n"/>
      <c r="Q366" s="23" t="n"/>
      <c r="R366" s="23" t="n"/>
      <c r="S366" s="23" t="n"/>
      <c r="T366" s="23" t="n"/>
      <c r="U366" s="23" t="n"/>
      <c r="V366" s="23" t="n"/>
      <c r="W366" s="23" t="n"/>
      <c r="X366" s="23" t="n"/>
      <c r="Y366" s="25" t="n"/>
      <c r="Z366" s="25" t="n"/>
      <c r="AA366" s="23" t="n"/>
      <c r="AB366" s="25" t="n"/>
      <c r="AC366" s="23" t="n"/>
      <c r="AD366" s="25" t="n"/>
      <c r="AE366" s="23" t="n"/>
      <c r="AF366" s="25" t="n"/>
      <c r="AG366" s="25" t="n"/>
      <c r="AH366" s="23" t="n"/>
      <c r="AI366" s="23" t="n"/>
      <c r="AJ366" s="26">
        <f>IF(I366="","",I366&amp;"|"&amp;R366)</f>
        <v/>
      </c>
      <c r="AK366" s="26">
        <f>IF(I366="","",IF(ISNA(MATCH(O366,Kampanyalar!$A$2:$A$150,0)),"Hayır - Kampanyalar'da Yok","Evet"))</f>
        <v/>
      </c>
      <c r="AL366" s="27">
        <f>IF(I366="","",IFERROR(INDEX(Kampanyalar!$E$2:$E$150,MATCH(O366,Kampanyalar!$A$2:$A$150,0)),""))</f>
        <v/>
      </c>
      <c r="AM366" s="27">
        <f>IF(I366="","",IFERROR(INDEX(Kampanyalar!$F$2:$F$150,MATCH(O366,Kampanyalar!$A$2:$A$150,0)),""))</f>
        <v/>
      </c>
      <c r="AN366" s="27">
        <f>IF(I366="","",IFERROR(INDEX(Kampanyalar!$G$2:$G$150,MATCH(O366,Kampanyalar!$A$2:$A$150,0)),""))</f>
        <v/>
      </c>
      <c r="AO366" s="26">
        <f>IF(OR(I366="",AL366="",AM366=""),"",IF(AND(H366&gt;=AL366,H366&lt;=AM366),"Evet","HAYIR - Tarih Dışı"))</f>
        <v/>
      </c>
      <c r="AP366" s="28">
        <f>IF(I366="","",IFERROR(INDEX(Kampanyalar!$H$2:$H$150,MATCH(O366,Kampanyalar!$A$2:$A$150,0)),""))</f>
        <v/>
      </c>
      <c r="AQ366" s="28">
        <f>IF(I366="","",IF(ISNUMBER(AP366),AP366,AD366))</f>
        <v/>
      </c>
      <c r="AR366" s="26">
        <f>IF(I366="","",IF(Parametreler!$C$7="Evet","Kural A - Hemen Ödeme (Stok Mutabakatlı)","Kural B - Nakliye/Montaj Sonrası Ödeme"))</f>
        <v/>
      </c>
    </row>
    <row r="367">
      <c r="A367" s="23" t="n"/>
      <c r="B367" s="23" t="n"/>
      <c r="C367" s="23" t="n"/>
      <c r="D367" s="23" t="n"/>
      <c r="E367" s="23" t="n"/>
      <c r="F367" s="23" t="n"/>
      <c r="G367" s="23" t="n"/>
      <c r="H367" s="24" t="n"/>
      <c r="I367" s="23" t="n"/>
      <c r="J367" s="23" t="n"/>
      <c r="K367" s="23" t="n"/>
      <c r="L367" s="23" t="n"/>
      <c r="M367" s="23" t="n"/>
      <c r="N367" s="23" t="n"/>
      <c r="O367" s="23" t="n"/>
      <c r="P367" s="23" t="n"/>
      <c r="Q367" s="23" t="n"/>
      <c r="R367" s="23" t="n"/>
      <c r="S367" s="23" t="n"/>
      <c r="T367" s="23" t="n"/>
      <c r="U367" s="23" t="n"/>
      <c r="V367" s="23" t="n"/>
      <c r="W367" s="23" t="n"/>
      <c r="X367" s="23" t="n"/>
      <c r="Y367" s="25" t="n"/>
      <c r="Z367" s="25" t="n"/>
      <c r="AA367" s="23" t="n"/>
      <c r="AB367" s="25" t="n"/>
      <c r="AC367" s="23" t="n"/>
      <c r="AD367" s="25" t="n"/>
      <c r="AE367" s="23" t="n"/>
      <c r="AF367" s="25" t="n"/>
      <c r="AG367" s="25" t="n"/>
      <c r="AH367" s="23" t="n"/>
      <c r="AI367" s="23" t="n"/>
      <c r="AJ367" s="26">
        <f>IF(I367="","",I367&amp;"|"&amp;R367)</f>
        <v/>
      </c>
      <c r="AK367" s="26">
        <f>IF(I367="","",IF(ISNA(MATCH(O367,Kampanyalar!$A$2:$A$150,0)),"Hayır - Kampanyalar'da Yok","Evet"))</f>
        <v/>
      </c>
      <c r="AL367" s="27">
        <f>IF(I367="","",IFERROR(INDEX(Kampanyalar!$E$2:$E$150,MATCH(O367,Kampanyalar!$A$2:$A$150,0)),""))</f>
        <v/>
      </c>
      <c r="AM367" s="27">
        <f>IF(I367="","",IFERROR(INDEX(Kampanyalar!$F$2:$F$150,MATCH(O367,Kampanyalar!$A$2:$A$150,0)),""))</f>
        <v/>
      </c>
      <c r="AN367" s="27">
        <f>IF(I367="","",IFERROR(INDEX(Kampanyalar!$G$2:$G$150,MATCH(O367,Kampanyalar!$A$2:$A$150,0)),""))</f>
        <v/>
      </c>
      <c r="AO367" s="26">
        <f>IF(OR(I367="",AL367="",AM367=""),"",IF(AND(H367&gt;=AL367,H367&lt;=AM367),"Evet","HAYIR - Tarih Dışı"))</f>
        <v/>
      </c>
      <c r="AP367" s="28">
        <f>IF(I367="","",IFERROR(INDEX(Kampanyalar!$H$2:$H$150,MATCH(O367,Kampanyalar!$A$2:$A$150,0)),""))</f>
        <v/>
      </c>
      <c r="AQ367" s="28">
        <f>IF(I367="","",IF(ISNUMBER(AP367),AP367,AD367))</f>
        <v/>
      </c>
      <c r="AR367" s="26">
        <f>IF(I367="","",IF(Parametreler!$C$7="Evet","Kural A - Hemen Ödeme (Stok Mutabakatlı)","Kural B - Nakliye/Montaj Sonrası Ödeme"))</f>
        <v/>
      </c>
    </row>
    <row r="368">
      <c r="A368" s="23" t="n"/>
      <c r="B368" s="23" t="n"/>
      <c r="C368" s="23" t="n"/>
      <c r="D368" s="23" t="n"/>
      <c r="E368" s="23" t="n"/>
      <c r="F368" s="23" t="n"/>
      <c r="G368" s="23" t="n"/>
      <c r="H368" s="24" t="n"/>
      <c r="I368" s="23" t="n"/>
      <c r="J368" s="23" t="n"/>
      <c r="K368" s="23" t="n"/>
      <c r="L368" s="23" t="n"/>
      <c r="M368" s="23" t="n"/>
      <c r="N368" s="23" t="n"/>
      <c r="O368" s="23" t="n"/>
      <c r="P368" s="23" t="n"/>
      <c r="Q368" s="23" t="n"/>
      <c r="R368" s="23" t="n"/>
      <c r="S368" s="23" t="n"/>
      <c r="T368" s="23" t="n"/>
      <c r="U368" s="23" t="n"/>
      <c r="V368" s="23" t="n"/>
      <c r="W368" s="23" t="n"/>
      <c r="X368" s="23" t="n"/>
      <c r="Y368" s="25" t="n"/>
      <c r="Z368" s="25" t="n"/>
      <c r="AA368" s="23" t="n"/>
      <c r="AB368" s="25" t="n"/>
      <c r="AC368" s="23" t="n"/>
      <c r="AD368" s="25" t="n"/>
      <c r="AE368" s="23" t="n"/>
      <c r="AF368" s="25" t="n"/>
      <c r="AG368" s="25" t="n"/>
      <c r="AH368" s="23" t="n"/>
      <c r="AI368" s="23" t="n"/>
      <c r="AJ368" s="26">
        <f>IF(I368="","",I368&amp;"|"&amp;R368)</f>
        <v/>
      </c>
      <c r="AK368" s="26">
        <f>IF(I368="","",IF(ISNA(MATCH(O368,Kampanyalar!$A$2:$A$150,0)),"Hayır - Kampanyalar'da Yok","Evet"))</f>
        <v/>
      </c>
      <c r="AL368" s="27">
        <f>IF(I368="","",IFERROR(INDEX(Kampanyalar!$E$2:$E$150,MATCH(O368,Kampanyalar!$A$2:$A$150,0)),""))</f>
        <v/>
      </c>
      <c r="AM368" s="27">
        <f>IF(I368="","",IFERROR(INDEX(Kampanyalar!$F$2:$F$150,MATCH(O368,Kampanyalar!$A$2:$A$150,0)),""))</f>
        <v/>
      </c>
      <c r="AN368" s="27">
        <f>IF(I368="","",IFERROR(INDEX(Kampanyalar!$G$2:$G$150,MATCH(O368,Kampanyalar!$A$2:$A$150,0)),""))</f>
        <v/>
      </c>
      <c r="AO368" s="26">
        <f>IF(OR(I368="",AL368="",AM368=""),"",IF(AND(H368&gt;=AL368,H368&lt;=AM368),"Evet","HAYIR - Tarih Dışı"))</f>
        <v/>
      </c>
      <c r="AP368" s="28">
        <f>IF(I368="","",IFERROR(INDEX(Kampanyalar!$H$2:$H$150,MATCH(O368,Kampanyalar!$A$2:$A$150,0)),""))</f>
        <v/>
      </c>
      <c r="AQ368" s="28">
        <f>IF(I368="","",IF(ISNUMBER(AP368),AP368,AD368))</f>
        <v/>
      </c>
      <c r="AR368" s="26">
        <f>IF(I368="","",IF(Parametreler!$C$7="Evet","Kural A - Hemen Ödeme (Stok Mutabakatlı)","Kural B - Nakliye/Montaj Sonrası Ödeme"))</f>
        <v/>
      </c>
    </row>
    <row r="369">
      <c r="A369" s="23" t="n"/>
      <c r="B369" s="23" t="n"/>
      <c r="C369" s="23" t="n"/>
      <c r="D369" s="23" t="n"/>
      <c r="E369" s="23" t="n"/>
      <c r="F369" s="23" t="n"/>
      <c r="G369" s="23" t="n"/>
      <c r="H369" s="24" t="n"/>
      <c r="I369" s="23" t="n"/>
      <c r="J369" s="23" t="n"/>
      <c r="K369" s="23" t="n"/>
      <c r="L369" s="23" t="n"/>
      <c r="M369" s="23" t="n"/>
      <c r="N369" s="23" t="n"/>
      <c r="O369" s="23" t="n"/>
      <c r="P369" s="23" t="n"/>
      <c r="Q369" s="23" t="n"/>
      <c r="R369" s="23" t="n"/>
      <c r="S369" s="23" t="n"/>
      <c r="T369" s="23" t="n"/>
      <c r="U369" s="23" t="n"/>
      <c r="V369" s="23" t="n"/>
      <c r="W369" s="23" t="n"/>
      <c r="X369" s="23" t="n"/>
      <c r="Y369" s="25" t="n"/>
      <c r="Z369" s="25" t="n"/>
      <c r="AA369" s="23" t="n"/>
      <c r="AB369" s="25" t="n"/>
      <c r="AC369" s="23" t="n"/>
      <c r="AD369" s="25" t="n"/>
      <c r="AE369" s="23" t="n"/>
      <c r="AF369" s="25" t="n"/>
      <c r="AG369" s="25" t="n"/>
      <c r="AH369" s="23" t="n"/>
      <c r="AI369" s="23" t="n"/>
      <c r="AJ369" s="26">
        <f>IF(I369="","",I369&amp;"|"&amp;R369)</f>
        <v/>
      </c>
      <c r="AK369" s="26">
        <f>IF(I369="","",IF(ISNA(MATCH(O369,Kampanyalar!$A$2:$A$150,0)),"Hayır - Kampanyalar'da Yok","Evet"))</f>
        <v/>
      </c>
      <c r="AL369" s="27">
        <f>IF(I369="","",IFERROR(INDEX(Kampanyalar!$E$2:$E$150,MATCH(O369,Kampanyalar!$A$2:$A$150,0)),""))</f>
        <v/>
      </c>
      <c r="AM369" s="27">
        <f>IF(I369="","",IFERROR(INDEX(Kampanyalar!$F$2:$F$150,MATCH(O369,Kampanyalar!$A$2:$A$150,0)),""))</f>
        <v/>
      </c>
      <c r="AN369" s="27">
        <f>IF(I369="","",IFERROR(INDEX(Kampanyalar!$G$2:$G$150,MATCH(O369,Kampanyalar!$A$2:$A$150,0)),""))</f>
        <v/>
      </c>
      <c r="AO369" s="26">
        <f>IF(OR(I369="",AL369="",AM369=""),"",IF(AND(H369&gt;=AL369,H369&lt;=AM369),"Evet","HAYIR - Tarih Dışı"))</f>
        <v/>
      </c>
      <c r="AP369" s="28">
        <f>IF(I369="","",IFERROR(INDEX(Kampanyalar!$H$2:$H$150,MATCH(O369,Kampanyalar!$A$2:$A$150,0)),""))</f>
        <v/>
      </c>
      <c r="AQ369" s="28">
        <f>IF(I369="","",IF(ISNUMBER(AP369),AP369,AD369))</f>
        <v/>
      </c>
      <c r="AR369" s="26">
        <f>IF(I369="","",IF(Parametreler!$C$7="Evet","Kural A - Hemen Ödeme (Stok Mutabakatlı)","Kural B - Nakliye/Montaj Sonrası Ödeme"))</f>
        <v/>
      </c>
    </row>
    <row r="370">
      <c r="A370" s="23" t="n"/>
      <c r="B370" s="23" t="n"/>
      <c r="C370" s="23" t="n"/>
      <c r="D370" s="23" t="n"/>
      <c r="E370" s="23" t="n"/>
      <c r="F370" s="23" t="n"/>
      <c r="G370" s="23" t="n"/>
      <c r="H370" s="24" t="n"/>
      <c r="I370" s="23" t="n"/>
      <c r="J370" s="23" t="n"/>
      <c r="K370" s="23" t="n"/>
      <c r="L370" s="23" t="n"/>
      <c r="M370" s="23" t="n"/>
      <c r="N370" s="23" t="n"/>
      <c r="O370" s="23" t="n"/>
      <c r="P370" s="23" t="n"/>
      <c r="Q370" s="23" t="n"/>
      <c r="R370" s="23" t="n"/>
      <c r="S370" s="23" t="n"/>
      <c r="T370" s="23" t="n"/>
      <c r="U370" s="23" t="n"/>
      <c r="V370" s="23" t="n"/>
      <c r="W370" s="23" t="n"/>
      <c r="X370" s="23" t="n"/>
      <c r="Y370" s="25" t="n"/>
      <c r="Z370" s="25" t="n"/>
      <c r="AA370" s="23" t="n"/>
      <c r="AB370" s="25" t="n"/>
      <c r="AC370" s="23" t="n"/>
      <c r="AD370" s="25" t="n"/>
      <c r="AE370" s="23" t="n"/>
      <c r="AF370" s="25" t="n"/>
      <c r="AG370" s="25" t="n"/>
      <c r="AH370" s="23" t="n"/>
      <c r="AI370" s="23" t="n"/>
      <c r="AJ370" s="26">
        <f>IF(I370="","",I370&amp;"|"&amp;R370)</f>
        <v/>
      </c>
      <c r="AK370" s="26">
        <f>IF(I370="","",IF(ISNA(MATCH(O370,Kampanyalar!$A$2:$A$150,0)),"Hayır - Kampanyalar'da Yok","Evet"))</f>
        <v/>
      </c>
      <c r="AL370" s="27">
        <f>IF(I370="","",IFERROR(INDEX(Kampanyalar!$E$2:$E$150,MATCH(O370,Kampanyalar!$A$2:$A$150,0)),""))</f>
        <v/>
      </c>
      <c r="AM370" s="27">
        <f>IF(I370="","",IFERROR(INDEX(Kampanyalar!$F$2:$F$150,MATCH(O370,Kampanyalar!$A$2:$A$150,0)),""))</f>
        <v/>
      </c>
      <c r="AN370" s="27">
        <f>IF(I370="","",IFERROR(INDEX(Kampanyalar!$G$2:$G$150,MATCH(O370,Kampanyalar!$A$2:$A$150,0)),""))</f>
        <v/>
      </c>
      <c r="AO370" s="26">
        <f>IF(OR(I370="",AL370="",AM370=""),"",IF(AND(H370&gt;=AL370,H370&lt;=AM370),"Evet","HAYIR - Tarih Dışı"))</f>
        <v/>
      </c>
      <c r="AP370" s="28">
        <f>IF(I370="","",IFERROR(INDEX(Kampanyalar!$H$2:$H$150,MATCH(O370,Kampanyalar!$A$2:$A$150,0)),""))</f>
        <v/>
      </c>
      <c r="AQ370" s="28">
        <f>IF(I370="","",IF(ISNUMBER(AP370),AP370,AD370))</f>
        <v/>
      </c>
      <c r="AR370" s="26">
        <f>IF(I370="","",IF(Parametreler!$C$7="Evet","Kural A - Hemen Ödeme (Stok Mutabakatlı)","Kural B - Nakliye/Montaj Sonrası Ödeme"))</f>
        <v/>
      </c>
    </row>
    <row r="371">
      <c r="A371" s="23" t="n"/>
      <c r="B371" s="23" t="n"/>
      <c r="C371" s="23" t="n"/>
      <c r="D371" s="23" t="n"/>
      <c r="E371" s="23" t="n"/>
      <c r="F371" s="23" t="n"/>
      <c r="G371" s="23" t="n"/>
      <c r="H371" s="24" t="n"/>
      <c r="I371" s="23" t="n"/>
      <c r="J371" s="23" t="n"/>
      <c r="K371" s="23" t="n"/>
      <c r="L371" s="23" t="n"/>
      <c r="M371" s="23" t="n"/>
      <c r="N371" s="23" t="n"/>
      <c r="O371" s="23" t="n"/>
      <c r="P371" s="23" t="n"/>
      <c r="Q371" s="23" t="n"/>
      <c r="R371" s="23" t="n"/>
      <c r="S371" s="23" t="n"/>
      <c r="T371" s="23" t="n"/>
      <c r="U371" s="23" t="n"/>
      <c r="V371" s="23" t="n"/>
      <c r="W371" s="23" t="n"/>
      <c r="X371" s="23" t="n"/>
      <c r="Y371" s="25" t="n"/>
      <c r="Z371" s="25" t="n"/>
      <c r="AA371" s="23" t="n"/>
      <c r="AB371" s="25" t="n"/>
      <c r="AC371" s="23" t="n"/>
      <c r="AD371" s="25" t="n"/>
      <c r="AE371" s="23" t="n"/>
      <c r="AF371" s="25" t="n"/>
      <c r="AG371" s="25" t="n"/>
      <c r="AH371" s="23" t="n"/>
      <c r="AI371" s="23" t="n"/>
      <c r="AJ371" s="26">
        <f>IF(I371="","",I371&amp;"|"&amp;R371)</f>
        <v/>
      </c>
      <c r="AK371" s="26">
        <f>IF(I371="","",IF(ISNA(MATCH(O371,Kampanyalar!$A$2:$A$150,0)),"Hayır - Kampanyalar'da Yok","Evet"))</f>
        <v/>
      </c>
      <c r="AL371" s="27">
        <f>IF(I371="","",IFERROR(INDEX(Kampanyalar!$E$2:$E$150,MATCH(O371,Kampanyalar!$A$2:$A$150,0)),""))</f>
        <v/>
      </c>
      <c r="AM371" s="27">
        <f>IF(I371="","",IFERROR(INDEX(Kampanyalar!$F$2:$F$150,MATCH(O371,Kampanyalar!$A$2:$A$150,0)),""))</f>
        <v/>
      </c>
      <c r="AN371" s="27">
        <f>IF(I371="","",IFERROR(INDEX(Kampanyalar!$G$2:$G$150,MATCH(O371,Kampanyalar!$A$2:$A$150,0)),""))</f>
        <v/>
      </c>
      <c r="AO371" s="26">
        <f>IF(OR(I371="",AL371="",AM371=""),"",IF(AND(H371&gt;=AL371,H371&lt;=AM371),"Evet","HAYIR - Tarih Dışı"))</f>
        <v/>
      </c>
      <c r="AP371" s="28">
        <f>IF(I371="","",IFERROR(INDEX(Kampanyalar!$H$2:$H$150,MATCH(O371,Kampanyalar!$A$2:$A$150,0)),""))</f>
        <v/>
      </c>
      <c r="AQ371" s="28">
        <f>IF(I371="","",IF(ISNUMBER(AP371),AP371,AD371))</f>
        <v/>
      </c>
      <c r="AR371" s="26">
        <f>IF(I371="","",IF(Parametreler!$C$7="Evet","Kural A - Hemen Ödeme (Stok Mutabakatlı)","Kural B - Nakliye/Montaj Sonrası Ödeme"))</f>
        <v/>
      </c>
    </row>
    <row r="372">
      <c r="A372" s="23" t="n"/>
      <c r="B372" s="23" t="n"/>
      <c r="C372" s="23" t="n"/>
      <c r="D372" s="23" t="n"/>
      <c r="E372" s="23" t="n"/>
      <c r="F372" s="23" t="n"/>
      <c r="G372" s="23" t="n"/>
      <c r="H372" s="24" t="n"/>
      <c r="I372" s="23" t="n"/>
      <c r="J372" s="23" t="n"/>
      <c r="K372" s="23" t="n"/>
      <c r="L372" s="23" t="n"/>
      <c r="M372" s="23" t="n"/>
      <c r="N372" s="23" t="n"/>
      <c r="O372" s="23" t="n"/>
      <c r="P372" s="23" t="n"/>
      <c r="Q372" s="23" t="n"/>
      <c r="R372" s="23" t="n"/>
      <c r="S372" s="23" t="n"/>
      <c r="T372" s="23" t="n"/>
      <c r="U372" s="23" t="n"/>
      <c r="V372" s="23" t="n"/>
      <c r="W372" s="23" t="n"/>
      <c r="X372" s="23" t="n"/>
      <c r="Y372" s="25" t="n"/>
      <c r="Z372" s="25" t="n"/>
      <c r="AA372" s="23" t="n"/>
      <c r="AB372" s="25" t="n"/>
      <c r="AC372" s="23" t="n"/>
      <c r="AD372" s="25" t="n"/>
      <c r="AE372" s="23" t="n"/>
      <c r="AF372" s="25" t="n"/>
      <c r="AG372" s="25" t="n"/>
      <c r="AH372" s="23" t="n"/>
      <c r="AI372" s="23" t="n"/>
      <c r="AJ372" s="26">
        <f>IF(I372="","",I372&amp;"|"&amp;R372)</f>
        <v/>
      </c>
      <c r="AK372" s="26">
        <f>IF(I372="","",IF(ISNA(MATCH(O372,Kampanyalar!$A$2:$A$150,0)),"Hayır - Kampanyalar'da Yok","Evet"))</f>
        <v/>
      </c>
      <c r="AL372" s="27">
        <f>IF(I372="","",IFERROR(INDEX(Kampanyalar!$E$2:$E$150,MATCH(O372,Kampanyalar!$A$2:$A$150,0)),""))</f>
        <v/>
      </c>
      <c r="AM372" s="27">
        <f>IF(I372="","",IFERROR(INDEX(Kampanyalar!$F$2:$F$150,MATCH(O372,Kampanyalar!$A$2:$A$150,0)),""))</f>
        <v/>
      </c>
      <c r="AN372" s="27">
        <f>IF(I372="","",IFERROR(INDEX(Kampanyalar!$G$2:$G$150,MATCH(O372,Kampanyalar!$A$2:$A$150,0)),""))</f>
        <v/>
      </c>
      <c r="AO372" s="26">
        <f>IF(OR(I372="",AL372="",AM372=""),"",IF(AND(H372&gt;=AL372,H372&lt;=AM372),"Evet","HAYIR - Tarih Dışı"))</f>
        <v/>
      </c>
      <c r="AP372" s="28">
        <f>IF(I372="","",IFERROR(INDEX(Kampanyalar!$H$2:$H$150,MATCH(O372,Kampanyalar!$A$2:$A$150,0)),""))</f>
        <v/>
      </c>
      <c r="AQ372" s="28">
        <f>IF(I372="","",IF(ISNUMBER(AP372),AP372,AD372))</f>
        <v/>
      </c>
      <c r="AR372" s="26">
        <f>IF(I372="","",IF(Parametreler!$C$7="Evet","Kural A - Hemen Ödeme (Stok Mutabakatlı)","Kural B - Nakliye/Montaj Sonrası Ödeme"))</f>
        <v/>
      </c>
    </row>
    <row r="373">
      <c r="A373" s="23" t="n"/>
      <c r="B373" s="23" t="n"/>
      <c r="C373" s="23" t="n"/>
      <c r="D373" s="23" t="n"/>
      <c r="E373" s="23" t="n"/>
      <c r="F373" s="23" t="n"/>
      <c r="G373" s="23" t="n"/>
      <c r="H373" s="24" t="n"/>
      <c r="I373" s="23" t="n"/>
      <c r="J373" s="23" t="n"/>
      <c r="K373" s="23" t="n"/>
      <c r="L373" s="23" t="n"/>
      <c r="M373" s="23" t="n"/>
      <c r="N373" s="23" t="n"/>
      <c r="O373" s="23" t="n"/>
      <c r="P373" s="23" t="n"/>
      <c r="Q373" s="23" t="n"/>
      <c r="R373" s="23" t="n"/>
      <c r="S373" s="23" t="n"/>
      <c r="T373" s="23" t="n"/>
      <c r="U373" s="23" t="n"/>
      <c r="V373" s="23" t="n"/>
      <c r="W373" s="23" t="n"/>
      <c r="X373" s="23" t="n"/>
      <c r="Y373" s="25" t="n"/>
      <c r="Z373" s="25" t="n"/>
      <c r="AA373" s="23" t="n"/>
      <c r="AB373" s="25" t="n"/>
      <c r="AC373" s="23" t="n"/>
      <c r="AD373" s="25" t="n"/>
      <c r="AE373" s="23" t="n"/>
      <c r="AF373" s="25" t="n"/>
      <c r="AG373" s="25" t="n"/>
      <c r="AH373" s="23" t="n"/>
      <c r="AI373" s="23" t="n"/>
      <c r="AJ373" s="26">
        <f>IF(I373="","",I373&amp;"|"&amp;R373)</f>
        <v/>
      </c>
      <c r="AK373" s="26">
        <f>IF(I373="","",IF(ISNA(MATCH(O373,Kampanyalar!$A$2:$A$150,0)),"Hayır - Kampanyalar'da Yok","Evet"))</f>
        <v/>
      </c>
      <c r="AL373" s="27">
        <f>IF(I373="","",IFERROR(INDEX(Kampanyalar!$E$2:$E$150,MATCH(O373,Kampanyalar!$A$2:$A$150,0)),""))</f>
        <v/>
      </c>
      <c r="AM373" s="27">
        <f>IF(I373="","",IFERROR(INDEX(Kampanyalar!$F$2:$F$150,MATCH(O373,Kampanyalar!$A$2:$A$150,0)),""))</f>
        <v/>
      </c>
      <c r="AN373" s="27">
        <f>IF(I373="","",IFERROR(INDEX(Kampanyalar!$G$2:$G$150,MATCH(O373,Kampanyalar!$A$2:$A$150,0)),""))</f>
        <v/>
      </c>
      <c r="AO373" s="26">
        <f>IF(OR(I373="",AL373="",AM373=""),"",IF(AND(H373&gt;=AL373,H373&lt;=AM373),"Evet","HAYIR - Tarih Dışı"))</f>
        <v/>
      </c>
      <c r="AP373" s="28">
        <f>IF(I373="","",IFERROR(INDEX(Kampanyalar!$H$2:$H$150,MATCH(O373,Kampanyalar!$A$2:$A$150,0)),""))</f>
        <v/>
      </c>
      <c r="AQ373" s="28">
        <f>IF(I373="","",IF(ISNUMBER(AP373),AP373,AD373))</f>
        <v/>
      </c>
      <c r="AR373" s="26">
        <f>IF(I373="","",IF(Parametreler!$C$7="Evet","Kural A - Hemen Ödeme (Stok Mutabakatlı)","Kural B - Nakliye/Montaj Sonrası Ödeme"))</f>
        <v/>
      </c>
    </row>
    <row r="374">
      <c r="A374" s="23" t="n"/>
      <c r="B374" s="23" t="n"/>
      <c r="C374" s="23" t="n"/>
      <c r="D374" s="23" t="n"/>
      <c r="E374" s="23" t="n"/>
      <c r="F374" s="23" t="n"/>
      <c r="G374" s="23" t="n"/>
      <c r="H374" s="24" t="n"/>
      <c r="I374" s="23" t="n"/>
      <c r="J374" s="23" t="n"/>
      <c r="K374" s="23" t="n"/>
      <c r="L374" s="23" t="n"/>
      <c r="M374" s="23" t="n"/>
      <c r="N374" s="23" t="n"/>
      <c r="O374" s="23" t="n"/>
      <c r="P374" s="23" t="n"/>
      <c r="Q374" s="23" t="n"/>
      <c r="R374" s="23" t="n"/>
      <c r="S374" s="23" t="n"/>
      <c r="T374" s="23" t="n"/>
      <c r="U374" s="23" t="n"/>
      <c r="V374" s="23" t="n"/>
      <c r="W374" s="23" t="n"/>
      <c r="X374" s="23" t="n"/>
      <c r="Y374" s="25" t="n"/>
      <c r="Z374" s="25" t="n"/>
      <c r="AA374" s="23" t="n"/>
      <c r="AB374" s="25" t="n"/>
      <c r="AC374" s="23" t="n"/>
      <c r="AD374" s="25" t="n"/>
      <c r="AE374" s="23" t="n"/>
      <c r="AF374" s="25" t="n"/>
      <c r="AG374" s="25" t="n"/>
      <c r="AH374" s="23" t="n"/>
      <c r="AI374" s="23" t="n"/>
      <c r="AJ374" s="26">
        <f>IF(I374="","",I374&amp;"|"&amp;R374)</f>
        <v/>
      </c>
      <c r="AK374" s="26">
        <f>IF(I374="","",IF(ISNA(MATCH(O374,Kampanyalar!$A$2:$A$150,0)),"Hayır - Kampanyalar'da Yok","Evet"))</f>
        <v/>
      </c>
      <c r="AL374" s="27">
        <f>IF(I374="","",IFERROR(INDEX(Kampanyalar!$E$2:$E$150,MATCH(O374,Kampanyalar!$A$2:$A$150,0)),""))</f>
        <v/>
      </c>
      <c r="AM374" s="27">
        <f>IF(I374="","",IFERROR(INDEX(Kampanyalar!$F$2:$F$150,MATCH(O374,Kampanyalar!$A$2:$A$150,0)),""))</f>
        <v/>
      </c>
      <c r="AN374" s="27">
        <f>IF(I374="","",IFERROR(INDEX(Kampanyalar!$G$2:$G$150,MATCH(O374,Kampanyalar!$A$2:$A$150,0)),""))</f>
        <v/>
      </c>
      <c r="AO374" s="26">
        <f>IF(OR(I374="",AL374="",AM374=""),"",IF(AND(H374&gt;=AL374,H374&lt;=AM374),"Evet","HAYIR - Tarih Dışı"))</f>
        <v/>
      </c>
      <c r="AP374" s="28">
        <f>IF(I374="","",IFERROR(INDEX(Kampanyalar!$H$2:$H$150,MATCH(O374,Kampanyalar!$A$2:$A$150,0)),""))</f>
        <v/>
      </c>
      <c r="AQ374" s="28">
        <f>IF(I374="","",IF(ISNUMBER(AP374),AP374,AD374))</f>
        <v/>
      </c>
      <c r="AR374" s="26">
        <f>IF(I374="","",IF(Parametreler!$C$7="Evet","Kural A - Hemen Ödeme (Stok Mutabakatlı)","Kural B - Nakliye/Montaj Sonrası Ödeme"))</f>
        <v/>
      </c>
    </row>
    <row r="375">
      <c r="A375" s="23" t="n"/>
      <c r="B375" s="23" t="n"/>
      <c r="C375" s="23" t="n"/>
      <c r="D375" s="23" t="n"/>
      <c r="E375" s="23" t="n"/>
      <c r="F375" s="23" t="n"/>
      <c r="G375" s="23" t="n"/>
      <c r="H375" s="24" t="n"/>
      <c r="I375" s="23" t="n"/>
      <c r="J375" s="23" t="n"/>
      <c r="K375" s="23" t="n"/>
      <c r="L375" s="23" t="n"/>
      <c r="M375" s="23" t="n"/>
      <c r="N375" s="23" t="n"/>
      <c r="O375" s="23" t="n"/>
      <c r="P375" s="23" t="n"/>
      <c r="Q375" s="23" t="n"/>
      <c r="R375" s="23" t="n"/>
      <c r="S375" s="23" t="n"/>
      <c r="T375" s="23" t="n"/>
      <c r="U375" s="23" t="n"/>
      <c r="V375" s="23" t="n"/>
      <c r="W375" s="23" t="n"/>
      <c r="X375" s="23" t="n"/>
      <c r="Y375" s="25" t="n"/>
      <c r="Z375" s="25" t="n"/>
      <c r="AA375" s="23" t="n"/>
      <c r="AB375" s="25" t="n"/>
      <c r="AC375" s="23" t="n"/>
      <c r="AD375" s="25" t="n"/>
      <c r="AE375" s="23" t="n"/>
      <c r="AF375" s="25" t="n"/>
      <c r="AG375" s="25" t="n"/>
      <c r="AH375" s="23" t="n"/>
      <c r="AI375" s="23" t="n"/>
      <c r="AJ375" s="26">
        <f>IF(I375="","",I375&amp;"|"&amp;R375)</f>
        <v/>
      </c>
      <c r="AK375" s="26">
        <f>IF(I375="","",IF(ISNA(MATCH(O375,Kampanyalar!$A$2:$A$150,0)),"Hayır - Kampanyalar'da Yok","Evet"))</f>
        <v/>
      </c>
      <c r="AL375" s="27">
        <f>IF(I375="","",IFERROR(INDEX(Kampanyalar!$E$2:$E$150,MATCH(O375,Kampanyalar!$A$2:$A$150,0)),""))</f>
        <v/>
      </c>
      <c r="AM375" s="27">
        <f>IF(I375="","",IFERROR(INDEX(Kampanyalar!$F$2:$F$150,MATCH(O375,Kampanyalar!$A$2:$A$150,0)),""))</f>
        <v/>
      </c>
      <c r="AN375" s="27">
        <f>IF(I375="","",IFERROR(INDEX(Kampanyalar!$G$2:$G$150,MATCH(O375,Kampanyalar!$A$2:$A$150,0)),""))</f>
        <v/>
      </c>
      <c r="AO375" s="26">
        <f>IF(OR(I375="",AL375="",AM375=""),"",IF(AND(H375&gt;=AL375,H375&lt;=AM375),"Evet","HAYIR - Tarih Dışı"))</f>
        <v/>
      </c>
      <c r="AP375" s="28">
        <f>IF(I375="","",IFERROR(INDEX(Kampanyalar!$H$2:$H$150,MATCH(O375,Kampanyalar!$A$2:$A$150,0)),""))</f>
        <v/>
      </c>
      <c r="AQ375" s="28">
        <f>IF(I375="","",IF(ISNUMBER(AP375),AP375,AD375))</f>
        <v/>
      </c>
      <c r="AR375" s="26">
        <f>IF(I375="","",IF(Parametreler!$C$7="Evet","Kural A - Hemen Ödeme (Stok Mutabakatlı)","Kural B - Nakliye/Montaj Sonrası Ödeme"))</f>
        <v/>
      </c>
    </row>
    <row r="376">
      <c r="A376" s="23" t="n"/>
      <c r="B376" s="23" t="n"/>
      <c r="C376" s="23" t="n"/>
      <c r="D376" s="23" t="n"/>
      <c r="E376" s="23" t="n"/>
      <c r="F376" s="23" t="n"/>
      <c r="G376" s="23" t="n"/>
      <c r="H376" s="24" t="n"/>
      <c r="I376" s="23" t="n"/>
      <c r="J376" s="23" t="n"/>
      <c r="K376" s="23" t="n"/>
      <c r="L376" s="23" t="n"/>
      <c r="M376" s="23" t="n"/>
      <c r="N376" s="23" t="n"/>
      <c r="O376" s="23" t="n"/>
      <c r="P376" s="23" t="n"/>
      <c r="Q376" s="23" t="n"/>
      <c r="R376" s="23" t="n"/>
      <c r="S376" s="23" t="n"/>
      <c r="T376" s="23" t="n"/>
      <c r="U376" s="23" t="n"/>
      <c r="V376" s="23" t="n"/>
      <c r="W376" s="23" t="n"/>
      <c r="X376" s="23" t="n"/>
      <c r="Y376" s="25" t="n"/>
      <c r="Z376" s="25" t="n"/>
      <c r="AA376" s="23" t="n"/>
      <c r="AB376" s="25" t="n"/>
      <c r="AC376" s="23" t="n"/>
      <c r="AD376" s="25" t="n"/>
      <c r="AE376" s="23" t="n"/>
      <c r="AF376" s="25" t="n"/>
      <c r="AG376" s="25" t="n"/>
      <c r="AH376" s="23" t="n"/>
      <c r="AI376" s="23" t="n"/>
      <c r="AJ376" s="26">
        <f>IF(I376="","",I376&amp;"|"&amp;R376)</f>
        <v/>
      </c>
      <c r="AK376" s="26">
        <f>IF(I376="","",IF(ISNA(MATCH(O376,Kampanyalar!$A$2:$A$150,0)),"Hayır - Kampanyalar'da Yok","Evet"))</f>
        <v/>
      </c>
      <c r="AL376" s="27">
        <f>IF(I376="","",IFERROR(INDEX(Kampanyalar!$E$2:$E$150,MATCH(O376,Kampanyalar!$A$2:$A$150,0)),""))</f>
        <v/>
      </c>
      <c r="AM376" s="27">
        <f>IF(I376="","",IFERROR(INDEX(Kampanyalar!$F$2:$F$150,MATCH(O376,Kampanyalar!$A$2:$A$150,0)),""))</f>
        <v/>
      </c>
      <c r="AN376" s="27">
        <f>IF(I376="","",IFERROR(INDEX(Kampanyalar!$G$2:$G$150,MATCH(O376,Kampanyalar!$A$2:$A$150,0)),""))</f>
        <v/>
      </c>
      <c r="AO376" s="26">
        <f>IF(OR(I376="",AL376="",AM376=""),"",IF(AND(H376&gt;=AL376,H376&lt;=AM376),"Evet","HAYIR - Tarih Dışı"))</f>
        <v/>
      </c>
      <c r="AP376" s="28">
        <f>IF(I376="","",IFERROR(INDEX(Kampanyalar!$H$2:$H$150,MATCH(O376,Kampanyalar!$A$2:$A$150,0)),""))</f>
        <v/>
      </c>
      <c r="AQ376" s="28">
        <f>IF(I376="","",IF(ISNUMBER(AP376),AP376,AD376))</f>
        <v/>
      </c>
      <c r="AR376" s="26">
        <f>IF(I376="","",IF(Parametreler!$C$7="Evet","Kural A - Hemen Ödeme (Stok Mutabakatlı)","Kural B - Nakliye/Montaj Sonrası Ödeme"))</f>
        <v/>
      </c>
    </row>
    <row r="377">
      <c r="A377" s="23" t="n"/>
      <c r="B377" s="23" t="n"/>
      <c r="C377" s="23" t="n"/>
      <c r="D377" s="23" t="n"/>
      <c r="E377" s="23" t="n"/>
      <c r="F377" s="23" t="n"/>
      <c r="G377" s="23" t="n"/>
      <c r="H377" s="24" t="n"/>
      <c r="I377" s="23" t="n"/>
      <c r="J377" s="23" t="n"/>
      <c r="K377" s="23" t="n"/>
      <c r="L377" s="23" t="n"/>
      <c r="M377" s="23" t="n"/>
      <c r="N377" s="23" t="n"/>
      <c r="O377" s="23" t="n"/>
      <c r="P377" s="23" t="n"/>
      <c r="Q377" s="23" t="n"/>
      <c r="R377" s="23" t="n"/>
      <c r="S377" s="23" t="n"/>
      <c r="T377" s="23" t="n"/>
      <c r="U377" s="23" t="n"/>
      <c r="V377" s="23" t="n"/>
      <c r="W377" s="23" t="n"/>
      <c r="X377" s="23" t="n"/>
      <c r="Y377" s="25" t="n"/>
      <c r="Z377" s="25" t="n"/>
      <c r="AA377" s="23" t="n"/>
      <c r="AB377" s="25" t="n"/>
      <c r="AC377" s="23" t="n"/>
      <c r="AD377" s="25" t="n"/>
      <c r="AE377" s="23" t="n"/>
      <c r="AF377" s="25" t="n"/>
      <c r="AG377" s="25" t="n"/>
      <c r="AH377" s="23" t="n"/>
      <c r="AI377" s="23" t="n"/>
      <c r="AJ377" s="26">
        <f>IF(I377="","",I377&amp;"|"&amp;R377)</f>
        <v/>
      </c>
      <c r="AK377" s="26">
        <f>IF(I377="","",IF(ISNA(MATCH(O377,Kampanyalar!$A$2:$A$150,0)),"Hayır - Kampanyalar'da Yok","Evet"))</f>
        <v/>
      </c>
      <c r="AL377" s="27">
        <f>IF(I377="","",IFERROR(INDEX(Kampanyalar!$E$2:$E$150,MATCH(O377,Kampanyalar!$A$2:$A$150,0)),""))</f>
        <v/>
      </c>
      <c r="AM377" s="27">
        <f>IF(I377="","",IFERROR(INDEX(Kampanyalar!$F$2:$F$150,MATCH(O377,Kampanyalar!$A$2:$A$150,0)),""))</f>
        <v/>
      </c>
      <c r="AN377" s="27">
        <f>IF(I377="","",IFERROR(INDEX(Kampanyalar!$G$2:$G$150,MATCH(O377,Kampanyalar!$A$2:$A$150,0)),""))</f>
        <v/>
      </c>
      <c r="AO377" s="26">
        <f>IF(OR(I377="",AL377="",AM377=""),"",IF(AND(H377&gt;=AL377,H377&lt;=AM377),"Evet","HAYIR - Tarih Dışı"))</f>
        <v/>
      </c>
      <c r="AP377" s="28">
        <f>IF(I377="","",IFERROR(INDEX(Kampanyalar!$H$2:$H$150,MATCH(O377,Kampanyalar!$A$2:$A$150,0)),""))</f>
        <v/>
      </c>
      <c r="AQ377" s="28">
        <f>IF(I377="","",IF(ISNUMBER(AP377),AP377,AD377))</f>
        <v/>
      </c>
      <c r="AR377" s="26">
        <f>IF(I377="","",IF(Parametreler!$C$7="Evet","Kural A - Hemen Ödeme (Stok Mutabakatlı)","Kural B - Nakliye/Montaj Sonrası Ödeme"))</f>
        <v/>
      </c>
    </row>
    <row r="378">
      <c r="A378" s="23" t="n"/>
      <c r="B378" s="23" t="n"/>
      <c r="C378" s="23" t="n"/>
      <c r="D378" s="23" t="n"/>
      <c r="E378" s="23" t="n"/>
      <c r="F378" s="23" t="n"/>
      <c r="G378" s="23" t="n"/>
      <c r="H378" s="24" t="n"/>
      <c r="I378" s="23" t="n"/>
      <c r="J378" s="23" t="n"/>
      <c r="K378" s="23" t="n"/>
      <c r="L378" s="23" t="n"/>
      <c r="M378" s="23" t="n"/>
      <c r="N378" s="23" t="n"/>
      <c r="O378" s="23" t="n"/>
      <c r="P378" s="23" t="n"/>
      <c r="Q378" s="23" t="n"/>
      <c r="R378" s="23" t="n"/>
      <c r="S378" s="23" t="n"/>
      <c r="T378" s="23" t="n"/>
      <c r="U378" s="23" t="n"/>
      <c r="V378" s="23" t="n"/>
      <c r="W378" s="23" t="n"/>
      <c r="X378" s="23" t="n"/>
      <c r="Y378" s="25" t="n"/>
      <c r="Z378" s="25" t="n"/>
      <c r="AA378" s="23" t="n"/>
      <c r="AB378" s="25" t="n"/>
      <c r="AC378" s="23" t="n"/>
      <c r="AD378" s="25" t="n"/>
      <c r="AE378" s="23" t="n"/>
      <c r="AF378" s="25" t="n"/>
      <c r="AG378" s="25" t="n"/>
      <c r="AH378" s="23" t="n"/>
      <c r="AI378" s="23" t="n"/>
      <c r="AJ378" s="26">
        <f>IF(I378="","",I378&amp;"|"&amp;R378)</f>
        <v/>
      </c>
      <c r="AK378" s="26">
        <f>IF(I378="","",IF(ISNA(MATCH(O378,Kampanyalar!$A$2:$A$150,0)),"Hayır - Kampanyalar'da Yok","Evet"))</f>
        <v/>
      </c>
      <c r="AL378" s="27">
        <f>IF(I378="","",IFERROR(INDEX(Kampanyalar!$E$2:$E$150,MATCH(O378,Kampanyalar!$A$2:$A$150,0)),""))</f>
        <v/>
      </c>
      <c r="AM378" s="27">
        <f>IF(I378="","",IFERROR(INDEX(Kampanyalar!$F$2:$F$150,MATCH(O378,Kampanyalar!$A$2:$A$150,0)),""))</f>
        <v/>
      </c>
      <c r="AN378" s="27">
        <f>IF(I378="","",IFERROR(INDEX(Kampanyalar!$G$2:$G$150,MATCH(O378,Kampanyalar!$A$2:$A$150,0)),""))</f>
        <v/>
      </c>
      <c r="AO378" s="26">
        <f>IF(OR(I378="",AL378="",AM378=""),"",IF(AND(H378&gt;=AL378,H378&lt;=AM378),"Evet","HAYIR - Tarih Dışı"))</f>
        <v/>
      </c>
      <c r="AP378" s="28">
        <f>IF(I378="","",IFERROR(INDEX(Kampanyalar!$H$2:$H$150,MATCH(O378,Kampanyalar!$A$2:$A$150,0)),""))</f>
        <v/>
      </c>
      <c r="AQ378" s="28">
        <f>IF(I378="","",IF(ISNUMBER(AP378),AP378,AD378))</f>
        <v/>
      </c>
      <c r="AR378" s="26">
        <f>IF(I378="","",IF(Parametreler!$C$7="Evet","Kural A - Hemen Ödeme (Stok Mutabakatlı)","Kural B - Nakliye/Montaj Sonrası Ödeme"))</f>
        <v/>
      </c>
    </row>
    <row r="379">
      <c r="A379" s="23" t="n"/>
      <c r="B379" s="23" t="n"/>
      <c r="C379" s="23" t="n"/>
      <c r="D379" s="23" t="n"/>
      <c r="E379" s="23" t="n"/>
      <c r="F379" s="23" t="n"/>
      <c r="G379" s="23" t="n"/>
      <c r="H379" s="24" t="n"/>
      <c r="I379" s="23" t="n"/>
      <c r="J379" s="23" t="n"/>
      <c r="K379" s="23" t="n"/>
      <c r="L379" s="23" t="n"/>
      <c r="M379" s="23" t="n"/>
      <c r="N379" s="23" t="n"/>
      <c r="O379" s="23" t="n"/>
      <c r="P379" s="23" t="n"/>
      <c r="Q379" s="23" t="n"/>
      <c r="R379" s="23" t="n"/>
      <c r="S379" s="23" t="n"/>
      <c r="T379" s="23" t="n"/>
      <c r="U379" s="23" t="n"/>
      <c r="V379" s="23" t="n"/>
      <c r="W379" s="23" t="n"/>
      <c r="X379" s="23" t="n"/>
      <c r="Y379" s="25" t="n"/>
      <c r="Z379" s="25" t="n"/>
      <c r="AA379" s="23" t="n"/>
      <c r="AB379" s="25" t="n"/>
      <c r="AC379" s="23" t="n"/>
      <c r="AD379" s="25" t="n"/>
      <c r="AE379" s="23" t="n"/>
      <c r="AF379" s="25" t="n"/>
      <c r="AG379" s="25" t="n"/>
      <c r="AH379" s="23" t="n"/>
      <c r="AI379" s="23" t="n"/>
      <c r="AJ379" s="26">
        <f>IF(I379="","",I379&amp;"|"&amp;R379)</f>
        <v/>
      </c>
      <c r="AK379" s="26">
        <f>IF(I379="","",IF(ISNA(MATCH(O379,Kampanyalar!$A$2:$A$150,0)),"Hayır - Kampanyalar'da Yok","Evet"))</f>
        <v/>
      </c>
      <c r="AL379" s="27">
        <f>IF(I379="","",IFERROR(INDEX(Kampanyalar!$E$2:$E$150,MATCH(O379,Kampanyalar!$A$2:$A$150,0)),""))</f>
        <v/>
      </c>
      <c r="AM379" s="27">
        <f>IF(I379="","",IFERROR(INDEX(Kampanyalar!$F$2:$F$150,MATCH(O379,Kampanyalar!$A$2:$A$150,0)),""))</f>
        <v/>
      </c>
      <c r="AN379" s="27">
        <f>IF(I379="","",IFERROR(INDEX(Kampanyalar!$G$2:$G$150,MATCH(O379,Kampanyalar!$A$2:$A$150,0)),""))</f>
        <v/>
      </c>
      <c r="AO379" s="26">
        <f>IF(OR(I379="",AL379="",AM379=""),"",IF(AND(H379&gt;=AL379,H379&lt;=AM379),"Evet","HAYIR - Tarih Dışı"))</f>
        <v/>
      </c>
      <c r="AP379" s="28">
        <f>IF(I379="","",IFERROR(INDEX(Kampanyalar!$H$2:$H$150,MATCH(O379,Kampanyalar!$A$2:$A$150,0)),""))</f>
        <v/>
      </c>
      <c r="AQ379" s="28">
        <f>IF(I379="","",IF(ISNUMBER(AP379),AP379,AD379))</f>
        <v/>
      </c>
      <c r="AR379" s="26">
        <f>IF(I379="","",IF(Parametreler!$C$7="Evet","Kural A - Hemen Ödeme (Stok Mutabakatlı)","Kural B - Nakliye/Montaj Sonrası Ödeme"))</f>
        <v/>
      </c>
    </row>
    <row r="380">
      <c r="A380" s="23" t="n"/>
      <c r="B380" s="23" t="n"/>
      <c r="C380" s="23" t="n"/>
      <c r="D380" s="23" t="n"/>
      <c r="E380" s="23" t="n"/>
      <c r="F380" s="23" t="n"/>
      <c r="G380" s="23" t="n"/>
      <c r="H380" s="24" t="n"/>
      <c r="I380" s="23" t="n"/>
      <c r="J380" s="23" t="n"/>
      <c r="K380" s="23" t="n"/>
      <c r="L380" s="23" t="n"/>
      <c r="M380" s="23" t="n"/>
      <c r="N380" s="23" t="n"/>
      <c r="O380" s="23" t="n"/>
      <c r="P380" s="23" t="n"/>
      <c r="Q380" s="23" t="n"/>
      <c r="R380" s="23" t="n"/>
      <c r="S380" s="23" t="n"/>
      <c r="T380" s="23" t="n"/>
      <c r="U380" s="23" t="n"/>
      <c r="V380" s="23" t="n"/>
      <c r="W380" s="23" t="n"/>
      <c r="X380" s="23" t="n"/>
      <c r="Y380" s="25" t="n"/>
      <c r="Z380" s="25" t="n"/>
      <c r="AA380" s="23" t="n"/>
      <c r="AB380" s="25" t="n"/>
      <c r="AC380" s="23" t="n"/>
      <c r="AD380" s="25" t="n"/>
      <c r="AE380" s="23" t="n"/>
      <c r="AF380" s="25" t="n"/>
      <c r="AG380" s="25" t="n"/>
      <c r="AH380" s="23" t="n"/>
      <c r="AI380" s="23" t="n"/>
      <c r="AJ380" s="26">
        <f>IF(I380="","",I380&amp;"|"&amp;R380)</f>
        <v/>
      </c>
      <c r="AK380" s="26">
        <f>IF(I380="","",IF(ISNA(MATCH(O380,Kampanyalar!$A$2:$A$150,0)),"Hayır - Kampanyalar'da Yok","Evet"))</f>
        <v/>
      </c>
      <c r="AL380" s="27">
        <f>IF(I380="","",IFERROR(INDEX(Kampanyalar!$E$2:$E$150,MATCH(O380,Kampanyalar!$A$2:$A$150,0)),""))</f>
        <v/>
      </c>
      <c r="AM380" s="27">
        <f>IF(I380="","",IFERROR(INDEX(Kampanyalar!$F$2:$F$150,MATCH(O380,Kampanyalar!$A$2:$A$150,0)),""))</f>
        <v/>
      </c>
      <c r="AN380" s="27">
        <f>IF(I380="","",IFERROR(INDEX(Kampanyalar!$G$2:$G$150,MATCH(O380,Kampanyalar!$A$2:$A$150,0)),""))</f>
        <v/>
      </c>
      <c r="AO380" s="26">
        <f>IF(OR(I380="",AL380="",AM380=""),"",IF(AND(H380&gt;=AL380,H380&lt;=AM380),"Evet","HAYIR - Tarih Dışı"))</f>
        <v/>
      </c>
      <c r="AP380" s="28">
        <f>IF(I380="","",IFERROR(INDEX(Kampanyalar!$H$2:$H$150,MATCH(O380,Kampanyalar!$A$2:$A$150,0)),""))</f>
        <v/>
      </c>
      <c r="AQ380" s="28">
        <f>IF(I380="","",IF(ISNUMBER(AP380),AP380,AD380))</f>
        <v/>
      </c>
      <c r="AR380" s="26">
        <f>IF(I380="","",IF(Parametreler!$C$7="Evet","Kural A - Hemen Ödeme (Stok Mutabakatlı)","Kural B - Nakliye/Montaj Sonrası Ödeme"))</f>
        <v/>
      </c>
    </row>
    <row r="381">
      <c r="A381" s="23" t="n"/>
      <c r="B381" s="23" t="n"/>
      <c r="C381" s="23" t="n"/>
      <c r="D381" s="23" t="n"/>
      <c r="E381" s="23" t="n"/>
      <c r="F381" s="23" t="n"/>
      <c r="G381" s="23" t="n"/>
      <c r="H381" s="24" t="n"/>
      <c r="I381" s="23" t="n"/>
      <c r="J381" s="23" t="n"/>
      <c r="K381" s="23" t="n"/>
      <c r="L381" s="23" t="n"/>
      <c r="M381" s="23" t="n"/>
      <c r="N381" s="23" t="n"/>
      <c r="O381" s="23" t="n"/>
      <c r="P381" s="23" t="n"/>
      <c r="Q381" s="23" t="n"/>
      <c r="R381" s="23" t="n"/>
      <c r="S381" s="23" t="n"/>
      <c r="T381" s="23" t="n"/>
      <c r="U381" s="23" t="n"/>
      <c r="V381" s="23" t="n"/>
      <c r="W381" s="23" t="n"/>
      <c r="X381" s="23" t="n"/>
      <c r="Y381" s="25" t="n"/>
      <c r="Z381" s="25" t="n"/>
      <c r="AA381" s="23" t="n"/>
      <c r="AB381" s="25" t="n"/>
      <c r="AC381" s="23" t="n"/>
      <c r="AD381" s="25" t="n"/>
      <c r="AE381" s="23" t="n"/>
      <c r="AF381" s="25" t="n"/>
      <c r="AG381" s="25" t="n"/>
      <c r="AH381" s="23" t="n"/>
      <c r="AI381" s="23" t="n"/>
      <c r="AJ381" s="26">
        <f>IF(I381="","",I381&amp;"|"&amp;R381)</f>
        <v/>
      </c>
      <c r="AK381" s="26">
        <f>IF(I381="","",IF(ISNA(MATCH(O381,Kampanyalar!$A$2:$A$150,0)),"Hayır - Kampanyalar'da Yok","Evet"))</f>
        <v/>
      </c>
      <c r="AL381" s="27">
        <f>IF(I381="","",IFERROR(INDEX(Kampanyalar!$E$2:$E$150,MATCH(O381,Kampanyalar!$A$2:$A$150,0)),""))</f>
        <v/>
      </c>
      <c r="AM381" s="27">
        <f>IF(I381="","",IFERROR(INDEX(Kampanyalar!$F$2:$F$150,MATCH(O381,Kampanyalar!$A$2:$A$150,0)),""))</f>
        <v/>
      </c>
      <c r="AN381" s="27">
        <f>IF(I381="","",IFERROR(INDEX(Kampanyalar!$G$2:$G$150,MATCH(O381,Kampanyalar!$A$2:$A$150,0)),""))</f>
        <v/>
      </c>
      <c r="AO381" s="26">
        <f>IF(OR(I381="",AL381="",AM381=""),"",IF(AND(H381&gt;=AL381,H381&lt;=AM381),"Evet","HAYIR - Tarih Dışı"))</f>
        <v/>
      </c>
      <c r="AP381" s="28">
        <f>IF(I381="","",IFERROR(INDEX(Kampanyalar!$H$2:$H$150,MATCH(O381,Kampanyalar!$A$2:$A$150,0)),""))</f>
        <v/>
      </c>
      <c r="AQ381" s="28">
        <f>IF(I381="","",IF(ISNUMBER(AP381),AP381,AD381))</f>
        <v/>
      </c>
      <c r="AR381" s="26">
        <f>IF(I381="","",IF(Parametreler!$C$7="Evet","Kural A - Hemen Ödeme (Stok Mutabakatlı)","Kural B - Nakliye/Montaj Sonrası Ödeme"))</f>
        <v/>
      </c>
    </row>
    <row r="382">
      <c r="A382" s="23" t="n"/>
      <c r="B382" s="23" t="n"/>
      <c r="C382" s="23" t="n"/>
      <c r="D382" s="23" t="n"/>
      <c r="E382" s="23" t="n"/>
      <c r="F382" s="23" t="n"/>
      <c r="G382" s="23" t="n"/>
      <c r="H382" s="24" t="n"/>
      <c r="I382" s="23" t="n"/>
      <c r="J382" s="23" t="n"/>
      <c r="K382" s="23" t="n"/>
      <c r="L382" s="23" t="n"/>
      <c r="M382" s="23" t="n"/>
      <c r="N382" s="23" t="n"/>
      <c r="O382" s="23" t="n"/>
      <c r="P382" s="23" t="n"/>
      <c r="Q382" s="23" t="n"/>
      <c r="R382" s="23" t="n"/>
      <c r="S382" s="23" t="n"/>
      <c r="T382" s="23" t="n"/>
      <c r="U382" s="23" t="n"/>
      <c r="V382" s="23" t="n"/>
      <c r="W382" s="23" t="n"/>
      <c r="X382" s="23" t="n"/>
      <c r="Y382" s="25" t="n"/>
      <c r="Z382" s="25" t="n"/>
      <c r="AA382" s="23" t="n"/>
      <c r="AB382" s="25" t="n"/>
      <c r="AC382" s="23" t="n"/>
      <c r="AD382" s="25" t="n"/>
      <c r="AE382" s="23" t="n"/>
      <c r="AF382" s="25" t="n"/>
      <c r="AG382" s="25" t="n"/>
      <c r="AH382" s="23" t="n"/>
      <c r="AI382" s="23" t="n"/>
      <c r="AJ382" s="26">
        <f>IF(I382="","",I382&amp;"|"&amp;R382)</f>
        <v/>
      </c>
      <c r="AK382" s="26">
        <f>IF(I382="","",IF(ISNA(MATCH(O382,Kampanyalar!$A$2:$A$150,0)),"Hayır - Kampanyalar'da Yok","Evet"))</f>
        <v/>
      </c>
      <c r="AL382" s="27">
        <f>IF(I382="","",IFERROR(INDEX(Kampanyalar!$E$2:$E$150,MATCH(O382,Kampanyalar!$A$2:$A$150,0)),""))</f>
        <v/>
      </c>
      <c r="AM382" s="27">
        <f>IF(I382="","",IFERROR(INDEX(Kampanyalar!$F$2:$F$150,MATCH(O382,Kampanyalar!$A$2:$A$150,0)),""))</f>
        <v/>
      </c>
      <c r="AN382" s="27">
        <f>IF(I382="","",IFERROR(INDEX(Kampanyalar!$G$2:$G$150,MATCH(O382,Kampanyalar!$A$2:$A$150,0)),""))</f>
        <v/>
      </c>
      <c r="AO382" s="26">
        <f>IF(OR(I382="",AL382="",AM382=""),"",IF(AND(H382&gt;=AL382,H382&lt;=AM382),"Evet","HAYIR - Tarih Dışı"))</f>
        <v/>
      </c>
      <c r="AP382" s="28">
        <f>IF(I382="","",IFERROR(INDEX(Kampanyalar!$H$2:$H$150,MATCH(O382,Kampanyalar!$A$2:$A$150,0)),""))</f>
        <v/>
      </c>
      <c r="AQ382" s="28">
        <f>IF(I382="","",IF(ISNUMBER(AP382),AP382,AD382))</f>
        <v/>
      </c>
      <c r="AR382" s="26">
        <f>IF(I382="","",IF(Parametreler!$C$7="Evet","Kural A - Hemen Ödeme (Stok Mutabakatlı)","Kural B - Nakliye/Montaj Sonrası Ödeme"))</f>
        <v/>
      </c>
    </row>
    <row r="383">
      <c r="A383" s="23" t="n"/>
      <c r="B383" s="23" t="n"/>
      <c r="C383" s="23" t="n"/>
      <c r="D383" s="23" t="n"/>
      <c r="E383" s="23" t="n"/>
      <c r="F383" s="23" t="n"/>
      <c r="G383" s="23" t="n"/>
      <c r="H383" s="24" t="n"/>
      <c r="I383" s="23" t="n"/>
      <c r="J383" s="23" t="n"/>
      <c r="K383" s="23" t="n"/>
      <c r="L383" s="23" t="n"/>
      <c r="M383" s="23" t="n"/>
      <c r="N383" s="23" t="n"/>
      <c r="O383" s="23" t="n"/>
      <c r="P383" s="23" t="n"/>
      <c r="Q383" s="23" t="n"/>
      <c r="R383" s="23" t="n"/>
      <c r="S383" s="23" t="n"/>
      <c r="T383" s="23" t="n"/>
      <c r="U383" s="23" t="n"/>
      <c r="V383" s="23" t="n"/>
      <c r="W383" s="23" t="n"/>
      <c r="X383" s="23" t="n"/>
      <c r="Y383" s="25" t="n"/>
      <c r="Z383" s="25" t="n"/>
      <c r="AA383" s="23" t="n"/>
      <c r="AB383" s="25" t="n"/>
      <c r="AC383" s="23" t="n"/>
      <c r="AD383" s="25" t="n"/>
      <c r="AE383" s="23" t="n"/>
      <c r="AF383" s="25" t="n"/>
      <c r="AG383" s="25" t="n"/>
      <c r="AH383" s="23" t="n"/>
      <c r="AI383" s="23" t="n"/>
      <c r="AJ383" s="26">
        <f>IF(I383="","",I383&amp;"|"&amp;R383)</f>
        <v/>
      </c>
      <c r="AK383" s="26">
        <f>IF(I383="","",IF(ISNA(MATCH(O383,Kampanyalar!$A$2:$A$150,0)),"Hayır - Kampanyalar'da Yok","Evet"))</f>
        <v/>
      </c>
      <c r="AL383" s="27">
        <f>IF(I383="","",IFERROR(INDEX(Kampanyalar!$E$2:$E$150,MATCH(O383,Kampanyalar!$A$2:$A$150,0)),""))</f>
        <v/>
      </c>
      <c r="AM383" s="27">
        <f>IF(I383="","",IFERROR(INDEX(Kampanyalar!$F$2:$F$150,MATCH(O383,Kampanyalar!$A$2:$A$150,0)),""))</f>
        <v/>
      </c>
      <c r="AN383" s="27">
        <f>IF(I383="","",IFERROR(INDEX(Kampanyalar!$G$2:$G$150,MATCH(O383,Kampanyalar!$A$2:$A$150,0)),""))</f>
        <v/>
      </c>
      <c r="AO383" s="26">
        <f>IF(OR(I383="",AL383="",AM383=""),"",IF(AND(H383&gt;=AL383,H383&lt;=AM383),"Evet","HAYIR - Tarih Dışı"))</f>
        <v/>
      </c>
      <c r="AP383" s="28">
        <f>IF(I383="","",IFERROR(INDEX(Kampanyalar!$H$2:$H$150,MATCH(O383,Kampanyalar!$A$2:$A$150,0)),""))</f>
        <v/>
      </c>
      <c r="AQ383" s="28">
        <f>IF(I383="","",IF(ISNUMBER(AP383),AP383,AD383))</f>
        <v/>
      </c>
      <c r="AR383" s="26">
        <f>IF(I383="","",IF(Parametreler!$C$7="Evet","Kural A - Hemen Ödeme (Stok Mutabakatlı)","Kural B - Nakliye/Montaj Sonrası Ödeme"))</f>
        <v/>
      </c>
    </row>
    <row r="384">
      <c r="A384" s="23" t="n"/>
      <c r="B384" s="23" t="n"/>
      <c r="C384" s="23" t="n"/>
      <c r="D384" s="23" t="n"/>
      <c r="E384" s="23" t="n"/>
      <c r="F384" s="23" t="n"/>
      <c r="G384" s="23" t="n"/>
      <c r="H384" s="24" t="n"/>
      <c r="I384" s="23" t="n"/>
      <c r="J384" s="23" t="n"/>
      <c r="K384" s="23" t="n"/>
      <c r="L384" s="23" t="n"/>
      <c r="M384" s="23" t="n"/>
      <c r="N384" s="23" t="n"/>
      <c r="O384" s="23" t="n"/>
      <c r="P384" s="23" t="n"/>
      <c r="Q384" s="23" t="n"/>
      <c r="R384" s="23" t="n"/>
      <c r="S384" s="23" t="n"/>
      <c r="T384" s="23" t="n"/>
      <c r="U384" s="23" t="n"/>
      <c r="V384" s="23" t="n"/>
      <c r="W384" s="23" t="n"/>
      <c r="X384" s="23" t="n"/>
      <c r="Y384" s="25" t="n"/>
      <c r="Z384" s="25" t="n"/>
      <c r="AA384" s="23" t="n"/>
      <c r="AB384" s="25" t="n"/>
      <c r="AC384" s="23" t="n"/>
      <c r="AD384" s="25" t="n"/>
      <c r="AE384" s="23" t="n"/>
      <c r="AF384" s="25" t="n"/>
      <c r="AG384" s="25" t="n"/>
      <c r="AH384" s="23" t="n"/>
      <c r="AI384" s="23" t="n"/>
      <c r="AJ384" s="26">
        <f>IF(I384="","",I384&amp;"|"&amp;R384)</f>
        <v/>
      </c>
      <c r="AK384" s="26">
        <f>IF(I384="","",IF(ISNA(MATCH(O384,Kampanyalar!$A$2:$A$150,0)),"Hayır - Kampanyalar'da Yok","Evet"))</f>
        <v/>
      </c>
      <c r="AL384" s="27">
        <f>IF(I384="","",IFERROR(INDEX(Kampanyalar!$E$2:$E$150,MATCH(O384,Kampanyalar!$A$2:$A$150,0)),""))</f>
        <v/>
      </c>
      <c r="AM384" s="27">
        <f>IF(I384="","",IFERROR(INDEX(Kampanyalar!$F$2:$F$150,MATCH(O384,Kampanyalar!$A$2:$A$150,0)),""))</f>
        <v/>
      </c>
      <c r="AN384" s="27">
        <f>IF(I384="","",IFERROR(INDEX(Kampanyalar!$G$2:$G$150,MATCH(O384,Kampanyalar!$A$2:$A$150,0)),""))</f>
        <v/>
      </c>
      <c r="AO384" s="26">
        <f>IF(OR(I384="",AL384="",AM384=""),"",IF(AND(H384&gt;=AL384,H384&lt;=AM384),"Evet","HAYIR - Tarih Dışı"))</f>
        <v/>
      </c>
      <c r="AP384" s="28">
        <f>IF(I384="","",IFERROR(INDEX(Kampanyalar!$H$2:$H$150,MATCH(O384,Kampanyalar!$A$2:$A$150,0)),""))</f>
        <v/>
      </c>
      <c r="AQ384" s="28">
        <f>IF(I384="","",IF(ISNUMBER(AP384),AP384,AD384))</f>
        <v/>
      </c>
      <c r="AR384" s="26">
        <f>IF(I384="","",IF(Parametreler!$C$7="Evet","Kural A - Hemen Ödeme (Stok Mutabakatlı)","Kural B - Nakliye/Montaj Sonrası Ödeme"))</f>
        <v/>
      </c>
    </row>
    <row r="385">
      <c r="A385" s="23" t="n"/>
      <c r="B385" s="23" t="n"/>
      <c r="C385" s="23" t="n"/>
      <c r="D385" s="23" t="n"/>
      <c r="E385" s="23" t="n"/>
      <c r="F385" s="23" t="n"/>
      <c r="G385" s="23" t="n"/>
      <c r="H385" s="24" t="n"/>
      <c r="I385" s="23" t="n"/>
      <c r="J385" s="23" t="n"/>
      <c r="K385" s="23" t="n"/>
      <c r="L385" s="23" t="n"/>
      <c r="M385" s="23" t="n"/>
      <c r="N385" s="23" t="n"/>
      <c r="O385" s="23" t="n"/>
      <c r="P385" s="23" t="n"/>
      <c r="Q385" s="23" t="n"/>
      <c r="R385" s="23" t="n"/>
      <c r="S385" s="23" t="n"/>
      <c r="T385" s="23" t="n"/>
      <c r="U385" s="23" t="n"/>
      <c r="V385" s="23" t="n"/>
      <c r="W385" s="23" t="n"/>
      <c r="X385" s="23" t="n"/>
      <c r="Y385" s="25" t="n"/>
      <c r="Z385" s="25" t="n"/>
      <c r="AA385" s="23" t="n"/>
      <c r="AB385" s="25" t="n"/>
      <c r="AC385" s="23" t="n"/>
      <c r="AD385" s="25" t="n"/>
      <c r="AE385" s="23" t="n"/>
      <c r="AF385" s="25" t="n"/>
      <c r="AG385" s="25" t="n"/>
      <c r="AH385" s="23" t="n"/>
      <c r="AI385" s="23" t="n"/>
      <c r="AJ385" s="26">
        <f>IF(I385="","",I385&amp;"|"&amp;R385)</f>
        <v/>
      </c>
      <c r="AK385" s="26">
        <f>IF(I385="","",IF(ISNA(MATCH(O385,Kampanyalar!$A$2:$A$150,0)),"Hayır - Kampanyalar'da Yok","Evet"))</f>
        <v/>
      </c>
      <c r="AL385" s="27">
        <f>IF(I385="","",IFERROR(INDEX(Kampanyalar!$E$2:$E$150,MATCH(O385,Kampanyalar!$A$2:$A$150,0)),""))</f>
        <v/>
      </c>
      <c r="AM385" s="27">
        <f>IF(I385="","",IFERROR(INDEX(Kampanyalar!$F$2:$F$150,MATCH(O385,Kampanyalar!$A$2:$A$150,0)),""))</f>
        <v/>
      </c>
      <c r="AN385" s="27">
        <f>IF(I385="","",IFERROR(INDEX(Kampanyalar!$G$2:$G$150,MATCH(O385,Kampanyalar!$A$2:$A$150,0)),""))</f>
        <v/>
      </c>
      <c r="AO385" s="26">
        <f>IF(OR(I385="",AL385="",AM385=""),"",IF(AND(H385&gt;=AL385,H385&lt;=AM385),"Evet","HAYIR - Tarih Dışı"))</f>
        <v/>
      </c>
      <c r="AP385" s="28">
        <f>IF(I385="","",IFERROR(INDEX(Kampanyalar!$H$2:$H$150,MATCH(O385,Kampanyalar!$A$2:$A$150,0)),""))</f>
        <v/>
      </c>
      <c r="AQ385" s="28">
        <f>IF(I385="","",IF(ISNUMBER(AP385),AP385,AD385))</f>
        <v/>
      </c>
      <c r="AR385" s="26">
        <f>IF(I385="","",IF(Parametreler!$C$7="Evet","Kural A - Hemen Ödeme (Stok Mutabakatlı)","Kural B - Nakliye/Montaj Sonrası Ödeme"))</f>
        <v/>
      </c>
    </row>
    <row r="386">
      <c r="A386" s="23" t="n"/>
      <c r="B386" s="23" t="n"/>
      <c r="C386" s="23" t="n"/>
      <c r="D386" s="23" t="n"/>
      <c r="E386" s="23" t="n"/>
      <c r="F386" s="23" t="n"/>
      <c r="G386" s="23" t="n"/>
      <c r="H386" s="24" t="n"/>
      <c r="I386" s="23" t="n"/>
      <c r="J386" s="23" t="n"/>
      <c r="K386" s="23" t="n"/>
      <c r="L386" s="23" t="n"/>
      <c r="M386" s="23" t="n"/>
      <c r="N386" s="23" t="n"/>
      <c r="O386" s="23" t="n"/>
      <c r="P386" s="23" t="n"/>
      <c r="Q386" s="23" t="n"/>
      <c r="R386" s="23" t="n"/>
      <c r="S386" s="23" t="n"/>
      <c r="T386" s="23" t="n"/>
      <c r="U386" s="23" t="n"/>
      <c r="V386" s="23" t="n"/>
      <c r="W386" s="23" t="n"/>
      <c r="X386" s="23" t="n"/>
      <c r="Y386" s="25" t="n"/>
      <c r="Z386" s="25" t="n"/>
      <c r="AA386" s="23" t="n"/>
      <c r="AB386" s="25" t="n"/>
      <c r="AC386" s="23" t="n"/>
      <c r="AD386" s="25" t="n"/>
      <c r="AE386" s="23" t="n"/>
      <c r="AF386" s="25" t="n"/>
      <c r="AG386" s="25" t="n"/>
      <c r="AH386" s="23" t="n"/>
      <c r="AI386" s="23" t="n"/>
      <c r="AJ386" s="26">
        <f>IF(I386="","",I386&amp;"|"&amp;R386)</f>
        <v/>
      </c>
      <c r="AK386" s="26">
        <f>IF(I386="","",IF(ISNA(MATCH(O386,Kampanyalar!$A$2:$A$150,0)),"Hayır - Kampanyalar'da Yok","Evet"))</f>
        <v/>
      </c>
      <c r="AL386" s="27">
        <f>IF(I386="","",IFERROR(INDEX(Kampanyalar!$E$2:$E$150,MATCH(O386,Kampanyalar!$A$2:$A$150,0)),""))</f>
        <v/>
      </c>
      <c r="AM386" s="27">
        <f>IF(I386="","",IFERROR(INDEX(Kampanyalar!$F$2:$F$150,MATCH(O386,Kampanyalar!$A$2:$A$150,0)),""))</f>
        <v/>
      </c>
      <c r="AN386" s="27">
        <f>IF(I386="","",IFERROR(INDEX(Kampanyalar!$G$2:$G$150,MATCH(O386,Kampanyalar!$A$2:$A$150,0)),""))</f>
        <v/>
      </c>
      <c r="AO386" s="26">
        <f>IF(OR(I386="",AL386="",AM386=""),"",IF(AND(H386&gt;=AL386,H386&lt;=AM386),"Evet","HAYIR - Tarih Dışı"))</f>
        <v/>
      </c>
      <c r="AP386" s="28">
        <f>IF(I386="","",IFERROR(INDEX(Kampanyalar!$H$2:$H$150,MATCH(O386,Kampanyalar!$A$2:$A$150,0)),""))</f>
        <v/>
      </c>
      <c r="AQ386" s="28">
        <f>IF(I386="","",IF(ISNUMBER(AP386),AP386,AD386))</f>
        <v/>
      </c>
      <c r="AR386" s="26">
        <f>IF(I386="","",IF(Parametreler!$C$7="Evet","Kural A - Hemen Ödeme (Stok Mutabakatlı)","Kural B - Nakliye/Montaj Sonrası Ödeme"))</f>
        <v/>
      </c>
    </row>
    <row r="387">
      <c r="A387" s="23" t="n"/>
      <c r="B387" s="23" t="n"/>
      <c r="C387" s="23" t="n"/>
      <c r="D387" s="23" t="n"/>
      <c r="E387" s="23" t="n"/>
      <c r="F387" s="23" t="n"/>
      <c r="G387" s="23" t="n"/>
      <c r="H387" s="24" t="n"/>
      <c r="I387" s="23" t="n"/>
      <c r="J387" s="23" t="n"/>
      <c r="K387" s="23" t="n"/>
      <c r="L387" s="23" t="n"/>
      <c r="M387" s="23" t="n"/>
      <c r="N387" s="23" t="n"/>
      <c r="O387" s="23" t="n"/>
      <c r="P387" s="23" t="n"/>
      <c r="Q387" s="23" t="n"/>
      <c r="R387" s="23" t="n"/>
      <c r="S387" s="23" t="n"/>
      <c r="T387" s="23" t="n"/>
      <c r="U387" s="23" t="n"/>
      <c r="V387" s="23" t="n"/>
      <c r="W387" s="23" t="n"/>
      <c r="X387" s="23" t="n"/>
      <c r="Y387" s="25" t="n"/>
      <c r="Z387" s="25" t="n"/>
      <c r="AA387" s="23" t="n"/>
      <c r="AB387" s="25" t="n"/>
      <c r="AC387" s="23" t="n"/>
      <c r="AD387" s="25" t="n"/>
      <c r="AE387" s="23" t="n"/>
      <c r="AF387" s="25" t="n"/>
      <c r="AG387" s="25" t="n"/>
      <c r="AH387" s="23" t="n"/>
      <c r="AI387" s="23" t="n"/>
      <c r="AJ387" s="26">
        <f>IF(I387="","",I387&amp;"|"&amp;R387)</f>
        <v/>
      </c>
      <c r="AK387" s="26">
        <f>IF(I387="","",IF(ISNA(MATCH(O387,Kampanyalar!$A$2:$A$150,0)),"Hayır - Kampanyalar'da Yok","Evet"))</f>
        <v/>
      </c>
      <c r="AL387" s="27">
        <f>IF(I387="","",IFERROR(INDEX(Kampanyalar!$E$2:$E$150,MATCH(O387,Kampanyalar!$A$2:$A$150,0)),""))</f>
        <v/>
      </c>
      <c r="AM387" s="27">
        <f>IF(I387="","",IFERROR(INDEX(Kampanyalar!$F$2:$F$150,MATCH(O387,Kampanyalar!$A$2:$A$150,0)),""))</f>
        <v/>
      </c>
      <c r="AN387" s="27">
        <f>IF(I387="","",IFERROR(INDEX(Kampanyalar!$G$2:$G$150,MATCH(O387,Kampanyalar!$A$2:$A$150,0)),""))</f>
        <v/>
      </c>
      <c r="AO387" s="26">
        <f>IF(OR(I387="",AL387="",AM387=""),"",IF(AND(H387&gt;=AL387,H387&lt;=AM387),"Evet","HAYIR - Tarih Dışı"))</f>
        <v/>
      </c>
      <c r="AP387" s="28">
        <f>IF(I387="","",IFERROR(INDEX(Kampanyalar!$H$2:$H$150,MATCH(O387,Kampanyalar!$A$2:$A$150,0)),""))</f>
        <v/>
      </c>
      <c r="AQ387" s="28">
        <f>IF(I387="","",IF(ISNUMBER(AP387),AP387,AD387))</f>
        <v/>
      </c>
      <c r="AR387" s="26">
        <f>IF(I387="","",IF(Parametreler!$C$7="Evet","Kural A - Hemen Ödeme (Stok Mutabakatlı)","Kural B - Nakliye/Montaj Sonrası Ödeme"))</f>
        <v/>
      </c>
    </row>
    <row r="388">
      <c r="A388" s="23" t="n"/>
      <c r="B388" s="23" t="n"/>
      <c r="C388" s="23" t="n"/>
      <c r="D388" s="23" t="n"/>
      <c r="E388" s="23" t="n"/>
      <c r="F388" s="23" t="n"/>
      <c r="G388" s="23" t="n"/>
      <c r="H388" s="24" t="n"/>
      <c r="I388" s="23" t="n"/>
      <c r="J388" s="23" t="n"/>
      <c r="K388" s="23" t="n"/>
      <c r="L388" s="23" t="n"/>
      <c r="M388" s="23" t="n"/>
      <c r="N388" s="23" t="n"/>
      <c r="O388" s="23" t="n"/>
      <c r="P388" s="23" t="n"/>
      <c r="Q388" s="23" t="n"/>
      <c r="R388" s="23" t="n"/>
      <c r="S388" s="23" t="n"/>
      <c r="T388" s="23" t="n"/>
      <c r="U388" s="23" t="n"/>
      <c r="V388" s="23" t="n"/>
      <c r="W388" s="23" t="n"/>
      <c r="X388" s="23" t="n"/>
      <c r="Y388" s="25" t="n"/>
      <c r="Z388" s="25" t="n"/>
      <c r="AA388" s="23" t="n"/>
      <c r="AB388" s="25" t="n"/>
      <c r="AC388" s="23" t="n"/>
      <c r="AD388" s="25" t="n"/>
      <c r="AE388" s="23" t="n"/>
      <c r="AF388" s="25" t="n"/>
      <c r="AG388" s="25" t="n"/>
      <c r="AH388" s="23" t="n"/>
      <c r="AI388" s="23" t="n"/>
      <c r="AJ388" s="26">
        <f>IF(I388="","",I388&amp;"|"&amp;R388)</f>
        <v/>
      </c>
      <c r="AK388" s="26">
        <f>IF(I388="","",IF(ISNA(MATCH(O388,Kampanyalar!$A$2:$A$150,0)),"Hayır - Kampanyalar'da Yok","Evet"))</f>
        <v/>
      </c>
      <c r="AL388" s="27">
        <f>IF(I388="","",IFERROR(INDEX(Kampanyalar!$E$2:$E$150,MATCH(O388,Kampanyalar!$A$2:$A$150,0)),""))</f>
        <v/>
      </c>
      <c r="AM388" s="27">
        <f>IF(I388="","",IFERROR(INDEX(Kampanyalar!$F$2:$F$150,MATCH(O388,Kampanyalar!$A$2:$A$150,0)),""))</f>
        <v/>
      </c>
      <c r="AN388" s="27">
        <f>IF(I388="","",IFERROR(INDEX(Kampanyalar!$G$2:$G$150,MATCH(O388,Kampanyalar!$A$2:$A$150,0)),""))</f>
        <v/>
      </c>
      <c r="AO388" s="26">
        <f>IF(OR(I388="",AL388="",AM388=""),"",IF(AND(H388&gt;=AL388,H388&lt;=AM388),"Evet","HAYIR - Tarih Dışı"))</f>
        <v/>
      </c>
      <c r="AP388" s="28">
        <f>IF(I388="","",IFERROR(INDEX(Kampanyalar!$H$2:$H$150,MATCH(O388,Kampanyalar!$A$2:$A$150,0)),""))</f>
        <v/>
      </c>
      <c r="AQ388" s="28">
        <f>IF(I388="","",IF(ISNUMBER(AP388),AP388,AD388))</f>
        <v/>
      </c>
      <c r="AR388" s="26">
        <f>IF(I388="","",IF(Parametreler!$C$7="Evet","Kural A - Hemen Ödeme (Stok Mutabakatlı)","Kural B - Nakliye/Montaj Sonrası Ödeme"))</f>
        <v/>
      </c>
    </row>
    <row r="389">
      <c r="A389" s="23" t="n"/>
      <c r="B389" s="23" t="n"/>
      <c r="C389" s="23" t="n"/>
      <c r="D389" s="23" t="n"/>
      <c r="E389" s="23" t="n"/>
      <c r="F389" s="23" t="n"/>
      <c r="G389" s="23" t="n"/>
      <c r="H389" s="24" t="n"/>
      <c r="I389" s="23" t="n"/>
      <c r="J389" s="23" t="n"/>
      <c r="K389" s="23" t="n"/>
      <c r="L389" s="23" t="n"/>
      <c r="M389" s="23" t="n"/>
      <c r="N389" s="23" t="n"/>
      <c r="O389" s="23" t="n"/>
      <c r="P389" s="23" t="n"/>
      <c r="Q389" s="23" t="n"/>
      <c r="R389" s="23" t="n"/>
      <c r="S389" s="23" t="n"/>
      <c r="T389" s="23" t="n"/>
      <c r="U389" s="23" t="n"/>
      <c r="V389" s="23" t="n"/>
      <c r="W389" s="23" t="n"/>
      <c r="X389" s="23" t="n"/>
      <c r="Y389" s="25" t="n"/>
      <c r="Z389" s="25" t="n"/>
      <c r="AA389" s="23" t="n"/>
      <c r="AB389" s="25" t="n"/>
      <c r="AC389" s="23" t="n"/>
      <c r="AD389" s="25" t="n"/>
      <c r="AE389" s="23" t="n"/>
      <c r="AF389" s="25" t="n"/>
      <c r="AG389" s="25" t="n"/>
      <c r="AH389" s="23" t="n"/>
      <c r="AI389" s="23" t="n"/>
      <c r="AJ389" s="26">
        <f>IF(I389="","",I389&amp;"|"&amp;R389)</f>
        <v/>
      </c>
      <c r="AK389" s="26">
        <f>IF(I389="","",IF(ISNA(MATCH(O389,Kampanyalar!$A$2:$A$150,0)),"Hayır - Kampanyalar'da Yok","Evet"))</f>
        <v/>
      </c>
      <c r="AL389" s="27">
        <f>IF(I389="","",IFERROR(INDEX(Kampanyalar!$E$2:$E$150,MATCH(O389,Kampanyalar!$A$2:$A$150,0)),""))</f>
        <v/>
      </c>
      <c r="AM389" s="27">
        <f>IF(I389="","",IFERROR(INDEX(Kampanyalar!$F$2:$F$150,MATCH(O389,Kampanyalar!$A$2:$A$150,0)),""))</f>
        <v/>
      </c>
      <c r="AN389" s="27">
        <f>IF(I389="","",IFERROR(INDEX(Kampanyalar!$G$2:$G$150,MATCH(O389,Kampanyalar!$A$2:$A$150,0)),""))</f>
        <v/>
      </c>
      <c r="AO389" s="26">
        <f>IF(OR(I389="",AL389="",AM389=""),"",IF(AND(H389&gt;=AL389,H389&lt;=AM389),"Evet","HAYIR - Tarih Dışı"))</f>
        <v/>
      </c>
      <c r="AP389" s="28">
        <f>IF(I389="","",IFERROR(INDEX(Kampanyalar!$H$2:$H$150,MATCH(O389,Kampanyalar!$A$2:$A$150,0)),""))</f>
        <v/>
      </c>
      <c r="AQ389" s="28">
        <f>IF(I389="","",IF(ISNUMBER(AP389),AP389,AD389))</f>
        <v/>
      </c>
      <c r="AR389" s="26">
        <f>IF(I389="","",IF(Parametreler!$C$7="Evet","Kural A - Hemen Ödeme (Stok Mutabakatlı)","Kural B - Nakliye/Montaj Sonrası Ödeme"))</f>
        <v/>
      </c>
    </row>
    <row r="390">
      <c r="A390" s="23" t="n"/>
      <c r="B390" s="23" t="n"/>
      <c r="C390" s="23" t="n"/>
      <c r="D390" s="23" t="n"/>
      <c r="E390" s="23" t="n"/>
      <c r="F390" s="23" t="n"/>
      <c r="G390" s="23" t="n"/>
      <c r="H390" s="24" t="n"/>
      <c r="I390" s="23" t="n"/>
      <c r="J390" s="23" t="n"/>
      <c r="K390" s="23" t="n"/>
      <c r="L390" s="23" t="n"/>
      <c r="M390" s="23" t="n"/>
      <c r="N390" s="23" t="n"/>
      <c r="O390" s="23" t="n"/>
      <c r="P390" s="23" t="n"/>
      <c r="Q390" s="23" t="n"/>
      <c r="R390" s="23" t="n"/>
      <c r="S390" s="23" t="n"/>
      <c r="T390" s="23" t="n"/>
      <c r="U390" s="23" t="n"/>
      <c r="V390" s="23" t="n"/>
      <c r="W390" s="23" t="n"/>
      <c r="X390" s="23" t="n"/>
      <c r="Y390" s="25" t="n"/>
      <c r="Z390" s="25" t="n"/>
      <c r="AA390" s="23" t="n"/>
      <c r="AB390" s="25" t="n"/>
      <c r="AC390" s="23" t="n"/>
      <c r="AD390" s="25" t="n"/>
      <c r="AE390" s="23" t="n"/>
      <c r="AF390" s="25" t="n"/>
      <c r="AG390" s="25" t="n"/>
      <c r="AH390" s="23" t="n"/>
      <c r="AI390" s="23" t="n"/>
      <c r="AJ390" s="26">
        <f>IF(I390="","",I390&amp;"|"&amp;R390)</f>
        <v/>
      </c>
      <c r="AK390" s="26">
        <f>IF(I390="","",IF(ISNA(MATCH(O390,Kampanyalar!$A$2:$A$150,0)),"Hayır - Kampanyalar'da Yok","Evet"))</f>
        <v/>
      </c>
      <c r="AL390" s="27">
        <f>IF(I390="","",IFERROR(INDEX(Kampanyalar!$E$2:$E$150,MATCH(O390,Kampanyalar!$A$2:$A$150,0)),""))</f>
        <v/>
      </c>
      <c r="AM390" s="27">
        <f>IF(I390="","",IFERROR(INDEX(Kampanyalar!$F$2:$F$150,MATCH(O390,Kampanyalar!$A$2:$A$150,0)),""))</f>
        <v/>
      </c>
      <c r="AN390" s="27">
        <f>IF(I390="","",IFERROR(INDEX(Kampanyalar!$G$2:$G$150,MATCH(O390,Kampanyalar!$A$2:$A$150,0)),""))</f>
        <v/>
      </c>
      <c r="AO390" s="26">
        <f>IF(OR(I390="",AL390="",AM390=""),"",IF(AND(H390&gt;=AL390,H390&lt;=AM390),"Evet","HAYIR - Tarih Dışı"))</f>
        <v/>
      </c>
      <c r="AP390" s="28">
        <f>IF(I390="","",IFERROR(INDEX(Kampanyalar!$H$2:$H$150,MATCH(O390,Kampanyalar!$A$2:$A$150,0)),""))</f>
        <v/>
      </c>
      <c r="AQ390" s="28">
        <f>IF(I390="","",IF(ISNUMBER(AP390),AP390,AD390))</f>
        <v/>
      </c>
      <c r="AR390" s="26">
        <f>IF(I390="","",IF(Parametreler!$C$7="Evet","Kural A - Hemen Ödeme (Stok Mutabakatlı)","Kural B - Nakliye/Montaj Sonrası Ödeme"))</f>
        <v/>
      </c>
    </row>
    <row r="391">
      <c r="A391" s="23" t="n"/>
      <c r="B391" s="23" t="n"/>
      <c r="C391" s="23" t="n"/>
      <c r="D391" s="23" t="n"/>
      <c r="E391" s="23" t="n"/>
      <c r="F391" s="23" t="n"/>
      <c r="G391" s="23" t="n"/>
      <c r="H391" s="24" t="n"/>
      <c r="I391" s="23" t="n"/>
      <c r="J391" s="23" t="n"/>
      <c r="K391" s="23" t="n"/>
      <c r="L391" s="23" t="n"/>
      <c r="M391" s="23" t="n"/>
      <c r="N391" s="23" t="n"/>
      <c r="O391" s="23" t="n"/>
      <c r="P391" s="23" t="n"/>
      <c r="Q391" s="23" t="n"/>
      <c r="R391" s="23" t="n"/>
      <c r="S391" s="23" t="n"/>
      <c r="T391" s="23" t="n"/>
      <c r="U391" s="23" t="n"/>
      <c r="V391" s="23" t="n"/>
      <c r="W391" s="23" t="n"/>
      <c r="X391" s="23" t="n"/>
      <c r="Y391" s="25" t="n"/>
      <c r="Z391" s="25" t="n"/>
      <c r="AA391" s="23" t="n"/>
      <c r="AB391" s="25" t="n"/>
      <c r="AC391" s="23" t="n"/>
      <c r="AD391" s="25" t="n"/>
      <c r="AE391" s="23" t="n"/>
      <c r="AF391" s="25" t="n"/>
      <c r="AG391" s="25" t="n"/>
      <c r="AH391" s="23" t="n"/>
      <c r="AI391" s="23" t="n"/>
      <c r="AJ391" s="26">
        <f>IF(I391="","",I391&amp;"|"&amp;R391)</f>
        <v/>
      </c>
      <c r="AK391" s="26">
        <f>IF(I391="","",IF(ISNA(MATCH(O391,Kampanyalar!$A$2:$A$150,0)),"Hayır - Kampanyalar'da Yok","Evet"))</f>
        <v/>
      </c>
      <c r="AL391" s="27">
        <f>IF(I391="","",IFERROR(INDEX(Kampanyalar!$E$2:$E$150,MATCH(O391,Kampanyalar!$A$2:$A$150,0)),""))</f>
        <v/>
      </c>
      <c r="AM391" s="27">
        <f>IF(I391="","",IFERROR(INDEX(Kampanyalar!$F$2:$F$150,MATCH(O391,Kampanyalar!$A$2:$A$150,0)),""))</f>
        <v/>
      </c>
      <c r="AN391" s="27">
        <f>IF(I391="","",IFERROR(INDEX(Kampanyalar!$G$2:$G$150,MATCH(O391,Kampanyalar!$A$2:$A$150,0)),""))</f>
        <v/>
      </c>
      <c r="AO391" s="26">
        <f>IF(OR(I391="",AL391="",AM391=""),"",IF(AND(H391&gt;=AL391,H391&lt;=AM391),"Evet","HAYIR - Tarih Dışı"))</f>
        <v/>
      </c>
      <c r="AP391" s="28">
        <f>IF(I391="","",IFERROR(INDEX(Kampanyalar!$H$2:$H$150,MATCH(O391,Kampanyalar!$A$2:$A$150,0)),""))</f>
        <v/>
      </c>
      <c r="AQ391" s="28">
        <f>IF(I391="","",IF(ISNUMBER(AP391),AP391,AD391))</f>
        <v/>
      </c>
      <c r="AR391" s="26">
        <f>IF(I391="","",IF(Parametreler!$C$7="Evet","Kural A - Hemen Ödeme (Stok Mutabakatlı)","Kural B - Nakliye/Montaj Sonrası Ödeme"))</f>
        <v/>
      </c>
    </row>
    <row r="392">
      <c r="A392" s="23" t="n"/>
      <c r="B392" s="23" t="n"/>
      <c r="C392" s="23" t="n"/>
      <c r="D392" s="23" t="n"/>
      <c r="E392" s="23" t="n"/>
      <c r="F392" s="23" t="n"/>
      <c r="G392" s="23" t="n"/>
      <c r="H392" s="24" t="n"/>
      <c r="I392" s="23" t="n"/>
      <c r="J392" s="23" t="n"/>
      <c r="K392" s="23" t="n"/>
      <c r="L392" s="23" t="n"/>
      <c r="M392" s="23" t="n"/>
      <c r="N392" s="23" t="n"/>
      <c r="O392" s="23" t="n"/>
      <c r="P392" s="23" t="n"/>
      <c r="Q392" s="23" t="n"/>
      <c r="R392" s="23" t="n"/>
      <c r="S392" s="23" t="n"/>
      <c r="T392" s="23" t="n"/>
      <c r="U392" s="23" t="n"/>
      <c r="V392" s="23" t="n"/>
      <c r="W392" s="23" t="n"/>
      <c r="X392" s="23" t="n"/>
      <c r="Y392" s="25" t="n"/>
      <c r="Z392" s="25" t="n"/>
      <c r="AA392" s="23" t="n"/>
      <c r="AB392" s="25" t="n"/>
      <c r="AC392" s="23" t="n"/>
      <c r="AD392" s="25" t="n"/>
      <c r="AE392" s="23" t="n"/>
      <c r="AF392" s="25" t="n"/>
      <c r="AG392" s="25" t="n"/>
      <c r="AH392" s="23" t="n"/>
      <c r="AI392" s="23" t="n"/>
      <c r="AJ392" s="26">
        <f>IF(I392="","",I392&amp;"|"&amp;R392)</f>
        <v/>
      </c>
      <c r="AK392" s="26">
        <f>IF(I392="","",IF(ISNA(MATCH(O392,Kampanyalar!$A$2:$A$150,0)),"Hayır - Kampanyalar'da Yok","Evet"))</f>
        <v/>
      </c>
      <c r="AL392" s="27">
        <f>IF(I392="","",IFERROR(INDEX(Kampanyalar!$E$2:$E$150,MATCH(O392,Kampanyalar!$A$2:$A$150,0)),""))</f>
        <v/>
      </c>
      <c r="AM392" s="27">
        <f>IF(I392="","",IFERROR(INDEX(Kampanyalar!$F$2:$F$150,MATCH(O392,Kampanyalar!$A$2:$A$150,0)),""))</f>
        <v/>
      </c>
      <c r="AN392" s="27">
        <f>IF(I392="","",IFERROR(INDEX(Kampanyalar!$G$2:$G$150,MATCH(O392,Kampanyalar!$A$2:$A$150,0)),""))</f>
        <v/>
      </c>
      <c r="AO392" s="26">
        <f>IF(OR(I392="",AL392="",AM392=""),"",IF(AND(H392&gt;=AL392,H392&lt;=AM392),"Evet","HAYIR - Tarih Dışı"))</f>
        <v/>
      </c>
      <c r="AP392" s="28">
        <f>IF(I392="","",IFERROR(INDEX(Kampanyalar!$H$2:$H$150,MATCH(O392,Kampanyalar!$A$2:$A$150,0)),""))</f>
        <v/>
      </c>
      <c r="AQ392" s="28">
        <f>IF(I392="","",IF(ISNUMBER(AP392),AP392,AD392))</f>
        <v/>
      </c>
      <c r="AR392" s="26">
        <f>IF(I392="","",IF(Parametreler!$C$7="Evet","Kural A - Hemen Ödeme (Stok Mutabakatlı)","Kural B - Nakliye/Montaj Sonrası Ödeme"))</f>
        <v/>
      </c>
    </row>
    <row r="393">
      <c r="A393" s="23" t="n"/>
      <c r="B393" s="23" t="n"/>
      <c r="C393" s="23" t="n"/>
      <c r="D393" s="23" t="n"/>
      <c r="E393" s="23" t="n"/>
      <c r="F393" s="23" t="n"/>
      <c r="G393" s="23" t="n"/>
      <c r="H393" s="24" t="n"/>
      <c r="I393" s="23" t="n"/>
      <c r="J393" s="23" t="n"/>
      <c r="K393" s="23" t="n"/>
      <c r="L393" s="23" t="n"/>
      <c r="M393" s="23" t="n"/>
      <c r="N393" s="23" t="n"/>
      <c r="O393" s="23" t="n"/>
      <c r="P393" s="23" t="n"/>
      <c r="Q393" s="23" t="n"/>
      <c r="R393" s="23" t="n"/>
      <c r="S393" s="23" t="n"/>
      <c r="T393" s="23" t="n"/>
      <c r="U393" s="23" t="n"/>
      <c r="V393" s="23" t="n"/>
      <c r="W393" s="23" t="n"/>
      <c r="X393" s="23" t="n"/>
      <c r="Y393" s="25" t="n"/>
      <c r="Z393" s="25" t="n"/>
      <c r="AA393" s="23" t="n"/>
      <c r="AB393" s="25" t="n"/>
      <c r="AC393" s="23" t="n"/>
      <c r="AD393" s="25" t="n"/>
      <c r="AE393" s="23" t="n"/>
      <c r="AF393" s="25" t="n"/>
      <c r="AG393" s="25" t="n"/>
      <c r="AH393" s="23" t="n"/>
      <c r="AI393" s="23" t="n"/>
      <c r="AJ393" s="26">
        <f>IF(I393="","",I393&amp;"|"&amp;R393)</f>
        <v/>
      </c>
      <c r="AK393" s="26">
        <f>IF(I393="","",IF(ISNA(MATCH(O393,Kampanyalar!$A$2:$A$150,0)),"Hayır - Kampanyalar'da Yok","Evet"))</f>
        <v/>
      </c>
      <c r="AL393" s="27">
        <f>IF(I393="","",IFERROR(INDEX(Kampanyalar!$E$2:$E$150,MATCH(O393,Kampanyalar!$A$2:$A$150,0)),""))</f>
        <v/>
      </c>
      <c r="AM393" s="27">
        <f>IF(I393="","",IFERROR(INDEX(Kampanyalar!$F$2:$F$150,MATCH(O393,Kampanyalar!$A$2:$A$150,0)),""))</f>
        <v/>
      </c>
      <c r="AN393" s="27">
        <f>IF(I393="","",IFERROR(INDEX(Kampanyalar!$G$2:$G$150,MATCH(O393,Kampanyalar!$A$2:$A$150,0)),""))</f>
        <v/>
      </c>
      <c r="AO393" s="26">
        <f>IF(OR(I393="",AL393="",AM393=""),"",IF(AND(H393&gt;=AL393,H393&lt;=AM393),"Evet","HAYIR - Tarih Dışı"))</f>
        <v/>
      </c>
      <c r="AP393" s="28">
        <f>IF(I393="","",IFERROR(INDEX(Kampanyalar!$H$2:$H$150,MATCH(O393,Kampanyalar!$A$2:$A$150,0)),""))</f>
        <v/>
      </c>
      <c r="AQ393" s="28">
        <f>IF(I393="","",IF(ISNUMBER(AP393),AP393,AD393))</f>
        <v/>
      </c>
      <c r="AR393" s="26">
        <f>IF(I393="","",IF(Parametreler!$C$7="Evet","Kural A - Hemen Ödeme (Stok Mutabakatlı)","Kural B - Nakliye/Montaj Sonrası Ödeme"))</f>
        <v/>
      </c>
    </row>
    <row r="394">
      <c r="A394" s="23" t="n"/>
      <c r="B394" s="23" t="n"/>
      <c r="C394" s="23" t="n"/>
      <c r="D394" s="23" t="n"/>
      <c r="E394" s="23" t="n"/>
      <c r="F394" s="23" t="n"/>
      <c r="G394" s="23" t="n"/>
      <c r="H394" s="24" t="n"/>
      <c r="I394" s="23" t="n"/>
      <c r="J394" s="23" t="n"/>
      <c r="K394" s="23" t="n"/>
      <c r="L394" s="23" t="n"/>
      <c r="M394" s="23" t="n"/>
      <c r="N394" s="23" t="n"/>
      <c r="O394" s="23" t="n"/>
      <c r="P394" s="23" t="n"/>
      <c r="Q394" s="23" t="n"/>
      <c r="R394" s="23" t="n"/>
      <c r="S394" s="23" t="n"/>
      <c r="T394" s="23" t="n"/>
      <c r="U394" s="23" t="n"/>
      <c r="V394" s="23" t="n"/>
      <c r="W394" s="23" t="n"/>
      <c r="X394" s="23" t="n"/>
      <c r="Y394" s="25" t="n"/>
      <c r="Z394" s="25" t="n"/>
      <c r="AA394" s="23" t="n"/>
      <c r="AB394" s="25" t="n"/>
      <c r="AC394" s="23" t="n"/>
      <c r="AD394" s="25" t="n"/>
      <c r="AE394" s="23" t="n"/>
      <c r="AF394" s="25" t="n"/>
      <c r="AG394" s="25" t="n"/>
      <c r="AH394" s="23" t="n"/>
      <c r="AI394" s="23" t="n"/>
      <c r="AJ394" s="26">
        <f>IF(I394="","",I394&amp;"|"&amp;R394)</f>
        <v/>
      </c>
      <c r="AK394" s="26">
        <f>IF(I394="","",IF(ISNA(MATCH(O394,Kampanyalar!$A$2:$A$150,0)),"Hayır - Kampanyalar'da Yok","Evet"))</f>
        <v/>
      </c>
      <c r="AL394" s="27">
        <f>IF(I394="","",IFERROR(INDEX(Kampanyalar!$E$2:$E$150,MATCH(O394,Kampanyalar!$A$2:$A$150,0)),""))</f>
        <v/>
      </c>
      <c r="AM394" s="27">
        <f>IF(I394="","",IFERROR(INDEX(Kampanyalar!$F$2:$F$150,MATCH(O394,Kampanyalar!$A$2:$A$150,0)),""))</f>
        <v/>
      </c>
      <c r="AN394" s="27">
        <f>IF(I394="","",IFERROR(INDEX(Kampanyalar!$G$2:$G$150,MATCH(O394,Kampanyalar!$A$2:$A$150,0)),""))</f>
        <v/>
      </c>
      <c r="AO394" s="26">
        <f>IF(OR(I394="",AL394="",AM394=""),"",IF(AND(H394&gt;=AL394,H394&lt;=AM394),"Evet","HAYIR - Tarih Dışı"))</f>
        <v/>
      </c>
      <c r="AP394" s="28">
        <f>IF(I394="","",IFERROR(INDEX(Kampanyalar!$H$2:$H$150,MATCH(O394,Kampanyalar!$A$2:$A$150,0)),""))</f>
        <v/>
      </c>
      <c r="AQ394" s="28">
        <f>IF(I394="","",IF(ISNUMBER(AP394),AP394,AD394))</f>
        <v/>
      </c>
      <c r="AR394" s="26">
        <f>IF(I394="","",IF(Parametreler!$C$7="Evet","Kural A - Hemen Ödeme (Stok Mutabakatlı)","Kural B - Nakliye/Montaj Sonrası Ödeme"))</f>
        <v/>
      </c>
    </row>
    <row r="395">
      <c r="A395" s="23" t="n"/>
      <c r="B395" s="23" t="n"/>
      <c r="C395" s="23" t="n"/>
      <c r="D395" s="23" t="n"/>
      <c r="E395" s="23" t="n"/>
      <c r="F395" s="23" t="n"/>
      <c r="G395" s="23" t="n"/>
      <c r="H395" s="24" t="n"/>
      <c r="I395" s="23" t="n"/>
      <c r="J395" s="23" t="n"/>
      <c r="K395" s="23" t="n"/>
      <c r="L395" s="23" t="n"/>
      <c r="M395" s="23" t="n"/>
      <c r="N395" s="23" t="n"/>
      <c r="O395" s="23" t="n"/>
      <c r="P395" s="23" t="n"/>
      <c r="Q395" s="23" t="n"/>
      <c r="R395" s="23" t="n"/>
      <c r="S395" s="23" t="n"/>
      <c r="T395" s="23" t="n"/>
      <c r="U395" s="23" t="n"/>
      <c r="V395" s="23" t="n"/>
      <c r="W395" s="23" t="n"/>
      <c r="X395" s="23" t="n"/>
      <c r="Y395" s="25" t="n"/>
      <c r="Z395" s="25" t="n"/>
      <c r="AA395" s="23" t="n"/>
      <c r="AB395" s="25" t="n"/>
      <c r="AC395" s="23" t="n"/>
      <c r="AD395" s="25" t="n"/>
      <c r="AE395" s="23" t="n"/>
      <c r="AF395" s="25" t="n"/>
      <c r="AG395" s="25" t="n"/>
      <c r="AH395" s="23" t="n"/>
      <c r="AI395" s="23" t="n"/>
      <c r="AJ395" s="26">
        <f>IF(I395="","",I395&amp;"|"&amp;R395)</f>
        <v/>
      </c>
      <c r="AK395" s="26">
        <f>IF(I395="","",IF(ISNA(MATCH(O395,Kampanyalar!$A$2:$A$150,0)),"Hayır - Kampanyalar'da Yok","Evet"))</f>
        <v/>
      </c>
      <c r="AL395" s="27">
        <f>IF(I395="","",IFERROR(INDEX(Kampanyalar!$E$2:$E$150,MATCH(O395,Kampanyalar!$A$2:$A$150,0)),""))</f>
        <v/>
      </c>
      <c r="AM395" s="27">
        <f>IF(I395="","",IFERROR(INDEX(Kampanyalar!$F$2:$F$150,MATCH(O395,Kampanyalar!$A$2:$A$150,0)),""))</f>
        <v/>
      </c>
      <c r="AN395" s="27">
        <f>IF(I395="","",IFERROR(INDEX(Kampanyalar!$G$2:$G$150,MATCH(O395,Kampanyalar!$A$2:$A$150,0)),""))</f>
        <v/>
      </c>
      <c r="AO395" s="26">
        <f>IF(OR(I395="",AL395="",AM395=""),"",IF(AND(H395&gt;=AL395,H395&lt;=AM395),"Evet","HAYIR - Tarih Dışı"))</f>
        <v/>
      </c>
      <c r="AP395" s="28">
        <f>IF(I395="","",IFERROR(INDEX(Kampanyalar!$H$2:$H$150,MATCH(O395,Kampanyalar!$A$2:$A$150,0)),""))</f>
        <v/>
      </c>
      <c r="AQ395" s="28">
        <f>IF(I395="","",IF(ISNUMBER(AP395),AP395,AD395))</f>
        <v/>
      </c>
      <c r="AR395" s="26">
        <f>IF(I395="","",IF(Parametreler!$C$7="Evet","Kural A - Hemen Ödeme (Stok Mutabakatlı)","Kural B - Nakliye/Montaj Sonrası Ödeme"))</f>
        <v/>
      </c>
    </row>
    <row r="396">
      <c r="A396" s="23" t="n"/>
      <c r="B396" s="23" t="n"/>
      <c r="C396" s="23" t="n"/>
      <c r="D396" s="23" t="n"/>
      <c r="E396" s="23" t="n"/>
      <c r="F396" s="23" t="n"/>
      <c r="G396" s="23" t="n"/>
      <c r="H396" s="24" t="n"/>
      <c r="I396" s="23" t="n"/>
      <c r="J396" s="23" t="n"/>
      <c r="K396" s="23" t="n"/>
      <c r="L396" s="23" t="n"/>
      <c r="M396" s="23" t="n"/>
      <c r="N396" s="23" t="n"/>
      <c r="O396" s="23" t="n"/>
      <c r="P396" s="23" t="n"/>
      <c r="Q396" s="23" t="n"/>
      <c r="R396" s="23" t="n"/>
      <c r="S396" s="23" t="n"/>
      <c r="T396" s="23" t="n"/>
      <c r="U396" s="23" t="n"/>
      <c r="V396" s="23" t="n"/>
      <c r="W396" s="23" t="n"/>
      <c r="X396" s="23" t="n"/>
      <c r="Y396" s="25" t="n"/>
      <c r="Z396" s="25" t="n"/>
      <c r="AA396" s="23" t="n"/>
      <c r="AB396" s="25" t="n"/>
      <c r="AC396" s="23" t="n"/>
      <c r="AD396" s="25" t="n"/>
      <c r="AE396" s="23" t="n"/>
      <c r="AF396" s="25" t="n"/>
      <c r="AG396" s="25" t="n"/>
      <c r="AH396" s="23" t="n"/>
      <c r="AI396" s="23" t="n"/>
      <c r="AJ396" s="26">
        <f>IF(I396="","",I396&amp;"|"&amp;R396)</f>
        <v/>
      </c>
      <c r="AK396" s="26">
        <f>IF(I396="","",IF(ISNA(MATCH(O396,Kampanyalar!$A$2:$A$150,0)),"Hayır - Kampanyalar'da Yok","Evet"))</f>
        <v/>
      </c>
      <c r="AL396" s="27">
        <f>IF(I396="","",IFERROR(INDEX(Kampanyalar!$E$2:$E$150,MATCH(O396,Kampanyalar!$A$2:$A$150,0)),""))</f>
        <v/>
      </c>
      <c r="AM396" s="27">
        <f>IF(I396="","",IFERROR(INDEX(Kampanyalar!$F$2:$F$150,MATCH(O396,Kampanyalar!$A$2:$A$150,0)),""))</f>
        <v/>
      </c>
      <c r="AN396" s="27">
        <f>IF(I396="","",IFERROR(INDEX(Kampanyalar!$G$2:$G$150,MATCH(O396,Kampanyalar!$A$2:$A$150,0)),""))</f>
        <v/>
      </c>
      <c r="AO396" s="26">
        <f>IF(OR(I396="",AL396="",AM396=""),"",IF(AND(H396&gt;=AL396,H396&lt;=AM396),"Evet","HAYIR - Tarih Dışı"))</f>
        <v/>
      </c>
      <c r="AP396" s="28">
        <f>IF(I396="","",IFERROR(INDEX(Kampanyalar!$H$2:$H$150,MATCH(O396,Kampanyalar!$A$2:$A$150,0)),""))</f>
        <v/>
      </c>
      <c r="AQ396" s="28">
        <f>IF(I396="","",IF(ISNUMBER(AP396),AP396,AD396))</f>
        <v/>
      </c>
      <c r="AR396" s="26">
        <f>IF(I396="","",IF(Parametreler!$C$7="Evet","Kural A - Hemen Ödeme (Stok Mutabakatlı)","Kural B - Nakliye/Montaj Sonrası Ödeme"))</f>
        <v/>
      </c>
    </row>
    <row r="397">
      <c r="A397" s="23" t="n"/>
      <c r="B397" s="23" t="n"/>
      <c r="C397" s="23" t="n"/>
      <c r="D397" s="23" t="n"/>
      <c r="E397" s="23" t="n"/>
      <c r="F397" s="23" t="n"/>
      <c r="G397" s="23" t="n"/>
      <c r="H397" s="24" t="n"/>
      <c r="I397" s="23" t="n"/>
      <c r="J397" s="23" t="n"/>
      <c r="K397" s="23" t="n"/>
      <c r="L397" s="23" t="n"/>
      <c r="M397" s="23" t="n"/>
      <c r="N397" s="23" t="n"/>
      <c r="O397" s="23" t="n"/>
      <c r="P397" s="23" t="n"/>
      <c r="Q397" s="23" t="n"/>
      <c r="R397" s="23" t="n"/>
      <c r="S397" s="23" t="n"/>
      <c r="T397" s="23" t="n"/>
      <c r="U397" s="23" t="n"/>
      <c r="V397" s="23" t="n"/>
      <c r="W397" s="23" t="n"/>
      <c r="X397" s="23" t="n"/>
      <c r="Y397" s="25" t="n"/>
      <c r="Z397" s="25" t="n"/>
      <c r="AA397" s="23" t="n"/>
      <c r="AB397" s="25" t="n"/>
      <c r="AC397" s="23" t="n"/>
      <c r="AD397" s="25" t="n"/>
      <c r="AE397" s="23" t="n"/>
      <c r="AF397" s="25" t="n"/>
      <c r="AG397" s="25" t="n"/>
      <c r="AH397" s="23" t="n"/>
      <c r="AI397" s="23" t="n"/>
      <c r="AJ397" s="26">
        <f>IF(I397="","",I397&amp;"|"&amp;R397)</f>
        <v/>
      </c>
      <c r="AK397" s="26">
        <f>IF(I397="","",IF(ISNA(MATCH(O397,Kampanyalar!$A$2:$A$150,0)),"Hayır - Kampanyalar'da Yok","Evet"))</f>
        <v/>
      </c>
      <c r="AL397" s="27">
        <f>IF(I397="","",IFERROR(INDEX(Kampanyalar!$E$2:$E$150,MATCH(O397,Kampanyalar!$A$2:$A$150,0)),""))</f>
        <v/>
      </c>
      <c r="AM397" s="27">
        <f>IF(I397="","",IFERROR(INDEX(Kampanyalar!$F$2:$F$150,MATCH(O397,Kampanyalar!$A$2:$A$150,0)),""))</f>
        <v/>
      </c>
      <c r="AN397" s="27">
        <f>IF(I397="","",IFERROR(INDEX(Kampanyalar!$G$2:$G$150,MATCH(O397,Kampanyalar!$A$2:$A$150,0)),""))</f>
        <v/>
      </c>
      <c r="AO397" s="26">
        <f>IF(OR(I397="",AL397="",AM397=""),"",IF(AND(H397&gt;=AL397,H397&lt;=AM397),"Evet","HAYIR - Tarih Dışı"))</f>
        <v/>
      </c>
      <c r="AP397" s="28">
        <f>IF(I397="","",IFERROR(INDEX(Kampanyalar!$H$2:$H$150,MATCH(O397,Kampanyalar!$A$2:$A$150,0)),""))</f>
        <v/>
      </c>
      <c r="AQ397" s="28">
        <f>IF(I397="","",IF(ISNUMBER(AP397),AP397,AD397))</f>
        <v/>
      </c>
      <c r="AR397" s="26">
        <f>IF(I397="","",IF(Parametreler!$C$7="Evet","Kural A - Hemen Ödeme (Stok Mutabakatlı)","Kural B - Nakliye/Montaj Sonrası Ödeme"))</f>
        <v/>
      </c>
    </row>
    <row r="398">
      <c r="A398" s="23" t="n"/>
      <c r="B398" s="23" t="n"/>
      <c r="C398" s="23" t="n"/>
      <c r="D398" s="23" t="n"/>
      <c r="E398" s="23" t="n"/>
      <c r="F398" s="23" t="n"/>
      <c r="G398" s="23" t="n"/>
      <c r="H398" s="24" t="n"/>
      <c r="I398" s="23" t="n"/>
      <c r="J398" s="23" t="n"/>
      <c r="K398" s="23" t="n"/>
      <c r="L398" s="23" t="n"/>
      <c r="M398" s="23" t="n"/>
      <c r="N398" s="23" t="n"/>
      <c r="O398" s="23" t="n"/>
      <c r="P398" s="23" t="n"/>
      <c r="Q398" s="23" t="n"/>
      <c r="R398" s="23" t="n"/>
      <c r="S398" s="23" t="n"/>
      <c r="T398" s="23" t="n"/>
      <c r="U398" s="23" t="n"/>
      <c r="V398" s="23" t="n"/>
      <c r="W398" s="23" t="n"/>
      <c r="X398" s="23" t="n"/>
      <c r="Y398" s="25" t="n"/>
      <c r="Z398" s="25" t="n"/>
      <c r="AA398" s="23" t="n"/>
      <c r="AB398" s="25" t="n"/>
      <c r="AC398" s="23" t="n"/>
      <c r="AD398" s="25" t="n"/>
      <c r="AE398" s="23" t="n"/>
      <c r="AF398" s="25" t="n"/>
      <c r="AG398" s="25" t="n"/>
      <c r="AH398" s="23" t="n"/>
      <c r="AI398" s="23" t="n"/>
      <c r="AJ398" s="26">
        <f>IF(I398="","",I398&amp;"|"&amp;R398)</f>
        <v/>
      </c>
      <c r="AK398" s="26">
        <f>IF(I398="","",IF(ISNA(MATCH(O398,Kampanyalar!$A$2:$A$150,0)),"Hayır - Kampanyalar'da Yok","Evet"))</f>
        <v/>
      </c>
      <c r="AL398" s="27">
        <f>IF(I398="","",IFERROR(INDEX(Kampanyalar!$E$2:$E$150,MATCH(O398,Kampanyalar!$A$2:$A$150,0)),""))</f>
        <v/>
      </c>
      <c r="AM398" s="27">
        <f>IF(I398="","",IFERROR(INDEX(Kampanyalar!$F$2:$F$150,MATCH(O398,Kampanyalar!$A$2:$A$150,0)),""))</f>
        <v/>
      </c>
      <c r="AN398" s="27">
        <f>IF(I398="","",IFERROR(INDEX(Kampanyalar!$G$2:$G$150,MATCH(O398,Kampanyalar!$A$2:$A$150,0)),""))</f>
        <v/>
      </c>
      <c r="AO398" s="26">
        <f>IF(OR(I398="",AL398="",AM398=""),"",IF(AND(H398&gt;=AL398,H398&lt;=AM398),"Evet","HAYIR - Tarih Dışı"))</f>
        <v/>
      </c>
      <c r="AP398" s="28">
        <f>IF(I398="","",IFERROR(INDEX(Kampanyalar!$H$2:$H$150,MATCH(O398,Kampanyalar!$A$2:$A$150,0)),""))</f>
        <v/>
      </c>
      <c r="AQ398" s="28">
        <f>IF(I398="","",IF(ISNUMBER(AP398),AP398,AD398))</f>
        <v/>
      </c>
      <c r="AR398" s="26">
        <f>IF(I398="","",IF(Parametreler!$C$7="Evet","Kural A - Hemen Ödeme (Stok Mutabakatlı)","Kural B - Nakliye/Montaj Sonrası Ödeme"))</f>
        <v/>
      </c>
    </row>
    <row r="399">
      <c r="A399" s="23" t="n"/>
      <c r="B399" s="23" t="n"/>
      <c r="C399" s="23" t="n"/>
      <c r="D399" s="23" t="n"/>
      <c r="E399" s="23" t="n"/>
      <c r="F399" s="23" t="n"/>
      <c r="G399" s="23" t="n"/>
      <c r="H399" s="24" t="n"/>
      <c r="I399" s="23" t="n"/>
      <c r="J399" s="23" t="n"/>
      <c r="K399" s="23" t="n"/>
      <c r="L399" s="23" t="n"/>
      <c r="M399" s="23" t="n"/>
      <c r="N399" s="23" t="n"/>
      <c r="O399" s="23" t="n"/>
      <c r="P399" s="23" t="n"/>
      <c r="Q399" s="23" t="n"/>
      <c r="R399" s="23" t="n"/>
      <c r="S399" s="23" t="n"/>
      <c r="T399" s="23" t="n"/>
      <c r="U399" s="23" t="n"/>
      <c r="V399" s="23" t="n"/>
      <c r="W399" s="23" t="n"/>
      <c r="X399" s="23" t="n"/>
      <c r="Y399" s="25" t="n"/>
      <c r="Z399" s="25" t="n"/>
      <c r="AA399" s="23" t="n"/>
      <c r="AB399" s="25" t="n"/>
      <c r="AC399" s="23" t="n"/>
      <c r="AD399" s="25" t="n"/>
      <c r="AE399" s="23" t="n"/>
      <c r="AF399" s="25" t="n"/>
      <c r="AG399" s="25" t="n"/>
      <c r="AH399" s="23" t="n"/>
      <c r="AI399" s="23" t="n"/>
      <c r="AJ399" s="26">
        <f>IF(I399="","",I399&amp;"|"&amp;R399)</f>
        <v/>
      </c>
      <c r="AK399" s="26">
        <f>IF(I399="","",IF(ISNA(MATCH(O399,Kampanyalar!$A$2:$A$150,0)),"Hayır - Kampanyalar'da Yok","Evet"))</f>
        <v/>
      </c>
      <c r="AL399" s="27">
        <f>IF(I399="","",IFERROR(INDEX(Kampanyalar!$E$2:$E$150,MATCH(O399,Kampanyalar!$A$2:$A$150,0)),""))</f>
        <v/>
      </c>
      <c r="AM399" s="27">
        <f>IF(I399="","",IFERROR(INDEX(Kampanyalar!$F$2:$F$150,MATCH(O399,Kampanyalar!$A$2:$A$150,0)),""))</f>
        <v/>
      </c>
      <c r="AN399" s="27">
        <f>IF(I399="","",IFERROR(INDEX(Kampanyalar!$G$2:$G$150,MATCH(O399,Kampanyalar!$A$2:$A$150,0)),""))</f>
        <v/>
      </c>
      <c r="AO399" s="26">
        <f>IF(OR(I399="",AL399="",AM399=""),"",IF(AND(H399&gt;=AL399,H399&lt;=AM399),"Evet","HAYIR - Tarih Dışı"))</f>
        <v/>
      </c>
      <c r="AP399" s="28">
        <f>IF(I399="","",IFERROR(INDEX(Kampanyalar!$H$2:$H$150,MATCH(O399,Kampanyalar!$A$2:$A$150,0)),""))</f>
        <v/>
      </c>
      <c r="AQ399" s="28">
        <f>IF(I399="","",IF(ISNUMBER(AP399),AP399,AD399))</f>
        <v/>
      </c>
      <c r="AR399" s="26">
        <f>IF(I399="","",IF(Parametreler!$C$7="Evet","Kural A - Hemen Ödeme (Stok Mutabakatlı)","Kural B - Nakliye/Montaj Sonrası Ödeme"))</f>
        <v/>
      </c>
    </row>
    <row r="400">
      <c r="A400" s="23" t="n"/>
      <c r="B400" s="23" t="n"/>
      <c r="C400" s="23" t="n"/>
      <c r="D400" s="23" t="n"/>
      <c r="E400" s="23" t="n"/>
      <c r="F400" s="23" t="n"/>
      <c r="G400" s="23" t="n"/>
      <c r="H400" s="24" t="n"/>
      <c r="I400" s="23" t="n"/>
      <c r="J400" s="23" t="n"/>
      <c r="K400" s="23" t="n"/>
      <c r="L400" s="23" t="n"/>
      <c r="M400" s="23" t="n"/>
      <c r="N400" s="23" t="n"/>
      <c r="O400" s="23" t="n"/>
      <c r="P400" s="23" t="n"/>
      <c r="Q400" s="23" t="n"/>
      <c r="R400" s="23" t="n"/>
      <c r="S400" s="23" t="n"/>
      <c r="T400" s="23" t="n"/>
      <c r="U400" s="23" t="n"/>
      <c r="V400" s="23" t="n"/>
      <c r="W400" s="23" t="n"/>
      <c r="X400" s="23" t="n"/>
      <c r="Y400" s="25" t="n"/>
      <c r="Z400" s="25" t="n"/>
      <c r="AA400" s="23" t="n"/>
      <c r="AB400" s="25" t="n"/>
      <c r="AC400" s="23" t="n"/>
      <c r="AD400" s="25" t="n"/>
      <c r="AE400" s="23" t="n"/>
      <c r="AF400" s="25" t="n"/>
      <c r="AG400" s="25" t="n"/>
      <c r="AH400" s="23" t="n"/>
      <c r="AI400" s="23" t="n"/>
      <c r="AJ400" s="26">
        <f>IF(I400="","",I400&amp;"|"&amp;R400)</f>
        <v/>
      </c>
      <c r="AK400" s="26">
        <f>IF(I400="","",IF(ISNA(MATCH(O400,Kampanyalar!$A$2:$A$150,0)),"Hayır - Kampanyalar'da Yok","Evet"))</f>
        <v/>
      </c>
      <c r="AL400" s="27">
        <f>IF(I400="","",IFERROR(INDEX(Kampanyalar!$E$2:$E$150,MATCH(O400,Kampanyalar!$A$2:$A$150,0)),""))</f>
        <v/>
      </c>
      <c r="AM400" s="27">
        <f>IF(I400="","",IFERROR(INDEX(Kampanyalar!$F$2:$F$150,MATCH(O400,Kampanyalar!$A$2:$A$150,0)),""))</f>
        <v/>
      </c>
      <c r="AN400" s="27">
        <f>IF(I400="","",IFERROR(INDEX(Kampanyalar!$G$2:$G$150,MATCH(O400,Kampanyalar!$A$2:$A$150,0)),""))</f>
        <v/>
      </c>
      <c r="AO400" s="26">
        <f>IF(OR(I400="",AL400="",AM400=""),"",IF(AND(H400&gt;=AL400,H400&lt;=AM400),"Evet","HAYIR - Tarih Dışı"))</f>
        <v/>
      </c>
      <c r="AP400" s="28">
        <f>IF(I400="","",IFERROR(INDEX(Kampanyalar!$H$2:$H$150,MATCH(O400,Kampanyalar!$A$2:$A$150,0)),""))</f>
        <v/>
      </c>
      <c r="AQ400" s="28">
        <f>IF(I400="","",IF(ISNUMBER(AP400),AP400,AD400))</f>
        <v/>
      </c>
      <c r="AR400" s="26">
        <f>IF(I400="","",IF(Parametreler!$C$7="Evet","Kural A - Hemen Ödeme (Stok Mutabakatlı)","Kural B - Nakliye/Montaj Sonrası Ödeme"))</f>
        <v/>
      </c>
    </row>
    <row r="401">
      <c r="A401" s="23" t="n"/>
      <c r="B401" s="23" t="n"/>
      <c r="C401" s="23" t="n"/>
      <c r="D401" s="23" t="n"/>
      <c r="E401" s="23" t="n"/>
      <c r="F401" s="23" t="n"/>
      <c r="G401" s="23" t="n"/>
      <c r="H401" s="24" t="n"/>
      <c r="I401" s="23" t="n"/>
      <c r="J401" s="23" t="n"/>
      <c r="K401" s="23" t="n"/>
      <c r="L401" s="23" t="n"/>
      <c r="M401" s="23" t="n"/>
      <c r="N401" s="23" t="n"/>
      <c r="O401" s="23" t="n"/>
      <c r="P401" s="23" t="n"/>
      <c r="Q401" s="23" t="n"/>
      <c r="R401" s="23" t="n"/>
      <c r="S401" s="23" t="n"/>
      <c r="T401" s="23" t="n"/>
      <c r="U401" s="23" t="n"/>
      <c r="V401" s="23" t="n"/>
      <c r="W401" s="23" t="n"/>
      <c r="X401" s="23" t="n"/>
      <c r="Y401" s="25" t="n"/>
      <c r="Z401" s="25" t="n"/>
      <c r="AA401" s="23" t="n"/>
      <c r="AB401" s="25" t="n"/>
      <c r="AC401" s="23" t="n"/>
      <c r="AD401" s="25" t="n"/>
      <c r="AE401" s="23" t="n"/>
      <c r="AF401" s="25" t="n"/>
      <c r="AG401" s="25" t="n"/>
      <c r="AH401" s="23" t="n"/>
      <c r="AI401" s="23" t="n"/>
      <c r="AJ401" s="26">
        <f>IF(I401="","",I401&amp;"|"&amp;R401)</f>
        <v/>
      </c>
      <c r="AK401" s="26">
        <f>IF(I401="","",IF(ISNA(MATCH(O401,Kampanyalar!$A$2:$A$150,0)),"Hayır - Kampanyalar'da Yok","Evet"))</f>
        <v/>
      </c>
      <c r="AL401" s="27">
        <f>IF(I401="","",IFERROR(INDEX(Kampanyalar!$E$2:$E$150,MATCH(O401,Kampanyalar!$A$2:$A$150,0)),""))</f>
        <v/>
      </c>
      <c r="AM401" s="27">
        <f>IF(I401="","",IFERROR(INDEX(Kampanyalar!$F$2:$F$150,MATCH(O401,Kampanyalar!$A$2:$A$150,0)),""))</f>
        <v/>
      </c>
      <c r="AN401" s="27">
        <f>IF(I401="","",IFERROR(INDEX(Kampanyalar!$G$2:$G$150,MATCH(O401,Kampanyalar!$A$2:$A$150,0)),""))</f>
        <v/>
      </c>
      <c r="AO401" s="26">
        <f>IF(OR(I401="",AL401="",AM401=""),"",IF(AND(H401&gt;=AL401,H401&lt;=AM401),"Evet","HAYIR - Tarih Dışı"))</f>
        <v/>
      </c>
      <c r="AP401" s="28">
        <f>IF(I401="","",IFERROR(INDEX(Kampanyalar!$H$2:$H$150,MATCH(O401,Kampanyalar!$A$2:$A$150,0)),""))</f>
        <v/>
      </c>
      <c r="AQ401" s="28">
        <f>IF(I401="","",IF(ISNUMBER(AP401),AP401,AD401))</f>
        <v/>
      </c>
      <c r="AR401" s="26">
        <f>IF(I401="","",IF(Parametreler!$C$7="Evet","Kural A - Hemen Ödeme (Stok Mutabakatlı)","Kural B - Nakliye/Montaj Sonrası Ödeme"))</f>
        <v/>
      </c>
    </row>
    <row r="402">
      <c r="A402" s="23" t="n"/>
      <c r="B402" s="23" t="n"/>
      <c r="C402" s="23" t="n"/>
      <c r="D402" s="23" t="n"/>
      <c r="E402" s="23" t="n"/>
      <c r="F402" s="23" t="n"/>
      <c r="G402" s="23" t="n"/>
      <c r="H402" s="24" t="n"/>
      <c r="I402" s="23" t="n"/>
      <c r="J402" s="23" t="n"/>
      <c r="K402" s="23" t="n"/>
      <c r="L402" s="23" t="n"/>
      <c r="M402" s="23" t="n"/>
      <c r="N402" s="23" t="n"/>
      <c r="O402" s="23" t="n"/>
      <c r="P402" s="23" t="n"/>
      <c r="Q402" s="23" t="n"/>
      <c r="R402" s="23" t="n"/>
      <c r="S402" s="23" t="n"/>
      <c r="T402" s="23" t="n"/>
      <c r="U402" s="23" t="n"/>
      <c r="V402" s="23" t="n"/>
      <c r="W402" s="23" t="n"/>
      <c r="X402" s="23" t="n"/>
      <c r="Y402" s="25" t="n"/>
      <c r="Z402" s="25" t="n"/>
      <c r="AA402" s="23" t="n"/>
      <c r="AB402" s="25" t="n"/>
      <c r="AC402" s="23" t="n"/>
      <c r="AD402" s="25" t="n"/>
      <c r="AE402" s="23" t="n"/>
      <c r="AF402" s="25" t="n"/>
      <c r="AG402" s="25" t="n"/>
      <c r="AH402" s="23" t="n"/>
      <c r="AI402" s="23" t="n"/>
      <c r="AJ402" s="26">
        <f>IF(I402="","",I402&amp;"|"&amp;R402)</f>
        <v/>
      </c>
      <c r="AK402" s="26">
        <f>IF(I402="","",IF(ISNA(MATCH(O402,Kampanyalar!$A$2:$A$150,0)),"Hayır - Kampanyalar'da Yok","Evet"))</f>
        <v/>
      </c>
      <c r="AL402" s="27">
        <f>IF(I402="","",IFERROR(INDEX(Kampanyalar!$E$2:$E$150,MATCH(O402,Kampanyalar!$A$2:$A$150,0)),""))</f>
        <v/>
      </c>
      <c r="AM402" s="27">
        <f>IF(I402="","",IFERROR(INDEX(Kampanyalar!$F$2:$F$150,MATCH(O402,Kampanyalar!$A$2:$A$150,0)),""))</f>
        <v/>
      </c>
      <c r="AN402" s="27">
        <f>IF(I402="","",IFERROR(INDEX(Kampanyalar!$G$2:$G$150,MATCH(O402,Kampanyalar!$A$2:$A$150,0)),""))</f>
        <v/>
      </c>
      <c r="AO402" s="26">
        <f>IF(OR(I402="",AL402="",AM402=""),"",IF(AND(H402&gt;=AL402,H402&lt;=AM402),"Evet","HAYIR - Tarih Dışı"))</f>
        <v/>
      </c>
      <c r="AP402" s="28">
        <f>IF(I402="","",IFERROR(INDEX(Kampanyalar!$H$2:$H$150,MATCH(O402,Kampanyalar!$A$2:$A$150,0)),""))</f>
        <v/>
      </c>
      <c r="AQ402" s="28">
        <f>IF(I402="","",IF(ISNUMBER(AP402),AP402,AD402))</f>
        <v/>
      </c>
      <c r="AR402" s="26">
        <f>IF(I402="","",IF(Parametreler!$C$7="Evet","Kural A - Hemen Ödeme (Stok Mutabakatlı)","Kural B - Nakliye/Montaj Sonrası Ödeme"))</f>
        <v/>
      </c>
    </row>
    <row r="403">
      <c r="A403" s="23" t="n"/>
      <c r="B403" s="23" t="n"/>
      <c r="C403" s="23" t="n"/>
      <c r="D403" s="23" t="n"/>
      <c r="E403" s="23" t="n"/>
      <c r="F403" s="23" t="n"/>
      <c r="G403" s="23" t="n"/>
      <c r="H403" s="24" t="n"/>
      <c r="I403" s="23" t="n"/>
      <c r="J403" s="23" t="n"/>
      <c r="K403" s="23" t="n"/>
      <c r="L403" s="23" t="n"/>
      <c r="M403" s="23" t="n"/>
      <c r="N403" s="23" t="n"/>
      <c r="O403" s="23" t="n"/>
      <c r="P403" s="23" t="n"/>
      <c r="Q403" s="23" t="n"/>
      <c r="R403" s="23" t="n"/>
      <c r="S403" s="23" t="n"/>
      <c r="T403" s="23" t="n"/>
      <c r="U403" s="23" t="n"/>
      <c r="V403" s="23" t="n"/>
      <c r="W403" s="23" t="n"/>
      <c r="X403" s="23" t="n"/>
      <c r="Y403" s="25" t="n"/>
      <c r="Z403" s="25" t="n"/>
      <c r="AA403" s="23" t="n"/>
      <c r="AB403" s="25" t="n"/>
      <c r="AC403" s="23" t="n"/>
      <c r="AD403" s="25" t="n"/>
      <c r="AE403" s="23" t="n"/>
      <c r="AF403" s="25" t="n"/>
      <c r="AG403" s="25" t="n"/>
      <c r="AH403" s="23" t="n"/>
      <c r="AI403" s="23" t="n"/>
      <c r="AJ403" s="26">
        <f>IF(I403="","",I403&amp;"|"&amp;R403)</f>
        <v/>
      </c>
      <c r="AK403" s="26">
        <f>IF(I403="","",IF(ISNA(MATCH(O403,Kampanyalar!$A$2:$A$150,0)),"Hayır - Kampanyalar'da Yok","Evet"))</f>
        <v/>
      </c>
      <c r="AL403" s="27">
        <f>IF(I403="","",IFERROR(INDEX(Kampanyalar!$E$2:$E$150,MATCH(O403,Kampanyalar!$A$2:$A$150,0)),""))</f>
        <v/>
      </c>
      <c r="AM403" s="27">
        <f>IF(I403="","",IFERROR(INDEX(Kampanyalar!$F$2:$F$150,MATCH(O403,Kampanyalar!$A$2:$A$150,0)),""))</f>
        <v/>
      </c>
      <c r="AN403" s="27">
        <f>IF(I403="","",IFERROR(INDEX(Kampanyalar!$G$2:$G$150,MATCH(O403,Kampanyalar!$A$2:$A$150,0)),""))</f>
        <v/>
      </c>
      <c r="AO403" s="26">
        <f>IF(OR(I403="",AL403="",AM403=""),"",IF(AND(H403&gt;=AL403,H403&lt;=AM403),"Evet","HAYIR - Tarih Dışı"))</f>
        <v/>
      </c>
      <c r="AP403" s="28">
        <f>IF(I403="","",IFERROR(INDEX(Kampanyalar!$H$2:$H$150,MATCH(O403,Kampanyalar!$A$2:$A$150,0)),""))</f>
        <v/>
      </c>
      <c r="AQ403" s="28">
        <f>IF(I403="","",IF(ISNUMBER(AP403),AP403,AD403))</f>
        <v/>
      </c>
      <c r="AR403" s="26">
        <f>IF(I403="","",IF(Parametreler!$C$7="Evet","Kural A - Hemen Ödeme (Stok Mutabakatlı)","Kural B - Nakliye/Montaj Sonrası Ödeme"))</f>
        <v/>
      </c>
    </row>
    <row r="404">
      <c r="A404" s="23" t="n"/>
      <c r="B404" s="23" t="n"/>
      <c r="C404" s="23" t="n"/>
      <c r="D404" s="23" t="n"/>
      <c r="E404" s="23" t="n"/>
      <c r="F404" s="23" t="n"/>
      <c r="G404" s="23" t="n"/>
      <c r="H404" s="24" t="n"/>
      <c r="I404" s="23" t="n"/>
      <c r="J404" s="23" t="n"/>
      <c r="K404" s="23" t="n"/>
      <c r="L404" s="23" t="n"/>
      <c r="M404" s="23" t="n"/>
      <c r="N404" s="23" t="n"/>
      <c r="O404" s="23" t="n"/>
      <c r="P404" s="23" t="n"/>
      <c r="Q404" s="23" t="n"/>
      <c r="R404" s="23" t="n"/>
      <c r="S404" s="23" t="n"/>
      <c r="T404" s="23" t="n"/>
      <c r="U404" s="23" t="n"/>
      <c r="V404" s="23" t="n"/>
      <c r="W404" s="23" t="n"/>
      <c r="X404" s="23" t="n"/>
      <c r="Y404" s="25" t="n"/>
      <c r="Z404" s="25" t="n"/>
      <c r="AA404" s="23" t="n"/>
      <c r="AB404" s="25" t="n"/>
      <c r="AC404" s="23" t="n"/>
      <c r="AD404" s="25" t="n"/>
      <c r="AE404" s="23" t="n"/>
      <c r="AF404" s="25" t="n"/>
      <c r="AG404" s="25" t="n"/>
      <c r="AH404" s="23" t="n"/>
      <c r="AI404" s="23" t="n"/>
      <c r="AJ404" s="26">
        <f>IF(I404="","",I404&amp;"|"&amp;R404)</f>
        <v/>
      </c>
      <c r="AK404" s="26">
        <f>IF(I404="","",IF(ISNA(MATCH(O404,Kampanyalar!$A$2:$A$150,0)),"Hayır - Kampanyalar'da Yok","Evet"))</f>
        <v/>
      </c>
      <c r="AL404" s="27">
        <f>IF(I404="","",IFERROR(INDEX(Kampanyalar!$E$2:$E$150,MATCH(O404,Kampanyalar!$A$2:$A$150,0)),""))</f>
        <v/>
      </c>
      <c r="AM404" s="27">
        <f>IF(I404="","",IFERROR(INDEX(Kampanyalar!$F$2:$F$150,MATCH(O404,Kampanyalar!$A$2:$A$150,0)),""))</f>
        <v/>
      </c>
      <c r="AN404" s="27">
        <f>IF(I404="","",IFERROR(INDEX(Kampanyalar!$G$2:$G$150,MATCH(O404,Kampanyalar!$A$2:$A$150,0)),""))</f>
        <v/>
      </c>
      <c r="AO404" s="26">
        <f>IF(OR(I404="",AL404="",AM404=""),"",IF(AND(H404&gt;=AL404,H404&lt;=AM404),"Evet","HAYIR - Tarih Dışı"))</f>
        <v/>
      </c>
      <c r="AP404" s="28">
        <f>IF(I404="","",IFERROR(INDEX(Kampanyalar!$H$2:$H$150,MATCH(O404,Kampanyalar!$A$2:$A$150,0)),""))</f>
        <v/>
      </c>
      <c r="AQ404" s="28">
        <f>IF(I404="","",IF(ISNUMBER(AP404),AP404,AD404))</f>
        <v/>
      </c>
      <c r="AR404" s="26">
        <f>IF(I404="","",IF(Parametreler!$C$7="Evet","Kural A - Hemen Ödeme (Stok Mutabakatlı)","Kural B - Nakliye/Montaj Sonrası Ödeme"))</f>
        <v/>
      </c>
    </row>
    <row r="405">
      <c r="A405" s="23" t="n"/>
      <c r="B405" s="23" t="n"/>
      <c r="C405" s="23" t="n"/>
      <c r="D405" s="23" t="n"/>
      <c r="E405" s="23" t="n"/>
      <c r="F405" s="23" t="n"/>
      <c r="G405" s="23" t="n"/>
      <c r="H405" s="24" t="n"/>
      <c r="I405" s="23" t="n"/>
      <c r="J405" s="23" t="n"/>
      <c r="K405" s="23" t="n"/>
      <c r="L405" s="23" t="n"/>
      <c r="M405" s="23" t="n"/>
      <c r="N405" s="23" t="n"/>
      <c r="O405" s="23" t="n"/>
      <c r="P405" s="23" t="n"/>
      <c r="Q405" s="23" t="n"/>
      <c r="R405" s="23" t="n"/>
      <c r="S405" s="23" t="n"/>
      <c r="T405" s="23" t="n"/>
      <c r="U405" s="23" t="n"/>
      <c r="V405" s="23" t="n"/>
      <c r="W405" s="23" t="n"/>
      <c r="X405" s="23" t="n"/>
      <c r="Y405" s="25" t="n"/>
      <c r="Z405" s="25" t="n"/>
      <c r="AA405" s="23" t="n"/>
      <c r="AB405" s="25" t="n"/>
      <c r="AC405" s="23" t="n"/>
      <c r="AD405" s="25" t="n"/>
      <c r="AE405" s="23" t="n"/>
      <c r="AF405" s="25" t="n"/>
      <c r="AG405" s="25" t="n"/>
      <c r="AH405" s="23" t="n"/>
      <c r="AI405" s="23" t="n"/>
      <c r="AJ405" s="26">
        <f>IF(I405="","",I405&amp;"|"&amp;R405)</f>
        <v/>
      </c>
      <c r="AK405" s="26">
        <f>IF(I405="","",IF(ISNA(MATCH(O405,Kampanyalar!$A$2:$A$150,0)),"Hayır - Kampanyalar'da Yok","Evet"))</f>
        <v/>
      </c>
      <c r="AL405" s="27">
        <f>IF(I405="","",IFERROR(INDEX(Kampanyalar!$E$2:$E$150,MATCH(O405,Kampanyalar!$A$2:$A$150,0)),""))</f>
        <v/>
      </c>
      <c r="AM405" s="27">
        <f>IF(I405="","",IFERROR(INDEX(Kampanyalar!$F$2:$F$150,MATCH(O405,Kampanyalar!$A$2:$A$150,0)),""))</f>
        <v/>
      </c>
      <c r="AN405" s="27">
        <f>IF(I405="","",IFERROR(INDEX(Kampanyalar!$G$2:$G$150,MATCH(O405,Kampanyalar!$A$2:$A$150,0)),""))</f>
        <v/>
      </c>
      <c r="AO405" s="26">
        <f>IF(OR(I405="",AL405="",AM405=""),"",IF(AND(H405&gt;=AL405,H405&lt;=AM405),"Evet","HAYIR - Tarih Dışı"))</f>
        <v/>
      </c>
      <c r="AP405" s="28">
        <f>IF(I405="","",IFERROR(INDEX(Kampanyalar!$H$2:$H$150,MATCH(O405,Kampanyalar!$A$2:$A$150,0)),""))</f>
        <v/>
      </c>
      <c r="AQ405" s="28">
        <f>IF(I405="","",IF(ISNUMBER(AP405),AP405,AD405))</f>
        <v/>
      </c>
      <c r="AR405" s="26">
        <f>IF(I405="","",IF(Parametreler!$C$7="Evet","Kural A - Hemen Ödeme (Stok Mutabakatlı)","Kural B - Nakliye/Montaj Sonrası Ödeme"))</f>
        <v/>
      </c>
    </row>
    <row r="406">
      <c r="A406" s="23" t="n"/>
      <c r="B406" s="23" t="n"/>
      <c r="C406" s="23" t="n"/>
      <c r="D406" s="23" t="n"/>
      <c r="E406" s="23" t="n"/>
      <c r="F406" s="23" t="n"/>
      <c r="G406" s="23" t="n"/>
      <c r="H406" s="24" t="n"/>
      <c r="I406" s="23" t="n"/>
      <c r="J406" s="23" t="n"/>
      <c r="K406" s="23" t="n"/>
      <c r="L406" s="23" t="n"/>
      <c r="M406" s="23" t="n"/>
      <c r="N406" s="23" t="n"/>
      <c r="O406" s="23" t="n"/>
      <c r="P406" s="23" t="n"/>
      <c r="Q406" s="23" t="n"/>
      <c r="R406" s="23" t="n"/>
      <c r="S406" s="23" t="n"/>
      <c r="T406" s="23" t="n"/>
      <c r="U406" s="23" t="n"/>
      <c r="V406" s="23" t="n"/>
      <c r="W406" s="23" t="n"/>
      <c r="X406" s="23" t="n"/>
      <c r="Y406" s="25" t="n"/>
      <c r="Z406" s="25" t="n"/>
      <c r="AA406" s="23" t="n"/>
      <c r="AB406" s="25" t="n"/>
      <c r="AC406" s="23" t="n"/>
      <c r="AD406" s="25" t="n"/>
      <c r="AE406" s="23" t="n"/>
      <c r="AF406" s="25" t="n"/>
      <c r="AG406" s="25" t="n"/>
      <c r="AH406" s="23" t="n"/>
      <c r="AI406" s="23" t="n"/>
      <c r="AJ406" s="26">
        <f>IF(I406="","",I406&amp;"|"&amp;R406)</f>
        <v/>
      </c>
      <c r="AK406" s="26">
        <f>IF(I406="","",IF(ISNA(MATCH(O406,Kampanyalar!$A$2:$A$150,0)),"Hayır - Kampanyalar'da Yok","Evet"))</f>
        <v/>
      </c>
      <c r="AL406" s="27">
        <f>IF(I406="","",IFERROR(INDEX(Kampanyalar!$E$2:$E$150,MATCH(O406,Kampanyalar!$A$2:$A$150,0)),""))</f>
        <v/>
      </c>
      <c r="AM406" s="27">
        <f>IF(I406="","",IFERROR(INDEX(Kampanyalar!$F$2:$F$150,MATCH(O406,Kampanyalar!$A$2:$A$150,0)),""))</f>
        <v/>
      </c>
      <c r="AN406" s="27">
        <f>IF(I406="","",IFERROR(INDEX(Kampanyalar!$G$2:$G$150,MATCH(O406,Kampanyalar!$A$2:$A$150,0)),""))</f>
        <v/>
      </c>
      <c r="AO406" s="26">
        <f>IF(OR(I406="",AL406="",AM406=""),"",IF(AND(H406&gt;=AL406,H406&lt;=AM406),"Evet","HAYIR - Tarih Dışı"))</f>
        <v/>
      </c>
      <c r="AP406" s="28">
        <f>IF(I406="","",IFERROR(INDEX(Kampanyalar!$H$2:$H$150,MATCH(O406,Kampanyalar!$A$2:$A$150,0)),""))</f>
        <v/>
      </c>
      <c r="AQ406" s="28">
        <f>IF(I406="","",IF(ISNUMBER(AP406),AP406,AD406))</f>
        <v/>
      </c>
      <c r="AR406" s="26">
        <f>IF(I406="","",IF(Parametreler!$C$7="Evet","Kural A - Hemen Ödeme (Stok Mutabakatlı)","Kural B - Nakliye/Montaj Sonrası Ödeme"))</f>
        <v/>
      </c>
    </row>
    <row r="407">
      <c r="A407" s="23" t="n"/>
      <c r="B407" s="23" t="n"/>
      <c r="C407" s="23" t="n"/>
      <c r="D407" s="23" t="n"/>
      <c r="E407" s="23" t="n"/>
      <c r="F407" s="23" t="n"/>
      <c r="G407" s="23" t="n"/>
      <c r="H407" s="24" t="n"/>
      <c r="I407" s="23" t="n"/>
      <c r="J407" s="23" t="n"/>
      <c r="K407" s="23" t="n"/>
      <c r="L407" s="23" t="n"/>
      <c r="M407" s="23" t="n"/>
      <c r="N407" s="23" t="n"/>
      <c r="O407" s="23" t="n"/>
      <c r="P407" s="23" t="n"/>
      <c r="Q407" s="23" t="n"/>
      <c r="R407" s="23" t="n"/>
      <c r="S407" s="23" t="n"/>
      <c r="T407" s="23" t="n"/>
      <c r="U407" s="23" t="n"/>
      <c r="V407" s="23" t="n"/>
      <c r="W407" s="23" t="n"/>
      <c r="X407" s="23" t="n"/>
      <c r="Y407" s="25" t="n"/>
      <c r="Z407" s="25" t="n"/>
      <c r="AA407" s="23" t="n"/>
      <c r="AB407" s="25" t="n"/>
      <c r="AC407" s="23" t="n"/>
      <c r="AD407" s="25" t="n"/>
      <c r="AE407" s="23" t="n"/>
      <c r="AF407" s="25" t="n"/>
      <c r="AG407" s="25" t="n"/>
      <c r="AH407" s="23" t="n"/>
      <c r="AI407" s="23" t="n"/>
      <c r="AJ407" s="26">
        <f>IF(I407="","",I407&amp;"|"&amp;R407)</f>
        <v/>
      </c>
      <c r="AK407" s="26">
        <f>IF(I407="","",IF(ISNA(MATCH(O407,Kampanyalar!$A$2:$A$150,0)),"Hayır - Kampanyalar'da Yok","Evet"))</f>
        <v/>
      </c>
      <c r="AL407" s="27">
        <f>IF(I407="","",IFERROR(INDEX(Kampanyalar!$E$2:$E$150,MATCH(O407,Kampanyalar!$A$2:$A$150,0)),""))</f>
        <v/>
      </c>
      <c r="AM407" s="27">
        <f>IF(I407="","",IFERROR(INDEX(Kampanyalar!$F$2:$F$150,MATCH(O407,Kampanyalar!$A$2:$A$150,0)),""))</f>
        <v/>
      </c>
      <c r="AN407" s="27">
        <f>IF(I407="","",IFERROR(INDEX(Kampanyalar!$G$2:$G$150,MATCH(O407,Kampanyalar!$A$2:$A$150,0)),""))</f>
        <v/>
      </c>
      <c r="AO407" s="26">
        <f>IF(OR(I407="",AL407="",AM407=""),"",IF(AND(H407&gt;=AL407,H407&lt;=AM407),"Evet","HAYIR - Tarih Dışı"))</f>
        <v/>
      </c>
      <c r="AP407" s="28">
        <f>IF(I407="","",IFERROR(INDEX(Kampanyalar!$H$2:$H$150,MATCH(O407,Kampanyalar!$A$2:$A$150,0)),""))</f>
        <v/>
      </c>
      <c r="AQ407" s="28">
        <f>IF(I407="","",IF(ISNUMBER(AP407),AP407,AD407))</f>
        <v/>
      </c>
      <c r="AR407" s="26">
        <f>IF(I407="","",IF(Parametreler!$C$7="Evet","Kural A - Hemen Ödeme (Stok Mutabakatlı)","Kural B - Nakliye/Montaj Sonrası Ödeme"))</f>
        <v/>
      </c>
    </row>
    <row r="408">
      <c r="A408" s="23" t="n"/>
      <c r="B408" s="23" t="n"/>
      <c r="C408" s="23" t="n"/>
      <c r="D408" s="23" t="n"/>
      <c r="E408" s="23" t="n"/>
      <c r="F408" s="23" t="n"/>
      <c r="G408" s="23" t="n"/>
      <c r="H408" s="24" t="n"/>
      <c r="I408" s="23" t="n"/>
      <c r="J408" s="23" t="n"/>
      <c r="K408" s="23" t="n"/>
      <c r="L408" s="23" t="n"/>
      <c r="M408" s="23" t="n"/>
      <c r="N408" s="23" t="n"/>
      <c r="O408" s="23" t="n"/>
      <c r="P408" s="23" t="n"/>
      <c r="Q408" s="23" t="n"/>
      <c r="R408" s="23" t="n"/>
      <c r="S408" s="23" t="n"/>
      <c r="T408" s="23" t="n"/>
      <c r="U408" s="23" t="n"/>
      <c r="V408" s="23" t="n"/>
      <c r="W408" s="23" t="n"/>
      <c r="X408" s="23" t="n"/>
      <c r="Y408" s="25" t="n"/>
      <c r="Z408" s="25" t="n"/>
      <c r="AA408" s="23" t="n"/>
      <c r="AB408" s="25" t="n"/>
      <c r="AC408" s="23" t="n"/>
      <c r="AD408" s="25" t="n"/>
      <c r="AE408" s="23" t="n"/>
      <c r="AF408" s="25" t="n"/>
      <c r="AG408" s="25" t="n"/>
      <c r="AH408" s="23" t="n"/>
      <c r="AI408" s="23" t="n"/>
      <c r="AJ408" s="26">
        <f>IF(I408="","",I408&amp;"|"&amp;R408)</f>
        <v/>
      </c>
      <c r="AK408" s="26">
        <f>IF(I408="","",IF(ISNA(MATCH(O408,Kampanyalar!$A$2:$A$150,0)),"Hayır - Kampanyalar'da Yok","Evet"))</f>
        <v/>
      </c>
      <c r="AL408" s="27">
        <f>IF(I408="","",IFERROR(INDEX(Kampanyalar!$E$2:$E$150,MATCH(O408,Kampanyalar!$A$2:$A$150,0)),""))</f>
        <v/>
      </c>
      <c r="AM408" s="27">
        <f>IF(I408="","",IFERROR(INDEX(Kampanyalar!$F$2:$F$150,MATCH(O408,Kampanyalar!$A$2:$A$150,0)),""))</f>
        <v/>
      </c>
      <c r="AN408" s="27">
        <f>IF(I408="","",IFERROR(INDEX(Kampanyalar!$G$2:$G$150,MATCH(O408,Kampanyalar!$A$2:$A$150,0)),""))</f>
        <v/>
      </c>
      <c r="AO408" s="26">
        <f>IF(OR(I408="",AL408="",AM408=""),"",IF(AND(H408&gt;=AL408,H408&lt;=AM408),"Evet","HAYIR - Tarih Dışı"))</f>
        <v/>
      </c>
      <c r="AP408" s="28">
        <f>IF(I408="","",IFERROR(INDEX(Kampanyalar!$H$2:$H$150,MATCH(O408,Kampanyalar!$A$2:$A$150,0)),""))</f>
        <v/>
      </c>
      <c r="AQ408" s="28">
        <f>IF(I408="","",IF(ISNUMBER(AP408),AP408,AD408))</f>
        <v/>
      </c>
      <c r="AR408" s="26">
        <f>IF(I408="","",IF(Parametreler!$C$7="Evet","Kural A - Hemen Ödeme (Stok Mutabakatlı)","Kural B - Nakliye/Montaj Sonrası Ödeme"))</f>
        <v/>
      </c>
    </row>
    <row r="409">
      <c r="A409" s="23" t="n"/>
      <c r="B409" s="23" t="n"/>
      <c r="C409" s="23" t="n"/>
      <c r="D409" s="23" t="n"/>
      <c r="E409" s="23" t="n"/>
      <c r="F409" s="23" t="n"/>
      <c r="G409" s="23" t="n"/>
      <c r="H409" s="24" t="n"/>
      <c r="I409" s="23" t="n"/>
      <c r="J409" s="23" t="n"/>
      <c r="K409" s="23" t="n"/>
      <c r="L409" s="23" t="n"/>
      <c r="M409" s="23" t="n"/>
      <c r="N409" s="23" t="n"/>
      <c r="O409" s="23" t="n"/>
      <c r="P409" s="23" t="n"/>
      <c r="Q409" s="23" t="n"/>
      <c r="R409" s="23" t="n"/>
      <c r="S409" s="23" t="n"/>
      <c r="T409" s="23" t="n"/>
      <c r="U409" s="23" t="n"/>
      <c r="V409" s="23" t="n"/>
      <c r="W409" s="23" t="n"/>
      <c r="X409" s="23" t="n"/>
      <c r="Y409" s="25" t="n"/>
      <c r="Z409" s="25" t="n"/>
      <c r="AA409" s="23" t="n"/>
      <c r="AB409" s="25" t="n"/>
      <c r="AC409" s="23" t="n"/>
      <c r="AD409" s="25" t="n"/>
      <c r="AE409" s="23" t="n"/>
      <c r="AF409" s="25" t="n"/>
      <c r="AG409" s="25" t="n"/>
      <c r="AH409" s="23" t="n"/>
      <c r="AI409" s="23" t="n"/>
      <c r="AJ409" s="26">
        <f>IF(I409="","",I409&amp;"|"&amp;R409)</f>
        <v/>
      </c>
      <c r="AK409" s="26">
        <f>IF(I409="","",IF(ISNA(MATCH(O409,Kampanyalar!$A$2:$A$150,0)),"Hayır - Kampanyalar'da Yok","Evet"))</f>
        <v/>
      </c>
      <c r="AL409" s="27">
        <f>IF(I409="","",IFERROR(INDEX(Kampanyalar!$E$2:$E$150,MATCH(O409,Kampanyalar!$A$2:$A$150,0)),""))</f>
        <v/>
      </c>
      <c r="AM409" s="27">
        <f>IF(I409="","",IFERROR(INDEX(Kampanyalar!$F$2:$F$150,MATCH(O409,Kampanyalar!$A$2:$A$150,0)),""))</f>
        <v/>
      </c>
      <c r="AN409" s="27">
        <f>IF(I409="","",IFERROR(INDEX(Kampanyalar!$G$2:$G$150,MATCH(O409,Kampanyalar!$A$2:$A$150,0)),""))</f>
        <v/>
      </c>
      <c r="AO409" s="26">
        <f>IF(OR(I409="",AL409="",AM409=""),"",IF(AND(H409&gt;=AL409,H409&lt;=AM409),"Evet","HAYIR - Tarih Dışı"))</f>
        <v/>
      </c>
      <c r="AP409" s="28">
        <f>IF(I409="","",IFERROR(INDEX(Kampanyalar!$H$2:$H$150,MATCH(O409,Kampanyalar!$A$2:$A$150,0)),""))</f>
        <v/>
      </c>
      <c r="AQ409" s="28">
        <f>IF(I409="","",IF(ISNUMBER(AP409),AP409,AD409))</f>
        <v/>
      </c>
      <c r="AR409" s="26">
        <f>IF(I409="","",IF(Parametreler!$C$7="Evet","Kural A - Hemen Ödeme (Stok Mutabakatlı)","Kural B - Nakliye/Montaj Sonrası Ödeme"))</f>
        <v/>
      </c>
    </row>
    <row r="410">
      <c r="A410" s="23" t="n"/>
      <c r="B410" s="23" t="n"/>
      <c r="C410" s="23" t="n"/>
      <c r="D410" s="23" t="n"/>
      <c r="E410" s="23" t="n"/>
      <c r="F410" s="23" t="n"/>
      <c r="G410" s="23" t="n"/>
      <c r="H410" s="24" t="n"/>
      <c r="I410" s="23" t="n"/>
      <c r="J410" s="23" t="n"/>
      <c r="K410" s="23" t="n"/>
      <c r="L410" s="23" t="n"/>
      <c r="M410" s="23" t="n"/>
      <c r="N410" s="23" t="n"/>
      <c r="O410" s="23" t="n"/>
      <c r="P410" s="23" t="n"/>
      <c r="Q410" s="23" t="n"/>
      <c r="R410" s="23" t="n"/>
      <c r="S410" s="23" t="n"/>
      <c r="T410" s="23" t="n"/>
      <c r="U410" s="23" t="n"/>
      <c r="V410" s="23" t="n"/>
      <c r="W410" s="23" t="n"/>
      <c r="X410" s="23" t="n"/>
      <c r="Y410" s="25" t="n"/>
      <c r="Z410" s="25" t="n"/>
      <c r="AA410" s="23" t="n"/>
      <c r="AB410" s="25" t="n"/>
      <c r="AC410" s="23" t="n"/>
      <c r="AD410" s="25" t="n"/>
      <c r="AE410" s="23" t="n"/>
      <c r="AF410" s="25" t="n"/>
      <c r="AG410" s="25" t="n"/>
      <c r="AH410" s="23" t="n"/>
      <c r="AI410" s="23" t="n"/>
      <c r="AJ410" s="26">
        <f>IF(I410="","",I410&amp;"|"&amp;R410)</f>
        <v/>
      </c>
      <c r="AK410" s="26">
        <f>IF(I410="","",IF(ISNA(MATCH(O410,Kampanyalar!$A$2:$A$150,0)),"Hayır - Kampanyalar'da Yok","Evet"))</f>
        <v/>
      </c>
      <c r="AL410" s="27">
        <f>IF(I410="","",IFERROR(INDEX(Kampanyalar!$E$2:$E$150,MATCH(O410,Kampanyalar!$A$2:$A$150,0)),""))</f>
        <v/>
      </c>
      <c r="AM410" s="27">
        <f>IF(I410="","",IFERROR(INDEX(Kampanyalar!$F$2:$F$150,MATCH(O410,Kampanyalar!$A$2:$A$150,0)),""))</f>
        <v/>
      </c>
      <c r="AN410" s="27">
        <f>IF(I410="","",IFERROR(INDEX(Kampanyalar!$G$2:$G$150,MATCH(O410,Kampanyalar!$A$2:$A$150,0)),""))</f>
        <v/>
      </c>
      <c r="AO410" s="26">
        <f>IF(OR(I410="",AL410="",AM410=""),"",IF(AND(H410&gt;=AL410,H410&lt;=AM410),"Evet","HAYIR - Tarih Dışı"))</f>
        <v/>
      </c>
      <c r="AP410" s="28">
        <f>IF(I410="","",IFERROR(INDEX(Kampanyalar!$H$2:$H$150,MATCH(O410,Kampanyalar!$A$2:$A$150,0)),""))</f>
        <v/>
      </c>
      <c r="AQ410" s="28">
        <f>IF(I410="","",IF(ISNUMBER(AP410),AP410,AD410))</f>
        <v/>
      </c>
      <c r="AR410" s="26">
        <f>IF(I410="","",IF(Parametreler!$C$7="Evet","Kural A - Hemen Ödeme (Stok Mutabakatlı)","Kural B - Nakliye/Montaj Sonrası Ödeme"))</f>
        <v/>
      </c>
    </row>
    <row r="411">
      <c r="A411" s="23" t="n"/>
      <c r="B411" s="23" t="n"/>
      <c r="C411" s="23" t="n"/>
      <c r="D411" s="23" t="n"/>
      <c r="E411" s="23" t="n"/>
      <c r="F411" s="23" t="n"/>
      <c r="G411" s="23" t="n"/>
      <c r="H411" s="24" t="n"/>
      <c r="I411" s="23" t="n"/>
      <c r="J411" s="23" t="n"/>
      <c r="K411" s="23" t="n"/>
      <c r="L411" s="23" t="n"/>
      <c r="M411" s="23" t="n"/>
      <c r="N411" s="23" t="n"/>
      <c r="O411" s="23" t="n"/>
      <c r="P411" s="23" t="n"/>
      <c r="Q411" s="23" t="n"/>
      <c r="R411" s="23" t="n"/>
      <c r="S411" s="23" t="n"/>
      <c r="T411" s="23" t="n"/>
      <c r="U411" s="23" t="n"/>
      <c r="V411" s="23" t="n"/>
      <c r="W411" s="23" t="n"/>
      <c r="X411" s="23" t="n"/>
      <c r="Y411" s="25" t="n"/>
      <c r="Z411" s="25" t="n"/>
      <c r="AA411" s="23" t="n"/>
      <c r="AB411" s="25" t="n"/>
      <c r="AC411" s="23" t="n"/>
      <c r="AD411" s="25" t="n"/>
      <c r="AE411" s="23" t="n"/>
      <c r="AF411" s="25" t="n"/>
      <c r="AG411" s="25" t="n"/>
      <c r="AH411" s="23" t="n"/>
      <c r="AI411" s="23" t="n"/>
      <c r="AJ411" s="26">
        <f>IF(I411="","",I411&amp;"|"&amp;R411)</f>
        <v/>
      </c>
      <c r="AK411" s="26">
        <f>IF(I411="","",IF(ISNA(MATCH(O411,Kampanyalar!$A$2:$A$150,0)),"Hayır - Kampanyalar'da Yok","Evet"))</f>
        <v/>
      </c>
      <c r="AL411" s="27">
        <f>IF(I411="","",IFERROR(INDEX(Kampanyalar!$E$2:$E$150,MATCH(O411,Kampanyalar!$A$2:$A$150,0)),""))</f>
        <v/>
      </c>
      <c r="AM411" s="27">
        <f>IF(I411="","",IFERROR(INDEX(Kampanyalar!$F$2:$F$150,MATCH(O411,Kampanyalar!$A$2:$A$150,0)),""))</f>
        <v/>
      </c>
      <c r="AN411" s="27">
        <f>IF(I411="","",IFERROR(INDEX(Kampanyalar!$G$2:$G$150,MATCH(O411,Kampanyalar!$A$2:$A$150,0)),""))</f>
        <v/>
      </c>
      <c r="AO411" s="26">
        <f>IF(OR(I411="",AL411="",AM411=""),"",IF(AND(H411&gt;=AL411,H411&lt;=AM411),"Evet","HAYIR - Tarih Dışı"))</f>
        <v/>
      </c>
      <c r="AP411" s="28">
        <f>IF(I411="","",IFERROR(INDEX(Kampanyalar!$H$2:$H$150,MATCH(O411,Kampanyalar!$A$2:$A$150,0)),""))</f>
        <v/>
      </c>
      <c r="AQ411" s="28">
        <f>IF(I411="","",IF(ISNUMBER(AP411),AP411,AD411))</f>
        <v/>
      </c>
      <c r="AR411" s="26">
        <f>IF(I411="","",IF(Parametreler!$C$7="Evet","Kural A - Hemen Ödeme (Stok Mutabakatlı)","Kural B - Nakliye/Montaj Sonrası Ödeme"))</f>
        <v/>
      </c>
    </row>
    <row r="412">
      <c r="A412" s="23" t="n"/>
      <c r="B412" s="23" t="n"/>
      <c r="C412" s="23" t="n"/>
      <c r="D412" s="23" t="n"/>
      <c r="E412" s="23" t="n"/>
      <c r="F412" s="23" t="n"/>
      <c r="G412" s="23" t="n"/>
      <c r="H412" s="24" t="n"/>
      <c r="I412" s="23" t="n"/>
      <c r="J412" s="23" t="n"/>
      <c r="K412" s="23" t="n"/>
      <c r="L412" s="23" t="n"/>
      <c r="M412" s="23" t="n"/>
      <c r="N412" s="23" t="n"/>
      <c r="O412" s="23" t="n"/>
      <c r="P412" s="23" t="n"/>
      <c r="Q412" s="23" t="n"/>
      <c r="R412" s="23" t="n"/>
      <c r="S412" s="23" t="n"/>
      <c r="T412" s="23" t="n"/>
      <c r="U412" s="23" t="n"/>
      <c r="V412" s="23" t="n"/>
      <c r="W412" s="23" t="n"/>
      <c r="X412" s="23" t="n"/>
      <c r="Y412" s="25" t="n"/>
      <c r="Z412" s="25" t="n"/>
      <c r="AA412" s="23" t="n"/>
      <c r="AB412" s="25" t="n"/>
      <c r="AC412" s="23" t="n"/>
      <c r="AD412" s="25" t="n"/>
      <c r="AE412" s="23" t="n"/>
      <c r="AF412" s="25" t="n"/>
      <c r="AG412" s="25" t="n"/>
      <c r="AH412" s="23" t="n"/>
      <c r="AI412" s="23" t="n"/>
      <c r="AJ412" s="26">
        <f>IF(I412="","",I412&amp;"|"&amp;R412)</f>
        <v/>
      </c>
      <c r="AK412" s="26">
        <f>IF(I412="","",IF(ISNA(MATCH(O412,Kampanyalar!$A$2:$A$150,0)),"Hayır - Kampanyalar'da Yok","Evet"))</f>
        <v/>
      </c>
      <c r="AL412" s="27">
        <f>IF(I412="","",IFERROR(INDEX(Kampanyalar!$E$2:$E$150,MATCH(O412,Kampanyalar!$A$2:$A$150,0)),""))</f>
        <v/>
      </c>
      <c r="AM412" s="27">
        <f>IF(I412="","",IFERROR(INDEX(Kampanyalar!$F$2:$F$150,MATCH(O412,Kampanyalar!$A$2:$A$150,0)),""))</f>
        <v/>
      </c>
      <c r="AN412" s="27">
        <f>IF(I412="","",IFERROR(INDEX(Kampanyalar!$G$2:$G$150,MATCH(O412,Kampanyalar!$A$2:$A$150,0)),""))</f>
        <v/>
      </c>
      <c r="AO412" s="26">
        <f>IF(OR(I412="",AL412="",AM412=""),"",IF(AND(H412&gt;=AL412,H412&lt;=AM412),"Evet","HAYIR - Tarih Dışı"))</f>
        <v/>
      </c>
      <c r="AP412" s="28">
        <f>IF(I412="","",IFERROR(INDEX(Kampanyalar!$H$2:$H$150,MATCH(O412,Kampanyalar!$A$2:$A$150,0)),""))</f>
        <v/>
      </c>
      <c r="AQ412" s="28">
        <f>IF(I412="","",IF(ISNUMBER(AP412),AP412,AD412))</f>
        <v/>
      </c>
      <c r="AR412" s="26">
        <f>IF(I412="","",IF(Parametreler!$C$7="Evet","Kural A - Hemen Ödeme (Stok Mutabakatlı)","Kural B - Nakliye/Montaj Sonrası Ödeme"))</f>
        <v/>
      </c>
    </row>
    <row r="413">
      <c r="A413" s="23" t="n"/>
      <c r="B413" s="23" t="n"/>
      <c r="C413" s="23" t="n"/>
      <c r="D413" s="23" t="n"/>
      <c r="E413" s="23" t="n"/>
      <c r="F413" s="23" t="n"/>
      <c r="G413" s="23" t="n"/>
      <c r="H413" s="24" t="n"/>
      <c r="I413" s="23" t="n"/>
      <c r="J413" s="23" t="n"/>
      <c r="K413" s="23" t="n"/>
      <c r="L413" s="23" t="n"/>
      <c r="M413" s="23" t="n"/>
      <c r="N413" s="23" t="n"/>
      <c r="O413" s="23" t="n"/>
      <c r="P413" s="23" t="n"/>
      <c r="Q413" s="23" t="n"/>
      <c r="R413" s="23" t="n"/>
      <c r="S413" s="23" t="n"/>
      <c r="T413" s="23" t="n"/>
      <c r="U413" s="23" t="n"/>
      <c r="V413" s="23" t="n"/>
      <c r="W413" s="23" t="n"/>
      <c r="X413" s="23" t="n"/>
      <c r="Y413" s="25" t="n"/>
      <c r="Z413" s="25" t="n"/>
      <c r="AA413" s="23" t="n"/>
      <c r="AB413" s="25" t="n"/>
      <c r="AC413" s="23" t="n"/>
      <c r="AD413" s="25" t="n"/>
      <c r="AE413" s="23" t="n"/>
      <c r="AF413" s="25" t="n"/>
      <c r="AG413" s="25" t="n"/>
      <c r="AH413" s="23" t="n"/>
      <c r="AI413" s="23" t="n"/>
      <c r="AJ413" s="26">
        <f>IF(I413="","",I413&amp;"|"&amp;R413)</f>
        <v/>
      </c>
      <c r="AK413" s="26">
        <f>IF(I413="","",IF(ISNA(MATCH(O413,Kampanyalar!$A$2:$A$150,0)),"Hayır - Kampanyalar'da Yok","Evet"))</f>
        <v/>
      </c>
      <c r="AL413" s="27">
        <f>IF(I413="","",IFERROR(INDEX(Kampanyalar!$E$2:$E$150,MATCH(O413,Kampanyalar!$A$2:$A$150,0)),""))</f>
        <v/>
      </c>
      <c r="AM413" s="27">
        <f>IF(I413="","",IFERROR(INDEX(Kampanyalar!$F$2:$F$150,MATCH(O413,Kampanyalar!$A$2:$A$150,0)),""))</f>
        <v/>
      </c>
      <c r="AN413" s="27">
        <f>IF(I413="","",IFERROR(INDEX(Kampanyalar!$G$2:$G$150,MATCH(O413,Kampanyalar!$A$2:$A$150,0)),""))</f>
        <v/>
      </c>
      <c r="AO413" s="26">
        <f>IF(OR(I413="",AL413="",AM413=""),"",IF(AND(H413&gt;=AL413,H413&lt;=AM413),"Evet","HAYIR - Tarih Dışı"))</f>
        <v/>
      </c>
      <c r="AP413" s="28">
        <f>IF(I413="","",IFERROR(INDEX(Kampanyalar!$H$2:$H$150,MATCH(O413,Kampanyalar!$A$2:$A$150,0)),""))</f>
        <v/>
      </c>
      <c r="AQ413" s="28">
        <f>IF(I413="","",IF(ISNUMBER(AP413),AP413,AD413))</f>
        <v/>
      </c>
      <c r="AR413" s="26">
        <f>IF(I413="","",IF(Parametreler!$C$7="Evet","Kural A - Hemen Ödeme (Stok Mutabakatlı)","Kural B - Nakliye/Montaj Sonrası Ödeme"))</f>
        <v/>
      </c>
    </row>
    <row r="414">
      <c r="A414" s="23" t="n"/>
      <c r="B414" s="23" t="n"/>
      <c r="C414" s="23" t="n"/>
      <c r="D414" s="23" t="n"/>
      <c r="E414" s="23" t="n"/>
      <c r="F414" s="23" t="n"/>
      <c r="G414" s="23" t="n"/>
      <c r="H414" s="24" t="n"/>
      <c r="I414" s="23" t="n"/>
      <c r="J414" s="23" t="n"/>
      <c r="K414" s="23" t="n"/>
      <c r="L414" s="23" t="n"/>
      <c r="M414" s="23" t="n"/>
      <c r="N414" s="23" t="n"/>
      <c r="O414" s="23" t="n"/>
      <c r="P414" s="23" t="n"/>
      <c r="Q414" s="23" t="n"/>
      <c r="R414" s="23" t="n"/>
      <c r="S414" s="23" t="n"/>
      <c r="T414" s="23" t="n"/>
      <c r="U414" s="23" t="n"/>
      <c r="V414" s="23" t="n"/>
      <c r="W414" s="23" t="n"/>
      <c r="X414" s="23" t="n"/>
      <c r="Y414" s="25" t="n"/>
      <c r="Z414" s="25" t="n"/>
      <c r="AA414" s="23" t="n"/>
      <c r="AB414" s="25" t="n"/>
      <c r="AC414" s="23" t="n"/>
      <c r="AD414" s="25" t="n"/>
      <c r="AE414" s="23" t="n"/>
      <c r="AF414" s="25" t="n"/>
      <c r="AG414" s="25" t="n"/>
      <c r="AH414" s="23" t="n"/>
      <c r="AI414" s="23" t="n"/>
      <c r="AJ414" s="26">
        <f>IF(I414="","",I414&amp;"|"&amp;R414)</f>
        <v/>
      </c>
      <c r="AK414" s="26">
        <f>IF(I414="","",IF(ISNA(MATCH(O414,Kampanyalar!$A$2:$A$150,0)),"Hayır - Kampanyalar'da Yok","Evet"))</f>
        <v/>
      </c>
      <c r="AL414" s="27">
        <f>IF(I414="","",IFERROR(INDEX(Kampanyalar!$E$2:$E$150,MATCH(O414,Kampanyalar!$A$2:$A$150,0)),""))</f>
        <v/>
      </c>
      <c r="AM414" s="27">
        <f>IF(I414="","",IFERROR(INDEX(Kampanyalar!$F$2:$F$150,MATCH(O414,Kampanyalar!$A$2:$A$150,0)),""))</f>
        <v/>
      </c>
      <c r="AN414" s="27">
        <f>IF(I414="","",IFERROR(INDEX(Kampanyalar!$G$2:$G$150,MATCH(O414,Kampanyalar!$A$2:$A$150,0)),""))</f>
        <v/>
      </c>
      <c r="AO414" s="26">
        <f>IF(OR(I414="",AL414="",AM414=""),"",IF(AND(H414&gt;=AL414,H414&lt;=AM414),"Evet","HAYIR - Tarih Dışı"))</f>
        <v/>
      </c>
      <c r="AP414" s="28">
        <f>IF(I414="","",IFERROR(INDEX(Kampanyalar!$H$2:$H$150,MATCH(O414,Kampanyalar!$A$2:$A$150,0)),""))</f>
        <v/>
      </c>
      <c r="AQ414" s="28">
        <f>IF(I414="","",IF(ISNUMBER(AP414),AP414,AD414))</f>
        <v/>
      </c>
      <c r="AR414" s="26">
        <f>IF(I414="","",IF(Parametreler!$C$7="Evet","Kural A - Hemen Ödeme (Stok Mutabakatlı)","Kural B - Nakliye/Montaj Sonrası Ödeme"))</f>
        <v/>
      </c>
    </row>
    <row r="415">
      <c r="A415" s="23" t="n"/>
      <c r="B415" s="23" t="n"/>
      <c r="C415" s="23" t="n"/>
      <c r="D415" s="23" t="n"/>
      <c r="E415" s="23" t="n"/>
      <c r="F415" s="23" t="n"/>
      <c r="G415" s="23" t="n"/>
      <c r="H415" s="24" t="n"/>
      <c r="I415" s="23" t="n"/>
      <c r="J415" s="23" t="n"/>
      <c r="K415" s="23" t="n"/>
      <c r="L415" s="23" t="n"/>
      <c r="M415" s="23" t="n"/>
      <c r="N415" s="23" t="n"/>
      <c r="O415" s="23" t="n"/>
      <c r="P415" s="23" t="n"/>
      <c r="Q415" s="23" t="n"/>
      <c r="R415" s="23" t="n"/>
      <c r="S415" s="23" t="n"/>
      <c r="T415" s="23" t="n"/>
      <c r="U415" s="23" t="n"/>
      <c r="V415" s="23" t="n"/>
      <c r="W415" s="23" t="n"/>
      <c r="X415" s="23" t="n"/>
      <c r="Y415" s="25" t="n"/>
      <c r="Z415" s="25" t="n"/>
      <c r="AA415" s="23" t="n"/>
      <c r="AB415" s="25" t="n"/>
      <c r="AC415" s="23" t="n"/>
      <c r="AD415" s="25" t="n"/>
      <c r="AE415" s="23" t="n"/>
      <c r="AF415" s="25" t="n"/>
      <c r="AG415" s="25" t="n"/>
      <c r="AH415" s="23" t="n"/>
      <c r="AI415" s="23" t="n"/>
      <c r="AJ415" s="26">
        <f>IF(I415="","",I415&amp;"|"&amp;R415)</f>
        <v/>
      </c>
      <c r="AK415" s="26">
        <f>IF(I415="","",IF(ISNA(MATCH(O415,Kampanyalar!$A$2:$A$150,0)),"Hayır - Kampanyalar'da Yok","Evet"))</f>
        <v/>
      </c>
      <c r="AL415" s="27">
        <f>IF(I415="","",IFERROR(INDEX(Kampanyalar!$E$2:$E$150,MATCH(O415,Kampanyalar!$A$2:$A$150,0)),""))</f>
        <v/>
      </c>
      <c r="AM415" s="27">
        <f>IF(I415="","",IFERROR(INDEX(Kampanyalar!$F$2:$F$150,MATCH(O415,Kampanyalar!$A$2:$A$150,0)),""))</f>
        <v/>
      </c>
      <c r="AN415" s="27">
        <f>IF(I415="","",IFERROR(INDEX(Kampanyalar!$G$2:$G$150,MATCH(O415,Kampanyalar!$A$2:$A$150,0)),""))</f>
        <v/>
      </c>
      <c r="AO415" s="26">
        <f>IF(OR(I415="",AL415="",AM415=""),"",IF(AND(H415&gt;=AL415,H415&lt;=AM415),"Evet","HAYIR - Tarih Dışı"))</f>
        <v/>
      </c>
      <c r="AP415" s="28">
        <f>IF(I415="","",IFERROR(INDEX(Kampanyalar!$H$2:$H$150,MATCH(O415,Kampanyalar!$A$2:$A$150,0)),""))</f>
        <v/>
      </c>
      <c r="AQ415" s="28">
        <f>IF(I415="","",IF(ISNUMBER(AP415),AP415,AD415))</f>
        <v/>
      </c>
      <c r="AR415" s="26">
        <f>IF(I415="","",IF(Parametreler!$C$7="Evet","Kural A - Hemen Ödeme (Stok Mutabakatlı)","Kural B - Nakliye/Montaj Sonrası Ödeme"))</f>
        <v/>
      </c>
    </row>
    <row r="416">
      <c r="A416" s="23" t="n"/>
      <c r="B416" s="23" t="n"/>
      <c r="C416" s="23" t="n"/>
      <c r="D416" s="23" t="n"/>
      <c r="E416" s="23" t="n"/>
      <c r="F416" s="23" t="n"/>
      <c r="G416" s="23" t="n"/>
      <c r="H416" s="24" t="n"/>
      <c r="I416" s="23" t="n"/>
      <c r="J416" s="23" t="n"/>
      <c r="K416" s="23" t="n"/>
      <c r="L416" s="23" t="n"/>
      <c r="M416" s="23" t="n"/>
      <c r="N416" s="23" t="n"/>
      <c r="O416" s="23" t="n"/>
      <c r="P416" s="23" t="n"/>
      <c r="Q416" s="23" t="n"/>
      <c r="R416" s="23" t="n"/>
      <c r="S416" s="23" t="n"/>
      <c r="T416" s="23" t="n"/>
      <c r="U416" s="23" t="n"/>
      <c r="V416" s="23" t="n"/>
      <c r="W416" s="23" t="n"/>
      <c r="X416" s="23" t="n"/>
      <c r="Y416" s="25" t="n"/>
      <c r="Z416" s="25" t="n"/>
      <c r="AA416" s="23" t="n"/>
      <c r="AB416" s="25" t="n"/>
      <c r="AC416" s="23" t="n"/>
      <c r="AD416" s="25" t="n"/>
      <c r="AE416" s="23" t="n"/>
      <c r="AF416" s="25" t="n"/>
      <c r="AG416" s="25" t="n"/>
      <c r="AH416" s="23" t="n"/>
      <c r="AI416" s="23" t="n"/>
      <c r="AJ416" s="26">
        <f>IF(I416="","",I416&amp;"|"&amp;R416)</f>
        <v/>
      </c>
      <c r="AK416" s="26">
        <f>IF(I416="","",IF(ISNA(MATCH(O416,Kampanyalar!$A$2:$A$150,0)),"Hayır - Kampanyalar'da Yok","Evet"))</f>
        <v/>
      </c>
      <c r="AL416" s="27">
        <f>IF(I416="","",IFERROR(INDEX(Kampanyalar!$E$2:$E$150,MATCH(O416,Kampanyalar!$A$2:$A$150,0)),""))</f>
        <v/>
      </c>
      <c r="AM416" s="27">
        <f>IF(I416="","",IFERROR(INDEX(Kampanyalar!$F$2:$F$150,MATCH(O416,Kampanyalar!$A$2:$A$150,0)),""))</f>
        <v/>
      </c>
      <c r="AN416" s="27">
        <f>IF(I416="","",IFERROR(INDEX(Kampanyalar!$G$2:$G$150,MATCH(O416,Kampanyalar!$A$2:$A$150,0)),""))</f>
        <v/>
      </c>
      <c r="AO416" s="26">
        <f>IF(OR(I416="",AL416="",AM416=""),"",IF(AND(H416&gt;=AL416,H416&lt;=AM416),"Evet","HAYIR - Tarih Dışı"))</f>
        <v/>
      </c>
      <c r="AP416" s="28">
        <f>IF(I416="","",IFERROR(INDEX(Kampanyalar!$H$2:$H$150,MATCH(O416,Kampanyalar!$A$2:$A$150,0)),""))</f>
        <v/>
      </c>
      <c r="AQ416" s="28">
        <f>IF(I416="","",IF(ISNUMBER(AP416),AP416,AD416))</f>
        <v/>
      </c>
      <c r="AR416" s="26">
        <f>IF(I416="","",IF(Parametreler!$C$7="Evet","Kural A - Hemen Ödeme (Stok Mutabakatlı)","Kural B - Nakliye/Montaj Sonrası Ödeme"))</f>
        <v/>
      </c>
    </row>
    <row r="417">
      <c r="A417" s="23" t="n"/>
      <c r="B417" s="23" t="n"/>
      <c r="C417" s="23" t="n"/>
      <c r="D417" s="23" t="n"/>
      <c r="E417" s="23" t="n"/>
      <c r="F417" s="23" t="n"/>
      <c r="G417" s="23" t="n"/>
      <c r="H417" s="24" t="n"/>
      <c r="I417" s="23" t="n"/>
      <c r="J417" s="23" t="n"/>
      <c r="K417" s="23" t="n"/>
      <c r="L417" s="23" t="n"/>
      <c r="M417" s="23" t="n"/>
      <c r="N417" s="23" t="n"/>
      <c r="O417" s="23" t="n"/>
      <c r="P417" s="23" t="n"/>
      <c r="Q417" s="23" t="n"/>
      <c r="R417" s="23" t="n"/>
      <c r="S417" s="23" t="n"/>
      <c r="T417" s="23" t="n"/>
      <c r="U417" s="23" t="n"/>
      <c r="V417" s="23" t="n"/>
      <c r="W417" s="23" t="n"/>
      <c r="X417" s="23" t="n"/>
      <c r="Y417" s="25" t="n"/>
      <c r="Z417" s="25" t="n"/>
      <c r="AA417" s="23" t="n"/>
      <c r="AB417" s="25" t="n"/>
      <c r="AC417" s="23" t="n"/>
      <c r="AD417" s="25" t="n"/>
      <c r="AE417" s="23" t="n"/>
      <c r="AF417" s="25" t="n"/>
      <c r="AG417" s="25" t="n"/>
      <c r="AH417" s="23" t="n"/>
      <c r="AI417" s="23" t="n"/>
      <c r="AJ417" s="26">
        <f>IF(I417="","",I417&amp;"|"&amp;R417)</f>
        <v/>
      </c>
      <c r="AK417" s="26">
        <f>IF(I417="","",IF(ISNA(MATCH(O417,Kampanyalar!$A$2:$A$150,0)),"Hayır - Kampanyalar'da Yok","Evet"))</f>
        <v/>
      </c>
      <c r="AL417" s="27">
        <f>IF(I417="","",IFERROR(INDEX(Kampanyalar!$E$2:$E$150,MATCH(O417,Kampanyalar!$A$2:$A$150,0)),""))</f>
        <v/>
      </c>
      <c r="AM417" s="27">
        <f>IF(I417="","",IFERROR(INDEX(Kampanyalar!$F$2:$F$150,MATCH(O417,Kampanyalar!$A$2:$A$150,0)),""))</f>
        <v/>
      </c>
      <c r="AN417" s="27">
        <f>IF(I417="","",IFERROR(INDEX(Kampanyalar!$G$2:$G$150,MATCH(O417,Kampanyalar!$A$2:$A$150,0)),""))</f>
        <v/>
      </c>
      <c r="AO417" s="26">
        <f>IF(OR(I417="",AL417="",AM417=""),"",IF(AND(H417&gt;=AL417,H417&lt;=AM417),"Evet","HAYIR - Tarih Dışı"))</f>
        <v/>
      </c>
      <c r="AP417" s="28">
        <f>IF(I417="","",IFERROR(INDEX(Kampanyalar!$H$2:$H$150,MATCH(O417,Kampanyalar!$A$2:$A$150,0)),""))</f>
        <v/>
      </c>
      <c r="AQ417" s="28">
        <f>IF(I417="","",IF(ISNUMBER(AP417),AP417,AD417))</f>
        <v/>
      </c>
      <c r="AR417" s="26">
        <f>IF(I417="","",IF(Parametreler!$C$7="Evet","Kural A - Hemen Ödeme (Stok Mutabakatlı)","Kural B - Nakliye/Montaj Sonrası Ödeme"))</f>
        <v/>
      </c>
    </row>
    <row r="418">
      <c r="A418" s="23" t="n"/>
      <c r="B418" s="23" t="n"/>
      <c r="C418" s="23" t="n"/>
      <c r="D418" s="23" t="n"/>
      <c r="E418" s="23" t="n"/>
      <c r="F418" s="23" t="n"/>
      <c r="G418" s="23" t="n"/>
      <c r="H418" s="24" t="n"/>
      <c r="I418" s="23" t="n"/>
      <c r="J418" s="23" t="n"/>
      <c r="K418" s="23" t="n"/>
      <c r="L418" s="23" t="n"/>
      <c r="M418" s="23" t="n"/>
      <c r="N418" s="23" t="n"/>
      <c r="O418" s="23" t="n"/>
      <c r="P418" s="23" t="n"/>
      <c r="Q418" s="23" t="n"/>
      <c r="R418" s="23" t="n"/>
      <c r="S418" s="23" t="n"/>
      <c r="T418" s="23" t="n"/>
      <c r="U418" s="23" t="n"/>
      <c r="V418" s="23" t="n"/>
      <c r="W418" s="23" t="n"/>
      <c r="X418" s="23" t="n"/>
      <c r="Y418" s="25" t="n"/>
      <c r="Z418" s="25" t="n"/>
      <c r="AA418" s="23" t="n"/>
      <c r="AB418" s="25" t="n"/>
      <c r="AC418" s="23" t="n"/>
      <c r="AD418" s="25" t="n"/>
      <c r="AE418" s="23" t="n"/>
      <c r="AF418" s="25" t="n"/>
      <c r="AG418" s="25" t="n"/>
      <c r="AH418" s="23" t="n"/>
      <c r="AI418" s="23" t="n"/>
      <c r="AJ418" s="26">
        <f>IF(I418="","",I418&amp;"|"&amp;R418)</f>
        <v/>
      </c>
      <c r="AK418" s="26">
        <f>IF(I418="","",IF(ISNA(MATCH(O418,Kampanyalar!$A$2:$A$150,0)),"Hayır - Kampanyalar'da Yok","Evet"))</f>
        <v/>
      </c>
      <c r="AL418" s="27">
        <f>IF(I418="","",IFERROR(INDEX(Kampanyalar!$E$2:$E$150,MATCH(O418,Kampanyalar!$A$2:$A$150,0)),""))</f>
        <v/>
      </c>
      <c r="AM418" s="27">
        <f>IF(I418="","",IFERROR(INDEX(Kampanyalar!$F$2:$F$150,MATCH(O418,Kampanyalar!$A$2:$A$150,0)),""))</f>
        <v/>
      </c>
      <c r="AN418" s="27">
        <f>IF(I418="","",IFERROR(INDEX(Kampanyalar!$G$2:$G$150,MATCH(O418,Kampanyalar!$A$2:$A$150,0)),""))</f>
        <v/>
      </c>
      <c r="AO418" s="26">
        <f>IF(OR(I418="",AL418="",AM418=""),"",IF(AND(H418&gt;=AL418,H418&lt;=AM418),"Evet","HAYIR - Tarih Dışı"))</f>
        <v/>
      </c>
      <c r="AP418" s="28">
        <f>IF(I418="","",IFERROR(INDEX(Kampanyalar!$H$2:$H$150,MATCH(O418,Kampanyalar!$A$2:$A$150,0)),""))</f>
        <v/>
      </c>
      <c r="AQ418" s="28">
        <f>IF(I418="","",IF(ISNUMBER(AP418),AP418,AD418))</f>
        <v/>
      </c>
      <c r="AR418" s="26">
        <f>IF(I418="","",IF(Parametreler!$C$7="Evet","Kural A - Hemen Ödeme (Stok Mutabakatlı)","Kural B - Nakliye/Montaj Sonrası Ödeme"))</f>
        <v/>
      </c>
    </row>
    <row r="419">
      <c r="A419" s="23" t="n"/>
      <c r="B419" s="23" t="n"/>
      <c r="C419" s="23" t="n"/>
      <c r="D419" s="23" t="n"/>
      <c r="E419" s="23" t="n"/>
      <c r="F419" s="23" t="n"/>
      <c r="G419" s="23" t="n"/>
      <c r="H419" s="24" t="n"/>
      <c r="I419" s="23" t="n"/>
      <c r="J419" s="23" t="n"/>
      <c r="K419" s="23" t="n"/>
      <c r="L419" s="23" t="n"/>
      <c r="M419" s="23" t="n"/>
      <c r="N419" s="23" t="n"/>
      <c r="O419" s="23" t="n"/>
      <c r="P419" s="23" t="n"/>
      <c r="Q419" s="23" t="n"/>
      <c r="R419" s="23" t="n"/>
      <c r="S419" s="23" t="n"/>
      <c r="T419" s="23" t="n"/>
      <c r="U419" s="23" t="n"/>
      <c r="V419" s="23" t="n"/>
      <c r="W419" s="23" t="n"/>
      <c r="X419" s="23" t="n"/>
      <c r="Y419" s="25" t="n"/>
      <c r="Z419" s="25" t="n"/>
      <c r="AA419" s="23" t="n"/>
      <c r="AB419" s="25" t="n"/>
      <c r="AC419" s="23" t="n"/>
      <c r="AD419" s="25" t="n"/>
      <c r="AE419" s="23" t="n"/>
      <c r="AF419" s="25" t="n"/>
      <c r="AG419" s="25" t="n"/>
      <c r="AH419" s="23" t="n"/>
      <c r="AI419" s="23" t="n"/>
      <c r="AJ419" s="26">
        <f>IF(I419="","",I419&amp;"|"&amp;R419)</f>
        <v/>
      </c>
      <c r="AK419" s="26">
        <f>IF(I419="","",IF(ISNA(MATCH(O419,Kampanyalar!$A$2:$A$150,0)),"Hayır - Kampanyalar'da Yok","Evet"))</f>
        <v/>
      </c>
      <c r="AL419" s="27">
        <f>IF(I419="","",IFERROR(INDEX(Kampanyalar!$E$2:$E$150,MATCH(O419,Kampanyalar!$A$2:$A$150,0)),""))</f>
        <v/>
      </c>
      <c r="AM419" s="27">
        <f>IF(I419="","",IFERROR(INDEX(Kampanyalar!$F$2:$F$150,MATCH(O419,Kampanyalar!$A$2:$A$150,0)),""))</f>
        <v/>
      </c>
      <c r="AN419" s="27">
        <f>IF(I419="","",IFERROR(INDEX(Kampanyalar!$G$2:$G$150,MATCH(O419,Kampanyalar!$A$2:$A$150,0)),""))</f>
        <v/>
      </c>
      <c r="AO419" s="26">
        <f>IF(OR(I419="",AL419="",AM419=""),"",IF(AND(H419&gt;=AL419,H419&lt;=AM419),"Evet","HAYIR - Tarih Dışı"))</f>
        <v/>
      </c>
      <c r="AP419" s="28">
        <f>IF(I419="","",IFERROR(INDEX(Kampanyalar!$H$2:$H$150,MATCH(O419,Kampanyalar!$A$2:$A$150,0)),""))</f>
        <v/>
      </c>
      <c r="AQ419" s="28">
        <f>IF(I419="","",IF(ISNUMBER(AP419),AP419,AD419))</f>
        <v/>
      </c>
      <c r="AR419" s="26">
        <f>IF(I419="","",IF(Parametreler!$C$7="Evet","Kural A - Hemen Ödeme (Stok Mutabakatlı)","Kural B - Nakliye/Montaj Sonrası Ödeme"))</f>
        <v/>
      </c>
    </row>
    <row r="420">
      <c r="A420" s="23" t="n"/>
      <c r="B420" s="23" t="n"/>
      <c r="C420" s="23" t="n"/>
      <c r="D420" s="23" t="n"/>
      <c r="E420" s="23" t="n"/>
      <c r="F420" s="23" t="n"/>
      <c r="G420" s="23" t="n"/>
      <c r="H420" s="24" t="n"/>
      <c r="I420" s="23" t="n"/>
      <c r="J420" s="23" t="n"/>
      <c r="K420" s="23" t="n"/>
      <c r="L420" s="23" t="n"/>
      <c r="M420" s="23" t="n"/>
      <c r="N420" s="23" t="n"/>
      <c r="O420" s="23" t="n"/>
      <c r="P420" s="23" t="n"/>
      <c r="Q420" s="23" t="n"/>
      <c r="R420" s="23" t="n"/>
      <c r="S420" s="23" t="n"/>
      <c r="T420" s="23" t="n"/>
      <c r="U420" s="23" t="n"/>
      <c r="V420" s="23" t="n"/>
      <c r="W420" s="23" t="n"/>
      <c r="X420" s="23" t="n"/>
      <c r="Y420" s="25" t="n"/>
      <c r="Z420" s="25" t="n"/>
      <c r="AA420" s="23" t="n"/>
      <c r="AB420" s="25" t="n"/>
      <c r="AC420" s="23" t="n"/>
      <c r="AD420" s="25" t="n"/>
      <c r="AE420" s="23" t="n"/>
      <c r="AF420" s="25" t="n"/>
      <c r="AG420" s="25" t="n"/>
      <c r="AH420" s="23" t="n"/>
      <c r="AI420" s="23" t="n"/>
      <c r="AJ420" s="26">
        <f>IF(I420="","",I420&amp;"|"&amp;R420)</f>
        <v/>
      </c>
      <c r="AK420" s="26">
        <f>IF(I420="","",IF(ISNA(MATCH(O420,Kampanyalar!$A$2:$A$150,0)),"Hayır - Kampanyalar'da Yok","Evet"))</f>
        <v/>
      </c>
      <c r="AL420" s="27">
        <f>IF(I420="","",IFERROR(INDEX(Kampanyalar!$E$2:$E$150,MATCH(O420,Kampanyalar!$A$2:$A$150,0)),""))</f>
        <v/>
      </c>
      <c r="AM420" s="27">
        <f>IF(I420="","",IFERROR(INDEX(Kampanyalar!$F$2:$F$150,MATCH(O420,Kampanyalar!$A$2:$A$150,0)),""))</f>
        <v/>
      </c>
      <c r="AN420" s="27">
        <f>IF(I420="","",IFERROR(INDEX(Kampanyalar!$G$2:$G$150,MATCH(O420,Kampanyalar!$A$2:$A$150,0)),""))</f>
        <v/>
      </c>
      <c r="AO420" s="26">
        <f>IF(OR(I420="",AL420="",AM420=""),"",IF(AND(H420&gt;=AL420,H420&lt;=AM420),"Evet","HAYIR - Tarih Dışı"))</f>
        <v/>
      </c>
      <c r="AP420" s="28">
        <f>IF(I420="","",IFERROR(INDEX(Kampanyalar!$H$2:$H$150,MATCH(O420,Kampanyalar!$A$2:$A$150,0)),""))</f>
        <v/>
      </c>
      <c r="AQ420" s="28">
        <f>IF(I420="","",IF(ISNUMBER(AP420),AP420,AD420))</f>
        <v/>
      </c>
      <c r="AR420" s="26">
        <f>IF(I420="","",IF(Parametreler!$C$7="Evet","Kural A - Hemen Ödeme (Stok Mutabakatlı)","Kural B - Nakliye/Montaj Sonrası Ödeme"))</f>
        <v/>
      </c>
    </row>
    <row r="421">
      <c r="A421" s="23" t="n"/>
      <c r="B421" s="23" t="n"/>
      <c r="C421" s="23" t="n"/>
      <c r="D421" s="23" t="n"/>
      <c r="E421" s="23" t="n"/>
      <c r="F421" s="23" t="n"/>
      <c r="G421" s="23" t="n"/>
      <c r="H421" s="24" t="n"/>
      <c r="I421" s="23" t="n"/>
      <c r="J421" s="23" t="n"/>
      <c r="K421" s="23" t="n"/>
      <c r="L421" s="23" t="n"/>
      <c r="M421" s="23" t="n"/>
      <c r="N421" s="23" t="n"/>
      <c r="O421" s="23" t="n"/>
      <c r="P421" s="23" t="n"/>
      <c r="Q421" s="23" t="n"/>
      <c r="R421" s="23" t="n"/>
      <c r="S421" s="23" t="n"/>
      <c r="T421" s="23" t="n"/>
      <c r="U421" s="23" t="n"/>
      <c r="V421" s="23" t="n"/>
      <c r="W421" s="23" t="n"/>
      <c r="X421" s="23" t="n"/>
      <c r="Y421" s="25" t="n"/>
      <c r="Z421" s="25" t="n"/>
      <c r="AA421" s="23" t="n"/>
      <c r="AB421" s="25" t="n"/>
      <c r="AC421" s="23" t="n"/>
      <c r="AD421" s="25" t="n"/>
      <c r="AE421" s="23" t="n"/>
      <c r="AF421" s="25" t="n"/>
      <c r="AG421" s="25" t="n"/>
      <c r="AH421" s="23" t="n"/>
      <c r="AI421" s="23" t="n"/>
      <c r="AJ421" s="26">
        <f>IF(I421="","",I421&amp;"|"&amp;R421)</f>
        <v/>
      </c>
      <c r="AK421" s="26">
        <f>IF(I421="","",IF(ISNA(MATCH(O421,Kampanyalar!$A$2:$A$150,0)),"Hayır - Kampanyalar'da Yok","Evet"))</f>
        <v/>
      </c>
      <c r="AL421" s="27">
        <f>IF(I421="","",IFERROR(INDEX(Kampanyalar!$E$2:$E$150,MATCH(O421,Kampanyalar!$A$2:$A$150,0)),""))</f>
        <v/>
      </c>
      <c r="AM421" s="27">
        <f>IF(I421="","",IFERROR(INDEX(Kampanyalar!$F$2:$F$150,MATCH(O421,Kampanyalar!$A$2:$A$150,0)),""))</f>
        <v/>
      </c>
      <c r="AN421" s="27">
        <f>IF(I421="","",IFERROR(INDEX(Kampanyalar!$G$2:$G$150,MATCH(O421,Kampanyalar!$A$2:$A$150,0)),""))</f>
        <v/>
      </c>
      <c r="AO421" s="26">
        <f>IF(OR(I421="",AL421="",AM421=""),"",IF(AND(H421&gt;=AL421,H421&lt;=AM421),"Evet","HAYIR - Tarih Dışı"))</f>
        <v/>
      </c>
      <c r="AP421" s="28">
        <f>IF(I421="","",IFERROR(INDEX(Kampanyalar!$H$2:$H$150,MATCH(O421,Kampanyalar!$A$2:$A$150,0)),""))</f>
        <v/>
      </c>
      <c r="AQ421" s="28">
        <f>IF(I421="","",IF(ISNUMBER(AP421),AP421,AD421))</f>
        <v/>
      </c>
      <c r="AR421" s="26">
        <f>IF(I421="","",IF(Parametreler!$C$7="Evet","Kural A - Hemen Ödeme (Stok Mutabakatlı)","Kural B - Nakliye/Montaj Sonrası Ödeme"))</f>
        <v/>
      </c>
    </row>
    <row r="422">
      <c r="A422" s="23" t="n"/>
      <c r="B422" s="23" t="n"/>
      <c r="C422" s="23" t="n"/>
      <c r="D422" s="23" t="n"/>
      <c r="E422" s="23" t="n"/>
      <c r="F422" s="23" t="n"/>
      <c r="G422" s="23" t="n"/>
      <c r="H422" s="24" t="n"/>
      <c r="I422" s="23" t="n"/>
      <c r="J422" s="23" t="n"/>
      <c r="K422" s="23" t="n"/>
      <c r="L422" s="23" t="n"/>
      <c r="M422" s="23" t="n"/>
      <c r="N422" s="23" t="n"/>
      <c r="O422" s="23" t="n"/>
      <c r="P422" s="23" t="n"/>
      <c r="Q422" s="23" t="n"/>
      <c r="R422" s="23" t="n"/>
      <c r="S422" s="23" t="n"/>
      <c r="T422" s="23" t="n"/>
      <c r="U422" s="23" t="n"/>
      <c r="V422" s="23" t="n"/>
      <c r="W422" s="23" t="n"/>
      <c r="X422" s="23" t="n"/>
      <c r="Y422" s="25" t="n"/>
      <c r="Z422" s="25" t="n"/>
      <c r="AA422" s="23" t="n"/>
      <c r="AB422" s="25" t="n"/>
      <c r="AC422" s="23" t="n"/>
      <c r="AD422" s="25" t="n"/>
      <c r="AE422" s="23" t="n"/>
      <c r="AF422" s="25" t="n"/>
      <c r="AG422" s="25" t="n"/>
      <c r="AH422" s="23" t="n"/>
      <c r="AI422" s="23" t="n"/>
      <c r="AJ422" s="26">
        <f>IF(I422="","",I422&amp;"|"&amp;R422)</f>
        <v/>
      </c>
      <c r="AK422" s="26">
        <f>IF(I422="","",IF(ISNA(MATCH(O422,Kampanyalar!$A$2:$A$150,0)),"Hayır - Kampanyalar'da Yok","Evet"))</f>
        <v/>
      </c>
      <c r="AL422" s="27">
        <f>IF(I422="","",IFERROR(INDEX(Kampanyalar!$E$2:$E$150,MATCH(O422,Kampanyalar!$A$2:$A$150,0)),""))</f>
        <v/>
      </c>
      <c r="AM422" s="27">
        <f>IF(I422="","",IFERROR(INDEX(Kampanyalar!$F$2:$F$150,MATCH(O422,Kampanyalar!$A$2:$A$150,0)),""))</f>
        <v/>
      </c>
      <c r="AN422" s="27">
        <f>IF(I422="","",IFERROR(INDEX(Kampanyalar!$G$2:$G$150,MATCH(O422,Kampanyalar!$A$2:$A$150,0)),""))</f>
        <v/>
      </c>
      <c r="AO422" s="26">
        <f>IF(OR(I422="",AL422="",AM422=""),"",IF(AND(H422&gt;=AL422,H422&lt;=AM422),"Evet","HAYIR - Tarih Dışı"))</f>
        <v/>
      </c>
      <c r="AP422" s="28">
        <f>IF(I422="","",IFERROR(INDEX(Kampanyalar!$H$2:$H$150,MATCH(O422,Kampanyalar!$A$2:$A$150,0)),""))</f>
        <v/>
      </c>
      <c r="AQ422" s="28">
        <f>IF(I422="","",IF(ISNUMBER(AP422),AP422,AD422))</f>
        <v/>
      </c>
      <c r="AR422" s="26">
        <f>IF(I422="","",IF(Parametreler!$C$7="Evet","Kural A - Hemen Ödeme (Stok Mutabakatlı)","Kural B - Nakliye/Montaj Sonrası Ödeme"))</f>
        <v/>
      </c>
    </row>
    <row r="423">
      <c r="A423" s="23" t="n"/>
      <c r="B423" s="23" t="n"/>
      <c r="C423" s="23" t="n"/>
      <c r="D423" s="23" t="n"/>
      <c r="E423" s="23" t="n"/>
      <c r="F423" s="23" t="n"/>
      <c r="G423" s="23" t="n"/>
      <c r="H423" s="24" t="n"/>
      <c r="I423" s="23" t="n"/>
      <c r="J423" s="23" t="n"/>
      <c r="K423" s="23" t="n"/>
      <c r="L423" s="23" t="n"/>
      <c r="M423" s="23" t="n"/>
      <c r="N423" s="23" t="n"/>
      <c r="O423" s="23" t="n"/>
      <c r="P423" s="23" t="n"/>
      <c r="Q423" s="23" t="n"/>
      <c r="R423" s="23" t="n"/>
      <c r="S423" s="23" t="n"/>
      <c r="T423" s="23" t="n"/>
      <c r="U423" s="23" t="n"/>
      <c r="V423" s="23" t="n"/>
      <c r="W423" s="23" t="n"/>
      <c r="X423" s="23" t="n"/>
      <c r="Y423" s="25" t="n"/>
      <c r="Z423" s="25" t="n"/>
      <c r="AA423" s="23" t="n"/>
      <c r="AB423" s="25" t="n"/>
      <c r="AC423" s="23" t="n"/>
      <c r="AD423" s="25" t="n"/>
      <c r="AE423" s="23" t="n"/>
      <c r="AF423" s="25" t="n"/>
      <c r="AG423" s="25" t="n"/>
      <c r="AH423" s="23" t="n"/>
      <c r="AI423" s="23" t="n"/>
      <c r="AJ423" s="26">
        <f>IF(I423="","",I423&amp;"|"&amp;R423)</f>
        <v/>
      </c>
      <c r="AK423" s="26">
        <f>IF(I423="","",IF(ISNA(MATCH(O423,Kampanyalar!$A$2:$A$150,0)),"Hayır - Kampanyalar'da Yok","Evet"))</f>
        <v/>
      </c>
      <c r="AL423" s="27">
        <f>IF(I423="","",IFERROR(INDEX(Kampanyalar!$E$2:$E$150,MATCH(O423,Kampanyalar!$A$2:$A$150,0)),""))</f>
        <v/>
      </c>
      <c r="AM423" s="27">
        <f>IF(I423="","",IFERROR(INDEX(Kampanyalar!$F$2:$F$150,MATCH(O423,Kampanyalar!$A$2:$A$150,0)),""))</f>
        <v/>
      </c>
      <c r="AN423" s="27">
        <f>IF(I423="","",IFERROR(INDEX(Kampanyalar!$G$2:$G$150,MATCH(O423,Kampanyalar!$A$2:$A$150,0)),""))</f>
        <v/>
      </c>
      <c r="AO423" s="26">
        <f>IF(OR(I423="",AL423="",AM423=""),"",IF(AND(H423&gt;=AL423,H423&lt;=AM423),"Evet","HAYIR - Tarih Dışı"))</f>
        <v/>
      </c>
      <c r="AP423" s="28">
        <f>IF(I423="","",IFERROR(INDEX(Kampanyalar!$H$2:$H$150,MATCH(O423,Kampanyalar!$A$2:$A$150,0)),""))</f>
        <v/>
      </c>
      <c r="AQ423" s="28">
        <f>IF(I423="","",IF(ISNUMBER(AP423),AP423,AD423))</f>
        <v/>
      </c>
      <c r="AR423" s="26">
        <f>IF(I423="","",IF(Parametreler!$C$7="Evet","Kural A - Hemen Ödeme (Stok Mutabakatlı)","Kural B - Nakliye/Montaj Sonrası Ödeme"))</f>
        <v/>
      </c>
    </row>
    <row r="424">
      <c r="A424" s="23" t="n"/>
      <c r="B424" s="23" t="n"/>
      <c r="C424" s="23" t="n"/>
      <c r="D424" s="23" t="n"/>
      <c r="E424" s="23" t="n"/>
      <c r="F424" s="23" t="n"/>
      <c r="G424" s="23" t="n"/>
      <c r="H424" s="24" t="n"/>
      <c r="I424" s="23" t="n"/>
      <c r="J424" s="23" t="n"/>
      <c r="K424" s="23" t="n"/>
      <c r="L424" s="23" t="n"/>
      <c r="M424" s="23" t="n"/>
      <c r="N424" s="23" t="n"/>
      <c r="O424" s="23" t="n"/>
      <c r="P424" s="23" t="n"/>
      <c r="Q424" s="23" t="n"/>
      <c r="R424" s="23" t="n"/>
      <c r="S424" s="23" t="n"/>
      <c r="T424" s="23" t="n"/>
      <c r="U424" s="23" t="n"/>
      <c r="V424" s="23" t="n"/>
      <c r="W424" s="23" t="n"/>
      <c r="X424" s="23" t="n"/>
      <c r="Y424" s="25" t="n"/>
      <c r="Z424" s="25" t="n"/>
      <c r="AA424" s="23" t="n"/>
      <c r="AB424" s="25" t="n"/>
      <c r="AC424" s="23" t="n"/>
      <c r="AD424" s="25" t="n"/>
      <c r="AE424" s="23" t="n"/>
      <c r="AF424" s="25" t="n"/>
      <c r="AG424" s="25" t="n"/>
      <c r="AH424" s="23" t="n"/>
      <c r="AI424" s="23" t="n"/>
      <c r="AJ424" s="26">
        <f>IF(I424="","",I424&amp;"|"&amp;R424)</f>
        <v/>
      </c>
      <c r="AK424" s="26">
        <f>IF(I424="","",IF(ISNA(MATCH(O424,Kampanyalar!$A$2:$A$150,0)),"Hayır - Kampanyalar'da Yok","Evet"))</f>
        <v/>
      </c>
      <c r="AL424" s="27">
        <f>IF(I424="","",IFERROR(INDEX(Kampanyalar!$E$2:$E$150,MATCH(O424,Kampanyalar!$A$2:$A$150,0)),""))</f>
        <v/>
      </c>
      <c r="AM424" s="27">
        <f>IF(I424="","",IFERROR(INDEX(Kampanyalar!$F$2:$F$150,MATCH(O424,Kampanyalar!$A$2:$A$150,0)),""))</f>
        <v/>
      </c>
      <c r="AN424" s="27">
        <f>IF(I424="","",IFERROR(INDEX(Kampanyalar!$G$2:$G$150,MATCH(O424,Kampanyalar!$A$2:$A$150,0)),""))</f>
        <v/>
      </c>
      <c r="AO424" s="26">
        <f>IF(OR(I424="",AL424="",AM424=""),"",IF(AND(H424&gt;=AL424,H424&lt;=AM424),"Evet","HAYIR - Tarih Dışı"))</f>
        <v/>
      </c>
      <c r="AP424" s="28">
        <f>IF(I424="","",IFERROR(INDEX(Kampanyalar!$H$2:$H$150,MATCH(O424,Kampanyalar!$A$2:$A$150,0)),""))</f>
        <v/>
      </c>
      <c r="AQ424" s="28">
        <f>IF(I424="","",IF(ISNUMBER(AP424),AP424,AD424))</f>
        <v/>
      </c>
      <c r="AR424" s="26">
        <f>IF(I424="","",IF(Parametreler!$C$7="Evet","Kural A - Hemen Ödeme (Stok Mutabakatlı)","Kural B - Nakliye/Montaj Sonrası Ödeme"))</f>
        <v/>
      </c>
    </row>
    <row r="425">
      <c r="A425" s="23" t="n"/>
      <c r="B425" s="23" t="n"/>
      <c r="C425" s="23" t="n"/>
      <c r="D425" s="23" t="n"/>
      <c r="E425" s="23" t="n"/>
      <c r="F425" s="23" t="n"/>
      <c r="G425" s="23" t="n"/>
      <c r="H425" s="24" t="n"/>
      <c r="I425" s="23" t="n"/>
      <c r="J425" s="23" t="n"/>
      <c r="K425" s="23" t="n"/>
      <c r="L425" s="23" t="n"/>
      <c r="M425" s="23" t="n"/>
      <c r="N425" s="23" t="n"/>
      <c r="O425" s="23" t="n"/>
      <c r="P425" s="23" t="n"/>
      <c r="Q425" s="23" t="n"/>
      <c r="R425" s="23" t="n"/>
      <c r="S425" s="23" t="n"/>
      <c r="T425" s="23" t="n"/>
      <c r="U425" s="23" t="n"/>
      <c r="V425" s="23" t="n"/>
      <c r="W425" s="23" t="n"/>
      <c r="X425" s="23" t="n"/>
      <c r="Y425" s="25" t="n"/>
      <c r="Z425" s="25" t="n"/>
      <c r="AA425" s="23" t="n"/>
      <c r="AB425" s="25" t="n"/>
      <c r="AC425" s="23" t="n"/>
      <c r="AD425" s="25" t="n"/>
      <c r="AE425" s="23" t="n"/>
      <c r="AF425" s="25" t="n"/>
      <c r="AG425" s="25" t="n"/>
      <c r="AH425" s="23" t="n"/>
      <c r="AI425" s="23" t="n"/>
      <c r="AJ425" s="26">
        <f>IF(I425="","",I425&amp;"|"&amp;R425)</f>
        <v/>
      </c>
      <c r="AK425" s="26">
        <f>IF(I425="","",IF(ISNA(MATCH(O425,Kampanyalar!$A$2:$A$150,0)),"Hayır - Kampanyalar'da Yok","Evet"))</f>
        <v/>
      </c>
      <c r="AL425" s="27">
        <f>IF(I425="","",IFERROR(INDEX(Kampanyalar!$E$2:$E$150,MATCH(O425,Kampanyalar!$A$2:$A$150,0)),""))</f>
        <v/>
      </c>
      <c r="AM425" s="27">
        <f>IF(I425="","",IFERROR(INDEX(Kampanyalar!$F$2:$F$150,MATCH(O425,Kampanyalar!$A$2:$A$150,0)),""))</f>
        <v/>
      </c>
      <c r="AN425" s="27">
        <f>IF(I425="","",IFERROR(INDEX(Kampanyalar!$G$2:$G$150,MATCH(O425,Kampanyalar!$A$2:$A$150,0)),""))</f>
        <v/>
      </c>
      <c r="AO425" s="26">
        <f>IF(OR(I425="",AL425="",AM425=""),"",IF(AND(H425&gt;=AL425,H425&lt;=AM425),"Evet","HAYIR - Tarih Dışı"))</f>
        <v/>
      </c>
      <c r="AP425" s="28">
        <f>IF(I425="","",IFERROR(INDEX(Kampanyalar!$H$2:$H$150,MATCH(O425,Kampanyalar!$A$2:$A$150,0)),""))</f>
        <v/>
      </c>
      <c r="AQ425" s="28">
        <f>IF(I425="","",IF(ISNUMBER(AP425),AP425,AD425))</f>
        <v/>
      </c>
      <c r="AR425" s="26">
        <f>IF(I425="","",IF(Parametreler!$C$7="Evet","Kural A - Hemen Ödeme (Stok Mutabakatlı)","Kural B - Nakliye/Montaj Sonrası Ödeme"))</f>
        <v/>
      </c>
    </row>
    <row r="426">
      <c r="A426" s="23" t="n"/>
      <c r="B426" s="23" t="n"/>
      <c r="C426" s="23" t="n"/>
      <c r="D426" s="23" t="n"/>
      <c r="E426" s="23" t="n"/>
      <c r="F426" s="23" t="n"/>
      <c r="G426" s="23" t="n"/>
      <c r="H426" s="24" t="n"/>
      <c r="I426" s="23" t="n"/>
      <c r="J426" s="23" t="n"/>
      <c r="K426" s="23" t="n"/>
      <c r="L426" s="23" t="n"/>
      <c r="M426" s="23" t="n"/>
      <c r="N426" s="23" t="n"/>
      <c r="O426" s="23" t="n"/>
      <c r="P426" s="23" t="n"/>
      <c r="Q426" s="23" t="n"/>
      <c r="R426" s="23" t="n"/>
      <c r="S426" s="23" t="n"/>
      <c r="T426" s="23" t="n"/>
      <c r="U426" s="23" t="n"/>
      <c r="V426" s="23" t="n"/>
      <c r="W426" s="23" t="n"/>
      <c r="X426" s="23" t="n"/>
      <c r="Y426" s="25" t="n"/>
      <c r="Z426" s="25" t="n"/>
      <c r="AA426" s="23" t="n"/>
      <c r="AB426" s="25" t="n"/>
      <c r="AC426" s="23" t="n"/>
      <c r="AD426" s="25" t="n"/>
      <c r="AE426" s="23" t="n"/>
      <c r="AF426" s="25" t="n"/>
      <c r="AG426" s="25" t="n"/>
      <c r="AH426" s="23" t="n"/>
      <c r="AI426" s="23" t="n"/>
      <c r="AJ426" s="26">
        <f>IF(I426="","",I426&amp;"|"&amp;R426)</f>
        <v/>
      </c>
      <c r="AK426" s="26">
        <f>IF(I426="","",IF(ISNA(MATCH(O426,Kampanyalar!$A$2:$A$150,0)),"Hayır - Kampanyalar'da Yok","Evet"))</f>
        <v/>
      </c>
      <c r="AL426" s="27">
        <f>IF(I426="","",IFERROR(INDEX(Kampanyalar!$E$2:$E$150,MATCH(O426,Kampanyalar!$A$2:$A$150,0)),""))</f>
        <v/>
      </c>
      <c r="AM426" s="27">
        <f>IF(I426="","",IFERROR(INDEX(Kampanyalar!$F$2:$F$150,MATCH(O426,Kampanyalar!$A$2:$A$150,0)),""))</f>
        <v/>
      </c>
      <c r="AN426" s="27">
        <f>IF(I426="","",IFERROR(INDEX(Kampanyalar!$G$2:$G$150,MATCH(O426,Kampanyalar!$A$2:$A$150,0)),""))</f>
        <v/>
      </c>
      <c r="AO426" s="26">
        <f>IF(OR(I426="",AL426="",AM426=""),"",IF(AND(H426&gt;=AL426,H426&lt;=AM426),"Evet","HAYIR - Tarih Dışı"))</f>
        <v/>
      </c>
      <c r="AP426" s="28">
        <f>IF(I426="","",IFERROR(INDEX(Kampanyalar!$H$2:$H$150,MATCH(O426,Kampanyalar!$A$2:$A$150,0)),""))</f>
        <v/>
      </c>
      <c r="AQ426" s="28">
        <f>IF(I426="","",IF(ISNUMBER(AP426),AP426,AD426))</f>
        <v/>
      </c>
      <c r="AR426" s="26">
        <f>IF(I426="","",IF(Parametreler!$C$7="Evet","Kural A - Hemen Ödeme (Stok Mutabakatlı)","Kural B - Nakliye/Montaj Sonrası Ödeme"))</f>
        <v/>
      </c>
    </row>
    <row r="427">
      <c r="A427" s="23" t="n"/>
      <c r="B427" s="23" t="n"/>
      <c r="C427" s="23" t="n"/>
      <c r="D427" s="23" t="n"/>
      <c r="E427" s="23" t="n"/>
      <c r="F427" s="23" t="n"/>
      <c r="G427" s="23" t="n"/>
      <c r="H427" s="24" t="n"/>
      <c r="I427" s="23" t="n"/>
      <c r="J427" s="23" t="n"/>
      <c r="K427" s="23" t="n"/>
      <c r="L427" s="23" t="n"/>
      <c r="M427" s="23" t="n"/>
      <c r="N427" s="23" t="n"/>
      <c r="O427" s="23" t="n"/>
      <c r="P427" s="23" t="n"/>
      <c r="Q427" s="23" t="n"/>
      <c r="R427" s="23" t="n"/>
      <c r="S427" s="23" t="n"/>
      <c r="T427" s="23" t="n"/>
      <c r="U427" s="23" t="n"/>
      <c r="V427" s="23" t="n"/>
      <c r="W427" s="23" t="n"/>
      <c r="X427" s="23" t="n"/>
      <c r="Y427" s="25" t="n"/>
      <c r="Z427" s="25" t="n"/>
      <c r="AA427" s="23" t="n"/>
      <c r="AB427" s="25" t="n"/>
      <c r="AC427" s="23" t="n"/>
      <c r="AD427" s="25" t="n"/>
      <c r="AE427" s="23" t="n"/>
      <c r="AF427" s="25" t="n"/>
      <c r="AG427" s="25" t="n"/>
      <c r="AH427" s="23" t="n"/>
      <c r="AI427" s="23" t="n"/>
      <c r="AJ427" s="26">
        <f>IF(I427="","",I427&amp;"|"&amp;R427)</f>
        <v/>
      </c>
      <c r="AK427" s="26">
        <f>IF(I427="","",IF(ISNA(MATCH(O427,Kampanyalar!$A$2:$A$150,0)),"Hayır - Kampanyalar'da Yok","Evet"))</f>
        <v/>
      </c>
      <c r="AL427" s="27">
        <f>IF(I427="","",IFERROR(INDEX(Kampanyalar!$E$2:$E$150,MATCH(O427,Kampanyalar!$A$2:$A$150,0)),""))</f>
        <v/>
      </c>
      <c r="AM427" s="27">
        <f>IF(I427="","",IFERROR(INDEX(Kampanyalar!$F$2:$F$150,MATCH(O427,Kampanyalar!$A$2:$A$150,0)),""))</f>
        <v/>
      </c>
      <c r="AN427" s="27">
        <f>IF(I427="","",IFERROR(INDEX(Kampanyalar!$G$2:$G$150,MATCH(O427,Kampanyalar!$A$2:$A$150,0)),""))</f>
        <v/>
      </c>
      <c r="AO427" s="26">
        <f>IF(OR(I427="",AL427="",AM427=""),"",IF(AND(H427&gt;=AL427,H427&lt;=AM427),"Evet","HAYIR - Tarih Dışı"))</f>
        <v/>
      </c>
      <c r="AP427" s="28">
        <f>IF(I427="","",IFERROR(INDEX(Kampanyalar!$H$2:$H$150,MATCH(O427,Kampanyalar!$A$2:$A$150,0)),""))</f>
        <v/>
      </c>
      <c r="AQ427" s="28">
        <f>IF(I427="","",IF(ISNUMBER(AP427),AP427,AD427))</f>
        <v/>
      </c>
      <c r="AR427" s="26">
        <f>IF(I427="","",IF(Parametreler!$C$7="Evet","Kural A - Hemen Ödeme (Stok Mutabakatlı)","Kural B - Nakliye/Montaj Sonrası Ödeme"))</f>
        <v/>
      </c>
    </row>
    <row r="428">
      <c r="A428" s="23" t="n"/>
      <c r="B428" s="23" t="n"/>
      <c r="C428" s="23" t="n"/>
      <c r="D428" s="23" t="n"/>
      <c r="E428" s="23" t="n"/>
      <c r="F428" s="23" t="n"/>
      <c r="G428" s="23" t="n"/>
      <c r="H428" s="24" t="n"/>
      <c r="I428" s="23" t="n"/>
      <c r="J428" s="23" t="n"/>
      <c r="K428" s="23" t="n"/>
      <c r="L428" s="23" t="n"/>
      <c r="M428" s="23" t="n"/>
      <c r="N428" s="23" t="n"/>
      <c r="O428" s="23" t="n"/>
      <c r="P428" s="23" t="n"/>
      <c r="Q428" s="23" t="n"/>
      <c r="R428" s="23" t="n"/>
      <c r="S428" s="23" t="n"/>
      <c r="T428" s="23" t="n"/>
      <c r="U428" s="23" t="n"/>
      <c r="V428" s="23" t="n"/>
      <c r="W428" s="23" t="n"/>
      <c r="X428" s="23" t="n"/>
      <c r="Y428" s="25" t="n"/>
      <c r="Z428" s="25" t="n"/>
      <c r="AA428" s="23" t="n"/>
      <c r="AB428" s="25" t="n"/>
      <c r="AC428" s="23" t="n"/>
      <c r="AD428" s="25" t="n"/>
      <c r="AE428" s="23" t="n"/>
      <c r="AF428" s="25" t="n"/>
      <c r="AG428" s="25" t="n"/>
      <c r="AH428" s="23" t="n"/>
      <c r="AI428" s="23" t="n"/>
      <c r="AJ428" s="26">
        <f>IF(I428="","",I428&amp;"|"&amp;R428)</f>
        <v/>
      </c>
      <c r="AK428" s="26">
        <f>IF(I428="","",IF(ISNA(MATCH(O428,Kampanyalar!$A$2:$A$150,0)),"Hayır - Kampanyalar'da Yok","Evet"))</f>
        <v/>
      </c>
      <c r="AL428" s="27">
        <f>IF(I428="","",IFERROR(INDEX(Kampanyalar!$E$2:$E$150,MATCH(O428,Kampanyalar!$A$2:$A$150,0)),""))</f>
        <v/>
      </c>
      <c r="AM428" s="27">
        <f>IF(I428="","",IFERROR(INDEX(Kampanyalar!$F$2:$F$150,MATCH(O428,Kampanyalar!$A$2:$A$150,0)),""))</f>
        <v/>
      </c>
      <c r="AN428" s="27">
        <f>IF(I428="","",IFERROR(INDEX(Kampanyalar!$G$2:$G$150,MATCH(O428,Kampanyalar!$A$2:$A$150,0)),""))</f>
        <v/>
      </c>
      <c r="AO428" s="26">
        <f>IF(OR(I428="",AL428="",AM428=""),"",IF(AND(H428&gt;=AL428,H428&lt;=AM428),"Evet","HAYIR - Tarih Dışı"))</f>
        <v/>
      </c>
      <c r="AP428" s="28">
        <f>IF(I428="","",IFERROR(INDEX(Kampanyalar!$H$2:$H$150,MATCH(O428,Kampanyalar!$A$2:$A$150,0)),""))</f>
        <v/>
      </c>
      <c r="AQ428" s="28">
        <f>IF(I428="","",IF(ISNUMBER(AP428),AP428,AD428))</f>
        <v/>
      </c>
      <c r="AR428" s="26">
        <f>IF(I428="","",IF(Parametreler!$C$7="Evet","Kural A - Hemen Ödeme (Stok Mutabakatlı)","Kural B - Nakliye/Montaj Sonrası Ödeme"))</f>
        <v/>
      </c>
    </row>
    <row r="429">
      <c r="A429" s="23" t="n"/>
      <c r="B429" s="23" t="n"/>
      <c r="C429" s="23" t="n"/>
      <c r="D429" s="23" t="n"/>
      <c r="E429" s="23" t="n"/>
      <c r="F429" s="23" t="n"/>
      <c r="G429" s="23" t="n"/>
      <c r="H429" s="24" t="n"/>
      <c r="I429" s="23" t="n"/>
      <c r="J429" s="23" t="n"/>
      <c r="K429" s="23" t="n"/>
      <c r="L429" s="23" t="n"/>
      <c r="M429" s="23" t="n"/>
      <c r="N429" s="23" t="n"/>
      <c r="O429" s="23" t="n"/>
      <c r="P429" s="23" t="n"/>
      <c r="Q429" s="23" t="n"/>
      <c r="R429" s="23" t="n"/>
      <c r="S429" s="23" t="n"/>
      <c r="T429" s="23" t="n"/>
      <c r="U429" s="23" t="n"/>
      <c r="V429" s="23" t="n"/>
      <c r="W429" s="23" t="n"/>
      <c r="X429" s="23" t="n"/>
      <c r="Y429" s="25" t="n"/>
      <c r="Z429" s="25" t="n"/>
      <c r="AA429" s="23" t="n"/>
      <c r="AB429" s="25" t="n"/>
      <c r="AC429" s="23" t="n"/>
      <c r="AD429" s="25" t="n"/>
      <c r="AE429" s="23" t="n"/>
      <c r="AF429" s="25" t="n"/>
      <c r="AG429" s="25" t="n"/>
      <c r="AH429" s="23" t="n"/>
      <c r="AI429" s="23" t="n"/>
      <c r="AJ429" s="26">
        <f>IF(I429="","",I429&amp;"|"&amp;R429)</f>
        <v/>
      </c>
      <c r="AK429" s="26">
        <f>IF(I429="","",IF(ISNA(MATCH(O429,Kampanyalar!$A$2:$A$150,0)),"Hayır - Kampanyalar'da Yok","Evet"))</f>
        <v/>
      </c>
      <c r="AL429" s="27">
        <f>IF(I429="","",IFERROR(INDEX(Kampanyalar!$E$2:$E$150,MATCH(O429,Kampanyalar!$A$2:$A$150,0)),""))</f>
        <v/>
      </c>
      <c r="AM429" s="27">
        <f>IF(I429="","",IFERROR(INDEX(Kampanyalar!$F$2:$F$150,MATCH(O429,Kampanyalar!$A$2:$A$150,0)),""))</f>
        <v/>
      </c>
      <c r="AN429" s="27">
        <f>IF(I429="","",IFERROR(INDEX(Kampanyalar!$G$2:$G$150,MATCH(O429,Kampanyalar!$A$2:$A$150,0)),""))</f>
        <v/>
      </c>
      <c r="AO429" s="26">
        <f>IF(OR(I429="",AL429="",AM429=""),"",IF(AND(H429&gt;=AL429,H429&lt;=AM429),"Evet","HAYIR - Tarih Dışı"))</f>
        <v/>
      </c>
      <c r="AP429" s="28">
        <f>IF(I429="","",IFERROR(INDEX(Kampanyalar!$H$2:$H$150,MATCH(O429,Kampanyalar!$A$2:$A$150,0)),""))</f>
        <v/>
      </c>
      <c r="AQ429" s="28">
        <f>IF(I429="","",IF(ISNUMBER(AP429),AP429,AD429))</f>
        <v/>
      </c>
      <c r="AR429" s="26">
        <f>IF(I429="","",IF(Parametreler!$C$7="Evet","Kural A - Hemen Ödeme (Stok Mutabakatlı)","Kural B - Nakliye/Montaj Sonrası Ödeme"))</f>
        <v/>
      </c>
    </row>
    <row r="430">
      <c r="A430" s="23" t="n"/>
      <c r="B430" s="23" t="n"/>
      <c r="C430" s="23" t="n"/>
      <c r="D430" s="23" t="n"/>
      <c r="E430" s="23" t="n"/>
      <c r="F430" s="23" t="n"/>
      <c r="G430" s="23" t="n"/>
      <c r="H430" s="24" t="n"/>
      <c r="I430" s="23" t="n"/>
      <c r="J430" s="23" t="n"/>
      <c r="K430" s="23" t="n"/>
      <c r="L430" s="23" t="n"/>
      <c r="M430" s="23" t="n"/>
      <c r="N430" s="23" t="n"/>
      <c r="O430" s="23" t="n"/>
      <c r="P430" s="23" t="n"/>
      <c r="Q430" s="23" t="n"/>
      <c r="R430" s="23" t="n"/>
      <c r="S430" s="23" t="n"/>
      <c r="T430" s="23" t="n"/>
      <c r="U430" s="23" t="n"/>
      <c r="V430" s="23" t="n"/>
      <c r="W430" s="23" t="n"/>
      <c r="X430" s="23" t="n"/>
      <c r="Y430" s="25" t="n"/>
      <c r="Z430" s="25" t="n"/>
      <c r="AA430" s="23" t="n"/>
      <c r="AB430" s="25" t="n"/>
      <c r="AC430" s="23" t="n"/>
      <c r="AD430" s="25" t="n"/>
      <c r="AE430" s="23" t="n"/>
      <c r="AF430" s="25" t="n"/>
      <c r="AG430" s="25" t="n"/>
      <c r="AH430" s="23" t="n"/>
      <c r="AI430" s="23" t="n"/>
      <c r="AJ430" s="26">
        <f>IF(I430="","",I430&amp;"|"&amp;R430)</f>
        <v/>
      </c>
      <c r="AK430" s="26">
        <f>IF(I430="","",IF(ISNA(MATCH(O430,Kampanyalar!$A$2:$A$150,0)),"Hayır - Kampanyalar'da Yok","Evet"))</f>
        <v/>
      </c>
      <c r="AL430" s="27">
        <f>IF(I430="","",IFERROR(INDEX(Kampanyalar!$E$2:$E$150,MATCH(O430,Kampanyalar!$A$2:$A$150,0)),""))</f>
        <v/>
      </c>
      <c r="AM430" s="27">
        <f>IF(I430="","",IFERROR(INDEX(Kampanyalar!$F$2:$F$150,MATCH(O430,Kampanyalar!$A$2:$A$150,0)),""))</f>
        <v/>
      </c>
      <c r="AN430" s="27">
        <f>IF(I430="","",IFERROR(INDEX(Kampanyalar!$G$2:$G$150,MATCH(O430,Kampanyalar!$A$2:$A$150,0)),""))</f>
        <v/>
      </c>
      <c r="AO430" s="26">
        <f>IF(OR(I430="",AL430="",AM430=""),"",IF(AND(H430&gt;=AL430,H430&lt;=AM430),"Evet","HAYIR - Tarih Dışı"))</f>
        <v/>
      </c>
      <c r="AP430" s="28">
        <f>IF(I430="","",IFERROR(INDEX(Kampanyalar!$H$2:$H$150,MATCH(O430,Kampanyalar!$A$2:$A$150,0)),""))</f>
        <v/>
      </c>
      <c r="AQ430" s="28">
        <f>IF(I430="","",IF(ISNUMBER(AP430),AP430,AD430))</f>
        <v/>
      </c>
      <c r="AR430" s="26">
        <f>IF(I430="","",IF(Parametreler!$C$7="Evet","Kural A - Hemen Ödeme (Stok Mutabakatlı)","Kural B - Nakliye/Montaj Sonrası Ödeme"))</f>
        <v/>
      </c>
    </row>
    <row r="431">
      <c r="A431" s="23" t="n"/>
      <c r="B431" s="23" t="n"/>
      <c r="C431" s="23" t="n"/>
      <c r="D431" s="23" t="n"/>
      <c r="E431" s="23" t="n"/>
      <c r="F431" s="23" t="n"/>
      <c r="G431" s="23" t="n"/>
      <c r="H431" s="24" t="n"/>
      <c r="I431" s="23" t="n"/>
      <c r="J431" s="23" t="n"/>
      <c r="K431" s="23" t="n"/>
      <c r="L431" s="23" t="n"/>
      <c r="M431" s="23" t="n"/>
      <c r="N431" s="23" t="n"/>
      <c r="O431" s="23" t="n"/>
      <c r="P431" s="23" t="n"/>
      <c r="Q431" s="23" t="n"/>
      <c r="R431" s="23" t="n"/>
      <c r="S431" s="23" t="n"/>
      <c r="T431" s="23" t="n"/>
      <c r="U431" s="23" t="n"/>
      <c r="V431" s="23" t="n"/>
      <c r="W431" s="23" t="n"/>
      <c r="X431" s="23" t="n"/>
      <c r="Y431" s="25" t="n"/>
      <c r="Z431" s="25" t="n"/>
      <c r="AA431" s="23" t="n"/>
      <c r="AB431" s="25" t="n"/>
      <c r="AC431" s="23" t="n"/>
      <c r="AD431" s="25" t="n"/>
      <c r="AE431" s="23" t="n"/>
      <c r="AF431" s="25" t="n"/>
      <c r="AG431" s="25" t="n"/>
      <c r="AH431" s="23" t="n"/>
      <c r="AI431" s="23" t="n"/>
      <c r="AJ431" s="26">
        <f>IF(I431="","",I431&amp;"|"&amp;R431)</f>
        <v/>
      </c>
      <c r="AK431" s="26">
        <f>IF(I431="","",IF(ISNA(MATCH(O431,Kampanyalar!$A$2:$A$150,0)),"Hayır - Kampanyalar'da Yok","Evet"))</f>
        <v/>
      </c>
      <c r="AL431" s="27">
        <f>IF(I431="","",IFERROR(INDEX(Kampanyalar!$E$2:$E$150,MATCH(O431,Kampanyalar!$A$2:$A$150,0)),""))</f>
        <v/>
      </c>
      <c r="AM431" s="27">
        <f>IF(I431="","",IFERROR(INDEX(Kampanyalar!$F$2:$F$150,MATCH(O431,Kampanyalar!$A$2:$A$150,0)),""))</f>
        <v/>
      </c>
      <c r="AN431" s="27">
        <f>IF(I431="","",IFERROR(INDEX(Kampanyalar!$G$2:$G$150,MATCH(O431,Kampanyalar!$A$2:$A$150,0)),""))</f>
        <v/>
      </c>
      <c r="AO431" s="26">
        <f>IF(OR(I431="",AL431="",AM431=""),"",IF(AND(H431&gt;=AL431,H431&lt;=AM431),"Evet","HAYIR - Tarih Dışı"))</f>
        <v/>
      </c>
      <c r="AP431" s="28">
        <f>IF(I431="","",IFERROR(INDEX(Kampanyalar!$H$2:$H$150,MATCH(O431,Kampanyalar!$A$2:$A$150,0)),""))</f>
        <v/>
      </c>
      <c r="AQ431" s="28">
        <f>IF(I431="","",IF(ISNUMBER(AP431),AP431,AD431))</f>
        <v/>
      </c>
      <c r="AR431" s="26">
        <f>IF(I431="","",IF(Parametreler!$C$7="Evet","Kural A - Hemen Ödeme (Stok Mutabakatlı)","Kural B - Nakliye/Montaj Sonrası Ödeme"))</f>
        <v/>
      </c>
    </row>
    <row r="432">
      <c r="A432" s="23" t="n"/>
      <c r="B432" s="23" t="n"/>
      <c r="C432" s="23" t="n"/>
      <c r="D432" s="23" t="n"/>
      <c r="E432" s="23" t="n"/>
      <c r="F432" s="23" t="n"/>
      <c r="G432" s="23" t="n"/>
      <c r="H432" s="24" t="n"/>
      <c r="I432" s="23" t="n"/>
      <c r="J432" s="23" t="n"/>
      <c r="K432" s="23" t="n"/>
      <c r="L432" s="23" t="n"/>
      <c r="M432" s="23" t="n"/>
      <c r="N432" s="23" t="n"/>
      <c r="O432" s="23" t="n"/>
      <c r="P432" s="23" t="n"/>
      <c r="Q432" s="23" t="n"/>
      <c r="R432" s="23" t="n"/>
      <c r="S432" s="23" t="n"/>
      <c r="T432" s="23" t="n"/>
      <c r="U432" s="23" t="n"/>
      <c r="V432" s="23" t="n"/>
      <c r="W432" s="23" t="n"/>
      <c r="X432" s="23" t="n"/>
      <c r="Y432" s="25" t="n"/>
      <c r="Z432" s="25" t="n"/>
      <c r="AA432" s="23" t="n"/>
      <c r="AB432" s="25" t="n"/>
      <c r="AC432" s="23" t="n"/>
      <c r="AD432" s="25" t="n"/>
      <c r="AE432" s="23" t="n"/>
      <c r="AF432" s="25" t="n"/>
      <c r="AG432" s="25" t="n"/>
      <c r="AH432" s="23" t="n"/>
      <c r="AI432" s="23" t="n"/>
      <c r="AJ432" s="26">
        <f>IF(I432="","",I432&amp;"|"&amp;R432)</f>
        <v/>
      </c>
      <c r="AK432" s="26">
        <f>IF(I432="","",IF(ISNA(MATCH(O432,Kampanyalar!$A$2:$A$150,0)),"Hayır - Kampanyalar'da Yok","Evet"))</f>
        <v/>
      </c>
      <c r="AL432" s="27">
        <f>IF(I432="","",IFERROR(INDEX(Kampanyalar!$E$2:$E$150,MATCH(O432,Kampanyalar!$A$2:$A$150,0)),""))</f>
        <v/>
      </c>
      <c r="AM432" s="27">
        <f>IF(I432="","",IFERROR(INDEX(Kampanyalar!$F$2:$F$150,MATCH(O432,Kampanyalar!$A$2:$A$150,0)),""))</f>
        <v/>
      </c>
      <c r="AN432" s="27">
        <f>IF(I432="","",IFERROR(INDEX(Kampanyalar!$G$2:$G$150,MATCH(O432,Kampanyalar!$A$2:$A$150,0)),""))</f>
        <v/>
      </c>
      <c r="AO432" s="26">
        <f>IF(OR(I432="",AL432="",AM432=""),"",IF(AND(H432&gt;=AL432,H432&lt;=AM432),"Evet","HAYIR - Tarih Dışı"))</f>
        <v/>
      </c>
      <c r="AP432" s="28">
        <f>IF(I432="","",IFERROR(INDEX(Kampanyalar!$H$2:$H$150,MATCH(O432,Kampanyalar!$A$2:$A$150,0)),""))</f>
        <v/>
      </c>
      <c r="AQ432" s="28">
        <f>IF(I432="","",IF(ISNUMBER(AP432),AP432,AD432))</f>
        <v/>
      </c>
      <c r="AR432" s="26">
        <f>IF(I432="","",IF(Parametreler!$C$7="Evet","Kural A - Hemen Ödeme (Stok Mutabakatlı)","Kural B - Nakliye/Montaj Sonrası Ödeme"))</f>
        <v/>
      </c>
    </row>
    <row r="433">
      <c r="A433" s="23" t="n"/>
      <c r="B433" s="23" t="n"/>
      <c r="C433" s="23" t="n"/>
      <c r="D433" s="23" t="n"/>
      <c r="E433" s="23" t="n"/>
      <c r="F433" s="23" t="n"/>
      <c r="G433" s="23" t="n"/>
      <c r="H433" s="24" t="n"/>
      <c r="I433" s="23" t="n"/>
      <c r="J433" s="23" t="n"/>
      <c r="K433" s="23" t="n"/>
      <c r="L433" s="23" t="n"/>
      <c r="M433" s="23" t="n"/>
      <c r="N433" s="23" t="n"/>
      <c r="O433" s="23" t="n"/>
      <c r="P433" s="23" t="n"/>
      <c r="Q433" s="23" t="n"/>
      <c r="R433" s="23" t="n"/>
      <c r="S433" s="23" t="n"/>
      <c r="T433" s="23" t="n"/>
      <c r="U433" s="23" t="n"/>
      <c r="V433" s="23" t="n"/>
      <c r="W433" s="23" t="n"/>
      <c r="X433" s="23" t="n"/>
      <c r="Y433" s="25" t="n"/>
      <c r="Z433" s="25" t="n"/>
      <c r="AA433" s="23" t="n"/>
      <c r="AB433" s="25" t="n"/>
      <c r="AC433" s="23" t="n"/>
      <c r="AD433" s="25" t="n"/>
      <c r="AE433" s="23" t="n"/>
      <c r="AF433" s="25" t="n"/>
      <c r="AG433" s="25" t="n"/>
      <c r="AH433" s="23" t="n"/>
      <c r="AI433" s="23" t="n"/>
      <c r="AJ433" s="26">
        <f>IF(I433="","",I433&amp;"|"&amp;R433)</f>
        <v/>
      </c>
      <c r="AK433" s="26">
        <f>IF(I433="","",IF(ISNA(MATCH(O433,Kampanyalar!$A$2:$A$150,0)),"Hayır - Kampanyalar'da Yok","Evet"))</f>
        <v/>
      </c>
      <c r="AL433" s="27">
        <f>IF(I433="","",IFERROR(INDEX(Kampanyalar!$E$2:$E$150,MATCH(O433,Kampanyalar!$A$2:$A$150,0)),""))</f>
        <v/>
      </c>
      <c r="AM433" s="27">
        <f>IF(I433="","",IFERROR(INDEX(Kampanyalar!$F$2:$F$150,MATCH(O433,Kampanyalar!$A$2:$A$150,0)),""))</f>
        <v/>
      </c>
      <c r="AN433" s="27">
        <f>IF(I433="","",IFERROR(INDEX(Kampanyalar!$G$2:$G$150,MATCH(O433,Kampanyalar!$A$2:$A$150,0)),""))</f>
        <v/>
      </c>
      <c r="AO433" s="26">
        <f>IF(OR(I433="",AL433="",AM433=""),"",IF(AND(H433&gt;=AL433,H433&lt;=AM433),"Evet","HAYIR - Tarih Dışı"))</f>
        <v/>
      </c>
      <c r="AP433" s="28">
        <f>IF(I433="","",IFERROR(INDEX(Kampanyalar!$H$2:$H$150,MATCH(O433,Kampanyalar!$A$2:$A$150,0)),""))</f>
        <v/>
      </c>
      <c r="AQ433" s="28">
        <f>IF(I433="","",IF(ISNUMBER(AP433),AP433,AD433))</f>
        <v/>
      </c>
      <c r="AR433" s="26">
        <f>IF(I433="","",IF(Parametreler!$C$7="Evet","Kural A - Hemen Ödeme (Stok Mutabakatlı)","Kural B - Nakliye/Montaj Sonrası Ödeme"))</f>
        <v/>
      </c>
    </row>
    <row r="434">
      <c r="A434" s="23" t="n"/>
      <c r="B434" s="23" t="n"/>
      <c r="C434" s="23" t="n"/>
      <c r="D434" s="23" t="n"/>
      <c r="E434" s="23" t="n"/>
      <c r="F434" s="23" t="n"/>
      <c r="G434" s="23" t="n"/>
      <c r="H434" s="24" t="n"/>
      <c r="I434" s="23" t="n"/>
      <c r="J434" s="23" t="n"/>
      <c r="K434" s="23" t="n"/>
      <c r="L434" s="23" t="n"/>
      <c r="M434" s="23" t="n"/>
      <c r="N434" s="23" t="n"/>
      <c r="O434" s="23" t="n"/>
      <c r="P434" s="23" t="n"/>
      <c r="Q434" s="23" t="n"/>
      <c r="R434" s="23" t="n"/>
      <c r="S434" s="23" t="n"/>
      <c r="T434" s="23" t="n"/>
      <c r="U434" s="23" t="n"/>
      <c r="V434" s="23" t="n"/>
      <c r="W434" s="23" t="n"/>
      <c r="X434" s="23" t="n"/>
      <c r="Y434" s="25" t="n"/>
      <c r="Z434" s="25" t="n"/>
      <c r="AA434" s="23" t="n"/>
      <c r="AB434" s="25" t="n"/>
      <c r="AC434" s="23" t="n"/>
      <c r="AD434" s="25" t="n"/>
      <c r="AE434" s="23" t="n"/>
      <c r="AF434" s="25" t="n"/>
      <c r="AG434" s="25" t="n"/>
      <c r="AH434" s="23" t="n"/>
      <c r="AI434" s="23" t="n"/>
      <c r="AJ434" s="26">
        <f>IF(I434="","",I434&amp;"|"&amp;R434)</f>
        <v/>
      </c>
      <c r="AK434" s="26">
        <f>IF(I434="","",IF(ISNA(MATCH(O434,Kampanyalar!$A$2:$A$150,0)),"Hayır - Kampanyalar'da Yok","Evet"))</f>
        <v/>
      </c>
      <c r="AL434" s="27">
        <f>IF(I434="","",IFERROR(INDEX(Kampanyalar!$E$2:$E$150,MATCH(O434,Kampanyalar!$A$2:$A$150,0)),""))</f>
        <v/>
      </c>
      <c r="AM434" s="27">
        <f>IF(I434="","",IFERROR(INDEX(Kampanyalar!$F$2:$F$150,MATCH(O434,Kampanyalar!$A$2:$A$150,0)),""))</f>
        <v/>
      </c>
      <c r="AN434" s="27">
        <f>IF(I434="","",IFERROR(INDEX(Kampanyalar!$G$2:$G$150,MATCH(O434,Kampanyalar!$A$2:$A$150,0)),""))</f>
        <v/>
      </c>
      <c r="AO434" s="26">
        <f>IF(OR(I434="",AL434="",AM434=""),"",IF(AND(H434&gt;=AL434,H434&lt;=AM434),"Evet","HAYIR - Tarih Dışı"))</f>
        <v/>
      </c>
      <c r="AP434" s="28">
        <f>IF(I434="","",IFERROR(INDEX(Kampanyalar!$H$2:$H$150,MATCH(O434,Kampanyalar!$A$2:$A$150,0)),""))</f>
        <v/>
      </c>
      <c r="AQ434" s="28">
        <f>IF(I434="","",IF(ISNUMBER(AP434),AP434,AD434))</f>
        <v/>
      </c>
      <c r="AR434" s="26">
        <f>IF(I434="","",IF(Parametreler!$C$7="Evet","Kural A - Hemen Ödeme (Stok Mutabakatlı)","Kural B - Nakliye/Montaj Sonrası Ödeme"))</f>
        <v/>
      </c>
    </row>
    <row r="435">
      <c r="A435" s="23" t="n"/>
      <c r="B435" s="23" t="n"/>
      <c r="C435" s="23" t="n"/>
      <c r="D435" s="23" t="n"/>
      <c r="E435" s="23" t="n"/>
      <c r="F435" s="23" t="n"/>
      <c r="G435" s="23" t="n"/>
      <c r="H435" s="24" t="n"/>
      <c r="I435" s="23" t="n"/>
      <c r="J435" s="23" t="n"/>
      <c r="K435" s="23" t="n"/>
      <c r="L435" s="23" t="n"/>
      <c r="M435" s="23" t="n"/>
      <c r="N435" s="23" t="n"/>
      <c r="O435" s="23" t="n"/>
      <c r="P435" s="23" t="n"/>
      <c r="Q435" s="23" t="n"/>
      <c r="R435" s="23" t="n"/>
      <c r="S435" s="23" t="n"/>
      <c r="T435" s="23" t="n"/>
      <c r="U435" s="23" t="n"/>
      <c r="V435" s="23" t="n"/>
      <c r="W435" s="23" t="n"/>
      <c r="X435" s="23" t="n"/>
      <c r="Y435" s="25" t="n"/>
      <c r="Z435" s="25" t="n"/>
      <c r="AA435" s="23" t="n"/>
      <c r="AB435" s="25" t="n"/>
      <c r="AC435" s="23" t="n"/>
      <c r="AD435" s="25" t="n"/>
      <c r="AE435" s="23" t="n"/>
      <c r="AF435" s="25" t="n"/>
      <c r="AG435" s="25" t="n"/>
      <c r="AH435" s="23" t="n"/>
      <c r="AI435" s="23" t="n"/>
      <c r="AJ435" s="26">
        <f>IF(I435="","",I435&amp;"|"&amp;R435)</f>
        <v/>
      </c>
      <c r="AK435" s="26">
        <f>IF(I435="","",IF(ISNA(MATCH(O435,Kampanyalar!$A$2:$A$150,0)),"Hayır - Kampanyalar'da Yok","Evet"))</f>
        <v/>
      </c>
      <c r="AL435" s="27">
        <f>IF(I435="","",IFERROR(INDEX(Kampanyalar!$E$2:$E$150,MATCH(O435,Kampanyalar!$A$2:$A$150,0)),""))</f>
        <v/>
      </c>
      <c r="AM435" s="27">
        <f>IF(I435="","",IFERROR(INDEX(Kampanyalar!$F$2:$F$150,MATCH(O435,Kampanyalar!$A$2:$A$150,0)),""))</f>
        <v/>
      </c>
      <c r="AN435" s="27">
        <f>IF(I435="","",IFERROR(INDEX(Kampanyalar!$G$2:$G$150,MATCH(O435,Kampanyalar!$A$2:$A$150,0)),""))</f>
        <v/>
      </c>
      <c r="AO435" s="26">
        <f>IF(OR(I435="",AL435="",AM435=""),"",IF(AND(H435&gt;=AL435,H435&lt;=AM435),"Evet","HAYIR - Tarih Dışı"))</f>
        <v/>
      </c>
      <c r="AP435" s="28">
        <f>IF(I435="","",IFERROR(INDEX(Kampanyalar!$H$2:$H$150,MATCH(O435,Kampanyalar!$A$2:$A$150,0)),""))</f>
        <v/>
      </c>
      <c r="AQ435" s="28">
        <f>IF(I435="","",IF(ISNUMBER(AP435),AP435,AD435))</f>
        <v/>
      </c>
      <c r="AR435" s="26">
        <f>IF(I435="","",IF(Parametreler!$C$7="Evet","Kural A - Hemen Ödeme (Stok Mutabakatlı)","Kural B - Nakliye/Montaj Sonrası Ödeme"))</f>
        <v/>
      </c>
    </row>
    <row r="436">
      <c r="A436" s="23" t="n"/>
      <c r="B436" s="23" t="n"/>
      <c r="C436" s="23" t="n"/>
      <c r="D436" s="23" t="n"/>
      <c r="E436" s="23" t="n"/>
      <c r="F436" s="23" t="n"/>
      <c r="G436" s="23" t="n"/>
      <c r="H436" s="24" t="n"/>
      <c r="I436" s="23" t="n"/>
      <c r="J436" s="23" t="n"/>
      <c r="K436" s="23" t="n"/>
      <c r="L436" s="23" t="n"/>
      <c r="M436" s="23" t="n"/>
      <c r="N436" s="23" t="n"/>
      <c r="O436" s="23" t="n"/>
      <c r="P436" s="23" t="n"/>
      <c r="Q436" s="23" t="n"/>
      <c r="R436" s="23" t="n"/>
      <c r="S436" s="23" t="n"/>
      <c r="T436" s="23" t="n"/>
      <c r="U436" s="23" t="n"/>
      <c r="V436" s="23" t="n"/>
      <c r="W436" s="23" t="n"/>
      <c r="X436" s="23" t="n"/>
      <c r="Y436" s="25" t="n"/>
      <c r="Z436" s="25" t="n"/>
      <c r="AA436" s="23" t="n"/>
      <c r="AB436" s="25" t="n"/>
      <c r="AC436" s="23" t="n"/>
      <c r="AD436" s="25" t="n"/>
      <c r="AE436" s="23" t="n"/>
      <c r="AF436" s="25" t="n"/>
      <c r="AG436" s="25" t="n"/>
      <c r="AH436" s="23" t="n"/>
      <c r="AI436" s="23" t="n"/>
      <c r="AJ436" s="26">
        <f>IF(I436="","",I436&amp;"|"&amp;R436)</f>
        <v/>
      </c>
      <c r="AK436" s="26">
        <f>IF(I436="","",IF(ISNA(MATCH(O436,Kampanyalar!$A$2:$A$150,0)),"Hayır - Kampanyalar'da Yok","Evet"))</f>
        <v/>
      </c>
      <c r="AL436" s="27">
        <f>IF(I436="","",IFERROR(INDEX(Kampanyalar!$E$2:$E$150,MATCH(O436,Kampanyalar!$A$2:$A$150,0)),""))</f>
        <v/>
      </c>
      <c r="AM436" s="27">
        <f>IF(I436="","",IFERROR(INDEX(Kampanyalar!$F$2:$F$150,MATCH(O436,Kampanyalar!$A$2:$A$150,0)),""))</f>
        <v/>
      </c>
      <c r="AN436" s="27">
        <f>IF(I436="","",IFERROR(INDEX(Kampanyalar!$G$2:$G$150,MATCH(O436,Kampanyalar!$A$2:$A$150,0)),""))</f>
        <v/>
      </c>
      <c r="AO436" s="26">
        <f>IF(OR(I436="",AL436="",AM436=""),"",IF(AND(H436&gt;=AL436,H436&lt;=AM436),"Evet","HAYIR - Tarih Dışı"))</f>
        <v/>
      </c>
      <c r="AP436" s="28">
        <f>IF(I436="","",IFERROR(INDEX(Kampanyalar!$H$2:$H$150,MATCH(O436,Kampanyalar!$A$2:$A$150,0)),""))</f>
        <v/>
      </c>
      <c r="AQ436" s="28">
        <f>IF(I436="","",IF(ISNUMBER(AP436),AP436,AD436))</f>
        <v/>
      </c>
      <c r="AR436" s="26">
        <f>IF(I436="","",IF(Parametreler!$C$7="Evet","Kural A - Hemen Ödeme (Stok Mutabakatlı)","Kural B - Nakliye/Montaj Sonrası Ödeme"))</f>
        <v/>
      </c>
    </row>
    <row r="437">
      <c r="A437" s="23" t="n"/>
      <c r="B437" s="23" t="n"/>
      <c r="C437" s="23" t="n"/>
      <c r="D437" s="23" t="n"/>
      <c r="E437" s="23" t="n"/>
      <c r="F437" s="23" t="n"/>
      <c r="G437" s="23" t="n"/>
      <c r="H437" s="24" t="n"/>
      <c r="I437" s="23" t="n"/>
      <c r="J437" s="23" t="n"/>
      <c r="K437" s="23" t="n"/>
      <c r="L437" s="23" t="n"/>
      <c r="M437" s="23" t="n"/>
      <c r="N437" s="23" t="n"/>
      <c r="O437" s="23" t="n"/>
      <c r="P437" s="23" t="n"/>
      <c r="Q437" s="23" t="n"/>
      <c r="R437" s="23" t="n"/>
      <c r="S437" s="23" t="n"/>
      <c r="T437" s="23" t="n"/>
      <c r="U437" s="23" t="n"/>
      <c r="V437" s="23" t="n"/>
      <c r="W437" s="23" t="n"/>
      <c r="X437" s="23" t="n"/>
      <c r="Y437" s="25" t="n"/>
      <c r="Z437" s="25" t="n"/>
      <c r="AA437" s="23" t="n"/>
      <c r="AB437" s="25" t="n"/>
      <c r="AC437" s="23" t="n"/>
      <c r="AD437" s="25" t="n"/>
      <c r="AE437" s="23" t="n"/>
      <c r="AF437" s="25" t="n"/>
      <c r="AG437" s="25" t="n"/>
      <c r="AH437" s="23" t="n"/>
      <c r="AI437" s="23" t="n"/>
      <c r="AJ437" s="26">
        <f>IF(I437="","",I437&amp;"|"&amp;R437)</f>
        <v/>
      </c>
      <c r="AK437" s="26">
        <f>IF(I437="","",IF(ISNA(MATCH(O437,Kampanyalar!$A$2:$A$150,0)),"Hayır - Kampanyalar'da Yok","Evet"))</f>
        <v/>
      </c>
      <c r="AL437" s="27">
        <f>IF(I437="","",IFERROR(INDEX(Kampanyalar!$E$2:$E$150,MATCH(O437,Kampanyalar!$A$2:$A$150,0)),""))</f>
        <v/>
      </c>
      <c r="AM437" s="27">
        <f>IF(I437="","",IFERROR(INDEX(Kampanyalar!$F$2:$F$150,MATCH(O437,Kampanyalar!$A$2:$A$150,0)),""))</f>
        <v/>
      </c>
      <c r="AN437" s="27">
        <f>IF(I437="","",IFERROR(INDEX(Kampanyalar!$G$2:$G$150,MATCH(O437,Kampanyalar!$A$2:$A$150,0)),""))</f>
        <v/>
      </c>
      <c r="AO437" s="26">
        <f>IF(OR(I437="",AL437="",AM437=""),"",IF(AND(H437&gt;=AL437,H437&lt;=AM437),"Evet","HAYIR - Tarih Dışı"))</f>
        <v/>
      </c>
      <c r="AP437" s="28">
        <f>IF(I437="","",IFERROR(INDEX(Kampanyalar!$H$2:$H$150,MATCH(O437,Kampanyalar!$A$2:$A$150,0)),""))</f>
        <v/>
      </c>
      <c r="AQ437" s="28">
        <f>IF(I437="","",IF(ISNUMBER(AP437),AP437,AD437))</f>
        <v/>
      </c>
      <c r="AR437" s="26">
        <f>IF(I437="","",IF(Parametreler!$C$7="Evet","Kural A - Hemen Ödeme (Stok Mutabakatlı)","Kural B - Nakliye/Montaj Sonrası Ödeme"))</f>
        <v/>
      </c>
    </row>
    <row r="438">
      <c r="A438" s="23" t="n"/>
      <c r="B438" s="23" t="n"/>
      <c r="C438" s="23" t="n"/>
      <c r="D438" s="23" t="n"/>
      <c r="E438" s="23" t="n"/>
      <c r="F438" s="23" t="n"/>
      <c r="G438" s="23" t="n"/>
      <c r="H438" s="24" t="n"/>
      <c r="I438" s="23" t="n"/>
      <c r="J438" s="23" t="n"/>
      <c r="K438" s="23" t="n"/>
      <c r="L438" s="23" t="n"/>
      <c r="M438" s="23" t="n"/>
      <c r="N438" s="23" t="n"/>
      <c r="O438" s="23" t="n"/>
      <c r="P438" s="23" t="n"/>
      <c r="Q438" s="23" t="n"/>
      <c r="R438" s="23" t="n"/>
      <c r="S438" s="23" t="n"/>
      <c r="T438" s="23" t="n"/>
      <c r="U438" s="23" t="n"/>
      <c r="V438" s="23" t="n"/>
      <c r="W438" s="23" t="n"/>
      <c r="X438" s="23" t="n"/>
      <c r="Y438" s="25" t="n"/>
      <c r="Z438" s="25" t="n"/>
      <c r="AA438" s="23" t="n"/>
      <c r="AB438" s="25" t="n"/>
      <c r="AC438" s="23" t="n"/>
      <c r="AD438" s="25" t="n"/>
      <c r="AE438" s="23" t="n"/>
      <c r="AF438" s="25" t="n"/>
      <c r="AG438" s="25" t="n"/>
      <c r="AH438" s="23" t="n"/>
      <c r="AI438" s="23" t="n"/>
      <c r="AJ438" s="26">
        <f>IF(I438="","",I438&amp;"|"&amp;R438)</f>
        <v/>
      </c>
      <c r="AK438" s="26">
        <f>IF(I438="","",IF(ISNA(MATCH(O438,Kampanyalar!$A$2:$A$150,0)),"Hayır - Kampanyalar'da Yok","Evet"))</f>
        <v/>
      </c>
      <c r="AL438" s="27">
        <f>IF(I438="","",IFERROR(INDEX(Kampanyalar!$E$2:$E$150,MATCH(O438,Kampanyalar!$A$2:$A$150,0)),""))</f>
        <v/>
      </c>
      <c r="AM438" s="27">
        <f>IF(I438="","",IFERROR(INDEX(Kampanyalar!$F$2:$F$150,MATCH(O438,Kampanyalar!$A$2:$A$150,0)),""))</f>
        <v/>
      </c>
      <c r="AN438" s="27">
        <f>IF(I438="","",IFERROR(INDEX(Kampanyalar!$G$2:$G$150,MATCH(O438,Kampanyalar!$A$2:$A$150,0)),""))</f>
        <v/>
      </c>
      <c r="AO438" s="26">
        <f>IF(OR(I438="",AL438="",AM438=""),"",IF(AND(H438&gt;=AL438,H438&lt;=AM438),"Evet","HAYIR - Tarih Dışı"))</f>
        <v/>
      </c>
      <c r="AP438" s="28">
        <f>IF(I438="","",IFERROR(INDEX(Kampanyalar!$H$2:$H$150,MATCH(O438,Kampanyalar!$A$2:$A$150,0)),""))</f>
        <v/>
      </c>
      <c r="AQ438" s="28">
        <f>IF(I438="","",IF(ISNUMBER(AP438),AP438,AD438))</f>
        <v/>
      </c>
      <c r="AR438" s="26">
        <f>IF(I438="","",IF(Parametreler!$C$7="Evet","Kural A - Hemen Ödeme (Stok Mutabakatlı)","Kural B - Nakliye/Montaj Sonrası Ödeme"))</f>
        <v/>
      </c>
    </row>
    <row r="439">
      <c r="A439" s="23" t="n"/>
      <c r="B439" s="23" t="n"/>
      <c r="C439" s="23" t="n"/>
      <c r="D439" s="23" t="n"/>
      <c r="E439" s="23" t="n"/>
      <c r="F439" s="23" t="n"/>
      <c r="G439" s="23" t="n"/>
      <c r="H439" s="24" t="n"/>
      <c r="I439" s="23" t="n"/>
      <c r="J439" s="23" t="n"/>
      <c r="K439" s="23" t="n"/>
      <c r="L439" s="23" t="n"/>
      <c r="M439" s="23" t="n"/>
      <c r="N439" s="23" t="n"/>
      <c r="O439" s="23" t="n"/>
      <c r="P439" s="23" t="n"/>
      <c r="Q439" s="23" t="n"/>
      <c r="R439" s="23" t="n"/>
      <c r="S439" s="23" t="n"/>
      <c r="T439" s="23" t="n"/>
      <c r="U439" s="23" t="n"/>
      <c r="V439" s="23" t="n"/>
      <c r="W439" s="23" t="n"/>
      <c r="X439" s="23" t="n"/>
      <c r="Y439" s="25" t="n"/>
      <c r="Z439" s="25" t="n"/>
      <c r="AA439" s="23" t="n"/>
      <c r="AB439" s="25" t="n"/>
      <c r="AC439" s="23" t="n"/>
      <c r="AD439" s="25" t="n"/>
      <c r="AE439" s="23" t="n"/>
      <c r="AF439" s="25" t="n"/>
      <c r="AG439" s="25" t="n"/>
      <c r="AH439" s="23" t="n"/>
      <c r="AI439" s="23" t="n"/>
      <c r="AJ439" s="26">
        <f>IF(I439="","",I439&amp;"|"&amp;R439)</f>
        <v/>
      </c>
      <c r="AK439" s="26">
        <f>IF(I439="","",IF(ISNA(MATCH(O439,Kampanyalar!$A$2:$A$150,0)),"Hayır - Kampanyalar'da Yok","Evet"))</f>
        <v/>
      </c>
      <c r="AL439" s="27">
        <f>IF(I439="","",IFERROR(INDEX(Kampanyalar!$E$2:$E$150,MATCH(O439,Kampanyalar!$A$2:$A$150,0)),""))</f>
        <v/>
      </c>
      <c r="AM439" s="27">
        <f>IF(I439="","",IFERROR(INDEX(Kampanyalar!$F$2:$F$150,MATCH(O439,Kampanyalar!$A$2:$A$150,0)),""))</f>
        <v/>
      </c>
      <c r="AN439" s="27">
        <f>IF(I439="","",IFERROR(INDEX(Kampanyalar!$G$2:$G$150,MATCH(O439,Kampanyalar!$A$2:$A$150,0)),""))</f>
        <v/>
      </c>
      <c r="AO439" s="26">
        <f>IF(OR(I439="",AL439="",AM439=""),"",IF(AND(H439&gt;=AL439,H439&lt;=AM439),"Evet","HAYIR - Tarih Dışı"))</f>
        <v/>
      </c>
      <c r="AP439" s="28">
        <f>IF(I439="","",IFERROR(INDEX(Kampanyalar!$H$2:$H$150,MATCH(O439,Kampanyalar!$A$2:$A$150,0)),""))</f>
        <v/>
      </c>
      <c r="AQ439" s="28">
        <f>IF(I439="","",IF(ISNUMBER(AP439),AP439,AD439))</f>
        <v/>
      </c>
      <c r="AR439" s="26">
        <f>IF(I439="","",IF(Parametreler!$C$7="Evet","Kural A - Hemen Ödeme (Stok Mutabakatlı)","Kural B - Nakliye/Montaj Sonrası Ödeme"))</f>
        <v/>
      </c>
    </row>
    <row r="440">
      <c r="A440" s="23" t="n"/>
      <c r="B440" s="23" t="n"/>
      <c r="C440" s="23" t="n"/>
      <c r="D440" s="23" t="n"/>
      <c r="E440" s="23" t="n"/>
      <c r="F440" s="23" t="n"/>
      <c r="G440" s="23" t="n"/>
      <c r="H440" s="24" t="n"/>
      <c r="I440" s="23" t="n"/>
      <c r="J440" s="23" t="n"/>
      <c r="K440" s="23" t="n"/>
      <c r="L440" s="23" t="n"/>
      <c r="M440" s="23" t="n"/>
      <c r="N440" s="23" t="n"/>
      <c r="O440" s="23" t="n"/>
      <c r="P440" s="23" t="n"/>
      <c r="Q440" s="23" t="n"/>
      <c r="R440" s="23" t="n"/>
      <c r="S440" s="23" t="n"/>
      <c r="T440" s="23" t="n"/>
      <c r="U440" s="23" t="n"/>
      <c r="V440" s="23" t="n"/>
      <c r="W440" s="23" t="n"/>
      <c r="X440" s="23" t="n"/>
      <c r="Y440" s="25" t="n"/>
      <c r="Z440" s="25" t="n"/>
      <c r="AA440" s="23" t="n"/>
      <c r="AB440" s="25" t="n"/>
      <c r="AC440" s="23" t="n"/>
      <c r="AD440" s="25" t="n"/>
      <c r="AE440" s="23" t="n"/>
      <c r="AF440" s="25" t="n"/>
      <c r="AG440" s="25" t="n"/>
      <c r="AH440" s="23" t="n"/>
      <c r="AI440" s="23" t="n"/>
      <c r="AJ440" s="26">
        <f>IF(I440="","",I440&amp;"|"&amp;R440)</f>
        <v/>
      </c>
      <c r="AK440" s="26">
        <f>IF(I440="","",IF(ISNA(MATCH(O440,Kampanyalar!$A$2:$A$150,0)),"Hayır - Kampanyalar'da Yok","Evet"))</f>
        <v/>
      </c>
      <c r="AL440" s="27">
        <f>IF(I440="","",IFERROR(INDEX(Kampanyalar!$E$2:$E$150,MATCH(O440,Kampanyalar!$A$2:$A$150,0)),""))</f>
        <v/>
      </c>
      <c r="AM440" s="27">
        <f>IF(I440="","",IFERROR(INDEX(Kampanyalar!$F$2:$F$150,MATCH(O440,Kampanyalar!$A$2:$A$150,0)),""))</f>
        <v/>
      </c>
      <c r="AN440" s="27">
        <f>IF(I440="","",IFERROR(INDEX(Kampanyalar!$G$2:$G$150,MATCH(O440,Kampanyalar!$A$2:$A$150,0)),""))</f>
        <v/>
      </c>
      <c r="AO440" s="26">
        <f>IF(OR(I440="",AL440="",AM440=""),"",IF(AND(H440&gt;=AL440,H440&lt;=AM440),"Evet","HAYIR - Tarih Dışı"))</f>
        <v/>
      </c>
      <c r="AP440" s="28">
        <f>IF(I440="","",IFERROR(INDEX(Kampanyalar!$H$2:$H$150,MATCH(O440,Kampanyalar!$A$2:$A$150,0)),""))</f>
        <v/>
      </c>
      <c r="AQ440" s="28">
        <f>IF(I440="","",IF(ISNUMBER(AP440),AP440,AD440))</f>
        <v/>
      </c>
      <c r="AR440" s="26">
        <f>IF(I440="","",IF(Parametreler!$C$7="Evet","Kural A - Hemen Ödeme (Stok Mutabakatlı)","Kural B - Nakliye/Montaj Sonrası Ödeme"))</f>
        <v/>
      </c>
    </row>
    <row r="441">
      <c r="A441" s="23" t="n"/>
      <c r="B441" s="23" t="n"/>
      <c r="C441" s="23" t="n"/>
      <c r="D441" s="23" t="n"/>
      <c r="E441" s="23" t="n"/>
      <c r="F441" s="23" t="n"/>
      <c r="G441" s="23" t="n"/>
      <c r="H441" s="24" t="n"/>
      <c r="I441" s="23" t="n"/>
      <c r="J441" s="23" t="n"/>
      <c r="K441" s="23" t="n"/>
      <c r="L441" s="23" t="n"/>
      <c r="M441" s="23" t="n"/>
      <c r="N441" s="23" t="n"/>
      <c r="O441" s="23" t="n"/>
      <c r="P441" s="23" t="n"/>
      <c r="Q441" s="23" t="n"/>
      <c r="R441" s="23" t="n"/>
      <c r="S441" s="23" t="n"/>
      <c r="T441" s="23" t="n"/>
      <c r="U441" s="23" t="n"/>
      <c r="V441" s="23" t="n"/>
      <c r="W441" s="23" t="n"/>
      <c r="X441" s="23" t="n"/>
      <c r="Y441" s="25" t="n"/>
      <c r="Z441" s="25" t="n"/>
      <c r="AA441" s="23" t="n"/>
      <c r="AB441" s="25" t="n"/>
      <c r="AC441" s="23" t="n"/>
      <c r="AD441" s="25" t="n"/>
      <c r="AE441" s="23" t="n"/>
      <c r="AF441" s="25" t="n"/>
      <c r="AG441" s="25" t="n"/>
      <c r="AH441" s="23" t="n"/>
      <c r="AI441" s="23" t="n"/>
      <c r="AJ441" s="26">
        <f>IF(I441="","",I441&amp;"|"&amp;R441)</f>
        <v/>
      </c>
      <c r="AK441" s="26">
        <f>IF(I441="","",IF(ISNA(MATCH(O441,Kampanyalar!$A$2:$A$150,0)),"Hayır - Kampanyalar'da Yok","Evet"))</f>
        <v/>
      </c>
      <c r="AL441" s="27">
        <f>IF(I441="","",IFERROR(INDEX(Kampanyalar!$E$2:$E$150,MATCH(O441,Kampanyalar!$A$2:$A$150,0)),""))</f>
        <v/>
      </c>
      <c r="AM441" s="27">
        <f>IF(I441="","",IFERROR(INDEX(Kampanyalar!$F$2:$F$150,MATCH(O441,Kampanyalar!$A$2:$A$150,0)),""))</f>
        <v/>
      </c>
      <c r="AN441" s="27">
        <f>IF(I441="","",IFERROR(INDEX(Kampanyalar!$G$2:$G$150,MATCH(O441,Kampanyalar!$A$2:$A$150,0)),""))</f>
        <v/>
      </c>
      <c r="AO441" s="26">
        <f>IF(OR(I441="",AL441="",AM441=""),"",IF(AND(H441&gt;=AL441,H441&lt;=AM441),"Evet","HAYIR - Tarih Dışı"))</f>
        <v/>
      </c>
      <c r="AP441" s="28">
        <f>IF(I441="","",IFERROR(INDEX(Kampanyalar!$H$2:$H$150,MATCH(O441,Kampanyalar!$A$2:$A$150,0)),""))</f>
        <v/>
      </c>
      <c r="AQ441" s="28">
        <f>IF(I441="","",IF(ISNUMBER(AP441),AP441,AD441))</f>
        <v/>
      </c>
      <c r="AR441" s="26">
        <f>IF(I441="","",IF(Parametreler!$C$7="Evet","Kural A - Hemen Ödeme (Stok Mutabakatlı)","Kural B - Nakliye/Montaj Sonrası Ödeme"))</f>
        <v/>
      </c>
    </row>
    <row r="442">
      <c r="A442" s="23" t="n"/>
      <c r="B442" s="23" t="n"/>
      <c r="C442" s="23" t="n"/>
      <c r="D442" s="23" t="n"/>
      <c r="E442" s="23" t="n"/>
      <c r="F442" s="23" t="n"/>
      <c r="G442" s="23" t="n"/>
      <c r="H442" s="24" t="n"/>
      <c r="I442" s="23" t="n"/>
      <c r="J442" s="23" t="n"/>
      <c r="K442" s="23" t="n"/>
      <c r="L442" s="23" t="n"/>
      <c r="M442" s="23" t="n"/>
      <c r="N442" s="23" t="n"/>
      <c r="O442" s="23" t="n"/>
      <c r="P442" s="23" t="n"/>
      <c r="Q442" s="23" t="n"/>
      <c r="R442" s="23" t="n"/>
      <c r="S442" s="23" t="n"/>
      <c r="T442" s="23" t="n"/>
      <c r="U442" s="23" t="n"/>
      <c r="V442" s="23" t="n"/>
      <c r="W442" s="23" t="n"/>
      <c r="X442" s="23" t="n"/>
      <c r="Y442" s="25" t="n"/>
      <c r="Z442" s="25" t="n"/>
      <c r="AA442" s="23" t="n"/>
      <c r="AB442" s="25" t="n"/>
      <c r="AC442" s="23" t="n"/>
      <c r="AD442" s="25" t="n"/>
      <c r="AE442" s="23" t="n"/>
      <c r="AF442" s="25" t="n"/>
      <c r="AG442" s="25" t="n"/>
      <c r="AH442" s="23" t="n"/>
      <c r="AI442" s="23" t="n"/>
      <c r="AJ442" s="26">
        <f>IF(I442="","",I442&amp;"|"&amp;R442)</f>
        <v/>
      </c>
      <c r="AK442" s="26">
        <f>IF(I442="","",IF(ISNA(MATCH(O442,Kampanyalar!$A$2:$A$150,0)),"Hayır - Kampanyalar'da Yok","Evet"))</f>
        <v/>
      </c>
      <c r="AL442" s="27">
        <f>IF(I442="","",IFERROR(INDEX(Kampanyalar!$E$2:$E$150,MATCH(O442,Kampanyalar!$A$2:$A$150,0)),""))</f>
        <v/>
      </c>
      <c r="AM442" s="27">
        <f>IF(I442="","",IFERROR(INDEX(Kampanyalar!$F$2:$F$150,MATCH(O442,Kampanyalar!$A$2:$A$150,0)),""))</f>
        <v/>
      </c>
      <c r="AN442" s="27">
        <f>IF(I442="","",IFERROR(INDEX(Kampanyalar!$G$2:$G$150,MATCH(O442,Kampanyalar!$A$2:$A$150,0)),""))</f>
        <v/>
      </c>
      <c r="AO442" s="26">
        <f>IF(OR(I442="",AL442="",AM442=""),"",IF(AND(H442&gt;=AL442,H442&lt;=AM442),"Evet","HAYIR - Tarih Dışı"))</f>
        <v/>
      </c>
      <c r="AP442" s="28">
        <f>IF(I442="","",IFERROR(INDEX(Kampanyalar!$H$2:$H$150,MATCH(O442,Kampanyalar!$A$2:$A$150,0)),""))</f>
        <v/>
      </c>
      <c r="AQ442" s="28">
        <f>IF(I442="","",IF(ISNUMBER(AP442),AP442,AD442))</f>
        <v/>
      </c>
      <c r="AR442" s="26">
        <f>IF(I442="","",IF(Parametreler!$C$7="Evet","Kural A - Hemen Ödeme (Stok Mutabakatlı)","Kural B - Nakliye/Montaj Sonrası Ödeme"))</f>
        <v/>
      </c>
    </row>
    <row r="443">
      <c r="A443" s="23" t="n"/>
      <c r="B443" s="23" t="n"/>
      <c r="C443" s="23" t="n"/>
      <c r="D443" s="23" t="n"/>
      <c r="E443" s="23" t="n"/>
      <c r="F443" s="23" t="n"/>
      <c r="G443" s="23" t="n"/>
      <c r="H443" s="24" t="n"/>
      <c r="I443" s="23" t="n"/>
      <c r="J443" s="23" t="n"/>
      <c r="K443" s="23" t="n"/>
      <c r="L443" s="23" t="n"/>
      <c r="M443" s="23" t="n"/>
      <c r="N443" s="23" t="n"/>
      <c r="O443" s="23" t="n"/>
      <c r="P443" s="23" t="n"/>
      <c r="Q443" s="23" t="n"/>
      <c r="R443" s="23" t="n"/>
      <c r="S443" s="23" t="n"/>
      <c r="T443" s="23" t="n"/>
      <c r="U443" s="23" t="n"/>
      <c r="V443" s="23" t="n"/>
      <c r="W443" s="23" t="n"/>
      <c r="X443" s="23" t="n"/>
      <c r="Y443" s="25" t="n"/>
      <c r="Z443" s="25" t="n"/>
      <c r="AA443" s="23" t="n"/>
      <c r="AB443" s="25" t="n"/>
      <c r="AC443" s="23" t="n"/>
      <c r="AD443" s="25" t="n"/>
      <c r="AE443" s="23" t="n"/>
      <c r="AF443" s="25" t="n"/>
      <c r="AG443" s="25" t="n"/>
      <c r="AH443" s="23" t="n"/>
      <c r="AI443" s="23" t="n"/>
      <c r="AJ443" s="26">
        <f>IF(I443="","",I443&amp;"|"&amp;R443)</f>
        <v/>
      </c>
      <c r="AK443" s="26">
        <f>IF(I443="","",IF(ISNA(MATCH(O443,Kampanyalar!$A$2:$A$150,0)),"Hayır - Kampanyalar'da Yok","Evet"))</f>
        <v/>
      </c>
      <c r="AL443" s="27">
        <f>IF(I443="","",IFERROR(INDEX(Kampanyalar!$E$2:$E$150,MATCH(O443,Kampanyalar!$A$2:$A$150,0)),""))</f>
        <v/>
      </c>
      <c r="AM443" s="27">
        <f>IF(I443="","",IFERROR(INDEX(Kampanyalar!$F$2:$F$150,MATCH(O443,Kampanyalar!$A$2:$A$150,0)),""))</f>
        <v/>
      </c>
      <c r="AN443" s="27">
        <f>IF(I443="","",IFERROR(INDEX(Kampanyalar!$G$2:$G$150,MATCH(O443,Kampanyalar!$A$2:$A$150,0)),""))</f>
        <v/>
      </c>
      <c r="AO443" s="26">
        <f>IF(OR(I443="",AL443="",AM443=""),"",IF(AND(H443&gt;=AL443,H443&lt;=AM443),"Evet","HAYIR - Tarih Dışı"))</f>
        <v/>
      </c>
      <c r="AP443" s="28">
        <f>IF(I443="","",IFERROR(INDEX(Kampanyalar!$H$2:$H$150,MATCH(O443,Kampanyalar!$A$2:$A$150,0)),""))</f>
        <v/>
      </c>
      <c r="AQ443" s="28">
        <f>IF(I443="","",IF(ISNUMBER(AP443),AP443,AD443))</f>
        <v/>
      </c>
      <c r="AR443" s="26">
        <f>IF(I443="","",IF(Parametreler!$C$7="Evet","Kural A - Hemen Ödeme (Stok Mutabakatlı)","Kural B - Nakliye/Montaj Sonrası Ödeme"))</f>
        <v/>
      </c>
    </row>
    <row r="444">
      <c r="A444" s="23" t="n"/>
      <c r="B444" s="23" t="n"/>
      <c r="C444" s="23" t="n"/>
      <c r="D444" s="23" t="n"/>
      <c r="E444" s="23" t="n"/>
      <c r="F444" s="23" t="n"/>
      <c r="G444" s="23" t="n"/>
      <c r="H444" s="24" t="n"/>
      <c r="I444" s="23" t="n"/>
      <c r="J444" s="23" t="n"/>
      <c r="K444" s="23" t="n"/>
      <c r="L444" s="23" t="n"/>
      <c r="M444" s="23" t="n"/>
      <c r="N444" s="23" t="n"/>
      <c r="O444" s="23" t="n"/>
      <c r="P444" s="23" t="n"/>
      <c r="Q444" s="23" t="n"/>
      <c r="R444" s="23" t="n"/>
      <c r="S444" s="23" t="n"/>
      <c r="T444" s="23" t="n"/>
      <c r="U444" s="23" t="n"/>
      <c r="V444" s="23" t="n"/>
      <c r="W444" s="23" t="n"/>
      <c r="X444" s="23" t="n"/>
      <c r="Y444" s="25" t="n"/>
      <c r="Z444" s="25" t="n"/>
      <c r="AA444" s="23" t="n"/>
      <c r="AB444" s="25" t="n"/>
      <c r="AC444" s="23" t="n"/>
      <c r="AD444" s="25" t="n"/>
      <c r="AE444" s="23" t="n"/>
      <c r="AF444" s="25" t="n"/>
      <c r="AG444" s="25" t="n"/>
      <c r="AH444" s="23" t="n"/>
      <c r="AI444" s="23" t="n"/>
      <c r="AJ444" s="26">
        <f>IF(I444="","",I444&amp;"|"&amp;R444)</f>
        <v/>
      </c>
      <c r="AK444" s="26">
        <f>IF(I444="","",IF(ISNA(MATCH(O444,Kampanyalar!$A$2:$A$150,0)),"Hayır - Kampanyalar'da Yok","Evet"))</f>
        <v/>
      </c>
      <c r="AL444" s="27">
        <f>IF(I444="","",IFERROR(INDEX(Kampanyalar!$E$2:$E$150,MATCH(O444,Kampanyalar!$A$2:$A$150,0)),""))</f>
        <v/>
      </c>
      <c r="AM444" s="27">
        <f>IF(I444="","",IFERROR(INDEX(Kampanyalar!$F$2:$F$150,MATCH(O444,Kampanyalar!$A$2:$A$150,0)),""))</f>
        <v/>
      </c>
      <c r="AN444" s="27">
        <f>IF(I444="","",IFERROR(INDEX(Kampanyalar!$G$2:$G$150,MATCH(O444,Kampanyalar!$A$2:$A$150,0)),""))</f>
        <v/>
      </c>
      <c r="AO444" s="26">
        <f>IF(OR(I444="",AL444="",AM444=""),"",IF(AND(H444&gt;=AL444,H444&lt;=AM444),"Evet","HAYIR - Tarih Dışı"))</f>
        <v/>
      </c>
      <c r="AP444" s="28">
        <f>IF(I444="","",IFERROR(INDEX(Kampanyalar!$H$2:$H$150,MATCH(O444,Kampanyalar!$A$2:$A$150,0)),""))</f>
        <v/>
      </c>
      <c r="AQ444" s="28">
        <f>IF(I444="","",IF(ISNUMBER(AP444),AP444,AD444))</f>
        <v/>
      </c>
      <c r="AR444" s="26">
        <f>IF(I444="","",IF(Parametreler!$C$7="Evet","Kural A - Hemen Ödeme (Stok Mutabakatlı)","Kural B - Nakliye/Montaj Sonrası Ödeme"))</f>
        <v/>
      </c>
    </row>
    <row r="445">
      <c r="A445" s="23" t="n"/>
      <c r="B445" s="23" t="n"/>
      <c r="C445" s="23" t="n"/>
      <c r="D445" s="23" t="n"/>
      <c r="E445" s="23" t="n"/>
      <c r="F445" s="23" t="n"/>
      <c r="G445" s="23" t="n"/>
      <c r="H445" s="24" t="n"/>
      <c r="I445" s="23" t="n"/>
      <c r="J445" s="23" t="n"/>
      <c r="K445" s="23" t="n"/>
      <c r="L445" s="23" t="n"/>
      <c r="M445" s="23" t="n"/>
      <c r="N445" s="23" t="n"/>
      <c r="O445" s="23" t="n"/>
      <c r="P445" s="23" t="n"/>
      <c r="Q445" s="23" t="n"/>
      <c r="R445" s="23" t="n"/>
      <c r="S445" s="23" t="n"/>
      <c r="T445" s="23" t="n"/>
      <c r="U445" s="23" t="n"/>
      <c r="V445" s="23" t="n"/>
      <c r="W445" s="23" t="n"/>
      <c r="X445" s="23" t="n"/>
      <c r="Y445" s="25" t="n"/>
      <c r="Z445" s="25" t="n"/>
      <c r="AA445" s="23" t="n"/>
      <c r="AB445" s="25" t="n"/>
      <c r="AC445" s="23" t="n"/>
      <c r="AD445" s="25" t="n"/>
      <c r="AE445" s="23" t="n"/>
      <c r="AF445" s="25" t="n"/>
      <c r="AG445" s="25" t="n"/>
      <c r="AH445" s="23" t="n"/>
      <c r="AI445" s="23" t="n"/>
      <c r="AJ445" s="26">
        <f>IF(I445="","",I445&amp;"|"&amp;R445)</f>
        <v/>
      </c>
      <c r="AK445" s="26">
        <f>IF(I445="","",IF(ISNA(MATCH(O445,Kampanyalar!$A$2:$A$150,0)),"Hayır - Kampanyalar'da Yok","Evet"))</f>
        <v/>
      </c>
      <c r="AL445" s="27">
        <f>IF(I445="","",IFERROR(INDEX(Kampanyalar!$E$2:$E$150,MATCH(O445,Kampanyalar!$A$2:$A$150,0)),""))</f>
        <v/>
      </c>
      <c r="AM445" s="27">
        <f>IF(I445="","",IFERROR(INDEX(Kampanyalar!$F$2:$F$150,MATCH(O445,Kampanyalar!$A$2:$A$150,0)),""))</f>
        <v/>
      </c>
      <c r="AN445" s="27">
        <f>IF(I445="","",IFERROR(INDEX(Kampanyalar!$G$2:$G$150,MATCH(O445,Kampanyalar!$A$2:$A$150,0)),""))</f>
        <v/>
      </c>
      <c r="AO445" s="26">
        <f>IF(OR(I445="",AL445="",AM445=""),"",IF(AND(H445&gt;=AL445,H445&lt;=AM445),"Evet","HAYIR - Tarih Dışı"))</f>
        <v/>
      </c>
      <c r="AP445" s="28">
        <f>IF(I445="","",IFERROR(INDEX(Kampanyalar!$H$2:$H$150,MATCH(O445,Kampanyalar!$A$2:$A$150,0)),""))</f>
        <v/>
      </c>
      <c r="AQ445" s="28">
        <f>IF(I445="","",IF(ISNUMBER(AP445),AP445,AD445))</f>
        <v/>
      </c>
      <c r="AR445" s="26">
        <f>IF(I445="","",IF(Parametreler!$C$7="Evet","Kural A - Hemen Ödeme (Stok Mutabakatlı)","Kural B - Nakliye/Montaj Sonrası Ödeme"))</f>
        <v/>
      </c>
    </row>
    <row r="446">
      <c r="A446" s="23" t="n"/>
      <c r="B446" s="23" t="n"/>
      <c r="C446" s="23" t="n"/>
      <c r="D446" s="23" t="n"/>
      <c r="E446" s="23" t="n"/>
      <c r="F446" s="23" t="n"/>
      <c r="G446" s="23" t="n"/>
      <c r="H446" s="24" t="n"/>
      <c r="I446" s="23" t="n"/>
      <c r="J446" s="23" t="n"/>
      <c r="K446" s="23" t="n"/>
      <c r="L446" s="23" t="n"/>
      <c r="M446" s="23" t="n"/>
      <c r="N446" s="23" t="n"/>
      <c r="O446" s="23" t="n"/>
      <c r="P446" s="23" t="n"/>
      <c r="Q446" s="23" t="n"/>
      <c r="R446" s="23" t="n"/>
      <c r="S446" s="23" t="n"/>
      <c r="T446" s="23" t="n"/>
      <c r="U446" s="23" t="n"/>
      <c r="V446" s="23" t="n"/>
      <c r="W446" s="23" t="n"/>
      <c r="X446" s="23" t="n"/>
      <c r="Y446" s="25" t="n"/>
      <c r="Z446" s="25" t="n"/>
      <c r="AA446" s="23" t="n"/>
      <c r="AB446" s="25" t="n"/>
      <c r="AC446" s="23" t="n"/>
      <c r="AD446" s="25" t="n"/>
      <c r="AE446" s="23" t="n"/>
      <c r="AF446" s="25" t="n"/>
      <c r="AG446" s="25" t="n"/>
      <c r="AH446" s="23" t="n"/>
      <c r="AI446" s="23" t="n"/>
      <c r="AJ446" s="26">
        <f>IF(I446="","",I446&amp;"|"&amp;R446)</f>
        <v/>
      </c>
      <c r="AK446" s="26">
        <f>IF(I446="","",IF(ISNA(MATCH(O446,Kampanyalar!$A$2:$A$150,0)),"Hayır - Kampanyalar'da Yok","Evet"))</f>
        <v/>
      </c>
      <c r="AL446" s="27">
        <f>IF(I446="","",IFERROR(INDEX(Kampanyalar!$E$2:$E$150,MATCH(O446,Kampanyalar!$A$2:$A$150,0)),""))</f>
        <v/>
      </c>
      <c r="AM446" s="27">
        <f>IF(I446="","",IFERROR(INDEX(Kampanyalar!$F$2:$F$150,MATCH(O446,Kampanyalar!$A$2:$A$150,0)),""))</f>
        <v/>
      </c>
      <c r="AN446" s="27">
        <f>IF(I446="","",IFERROR(INDEX(Kampanyalar!$G$2:$G$150,MATCH(O446,Kampanyalar!$A$2:$A$150,0)),""))</f>
        <v/>
      </c>
      <c r="AO446" s="26">
        <f>IF(OR(I446="",AL446="",AM446=""),"",IF(AND(H446&gt;=AL446,H446&lt;=AM446),"Evet","HAYIR - Tarih Dışı"))</f>
        <v/>
      </c>
      <c r="AP446" s="28">
        <f>IF(I446="","",IFERROR(INDEX(Kampanyalar!$H$2:$H$150,MATCH(O446,Kampanyalar!$A$2:$A$150,0)),""))</f>
        <v/>
      </c>
      <c r="AQ446" s="28">
        <f>IF(I446="","",IF(ISNUMBER(AP446),AP446,AD446))</f>
        <v/>
      </c>
      <c r="AR446" s="26">
        <f>IF(I446="","",IF(Parametreler!$C$7="Evet","Kural A - Hemen Ödeme (Stok Mutabakatlı)","Kural B - Nakliye/Montaj Sonrası Ödeme"))</f>
        <v/>
      </c>
    </row>
    <row r="447">
      <c r="A447" s="23" t="n"/>
      <c r="B447" s="23" t="n"/>
      <c r="C447" s="23" t="n"/>
      <c r="D447" s="23" t="n"/>
      <c r="E447" s="23" t="n"/>
      <c r="F447" s="23" t="n"/>
      <c r="G447" s="23" t="n"/>
      <c r="H447" s="24" t="n"/>
      <c r="I447" s="23" t="n"/>
      <c r="J447" s="23" t="n"/>
      <c r="K447" s="23" t="n"/>
      <c r="L447" s="23" t="n"/>
      <c r="M447" s="23" t="n"/>
      <c r="N447" s="23" t="n"/>
      <c r="O447" s="23" t="n"/>
      <c r="P447" s="23" t="n"/>
      <c r="Q447" s="23" t="n"/>
      <c r="R447" s="23" t="n"/>
      <c r="S447" s="23" t="n"/>
      <c r="T447" s="23" t="n"/>
      <c r="U447" s="23" t="n"/>
      <c r="V447" s="23" t="n"/>
      <c r="W447" s="23" t="n"/>
      <c r="X447" s="23" t="n"/>
      <c r="Y447" s="25" t="n"/>
      <c r="Z447" s="25" t="n"/>
      <c r="AA447" s="23" t="n"/>
      <c r="AB447" s="25" t="n"/>
      <c r="AC447" s="23" t="n"/>
      <c r="AD447" s="25" t="n"/>
      <c r="AE447" s="23" t="n"/>
      <c r="AF447" s="25" t="n"/>
      <c r="AG447" s="25" t="n"/>
      <c r="AH447" s="23" t="n"/>
      <c r="AI447" s="23" t="n"/>
      <c r="AJ447" s="26">
        <f>IF(I447="","",I447&amp;"|"&amp;R447)</f>
        <v/>
      </c>
      <c r="AK447" s="26">
        <f>IF(I447="","",IF(ISNA(MATCH(O447,Kampanyalar!$A$2:$A$150,0)),"Hayır - Kampanyalar'da Yok","Evet"))</f>
        <v/>
      </c>
      <c r="AL447" s="27">
        <f>IF(I447="","",IFERROR(INDEX(Kampanyalar!$E$2:$E$150,MATCH(O447,Kampanyalar!$A$2:$A$150,0)),""))</f>
        <v/>
      </c>
      <c r="AM447" s="27">
        <f>IF(I447="","",IFERROR(INDEX(Kampanyalar!$F$2:$F$150,MATCH(O447,Kampanyalar!$A$2:$A$150,0)),""))</f>
        <v/>
      </c>
      <c r="AN447" s="27">
        <f>IF(I447="","",IFERROR(INDEX(Kampanyalar!$G$2:$G$150,MATCH(O447,Kampanyalar!$A$2:$A$150,0)),""))</f>
        <v/>
      </c>
      <c r="AO447" s="26">
        <f>IF(OR(I447="",AL447="",AM447=""),"",IF(AND(H447&gt;=AL447,H447&lt;=AM447),"Evet","HAYIR - Tarih Dışı"))</f>
        <v/>
      </c>
      <c r="AP447" s="28">
        <f>IF(I447="","",IFERROR(INDEX(Kampanyalar!$H$2:$H$150,MATCH(O447,Kampanyalar!$A$2:$A$150,0)),""))</f>
        <v/>
      </c>
      <c r="AQ447" s="28">
        <f>IF(I447="","",IF(ISNUMBER(AP447),AP447,AD447))</f>
        <v/>
      </c>
      <c r="AR447" s="26">
        <f>IF(I447="","",IF(Parametreler!$C$7="Evet","Kural A - Hemen Ödeme (Stok Mutabakatlı)","Kural B - Nakliye/Montaj Sonrası Ödeme"))</f>
        <v/>
      </c>
    </row>
    <row r="448">
      <c r="A448" s="23" t="n"/>
      <c r="B448" s="23" t="n"/>
      <c r="C448" s="23" t="n"/>
      <c r="D448" s="23" t="n"/>
      <c r="E448" s="23" t="n"/>
      <c r="F448" s="23" t="n"/>
      <c r="G448" s="23" t="n"/>
      <c r="H448" s="24" t="n"/>
      <c r="I448" s="23" t="n"/>
      <c r="J448" s="23" t="n"/>
      <c r="K448" s="23" t="n"/>
      <c r="L448" s="23" t="n"/>
      <c r="M448" s="23" t="n"/>
      <c r="N448" s="23" t="n"/>
      <c r="O448" s="23" t="n"/>
      <c r="P448" s="23" t="n"/>
      <c r="Q448" s="23" t="n"/>
      <c r="R448" s="23" t="n"/>
      <c r="S448" s="23" t="n"/>
      <c r="T448" s="23" t="n"/>
      <c r="U448" s="23" t="n"/>
      <c r="V448" s="23" t="n"/>
      <c r="W448" s="23" t="n"/>
      <c r="X448" s="23" t="n"/>
      <c r="Y448" s="25" t="n"/>
      <c r="Z448" s="25" t="n"/>
      <c r="AA448" s="23" t="n"/>
      <c r="AB448" s="25" t="n"/>
      <c r="AC448" s="23" t="n"/>
      <c r="AD448" s="25" t="n"/>
      <c r="AE448" s="23" t="n"/>
      <c r="AF448" s="25" t="n"/>
      <c r="AG448" s="25" t="n"/>
      <c r="AH448" s="23" t="n"/>
      <c r="AI448" s="23" t="n"/>
      <c r="AJ448" s="26">
        <f>IF(I448="","",I448&amp;"|"&amp;R448)</f>
        <v/>
      </c>
      <c r="AK448" s="26">
        <f>IF(I448="","",IF(ISNA(MATCH(O448,Kampanyalar!$A$2:$A$150,0)),"Hayır - Kampanyalar'da Yok","Evet"))</f>
        <v/>
      </c>
      <c r="AL448" s="27">
        <f>IF(I448="","",IFERROR(INDEX(Kampanyalar!$E$2:$E$150,MATCH(O448,Kampanyalar!$A$2:$A$150,0)),""))</f>
        <v/>
      </c>
      <c r="AM448" s="27">
        <f>IF(I448="","",IFERROR(INDEX(Kampanyalar!$F$2:$F$150,MATCH(O448,Kampanyalar!$A$2:$A$150,0)),""))</f>
        <v/>
      </c>
      <c r="AN448" s="27">
        <f>IF(I448="","",IFERROR(INDEX(Kampanyalar!$G$2:$G$150,MATCH(O448,Kampanyalar!$A$2:$A$150,0)),""))</f>
        <v/>
      </c>
      <c r="AO448" s="26">
        <f>IF(OR(I448="",AL448="",AM448=""),"",IF(AND(H448&gt;=AL448,H448&lt;=AM448),"Evet","HAYIR - Tarih Dışı"))</f>
        <v/>
      </c>
      <c r="AP448" s="28">
        <f>IF(I448="","",IFERROR(INDEX(Kampanyalar!$H$2:$H$150,MATCH(O448,Kampanyalar!$A$2:$A$150,0)),""))</f>
        <v/>
      </c>
      <c r="AQ448" s="28">
        <f>IF(I448="","",IF(ISNUMBER(AP448),AP448,AD448))</f>
        <v/>
      </c>
      <c r="AR448" s="26">
        <f>IF(I448="","",IF(Parametreler!$C$7="Evet","Kural A - Hemen Ödeme (Stok Mutabakatlı)","Kural B - Nakliye/Montaj Sonrası Ödeme"))</f>
        <v/>
      </c>
    </row>
    <row r="449">
      <c r="A449" s="23" t="n"/>
      <c r="B449" s="23" t="n"/>
      <c r="C449" s="23" t="n"/>
      <c r="D449" s="23" t="n"/>
      <c r="E449" s="23" t="n"/>
      <c r="F449" s="23" t="n"/>
      <c r="G449" s="23" t="n"/>
      <c r="H449" s="24" t="n"/>
      <c r="I449" s="23" t="n"/>
      <c r="J449" s="23" t="n"/>
      <c r="K449" s="23" t="n"/>
      <c r="L449" s="23" t="n"/>
      <c r="M449" s="23" t="n"/>
      <c r="N449" s="23" t="n"/>
      <c r="O449" s="23" t="n"/>
      <c r="P449" s="23" t="n"/>
      <c r="Q449" s="23" t="n"/>
      <c r="R449" s="23" t="n"/>
      <c r="S449" s="23" t="n"/>
      <c r="T449" s="23" t="n"/>
      <c r="U449" s="23" t="n"/>
      <c r="V449" s="23" t="n"/>
      <c r="W449" s="23" t="n"/>
      <c r="X449" s="23" t="n"/>
      <c r="Y449" s="25" t="n"/>
      <c r="Z449" s="25" t="n"/>
      <c r="AA449" s="23" t="n"/>
      <c r="AB449" s="25" t="n"/>
      <c r="AC449" s="23" t="n"/>
      <c r="AD449" s="25" t="n"/>
      <c r="AE449" s="23" t="n"/>
      <c r="AF449" s="25" t="n"/>
      <c r="AG449" s="25" t="n"/>
      <c r="AH449" s="23" t="n"/>
      <c r="AI449" s="23" t="n"/>
      <c r="AJ449" s="26">
        <f>IF(I449="","",I449&amp;"|"&amp;R449)</f>
        <v/>
      </c>
      <c r="AK449" s="26">
        <f>IF(I449="","",IF(ISNA(MATCH(O449,Kampanyalar!$A$2:$A$150,0)),"Hayır - Kampanyalar'da Yok","Evet"))</f>
        <v/>
      </c>
      <c r="AL449" s="27">
        <f>IF(I449="","",IFERROR(INDEX(Kampanyalar!$E$2:$E$150,MATCH(O449,Kampanyalar!$A$2:$A$150,0)),""))</f>
        <v/>
      </c>
      <c r="AM449" s="27">
        <f>IF(I449="","",IFERROR(INDEX(Kampanyalar!$F$2:$F$150,MATCH(O449,Kampanyalar!$A$2:$A$150,0)),""))</f>
        <v/>
      </c>
      <c r="AN449" s="27">
        <f>IF(I449="","",IFERROR(INDEX(Kampanyalar!$G$2:$G$150,MATCH(O449,Kampanyalar!$A$2:$A$150,0)),""))</f>
        <v/>
      </c>
      <c r="AO449" s="26">
        <f>IF(OR(I449="",AL449="",AM449=""),"",IF(AND(H449&gt;=AL449,H449&lt;=AM449),"Evet","HAYIR - Tarih Dışı"))</f>
        <v/>
      </c>
      <c r="AP449" s="28">
        <f>IF(I449="","",IFERROR(INDEX(Kampanyalar!$H$2:$H$150,MATCH(O449,Kampanyalar!$A$2:$A$150,0)),""))</f>
        <v/>
      </c>
      <c r="AQ449" s="28">
        <f>IF(I449="","",IF(ISNUMBER(AP449),AP449,AD449))</f>
        <v/>
      </c>
      <c r="AR449" s="26">
        <f>IF(I449="","",IF(Parametreler!$C$7="Evet","Kural A - Hemen Ödeme (Stok Mutabakatlı)","Kural B - Nakliye/Montaj Sonrası Ödeme"))</f>
        <v/>
      </c>
    </row>
    <row r="450">
      <c r="A450" s="23" t="n"/>
      <c r="B450" s="23" t="n"/>
      <c r="C450" s="23" t="n"/>
      <c r="D450" s="23" t="n"/>
      <c r="E450" s="23" t="n"/>
      <c r="F450" s="23" t="n"/>
      <c r="G450" s="23" t="n"/>
      <c r="H450" s="24" t="n"/>
      <c r="I450" s="23" t="n"/>
      <c r="J450" s="23" t="n"/>
      <c r="K450" s="23" t="n"/>
      <c r="L450" s="23" t="n"/>
      <c r="M450" s="23" t="n"/>
      <c r="N450" s="23" t="n"/>
      <c r="O450" s="23" t="n"/>
      <c r="P450" s="23" t="n"/>
      <c r="Q450" s="23" t="n"/>
      <c r="R450" s="23" t="n"/>
      <c r="S450" s="23" t="n"/>
      <c r="T450" s="23" t="n"/>
      <c r="U450" s="23" t="n"/>
      <c r="V450" s="23" t="n"/>
      <c r="W450" s="23" t="n"/>
      <c r="X450" s="23" t="n"/>
      <c r="Y450" s="25" t="n"/>
      <c r="Z450" s="25" t="n"/>
      <c r="AA450" s="23" t="n"/>
      <c r="AB450" s="25" t="n"/>
      <c r="AC450" s="23" t="n"/>
      <c r="AD450" s="25" t="n"/>
      <c r="AE450" s="23" t="n"/>
      <c r="AF450" s="25" t="n"/>
      <c r="AG450" s="25" t="n"/>
      <c r="AH450" s="23" t="n"/>
      <c r="AI450" s="23" t="n"/>
      <c r="AJ450" s="26">
        <f>IF(I450="","",I450&amp;"|"&amp;R450)</f>
        <v/>
      </c>
      <c r="AK450" s="26">
        <f>IF(I450="","",IF(ISNA(MATCH(O450,Kampanyalar!$A$2:$A$150,0)),"Hayır - Kampanyalar'da Yok","Evet"))</f>
        <v/>
      </c>
      <c r="AL450" s="27">
        <f>IF(I450="","",IFERROR(INDEX(Kampanyalar!$E$2:$E$150,MATCH(O450,Kampanyalar!$A$2:$A$150,0)),""))</f>
        <v/>
      </c>
      <c r="AM450" s="27">
        <f>IF(I450="","",IFERROR(INDEX(Kampanyalar!$F$2:$F$150,MATCH(O450,Kampanyalar!$A$2:$A$150,0)),""))</f>
        <v/>
      </c>
      <c r="AN450" s="27">
        <f>IF(I450="","",IFERROR(INDEX(Kampanyalar!$G$2:$G$150,MATCH(O450,Kampanyalar!$A$2:$A$150,0)),""))</f>
        <v/>
      </c>
      <c r="AO450" s="26">
        <f>IF(OR(I450="",AL450="",AM450=""),"",IF(AND(H450&gt;=AL450,H450&lt;=AM450),"Evet","HAYIR - Tarih Dışı"))</f>
        <v/>
      </c>
      <c r="AP450" s="28">
        <f>IF(I450="","",IFERROR(INDEX(Kampanyalar!$H$2:$H$150,MATCH(O450,Kampanyalar!$A$2:$A$150,0)),""))</f>
        <v/>
      </c>
      <c r="AQ450" s="28">
        <f>IF(I450="","",IF(ISNUMBER(AP450),AP450,AD450))</f>
        <v/>
      </c>
      <c r="AR450" s="26">
        <f>IF(I450="","",IF(Parametreler!$C$7="Evet","Kural A - Hemen Ödeme (Stok Mutabakatlı)","Kural B - Nakliye/Montaj Sonrası Ödeme"))</f>
        <v/>
      </c>
    </row>
    <row r="451">
      <c r="A451" s="23" t="n"/>
      <c r="B451" s="23" t="n"/>
      <c r="C451" s="23" t="n"/>
      <c r="D451" s="23" t="n"/>
      <c r="E451" s="23" t="n"/>
      <c r="F451" s="23" t="n"/>
      <c r="G451" s="23" t="n"/>
      <c r="H451" s="24" t="n"/>
      <c r="I451" s="23" t="n"/>
      <c r="J451" s="23" t="n"/>
      <c r="K451" s="23" t="n"/>
      <c r="L451" s="23" t="n"/>
      <c r="M451" s="23" t="n"/>
      <c r="N451" s="23" t="n"/>
      <c r="O451" s="23" t="n"/>
      <c r="P451" s="23" t="n"/>
      <c r="Q451" s="23" t="n"/>
      <c r="R451" s="23" t="n"/>
      <c r="S451" s="23" t="n"/>
      <c r="T451" s="23" t="n"/>
      <c r="U451" s="23" t="n"/>
      <c r="V451" s="23" t="n"/>
      <c r="W451" s="23" t="n"/>
      <c r="X451" s="23" t="n"/>
      <c r="Y451" s="25" t="n"/>
      <c r="Z451" s="25" t="n"/>
      <c r="AA451" s="23" t="n"/>
      <c r="AB451" s="25" t="n"/>
      <c r="AC451" s="23" t="n"/>
      <c r="AD451" s="25" t="n"/>
      <c r="AE451" s="23" t="n"/>
      <c r="AF451" s="25" t="n"/>
      <c r="AG451" s="25" t="n"/>
      <c r="AH451" s="23" t="n"/>
      <c r="AI451" s="23" t="n"/>
      <c r="AJ451" s="26">
        <f>IF(I451="","",I451&amp;"|"&amp;R451)</f>
        <v/>
      </c>
      <c r="AK451" s="26">
        <f>IF(I451="","",IF(ISNA(MATCH(O451,Kampanyalar!$A$2:$A$150,0)),"Hayır - Kampanyalar'da Yok","Evet"))</f>
        <v/>
      </c>
      <c r="AL451" s="27">
        <f>IF(I451="","",IFERROR(INDEX(Kampanyalar!$E$2:$E$150,MATCH(O451,Kampanyalar!$A$2:$A$150,0)),""))</f>
        <v/>
      </c>
      <c r="AM451" s="27">
        <f>IF(I451="","",IFERROR(INDEX(Kampanyalar!$F$2:$F$150,MATCH(O451,Kampanyalar!$A$2:$A$150,0)),""))</f>
        <v/>
      </c>
      <c r="AN451" s="27">
        <f>IF(I451="","",IFERROR(INDEX(Kampanyalar!$G$2:$G$150,MATCH(O451,Kampanyalar!$A$2:$A$150,0)),""))</f>
        <v/>
      </c>
      <c r="AO451" s="26">
        <f>IF(OR(I451="",AL451="",AM451=""),"",IF(AND(H451&gt;=AL451,H451&lt;=AM451),"Evet","HAYIR - Tarih Dışı"))</f>
        <v/>
      </c>
      <c r="AP451" s="28">
        <f>IF(I451="","",IFERROR(INDEX(Kampanyalar!$H$2:$H$150,MATCH(O451,Kampanyalar!$A$2:$A$150,0)),""))</f>
        <v/>
      </c>
      <c r="AQ451" s="28">
        <f>IF(I451="","",IF(ISNUMBER(AP451),AP451,AD451))</f>
        <v/>
      </c>
      <c r="AR451" s="26">
        <f>IF(I451="","",IF(Parametreler!$C$7="Evet","Kural A - Hemen Ödeme (Stok Mutabakatlı)","Kural B - Nakliye/Montaj Sonrası Ödeme"))</f>
        <v/>
      </c>
    </row>
    <row r="452">
      <c r="A452" s="23" t="n"/>
      <c r="B452" s="23" t="n"/>
      <c r="C452" s="23" t="n"/>
      <c r="D452" s="23" t="n"/>
      <c r="E452" s="23" t="n"/>
      <c r="F452" s="23" t="n"/>
      <c r="G452" s="23" t="n"/>
      <c r="H452" s="24" t="n"/>
      <c r="I452" s="23" t="n"/>
      <c r="J452" s="23" t="n"/>
      <c r="K452" s="23" t="n"/>
      <c r="L452" s="23" t="n"/>
      <c r="M452" s="23" t="n"/>
      <c r="N452" s="23" t="n"/>
      <c r="O452" s="23" t="n"/>
      <c r="P452" s="23" t="n"/>
      <c r="Q452" s="23" t="n"/>
      <c r="R452" s="23" t="n"/>
      <c r="S452" s="23" t="n"/>
      <c r="T452" s="23" t="n"/>
      <c r="U452" s="23" t="n"/>
      <c r="V452" s="23" t="n"/>
      <c r="W452" s="23" t="n"/>
      <c r="X452" s="23" t="n"/>
      <c r="Y452" s="25" t="n"/>
      <c r="Z452" s="25" t="n"/>
      <c r="AA452" s="23" t="n"/>
      <c r="AB452" s="25" t="n"/>
      <c r="AC452" s="23" t="n"/>
      <c r="AD452" s="25" t="n"/>
      <c r="AE452" s="23" t="n"/>
      <c r="AF452" s="25" t="n"/>
      <c r="AG452" s="25" t="n"/>
      <c r="AH452" s="23" t="n"/>
      <c r="AI452" s="23" t="n"/>
      <c r="AJ452" s="26">
        <f>IF(I452="","",I452&amp;"|"&amp;R452)</f>
        <v/>
      </c>
      <c r="AK452" s="26">
        <f>IF(I452="","",IF(ISNA(MATCH(O452,Kampanyalar!$A$2:$A$150,0)),"Hayır - Kampanyalar'da Yok","Evet"))</f>
        <v/>
      </c>
      <c r="AL452" s="27">
        <f>IF(I452="","",IFERROR(INDEX(Kampanyalar!$E$2:$E$150,MATCH(O452,Kampanyalar!$A$2:$A$150,0)),""))</f>
        <v/>
      </c>
      <c r="AM452" s="27">
        <f>IF(I452="","",IFERROR(INDEX(Kampanyalar!$F$2:$F$150,MATCH(O452,Kampanyalar!$A$2:$A$150,0)),""))</f>
        <v/>
      </c>
      <c r="AN452" s="27">
        <f>IF(I452="","",IFERROR(INDEX(Kampanyalar!$G$2:$G$150,MATCH(O452,Kampanyalar!$A$2:$A$150,0)),""))</f>
        <v/>
      </c>
      <c r="AO452" s="26">
        <f>IF(OR(I452="",AL452="",AM452=""),"",IF(AND(H452&gt;=AL452,H452&lt;=AM452),"Evet","HAYIR - Tarih Dışı"))</f>
        <v/>
      </c>
      <c r="AP452" s="28">
        <f>IF(I452="","",IFERROR(INDEX(Kampanyalar!$H$2:$H$150,MATCH(O452,Kampanyalar!$A$2:$A$150,0)),""))</f>
        <v/>
      </c>
      <c r="AQ452" s="28">
        <f>IF(I452="","",IF(ISNUMBER(AP452),AP452,AD452))</f>
        <v/>
      </c>
      <c r="AR452" s="26">
        <f>IF(I452="","",IF(Parametreler!$C$7="Evet","Kural A - Hemen Ödeme (Stok Mutabakatlı)","Kural B - Nakliye/Montaj Sonrası Ödeme"))</f>
        <v/>
      </c>
    </row>
    <row r="453">
      <c r="A453" s="23" t="n"/>
      <c r="B453" s="23" t="n"/>
      <c r="C453" s="23" t="n"/>
      <c r="D453" s="23" t="n"/>
      <c r="E453" s="23" t="n"/>
      <c r="F453" s="23" t="n"/>
      <c r="G453" s="23" t="n"/>
      <c r="H453" s="24" t="n"/>
      <c r="I453" s="23" t="n"/>
      <c r="J453" s="23" t="n"/>
      <c r="K453" s="23" t="n"/>
      <c r="L453" s="23" t="n"/>
      <c r="M453" s="23" t="n"/>
      <c r="N453" s="23" t="n"/>
      <c r="O453" s="23" t="n"/>
      <c r="P453" s="23" t="n"/>
      <c r="Q453" s="23" t="n"/>
      <c r="R453" s="23" t="n"/>
      <c r="S453" s="23" t="n"/>
      <c r="T453" s="23" t="n"/>
      <c r="U453" s="23" t="n"/>
      <c r="V453" s="23" t="n"/>
      <c r="W453" s="23" t="n"/>
      <c r="X453" s="23" t="n"/>
      <c r="Y453" s="25" t="n"/>
      <c r="Z453" s="25" t="n"/>
      <c r="AA453" s="23" t="n"/>
      <c r="AB453" s="25" t="n"/>
      <c r="AC453" s="23" t="n"/>
      <c r="AD453" s="25" t="n"/>
      <c r="AE453" s="23" t="n"/>
      <c r="AF453" s="25" t="n"/>
      <c r="AG453" s="25" t="n"/>
      <c r="AH453" s="23" t="n"/>
      <c r="AI453" s="23" t="n"/>
      <c r="AJ453" s="26">
        <f>IF(I453="","",I453&amp;"|"&amp;R453)</f>
        <v/>
      </c>
      <c r="AK453" s="26">
        <f>IF(I453="","",IF(ISNA(MATCH(O453,Kampanyalar!$A$2:$A$150,0)),"Hayır - Kampanyalar'da Yok","Evet"))</f>
        <v/>
      </c>
      <c r="AL453" s="27">
        <f>IF(I453="","",IFERROR(INDEX(Kampanyalar!$E$2:$E$150,MATCH(O453,Kampanyalar!$A$2:$A$150,0)),""))</f>
        <v/>
      </c>
      <c r="AM453" s="27">
        <f>IF(I453="","",IFERROR(INDEX(Kampanyalar!$F$2:$F$150,MATCH(O453,Kampanyalar!$A$2:$A$150,0)),""))</f>
        <v/>
      </c>
      <c r="AN453" s="27">
        <f>IF(I453="","",IFERROR(INDEX(Kampanyalar!$G$2:$G$150,MATCH(O453,Kampanyalar!$A$2:$A$150,0)),""))</f>
        <v/>
      </c>
      <c r="AO453" s="26">
        <f>IF(OR(I453="",AL453="",AM453=""),"",IF(AND(H453&gt;=AL453,H453&lt;=AM453),"Evet","HAYIR - Tarih Dışı"))</f>
        <v/>
      </c>
      <c r="AP453" s="28">
        <f>IF(I453="","",IFERROR(INDEX(Kampanyalar!$H$2:$H$150,MATCH(O453,Kampanyalar!$A$2:$A$150,0)),""))</f>
        <v/>
      </c>
      <c r="AQ453" s="28">
        <f>IF(I453="","",IF(ISNUMBER(AP453),AP453,AD453))</f>
        <v/>
      </c>
      <c r="AR453" s="26">
        <f>IF(I453="","",IF(Parametreler!$C$7="Evet","Kural A - Hemen Ödeme (Stok Mutabakatlı)","Kural B - Nakliye/Montaj Sonrası Ödeme"))</f>
        <v/>
      </c>
    </row>
    <row r="454">
      <c r="A454" s="23" t="n"/>
      <c r="B454" s="23" t="n"/>
      <c r="C454" s="23" t="n"/>
      <c r="D454" s="23" t="n"/>
      <c r="E454" s="23" t="n"/>
      <c r="F454" s="23" t="n"/>
      <c r="G454" s="23" t="n"/>
      <c r="H454" s="24" t="n"/>
      <c r="I454" s="23" t="n"/>
      <c r="J454" s="23" t="n"/>
      <c r="K454" s="23" t="n"/>
      <c r="L454" s="23" t="n"/>
      <c r="M454" s="23" t="n"/>
      <c r="N454" s="23" t="n"/>
      <c r="O454" s="23" t="n"/>
      <c r="P454" s="23" t="n"/>
      <c r="Q454" s="23" t="n"/>
      <c r="R454" s="23" t="n"/>
      <c r="S454" s="23" t="n"/>
      <c r="T454" s="23" t="n"/>
      <c r="U454" s="23" t="n"/>
      <c r="V454" s="23" t="n"/>
      <c r="W454" s="23" t="n"/>
      <c r="X454" s="23" t="n"/>
      <c r="Y454" s="25" t="n"/>
      <c r="Z454" s="25" t="n"/>
      <c r="AA454" s="23" t="n"/>
      <c r="AB454" s="25" t="n"/>
      <c r="AC454" s="23" t="n"/>
      <c r="AD454" s="25" t="n"/>
      <c r="AE454" s="23" t="n"/>
      <c r="AF454" s="25" t="n"/>
      <c r="AG454" s="25" t="n"/>
      <c r="AH454" s="23" t="n"/>
      <c r="AI454" s="23" t="n"/>
      <c r="AJ454" s="26">
        <f>IF(I454="","",I454&amp;"|"&amp;R454)</f>
        <v/>
      </c>
      <c r="AK454" s="26">
        <f>IF(I454="","",IF(ISNA(MATCH(O454,Kampanyalar!$A$2:$A$150,0)),"Hayır - Kampanyalar'da Yok","Evet"))</f>
        <v/>
      </c>
      <c r="AL454" s="27">
        <f>IF(I454="","",IFERROR(INDEX(Kampanyalar!$E$2:$E$150,MATCH(O454,Kampanyalar!$A$2:$A$150,0)),""))</f>
        <v/>
      </c>
      <c r="AM454" s="27">
        <f>IF(I454="","",IFERROR(INDEX(Kampanyalar!$F$2:$F$150,MATCH(O454,Kampanyalar!$A$2:$A$150,0)),""))</f>
        <v/>
      </c>
      <c r="AN454" s="27">
        <f>IF(I454="","",IFERROR(INDEX(Kampanyalar!$G$2:$G$150,MATCH(O454,Kampanyalar!$A$2:$A$150,0)),""))</f>
        <v/>
      </c>
      <c r="AO454" s="26">
        <f>IF(OR(I454="",AL454="",AM454=""),"",IF(AND(H454&gt;=AL454,H454&lt;=AM454),"Evet","HAYIR - Tarih Dışı"))</f>
        <v/>
      </c>
      <c r="AP454" s="28">
        <f>IF(I454="","",IFERROR(INDEX(Kampanyalar!$H$2:$H$150,MATCH(O454,Kampanyalar!$A$2:$A$150,0)),""))</f>
        <v/>
      </c>
      <c r="AQ454" s="28">
        <f>IF(I454="","",IF(ISNUMBER(AP454),AP454,AD454))</f>
        <v/>
      </c>
      <c r="AR454" s="26">
        <f>IF(I454="","",IF(Parametreler!$C$7="Evet","Kural A - Hemen Ödeme (Stok Mutabakatlı)","Kural B - Nakliye/Montaj Sonrası Ödeme"))</f>
        <v/>
      </c>
    </row>
    <row r="455">
      <c r="A455" s="23" t="n"/>
      <c r="B455" s="23" t="n"/>
      <c r="C455" s="23" t="n"/>
      <c r="D455" s="23" t="n"/>
      <c r="E455" s="23" t="n"/>
      <c r="F455" s="23" t="n"/>
      <c r="G455" s="23" t="n"/>
      <c r="H455" s="24" t="n"/>
      <c r="I455" s="23" t="n"/>
      <c r="J455" s="23" t="n"/>
      <c r="K455" s="23" t="n"/>
      <c r="L455" s="23" t="n"/>
      <c r="M455" s="23" t="n"/>
      <c r="N455" s="23" t="n"/>
      <c r="O455" s="23" t="n"/>
      <c r="P455" s="23" t="n"/>
      <c r="Q455" s="23" t="n"/>
      <c r="R455" s="23" t="n"/>
      <c r="S455" s="23" t="n"/>
      <c r="T455" s="23" t="n"/>
      <c r="U455" s="23" t="n"/>
      <c r="V455" s="23" t="n"/>
      <c r="W455" s="23" t="n"/>
      <c r="X455" s="23" t="n"/>
      <c r="Y455" s="25" t="n"/>
      <c r="Z455" s="25" t="n"/>
      <c r="AA455" s="23" t="n"/>
      <c r="AB455" s="25" t="n"/>
      <c r="AC455" s="23" t="n"/>
      <c r="AD455" s="25" t="n"/>
      <c r="AE455" s="23" t="n"/>
      <c r="AF455" s="25" t="n"/>
      <c r="AG455" s="25" t="n"/>
      <c r="AH455" s="23" t="n"/>
      <c r="AI455" s="23" t="n"/>
      <c r="AJ455" s="26">
        <f>IF(I455="","",I455&amp;"|"&amp;R455)</f>
        <v/>
      </c>
      <c r="AK455" s="26">
        <f>IF(I455="","",IF(ISNA(MATCH(O455,Kampanyalar!$A$2:$A$150,0)),"Hayır - Kampanyalar'da Yok","Evet"))</f>
        <v/>
      </c>
      <c r="AL455" s="27">
        <f>IF(I455="","",IFERROR(INDEX(Kampanyalar!$E$2:$E$150,MATCH(O455,Kampanyalar!$A$2:$A$150,0)),""))</f>
        <v/>
      </c>
      <c r="AM455" s="27">
        <f>IF(I455="","",IFERROR(INDEX(Kampanyalar!$F$2:$F$150,MATCH(O455,Kampanyalar!$A$2:$A$150,0)),""))</f>
        <v/>
      </c>
      <c r="AN455" s="27">
        <f>IF(I455="","",IFERROR(INDEX(Kampanyalar!$G$2:$G$150,MATCH(O455,Kampanyalar!$A$2:$A$150,0)),""))</f>
        <v/>
      </c>
      <c r="AO455" s="26">
        <f>IF(OR(I455="",AL455="",AM455=""),"",IF(AND(H455&gt;=AL455,H455&lt;=AM455),"Evet","HAYIR - Tarih Dışı"))</f>
        <v/>
      </c>
      <c r="AP455" s="28">
        <f>IF(I455="","",IFERROR(INDEX(Kampanyalar!$H$2:$H$150,MATCH(O455,Kampanyalar!$A$2:$A$150,0)),""))</f>
        <v/>
      </c>
      <c r="AQ455" s="28">
        <f>IF(I455="","",IF(ISNUMBER(AP455),AP455,AD455))</f>
        <v/>
      </c>
      <c r="AR455" s="26">
        <f>IF(I455="","",IF(Parametreler!$C$7="Evet","Kural A - Hemen Ödeme (Stok Mutabakatlı)","Kural B - Nakliye/Montaj Sonrası Ödeme"))</f>
        <v/>
      </c>
    </row>
    <row r="456">
      <c r="A456" s="23" t="n"/>
      <c r="B456" s="23" t="n"/>
      <c r="C456" s="23" t="n"/>
      <c r="D456" s="23" t="n"/>
      <c r="E456" s="23" t="n"/>
      <c r="F456" s="23" t="n"/>
      <c r="G456" s="23" t="n"/>
      <c r="H456" s="24" t="n"/>
      <c r="I456" s="23" t="n"/>
      <c r="J456" s="23" t="n"/>
      <c r="K456" s="23" t="n"/>
      <c r="L456" s="23" t="n"/>
      <c r="M456" s="23" t="n"/>
      <c r="N456" s="23" t="n"/>
      <c r="O456" s="23" t="n"/>
      <c r="P456" s="23" t="n"/>
      <c r="Q456" s="23" t="n"/>
      <c r="R456" s="23" t="n"/>
      <c r="S456" s="23" t="n"/>
      <c r="T456" s="23" t="n"/>
      <c r="U456" s="23" t="n"/>
      <c r="V456" s="23" t="n"/>
      <c r="W456" s="23" t="n"/>
      <c r="X456" s="23" t="n"/>
      <c r="Y456" s="25" t="n"/>
      <c r="Z456" s="25" t="n"/>
      <c r="AA456" s="23" t="n"/>
      <c r="AB456" s="25" t="n"/>
      <c r="AC456" s="23" t="n"/>
      <c r="AD456" s="25" t="n"/>
      <c r="AE456" s="23" t="n"/>
      <c r="AF456" s="25" t="n"/>
      <c r="AG456" s="25" t="n"/>
      <c r="AH456" s="23" t="n"/>
      <c r="AI456" s="23" t="n"/>
      <c r="AJ456" s="26">
        <f>IF(I456="","",I456&amp;"|"&amp;R456)</f>
        <v/>
      </c>
      <c r="AK456" s="26">
        <f>IF(I456="","",IF(ISNA(MATCH(O456,Kampanyalar!$A$2:$A$150,0)),"Hayır - Kampanyalar'da Yok","Evet"))</f>
        <v/>
      </c>
      <c r="AL456" s="27">
        <f>IF(I456="","",IFERROR(INDEX(Kampanyalar!$E$2:$E$150,MATCH(O456,Kampanyalar!$A$2:$A$150,0)),""))</f>
        <v/>
      </c>
      <c r="AM456" s="27">
        <f>IF(I456="","",IFERROR(INDEX(Kampanyalar!$F$2:$F$150,MATCH(O456,Kampanyalar!$A$2:$A$150,0)),""))</f>
        <v/>
      </c>
      <c r="AN456" s="27">
        <f>IF(I456="","",IFERROR(INDEX(Kampanyalar!$G$2:$G$150,MATCH(O456,Kampanyalar!$A$2:$A$150,0)),""))</f>
        <v/>
      </c>
      <c r="AO456" s="26">
        <f>IF(OR(I456="",AL456="",AM456=""),"",IF(AND(H456&gt;=AL456,H456&lt;=AM456),"Evet","HAYIR - Tarih Dışı"))</f>
        <v/>
      </c>
      <c r="AP456" s="28">
        <f>IF(I456="","",IFERROR(INDEX(Kampanyalar!$H$2:$H$150,MATCH(O456,Kampanyalar!$A$2:$A$150,0)),""))</f>
        <v/>
      </c>
      <c r="AQ456" s="28">
        <f>IF(I456="","",IF(ISNUMBER(AP456),AP456,AD456))</f>
        <v/>
      </c>
      <c r="AR456" s="26">
        <f>IF(I456="","",IF(Parametreler!$C$7="Evet","Kural A - Hemen Ödeme (Stok Mutabakatlı)","Kural B - Nakliye/Montaj Sonrası Ödeme"))</f>
        <v/>
      </c>
    </row>
    <row r="457">
      <c r="A457" s="23" t="n"/>
      <c r="B457" s="23" t="n"/>
      <c r="C457" s="23" t="n"/>
      <c r="D457" s="23" t="n"/>
      <c r="E457" s="23" t="n"/>
      <c r="F457" s="23" t="n"/>
      <c r="G457" s="23" t="n"/>
      <c r="H457" s="24" t="n"/>
      <c r="I457" s="23" t="n"/>
      <c r="J457" s="23" t="n"/>
      <c r="K457" s="23" t="n"/>
      <c r="L457" s="23" t="n"/>
      <c r="M457" s="23" t="n"/>
      <c r="N457" s="23" t="n"/>
      <c r="O457" s="23" t="n"/>
      <c r="P457" s="23" t="n"/>
      <c r="Q457" s="23" t="n"/>
      <c r="R457" s="23" t="n"/>
      <c r="S457" s="23" t="n"/>
      <c r="T457" s="23" t="n"/>
      <c r="U457" s="23" t="n"/>
      <c r="V457" s="23" t="n"/>
      <c r="W457" s="23" t="n"/>
      <c r="X457" s="23" t="n"/>
      <c r="Y457" s="25" t="n"/>
      <c r="Z457" s="25" t="n"/>
      <c r="AA457" s="23" t="n"/>
      <c r="AB457" s="25" t="n"/>
      <c r="AC457" s="23" t="n"/>
      <c r="AD457" s="25" t="n"/>
      <c r="AE457" s="23" t="n"/>
      <c r="AF457" s="25" t="n"/>
      <c r="AG457" s="25" t="n"/>
      <c r="AH457" s="23" t="n"/>
      <c r="AI457" s="23" t="n"/>
      <c r="AJ457" s="26">
        <f>IF(I457="","",I457&amp;"|"&amp;R457)</f>
        <v/>
      </c>
      <c r="AK457" s="26">
        <f>IF(I457="","",IF(ISNA(MATCH(O457,Kampanyalar!$A$2:$A$150,0)),"Hayır - Kampanyalar'da Yok","Evet"))</f>
        <v/>
      </c>
      <c r="AL457" s="27">
        <f>IF(I457="","",IFERROR(INDEX(Kampanyalar!$E$2:$E$150,MATCH(O457,Kampanyalar!$A$2:$A$150,0)),""))</f>
        <v/>
      </c>
      <c r="AM457" s="27">
        <f>IF(I457="","",IFERROR(INDEX(Kampanyalar!$F$2:$F$150,MATCH(O457,Kampanyalar!$A$2:$A$150,0)),""))</f>
        <v/>
      </c>
      <c r="AN457" s="27">
        <f>IF(I457="","",IFERROR(INDEX(Kampanyalar!$G$2:$G$150,MATCH(O457,Kampanyalar!$A$2:$A$150,0)),""))</f>
        <v/>
      </c>
      <c r="AO457" s="26">
        <f>IF(OR(I457="",AL457="",AM457=""),"",IF(AND(H457&gt;=AL457,H457&lt;=AM457),"Evet","HAYIR - Tarih Dışı"))</f>
        <v/>
      </c>
      <c r="AP457" s="28">
        <f>IF(I457="","",IFERROR(INDEX(Kampanyalar!$H$2:$H$150,MATCH(O457,Kampanyalar!$A$2:$A$150,0)),""))</f>
        <v/>
      </c>
      <c r="AQ457" s="28">
        <f>IF(I457="","",IF(ISNUMBER(AP457),AP457,AD457))</f>
        <v/>
      </c>
      <c r="AR457" s="26">
        <f>IF(I457="","",IF(Parametreler!$C$7="Evet","Kural A - Hemen Ödeme (Stok Mutabakatlı)","Kural B - Nakliye/Montaj Sonrası Ödeme"))</f>
        <v/>
      </c>
    </row>
    <row r="458">
      <c r="A458" s="23" t="n"/>
      <c r="B458" s="23" t="n"/>
      <c r="C458" s="23" t="n"/>
      <c r="D458" s="23" t="n"/>
      <c r="E458" s="23" t="n"/>
      <c r="F458" s="23" t="n"/>
      <c r="G458" s="23" t="n"/>
      <c r="H458" s="24" t="n"/>
      <c r="I458" s="23" t="n"/>
      <c r="J458" s="23" t="n"/>
      <c r="K458" s="23" t="n"/>
      <c r="L458" s="23" t="n"/>
      <c r="M458" s="23" t="n"/>
      <c r="N458" s="23" t="n"/>
      <c r="O458" s="23" t="n"/>
      <c r="P458" s="23" t="n"/>
      <c r="Q458" s="23" t="n"/>
      <c r="R458" s="23" t="n"/>
      <c r="S458" s="23" t="n"/>
      <c r="T458" s="23" t="n"/>
      <c r="U458" s="23" t="n"/>
      <c r="V458" s="23" t="n"/>
      <c r="W458" s="23" t="n"/>
      <c r="X458" s="23" t="n"/>
      <c r="Y458" s="25" t="n"/>
      <c r="Z458" s="25" t="n"/>
      <c r="AA458" s="23" t="n"/>
      <c r="AB458" s="25" t="n"/>
      <c r="AC458" s="23" t="n"/>
      <c r="AD458" s="25" t="n"/>
      <c r="AE458" s="23" t="n"/>
      <c r="AF458" s="25" t="n"/>
      <c r="AG458" s="25" t="n"/>
      <c r="AH458" s="23" t="n"/>
      <c r="AI458" s="23" t="n"/>
      <c r="AJ458" s="26">
        <f>IF(I458="","",I458&amp;"|"&amp;R458)</f>
        <v/>
      </c>
      <c r="AK458" s="26">
        <f>IF(I458="","",IF(ISNA(MATCH(O458,Kampanyalar!$A$2:$A$150,0)),"Hayır - Kampanyalar'da Yok","Evet"))</f>
        <v/>
      </c>
      <c r="AL458" s="27">
        <f>IF(I458="","",IFERROR(INDEX(Kampanyalar!$E$2:$E$150,MATCH(O458,Kampanyalar!$A$2:$A$150,0)),""))</f>
        <v/>
      </c>
      <c r="AM458" s="27">
        <f>IF(I458="","",IFERROR(INDEX(Kampanyalar!$F$2:$F$150,MATCH(O458,Kampanyalar!$A$2:$A$150,0)),""))</f>
        <v/>
      </c>
      <c r="AN458" s="27">
        <f>IF(I458="","",IFERROR(INDEX(Kampanyalar!$G$2:$G$150,MATCH(O458,Kampanyalar!$A$2:$A$150,0)),""))</f>
        <v/>
      </c>
      <c r="AO458" s="26">
        <f>IF(OR(I458="",AL458="",AM458=""),"",IF(AND(H458&gt;=AL458,H458&lt;=AM458),"Evet","HAYIR - Tarih Dışı"))</f>
        <v/>
      </c>
      <c r="AP458" s="28">
        <f>IF(I458="","",IFERROR(INDEX(Kampanyalar!$H$2:$H$150,MATCH(O458,Kampanyalar!$A$2:$A$150,0)),""))</f>
        <v/>
      </c>
      <c r="AQ458" s="28">
        <f>IF(I458="","",IF(ISNUMBER(AP458),AP458,AD458))</f>
        <v/>
      </c>
      <c r="AR458" s="26">
        <f>IF(I458="","",IF(Parametreler!$C$7="Evet","Kural A - Hemen Ödeme (Stok Mutabakatlı)","Kural B - Nakliye/Montaj Sonrası Ödeme"))</f>
        <v/>
      </c>
    </row>
    <row r="459">
      <c r="A459" s="23" t="n"/>
      <c r="B459" s="23" t="n"/>
      <c r="C459" s="23" t="n"/>
      <c r="D459" s="23" t="n"/>
      <c r="E459" s="23" t="n"/>
      <c r="F459" s="23" t="n"/>
      <c r="G459" s="23" t="n"/>
      <c r="H459" s="24" t="n"/>
      <c r="I459" s="23" t="n"/>
      <c r="J459" s="23" t="n"/>
      <c r="K459" s="23" t="n"/>
      <c r="L459" s="23" t="n"/>
      <c r="M459" s="23" t="n"/>
      <c r="N459" s="23" t="n"/>
      <c r="O459" s="23" t="n"/>
      <c r="P459" s="23" t="n"/>
      <c r="Q459" s="23" t="n"/>
      <c r="R459" s="23" t="n"/>
      <c r="S459" s="23" t="n"/>
      <c r="T459" s="23" t="n"/>
      <c r="U459" s="23" t="n"/>
      <c r="V459" s="23" t="n"/>
      <c r="W459" s="23" t="n"/>
      <c r="X459" s="23" t="n"/>
      <c r="Y459" s="25" t="n"/>
      <c r="Z459" s="25" t="n"/>
      <c r="AA459" s="23" t="n"/>
      <c r="AB459" s="25" t="n"/>
      <c r="AC459" s="23" t="n"/>
      <c r="AD459" s="25" t="n"/>
      <c r="AE459" s="23" t="n"/>
      <c r="AF459" s="25" t="n"/>
      <c r="AG459" s="25" t="n"/>
      <c r="AH459" s="23" t="n"/>
      <c r="AI459" s="23" t="n"/>
      <c r="AJ459" s="26">
        <f>IF(I459="","",I459&amp;"|"&amp;R459)</f>
        <v/>
      </c>
      <c r="AK459" s="26">
        <f>IF(I459="","",IF(ISNA(MATCH(O459,Kampanyalar!$A$2:$A$150,0)),"Hayır - Kampanyalar'da Yok","Evet"))</f>
        <v/>
      </c>
      <c r="AL459" s="27">
        <f>IF(I459="","",IFERROR(INDEX(Kampanyalar!$E$2:$E$150,MATCH(O459,Kampanyalar!$A$2:$A$150,0)),""))</f>
        <v/>
      </c>
      <c r="AM459" s="27">
        <f>IF(I459="","",IFERROR(INDEX(Kampanyalar!$F$2:$F$150,MATCH(O459,Kampanyalar!$A$2:$A$150,0)),""))</f>
        <v/>
      </c>
      <c r="AN459" s="27">
        <f>IF(I459="","",IFERROR(INDEX(Kampanyalar!$G$2:$G$150,MATCH(O459,Kampanyalar!$A$2:$A$150,0)),""))</f>
        <v/>
      </c>
      <c r="AO459" s="26">
        <f>IF(OR(I459="",AL459="",AM459=""),"",IF(AND(H459&gt;=AL459,H459&lt;=AM459),"Evet","HAYIR - Tarih Dışı"))</f>
        <v/>
      </c>
      <c r="AP459" s="28">
        <f>IF(I459="","",IFERROR(INDEX(Kampanyalar!$H$2:$H$150,MATCH(O459,Kampanyalar!$A$2:$A$150,0)),""))</f>
        <v/>
      </c>
      <c r="AQ459" s="28">
        <f>IF(I459="","",IF(ISNUMBER(AP459),AP459,AD459))</f>
        <v/>
      </c>
      <c r="AR459" s="26">
        <f>IF(I459="","",IF(Parametreler!$C$7="Evet","Kural A - Hemen Ödeme (Stok Mutabakatlı)","Kural B - Nakliye/Montaj Sonrası Ödeme"))</f>
        <v/>
      </c>
    </row>
    <row r="460">
      <c r="A460" s="23" t="n"/>
      <c r="B460" s="23" t="n"/>
      <c r="C460" s="23" t="n"/>
      <c r="D460" s="23" t="n"/>
      <c r="E460" s="23" t="n"/>
      <c r="F460" s="23" t="n"/>
      <c r="G460" s="23" t="n"/>
      <c r="H460" s="24" t="n"/>
      <c r="I460" s="23" t="n"/>
      <c r="J460" s="23" t="n"/>
      <c r="K460" s="23" t="n"/>
      <c r="L460" s="23" t="n"/>
      <c r="M460" s="23" t="n"/>
      <c r="N460" s="23" t="n"/>
      <c r="O460" s="23" t="n"/>
      <c r="P460" s="23" t="n"/>
      <c r="Q460" s="23" t="n"/>
      <c r="R460" s="23" t="n"/>
      <c r="S460" s="23" t="n"/>
      <c r="T460" s="23" t="n"/>
      <c r="U460" s="23" t="n"/>
      <c r="V460" s="23" t="n"/>
      <c r="W460" s="23" t="n"/>
      <c r="X460" s="23" t="n"/>
      <c r="Y460" s="25" t="n"/>
      <c r="Z460" s="25" t="n"/>
      <c r="AA460" s="23" t="n"/>
      <c r="AB460" s="25" t="n"/>
      <c r="AC460" s="23" t="n"/>
      <c r="AD460" s="25" t="n"/>
      <c r="AE460" s="23" t="n"/>
      <c r="AF460" s="25" t="n"/>
      <c r="AG460" s="25" t="n"/>
      <c r="AH460" s="23" t="n"/>
      <c r="AI460" s="23" t="n"/>
      <c r="AJ460" s="26">
        <f>IF(I460="","",I460&amp;"|"&amp;R460)</f>
        <v/>
      </c>
      <c r="AK460" s="26">
        <f>IF(I460="","",IF(ISNA(MATCH(O460,Kampanyalar!$A$2:$A$150,0)),"Hayır - Kampanyalar'da Yok","Evet"))</f>
        <v/>
      </c>
      <c r="AL460" s="27">
        <f>IF(I460="","",IFERROR(INDEX(Kampanyalar!$E$2:$E$150,MATCH(O460,Kampanyalar!$A$2:$A$150,0)),""))</f>
        <v/>
      </c>
      <c r="AM460" s="27">
        <f>IF(I460="","",IFERROR(INDEX(Kampanyalar!$F$2:$F$150,MATCH(O460,Kampanyalar!$A$2:$A$150,0)),""))</f>
        <v/>
      </c>
      <c r="AN460" s="27">
        <f>IF(I460="","",IFERROR(INDEX(Kampanyalar!$G$2:$G$150,MATCH(O460,Kampanyalar!$A$2:$A$150,0)),""))</f>
        <v/>
      </c>
      <c r="AO460" s="26">
        <f>IF(OR(I460="",AL460="",AM460=""),"",IF(AND(H460&gt;=AL460,H460&lt;=AM460),"Evet","HAYIR - Tarih Dışı"))</f>
        <v/>
      </c>
      <c r="AP460" s="28">
        <f>IF(I460="","",IFERROR(INDEX(Kampanyalar!$H$2:$H$150,MATCH(O460,Kampanyalar!$A$2:$A$150,0)),""))</f>
        <v/>
      </c>
      <c r="AQ460" s="28">
        <f>IF(I460="","",IF(ISNUMBER(AP460),AP460,AD460))</f>
        <v/>
      </c>
      <c r="AR460" s="26">
        <f>IF(I460="","",IF(Parametreler!$C$7="Evet","Kural A - Hemen Ödeme (Stok Mutabakatlı)","Kural B - Nakliye/Montaj Sonrası Ödeme"))</f>
        <v/>
      </c>
    </row>
    <row r="461">
      <c r="A461" s="23" t="n"/>
      <c r="B461" s="23" t="n"/>
      <c r="C461" s="23" t="n"/>
      <c r="D461" s="23" t="n"/>
      <c r="E461" s="23" t="n"/>
      <c r="F461" s="23" t="n"/>
      <c r="G461" s="23" t="n"/>
      <c r="H461" s="24" t="n"/>
      <c r="I461" s="23" t="n"/>
      <c r="J461" s="23" t="n"/>
      <c r="K461" s="23" t="n"/>
      <c r="L461" s="23" t="n"/>
      <c r="M461" s="23" t="n"/>
      <c r="N461" s="23" t="n"/>
      <c r="O461" s="23" t="n"/>
      <c r="P461" s="23" t="n"/>
      <c r="Q461" s="23" t="n"/>
      <c r="R461" s="23" t="n"/>
      <c r="S461" s="23" t="n"/>
      <c r="T461" s="23" t="n"/>
      <c r="U461" s="23" t="n"/>
      <c r="V461" s="23" t="n"/>
      <c r="W461" s="23" t="n"/>
      <c r="X461" s="23" t="n"/>
      <c r="Y461" s="25" t="n"/>
      <c r="Z461" s="25" t="n"/>
      <c r="AA461" s="23" t="n"/>
      <c r="AB461" s="25" t="n"/>
      <c r="AC461" s="23" t="n"/>
      <c r="AD461" s="25" t="n"/>
      <c r="AE461" s="23" t="n"/>
      <c r="AF461" s="25" t="n"/>
      <c r="AG461" s="25" t="n"/>
      <c r="AH461" s="23" t="n"/>
      <c r="AI461" s="23" t="n"/>
      <c r="AJ461" s="26">
        <f>IF(I461="","",I461&amp;"|"&amp;R461)</f>
        <v/>
      </c>
      <c r="AK461" s="26">
        <f>IF(I461="","",IF(ISNA(MATCH(O461,Kampanyalar!$A$2:$A$150,0)),"Hayır - Kampanyalar'da Yok","Evet"))</f>
        <v/>
      </c>
      <c r="AL461" s="27">
        <f>IF(I461="","",IFERROR(INDEX(Kampanyalar!$E$2:$E$150,MATCH(O461,Kampanyalar!$A$2:$A$150,0)),""))</f>
        <v/>
      </c>
      <c r="AM461" s="27">
        <f>IF(I461="","",IFERROR(INDEX(Kampanyalar!$F$2:$F$150,MATCH(O461,Kampanyalar!$A$2:$A$150,0)),""))</f>
        <v/>
      </c>
      <c r="AN461" s="27">
        <f>IF(I461="","",IFERROR(INDEX(Kampanyalar!$G$2:$G$150,MATCH(O461,Kampanyalar!$A$2:$A$150,0)),""))</f>
        <v/>
      </c>
      <c r="AO461" s="26">
        <f>IF(OR(I461="",AL461="",AM461=""),"",IF(AND(H461&gt;=AL461,H461&lt;=AM461),"Evet","HAYIR - Tarih Dışı"))</f>
        <v/>
      </c>
      <c r="AP461" s="28">
        <f>IF(I461="","",IFERROR(INDEX(Kampanyalar!$H$2:$H$150,MATCH(O461,Kampanyalar!$A$2:$A$150,0)),""))</f>
        <v/>
      </c>
      <c r="AQ461" s="28">
        <f>IF(I461="","",IF(ISNUMBER(AP461),AP461,AD461))</f>
        <v/>
      </c>
      <c r="AR461" s="26">
        <f>IF(I461="","",IF(Parametreler!$C$7="Evet","Kural A - Hemen Ödeme (Stok Mutabakatlı)","Kural B - Nakliye/Montaj Sonrası Ödeme"))</f>
        <v/>
      </c>
    </row>
    <row r="462">
      <c r="A462" s="23" t="n"/>
      <c r="B462" s="23" t="n"/>
      <c r="C462" s="23" t="n"/>
      <c r="D462" s="23" t="n"/>
      <c r="E462" s="23" t="n"/>
      <c r="F462" s="23" t="n"/>
      <c r="G462" s="23" t="n"/>
      <c r="H462" s="24" t="n"/>
      <c r="I462" s="23" t="n"/>
      <c r="J462" s="23" t="n"/>
      <c r="K462" s="23" t="n"/>
      <c r="L462" s="23" t="n"/>
      <c r="M462" s="23" t="n"/>
      <c r="N462" s="23" t="n"/>
      <c r="O462" s="23" t="n"/>
      <c r="P462" s="23" t="n"/>
      <c r="Q462" s="23" t="n"/>
      <c r="R462" s="23" t="n"/>
      <c r="S462" s="23" t="n"/>
      <c r="T462" s="23" t="n"/>
      <c r="U462" s="23" t="n"/>
      <c r="V462" s="23" t="n"/>
      <c r="W462" s="23" t="n"/>
      <c r="X462" s="23" t="n"/>
      <c r="Y462" s="25" t="n"/>
      <c r="Z462" s="25" t="n"/>
      <c r="AA462" s="23" t="n"/>
      <c r="AB462" s="25" t="n"/>
      <c r="AC462" s="23" t="n"/>
      <c r="AD462" s="25" t="n"/>
      <c r="AE462" s="23" t="n"/>
      <c r="AF462" s="25" t="n"/>
      <c r="AG462" s="25" t="n"/>
      <c r="AH462" s="23" t="n"/>
      <c r="AI462" s="23" t="n"/>
      <c r="AJ462" s="26">
        <f>IF(I462="","",I462&amp;"|"&amp;R462)</f>
        <v/>
      </c>
      <c r="AK462" s="26">
        <f>IF(I462="","",IF(ISNA(MATCH(O462,Kampanyalar!$A$2:$A$150,0)),"Hayır - Kampanyalar'da Yok","Evet"))</f>
        <v/>
      </c>
      <c r="AL462" s="27">
        <f>IF(I462="","",IFERROR(INDEX(Kampanyalar!$E$2:$E$150,MATCH(O462,Kampanyalar!$A$2:$A$150,0)),""))</f>
        <v/>
      </c>
      <c r="AM462" s="27">
        <f>IF(I462="","",IFERROR(INDEX(Kampanyalar!$F$2:$F$150,MATCH(O462,Kampanyalar!$A$2:$A$150,0)),""))</f>
        <v/>
      </c>
      <c r="AN462" s="27">
        <f>IF(I462="","",IFERROR(INDEX(Kampanyalar!$G$2:$G$150,MATCH(O462,Kampanyalar!$A$2:$A$150,0)),""))</f>
        <v/>
      </c>
      <c r="AO462" s="26">
        <f>IF(OR(I462="",AL462="",AM462=""),"",IF(AND(H462&gt;=AL462,H462&lt;=AM462),"Evet","HAYIR - Tarih Dışı"))</f>
        <v/>
      </c>
      <c r="AP462" s="28">
        <f>IF(I462="","",IFERROR(INDEX(Kampanyalar!$H$2:$H$150,MATCH(O462,Kampanyalar!$A$2:$A$150,0)),""))</f>
        <v/>
      </c>
      <c r="AQ462" s="28">
        <f>IF(I462="","",IF(ISNUMBER(AP462),AP462,AD462))</f>
        <v/>
      </c>
      <c r="AR462" s="26">
        <f>IF(I462="","",IF(Parametreler!$C$7="Evet","Kural A - Hemen Ödeme (Stok Mutabakatlı)","Kural B - Nakliye/Montaj Sonrası Ödeme"))</f>
        <v/>
      </c>
    </row>
    <row r="463">
      <c r="A463" s="23" t="n"/>
      <c r="B463" s="23" t="n"/>
      <c r="C463" s="23" t="n"/>
      <c r="D463" s="23" t="n"/>
      <c r="E463" s="23" t="n"/>
      <c r="F463" s="23" t="n"/>
      <c r="G463" s="23" t="n"/>
      <c r="H463" s="24" t="n"/>
      <c r="I463" s="23" t="n"/>
      <c r="J463" s="23" t="n"/>
      <c r="K463" s="23" t="n"/>
      <c r="L463" s="23" t="n"/>
      <c r="M463" s="23" t="n"/>
      <c r="N463" s="23" t="n"/>
      <c r="O463" s="23" t="n"/>
      <c r="P463" s="23" t="n"/>
      <c r="Q463" s="23" t="n"/>
      <c r="R463" s="23" t="n"/>
      <c r="S463" s="23" t="n"/>
      <c r="T463" s="23" t="n"/>
      <c r="U463" s="23" t="n"/>
      <c r="V463" s="23" t="n"/>
      <c r="W463" s="23" t="n"/>
      <c r="X463" s="23" t="n"/>
      <c r="Y463" s="25" t="n"/>
      <c r="Z463" s="25" t="n"/>
      <c r="AA463" s="23" t="n"/>
      <c r="AB463" s="25" t="n"/>
      <c r="AC463" s="23" t="n"/>
      <c r="AD463" s="25" t="n"/>
      <c r="AE463" s="23" t="n"/>
      <c r="AF463" s="25" t="n"/>
      <c r="AG463" s="25" t="n"/>
      <c r="AH463" s="23" t="n"/>
      <c r="AI463" s="23" t="n"/>
      <c r="AJ463" s="26">
        <f>IF(I463="","",I463&amp;"|"&amp;R463)</f>
        <v/>
      </c>
      <c r="AK463" s="26">
        <f>IF(I463="","",IF(ISNA(MATCH(O463,Kampanyalar!$A$2:$A$150,0)),"Hayır - Kampanyalar'da Yok","Evet"))</f>
        <v/>
      </c>
      <c r="AL463" s="27">
        <f>IF(I463="","",IFERROR(INDEX(Kampanyalar!$E$2:$E$150,MATCH(O463,Kampanyalar!$A$2:$A$150,0)),""))</f>
        <v/>
      </c>
      <c r="AM463" s="27">
        <f>IF(I463="","",IFERROR(INDEX(Kampanyalar!$F$2:$F$150,MATCH(O463,Kampanyalar!$A$2:$A$150,0)),""))</f>
        <v/>
      </c>
      <c r="AN463" s="27">
        <f>IF(I463="","",IFERROR(INDEX(Kampanyalar!$G$2:$G$150,MATCH(O463,Kampanyalar!$A$2:$A$150,0)),""))</f>
        <v/>
      </c>
      <c r="AO463" s="26">
        <f>IF(OR(I463="",AL463="",AM463=""),"",IF(AND(H463&gt;=AL463,H463&lt;=AM463),"Evet","HAYIR - Tarih Dışı"))</f>
        <v/>
      </c>
      <c r="AP463" s="28">
        <f>IF(I463="","",IFERROR(INDEX(Kampanyalar!$H$2:$H$150,MATCH(O463,Kampanyalar!$A$2:$A$150,0)),""))</f>
        <v/>
      </c>
      <c r="AQ463" s="28">
        <f>IF(I463="","",IF(ISNUMBER(AP463),AP463,AD463))</f>
        <v/>
      </c>
      <c r="AR463" s="26">
        <f>IF(I463="","",IF(Parametreler!$C$7="Evet","Kural A - Hemen Ödeme (Stok Mutabakatlı)","Kural B - Nakliye/Montaj Sonrası Ödeme"))</f>
        <v/>
      </c>
    </row>
    <row r="464">
      <c r="A464" s="23" t="n"/>
      <c r="B464" s="23" t="n"/>
      <c r="C464" s="23" t="n"/>
      <c r="D464" s="23" t="n"/>
      <c r="E464" s="23" t="n"/>
      <c r="F464" s="23" t="n"/>
      <c r="G464" s="23" t="n"/>
      <c r="H464" s="24" t="n"/>
      <c r="I464" s="23" t="n"/>
      <c r="J464" s="23" t="n"/>
      <c r="K464" s="23" t="n"/>
      <c r="L464" s="23" t="n"/>
      <c r="M464" s="23" t="n"/>
      <c r="N464" s="23" t="n"/>
      <c r="O464" s="23" t="n"/>
      <c r="P464" s="23" t="n"/>
      <c r="Q464" s="23" t="n"/>
      <c r="R464" s="23" t="n"/>
      <c r="S464" s="23" t="n"/>
      <c r="T464" s="23" t="n"/>
      <c r="U464" s="23" t="n"/>
      <c r="V464" s="23" t="n"/>
      <c r="W464" s="23" t="n"/>
      <c r="X464" s="23" t="n"/>
      <c r="Y464" s="25" t="n"/>
      <c r="Z464" s="25" t="n"/>
      <c r="AA464" s="23" t="n"/>
      <c r="AB464" s="25" t="n"/>
      <c r="AC464" s="23" t="n"/>
      <c r="AD464" s="25" t="n"/>
      <c r="AE464" s="23" t="n"/>
      <c r="AF464" s="25" t="n"/>
      <c r="AG464" s="25" t="n"/>
      <c r="AH464" s="23" t="n"/>
      <c r="AI464" s="23" t="n"/>
      <c r="AJ464" s="26">
        <f>IF(I464="","",I464&amp;"|"&amp;R464)</f>
        <v/>
      </c>
      <c r="AK464" s="26">
        <f>IF(I464="","",IF(ISNA(MATCH(O464,Kampanyalar!$A$2:$A$150,0)),"Hayır - Kampanyalar'da Yok","Evet"))</f>
        <v/>
      </c>
      <c r="AL464" s="27">
        <f>IF(I464="","",IFERROR(INDEX(Kampanyalar!$E$2:$E$150,MATCH(O464,Kampanyalar!$A$2:$A$150,0)),""))</f>
        <v/>
      </c>
      <c r="AM464" s="27">
        <f>IF(I464="","",IFERROR(INDEX(Kampanyalar!$F$2:$F$150,MATCH(O464,Kampanyalar!$A$2:$A$150,0)),""))</f>
        <v/>
      </c>
      <c r="AN464" s="27">
        <f>IF(I464="","",IFERROR(INDEX(Kampanyalar!$G$2:$G$150,MATCH(O464,Kampanyalar!$A$2:$A$150,0)),""))</f>
        <v/>
      </c>
      <c r="AO464" s="26">
        <f>IF(OR(I464="",AL464="",AM464=""),"",IF(AND(H464&gt;=AL464,H464&lt;=AM464),"Evet","HAYIR - Tarih Dışı"))</f>
        <v/>
      </c>
      <c r="AP464" s="28">
        <f>IF(I464="","",IFERROR(INDEX(Kampanyalar!$H$2:$H$150,MATCH(O464,Kampanyalar!$A$2:$A$150,0)),""))</f>
        <v/>
      </c>
      <c r="AQ464" s="28">
        <f>IF(I464="","",IF(ISNUMBER(AP464),AP464,AD464))</f>
        <v/>
      </c>
      <c r="AR464" s="26">
        <f>IF(I464="","",IF(Parametreler!$C$7="Evet","Kural A - Hemen Ödeme (Stok Mutabakatlı)","Kural B - Nakliye/Montaj Sonrası Ödeme"))</f>
        <v/>
      </c>
    </row>
    <row r="465">
      <c r="A465" s="23" t="n"/>
      <c r="B465" s="23" t="n"/>
      <c r="C465" s="23" t="n"/>
      <c r="D465" s="23" t="n"/>
      <c r="E465" s="23" t="n"/>
      <c r="F465" s="23" t="n"/>
      <c r="G465" s="23" t="n"/>
      <c r="H465" s="24" t="n"/>
      <c r="I465" s="23" t="n"/>
      <c r="J465" s="23" t="n"/>
      <c r="K465" s="23" t="n"/>
      <c r="L465" s="23" t="n"/>
      <c r="M465" s="23" t="n"/>
      <c r="N465" s="23" t="n"/>
      <c r="O465" s="23" t="n"/>
      <c r="P465" s="23" t="n"/>
      <c r="Q465" s="23" t="n"/>
      <c r="R465" s="23" t="n"/>
      <c r="S465" s="23" t="n"/>
      <c r="T465" s="23" t="n"/>
      <c r="U465" s="23" t="n"/>
      <c r="V465" s="23" t="n"/>
      <c r="W465" s="23" t="n"/>
      <c r="X465" s="23" t="n"/>
      <c r="Y465" s="25" t="n"/>
      <c r="Z465" s="25" t="n"/>
      <c r="AA465" s="23" t="n"/>
      <c r="AB465" s="25" t="n"/>
      <c r="AC465" s="23" t="n"/>
      <c r="AD465" s="25" t="n"/>
      <c r="AE465" s="23" t="n"/>
      <c r="AF465" s="25" t="n"/>
      <c r="AG465" s="25" t="n"/>
      <c r="AH465" s="23" t="n"/>
      <c r="AI465" s="23" t="n"/>
      <c r="AJ465" s="26">
        <f>IF(I465="","",I465&amp;"|"&amp;R465)</f>
        <v/>
      </c>
      <c r="AK465" s="26">
        <f>IF(I465="","",IF(ISNA(MATCH(O465,Kampanyalar!$A$2:$A$150,0)),"Hayır - Kampanyalar'da Yok","Evet"))</f>
        <v/>
      </c>
      <c r="AL465" s="27">
        <f>IF(I465="","",IFERROR(INDEX(Kampanyalar!$E$2:$E$150,MATCH(O465,Kampanyalar!$A$2:$A$150,0)),""))</f>
        <v/>
      </c>
      <c r="AM465" s="27">
        <f>IF(I465="","",IFERROR(INDEX(Kampanyalar!$F$2:$F$150,MATCH(O465,Kampanyalar!$A$2:$A$150,0)),""))</f>
        <v/>
      </c>
      <c r="AN465" s="27">
        <f>IF(I465="","",IFERROR(INDEX(Kampanyalar!$G$2:$G$150,MATCH(O465,Kampanyalar!$A$2:$A$150,0)),""))</f>
        <v/>
      </c>
      <c r="AO465" s="26">
        <f>IF(OR(I465="",AL465="",AM465=""),"",IF(AND(H465&gt;=AL465,H465&lt;=AM465),"Evet","HAYIR - Tarih Dışı"))</f>
        <v/>
      </c>
      <c r="AP465" s="28">
        <f>IF(I465="","",IFERROR(INDEX(Kampanyalar!$H$2:$H$150,MATCH(O465,Kampanyalar!$A$2:$A$150,0)),""))</f>
        <v/>
      </c>
      <c r="AQ465" s="28">
        <f>IF(I465="","",IF(ISNUMBER(AP465),AP465,AD465))</f>
        <v/>
      </c>
      <c r="AR465" s="26">
        <f>IF(I465="","",IF(Parametreler!$C$7="Evet","Kural A - Hemen Ödeme (Stok Mutabakatlı)","Kural B - Nakliye/Montaj Sonrası Ödeme"))</f>
        <v/>
      </c>
    </row>
    <row r="466">
      <c r="A466" s="23" t="n"/>
      <c r="B466" s="23" t="n"/>
      <c r="C466" s="23" t="n"/>
      <c r="D466" s="23" t="n"/>
      <c r="E466" s="23" t="n"/>
      <c r="F466" s="23" t="n"/>
      <c r="G466" s="23" t="n"/>
      <c r="H466" s="24" t="n"/>
      <c r="I466" s="23" t="n"/>
      <c r="J466" s="23" t="n"/>
      <c r="K466" s="23" t="n"/>
      <c r="L466" s="23" t="n"/>
      <c r="M466" s="23" t="n"/>
      <c r="N466" s="23" t="n"/>
      <c r="O466" s="23" t="n"/>
      <c r="P466" s="23" t="n"/>
      <c r="Q466" s="23" t="n"/>
      <c r="R466" s="23" t="n"/>
      <c r="S466" s="23" t="n"/>
      <c r="T466" s="23" t="n"/>
      <c r="U466" s="23" t="n"/>
      <c r="V466" s="23" t="n"/>
      <c r="W466" s="23" t="n"/>
      <c r="X466" s="23" t="n"/>
      <c r="Y466" s="25" t="n"/>
      <c r="Z466" s="25" t="n"/>
      <c r="AA466" s="23" t="n"/>
      <c r="AB466" s="25" t="n"/>
      <c r="AC466" s="23" t="n"/>
      <c r="AD466" s="25" t="n"/>
      <c r="AE466" s="23" t="n"/>
      <c r="AF466" s="25" t="n"/>
      <c r="AG466" s="25" t="n"/>
      <c r="AH466" s="23" t="n"/>
      <c r="AI466" s="23" t="n"/>
      <c r="AJ466" s="26">
        <f>IF(I466="","",I466&amp;"|"&amp;R466)</f>
        <v/>
      </c>
      <c r="AK466" s="26">
        <f>IF(I466="","",IF(ISNA(MATCH(O466,Kampanyalar!$A$2:$A$150,0)),"Hayır - Kampanyalar'da Yok","Evet"))</f>
        <v/>
      </c>
      <c r="AL466" s="27">
        <f>IF(I466="","",IFERROR(INDEX(Kampanyalar!$E$2:$E$150,MATCH(O466,Kampanyalar!$A$2:$A$150,0)),""))</f>
        <v/>
      </c>
      <c r="AM466" s="27">
        <f>IF(I466="","",IFERROR(INDEX(Kampanyalar!$F$2:$F$150,MATCH(O466,Kampanyalar!$A$2:$A$150,0)),""))</f>
        <v/>
      </c>
      <c r="AN466" s="27">
        <f>IF(I466="","",IFERROR(INDEX(Kampanyalar!$G$2:$G$150,MATCH(O466,Kampanyalar!$A$2:$A$150,0)),""))</f>
        <v/>
      </c>
      <c r="AO466" s="26">
        <f>IF(OR(I466="",AL466="",AM466=""),"",IF(AND(H466&gt;=AL466,H466&lt;=AM466),"Evet","HAYIR - Tarih Dışı"))</f>
        <v/>
      </c>
      <c r="AP466" s="28">
        <f>IF(I466="","",IFERROR(INDEX(Kampanyalar!$H$2:$H$150,MATCH(O466,Kampanyalar!$A$2:$A$150,0)),""))</f>
        <v/>
      </c>
      <c r="AQ466" s="28">
        <f>IF(I466="","",IF(ISNUMBER(AP466),AP466,AD466))</f>
        <v/>
      </c>
      <c r="AR466" s="26">
        <f>IF(I466="","",IF(Parametreler!$C$7="Evet","Kural A - Hemen Ödeme (Stok Mutabakatlı)","Kural B - Nakliye/Montaj Sonrası Ödeme"))</f>
        <v/>
      </c>
    </row>
    <row r="467">
      <c r="A467" s="23" t="n"/>
      <c r="B467" s="23" t="n"/>
      <c r="C467" s="23" t="n"/>
      <c r="D467" s="23" t="n"/>
      <c r="E467" s="23" t="n"/>
      <c r="F467" s="23" t="n"/>
      <c r="G467" s="23" t="n"/>
      <c r="H467" s="24" t="n"/>
      <c r="I467" s="23" t="n"/>
      <c r="J467" s="23" t="n"/>
      <c r="K467" s="23" t="n"/>
      <c r="L467" s="23" t="n"/>
      <c r="M467" s="23" t="n"/>
      <c r="N467" s="23" t="n"/>
      <c r="O467" s="23" t="n"/>
      <c r="P467" s="23" t="n"/>
      <c r="Q467" s="23" t="n"/>
      <c r="R467" s="23" t="n"/>
      <c r="S467" s="23" t="n"/>
      <c r="T467" s="23" t="n"/>
      <c r="U467" s="23" t="n"/>
      <c r="V467" s="23" t="n"/>
      <c r="W467" s="23" t="n"/>
      <c r="X467" s="23" t="n"/>
      <c r="Y467" s="25" t="n"/>
      <c r="Z467" s="25" t="n"/>
      <c r="AA467" s="23" t="n"/>
      <c r="AB467" s="25" t="n"/>
      <c r="AC467" s="23" t="n"/>
      <c r="AD467" s="25" t="n"/>
      <c r="AE467" s="23" t="n"/>
      <c r="AF467" s="25" t="n"/>
      <c r="AG467" s="25" t="n"/>
      <c r="AH467" s="23" t="n"/>
      <c r="AI467" s="23" t="n"/>
      <c r="AJ467" s="26">
        <f>IF(I467="","",I467&amp;"|"&amp;R467)</f>
        <v/>
      </c>
      <c r="AK467" s="26">
        <f>IF(I467="","",IF(ISNA(MATCH(O467,Kampanyalar!$A$2:$A$150,0)),"Hayır - Kampanyalar'da Yok","Evet"))</f>
        <v/>
      </c>
      <c r="AL467" s="27">
        <f>IF(I467="","",IFERROR(INDEX(Kampanyalar!$E$2:$E$150,MATCH(O467,Kampanyalar!$A$2:$A$150,0)),""))</f>
        <v/>
      </c>
      <c r="AM467" s="27">
        <f>IF(I467="","",IFERROR(INDEX(Kampanyalar!$F$2:$F$150,MATCH(O467,Kampanyalar!$A$2:$A$150,0)),""))</f>
        <v/>
      </c>
      <c r="AN467" s="27">
        <f>IF(I467="","",IFERROR(INDEX(Kampanyalar!$G$2:$G$150,MATCH(O467,Kampanyalar!$A$2:$A$150,0)),""))</f>
        <v/>
      </c>
      <c r="AO467" s="26">
        <f>IF(OR(I467="",AL467="",AM467=""),"",IF(AND(H467&gt;=AL467,H467&lt;=AM467),"Evet","HAYIR - Tarih Dışı"))</f>
        <v/>
      </c>
      <c r="AP467" s="28">
        <f>IF(I467="","",IFERROR(INDEX(Kampanyalar!$H$2:$H$150,MATCH(O467,Kampanyalar!$A$2:$A$150,0)),""))</f>
        <v/>
      </c>
      <c r="AQ467" s="28">
        <f>IF(I467="","",IF(ISNUMBER(AP467),AP467,AD467))</f>
        <v/>
      </c>
      <c r="AR467" s="26">
        <f>IF(I467="","",IF(Parametreler!$C$7="Evet","Kural A - Hemen Ödeme (Stok Mutabakatlı)","Kural B - Nakliye/Montaj Sonrası Ödeme"))</f>
        <v/>
      </c>
    </row>
    <row r="468">
      <c r="A468" s="23" t="n"/>
      <c r="B468" s="23" t="n"/>
      <c r="C468" s="23" t="n"/>
      <c r="D468" s="23" t="n"/>
      <c r="E468" s="23" t="n"/>
      <c r="F468" s="23" t="n"/>
      <c r="G468" s="23" t="n"/>
      <c r="H468" s="24" t="n"/>
      <c r="I468" s="23" t="n"/>
      <c r="J468" s="23" t="n"/>
      <c r="K468" s="23" t="n"/>
      <c r="L468" s="23" t="n"/>
      <c r="M468" s="23" t="n"/>
      <c r="N468" s="23" t="n"/>
      <c r="O468" s="23" t="n"/>
      <c r="P468" s="23" t="n"/>
      <c r="Q468" s="23" t="n"/>
      <c r="R468" s="23" t="n"/>
      <c r="S468" s="23" t="n"/>
      <c r="T468" s="23" t="n"/>
      <c r="U468" s="23" t="n"/>
      <c r="V468" s="23" t="n"/>
      <c r="W468" s="23" t="n"/>
      <c r="X468" s="23" t="n"/>
      <c r="Y468" s="25" t="n"/>
      <c r="Z468" s="25" t="n"/>
      <c r="AA468" s="23" t="n"/>
      <c r="AB468" s="25" t="n"/>
      <c r="AC468" s="23" t="n"/>
      <c r="AD468" s="25" t="n"/>
      <c r="AE468" s="23" t="n"/>
      <c r="AF468" s="25" t="n"/>
      <c r="AG468" s="25" t="n"/>
      <c r="AH468" s="23" t="n"/>
      <c r="AI468" s="23" t="n"/>
      <c r="AJ468" s="26">
        <f>IF(I468="","",I468&amp;"|"&amp;R468)</f>
        <v/>
      </c>
      <c r="AK468" s="26">
        <f>IF(I468="","",IF(ISNA(MATCH(O468,Kampanyalar!$A$2:$A$150,0)),"Hayır - Kampanyalar'da Yok","Evet"))</f>
        <v/>
      </c>
      <c r="AL468" s="27">
        <f>IF(I468="","",IFERROR(INDEX(Kampanyalar!$E$2:$E$150,MATCH(O468,Kampanyalar!$A$2:$A$150,0)),""))</f>
        <v/>
      </c>
      <c r="AM468" s="27">
        <f>IF(I468="","",IFERROR(INDEX(Kampanyalar!$F$2:$F$150,MATCH(O468,Kampanyalar!$A$2:$A$150,0)),""))</f>
        <v/>
      </c>
      <c r="AN468" s="27">
        <f>IF(I468="","",IFERROR(INDEX(Kampanyalar!$G$2:$G$150,MATCH(O468,Kampanyalar!$A$2:$A$150,0)),""))</f>
        <v/>
      </c>
      <c r="AO468" s="26">
        <f>IF(OR(I468="",AL468="",AM468=""),"",IF(AND(H468&gt;=AL468,H468&lt;=AM468),"Evet","HAYIR - Tarih Dışı"))</f>
        <v/>
      </c>
      <c r="AP468" s="28">
        <f>IF(I468="","",IFERROR(INDEX(Kampanyalar!$H$2:$H$150,MATCH(O468,Kampanyalar!$A$2:$A$150,0)),""))</f>
        <v/>
      </c>
      <c r="AQ468" s="28">
        <f>IF(I468="","",IF(ISNUMBER(AP468),AP468,AD468))</f>
        <v/>
      </c>
      <c r="AR468" s="26">
        <f>IF(I468="","",IF(Parametreler!$C$7="Evet","Kural A - Hemen Ödeme (Stok Mutabakatlı)","Kural B - Nakliye/Montaj Sonrası Ödeme"))</f>
        <v/>
      </c>
    </row>
    <row r="469">
      <c r="A469" s="23" t="n"/>
      <c r="B469" s="23" t="n"/>
      <c r="C469" s="23" t="n"/>
      <c r="D469" s="23" t="n"/>
      <c r="E469" s="23" t="n"/>
      <c r="F469" s="23" t="n"/>
      <c r="G469" s="23" t="n"/>
      <c r="H469" s="24" t="n"/>
      <c r="I469" s="23" t="n"/>
      <c r="J469" s="23" t="n"/>
      <c r="K469" s="23" t="n"/>
      <c r="L469" s="23" t="n"/>
      <c r="M469" s="23" t="n"/>
      <c r="N469" s="23" t="n"/>
      <c r="O469" s="23" t="n"/>
      <c r="P469" s="23" t="n"/>
      <c r="Q469" s="23" t="n"/>
      <c r="R469" s="23" t="n"/>
      <c r="S469" s="23" t="n"/>
      <c r="T469" s="23" t="n"/>
      <c r="U469" s="23" t="n"/>
      <c r="V469" s="23" t="n"/>
      <c r="W469" s="23" t="n"/>
      <c r="X469" s="23" t="n"/>
      <c r="Y469" s="25" t="n"/>
      <c r="Z469" s="25" t="n"/>
      <c r="AA469" s="23" t="n"/>
      <c r="AB469" s="25" t="n"/>
      <c r="AC469" s="23" t="n"/>
      <c r="AD469" s="25" t="n"/>
      <c r="AE469" s="23" t="n"/>
      <c r="AF469" s="25" t="n"/>
      <c r="AG469" s="25" t="n"/>
      <c r="AH469" s="23" t="n"/>
      <c r="AI469" s="23" t="n"/>
      <c r="AJ469" s="26">
        <f>IF(I469="","",I469&amp;"|"&amp;R469)</f>
        <v/>
      </c>
      <c r="AK469" s="26">
        <f>IF(I469="","",IF(ISNA(MATCH(O469,Kampanyalar!$A$2:$A$150,0)),"Hayır - Kampanyalar'da Yok","Evet"))</f>
        <v/>
      </c>
      <c r="AL469" s="27">
        <f>IF(I469="","",IFERROR(INDEX(Kampanyalar!$E$2:$E$150,MATCH(O469,Kampanyalar!$A$2:$A$150,0)),""))</f>
        <v/>
      </c>
      <c r="AM469" s="27">
        <f>IF(I469="","",IFERROR(INDEX(Kampanyalar!$F$2:$F$150,MATCH(O469,Kampanyalar!$A$2:$A$150,0)),""))</f>
        <v/>
      </c>
      <c r="AN469" s="27">
        <f>IF(I469="","",IFERROR(INDEX(Kampanyalar!$G$2:$G$150,MATCH(O469,Kampanyalar!$A$2:$A$150,0)),""))</f>
        <v/>
      </c>
      <c r="AO469" s="26">
        <f>IF(OR(I469="",AL469="",AM469=""),"",IF(AND(H469&gt;=AL469,H469&lt;=AM469),"Evet","HAYIR - Tarih Dışı"))</f>
        <v/>
      </c>
      <c r="AP469" s="28">
        <f>IF(I469="","",IFERROR(INDEX(Kampanyalar!$H$2:$H$150,MATCH(O469,Kampanyalar!$A$2:$A$150,0)),""))</f>
        <v/>
      </c>
      <c r="AQ469" s="28">
        <f>IF(I469="","",IF(ISNUMBER(AP469),AP469,AD469))</f>
        <v/>
      </c>
      <c r="AR469" s="26">
        <f>IF(I469="","",IF(Parametreler!$C$7="Evet","Kural A - Hemen Ödeme (Stok Mutabakatlı)","Kural B - Nakliye/Montaj Sonrası Ödeme"))</f>
        <v/>
      </c>
    </row>
    <row r="470">
      <c r="A470" s="23" t="n"/>
      <c r="B470" s="23" t="n"/>
      <c r="C470" s="23" t="n"/>
      <c r="D470" s="23" t="n"/>
      <c r="E470" s="23" t="n"/>
      <c r="F470" s="23" t="n"/>
      <c r="G470" s="23" t="n"/>
      <c r="H470" s="24" t="n"/>
      <c r="I470" s="23" t="n"/>
      <c r="J470" s="23" t="n"/>
      <c r="K470" s="23" t="n"/>
      <c r="L470" s="23" t="n"/>
      <c r="M470" s="23" t="n"/>
      <c r="N470" s="23" t="n"/>
      <c r="O470" s="23" t="n"/>
      <c r="P470" s="23" t="n"/>
      <c r="Q470" s="23" t="n"/>
      <c r="R470" s="23" t="n"/>
      <c r="S470" s="23" t="n"/>
      <c r="T470" s="23" t="n"/>
      <c r="U470" s="23" t="n"/>
      <c r="V470" s="23" t="n"/>
      <c r="W470" s="23" t="n"/>
      <c r="X470" s="23" t="n"/>
      <c r="Y470" s="25" t="n"/>
      <c r="Z470" s="25" t="n"/>
      <c r="AA470" s="23" t="n"/>
      <c r="AB470" s="25" t="n"/>
      <c r="AC470" s="23" t="n"/>
      <c r="AD470" s="25" t="n"/>
      <c r="AE470" s="23" t="n"/>
      <c r="AF470" s="25" t="n"/>
      <c r="AG470" s="25" t="n"/>
      <c r="AH470" s="23" t="n"/>
      <c r="AI470" s="23" t="n"/>
      <c r="AJ470" s="26">
        <f>IF(I470="","",I470&amp;"|"&amp;R470)</f>
        <v/>
      </c>
      <c r="AK470" s="26">
        <f>IF(I470="","",IF(ISNA(MATCH(O470,Kampanyalar!$A$2:$A$150,0)),"Hayır - Kampanyalar'da Yok","Evet"))</f>
        <v/>
      </c>
      <c r="AL470" s="27">
        <f>IF(I470="","",IFERROR(INDEX(Kampanyalar!$E$2:$E$150,MATCH(O470,Kampanyalar!$A$2:$A$150,0)),""))</f>
        <v/>
      </c>
      <c r="AM470" s="27">
        <f>IF(I470="","",IFERROR(INDEX(Kampanyalar!$F$2:$F$150,MATCH(O470,Kampanyalar!$A$2:$A$150,0)),""))</f>
        <v/>
      </c>
      <c r="AN470" s="27">
        <f>IF(I470="","",IFERROR(INDEX(Kampanyalar!$G$2:$G$150,MATCH(O470,Kampanyalar!$A$2:$A$150,0)),""))</f>
        <v/>
      </c>
      <c r="AO470" s="26">
        <f>IF(OR(I470="",AL470="",AM470=""),"",IF(AND(H470&gt;=AL470,H470&lt;=AM470),"Evet","HAYIR - Tarih Dışı"))</f>
        <v/>
      </c>
      <c r="AP470" s="28">
        <f>IF(I470="","",IFERROR(INDEX(Kampanyalar!$H$2:$H$150,MATCH(O470,Kampanyalar!$A$2:$A$150,0)),""))</f>
        <v/>
      </c>
      <c r="AQ470" s="28">
        <f>IF(I470="","",IF(ISNUMBER(AP470),AP470,AD470))</f>
        <v/>
      </c>
      <c r="AR470" s="26">
        <f>IF(I470="","",IF(Parametreler!$C$7="Evet","Kural A - Hemen Ödeme (Stok Mutabakatlı)","Kural B - Nakliye/Montaj Sonrası Ödeme"))</f>
        <v/>
      </c>
    </row>
    <row r="471">
      <c r="A471" s="23" t="n"/>
      <c r="B471" s="23" t="n"/>
      <c r="C471" s="23" t="n"/>
      <c r="D471" s="23" t="n"/>
      <c r="E471" s="23" t="n"/>
      <c r="F471" s="23" t="n"/>
      <c r="G471" s="23" t="n"/>
      <c r="H471" s="24" t="n"/>
      <c r="I471" s="23" t="n"/>
      <c r="J471" s="23" t="n"/>
      <c r="K471" s="23" t="n"/>
      <c r="L471" s="23" t="n"/>
      <c r="M471" s="23" t="n"/>
      <c r="N471" s="23" t="n"/>
      <c r="O471" s="23" t="n"/>
      <c r="P471" s="23" t="n"/>
      <c r="Q471" s="23" t="n"/>
      <c r="R471" s="23" t="n"/>
      <c r="S471" s="23" t="n"/>
      <c r="T471" s="23" t="n"/>
      <c r="U471" s="23" t="n"/>
      <c r="V471" s="23" t="n"/>
      <c r="W471" s="23" t="n"/>
      <c r="X471" s="23" t="n"/>
      <c r="Y471" s="25" t="n"/>
      <c r="Z471" s="25" t="n"/>
      <c r="AA471" s="23" t="n"/>
      <c r="AB471" s="25" t="n"/>
      <c r="AC471" s="23" t="n"/>
      <c r="AD471" s="25" t="n"/>
      <c r="AE471" s="23" t="n"/>
      <c r="AF471" s="25" t="n"/>
      <c r="AG471" s="25" t="n"/>
      <c r="AH471" s="23" t="n"/>
      <c r="AI471" s="23" t="n"/>
      <c r="AJ471" s="26">
        <f>IF(I471="","",I471&amp;"|"&amp;R471)</f>
        <v/>
      </c>
      <c r="AK471" s="26">
        <f>IF(I471="","",IF(ISNA(MATCH(O471,Kampanyalar!$A$2:$A$150,0)),"Hayır - Kampanyalar'da Yok","Evet"))</f>
        <v/>
      </c>
      <c r="AL471" s="27">
        <f>IF(I471="","",IFERROR(INDEX(Kampanyalar!$E$2:$E$150,MATCH(O471,Kampanyalar!$A$2:$A$150,0)),""))</f>
        <v/>
      </c>
      <c r="AM471" s="27">
        <f>IF(I471="","",IFERROR(INDEX(Kampanyalar!$F$2:$F$150,MATCH(O471,Kampanyalar!$A$2:$A$150,0)),""))</f>
        <v/>
      </c>
      <c r="AN471" s="27">
        <f>IF(I471="","",IFERROR(INDEX(Kampanyalar!$G$2:$G$150,MATCH(O471,Kampanyalar!$A$2:$A$150,0)),""))</f>
        <v/>
      </c>
      <c r="AO471" s="26">
        <f>IF(OR(I471="",AL471="",AM471=""),"",IF(AND(H471&gt;=AL471,H471&lt;=AM471),"Evet","HAYIR - Tarih Dışı"))</f>
        <v/>
      </c>
      <c r="AP471" s="28">
        <f>IF(I471="","",IFERROR(INDEX(Kampanyalar!$H$2:$H$150,MATCH(O471,Kampanyalar!$A$2:$A$150,0)),""))</f>
        <v/>
      </c>
      <c r="AQ471" s="28">
        <f>IF(I471="","",IF(ISNUMBER(AP471),AP471,AD471))</f>
        <v/>
      </c>
      <c r="AR471" s="26">
        <f>IF(I471="","",IF(Parametreler!$C$7="Evet","Kural A - Hemen Ödeme (Stok Mutabakatlı)","Kural B - Nakliye/Montaj Sonrası Ödeme"))</f>
        <v/>
      </c>
    </row>
    <row r="472">
      <c r="A472" s="23" t="n"/>
      <c r="B472" s="23" t="n"/>
      <c r="C472" s="23" t="n"/>
      <c r="D472" s="23" t="n"/>
      <c r="E472" s="23" t="n"/>
      <c r="F472" s="23" t="n"/>
      <c r="G472" s="23" t="n"/>
      <c r="H472" s="24" t="n"/>
      <c r="I472" s="23" t="n"/>
      <c r="J472" s="23" t="n"/>
      <c r="K472" s="23" t="n"/>
      <c r="L472" s="23" t="n"/>
      <c r="M472" s="23" t="n"/>
      <c r="N472" s="23" t="n"/>
      <c r="O472" s="23" t="n"/>
      <c r="P472" s="23" t="n"/>
      <c r="Q472" s="23" t="n"/>
      <c r="R472" s="23" t="n"/>
      <c r="S472" s="23" t="n"/>
      <c r="T472" s="23" t="n"/>
      <c r="U472" s="23" t="n"/>
      <c r="V472" s="23" t="n"/>
      <c r="W472" s="23" t="n"/>
      <c r="X472" s="23" t="n"/>
      <c r="Y472" s="25" t="n"/>
      <c r="Z472" s="25" t="n"/>
      <c r="AA472" s="23" t="n"/>
      <c r="AB472" s="25" t="n"/>
      <c r="AC472" s="23" t="n"/>
      <c r="AD472" s="25" t="n"/>
      <c r="AE472" s="23" t="n"/>
      <c r="AF472" s="25" t="n"/>
      <c r="AG472" s="25" t="n"/>
      <c r="AH472" s="23" t="n"/>
      <c r="AI472" s="23" t="n"/>
      <c r="AJ472" s="26">
        <f>IF(I472="","",I472&amp;"|"&amp;R472)</f>
        <v/>
      </c>
      <c r="AK472" s="26">
        <f>IF(I472="","",IF(ISNA(MATCH(O472,Kampanyalar!$A$2:$A$150,0)),"Hayır - Kampanyalar'da Yok","Evet"))</f>
        <v/>
      </c>
      <c r="AL472" s="27">
        <f>IF(I472="","",IFERROR(INDEX(Kampanyalar!$E$2:$E$150,MATCH(O472,Kampanyalar!$A$2:$A$150,0)),""))</f>
        <v/>
      </c>
      <c r="AM472" s="27">
        <f>IF(I472="","",IFERROR(INDEX(Kampanyalar!$F$2:$F$150,MATCH(O472,Kampanyalar!$A$2:$A$150,0)),""))</f>
        <v/>
      </c>
      <c r="AN472" s="27">
        <f>IF(I472="","",IFERROR(INDEX(Kampanyalar!$G$2:$G$150,MATCH(O472,Kampanyalar!$A$2:$A$150,0)),""))</f>
        <v/>
      </c>
      <c r="AO472" s="26">
        <f>IF(OR(I472="",AL472="",AM472=""),"",IF(AND(H472&gt;=AL472,H472&lt;=AM472),"Evet","HAYIR - Tarih Dışı"))</f>
        <v/>
      </c>
      <c r="AP472" s="28">
        <f>IF(I472="","",IFERROR(INDEX(Kampanyalar!$H$2:$H$150,MATCH(O472,Kampanyalar!$A$2:$A$150,0)),""))</f>
        <v/>
      </c>
      <c r="AQ472" s="28">
        <f>IF(I472="","",IF(ISNUMBER(AP472),AP472,AD472))</f>
        <v/>
      </c>
      <c r="AR472" s="26">
        <f>IF(I472="","",IF(Parametreler!$C$7="Evet","Kural A - Hemen Ödeme (Stok Mutabakatlı)","Kural B - Nakliye/Montaj Sonrası Ödeme"))</f>
        <v/>
      </c>
    </row>
    <row r="473">
      <c r="A473" s="23" t="n"/>
      <c r="B473" s="23" t="n"/>
      <c r="C473" s="23" t="n"/>
      <c r="D473" s="23" t="n"/>
      <c r="E473" s="23" t="n"/>
      <c r="F473" s="23" t="n"/>
      <c r="G473" s="23" t="n"/>
      <c r="H473" s="24" t="n"/>
      <c r="I473" s="23" t="n"/>
      <c r="J473" s="23" t="n"/>
      <c r="K473" s="23" t="n"/>
      <c r="L473" s="23" t="n"/>
      <c r="M473" s="23" t="n"/>
      <c r="N473" s="23" t="n"/>
      <c r="O473" s="23" t="n"/>
      <c r="P473" s="23" t="n"/>
      <c r="Q473" s="23" t="n"/>
      <c r="R473" s="23" t="n"/>
      <c r="S473" s="23" t="n"/>
      <c r="T473" s="23" t="n"/>
      <c r="U473" s="23" t="n"/>
      <c r="V473" s="23" t="n"/>
      <c r="W473" s="23" t="n"/>
      <c r="X473" s="23" t="n"/>
      <c r="Y473" s="25" t="n"/>
      <c r="Z473" s="25" t="n"/>
      <c r="AA473" s="23" t="n"/>
      <c r="AB473" s="25" t="n"/>
      <c r="AC473" s="23" t="n"/>
      <c r="AD473" s="25" t="n"/>
      <c r="AE473" s="23" t="n"/>
      <c r="AF473" s="25" t="n"/>
      <c r="AG473" s="25" t="n"/>
      <c r="AH473" s="23" t="n"/>
      <c r="AI473" s="23" t="n"/>
      <c r="AJ473" s="26">
        <f>IF(I473="","",I473&amp;"|"&amp;R473)</f>
        <v/>
      </c>
      <c r="AK473" s="26">
        <f>IF(I473="","",IF(ISNA(MATCH(O473,Kampanyalar!$A$2:$A$150,0)),"Hayır - Kampanyalar'da Yok","Evet"))</f>
        <v/>
      </c>
      <c r="AL473" s="27">
        <f>IF(I473="","",IFERROR(INDEX(Kampanyalar!$E$2:$E$150,MATCH(O473,Kampanyalar!$A$2:$A$150,0)),""))</f>
        <v/>
      </c>
      <c r="AM473" s="27">
        <f>IF(I473="","",IFERROR(INDEX(Kampanyalar!$F$2:$F$150,MATCH(O473,Kampanyalar!$A$2:$A$150,0)),""))</f>
        <v/>
      </c>
      <c r="AN473" s="27">
        <f>IF(I473="","",IFERROR(INDEX(Kampanyalar!$G$2:$G$150,MATCH(O473,Kampanyalar!$A$2:$A$150,0)),""))</f>
        <v/>
      </c>
      <c r="AO473" s="26">
        <f>IF(OR(I473="",AL473="",AM473=""),"",IF(AND(H473&gt;=AL473,H473&lt;=AM473),"Evet","HAYIR - Tarih Dışı"))</f>
        <v/>
      </c>
      <c r="AP473" s="28">
        <f>IF(I473="","",IFERROR(INDEX(Kampanyalar!$H$2:$H$150,MATCH(O473,Kampanyalar!$A$2:$A$150,0)),""))</f>
        <v/>
      </c>
      <c r="AQ473" s="28">
        <f>IF(I473="","",IF(ISNUMBER(AP473),AP473,AD473))</f>
        <v/>
      </c>
      <c r="AR473" s="26">
        <f>IF(I473="","",IF(Parametreler!$C$7="Evet","Kural A - Hemen Ödeme (Stok Mutabakatlı)","Kural B - Nakliye/Montaj Sonrası Ödeme"))</f>
        <v/>
      </c>
    </row>
    <row r="474">
      <c r="A474" s="23" t="n"/>
      <c r="B474" s="23" t="n"/>
      <c r="C474" s="23" t="n"/>
      <c r="D474" s="23" t="n"/>
      <c r="E474" s="23" t="n"/>
      <c r="F474" s="23" t="n"/>
      <c r="G474" s="23" t="n"/>
      <c r="H474" s="24" t="n"/>
      <c r="I474" s="23" t="n"/>
      <c r="J474" s="23" t="n"/>
      <c r="K474" s="23" t="n"/>
      <c r="L474" s="23" t="n"/>
      <c r="M474" s="23" t="n"/>
      <c r="N474" s="23" t="n"/>
      <c r="O474" s="23" t="n"/>
      <c r="P474" s="23" t="n"/>
      <c r="Q474" s="23" t="n"/>
      <c r="R474" s="23" t="n"/>
      <c r="S474" s="23" t="n"/>
      <c r="T474" s="23" t="n"/>
      <c r="U474" s="23" t="n"/>
      <c r="V474" s="23" t="n"/>
      <c r="W474" s="23" t="n"/>
      <c r="X474" s="23" t="n"/>
      <c r="Y474" s="25" t="n"/>
      <c r="Z474" s="25" t="n"/>
      <c r="AA474" s="23" t="n"/>
      <c r="AB474" s="25" t="n"/>
      <c r="AC474" s="23" t="n"/>
      <c r="AD474" s="25" t="n"/>
      <c r="AE474" s="23" t="n"/>
      <c r="AF474" s="25" t="n"/>
      <c r="AG474" s="25" t="n"/>
      <c r="AH474" s="23" t="n"/>
      <c r="AI474" s="23" t="n"/>
      <c r="AJ474" s="26">
        <f>IF(I474="","",I474&amp;"|"&amp;R474)</f>
        <v/>
      </c>
      <c r="AK474" s="26">
        <f>IF(I474="","",IF(ISNA(MATCH(O474,Kampanyalar!$A$2:$A$150,0)),"Hayır - Kampanyalar'da Yok","Evet"))</f>
        <v/>
      </c>
      <c r="AL474" s="27">
        <f>IF(I474="","",IFERROR(INDEX(Kampanyalar!$E$2:$E$150,MATCH(O474,Kampanyalar!$A$2:$A$150,0)),""))</f>
        <v/>
      </c>
      <c r="AM474" s="27">
        <f>IF(I474="","",IFERROR(INDEX(Kampanyalar!$F$2:$F$150,MATCH(O474,Kampanyalar!$A$2:$A$150,0)),""))</f>
        <v/>
      </c>
      <c r="AN474" s="27">
        <f>IF(I474="","",IFERROR(INDEX(Kampanyalar!$G$2:$G$150,MATCH(O474,Kampanyalar!$A$2:$A$150,0)),""))</f>
        <v/>
      </c>
      <c r="AO474" s="26">
        <f>IF(OR(I474="",AL474="",AM474=""),"",IF(AND(H474&gt;=AL474,H474&lt;=AM474),"Evet","HAYIR - Tarih Dışı"))</f>
        <v/>
      </c>
      <c r="AP474" s="28">
        <f>IF(I474="","",IFERROR(INDEX(Kampanyalar!$H$2:$H$150,MATCH(O474,Kampanyalar!$A$2:$A$150,0)),""))</f>
        <v/>
      </c>
      <c r="AQ474" s="28">
        <f>IF(I474="","",IF(ISNUMBER(AP474),AP474,AD474))</f>
        <v/>
      </c>
      <c r="AR474" s="26">
        <f>IF(I474="","",IF(Parametreler!$C$7="Evet","Kural A - Hemen Ödeme (Stok Mutabakatlı)","Kural B - Nakliye/Montaj Sonrası Ödeme"))</f>
        <v/>
      </c>
    </row>
    <row r="475">
      <c r="A475" s="23" t="n"/>
      <c r="B475" s="23" t="n"/>
      <c r="C475" s="23" t="n"/>
      <c r="D475" s="23" t="n"/>
      <c r="E475" s="23" t="n"/>
      <c r="F475" s="23" t="n"/>
      <c r="G475" s="23" t="n"/>
      <c r="H475" s="24" t="n"/>
      <c r="I475" s="23" t="n"/>
      <c r="J475" s="23" t="n"/>
      <c r="K475" s="23" t="n"/>
      <c r="L475" s="23" t="n"/>
      <c r="M475" s="23" t="n"/>
      <c r="N475" s="23" t="n"/>
      <c r="O475" s="23" t="n"/>
      <c r="P475" s="23" t="n"/>
      <c r="Q475" s="23" t="n"/>
      <c r="R475" s="23" t="n"/>
      <c r="S475" s="23" t="n"/>
      <c r="T475" s="23" t="n"/>
      <c r="U475" s="23" t="n"/>
      <c r="V475" s="23" t="n"/>
      <c r="W475" s="23" t="n"/>
      <c r="X475" s="23" t="n"/>
      <c r="Y475" s="25" t="n"/>
      <c r="Z475" s="25" t="n"/>
      <c r="AA475" s="23" t="n"/>
      <c r="AB475" s="25" t="n"/>
      <c r="AC475" s="23" t="n"/>
      <c r="AD475" s="25" t="n"/>
      <c r="AE475" s="23" t="n"/>
      <c r="AF475" s="25" t="n"/>
      <c r="AG475" s="25" t="n"/>
      <c r="AH475" s="23" t="n"/>
      <c r="AI475" s="23" t="n"/>
      <c r="AJ475" s="26">
        <f>IF(I475="","",I475&amp;"|"&amp;R475)</f>
        <v/>
      </c>
      <c r="AK475" s="26">
        <f>IF(I475="","",IF(ISNA(MATCH(O475,Kampanyalar!$A$2:$A$150,0)),"Hayır - Kampanyalar'da Yok","Evet"))</f>
        <v/>
      </c>
      <c r="AL475" s="27">
        <f>IF(I475="","",IFERROR(INDEX(Kampanyalar!$E$2:$E$150,MATCH(O475,Kampanyalar!$A$2:$A$150,0)),""))</f>
        <v/>
      </c>
      <c r="AM475" s="27">
        <f>IF(I475="","",IFERROR(INDEX(Kampanyalar!$F$2:$F$150,MATCH(O475,Kampanyalar!$A$2:$A$150,0)),""))</f>
        <v/>
      </c>
      <c r="AN475" s="27">
        <f>IF(I475="","",IFERROR(INDEX(Kampanyalar!$G$2:$G$150,MATCH(O475,Kampanyalar!$A$2:$A$150,0)),""))</f>
        <v/>
      </c>
      <c r="AO475" s="26">
        <f>IF(OR(I475="",AL475="",AM475=""),"",IF(AND(H475&gt;=AL475,H475&lt;=AM475),"Evet","HAYIR - Tarih Dışı"))</f>
        <v/>
      </c>
      <c r="AP475" s="28">
        <f>IF(I475="","",IFERROR(INDEX(Kampanyalar!$H$2:$H$150,MATCH(O475,Kampanyalar!$A$2:$A$150,0)),""))</f>
        <v/>
      </c>
      <c r="AQ475" s="28">
        <f>IF(I475="","",IF(ISNUMBER(AP475),AP475,AD475))</f>
        <v/>
      </c>
      <c r="AR475" s="26">
        <f>IF(I475="","",IF(Parametreler!$C$7="Evet","Kural A - Hemen Ödeme (Stok Mutabakatlı)","Kural B - Nakliye/Montaj Sonrası Ödeme"))</f>
        <v/>
      </c>
    </row>
    <row r="476">
      <c r="A476" s="23" t="n"/>
      <c r="B476" s="23" t="n"/>
      <c r="C476" s="23" t="n"/>
      <c r="D476" s="23" t="n"/>
      <c r="E476" s="23" t="n"/>
      <c r="F476" s="23" t="n"/>
      <c r="G476" s="23" t="n"/>
      <c r="H476" s="24" t="n"/>
      <c r="I476" s="23" t="n"/>
      <c r="J476" s="23" t="n"/>
      <c r="K476" s="23" t="n"/>
      <c r="L476" s="23" t="n"/>
      <c r="M476" s="23" t="n"/>
      <c r="N476" s="23" t="n"/>
      <c r="O476" s="23" t="n"/>
      <c r="P476" s="23" t="n"/>
      <c r="Q476" s="23" t="n"/>
      <c r="R476" s="23" t="n"/>
      <c r="S476" s="23" t="n"/>
      <c r="T476" s="23" t="n"/>
      <c r="U476" s="23" t="n"/>
      <c r="V476" s="23" t="n"/>
      <c r="W476" s="23" t="n"/>
      <c r="X476" s="23" t="n"/>
      <c r="Y476" s="25" t="n"/>
      <c r="Z476" s="25" t="n"/>
      <c r="AA476" s="23" t="n"/>
      <c r="AB476" s="25" t="n"/>
      <c r="AC476" s="23" t="n"/>
      <c r="AD476" s="25" t="n"/>
      <c r="AE476" s="23" t="n"/>
      <c r="AF476" s="25" t="n"/>
      <c r="AG476" s="25" t="n"/>
      <c r="AH476" s="23" t="n"/>
      <c r="AI476" s="23" t="n"/>
      <c r="AJ476" s="26">
        <f>IF(I476="","",I476&amp;"|"&amp;R476)</f>
        <v/>
      </c>
      <c r="AK476" s="26">
        <f>IF(I476="","",IF(ISNA(MATCH(O476,Kampanyalar!$A$2:$A$150,0)),"Hayır - Kampanyalar'da Yok","Evet"))</f>
        <v/>
      </c>
      <c r="AL476" s="27">
        <f>IF(I476="","",IFERROR(INDEX(Kampanyalar!$E$2:$E$150,MATCH(O476,Kampanyalar!$A$2:$A$150,0)),""))</f>
        <v/>
      </c>
      <c r="AM476" s="27">
        <f>IF(I476="","",IFERROR(INDEX(Kampanyalar!$F$2:$F$150,MATCH(O476,Kampanyalar!$A$2:$A$150,0)),""))</f>
        <v/>
      </c>
      <c r="AN476" s="27">
        <f>IF(I476="","",IFERROR(INDEX(Kampanyalar!$G$2:$G$150,MATCH(O476,Kampanyalar!$A$2:$A$150,0)),""))</f>
        <v/>
      </c>
      <c r="AO476" s="26">
        <f>IF(OR(I476="",AL476="",AM476=""),"",IF(AND(H476&gt;=AL476,H476&lt;=AM476),"Evet","HAYIR - Tarih Dışı"))</f>
        <v/>
      </c>
      <c r="AP476" s="28">
        <f>IF(I476="","",IFERROR(INDEX(Kampanyalar!$H$2:$H$150,MATCH(O476,Kampanyalar!$A$2:$A$150,0)),""))</f>
        <v/>
      </c>
      <c r="AQ476" s="28">
        <f>IF(I476="","",IF(ISNUMBER(AP476),AP476,AD476))</f>
        <v/>
      </c>
      <c r="AR476" s="26">
        <f>IF(I476="","",IF(Parametreler!$C$7="Evet","Kural A - Hemen Ödeme (Stok Mutabakatlı)","Kural B - Nakliye/Montaj Sonrası Ödeme"))</f>
        <v/>
      </c>
    </row>
    <row r="477">
      <c r="A477" s="23" t="n"/>
      <c r="B477" s="23" t="n"/>
      <c r="C477" s="23" t="n"/>
      <c r="D477" s="23" t="n"/>
      <c r="E477" s="23" t="n"/>
      <c r="F477" s="23" t="n"/>
      <c r="G477" s="23" t="n"/>
      <c r="H477" s="24" t="n"/>
      <c r="I477" s="23" t="n"/>
      <c r="J477" s="23" t="n"/>
      <c r="K477" s="23" t="n"/>
      <c r="L477" s="23" t="n"/>
      <c r="M477" s="23" t="n"/>
      <c r="N477" s="23" t="n"/>
      <c r="O477" s="23" t="n"/>
      <c r="P477" s="23" t="n"/>
      <c r="Q477" s="23" t="n"/>
      <c r="R477" s="23" t="n"/>
      <c r="S477" s="23" t="n"/>
      <c r="T477" s="23" t="n"/>
      <c r="U477" s="23" t="n"/>
      <c r="V477" s="23" t="n"/>
      <c r="W477" s="23" t="n"/>
      <c r="X477" s="23" t="n"/>
      <c r="Y477" s="25" t="n"/>
      <c r="Z477" s="25" t="n"/>
      <c r="AA477" s="23" t="n"/>
      <c r="AB477" s="25" t="n"/>
      <c r="AC477" s="23" t="n"/>
      <c r="AD477" s="25" t="n"/>
      <c r="AE477" s="23" t="n"/>
      <c r="AF477" s="25" t="n"/>
      <c r="AG477" s="25" t="n"/>
      <c r="AH477" s="23" t="n"/>
      <c r="AI477" s="23" t="n"/>
      <c r="AJ477" s="26">
        <f>IF(I477="","",I477&amp;"|"&amp;R477)</f>
        <v/>
      </c>
      <c r="AK477" s="26">
        <f>IF(I477="","",IF(ISNA(MATCH(O477,Kampanyalar!$A$2:$A$150,0)),"Hayır - Kampanyalar'da Yok","Evet"))</f>
        <v/>
      </c>
      <c r="AL477" s="27">
        <f>IF(I477="","",IFERROR(INDEX(Kampanyalar!$E$2:$E$150,MATCH(O477,Kampanyalar!$A$2:$A$150,0)),""))</f>
        <v/>
      </c>
      <c r="AM477" s="27">
        <f>IF(I477="","",IFERROR(INDEX(Kampanyalar!$F$2:$F$150,MATCH(O477,Kampanyalar!$A$2:$A$150,0)),""))</f>
        <v/>
      </c>
      <c r="AN477" s="27">
        <f>IF(I477="","",IFERROR(INDEX(Kampanyalar!$G$2:$G$150,MATCH(O477,Kampanyalar!$A$2:$A$150,0)),""))</f>
        <v/>
      </c>
      <c r="AO477" s="26">
        <f>IF(OR(I477="",AL477="",AM477=""),"",IF(AND(H477&gt;=AL477,H477&lt;=AM477),"Evet","HAYIR - Tarih Dışı"))</f>
        <v/>
      </c>
      <c r="AP477" s="28">
        <f>IF(I477="","",IFERROR(INDEX(Kampanyalar!$H$2:$H$150,MATCH(O477,Kampanyalar!$A$2:$A$150,0)),""))</f>
        <v/>
      </c>
      <c r="AQ477" s="28">
        <f>IF(I477="","",IF(ISNUMBER(AP477),AP477,AD477))</f>
        <v/>
      </c>
      <c r="AR477" s="26">
        <f>IF(I477="","",IF(Parametreler!$C$7="Evet","Kural A - Hemen Ödeme (Stok Mutabakatlı)","Kural B - Nakliye/Montaj Sonrası Ödeme"))</f>
        <v/>
      </c>
    </row>
    <row r="478">
      <c r="A478" s="23" t="n"/>
      <c r="B478" s="23" t="n"/>
      <c r="C478" s="23" t="n"/>
      <c r="D478" s="23" t="n"/>
      <c r="E478" s="23" t="n"/>
      <c r="F478" s="23" t="n"/>
      <c r="G478" s="23" t="n"/>
      <c r="H478" s="24" t="n"/>
      <c r="I478" s="23" t="n"/>
      <c r="J478" s="23" t="n"/>
      <c r="K478" s="23" t="n"/>
      <c r="L478" s="23" t="n"/>
      <c r="M478" s="23" t="n"/>
      <c r="N478" s="23" t="n"/>
      <c r="O478" s="23" t="n"/>
      <c r="P478" s="23" t="n"/>
      <c r="Q478" s="23" t="n"/>
      <c r="R478" s="23" t="n"/>
      <c r="S478" s="23" t="n"/>
      <c r="T478" s="23" t="n"/>
      <c r="U478" s="23" t="n"/>
      <c r="V478" s="23" t="n"/>
      <c r="W478" s="23" t="n"/>
      <c r="X478" s="23" t="n"/>
      <c r="Y478" s="25" t="n"/>
      <c r="Z478" s="25" t="n"/>
      <c r="AA478" s="23" t="n"/>
      <c r="AB478" s="25" t="n"/>
      <c r="AC478" s="23" t="n"/>
      <c r="AD478" s="25" t="n"/>
      <c r="AE478" s="23" t="n"/>
      <c r="AF478" s="25" t="n"/>
      <c r="AG478" s="25" t="n"/>
      <c r="AH478" s="23" t="n"/>
      <c r="AI478" s="23" t="n"/>
      <c r="AJ478" s="26">
        <f>IF(I478="","",I478&amp;"|"&amp;R478)</f>
        <v/>
      </c>
      <c r="AK478" s="26">
        <f>IF(I478="","",IF(ISNA(MATCH(O478,Kampanyalar!$A$2:$A$150,0)),"Hayır - Kampanyalar'da Yok","Evet"))</f>
        <v/>
      </c>
      <c r="AL478" s="27">
        <f>IF(I478="","",IFERROR(INDEX(Kampanyalar!$E$2:$E$150,MATCH(O478,Kampanyalar!$A$2:$A$150,0)),""))</f>
        <v/>
      </c>
      <c r="AM478" s="27">
        <f>IF(I478="","",IFERROR(INDEX(Kampanyalar!$F$2:$F$150,MATCH(O478,Kampanyalar!$A$2:$A$150,0)),""))</f>
        <v/>
      </c>
      <c r="AN478" s="27">
        <f>IF(I478="","",IFERROR(INDEX(Kampanyalar!$G$2:$G$150,MATCH(O478,Kampanyalar!$A$2:$A$150,0)),""))</f>
        <v/>
      </c>
      <c r="AO478" s="26">
        <f>IF(OR(I478="",AL478="",AM478=""),"",IF(AND(H478&gt;=AL478,H478&lt;=AM478),"Evet","HAYIR - Tarih Dışı"))</f>
        <v/>
      </c>
      <c r="AP478" s="28">
        <f>IF(I478="","",IFERROR(INDEX(Kampanyalar!$H$2:$H$150,MATCH(O478,Kampanyalar!$A$2:$A$150,0)),""))</f>
        <v/>
      </c>
      <c r="AQ478" s="28">
        <f>IF(I478="","",IF(ISNUMBER(AP478),AP478,AD478))</f>
        <v/>
      </c>
      <c r="AR478" s="26">
        <f>IF(I478="","",IF(Parametreler!$C$7="Evet","Kural A - Hemen Ödeme (Stok Mutabakatlı)","Kural B - Nakliye/Montaj Sonrası Ödeme"))</f>
        <v/>
      </c>
    </row>
    <row r="479">
      <c r="A479" s="23" t="n"/>
      <c r="B479" s="23" t="n"/>
      <c r="C479" s="23" t="n"/>
      <c r="D479" s="23" t="n"/>
      <c r="E479" s="23" t="n"/>
      <c r="F479" s="23" t="n"/>
      <c r="G479" s="23" t="n"/>
      <c r="H479" s="24" t="n"/>
      <c r="I479" s="23" t="n"/>
      <c r="J479" s="23" t="n"/>
      <c r="K479" s="23" t="n"/>
      <c r="L479" s="23" t="n"/>
      <c r="M479" s="23" t="n"/>
      <c r="N479" s="23" t="n"/>
      <c r="O479" s="23" t="n"/>
      <c r="P479" s="23" t="n"/>
      <c r="Q479" s="23" t="n"/>
      <c r="R479" s="23" t="n"/>
      <c r="S479" s="23" t="n"/>
      <c r="T479" s="23" t="n"/>
      <c r="U479" s="23" t="n"/>
      <c r="V479" s="23" t="n"/>
      <c r="W479" s="23" t="n"/>
      <c r="X479" s="23" t="n"/>
      <c r="Y479" s="25" t="n"/>
      <c r="Z479" s="25" t="n"/>
      <c r="AA479" s="23" t="n"/>
      <c r="AB479" s="25" t="n"/>
      <c r="AC479" s="23" t="n"/>
      <c r="AD479" s="25" t="n"/>
      <c r="AE479" s="23" t="n"/>
      <c r="AF479" s="25" t="n"/>
      <c r="AG479" s="25" t="n"/>
      <c r="AH479" s="23" t="n"/>
      <c r="AI479" s="23" t="n"/>
      <c r="AJ479" s="26">
        <f>IF(I479="","",I479&amp;"|"&amp;R479)</f>
        <v/>
      </c>
      <c r="AK479" s="26">
        <f>IF(I479="","",IF(ISNA(MATCH(O479,Kampanyalar!$A$2:$A$150,0)),"Hayır - Kampanyalar'da Yok","Evet"))</f>
        <v/>
      </c>
      <c r="AL479" s="27">
        <f>IF(I479="","",IFERROR(INDEX(Kampanyalar!$E$2:$E$150,MATCH(O479,Kampanyalar!$A$2:$A$150,0)),""))</f>
        <v/>
      </c>
      <c r="AM479" s="27">
        <f>IF(I479="","",IFERROR(INDEX(Kampanyalar!$F$2:$F$150,MATCH(O479,Kampanyalar!$A$2:$A$150,0)),""))</f>
        <v/>
      </c>
      <c r="AN479" s="27">
        <f>IF(I479="","",IFERROR(INDEX(Kampanyalar!$G$2:$G$150,MATCH(O479,Kampanyalar!$A$2:$A$150,0)),""))</f>
        <v/>
      </c>
      <c r="AO479" s="26">
        <f>IF(OR(I479="",AL479="",AM479=""),"",IF(AND(H479&gt;=AL479,H479&lt;=AM479),"Evet","HAYIR - Tarih Dışı"))</f>
        <v/>
      </c>
      <c r="AP479" s="28">
        <f>IF(I479="","",IFERROR(INDEX(Kampanyalar!$H$2:$H$150,MATCH(O479,Kampanyalar!$A$2:$A$150,0)),""))</f>
        <v/>
      </c>
      <c r="AQ479" s="28">
        <f>IF(I479="","",IF(ISNUMBER(AP479),AP479,AD479))</f>
        <v/>
      </c>
      <c r="AR479" s="26">
        <f>IF(I479="","",IF(Parametreler!$C$7="Evet","Kural A - Hemen Ödeme (Stok Mutabakatlı)","Kural B - Nakliye/Montaj Sonrası Ödeme"))</f>
        <v/>
      </c>
    </row>
    <row r="480">
      <c r="A480" s="23" t="n"/>
      <c r="B480" s="23" t="n"/>
      <c r="C480" s="23" t="n"/>
      <c r="D480" s="23" t="n"/>
      <c r="E480" s="23" t="n"/>
      <c r="F480" s="23" t="n"/>
      <c r="G480" s="23" t="n"/>
      <c r="H480" s="24" t="n"/>
      <c r="I480" s="23" t="n"/>
      <c r="J480" s="23" t="n"/>
      <c r="K480" s="23" t="n"/>
      <c r="L480" s="23" t="n"/>
      <c r="M480" s="23" t="n"/>
      <c r="N480" s="23" t="n"/>
      <c r="O480" s="23" t="n"/>
      <c r="P480" s="23" t="n"/>
      <c r="Q480" s="23" t="n"/>
      <c r="R480" s="23" t="n"/>
      <c r="S480" s="23" t="n"/>
      <c r="T480" s="23" t="n"/>
      <c r="U480" s="23" t="n"/>
      <c r="V480" s="23" t="n"/>
      <c r="W480" s="23" t="n"/>
      <c r="X480" s="23" t="n"/>
      <c r="Y480" s="25" t="n"/>
      <c r="Z480" s="25" t="n"/>
      <c r="AA480" s="23" t="n"/>
      <c r="AB480" s="25" t="n"/>
      <c r="AC480" s="23" t="n"/>
      <c r="AD480" s="25" t="n"/>
      <c r="AE480" s="23" t="n"/>
      <c r="AF480" s="25" t="n"/>
      <c r="AG480" s="25" t="n"/>
      <c r="AH480" s="23" t="n"/>
      <c r="AI480" s="23" t="n"/>
      <c r="AJ480" s="26">
        <f>IF(I480="","",I480&amp;"|"&amp;R480)</f>
        <v/>
      </c>
      <c r="AK480" s="26">
        <f>IF(I480="","",IF(ISNA(MATCH(O480,Kampanyalar!$A$2:$A$150,0)),"Hayır - Kampanyalar'da Yok","Evet"))</f>
        <v/>
      </c>
      <c r="AL480" s="27">
        <f>IF(I480="","",IFERROR(INDEX(Kampanyalar!$E$2:$E$150,MATCH(O480,Kampanyalar!$A$2:$A$150,0)),""))</f>
        <v/>
      </c>
      <c r="AM480" s="27">
        <f>IF(I480="","",IFERROR(INDEX(Kampanyalar!$F$2:$F$150,MATCH(O480,Kampanyalar!$A$2:$A$150,0)),""))</f>
        <v/>
      </c>
      <c r="AN480" s="27">
        <f>IF(I480="","",IFERROR(INDEX(Kampanyalar!$G$2:$G$150,MATCH(O480,Kampanyalar!$A$2:$A$150,0)),""))</f>
        <v/>
      </c>
      <c r="AO480" s="26">
        <f>IF(OR(I480="",AL480="",AM480=""),"",IF(AND(H480&gt;=AL480,H480&lt;=AM480),"Evet","HAYIR - Tarih Dışı"))</f>
        <v/>
      </c>
      <c r="AP480" s="28">
        <f>IF(I480="","",IFERROR(INDEX(Kampanyalar!$H$2:$H$150,MATCH(O480,Kampanyalar!$A$2:$A$150,0)),""))</f>
        <v/>
      </c>
      <c r="AQ480" s="28">
        <f>IF(I480="","",IF(ISNUMBER(AP480),AP480,AD480))</f>
        <v/>
      </c>
      <c r="AR480" s="26">
        <f>IF(I480="","",IF(Parametreler!$C$7="Evet","Kural A - Hemen Ödeme (Stok Mutabakatlı)","Kural B - Nakliye/Montaj Sonrası Ödeme"))</f>
        <v/>
      </c>
    </row>
    <row r="481">
      <c r="A481" s="23" t="n"/>
      <c r="B481" s="23" t="n"/>
      <c r="C481" s="23" t="n"/>
      <c r="D481" s="23" t="n"/>
      <c r="E481" s="23" t="n"/>
      <c r="F481" s="23" t="n"/>
      <c r="G481" s="23" t="n"/>
      <c r="H481" s="24" t="n"/>
      <c r="I481" s="23" t="n"/>
      <c r="J481" s="23" t="n"/>
      <c r="K481" s="23" t="n"/>
      <c r="L481" s="23" t="n"/>
      <c r="M481" s="23" t="n"/>
      <c r="N481" s="23" t="n"/>
      <c r="O481" s="23" t="n"/>
      <c r="P481" s="23" t="n"/>
      <c r="Q481" s="23" t="n"/>
      <c r="R481" s="23" t="n"/>
      <c r="S481" s="23" t="n"/>
      <c r="T481" s="23" t="n"/>
      <c r="U481" s="23" t="n"/>
      <c r="V481" s="23" t="n"/>
      <c r="W481" s="23" t="n"/>
      <c r="X481" s="23" t="n"/>
      <c r="Y481" s="25" t="n"/>
      <c r="Z481" s="25" t="n"/>
      <c r="AA481" s="23" t="n"/>
      <c r="AB481" s="25" t="n"/>
      <c r="AC481" s="23" t="n"/>
      <c r="AD481" s="25" t="n"/>
      <c r="AE481" s="23" t="n"/>
      <c r="AF481" s="25" t="n"/>
      <c r="AG481" s="25" t="n"/>
      <c r="AH481" s="23" t="n"/>
      <c r="AI481" s="23" t="n"/>
      <c r="AJ481" s="26">
        <f>IF(I481="","",I481&amp;"|"&amp;R481)</f>
        <v/>
      </c>
      <c r="AK481" s="26">
        <f>IF(I481="","",IF(ISNA(MATCH(O481,Kampanyalar!$A$2:$A$150,0)),"Hayır - Kampanyalar'da Yok","Evet"))</f>
        <v/>
      </c>
      <c r="AL481" s="27">
        <f>IF(I481="","",IFERROR(INDEX(Kampanyalar!$E$2:$E$150,MATCH(O481,Kampanyalar!$A$2:$A$150,0)),""))</f>
        <v/>
      </c>
      <c r="AM481" s="27">
        <f>IF(I481="","",IFERROR(INDEX(Kampanyalar!$F$2:$F$150,MATCH(O481,Kampanyalar!$A$2:$A$150,0)),""))</f>
        <v/>
      </c>
      <c r="AN481" s="27">
        <f>IF(I481="","",IFERROR(INDEX(Kampanyalar!$G$2:$G$150,MATCH(O481,Kampanyalar!$A$2:$A$150,0)),""))</f>
        <v/>
      </c>
      <c r="AO481" s="26">
        <f>IF(OR(I481="",AL481="",AM481=""),"",IF(AND(H481&gt;=AL481,H481&lt;=AM481),"Evet","HAYIR - Tarih Dışı"))</f>
        <v/>
      </c>
      <c r="AP481" s="28">
        <f>IF(I481="","",IFERROR(INDEX(Kampanyalar!$H$2:$H$150,MATCH(O481,Kampanyalar!$A$2:$A$150,0)),""))</f>
        <v/>
      </c>
      <c r="AQ481" s="28">
        <f>IF(I481="","",IF(ISNUMBER(AP481),AP481,AD481))</f>
        <v/>
      </c>
      <c r="AR481" s="26">
        <f>IF(I481="","",IF(Parametreler!$C$7="Evet","Kural A - Hemen Ödeme (Stok Mutabakatlı)","Kural B - Nakliye/Montaj Sonrası Ödeme"))</f>
        <v/>
      </c>
    </row>
    <row r="482">
      <c r="A482" s="23" t="n"/>
      <c r="B482" s="23" t="n"/>
      <c r="C482" s="23" t="n"/>
      <c r="D482" s="23" t="n"/>
      <c r="E482" s="23" t="n"/>
      <c r="F482" s="23" t="n"/>
      <c r="G482" s="23" t="n"/>
      <c r="H482" s="24" t="n"/>
      <c r="I482" s="23" t="n"/>
      <c r="J482" s="23" t="n"/>
      <c r="K482" s="23" t="n"/>
      <c r="L482" s="23" t="n"/>
      <c r="M482" s="23" t="n"/>
      <c r="N482" s="23" t="n"/>
      <c r="O482" s="23" t="n"/>
      <c r="P482" s="23" t="n"/>
      <c r="Q482" s="23" t="n"/>
      <c r="R482" s="23" t="n"/>
      <c r="S482" s="23" t="n"/>
      <c r="T482" s="23" t="n"/>
      <c r="U482" s="23" t="n"/>
      <c r="V482" s="23" t="n"/>
      <c r="W482" s="23" t="n"/>
      <c r="X482" s="23" t="n"/>
      <c r="Y482" s="25" t="n"/>
      <c r="Z482" s="25" t="n"/>
      <c r="AA482" s="23" t="n"/>
      <c r="AB482" s="25" t="n"/>
      <c r="AC482" s="23" t="n"/>
      <c r="AD482" s="25" t="n"/>
      <c r="AE482" s="23" t="n"/>
      <c r="AF482" s="25" t="n"/>
      <c r="AG482" s="25" t="n"/>
      <c r="AH482" s="23" t="n"/>
      <c r="AI482" s="23" t="n"/>
      <c r="AJ482" s="26">
        <f>IF(I482="","",I482&amp;"|"&amp;R482)</f>
        <v/>
      </c>
      <c r="AK482" s="26">
        <f>IF(I482="","",IF(ISNA(MATCH(O482,Kampanyalar!$A$2:$A$150,0)),"Hayır - Kampanyalar'da Yok","Evet"))</f>
        <v/>
      </c>
      <c r="AL482" s="27">
        <f>IF(I482="","",IFERROR(INDEX(Kampanyalar!$E$2:$E$150,MATCH(O482,Kampanyalar!$A$2:$A$150,0)),""))</f>
        <v/>
      </c>
      <c r="AM482" s="27">
        <f>IF(I482="","",IFERROR(INDEX(Kampanyalar!$F$2:$F$150,MATCH(O482,Kampanyalar!$A$2:$A$150,0)),""))</f>
        <v/>
      </c>
      <c r="AN482" s="27">
        <f>IF(I482="","",IFERROR(INDEX(Kampanyalar!$G$2:$G$150,MATCH(O482,Kampanyalar!$A$2:$A$150,0)),""))</f>
        <v/>
      </c>
      <c r="AO482" s="26">
        <f>IF(OR(I482="",AL482="",AM482=""),"",IF(AND(H482&gt;=AL482,H482&lt;=AM482),"Evet","HAYIR - Tarih Dışı"))</f>
        <v/>
      </c>
      <c r="AP482" s="28">
        <f>IF(I482="","",IFERROR(INDEX(Kampanyalar!$H$2:$H$150,MATCH(O482,Kampanyalar!$A$2:$A$150,0)),""))</f>
        <v/>
      </c>
      <c r="AQ482" s="28">
        <f>IF(I482="","",IF(ISNUMBER(AP482),AP482,AD482))</f>
        <v/>
      </c>
      <c r="AR482" s="26">
        <f>IF(I482="","",IF(Parametreler!$C$7="Evet","Kural A - Hemen Ödeme (Stok Mutabakatlı)","Kural B - Nakliye/Montaj Sonrası Ödeme"))</f>
        <v/>
      </c>
    </row>
    <row r="483">
      <c r="A483" s="23" t="n"/>
      <c r="B483" s="23" t="n"/>
      <c r="C483" s="23" t="n"/>
      <c r="D483" s="23" t="n"/>
      <c r="E483" s="23" t="n"/>
      <c r="F483" s="23" t="n"/>
      <c r="G483" s="23" t="n"/>
      <c r="H483" s="24" t="n"/>
      <c r="I483" s="23" t="n"/>
      <c r="J483" s="23" t="n"/>
      <c r="K483" s="23" t="n"/>
      <c r="L483" s="23" t="n"/>
      <c r="M483" s="23" t="n"/>
      <c r="N483" s="23" t="n"/>
      <c r="O483" s="23" t="n"/>
      <c r="P483" s="23" t="n"/>
      <c r="Q483" s="23" t="n"/>
      <c r="R483" s="23" t="n"/>
      <c r="S483" s="23" t="n"/>
      <c r="T483" s="23" t="n"/>
      <c r="U483" s="23" t="n"/>
      <c r="V483" s="23" t="n"/>
      <c r="W483" s="23" t="n"/>
      <c r="X483" s="23" t="n"/>
      <c r="Y483" s="25" t="n"/>
      <c r="Z483" s="25" t="n"/>
      <c r="AA483" s="23" t="n"/>
      <c r="AB483" s="25" t="n"/>
      <c r="AC483" s="23" t="n"/>
      <c r="AD483" s="25" t="n"/>
      <c r="AE483" s="23" t="n"/>
      <c r="AF483" s="25" t="n"/>
      <c r="AG483" s="25" t="n"/>
      <c r="AH483" s="23" t="n"/>
      <c r="AI483" s="23" t="n"/>
      <c r="AJ483" s="26">
        <f>IF(I483="","",I483&amp;"|"&amp;R483)</f>
        <v/>
      </c>
      <c r="AK483" s="26">
        <f>IF(I483="","",IF(ISNA(MATCH(O483,Kampanyalar!$A$2:$A$150,0)),"Hayır - Kampanyalar'da Yok","Evet"))</f>
        <v/>
      </c>
      <c r="AL483" s="27">
        <f>IF(I483="","",IFERROR(INDEX(Kampanyalar!$E$2:$E$150,MATCH(O483,Kampanyalar!$A$2:$A$150,0)),""))</f>
        <v/>
      </c>
      <c r="AM483" s="27">
        <f>IF(I483="","",IFERROR(INDEX(Kampanyalar!$F$2:$F$150,MATCH(O483,Kampanyalar!$A$2:$A$150,0)),""))</f>
        <v/>
      </c>
      <c r="AN483" s="27">
        <f>IF(I483="","",IFERROR(INDEX(Kampanyalar!$G$2:$G$150,MATCH(O483,Kampanyalar!$A$2:$A$150,0)),""))</f>
        <v/>
      </c>
      <c r="AO483" s="26">
        <f>IF(OR(I483="",AL483="",AM483=""),"",IF(AND(H483&gt;=AL483,H483&lt;=AM483),"Evet","HAYIR - Tarih Dışı"))</f>
        <v/>
      </c>
      <c r="AP483" s="28">
        <f>IF(I483="","",IFERROR(INDEX(Kampanyalar!$H$2:$H$150,MATCH(O483,Kampanyalar!$A$2:$A$150,0)),""))</f>
        <v/>
      </c>
      <c r="AQ483" s="28">
        <f>IF(I483="","",IF(ISNUMBER(AP483),AP483,AD483))</f>
        <v/>
      </c>
      <c r="AR483" s="26">
        <f>IF(I483="","",IF(Parametreler!$C$7="Evet","Kural A - Hemen Ödeme (Stok Mutabakatlı)","Kural B - Nakliye/Montaj Sonrası Ödeme"))</f>
        <v/>
      </c>
    </row>
    <row r="484">
      <c r="A484" s="23" t="n"/>
      <c r="B484" s="23" t="n"/>
      <c r="C484" s="23" t="n"/>
      <c r="D484" s="23" t="n"/>
      <c r="E484" s="23" t="n"/>
      <c r="F484" s="23" t="n"/>
      <c r="G484" s="23" t="n"/>
      <c r="H484" s="24" t="n"/>
      <c r="I484" s="23" t="n"/>
      <c r="J484" s="23" t="n"/>
      <c r="K484" s="23" t="n"/>
      <c r="L484" s="23" t="n"/>
      <c r="M484" s="23" t="n"/>
      <c r="N484" s="23" t="n"/>
      <c r="O484" s="23" t="n"/>
      <c r="P484" s="23" t="n"/>
      <c r="Q484" s="23" t="n"/>
      <c r="R484" s="23" t="n"/>
      <c r="S484" s="23" t="n"/>
      <c r="T484" s="23" t="n"/>
      <c r="U484" s="23" t="n"/>
      <c r="V484" s="23" t="n"/>
      <c r="W484" s="23" t="n"/>
      <c r="X484" s="23" t="n"/>
      <c r="Y484" s="25" t="n"/>
      <c r="Z484" s="25" t="n"/>
      <c r="AA484" s="23" t="n"/>
      <c r="AB484" s="25" t="n"/>
      <c r="AC484" s="23" t="n"/>
      <c r="AD484" s="25" t="n"/>
      <c r="AE484" s="23" t="n"/>
      <c r="AF484" s="25" t="n"/>
      <c r="AG484" s="25" t="n"/>
      <c r="AH484" s="23" t="n"/>
      <c r="AI484" s="23" t="n"/>
      <c r="AJ484" s="26">
        <f>IF(I484="","",I484&amp;"|"&amp;R484)</f>
        <v/>
      </c>
      <c r="AK484" s="26">
        <f>IF(I484="","",IF(ISNA(MATCH(O484,Kampanyalar!$A$2:$A$150,0)),"Hayır - Kampanyalar'da Yok","Evet"))</f>
        <v/>
      </c>
      <c r="AL484" s="27">
        <f>IF(I484="","",IFERROR(INDEX(Kampanyalar!$E$2:$E$150,MATCH(O484,Kampanyalar!$A$2:$A$150,0)),""))</f>
        <v/>
      </c>
      <c r="AM484" s="27">
        <f>IF(I484="","",IFERROR(INDEX(Kampanyalar!$F$2:$F$150,MATCH(O484,Kampanyalar!$A$2:$A$150,0)),""))</f>
        <v/>
      </c>
      <c r="AN484" s="27">
        <f>IF(I484="","",IFERROR(INDEX(Kampanyalar!$G$2:$G$150,MATCH(O484,Kampanyalar!$A$2:$A$150,0)),""))</f>
        <v/>
      </c>
      <c r="AO484" s="26">
        <f>IF(OR(I484="",AL484="",AM484=""),"",IF(AND(H484&gt;=AL484,H484&lt;=AM484),"Evet","HAYIR - Tarih Dışı"))</f>
        <v/>
      </c>
      <c r="AP484" s="28">
        <f>IF(I484="","",IFERROR(INDEX(Kampanyalar!$H$2:$H$150,MATCH(O484,Kampanyalar!$A$2:$A$150,0)),""))</f>
        <v/>
      </c>
      <c r="AQ484" s="28">
        <f>IF(I484="","",IF(ISNUMBER(AP484),AP484,AD484))</f>
        <v/>
      </c>
      <c r="AR484" s="26">
        <f>IF(I484="","",IF(Parametreler!$C$7="Evet","Kural A - Hemen Ödeme (Stok Mutabakatlı)","Kural B - Nakliye/Montaj Sonrası Ödeme"))</f>
        <v/>
      </c>
    </row>
    <row r="485">
      <c r="A485" s="23" t="n"/>
      <c r="B485" s="23" t="n"/>
      <c r="C485" s="23" t="n"/>
      <c r="D485" s="23" t="n"/>
      <c r="E485" s="23" t="n"/>
      <c r="F485" s="23" t="n"/>
      <c r="G485" s="23" t="n"/>
      <c r="H485" s="24" t="n"/>
      <c r="I485" s="23" t="n"/>
      <c r="J485" s="23" t="n"/>
      <c r="K485" s="23" t="n"/>
      <c r="L485" s="23" t="n"/>
      <c r="M485" s="23" t="n"/>
      <c r="N485" s="23" t="n"/>
      <c r="O485" s="23" t="n"/>
      <c r="P485" s="23" t="n"/>
      <c r="Q485" s="23" t="n"/>
      <c r="R485" s="23" t="n"/>
      <c r="S485" s="23" t="n"/>
      <c r="T485" s="23" t="n"/>
      <c r="U485" s="23" t="n"/>
      <c r="V485" s="23" t="n"/>
      <c r="W485" s="23" t="n"/>
      <c r="X485" s="23" t="n"/>
      <c r="Y485" s="25" t="n"/>
      <c r="Z485" s="25" t="n"/>
      <c r="AA485" s="23" t="n"/>
      <c r="AB485" s="25" t="n"/>
      <c r="AC485" s="23" t="n"/>
      <c r="AD485" s="25" t="n"/>
      <c r="AE485" s="23" t="n"/>
      <c r="AF485" s="25" t="n"/>
      <c r="AG485" s="25" t="n"/>
      <c r="AH485" s="23" t="n"/>
      <c r="AI485" s="23" t="n"/>
      <c r="AJ485" s="26">
        <f>IF(I485="","",I485&amp;"|"&amp;R485)</f>
        <v/>
      </c>
      <c r="AK485" s="26">
        <f>IF(I485="","",IF(ISNA(MATCH(O485,Kampanyalar!$A$2:$A$150,0)),"Hayır - Kampanyalar'da Yok","Evet"))</f>
        <v/>
      </c>
      <c r="AL485" s="27">
        <f>IF(I485="","",IFERROR(INDEX(Kampanyalar!$E$2:$E$150,MATCH(O485,Kampanyalar!$A$2:$A$150,0)),""))</f>
        <v/>
      </c>
      <c r="AM485" s="27">
        <f>IF(I485="","",IFERROR(INDEX(Kampanyalar!$F$2:$F$150,MATCH(O485,Kampanyalar!$A$2:$A$150,0)),""))</f>
        <v/>
      </c>
      <c r="AN485" s="27">
        <f>IF(I485="","",IFERROR(INDEX(Kampanyalar!$G$2:$G$150,MATCH(O485,Kampanyalar!$A$2:$A$150,0)),""))</f>
        <v/>
      </c>
      <c r="AO485" s="26">
        <f>IF(OR(I485="",AL485="",AM485=""),"",IF(AND(H485&gt;=AL485,H485&lt;=AM485),"Evet","HAYIR - Tarih Dışı"))</f>
        <v/>
      </c>
      <c r="AP485" s="28">
        <f>IF(I485="","",IFERROR(INDEX(Kampanyalar!$H$2:$H$150,MATCH(O485,Kampanyalar!$A$2:$A$150,0)),""))</f>
        <v/>
      </c>
      <c r="AQ485" s="28">
        <f>IF(I485="","",IF(ISNUMBER(AP485),AP485,AD485))</f>
        <v/>
      </c>
      <c r="AR485" s="26">
        <f>IF(I485="","",IF(Parametreler!$C$7="Evet","Kural A - Hemen Ödeme (Stok Mutabakatlı)","Kural B - Nakliye/Montaj Sonrası Ödeme"))</f>
        <v/>
      </c>
    </row>
    <row r="486">
      <c r="A486" s="23" t="n"/>
      <c r="B486" s="23" t="n"/>
      <c r="C486" s="23" t="n"/>
      <c r="D486" s="23" t="n"/>
      <c r="E486" s="23" t="n"/>
      <c r="F486" s="23" t="n"/>
      <c r="G486" s="23" t="n"/>
      <c r="H486" s="24" t="n"/>
      <c r="I486" s="23" t="n"/>
      <c r="J486" s="23" t="n"/>
      <c r="K486" s="23" t="n"/>
      <c r="L486" s="23" t="n"/>
      <c r="M486" s="23" t="n"/>
      <c r="N486" s="23" t="n"/>
      <c r="O486" s="23" t="n"/>
      <c r="P486" s="23" t="n"/>
      <c r="Q486" s="23" t="n"/>
      <c r="R486" s="23" t="n"/>
      <c r="S486" s="23" t="n"/>
      <c r="T486" s="23" t="n"/>
      <c r="U486" s="23" t="n"/>
      <c r="V486" s="23" t="n"/>
      <c r="W486" s="23" t="n"/>
      <c r="X486" s="23" t="n"/>
      <c r="Y486" s="25" t="n"/>
      <c r="Z486" s="25" t="n"/>
      <c r="AA486" s="23" t="n"/>
      <c r="AB486" s="25" t="n"/>
      <c r="AC486" s="23" t="n"/>
      <c r="AD486" s="25" t="n"/>
      <c r="AE486" s="23" t="n"/>
      <c r="AF486" s="25" t="n"/>
      <c r="AG486" s="25" t="n"/>
      <c r="AH486" s="23" t="n"/>
      <c r="AI486" s="23" t="n"/>
      <c r="AJ486" s="26">
        <f>IF(I486="","",I486&amp;"|"&amp;R486)</f>
        <v/>
      </c>
      <c r="AK486" s="26">
        <f>IF(I486="","",IF(ISNA(MATCH(O486,Kampanyalar!$A$2:$A$150,0)),"Hayır - Kampanyalar'da Yok","Evet"))</f>
        <v/>
      </c>
      <c r="AL486" s="27">
        <f>IF(I486="","",IFERROR(INDEX(Kampanyalar!$E$2:$E$150,MATCH(O486,Kampanyalar!$A$2:$A$150,0)),""))</f>
        <v/>
      </c>
      <c r="AM486" s="27">
        <f>IF(I486="","",IFERROR(INDEX(Kampanyalar!$F$2:$F$150,MATCH(O486,Kampanyalar!$A$2:$A$150,0)),""))</f>
        <v/>
      </c>
      <c r="AN486" s="27">
        <f>IF(I486="","",IFERROR(INDEX(Kampanyalar!$G$2:$G$150,MATCH(O486,Kampanyalar!$A$2:$A$150,0)),""))</f>
        <v/>
      </c>
      <c r="AO486" s="26">
        <f>IF(OR(I486="",AL486="",AM486=""),"",IF(AND(H486&gt;=AL486,H486&lt;=AM486),"Evet","HAYIR - Tarih Dışı"))</f>
        <v/>
      </c>
      <c r="AP486" s="28">
        <f>IF(I486="","",IFERROR(INDEX(Kampanyalar!$H$2:$H$150,MATCH(O486,Kampanyalar!$A$2:$A$150,0)),""))</f>
        <v/>
      </c>
      <c r="AQ486" s="28">
        <f>IF(I486="","",IF(ISNUMBER(AP486),AP486,AD486))</f>
        <v/>
      </c>
      <c r="AR486" s="26">
        <f>IF(I486="","",IF(Parametreler!$C$7="Evet","Kural A - Hemen Ödeme (Stok Mutabakatlı)","Kural B - Nakliye/Montaj Sonrası Ödeme"))</f>
        <v/>
      </c>
    </row>
    <row r="487">
      <c r="A487" s="23" t="n"/>
      <c r="B487" s="23" t="n"/>
      <c r="C487" s="23" t="n"/>
      <c r="D487" s="23" t="n"/>
      <c r="E487" s="23" t="n"/>
      <c r="F487" s="23" t="n"/>
      <c r="G487" s="23" t="n"/>
      <c r="H487" s="24" t="n"/>
      <c r="I487" s="23" t="n"/>
      <c r="J487" s="23" t="n"/>
      <c r="K487" s="23" t="n"/>
      <c r="L487" s="23" t="n"/>
      <c r="M487" s="23" t="n"/>
      <c r="N487" s="23" t="n"/>
      <c r="O487" s="23" t="n"/>
      <c r="P487" s="23" t="n"/>
      <c r="Q487" s="23" t="n"/>
      <c r="R487" s="23" t="n"/>
      <c r="S487" s="23" t="n"/>
      <c r="T487" s="23" t="n"/>
      <c r="U487" s="23" t="n"/>
      <c r="V487" s="23" t="n"/>
      <c r="W487" s="23" t="n"/>
      <c r="X487" s="23" t="n"/>
      <c r="Y487" s="25" t="n"/>
      <c r="Z487" s="25" t="n"/>
      <c r="AA487" s="23" t="n"/>
      <c r="AB487" s="25" t="n"/>
      <c r="AC487" s="23" t="n"/>
      <c r="AD487" s="25" t="n"/>
      <c r="AE487" s="23" t="n"/>
      <c r="AF487" s="25" t="n"/>
      <c r="AG487" s="25" t="n"/>
      <c r="AH487" s="23" t="n"/>
      <c r="AI487" s="23" t="n"/>
      <c r="AJ487" s="26">
        <f>IF(I487="","",I487&amp;"|"&amp;R487)</f>
        <v/>
      </c>
      <c r="AK487" s="26">
        <f>IF(I487="","",IF(ISNA(MATCH(O487,Kampanyalar!$A$2:$A$150,0)),"Hayır - Kampanyalar'da Yok","Evet"))</f>
        <v/>
      </c>
      <c r="AL487" s="27">
        <f>IF(I487="","",IFERROR(INDEX(Kampanyalar!$E$2:$E$150,MATCH(O487,Kampanyalar!$A$2:$A$150,0)),""))</f>
        <v/>
      </c>
      <c r="AM487" s="27">
        <f>IF(I487="","",IFERROR(INDEX(Kampanyalar!$F$2:$F$150,MATCH(O487,Kampanyalar!$A$2:$A$150,0)),""))</f>
        <v/>
      </c>
      <c r="AN487" s="27">
        <f>IF(I487="","",IFERROR(INDEX(Kampanyalar!$G$2:$G$150,MATCH(O487,Kampanyalar!$A$2:$A$150,0)),""))</f>
        <v/>
      </c>
      <c r="AO487" s="26">
        <f>IF(OR(I487="",AL487="",AM487=""),"",IF(AND(H487&gt;=AL487,H487&lt;=AM487),"Evet","HAYIR - Tarih Dışı"))</f>
        <v/>
      </c>
      <c r="AP487" s="28">
        <f>IF(I487="","",IFERROR(INDEX(Kampanyalar!$H$2:$H$150,MATCH(O487,Kampanyalar!$A$2:$A$150,0)),""))</f>
        <v/>
      </c>
      <c r="AQ487" s="28">
        <f>IF(I487="","",IF(ISNUMBER(AP487),AP487,AD487))</f>
        <v/>
      </c>
      <c r="AR487" s="26">
        <f>IF(I487="","",IF(Parametreler!$C$7="Evet","Kural A - Hemen Ödeme (Stok Mutabakatlı)","Kural B - Nakliye/Montaj Sonrası Ödeme"))</f>
        <v/>
      </c>
    </row>
    <row r="488">
      <c r="A488" s="23" t="n"/>
      <c r="B488" s="23" t="n"/>
      <c r="C488" s="23" t="n"/>
      <c r="D488" s="23" t="n"/>
      <c r="E488" s="23" t="n"/>
      <c r="F488" s="23" t="n"/>
      <c r="G488" s="23" t="n"/>
      <c r="H488" s="24" t="n"/>
      <c r="I488" s="23" t="n"/>
      <c r="J488" s="23" t="n"/>
      <c r="K488" s="23" t="n"/>
      <c r="L488" s="23" t="n"/>
      <c r="M488" s="23" t="n"/>
      <c r="N488" s="23" t="n"/>
      <c r="O488" s="23" t="n"/>
      <c r="P488" s="23" t="n"/>
      <c r="Q488" s="23" t="n"/>
      <c r="R488" s="23" t="n"/>
      <c r="S488" s="23" t="n"/>
      <c r="T488" s="23" t="n"/>
      <c r="U488" s="23" t="n"/>
      <c r="V488" s="23" t="n"/>
      <c r="W488" s="23" t="n"/>
      <c r="X488" s="23" t="n"/>
      <c r="Y488" s="25" t="n"/>
      <c r="Z488" s="25" t="n"/>
      <c r="AA488" s="23" t="n"/>
      <c r="AB488" s="25" t="n"/>
      <c r="AC488" s="23" t="n"/>
      <c r="AD488" s="25" t="n"/>
      <c r="AE488" s="23" t="n"/>
      <c r="AF488" s="25" t="n"/>
      <c r="AG488" s="25" t="n"/>
      <c r="AH488" s="23" t="n"/>
      <c r="AI488" s="23" t="n"/>
      <c r="AJ488" s="26">
        <f>IF(I488="","",I488&amp;"|"&amp;R488)</f>
        <v/>
      </c>
      <c r="AK488" s="26">
        <f>IF(I488="","",IF(ISNA(MATCH(O488,Kampanyalar!$A$2:$A$150,0)),"Hayır - Kampanyalar'da Yok","Evet"))</f>
        <v/>
      </c>
      <c r="AL488" s="27">
        <f>IF(I488="","",IFERROR(INDEX(Kampanyalar!$E$2:$E$150,MATCH(O488,Kampanyalar!$A$2:$A$150,0)),""))</f>
        <v/>
      </c>
      <c r="AM488" s="27">
        <f>IF(I488="","",IFERROR(INDEX(Kampanyalar!$F$2:$F$150,MATCH(O488,Kampanyalar!$A$2:$A$150,0)),""))</f>
        <v/>
      </c>
      <c r="AN488" s="27">
        <f>IF(I488="","",IFERROR(INDEX(Kampanyalar!$G$2:$G$150,MATCH(O488,Kampanyalar!$A$2:$A$150,0)),""))</f>
        <v/>
      </c>
      <c r="AO488" s="26">
        <f>IF(OR(I488="",AL488="",AM488=""),"",IF(AND(H488&gt;=AL488,H488&lt;=AM488),"Evet","HAYIR - Tarih Dışı"))</f>
        <v/>
      </c>
      <c r="AP488" s="28">
        <f>IF(I488="","",IFERROR(INDEX(Kampanyalar!$H$2:$H$150,MATCH(O488,Kampanyalar!$A$2:$A$150,0)),""))</f>
        <v/>
      </c>
      <c r="AQ488" s="28">
        <f>IF(I488="","",IF(ISNUMBER(AP488),AP488,AD488))</f>
        <v/>
      </c>
      <c r="AR488" s="26">
        <f>IF(I488="","",IF(Parametreler!$C$7="Evet","Kural A - Hemen Ödeme (Stok Mutabakatlı)","Kural B - Nakliye/Montaj Sonrası Ödeme"))</f>
        <v/>
      </c>
    </row>
    <row r="489">
      <c r="A489" s="23" t="n"/>
      <c r="B489" s="23" t="n"/>
      <c r="C489" s="23" t="n"/>
      <c r="D489" s="23" t="n"/>
      <c r="E489" s="23" t="n"/>
      <c r="F489" s="23" t="n"/>
      <c r="G489" s="23" t="n"/>
      <c r="H489" s="24" t="n"/>
      <c r="I489" s="23" t="n"/>
      <c r="J489" s="23" t="n"/>
      <c r="K489" s="23" t="n"/>
      <c r="L489" s="23" t="n"/>
      <c r="M489" s="23" t="n"/>
      <c r="N489" s="23" t="n"/>
      <c r="O489" s="23" t="n"/>
      <c r="P489" s="23" t="n"/>
      <c r="Q489" s="23" t="n"/>
      <c r="R489" s="23" t="n"/>
      <c r="S489" s="23" t="n"/>
      <c r="T489" s="23" t="n"/>
      <c r="U489" s="23" t="n"/>
      <c r="V489" s="23" t="n"/>
      <c r="W489" s="23" t="n"/>
      <c r="X489" s="23" t="n"/>
      <c r="Y489" s="25" t="n"/>
      <c r="Z489" s="25" t="n"/>
      <c r="AA489" s="23" t="n"/>
      <c r="AB489" s="25" t="n"/>
      <c r="AC489" s="23" t="n"/>
      <c r="AD489" s="25" t="n"/>
      <c r="AE489" s="23" t="n"/>
      <c r="AF489" s="25" t="n"/>
      <c r="AG489" s="25" t="n"/>
      <c r="AH489" s="23" t="n"/>
      <c r="AI489" s="23" t="n"/>
      <c r="AJ489" s="26">
        <f>IF(I489="","",I489&amp;"|"&amp;R489)</f>
        <v/>
      </c>
      <c r="AK489" s="26">
        <f>IF(I489="","",IF(ISNA(MATCH(O489,Kampanyalar!$A$2:$A$150,0)),"Hayır - Kampanyalar'da Yok","Evet"))</f>
        <v/>
      </c>
      <c r="AL489" s="27">
        <f>IF(I489="","",IFERROR(INDEX(Kampanyalar!$E$2:$E$150,MATCH(O489,Kampanyalar!$A$2:$A$150,0)),""))</f>
        <v/>
      </c>
      <c r="AM489" s="27">
        <f>IF(I489="","",IFERROR(INDEX(Kampanyalar!$F$2:$F$150,MATCH(O489,Kampanyalar!$A$2:$A$150,0)),""))</f>
        <v/>
      </c>
      <c r="AN489" s="27">
        <f>IF(I489="","",IFERROR(INDEX(Kampanyalar!$G$2:$G$150,MATCH(O489,Kampanyalar!$A$2:$A$150,0)),""))</f>
        <v/>
      </c>
      <c r="AO489" s="26">
        <f>IF(OR(I489="",AL489="",AM489=""),"",IF(AND(H489&gt;=AL489,H489&lt;=AM489),"Evet","HAYIR - Tarih Dışı"))</f>
        <v/>
      </c>
      <c r="AP489" s="28">
        <f>IF(I489="","",IFERROR(INDEX(Kampanyalar!$H$2:$H$150,MATCH(O489,Kampanyalar!$A$2:$A$150,0)),""))</f>
        <v/>
      </c>
      <c r="AQ489" s="28">
        <f>IF(I489="","",IF(ISNUMBER(AP489),AP489,AD489))</f>
        <v/>
      </c>
      <c r="AR489" s="26">
        <f>IF(I489="","",IF(Parametreler!$C$7="Evet","Kural A - Hemen Ödeme (Stok Mutabakatlı)","Kural B - Nakliye/Montaj Sonrası Ödeme"))</f>
        <v/>
      </c>
    </row>
    <row r="490">
      <c r="A490" s="23" t="n"/>
      <c r="B490" s="23" t="n"/>
      <c r="C490" s="23" t="n"/>
      <c r="D490" s="23" t="n"/>
      <c r="E490" s="23" t="n"/>
      <c r="F490" s="23" t="n"/>
      <c r="G490" s="23" t="n"/>
      <c r="H490" s="24" t="n"/>
      <c r="I490" s="23" t="n"/>
      <c r="J490" s="23" t="n"/>
      <c r="K490" s="23" t="n"/>
      <c r="L490" s="23" t="n"/>
      <c r="M490" s="23" t="n"/>
      <c r="N490" s="23" t="n"/>
      <c r="O490" s="23" t="n"/>
      <c r="P490" s="23" t="n"/>
      <c r="Q490" s="23" t="n"/>
      <c r="R490" s="23" t="n"/>
      <c r="S490" s="23" t="n"/>
      <c r="T490" s="23" t="n"/>
      <c r="U490" s="23" t="n"/>
      <c r="V490" s="23" t="n"/>
      <c r="W490" s="23" t="n"/>
      <c r="X490" s="23" t="n"/>
      <c r="Y490" s="25" t="n"/>
      <c r="Z490" s="25" t="n"/>
      <c r="AA490" s="23" t="n"/>
      <c r="AB490" s="25" t="n"/>
      <c r="AC490" s="23" t="n"/>
      <c r="AD490" s="25" t="n"/>
      <c r="AE490" s="23" t="n"/>
      <c r="AF490" s="25" t="n"/>
      <c r="AG490" s="25" t="n"/>
      <c r="AH490" s="23" t="n"/>
      <c r="AI490" s="23" t="n"/>
      <c r="AJ490" s="26">
        <f>IF(I490="","",I490&amp;"|"&amp;R490)</f>
        <v/>
      </c>
      <c r="AK490" s="26">
        <f>IF(I490="","",IF(ISNA(MATCH(O490,Kampanyalar!$A$2:$A$150,0)),"Hayır - Kampanyalar'da Yok","Evet"))</f>
        <v/>
      </c>
      <c r="AL490" s="27">
        <f>IF(I490="","",IFERROR(INDEX(Kampanyalar!$E$2:$E$150,MATCH(O490,Kampanyalar!$A$2:$A$150,0)),""))</f>
        <v/>
      </c>
      <c r="AM490" s="27">
        <f>IF(I490="","",IFERROR(INDEX(Kampanyalar!$F$2:$F$150,MATCH(O490,Kampanyalar!$A$2:$A$150,0)),""))</f>
        <v/>
      </c>
      <c r="AN490" s="27">
        <f>IF(I490="","",IFERROR(INDEX(Kampanyalar!$G$2:$G$150,MATCH(O490,Kampanyalar!$A$2:$A$150,0)),""))</f>
        <v/>
      </c>
      <c r="AO490" s="26">
        <f>IF(OR(I490="",AL490="",AM490=""),"",IF(AND(H490&gt;=AL490,H490&lt;=AM490),"Evet","HAYIR - Tarih Dışı"))</f>
        <v/>
      </c>
      <c r="AP490" s="28">
        <f>IF(I490="","",IFERROR(INDEX(Kampanyalar!$H$2:$H$150,MATCH(O490,Kampanyalar!$A$2:$A$150,0)),""))</f>
        <v/>
      </c>
      <c r="AQ490" s="28">
        <f>IF(I490="","",IF(ISNUMBER(AP490),AP490,AD490))</f>
        <v/>
      </c>
      <c r="AR490" s="26">
        <f>IF(I490="","",IF(Parametreler!$C$7="Evet","Kural A - Hemen Ödeme (Stok Mutabakatlı)","Kural B - Nakliye/Montaj Sonrası Ödeme"))</f>
        <v/>
      </c>
    </row>
    <row r="491">
      <c r="A491" s="23" t="n"/>
      <c r="B491" s="23" t="n"/>
      <c r="C491" s="23" t="n"/>
      <c r="D491" s="23" t="n"/>
      <c r="E491" s="23" t="n"/>
      <c r="F491" s="23" t="n"/>
      <c r="G491" s="23" t="n"/>
      <c r="H491" s="24" t="n"/>
      <c r="I491" s="23" t="n"/>
      <c r="J491" s="23" t="n"/>
      <c r="K491" s="23" t="n"/>
      <c r="L491" s="23" t="n"/>
      <c r="M491" s="23" t="n"/>
      <c r="N491" s="23" t="n"/>
      <c r="O491" s="23" t="n"/>
      <c r="P491" s="23" t="n"/>
      <c r="Q491" s="23" t="n"/>
      <c r="R491" s="23" t="n"/>
      <c r="S491" s="23" t="n"/>
      <c r="T491" s="23" t="n"/>
      <c r="U491" s="23" t="n"/>
      <c r="V491" s="23" t="n"/>
      <c r="W491" s="23" t="n"/>
      <c r="X491" s="23" t="n"/>
      <c r="Y491" s="25" t="n"/>
      <c r="Z491" s="25" t="n"/>
      <c r="AA491" s="23" t="n"/>
      <c r="AB491" s="25" t="n"/>
      <c r="AC491" s="23" t="n"/>
      <c r="AD491" s="25" t="n"/>
      <c r="AE491" s="23" t="n"/>
      <c r="AF491" s="25" t="n"/>
      <c r="AG491" s="25" t="n"/>
      <c r="AH491" s="23" t="n"/>
      <c r="AI491" s="23" t="n"/>
      <c r="AJ491" s="26">
        <f>IF(I491="","",I491&amp;"|"&amp;R491)</f>
        <v/>
      </c>
      <c r="AK491" s="26">
        <f>IF(I491="","",IF(ISNA(MATCH(O491,Kampanyalar!$A$2:$A$150,0)),"Hayır - Kampanyalar'da Yok","Evet"))</f>
        <v/>
      </c>
      <c r="AL491" s="27">
        <f>IF(I491="","",IFERROR(INDEX(Kampanyalar!$E$2:$E$150,MATCH(O491,Kampanyalar!$A$2:$A$150,0)),""))</f>
        <v/>
      </c>
      <c r="AM491" s="27">
        <f>IF(I491="","",IFERROR(INDEX(Kampanyalar!$F$2:$F$150,MATCH(O491,Kampanyalar!$A$2:$A$150,0)),""))</f>
        <v/>
      </c>
      <c r="AN491" s="27">
        <f>IF(I491="","",IFERROR(INDEX(Kampanyalar!$G$2:$G$150,MATCH(O491,Kampanyalar!$A$2:$A$150,0)),""))</f>
        <v/>
      </c>
      <c r="AO491" s="26">
        <f>IF(OR(I491="",AL491="",AM491=""),"",IF(AND(H491&gt;=AL491,H491&lt;=AM491),"Evet","HAYIR - Tarih Dışı"))</f>
        <v/>
      </c>
      <c r="AP491" s="28">
        <f>IF(I491="","",IFERROR(INDEX(Kampanyalar!$H$2:$H$150,MATCH(O491,Kampanyalar!$A$2:$A$150,0)),""))</f>
        <v/>
      </c>
      <c r="AQ491" s="28">
        <f>IF(I491="","",IF(ISNUMBER(AP491),AP491,AD491))</f>
        <v/>
      </c>
      <c r="AR491" s="26">
        <f>IF(I491="","",IF(Parametreler!$C$7="Evet","Kural A - Hemen Ödeme (Stok Mutabakatlı)","Kural B - Nakliye/Montaj Sonrası Ödeme"))</f>
        <v/>
      </c>
    </row>
    <row r="492">
      <c r="A492" s="23" t="n"/>
      <c r="B492" s="23" t="n"/>
      <c r="C492" s="23" t="n"/>
      <c r="D492" s="23" t="n"/>
      <c r="E492" s="23" t="n"/>
      <c r="F492" s="23" t="n"/>
      <c r="G492" s="23" t="n"/>
      <c r="H492" s="24" t="n"/>
      <c r="I492" s="23" t="n"/>
      <c r="J492" s="23" t="n"/>
      <c r="K492" s="23" t="n"/>
      <c r="L492" s="23" t="n"/>
      <c r="M492" s="23" t="n"/>
      <c r="N492" s="23" t="n"/>
      <c r="O492" s="23" t="n"/>
      <c r="P492" s="23" t="n"/>
      <c r="Q492" s="23" t="n"/>
      <c r="R492" s="23" t="n"/>
      <c r="S492" s="23" t="n"/>
      <c r="T492" s="23" t="n"/>
      <c r="U492" s="23" t="n"/>
      <c r="V492" s="23" t="n"/>
      <c r="W492" s="23" t="n"/>
      <c r="X492" s="23" t="n"/>
      <c r="Y492" s="25" t="n"/>
      <c r="Z492" s="25" t="n"/>
      <c r="AA492" s="23" t="n"/>
      <c r="AB492" s="25" t="n"/>
      <c r="AC492" s="23" t="n"/>
      <c r="AD492" s="25" t="n"/>
      <c r="AE492" s="23" t="n"/>
      <c r="AF492" s="25" t="n"/>
      <c r="AG492" s="25" t="n"/>
      <c r="AH492" s="23" t="n"/>
      <c r="AI492" s="23" t="n"/>
      <c r="AJ492" s="26">
        <f>IF(I492="","",I492&amp;"|"&amp;R492)</f>
        <v/>
      </c>
      <c r="AK492" s="26">
        <f>IF(I492="","",IF(ISNA(MATCH(O492,Kampanyalar!$A$2:$A$150,0)),"Hayır - Kampanyalar'da Yok","Evet"))</f>
        <v/>
      </c>
      <c r="AL492" s="27">
        <f>IF(I492="","",IFERROR(INDEX(Kampanyalar!$E$2:$E$150,MATCH(O492,Kampanyalar!$A$2:$A$150,0)),""))</f>
        <v/>
      </c>
      <c r="AM492" s="27">
        <f>IF(I492="","",IFERROR(INDEX(Kampanyalar!$F$2:$F$150,MATCH(O492,Kampanyalar!$A$2:$A$150,0)),""))</f>
        <v/>
      </c>
      <c r="AN492" s="27">
        <f>IF(I492="","",IFERROR(INDEX(Kampanyalar!$G$2:$G$150,MATCH(O492,Kampanyalar!$A$2:$A$150,0)),""))</f>
        <v/>
      </c>
      <c r="AO492" s="26">
        <f>IF(OR(I492="",AL492="",AM492=""),"",IF(AND(H492&gt;=AL492,H492&lt;=AM492),"Evet","HAYIR - Tarih Dışı"))</f>
        <v/>
      </c>
      <c r="AP492" s="28">
        <f>IF(I492="","",IFERROR(INDEX(Kampanyalar!$H$2:$H$150,MATCH(O492,Kampanyalar!$A$2:$A$150,0)),""))</f>
        <v/>
      </c>
      <c r="AQ492" s="28">
        <f>IF(I492="","",IF(ISNUMBER(AP492),AP492,AD492))</f>
        <v/>
      </c>
      <c r="AR492" s="26">
        <f>IF(I492="","",IF(Parametreler!$C$7="Evet","Kural A - Hemen Ödeme (Stok Mutabakatlı)","Kural B - Nakliye/Montaj Sonrası Ödeme"))</f>
        <v/>
      </c>
    </row>
    <row r="493">
      <c r="A493" s="23" t="n"/>
      <c r="B493" s="23" t="n"/>
      <c r="C493" s="23" t="n"/>
      <c r="D493" s="23" t="n"/>
      <c r="E493" s="23" t="n"/>
      <c r="F493" s="23" t="n"/>
      <c r="G493" s="23" t="n"/>
      <c r="H493" s="24" t="n"/>
      <c r="I493" s="23" t="n"/>
      <c r="J493" s="23" t="n"/>
      <c r="K493" s="23" t="n"/>
      <c r="L493" s="23" t="n"/>
      <c r="M493" s="23" t="n"/>
      <c r="N493" s="23" t="n"/>
      <c r="O493" s="23" t="n"/>
      <c r="P493" s="23" t="n"/>
      <c r="Q493" s="23" t="n"/>
      <c r="R493" s="23" t="n"/>
      <c r="S493" s="23" t="n"/>
      <c r="T493" s="23" t="n"/>
      <c r="U493" s="23" t="n"/>
      <c r="V493" s="23" t="n"/>
      <c r="W493" s="23" t="n"/>
      <c r="X493" s="23" t="n"/>
      <c r="Y493" s="25" t="n"/>
      <c r="Z493" s="25" t="n"/>
      <c r="AA493" s="23" t="n"/>
      <c r="AB493" s="25" t="n"/>
      <c r="AC493" s="23" t="n"/>
      <c r="AD493" s="25" t="n"/>
      <c r="AE493" s="23" t="n"/>
      <c r="AF493" s="25" t="n"/>
      <c r="AG493" s="25" t="n"/>
      <c r="AH493" s="23" t="n"/>
      <c r="AI493" s="23" t="n"/>
      <c r="AJ493" s="26">
        <f>IF(I493="","",I493&amp;"|"&amp;R493)</f>
        <v/>
      </c>
      <c r="AK493" s="26">
        <f>IF(I493="","",IF(ISNA(MATCH(O493,Kampanyalar!$A$2:$A$150,0)),"Hayır - Kampanyalar'da Yok","Evet"))</f>
        <v/>
      </c>
      <c r="AL493" s="27">
        <f>IF(I493="","",IFERROR(INDEX(Kampanyalar!$E$2:$E$150,MATCH(O493,Kampanyalar!$A$2:$A$150,0)),""))</f>
        <v/>
      </c>
      <c r="AM493" s="27">
        <f>IF(I493="","",IFERROR(INDEX(Kampanyalar!$F$2:$F$150,MATCH(O493,Kampanyalar!$A$2:$A$150,0)),""))</f>
        <v/>
      </c>
      <c r="AN493" s="27">
        <f>IF(I493="","",IFERROR(INDEX(Kampanyalar!$G$2:$G$150,MATCH(O493,Kampanyalar!$A$2:$A$150,0)),""))</f>
        <v/>
      </c>
      <c r="AO493" s="26">
        <f>IF(OR(I493="",AL493="",AM493=""),"",IF(AND(H493&gt;=AL493,H493&lt;=AM493),"Evet","HAYIR - Tarih Dışı"))</f>
        <v/>
      </c>
      <c r="AP493" s="28">
        <f>IF(I493="","",IFERROR(INDEX(Kampanyalar!$H$2:$H$150,MATCH(O493,Kampanyalar!$A$2:$A$150,0)),""))</f>
        <v/>
      </c>
      <c r="AQ493" s="28">
        <f>IF(I493="","",IF(ISNUMBER(AP493),AP493,AD493))</f>
        <v/>
      </c>
      <c r="AR493" s="26">
        <f>IF(I493="","",IF(Parametreler!$C$7="Evet","Kural A - Hemen Ödeme (Stok Mutabakatlı)","Kural B - Nakliye/Montaj Sonrası Ödeme"))</f>
        <v/>
      </c>
    </row>
    <row r="494">
      <c r="A494" s="23" t="n"/>
      <c r="B494" s="23" t="n"/>
      <c r="C494" s="23" t="n"/>
      <c r="D494" s="23" t="n"/>
      <c r="E494" s="23" t="n"/>
      <c r="F494" s="23" t="n"/>
      <c r="G494" s="23" t="n"/>
      <c r="H494" s="24" t="n"/>
      <c r="I494" s="23" t="n"/>
      <c r="J494" s="23" t="n"/>
      <c r="K494" s="23" t="n"/>
      <c r="L494" s="23" t="n"/>
      <c r="M494" s="23" t="n"/>
      <c r="N494" s="23" t="n"/>
      <c r="O494" s="23" t="n"/>
      <c r="P494" s="23" t="n"/>
      <c r="Q494" s="23" t="n"/>
      <c r="R494" s="23" t="n"/>
      <c r="S494" s="23" t="n"/>
      <c r="T494" s="23" t="n"/>
      <c r="U494" s="23" t="n"/>
      <c r="V494" s="23" t="n"/>
      <c r="W494" s="23" t="n"/>
      <c r="X494" s="23" t="n"/>
      <c r="Y494" s="25" t="n"/>
      <c r="Z494" s="25" t="n"/>
      <c r="AA494" s="23" t="n"/>
      <c r="AB494" s="25" t="n"/>
      <c r="AC494" s="23" t="n"/>
      <c r="AD494" s="25" t="n"/>
      <c r="AE494" s="23" t="n"/>
      <c r="AF494" s="25" t="n"/>
      <c r="AG494" s="25" t="n"/>
      <c r="AH494" s="23" t="n"/>
      <c r="AI494" s="23" t="n"/>
      <c r="AJ494" s="26">
        <f>IF(I494="","",I494&amp;"|"&amp;R494)</f>
        <v/>
      </c>
      <c r="AK494" s="26">
        <f>IF(I494="","",IF(ISNA(MATCH(O494,Kampanyalar!$A$2:$A$150,0)),"Hayır - Kampanyalar'da Yok","Evet"))</f>
        <v/>
      </c>
      <c r="AL494" s="27">
        <f>IF(I494="","",IFERROR(INDEX(Kampanyalar!$E$2:$E$150,MATCH(O494,Kampanyalar!$A$2:$A$150,0)),""))</f>
        <v/>
      </c>
      <c r="AM494" s="27">
        <f>IF(I494="","",IFERROR(INDEX(Kampanyalar!$F$2:$F$150,MATCH(O494,Kampanyalar!$A$2:$A$150,0)),""))</f>
        <v/>
      </c>
      <c r="AN494" s="27">
        <f>IF(I494="","",IFERROR(INDEX(Kampanyalar!$G$2:$G$150,MATCH(O494,Kampanyalar!$A$2:$A$150,0)),""))</f>
        <v/>
      </c>
      <c r="AO494" s="26">
        <f>IF(OR(I494="",AL494="",AM494=""),"",IF(AND(H494&gt;=AL494,H494&lt;=AM494),"Evet","HAYIR - Tarih Dışı"))</f>
        <v/>
      </c>
      <c r="AP494" s="28">
        <f>IF(I494="","",IFERROR(INDEX(Kampanyalar!$H$2:$H$150,MATCH(O494,Kampanyalar!$A$2:$A$150,0)),""))</f>
        <v/>
      </c>
      <c r="AQ494" s="28">
        <f>IF(I494="","",IF(ISNUMBER(AP494),AP494,AD494))</f>
        <v/>
      </c>
      <c r="AR494" s="26">
        <f>IF(I494="","",IF(Parametreler!$C$7="Evet","Kural A - Hemen Ödeme (Stok Mutabakatlı)","Kural B - Nakliye/Montaj Sonrası Ödeme"))</f>
        <v/>
      </c>
    </row>
    <row r="495">
      <c r="A495" s="23" t="n"/>
      <c r="B495" s="23" t="n"/>
      <c r="C495" s="23" t="n"/>
      <c r="D495" s="23" t="n"/>
      <c r="E495" s="23" t="n"/>
      <c r="F495" s="23" t="n"/>
      <c r="G495" s="23" t="n"/>
      <c r="H495" s="24" t="n"/>
      <c r="I495" s="23" t="n"/>
      <c r="J495" s="23" t="n"/>
      <c r="K495" s="23" t="n"/>
      <c r="L495" s="23" t="n"/>
      <c r="M495" s="23" t="n"/>
      <c r="N495" s="23" t="n"/>
      <c r="O495" s="23" t="n"/>
      <c r="P495" s="23" t="n"/>
      <c r="Q495" s="23" t="n"/>
      <c r="R495" s="23" t="n"/>
      <c r="S495" s="23" t="n"/>
      <c r="T495" s="23" t="n"/>
      <c r="U495" s="23" t="n"/>
      <c r="V495" s="23" t="n"/>
      <c r="W495" s="23" t="n"/>
      <c r="X495" s="23" t="n"/>
      <c r="Y495" s="25" t="n"/>
      <c r="Z495" s="25" t="n"/>
      <c r="AA495" s="23" t="n"/>
      <c r="AB495" s="25" t="n"/>
      <c r="AC495" s="23" t="n"/>
      <c r="AD495" s="25" t="n"/>
      <c r="AE495" s="23" t="n"/>
      <c r="AF495" s="25" t="n"/>
      <c r="AG495" s="25" t="n"/>
      <c r="AH495" s="23" t="n"/>
      <c r="AI495" s="23" t="n"/>
      <c r="AJ495" s="26">
        <f>IF(I495="","",I495&amp;"|"&amp;R495)</f>
        <v/>
      </c>
      <c r="AK495" s="26">
        <f>IF(I495="","",IF(ISNA(MATCH(O495,Kampanyalar!$A$2:$A$150,0)),"Hayır - Kampanyalar'da Yok","Evet"))</f>
        <v/>
      </c>
      <c r="AL495" s="27">
        <f>IF(I495="","",IFERROR(INDEX(Kampanyalar!$E$2:$E$150,MATCH(O495,Kampanyalar!$A$2:$A$150,0)),""))</f>
        <v/>
      </c>
      <c r="AM495" s="27">
        <f>IF(I495="","",IFERROR(INDEX(Kampanyalar!$F$2:$F$150,MATCH(O495,Kampanyalar!$A$2:$A$150,0)),""))</f>
        <v/>
      </c>
      <c r="AN495" s="27">
        <f>IF(I495="","",IFERROR(INDEX(Kampanyalar!$G$2:$G$150,MATCH(O495,Kampanyalar!$A$2:$A$150,0)),""))</f>
        <v/>
      </c>
      <c r="AO495" s="26">
        <f>IF(OR(I495="",AL495="",AM495=""),"",IF(AND(H495&gt;=AL495,H495&lt;=AM495),"Evet","HAYIR - Tarih Dışı"))</f>
        <v/>
      </c>
      <c r="AP495" s="28">
        <f>IF(I495="","",IFERROR(INDEX(Kampanyalar!$H$2:$H$150,MATCH(O495,Kampanyalar!$A$2:$A$150,0)),""))</f>
        <v/>
      </c>
      <c r="AQ495" s="28">
        <f>IF(I495="","",IF(ISNUMBER(AP495),AP495,AD495))</f>
        <v/>
      </c>
      <c r="AR495" s="26">
        <f>IF(I495="","",IF(Parametreler!$C$7="Evet","Kural A - Hemen Ödeme (Stok Mutabakatlı)","Kural B - Nakliye/Montaj Sonrası Ödeme"))</f>
        <v/>
      </c>
    </row>
    <row r="496">
      <c r="A496" s="23" t="n"/>
      <c r="B496" s="23" t="n"/>
      <c r="C496" s="23" t="n"/>
      <c r="D496" s="23" t="n"/>
      <c r="E496" s="23" t="n"/>
      <c r="F496" s="23" t="n"/>
      <c r="G496" s="23" t="n"/>
      <c r="H496" s="24" t="n"/>
      <c r="I496" s="23" t="n"/>
      <c r="J496" s="23" t="n"/>
      <c r="K496" s="23" t="n"/>
      <c r="L496" s="23" t="n"/>
      <c r="M496" s="23" t="n"/>
      <c r="N496" s="23" t="n"/>
      <c r="O496" s="23" t="n"/>
      <c r="P496" s="23" t="n"/>
      <c r="Q496" s="23" t="n"/>
      <c r="R496" s="23" t="n"/>
      <c r="S496" s="23" t="n"/>
      <c r="T496" s="23" t="n"/>
      <c r="U496" s="23" t="n"/>
      <c r="V496" s="23" t="n"/>
      <c r="W496" s="23" t="n"/>
      <c r="X496" s="23" t="n"/>
      <c r="Y496" s="25" t="n"/>
      <c r="Z496" s="25" t="n"/>
      <c r="AA496" s="23" t="n"/>
      <c r="AB496" s="25" t="n"/>
      <c r="AC496" s="23" t="n"/>
      <c r="AD496" s="25" t="n"/>
      <c r="AE496" s="23" t="n"/>
      <c r="AF496" s="25" t="n"/>
      <c r="AG496" s="25" t="n"/>
      <c r="AH496" s="23" t="n"/>
      <c r="AI496" s="23" t="n"/>
      <c r="AJ496" s="26">
        <f>IF(I496="","",I496&amp;"|"&amp;R496)</f>
        <v/>
      </c>
      <c r="AK496" s="26">
        <f>IF(I496="","",IF(ISNA(MATCH(O496,Kampanyalar!$A$2:$A$150,0)),"Hayır - Kampanyalar'da Yok","Evet"))</f>
        <v/>
      </c>
      <c r="AL496" s="27">
        <f>IF(I496="","",IFERROR(INDEX(Kampanyalar!$E$2:$E$150,MATCH(O496,Kampanyalar!$A$2:$A$150,0)),""))</f>
        <v/>
      </c>
      <c r="AM496" s="27">
        <f>IF(I496="","",IFERROR(INDEX(Kampanyalar!$F$2:$F$150,MATCH(O496,Kampanyalar!$A$2:$A$150,0)),""))</f>
        <v/>
      </c>
      <c r="AN496" s="27">
        <f>IF(I496="","",IFERROR(INDEX(Kampanyalar!$G$2:$G$150,MATCH(O496,Kampanyalar!$A$2:$A$150,0)),""))</f>
        <v/>
      </c>
      <c r="AO496" s="26">
        <f>IF(OR(I496="",AL496="",AM496=""),"",IF(AND(H496&gt;=AL496,H496&lt;=AM496),"Evet","HAYIR - Tarih Dışı"))</f>
        <v/>
      </c>
      <c r="AP496" s="28">
        <f>IF(I496="","",IFERROR(INDEX(Kampanyalar!$H$2:$H$150,MATCH(O496,Kampanyalar!$A$2:$A$150,0)),""))</f>
        <v/>
      </c>
      <c r="AQ496" s="28">
        <f>IF(I496="","",IF(ISNUMBER(AP496),AP496,AD496))</f>
        <v/>
      </c>
      <c r="AR496" s="26">
        <f>IF(I496="","",IF(Parametreler!$C$7="Evet","Kural A - Hemen Ödeme (Stok Mutabakatlı)","Kural B - Nakliye/Montaj Sonrası Ödeme"))</f>
        <v/>
      </c>
    </row>
    <row r="497">
      <c r="A497" s="23" t="n"/>
      <c r="B497" s="23" t="n"/>
      <c r="C497" s="23" t="n"/>
      <c r="D497" s="23" t="n"/>
      <c r="E497" s="23" t="n"/>
      <c r="F497" s="23" t="n"/>
      <c r="G497" s="23" t="n"/>
      <c r="H497" s="24" t="n"/>
      <c r="I497" s="23" t="n"/>
      <c r="J497" s="23" t="n"/>
      <c r="K497" s="23" t="n"/>
      <c r="L497" s="23" t="n"/>
      <c r="M497" s="23" t="n"/>
      <c r="N497" s="23" t="n"/>
      <c r="O497" s="23" t="n"/>
      <c r="P497" s="23" t="n"/>
      <c r="Q497" s="23" t="n"/>
      <c r="R497" s="23" t="n"/>
      <c r="S497" s="23" t="n"/>
      <c r="T497" s="23" t="n"/>
      <c r="U497" s="23" t="n"/>
      <c r="V497" s="23" t="n"/>
      <c r="W497" s="23" t="n"/>
      <c r="X497" s="23" t="n"/>
      <c r="Y497" s="25" t="n"/>
      <c r="Z497" s="25" t="n"/>
      <c r="AA497" s="23" t="n"/>
      <c r="AB497" s="25" t="n"/>
      <c r="AC497" s="23" t="n"/>
      <c r="AD497" s="25" t="n"/>
      <c r="AE497" s="23" t="n"/>
      <c r="AF497" s="25" t="n"/>
      <c r="AG497" s="25" t="n"/>
      <c r="AH497" s="23" t="n"/>
      <c r="AI497" s="23" t="n"/>
      <c r="AJ497" s="26">
        <f>IF(I497="","",I497&amp;"|"&amp;R497)</f>
        <v/>
      </c>
      <c r="AK497" s="26">
        <f>IF(I497="","",IF(ISNA(MATCH(O497,Kampanyalar!$A$2:$A$150,0)),"Hayır - Kampanyalar'da Yok","Evet"))</f>
        <v/>
      </c>
      <c r="AL497" s="27">
        <f>IF(I497="","",IFERROR(INDEX(Kampanyalar!$E$2:$E$150,MATCH(O497,Kampanyalar!$A$2:$A$150,0)),""))</f>
        <v/>
      </c>
      <c r="AM497" s="27">
        <f>IF(I497="","",IFERROR(INDEX(Kampanyalar!$F$2:$F$150,MATCH(O497,Kampanyalar!$A$2:$A$150,0)),""))</f>
        <v/>
      </c>
      <c r="AN497" s="27">
        <f>IF(I497="","",IFERROR(INDEX(Kampanyalar!$G$2:$G$150,MATCH(O497,Kampanyalar!$A$2:$A$150,0)),""))</f>
        <v/>
      </c>
      <c r="AO497" s="26">
        <f>IF(OR(I497="",AL497="",AM497=""),"",IF(AND(H497&gt;=AL497,H497&lt;=AM497),"Evet","HAYIR - Tarih Dışı"))</f>
        <v/>
      </c>
      <c r="AP497" s="28">
        <f>IF(I497="","",IFERROR(INDEX(Kampanyalar!$H$2:$H$150,MATCH(O497,Kampanyalar!$A$2:$A$150,0)),""))</f>
        <v/>
      </c>
      <c r="AQ497" s="28">
        <f>IF(I497="","",IF(ISNUMBER(AP497),AP497,AD497))</f>
        <v/>
      </c>
      <c r="AR497" s="26">
        <f>IF(I497="","",IF(Parametreler!$C$7="Evet","Kural A - Hemen Ödeme (Stok Mutabakatlı)","Kural B - Nakliye/Montaj Sonrası Ödeme"))</f>
        <v/>
      </c>
    </row>
    <row r="498">
      <c r="A498" s="23" t="n"/>
      <c r="B498" s="23" t="n"/>
      <c r="C498" s="23" t="n"/>
      <c r="D498" s="23" t="n"/>
      <c r="E498" s="23" t="n"/>
      <c r="F498" s="23" t="n"/>
      <c r="G498" s="23" t="n"/>
      <c r="H498" s="24" t="n"/>
      <c r="I498" s="23" t="n"/>
      <c r="J498" s="23" t="n"/>
      <c r="K498" s="23" t="n"/>
      <c r="L498" s="23" t="n"/>
      <c r="M498" s="23" t="n"/>
      <c r="N498" s="23" t="n"/>
      <c r="O498" s="23" t="n"/>
      <c r="P498" s="23" t="n"/>
      <c r="Q498" s="23" t="n"/>
      <c r="R498" s="23" t="n"/>
      <c r="S498" s="23" t="n"/>
      <c r="T498" s="23" t="n"/>
      <c r="U498" s="23" t="n"/>
      <c r="V498" s="23" t="n"/>
      <c r="W498" s="23" t="n"/>
      <c r="X498" s="23" t="n"/>
      <c r="Y498" s="25" t="n"/>
      <c r="Z498" s="25" t="n"/>
      <c r="AA498" s="23" t="n"/>
      <c r="AB498" s="25" t="n"/>
      <c r="AC498" s="23" t="n"/>
      <c r="AD498" s="25" t="n"/>
      <c r="AE498" s="23" t="n"/>
      <c r="AF498" s="25" t="n"/>
      <c r="AG498" s="25" t="n"/>
      <c r="AH498" s="23" t="n"/>
      <c r="AI498" s="23" t="n"/>
      <c r="AJ498" s="26">
        <f>IF(I498="","",I498&amp;"|"&amp;R498)</f>
        <v/>
      </c>
      <c r="AK498" s="26">
        <f>IF(I498="","",IF(ISNA(MATCH(O498,Kampanyalar!$A$2:$A$150,0)),"Hayır - Kampanyalar'da Yok","Evet"))</f>
        <v/>
      </c>
      <c r="AL498" s="27">
        <f>IF(I498="","",IFERROR(INDEX(Kampanyalar!$E$2:$E$150,MATCH(O498,Kampanyalar!$A$2:$A$150,0)),""))</f>
        <v/>
      </c>
      <c r="AM498" s="27">
        <f>IF(I498="","",IFERROR(INDEX(Kampanyalar!$F$2:$F$150,MATCH(O498,Kampanyalar!$A$2:$A$150,0)),""))</f>
        <v/>
      </c>
      <c r="AN498" s="27">
        <f>IF(I498="","",IFERROR(INDEX(Kampanyalar!$G$2:$G$150,MATCH(O498,Kampanyalar!$A$2:$A$150,0)),""))</f>
        <v/>
      </c>
      <c r="AO498" s="26">
        <f>IF(OR(I498="",AL498="",AM498=""),"",IF(AND(H498&gt;=AL498,H498&lt;=AM498),"Evet","HAYIR - Tarih Dışı"))</f>
        <v/>
      </c>
      <c r="AP498" s="28">
        <f>IF(I498="","",IFERROR(INDEX(Kampanyalar!$H$2:$H$150,MATCH(O498,Kampanyalar!$A$2:$A$150,0)),""))</f>
        <v/>
      </c>
      <c r="AQ498" s="28">
        <f>IF(I498="","",IF(ISNUMBER(AP498),AP498,AD498))</f>
        <v/>
      </c>
      <c r="AR498" s="26">
        <f>IF(I498="","",IF(Parametreler!$C$7="Evet","Kural A - Hemen Ödeme (Stok Mutabakatlı)","Kural B - Nakliye/Montaj Sonrası Ödeme"))</f>
        <v/>
      </c>
    </row>
    <row r="499">
      <c r="A499" s="23" t="n"/>
      <c r="B499" s="23" t="n"/>
      <c r="C499" s="23" t="n"/>
      <c r="D499" s="23" t="n"/>
      <c r="E499" s="23" t="n"/>
      <c r="F499" s="23" t="n"/>
      <c r="G499" s="23" t="n"/>
      <c r="H499" s="24" t="n"/>
      <c r="I499" s="23" t="n"/>
      <c r="J499" s="23" t="n"/>
      <c r="K499" s="23" t="n"/>
      <c r="L499" s="23" t="n"/>
      <c r="M499" s="23" t="n"/>
      <c r="N499" s="23" t="n"/>
      <c r="O499" s="23" t="n"/>
      <c r="P499" s="23" t="n"/>
      <c r="Q499" s="23" t="n"/>
      <c r="R499" s="23" t="n"/>
      <c r="S499" s="23" t="n"/>
      <c r="T499" s="23" t="n"/>
      <c r="U499" s="23" t="n"/>
      <c r="V499" s="23" t="n"/>
      <c r="W499" s="23" t="n"/>
      <c r="X499" s="23" t="n"/>
      <c r="Y499" s="25" t="n"/>
      <c r="Z499" s="25" t="n"/>
      <c r="AA499" s="23" t="n"/>
      <c r="AB499" s="25" t="n"/>
      <c r="AC499" s="23" t="n"/>
      <c r="AD499" s="25" t="n"/>
      <c r="AE499" s="23" t="n"/>
      <c r="AF499" s="25" t="n"/>
      <c r="AG499" s="25" t="n"/>
      <c r="AH499" s="23" t="n"/>
      <c r="AI499" s="23" t="n"/>
      <c r="AJ499" s="26">
        <f>IF(I499="","",I499&amp;"|"&amp;R499)</f>
        <v/>
      </c>
      <c r="AK499" s="26">
        <f>IF(I499="","",IF(ISNA(MATCH(O499,Kampanyalar!$A$2:$A$150,0)),"Hayır - Kampanyalar'da Yok","Evet"))</f>
        <v/>
      </c>
      <c r="AL499" s="27">
        <f>IF(I499="","",IFERROR(INDEX(Kampanyalar!$E$2:$E$150,MATCH(O499,Kampanyalar!$A$2:$A$150,0)),""))</f>
        <v/>
      </c>
      <c r="AM499" s="27">
        <f>IF(I499="","",IFERROR(INDEX(Kampanyalar!$F$2:$F$150,MATCH(O499,Kampanyalar!$A$2:$A$150,0)),""))</f>
        <v/>
      </c>
      <c r="AN499" s="27">
        <f>IF(I499="","",IFERROR(INDEX(Kampanyalar!$G$2:$G$150,MATCH(O499,Kampanyalar!$A$2:$A$150,0)),""))</f>
        <v/>
      </c>
      <c r="AO499" s="26">
        <f>IF(OR(I499="",AL499="",AM499=""),"",IF(AND(H499&gt;=AL499,H499&lt;=AM499),"Evet","HAYIR - Tarih Dışı"))</f>
        <v/>
      </c>
      <c r="AP499" s="28">
        <f>IF(I499="","",IFERROR(INDEX(Kampanyalar!$H$2:$H$150,MATCH(O499,Kampanyalar!$A$2:$A$150,0)),""))</f>
        <v/>
      </c>
      <c r="AQ499" s="28">
        <f>IF(I499="","",IF(ISNUMBER(AP499),AP499,AD499))</f>
        <v/>
      </c>
      <c r="AR499" s="26">
        <f>IF(I499="","",IF(Parametreler!$C$7="Evet","Kural A - Hemen Ödeme (Stok Mutabakatlı)","Kural B - Nakliye/Montaj Sonrası Ödeme"))</f>
        <v/>
      </c>
    </row>
    <row r="500">
      <c r="A500" s="23" t="n"/>
      <c r="B500" s="23" t="n"/>
      <c r="C500" s="23" t="n"/>
      <c r="D500" s="23" t="n"/>
      <c r="E500" s="23" t="n"/>
      <c r="F500" s="23" t="n"/>
      <c r="G500" s="23" t="n"/>
      <c r="H500" s="24" t="n"/>
      <c r="I500" s="23" t="n"/>
      <c r="J500" s="23" t="n"/>
      <c r="K500" s="23" t="n"/>
      <c r="L500" s="23" t="n"/>
      <c r="M500" s="23" t="n"/>
      <c r="N500" s="23" t="n"/>
      <c r="O500" s="23" t="n"/>
      <c r="P500" s="23" t="n"/>
      <c r="Q500" s="23" t="n"/>
      <c r="R500" s="23" t="n"/>
      <c r="S500" s="23" t="n"/>
      <c r="T500" s="23" t="n"/>
      <c r="U500" s="23" t="n"/>
      <c r="V500" s="23" t="n"/>
      <c r="W500" s="23" t="n"/>
      <c r="X500" s="23" t="n"/>
      <c r="Y500" s="25" t="n"/>
      <c r="Z500" s="25" t="n"/>
      <c r="AA500" s="23" t="n"/>
      <c r="AB500" s="25" t="n"/>
      <c r="AC500" s="23" t="n"/>
      <c r="AD500" s="25" t="n"/>
      <c r="AE500" s="23" t="n"/>
      <c r="AF500" s="25" t="n"/>
      <c r="AG500" s="25" t="n"/>
      <c r="AH500" s="23" t="n"/>
      <c r="AI500" s="23" t="n"/>
      <c r="AJ500" s="26">
        <f>IF(I500="","",I500&amp;"|"&amp;R500)</f>
        <v/>
      </c>
      <c r="AK500" s="26">
        <f>IF(I500="","",IF(ISNA(MATCH(O500,Kampanyalar!$A$2:$A$150,0)),"Hayır - Kampanyalar'da Yok","Evet"))</f>
        <v/>
      </c>
      <c r="AL500" s="27">
        <f>IF(I500="","",IFERROR(INDEX(Kampanyalar!$E$2:$E$150,MATCH(O500,Kampanyalar!$A$2:$A$150,0)),""))</f>
        <v/>
      </c>
      <c r="AM500" s="27">
        <f>IF(I500="","",IFERROR(INDEX(Kampanyalar!$F$2:$F$150,MATCH(O500,Kampanyalar!$A$2:$A$150,0)),""))</f>
        <v/>
      </c>
      <c r="AN500" s="27">
        <f>IF(I500="","",IFERROR(INDEX(Kampanyalar!$G$2:$G$150,MATCH(O500,Kampanyalar!$A$2:$A$150,0)),""))</f>
        <v/>
      </c>
      <c r="AO500" s="26">
        <f>IF(OR(I500="",AL500="",AM500=""),"",IF(AND(H500&gt;=AL500,H500&lt;=AM500),"Evet","HAYIR - Tarih Dışı"))</f>
        <v/>
      </c>
      <c r="AP500" s="28">
        <f>IF(I500="","",IFERROR(INDEX(Kampanyalar!$H$2:$H$150,MATCH(O500,Kampanyalar!$A$2:$A$150,0)),""))</f>
        <v/>
      </c>
      <c r="AQ500" s="28">
        <f>IF(I500="","",IF(ISNUMBER(AP500),AP500,AD500))</f>
        <v/>
      </c>
      <c r="AR500" s="26">
        <f>IF(I500="","",IF(Parametreler!$C$7="Evet","Kural A - Hemen Ödeme (Stok Mutabakatlı)","Kural B - Nakliye/Montaj Sonrası Ödeme"))</f>
        <v/>
      </c>
    </row>
    <row r="501">
      <c r="A501" s="23" t="n"/>
      <c r="B501" s="23" t="n"/>
      <c r="C501" s="23" t="n"/>
      <c r="D501" s="23" t="n"/>
      <c r="E501" s="23" t="n"/>
      <c r="F501" s="23" t="n"/>
      <c r="G501" s="23" t="n"/>
      <c r="H501" s="24" t="n"/>
      <c r="I501" s="23" t="n"/>
      <c r="J501" s="23" t="n"/>
      <c r="K501" s="23" t="n"/>
      <c r="L501" s="23" t="n"/>
      <c r="M501" s="23" t="n"/>
      <c r="N501" s="23" t="n"/>
      <c r="O501" s="23" t="n"/>
      <c r="P501" s="23" t="n"/>
      <c r="Q501" s="23" t="n"/>
      <c r="R501" s="23" t="n"/>
      <c r="S501" s="23" t="n"/>
      <c r="T501" s="23" t="n"/>
      <c r="U501" s="23" t="n"/>
      <c r="V501" s="23" t="n"/>
      <c r="W501" s="23" t="n"/>
      <c r="X501" s="23" t="n"/>
      <c r="Y501" s="25" t="n"/>
      <c r="Z501" s="25" t="n"/>
      <c r="AA501" s="23" t="n"/>
      <c r="AB501" s="25" t="n"/>
      <c r="AC501" s="23" t="n"/>
      <c r="AD501" s="25" t="n"/>
      <c r="AE501" s="23" t="n"/>
      <c r="AF501" s="25" t="n"/>
      <c r="AG501" s="25" t="n"/>
      <c r="AH501" s="23" t="n"/>
      <c r="AI501" s="23" t="n"/>
      <c r="AJ501" s="26">
        <f>IF(I501="","",I501&amp;"|"&amp;R501)</f>
        <v/>
      </c>
      <c r="AK501" s="26">
        <f>IF(I501="","",IF(ISNA(MATCH(O501,Kampanyalar!$A$2:$A$150,0)),"Hayır - Kampanyalar'da Yok","Evet"))</f>
        <v/>
      </c>
      <c r="AL501" s="27">
        <f>IF(I501="","",IFERROR(INDEX(Kampanyalar!$E$2:$E$150,MATCH(O501,Kampanyalar!$A$2:$A$150,0)),""))</f>
        <v/>
      </c>
      <c r="AM501" s="27">
        <f>IF(I501="","",IFERROR(INDEX(Kampanyalar!$F$2:$F$150,MATCH(O501,Kampanyalar!$A$2:$A$150,0)),""))</f>
        <v/>
      </c>
      <c r="AN501" s="27">
        <f>IF(I501="","",IFERROR(INDEX(Kampanyalar!$G$2:$G$150,MATCH(O501,Kampanyalar!$A$2:$A$150,0)),""))</f>
        <v/>
      </c>
      <c r="AO501" s="26">
        <f>IF(OR(I501="",AL501="",AM501=""),"",IF(AND(H501&gt;=AL501,H501&lt;=AM501),"Evet","HAYIR - Tarih Dışı"))</f>
        <v/>
      </c>
      <c r="AP501" s="28">
        <f>IF(I501="","",IFERROR(INDEX(Kampanyalar!$H$2:$H$150,MATCH(O501,Kampanyalar!$A$2:$A$150,0)),""))</f>
        <v/>
      </c>
      <c r="AQ501" s="28">
        <f>IF(I501="","",IF(ISNUMBER(AP501),AP501,AD501))</f>
        <v/>
      </c>
      <c r="AR501" s="26">
        <f>IF(I501="","",IF(Parametreler!$C$7="Evet","Kural A - Hemen Ödeme (Stok Mutabakatlı)","Kural B - Nakliye/Montaj Sonrası Ödeme"))</f>
        <v/>
      </c>
    </row>
    <row r="502">
      <c r="A502" s="23" t="n"/>
      <c r="B502" s="23" t="n"/>
      <c r="C502" s="23" t="n"/>
      <c r="D502" s="23" t="n"/>
      <c r="E502" s="23" t="n"/>
      <c r="F502" s="23" t="n"/>
      <c r="G502" s="23" t="n"/>
      <c r="H502" s="24" t="n"/>
      <c r="I502" s="23" t="n"/>
      <c r="J502" s="23" t="n"/>
      <c r="K502" s="23" t="n"/>
      <c r="L502" s="23" t="n"/>
      <c r="M502" s="23" t="n"/>
      <c r="N502" s="23" t="n"/>
      <c r="O502" s="23" t="n"/>
      <c r="P502" s="23" t="n"/>
      <c r="Q502" s="23" t="n"/>
      <c r="R502" s="23" t="n"/>
      <c r="S502" s="23" t="n"/>
      <c r="T502" s="23" t="n"/>
      <c r="U502" s="23" t="n"/>
      <c r="V502" s="23" t="n"/>
      <c r="W502" s="23" t="n"/>
      <c r="X502" s="23" t="n"/>
      <c r="Y502" s="25" t="n"/>
      <c r="Z502" s="25" t="n"/>
      <c r="AA502" s="23" t="n"/>
      <c r="AB502" s="25" t="n"/>
      <c r="AC502" s="23" t="n"/>
      <c r="AD502" s="25" t="n"/>
      <c r="AE502" s="23" t="n"/>
      <c r="AF502" s="25" t="n"/>
      <c r="AG502" s="25" t="n"/>
      <c r="AH502" s="23" t="n"/>
      <c r="AI502" s="23" t="n"/>
      <c r="AJ502" s="26">
        <f>IF(I502="","",I502&amp;"|"&amp;R502)</f>
        <v/>
      </c>
      <c r="AK502" s="26">
        <f>IF(I502="","",IF(ISNA(MATCH(O502,Kampanyalar!$A$2:$A$150,0)),"Hayır - Kampanyalar'da Yok","Evet"))</f>
        <v/>
      </c>
      <c r="AL502" s="27">
        <f>IF(I502="","",IFERROR(INDEX(Kampanyalar!$E$2:$E$150,MATCH(O502,Kampanyalar!$A$2:$A$150,0)),""))</f>
        <v/>
      </c>
      <c r="AM502" s="27">
        <f>IF(I502="","",IFERROR(INDEX(Kampanyalar!$F$2:$F$150,MATCH(O502,Kampanyalar!$A$2:$A$150,0)),""))</f>
        <v/>
      </c>
      <c r="AN502" s="27">
        <f>IF(I502="","",IFERROR(INDEX(Kampanyalar!$G$2:$G$150,MATCH(O502,Kampanyalar!$A$2:$A$150,0)),""))</f>
        <v/>
      </c>
      <c r="AO502" s="26">
        <f>IF(OR(I502="",AL502="",AM502=""),"",IF(AND(H502&gt;=AL502,H502&lt;=AM502),"Evet","HAYIR - Tarih Dışı"))</f>
        <v/>
      </c>
      <c r="AP502" s="28">
        <f>IF(I502="","",IFERROR(INDEX(Kampanyalar!$H$2:$H$150,MATCH(O502,Kampanyalar!$A$2:$A$150,0)),""))</f>
        <v/>
      </c>
      <c r="AQ502" s="28">
        <f>IF(I502="","",IF(ISNUMBER(AP502),AP502,AD502))</f>
        <v/>
      </c>
      <c r="AR502" s="26">
        <f>IF(I502="","",IF(Parametreler!$C$7="Evet","Kural A - Hemen Ödeme (Stok Mutabakatlı)","Kural B - Nakliye/Montaj Sonrası Ödeme"))</f>
        <v/>
      </c>
    </row>
    <row r="503">
      <c r="A503" s="23" t="n"/>
      <c r="B503" s="23" t="n"/>
      <c r="C503" s="23" t="n"/>
      <c r="D503" s="23" t="n"/>
      <c r="E503" s="23" t="n"/>
      <c r="F503" s="23" t="n"/>
      <c r="G503" s="23" t="n"/>
      <c r="H503" s="24" t="n"/>
      <c r="I503" s="23" t="n"/>
      <c r="J503" s="23" t="n"/>
      <c r="K503" s="23" t="n"/>
      <c r="L503" s="23" t="n"/>
      <c r="M503" s="23" t="n"/>
      <c r="N503" s="23" t="n"/>
      <c r="O503" s="23" t="n"/>
      <c r="P503" s="23" t="n"/>
      <c r="Q503" s="23" t="n"/>
      <c r="R503" s="23" t="n"/>
      <c r="S503" s="23" t="n"/>
      <c r="T503" s="23" t="n"/>
      <c r="U503" s="23" t="n"/>
      <c r="V503" s="23" t="n"/>
      <c r="W503" s="23" t="n"/>
      <c r="X503" s="23" t="n"/>
      <c r="Y503" s="25" t="n"/>
      <c r="Z503" s="25" t="n"/>
      <c r="AA503" s="23" t="n"/>
      <c r="AB503" s="25" t="n"/>
      <c r="AC503" s="23" t="n"/>
      <c r="AD503" s="25" t="n"/>
      <c r="AE503" s="23" t="n"/>
      <c r="AF503" s="25" t="n"/>
      <c r="AG503" s="25" t="n"/>
      <c r="AH503" s="23" t="n"/>
      <c r="AI503" s="23" t="n"/>
      <c r="AJ503" s="26">
        <f>IF(I503="","",I503&amp;"|"&amp;R503)</f>
        <v/>
      </c>
      <c r="AK503" s="26">
        <f>IF(I503="","",IF(ISNA(MATCH(O503,Kampanyalar!$A$2:$A$150,0)),"Hayır - Kampanyalar'da Yok","Evet"))</f>
        <v/>
      </c>
      <c r="AL503" s="27">
        <f>IF(I503="","",IFERROR(INDEX(Kampanyalar!$E$2:$E$150,MATCH(O503,Kampanyalar!$A$2:$A$150,0)),""))</f>
        <v/>
      </c>
      <c r="AM503" s="27">
        <f>IF(I503="","",IFERROR(INDEX(Kampanyalar!$F$2:$F$150,MATCH(O503,Kampanyalar!$A$2:$A$150,0)),""))</f>
        <v/>
      </c>
      <c r="AN503" s="27">
        <f>IF(I503="","",IFERROR(INDEX(Kampanyalar!$G$2:$G$150,MATCH(O503,Kampanyalar!$A$2:$A$150,0)),""))</f>
        <v/>
      </c>
      <c r="AO503" s="26">
        <f>IF(OR(I503="",AL503="",AM503=""),"",IF(AND(H503&gt;=AL503,H503&lt;=AM503),"Evet","HAYIR - Tarih Dışı"))</f>
        <v/>
      </c>
      <c r="AP503" s="28">
        <f>IF(I503="","",IFERROR(INDEX(Kampanyalar!$H$2:$H$150,MATCH(O503,Kampanyalar!$A$2:$A$150,0)),""))</f>
        <v/>
      </c>
      <c r="AQ503" s="28">
        <f>IF(I503="","",IF(ISNUMBER(AP503),AP503,AD503))</f>
        <v/>
      </c>
      <c r="AR503" s="26">
        <f>IF(I503="","",IF(Parametreler!$C$7="Evet","Kural A - Hemen Ödeme (Stok Mutabakatlı)","Kural B - Nakliye/Montaj Sonrası Ödeme"))</f>
        <v/>
      </c>
    </row>
    <row r="504">
      <c r="A504" s="23" t="n"/>
      <c r="B504" s="23" t="n"/>
      <c r="C504" s="23" t="n"/>
      <c r="D504" s="23" t="n"/>
      <c r="E504" s="23" t="n"/>
      <c r="F504" s="23" t="n"/>
      <c r="G504" s="23" t="n"/>
      <c r="H504" s="24" t="n"/>
      <c r="I504" s="23" t="n"/>
      <c r="J504" s="23" t="n"/>
      <c r="K504" s="23" t="n"/>
      <c r="L504" s="23" t="n"/>
      <c r="M504" s="23" t="n"/>
      <c r="N504" s="23" t="n"/>
      <c r="O504" s="23" t="n"/>
      <c r="P504" s="23" t="n"/>
      <c r="Q504" s="23" t="n"/>
      <c r="R504" s="23" t="n"/>
      <c r="S504" s="23" t="n"/>
      <c r="T504" s="23" t="n"/>
      <c r="U504" s="23" t="n"/>
      <c r="V504" s="23" t="n"/>
      <c r="W504" s="23" t="n"/>
      <c r="X504" s="23" t="n"/>
      <c r="Y504" s="25" t="n"/>
      <c r="Z504" s="25" t="n"/>
      <c r="AA504" s="23" t="n"/>
      <c r="AB504" s="25" t="n"/>
      <c r="AC504" s="23" t="n"/>
      <c r="AD504" s="25" t="n"/>
      <c r="AE504" s="23" t="n"/>
      <c r="AF504" s="25" t="n"/>
      <c r="AG504" s="25" t="n"/>
      <c r="AH504" s="23" t="n"/>
      <c r="AI504" s="23" t="n"/>
      <c r="AJ504" s="26">
        <f>IF(I504="","",I504&amp;"|"&amp;R504)</f>
        <v/>
      </c>
      <c r="AK504" s="26">
        <f>IF(I504="","",IF(ISNA(MATCH(O504,Kampanyalar!$A$2:$A$150,0)),"Hayır - Kampanyalar'da Yok","Evet"))</f>
        <v/>
      </c>
      <c r="AL504" s="27">
        <f>IF(I504="","",IFERROR(INDEX(Kampanyalar!$E$2:$E$150,MATCH(O504,Kampanyalar!$A$2:$A$150,0)),""))</f>
        <v/>
      </c>
      <c r="AM504" s="27">
        <f>IF(I504="","",IFERROR(INDEX(Kampanyalar!$F$2:$F$150,MATCH(O504,Kampanyalar!$A$2:$A$150,0)),""))</f>
        <v/>
      </c>
      <c r="AN504" s="27">
        <f>IF(I504="","",IFERROR(INDEX(Kampanyalar!$G$2:$G$150,MATCH(O504,Kampanyalar!$A$2:$A$150,0)),""))</f>
        <v/>
      </c>
      <c r="AO504" s="26">
        <f>IF(OR(I504="",AL504="",AM504=""),"",IF(AND(H504&gt;=AL504,H504&lt;=AM504),"Evet","HAYIR - Tarih Dışı"))</f>
        <v/>
      </c>
      <c r="AP504" s="28">
        <f>IF(I504="","",IFERROR(INDEX(Kampanyalar!$H$2:$H$150,MATCH(O504,Kampanyalar!$A$2:$A$150,0)),""))</f>
        <v/>
      </c>
      <c r="AQ504" s="28">
        <f>IF(I504="","",IF(ISNUMBER(AP504),AP504,AD504))</f>
        <v/>
      </c>
      <c r="AR504" s="26">
        <f>IF(I504="","",IF(Parametreler!$C$7="Evet","Kural A - Hemen Ödeme (Stok Mutabakatlı)","Kural B - Nakliye/Montaj Sonrası Ödeme"))</f>
        <v/>
      </c>
    </row>
    <row r="505">
      <c r="A505" s="23" t="n"/>
      <c r="B505" s="23" t="n"/>
      <c r="C505" s="23" t="n"/>
      <c r="D505" s="23" t="n"/>
      <c r="E505" s="23" t="n"/>
      <c r="F505" s="23" t="n"/>
      <c r="G505" s="23" t="n"/>
      <c r="H505" s="24" t="n"/>
      <c r="I505" s="23" t="n"/>
      <c r="J505" s="23" t="n"/>
      <c r="K505" s="23" t="n"/>
      <c r="L505" s="23" t="n"/>
      <c r="M505" s="23" t="n"/>
      <c r="N505" s="23" t="n"/>
      <c r="O505" s="23" t="n"/>
      <c r="P505" s="23" t="n"/>
      <c r="Q505" s="23" t="n"/>
      <c r="R505" s="23" t="n"/>
      <c r="S505" s="23" t="n"/>
      <c r="T505" s="23" t="n"/>
      <c r="U505" s="23" t="n"/>
      <c r="V505" s="23" t="n"/>
      <c r="W505" s="23" t="n"/>
      <c r="X505" s="23" t="n"/>
      <c r="Y505" s="25" t="n"/>
      <c r="Z505" s="25" t="n"/>
      <c r="AA505" s="23" t="n"/>
      <c r="AB505" s="25" t="n"/>
      <c r="AC505" s="23" t="n"/>
      <c r="AD505" s="25" t="n"/>
      <c r="AE505" s="23" t="n"/>
      <c r="AF505" s="25" t="n"/>
      <c r="AG505" s="25" t="n"/>
      <c r="AH505" s="23" t="n"/>
      <c r="AI505" s="23" t="n"/>
      <c r="AJ505" s="26">
        <f>IF(I505="","",I505&amp;"|"&amp;R505)</f>
        <v/>
      </c>
      <c r="AK505" s="26">
        <f>IF(I505="","",IF(ISNA(MATCH(O505,Kampanyalar!$A$2:$A$150,0)),"Hayır - Kampanyalar'da Yok","Evet"))</f>
        <v/>
      </c>
      <c r="AL505" s="27">
        <f>IF(I505="","",IFERROR(INDEX(Kampanyalar!$E$2:$E$150,MATCH(O505,Kampanyalar!$A$2:$A$150,0)),""))</f>
        <v/>
      </c>
      <c r="AM505" s="27">
        <f>IF(I505="","",IFERROR(INDEX(Kampanyalar!$F$2:$F$150,MATCH(O505,Kampanyalar!$A$2:$A$150,0)),""))</f>
        <v/>
      </c>
      <c r="AN505" s="27">
        <f>IF(I505="","",IFERROR(INDEX(Kampanyalar!$G$2:$G$150,MATCH(O505,Kampanyalar!$A$2:$A$150,0)),""))</f>
        <v/>
      </c>
      <c r="AO505" s="26">
        <f>IF(OR(I505="",AL505="",AM505=""),"",IF(AND(H505&gt;=AL505,H505&lt;=AM505),"Evet","HAYIR - Tarih Dışı"))</f>
        <v/>
      </c>
      <c r="AP505" s="28">
        <f>IF(I505="","",IFERROR(INDEX(Kampanyalar!$H$2:$H$150,MATCH(O505,Kampanyalar!$A$2:$A$150,0)),""))</f>
        <v/>
      </c>
      <c r="AQ505" s="28">
        <f>IF(I505="","",IF(ISNUMBER(AP505),AP505,AD505))</f>
        <v/>
      </c>
      <c r="AR505" s="26">
        <f>IF(I505="","",IF(Parametreler!$C$7="Evet","Kural A - Hemen Ödeme (Stok Mutabakatlı)","Kural B - Nakliye/Montaj Sonrası Ödeme"))</f>
        <v/>
      </c>
    </row>
    <row r="506">
      <c r="A506" s="23" t="n"/>
      <c r="B506" s="23" t="n"/>
      <c r="C506" s="23" t="n"/>
      <c r="D506" s="23" t="n"/>
      <c r="E506" s="23" t="n"/>
      <c r="F506" s="23" t="n"/>
      <c r="G506" s="23" t="n"/>
      <c r="H506" s="24" t="n"/>
      <c r="I506" s="23" t="n"/>
      <c r="J506" s="23" t="n"/>
      <c r="K506" s="23" t="n"/>
      <c r="L506" s="23" t="n"/>
      <c r="M506" s="23" t="n"/>
      <c r="N506" s="23" t="n"/>
      <c r="O506" s="23" t="n"/>
      <c r="P506" s="23" t="n"/>
      <c r="Q506" s="23" t="n"/>
      <c r="R506" s="23" t="n"/>
      <c r="S506" s="23" t="n"/>
      <c r="T506" s="23" t="n"/>
      <c r="U506" s="23" t="n"/>
      <c r="V506" s="23" t="n"/>
      <c r="W506" s="23" t="n"/>
      <c r="X506" s="23" t="n"/>
      <c r="Y506" s="25" t="n"/>
      <c r="Z506" s="25" t="n"/>
      <c r="AA506" s="23" t="n"/>
      <c r="AB506" s="25" t="n"/>
      <c r="AC506" s="23" t="n"/>
      <c r="AD506" s="25" t="n"/>
      <c r="AE506" s="23" t="n"/>
      <c r="AF506" s="25" t="n"/>
      <c r="AG506" s="25" t="n"/>
      <c r="AH506" s="23" t="n"/>
      <c r="AI506" s="23" t="n"/>
      <c r="AJ506" s="26">
        <f>IF(I506="","",I506&amp;"|"&amp;R506)</f>
        <v/>
      </c>
      <c r="AK506" s="26">
        <f>IF(I506="","",IF(ISNA(MATCH(O506,Kampanyalar!$A$2:$A$150,0)),"Hayır - Kampanyalar'da Yok","Evet"))</f>
        <v/>
      </c>
      <c r="AL506" s="27">
        <f>IF(I506="","",IFERROR(INDEX(Kampanyalar!$E$2:$E$150,MATCH(O506,Kampanyalar!$A$2:$A$150,0)),""))</f>
        <v/>
      </c>
      <c r="AM506" s="27">
        <f>IF(I506="","",IFERROR(INDEX(Kampanyalar!$F$2:$F$150,MATCH(O506,Kampanyalar!$A$2:$A$150,0)),""))</f>
        <v/>
      </c>
      <c r="AN506" s="27">
        <f>IF(I506="","",IFERROR(INDEX(Kampanyalar!$G$2:$G$150,MATCH(O506,Kampanyalar!$A$2:$A$150,0)),""))</f>
        <v/>
      </c>
      <c r="AO506" s="26">
        <f>IF(OR(I506="",AL506="",AM506=""),"",IF(AND(H506&gt;=AL506,H506&lt;=AM506),"Evet","HAYIR - Tarih Dışı"))</f>
        <v/>
      </c>
      <c r="AP506" s="28">
        <f>IF(I506="","",IFERROR(INDEX(Kampanyalar!$H$2:$H$150,MATCH(O506,Kampanyalar!$A$2:$A$150,0)),""))</f>
        <v/>
      </c>
      <c r="AQ506" s="28">
        <f>IF(I506="","",IF(ISNUMBER(AP506),AP506,AD506))</f>
        <v/>
      </c>
      <c r="AR506" s="26">
        <f>IF(I506="","",IF(Parametreler!$C$7="Evet","Kural A - Hemen Ödeme (Stok Mutabakatlı)","Kural B - Nakliye/Montaj Sonrası Ödeme"))</f>
        <v/>
      </c>
    </row>
    <row r="507">
      <c r="A507" s="23" t="n"/>
      <c r="B507" s="23" t="n"/>
      <c r="C507" s="23" t="n"/>
      <c r="D507" s="23" t="n"/>
      <c r="E507" s="23" t="n"/>
      <c r="F507" s="23" t="n"/>
      <c r="G507" s="23" t="n"/>
      <c r="H507" s="24" t="n"/>
      <c r="I507" s="23" t="n"/>
      <c r="J507" s="23" t="n"/>
      <c r="K507" s="23" t="n"/>
      <c r="L507" s="23" t="n"/>
      <c r="M507" s="23" t="n"/>
      <c r="N507" s="23" t="n"/>
      <c r="O507" s="23" t="n"/>
      <c r="P507" s="23" t="n"/>
      <c r="Q507" s="23" t="n"/>
      <c r="R507" s="23" t="n"/>
      <c r="S507" s="23" t="n"/>
      <c r="T507" s="23" t="n"/>
      <c r="U507" s="23" t="n"/>
      <c r="V507" s="23" t="n"/>
      <c r="W507" s="23" t="n"/>
      <c r="X507" s="23" t="n"/>
      <c r="Y507" s="25" t="n"/>
      <c r="Z507" s="25" t="n"/>
      <c r="AA507" s="23" t="n"/>
      <c r="AB507" s="25" t="n"/>
      <c r="AC507" s="23" t="n"/>
      <c r="AD507" s="25" t="n"/>
      <c r="AE507" s="23" t="n"/>
      <c r="AF507" s="25" t="n"/>
      <c r="AG507" s="25" t="n"/>
      <c r="AH507" s="23" t="n"/>
      <c r="AI507" s="23" t="n"/>
      <c r="AJ507" s="26">
        <f>IF(I507="","",I507&amp;"|"&amp;R507)</f>
        <v/>
      </c>
      <c r="AK507" s="26">
        <f>IF(I507="","",IF(ISNA(MATCH(O507,Kampanyalar!$A$2:$A$150,0)),"Hayır - Kampanyalar'da Yok","Evet"))</f>
        <v/>
      </c>
      <c r="AL507" s="27">
        <f>IF(I507="","",IFERROR(INDEX(Kampanyalar!$E$2:$E$150,MATCH(O507,Kampanyalar!$A$2:$A$150,0)),""))</f>
        <v/>
      </c>
      <c r="AM507" s="27">
        <f>IF(I507="","",IFERROR(INDEX(Kampanyalar!$F$2:$F$150,MATCH(O507,Kampanyalar!$A$2:$A$150,0)),""))</f>
        <v/>
      </c>
      <c r="AN507" s="27">
        <f>IF(I507="","",IFERROR(INDEX(Kampanyalar!$G$2:$G$150,MATCH(O507,Kampanyalar!$A$2:$A$150,0)),""))</f>
        <v/>
      </c>
      <c r="AO507" s="26">
        <f>IF(OR(I507="",AL507="",AM507=""),"",IF(AND(H507&gt;=AL507,H507&lt;=AM507),"Evet","HAYIR - Tarih Dışı"))</f>
        <v/>
      </c>
      <c r="AP507" s="28">
        <f>IF(I507="","",IFERROR(INDEX(Kampanyalar!$H$2:$H$150,MATCH(O507,Kampanyalar!$A$2:$A$150,0)),""))</f>
        <v/>
      </c>
      <c r="AQ507" s="28">
        <f>IF(I507="","",IF(ISNUMBER(AP507),AP507,AD507))</f>
        <v/>
      </c>
      <c r="AR507" s="26">
        <f>IF(I507="","",IF(Parametreler!$C$7="Evet","Kural A - Hemen Ödeme (Stok Mutabakatlı)","Kural B - Nakliye/Montaj Sonrası Ödeme"))</f>
        <v/>
      </c>
    </row>
    <row r="508">
      <c r="A508" s="23" t="n"/>
      <c r="B508" s="23" t="n"/>
      <c r="C508" s="23" t="n"/>
      <c r="D508" s="23" t="n"/>
      <c r="E508" s="23" t="n"/>
      <c r="F508" s="23" t="n"/>
      <c r="G508" s="23" t="n"/>
      <c r="H508" s="24" t="n"/>
      <c r="I508" s="23" t="n"/>
      <c r="J508" s="23" t="n"/>
      <c r="K508" s="23" t="n"/>
      <c r="L508" s="23" t="n"/>
      <c r="M508" s="23" t="n"/>
      <c r="N508" s="23" t="n"/>
      <c r="O508" s="23" t="n"/>
      <c r="P508" s="23" t="n"/>
      <c r="Q508" s="23" t="n"/>
      <c r="R508" s="23" t="n"/>
      <c r="S508" s="23" t="n"/>
      <c r="T508" s="23" t="n"/>
      <c r="U508" s="23" t="n"/>
      <c r="V508" s="23" t="n"/>
      <c r="W508" s="23" t="n"/>
      <c r="X508" s="23" t="n"/>
      <c r="Y508" s="25" t="n"/>
      <c r="Z508" s="25" t="n"/>
      <c r="AA508" s="23" t="n"/>
      <c r="AB508" s="25" t="n"/>
      <c r="AC508" s="23" t="n"/>
      <c r="AD508" s="25" t="n"/>
      <c r="AE508" s="23" t="n"/>
      <c r="AF508" s="25" t="n"/>
      <c r="AG508" s="25" t="n"/>
      <c r="AH508" s="23" t="n"/>
      <c r="AI508" s="23" t="n"/>
      <c r="AJ508" s="26">
        <f>IF(I508="","",I508&amp;"|"&amp;R508)</f>
        <v/>
      </c>
      <c r="AK508" s="26">
        <f>IF(I508="","",IF(ISNA(MATCH(O508,Kampanyalar!$A$2:$A$150,0)),"Hayır - Kampanyalar'da Yok","Evet"))</f>
        <v/>
      </c>
      <c r="AL508" s="27">
        <f>IF(I508="","",IFERROR(INDEX(Kampanyalar!$E$2:$E$150,MATCH(O508,Kampanyalar!$A$2:$A$150,0)),""))</f>
        <v/>
      </c>
      <c r="AM508" s="27">
        <f>IF(I508="","",IFERROR(INDEX(Kampanyalar!$F$2:$F$150,MATCH(O508,Kampanyalar!$A$2:$A$150,0)),""))</f>
        <v/>
      </c>
      <c r="AN508" s="27">
        <f>IF(I508="","",IFERROR(INDEX(Kampanyalar!$G$2:$G$150,MATCH(O508,Kampanyalar!$A$2:$A$150,0)),""))</f>
        <v/>
      </c>
      <c r="AO508" s="26">
        <f>IF(OR(I508="",AL508="",AM508=""),"",IF(AND(H508&gt;=AL508,H508&lt;=AM508),"Evet","HAYIR - Tarih Dışı"))</f>
        <v/>
      </c>
      <c r="AP508" s="28">
        <f>IF(I508="","",IFERROR(INDEX(Kampanyalar!$H$2:$H$150,MATCH(O508,Kampanyalar!$A$2:$A$150,0)),""))</f>
        <v/>
      </c>
      <c r="AQ508" s="28">
        <f>IF(I508="","",IF(ISNUMBER(AP508),AP508,AD508))</f>
        <v/>
      </c>
      <c r="AR508" s="26">
        <f>IF(I508="","",IF(Parametreler!$C$7="Evet","Kural A - Hemen Ödeme (Stok Mutabakatlı)","Kural B - Nakliye/Montaj Sonrası Ödeme"))</f>
        <v/>
      </c>
    </row>
    <row r="509">
      <c r="A509" s="23" t="n"/>
      <c r="B509" s="23" t="n"/>
      <c r="C509" s="23" t="n"/>
      <c r="D509" s="23" t="n"/>
      <c r="E509" s="23" t="n"/>
      <c r="F509" s="23" t="n"/>
      <c r="G509" s="23" t="n"/>
      <c r="H509" s="24" t="n"/>
      <c r="I509" s="23" t="n"/>
      <c r="J509" s="23" t="n"/>
      <c r="K509" s="23" t="n"/>
      <c r="L509" s="23" t="n"/>
      <c r="M509" s="23" t="n"/>
      <c r="N509" s="23" t="n"/>
      <c r="O509" s="23" t="n"/>
      <c r="P509" s="23" t="n"/>
      <c r="Q509" s="23" t="n"/>
      <c r="R509" s="23" t="n"/>
      <c r="S509" s="23" t="n"/>
      <c r="T509" s="23" t="n"/>
      <c r="U509" s="23" t="n"/>
      <c r="V509" s="23" t="n"/>
      <c r="W509" s="23" t="n"/>
      <c r="X509" s="23" t="n"/>
      <c r="Y509" s="25" t="n"/>
      <c r="Z509" s="25" t="n"/>
      <c r="AA509" s="23" t="n"/>
      <c r="AB509" s="25" t="n"/>
      <c r="AC509" s="23" t="n"/>
      <c r="AD509" s="25" t="n"/>
      <c r="AE509" s="23" t="n"/>
      <c r="AF509" s="25" t="n"/>
      <c r="AG509" s="25" t="n"/>
      <c r="AH509" s="23" t="n"/>
      <c r="AI509" s="23" t="n"/>
      <c r="AJ509" s="26">
        <f>IF(I509="","",I509&amp;"|"&amp;R509)</f>
        <v/>
      </c>
      <c r="AK509" s="26">
        <f>IF(I509="","",IF(ISNA(MATCH(O509,Kampanyalar!$A$2:$A$150,0)),"Hayır - Kampanyalar'da Yok","Evet"))</f>
        <v/>
      </c>
      <c r="AL509" s="27">
        <f>IF(I509="","",IFERROR(INDEX(Kampanyalar!$E$2:$E$150,MATCH(O509,Kampanyalar!$A$2:$A$150,0)),""))</f>
        <v/>
      </c>
      <c r="AM509" s="27">
        <f>IF(I509="","",IFERROR(INDEX(Kampanyalar!$F$2:$F$150,MATCH(O509,Kampanyalar!$A$2:$A$150,0)),""))</f>
        <v/>
      </c>
      <c r="AN509" s="27">
        <f>IF(I509="","",IFERROR(INDEX(Kampanyalar!$G$2:$G$150,MATCH(O509,Kampanyalar!$A$2:$A$150,0)),""))</f>
        <v/>
      </c>
      <c r="AO509" s="26">
        <f>IF(OR(I509="",AL509="",AM509=""),"",IF(AND(H509&gt;=AL509,H509&lt;=AM509),"Evet","HAYIR - Tarih Dışı"))</f>
        <v/>
      </c>
      <c r="AP509" s="28">
        <f>IF(I509="","",IFERROR(INDEX(Kampanyalar!$H$2:$H$150,MATCH(O509,Kampanyalar!$A$2:$A$150,0)),""))</f>
        <v/>
      </c>
      <c r="AQ509" s="28">
        <f>IF(I509="","",IF(ISNUMBER(AP509),AP509,AD509))</f>
        <v/>
      </c>
      <c r="AR509" s="26">
        <f>IF(I509="","",IF(Parametreler!$C$7="Evet","Kural A - Hemen Ödeme (Stok Mutabakatlı)","Kural B - Nakliye/Montaj Sonrası Ödeme"))</f>
        <v/>
      </c>
    </row>
    <row r="510">
      <c r="A510" s="23" t="n"/>
      <c r="B510" s="23" t="n"/>
      <c r="C510" s="23" t="n"/>
      <c r="D510" s="23" t="n"/>
      <c r="E510" s="23" t="n"/>
      <c r="F510" s="23" t="n"/>
      <c r="G510" s="23" t="n"/>
      <c r="H510" s="24" t="n"/>
      <c r="I510" s="23" t="n"/>
      <c r="J510" s="23" t="n"/>
      <c r="K510" s="23" t="n"/>
      <c r="L510" s="23" t="n"/>
      <c r="M510" s="23" t="n"/>
      <c r="N510" s="23" t="n"/>
      <c r="O510" s="23" t="n"/>
      <c r="P510" s="23" t="n"/>
      <c r="Q510" s="23" t="n"/>
      <c r="R510" s="23" t="n"/>
      <c r="S510" s="23" t="n"/>
      <c r="T510" s="23" t="n"/>
      <c r="U510" s="23" t="n"/>
      <c r="V510" s="23" t="n"/>
      <c r="W510" s="23" t="n"/>
      <c r="X510" s="23" t="n"/>
      <c r="Y510" s="25" t="n"/>
      <c r="Z510" s="25" t="n"/>
      <c r="AA510" s="23" t="n"/>
      <c r="AB510" s="25" t="n"/>
      <c r="AC510" s="23" t="n"/>
      <c r="AD510" s="25" t="n"/>
      <c r="AE510" s="23" t="n"/>
      <c r="AF510" s="25" t="n"/>
      <c r="AG510" s="25" t="n"/>
      <c r="AH510" s="23" t="n"/>
      <c r="AI510" s="23" t="n"/>
      <c r="AJ510" s="26">
        <f>IF(I510="","",I510&amp;"|"&amp;R510)</f>
        <v/>
      </c>
      <c r="AK510" s="26">
        <f>IF(I510="","",IF(ISNA(MATCH(O510,Kampanyalar!$A$2:$A$150,0)),"Hayır - Kampanyalar'da Yok","Evet"))</f>
        <v/>
      </c>
      <c r="AL510" s="27">
        <f>IF(I510="","",IFERROR(INDEX(Kampanyalar!$E$2:$E$150,MATCH(O510,Kampanyalar!$A$2:$A$150,0)),""))</f>
        <v/>
      </c>
      <c r="AM510" s="27">
        <f>IF(I510="","",IFERROR(INDEX(Kampanyalar!$F$2:$F$150,MATCH(O510,Kampanyalar!$A$2:$A$150,0)),""))</f>
        <v/>
      </c>
      <c r="AN510" s="27">
        <f>IF(I510="","",IFERROR(INDEX(Kampanyalar!$G$2:$G$150,MATCH(O510,Kampanyalar!$A$2:$A$150,0)),""))</f>
        <v/>
      </c>
      <c r="AO510" s="26">
        <f>IF(OR(I510="",AL510="",AM510=""),"",IF(AND(H510&gt;=AL510,H510&lt;=AM510),"Evet","HAYIR - Tarih Dışı"))</f>
        <v/>
      </c>
      <c r="AP510" s="28">
        <f>IF(I510="","",IFERROR(INDEX(Kampanyalar!$H$2:$H$150,MATCH(O510,Kampanyalar!$A$2:$A$150,0)),""))</f>
        <v/>
      </c>
      <c r="AQ510" s="28">
        <f>IF(I510="","",IF(ISNUMBER(AP510),AP510,AD510))</f>
        <v/>
      </c>
      <c r="AR510" s="26">
        <f>IF(I510="","",IF(Parametreler!$C$7="Evet","Kural A - Hemen Ödeme (Stok Mutabakatlı)","Kural B - Nakliye/Montaj Sonrası Ödeme"))</f>
        <v/>
      </c>
    </row>
    <row r="511">
      <c r="A511" s="23" t="n"/>
      <c r="B511" s="23" t="n"/>
      <c r="C511" s="23" t="n"/>
      <c r="D511" s="23" t="n"/>
      <c r="E511" s="23" t="n"/>
      <c r="F511" s="23" t="n"/>
      <c r="G511" s="23" t="n"/>
      <c r="H511" s="24" t="n"/>
      <c r="I511" s="23" t="n"/>
      <c r="J511" s="23" t="n"/>
      <c r="K511" s="23" t="n"/>
      <c r="L511" s="23" t="n"/>
      <c r="M511" s="23" t="n"/>
      <c r="N511" s="23" t="n"/>
      <c r="O511" s="23" t="n"/>
      <c r="P511" s="23" t="n"/>
      <c r="Q511" s="23" t="n"/>
      <c r="R511" s="23" t="n"/>
      <c r="S511" s="23" t="n"/>
      <c r="T511" s="23" t="n"/>
      <c r="U511" s="23" t="n"/>
      <c r="V511" s="23" t="n"/>
      <c r="W511" s="23" t="n"/>
      <c r="X511" s="23" t="n"/>
      <c r="Y511" s="25" t="n"/>
      <c r="Z511" s="25" t="n"/>
      <c r="AA511" s="23" t="n"/>
      <c r="AB511" s="25" t="n"/>
      <c r="AC511" s="23" t="n"/>
      <c r="AD511" s="25" t="n"/>
      <c r="AE511" s="23" t="n"/>
      <c r="AF511" s="25" t="n"/>
      <c r="AG511" s="25" t="n"/>
      <c r="AH511" s="23" t="n"/>
      <c r="AI511" s="23" t="n"/>
      <c r="AJ511" s="26">
        <f>IF(I511="","",I511&amp;"|"&amp;R511)</f>
        <v/>
      </c>
      <c r="AK511" s="26">
        <f>IF(I511="","",IF(ISNA(MATCH(O511,Kampanyalar!$A$2:$A$150,0)),"Hayır - Kampanyalar'da Yok","Evet"))</f>
        <v/>
      </c>
      <c r="AL511" s="27">
        <f>IF(I511="","",IFERROR(INDEX(Kampanyalar!$E$2:$E$150,MATCH(O511,Kampanyalar!$A$2:$A$150,0)),""))</f>
        <v/>
      </c>
      <c r="AM511" s="27">
        <f>IF(I511="","",IFERROR(INDEX(Kampanyalar!$F$2:$F$150,MATCH(O511,Kampanyalar!$A$2:$A$150,0)),""))</f>
        <v/>
      </c>
      <c r="AN511" s="27">
        <f>IF(I511="","",IFERROR(INDEX(Kampanyalar!$G$2:$G$150,MATCH(O511,Kampanyalar!$A$2:$A$150,0)),""))</f>
        <v/>
      </c>
      <c r="AO511" s="26">
        <f>IF(OR(I511="",AL511="",AM511=""),"",IF(AND(H511&gt;=AL511,H511&lt;=AM511),"Evet","HAYIR - Tarih Dışı"))</f>
        <v/>
      </c>
      <c r="AP511" s="28">
        <f>IF(I511="","",IFERROR(INDEX(Kampanyalar!$H$2:$H$150,MATCH(O511,Kampanyalar!$A$2:$A$150,0)),""))</f>
        <v/>
      </c>
      <c r="AQ511" s="28">
        <f>IF(I511="","",IF(ISNUMBER(AP511),AP511,AD511))</f>
        <v/>
      </c>
      <c r="AR511" s="26">
        <f>IF(I511="","",IF(Parametreler!$C$7="Evet","Kural A - Hemen Ödeme (Stok Mutabakatlı)","Kural B - Nakliye/Montaj Sonrası Ödeme"))</f>
        <v/>
      </c>
    </row>
    <row r="512">
      <c r="A512" s="23" t="n"/>
      <c r="B512" s="23" t="n"/>
      <c r="C512" s="23" t="n"/>
      <c r="D512" s="23" t="n"/>
      <c r="E512" s="23" t="n"/>
      <c r="F512" s="23" t="n"/>
      <c r="G512" s="23" t="n"/>
      <c r="H512" s="24" t="n"/>
      <c r="I512" s="23" t="n"/>
      <c r="J512" s="23" t="n"/>
      <c r="K512" s="23" t="n"/>
      <c r="L512" s="23" t="n"/>
      <c r="M512" s="23" t="n"/>
      <c r="N512" s="23" t="n"/>
      <c r="O512" s="23" t="n"/>
      <c r="P512" s="23" t="n"/>
      <c r="Q512" s="23" t="n"/>
      <c r="R512" s="23" t="n"/>
      <c r="S512" s="23" t="n"/>
      <c r="T512" s="23" t="n"/>
      <c r="U512" s="23" t="n"/>
      <c r="V512" s="23" t="n"/>
      <c r="W512" s="23" t="n"/>
      <c r="X512" s="23" t="n"/>
      <c r="Y512" s="25" t="n"/>
      <c r="Z512" s="25" t="n"/>
      <c r="AA512" s="23" t="n"/>
      <c r="AB512" s="25" t="n"/>
      <c r="AC512" s="23" t="n"/>
      <c r="AD512" s="25" t="n"/>
      <c r="AE512" s="23" t="n"/>
      <c r="AF512" s="25" t="n"/>
      <c r="AG512" s="25" t="n"/>
      <c r="AH512" s="23" t="n"/>
      <c r="AI512" s="23" t="n"/>
      <c r="AJ512" s="26">
        <f>IF(I512="","",I512&amp;"|"&amp;R512)</f>
        <v/>
      </c>
      <c r="AK512" s="26">
        <f>IF(I512="","",IF(ISNA(MATCH(O512,Kampanyalar!$A$2:$A$150,0)),"Hayır - Kampanyalar'da Yok","Evet"))</f>
        <v/>
      </c>
      <c r="AL512" s="27">
        <f>IF(I512="","",IFERROR(INDEX(Kampanyalar!$E$2:$E$150,MATCH(O512,Kampanyalar!$A$2:$A$150,0)),""))</f>
        <v/>
      </c>
      <c r="AM512" s="27">
        <f>IF(I512="","",IFERROR(INDEX(Kampanyalar!$F$2:$F$150,MATCH(O512,Kampanyalar!$A$2:$A$150,0)),""))</f>
        <v/>
      </c>
      <c r="AN512" s="27">
        <f>IF(I512="","",IFERROR(INDEX(Kampanyalar!$G$2:$G$150,MATCH(O512,Kampanyalar!$A$2:$A$150,0)),""))</f>
        <v/>
      </c>
      <c r="AO512" s="26">
        <f>IF(OR(I512="",AL512="",AM512=""),"",IF(AND(H512&gt;=AL512,H512&lt;=AM512),"Evet","HAYIR - Tarih Dışı"))</f>
        <v/>
      </c>
      <c r="AP512" s="28">
        <f>IF(I512="","",IFERROR(INDEX(Kampanyalar!$H$2:$H$150,MATCH(O512,Kampanyalar!$A$2:$A$150,0)),""))</f>
        <v/>
      </c>
      <c r="AQ512" s="28">
        <f>IF(I512="","",IF(ISNUMBER(AP512),AP512,AD512))</f>
        <v/>
      </c>
      <c r="AR512" s="26">
        <f>IF(I512="","",IF(Parametreler!$C$7="Evet","Kural A - Hemen Ödeme (Stok Mutabakatlı)","Kural B - Nakliye/Montaj Sonrası Ödeme"))</f>
        <v/>
      </c>
    </row>
    <row r="513">
      <c r="A513" s="23" t="n"/>
      <c r="B513" s="23" t="n"/>
      <c r="C513" s="23" t="n"/>
      <c r="D513" s="23" t="n"/>
      <c r="E513" s="23" t="n"/>
      <c r="F513" s="23" t="n"/>
      <c r="G513" s="23" t="n"/>
      <c r="H513" s="24" t="n"/>
      <c r="I513" s="23" t="n"/>
      <c r="J513" s="23" t="n"/>
      <c r="K513" s="23" t="n"/>
      <c r="L513" s="23" t="n"/>
      <c r="M513" s="23" t="n"/>
      <c r="N513" s="23" t="n"/>
      <c r="O513" s="23" t="n"/>
      <c r="P513" s="23" t="n"/>
      <c r="Q513" s="23" t="n"/>
      <c r="R513" s="23" t="n"/>
      <c r="S513" s="23" t="n"/>
      <c r="T513" s="23" t="n"/>
      <c r="U513" s="23" t="n"/>
      <c r="V513" s="23" t="n"/>
      <c r="W513" s="23" t="n"/>
      <c r="X513" s="23" t="n"/>
      <c r="Y513" s="25" t="n"/>
      <c r="Z513" s="25" t="n"/>
      <c r="AA513" s="23" t="n"/>
      <c r="AB513" s="25" t="n"/>
      <c r="AC513" s="23" t="n"/>
      <c r="AD513" s="25" t="n"/>
      <c r="AE513" s="23" t="n"/>
      <c r="AF513" s="25" t="n"/>
      <c r="AG513" s="25" t="n"/>
      <c r="AH513" s="23" t="n"/>
      <c r="AI513" s="23" t="n"/>
      <c r="AJ513" s="26">
        <f>IF(I513="","",I513&amp;"|"&amp;R513)</f>
        <v/>
      </c>
      <c r="AK513" s="26">
        <f>IF(I513="","",IF(ISNA(MATCH(O513,Kampanyalar!$A$2:$A$150,0)),"Hayır - Kampanyalar'da Yok","Evet"))</f>
        <v/>
      </c>
      <c r="AL513" s="27">
        <f>IF(I513="","",IFERROR(INDEX(Kampanyalar!$E$2:$E$150,MATCH(O513,Kampanyalar!$A$2:$A$150,0)),""))</f>
        <v/>
      </c>
      <c r="AM513" s="27">
        <f>IF(I513="","",IFERROR(INDEX(Kampanyalar!$F$2:$F$150,MATCH(O513,Kampanyalar!$A$2:$A$150,0)),""))</f>
        <v/>
      </c>
      <c r="AN513" s="27">
        <f>IF(I513="","",IFERROR(INDEX(Kampanyalar!$G$2:$G$150,MATCH(O513,Kampanyalar!$A$2:$A$150,0)),""))</f>
        <v/>
      </c>
      <c r="AO513" s="26">
        <f>IF(OR(I513="",AL513="",AM513=""),"",IF(AND(H513&gt;=AL513,H513&lt;=AM513),"Evet","HAYIR - Tarih Dışı"))</f>
        <v/>
      </c>
      <c r="AP513" s="28">
        <f>IF(I513="","",IFERROR(INDEX(Kampanyalar!$H$2:$H$150,MATCH(O513,Kampanyalar!$A$2:$A$150,0)),""))</f>
        <v/>
      </c>
      <c r="AQ513" s="28">
        <f>IF(I513="","",IF(ISNUMBER(AP513),AP513,AD513))</f>
        <v/>
      </c>
      <c r="AR513" s="26">
        <f>IF(I513="","",IF(Parametreler!$C$7="Evet","Kural A - Hemen Ödeme (Stok Mutabakatlı)","Kural B - Nakliye/Montaj Sonrası Ödeme"))</f>
        <v/>
      </c>
    </row>
    <row r="514">
      <c r="A514" s="23" t="n"/>
      <c r="B514" s="23" t="n"/>
      <c r="C514" s="23" t="n"/>
      <c r="D514" s="23" t="n"/>
      <c r="E514" s="23" t="n"/>
      <c r="F514" s="23" t="n"/>
      <c r="G514" s="23" t="n"/>
      <c r="H514" s="24" t="n"/>
      <c r="I514" s="23" t="n"/>
      <c r="J514" s="23" t="n"/>
      <c r="K514" s="23" t="n"/>
      <c r="L514" s="23" t="n"/>
      <c r="M514" s="23" t="n"/>
      <c r="N514" s="23" t="n"/>
      <c r="O514" s="23" t="n"/>
      <c r="P514" s="23" t="n"/>
      <c r="Q514" s="23" t="n"/>
      <c r="R514" s="23" t="n"/>
      <c r="S514" s="23" t="n"/>
      <c r="T514" s="23" t="n"/>
      <c r="U514" s="23" t="n"/>
      <c r="V514" s="23" t="n"/>
      <c r="W514" s="23" t="n"/>
      <c r="X514" s="23" t="n"/>
      <c r="Y514" s="25" t="n"/>
      <c r="Z514" s="25" t="n"/>
      <c r="AA514" s="23" t="n"/>
      <c r="AB514" s="25" t="n"/>
      <c r="AC514" s="23" t="n"/>
      <c r="AD514" s="25" t="n"/>
      <c r="AE514" s="23" t="n"/>
      <c r="AF514" s="25" t="n"/>
      <c r="AG514" s="25" t="n"/>
      <c r="AH514" s="23" t="n"/>
      <c r="AI514" s="23" t="n"/>
      <c r="AJ514" s="26">
        <f>IF(I514="","",I514&amp;"|"&amp;R514)</f>
        <v/>
      </c>
      <c r="AK514" s="26">
        <f>IF(I514="","",IF(ISNA(MATCH(O514,Kampanyalar!$A$2:$A$150,0)),"Hayır - Kampanyalar'da Yok","Evet"))</f>
        <v/>
      </c>
      <c r="AL514" s="27">
        <f>IF(I514="","",IFERROR(INDEX(Kampanyalar!$E$2:$E$150,MATCH(O514,Kampanyalar!$A$2:$A$150,0)),""))</f>
        <v/>
      </c>
      <c r="AM514" s="27">
        <f>IF(I514="","",IFERROR(INDEX(Kampanyalar!$F$2:$F$150,MATCH(O514,Kampanyalar!$A$2:$A$150,0)),""))</f>
        <v/>
      </c>
      <c r="AN514" s="27">
        <f>IF(I514="","",IFERROR(INDEX(Kampanyalar!$G$2:$G$150,MATCH(O514,Kampanyalar!$A$2:$A$150,0)),""))</f>
        <v/>
      </c>
      <c r="AO514" s="26">
        <f>IF(OR(I514="",AL514="",AM514=""),"",IF(AND(H514&gt;=AL514,H514&lt;=AM514),"Evet","HAYIR - Tarih Dışı"))</f>
        <v/>
      </c>
      <c r="AP514" s="28">
        <f>IF(I514="","",IFERROR(INDEX(Kampanyalar!$H$2:$H$150,MATCH(O514,Kampanyalar!$A$2:$A$150,0)),""))</f>
        <v/>
      </c>
      <c r="AQ514" s="28">
        <f>IF(I514="","",IF(ISNUMBER(AP514),AP514,AD514))</f>
        <v/>
      </c>
      <c r="AR514" s="26">
        <f>IF(I514="","",IF(Parametreler!$C$7="Evet","Kural A - Hemen Ödeme (Stok Mutabakatlı)","Kural B - Nakliye/Montaj Sonrası Ödeme"))</f>
        <v/>
      </c>
    </row>
    <row r="515">
      <c r="A515" s="23" t="n"/>
      <c r="B515" s="23" t="n"/>
      <c r="C515" s="23" t="n"/>
      <c r="D515" s="23" t="n"/>
      <c r="E515" s="23" t="n"/>
      <c r="F515" s="23" t="n"/>
      <c r="G515" s="23" t="n"/>
      <c r="H515" s="24" t="n"/>
      <c r="I515" s="23" t="n"/>
      <c r="J515" s="23" t="n"/>
      <c r="K515" s="23" t="n"/>
      <c r="L515" s="23" t="n"/>
      <c r="M515" s="23" t="n"/>
      <c r="N515" s="23" t="n"/>
      <c r="O515" s="23" t="n"/>
      <c r="P515" s="23" t="n"/>
      <c r="Q515" s="23" t="n"/>
      <c r="R515" s="23" t="n"/>
      <c r="S515" s="23" t="n"/>
      <c r="T515" s="23" t="n"/>
      <c r="U515" s="23" t="n"/>
      <c r="V515" s="23" t="n"/>
      <c r="W515" s="23" t="n"/>
      <c r="X515" s="23" t="n"/>
      <c r="Y515" s="25" t="n"/>
      <c r="Z515" s="25" t="n"/>
      <c r="AA515" s="23" t="n"/>
      <c r="AB515" s="25" t="n"/>
      <c r="AC515" s="23" t="n"/>
      <c r="AD515" s="25" t="n"/>
      <c r="AE515" s="23" t="n"/>
      <c r="AF515" s="25" t="n"/>
      <c r="AG515" s="25" t="n"/>
      <c r="AH515" s="23" t="n"/>
      <c r="AI515" s="23" t="n"/>
      <c r="AJ515" s="26">
        <f>IF(I515="","",I515&amp;"|"&amp;R515)</f>
        <v/>
      </c>
      <c r="AK515" s="26">
        <f>IF(I515="","",IF(ISNA(MATCH(O515,Kampanyalar!$A$2:$A$150,0)),"Hayır - Kampanyalar'da Yok","Evet"))</f>
        <v/>
      </c>
      <c r="AL515" s="27">
        <f>IF(I515="","",IFERROR(INDEX(Kampanyalar!$E$2:$E$150,MATCH(O515,Kampanyalar!$A$2:$A$150,0)),""))</f>
        <v/>
      </c>
      <c r="AM515" s="27">
        <f>IF(I515="","",IFERROR(INDEX(Kampanyalar!$F$2:$F$150,MATCH(O515,Kampanyalar!$A$2:$A$150,0)),""))</f>
        <v/>
      </c>
      <c r="AN515" s="27">
        <f>IF(I515="","",IFERROR(INDEX(Kampanyalar!$G$2:$G$150,MATCH(O515,Kampanyalar!$A$2:$A$150,0)),""))</f>
        <v/>
      </c>
      <c r="AO515" s="26">
        <f>IF(OR(I515="",AL515="",AM515=""),"",IF(AND(H515&gt;=AL515,H515&lt;=AM515),"Evet","HAYIR - Tarih Dışı"))</f>
        <v/>
      </c>
      <c r="AP515" s="28">
        <f>IF(I515="","",IFERROR(INDEX(Kampanyalar!$H$2:$H$150,MATCH(O515,Kampanyalar!$A$2:$A$150,0)),""))</f>
        <v/>
      </c>
      <c r="AQ515" s="28">
        <f>IF(I515="","",IF(ISNUMBER(AP515),AP515,AD515))</f>
        <v/>
      </c>
      <c r="AR515" s="26">
        <f>IF(I515="","",IF(Parametreler!$C$7="Evet","Kural A - Hemen Ödeme (Stok Mutabakatlı)","Kural B - Nakliye/Montaj Sonrası Ödeme"))</f>
        <v/>
      </c>
    </row>
    <row r="516">
      <c r="A516" s="23" t="n"/>
      <c r="B516" s="23" t="n"/>
      <c r="C516" s="23" t="n"/>
      <c r="D516" s="23" t="n"/>
      <c r="E516" s="23" t="n"/>
      <c r="F516" s="23" t="n"/>
      <c r="G516" s="23" t="n"/>
      <c r="H516" s="24" t="n"/>
      <c r="I516" s="23" t="n"/>
      <c r="J516" s="23" t="n"/>
      <c r="K516" s="23" t="n"/>
      <c r="L516" s="23" t="n"/>
      <c r="M516" s="23" t="n"/>
      <c r="N516" s="23" t="n"/>
      <c r="O516" s="23" t="n"/>
      <c r="P516" s="23" t="n"/>
      <c r="Q516" s="23" t="n"/>
      <c r="R516" s="23" t="n"/>
      <c r="S516" s="23" t="n"/>
      <c r="T516" s="23" t="n"/>
      <c r="U516" s="23" t="n"/>
      <c r="V516" s="23" t="n"/>
      <c r="W516" s="23" t="n"/>
      <c r="X516" s="23" t="n"/>
      <c r="Y516" s="25" t="n"/>
      <c r="Z516" s="25" t="n"/>
      <c r="AA516" s="23" t="n"/>
      <c r="AB516" s="25" t="n"/>
      <c r="AC516" s="23" t="n"/>
      <c r="AD516" s="25" t="n"/>
      <c r="AE516" s="23" t="n"/>
      <c r="AF516" s="25" t="n"/>
      <c r="AG516" s="25" t="n"/>
      <c r="AH516" s="23" t="n"/>
      <c r="AI516" s="23" t="n"/>
      <c r="AJ516" s="26">
        <f>IF(I516="","",I516&amp;"|"&amp;R516)</f>
        <v/>
      </c>
      <c r="AK516" s="26">
        <f>IF(I516="","",IF(ISNA(MATCH(O516,Kampanyalar!$A$2:$A$150,0)),"Hayır - Kampanyalar'da Yok","Evet"))</f>
        <v/>
      </c>
      <c r="AL516" s="27">
        <f>IF(I516="","",IFERROR(INDEX(Kampanyalar!$E$2:$E$150,MATCH(O516,Kampanyalar!$A$2:$A$150,0)),""))</f>
        <v/>
      </c>
      <c r="AM516" s="27">
        <f>IF(I516="","",IFERROR(INDEX(Kampanyalar!$F$2:$F$150,MATCH(O516,Kampanyalar!$A$2:$A$150,0)),""))</f>
        <v/>
      </c>
      <c r="AN516" s="27">
        <f>IF(I516="","",IFERROR(INDEX(Kampanyalar!$G$2:$G$150,MATCH(O516,Kampanyalar!$A$2:$A$150,0)),""))</f>
        <v/>
      </c>
      <c r="AO516" s="26">
        <f>IF(OR(I516="",AL516="",AM516=""),"",IF(AND(H516&gt;=AL516,H516&lt;=AM516),"Evet","HAYIR - Tarih Dışı"))</f>
        <v/>
      </c>
      <c r="AP516" s="28">
        <f>IF(I516="","",IFERROR(INDEX(Kampanyalar!$H$2:$H$150,MATCH(O516,Kampanyalar!$A$2:$A$150,0)),""))</f>
        <v/>
      </c>
      <c r="AQ516" s="28">
        <f>IF(I516="","",IF(ISNUMBER(AP516),AP516,AD516))</f>
        <v/>
      </c>
      <c r="AR516" s="26">
        <f>IF(I516="","",IF(Parametreler!$C$7="Evet","Kural A - Hemen Ödeme (Stok Mutabakatlı)","Kural B - Nakliye/Montaj Sonrası Ödeme"))</f>
        <v/>
      </c>
    </row>
    <row r="517">
      <c r="A517" s="23" t="n"/>
      <c r="B517" s="23" t="n"/>
      <c r="C517" s="23" t="n"/>
      <c r="D517" s="23" t="n"/>
      <c r="E517" s="23" t="n"/>
      <c r="F517" s="23" t="n"/>
      <c r="G517" s="23" t="n"/>
      <c r="H517" s="24" t="n"/>
      <c r="I517" s="23" t="n"/>
      <c r="J517" s="23" t="n"/>
      <c r="K517" s="23" t="n"/>
      <c r="L517" s="23" t="n"/>
      <c r="M517" s="23" t="n"/>
      <c r="N517" s="23" t="n"/>
      <c r="O517" s="23" t="n"/>
      <c r="P517" s="23" t="n"/>
      <c r="Q517" s="23" t="n"/>
      <c r="R517" s="23" t="n"/>
      <c r="S517" s="23" t="n"/>
      <c r="T517" s="23" t="n"/>
      <c r="U517" s="23" t="n"/>
      <c r="V517" s="23" t="n"/>
      <c r="W517" s="23" t="n"/>
      <c r="X517" s="23" t="n"/>
      <c r="Y517" s="25" t="n"/>
      <c r="Z517" s="25" t="n"/>
      <c r="AA517" s="23" t="n"/>
      <c r="AB517" s="25" t="n"/>
      <c r="AC517" s="23" t="n"/>
      <c r="AD517" s="25" t="n"/>
      <c r="AE517" s="23" t="n"/>
      <c r="AF517" s="25" t="n"/>
      <c r="AG517" s="25" t="n"/>
      <c r="AH517" s="23" t="n"/>
      <c r="AI517" s="23" t="n"/>
      <c r="AJ517" s="26">
        <f>IF(I517="","",I517&amp;"|"&amp;R517)</f>
        <v/>
      </c>
      <c r="AK517" s="26">
        <f>IF(I517="","",IF(ISNA(MATCH(O517,Kampanyalar!$A$2:$A$150,0)),"Hayır - Kampanyalar'da Yok","Evet"))</f>
        <v/>
      </c>
      <c r="AL517" s="27">
        <f>IF(I517="","",IFERROR(INDEX(Kampanyalar!$E$2:$E$150,MATCH(O517,Kampanyalar!$A$2:$A$150,0)),""))</f>
        <v/>
      </c>
      <c r="AM517" s="27">
        <f>IF(I517="","",IFERROR(INDEX(Kampanyalar!$F$2:$F$150,MATCH(O517,Kampanyalar!$A$2:$A$150,0)),""))</f>
        <v/>
      </c>
      <c r="AN517" s="27">
        <f>IF(I517="","",IFERROR(INDEX(Kampanyalar!$G$2:$G$150,MATCH(O517,Kampanyalar!$A$2:$A$150,0)),""))</f>
        <v/>
      </c>
      <c r="AO517" s="26">
        <f>IF(OR(I517="",AL517="",AM517=""),"",IF(AND(H517&gt;=AL517,H517&lt;=AM517),"Evet","HAYIR - Tarih Dışı"))</f>
        <v/>
      </c>
      <c r="AP517" s="28">
        <f>IF(I517="","",IFERROR(INDEX(Kampanyalar!$H$2:$H$150,MATCH(O517,Kampanyalar!$A$2:$A$150,0)),""))</f>
        <v/>
      </c>
      <c r="AQ517" s="28">
        <f>IF(I517="","",IF(ISNUMBER(AP517),AP517,AD517))</f>
        <v/>
      </c>
      <c r="AR517" s="26">
        <f>IF(I517="","",IF(Parametreler!$C$7="Evet","Kural A - Hemen Ödeme (Stok Mutabakatlı)","Kural B - Nakliye/Montaj Sonrası Ödeme"))</f>
        <v/>
      </c>
    </row>
    <row r="518">
      <c r="A518" s="23" t="n"/>
      <c r="B518" s="23" t="n"/>
      <c r="C518" s="23" t="n"/>
      <c r="D518" s="23" t="n"/>
      <c r="E518" s="23" t="n"/>
      <c r="F518" s="23" t="n"/>
      <c r="G518" s="23" t="n"/>
      <c r="H518" s="24" t="n"/>
      <c r="I518" s="23" t="n"/>
      <c r="J518" s="23" t="n"/>
      <c r="K518" s="23" t="n"/>
      <c r="L518" s="23" t="n"/>
      <c r="M518" s="23" t="n"/>
      <c r="N518" s="23" t="n"/>
      <c r="O518" s="23" t="n"/>
      <c r="P518" s="23" t="n"/>
      <c r="Q518" s="23" t="n"/>
      <c r="R518" s="23" t="n"/>
      <c r="S518" s="23" t="n"/>
      <c r="T518" s="23" t="n"/>
      <c r="U518" s="23" t="n"/>
      <c r="V518" s="23" t="n"/>
      <c r="W518" s="23" t="n"/>
      <c r="X518" s="23" t="n"/>
      <c r="Y518" s="25" t="n"/>
      <c r="Z518" s="25" t="n"/>
      <c r="AA518" s="23" t="n"/>
      <c r="AB518" s="25" t="n"/>
      <c r="AC518" s="23" t="n"/>
      <c r="AD518" s="25" t="n"/>
      <c r="AE518" s="23" t="n"/>
      <c r="AF518" s="25" t="n"/>
      <c r="AG518" s="25" t="n"/>
      <c r="AH518" s="23" t="n"/>
      <c r="AI518" s="23" t="n"/>
      <c r="AJ518" s="26">
        <f>IF(I518="","",I518&amp;"|"&amp;R518)</f>
        <v/>
      </c>
      <c r="AK518" s="26">
        <f>IF(I518="","",IF(ISNA(MATCH(O518,Kampanyalar!$A$2:$A$150,0)),"Hayır - Kampanyalar'da Yok","Evet"))</f>
        <v/>
      </c>
      <c r="AL518" s="27">
        <f>IF(I518="","",IFERROR(INDEX(Kampanyalar!$E$2:$E$150,MATCH(O518,Kampanyalar!$A$2:$A$150,0)),""))</f>
        <v/>
      </c>
      <c r="AM518" s="27">
        <f>IF(I518="","",IFERROR(INDEX(Kampanyalar!$F$2:$F$150,MATCH(O518,Kampanyalar!$A$2:$A$150,0)),""))</f>
        <v/>
      </c>
      <c r="AN518" s="27">
        <f>IF(I518="","",IFERROR(INDEX(Kampanyalar!$G$2:$G$150,MATCH(O518,Kampanyalar!$A$2:$A$150,0)),""))</f>
        <v/>
      </c>
      <c r="AO518" s="26">
        <f>IF(OR(I518="",AL518="",AM518=""),"",IF(AND(H518&gt;=AL518,H518&lt;=AM518),"Evet","HAYIR - Tarih Dışı"))</f>
        <v/>
      </c>
      <c r="AP518" s="28">
        <f>IF(I518="","",IFERROR(INDEX(Kampanyalar!$H$2:$H$150,MATCH(O518,Kampanyalar!$A$2:$A$150,0)),""))</f>
        <v/>
      </c>
      <c r="AQ518" s="28">
        <f>IF(I518="","",IF(ISNUMBER(AP518),AP518,AD518))</f>
        <v/>
      </c>
      <c r="AR518" s="26">
        <f>IF(I518="","",IF(Parametreler!$C$7="Evet","Kural A - Hemen Ödeme (Stok Mutabakatlı)","Kural B - Nakliye/Montaj Sonrası Ödeme"))</f>
        <v/>
      </c>
    </row>
    <row r="519">
      <c r="A519" s="23" t="n"/>
      <c r="B519" s="23" t="n"/>
      <c r="C519" s="23" t="n"/>
      <c r="D519" s="23" t="n"/>
      <c r="E519" s="23" t="n"/>
      <c r="F519" s="23" t="n"/>
      <c r="G519" s="23" t="n"/>
      <c r="H519" s="24" t="n"/>
      <c r="I519" s="23" t="n"/>
      <c r="J519" s="23" t="n"/>
      <c r="K519" s="23" t="n"/>
      <c r="L519" s="23" t="n"/>
      <c r="M519" s="23" t="n"/>
      <c r="N519" s="23" t="n"/>
      <c r="O519" s="23" t="n"/>
      <c r="P519" s="23" t="n"/>
      <c r="Q519" s="23" t="n"/>
      <c r="R519" s="23" t="n"/>
      <c r="S519" s="23" t="n"/>
      <c r="T519" s="23" t="n"/>
      <c r="U519" s="23" t="n"/>
      <c r="V519" s="23" t="n"/>
      <c r="W519" s="23" t="n"/>
      <c r="X519" s="23" t="n"/>
      <c r="Y519" s="25" t="n"/>
      <c r="Z519" s="25" t="n"/>
      <c r="AA519" s="23" t="n"/>
      <c r="AB519" s="25" t="n"/>
      <c r="AC519" s="23" t="n"/>
      <c r="AD519" s="25" t="n"/>
      <c r="AE519" s="23" t="n"/>
      <c r="AF519" s="25" t="n"/>
      <c r="AG519" s="25" t="n"/>
      <c r="AH519" s="23" t="n"/>
      <c r="AI519" s="23" t="n"/>
      <c r="AJ519" s="26">
        <f>IF(I519="","",I519&amp;"|"&amp;R519)</f>
        <v/>
      </c>
      <c r="AK519" s="26">
        <f>IF(I519="","",IF(ISNA(MATCH(O519,Kampanyalar!$A$2:$A$150,0)),"Hayır - Kampanyalar'da Yok","Evet"))</f>
        <v/>
      </c>
      <c r="AL519" s="27">
        <f>IF(I519="","",IFERROR(INDEX(Kampanyalar!$E$2:$E$150,MATCH(O519,Kampanyalar!$A$2:$A$150,0)),""))</f>
        <v/>
      </c>
      <c r="AM519" s="27">
        <f>IF(I519="","",IFERROR(INDEX(Kampanyalar!$F$2:$F$150,MATCH(O519,Kampanyalar!$A$2:$A$150,0)),""))</f>
        <v/>
      </c>
      <c r="AN519" s="27">
        <f>IF(I519="","",IFERROR(INDEX(Kampanyalar!$G$2:$G$150,MATCH(O519,Kampanyalar!$A$2:$A$150,0)),""))</f>
        <v/>
      </c>
      <c r="AO519" s="26">
        <f>IF(OR(I519="",AL519="",AM519=""),"",IF(AND(H519&gt;=AL519,H519&lt;=AM519),"Evet","HAYIR - Tarih Dışı"))</f>
        <v/>
      </c>
      <c r="AP519" s="28">
        <f>IF(I519="","",IFERROR(INDEX(Kampanyalar!$H$2:$H$150,MATCH(O519,Kampanyalar!$A$2:$A$150,0)),""))</f>
        <v/>
      </c>
      <c r="AQ519" s="28">
        <f>IF(I519="","",IF(ISNUMBER(AP519),AP519,AD519))</f>
        <v/>
      </c>
      <c r="AR519" s="26">
        <f>IF(I519="","",IF(Parametreler!$C$7="Evet","Kural A - Hemen Ödeme (Stok Mutabakatlı)","Kural B - Nakliye/Montaj Sonrası Ödeme"))</f>
        <v/>
      </c>
    </row>
    <row r="520">
      <c r="A520" s="23" t="n"/>
      <c r="B520" s="23" t="n"/>
      <c r="C520" s="23" t="n"/>
      <c r="D520" s="23" t="n"/>
      <c r="E520" s="23" t="n"/>
      <c r="F520" s="23" t="n"/>
      <c r="G520" s="23" t="n"/>
      <c r="H520" s="24" t="n"/>
      <c r="I520" s="23" t="n"/>
      <c r="J520" s="23" t="n"/>
      <c r="K520" s="23" t="n"/>
      <c r="L520" s="23" t="n"/>
      <c r="M520" s="23" t="n"/>
      <c r="N520" s="23" t="n"/>
      <c r="O520" s="23" t="n"/>
      <c r="P520" s="23" t="n"/>
      <c r="Q520" s="23" t="n"/>
      <c r="R520" s="23" t="n"/>
      <c r="S520" s="23" t="n"/>
      <c r="T520" s="23" t="n"/>
      <c r="U520" s="23" t="n"/>
      <c r="V520" s="23" t="n"/>
      <c r="W520" s="23" t="n"/>
      <c r="X520" s="23" t="n"/>
      <c r="Y520" s="25" t="n"/>
      <c r="Z520" s="25" t="n"/>
      <c r="AA520" s="23" t="n"/>
      <c r="AB520" s="25" t="n"/>
      <c r="AC520" s="23" t="n"/>
      <c r="AD520" s="25" t="n"/>
      <c r="AE520" s="23" t="n"/>
      <c r="AF520" s="25" t="n"/>
      <c r="AG520" s="25" t="n"/>
      <c r="AH520" s="23" t="n"/>
      <c r="AI520" s="23" t="n"/>
      <c r="AJ520" s="26">
        <f>IF(I520="","",I520&amp;"|"&amp;R520)</f>
        <v/>
      </c>
      <c r="AK520" s="26">
        <f>IF(I520="","",IF(ISNA(MATCH(O520,Kampanyalar!$A$2:$A$150,0)),"Hayır - Kampanyalar'da Yok","Evet"))</f>
        <v/>
      </c>
      <c r="AL520" s="27">
        <f>IF(I520="","",IFERROR(INDEX(Kampanyalar!$E$2:$E$150,MATCH(O520,Kampanyalar!$A$2:$A$150,0)),""))</f>
        <v/>
      </c>
      <c r="AM520" s="27">
        <f>IF(I520="","",IFERROR(INDEX(Kampanyalar!$F$2:$F$150,MATCH(O520,Kampanyalar!$A$2:$A$150,0)),""))</f>
        <v/>
      </c>
      <c r="AN520" s="27">
        <f>IF(I520="","",IFERROR(INDEX(Kampanyalar!$G$2:$G$150,MATCH(O520,Kampanyalar!$A$2:$A$150,0)),""))</f>
        <v/>
      </c>
      <c r="AO520" s="26">
        <f>IF(OR(I520="",AL520="",AM520=""),"",IF(AND(H520&gt;=AL520,H520&lt;=AM520),"Evet","HAYIR - Tarih Dışı"))</f>
        <v/>
      </c>
      <c r="AP520" s="28">
        <f>IF(I520="","",IFERROR(INDEX(Kampanyalar!$H$2:$H$150,MATCH(O520,Kampanyalar!$A$2:$A$150,0)),""))</f>
        <v/>
      </c>
      <c r="AQ520" s="28">
        <f>IF(I520="","",IF(ISNUMBER(AP520),AP520,AD520))</f>
        <v/>
      </c>
      <c r="AR520" s="26">
        <f>IF(I520="","",IF(Parametreler!$C$7="Evet","Kural A - Hemen Ödeme (Stok Mutabakatlı)","Kural B - Nakliye/Montaj Sonrası Ödeme"))</f>
        <v/>
      </c>
    </row>
    <row r="521">
      <c r="A521" s="23" t="n"/>
      <c r="B521" s="23" t="n"/>
      <c r="C521" s="23" t="n"/>
      <c r="D521" s="23" t="n"/>
      <c r="E521" s="23" t="n"/>
      <c r="F521" s="23" t="n"/>
      <c r="G521" s="23" t="n"/>
      <c r="H521" s="24" t="n"/>
      <c r="I521" s="23" t="n"/>
      <c r="J521" s="23" t="n"/>
      <c r="K521" s="23" t="n"/>
      <c r="L521" s="23" t="n"/>
      <c r="M521" s="23" t="n"/>
      <c r="N521" s="23" t="n"/>
      <c r="O521" s="23" t="n"/>
      <c r="P521" s="23" t="n"/>
      <c r="Q521" s="23" t="n"/>
      <c r="R521" s="23" t="n"/>
      <c r="S521" s="23" t="n"/>
      <c r="T521" s="23" t="n"/>
      <c r="U521" s="23" t="n"/>
      <c r="V521" s="23" t="n"/>
      <c r="W521" s="23" t="n"/>
      <c r="X521" s="23" t="n"/>
      <c r="Y521" s="25" t="n"/>
      <c r="Z521" s="25" t="n"/>
      <c r="AA521" s="23" t="n"/>
      <c r="AB521" s="25" t="n"/>
      <c r="AC521" s="23" t="n"/>
      <c r="AD521" s="25" t="n"/>
      <c r="AE521" s="23" t="n"/>
      <c r="AF521" s="25" t="n"/>
      <c r="AG521" s="25" t="n"/>
      <c r="AH521" s="23" t="n"/>
      <c r="AI521" s="23" t="n"/>
      <c r="AJ521" s="26">
        <f>IF(I521="","",I521&amp;"|"&amp;R521)</f>
        <v/>
      </c>
      <c r="AK521" s="26">
        <f>IF(I521="","",IF(ISNA(MATCH(O521,Kampanyalar!$A$2:$A$150,0)),"Hayır - Kampanyalar'da Yok","Evet"))</f>
        <v/>
      </c>
      <c r="AL521" s="27">
        <f>IF(I521="","",IFERROR(INDEX(Kampanyalar!$E$2:$E$150,MATCH(O521,Kampanyalar!$A$2:$A$150,0)),""))</f>
        <v/>
      </c>
      <c r="AM521" s="27">
        <f>IF(I521="","",IFERROR(INDEX(Kampanyalar!$F$2:$F$150,MATCH(O521,Kampanyalar!$A$2:$A$150,0)),""))</f>
        <v/>
      </c>
      <c r="AN521" s="27">
        <f>IF(I521="","",IFERROR(INDEX(Kampanyalar!$G$2:$G$150,MATCH(O521,Kampanyalar!$A$2:$A$150,0)),""))</f>
        <v/>
      </c>
      <c r="AO521" s="26">
        <f>IF(OR(I521="",AL521="",AM521=""),"",IF(AND(H521&gt;=AL521,H521&lt;=AM521),"Evet","HAYIR - Tarih Dışı"))</f>
        <v/>
      </c>
      <c r="AP521" s="28">
        <f>IF(I521="","",IFERROR(INDEX(Kampanyalar!$H$2:$H$150,MATCH(O521,Kampanyalar!$A$2:$A$150,0)),""))</f>
        <v/>
      </c>
      <c r="AQ521" s="28">
        <f>IF(I521="","",IF(ISNUMBER(AP521),AP521,AD521))</f>
        <v/>
      </c>
      <c r="AR521" s="26">
        <f>IF(I521="","",IF(Parametreler!$C$7="Evet","Kural A - Hemen Ödeme (Stok Mutabakatlı)","Kural B - Nakliye/Montaj Sonrası Ödeme"))</f>
        <v/>
      </c>
    </row>
    <row r="522">
      <c r="A522" s="23" t="n"/>
      <c r="B522" s="23" t="n"/>
      <c r="C522" s="23" t="n"/>
      <c r="D522" s="23" t="n"/>
      <c r="E522" s="23" t="n"/>
      <c r="F522" s="23" t="n"/>
      <c r="G522" s="23" t="n"/>
      <c r="H522" s="24" t="n"/>
      <c r="I522" s="23" t="n"/>
      <c r="J522" s="23" t="n"/>
      <c r="K522" s="23" t="n"/>
      <c r="L522" s="23" t="n"/>
      <c r="M522" s="23" t="n"/>
      <c r="N522" s="23" t="n"/>
      <c r="O522" s="23" t="n"/>
      <c r="P522" s="23" t="n"/>
      <c r="Q522" s="23" t="n"/>
      <c r="R522" s="23" t="n"/>
      <c r="S522" s="23" t="n"/>
      <c r="T522" s="23" t="n"/>
      <c r="U522" s="23" t="n"/>
      <c r="V522" s="23" t="n"/>
      <c r="W522" s="23" t="n"/>
      <c r="X522" s="23" t="n"/>
      <c r="Y522" s="25" t="n"/>
      <c r="Z522" s="25" t="n"/>
      <c r="AA522" s="23" t="n"/>
      <c r="AB522" s="25" t="n"/>
      <c r="AC522" s="23" t="n"/>
      <c r="AD522" s="25" t="n"/>
      <c r="AE522" s="23" t="n"/>
      <c r="AF522" s="25" t="n"/>
      <c r="AG522" s="25" t="n"/>
      <c r="AH522" s="23" t="n"/>
      <c r="AI522" s="23" t="n"/>
      <c r="AJ522" s="26">
        <f>IF(I522="","",I522&amp;"|"&amp;R522)</f>
        <v/>
      </c>
      <c r="AK522" s="26">
        <f>IF(I522="","",IF(ISNA(MATCH(O522,Kampanyalar!$A$2:$A$150,0)),"Hayır - Kampanyalar'da Yok","Evet"))</f>
        <v/>
      </c>
      <c r="AL522" s="27">
        <f>IF(I522="","",IFERROR(INDEX(Kampanyalar!$E$2:$E$150,MATCH(O522,Kampanyalar!$A$2:$A$150,0)),""))</f>
        <v/>
      </c>
      <c r="AM522" s="27">
        <f>IF(I522="","",IFERROR(INDEX(Kampanyalar!$F$2:$F$150,MATCH(O522,Kampanyalar!$A$2:$A$150,0)),""))</f>
        <v/>
      </c>
      <c r="AN522" s="27">
        <f>IF(I522="","",IFERROR(INDEX(Kampanyalar!$G$2:$G$150,MATCH(O522,Kampanyalar!$A$2:$A$150,0)),""))</f>
        <v/>
      </c>
      <c r="AO522" s="26">
        <f>IF(OR(I522="",AL522="",AM522=""),"",IF(AND(H522&gt;=AL522,H522&lt;=AM522),"Evet","HAYIR - Tarih Dışı"))</f>
        <v/>
      </c>
      <c r="AP522" s="28">
        <f>IF(I522="","",IFERROR(INDEX(Kampanyalar!$H$2:$H$150,MATCH(O522,Kampanyalar!$A$2:$A$150,0)),""))</f>
        <v/>
      </c>
      <c r="AQ522" s="28">
        <f>IF(I522="","",IF(ISNUMBER(AP522),AP522,AD522))</f>
        <v/>
      </c>
      <c r="AR522" s="26">
        <f>IF(I522="","",IF(Parametreler!$C$7="Evet","Kural A - Hemen Ödeme (Stok Mutabakatlı)","Kural B - Nakliye/Montaj Sonrası Ödeme"))</f>
        <v/>
      </c>
    </row>
    <row r="523">
      <c r="A523" s="23" t="n"/>
      <c r="B523" s="23" t="n"/>
      <c r="C523" s="23" t="n"/>
      <c r="D523" s="23" t="n"/>
      <c r="E523" s="23" t="n"/>
      <c r="F523" s="23" t="n"/>
      <c r="G523" s="23" t="n"/>
      <c r="H523" s="24" t="n"/>
      <c r="I523" s="23" t="n"/>
      <c r="J523" s="23" t="n"/>
      <c r="K523" s="23" t="n"/>
      <c r="L523" s="23" t="n"/>
      <c r="M523" s="23" t="n"/>
      <c r="N523" s="23" t="n"/>
      <c r="O523" s="23" t="n"/>
      <c r="P523" s="23" t="n"/>
      <c r="Q523" s="23" t="n"/>
      <c r="R523" s="23" t="n"/>
      <c r="S523" s="23" t="n"/>
      <c r="T523" s="23" t="n"/>
      <c r="U523" s="23" t="n"/>
      <c r="V523" s="23" t="n"/>
      <c r="W523" s="23" t="n"/>
      <c r="X523" s="23" t="n"/>
      <c r="Y523" s="25" t="n"/>
      <c r="Z523" s="25" t="n"/>
      <c r="AA523" s="23" t="n"/>
      <c r="AB523" s="25" t="n"/>
      <c r="AC523" s="23" t="n"/>
      <c r="AD523" s="25" t="n"/>
      <c r="AE523" s="23" t="n"/>
      <c r="AF523" s="25" t="n"/>
      <c r="AG523" s="25" t="n"/>
      <c r="AH523" s="23" t="n"/>
      <c r="AI523" s="23" t="n"/>
      <c r="AJ523" s="26">
        <f>IF(I523="","",I523&amp;"|"&amp;R523)</f>
        <v/>
      </c>
      <c r="AK523" s="26">
        <f>IF(I523="","",IF(ISNA(MATCH(O523,Kampanyalar!$A$2:$A$150,0)),"Hayır - Kampanyalar'da Yok","Evet"))</f>
        <v/>
      </c>
      <c r="AL523" s="27">
        <f>IF(I523="","",IFERROR(INDEX(Kampanyalar!$E$2:$E$150,MATCH(O523,Kampanyalar!$A$2:$A$150,0)),""))</f>
        <v/>
      </c>
      <c r="AM523" s="27">
        <f>IF(I523="","",IFERROR(INDEX(Kampanyalar!$F$2:$F$150,MATCH(O523,Kampanyalar!$A$2:$A$150,0)),""))</f>
        <v/>
      </c>
      <c r="AN523" s="27">
        <f>IF(I523="","",IFERROR(INDEX(Kampanyalar!$G$2:$G$150,MATCH(O523,Kampanyalar!$A$2:$A$150,0)),""))</f>
        <v/>
      </c>
      <c r="AO523" s="26">
        <f>IF(OR(I523="",AL523="",AM523=""),"",IF(AND(H523&gt;=AL523,H523&lt;=AM523),"Evet","HAYIR - Tarih Dışı"))</f>
        <v/>
      </c>
      <c r="AP523" s="28">
        <f>IF(I523="","",IFERROR(INDEX(Kampanyalar!$H$2:$H$150,MATCH(O523,Kampanyalar!$A$2:$A$150,0)),""))</f>
        <v/>
      </c>
      <c r="AQ523" s="28">
        <f>IF(I523="","",IF(ISNUMBER(AP523),AP523,AD523))</f>
        <v/>
      </c>
      <c r="AR523" s="26">
        <f>IF(I523="","",IF(Parametreler!$C$7="Evet","Kural A - Hemen Ödeme (Stok Mutabakatlı)","Kural B - Nakliye/Montaj Sonrası Ödeme"))</f>
        <v/>
      </c>
    </row>
    <row r="524">
      <c r="A524" s="23" t="n"/>
      <c r="B524" s="23" t="n"/>
      <c r="C524" s="23" t="n"/>
      <c r="D524" s="23" t="n"/>
      <c r="E524" s="23" t="n"/>
      <c r="F524" s="23" t="n"/>
      <c r="G524" s="23" t="n"/>
      <c r="H524" s="24" t="n"/>
      <c r="I524" s="23" t="n"/>
      <c r="J524" s="23" t="n"/>
      <c r="K524" s="23" t="n"/>
      <c r="L524" s="23" t="n"/>
      <c r="M524" s="23" t="n"/>
      <c r="N524" s="23" t="n"/>
      <c r="O524" s="23" t="n"/>
      <c r="P524" s="23" t="n"/>
      <c r="Q524" s="23" t="n"/>
      <c r="R524" s="23" t="n"/>
      <c r="S524" s="23" t="n"/>
      <c r="T524" s="23" t="n"/>
      <c r="U524" s="23" t="n"/>
      <c r="V524" s="23" t="n"/>
      <c r="W524" s="23" t="n"/>
      <c r="X524" s="23" t="n"/>
      <c r="Y524" s="25" t="n"/>
      <c r="Z524" s="25" t="n"/>
      <c r="AA524" s="23" t="n"/>
      <c r="AB524" s="25" t="n"/>
      <c r="AC524" s="23" t="n"/>
      <c r="AD524" s="25" t="n"/>
      <c r="AE524" s="23" t="n"/>
      <c r="AF524" s="25" t="n"/>
      <c r="AG524" s="25" t="n"/>
      <c r="AH524" s="23" t="n"/>
      <c r="AI524" s="23" t="n"/>
      <c r="AJ524" s="26">
        <f>IF(I524="","",I524&amp;"|"&amp;R524)</f>
        <v/>
      </c>
      <c r="AK524" s="26">
        <f>IF(I524="","",IF(ISNA(MATCH(O524,Kampanyalar!$A$2:$A$150,0)),"Hayır - Kampanyalar'da Yok","Evet"))</f>
        <v/>
      </c>
      <c r="AL524" s="27">
        <f>IF(I524="","",IFERROR(INDEX(Kampanyalar!$E$2:$E$150,MATCH(O524,Kampanyalar!$A$2:$A$150,0)),""))</f>
        <v/>
      </c>
      <c r="AM524" s="27">
        <f>IF(I524="","",IFERROR(INDEX(Kampanyalar!$F$2:$F$150,MATCH(O524,Kampanyalar!$A$2:$A$150,0)),""))</f>
        <v/>
      </c>
      <c r="AN524" s="27">
        <f>IF(I524="","",IFERROR(INDEX(Kampanyalar!$G$2:$G$150,MATCH(O524,Kampanyalar!$A$2:$A$150,0)),""))</f>
        <v/>
      </c>
      <c r="AO524" s="26">
        <f>IF(OR(I524="",AL524="",AM524=""),"",IF(AND(H524&gt;=AL524,H524&lt;=AM524),"Evet","HAYIR - Tarih Dışı"))</f>
        <v/>
      </c>
      <c r="AP524" s="28">
        <f>IF(I524="","",IFERROR(INDEX(Kampanyalar!$H$2:$H$150,MATCH(O524,Kampanyalar!$A$2:$A$150,0)),""))</f>
        <v/>
      </c>
      <c r="AQ524" s="28">
        <f>IF(I524="","",IF(ISNUMBER(AP524),AP524,AD524))</f>
        <v/>
      </c>
      <c r="AR524" s="26">
        <f>IF(I524="","",IF(Parametreler!$C$7="Evet","Kural A - Hemen Ödeme (Stok Mutabakatlı)","Kural B - Nakliye/Montaj Sonrası Ödeme"))</f>
        <v/>
      </c>
    </row>
    <row r="525">
      <c r="A525" s="23" t="n"/>
      <c r="B525" s="23" t="n"/>
      <c r="C525" s="23" t="n"/>
      <c r="D525" s="23" t="n"/>
      <c r="E525" s="23" t="n"/>
      <c r="F525" s="23" t="n"/>
      <c r="G525" s="23" t="n"/>
      <c r="H525" s="24" t="n"/>
      <c r="I525" s="23" t="n"/>
      <c r="J525" s="23" t="n"/>
      <c r="K525" s="23" t="n"/>
      <c r="L525" s="23" t="n"/>
      <c r="M525" s="23" t="n"/>
      <c r="N525" s="23" t="n"/>
      <c r="O525" s="23" t="n"/>
      <c r="P525" s="23" t="n"/>
      <c r="Q525" s="23" t="n"/>
      <c r="R525" s="23" t="n"/>
      <c r="S525" s="23" t="n"/>
      <c r="T525" s="23" t="n"/>
      <c r="U525" s="23" t="n"/>
      <c r="V525" s="23" t="n"/>
      <c r="W525" s="23" t="n"/>
      <c r="X525" s="23" t="n"/>
      <c r="Y525" s="25" t="n"/>
      <c r="Z525" s="25" t="n"/>
      <c r="AA525" s="23" t="n"/>
      <c r="AB525" s="25" t="n"/>
      <c r="AC525" s="23" t="n"/>
      <c r="AD525" s="25" t="n"/>
      <c r="AE525" s="23" t="n"/>
      <c r="AF525" s="25" t="n"/>
      <c r="AG525" s="25" t="n"/>
      <c r="AH525" s="23" t="n"/>
      <c r="AI525" s="23" t="n"/>
      <c r="AJ525" s="26">
        <f>IF(I525="","",I525&amp;"|"&amp;R525)</f>
        <v/>
      </c>
      <c r="AK525" s="26">
        <f>IF(I525="","",IF(ISNA(MATCH(O525,Kampanyalar!$A$2:$A$150,0)),"Hayır - Kampanyalar'da Yok","Evet"))</f>
        <v/>
      </c>
      <c r="AL525" s="27">
        <f>IF(I525="","",IFERROR(INDEX(Kampanyalar!$E$2:$E$150,MATCH(O525,Kampanyalar!$A$2:$A$150,0)),""))</f>
        <v/>
      </c>
      <c r="AM525" s="27">
        <f>IF(I525="","",IFERROR(INDEX(Kampanyalar!$F$2:$F$150,MATCH(O525,Kampanyalar!$A$2:$A$150,0)),""))</f>
        <v/>
      </c>
      <c r="AN525" s="27">
        <f>IF(I525="","",IFERROR(INDEX(Kampanyalar!$G$2:$G$150,MATCH(O525,Kampanyalar!$A$2:$A$150,0)),""))</f>
        <v/>
      </c>
      <c r="AO525" s="26">
        <f>IF(OR(I525="",AL525="",AM525=""),"",IF(AND(H525&gt;=AL525,H525&lt;=AM525),"Evet","HAYIR - Tarih Dışı"))</f>
        <v/>
      </c>
      <c r="AP525" s="28">
        <f>IF(I525="","",IFERROR(INDEX(Kampanyalar!$H$2:$H$150,MATCH(O525,Kampanyalar!$A$2:$A$150,0)),""))</f>
        <v/>
      </c>
      <c r="AQ525" s="28">
        <f>IF(I525="","",IF(ISNUMBER(AP525),AP525,AD525))</f>
        <v/>
      </c>
      <c r="AR525" s="26">
        <f>IF(I525="","",IF(Parametreler!$C$7="Evet","Kural A - Hemen Ödeme (Stok Mutabakatlı)","Kural B - Nakliye/Montaj Sonrası Ödeme"))</f>
        <v/>
      </c>
    </row>
    <row r="526">
      <c r="A526" s="23" t="n"/>
      <c r="B526" s="23" t="n"/>
      <c r="C526" s="23" t="n"/>
      <c r="D526" s="23" t="n"/>
      <c r="E526" s="23" t="n"/>
      <c r="F526" s="23" t="n"/>
      <c r="G526" s="23" t="n"/>
      <c r="H526" s="24" t="n"/>
      <c r="I526" s="23" t="n"/>
      <c r="J526" s="23" t="n"/>
      <c r="K526" s="23" t="n"/>
      <c r="L526" s="23" t="n"/>
      <c r="M526" s="23" t="n"/>
      <c r="N526" s="23" t="n"/>
      <c r="O526" s="23" t="n"/>
      <c r="P526" s="23" t="n"/>
      <c r="Q526" s="23" t="n"/>
      <c r="R526" s="23" t="n"/>
      <c r="S526" s="23" t="n"/>
      <c r="T526" s="23" t="n"/>
      <c r="U526" s="23" t="n"/>
      <c r="V526" s="23" t="n"/>
      <c r="W526" s="23" t="n"/>
      <c r="X526" s="23" t="n"/>
      <c r="Y526" s="25" t="n"/>
      <c r="Z526" s="25" t="n"/>
      <c r="AA526" s="23" t="n"/>
      <c r="AB526" s="25" t="n"/>
      <c r="AC526" s="23" t="n"/>
      <c r="AD526" s="25" t="n"/>
      <c r="AE526" s="23" t="n"/>
      <c r="AF526" s="25" t="n"/>
      <c r="AG526" s="25" t="n"/>
      <c r="AH526" s="23" t="n"/>
      <c r="AI526" s="23" t="n"/>
      <c r="AJ526" s="26">
        <f>IF(I526="","",I526&amp;"|"&amp;R526)</f>
        <v/>
      </c>
      <c r="AK526" s="26">
        <f>IF(I526="","",IF(ISNA(MATCH(O526,Kampanyalar!$A$2:$A$150,0)),"Hayır - Kampanyalar'da Yok","Evet"))</f>
        <v/>
      </c>
      <c r="AL526" s="27">
        <f>IF(I526="","",IFERROR(INDEX(Kampanyalar!$E$2:$E$150,MATCH(O526,Kampanyalar!$A$2:$A$150,0)),""))</f>
        <v/>
      </c>
      <c r="AM526" s="27">
        <f>IF(I526="","",IFERROR(INDEX(Kampanyalar!$F$2:$F$150,MATCH(O526,Kampanyalar!$A$2:$A$150,0)),""))</f>
        <v/>
      </c>
      <c r="AN526" s="27">
        <f>IF(I526="","",IFERROR(INDEX(Kampanyalar!$G$2:$G$150,MATCH(O526,Kampanyalar!$A$2:$A$150,0)),""))</f>
        <v/>
      </c>
      <c r="AO526" s="26">
        <f>IF(OR(I526="",AL526="",AM526=""),"",IF(AND(H526&gt;=AL526,H526&lt;=AM526),"Evet","HAYIR - Tarih Dışı"))</f>
        <v/>
      </c>
      <c r="AP526" s="28">
        <f>IF(I526="","",IFERROR(INDEX(Kampanyalar!$H$2:$H$150,MATCH(O526,Kampanyalar!$A$2:$A$150,0)),""))</f>
        <v/>
      </c>
      <c r="AQ526" s="28">
        <f>IF(I526="","",IF(ISNUMBER(AP526),AP526,AD526))</f>
        <v/>
      </c>
      <c r="AR526" s="26">
        <f>IF(I526="","",IF(Parametreler!$C$7="Evet","Kural A - Hemen Ödeme (Stok Mutabakatlı)","Kural B - Nakliye/Montaj Sonrası Ödeme"))</f>
        <v/>
      </c>
    </row>
    <row r="527">
      <c r="A527" s="23" t="n"/>
      <c r="B527" s="23" t="n"/>
      <c r="C527" s="23" t="n"/>
      <c r="D527" s="23" t="n"/>
      <c r="E527" s="23" t="n"/>
      <c r="F527" s="23" t="n"/>
      <c r="G527" s="23" t="n"/>
      <c r="H527" s="24" t="n"/>
      <c r="I527" s="23" t="n"/>
      <c r="J527" s="23" t="n"/>
      <c r="K527" s="23" t="n"/>
      <c r="L527" s="23" t="n"/>
      <c r="M527" s="23" t="n"/>
      <c r="N527" s="23" t="n"/>
      <c r="O527" s="23" t="n"/>
      <c r="P527" s="23" t="n"/>
      <c r="Q527" s="23" t="n"/>
      <c r="R527" s="23" t="n"/>
      <c r="S527" s="23" t="n"/>
      <c r="T527" s="23" t="n"/>
      <c r="U527" s="23" t="n"/>
      <c r="V527" s="23" t="n"/>
      <c r="W527" s="23" t="n"/>
      <c r="X527" s="23" t="n"/>
      <c r="Y527" s="25" t="n"/>
      <c r="Z527" s="25" t="n"/>
      <c r="AA527" s="23" t="n"/>
      <c r="AB527" s="25" t="n"/>
      <c r="AC527" s="23" t="n"/>
      <c r="AD527" s="25" t="n"/>
      <c r="AE527" s="23" t="n"/>
      <c r="AF527" s="25" t="n"/>
      <c r="AG527" s="25" t="n"/>
      <c r="AH527" s="23" t="n"/>
      <c r="AI527" s="23" t="n"/>
      <c r="AJ527" s="26">
        <f>IF(I527="","",I527&amp;"|"&amp;R527)</f>
        <v/>
      </c>
      <c r="AK527" s="26">
        <f>IF(I527="","",IF(ISNA(MATCH(O527,Kampanyalar!$A$2:$A$150,0)),"Hayır - Kampanyalar'da Yok","Evet"))</f>
        <v/>
      </c>
      <c r="AL527" s="27">
        <f>IF(I527="","",IFERROR(INDEX(Kampanyalar!$E$2:$E$150,MATCH(O527,Kampanyalar!$A$2:$A$150,0)),""))</f>
        <v/>
      </c>
      <c r="AM527" s="27">
        <f>IF(I527="","",IFERROR(INDEX(Kampanyalar!$F$2:$F$150,MATCH(O527,Kampanyalar!$A$2:$A$150,0)),""))</f>
        <v/>
      </c>
      <c r="AN527" s="27">
        <f>IF(I527="","",IFERROR(INDEX(Kampanyalar!$G$2:$G$150,MATCH(O527,Kampanyalar!$A$2:$A$150,0)),""))</f>
        <v/>
      </c>
      <c r="AO527" s="26">
        <f>IF(OR(I527="",AL527="",AM527=""),"",IF(AND(H527&gt;=AL527,H527&lt;=AM527),"Evet","HAYIR - Tarih Dışı"))</f>
        <v/>
      </c>
      <c r="AP527" s="28">
        <f>IF(I527="","",IFERROR(INDEX(Kampanyalar!$H$2:$H$150,MATCH(O527,Kampanyalar!$A$2:$A$150,0)),""))</f>
        <v/>
      </c>
      <c r="AQ527" s="28">
        <f>IF(I527="","",IF(ISNUMBER(AP527),AP527,AD527))</f>
        <v/>
      </c>
      <c r="AR527" s="26">
        <f>IF(I527="","",IF(Parametreler!$C$7="Evet","Kural A - Hemen Ödeme (Stok Mutabakatlı)","Kural B - Nakliye/Montaj Sonrası Ödeme"))</f>
        <v/>
      </c>
    </row>
    <row r="528">
      <c r="A528" s="23" t="n"/>
      <c r="B528" s="23" t="n"/>
      <c r="C528" s="23" t="n"/>
      <c r="D528" s="23" t="n"/>
      <c r="E528" s="23" t="n"/>
      <c r="F528" s="23" t="n"/>
      <c r="G528" s="23" t="n"/>
      <c r="H528" s="24" t="n"/>
      <c r="I528" s="23" t="n"/>
      <c r="J528" s="23" t="n"/>
      <c r="K528" s="23" t="n"/>
      <c r="L528" s="23" t="n"/>
      <c r="M528" s="23" t="n"/>
      <c r="N528" s="23" t="n"/>
      <c r="O528" s="23" t="n"/>
      <c r="P528" s="23" t="n"/>
      <c r="Q528" s="23" t="n"/>
      <c r="R528" s="23" t="n"/>
      <c r="S528" s="23" t="n"/>
      <c r="T528" s="23" t="n"/>
      <c r="U528" s="23" t="n"/>
      <c r="V528" s="23" t="n"/>
      <c r="W528" s="23" t="n"/>
      <c r="X528" s="23" t="n"/>
      <c r="Y528" s="25" t="n"/>
      <c r="Z528" s="25" t="n"/>
      <c r="AA528" s="23" t="n"/>
      <c r="AB528" s="25" t="n"/>
      <c r="AC528" s="23" t="n"/>
      <c r="AD528" s="25" t="n"/>
      <c r="AE528" s="23" t="n"/>
      <c r="AF528" s="25" t="n"/>
      <c r="AG528" s="25" t="n"/>
      <c r="AH528" s="23" t="n"/>
      <c r="AI528" s="23" t="n"/>
      <c r="AJ528" s="26">
        <f>IF(I528="","",I528&amp;"|"&amp;R528)</f>
        <v/>
      </c>
      <c r="AK528" s="26">
        <f>IF(I528="","",IF(ISNA(MATCH(O528,Kampanyalar!$A$2:$A$150,0)),"Hayır - Kampanyalar'da Yok","Evet"))</f>
        <v/>
      </c>
      <c r="AL528" s="27">
        <f>IF(I528="","",IFERROR(INDEX(Kampanyalar!$E$2:$E$150,MATCH(O528,Kampanyalar!$A$2:$A$150,0)),""))</f>
        <v/>
      </c>
      <c r="AM528" s="27">
        <f>IF(I528="","",IFERROR(INDEX(Kampanyalar!$F$2:$F$150,MATCH(O528,Kampanyalar!$A$2:$A$150,0)),""))</f>
        <v/>
      </c>
      <c r="AN528" s="27">
        <f>IF(I528="","",IFERROR(INDEX(Kampanyalar!$G$2:$G$150,MATCH(O528,Kampanyalar!$A$2:$A$150,0)),""))</f>
        <v/>
      </c>
      <c r="AO528" s="26">
        <f>IF(OR(I528="",AL528="",AM528=""),"",IF(AND(H528&gt;=AL528,H528&lt;=AM528),"Evet","HAYIR - Tarih Dışı"))</f>
        <v/>
      </c>
      <c r="AP528" s="28">
        <f>IF(I528="","",IFERROR(INDEX(Kampanyalar!$H$2:$H$150,MATCH(O528,Kampanyalar!$A$2:$A$150,0)),""))</f>
        <v/>
      </c>
      <c r="AQ528" s="28">
        <f>IF(I528="","",IF(ISNUMBER(AP528),AP528,AD528))</f>
        <v/>
      </c>
      <c r="AR528" s="26">
        <f>IF(I528="","",IF(Parametreler!$C$7="Evet","Kural A - Hemen Ödeme (Stok Mutabakatlı)","Kural B - Nakliye/Montaj Sonrası Ödeme"))</f>
        <v/>
      </c>
    </row>
    <row r="529">
      <c r="A529" s="23" t="n"/>
      <c r="B529" s="23" t="n"/>
      <c r="C529" s="23" t="n"/>
      <c r="D529" s="23" t="n"/>
      <c r="E529" s="23" t="n"/>
      <c r="F529" s="23" t="n"/>
      <c r="G529" s="23" t="n"/>
      <c r="H529" s="24" t="n"/>
      <c r="I529" s="23" t="n"/>
      <c r="J529" s="23" t="n"/>
      <c r="K529" s="23" t="n"/>
      <c r="L529" s="23" t="n"/>
      <c r="M529" s="23" t="n"/>
      <c r="N529" s="23" t="n"/>
      <c r="O529" s="23" t="n"/>
      <c r="P529" s="23" t="n"/>
      <c r="Q529" s="23" t="n"/>
      <c r="R529" s="23" t="n"/>
      <c r="S529" s="23" t="n"/>
      <c r="T529" s="23" t="n"/>
      <c r="U529" s="23" t="n"/>
      <c r="V529" s="23" t="n"/>
      <c r="W529" s="23" t="n"/>
      <c r="X529" s="23" t="n"/>
      <c r="Y529" s="25" t="n"/>
      <c r="Z529" s="25" t="n"/>
      <c r="AA529" s="23" t="n"/>
      <c r="AB529" s="25" t="n"/>
      <c r="AC529" s="23" t="n"/>
      <c r="AD529" s="25" t="n"/>
      <c r="AE529" s="23" t="n"/>
      <c r="AF529" s="25" t="n"/>
      <c r="AG529" s="25" t="n"/>
      <c r="AH529" s="23" t="n"/>
      <c r="AI529" s="23" t="n"/>
      <c r="AJ529" s="26">
        <f>IF(I529="","",I529&amp;"|"&amp;R529)</f>
        <v/>
      </c>
      <c r="AK529" s="26">
        <f>IF(I529="","",IF(ISNA(MATCH(O529,Kampanyalar!$A$2:$A$150,0)),"Hayır - Kampanyalar'da Yok","Evet"))</f>
        <v/>
      </c>
      <c r="AL529" s="27">
        <f>IF(I529="","",IFERROR(INDEX(Kampanyalar!$E$2:$E$150,MATCH(O529,Kampanyalar!$A$2:$A$150,0)),""))</f>
        <v/>
      </c>
      <c r="AM529" s="27">
        <f>IF(I529="","",IFERROR(INDEX(Kampanyalar!$F$2:$F$150,MATCH(O529,Kampanyalar!$A$2:$A$150,0)),""))</f>
        <v/>
      </c>
      <c r="AN529" s="27">
        <f>IF(I529="","",IFERROR(INDEX(Kampanyalar!$G$2:$G$150,MATCH(O529,Kampanyalar!$A$2:$A$150,0)),""))</f>
        <v/>
      </c>
      <c r="AO529" s="26">
        <f>IF(OR(I529="",AL529="",AM529=""),"",IF(AND(H529&gt;=AL529,H529&lt;=AM529),"Evet","HAYIR - Tarih Dışı"))</f>
        <v/>
      </c>
      <c r="AP529" s="28">
        <f>IF(I529="","",IFERROR(INDEX(Kampanyalar!$H$2:$H$150,MATCH(O529,Kampanyalar!$A$2:$A$150,0)),""))</f>
        <v/>
      </c>
      <c r="AQ529" s="28">
        <f>IF(I529="","",IF(ISNUMBER(AP529),AP529,AD529))</f>
        <v/>
      </c>
      <c r="AR529" s="26">
        <f>IF(I529="","",IF(Parametreler!$C$7="Evet","Kural A - Hemen Ödeme (Stok Mutabakatlı)","Kural B - Nakliye/Montaj Sonrası Ödeme"))</f>
        <v/>
      </c>
    </row>
    <row r="530">
      <c r="A530" s="23" t="n"/>
      <c r="B530" s="23" t="n"/>
      <c r="C530" s="23" t="n"/>
      <c r="D530" s="23" t="n"/>
      <c r="E530" s="23" t="n"/>
      <c r="F530" s="23" t="n"/>
      <c r="G530" s="23" t="n"/>
      <c r="H530" s="24" t="n"/>
      <c r="I530" s="23" t="n"/>
      <c r="J530" s="23" t="n"/>
      <c r="K530" s="23" t="n"/>
      <c r="L530" s="23" t="n"/>
      <c r="M530" s="23" t="n"/>
      <c r="N530" s="23" t="n"/>
      <c r="O530" s="23" t="n"/>
      <c r="P530" s="23" t="n"/>
      <c r="Q530" s="23" t="n"/>
      <c r="R530" s="23" t="n"/>
      <c r="S530" s="23" t="n"/>
      <c r="T530" s="23" t="n"/>
      <c r="U530" s="23" t="n"/>
      <c r="V530" s="23" t="n"/>
      <c r="W530" s="23" t="n"/>
      <c r="X530" s="23" t="n"/>
      <c r="Y530" s="25" t="n"/>
      <c r="Z530" s="25" t="n"/>
      <c r="AA530" s="23" t="n"/>
      <c r="AB530" s="25" t="n"/>
      <c r="AC530" s="23" t="n"/>
      <c r="AD530" s="25" t="n"/>
      <c r="AE530" s="23" t="n"/>
      <c r="AF530" s="25" t="n"/>
      <c r="AG530" s="25" t="n"/>
      <c r="AH530" s="23" t="n"/>
      <c r="AI530" s="23" t="n"/>
      <c r="AJ530" s="26">
        <f>IF(I530="","",I530&amp;"|"&amp;R530)</f>
        <v/>
      </c>
      <c r="AK530" s="26">
        <f>IF(I530="","",IF(ISNA(MATCH(O530,Kampanyalar!$A$2:$A$150,0)),"Hayır - Kampanyalar'da Yok","Evet"))</f>
        <v/>
      </c>
      <c r="AL530" s="27">
        <f>IF(I530="","",IFERROR(INDEX(Kampanyalar!$E$2:$E$150,MATCH(O530,Kampanyalar!$A$2:$A$150,0)),""))</f>
        <v/>
      </c>
      <c r="AM530" s="27">
        <f>IF(I530="","",IFERROR(INDEX(Kampanyalar!$F$2:$F$150,MATCH(O530,Kampanyalar!$A$2:$A$150,0)),""))</f>
        <v/>
      </c>
      <c r="AN530" s="27">
        <f>IF(I530="","",IFERROR(INDEX(Kampanyalar!$G$2:$G$150,MATCH(O530,Kampanyalar!$A$2:$A$150,0)),""))</f>
        <v/>
      </c>
      <c r="AO530" s="26">
        <f>IF(OR(I530="",AL530="",AM530=""),"",IF(AND(H530&gt;=AL530,H530&lt;=AM530),"Evet","HAYIR - Tarih Dışı"))</f>
        <v/>
      </c>
      <c r="AP530" s="28">
        <f>IF(I530="","",IFERROR(INDEX(Kampanyalar!$H$2:$H$150,MATCH(O530,Kampanyalar!$A$2:$A$150,0)),""))</f>
        <v/>
      </c>
      <c r="AQ530" s="28">
        <f>IF(I530="","",IF(ISNUMBER(AP530),AP530,AD530))</f>
        <v/>
      </c>
      <c r="AR530" s="26">
        <f>IF(I530="","",IF(Parametreler!$C$7="Evet","Kural A - Hemen Ödeme (Stok Mutabakatlı)","Kural B - Nakliye/Montaj Sonrası Ödeme"))</f>
        <v/>
      </c>
    </row>
    <row r="531">
      <c r="A531" s="23" t="n"/>
      <c r="B531" s="23" t="n"/>
      <c r="C531" s="23" t="n"/>
      <c r="D531" s="23" t="n"/>
      <c r="E531" s="23" t="n"/>
      <c r="F531" s="23" t="n"/>
      <c r="G531" s="23" t="n"/>
      <c r="H531" s="24" t="n"/>
      <c r="I531" s="23" t="n"/>
      <c r="J531" s="23" t="n"/>
      <c r="K531" s="23" t="n"/>
      <c r="L531" s="23" t="n"/>
      <c r="M531" s="23" t="n"/>
      <c r="N531" s="23" t="n"/>
      <c r="O531" s="23" t="n"/>
      <c r="P531" s="23" t="n"/>
      <c r="Q531" s="23" t="n"/>
      <c r="R531" s="23" t="n"/>
      <c r="S531" s="23" t="n"/>
      <c r="T531" s="23" t="n"/>
      <c r="U531" s="23" t="n"/>
      <c r="V531" s="23" t="n"/>
      <c r="W531" s="23" t="n"/>
      <c r="X531" s="23" t="n"/>
      <c r="Y531" s="25" t="n"/>
      <c r="Z531" s="25" t="n"/>
      <c r="AA531" s="23" t="n"/>
      <c r="AB531" s="25" t="n"/>
      <c r="AC531" s="23" t="n"/>
      <c r="AD531" s="25" t="n"/>
      <c r="AE531" s="23" t="n"/>
      <c r="AF531" s="25" t="n"/>
      <c r="AG531" s="25" t="n"/>
      <c r="AH531" s="23" t="n"/>
      <c r="AI531" s="23" t="n"/>
      <c r="AJ531" s="26">
        <f>IF(I531="","",I531&amp;"|"&amp;R531)</f>
        <v/>
      </c>
      <c r="AK531" s="26">
        <f>IF(I531="","",IF(ISNA(MATCH(O531,Kampanyalar!$A$2:$A$150,0)),"Hayır - Kampanyalar'da Yok","Evet"))</f>
        <v/>
      </c>
      <c r="AL531" s="27">
        <f>IF(I531="","",IFERROR(INDEX(Kampanyalar!$E$2:$E$150,MATCH(O531,Kampanyalar!$A$2:$A$150,0)),""))</f>
        <v/>
      </c>
      <c r="AM531" s="27">
        <f>IF(I531="","",IFERROR(INDEX(Kampanyalar!$F$2:$F$150,MATCH(O531,Kampanyalar!$A$2:$A$150,0)),""))</f>
        <v/>
      </c>
      <c r="AN531" s="27">
        <f>IF(I531="","",IFERROR(INDEX(Kampanyalar!$G$2:$G$150,MATCH(O531,Kampanyalar!$A$2:$A$150,0)),""))</f>
        <v/>
      </c>
      <c r="AO531" s="26">
        <f>IF(OR(I531="",AL531="",AM531=""),"",IF(AND(H531&gt;=AL531,H531&lt;=AM531),"Evet","HAYIR - Tarih Dışı"))</f>
        <v/>
      </c>
      <c r="AP531" s="28">
        <f>IF(I531="","",IFERROR(INDEX(Kampanyalar!$H$2:$H$150,MATCH(O531,Kampanyalar!$A$2:$A$150,0)),""))</f>
        <v/>
      </c>
      <c r="AQ531" s="28">
        <f>IF(I531="","",IF(ISNUMBER(AP531),AP531,AD531))</f>
        <v/>
      </c>
      <c r="AR531" s="26">
        <f>IF(I531="","",IF(Parametreler!$C$7="Evet","Kural A - Hemen Ödeme (Stok Mutabakatlı)","Kural B - Nakliye/Montaj Sonrası Ödeme"))</f>
        <v/>
      </c>
    </row>
    <row r="532">
      <c r="A532" s="23" t="n"/>
      <c r="B532" s="23" t="n"/>
      <c r="C532" s="23" t="n"/>
      <c r="D532" s="23" t="n"/>
      <c r="E532" s="23" t="n"/>
      <c r="F532" s="23" t="n"/>
      <c r="G532" s="23" t="n"/>
      <c r="H532" s="24" t="n"/>
      <c r="I532" s="23" t="n"/>
      <c r="J532" s="23" t="n"/>
      <c r="K532" s="23" t="n"/>
      <c r="L532" s="23" t="n"/>
      <c r="M532" s="23" t="n"/>
      <c r="N532" s="23" t="n"/>
      <c r="O532" s="23" t="n"/>
      <c r="P532" s="23" t="n"/>
      <c r="Q532" s="23" t="n"/>
      <c r="R532" s="23" t="n"/>
      <c r="S532" s="23" t="n"/>
      <c r="T532" s="23" t="n"/>
      <c r="U532" s="23" t="n"/>
      <c r="V532" s="23" t="n"/>
      <c r="W532" s="23" t="n"/>
      <c r="X532" s="23" t="n"/>
      <c r="Y532" s="25" t="n"/>
      <c r="Z532" s="25" t="n"/>
      <c r="AA532" s="23" t="n"/>
      <c r="AB532" s="25" t="n"/>
      <c r="AC532" s="23" t="n"/>
      <c r="AD532" s="25" t="n"/>
      <c r="AE532" s="23" t="n"/>
      <c r="AF532" s="25" t="n"/>
      <c r="AG532" s="25" t="n"/>
      <c r="AH532" s="23" t="n"/>
      <c r="AI532" s="23" t="n"/>
      <c r="AJ532" s="26">
        <f>IF(I532="","",I532&amp;"|"&amp;R532)</f>
        <v/>
      </c>
      <c r="AK532" s="26">
        <f>IF(I532="","",IF(ISNA(MATCH(O532,Kampanyalar!$A$2:$A$150,0)),"Hayır - Kampanyalar'da Yok","Evet"))</f>
        <v/>
      </c>
      <c r="AL532" s="27">
        <f>IF(I532="","",IFERROR(INDEX(Kampanyalar!$E$2:$E$150,MATCH(O532,Kampanyalar!$A$2:$A$150,0)),""))</f>
        <v/>
      </c>
      <c r="AM532" s="27">
        <f>IF(I532="","",IFERROR(INDEX(Kampanyalar!$F$2:$F$150,MATCH(O532,Kampanyalar!$A$2:$A$150,0)),""))</f>
        <v/>
      </c>
      <c r="AN532" s="27">
        <f>IF(I532="","",IFERROR(INDEX(Kampanyalar!$G$2:$G$150,MATCH(O532,Kampanyalar!$A$2:$A$150,0)),""))</f>
        <v/>
      </c>
      <c r="AO532" s="26">
        <f>IF(OR(I532="",AL532="",AM532=""),"",IF(AND(H532&gt;=AL532,H532&lt;=AM532),"Evet","HAYIR - Tarih Dışı"))</f>
        <v/>
      </c>
      <c r="AP532" s="28">
        <f>IF(I532="","",IFERROR(INDEX(Kampanyalar!$H$2:$H$150,MATCH(O532,Kampanyalar!$A$2:$A$150,0)),""))</f>
        <v/>
      </c>
      <c r="AQ532" s="28">
        <f>IF(I532="","",IF(ISNUMBER(AP532),AP532,AD532))</f>
        <v/>
      </c>
      <c r="AR532" s="26">
        <f>IF(I532="","",IF(Parametreler!$C$7="Evet","Kural A - Hemen Ödeme (Stok Mutabakatlı)","Kural B - Nakliye/Montaj Sonrası Ödeme"))</f>
        <v/>
      </c>
    </row>
    <row r="533">
      <c r="A533" s="23" t="n"/>
      <c r="B533" s="23" t="n"/>
      <c r="C533" s="23" t="n"/>
      <c r="D533" s="23" t="n"/>
      <c r="E533" s="23" t="n"/>
      <c r="F533" s="23" t="n"/>
      <c r="G533" s="23" t="n"/>
      <c r="H533" s="24" t="n"/>
      <c r="I533" s="23" t="n"/>
      <c r="J533" s="23" t="n"/>
      <c r="K533" s="23" t="n"/>
      <c r="L533" s="23" t="n"/>
      <c r="M533" s="23" t="n"/>
      <c r="N533" s="23" t="n"/>
      <c r="O533" s="23" t="n"/>
      <c r="P533" s="23" t="n"/>
      <c r="Q533" s="23" t="n"/>
      <c r="R533" s="23" t="n"/>
      <c r="S533" s="23" t="n"/>
      <c r="T533" s="23" t="n"/>
      <c r="U533" s="23" t="n"/>
      <c r="V533" s="23" t="n"/>
      <c r="W533" s="23" t="n"/>
      <c r="X533" s="23" t="n"/>
      <c r="Y533" s="25" t="n"/>
      <c r="Z533" s="25" t="n"/>
      <c r="AA533" s="23" t="n"/>
      <c r="AB533" s="25" t="n"/>
      <c r="AC533" s="23" t="n"/>
      <c r="AD533" s="25" t="n"/>
      <c r="AE533" s="23" t="n"/>
      <c r="AF533" s="25" t="n"/>
      <c r="AG533" s="25" t="n"/>
      <c r="AH533" s="23" t="n"/>
      <c r="AI533" s="23" t="n"/>
      <c r="AJ533" s="26">
        <f>IF(I533="","",I533&amp;"|"&amp;R533)</f>
        <v/>
      </c>
      <c r="AK533" s="26">
        <f>IF(I533="","",IF(ISNA(MATCH(O533,Kampanyalar!$A$2:$A$150,0)),"Hayır - Kampanyalar'da Yok","Evet"))</f>
        <v/>
      </c>
      <c r="AL533" s="27">
        <f>IF(I533="","",IFERROR(INDEX(Kampanyalar!$E$2:$E$150,MATCH(O533,Kampanyalar!$A$2:$A$150,0)),""))</f>
        <v/>
      </c>
      <c r="AM533" s="27">
        <f>IF(I533="","",IFERROR(INDEX(Kampanyalar!$F$2:$F$150,MATCH(O533,Kampanyalar!$A$2:$A$150,0)),""))</f>
        <v/>
      </c>
      <c r="AN533" s="27">
        <f>IF(I533="","",IFERROR(INDEX(Kampanyalar!$G$2:$G$150,MATCH(O533,Kampanyalar!$A$2:$A$150,0)),""))</f>
        <v/>
      </c>
      <c r="AO533" s="26">
        <f>IF(OR(I533="",AL533="",AM533=""),"",IF(AND(H533&gt;=AL533,H533&lt;=AM533),"Evet","HAYIR - Tarih Dışı"))</f>
        <v/>
      </c>
      <c r="AP533" s="28">
        <f>IF(I533="","",IFERROR(INDEX(Kampanyalar!$H$2:$H$150,MATCH(O533,Kampanyalar!$A$2:$A$150,0)),""))</f>
        <v/>
      </c>
      <c r="AQ533" s="28">
        <f>IF(I533="","",IF(ISNUMBER(AP533),AP533,AD533))</f>
        <v/>
      </c>
      <c r="AR533" s="26">
        <f>IF(I533="","",IF(Parametreler!$C$7="Evet","Kural A - Hemen Ödeme (Stok Mutabakatlı)","Kural B - Nakliye/Montaj Sonrası Ödeme"))</f>
        <v/>
      </c>
    </row>
    <row r="534">
      <c r="A534" s="23" t="n"/>
      <c r="B534" s="23" t="n"/>
      <c r="C534" s="23" t="n"/>
      <c r="D534" s="23" t="n"/>
      <c r="E534" s="23" t="n"/>
      <c r="F534" s="23" t="n"/>
      <c r="G534" s="23" t="n"/>
      <c r="H534" s="24" t="n"/>
      <c r="I534" s="23" t="n"/>
      <c r="J534" s="23" t="n"/>
      <c r="K534" s="23" t="n"/>
      <c r="L534" s="23" t="n"/>
      <c r="M534" s="23" t="n"/>
      <c r="N534" s="23" t="n"/>
      <c r="O534" s="23" t="n"/>
      <c r="P534" s="23" t="n"/>
      <c r="Q534" s="23" t="n"/>
      <c r="R534" s="23" t="n"/>
      <c r="S534" s="23" t="n"/>
      <c r="T534" s="23" t="n"/>
      <c r="U534" s="23" t="n"/>
      <c r="V534" s="23" t="n"/>
      <c r="W534" s="23" t="n"/>
      <c r="X534" s="23" t="n"/>
      <c r="Y534" s="25" t="n"/>
      <c r="Z534" s="25" t="n"/>
      <c r="AA534" s="23" t="n"/>
      <c r="AB534" s="25" t="n"/>
      <c r="AC534" s="23" t="n"/>
      <c r="AD534" s="25" t="n"/>
      <c r="AE534" s="23" t="n"/>
      <c r="AF534" s="25" t="n"/>
      <c r="AG534" s="25" t="n"/>
      <c r="AH534" s="23" t="n"/>
      <c r="AI534" s="23" t="n"/>
      <c r="AJ534" s="26">
        <f>IF(I534="","",I534&amp;"|"&amp;R534)</f>
        <v/>
      </c>
      <c r="AK534" s="26">
        <f>IF(I534="","",IF(ISNA(MATCH(O534,Kampanyalar!$A$2:$A$150,0)),"Hayır - Kampanyalar'da Yok","Evet"))</f>
        <v/>
      </c>
      <c r="AL534" s="27">
        <f>IF(I534="","",IFERROR(INDEX(Kampanyalar!$E$2:$E$150,MATCH(O534,Kampanyalar!$A$2:$A$150,0)),""))</f>
        <v/>
      </c>
      <c r="AM534" s="27">
        <f>IF(I534="","",IFERROR(INDEX(Kampanyalar!$F$2:$F$150,MATCH(O534,Kampanyalar!$A$2:$A$150,0)),""))</f>
        <v/>
      </c>
      <c r="AN534" s="27">
        <f>IF(I534="","",IFERROR(INDEX(Kampanyalar!$G$2:$G$150,MATCH(O534,Kampanyalar!$A$2:$A$150,0)),""))</f>
        <v/>
      </c>
      <c r="AO534" s="26">
        <f>IF(OR(I534="",AL534="",AM534=""),"",IF(AND(H534&gt;=AL534,H534&lt;=AM534),"Evet","HAYIR - Tarih Dışı"))</f>
        <v/>
      </c>
      <c r="AP534" s="28">
        <f>IF(I534="","",IFERROR(INDEX(Kampanyalar!$H$2:$H$150,MATCH(O534,Kampanyalar!$A$2:$A$150,0)),""))</f>
        <v/>
      </c>
      <c r="AQ534" s="28">
        <f>IF(I534="","",IF(ISNUMBER(AP534),AP534,AD534))</f>
        <v/>
      </c>
      <c r="AR534" s="26">
        <f>IF(I534="","",IF(Parametreler!$C$7="Evet","Kural A - Hemen Ödeme (Stok Mutabakatlı)","Kural B - Nakliye/Montaj Sonrası Ödeme"))</f>
        <v/>
      </c>
    </row>
    <row r="535">
      <c r="A535" s="23" t="n"/>
      <c r="B535" s="23" t="n"/>
      <c r="C535" s="23" t="n"/>
      <c r="D535" s="23" t="n"/>
      <c r="E535" s="23" t="n"/>
      <c r="F535" s="23" t="n"/>
      <c r="G535" s="23" t="n"/>
      <c r="H535" s="24" t="n"/>
      <c r="I535" s="23" t="n"/>
      <c r="J535" s="23" t="n"/>
      <c r="K535" s="23" t="n"/>
      <c r="L535" s="23" t="n"/>
      <c r="M535" s="23" t="n"/>
      <c r="N535" s="23" t="n"/>
      <c r="O535" s="23" t="n"/>
      <c r="P535" s="23" t="n"/>
      <c r="Q535" s="23" t="n"/>
      <c r="R535" s="23" t="n"/>
      <c r="S535" s="23" t="n"/>
      <c r="T535" s="23" t="n"/>
      <c r="U535" s="23" t="n"/>
      <c r="V535" s="23" t="n"/>
      <c r="W535" s="23" t="n"/>
      <c r="X535" s="23" t="n"/>
      <c r="Y535" s="25" t="n"/>
      <c r="Z535" s="25" t="n"/>
      <c r="AA535" s="23" t="n"/>
      <c r="AB535" s="25" t="n"/>
      <c r="AC535" s="23" t="n"/>
      <c r="AD535" s="25" t="n"/>
      <c r="AE535" s="23" t="n"/>
      <c r="AF535" s="25" t="n"/>
      <c r="AG535" s="25" t="n"/>
      <c r="AH535" s="23" t="n"/>
      <c r="AI535" s="23" t="n"/>
      <c r="AJ535" s="26">
        <f>IF(I535="","",I535&amp;"|"&amp;R535)</f>
        <v/>
      </c>
      <c r="AK535" s="26">
        <f>IF(I535="","",IF(ISNA(MATCH(O535,Kampanyalar!$A$2:$A$150,0)),"Hayır - Kampanyalar'da Yok","Evet"))</f>
        <v/>
      </c>
      <c r="AL535" s="27">
        <f>IF(I535="","",IFERROR(INDEX(Kampanyalar!$E$2:$E$150,MATCH(O535,Kampanyalar!$A$2:$A$150,0)),""))</f>
        <v/>
      </c>
      <c r="AM535" s="27">
        <f>IF(I535="","",IFERROR(INDEX(Kampanyalar!$F$2:$F$150,MATCH(O535,Kampanyalar!$A$2:$A$150,0)),""))</f>
        <v/>
      </c>
      <c r="AN535" s="27">
        <f>IF(I535="","",IFERROR(INDEX(Kampanyalar!$G$2:$G$150,MATCH(O535,Kampanyalar!$A$2:$A$150,0)),""))</f>
        <v/>
      </c>
      <c r="AO535" s="26">
        <f>IF(OR(I535="",AL535="",AM535=""),"",IF(AND(H535&gt;=AL535,H535&lt;=AM535),"Evet","HAYIR - Tarih Dışı"))</f>
        <v/>
      </c>
      <c r="AP535" s="28">
        <f>IF(I535="","",IFERROR(INDEX(Kampanyalar!$H$2:$H$150,MATCH(O535,Kampanyalar!$A$2:$A$150,0)),""))</f>
        <v/>
      </c>
      <c r="AQ535" s="28">
        <f>IF(I535="","",IF(ISNUMBER(AP535),AP535,AD535))</f>
        <v/>
      </c>
      <c r="AR535" s="26">
        <f>IF(I535="","",IF(Parametreler!$C$7="Evet","Kural A - Hemen Ödeme (Stok Mutabakatlı)","Kural B - Nakliye/Montaj Sonrası Ödeme"))</f>
        <v/>
      </c>
    </row>
    <row r="536">
      <c r="A536" s="23" t="n"/>
      <c r="B536" s="23" t="n"/>
      <c r="C536" s="23" t="n"/>
      <c r="D536" s="23" t="n"/>
      <c r="E536" s="23" t="n"/>
      <c r="F536" s="23" t="n"/>
      <c r="G536" s="23" t="n"/>
      <c r="H536" s="24" t="n"/>
      <c r="I536" s="23" t="n"/>
      <c r="J536" s="23" t="n"/>
      <c r="K536" s="23" t="n"/>
      <c r="L536" s="23" t="n"/>
      <c r="M536" s="23" t="n"/>
      <c r="N536" s="23" t="n"/>
      <c r="O536" s="23" t="n"/>
      <c r="P536" s="23" t="n"/>
      <c r="Q536" s="23" t="n"/>
      <c r="R536" s="23" t="n"/>
      <c r="S536" s="23" t="n"/>
      <c r="T536" s="23" t="n"/>
      <c r="U536" s="23" t="n"/>
      <c r="V536" s="23" t="n"/>
      <c r="W536" s="23" t="n"/>
      <c r="X536" s="23" t="n"/>
      <c r="Y536" s="25" t="n"/>
      <c r="Z536" s="25" t="n"/>
      <c r="AA536" s="23" t="n"/>
      <c r="AB536" s="25" t="n"/>
      <c r="AC536" s="23" t="n"/>
      <c r="AD536" s="25" t="n"/>
      <c r="AE536" s="23" t="n"/>
      <c r="AF536" s="25" t="n"/>
      <c r="AG536" s="25" t="n"/>
      <c r="AH536" s="23" t="n"/>
      <c r="AI536" s="23" t="n"/>
      <c r="AJ536" s="26">
        <f>IF(I536="","",I536&amp;"|"&amp;R536)</f>
        <v/>
      </c>
      <c r="AK536" s="26">
        <f>IF(I536="","",IF(ISNA(MATCH(O536,Kampanyalar!$A$2:$A$150,0)),"Hayır - Kampanyalar'da Yok","Evet"))</f>
        <v/>
      </c>
      <c r="AL536" s="27">
        <f>IF(I536="","",IFERROR(INDEX(Kampanyalar!$E$2:$E$150,MATCH(O536,Kampanyalar!$A$2:$A$150,0)),""))</f>
        <v/>
      </c>
      <c r="AM536" s="27">
        <f>IF(I536="","",IFERROR(INDEX(Kampanyalar!$F$2:$F$150,MATCH(O536,Kampanyalar!$A$2:$A$150,0)),""))</f>
        <v/>
      </c>
      <c r="AN536" s="27">
        <f>IF(I536="","",IFERROR(INDEX(Kampanyalar!$G$2:$G$150,MATCH(O536,Kampanyalar!$A$2:$A$150,0)),""))</f>
        <v/>
      </c>
      <c r="AO536" s="26">
        <f>IF(OR(I536="",AL536="",AM536=""),"",IF(AND(H536&gt;=AL536,H536&lt;=AM536),"Evet","HAYIR - Tarih Dışı"))</f>
        <v/>
      </c>
      <c r="AP536" s="28">
        <f>IF(I536="","",IFERROR(INDEX(Kampanyalar!$H$2:$H$150,MATCH(O536,Kampanyalar!$A$2:$A$150,0)),""))</f>
        <v/>
      </c>
      <c r="AQ536" s="28">
        <f>IF(I536="","",IF(ISNUMBER(AP536),AP536,AD536))</f>
        <v/>
      </c>
      <c r="AR536" s="26">
        <f>IF(I536="","",IF(Parametreler!$C$7="Evet","Kural A - Hemen Ödeme (Stok Mutabakatlı)","Kural B - Nakliye/Montaj Sonrası Ödeme"))</f>
        <v/>
      </c>
    </row>
    <row r="537">
      <c r="A537" s="23" t="n"/>
      <c r="B537" s="23" t="n"/>
      <c r="C537" s="23" t="n"/>
      <c r="D537" s="23" t="n"/>
      <c r="E537" s="23" t="n"/>
      <c r="F537" s="23" t="n"/>
      <c r="G537" s="23" t="n"/>
      <c r="H537" s="24" t="n"/>
      <c r="I537" s="23" t="n"/>
      <c r="J537" s="23" t="n"/>
      <c r="K537" s="23" t="n"/>
      <c r="L537" s="23" t="n"/>
      <c r="M537" s="23" t="n"/>
      <c r="N537" s="23" t="n"/>
      <c r="O537" s="23" t="n"/>
      <c r="P537" s="23" t="n"/>
      <c r="Q537" s="23" t="n"/>
      <c r="R537" s="23" t="n"/>
      <c r="S537" s="23" t="n"/>
      <c r="T537" s="23" t="n"/>
      <c r="U537" s="23" t="n"/>
      <c r="V537" s="23" t="n"/>
      <c r="W537" s="23" t="n"/>
      <c r="X537" s="23" t="n"/>
      <c r="Y537" s="25" t="n"/>
      <c r="Z537" s="25" t="n"/>
      <c r="AA537" s="23" t="n"/>
      <c r="AB537" s="25" t="n"/>
      <c r="AC537" s="23" t="n"/>
      <c r="AD537" s="25" t="n"/>
      <c r="AE537" s="23" t="n"/>
      <c r="AF537" s="25" t="n"/>
      <c r="AG537" s="25" t="n"/>
      <c r="AH537" s="23" t="n"/>
      <c r="AI537" s="23" t="n"/>
      <c r="AJ537" s="26">
        <f>IF(I537="","",I537&amp;"|"&amp;R537)</f>
        <v/>
      </c>
      <c r="AK537" s="26">
        <f>IF(I537="","",IF(ISNA(MATCH(O537,Kampanyalar!$A$2:$A$150,0)),"Hayır - Kampanyalar'da Yok","Evet"))</f>
        <v/>
      </c>
      <c r="AL537" s="27">
        <f>IF(I537="","",IFERROR(INDEX(Kampanyalar!$E$2:$E$150,MATCH(O537,Kampanyalar!$A$2:$A$150,0)),""))</f>
        <v/>
      </c>
      <c r="AM537" s="27">
        <f>IF(I537="","",IFERROR(INDEX(Kampanyalar!$F$2:$F$150,MATCH(O537,Kampanyalar!$A$2:$A$150,0)),""))</f>
        <v/>
      </c>
      <c r="AN537" s="27">
        <f>IF(I537="","",IFERROR(INDEX(Kampanyalar!$G$2:$G$150,MATCH(O537,Kampanyalar!$A$2:$A$150,0)),""))</f>
        <v/>
      </c>
      <c r="AO537" s="26">
        <f>IF(OR(I537="",AL537="",AM537=""),"",IF(AND(H537&gt;=AL537,H537&lt;=AM537),"Evet","HAYIR - Tarih Dışı"))</f>
        <v/>
      </c>
      <c r="AP537" s="28">
        <f>IF(I537="","",IFERROR(INDEX(Kampanyalar!$H$2:$H$150,MATCH(O537,Kampanyalar!$A$2:$A$150,0)),""))</f>
        <v/>
      </c>
      <c r="AQ537" s="28">
        <f>IF(I537="","",IF(ISNUMBER(AP537),AP537,AD537))</f>
        <v/>
      </c>
      <c r="AR537" s="26">
        <f>IF(I537="","",IF(Parametreler!$C$7="Evet","Kural A - Hemen Ödeme (Stok Mutabakatlı)","Kural B - Nakliye/Montaj Sonrası Ödeme"))</f>
        <v/>
      </c>
    </row>
    <row r="538">
      <c r="A538" s="23" t="n"/>
      <c r="B538" s="23" t="n"/>
      <c r="C538" s="23" t="n"/>
      <c r="D538" s="23" t="n"/>
      <c r="E538" s="23" t="n"/>
      <c r="F538" s="23" t="n"/>
      <c r="G538" s="23" t="n"/>
      <c r="H538" s="24" t="n"/>
      <c r="I538" s="23" t="n"/>
      <c r="J538" s="23" t="n"/>
      <c r="K538" s="23" t="n"/>
      <c r="L538" s="23" t="n"/>
      <c r="M538" s="23" t="n"/>
      <c r="N538" s="23" t="n"/>
      <c r="O538" s="23" t="n"/>
      <c r="P538" s="23" t="n"/>
      <c r="Q538" s="23" t="n"/>
      <c r="R538" s="23" t="n"/>
      <c r="S538" s="23" t="n"/>
      <c r="T538" s="23" t="n"/>
      <c r="U538" s="23" t="n"/>
      <c r="V538" s="23" t="n"/>
      <c r="W538" s="23" t="n"/>
      <c r="X538" s="23" t="n"/>
      <c r="Y538" s="25" t="n"/>
      <c r="Z538" s="25" t="n"/>
      <c r="AA538" s="23" t="n"/>
      <c r="AB538" s="25" t="n"/>
      <c r="AC538" s="23" t="n"/>
      <c r="AD538" s="25" t="n"/>
      <c r="AE538" s="23" t="n"/>
      <c r="AF538" s="25" t="n"/>
      <c r="AG538" s="25" t="n"/>
      <c r="AH538" s="23" t="n"/>
      <c r="AI538" s="23" t="n"/>
      <c r="AJ538" s="26">
        <f>IF(I538="","",I538&amp;"|"&amp;R538)</f>
        <v/>
      </c>
      <c r="AK538" s="26">
        <f>IF(I538="","",IF(ISNA(MATCH(O538,Kampanyalar!$A$2:$A$150,0)),"Hayır - Kampanyalar'da Yok","Evet"))</f>
        <v/>
      </c>
      <c r="AL538" s="27">
        <f>IF(I538="","",IFERROR(INDEX(Kampanyalar!$E$2:$E$150,MATCH(O538,Kampanyalar!$A$2:$A$150,0)),""))</f>
        <v/>
      </c>
      <c r="AM538" s="27">
        <f>IF(I538="","",IFERROR(INDEX(Kampanyalar!$F$2:$F$150,MATCH(O538,Kampanyalar!$A$2:$A$150,0)),""))</f>
        <v/>
      </c>
      <c r="AN538" s="27">
        <f>IF(I538="","",IFERROR(INDEX(Kampanyalar!$G$2:$G$150,MATCH(O538,Kampanyalar!$A$2:$A$150,0)),""))</f>
        <v/>
      </c>
      <c r="AO538" s="26">
        <f>IF(OR(I538="",AL538="",AM538=""),"",IF(AND(H538&gt;=AL538,H538&lt;=AM538),"Evet","HAYIR - Tarih Dışı"))</f>
        <v/>
      </c>
      <c r="AP538" s="28">
        <f>IF(I538="","",IFERROR(INDEX(Kampanyalar!$H$2:$H$150,MATCH(O538,Kampanyalar!$A$2:$A$150,0)),""))</f>
        <v/>
      </c>
      <c r="AQ538" s="28">
        <f>IF(I538="","",IF(ISNUMBER(AP538),AP538,AD538))</f>
        <v/>
      </c>
      <c r="AR538" s="26">
        <f>IF(I538="","",IF(Parametreler!$C$7="Evet","Kural A - Hemen Ödeme (Stok Mutabakatlı)","Kural B - Nakliye/Montaj Sonrası Ödeme"))</f>
        <v/>
      </c>
    </row>
    <row r="539">
      <c r="A539" s="23" t="n"/>
      <c r="B539" s="23" t="n"/>
      <c r="C539" s="23" t="n"/>
      <c r="D539" s="23" t="n"/>
      <c r="E539" s="23" t="n"/>
      <c r="F539" s="23" t="n"/>
      <c r="G539" s="23" t="n"/>
      <c r="H539" s="24" t="n"/>
      <c r="I539" s="23" t="n"/>
      <c r="J539" s="23" t="n"/>
      <c r="K539" s="23" t="n"/>
      <c r="L539" s="23" t="n"/>
      <c r="M539" s="23" t="n"/>
      <c r="N539" s="23" t="n"/>
      <c r="O539" s="23" t="n"/>
      <c r="P539" s="23" t="n"/>
      <c r="Q539" s="23" t="n"/>
      <c r="R539" s="23" t="n"/>
      <c r="S539" s="23" t="n"/>
      <c r="T539" s="23" t="n"/>
      <c r="U539" s="23" t="n"/>
      <c r="V539" s="23" t="n"/>
      <c r="W539" s="23" t="n"/>
      <c r="X539" s="23" t="n"/>
      <c r="Y539" s="25" t="n"/>
      <c r="Z539" s="25" t="n"/>
      <c r="AA539" s="23" t="n"/>
      <c r="AB539" s="25" t="n"/>
      <c r="AC539" s="23" t="n"/>
      <c r="AD539" s="25" t="n"/>
      <c r="AE539" s="23" t="n"/>
      <c r="AF539" s="25" t="n"/>
      <c r="AG539" s="25" t="n"/>
      <c r="AH539" s="23" t="n"/>
      <c r="AI539" s="23" t="n"/>
      <c r="AJ539" s="26">
        <f>IF(I539="","",I539&amp;"|"&amp;R539)</f>
        <v/>
      </c>
      <c r="AK539" s="26">
        <f>IF(I539="","",IF(ISNA(MATCH(O539,Kampanyalar!$A$2:$A$150,0)),"Hayır - Kampanyalar'da Yok","Evet"))</f>
        <v/>
      </c>
      <c r="AL539" s="27">
        <f>IF(I539="","",IFERROR(INDEX(Kampanyalar!$E$2:$E$150,MATCH(O539,Kampanyalar!$A$2:$A$150,0)),""))</f>
        <v/>
      </c>
      <c r="AM539" s="27">
        <f>IF(I539="","",IFERROR(INDEX(Kampanyalar!$F$2:$F$150,MATCH(O539,Kampanyalar!$A$2:$A$150,0)),""))</f>
        <v/>
      </c>
      <c r="AN539" s="27">
        <f>IF(I539="","",IFERROR(INDEX(Kampanyalar!$G$2:$G$150,MATCH(O539,Kampanyalar!$A$2:$A$150,0)),""))</f>
        <v/>
      </c>
      <c r="AO539" s="26">
        <f>IF(OR(I539="",AL539="",AM539=""),"",IF(AND(H539&gt;=AL539,H539&lt;=AM539),"Evet","HAYIR - Tarih Dışı"))</f>
        <v/>
      </c>
      <c r="AP539" s="28">
        <f>IF(I539="","",IFERROR(INDEX(Kampanyalar!$H$2:$H$150,MATCH(O539,Kampanyalar!$A$2:$A$150,0)),""))</f>
        <v/>
      </c>
      <c r="AQ539" s="28">
        <f>IF(I539="","",IF(ISNUMBER(AP539),AP539,AD539))</f>
        <v/>
      </c>
      <c r="AR539" s="26">
        <f>IF(I539="","",IF(Parametreler!$C$7="Evet","Kural A - Hemen Ödeme (Stok Mutabakatlı)","Kural B - Nakliye/Montaj Sonrası Ödeme"))</f>
        <v/>
      </c>
    </row>
    <row r="540">
      <c r="A540" s="23" t="n"/>
      <c r="B540" s="23" t="n"/>
      <c r="C540" s="23" t="n"/>
      <c r="D540" s="23" t="n"/>
      <c r="E540" s="23" t="n"/>
      <c r="F540" s="23" t="n"/>
      <c r="G540" s="23" t="n"/>
      <c r="H540" s="24" t="n"/>
      <c r="I540" s="23" t="n"/>
      <c r="J540" s="23" t="n"/>
      <c r="K540" s="23" t="n"/>
      <c r="L540" s="23" t="n"/>
      <c r="M540" s="23" t="n"/>
      <c r="N540" s="23" t="n"/>
      <c r="O540" s="23" t="n"/>
      <c r="P540" s="23" t="n"/>
      <c r="Q540" s="23" t="n"/>
      <c r="R540" s="23" t="n"/>
      <c r="S540" s="23" t="n"/>
      <c r="T540" s="23" t="n"/>
      <c r="U540" s="23" t="n"/>
      <c r="V540" s="23" t="n"/>
      <c r="W540" s="23" t="n"/>
      <c r="X540" s="23" t="n"/>
      <c r="Y540" s="25" t="n"/>
      <c r="Z540" s="25" t="n"/>
      <c r="AA540" s="23" t="n"/>
      <c r="AB540" s="25" t="n"/>
      <c r="AC540" s="23" t="n"/>
      <c r="AD540" s="25" t="n"/>
      <c r="AE540" s="23" t="n"/>
      <c r="AF540" s="25" t="n"/>
      <c r="AG540" s="25" t="n"/>
      <c r="AH540" s="23" t="n"/>
      <c r="AI540" s="23" t="n"/>
      <c r="AJ540" s="26">
        <f>IF(I540="","",I540&amp;"|"&amp;R540)</f>
        <v/>
      </c>
      <c r="AK540" s="26">
        <f>IF(I540="","",IF(ISNA(MATCH(O540,Kampanyalar!$A$2:$A$150,0)),"Hayır - Kampanyalar'da Yok","Evet"))</f>
        <v/>
      </c>
      <c r="AL540" s="27">
        <f>IF(I540="","",IFERROR(INDEX(Kampanyalar!$E$2:$E$150,MATCH(O540,Kampanyalar!$A$2:$A$150,0)),""))</f>
        <v/>
      </c>
      <c r="AM540" s="27">
        <f>IF(I540="","",IFERROR(INDEX(Kampanyalar!$F$2:$F$150,MATCH(O540,Kampanyalar!$A$2:$A$150,0)),""))</f>
        <v/>
      </c>
      <c r="AN540" s="27">
        <f>IF(I540="","",IFERROR(INDEX(Kampanyalar!$G$2:$G$150,MATCH(O540,Kampanyalar!$A$2:$A$150,0)),""))</f>
        <v/>
      </c>
      <c r="AO540" s="26">
        <f>IF(OR(I540="",AL540="",AM540=""),"",IF(AND(H540&gt;=AL540,H540&lt;=AM540),"Evet","HAYIR - Tarih Dışı"))</f>
        <v/>
      </c>
      <c r="AP540" s="28">
        <f>IF(I540="","",IFERROR(INDEX(Kampanyalar!$H$2:$H$150,MATCH(O540,Kampanyalar!$A$2:$A$150,0)),""))</f>
        <v/>
      </c>
      <c r="AQ540" s="28">
        <f>IF(I540="","",IF(ISNUMBER(AP540),AP540,AD540))</f>
        <v/>
      </c>
      <c r="AR540" s="26">
        <f>IF(I540="","",IF(Parametreler!$C$7="Evet","Kural A - Hemen Ödeme (Stok Mutabakatlı)","Kural B - Nakliye/Montaj Sonrası Ödeme"))</f>
        <v/>
      </c>
    </row>
    <row r="541">
      <c r="A541" s="23" t="n"/>
      <c r="B541" s="23" t="n"/>
      <c r="C541" s="23" t="n"/>
      <c r="D541" s="23" t="n"/>
      <c r="E541" s="23" t="n"/>
      <c r="F541" s="23" t="n"/>
      <c r="G541" s="23" t="n"/>
      <c r="H541" s="24" t="n"/>
      <c r="I541" s="23" t="n"/>
      <c r="J541" s="23" t="n"/>
      <c r="K541" s="23" t="n"/>
      <c r="L541" s="23" t="n"/>
      <c r="M541" s="23" t="n"/>
      <c r="N541" s="23" t="n"/>
      <c r="O541" s="23" t="n"/>
      <c r="P541" s="23" t="n"/>
      <c r="Q541" s="23" t="n"/>
      <c r="R541" s="23" t="n"/>
      <c r="S541" s="23" t="n"/>
      <c r="T541" s="23" t="n"/>
      <c r="U541" s="23" t="n"/>
      <c r="V541" s="23" t="n"/>
      <c r="W541" s="23" t="n"/>
      <c r="X541" s="23" t="n"/>
      <c r="Y541" s="25" t="n"/>
      <c r="Z541" s="25" t="n"/>
      <c r="AA541" s="23" t="n"/>
      <c r="AB541" s="25" t="n"/>
      <c r="AC541" s="23" t="n"/>
      <c r="AD541" s="25" t="n"/>
      <c r="AE541" s="23" t="n"/>
      <c r="AF541" s="25" t="n"/>
      <c r="AG541" s="25" t="n"/>
      <c r="AH541" s="23" t="n"/>
      <c r="AI541" s="23" t="n"/>
      <c r="AJ541" s="26">
        <f>IF(I541="","",I541&amp;"|"&amp;R541)</f>
        <v/>
      </c>
      <c r="AK541" s="26">
        <f>IF(I541="","",IF(ISNA(MATCH(O541,Kampanyalar!$A$2:$A$150,0)),"Hayır - Kampanyalar'da Yok","Evet"))</f>
        <v/>
      </c>
      <c r="AL541" s="27">
        <f>IF(I541="","",IFERROR(INDEX(Kampanyalar!$E$2:$E$150,MATCH(O541,Kampanyalar!$A$2:$A$150,0)),""))</f>
        <v/>
      </c>
      <c r="AM541" s="27">
        <f>IF(I541="","",IFERROR(INDEX(Kampanyalar!$F$2:$F$150,MATCH(O541,Kampanyalar!$A$2:$A$150,0)),""))</f>
        <v/>
      </c>
      <c r="AN541" s="27">
        <f>IF(I541="","",IFERROR(INDEX(Kampanyalar!$G$2:$G$150,MATCH(O541,Kampanyalar!$A$2:$A$150,0)),""))</f>
        <v/>
      </c>
      <c r="AO541" s="26">
        <f>IF(OR(I541="",AL541="",AM541=""),"",IF(AND(H541&gt;=AL541,H541&lt;=AM541),"Evet","HAYIR - Tarih Dışı"))</f>
        <v/>
      </c>
      <c r="AP541" s="28">
        <f>IF(I541="","",IFERROR(INDEX(Kampanyalar!$H$2:$H$150,MATCH(O541,Kampanyalar!$A$2:$A$150,0)),""))</f>
        <v/>
      </c>
      <c r="AQ541" s="28">
        <f>IF(I541="","",IF(ISNUMBER(AP541),AP541,AD541))</f>
        <v/>
      </c>
      <c r="AR541" s="26">
        <f>IF(I541="","",IF(Parametreler!$C$7="Evet","Kural A - Hemen Ödeme (Stok Mutabakatlı)","Kural B - Nakliye/Montaj Sonrası Ödeme"))</f>
        <v/>
      </c>
    </row>
    <row r="542">
      <c r="A542" s="23" t="n"/>
      <c r="B542" s="23" t="n"/>
      <c r="C542" s="23" t="n"/>
      <c r="D542" s="23" t="n"/>
      <c r="E542" s="23" t="n"/>
      <c r="F542" s="23" t="n"/>
      <c r="G542" s="23" t="n"/>
      <c r="H542" s="24" t="n"/>
      <c r="I542" s="23" t="n"/>
      <c r="J542" s="23" t="n"/>
      <c r="K542" s="23" t="n"/>
      <c r="L542" s="23" t="n"/>
      <c r="M542" s="23" t="n"/>
      <c r="N542" s="23" t="n"/>
      <c r="O542" s="23" t="n"/>
      <c r="P542" s="23" t="n"/>
      <c r="Q542" s="23" t="n"/>
      <c r="R542" s="23" t="n"/>
      <c r="S542" s="23" t="n"/>
      <c r="T542" s="23" t="n"/>
      <c r="U542" s="23" t="n"/>
      <c r="V542" s="23" t="n"/>
      <c r="W542" s="23" t="n"/>
      <c r="X542" s="23" t="n"/>
      <c r="Y542" s="25" t="n"/>
      <c r="Z542" s="25" t="n"/>
      <c r="AA542" s="23" t="n"/>
      <c r="AB542" s="25" t="n"/>
      <c r="AC542" s="23" t="n"/>
      <c r="AD542" s="25" t="n"/>
      <c r="AE542" s="23" t="n"/>
      <c r="AF542" s="25" t="n"/>
      <c r="AG542" s="25" t="n"/>
      <c r="AH542" s="23" t="n"/>
      <c r="AI542" s="23" t="n"/>
      <c r="AJ542" s="26">
        <f>IF(I542="","",I542&amp;"|"&amp;R542)</f>
        <v/>
      </c>
      <c r="AK542" s="26">
        <f>IF(I542="","",IF(ISNA(MATCH(O542,Kampanyalar!$A$2:$A$150,0)),"Hayır - Kampanyalar'da Yok","Evet"))</f>
        <v/>
      </c>
      <c r="AL542" s="27">
        <f>IF(I542="","",IFERROR(INDEX(Kampanyalar!$E$2:$E$150,MATCH(O542,Kampanyalar!$A$2:$A$150,0)),""))</f>
        <v/>
      </c>
      <c r="AM542" s="27">
        <f>IF(I542="","",IFERROR(INDEX(Kampanyalar!$F$2:$F$150,MATCH(O542,Kampanyalar!$A$2:$A$150,0)),""))</f>
        <v/>
      </c>
      <c r="AN542" s="27">
        <f>IF(I542="","",IFERROR(INDEX(Kampanyalar!$G$2:$G$150,MATCH(O542,Kampanyalar!$A$2:$A$150,0)),""))</f>
        <v/>
      </c>
      <c r="AO542" s="26">
        <f>IF(OR(I542="",AL542="",AM542=""),"",IF(AND(H542&gt;=AL542,H542&lt;=AM542),"Evet","HAYIR - Tarih Dışı"))</f>
        <v/>
      </c>
      <c r="AP542" s="28">
        <f>IF(I542="","",IFERROR(INDEX(Kampanyalar!$H$2:$H$150,MATCH(O542,Kampanyalar!$A$2:$A$150,0)),""))</f>
        <v/>
      </c>
      <c r="AQ542" s="28">
        <f>IF(I542="","",IF(ISNUMBER(AP542),AP542,AD542))</f>
        <v/>
      </c>
      <c r="AR542" s="26">
        <f>IF(I542="","",IF(Parametreler!$C$7="Evet","Kural A - Hemen Ödeme (Stok Mutabakatlı)","Kural B - Nakliye/Montaj Sonrası Ödeme"))</f>
        <v/>
      </c>
    </row>
    <row r="543">
      <c r="A543" s="23" t="n"/>
      <c r="B543" s="23" t="n"/>
      <c r="C543" s="23" t="n"/>
      <c r="D543" s="23" t="n"/>
      <c r="E543" s="23" t="n"/>
      <c r="F543" s="23" t="n"/>
      <c r="G543" s="23" t="n"/>
      <c r="H543" s="24" t="n"/>
      <c r="I543" s="23" t="n"/>
      <c r="J543" s="23" t="n"/>
      <c r="K543" s="23" t="n"/>
      <c r="L543" s="23" t="n"/>
      <c r="M543" s="23" t="n"/>
      <c r="N543" s="23" t="n"/>
      <c r="O543" s="23" t="n"/>
      <c r="P543" s="23" t="n"/>
      <c r="Q543" s="23" t="n"/>
      <c r="R543" s="23" t="n"/>
      <c r="S543" s="23" t="n"/>
      <c r="T543" s="23" t="n"/>
      <c r="U543" s="23" t="n"/>
      <c r="V543" s="23" t="n"/>
      <c r="W543" s="23" t="n"/>
      <c r="X543" s="23" t="n"/>
      <c r="Y543" s="25" t="n"/>
      <c r="Z543" s="25" t="n"/>
      <c r="AA543" s="23" t="n"/>
      <c r="AB543" s="25" t="n"/>
      <c r="AC543" s="23" t="n"/>
      <c r="AD543" s="25" t="n"/>
      <c r="AE543" s="23" t="n"/>
      <c r="AF543" s="25" t="n"/>
      <c r="AG543" s="25" t="n"/>
      <c r="AH543" s="23" t="n"/>
      <c r="AI543" s="23" t="n"/>
      <c r="AJ543" s="26">
        <f>IF(I543="","",I543&amp;"|"&amp;R543)</f>
        <v/>
      </c>
      <c r="AK543" s="26">
        <f>IF(I543="","",IF(ISNA(MATCH(O543,Kampanyalar!$A$2:$A$150,0)),"Hayır - Kampanyalar'da Yok","Evet"))</f>
        <v/>
      </c>
      <c r="AL543" s="27">
        <f>IF(I543="","",IFERROR(INDEX(Kampanyalar!$E$2:$E$150,MATCH(O543,Kampanyalar!$A$2:$A$150,0)),""))</f>
        <v/>
      </c>
      <c r="AM543" s="27">
        <f>IF(I543="","",IFERROR(INDEX(Kampanyalar!$F$2:$F$150,MATCH(O543,Kampanyalar!$A$2:$A$150,0)),""))</f>
        <v/>
      </c>
      <c r="AN543" s="27">
        <f>IF(I543="","",IFERROR(INDEX(Kampanyalar!$G$2:$G$150,MATCH(O543,Kampanyalar!$A$2:$A$150,0)),""))</f>
        <v/>
      </c>
      <c r="AO543" s="26">
        <f>IF(OR(I543="",AL543="",AM543=""),"",IF(AND(H543&gt;=AL543,H543&lt;=AM543),"Evet","HAYIR - Tarih Dışı"))</f>
        <v/>
      </c>
      <c r="AP543" s="28">
        <f>IF(I543="","",IFERROR(INDEX(Kampanyalar!$H$2:$H$150,MATCH(O543,Kampanyalar!$A$2:$A$150,0)),""))</f>
        <v/>
      </c>
      <c r="AQ543" s="28">
        <f>IF(I543="","",IF(ISNUMBER(AP543),AP543,AD543))</f>
        <v/>
      </c>
      <c r="AR543" s="26">
        <f>IF(I543="","",IF(Parametreler!$C$7="Evet","Kural A - Hemen Ödeme (Stok Mutabakatlı)","Kural B - Nakliye/Montaj Sonrası Ödeme"))</f>
        <v/>
      </c>
    </row>
    <row r="544">
      <c r="A544" s="23" t="n"/>
      <c r="B544" s="23" t="n"/>
      <c r="C544" s="23" t="n"/>
      <c r="D544" s="23" t="n"/>
      <c r="E544" s="23" t="n"/>
      <c r="F544" s="23" t="n"/>
      <c r="G544" s="23" t="n"/>
      <c r="H544" s="24" t="n"/>
      <c r="I544" s="23" t="n"/>
      <c r="J544" s="23" t="n"/>
      <c r="K544" s="23" t="n"/>
      <c r="L544" s="23" t="n"/>
      <c r="M544" s="23" t="n"/>
      <c r="N544" s="23" t="n"/>
      <c r="O544" s="23" t="n"/>
      <c r="P544" s="23" t="n"/>
      <c r="Q544" s="23" t="n"/>
      <c r="R544" s="23" t="n"/>
      <c r="S544" s="23" t="n"/>
      <c r="T544" s="23" t="n"/>
      <c r="U544" s="23" t="n"/>
      <c r="V544" s="23" t="n"/>
      <c r="W544" s="23" t="n"/>
      <c r="X544" s="23" t="n"/>
      <c r="Y544" s="25" t="n"/>
      <c r="Z544" s="25" t="n"/>
      <c r="AA544" s="23" t="n"/>
      <c r="AB544" s="25" t="n"/>
      <c r="AC544" s="23" t="n"/>
      <c r="AD544" s="25" t="n"/>
      <c r="AE544" s="23" t="n"/>
      <c r="AF544" s="25" t="n"/>
      <c r="AG544" s="25" t="n"/>
      <c r="AH544" s="23" t="n"/>
      <c r="AI544" s="23" t="n"/>
      <c r="AJ544" s="26">
        <f>IF(I544="","",I544&amp;"|"&amp;R544)</f>
        <v/>
      </c>
      <c r="AK544" s="26">
        <f>IF(I544="","",IF(ISNA(MATCH(O544,Kampanyalar!$A$2:$A$150,0)),"Hayır - Kampanyalar'da Yok","Evet"))</f>
        <v/>
      </c>
      <c r="AL544" s="27">
        <f>IF(I544="","",IFERROR(INDEX(Kampanyalar!$E$2:$E$150,MATCH(O544,Kampanyalar!$A$2:$A$150,0)),""))</f>
        <v/>
      </c>
      <c r="AM544" s="27">
        <f>IF(I544="","",IFERROR(INDEX(Kampanyalar!$F$2:$F$150,MATCH(O544,Kampanyalar!$A$2:$A$150,0)),""))</f>
        <v/>
      </c>
      <c r="AN544" s="27">
        <f>IF(I544="","",IFERROR(INDEX(Kampanyalar!$G$2:$G$150,MATCH(O544,Kampanyalar!$A$2:$A$150,0)),""))</f>
        <v/>
      </c>
      <c r="AO544" s="26">
        <f>IF(OR(I544="",AL544="",AM544=""),"",IF(AND(H544&gt;=AL544,H544&lt;=AM544),"Evet","HAYIR - Tarih Dışı"))</f>
        <v/>
      </c>
      <c r="AP544" s="28">
        <f>IF(I544="","",IFERROR(INDEX(Kampanyalar!$H$2:$H$150,MATCH(O544,Kampanyalar!$A$2:$A$150,0)),""))</f>
        <v/>
      </c>
      <c r="AQ544" s="28">
        <f>IF(I544="","",IF(ISNUMBER(AP544),AP544,AD544))</f>
        <v/>
      </c>
      <c r="AR544" s="26">
        <f>IF(I544="","",IF(Parametreler!$C$7="Evet","Kural A - Hemen Ödeme (Stok Mutabakatlı)","Kural B - Nakliye/Montaj Sonrası Ödeme"))</f>
        <v/>
      </c>
    </row>
    <row r="545">
      <c r="A545" s="23" t="n"/>
      <c r="B545" s="23" t="n"/>
      <c r="C545" s="23" t="n"/>
      <c r="D545" s="23" t="n"/>
      <c r="E545" s="23" t="n"/>
      <c r="F545" s="23" t="n"/>
      <c r="G545" s="23" t="n"/>
      <c r="H545" s="24" t="n"/>
      <c r="I545" s="23" t="n"/>
      <c r="J545" s="23" t="n"/>
      <c r="K545" s="23" t="n"/>
      <c r="L545" s="23" t="n"/>
      <c r="M545" s="23" t="n"/>
      <c r="N545" s="23" t="n"/>
      <c r="O545" s="23" t="n"/>
      <c r="P545" s="23" t="n"/>
      <c r="Q545" s="23" t="n"/>
      <c r="R545" s="23" t="n"/>
      <c r="S545" s="23" t="n"/>
      <c r="T545" s="23" t="n"/>
      <c r="U545" s="23" t="n"/>
      <c r="V545" s="23" t="n"/>
      <c r="W545" s="23" t="n"/>
      <c r="X545" s="23" t="n"/>
      <c r="Y545" s="25" t="n"/>
      <c r="Z545" s="25" t="n"/>
      <c r="AA545" s="23" t="n"/>
      <c r="AB545" s="25" t="n"/>
      <c r="AC545" s="23" t="n"/>
      <c r="AD545" s="25" t="n"/>
      <c r="AE545" s="23" t="n"/>
      <c r="AF545" s="25" t="n"/>
      <c r="AG545" s="25" t="n"/>
      <c r="AH545" s="23" t="n"/>
      <c r="AI545" s="23" t="n"/>
      <c r="AJ545" s="26">
        <f>IF(I545="","",I545&amp;"|"&amp;R545)</f>
        <v/>
      </c>
      <c r="AK545" s="26">
        <f>IF(I545="","",IF(ISNA(MATCH(O545,Kampanyalar!$A$2:$A$150,0)),"Hayır - Kampanyalar'da Yok","Evet"))</f>
        <v/>
      </c>
      <c r="AL545" s="27">
        <f>IF(I545="","",IFERROR(INDEX(Kampanyalar!$E$2:$E$150,MATCH(O545,Kampanyalar!$A$2:$A$150,0)),""))</f>
        <v/>
      </c>
      <c r="AM545" s="27">
        <f>IF(I545="","",IFERROR(INDEX(Kampanyalar!$F$2:$F$150,MATCH(O545,Kampanyalar!$A$2:$A$150,0)),""))</f>
        <v/>
      </c>
      <c r="AN545" s="27">
        <f>IF(I545="","",IFERROR(INDEX(Kampanyalar!$G$2:$G$150,MATCH(O545,Kampanyalar!$A$2:$A$150,0)),""))</f>
        <v/>
      </c>
      <c r="AO545" s="26">
        <f>IF(OR(I545="",AL545="",AM545=""),"",IF(AND(H545&gt;=AL545,H545&lt;=AM545),"Evet","HAYIR - Tarih Dışı"))</f>
        <v/>
      </c>
      <c r="AP545" s="28">
        <f>IF(I545="","",IFERROR(INDEX(Kampanyalar!$H$2:$H$150,MATCH(O545,Kampanyalar!$A$2:$A$150,0)),""))</f>
        <v/>
      </c>
      <c r="AQ545" s="28">
        <f>IF(I545="","",IF(ISNUMBER(AP545),AP545,AD545))</f>
        <v/>
      </c>
      <c r="AR545" s="26">
        <f>IF(I545="","",IF(Parametreler!$C$7="Evet","Kural A - Hemen Ödeme (Stok Mutabakatlı)","Kural B - Nakliye/Montaj Sonrası Ödeme"))</f>
        <v/>
      </c>
    </row>
    <row r="546">
      <c r="A546" s="23" t="n"/>
      <c r="B546" s="23" t="n"/>
      <c r="C546" s="23" t="n"/>
      <c r="D546" s="23" t="n"/>
      <c r="E546" s="23" t="n"/>
      <c r="F546" s="23" t="n"/>
      <c r="G546" s="23" t="n"/>
      <c r="H546" s="24" t="n"/>
      <c r="I546" s="23" t="n"/>
      <c r="J546" s="23" t="n"/>
      <c r="K546" s="23" t="n"/>
      <c r="L546" s="23" t="n"/>
      <c r="M546" s="23" t="n"/>
      <c r="N546" s="23" t="n"/>
      <c r="O546" s="23" t="n"/>
      <c r="P546" s="23" t="n"/>
      <c r="Q546" s="23" t="n"/>
      <c r="R546" s="23" t="n"/>
      <c r="S546" s="23" t="n"/>
      <c r="T546" s="23" t="n"/>
      <c r="U546" s="23" t="n"/>
      <c r="V546" s="23" t="n"/>
      <c r="W546" s="23" t="n"/>
      <c r="X546" s="23" t="n"/>
      <c r="Y546" s="25" t="n"/>
      <c r="Z546" s="25" t="n"/>
      <c r="AA546" s="23" t="n"/>
      <c r="AB546" s="25" t="n"/>
      <c r="AC546" s="23" t="n"/>
      <c r="AD546" s="25" t="n"/>
      <c r="AE546" s="23" t="n"/>
      <c r="AF546" s="25" t="n"/>
      <c r="AG546" s="25" t="n"/>
      <c r="AH546" s="23" t="n"/>
      <c r="AI546" s="23" t="n"/>
      <c r="AJ546" s="26">
        <f>IF(I546="","",I546&amp;"|"&amp;R546)</f>
        <v/>
      </c>
      <c r="AK546" s="26">
        <f>IF(I546="","",IF(ISNA(MATCH(O546,Kampanyalar!$A$2:$A$150,0)),"Hayır - Kampanyalar'da Yok","Evet"))</f>
        <v/>
      </c>
      <c r="AL546" s="27">
        <f>IF(I546="","",IFERROR(INDEX(Kampanyalar!$E$2:$E$150,MATCH(O546,Kampanyalar!$A$2:$A$150,0)),""))</f>
        <v/>
      </c>
      <c r="AM546" s="27">
        <f>IF(I546="","",IFERROR(INDEX(Kampanyalar!$F$2:$F$150,MATCH(O546,Kampanyalar!$A$2:$A$150,0)),""))</f>
        <v/>
      </c>
      <c r="AN546" s="27">
        <f>IF(I546="","",IFERROR(INDEX(Kampanyalar!$G$2:$G$150,MATCH(O546,Kampanyalar!$A$2:$A$150,0)),""))</f>
        <v/>
      </c>
      <c r="AO546" s="26">
        <f>IF(OR(I546="",AL546="",AM546=""),"",IF(AND(H546&gt;=AL546,H546&lt;=AM546),"Evet","HAYIR - Tarih Dışı"))</f>
        <v/>
      </c>
      <c r="AP546" s="28">
        <f>IF(I546="","",IFERROR(INDEX(Kampanyalar!$H$2:$H$150,MATCH(O546,Kampanyalar!$A$2:$A$150,0)),""))</f>
        <v/>
      </c>
      <c r="AQ546" s="28">
        <f>IF(I546="","",IF(ISNUMBER(AP546),AP546,AD546))</f>
        <v/>
      </c>
      <c r="AR546" s="26">
        <f>IF(I546="","",IF(Parametreler!$C$7="Evet","Kural A - Hemen Ödeme (Stok Mutabakatlı)","Kural B - Nakliye/Montaj Sonrası Ödeme"))</f>
        <v/>
      </c>
    </row>
    <row r="547">
      <c r="A547" s="23" t="n"/>
      <c r="B547" s="23" t="n"/>
      <c r="C547" s="23" t="n"/>
      <c r="D547" s="23" t="n"/>
      <c r="E547" s="23" t="n"/>
      <c r="F547" s="23" t="n"/>
      <c r="G547" s="23" t="n"/>
      <c r="H547" s="24" t="n"/>
      <c r="I547" s="23" t="n"/>
      <c r="J547" s="23" t="n"/>
      <c r="K547" s="23" t="n"/>
      <c r="L547" s="23" t="n"/>
      <c r="M547" s="23" t="n"/>
      <c r="N547" s="23" t="n"/>
      <c r="O547" s="23" t="n"/>
      <c r="P547" s="23" t="n"/>
      <c r="Q547" s="23" t="n"/>
      <c r="R547" s="23" t="n"/>
      <c r="S547" s="23" t="n"/>
      <c r="T547" s="23" t="n"/>
      <c r="U547" s="23" t="n"/>
      <c r="V547" s="23" t="n"/>
      <c r="W547" s="23" t="n"/>
      <c r="X547" s="23" t="n"/>
      <c r="Y547" s="25" t="n"/>
      <c r="Z547" s="25" t="n"/>
      <c r="AA547" s="23" t="n"/>
      <c r="AB547" s="25" t="n"/>
      <c r="AC547" s="23" t="n"/>
      <c r="AD547" s="25" t="n"/>
      <c r="AE547" s="23" t="n"/>
      <c r="AF547" s="25" t="n"/>
      <c r="AG547" s="25" t="n"/>
      <c r="AH547" s="23" t="n"/>
      <c r="AI547" s="23" t="n"/>
      <c r="AJ547" s="26">
        <f>IF(I547="","",I547&amp;"|"&amp;R547)</f>
        <v/>
      </c>
      <c r="AK547" s="26">
        <f>IF(I547="","",IF(ISNA(MATCH(O547,Kampanyalar!$A$2:$A$150,0)),"Hayır - Kampanyalar'da Yok","Evet"))</f>
        <v/>
      </c>
      <c r="AL547" s="27">
        <f>IF(I547="","",IFERROR(INDEX(Kampanyalar!$E$2:$E$150,MATCH(O547,Kampanyalar!$A$2:$A$150,0)),""))</f>
        <v/>
      </c>
      <c r="AM547" s="27">
        <f>IF(I547="","",IFERROR(INDEX(Kampanyalar!$F$2:$F$150,MATCH(O547,Kampanyalar!$A$2:$A$150,0)),""))</f>
        <v/>
      </c>
      <c r="AN547" s="27">
        <f>IF(I547="","",IFERROR(INDEX(Kampanyalar!$G$2:$G$150,MATCH(O547,Kampanyalar!$A$2:$A$150,0)),""))</f>
        <v/>
      </c>
      <c r="AO547" s="26">
        <f>IF(OR(I547="",AL547="",AM547=""),"",IF(AND(H547&gt;=AL547,H547&lt;=AM547),"Evet","HAYIR - Tarih Dışı"))</f>
        <v/>
      </c>
      <c r="AP547" s="28">
        <f>IF(I547="","",IFERROR(INDEX(Kampanyalar!$H$2:$H$150,MATCH(O547,Kampanyalar!$A$2:$A$150,0)),""))</f>
        <v/>
      </c>
      <c r="AQ547" s="28">
        <f>IF(I547="","",IF(ISNUMBER(AP547),AP547,AD547))</f>
        <v/>
      </c>
      <c r="AR547" s="26">
        <f>IF(I547="","",IF(Parametreler!$C$7="Evet","Kural A - Hemen Ödeme (Stok Mutabakatlı)","Kural B - Nakliye/Montaj Sonrası Ödeme"))</f>
        <v/>
      </c>
    </row>
    <row r="548">
      <c r="A548" s="23" t="n"/>
      <c r="B548" s="23" t="n"/>
      <c r="C548" s="23" t="n"/>
      <c r="D548" s="23" t="n"/>
      <c r="E548" s="23" t="n"/>
      <c r="F548" s="23" t="n"/>
      <c r="G548" s="23" t="n"/>
      <c r="H548" s="24" t="n"/>
      <c r="I548" s="23" t="n"/>
      <c r="J548" s="23" t="n"/>
      <c r="K548" s="23" t="n"/>
      <c r="L548" s="23" t="n"/>
      <c r="M548" s="23" t="n"/>
      <c r="N548" s="23" t="n"/>
      <c r="O548" s="23" t="n"/>
      <c r="P548" s="23" t="n"/>
      <c r="Q548" s="23" t="n"/>
      <c r="R548" s="23" t="n"/>
      <c r="S548" s="23" t="n"/>
      <c r="T548" s="23" t="n"/>
      <c r="U548" s="23" t="n"/>
      <c r="V548" s="23" t="n"/>
      <c r="W548" s="23" t="n"/>
      <c r="X548" s="23" t="n"/>
      <c r="Y548" s="25" t="n"/>
      <c r="Z548" s="25" t="n"/>
      <c r="AA548" s="23" t="n"/>
      <c r="AB548" s="25" t="n"/>
      <c r="AC548" s="23" t="n"/>
      <c r="AD548" s="25" t="n"/>
      <c r="AE548" s="23" t="n"/>
      <c r="AF548" s="25" t="n"/>
      <c r="AG548" s="25" t="n"/>
      <c r="AH548" s="23" t="n"/>
      <c r="AI548" s="23" t="n"/>
      <c r="AJ548" s="26">
        <f>IF(I548="","",I548&amp;"|"&amp;R548)</f>
        <v/>
      </c>
      <c r="AK548" s="26">
        <f>IF(I548="","",IF(ISNA(MATCH(O548,Kampanyalar!$A$2:$A$150,0)),"Hayır - Kampanyalar'da Yok","Evet"))</f>
        <v/>
      </c>
      <c r="AL548" s="27">
        <f>IF(I548="","",IFERROR(INDEX(Kampanyalar!$E$2:$E$150,MATCH(O548,Kampanyalar!$A$2:$A$150,0)),""))</f>
        <v/>
      </c>
      <c r="AM548" s="27">
        <f>IF(I548="","",IFERROR(INDEX(Kampanyalar!$F$2:$F$150,MATCH(O548,Kampanyalar!$A$2:$A$150,0)),""))</f>
        <v/>
      </c>
      <c r="AN548" s="27">
        <f>IF(I548="","",IFERROR(INDEX(Kampanyalar!$G$2:$G$150,MATCH(O548,Kampanyalar!$A$2:$A$150,0)),""))</f>
        <v/>
      </c>
      <c r="AO548" s="26">
        <f>IF(OR(I548="",AL548="",AM548=""),"",IF(AND(H548&gt;=AL548,H548&lt;=AM548),"Evet","HAYIR - Tarih Dışı"))</f>
        <v/>
      </c>
      <c r="AP548" s="28">
        <f>IF(I548="","",IFERROR(INDEX(Kampanyalar!$H$2:$H$150,MATCH(O548,Kampanyalar!$A$2:$A$150,0)),""))</f>
        <v/>
      </c>
      <c r="AQ548" s="28">
        <f>IF(I548="","",IF(ISNUMBER(AP548),AP548,AD548))</f>
        <v/>
      </c>
      <c r="AR548" s="26">
        <f>IF(I548="","",IF(Parametreler!$C$7="Evet","Kural A - Hemen Ödeme (Stok Mutabakatlı)","Kural B - Nakliye/Montaj Sonrası Ödeme"))</f>
        <v/>
      </c>
    </row>
    <row r="549">
      <c r="A549" s="23" t="n"/>
      <c r="B549" s="23" t="n"/>
      <c r="C549" s="23" t="n"/>
      <c r="D549" s="23" t="n"/>
      <c r="E549" s="23" t="n"/>
      <c r="F549" s="23" t="n"/>
      <c r="G549" s="23" t="n"/>
      <c r="H549" s="24" t="n"/>
      <c r="I549" s="23" t="n"/>
      <c r="J549" s="23" t="n"/>
      <c r="K549" s="23" t="n"/>
      <c r="L549" s="23" t="n"/>
      <c r="M549" s="23" t="n"/>
      <c r="N549" s="23" t="n"/>
      <c r="O549" s="23" t="n"/>
      <c r="P549" s="23" t="n"/>
      <c r="Q549" s="23" t="n"/>
      <c r="R549" s="23" t="n"/>
      <c r="S549" s="23" t="n"/>
      <c r="T549" s="23" t="n"/>
      <c r="U549" s="23" t="n"/>
      <c r="V549" s="23" t="n"/>
      <c r="W549" s="23" t="n"/>
      <c r="X549" s="23" t="n"/>
      <c r="Y549" s="25" t="n"/>
      <c r="Z549" s="25" t="n"/>
      <c r="AA549" s="23" t="n"/>
      <c r="AB549" s="25" t="n"/>
      <c r="AC549" s="23" t="n"/>
      <c r="AD549" s="25" t="n"/>
      <c r="AE549" s="23" t="n"/>
      <c r="AF549" s="25" t="n"/>
      <c r="AG549" s="25" t="n"/>
      <c r="AH549" s="23" t="n"/>
      <c r="AI549" s="23" t="n"/>
      <c r="AJ549" s="26">
        <f>IF(I549="","",I549&amp;"|"&amp;R549)</f>
        <v/>
      </c>
      <c r="AK549" s="26">
        <f>IF(I549="","",IF(ISNA(MATCH(O549,Kampanyalar!$A$2:$A$150,0)),"Hayır - Kampanyalar'da Yok","Evet"))</f>
        <v/>
      </c>
      <c r="AL549" s="27">
        <f>IF(I549="","",IFERROR(INDEX(Kampanyalar!$E$2:$E$150,MATCH(O549,Kampanyalar!$A$2:$A$150,0)),""))</f>
        <v/>
      </c>
      <c r="AM549" s="27">
        <f>IF(I549="","",IFERROR(INDEX(Kampanyalar!$F$2:$F$150,MATCH(O549,Kampanyalar!$A$2:$A$150,0)),""))</f>
        <v/>
      </c>
      <c r="AN549" s="27">
        <f>IF(I549="","",IFERROR(INDEX(Kampanyalar!$G$2:$G$150,MATCH(O549,Kampanyalar!$A$2:$A$150,0)),""))</f>
        <v/>
      </c>
      <c r="AO549" s="26">
        <f>IF(OR(I549="",AL549="",AM549=""),"",IF(AND(H549&gt;=AL549,H549&lt;=AM549),"Evet","HAYIR - Tarih Dışı"))</f>
        <v/>
      </c>
      <c r="AP549" s="28">
        <f>IF(I549="","",IFERROR(INDEX(Kampanyalar!$H$2:$H$150,MATCH(O549,Kampanyalar!$A$2:$A$150,0)),""))</f>
        <v/>
      </c>
      <c r="AQ549" s="28">
        <f>IF(I549="","",IF(ISNUMBER(AP549),AP549,AD549))</f>
        <v/>
      </c>
      <c r="AR549" s="26">
        <f>IF(I549="","",IF(Parametreler!$C$7="Evet","Kural A - Hemen Ödeme (Stok Mutabakatlı)","Kural B - Nakliye/Montaj Sonrası Ödeme"))</f>
        <v/>
      </c>
    </row>
    <row r="550">
      <c r="A550" s="23" t="n"/>
      <c r="B550" s="23" t="n"/>
      <c r="C550" s="23" t="n"/>
      <c r="D550" s="23" t="n"/>
      <c r="E550" s="23" t="n"/>
      <c r="F550" s="23" t="n"/>
      <c r="G550" s="23" t="n"/>
      <c r="H550" s="24" t="n"/>
      <c r="I550" s="23" t="n"/>
      <c r="J550" s="23" t="n"/>
      <c r="K550" s="23" t="n"/>
      <c r="L550" s="23" t="n"/>
      <c r="M550" s="23" t="n"/>
      <c r="N550" s="23" t="n"/>
      <c r="O550" s="23" t="n"/>
      <c r="P550" s="23" t="n"/>
      <c r="Q550" s="23" t="n"/>
      <c r="R550" s="23" t="n"/>
      <c r="S550" s="23" t="n"/>
      <c r="T550" s="23" t="n"/>
      <c r="U550" s="23" t="n"/>
      <c r="V550" s="23" t="n"/>
      <c r="W550" s="23" t="n"/>
      <c r="X550" s="23" t="n"/>
      <c r="Y550" s="25" t="n"/>
      <c r="Z550" s="25" t="n"/>
      <c r="AA550" s="23" t="n"/>
      <c r="AB550" s="25" t="n"/>
      <c r="AC550" s="23" t="n"/>
      <c r="AD550" s="25" t="n"/>
      <c r="AE550" s="23" t="n"/>
      <c r="AF550" s="25" t="n"/>
      <c r="AG550" s="25" t="n"/>
      <c r="AH550" s="23" t="n"/>
      <c r="AI550" s="23" t="n"/>
      <c r="AJ550" s="26">
        <f>IF(I550="","",I550&amp;"|"&amp;R550)</f>
        <v/>
      </c>
      <c r="AK550" s="26">
        <f>IF(I550="","",IF(ISNA(MATCH(O550,Kampanyalar!$A$2:$A$150,0)),"Hayır - Kampanyalar'da Yok","Evet"))</f>
        <v/>
      </c>
      <c r="AL550" s="27">
        <f>IF(I550="","",IFERROR(INDEX(Kampanyalar!$E$2:$E$150,MATCH(O550,Kampanyalar!$A$2:$A$150,0)),""))</f>
        <v/>
      </c>
      <c r="AM550" s="27">
        <f>IF(I550="","",IFERROR(INDEX(Kampanyalar!$F$2:$F$150,MATCH(O550,Kampanyalar!$A$2:$A$150,0)),""))</f>
        <v/>
      </c>
      <c r="AN550" s="27">
        <f>IF(I550="","",IFERROR(INDEX(Kampanyalar!$G$2:$G$150,MATCH(O550,Kampanyalar!$A$2:$A$150,0)),""))</f>
        <v/>
      </c>
      <c r="AO550" s="26">
        <f>IF(OR(I550="",AL550="",AM550=""),"",IF(AND(H550&gt;=AL550,H550&lt;=AM550),"Evet","HAYIR - Tarih Dışı"))</f>
        <v/>
      </c>
      <c r="AP550" s="28">
        <f>IF(I550="","",IFERROR(INDEX(Kampanyalar!$H$2:$H$150,MATCH(O550,Kampanyalar!$A$2:$A$150,0)),""))</f>
        <v/>
      </c>
      <c r="AQ550" s="28">
        <f>IF(I550="","",IF(ISNUMBER(AP550),AP550,AD550))</f>
        <v/>
      </c>
      <c r="AR550" s="26">
        <f>IF(I550="","",IF(Parametreler!$C$7="Evet","Kural A - Hemen Ödeme (Stok Mutabakatlı)","Kural B - Nakliye/Montaj Sonrası Ödeme"))</f>
        <v/>
      </c>
    </row>
    <row r="551">
      <c r="A551" s="23" t="n"/>
      <c r="B551" s="23" t="n"/>
      <c r="C551" s="23" t="n"/>
      <c r="D551" s="23" t="n"/>
      <c r="E551" s="23" t="n"/>
      <c r="F551" s="23" t="n"/>
      <c r="G551" s="23" t="n"/>
      <c r="H551" s="24" t="n"/>
      <c r="I551" s="23" t="n"/>
      <c r="J551" s="23" t="n"/>
      <c r="K551" s="23" t="n"/>
      <c r="L551" s="23" t="n"/>
      <c r="M551" s="23" t="n"/>
      <c r="N551" s="23" t="n"/>
      <c r="O551" s="23" t="n"/>
      <c r="P551" s="23" t="n"/>
      <c r="Q551" s="23" t="n"/>
      <c r="R551" s="23" t="n"/>
      <c r="S551" s="23" t="n"/>
      <c r="T551" s="23" t="n"/>
      <c r="U551" s="23" t="n"/>
      <c r="V551" s="23" t="n"/>
      <c r="W551" s="23" t="n"/>
      <c r="X551" s="23" t="n"/>
      <c r="Y551" s="25" t="n"/>
      <c r="Z551" s="25" t="n"/>
      <c r="AA551" s="23" t="n"/>
      <c r="AB551" s="25" t="n"/>
      <c r="AC551" s="23" t="n"/>
      <c r="AD551" s="25" t="n"/>
      <c r="AE551" s="23" t="n"/>
      <c r="AF551" s="25" t="n"/>
      <c r="AG551" s="25" t="n"/>
      <c r="AH551" s="23" t="n"/>
      <c r="AI551" s="23" t="n"/>
      <c r="AJ551" s="26">
        <f>IF(I551="","",I551&amp;"|"&amp;R551)</f>
        <v/>
      </c>
      <c r="AK551" s="26">
        <f>IF(I551="","",IF(ISNA(MATCH(O551,Kampanyalar!$A$2:$A$150,0)),"Hayır - Kampanyalar'da Yok","Evet"))</f>
        <v/>
      </c>
      <c r="AL551" s="27">
        <f>IF(I551="","",IFERROR(INDEX(Kampanyalar!$E$2:$E$150,MATCH(O551,Kampanyalar!$A$2:$A$150,0)),""))</f>
        <v/>
      </c>
      <c r="AM551" s="27">
        <f>IF(I551="","",IFERROR(INDEX(Kampanyalar!$F$2:$F$150,MATCH(O551,Kampanyalar!$A$2:$A$150,0)),""))</f>
        <v/>
      </c>
      <c r="AN551" s="27">
        <f>IF(I551="","",IFERROR(INDEX(Kampanyalar!$G$2:$G$150,MATCH(O551,Kampanyalar!$A$2:$A$150,0)),""))</f>
        <v/>
      </c>
      <c r="AO551" s="26">
        <f>IF(OR(I551="",AL551="",AM551=""),"",IF(AND(H551&gt;=AL551,H551&lt;=AM551),"Evet","HAYIR - Tarih Dışı"))</f>
        <v/>
      </c>
      <c r="AP551" s="28">
        <f>IF(I551="","",IFERROR(INDEX(Kampanyalar!$H$2:$H$150,MATCH(O551,Kampanyalar!$A$2:$A$150,0)),""))</f>
        <v/>
      </c>
      <c r="AQ551" s="28">
        <f>IF(I551="","",IF(ISNUMBER(AP551),AP551,AD551))</f>
        <v/>
      </c>
      <c r="AR551" s="26">
        <f>IF(I551="","",IF(Parametreler!$C$7="Evet","Kural A - Hemen Ödeme (Stok Mutabakatlı)","Kural B - Nakliye/Montaj Sonrası Ödeme"))</f>
        <v/>
      </c>
    </row>
    <row r="552">
      <c r="A552" s="23" t="n"/>
      <c r="B552" s="23" t="n"/>
      <c r="C552" s="23" t="n"/>
      <c r="D552" s="23" t="n"/>
      <c r="E552" s="23" t="n"/>
      <c r="F552" s="23" t="n"/>
      <c r="G552" s="23" t="n"/>
      <c r="H552" s="24" t="n"/>
      <c r="I552" s="23" t="n"/>
      <c r="J552" s="23" t="n"/>
      <c r="K552" s="23" t="n"/>
      <c r="L552" s="23" t="n"/>
      <c r="M552" s="23" t="n"/>
      <c r="N552" s="23" t="n"/>
      <c r="O552" s="23" t="n"/>
      <c r="P552" s="23" t="n"/>
      <c r="Q552" s="23" t="n"/>
      <c r="R552" s="23" t="n"/>
      <c r="S552" s="23" t="n"/>
      <c r="T552" s="23" t="n"/>
      <c r="U552" s="23" t="n"/>
      <c r="V552" s="23" t="n"/>
      <c r="W552" s="23" t="n"/>
      <c r="X552" s="23" t="n"/>
      <c r="Y552" s="25" t="n"/>
      <c r="Z552" s="25" t="n"/>
      <c r="AA552" s="23" t="n"/>
      <c r="AB552" s="25" t="n"/>
      <c r="AC552" s="23" t="n"/>
      <c r="AD552" s="25" t="n"/>
      <c r="AE552" s="23" t="n"/>
      <c r="AF552" s="25" t="n"/>
      <c r="AG552" s="25" t="n"/>
      <c r="AH552" s="23" t="n"/>
      <c r="AI552" s="23" t="n"/>
      <c r="AJ552" s="26">
        <f>IF(I552="","",I552&amp;"|"&amp;R552)</f>
        <v/>
      </c>
      <c r="AK552" s="26">
        <f>IF(I552="","",IF(ISNA(MATCH(O552,Kampanyalar!$A$2:$A$150,0)),"Hayır - Kampanyalar'da Yok","Evet"))</f>
        <v/>
      </c>
      <c r="AL552" s="27">
        <f>IF(I552="","",IFERROR(INDEX(Kampanyalar!$E$2:$E$150,MATCH(O552,Kampanyalar!$A$2:$A$150,0)),""))</f>
        <v/>
      </c>
      <c r="AM552" s="27">
        <f>IF(I552="","",IFERROR(INDEX(Kampanyalar!$F$2:$F$150,MATCH(O552,Kampanyalar!$A$2:$A$150,0)),""))</f>
        <v/>
      </c>
      <c r="AN552" s="27">
        <f>IF(I552="","",IFERROR(INDEX(Kampanyalar!$G$2:$G$150,MATCH(O552,Kampanyalar!$A$2:$A$150,0)),""))</f>
        <v/>
      </c>
      <c r="AO552" s="26">
        <f>IF(OR(I552="",AL552="",AM552=""),"",IF(AND(H552&gt;=AL552,H552&lt;=AM552),"Evet","HAYIR - Tarih Dışı"))</f>
        <v/>
      </c>
      <c r="AP552" s="28">
        <f>IF(I552="","",IFERROR(INDEX(Kampanyalar!$H$2:$H$150,MATCH(O552,Kampanyalar!$A$2:$A$150,0)),""))</f>
        <v/>
      </c>
      <c r="AQ552" s="28">
        <f>IF(I552="","",IF(ISNUMBER(AP552),AP552,AD552))</f>
        <v/>
      </c>
      <c r="AR552" s="26">
        <f>IF(I552="","",IF(Parametreler!$C$7="Evet","Kural A - Hemen Ödeme (Stok Mutabakatlı)","Kural B - Nakliye/Montaj Sonrası Ödeme"))</f>
        <v/>
      </c>
    </row>
    <row r="553">
      <c r="A553" s="23" t="n"/>
      <c r="B553" s="23" t="n"/>
      <c r="C553" s="23" t="n"/>
      <c r="D553" s="23" t="n"/>
      <c r="E553" s="23" t="n"/>
      <c r="F553" s="23" t="n"/>
      <c r="G553" s="23" t="n"/>
      <c r="H553" s="24" t="n"/>
      <c r="I553" s="23" t="n"/>
      <c r="J553" s="23" t="n"/>
      <c r="K553" s="23" t="n"/>
      <c r="L553" s="23" t="n"/>
      <c r="M553" s="23" t="n"/>
      <c r="N553" s="23" t="n"/>
      <c r="O553" s="23" t="n"/>
      <c r="P553" s="23" t="n"/>
      <c r="Q553" s="23" t="n"/>
      <c r="R553" s="23" t="n"/>
      <c r="S553" s="23" t="n"/>
      <c r="T553" s="23" t="n"/>
      <c r="U553" s="23" t="n"/>
      <c r="V553" s="23" t="n"/>
      <c r="W553" s="23" t="n"/>
      <c r="X553" s="23" t="n"/>
      <c r="Y553" s="25" t="n"/>
      <c r="Z553" s="25" t="n"/>
      <c r="AA553" s="23" t="n"/>
      <c r="AB553" s="25" t="n"/>
      <c r="AC553" s="23" t="n"/>
      <c r="AD553" s="25" t="n"/>
      <c r="AE553" s="23" t="n"/>
      <c r="AF553" s="25" t="n"/>
      <c r="AG553" s="25" t="n"/>
      <c r="AH553" s="23" t="n"/>
      <c r="AI553" s="23" t="n"/>
      <c r="AJ553" s="26">
        <f>IF(I553="","",I553&amp;"|"&amp;R553)</f>
        <v/>
      </c>
      <c r="AK553" s="26">
        <f>IF(I553="","",IF(ISNA(MATCH(O553,Kampanyalar!$A$2:$A$150,0)),"Hayır - Kampanyalar'da Yok","Evet"))</f>
        <v/>
      </c>
      <c r="AL553" s="27">
        <f>IF(I553="","",IFERROR(INDEX(Kampanyalar!$E$2:$E$150,MATCH(O553,Kampanyalar!$A$2:$A$150,0)),""))</f>
        <v/>
      </c>
      <c r="AM553" s="27">
        <f>IF(I553="","",IFERROR(INDEX(Kampanyalar!$F$2:$F$150,MATCH(O553,Kampanyalar!$A$2:$A$150,0)),""))</f>
        <v/>
      </c>
      <c r="AN553" s="27">
        <f>IF(I553="","",IFERROR(INDEX(Kampanyalar!$G$2:$G$150,MATCH(O553,Kampanyalar!$A$2:$A$150,0)),""))</f>
        <v/>
      </c>
      <c r="AO553" s="26">
        <f>IF(OR(I553="",AL553="",AM553=""),"",IF(AND(H553&gt;=AL553,H553&lt;=AM553),"Evet","HAYIR - Tarih Dışı"))</f>
        <v/>
      </c>
      <c r="AP553" s="28">
        <f>IF(I553="","",IFERROR(INDEX(Kampanyalar!$H$2:$H$150,MATCH(O553,Kampanyalar!$A$2:$A$150,0)),""))</f>
        <v/>
      </c>
      <c r="AQ553" s="28">
        <f>IF(I553="","",IF(ISNUMBER(AP553),AP553,AD553))</f>
        <v/>
      </c>
      <c r="AR553" s="26">
        <f>IF(I553="","",IF(Parametreler!$C$7="Evet","Kural A - Hemen Ödeme (Stok Mutabakatlı)","Kural B - Nakliye/Montaj Sonrası Ödeme"))</f>
        <v/>
      </c>
    </row>
    <row r="554">
      <c r="A554" s="23" t="n"/>
      <c r="B554" s="23" t="n"/>
      <c r="C554" s="23" t="n"/>
      <c r="D554" s="23" t="n"/>
      <c r="E554" s="23" t="n"/>
      <c r="F554" s="23" t="n"/>
      <c r="G554" s="23" t="n"/>
      <c r="H554" s="24" t="n"/>
      <c r="I554" s="23" t="n"/>
      <c r="J554" s="23" t="n"/>
      <c r="K554" s="23" t="n"/>
      <c r="L554" s="23" t="n"/>
      <c r="M554" s="23" t="n"/>
      <c r="N554" s="23" t="n"/>
      <c r="O554" s="23" t="n"/>
      <c r="P554" s="23" t="n"/>
      <c r="Q554" s="23" t="n"/>
      <c r="R554" s="23" t="n"/>
      <c r="S554" s="23" t="n"/>
      <c r="T554" s="23" t="n"/>
      <c r="U554" s="23" t="n"/>
      <c r="V554" s="23" t="n"/>
      <c r="W554" s="23" t="n"/>
      <c r="X554" s="23" t="n"/>
      <c r="Y554" s="25" t="n"/>
      <c r="Z554" s="25" t="n"/>
      <c r="AA554" s="23" t="n"/>
      <c r="AB554" s="25" t="n"/>
      <c r="AC554" s="23" t="n"/>
      <c r="AD554" s="25" t="n"/>
      <c r="AE554" s="23" t="n"/>
      <c r="AF554" s="25" t="n"/>
      <c r="AG554" s="25" t="n"/>
      <c r="AH554" s="23" t="n"/>
      <c r="AI554" s="23" t="n"/>
      <c r="AJ554" s="26">
        <f>IF(I554="","",I554&amp;"|"&amp;R554)</f>
        <v/>
      </c>
      <c r="AK554" s="26">
        <f>IF(I554="","",IF(ISNA(MATCH(O554,Kampanyalar!$A$2:$A$150,0)),"Hayır - Kampanyalar'da Yok","Evet"))</f>
        <v/>
      </c>
      <c r="AL554" s="27">
        <f>IF(I554="","",IFERROR(INDEX(Kampanyalar!$E$2:$E$150,MATCH(O554,Kampanyalar!$A$2:$A$150,0)),""))</f>
        <v/>
      </c>
      <c r="AM554" s="27">
        <f>IF(I554="","",IFERROR(INDEX(Kampanyalar!$F$2:$F$150,MATCH(O554,Kampanyalar!$A$2:$A$150,0)),""))</f>
        <v/>
      </c>
      <c r="AN554" s="27">
        <f>IF(I554="","",IFERROR(INDEX(Kampanyalar!$G$2:$G$150,MATCH(O554,Kampanyalar!$A$2:$A$150,0)),""))</f>
        <v/>
      </c>
      <c r="AO554" s="26">
        <f>IF(OR(I554="",AL554="",AM554=""),"",IF(AND(H554&gt;=AL554,H554&lt;=AM554),"Evet","HAYIR - Tarih Dışı"))</f>
        <v/>
      </c>
      <c r="AP554" s="28">
        <f>IF(I554="","",IFERROR(INDEX(Kampanyalar!$H$2:$H$150,MATCH(O554,Kampanyalar!$A$2:$A$150,0)),""))</f>
        <v/>
      </c>
      <c r="AQ554" s="28">
        <f>IF(I554="","",IF(ISNUMBER(AP554),AP554,AD554))</f>
        <v/>
      </c>
      <c r="AR554" s="26">
        <f>IF(I554="","",IF(Parametreler!$C$7="Evet","Kural A - Hemen Ödeme (Stok Mutabakatlı)","Kural B - Nakliye/Montaj Sonrası Ödeme"))</f>
        <v/>
      </c>
    </row>
    <row r="555">
      <c r="A555" s="23" t="n"/>
      <c r="B555" s="23" t="n"/>
      <c r="C555" s="23" t="n"/>
      <c r="D555" s="23" t="n"/>
      <c r="E555" s="23" t="n"/>
      <c r="F555" s="23" t="n"/>
      <c r="G555" s="23" t="n"/>
      <c r="H555" s="24" t="n"/>
      <c r="I555" s="23" t="n"/>
      <c r="J555" s="23" t="n"/>
      <c r="K555" s="23" t="n"/>
      <c r="L555" s="23" t="n"/>
      <c r="M555" s="23" t="n"/>
      <c r="N555" s="23" t="n"/>
      <c r="O555" s="23" t="n"/>
      <c r="P555" s="23" t="n"/>
      <c r="Q555" s="23" t="n"/>
      <c r="R555" s="23" t="n"/>
      <c r="S555" s="23" t="n"/>
      <c r="T555" s="23" t="n"/>
      <c r="U555" s="23" t="n"/>
      <c r="V555" s="23" t="n"/>
      <c r="W555" s="23" t="n"/>
      <c r="X555" s="23" t="n"/>
      <c r="Y555" s="25" t="n"/>
      <c r="Z555" s="25" t="n"/>
      <c r="AA555" s="23" t="n"/>
      <c r="AB555" s="25" t="n"/>
      <c r="AC555" s="23" t="n"/>
      <c r="AD555" s="25" t="n"/>
      <c r="AE555" s="23" t="n"/>
      <c r="AF555" s="25" t="n"/>
      <c r="AG555" s="25" t="n"/>
      <c r="AH555" s="23" t="n"/>
      <c r="AI555" s="23" t="n"/>
      <c r="AJ555" s="26">
        <f>IF(I555="","",I555&amp;"|"&amp;R555)</f>
        <v/>
      </c>
      <c r="AK555" s="26">
        <f>IF(I555="","",IF(ISNA(MATCH(O555,Kampanyalar!$A$2:$A$150,0)),"Hayır - Kampanyalar'da Yok","Evet"))</f>
        <v/>
      </c>
      <c r="AL555" s="27">
        <f>IF(I555="","",IFERROR(INDEX(Kampanyalar!$E$2:$E$150,MATCH(O555,Kampanyalar!$A$2:$A$150,0)),""))</f>
        <v/>
      </c>
      <c r="AM555" s="27">
        <f>IF(I555="","",IFERROR(INDEX(Kampanyalar!$F$2:$F$150,MATCH(O555,Kampanyalar!$A$2:$A$150,0)),""))</f>
        <v/>
      </c>
      <c r="AN555" s="27">
        <f>IF(I555="","",IFERROR(INDEX(Kampanyalar!$G$2:$G$150,MATCH(O555,Kampanyalar!$A$2:$A$150,0)),""))</f>
        <v/>
      </c>
      <c r="AO555" s="26">
        <f>IF(OR(I555="",AL555="",AM555=""),"",IF(AND(H555&gt;=AL555,H555&lt;=AM555),"Evet","HAYIR - Tarih Dışı"))</f>
        <v/>
      </c>
      <c r="AP555" s="28">
        <f>IF(I555="","",IFERROR(INDEX(Kampanyalar!$H$2:$H$150,MATCH(O555,Kampanyalar!$A$2:$A$150,0)),""))</f>
        <v/>
      </c>
      <c r="AQ555" s="28">
        <f>IF(I555="","",IF(ISNUMBER(AP555),AP555,AD555))</f>
        <v/>
      </c>
      <c r="AR555" s="26">
        <f>IF(I555="","",IF(Parametreler!$C$7="Evet","Kural A - Hemen Ödeme (Stok Mutabakatlı)","Kural B - Nakliye/Montaj Sonrası Ödeme"))</f>
        <v/>
      </c>
    </row>
    <row r="556">
      <c r="A556" s="23" t="n"/>
      <c r="B556" s="23" t="n"/>
      <c r="C556" s="23" t="n"/>
      <c r="D556" s="23" t="n"/>
      <c r="E556" s="23" t="n"/>
      <c r="F556" s="23" t="n"/>
      <c r="G556" s="23" t="n"/>
      <c r="H556" s="24" t="n"/>
      <c r="I556" s="23" t="n"/>
      <c r="J556" s="23" t="n"/>
      <c r="K556" s="23" t="n"/>
      <c r="L556" s="23" t="n"/>
      <c r="M556" s="23" t="n"/>
      <c r="N556" s="23" t="n"/>
      <c r="O556" s="23" t="n"/>
      <c r="P556" s="23" t="n"/>
      <c r="Q556" s="23" t="n"/>
      <c r="R556" s="23" t="n"/>
      <c r="S556" s="23" t="n"/>
      <c r="T556" s="23" t="n"/>
      <c r="U556" s="23" t="n"/>
      <c r="V556" s="23" t="n"/>
      <c r="W556" s="23" t="n"/>
      <c r="X556" s="23" t="n"/>
      <c r="Y556" s="25" t="n"/>
      <c r="Z556" s="25" t="n"/>
      <c r="AA556" s="23" t="n"/>
      <c r="AB556" s="25" t="n"/>
      <c r="AC556" s="23" t="n"/>
      <c r="AD556" s="25" t="n"/>
      <c r="AE556" s="23" t="n"/>
      <c r="AF556" s="25" t="n"/>
      <c r="AG556" s="25" t="n"/>
      <c r="AH556" s="23" t="n"/>
      <c r="AI556" s="23" t="n"/>
      <c r="AJ556" s="26">
        <f>IF(I556="","",I556&amp;"|"&amp;R556)</f>
        <v/>
      </c>
      <c r="AK556" s="26">
        <f>IF(I556="","",IF(ISNA(MATCH(O556,Kampanyalar!$A$2:$A$150,0)),"Hayır - Kampanyalar'da Yok","Evet"))</f>
        <v/>
      </c>
      <c r="AL556" s="27">
        <f>IF(I556="","",IFERROR(INDEX(Kampanyalar!$E$2:$E$150,MATCH(O556,Kampanyalar!$A$2:$A$150,0)),""))</f>
        <v/>
      </c>
      <c r="AM556" s="27">
        <f>IF(I556="","",IFERROR(INDEX(Kampanyalar!$F$2:$F$150,MATCH(O556,Kampanyalar!$A$2:$A$150,0)),""))</f>
        <v/>
      </c>
      <c r="AN556" s="27">
        <f>IF(I556="","",IFERROR(INDEX(Kampanyalar!$G$2:$G$150,MATCH(O556,Kampanyalar!$A$2:$A$150,0)),""))</f>
        <v/>
      </c>
      <c r="AO556" s="26">
        <f>IF(OR(I556="",AL556="",AM556=""),"",IF(AND(H556&gt;=AL556,H556&lt;=AM556),"Evet","HAYIR - Tarih Dışı"))</f>
        <v/>
      </c>
      <c r="AP556" s="28">
        <f>IF(I556="","",IFERROR(INDEX(Kampanyalar!$H$2:$H$150,MATCH(O556,Kampanyalar!$A$2:$A$150,0)),""))</f>
        <v/>
      </c>
      <c r="AQ556" s="28">
        <f>IF(I556="","",IF(ISNUMBER(AP556),AP556,AD556))</f>
        <v/>
      </c>
      <c r="AR556" s="26">
        <f>IF(I556="","",IF(Parametreler!$C$7="Evet","Kural A - Hemen Ödeme (Stok Mutabakatlı)","Kural B - Nakliye/Montaj Sonrası Ödeme"))</f>
        <v/>
      </c>
    </row>
    <row r="557">
      <c r="A557" s="23" t="n"/>
      <c r="B557" s="23" t="n"/>
      <c r="C557" s="23" t="n"/>
      <c r="D557" s="23" t="n"/>
      <c r="E557" s="23" t="n"/>
      <c r="F557" s="23" t="n"/>
      <c r="G557" s="23" t="n"/>
      <c r="H557" s="24" t="n"/>
      <c r="I557" s="23" t="n"/>
      <c r="J557" s="23" t="n"/>
      <c r="K557" s="23" t="n"/>
      <c r="L557" s="23" t="n"/>
      <c r="M557" s="23" t="n"/>
      <c r="N557" s="23" t="n"/>
      <c r="O557" s="23" t="n"/>
      <c r="P557" s="23" t="n"/>
      <c r="Q557" s="23" t="n"/>
      <c r="R557" s="23" t="n"/>
      <c r="S557" s="23" t="n"/>
      <c r="T557" s="23" t="n"/>
      <c r="U557" s="23" t="n"/>
      <c r="V557" s="23" t="n"/>
      <c r="W557" s="23" t="n"/>
      <c r="X557" s="23" t="n"/>
      <c r="Y557" s="25" t="n"/>
      <c r="Z557" s="25" t="n"/>
      <c r="AA557" s="23" t="n"/>
      <c r="AB557" s="25" t="n"/>
      <c r="AC557" s="23" t="n"/>
      <c r="AD557" s="25" t="n"/>
      <c r="AE557" s="23" t="n"/>
      <c r="AF557" s="25" t="n"/>
      <c r="AG557" s="25" t="n"/>
      <c r="AH557" s="23" t="n"/>
      <c r="AI557" s="23" t="n"/>
      <c r="AJ557" s="26">
        <f>IF(I557="","",I557&amp;"|"&amp;R557)</f>
        <v/>
      </c>
      <c r="AK557" s="26">
        <f>IF(I557="","",IF(ISNA(MATCH(O557,Kampanyalar!$A$2:$A$150,0)),"Hayır - Kampanyalar'da Yok","Evet"))</f>
        <v/>
      </c>
      <c r="AL557" s="27">
        <f>IF(I557="","",IFERROR(INDEX(Kampanyalar!$E$2:$E$150,MATCH(O557,Kampanyalar!$A$2:$A$150,0)),""))</f>
        <v/>
      </c>
      <c r="AM557" s="27">
        <f>IF(I557="","",IFERROR(INDEX(Kampanyalar!$F$2:$F$150,MATCH(O557,Kampanyalar!$A$2:$A$150,0)),""))</f>
        <v/>
      </c>
      <c r="AN557" s="27">
        <f>IF(I557="","",IFERROR(INDEX(Kampanyalar!$G$2:$G$150,MATCH(O557,Kampanyalar!$A$2:$A$150,0)),""))</f>
        <v/>
      </c>
      <c r="AO557" s="26">
        <f>IF(OR(I557="",AL557="",AM557=""),"",IF(AND(H557&gt;=AL557,H557&lt;=AM557),"Evet","HAYIR - Tarih Dışı"))</f>
        <v/>
      </c>
      <c r="AP557" s="28">
        <f>IF(I557="","",IFERROR(INDEX(Kampanyalar!$H$2:$H$150,MATCH(O557,Kampanyalar!$A$2:$A$150,0)),""))</f>
        <v/>
      </c>
      <c r="AQ557" s="28">
        <f>IF(I557="","",IF(ISNUMBER(AP557),AP557,AD557))</f>
        <v/>
      </c>
      <c r="AR557" s="26">
        <f>IF(I557="","",IF(Parametreler!$C$7="Evet","Kural A - Hemen Ödeme (Stok Mutabakatlı)","Kural B - Nakliye/Montaj Sonrası Ödeme"))</f>
        <v/>
      </c>
    </row>
    <row r="558">
      <c r="A558" s="23" t="n"/>
      <c r="B558" s="23" t="n"/>
      <c r="C558" s="23" t="n"/>
      <c r="D558" s="23" t="n"/>
      <c r="E558" s="23" t="n"/>
      <c r="F558" s="23" t="n"/>
      <c r="G558" s="23" t="n"/>
      <c r="H558" s="24" t="n"/>
      <c r="I558" s="23" t="n"/>
      <c r="J558" s="23" t="n"/>
      <c r="K558" s="23" t="n"/>
      <c r="L558" s="23" t="n"/>
      <c r="M558" s="23" t="n"/>
      <c r="N558" s="23" t="n"/>
      <c r="O558" s="23" t="n"/>
      <c r="P558" s="23" t="n"/>
      <c r="Q558" s="23" t="n"/>
      <c r="R558" s="23" t="n"/>
      <c r="S558" s="23" t="n"/>
      <c r="T558" s="23" t="n"/>
      <c r="U558" s="23" t="n"/>
      <c r="V558" s="23" t="n"/>
      <c r="W558" s="23" t="n"/>
      <c r="X558" s="23" t="n"/>
      <c r="Y558" s="25" t="n"/>
      <c r="Z558" s="25" t="n"/>
      <c r="AA558" s="23" t="n"/>
      <c r="AB558" s="25" t="n"/>
      <c r="AC558" s="23" t="n"/>
      <c r="AD558" s="25" t="n"/>
      <c r="AE558" s="23" t="n"/>
      <c r="AF558" s="25" t="n"/>
      <c r="AG558" s="25" t="n"/>
      <c r="AH558" s="23" t="n"/>
      <c r="AI558" s="23" t="n"/>
      <c r="AJ558" s="26">
        <f>IF(I558="","",I558&amp;"|"&amp;R558)</f>
        <v/>
      </c>
      <c r="AK558" s="26">
        <f>IF(I558="","",IF(ISNA(MATCH(O558,Kampanyalar!$A$2:$A$150,0)),"Hayır - Kampanyalar'da Yok","Evet"))</f>
        <v/>
      </c>
      <c r="AL558" s="27">
        <f>IF(I558="","",IFERROR(INDEX(Kampanyalar!$E$2:$E$150,MATCH(O558,Kampanyalar!$A$2:$A$150,0)),""))</f>
        <v/>
      </c>
      <c r="AM558" s="27">
        <f>IF(I558="","",IFERROR(INDEX(Kampanyalar!$F$2:$F$150,MATCH(O558,Kampanyalar!$A$2:$A$150,0)),""))</f>
        <v/>
      </c>
      <c r="AN558" s="27">
        <f>IF(I558="","",IFERROR(INDEX(Kampanyalar!$G$2:$G$150,MATCH(O558,Kampanyalar!$A$2:$A$150,0)),""))</f>
        <v/>
      </c>
      <c r="AO558" s="26">
        <f>IF(OR(I558="",AL558="",AM558=""),"",IF(AND(H558&gt;=AL558,H558&lt;=AM558),"Evet","HAYIR - Tarih Dışı"))</f>
        <v/>
      </c>
      <c r="AP558" s="28">
        <f>IF(I558="","",IFERROR(INDEX(Kampanyalar!$H$2:$H$150,MATCH(O558,Kampanyalar!$A$2:$A$150,0)),""))</f>
        <v/>
      </c>
      <c r="AQ558" s="28">
        <f>IF(I558="","",IF(ISNUMBER(AP558),AP558,AD558))</f>
        <v/>
      </c>
      <c r="AR558" s="26">
        <f>IF(I558="","",IF(Parametreler!$C$7="Evet","Kural A - Hemen Ödeme (Stok Mutabakatlı)","Kural B - Nakliye/Montaj Sonrası Ödeme"))</f>
        <v/>
      </c>
    </row>
    <row r="559">
      <c r="A559" s="23" t="n"/>
      <c r="B559" s="23" t="n"/>
      <c r="C559" s="23" t="n"/>
      <c r="D559" s="23" t="n"/>
      <c r="E559" s="23" t="n"/>
      <c r="F559" s="23" t="n"/>
      <c r="G559" s="23" t="n"/>
      <c r="H559" s="24" t="n"/>
      <c r="I559" s="23" t="n"/>
      <c r="J559" s="23" t="n"/>
      <c r="K559" s="23" t="n"/>
      <c r="L559" s="23" t="n"/>
      <c r="M559" s="23" t="n"/>
      <c r="N559" s="23" t="n"/>
      <c r="O559" s="23" t="n"/>
      <c r="P559" s="23" t="n"/>
      <c r="Q559" s="23" t="n"/>
      <c r="R559" s="23" t="n"/>
      <c r="S559" s="23" t="n"/>
      <c r="T559" s="23" t="n"/>
      <c r="U559" s="23" t="n"/>
      <c r="V559" s="23" t="n"/>
      <c r="W559" s="23" t="n"/>
      <c r="X559" s="23" t="n"/>
      <c r="Y559" s="25" t="n"/>
      <c r="Z559" s="25" t="n"/>
      <c r="AA559" s="23" t="n"/>
      <c r="AB559" s="25" t="n"/>
      <c r="AC559" s="23" t="n"/>
      <c r="AD559" s="25" t="n"/>
      <c r="AE559" s="23" t="n"/>
      <c r="AF559" s="25" t="n"/>
      <c r="AG559" s="25" t="n"/>
      <c r="AH559" s="23" t="n"/>
      <c r="AI559" s="23" t="n"/>
      <c r="AJ559" s="26">
        <f>IF(I559="","",I559&amp;"|"&amp;R559)</f>
        <v/>
      </c>
      <c r="AK559" s="26">
        <f>IF(I559="","",IF(ISNA(MATCH(O559,Kampanyalar!$A$2:$A$150,0)),"Hayır - Kampanyalar'da Yok","Evet"))</f>
        <v/>
      </c>
      <c r="AL559" s="27">
        <f>IF(I559="","",IFERROR(INDEX(Kampanyalar!$E$2:$E$150,MATCH(O559,Kampanyalar!$A$2:$A$150,0)),""))</f>
        <v/>
      </c>
      <c r="AM559" s="27">
        <f>IF(I559="","",IFERROR(INDEX(Kampanyalar!$F$2:$F$150,MATCH(O559,Kampanyalar!$A$2:$A$150,0)),""))</f>
        <v/>
      </c>
      <c r="AN559" s="27">
        <f>IF(I559="","",IFERROR(INDEX(Kampanyalar!$G$2:$G$150,MATCH(O559,Kampanyalar!$A$2:$A$150,0)),""))</f>
        <v/>
      </c>
      <c r="AO559" s="26">
        <f>IF(OR(I559="",AL559="",AM559=""),"",IF(AND(H559&gt;=AL559,H559&lt;=AM559),"Evet","HAYIR - Tarih Dışı"))</f>
        <v/>
      </c>
      <c r="AP559" s="28">
        <f>IF(I559="","",IFERROR(INDEX(Kampanyalar!$H$2:$H$150,MATCH(O559,Kampanyalar!$A$2:$A$150,0)),""))</f>
        <v/>
      </c>
      <c r="AQ559" s="28">
        <f>IF(I559="","",IF(ISNUMBER(AP559),AP559,AD559))</f>
        <v/>
      </c>
      <c r="AR559" s="26">
        <f>IF(I559="","",IF(Parametreler!$C$7="Evet","Kural A - Hemen Ödeme (Stok Mutabakatlı)","Kural B - Nakliye/Montaj Sonrası Ödeme"))</f>
        <v/>
      </c>
    </row>
    <row r="560">
      <c r="A560" s="23" t="n"/>
      <c r="B560" s="23" t="n"/>
      <c r="C560" s="23" t="n"/>
      <c r="D560" s="23" t="n"/>
      <c r="E560" s="23" t="n"/>
      <c r="F560" s="23" t="n"/>
      <c r="G560" s="23" t="n"/>
      <c r="H560" s="24" t="n"/>
      <c r="I560" s="23" t="n"/>
      <c r="J560" s="23" t="n"/>
      <c r="K560" s="23" t="n"/>
      <c r="L560" s="23" t="n"/>
      <c r="M560" s="23" t="n"/>
      <c r="N560" s="23" t="n"/>
      <c r="O560" s="23" t="n"/>
      <c r="P560" s="23" t="n"/>
      <c r="Q560" s="23" t="n"/>
      <c r="R560" s="23" t="n"/>
      <c r="S560" s="23" t="n"/>
      <c r="T560" s="23" t="n"/>
      <c r="U560" s="23" t="n"/>
      <c r="V560" s="23" t="n"/>
      <c r="W560" s="23" t="n"/>
      <c r="X560" s="23" t="n"/>
      <c r="Y560" s="25" t="n"/>
      <c r="Z560" s="25" t="n"/>
      <c r="AA560" s="23" t="n"/>
      <c r="AB560" s="25" t="n"/>
      <c r="AC560" s="23" t="n"/>
      <c r="AD560" s="25" t="n"/>
      <c r="AE560" s="23" t="n"/>
      <c r="AF560" s="25" t="n"/>
      <c r="AG560" s="25" t="n"/>
      <c r="AH560" s="23" t="n"/>
      <c r="AI560" s="23" t="n"/>
      <c r="AJ560" s="26">
        <f>IF(I560="","",I560&amp;"|"&amp;R560)</f>
        <v/>
      </c>
      <c r="AK560" s="26">
        <f>IF(I560="","",IF(ISNA(MATCH(O560,Kampanyalar!$A$2:$A$150,0)),"Hayır - Kampanyalar'da Yok","Evet"))</f>
        <v/>
      </c>
      <c r="AL560" s="27">
        <f>IF(I560="","",IFERROR(INDEX(Kampanyalar!$E$2:$E$150,MATCH(O560,Kampanyalar!$A$2:$A$150,0)),""))</f>
        <v/>
      </c>
      <c r="AM560" s="27">
        <f>IF(I560="","",IFERROR(INDEX(Kampanyalar!$F$2:$F$150,MATCH(O560,Kampanyalar!$A$2:$A$150,0)),""))</f>
        <v/>
      </c>
      <c r="AN560" s="27">
        <f>IF(I560="","",IFERROR(INDEX(Kampanyalar!$G$2:$G$150,MATCH(O560,Kampanyalar!$A$2:$A$150,0)),""))</f>
        <v/>
      </c>
      <c r="AO560" s="26">
        <f>IF(OR(I560="",AL560="",AM560=""),"",IF(AND(H560&gt;=AL560,H560&lt;=AM560),"Evet","HAYIR - Tarih Dışı"))</f>
        <v/>
      </c>
      <c r="AP560" s="28">
        <f>IF(I560="","",IFERROR(INDEX(Kampanyalar!$H$2:$H$150,MATCH(O560,Kampanyalar!$A$2:$A$150,0)),""))</f>
        <v/>
      </c>
      <c r="AQ560" s="28">
        <f>IF(I560="","",IF(ISNUMBER(AP560),AP560,AD560))</f>
        <v/>
      </c>
      <c r="AR560" s="26">
        <f>IF(I560="","",IF(Parametreler!$C$7="Evet","Kural A - Hemen Ödeme (Stok Mutabakatlı)","Kural B - Nakliye/Montaj Sonrası Ödeme"))</f>
        <v/>
      </c>
    </row>
    <row r="561">
      <c r="A561" s="23" t="n"/>
      <c r="B561" s="23" t="n"/>
      <c r="C561" s="23" t="n"/>
      <c r="D561" s="23" t="n"/>
      <c r="E561" s="23" t="n"/>
      <c r="F561" s="23" t="n"/>
      <c r="G561" s="23" t="n"/>
      <c r="H561" s="24" t="n"/>
      <c r="I561" s="23" t="n"/>
      <c r="J561" s="23" t="n"/>
      <c r="K561" s="23" t="n"/>
      <c r="L561" s="23" t="n"/>
      <c r="M561" s="23" t="n"/>
      <c r="N561" s="23" t="n"/>
      <c r="O561" s="23" t="n"/>
      <c r="P561" s="23" t="n"/>
      <c r="Q561" s="23" t="n"/>
      <c r="R561" s="23" t="n"/>
      <c r="S561" s="23" t="n"/>
      <c r="T561" s="23" t="n"/>
      <c r="U561" s="23" t="n"/>
      <c r="V561" s="23" t="n"/>
      <c r="W561" s="23" t="n"/>
      <c r="X561" s="23" t="n"/>
      <c r="Y561" s="25" t="n"/>
      <c r="Z561" s="25" t="n"/>
      <c r="AA561" s="23" t="n"/>
      <c r="AB561" s="25" t="n"/>
      <c r="AC561" s="23" t="n"/>
      <c r="AD561" s="25" t="n"/>
      <c r="AE561" s="23" t="n"/>
      <c r="AF561" s="25" t="n"/>
      <c r="AG561" s="25" t="n"/>
      <c r="AH561" s="23" t="n"/>
      <c r="AI561" s="23" t="n"/>
      <c r="AJ561" s="26">
        <f>IF(I561="","",I561&amp;"|"&amp;R561)</f>
        <v/>
      </c>
      <c r="AK561" s="26">
        <f>IF(I561="","",IF(ISNA(MATCH(O561,Kampanyalar!$A$2:$A$150,0)),"Hayır - Kampanyalar'da Yok","Evet"))</f>
        <v/>
      </c>
      <c r="AL561" s="27">
        <f>IF(I561="","",IFERROR(INDEX(Kampanyalar!$E$2:$E$150,MATCH(O561,Kampanyalar!$A$2:$A$150,0)),""))</f>
        <v/>
      </c>
      <c r="AM561" s="27">
        <f>IF(I561="","",IFERROR(INDEX(Kampanyalar!$F$2:$F$150,MATCH(O561,Kampanyalar!$A$2:$A$150,0)),""))</f>
        <v/>
      </c>
      <c r="AN561" s="27">
        <f>IF(I561="","",IFERROR(INDEX(Kampanyalar!$G$2:$G$150,MATCH(O561,Kampanyalar!$A$2:$A$150,0)),""))</f>
        <v/>
      </c>
      <c r="AO561" s="26">
        <f>IF(OR(I561="",AL561="",AM561=""),"",IF(AND(H561&gt;=AL561,H561&lt;=AM561),"Evet","HAYIR - Tarih Dışı"))</f>
        <v/>
      </c>
      <c r="AP561" s="28">
        <f>IF(I561="","",IFERROR(INDEX(Kampanyalar!$H$2:$H$150,MATCH(O561,Kampanyalar!$A$2:$A$150,0)),""))</f>
        <v/>
      </c>
      <c r="AQ561" s="28">
        <f>IF(I561="","",IF(ISNUMBER(AP561),AP561,AD561))</f>
        <v/>
      </c>
      <c r="AR561" s="26">
        <f>IF(I561="","",IF(Parametreler!$C$7="Evet","Kural A - Hemen Ödeme (Stok Mutabakatlı)","Kural B - Nakliye/Montaj Sonrası Ödeme"))</f>
        <v/>
      </c>
    </row>
    <row r="562">
      <c r="A562" s="23" t="n"/>
      <c r="B562" s="23" t="n"/>
      <c r="C562" s="23" t="n"/>
      <c r="D562" s="23" t="n"/>
      <c r="E562" s="23" t="n"/>
      <c r="F562" s="23" t="n"/>
      <c r="G562" s="23" t="n"/>
      <c r="H562" s="24" t="n"/>
      <c r="I562" s="23" t="n"/>
      <c r="J562" s="23" t="n"/>
      <c r="K562" s="23" t="n"/>
      <c r="L562" s="23" t="n"/>
      <c r="M562" s="23" t="n"/>
      <c r="N562" s="23" t="n"/>
      <c r="O562" s="23" t="n"/>
      <c r="P562" s="23" t="n"/>
      <c r="Q562" s="23" t="n"/>
      <c r="R562" s="23" t="n"/>
      <c r="S562" s="23" t="n"/>
      <c r="T562" s="23" t="n"/>
      <c r="U562" s="23" t="n"/>
      <c r="V562" s="23" t="n"/>
      <c r="W562" s="23" t="n"/>
      <c r="X562" s="23" t="n"/>
      <c r="Y562" s="25" t="n"/>
      <c r="Z562" s="25" t="n"/>
      <c r="AA562" s="23" t="n"/>
      <c r="AB562" s="25" t="n"/>
      <c r="AC562" s="23" t="n"/>
      <c r="AD562" s="25" t="n"/>
      <c r="AE562" s="23" t="n"/>
      <c r="AF562" s="25" t="n"/>
      <c r="AG562" s="25" t="n"/>
      <c r="AH562" s="23" t="n"/>
      <c r="AI562" s="23" t="n"/>
      <c r="AJ562" s="26">
        <f>IF(I562="","",I562&amp;"|"&amp;R562)</f>
        <v/>
      </c>
      <c r="AK562" s="26">
        <f>IF(I562="","",IF(ISNA(MATCH(O562,Kampanyalar!$A$2:$A$150,0)),"Hayır - Kampanyalar'da Yok","Evet"))</f>
        <v/>
      </c>
      <c r="AL562" s="27">
        <f>IF(I562="","",IFERROR(INDEX(Kampanyalar!$E$2:$E$150,MATCH(O562,Kampanyalar!$A$2:$A$150,0)),""))</f>
        <v/>
      </c>
      <c r="AM562" s="27">
        <f>IF(I562="","",IFERROR(INDEX(Kampanyalar!$F$2:$F$150,MATCH(O562,Kampanyalar!$A$2:$A$150,0)),""))</f>
        <v/>
      </c>
      <c r="AN562" s="27">
        <f>IF(I562="","",IFERROR(INDEX(Kampanyalar!$G$2:$G$150,MATCH(O562,Kampanyalar!$A$2:$A$150,0)),""))</f>
        <v/>
      </c>
      <c r="AO562" s="26">
        <f>IF(OR(I562="",AL562="",AM562=""),"",IF(AND(H562&gt;=AL562,H562&lt;=AM562),"Evet","HAYIR - Tarih Dışı"))</f>
        <v/>
      </c>
      <c r="AP562" s="28">
        <f>IF(I562="","",IFERROR(INDEX(Kampanyalar!$H$2:$H$150,MATCH(O562,Kampanyalar!$A$2:$A$150,0)),""))</f>
        <v/>
      </c>
      <c r="AQ562" s="28">
        <f>IF(I562="","",IF(ISNUMBER(AP562),AP562,AD562))</f>
        <v/>
      </c>
      <c r="AR562" s="26">
        <f>IF(I562="","",IF(Parametreler!$C$7="Evet","Kural A - Hemen Ödeme (Stok Mutabakatlı)","Kural B - Nakliye/Montaj Sonrası Ödeme"))</f>
        <v/>
      </c>
    </row>
    <row r="563">
      <c r="A563" s="23" t="n"/>
      <c r="B563" s="23" t="n"/>
      <c r="C563" s="23" t="n"/>
      <c r="D563" s="23" t="n"/>
      <c r="E563" s="23" t="n"/>
      <c r="F563" s="23" t="n"/>
      <c r="G563" s="23" t="n"/>
      <c r="H563" s="24" t="n"/>
      <c r="I563" s="23" t="n"/>
      <c r="J563" s="23" t="n"/>
      <c r="K563" s="23" t="n"/>
      <c r="L563" s="23" t="n"/>
      <c r="M563" s="23" t="n"/>
      <c r="N563" s="23" t="n"/>
      <c r="O563" s="23" t="n"/>
      <c r="P563" s="23" t="n"/>
      <c r="Q563" s="23" t="n"/>
      <c r="R563" s="23" t="n"/>
      <c r="S563" s="23" t="n"/>
      <c r="T563" s="23" t="n"/>
      <c r="U563" s="23" t="n"/>
      <c r="V563" s="23" t="n"/>
      <c r="W563" s="23" t="n"/>
      <c r="X563" s="23" t="n"/>
      <c r="Y563" s="25" t="n"/>
      <c r="Z563" s="25" t="n"/>
      <c r="AA563" s="23" t="n"/>
      <c r="AB563" s="25" t="n"/>
      <c r="AC563" s="23" t="n"/>
      <c r="AD563" s="25" t="n"/>
      <c r="AE563" s="23" t="n"/>
      <c r="AF563" s="25" t="n"/>
      <c r="AG563" s="25" t="n"/>
      <c r="AH563" s="23" t="n"/>
      <c r="AI563" s="23" t="n"/>
      <c r="AJ563" s="26">
        <f>IF(I563="","",I563&amp;"|"&amp;R563)</f>
        <v/>
      </c>
      <c r="AK563" s="26">
        <f>IF(I563="","",IF(ISNA(MATCH(O563,Kampanyalar!$A$2:$A$150,0)),"Hayır - Kampanyalar'da Yok","Evet"))</f>
        <v/>
      </c>
      <c r="AL563" s="27">
        <f>IF(I563="","",IFERROR(INDEX(Kampanyalar!$E$2:$E$150,MATCH(O563,Kampanyalar!$A$2:$A$150,0)),""))</f>
        <v/>
      </c>
      <c r="AM563" s="27">
        <f>IF(I563="","",IFERROR(INDEX(Kampanyalar!$F$2:$F$150,MATCH(O563,Kampanyalar!$A$2:$A$150,0)),""))</f>
        <v/>
      </c>
      <c r="AN563" s="27">
        <f>IF(I563="","",IFERROR(INDEX(Kampanyalar!$G$2:$G$150,MATCH(O563,Kampanyalar!$A$2:$A$150,0)),""))</f>
        <v/>
      </c>
      <c r="AO563" s="26">
        <f>IF(OR(I563="",AL563="",AM563=""),"",IF(AND(H563&gt;=AL563,H563&lt;=AM563),"Evet","HAYIR - Tarih Dışı"))</f>
        <v/>
      </c>
      <c r="AP563" s="28">
        <f>IF(I563="","",IFERROR(INDEX(Kampanyalar!$H$2:$H$150,MATCH(O563,Kampanyalar!$A$2:$A$150,0)),""))</f>
        <v/>
      </c>
      <c r="AQ563" s="28">
        <f>IF(I563="","",IF(ISNUMBER(AP563),AP563,AD563))</f>
        <v/>
      </c>
      <c r="AR563" s="26">
        <f>IF(I563="","",IF(Parametreler!$C$7="Evet","Kural A - Hemen Ödeme (Stok Mutabakatlı)","Kural B - Nakliye/Montaj Sonrası Ödeme"))</f>
        <v/>
      </c>
    </row>
    <row r="564">
      <c r="A564" s="23" t="n"/>
      <c r="B564" s="23" t="n"/>
      <c r="C564" s="23" t="n"/>
      <c r="D564" s="23" t="n"/>
      <c r="E564" s="23" t="n"/>
      <c r="F564" s="23" t="n"/>
      <c r="G564" s="23" t="n"/>
      <c r="H564" s="24" t="n"/>
      <c r="I564" s="23" t="n"/>
      <c r="J564" s="23" t="n"/>
      <c r="K564" s="23" t="n"/>
      <c r="L564" s="23" t="n"/>
      <c r="M564" s="23" t="n"/>
      <c r="N564" s="23" t="n"/>
      <c r="O564" s="23" t="n"/>
      <c r="P564" s="23" t="n"/>
      <c r="Q564" s="23" t="n"/>
      <c r="R564" s="23" t="n"/>
      <c r="S564" s="23" t="n"/>
      <c r="T564" s="23" t="n"/>
      <c r="U564" s="23" t="n"/>
      <c r="V564" s="23" t="n"/>
      <c r="W564" s="23" t="n"/>
      <c r="X564" s="23" t="n"/>
      <c r="Y564" s="25" t="n"/>
      <c r="Z564" s="25" t="n"/>
      <c r="AA564" s="23" t="n"/>
      <c r="AB564" s="25" t="n"/>
      <c r="AC564" s="23" t="n"/>
      <c r="AD564" s="25" t="n"/>
      <c r="AE564" s="23" t="n"/>
      <c r="AF564" s="25" t="n"/>
      <c r="AG564" s="25" t="n"/>
      <c r="AH564" s="23" t="n"/>
      <c r="AI564" s="23" t="n"/>
      <c r="AJ564" s="26">
        <f>IF(I564="","",I564&amp;"|"&amp;R564)</f>
        <v/>
      </c>
      <c r="AK564" s="26">
        <f>IF(I564="","",IF(ISNA(MATCH(O564,Kampanyalar!$A$2:$A$150,0)),"Hayır - Kampanyalar'da Yok","Evet"))</f>
        <v/>
      </c>
      <c r="AL564" s="27">
        <f>IF(I564="","",IFERROR(INDEX(Kampanyalar!$E$2:$E$150,MATCH(O564,Kampanyalar!$A$2:$A$150,0)),""))</f>
        <v/>
      </c>
      <c r="AM564" s="27">
        <f>IF(I564="","",IFERROR(INDEX(Kampanyalar!$F$2:$F$150,MATCH(O564,Kampanyalar!$A$2:$A$150,0)),""))</f>
        <v/>
      </c>
      <c r="AN564" s="27">
        <f>IF(I564="","",IFERROR(INDEX(Kampanyalar!$G$2:$G$150,MATCH(O564,Kampanyalar!$A$2:$A$150,0)),""))</f>
        <v/>
      </c>
      <c r="AO564" s="26">
        <f>IF(OR(I564="",AL564="",AM564=""),"",IF(AND(H564&gt;=AL564,H564&lt;=AM564),"Evet","HAYIR - Tarih Dışı"))</f>
        <v/>
      </c>
      <c r="AP564" s="28">
        <f>IF(I564="","",IFERROR(INDEX(Kampanyalar!$H$2:$H$150,MATCH(O564,Kampanyalar!$A$2:$A$150,0)),""))</f>
        <v/>
      </c>
      <c r="AQ564" s="28">
        <f>IF(I564="","",IF(ISNUMBER(AP564),AP564,AD564))</f>
        <v/>
      </c>
      <c r="AR564" s="26">
        <f>IF(I564="","",IF(Parametreler!$C$7="Evet","Kural A - Hemen Ödeme (Stok Mutabakatlı)","Kural B - Nakliye/Montaj Sonrası Ödeme"))</f>
        <v/>
      </c>
    </row>
    <row r="565">
      <c r="A565" s="23" t="n"/>
      <c r="B565" s="23" t="n"/>
      <c r="C565" s="23" t="n"/>
      <c r="D565" s="23" t="n"/>
      <c r="E565" s="23" t="n"/>
      <c r="F565" s="23" t="n"/>
      <c r="G565" s="23" t="n"/>
      <c r="H565" s="24" t="n"/>
      <c r="I565" s="23" t="n"/>
      <c r="J565" s="23" t="n"/>
      <c r="K565" s="23" t="n"/>
      <c r="L565" s="23" t="n"/>
      <c r="M565" s="23" t="n"/>
      <c r="N565" s="23" t="n"/>
      <c r="O565" s="23" t="n"/>
      <c r="P565" s="23" t="n"/>
      <c r="Q565" s="23" t="n"/>
      <c r="R565" s="23" t="n"/>
      <c r="S565" s="23" t="n"/>
      <c r="T565" s="23" t="n"/>
      <c r="U565" s="23" t="n"/>
      <c r="V565" s="23" t="n"/>
      <c r="W565" s="23" t="n"/>
      <c r="X565" s="23" t="n"/>
      <c r="Y565" s="25" t="n"/>
      <c r="Z565" s="25" t="n"/>
      <c r="AA565" s="23" t="n"/>
      <c r="AB565" s="25" t="n"/>
      <c r="AC565" s="23" t="n"/>
      <c r="AD565" s="25" t="n"/>
      <c r="AE565" s="23" t="n"/>
      <c r="AF565" s="25" t="n"/>
      <c r="AG565" s="25" t="n"/>
      <c r="AH565" s="23" t="n"/>
      <c r="AI565" s="23" t="n"/>
      <c r="AJ565" s="26">
        <f>IF(I565="","",I565&amp;"|"&amp;R565)</f>
        <v/>
      </c>
      <c r="AK565" s="26">
        <f>IF(I565="","",IF(ISNA(MATCH(O565,Kampanyalar!$A$2:$A$150,0)),"Hayır - Kampanyalar'da Yok","Evet"))</f>
        <v/>
      </c>
      <c r="AL565" s="27">
        <f>IF(I565="","",IFERROR(INDEX(Kampanyalar!$E$2:$E$150,MATCH(O565,Kampanyalar!$A$2:$A$150,0)),""))</f>
        <v/>
      </c>
      <c r="AM565" s="27">
        <f>IF(I565="","",IFERROR(INDEX(Kampanyalar!$F$2:$F$150,MATCH(O565,Kampanyalar!$A$2:$A$150,0)),""))</f>
        <v/>
      </c>
      <c r="AN565" s="27">
        <f>IF(I565="","",IFERROR(INDEX(Kampanyalar!$G$2:$G$150,MATCH(O565,Kampanyalar!$A$2:$A$150,0)),""))</f>
        <v/>
      </c>
      <c r="AO565" s="26">
        <f>IF(OR(I565="",AL565="",AM565=""),"",IF(AND(H565&gt;=AL565,H565&lt;=AM565),"Evet","HAYIR - Tarih Dışı"))</f>
        <v/>
      </c>
      <c r="AP565" s="28">
        <f>IF(I565="","",IFERROR(INDEX(Kampanyalar!$H$2:$H$150,MATCH(O565,Kampanyalar!$A$2:$A$150,0)),""))</f>
        <v/>
      </c>
      <c r="AQ565" s="28">
        <f>IF(I565="","",IF(ISNUMBER(AP565),AP565,AD565))</f>
        <v/>
      </c>
      <c r="AR565" s="26">
        <f>IF(I565="","",IF(Parametreler!$C$7="Evet","Kural A - Hemen Ödeme (Stok Mutabakatlı)","Kural B - Nakliye/Montaj Sonrası Ödeme"))</f>
        <v/>
      </c>
    </row>
    <row r="566">
      <c r="A566" s="23" t="n"/>
      <c r="B566" s="23" t="n"/>
      <c r="C566" s="23" t="n"/>
      <c r="D566" s="23" t="n"/>
      <c r="E566" s="23" t="n"/>
      <c r="F566" s="23" t="n"/>
      <c r="G566" s="23" t="n"/>
      <c r="H566" s="24" t="n"/>
      <c r="I566" s="23" t="n"/>
      <c r="J566" s="23" t="n"/>
      <c r="K566" s="23" t="n"/>
      <c r="L566" s="23" t="n"/>
      <c r="M566" s="23" t="n"/>
      <c r="N566" s="23" t="n"/>
      <c r="O566" s="23" t="n"/>
      <c r="P566" s="23" t="n"/>
      <c r="Q566" s="23" t="n"/>
      <c r="R566" s="23" t="n"/>
      <c r="S566" s="23" t="n"/>
      <c r="T566" s="23" t="n"/>
      <c r="U566" s="23" t="n"/>
      <c r="V566" s="23" t="n"/>
      <c r="W566" s="23" t="n"/>
      <c r="X566" s="23" t="n"/>
      <c r="Y566" s="25" t="n"/>
      <c r="Z566" s="25" t="n"/>
      <c r="AA566" s="23" t="n"/>
      <c r="AB566" s="25" t="n"/>
      <c r="AC566" s="23" t="n"/>
      <c r="AD566" s="25" t="n"/>
      <c r="AE566" s="23" t="n"/>
      <c r="AF566" s="25" t="n"/>
      <c r="AG566" s="25" t="n"/>
      <c r="AH566" s="23" t="n"/>
      <c r="AI566" s="23" t="n"/>
      <c r="AJ566" s="26">
        <f>IF(I566="","",I566&amp;"|"&amp;R566)</f>
        <v/>
      </c>
      <c r="AK566" s="26">
        <f>IF(I566="","",IF(ISNA(MATCH(O566,Kampanyalar!$A$2:$A$150,0)),"Hayır - Kampanyalar'da Yok","Evet"))</f>
        <v/>
      </c>
      <c r="AL566" s="27">
        <f>IF(I566="","",IFERROR(INDEX(Kampanyalar!$E$2:$E$150,MATCH(O566,Kampanyalar!$A$2:$A$150,0)),""))</f>
        <v/>
      </c>
      <c r="AM566" s="27">
        <f>IF(I566="","",IFERROR(INDEX(Kampanyalar!$F$2:$F$150,MATCH(O566,Kampanyalar!$A$2:$A$150,0)),""))</f>
        <v/>
      </c>
      <c r="AN566" s="27">
        <f>IF(I566="","",IFERROR(INDEX(Kampanyalar!$G$2:$G$150,MATCH(O566,Kampanyalar!$A$2:$A$150,0)),""))</f>
        <v/>
      </c>
      <c r="AO566" s="26">
        <f>IF(OR(I566="",AL566="",AM566=""),"",IF(AND(H566&gt;=AL566,H566&lt;=AM566),"Evet","HAYIR - Tarih Dışı"))</f>
        <v/>
      </c>
      <c r="AP566" s="28">
        <f>IF(I566="","",IFERROR(INDEX(Kampanyalar!$H$2:$H$150,MATCH(O566,Kampanyalar!$A$2:$A$150,0)),""))</f>
        <v/>
      </c>
      <c r="AQ566" s="28">
        <f>IF(I566="","",IF(ISNUMBER(AP566),AP566,AD566))</f>
        <v/>
      </c>
      <c r="AR566" s="26">
        <f>IF(I566="","",IF(Parametreler!$C$7="Evet","Kural A - Hemen Ödeme (Stok Mutabakatlı)","Kural B - Nakliye/Montaj Sonrası Ödeme"))</f>
        <v/>
      </c>
    </row>
    <row r="567">
      <c r="A567" s="23" t="n"/>
      <c r="B567" s="23" t="n"/>
      <c r="C567" s="23" t="n"/>
      <c r="D567" s="23" t="n"/>
      <c r="E567" s="23" t="n"/>
      <c r="F567" s="23" t="n"/>
      <c r="G567" s="23" t="n"/>
      <c r="H567" s="24" t="n"/>
      <c r="I567" s="23" t="n"/>
      <c r="J567" s="23" t="n"/>
      <c r="K567" s="23" t="n"/>
      <c r="L567" s="23" t="n"/>
      <c r="M567" s="23" t="n"/>
      <c r="N567" s="23" t="n"/>
      <c r="O567" s="23" t="n"/>
      <c r="P567" s="23" t="n"/>
      <c r="Q567" s="23" t="n"/>
      <c r="R567" s="23" t="n"/>
      <c r="S567" s="23" t="n"/>
      <c r="T567" s="23" t="n"/>
      <c r="U567" s="23" t="n"/>
      <c r="V567" s="23" t="n"/>
      <c r="W567" s="23" t="n"/>
      <c r="X567" s="23" t="n"/>
      <c r="Y567" s="25" t="n"/>
      <c r="Z567" s="25" t="n"/>
      <c r="AA567" s="23" t="n"/>
      <c r="AB567" s="25" t="n"/>
      <c r="AC567" s="23" t="n"/>
      <c r="AD567" s="25" t="n"/>
      <c r="AE567" s="23" t="n"/>
      <c r="AF567" s="25" t="n"/>
      <c r="AG567" s="25" t="n"/>
      <c r="AH567" s="23" t="n"/>
      <c r="AI567" s="23" t="n"/>
      <c r="AJ567" s="26">
        <f>IF(I567="","",I567&amp;"|"&amp;R567)</f>
        <v/>
      </c>
      <c r="AK567" s="26">
        <f>IF(I567="","",IF(ISNA(MATCH(O567,Kampanyalar!$A$2:$A$150,0)),"Hayır - Kampanyalar'da Yok","Evet"))</f>
        <v/>
      </c>
      <c r="AL567" s="27">
        <f>IF(I567="","",IFERROR(INDEX(Kampanyalar!$E$2:$E$150,MATCH(O567,Kampanyalar!$A$2:$A$150,0)),""))</f>
        <v/>
      </c>
      <c r="AM567" s="27">
        <f>IF(I567="","",IFERROR(INDEX(Kampanyalar!$F$2:$F$150,MATCH(O567,Kampanyalar!$A$2:$A$150,0)),""))</f>
        <v/>
      </c>
      <c r="AN567" s="27">
        <f>IF(I567="","",IFERROR(INDEX(Kampanyalar!$G$2:$G$150,MATCH(O567,Kampanyalar!$A$2:$A$150,0)),""))</f>
        <v/>
      </c>
      <c r="AO567" s="26">
        <f>IF(OR(I567="",AL567="",AM567=""),"",IF(AND(H567&gt;=AL567,H567&lt;=AM567),"Evet","HAYIR - Tarih Dışı"))</f>
        <v/>
      </c>
      <c r="AP567" s="28">
        <f>IF(I567="","",IFERROR(INDEX(Kampanyalar!$H$2:$H$150,MATCH(O567,Kampanyalar!$A$2:$A$150,0)),""))</f>
        <v/>
      </c>
      <c r="AQ567" s="28">
        <f>IF(I567="","",IF(ISNUMBER(AP567),AP567,AD567))</f>
        <v/>
      </c>
      <c r="AR567" s="26">
        <f>IF(I567="","",IF(Parametreler!$C$7="Evet","Kural A - Hemen Ödeme (Stok Mutabakatlı)","Kural B - Nakliye/Montaj Sonrası Ödeme"))</f>
        <v/>
      </c>
    </row>
    <row r="568">
      <c r="A568" s="23" t="n"/>
      <c r="B568" s="23" t="n"/>
      <c r="C568" s="23" t="n"/>
      <c r="D568" s="23" t="n"/>
      <c r="E568" s="23" t="n"/>
      <c r="F568" s="23" t="n"/>
      <c r="G568" s="23" t="n"/>
      <c r="H568" s="24" t="n"/>
      <c r="I568" s="23" t="n"/>
      <c r="J568" s="23" t="n"/>
      <c r="K568" s="23" t="n"/>
      <c r="L568" s="23" t="n"/>
      <c r="M568" s="23" t="n"/>
      <c r="N568" s="23" t="n"/>
      <c r="O568" s="23" t="n"/>
      <c r="P568" s="23" t="n"/>
      <c r="Q568" s="23" t="n"/>
      <c r="R568" s="23" t="n"/>
      <c r="S568" s="23" t="n"/>
      <c r="T568" s="23" t="n"/>
      <c r="U568" s="23" t="n"/>
      <c r="V568" s="23" t="n"/>
      <c r="W568" s="23" t="n"/>
      <c r="X568" s="23" t="n"/>
      <c r="Y568" s="25" t="n"/>
      <c r="Z568" s="25" t="n"/>
      <c r="AA568" s="23" t="n"/>
      <c r="AB568" s="25" t="n"/>
      <c r="AC568" s="23" t="n"/>
      <c r="AD568" s="25" t="n"/>
      <c r="AE568" s="23" t="n"/>
      <c r="AF568" s="25" t="n"/>
      <c r="AG568" s="25" t="n"/>
      <c r="AH568" s="23" t="n"/>
      <c r="AI568" s="23" t="n"/>
      <c r="AJ568" s="26">
        <f>IF(I568="","",I568&amp;"|"&amp;R568)</f>
        <v/>
      </c>
      <c r="AK568" s="26">
        <f>IF(I568="","",IF(ISNA(MATCH(O568,Kampanyalar!$A$2:$A$150,0)),"Hayır - Kampanyalar'da Yok","Evet"))</f>
        <v/>
      </c>
      <c r="AL568" s="27">
        <f>IF(I568="","",IFERROR(INDEX(Kampanyalar!$E$2:$E$150,MATCH(O568,Kampanyalar!$A$2:$A$150,0)),""))</f>
        <v/>
      </c>
      <c r="AM568" s="27">
        <f>IF(I568="","",IFERROR(INDEX(Kampanyalar!$F$2:$F$150,MATCH(O568,Kampanyalar!$A$2:$A$150,0)),""))</f>
        <v/>
      </c>
      <c r="AN568" s="27">
        <f>IF(I568="","",IFERROR(INDEX(Kampanyalar!$G$2:$G$150,MATCH(O568,Kampanyalar!$A$2:$A$150,0)),""))</f>
        <v/>
      </c>
      <c r="AO568" s="26">
        <f>IF(OR(I568="",AL568="",AM568=""),"",IF(AND(H568&gt;=AL568,H568&lt;=AM568),"Evet","HAYIR - Tarih Dışı"))</f>
        <v/>
      </c>
      <c r="AP568" s="28">
        <f>IF(I568="","",IFERROR(INDEX(Kampanyalar!$H$2:$H$150,MATCH(O568,Kampanyalar!$A$2:$A$150,0)),""))</f>
        <v/>
      </c>
      <c r="AQ568" s="28">
        <f>IF(I568="","",IF(ISNUMBER(AP568),AP568,AD568))</f>
        <v/>
      </c>
      <c r="AR568" s="26">
        <f>IF(I568="","",IF(Parametreler!$C$7="Evet","Kural A - Hemen Ödeme (Stok Mutabakatlı)","Kural B - Nakliye/Montaj Sonrası Ödeme"))</f>
        <v/>
      </c>
    </row>
    <row r="569">
      <c r="A569" s="23" t="n"/>
      <c r="B569" s="23" t="n"/>
      <c r="C569" s="23" t="n"/>
      <c r="D569" s="23" t="n"/>
      <c r="E569" s="23" t="n"/>
      <c r="F569" s="23" t="n"/>
      <c r="G569" s="23" t="n"/>
      <c r="H569" s="24" t="n"/>
      <c r="I569" s="23" t="n"/>
      <c r="J569" s="23" t="n"/>
      <c r="K569" s="23" t="n"/>
      <c r="L569" s="23" t="n"/>
      <c r="M569" s="23" t="n"/>
      <c r="N569" s="23" t="n"/>
      <c r="O569" s="23" t="n"/>
      <c r="P569" s="23" t="n"/>
      <c r="Q569" s="23" t="n"/>
      <c r="R569" s="23" t="n"/>
      <c r="S569" s="23" t="n"/>
      <c r="T569" s="23" t="n"/>
      <c r="U569" s="23" t="n"/>
      <c r="V569" s="23" t="n"/>
      <c r="W569" s="23" t="n"/>
      <c r="X569" s="23" t="n"/>
      <c r="Y569" s="25" t="n"/>
      <c r="Z569" s="25" t="n"/>
      <c r="AA569" s="23" t="n"/>
      <c r="AB569" s="25" t="n"/>
      <c r="AC569" s="23" t="n"/>
      <c r="AD569" s="25" t="n"/>
      <c r="AE569" s="23" t="n"/>
      <c r="AF569" s="25" t="n"/>
      <c r="AG569" s="25" t="n"/>
      <c r="AH569" s="23" t="n"/>
      <c r="AI569" s="23" t="n"/>
      <c r="AJ569" s="26">
        <f>IF(I569="","",I569&amp;"|"&amp;R569)</f>
        <v/>
      </c>
      <c r="AK569" s="26">
        <f>IF(I569="","",IF(ISNA(MATCH(O569,Kampanyalar!$A$2:$A$150,0)),"Hayır - Kampanyalar'da Yok","Evet"))</f>
        <v/>
      </c>
      <c r="AL569" s="27">
        <f>IF(I569="","",IFERROR(INDEX(Kampanyalar!$E$2:$E$150,MATCH(O569,Kampanyalar!$A$2:$A$150,0)),""))</f>
        <v/>
      </c>
      <c r="AM569" s="27">
        <f>IF(I569="","",IFERROR(INDEX(Kampanyalar!$F$2:$F$150,MATCH(O569,Kampanyalar!$A$2:$A$150,0)),""))</f>
        <v/>
      </c>
      <c r="AN569" s="27">
        <f>IF(I569="","",IFERROR(INDEX(Kampanyalar!$G$2:$G$150,MATCH(O569,Kampanyalar!$A$2:$A$150,0)),""))</f>
        <v/>
      </c>
      <c r="AO569" s="26">
        <f>IF(OR(I569="",AL569="",AM569=""),"",IF(AND(H569&gt;=AL569,H569&lt;=AM569),"Evet","HAYIR - Tarih Dışı"))</f>
        <v/>
      </c>
      <c r="AP569" s="28">
        <f>IF(I569="","",IFERROR(INDEX(Kampanyalar!$H$2:$H$150,MATCH(O569,Kampanyalar!$A$2:$A$150,0)),""))</f>
        <v/>
      </c>
      <c r="AQ569" s="28">
        <f>IF(I569="","",IF(ISNUMBER(AP569),AP569,AD569))</f>
        <v/>
      </c>
      <c r="AR569" s="26">
        <f>IF(I569="","",IF(Parametreler!$C$7="Evet","Kural A - Hemen Ödeme (Stok Mutabakatlı)","Kural B - Nakliye/Montaj Sonrası Ödeme"))</f>
        <v/>
      </c>
    </row>
    <row r="570">
      <c r="A570" s="23" t="n"/>
      <c r="B570" s="23" t="n"/>
      <c r="C570" s="23" t="n"/>
      <c r="D570" s="23" t="n"/>
      <c r="E570" s="23" t="n"/>
      <c r="F570" s="23" t="n"/>
      <c r="G570" s="23" t="n"/>
      <c r="H570" s="24" t="n"/>
      <c r="I570" s="23" t="n"/>
      <c r="J570" s="23" t="n"/>
      <c r="K570" s="23" t="n"/>
      <c r="L570" s="23" t="n"/>
      <c r="M570" s="23" t="n"/>
      <c r="N570" s="23" t="n"/>
      <c r="O570" s="23" t="n"/>
      <c r="P570" s="23" t="n"/>
      <c r="Q570" s="23" t="n"/>
      <c r="R570" s="23" t="n"/>
      <c r="S570" s="23" t="n"/>
      <c r="T570" s="23" t="n"/>
      <c r="U570" s="23" t="n"/>
      <c r="V570" s="23" t="n"/>
      <c r="W570" s="23" t="n"/>
      <c r="X570" s="23" t="n"/>
      <c r="Y570" s="25" t="n"/>
      <c r="Z570" s="25" t="n"/>
      <c r="AA570" s="23" t="n"/>
      <c r="AB570" s="25" t="n"/>
      <c r="AC570" s="23" t="n"/>
      <c r="AD570" s="25" t="n"/>
      <c r="AE570" s="23" t="n"/>
      <c r="AF570" s="25" t="n"/>
      <c r="AG570" s="25" t="n"/>
      <c r="AH570" s="23" t="n"/>
      <c r="AI570" s="23" t="n"/>
      <c r="AJ570" s="26">
        <f>IF(I570="","",I570&amp;"|"&amp;R570)</f>
        <v/>
      </c>
      <c r="AK570" s="26">
        <f>IF(I570="","",IF(ISNA(MATCH(O570,Kampanyalar!$A$2:$A$150,0)),"Hayır - Kampanyalar'da Yok","Evet"))</f>
        <v/>
      </c>
      <c r="AL570" s="27">
        <f>IF(I570="","",IFERROR(INDEX(Kampanyalar!$E$2:$E$150,MATCH(O570,Kampanyalar!$A$2:$A$150,0)),""))</f>
        <v/>
      </c>
      <c r="AM570" s="27">
        <f>IF(I570="","",IFERROR(INDEX(Kampanyalar!$F$2:$F$150,MATCH(O570,Kampanyalar!$A$2:$A$150,0)),""))</f>
        <v/>
      </c>
      <c r="AN570" s="27">
        <f>IF(I570="","",IFERROR(INDEX(Kampanyalar!$G$2:$G$150,MATCH(O570,Kampanyalar!$A$2:$A$150,0)),""))</f>
        <v/>
      </c>
      <c r="AO570" s="26">
        <f>IF(OR(I570="",AL570="",AM570=""),"",IF(AND(H570&gt;=AL570,H570&lt;=AM570),"Evet","HAYIR - Tarih Dışı"))</f>
        <v/>
      </c>
      <c r="AP570" s="28">
        <f>IF(I570="","",IFERROR(INDEX(Kampanyalar!$H$2:$H$150,MATCH(O570,Kampanyalar!$A$2:$A$150,0)),""))</f>
        <v/>
      </c>
      <c r="AQ570" s="28">
        <f>IF(I570="","",IF(ISNUMBER(AP570),AP570,AD570))</f>
        <v/>
      </c>
      <c r="AR570" s="26">
        <f>IF(I570="","",IF(Parametreler!$C$7="Evet","Kural A - Hemen Ödeme (Stok Mutabakatlı)","Kural B - Nakliye/Montaj Sonrası Ödeme"))</f>
        <v/>
      </c>
    </row>
    <row r="571">
      <c r="A571" s="23" t="n"/>
      <c r="B571" s="23" t="n"/>
      <c r="C571" s="23" t="n"/>
      <c r="D571" s="23" t="n"/>
      <c r="E571" s="23" t="n"/>
      <c r="F571" s="23" t="n"/>
      <c r="G571" s="23" t="n"/>
      <c r="H571" s="24" t="n"/>
      <c r="I571" s="23" t="n"/>
      <c r="J571" s="23" t="n"/>
      <c r="K571" s="23" t="n"/>
      <c r="L571" s="23" t="n"/>
      <c r="M571" s="23" t="n"/>
      <c r="N571" s="23" t="n"/>
      <c r="O571" s="23" t="n"/>
      <c r="P571" s="23" t="n"/>
      <c r="Q571" s="23" t="n"/>
      <c r="R571" s="23" t="n"/>
      <c r="S571" s="23" t="n"/>
      <c r="T571" s="23" t="n"/>
      <c r="U571" s="23" t="n"/>
      <c r="V571" s="23" t="n"/>
      <c r="W571" s="23" t="n"/>
      <c r="X571" s="23" t="n"/>
      <c r="Y571" s="25" t="n"/>
      <c r="Z571" s="25" t="n"/>
      <c r="AA571" s="23" t="n"/>
      <c r="AB571" s="25" t="n"/>
      <c r="AC571" s="23" t="n"/>
      <c r="AD571" s="25" t="n"/>
      <c r="AE571" s="23" t="n"/>
      <c r="AF571" s="25" t="n"/>
      <c r="AG571" s="25" t="n"/>
      <c r="AH571" s="23" t="n"/>
      <c r="AI571" s="23" t="n"/>
      <c r="AJ571" s="26">
        <f>IF(I571="","",I571&amp;"|"&amp;R571)</f>
        <v/>
      </c>
      <c r="AK571" s="26">
        <f>IF(I571="","",IF(ISNA(MATCH(O571,Kampanyalar!$A$2:$A$150,0)),"Hayır - Kampanyalar'da Yok","Evet"))</f>
        <v/>
      </c>
      <c r="AL571" s="27">
        <f>IF(I571="","",IFERROR(INDEX(Kampanyalar!$E$2:$E$150,MATCH(O571,Kampanyalar!$A$2:$A$150,0)),""))</f>
        <v/>
      </c>
      <c r="AM571" s="27">
        <f>IF(I571="","",IFERROR(INDEX(Kampanyalar!$F$2:$F$150,MATCH(O571,Kampanyalar!$A$2:$A$150,0)),""))</f>
        <v/>
      </c>
      <c r="AN571" s="27">
        <f>IF(I571="","",IFERROR(INDEX(Kampanyalar!$G$2:$G$150,MATCH(O571,Kampanyalar!$A$2:$A$150,0)),""))</f>
        <v/>
      </c>
      <c r="AO571" s="26">
        <f>IF(OR(I571="",AL571="",AM571=""),"",IF(AND(H571&gt;=AL571,H571&lt;=AM571),"Evet","HAYIR - Tarih Dışı"))</f>
        <v/>
      </c>
      <c r="AP571" s="28">
        <f>IF(I571="","",IFERROR(INDEX(Kampanyalar!$H$2:$H$150,MATCH(O571,Kampanyalar!$A$2:$A$150,0)),""))</f>
        <v/>
      </c>
      <c r="AQ571" s="28">
        <f>IF(I571="","",IF(ISNUMBER(AP571),AP571,AD571))</f>
        <v/>
      </c>
      <c r="AR571" s="26">
        <f>IF(I571="","",IF(Parametreler!$C$7="Evet","Kural A - Hemen Ödeme (Stok Mutabakatlı)","Kural B - Nakliye/Montaj Sonrası Ödeme"))</f>
        <v/>
      </c>
    </row>
    <row r="572">
      <c r="A572" s="23" t="n"/>
      <c r="B572" s="23" t="n"/>
      <c r="C572" s="23" t="n"/>
      <c r="D572" s="23" t="n"/>
      <c r="E572" s="23" t="n"/>
      <c r="F572" s="23" t="n"/>
      <c r="G572" s="23" t="n"/>
      <c r="H572" s="24" t="n"/>
      <c r="I572" s="23" t="n"/>
      <c r="J572" s="23" t="n"/>
      <c r="K572" s="23" t="n"/>
      <c r="L572" s="23" t="n"/>
      <c r="M572" s="23" t="n"/>
      <c r="N572" s="23" t="n"/>
      <c r="O572" s="23" t="n"/>
      <c r="P572" s="23" t="n"/>
      <c r="Q572" s="23" t="n"/>
      <c r="R572" s="23" t="n"/>
      <c r="S572" s="23" t="n"/>
      <c r="T572" s="23" t="n"/>
      <c r="U572" s="23" t="n"/>
      <c r="V572" s="23" t="n"/>
      <c r="W572" s="23" t="n"/>
      <c r="X572" s="23" t="n"/>
      <c r="Y572" s="25" t="n"/>
      <c r="Z572" s="25" t="n"/>
      <c r="AA572" s="23" t="n"/>
      <c r="AB572" s="25" t="n"/>
      <c r="AC572" s="23" t="n"/>
      <c r="AD572" s="25" t="n"/>
      <c r="AE572" s="23" t="n"/>
      <c r="AF572" s="25" t="n"/>
      <c r="AG572" s="25" t="n"/>
      <c r="AH572" s="23" t="n"/>
      <c r="AI572" s="23" t="n"/>
      <c r="AJ572" s="26">
        <f>IF(I572="","",I572&amp;"|"&amp;R572)</f>
        <v/>
      </c>
      <c r="AK572" s="26">
        <f>IF(I572="","",IF(ISNA(MATCH(O572,Kampanyalar!$A$2:$A$150,0)),"Hayır - Kampanyalar'da Yok","Evet"))</f>
        <v/>
      </c>
      <c r="AL572" s="27">
        <f>IF(I572="","",IFERROR(INDEX(Kampanyalar!$E$2:$E$150,MATCH(O572,Kampanyalar!$A$2:$A$150,0)),""))</f>
        <v/>
      </c>
      <c r="AM572" s="27">
        <f>IF(I572="","",IFERROR(INDEX(Kampanyalar!$F$2:$F$150,MATCH(O572,Kampanyalar!$A$2:$A$150,0)),""))</f>
        <v/>
      </c>
      <c r="AN572" s="27">
        <f>IF(I572="","",IFERROR(INDEX(Kampanyalar!$G$2:$G$150,MATCH(O572,Kampanyalar!$A$2:$A$150,0)),""))</f>
        <v/>
      </c>
      <c r="AO572" s="26">
        <f>IF(OR(I572="",AL572="",AM572=""),"",IF(AND(H572&gt;=AL572,H572&lt;=AM572),"Evet","HAYIR - Tarih Dışı"))</f>
        <v/>
      </c>
      <c r="AP572" s="28">
        <f>IF(I572="","",IFERROR(INDEX(Kampanyalar!$H$2:$H$150,MATCH(O572,Kampanyalar!$A$2:$A$150,0)),""))</f>
        <v/>
      </c>
      <c r="AQ572" s="28">
        <f>IF(I572="","",IF(ISNUMBER(AP572),AP572,AD572))</f>
        <v/>
      </c>
      <c r="AR572" s="26">
        <f>IF(I572="","",IF(Parametreler!$C$7="Evet","Kural A - Hemen Ödeme (Stok Mutabakatlı)","Kural B - Nakliye/Montaj Sonrası Ödeme"))</f>
        <v/>
      </c>
    </row>
    <row r="573">
      <c r="A573" s="23" t="n"/>
      <c r="B573" s="23" t="n"/>
      <c r="C573" s="23" t="n"/>
      <c r="D573" s="23" t="n"/>
      <c r="E573" s="23" t="n"/>
      <c r="F573" s="23" t="n"/>
      <c r="G573" s="23" t="n"/>
      <c r="H573" s="24" t="n"/>
      <c r="I573" s="23" t="n"/>
      <c r="J573" s="23" t="n"/>
      <c r="K573" s="23" t="n"/>
      <c r="L573" s="23" t="n"/>
      <c r="M573" s="23" t="n"/>
      <c r="N573" s="23" t="n"/>
      <c r="O573" s="23" t="n"/>
      <c r="P573" s="23" t="n"/>
      <c r="Q573" s="23" t="n"/>
      <c r="R573" s="23" t="n"/>
      <c r="S573" s="23" t="n"/>
      <c r="T573" s="23" t="n"/>
      <c r="U573" s="23" t="n"/>
      <c r="V573" s="23" t="n"/>
      <c r="W573" s="23" t="n"/>
      <c r="X573" s="23" t="n"/>
      <c r="Y573" s="25" t="n"/>
      <c r="Z573" s="25" t="n"/>
      <c r="AA573" s="23" t="n"/>
      <c r="AB573" s="25" t="n"/>
      <c r="AC573" s="23" t="n"/>
      <c r="AD573" s="25" t="n"/>
      <c r="AE573" s="23" t="n"/>
      <c r="AF573" s="25" t="n"/>
      <c r="AG573" s="25" t="n"/>
      <c r="AH573" s="23" t="n"/>
      <c r="AI573" s="23" t="n"/>
      <c r="AJ573" s="26">
        <f>IF(I573="","",I573&amp;"|"&amp;R573)</f>
        <v/>
      </c>
      <c r="AK573" s="26">
        <f>IF(I573="","",IF(ISNA(MATCH(O573,Kampanyalar!$A$2:$A$150,0)),"Hayır - Kampanyalar'da Yok","Evet"))</f>
        <v/>
      </c>
      <c r="AL573" s="27">
        <f>IF(I573="","",IFERROR(INDEX(Kampanyalar!$E$2:$E$150,MATCH(O573,Kampanyalar!$A$2:$A$150,0)),""))</f>
        <v/>
      </c>
      <c r="AM573" s="27">
        <f>IF(I573="","",IFERROR(INDEX(Kampanyalar!$F$2:$F$150,MATCH(O573,Kampanyalar!$A$2:$A$150,0)),""))</f>
        <v/>
      </c>
      <c r="AN573" s="27">
        <f>IF(I573="","",IFERROR(INDEX(Kampanyalar!$G$2:$G$150,MATCH(O573,Kampanyalar!$A$2:$A$150,0)),""))</f>
        <v/>
      </c>
      <c r="AO573" s="26">
        <f>IF(OR(I573="",AL573="",AM573=""),"",IF(AND(H573&gt;=AL573,H573&lt;=AM573),"Evet","HAYIR - Tarih Dışı"))</f>
        <v/>
      </c>
      <c r="AP573" s="28">
        <f>IF(I573="","",IFERROR(INDEX(Kampanyalar!$H$2:$H$150,MATCH(O573,Kampanyalar!$A$2:$A$150,0)),""))</f>
        <v/>
      </c>
      <c r="AQ573" s="28">
        <f>IF(I573="","",IF(ISNUMBER(AP573),AP573,AD573))</f>
        <v/>
      </c>
      <c r="AR573" s="26">
        <f>IF(I573="","",IF(Parametreler!$C$7="Evet","Kural A - Hemen Ödeme (Stok Mutabakatlı)","Kural B - Nakliye/Montaj Sonrası Ödeme"))</f>
        <v/>
      </c>
    </row>
    <row r="574">
      <c r="A574" s="23" t="n"/>
      <c r="B574" s="23" t="n"/>
      <c r="C574" s="23" t="n"/>
      <c r="D574" s="23" t="n"/>
      <c r="E574" s="23" t="n"/>
      <c r="F574" s="23" t="n"/>
      <c r="G574" s="23" t="n"/>
      <c r="H574" s="24" t="n"/>
      <c r="I574" s="23" t="n"/>
      <c r="J574" s="23" t="n"/>
      <c r="K574" s="23" t="n"/>
      <c r="L574" s="23" t="n"/>
      <c r="M574" s="23" t="n"/>
      <c r="N574" s="23" t="n"/>
      <c r="O574" s="23" t="n"/>
      <c r="P574" s="23" t="n"/>
      <c r="Q574" s="23" t="n"/>
      <c r="R574" s="23" t="n"/>
      <c r="S574" s="23" t="n"/>
      <c r="T574" s="23" t="n"/>
      <c r="U574" s="23" t="n"/>
      <c r="V574" s="23" t="n"/>
      <c r="W574" s="23" t="n"/>
      <c r="X574" s="23" t="n"/>
      <c r="Y574" s="25" t="n"/>
      <c r="Z574" s="25" t="n"/>
      <c r="AA574" s="23" t="n"/>
      <c r="AB574" s="25" t="n"/>
      <c r="AC574" s="23" t="n"/>
      <c r="AD574" s="25" t="n"/>
      <c r="AE574" s="23" t="n"/>
      <c r="AF574" s="25" t="n"/>
      <c r="AG574" s="25" t="n"/>
      <c r="AH574" s="23" t="n"/>
      <c r="AI574" s="23" t="n"/>
      <c r="AJ574" s="26">
        <f>IF(I574="","",I574&amp;"|"&amp;R574)</f>
        <v/>
      </c>
      <c r="AK574" s="26">
        <f>IF(I574="","",IF(ISNA(MATCH(O574,Kampanyalar!$A$2:$A$150,0)),"Hayır - Kampanyalar'da Yok","Evet"))</f>
        <v/>
      </c>
      <c r="AL574" s="27">
        <f>IF(I574="","",IFERROR(INDEX(Kampanyalar!$E$2:$E$150,MATCH(O574,Kampanyalar!$A$2:$A$150,0)),""))</f>
        <v/>
      </c>
      <c r="AM574" s="27">
        <f>IF(I574="","",IFERROR(INDEX(Kampanyalar!$F$2:$F$150,MATCH(O574,Kampanyalar!$A$2:$A$150,0)),""))</f>
        <v/>
      </c>
      <c r="AN574" s="27">
        <f>IF(I574="","",IFERROR(INDEX(Kampanyalar!$G$2:$G$150,MATCH(O574,Kampanyalar!$A$2:$A$150,0)),""))</f>
        <v/>
      </c>
      <c r="AO574" s="26">
        <f>IF(OR(I574="",AL574="",AM574=""),"",IF(AND(H574&gt;=AL574,H574&lt;=AM574),"Evet","HAYIR - Tarih Dışı"))</f>
        <v/>
      </c>
      <c r="AP574" s="28">
        <f>IF(I574="","",IFERROR(INDEX(Kampanyalar!$H$2:$H$150,MATCH(O574,Kampanyalar!$A$2:$A$150,0)),""))</f>
        <v/>
      </c>
      <c r="AQ574" s="28">
        <f>IF(I574="","",IF(ISNUMBER(AP574),AP574,AD574))</f>
        <v/>
      </c>
      <c r="AR574" s="26">
        <f>IF(I574="","",IF(Parametreler!$C$7="Evet","Kural A - Hemen Ödeme (Stok Mutabakatlı)","Kural B - Nakliye/Montaj Sonrası Ödeme"))</f>
        <v/>
      </c>
    </row>
    <row r="575">
      <c r="A575" s="23" t="n"/>
      <c r="B575" s="23" t="n"/>
      <c r="C575" s="23" t="n"/>
      <c r="D575" s="23" t="n"/>
      <c r="E575" s="23" t="n"/>
      <c r="F575" s="23" t="n"/>
      <c r="G575" s="23" t="n"/>
      <c r="H575" s="24" t="n"/>
      <c r="I575" s="23" t="n"/>
      <c r="J575" s="23" t="n"/>
      <c r="K575" s="23" t="n"/>
      <c r="L575" s="23" t="n"/>
      <c r="M575" s="23" t="n"/>
      <c r="N575" s="23" t="n"/>
      <c r="O575" s="23" t="n"/>
      <c r="P575" s="23" t="n"/>
      <c r="Q575" s="23" t="n"/>
      <c r="R575" s="23" t="n"/>
      <c r="S575" s="23" t="n"/>
      <c r="T575" s="23" t="n"/>
      <c r="U575" s="23" t="n"/>
      <c r="V575" s="23" t="n"/>
      <c r="W575" s="23" t="n"/>
      <c r="X575" s="23" t="n"/>
      <c r="Y575" s="25" t="n"/>
      <c r="Z575" s="25" t="n"/>
      <c r="AA575" s="23" t="n"/>
      <c r="AB575" s="25" t="n"/>
      <c r="AC575" s="23" t="n"/>
      <c r="AD575" s="25" t="n"/>
      <c r="AE575" s="23" t="n"/>
      <c r="AF575" s="25" t="n"/>
      <c r="AG575" s="25" t="n"/>
      <c r="AH575" s="23" t="n"/>
      <c r="AI575" s="23" t="n"/>
      <c r="AJ575" s="26">
        <f>IF(I575="","",I575&amp;"|"&amp;R575)</f>
        <v/>
      </c>
      <c r="AK575" s="26">
        <f>IF(I575="","",IF(ISNA(MATCH(O575,Kampanyalar!$A$2:$A$150,0)),"Hayır - Kampanyalar'da Yok","Evet"))</f>
        <v/>
      </c>
      <c r="AL575" s="27">
        <f>IF(I575="","",IFERROR(INDEX(Kampanyalar!$E$2:$E$150,MATCH(O575,Kampanyalar!$A$2:$A$150,0)),""))</f>
        <v/>
      </c>
      <c r="AM575" s="27">
        <f>IF(I575="","",IFERROR(INDEX(Kampanyalar!$F$2:$F$150,MATCH(O575,Kampanyalar!$A$2:$A$150,0)),""))</f>
        <v/>
      </c>
      <c r="AN575" s="27">
        <f>IF(I575="","",IFERROR(INDEX(Kampanyalar!$G$2:$G$150,MATCH(O575,Kampanyalar!$A$2:$A$150,0)),""))</f>
        <v/>
      </c>
      <c r="AO575" s="26">
        <f>IF(OR(I575="",AL575="",AM575=""),"",IF(AND(H575&gt;=AL575,H575&lt;=AM575),"Evet","HAYIR - Tarih Dışı"))</f>
        <v/>
      </c>
      <c r="AP575" s="28">
        <f>IF(I575="","",IFERROR(INDEX(Kampanyalar!$H$2:$H$150,MATCH(O575,Kampanyalar!$A$2:$A$150,0)),""))</f>
        <v/>
      </c>
      <c r="AQ575" s="28">
        <f>IF(I575="","",IF(ISNUMBER(AP575),AP575,AD575))</f>
        <v/>
      </c>
      <c r="AR575" s="26">
        <f>IF(I575="","",IF(Parametreler!$C$7="Evet","Kural A - Hemen Ödeme (Stok Mutabakatlı)","Kural B - Nakliye/Montaj Sonrası Ödeme"))</f>
        <v/>
      </c>
    </row>
    <row r="576">
      <c r="A576" s="23" t="n"/>
      <c r="B576" s="23" t="n"/>
      <c r="C576" s="23" t="n"/>
      <c r="D576" s="23" t="n"/>
      <c r="E576" s="23" t="n"/>
      <c r="F576" s="23" t="n"/>
      <c r="G576" s="23" t="n"/>
      <c r="H576" s="24" t="n"/>
      <c r="I576" s="23" t="n"/>
      <c r="J576" s="23" t="n"/>
      <c r="K576" s="23" t="n"/>
      <c r="L576" s="23" t="n"/>
      <c r="M576" s="23" t="n"/>
      <c r="N576" s="23" t="n"/>
      <c r="O576" s="23" t="n"/>
      <c r="P576" s="23" t="n"/>
      <c r="Q576" s="23" t="n"/>
      <c r="R576" s="23" t="n"/>
      <c r="S576" s="23" t="n"/>
      <c r="T576" s="23" t="n"/>
      <c r="U576" s="23" t="n"/>
      <c r="V576" s="23" t="n"/>
      <c r="W576" s="23" t="n"/>
      <c r="X576" s="23" t="n"/>
      <c r="Y576" s="25" t="n"/>
      <c r="Z576" s="25" t="n"/>
      <c r="AA576" s="23" t="n"/>
      <c r="AB576" s="25" t="n"/>
      <c r="AC576" s="23" t="n"/>
      <c r="AD576" s="25" t="n"/>
      <c r="AE576" s="23" t="n"/>
      <c r="AF576" s="25" t="n"/>
      <c r="AG576" s="25" t="n"/>
      <c r="AH576" s="23" t="n"/>
      <c r="AI576" s="23" t="n"/>
      <c r="AJ576" s="26">
        <f>IF(I576="","",I576&amp;"|"&amp;R576)</f>
        <v/>
      </c>
      <c r="AK576" s="26">
        <f>IF(I576="","",IF(ISNA(MATCH(O576,Kampanyalar!$A$2:$A$150,0)),"Hayır - Kampanyalar'da Yok","Evet"))</f>
        <v/>
      </c>
      <c r="AL576" s="27">
        <f>IF(I576="","",IFERROR(INDEX(Kampanyalar!$E$2:$E$150,MATCH(O576,Kampanyalar!$A$2:$A$150,0)),""))</f>
        <v/>
      </c>
      <c r="AM576" s="27">
        <f>IF(I576="","",IFERROR(INDEX(Kampanyalar!$F$2:$F$150,MATCH(O576,Kampanyalar!$A$2:$A$150,0)),""))</f>
        <v/>
      </c>
      <c r="AN576" s="27">
        <f>IF(I576="","",IFERROR(INDEX(Kampanyalar!$G$2:$G$150,MATCH(O576,Kampanyalar!$A$2:$A$150,0)),""))</f>
        <v/>
      </c>
      <c r="AO576" s="26">
        <f>IF(OR(I576="",AL576="",AM576=""),"",IF(AND(H576&gt;=AL576,H576&lt;=AM576),"Evet","HAYIR - Tarih Dışı"))</f>
        <v/>
      </c>
      <c r="AP576" s="28">
        <f>IF(I576="","",IFERROR(INDEX(Kampanyalar!$H$2:$H$150,MATCH(O576,Kampanyalar!$A$2:$A$150,0)),""))</f>
        <v/>
      </c>
      <c r="AQ576" s="28">
        <f>IF(I576="","",IF(ISNUMBER(AP576),AP576,AD576))</f>
        <v/>
      </c>
      <c r="AR576" s="26">
        <f>IF(I576="","",IF(Parametreler!$C$7="Evet","Kural A - Hemen Ödeme (Stok Mutabakatlı)","Kural B - Nakliye/Montaj Sonrası Ödeme"))</f>
        <v/>
      </c>
    </row>
    <row r="577">
      <c r="A577" s="23" t="n"/>
      <c r="B577" s="23" t="n"/>
      <c r="C577" s="23" t="n"/>
      <c r="D577" s="23" t="n"/>
      <c r="E577" s="23" t="n"/>
      <c r="F577" s="23" t="n"/>
      <c r="G577" s="23" t="n"/>
      <c r="H577" s="24" t="n"/>
      <c r="I577" s="23" t="n"/>
      <c r="J577" s="23" t="n"/>
      <c r="K577" s="23" t="n"/>
      <c r="L577" s="23" t="n"/>
      <c r="M577" s="23" t="n"/>
      <c r="N577" s="23" t="n"/>
      <c r="O577" s="23" t="n"/>
      <c r="P577" s="23" t="n"/>
      <c r="Q577" s="23" t="n"/>
      <c r="R577" s="23" t="n"/>
      <c r="S577" s="23" t="n"/>
      <c r="T577" s="23" t="n"/>
      <c r="U577" s="23" t="n"/>
      <c r="V577" s="23" t="n"/>
      <c r="W577" s="23" t="n"/>
      <c r="X577" s="23" t="n"/>
      <c r="Y577" s="25" t="n"/>
      <c r="Z577" s="25" t="n"/>
      <c r="AA577" s="23" t="n"/>
      <c r="AB577" s="25" t="n"/>
      <c r="AC577" s="23" t="n"/>
      <c r="AD577" s="25" t="n"/>
      <c r="AE577" s="23" t="n"/>
      <c r="AF577" s="25" t="n"/>
      <c r="AG577" s="25" t="n"/>
      <c r="AH577" s="23" t="n"/>
      <c r="AI577" s="23" t="n"/>
      <c r="AJ577" s="26">
        <f>IF(I577="","",I577&amp;"|"&amp;R577)</f>
        <v/>
      </c>
      <c r="AK577" s="26">
        <f>IF(I577="","",IF(ISNA(MATCH(O577,Kampanyalar!$A$2:$A$150,0)),"Hayır - Kampanyalar'da Yok","Evet"))</f>
        <v/>
      </c>
      <c r="AL577" s="27">
        <f>IF(I577="","",IFERROR(INDEX(Kampanyalar!$E$2:$E$150,MATCH(O577,Kampanyalar!$A$2:$A$150,0)),""))</f>
        <v/>
      </c>
      <c r="AM577" s="27">
        <f>IF(I577="","",IFERROR(INDEX(Kampanyalar!$F$2:$F$150,MATCH(O577,Kampanyalar!$A$2:$A$150,0)),""))</f>
        <v/>
      </c>
      <c r="AN577" s="27">
        <f>IF(I577="","",IFERROR(INDEX(Kampanyalar!$G$2:$G$150,MATCH(O577,Kampanyalar!$A$2:$A$150,0)),""))</f>
        <v/>
      </c>
      <c r="AO577" s="26">
        <f>IF(OR(I577="",AL577="",AM577=""),"",IF(AND(H577&gt;=AL577,H577&lt;=AM577),"Evet","HAYIR - Tarih Dışı"))</f>
        <v/>
      </c>
      <c r="AP577" s="28">
        <f>IF(I577="","",IFERROR(INDEX(Kampanyalar!$H$2:$H$150,MATCH(O577,Kampanyalar!$A$2:$A$150,0)),""))</f>
        <v/>
      </c>
      <c r="AQ577" s="28">
        <f>IF(I577="","",IF(ISNUMBER(AP577),AP577,AD577))</f>
        <v/>
      </c>
      <c r="AR577" s="26">
        <f>IF(I577="","",IF(Parametreler!$C$7="Evet","Kural A - Hemen Ödeme (Stok Mutabakatlı)","Kural B - Nakliye/Montaj Sonrası Ödeme"))</f>
        <v/>
      </c>
    </row>
    <row r="578">
      <c r="A578" s="23" t="n"/>
      <c r="B578" s="23" t="n"/>
      <c r="C578" s="23" t="n"/>
      <c r="D578" s="23" t="n"/>
      <c r="E578" s="23" t="n"/>
      <c r="F578" s="23" t="n"/>
      <c r="G578" s="23" t="n"/>
      <c r="H578" s="24" t="n"/>
      <c r="I578" s="23" t="n"/>
      <c r="J578" s="23" t="n"/>
      <c r="K578" s="23" t="n"/>
      <c r="L578" s="23" t="n"/>
      <c r="M578" s="23" t="n"/>
      <c r="N578" s="23" t="n"/>
      <c r="O578" s="23" t="n"/>
      <c r="P578" s="23" t="n"/>
      <c r="Q578" s="23" t="n"/>
      <c r="R578" s="23" t="n"/>
      <c r="S578" s="23" t="n"/>
      <c r="T578" s="23" t="n"/>
      <c r="U578" s="23" t="n"/>
      <c r="V578" s="23" t="n"/>
      <c r="W578" s="23" t="n"/>
      <c r="X578" s="23" t="n"/>
      <c r="Y578" s="25" t="n"/>
      <c r="Z578" s="25" t="n"/>
      <c r="AA578" s="23" t="n"/>
      <c r="AB578" s="25" t="n"/>
      <c r="AC578" s="23" t="n"/>
      <c r="AD578" s="25" t="n"/>
      <c r="AE578" s="23" t="n"/>
      <c r="AF578" s="25" t="n"/>
      <c r="AG578" s="25" t="n"/>
      <c r="AH578" s="23" t="n"/>
      <c r="AI578" s="23" t="n"/>
      <c r="AJ578" s="26">
        <f>IF(I578="","",I578&amp;"|"&amp;R578)</f>
        <v/>
      </c>
      <c r="AK578" s="26">
        <f>IF(I578="","",IF(ISNA(MATCH(O578,Kampanyalar!$A$2:$A$150,0)),"Hayır - Kampanyalar'da Yok","Evet"))</f>
        <v/>
      </c>
      <c r="AL578" s="27">
        <f>IF(I578="","",IFERROR(INDEX(Kampanyalar!$E$2:$E$150,MATCH(O578,Kampanyalar!$A$2:$A$150,0)),""))</f>
        <v/>
      </c>
      <c r="AM578" s="27">
        <f>IF(I578="","",IFERROR(INDEX(Kampanyalar!$F$2:$F$150,MATCH(O578,Kampanyalar!$A$2:$A$150,0)),""))</f>
        <v/>
      </c>
      <c r="AN578" s="27">
        <f>IF(I578="","",IFERROR(INDEX(Kampanyalar!$G$2:$G$150,MATCH(O578,Kampanyalar!$A$2:$A$150,0)),""))</f>
        <v/>
      </c>
      <c r="AO578" s="26">
        <f>IF(OR(I578="",AL578="",AM578=""),"",IF(AND(H578&gt;=AL578,H578&lt;=AM578),"Evet","HAYIR - Tarih Dışı"))</f>
        <v/>
      </c>
      <c r="AP578" s="28">
        <f>IF(I578="","",IFERROR(INDEX(Kampanyalar!$H$2:$H$150,MATCH(O578,Kampanyalar!$A$2:$A$150,0)),""))</f>
        <v/>
      </c>
      <c r="AQ578" s="28">
        <f>IF(I578="","",IF(ISNUMBER(AP578),AP578,AD578))</f>
        <v/>
      </c>
      <c r="AR578" s="26">
        <f>IF(I578="","",IF(Parametreler!$C$7="Evet","Kural A - Hemen Ödeme (Stok Mutabakatlı)","Kural B - Nakliye/Montaj Sonrası Ödeme"))</f>
        <v/>
      </c>
    </row>
    <row r="579">
      <c r="A579" s="23" t="n"/>
      <c r="B579" s="23" t="n"/>
      <c r="C579" s="23" t="n"/>
      <c r="D579" s="23" t="n"/>
      <c r="E579" s="23" t="n"/>
      <c r="F579" s="23" t="n"/>
      <c r="G579" s="23" t="n"/>
      <c r="H579" s="24" t="n"/>
      <c r="I579" s="23" t="n"/>
      <c r="J579" s="23" t="n"/>
      <c r="K579" s="23" t="n"/>
      <c r="L579" s="23" t="n"/>
      <c r="M579" s="23" t="n"/>
      <c r="N579" s="23" t="n"/>
      <c r="O579" s="23" t="n"/>
      <c r="P579" s="23" t="n"/>
      <c r="Q579" s="23" t="n"/>
      <c r="R579" s="23" t="n"/>
      <c r="S579" s="23" t="n"/>
      <c r="T579" s="23" t="n"/>
      <c r="U579" s="23" t="n"/>
      <c r="V579" s="23" t="n"/>
      <c r="W579" s="23" t="n"/>
      <c r="X579" s="23" t="n"/>
      <c r="Y579" s="25" t="n"/>
      <c r="Z579" s="25" t="n"/>
      <c r="AA579" s="23" t="n"/>
      <c r="AB579" s="25" t="n"/>
      <c r="AC579" s="23" t="n"/>
      <c r="AD579" s="25" t="n"/>
      <c r="AE579" s="23" t="n"/>
      <c r="AF579" s="25" t="n"/>
      <c r="AG579" s="25" t="n"/>
      <c r="AH579" s="23" t="n"/>
      <c r="AI579" s="23" t="n"/>
      <c r="AJ579" s="26">
        <f>IF(I579="","",I579&amp;"|"&amp;R579)</f>
        <v/>
      </c>
      <c r="AK579" s="26">
        <f>IF(I579="","",IF(ISNA(MATCH(O579,Kampanyalar!$A$2:$A$150,0)),"Hayır - Kampanyalar'da Yok","Evet"))</f>
        <v/>
      </c>
      <c r="AL579" s="27">
        <f>IF(I579="","",IFERROR(INDEX(Kampanyalar!$E$2:$E$150,MATCH(O579,Kampanyalar!$A$2:$A$150,0)),""))</f>
        <v/>
      </c>
      <c r="AM579" s="27">
        <f>IF(I579="","",IFERROR(INDEX(Kampanyalar!$F$2:$F$150,MATCH(O579,Kampanyalar!$A$2:$A$150,0)),""))</f>
        <v/>
      </c>
      <c r="AN579" s="27">
        <f>IF(I579="","",IFERROR(INDEX(Kampanyalar!$G$2:$G$150,MATCH(O579,Kampanyalar!$A$2:$A$150,0)),""))</f>
        <v/>
      </c>
      <c r="AO579" s="26">
        <f>IF(OR(I579="",AL579="",AM579=""),"",IF(AND(H579&gt;=AL579,H579&lt;=AM579),"Evet","HAYIR - Tarih Dışı"))</f>
        <v/>
      </c>
      <c r="AP579" s="28">
        <f>IF(I579="","",IFERROR(INDEX(Kampanyalar!$H$2:$H$150,MATCH(O579,Kampanyalar!$A$2:$A$150,0)),""))</f>
        <v/>
      </c>
      <c r="AQ579" s="28">
        <f>IF(I579="","",IF(ISNUMBER(AP579),AP579,AD579))</f>
        <v/>
      </c>
      <c r="AR579" s="26">
        <f>IF(I579="","",IF(Parametreler!$C$7="Evet","Kural A - Hemen Ödeme (Stok Mutabakatlı)","Kural B - Nakliye/Montaj Sonrası Ödeme"))</f>
        <v/>
      </c>
    </row>
    <row r="580">
      <c r="A580" s="23" t="n"/>
      <c r="B580" s="23" t="n"/>
      <c r="C580" s="23" t="n"/>
      <c r="D580" s="23" t="n"/>
      <c r="E580" s="23" t="n"/>
      <c r="F580" s="23" t="n"/>
      <c r="G580" s="23" t="n"/>
      <c r="H580" s="24" t="n"/>
      <c r="I580" s="23" t="n"/>
      <c r="J580" s="23" t="n"/>
      <c r="K580" s="23" t="n"/>
      <c r="L580" s="23" t="n"/>
      <c r="M580" s="23" t="n"/>
      <c r="N580" s="23" t="n"/>
      <c r="O580" s="23" t="n"/>
      <c r="P580" s="23" t="n"/>
      <c r="Q580" s="23" t="n"/>
      <c r="R580" s="23" t="n"/>
      <c r="S580" s="23" t="n"/>
      <c r="T580" s="23" t="n"/>
      <c r="U580" s="23" t="n"/>
      <c r="V580" s="23" t="n"/>
      <c r="W580" s="23" t="n"/>
      <c r="X580" s="23" t="n"/>
      <c r="Y580" s="25" t="n"/>
      <c r="Z580" s="25" t="n"/>
      <c r="AA580" s="23" t="n"/>
      <c r="AB580" s="25" t="n"/>
      <c r="AC580" s="23" t="n"/>
      <c r="AD580" s="25" t="n"/>
      <c r="AE580" s="23" t="n"/>
      <c r="AF580" s="25" t="n"/>
      <c r="AG580" s="25" t="n"/>
      <c r="AH580" s="23" t="n"/>
      <c r="AI580" s="23" t="n"/>
      <c r="AJ580" s="26">
        <f>IF(I580="","",I580&amp;"|"&amp;R580)</f>
        <v/>
      </c>
      <c r="AK580" s="26">
        <f>IF(I580="","",IF(ISNA(MATCH(O580,Kampanyalar!$A$2:$A$150,0)),"Hayır - Kampanyalar'da Yok","Evet"))</f>
        <v/>
      </c>
      <c r="AL580" s="27">
        <f>IF(I580="","",IFERROR(INDEX(Kampanyalar!$E$2:$E$150,MATCH(O580,Kampanyalar!$A$2:$A$150,0)),""))</f>
        <v/>
      </c>
      <c r="AM580" s="27">
        <f>IF(I580="","",IFERROR(INDEX(Kampanyalar!$F$2:$F$150,MATCH(O580,Kampanyalar!$A$2:$A$150,0)),""))</f>
        <v/>
      </c>
      <c r="AN580" s="27">
        <f>IF(I580="","",IFERROR(INDEX(Kampanyalar!$G$2:$G$150,MATCH(O580,Kampanyalar!$A$2:$A$150,0)),""))</f>
        <v/>
      </c>
      <c r="AO580" s="26">
        <f>IF(OR(I580="",AL580="",AM580=""),"",IF(AND(H580&gt;=AL580,H580&lt;=AM580),"Evet","HAYIR - Tarih Dışı"))</f>
        <v/>
      </c>
      <c r="AP580" s="28">
        <f>IF(I580="","",IFERROR(INDEX(Kampanyalar!$H$2:$H$150,MATCH(O580,Kampanyalar!$A$2:$A$150,0)),""))</f>
        <v/>
      </c>
      <c r="AQ580" s="28">
        <f>IF(I580="","",IF(ISNUMBER(AP580),AP580,AD580))</f>
        <v/>
      </c>
      <c r="AR580" s="26">
        <f>IF(I580="","",IF(Parametreler!$C$7="Evet","Kural A - Hemen Ödeme (Stok Mutabakatlı)","Kural B - Nakliye/Montaj Sonrası Ödeme"))</f>
        <v/>
      </c>
    </row>
    <row r="581">
      <c r="A581" s="23" t="n"/>
      <c r="B581" s="23" t="n"/>
      <c r="C581" s="23" t="n"/>
      <c r="D581" s="23" t="n"/>
      <c r="E581" s="23" t="n"/>
      <c r="F581" s="23" t="n"/>
      <c r="G581" s="23" t="n"/>
      <c r="H581" s="24" t="n"/>
      <c r="I581" s="23" t="n"/>
      <c r="J581" s="23" t="n"/>
      <c r="K581" s="23" t="n"/>
      <c r="L581" s="23" t="n"/>
      <c r="M581" s="23" t="n"/>
      <c r="N581" s="23" t="n"/>
      <c r="O581" s="23" t="n"/>
      <c r="P581" s="23" t="n"/>
      <c r="Q581" s="23" t="n"/>
      <c r="R581" s="23" t="n"/>
      <c r="S581" s="23" t="n"/>
      <c r="T581" s="23" t="n"/>
      <c r="U581" s="23" t="n"/>
      <c r="V581" s="23" t="n"/>
      <c r="W581" s="23" t="n"/>
      <c r="X581" s="23" t="n"/>
      <c r="Y581" s="25" t="n"/>
      <c r="Z581" s="25" t="n"/>
      <c r="AA581" s="23" t="n"/>
      <c r="AB581" s="25" t="n"/>
      <c r="AC581" s="23" t="n"/>
      <c r="AD581" s="25" t="n"/>
      <c r="AE581" s="23" t="n"/>
      <c r="AF581" s="25" t="n"/>
      <c r="AG581" s="25" t="n"/>
      <c r="AH581" s="23" t="n"/>
      <c r="AI581" s="23" t="n"/>
      <c r="AJ581" s="26">
        <f>IF(I581="","",I581&amp;"|"&amp;R581)</f>
        <v/>
      </c>
      <c r="AK581" s="26">
        <f>IF(I581="","",IF(ISNA(MATCH(O581,Kampanyalar!$A$2:$A$150,0)),"Hayır - Kampanyalar'da Yok","Evet"))</f>
        <v/>
      </c>
      <c r="AL581" s="27">
        <f>IF(I581="","",IFERROR(INDEX(Kampanyalar!$E$2:$E$150,MATCH(O581,Kampanyalar!$A$2:$A$150,0)),""))</f>
        <v/>
      </c>
      <c r="AM581" s="27">
        <f>IF(I581="","",IFERROR(INDEX(Kampanyalar!$F$2:$F$150,MATCH(O581,Kampanyalar!$A$2:$A$150,0)),""))</f>
        <v/>
      </c>
      <c r="AN581" s="27">
        <f>IF(I581="","",IFERROR(INDEX(Kampanyalar!$G$2:$G$150,MATCH(O581,Kampanyalar!$A$2:$A$150,0)),""))</f>
        <v/>
      </c>
      <c r="AO581" s="26">
        <f>IF(OR(I581="",AL581="",AM581=""),"",IF(AND(H581&gt;=AL581,H581&lt;=AM581),"Evet","HAYIR - Tarih Dışı"))</f>
        <v/>
      </c>
      <c r="AP581" s="28">
        <f>IF(I581="","",IFERROR(INDEX(Kampanyalar!$H$2:$H$150,MATCH(O581,Kampanyalar!$A$2:$A$150,0)),""))</f>
        <v/>
      </c>
      <c r="AQ581" s="28">
        <f>IF(I581="","",IF(ISNUMBER(AP581),AP581,AD581))</f>
        <v/>
      </c>
      <c r="AR581" s="26">
        <f>IF(I581="","",IF(Parametreler!$C$7="Evet","Kural A - Hemen Ödeme (Stok Mutabakatlı)","Kural B - Nakliye/Montaj Sonrası Ödeme"))</f>
        <v/>
      </c>
    </row>
    <row r="582">
      <c r="A582" s="23" t="n"/>
      <c r="B582" s="23" t="n"/>
      <c r="C582" s="23" t="n"/>
      <c r="D582" s="23" t="n"/>
      <c r="E582" s="23" t="n"/>
      <c r="F582" s="23" t="n"/>
      <c r="G582" s="23" t="n"/>
      <c r="H582" s="24" t="n"/>
      <c r="I582" s="23" t="n"/>
      <c r="J582" s="23" t="n"/>
      <c r="K582" s="23" t="n"/>
      <c r="L582" s="23" t="n"/>
      <c r="M582" s="23" t="n"/>
      <c r="N582" s="23" t="n"/>
      <c r="O582" s="23" t="n"/>
      <c r="P582" s="23" t="n"/>
      <c r="Q582" s="23" t="n"/>
      <c r="R582" s="23" t="n"/>
      <c r="S582" s="23" t="n"/>
      <c r="T582" s="23" t="n"/>
      <c r="U582" s="23" t="n"/>
      <c r="V582" s="23" t="n"/>
      <c r="W582" s="23" t="n"/>
      <c r="X582" s="23" t="n"/>
      <c r="Y582" s="25" t="n"/>
      <c r="Z582" s="25" t="n"/>
      <c r="AA582" s="23" t="n"/>
      <c r="AB582" s="25" t="n"/>
      <c r="AC582" s="23" t="n"/>
      <c r="AD582" s="25" t="n"/>
      <c r="AE582" s="23" t="n"/>
      <c r="AF582" s="25" t="n"/>
      <c r="AG582" s="25" t="n"/>
      <c r="AH582" s="23" t="n"/>
      <c r="AI582" s="23" t="n"/>
      <c r="AJ582" s="26">
        <f>IF(I582="","",I582&amp;"|"&amp;R582)</f>
        <v/>
      </c>
      <c r="AK582" s="26">
        <f>IF(I582="","",IF(ISNA(MATCH(O582,Kampanyalar!$A$2:$A$150,0)),"Hayır - Kampanyalar'da Yok","Evet"))</f>
        <v/>
      </c>
      <c r="AL582" s="27">
        <f>IF(I582="","",IFERROR(INDEX(Kampanyalar!$E$2:$E$150,MATCH(O582,Kampanyalar!$A$2:$A$150,0)),""))</f>
        <v/>
      </c>
      <c r="AM582" s="27">
        <f>IF(I582="","",IFERROR(INDEX(Kampanyalar!$F$2:$F$150,MATCH(O582,Kampanyalar!$A$2:$A$150,0)),""))</f>
        <v/>
      </c>
      <c r="AN582" s="27">
        <f>IF(I582="","",IFERROR(INDEX(Kampanyalar!$G$2:$G$150,MATCH(O582,Kampanyalar!$A$2:$A$150,0)),""))</f>
        <v/>
      </c>
      <c r="AO582" s="26">
        <f>IF(OR(I582="",AL582="",AM582=""),"",IF(AND(H582&gt;=AL582,H582&lt;=AM582),"Evet","HAYIR - Tarih Dışı"))</f>
        <v/>
      </c>
      <c r="AP582" s="28">
        <f>IF(I582="","",IFERROR(INDEX(Kampanyalar!$H$2:$H$150,MATCH(O582,Kampanyalar!$A$2:$A$150,0)),""))</f>
        <v/>
      </c>
      <c r="AQ582" s="28">
        <f>IF(I582="","",IF(ISNUMBER(AP582),AP582,AD582))</f>
        <v/>
      </c>
      <c r="AR582" s="26">
        <f>IF(I582="","",IF(Parametreler!$C$7="Evet","Kural A - Hemen Ödeme (Stok Mutabakatlı)","Kural B - Nakliye/Montaj Sonrası Ödeme"))</f>
        <v/>
      </c>
    </row>
    <row r="583">
      <c r="A583" s="23" t="n"/>
      <c r="B583" s="23" t="n"/>
      <c r="C583" s="23" t="n"/>
      <c r="D583" s="23" t="n"/>
      <c r="E583" s="23" t="n"/>
      <c r="F583" s="23" t="n"/>
      <c r="G583" s="23" t="n"/>
      <c r="H583" s="24" t="n"/>
      <c r="I583" s="23" t="n"/>
      <c r="J583" s="23" t="n"/>
      <c r="K583" s="23" t="n"/>
      <c r="L583" s="23" t="n"/>
      <c r="M583" s="23" t="n"/>
      <c r="N583" s="23" t="n"/>
      <c r="O583" s="23" t="n"/>
      <c r="P583" s="23" t="n"/>
      <c r="Q583" s="23" t="n"/>
      <c r="R583" s="23" t="n"/>
      <c r="S583" s="23" t="n"/>
      <c r="T583" s="23" t="n"/>
      <c r="U583" s="23" t="n"/>
      <c r="V583" s="23" t="n"/>
      <c r="W583" s="23" t="n"/>
      <c r="X583" s="23" t="n"/>
      <c r="Y583" s="25" t="n"/>
      <c r="Z583" s="25" t="n"/>
      <c r="AA583" s="23" t="n"/>
      <c r="AB583" s="25" t="n"/>
      <c r="AC583" s="23" t="n"/>
      <c r="AD583" s="25" t="n"/>
      <c r="AE583" s="23" t="n"/>
      <c r="AF583" s="25" t="n"/>
      <c r="AG583" s="25" t="n"/>
      <c r="AH583" s="23" t="n"/>
      <c r="AI583" s="23" t="n"/>
      <c r="AJ583" s="26">
        <f>IF(I583="","",I583&amp;"|"&amp;R583)</f>
        <v/>
      </c>
      <c r="AK583" s="26">
        <f>IF(I583="","",IF(ISNA(MATCH(O583,Kampanyalar!$A$2:$A$150,0)),"Hayır - Kampanyalar'da Yok","Evet"))</f>
        <v/>
      </c>
      <c r="AL583" s="27">
        <f>IF(I583="","",IFERROR(INDEX(Kampanyalar!$E$2:$E$150,MATCH(O583,Kampanyalar!$A$2:$A$150,0)),""))</f>
        <v/>
      </c>
      <c r="AM583" s="27">
        <f>IF(I583="","",IFERROR(INDEX(Kampanyalar!$F$2:$F$150,MATCH(O583,Kampanyalar!$A$2:$A$150,0)),""))</f>
        <v/>
      </c>
      <c r="AN583" s="27">
        <f>IF(I583="","",IFERROR(INDEX(Kampanyalar!$G$2:$G$150,MATCH(O583,Kampanyalar!$A$2:$A$150,0)),""))</f>
        <v/>
      </c>
      <c r="AO583" s="26">
        <f>IF(OR(I583="",AL583="",AM583=""),"",IF(AND(H583&gt;=AL583,H583&lt;=AM583),"Evet","HAYIR - Tarih Dışı"))</f>
        <v/>
      </c>
      <c r="AP583" s="28">
        <f>IF(I583="","",IFERROR(INDEX(Kampanyalar!$H$2:$H$150,MATCH(O583,Kampanyalar!$A$2:$A$150,0)),""))</f>
        <v/>
      </c>
      <c r="AQ583" s="28">
        <f>IF(I583="","",IF(ISNUMBER(AP583),AP583,AD583))</f>
        <v/>
      </c>
      <c r="AR583" s="26">
        <f>IF(I583="","",IF(Parametreler!$C$7="Evet","Kural A - Hemen Ödeme (Stok Mutabakatlı)","Kural B - Nakliye/Montaj Sonrası Ödeme"))</f>
        <v/>
      </c>
    </row>
    <row r="584">
      <c r="A584" s="23" t="n"/>
      <c r="B584" s="23" t="n"/>
      <c r="C584" s="23" t="n"/>
      <c r="D584" s="23" t="n"/>
      <c r="E584" s="23" t="n"/>
      <c r="F584" s="23" t="n"/>
      <c r="G584" s="23" t="n"/>
      <c r="H584" s="24" t="n"/>
      <c r="I584" s="23" t="n"/>
      <c r="J584" s="23" t="n"/>
      <c r="K584" s="23" t="n"/>
      <c r="L584" s="23" t="n"/>
      <c r="M584" s="23" t="n"/>
      <c r="N584" s="23" t="n"/>
      <c r="O584" s="23" t="n"/>
      <c r="P584" s="23" t="n"/>
      <c r="Q584" s="23" t="n"/>
      <c r="R584" s="23" t="n"/>
      <c r="S584" s="23" t="n"/>
      <c r="T584" s="23" t="n"/>
      <c r="U584" s="23" t="n"/>
      <c r="V584" s="23" t="n"/>
      <c r="W584" s="23" t="n"/>
      <c r="X584" s="23" t="n"/>
      <c r="Y584" s="25" t="n"/>
      <c r="Z584" s="25" t="n"/>
      <c r="AA584" s="23" t="n"/>
      <c r="AB584" s="25" t="n"/>
      <c r="AC584" s="23" t="n"/>
      <c r="AD584" s="25" t="n"/>
      <c r="AE584" s="23" t="n"/>
      <c r="AF584" s="25" t="n"/>
      <c r="AG584" s="25" t="n"/>
      <c r="AH584" s="23" t="n"/>
      <c r="AI584" s="23" t="n"/>
      <c r="AJ584" s="26">
        <f>IF(I584="","",I584&amp;"|"&amp;R584)</f>
        <v/>
      </c>
      <c r="AK584" s="26">
        <f>IF(I584="","",IF(ISNA(MATCH(O584,Kampanyalar!$A$2:$A$150,0)),"Hayır - Kampanyalar'da Yok","Evet"))</f>
        <v/>
      </c>
      <c r="AL584" s="27">
        <f>IF(I584="","",IFERROR(INDEX(Kampanyalar!$E$2:$E$150,MATCH(O584,Kampanyalar!$A$2:$A$150,0)),""))</f>
        <v/>
      </c>
      <c r="AM584" s="27">
        <f>IF(I584="","",IFERROR(INDEX(Kampanyalar!$F$2:$F$150,MATCH(O584,Kampanyalar!$A$2:$A$150,0)),""))</f>
        <v/>
      </c>
      <c r="AN584" s="27">
        <f>IF(I584="","",IFERROR(INDEX(Kampanyalar!$G$2:$G$150,MATCH(O584,Kampanyalar!$A$2:$A$150,0)),""))</f>
        <v/>
      </c>
      <c r="AO584" s="26">
        <f>IF(OR(I584="",AL584="",AM584=""),"",IF(AND(H584&gt;=AL584,H584&lt;=AM584),"Evet","HAYIR - Tarih Dışı"))</f>
        <v/>
      </c>
      <c r="AP584" s="28">
        <f>IF(I584="","",IFERROR(INDEX(Kampanyalar!$H$2:$H$150,MATCH(O584,Kampanyalar!$A$2:$A$150,0)),""))</f>
        <v/>
      </c>
      <c r="AQ584" s="28">
        <f>IF(I584="","",IF(ISNUMBER(AP584),AP584,AD584))</f>
        <v/>
      </c>
      <c r="AR584" s="26">
        <f>IF(I584="","",IF(Parametreler!$C$7="Evet","Kural A - Hemen Ödeme (Stok Mutabakatlı)","Kural B - Nakliye/Montaj Sonrası Ödeme"))</f>
        <v/>
      </c>
    </row>
    <row r="585">
      <c r="A585" s="23" t="n"/>
      <c r="B585" s="23" t="n"/>
      <c r="C585" s="23" t="n"/>
      <c r="D585" s="23" t="n"/>
      <c r="E585" s="23" t="n"/>
      <c r="F585" s="23" t="n"/>
      <c r="G585" s="23" t="n"/>
      <c r="H585" s="24" t="n"/>
      <c r="I585" s="23" t="n"/>
      <c r="J585" s="23" t="n"/>
      <c r="K585" s="23" t="n"/>
      <c r="L585" s="23" t="n"/>
      <c r="M585" s="23" t="n"/>
      <c r="N585" s="23" t="n"/>
      <c r="O585" s="23" t="n"/>
      <c r="P585" s="23" t="n"/>
      <c r="Q585" s="23" t="n"/>
      <c r="R585" s="23" t="n"/>
      <c r="S585" s="23" t="n"/>
      <c r="T585" s="23" t="n"/>
      <c r="U585" s="23" t="n"/>
      <c r="V585" s="23" t="n"/>
      <c r="W585" s="23" t="n"/>
      <c r="X585" s="23" t="n"/>
      <c r="Y585" s="25" t="n"/>
      <c r="Z585" s="25" t="n"/>
      <c r="AA585" s="23" t="n"/>
      <c r="AB585" s="25" t="n"/>
      <c r="AC585" s="23" t="n"/>
      <c r="AD585" s="25" t="n"/>
      <c r="AE585" s="23" t="n"/>
      <c r="AF585" s="25" t="n"/>
      <c r="AG585" s="25" t="n"/>
      <c r="AH585" s="23" t="n"/>
      <c r="AI585" s="23" t="n"/>
      <c r="AJ585" s="26">
        <f>IF(I585="","",I585&amp;"|"&amp;R585)</f>
        <v/>
      </c>
      <c r="AK585" s="26">
        <f>IF(I585="","",IF(ISNA(MATCH(O585,Kampanyalar!$A$2:$A$150,0)),"Hayır - Kampanyalar'da Yok","Evet"))</f>
        <v/>
      </c>
      <c r="AL585" s="27">
        <f>IF(I585="","",IFERROR(INDEX(Kampanyalar!$E$2:$E$150,MATCH(O585,Kampanyalar!$A$2:$A$150,0)),""))</f>
        <v/>
      </c>
      <c r="AM585" s="27">
        <f>IF(I585="","",IFERROR(INDEX(Kampanyalar!$F$2:$F$150,MATCH(O585,Kampanyalar!$A$2:$A$150,0)),""))</f>
        <v/>
      </c>
      <c r="AN585" s="27">
        <f>IF(I585="","",IFERROR(INDEX(Kampanyalar!$G$2:$G$150,MATCH(O585,Kampanyalar!$A$2:$A$150,0)),""))</f>
        <v/>
      </c>
      <c r="AO585" s="26">
        <f>IF(OR(I585="",AL585="",AM585=""),"",IF(AND(H585&gt;=AL585,H585&lt;=AM585),"Evet","HAYIR - Tarih Dışı"))</f>
        <v/>
      </c>
      <c r="AP585" s="28">
        <f>IF(I585="","",IFERROR(INDEX(Kampanyalar!$H$2:$H$150,MATCH(O585,Kampanyalar!$A$2:$A$150,0)),""))</f>
        <v/>
      </c>
      <c r="AQ585" s="28">
        <f>IF(I585="","",IF(ISNUMBER(AP585),AP585,AD585))</f>
        <v/>
      </c>
      <c r="AR585" s="26">
        <f>IF(I585="","",IF(Parametreler!$C$7="Evet","Kural A - Hemen Ödeme (Stok Mutabakatlı)","Kural B - Nakliye/Montaj Sonrası Ödeme"))</f>
        <v/>
      </c>
    </row>
    <row r="586">
      <c r="A586" s="23" t="n"/>
      <c r="B586" s="23" t="n"/>
      <c r="C586" s="23" t="n"/>
      <c r="D586" s="23" t="n"/>
      <c r="E586" s="23" t="n"/>
      <c r="F586" s="23" t="n"/>
      <c r="G586" s="23" t="n"/>
      <c r="H586" s="24" t="n"/>
      <c r="I586" s="23" t="n"/>
      <c r="J586" s="23" t="n"/>
      <c r="K586" s="23" t="n"/>
      <c r="L586" s="23" t="n"/>
      <c r="M586" s="23" t="n"/>
      <c r="N586" s="23" t="n"/>
      <c r="O586" s="23" t="n"/>
      <c r="P586" s="23" t="n"/>
      <c r="Q586" s="23" t="n"/>
      <c r="R586" s="23" t="n"/>
      <c r="S586" s="23" t="n"/>
      <c r="T586" s="23" t="n"/>
      <c r="U586" s="23" t="n"/>
      <c r="V586" s="23" t="n"/>
      <c r="W586" s="23" t="n"/>
      <c r="X586" s="23" t="n"/>
      <c r="Y586" s="25" t="n"/>
      <c r="Z586" s="25" t="n"/>
      <c r="AA586" s="23" t="n"/>
      <c r="AB586" s="25" t="n"/>
      <c r="AC586" s="23" t="n"/>
      <c r="AD586" s="25" t="n"/>
      <c r="AE586" s="23" t="n"/>
      <c r="AF586" s="25" t="n"/>
      <c r="AG586" s="25" t="n"/>
      <c r="AH586" s="23" t="n"/>
      <c r="AI586" s="23" t="n"/>
      <c r="AJ586" s="26">
        <f>IF(I586="","",I586&amp;"|"&amp;R586)</f>
        <v/>
      </c>
      <c r="AK586" s="26">
        <f>IF(I586="","",IF(ISNA(MATCH(O586,Kampanyalar!$A$2:$A$150,0)),"Hayır - Kampanyalar'da Yok","Evet"))</f>
        <v/>
      </c>
      <c r="AL586" s="27">
        <f>IF(I586="","",IFERROR(INDEX(Kampanyalar!$E$2:$E$150,MATCH(O586,Kampanyalar!$A$2:$A$150,0)),""))</f>
        <v/>
      </c>
      <c r="AM586" s="27">
        <f>IF(I586="","",IFERROR(INDEX(Kampanyalar!$F$2:$F$150,MATCH(O586,Kampanyalar!$A$2:$A$150,0)),""))</f>
        <v/>
      </c>
      <c r="AN586" s="27">
        <f>IF(I586="","",IFERROR(INDEX(Kampanyalar!$G$2:$G$150,MATCH(O586,Kampanyalar!$A$2:$A$150,0)),""))</f>
        <v/>
      </c>
      <c r="AO586" s="26">
        <f>IF(OR(I586="",AL586="",AM586=""),"",IF(AND(H586&gt;=AL586,H586&lt;=AM586),"Evet","HAYIR - Tarih Dışı"))</f>
        <v/>
      </c>
      <c r="AP586" s="28">
        <f>IF(I586="","",IFERROR(INDEX(Kampanyalar!$H$2:$H$150,MATCH(O586,Kampanyalar!$A$2:$A$150,0)),""))</f>
        <v/>
      </c>
      <c r="AQ586" s="28">
        <f>IF(I586="","",IF(ISNUMBER(AP586),AP586,AD586))</f>
        <v/>
      </c>
      <c r="AR586" s="26">
        <f>IF(I586="","",IF(Parametreler!$C$7="Evet","Kural A - Hemen Ödeme (Stok Mutabakatlı)","Kural B - Nakliye/Montaj Sonrası Ödeme"))</f>
        <v/>
      </c>
    </row>
    <row r="587">
      <c r="A587" s="23" t="n"/>
      <c r="B587" s="23" t="n"/>
      <c r="C587" s="23" t="n"/>
      <c r="D587" s="23" t="n"/>
      <c r="E587" s="23" t="n"/>
      <c r="F587" s="23" t="n"/>
      <c r="G587" s="23" t="n"/>
      <c r="H587" s="24" t="n"/>
      <c r="I587" s="23" t="n"/>
      <c r="J587" s="23" t="n"/>
      <c r="K587" s="23" t="n"/>
      <c r="L587" s="23" t="n"/>
      <c r="M587" s="23" t="n"/>
      <c r="N587" s="23" t="n"/>
      <c r="O587" s="23" t="n"/>
      <c r="P587" s="23" t="n"/>
      <c r="Q587" s="23" t="n"/>
      <c r="R587" s="23" t="n"/>
      <c r="S587" s="23" t="n"/>
      <c r="T587" s="23" t="n"/>
      <c r="U587" s="23" t="n"/>
      <c r="V587" s="23" t="n"/>
      <c r="W587" s="23" t="n"/>
      <c r="X587" s="23" t="n"/>
      <c r="Y587" s="25" t="n"/>
      <c r="Z587" s="25" t="n"/>
      <c r="AA587" s="23" t="n"/>
      <c r="AB587" s="25" t="n"/>
      <c r="AC587" s="23" t="n"/>
      <c r="AD587" s="25" t="n"/>
      <c r="AE587" s="23" t="n"/>
      <c r="AF587" s="25" t="n"/>
      <c r="AG587" s="25" t="n"/>
      <c r="AH587" s="23" t="n"/>
      <c r="AI587" s="23" t="n"/>
      <c r="AJ587" s="26">
        <f>IF(I587="","",I587&amp;"|"&amp;R587)</f>
        <v/>
      </c>
      <c r="AK587" s="26">
        <f>IF(I587="","",IF(ISNA(MATCH(O587,Kampanyalar!$A$2:$A$150,0)),"Hayır - Kampanyalar'da Yok","Evet"))</f>
        <v/>
      </c>
      <c r="AL587" s="27">
        <f>IF(I587="","",IFERROR(INDEX(Kampanyalar!$E$2:$E$150,MATCH(O587,Kampanyalar!$A$2:$A$150,0)),""))</f>
        <v/>
      </c>
      <c r="AM587" s="27">
        <f>IF(I587="","",IFERROR(INDEX(Kampanyalar!$F$2:$F$150,MATCH(O587,Kampanyalar!$A$2:$A$150,0)),""))</f>
        <v/>
      </c>
      <c r="AN587" s="27">
        <f>IF(I587="","",IFERROR(INDEX(Kampanyalar!$G$2:$G$150,MATCH(O587,Kampanyalar!$A$2:$A$150,0)),""))</f>
        <v/>
      </c>
      <c r="AO587" s="26">
        <f>IF(OR(I587="",AL587="",AM587=""),"",IF(AND(H587&gt;=AL587,H587&lt;=AM587),"Evet","HAYIR - Tarih Dışı"))</f>
        <v/>
      </c>
      <c r="AP587" s="28">
        <f>IF(I587="","",IFERROR(INDEX(Kampanyalar!$H$2:$H$150,MATCH(O587,Kampanyalar!$A$2:$A$150,0)),""))</f>
        <v/>
      </c>
      <c r="AQ587" s="28">
        <f>IF(I587="","",IF(ISNUMBER(AP587),AP587,AD587))</f>
        <v/>
      </c>
      <c r="AR587" s="26">
        <f>IF(I587="","",IF(Parametreler!$C$7="Evet","Kural A - Hemen Ödeme (Stok Mutabakatlı)","Kural B - Nakliye/Montaj Sonrası Ödeme"))</f>
        <v/>
      </c>
    </row>
    <row r="588">
      <c r="A588" s="23" t="n"/>
      <c r="B588" s="23" t="n"/>
      <c r="C588" s="23" t="n"/>
      <c r="D588" s="23" t="n"/>
      <c r="E588" s="23" t="n"/>
      <c r="F588" s="23" t="n"/>
      <c r="G588" s="23" t="n"/>
      <c r="H588" s="24" t="n"/>
      <c r="I588" s="23" t="n"/>
      <c r="J588" s="23" t="n"/>
      <c r="K588" s="23" t="n"/>
      <c r="L588" s="23" t="n"/>
      <c r="M588" s="23" t="n"/>
      <c r="N588" s="23" t="n"/>
      <c r="O588" s="23" t="n"/>
      <c r="P588" s="23" t="n"/>
      <c r="Q588" s="23" t="n"/>
      <c r="R588" s="23" t="n"/>
      <c r="S588" s="23" t="n"/>
      <c r="T588" s="23" t="n"/>
      <c r="U588" s="23" t="n"/>
      <c r="V588" s="23" t="n"/>
      <c r="W588" s="23" t="n"/>
      <c r="X588" s="23" t="n"/>
      <c r="Y588" s="25" t="n"/>
      <c r="Z588" s="25" t="n"/>
      <c r="AA588" s="23" t="n"/>
      <c r="AB588" s="25" t="n"/>
      <c r="AC588" s="23" t="n"/>
      <c r="AD588" s="25" t="n"/>
      <c r="AE588" s="23" t="n"/>
      <c r="AF588" s="25" t="n"/>
      <c r="AG588" s="25" t="n"/>
      <c r="AH588" s="23" t="n"/>
      <c r="AI588" s="23" t="n"/>
      <c r="AJ588" s="26">
        <f>IF(I588="","",I588&amp;"|"&amp;R588)</f>
        <v/>
      </c>
      <c r="AK588" s="26">
        <f>IF(I588="","",IF(ISNA(MATCH(O588,Kampanyalar!$A$2:$A$150,0)),"Hayır - Kampanyalar'da Yok","Evet"))</f>
        <v/>
      </c>
      <c r="AL588" s="27">
        <f>IF(I588="","",IFERROR(INDEX(Kampanyalar!$E$2:$E$150,MATCH(O588,Kampanyalar!$A$2:$A$150,0)),""))</f>
        <v/>
      </c>
      <c r="AM588" s="27">
        <f>IF(I588="","",IFERROR(INDEX(Kampanyalar!$F$2:$F$150,MATCH(O588,Kampanyalar!$A$2:$A$150,0)),""))</f>
        <v/>
      </c>
      <c r="AN588" s="27">
        <f>IF(I588="","",IFERROR(INDEX(Kampanyalar!$G$2:$G$150,MATCH(O588,Kampanyalar!$A$2:$A$150,0)),""))</f>
        <v/>
      </c>
      <c r="AO588" s="26">
        <f>IF(OR(I588="",AL588="",AM588=""),"",IF(AND(H588&gt;=AL588,H588&lt;=AM588),"Evet","HAYIR - Tarih Dışı"))</f>
        <v/>
      </c>
      <c r="AP588" s="28">
        <f>IF(I588="","",IFERROR(INDEX(Kampanyalar!$H$2:$H$150,MATCH(O588,Kampanyalar!$A$2:$A$150,0)),""))</f>
        <v/>
      </c>
      <c r="AQ588" s="28">
        <f>IF(I588="","",IF(ISNUMBER(AP588),AP588,AD588))</f>
        <v/>
      </c>
      <c r="AR588" s="26">
        <f>IF(I588="","",IF(Parametreler!$C$7="Evet","Kural A - Hemen Ödeme (Stok Mutabakatlı)","Kural B - Nakliye/Montaj Sonrası Ödeme"))</f>
        <v/>
      </c>
    </row>
    <row r="589">
      <c r="A589" s="23" t="n"/>
      <c r="B589" s="23" t="n"/>
      <c r="C589" s="23" t="n"/>
      <c r="D589" s="23" t="n"/>
      <c r="E589" s="23" t="n"/>
      <c r="F589" s="23" t="n"/>
      <c r="G589" s="23" t="n"/>
      <c r="H589" s="24" t="n"/>
      <c r="I589" s="23" t="n"/>
      <c r="J589" s="23" t="n"/>
      <c r="K589" s="23" t="n"/>
      <c r="L589" s="23" t="n"/>
      <c r="M589" s="23" t="n"/>
      <c r="N589" s="23" t="n"/>
      <c r="O589" s="23" t="n"/>
      <c r="P589" s="23" t="n"/>
      <c r="Q589" s="23" t="n"/>
      <c r="R589" s="23" t="n"/>
      <c r="S589" s="23" t="n"/>
      <c r="T589" s="23" t="n"/>
      <c r="U589" s="23" t="n"/>
      <c r="V589" s="23" t="n"/>
      <c r="W589" s="23" t="n"/>
      <c r="X589" s="23" t="n"/>
      <c r="Y589" s="25" t="n"/>
      <c r="Z589" s="25" t="n"/>
      <c r="AA589" s="23" t="n"/>
      <c r="AB589" s="25" t="n"/>
      <c r="AC589" s="23" t="n"/>
      <c r="AD589" s="25" t="n"/>
      <c r="AE589" s="23" t="n"/>
      <c r="AF589" s="25" t="n"/>
      <c r="AG589" s="25" t="n"/>
      <c r="AH589" s="23" t="n"/>
      <c r="AI589" s="23" t="n"/>
      <c r="AJ589" s="26">
        <f>IF(I589="","",I589&amp;"|"&amp;R589)</f>
        <v/>
      </c>
      <c r="AK589" s="26">
        <f>IF(I589="","",IF(ISNA(MATCH(O589,Kampanyalar!$A$2:$A$150,0)),"Hayır - Kampanyalar'da Yok","Evet"))</f>
        <v/>
      </c>
      <c r="AL589" s="27">
        <f>IF(I589="","",IFERROR(INDEX(Kampanyalar!$E$2:$E$150,MATCH(O589,Kampanyalar!$A$2:$A$150,0)),""))</f>
        <v/>
      </c>
      <c r="AM589" s="27">
        <f>IF(I589="","",IFERROR(INDEX(Kampanyalar!$F$2:$F$150,MATCH(O589,Kampanyalar!$A$2:$A$150,0)),""))</f>
        <v/>
      </c>
      <c r="AN589" s="27">
        <f>IF(I589="","",IFERROR(INDEX(Kampanyalar!$G$2:$G$150,MATCH(O589,Kampanyalar!$A$2:$A$150,0)),""))</f>
        <v/>
      </c>
      <c r="AO589" s="26">
        <f>IF(OR(I589="",AL589="",AM589=""),"",IF(AND(H589&gt;=AL589,H589&lt;=AM589),"Evet","HAYIR - Tarih Dışı"))</f>
        <v/>
      </c>
      <c r="AP589" s="28">
        <f>IF(I589="","",IFERROR(INDEX(Kampanyalar!$H$2:$H$150,MATCH(O589,Kampanyalar!$A$2:$A$150,0)),""))</f>
        <v/>
      </c>
      <c r="AQ589" s="28">
        <f>IF(I589="","",IF(ISNUMBER(AP589),AP589,AD589))</f>
        <v/>
      </c>
      <c r="AR589" s="26">
        <f>IF(I589="","",IF(Parametreler!$C$7="Evet","Kural A - Hemen Ödeme (Stok Mutabakatlı)","Kural B - Nakliye/Montaj Sonrası Ödeme"))</f>
        <v/>
      </c>
    </row>
    <row r="590">
      <c r="A590" s="23" t="n"/>
      <c r="B590" s="23" t="n"/>
      <c r="C590" s="23" t="n"/>
      <c r="D590" s="23" t="n"/>
      <c r="E590" s="23" t="n"/>
      <c r="F590" s="23" t="n"/>
      <c r="G590" s="23" t="n"/>
      <c r="H590" s="24" t="n"/>
      <c r="I590" s="23" t="n"/>
      <c r="J590" s="23" t="n"/>
      <c r="K590" s="23" t="n"/>
      <c r="L590" s="23" t="n"/>
      <c r="M590" s="23" t="n"/>
      <c r="N590" s="23" t="n"/>
      <c r="O590" s="23" t="n"/>
      <c r="P590" s="23" t="n"/>
      <c r="Q590" s="23" t="n"/>
      <c r="R590" s="23" t="n"/>
      <c r="S590" s="23" t="n"/>
      <c r="T590" s="23" t="n"/>
      <c r="U590" s="23" t="n"/>
      <c r="V590" s="23" t="n"/>
      <c r="W590" s="23" t="n"/>
      <c r="X590" s="23" t="n"/>
      <c r="Y590" s="25" t="n"/>
      <c r="Z590" s="25" t="n"/>
      <c r="AA590" s="23" t="n"/>
      <c r="AB590" s="25" t="n"/>
      <c r="AC590" s="23" t="n"/>
      <c r="AD590" s="25" t="n"/>
      <c r="AE590" s="23" t="n"/>
      <c r="AF590" s="25" t="n"/>
      <c r="AG590" s="25" t="n"/>
      <c r="AH590" s="23" t="n"/>
      <c r="AI590" s="23" t="n"/>
      <c r="AJ590" s="26">
        <f>IF(I590="","",I590&amp;"|"&amp;R590)</f>
        <v/>
      </c>
      <c r="AK590" s="26">
        <f>IF(I590="","",IF(ISNA(MATCH(O590,Kampanyalar!$A$2:$A$150,0)),"Hayır - Kampanyalar'da Yok","Evet"))</f>
        <v/>
      </c>
      <c r="AL590" s="27">
        <f>IF(I590="","",IFERROR(INDEX(Kampanyalar!$E$2:$E$150,MATCH(O590,Kampanyalar!$A$2:$A$150,0)),""))</f>
        <v/>
      </c>
      <c r="AM590" s="27">
        <f>IF(I590="","",IFERROR(INDEX(Kampanyalar!$F$2:$F$150,MATCH(O590,Kampanyalar!$A$2:$A$150,0)),""))</f>
        <v/>
      </c>
      <c r="AN590" s="27">
        <f>IF(I590="","",IFERROR(INDEX(Kampanyalar!$G$2:$G$150,MATCH(O590,Kampanyalar!$A$2:$A$150,0)),""))</f>
        <v/>
      </c>
      <c r="AO590" s="26">
        <f>IF(OR(I590="",AL590="",AM590=""),"",IF(AND(H590&gt;=AL590,H590&lt;=AM590),"Evet","HAYIR - Tarih Dışı"))</f>
        <v/>
      </c>
      <c r="AP590" s="28">
        <f>IF(I590="","",IFERROR(INDEX(Kampanyalar!$H$2:$H$150,MATCH(O590,Kampanyalar!$A$2:$A$150,0)),""))</f>
        <v/>
      </c>
      <c r="AQ590" s="28">
        <f>IF(I590="","",IF(ISNUMBER(AP590),AP590,AD590))</f>
        <v/>
      </c>
      <c r="AR590" s="26">
        <f>IF(I590="","",IF(Parametreler!$C$7="Evet","Kural A - Hemen Ödeme (Stok Mutabakatlı)","Kural B - Nakliye/Montaj Sonrası Ödeme"))</f>
        <v/>
      </c>
    </row>
    <row r="591">
      <c r="A591" s="23" t="n"/>
      <c r="B591" s="23" t="n"/>
      <c r="C591" s="23" t="n"/>
      <c r="D591" s="23" t="n"/>
      <c r="E591" s="23" t="n"/>
      <c r="F591" s="23" t="n"/>
      <c r="G591" s="23" t="n"/>
      <c r="H591" s="24" t="n"/>
      <c r="I591" s="23" t="n"/>
      <c r="J591" s="23" t="n"/>
      <c r="K591" s="23" t="n"/>
      <c r="L591" s="23" t="n"/>
      <c r="M591" s="23" t="n"/>
      <c r="N591" s="23" t="n"/>
      <c r="O591" s="23" t="n"/>
      <c r="P591" s="23" t="n"/>
      <c r="Q591" s="23" t="n"/>
      <c r="R591" s="23" t="n"/>
      <c r="S591" s="23" t="n"/>
      <c r="T591" s="23" t="n"/>
      <c r="U591" s="23" t="n"/>
      <c r="V591" s="23" t="n"/>
      <c r="W591" s="23" t="n"/>
      <c r="X591" s="23" t="n"/>
      <c r="Y591" s="25" t="n"/>
      <c r="Z591" s="25" t="n"/>
      <c r="AA591" s="23" t="n"/>
      <c r="AB591" s="25" t="n"/>
      <c r="AC591" s="23" t="n"/>
      <c r="AD591" s="25" t="n"/>
      <c r="AE591" s="23" t="n"/>
      <c r="AF591" s="25" t="n"/>
      <c r="AG591" s="25" t="n"/>
      <c r="AH591" s="23" t="n"/>
      <c r="AI591" s="23" t="n"/>
      <c r="AJ591" s="26">
        <f>IF(I591="","",I591&amp;"|"&amp;R591)</f>
        <v/>
      </c>
      <c r="AK591" s="26">
        <f>IF(I591="","",IF(ISNA(MATCH(O591,Kampanyalar!$A$2:$A$150,0)),"Hayır - Kampanyalar'da Yok","Evet"))</f>
        <v/>
      </c>
      <c r="AL591" s="27">
        <f>IF(I591="","",IFERROR(INDEX(Kampanyalar!$E$2:$E$150,MATCH(O591,Kampanyalar!$A$2:$A$150,0)),""))</f>
        <v/>
      </c>
      <c r="AM591" s="27">
        <f>IF(I591="","",IFERROR(INDEX(Kampanyalar!$F$2:$F$150,MATCH(O591,Kampanyalar!$A$2:$A$150,0)),""))</f>
        <v/>
      </c>
      <c r="AN591" s="27">
        <f>IF(I591="","",IFERROR(INDEX(Kampanyalar!$G$2:$G$150,MATCH(O591,Kampanyalar!$A$2:$A$150,0)),""))</f>
        <v/>
      </c>
      <c r="AO591" s="26">
        <f>IF(OR(I591="",AL591="",AM591=""),"",IF(AND(H591&gt;=AL591,H591&lt;=AM591),"Evet","HAYIR - Tarih Dışı"))</f>
        <v/>
      </c>
      <c r="AP591" s="28">
        <f>IF(I591="","",IFERROR(INDEX(Kampanyalar!$H$2:$H$150,MATCH(O591,Kampanyalar!$A$2:$A$150,0)),""))</f>
        <v/>
      </c>
      <c r="AQ591" s="28">
        <f>IF(I591="","",IF(ISNUMBER(AP591),AP591,AD591))</f>
        <v/>
      </c>
      <c r="AR591" s="26">
        <f>IF(I591="","",IF(Parametreler!$C$7="Evet","Kural A - Hemen Ödeme (Stok Mutabakatlı)","Kural B - Nakliye/Montaj Sonrası Ödeme"))</f>
        <v/>
      </c>
    </row>
    <row r="592">
      <c r="A592" s="23" t="n"/>
      <c r="B592" s="23" t="n"/>
      <c r="C592" s="23" t="n"/>
      <c r="D592" s="23" t="n"/>
      <c r="E592" s="23" t="n"/>
      <c r="F592" s="23" t="n"/>
      <c r="G592" s="23" t="n"/>
      <c r="H592" s="24" t="n"/>
      <c r="I592" s="23" t="n"/>
      <c r="J592" s="23" t="n"/>
      <c r="K592" s="23" t="n"/>
      <c r="L592" s="23" t="n"/>
      <c r="M592" s="23" t="n"/>
      <c r="N592" s="23" t="n"/>
      <c r="O592" s="23" t="n"/>
      <c r="P592" s="23" t="n"/>
      <c r="Q592" s="23" t="n"/>
      <c r="R592" s="23" t="n"/>
      <c r="S592" s="23" t="n"/>
      <c r="T592" s="23" t="n"/>
      <c r="U592" s="23" t="n"/>
      <c r="V592" s="23" t="n"/>
      <c r="W592" s="23" t="n"/>
      <c r="X592" s="23" t="n"/>
      <c r="Y592" s="25" t="n"/>
      <c r="Z592" s="25" t="n"/>
      <c r="AA592" s="23" t="n"/>
      <c r="AB592" s="25" t="n"/>
      <c r="AC592" s="23" t="n"/>
      <c r="AD592" s="25" t="n"/>
      <c r="AE592" s="23" t="n"/>
      <c r="AF592" s="25" t="n"/>
      <c r="AG592" s="25" t="n"/>
      <c r="AH592" s="23" t="n"/>
      <c r="AI592" s="23" t="n"/>
      <c r="AJ592" s="26">
        <f>IF(I592="","",I592&amp;"|"&amp;R592)</f>
        <v/>
      </c>
      <c r="AK592" s="26">
        <f>IF(I592="","",IF(ISNA(MATCH(O592,Kampanyalar!$A$2:$A$150,0)),"Hayır - Kampanyalar'da Yok","Evet"))</f>
        <v/>
      </c>
      <c r="AL592" s="27">
        <f>IF(I592="","",IFERROR(INDEX(Kampanyalar!$E$2:$E$150,MATCH(O592,Kampanyalar!$A$2:$A$150,0)),""))</f>
        <v/>
      </c>
      <c r="AM592" s="27">
        <f>IF(I592="","",IFERROR(INDEX(Kampanyalar!$F$2:$F$150,MATCH(O592,Kampanyalar!$A$2:$A$150,0)),""))</f>
        <v/>
      </c>
      <c r="AN592" s="27">
        <f>IF(I592="","",IFERROR(INDEX(Kampanyalar!$G$2:$G$150,MATCH(O592,Kampanyalar!$A$2:$A$150,0)),""))</f>
        <v/>
      </c>
      <c r="AO592" s="26">
        <f>IF(OR(I592="",AL592="",AM592=""),"",IF(AND(H592&gt;=AL592,H592&lt;=AM592),"Evet","HAYIR - Tarih Dışı"))</f>
        <v/>
      </c>
      <c r="AP592" s="28">
        <f>IF(I592="","",IFERROR(INDEX(Kampanyalar!$H$2:$H$150,MATCH(O592,Kampanyalar!$A$2:$A$150,0)),""))</f>
        <v/>
      </c>
      <c r="AQ592" s="28">
        <f>IF(I592="","",IF(ISNUMBER(AP592),AP592,AD592))</f>
        <v/>
      </c>
      <c r="AR592" s="26">
        <f>IF(I592="","",IF(Parametreler!$C$7="Evet","Kural A - Hemen Ödeme (Stok Mutabakatlı)","Kural B - Nakliye/Montaj Sonrası Ödeme"))</f>
        <v/>
      </c>
    </row>
    <row r="593">
      <c r="A593" s="23" t="n"/>
      <c r="B593" s="23" t="n"/>
      <c r="C593" s="23" t="n"/>
      <c r="D593" s="23" t="n"/>
      <c r="E593" s="23" t="n"/>
      <c r="F593" s="23" t="n"/>
      <c r="G593" s="23" t="n"/>
      <c r="H593" s="24" t="n"/>
      <c r="I593" s="23" t="n"/>
      <c r="J593" s="23" t="n"/>
      <c r="K593" s="23" t="n"/>
      <c r="L593" s="23" t="n"/>
      <c r="M593" s="23" t="n"/>
      <c r="N593" s="23" t="n"/>
      <c r="O593" s="23" t="n"/>
      <c r="P593" s="23" t="n"/>
      <c r="Q593" s="23" t="n"/>
      <c r="R593" s="23" t="n"/>
      <c r="S593" s="23" t="n"/>
      <c r="T593" s="23" t="n"/>
      <c r="U593" s="23" t="n"/>
      <c r="V593" s="23" t="n"/>
      <c r="W593" s="23" t="n"/>
      <c r="X593" s="23" t="n"/>
      <c r="Y593" s="25" t="n"/>
      <c r="Z593" s="25" t="n"/>
      <c r="AA593" s="23" t="n"/>
      <c r="AB593" s="25" t="n"/>
      <c r="AC593" s="23" t="n"/>
      <c r="AD593" s="25" t="n"/>
      <c r="AE593" s="23" t="n"/>
      <c r="AF593" s="25" t="n"/>
      <c r="AG593" s="25" t="n"/>
      <c r="AH593" s="23" t="n"/>
      <c r="AI593" s="23" t="n"/>
      <c r="AJ593" s="26">
        <f>IF(I593="","",I593&amp;"|"&amp;R593)</f>
        <v/>
      </c>
      <c r="AK593" s="26">
        <f>IF(I593="","",IF(ISNA(MATCH(O593,Kampanyalar!$A$2:$A$150,0)),"Hayır - Kampanyalar'da Yok","Evet"))</f>
        <v/>
      </c>
      <c r="AL593" s="27">
        <f>IF(I593="","",IFERROR(INDEX(Kampanyalar!$E$2:$E$150,MATCH(O593,Kampanyalar!$A$2:$A$150,0)),""))</f>
        <v/>
      </c>
      <c r="AM593" s="27">
        <f>IF(I593="","",IFERROR(INDEX(Kampanyalar!$F$2:$F$150,MATCH(O593,Kampanyalar!$A$2:$A$150,0)),""))</f>
        <v/>
      </c>
      <c r="AN593" s="27">
        <f>IF(I593="","",IFERROR(INDEX(Kampanyalar!$G$2:$G$150,MATCH(O593,Kampanyalar!$A$2:$A$150,0)),""))</f>
        <v/>
      </c>
      <c r="AO593" s="26">
        <f>IF(OR(I593="",AL593="",AM593=""),"",IF(AND(H593&gt;=AL593,H593&lt;=AM593),"Evet","HAYIR - Tarih Dışı"))</f>
        <v/>
      </c>
      <c r="AP593" s="28">
        <f>IF(I593="","",IFERROR(INDEX(Kampanyalar!$H$2:$H$150,MATCH(O593,Kampanyalar!$A$2:$A$150,0)),""))</f>
        <v/>
      </c>
      <c r="AQ593" s="28">
        <f>IF(I593="","",IF(ISNUMBER(AP593),AP593,AD593))</f>
        <v/>
      </c>
      <c r="AR593" s="26">
        <f>IF(I593="","",IF(Parametreler!$C$7="Evet","Kural A - Hemen Ödeme (Stok Mutabakatlı)","Kural B - Nakliye/Montaj Sonrası Ödeme"))</f>
        <v/>
      </c>
    </row>
    <row r="594">
      <c r="A594" s="23" t="n"/>
      <c r="B594" s="23" t="n"/>
      <c r="C594" s="23" t="n"/>
      <c r="D594" s="23" t="n"/>
      <c r="E594" s="23" t="n"/>
      <c r="F594" s="23" t="n"/>
      <c r="G594" s="23" t="n"/>
      <c r="H594" s="24" t="n"/>
      <c r="I594" s="23" t="n"/>
      <c r="J594" s="23" t="n"/>
      <c r="K594" s="23" t="n"/>
      <c r="L594" s="23" t="n"/>
      <c r="M594" s="23" t="n"/>
      <c r="N594" s="23" t="n"/>
      <c r="O594" s="23" t="n"/>
      <c r="P594" s="23" t="n"/>
      <c r="Q594" s="23" t="n"/>
      <c r="R594" s="23" t="n"/>
      <c r="S594" s="23" t="n"/>
      <c r="T594" s="23" t="n"/>
      <c r="U594" s="23" t="n"/>
      <c r="V594" s="23" t="n"/>
      <c r="W594" s="23" t="n"/>
      <c r="X594" s="23" t="n"/>
      <c r="Y594" s="25" t="n"/>
      <c r="Z594" s="25" t="n"/>
      <c r="AA594" s="23" t="n"/>
      <c r="AB594" s="25" t="n"/>
      <c r="AC594" s="23" t="n"/>
      <c r="AD594" s="25" t="n"/>
      <c r="AE594" s="23" t="n"/>
      <c r="AF594" s="25" t="n"/>
      <c r="AG594" s="25" t="n"/>
      <c r="AH594" s="23" t="n"/>
      <c r="AI594" s="23" t="n"/>
      <c r="AJ594" s="26">
        <f>IF(I594="","",I594&amp;"|"&amp;R594)</f>
        <v/>
      </c>
      <c r="AK594" s="26">
        <f>IF(I594="","",IF(ISNA(MATCH(O594,Kampanyalar!$A$2:$A$150,0)),"Hayır - Kampanyalar'da Yok","Evet"))</f>
        <v/>
      </c>
      <c r="AL594" s="27">
        <f>IF(I594="","",IFERROR(INDEX(Kampanyalar!$E$2:$E$150,MATCH(O594,Kampanyalar!$A$2:$A$150,0)),""))</f>
        <v/>
      </c>
      <c r="AM594" s="27">
        <f>IF(I594="","",IFERROR(INDEX(Kampanyalar!$F$2:$F$150,MATCH(O594,Kampanyalar!$A$2:$A$150,0)),""))</f>
        <v/>
      </c>
      <c r="AN594" s="27">
        <f>IF(I594="","",IFERROR(INDEX(Kampanyalar!$G$2:$G$150,MATCH(O594,Kampanyalar!$A$2:$A$150,0)),""))</f>
        <v/>
      </c>
      <c r="AO594" s="26">
        <f>IF(OR(I594="",AL594="",AM594=""),"",IF(AND(H594&gt;=AL594,H594&lt;=AM594),"Evet","HAYIR - Tarih Dışı"))</f>
        <v/>
      </c>
      <c r="AP594" s="28">
        <f>IF(I594="","",IFERROR(INDEX(Kampanyalar!$H$2:$H$150,MATCH(O594,Kampanyalar!$A$2:$A$150,0)),""))</f>
        <v/>
      </c>
      <c r="AQ594" s="28">
        <f>IF(I594="","",IF(ISNUMBER(AP594),AP594,AD594))</f>
        <v/>
      </c>
      <c r="AR594" s="26">
        <f>IF(I594="","",IF(Parametreler!$C$7="Evet","Kural A - Hemen Ödeme (Stok Mutabakatlı)","Kural B - Nakliye/Montaj Sonrası Ödeme"))</f>
        <v/>
      </c>
    </row>
    <row r="595">
      <c r="A595" s="23" t="n"/>
      <c r="B595" s="23" t="n"/>
      <c r="C595" s="23" t="n"/>
      <c r="D595" s="23" t="n"/>
      <c r="E595" s="23" t="n"/>
      <c r="F595" s="23" t="n"/>
      <c r="G595" s="23" t="n"/>
      <c r="H595" s="24" t="n"/>
      <c r="I595" s="23" t="n"/>
      <c r="J595" s="23" t="n"/>
      <c r="K595" s="23" t="n"/>
      <c r="L595" s="23" t="n"/>
      <c r="M595" s="23" t="n"/>
      <c r="N595" s="23" t="n"/>
      <c r="O595" s="23" t="n"/>
      <c r="P595" s="23" t="n"/>
      <c r="Q595" s="23" t="n"/>
      <c r="R595" s="23" t="n"/>
      <c r="S595" s="23" t="n"/>
      <c r="T595" s="23" t="n"/>
      <c r="U595" s="23" t="n"/>
      <c r="V595" s="23" t="n"/>
      <c r="W595" s="23" t="n"/>
      <c r="X595" s="23" t="n"/>
      <c r="Y595" s="25" t="n"/>
      <c r="Z595" s="25" t="n"/>
      <c r="AA595" s="23" t="n"/>
      <c r="AB595" s="25" t="n"/>
      <c r="AC595" s="23" t="n"/>
      <c r="AD595" s="25" t="n"/>
      <c r="AE595" s="23" t="n"/>
      <c r="AF595" s="25" t="n"/>
      <c r="AG595" s="25" t="n"/>
      <c r="AH595" s="23" t="n"/>
      <c r="AI595" s="23" t="n"/>
      <c r="AJ595" s="26">
        <f>IF(I595="","",I595&amp;"|"&amp;R595)</f>
        <v/>
      </c>
      <c r="AK595" s="26">
        <f>IF(I595="","",IF(ISNA(MATCH(O595,Kampanyalar!$A$2:$A$150,0)),"Hayır - Kampanyalar'da Yok","Evet"))</f>
        <v/>
      </c>
      <c r="AL595" s="27">
        <f>IF(I595="","",IFERROR(INDEX(Kampanyalar!$E$2:$E$150,MATCH(O595,Kampanyalar!$A$2:$A$150,0)),""))</f>
        <v/>
      </c>
      <c r="AM595" s="27">
        <f>IF(I595="","",IFERROR(INDEX(Kampanyalar!$F$2:$F$150,MATCH(O595,Kampanyalar!$A$2:$A$150,0)),""))</f>
        <v/>
      </c>
      <c r="AN595" s="27">
        <f>IF(I595="","",IFERROR(INDEX(Kampanyalar!$G$2:$G$150,MATCH(O595,Kampanyalar!$A$2:$A$150,0)),""))</f>
        <v/>
      </c>
      <c r="AO595" s="26">
        <f>IF(OR(I595="",AL595="",AM595=""),"",IF(AND(H595&gt;=AL595,H595&lt;=AM595),"Evet","HAYIR - Tarih Dışı"))</f>
        <v/>
      </c>
      <c r="AP595" s="28">
        <f>IF(I595="","",IFERROR(INDEX(Kampanyalar!$H$2:$H$150,MATCH(O595,Kampanyalar!$A$2:$A$150,0)),""))</f>
        <v/>
      </c>
      <c r="AQ595" s="28">
        <f>IF(I595="","",IF(ISNUMBER(AP595),AP595,AD595))</f>
        <v/>
      </c>
      <c r="AR595" s="26">
        <f>IF(I595="","",IF(Parametreler!$C$7="Evet","Kural A - Hemen Ödeme (Stok Mutabakatlı)","Kural B - Nakliye/Montaj Sonrası Ödeme"))</f>
        <v/>
      </c>
    </row>
    <row r="596">
      <c r="A596" s="23" t="n"/>
      <c r="B596" s="23" t="n"/>
      <c r="C596" s="23" t="n"/>
      <c r="D596" s="23" t="n"/>
      <c r="E596" s="23" t="n"/>
      <c r="F596" s="23" t="n"/>
      <c r="G596" s="23" t="n"/>
      <c r="H596" s="24" t="n"/>
      <c r="I596" s="23" t="n"/>
      <c r="J596" s="23" t="n"/>
      <c r="K596" s="23" t="n"/>
      <c r="L596" s="23" t="n"/>
      <c r="M596" s="23" t="n"/>
      <c r="N596" s="23" t="n"/>
      <c r="O596" s="23" t="n"/>
      <c r="P596" s="23" t="n"/>
      <c r="Q596" s="23" t="n"/>
      <c r="R596" s="23" t="n"/>
      <c r="S596" s="23" t="n"/>
      <c r="T596" s="23" t="n"/>
      <c r="U596" s="23" t="n"/>
      <c r="V596" s="23" t="n"/>
      <c r="W596" s="23" t="n"/>
      <c r="X596" s="23" t="n"/>
      <c r="Y596" s="25" t="n"/>
      <c r="Z596" s="25" t="n"/>
      <c r="AA596" s="23" t="n"/>
      <c r="AB596" s="25" t="n"/>
      <c r="AC596" s="23" t="n"/>
      <c r="AD596" s="25" t="n"/>
      <c r="AE596" s="23" t="n"/>
      <c r="AF596" s="25" t="n"/>
      <c r="AG596" s="25" t="n"/>
      <c r="AH596" s="23" t="n"/>
      <c r="AI596" s="23" t="n"/>
      <c r="AJ596" s="26">
        <f>IF(I596="","",I596&amp;"|"&amp;R596)</f>
        <v/>
      </c>
      <c r="AK596" s="26">
        <f>IF(I596="","",IF(ISNA(MATCH(O596,Kampanyalar!$A$2:$A$150,0)),"Hayır - Kampanyalar'da Yok","Evet"))</f>
        <v/>
      </c>
      <c r="AL596" s="27">
        <f>IF(I596="","",IFERROR(INDEX(Kampanyalar!$E$2:$E$150,MATCH(O596,Kampanyalar!$A$2:$A$150,0)),""))</f>
        <v/>
      </c>
      <c r="AM596" s="27">
        <f>IF(I596="","",IFERROR(INDEX(Kampanyalar!$F$2:$F$150,MATCH(O596,Kampanyalar!$A$2:$A$150,0)),""))</f>
        <v/>
      </c>
      <c r="AN596" s="27">
        <f>IF(I596="","",IFERROR(INDEX(Kampanyalar!$G$2:$G$150,MATCH(O596,Kampanyalar!$A$2:$A$150,0)),""))</f>
        <v/>
      </c>
      <c r="AO596" s="26">
        <f>IF(OR(I596="",AL596="",AM596=""),"",IF(AND(H596&gt;=AL596,H596&lt;=AM596),"Evet","HAYIR - Tarih Dışı"))</f>
        <v/>
      </c>
      <c r="AP596" s="28">
        <f>IF(I596="","",IFERROR(INDEX(Kampanyalar!$H$2:$H$150,MATCH(O596,Kampanyalar!$A$2:$A$150,0)),""))</f>
        <v/>
      </c>
      <c r="AQ596" s="28">
        <f>IF(I596="","",IF(ISNUMBER(AP596),AP596,AD596))</f>
        <v/>
      </c>
      <c r="AR596" s="26">
        <f>IF(I596="","",IF(Parametreler!$C$7="Evet","Kural A - Hemen Ödeme (Stok Mutabakatlı)","Kural B - Nakliye/Montaj Sonrası Ödeme"))</f>
        <v/>
      </c>
    </row>
    <row r="597">
      <c r="A597" s="23" t="n"/>
      <c r="B597" s="23" t="n"/>
      <c r="C597" s="23" t="n"/>
      <c r="D597" s="23" t="n"/>
      <c r="E597" s="23" t="n"/>
      <c r="F597" s="23" t="n"/>
      <c r="G597" s="23" t="n"/>
      <c r="H597" s="24" t="n"/>
      <c r="I597" s="23" t="n"/>
      <c r="J597" s="23" t="n"/>
      <c r="K597" s="23" t="n"/>
      <c r="L597" s="23" t="n"/>
      <c r="M597" s="23" t="n"/>
      <c r="N597" s="23" t="n"/>
      <c r="O597" s="23" t="n"/>
      <c r="P597" s="23" t="n"/>
      <c r="Q597" s="23" t="n"/>
      <c r="R597" s="23" t="n"/>
      <c r="S597" s="23" t="n"/>
      <c r="T597" s="23" t="n"/>
      <c r="U597" s="23" t="n"/>
      <c r="V597" s="23" t="n"/>
      <c r="W597" s="23" t="n"/>
      <c r="X597" s="23" t="n"/>
      <c r="Y597" s="25" t="n"/>
      <c r="Z597" s="25" t="n"/>
      <c r="AA597" s="23" t="n"/>
      <c r="AB597" s="25" t="n"/>
      <c r="AC597" s="23" t="n"/>
      <c r="AD597" s="25" t="n"/>
      <c r="AE597" s="23" t="n"/>
      <c r="AF597" s="25" t="n"/>
      <c r="AG597" s="25" t="n"/>
      <c r="AH597" s="23" t="n"/>
      <c r="AI597" s="23" t="n"/>
      <c r="AJ597" s="26">
        <f>IF(I597="","",I597&amp;"|"&amp;R597)</f>
        <v/>
      </c>
      <c r="AK597" s="26">
        <f>IF(I597="","",IF(ISNA(MATCH(O597,Kampanyalar!$A$2:$A$150,0)),"Hayır - Kampanyalar'da Yok","Evet"))</f>
        <v/>
      </c>
      <c r="AL597" s="27">
        <f>IF(I597="","",IFERROR(INDEX(Kampanyalar!$E$2:$E$150,MATCH(O597,Kampanyalar!$A$2:$A$150,0)),""))</f>
        <v/>
      </c>
      <c r="AM597" s="27">
        <f>IF(I597="","",IFERROR(INDEX(Kampanyalar!$F$2:$F$150,MATCH(O597,Kampanyalar!$A$2:$A$150,0)),""))</f>
        <v/>
      </c>
      <c r="AN597" s="27">
        <f>IF(I597="","",IFERROR(INDEX(Kampanyalar!$G$2:$G$150,MATCH(O597,Kampanyalar!$A$2:$A$150,0)),""))</f>
        <v/>
      </c>
      <c r="AO597" s="26">
        <f>IF(OR(I597="",AL597="",AM597=""),"",IF(AND(H597&gt;=AL597,H597&lt;=AM597),"Evet","HAYIR - Tarih Dışı"))</f>
        <v/>
      </c>
      <c r="AP597" s="28">
        <f>IF(I597="","",IFERROR(INDEX(Kampanyalar!$H$2:$H$150,MATCH(O597,Kampanyalar!$A$2:$A$150,0)),""))</f>
        <v/>
      </c>
      <c r="AQ597" s="28">
        <f>IF(I597="","",IF(ISNUMBER(AP597),AP597,AD597))</f>
        <v/>
      </c>
      <c r="AR597" s="26">
        <f>IF(I597="","",IF(Parametreler!$C$7="Evet","Kural A - Hemen Ödeme (Stok Mutabakatlı)","Kural B - Nakliye/Montaj Sonrası Ödeme"))</f>
        <v/>
      </c>
    </row>
    <row r="598">
      <c r="A598" s="23" t="n"/>
      <c r="B598" s="23" t="n"/>
      <c r="C598" s="23" t="n"/>
      <c r="D598" s="23" t="n"/>
      <c r="E598" s="23" t="n"/>
      <c r="F598" s="23" t="n"/>
      <c r="G598" s="23" t="n"/>
      <c r="H598" s="24" t="n"/>
      <c r="I598" s="23" t="n"/>
      <c r="J598" s="23" t="n"/>
      <c r="K598" s="23" t="n"/>
      <c r="L598" s="23" t="n"/>
      <c r="M598" s="23" t="n"/>
      <c r="N598" s="23" t="n"/>
      <c r="O598" s="23" t="n"/>
      <c r="P598" s="23" t="n"/>
      <c r="Q598" s="23" t="n"/>
      <c r="R598" s="23" t="n"/>
      <c r="S598" s="23" t="n"/>
      <c r="T598" s="23" t="n"/>
      <c r="U598" s="23" t="n"/>
      <c r="V598" s="23" t="n"/>
      <c r="W598" s="23" t="n"/>
      <c r="X598" s="23" t="n"/>
      <c r="Y598" s="25" t="n"/>
      <c r="Z598" s="25" t="n"/>
      <c r="AA598" s="23" t="n"/>
      <c r="AB598" s="25" t="n"/>
      <c r="AC598" s="23" t="n"/>
      <c r="AD598" s="25" t="n"/>
      <c r="AE598" s="23" t="n"/>
      <c r="AF598" s="25" t="n"/>
      <c r="AG598" s="25" t="n"/>
      <c r="AH598" s="23" t="n"/>
      <c r="AI598" s="23" t="n"/>
      <c r="AJ598" s="26">
        <f>IF(I598="","",I598&amp;"|"&amp;R598)</f>
        <v/>
      </c>
      <c r="AK598" s="26">
        <f>IF(I598="","",IF(ISNA(MATCH(O598,Kampanyalar!$A$2:$A$150,0)),"Hayır - Kampanyalar'da Yok","Evet"))</f>
        <v/>
      </c>
      <c r="AL598" s="27">
        <f>IF(I598="","",IFERROR(INDEX(Kampanyalar!$E$2:$E$150,MATCH(O598,Kampanyalar!$A$2:$A$150,0)),""))</f>
        <v/>
      </c>
      <c r="AM598" s="27">
        <f>IF(I598="","",IFERROR(INDEX(Kampanyalar!$F$2:$F$150,MATCH(O598,Kampanyalar!$A$2:$A$150,0)),""))</f>
        <v/>
      </c>
      <c r="AN598" s="27">
        <f>IF(I598="","",IFERROR(INDEX(Kampanyalar!$G$2:$G$150,MATCH(O598,Kampanyalar!$A$2:$A$150,0)),""))</f>
        <v/>
      </c>
      <c r="AO598" s="26">
        <f>IF(OR(I598="",AL598="",AM598=""),"",IF(AND(H598&gt;=AL598,H598&lt;=AM598),"Evet","HAYIR - Tarih Dışı"))</f>
        <v/>
      </c>
      <c r="AP598" s="28">
        <f>IF(I598="","",IFERROR(INDEX(Kampanyalar!$H$2:$H$150,MATCH(O598,Kampanyalar!$A$2:$A$150,0)),""))</f>
        <v/>
      </c>
      <c r="AQ598" s="28">
        <f>IF(I598="","",IF(ISNUMBER(AP598),AP598,AD598))</f>
        <v/>
      </c>
      <c r="AR598" s="26">
        <f>IF(I598="","",IF(Parametreler!$C$7="Evet","Kural A - Hemen Ödeme (Stok Mutabakatlı)","Kural B - Nakliye/Montaj Sonrası Ödeme"))</f>
        <v/>
      </c>
    </row>
    <row r="599">
      <c r="A599" s="23" t="n"/>
      <c r="B599" s="23" t="n"/>
      <c r="C599" s="23" t="n"/>
      <c r="D599" s="23" t="n"/>
      <c r="E599" s="23" t="n"/>
      <c r="F599" s="23" t="n"/>
      <c r="G599" s="23" t="n"/>
      <c r="H599" s="24" t="n"/>
      <c r="I599" s="23" t="n"/>
      <c r="J599" s="23" t="n"/>
      <c r="K599" s="23" t="n"/>
      <c r="L599" s="23" t="n"/>
      <c r="M599" s="23" t="n"/>
      <c r="N599" s="23" t="n"/>
      <c r="O599" s="23" t="n"/>
      <c r="P599" s="23" t="n"/>
      <c r="Q599" s="23" t="n"/>
      <c r="R599" s="23" t="n"/>
      <c r="S599" s="23" t="n"/>
      <c r="T599" s="23" t="n"/>
      <c r="U599" s="23" t="n"/>
      <c r="V599" s="23" t="n"/>
      <c r="W599" s="23" t="n"/>
      <c r="X599" s="23" t="n"/>
      <c r="Y599" s="25" t="n"/>
      <c r="Z599" s="25" t="n"/>
      <c r="AA599" s="23" t="n"/>
      <c r="AB599" s="25" t="n"/>
      <c r="AC599" s="23" t="n"/>
      <c r="AD599" s="25" t="n"/>
      <c r="AE599" s="23" t="n"/>
      <c r="AF599" s="25" t="n"/>
      <c r="AG599" s="25" t="n"/>
      <c r="AH599" s="23" t="n"/>
      <c r="AI599" s="23" t="n"/>
      <c r="AJ599" s="26">
        <f>IF(I599="","",I599&amp;"|"&amp;R599)</f>
        <v/>
      </c>
      <c r="AK599" s="26">
        <f>IF(I599="","",IF(ISNA(MATCH(O599,Kampanyalar!$A$2:$A$150,0)),"Hayır - Kampanyalar'da Yok","Evet"))</f>
        <v/>
      </c>
      <c r="AL599" s="27">
        <f>IF(I599="","",IFERROR(INDEX(Kampanyalar!$E$2:$E$150,MATCH(O599,Kampanyalar!$A$2:$A$150,0)),""))</f>
        <v/>
      </c>
      <c r="AM599" s="27">
        <f>IF(I599="","",IFERROR(INDEX(Kampanyalar!$F$2:$F$150,MATCH(O599,Kampanyalar!$A$2:$A$150,0)),""))</f>
        <v/>
      </c>
      <c r="AN599" s="27">
        <f>IF(I599="","",IFERROR(INDEX(Kampanyalar!$G$2:$G$150,MATCH(O599,Kampanyalar!$A$2:$A$150,0)),""))</f>
        <v/>
      </c>
      <c r="AO599" s="26">
        <f>IF(OR(I599="",AL599="",AM599=""),"",IF(AND(H599&gt;=AL599,H599&lt;=AM599),"Evet","HAYIR - Tarih Dışı"))</f>
        <v/>
      </c>
      <c r="AP599" s="28">
        <f>IF(I599="","",IFERROR(INDEX(Kampanyalar!$H$2:$H$150,MATCH(O599,Kampanyalar!$A$2:$A$150,0)),""))</f>
        <v/>
      </c>
      <c r="AQ599" s="28">
        <f>IF(I599="","",IF(ISNUMBER(AP599),AP599,AD599))</f>
        <v/>
      </c>
      <c r="AR599" s="26">
        <f>IF(I599="","",IF(Parametreler!$C$7="Evet","Kural A - Hemen Ödeme (Stok Mutabakatlı)","Kural B - Nakliye/Montaj Sonrası Ödeme"))</f>
        <v/>
      </c>
    </row>
    <row r="600">
      <c r="A600" s="23" t="n"/>
      <c r="B600" s="23" t="n"/>
      <c r="C600" s="23" t="n"/>
      <c r="D600" s="23" t="n"/>
      <c r="E600" s="23" t="n"/>
      <c r="F600" s="23" t="n"/>
      <c r="G600" s="23" t="n"/>
      <c r="H600" s="24" t="n"/>
      <c r="I600" s="23" t="n"/>
      <c r="J600" s="23" t="n"/>
      <c r="K600" s="23" t="n"/>
      <c r="L600" s="23" t="n"/>
      <c r="M600" s="23" t="n"/>
      <c r="N600" s="23" t="n"/>
      <c r="O600" s="23" t="n"/>
      <c r="P600" s="23" t="n"/>
      <c r="Q600" s="23" t="n"/>
      <c r="R600" s="23" t="n"/>
      <c r="S600" s="23" t="n"/>
      <c r="T600" s="23" t="n"/>
      <c r="U600" s="23" t="n"/>
      <c r="V600" s="23" t="n"/>
      <c r="W600" s="23" t="n"/>
      <c r="X600" s="23" t="n"/>
      <c r="Y600" s="25" t="n"/>
      <c r="Z600" s="25" t="n"/>
      <c r="AA600" s="23" t="n"/>
      <c r="AB600" s="25" t="n"/>
      <c r="AC600" s="23" t="n"/>
      <c r="AD600" s="25" t="n"/>
      <c r="AE600" s="23" t="n"/>
      <c r="AF600" s="25" t="n"/>
      <c r="AG600" s="25" t="n"/>
      <c r="AH600" s="23" t="n"/>
      <c r="AI600" s="23" t="n"/>
      <c r="AJ600" s="26">
        <f>IF(I600="","",I600&amp;"|"&amp;R600)</f>
        <v/>
      </c>
      <c r="AK600" s="26">
        <f>IF(I600="","",IF(ISNA(MATCH(O600,Kampanyalar!$A$2:$A$150,0)),"Hayır - Kampanyalar'da Yok","Evet"))</f>
        <v/>
      </c>
      <c r="AL600" s="27">
        <f>IF(I600="","",IFERROR(INDEX(Kampanyalar!$E$2:$E$150,MATCH(O600,Kampanyalar!$A$2:$A$150,0)),""))</f>
        <v/>
      </c>
      <c r="AM600" s="27">
        <f>IF(I600="","",IFERROR(INDEX(Kampanyalar!$F$2:$F$150,MATCH(O600,Kampanyalar!$A$2:$A$150,0)),""))</f>
        <v/>
      </c>
      <c r="AN600" s="27">
        <f>IF(I600="","",IFERROR(INDEX(Kampanyalar!$G$2:$G$150,MATCH(O600,Kampanyalar!$A$2:$A$150,0)),""))</f>
        <v/>
      </c>
      <c r="AO600" s="26">
        <f>IF(OR(I600="",AL600="",AM600=""),"",IF(AND(H600&gt;=AL600,H600&lt;=AM600),"Evet","HAYIR - Tarih Dışı"))</f>
        <v/>
      </c>
      <c r="AP600" s="28">
        <f>IF(I600="","",IFERROR(INDEX(Kampanyalar!$H$2:$H$150,MATCH(O600,Kampanyalar!$A$2:$A$150,0)),""))</f>
        <v/>
      </c>
      <c r="AQ600" s="28">
        <f>IF(I600="","",IF(ISNUMBER(AP600),AP600,AD600))</f>
        <v/>
      </c>
      <c r="AR600" s="26">
        <f>IF(I600="","",IF(Parametreler!$C$7="Evet","Kural A - Hemen Ödeme (Stok Mutabakatlı)","Kural B - Nakliye/Montaj Sonrası Ödeme"))</f>
        <v/>
      </c>
    </row>
    <row r="601">
      <c r="A601" s="23" t="n"/>
      <c r="B601" s="23" t="n"/>
      <c r="C601" s="23" t="n"/>
      <c r="D601" s="23" t="n"/>
      <c r="E601" s="23" t="n"/>
      <c r="F601" s="23" t="n"/>
      <c r="G601" s="23" t="n"/>
      <c r="H601" s="24" t="n"/>
      <c r="I601" s="23" t="n"/>
      <c r="J601" s="23" t="n"/>
      <c r="K601" s="23" t="n"/>
      <c r="L601" s="23" t="n"/>
      <c r="M601" s="23" t="n"/>
      <c r="N601" s="23" t="n"/>
      <c r="O601" s="23" t="n"/>
      <c r="P601" s="23" t="n"/>
      <c r="Q601" s="23" t="n"/>
      <c r="R601" s="23" t="n"/>
      <c r="S601" s="23" t="n"/>
      <c r="T601" s="23" t="n"/>
      <c r="U601" s="23" t="n"/>
      <c r="V601" s="23" t="n"/>
      <c r="W601" s="23" t="n"/>
      <c r="X601" s="23" t="n"/>
      <c r="Y601" s="25" t="n"/>
      <c r="Z601" s="25" t="n"/>
      <c r="AA601" s="23" t="n"/>
      <c r="AB601" s="25" t="n"/>
      <c r="AC601" s="23" t="n"/>
      <c r="AD601" s="25" t="n"/>
      <c r="AE601" s="23" t="n"/>
      <c r="AF601" s="25" t="n"/>
      <c r="AG601" s="25" t="n"/>
      <c r="AH601" s="23" t="n"/>
      <c r="AI601" s="23" t="n"/>
      <c r="AJ601" s="26">
        <f>IF(I601="","",I601&amp;"|"&amp;R601)</f>
        <v/>
      </c>
      <c r="AK601" s="26">
        <f>IF(I601="","",IF(ISNA(MATCH(O601,Kampanyalar!$A$2:$A$150,0)),"Hayır - Kampanyalar'da Yok","Evet"))</f>
        <v/>
      </c>
      <c r="AL601" s="27">
        <f>IF(I601="","",IFERROR(INDEX(Kampanyalar!$E$2:$E$150,MATCH(O601,Kampanyalar!$A$2:$A$150,0)),""))</f>
        <v/>
      </c>
      <c r="AM601" s="27">
        <f>IF(I601="","",IFERROR(INDEX(Kampanyalar!$F$2:$F$150,MATCH(O601,Kampanyalar!$A$2:$A$150,0)),""))</f>
        <v/>
      </c>
      <c r="AN601" s="27">
        <f>IF(I601="","",IFERROR(INDEX(Kampanyalar!$G$2:$G$150,MATCH(O601,Kampanyalar!$A$2:$A$150,0)),""))</f>
        <v/>
      </c>
      <c r="AO601" s="26">
        <f>IF(OR(I601="",AL601="",AM601=""),"",IF(AND(H601&gt;=AL601,H601&lt;=AM601),"Evet","HAYIR - Tarih Dışı"))</f>
        <v/>
      </c>
      <c r="AP601" s="28">
        <f>IF(I601="","",IFERROR(INDEX(Kampanyalar!$H$2:$H$150,MATCH(O601,Kampanyalar!$A$2:$A$150,0)),""))</f>
        <v/>
      </c>
      <c r="AQ601" s="28">
        <f>IF(I601="","",IF(ISNUMBER(AP601),AP601,AD601))</f>
        <v/>
      </c>
      <c r="AR601" s="26">
        <f>IF(I601="","",IF(Parametreler!$C$7="Evet","Kural A - Hemen Ödeme (Stok Mutabakatlı)","Kural B - Nakliye/Montaj Sonrası Ödeme"))</f>
        <v/>
      </c>
    </row>
    <row r="602">
      <c r="A602" s="23" t="n"/>
      <c r="B602" s="23" t="n"/>
      <c r="C602" s="23" t="n"/>
      <c r="D602" s="23" t="n"/>
      <c r="E602" s="23" t="n"/>
      <c r="F602" s="23" t="n"/>
      <c r="G602" s="23" t="n"/>
      <c r="H602" s="24" t="n"/>
      <c r="I602" s="23" t="n"/>
      <c r="J602" s="23" t="n"/>
      <c r="K602" s="23" t="n"/>
      <c r="L602" s="23" t="n"/>
      <c r="M602" s="23" t="n"/>
      <c r="N602" s="23" t="n"/>
      <c r="O602" s="23" t="n"/>
      <c r="P602" s="23" t="n"/>
      <c r="Q602" s="23" t="n"/>
      <c r="R602" s="23" t="n"/>
      <c r="S602" s="23" t="n"/>
      <c r="T602" s="23" t="n"/>
      <c r="U602" s="23" t="n"/>
      <c r="V602" s="23" t="n"/>
      <c r="W602" s="23" t="n"/>
      <c r="X602" s="23" t="n"/>
      <c r="Y602" s="25" t="n"/>
      <c r="Z602" s="25" t="n"/>
      <c r="AA602" s="23" t="n"/>
      <c r="AB602" s="25" t="n"/>
      <c r="AC602" s="23" t="n"/>
      <c r="AD602" s="25" t="n"/>
      <c r="AE602" s="23" t="n"/>
      <c r="AF602" s="25" t="n"/>
      <c r="AG602" s="25" t="n"/>
      <c r="AH602" s="23" t="n"/>
      <c r="AI602" s="23" t="n"/>
      <c r="AJ602" s="26">
        <f>IF(I602="","",I602&amp;"|"&amp;R602)</f>
        <v/>
      </c>
      <c r="AK602" s="26">
        <f>IF(I602="","",IF(ISNA(MATCH(O602,Kampanyalar!$A$2:$A$150,0)),"Hayır - Kampanyalar'da Yok","Evet"))</f>
        <v/>
      </c>
      <c r="AL602" s="27">
        <f>IF(I602="","",IFERROR(INDEX(Kampanyalar!$E$2:$E$150,MATCH(O602,Kampanyalar!$A$2:$A$150,0)),""))</f>
        <v/>
      </c>
      <c r="AM602" s="27">
        <f>IF(I602="","",IFERROR(INDEX(Kampanyalar!$F$2:$F$150,MATCH(O602,Kampanyalar!$A$2:$A$150,0)),""))</f>
        <v/>
      </c>
      <c r="AN602" s="27">
        <f>IF(I602="","",IFERROR(INDEX(Kampanyalar!$G$2:$G$150,MATCH(O602,Kampanyalar!$A$2:$A$150,0)),""))</f>
        <v/>
      </c>
      <c r="AO602" s="26">
        <f>IF(OR(I602="",AL602="",AM602=""),"",IF(AND(H602&gt;=AL602,H602&lt;=AM602),"Evet","HAYIR - Tarih Dışı"))</f>
        <v/>
      </c>
      <c r="AP602" s="28">
        <f>IF(I602="","",IFERROR(INDEX(Kampanyalar!$H$2:$H$150,MATCH(O602,Kampanyalar!$A$2:$A$150,0)),""))</f>
        <v/>
      </c>
      <c r="AQ602" s="28">
        <f>IF(I602="","",IF(ISNUMBER(AP602),AP602,AD602))</f>
        <v/>
      </c>
      <c r="AR602" s="26">
        <f>IF(I602="","",IF(Parametreler!$C$7="Evet","Kural A - Hemen Ödeme (Stok Mutabakatlı)","Kural B - Nakliye/Montaj Sonrası Ödeme"))</f>
        <v/>
      </c>
    </row>
    <row r="603">
      <c r="A603" s="23" t="n"/>
      <c r="B603" s="23" t="n"/>
      <c r="C603" s="23" t="n"/>
      <c r="D603" s="23" t="n"/>
      <c r="E603" s="23" t="n"/>
      <c r="F603" s="23" t="n"/>
      <c r="G603" s="23" t="n"/>
      <c r="H603" s="24" t="n"/>
      <c r="I603" s="23" t="n"/>
      <c r="J603" s="23" t="n"/>
      <c r="K603" s="23" t="n"/>
      <c r="L603" s="23" t="n"/>
      <c r="M603" s="23" t="n"/>
      <c r="N603" s="23" t="n"/>
      <c r="O603" s="23" t="n"/>
      <c r="P603" s="23" t="n"/>
      <c r="Q603" s="23" t="n"/>
      <c r="R603" s="23" t="n"/>
      <c r="S603" s="23" t="n"/>
      <c r="T603" s="23" t="n"/>
      <c r="U603" s="23" t="n"/>
      <c r="V603" s="23" t="n"/>
      <c r="W603" s="23" t="n"/>
      <c r="X603" s="23" t="n"/>
      <c r="Y603" s="25" t="n"/>
      <c r="Z603" s="25" t="n"/>
      <c r="AA603" s="23" t="n"/>
      <c r="AB603" s="25" t="n"/>
      <c r="AC603" s="23" t="n"/>
      <c r="AD603" s="25" t="n"/>
      <c r="AE603" s="23" t="n"/>
      <c r="AF603" s="25" t="n"/>
      <c r="AG603" s="25" t="n"/>
      <c r="AH603" s="23" t="n"/>
      <c r="AI603" s="23" t="n"/>
      <c r="AJ603" s="26">
        <f>IF(I603="","",I603&amp;"|"&amp;R603)</f>
        <v/>
      </c>
      <c r="AK603" s="26">
        <f>IF(I603="","",IF(ISNA(MATCH(O603,Kampanyalar!$A$2:$A$150,0)),"Hayır - Kampanyalar'da Yok","Evet"))</f>
        <v/>
      </c>
      <c r="AL603" s="27">
        <f>IF(I603="","",IFERROR(INDEX(Kampanyalar!$E$2:$E$150,MATCH(O603,Kampanyalar!$A$2:$A$150,0)),""))</f>
        <v/>
      </c>
      <c r="AM603" s="27">
        <f>IF(I603="","",IFERROR(INDEX(Kampanyalar!$F$2:$F$150,MATCH(O603,Kampanyalar!$A$2:$A$150,0)),""))</f>
        <v/>
      </c>
      <c r="AN603" s="27">
        <f>IF(I603="","",IFERROR(INDEX(Kampanyalar!$G$2:$G$150,MATCH(O603,Kampanyalar!$A$2:$A$150,0)),""))</f>
        <v/>
      </c>
      <c r="AO603" s="26">
        <f>IF(OR(I603="",AL603="",AM603=""),"",IF(AND(H603&gt;=AL603,H603&lt;=AM603),"Evet","HAYIR - Tarih Dışı"))</f>
        <v/>
      </c>
      <c r="AP603" s="28">
        <f>IF(I603="","",IFERROR(INDEX(Kampanyalar!$H$2:$H$150,MATCH(O603,Kampanyalar!$A$2:$A$150,0)),""))</f>
        <v/>
      </c>
      <c r="AQ603" s="28">
        <f>IF(I603="","",IF(ISNUMBER(AP603),AP603,AD603))</f>
        <v/>
      </c>
      <c r="AR603" s="26">
        <f>IF(I603="","",IF(Parametreler!$C$7="Evet","Kural A - Hemen Ödeme (Stok Mutabakatlı)","Kural B - Nakliye/Montaj Sonrası Ödeme"))</f>
        <v/>
      </c>
    </row>
    <row r="604">
      <c r="A604" s="23" t="n"/>
      <c r="B604" s="23" t="n"/>
      <c r="C604" s="23" t="n"/>
      <c r="D604" s="23" t="n"/>
      <c r="E604" s="23" t="n"/>
      <c r="F604" s="23" t="n"/>
      <c r="G604" s="23" t="n"/>
      <c r="H604" s="24" t="n"/>
      <c r="I604" s="23" t="n"/>
      <c r="J604" s="23" t="n"/>
      <c r="K604" s="23" t="n"/>
      <c r="L604" s="23" t="n"/>
      <c r="M604" s="23" t="n"/>
      <c r="N604" s="23" t="n"/>
      <c r="O604" s="23" t="n"/>
      <c r="P604" s="23" t="n"/>
      <c r="Q604" s="23" t="n"/>
      <c r="R604" s="23" t="n"/>
      <c r="S604" s="23" t="n"/>
      <c r="T604" s="23" t="n"/>
      <c r="U604" s="23" t="n"/>
      <c r="V604" s="23" t="n"/>
      <c r="W604" s="23" t="n"/>
      <c r="X604" s="23" t="n"/>
      <c r="Y604" s="25" t="n"/>
      <c r="Z604" s="25" t="n"/>
      <c r="AA604" s="23" t="n"/>
      <c r="AB604" s="25" t="n"/>
      <c r="AC604" s="23" t="n"/>
      <c r="AD604" s="25" t="n"/>
      <c r="AE604" s="23" t="n"/>
      <c r="AF604" s="25" t="n"/>
      <c r="AG604" s="25" t="n"/>
      <c r="AH604" s="23" t="n"/>
      <c r="AI604" s="23" t="n"/>
      <c r="AJ604" s="26">
        <f>IF(I604="","",I604&amp;"|"&amp;R604)</f>
        <v/>
      </c>
      <c r="AK604" s="26">
        <f>IF(I604="","",IF(ISNA(MATCH(O604,Kampanyalar!$A$2:$A$150,0)),"Hayır - Kampanyalar'da Yok","Evet"))</f>
        <v/>
      </c>
      <c r="AL604" s="27">
        <f>IF(I604="","",IFERROR(INDEX(Kampanyalar!$E$2:$E$150,MATCH(O604,Kampanyalar!$A$2:$A$150,0)),""))</f>
        <v/>
      </c>
      <c r="AM604" s="27">
        <f>IF(I604="","",IFERROR(INDEX(Kampanyalar!$F$2:$F$150,MATCH(O604,Kampanyalar!$A$2:$A$150,0)),""))</f>
        <v/>
      </c>
      <c r="AN604" s="27">
        <f>IF(I604="","",IFERROR(INDEX(Kampanyalar!$G$2:$G$150,MATCH(O604,Kampanyalar!$A$2:$A$150,0)),""))</f>
        <v/>
      </c>
      <c r="AO604" s="26">
        <f>IF(OR(I604="",AL604="",AM604=""),"",IF(AND(H604&gt;=AL604,H604&lt;=AM604),"Evet","HAYIR - Tarih Dışı"))</f>
        <v/>
      </c>
      <c r="AP604" s="28">
        <f>IF(I604="","",IFERROR(INDEX(Kampanyalar!$H$2:$H$150,MATCH(O604,Kampanyalar!$A$2:$A$150,0)),""))</f>
        <v/>
      </c>
      <c r="AQ604" s="28">
        <f>IF(I604="","",IF(ISNUMBER(AP604),AP604,AD604))</f>
        <v/>
      </c>
      <c r="AR604" s="26">
        <f>IF(I604="","",IF(Parametreler!$C$7="Evet","Kural A - Hemen Ödeme (Stok Mutabakatlı)","Kural B - Nakliye/Montaj Sonrası Ödeme"))</f>
        <v/>
      </c>
    </row>
    <row r="605">
      <c r="A605" s="23" t="n"/>
      <c r="B605" s="23" t="n"/>
      <c r="C605" s="23" t="n"/>
      <c r="D605" s="23" t="n"/>
      <c r="E605" s="23" t="n"/>
      <c r="F605" s="23" t="n"/>
      <c r="G605" s="23" t="n"/>
      <c r="H605" s="24" t="n"/>
      <c r="I605" s="23" t="n"/>
      <c r="J605" s="23" t="n"/>
      <c r="K605" s="23" t="n"/>
      <c r="L605" s="23" t="n"/>
      <c r="M605" s="23" t="n"/>
      <c r="N605" s="23" t="n"/>
      <c r="O605" s="23" t="n"/>
      <c r="P605" s="23" t="n"/>
      <c r="Q605" s="23" t="n"/>
      <c r="R605" s="23" t="n"/>
      <c r="S605" s="23" t="n"/>
      <c r="T605" s="23" t="n"/>
      <c r="U605" s="23" t="n"/>
      <c r="V605" s="23" t="n"/>
      <c r="W605" s="23" t="n"/>
      <c r="X605" s="23" t="n"/>
      <c r="Y605" s="25" t="n"/>
      <c r="Z605" s="25" t="n"/>
      <c r="AA605" s="23" t="n"/>
      <c r="AB605" s="25" t="n"/>
      <c r="AC605" s="23" t="n"/>
      <c r="AD605" s="25" t="n"/>
      <c r="AE605" s="23" t="n"/>
      <c r="AF605" s="25" t="n"/>
      <c r="AG605" s="25" t="n"/>
      <c r="AH605" s="23" t="n"/>
      <c r="AI605" s="23" t="n"/>
      <c r="AJ605" s="26">
        <f>IF(I605="","",I605&amp;"|"&amp;R605)</f>
        <v/>
      </c>
      <c r="AK605" s="26">
        <f>IF(I605="","",IF(ISNA(MATCH(O605,Kampanyalar!$A$2:$A$150,0)),"Hayır - Kampanyalar'da Yok","Evet"))</f>
        <v/>
      </c>
      <c r="AL605" s="27">
        <f>IF(I605="","",IFERROR(INDEX(Kampanyalar!$E$2:$E$150,MATCH(O605,Kampanyalar!$A$2:$A$150,0)),""))</f>
        <v/>
      </c>
      <c r="AM605" s="27">
        <f>IF(I605="","",IFERROR(INDEX(Kampanyalar!$F$2:$F$150,MATCH(O605,Kampanyalar!$A$2:$A$150,0)),""))</f>
        <v/>
      </c>
      <c r="AN605" s="27">
        <f>IF(I605="","",IFERROR(INDEX(Kampanyalar!$G$2:$G$150,MATCH(O605,Kampanyalar!$A$2:$A$150,0)),""))</f>
        <v/>
      </c>
      <c r="AO605" s="26">
        <f>IF(OR(I605="",AL605="",AM605=""),"",IF(AND(H605&gt;=AL605,H605&lt;=AM605),"Evet","HAYIR - Tarih Dışı"))</f>
        <v/>
      </c>
      <c r="AP605" s="28">
        <f>IF(I605="","",IFERROR(INDEX(Kampanyalar!$H$2:$H$150,MATCH(O605,Kampanyalar!$A$2:$A$150,0)),""))</f>
        <v/>
      </c>
      <c r="AQ605" s="28">
        <f>IF(I605="","",IF(ISNUMBER(AP605),AP605,AD605))</f>
        <v/>
      </c>
      <c r="AR605" s="26">
        <f>IF(I605="","",IF(Parametreler!$C$7="Evet","Kural A - Hemen Ödeme (Stok Mutabakatlı)","Kural B - Nakliye/Montaj Sonrası Ödeme"))</f>
        <v/>
      </c>
    </row>
    <row r="606">
      <c r="A606" s="23" t="n"/>
      <c r="B606" s="23" t="n"/>
      <c r="C606" s="23" t="n"/>
      <c r="D606" s="23" t="n"/>
      <c r="E606" s="23" t="n"/>
      <c r="F606" s="23" t="n"/>
      <c r="G606" s="23" t="n"/>
      <c r="H606" s="24" t="n"/>
      <c r="I606" s="23" t="n"/>
      <c r="J606" s="23" t="n"/>
      <c r="K606" s="23" t="n"/>
      <c r="L606" s="23" t="n"/>
      <c r="M606" s="23" t="n"/>
      <c r="N606" s="23" t="n"/>
      <c r="O606" s="23" t="n"/>
      <c r="P606" s="23" t="n"/>
      <c r="Q606" s="23" t="n"/>
      <c r="R606" s="23" t="n"/>
      <c r="S606" s="23" t="n"/>
      <c r="T606" s="23" t="n"/>
      <c r="U606" s="23" t="n"/>
      <c r="V606" s="23" t="n"/>
      <c r="W606" s="23" t="n"/>
      <c r="X606" s="23" t="n"/>
      <c r="Y606" s="25" t="n"/>
      <c r="Z606" s="25" t="n"/>
      <c r="AA606" s="23" t="n"/>
      <c r="AB606" s="25" t="n"/>
      <c r="AC606" s="23" t="n"/>
      <c r="AD606" s="25" t="n"/>
      <c r="AE606" s="23" t="n"/>
      <c r="AF606" s="25" t="n"/>
      <c r="AG606" s="25" t="n"/>
      <c r="AH606" s="23" t="n"/>
      <c r="AI606" s="23" t="n"/>
      <c r="AJ606" s="26">
        <f>IF(I606="","",I606&amp;"|"&amp;R606)</f>
        <v/>
      </c>
      <c r="AK606" s="26">
        <f>IF(I606="","",IF(ISNA(MATCH(O606,Kampanyalar!$A$2:$A$150,0)),"Hayır - Kampanyalar'da Yok","Evet"))</f>
        <v/>
      </c>
      <c r="AL606" s="27">
        <f>IF(I606="","",IFERROR(INDEX(Kampanyalar!$E$2:$E$150,MATCH(O606,Kampanyalar!$A$2:$A$150,0)),""))</f>
        <v/>
      </c>
      <c r="AM606" s="27">
        <f>IF(I606="","",IFERROR(INDEX(Kampanyalar!$F$2:$F$150,MATCH(O606,Kampanyalar!$A$2:$A$150,0)),""))</f>
        <v/>
      </c>
      <c r="AN606" s="27">
        <f>IF(I606="","",IFERROR(INDEX(Kampanyalar!$G$2:$G$150,MATCH(O606,Kampanyalar!$A$2:$A$150,0)),""))</f>
        <v/>
      </c>
      <c r="AO606" s="26">
        <f>IF(OR(I606="",AL606="",AM606=""),"",IF(AND(H606&gt;=AL606,H606&lt;=AM606),"Evet","HAYIR - Tarih Dışı"))</f>
        <v/>
      </c>
      <c r="AP606" s="28">
        <f>IF(I606="","",IFERROR(INDEX(Kampanyalar!$H$2:$H$150,MATCH(O606,Kampanyalar!$A$2:$A$150,0)),""))</f>
        <v/>
      </c>
      <c r="AQ606" s="28">
        <f>IF(I606="","",IF(ISNUMBER(AP606),AP606,AD606))</f>
        <v/>
      </c>
      <c r="AR606" s="26">
        <f>IF(I606="","",IF(Parametreler!$C$7="Evet","Kural A - Hemen Ödeme (Stok Mutabakatlı)","Kural B - Nakliye/Montaj Sonrası Ödeme"))</f>
        <v/>
      </c>
    </row>
    <row r="607">
      <c r="A607" s="23" t="n"/>
      <c r="B607" s="23" t="n"/>
      <c r="C607" s="23" t="n"/>
      <c r="D607" s="23" t="n"/>
      <c r="E607" s="23" t="n"/>
      <c r="F607" s="23" t="n"/>
      <c r="G607" s="23" t="n"/>
      <c r="H607" s="24" t="n"/>
      <c r="I607" s="23" t="n"/>
      <c r="J607" s="23" t="n"/>
      <c r="K607" s="23" t="n"/>
      <c r="L607" s="23" t="n"/>
      <c r="M607" s="23" t="n"/>
      <c r="N607" s="23" t="n"/>
      <c r="O607" s="23" t="n"/>
      <c r="P607" s="23" t="n"/>
      <c r="Q607" s="23" t="n"/>
      <c r="R607" s="23" t="n"/>
      <c r="S607" s="23" t="n"/>
      <c r="T607" s="23" t="n"/>
      <c r="U607" s="23" t="n"/>
      <c r="V607" s="23" t="n"/>
      <c r="W607" s="23" t="n"/>
      <c r="X607" s="23" t="n"/>
      <c r="Y607" s="25" t="n"/>
      <c r="Z607" s="25" t="n"/>
      <c r="AA607" s="23" t="n"/>
      <c r="AB607" s="25" t="n"/>
      <c r="AC607" s="23" t="n"/>
      <c r="AD607" s="25" t="n"/>
      <c r="AE607" s="23" t="n"/>
      <c r="AF607" s="25" t="n"/>
      <c r="AG607" s="25" t="n"/>
      <c r="AH607" s="23" t="n"/>
      <c r="AI607" s="23" t="n"/>
      <c r="AJ607" s="26">
        <f>IF(I607="","",I607&amp;"|"&amp;R607)</f>
        <v/>
      </c>
      <c r="AK607" s="26">
        <f>IF(I607="","",IF(ISNA(MATCH(O607,Kampanyalar!$A$2:$A$150,0)),"Hayır - Kampanyalar'da Yok","Evet"))</f>
        <v/>
      </c>
      <c r="AL607" s="27">
        <f>IF(I607="","",IFERROR(INDEX(Kampanyalar!$E$2:$E$150,MATCH(O607,Kampanyalar!$A$2:$A$150,0)),""))</f>
        <v/>
      </c>
      <c r="AM607" s="27">
        <f>IF(I607="","",IFERROR(INDEX(Kampanyalar!$F$2:$F$150,MATCH(O607,Kampanyalar!$A$2:$A$150,0)),""))</f>
        <v/>
      </c>
      <c r="AN607" s="27">
        <f>IF(I607="","",IFERROR(INDEX(Kampanyalar!$G$2:$G$150,MATCH(O607,Kampanyalar!$A$2:$A$150,0)),""))</f>
        <v/>
      </c>
      <c r="AO607" s="26">
        <f>IF(OR(I607="",AL607="",AM607=""),"",IF(AND(H607&gt;=AL607,H607&lt;=AM607),"Evet","HAYIR - Tarih Dışı"))</f>
        <v/>
      </c>
      <c r="AP607" s="28">
        <f>IF(I607="","",IFERROR(INDEX(Kampanyalar!$H$2:$H$150,MATCH(O607,Kampanyalar!$A$2:$A$150,0)),""))</f>
        <v/>
      </c>
      <c r="AQ607" s="28">
        <f>IF(I607="","",IF(ISNUMBER(AP607),AP607,AD607))</f>
        <v/>
      </c>
      <c r="AR607" s="26">
        <f>IF(I607="","",IF(Parametreler!$C$7="Evet","Kural A - Hemen Ödeme (Stok Mutabakatlı)","Kural B - Nakliye/Montaj Sonrası Ödeme"))</f>
        <v/>
      </c>
    </row>
    <row r="608">
      <c r="A608" s="23" t="n"/>
      <c r="B608" s="23" t="n"/>
      <c r="C608" s="23" t="n"/>
      <c r="D608" s="23" t="n"/>
      <c r="E608" s="23" t="n"/>
      <c r="F608" s="23" t="n"/>
      <c r="G608" s="23" t="n"/>
      <c r="H608" s="24" t="n"/>
      <c r="I608" s="23" t="n"/>
      <c r="J608" s="23" t="n"/>
      <c r="K608" s="23" t="n"/>
      <c r="L608" s="23" t="n"/>
      <c r="M608" s="23" t="n"/>
      <c r="N608" s="23" t="n"/>
      <c r="O608" s="23" t="n"/>
      <c r="P608" s="23" t="n"/>
      <c r="Q608" s="23" t="n"/>
      <c r="R608" s="23" t="n"/>
      <c r="S608" s="23" t="n"/>
      <c r="T608" s="23" t="n"/>
      <c r="U608" s="23" t="n"/>
      <c r="V608" s="23" t="n"/>
      <c r="W608" s="23" t="n"/>
      <c r="X608" s="23" t="n"/>
      <c r="Y608" s="25" t="n"/>
      <c r="Z608" s="25" t="n"/>
      <c r="AA608" s="23" t="n"/>
      <c r="AB608" s="25" t="n"/>
      <c r="AC608" s="23" t="n"/>
      <c r="AD608" s="25" t="n"/>
      <c r="AE608" s="23" t="n"/>
      <c r="AF608" s="25" t="n"/>
      <c r="AG608" s="25" t="n"/>
      <c r="AH608" s="23" t="n"/>
      <c r="AI608" s="23" t="n"/>
      <c r="AJ608" s="26">
        <f>IF(I608="","",I608&amp;"|"&amp;R608)</f>
        <v/>
      </c>
      <c r="AK608" s="26">
        <f>IF(I608="","",IF(ISNA(MATCH(O608,Kampanyalar!$A$2:$A$150,0)),"Hayır - Kampanyalar'da Yok","Evet"))</f>
        <v/>
      </c>
      <c r="AL608" s="27">
        <f>IF(I608="","",IFERROR(INDEX(Kampanyalar!$E$2:$E$150,MATCH(O608,Kampanyalar!$A$2:$A$150,0)),""))</f>
        <v/>
      </c>
      <c r="AM608" s="27">
        <f>IF(I608="","",IFERROR(INDEX(Kampanyalar!$F$2:$F$150,MATCH(O608,Kampanyalar!$A$2:$A$150,0)),""))</f>
        <v/>
      </c>
      <c r="AN608" s="27">
        <f>IF(I608="","",IFERROR(INDEX(Kampanyalar!$G$2:$G$150,MATCH(O608,Kampanyalar!$A$2:$A$150,0)),""))</f>
        <v/>
      </c>
      <c r="AO608" s="26">
        <f>IF(OR(I608="",AL608="",AM608=""),"",IF(AND(H608&gt;=AL608,H608&lt;=AM608),"Evet","HAYIR - Tarih Dışı"))</f>
        <v/>
      </c>
      <c r="AP608" s="28">
        <f>IF(I608="","",IFERROR(INDEX(Kampanyalar!$H$2:$H$150,MATCH(O608,Kampanyalar!$A$2:$A$150,0)),""))</f>
        <v/>
      </c>
      <c r="AQ608" s="28">
        <f>IF(I608="","",IF(ISNUMBER(AP608),AP608,AD608))</f>
        <v/>
      </c>
      <c r="AR608" s="26">
        <f>IF(I608="","",IF(Parametreler!$C$7="Evet","Kural A - Hemen Ödeme (Stok Mutabakatlı)","Kural B - Nakliye/Montaj Sonrası Ödeme"))</f>
        <v/>
      </c>
    </row>
    <row r="609">
      <c r="A609" s="23" t="n"/>
      <c r="B609" s="23" t="n"/>
      <c r="C609" s="23" t="n"/>
      <c r="D609" s="23" t="n"/>
      <c r="E609" s="23" t="n"/>
      <c r="F609" s="23" t="n"/>
      <c r="G609" s="23" t="n"/>
      <c r="H609" s="24" t="n"/>
      <c r="I609" s="23" t="n"/>
      <c r="J609" s="23" t="n"/>
      <c r="K609" s="23" t="n"/>
      <c r="L609" s="23" t="n"/>
      <c r="M609" s="23" t="n"/>
      <c r="N609" s="23" t="n"/>
      <c r="O609" s="23" t="n"/>
      <c r="P609" s="23" t="n"/>
      <c r="Q609" s="23" t="n"/>
      <c r="R609" s="23" t="n"/>
      <c r="S609" s="23" t="n"/>
      <c r="T609" s="23" t="n"/>
      <c r="U609" s="23" t="n"/>
      <c r="V609" s="23" t="n"/>
      <c r="W609" s="23" t="n"/>
      <c r="X609" s="23" t="n"/>
      <c r="Y609" s="25" t="n"/>
      <c r="Z609" s="25" t="n"/>
      <c r="AA609" s="23" t="n"/>
      <c r="AB609" s="25" t="n"/>
      <c r="AC609" s="23" t="n"/>
      <c r="AD609" s="25" t="n"/>
      <c r="AE609" s="23" t="n"/>
      <c r="AF609" s="25" t="n"/>
      <c r="AG609" s="25" t="n"/>
      <c r="AH609" s="23" t="n"/>
      <c r="AI609" s="23" t="n"/>
      <c r="AJ609" s="26">
        <f>IF(I609="","",I609&amp;"|"&amp;R609)</f>
        <v/>
      </c>
      <c r="AK609" s="26">
        <f>IF(I609="","",IF(ISNA(MATCH(O609,Kampanyalar!$A$2:$A$150,0)),"Hayır - Kampanyalar'da Yok","Evet"))</f>
        <v/>
      </c>
      <c r="AL609" s="27">
        <f>IF(I609="","",IFERROR(INDEX(Kampanyalar!$E$2:$E$150,MATCH(O609,Kampanyalar!$A$2:$A$150,0)),""))</f>
        <v/>
      </c>
      <c r="AM609" s="27">
        <f>IF(I609="","",IFERROR(INDEX(Kampanyalar!$F$2:$F$150,MATCH(O609,Kampanyalar!$A$2:$A$150,0)),""))</f>
        <v/>
      </c>
      <c r="AN609" s="27">
        <f>IF(I609="","",IFERROR(INDEX(Kampanyalar!$G$2:$G$150,MATCH(O609,Kampanyalar!$A$2:$A$150,0)),""))</f>
        <v/>
      </c>
      <c r="AO609" s="26">
        <f>IF(OR(I609="",AL609="",AM609=""),"",IF(AND(H609&gt;=AL609,H609&lt;=AM609),"Evet","HAYIR - Tarih Dışı"))</f>
        <v/>
      </c>
      <c r="AP609" s="28">
        <f>IF(I609="","",IFERROR(INDEX(Kampanyalar!$H$2:$H$150,MATCH(O609,Kampanyalar!$A$2:$A$150,0)),""))</f>
        <v/>
      </c>
      <c r="AQ609" s="28">
        <f>IF(I609="","",IF(ISNUMBER(AP609),AP609,AD609))</f>
        <v/>
      </c>
      <c r="AR609" s="26">
        <f>IF(I609="","",IF(Parametreler!$C$7="Evet","Kural A - Hemen Ödeme (Stok Mutabakatlı)","Kural B - Nakliye/Montaj Sonrası Ödeme"))</f>
        <v/>
      </c>
    </row>
    <row r="610">
      <c r="A610" s="23" t="n"/>
      <c r="B610" s="23" t="n"/>
      <c r="C610" s="23" t="n"/>
      <c r="D610" s="23" t="n"/>
      <c r="E610" s="23" t="n"/>
      <c r="F610" s="23" t="n"/>
      <c r="G610" s="23" t="n"/>
      <c r="H610" s="24" t="n"/>
      <c r="I610" s="23" t="n"/>
      <c r="J610" s="23" t="n"/>
      <c r="K610" s="23" t="n"/>
      <c r="L610" s="23" t="n"/>
      <c r="M610" s="23" t="n"/>
      <c r="N610" s="23" t="n"/>
      <c r="O610" s="23" t="n"/>
      <c r="P610" s="23" t="n"/>
      <c r="Q610" s="23" t="n"/>
      <c r="R610" s="23" t="n"/>
      <c r="S610" s="23" t="n"/>
      <c r="T610" s="23" t="n"/>
      <c r="U610" s="23" t="n"/>
      <c r="V610" s="23" t="n"/>
      <c r="W610" s="23" t="n"/>
      <c r="X610" s="23" t="n"/>
      <c r="Y610" s="25" t="n"/>
      <c r="Z610" s="25" t="n"/>
      <c r="AA610" s="23" t="n"/>
      <c r="AB610" s="25" t="n"/>
      <c r="AC610" s="23" t="n"/>
      <c r="AD610" s="25" t="n"/>
      <c r="AE610" s="23" t="n"/>
      <c r="AF610" s="25" t="n"/>
      <c r="AG610" s="25" t="n"/>
      <c r="AH610" s="23" t="n"/>
      <c r="AI610" s="23" t="n"/>
      <c r="AJ610" s="26">
        <f>IF(I610="","",I610&amp;"|"&amp;R610)</f>
        <v/>
      </c>
      <c r="AK610" s="26">
        <f>IF(I610="","",IF(ISNA(MATCH(O610,Kampanyalar!$A$2:$A$150,0)),"Hayır - Kampanyalar'da Yok","Evet"))</f>
        <v/>
      </c>
      <c r="AL610" s="27">
        <f>IF(I610="","",IFERROR(INDEX(Kampanyalar!$E$2:$E$150,MATCH(O610,Kampanyalar!$A$2:$A$150,0)),""))</f>
        <v/>
      </c>
      <c r="AM610" s="27">
        <f>IF(I610="","",IFERROR(INDEX(Kampanyalar!$F$2:$F$150,MATCH(O610,Kampanyalar!$A$2:$A$150,0)),""))</f>
        <v/>
      </c>
      <c r="AN610" s="27">
        <f>IF(I610="","",IFERROR(INDEX(Kampanyalar!$G$2:$G$150,MATCH(O610,Kampanyalar!$A$2:$A$150,0)),""))</f>
        <v/>
      </c>
      <c r="AO610" s="26">
        <f>IF(OR(I610="",AL610="",AM610=""),"",IF(AND(H610&gt;=AL610,H610&lt;=AM610),"Evet","HAYIR - Tarih Dışı"))</f>
        <v/>
      </c>
      <c r="AP610" s="28">
        <f>IF(I610="","",IFERROR(INDEX(Kampanyalar!$H$2:$H$150,MATCH(O610,Kampanyalar!$A$2:$A$150,0)),""))</f>
        <v/>
      </c>
      <c r="AQ610" s="28">
        <f>IF(I610="","",IF(ISNUMBER(AP610),AP610,AD610))</f>
        <v/>
      </c>
      <c r="AR610" s="26">
        <f>IF(I610="","",IF(Parametreler!$C$7="Evet","Kural A - Hemen Ödeme (Stok Mutabakatlı)","Kural B - Nakliye/Montaj Sonrası Ödeme"))</f>
        <v/>
      </c>
    </row>
    <row r="611">
      <c r="A611" s="23" t="n"/>
      <c r="B611" s="23" t="n"/>
      <c r="C611" s="23" t="n"/>
      <c r="D611" s="23" t="n"/>
      <c r="E611" s="23" t="n"/>
      <c r="F611" s="23" t="n"/>
      <c r="G611" s="23" t="n"/>
      <c r="H611" s="24" t="n"/>
      <c r="I611" s="23" t="n"/>
      <c r="J611" s="23" t="n"/>
      <c r="K611" s="23" t="n"/>
      <c r="L611" s="23" t="n"/>
      <c r="M611" s="23" t="n"/>
      <c r="N611" s="23" t="n"/>
      <c r="O611" s="23" t="n"/>
      <c r="P611" s="23" t="n"/>
      <c r="Q611" s="23" t="n"/>
      <c r="R611" s="23" t="n"/>
      <c r="S611" s="23" t="n"/>
      <c r="T611" s="23" t="n"/>
      <c r="U611" s="23" t="n"/>
      <c r="V611" s="23" t="n"/>
      <c r="W611" s="23" t="n"/>
      <c r="X611" s="23" t="n"/>
      <c r="Y611" s="25" t="n"/>
      <c r="Z611" s="25" t="n"/>
      <c r="AA611" s="23" t="n"/>
      <c r="AB611" s="25" t="n"/>
      <c r="AC611" s="23" t="n"/>
      <c r="AD611" s="25" t="n"/>
      <c r="AE611" s="23" t="n"/>
      <c r="AF611" s="25" t="n"/>
      <c r="AG611" s="25" t="n"/>
      <c r="AH611" s="23" t="n"/>
      <c r="AI611" s="23" t="n"/>
      <c r="AJ611" s="26">
        <f>IF(I611="","",I611&amp;"|"&amp;R611)</f>
        <v/>
      </c>
      <c r="AK611" s="26">
        <f>IF(I611="","",IF(ISNA(MATCH(O611,Kampanyalar!$A$2:$A$150,0)),"Hayır - Kampanyalar'da Yok","Evet"))</f>
        <v/>
      </c>
      <c r="AL611" s="27">
        <f>IF(I611="","",IFERROR(INDEX(Kampanyalar!$E$2:$E$150,MATCH(O611,Kampanyalar!$A$2:$A$150,0)),""))</f>
        <v/>
      </c>
      <c r="AM611" s="27">
        <f>IF(I611="","",IFERROR(INDEX(Kampanyalar!$F$2:$F$150,MATCH(O611,Kampanyalar!$A$2:$A$150,0)),""))</f>
        <v/>
      </c>
      <c r="AN611" s="27">
        <f>IF(I611="","",IFERROR(INDEX(Kampanyalar!$G$2:$G$150,MATCH(O611,Kampanyalar!$A$2:$A$150,0)),""))</f>
        <v/>
      </c>
      <c r="AO611" s="26">
        <f>IF(OR(I611="",AL611="",AM611=""),"",IF(AND(H611&gt;=AL611,H611&lt;=AM611),"Evet","HAYIR - Tarih Dışı"))</f>
        <v/>
      </c>
      <c r="AP611" s="28">
        <f>IF(I611="","",IFERROR(INDEX(Kampanyalar!$H$2:$H$150,MATCH(O611,Kampanyalar!$A$2:$A$150,0)),""))</f>
        <v/>
      </c>
      <c r="AQ611" s="28">
        <f>IF(I611="","",IF(ISNUMBER(AP611),AP611,AD611))</f>
        <v/>
      </c>
      <c r="AR611" s="26">
        <f>IF(I611="","",IF(Parametreler!$C$7="Evet","Kural A - Hemen Ödeme (Stok Mutabakatlı)","Kural B - Nakliye/Montaj Sonrası Ödeme"))</f>
        <v/>
      </c>
    </row>
    <row r="612">
      <c r="A612" s="23" t="n"/>
      <c r="B612" s="23" t="n"/>
      <c r="C612" s="23" t="n"/>
      <c r="D612" s="23" t="n"/>
      <c r="E612" s="23" t="n"/>
      <c r="F612" s="23" t="n"/>
      <c r="G612" s="23" t="n"/>
      <c r="H612" s="24" t="n"/>
      <c r="I612" s="23" t="n"/>
      <c r="J612" s="23" t="n"/>
      <c r="K612" s="23" t="n"/>
      <c r="L612" s="23" t="n"/>
      <c r="M612" s="23" t="n"/>
      <c r="N612" s="23" t="n"/>
      <c r="O612" s="23" t="n"/>
      <c r="P612" s="23" t="n"/>
      <c r="Q612" s="23" t="n"/>
      <c r="R612" s="23" t="n"/>
      <c r="S612" s="23" t="n"/>
      <c r="T612" s="23" t="n"/>
      <c r="U612" s="23" t="n"/>
      <c r="V612" s="23" t="n"/>
      <c r="W612" s="23" t="n"/>
      <c r="X612" s="23" t="n"/>
      <c r="Y612" s="25" t="n"/>
      <c r="Z612" s="25" t="n"/>
      <c r="AA612" s="23" t="n"/>
      <c r="AB612" s="25" t="n"/>
      <c r="AC612" s="23" t="n"/>
      <c r="AD612" s="25" t="n"/>
      <c r="AE612" s="23" t="n"/>
      <c r="AF612" s="25" t="n"/>
      <c r="AG612" s="25" t="n"/>
      <c r="AH612" s="23" t="n"/>
      <c r="AI612" s="23" t="n"/>
      <c r="AJ612" s="26">
        <f>IF(I612="","",I612&amp;"|"&amp;R612)</f>
        <v/>
      </c>
      <c r="AK612" s="26">
        <f>IF(I612="","",IF(ISNA(MATCH(O612,Kampanyalar!$A$2:$A$150,0)),"Hayır - Kampanyalar'da Yok","Evet"))</f>
        <v/>
      </c>
      <c r="AL612" s="27">
        <f>IF(I612="","",IFERROR(INDEX(Kampanyalar!$E$2:$E$150,MATCH(O612,Kampanyalar!$A$2:$A$150,0)),""))</f>
        <v/>
      </c>
      <c r="AM612" s="27">
        <f>IF(I612="","",IFERROR(INDEX(Kampanyalar!$F$2:$F$150,MATCH(O612,Kampanyalar!$A$2:$A$150,0)),""))</f>
        <v/>
      </c>
      <c r="AN612" s="27">
        <f>IF(I612="","",IFERROR(INDEX(Kampanyalar!$G$2:$G$150,MATCH(O612,Kampanyalar!$A$2:$A$150,0)),""))</f>
        <v/>
      </c>
      <c r="AO612" s="26">
        <f>IF(OR(I612="",AL612="",AM612=""),"",IF(AND(H612&gt;=AL612,H612&lt;=AM612),"Evet","HAYIR - Tarih Dışı"))</f>
        <v/>
      </c>
      <c r="AP612" s="28">
        <f>IF(I612="","",IFERROR(INDEX(Kampanyalar!$H$2:$H$150,MATCH(O612,Kampanyalar!$A$2:$A$150,0)),""))</f>
        <v/>
      </c>
      <c r="AQ612" s="28">
        <f>IF(I612="","",IF(ISNUMBER(AP612),AP612,AD612))</f>
        <v/>
      </c>
      <c r="AR612" s="26">
        <f>IF(I612="","",IF(Parametreler!$C$7="Evet","Kural A - Hemen Ödeme (Stok Mutabakatlı)","Kural B - Nakliye/Montaj Sonrası Ödeme"))</f>
        <v/>
      </c>
    </row>
    <row r="613">
      <c r="A613" s="23" t="n"/>
      <c r="B613" s="23" t="n"/>
      <c r="C613" s="23" t="n"/>
      <c r="D613" s="23" t="n"/>
      <c r="E613" s="23" t="n"/>
      <c r="F613" s="23" t="n"/>
      <c r="G613" s="23" t="n"/>
      <c r="H613" s="24" t="n"/>
      <c r="I613" s="23" t="n"/>
      <c r="J613" s="23" t="n"/>
      <c r="K613" s="23" t="n"/>
      <c r="L613" s="23" t="n"/>
      <c r="M613" s="23" t="n"/>
      <c r="N613" s="23" t="n"/>
      <c r="O613" s="23" t="n"/>
      <c r="P613" s="23" t="n"/>
      <c r="Q613" s="23" t="n"/>
      <c r="R613" s="23" t="n"/>
      <c r="S613" s="23" t="n"/>
      <c r="T613" s="23" t="n"/>
      <c r="U613" s="23" t="n"/>
      <c r="V613" s="23" t="n"/>
      <c r="W613" s="23" t="n"/>
      <c r="X613" s="23" t="n"/>
      <c r="Y613" s="25" t="n"/>
      <c r="Z613" s="25" t="n"/>
      <c r="AA613" s="23" t="n"/>
      <c r="AB613" s="25" t="n"/>
      <c r="AC613" s="23" t="n"/>
      <c r="AD613" s="25" t="n"/>
      <c r="AE613" s="23" t="n"/>
      <c r="AF613" s="25" t="n"/>
      <c r="AG613" s="25" t="n"/>
      <c r="AH613" s="23" t="n"/>
      <c r="AI613" s="23" t="n"/>
      <c r="AJ613" s="26">
        <f>IF(I613="","",I613&amp;"|"&amp;R613)</f>
        <v/>
      </c>
      <c r="AK613" s="26">
        <f>IF(I613="","",IF(ISNA(MATCH(O613,Kampanyalar!$A$2:$A$150,0)),"Hayır - Kampanyalar'da Yok","Evet"))</f>
        <v/>
      </c>
      <c r="AL613" s="27">
        <f>IF(I613="","",IFERROR(INDEX(Kampanyalar!$E$2:$E$150,MATCH(O613,Kampanyalar!$A$2:$A$150,0)),""))</f>
        <v/>
      </c>
      <c r="AM613" s="27">
        <f>IF(I613="","",IFERROR(INDEX(Kampanyalar!$F$2:$F$150,MATCH(O613,Kampanyalar!$A$2:$A$150,0)),""))</f>
        <v/>
      </c>
      <c r="AN613" s="27">
        <f>IF(I613="","",IFERROR(INDEX(Kampanyalar!$G$2:$G$150,MATCH(O613,Kampanyalar!$A$2:$A$150,0)),""))</f>
        <v/>
      </c>
      <c r="AO613" s="26">
        <f>IF(OR(I613="",AL613="",AM613=""),"",IF(AND(H613&gt;=AL613,H613&lt;=AM613),"Evet","HAYIR - Tarih Dışı"))</f>
        <v/>
      </c>
      <c r="AP613" s="28">
        <f>IF(I613="","",IFERROR(INDEX(Kampanyalar!$H$2:$H$150,MATCH(O613,Kampanyalar!$A$2:$A$150,0)),""))</f>
        <v/>
      </c>
      <c r="AQ613" s="28">
        <f>IF(I613="","",IF(ISNUMBER(AP613),AP613,AD613))</f>
        <v/>
      </c>
      <c r="AR613" s="26">
        <f>IF(I613="","",IF(Parametreler!$C$7="Evet","Kural A - Hemen Ödeme (Stok Mutabakatlı)","Kural B - Nakliye/Montaj Sonrası Ödeme"))</f>
        <v/>
      </c>
    </row>
    <row r="614">
      <c r="A614" s="23" t="n"/>
      <c r="B614" s="23" t="n"/>
      <c r="C614" s="23" t="n"/>
      <c r="D614" s="23" t="n"/>
      <c r="E614" s="23" t="n"/>
      <c r="F614" s="23" t="n"/>
      <c r="G614" s="23" t="n"/>
      <c r="H614" s="24" t="n"/>
      <c r="I614" s="23" t="n"/>
      <c r="J614" s="23" t="n"/>
      <c r="K614" s="23" t="n"/>
      <c r="L614" s="23" t="n"/>
      <c r="M614" s="23" t="n"/>
      <c r="N614" s="23" t="n"/>
      <c r="O614" s="23" t="n"/>
      <c r="P614" s="23" t="n"/>
      <c r="Q614" s="23" t="n"/>
      <c r="R614" s="23" t="n"/>
      <c r="S614" s="23" t="n"/>
      <c r="T614" s="23" t="n"/>
      <c r="U614" s="23" t="n"/>
      <c r="V614" s="23" t="n"/>
      <c r="W614" s="23" t="n"/>
      <c r="X614" s="23" t="n"/>
      <c r="Y614" s="25" t="n"/>
      <c r="Z614" s="25" t="n"/>
      <c r="AA614" s="23" t="n"/>
      <c r="AB614" s="25" t="n"/>
      <c r="AC614" s="23" t="n"/>
      <c r="AD614" s="25" t="n"/>
      <c r="AE614" s="23" t="n"/>
      <c r="AF614" s="25" t="n"/>
      <c r="AG614" s="25" t="n"/>
      <c r="AH614" s="23" t="n"/>
      <c r="AI614" s="23" t="n"/>
      <c r="AJ614" s="26">
        <f>IF(I614="","",I614&amp;"|"&amp;R614)</f>
        <v/>
      </c>
      <c r="AK614" s="26">
        <f>IF(I614="","",IF(ISNA(MATCH(O614,Kampanyalar!$A$2:$A$150,0)),"Hayır - Kampanyalar'da Yok","Evet"))</f>
        <v/>
      </c>
      <c r="AL614" s="27">
        <f>IF(I614="","",IFERROR(INDEX(Kampanyalar!$E$2:$E$150,MATCH(O614,Kampanyalar!$A$2:$A$150,0)),""))</f>
        <v/>
      </c>
      <c r="AM614" s="27">
        <f>IF(I614="","",IFERROR(INDEX(Kampanyalar!$F$2:$F$150,MATCH(O614,Kampanyalar!$A$2:$A$150,0)),""))</f>
        <v/>
      </c>
      <c r="AN614" s="27">
        <f>IF(I614="","",IFERROR(INDEX(Kampanyalar!$G$2:$G$150,MATCH(O614,Kampanyalar!$A$2:$A$150,0)),""))</f>
        <v/>
      </c>
      <c r="AO614" s="26">
        <f>IF(OR(I614="",AL614="",AM614=""),"",IF(AND(H614&gt;=AL614,H614&lt;=AM614),"Evet","HAYIR - Tarih Dışı"))</f>
        <v/>
      </c>
      <c r="AP614" s="28">
        <f>IF(I614="","",IFERROR(INDEX(Kampanyalar!$H$2:$H$150,MATCH(O614,Kampanyalar!$A$2:$A$150,0)),""))</f>
        <v/>
      </c>
      <c r="AQ614" s="28">
        <f>IF(I614="","",IF(ISNUMBER(AP614),AP614,AD614))</f>
        <v/>
      </c>
      <c r="AR614" s="26">
        <f>IF(I614="","",IF(Parametreler!$C$7="Evet","Kural A - Hemen Ödeme (Stok Mutabakatlı)","Kural B - Nakliye/Montaj Sonrası Ödeme"))</f>
        <v/>
      </c>
    </row>
    <row r="615">
      <c r="A615" s="23" t="n"/>
      <c r="B615" s="23" t="n"/>
      <c r="C615" s="23" t="n"/>
      <c r="D615" s="23" t="n"/>
      <c r="E615" s="23" t="n"/>
      <c r="F615" s="23" t="n"/>
      <c r="G615" s="23" t="n"/>
      <c r="H615" s="24" t="n"/>
      <c r="I615" s="23" t="n"/>
      <c r="J615" s="23" t="n"/>
      <c r="K615" s="23" t="n"/>
      <c r="L615" s="23" t="n"/>
      <c r="M615" s="23" t="n"/>
      <c r="N615" s="23" t="n"/>
      <c r="O615" s="23" t="n"/>
      <c r="P615" s="23" t="n"/>
      <c r="Q615" s="23" t="n"/>
      <c r="R615" s="23" t="n"/>
      <c r="S615" s="23" t="n"/>
      <c r="T615" s="23" t="n"/>
      <c r="U615" s="23" t="n"/>
      <c r="V615" s="23" t="n"/>
      <c r="W615" s="23" t="n"/>
      <c r="X615" s="23" t="n"/>
      <c r="Y615" s="25" t="n"/>
      <c r="Z615" s="25" t="n"/>
      <c r="AA615" s="23" t="n"/>
      <c r="AB615" s="25" t="n"/>
      <c r="AC615" s="23" t="n"/>
      <c r="AD615" s="25" t="n"/>
      <c r="AE615" s="23" t="n"/>
      <c r="AF615" s="25" t="n"/>
      <c r="AG615" s="25" t="n"/>
      <c r="AH615" s="23" t="n"/>
      <c r="AI615" s="23" t="n"/>
      <c r="AJ615" s="26">
        <f>IF(I615="","",I615&amp;"|"&amp;R615)</f>
        <v/>
      </c>
      <c r="AK615" s="26">
        <f>IF(I615="","",IF(ISNA(MATCH(O615,Kampanyalar!$A$2:$A$150,0)),"Hayır - Kampanyalar'da Yok","Evet"))</f>
        <v/>
      </c>
      <c r="AL615" s="27">
        <f>IF(I615="","",IFERROR(INDEX(Kampanyalar!$E$2:$E$150,MATCH(O615,Kampanyalar!$A$2:$A$150,0)),""))</f>
        <v/>
      </c>
      <c r="AM615" s="27">
        <f>IF(I615="","",IFERROR(INDEX(Kampanyalar!$F$2:$F$150,MATCH(O615,Kampanyalar!$A$2:$A$150,0)),""))</f>
        <v/>
      </c>
      <c r="AN615" s="27">
        <f>IF(I615="","",IFERROR(INDEX(Kampanyalar!$G$2:$G$150,MATCH(O615,Kampanyalar!$A$2:$A$150,0)),""))</f>
        <v/>
      </c>
      <c r="AO615" s="26">
        <f>IF(OR(I615="",AL615="",AM615=""),"",IF(AND(H615&gt;=AL615,H615&lt;=AM615),"Evet","HAYIR - Tarih Dışı"))</f>
        <v/>
      </c>
      <c r="AP615" s="28">
        <f>IF(I615="","",IFERROR(INDEX(Kampanyalar!$H$2:$H$150,MATCH(O615,Kampanyalar!$A$2:$A$150,0)),""))</f>
        <v/>
      </c>
      <c r="AQ615" s="28">
        <f>IF(I615="","",IF(ISNUMBER(AP615),AP615,AD615))</f>
        <v/>
      </c>
      <c r="AR615" s="26">
        <f>IF(I615="","",IF(Parametreler!$C$7="Evet","Kural A - Hemen Ödeme (Stok Mutabakatlı)","Kural B - Nakliye/Montaj Sonrası Ödeme"))</f>
        <v/>
      </c>
    </row>
    <row r="616">
      <c r="A616" s="23" t="n"/>
      <c r="B616" s="23" t="n"/>
      <c r="C616" s="23" t="n"/>
      <c r="D616" s="23" t="n"/>
      <c r="E616" s="23" t="n"/>
      <c r="F616" s="23" t="n"/>
      <c r="G616" s="23" t="n"/>
      <c r="H616" s="24" t="n"/>
      <c r="I616" s="23" t="n"/>
      <c r="J616" s="23" t="n"/>
      <c r="K616" s="23" t="n"/>
      <c r="L616" s="23" t="n"/>
      <c r="M616" s="23" t="n"/>
      <c r="N616" s="23" t="n"/>
      <c r="O616" s="23" t="n"/>
      <c r="P616" s="23" t="n"/>
      <c r="Q616" s="23" t="n"/>
      <c r="R616" s="23" t="n"/>
      <c r="S616" s="23" t="n"/>
      <c r="T616" s="23" t="n"/>
      <c r="U616" s="23" t="n"/>
      <c r="V616" s="23" t="n"/>
      <c r="W616" s="23" t="n"/>
      <c r="X616" s="23" t="n"/>
      <c r="Y616" s="25" t="n"/>
      <c r="Z616" s="25" t="n"/>
      <c r="AA616" s="23" t="n"/>
      <c r="AB616" s="25" t="n"/>
      <c r="AC616" s="23" t="n"/>
      <c r="AD616" s="25" t="n"/>
      <c r="AE616" s="23" t="n"/>
      <c r="AF616" s="25" t="n"/>
      <c r="AG616" s="25" t="n"/>
      <c r="AH616" s="23" t="n"/>
      <c r="AI616" s="23" t="n"/>
      <c r="AJ616" s="26">
        <f>IF(I616="","",I616&amp;"|"&amp;R616)</f>
        <v/>
      </c>
      <c r="AK616" s="26">
        <f>IF(I616="","",IF(ISNA(MATCH(O616,Kampanyalar!$A$2:$A$150,0)),"Hayır - Kampanyalar'da Yok","Evet"))</f>
        <v/>
      </c>
      <c r="AL616" s="27">
        <f>IF(I616="","",IFERROR(INDEX(Kampanyalar!$E$2:$E$150,MATCH(O616,Kampanyalar!$A$2:$A$150,0)),""))</f>
        <v/>
      </c>
      <c r="AM616" s="27">
        <f>IF(I616="","",IFERROR(INDEX(Kampanyalar!$F$2:$F$150,MATCH(O616,Kampanyalar!$A$2:$A$150,0)),""))</f>
        <v/>
      </c>
      <c r="AN616" s="27">
        <f>IF(I616="","",IFERROR(INDEX(Kampanyalar!$G$2:$G$150,MATCH(O616,Kampanyalar!$A$2:$A$150,0)),""))</f>
        <v/>
      </c>
      <c r="AO616" s="26">
        <f>IF(OR(I616="",AL616="",AM616=""),"",IF(AND(H616&gt;=AL616,H616&lt;=AM616),"Evet","HAYIR - Tarih Dışı"))</f>
        <v/>
      </c>
      <c r="AP616" s="28">
        <f>IF(I616="","",IFERROR(INDEX(Kampanyalar!$H$2:$H$150,MATCH(O616,Kampanyalar!$A$2:$A$150,0)),""))</f>
        <v/>
      </c>
      <c r="AQ616" s="28">
        <f>IF(I616="","",IF(ISNUMBER(AP616),AP616,AD616))</f>
        <v/>
      </c>
      <c r="AR616" s="26">
        <f>IF(I616="","",IF(Parametreler!$C$7="Evet","Kural A - Hemen Ödeme (Stok Mutabakatlı)","Kural B - Nakliye/Montaj Sonrası Ödeme"))</f>
        <v/>
      </c>
    </row>
    <row r="617">
      <c r="A617" s="23" t="n"/>
      <c r="B617" s="23" t="n"/>
      <c r="C617" s="23" t="n"/>
      <c r="D617" s="23" t="n"/>
      <c r="E617" s="23" t="n"/>
      <c r="F617" s="23" t="n"/>
      <c r="G617" s="23" t="n"/>
      <c r="H617" s="24" t="n"/>
      <c r="I617" s="23" t="n"/>
      <c r="J617" s="23" t="n"/>
      <c r="K617" s="23" t="n"/>
      <c r="L617" s="23" t="n"/>
      <c r="M617" s="23" t="n"/>
      <c r="N617" s="23" t="n"/>
      <c r="O617" s="23" t="n"/>
      <c r="P617" s="23" t="n"/>
      <c r="Q617" s="23" t="n"/>
      <c r="R617" s="23" t="n"/>
      <c r="S617" s="23" t="n"/>
      <c r="T617" s="23" t="n"/>
      <c r="U617" s="23" t="n"/>
      <c r="V617" s="23" t="n"/>
      <c r="W617" s="23" t="n"/>
      <c r="X617" s="23" t="n"/>
      <c r="Y617" s="25" t="n"/>
      <c r="Z617" s="25" t="n"/>
      <c r="AA617" s="23" t="n"/>
      <c r="AB617" s="25" t="n"/>
      <c r="AC617" s="23" t="n"/>
      <c r="AD617" s="25" t="n"/>
      <c r="AE617" s="23" t="n"/>
      <c r="AF617" s="25" t="n"/>
      <c r="AG617" s="25" t="n"/>
      <c r="AH617" s="23" t="n"/>
      <c r="AI617" s="23" t="n"/>
      <c r="AJ617" s="26">
        <f>IF(I617="","",I617&amp;"|"&amp;R617)</f>
        <v/>
      </c>
      <c r="AK617" s="26">
        <f>IF(I617="","",IF(ISNA(MATCH(O617,Kampanyalar!$A$2:$A$150,0)),"Hayır - Kampanyalar'da Yok","Evet"))</f>
        <v/>
      </c>
      <c r="AL617" s="27">
        <f>IF(I617="","",IFERROR(INDEX(Kampanyalar!$E$2:$E$150,MATCH(O617,Kampanyalar!$A$2:$A$150,0)),""))</f>
        <v/>
      </c>
      <c r="AM617" s="27">
        <f>IF(I617="","",IFERROR(INDEX(Kampanyalar!$F$2:$F$150,MATCH(O617,Kampanyalar!$A$2:$A$150,0)),""))</f>
        <v/>
      </c>
      <c r="AN617" s="27">
        <f>IF(I617="","",IFERROR(INDEX(Kampanyalar!$G$2:$G$150,MATCH(O617,Kampanyalar!$A$2:$A$150,0)),""))</f>
        <v/>
      </c>
      <c r="AO617" s="26">
        <f>IF(OR(I617="",AL617="",AM617=""),"",IF(AND(H617&gt;=AL617,H617&lt;=AM617),"Evet","HAYIR - Tarih Dışı"))</f>
        <v/>
      </c>
      <c r="AP617" s="28">
        <f>IF(I617="","",IFERROR(INDEX(Kampanyalar!$H$2:$H$150,MATCH(O617,Kampanyalar!$A$2:$A$150,0)),""))</f>
        <v/>
      </c>
      <c r="AQ617" s="28">
        <f>IF(I617="","",IF(ISNUMBER(AP617),AP617,AD617))</f>
        <v/>
      </c>
      <c r="AR617" s="26">
        <f>IF(I617="","",IF(Parametreler!$C$7="Evet","Kural A - Hemen Ödeme (Stok Mutabakatlı)","Kural B - Nakliye/Montaj Sonrası Ödeme"))</f>
        <v/>
      </c>
    </row>
    <row r="618">
      <c r="A618" s="23" t="n"/>
      <c r="B618" s="23" t="n"/>
      <c r="C618" s="23" t="n"/>
      <c r="D618" s="23" t="n"/>
      <c r="E618" s="23" t="n"/>
      <c r="F618" s="23" t="n"/>
      <c r="G618" s="23" t="n"/>
      <c r="H618" s="24" t="n"/>
      <c r="I618" s="23" t="n"/>
      <c r="J618" s="23" t="n"/>
      <c r="K618" s="23" t="n"/>
      <c r="L618" s="23" t="n"/>
      <c r="M618" s="23" t="n"/>
      <c r="N618" s="23" t="n"/>
      <c r="O618" s="23" t="n"/>
      <c r="P618" s="23" t="n"/>
      <c r="Q618" s="23" t="n"/>
      <c r="R618" s="23" t="n"/>
      <c r="S618" s="23" t="n"/>
      <c r="T618" s="23" t="n"/>
      <c r="U618" s="23" t="n"/>
      <c r="V618" s="23" t="n"/>
      <c r="W618" s="23" t="n"/>
      <c r="X618" s="23" t="n"/>
      <c r="Y618" s="25" t="n"/>
      <c r="Z618" s="25" t="n"/>
      <c r="AA618" s="23" t="n"/>
      <c r="AB618" s="25" t="n"/>
      <c r="AC618" s="23" t="n"/>
      <c r="AD618" s="25" t="n"/>
      <c r="AE618" s="23" t="n"/>
      <c r="AF618" s="25" t="n"/>
      <c r="AG618" s="25" t="n"/>
      <c r="AH618" s="23" t="n"/>
      <c r="AI618" s="23" t="n"/>
      <c r="AJ618" s="26">
        <f>IF(I618="","",I618&amp;"|"&amp;R618)</f>
        <v/>
      </c>
      <c r="AK618" s="26">
        <f>IF(I618="","",IF(ISNA(MATCH(O618,Kampanyalar!$A$2:$A$150,0)),"Hayır - Kampanyalar'da Yok","Evet"))</f>
        <v/>
      </c>
      <c r="AL618" s="27">
        <f>IF(I618="","",IFERROR(INDEX(Kampanyalar!$E$2:$E$150,MATCH(O618,Kampanyalar!$A$2:$A$150,0)),""))</f>
        <v/>
      </c>
      <c r="AM618" s="27">
        <f>IF(I618="","",IFERROR(INDEX(Kampanyalar!$F$2:$F$150,MATCH(O618,Kampanyalar!$A$2:$A$150,0)),""))</f>
        <v/>
      </c>
      <c r="AN618" s="27">
        <f>IF(I618="","",IFERROR(INDEX(Kampanyalar!$G$2:$G$150,MATCH(O618,Kampanyalar!$A$2:$A$150,0)),""))</f>
        <v/>
      </c>
      <c r="AO618" s="26">
        <f>IF(OR(I618="",AL618="",AM618=""),"",IF(AND(H618&gt;=AL618,H618&lt;=AM618),"Evet","HAYIR - Tarih Dışı"))</f>
        <v/>
      </c>
      <c r="AP618" s="28">
        <f>IF(I618="","",IFERROR(INDEX(Kampanyalar!$H$2:$H$150,MATCH(O618,Kampanyalar!$A$2:$A$150,0)),""))</f>
        <v/>
      </c>
      <c r="AQ618" s="28">
        <f>IF(I618="","",IF(ISNUMBER(AP618),AP618,AD618))</f>
        <v/>
      </c>
      <c r="AR618" s="26">
        <f>IF(I618="","",IF(Parametreler!$C$7="Evet","Kural A - Hemen Ödeme (Stok Mutabakatlı)","Kural B - Nakliye/Montaj Sonrası Ödeme"))</f>
        <v/>
      </c>
    </row>
    <row r="619">
      <c r="A619" s="23" t="n"/>
      <c r="B619" s="23" t="n"/>
      <c r="C619" s="23" t="n"/>
      <c r="D619" s="23" t="n"/>
      <c r="E619" s="23" t="n"/>
      <c r="F619" s="23" t="n"/>
      <c r="G619" s="23" t="n"/>
      <c r="H619" s="24" t="n"/>
      <c r="I619" s="23" t="n"/>
      <c r="J619" s="23" t="n"/>
      <c r="K619" s="23" t="n"/>
      <c r="L619" s="23" t="n"/>
      <c r="M619" s="23" t="n"/>
      <c r="N619" s="23" t="n"/>
      <c r="O619" s="23" t="n"/>
      <c r="P619" s="23" t="n"/>
      <c r="Q619" s="23" t="n"/>
      <c r="R619" s="23" t="n"/>
      <c r="S619" s="23" t="n"/>
      <c r="T619" s="23" t="n"/>
      <c r="U619" s="23" t="n"/>
      <c r="V619" s="23" t="n"/>
      <c r="W619" s="23" t="n"/>
      <c r="X619" s="23" t="n"/>
      <c r="Y619" s="25" t="n"/>
      <c r="Z619" s="25" t="n"/>
      <c r="AA619" s="23" t="n"/>
      <c r="AB619" s="25" t="n"/>
      <c r="AC619" s="23" t="n"/>
      <c r="AD619" s="25" t="n"/>
      <c r="AE619" s="23" t="n"/>
      <c r="AF619" s="25" t="n"/>
      <c r="AG619" s="25" t="n"/>
      <c r="AH619" s="23" t="n"/>
      <c r="AI619" s="23" t="n"/>
      <c r="AJ619" s="26">
        <f>IF(I619="","",I619&amp;"|"&amp;R619)</f>
        <v/>
      </c>
      <c r="AK619" s="26">
        <f>IF(I619="","",IF(ISNA(MATCH(O619,Kampanyalar!$A$2:$A$150,0)),"Hayır - Kampanyalar'da Yok","Evet"))</f>
        <v/>
      </c>
      <c r="AL619" s="27">
        <f>IF(I619="","",IFERROR(INDEX(Kampanyalar!$E$2:$E$150,MATCH(O619,Kampanyalar!$A$2:$A$150,0)),""))</f>
        <v/>
      </c>
      <c r="AM619" s="27">
        <f>IF(I619="","",IFERROR(INDEX(Kampanyalar!$F$2:$F$150,MATCH(O619,Kampanyalar!$A$2:$A$150,0)),""))</f>
        <v/>
      </c>
      <c r="AN619" s="27">
        <f>IF(I619="","",IFERROR(INDEX(Kampanyalar!$G$2:$G$150,MATCH(O619,Kampanyalar!$A$2:$A$150,0)),""))</f>
        <v/>
      </c>
      <c r="AO619" s="26">
        <f>IF(OR(I619="",AL619="",AM619=""),"",IF(AND(H619&gt;=AL619,H619&lt;=AM619),"Evet","HAYIR - Tarih Dışı"))</f>
        <v/>
      </c>
      <c r="AP619" s="28">
        <f>IF(I619="","",IFERROR(INDEX(Kampanyalar!$H$2:$H$150,MATCH(O619,Kampanyalar!$A$2:$A$150,0)),""))</f>
        <v/>
      </c>
      <c r="AQ619" s="28">
        <f>IF(I619="","",IF(ISNUMBER(AP619),AP619,AD619))</f>
        <v/>
      </c>
      <c r="AR619" s="26">
        <f>IF(I619="","",IF(Parametreler!$C$7="Evet","Kural A - Hemen Ödeme (Stok Mutabakatlı)","Kural B - Nakliye/Montaj Sonrası Ödeme"))</f>
        <v/>
      </c>
    </row>
    <row r="620">
      <c r="A620" s="23" t="n"/>
      <c r="B620" s="23" t="n"/>
      <c r="C620" s="23" t="n"/>
      <c r="D620" s="23" t="n"/>
      <c r="E620" s="23" t="n"/>
      <c r="F620" s="23" t="n"/>
      <c r="G620" s="23" t="n"/>
      <c r="H620" s="24" t="n"/>
      <c r="I620" s="23" t="n"/>
      <c r="J620" s="23" t="n"/>
      <c r="K620" s="23" t="n"/>
      <c r="L620" s="23" t="n"/>
      <c r="M620" s="23" t="n"/>
      <c r="N620" s="23" t="n"/>
      <c r="O620" s="23" t="n"/>
      <c r="P620" s="23" t="n"/>
      <c r="Q620" s="23" t="n"/>
      <c r="R620" s="23" t="n"/>
      <c r="S620" s="23" t="n"/>
      <c r="T620" s="23" t="n"/>
      <c r="U620" s="23" t="n"/>
      <c r="V620" s="23" t="n"/>
      <c r="W620" s="23" t="n"/>
      <c r="X620" s="23" t="n"/>
      <c r="Y620" s="25" t="n"/>
      <c r="Z620" s="25" t="n"/>
      <c r="AA620" s="23" t="n"/>
      <c r="AB620" s="25" t="n"/>
      <c r="AC620" s="23" t="n"/>
      <c r="AD620" s="25" t="n"/>
      <c r="AE620" s="23" t="n"/>
      <c r="AF620" s="25" t="n"/>
      <c r="AG620" s="25" t="n"/>
      <c r="AH620" s="23" t="n"/>
      <c r="AI620" s="23" t="n"/>
      <c r="AJ620" s="26">
        <f>IF(I620="","",I620&amp;"|"&amp;R620)</f>
        <v/>
      </c>
      <c r="AK620" s="26">
        <f>IF(I620="","",IF(ISNA(MATCH(O620,Kampanyalar!$A$2:$A$150,0)),"Hayır - Kampanyalar'da Yok","Evet"))</f>
        <v/>
      </c>
      <c r="AL620" s="27">
        <f>IF(I620="","",IFERROR(INDEX(Kampanyalar!$E$2:$E$150,MATCH(O620,Kampanyalar!$A$2:$A$150,0)),""))</f>
        <v/>
      </c>
      <c r="AM620" s="27">
        <f>IF(I620="","",IFERROR(INDEX(Kampanyalar!$F$2:$F$150,MATCH(O620,Kampanyalar!$A$2:$A$150,0)),""))</f>
        <v/>
      </c>
      <c r="AN620" s="27">
        <f>IF(I620="","",IFERROR(INDEX(Kampanyalar!$G$2:$G$150,MATCH(O620,Kampanyalar!$A$2:$A$150,0)),""))</f>
        <v/>
      </c>
      <c r="AO620" s="26">
        <f>IF(OR(I620="",AL620="",AM620=""),"",IF(AND(H620&gt;=AL620,H620&lt;=AM620),"Evet","HAYIR - Tarih Dışı"))</f>
        <v/>
      </c>
      <c r="AP620" s="28">
        <f>IF(I620="","",IFERROR(INDEX(Kampanyalar!$H$2:$H$150,MATCH(O620,Kampanyalar!$A$2:$A$150,0)),""))</f>
        <v/>
      </c>
      <c r="AQ620" s="28">
        <f>IF(I620="","",IF(ISNUMBER(AP620),AP620,AD620))</f>
        <v/>
      </c>
      <c r="AR620" s="26">
        <f>IF(I620="","",IF(Parametreler!$C$7="Evet","Kural A - Hemen Ödeme (Stok Mutabakatlı)","Kural B - Nakliye/Montaj Sonrası Ödeme"))</f>
        <v/>
      </c>
    </row>
    <row r="621">
      <c r="A621" s="23" t="n"/>
      <c r="B621" s="23" t="n"/>
      <c r="C621" s="23" t="n"/>
      <c r="D621" s="23" t="n"/>
      <c r="E621" s="23" t="n"/>
      <c r="F621" s="23" t="n"/>
      <c r="G621" s="23" t="n"/>
      <c r="H621" s="24" t="n"/>
      <c r="I621" s="23" t="n"/>
      <c r="J621" s="23" t="n"/>
      <c r="K621" s="23" t="n"/>
      <c r="L621" s="23" t="n"/>
      <c r="M621" s="23" t="n"/>
      <c r="N621" s="23" t="n"/>
      <c r="O621" s="23" t="n"/>
      <c r="P621" s="23" t="n"/>
      <c r="Q621" s="23" t="n"/>
      <c r="R621" s="23" t="n"/>
      <c r="S621" s="23" t="n"/>
      <c r="T621" s="23" t="n"/>
      <c r="U621" s="23" t="n"/>
      <c r="V621" s="23" t="n"/>
      <c r="W621" s="23" t="n"/>
      <c r="X621" s="23" t="n"/>
      <c r="Y621" s="25" t="n"/>
      <c r="Z621" s="25" t="n"/>
      <c r="AA621" s="23" t="n"/>
      <c r="AB621" s="25" t="n"/>
      <c r="AC621" s="23" t="n"/>
      <c r="AD621" s="25" t="n"/>
      <c r="AE621" s="23" t="n"/>
      <c r="AF621" s="25" t="n"/>
      <c r="AG621" s="25" t="n"/>
      <c r="AH621" s="23" t="n"/>
      <c r="AI621" s="23" t="n"/>
      <c r="AJ621" s="26">
        <f>IF(I621="","",I621&amp;"|"&amp;R621)</f>
        <v/>
      </c>
      <c r="AK621" s="26">
        <f>IF(I621="","",IF(ISNA(MATCH(O621,Kampanyalar!$A$2:$A$150,0)),"Hayır - Kampanyalar'da Yok","Evet"))</f>
        <v/>
      </c>
      <c r="AL621" s="27">
        <f>IF(I621="","",IFERROR(INDEX(Kampanyalar!$E$2:$E$150,MATCH(O621,Kampanyalar!$A$2:$A$150,0)),""))</f>
        <v/>
      </c>
      <c r="AM621" s="27">
        <f>IF(I621="","",IFERROR(INDEX(Kampanyalar!$F$2:$F$150,MATCH(O621,Kampanyalar!$A$2:$A$150,0)),""))</f>
        <v/>
      </c>
      <c r="AN621" s="27">
        <f>IF(I621="","",IFERROR(INDEX(Kampanyalar!$G$2:$G$150,MATCH(O621,Kampanyalar!$A$2:$A$150,0)),""))</f>
        <v/>
      </c>
      <c r="AO621" s="26">
        <f>IF(OR(I621="",AL621="",AM621=""),"",IF(AND(H621&gt;=AL621,H621&lt;=AM621),"Evet","HAYIR - Tarih Dışı"))</f>
        <v/>
      </c>
      <c r="AP621" s="28">
        <f>IF(I621="","",IFERROR(INDEX(Kampanyalar!$H$2:$H$150,MATCH(O621,Kampanyalar!$A$2:$A$150,0)),""))</f>
        <v/>
      </c>
      <c r="AQ621" s="28">
        <f>IF(I621="","",IF(ISNUMBER(AP621),AP621,AD621))</f>
        <v/>
      </c>
      <c r="AR621" s="26">
        <f>IF(I621="","",IF(Parametreler!$C$7="Evet","Kural A - Hemen Ödeme (Stok Mutabakatlı)","Kural B - Nakliye/Montaj Sonrası Ödeme"))</f>
        <v/>
      </c>
    </row>
    <row r="622">
      <c r="A622" s="23" t="n"/>
      <c r="B622" s="23" t="n"/>
      <c r="C622" s="23" t="n"/>
      <c r="D622" s="23" t="n"/>
      <c r="E622" s="23" t="n"/>
      <c r="F622" s="23" t="n"/>
      <c r="G622" s="23" t="n"/>
      <c r="H622" s="24" t="n"/>
      <c r="I622" s="23" t="n"/>
      <c r="J622" s="23" t="n"/>
      <c r="K622" s="23" t="n"/>
      <c r="L622" s="23" t="n"/>
      <c r="M622" s="23" t="n"/>
      <c r="N622" s="23" t="n"/>
      <c r="O622" s="23" t="n"/>
      <c r="P622" s="23" t="n"/>
      <c r="Q622" s="23" t="n"/>
      <c r="R622" s="23" t="n"/>
      <c r="S622" s="23" t="n"/>
      <c r="T622" s="23" t="n"/>
      <c r="U622" s="23" t="n"/>
      <c r="V622" s="23" t="n"/>
      <c r="W622" s="23" t="n"/>
      <c r="X622" s="23" t="n"/>
      <c r="Y622" s="25" t="n"/>
      <c r="Z622" s="25" t="n"/>
      <c r="AA622" s="23" t="n"/>
      <c r="AB622" s="25" t="n"/>
      <c r="AC622" s="23" t="n"/>
      <c r="AD622" s="25" t="n"/>
      <c r="AE622" s="23" t="n"/>
      <c r="AF622" s="25" t="n"/>
      <c r="AG622" s="25" t="n"/>
      <c r="AH622" s="23" t="n"/>
      <c r="AI622" s="23" t="n"/>
      <c r="AJ622" s="26">
        <f>IF(I622="","",I622&amp;"|"&amp;R622)</f>
        <v/>
      </c>
      <c r="AK622" s="26">
        <f>IF(I622="","",IF(ISNA(MATCH(O622,Kampanyalar!$A$2:$A$150,0)),"Hayır - Kampanyalar'da Yok","Evet"))</f>
        <v/>
      </c>
      <c r="AL622" s="27">
        <f>IF(I622="","",IFERROR(INDEX(Kampanyalar!$E$2:$E$150,MATCH(O622,Kampanyalar!$A$2:$A$150,0)),""))</f>
        <v/>
      </c>
      <c r="AM622" s="27">
        <f>IF(I622="","",IFERROR(INDEX(Kampanyalar!$F$2:$F$150,MATCH(O622,Kampanyalar!$A$2:$A$150,0)),""))</f>
        <v/>
      </c>
      <c r="AN622" s="27">
        <f>IF(I622="","",IFERROR(INDEX(Kampanyalar!$G$2:$G$150,MATCH(O622,Kampanyalar!$A$2:$A$150,0)),""))</f>
        <v/>
      </c>
      <c r="AO622" s="26">
        <f>IF(OR(I622="",AL622="",AM622=""),"",IF(AND(H622&gt;=AL622,H622&lt;=AM622),"Evet","HAYIR - Tarih Dışı"))</f>
        <v/>
      </c>
      <c r="AP622" s="28">
        <f>IF(I622="","",IFERROR(INDEX(Kampanyalar!$H$2:$H$150,MATCH(O622,Kampanyalar!$A$2:$A$150,0)),""))</f>
        <v/>
      </c>
      <c r="AQ622" s="28">
        <f>IF(I622="","",IF(ISNUMBER(AP622),AP622,AD622))</f>
        <v/>
      </c>
      <c r="AR622" s="26">
        <f>IF(I622="","",IF(Parametreler!$C$7="Evet","Kural A - Hemen Ödeme (Stok Mutabakatlı)","Kural B - Nakliye/Montaj Sonrası Ödeme"))</f>
        <v/>
      </c>
    </row>
    <row r="623">
      <c r="A623" s="23" t="n"/>
      <c r="B623" s="23" t="n"/>
      <c r="C623" s="23" t="n"/>
      <c r="D623" s="23" t="n"/>
      <c r="E623" s="23" t="n"/>
      <c r="F623" s="23" t="n"/>
      <c r="G623" s="23" t="n"/>
      <c r="H623" s="24" t="n"/>
      <c r="I623" s="23" t="n"/>
      <c r="J623" s="23" t="n"/>
      <c r="K623" s="23" t="n"/>
      <c r="L623" s="23" t="n"/>
      <c r="M623" s="23" t="n"/>
      <c r="N623" s="23" t="n"/>
      <c r="O623" s="23" t="n"/>
      <c r="P623" s="23" t="n"/>
      <c r="Q623" s="23" t="n"/>
      <c r="R623" s="23" t="n"/>
      <c r="S623" s="23" t="n"/>
      <c r="T623" s="23" t="n"/>
      <c r="U623" s="23" t="n"/>
      <c r="V623" s="23" t="n"/>
      <c r="W623" s="23" t="n"/>
      <c r="X623" s="23" t="n"/>
      <c r="Y623" s="25" t="n"/>
      <c r="Z623" s="25" t="n"/>
      <c r="AA623" s="23" t="n"/>
      <c r="AB623" s="25" t="n"/>
      <c r="AC623" s="23" t="n"/>
      <c r="AD623" s="25" t="n"/>
      <c r="AE623" s="23" t="n"/>
      <c r="AF623" s="25" t="n"/>
      <c r="AG623" s="25" t="n"/>
      <c r="AH623" s="23" t="n"/>
      <c r="AI623" s="23" t="n"/>
      <c r="AJ623" s="26">
        <f>IF(I623="","",I623&amp;"|"&amp;R623)</f>
        <v/>
      </c>
      <c r="AK623" s="26">
        <f>IF(I623="","",IF(ISNA(MATCH(O623,Kampanyalar!$A$2:$A$150,0)),"Hayır - Kampanyalar'da Yok","Evet"))</f>
        <v/>
      </c>
      <c r="AL623" s="27">
        <f>IF(I623="","",IFERROR(INDEX(Kampanyalar!$E$2:$E$150,MATCH(O623,Kampanyalar!$A$2:$A$150,0)),""))</f>
        <v/>
      </c>
      <c r="AM623" s="27">
        <f>IF(I623="","",IFERROR(INDEX(Kampanyalar!$F$2:$F$150,MATCH(O623,Kampanyalar!$A$2:$A$150,0)),""))</f>
        <v/>
      </c>
      <c r="AN623" s="27">
        <f>IF(I623="","",IFERROR(INDEX(Kampanyalar!$G$2:$G$150,MATCH(O623,Kampanyalar!$A$2:$A$150,0)),""))</f>
        <v/>
      </c>
      <c r="AO623" s="26">
        <f>IF(OR(I623="",AL623="",AM623=""),"",IF(AND(H623&gt;=AL623,H623&lt;=AM623),"Evet","HAYIR - Tarih Dışı"))</f>
        <v/>
      </c>
      <c r="AP623" s="28">
        <f>IF(I623="","",IFERROR(INDEX(Kampanyalar!$H$2:$H$150,MATCH(O623,Kampanyalar!$A$2:$A$150,0)),""))</f>
        <v/>
      </c>
      <c r="AQ623" s="28">
        <f>IF(I623="","",IF(ISNUMBER(AP623),AP623,AD623))</f>
        <v/>
      </c>
      <c r="AR623" s="26">
        <f>IF(I623="","",IF(Parametreler!$C$7="Evet","Kural A - Hemen Ödeme (Stok Mutabakatlı)","Kural B - Nakliye/Montaj Sonrası Ödeme"))</f>
        <v/>
      </c>
    </row>
    <row r="624">
      <c r="A624" s="23" t="n"/>
      <c r="B624" s="23" t="n"/>
      <c r="C624" s="23" t="n"/>
      <c r="D624" s="23" t="n"/>
      <c r="E624" s="23" t="n"/>
      <c r="F624" s="23" t="n"/>
      <c r="G624" s="23" t="n"/>
      <c r="H624" s="24" t="n"/>
      <c r="I624" s="23" t="n"/>
      <c r="J624" s="23" t="n"/>
      <c r="K624" s="23" t="n"/>
      <c r="L624" s="23" t="n"/>
      <c r="M624" s="23" t="n"/>
      <c r="N624" s="23" t="n"/>
      <c r="O624" s="23" t="n"/>
      <c r="P624" s="23" t="n"/>
      <c r="Q624" s="23" t="n"/>
      <c r="R624" s="23" t="n"/>
      <c r="S624" s="23" t="n"/>
      <c r="T624" s="23" t="n"/>
      <c r="U624" s="23" t="n"/>
      <c r="V624" s="23" t="n"/>
      <c r="W624" s="23" t="n"/>
      <c r="X624" s="23" t="n"/>
      <c r="Y624" s="25" t="n"/>
      <c r="Z624" s="25" t="n"/>
      <c r="AA624" s="23" t="n"/>
      <c r="AB624" s="25" t="n"/>
      <c r="AC624" s="23" t="n"/>
      <c r="AD624" s="25" t="n"/>
      <c r="AE624" s="23" t="n"/>
      <c r="AF624" s="25" t="n"/>
      <c r="AG624" s="25" t="n"/>
      <c r="AH624" s="23" t="n"/>
      <c r="AI624" s="23" t="n"/>
      <c r="AJ624" s="26">
        <f>IF(I624="","",I624&amp;"|"&amp;R624)</f>
        <v/>
      </c>
      <c r="AK624" s="26">
        <f>IF(I624="","",IF(ISNA(MATCH(O624,Kampanyalar!$A$2:$A$150,0)),"Hayır - Kampanyalar'da Yok","Evet"))</f>
        <v/>
      </c>
      <c r="AL624" s="27">
        <f>IF(I624="","",IFERROR(INDEX(Kampanyalar!$E$2:$E$150,MATCH(O624,Kampanyalar!$A$2:$A$150,0)),""))</f>
        <v/>
      </c>
      <c r="AM624" s="27">
        <f>IF(I624="","",IFERROR(INDEX(Kampanyalar!$F$2:$F$150,MATCH(O624,Kampanyalar!$A$2:$A$150,0)),""))</f>
        <v/>
      </c>
      <c r="AN624" s="27">
        <f>IF(I624="","",IFERROR(INDEX(Kampanyalar!$G$2:$G$150,MATCH(O624,Kampanyalar!$A$2:$A$150,0)),""))</f>
        <v/>
      </c>
      <c r="AO624" s="26">
        <f>IF(OR(I624="",AL624="",AM624=""),"",IF(AND(H624&gt;=AL624,H624&lt;=AM624),"Evet","HAYIR - Tarih Dışı"))</f>
        <v/>
      </c>
      <c r="AP624" s="28">
        <f>IF(I624="","",IFERROR(INDEX(Kampanyalar!$H$2:$H$150,MATCH(O624,Kampanyalar!$A$2:$A$150,0)),""))</f>
        <v/>
      </c>
      <c r="AQ624" s="28">
        <f>IF(I624="","",IF(ISNUMBER(AP624),AP624,AD624))</f>
        <v/>
      </c>
      <c r="AR624" s="26">
        <f>IF(I624="","",IF(Parametreler!$C$7="Evet","Kural A - Hemen Ödeme (Stok Mutabakatlı)","Kural B - Nakliye/Montaj Sonrası Ödeme"))</f>
        <v/>
      </c>
    </row>
    <row r="625">
      <c r="A625" s="23" t="n"/>
      <c r="B625" s="23" t="n"/>
      <c r="C625" s="23" t="n"/>
      <c r="D625" s="23" t="n"/>
      <c r="E625" s="23" t="n"/>
      <c r="F625" s="23" t="n"/>
      <c r="G625" s="23" t="n"/>
      <c r="H625" s="24" t="n"/>
      <c r="I625" s="23" t="n"/>
      <c r="J625" s="23" t="n"/>
      <c r="K625" s="23" t="n"/>
      <c r="L625" s="23" t="n"/>
      <c r="M625" s="23" t="n"/>
      <c r="N625" s="23" t="n"/>
      <c r="O625" s="23" t="n"/>
      <c r="P625" s="23" t="n"/>
      <c r="Q625" s="23" t="n"/>
      <c r="R625" s="23" t="n"/>
      <c r="S625" s="23" t="n"/>
      <c r="T625" s="23" t="n"/>
      <c r="U625" s="23" t="n"/>
      <c r="V625" s="23" t="n"/>
      <c r="W625" s="23" t="n"/>
      <c r="X625" s="23" t="n"/>
      <c r="Y625" s="25" t="n"/>
      <c r="Z625" s="25" t="n"/>
      <c r="AA625" s="23" t="n"/>
      <c r="AB625" s="25" t="n"/>
      <c r="AC625" s="23" t="n"/>
      <c r="AD625" s="25" t="n"/>
      <c r="AE625" s="23" t="n"/>
      <c r="AF625" s="25" t="n"/>
      <c r="AG625" s="25" t="n"/>
      <c r="AH625" s="23" t="n"/>
      <c r="AI625" s="23" t="n"/>
      <c r="AJ625" s="26">
        <f>IF(I625="","",I625&amp;"|"&amp;R625)</f>
        <v/>
      </c>
      <c r="AK625" s="26">
        <f>IF(I625="","",IF(ISNA(MATCH(O625,Kampanyalar!$A$2:$A$150,0)),"Hayır - Kampanyalar'da Yok","Evet"))</f>
        <v/>
      </c>
      <c r="AL625" s="27">
        <f>IF(I625="","",IFERROR(INDEX(Kampanyalar!$E$2:$E$150,MATCH(O625,Kampanyalar!$A$2:$A$150,0)),""))</f>
        <v/>
      </c>
      <c r="AM625" s="27">
        <f>IF(I625="","",IFERROR(INDEX(Kampanyalar!$F$2:$F$150,MATCH(O625,Kampanyalar!$A$2:$A$150,0)),""))</f>
        <v/>
      </c>
      <c r="AN625" s="27">
        <f>IF(I625="","",IFERROR(INDEX(Kampanyalar!$G$2:$G$150,MATCH(O625,Kampanyalar!$A$2:$A$150,0)),""))</f>
        <v/>
      </c>
      <c r="AO625" s="26">
        <f>IF(OR(I625="",AL625="",AM625=""),"",IF(AND(H625&gt;=AL625,H625&lt;=AM625),"Evet","HAYIR - Tarih Dışı"))</f>
        <v/>
      </c>
      <c r="AP625" s="28">
        <f>IF(I625="","",IFERROR(INDEX(Kampanyalar!$H$2:$H$150,MATCH(O625,Kampanyalar!$A$2:$A$150,0)),""))</f>
        <v/>
      </c>
      <c r="AQ625" s="28">
        <f>IF(I625="","",IF(ISNUMBER(AP625),AP625,AD625))</f>
        <v/>
      </c>
      <c r="AR625" s="26">
        <f>IF(I625="","",IF(Parametreler!$C$7="Evet","Kural A - Hemen Ödeme (Stok Mutabakatlı)","Kural B - Nakliye/Montaj Sonrası Ödeme"))</f>
        <v/>
      </c>
    </row>
    <row r="626">
      <c r="A626" s="23" t="n"/>
      <c r="B626" s="23" t="n"/>
      <c r="C626" s="23" t="n"/>
      <c r="D626" s="23" t="n"/>
      <c r="E626" s="23" t="n"/>
      <c r="F626" s="23" t="n"/>
      <c r="G626" s="23" t="n"/>
      <c r="H626" s="24" t="n"/>
      <c r="I626" s="23" t="n"/>
      <c r="J626" s="23" t="n"/>
      <c r="K626" s="23" t="n"/>
      <c r="L626" s="23" t="n"/>
      <c r="M626" s="23" t="n"/>
      <c r="N626" s="23" t="n"/>
      <c r="O626" s="23" t="n"/>
      <c r="P626" s="23" t="n"/>
      <c r="Q626" s="23" t="n"/>
      <c r="R626" s="23" t="n"/>
      <c r="S626" s="23" t="n"/>
      <c r="T626" s="23" t="n"/>
      <c r="U626" s="23" t="n"/>
      <c r="V626" s="23" t="n"/>
      <c r="W626" s="23" t="n"/>
      <c r="X626" s="23" t="n"/>
      <c r="Y626" s="25" t="n"/>
      <c r="Z626" s="25" t="n"/>
      <c r="AA626" s="23" t="n"/>
      <c r="AB626" s="25" t="n"/>
      <c r="AC626" s="23" t="n"/>
      <c r="AD626" s="25" t="n"/>
      <c r="AE626" s="23" t="n"/>
      <c r="AF626" s="25" t="n"/>
      <c r="AG626" s="25" t="n"/>
      <c r="AH626" s="23" t="n"/>
      <c r="AI626" s="23" t="n"/>
      <c r="AJ626" s="26">
        <f>IF(I626="","",I626&amp;"|"&amp;R626)</f>
        <v/>
      </c>
      <c r="AK626" s="26">
        <f>IF(I626="","",IF(ISNA(MATCH(O626,Kampanyalar!$A$2:$A$150,0)),"Hayır - Kampanyalar'da Yok","Evet"))</f>
        <v/>
      </c>
      <c r="AL626" s="27">
        <f>IF(I626="","",IFERROR(INDEX(Kampanyalar!$E$2:$E$150,MATCH(O626,Kampanyalar!$A$2:$A$150,0)),""))</f>
        <v/>
      </c>
      <c r="AM626" s="27">
        <f>IF(I626="","",IFERROR(INDEX(Kampanyalar!$F$2:$F$150,MATCH(O626,Kampanyalar!$A$2:$A$150,0)),""))</f>
        <v/>
      </c>
      <c r="AN626" s="27">
        <f>IF(I626="","",IFERROR(INDEX(Kampanyalar!$G$2:$G$150,MATCH(O626,Kampanyalar!$A$2:$A$150,0)),""))</f>
        <v/>
      </c>
      <c r="AO626" s="26">
        <f>IF(OR(I626="",AL626="",AM626=""),"",IF(AND(H626&gt;=AL626,H626&lt;=AM626),"Evet","HAYIR - Tarih Dışı"))</f>
        <v/>
      </c>
      <c r="AP626" s="28">
        <f>IF(I626="","",IFERROR(INDEX(Kampanyalar!$H$2:$H$150,MATCH(O626,Kampanyalar!$A$2:$A$150,0)),""))</f>
        <v/>
      </c>
      <c r="AQ626" s="28">
        <f>IF(I626="","",IF(ISNUMBER(AP626),AP626,AD626))</f>
        <v/>
      </c>
      <c r="AR626" s="26">
        <f>IF(I626="","",IF(Parametreler!$C$7="Evet","Kural A - Hemen Ödeme (Stok Mutabakatlı)","Kural B - Nakliye/Montaj Sonrası Ödeme"))</f>
        <v/>
      </c>
    </row>
    <row r="627">
      <c r="A627" s="23" t="n"/>
      <c r="B627" s="23" t="n"/>
      <c r="C627" s="23" t="n"/>
      <c r="D627" s="23" t="n"/>
      <c r="E627" s="23" t="n"/>
      <c r="F627" s="23" t="n"/>
      <c r="G627" s="23" t="n"/>
      <c r="H627" s="24" t="n"/>
      <c r="I627" s="23" t="n"/>
      <c r="J627" s="23" t="n"/>
      <c r="K627" s="23" t="n"/>
      <c r="L627" s="23" t="n"/>
      <c r="M627" s="23" t="n"/>
      <c r="N627" s="23" t="n"/>
      <c r="O627" s="23" t="n"/>
      <c r="P627" s="23" t="n"/>
      <c r="Q627" s="23" t="n"/>
      <c r="R627" s="23" t="n"/>
      <c r="S627" s="23" t="n"/>
      <c r="T627" s="23" t="n"/>
      <c r="U627" s="23" t="n"/>
      <c r="V627" s="23" t="n"/>
      <c r="W627" s="23" t="n"/>
      <c r="X627" s="23" t="n"/>
      <c r="Y627" s="25" t="n"/>
      <c r="Z627" s="25" t="n"/>
      <c r="AA627" s="23" t="n"/>
      <c r="AB627" s="25" t="n"/>
      <c r="AC627" s="23" t="n"/>
      <c r="AD627" s="25" t="n"/>
      <c r="AE627" s="23" t="n"/>
      <c r="AF627" s="25" t="n"/>
      <c r="AG627" s="25" t="n"/>
      <c r="AH627" s="23" t="n"/>
      <c r="AI627" s="23" t="n"/>
      <c r="AJ627" s="26">
        <f>IF(I627="","",I627&amp;"|"&amp;R627)</f>
        <v/>
      </c>
      <c r="AK627" s="26">
        <f>IF(I627="","",IF(ISNA(MATCH(O627,Kampanyalar!$A$2:$A$150,0)),"Hayır - Kampanyalar'da Yok","Evet"))</f>
        <v/>
      </c>
      <c r="AL627" s="27">
        <f>IF(I627="","",IFERROR(INDEX(Kampanyalar!$E$2:$E$150,MATCH(O627,Kampanyalar!$A$2:$A$150,0)),""))</f>
        <v/>
      </c>
      <c r="AM627" s="27">
        <f>IF(I627="","",IFERROR(INDEX(Kampanyalar!$F$2:$F$150,MATCH(O627,Kampanyalar!$A$2:$A$150,0)),""))</f>
        <v/>
      </c>
      <c r="AN627" s="27">
        <f>IF(I627="","",IFERROR(INDEX(Kampanyalar!$G$2:$G$150,MATCH(O627,Kampanyalar!$A$2:$A$150,0)),""))</f>
        <v/>
      </c>
      <c r="AO627" s="26">
        <f>IF(OR(I627="",AL627="",AM627=""),"",IF(AND(H627&gt;=AL627,H627&lt;=AM627),"Evet","HAYIR - Tarih Dışı"))</f>
        <v/>
      </c>
      <c r="AP627" s="28">
        <f>IF(I627="","",IFERROR(INDEX(Kampanyalar!$H$2:$H$150,MATCH(O627,Kampanyalar!$A$2:$A$150,0)),""))</f>
        <v/>
      </c>
      <c r="AQ627" s="28">
        <f>IF(I627="","",IF(ISNUMBER(AP627),AP627,AD627))</f>
        <v/>
      </c>
      <c r="AR627" s="26">
        <f>IF(I627="","",IF(Parametreler!$C$7="Evet","Kural A - Hemen Ödeme (Stok Mutabakatlı)","Kural B - Nakliye/Montaj Sonrası Ödeme"))</f>
        <v/>
      </c>
    </row>
    <row r="628">
      <c r="A628" s="23" t="n"/>
      <c r="B628" s="23" t="n"/>
      <c r="C628" s="23" t="n"/>
      <c r="D628" s="23" t="n"/>
      <c r="E628" s="23" t="n"/>
      <c r="F628" s="23" t="n"/>
      <c r="G628" s="23" t="n"/>
      <c r="H628" s="24" t="n"/>
      <c r="I628" s="23" t="n"/>
      <c r="J628" s="23" t="n"/>
      <c r="K628" s="23" t="n"/>
      <c r="L628" s="23" t="n"/>
      <c r="M628" s="23" t="n"/>
      <c r="N628" s="23" t="n"/>
      <c r="O628" s="23" t="n"/>
      <c r="P628" s="23" t="n"/>
      <c r="Q628" s="23" t="n"/>
      <c r="R628" s="23" t="n"/>
      <c r="S628" s="23" t="n"/>
      <c r="T628" s="23" t="n"/>
      <c r="U628" s="23" t="n"/>
      <c r="V628" s="23" t="n"/>
      <c r="W628" s="23" t="n"/>
      <c r="X628" s="23" t="n"/>
      <c r="Y628" s="25" t="n"/>
      <c r="Z628" s="25" t="n"/>
      <c r="AA628" s="23" t="n"/>
      <c r="AB628" s="25" t="n"/>
      <c r="AC628" s="23" t="n"/>
      <c r="AD628" s="25" t="n"/>
      <c r="AE628" s="23" t="n"/>
      <c r="AF628" s="25" t="n"/>
      <c r="AG628" s="25" t="n"/>
      <c r="AH628" s="23" t="n"/>
      <c r="AI628" s="23" t="n"/>
      <c r="AJ628" s="26">
        <f>IF(I628="","",I628&amp;"|"&amp;R628)</f>
        <v/>
      </c>
      <c r="AK628" s="26">
        <f>IF(I628="","",IF(ISNA(MATCH(O628,Kampanyalar!$A$2:$A$150,0)),"Hayır - Kampanyalar'da Yok","Evet"))</f>
        <v/>
      </c>
      <c r="AL628" s="27">
        <f>IF(I628="","",IFERROR(INDEX(Kampanyalar!$E$2:$E$150,MATCH(O628,Kampanyalar!$A$2:$A$150,0)),""))</f>
        <v/>
      </c>
      <c r="AM628" s="27">
        <f>IF(I628="","",IFERROR(INDEX(Kampanyalar!$F$2:$F$150,MATCH(O628,Kampanyalar!$A$2:$A$150,0)),""))</f>
        <v/>
      </c>
      <c r="AN628" s="27">
        <f>IF(I628="","",IFERROR(INDEX(Kampanyalar!$G$2:$G$150,MATCH(O628,Kampanyalar!$A$2:$A$150,0)),""))</f>
        <v/>
      </c>
      <c r="AO628" s="26">
        <f>IF(OR(I628="",AL628="",AM628=""),"",IF(AND(H628&gt;=AL628,H628&lt;=AM628),"Evet","HAYIR - Tarih Dışı"))</f>
        <v/>
      </c>
      <c r="AP628" s="28">
        <f>IF(I628="","",IFERROR(INDEX(Kampanyalar!$H$2:$H$150,MATCH(O628,Kampanyalar!$A$2:$A$150,0)),""))</f>
        <v/>
      </c>
      <c r="AQ628" s="28">
        <f>IF(I628="","",IF(ISNUMBER(AP628),AP628,AD628))</f>
        <v/>
      </c>
      <c r="AR628" s="26">
        <f>IF(I628="","",IF(Parametreler!$C$7="Evet","Kural A - Hemen Ödeme (Stok Mutabakatlı)","Kural B - Nakliye/Montaj Sonrası Ödeme"))</f>
        <v/>
      </c>
    </row>
    <row r="629">
      <c r="A629" s="23" t="n"/>
      <c r="B629" s="23" t="n"/>
      <c r="C629" s="23" t="n"/>
      <c r="D629" s="23" t="n"/>
      <c r="E629" s="23" t="n"/>
      <c r="F629" s="23" t="n"/>
      <c r="G629" s="23" t="n"/>
      <c r="H629" s="24" t="n"/>
      <c r="I629" s="23" t="n"/>
      <c r="J629" s="23" t="n"/>
      <c r="K629" s="23" t="n"/>
      <c r="L629" s="23" t="n"/>
      <c r="M629" s="23" t="n"/>
      <c r="N629" s="23" t="n"/>
      <c r="O629" s="23" t="n"/>
      <c r="P629" s="23" t="n"/>
      <c r="Q629" s="23" t="n"/>
      <c r="R629" s="23" t="n"/>
      <c r="S629" s="23" t="n"/>
      <c r="T629" s="23" t="n"/>
      <c r="U629" s="23" t="n"/>
      <c r="V629" s="23" t="n"/>
      <c r="W629" s="23" t="n"/>
      <c r="X629" s="23" t="n"/>
      <c r="Y629" s="25" t="n"/>
      <c r="Z629" s="25" t="n"/>
      <c r="AA629" s="23" t="n"/>
      <c r="AB629" s="25" t="n"/>
      <c r="AC629" s="23" t="n"/>
      <c r="AD629" s="25" t="n"/>
      <c r="AE629" s="23" t="n"/>
      <c r="AF629" s="25" t="n"/>
      <c r="AG629" s="25" t="n"/>
      <c r="AH629" s="23" t="n"/>
      <c r="AI629" s="23" t="n"/>
      <c r="AJ629" s="26">
        <f>IF(I629="","",I629&amp;"|"&amp;R629)</f>
        <v/>
      </c>
      <c r="AK629" s="26">
        <f>IF(I629="","",IF(ISNA(MATCH(O629,Kampanyalar!$A$2:$A$150,0)),"Hayır - Kampanyalar'da Yok","Evet"))</f>
        <v/>
      </c>
      <c r="AL629" s="27">
        <f>IF(I629="","",IFERROR(INDEX(Kampanyalar!$E$2:$E$150,MATCH(O629,Kampanyalar!$A$2:$A$150,0)),""))</f>
        <v/>
      </c>
      <c r="AM629" s="27">
        <f>IF(I629="","",IFERROR(INDEX(Kampanyalar!$F$2:$F$150,MATCH(O629,Kampanyalar!$A$2:$A$150,0)),""))</f>
        <v/>
      </c>
      <c r="AN629" s="27">
        <f>IF(I629="","",IFERROR(INDEX(Kampanyalar!$G$2:$G$150,MATCH(O629,Kampanyalar!$A$2:$A$150,0)),""))</f>
        <v/>
      </c>
      <c r="AO629" s="26">
        <f>IF(OR(I629="",AL629="",AM629=""),"",IF(AND(H629&gt;=AL629,H629&lt;=AM629),"Evet","HAYIR - Tarih Dışı"))</f>
        <v/>
      </c>
      <c r="AP629" s="28">
        <f>IF(I629="","",IFERROR(INDEX(Kampanyalar!$H$2:$H$150,MATCH(O629,Kampanyalar!$A$2:$A$150,0)),""))</f>
        <v/>
      </c>
      <c r="AQ629" s="28">
        <f>IF(I629="","",IF(ISNUMBER(AP629),AP629,AD629))</f>
        <v/>
      </c>
      <c r="AR629" s="26">
        <f>IF(I629="","",IF(Parametreler!$C$7="Evet","Kural A - Hemen Ödeme (Stok Mutabakatlı)","Kural B - Nakliye/Montaj Sonrası Ödeme"))</f>
        <v/>
      </c>
    </row>
    <row r="630">
      <c r="A630" s="23" t="n"/>
      <c r="B630" s="23" t="n"/>
      <c r="C630" s="23" t="n"/>
      <c r="D630" s="23" t="n"/>
      <c r="E630" s="23" t="n"/>
      <c r="F630" s="23" t="n"/>
      <c r="G630" s="23" t="n"/>
      <c r="H630" s="24" t="n"/>
      <c r="I630" s="23" t="n"/>
      <c r="J630" s="23" t="n"/>
      <c r="K630" s="23" t="n"/>
      <c r="L630" s="23" t="n"/>
      <c r="M630" s="23" t="n"/>
      <c r="N630" s="23" t="n"/>
      <c r="O630" s="23" t="n"/>
      <c r="P630" s="23" t="n"/>
      <c r="Q630" s="23" t="n"/>
      <c r="R630" s="23" t="n"/>
      <c r="S630" s="23" t="n"/>
      <c r="T630" s="23" t="n"/>
      <c r="U630" s="23" t="n"/>
      <c r="V630" s="23" t="n"/>
      <c r="W630" s="23" t="n"/>
      <c r="X630" s="23" t="n"/>
      <c r="Y630" s="25" t="n"/>
      <c r="Z630" s="25" t="n"/>
      <c r="AA630" s="23" t="n"/>
      <c r="AB630" s="25" t="n"/>
      <c r="AC630" s="23" t="n"/>
      <c r="AD630" s="25" t="n"/>
      <c r="AE630" s="23" t="n"/>
      <c r="AF630" s="25" t="n"/>
      <c r="AG630" s="25" t="n"/>
      <c r="AH630" s="23" t="n"/>
      <c r="AI630" s="23" t="n"/>
      <c r="AJ630" s="26">
        <f>IF(I630="","",I630&amp;"|"&amp;R630)</f>
        <v/>
      </c>
      <c r="AK630" s="26">
        <f>IF(I630="","",IF(ISNA(MATCH(O630,Kampanyalar!$A$2:$A$150,0)),"Hayır - Kampanyalar'da Yok","Evet"))</f>
        <v/>
      </c>
      <c r="AL630" s="27">
        <f>IF(I630="","",IFERROR(INDEX(Kampanyalar!$E$2:$E$150,MATCH(O630,Kampanyalar!$A$2:$A$150,0)),""))</f>
        <v/>
      </c>
      <c r="AM630" s="27">
        <f>IF(I630="","",IFERROR(INDEX(Kampanyalar!$F$2:$F$150,MATCH(O630,Kampanyalar!$A$2:$A$150,0)),""))</f>
        <v/>
      </c>
      <c r="AN630" s="27">
        <f>IF(I630="","",IFERROR(INDEX(Kampanyalar!$G$2:$G$150,MATCH(O630,Kampanyalar!$A$2:$A$150,0)),""))</f>
        <v/>
      </c>
      <c r="AO630" s="26">
        <f>IF(OR(I630="",AL630="",AM630=""),"",IF(AND(H630&gt;=AL630,H630&lt;=AM630),"Evet","HAYIR - Tarih Dışı"))</f>
        <v/>
      </c>
      <c r="AP630" s="28">
        <f>IF(I630="","",IFERROR(INDEX(Kampanyalar!$H$2:$H$150,MATCH(O630,Kampanyalar!$A$2:$A$150,0)),""))</f>
        <v/>
      </c>
      <c r="AQ630" s="28">
        <f>IF(I630="","",IF(ISNUMBER(AP630),AP630,AD630))</f>
        <v/>
      </c>
      <c r="AR630" s="26">
        <f>IF(I630="","",IF(Parametreler!$C$7="Evet","Kural A - Hemen Ödeme (Stok Mutabakatlı)","Kural B - Nakliye/Montaj Sonrası Ödeme"))</f>
        <v/>
      </c>
    </row>
    <row r="631">
      <c r="A631" s="23" t="n"/>
      <c r="B631" s="23" t="n"/>
      <c r="C631" s="23" t="n"/>
      <c r="D631" s="23" t="n"/>
      <c r="E631" s="23" t="n"/>
      <c r="F631" s="23" t="n"/>
      <c r="G631" s="23" t="n"/>
      <c r="H631" s="24" t="n"/>
      <c r="I631" s="23" t="n"/>
      <c r="J631" s="23" t="n"/>
      <c r="K631" s="23" t="n"/>
      <c r="L631" s="23" t="n"/>
      <c r="M631" s="23" t="n"/>
      <c r="N631" s="23" t="n"/>
      <c r="O631" s="23" t="n"/>
      <c r="P631" s="23" t="n"/>
      <c r="Q631" s="23" t="n"/>
      <c r="R631" s="23" t="n"/>
      <c r="S631" s="23" t="n"/>
      <c r="T631" s="23" t="n"/>
      <c r="U631" s="23" t="n"/>
      <c r="V631" s="23" t="n"/>
      <c r="W631" s="23" t="n"/>
      <c r="X631" s="23" t="n"/>
      <c r="Y631" s="25" t="n"/>
      <c r="Z631" s="25" t="n"/>
      <c r="AA631" s="23" t="n"/>
      <c r="AB631" s="25" t="n"/>
      <c r="AC631" s="23" t="n"/>
      <c r="AD631" s="25" t="n"/>
      <c r="AE631" s="23" t="n"/>
      <c r="AF631" s="25" t="n"/>
      <c r="AG631" s="25" t="n"/>
      <c r="AH631" s="23" t="n"/>
      <c r="AI631" s="23" t="n"/>
      <c r="AJ631" s="26">
        <f>IF(I631="","",I631&amp;"|"&amp;R631)</f>
        <v/>
      </c>
      <c r="AK631" s="26">
        <f>IF(I631="","",IF(ISNA(MATCH(O631,Kampanyalar!$A$2:$A$150,0)),"Hayır - Kampanyalar'da Yok","Evet"))</f>
        <v/>
      </c>
      <c r="AL631" s="27">
        <f>IF(I631="","",IFERROR(INDEX(Kampanyalar!$E$2:$E$150,MATCH(O631,Kampanyalar!$A$2:$A$150,0)),""))</f>
        <v/>
      </c>
      <c r="AM631" s="27">
        <f>IF(I631="","",IFERROR(INDEX(Kampanyalar!$F$2:$F$150,MATCH(O631,Kampanyalar!$A$2:$A$150,0)),""))</f>
        <v/>
      </c>
      <c r="AN631" s="27">
        <f>IF(I631="","",IFERROR(INDEX(Kampanyalar!$G$2:$G$150,MATCH(O631,Kampanyalar!$A$2:$A$150,0)),""))</f>
        <v/>
      </c>
      <c r="AO631" s="26">
        <f>IF(OR(I631="",AL631="",AM631=""),"",IF(AND(H631&gt;=AL631,H631&lt;=AM631),"Evet","HAYIR - Tarih Dışı"))</f>
        <v/>
      </c>
      <c r="AP631" s="28">
        <f>IF(I631="","",IFERROR(INDEX(Kampanyalar!$H$2:$H$150,MATCH(O631,Kampanyalar!$A$2:$A$150,0)),""))</f>
        <v/>
      </c>
      <c r="AQ631" s="28">
        <f>IF(I631="","",IF(ISNUMBER(AP631),AP631,AD631))</f>
        <v/>
      </c>
      <c r="AR631" s="26">
        <f>IF(I631="","",IF(Parametreler!$C$7="Evet","Kural A - Hemen Ödeme (Stok Mutabakatlı)","Kural B - Nakliye/Montaj Sonrası Ödeme"))</f>
        <v/>
      </c>
    </row>
    <row r="632">
      <c r="A632" s="23" t="n"/>
      <c r="B632" s="23" t="n"/>
      <c r="C632" s="23" t="n"/>
      <c r="D632" s="23" t="n"/>
      <c r="E632" s="23" t="n"/>
      <c r="F632" s="23" t="n"/>
      <c r="G632" s="23" t="n"/>
      <c r="H632" s="24" t="n"/>
      <c r="I632" s="23" t="n"/>
      <c r="J632" s="23" t="n"/>
      <c r="K632" s="23" t="n"/>
      <c r="L632" s="23" t="n"/>
      <c r="M632" s="23" t="n"/>
      <c r="N632" s="23" t="n"/>
      <c r="O632" s="23" t="n"/>
      <c r="P632" s="23" t="n"/>
      <c r="Q632" s="23" t="n"/>
      <c r="R632" s="23" t="n"/>
      <c r="S632" s="23" t="n"/>
      <c r="T632" s="23" t="n"/>
      <c r="U632" s="23" t="n"/>
      <c r="V632" s="23" t="n"/>
      <c r="W632" s="23" t="n"/>
      <c r="X632" s="23" t="n"/>
      <c r="Y632" s="25" t="n"/>
      <c r="Z632" s="25" t="n"/>
      <c r="AA632" s="23" t="n"/>
      <c r="AB632" s="25" t="n"/>
      <c r="AC632" s="23" t="n"/>
      <c r="AD632" s="25" t="n"/>
      <c r="AE632" s="23" t="n"/>
      <c r="AF632" s="25" t="n"/>
      <c r="AG632" s="25" t="n"/>
      <c r="AH632" s="23" t="n"/>
      <c r="AI632" s="23" t="n"/>
      <c r="AJ632" s="26">
        <f>IF(I632="","",I632&amp;"|"&amp;R632)</f>
        <v/>
      </c>
      <c r="AK632" s="26">
        <f>IF(I632="","",IF(ISNA(MATCH(O632,Kampanyalar!$A$2:$A$150,0)),"Hayır - Kampanyalar'da Yok","Evet"))</f>
        <v/>
      </c>
      <c r="AL632" s="27">
        <f>IF(I632="","",IFERROR(INDEX(Kampanyalar!$E$2:$E$150,MATCH(O632,Kampanyalar!$A$2:$A$150,0)),""))</f>
        <v/>
      </c>
      <c r="AM632" s="27">
        <f>IF(I632="","",IFERROR(INDEX(Kampanyalar!$F$2:$F$150,MATCH(O632,Kampanyalar!$A$2:$A$150,0)),""))</f>
        <v/>
      </c>
      <c r="AN632" s="27">
        <f>IF(I632="","",IFERROR(INDEX(Kampanyalar!$G$2:$G$150,MATCH(O632,Kampanyalar!$A$2:$A$150,0)),""))</f>
        <v/>
      </c>
      <c r="AO632" s="26">
        <f>IF(OR(I632="",AL632="",AM632=""),"",IF(AND(H632&gt;=AL632,H632&lt;=AM632),"Evet","HAYIR - Tarih Dışı"))</f>
        <v/>
      </c>
      <c r="AP632" s="28">
        <f>IF(I632="","",IFERROR(INDEX(Kampanyalar!$H$2:$H$150,MATCH(O632,Kampanyalar!$A$2:$A$150,0)),""))</f>
        <v/>
      </c>
      <c r="AQ632" s="28">
        <f>IF(I632="","",IF(ISNUMBER(AP632),AP632,AD632))</f>
        <v/>
      </c>
      <c r="AR632" s="26">
        <f>IF(I632="","",IF(Parametreler!$C$7="Evet","Kural A - Hemen Ödeme (Stok Mutabakatlı)","Kural B - Nakliye/Montaj Sonrası Ödeme"))</f>
        <v/>
      </c>
    </row>
    <row r="633">
      <c r="A633" s="23" t="n"/>
      <c r="B633" s="23" t="n"/>
      <c r="C633" s="23" t="n"/>
      <c r="D633" s="23" t="n"/>
      <c r="E633" s="23" t="n"/>
      <c r="F633" s="23" t="n"/>
      <c r="G633" s="23" t="n"/>
      <c r="H633" s="24" t="n"/>
      <c r="I633" s="23" t="n"/>
      <c r="J633" s="23" t="n"/>
      <c r="K633" s="23" t="n"/>
      <c r="L633" s="23" t="n"/>
      <c r="M633" s="23" t="n"/>
      <c r="N633" s="23" t="n"/>
      <c r="O633" s="23" t="n"/>
      <c r="P633" s="23" t="n"/>
      <c r="Q633" s="23" t="n"/>
      <c r="R633" s="23" t="n"/>
      <c r="S633" s="23" t="n"/>
      <c r="T633" s="23" t="n"/>
      <c r="U633" s="23" t="n"/>
      <c r="V633" s="23" t="n"/>
      <c r="W633" s="23" t="n"/>
      <c r="X633" s="23" t="n"/>
      <c r="Y633" s="25" t="n"/>
      <c r="Z633" s="25" t="n"/>
      <c r="AA633" s="23" t="n"/>
      <c r="AB633" s="25" t="n"/>
      <c r="AC633" s="23" t="n"/>
      <c r="AD633" s="25" t="n"/>
      <c r="AE633" s="23" t="n"/>
      <c r="AF633" s="25" t="n"/>
      <c r="AG633" s="25" t="n"/>
      <c r="AH633" s="23" t="n"/>
      <c r="AI633" s="23" t="n"/>
      <c r="AJ633" s="26">
        <f>IF(I633="","",I633&amp;"|"&amp;R633)</f>
        <v/>
      </c>
      <c r="AK633" s="26">
        <f>IF(I633="","",IF(ISNA(MATCH(O633,Kampanyalar!$A$2:$A$150,0)),"Hayır - Kampanyalar'da Yok","Evet"))</f>
        <v/>
      </c>
      <c r="AL633" s="27">
        <f>IF(I633="","",IFERROR(INDEX(Kampanyalar!$E$2:$E$150,MATCH(O633,Kampanyalar!$A$2:$A$150,0)),""))</f>
        <v/>
      </c>
      <c r="AM633" s="27">
        <f>IF(I633="","",IFERROR(INDEX(Kampanyalar!$F$2:$F$150,MATCH(O633,Kampanyalar!$A$2:$A$150,0)),""))</f>
        <v/>
      </c>
      <c r="AN633" s="27">
        <f>IF(I633="","",IFERROR(INDEX(Kampanyalar!$G$2:$G$150,MATCH(O633,Kampanyalar!$A$2:$A$150,0)),""))</f>
        <v/>
      </c>
      <c r="AO633" s="26">
        <f>IF(OR(I633="",AL633="",AM633=""),"",IF(AND(H633&gt;=AL633,H633&lt;=AM633),"Evet","HAYIR - Tarih Dışı"))</f>
        <v/>
      </c>
      <c r="AP633" s="28">
        <f>IF(I633="","",IFERROR(INDEX(Kampanyalar!$H$2:$H$150,MATCH(O633,Kampanyalar!$A$2:$A$150,0)),""))</f>
        <v/>
      </c>
      <c r="AQ633" s="28">
        <f>IF(I633="","",IF(ISNUMBER(AP633),AP633,AD633))</f>
        <v/>
      </c>
      <c r="AR633" s="26">
        <f>IF(I633="","",IF(Parametreler!$C$7="Evet","Kural A - Hemen Ödeme (Stok Mutabakatlı)","Kural B - Nakliye/Montaj Sonrası Ödeme"))</f>
        <v/>
      </c>
    </row>
    <row r="634">
      <c r="A634" s="23" t="n"/>
      <c r="B634" s="23" t="n"/>
      <c r="C634" s="23" t="n"/>
      <c r="D634" s="23" t="n"/>
      <c r="E634" s="23" t="n"/>
      <c r="F634" s="23" t="n"/>
      <c r="G634" s="23" t="n"/>
      <c r="H634" s="24" t="n"/>
      <c r="I634" s="23" t="n"/>
      <c r="J634" s="23" t="n"/>
      <c r="K634" s="23" t="n"/>
      <c r="L634" s="23" t="n"/>
      <c r="M634" s="23" t="n"/>
      <c r="N634" s="23" t="n"/>
      <c r="O634" s="23" t="n"/>
      <c r="P634" s="23" t="n"/>
      <c r="Q634" s="23" t="n"/>
      <c r="R634" s="23" t="n"/>
      <c r="S634" s="23" t="n"/>
      <c r="T634" s="23" t="n"/>
      <c r="U634" s="23" t="n"/>
      <c r="V634" s="23" t="n"/>
      <c r="W634" s="23" t="n"/>
      <c r="X634" s="23" t="n"/>
      <c r="Y634" s="25" t="n"/>
      <c r="Z634" s="25" t="n"/>
      <c r="AA634" s="23" t="n"/>
      <c r="AB634" s="25" t="n"/>
      <c r="AC634" s="23" t="n"/>
      <c r="AD634" s="25" t="n"/>
      <c r="AE634" s="23" t="n"/>
      <c r="AF634" s="25" t="n"/>
      <c r="AG634" s="25" t="n"/>
      <c r="AH634" s="23" t="n"/>
      <c r="AI634" s="23" t="n"/>
      <c r="AJ634" s="26">
        <f>IF(I634="","",I634&amp;"|"&amp;R634)</f>
        <v/>
      </c>
      <c r="AK634" s="26">
        <f>IF(I634="","",IF(ISNA(MATCH(O634,Kampanyalar!$A$2:$A$150,0)),"Hayır - Kampanyalar'da Yok","Evet"))</f>
        <v/>
      </c>
      <c r="AL634" s="27">
        <f>IF(I634="","",IFERROR(INDEX(Kampanyalar!$E$2:$E$150,MATCH(O634,Kampanyalar!$A$2:$A$150,0)),""))</f>
        <v/>
      </c>
      <c r="AM634" s="27">
        <f>IF(I634="","",IFERROR(INDEX(Kampanyalar!$F$2:$F$150,MATCH(O634,Kampanyalar!$A$2:$A$150,0)),""))</f>
        <v/>
      </c>
      <c r="AN634" s="27">
        <f>IF(I634="","",IFERROR(INDEX(Kampanyalar!$G$2:$G$150,MATCH(O634,Kampanyalar!$A$2:$A$150,0)),""))</f>
        <v/>
      </c>
      <c r="AO634" s="26">
        <f>IF(OR(I634="",AL634="",AM634=""),"",IF(AND(H634&gt;=AL634,H634&lt;=AM634),"Evet","HAYIR - Tarih Dışı"))</f>
        <v/>
      </c>
      <c r="AP634" s="28">
        <f>IF(I634="","",IFERROR(INDEX(Kampanyalar!$H$2:$H$150,MATCH(O634,Kampanyalar!$A$2:$A$150,0)),""))</f>
        <v/>
      </c>
      <c r="AQ634" s="28">
        <f>IF(I634="","",IF(ISNUMBER(AP634),AP634,AD634))</f>
        <v/>
      </c>
      <c r="AR634" s="26">
        <f>IF(I634="","",IF(Parametreler!$C$7="Evet","Kural A - Hemen Ödeme (Stok Mutabakatlı)","Kural B - Nakliye/Montaj Sonrası Ödeme"))</f>
        <v/>
      </c>
    </row>
    <row r="635">
      <c r="A635" s="23" t="n"/>
      <c r="B635" s="23" t="n"/>
      <c r="C635" s="23" t="n"/>
      <c r="D635" s="23" t="n"/>
      <c r="E635" s="23" t="n"/>
      <c r="F635" s="23" t="n"/>
      <c r="G635" s="23" t="n"/>
      <c r="H635" s="24" t="n"/>
      <c r="I635" s="23" t="n"/>
      <c r="J635" s="23" t="n"/>
      <c r="K635" s="23" t="n"/>
      <c r="L635" s="23" t="n"/>
      <c r="M635" s="23" t="n"/>
      <c r="N635" s="23" t="n"/>
      <c r="O635" s="23" t="n"/>
      <c r="P635" s="23" t="n"/>
      <c r="Q635" s="23" t="n"/>
      <c r="R635" s="23" t="n"/>
      <c r="S635" s="23" t="n"/>
      <c r="T635" s="23" t="n"/>
      <c r="U635" s="23" t="n"/>
      <c r="V635" s="23" t="n"/>
      <c r="W635" s="23" t="n"/>
      <c r="X635" s="23" t="n"/>
      <c r="Y635" s="25" t="n"/>
      <c r="Z635" s="25" t="n"/>
      <c r="AA635" s="23" t="n"/>
      <c r="AB635" s="25" t="n"/>
      <c r="AC635" s="23" t="n"/>
      <c r="AD635" s="25" t="n"/>
      <c r="AE635" s="23" t="n"/>
      <c r="AF635" s="25" t="n"/>
      <c r="AG635" s="25" t="n"/>
      <c r="AH635" s="23" t="n"/>
      <c r="AI635" s="23" t="n"/>
      <c r="AJ635" s="26">
        <f>IF(I635="","",I635&amp;"|"&amp;R635)</f>
        <v/>
      </c>
      <c r="AK635" s="26">
        <f>IF(I635="","",IF(ISNA(MATCH(O635,Kampanyalar!$A$2:$A$150,0)),"Hayır - Kampanyalar'da Yok","Evet"))</f>
        <v/>
      </c>
      <c r="AL635" s="27">
        <f>IF(I635="","",IFERROR(INDEX(Kampanyalar!$E$2:$E$150,MATCH(O635,Kampanyalar!$A$2:$A$150,0)),""))</f>
        <v/>
      </c>
      <c r="AM635" s="27">
        <f>IF(I635="","",IFERROR(INDEX(Kampanyalar!$F$2:$F$150,MATCH(O635,Kampanyalar!$A$2:$A$150,0)),""))</f>
        <v/>
      </c>
      <c r="AN635" s="27">
        <f>IF(I635="","",IFERROR(INDEX(Kampanyalar!$G$2:$G$150,MATCH(O635,Kampanyalar!$A$2:$A$150,0)),""))</f>
        <v/>
      </c>
      <c r="AO635" s="26">
        <f>IF(OR(I635="",AL635="",AM635=""),"",IF(AND(H635&gt;=AL635,H635&lt;=AM635),"Evet","HAYIR - Tarih Dışı"))</f>
        <v/>
      </c>
      <c r="AP635" s="28">
        <f>IF(I635="","",IFERROR(INDEX(Kampanyalar!$H$2:$H$150,MATCH(O635,Kampanyalar!$A$2:$A$150,0)),""))</f>
        <v/>
      </c>
      <c r="AQ635" s="28">
        <f>IF(I635="","",IF(ISNUMBER(AP635),AP635,AD635))</f>
        <v/>
      </c>
      <c r="AR635" s="26">
        <f>IF(I635="","",IF(Parametreler!$C$7="Evet","Kural A - Hemen Ödeme (Stok Mutabakatlı)","Kural B - Nakliye/Montaj Sonrası Ödeme"))</f>
        <v/>
      </c>
    </row>
    <row r="636">
      <c r="A636" s="23" t="n"/>
      <c r="B636" s="23" t="n"/>
      <c r="C636" s="23" t="n"/>
      <c r="D636" s="23" t="n"/>
      <c r="E636" s="23" t="n"/>
      <c r="F636" s="23" t="n"/>
      <c r="G636" s="23" t="n"/>
      <c r="H636" s="24" t="n"/>
      <c r="I636" s="23" t="n"/>
      <c r="J636" s="23" t="n"/>
      <c r="K636" s="23" t="n"/>
      <c r="L636" s="23" t="n"/>
      <c r="M636" s="23" t="n"/>
      <c r="N636" s="23" t="n"/>
      <c r="O636" s="23" t="n"/>
      <c r="P636" s="23" t="n"/>
      <c r="Q636" s="23" t="n"/>
      <c r="R636" s="23" t="n"/>
      <c r="S636" s="23" t="n"/>
      <c r="T636" s="23" t="n"/>
      <c r="U636" s="23" t="n"/>
      <c r="V636" s="23" t="n"/>
      <c r="W636" s="23" t="n"/>
      <c r="X636" s="23" t="n"/>
      <c r="Y636" s="25" t="n"/>
      <c r="Z636" s="25" t="n"/>
      <c r="AA636" s="23" t="n"/>
      <c r="AB636" s="25" t="n"/>
      <c r="AC636" s="23" t="n"/>
      <c r="AD636" s="25" t="n"/>
      <c r="AE636" s="23" t="n"/>
      <c r="AF636" s="25" t="n"/>
      <c r="AG636" s="25" t="n"/>
      <c r="AH636" s="23" t="n"/>
      <c r="AI636" s="23" t="n"/>
      <c r="AJ636" s="26">
        <f>IF(I636="","",I636&amp;"|"&amp;R636)</f>
        <v/>
      </c>
      <c r="AK636" s="26">
        <f>IF(I636="","",IF(ISNA(MATCH(O636,Kampanyalar!$A$2:$A$150,0)),"Hayır - Kampanyalar'da Yok","Evet"))</f>
        <v/>
      </c>
      <c r="AL636" s="27">
        <f>IF(I636="","",IFERROR(INDEX(Kampanyalar!$E$2:$E$150,MATCH(O636,Kampanyalar!$A$2:$A$150,0)),""))</f>
        <v/>
      </c>
      <c r="AM636" s="27">
        <f>IF(I636="","",IFERROR(INDEX(Kampanyalar!$F$2:$F$150,MATCH(O636,Kampanyalar!$A$2:$A$150,0)),""))</f>
        <v/>
      </c>
      <c r="AN636" s="27">
        <f>IF(I636="","",IFERROR(INDEX(Kampanyalar!$G$2:$G$150,MATCH(O636,Kampanyalar!$A$2:$A$150,0)),""))</f>
        <v/>
      </c>
      <c r="AO636" s="26">
        <f>IF(OR(I636="",AL636="",AM636=""),"",IF(AND(H636&gt;=AL636,H636&lt;=AM636),"Evet","HAYIR - Tarih Dışı"))</f>
        <v/>
      </c>
      <c r="AP636" s="28">
        <f>IF(I636="","",IFERROR(INDEX(Kampanyalar!$H$2:$H$150,MATCH(O636,Kampanyalar!$A$2:$A$150,0)),""))</f>
        <v/>
      </c>
      <c r="AQ636" s="28">
        <f>IF(I636="","",IF(ISNUMBER(AP636),AP636,AD636))</f>
        <v/>
      </c>
      <c r="AR636" s="26">
        <f>IF(I636="","",IF(Parametreler!$C$7="Evet","Kural A - Hemen Ödeme (Stok Mutabakatlı)","Kural B - Nakliye/Montaj Sonrası Ödeme"))</f>
        <v/>
      </c>
    </row>
    <row r="637">
      <c r="A637" s="23" t="n"/>
      <c r="B637" s="23" t="n"/>
      <c r="C637" s="23" t="n"/>
      <c r="D637" s="23" t="n"/>
      <c r="E637" s="23" t="n"/>
      <c r="F637" s="23" t="n"/>
      <c r="G637" s="23" t="n"/>
      <c r="H637" s="24" t="n"/>
      <c r="I637" s="23" t="n"/>
      <c r="J637" s="23" t="n"/>
      <c r="K637" s="23" t="n"/>
      <c r="L637" s="23" t="n"/>
      <c r="M637" s="23" t="n"/>
      <c r="N637" s="23" t="n"/>
      <c r="O637" s="23" t="n"/>
      <c r="P637" s="23" t="n"/>
      <c r="Q637" s="23" t="n"/>
      <c r="R637" s="23" t="n"/>
      <c r="S637" s="23" t="n"/>
      <c r="T637" s="23" t="n"/>
      <c r="U637" s="23" t="n"/>
      <c r="V637" s="23" t="n"/>
      <c r="W637" s="23" t="n"/>
      <c r="X637" s="23" t="n"/>
      <c r="Y637" s="25" t="n"/>
      <c r="Z637" s="25" t="n"/>
      <c r="AA637" s="23" t="n"/>
      <c r="AB637" s="25" t="n"/>
      <c r="AC637" s="23" t="n"/>
      <c r="AD637" s="25" t="n"/>
      <c r="AE637" s="23" t="n"/>
      <c r="AF637" s="25" t="n"/>
      <c r="AG637" s="25" t="n"/>
      <c r="AH637" s="23" t="n"/>
      <c r="AI637" s="23" t="n"/>
      <c r="AJ637" s="26">
        <f>IF(I637="","",I637&amp;"|"&amp;R637)</f>
        <v/>
      </c>
      <c r="AK637" s="26">
        <f>IF(I637="","",IF(ISNA(MATCH(O637,Kampanyalar!$A$2:$A$150,0)),"Hayır - Kampanyalar'da Yok","Evet"))</f>
        <v/>
      </c>
      <c r="AL637" s="27">
        <f>IF(I637="","",IFERROR(INDEX(Kampanyalar!$E$2:$E$150,MATCH(O637,Kampanyalar!$A$2:$A$150,0)),""))</f>
        <v/>
      </c>
      <c r="AM637" s="27">
        <f>IF(I637="","",IFERROR(INDEX(Kampanyalar!$F$2:$F$150,MATCH(O637,Kampanyalar!$A$2:$A$150,0)),""))</f>
        <v/>
      </c>
      <c r="AN637" s="27">
        <f>IF(I637="","",IFERROR(INDEX(Kampanyalar!$G$2:$G$150,MATCH(O637,Kampanyalar!$A$2:$A$150,0)),""))</f>
        <v/>
      </c>
      <c r="AO637" s="26">
        <f>IF(OR(I637="",AL637="",AM637=""),"",IF(AND(H637&gt;=AL637,H637&lt;=AM637),"Evet","HAYIR - Tarih Dışı"))</f>
        <v/>
      </c>
      <c r="AP637" s="28">
        <f>IF(I637="","",IFERROR(INDEX(Kampanyalar!$H$2:$H$150,MATCH(O637,Kampanyalar!$A$2:$A$150,0)),""))</f>
        <v/>
      </c>
      <c r="AQ637" s="28">
        <f>IF(I637="","",IF(ISNUMBER(AP637),AP637,AD637))</f>
        <v/>
      </c>
      <c r="AR637" s="26">
        <f>IF(I637="","",IF(Parametreler!$C$7="Evet","Kural A - Hemen Ödeme (Stok Mutabakatlı)","Kural B - Nakliye/Montaj Sonrası Ödeme"))</f>
        <v/>
      </c>
    </row>
    <row r="638">
      <c r="A638" s="23" t="n"/>
      <c r="B638" s="23" t="n"/>
      <c r="C638" s="23" t="n"/>
      <c r="D638" s="23" t="n"/>
      <c r="E638" s="23" t="n"/>
      <c r="F638" s="23" t="n"/>
      <c r="G638" s="23" t="n"/>
      <c r="H638" s="24" t="n"/>
      <c r="I638" s="23" t="n"/>
      <c r="J638" s="23" t="n"/>
      <c r="K638" s="23" t="n"/>
      <c r="L638" s="23" t="n"/>
      <c r="M638" s="23" t="n"/>
      <c r="N638" s="23" t="n"/>
      <c r="O638" s="23" t="n"/>
      <c r="P638" s="23" t="n"/>
      <c r="Q638" s="23" t="n"/>
      <c r="R638" s="23" t="n"/>
      <c r="S638" s="23" t="n"/>
      <c r="T638" s="23" t="n"/>
      <c r="U638" s="23" t="n"/>
      <c r="V638" s="23" t="n"/>
      <c r="W638" s="23" t="n"/>
      <c r="X638" s="23" t="n"/>
      <c r="Y638" s="25" t="n"/>
      <c r="Z638" s="25" t="n"/>
      <c r="AA638" s="23" t="n"/>
      <c r="AB638" s="25" t="n"/>
      <c r="AC638" s="23" t="n"/>
      <c r="AD638" s="25" t="n"/>
      <c r="AE638" s="23" t="n"/>
      <c r="AF638" s="25" t="n"/>
      <c r="AG638" s="25" t="n"/>
      <c r="AH638" s="23" t="n"/>
      <c r="AI638" s="23" t="n"/>
      <c r="AJ638" s="26">
        <f>IF(I638="","",I638&amp;"|"&amp;R638)</f>
        <v/>
      </c>
      <c r="AK638" s="26">
        <f>IF(I638="","",IF(ISNA(MATCH(O638,Kampanyalar!$A$2:$A$150,0)),"Hayır - Kampanyalar'da Yok","Evet"))</f>
        <v/>
      </c>
      <c r="AL638" s="27">
        <f>IF(I638="","",IFERROR(INDEX(Kampanyalar!$E$2:$E$150,MATCH(O638,Kampanyalar!$A$2:$A$150,0)),""))</f>
        <v/>
      </c>
      <c r="AM638" s="27">
        <f>IF(I638="","",IFERROR(INDEX(Kampanyalar!$F$2:$F$150,MATCH(O638,Kampanyalar!$A$2:$A$150,0)),""))</f>
        <v/>
      </c>
      <c r="AN638" s="27">
        <f>IF(I638="","",IFERROR(INDEX(Kampanyalar!$G$2:$G$150,MATCH(O638,Kampanyalar!$A$2:$A$150,0)),""))</f>
        <v/>
      </c>
      <c r="AO638" s="26">
        <f>IF(OR(I638="",AL638="",AM638=""),"",IF(AND(H638&gt;=AL638,H638&lt;=AM638),"Evet","HAYIR - Tarih Dışı"))</f>
        <v/>
      </c>
      <c r="AP638" s="28">
        <f>IF(I638="","",IFERROR(INDEX(Kampanyalar!$H$2:$H$150,MATCH(O638,Kampanyalar!$A$2:$A$150,0)),""))</f>
        <v/>
      </c>
      <c r="AQ638" s="28">
        <f>IF(I638="","",IF(ISNUMBER(AP638),AP638,AD638))</f>
        <v/>
      </c>
      <c r="AR638" s="26">
        <f>IF(I638="","",IF(Parametreler!$C$7="Evet","Kural A - Hemen Ödeme (Stok Mutabakatlı)","Kural B - Nakliye/Montaj Sonrası Ödeme"))</f>
        <v/>
      </c>
    </row>
    <row r="639">
      <c r="A639" s="23" t="n"/>
      <c r="B639" s="23" t="n"/>
      <c r="C639" s="23" t="n"/>
      <c r="D639" s="23" t="n"/>
      <c r="E639" s="23" t="n"/>
      <c r="F639" s="23" t="n"/>
      <c r="G639" s="23" t="n"/>
      <c r="H639" s="24" t="n"/>
      <c r="I639" s="23" t="n"/>
      <c r="J639" s="23" t="n"/>
      <c r="K639" s="23" t="n"/>
      <c r="L639" s="23" t="n"/>
      <c r="M639" s="23" t="n"/>
      <c r="N639" s="23" t="n"/>
      <c r="O639" s="23" t="n"/>
      <c r="P639" s="23" t="n"/>
      <c r="Q639" s="23" t="n"/>
      <c r="R639" s="23" t="n"/>
      <c r="S639" s="23" t="n"/>
      <c r="T639" s="23" t="n"/>
      <c r="U639" s="23" t="n"/>
      <c r="V639" s="23" t="n"/>
      <c r="W639" s="23" t="n"/>
      <c r="X639" s="23" t="n"/>
      <c r="Y639" s="25" t="n"/>
      <c r="Z639" s="25" t="n"/>
      <c r="AA639" s="23" t="n"/>
      <c r="AB639" s="25" t="n"/>
      <c r="AC639" s="23" t="n"/>
      <c r="AD639" s="25" t="n"/>
      <c r="AE639" s="23" t="n"/>
      <c r="AF639" s="25" t="n"/>
      <c r="AG639" s="25" t="n"/>
      <c r="AH639" s="23" t="n"/>
      <c r="AI639" s="23" t="n"/>
      <c r="AJ639" s="26">
        <f>IF(I639="","",I639&amp;"|"&amp;R639)</f>
        <v/>
      </c>
      <c r="AK639" s="26">
        <f>IF(I639="","",IF(ISNA(MATCH(O639,Kampanyalar!$A$2:$A$150,0)),"Hayır - Kampanyalar'da Yok","Evet"))</f>
        <v/>
      </c>
      <c r="AL639" s="27">
        <f>IF(I639="","",IFERROR(INDEX(Kampanyalar!$E$2:$E$150,MATCH(O639,Kampanyalar!$A$2:$A$150,0)),""))</f>
        <v/>
      </c>
      <c r="AM639" s="27">
        <f>IF(I639="","",IFERROR(INDEX(Kampanyalar!$F$2:$F$150,MATCH(O639,Kampanyalar!$A$2:$A$150,0)),""))</f>
        <v/>
      </c>
      <c r="AN639" s="27">
        <f>IF(I639="","",IFERROR(INDEX(Kampanyalar!$G$2:$G$150,MATCH(O639,Kampanyalar!$A$2:$A$150,0)),""))</f>
        <v/>
      </c>
      <c r="AO639" s="26">
        <f>IF(OR(I639="",AL639="",AM639=""),"",IF(AND(H639&gt;=AL639,H639&lt;=AM639),"Evet","HAYIR - Tarih Dışı"))</f>
        <v/>
      </c>
      <c r="AP639" s="28">
        <f>IF(I639="","",IFERROR(INDEX(Kampanyalar!$H$2:$H$150,MATCH(O639,Kampanyalar!$A$2:$A$150,0)),""))</f>
        <v/>
      </c>
      <c r="AQ639" s="28">
        <f>IF(I639="","",IF(ISNUMBER(AP639),AP639,AD639))</f>
        <v/>
      </c>
      <c r="AR639" s="26">
        <f>IF(I639="","",IF(Parametreler!$C$7="Evet","Kural A - Hemen Ödeme (Stok Mutabakatlı)","Kural B - Nakliye/Montaj Sonrası Ödeme"))</f>
        <v/>
      </c>
    </row>
    <row r="640">
      <c r="A640" s="23" t="n"/>
      <c r="B640" s="23" t="n"/>
      <c r="C640" s="23" t="n"/>
      <c r="D640" s="23" t="n"/>
      <c r="E640" s="23" t="n"/>
      <c r="F640" s="23" t="n"/>
      <c r="G640" s="23" t="n"/>
      <c r="H640" s="24" t="n"/>
      <c r="I640" s="23" t="n"/>
      <c r="J640" s="23" t="n"/>
      <c r="K640" s="23" t="n"/>
      <c r="L640" s="23" t="n"/>
      <c r="M640" s="23" t="n"/>
      <c r="N640" s="23" t="n"/>
      <c r="O640" s="23" t="n"/>
      <c r="P640" s="23" t="n"/>
      <c r="Q640" s="23" t="n"/>
      <c r="R640" s="23" t="n"/>
      <c r="S640" s="23" t="n"/>
      <c r="T640" s="23" t="n"/>
      <c r="U640" s="23" t="n"/>
      <c r="V640" s="23" t="n"/>
      <c r="W640" s="23" t="n"/>
      <c r="X640" s="23" t="n"/>
      <c r="Y640" s="25" t="n"/>
      <c r="Z640" s="25" t="n"/>
      <c r="AA640" s="23" t="n"/>
      <c r="AB640" s="25" t="n"/>
      <c r="AC640" s="23" t="n"/>
      <c r="AD640" s="25" t="n"/>
      <c r="AE640" s="23" t="n"/>
      <c r="AF640" s="25" t="n"/>
      <c r="AG640" s="25" t="n"/>
      <c r="AH640" s="23" t="n"/>
      <c r="AI640" s="23" t="n"/>
      <c r="AJ640" s="26">
        <f>IF(I640="","",I640&amp;"|"&amp;R640)</f>
        <v/>
      </c>
      <c r="AK640" s="26">
        <f>IF(I640="","",IF(ISNA(MATCH(O640,Kampanyalar!$A$2:$A$150,0)),"Hayır - Kampanyalar'da Yok","Evet"))</f>
        <v/>
      </c>
      <c r="AL640" s="27">
        <f>IF(I640="","",IFERROR(INDEX(Kampanyalar!$E$2:$E$150,MATCH(O640,Kampanyalar!$A$2:$A$150,0)),""))</f>
        <v/>
      </c>
      <c r="AM640" s="27">
        <f>IF(I640="","",IFERROR(INDEX(Kampanyalar!$F$2:$F$150,MATCH(O640,Kampanyalar!$A$2:$A$150,0)),""))</f>
        <v/>
      </c>
      <c r="AN640" s="27">
        <f>IF(I640="","",IFERROR(INDEX(Kampanyalar!$G$2:$G$150,MATCH(O640,Kampanyalar!$A$2:$A$150,0)),""))</f>
        <v/>
      </c>
      <c r="AO640" s="26">
        <f>IF(OR(I640="",AL640="",AM640=""),"",IF(AND(H640&gt;=AL640,H640&lt;=AM640),"Evet","HAYIR - Tarih Dışı"))</f>
        <v/>
      </c>
      <c r="AP640" s="28">
        <f>IF(I640="","",IFERROR(INDEX(Kampanyalar!$H$2:$H$150,MATCH(O640,Kampanyalar!$A$2:$A$150,0)),""))</f>
        <v/>
      </c>
      <c r="AQ640" s="28">
        <f>IF(I640="","",IF(ISNUMBER(AP640),AP640,AD640))</f>
        <v/>
      </c>
      <c r="AR640" s="26">
        <f>IF(I640="","",IF(Parametreler!$C$7="Evet","Kural A - Hemen Ödeme (Stok Mutabakatlı)","Kural B - Nakliye/Montaj Sonrası Ödeme"))</f>
        <v/>
      </c>
    </row>
    <row r="641">
      <c r="A641" s="23" t="n"/>
      <c r="B641" s="23" t="n"/>
      <c r="C641" s="23" t="n"/>
      <c r="D641" s="23" t="n"/>
      <c r="E641" s="23" t="n"/>
      <c r="F641" s="23" t="n"/>
      <c r="G641" s="23" t="n"/>
      <c r="H641" s="24" t="n"/>
      <c r="I641" s="23" t="n"/>
      <c r="J641" s="23" t="n"/>
      <c r="K641" s="23" t="n"/>
      <c r="L641" s="23" t="n"/>
      <c r="M641" s="23" t="n"/>
      <c r="N641" s="23" t="n"/>
      <c r="O641" s="23" t="n"/>
      <c r="P641" s="23" t="n"/>
      <c r="Q641" s="23" t="n"/>
      <c r="R641" s="23" t="n"/>
      <c r="S641" s="23" t="n"/>
      <c r="T641" s="23" t="n"/>
      <c r="U641" s="23" t="n"/>
      <c r="V641" s="23" t="n"/>
      <c r="W641" s="23" t="n"/>
      <c r="X641" s="23" t="n"/>
      <c r="Y641" s="25" t="n"/>
      <c r="Z641" s="25" t="n"/>
      <c r="AA641" s="23" t="n"/>
      <c r="AB641" s="25" t="n"/>
      <c r="AC641" s="23" t="n"/>
      <c r="AD641" s="25" t="n"/>
      <c r="AE641" s="23" t="n"/>
      <c r="AF641" s="25" t="n"/>
      <c r="AG641" s="25" t="n"/>
      <c r="AH641" s="23" t="n"/>
      <c r="AI641" s="23" t="n"/>
      <c r="AJ641" s="26">
        <f>IF(I641="","",I641&amp;"|"&amp;R641)</f>
        <v/>
      </c>
      <c r="AK641" s="26">
        <f>IF(I641="","",IF(ISNA(MATCH(O641,Kampanyalar!$A$2:$A$150,0)),"Hayır - Kampanyalar'da Yok","Evet"))</f>
        <v/>
      </c>
      <c r="AL641" s="27">
        <f>IF(I641="","",IFERROR(INDEX(Kampanyalar!$E$2:$E$150,MATCH(O641,Kampanyalar!$A$2:$A$150,0)),""))</f>
        <v/>
      </c>
      <c r="AM641" s="27">
        <f>IF(I641="","",IFERROR(INDEX(Kampanyalar!$F$2:$F$150,MATCH(O641,Kampanyalar!$A$2:$A$150,0)),""))</f>
        <v/>
      </c>
      <c r="AN641" s="27">
        <f>IF(I641="","",IFERROR(INDEX(Kampanyalar!$G$2:$G$150,MATCH(O641,Kampanyalar!$A$2:$A$150,0)),""))</f>
        <v/>
      </c>
      <c r="AO641" s="26">
        <f>IF(OR(I641="",AL641="",AM641=""),"",IF(AND(H641&gt;=AL641,H641&lt;=AM641),"Evet","HAYIR - Tarih Dışı"))</f>
        <v/>
      </c>
      <c r="AP641" s="28">
        <f>IF(I641="","",IFERROR(INDEX(Kampanyalar!$H$2:$H$150,MATCH(O641,Kampanyalar!$A$2:$A$150,0)),""))</f>
        <v/>
      </c>
      <c r="AQ641" s="28">
        <f>IF(I641="","",IF(ISNUMBER(AP641),AP641,AD641))</f>
        <v/>
      </c>
      <c r="AR641" s="26">
        <f>IF(I641="","",IF(Parametreler!$C$7="Evet","Kural A - Hemen Ödeme (Stok Mutabakatlı)","Kural B - Nakliye/Montaj Sonrası Ödeme"))</f>
        <v/>
      </c>
    </row>
    <row r="642">
      <c r="A642" s="23" t="n"/>
      <c r="B642" s="23" t="n"/>
      <c r="C642" s="23" t="n"/>
      <c r="D642" s="23" t="n"/>
      <c r="E642" s="23" t="n"/>
      <c r="F642" s="23" t="n"/>
      <c r="G642" s="23" t="n"/>
      <c r="H642" s="24" t="n"/>
      <c r="I642" s="23" t="n"/>
      <c r="J642" s="23" t="n"/>
      <c r="K642" s="23" t="n"/>
      <c r="L642" s="23" t="n"/>
      <c r="M642" s="23" t="n"/>
      <c r="N642" s="23" t="n"/>
      <c r="O642" s="23" t="n"/>
      <c r="P642" s="23" t="n"/>
      <c r="Q642" s="23" t="n"/>
      <c r="R642" s="23" t="n"/>
      <c r="S642" s="23" t="n"/>
      <c r="T642" s="23" t="n"/>
      <c r="U642" s="23" t="n"/>
      <c r="V642" s="23" t="n"/>
      <c r="W642" s="23" t="n"/>
      <c r="X642" s="23" t="n"/>
      <c r="Y642" s="25" t="n"/>
      <c r="Z642" s="25" t="n"/>
      <c r="AA642" s="23" t="n"/>
      <c r="AB642" s="25" t="n"/>
      <c r="AC642" s="23" t="n"/>
      <c r="AD642" s="25" t="n"/>
      <c r="AE642" s="23" t="n"/>
      <c r="AF642" s="25" t="n"/>
      <c r="AG642" s="25" t="n"/>
      <c r="AH642" s="23" t="n"/>
      <c r="AI642" s="23" t="n"/>
      <c r="AJ642" s="26">
        <f>IF(I642="","",I642&amp;"|"&amp;R642)</f>
        <v/>
      </c>
      <c r="AK642" s="26">
        <f>IF(I642="","",IF(ISNA(MATCH(O642,Kampanyalar!$A$2:$A$150,0)),"Hayır - Kampanyalar'da Yok","Evet"))</f>
        <v/>
      </c>
      <c r="AL642" s="27">
        <f>IF(I642="","",IFERROR(INDEX(Kampanyalar!$E$2:$E$150,MATCH(O642,Kampanyalar!$A$2:$A$150,0)),""))</f>
        <v/>
      </c>
      <c r="AM642" s="27">
        <f>IF(I642="","",IFERROR(INDEX(Kampanyalar!$F$2:$F$150,MATCH(O642,Kampanyalar!$A$2:$A$150,0)),""))</f>
        <v/>
      </c>
      <c r="AN642" s="27">
        <f>IF(I642="","",IFERROR(INDEX(Kampanyalar!$G$2:$G$150,MATCH(O642,Kampanyalar!$A$2:$A$150,0)),""))</f>
        <v/>
      </c>
      <c r="AO642" s="26">
        <f>IF(OR(I642="",AL642="",AM642=""),"",IF(AND(H642&gt;=AL642,H642&lt;=AM642),"Evet","HAYIR - Tarih Dışı"))</f>
        <v/>
      </c>
      <c r="AP642" s="28">
        <f>IF(I642="","",IFERROR(INDEX(Kampanyalar!$H$2:$H$150,MATCH(O642,Kampanyalar!$A$2:$A$150,0)),""))</f>
        <v/>
      </c>
      <c r="AQ642" s="28">
        <f>IF(I642="","",IF(ISNUMBER(AP642),AP642,AD642))</f>
        <v/>
      </c>
      <c r="AR642" s="26">
        <f>IF(I642="","",IF(Parametreler!$C$7="Evet","Kural A - Hemen Ödeme (Stok Mutabakatlı)","Kural B - Nakliye/Montaj Sonrası Ödeme"))</f>
        <v/>
      </c>
    </row>
    <row r="643">
      <c r="A643" s="23" t="n"/>
      <c r="B643" s="23" t="n"/>
      <c r="C643" s="23" t="n"/>
      <c r="D643" s="23" t="n"/>
      <c r="E643" s="23" t="n"/>
      <c r="F643" s="23" t="n"/>
      <c r="G643" s="23" t="n"/>
      <c r="H643" s="24" t="n"/>
      <c r="I643" s="23" t="n"/>
      <c r="J643" s="23" t="n"/>
      <c r="K643" s="23" t="n"/>
      <c r="L643" s="23" t="n"/>
      <c r="M643" s="23" t="n"/>
      <c r="N643" s="23" t="n"/>
      <c r="O643" s="23" t="n"/>
      <c r="P643" s="23" t="n"/>
      <c r="Q643" s="23" t="n"/>
      <c r="R643" s="23" t="n"/>
      <c r="S643" s="23" t="n"/>
      <c r="T643" s="23" t="n"/>
      <c r="U643" s="23" t="n"/>
      <c r="V643" s="23" t="n"/>
      <c r="W643" s="23" t="n"/>
      <c r="X643" s="23" t="n"/>
      <c r="Y643" s="25" t="n"/>
      <c r="Z643" s="25" t="n"/>
      <c r="AA643" s="23" t="n"/>
      <c r="AB643" s="25" t="n"/>
      <c r="AC643" s="23" t="n"/>
      <c r="AD643" s="25" t="n"/>
      <c r="AE643" s="23" t="n"/>
      <c r="AF643" s="25" t="n"/>
      <c r="AG643" s="25" t="n"/>
      <c r="AH643" s="23" t="n"/>
      <c r="AI643" s="23" t="n"/>
      <c r="AJ643" s="26">
        <f>IF(I643="","",I643&amp;"|"&amp;R643)</f>
        <v/>
      </c>
      <c r="AK643" s="26">
        <f>IF(I643="","",IF(ISNA(MATCH(O643,Kampanyalar!$A$2:$A$150,0)),"Hayır - Kampanyalar'da Yok","Evet"))</f>
        <v/>
      </c>
      <c r="AL643" s="27">
        <f>IF(I643="","",IFERROR(INDEX(Kampanyalar!$E$2:$E$150,MATCH(O643,Kampanyalar!$A$2:$A$150,0)),""))</f>
        <v/>
      </c>
      <c r="AM643" s="27">
        <f>IF(I643="","",IFERROR(INDEX(Kampanyalar!$F$2:$F$150,MATCH(O643,Kampanyalar!$A$2:$A$150,0)),""))</f>
        <v/>
      </c>
      <c r="AN643" s="27">
        <f>IF(I643="","",IFERROR(INDEX(Kampanyalar!$G$2:$G$150,MATCH(O643,Kampanyalar!$A$2:$A$150,0)),""))</f>
        <v/>
      </c>
      <c r="AO643" s="26">
        <f>IF(OR(I643="",AL643="",AM643=""),"",IF(AND(H643&gt;=AL643,H643&lt;=AM643),"Evet","HAYIR - Tarih Dışı"))</f>
        <v/>
      </c>
      <c r="AP643" s="28">
        <f>IF(I643="","",IFERROR(INDEX(Kampanyalar!$H$2:$H$150,MATCH(O643,Kampanyalar!$A$2:$A$150,0)),""))</f>
        <v/>
      </c>
      <c r="AQ643" s="28">
        <f>IF(I643="","",IF(ISNUMBER(AP643),AP643,AD643))</f>
        <v/>
      </c>
      <c r="AR643" s="26">
        <f>IF(I643="","",IF(Parametreler!$C$7="Evet","Kural A - Hemen Ödeme (Stok Mutabakatlı)","Kural B - Nakliye/Montaj Sonrası Ödeme"))</f>
        <v/>
      </c>
    </row>
    <row r="644">
      <c r="A644" s="23" t="n"/>
      <c r="B644" s="23" t="n"/>
      <c r="C644" s="23" t="n"/>
      <c r="D644" s="23" t="n"/>
      <c r="E644" s="23" t="n"/>
      <c r="F644" s="23" t="n"/>
      <c r="G644" s="23" t="n"/>
      <c r="H644" s="24" t="n"/>
      <c r="I644" s="23" t="n"/>
      <c r="J644" s="23" t="n"/>
      <c r="K644" s="23" t="n"/>
      <c r="L644" s="23" t="n"/>
      <c r="M644" s="23" t="n"/>
      <c r="N644" s="23" t="n"/>
      <c r="O644" s="23" t="n"/>
      <c r="P644" s="23" t="n"/>
      <c r="Q644" s="23" t="n"/>
      <c r="R644" s="23" t="n"/>
      <c r="S644" s="23" t="n"/>
      <c r="T644" s="23" t="n"/>
      <c r="U644" s="23" t="n"/>
      <c r="V644" s="23" t="n"/>
      <c r="W644" s="23" t="n"/>
      <c r="X644" s="23" t="n"/>
      <c r="Y644" s="25" t="n"/>
      <c r="Z644" s="25" t="n"/>
      <c r="AA644" s="23" t="n"/>
      <c r="AB644" s="25" t="n"/>
      <c r="AC644" s="23" t="n"/>
      <c r="AD644" s="25" t="n"/>
      <c r="AE644" s="23" t="n"/>
      <c r="AF644" s="25" t="n"/>
      <c r="AG644" s="25" t="n"/>
      <c r="AH644" s="23" t="n"/>
      <c r="AI644" s="23" t="n"/>
      <c r="AJ644" s="26">
        <f>IF(I644="","",I644&amp;"|"&amp;R644)</f>
        <v/>
      </c>
      <c r="AK644" s="26">
        <f>IF(I644="","",IF(ISNA(MATCH(O644,Kampanyalar!$A$2:$A$150,0)),"Hayır - Kampanyalar'da Yok","Evet"))</f>
        <v/>
      </c>
      <c r="AL644" s="27">
        <f>IF(I644="","",IFERROR(INDEX(Kampanyalar!$E$2:$E$150,MATCH(O644,Kampanyalar!$A$2:$A$150,0)),""))</f>
        <v/>
      </c>
      <c r="AM644" s="27">
        <f>IF(I644="","",IFERROR(INDEX(Kampanyalar!$F$2:$F$150,MATCH(O644,Kampanyalar!$A$2:$A$150,0)),""))</f>
        <v/>
      </c>
      <c r="AN644" s="27">
        <f>IF(I644="","",IFERROR(INDEX(Kampanyalar!$G$2:$G$150,MATCH(O644,Kampanyalar!$A$2:$A$150,0)),""))</f>
        <v/>
      </c>
      <c r="AO644" s="26">
        <f>IF(OR(I644="",AL644="",AM644=""),"",IF(AND(H644&gt;=AL644,H644&lt;=AM644),"Evet","HAYIR - Tarih Dışı"))</f>
        <v/>
      </c>
      <c r="AP644" s="28">
        <f>IF(I644="","",IFERROR(INDEX(Kampanyalar!$H$2:$H$150,MATCH(O644,Kampanyalar!$A$2:$A$150,0)),""))</f>
        <v/>
      </c>
      <c r="AQ644" s="28">
        <f>IF(I644="","",IF(ISNUMBER(AP644),AP644,AD644))</f>
        <v/>
      </c>
      <c r="AR644" s="26">
        <f>IF(I644="","",IF(Parametreler!$C$7="Evet","Kural A - Hemen Ödeme (Stok Mutabakatlı)","Kural B - Nakliye/Montaj Sonrası Ödeme"))</f>
        <v/>
      </c>
    </row>
    <row r="645">
      <c r="A645" s="23" t="n"/>
      <c r="B645" s="23" t="n"/>
      <c r="C645" s="23" t="n"/>
      <c r="D645" s="23" t="n"/>
      <c r="E645" s="23" t="n"/>
      <c r="F645" s="23" t="n"/>
      <c r="G645" s="23" t="n"/>
      <c r="H645" s="24" t="n"/>
      <c r="I645" s="23" t="n"/>
      <c r="J645" s="23" t="n"/>
      <c r="K645" s="23" t="n"/>
      <c r="L645" s="23" t="n"/>
      <c r="M645" s="23" t="n"/>
      <c r="N645" s="23" t="n"/>
      <c r="O645" s="23" t="n"/>
      <c r="P645" s="23" t="n"/>
      <c r="Q645" s="23" t="n"/>
      <c r="R645" s="23" t="n"/>
      <c r="S645" s="23" t="n"/>
      <c r="T645" s="23" t="n"/>
      <c r="U645" s="23" t="n"/>
      <c r="V645" s="23" t="n"/>
      <c r="W645" s="23" t="n"/>
      <c r="X645" s="23" t="n"/>
      <c r="Y645" s="25" t="n"/>
      <c r="Z645" s="25" t="n"/>
      <c r="AA645" s="23" t="n"/>
      <c r="AB645" s="25" t="n"/>
      <c r="AC645" s="23" t="n"/>
      <c r="AD645" s="25" t="n"/>
      <c r="AE645" s="23" t="n"/>
      <c r="AF645" s="25" t="n"/>
      <c r="AG645" s="25" t="n"/>
      <c r="AH645" s="23" t="n"/>
      <c r="AI645" s="23" t="n"/>
      <c r="AJ645" s="26">
        <f>IF(I645="","",I645&amp;"|"&amp;R645)</f>
        <v/>
      </c>
      <c r="AK645" s="26">
        <f>IF(I645="","",IF(ISNA(MATCH(O645,Kampanyalar!$A$2:$A$150,0)),"Hayır - Kampanyalar'da Yok","Evet"))</f>
        <v/>
      </c>
      <c r="AL645" s="27">
        <f>IF(I645="","",IFERROR(INDEX(Kampanyalar!$E$2:$E$150,MATCH(O645,Kampanyalar!$A$2:$A$150,0)),""))</f>
        <v/>
      </c>
      <c r="AM645" s="27">
        <f>IF(I645="","",IFERROR(INDEX(Kampanyalar!$F$2:$F$150,MATCH(O645,Kampanyalar!$A$2:$A$150,0)),""))</f>
        <v/>
      </c>
      <c r="AN645" s="27">
        <f>IF(I645="","",IFERROR(INDEX(Kampanyalar!$G$2:$G$150,MATCH(O645,Kampanyalar!$A$2:$A$150,0)),""))</f>
        <v/>
      </c>
      <c r="AO645" s="26">
        <f>IF(OR(I645="",AL645="",AM645=""),"",IF(AND(H645&gt;=AL645,H645&lt;=AM645),"Evet","HAYIR - Tarih Dışı"))</f>
        <v/>
      </c>
      <c r="AP645" s="28">
        <f>IF(I645="","",IFERROR(INDEX(Kampanyalar!$H$2:$H$150,MATCH(O645,Kampanyalar!$A$2:$A$150,0)),""))</f>
        <v/>
      </c>
      <c r="AQ645" s="28">
        <f>IF(I645="","",IF(ISNUMBER(AP645),AP645,AD645))</f>
        <v/>
      </c>
      <c r="AR645" s="26">
        <f>IF(I645="","",IF(Parametreler!$C$7="Evet","Kural A - Hemen Ödeme (Stok Mutabakatlı)","Kural B - Nakliye/Montaj Sonrası Ödeme"))</f>
        <v/>
      </c>
    </row>
    <row r="646">
      <c r="A646" s="23" t="n"/>
      <c r="B646" s="23" t="n"/>
      <c r="C646" s="23" t="n"/>
      <c r="D646" s="23" t="n"/>
      <c r="E646" s="23" t="n"/>
      <c r="F646" s="23" t="n"/>
      <c r="G646" s="23" t="n"/>
      <c r="H646" s="24" t="n"/>
      <c r="I646" s="23" t="n"/>
      <c r="J646" s="23" t="n"/>
      <c r="K646" s="23" t="n"/>
      <c r="L646" s="23" t="n"/>
      <c r="M646" s="23" t="n"/>
      <c r="N646" s="23" t="n"/>
      <c r="O646" s="23" t="n"/>
      <c r="P646" s="23" t="n"/>
      <c r="Q646" s="23" t="n"/>
      <c r="R646" s="23" t="n"/>
      <c r="S646" s="23" t="n"/>
      <c r="T646" s="23" t="n"/>
      <c r="U646" s="23" t="n"/>
      <c r="V646" s="23" t="n"/>
      <c r="W646" s="23" t="n"/>
      <c r="X646" s="23" t="n"/>
      <c r="Y646" s="25" t="n"/>
      <c r="Z646" s="25" t="n"/>
      <c r="AA646" s="23" t="n"/>
      <c r="AB646" s="25" t="n"/>
      <c r="AC646" s="23" t="n"/>
      <c r="AD646" s="25" t="n"/>
      <c r="AE646" s="23" t="n"/>
      <c r="AF646" s="25" t="n"/>
      <c r="AG646" s="25" t="n"/>
      <c r="AH646" s="23" t="n"/>
      <c r="AI646" s="23" t="n"/>
      <c r="AJ646" s="26">
        <f>IF(I646="","",I646&amp;"|"&amp;R646)</f>
        <v/>
      </c>
      <c r="AK646" s="26">
        <f>IF(I646="","",IF(ISNA(MATCH(O646,Kampanyalar!$A$2:$A$150,0)),"Hayır - Kampanyalar'da Yok","Evet"))</f>
        <v/>
      </c>
      <c r="AL646" s="27">
        <f>IF(I646="","",IFERROR(INDEX(Kampanyalar!$E$2:$E$150,MATCH(O646,Kampanyalar!$A$2:$A$150,0)),""))</f>
        <v/>
      </c>
      <c r="AM646" s="27">
        <f>IF(I646="","",IFERROR(INDEX(Kampanyalar!$F$2:$F$150,MATCH(O646,Kampanyalar!$A$2:$A$150,0)),""))</f>
        <v/>
      </c>
      <c r="AN646" s="27">
        <f>IF(I646="","",IFERROR(INDEX(Kampanyalar!$G$2:$G$150,MATCH(O646,Kampanyalar!$A$2:$A$150,0)),""))</f>
        <v/>
      </c>
      <c r="AO646" s="26">
        <f>IF(OR(I646="",AL646="",AM646=""),"",IF(AND(H646&gt;=AL646,H646&lt;=AM646),"Evet","HAYIR - Tarih Dışı"))</f>
        <v/>
      </c>
      <c r="AP646" s="28">
        <f>IF(I646="","",IFERROR(INDEX(Kampanyalar!$H$2:$H$150,MATCH(O646,Kampanyalar!$A$2:$A$150,0)),""))</f>
        <v/>
      </c>
      <c r="AQ646" s="28">
        <f>IF(I646="","",IF(ISNUMBER(AP646),AP646,AD646))</f>
        <v/>
      </c>
      <c r="AR646" s="26">
        <f>IF(I646="","",IF(Parametreler!$C$7="Evet","Kural A - Hemen Ödeme (Stok Mutabakatlı)","Kural B - Nakliye/Montaj Sonrası Ödeme"))</f>
        <v/>
      </c>
    </row>
    <row r="647">
      <c r="A647" s="23" t="n"/>
      <c r="B647" s="23" t="n"/>
      <c r="C647" s="23" t="n"/>
      <c r="D647" s="23" t="n"/>
      <c r="E647" s="23" t="n"/>
      <c r="F647" s="23" t="n"/>
      <c r="G647" s="23" t="n"/>
      <c r="H647" s="24" t="n"/>
      <c r="I647" s="23" t="n"/>
      <c r="J647" s="23" t="n"/>
      <c r="K647" s="23" t="n"/>
      <c r="L647" s="23" t="n"/>
      <c r="M647" s="23" t="n"/>
      <c r="N647" s="23" t="n"/>
      <c r="O647" s="23" t="n"/>
      <c r="P647" s="23" t="n"/>
      <c r="Q647" s="23" t="n"/>
      <c r="R647" s="23" t="n"/>
      <c r="S647" s="23" t="n"/>
      <c r="T647" s="23" t="n"/>
      <c r="U647" s="23" t="n"/>
      <c r="V647" s="23" t="n"/>
      <c r="W647" s="23" t="n"/>
      <c r="X647" s="23" t="n"/>
      <c r="Y647" s="25" t="n"/>
      <c r="Z647" s="25" t="n"/>
      <c r="AA647" s="23" t="n"/>
      <c r="AB647" s="25" t="n"/>
      <c r="AC647" s="23" t="n"/>
      <c r="AD647" s="25" t="n"/>
      <c r="AE647" s="23" t="n"/>
      <c r="AF647" s="25" t="n"/>
      <c r="AG647" s="25" t="n"/>
      <c r="AH647" s="23" t="n"/>
      <c r="AI647" s="23" t="n"/>
      <c r="AJ647" s="26">
        <f>IF(I647="","",I647&amp;"|"&amp;R647)</f>
        <v/>
      </c>
      <c r="AK647" s="26">
        <f>IF(I647="","",IF(ISNA(MATCH(O647,Kampanyalar!$A$2:$A$150,0)),"Hayır - Kampanyalar'da Yok","Evet"))</f>
        <v/>
      </c>
      <c r="AL647" s="27">
        <f>IF(I647="","",IFERROR(INDEX(Kampanyalar!$E$2:$E$150,MATCH(O647,Kampanyalar!$A$2:$A$150,0)),""))</f>
        <v/>
      </c>
      <c r="AM647" s="27">
        <f>IF(I647="","",IFERROR(INDEX(Kampanyalar!$F$2:$F$150,MATCH(O647,Kampanyalar!$A$2:$A$150,0)),""))</f>
        <v/>
      </c>
      <c r="AN647" s="27">
        <f>IF(I647="","",IFERROR(INDEX(Kampanyalar!$G$2:$G$150,MATCH(O647,Kampanyalar!$A$2:$A$150,0)),""))</f>
        <v/>
      </c>
      <c r="AO647" s="26">
        <f>IF(OR(I647="",AL647="",AM647=""),"",IF(AND(H647&gt;=AL647,H647&lt;=AM647),"Evet","HAYIR - Tarih Dışı"))</f>
        <v/>
      </c>
      <c r="AP647" s="28">
        <f>IF(I647="","",IFERROR(INDEX(Kampanyalar!$H$2:$H$150,MATCH(O647,Kampanyalar!$A$2:$A$150,0)),""))</f>
        <v/>
      </c>
      <c r="AQ647" s="28">
        <f>IF(I647="","",IF(ISNUMBER(AP647),AP647,AD647))</f>
        <v/>
      </c>
      <c r="AR647" s="26">
        <f>IF(I647="","",IF(Parametreler!$C$7="Evet","Kural A - Hemen Ödeme (Stok Mutabakatlı)","Kural B - Nakliye/Montaj Sonrası Ödeme"))</f>
        <v/>
      </c>
    </row>
    <row r="648">
      <c r="A648" s="23" t="n"/>
      <c r="B648" s="23" t="n"/>
      <c r="C648" s="23" t="n"/>
      <c r="D648" s="23" t="n"/>
      <c r="E648" s="23" t="n"/>
      <c r="F648" s="23" t="n"/>
      <c r="G648" s="23" t="n"/>
      <c r="H648" s="24" t="n"/>
      <c r="I648" s="23" t="n"/>
      <c r="J648" s="23" t="n"/>
      <c r="K648" s="23" t="n"/>
      <c r="L648" s="23" t="n"/>
      <c r="M648" s="23" t="n"/>
      <c r="N648" s="23" t="n"/>
      <c r="O648" s="23" t="n"/>
      <c r="P648" s="23" t="n"/>
      <c r="Q648" s="23" t="n"/>
      <c r="R648" s="23" t="n"/>
      <c r="S648" s="23" t="n"/>
      <c r="T648" s="23" t="n"/>
      <c r="U648" s="23" t="n"/>
      <c r="V648" s="23" t="n"/>
      <c r="W648" s="23" t="n"/>
      <c r="X648" s="23" t="n"/>
      <c r="Y648" s="25" t="n"/>
      <c r="Z648" s="25" t="n"/>
      <c r="AA648" s="23" t="n"/>
      <c r="AB648" s="25" t="n"/>
      <c r="AC648" s="23" t="n"/>
      <c r="AD648" s="25" t="n"/>
      <c r="AE648" s="23" t="n"/>
      <c r="AF648" s="25" t="n"/>
      <c r="AG648" s="25" t="n"/>
      <c r="AH648" s="23" t="n"/>
      <c r="AI648" s="23" t="n"/>
      <c r="AJ648" s="26">
        <f>IF(I648="","",I648&amp;"|"&amp;R648)</f>
        <v/>
      </c>
      <c r="AK648" s="26">
        <f>IF(I648="","",IF(ISNA(MATCH(O648,Kampanyalar!$A$2:$A$150,0)),"Hayır - Kampanyalar'da Yok","Evet"))</f>
        <v/>
      </c>
      <c r="AL648" s="27">
        <f>IF(I648="","",IFERROR(INDEX(Kampanyalar!$E$2:$E$150,MATCH(O648,Kampanyalar!$A$2:$A$150,0)),""))</f>
        <v/>
      </c>
      <c r="AM648" s="27">
        <f>IF(I648="","",IFERROR(INDEX(Kampanyalar!$F$2:$F$150,MATCH(O648,Kampanyalar!$A$2:$A$150,0)),""))</f>
        <v/>
      </c>
      <c r="AN648" s="27">
        <f>IF(I648="","",IFERROR(INDEX(Kampanyalar!$G$2:$G$150,MATCH(O648,Kampanyalar!$A$2:$A$150,0)),""))</f>
        <v/>
      </c>
      <c r="AO648" s="26">
        <f>IF(OR(I648="",AL648="",AM648=""),"",IF(AND(H648&gt;=AL648,H648&lt;=AM648),"Evet","HAYIR - Tarih Dışı"))</f>
        <v/>
      </c>
      <c r="AP648" s="28">
        <f>IF(I648="","",IFERROR(INDEX(Kampanyalar!$H$2:$H$150,MATCH(O648,Kampanyalar!$A$2:$A$150,0)),""))</f>
        <v/>
      </c>
      <c r="AQ648" s="28">
        <f>IF(I648="","",IF(ISNUMBER(AP648),AP648,AD648))</f>
        <v/>
      </c>
      <c r="AR648" s="26">
        <f>IF(I648="","",IF(Parametreler!$C$7="Evet","Kural A - Hemen Ödeme (Stok Mutabakatlı)","Kural B - Nakliye/Montaj Sonrası Ödeme"))</f>
        <v/>
      </c>
    </row>
    <row r="649">
      <c r="A649" s="23" t="n"/>
      <c r="B649" s="23" t="n"/>
      <c r="C649" s="23" t="n"/>
      <c r="D649" s="23" t="n"/>
      <c r="E649" s="23" t="n"/>
      <c r="F649" s="23" t="n"/>
      <c r="G649" s="23" t="n"/>
      <c r="H649" s="24" t="n"/>
      <c r="I649" s="23" t="n"/>
      <c r="J649" s="23" t="n"/>
      <c r="K649" s="23" t="n"/>
      <c r="L649" s="23" t="n"/>
      <c r="M649" s="23" t="n"/>
      <c r="N649" s="23" t="n"/>
      <c r="O649" s="23" t="n"/>
      <c r="P649" s="23" t="n"/>
      <c r="Q649" s="23" t="n"/>
      <c r="R649" s="23" t="n"/>
      <c r="S649" s="23" t="n"/>
      <c r="T649" s="23" t="n"/>
      <c r="U649" s="23" t="n"/>
      <c r="V649" s="23" t="n"/>
      <c r="W649" s="23" t="n"/>
      <c r="X649" s="23" t="n"/>
      <c r="Y649" s="25" t="n"/>
      <c r="Z649" s="25" t="n"/>
      <c r="AA649" s="23" t="n"/>
      <c r="AB649" s="25" t="n"/>
      <c r="AC649" s="23" t="n"/>
      <c r="AD649" s="25" t="n"/>
      <c r="AE649" s="23" t="n"/>
      <c r="AF649" s="25" t="n"/>
      <c r="AG649" s="25" t="n"/>
      <c r="AH649" s="23" t="n"/>
      <c r="AI649" s="23" t="n"/>
      <c r="AJ649" s="26">
        <f>IF(I649="","",I649&amp;"|"&amp;R649)</f>
        <v/>
      </c>
      <c r="AK649" s="26">
        <f>IF(I649="","",IF(ISNA(MATCH(O649,Kampanyalar!$A$2:$A$150,0)),"Hayır - Kampanyalar'da Yok","Evet"))</f>
        <v/>
      </c>
      <c r="AL649" s="27">
        <f>IF(I649="","",IFERROR(INDEX(Kampanyalar!$E$2:$E$150,MATCH(O649,Kampanyalar!$A$2:$A$150,0)),""))</f>
        <v/>
      </c>
      <c r="AM649" s="27">
        <f>IF(I649="","",IFERROR(INDEX(Kampanyalar!$F$2:$F$150,MATCH(O649,Kampanyalar!$A$2:$A$150,0)),""))</f>
        <v/>
      </c>
      <c r="AN649" s="27">
        <f>IF(I649="","",IFERROR(INDEX(Kampanyalar!$G$2:$G$150,MATCH(O649,Kampanyalar!$A$2:$A$150,0)),""))</f>
        <v/>
      </c>
      <c r="AO649" s="26">
        <f>IF(OR(I649="",AL649="",AM649=""),"",IF(AND(H649&gt;=AL649,H649&lt;=AM649),"Evet","HAYIR - Tarih Dışı"))</f>
        <v/>
      </c>
      <c r="AP649" s="28">
        <f>IF(I649="","",IFERROR(INDEX(Kampanyalar!$H$2:$H$150,MATCH(O649,Kampanyalar!$A$2:$A$150,0)),""))</f>
        <v/>
      </c>
      <c r="AQ649" s="28">
        <f>IF(I649="","",IF(ISNUMBER(AP649),AP649,AD649))</f>
        <v/>
      </c>
      <c r="AR649" s="26">
        <f>IF(I649="","",IF(Parametreler!$C$7="Evet","Kural A - Hemen Ödeme (Stok Mutabakatlı)","Kural B - Nakliye/Montaj Sonrası Ödeme"))</f>
        <v/>
      </c>
    </row>
    <row r="650">
      <c r="A650" s="23" t="n"/>
      <c r="B650" s="23" t="n"/>
      <c r="C650" s="23" t="n"/>
      <c r="D650" s="23" t="n"/>
      <c r="E650" s="23" t="n"/>
      <c r="F650" s="23" t="n"/>
      <c r="G650" s="23" t="n"/>
      <c r="H650" s="24" t="n"/>
      <c r="I650" s="23" t="n"/>
      <c r="J650" s="23" t="n"/>
      <c r="K650" s="23" t="n"/>
      <c r="L650" s="23" t="n"/>
      <c r="M650" s="23" t="n"/>
      <c r="N650" s="23" t="n"/>
      <c r="O650" s="23" t="n"/>
      <c r="P650" s="23" t="n"/>
      <c r="Q650" s="23" t="n"/>
      <c r="R650" s="23" t="n"/>
      <c r="S650" s="23" t="n"/>
      <c r="T650" s="23" t="n"/>
      <c r="U650" s="23" t="n"/>
      <c r="V650" s="23" t="n"/>
      <c r="W650" s="23" t="n"/>
      <c r="X650" s="23" t="n"/>
      <c r="Y650" s="25" t="n"/>
      <c r="Z650" s="25" t="n"/>
      <c r="AA650" s="23" t="n"/>
      <c r="AB650" s="25" t="n"/>
      <c r="AC650" s="23" t="n"/>
      <c r="AD650" s="25" t="n"/>
      <c r="AE650" s="23" t="n"/>
      <c r="AF650" s="25" t="n"/>
      <c r="AG650" s="25" t="n"/>
      <c r="AH650" s="23" t="n"/>
      <c r="AI650" s="23" t="n"/>
      <c r="AJ650" s="26">
        <f>IF(I650="","",I650&amp;"|"&amp;R650)</f>
        <v/>
      </c>
      <c r="AK650" s="26">
        <f>IF(I650="","",IF(ISNA(MATCH(O650,Kampanyalar!$A$2:$A$150,0)),"Hayır - Kampanyalar'da Yok","Evet"))</f>
        <v/>
      </c>
      <c r="AL650" s="27">
        <f>IF(I650="","",IFERROR(INDEX(Kampanyalar!$E$2:$E$150,MATCH(O650,Kampanyalar!$A$2:$A$150,0)),""))</f>
        <v/>
      </c>
      <c r="AM650" s="27">
        <f>IF(I650="","",IFERROR(INDEX(Kampanyalar!$F$2:$F$150,MATCH(O650,Kampanyalar!$A$2:$A$150,0)),""))</f>
        <v/>
      </c>
      <c r="AN650" s="27">
        <f>IF(I650="","",IFERROR(INDEX(Kampanyalar!$G$2:$G$150,MATCH(O650,Kampanyalar!$A$2:$A$150,0)),""))</f>
        <v/>
      </c>
      <c r="AO650" s="26">
        <f>IF(OR(I650="",AL650="",AM650=""),"",IF(AND(H650&gt;=AL650,H650&lt;=AM650),"Evet","HAYIR - Tarih Dışı"))</f>
        <v/>
      </c>
      <c r="AP650" s="28">
        <f>IF(I650="","",IFERROR(INDEX(Kampanyalar!$H$2:$H$150,MATCH(O650,Kampanyalar!$A$2:$A$150,0)),""))</f>
        <v/>
      </c>
      <c r="AQ650" s="28">
        <f>IF(I650="","",IF(ISNUMBER(AP650),AP650,AD650))</f>
        <v/>
      </c>
      <c r="AR650" s="26">
        <f>IF(I650="","",IF(Parametreler!$C$7="Evet","Kural A - Hemen Ödeme (Stok Mutabakatlı)","Kural B - Nakliye/Montaj Sonrası Ödeme"))</f>
        <v/>
      </c>
    </row>
    <row r="651">
      <c r="A651" s="23" t="n"/>
      <c r="B651" s="23" t="n"/>
      <c r="C651" s="23" t="n"/>
      <c r="D651" s="23" t="n"/>
      <c r="E651" s="23" t="n"/>
      <c r="F651" s="23" t="n"/>
      <c r="G651" s="23" t="n"/>
      <c r="H651" s="24" t="n"/>
      <c r="I651" s="23" t="n"/>
      <c r="J651" s="23" t="n"/>
      <c r="K651" s="23" t="n"/>
      <c r="L651" s="23" t="n"/>
      <c r="M651" s="23" t="n"/>
      <c r="N651" s="23" t="n"/>
      <c r="O651" s="23" t="n"/>
      <c r="P651" s="23" t="n"/>
      <c r="Q651" s="23" t="n"/>
      <c r="R651" s="23" t="n"/>
      <c r="S651" s="23" t="n"/>
      <c r="T651" s="23" t="n"/>
      <c r="U651" s="23" t="n"/>
      <c r="V651" s="23" t="n"/>
      <c r="W651" s="23" t="n"/>
      <c r="X651" s="23" t="n"/>
      <c r="Y651" s="25" t="n"/>
      <c r="Z651" s="25" t="n"/>
      <c r="AA651" s="23" t="n"/>
      <c r="AB651" s="25" t="n"/>
      <c r="AC651" s="23" t="n"/>
      <c r="AD651" s="25" t="n"/>
      <c r="AE651" s="23" t="n"/>
      <c r="AF651" s="25" t="n"/>
      <c r="AG651" s="25" t="n"/>
      <c r="AH651" s="23" t="n"/>
      <c r="AI651" s="23" t="n"/>
      <c r="AJ651" s="26">
        <f>IF(I651="","",I651&amp;"|"&amp;R651)</f>
        <v/>
      </c>
      <c r="AK651" s="26">
        <f>IF(I651="","",IF(ISNA(MATCH(O651,Kampanyalar!$A$2:$A$150,0)),"Hayır - Kampanyalar'da Yok","Evet"))</f>
        <v/>
      </c>
      <c r="AL651" s="27">
        <f>IF(I651="","",IFERROR(INDEX(Kampanyalar!$E$2:$E$150,MATCH(O651,Kampanyalar!$A$2:$A$150,0)),""))</f>
        <v/>
      </c>
      <c r="AM651" s="27">
        <f>IF(I651="","",IFERROR(INDEX(Kampanyalar!$F$2:$F$150,MATCH(O651,Kampanyalar!$A$2:$A$150,0)),""))</f>
        <v/>
      </c>
      <c r="AN651" s="27">
        <f>IF(I651="","",IFERROR(INDEX(Kampanyalar!$G$2:$G$150,MATCH(O651,Kampanyalar!$A$2:$A$150,0)),""))</f>
        <v/>
      </c>
      <c r="AO651" s="26">
        <f>IF(OR(I651="",AL651="",AM651=""),"",IF(AND(H651&gt;=AL651,H651&lt;=AM651),"Evet","HAYIR - Tarih Dışı"))</f>
        <v/>
      </c>
      <c r="AP651" s="28">
        <f>IF(I651="","",IFERROR(INDEX(Kampanyalar!$H$2:$H$150,MATCH(O651,Kampanyalar!$A$2:$A$150,0)),""))</f>
        <v/>
      </c>
      <c r="AQ651" s="28">
        <f>IF(I651="","",IF(ISNUMBER(AP651),AP651,AD651))</f>
        <v/>
      </c>
      <c r="AR651" s="26">
        <f>IF(I651="","",IF(Parametreler!$C$7="Evet","Kural A - Hemen Ödeme (Stok Mutabakatlı)","Kural B - Nakliye/Montaj Sonrası Ödeme"))</f>
        <v/>
      </c>
    </row>
    <row r="652">
      <c r="A652" s="23" t="n"/>
      <c r="B652" s="23" t="n"/>
      <c r="C652" s="23" t="n"/>
      <c r="D652" s="23" t="n"/>
      <c r="E652" s="23" t="n"/>
      <c r="F652" s="23" t="n"/>
      <c r="G652" s="23" t="n"/>
      <c r="H652" s="24" t="n"/>
      <c r="I652" s="23" t="n"/>
      <c r="J652" s="23" t="n"/>
      <c r="K652" s="23" t="n"/>
      <c r="L652" s="23" t="n"/>
      <c r="M652" s="23" t="n"/>
      <c r="N652" s="23" t="n"/>
      <c r="O652" s="23" t="n"/>
      <c r="P652" s="23" t="n"/>
      <c r="Q652" s="23" t="n"/>
      <c r="R652" s="23" t="n"/>
      <c r="S652" s="23" t="n"/>
      <c r="T652" s="23" t="n"/>
      <c r="U652" s="23" t="n"/>
      <c r="V652" s="23" t="n"/>
      <c r="W652" s="23" t="n"/>
      <c r="X652" s="23" t="n"/>
      <c r="Y652" s="25" t="n"/>
      <c r="Z652" s="25" t="n"/>
      <c r="AA652" s="23" t="n"/>
      <c r="AB652" s="25" t="n"/>
      <c r="AC652" s="23" t="n"/>
      <c r="AD652" s="25" t="n"/>
      <c r="AE652" s="23" t="n"/>
      <c r="AF652" s="25" t="n"/>
      <c r="AG652" s="25" t="n"/>
      <c r="AH652" s="23" t="n"/>
      <c r="AI652" s="23" t="n"/>
      <c r="AJ652" s="26">
        <f>IF(I652="","",I652&amp;"|"&amp;R652)</f>
        <v/>
      </c>
      <c r="AK652" s="26">
        <f>IF(I652="","",IF(ISNA(MATCH(O652,Kampanyalar!$A$2:$A$150,0)),"Hayır - Kampanyalar'da Yok","Evet"))</f>
        <v/>
      </c>
      <c r="AL652" s="27">
        <f>IF(I652="","",IFERROR(INDEX(Kampanyalar!$E$2:$E$150,MATCH(O652,Kampanyalar!$A$2:$A$150,0)),""))</f>
        <v/>
      </c>
      <c r="AM652" s="27">
        <f>IF(I652="","",IFERROR(INDEX(Kampanyalar!$F$2:$F$150,MATCH(O652,Kampanyalar!$A$2:$A$150,0)),""))</f>
        <v/>
      </c>
      <c r="AN652" s="27">
        <f>IF(I652="","",IFERROR(INDEX(Kampanyalar!$G$2:$G$150,MATCH(O652,Kampanyalar!$A$2:$A$150,0)),""))</f>
        <v/>
      </c>
      <c r="AO652" s="26">
        <f>IF(OR(I652="",AL652="",AM652=""),"",IF(AND(H652&gt;=AL652,H652&lt;=AM652),"Evet","HAYIR - Tarih Dışı"))</f>
        <v/>
      </c>
      <c r="AP652" s="28">
        <f>IF(I652="","",IFERROR(INDEX(Kampanyalar!$H$2:$H$150,MATCH(O652,Kampanyalar!$A$2:$A$150,0)),""))</f>
        <v/>
      </c>
      <c r="AQ652" s="28">
        <f>IF(I652="","",IF(ISNUMBER(AP652),AP652,AD652))</f>
        <v/>
      </c>
      <c r="AR652" s="26">
        <f>IF(I652="","",IF(Parametreler!$C$7="Evet","Kural A - Hemen Ödeme (Stok Mutabakatlı)","Kural B - Nakliye/Montaj Sonrası Ödeme"))</f>
        <v/>
      </c>
    </row>
    <row r="653">
      <c r="A653" s="23" t="n"/>
      <c r="B653" s="23" t="n"/>
      <c r="C653" s="23" t="n"/>
      <c r="D653" s="23" t="n"/>
      <c r="E653" s="23" t="n"/>
      <c r="F653" s="23" t="n"/>
      <c r="G653" s="23" t="n"/>
      <c r="H653" s="24" t="n"/>
      <c r="I653" s="23" t="n"/>
      <c r="J653" s="23" t="n"/>
      <c r="K653" s="23" t="n"/>
      <c r="L653" s="23" t="n"/>
      <c r="M653" s="23" t="n"/>
      <c r="N653" s="23" t="n"/>
      <c r="O653" s="23" t="n"/>
      <c r="P653" s="23" t="n"/>
      <c r="Q653" s="23" t="n"/>
      <c r="R653" s="23" t="n"/>
      <c r="S653" s="23" t="n"/>
      <c r="T653" s="23" t="n"/>
      <c r="U653" s="23" t="n"/>
      <c r="V653" s="23" t="n"/>
      <c r="W653" s="23" t="n"/>
      <c r="X653" s="23" t="n"/>
      <c r="Y653" s="25" t="n"/>
      <c r="Z653" s="25" t="n"/>
      <c r="AA653" s="23" t="n"/>
      <c r="AB653" s="25" t="n"/>
      <c r="AC653" s="23" t="n"/>
      <c r="AD653" s="25" t="n"/>
      <c r="AE653" s="23" t="n"/>
      <c r="AF653" s="25" t="n"/>
      <c r="AG653" s="25" t="n"/>
      <c r="AH653" s="23" t="n"/>
      <c r="AI653" s="23" t="n"/>
      <c r="AJ653" s="26">
        <f>IF(I653="","",I653&amp;"|"&amp;R653)</f>
        <v/>
      </c>
      <c r="AK653" s="26">
        <f>IF(I653="","",IF(ISNA(MATCH(O653,Kampanyalar!$A$2:$A$150,0)),"Hayır - Kampanyalar'da Yok","Evet"))</f>
        <v/>
      </c>
      <c r="AL653" s="27">
        <f>IF(I653="","",IFERROR(INDEX(Kampanyalar!$E$2:$E$150,MATCH(O653,Kampanyalar!$A$2:$A$150,0)),""))</f>
        <v/>
      </c>
      <c r="AM653" s="27">
        <f>IF(I653="","",IFERROR(INDEX(Kampanyalar!$F$2:$F$150,MATCH(O653,Kampanyalar!$A$2:$A$150,0)),""))</f>
        <v/>
      </c>
      <c r="AN653" s="27">
        <f>IF(I653="","",IFERROR(INDEX(Kampanyalar!$G$2:$G$150,MATCH(O653,Kampanyalar!$A$2:$A$150,0)),""))</f>
        <v/>
      </c>
      <c r="AO653" s="26">
        <f>IF(OR(I653="",AL653="",AM653=""),"",IF(AND(H653&gt;=AL653,H653&lt;=AM653),"Evet","HAYIR - Tarih Dışı"))</f>
        <v/>
      </c>
      <c r="AP653" s="28">
        <f>IF(I653="","",IFERROR(INDEX(Kampanyalar!$H$2:$H$150,MATCH(O653,Kampanyalar!$A$2:$A$150,0)),""))</f>
        <v/>
      </c>
      <c r="AQ653" s="28">
        <f>IF(I653="","",IF(ISNUMBER(AP653),AP653,AD653))</f>
        <v/>
      </c>
      <c r="AR653" s="26">
        <f>IF(I653="","",IF(Parametreler!$C$7="Evet","Kural A - Hemen Ödeme (Stok Mutabakatlı)","Kural B - Nakliye/Montaj Sonrası Ödeme"))</f>
        <v/>
      </c>
    </row>
    <row r="654">
      <c r="A654" s="23" t="n"/>
      <c r="B654" s="23" t="n"/>
      <c r="C654" s="23" t="n"/>
      <c r="D654" s="23" t="n"/>
      <c r="E654" s="23" t="n"/>
      <c r="F654" s="23" t="n"/>
      <c r="G654" s="23" t="n"/>
      <c r="H654" s="24" t="n"/>
      <c r="I654" s="23" t="n"/>
      <c r="J654" s="23" t="n"/>
      <c r="K654" s="23" t="n"/>
      <c r="L654" s="23" t="n"/>
      <c r="M654" s="23" t="n"/>
      <c r="N654" s="23" t="n"/>
      <c r="O654" s="23" t="n"/>
      <c r="P654" s="23" t="n"/>
      <c r="Q654" s="23" t="n"/>
      <c r="R654" s="23" t="n"/>
      <c r="S654" s="23" t="n"/>
      <c r="T654" s="23" t="n"/>
      <c r="U654" s="23" t="n"/>
      <c r="V654" s="23" t="n"/>
      <c r="W654" s="23" t="n"/>
      <c r="X654" s="23" t="n"/>
      <c r="Y654" s="25" t="n"/>
      <c r="Z654" s="25" t="n"/>
      <c r="AA654" s="23" t="n"/>
      <c r="AB654" s="25" t="n"/>
      <c r="AC654" s="23" t="n"/>
      <c r="AD654" s="25" t="n"/>
      <c r="AE654" s="23" t="n"/>
      <c r="AF654" s="25" t="n"/>
      <c r="AG654" s="25" t="n"/>
      <c r="AH654" s="23" t="n"/>
      <c r="AI654" s="23" t="n"/>
      <c r="AJ654" s="26">
        <f>IF(I654="","",I654&amp;"|"&amp;R654)</f>
        <v/>
      </c>
      <c r="AK654" s="26">
        <f>IF(I654="","",IF(ISNA(MATCH(O654,Kampanyalar!$A$2:$A$150,0)),"Hayır - Kampanyalar'da Yok","Evet"))</f>
        <v/>
      </c>
      <c r="AL654" s="27">
        <f>IF(I654="","",IFERROR(INDEX(Kampanyalar!$E$2:$E$150,MATCH(O654,Kampanyalar!$A$2:$A$150,0)),""))</f>
        <v/>
      </c>
      <c r="AM654" s="27">
        <f>IF(I654="","",IFERROR(INDEX(Kampanyalar!$F$2:$F$150,MATCH(O654,Kampanyalar!$A$2:$A$150,0)),""))</f>
        <v/>
      </c>
      <c r="AN654" s="27">
        <f>IF(I654="","",IFERROR(INDEX(Kampanyalar!$G$2:$G$150,MATCH(O654,Kampanyalar!$A$2:$A$150,0)),""))</f>
        <v/>
      </c>
      <c r="AO654" s="26">
        <f>IF(OR(I654="",AL654="",AM654=""),"",IF(AND(H654&gt;=AL654,H654&lt;=AM654),"Evet","HAYIR - Tarih Dışı"))</f>
        <v/>
      </c>
      <c r="AP654" s="28">
        <f>IF(I654="","",IFERROR(INDEX(Kampanyalar!$H$2:$H$150,MATCH(O654,Kampanyalar!$A$2:$A$150,0)),""))</f>
        <v/>
      </c>
      <c r="AQ654" s="28">
        <f>IF(I654="","",IF(ISNUMBER(AP654),AP654,AD654))</f>
        <v/>
      </c>
      <c r="AR654" s="26">
        <f>IF(I654="","",IF(Parametreler!$C$7="Evet","Kural A - Hemen Ödeme (Stok Mutabakatlı)","Kural B - Nakliye/Montaj Sonrası Ödeme"))</f>
        <v/>
      </c>
    </row>
    <row r="655">
      <c r="A655" s="23" t="n"/>
      <c r="B655" s="23" t="n"/>
      <c r="C655" s="23" t="n"/>
      <c r="D655" s="23" t="n"/>
      <c r="E655" s="23" t="n"/>
      <c r="F655" s="23" t="n"/>
      <c r="G655" s="23" t="n"/>
      <c r="H655" s="24" t="n"/>
      <c r="I655" s="23" t="n"/>
      <c r="J655" s="23" t="n"/>
      <c r="K655" s="23" t="n"/>
      <c r="L655" s="23" t="n"/>
      <c r="M655" s="23" t="n"/>
      <c r="N655" s="23" t="n"/>
      <c r="O655" s="23" t="n"/>
      <c r="P655" s="23" t="n"/>
      <c r="Q655" s="23" t="n"/>
      <c r="R655" s="23" t="n"/>
      <c r="S655" s="23" t="n"/>
      <c r="T655" s="23" t="n"/>
      <c r="U655" s="23" t="n"/>
      <c r="V655" s="23" t="n"/>
      <c r="W655" s="23" t="n"/>
      <c r="X655" s="23" t="n"/>
      <c r="Y655" s="25" t="n"/>
      <c r="Z655" s="25" t="n"/>
      <c r="AA655" s="23" t="n"/>
      <c r="AB655" s="25" t="n"/>
      <c r="AC655" s="23" t="n"/>
      <c r="AD655" s="25" t="n"/>
      <c r="AE655" s="23" t="n"/>
      <c r="AF655" s="25" t="n"/>
      <c r="AG655" s="25" t="n"/>
      <c r="AH655" s="23" t="n"/>
      <c r="AI655" s="23" t="n"/>
      <c r="AJ655" s="26">
        <f>IF(I655="","",I655&amp;"|"&amp;R655)</f>
        <v/>
      </c>
      <c r="AK655" s="26">
        <f>IF(I655="","",IF(ISNA(MATCH(O655,Kampanyalar!$A$2:$A$150,0)),"Hayır - Kampanyalar'da Yok","Evet"))</f>
        <v/>
      </c>
      <c r="AL655" s="27">
        <f>IF(I655="","",IFERROR(INDEX(Kampanyalar!$E$2:$E$150,MATCH(O655,Kampanyalar!$A$2:$A$150,0)),""))</f>
        <v/>
      </c>
      <c r="AM655" s="27">
        <f>IF(I655="","",IFERROR(INDEX(Kampanyalar!$F$2:$F$150,MATCH(O655,Kampanyalar!$A$2:$A$150,0)),""))</f>
        <v/>
      </c>
      <c r="AN655" s="27">
        <f>IF(I655="","",IFERROR(INDEX(Kampanyalar!$G$2:$G$150,MATCH(O655,Kampanyalar!$A$2:$A$150,0)),""))</f>
        <v/>
      </c>
      <c r="AO655" s="26">
        <f>IF(OR(I655="",AL655="",AM655=""),"",IF(AND(H655&gt;=AL655,H655&lt;=AM655),"Evet","HAYIR - Tarih Dışı"))</f>
        <v/>
      </c>
      <c r="AP655" s="28">
        <f>IF(I655="","",IFERROR(INDEX(Kampanyalar!$H$2:$H$150,MATCH(O655,Kampanyalar!$A$2:$A$150,0)),""))</f>
        <v/>
      </c>
      <c r="AQ655" s="28">
        <f>IF(I655="","",IF(ISNUMBER(AP655),AP655,AD655))</f>
        <v/>
      </c>
      <c r="AR655" s="26">
        <f>IF(I655="","",IF(Parametreler!$C$7="Evet","Kural A - Hemen Ödeme (Stok Mutabakatlı)","Kural B - Nakliye/Montaj Sonrası Ödeme"))</f>
        <v/>
      </c>
    </row>
    <row r="656">
      <c r="A656" s="23" t="n"/>
      <c r="B656" s="23" t="n"/>
      <c r="C656" s="23" t="n"/>
      <c r="D656" s="23" t="n"/>
      <c r="E656" s="23" t="n"/>
      <c r="F656" s="23" t="n"/>
      <c r="G656" s="23" t="n"/>
      <c r="H656" s="24" t="n"/>
      <c r="I656" s="23" t="n"/>
      <c r="J656" s="23" t="n"/>
      <c r="K656" s="23" t="n"/>
      <c r="L656" s="23" t="n"/>
      <c r="M656" s="23" t="n"/>
      <c r="N656" s="23" t="n"/>
      <c r="O656" s="23" t="n"/>
      <c r="P656" s="23" t="n"/>
      <c r="Q656" s="23" t="n"/>
      <c r="R656" s="23" t="n"/>
      <c r="S656" s="23" t="n"/>
      <c r="T656" s="23" t="n"/>
      <c r="U656" s="23" t="n"/>
      <c r="V656" s="23" t="n"/>
      <c r="W656" s="23" t="n"/>
      <c r="X656" s="23" t="n"/>
      <c r="Y656" s="25" t="n"/>
      <c r="Z656" s="25" t="n"/>
      <c r="AA656" s="23" t="n"/>
      <c r="AB656" s="25" t="n"/>
      <c r="AC656" s="23" t="n"/>
      <c r="AD656" s="25" t="n"/>
      <c r="AE656" s="23" t="n"/>
      <c r="AF656" s="25" t="n"/>
      <c r="AG656" s="25" t="n"/>
      <c r="AH656" s="23" t="n"/>
      <c r="AI656" s="23" t="n"/>
      <c r="AJ656" s="26">
        <f>IF(I656="","",I656&amp;"|"&amp;R656)</f>
        <v/>
      </c>
      <c r="AK656" s="26">
        <f>IF(I656="","",IF(ISNA(MATCH(O656,Kampanyalar!$A$2:$A$150,0)),"Hayır - Kampanyalar'da Yok","Evet"))</f>
        <v/>
      </c>
      <c r="AL656" s="27">
        <f>IF(I656="","",IFERROR(INDEX(Kampanyalar!$E$2:$E$150,MATCH(O656,Kampanyalar!$A$2:$A$150,0)),""))</f>
        <v/>
      </c>
      <c r="AM656" s="27">
        <f>IF(I656="","",IFERROR(INDEX(Kampanyalar!$F$2:$F$150,MATCH(O656,Kampanyalar!$A$2:$A$150,0)),""))</f>
        <v/>
      </c>
      <c r="AN656" s="27">
        <f>IF(I656="","",IFERROR(INDEX(Kampanyalar!$G$2:$G$150,MATCH(O656,Kampanyalar!$A$2:$A$150,0)),""))</f>
        <v/>
      </c>
      <c r="AO656" s="26">
        <f>IF(OR(I656="",AL656="",AM656=""),"",IF(AND(H656&gt;=AL656,H656&lt;=AM656),"Evet","HAYIR - Tarih Dışı"))</f>
        <v/>
      </c>
      <c r="AP656" s="28">
        <f>IF(I656="","",IFERROR(INDEX(Kampanyalar!$H$2:$H$150,MATCH(O656,Kampanyalar!$A$2:$A$150,0)),""))</f>
        <v/>
      </c>
      <c r="AQ656" s="28">
        <f>IF(I656="","",IF(ISNUMBER(AP656),AP656,AD656))</f>
        <v/>
      </c>
      <c r="AR656" s="26">
        <f>IF(I656="","",IF(Parametreler!$C$7="Evet","Kural A - Hemen Ödeme (Stok Mutabakatlı)","Kural B - Nakliye/Montaj Sonrası Ödeme"))</f>
        <v/>
      </c>
    </row>
    <row r="657">
      <c r="A657" s="23" t="n"/>
      <c r="B657" s="23" t="n"/>
      <c r="C657" s="23" t="n"/>
      <c r="D657" s="23" t="n"/>
      <c r="E657" s="23" t="n"/>
      <c r="F657" s="23" t="n"/>
      <c r="G657" s="23" t="n"/>
      <c r="H657" s="24" t="n"/>
      <c r="I657" s="23" t="n"/>
      <c r="J657" s="23" t="n"/>
      <c r="K657" s="23" t="n"/>
      <c r="L657" s="23" t="n"/>
      <c r="M657" s="23" t="n"/>
      <c r="N657" s="23" t="n"/>
      <c r="O657" s="23" t="n"/>
      <c r="P657" s="23" t="n"/>
      <c r="Q657" s="23" t="n"/>
      <c r="R657" s="23" t="n"/>
      <c r="S657" s="23" t="n"/>
      <c r="T657" s="23" t="n"/>
      <c r="U657" s="23" t="n"/>
      <c r="V657" s="23" t="n"/>
      <c r="W657" s="23" t="n"/>
      <c r="X657" s="23" t="n"/>
      <c r="Y657" s="25" t="n"/>
      <c r="Z657" s="25" t="n"/>
      <c r="AA657" s="23" t="n"/>
      <c r="AB657" s="25" t="n"/>
      <c r="AC657" s="23" t="n"/>
      <c r="AD657" s="25" t="n"/>
      <c r="AE657" s="23" t="n"/>
      <c r="AF657" s="25" t="n"/>
      <c r="AG657" s="25" t="n"/>
      <c r="AH657" s="23" t="n"/>
      <c r="AI657" s="23" t="n"/>
      <c r="AJ657" s="26">
        <f>IF(I657="","",I657&amp;"|"&amp;R657)</f>
        <v/>
      </c>
      <c r="AK657" s="26">
        <f>IF(I657="","",IF(ISNA(MATCH(O657,Kampanyalar!$A$2:$A$150,0)),"Hayır - Kampanyalar'da Yok","Evet"))</f>
        <v/>
      </c>
      <c r="AL657" s="27">
        <f>IF(I657="","",IFERROR(INDEX(Kampanyalar!$E$2:$E$150,MATCH(O657,Kampanyalar!$A$2:$A$150,0)),""))</f>
        <v/>
      </c>
      <c r="AM657" s="27">
        <f>IF(I657="","",IFERROR(INDEX(Kampanyalar!$F$2:$F$150,MATCH(O657,Kampanyalar!$A$2:$A$150,0)),""))</f>
        <v/>
      </c>
      <c r="AN657" s="27">
        <f>IF(I657="","",IFERROR(INDEX(Kampanyalar!$G$2:$G$150,MATCH(O657,Kampanyalar!$A$2:$A$150,0)),""))</f>
        <v/>
      </c>
      <c r="AO657" s="26">
        <f>IF(OR(I657="",AL657="",AM657=""),"",IF(AND(H657&gt;=AL657,H657&lt;=AM657),"Evet","HAYIR - Tarih Dışı"))</f>
        <v/>
      </c>
      <c r="AP657" s="28">
        <f>IF(I657="","",IFERROR(INDEX(Kampanyalar!$H$2:$H$150,MATCH(O657,Kampanyalar!$A$2:$A$150,0)),""))</f>
        <v/>
      </c>
      <c r="AQ657" s="28">
        <f>IF(I657="","",IF(ISNUMBER(AP657),AP657,AD657))</f>
        <v/>
      </c>
      <c r="AR657" s="26">
        <f>IF(I657="","",IF(Parametreler!$C$7="Evet","Kural A - Hemen Ödeme (Stok Mutabakatlı)","Kural B - Nakliye/Montaj Sonrası Ödeme"))</f>
        <v/>
      </c>
    </row>
    <row r="658">
      <c r="A658" s="23" t="n"/>
      <c r="B658" s="23" t="n"/>
      <c r="C658" s="23" t="n"/>
      <c r="D658" s="23" t="n"/>
      <c r="E658" s="23" t="n"/>
      <c r="F658" s="23" t="n"/>
      <c r="G658" s="23" t="n"/>
      <c r="H658" s="24" t="n"/>
      <c r="I658" s="23" t="n"/>
      <c r="J658" s="23" t="n"/>
      <c r="K658" s="23" t="n"/>
      <c r="L658" s="23" t="n"/>
      <c r="M658" s="23" t="n"/>
      <c r="N658" s="23" t="n"/>
      <c r="O658" s="23" t="n"/>
      <c r="P658" s="23" t="n"/>
      <c r="Q658" s="23" t="n"/>
      <c r="R658" s="23" t="n"/>
      <c r="S658" s="23" t="n"/>
      <c r="T658" s="23" t="n"/>
      <c r="U658" s="23" t="n"/>
      <c r="V658" s="23" t="n"/>
      <c r="W658" s="23" t="n"/>
      <c r="X658" s="23" t="n"/>
      <c r="Y658" s="25" t="n"/>
      <c r="Z658" s="25" t="n"/>
      <c r="AA658" s="23" t="n"/>
      <c r="AB658" s="25" t="n"/>
      <c r="AC658" s="23" t="n"/>
      <c r="AD658" s="25" t="n"/>
      <c r="AE658" s="23" t="n"/>
      <c r="AF658" s="25" t="n"/>
      <c r="AG658" s="25" t="n"/>
      <c r="AH658" s="23" t="n"/>
      <c r="AI658" s="23" t="n"/>
      <c r="AJ658" s="26">
        <f>IF(I658="","",I658&amp;"|"&amp;R658)</f>
        <v/>
      </c>
      <c r="AK658" s="26">
        <f>IF(I658="","",IF(ISNA(MATCH(O658,Kampanyalar!$A$2:$A$150,0)),"Hayır - Kampanyalar'da Yok","Evet"))</f>
        <v/>
      </c>
      <c r="AL658" s="27">
        <f>IF(I658="","",IFERROR(INDEX(Kampanyalar!$E$2:$E$150,MATCH(O658,Kampanyalar!$A$2:$A$150,0)),""))</f>
        <v/>
      </c>
      <c r="AM658" s="27">
        <f>IF(I658="","",IFERROR(INDEX(Kampanyalar!$F$2:$F$150,MATCH(O658,Kampanyalar!$A$2:$A$150,0)),""))</f>
        <v/>
      </c>
      <c r="AN658" s="27">
        <f>IF(I658="","",IFERROR(INDEX(Kampanyalar!$G$2:$G$150,MATCH(O658,Kampanyalar!$A$2:$A$150,0)),""))</f>
        <v/>
      </c>
      <c r="AO658" s="26">
        <f>IF(OR(I658="",AL658="",AM658=""),"",IF(AND(H658&gt;=AL658,H658&lt;=AM658),"Evet","HAYIR - Tarih Dışı"))</f>
        <v/>
      </c>
      <c r="AP658" s="28">
        <f>IF(I658="","",IFERROR(INDEX(Kampanyalar!$H$2:$H$150,MATCH(O658,Kampanyalar!$A$2:$A$150,0)),""))</f>
        <v/>
      </c>
      <c r="AQ658" s="28">
        <f>IF(I658="","",IF(ISNUMBER(AP658),AP658,AD658))</f>
        <v/>
      </c>
      <c r="AR658" s="26">
        <f>IF(I658="","",IF(Parametreler!$C$7="Evet","Kural A - Hemen Ödeme (Stok Mutabakatlı)","Kural B - Nakliye/Montaj Sonrası Ödeme"))</f>
        <v/>
      </c>
    </row>
    <row r="659">
      <c r="A659" s="23" t="n"/>
      <c r="B659" s="23" t="n"/>
      <c r="C659" s="23" t="n"/>
      <c r="D659" s="23" t="n"/>
      <c r="E659" s="23" t="n"/>
      <c r="F659" s="23" t="n"/>
      <c r="G659" s="23" t="n"/>
      <c r="H659" s="24" t="n"/>
      <c r="I659" s="23" t="n"/>
      <c r="J659" s="23" t="n"/>
      <c r="K659" s="23" t="n"/>
      <c r="L659" s="23" t="n"/>
      <c r="M659" s="23" t="n"/>
      <c r="N659" s="23" t="n"/>
      <c r="O659" s="23" t="n"/>
      <c r="P659" s="23" t="n"/>
      <c r="Q659" s="23" t="n"/>
      <c r="R659" s="23" t="n"/>
      <c r="S659" s="23" t="n"/>
      <c r="T659" s="23" t="n"/>
      <c r="U659" s="23" t="n"/>
      <c r="V659" s="23" t="n"/>
      <c r="W659" s="23" t="n"/>
      <c r="X659" s="23" t="n"/>
      <c r="Y659" s="25" t="n"/>
      <c r="Z659" s="25" t="n"/>
      <c r="AA659" s="23" t="n"/>
      <c r="AB659" s="25" t="n"/>
      <c r="AC659" s="23" t="n"/>
      <c r="AD659" s="25" t="n"/>
      <c r="AE659" s="23" t="n"/>
      <c r="AF659" s="25" t="n"/>
      <c r="AG659" s="25" t="n"/>
      <c r="AH659" s="23" t="n"/>
      <c r="AI659" s="23" t="n"/>
      <c r="AJ659" s="26">
        <f>IF(I659="","",I659&amp;"|"&amp;R659)</f>
        <v/>
      </c>
      <c r="AK659" s="26">
        <f>IF(I659="","",IF(ISNA(MATCH(O659,Kampanyalar!$A$2:$A$150,0)),"Hayır - Kampanyalar'da Yok","Evet"))</f>
        <v/>
      </c>
      <c r="AL659" s="27">
        <f>IF(I659="","",IFERROR(INDEX(Kampanyalar!$E$2:$E$150,MATCH(O659,Kampanyalar!$A$2:$A$150,0)),""))</f>
        <v/>
      </c>
      <c r="AM659" s="27">
        <f>IF(I659="","",IFERROR(INDEX(Kampanyalar!$F$2:$F$150,MATCH(O659,Kampanyalar!$A$2:$A$150,0)),""))</f>
        <v/>
      </c>
      <c r="AN659" s="27">
        <f>IF(I659="","",IFERROR(INDEX(Kampanyalar!$G$2:$G$150,MATCH(O659,Kampanyalar!$A$2:$A$150,0)),""))</f>
        <v/>
      </c>
      <c r="AO659" s="26">
        <f>IF(OR(I659="",AL659="",AM659=""),"",IF(AND(H659&gt;=AL659,H659&lt;=AM659),"Evet","HAYIR - Tarih Dışı"))</f>
        <v/>
      </c>
      <c r="AP659" s="28">
        <f>IF(I659="","",IFERROR(INDEX(Kampanyalar!$H$2:$H$150,MATCH(O659,Kampanyalar!$A$2:$A$150,0)),""))</f>
        <v/>
      </c>
      <c r="AQ659" s="28">
        <f>IF(I659="","",IF(ISNUMBER(AP659),AP659,AD659))</f>
        <v/>
      </c>
      <c r="AR659" s="26">
        <f>IF(I659="","",IF(Parametreler!$C$7="Evet","Kural A - Hemen Ödeme (Stok Mutabakatlı)","Kural B - Nakliye/Montaj Sonrası Ödeme"))</f>
        <v/>
      </c>
    </row>
    <row r="660">
      <c r="A660" s="23" t="n"/>
      <c r="B660" s="23" t="n"/>
      <c r="C660" s="23" t="n"/>
      <c r="D660" s="23" t="n"/>
      <c r="E660" s="23" t="n"/>
      <c r="F660" s="23" t="n"/>
      <c r="G660" s="23" t="n"/>
      <c r="H660" s="24" t="n"/>
      <c r="I660" s="23" t="n"/>
      <c r="J660" s="23" t="n"/>
      <c r="K660" s="23" t="n"/>
      <c r="L660" s="23" t="n"/>
      <c r="M660" s="23" t="n"/>
      <c r="N660" s="23" t="n"/>
      <c r="O660" s="23" t="n"/>
      <c r="P660" s="23" t="n"/>
      <c r="Q660" s="23" t="n"/>
      <c r="R660" s="23" t="n"/>
      <c r="S660" s="23" t="n"/>
      <c r="T660" s="23" t="n"/>
      <c r="U660" s="23" t="n"/>
      <c r="V660" s="23" t="n"/>
      <c r="W660" s="23" t="n"/>
      <c r="X660" s="23" t="n"/>
      <c r="Y660" s="25" t="n"/>
      <c r="Z660" s="25" t="n"/>
      <c r="AA660" s="23" t="n"/>
      <c r="AB660" s="25" t="n"/>
      <c r="AC660" s="23" t="n"/>
      <c r="AD660" s="25" t="n"/>
      <c r="AE660" s="23" t="n"/>
      <c r="AF660" s="25" t="n"/>
      <c r="AG660" s="25" t="n"/>
      <c r="AH660" s="23" t="n"/>
      <c r="AI660" s="23" t="n"/>
      <c r="AJ660" s="26">
        <f>IF(I660="","",I660&amp;"|"&amp;R660)</f>
        <v/>
      </c>
      <c r="AK660" s="26">
        <f>IF(I660="","",IF(ISNA(MATCH(O660,Kampanyalar!$A$2:$A$150,0)),"Hayır - Kampanyalar'da Yok","Evet"))</f>
        <v/>
      </c>
      <c r="AL660" s="27">
        <f>IF(I660="","",IFERROR(INDEX(Kampanyalar!$E$2:$E$150,MATCH(O660,Kampanyalar!$A$2:$A$150,0)),""))</f>
        <v/>
      </c>
      <c r="AM660" s="27">
        <f>IF(I660="","",IFERROR(INDEX(Kampanyalar!$F$2:$F$150,MATCH(O660,Kampanyalar!$A$2:$A$150,0)),""))</f>
        <v/>
      </c>
      <c r="AN660" s="27">
        <f>IF(I660="","",IFERROR(INDEX(Kampanyalar!$G$2:$G$150,MATCH(O660,Kampanyalar!$A$2:$A$150,0)),""))</f>
        <v/>
      </c>
      <c r="AO660" s="26">
        <f>IF(OR(I660="",AL660="",AM660=""),"",IF(AND(H660&gt;=AL660,H660&lt;=AM660),"Evet","HAYIR - Tarih Dışı"))</f>
        <v/>
      </c>
      <c r="AP660" s="28">
        <f>IF(I660="","",IFERROR(INDEX(Kampanyalar!$H$2:$H$150,MATCH(O660,Kampanyalar!$A$2:$A$150,0)),""))</f>
        <v/>
      </c>
      <c r="AQ660" s="28">
        <f>IF(I660="","",IF(ISNUMBER(AP660),AP660,AD660))</f>
        <v/>
      </c>
      <c r="AR660" s="26">
        <f>IF(I660="","",IF(Parametreler!$C$7="Evet","Kural A - Hemen Ödeme (Stok Mutabakatlı)","Kural B - Nakliye/Montaj Sonrası Ödeme"))</f>
        <v/>
      </c>
    </row>
    <row r="661">
      <c r="A661" s="23" t="n"/>
      <c r="B661" s="23" t="n"/>
      <c r="C661" s="23" t="n"/>
      <c r="D661" s="23" t="n"/>
      <c r="E661" s="23" t="n"/>
      <c r="F661" s="23" t="n"/>
      <c r="G661" s="23" t="n"/>
      <c r="H661" s="24" t="n"/>
      <c r="I661" s="23" t="n"/>
      <c r="J661" s="23" t="n"/>
      <c r="K661" s="23" t="n"/>
      <c r="L661" s="23" t="n"/>
      <c r="M661" s="23" t="n"/>
      <c r="N661" s="23" t="n"/>
      <c r="O661" s="23" t="n"/>
      <c r="P661" s="23" t="n"/>
      <c r="Q661" s="23" t="n"/>
      <c r="R661" s="23" t="n"/>
      <c r="S661" s="23" t="n"/>
      <c r="T661" s="23" t="n"/>
      <c r="U661" s="23" t="n"/>
      <c r="V661" s="23" t="n"/>
      <c r="W661" s="23" t="n"/>
      <c r="X661" s="23" t="n"/>
      <c r="Y661" s="25" t="n"/>
      <c r="Z661" s="25" t="n"/>
      <c r="AA661" s="23" t="n"/>
      <c r="AB661" s="25" t="n"/>
      <c r="AC661" s="23" t="n"/>
      <c r="AD661" s="25" t="n"/>
      <c r="AE661" s="23" t="n"/>
      <c r="AF661" s="25" t="n"/>
      <c r="AG661" s="25" t="n"/>
      <c r="AH661" s="23" t="n"/>
      <c r="AI661" s="23" t="n"/>
      <c r="AJ661" s="26">
        <f>IF(I661="","",I661&amp;"|"&amp;R661)</f>
        <v/>
      </c>
      <c r="AK661" s="26">
        <f>IF(I661="","",IF(ISNA(MATCH(O661,Kampanyalar!$A$2:$A$150,0)),"Hayır - Kampanyalar'da Yok","Evet"))</f>
        <v/>
      </c>
      <c r="AL661" s="27">
        <f>IF(I661="","",IFERROR(INDEX(Kampanyalar!$E$2:$E$150,MATCH(O661,Kampanyalar!$A$2:$A$150,0)),""))</f>
        <v/>
      </c>
      <c r="AM661" s="27">
        <f>IF(I661="","",IFERROR(INDEX(Kampanyalar!$F$2:$F$150,MATCH(O661,Kampanyalar!$A$2:$A$150,0)),""))</f>
        <v/>
      </c>
      <c r="AN661" s="27">
        <f>IF(I661="","",IFERROR(INDEX(Kampanyalar!$G$2:$G$150,MATCH(O661,Kampanyalar!$A$2:$A$150,0)),""))</f>
        <v/>
      </c>
      <c r="AO661" s="26">
        <f>IF(OR(I661="",AL661="",AM661=""),"",IF(AND(H661&gt;=AL661,H661&lt;=AM661),"Evet","HAYIR - Tarih Dışı"))</f>
        <v/>
      </c>
      <c r="AP661" s="28">
        <f>IF(I661="","",IFERROR(INDEX(Kampanyalar!$H$2:$H$150,MATCH(O661,Kampanyalar!$A$2:$A$150,0)),""))</f>
        <v/>
      </c>
      <c r="AQ661" s="28">
        <f>IF(I661="","",IF(ISNUMBER(AP661),AP661,AD661))</f>
        <v/>
      </c>
      <c r="AR661" s="26">
        <f>IF(I661="","",IF(Parametreler!$C$7="Evet","Kural A - Hemen Ödeme (Stok Mutabakatlı)","Kural B - Nakliye/Montaj Sonrası Ödeme"))</f>
        <v/>
      </c>
    </row>
    <row r="662">
      <c r="A662" s="23" t="n"/>
      <c r="B662" s="23" t="n"/>
      <c r="C662" s="23" t="n"/>
      <c r="D662" s="23" t="n"/>
      <c r="E662" s="23" t="n"/>
      <c r="F662" s="23" t="n"/>
      <c r="G662" s="23" t="n"/>
      <c r="H662" s="24" t="n"/>
      <c r="I662" s="23" t="n"/>
      <c r="J662" s="23" t="n"/>
      <c r="K662" s="23" t="n"/>
      <c r="L662" s="23" t="n"/>
      <c r="M662" s="23" t="n"/>
      <c r="N662" s="23" t="n"/>
      <c r="O662" s="23" t="n"/>
      <c r="P662" s="23" t="n"/>
      <c r="Q662" s="23" t="n"/>
      <c r="R662" s="23" t="n"/>
      <c r="S662" s="23" t="n"/>
      <c r="T662" s="23" t="n"/>
      <c r="U662" s="23" t="n"/>
      <c r="V662" s="23" t="n"/>
      <c r="W662" s="23" t="n"/>
      <c r="X662" s="23" t="n"/>
      <c r="Y662" s="25" t="n"/>
      <c r="Z662" s="25" t="n"/>
      <c r="AA662" s="23" t="n"/>
      <c r="AB662" s="25" t="n"/>
      <c r="AC662" s="23" t="n"/>
      <c r="AD662" s="25" t="n"/>
      <c r="AE662" s="23" t="n"/>
      <c r="AF662" s="25" t="n"/>
      <c r="AG662" s="25" t="n"/>
      <c r="AH662" s="23" t="n"/>
      <c r="AI662" s="23" t="n"/>
      <c r="AJ662" s="26">
        <f>IF(I662="","",I662&amp;"|"&amp;R662)</f>
        <v/>
      </c>
      <c r="AK662" s="26">
        <f>IF(I662="","",IF(ISNA(MATCH(O662,Kampanyalar!$A$2:$A$150,0)),"Hayır - Kampanyalar'da Yok","Evet"))</f>
        <v/>
      </c>
      <c r="AL662" s="27">
        <f>IF(I662="","",IFERROR(INDEX(Kampanyalar!$E$2:$E$150,MATCH(O662,Kampanyalar!$A$2:$A$150,0)),""))</f>
        <v/>
      </c>
      <c r="AM662" s="27">
        <f>IF(I662="","",IFERROR(INDEX(Kampanyalar!$F$2:$F$150,MATCH(O662,Kampanyalar!$A$2:$A$150,0)),""))</f>
        <v/>
      </c>
      <c r="AN662" s="27">
        <f>IF(I662="","",IFERROR(INDEX(Kampanyalar!$G$2:$G$150,MATCH(O662,Kampanyalar!$A$2:$A$150,0)),""))</f>
        <v/>
      </c>
      <c r="AO662" s="26">
        <f>IF(OR(I662="",AL662="",AM662=""),"",IF(AND(H662&gt;=AL662,H662&lt;=AM662),"Evet","HAYIR - Tarih Dışı"))</f>
        <v/>
      </c>
      <c r="AP662" s="28">
        <f>IF(I662="","",IFERROR(INDEX(Kampanyalar!$H$2:$H$150,MATCH(O662,Kampanyalar!$A$2:$A$150,0)),""))</f>
        <v/>
      </c>
      <c r="AQ662" s="28">
        <f>IF(I662="","",IF(ISNUMBER(AP662),AP662,AD662))</f>
        <v/>
      </c>
      <c r="AR662" s="26">
        <f>IF(I662="","",IF(Parametreler!$C$7="Evet","Kural A - Hemen Ödeme (Stok Mutabakatlı)","Kural B - Nakliye/Montaj Sonrası Ödeme"))</f>
        <v/>
      </c>
    </row>
    <row r="663">
      <c r="A663" s="23" t="n"/>
      <c r="B663" s="23" t="n"/>
      <c r="C663" s="23" t="n"/>
      <c r="D663" s="23" t="n"/>
      <c r="E663" s="23" t="n"/>
      <c r="F663" s="23" t="n"/>
      <c r="G663" s="23" t="n"/>
      <c r="H663" s="24" t="n"/>
      <c r="I663" s="23" t="n"/>
      <c r="J663" s="23" t="n"/>
      <c r="K663" s="23" t="n"/>
      <c r="L663" s="23" t="n"/>
      <c r="M663" s="23" t="n"/>
      <c r="N663" s="23" t="n"/>
      <c r="O663" s="23" t="n"/>
      <c r="P663" s="23" t="n"/>
      <c r="Q663" s="23" t="n"/>
      <c r="R663" s="23" t="n"/>
      <c r="S663" s="23" t="n"/>
      <c r="T663" s="23" t="n"/>
      <c r="U663" s="23" t="n"/>
      <c r="V663" s="23" t="n"/>
      <c r="W663" s="23" t="n"/>
      <c r="X663" s="23" t="n"/>
      <c r="Y663" s="25" t="n"/>
      <c r="Z663" s="25" t="n"/>
      <c r="AA663" s="23" t="n"/>
      <c r="AB663" s="25" t="n"/>
      <c r="AC663" s="23" t="n"/>
      <c r="AD663" s="25" t="n"/>
      <c r="AE663" s="23" t="n"/>
      <c r="AF663" s="25" t="n"/>
      <c r="AG663" s="25" t="n"/>
      <c r="AH663" s="23" t="n"/>
      <c r="AI663" s="23" t="n"/>
      <c r="AJ663" s="26">
        <f>IF(I663="","",I663&amp;"|"&amp;R663)</f>
        <v/>
      </c>
      <c r="AK663" s="26">
        <f>IF(I663="","",IF(ISNA(MATCH(O663,Kampanyalar!$A$2:$A$150,0)),"Hayır - Kampanyalar'da Yok","Evet"))</f>
        <v/>
      </c>
      <c r="AL663" s="27">
        <f>IF(I663="","",IFERROR(INDEX(Kampanyalar!$E$2:$E$150,MATCH(O663,Kampanyalar!$A$2:$A$150,0)),""))</f>
        <v/>
      </c>
      <c r="AM663" s="27">
        <f>IF(I663="","",IFERROR(INDEX(Kampanyalar!$F$2:$F$150,MATCH(O663,Kampanyalar!$A$2:$A$150,0)),""))</f>
        <v/>
      </c>
      <c r="AN663" s="27">
        <f>IF(I663="","",IFERROR(INDEX(Kampanyalar!$G$2:$G$150,MATCH(O663,Kampanyalar!$A$2:$A$150,0)),""))</f>
        <v/>
      </c>
      <c r="AO663" s="26">
        <f>IF(OR(I663="",AL663="",AM663=""),"",IF(AND(H663&gt;=AL663,H663&lt;=AM663),"Evet","HAYIR - Tarih Dışı"))</f>
        <v/>
      </c>
      <c r="AP663" s="28">
        <f>IF(I663="","",IFERROR(INDEX(Kampanyalar!$H$2:$H$150,MATCH(O663,Kampanyalar!$A$2:$A$150,0)),""))</f>
        <v/>
      </c>
      <c r="AQ663" s="28">
        <f>IF(I663="","",IF(ISNUMBER(AP663),AP663,AD663))</f>
        <v/>
      </c>
      <c r="AR663" s="26">
        <f>IF(I663="","",IF(Parametreler!$C$7="Evet","Kural A - Hemen Ödeme (Stok Mutabakatlı)","Kural B - Nakliye/Montaj Sonrası Ödeme"))</f>
        <v/>
      </c>
    </row>
    <row r="664">
      <c r="A664" s="23" t="n"/>
      <c r="B664" s="23" t="n"/>
      <c r="C664" s="23" t="n"/>
      <c r="D664" s="23" t="n"/>
      <c r="E664" s="23" t="n"/>
      <c r="F664" s="23" t="n"/>
      <c r="G664" s="23" t="n"/>
      <c r="H664" s="24" t="n"/>
      <c r="I664" s="23" t="n"/>
      <c r="J664" s="23" t="n"/>
      <c r="K664" s="23" t="n"/>
      <c r="L664" s="23" t="n"/>
      <c r="M664" s="23" t="n"/>
      <c r="N664" s="23" t="n"/>
      <c r="O664" s="23" t="n"/>
      <c r="P664" s="23" t="n"/>
      <c r="Q664" s="23" t="n"/>
      <c r="R664" s="23" t="n"/>
      <c r="S664" s="23" t="n"/>
      <c r="T664" s="23" t="n"/>
      <c r="U664" s="23" t="n"/>
      <c r="V664" s="23" t="n"/>
      <c r="W664" s="23" t="n"/>
      <c r="X664" s="23" t="n"/>
      <c r="Y664" s="25" t="n"/>
      <c r="Z664" s="25" t="n"/>
      <c r="AA664" s="23" t="n"/>
      <c r="AB664" s="25" t="n"/>
      <c r="AC664" s="23" t="n"/>
      <c r="AD664" s="25" t="n"/>
      <c r="AE664" s="23" t="n"/>
      <c r="AF664" s="25" t="n"/>
      <c r="AG664" s="25" t="n"/>
      <c r="AH664" s="23" t="n"/>
      <c r="AI664" s="23" t="n"/>
      <c r="AJ664" s="26">
        <f>IF(I664="","",I664&amp;"|"&amp;R664)</f>
        <v/>
      </c>
      <c r="AK664" s="26">
        <f>IF(I664="","",IF(ISNA(MATCH(O664,Kampanyalar!$A$2:$A$150,0)),"Hayır - Kampanyalar'da Yok","Evet"))</f>
        <v/>
      </c>
      <c r="AL664" s="27">
        <f>IF(I664="","",IFERROR(INDEX(Kampanyalar!$E$2:$E$150,MATCH(O664,Kampanyalar!$A$2:$A$150,0)),""))</f>
        <v/>
      </c>
      <c r="AM664" s="27">
        <f>IF(I664="","",IFERROR(INDEX(Kampanyalar!$F$2:$F$150,MATCH(O664,Kampanyalar!$A$2:$A$150,0)),""))</f>
        <v/>
      </c>
      <c r="AN664" s="27">
        <f>IF(I664="","",IFERROR(INDEX(Kampanyalar!$G$2:$G$150,MATCH(O664,Kampanyalar!$A$2:$A$150,0)),""))</f>
        <v/>
      </c>
      <c r="AO664" s="26">
        <f>IF(OR(I664="",AL664="",AM664=""),"",IF(AND(H664&gt;=AL664,H664&lt;=AM664),"Evet","HAYIR - Tarih Dışı"))</f>
        <v/>
      </c>
      <c r="AP664" s="28">
        <f>IF(I664="","",IFERROR(INDEX(Kampanyalar!$H$2:$H$150,MATCH(O664,Kampanyalar!$A$2:$A$150,0)),""))</f>
        <v/>
      </c>
      <c r="AQ664" s="28">
        <f>IF(I664="","",IF(ISNUMBER(AP664),AP664,AD664))</f>
        <v/>
      </c>
      <c r="AR664" s="26">
        <f>IF(I664="","",IF(Parametreler!$C$7="Evet","Kural A - Hemen Ödeme (Stok Mutabakatlı)","Kural B - Nakliye/Montaj Sonrası Ödeme"))</f>
        <v/>
      </c>
    </row>
    <row r="665">
      <c r="A665" s="23" t="n"/>
      <c r="B665" s="23" t="n"/>
      <c r="C665" s="23" t="n"/>
      <c r="D665" s="23" t="n"/>
      <c r="E665" s="23" t="n"/>
      <c r="F665" s="23" t="n"/>
      <c r="G665" s="23" t="n"/>
      <c r="H665" s="24" t="n"/>
      <c r="I665" s="23" t="n"/>
      <c r="J665" s="23" t="n"/>
      <c r="K665" s="23" t="n"/>
      <c r="L665" s="23" t="n"/>
      <c r="M665" s="23" t="n"/>
      <c r="N665" s="23" t="n"/>
      <c r="O665" s="23" t="n"/>
      <c r="P665" s="23" t="n"/>
      <c r="Q665" s="23" t="n"/>
      <c r="R665" s="23" t="n"/>
      <c r="S665" s="23" t="n"/>
      <c r="T665" s="23" t="n"/>
      <c r="U665" s="23" t="n"/>
      <c r="V665" s="23" t="n"/>
      <c r="W665" s="23" t="n"/>
      <c r="X665" s="23" t="n"/>
      <c r="Y665" s="25" t="n"/>
      <c r="Z665" s="25" t="n"/>
      <c r="AA665" s="23" t="n"/>
      <c r="AB665" s="25" t="n"/>
      <c r="AC665" s="23" t="n"/>
      <c r="AD665" s="25" t="n"/>
      <c r="AE665" s="23" t="n"/>
      <c r="AF665" s="25" t="n"/>
      <c r="AG665" s="25" t="n"/>
      <c r="AH665" s="23" t="n"/>
      <c r="AI665" s="23" t="n"/>
      <c r="AJ665" s="26">
        <f>IF(I665="","",I665&amp;"|"&amp;R665)</f>
        <v/>
      </c>
      <c r="AK665" s="26">
        <f>IF(I665="","",IF(ISNA(MATCH(O665,Kampanyalar!$A$2:$A$150,0)),"Hayır - Kampanyalar'da Yok","Evet"))</f>
        <v/>
      </c>
      <c r="AL665" s="27">
        <f>IF(I665="","",IFERROR(INDEX(Kampanyalar!$E$2:$E$150,MATCH(O665,Kampanyalar!$A$2:$A$150,0)),""))</f>
        <v/>
      </c>
      <c r="AM665" s="27">
        <f>IF(I665="","",IFERROR(INDEX(Kampanyalar!$F$2:$F$150,MATCH(O665,Kampanyalar!$A$2:$A$150,0)),""))</f>
        <v/>
      </c>
      <c r="AN665" s="27">
        <f>IF(I665="","",IFERROR(INDEX(Kampanyalar!$G$2:$G$150,MATCH(O665,Kampanyalar!$A$2:$A$150,0)),""))</f>
        <v/>
      </c>
      <c r="AO665" s="26">
        <f>IF(OR(I665="",AL665="",AM665=""),"",IF(AND(H665&gt;=AL665,H665&lt;=AM665),"Evet","HAYIR - Tarih Dışı"))</f>
        <v/>
      </c>
      <c r="AP665" s="28">
        <f>IF(I665="","",IFERROR(INDEX(Kampanyalar!$H$2:$H$150,MATCH(O665,Kampanyalar!$A$2:$A$150,0)),""))</f>
        <v/>
      </c>
      <c r="AQ665" s="28">
        <f>IF(I665="","",IF(ISNUMBER(AP665),AP665,AD665))</f>
        <v/>
      </c>
      <c r="AR665" s="26">
        <f>IF(I665="","",IF(Parametreler!$C$7="Evet","Kural A - Hemen Ödeme (Stok Mutabakatlı)","Kural B - Nakliye/Montaj Sonrası Ödeme"))</f>
        <v/>
      </c>
    </row>
    <row r="666">
      <c r="A666" s="23" t="n"/>
      <c r="B666" s="23" t="n"/>
      <c r="C666" s="23" t="n"/>
      <c r="D666" s="23" t="n"/>
      <c r="E666" s="23" t="n"/>
      <c r="F666" s="23" t="n"/>
      <c r="G666" s="23" t="n"/>
      <c r="H666" s="24" t="n"/>
      <c r="I666" s="23" t="n"/>
      <c r="J666" s="23" t="n"/>
      <c r="K666" s="23" t="n"/>
      <c r="L666" s="23" t="n"/>
      <c r="M666" s="23" t="n"/>
      <c r="N666" s="23" t="n"/>
      <c r="O666" s="23" t="n"/>
      <c r="P666" s="23" t="n"/>
      <c r="Q666" s="23" t="n"/>
      <c r="R666" s="23" t="n"/>
      <c r="S666" s="23" t="n"/>
      <c r="T666" s="23" t="n"/>
      <c r="U666" s="23" t="n"/>
      <c r="V666" s="23" t="n"/>
      <c r="W666" s="23" t="n"/>
      <c r="X666" s="23" t="n"/>
      <c r="Y666" s="25" t="n"/>
      <c r="Z666" s="25" t="n"/>
      <c r="AA666" s="23" t="n"/>
      <c r="AB666" s="25" t="n"/>
      <c r="AC666" s="23" t="n"/>
      <c r="AD666" s="25" t="n"/>
      <c r="AE666" s="23" t="n"/>
      <c r="AF666" s="25" t="n"/>
      <c r="AG666" s="25" t="n"/>
      <c r="AH666" s="23" t="n"/>
      <c r="AI666" s="23" t="n"/>
      <c r="AJ666" s="26">
        <f>IF(I666="","",I666&amp;"|"&amp;R666)</f>
        <v/>
      </c>
      <c r="AK666" s="26">
        <f>IF(I666="","",IF(ISNA(MATCH(O666,Kampanyalar!$A$2:$A$150,0)),"Hayır - Kampanyalar'da Yok","Evet"))</f>
        <v/>
      </c>
      <c r="AL666" s="27">
        <f>IF(I666="","",IFERROR(INDEX(Kampanyalar!$E$2:$E$150,MATCH(O666,Kampanyalar!$A$2:$A$150,0)),""))</f>
        <v/>
      </c>
      <c r="AM666" s="27">
        <f>IF(I666="","",IFERROR(INDEX(Kampanyalar!$F$2:$F$150,MATCH(O666,Kampanyalar!$A$2:$A$150,0)),""))</f>
        <v/>
      </c>
      <c r="AN666" s="27">
        <f>IF(I666="","",IFERROR(INDEX(Kampanyalar!$G$2:$G$150,MATCH(O666,Kampanyalar!$A$2:$A$150,0)),""))</f>
        <v/>
      </c>
      <c r="AO666" s="26">
        <f>IF(OR(I666="",AL666="",AM666=""),"",IF(AND(H666&gt;=AL666,H666&lt;=AM666),"Evet","HAYIR - Tarih Dışı"))</f>
        <v/>
      </c>
      <c r="AP666" s="28">
        <f>IF(I666="","",IFERROR(INDEX(Kampanyalar!$H$2:$H$150,MATCH(O666,Kampanyalar!$A$2:$A$150,0)),""))</f>
        <v/>
      </c>
      <c r="AQ666" s="28">
        <f>IF(I666="","",IF(ISNUMBER(AP666),AP666,AD666))</f>
        <v/>
      </c>
      <c r="AR666" s="26">
        <f>IF(I666="","",IF(Parametreler!$C$7="Evet","Kural A - Hemen Ödeme (Stok Mutabakatlı)","Kural B - Nakliye/Montaj Sonrası Ödeme"))</f>
        <v/>
      </c>
    </row>
    <row r="667">
      <c r="A667" s="23" t="n"/>
      <c r="B667" s="23" t="n"/>
      <c r="C667" s="23" t="n"/>
      <c r="D667" s="23" t="n"/>
      <c r="E667" s="23" t="n"/>
      <c r="F667" s="23" t="n"/>
      <c r="G667" s="23" t="n"/>
      <c r="H667" s="24" t="n"/>
      <c r="I667" s="23" t="n"/>
      <c r="J667" s="23" t="n"/>
      <c r="K667" s="23" t="n"/>
      <c r="L667" s="23" t="n"/>
      <c r="M667" s="23" t="n"/>
      <c r="N667" s="23" t="n"/>
      <c r="O667" s="23" t="n"/>
      <c r="P667" s="23" t="n"/>
      <c r="Q667" s="23" t="n"/>
      <c r="R667" s="23" t="n"/>
      <c r="S667" s="23" t="n"/>
      <c r="T667" s="23" t="n"/>
      <c r="U667" s="23" t="n"/>
      <c r="V667" s="23" t="n"/>
      <c r="W667" s="23" t="n"/>
      <c r="X667" s="23" t="n"/>
      <c r="Y667" s="25" t="n"/>
      <c r="Z667" s="25" t="n"/>
      <c r="AA667" s="23" t="n"/>
      <c r="AB667" s="25" t="n"/>
      <c r="AC667" s="23" t="n"/>
      <c r="AD667" s="25" t="n"/>
      <c r="AE667" s="23" t="n"/>
      <c r="AF667" s="25" t="n"/>
      <c r="AG667" s="25" t="n"/>
      <c r="AH667" s="23" t="n"/>
      <c r="AI667" s="23" t="n"/>
      <c r="AJ667" s="26">
        <f>IF(I667="","",I667&amp;"|"&amp;R667)</f>
        <v/>
      </c>
      <c r="AK667" s="26">
        <f>IF(I667="","",IF(ISNA(MATCH(O667,Kampanyalar!$A$2:$A$150,0)),"Hayır - Kampanyalar'da Yok","Evet"))</f>
        <v/>
      </c>
      <c r="AL667" s="27">
        <f>IF(I667="","",IFERROR(INDEX(Kampanyalar!$E$2:$E$150,MATCH(O667,Kampanyalar!$A$2:$A$150,0)),""))</f>
        <v/>
      </c>
      <c r="AM667" s="27">
        <f>IF(I667="","",IFERROR(INDEX(Kampanyalar!$F$2:$F$150,MATCH(O667,Kampanyalar!$A$2:$A$150,0)),""))</f>
        <v/>
      </c>
      <c r="AN667" s="27">
        <f>IF(I667="","",IFERROR(INDEX(Kampanyalar!$G$2:$G$150,MATCH(O667,Kampanyalar!$A$2:$A$150,0)),""))</f>
        <v/>
      </c>
      <c r="AO667" s="26">
        <f>IF(OR(I667="",AL667="",AM667=""),"",IF(AND(H667&gt;=AL667,H667&lt;=AM667),"Evet","HAYIR - Tarih Dışı"))</f>
        <v/>
      </c>
      <c r="AP667" s="28">
        <f>IF(I667="","",IFERROR(INDEX(Kampanyalar!$H$2:$H$150,MATCH(O667,Kampanyalar!$A$2:$A$150,0)),""))</f>
        <v/>
      </c>
      <c r="AQ667" s="28">
        <f>IF(I667="","",IF(ISNUMBER(AP667),AP667,AD667))</f>
        <v/>
      </c>
      <c r="AR667" s="26">
        <f>IF(I667="","",IF(Parametreler!$C$7="Evet","Kural A - Hemen Ödeme (Stok Mutabakatlı)","Kural B - Nakliye/Montaj Sonrası Ödeme"))</f>
        <v/>
      </c>
    </row>
    <row r="668">
      <c r="A668" s="23" t="n"/>
      <c r="B668" s="23" t="n"/>
      <c r="C668" s="23" t="n"/>
      <c r="D668" s="23" t="n"/>
      <c r="E668" s="23" t="n"/>
      <c r="F668" s="23" t="n"/>
      <c r="G668" s="23" t="n"/>
      <c r="H668" s="24" t="n"/>
      <c r="I668" s="23" t="n"/>
      <c r="J668" s="23" t="n"/>
      <c r="K668" s="23" t="n"/>
      <c r="L668" s="23" t="n"/>
      <c r="M668" s="23" t="n"/>
      <c r="N668" s="23" t="n"/>
      <c r="O668" s="23" t="n"/>
      <c r="P668" s="23" t="n"/>
      <c r="Q668" s="23" t="n"/>
      <c r="R668" s="23" t="n"/>
      <c r="S668" s="23" t="n"/>
      <c r="T668" s="23" t="n"/>
      <c r="U668" s="23" t="n"/>
      <c r="V668" s="23" t="n"/>
      <c r="W668" s="23" t="n"/>
      <c r="X668" s="23" t="n"/>
      <c r="Y668" s="25" t="n"/>
      <c r="Z668" s="25" t="n"/>
      <c r="AA668" s="23" t="n"/>
      <c r="AB668" s="25" t="n"/>
      <c r="AC668" s="23" t="n"/>
      <c r="AD668" s="25" t="n"/>
      <c r="AE668" s="23" t="n"/>
      <c r="AF668" s="25" t="n"/>
      <c r="AG668" s="25" t="n"/>
      <c r="AH668" s="23" t="n"/>
      <c r="AI668" s="23" t="n"/>
      <c r="AJ668" s="26">
        <f>IF(I668="","",I668&amp;"|"&amp;R668)</f>
        <v/>
      </c>
      <c r="AK668" s="26">
        <f>IF(I668="","",IF(ISNA(MATCH(O668,Kampanyalar!$A$2:$A$150,0)),"Hayır - Kampanyalar'da Yok","Evet"))</f>
        <v/>
      </c>
      <c r="AL668" s="27">
        <f>IF(I668="","",IFERROR(INDEX(Kampanyalar!$E$2:$E$150,MATCH(O668,Kampanyalar!$A$2:$A$150,0)),""))</f>
        <v/>
      </c>
      <c r="AM668" s="27">
        <f>IF(I668="","",IFERROR(INDEX(Kampanyalar!$F$2:$F$150,MATCH(O668,Kampanyalar!$A$2:$A$150,0)),""))</f>
        <v/>
      </c>
      <c r="AN668" s="27">
        <f>IF(I668="","",IFERROR(INDEX(Kampanyalar!$G$2:$G$150,MATCH(O668,Kampanyalar!$A$2:$A$150,0)),""))</f>
        <v/>
      </c>
      <c r="AO668" s="26">
        <f>IF(OR(I668="",AL668="",AM668=""),"",IF(AND(H668&gt;=AL668,H668&lt;=AM668),"Evet","HAYIR - Tarih Dışı"))</f>
        <v/>
      </c>
      <c r="AP668" s="28">
        <f>IF(I668="","",IFERROR(INDEX(Kampanyalar!$H$2:$H$150,MATCH(O668,Kampanyalar!$A$2:$A$150,0)),""))</f>
        <v/>
      </c>
      <c r="AQ668" s="28">
        <f>IF(I668="","",IF(ISNUMBER(AP668),AP668,AD668))</f>
        <v/>
      </c>
      <c r="AR668" s="26">
        <f>IF(I668="","",IF(Parametreler!$C$7="Evet","Kural A - Hemen Ödeme (Stok Mutabakatlı)","Kural B - Nakliye/Montaj Sonrası Ödeme"))</f>
        <v/>
      </c>
    </row>
    <row r="669">
      <c r="A669" s="23" t="n"/>
      <c r="B669" s="23" t="n"/>
      <c r="C669" s="23" t="n"/>
      <c r="D669" s="23" t="n"/>
      <c r="E669" s="23" t="n"/>
      <c r="F669" s="23" t="n"/>
      <c r="G669" s="23" t="n"/>
      <c r="H669" s="24" t="n"/>
      <c r="I669" s="23" t="n"/>
      <c r="J669" s="23" t="n"/>
      <c r="K669" s="23" t="n"/>
      <c r="L669" s="23" t="n"/>
      <c r="M669" s="23" t="n"/>
      <c r="N669" s="23" t="n"/>
      <c r="O669" s="23" t="n"/>
      <c r="P669" s="23" t="n"/>
      <c r="Q669" s="23" t="n"/>
      <c r="R669" s="23" t="n"/>
      <c r="S669" s="23" t="n"/>
      <c r="T669" s="23" t="n"/>
      <c r="U669" s="23" t="n"/>
      <c r="V669" s="23" t="n"/>
      <c r="W669" s="23" t="n"/>
      <c r="X669" s="23" t="n"/>
      <c r="Y669" s="25" t="n"/>
      <c r="Z669" s="25" t="n"/>
      <c r="AA669" s="23" t="n"/>
      <c r="AB669" s="25" t="n"/>
      <c r="AC669" s="23" t="n"/>
      <c r="AD669" s="25" t="n"/>
      <c r="AE669" s="23" t="n"/>
      <c r="AF669" s="25" t="n"/>
      <c r="AG669" s="25" t="n"/>
      <c r="AH669" s="23" t="n"/>
      <c r="AI669" s="23" t="n"/>
      <c r="AJ669" s="26">
        <f>IF(I669="","",I669&amp;"|"&amp;R669)</f>
        <v/>
      </c>
      <c r="AK669" s="26">
        <f>IF(I669="","",IF(ISNA(MATCH(O669,Kampanyalar!$A$2:$A$150,0)),"Hayır - Kampanyalar'da Yok","Evet"))</f>
        <v/>
      </c>
      <c r="AL669" s="27">
        <f>IF(I669="","",IFERROR(INDEX(Kampanyalar!$E$2:$E$150,MATCH(O669,Kampanyalar!$A$2:$A$150,0)),""))</f>
        <v/>
      </c>
      <c r="AM669" s="27">
        <f>IF(I669="","",IFERROR(INDEX(Kampanyalar!$F$2:$F$150,MATCH(O669,Kampanyalar!$A$2:$A$150,0)),""))</f>
        <v/>
      </c>
      <c r="AN669" s="27">
        <f>IF(I669="","",IFERROR(INDEX(Kampanyalar!$G$2:$G$150,MATCH(O669,Kampanyalar!$A$2:$A$150,0)),""))</f>
        <v/>
      </c>
      <c r="AO669" s="26">
        <f>IF(OR(I669="",AL669="",AM669=""),"",IF(AND(H669&gt;=AL669,H669&lt;=AM669),"Evet","HAYIR - Tarih Dışı"))</f>
        <v/>
      </c>
      <c r="AP669" s="28">
        <f>IF(I669="","",IFERROR(INDEX(Kampanyalar!$H$2:$H$150,MATCH(O669,Kampanyalar!$A$2:$A$150,0)),""))</f>
        <v/>
      </c>
      <c r="AQ669" s="28">
        <f>IF(I669="","",IF(ISNUMBER(AP669),AP669,AD669))</f>
        <v/>
      </c>
      <c r="AR669" s="26">
        <f>IF(I669="","",IF(Parametreler!$C$7="Evet","Kural A - Hemen Ödeme (Stok Mutabakatlı)","Kural B - Nakliye/Montaj Sonrası Ödeme"))</f>
        <v/>
      </c>
    </row>
    <row r="670">
      <c r="A670" s="23" t="n"/>
      <c r="B670" s="23" t="n"/>
      <c r="C670" s="23" t="n"/>
      <c r="D670" s="23" t="n"/>
      <c r="E670" s="23" t="n"/>
      <c r="F670" s="23" t="n"/>
      <c r="G670" s="23" t="n"/>
      <c r="H670" s="24" t="n"/>
      <c r="I670" s="23" t="n"/>
      <c r="J670" s="23" t="n"/>
      <c r="K670" s="23" t="n"/>
      <c r="L670" s="23" t="n"/>
      <c r="M670" s="23" t="n"/>
      <c r="N670" s="23" t="n"/>
      <c r="O670" s="23" t="n"/>
      <c r="P670" s="23" t="n"/>
      <c r="Q670" s="23" t="n"/>
      <c r="R670" s="23" t="n"/>
      <c r="S670" s="23" t="n"/>
      <c r="T670" s="23" t="n"/>
      <c r="U670" s="23" t="n"/>
      <c r="V670" s="23" t="n"/>
      <c r="W670" s="23" t="n"/>
      <c r="X670" s="23" t="n"/>
      <c r="Y670" s="25" t="n"/>
      <c r="Z670" s="25" t="n"/>
      <c r="AA670" s="23" t="n"/>
      <c r="AB670" s="25" t="n"/>
      <c r="AC670" s="23" t="n"/>
      <c r="AD670" s="25" t="n"/>
      <c r="AE670" s="23" t="n"/>
      <c r="AF670" s="25" t="n"/>
      <c r="AG670" s="25" t="n"/>
      <c r="AH670" s="23" t="n"/>
      <c r="AI670" s="23" t="n"/>
      <c r="AJ670" s="26">
        <f>IF(I670="","",I670&amp;"|"&amp;R670)</f>
        <v/>
      </c>
      <c r="AK670" s="26">
        <f>IF(I670="","",IF(ISNA(MATCH(O670,Kampanyalar!$A$2:$A$150,0)),"Hayır - Kampanyalar'da Yok","Evet"))</f>
        <v/>
      </c>
      <c r="AL670" s="27">
        <f>IF(I670="","",IFERROR(INDEX(Kampanyalar!$E$2:$E$150,MATCH(O670,Kampanyalar!$A$2:$A$150,0)),""))</f>
        <v/>
      </c>
      <c r="AM670" s="27">
        <f>IF(I670="","",IFERROR(INDEX(Kampanyalar!$F$2:$F$150,MATCH(O670,Kampanyalar!$A$2:$A$150,0)),""))</f>
        <v/>
      </c>
      <c r="AN670" s="27">
        <f>IF(I670="","",IFERROR(INDEX(Kampanyalar!$G$2:$G$150,MATCH(O670,Kampanyalar!$A$2:$A$150,0)),""))</f>
        <v/>
      </c>
      <c r="AO670" s="26">
        <f>IF(OR(I670="",AL670="",AM670=""),"",IF(AND(H670&gt;=AL670,H670&lt;=AM670),"Evet","HAYIR - Tarih Dışı"))</f>
        <v/>
      </c>
      <c r="AP670" s="28">
        <f>IF(I670="","",IFERROR(INDEX(Kampanyalar!$H$2:$H$150,MATCH(O670,Kampanyalar!$A$2:$A$150,0)),""))</f>
        <v/>
      </c>
      <c r="AQ670" s="28">
        <f>IF(I670="","",IF(ISNUMBER(AP670),AP670,AD670))</f>
        <v/>
      </c>
      <c r="AR670" s="26">
        <f>IF(I670="","",IF(Parametreler!$C$7="Evet","Kural A - Hemen Ödeme (Stok Mutabakatlı)","Kural B - Nakliye/Montaj Sonrası Ödeme"))</f>
        <v/>
      </c>
    </row>
    <row r="671">
      <c r="A671" s="23" t="n"/>
      <c r="B671" s="23" t="n"/>
      <c r="C671" s="23" t="n"/>
      <c r="D671" s="23" t="n"/>
      <c r="E671" s="23" t="n"/>
      <c r="F671" s="23" t="n"/>
      <c r="G671" s="23" t="n"/>
      <c r="H671" s="24" t="n"/>
      <c r="I671" s="23" t="n"/>
      <c r="J671" s="23" t="n"/>
      <c r="K671" s="23" t="n"/>
      <c r="L671" s="23" t="n"/>
      <c r="M671" s="23" t="n"/>
      <c r="N671" s="23" t="n"/>
      <c r="O671" s="23" t="n"/>
      <c r="P671" s="23" t="n"/>
      <c r="Q671" s="23" t="n"/>
      <c r="R671" s="23" t="n"/>
      <c r="S671" s="23" t="n"/>
      <c r="T671" s="23" t="n"/>
      <c r="U671" s="23" t="n"/>
      <c r="V671" s="23" t="n"/>
      <c r="W671" s="23" t="n"/>
      <c r="X671" s="23" t="n"/>
      <c r="Y671" s="25" t="n"/>
      <c r="Z671" s="25" t="n"/>
      <c r="AA671" s="23" t="n"/>
      <c r="AB671" s="25" t="n"/>
      <c r="AC671" s="23" t="n"/>
      <c r="AD671" s="25" t="n"/>
      <c r="AE671" s="23" t="n"/>
      <c r="AF671" s="25" t="n"/>
      <c r="AG671" s="25" t="n"/>
      <c r="AH671" s="23" t="n"/>
      <c r="AI671" s="23" t="n"/>
      <c r="AJ671" s="26">
        <f>IF(I671="","",I671&amp;"|"&amp;R671)</f>
        <v/>
      </c>
      <c r="AK671" s="26">
        <f>IF(I671="","",IF(ISNA(MATCH(O671,Kampanyalar!$A$2:$A$150,0)),"Hayır - Kampanyalar'da Yok","Evet"))</f>
        <v/>
      </c>
      <c r="AL671" s="27">
        <f>IF(I671="","",IFERROR(INDEX(Kampanyalar!$E$2:$E$150,MATCH(O671,Kampanyalar!$A$2:$A$150,0)),""))</f>
        <v/>
      </c>
      <c r="AM671" s="27">
        <f>IF(I671="","",IFERROR(INDEX(Kampanyalar!$F$2:$F$150,MATCH(O671,Kampanyalar!$A$2:$A$150,0)),""))</f>
        <v/>
      </c>
      <c r="AN671" s="27">
        <f>IF(I671="","",IFERROR(INDEX(Kampanyalar!$G$2:$G$150,MATCH(O671,Kampanyalar!$A$2:$A$150,0)),""))</f>
        <v/>
      </c>
      <c r="AO671" s="26">
        <f>IF(OR(I671="",AL671="",AM671=""),"",IF(AND(H671&gt;=AL671,H671&lt;=AM671),"Evet","HAYIR - Tarih Dışı"))</f>
        <v/>
      </c>
      <c r="AP671" s="28">
        <f>IF(I671="","",IFERROR(INDEX(Kampanyalar!$H$2:$H$150,MATCH(O671,Kampanyalar!$A$2:$A$150,0)),""))</f>
        <v/>
      </c>
      <c r="AQ671" s="28">
        <f>IF(I671="","",IF(ISNUMBER(AP671),AP671,AD671))</f>
        <v/>
      </c>
      <c r="AR671" s="26">
        <f>IF(I671="","",IF(Parametreler!$C$7="Evet","Kural A - Hemen Ödeme (Stok Mutabakatlı)","Kural B - Nakliye/Montaj Sonrası Ödeme"))</f>
        <v/>
      </c>
    </row>
    <row r="672">
      <c r="A672" s="23" t="n"/>
      <c r="B672" s="23" t="n"/>
      <c r="C672" s="23" t="n"/>
      <c r="D672" s="23" t="n"/>
      <c r="E672" s="23" t="n"/>
      <c r="F672" s="23" t="n"/>
      <c r="G672" s="23" t="n"/>
      <c r="H672" s="24" t="n"/>
      <c r="I672" s="23" t="n"/>
      <c r="J672" s="23" t="n"/>
      <c r="K672" s="23" t="n"/>
      <c r="L672" s="23" t="n"/>
      <c r="M672" s="23" t="n"/>
      <c r="N672" s="23" t="n"/>
      <c r="O672" s="23" t="n"/>
      <c r="P672" s="23" t="n"/>
      <c r="Q672" s="23" t="n"/>
      <c r="R672" s="23" t="n"/>
      <c r="S672" s="23" t="n"/>
      <c r="T672" s="23" t="n"/>
      <c r="U672" s="23" t="n"/>
      <c r="V672" s="23" t="n"/>
      <c r="W672" s="23" t="n"/>
      <c r="X672" s="23" t="n"/>
      <c r="Y672" s="25" t="n"/>
      <c r="Z672" s="25" t="n"/>
      <c r="AA672" s="23" t="n"/>
      <c r="AB672" s="25" t="n"/>
      <c r="AC672" s="23" t="n"/>
      <c r="AD672" s="25" t="n"/>
      <c r="AE672" s="23" t="n"/>
      <c r="AF672" s="25" t="n"/>
      <c r="AG672" s="25" t="n"/>
      <c r="AH672" s="23" t="n"/>
      <c r="AI672" s="23" t="n"/>
      <c r="AJ672" s="26">
        <f>IF(I672="","",I672&amp;"|"&amp;R672)</f>
        <v/>
      </c>
      <c r="AK672" s="26">
        <f>IF(I672="","",IF(ISNA(MATCH(O672,Kampanyalar!$A$2:$A$150,0)),"Hayır - Kampanyalar'da Yok","Evet"))</f>
        <v/>
      </c>
      <c r="AL672" s="27">
        <f>IF(I672="","",IFERROR(INDEX(Kampanyalar!$E$2:$E$150,MATCH(O672,Kampanyalar!$A$2:$A$150,0)),""))</f>
        <v/>
      </c>
      <c r="AM672" s="27">
        <f>IF(I672="","",IFERROR(INDEX(Kampanyalar!$F$2:$F$150,MATCH(O672,Kampanyalar!$A$2:$A$150,0)),""))</f>
        <v/>
      </c>
      <c r="AN672" s="27">
        <f>IF(I672="","",IFERROR(INDEX(Kampanyalar!$G$2:$G$150,MATCH(O672,Kampanyalar!$A$2:$A$150,0)),""))</f>
        <v/>
      </c>
      <c r="AO672" s="26">
        <f>IF(OR(I672="",AL672="",AM672=""),"",IF(AND(H672&gt;=AL672,H672&lt;=AM672),"Evet","HAYIR - Tarih Dışı"))</f>
        <v/>
      </c>
      <c r="AP672" s="28">
        <f>IF(I672="","",IFERROR(INDEX(Kampanyalar!$H$2:$H$150,MATCH(O672,Kampanyalar!$A$2:$A$150,0)),""))</f>
        <v/>
      </c>
      <c r="AQ672" s="28">
        <f>IF(I672="","",IF(ISNUMBER(AP672),AP672,AD672))</f>
        <v/>
      </c>
      <c r="AR672" s="26">
        <f>IF(I672="","",IF(Parametreler!$C$7="Evet","Kural A - Hemen Ödeme (Stok Mutabakatlı)","Kural B - Nakliye/Montaj Sonrası Ödeme"))</f>
        <v/>
      </c>
    </row>
    <row r="673">
      <c r="A673" s="23" t="n"/>
      <c r="B673" s="23" t="n"/>
      <c r="C673" s="23" t="n"/>
      <c r="D673" s="23" t="n"/>
      <c r="E673" s="23" t="n"/>
      <c r="F673" s="23" t="n"/>
      <c r="G673" s="23" t="n"/>
      <c r="H673" s="24" t="n"/>
      <c r="I673" s="23" t="n"/>
      <c r="J673" s="23" t="n"/>
      <c r="K673" s="23" t="n"/>
      <c r="L673" s="23" t="n"/>
      <c r="M673" s="23" t="n"/>
      <c r="N673" s="23" t="n"/>
      <c r="O673" s="23" t="n"/>
      <c r="P673" s="23" t="n"/>
      <c r="Q673" s="23" t="n"/>
      <c r="R673" s="23" t="n"/>
      <c r="S673" s="23" t="n"/>
      <c r="T673" s="23" t="n"/>
      <c r="U673" s="23" t="n"/>
      <c r="V673" s="23" t="n"/>
      <c r="W673" s="23" t="n"/>
      <c r="X673" s="23" t="n"/>
      <c r="Y673" s="25" t="n"/>
      <c r="Z673" s="25" t="n"/>
      <c r="AA673" s="23" t="n"/>
      <c r="AB673" s="25" t="n"/>
      <c r="AC673" s="23" t="n"/>
      <c r="AD673" s="25" t="n"/>
      <c r="AE673" s="23" t="n"/>
      <c r="AF673" s="25" t="n"/>
      <c r="AG673" s="25" t="n"/>
      <c r="AH673" s="23" t="n"/>
      <c r="AI673" s="23" t="n"/>
      <c r="AJ673" s="26">
        <f>IF(I673="","",I673&amp;"|"&amp;R673)</f>
        <v/>
      </c>
      <c r="AK673" s="26">
        <f>IF(I673="","",IF(ISNA(MATCH(O673,Kampanyalar!$A$2:$A$150,0)),"Hayır - Kampanyalar'da Yok","Evet"))</f>
        <v/>
      </c>
      <c r="AL673" s="27">
        <f>IF(I673="","",IFERROR(INDEX(Kampanyalar!$E$2:$E$150,MATCH(O673,Kampanyalar!$A$2:$A$150,0)),""))</f>
        <v/>
      </c>
      <c r="AM673" s="27">
        <f>IF(I673="","",IFERROR(INDEX(Kampanyalar!$F$2:$F$150,MATCH(O673,Kampanyalar!$A$2:$A$150,0)),""))</f>
        <v/>
      </c>
      <c r="AN673" s="27">
        <f>IF(I673="","",IFERROR(INDEX(Kampanyalar!$G$2:$G$150,MATCH(O673,Kampanyalar!$A$2:$A$150,0)),""))</f>
        <v/>
      </c>
      <c r="AO673" s="26">
        <f>IF(OR(I673="",AL673="",AM673=""),"",IF(AND(H673&gt;=AL673,H673&lt;=AM673),"Evet","HAYIR - Tarih Dışı"))</f>
        <v/>
      </c>
      <c r="AP673" s="28">
        <f>IF(I673="","",IFERROR(INDEX(Kampanyalar!$H$2:$H$150,MATCH(O673,Kampanyalar!$A$2:$A$150,0)),""))</f>
        <v/>
      </c>
      <c r="AQ673" s="28">
        <f>IF(I673="","",IF(ISNUMBER(AP673),AP673,AD673))</f>
        <v/>
      </c>
      <c r="AR673" s="26">
        <f>IF(I673="","",IF(Parametreler!$C$7="Evet","Kural A - Hemen Ödeme (Stok Mutabakatlı)","Kural B - Nakliye/Montaj Sonrası Ödeme"))</f>
        <v/>
      </c>
    </row>
    <row r="674">
      <c r="A674" s="23" t="n"/>
      <c r="B674" s="23" t="n"/>
      <c r="C674" s="23" t="n"/>
      <c r="D674" s="23" t="n"/>
      <c r="E674" s="23" t="n"/>
      <c r="F674" s="23" t="n"/>
      <c r="G674" s="23" t="n"/>
      <c r="H674" s="24" t="n"/>
      <c r="I674" s="23" t="n"/>
      <c r="J674" s="23" t="n"/>
      <c r="K674" s="23" t="n"/>
      <c r="L674" s="23" t="n"/>
      <c r="M674" s="23" t="n"/>
      <c r="N674" s="23" t="n"/>
      <c r="O674" s="23" t="n"/>
      <c r="P674" s="23" t="n"/>
      <c r="Q674" s="23" t="n"/>
      <c r="R674" s="23" t="n"/>
      <c r="S674" s="23" t="n"/>
      <c r="T674" s="23" t="n"/>
      <c r="U674" s="23" t="n"/>
      <c r="V674" s="23" t="n"/>
      <c r="W674" s="23" t="n"/>
      <c r="X674" s="23" t="n"/>
      <c r="Y674" s="25" t="n"/>
      <c r="Z674" s="25" t="n"/>
      <c r="AA674" s="23" t="n"/>
      <c r="AB674" s="25" t="n"/>
      <c r="AC674" s="23" t="n"/>
      <c r="AD674" s="25" t="n"/>
      <c r="AE674" s="23" t="n"/>
      <c r="AF674" s="25" t="n"/>
      <c r="AG674" s="25" t="n"/>
      <c r="AH674" s="23" t="n"/>
      <c r="AI674" s="23" t="n"/>
      <c r="AJ674" s="26">
        <f>IF(I674="","",I674&amp;"|"&amp;R674)</f>
        <v/>
      </c>
      <c r="AK674" s="26">
        <f>IF(I674="","",IF(ISNA(MATCH(O674,Kampanyalar!$A$2:$A$150,0)),"Hayır - Kampanyalar'da Yok","Evet"))</f>
        <v/>
      </c>
      <c r="AL674" s="27">
        <f>IF(I674="","",IFERROR(INDEX(Kampanyalar!$E$2:$E$150,MATCH(O674,Kampanyalar!$A$2:$A$150,0)),""))</f>
        <v/>
      </c>
      <c r="AM674" s="27">
        <f>IF(I674="","",IFERROR(INDEX(Kampanyalar!$F$2:$F$150,MATCH(O674,Kampanyalar!$A$2:$A$150,0)),""))</f>
        <v/>
      </c>
      <c r="AN674" s="27">
        <f>IF(I674="","",IFERROR(INDEX(Kampanyalar!$G$2:$G$150,MATCH(O674,Kampanyalar!$A$2:$A$150,0)),""))</f>
        <v/>
      </c>
      <c r="AO674" s="26">
        <f>IF(OR(I674="",AL674="",AM674=""),"",IF(AND(H674&gt;=AL674,H674&lt;=AM674),"Evet","HAYIR - Tarih Dışı"))</f>
        <v/>
      </c>
      <c r="AP674" s="28">
        <f>IF(I674="","",IFERROR(INDEX(Kampanyalar!$H$2:$H$150,MATCH(O674,Kampanyalar!$A$2:$A$150,0)),""))</f>
        <v/>
      </c>
      <c r="AQ674" s="28">
        <f>IF(I674="","",IF(ISNUMBER(AP674),AP674,AD674))</f>
        <v/>
      </c>
      <c r="AR674" s="26">
        <f>IF(I674="","",IF(Parametreler!$C$7="Evet","Kural A - Hemen Ödeme (Stok Mutabakatlı)","Kural B - Nakliye/Montaj Sonrası Ödeme"))</f>
        <v/>
      </c>
    </row>
    <row r="675">
      <c r="A675" s="23" t="n"/>
      <c r="B675" s="23" t="n"/>
      <c r="C675" s="23" t="n"/>
      <c r="D675" s="23" t="n"/>
      <c r="E675" s="23" t="n"/>
      <c r="F675" s="23" t="n"/>
      <c r="G675" s="23" t="n"/>
      <c r="H675" s="24" t="n"/>
      <c r="I675" s="23" t="n"/>
      <c r="J675" s="23" t="n"/>
      <c r="K675" s="23" t="n"/>
      <c r="L675" s="23" t="n"/>
      <c r="M675" s="23" t="n"/>
      <c r="N675" s="23" t="n"/>
      <c r="O675" s="23" t="n"/>
      <c r="P675" s="23" t="n"/>
      <c r="Q675" s="23" t="n"/>
      <c r="R675" s="23" t="n"/>
      <c r="S675" s="23" t="n"/>
      <c r="T675" s="23" t="n"/>
      <c r="U675" s="23" t="n"/>
      <c r="V675" s="23" t="n"/>
      <c r="W675" s="23" t="n"/>
      <c r="X675" s="23" t="n"/>
      <c r="Y675" s="25" t="n"/>
      <c r="Z675" s="25" t="n"/>
      <c r="AA675" s="23" t="n"/>
      <c r="AB675" s="25" t="n"/>
      <c r="AC675" s="23" t="n"/>
      <c r="AD675" s="25" t="n"/>
      <c r="AE675" s="23" t="n"/>
      <c r="AF675" s="25" t="n"/>
      <c r="AG675" s="25" t="n"/>
      <c r="AH675" s="23" t="n"/>
      <c r="AI675" s="23" t="n"/>
      <c r="AJ675" s="26">
        <f>IF(I675="","",I675&amp;"|"&amp;R675)</f>
        <v/>
      </c>
      <c r="AK675" s="26">
        <f>IF(I675="","",IF(ISNA(MATCH(O675,Kampanyalar!$A$2:$A$150,0)),"Hayır - Kampanyalar'da Yok","Evet"))</f>
        <v/>
      </c>
      <c r="AL675" s="27">
        <f>IF(I675="","",IFERROR(INDEX(Kampanyalar!$E$2:$E$150,MATCH(O675,Kampanyalar!$A$2:$A$150,0)),""))</f>
        <v/>
      </c>
      <c r="AM675" s="27">
        <f>IF(I675="","",IFERROR(INDEX(Kampanyalar!$F$2:$F$150,MATCH(O675,Kampanyalar!$A$2:$A$150,0)),""))</f>
        <v/>
      </c>
      <c r="AN675" s="27">
        <f>IF(I675="","",IFERROR(INDEX(Kampanyalar!$G$2:$G$150,MATCH(O675,Kampanyalar!$A$2:$A$150,0)),""))</f>
        <v/>
      </c>
      <c r="AO675" s="26">
        <f>IF(OR(I675="",AL675="",AM675=""),"",IF(AND(H675&gt;=AL675,H675&lt;=AM675),"Evet","HAYIR - Tarih Dışı"))</f>
        <v/>
      </c>
      <c r="AP675" s="28">
        <f>IF(I675="","",IFERROR(INDEX(Kampanyalar!$H$2:$H$150,MATCH(O675,Kampanyalar!$A$2:$A$150,0)),""))</f>
        <v/>
      </c>
      <c r="AQ675" s="28">
        <f>IF(I675="","",IF(ISNUMBER(AP675),AP675,AD675))</f>
        <v/>
      </c>
      <c r="AR675" s="26">
        <f>IF(I675="","",IF(Parametreler!$C$7="Evet","Kural A - Hemen Ödeme (Stok Mutabakatlı)","Kural B - Nakliye/Montaj Sonrası Ödeme"))</f>
        <v/>
      </c>
    </row>
    <row r="676">
      <c r="A676" s="23" t="n"/>
      <c r="B676" s="23" t="n"/>
      <c r="C676" s="23" t="n"/>
      <c r="D676" s="23" t="n"/>
      <c r="E676" s="23" t="n"/>
      <c r="F676" s="23" t="n"/>
      <c r="G676" s="23" t="n"/>
      <c r="H676" s="24" t="n"/>
      <c r="I676" s="23" t="n"/>
      <c r="J676" s="23" t="n"/>
      <c r="K676" s="23" t="n"/>
      <c r="L676" s="23" t="n"/>
      <c r="M676" s="23" t="n"/>
      <c r="N676" s="23" t="n"/>
      <c r="O676" s="23" t="n"/>
      <c r="P676" s="23" t="n"/>
      <c r="Q676" s="23" t="n"/>
      <c r="R676" s="23" t="n"/>
      <c r="S676" s="23" t="n"/>
      <c r="T676" s="23" t="n"/>
      <c r="U676" s="23" t="n"/>
      <c r="V676" s="23" t="n"/>
      <c r="W676" s="23" t="n"/>
      <c r="X676" s="23" t="n"/>
      <c r="Y676" s="25" t="n"/>
      <c r="Z676" s="25" t="n"/>
      <c r="AA676" s="23" t="n"/>
      <c r="AB676" s="25" t="n"/>
      <c r="AC676" s="23" t="n"/>
      <c r="AD676" s="25" t="n"/>
      <c r="AE676" s="23" t="n"/>
      <c r="AF676" s="25" t="n"/>
      <c r="AG676" s="25" t="n"/>
      <c r="AH676" s="23" t="n"/>
      <c r="AI676" s="23" t="n"/>
      <c r="AJ676" s="26">
        <f>IF(I676="","",I676&amp;"|"&amp;R676)</f>
        <v/>
      </c>
      <c r="AK676" s="26">
        <f>IF(I676="","",IF(ISNA(MATCH(O676,Kampanyalar!$A$2:$A$150,0)),"Hayır - Kampanyalar'da Yok","Evet"))</f>
        <v/>
      </c>
      <c r="AL676" s="27">
        <f>IF(I676="","",IFERROR(INDEX(Kampanyalar!$E$2:$E$150,MATCH(O676,Kampanyalar!$A$2:$A$150,0)),""))</f>
        <v/>
      </c>
      <c r="AM676" s="27">
        <f>IF(I676="","",IFERROR(INDEX(Kampanyalar!$F$2:$F$150,MATCH(O676,Kampanyalar!$A$2:$A$150,0)),""))</f>
        <v/>
      </c>
      <c r="AN676" s="27">
        <f>IF(I676="","",IFERROR(INDEX(Kampanyalar!$G$2:$G$150,MATCH(O676,Kampanyalar!$A$2:$A$150,0)),""))</f>
        <v/>
      </c>
      <c r="AO676" s="26">
        <f>IF(OR(I676="",AL676="",AM676=""),"",IF(AND(H676&gt;=AL676,H676&lt;=AM676),"Evet","HAYIR - Tarih Dışı"))</f>
        <v/>
      </c>
      <c r="AP676" s="28">
        <f>IF(I676="","",IFERROR(INDEX(Kampanyalar!$H$2:$H$150,MATCH(O676,Kampanyalar!$A$2:$A$150,0)),""))</f>
        <v/>
      </c>
      <c r="AQ676" s="28">
        <f>IF(I676="","",IF(ISNUMBER(AP676),AP676,AD676))</f>
        <v/>
      </c>
      <c r="AR676" s="26">
        <f>IF(I676="","",IF(Parametreler!$C$7="Evet","Kural A - Hemen Ödeme (Stok Mutabakatlı)","Kural B - Nakliye/Montaj Sonrası Ödeme"))</f>
        <v/>
      </c>
    </row>
    <row r="677">
      <c r="A677" s="23" t="n"/>
      <c r="B677" s="23" t="n"/>
      <c r="C677" s="23" t="n"/>
      <c r="D677" s="23" t="n"/>
      <c r="E677" s="23" t="n"/>
      <c r="F677" s="23" t="n"/>
      <c r="G677" s="23" t="n"/>
      <c r="H677" s="24" t="n"/>
      <c r="I677" s="23" t="n"/>
      <c r="J677" s="23" t="n"/>
      <c r="K677" s="23" t="n"/>
      <c r="L677" s="23" t="n"/>
      <c r="M677" s="23" t="n"/>
      <c r="N677" s="23" t="n"/>
      <c r="O677" s="23" t="n"/>
      <c r="P677" s="23" t="n"/>
      <c r="Q677" s="23" t="n"/>
      <c r="R677" s="23" t="n"/>
      <c r="S677" s="23" t="n"/>
      <c r="T677" s="23" t="n"/>
      <c r="U677" s="23" t="n"/>
      <c r="V677" s="23" t="n"/>
      <c r="W677" s="23" t="n"/>
      <c r="X677" s="23" t="n"/>
      <c r="Y677" s="25" t="n"/>
      <c r="Z677" s="25" t="n"/>
      <c r="AA677" s="23" t="n"/>
      <c r="AB677" s="25" t="n"/>
      <c r="AC677" s="23" t="n"/>
      <c r="AD677" s="25" t="n"/>
      <c r="AE677" s="23" t="n"/>
      <c r="AF677" s="25" t="n"/>
      <c r="AG677" s="25" t="n"/>
      <c r="AH677" s="23" t="n"/>
      <c r="AI677" s="23" t="n"/>
      <c r="AJ677" s="26">
        <f>IF(I677="","",I677&amp;"|"&amp;R677)</f>
        <v/>
      </c>
      <c r="AK677" s="26">
        <f>IF(I677="","",IF(ISNA(MATCH(O677,Kampanyalar!$A$2:$A$150,0)),"Hayır - Kampanyalar'da Yok","Evet"))</f>
        <v/>
      </c>
      <c r="AL677" s="27">
        <f>IF(I677="","",IFERROR(INDEX(Kampanyalar!$E$2:$E$150,MATCH(O677,Kampanyalar!$A$2:$A$150,0)),""))</f>
        <v/>
      </c>
      <c r="AM677" s="27">
        <f>IF(I677="","",IFERROR(INDEX(Kampanyalar!$F$2:$F$150,MATCH(O677,Kampanyalar!$A$2:$A$150,0)),""))</f>
        <v/>
      </c>
      <c r="AN677" s="27">
        <f>IF(I677="","",IFERROR(INDEX(Kampanyalar!$G$2:$G$150,MATCH(O677,Kampanyalar!$A$2:$A$150,0)),""))</f>
        <v/>
      </c>
      <c r="AO677" s="26">
        <f>IF(OR(I677="",AL677="",AM677=""),"",IF(AND(H677&gt;=AL677,H677&lt;=AM677),"Evet","HAYIR - Tarih Dışı"))</f>
        <v/>
      </c>
      <c r="AP677" s="28">
        <f>IF(I677="","",IFERROR(INDEX(Kampanyalar!$H$2:$H$150,MATCH(O677,Kampanyalar!$A$2:$A$150,0)),""))</f>
        <v/>
      </c>
      <c r="AQ677" s="28">
        <f>IF(I677="","",IF(ISNUMBER(AP677),AP677,AD677))</f>
        <v/>
      </c>
      <c r="AR677" s="26">
        <f>IF(I677="","",IF(Parametreler!$C$7="Evet","Kural A - Hemen Ödeme (Stok Mutabakatlı)","Kural B - Nakliye/Montaj Sonrası Ödeme"))</f>
        <v/>
      </c>
    </row>
    <row r="678">
      <c r="A678" s="23" t="n"/>
      <c r="B678" s="23" t="n"/>
      <c r="C678" s="23" t="n"/>
      <c r="D678" s="23" t="n"/>
      <c r="E678" s="23" t="n"/>
      <c r="F678" s="23" t="n"/>
      <c r="G678" s="23" t="n"/>
      <c r="H678" s="24" t="n"/>
      <c r="I678" s="23" t="n"/>
      <c r="J678" s="23" t="n"/>
      <c r="K678" s="23" t="n"/>
      <c r="L678" s="23" t="n"/>
      <c r="M678" s="23" t="n"/>
      <c r="N678" s="23" t="n"/>
      <c r="O678" s="23" t="n"/>
      <c r="P678" s="23" t="n"/>
      <c r="Q678" s="23" t="n"/>
      <c r="R678" s="23" t="n"/>
      <c r="S678" s="23" t="n"/>
      <c r="T678" s="23" t="n"/>
      <c r="U678" s="23" t="n"/>
      <c r="V678" s="23" t="n"/>
      <c r="W678" s="23" t="n"/>
      <c r="X678" s="23" t="n"/>
      <c r="Y678" s="25" t="n"/>
      <c r="Z678" s="25" t="n"/>
      <c r="AA678" s="23" t="n"/>
      <c r="AB678" s="25" t="n"/>
      <c r="AC678" s="23" t="n"/>
      <c r="AD678" s="25" t="n"/>
      <c r="AE678" s="23" t="n"/>
      <c r="AF678" s="25" t="n"/>
      <c r="AG678" s="25" t="n"/>
      <c r="AH678" s="23" t="n"/>
      <c r="AI678" s="23" t="n"/>
      <c r="AJ678" s="26">
        <f>IF(I678="","",I678&amp;"|"&amp;R678)</f>
        <v/>
      </c>
      <c r="AK678" s="26">
        <f>IF(I678="","",IF(ISNA(MATCH(O678,Kampanyalar!$A$2:$A$150,0)),"Hayır - Kampanyalar'da Yok","Evet"))</f>
        <v/>
      </c>
      <c r="AL678" s="27">
        <f>IF(I678="","",IFERROR(INDEX(Kampanyalar!$E$2:$E$150,MATCH(O678,Kampanyalar!$A$2:$A$150,0)),""))</f>
        <v/>
      </c>
      <c r="AM678" s="27">
        <f>IF(I678="","",IFERROR(INDEX(Kampanyalar!$F$2:$F$150,MATCH(O678,Kampanyalar!$A$2:$A$150,0)),""))</f>
        <v/>
      </c>
      <c r="AN678" s="27">
        <f>IF(I678="","",IFERROR(INDEX(Kampanyalar!$G$2:$G$150,MATCH(O678,Kampanyalar!$A$2:$A$150,0)),""))</f>
        <v/>
      </c>
      <c r="AO678" s="26">
        <f>IF(OR(I678="",AL678="",AM678=""),"",IF(AND(H678&gt;=AL678,H678&lt;=AM678),"Evet","HAYIR - Tarih Dışı"))</f>
        <v/>
      </c>
      <c r="AP678" s="28">
        <f>IF(I678="","",IFERROR(INDEX(Kampanyalar!$H$2:$H$150,MATCH(O678,Kampanyalar!$A$2:$A$150,0)),""))</f>
        <v/>
      </c>
      <c r="AQ678" s="28">
        <f>IF(I678="","",IF(ISNUMBER(AP678),AP678,AD678))</f>
        <v/>
      </c>
      <c r="AR678" s="26">
        <f>IF(I678="","",IF(Parametreler!$C$7="Evet","Kural A - Hemen Ödeme (Stok Mutabakatlı)","Kural B - Nakliye/Montaj Sonrası Ödeme"))</f>
        <v/>
      </c>
    </row>
    <row r="679">
      <c r="A679" s="23" t="n"/>
      <c r="B679" s="23" t="n"/>
      <c r="C679" s="23" t="n"/>
      <c r="D679" s="23" t="n"/>
      <c r="E679" s="23" t="n"/>
      <c r="F679" s="23" t="n"/>
      <c r="G679" s="23" t="n"/>
      <c r="H679" s="24" t="n"/>
      <c r="I679" s="23" t="n"/>
      <c r="J679" s="23" t="n"/>
      <c r="K679" s="23" t="n"/>
      <c r="L679" s="23" t="n"/>
      <c r="M679" s="23" t="n"/>
      <c r="N679" s="23" t="n"/>
      <c r="O679" s="23" t="n"/>
      <c r="P679" s="23" t="n"/>
      <c r="Q679" s="23" t="n"/>
      <c r="R679" s="23" t="n"/>
      <c r="S679" s="23" t="n"/>
      <c r="T679" s="23" t="n"/>
      <c r="U679" s="23" t="n"/>
      <c r="V679" s="23" t="n"/>
      <c r="W679" s="23" t="n"/>
      <c r="X679" s="23" t="n"/>
      <c r="Y679" s="25" t="n"/>
      <c r="Z679" s="25" t="n"/>
      <c r="AA679" s="23" t="n"/>
      <c r="AB679" s="25" t="n"/>
      <c r="AC679" s="23" t="n"/>
      <c r="AD679" s="25" t="n"/>
      <c r="AE679" s="23" t="n"/>
      <c r="AF679" s="25" t="n"/>
      <c r="AG679" s="25" t="n"/>
      <c r="AH679" s="23" t="n"/>
      <c r="AI679" s="23" t="n"/>
      <c r="AJ679" s="26">
        <f>IF(I679="","",I679&amp;"|"&amp;R679)</f>
        <v/>
      </c>
      <c r="AK679" s="26">
        <f>IF(I679="","",IF(ISNA(MATCH(O679,Kampanyalar!$A$2:$A$150,0)),"Hayır - Kampanyalar'da Yok","Evet"))</f>
        <v/>
      </c>
      <c r="AL679" s="27">
        <f>IF(I679="","",IFERROR(INDEX(Kampanyalar!$E$2:$E$150,MATCH(O679,Kampanyalar!$A$2:$A$150,0)),""))</f>
        <v/>
      </c>
      <c r="AM679" s="27">
        <f>IF(I679="","",IFERROR(INDEX(Kampanyalar!$F$2:$F$150,MATCH(O679,Kampanyalar!$A$2:$A$150,0)),""))</f>
        <v/>
      </c>
      <c r="AN679" s="27">
        <f>IF(I679="","",IFERROR(INDEX(Kampanyalar!$G$2:$G$150,MATCH(O679,Kampanyalar!$A$2:$A$150,0)),""))</f>
        <v/>
      </c>
      <c r="AO679" s="26">
        <f>IF(OR(I679="",AL679="",AM679=""),"",IF(AND(H679&gt;=AL679,H679&lt;=AM679),"Evet","HAYIR - Tarih Dışı"))</f>
        <v/>
      </c>
      <c r="AP679" s="28">
        <f>IF(I679="","",IFERROR(INDEX(Kampanyalar!$H$2:$H$150,MATCH(O679,Kampanyalar!$A$2:$A$150,0)),""))</f>
        <v/>
      </c>
      <c r="AQ679" s="28">
        <f>IF(I679="","",IF(ISNUMBER(AP679),AP679,AD679))</f>
        <v/>
      </c>
      <c r="AR679" s="26">
        <f>IF(I679="","",IF(Parametreler!$C$7="Evet","Kural A - Hemen Ödeme (Stok Mutabakatlı)","Kural B - Nakliye/Montaj Sonrası Ödeme"))</f>
        <v/>
      </c>
    </row>
    <row r="680">
      <c r="A680" s="23" t="n"/>
      <c r="B680" s="23" t="n"/>
      <c r="C680" s="23" t="n"/>
      <c r="D680" s="23" t="n"/>
      <c r="E680" s="23" t="n"/>
      <c r="F680" s="23" t="n"/>
      <c r="G680" s="23" t="n"/>
      <c r="H680" s="24" t="n"/>
      <c r="I680" s="23" t="n"/>
      <c r="J680" s="23" t="n"/>
      <c r="K680" s="23" t="n"/>
      <c r="L680" s="23" t="n"/>
      <c r="M680" s="23" t="n"/>
      <c r="N680" s="23" t="n"/>
      <c r="O680" s="23" t="n"/>
      <c r="P680" s="23" t="n"/>
      <c r="Q680" s="23" t="n"/>
      <c r="R680" s="23" t="n"/>
      <c r="S680" s="23" t="n"/>
      <c r="T680" s="23" t="n"/>
      <c r="U680" s="23" t="n"/>
      <c r="V680" s="23" t="n"/>
      <c r="W680" s="23" t="n"/>
      <c r="X680" s="23" t="n"/>
      <c r="Y680" s="25" t="n"/>
      <c r="Z680" s="25" t="n"/>
      <c r="AA680" s="23" t="n"/>
      <c r="AB680" s="25" t="n"/>
      <c r="AC680" s="23" t="n"/>
      <c r="AD680" s="25" t="n"/>
      <c r="AE680" s="23" t="n"/>
      <c r="AF680" s="25" t="n"/>
      <c r="AG680" s="25" t="n"/>
      <c r="AH680" s="23" t="n"/>
      <c r="AI680" s="23" t="n"/>
      <c r="AJ680" s="26">
        <f>IF(I680="","",I680&amp;"|"&amp;R680)</f>
        <v/>
      </c>
      <c r="AK680" s="26">
        <f>IF(I680="","",IF(ISNA(MATCH(O680,Kampanyalar!$A$2:$A$150,0)),"Hayır - Kampanyalar'da Yok","Evet"))</f>
        <v/>
      </c>
      <c r="AL680" s="27">
        <f>IF(I680="","",IFERROR(INDEX(Kampanyalar!$E$2:$E$150,MATCH(O680,Kampanyalar!$A$2:$A$150,0)),""))</f>
        <v/>
      </c>
      <c r="AM680" s="27">
        <f>IF(I680="","",IFERROR(INDEX(Kampanyalar!$F$2:$F$150,MATCH(O680,Kampanyalar!$A$2:$A$150,0)),""))</f>
        <v/>
      </c>
      <c r="AN680" s="27">
        <f>IF(I680="","",IFERROR(INDEX(Kampanyalar!$G$2:$G$150,MATCH(O680,Kampanyalar!$A$2:$A$150,0)),""))</f>
        <v/>
      </c>
      <c r="AO680" s="26">
        <f>IF(OR(I680="",AL680="",AM680=""),"",IF(AND(H680&gt;=AL680,H680&lt;=AM680),"Evet","HAYIR - Tarih Dışı"))</f>
        <v/>
      </c>
      <c r="AP680" s="28">
        <f>IF(I680="","",IFERROR(INDEX(Kampanyalar!$H$2:$H$150,MATCH(O680,Kampanyalar!$A$2:$A$150,0)),""))</f>
        <v/>
      </c>
      <c r="AQ680" s="28">
        <f>IF(I680="","",IF(ISNUMBER(AP680),AP680,AD680))</f>
        <v/>
      </c>
      <c r="AR680" s="26">
        <f>IF(I680="","",IF(Parametreler!$C$7="Evet","Kural A - Hemen Ödeme (Stok Mutabakatlı)","Kural B - Nakliye/Montaj Sonrası Ödeme"))</f>
        <v/>
      </c>
    </row>
    <row r="681">
      <c r="A681" s="23" t="n"/>
      <c r="B681" s="23" t="n"/>
      <c r="C681" s="23" t="n"/>
      <c r="D681" s="23" t="n"/>
      <c r="E681" s="23" t="n"/>
      <c r="F681" s="23" t="n"/>
      <c r="G681" s="23" t="n"/>
      <c r="H681" s="24" t="n"/>
      <c r="I681" s="23" t="n"/>
      <c r="J681" s="23" t="n"/>
      <c r="K681" s="23" t="n"/>
      <c r="L681" s="23" t="n"/>
      <c r="M681" s="23" t="n"/>
      <c r="N681" s="23" t="n"/>
      <c r="O681" s="23" t="n"/>
      <c r="P681" s="23" t="n"/>
      <c r="Q681" s="23" t="n"/>
      <c r="R681" s="23" t="n"/>
      <c r="S681" s="23" t="n"/>
      <c r="T681" s="23" t="n"/>
      <c r="U681" s="23" t="n"/>
      <c r="V681" s="23" t="n"/>
      <c r="W681" s="23" t="n"/>
      <c r="X681" s="23" t="n"/>
      <c r="Y681" s="25" t="n"/>
      <c r="Z681" s="25" t="n"/>
      <c r="AA681" s="23" t="n"/>
      <c r="AB681" s="25" t="n"/>
      <c r="AC681" s="23" t="n"/>
      <c r="AD681" s="25" t="n"/>
      <c r="AE681" s="23" t="n"/>
      <c r="AF681" s="25" t="n"/>
      <c r="AG681" s="25" t="n"/>
      <c r="AH681" s="23" t="n"/>
      <c r="AI681" s="23" t="n"/>
      <c r="AJ681" s="26">
        <f>IF(I681="","",I681&amp;"|"&amp;R681)</f>
        <v/>
      </c>
      <c r="AK681" s="26">
        <f>IF(I681="","",IF(ISNA(MATCH(O681,Kampanyalar!$A$2:$A$150,0)),"Hayır - Kampanyalar'da Yok","Evet"))</f>
        <v/>
      </c>
      <c r="AL681" s="27">
        <f>IF(I681="","",IFERROR(INDEX(Kampanyalar!$E$2:$E$150,MATCH(O681,Kampanyalar!$A$2:$A$150,0)),""))</f>
        <v/>
      </c>
      <c r="AM681" s="27">
        <f>IF(I681="","",IFERROR(INDEX(Kampanyalar!$F$2:$F$150,MATCH(O681,Kampanyalar!$A$2:$A$150,0)),""))</f>
        <v/>
      </c>
      <c r="AN681" s="27">
        <f>IF(I681="","",IFERROR(INDEX(Kampanyalar!$G$2:$G$150,MATCH(O681,Kampanyalar!$A$2:$A$150,0)),""))</f>
        <v/>
      </c>
      <c r="AO681" s="26">
        <f>IF(OR(I681="",AL681="",AM681=""),"",IF(AND(H681&gt;=AL681,H681&lt;=AM681),"Evet","HAYIR - Tarih Dışı"))</f>
        <v/>
      </c>
      <c r="AP681" s="28">
        <f>IF(I681="","",IFERROR(INDEX(Kampanyalar!$H$2:$H$150,MATCH(O681,Kampanyalar!$A$2:$A$150,0)),""))</f>
        <v/>
      </c>
      <c r="AQ681" s="28">
        <f>IF(I681="","",IF(ISNUMBER(AP681),AP681,AD681))</f>
        <v/>
      </c>
      <c r="AR681" s="26">
        <f>IF(I681="","",IF(Parametreler!$C$7="Evet","Kural A - Hemen Ödeme (Stok Mutabakatlı)","Kural B - Nakliye/Montaj Sonrası Ödeme"))</f>
        <v/>
      </c>
    </row>
    <row r="682">
      <c r="A682" s="23" t="n"/>
      <c r="B682" s="23" t="n"/>
      <c r="C682" s="23" t="n"/>
      <c r="D682" s="23" t="n"/>
      <c r="E682" s="23" t="n"/>
      <c r="F682" s="23" t="n"/>
      <c r="G682" s="23" t="n"/>
      <c r="H682" s="24" t="n"/>
      <c r="I682" s="23" t="n"/>
      <c r="J682" s="23" t="n"/>
      <c r="K682" s="23" t="n"/>
      <c r="L682" s="23" t="n"/>
      <c r="M682" s="23" t="n"/>
      <c r="N682" s="23" t="n"/>
      <c r="O682" s="23" t="n"/>
      <c r="P682" s="23" t="n"/>
      <c r="Q682" s="23" t="n"/>
      <c r="R682" s="23" t="n"/>
      <c r="S682" s="23" t="n"/>
      <c r="T682" s="23" t="n"/>
      <c r="U682" s="23" t="n"/>
      <c r="V682" s="23" t="n"/>
      <c r="W682" s="23" t="n"/>
      <c r="X682" s="23" t="n"/>
      <c r="Y682" s="25" t="n"/>
      <c r="Z682" s="25" t="n"/>
      <c r="AA682" s="23" t="n"/>
      <c r="AB682" s="25" t="n"/>
      <c r="AC682" s="23" t="n"/>
      <c r="AD682" s="25" t="n"/>
      <c r="AE682" s="23" t="n"/>
      <c r="AF682" s="25" t="n"/>
      <c r="AG682" s="25" t="n"/>
      <c r="AH682" s="23" t="n"/>
      <c r="AI682" s="23" t="n"/>
      <c r="AJ682" s="26">
        <f>IF(I682="","",I682&amp;"|"&amp;R682)</f>
        <v/>
      </c>
      <c r="AK682" s="26">
        <f>IF(I682="","",IF(ISNA(MATCH(O682,Kampanyalar!$A$2:$A$150,0)),"Hayır - Kampanyalar'da Yok","Evet"))</f>
        <v/>
      </c>
      <c r="AL682" s="27">
        <f>IF(I682="","",IFERROR(INDEX(Kampanyalar!$E$2:$E$150,MATCH(O682,Kampanyalar!$A$2:$A$150,0)),""))</f>
        <v/>
      </c>
      <c r="AM682" s="27">
        <f>IF(I682="","",IFERROR(INDEX(Kampanyalar!$F$2:$F$150,MATCH(O682,Kampanyalar!$A$2:$A$150,0)),""))</f>
        <v/>
      </c>
      <c r="AN682" s="27">
        <f>IF(I682="","",IFERROR(INDEX(Kampanyalar!$G$2:$G$150,MATCH(O682,Kampanyalar!$A$2:$A$150,0)),""))</f>
        <v/>
      </c>
      <c r="AO682" s="26">
        <f>IF(OR(I682="",AL682="",AM682=""),"",IF(AND(H682&gt;=AL682,H682&lt;=AM682),"Evet","HAYIR - Tarih Dışı"))</f>
        <v/>
      </c>
      <c r="AP682" s="28">
        <f>IF(I682="","",IFERROR(INDEX(Kampanyalar!$H$2:$H$150,MATCH(O682,Kampanyalar!$A$2:$A$150,0)),""))</f>
        <v/>
      </c>
      <c r="AQ682" s="28">
        <f>IF(I682="","",IF(ISNUMBER(AP682),AP682,AD682))</f>
        <v/>
      </c>
      <c r="AR682" s="26">
        <f>IF(I682="","",IF(Parametreler!$C$7="Evet","Kural A - Hemen Ödeme (Stok Mutabakatlı)","Kural B - Nakliye/Montaj Sonrası Ödeme"))</f>
        <v/>
      </c>
    </row>
    <row r="683">
      <c r="A683" s="23" t="n"/>
      <c r="B683" s="23" t="n"/>
      <c r="C683" s="23" t="n"/>
      <c r="D683" s="23" t="n"/>
      <c r="E683" s="23" t="n"/>
      <c r="F683" s="23" t="n"/>
      <c r="G683" s="23" t="n"/>
      <c r="H683" s="24" t="n"/>
      <c r="I683" s="23" t="n"/>
      <c r="J683" s="23" t="n"/>
      <c r="K683" s="23" t="n"/>
      <c r="L683" s="23" t="n"/>
      <c r="M683" s="23" t="n"/>
      <c r="N683" s="23" t="n"/>
      <c r="O683" s="23" t="n"/>
      <c r="P683" s="23" t="n"/>
      <c r="Q683" s="23" t="n"/>
      <c r="R683" s="23" t="n"/>
      <c r="S683" s="23" t="n"/>
      <c r="T683" s="23" t="n"/>
      <c r="U683" s="23" t="n"/>
      <c r="V683" s="23" t="n"/>
      <c r="W683" s="23" t="n"/>
      <c r="X683" s="23" t="n"/>
      <c r="Y683" s="25" t="n"/>
      <c r="Z683" s="25" t="n"/>
      <c r="AA683" s="23" t="n"/>
      <c r="AB683" s="25" t="n"/>
      <c r="AC683" s="23" t="n"/>
      <c r="AD683" s="25" t="n"/>
      <c r="AE683" s="23" t="n"/>
      <c r="AF683" s="25" t="n"/>
      <c r="AG683" s="25" t="n"/>
      <c r="AH683" s="23" t="n"/>
      <c r="AI683" s="23" t="n"/>
      <c r="AJ683" s="26">
        <f>IF(I683="","",I683&amp;"|"&amp;R683)</f>
        <v/>
      </c>
      <c r="AK683" s="26">
        <f>IF(I683="","",IF(ISNA(MATCH(O683,Kampanyalar!$A$2:$A$150,0)),"Hayır - Kampanyalar'da Yok","Evet"))</f>
        <v/>
      </c>
      <c r="AL683" s="27">
        <f>IF(I683="","",IFERROR(INDEX(Kampanyalar!$E$2:$E$150,MATCH(O683,Kampanyalar!$A$2:$A$150,0)),""))</f>
        <v/>
      </c>
      <c r="AM683" s="27">
        <f>IF(I683="","",IFERROR(INDEX(Kampanyalar!$F$2:$F$150,MATCH(O683,Kampanyalar!$A$2:$A$150,0)),""))</f>
        <v/>
      </c>
      <c r="AN683" s="27">
        <f>IF(I683="","",IFERROR(INDEX(Kampanyalar!$G$2:$G$150,MATCH(O683,Kampanyalar!$A$2:$A$150,0)),""))</f>
        <v/>
      </c>
      <c r="AO683" s="26">
        <f>IF(OR(I683="",AL683="",AM683=""),"",IF(AND(H683&gt;=AL683,H683&lt;=AM683),"Evet","HAYIR - Tarih Dışı"))</f>
        <v/>
      </c>
      <c r="AP683" s="28">
        <f>IF(I683="","",IFERROR(INDEX(Kampanyalar!$H$2:$H$150,MATCH(O683,Kampanyalar!$A$2:$A$150,0)),""))</f>
        <v/>
      </c>
      <c r="AQ683" s="28">
        <f>IF(I683="","",IF(ISNUMBER(AP683),AP683,AD683))</f>
        <v/>
      </c>
      <c r="AR683" s="26">
        <f>IF(I683="","",IF(Parametreler!$C$7="Evet","Kural A - Hemen Ödeme (Stok Mutabakatlı)","Kural B - Nakliye/Montaj Sonrası Ödeme"))</f>
        <v/>
      </c>
    </row>
    <row r="684">
      <c r="A684" s="23" t="n"/>
      <c r="B684" s="23" t="n"/>
      <c r="C684" s="23" t="n"/>
      <c r="D684" s="23" t="n"/>
      <c r="E684" s="23" t="n"/>
      <c r="F684" s="23" t="n"/>
      <c r="G684" s="23" t="n"/>
      <c r="H684" s="24" t="n"/>
      <c r="I684" s="23" t="n"/>
      <c r="J684" s="23" t="n"/>
      <c r="K684" s="23" t="n"/>
      <c r="L684" s="23" t="n"/>
      <c r="M684" s="23" t="n"/>
      <c r="N684" s="23" t="n"/>
      <c r="O684" s="23" t="n"/>
      <c r="P684" s="23" t="n"/>
      <c r="Q684" s="23" t="n"/>
      <c r="R684" s="23" t="n"/>
      <c r="S684" s="23" t="n"/>
      <c r="T684" s="23" t="n"/>
      <c r="U684" s="23" t="n"/>
      <c r="V684" s="23" t="n"/>
      <c r="W684" s="23" t="n"/>
      <c r="X684" s="23" t="n"/>
      <c r="Y684" s="25" t="n"/>
      <c r="Z684" s="25" t="n"/>
      <c r="AA684" s="23" t="n"/>
      <c r="AB684" s="25" t="n"/>
      <c r="AC684" s="23" t="n"/>
      <c r="AD684" s="25" t="n"/>
      <c r="AE684" s="23" t="n"/>
      <c r="AF684" s="25" t="n"/>
      <c r="AG684" s="25" t="n"/>
      <c r="AH684" s="23" t="n"/>
      <c r="AI684" s="23" t="n"/>
      <c r="AJ684" s="26">
        <f>IF(I684="","",I684&amp;"|"&amp;R684)</f>
        <v/>
      </c>
      <c r="AK684" s="26">
        <f>IF(I684="","",IF(ISNA(MATCH(O684,Kampanyalar!$A$2:$A$150,0)),"Hayır - Kampanyalar'da Yok","Evet"))</f>
        <v/>
      </c>
      <c r="AL684" s="27">
        <f>IF(I684="","",IFERROR(INDEX(Kampanyalar!$E$2:$E$150,MATCH(O684,Kampanyalar!$A$2:$A$150,0)),""))</f>
        <v/>
      </c>
      <c r="AM684" s="27">
        <f>IF(I684="","",IFERROR(INDEX(Kampanyalar!$F$2:$F$150,MATCH(O684,Kampanyalar!$A$2:$A$150,0)),""))</f>
        <v/>
      </c>
      <c r="AN684" s="27">
        <f>IF(I684="","",IFERROR(INDEX(Kampanyalar!$G$2:$G$150,MATCH(O684,Kampanyalar!$A$2:$A$150,0)),""))</f>
        <v/>
      </c>
      <c r="AO684" s="26">
        <f>IF(OR(I684="",AL684="",AM684=""),"",IF(AND(H684&gt;=AL684,H684&lt;=AM684),"Evet","HAYIR - Tarih Dışı"))</f>
        <v/>
      </c>
      <c r="AP684" s="28">
        <f>IF(I684="","",IFERROR(INDEX(Kampanyalar!$H$2:$H$150,MATCH(O684,Kampanyalar!$A$2:$A$150,0)),""))</f>
        <v/>
      </c>
      <c r="AQ684" s="28">
        <f>IF(I684="","",IF(ISNUMBER(AP684),AP684,AD684))</f>
        <v/>
      </c>
      <c r="AR684" s="26">
        <f>IF(I684="","",IF(Parametreler!$C$7="Evet","Kural A - Hemen Ödeme (Stok Mutabakatlı)","Kural B - Nakliye/Montaj Sonrası Ödeme"))</f>
        <v/>
      </c>
    </row>
    <row r="685">
      <c r="A685" s="23" t="n"/>
      <c r="B685" s="23" t="n"/>
      <c r="C685" s="23" t="n"/>
      <c r="D685" s="23" t="n"/>
      <c r="E685" s="23" t="n"/>
      <c r="F685" s="23" t="n"/>
      <c r="G685" s="23" t="n"/>
      <c r="H685" s="24" t="n"/>
      <c r="I685" s="23" t="n"/>
      <c r="J685" s="23" t="n"/>
      <c r="K685" s="23" t="n"/>
      <c r="L685" s="23" t="n"/>
      <c r="M685" s="23" t="n"/>
      <c r="N685" s="23" t="n"/>
      <c r="O685" s="23" t="n"/>
      <c r="P685" s="23" t="n"/>
      <c r="Q685" s="23" t="n"/>
      <c r="R685" s="23" t="n"/>
      <c r="S685" s="23" t="n"/>
      <c r="T685" s="23" t="n"/>
      <c r="U685" s="23" t="n"/>
      <c r="V685" s="23" t="n"/>
      <c r="W685" s="23" t="n"/>
      <c r="X685" s="23" t="n"/>
      <c r="Y685" s="25" t="n"/>
      <c r="Z685" s="25" t="n"/>
      <c r="AA685" s="23" t="n"/>
      <c r="AB685" s="25" t="n"/>
      <c r="AC685" s="23" t="n"/>
      <c r="AD685" s="25" t="n"/>
      <c r="AE685" s="23" t="n"/>
      <c r="AF685" s="25" t="n"/>
      <c r="AG685" s="25" t="n"/>
      <c r="AH685" s="23" t="n"/>
      <c r="AI685" s="23" t="n"/>
      <c r="AJ685" s="26">
        <f>IF(I685="","",I685&amp;"|"&amp;R685)</f>
        <v/>
      </c>
      <c r="AK685" s="26">
        <f>IF(I685="","",IF(ISNA(MATCH(O685,Kampanyalar!$A$2:$A$150,0)),"Hayır - Kampanyalar'da Yok","Evet"))</f>
        <v/>
      </c>
      <c r="AL685" s="27">
        <f>IF(I685="","",IFERROR(INDEX(Kampanyalar!$E$2:$E$150,MATCH(O685,Kampanyalar!$A$2:$A$150,0)),""))</f>
        <v/>
      </c>
      <c r="AM685" s="27">
        <f>IF(I685="","",IFERROR(INDEX(Kampanyalar!$F$2:$F$150,MATCH(O685,Kampanyalar!$A$2:$A$150,0)),""))</f>
        <v/>
      </c>
      <c r="AN685" s="27">
        <f>IF(I685="","",IFERROR(INDEX(Kampanyalar!$G$2:$G$150,MATCH(O685,Kampanyalar!$A$2:$A$150,0)),""))</f>
        <v/>
      </c>
      <c r="AO685" s="26">
        <f>IF(OR(I685="",AL685="",AM685=""),"",IF(AND(H685&gt;=AL685,H685&lt;=AM685),"Evet","HAYIR - Tarih Dışı"))</f>
        <v/>
      </c>
      <c r="AP685" s="28">
        <f>IF(I685="","",IFERROR(INDEX(Kampanyalar!$H$2:$H$150,MATCH(O685,Kampanyalar!$A$2:$A$150,0)),""))</f>
        <v/>
      </c>
      <c r="AQ685" s="28">
        <f>IF(I685="","",IF(ISNUMBER(AP685),AP685,AD685))</f>
        <v/>
      </c>
      <c r="AR685" s="26">
        <f>IF(I685="","",IF(Parametreler!$C$7="Evet","Kural A - Hemen Ödeme (Stok Mutabakatlı)","Kural B - Nakliye/Montaj Sonrası Ödeme"))</f>
        <v/>
      </c>
    </row>
    <row r="686">
      <c r="A686" s="23" t="n"/>
      <c r="B686" s="23" t="n"/>
      <c r="C686" s="23" t="n"/>
      <c r="D686" s="23" t="n"/>
      <c r="E686" s="23" t="n"/>
      <c r="F686" s="23" t="n"/>
      <c r="G686" s="23" t="n"/>
      <c r="H686" s="24" t="n"/>
      <c r="I686" s="23" t="n"/>
      <c r="J686" s="23" t="n"/>
      <c r="K686" s="23" t="n"/>
      <c r="L686" s="23" t="n"/>
      <c r="M686" s="23" t="n"/>
      <c r="N686" s="23" t="n"/>
      <c r="O686" s="23" t="n"/>
      <c r="P686" s="23" t="n"/>
      <c r="Q686" s="23" t="n"/>
      <c r="R686" s="23" t="n"/>
      <c r="S686" s="23" t="n"/>
      <c r="T686" s="23" t="n"/>
      <c r="U686" s="23" t="n"/>
      <c r="V686" s="23" t="n"/>
      <c r="W686" s="23" t="n"/>
      <c r="X686" s="23" t="n"/>
      <c r="Y686" s="25" t="n"/>
      <c r="Z686" s="25" t="n"/>
      <c r="AA686" s="23" t="n"/>
      <c r="AB686" s="25" t="n"/>
      <c r="AC686" s="23" t="n"/>
      <c r="AD686" s="25" t="n"/>
      <c r="AE686" s="23" t="n"/>
      <c r="AF686" s="25" t="n"/>
      <c r="AG686" s="25" t="n"/>
      <c r="AH686" s="23" t="n"/>
      <c r="AI686" s="23" t="n"/>
      <c r="AJ686" s="26">
        <f>IF(I686="","",I686&amp;"|"&amp;R686)</f>
        <v/>
      </c>
      <c r="AK686" s="26">
        <f>IF(I686="","",IF(ISNA(MATCH(O686,Kampanyalar!$A$2:$A$150,0)),"Hayır - Kampanyalar'da Yok","Evet"))</f>
        <v/>
      </c>
      <c r="AL686" s="27">
        <f>IF(I686="","",IFERROR(INDEX(Kampanyalar!$E$2:$E$150,MATCH(O686,Kampanyalar!$A$2:$A$150,0)),""))</f>
        <v/>
      </c>
      <c r="AM686" s="27">
        <f>IF(I686="","",IFERROR(INDEX(Kampanyalar!$F$2:$F$150,MATCH(O686,Kampanyalar!$A$2:$A$150,0)),""))</f>
        <v/>
      </c>
      <c r="AN686" s="27">
        <f>IF(I686="","",IFERROR(INDEX(Kampanyalar!$G$2:$G$150,MATCH(O686,Kampanyalar!$A$2:$A$150,0)),""))</f>
        <v/>
      </c>
      <c r="AO686" s="26">
        <f>IF(OR(I686="",AL686="",AM686=""),"",IF(AND(H686&gt;=AL686,H686&lt;=AM686),"Evet","HAYIR - Tarih Dışı"))</f>
        <v/>
      </c>
      <c r="AP686" s="28">
        <f>IF(I686="","",IFERROR(INDEX(Kampanyalar!$H$2:$H$150,MATCH(O686,Kampanyalar!$A$2:$A$150,0)),""))</f>
        <v/>
      </c>
      <c r="AQ686" s="28">
        <f>IF(I686="","",IF(ISNUMBER(AP686),AP686,AD686))</f>
        <v/>
      </c>
      <c r="AR686" s="26">
        <f>IF(I686="","",IF(Parametreler!$C$7="Evet","Kural A - Hemen Ödeme (Stok Mutabakatlı)","Kural B - Nakliye/Montaj Sonrası Ödeme"))</f>
        <v/>
      </c>
    </row>
    <row r="687">
      <c r="A687" s="23" t="n"/>
      <c r="B687" s="23" t="n"/>
      <c r="C687" s="23" t="n"/>
      <c r="D687" s="23" t="n"/>
      <c r="E687" s="23" t="n"/>
      <c r="F687" s="23" t="n"/>
      <c r="G687" s="23" t="n"/>
      <c r="H687" s="24" t="n"/>
      <c r="I687" s="23" t="n"/>
      <c r="J687" s="23" t="n"/>
      <c r="K687" s="23" t="n"/>
      <c r="L687" s="23" t="n"/>
      <c r="M687" s="23" t="n"/>
      <c r="N687" s="23" t="n"/>
      <c r="O687" s="23" t="n"/>
      <c r="P687" s="23" t="n"/>
      <c r="Q687" s="23" t="n"/>
      <c r="R687" s="23" t="n"/>
      <c r="S687" s="23" t="n"/>
      <c r="T687" s="23" t="n"/>
      <c r="U687" s="23" t="n"/>
      <c r="V687" s="23" t="n"/>
      <c r="W687" s="23" t="n"/>
      <c r="X687" s="23" t="n"/>
      <c r="Y687" s="25" t="n"/>
      <c r="Z687" s="25" t="n"/>
      <c r="AA687" s="23" t="n"/>
      <c r="AB687" s="25" t="n"/>
      <c r="AC687" s="23" t="n"/>
      <c r="AD687" s="25" t="n"/>
      <c r="AE687" s="23" t="n"/>
      <c r="AF687" s="25" t="n"/>
      <c r="AG687" s="25" t="n"/>
      <c r="AH687" s="23" t="n"/>
      <c r="AI687" s="23" t="n"/>
      <c r="AJ687" s="26">
        <f>IF(I687="","",I687&amp;"|"&amp;R687)</f>
        <v/>
      </c>
      <c r="AK687" s="26">
        <f>IF(I687="","",IF(ISNA(MATCH(O687,Kampanyalar!$A$2:$A$150,0)),"Hayır - Kampanyalar'da Yok","Evet"))</f>
        <v/>
      </c>
      <c r="AL687" s="27">
        <f>IF(I687="","",IFERROR(INDEX(Kampanyalar!$E$2:$E$150,MATCH(O687,Kampanyalar!$A$2:$A$150,0)),""))</f>
        <v/>
      </c>
      <c r="AM687" s="27">
        <f>IF(I687="","",IFERROR(INDEX(Kampanyalar!$F$2:$F$150,MATCH(O687,Kampanyalar!$A$2:$A$150,0)),""))</f>
        <v/>
      </c>
      <c r="AN687" s="27">
        <f>IF(I687="","",IFERROR(INDEX(Kampanyalar!$G$2:$G$150,MATCH(O687,Kampanyalar!$A$2:$A$150,0)),""))</f>
        <v/>
      </c>
      <c r="AO687" s="26">
        <f>IF(OR(I687="",AL687="",AM687=""),"",IF(AND(H687&gt;=AL687,H687&lt;=AM687),"Evet","HAYIR - Tarih Dışı"))</f>
        <v/>
      </c>
      <c r="AP687" s="28">
        <f>IF(I687="","",IFERROR(INDEX(Kampanyalar!$H$2:$H$150,MATCH(O687,Kampanyalar!$A$2:$A$150,0)),""))</f>
        <v/>
      </c>
      <c r="AQ687" s="28">
        <f>IF(I687="","",IF(ISNUMBER(AP687),AP687,AD687))</f>
        <v/>
      </c>
      <c r="AR687" s="26">
        <f>IF(I687="","",IF(Parametreler!$C$7="Evet","Kural A - Hemen Ödeme (Stok Mutabakatlı)","Kural B - Nakliye/Montaj Sonrası Ödeme"))</f>
        <v/>
      </c>
    </row>
    <row r="688">
      <c r="A688" s="23" t="n"/>
      <c r="B688" s="23" t="n"/>
      <c r="C688" s="23" t="n"/>
      <c r="D688" s="23" t="n"/>
      <c r="E688" s="23" t="n"/>
      <c r="F688" s="23" t="n"/>
      <c r="G688" s="23" t="n"/>
      <c r="H688" s="24" t="n"/>
      <c r="I688" s="23" t="n"/>
      <c r="J688" s="23" t="n"/>
      <c r="K688" s="23" t="n"/>
      <c r="L688" s="23" t="n"/>
      <c r="M688" s="23" t="n"/>
      <c r="N688" s="23" t="n"/>
      <c r="O688" s="23" t="n"/>
      <c r="P688" s="23" t="n"/>
      <c r="Q688" s="23" t="n"/>
      <c r="R688" s="23" t="n"/>
      <c r="S688" s="23" t="n"/>
      <c r="T688" s="23" t="n"/>
      <c r="U688" s="23" t="n"/>
      <c r="V688" s="23" t="n"/>
      <c r="W688" s="23" t="n"/>
      <c r="X688" s="23" t="n"/>
      <c r="Y688" s="25" t="n"/>
      <c r="Z688" s="25" t="n"/>
      <c r="AA688" s="23" t="n"/>
      <c r="AB688" s="25" t="n"/>
      <c r="AC688" s="23" t="n"/>
      <c r="AD688" s="25" t="n"/>
      <c r="AE688" s="23" t="n"/>
      <c r="AF688" s="25" t="n"/>
      <c r="AG688" s="25" t="n"/>
      <c r="AH688" s="23" t="n"/>
      <c r="AI688" s="23" t="n"/>
      <c r="AJ688" s="26">
        <f>IF(I688="","",I688&amp;"|"&amp;R688)</f>
        <v/>
      </c>
      <c r="AK688" s="26">
        <f>IF(I688="","",IF(ISNA(MATCH(O688,Kampanyalar!$A$2:$A$150,0)),"Hayır - Kampanyalar'da Yok","Evet"))</f>
        <v/>
      </c>
      <c r="AL688" s="27">
        <f>IF(I688="","",IFERROR(INDEX(Kampanyalar!$E$2:$E$150,MATCH(O688,Kampanyalar!$A$2:$A$150,0)),""))</f>
        <v/>
      </c>
      <c r="AM688" s="27">
        <f>IF(I688="","",IFERROR(INDEX(Kampanyalar!$F$2:$F$150,MATCH(O688,Kampanyalar!$A$2:$A$150,0)),""))</f>
        <v/>
      </c>
      <c r="AN688" s="27">
        <f>IF(I688="","",IFERROR(INDEX(Kampanyalar!$G$2:$G$150,MATCH(O688,Kampanyalar!$A$2:$A$150,0)),""))</f>
        <v/>
      </c>
      <c r="AO688" s="26">
        <f>IF(OR(I688="",AL688="",AM688=""),"",IF(AND(H688&gt;=AL688,H688&lt;=AM688),"Evet","HAYIR - Tarih Dışı"))</f>
        <v/>
      </c>
      <c r="AP688" s="28">
        <f>IF(I688="","",IFERROR(INDEX(Kampanyalar!$H$2:$H$150,MATCH(O688,Kampanyalar!$A$2:$A$150,0)),""))</f>
        <v/>
      </c>
      <c r="AQ688" s="28">
        <f>IF(I688="","",IF(ISNUMBER(AP688),AP688,AD688))</f>
        <v/>
      </c>
      <c r="AR688" s="26">
        <f>IF(I688="","",IF(Parametreler!$C$7="Evet","Kural A - Hemen Ödeme (Stok Mutabakatlı)","Kural B - Nakliye/Montaj Sonrası Ödeme"))</f>
        <v/>
      </c>
    </row>
    <row r="689">
      <c r="A689" s="23" t="n"/>
      <c r="B689" s="23" t="n"/>
      <c r="C689" s="23" t="n"/>
      <c r="D689" s="23" t="n"/>
      <c r="E689" s="23" t="n"/>
      <c r="F689" s="23" t="n"/>
      <c r="G689" s="23" t="n"/>
      <c r="H689" s="24" t="n"/>
      <c r="I689" s="23" t="n"/>
      <c r="J689" s="23" t="n"/>
      <c r="K689" s="23" t="n"/>
      <c r="L689" s="23" t="n"/>
      <c r="M689" s="23" t="n"/>
      <c r="N689" s="23" t="n"/>
      <c r="O689" s="23" t="n"/>
      <c r="P689" s="23" t="n"/>
      <c r="Q689" s="23" t="n"/>
      <c r="R689" s="23" t="n"/>
      <c r="S689" s="23" t="n"/>
      <c r="T689" s="23" t="n"/>
      <c r="U689" s="23" t="n"/>
      <c r="V689" s="23" t="n"/>
      <c r="W689" s="23" t="n"/>
      <c r="X689" s="23" t="n"/>
      <c r="Y689" s="25" t="n"/>
      <c r="Z689" s="25" t="n"/>
      <c r="AA689" s="23" t="n"/>
      <c r="AB689" s="25" t="n"/>
      <c r="AC689" s="23" t="n"/>
      <c r="AD689" s="25" t="n"/>
      <c r="AE689" s="23" t="n"/>
      <c r="AF689" s="25" t="n"/>
      <c r="AG689" s="25" t="n"/>
      <c r="AH689" s="23" t="n"/>
      <c r="AI689" s="23" t="n"/>
      <c r="AJ689" s="26">
        <f>IF(I689="","",I689&amp;"|"&amp;R689)</f>
        <v/>
      </c>
      <c r="AK689" s="26">
        <f>IF(I689="","",IF(ISNA(MATCH(O689,Kampanyalar!$A$2:$A$150,0)),"Hayır - Kampanyalar'da Yok","Evet"))</f>
        <v/>
      </c>
      <c r="AL689" s="27">
        <f>IF(I689="","",IFERROR(INDEX(Kampanyalar!$E$2:$E$150,MATCH(O689,Kampanyalar!$A$2:$A$150,0)),""))</f>
        <v/>
      </c>
      <c r="AM689" s="27">
        <f>IF(I689="","",IFERROR(INDEX(Kampanyalar!$F$2:$F$150,MATCH(O689,Kampanyalar!$A$2:$A$150,0)),""))</f>
        <v/>
      </c>
      <c r="AN689" s="27">
        <f>IF(I689="","",IFERROR(INDEX(Kampanyalar!$G$2:$G$150,MATCH(O689,Kampanyalar!$A$2:$A$150,0)),""))</f>
        <v/>
      </c>
      <c r="AO689" s="26">
        <f>IF(OR(I689="",AL689="",AM689=""),"",IF(AND(H689&gt;=AL689,H689&lt;=AM689),"Evet","HAYIR - Tarih Dışı"))</f>
        <v/>
      </c>
      <c r="AP689" s="28">
        <f>IF(I689="","",IFERROR(INDEX(Kampanyalar!$H$2:$H$150,MATCH(O689,Kampanyalar!$A$2:$A$150,0)),""))</f>
        <v/>
      </c>
      <c r="AQ689" s="28">
        <f>IF(I689="","",IF(ISNUMBER(AP689),AP689,AD689))</f>
        <v/>
      </c>
      <c r="AR689" s="26">
        <f>IF(I689="","",IF(Parametreler!$C$7="Evet","Kural A - Hemen Ödeme (Stok Mutabakatlı)","Kural B - Nakliye/Montaj Sonrası Ödeme"))</f>
        <v/>
      </c>
    </row>
    <row r="690">
      <c r="A690" s="23" t="n"/>
      <c r="B690" s="23" t="n"/>
      <c r="C690" s="23" t="n"/>
      <c r="D690" s="23" t="n"/>
      <c r="E690" s="23" t="n"/>
      <c r="F690" s="23" t="n"/>
      <c r="G690" s="23" t="n"/>
      <c r="H690" s="24" t="n"/>
      <c r="I690" s="23" t="n"/>
      <c r="J690" s="23" t="n"/>
      <c r="K690" s="23" t="n"/>
      <c r="L690" s="23" t="n"/>
      <c r="M690" s="23" t="n"/>
      <c r="N690" s="23" t="n"/>
      <c r="O690" s="23" t="n"/>
      <c r="P690" s="23" t="n"/>
      <c r="Q690" s="23" t="n"/>
      <c r="R690" s="23" t="n"/>
      <c r="S690" s="23" t="n"/>
      <c r="T690" s="23" t="n"/>
      <c r="U690" s="23" t="n"/>
      <c r="V690" s="23" t="n"/>
      <c r="W690" s="23" t="n"/>
      <c r="X690" s="23" t="n"/>
      <c r="Y690" s="25" t="n"/>
      <c r="Z690" s="25" t="n"/>
      <c r="AA690" s="23" t="n"/>
      <c r="AB690" s="25" t="n"/>
      <c r="AC690" s="23" t="n"/>
      <c r="AD690" s="25" t="n"/>
      <c r="AE690" s="23" t="n"/>
      <c r="AF690" s="25" t="n"/>
      <c r="AG690" s="25" t="n"/>
      <c r="AH690" s="23" t="n"/>
      <c r="AI690" s="23" t="n"/>
      <c r="AJ690" s="26">
        <f>IF(I690="","",I690&amp;"|"&amp;R690)</f>
        <v/>
      </c>
      <c r="AK690" s="26">
        <f>IF(I690="","",IF(ISNA(MATCH(O690,Kampanyalar!$A$2:$A$150,0)),"Hayır - Kampanyalar'da Yok","Evet"))</f>
        <v/>
      </c>
      <c r="AL690" s="27">
        <f>IF(I690="","",IFERROR(INDEX(Kampanyalar!$E$2:$E$150,MATCH(O690,Kampanyalar!$A$2:$A$150,0)),""))</f>
        <v/>
      </c>
      <c r="AM690" s="27">
        <f>IF(I690="","",IFERROR(INDEX(Kampanyalar!$F$2:$F$150,MATCH(O690,Kampanyalar!$A$2:$A$150,0)),""))</f>
        <v/>
      </c>
      <c r="AN690" s="27">
        <f>IF(I690="","",IFERROR(INDEX(Kampanyalar!$G$2:$G$150,MATCH(O690,Kampanyalar!$A$2:$A$150,0)),""))</f>
        <v/>
      </c>
      <c r="AO690" s="26">
        <f>IF(OR(I690="",AL690="",AM690=""),"",IF(AND(H690&gt;=AL690,H690&lt;=AM690),"Evet","HAYIR - Tarih Dışı"))</f>
        <v/>
      </c>
      <c r="AP690" s="28">
        <f>IF(I690="","",IFERROR(INDEX(Kampanyalar!$H$2:$H$150,MATCH(O690,Kampanyalar!$A$2:$A$150,0)),""))</f>
        <v/>
      </c>
      <c r="AQ690" s="28">
        <f>IF(I690="","",IF(ISNUMBER(AP690),AP690,AD690))</f>
        <v/>
      </c>
      <c r="AR690" s="26">
        <f>IF(I690="","",IF(Parametreler!$C$7="Evet","Kural A - Hemen Ödeme (Stok Mutabakatlı)","Kural B - Nakliye/Montaj Sonrası Ödeme"))</f>
        <v/>
      </c>
    </row>
    <row r="691">
      <c r="A691" s="23" t="n"/>
      <c r="B691" s="23" t="n"/>
      <c r="C691" s="23" t="n"/>
      <c r="D691" s="23" t="n"/>
      <c r="E691" s="23" t="n"/>
      <c r="F691" s="23" t="n"/>
      <c r="G691" s="23" t="n"/>
      <c r="H691" s="24" t="n"/>
      <c r="I691" s="23" t="n"/>
      <c r="J691" s="23" t="n"/>
      <c r="K691" s="23" t="n"/>
      <c r="L691" s="23" t="n"/>
      <c r="M691" s="23" t="n"/>
      <c r="N691" s="23" t="n"/>
      <c r="O691" s="23" t="n"/>
      <c r="P691" s="23" t="n"/>
      <c r="Q691" s="23" t="n"/>
      <c r="R691" s="23" t="n"/>
      <c r="S691" s="23" t="n"/>
      <c r="T691" s="23" t="n"/>
      <c r="U691" s="23" t="n"/>
      <c r="V691" s="23" t="n"/>
      <c r="W691" s="23" t="n"/>
      <c r="X691" s="23" t="n"/>
      <c r="Y691" s="25" t="n"/>
      <c r="Z691" s="25" t="n"/>
      <c r="AA691" s="23" t="n"/>
      <c r="AB691" s="25" t="n"/>
      <c r="AC691" s="23" t="n"/>
      <c r="AD691" s="25" t="n"/>
      <c r="AE691" s="23" t="n"/>
      <c r="AF691" s="25" t="n"/>
      <c r="AG691" s="25" t="n"/>
      <c r="AH691" s="23" t="n"/>
      <c r="AI691" s="23" t="n"/>
      <c r="AJ691" s="26">
        <f>IF(I691="","",I691&amp;"|"&amp;R691)</f>
        <v/>
      </c>
      <c r="AK691" s="26">
        <f>IF(I691="","",IF(ISNA(MATCH(O691,Kampanyalar!$A$2:$A$150,0)),"Hayır - Kampanyalar'da Yok","Evet"))</f>
        <v/>
      </c>
      <c r="AL691" s="27">
        <f>IF(I691="","",IFERROR(INDEX(Kampanyalar!$E$2:$E$150,MATCH(O691,Kampanyalar!$A$2:$A$150,0)),""))</f>
        <v/>
      </c>
      <c r="AM691" s="27">
        <f>IF(I691="","",IFERROR(INDEX(Kampanyalar!$F$2:$F$150,MATCH(O691,Kampanyalar!$A$2:$A$150,0)),""))</f>
        <v/>
      </c>
      <c r="AN691" s="27">
        <f>IF(I691="","",IFERROR(INDEX(Kampanyalar!$G$2:$G$150,MATCH(O691,Kampanyalar!$A$2:$A$150,0)),""))</f>
        <v/>
      </c>
      <c r="AO691" s="26">
        <f>IF(OR(I691="",AL691="",AM691=""),"",IF(AND(H691&gt;=AL691,H691&lt;=AM691),"Evet","HAYIR - Tarih Dışı"))</f>
        <v/>
      </c>
      <c r="AP691" s="28">
        <f>IF(I691="","",IFERROR(INDEX(Kampanyalar!$H$2:$H$150,MATCH(O691,Kampanyalar!$A$2:$A$150,0)),""))</f>
        <v/>
      </c>
      <c r="AQ691" s="28">
        <f>IF(I691="","",IF(ISNUMBER(AP691),AP691,AD691))</f>
        <v/>
      </c>
      <c r="AR691" s="26">
        <f>IF(I691="","",IF(Parametreler!$C$7="Evet","Kural A - Hemen Ödeme (Stok Mutabakatlı)","Kural B - Nakliye/Montaj Sonrası Ödeme"))</f>
        <v/>
      </c>
    </row>
    <row r="692">
      <c r="A692" s="23" t="n"/>
      <c r="B692" s="23" t="n"/>
      <c r="C692" s="23" t="n"/>
      <c r="D692" s="23" t="n"/>
      <c r="E692" s="23" t="n"/>
      <c r="F692" s="23" t="n"/>
      <c r="G692" s="23" t="n"/>
      <c r="H692" s="24" t="n"/>
      <c r="I692" s="23" t="n"/>
      <c r="J692" s="23" t="n"/>
      <c r="K692" s="23" t="n"/>
      <c r="L692" s="23" t="n"/>
      <c r="M692" s="23" t="n"/>
      <c r="N692" s="23" t="n"/>
      <c r="O692" s="23" t="n"/>
      <c r="P692" s="23" t="n"/>
      <c r="Q692" s="23" t="n"/>
      <c r="R692" s="23" t="n"/>
      <c r="S692" s="23" t="n"/>
      <c r="T692" s="23" t="n"/>
      <c r="U692" s="23" t="n"/>
      <c r="V692" s="23" t="n"/>
      <c r="W692" s="23" t="n"/>
      <c r="X692" s="23" t="n"/>
      <c r="Y692" s="25" t="n"/>
      <c r="Z692" s="25" t="n"/>
      <c r="AA692" s="23" t="n"/>
      <c r="AB692" s="25" t="n"/>
      <c r="AC692" s="23" t="n"/>
      <c r="AD692" s="25" t="n"/>
      <c r="AE692" s="23" t="n"/>
      <c r="AF692" s="25" t="n"/>
      <c r="AG692" s="25" t="n"/>
      <c r="AH692" s="23" t="n"/>
      <c r="AI692" s="23" t="n"/>
      <c r="AJ692" s="26">
        <f>IF(I692="","",I692&amp;"|"&amp;R692)</f>
        <v/>
      </c>
      <c r="AK692" s="26">
        <f>IF(I692="","",IF(ISNA(MATCH(O692,Kampanyalar!$A$2:$A$150,0)),"Hayır - Kampanyalar'da Yok","Evet"))</f>
        <v/>
      </c>
      <c r="AL692" s="27">
        <f>IF(I692="","",IFERROR(INDEX(Kampanyalar!$E$2:$E$150,MATCH(O692,Kampanyalar!$A$2:$A$150,0)),""))</f>
        <v/>
      </c>
      <c r="AM692" s="27">
        <f>IF(I692="","",IFERROR(INDEX(Kampanyalar!$F$2:$F$150,MATCH(O692,Kampanyalar!$A$2:$A$150,0)),""))</f>
        <v/>
      </c>
      <c r="AN692" s="27">
        <f>IF(I692="","",IFERROR(INDEX(Kampanyalar!$G$2:$G$150,MATCH(O692,Kampanyalar!$A$2:$A$150,0)),""))</f>
        <v/>
      </c>
      <c r="AO692" s="26">
        <f>IF(OR(I692="",AL692="",AM692=""),"",IF(AND(H692&gt;=AL692,H692&lt;=AM692),"Evet","HAYIR - Tarih Dışı"))</f>
        <v/>
      </c>
      <c r="AP692" s="28">
        <f>IF(I692="","",IFERROR(INDEX(Kampanyalar!$H$2:$H$150,MATCH(O692,Kampanyalar!$A$2:$A$150,0)),""))</f>
        <v/>
      </c>
      <c r="AQ692" s="28">
        <f>IF(I692="","",IF(ISNUMBER(AP692),AP692,AD692))</f>
        <v/>
      </c>
      <c r="AR692" s="26">
        <f>IF(I692="","",IF(Parametreler!$C$7="Evet","Kural A - Hemen Ödeme (Stok Mutabakatlı)","Kural B - Nakliye/Montaj Sonrası Ödeme"))</f>
        <v/>
      </c>
    </row>
    <row r="693">
      <c r="A693" s="23" t="n"/>
      <c r="B693" s="23" t="n"/>
      <c r="C693" s="23" t="n"/>
      <c r="D693" s="23" t="n"/>
      <c r="E693" s="23" t="n"/>
      <c r="F693" s="23" t="n"/>
      <c r="G693" s="23" t="n"/>
      <c r="H693" s="24" t="n"/>
      <c r="I693" s="23" t="n"/>
      <c r="J693" s="23" t="n"/>
      <c r="K693" s="23" t="n"/>
      <c r="L693" s="23" t="n"/>
      <c r="M693" s="23" t="n"/>
      <c r="N693" s="23" t="n"/>
      <c r="O693" s="23" t="n"/>
      <c r="P693" s="23" t="n"/>
      <c r="Q693" s="23" t="n"/>
      <c r="R693" s="23" t="n"/>
      <c r="S693" s="23" t="n"/>
      <c r="T693" s="23" t="n"/>
      <c r="U693" s="23" t="n"/>
      <c r="V693" s="23" t="n"/>
      <c r="W693" s="23" t="n"/>
      <c r="X693" s="23" t="n"/>
      <c r="Y693" s="25" t="n"/>
      <c r="Z693" s="25" t="n"/>
      <c r="AA693" s="23" t="n"/>
      <c r="AB693" s="25" t="n"/>
      <c r="AC693" s="23" t="n"/>
      <c r="AD693" s="25" t="n"/>
      <c r="AE693" s="23" t="n"/>
      <c r="AF693" s="25" t="n"/>
      <c r="AG693" s="25" t="n"/>
      <c r="AH693" s="23" t="n"/>
      <c r="AI693" s="23" t="n"/>
      <c r="AJ693" s="26">
        <f>IF(I693="","",I693&amp;"|"&amp;R693)</f>
        <v/>
      </c>
      <c r="AK693" s="26">
        <f>IF(I693="","",IF(ISNA(MATCH(O693,Kampanyalar!$A$2:$A$150,0)),"Hayır - Kampanyalar'da Yok","Evet"))</f>
        <v/>
      </c>
      <c r="AL693" s="27">
        <f>IF(I693="","",IFERROR(INDEX(Kampanyalar!$E$2:$E$150,MATCH(O693,Kampanyalar!$A$2:$A$150,0)),""))</f>
        <v/>
      </c>
      <c r="AM693" s="27">
        <f>IF(I693="","",IFERROR(INDEX(Kampanyalar!$F$2:$F$150,MATCH(O693,Kampanyalar!$A$2:$A$150,0)),""))</f>
        <v/>
      </c>
      <c r="AN693" s="27">
        <f>IF(I693="","",IFERROR(INDEX(Kampanyalar!$G$2:$G$150,MATCH(O693,Kampanyalar!$A$2:$A$150,0)),""))</f>
        <v/>
      </c>
      <c r="AO693" s="26">
        <f>IF(OR(I693="",AL693="",AM693=""),"",IF(AND(H693&gt;=AL693,H693&lt;=AM693),"Evet","HAYIR - Tarih Dışı"))</f>
        <v/>
      </c>
      <c r="AP693" s="28">
        <f>IF(I693="","",IFERROR(INDEX(Kampanyalar!$H$2:$H$150,MATCH(O693,Kampanyalar!$A$2:$A$150,0)),""))</f>
        <v/>
      </c>
      <c r="AQ693" s="28">
        <f>IF(I693="","",IF(ISNUMBER(AP693),AP693,AD693))</f>
        <v/>
      </c>
      <c r="AR693" s="26">
        <f>IF(I693="","",IF(Parametreler!$C$7="Evet","Kural A - Hemen Ödeme (Stok Mutabakatlı)","Kural B - Nakliye/Montaj Sonrası Ödeme"))</f>
        <v/>
      </c>
    </row>
    <row r="694">
      <c r="A694" s="23" t="n"/>
      <c r="B694" s="23" t="n"/>
      <c r="C694" s="23" t="n"/>
      <c r="D694" s="23" t="n"/>
      <c r="E694" s="23" t="n"/>
      <c r="F694" s="23" t="n"/>
      <c r="G694" s="23" t="n"/>
      <c r="H694" s="24" t="n"/>
      <c r="I694" s="23" t="n"/>
      <c r="J694" s="23" t="n"/>
      <c r="K694" s="23" t="n"/>
      <c r="L694" s="23" t="n"/>
      <c r="M694" s="23" t="n"/>
      <c r="N694" s="23" t="n"/>
      <c r="O694" s="23" t="n"/>
      <c r="P694" s="23" t="n"/>
      <c r="Q694" s="23" t="n"/>
      <c r="R694" s="23" t="n"/>
      <c r="S694" s="23" t="n"/>
      <c r="T694" s="23" t="n"/>
      <c r="U694" s="23" t="n"/>
      <c r="V694" s="23" t="n"/>
      <c r="W694" s="23" t="n"/>
      <c r="X694" s="23" t="n"/>
      <c r="Y694" s="25" t="n"/>
      <c r="Z694" s="25" t="n"/>
      <c r="AA694" s="23" t="n"/>
      <c r="AB694" s="25" t="n"/>
      <c r="AC694" s="23" t="n"/>
      <c r="AD694" s="25" t="n"/>
      <c r="AE694" s="23" t="n"/>
      <c r="AF694" s="25" t="n"/>
      <c r="AG694" s="25" t="n"/>
      <c r="AH694" s="23" t="n"/>
      <c r="AI694" s="23" t="n"/>
      <c r="AJ694" s="26">
        <f>IF(I694="","",I694&amp;"|"&amp;R694)</f>
        <v/>
      </c>
      <c r="AK694" s="26">
        <f>IF(I694="","",IF(ISNA(MATCH(O694,Kampanyalar!$A$2:$A$150,0)),"Hayır - Kampanyalar'da Yok","Evet"))</f>
        <v/>
      </c>
      <c r="AL694" s="27">
        <f>IF(I694="","",IFERROR(INDEX(Kampanyalar!$E$2:$E$150,MATCH(O694,Kampanyalar!$A$2:$A$150,0)),""))</f>
        <v/>
      </c>
      <c r="AM694" s="27">
        <f>IF(I694="","",IFERROR(INDEX(Kampanyalar!$F$2:$F$150,MATCH(O694,Kampanyalar!$A$2:$A$150,0)),""))</f>
        <v/>
      </c>
      <c r="AN694" s="27">
        <f>IF(I694="","",IFERROR(INDEX(Kampanyalar!$G$2:$G$150,MATCH(O694,Kampanyalar!$A$2:$A$150,0)),""))</f>
        <v/>
      </c>
      <c r="AO694" s="26">
        <f>IF(OR(I694="",AL694="",AM694=""),"",IF(AND(H694&gt;=AL694,H694&lt;=AM694),"Evet","HAYIR - Tarih Dışı"))</f>
        <v/>
      </c>
      <c r="AP694" s="28">
        <f>IF(I694="","",IFERROR(INDEX(Kampanyalar!$H$2:$H$150,MATCH(O694,Kampanyalar!$A$2:$A$150,0)),""))</f>
        <v/>
      </c>
      <c r="AQ694" s="28">
        <f>IF(I694="","",IF(ISNUMBER(AP694),AP694,AD694))</f>
        <v/>
      </c>
      <c r="AR694" s="26">
        <f>IF(I694="","",IF(Parametreler!$C$7="Evet","Kural A - Hemen Ödeme (Stok Mutabakatlı)","Kural B - Nakliye/Montaj Sonrası Ödeme"))</f>
        <v/>
      </c>
    </row>
    <row r="695">
      <c r="A695" s="23" t="n"/>
      <c r="B695" s="23" t="n"/>
      <c r="C695" s="23" t="n"/>
      <c r="D695" s="23" t="n"/>
      <c r="E695" s="23" t="n"/>
      <c r="F695" s="23" t="n"/>
      <c r="G695" s="23" t="n"/>
      <c r="H695" s="24" t="n"/>
      <c r="I695" s="23" t="n"/>
      <c r="J695" s="23" t="n"/>
      <c r="K695" s="23" t="n"/>
      <c r="L695" s="23" t="n"/>
      <c r="M695" s="23" t="n"/>
      <c r="N695" s="23" t="n"/>
      <c r="O695" s="23" t="n"/>
      <c r="P695" s="23" t="n"/>
      <c r="Q695" s="23" t="n"/>
      <c r="R695" s="23" t="n"/>
      <c r="S695" s="23" t="n"/>
      <c r="T695" s="23" t="n"/>
      <c r="U695" s="23" t="n"/>
      <c r="V695" s="23" t="n"/>
      <c r="W695" s="23" t="n"/>
      <c r="X695" s="23" t="n"/>
      <c r="Y695" s="25" t="n"/>
      <c r="Z695" s="25" t="n"/>
      <c r="AA695" s="23" t="n"/>
      <c r="AB695" s="25" t="n"/>
      <c r="AC695" s="23" t="n"/>
      <c r="AD695" s="25" t="n"/>
      <c r="AE695" s="23" t="n"/>
      <c r="AF695" s="25" t="n"/>
      <c r="AG695" s="25" t="n"/>
      <c r="AH695" s="23" t="n"/>
      <c r="AI695" s="23" t="n"/>
      <c r="AJ695" s="26">
        <f>IF(I695="","",I695&amp;"|"&amp;R695)</f>
        <v/>
      </c>
      <c r="AK695" s="26">
        <f>IF(I695="","",IF(ISNA(MATCH(O695,Kampanyalar!$A$2:$A$150,0)),"Hayır - Kampanyalar'da Yok","Evet"))</f>
        <v/>
      </c>
      <c r="AL695" s="27">
        <f>IF(I695="","",IFERROR(INDEX(Kampanyalar!$E$2:$E$150,MATCH(O695,Kampanyalar!$A$2:$A$150,0)),""))</f>
        <v/>
      </c>
      <c r="AM695" s="27">
        <f>IF(I695="","",IFERROR(INDEX(Kampanyalar!$F$2:$F$150,MATCH(O695,Kampanyalar!$A$2:$A$150,0)),""))</f>
        <v/>
      </c>
      <c r="AN695" s="27">
        <f>IF(I695="","",IFERROR(INDEX(Kampanyalar!$G$2:$G$150,MATCH(O695,Kampanyalar!$A$2:$A$150,0)),""))</f>
        <v/>
      </c>
      <c r="AO695" s="26">
        <f>IF(OR(I695="",AL695="",AM695=""),"",IF(AND(H695&gt;=AL695,H695&lt;=AM695),"Evet","HAYIR - Tarih Dışı"))</f>
        <v/>
      </c>
      <c r="AP695" s="28">
        <f>IF(I695="","",IFERROR(INDEX(Kampanyalar!$H$2:$H$150,MATCH(O695,Kampanyalar!$A$2:$A$150,0)),""))</f>
        <v/>
      </c>
      <c r="AQ695" s="28">
        <f>IF(I695="","",IF(ISNUMBER(AP695),AP695,AD695))</f>
        <v/>
      </c>
      <c r="AR695" s="26">
        <f>IF(I695="","",IF(Parametreler!$C$7="Evet","Kural A - Hemen Ödeme (Stok Mutabakatlı)","Kural B - Nakliye/Montaj Sonrası Ödeme"))</f>
        <v/>
      </c>
    </row>
    <row r="696">
      <c r="A696" s="23" t="n"/>
      <c r="B696" s="23" t="n"/>
      <c r="C696" s="23" t="n"/>
      <c r="D696" s="23" t="n"/>
      <c r="E696" s="23" t="n"/>
      <c r="F696" s="23" t="n"/>
      <c r="G696" s="23" t="n"/>
      <c r="H696" s="24" t="n"/>
      <c r="I696" s="23" t="n"/>
      <c r="J696" s="23" t="n"/>
      <c r="K696" s="23" t="n"/>
      <c r="L696" s="23" t="n"/>
      <c r="M696" s="23" t="n"/>
      <c r="N696" s="23" t="n"/>
      <c r="O696" s="23" t="n"/>
      <c r="P696" s="23" t="n"/>
      <c r="Q696" s="23" t="n"/>
      <c r="R696" s="23" t="n"/>
      <c r="S696" s="23" t="n"/>
      <c r="T696" s="23" t="n"/>
      <c r="U696" s="23" t="n"/>
      <c r="V696" s="23" t="n"/>
      <c r="W696" s="23" t="n"/>
      <c r="X696" s="23" t="n"/>
      <c r="Y696" s="25" t="n"/>
      <c r="Z696" s="25" t="n"/>
      <c r="AA696" s="23" t="n"/>
      <c r="AB696" s="25" t="n"/>
      <c r="AC696" s="23" t="n"/>
      <c r="AD696" s="25" t="n"/>
      <c r="AE696" s="23" t="n"/>
      <c r="AF696" s="25" t="n"/>
      <c r="AG696" s="25" t="n"/>
      <c r="AH696" s="23" t="n"/>
      <c r="AI696" s="23" t="n"/>
      <c r="AJ696" s="26">
        <f>IF(I696="","",I696&amp;"|"&amp;R696)</f>
        <v/>
      </c>
      <c r="AK696" s="26">
        <f>IF(I696="","",IF(ISNA(MATCH(O696,Kampanyalar!$A$2:$A$150,0)),"Hayır - Kampanyalar'da Yok","Evet"))</f>
        <v/>
      </c>
      <c r="AL696" s="27">
        <f>IF(I696="","",IFERROR(INDEX(Kampanyalar!$E$2:$E$150,MATCH(O696,Kampanyalar!$A$2:$A$150,0)),""))</f>
        <v/>
      </c>
      <c r="AM696" s="27">
        <f>IF(I696="","",IFERROR(INDEX(Kampanyalar!$F$2:$F$150,MATCH(O696,Kampanyalar!$A$2:$A$150,0)),""))</f>
        <v/>
      </c>
      <c r="AN696" s="27">
        <f>IF(I696="","",IFERROR(INDEX(Kampanyalar!$G$2:$G$150,MATCH(O696,Kampanyalar!$A$2:$A$150,0)),""))</f>
        <v/>
      </c>
      <c r="AO696" s="26">
        <f>IF(OR(I696="",AL696="",AM696=""),"",IF(AND(H696&gt;=AL696,H696&lt;=AM696),"Evet","HAYIR - Tarih Dışı"))</f>
        <v/>
      </c>
      <c r="AP696" s="28">
        <f>IF(I696="","",IFERROR(INDEX(Kampanyalar!$H$2:$H$150,MATCH(O696,Kampanyalar!$A$2:$A$150,0)),""))</f>
        <v/>
      </c>
      <c r="AQ696" s="28">
        <f>IF(I696="","",IF(ISNUMBER(AP696),AP696,AD696))</f>
        <v/>
      </c>
      <c r="AR696" s="26">
        <f>IF(I696="","",IF(Parametreler!$C$7="Evet","Kural A - Hemen Ödeme (Stok Mutabakatlı)","Kural B - Nakliye/Montaj Sonrası Ödeme"))</f>
        <v/>
      </c>
    </row>
    <row r="697">
      <c r="A697" s="23" t="n"/>
      <c r="B697" s="23" t="n"/>
      <c r="C697" s="23" t="n"/>
      <c r="D697" s="23" t="n"/>
      <c r="E697" s="23" t="n"/>
      <c r="F697" s="23" t="n"/>
      <c r="G697" s="23" t="n"/>
      <c r="H697" s="24" t="n"/>
      <c r="I697" s="23" t="n"/>
      <c r="J697" s="23" t="n"/>
      <c r="K697" s="23" t="n"/>
      <c r="L697" s="23" t="n"/>
      <c r="M697" s="23" t="n"/>
      <c r="N697" s="23" t="n"/>
      <c r="O697" s="23" t="n"/>
      <c r="P697" s="23" t="n"/>
      <c r="Q697" s="23" t="n"/>
      <c r="R697" s="23" t="n"/>
      <c r="S697" s="23" t="n"/>
      <c r="T697" s="23" t="n"/>
      <c r="U697" s="23" t="n"/>
      <c r="V697" s="23" t="n"/>
      <c r="W697" s="23" t="n"/>
      <c r="X697" s="23" t="n"/>
      <c r="Y697" s="25" t="n"/>
      <c r="Z697" s="25" t="n"/>
      <c r="AA697" s="23" t="n"/>
      <c r="AB697" s="25" t="n"/>
      <c r="AC697" s="23" t="n"/>
      <c r="AD697" s="25" t="n"/>
      <c r="AE697" s="23" t="n"/>
      <c r="AF697" s="25" t="n"/>
      <c r="AG697" s="25" t="n"/>
      <c r="AH697" s="23" t="n"/>
      <c r="AI697" s="23" t="n"/>
      <c r="AJ697" s="26">
        <f>IF(I697="","",I697&amp;"|"&amp;R697)</f>
        <v/>
      </c>
      <c r="AK697" s="26">
        <f>IF(I697="","",IF(ISNA(MATCH(O697,Kampanyalar!$A$2:$A$150,0)),"Hayır - Kampanyalar'da Yok","Evet"))</f>
        <v/>
      </c>
      <c r="AL697" s="27">
        <f>IF(I697="","",IFERROR(INDEX(Kampanyalar!$E$2:$E$150,MATCH(O697,Kampanyalar!$A$2:$A$150,0)),""))</f>
        <v/>
      </c>
      <c r="AM697" s="27">
        <f>IF(I697="","",IFERROR(INDEX(Kampanyalar!$F$2:$F$150,MATCH(O697,Kampanyalar!$A$2:$A$150,0)),""))</f>
        <v/>
      </c>
      <c r="AN697" s="27">
        <f>IF(I697="","",IFERROR(INDEX(Kampanyalar!$G$2:$G$150,MATCH(O697,Kampanyalar!$A$2:$A$150,0)),""))</f>
        <v/>
      </c>
      <c r="AO697" s="26">
        <f>IF(OR(I697="",AL697="",AM697=""),"",IF(AND(H697&gt;=AL697,H697&lt;=AM697),"Evet","HAYIR - Tarih Dışı"))</f>
        <v/>
      </c>
      <c r="AP697" s="28">
        <f>IF(I697="","",IFERROR(INDEX(Kampanyalar!$H$2:$H$150,MATCH(O697,Kampanyalar!$A$2:$A$150,0)),""))</f>
        <v/>
      </c>
      <c r="AQ697" s="28">
        <f>IF(I697="","",IF(ISNUMBER(AP697),AP697,AD697))</f>
        <v/>
      </c>
      <c r="AR697" s="26">
        <f>IF(I697="","",IF(Parametreler!$C$7="Evet","Kural A - Hemen Ödeme (Stok Mutabakatlı)","Kural B - Nakliye/Montaj Sonrası Ödeme"))</f>
        <v/>
      </c>
    </row>
    <row r="698">
      <c r="A698" s="23" t="n"/>
      <c r="B698" s="23" t="n"/>
      <c r="C698" s="23" t="n"/>
      <c r="D698" s="23" t="n"/>
      <c r="E698" s="23" t="n"/>
      <c r="F698" s="23" t="n"/>
      <c r="G698" s="23" t="n"/>
      <c r="H698" s="24" t="n"/>
      <c r="I698" s="23" t="n"/>
      <c r="J698" s="23" t="n"/>
      <c r="K698" s="23" t="n"/>
      <c r="L698" s="23" t="n"/>
      <c r="M698" s="23" t="n"/>
      <c r="N698" s="23" t="n"/>
      <c r="O698" s="23" t="n"/>
      <c r="P698" s="23" t="n"/>
      <c r="Q698" s="23" t="n"/>
      <c r="R698" s="23" t="n"/>
      <c r="S698" s="23" t="n"/>
      <c r="T698" s="23" t="n"/>
      <c r="U698" s="23" t="n"/>
      <c r="V698" s="23" t="n"/>
      <c r="W698" s="23" t="n"/>
      <c r="X698" s="23" t="n"/>
      <c r="Y698" s="25" t="n"/>
      <c r="Z698" s="25" t="n"/>
      <c r="AA698" s="23" t="n"/>
      <c r="AB698" s="25" t="n"/>
      <c r="AC698" s="23" t="n"/>
      <c r="AD698" s="25" t="n"/>
      <c r="AE698" s="23" t="n"/>
      <c r="AF698" s="25" t="n"/>
      <c r="AG698" s="25" t="n"/>
      <c r="AH698" s="23" t="n"/>
      <c r="AI698" s="23" t="n"/>
      <c r="AJ698" s="26">
        <f>IF(I698="","",I698&amp;"|"&amp;R698)</f>
        <v/>
      </c>
      <c r="AK698" s="26">
        <f>IF(I698="","",IF(ISNA(MATCH(O698,Kampanyalar!$A$2:$A$150,0)),"Hayır - Kampanyalar'da Yok","Evet"))</f>
        <v/>
      </c>
      <c r="AL698" s="27">
        <f>IF(I698="","",IFERROR(INDEX(Kampanyalar!$E$2:$E$150,MATCH(O698,Kampanyalar!$A$2:$A$150,0)),""))</f>
        <v/>
      </c>
      <c r="AM698" s="27">
        <f>IF(I698="","",IFERROR(INDEX(Kampanyalar!$F$2:$F$150,MATCH(O698,Kampanyalar!$A$2:$A$150,0)),""))</f>
        <v/>
      </c>
      <c r="AN698" s="27">
        <f>IF(I698="","",IFERROR(INDEX(Kampanyalar!$G$2:$G$150,MATCH(O698,Kampanyalar!$A$2:$A$150,0)),""))</f>
        <v/>
      </c>
      <c r="AO698" s="26">
        <f>IF(OR(I698="",AL698="",AM698=""),"",IF(AND(H698&gt;=AL698,H698&lt;=AM698),"Evet","HAYIR - Tarih Dışı"))</f>
        <v/>
      </c>
      <c r="AP698" s="28">
        <f>IF(I698="","",IFERROR(INDEX(Kampanyalar!$H$2:$H$150,MATCH(O698,Kampanyalar!$A$2:$A$150,0)),""))</f>
        <v/>
      </c>
      <c r="AQ698" s="28">
        <f>IF(I698="","",IF(ISNUMBER(AP698),AP698,AD698))</f>
        <v/>
      </c>
      <c r="AR698" s="26">
        <f>IF(I698="","",IF(Parametreler!$C$7="Evet","Kural A - Hemen Ödeme (Stok Mutabakatlı)","Kural B - Nakliye/Montaj Sonrası Ödeme"))</f>
        <v/>
      </c>
    </row>
    <row r="699">
      <c r="A699" s="23" t="n"/>
      <c r="B699" s="23" t="n"/>
      <c r="C699" s="23" t="n"/>
      <c r="D699" s="23" t="n"/>
      <c r="E699" s="23" t="n"/>
      <c r="F699" s="23" t="n"/>
      <c r="G699" s="23" t="n"/>
      <c r="H699" s="24" t="n"/>
      <c r="I699" s="23" t="n"/>
      <c r="J699" s="23" t="n"/>
      <c r="K699" s="23" t="n"/>
      <c r="L699" s="23" t="n"/>
      <c r="M699" s="23" t="n"/>
      <c r="N699" s="23" t="n"/>
      <c r="O699" s="23" t="n"/>
      <c r="P699" s="23" t="n"/>
      <c r="Q699" s="23" t="n"/>
      <c r="R699" s="23" t="n"/>
      <c r="S699" s="23" t="n"/>
      <c r="T699" s="23" t="n"/>
      <c r="U699" s="23" t="n"/>
      <c r="V699" s="23" t="n"/>
      <c r="W699" s="23" t="n"/>
      <c r="X699" s="23" t="n"/>
      <c r="Y699" s="25" t="n"/>
      <c r="Z699" s="25" t="n"/>
      <c r="AA699" s="23" t="n"/>
      <c r="AB699" s="25" t="n"/>
      <c r="AC699" s="23" t="n"/>
      <c r="AD699" s="25" t="n"/>
      <c r="AE699" s="23" t="n"/>
      <c r="AF699" s="25" t="n"/>
      <c r="AG699" s="25" t="n"/>
      <c r="AH699" s="23" t="n"/>
      <c r="AI699" s="23" t="n"/>
      <c r="AJ699" s="26">
        <f>IF(I699="","",I699&amp;"|"&amp;R699)</f>
        <v/>
      </c>
      <c r="AK699" s="26">
        <f>IF(I699="","",IF(ISNA(MATCH(O699,Kampanyalar!$A$2:$A$150,0)),"Hayır - Kampanyalar'da Yok","Evet"))</f>
        <v/>
      </c>
      <c r="AL699" s="27">
        <f>IF(I699="","",IFERROR(INDEX(Kampanyalar!$E$2:$E$150,MATCH(O699,Kampanyalar!$A$2:$A$150,0)),""))</f>
        <v/>
      </c>
      <c r="AM699" s="27">
        <f>IF(I699="","",IFERROR(INDEX(Kampanyalar!$F$2:$F$150,MATCH(O699,Kampanyalar!$A$2:$A$150,0)),""))</f>
        <v/>
      </c>
      <c r="AN699" s="27">
        <f>IF(I699="","",IFERROR(INDEX(Kampanyalar!$G$2:$G$150,MATCH(O699,Kampanyalar!$A$2:$A$150,0)),""))</f>
        <v/>
      </c>
      <c r="AO699" s="26">
        <f>IF(OR(I699="",AL699="",AM699=""),"",IF(AND(H699&gt;=AL699,H699&lt;=AM699),"Evet","HAYIR - Tarih Dışı"))</f>
        <v/>
      </c>
      <c r="AP699" s="28">
        <f>IF(I699="","",IFERROR(INDEX(Kampanyalar!$H$2:$H$150,MATCH(O699,Kampanyalar!$A$2:$A$150,0)),""))</f>
        <v/>
      </c>
      <c r="AQ699" s="28">
        <f>IF(I699="","",IF(ISNUMBER(AP699),AP699,AD699))</f>
        <v/>
      </c>
      <c r="AR699" s="26">
        <f>IF(I699="","",IF(Parametreler!$C$7="Evet","Kural A - Hemen Ödeme (Stok Mutabakatlı)","Kural B - Nakliye/Montaj Sonrası Ödeme"))</f>
        <v/>
      </c>
    </row>
    <row r="700">
      <c r="A700" s="23" t="n"/>
      <c r="B700" s="23" t="n"/>
      <c r="C700" s="23" t="n"/>
      <c r="D700" s="23" t="n"/>
      <c r="E700" s="23" t="n"/>
      <c r="F700" s="23" t="n"/>
      <c r="G700" s="23" t="n"/>
      <c r="H700" s="24" t="n"/>
      <c r="I700" s="23" t="n"/>
      <c r="J700" s="23" t="n"/>
      <c r="K700" s="23" t="n"/>
      <c r="L700" s="23" t="n"/>
      <c r="M700" s="23" t="n"/>
      <c r="N700" s="23" t="n"/>
      <c r="O700" s="23" t="n"/>
      <c r="P700" s="23" t="n"/>
      <c r="Q700" s="23" t="n"/>
      <c r="R700" s="23" t="n"/>
      <c r="S700" s="23" t="n"/>
      <c r="T700" s="23" t="n"/>
      <c r="U700" s="23" t="n"/>
      <c r="V700" s="23" t="n"/>
      <c r="W700" s="23" t="n"/>
      <c r="X700" s="23" t="n"/>
      <c r="Y700" s="25" t="n"/>
      <c r="Z700" s="25" t="n"/>
      <c r="AA700" s="23" t="n"/>
      <c r="AB700" s="25" t="n"/>
      <c r="AC700" s="23" t="n"/>
      <c r="AD700" s="25" t="n"/>
      <c r="AE700" s="23" t="n"/>
      <c r="AF700" s="25" t="n"/>
      <c r="AG700" s="25" t="n"/>
      <c r="AH700" s="23" t="n"/>
      <c r="AI700" s="23" t="n"/>
      <c r="AJ700" s="26">
        <f>IF(I700="","",I700&amp;"|"&amp;R700)</f>
        <v/>
      </c>
      <c r="AK700" s="26">
        <f>IF(I700="","",IF(ISNA(MATCH(O700,Kampanyalar!$A$2:$A$150,0)),"Hayır - Kampanyalar'da Yok","Evet"))</f>
        <v/>
      </c>
      <c r="AL700" s="27">
        <f>IF(I700="","",IFERROR(INDEX(Kampanyalar!$E$2:$E$150,MATCH(O700,Kampanyalar!$A$2:$A$150,0)),""))</f>
        <v/>
      </c>
      <c r="AM700" s="27">
        <f>IF(I700="","",IFERROR(INDEX(Kampanyalar!$F$2:$F$150,MATCH(O700,Kampanyalar!$A$2:$A$150,0)),""))</f>
        <v/>
      </c>
      <c r="AN700" s="27">
        <f>IF(I700="","",IFERROR(INDEX(Kampanyalar!$G$2:$G$150,MATCH(O700,Kampanyalar!$A$2:$A$150,0)),""))</f>
        <v/>
      </c>
      <c r="AO700" s="26">
        <f>IF(OR(I700="",AL700="",AM700=""),"",IF(AND(H700&gt;=AL700,H700&lt;=AM700),"Evet","HAYIR - Tarih Dışı"))</f>
        <v/>
      </c>
      <c r="AP700" s="28">
        <f>IF(I700="","",IFERROR(INDEX(Kampanyalar!$H$2:$H$150,MATCH(O700,Kampanyalar!$A$2:$A$150,0)),""))</f>
        <v/>
      </c>
      <c r="AQ700" s="28">
        <f>IF(I700="","",IF(ISNUMBER(AP700),AP700,AD700))</f>
        <v/>
      </c>
      <c r="AR700" s="26">
        <f>IF(I700="","",IF(Parametreler!$C$7="Evet","Kural A - Hemen Ödeme (Stok Mutabakatlı)","Kural B - Nakliye/Montaj Sonrası Ödeme"))</f>
        <v/>
      </c>
    </row>
    <row r="701">
      <c r="A701" s="23" t="n"/>
      <c r="B701" s="23" t="n"/>
      <c r="C701" s="23" t="n"/>
      <c r="D701" s="23" t="n"/>
      <c r="E701" s="23" t="n"/>
      <c r="F701" s="23" t="n"/>
      <c r="G701" s="23" t="n"/>
      <c r="H701" s="24" t="n"/>
      <c r="I701" s="23" t="n"/>
      <c r="J701" s="23" t="n"/>
      <c r="K701" s="23" t="n"/>
      <c r="L701" s="23" t="n"/>
      <c r="M701" s="23" t="n"/>
      <c r="N701" s="23" t="n"/>
      <c r="O701" s="23" t="n"/>
      <c r="P701" s="23" t="n"/>
      <c r="Q701" s="23" t="n"/>
      <c r="R701" s="23" t="n"/>
      <c r="S701" s="23" t="n"/>
      <c r="T701" s="23" t="n"/>
      <c r="U701" s="23" t="n"/>
      <c r="V701" s="23" t="n"/>
      <c r="W701" s="23" t="n"/>
      <c r="X701" s="23" t="n"/>
      <c r="Y701" s="25" t="n"/>
      <c r="Z701" s="25" t="n"/>
      <c r="AA701" s="23" t="n"/>
      <c r="AB701" s="25" t="n"/>
      <c r="AC701" s="23" t="n"/>
      <c r="AD701" s="25" t="n"/>
      <c r="AE701" s="23" t="n"/>
      <c r="AF701" s="25" t="n"/>
      <c r="AG701" s="25" t="n"/>
      <c r="AH701" s="23" t="n"/>
      <c r="AI701" s="23" t="n"/>
      <c r="AJ701" s="26">
        <f>IF(I701="","",I701&amp;"|"&amp;R701)</f>
        <v/>
      </c>
      <c r="AK701" s="26">
        <f>IF(I701="","",IF(ISNA(MATCH(O701,Kampanyalar!$A$2:$A$150,0)),"Hayır - Kampanyalar'da Yok","Evet"))</f>
        <v/>
      </c>
      <c r="AL701" s="27">
        <f>IF(I701="","",IFERROR(INDEX(Kampanyalar!$E$2:$E$150,MATCH(O701,Kampanyalar!$A$2:$A$150,0)),""))</f>
        <v/>
      </c>
      <c r="AM701" s="27">
        <f>IF(I701="","",IFERROR(INDEX(Kampanyalar!$F$2:$F$150,MATCH(O701,Kampanyalar!$A$2:$A$150,0)),""))</f>
        <v/>
      </c>
      <c r="AN701" s="27">
        <f>IF(I701="","",IFERROR(INDEX(Kampanyalar!$G$2:$G$150,MATCH(O701,Kampanyalar!$A$2:$A$150,0)),""))</f>
        <v/>
      </c>
      <c r="AO701" s="26">
        <f>IF(OR(I701="",AL701="",AM701=""),"",IF(AND(H701&gt;=AL701,H701&lt;=AM701),"Evet","HAYIR - Tarih Dışı"))</f>
        <v/>
      </c>
      <c r="AP701" s="28">
        <f>IF(I701="","",IFERROR(INDEX(Kampanyalar!$H$2:$H$150,MATCH(O701,Kampanyalar!$A$2:$A$150,0)),""))</f>
        <v/>
      </c>
      <c r="AQ701" s="28">
        <f>IF(I701="","",IF(ISNUMBER(AP701),AP701,AD701))</f>
        <v/>
      </c>
      <c r="AR701" s="26">
        <f>IF(I701="","",IF(Parametreler!$C$7="Evet","Kural A - Hemen Ödeme (Stok Mutabakatlı)","Kural B - Nakliye/Montaj Sonrası Ödeme"))</f>
        <v/>
      </c>
    </row>
    <row r="702">
      <c r="A702" s="23" t="n"/>
      <c r="B702" s="23" t="n"/>
      <c r="C702" s="23" t="n"/>
      <c r="D702" s="23" t="n"/>
      <c r="E702" s="23" t="n"/>
      <c r="F702" s="23" t="n"/>
      <c r="G702" s="23" t="n"/>
      <c r="H702" s="24" t="n"/>
      <c r="I702" s="23" t="n"/>
      <c r="J702" s="23" t="n"/>
      <c r="K702" s="23" t="n"/>
      <c r="L702" s="23" t="n"/>
      <c r="M702" s="23" t="n"/>
      <c r="N702" s="23" t="n"/>
      <c r="O702" s="23" t="n"/>
      <c r="P702" s="23" t="n"/>
      <c r="Q702" s="23" t="n"/>
      <c r="R702" s="23" t="n"/>
      <c r="S702" s="23" t="n"/>
      <c r="T702" s="23" t="n"/>
      <c r="U702" s="23" t="n"/>
      <c r="V702" s="23" t="n"/>
      <c r="W702" s="23" t="n"/>
      <c r="X702" s="23" t="n"/>
      <c r="Y702" s="25" t="n"/>
      <c r="Z702" s="25" t="n"/>
      <c r="AA702" s="23" t="n"/>
      <c r="AB702" s="25" t="n"/>
      <c r="AC702" s="23" t="n"/>
      <c r="AD702" s="25" t="n"/>
      <c r="AE702" s="23" t="n"/>
      <c r="AF702" s="25" t="n"/>
      <c r="AG702" s="25" t="n"/>
      <c r="AH702" s="23" t="n"/>
      <c r="AI702" s="23" t="n"/>
      <c r="AJ702" s="26">
        <f>IF(I702="","",I702&amp;"|"&amp;R702)</f>
        <v/>
      </c>
      <c r="AK702" s="26">
        <f>IF(I702="","",IF(ISNA(MATCH(O702,Kampanyalar!$A$2:$A$150,0)),"Hayır - Kampanyalar'da Yok","Evet"))</f>
        <v/>
      </c>
      <c r="AL702" s="27">
        <f>IF(I702="","",IFERROR(INDEX(Kampanyalar!$E$2:$E$150,MATCH(O702,Kampanyalar!$A$2:$A$150,0)),""))</f>
        <v/>
      </c>
      <c r="AM702" s="27">
        <f>IF(I702="","",IFERROR(INDEX(Kampanyalar!$F$2:$F$150,MATCH(O702,Kampanyalar!$A$2:$A$150,0)),""))</f>
        <v/>
      </c>
      <c r="AN702" s="27">
        <f>IF(I702="","",IFERROR(INDEX(Kampanyalar!$G$2:$G$150,MATCH(O702,Kampanyalar!$A$2:$A$150,0)),""))</f>
        <v/>
      </c>
      <c r="AO702" s="26">
        <f>IF(OR(I702="",AL702="",AM702=""),"",IF(AND(H702&gt;=AL702,H702&lt;=AM702),"Evet","HAYIR - Tarih Dışı"))</f>
        <v/>
      </c>
      <c r="AP702" s="28">
        <f>IF(I702="","",IFERROR(INDEX(Kampanyalar!$H$2:$H$150,MATCH(O702,Kampanyalar!$A$2:$A$150,0)),""))</f>
        <v/>
      </c>
      <c r="AQ702" s="28">
        <f>IF(I702="","",IF(ISNUMBER(AP702),AP702,AD702))</f>
        <v/>
      </c>
      <c r="AR702" s="26">
        <f>IF(I702="","",IF(Parametreler!$C$7="Evet","Kural A - Hemen Ödeme (Stok Mutabakatlı)","Kural B - Nakliye/Montaj Sonrası Ödeme"))</f>
        <v/>
      </c>
    </row>
    <row r="703">
      <c r="A703" s="23" t="n"/>
      <c r="B703" s="23" t="n"/>
      <c r="C703" s="23" t="n"/>
      <c r="D703" s="23" t="n"/>
      <c r="E703" s="23" t="n"/>
      <c r="F703" s="23" t="n"/>
      <c r="G703" s="23" t="n"/>
      <c r="H703" s="24" t="n"/>
      <c r="I703" s="23" t="n"/>
      <c r="J703" s="23" t="n"/>
      <c r="K703" s="23" t="n"/>
      <c r="L703" s="23" t="n"/>
      <c r="M703" s="23" t="n"/>
      <c r="N703" s="23" t="n"/>
      <c r="O703" s="23" t="n"/>
      <c r="P703" s="23" t="n"/>
      <c r="Q703" s="23" t="n"/>
      <c r="R703" s="23" t="n"/>
      <c r="S703" s="23" t="n"/>
      <c r="T703" s="23" t="n"/>
      <c r="U703" s="23" t="n"/>
      <c r="V703" s="23" t="n"/>
      <c r="W703" s="23" t="n"/>
      <c r="X703" s="23" t="n"/>
      <c r="Y703" s="25" t="n"/>
      <c r="Z703" s="25" t="n"/>
      <c r="AA703" s="23" t="n"/>
      <c r="AB703" s="25" t="n"/>
      <c r="AC703" s="23" t="n"/>
      <c r="AD703" s="25" t="n"/>
      <c r="AE703" s="23" t="n"/>
      <c r="AF703" s="25" t="n"/>
      <c r="AG703" s="25" t="n"/>
      <c r="AH703" s="23" t="n"/>
      <c r="AI703" s="23" t="n"/>
      <c r="AJ703" s="26">
        <f>IF(I703="","",I703&amp;"|"&amp;R703)</f>
        <v/>
      </c>
      <c r="AK703" s="26">
        <f>IF(I703="","",IF(ISNA(MATCH(O703,Kampanyalar!$A$2:$A$150,0)),"Hayır - Kampanyalar'da Yok","Evet"))</f>
        <v/>
      </c>
      <c r="AL703" s="27">
        <f>IF(I703="","",IFERROR(INDEX(Kampanyalar!$E$2:$E$150,MATCH(O703,Kampanyalar!$A$2:$A$150,0)),""))</f>
        <v/>
      </c>
      <c r="AM703" s="27">
        <f>IF(I703="","",IFERROR(INDEX(Kampanyalar!$F$2:$F$150,MATCH(O703,Kampanyalar!$A$2:$A$150,0)),""))</f>
        <v/>
      </c>
      <c r="AN703" s="27">
        <f>IF(I703="","",IFERROR(INDEX(Kampanyalar!$G$2:$G$150,MATCH(O703,Kampanyalar!$A$2:$A$150,0)),""))</f>
        <v/>
      </c>
      <c r="AO703" s="26">
        <f>IF(OR(I703="",AL703="",AM703=""),"",IF(AND(H703&gt;=AL703,H703&lt;=AM703),"Evet","HAYIR - Tarih Dışı"))</f>
        <v/>
      </c>
      <c r="AP703" s="28">
        <f>IF(I703="","",IFERROR(INDEX(Kampanyalar!$H$2:$H$150,MATCH(O703,Kampanyalar!$A$2:$A$150,0)),""))</f>
        <v/>
      </c>
      <c r="AQ703" s="28">
        <f>IF(I703="","",IF(ISNUMBER(AP703),AP703,AD703))</f>
        <v/>
      </c>
      <c r="AR703" s="26">
        <f>IF(I703="","",IF(Parametreler!$C$7="Evet","Kural A - Hemen Ödeme (Stok Mutabakatlı)","Kural B - Nakliye/Montaj Sonrası Ödeme"))</f>
        <v/>
      </c>
    </row>
    <row r="704">
      <c r="A704" s="23" t="n"/>
      <c r="B704" s="23" t="n"/>
      <c r="C704" s="23" t="n"/>
      <c r="D704" s="23" t="n"/>
      <c r="E704" s="23" t="n"/>
      <c r="F704" s="23" t="n"/>
      <c r="G704" s="23" t="n"/>
      <c r="H704" s="24" t="n"/>
      <c r="I704" s="23" t="n"/>
      <c r="J704" s="23" t="n"/>
      <c r="K704" s="23" t="n"/>
      <c r="L704" s="23" t="n"/>
      <c r="M704" s="23" t="n"/>
      <c r="N704" s="23" t="n"/>
      <c r="O704" s="23" t="n"/>
      <c r="P704" s="23" t="n"/>
      <c r="Q704" s="23" t="n"/>
      <c r="R704" s="23" t="n"/>
      <c r="S704" s="23" t="n"/>
      <c r="T704" s="23" t="n"/>
      <c r="U704" s="23" t="n"/>
      <c r="V704" s="23" t="n"/>
      <c r="W704" s="23" t="n"/>
      <c r="X704" s="23" t="n"/>
      <c r="Y704" s="25" t="n"/>
      <c r="Z704" s="25" t="n"/>
      <c r="AA704" s="23" t="n"/>
      <c r="AB704" s="25" t="n"/>
      <c r="AC704" s="23" t="n"/>
      <c r="AD704" s="25" t="n"/>
      <c r="AE704" s="23" t="n"/>
      <c r="AF704" s="25" t="n"/>
      <c r="AG704" s="25" t="n"/>
      <c r="AH704" s="23" t="n"/>
      <c r="AI704" s="23" t="n"/>
      <c r="AJ704" s="26">
        <f>IF(I704="","",I704&amp;"|"&amp;R704)</f>
        <v/>
      </c>
      <c r="AK704" s="26">
        <f>IF(I704="","",IF(ISNA(MATCH(O704,Kampanyalar!$A$2:$A$150,0)),"Hayır - Kampanyalar'da Yok","Evet"))</f>
        <v/>
      </c>
      <c r="AL704" s="27">
        <f>IF(I704="","",IFERROR(INDEX(Kampanyalar!$E$2:$E$150,MATCH(O704,Kampanyalar!$A$2:$A$150,0)),""))</f>
        <v/>
      </c>
      <c r="AM704" s="27">
        <f>IF(I704="","",IFERROR(INDEX(Kampanyalar!$F$2:$F$150,MATCH(O704,Kampanyalar!$A$2:$A$150,0)),""))</f>
        <v/>
      </c>
      <c r="AN704" s="27">
        <f>IF(I704="","",IFERROR(INDEX(Kampanyalar!$G$2:$G$150,MATCH(O704,Kampanyalar!$A$2:$A$150,0)),""))</f>
        <v/>
      </c>
      <c r="AO704" s="26">
        <f>IF(OR(I704="",AL704="",AM704=""),"",IF(AND(H704&gt;=AL704,H704&lt;=AM704),"Evet","HAYIR - Tarih Dışı"))</f>
        <v/>
      </c>
      <c r="AP704" s="28">
        <f>IF(I704="","",IFERROR(INDEX(Kampanyalar!$H$2:$H$150,MATCH(O704,Kampanyalar!$A$2:$A$150,0)),""))</f>
        <v/>
      </c>
      <c r="AQ704" s="28">
        <f>IF(I704="","",IF(ISNUMBER(AP704),AP704,AD704))</f>
        <v/>
      </c>
      <c r="AR704" s="26">
        <f>IF(I704="","",IF(Parametreler!$C$7="Evet","Kural A - Hemen Ödeme (Stok Mutabakatlı)","Kural B - Nakliye/Montaj Sonrası Ödeme"))</f>
        <v/>
      </c>
    </row>
    <row r="705">
      <c r="A705" s="23" t="n"/>
      <c r="B705" s="23" t="n"/>
      <c r="C705" s="23" t="n"/>
      <c r="D705" s="23" t="n"/>
      <c r="E705" s="23" t="n"/>
      <c r="F705" s="23" t="n"/>
      <c r="G705" s="23" t="n"/>
      <c r="H705" s="24" t="n"/>
      <c r="I705" s="23" t="n"/>
      <c r="J705" s="23" t="n"/>
      <c r="K705" s="23" t="n"/>
      <c r="L705" s="23" t="n"/>
      <c r="M705" s="23" t="n"/>
      <c r="N705" s="23" t="n"/>
      <c r="O705" s="23" t="n"/>
      <c r="P705" s="23" t="n"/>
      <c r="Q705" s="23" t="n"/>
      <c r="R705" s="23" t="n"/>
      <c r="S705" s="23" t="n"/>
      <c r="T705" s="23" t="n"/>
      <c r="U705" s="23" t="n"/>
      <c r="V705" s="23" t="n"/>
      <c r="W705" s="23" t="n"/>
      <c r="X705" s="23" t="n"/>
      <c r="Y705" s="25" t="n"/>
      <c r="Z705" s="25" t="n"/>
      <c r="AA705" s="23" t="n"/>
      <c r="AB705" s="25" t="n"/>
      <c r="AC705" s="23" t="n"/>
      <c r="AD705" s="25" t="n"/>
      <c r="AE705" s="23" t="n"/>
      <c r="AF705" s="25" t="n"/>
      <c r="AG705" s="25" t="n"/>
      <c r="AH705" s="23" t="n"/>
      <c r="AI705" s="23" t="n"/>
      <c r="AJ705" s="26">
        <f>IF(I705="","",I705&amp;"|"&amp;R705)</f>
        <v/>
      </c>
      <c r="AK705" s="26">
        <f>IF(I705="","",IF(ISNA(MATCH(O705,Kampanyalar!$A$2:$A$150,0)),"Hayır - Kampanyalar'da Yok","Evet"))</f>
        <v/>
      </c>
      <c r="AL705" s="27">
        <f>IF(I705="","",IFERROR(INDEX(Kampanyalar!$E$2:$E$150,MATCH(O705,Kampanyalar!$A$2:$A$150,0)),""))</f>
        <v/>
      </c>
      <c r="AM705" s="27">
        <f>IF(I705="","",IFERROR(INDEX(Kampanyalar!$F$2:$F$150,MATCH(O705,Kampanyalar!$A$2:$A$150,0)),""))</f>
        <v/>
      </c>
      <c r="AN705" s="27">
        <f>IF(I705="","",IFERROR(INDEX(Kampanyalar!$G$2:$G$150,MATCH(O705,Kampanyalar!$A$2:$A$150,0)),""))</f>
        <v/>
      </c>
      <c r="AO705" s="26">
        <f>IF(OR(I705="",AL705="",AM705=""),"",IF(AND(H705&gt;=AL705,H705&lt;=AM705),"Evet","HAYIR - Tarih Dışı"))</f>
        <v/>
      </c>
      <c r="AP705" s="28">
        <f>IF(I705="","",IFERROR(INDEX(Kampanyalar!$H$2:$H$150,MATCH(O705,Kampanyalar!$A$2:$A$150,0)),""))</f>
        <v/>
      </c>
      <c r="AQ705" s="28">
        <f>IF(I705="","",IF(ISNUMBER(AP705),AP705,AD705))</f>
        <v/>
      </c>
      <c r="AR705" s="26">
        <f>IF(I705="","",IF(Parametreler!$C$7="Evet","Kural A - Hemen Ödeme (Stok Mutabakatlı)","Kural B - Nakliye/Montaj Sonrası Ödeme"))</f>
        <v/>
      </c>
    </row>
    <row r="706">
      <c r="A706" s="23" t="n"/>
      <c r="B706" s="23" t="n"/>
      <c r="C706" s="23" t="n"/>
      <c r="D706" s="23" t="n"/>
      <c r="E706" s="23" t="n"/>
      <c r="F706" s="23" t="n"/>
      <c r="G706" s="23" t="n"/>
      <c r="H706" s="24" t="n"/>
      <c r="I706" s="23" t="n"/>
      <c r="J706" s="23" t="n"/>
      <c r="K706" s="23" t="n"/>
      <c r="L706" s="23" t="n"/>
      <c r="M706" s="23" t="n"/>
      <c r="N706" s="23" t="n"/>
      <c r="O706" s="23" t="n"/>
      <c r="P706" s="23" t="n"/>
      <c r="Q706" s="23" t="n"/>
      <c r="R706" s="23" t="n"/>
      <c r="S706" s="23" t="n"/>
      <c r="T706" s="23" t="n"/>
      <c r="U706" s="23" t="n"/>
      <c r="V706" s="23" t="n"/>
      <c r="W706" s="23" t="n"/>
      <c r="X706" s="23" t="n"/>
      <c r="Y706" s="25" t="n"/>
      <c r="Z706" s="25" t="n"/>
      <c r="AA706" s="23" t="n"/>
      <c r="AB706" s="25" t="n"/>
      <c r="AC706" s="23" t="n"/>
      <c r="AD706" s="25" t="n"/>
      <c r="AE706" s="23" t="n"/>
      <c r="AF706" s="25" t="n"/>
      <c r="AG706" s="25" t="n"/>
      <c r="AH706" s="23" t="n"/>
      <c r="AI706" s="23" t="n"/>
      <c r="AJ706" s="26">
        <f>IF(I706="","",I706&amp;"|"&amp;R706)</f>
        <v/>
      </c>
      <c r="AK706" s="26">
        <f>IF(I706="","",IF(ISNA(MATCH(O706,Kampanyalar!$A$2:$A$150,0)),"Hayır - Kampanyalar'da Yok","Evet"))</f>
        <v/>
      </c>
      <c r="AL706" s="27">
        <f>IF(I706="","",IFERROR(INDEX(Kampanyalar!$E$2:$E$150,MATCH(O706,Kampanyalar!$A$2:$A$150,0)),""))</f>
        <v/>
      </c>
      <c r="AM706" s="27">
        <f>IF(I706="","",IFERROR(INDEX(Kampanyalar!$F$2:$F$150,MATCH(O706,Kampanyalar!$A$2:$A$150,0)),""))</f>
        <v/>
      </c>
      <c r="AN706" s="27">
        <f>IF(I706="","",IFERROR(INDEX(Kampanyalar!$G$2:$G$150,MATCH(O706,Kampanyalar!$A$2:$A$150,0)),""))</f>
        <v/>
      </c>
      <c r="AO706" s="26">
        <f>IF(OR(I706="",AL706="",AM706=""),"",IF(AND(H706&gt;=AL706,H706&lt;=AM706),"Evet","HAYIR - Tarih Dışı"))</f>
        <v/>
      </c>
      <c r="AP706" s="28">
        <f>IF(I706="","",IFERROR(INDEX(Kampanyalar!$H$2:$H$150,MATCH(O706,Kampanyalar!$A$2:$A$150,0)),""))</f>
        <v/>
      </c>
      <c r="AQ706" s="28">
        <f>IF(I706="","",IF(ISNUMBER(AP706),AP706,AD706))</f>
        <v/>
      </c>
      <c r="AR706" s="26">
        <f>IF(I706="","",IF(Parametreler!$C$7="Evet","Kural A - Hemen Ödeme (Stok Mutabakatlı)","Kural B - Nakliye/Montaj Sonrası Ödeme"))</f>
        <v/>
      </c>
    </row>
    <row r="707">
      <c r="A707" s="23" t="n"/>
      <c r="B707" s="23" t="n"/>
      <c r="C707" s="23" t="n"/>
      <c r="D707" s="23" t="n"/>
      <c r="E707" s="23" t="n"/>
      <c r="F707" s="23" t="n"/>
      <c r="G707" s="23" t="n"/>
      <c r="H707" s="24" t="n"/>
      <c r="I707" s="23" t="n"/>
      <c r="J707" s="23" t="n"/>
      <c r="K707" s="23" t="n"/>
      <c r="L707" s="23" t="n"/>
      <c r="M707" s="23" t="n"/>
      <c r="N707" s="23" t="n"/>
      <c r="O707" s="23" t="n"/>
      <c r="P707" s="23" t="n"/>
      <c r="Q707" s="23" t="n"/>
      <c r="R707" s="23" t="n"/>
      <c r="S707" s="23" t="n"/>
      <c r="T707" s="23" t="n"/>
      <c r="U707" s="23" t="n"/>
      <c r="V707" s="23" t="n"/>
      <c r="W707" s="23" t="n"/>
      <c r="X707" s="23" t="n"/>
      <c r="Y707" s="25" t="n"/>
      <c r="Z707" s="25" t="n"/>
      <c r="AA707" s="23" t="n"/>
      <c r="AB707" s="25" t="n"/>
      <c r="AC707" s="23" t="n"/>
      <c r="AD707" s="25" t="n"/>
      <c r="AE707" s="23" t="n"/>
      <c r="AF707" s="25" t="n"/>
      <c r="AG707" s="25" t="n"/>
      <c r="AH707" s="23" t="n"/>
      <c r="AI707" s="23" t="n"/>
      <c r="AJ707" s="26">
        <f>IF(I707="","",I707&amp;"|"&amp;R707)</f>
        <v/>
      </c>
      <c r="AK707" s="26">
        <f>IF(I707="","",IF(ISNA(MATCH(O707,Kampanyalar!$A$2:$A$150,0)),"Hayır - Kampanyalar'da Yok","Evet"))</f>
        <v/>
      </c>
      <c r="AL707" s="27">
        <f>IF(I707="","",IFERROR(INDEX(Kampanyalar!$E$2:$E$150,MATCH(O707,Kampanyalar!$A$2:$A$150,0)),""))</f>
        <v/>
      </c>
      <c r="AM707" s="27">
        <f>IF(I707="","",IFERROR(INDEX(Kampanyalar!$F$2:$F$150,MATCH(O707,Kampanyalar!$A$2:$A$150,0)),""))</f>
        <v/>
      </c>
      <c r="AN707" s="27">
        <f>IF(I707="","",IFERROR(INDEX(Kampanyalar!$G$2:$G$150,MATCH(O707,Kampanyalar!$A$2:$A$150,0)),""))</f>
        <v/>
      </c>
      <c r="AO707" s="26">
        <f>IF(OR(I707="",AL707="",AM707=""),"",IF(AND(H707&gt;=AL707,H707&lt;=AM707),"Evet","HAYIR - Tarih Dışı"))</f>
        <v/>
      </c>
      <c r="AP707" s="28">
        <f>IF(I707="","",IFERROR(INDEX(Kampanyalar!$H$2:$H$150,MATCH(O707,Kampanyalar!$A$2:$A$150,0)),""))</f>
        <v/>
      </c>
      <c r="AQ707" s="28">
        <f>IF(I707="","",IF(ISNUMBER(AP707),AP707,AD707))</f>
        <v/>
      </c>
      <c r="AR707" s="26">
        <f>IF(I707="","",IF(Parametreler!$C$7="Evet","Kural A - Hemen Ödeme (Stok Mutabakatlı)","Kural B - Nakliye/Montaj Sonrası Ödeme"))</f>
        <v/>
      </c>
    </row>
    <row r="708">
      <c r="A708" s="23" t="n"/>
      <c r="B708" s="23" t="n"/>
      <c r="C708" s="23" t="n"/>
      <c r="D708" s="23" t="n"/>
      <c r="E708" s="23" t="n"/>
      <c r="F708" s="23" t="n"/>
      <c r="G708" s="23" t="n"/>
      <c r="H708" s="24" t="n"/>
      <c r="I708" s="23" t="n"/>
      <c r="J708" s="23" t="n"/>
      <c r="K708" s="23" t="n"/>
      <c r="L708" s="23" t="n"/>
      <c r="M708" s="23" t="n"/>
      <c r="N708" s="23" t="n"/>
      <c r="O708" s="23" t="n"/>
      <c r="P708" s="23" t="n"/>
      <c r="Q708" s="23" t="n"/>
      <c r="R708" s="23" t="n"/>
      <c r="S708" s="23" t="n"/>
      <c r="T708" s="23" t="n"/>
      <c r="U708" s="23" t="n"/>
      <c r="V708" s="23" t="n"/>
      <c r="W708" s="23" t="n"/>
      <c r="X708" s="23" t="n"/>
      <c r="Y708" s="25" t="n"/>
      <c r="Z708" s="25" t="n"/>
      <c r="AA708" s="23" t="n"/>
      <c r="AB708" s="25" t="n"/>
      <c r="AC708" s="23" t="n"/>
      <c r="AD708" s="25" t="n"/>
      <c r="AE708" s="23" t="n"/>
      <c r="AF708" s="25" t="n"/>
      <c r="AG708" s="25" t="n"/>
      <c r="AH708" s="23" t="n"/>
      <c r="AI708" s="23" t="n"/>
      <c r="AJ708" s="26">
        <f>IF(I708="","",I708&amp;"|"&amp;R708)</f>
        <v/>
      </c>
      <c r="AK708" s="26">
        <f>IF(I708="","",IF(ISNA(MATCH(O708,Kampanyalar!$A$2:$A$150,0)),"Hayır - Kampanyalar'da Yok","Evet"))</f>
        <v/>
      </c>
      <c r="AL708" s="27">
        <f>IF(I708="","",IFERROR(INDEX(Kampanyalar!$E$2:$E$150,MATCH(O708,Kampanyalar!$A$2:$A$150,0)),""))</f>
        <v/>
      </c>
      <c r="AM708" s="27">
        <f>IF(I708="","",IFERROR(INDEX(Kampanyalar!$F$2:$F$150,MATCH(O708,Kampanyalar!$A$2:$A$150,0)),""))</f>
        <v/>
      </c>
      <c r="AN708" s="27">
        <f>IF(I708="","",IFERROR(INDEX(Kampanyalar!$G$2:$G$150,MATCH(O708,Kampanyalar!$A$2:$A$150,0)),""))</f>
        <v/>
      </c>
      <c r="AO708" s="26">
        <f>IF(OR(I708="",AL708="",AM708=""),"",IF(AND(H708&gt;=AL708,H708&lt;=AM708),"Evet","HAYIR - Tarih Dışı"))</f>
        <v/>
      </c>
      <c r="AP708" s="28">
        <f>IF(I708="","",IFERROR(INDEX(Kampanyalar!$H$2:$H$150,MATCH(O708,Kampanyalar!$A$2:$A$150,0)),""))</f>
        <v/>
      </c>
      <c r="AQ708" s="28">
        <f>IF(I708="","",IF(ISNUMBER(AP708),AP708,AD708))</f>
        <v/>
      </c>
      <c r="AR708" s="26">
        <f>IF(I708="","",IF(Parametreler!$C$7="Evet","Kural A - Hemen Ödeme (Stok Mutabakatlı)","Kural B - Nakliye/Montaj Sonrası Ödeme"))</f>
        <v/>
      </c>
    </row>
    <row r="709">
      <c r="A709" s="23" t="n"/>
      <c r="B709" s="23" t="n"/>
      <c r="C709" s="23" t="n"/>
      <c r="D709" s="23" t="n"/>
      <c r="E709" s="23" t="n"/>
      <c r="F709" s="23" t="n"/>
      <c r="G709" s="23" t="n"/>
      <c r="H709" s="24" t="n"/>
      <c r="I709" s="23" t="n"/>
      <c r="J709" s="23" t="n"/>
      <c r="K709" s="23" t="n"/>
      <c r="L709" s="23" t="n"/>
      <c r="M709" s="23" t="n"/>
      <c r="N709" s="23" t="n"/>
      <c r="O709" s="23" t="n"/>
      <c r="P709" s="23" t="n"/>
      <c r="Q709" s="23" t="n"/>
      <c r="R709" s="23" t="n"/>
      <c r="S709" s="23" t="n"/>
      <c r="T709" s="23" t="n"/>
      <c r="U709" s="23" t="n"/>
      <c r="V709" s="23" t="n"/>
      <c r="W709" s="23" t="n"/>
      <c r="X709" s="23" t="n"/>
      <c r="Y709" s="25" t="n"/>
      <c r="Z709" s="25" t="n"/>
      <c r="AA709" s="23" t="n"/>
      <c r="AB709" s="25" t="n"/>
      <c r="AC709" s="23" t="n"/>
      <c r="AD709" s="25" t="n"/>
      <c r="AE709" s="23" t="n"/>
      <c r="AF709" s="25" t="n"/>
      <c r="AG709" s="25" t="n"/>
      <c r="AH709" s="23" t="n"/>
      <c r="AI709" s="23" t="n"/>
      <c r="AJ709" s="26">
        <f>IF(I709="","",I709&amp;"|"&amp;R709)</f>
        <v/>
      </c>
      <c r="AK709" s="26">
        <f>IF(I709="","",IF(ISNA(MATCH(O709,Kampanyalar!$A$2:$A$150,0)),"Hayır - Kampanyalar'da Yok","Evet"))</f>
        <v/>
      </c>
      <c r="AL709" s="27">
        <f>IF(I709="","",IFERROR(INDEX(Kampanyalar!$E$2:$E$150,MATCH(O709,Kampanyalar!$A$2:$A$150,0)),""))</f>
        <v/>
      </c>
      <c r="AM709" s="27">
        <f>IF(I709="","",IFERROR(INDEX(Kampanyalar!$F$2:$F$150,MATCH(O709,Kampanyalar!$A$2:$A$150,0)),""))</f>
        <v/>
      </c>
      <c r="AN709" s="27">
        <f>IF(I709="","",IFERROR(INDEX(Kampanyalar!$G$2:$G$150,MATCH(O709,Kampanyalar!$A$2:$A$150,0)),""))</f>
        <v/>
      </c>
      <c r="AO709" s="26">
        <f>IF(OR(I709="",AL709="",AM709=""),"",IF(AND(H709&gt;=AL709,H709&lt;=AM709),"Evet","HAYIR - Tarih Dışı"))</f>
        <v/>
      </c>
      <c r="AP709" s="28">
        <f>IF(I709="","",IFERROR(INDEX(Kampanyalar!$H$2:$H$150,MATCH(O709,Kampanyalar!$A$2:$A$150,0)),""))</f>
        <v/>
      </c>
      <c r="AQ709" s="28">
        <f>IF(I709="","",IF(ISNUMBER(AP709),AP709,AD709))</f>
        <v/>
      </c>
      <c r="AR709" s="26">
        <f>IF(I709="","",IF(Parametreler!$C$7="Evet","Kural A - Hemen Ödeme (Stok Mutabakatlı)","Kural B - Nakliye/Montaj Sonrası Ödeme"))</f>
        <v/>
      </c>
    </row>
    <row r="710">
      <c r="A710" s="23" t="n"/>
      <c r="B710" s="23" t="n"/>
      <c r="C710" s="23" t="n"/>
      <c r="D710" s="23" t="n"/>
      <c r="E710" s="23" t="n"/>
      <c r="F710" s="23" t="n"/>
      <c r="G710" s="23" t="n"/>
      <c r="H710" s="24" t="n"/>
      <c r="I710" s="23" t="n"/>
      <c r="J710" s="23" t="n"/>
      <c r="K710" s="23" t="n"/>
      <c r="L710" s="23" t="n"/>
      <c r="M710" s="23" t="n"/>
      <c r="N710" s="23" t="n"/>
      <c r="O710" s="23" t="n"/>
      <c r="P710" s="23" t="n"/>
      <c r="Q710" s="23" t="n"/>
      <c r="R710" s="23" t="n"/>
      <c r="S710" s="23" t="n"/>
      <c r="T710" s="23" t="n"/>
      <c r="U710" s="23" t="n"/>
      <c r="V710" s="23" t="n"/>
      <c r="W710" s="23" t="n"/>
      <c r="X710" s="23" t="n"/>
      <c r="Y710" s="25" t="n"/>
      <c r="Z710" s="25" t="n"/>
      <c r="AA710" s="23" t="n"/>
      <c r="AB710" s="25" t="n"/>
      <c r="AC710" s="23" t="n"/>
      <c r="AD710" s="25" t="n"/>
      <c r="AE710" s="23" t="n"/>
      <c r="AF710" s="25" t="n"/>
      <c r="AG710" s="25" t="n"/>
      <c r="AH710" s="23" t="n"/>
      <c r="AI710" s="23" t="n"/>
      <c r="AJ710" s="26">
        <f>IF(I710="","",I710&amp;"|"&amp;R710)</f>
        <v/>
      </c>
      <c r="AK710" s="26">
        <f>IF(I710="","",IF(ISNA(MATCH(O710,Kampanyalar!$A$2:$A$150,0)),"Hayır - Kampanyalar'da Yok","Evet"))</f>
        <v/>
      </c>
      <c r="AL710" s="27">
        <f>IF(I710="","",IFERROR(INDEX(Kampanyalar!$E$2:$E$150,MATCH(O710,Kampanyalar!$A$2:$A$150,0)),""))</f>
        <v/>
      </c>
      <c r="AM710" s="27">
        <f>IF(I710="","",IFERROR(INDEX(Kampanyalar!$F$2:$F$150,MATCH(O710,Kampanyalar!$A$2:$A$150,0)),""))</f>
        <v/>
      </c>
      <c r="AN710" s="27">
        <f>IF(I710="","",IFERROR(INDEX(Kampanyalar!$G$2:$G$150,MATCH(O710,Kampanyalar!$A$2:$A$150,0)),""))</f>
        <v/>
      </c>
      <c r="AO710" s="26">
        <f>IF(OR(I710="",AL710="",AM710=""),"",IF(AND(H710&gt;=AL710,H710&lt;=AM710),"Evet","HAYIR - Tarih Dışı"))</f>
        <v/>
      </c>
      <c r="AP710" s="28">
        <f>IF(I710="","",IFERROR(INDEX(Kampanyalar!$H$2:$H$150,MATCH(O710,Kampanyalar!$A$2:$A$150,0)),""))</f>
        <v/>
      </c>
      <c r="AQ710" s="28">
        <f>IF(I710="","",IF(ISNUMBER(AP710),AP710,AD710))</f>
        <v/>
      </c>
      <c r="AR710" s="26">
        <f>IF(I710="","",IF(Parametreler!$C$7="Evet","Kural A - Hemen Ödeme (Stok Mutabakatlı)","Kural B - Nakliye/Montaj Sonrası Ödeme"))</f>
        <v/>
      </c>
    </row>
    <row r="711">
      <c r="A711" s="23" t="n"/>
      <c r="B711" s="23" t="n"/>
      <c r="C711" s="23" t="n"/>
      <c r="D711" s="23" t="n"/>
      <c r="E711" s="23" t="n"/>
      <c r="F711" s="23" t="n"/>
      <c r="G711" s="23" t="n"/>
      <c r="H711" s="24" t="n"/>
      <c r="I711" s="23" t="n"/>
      <c r="J711" s="23" t="n"/>
      <c r="K711" s="23" t="n"/>
      <c r="L711" s="23" t="n"/>
      <c r="M711" s="23" t="n"/>
      <c r="N711" s="23" t="n"/>
      <c r="O711" s="23" t="n"/>
      <c r="P711" s="23" t="n"/>
      <c r="Q711" s="23" t="n"/>
      <c r="R711" s="23" t="n"/>
      <c r="S711" s="23" t="n"/>
      <c r="T711" s="23" t="n"/>
      <c r="U711" s="23" t="n"/>
      <c r="V711" s="23" t="n"/>
      <c r="W711" s="23" t="n"/>
      <c r="X711" s="23" t="n"/>
      <c r="Y711" s="25" t="n"/>
      <c r="Z711" s="25" t="n"/>
      <c r="AA711" s="23" t="n"/>
      <c r="AB711" s="25" t="n"/>
      <c r="AC711" s="23" t="n"/>
      <c r="AD711" s="25" t="n"/>
      <c r="AE711" s="23" t="n"/>
      <c r="AF711" s="25" t="n"/>
      <c r="AG711" s="25" t="n"/>
      <c r="AH711" s="23" t="n"/>
      <c r="AI711" s="23" t="n"/>
      <c r="AJ711" s="26">
        <f>IF(I711="","",I711&amp;"|"&amp;R711)</f>
        <v/>
      </c>
      <c r="AK711" s="26">
        <f>IF(I711="","",IF(ISNA(MATCH(O711,Kampanyalar!$A$2:$A$150,0)),"Hayır - Kampanyalar'da Yok","Evet"))</f>
        <v/>
      </c>
      <c r="AL711" s="27">
        <f>IF(I711="","",IFERROR(INDEX(Kampanyalar!$E$2:$E$150,MATCH(O711,Kampanyalar!$A$2:$A$150,0)),""))</f>
        <v/>
      </c>
      <c r="AM711" s="27">
        <f>IF(I711="","",IFERROR(INDEX(Kampanyalar!$F$2:$F$150,MATCH(O711,Kampanyalar!$A$2:$A$150,0)),""))</f>
        <v/>
      </c>
      <c r="AN711" s="27">
        <f>IF(I711="","",IFERROR(INDEX(Kampanyalar!$G$2:$G$150,MATCH(O711,Kampanyalar!$A$2:$A$150,0)),""))</f>
        <v/>
      </c>
      <c r="AO711" s="26">
        <f>IF(OR(I711="",AL711="",AM711=""),"",IF(AND(H711&gt;=AL711,H711&lt;=AM711),"Evet","HAYIR - Tarih Dışı"))</f>
        <v/>
      </c>
      <c r="AP711" s="28">
        <f>IF(I711="","",IFERROR(INDEX(Kampanyalar!$H$2:$H$150,MATCH(O711,Kampanyalar!$A$2:$A$150,0)),""))</f>
        <v/>
      </c>
      <c r="AQ711" s="28">
        <f>IF(I711="","",IF(ISNUMBER(AP711),AP711,AD711))</f>
        <v/>
      </c>
      <c r="AR711" s="26">
        <f>IF(I711="","",IF(Parametreler!$C$7="Evet","Kural A - Hemen Ödeme (Stok Mutabakatlı)","Kural B - Nakliye/Montaj Sonrası Ödeme"))</f>
        <v/>
      </c>
    </row>
    <row r="712">
      <c r="A712" s="23" t="n"/>
      <c r="B712" s="23" t="n"/>
      <c r="C712" s="23" t="n"/>
      <c r="D712" s="23" t="n"/>
      <c r="E712" s="23" t="n"/>
      <c r="F712" s="23" t="n"/>
      <c r="G712" s="23" t="n"/>
      <c r="H712" s="24" t="n"/>
      <c r="I712" s="23" t="n"/>
      <c r="J712" s="23" t="n"/>
      <c r="K712" s="23" t="n"/>
      <c r="L712" s="23" t="n"/>
      <c r="M712" s="23" t="n"/>
      <c r="N712" s="23" t="n"/>
      <c r="O712" s="23" t="n"/>
      <c r="P712" s="23" t="n"/>
      <c r="Q712" s="23" t="n"/>
      <c r="R712" s="23" t="n"/>
      <c r="S712" s="23" t="n"/>
      <c r="T712" s="23" t="n"/>
      <c r="U712" s="23" t="n"/>
      <c r="V712" s="23" t="n"/>
      <c r="W712" s="23" t="n"/>
      <c r="X712" s="23" t="n"/>
      <c r="Y712" s="25" t="n"/>
      <c r="Z712" s="25" t="n"/>
      <c r="AA712" s="23" t="n"/>
      <c r="AB712" s="25" t="n"/>
      <c r="AC712" s="23" t="n"/>
      <c r="AD712" s="25" t="n"/>
      <c r="AE712" s="23" t="n"/>
      <c r="AF712" s="25" t="n"/>
      <c r="AG712" s="25" t="n"/>
      <c r="AH712" s="23" t="n"/>
      <c r="AI712" s="23" t="n"/>
      <c r="AJ712" s="26">
        <f>IF(I712="","",I712&amp;"|"&amp;R712)</f>
        <v/>
      </c>
      <c r="AK712" s="26">
        <f>IF(I712="","",IF(ISNA(MATCH(O712,Kampanyalar!$A$2:$A$150,0)),"Hayır - Kampanyalar'da Yok","Evet"))</f>
        <v/>
      </c>
      <c r="AL712" s="27">
        <f>IF(I712="","",IFERROR(INDEX(Kampanyalar!$E$2:$E$150,MATCH(O712,Kampanyalar!$A$2:$A$150,0)),""))</f>
        <v/>
      </c>
      <c r="AM712" s="27">
        <f>IF(I712="","",IFERROR(INDEX(Kampanyalar!$F$2:$F$150,MATCH(O712,Kampanyalar!$A$2:$A$150,0)),""))</f>
        <v/>
      </c>
      <c r="AN712" s="27">
        <f>IF(I712="","",IFERROR(INDEX(Kampanyalar!$G$2:$G$150,MATCH(O712,Kampanyalar!$A$2:$A$150,0)),""))</f>
        <v/>
      </c>
      <c r="AO712" s="26">
        <f>IF(OR(I712="",AL712="",AM712=""),"",IF(AND(H712&gt;=AL712,H712&lt;=AM712),"Evet","HAYIR - Tarih Dışı"))</f>
        <v/>
      </c>
      <c r="AP712" s="28">
        <f>IF(I712="","",IFERROR(INDEX(Kampanyalar!$H$2:$H$150,MATCH(O712,Kampanyalar!$A$2:$A$150,0)),""))</f>
        <v/>
      </c>
      <c r="AQ712" s="28">
        <f>IF(I712="","",IF(ISNUMBER(AP712),AP712,AD712))</f>
        <v/>
      </c>
      <c r="AR712" s="26">
        <f>IF(I712="","",IF(Parametreler!$C$7="Evet","Kural A - Hemen Ödeme (Stok Mutabakatlı)","Kural B - Nakliye/Montaj Sonrası Ödeme"))</f>
        <v/>
      </c>
    </row>
    <row r="713">
      <c r="A713" s="23" t="n"/>
      <c r="B713" s="23" t="n"/>
      <c r="C713" s="23" t="n"/>
      <c r="D713" s="23" t="n"/>
      <c r="E713" s="23" t="n"/>
      <c r="F713" s="23" t="n"/>
      <c r="G713" s="23" t="n"/>
      <c r="H713" s="24" t="n"/>
      <c r="I713" s="23" t="n"/>
      <c r="J713" s="23" t="n"/>
      <c r="K713" s="23" t="n"/>
      <c r="L713" s="23" t="n"/>
      <c r="M713" s="23" t="n"/>
      <c r="N713" s="23" t="n"/>
      <c r="O713" s="23" t="n"/>
      <c r="P713" s="23" t="n"/>
      <c r="Q713" s="23" t="n"/>
      <c r="R713" s="23" t="n"/>
      <c r="S713" s="23" t="n"/>
      <c r="T713" s="23" t="n"/>
      <c r="U713" s="23" t="n"/>
      <c r="V713" s="23" t="n"/>
      <c r="W713" s="23" t="n"/>
      <c r="X713" s="23" t="n"/>
      <c r="Y713" s="25" t="n"/>
      <c r="Z713" s="25" t="n"/>
      <c r="AA713" s="23" t="n"/>
      <c r="AB713" s="25" t="n"/>
      <c r="AC713" s="23" t="n"/>
      <c r="AD713" s="25" t="n"/>
      <c r="AE713" s="23" t="n"/>
      <c r="AF713" s="25" t="n"/>
      <c r="AG713" s="25" t="n"/>
      <c r="AH713" s="23" t="n"/>
      <c r="AI713" s="23" t="n"/>
      <c r="AJ713" s="26">
        <f>IF(I713="","",I713&amp;"|"&amp;R713)</f>
        <v/>
      </c>
      <c r="AK713" s="26">
        <f>IF(I713="","",IF(ISNA(MATCH(O713,Kampanyalar!$A$2:$A$150,0)),"Hayır - Kampanyalar'da Yok","Evet"))</f>
        <v/>
      </c>
      <c r="AL713" s="27">
        <f>IF(I713="","",IFERROR(INDEX(Kampanyalar!$E$2:$E$150,MATCH(O713,Kampanyalar!$A$2:$A$150,0)),""))</f>
        <v/>
      </c>
      <c r="AM713" s="27">
        <f>IF(I713="","",IFERROR(INDEX(Kampanyalar!$F$2:$F$150,MATCH(O713,Kampanyalar!$A$2:$A$150,0)),""))</f>
        <v/>
      </c>
      <c r="AN713" s="27">
        <f>IF(I713="","",IFERROR(INDEX(Kampanyalar!$G$2:$G$150,MATCH(O713,Kampanyalar!$A$2:$A$150,0)),""))</f>
        <v/>
      </c>
      <c r="AO713" s="26">
        <f>IF(OR(I713="",AL713="",AM713=""),"",IF(AND(H713&gt;=AL713,H713&lt;=AM713),"Evet","HAYIR - Tarih Dışı"))</f>
        <v/>
      </c>
      <c r="AP713" s="28">
        <f>IF(I713="","",IFERROR(INDEX(Kampanyalar!$H$2:$H$150,MATCH(O713,Kampanyalar!$A$2:$A$150,0)),""))</f>
        <v/>
      </c>
      <c r="AQ713" s="28">
        <f>IF(I713="","",IF(ISNUMBER(AP713),AP713,AD713))</f>
        <v/>
      </c>
      <c r="AR713" s="26">
        <f>IF(I713="","",IF(Parametreler!$C$7="Evet","Kural A - Hemen Ödeme (Stok Mutabakatlı)","Kural B - Nakliye/Montaj Sonrası Ödeme"))</f>
        <v/>
      </c>
    </row>
    <row r="714">
      <c r="A714" s="23" t="n"/>
      <c r="B714" s="23" t="n"/>
      <c r="C714" s="23" t="n"/>
      <c r="D714" s="23" t="n"/>
      <c r="E714" s="23" t="n"/>
      <c r="F714" s="23" t="n"/>
      <c r="G714" s="23" t="n"/>
      <c r="H714" s="24" t="n"/>
      <c r="I714" s="23" t="n"/>
      <c r="J714" s="23" t="n"/>
      <c r="K714" s="23" t="n"/>
      <c r="L714" s="23" t="n"/>
      <c r="M714" s="23" t="n"/>
      <c r="N714" s="23" t="n"/>
      <c r="O714" s="23" t="n"/>
      <c r="P714" s="23" t="n"/>
      <c r="Q714" s="23" t="n"/>
      <c r="R714" s="23" t="n"/>
      <c r="S714" s="23" t="n"/>
      <c r="T714" s="23" t="n"/>
      <c r="U714" s="23" t="n"/>
      <c r="V714" s="23" t="n"/>
      <c r="W714" s="23" t="n"/>
      <c r="X714" s="23" t="n"/>
      <c r="Y714" s="25" t="n"/>
      <c r="Z714" s="25" t="n"/>
      <c r="AA714" s="23" t="n"/>
      <c r="AB714" s="25" t="n"/>
      <c r="AC714" s="23" t="n"/>
      <c r="AD714" s="25" t="n"/>
      <c r="AE714" s="23" t="n"/>
      <c r="AF714" s="25" t="n"/>
      <c r="AG714" s="25" t="n"/>
      <c r="AH714" s="23" t="n"/>
      <c r="AI714" s="23" t="n"/>
      <c r="AJ714" s="26">
        <f>IF(I714="","",I714&amp;"|"&amp;R714)</f>
        <v/>
      </c>
      <c r="AK714" s="26">
        <f>IF(I714="","",IF(ISNA(MATCH(O714,Kampanyalar!$A$2:$A$150,0)),"Hayır - Kampanyalar'da Yok","Evet"))</f>
        <v/>
      </c>
      <c r="AL714" s="27">
        <f>IF(I714="","",IFERROR(INDEX(Kampanyalar!$E$2:$E$150,MATCH(O714,Kampanyalar!$A$2:$A$150,0)),""))</f>
        <v/>
      </c>
      <c r="AM714" s="27">
        <f>IF(I714="","",IFERROR(INDEX(Kampanyalar!$F$2:$F$150,MATCH(O714,Kampanyalar!$A$2:$A$150,0)),""))</f>
        <v/>
      </c>
      <c r="AN714" s="27">
        <f>IF(I714="","",IFERROR(INDEX(Kampanyalar!$G$2:$G$150,MATCH(O714,Kampanyalar!$A$2:$A$150,0)),""))</f>
        <v/>
      </c>
      <c r="AO714" s="26">
        <f>IF(OR(I714="",AL714="",AM714=""),"",IF(AND(H714&gt;=AL714,H714&lt;=AM714),"Evet","HAYIR - Tarih Dışı"))</f>
        <v/>
      </c>
      <c r="AP714" s="28">
        <f>IF(I714="","",IFERROR(INDEX(Kampanyalar!$H$2:$H$150,MATCH(O714,Kampanyalar!$A$2:$A$150,0)),""))</f>
        <v/>
      </c>
      <c r="AQ714" s="28">
        <f>IF(I714="","",IF(ISNUMBER(AP714),AP714,AD714))</f>
        <v/>
      </c>
      <c r="AR714" s="26">
        <f>IF(I714="","",IF(Parametreler!$C$7="Evet","Kural A - Hemen Ödeme (Stok Mutabakatlı)","Kural B - Nakliye/Montaj Sonrası Ödeme"))</f>
        <v/>
      </c>
    </row>
    <row r="715">
      <c r="A715" s="23" t="n"/>
      <c r="B715" s="23" t="n"/>
      <c r="C715" s="23" t="n"/>
      <c r="D715" s="23" t="n"/>
      <c r="E715" s="23" t="n"/>
      <c r="F715" s="23" t="n"/>
      <c r="G715" s="23" t="n"/>
      <c r="H715" s="24" t="n"/>
      <c r="I715" s="23" t="n"/>
      <c r="J715" s="23" t="n"/>
      <c r="K715" s="23" t="n"/>
      <c r="L715" s="23" t="n"/>
      <c r="M715" s="23" t="n"/>
      <c r="N715" s="23" t="n"/>
      <c r="O715" s="23" t="n"/>
      <c r="P715" s="23" t="n"/>
      <c r="Q715" s="23" t="n"/>
      <c r="R715" s="23" t="n"/>
      <c r="S715" s="23" t="n"/>
      <c r="T715" s="23" t="n"/>
      <c r="U715" s="23" t="n"/>
      <c r="V715" s="23" t="n"/>
      <c r="W715" s="23" t="n"/>
      <c r="X715" s="23" t="n"/>
      <c r="Y715" s="25" t="n"/>
      <c r="Z715" s="25" t="n"/>
      <c r="AA715" s="23" t="n"/>
      <c r="AB715" s="25" t="n"/>
      <c r="AC715" s="23" t="n"/>
      <c r="AD715" s="25" t="n"/>
      <c r="AE715" s="23" t="n"/>
      <c r="AF715" s="25" t="n"/>
      <c r="AG715" s="25" t="n"/>
      <c r="AH715" s="23" t="n"/>
      <c r="AI715" s="23" t="n"/>
      <c r="AJ715" s="26">
        <f>IF(I715="","",I715&amp;"|"&amp;R715)</f>
        <v/>
      </c>
      <c r="AK715" s="26">
        <f>IF(I715="","",IF(ISNA(MATCH(O715,Kampanyalar!$A$2:$A$150,0)),"Hayır - Kampanyalar'da Yok","Evet"))</f>
        <v/>
      </c>
      <c r="AL715" s="27">
        <f>IF(I715="","",IFERROR(INDEX(Kampanyalar!$E$2:$E$150,MATCH(O715,Kampanyalar!$A$2:$A$150,0)),""))</f>
        <v/>
      </c>
      <c r="AM715" s="27">
        <f>IF(I715="","",IFERROR(INDEX(Kampanyalar!$F$2:$F$150,MATCH(O715,Kampanyalar!$A$2:$A$150,0)),""))</f>
        <v/>
      </c>
      <c r="AN715" s="27">
        <f>IF(I715="","",IFERROR(INDEX(Kampanyalar!$G$2:$G$150,MATCH(O715,Kampanyalar!$A$2:$A$150,0)),""))</f>
        <v/>
      </c>
      <c r="AO715" s="26">
        <f>IF(OR(I715="",AL715="",AM715=""),"",IF(AND(H715&gt;=AL715,H715&lt;=AM715),"Evet","HAYIR - Tarih Dışı"))</f>
        <v/>
      </c>
      <c r="AP715" s="28">
        <f>IF(I715="","",IFERROR(INDEX(Kampanyalar!$H$2:$H$150,MATCH(O715,Kampanyalar!$A$2:$A$150,0)),""))</f>
        <v/>
      </c>
      <c r="AQ715" s="28">
        <f>IF(I715="","",IF(ISNUMBER(AP715),AP715,AD715))</f>
        <v/>
      </c>
      <c r="AR715" s="26">
        <f>IF(I715="","",IF(Parametreler!$C$7="Evet","Kural A - Hemen Ödeme (Stok Mutabakatlı)","Kural B - Nakliye/Montaj Sonrası Ödeme"))</f>
        <v/>
      </c>
    </row>
    <row r="716">
      <c r="A716" s="23" t="n"/>
      <c r="B716" s="23" t="n"/>
      <c r="C716" s="23" t="n"/>
      <c r="D716" s="23" t="n"/>
      <c r="E716" s="23" t="n"/>
      <c r="F716" s="23" t="n"/>
      <c r="G716" s="23" t="n"/>
      <c r="H716" s="24" t="n"/>
      <c r="I716" s="23" t="n"/>
      <c r="J716" s="23" t="n"/>
      <c r="K716" s="23" t="n"/>
      <c r="L716" s="23" t="n"/>
      <c r="M716" s="23" t="n"/>
      <c r="N716" s="23" t="n"/>
      <c r="O716" s="23" t="n"/>
      <c r="P716" s="23" t="n"/>
      <c r="Q716" s="23" t="n"/>
      <c r="R716" s="23" t="n"/>
      <c r="S716" s="23" t="n"/>
      <c r="T716" s="23" t="n"/>
      <c r="U716" s="23" t="n"/>
      <c r="V716" s="23" t="n"/>
      <c r="W716" s="23" t="n"/>
      <c r="X716" s="23" t="n"/>
      <c r="Y716" s="25" t="n"/>
      <c r="Z716" s="25" t="n"/>
      <c r="AA716" s="23" t="n"/>
      <c r="AB716" s="25" t="n"/>
      <c r="AC716" s="23" t="n"/>
      <c r="AD716" s="25" t="n"/>
      <c r="AE716" s="23" t="n"/>
      <c r="AF716" s="25" t="n"/>
      <c r="AG716" s="25" t="n"/>
      <c r="AH716" s="23" t="n"/>
      <c r="AI716" s="23" t="n"/>
      <c r="AJ716" s="26">
        <f>IF(I716="","",I716&amp;"|"&amp;R716)</f>
        <v/>
      </c>
      <c r="AK716" s="26">
        <f>IF(I716="","",IF(ISNA(MATCH(O716,Kampanyalar!$A$2:$A$150,0)),"Hayır - Kampanyalar'da Yok","Evet"))</f>
        <v/>
      </c>
      <c r="AL716" s="27">
        <f>IF(I716="","",IFERROR(INDEX(Kampanyalar!$E$2:$E$150,MATCH(O716,Kampanyalar!$A$2:$A$150,0)),""))</f>
        <v/>
      </c>
      <c r="AM716" s="27">
        <f>IF(I716="","",IFERROR(INDEX(Kampanyalar!$F$2:$F$150,MATCH(O716,Kampanyalar!$A$2:$A$150,0)),""))</f>
        <v/>
      </c>
      <c r="AN716" s="27">
        <f>IF(I716="","",IFERROR(INDEX(Kampanyalar!$G$2:$G$150,MATCH(O716,Kampanyalar!$A$2:$A$150,0)),""))</f>
        <v/>
      </c>
      <c r="AO716" s="26">
        <f>IF(OR(I716="",AL716="",AM716=""),"",IF(AND(H716&gt;=AL716,H716&lt;=AM716),"Evet","HAYIR - Tarih Dışı"))</f>
        <v/>
      </c>
      <c r="AP716" s="28">
        <f>IF(I716="","",IFERROR(INDEX(Kampanyalar!$H$2:$H$150,MATCH(O716,Kampanyalar!$A$2:$A$150,0)),""))</f>
        <v/>
      </c>
      <c r="AQ716" s="28">
        <f>IF(I716="","",IF(ISNUMBER(AP716),AP716,AD716))</f>
        <v/>
      </c>
      <c r="AR716" s="26">
        <f>IF(I716="","",IF(Parametreler!$C$7="Evet","Kural A - Hemen Ödeme (Stok Mutabakatlı)","Kural B - Nakliye/Montaj Sonrası Ödeme"))</f>
        <v/>
      </c>
    </row>
    <row r="717">
      <c r="A717" s="23" t="n"/>
      <c r="B717" s="23" t="n"/>
      <c r="C717" s="23" t="n"/>
      <c r="D717" s="23" t="n"/>
      <c r="E717" s="23" t="n"/>
      <c r="F717" s="23" t="n"/>
      <c r="G717" s="23" t="n"/>
      <c r="H717" s="24" t="n"/>
      <c r="I717" s="23" t="n"/>
      <c r="J717" s="23" t="n"/>
      <c r="K717" s="23" t="n"/>
      <c r="L717" s="23" t="n"/>
      <c r="M717" s="23" t="n"/>
      <c r="N717" s="23" t="n"/>
      <c r="O717" s="23" t="n"/>
      <c r="P717" s="23" t="n"/>
      <c r="Q717" s="23" t="n"/>
      <c r="R717" s="23" t="n"/>
      <c r="S717" s="23" t="n"/>
      <c r="T717" s="23" t="n"/>
      <c r="U717" s="23" t="n"/>
      <c r="V717" s="23" t="n"/>
      <c r="W717" s="23" t="n"/>
      <c r="X717" s="23" t="n"/>
      <c r="Y717" s="25" t="n"/>
      <c r="Z717" s="25" t="n"/>
      <c r="AA717" s="23" t="n"/>
      <c r="AB717" s="25" t="n"/>
      <c r="AC717" s="23" t="n"/>
      <c r="AD717" s="25" t="n"/>
      <c r="AE717" s="23" t="n"/>
      <c r="AF717" s="25" t="n"/>
      <c r="AG717" s="25" t="n"/>
      <c r="AH717" s="23" t="n"/>
      <c r="AI717" s="23" t="n"/>
      <c r="AJ717" s="26">
        <f>IF(I717="","",I717&amp;"|"&amp;R717)</f>
        <v/>
      </c>
      <c r="AK717" s="26">
        <f>IF(I717="","",IF(ISNA(MATCH(O717,Kampanyalar!$A$2:$A$150,0)),"Hayır - Kampanyalar'da Yok","Evet"))</f>
        <v/>
      </c>
      <c r="AL717" s="27">
        <f>IF(I717="","",IFERROR(INDEX(Kampanyalar!$E$2:$E$150,MATCH(O717,Kampanyalar!$A$2:$A$150,0)),""))</f>
        <v/>
      </c>
      <c r="AM717" s="27">
        <f>IF(I717="","",IFERROR(INDEX(Kampanyalar!$F$2:$F$150,MATCH(O717,Kampanyalar!$A$2:$A$150,0)),""))</f>
        <v/>
      </c>
      <c r="AN717" s="27">
        <f>IF(I717="","",IFERROR(INDEX(Kampanyalar!$G$2:$G$150,MATCH(O717,Kampanyalar!$A$2:$A$150,0)),""))</f>
        <v/>
      </c>
      <c r="AO717" s="26">
        <f>IF(OR(I717="",AL717="",AM717=""),"",IF(AND(H717&gt;=AL717,H717&lt;=AM717),"Evet","HAYIR - Tarih Dışı"))</f>
        <v/>
      </c>
      <c r="AP717" s="28">
        <f>IF(I717="","",IFERROR(INDEX(Kampanyalar!$H$2:$H$150,MATCH(O717,Kampanyalar!$A$2:$A$150,0)),""))</f>
        <v/>
      </c>
      <c r="AQ717" s="28">
        <f>IF(I717="","",IF(ISNUMBER(AP717),AP717,AD717))</f>
        <v/>
      </c>
      <c r="AR717" s="26">
        <f>IF(I717="","",IF(Parametreler!$C$7="Evet","Kural A - Hemen Ödeme (Stok Mutabakatlı)","Kural B - Nakliye/Montaj Sonrası Ödeme"))</f>
        <v/>
      </c>
    </row>
    <row r="718">
      <c r="A718" s="23" t="n"/>
      <c r="B718" s="23" t="n"/>
      <c r="C718" s="23" t="n"/>
      <c r="D718" s="23" t="n"/>
      <c r="E718" s="23" t="n"/>
      <c r="F718" s="23" t="n"/>
      <c r="G718" s="23" t="n"/>
      <c r="H718" s="24" t="n"/>
      <c r="I718" s="23" t="n"/>
      <c r="J718" s="23" t="n"/>
      <c r="K718" s="23" t="n"/>
      <c r="L718" s="23" t="n"/>
      <c r="M718" s="23" t="n"/>
      <c r="N718" s="23" t="n"/>
      <c r="O718" s="23" t="n"/>
      <c r="P718" s="23" t="n"/>
      <c r="Q718" s="23" t="n"/>
      <c r="R718" s="23" t="n"/>
      <c r="S718" s="23" t="n"/>
      <c r="T718" s="23" t="n"/>
      <c r="U718" s="23" t="n"/>
      <c r="V718" s="23" t="n"/>
      <c r="W718" s="23" t="n"/>
      <c r="X718" s="23" t="n"/>
      <c r="Y718" s="25" t="n"/>
      <c r="Z718" s="25" t="n"/>
      <c r="AA718" s="23" t="n"/>
      <c r="AB718" s="25" t="n"/>
      <c r="AC718" s="23" t="n"/>
      <c r="AD718" s="25" t="n"/>
      <c r="AE718" s="23" t="n"/>
      <c r="AF718" s="25" t="n"/>
      <c r="AG718" s="25" t="n"/>
      <c r="AH718" s="23" t="n"/>
      <c r="AI718" s="23" t="n"/>
      <c r="AJ718" s="26">
        <f>IF(I718="","",I718&amp;"|"&amp;R718)</f>
        <v/>
      </c>
      <c r="AK718" s="26">
        <f>IF(I718="","",IF(ISNA(MATCH(O718,Kampanyalar!$A$2:$A$150,0)),"Hayır - Kampanyalar'da Yok","Evet"))</f>
        <v/>
      </c>
      <c r="AL718" s="27">
        <f>IF(I718="","",IFERROR(INDEX(Kampanyalar!$E$2:$E$150,MATCH(O718,Kampanyalar!$A$2:$A$150,0)),""))</f>
        <v/>
      </c>
      <c r="AM718" s="27">
        <f>IF(I718="","",IFERROR(INDEX(Kampanyalar!$F$2:$F$150,MATCH(O718,Kampanyalar!$A$2:$A$150,0)),""))</f>
        <v/>
      </c>
      <c r="AN718" s="27">
        <f>IF(I718="","",IFERROR(INDEX(Kampanyalar!$G$2:$G$150,MATCH(O718,Kampanyalar!$A$2:$A$150,0)),""))</f>
        <v/>
      </c>
      <c r="AO718" s="26">
        <f>IF(OR(I718="",AL718="",AM718=""),"",IF(AND(H718&gt;=AL718,H718&lt;=AM718),"Evet","HAYIR - Tarih Dışı"))</f>
        <v/>
      </c>
      <c r="AP718" s="28">
        <f>IF(I718="","",IFERROR(INDEX(Kampanyalar!$H$2:$H$150,MATCH(O718,Kampanyalar!$A$2:$A$150,0)),""))</f>
        <v/>
      </c>
      <c r="AQ718" s="28">
        <f>IF(I718="","",IF(ISNUMBER(AP718),AP718,AD718))</f>
        <v/>
      </c>
      <c r="AR718" s="26">
        <f>IF(I718="","",IF(Parametreler!$C$7="Evet","Kural A - Hemen Ödeme (Stok Mutabakatlı)","Kural B - Nakliye/Montaj Sonrası Ödeme"))</f>
        <v/>
      </c>
    </row>
    <row r="719">
      <c r="A719" s="23" t="n"/>
      <c r="B719" s="23" t="n"/>
      <c r="C719" s="23" t="n"/>
      <c r="D719" s="23" t="n"/>
      <c r="E719" s="23" t="n"/>
      <c r="F719" s="23" t="n"/>
      <c r="G719" s="23" t="n"/>
      <c r="H719" s="24" t="n"/>
      <c r="I719" s="23" t="n"/>
      <c r="J719" s="23" t="n"/>
      <c r="K719" s="23" t="n"/>
      <c r="L719" s="23" t="n"/>
      <c r="M719" s="23" t="n"/>
      <c r="N719" s="23" t="n"/>
      <c r="O719" s="23" t="n"/>
      <c r="P719" s="23" t="n"/>
      <c r="Q719" s="23" t="n"/>
      <c r="R719" s="23" t="n"/>
      <c r="S719" s="23" t="n"/>
      <c r="T719" s="23" t="n"/>
      <c r="U719" s="23" t="n"/>
      <c r="V719" s="23" t="n"/>
      <c r="W719" s="23" t="n"/>
      <c r="X719" s="23" t="n"/>
      <c r="Y719" s="25" t="n"/>
      <c r="Z719" s="25" t="n"/>
      <c r="AA719" s="23" t="n"/>
      <c r="AB719" s="25" t="n"/>
      <c r="AC719" s="23" t="n"/>
      <c r="AD719" s="25" t="n"/>
      <c r="AE719" s="23" t="n"/>
      <c r="AF719" s="25" t="n"/>
      <c r="AG719" s="25" t="n"/>
      <c r="AH719" s="23" t="n"/>
      <c r="AI719" s="23" t="n"/>
      <c r="AJ719" s="26">
        <f>IF(I719="","",I719&amp;"|"&amp;R719)</f>
        <v/>
      </c>
      <c r="AK719" s="26">
        <f>IF(I719="","",IF(ISNA(MATCH(O719,Kampanyalar!$A$2:$A$150,0)),"Hayır - Kampanyalar'da Yok","Evet"))</f>
        <v/>
      </c>
      <c r="AL719" s="27">
        <f>IF(I719="","",IFERROR(INDEX(Kampanyalar!$E$2:$E$150,MATCH(O719,Kampanyalar!$A$2:$A$150,0)),""))</f>
        <v/>
      </c>
      <c r="AM719" s="27">
        <f>IF(I719="","",IFERROR(INDEX(Kampanyalar!$F$2:$F$150,MATCH(O719,Kampanyalar!$A$2:$A$150,0)),""))</f>
        <v/>
      </c>
      <c r="AN719" s="27">
        <f>IF(I719="","",IFERROR(INDEX(Kampanyalar!$G$2:$G$150,MATCH(O719,Kampanyalar!$A$2:$A$150,0)),""))</f>
        <v/>
      </c>
      <c r="AO719" s="26">
        <f>IF(OR(I719="",AL719="",AM719=""),"",IF(AND(H719&gt;=AL719,H719&lt;=AM719),"Evet","HAYIR - Tarih Dışı"))</f>
        <v/>
      </c>
      <c r="AP719" s="28">
        <f>IF(I719="","",IFERROR(INDEX(Kampanyalar!$H$2:$H$150,MATCH(O719,Kampanyalar!$A$2:$A$150,0)),""))</f>
        <v/>
      </c>
      <c r="AQ719" s="28">
        <f>IF(I719="","",IF(ISNUMBER(AP719),AP719,AD719))</f>
        <v/>
      </c>
      <c r="AR719" s="26">
        <f>IF(I719="","",IF(Parametreler!$C$7="Evet","Kural A - Hemen Ödeme (Stok Mutabakatlı)","Kural B - Nakliye/Montaj Sonrası Ödeme"))</f>
        <v/>
      </c>
    </row>
    <row r="720">
      <c r="A720" s="23" t="n"/>
      <c r="B720" s="23" t="n"/>
      <c r="C720" s="23" t="n"/>
      <c r="D720" s="23" t="n"/>
      <c r="E720" s="23" t="n"/>
      <c r="F720" s="23" t="n"/>
      <c r="G720" s="23" t="n"/>
      <c r="H720" s="24" t="n"/>
      <c r="I720" s="23" t="n"/>
      <c r="J720" s="23" t="n"/>
      <c r="K720" s="23" t="n"/>
      <c r="L720" s="23" t="n"/>
      <c r="M720" s="23" t="n"/>
      <c r="N720" s="23" t="n"/>
      <c r="O720" s="23" t="n"/>
      <c r="P720" s="23" t="n"/>
      <c r="Q720" s="23" t="n"/>
      <c r="R720" s="23" t="n"/>
      <c r="S720" s="23" t="n"/>
      <c r="T720" s="23" t="n"/>
      <c r="U720" s="23" t="n"/>
      <c r="V720" s="23" t="n"/>
      <c r="W720" s="23" t="n"/>
      <c r="X720" s="23" t="n"/>
      <c r="Y720" s="25" t="n"/>
      <c r="Z720" s="25" t="n"/>
      <c r="AA720" s="23" t="n"/>
      <c r="AB720" s="25" t="n"/>
      <c r="AC720" s="23" t="n"/>
      <c r="AD720" s="25" t="n"/>
      <c r="AE720" s="23" t="n"/>
      <c r="AF720" s="25" t="n"/>
      <c r="AG720" s="25" t="n"/>
      <c r="AH720" s="23" t="n"/>
      <c r="AI720" s="23" t="n"/>
      <c r="AJ720" s="26">
        <f>IF(I720="","",I720&amp;"|"&amp;R720)</f>
        <v/>
      </c>
      <c r="AK720" s="26">
        <f>IF(I720="","",IF(ISNA(MATCH(O720,Kampanyalar!$A$2:$A$150,0)),"Hayır - Kampanyalar'da Yok","Evet"))</f>
        <v/>
      </c>
      <c r="AL720" s="27">
        <f>IF(I720="","",IFERROR(INDEX(Kampanyalar!$E$2:$E$150,MATCH(O720,Kampanyalar!$A$2:$A$150,0)),""))</f>
        <v/>
      </c>
      <c r="AM720" s="27">
        <f>IF(I720="","",IFERROR(INDEX(Kampanyalar!$F$2:$F$150,MATCH(O720,Kampanyalar!$A$2:$A$150,0)),""))</f>
        <v/>
      </c>
      <c r="AN720" s="27">
        <f>IF(I720="","",IFERROR(INDEX(Kampanyalar!$G$2:$G$150,MATCH(O720,Kampanyalar!$A$2:$A$150,0)),""))</f>
        <v/>
      </c>
      <c r="AO720" s="26">
        <f>IF(OR(I720="",AL720="",AM720=""),"",IF(AND(H720&gt;=AL720,H720&lt;=AM720),"Evet","HAYIR - Tarih Dışı"))</f>
        <v/>
      </c>
      <c r="AP720" s="28">
        <f>IF(I720="","",IFERROR(INDEX(Kampanyalar!$H$2:$H$150,MATCH(O720,Kampanyalar!$A$2:$A$150,0)),""))</f>
        <v/>
      </c>
      <c r="AQ720" s="28">
        <f>IF(I720="","",IF(ISNUMBER(AP720),AP720,AD720))</f>
        <v/>
      </c>
      <c r="AR720" s="26">
        <f>IF(I720="","",IF(Parametreler!$C$7="Evet","Kural A - Hemen Ödeme (Stok Mutabakatlı)","Kural B - Nakliye/Montaj Sonrası Ödeme"))</f>
        <v/>
      </c>
    </row>
    <row r="721">
      <c r="A721" s="23" t="n"/>
      <c r="B721" s="23" t="n"/>
      <c r="C721" s="23" t="n"/>
      <c r="D721" s="23" t="n"/>
      <c r="E721" s="23" t="n"/>
      <c r="F721" s="23" t="n"/>
      <c r="G721" s="23" t="n"/>
      <c r="H721" s="24" t="n"/>
      <c r="I721" s="23" t="n"/>
      <c r="J721" s="23" t="n"/>
      <c r="K721" s="23" t="n"/>
      <c r="L721" s="23" t="n"/>
      <c r="M721" s="23" t="n"/>
      <c r="N721" s="23" t="n"/>
      <c r="O721" s="23" t="n"/>
      <c r="P721" s="23" t="n"/>
      <c r="Q721" s="23" t="n"/>
      <c r="R721" s="23" t="n"/>
      <c r="S721" s="23" t="n"/>
      <c r="T721" s="23" t="n"/>
      <c r="U721" s="23" t="n"/>
      <c r="V721" s="23" t="n"/>
      <c r="W721" s="23" t="n"/>
      <c r="X721" s="23" t="n"/>
      <c r="Y721" s="25" t="n"/>
      <c r="Z721" s="25" t="n"/>
      <c r="AA721" s="23" t="n"/>
      <c r="AB721" s="25" t="n"/>
      <c r="AC721" s="23" t="n"/>
      <c r="AD721" s="25" t="n"/>
      <c r="AE721" s="23" t="n"/>
      <c r="AF721" s="25" t="n"/>
      <c r="AG721" s="25" t="n"/>
      <c r="AH721" s="23" t="n"/>
      <c r="AI721" s="23" t="n"/>
      <c r="AJ721" s="26">
        <f>IF(I721="","",I721&amp;"|"&amp;R721)</f>
        <v/>
      </c>
      <c r="AK721" s="26">
        <f>IF(I721="","",IF(ISNA(MATCH(O721,Kampanyalar!$A$2:$A$150,0)),"Hayır - Kampanyalar'da Yok","Evet"))</f>
        <v/>
      </c>
      <c r="AL721" s="27">
        <f>IF(I721="","",IFERROR(INDEX(Kampanyalar!$E$2:$E$150,MATCH(O721,Kampanyalar!$A$2:$A$150,0)),""))</f>
        <v/>
      </c>
      <c r="AM721" s="27">
        <f>IF(I721="","",IFERROR(INDEX(Kampanyalar!$F$2:$F$150,MATCH(O721,Kampanyalar!$A$2:$A$150,0)),""))</f>
        <v/>
      </c>
      <c r="AN721" s="27">
        <f>IF(I721="","",IFERROR(INDEX(Kampanyalar!$G$2:$G$150,MATCH(O721,Kampanyalar!$A$2:$A$150,0)),""))</f>
        <v/>
      </c>
      <c r="AO721" s="26">
        <f>IF(OR(I721="",AL721="",AM721=""),"",IF(AND(H721&gt;=AL721,H721&lt;=AM721),"Evet","HAYIR - Tarih Dışı"))</f>
        <v/>
      </c>
      <c r="AP721" s="28">
        <f>IF(I721="","",IFERROR(INDEX(Kampanyalar!$H$2:$H$150,MATCH(O721,Kampanyalar!$A$2:$A$150,0)),""))</f>
        <v/>
      </c>
      <c r="AQ721" s="28">
        <f>IF(I721="","",IF(ISNUMBER(AP721),AP721,AD721))</f>
        <v/>
      </c>
      <c r="AR721" s="26">
        <f>IF(I721="","",IF(Parametreler!$C$7="Evet","Kural A - Hemen Ödeme (Stok Mutabakatlı)","Kural B - Nakliye/Montaj Sonrası Ödeme"))</f>
        <v/>
      </c>
    </row>
    <row r="722">
      <c r="A722" s="23" t="n"/>
      <c r="B722" s="23" t="n"/>
      <c r="C722" s="23" t="n"/>
      <c r="D722" s="23" t="n"/>
      <c r="E722" s="23" t="n"/>
      <c r="F722" s="23" t="n"/>
      <c r="G722" s="23" t="n"/>
      <c r="H722" s="24" t="n"/>
      <c r="I722" s="23" t="n"/>
      <c r="J722" s="23" t="n"/>
      <c r="K722" s="23" t="n"/>
      <c r="L722" s="23" t="n"/>
      <c r="M722" s="23" t="n"/>
      <c r="N722" s="23" t="n"/>
      <c r="O722" s="23" t="n"/>
      <c r="P722" s="23" t="n"/>
      <c r="Q722" s="23" t="n"/>
      <c r="R722" s="23" t="n"/>
      <c r="S722" s="23" t="n"/>
      <c r="T722" s="23" t="n"/>
      <c r="U722" s="23" t="n"/>
      <c r="V722" s="23" t="n"/>
      <c r="W722" s="23" t="n"/>
      <c r="X722" s="23" t="n"/>
      <c r="Y722" s="25" t="n"/>
      <c r="Z722" s="25" t="n"/>
      <c r="AA722" s="23" t="n"/>
      <c r="AB722" s="25" t="n"/>
      <c r="AC722" s="23" t="n"/>
      <c r="AD722" s="25" t="n"/>
      <c r="AE722" s="23" t="n"/>
      <c r="AF722" s="25" t="n"/>
      <c r="AG722" s="25" t="n"/>
      <c r="AH722" s="23" t="n"/>
      <c r="AI722" s="23" t="n"/>
      <c r="AJ722" s="26">
        <f>IF(I722="","",I722&amp;"|"&amp;R722)</f>
        <v/>
      </c>
      <c r="AK722" s="26">
        <f>IF(I722="","",IF(ISNA(MATCH(O722,Kampanyalar!$A$2:$A$150,0)),"Hayır - Kampanyalar'da Yok","Evet"))</f>
        <v/>
      </c>
      <c r="AL722" s="27">
        <f>IF(I722="","",IFERROR(INDEX(Kampanyalar!$E$2:$E$150,MATCH(O722,Kampanyalar!$A$2:$A$150,0)),""))</f>
        <v/>
      </c>
      <c r="AM722" s="27">
        <f>IF(I722="","",IFERROR(INDEX(Kampanyalar!$F$2:$F$150,MATCH(O722,Kampanyalar!$A$2:$A$150,0)),""))</f>
        <v/>
      </c>
      <c r="AN722" s="27">
        <f>IF(I722="","",IFERROR(INDEX(Kampanyalar!$G$2:$G$150,MATCH(O722,Kampanyalar!$A$2:$A$150,0)),""))</f>
        <v/>
      </c>
      <c r="AO722" s="26">
        <f>IF(OR(I722="",AL722="",AM722=""),"",IF(AND(H722&gt;=AL722,H722&lt;=AM722),"Evet","HAYIR - Tarih Dışı"))</f>
        <v/>
      </c>
      <c r="AP722" s="28">
        <f>IF(I722="","",IFERROR(INDEX(Kampanyalar!$H$2:$H$150,MATCH(O722,Kampanyalar!$A$2:$A$150,0)),""))</f>
        <v/>
      </c>
      <c r="AQ722" s="28">
        <f>IF(I722="","",IF(ISNUMBER(AP722),AP722,AD722))</f>
        <v/>
      </c>
      <c r="AR722" s="26">
        <f>IF(I722="","",IF(Parametreler!$C$7="Evet","Kural A - Hemen Ödeme (Stok Mutabakatlı)","Kural B - Nakliye/Montaj Sonrası Ödeme"))</f>
        <v/>
      </c>
    </row>
    <row r="723">
      <c r="A723" s="23" t="n"/>
      <c r="B723" s="23" t="n"/>
      <c r="C723" s="23" t="n"/>
      <c r="D723" s="23" t="n"/>
      <c r="E723" s="23" t="n"/>
      <c r="F723" s="23" t="n"/>
      <c r="G723" s="23" t="n"/>
      <c r="H723" s="24" t="n"/>
      <c r="I723" s="23" t="n"/>
      <c r="J723" s="23" t="n"/>
      <c r="K723" s="23" t="n"/>
      <c r="L723" s="23" t="n"/>
      <c r="M723" s="23" t="n"/>
      <c r="N723" s="23" t="n"/>
      <c r="O723" s="23" t="n"/>
      <c r="P723" s="23" t="n"/>
      <c r="Q723" s="23" t="n"/>
      <c r="R723" s="23" t="n"/>
      <c r="S723" s="23" t="n"/>
      <c r="T723" s="23" t="n"/>
      <c r="U723" s="23" t="n"/>
      <c r="V723" s="23" t="n"/>
      <c r="W723" s="23" t="n"/>
      <c r="X723" s="23" t="n"/>
      <c r="Y723" s="25" t="n"/>
      <c r="Z723" s="25" t="n"/>
      <c r="AA723" s="23" t="n"/>
      <c r="AB723" s="25" t="n"/>
      <c r="AC723" s="23" t="n"/>
      <c r="AD723" s="25" t="n"/>
      <c r="AE723" s="23" t="n"/>
      <c r="AF723" s="25" t="n"/>
      <c r="AG723" s="25" t="n"/>
      <c r="AH723" s="23" t="n"/>
      <c r="AI723" s="23" t="n"/>
      <c r="AJ723" s="26">
        <f>IF(I723="","",I723&amp;"|"&amp;R723)</f>
        <v/>
      </c>
      <c r="AK723" s="26">
        <f>IF(I723="","",IF(ISNA(MATCH(O723,Kampanyalar!$A$2:$A$150,0)),"Hayır - Kampanyalar'da Yok","Evet"))</f>
        <v/>
      </c>
      <c r="AL723" s="27">
        <f>IF(I723="","",IFERROR(INDEX(Kampanyalar!$E$2:$E$150,MATCH(O723,Kampanyalar!$A$2:$A$150,0)),""))</f>
        <v/>
      </c>
      <c r="AM723" s="27">
        <f>IF(I723="","",IFERROR(INDEX(Kampanyalar!$F$2:$F$150,MATCH(O723,Kampanyalar!$A$2:$A$150,0)),""))</f>
        <v/>
      </c>
      <c r="AN723" s="27">
        <f>IF(I723="","",IFERROR(INDEX(Kampanyalar!$G$2:$G$150,MATCH(O723,Kampanyalar!$A$2:$A$150,0)),""))</f>
        <v/>
      </c>
      <c r="AO723" s="26">
        <f>IF(OR(I723="",AL723="",AM723=""),"",IF(AND(H723&gt;=AL723,H723&lt;=AM723),"Evet","HAYIR - Tarih Dışı"))</f>
        <v/>
      </c>
      <c r="AP723" s="28">
        <f>IF(I723="","",IFERROR(INDEX(Kampanyalar!$H$2:$H$150,MATCH(O723,Kampanyalar!$A$2:$A$150,0)),""))</f>
        <v/>
      </c>
      <c r="AQ723" s="28">
        <f>IF(I723="","",IF(ISNUMBER(AP723),AP723,AD723))</f>
        <v/>
      </c>
      <c r="AR723" s="26">
        <f>IF(I723="","",IF(Parametreler!$C$7="Evet","Kural A - Hemen Ödeme (Stok Mutabakatlı)","Kural B - Nakliye/Montaj Sonrası Ödeme"))</f>
        <v/>
      </c>
    </row>
    <row r="724">
      <c r="A724" s="23" t="n"/>
      <c r="B724" s="23" t="n"/>
      <c r="C724" s="23" t="n"/>
      <c r="D724" s="23" t="n"/>
      <c r="E724" s="23" t="n"/>
      <c r="F724" s="23" t="n"/>
      <c r="G724" s="23" t="n"/>
      <c r="H724" s="24" t="n"/>
      <c r="I724" s="23" t="n"/>
      <c r="J724" s="23" t="n"/>
      <c r="K724" s="23" t="n"/>
      <c r="L724" s="23" t="n"/>
      <c r="M724" s="23" t="n"/>
      <c r="N724" s="23" t="n"/>
      <c r="O724" s="23" t="n"/>
      <c r="P724" s="23" t="n"/>
      <c r="Q724" s="23" t="n"/>
      <c r="R724" s="23" t="n"/>
      <c r="S724" s="23" t="n"/>
      <c r="T724" s="23" t="n"/>
      <c r="U724" s="23" t="n"/>
      <c r="V724" s="23" t="n"/>
      <c r="W724" s="23" t="n"/>
      <c r="X724" s="23" t="n"/>
      <c r="Y724" s="25" t="n"/>
      <c r="Z724" s="25" t="n"/>
      <c r="AA724" s="23" t="n"/>
      <c r="AB724" s="25" t="n"/>
      <c r="AC724" s="23" t="n"/>
      <c r="AD724" s="25" t="n"/>
      <c r="AE724" s="23" t="n"/>
      <c r="AF724" s="25" t="n"/>
      <c r="AG724" s="25" t="n"/>
      <c r="AH724" s="23" t="n"/>
      <c r="AI724" s="23" t="n"/>
      <c r="AJ724" s="26">
        <f>IF(I724="","",I724&amp;"|"&amp;R724)</f>
        <v/>
      </c>
      <c r="AK724" s="26">
        <f>IF(I724="","",IF(ISNA(MATCH(O724,Kampanyalar!$A$2:$A$150,0)),"Hayır - Kampanyalar'da Yok","Evet"))</f>
        <v/>
      </c>
      <c r="AL724" s="27">
        <f>IF(I724="","",IFERROR(INDEX(Kampanyalar!$E$2:$E$150,MATCH(O724,Kampanyalar!$A$2:$A$150,0)),""))</f>
        <v/>
      </c>
      <c r="AM724" s="27">
        <f>IF(I724="","",IFERROR(INDEX(Kampanyalar!$F$2:$F$150,MATCH(O724,Kampanyalar!$A$2:$A$150,0)),""))</f>
        <v/>
      </c>
      <c r="AN724" s="27">
        <f>IF(I724="","",IFERROR(INDEX(Kampanyalar!$G$2:$G$150,MATCH(O724,Kampanyalar!$A$2:$A$150,0)),""))</f>
        <v/>
      </c>
      <c r="AO724" s="26">
        <f>IF(OR(I724="",AL724="",AM724=""),"",IF(AND(H724&gt;=AL724,H724&lt;=AM724),"Evet","HAYIR - Tarih Dışı"))</f>
        <v/>
      </c>
      <c r="AP724" s="28">
        <f>IF(I724="","",IFERROR(INDEX(Kampanyalar!$H$2:$H$150,MATCH(O724,Kampanyalar!$A$2:$A$150,0)),""))</f>
        <v/>
      </c>
      <c r="AQ724" s="28">
        <f>IF(I724="","",IF(ISNUMBER(AP724),AP724,AD724))</f>
        <v/>
      </c>
      <c r="AR724" s="26">
        <f>IF(I724="","",IF(Parametreler!$C$7="Evet","Kural A - Hemen Ödeme (Stok Mutabakatlı)","Kural B - Nakliye/Montaj Sonrası Ödeme"))</f>
        <v/>
      </c>
    </row>
    <row r="725">
      <c r="A725" s="23" t="n"/>
      <c r="B725" s="23" t="n"/>
      <c r="C725" s="23" t="n"/>
      <c r="D725" s="23" t="n"/>
      <c r="E725" s="23" t="n"/>
      <c r="F725" s="23" t="n"/>
      <c r="G725" s="23" t="n"/>
      <c r="H725" s="24" t="n"/>
      <c r="I725" s="23" t="n"/>
      <c r="J725" s="23" t="n"/>
      <c r="K725" s="23" t="n"/>
      <c r="L725" s="23" t="n"/>
      <c r="M725" s="23" t="n"/>
      <c r="N725" s="23" t="n"/>
      <c r="O725" s="23" t="n"/>
      <c r="P725" s="23" t="n"/>
      <c r="Q725" s="23" t="n"/>
      <c r="R725" s="23" t="n"/>
      <c r="S725" s="23" t="n"/>
      <c r="T725" s="23" t="n"/>
      <c r="U725" s="23" t="n"/>
      <c r="V725" s="23" t="n"/>
      <c r="W725" s="23" t="n"/>
      <c r="X725" s="23" t="n"/>
      <c r="Y725" s="25" t="n"/>
      <c r="Z725" s="25" t="n"/>
      <c r="AA725" s="23" t="n"/>
      <c r="AB725" s="25" t="n"/>
      <c r="AC725" s="23" t="n"/>
      <c r="AD725" s="25" t="n"/>
      <c r="AE725" s="23" t="n"/>
      <c r="AF725" s="25" t="n"/>
      <c r="AG725" s="25" t="n"/>
      <c r="AH725" s="23" t="n"/>
      <c r="AI725" s="23" t="n"/>
      <c r="AJ725" s="26">
        <f>IF(I725="","",I725&amp;"|"&amp;R725)</f>
        <v/>
      </c>
      <c r="AK725" s="26">
        <f>IF(I725="","",IF(ISNA(MATCH(O725,Kampanyalar!$A$2:$A$150,0)),"Hayır - Kampanyalar'da Yok","Evet"))</f>
        <v/>
      </c>
      <c r="AL725" s="27">
        <f>IF(I725="","",IFERROR(INDEX(Kampanyalar!$E$2:$E$150,MATCH(O725,Kampanyalar!$A$2:$A$150,0)),""))</f>
        <v/>
      </c>
      <c r="AM725" s="27">
        <f>IF(I725="","",IFERROR(INDEX(Kampanyalar!$F$2:$F$150,MATCH(O725,Kampanyalar!$A$2:$A$150,0)),""))</f>
        <v/>
      </c>
      <c r="AN725" s="27">
        <f>IF(I725="","",IFERROR(INDEX(Kampanyalar!$G$2:$G$150,MATCH(O725,Kampanyalar!$A$2:$A$150,0)),""))</f>
        <v/>
      </c>
      <c r="AO725" s="26">
        <f>IF(OR(I725="",AL725="",AM725=""),"",IF(AND(H725&gt;=AL725,H725&lt;=AM725),"Evet","HAYIR - Tarih Dışı"))</f>
        <v/>
      </c>
      <c r="AP725" s="28">
        <f>IF(I725="","",IFERROR(INDEX(Kampanyalar!$H$2:$H$150,MATCH(O725,Kampanyalar!$A$2:$A$150,0)),""))</f>
        <v/>
      </c>
      <c r="AQ725" s="28">
        <f>IF(I725="","",IF(ISNUMBER(AP725),AP725,AD725))</f>
        <v/>
      </c>
      <c r="AR725" s="26">
        <f>IF(I725="","",IF(Parametreler!$C$7="Evet","Kural A - Hemen Ödeme (Stok Mutabakatlı)","Kural B - Nakliye/Montaj Sonrası Ödeme"))</f>
        <v/>
      </c>
    </row>
    <row r="726">
      <c r="A726" s="23" t="n"/>
      <c r="B726" s="23" t="n"/>
      <c r="C726" s="23" t="n"/>
      <c r="D726" s="23" t="n"/>
      <c r="E726" s="23" t="n"/>
      <c r="F726" s="23" t="n"/>
      <c r="G726" s="23" t="n"/>
      <c r="H726" s="24" t="n"/>
      <c r="I726" s="23" t="n"/>
      <c r="J726" s="23" t="n"/>
      <c r="K726" s="23" t="n"/>
      <c r="L726" s="23" t="n"/>
      <c r="M726" s="23" t="n"/>
      <c r="N726" s="23" t="n"/>
      <c r="O726" s="23" t="n"/>
      <c r="P726" s="23" t="n"/>
      <c r="Q726" s="23" t="n"/>
      <c r="R726" s="23" t="n"/>
      <c r="S726" s="23" t="n"/>
      <c r="T726" s="23" t="n"/>
      <c r="U726" s="23" t="n"/>
      <c r="V726" s="23" t="n"/>
      <c r="W726" s="23" t="n"/>
      <c r="X726" s="23" t="n"/>
      <c r="Y726" s="25" t="n"/>
      <c r="Z726" s="25" t="n"/>
      <c r="AA726" s="23" t="n"/>
      <c r="AB726" s="25" t="n"/>
      <c r="AC726" s="23" t="n"/>
      <c r="AD726" s="25" t="n"/>
      <c r="AE726" s="23" t="n"/>
      <c r="AF726" s="25" t="n"/>
      <c r="AG726" s="25" t="n"/>
      <c r="AH726" s="23" t="n"/>
      <c r="AI726" s="23" t="n"/>
      <c r="AJ726" s="26">
        <f>IF(I726="","",I726&amp;"|"&amp;R726)</f>
        <v/>
      </c>
      <c r="AK726" s="26">
        <f>IF(I726="","",IF(ISNA(MATCH(O726,Kampanyalar!$A$2:$A$150,0)),"Hayır - Kampanyalar'da Yok","Evet"))</f>
        <v/>
      </c>
      <c r="AL726" s="27">
        <f>IF(I726="","",IFERROR(INDEX(Kampanyalar!$E$2:$E$150,MATCH(O726,Kampanyalar!$A$2:$A$150,0)),""))</f>
        <v/>
      </c>
      <c r="AM726" s="27">
        <f>IF(I726="","",IFERROR(INDEX(Kampanyalar!$F$2:$F$150,MATCH(O726,Kampanyalar!$A$2:$A$150,0)),""))</f>
        <v/>
      </c>
      <c r="AN726" s="27">
        <f>IF(I726="","",IFERROR(INDEX(Kampanyalar!$G$2:$G$150,MATCH(O726,Kampanyalar!$A$2:$A$150,0)),""))</f>
        <v/>
      </c>
      <c r="AO726" s="26">
        <f>IF(OR(I726="",AL726="",AM726=""),"",IF(AND(H726&gt;=AL726,H726&lt;=AM726),"Evet","HAYIR - Tarih Dışı"))</f>
        <v/>
      </c>
      <c r="AP726" s="28">
        <f>IF(I726="","",IFERROR(INDEX(Kampanyalar!$H$2:$H$150,MATCH(O726,Kampanyalar!$A$2:$A$150,0)),""))</f>
        <v/>
      </c>
      <c r="AQ726" s="28">
        <f>IF(I726="","",IF(ISNUMBER(AP726),AP726,AD726))</f>
        <v/>
      </c>
      <c r="AR726" s="26">
        <f>IF(I726="","",IF(Parametreler!$C$7="Evet","Kural A - Hemen Ödeme (Stok Mutabakatlı)","Kural B - Nakliye/Montaj Sonrası Ödeme"))</f>
        <v/>
      </c>
    </row>
    <row r="727">
      <c r="A727" s="23" t="n"/>
      <c r="B727" s="23" t="n"/>
      <c r="C727" s="23" t="n"/>
      <c r="D727" s="23" t="n"/>
      <c r="E727" s="23" t="n"/>
      <c r="F727" s="23" t="n"/>
      <c r="G727" s="23" t="n"/>
      <c r="H727" s="24" t="n"/>
      <c r="I727" s="23" t="n"/>
      <c r="J727" s="23" t="n"/>
      <c r="K727" s="23" t="n"/>
      <c r="L727" s="23" t="n"/>
      <c r="M727" s="23" t="n"/>
      <c r="N727" s="23" t="n"/>
      <c r="O727" s="23" t="n"/>
      <c r="P727" s="23" t="n"/>
      <c r="Q727" s="23" t="n"/>
      <c r="R727" s="23" t="n"/>
      <c r="S727" s="23" t="n"/>
      <c r="T727" s="23" t="n"/>
      <c r="U727" s="23" t="n"/>
      <c r="V727" s="23" t="n"/>
      <c r="W727" s="23" t="n"/>
      <c r="X727" s="23" t="n"/>
      <c r="Y727" s="25" t="n"/>
      <c r="Z727" s="25" t="n"/>
      <c r="AA727" s="23" t="n"/>
      <c r="AB727" s="25" t="n"/>
      <c r="AC727" s="23" t="n"/>
      <c r="AD727" s="25" t="n"/>
      <c r="AE727" s="23" t="n"/>
      <c r="AF727" s="25" t="n"/>
      <c r="AG727" s="25" t="n"/>
      <c r="AH727" s="23" t="n"/>
      <c r="AI727" s="23" t="n"/>
      <c r="AJ727" s="26">
        <f>IF(I727="","",I727&amp;"|"&amp;R727)</f>
        <v/>
      </c>
      <c r="AK727" s="26">
        <f>IF(I727="","",IF(ISNA(MATCH(O727,Kampanyalar!$A$2:$A$150,0)),"Hayır - Kampanyalar'da Yok","Evet"))</f>
        <v/>
      </c>
      <c r="AL727" s="27">
        <f>IF(I727="","",IFERROR(INDEX(Kampanyalar!$E$2:$E$150,MATCH(O727,Kampanyalar!$A$2:$A$150,0)),""))</f>
        <v/>
      </c>
      <c r="AM727" s="27">
        <f>IF(I727="","",IFERROR(INDEX(Kampanyalar!$F$2:$F$150,MATCH(O727,Kampanyalar!$A$2:$A$150,0)),""))</f>
        <v/>
      </c>
      <c r="AN727" s="27">
        <f>IF(I727="","",IFERROR(INDEX(Kampanyalar!$G$2:$G$150,MATCH(O727,Kampanyalar!$A$2:$A$150,0)),""))</f>
        <v/>
      </c>
      <c r="AO727" s="26">
        <f>IF(OR(I727="",AL727="",AM727=""),"",IF(AND(H727&gt;=AL727,H727&lt;=AM727),"Evet","HAYIR - Tarih Dışı"))</f>
        <v/>
      </c>
      <c r="AP727" s="28">
        <f>IF(I727="","",IFERROR(INDEX(Kampanyalar!$H$2:$H$150,MATCH(O727,Kampanyalar!$A$2:$A$150,0)),""))</f>
        <v/>
      </c>
      <c r="AQ727" s="28">
        <f>IF(I727="","",IF(ISNUMBER(AP727),AP727,AD727))</f>
        <v/>
      </c>
      <c r="AR727" s="26">
        <f>IF(I727="","",IF(Parametreler!$C$7="Evet","Kural A - Hemen Ödeme (Stok Mutabakatlı)","Kural B - Nakliye/Montaj Sonrası Ödeme"))</f>
        <v/>
      </c>
    </row>
    <row r="728">
      <c r="A728" s="23" t="n"/>
      <c r="B728" s="23" t="n"/>
      <c r="C728" s="23" t="n"/>
      <c r="D728" s="23" t="n"/>
      <c r="E728" s="23" t="n"/>
      <c r="F728" s="23" t="n"/>
      <c r="G728" s="23" t="n"/>
      <c r="H728" s="24" t="n"/>
      <c r="I728" s="23" t="n"/>
      <c r="J728" s="23" t="n"/>
      <c r="K728" s="23" t="n"/>
      <c r="L728" s="23" t="n"/>
      <c r="M728" s="23" t="n"/>
      <c r="N728" s="23" t="n"/>
      <c r="O728" s="23" t="n"/>
      <c r="P728" s="23" t="n"/>
      <c r="Q728" s="23" t="n"/>
      <c r="R728" s="23" t="n"/>
      <c r="S728" s="23" t="n"/>
      <c r="T728" s="23" t="n"/>
      <c r="U728" s="23" t="n"/>
      <c r="V728" s="23" t="n"/>
      <c r="W728" s="23" t="n"/>
      <c r="X728" s="23" t="n"/>
      <c r="Y728" s="25" t="n"/>
      <c r="Z728" s="25" t="n"/>
      <c r="AA728" s="23" t="n"/>
      <c r="AB728" s="25" t="n"/>
      <c r="AC728" s="23" t="n"/>
      <c r="AD728" s="25" t="n"/>
      <c r="AE728" s="23" t="n"/>
      <c r="AF728" s="25" t="n"/>
      <c r="AG728" s="25" t="n"/>
      <c r="AH728" s="23" t="n"/>
      <c r="AI728" s="23" t="n"/>
      <c r="AJ728" s="26">
        <f>IF(I728="","",I728&amp;"|"&amp;R728)</f>
        <v/>
      </c>
      <c r="AK728" s="26">
        <f>IF(I728="","",IF(ISNA(MATCH(O728,Kampanyalar!$A$2:$A$150,0)),"Hayır - Kampanyalar'da Yok","Evet"))</f>
        <v/>
      </c>
      <c r="AL728" s="27">
        <f>IF(I728="","",IFERROR(INDEX(Kampanyalar!$E$2:$E$150,MATCH(O728,Kampanyalar!$A$2:$A$150,0)),""))</f>
        <v/>
      </c>
      <c r="AM728" s="27">
        <f>IF(I728="","",IFERROR(INDEX(Kampanyalar!$F$2:$F$150,MATCH(O728,Kampanyalar!$A$2:$A$150,0)),""))</f>
        <v/>
      </c>
      <c r="AN728" s="27">
        <f>IF(I728="","",IFERROR(INDEX(Kampanyalar!$G$2:$G$150,MATCH(O728,Kampanyalar!$A$2:$A$150,0)),""))</f>
        <v/>
      </c>
      <c r="AO728" s="26">
        <f>IF(OR(I728="",AL728="",AM728=""),"",IF(AND(H728&gt;=AL728,H728&lt;=AM728),"Evet","HAYIR - Tarih Dışı"))</f>
        <v/>
      </c>
      <c r="AP728" s="28">
        <f>IF(I728="","",IFERROR(INDEX(Kampanyalar!$H$2:$H$150,MATCH(O728,Kampanyalar!$A$2:$A$150,0)),""))</f>
        <v/>
      </c>
      <c r="AQ728" s="28">
        <f>IF(I728="","",IF(ISNUMBER(AP728),AP728,AD728))</f>
        <v/>
      </c>
      <c r="AR728" s="26">
        <f>IF(I728="","",IF(Parametreler!$C$7="Evet","Kural A - Hemen Ödeme (Stok Mutabakatlı)","Kural B - Nakliye/Montaj Sonrası Ödeme"))</f>
        <v/>
      </c>
    </row>
    <row r="729">
      <c r="A729" s="23" t="n"/>
      <c r="B729" s="23" t="n"/>
      <c r="C729" s="23" t="n"/>
      <c r="D729" s="23" t="n"/>
      <c r="E729" s="23" t="n"/>
      <c r="F729" s="23" t="n"/>
      <c r="G729" s="23" t="n"/>
      <c r="H729" s="24" t="n"/>
      <c r="I729" s="23" t="n"/>
      <c r="J729" s="23" t="n"/>
      <c r="K729" s="23" t="n"/>
      <c r="L729" s="23" t="n"/>
      <c r="M729" s="23" t="n"/>
      <c r="N729" s="23" t="n"/>
      <c r="O729" s="23" t="n"/>
      <c r="P729" s="23" t="n"/>
      <c r="Q729" s="23" t="n"/>
      <c r="R729" s="23" t="n"/>
      <c r="S729" s="23" t="n"/>
      <c r="T729" s="23" t="n"/>
      <c r="U729" s="23" t="n"/>
      <c r="V729" s="23" t="n"/>
      <c r="W729" s="23" t="n"/>
      <c r="X729" s="23" t="n"/>
      <c r="Y729" s="25" t="n"/>
      <c r="Z729" s="25" t="n"/>
      <c r="AA729" s="23" t="n"/>
      <c r="AB729" s="25" t="n"/>
      <c r="AC729" s="23" t="n"/>
      <c r="AD729" s="25" t="n"/>
      <c r="AE729" s="23" t="n"/>
      <c r="AF729" s="25" t="n"/>
      <c r="AG729" s="25" t="n"/>
      <c r="AH729" s="23" t="n"/>
      <c r="AI729" s="23" t="n"/>
      <c r="AJ729" s="26">
        <f>IF(I729="","",I729&amp;"|"&amp;R729)</f>
        <v/>
      </c>
      <c r="AK729" s="26">
        <f>IF(I729="","",IF(ISNA(MATCH(O729,Kampanyalar!$A$2:$A$150,0)),"Hayır - Kampanyalar'da Yok","Evet"))</f>
        <v/>
      </c>
      <c r="AL729" s="27">
        <f>IF(I729="","",IFERROR(INDEX(Kampanyalar!$E$2:$E$150,MATCH(O729,Kampanyalar!$A$2:$A$150,0)),""))</f>
        <v/>
      </c>
      <c r="AM729" s="27">
        <f>IF(I729="","",IFERROR(INDEX(Kampanyalar!$F$2:$F$150,MATCH(O729,Kampanyalar!$A$2:$A$150,0)),""))</f>
        <v/>
      </c>
      <c r="AN729" s="27">
        <f>IF(I729="","",IFERROR(INDEX(Kampanyalar!$G$2:$G$150,MATCH(O729,Kampanyalar!$A$2:$A$150,0)),""))</f>
        <v/>
      </c>
      <c r="AO729" s="26">
        <f>IF(OR(I729="",AL729="",AM729=""),"",IF(AND(H729&gt;=AL729,H729&lt;=AM729),"Evet","HAYIR - Tarih Dışı"))</f>
        <v/>
      </c>
      <c r="AP729" s="28">
        <f>IF(I729="","",IFERROR(INDEX(Kampanyalar!$H$2:$H$150,MATCH(O729,Kampanyalar!$A$2:$A$150,0)),""))</f>
        <v/>
      </c>
      <c r="AQ729" s="28">
        <f>IF(I729="","",IF(ISNUMBER(AP729),AP729,AD729))</f>
        <v/>
      </c>
      <c r="AR729" s="26">
        <f>IF(I729="","",IF(Parametreler!$C$7="Evet","Kural A - Hemen Ödeme (Stok Mutabakatlı)","Kural B - Nakliye/Montaj Sonrası Ödeme"))</f>
        <v/>
      </c>
    </row>
    <row r="730">
      <c r="A730" s="23" t="n"/>
      <c r="B730" s="23" t="n"/>
      <c r="C730" s="23" t="n"/>
      <c r="D730" s="23" t="n"/>
      <c r="E730" s="23" t="n"/>
      <c r="F730" s="23" t="n"/>
      <c r="G730" s="23" t="n"/>
      <c r="H730" s="24" t="n"/>
      <c r="I730" s="23" t="n"/>
      <c r="J730" s="23" t="n"/>
      <c r="K730" s="23" t="n"/>
      <c r="L730" s="23" t="n"/>
      <c r="M730" s="23" t="n"/>
      <c r="N730" s="23" t="n"/>
      <c r="O730" s="23" t="n"/>
      <c r="P730" s="23" t="n"/>
      <c r="Q730" s="23" t="n"/>
      <c r="R730" s="23" t="n"/>
      <c r="S730" s="23" t="n"/>
      <c r="T730" s="23" t="n"/>
      <c r="U730" s="23" t="n"/>
      <c r="V730" s="23" t="n"/>
      <c r="W730" s="23" t="n"/>
      <c r="X730" s="23" t="n"/>
      <c r="Y730" s="25" t="n"/>
      <c r="Z730" s="25" t="n"/>
      <c r="AA730" s="23" t="n"/>
      <c r="AB730" s="25" t="n"/>
      <c r="AC730" s="23" t="n"/>
      <c r="AD730" s="25" t="n"/>
      <c r="AE730" s="23" t="n"/>
      <c r="AF730" s="25" t="n"/>
      <c r="AG730" s="25" t="n"/>
      <c r="AH730" s="23" t="n"/>
      <c r="AI730" s="23" t="n"/>
      <c r="AJ730" s="26">
        <f>IF(I730="","",I730&amp;"|"&amp;R730)</f>
        <v/>
      </c>
      <c r="AK730" s="26">
        <f>IF(I730="","",IF(ISNA(MATCH(O730,Kampanyalar!$A$2:$A$150,0)),"Hayır - Kampanyalar'da Yok","Evet"))</f>
        <v/>
      </c>
      <c r="AL730" s="27">
        <f>IF(I730="","",IFERROR(INDEX(Kampanyalar!$E$2:$E$150,MATCH(O730,Kampanyalar!$A$2:$A$150,0)),""))</f>
        <v/>
      </c>
      <c r="AM730" s="27">
        <f>IF(I730="","",IFERROR(INDEX(Kampanyalar!$F$2:$F$150,MATCH(O730,Kampanyalar!$A$2:$A$150,0)),""))</f>
        <v/>
      </c>
      <c r="AN730" s="27">
        <f>IF(I730="","",IFERROR(INDEX(Kampanyalar!$G$2:$G$150,MATCH(O730,Kampanyalar!$A$2:$A$150,0)),""))</f>
        <v/>
      </c>
      <c r="AO730" s="26">
        <f>IF(OR(I730="",AL730="",AM730=""),"",IF(AND(H730&gt;=AL730,H730&lt;=AM730),"Evet","HAYIR - Tarih Dışı"))</f>
        <v/>
      </c>
      <c r="AP730" s="28">
        <f>IF(I730="","",IFERROR(INDEX(Kampanyalar!$H$2:$H$150,MATCH(O730,Kampanyalar!$A$2:$A$150,0)),""))</f>
        <v/>
      </c>
      <c r="AQ730" s="28">
        <f>IF(I730="","",IF(ISNUMBER(AP730),AP730,AD730))</f>
        <v/>
      </c>
      <c r="AR730" s="26">
        <f>IF(I730="","",IF(Parametreler!$C$7="Evet","Kural A - Hemen Ödeme (Stok Mutabakatlı)","Kural B - Nakliye/Montaj Sonrası Ödeme"))</f>
        <v/>
      </c>
    </row>
    <row r="731">
      <c r="A731" s="23" t="n"/>
      <c r="B731" s="23" t="n"/>
      <c r="C731" s="23" t="n"/>
      <c r="D731" s="23" t="n"/>
      <c r="E731" s="23" t="n"/>
      <c r="F731" s="23" t="n"/>
      <c r="G731" s="23" t="n"/>
      <c r="H731" s="24" t="n"/>
      <c r="I731" s="23" t="n"/>
      <c r="J731" s="23" t="n"/>
      <c r="K731" s="23" t="n"/>
      <c r="L731" s="23" t="n"/>
      <c r="M731" s="23" t="n"/>
      <c r="N731" s="23" t="n"/>
      <c r="O731" s="23" t="n"/>
      <c r="P731" s="23" t="n"/>
      <c r="Q731" s="23" t="n"/>
      <c r="R731" s="23" t="n"/>
      <c r="S731" s="23" t="n"/>
      <c r="T731" s="23" t="n"/>
      <c r="U731" s="23" t="n"/>
      <c r="V731" s="23" t="n"/>
      <c r="W731" s="23" t="n"/>
      <c r="X731" s="23" t="n"/>
      <c r="Y731" s="25" t="n"/>
      <c r="Z731" s="25" t="n"/>
      <c r="AA731" s="23" t="n"/>
      <c r="AB731" s="25" t="n"/>
      <c r="AC731" s="23" t="n"/>
      <c r="AD731" s="25" t="n"/>
      <c r="AE731" s="23" t="n"/>
      <c r="AF731" s="25" t="n"/>
      <c r="AG731" s="25" t="n"/>
      <c r="AH731" s="23" t="n"/>
      <c r="AI731" s="23" t="n"/>
      <c r="AJ731" s="26">
        <f>IF(I731="","",I731&amp;"|"&amp;R731)</f>
        <v/>
      </c>
      <c r="AK731" s="26">
        <f>IF(I731="","",IF(ISNA(MATCH(O731,Kampanyalar!$A$2:$A$150,0)),"Hayır - Kampanyalar'da Yok","Evet"))</f>
        <v/>
      </c>
      <c r="AL731" s="27">
        <f>IF(I731="","",IFERROR(INDEX(Kampanyalar!$E$2:$E$150,MATCH(O731,Kampanyalar!$A$2:$A$150,0)),""))</f>
        <v/>
      </c>
      <c r="AM731" s="27">
        <f>IF(I731="","",IFERROR(INDEX(Kampanyalar!$F$2:$F$150,MATCH(O731,Kampanyalar!$A$2:$A$150,0)),""))</f>
        <v/>
      </c>
      <c r="AN731" s="27">
        <f>IF(I731="","",IFERROR(INDEX(Kampanyalar!$G$2:$G$150,MATCH(O731,Kampanyalar!$A$2:$A$150,0)),""))</f>
        <v/>
      </c>
      <c r="AO731" s="26">
        <f>IF(OR(I731="",AL731="",AM731=""),"",IF(AND(H731&gt;=AL731,H731&lt;=AM731),"Evet","HAYIR - Tarih Dışı"))</f>
        <v/>
      </c>
      <c r="AP731" s="28">
        <f>IF(I731="","",IFERROR(INDEX(Kampanyalar!$H$2:$H$150,MATCH(O731,Kampanyalar!$A$2:$A$150,0)),""))</f>
        <v/>
      </c>
      <c r="AQ731" s="28">
        <f>IF(I731="","",IF(ISNUMBER(AP731),AP731,AD731))</f>
        <v/>
      </c>
      <c r="AR731" s="26">
        <f>IF(I731="","",IF(Parametreler!$C$7="Evet","Kural A - Hemen Ödeme (Stok Mutabakatlı)","Kural B - Nakliye/Montaj Sonrası Ödeme"))</f>
        <v/>
      </c>
    </row>
    <row r="732">
      <c r="A732" s="23" t="n"/>
      <c r="B732" s="23" t="n"/>
      <c r="C732" s="23" t="n"/>
      <c r="D732" s="23" t="n"/>
      <c r="E732" s="23" t="n"/>
      <c r="F732" s="23" t="n"/>
      <c r="G732" s="23" t="n"/>
      <c r="H732" s="24" t="n"/>
      <c r="I732" s="23" t="n"/>
      <c r="J732" s="23" t="n"/>
      <c r="K732" s="23" t="n"/>
      <c r="L732" s="23" t="n"/>
      <c r="M732" s="23" t="n"/>
      <c r="N732" s="23" t="n"/>
      <c r="O732" s="23" t="n"/>
      <c r="P732" s="23" t="n"/>
      <c r="Q732" s="23" t="n"/>
      <c r="R732" s="23" t="n"/>
      <c r="S732" s="23" t="n"/>
      <c r="T732" s="23" t="n"/>
      <c r="U732" s="23" t="n"/>
      <c r="V732" s="23" t="n"/>
      <c r="W732" s="23" t="n"/>
      <c r="X732" s="23" t="n"/>
      <c r="Y732" s="25" t="n"/>
      <c r="Z732" s="25" t="n"/>
      <c r="AA732" s="23" t="n"/>
      <c r="AB732" s="25" t="n"/>
      <c r="AC732" s="23" t="n"/>
      <c r="AD732" s="25" t="n"/>
      <c r="AE732" s="23" t="n"/>
      <c r="AF732" s="25" t="n"/>
      <c r="AG732" s="25" t="n"/>
      <c r="AH732" s="23" t="n"/>
      <c r="AI732" s="23" t="n"/>
      <c r="AJ732" s="26">
        <f>IF(I732="","",I732&amp;"|"&amp;R732)</f>
        <v/>
      </c>
      <c r="AK732" s="26">
        <f>IF(I732="","",IF(ISNA(MATCH(O732,Kampanyalar!$A$2:$A$150,0)),"Hayır - Kampanyalar'da Yok","Evet"))</f>
        <v/>
      </c>
      <c r="AL732" s="27">
        <f>IF(I732="","",IFERROR(INDEX(Kampanyalar!$E$2:$E$150,MATCH(O732,Kampanyalar!$A$2:$A$150,0)),""))</f>
        <v/>
      </c>
      <c r="AM732" s="27">
        <f>IF(I732="","",IFERROR(INDEX(Kampanyalar!$F$2:$F$150,MATCH(O732,Kampanyalar!$A$2:$A$150,0)),""))</f>
        <v/>
      </c>
      <c r="AN732" s="27">
        <f>IF(I732="","",IFERROR(INDEX(Kampanyalar!$G$2:$G$150,MATCH(O732,Kampanyalar!$A$2:$A$150,0)),""))</f>
        <v/>
      </c>
      <c r="AO732" s="26">
        <f>IF(OR(I732="",AL732="",AM732=""),"",IF(AND(H732&gt;=AL732,H732&lt;=AM732),"Evet","HAYIR - Tarih Dışı"))</f>
        <v/>
      </c>
      <c r="AP732" s="28">
        <f>IF(I732="","",IFERROR(INDEX(Kampanyalar!$H$2:$H$150,MATCH(O732,Kampanyalar!$A$2:$A$150,0)),""))</f>
        <v/>
      </c>
      <c r="AQ732" s="28">
        <f>IF(I732="","",IF(ISNUMBER(AP732),AP732,AD732))</f>
        <v/>
      </c>
      <c r="AR732" s="26">
        <f>IF(I732="","",IF(Parametreler!$C$7="Evet","Kural A - Hemen Ödeme (Stok Mutabakatlı)","Kural B - Nakliye/Montaj Sonrası Ödeme"))</f>
        <v/>
      </c>
    </row>
    <row r="733">
      <c r="A733" s="23" t="n"/>
      <c r="B733" s="23" t="n"/>
      <c r="C733" s="23" t="n"/>
      <c r="D733" s="23" t="n"/>
      <c r="E733" s="23" t="n"/>
      <c r="F733" s="23" t="n"/>
      <c r="G733" s="23" t="n"/>
      <c r="H733" s="24" t="n"/>
      <c r="I733" s="23" t="n"/>
      <c r="J733" s="23" t="n"/>
      <c r="K733" s="23" t="n"/>
      <c r="L733" s="23" t="n"/>
      <c r="M733" s="23" t="n"/>
      <c r="N733" s="23" t="n"/>
      <c r="O733" s="23" t="n"/>
      <c r="P733" s="23" t="n"/>
      <c r="Q733" s="23" t="n"/>
      <c r="R733" s="23" t="n"/>
      <c r="S733" s="23" t="n"/>
      <c r="T733" s="23" t="n"/>
      <c r="U733" s="23" t="n"/>
      <c r="V733" s="23" t="n"/>
      <c r="W733" s="23" t="n"/>
      <c r="X733" s="23" t="n"/>
      <c r="Y733" s="25" t="n"/>
      <c r="Z733" s="25" t="n"/>
      <c r="AA733" s="23" t="n"/>
      <c r="AB733" s="25" t="n"/>
      <c r="AC733" s="23" t="n"/>
      <c r="AD733" s="25" t="n"/>
      <c r="AE733" s="23" t="n"/>
      <c r="AF733" s="25" t="n"/>
      <c r="AG733" s="25" t="n"/>
      <c r="AH733" s="23" t="n"/>
      <c r="AI733" s="23" t="n"/>
      <c r="AJ733" s="26">
        <f>IF(I733="","",I733&amp;"|"&amp;R733)</f>
        <v/>
      </c>
      <c r="AK733" s="26">
        <f>IF(I733="","",IF(ISNA(MATCH(O733,Kampanyalar!$A$2:$A$150,0)),"Hayır - Kampanyalar'da Yok","Evet"))</f>
        <v/>
      </c>
      <c r="AL733" s="27">
        <f>IF(I733="","",IFERROR(INDEX(Kampanyalar!$E$2:$E$150,MATCH(O733,Kampanyalar!$A$2:$A$150,0)),""))</f>
        <v/>
      </c>
      <c r="AM733" s="27">
        <f>IF(I733="","",IFERROR(INDEX(Kampanyalar!$F$2:$F$150,MATCH(O733,Kampanyalar!$A$2:$A$150,0)),""))</f>
        <v/>
      </c>
      <c r="AN733" s="27">
        <f>IF(I733="","",IFERROR(INDEX(Kampanyalar!$G$2:$G$150,MATCH(O733,Kampanyalar!$A$2:$A$150,0)),""))</f>
        <v/>
      </c>
      <c r="AO733" s="26">
        <f>IF(OR(I733="",AL733="",AM733=""),"",IF(AND(H733&gt;=AL733,H733&lt;=AM733),"Evet","HAYIR - Tarih Dışı"))</f>
        <v/>
      </c>
      <c r="AP733" s="28">
        <f>IF(I733="","",IFERROR(INDEX(Kampanyalar!$H$2:$H$150,MATCH(O733,Kampanyalar!$A$2:$A$150,0)),""))</f>
        <v/>
      </c>
      <c r="AQ733" s="28">
        <f>IF(I733="","",IF(ISNUMBER(AP733),AP733,AD733))</f>
        <v/>
      </c>
      <c r="AR733" s="26">
        <f>IF(I733="","",IF(Parametreler!$C$7="Evet","Kural A - Hemen Ödeme (Stok Mutabakatlı)","Kural B - Nakliye/Montaj Sonrası Ödeme"))</f>
        <v/>
      </c>
    </row>
    <row r="734">
      <c r="A734" s="23" t="n"/>
      <c r="B734" s="23" t="n"/>
      <c r="C734" s="23" t="n"/>
      <c r="D734" s="23" t="n"/>
      <c r="E734" s="23" t="n"/>
      <c r="F734" s="23" t="n"/>
      <c r="G734" s="23" t="n"/>
      <c r="H734" s="24" t="n"/>
      <c r="I734" s="23" t="n"/>
      <c r="J734" s="23" t="n"/>
      <c r="K734" s="23" t="n"/>
      <c r="L734" s="23" t="n"/>
      <c r="M734" s="23" t="n"/>
      <c r="N734" s="23" t="n"/>
      <c r="O734" s="23" t="n"/>
      <c r="P734" s="23" t="n"/>
      <c r="Q734" s="23" t="n"/>
      <c r="R734" s="23" t="n"/>
      <c r="S734" s="23" t="n"/>
      <c r="T734" s="23" t="n"/>
      <c r="U734" s="23" t="n"/>
      <c r="V734" s="23" t="n"/>
      <c r="W734" s="23" t="n"/>
      <c r="X734" s="23" t="n"/>
      <c r="Y734" s="25" t="n"/>
      <c r="Z734" s="25" t="n"/>
      <c r="AA734" s="23" t="n"/>
      <c r="AB734" s="25" t="n"/>
      <c r="AC734" s="23" t="n"/>
      <c r="AD734" s="25" t="n"/>
      <c r="AE734" s="23" t="n"/>
      <c r="AF734" s="25" t="n"/>
      <c r="AG734" s="25" t="n"/>
      <c r="AH734" s="23" t="n"/>
      <c r="AI734" s="23" t="n"/>
      <c r="AJ734" s="26">
        <f>IF(I734="","",I734&amp;"|"&amp;R734)</f>
        <v/>
      </c>
      <c r="AK734" s="26">
        <f>IF(I734="","",IF(ISNA(MATCH(O734,Kampanyalar!$A$2:$A$150,0)),"Hayır - Kampanyalar'da Yok","Evet"))</f>
        <v/>
      </c>
      <c r="AL734" s="27">
        <f>IF(I734="","",IFERROR(INDEX(Kampanyalar!$E$2:$E$150,MATCH(O734,Kampanyalar!$A$2:$A$150,0)),""))</f>
        <v/>
      </c>
      <c r="AM734" s="27">
        <f>IF(I734="","",IFERROR(INDEX(Kampanyalar!$F$2:$F$150,MATCH(O734,Kampanyalar!$A$2:$A$150,0)),""))</f>
        <v/>
      </c>
      <c r="AN734" s="27">
        <f>IF(I734="","",IFERROR(INDEX(Kampanyalar!$G$2:$G$150,MATCH(O734,Kampanyalar!$A$2:$A$150,0)),""))</f>
        <v/>
      </c>
      <c r="AO734" s="26">
        <f>IF(OR(I734="",AL734="",AM734=""),"",IF(AND(H734&gt;=AL734,H734&lt;=AM734),"Evet","HAYIR - Tarih Dışı"))</f>
        <v/>
      </c>
      <c r="AP734" s="28">
        <f>IF(I734="","",IFERROR(INDEX(Kampanyalar!$H$2:$H$150,MATCH(O734,Kampanyalar!$A$2:$A$150,0)),""))</f>
        <v/>
      </c>
      <c r="AQ734" s="28">
        <f>IF(I734="","",IF(ISNUMBER(AP734),AP734,AD734))</f>
        <v/>
      </c>
      <c r="AR734" s="26">
        <f>IF(I734="","",IF(Parametreler!$C$7="Evet","Kural A - Hemen Ödeme (Stok Mutabakatlı)","Kural B - Nakliye/Montaj Sonrası Ödeme"))</f>
        <v/>
      </c>
    </row>
    <row r="735">
      <c r="A735" s="23" t="n"/>
      <c r="B735" s="23" t="n"/>
      <c r="C735" s="23" t="n"/>
      <c r="D735" s="23" t="n"/>
      <c r="E735" s="23" t="n"/>
      <c r="F735" s="23" t="n"/>
      <c r="G735" s="23" t="n"/>
      <c r="H735" s="24" t="n"/>
      <c r="I735" s="23" t="n"/>
      <c r="J735" s="23" t="n"/>
      <c r="K735" s="23" t="n"/>
      <c r="L735" s="23" t="n"/>
      <c r="M735" s="23" t="n"/>
      <c r="N735" s="23" t="n"/>
      <c r="O735" s="23" t="n"/>
      <c r="P735" s="23" t="n"/>
      <c r="Q735" s="23" t="n"/>
      <c r="R735" s="23" t="n"/>
      <c r="S735" s="23" t="n"/>
      <c r="T735" s="23" t="n"/>
      <c r="U735" s="23" t="n"/>
      <c r="V735" s="23" t="n"/>
      <c r="W735" s="23" t="n"/>
      <c r="X735" s="23" t="n"/>
      <c r="Y735" s="25" t="n"/>
      <c r="Z735" s="25" t="n"/>
      <c r="AA735" s="23" t="n"/>
      <c r="AB735" s="25" t="n"/>
      <c r="AC735" s="23" t="n"/>
      <c r="AD735" s="25" t="n"/>
      <c r="AE735" s="23" t="n"/>
      <c r="AF735" s="25" t="n"/>
      <c r="AG735" s="25" t="n"/>
      <c r="AH735" s="23" t="n"/>
      <c r="AI735" s="23" t="n"/>
      <c r="AJ735" s="26">
        <f>IF(I735="","",I735&amp;"|"&amp;R735)</f>
        <v/>
      </c>
      <c r="AK735" s="26">
        <f>IF(I735="","",IF(ISNA(MATCH(O735,Kampanyalar!$A$2:$A$150,0)),"Hayır - Kampanyalar'da Yok","Evet"))</f>
        <v/>
      </c>
      <c r="AL735" s="27">
        <f>IF(I735="","",IFERROR(INDEX(Kampanyalar!$E$2:$E$150,MATCH(O735,Kampanyalar!$A$2:$A$150,0)),""))</f>
        <v/>
      </c>
      <c r="AM735" s="27">
        <f>IF(I735="","",IFERROR(INDEX(Kampanyalar!$F$2:$F$150,MATCH(O735,Kampanyalar!$A$2:$A$150,0)),""))</f>
        <v/>
      </c>
      <c r="AN735" s="27">
        <f>IF(I735="","",IFERROR(INDEX(Kampanyalar!$G$2:$G$150,MATCH(O735,Kampanyalar!$A$2:$A$150,0)),""))</f>
        <v/>
      </c>
      <c r="AO735" s="26">
        <f>IF(OR(I735="",AL735="",AM735=""),"",IF(AND(H735&gt;=AL735,H735&lt;=AM735),"Evet","HAYIR - Tarih Dışı"))</f>
        <v/>
      </c>
      <c r="AP735" s="28">
        <f>IF(I735="","",IFERROR(INDEX(Kampanyalar!$H$2:$H$150,MATCH(O735,Kampanyalar!$A$2:$A$150,0)),""))</f>
        <v/>
      </c>
      <c r="AQ735" s="28">
        <f>IF(I735="","",IF(ISNUMBER(AP735),AP735,AD735))</f>
        <v/>
      </c>
      <c r="AR735" s="26">
        <f>IF(I735="","",IF(Parametreler!$C$7="Evet","Kural A - Hemen Ödeme (Stok Mutabakatlı)","Kural B - Nakliye/Montaj Sonrası Ödeme"))</f>
        <v/>
      </c>
    </row>
    <row r="736">
      <c r="A736" s="23" t="n"/>
      <c r="B736" s="23" t="n"/>
      <c r="C736" s="23" t="n"/>
      <c r="D736" s="23" t="n"/>
      <c r="E736" s="23" t="n"/>
      <c r="F736" s="23" t="n"/>
      <c r="G736" s="23" t="n"/>
      <c r="H736" s="24" t="n"/>
      <c r="I736" s="23" t="n"/>
      <c r="J736" s="23" t="n"/>
      <c r="K736" s="23" t="n"/>
      <c r="L736" s="23" t="n"/>
      <c r="M736" s="23" t="n"/>
      <c r="N736" s="23" t="n"/>
      <c r="O736" s="23" t="n"/>
      <c r="P736" s="23" t="n"/>
      <c r="Q736" s="23" t="n"/>
      <c r="R736" s="23" t="n"/>
      <c r="S736" s="23" t="n"/>
      <c r="T736" s="23" t="n"/>
      <c r="U736" s="23" t="n"/>
      <c r="V736" s="23" t="n"/>
      <c r="W736" s="23" t="n"/>
      <c r="X736" s="23" t="n"/>
      <c r="Y736" s="25" t="n"/>
      <c r="Z736" s="25" t="n"/>
      <c r="AA736" s="23" t="n"/>
      <c r="AB736" s="25" t="n"/>
      <c r="AC736" s="23" t="n"/>
      <c r="AD736" s="25" t="n"/>
      <c r="AE736" s="23" t="n"/>
      <c r="AF736" s="25" t="n"/>
      <c r="AG736" s="25" t="n"/>
      <c r="AH736" s="23" t="n"/>
      <c r="AI736" s="23" t="n"/>
      <c r="AJ736" s="26">
        <f>IF(I736="","",I736&amp;"|"&amp;R736)</f>
        <v/>
      </c>
      <c r="AK736" s="26">
        <f>IF(I736="","",IF(ISNA(MATCH(O736,Kampanyalar!$A$2:$A$150,0)),"Hayır - Kampanyalar'da Yok","Evet"))</f>
        <v/>
      </c>
      <c r="AL736" s="27">
        <f>IF(I736="","",IFERROR(INDEX(Kampanyalar!$E$2:$E$150,MATCH(O736,Kampanyalar!$A$2:$A$150,0)),""))</f>
        <v/>
      </c>
      <c r="AM736" s="27">
        <f>IF(I736="","",IFERROR(INDEX(Kampanyalar!$F$2:$F$150,MATCH(O736,Kampanyalar!$A$2:$A$150,0)),""))</f>
        <v/>
      </c>
      <c r="AN736" s="27">
        <f>IF(I736="","",IFERROR(INDEX(Kampanyalar!$G$2:$G$150,MATCH(O736,Kampanyalar!$A$2:$A$150,0)),""))</f>
        <v/>
      </c>
      <c r="AO736" s="26">
        <f>IF(OR(I736="",AL736="",AM736=""),"",IF(AND(H736&gt;=AL736,H736&lt;=AM736),"Evet","HAYIR - Tarih Dışı"))</f>
        <v/>
      </c>
      <c r="AP736" s="28">
        <f>IF(I736="","",IFERROR(INDEX(Kampanyalar!$H$2:$H$150,MATCH(O736,Kampanyalar!$A$2:$A$150,0)),""))</f>
        <v/>
      </c>
      <c r="AQ736" s="28">
        <f>IF(I736="","",IF(ISNUMBER(AP736),AP736,AD736))</f>
        <v/>
      </c>
      <c r="AR736" s="26">
        <f>IF(I736="","",IF(Parametreler!$C$7="Evet","Kural A - Hemen Ödeme (Stok Mutabakatlı)","Kural B - Nakliye/Montaj Sonrası Ödeme"))</f>
        <v/>
      </c>
    </row>
    <row r="737">
      <c r="A737" s="23" t="n"/>
      <c r="B737" s="23" t="n"/>
      <c r="C737" s="23" t="n"/>
      <c r="D737" s="23" t="n"/>
      <c r="E737" s="23" t="n"/>
      <c r="F737" s="23" t="n"/>
      <c r="G737" s="23" t="n"/>
      <c r="H737" s="24" t="n"/>
      <c r="I737" s="23" t="n"/>
      <c r="J737" s="23" t="n"/>
      <c r="K737" s="23" t="n"/>
      <c r="L737" s="23" t="n"/>
      <c r="M737" s="23" t="n"/>
      <c r="N737" s="23" t="n"/>
      <c r="O737" s="23" t="n"/>
      <c r="P737" s="23" t="n"/>
      <c r="Q737" s="23" t="n"/>
      <c r="R737" s="23" t="n"/>
      <c r="S737" s="23" t="n"/>
      <c r="T737" s="23" t="n"/>
      <c r="U737" s="23" t="n"/>
      <c r="V737" s="23" t="n"/>
      <c r="W737" s="23" t="n"/>
      <c r="X737" s="23" t="n"/>
      <c r="Y737" s="25" t="n"/>
      <c r="Z737" s="25" t="n"/>
      <c r="AA737" s="23" t="n"/>
      <c r="AB737" s="25" t="n"/>
      <c r="AC737" s="23" t="n"/>
      <c r="AD737" s="25" t="n"/>
      <c r="AE737" s="23" t="n"/>
      <c r="AF737" s="25" t="n"/>
      <c r="AG737" s="25" t="n"/>
      <c r="AH737" s="23" t="n"/>
      <c r="AI737" s="23" t="n"/>
      <c r="AJ737" s="26">
        <f>IF(I737="","",I737&amp;"|"&amp;R737)</f>
        <v/>
      </c>
      <c r="AK737" s="26">
        <f>IF(I737="","",IF(ISNA(MATCH(O737,Kampanyalar!$A$2:$A$150,0)),"Hayır - Kampanyalar'da Yok","Evet"))</f>
        <v/>
      </c>
      <c r="AL737" s="27">
        <f>IF(I737="","",IFERROR(INDEX(Kampanyalar!$E$2:$E$150,MATCH(O737,Kampanyalar!$A$2:$A$150,0)),""))</f>
        <v/>
      </c>
      <c r="AM737" s="27">
        <f>IF(I737="","",IFERROR(INDEX(Kampanyalar!$F$2:$F$150,MATCH(O737,Kampanyalar!$A$2:$A$150,0)),""))</f>
        <v/>
      </c>
      <c r="AN737" s="27">
        <f>IF(I737="","",IFERROR(INDEX(Kampanyalar!$G$2:$G$150,MATCH(O737,Kampanyalar!$A$2:$A$150,0)),""))</f>
        <v/>
      </c>
      <c r="AO737" s="26">
        <f>IF(OR(I737="",AL737="",AM737=""),"",IF(AND(H737&gt;=AL737,H737&lt;=AM737),"Evet","HAYIR - Tarih Dışı"))</f>
        <v/>
      </c>
      <c r="AP737" s="28">
        <f>IF(I737="","",IFERROR(INDEX(Kampanyalar!$H$2:$H$150,MATCH(O737,Kampanyalar!$A$2:$A$150,0)),""))</f>
        <v/>
      </c>
      <c r="AQ737" s="28">
        <f>IF(I737="","",IF(ISNUMBER(AP737),AP737,AD737))</f>
        <v/>
      </c>
      <c r="AR737" s="26">
        <f>IF(I737="","",IF(Parametreler!$C$7="Evet","Kural A - Hemen Ödeme (Stok Mutabakatlı)","Kural B - Nakliye/Montaj Sonrası Ödeme"))</f>
        <v/>
      </c>
    </row>
    <row r="738">
      <c r="A738" s="23" t="n"/>
      <c r="B738" s="23" t="n"/>
      <c r="C738" s="23" t="n"/>
      <c r="D738" s="23" t="n"/>
      <c r="E738" s="23" t="n"/>
      <c r="F738" s="23" t="n"/>
      <c r="G738" s="23" t="n"/>
      <c r="H738" s="24" t="n"/>
      <c r="I738" s="23" t="n"/>
      <c r="J738" s="23" t="n"/>
      <c r="K738" s="23" t="n"/>
      <c r="L738" s="23" t="n"/>
      <c r="M738" s="23" t="n"/>
      <c r="N738" s="23" t="n"/>
      <c r="O738" s="23" t="n"/>
      <c r="P738" s="23" t="n"/>
      <c r="Q738" s="23" t="n"/>
      <c r="R738" s="23" t="n"/>
      <c r="S738" s="23" t="n"/>
      <c r="T738" s="23" t="n"/>
      <c r="U738" s="23" t="n"/>
      <c r="V738" s="23" t="n"/>
      <c r="W738" s="23" t="n"/>
      <c r="X738" s="23" t="n"/>
      <c r="Y738" s="25" t="n"/>
      <c r="Z738" s="25" t="n"/>
      <c r="AA738" s="23" t="n"/>
      <c r="AB738" s="25" t="n"/>
      <c r="AC738" s="23" t="n"/>
      <c r="AD738" s="25" t="n"/>
      <c r="AE738" s="23" t="n"/>
      <c r="AF738" s="25" t="n"/>
      <c r="AG738" s="25" t="n"/>
      <c r="AH738" s="23" t="n"/>
      <c r="AI738" s="23" t="n"/>
      <c r="AJ738" s="26">
        <f>IF(I738="","",I738&amp;"|"&amp;R738)</f>
        <v/>
      </c>
      <c r="AK738" s="26">
        <f>IF(I738="","",IF(ISNA(MATCH(O738,Kampanyalar!$A$2:$A$150,0)),"Hayır - Kampanyalar'da Yok","Evet"))</f>
        <v/>
      </c>
      <c r="AL738" s="27">
        <f>IF(I738="","",IFERROR(INDEX(Kampanyalar!$E$2:$E$150,MATCH(O738,Kampanyalar!$A$2:$A$150,0)),""))</f>
        <v/>
      </c>
      <c r="AM738" s="27">
        <f>IF(I738="","",IFERROR(INDEX(Kampanyalar!$F$2:$F$150,MATCH(O738,Kampanyalar!$A$2:$A$150,0)),""))</f>
        <v/>
      </c>
      <c r="AN738" s="27">
        <f>IF(I738="","",IFERROR(INDEX(Kampanyalar!$G$2:$G$150,MATCH(O738,Kampanyalar!$A$2:$A$150,0)),""))</f>
        <v/>
      </c>
      <c r="AO738" s="26">
        <f>IF(OR(I738="",AL738="",AM738=""),"",IF(AND(H738&gt;=AL738,H738&lt;=AM738),"Evet","HAYIR - Tarih Dışı"))</f>
        <v/>
      </c>
      <c r="AP738" s="28">
        <f>IF(I738="","",IFERROR(INDEX(Kampanyalar!$H$2:$H$150,MATCH(O738,Kampanyalar!$A$2:$A$150,0)),""))</f>
        <v/>
      </c>
      <c r="AQ738" s="28">
        <f>IF(I738="","",IF(ISNUMBER(AP738),AP738,AD738))</f>
        <v/>
      </c>
      <c r="AR738" s="26">
        <f>IF(I738="","",IF(Parametreler!$C$7="Evet","Kural A - Hemen Ödeme (Stok Mutabakatlı)","Kural B - Nakliye/Montaj Sonrası Ödeme"))</f>
        <v/>
      </c>
    </row>
    <row r="739">
      <c r="A739" s="23" t="n"/>
      <c r="B739" s="23" t="n"/>
      <c r="C739" s="23" t="n"/>
      <c r="D739" s="23" t="n"/>
      <c r="E739" s="23" t="n"/>
      <c r="F739" s="23" t="n"/>
      <c r="G739" s="23" t="n"/>
      <c r="H739" s="24" t="n"/>
      <c r="I739" s="23" t="n"/>
      <c r="J739" s="23" t="n"/>
      <c r="K739" s="23" t="n"/>
      <c r="L739" s="23" t="n"/>
      <c r="M739" s="23" t="n"/>
      <c r="N739" s="23" t="n"/>
      <c r="O739" s="23" t="n"/>
      <c r="P739" s="23" t="n"/>
      <c r="Q739" s="23" t="n"/>
      <c r="R739" s="23" t="n"/>
      <c r="S739" s="23" t="n"/>
      <c r="T739" s="23" t="n"/>
      <c r="U739" s="23" t="n"/>
      <c r="V739" s="23" t="n"/>
      <c r="W739" s="23" t="n"/>
      <c r="X739" s="23" t="n"/>
      <c r="Y739" s="25" t="n"/>
      <c r="Z739" s="25" t="n"/>
      <c r="AA739" s="23" t="n"/>
      <c r="AB739" s="25" t="n"/>
      <c r="AC739" s="23" t="n"/>
      <c r="AD739" s="25" t="n"/>
      <c r="AE739" s="23" t="n"/>
      <c r="AF739" s="25" t="n"/>
      <c r="AG739" s="25" t="n"/>
      <c r="AH739" s="23" t="n"/>
      <c r="AI739" s="23" t="n"/>
      <c r="AJ739" s="26">
        <f>IF(I739="","",I739&amp;"|"&amp;R739)</f>
        <v/>
      </c>
      <c r="AK739" s="26">
        <f>IF(I739="","",IF(ISNA(MATCH(O739,Kampanyalar!$A$2:$A$150,0)),"Hayır - Kampanyalar'da Yok","Evet"))</f>
        <v/>
      </c>
      <c r="AL739" s="27">
        <f>IF(I739="","",IFERROR(INDEX(Kampanyalar!$E$2:$E$150,MATCH(O739,Kampanyalar!$A$2:$A$150,0)),""))</f>
        <v/>
      </c>
      <c r="AM739" s="27">
        <f>IF(I739="","",IFERROR(INDEX(Kampanyalar!$F$2:$F$150,MATCH(O739,Kampanyalar!$A$2:$A$150,0)),""))</f>
        <v/>
      </c>
      <c r="AN739" s="27">
        <f>IF(I739="","",IFERROR(INDEX(Kampanyalar!$G$2:$G$150,MATCH(O739,Kampanyalar!$A$2:$A$150,0)),""))</f>
        <v/>
      </c>
      <c r="AO739" s="26">
        <f>IF(OR(I739="",AL739="",AM739=""),"",IF(AND(H739&gt;=AL739,H739&lt;=AM739),"Evet","HAYIR - Tarih Dışı"))</f>
        <v/>
      </c>
      <c r="AP739" s="28">
        <f>IF(I739="","",IFERROR(INDEX(Kampanyalar!$H$2:$H$150,MATCH(O739,Kampanyalar!$A$2:$A$150,0)),""))</f>
        <v/>
      </c>
      <c r="AQ739" s="28">
        <f>IF(I739="","",IF(ISNUMBER(AP739),AP739,AD739))</f>
        <v/>
      </c>
      <c r="AR739" s="26">
        <f>IF(I739="","",IF(Parametreler!$C$7="Evet","Kural A - Hemen Ödeme (Stok Mutabakatlı)","Kural B - Nakliye/Montaj Sonrası Ödeme"))</f>
        <v/>
      </c>
    </row>
    <row r="740">
      <c r="A740" s="23" t="n"/>
      <c r="B740" s="23" t="n"/>
      <c r="C740" s="23" t="n"/>
      <c r="D740" s="23" t="n"/>
      <c r="E740" s="23" t="n"/>
      <c r="F740" s="23" t="n"/>
      <c r="G740" s="23" t="n"/>
      <c r="H740" s="24" t="n"/>
      <c r="I740" s="23" t="n"/>
      <c r="J740" s="23" t="n"/>
      <c r="K740" s="23" t="n"/>
      <c r="L740" s="23" t="n"/>
      <c r="M740" s="23" t="n"/>
      <c r="N740" s="23" t="n"/>
      <c r="O740" s="23" t="n"/>
      <c r="P740" s="23" t="n"/>
      <c r="Q740" s="23" t="n"/>
      <c r="R740" s="23" t="n"/>
      <c r="S740" s="23" t="n"/>
      <c r="T740" s="23" t="n"/>
      <c r="U740" s="23" t="n"/>
      <c r="V740" s="23" t="n"/>
      <c r="W740" s="23" t="n"/>
      <c r="X740" s="23" t="n"/>
      <c r="Y740" s="25" t="n"/>
      <c r="Z740" s="25" t="n"/>
      <c r="AA740" s="23" t="n"/>
      <c r="AB740" s="25" t="n"/>
      <c r="AC740" s="23" t="n"/>
      <c r="AD740" s="25" t="n"/>
      <c r="AE740" s="23" t="n"/>
      <c r="AF740" s="25" t="n"/>
      <c r="AG740" s="25" t="n"/>
      <c r="AH740" s="23" t="n"/>
      <c r="AI740" s="23" t="n"/>
      <c r="AJ740" s="26">
        <f>IF(I740="","",I740&amp;"|"&amp;R740)</f>
        <v/>
      </c>
      <c r="AK740" s="26">
        <f>IF(I740="","",IF(ISNA(MATCH(O740,Kampanyalar!$A$2:$A$150,0)),"Hayır - Kampanyalar'da Yok","Evet"))</f>
        <v/>
      </c>
      <c r="AL740" s="27">
        <f>IF(I740="","",IFERROR(INDEX(Kampanyalar!$E$2:$E$150,MATCH(O740,Kampanyalar!$A$2:$A$150,0)),""))</f>
        <v/>
      </c>
      <c r="AM740" s="27">
        <f>IF(I740="","",IFERROR(INDEX(Kampanyalar!$F$2:$F$150,MATCH(O740,Kampanyalar!$A$2:$A$150,0)),""))</f>
        <v/>
      </c>
      <c r="AN740" s="27">
        <f>IF(I740="","",IFERROR(INDEX(Kampanyalar!$G$2:$G$150,MATCH(O740,Kampanyalar!$A$2:$A$150,0)),""))</f>
        <v/>
      </c>
      <c r="AO740" s="26">
        <f>IF(OR(I740="",AL740="",AM740=""),"",IF(AND(H740&gt;=AL740,H740&lt;=AM740),"Evet","HAYIR - Tarih Dışı"))</f>
        <v/>
      </c>
      <c r="AP740" s="28">
        <f>IF(I740="","",IFERROR(INDEX(Kampanyalar!$H$2:$H$150,MATCH(O740,Kampanyalar!$A$2:$A$150,0)),""))</f>
        <v/>
      </c>
      <c r="AQ740" s="28">
        <f>IF(I740="","",IF(ISNUMBER(AP740),AP740,AD740))</f>
        <v/>
      </c>
      <c r="AR740" s="26">
        <f>IF(I740="","",IF(Parametreler!$C$7="Evet","Kural A - Hemen Ödeme (Stok Mutabakatlı)","Kural B - Nakliye/Montaj Sonrası Ödeme"))</f>
        <v/>
      </c>
    </row>
    <row r="741">
      <c r="A741" s="23" t="n"/>
      <c r="B741" s="23" t="n"/>
      <c r="C741" s="23" t="n"/>
      <c r="D741" s="23" t="n"/>
      <c r="E741" s="23" t="n"/>
      <c r="F741" s="23" t="n"/>
      <c r="G741" s="23" t="n"/>
      <c r="H741" s="24" t="n"/>
      <c r="I741" s="23" t="n"/>
      <c r="J741" s="23" t="n"/>
      <c r="K741" s="23" t="n"/>
      <c r="L741" s="23" t="n"/>
      <c r="M741" s="23" t="n"/>
      <c r="N741" s="23" t="n"/>
      <c r="O741" s="23" t="n"/>
      <c r="P741" s="23" t="n"/>
      <c r="Q741" s="23" t="n"/>
      <c r="R741" s="23" t="n"/>
      <c r="S741" s="23" t="n"/>
      <c r="T741" s="23" t="n"/>
      <c r="U741" s="23" t="n"/>
      <c r="V741" s="23" t="n"/>
      <c r="W741" s="23" t="n"/>
      <c r="X741" s="23" t="n"/>
      <c r="Y741" s="25" t="n"/>
      <c r="Z741" s="25" t="n"/>
      <c r="AA741" s="23" t="n"/>
      <c r="AB741" s="25" t="n"/>
      <c r="AC741" s="23" t="n"/>
      <c r="AD741" s="25" t="n"/>
      <c r="AE741" s="23" t="n"/>
      <c r="AF741" s="25" t="n"/>
      <c r="AG741" s="25" t="n"/>
      <c r="AH741" s="23" t="n"/>
      <c r="AI741" s="23" t="n"/>
      <c r="AJ741" s="26">
        <f>IF(I741="","",I741&amp;"|"&amp;R741)</f>
        <v/>
      </c>
      <c r="AK741" s="26">
        <f>IF(I741="","",IF(ISNA(MATCH(O741,Kampanyalar!$A$2:$A$150,0)),"Hayır - Kampanyalar'da Yok","Evet"))</f>
        <v/>
      </c>
      <c r="AL741" s="27">
        <f>IF(I741="","",IFERROR(INDEX(Kampanyalar!$E$2:$E$150,MATCH(O741,Kampanyalar!$A$2:$A$150,0)),""))</f>
        <v/>
      </c>
      <c r="AM741" s="27">
        <f>IF(I741="","",IFERROR(INDEX(Kampanyalar!$F$2:$F$150,MATCH(O741,Kampanyalar!$A$2:$A$150,0)),""))</f>
        <v/>
      </c>
      <c r="AN741" s="27">
        <f>IF(I741="","",IFERROR(INDEX(Kampanyalar!$G$2:$G$150,MATCH(O741,Kampanyalar!$A$2:$A$150,0)),""))</f>
        <v/>
      </c>
      <c r="AO741" s="26">
        <f>IF(OR(I741="",AL741="",AM741=""),"",IF(AND(H741&gt;=AL741,H741&lt;=AM741),"Evet","HAYIR - Tarih Dışı"))</f>
        <v/>
      </c>
      <c r="AP741" s="28">
        <f>IF(I741="","",IFERROR(INDEX(Kampanyalar!$H$2:$H$150,MATCH(O741,Kampanyalar!$A$2:$A$150,0)),""))</f>
        <v/>
      </c>
      <c r="AQ741" s="28">
        <f>IF(I741="","",IF(ISNUMBER(AP741),AP741,AD741))</f>
        <v/>
      </c>
      <c r="AR741" s="26">
        <f>IF(I741="","",IF(Parametreler!$C$7="Evet","Kural A - Hemen Ödeme (Stok Mutabakatlı)","Kural B - Nakliye/Montaj Sonrası Ödeme"))</f>
        <v/>
      </c>
    </row>
    <row r="742">
      <c r="A742" s="23" t="n"/>
      <c r="B742" s="23" t="n"/>
      <c r="C742" s="23" t="n"/>
      <c r="D742" s="23" t="n"/>
      <c r="E742" s="23" t="n"/>
      <c r="F742" s="23" t="n"/>
      <c r="G742" s="23" t="n"/>
      <c r="H742" s="24" t="n"/>
      <c r="I742" s="23" t="n"/>
      <c r="J742" s="23" t="n"/>
      <c r="K742" s="23" t="n"/>
      <c r="L742" s="23" t="n"/>
      <c r="M742" s="23" t="n"/>
      <c r="N742" s="23" t="n"/>
      <c r="O742" s="23" t="n"/>
      <c r="P742" s="23" t="n"/>
      <c r="Q742" s="23" t="n"/>
      <c r="R742" s="23" t="n"/>
      <c r="S742" s="23" t="n"/>
      <c r="T742" s="23" t="n"/>
      <c r="U742" s="23" t="n"/>
      <c r="V742" s="23" t="n"/>
      <c r="W742" s="23" t="n"/>
      <c r="X742" s="23" t="n"/>
      <c r="Y742" s="25" t="n"/>
      <c r="Z742" s="25" t="n"/>
      <c r="AA742" s="23" t="n"/>
      <c r="AB742" s="25" t="n"/>
      <c r="AC742" s="23" t="n"/>
      <c r="AD742" s="25" t="n"/>
      <c r="AE742" s="23" t="n"/>
      <c r="AF742" s="25" t="n"/>
      <c r="AG742" s="25" t="n"/>
      <c r="AH742" s="23" t="n"/>
      <c r="AI742" s="23" t="n"/>
      <c r="AJ742" s="26">
        <f>IF(I742="","",I742&amp;"|"&amp;R742)</f>
        <v/>
      </c>
      <c r="AK742" s="26">
        <f>IF(I742="","",IF(ISNA(MATCH(O742,Kampanyalar!$A$2:$A$150,0)),"Hayır - Kampanyalar'da Yok","Evet"))</f>
        <v/>
      </c>
      <c r="AL742" s="27">
        <f>IF(I742="","",IFERROR(INDEX(Kampanyalar!$E$2:$E$150,MATCH(O742,Kampanyalar!$A$2:$A$150,0)),""))</f>
        <v/>
      </c>
      <c r="AM742" s="27">
        <f>IF(I742="","",IFERROR(INDEX(Kampanyalar!$F$2:$F$150,MATCH(O742,Kampanyalar!$A$2:$A$150,0)),""))</f>
        <v/>
      </c>
      <c r="AN742" s="27">
        <f>IF(I742="","",IFERROR(INDEX(Kampanyalar!$G$2:$G$150,MATCH(O742,Kampanyalar!$A$2:$A$150,0)),""))</f>
        <v/>
      </c>
      <c r="AO742" s="26">
        <f>IF(OR(I742="",AL742="",AM742=""),"",IF(AND(H742&gt;=AL742,H742&lt;=AM742),"Evet","HAYIR - Tarih Dışı"))</f>
        <v/>
      </c>
      <c r="AP742" s="28">
        <f>IF(I742="","",IFERROR(INDEX(Kampanyalar!$H$2:$H$150,MATCH(O742,Kampanyalar!$A$2:$A$150,0)),""))</f>
        <v/>
      </c>
      <c r="AQ742" s="28">
        <f>IF(I742="","",IF(ISNUMBER(AP742),AP742,AD742))</f>
        <v/>
      </c>
      <c r="AR742" s="26">
        <f>IF(I742="","",IF(Parametreler!$C$7="Evet","Kural A - Hemen Ödeme (Stok Mutabakatlı)","Kural B - Nakliye/Montaj Sonrası Ödeme"))</f>
        <v/>
      </c>
    </row>
    <row r="743">
      <c r="A743" s="23" t="n"/>
      <c r="B743" s="23" t="n"/>
      <c r="C743" s="23" t="n"/>
      <c r="D743" s="23" t="n"/>
      <c r="E743" s="23" t="n"/>
      <c r="F743" s="23" t="n"/>
      <c r="G743" s="23" t="n"/>
      <c r="H743" s="24" t="n"/>
      <c r="I743" s="23" t="n"/>
      <c r="J743" s="23" t="n"/>
      <c r="K743" s="23" t="n"/>
      <c r="L743" s="23" t="n"/>
      <c r="M743" s="23" t="n"/>
      <c r="N743" s="23" t="n"/>
      <c r="O743" s="23" t="n"/>
      <c r="P743" s="23" t="n"/>
      <c r="Q743" s="23" t="n"/>
      <c r="R743" s="23" t="n"/>
      <c r="S743" s="23" t="n"/>
      <c r="T743" s="23" t="n"/>
      <c r="U743" s="23" t="n"/>
      <c r="V743" s="23" t="n"/>
      <c r="W743" s="23" t="n"/>
      <c r="X743" s="23" t="n"/>
      <c r="Y743" s="25" t="n"/>
      <c r="Z743" s="25" t="n"/>
      <c r="AA743" s="23" t="n"/>
      <c r="AB743" s="25" t="n"/>
      <c r="AC743" s="23" t="n"/>
      <c r="AD743" s="25" t="n"/>
      <c r="AE743" s="23" t="n"/>
      <c r="AF743" s="25" t="n"/>
      <c r="AG743" s="25" t="n"/>
      <c r="AH743" s="23" t="n"/>
      <c r="AI743" s="23" t="n"/>
      <c r="AJ743" s="26">
        <f>IF(I743="","",I743&amp;"|"&amp;R743)</f>
        <v/>
      </c>
      <c r="AK743" s="26">
        <f>IF(I743="","",IF(ISNA(MATCH(O743,Kampanyalar!$A$2:$A$150,0)),"Hayır - Kampanyalar'da Yok","Evet"))</f>
        <v/>
      </c>
      <c r="AL743" s="27">
        <f>IF(I743="","",IFERROR(INDEX(Kampanyalar!$E$2:$E$150,MATCH(O743,Kampanyalar!$A$2:$A$150,0)),""))</f>
        <v/>
      </c>
      <c r="AM743" s="27">
        <f>IF(I743="","",IFERROR(INDEX(Kampanyalar!$F$2:$F$150,MATCH(O743,Kampanyalar!$A$2:$A$150,0)),""))</f>
        <v/>
      </c>
      <c r="AN743" s="27">
        <f>IF(I743="","",IFERROR(INDEX(Kampanyalar!$G$2:$G$150,MATCH(O743,Kampanyalar!$A$2:$A$150,0)),""))</f>
        <v/>
      </c>
      <c r="AO743" s="26">
        <f>IF(OR(I743="",AL743="",AM743=""),"",IF(AND(H743&gt;=AL743,H743&lt;=AM743),"Evet","HAYIR - Tarih Dışı"))</f>
        <v/>
      </c>
      <c r="AP743" s="28">
        <f>IF(I743="","",IFERROR(INDEX(Kampanyalar!$H$2:$H$150,MATCH(O743,Kampanyalar!$A$2:$A$150,0)),""))</f>
        <v/>
      </c>
      <c r="AQ743" s="28">
        <f>IF(I743="","",IF(ISNUMBER(AP743),AP743,AD743))</f>
        <v/>
      </c>
      <c r="AR743" s="26">
        <f>IF(I743="","",IF(Parametreler!$C$7="Evet","Kural A - Hemen Ödeme (Stok Mutabakatlı)","Kural B - Nakliye/Montaj Sonrası Ödeme"))</f>
        <v/>
      </c>
    </row>
    <row r="744">
      <c r="A744" s="23" t="n"/>
      <c r="B744" s="23" t="n"/>
      <c r="C744" s="23" t="n"/>
      <c r="D744" s="23" t="n"/>
      <c r="E744" s="23" t="n"/>
      <c r="F744" s="23" t="n"/>
      <c r="G744" s="23" t="n"/>
      <c r="H744" s="24" t="n"/>
      <c r="I744" s="23" t="n"/>
      <c r="J744" s="23" t="n"/>
      <c r="K744" s="23" t="n"/>
      <c r="L744" s="23" t="n"/>
      <c r="M744" s="23" t="n"/>
      <c r="N744" s="23" t="n"/>
      <c r="O744" s="23" t="n"/>
      <c r="P744" s="23" t="n"/>
      <c r="Q744" s="23" t="n"/>
      <c r="R744" s="23" t="n"/>
      <c r="S744" s="23" t="n"/>
      <c r="T744" s="23" t="n"/>
      <c r="U744" s="23" t="n"/>
      <c r="V744" s="23" t="n"/>
      <c r="W744" s="23" t="n"/>
      <c r="X744" s="23" t="n"/>
      <c r="Y744" s="25" t="n"/>
      <c r="Z744" s="25" t="n"/>
      <c r="AA744" s="23" t="n"/>
      <c r="AB744" s="25" t="n"/>
      <c r="AC744" s="23" t="n"/>
      <c r="AD744" s="25" t="n"/>
      <c r="AE744" s="23" t="n"/>
      <c r="AF744" s="25" t="n"/>
      <c r="AG744" s="25" t="n"/>
      <c r="AH744" s="23" t="n"/>
      <c r="AI744" s="23" t="n"/>
      <c r="AJ744" s="26">
        <f>IF(I744="","",I744&amp;"|"&amp;R744)</f>
        <v/>
      </c>
      <c r="AK744" s="26">
        <f>IF(I744="","",IF(ISNA(MATCH(O744,Kampanyalar!$A$2:$A$150,0)),"Hayır - Kampanyalar'da Yok","Evet"))</f>
        <v/>
      </c>
      <c r="AL744" s="27">
        <f>IF(I744="","",IFERROR(INDEX(Kampanyalar!$E$2:$E$150,MATCH(O744,Kampanyalar!$A$2:$A$150,0)),""))</f>
        <v/>
      </c>
      <c r="AM744" s="27">
        <f>IF(I744="","",IFERROR(INDEX(Kampanyalar!$F$2:$F$150,MATCH(O744,Kampanyalar!$A$2:$A$150,0)),""))</f>
        <v/>
      </c>
      <c r="AN744" s="27">
        <f>IF(I744="","",IFERROR(INDEX(Kampanyalar!$G$2:$G$150,MATCH(O744,Kampanyalar!$A$2:$A$150,0)),""))</f>
        <v/>
      </c>
      <c r="AO744" s="26">
        <f>IF(OR(I744="",AL744="",AM744=""),"",IF(AND(H744&gt;=AL744,H744&lt;=AM744),"Evet","HAYIR - Tarih Dışı"))</f>
        <v/>
      </c>
      <c r="AP744" s="28">
        <f>IF(I744="","",IFERROR(INDEX(Kampanyalar!$H$2:$H$150,MATCH(O744,Kampanyalar!$A$2:$A$150,0)),""))</f>
        <v/>
      </c>
      <c r="AQ744" s="28">
        <f>IF(I744="","",IF(ISNUMBER(AP744),AP744,AD744))</f>
        <v/>
      </c>
      <c r="AR744" s="26">
        <f>IF(I744="","",IF(Parametreler!$C$7="Evet","Kural A - Hemen Ödeme (Stok Mutabakatlı)","Kural B - Nakliye/Montaj Sonrası Ödeme"))</f>
        <v/>
      </c>
    </row>
    <row r="745">
      <c r="A745" s="23" t="n"/>
      <c r="B745" s="23" t="n"/>
      <c r="C745" s="23" t="n"/>
      <c r="D745" s="23" t="n"/>
      <c r="E745" s="23" t="n"/>
      <c r="F745" s="23" t="n"/>
      <c r="G745" s="23" t="n"/>
      <c r="H745" s="24" t="n"/>
      <c r="I745" s="23" t="n"/>
      <c r="J745" s="23" t="n"/>
      <c r="K745" s="23" t="n"/>
      <c r="L745" s="23" t="n"/>
      <c r="M745" s="23" t="n"/>
      <c r="N745" s="23" t="n"/>
      <c r="O745" s="23" t="n"/>
      <c r="P745" s="23" t="n"/>
      <c r="Q745" s="23" t="n"/>
      <c r="R745" s="23" t="n"/>
      <c r="S745" s="23" t="n"/>
      <c r="T745" s="23" t="n"/>
      <c r="U745" s="23" t="n"/>
      <c r="V745" s="23" t="n"/>
      <c r="W745" s="23" t="n"/>
      <c r="X745" s="23" t="n"/>
      <c r="Y745" s="25" t="n"/>
      <c r="Z745" s="25" t="n"/>
      <c r="AA745" s="23" t="n"/>
      <c r="AB745" s="25" t="n"/>
      <c r="AC745" s="23" t="n"/>
      <c r="AD745" s="25" t="n"/>
      <c r="AE745" s="23" t="n"/>
      <c r="AF745" s="25" t="n"/>
      <c r="AG745" s="25" t="n"/>
      <c r="AH745" s="23" t="n"/>
      <c r="AI745" s="23" t="n"/>
      <c r="AJ745" s="26">
        <f>IF(I745="","",I745&amp;"|"&amp;R745)</f>
        <v/>
      </c>
      <c r="AK745" s="26">
        <f>IF(I745="","",IF(ISNA(MATCH(O745,Kampanyalar!$A$2:$A$150,0)),"Hayır - Kampanyalar'da Yok","Evet"))</f>
        <v/>
      </c>
      <c r="AL745" s="27">
        <f>IF(I745="","",IFERROR(INDEX(Kampanyalar!$E$2:$E$150,MATCH(O745,Kampanyalar!$A$2:$A$150,0)),""))</f>
        <v/>
      </c>
      <c r="AM745" s="27">
        <f>IF(I745="","",IFERROR(INDEX(Kampanyalar!$F$2:$F$150,MATCH(O745,Kampanyalar!$A$2:$A$150,0)),""))</f>
        <v/>
      </c>
      <c r="AN745" s="27">
        <f>IF(I745="","",IFERROR(INDEX(Kampanyalar!$G$2:$G$150,MATCH(O745,Kampanyalar!$A$2:$A$150,0)),""))</f>
        <v/>
      </c>
      <c r="AO745" s="26">
        <f>IF(OR(I745="",AL745="",AM745=""),"",IF(AND(H745&gt;=AL745,H745&lt;=AM745),"Evet","HAYIR - Tarih Dışı"))</f>
        <v/>
      </c>
      <c r="AP745" s="28">
        <f>IF(I745="","",IFERROR(INDEX(Kampanyalar!$H$2:$H$150,MATCH(O745,Kampanyalar!$A$2:$A$150,0)),""))</f>
        <v/>
      </c>
      <c r="AQ745" s="28">
        <f>IF(I745="","",IF(ISNUMBER(AP745),AP745,AD745))</f>
        <v/>
      </c>
      <c r="AR745" s="26">
        <f>IF(I745="","",IF(Parametreler!$C$7="Evet","Kural A - Hemen Ödeme (Stok Mutabakatlı)","Kural B - Nakliye/Montaj Sonrası Ödeme"))</f>
        <v/>
      </c>
    </row>
    <row r="746">
      <c r="A746" s="23" t="n"/>
      <c r="B746" s="23" t="n"/>
      <c r="C746" s="23" t="n"/>
      <c r="D746" s="23" t="n"/>
      <c r="E746" s="23" t="n"/>
      <c r="F746" s="23" t="n"/>
      <c r="G746" s="23" t="n"/>
      <c r="H746" s="24" t="n"/>
      <c r="I746" s="23" t="n"/>
      <c r="J746" s="23" t="n"/>
      <c r="K746" s="23" t="n"/>
      <c r="L746" s="23" t="n"/>
      <c r="M746" s="23" t="n"/>
      <c r="N746" s="23" t="n"/>
      <c r="O746" s="23" t="n"/>
      <c r="P746" s="23" t="n"/>
      <c r="Q746" s="23" t="n"/>
      <c r="R746" s="23" t="n"/>
      <c r="S746" s="23" t="n"/>
      <c r="T746" s="23" t="n"/>
      <c r="U746" s="23" t="n"/>
      <c r="V746" s="23" t="n"/>
      <c r="W746" s="23" t="n"/>
      <c r="X746" s="23" t="n"/>
      <c r="Y746" s="25" t="n"/>
      <c r="Z746" s="25" t="n"/>
      <c r="AA746" s="23" t="n"/>
      <c r="AB746" s="25" t="n"/>
      <c r="AC746" s="23" t="n"/>
      <c r="AD746" s="25" t="n"/>
      <c r="AE746" s="23" t="n"/>
      <c r="AF746" s="25" t="n"/>
      <c r="AG746" s="25" t="n"/>
      <c r="AH746" s="23" t="n"/>
      <c r="AI746" s="23" t="n"/>
      <c r="AJ746" s="26">
        <f>IF(I746="","",I746&amp;"|"&amp;R746)</f>
        <v/>
      </c>
      <c r="AK746" s="26">
        <f>IF(I746="","",IF(ISNA(MATCH(O746,Kampanyalar!$A$2:$A$150,0)),"Hayır - Kampanyalar'da Yok","Evet"))</f>
        <v/>
      </c>
      <c r="AL746" s="27">
        <f>IF(I746="","",IFERROR(INDEX(Kampanyalar!$E$2:$E$150,MATCH(O746,Kampanyalar!$A$2:$A$150,0)),""))</f>
        <v/>
      </c>
      <c r="AM746" s="27">
        <f>IF(I746="","",IFERROR(INDEX(Kampanyalar!$F$2:$F$150,MATCH(O746,Kampanyalar!$A$2:$A$150,0)),""))</f>
        <v/>
      </c>
      <c r="AN746" s="27">
        <f>IF(I746="","",IFERROR(INDEX(Kampanyalar!$G$2:$G$150,MATCH(O746,Kampanyalar!$A$2:$A$150,0)),""))</f>
        <v/>
      </c>
      <c r="AO746" s="26">
        <f>IF(OR(I746="",AL746="",AM746=""),"",IF(AND(H746&gt;=AL746,H746&lt;=AM746),"Evet","HAYIR - Tarih Dışı"))</f>
        <v/>
      </c>
      <c r="AP746" s="28">
        <f>IF(I746="","",IFERROR(INDEX(Kampanyalar!$H$2:$H$150,MATCH(O746,Kampanyalar!$A$2:$A$150,0)),""))</f>
        <v/>
      </c>
      <c r="AQ746" s="28">
        <f>IF(I746="","",IF(ISNUMBER(AP746),AP746,AD746))</f>
        <v/>
      </c>
      <c r="AR746" s="26">
        <f>IF(I746="","",IF(Parametreler!$C$7="Evet","Kural A - Hemen Ödeme (Stok Mutabakatlı)","Kural B - Nakliye/Montaj Sonrası Ödeme"))</f>
        <v/>
      </c>
    </row>
    <row r="747">
      <c r="A747" s="23" t="n"/>
      <c r="B747" s="23" t="n"/>
      <c r="C747" s="23" t="n"/>
      <c r="D747" s="23" t="n"/>
      <c r="E747" s="23" t="n"/>
      <c r="F747" s="23" t="n"/>
      <c r="G747" s="23" t="n"/>
      <c r="H747" s="24" t="n"/>
      <c r="I747" s="23" t="n"/>
      <c r="J747" s="23" t="n"/>
      <c r="K747" s="23" t="n"/>
      <c r="L747" s="23" t="n"/>
      <c r="M747" s="23" t="n"/>
      <c r="N747" s="23" t="n"/>
      <c r="O747" s="23" t="n"/>
      <c r="P747" s="23" t="n"/>
      <c r="Q747" s="23" t="n"/>
      <c r="R747" s="23" t="n"/>
      <c r="S747" s="23" t="n"/>
      <c r="T747" s="23" t="n"/>
      <c r="U747" s="23" t="n"/>
      <c r="V747" s="23" t="n"/>
      <c r="W747" s="23" t="n"/>
      <c r="X747" s="23" t="n"/>
      <c r="Y747" s="25" t="n"/>
      <c r="Z747" s="25" t="n"/>
      <c r="AA747" s="23" t="n"/>
      <c r="AB747" s="25" t="n"/>
      <c r="AC747" s="23" t="n"/>
      <c r="AD747" s="25" t="n"/>
      <c r="AE747" s="23" t="n"/>
      <c r="AF747" s="25" t="n"/>
      <c r="AG747" s="25" t="n"/>
      <c r="AH747" s="23" t="n"/>
      <c r="AI747" s="23" t="n"/>
      <c r="AJ747" s="26">
        <f>IF(I747="","",I747&amp;"|"&amp;R747)</f>
        <v/>
      </c>
      <c r="AK747" s="26">
        <f>IF(I747="","",IF(ISNA(MATCH(O747,Kampanyalar!$A$2:$A$150,0)),"Hayır - Kampanyalar'da Yok","Evet"))</f>
        <v/>
      </c>
      <c r="AL747" s="27">
        <f>IF(I747="","",IFERROR(INDEX(Kampanyalar!$E$2:$E$150,MATCH(O747,Kampanyalar!$A$2:$A$150,0)),""))</f>
        <v/>
      </c>
      <c r="AM747" s="27">
        <f>IF(I747="","",IFERROR(INDEX(Kampanyalar!$F$2:$F$150,MATCH(O747,Kampanyalar!$A$2:$A$150,0)),""))</f>
        <v/>
      </c>
      <c r="AN747" s="27">
        <f>IF(I747="","",IFERROR(INDEX(Kampanyalar!$G$2:$G$150,MATCH(O747,Kampanyalar!$A$2:$A$150,0)),""))</f>
        <v/>
      </c>
      <c r="AO747" s="26">
        <f>IF(OR(I747="",AL747="",AM747=""),"",IF(AND(H747&gt;=AL747,H747&lt;=AM747),"Evet","HAYIR - Tarih Dışı"))</f>
        <v/>
      </c>
      <c r="AP747" s="28">
        <f>IF(I747="","",IFERROR(INDEX(Kampanyalar!$H$2:$H$150,MATCH(O747,Kampanyalar!$A$2:$A$150,0)),""))</f>
        <v/>
      </c>
      <c r="AQ747" s="28">
        <f>IF(I747="","",IF(ISNUMBER(AP747),AP747,AD747))</f>
        <v/>
      </c>
      <c r="AR747" s="26">
        <f>IF(I747="","",IF(Parametreler!$C$7="Evet","Kural A - Hemen Ödeme (Stok Mutabakatlı)","Kural B - Nakliye/Montaj Sonrası Ödeme"))</f>
        <v/>
      </c>
    </row>
    <row r="748">
      <c r="A748" s="23" t="n"/>
      <c r="B748" s="23" t="n"/>
      <c r="C748" s="23" t="n"/>
      <c r="D748" s="23" t="n"/>
      <c r="E748" s="23" t="n"/>
      <c r="F748" s="23" t="n"/>
      <c r="G748" s="23" t="n"/>
      <c r="H748" s="24" t="n"/>
      <c r="I748" s="23" t="n"/>
      <c r="J748" s="23" t="n"/>
      <c r="K748" s="23" t="n"/>
      <c r="L748" s="23" t="n"/>
      <c r="M748" s="23" t="n"/>
      <c r="N748" s="23" t="n"/>
      <c r="O748" s="23" t="n"/>
      <c r="P748" s="23" t="n"/>
      <c r="Q748" s="23" t="n"/>
      <c r="R748" s="23" t="n"/>
      <c r="S748" s="23" t="n"/>
      <c r="T748" s="23" t="n"/>
      <c r="U748" s="23" t="n"/>
      <c r="V748" s="23" t="n"/>
      <c r="W748" s="23" t="n"/>
      <c r="X748" s="23" t="n"/>
      <c r="Y748" s="25" t="n"/>
      <c r="Z748" s="25" t="n"/>
      <c r="AA748" s="23" t="n"/>
      <c r="AB748" s="25" t="n"/>
      <c r="AC748" s="23" t="n"/>
      <c r="AD748" s="25" t="n"/>
      <c r="AE748" s="23" t="n"/>
      <c r="AF748" s="25" t="n"/>
      <c r="AG748" s="25" t="n"/>
      <c r="AH748" s="23" t="n"/>
      <c r="AI748" s="23" t="n"/>
      <c r="AJ748" s="26">
        <f>IF(I748="","",I748&amp;"|"&amp;R748)</f>
        <v/>
      </c>
      <c r="AK748" s="26">
        <f>IF(I748="","",IF(ISNA(MATCH(O748,Kampanyalar!$A$2:$A$150,0)),"Hayır - Kampanyalar'da Yok","Evet"))</f>
        <v/>
      </c>
      <c r="AL748" s="27">
        <f>IF(I748="","",IFERROR(INDEX(Kampanyalar!$E$2:$E$150,MATCH(O748,Kampanyalar!$A$2:$A$150,0)),""))</f>
        <v/>
      </c>
      <c r="AM748" s="27">
        <f>IF(I748="","",IFERROR(INDEX(Kampanyalar!$F$2:$F$150,MATCH(O748,Kampanyalar!$A$2:$A$150,0)),""))</f>
        <v/>
      </c>
      <c r="AN748" s="27">
        <f>IF(I748="","",IFERROR(INDEX(Kampanyalar!$G$2:$G$150,MATCH(O748,Kampanyalar!$A$2:$A$150,0)),""))</f>
        <v/>
      </c>
      <c r="AO748" s="26">
        <f>IF(OR(I748="",AL748="",AM748=""),"",IF(AND(H748&gt;=AL748,H748&lt;=AM748),"Evet","HAYIR - Tarih Dışı"))</f>
        <v/>
      </c>
      <c r="AP748" s="28">
        <f>IF(I748="","",IFERROR(INDEX(Kampanyalar!$H$2:$H$150,MATCH(O748,Kampanyalar!$A$2:$A$150,0)),""))</f>
        <v/>
      </c>
      <c r="AQ748" s="28">
        <f>IF(I748="","",IF(ISNUMBER(AP748),AP748,AD748))</f>
        <v/>
      </c>
      <c r="AR748" s="26">
        <f>IF(I748="","",IF(Parametreler!$C$7="Evet","Kural A - Hemen Ödeme (Stok Mutabakatlı)","Kural B - Nakliye/Montaj Sonrası Ödeme"))</f>
        <v/>
      </c>
    </row>
    <row r="749">
      <c r="A749" s="23" t="n"/>
      <c r="B749" s="23" t="n"/>
      <c r="C749" s="23" t="n"/>
      <c r="D749" s="23" t="n"/>
      <c r="E749" s="23" t="n"/>
      <c r="F749" s="23" t="n"/>
      <c r="G749" s="23" t="n"/>
      <c r="H749" s="24" t="n"/>
      <c r="I749" s="23" t="n"/>
      <c r="J749" s="23" t="n"/>
      <c r="K749" s="23" t="n"/>
      <c r="L749" s="23" t="n"/>
      <c r="M749" s="23" t="n"/>
      <c r="N749" s="23" t="n"/>
      <c r="O749" s="23" t="n"/>
      <c r="P749" s="23" t="n"/>
      <c r="Q749" s="23" t="n"/>
      <c r="R749" s="23" t="n"/>
      <c r="S749" s="23" t="n"/>
      <c r="T749" s="23" t="n"/>
      <c r="U749" s="23" t="n"/>
      <c r="V749" s="23" t="n"/>
      <c r="W749" s="23" t="n"/>
      <c r="X749" s="23" t="n"/>
      <c r="Y749" s="25" t="n"/>
      <c r="Z749" s="25" t="n"/>
      <c r="AA749" s="23" t="n"/>
      <c r="AB749" s="25" t="n"/>
      <c r="AC749" s="23" t="n"/>
      <c r="AD749" s="25" t="n"/>
      <c r="AE749" s="23" t="n"/>
      <c r="AF749" s="25" t="n"/>
      <c r="AG749" s="25" t="n"/>
      <c r="AH749" s="23" t="n"/>
      <c r="AI749" s="23" t="n"/>
      <c r="AJ749" s="26">
        <f>IF(I749="","",I749&amp;"|"&amp;R749)</f>
        <v/>
      </c>
      <c r="AK749" s="26">
        <f>IF(I749="","",IF(ISNA(MATCH(O749,Kampanyalar!$A$2:$A$150,0)),"Hayır - Kampanyalar'da Yok","Evet"))</f>
        <v/>
      </c>
      <c r="AL749" s="27">
        <f>IF(I749="","",IFERROR(INDEX(Kampanyalar!$E$2:$E$150,MATCH(O749,Kampanyalar!$A$2:$A$150,0)),""))</f>
        <v/>
      </c>
      <c r="AM749" s="27">
        <f>IF(I749="","",IFERROR(INDEX(Kampanyalar!$F$2:$F$150,MATCH(O749,Kampanyalar!$A$2:$A$150,0)),""))</f>
        <v/>
      </c>
      <c r="AN749" s="27">
        <f>IF(I749="","",IFERROR(INDEX(Kampanyalar!$G$2:$G$150,MATCH(O749,Kampanyalar!$A$2:$A$150,0)),""))</f>
        <v/>
      </c>
      <c r="AO749" s="26">
        <f>IF(OR(I749="",AL749="",AM749=""),"",IF(AND(H749&gt;=AL749,H749&lt;=AM749),"Evet","HAYIR - Tarih Dışı"))</f>
        <v/>
      </c>
      <c r="AP749" s="28">
        <f>IF(I749="","",IFERROR(INDEX(Kampanyalar!$H$2:$H$150,MATCH(O749,Kampanyalar!$A$2:$A$150,0)),""))</f>
        <v/>
      </c>
      <c r="AQ749" s="28">
        <f>IF(I749="","",IF(ISNUMBER(AP749),AP749,AD749))</f>
        <v/>
      </c>
      <c r="AR749" s="26">
        <f>IF(I749="","",IF(Parametreler!$C$7="Evet","Kural A - Hemen Ödeme (Stok Mutabakatlı)","Kural B - Nakliye/Montaj Sonrası Ödeme"))</f>
        <v/>
      </c>
    </row>
    <row r="750">
      <c r="A750" s="23" t="n"/>
      <c r="B750" s="23" t="n"/>
      <c r="C750" s="23" t="n"/>
      <c r="D750" s="23" t="n"/>
      <c r="E750" s="23" t="n"/>
      <c r="F750" s="23" t="n"/>
      <c r="G750" s="23" t="n"/>
      <c r="H750" s="24" t="n"/>
      <c r="I750" s="23" t="n"/>
      <c r="J750" s="23" t="n"/>
      <c r="K750" s="23" t="n"/>
      <c r="L750" s="23" t="n"/>
      <c r="M750" s="23" t="n"/>
      <c r="N750" s="23" t="n"/>
      <c r="O750" s="23" t="n"/>
      <c r="P750" s="23" t="n"/>
      <c r="Q750" s="23" t="n"/>
      <c r="R750" s="23" t="n"/>
      <c r="S750" s="23" t="n"/>
      <c r="T750" s="23" t="n"/>
      <c r="U750" s="23" t="n"/>
      <c r="V750" s="23" t="n"/>
      <c r="W750" s="23" t="n"/>
      <c r="X750" s="23" t="n"/>
      <c r="Y750" s="25" t="n"/>
      <c r="Z750" s="25" t="n"/>
      <c r="AA750" s="23" t="n"/>
      <c r="AB750" s="25" t="n"/>
      <c r="AC750" s="23" t="n"/>
      <c r="AD750" s="25" t="n"/>
      <c r="AE750" s="23" t="n"/>
      <c r="AF750" s="25" t="n"/>
      <c r="AG750" s="25" t="n"/>
      <c r="AH750" s="23" t="n"/>
      <c r="AI750" s="23" t="n"/>
      <c r="AJ750" s="26">
        <f>IF(I750="","",I750&amp;"|"&amp;R750)</f>
        <v/>
      </c>
      <c r="AK750" s="26">
        <f>IF(I750="","",IF(ISNA(MATCH(O750,Kampanyalar!$A$2:$A$150,0)),"Hayır - Kampanyalar'da Yok","Evet"))</f>
        <v/>
      </c>
      <c r="AL750" s="27">
        <f>IF(I750="","",IFERROR(INDEX(Kampanyalar!$E$2:$E$150,MATCH(O750,Kampanyalar!$A$2:$A$150,0)),""))</f>
        <v/>
      </c>
      <c r="AM750" s="27">
        <f>IF(I750="","",IFERROR(INDEX(Kampanyalar!$F$2:$F$150,MATCH(O750,Kampanyalar!$A$2:$A$150,0)),""))</f>
        <v/>
      </c>
      <c r="AN750" s="27">
        <f>IF(I750="","",IFERROR(INDEX(Kampanyalar!$G$2:$G$150,MATCH(O750,Kampanyalar!$A$2:$A$150,0)),""))</f>
        <v/>
      </c>
      <c r="AO750" s="26">
        <f>IF(OR(I750="",AL750="",AM750=""),"",IF(AND(H750&gt;=AL750,H750&lt;=AM750),"Evet","HAYIR - Tarih Dışı"))</f>
        <v/>
      </c>
      <c r="AP750" s="28">
        <f>IF(I750="","",IFERROR(INDEX(Kampanyalar!$H$2:$H$150,MATCH(O750,Kampanyalar!$A$2:$A$150,0)),""))</f>
        <v/>
      </c>
      <c r="AQ750" s="28">
        <f>IF(I750="","",IF(ISNUMBER(AP750),AP750,AD750))</f>
        <v/>
      </c>
      <c r="AR750" s="26">
        <f>IF(I750="","",IF(Parametreler!$C$7="Evet","Kural A - Hemen Ödeme (Stok Mutabakatlı)","Kural B - Nakliye/Montaj Sonrası Ödeme"))</f>
        <v/>
      </c>
    </row>
    <row r="751">
      <c r="A751" s="23" t="n"/>
      <c r="B751" s="23" t="n"/>
      <c r="C751" s="23" t="n"/>
      <c r="D751" s="23" t="n"/>
      <c r="E751" s="23" t="n"/>
      <c r="F751" s="23" t="n"/>
      <c r="G751" s="23" t="n"/>
      <c r="H751" s="24" t="n"/>
      <c r="I751" s="23" t="n"/>
      <c r="J751" s="23" t="n"/>
      <c r="K751" s="23" t="n"/>
      <c r="L751" s="23" t="n"/>
      <c r="M751" s="23" t="n"/>
      <c r="N751" s="23" t="n"/>
      <c r="O751" s="23" t="n"/>
      <c r="P751" s="23" t="n"/>
      <c r="Q751" s="23" t="n"/>
      <c r="R751" s="23" t="n"/>
      <c r="S751" s="23" t="n"/>
      <c r="T751" s="23" t="n"/>
      <c r="U751" s="23" t="n"/>
      <c r="V751" s="23" t="n"/>
      <c r="W751" s="23" t="n"/>
      <c r="X751" s="23" t="n"/>
      <c r="Y751" s="25" t="n"/>
      <c r="Z751" s="25" t="n"/>
      <c r="AA751" s="23" t="n"/>
      <c r="AB751" s="25" t="n"/>
      <c r="AC751" s="23" t="n"/>
      <c r="AD751" s="25" t="n"/>
      <c r="AE751" s="23" t="n"/>
      <c r="AF751" s="25" t="n"/>
      <c r="AG751" s="25" t="n"/>
      <c r="AH751" s="23" t="n"/>
      <c r="AI751" s="23" t="n"/>
      <c r="AJ751" s="26">
        <f>IF(I751="","",I751&amp;"|"&amp;R751)</f>
        <v/>
      </c>
      <c r="AK751" s="26">
        <f>IF(I751="","",IF(ISNA(MATCH(O751,Kampanyalar!$A$2:$A$150,0)),"Hayır - Kampanyalar'da Yok","Evet"))</f>
        <v/>
      </c>
      <c r="AL751" s="27">
        <f>IF(I751="","",IFERROR(INDEX(Kampanyalar!$E$2:$E$150,MATCH(O751,Kampanyalar!$A$2:$A$150,0)),""))</f>
        <v/>
      </c>
      <c r="AM751" s="27">
        <f>IF(I751="","",IFERROR(INDEX(Kampanyalar!$F$2:$F$150,MATCH(O751,Kampanyalar!$A$2:$A$150,0)),""))</f>
        <v/>
      </c>
      <c r="AN751" s="27">
        <f>IF(I751="","",IFERROR(INDEX(Kampanyalar!$G$2:$G$150,MATCH(O751,Kampanyalar!$A$2:$A$150,0)),""))</f>
        <v/>
      </c>
      <c r="AO751" s="26">
        <f>IF(OR(I751="",AL751="",AM751=""),"",IF(AND(H751&gt;=AL751,H751&lt;=AM751),"Evet","HAYIR - Tarih Dışı"))</f>
        <v/>
      </c>
      <c r="AP751" s="28">
        <f>IF(I751="","",IFERROR(INDEX(Kampanyalar!$H$2:$H$150,MATCH(O751,Kampanyalar!$A$2:$A$150,0)),""))</f>
        <v/>
      </c>
      <c r="AQ751" s="28">
        <f>IF(I751="","",IF(ISNUMBER(AP751),AP751,AD751))</f>
        <v/>
      </c>
      <c r="AR751" s="26">
        <f>IF(I751="","",IF(Parametreler!$C$7="Evet","Kural A - Hemen Ödeme (Stok Mutabakatlı)","Kural B - Nakliye/Montaj Sonrası Ödeme"))</f>
        <v/>
      </c>
    </row>
    <row r="752">
      <c r="A752" s="23" t="n"/>
      <c r="B752" s="23" t="n"/>
      <c r="C752" s="23" t="n"/>
      <c r="D752" s="23" t="n"/>
      <c r="E752" s="23" t="n"/>
      <c r="F752" s="23" t="n"/>
      <c r="G752" s="23" t="n"/>
      <c r="H752" s="24" t="n"/>
      <c r="I752" s="23" t="n"/>
      <c r="J752" s="23" t="n"/>
      <c r="K752" s="23" t="n"/>
      <c r="L752" s="23" t="n"/>
      <c r="M752" s="23" t="n"/>
      <c r="N752" s="23" t="n"/>
      <c r="O752" s="23" t="n"/>
      <c r="P752" s="23" t="n"/>
      <c r="Q752" s="23" t="n"/>
      <c r="R752" s="23" t="n"/>
      <c r="S752" s="23" t="n"/>
      <c r="T752" s="23" t="n"/>
      <c r="U752" s="23" t="n"/>
      <c r="V752" s="23" t="n"/>
      <c r="W752" s="23" t="n"/>
      <c r="X752" s="23" t="n"/>
      <c r="Y752" s="25" t="n"/>
      <c r="Z752" s="25" t="n"/>
      <c r="AA752" s="23" t="n"/>
      <c r="AB752" s="25" t="n"/>
      <c r="AC752" s="23" t="n"/>
      <c r="AD752" s="25" t="n"/>
      <c r="AE752" s="23" t="n"/>
      <c r="AF752" s="25" t="n"/>
      <c r="AG752" s="25" t="n"/>
      <c r="AH752" s="23" t="n"/>
      <c r="AI752" s="23" t="n"/>
      <c r="AJ752" s="26">
        <f>IF(I752="","",I752&amp;"|"&amp;R752)</f>
        <v/>
      </c>
      <c r="AK752" s="26">
        <f>IF(I752="","",IF(ISNA(MATCH(O752,Kampanyalar!$A$2:$A$150,0)),"Hayır - Kampanyalar'da Yok","Evet"))</f>
        <v/>
      </c>
      <c r="AL752" s="27">
        <f>IF(I752="","",IFERROR(INDEX(Kampanyalar!$E$2:$E$150,MATCH(O752,Kampanyalar!$A$2:$A$150,0)),""))</f>
        <v/>
      </c>
      <c r="AM752" s="27">
        <f>IF(I752="","",IFERROR(INDEX(Kampanyalar!$F$2:$F$150,MATCH(O752,Kampanyalar!$A$2:$A$150,0)),""))</f>
        <v/>
      </c>
      <c r="AN752" s="27">
        <f>IF(I752="","",IFERROR(INDEX(Kampanyalar!$G$2:$G$150,MATCH(O752,Kampanyalar!$A$2:$A$150,0)),""))</f>
        <v/>
      </c>
      <c r="AO752" s="26">
        <f>IF(OR(I752="",AL752="",AM752=""),"",IF(AND(H752&gt;=AL752,H752&lt;=AM752),"Evet","HAYIR - Tarih Dışı"))</f>
        <v/>
      </c>
      <c r="AP752" s="28">
        <f>IF(I752="","",IFERROR(INDEX(Kampanyalar!$H$2:$H$150,MATCH(O752,Kampanyalar!$A$2:$A$150,0)),""))</f>
        <v/>
      </c>
      <c r="AQ752" s="28">
        <f>IF(I752="","",IF(ISNUMBER(AP752),AP752,AD752))</f>
        <v/>
      </c>
      <c r="AR752" s="26">
        <f>IF(I752="","",IF(Parametreler!$C$7="Evet","Kural A - Hemen Ödeme (Stok Mutabakatlı)","Kural B - Nakliye/Montaj Sonrası Ödeme"))</f>
        <v/>
      </c>
    </row>
    <row r="753">
      <c r="A753" s="23" t="n"/>
      <c r="B753" s="23" t="n"/>
      <c r="C753" s="23" t="n"/>
      <c r="D753" s="23" t="n"/>
      <c r="E753" s="23" t="n"/>
      <c r="F753" s="23" t="n"/>
      <c r="G753" s="23" t="n"/>
      <c r="H753" s="24" t="n"/>
      <c r="I753" s="23" t="n"/>
      <c r="J753" s="23" t="n"/>
      <c r="K753" s="23" t="n"/>
      <c r="L753" s="23" t="n"/>
      <c r="M753" s="23" t="n"/>
      <c r="N753" s="23" t="n"/>
      <c r="O753" s="23" t="n"/>
      <c r="P753" s="23" t="n"/>
      <c r="Q753" s="23" t="n"/>
      <c r="R753" s="23" t="n"/>
      <c r="S753" s="23" t="n"/>
      <c r="T753" s="23" t="n"/>
      <c r="U753" s="23" t="n"/>
      <c r="V753" s="23" t="n"/>
      <c r="W753" s="23" t="n"/>
      <c r="X753" s="23" t="n"/>
      <c r="Y753" s="25" t="n"/>
      <c r="Z753" s="25" t="n"/>
      <c r="AA753" s="23" t="n"/>
      <c r="AB753" s="25" t="n"/>
      <c r="AC753" s="23" t="n"/>
      <c r="AD753" s="25" t="n"/>
      <c r="AE753" s="23" t="n"/>
      <c r="AF753" s="25" t="n"/>
      <c r="AG753" s="25" t="n"/>
      <c r="AH753" s="23" t="n"/>
      <c r="AI753" s="23" t="n"/>
      <c r="AJ753" s="26">
        <f>IF(I753="","",I753&amp;"|"&amp;R753)</f>
        <v/>
      </c>
      <c r="AK753" s="26">
        <f>IF(I753="","",IF(ISNA(MATCH(O753,Kampanyalar!$A$2:$A$150,0)),"Hayır - Kampanyalar'da Yok","Evet"))</f>
        <v/>
      </c>
      <c r="AL753" s="27">
        <f>IF(I753="","",IFERROR(INDEX(Kampanyalar!$E$2:$E$150,MATCH(O753,Kampanyalar!$A$2:$A$150,0)),""))</f>
        <v/>
      </c>
      <c r="AM753" s="27">
        <f>IF(I753="","",IFERROR(INDEX(Kampanyalar!$F$2:$F$150,MATCH(O753,Kampanyalar!$A$2:$A$150,0)),""))</f>
        <v/>
      </c>
      <c r="AN753" s="27">
        <f>IF(I753="","",IFERROR(INDEX(Kampanyalar!$G$2:$G$150,MATCH(O753,Kampanyalar!$A$2:$A$150,0)),""))</f>
        <v/>
      </c>
      <c r="AO753" s="26">
        <f>IF(OR(I753="",AL753="",AM753=""),"",IF(AND(H753&gt;=AL753,H753&lt;=AM753),"Evet","HAYIR - Tarih Dışı"))</f>
        <v/>
      </c>
      <c r="AP753" s="28">
        <f>IF(I753="","",IFERROR(INDEX(Kampanyalar!$H$2:$H$150,MATCH(O753,Kampanyalar!$A$2:$A$150,0)),""))</f>
        <v/>
      </c>
      <c r="AQ753" s="28">
        <f>IF(I753="","",IF(ISNUMBER(AP753),AP753,AD753))</f>
        <v/>
      </c>
      <c r="AR753" s="26">
        <f>IF(I753="","",IF(Parametreler!$C$7="Evet","Kural A - Hemen Ödeme (Stok Mutabakatlı)","Kural B - Nakliye/Montaj Sonrası Ödeme"))</f>
        <v/>
      </c>
    </row>
    <row r="754">
      <c r="A754" s="23" t="n"/>
      <c r="B754" s="23" t="n"/>
      <c r="C754" s="23" t="n"/>
      <c r="D754" s="23" t="n"/>
      <c r="E754" s="23" t="n"/>
      <c r="F754" s="23" t="n"/>
      <c r="G754" s="23" t="n"/>
      <c r="H754" s="24" t="n"/>
      <c r="I754" s="23" t="n"/>
      <c r="J754" s="23" t="n"/>
      <c r="K754" s="23" t="n"/>
      <c r="L754" s="23" t="n"/>
      <c r="M754" s="23" t="n"/>
      <c r="N754" s="23" t="n"/>
      <c r="O754" s="23" t="n"/>
      <c r="P754" s="23" t="n"/>
      <c r="Q754" s="23" t="n"/>
      <c r="R754" s="23" t="n"/>
      <c r="S754" s="23" t="n"/>
      <c r="T754" s="23" t="n"/>
      <c r="U754" s="23" t="n"/>
      <c r="V754" s="23" t="n"/>
      <c r="W754" s="23" t="n"/>
      <c r="X754" s="23" t="n"/>
      <c r="Y754" s="25" t="n"/>
      <c r="Z754" s="25" t="n"/>
      <c r="AA754" s="23" t="n"/>
      <c r="AB754" s="25" t="n"/>
      <c r="AC754" s="23" t="n"/>
      <c r="AD754" s="25" t="n"/>
      <c r="AE754" s="23" t="n"/>
      <c r="AF754" s="25" t="n"/>
      <c r="AG754" s="25" t="n"/>
      <c r="AH754" s="23" t="n"/>
      <c r="AI754" s="23" t="n"/>
      <c r="AJ754" s="26">
        <f>IF(I754="","",I754&amp;"|"&amp;R754)</f>
        <v/>
      </c>
      <c r="AK754" s="26">
        <f>IF(I754="","",IF(ISNA(MATCH(O754,Kampanyalar!$A$2:$A$150,0)),"Hayır - Kampanyalar'da Yok","Evet"))</f>
        <v/>
      </c>
      <c r="AL754" s="27">
        <f>IF(I754="","",IFERROR(INDEX(Kampanyalar!$E$2:$E$150,MATCH(O754,Kampanyalar!$A$2:$A$150,0)),""))</f>
        <v/>
      </c>
      <c r="AM754" s="27">
        <f>IF(I754="","",IFERROR(INDEX(Kampanyalar!$F$2:$F$150,MATCH(O754,Kampanyalar!$A$2:$A$150,0)),""))</f>
        <v/>
      </c>
      <c r="AN754" s="27">
        <f>IF(I754="","",IFERROR(INDEX(Kampanyalar!$G$2:$G$150,MATCH(O754,Kampanyalar!$A$2:$A$150,0)),""))</f>
        <v/>
      </c>
      <c r="AO754" s="26">
        <f>IF(OR(I754="",AL754="",AM754=""),"",IF(AND(H754&gt;=AL754,H754&lt;=AM754),"Evet","HAYIR - Tarih Dışı"))</f>
        <v/>
      </c>
      <c r="AP754" s="28">
        <f>IF(I754="","",IFERROR(INDEX(Kampanyalar!$H$2:$H$150,MATCH(O754,Kampanyalar!$A$2:$A$150,0)),""))</f>
        <v/>
      </c>
      <c r="AQ754" s="28">
        <f>IF(I754="","",IF(ISNUMBER(AP754),AP754,AD754))</f>
        <v/>
      </c>
      <c r="AR754" s="26">
        <f>IF(I754="","",IF(Parametreler!$C$7="Evet","Kural A - Hemen Ödeme (Stok Mutabakatlı)","Kural B - Nakliye/Montaj Sonrası Ödeme"))</f>
        <v/>
      </c>
    </row>
    <row r="755">
      <c r="A755" s="23" t="n"/>
      <c r="B755" s="23" t="n"/>
      <c r="C755" s="23" t="n"/>
      <c r="D755" s="23" t="n"/>
      <c r="E755" s="23" t="n"/>
      <c r="F755" s="23" t="n"/>
      <c r="G755" s="23" t="n"/>
      <c r="H755" s="24" t="n"/>
      <c r="I755" s="23" t="n"/>
      <c r="J755" s="23" t="n"/>
      <c r="K755" s="23" t="n"/>
      <c r="L755" s="23" t="n"/>
      <c r="M755" s="23" t="n"/>
      <c r="N755" s="23" t="n"/>
      <c r="O755" s="23" t="n"/>
      <c r="P755" s="23" t="n"/>
      <c r="Q755" s="23" t="n"/>
      <c r="R755" s="23" t="n"/>
      <c r="S755" s="23" t="n"/>
      <c r="T755" s="23" t="n"/>
      <c r="U755" s="23" t="n"/>
      <c r="V755" s="23" t="n"/>
      <c r="W755" s="23" t="n"/>
      <c r="X755" s="23" t="n"/>
      <c r="Y755" s="25" t="n"/>
      <c r="Z755" s="25" t="n"/>
      <c r="AA755" s="23" t="n"/>
      <c r="AB755" s="25" t="n"/>
      <c r="AC755" s="23" t="n"/>
      <c r="AD755" s="25" t="n"/>
      <c r="AE755" s="23" t="n"/>
      <c r="AF755" s="25" t="n"/>
      <c r="AG755" s="25" t="n"/>
      <c r="AH755" s="23" t="n"/>
      <c r="AI755" s="23" t="n"/>
      <c r="AJ755" s="26">
        <f>IF(I755="","",I755&amp;"|"&amp;R755)</f>
        <v/>
      </c>
      <c r="AK755" s="26">
        <f>IF(I755="","",IF(ISNA(MATCH(O755,Kampanyalar!$A$2:$A$150,0)),"Hayır - Kampanyalar'da Yok","Evet"))</f>
        <v/>
      </c>
      <c r="AL755" s="27">
        <f>IF(I755="","",IFERROR(INDEX(Kampanyalar!$E$2:$E$150,MATCH(O755,Kampanyalar!$A$2:$A$150,0)),""))</f>
        <v/>
      </c>
      <c r="AM755" s="27">
        <f>IF(I755="","",IFERROR(INDEX(Kampanyalar!$F$2:$F$150,MATCH(O755,Kampanyalar!$A$2:$A$150,0)),""))</f>
        <v/>
      </c>
      <c r="AN755" s="27">
        <f>IF(I755="","",IFERROR(INDEX(Kampanyalar!$G$2:$G$150,MATCH(O755,Kampanyalar!$A$2:$A$150,0)),""))</f>
        <v/>
      </c>
      <c r="AO755" s="26">
        <f>IF(OR(I755="",AL755="",AM755=""),"",IF(AND(H755&gt;=AL755,H755&lt;=AM755),"Evet","HAYIR - Tarih Dışı"))</f>
        <v/>
      </c>
      <c r="AP755" s="28">
        <f>IF(I755="","",IFERROR(INDEX(Kampanyalar!$H$2:$H$150,MATCH(O755,Kampanyalar!$A$2:$A$150,0)),""))</f>
        <v/>
      </c>
      <c r="AQ755" s="28">
        <f>IF(I755="","",IF(ISNUMBER(AP755),AP755,AD755))</f>
        <v/>
      </c>
      <c r="AR755" s="26">
        <f>IF(I755="","",IF(Parametreler!$C$7="Evet","Kural A - Hemen Ödeme (Stok Mutabakatlı)","Kural B - Nakliye/Montaj Sonrası Ödeme"))</f>
        <v/>
      </c>
    </row>
    <row r="756">
      <c r="A756" s="23" t="n"/>
      <c r="B756" s="23" t="n"/>
      <c r="C756" s="23" t="n"/>
      <c r="D756" s="23" t="n"/>
      <c r="E756" s="23" t="n"/>
      <c r="F756" s="23" t="n"/>
      <c r="G756" s="23" t="n"/>
      <c r="H756" s="24" t="n"/>
      <c r="I756" s="23" t="n"/>
      <c r="J756" s="23" t="n"/>
      <c r="K756" s="23" t="n"/>
      <c r="L756" s="23" t="n"/>
      <c r="M756" s="23" t="n"/>
      <c r="N756" s="23" t="n"/>
      <c r="O756" s="23" t="n"/>
      <c r="P756" s="23" t="n"/>
      <c r="Q756" s="23" t="n"/>
      <c r="R756" s="23" t="n"/>
      <c r="S756" s="23" t="n"/>
      <c r="T756" s="23" t="n"/>
      <c r="U756" s="23" t="n"/>
      <c r="V756" s="23" t="n"/>
      <c r="W756" s="23" t="n"/>
      <c r="X756" s="23" t="n"/>
      <c r="Y756" s="25" t="n"/>
      <c r="Z756" s="25" t="n"/>
      <c r="AA756" s="23" t="n"/>
      <c r="AB756" s="25" t="n"/>
      <c r="AC756" s="23" t="n"/>
      <c r="AD756" s="25" t="n"/>
      <c r="AE756" s="23" t="n"/>
      <c r="AF756" s="25" t="n"/>
      <c r="AG756" s="25" t="n"/>
      <c r="AH756" s="23" t="n"/>
      <c r="AI756" s="23" t="n"/>
      <c r="AJ756" s="26">
        <f>IF(I756="","",I756&amp;"|"&amp;R756)</f>
        <v/>
      </c>
      <c r="AK756" s="26">
        <f>IF(I756="","",IF(ISNA(MATCH(O756,Kampanyalar!$A$2:$A$150,0)),"Hayır - Kampanyalar'da Yok","Evet"))</f>
        <v/>
      </c>
      <c r="AL756" s="27">
        <f>IF(I756="","",IFERROR(INDEX(Kampanyalar!$E$2:$E$150,MATCH(O756,Kampanyalar!$A$2:$A$150,0)),""))</f>
        <v/>
      </c>
      <c r="AM756" s="27">
        <f>IF(I756="","",IFERROR(INDEX(Kampanyalar!$F$2:$F$150,MATCH(O756,Kampanyalar!$A$2:$A$150,0)),""))</f>
        <v/>
      </c>
      <c r="AN756" s="27">
        <f>IF(I756="","",IFERROR(INDEX(Kampanyalar!$G$2:$G$150,MATCH(O756,Kampanyalar!$A$2:$A$150,0)),""))</f>
        <v/>
      </c>
      <c r="AO756" s="26">
        <f>IF(OR(I756="",AL756="",AM756=""),"",IF(AND(H756&gt;=AL756,H756&lt;=AM756),"Evet","HAYIR - Tarih Dışı"))</f>
        <v/>
      </c>
      <c r="AP756" s="28">
        <f>IF(I756="","",IFERROR(INDEX(Kampanyalar!$H$2:$H$150,MATCH(O756,Kampanyalar!$A$2:$A$150,0)),""))</f>
        <v/>
      </c>
      <c r="AQ756" s="28">
        <f>IF(I756="","",IF(ISNUMBER(AP756),AP756,AD756))</f>
        <v/>
      </c>
      <c r="AR756" s="26">
        <f>IF(I756="","",IF(Parametreler!$C$7="Evet","Kural A - Hemen Ödeme (Stok Mutabakatlı)","Kural B - Nakliye/Montaj Sonrası Ödeme"))</f>
        <v/>
      </c>
    </row>
    <row r="757">
      <c r="A757" s="23" t="n"/>
      <c r="B757" s="23" t="n"/>
      <c r="C757" s="23" t="n"/>
      <c r="D757" s="23" t="n"/>
      <c r="E757" s="23" t="n"/>
      <c r="F757" s="23" t="n"/>
      <c r="G757" s="23" t="n"/>
      <c r="H757" s="24" t="n"/>
      <c r="I757" s="23" t="n"/>
      <c r="J757" s="23" t="n"/>
      <c r="K757" s="23" t="n"/>
      <c r="L757" s="23" t="n"/>
      <c r="M757" s="23" t="n"/>
      <c r="N757" s="23" t="n"/>
      <c r="O757" s="23" t="n"/>
      <c r="P757" s="23" t="n"/>
      <c r="Q757" s="23" t="n"/>
      <c r="R757" s="23" t="n"/>
      <c r="S757" s="23" t="n"/>
      <c r="T757" s="23" t="n"/>
      <c r="U757" s="23" t="n"/>
      <c r="V757" s="23" t="n"/>
      <c r="W757" s="23" t="n"/>
      <c r="X757" s="23" t="n"/>
      <c r="Y757" s="25" t="n"/>
      <c r="Z757" s="25" t="n"/>
      <c r="AA757" s="23" t="n"/>
      <c r="AB757" s="25" t="n"/>
      <c r="AC757" s="23" t="n"/>
      <c r="AD757" s="25" t="n"/>
      <c r="AE757" s="23" t="n"/>
      <c r="AF757" s="25" t="n"/>
      <c r="AG757" s="25" t="n"/>
      <c r="AH757" s="23" t="n"/>
      <c r="AI757" s="23" t="n"/>
      <c r="AJ757" s="26">
        <f>IF(I757="","",I757&amp;"|"&amp;R757)</f>
        <v/>
      </c>
      <c r="AK757" s="26">
        <f>IF(I757="","",IF(ISNA(MATCH(O757,Kampanyalar!$A$2:$A$150,0)),"Hayır - Kampanyalar'da Yok","Evet"))</f>
        <v/>
      </c>
      <c r="AL757" s="27">
        <f>IF(I757="","",IFERROR(INDEX(Kampanyalar!$E$2:$E$150,MATCH(O757,Kampanyalar!$A$2:$A$150,0)),""))</f>
        <v/>
      </c>
      <c r="AM757" s="27">
        <f>IF(I757="","",IFERROR(INDEX(Kampanyalar!$F$2:$F$150,MATCH(O757,Kampanyalar!$A$2:$A$150,0)),""))</f>
        <v/>
      </c>
      <c r="AN757" s="27">
        <f>IF(I757="","",IFERROR(INDEX(Kampanyalar!$G$2:$G$150,MATCH(O757,Kampanyalar!$A$2:$A$150,0)),""))</f>
        <v/>
      </c>
      <c r="AO757" s="26">
        <f>IF(OR(I757="",AL757="",AM757=""),"",IF(AND(H757&gt;=AL757,H757&lt;=AM757),"Evet","HAYIR - Tarih Dışı"))</f>
        <v/>
      </c>
      <c r="AP757" s="28">
        <f>IF(I757="","",IFERROR(INDEX(Kampanyalar!$H$2:$H$150,MATCH(O757,Kampanyalar!$A$2:$A$150,0)),""))</f>
        <v/>
      </c>
      <c r="AQ757" s="28">
        <f>IF(I757="","",IF(ISNUMBER(AP757),AP757,AD757))</f>
        <v/>
      </c>
      <c r="AR757" s="26">
        <f>IF(I757="","",IF(Parametreler!$C$7="Evet","Kural A - Hemen Ödeme (Stok Mutabakatlı)","Kural B - Nakliye/Montaj Sonrası Ödeme"))</f>
        <v/>
      </c>
    </row>
    <row r="758">
      <c r="A758" s="23" t="n"/>
      <c r="B758" s="23" t="n"/>
      <c r="C758" s="23" t="n"/>
      <c r="D758" s="23" t="n"/>
      <c r="E758" s="23" t="n"/>
      <c r="F758" s="23" t="n"/>
      <c r="G758" s="23" t="n"/>
      <c r="H758" s="24" t="n"/>
      <c r="I758" s="23" t="n"/>
      <c r="J758" s="23" t="n"/>
      <c r="K758" s="23" t="n"/>
      <c r="L758" s="23" t="n"/>
      <c r="M758" s="23" t="n"/>
      <c r="N758" s="23" t="n"/>
      <c r="O758" s="23" t="n"/>
      <c r="P758" s="23" t="n"/>
      <c r="Q758" s="23" t="n"/>
      <c r="R758" s="23" t="n"/>
      <c r="S758" s="23" t="n"/>
      <c r="T758" s="23" t="n"/>
      <c r="U758" s="23" t="n"/>
      <c r="V758" s="23" t="n"/>
      <c r="W758" s="23" t="n"/>
      <c r="X758" s="23" t="n"/>
      <c r="Y758" s="25" t="n"/>
      <c r="Z758" s="25" t="n"/>
      <c r="AA758" s="23" t="n"/>
      <c r="AB758" s="25" t="n"/>
      <c r="AC758" s="23" t="n"/>
      <c r="AD758" s="25" t="n"/>
      <c r="AE758" s="23" t="n"/>
      <c r="AF758" s="25" t="n"/>
      <c r="AG758" s="25" t="n"/>
      <c r="AH758" s="23" t="n"/>
      <c r="AI758" s="23" t="n"/>
      <c r="AJ758" s="26">
        <f>IF(I758="","",I758&amp;"|"&amp;R758)</f>
        <v/>
      </c>
      <c r="AK758" s="26">
        <f>IF(I758="","",IF(ISNA(MATCH(O758,Kampanyalar!$A$2:$A$150,0)),"Hayır - Kampanyalar'da Yok","Evet"))</f>
        <v/>
      </c>
      <c r="AL758" s="27">
        <f>IF(I758="","",IFERROR(INDEX(Kampanyalar!$E$2:$E$150,MATCH(O758,Kampanyalar!$A$2:$A$150,0)),""))</f>
        <v/>
      </c>
      <c r="AM758" s="27">
        <f>IF(I758="","",IFERROR(INDEX(Kampanyalar!$F$2:$F$150,MATCH(O758,Kampanyalar!$A$2:$A$150,0)),""))</f>
        <v/>
      </c>
      <c r="AN758" s="27">
        <f>IF(I758="","",IFERROR(INDEX(Kampanyalar!$G$2:$G$150,MATCH(O758,Kampanyalar!$A$2:$A$150,0)),""))</f>
        <v/>
      </c>
      <c r="AO758" s="26">
        <f>IF(OR(I758="",AL758="",AM758=""),"",IF(AND(H758&gt;=AL758,H758&lt;=AM758),"Evet","HAYIR - Tarih Dışı"))</f>
        <v/>
      </c>
      <c r="AP758" s="28">
        <f>IF(I758="","",IFERROR(INDEX(Kampanyalar!$H$2:$H$150,MATCH(O758,Kampanyalar!$A$2:$A$150,0)),""))</f>
        <v/>
      </c>
      <c r="AQ758" s="28">
        <f>IF(I758="","",IF(ISNUMBER(AP758),AP758,AD758))</f>
        <v/>
      </c>
      <c r="AR758" s="26">
        <f>IF(I758="","",IF(Parametreler!$C$7="Evet","Kural A - Hemen Ödeme (Stok Mutabakatlı)","Kural B - Nakliye/Montaj Sonrası Ödeme"))</f>
        <v/>
      </c>
    </row>
    <row r="759">
      <c r="A759" s="23" t="n"/>
      <c r="B759" s="23" t="n"/>
      <c r="C759" s="23" t="n"/>
      <c r="D759" s="23" t="n"/>
      <c r="E759" s="23" t="n"/>
      <c r="F759" s="23" t="n"/>
      <c r="G759" s="23" t="n"/>
      <c r="H759" s="24" t="n"/>
      <c r="I759" s="23" t="n"/>
      <c r="J759" s="23" t="n"/>
      <c r="K759" s="23" t="n"/>
      <c r="L759" s="23" t="n"/>
      <c r="M759" s="23" t="n"/>
      <c r="N759" s="23" t="n"/>
      <c r="O759" s="23" t="n"/>
      <c r="P759" s="23" t="n"/>
      <c r="Q759" s="23" t="n"/>
      <c r="R759" s="23" t="n"/>
      <c r="S759" s="23" t="n"/>
      <c r="T759" s="23" t="n"/>
      <c r="U759" s="23" t="n"/>
      <c r="V759" s="23" t="n"/>
      <c r="W759" s="23" t="n"/>
      <c r="X759" s="23" t="n"/>
      <c r="Y759" s="25" t="n"/>
      <c r="Z759" s="25" t="n"/>
      <c r="AA759" s="23" t="n"/>
      <c r="AB759" s="25" t="n"/>
      <c r="AC759" s="23" t="n"/>
      <c r="AD759" s="25" t="n"/>
      <c r="AE759" s="23" t="n"/>
      <c r="AF759" s="25" t="n"/>
      <c r="AG759" s="25" t="n"/>
      <c r="AH759" s="23" t="n"/>
      <c r="AI759" s="23" t="n"/>
      <c r="AJ759" s="26">
        <f>IF(I759="","",I759&amp;"|"&amp;R759)</f>
        <v/>
      </c>
      <c r="AK759" s="26">
        <f>IF(I759="","",IF(ISNA(MATCH(O759,Kampanyalar!$A$2:$A$150,0)),"Hayır - Kampanyalar'da Yok","Evet"))</f>
        <v/>
      </c>
      <c r="AL759" s="27">
        <f>IF(I759="","",IFERROR(INDEX(Kampanyalar!$E$2:$E$150,MATCH(O759,Kampanyalar!$A$2:$A$150,0)),""))</f>
        <v/>
      </c>
      <c r="AM759" s="27">
        <f>IF(I759="","",IFERROR(INDEX(Kampanyalar!$F$2:$F$150,MATCH(O759,Kampanyalar!$A$2:$A$150,0)),""))</f>
        <v/>
      </c>
      <c r="AN759" s="27">
        <f>IF(I759="","",IFERROR(INDEX(Kampanyalar!$G$2:$G$150,MATCH(O759,Kampanyalar!$A$2:$A$150,0)),""))</f>
        <v/>
      </c>
      <c r="AO759" s="26">
        <f>IF(OR(I759="",AL759="",AM759=""),"",IF(AND(H759&gt;=AL759,H759&lt;=AM759),"Evet","HAYIR - Tarih Dışı"))</f>
        <v/>
      </c>
      <c r="AP759" s="28">
        <f>IF(I759="","",IFERROR(INDEX(Kampanyalar!$H$2:$H$150,MATCH(O759,Kampanyalar!$A$2:$A$150,0)),""))</f>
        <v/>
      </c>
      <c r="AQ759" s="28">
        <f>IF(I759="","",IF(ISNUMBER(AP759),AP759,AD759))</f>
        <v/>
      </c>
      <c r="AR759" s="26">
        <f>IF(I759="","",IF(Parametreler!$C$7="Evet","Kural A - Hemen Ödeme (Stok Mutabakatlı)","Kural B - Nakliye/Montaj Sonrası Ödeme"))</f>
        <v/>
      </c>
    </row>
    <row r="760">
      <c r="A760" s="23" t="n"/>
      <c r="B760" s="23" t="n"/>
      <c r="C760" s="23" t="n"/>
      <c r="D760" s="23" t="n"/>
      <c r="E760" s="23" t="n"/>
      <c r="F760" s="23" t="n"/>
      <c r="G760" s="23" t="n"/>
      <c r="H760" s="24" t="n"/>
      <c r="I760" s="23" t="n"/>
      <c r="J760" s="23" t="n"/>
      <c r="K760" s="23" t="n"/>
      <c r="L760" s="23" t="n"/>
      <c r="M760" s="23" t="n"/>
      <c r="N760" s="23" t="n"/>
      <c r="O760" s="23" t="n"/>
      <c r="P760" s="23" t="n"/>
      <c r="Q760" s="23" t="n"/>
      <c r="R760" s="23" t="n"/>
      <c r="S760" s="23" t="n"/>
      <c r="T760" s="23" t="n"/>
      <c r="U760" s="23" t="n"/>
      <c r="V760" s="23" t="n"/>
      <c r="W760" s="23" t="n"/>
      <c r="X760" s="23" t="n"/>
      <c r="Y760" s="25" t="n"/>
      <c r="Z760" s="25" t="n"/>
      <c r="AA760" s="23" t="n"/>
      <c r="AB760" s="25" t="n"/>
      <c r="AC760" s="23" t="n"/>
      <c r="AD760" s="25" t="n"/>
      <c r="AE760" s="23" t="n"/>
      <c r="AF760" s="25" t="n"/>
      <c r="AG760" s="25" t="n"/>
      <c r="AH760" s="23" t="n"/>
      <c r="AI760" s="23" t="n"/>
      <c r="AJ760" s="26">
        <f>IF(I760="","",I760&amp;"|"&amp;R760)</f>
        <v/>
      </c>
      <c r="AK760" s="26">
        <f>IF(I760="","",IF(ISNA(MATCH(O760,Kampanyalar!$A$2:$A$150,0)),"Hayır - Kampanyalar'da Yok","Evet"))</f>
        <v/>
      </c>
      <c r="AL760" s="27">
        <f>IF(I760="","",IFERROR(INDEX(Kampanyalar!$E$2:$E$150,MATCH(O760,Kampanyalar!$A$2:$A$150,0)),""))</f>
        <v/>
      </c>
      <c r="AM760" s="27">
        <f>IF(I760="","",IFERROR(INDEX(Kampanyalar!$F$2:$F$150,MATCH(O760,Kampanyalar!$A$2:$A$150,0)),""))</f>
        <v/>
      </c>
      <c r="AN760" s="27">
        <f>IF(I760="","",IFERROR(INDEX(Kampanyalar!$G$2:$G$150,MATCH(O760,Kampanyalar!$A$2:$A$150,0)),""))</f>
        <v/>
      </c>
      <c r="AO760" s="26">
        <f>IF(OR(I760="",AL760="",AM760=""),"",IF(AND(H760&gt;=AL760,H760&lt;=AM760),"Evet","HAYIR - Tarih Dışı"))</f>
        <v/>
      </c>
      <c r="AP760" s="28">
        <f>IF(I760="","",IFERROR(INDEX(Kampanyalar!$H$2:$H$150,MATCH(O760,Kampanyalar!$A$2:$A$150,0)),""))</f>
        <v/>
      </c>
      <c r="AQ760" s="28">
        <f>IF(I760="","",IF(ISNUMBER(AP760),AP760,AD760))</f>
        <v/>
      </c>
      <c r="AR760" s="26">
        <f>IF(I760="","",IF(Parametreler!$C$7="Evet","Kural A - Hemen Ödeme (Stok Mutabakatlı)","Kural B - Nakliye/Montaj Sonrası Ödeme"))</f>
        <v/>
      </c>
    </row>
    <row r="761">
      <c r="A761" s="23" t="n"/>
      <c r="B761" s="23" t="n"/>
      <c r="C761" s="23" t="n"/>
      <c r="D761" s="23" t="n"/>
      <c r="E761" s="23" t="n"/>
      <c r="F761" s="23" t="n"/>
      <c r="G761" s="23" t="n"/>
      <c r="H761" s="24" t="n"/>
      <c r="I761" s="23" t="n"/>
      <c r="J761" s="23" t="n"/>
      <c r="K761" s="23" t="n"/>
      <c r="L761" s="23" t="n"/>
      <c r="M761" s="23" t="n"/>
      <c r="N761" s="23" t="n"/>
      <c r="O761" s="23" t="n"/>
      <c r="P761" s="23" t="n"/>
      <c r="Q761" s="23" t="n"/>
      <c r="R761" s="23" t="n"/>
      <c r="S761" s="23" t="n"/>
      <c r="T761" s="23" t="n"/>
      <c r="U761" s="23" t="n"/>
      <c r="V761" s="23" t="n"/>
      <c r="W761" s="23" t="n"/>
      <c r="X761" s="23" t="n"/>
      <c r="Y761" s="25" t="n"/>
      <c r="Z761" s="25" t="n"/>
      <c r="AA761" s="23" t="n"/>
      <c r="AB761" s="25" t="n"/>
      <c r="AC761" s="23" t="n"/>
      <c r="AD761" s="25" t="n"/>
      <c r="AE761" s="23" t="n"/>
      <c r="AF761" s="25" t="n"/>
      <c r="AG761" s="25" t="n"/>
      <c r="AH761" s="23" t="n"/>
      <c r="AI761" s="23" t="n"/>
      <c r="AJ761" s="26">
        <f>IF(I761="","",I761&amp;"|"&amp;R761)</f>
        <v/>
      </c>
      <c r="AK761" s="26">
        <f>IF(I761="","",IF(ISNA(MATCH(O761,Kampanyalar!$A$2:$A$150,0)),"Hayır - Kampanyalar'da Yok","Evet"))</f>
        <v/>
      </c>
      <c r="AL761" s="27">
        <f>IF(I761="","",IFERROR(INDEX(Kampanyalar!$E$2:$E$150,MATCH(O761,Kampanyalar!$A$2:$A$150,0)),""))</f>
        <v/>
      </c>
      <c r="AM761" s="27">
        <f>IF(I761="","",IFERROR(INDEX(Kampanyalar!$F$2:$F$150,MATCH(O761,Kampanyalar!$A$2:$A$150,0)),""))</f>
        <v/>
      </c>
      <c r="AN761" s="27">
        <f>IF(I761="","",IFERROR(INDEX(Kampanyalar!$G$2:$G$150,MATCH(O761,Kampanyalar!$A$2:$A$150,0)),""))</f>
        <v/>
      </c>
      <c r="AO761" s="26">
        <f>IF(OR(I761="",AL761="",AM761=""),"",IF(AND(H761&gt;=AL761,H761&lt;=AM761),"Evet","HAYIR - Tarih Dışı"))</f>
        <v/>
      </c>
      <c r="AP761" s="28">
        <f>IF(I761="","",IFERROR(INDEX(Kampanyalar!$H$2:$H$150,MATCH(O761,Kampanyalar!$A$2:$A$150,0)),""))</f>
        <v/>
      </c>
      <c r="AQ761" s="28">
        <f>IF(I761="","",IF(ISNUMBER(AP761),AP761,AD761))</f>
        <v/>
      </c>
      <c r="AR761" s="26">
        <f>IF(I761="","",IF(Parametreler!$C$7="Evet","Kural A - Hemen Ödeme (Stok Mutabakatlı)","Kural B - Nakliye/Montaj Sonrası Ödeme"))</f>
        <v/>
      </c>
    </row>
    <row r="762">
      <c r="A762" s="23" t="n"/>
      <c r="B762" s="23" t="n"/>
      <c r="C762" s="23" t="n"/>
      <c r="D762" s="23" t="n"/>
      <c r="E762" s="23" t="n"/>
      <c r="F762" s="23" t="n"/>
      <c r="G762" s="23" t="n"/>
      <c r="H762" s="24" t="n"/>
      <c r="I762" s="23" t="n"/>
      <c r="J762" s="23" t="n"/>
      <c r="K762" s="23" t="n"/>
      <c r="L762" s="23" t="n"/>
      <c r="M762" s="23" t="n"/>
      <c r="N762" s="23" t="n"/>
      <c r="O762" s="23" t="n"/>
      <c r="P762" s="23" t="n"/>
      <c r="Q762" s="23" t="n"/>
      <c r="R762" s="23" t="n"/>
      <c r="S762" s="23" t="n"/>
      <c r="T762" s="23" t="n"/>
      <c r="U762" s="23" t="n"/>
      <c r="V762" s="23" t="n"/>
      <c r="W762" s="23" t="n"/>
      <c r="X762" s="23" t="n"/>
      <c r="Y762" s="25" t="n"/>
      <c r="Z762" s="25" t="n"/>
      <c r="AA762" s="23" t="n"/>
      <c r="AB762" s="25" t="n"/>
      <c r="AC762" s="23" t="n"/>
      <c r="AD762" s="25" t="n"/>
      <c r="AE762" s="23" t="n"/>
      <c r="AF762" s="25" t="n"/>
      <c r="AG762" s="25" t="n"/>
      <c r="AH762" s="23" t="n"/>
      <c r="AI762" s="23" t="n"/>
      <c r="AJ762" s="26">
        <f>IF(I762="","",I762&amp;"|"&amp;R762)</f>
        <v/>
      </c>
      <c r="AK762" s="26">
        <f>IF(I762="","",IF(ISNA(MATCH(O762,Kampanyalar!$A$2:$A$150,0)),"Hayır - Kampanyalar'da Yok","Evet"))</f>
        <v/>
      </c>
      <c r="AL762" s="27">
        <f>IF(I762="","",IFERROR(INDEX(Kampanyalar!$E$2:$E$150,MATCH(O762,Kampanyalar!$A$2:$A$150,0)),""))</f>
        <v/>
      </c>
      <c r="AM762" s="27">
        <f>IF(I762="","",IFERROR(INDEX(Kampanyalar!$F$2:$F$150,MATCH(O762,Kampanyalar!$A$2:$A$150,0)),""))</f>
        <v/>
      </c>
      <c r="AN762" s="27">
        <f>IF(I762="","",IFERROR(INDEX(Kampanyalar!$G$2:$G$150,MATCH(O762,Kampanyalar!$A$2:$A$150,0)),""))</f>
        <v/>
      </c>
      <c r="AO762" s="26">
        <f>IF(OR(I762="",AL762="",AM762=""),"",IF(AND(H762&gt;=AL762,H762&lt;=AM762),"Evet","HAYIR - Tarih Dışı"))</f>
        <v/>
      </c>
      <c r="AP762" s="28">
        <f>IF(I762="","",IFERROR(INDEX(Kampanyalar!$H$2:$H$150,MATCH(O762,Kampanyalar!$A$2:$A$150,0)),""))</f>
        <v/>
      </c>
      <c r="AQ762" s="28">
        <f>IF(I762="","",IF(ISNUMBER(AP762),AP762,AD762))</f>
        <v/>
      </c>
      <c r="AR762" s="26">
        <f>IF(I762="","",IF(Parametreler!$C$7="Evet","Kural A - Hemen Ödeme (Stok Mutabakatlı)","Kural B - Nakliye/Montaj Sonrası Ödeme"))</f>
        <v/>
      </c>
    </row>
    <row r="763">
      <c r="A763" s="23" t="n"/>
      <c r="B763" s="23" t="n"/>
      <c r="C763" s="23" t="n"/>
      <c r="D763" s="23" t="n"/>
      <c r="E763" s="23" t="n"/>
      <c r="F763" s="23" t="n"/>
      <c r="G763" s="23" t="n"/>
      <c r="H763" s="24" t="n"/>
      <c r="I763" s="23" t="n"/>
      <c r="J763" s="23" t="n"/>
      <c r="K763" s="23" t="n"/>
      <c r="L763" s="23" t="n"/>
      <c r="M763" s="23" t="n"/>
      <c r="N763" s="23" t="n"/>
      <c r="O763" s="23" t="n"/>
      <c r="P763" s="23" t="n"/>
      <c r="Q763" s="23" t="n"/>
      <c r="R763" s="23" t="n"/>
      <c r="S763" s="23" t="n"/>
      <c r="T763" s="23" t="n"/>
      <c r="U763" s="23" t="n"/>
      <c r="V763" s="23" t="n"/>
      <c r="W763" s="23" t="n"/>
      <c r="X763" s="23" t="n"/>
      <c r="Y763" s="25" t="n"/>
      <c r="Z763" s="25" t="n"/>
      <c r="AA763" s="23" t="n"/>
      <c r="AB763" s="25" t="n"/>
      <c r="AC763" s="23" t="n"/>
      <c r="AD763" s="25" t="n"/>
      <c r="AE763" s="23" t="n"/>
      <c r="AF763" s="25" t="n"/>
      <c r="AG763" s="25" t="n"/>
      <c r="AH763" s="23" t="n"/>
      <c r="AI763" s="23" t="n"/>
      <c r="AJ763" s="26">
        <f>IF(I763="","",I763&amp;"|"&amp;R763)</f>
        <v/>
      </c>
      <c r="AK763" s="26">
        <f>IF(I763="","",IF(ISNA(MATCH(O763,Kampanyalar!$A$2:$A$150,0)),"Hayır - Kampanyalar'da Yok","Evet"))</f>
        <v/>
      </c>
      <c r="AL763" s="27">
        <f>IF(I763="","",IFERROR(INDEX(Kampanyalar!$E$2:$E$150,MATCH(O763,Kampanyalar!$A$2:$A$150,0)),""))</f>
        <v/>
      </c>
      <c r="AM763" s="27">
        <f>IF(I763="","",IFERROR(INDEX(Kampanyalar!$F$2:$F$150,MATCH(O763,Kampanyalar!$A$2:$A$150,0)),""))</f>
        <v/>
      </c>
      <c r="AN763" s="27">
        <f>IF(I763="","",IFERROR(INDEX(Kampanyalar!$G$2:$G$150,MATCH(O763,Kampanyalar!$A$2:$A$150,0)),""))</f>
        <v/>
      </c>
      <c r="AO763" s="26">
        <f>IF(OR(I763="",AL763="",AM763=""),"",IF(AND(H763&gt;=AL763,H763&lt;=AM763),"Evet","HAYIR - Tarih Dışı"))</f>
        <v/>
      </c>
      <c r="AP763" s="28">
        <f>IF(I763="","",IFERROR(INDEX(Kampanyalar!$H$2:$H$150,MATCH(O763,Kampanyalar!$A$2:$A$150,0)),""))</f>
        <v/>
      </c>
      <c r="AQ763" s="28">
        <f>IF(I763="","",IF(ISNUMBER(AP763),AP763,AD763))</f>
        <v/>
      </c>
      <c r="AR763" s="26">
        <f>IF(I763="","",IF(Parametreler!$C$7="Evet","Kural A - Hemen Ödeme (Stok Mutabakatlı)","Kural B - Nakliye/Montaj Sonrası Ödeme"))</f>
        <v/>
      </c>
    </row>
    <row r="764">
      <c r="A764" s="23" t="n"/>
      <c r="B764" s="23" t="n"/>
      <c r="C764" s="23" t="n"/>
      <c r="D764" s="23" t="n"/>
      <c r="E764" s="23" t="n"/>
      <c r="F764" s="23" t="n"/>
      <c r="G764" s="23" t="n"/>
      <c r="H764" s="24" t="n"/>
      <c r="I764" s="23" t="n"/>
      <c r="J764" s="23" t="n"/>
      <c r="K764" s="23" t="n"/>
      <c r="L764" s="23" t="n"/>
      <c r="M764" s="23" t="n"/>
      <c r="N764" s="23" t="n"/>
      <c r="O764" s="23" t="n"/>
      <c r="P764" s="23" t="n"/>
      <c r="Q764" s="23" t="n"/>
      <c r="R764" s="23" t="n"/>
      <c r="S764" s="23" t="n"/>
      <c r="T764" s="23" t="n"/>
      <c r="U764" s="23" t="n"/>
      <c r="V764" s="23" t="n"/>
      <c r="W764" s="23" t="n"/>
      <c r="X764" s="23" t="n"/>
      <c r="Y764" s="25" t="n"/>
      <c r="Z764" s="25" t="n"/>
      <c r="AA764" s="23" t="n"/>
      <c r="AB764" s="25" t="n"/>
      <c r="AC764" s="23" t="n"/>
      <c r="AD764" s="25" t="n"/>
      <c r="AE764" s="23" t="n"/>
      <c r="AF764" s="25" t="n"/>
      <c r="AG764" s="25" t="n"/>
      <c r="AH764" s="23" t="n"/>
      <c r="AI764" s="23" t="n"/>
      <c r="AJ764" s="26">
        <f>IF(I764="","",I764&amp;"|"&amp;R764)</f>
        <v/>
      </c>
      <c r="AK764" s="26">
        <f>IF(I764="","",IF(ISNA(MATCH(O764,Kampanyalar!$A$2:$A$150,0)),"Hayır - Kampanyalar'da Yok","Evet"))</f>
        <v/>
      </c>
      <c r="AL764" s="27">
        <f>IF(I764="","",IFERROR(INDEX(Kampanyalar!$E$2:$E$150,MATCH(O764,Kampanyalar!$A$2:$A$150,0)),""))</f>
        <v/>
      </c>
      <c r="AM764" s="27">
        <f>IF(I764="","",IFERROR(INDEX(Kampanyalar!$F$2:$F$150,MATCH(O764,Kampanyalar!$A$2:$A$150,0)),""))</f>
        <v/>
      </c>
      <c r="AN764" s="27">
        <f>IF(I764="","",IFERROR(INDEX(Kampanyalar!$G$2:$G$150,MATCH(O764,Kampanyalar!$A$2:$A$150,0)),""))</f>
        <v/>
      </c>
      <c r="AO764" s="26">
        <f>IF(OR(I764="",AL764="",AM764=""),"",IF(AND(H764&gt;=AL764,H764&lt;=AM764),"Evet","HAYIR - Tarih Dışı"))</f>
        <v/>
      </c>
      <c r="AP764" s="28">
        <f>IF(I764="","",IFERROR(INDEX(Kampanyalar!$H$2:$H$150,MATCH(O764,Kampanyalar!$A$2:$A$150,0)),""))</f>
        <v/>
      </c>
      <c r="AQ764" s="28">
        <f>IF(I764="","",IF(ISNUMBER(AP764),AP764,AD764))</f>
        <v/>
      </c>
      <c r="AR764" s="26">
        <f>IF(I764="","",IF(Parametreler!$C$7="Evet","Kural A - Hemen Ödeme (Stok Mutabakatlı)","Kural B - Nakliye/Montaj Sonrası Ödeme"))</f>
        <v/>
      </c>
    </row>
    <row r="765">
      <c r="A765" s="23" t="n"/>
      <c r="B765" s="23" t="n"/>
      <c r="C765" s="23" t="n"/>
      <c r="D765" s="23" t="n"/>
      <c r="E765" s="23" t="n"/>
      <c r="F765" s="23" t="n"/>
      <c r="G765" s="23" t="n"/>
      <c r="H765" s="24" t="n"/>
      <c r="I765" s="23" t="n"/>
      <c r="J765" s="23" t="n"/>
      <c r="K765" s="23" t="n"/>
      <c r="L765" s="23" t="n"/>
      <c r="M765" s="23" t="n"/>
      <c r="N765" s="23" t="n"/>
      <c r="O765" s="23" t="n"/>
      <c r="P765" s="23" t="n"/>
      <c r="Q765" s="23" t="n"/>
      <c r="R765" s="23" t="n"/>
      <c r="S765" s="23" t="n"/>
      <c r="T765" s="23" t="n"/>
      <c r="U765" s="23" t="n"/>
      <c r="V765" s="23" t="n"/>
      <c r="W765" s="23" t="n"/>
      <c r="X765" s="23" t="n"/>
      <c r="Y765" s="25" t="n"/>
      <c r="Z765" s="25" t="n"/>
      <c r="AA765" s="23" t="n"/>
      <c r="AB765" s="25" t="n"/>
      <c r="AC765" s="23" t="n"/>
      <c r="AD765" s="25" t="n"/>
      <c r="AE765" s="23" t="n"/>
      <c r="AF765" s="25" t="n"/>
      <c r="AG765" s="25" t="n"/>
      <c r="AH765" s="23" t="n"/>
      <c r="AI765" s="23" t="n"/>
      <c r="AJ765" s="26">
        <f>IF(I765="","",I765&amp;"|"&amp;R765)</f>
        <v/>
      </c>
      <c r="AK765" s="26">
        <f>IF(I765="","",IF(ISNA(MATCH(O765,Kampanyalar!$A$2:$A$150,0)),"Hayır - Kampanyalar'da Yok","Evet"))</f>
        <v/>
      </c>
      <c r="AL765" s="27">
        <f>IF(I765="","",IFERROR(INDEX(Kampanyalar!$E$2:$E$150,MATCH(O765,Kampanyalar!$A$2:$A$150,0)),""))</f>
        <v/>
      </c>
      <c r="AM765" s="27">
        <f>IF(I765="","",IFERROR(INDEX(Kampanyalar!$F$2:$F$150,MATCH(O765,Kampanyalar!$A$2:$A$150,0)),""))</f>
        <v/>
      </c>
      <c r="AN765" s="27">
        <f>IF(I765="","",IFERROR(INDEX(Kampanyalar!$G$2:$G$150,MATCH(O765,Kampanyalar!$A$2:$A$150,0)),""))</f>
        <v/>
      </c>
      <c r="AO765" s="26">
        <f>IF(OR(I765="",AL765="",AM765=""),"",IF(AND(H765&gt;=AL765,H765&lt;=AM765),"Evet","HAYIR - Tarih Dışı"))</f>
        <v/>
      </c>
      <c r="AP765" s="28">
        <f>IF(I765="","",IFERROR(INDEX(Kampanyalar!$H$2:$H$150,MATCH(O765,Kampanyalar!$A$2:$A$150,0)),""))</f>
        <v/>
      </c>
      <c r="AQ765" s="28">
        <f>IF(I765="","",IF(ISNUMBER(AP765),AP765,AD765))</f>
        <v/>
      </c>
      <c r="AR765" s="26">
        <f>IF(I765="","",IF(Parametreler!$C$7="Evet","Kural A - Hemen Ödeme (Stok Mutabakatlı)","Kural B - Nakliye/Montaj Sonrası Ödeme"))</f>
        <v/>
      </c>
    </row>
    <row r="766">
      <c r="A766" s="23" t="n"/>
      <c r="B766" s="23" t="n"/>
      <c r="C766" s="23" t="n"/>
      <c r="D766" s="23" t="n"/>
      <c r="E766" s="23" t="n"/>
      <c r="F766" s="23" t="n"/>
      <c r="G766" s="23" t="n"/>
      <c r="H766" s="24" t="n"/>
      <c r="I766" s="23" t="n"/>
      <c r="J766" s="23" t="n"/>
      <c r="K766" s="23" t="n"/>
      <c r="L766" s="23" t="n"/>
      <c r="M766" s="23" t="n"/>
      <c r="N766" s="23" t="n"/>
      <c r="O766" s="23" t="n"/>
      <c r="P766" s="23" t="n"/>
      <c r="Q766" s="23" t="n"/>
      <c r="R766" s="23" t="n"/>
      <c r="S766" s="23" t="n"/>
      <c r="T766" s="23" t="n"/>
      <c r="U766" s="23" t="n"/>
      <c r="V766" s="23" t="n"/>
      <c r="W766" s="23" t="n"/>
      <c r="X766" s="23" t="n"/>
      <c r="Y766" s="25" t="n"/>
      <c r="Z766" s="25" t="n"/>
      <c r="AA766" s="23" t="n"/>
      <c r="AB766" s="25" t="n"/>
      <c r="AC766" s="23" t="n"/>
      <c r="AD766" s="25" t="n"/>
      <c r="AE766" s="23" t="n"/>
      <c r="AF766" s="25" t="n"/>
      <c r="AG766" s="25" t="n"/>
      <c r="AH766" s="23" t="n"/>
      <c r="AI766" s="23" t="n"/>
      <c r="AJ766" s="26">
        <f>IF(I766="","",I766&amp;"|"&amp;R766)</f>
        <v/>
      </c>
      <c r="AK766" s="26">
        <f>IF(I766="","",IF(ISNA(MATCH(O766,Kampanyalar!$A$2:$A$150,0)),"Hayır - Kampanyalar'da Yok","Evet"))</f>
        <v/>
      </c>
      <c r="AL766" s="27">
        <f>IF(I766="","",IFERROR(INDEX(Kampanyalar!$E$2:$E$150,MATCH(O766,Kampanyalar!$A$2:$A$150,0)),""))</f>
        <v/>
      </c>
      <c r="AM766" s="27">
        <f>IF(I766="","",IFERROR(INDEX(Kampanyalar!$F$2:$F$150,MATCH(O766,Kampanyalar!$A$2:$A$150,0)),""))</f>
        <v/>
      </c>
      <c r="AN766" s="27">
        <f>IF(I766="","",IFERROR(INDEX(Kampanyalar!$G$2:$G$150,MATCH(O766,Kampanyalar!$A$2:$A$150,0)),""))</f>
        <v/>
      </c>
      <c r="AO766" s="26">
        <f>IF(OR(I766="",AL766="",AM766=""),"",IF(AND(H766&gt;=AL766,H766&lt;=AM766),"Evet","HAYIR - Tarih Dışı"))</f>
        <v/>
      </c>
      <c r="AP766" s="28">
        <f>IF(I766="","",IFERROR(INDEX(Kampanyalar!$H$2:$H$150,MATCH(O766,Kampanyalar!$A$2:$A$150,0)),""))</f>
        <v/>
      </c>
      <c r="AQ766" s="28">
        <f>IF(I766="","",IF(ISNUMBER(AP766),AP766,AD766))</f>
        <v/>
      </c>
      <c r="AR766" s="26">
        <f>IF(I766="","",IF(Parametreler!$C$7="Evet","Kural A - Hemen Ödeme (Stok Mutabakatlı)","Kural B - Nakliye/Montaj Sonrası Ödeme"))</f>
        <v/>
      </c>
    </row>
    <row r="767">
      <c r="A767" s="23" t="n"/>
      <c r="B767" s="23" t="n"/>
      <c r="C767" s="23" t="n"/>
      <c r="D767" s="23" t="n"/>
      <c r="E767" s="23" t="n"/>
      <c r="F767" s="23" t="n"/>
      <c r="G767" s="23" t="n"/>
      <c r="H767" s="24" t="n"/>
      <c r="I767" s="23" t="n"/>
      <c r="J767" s="23" t="n"/>
      <c r="K767" s="23" t="n"/>
      <c r="L767" s="23" t="n"/>
      <c r="M767" s="23" t="n"/>
      <c r="N767" s="23" t="n"/>
      <c r="O767" s="23" t="n"/>
      <c r="P767" s="23" t="n"/>
      <c r="Q767" s="23" t="n"/>
      <c r="R767" s="23" t="n"/>
      <c r="S767" s="23" t="n"/>
      <c r="T767" s="23" t="n"/>
      <c r="U767" s="23" t="n"/>
      <c r="V767" s="23" t="n"/>
      <c r="W767" s="23" t="n"/>
      <c r="X767" s="23" t="n"/>
      <c r="Y767" s="25" t="n"/>
      <c r="Z767" s="25" t="n"/>
      <c r="AA767" s="23" t="n"/>
      <c r="AB767" s="25" t="n"/>
      <c r="AC767" s="23" t="n"/>
      <c r="AD767" s="25" t="n"/>
      <c r="AE767" s="23" t="n"/>
      <c r="AF767" s="25" t="n"/>
      <c r="AG767" s="25" t="n"/>
      <c r="AH767" s="23" t="n"/>
      <c r="AI767" s="23" t="n"/>
      <c r="AJ767" s="26">
        <f>IF(I767="","",I767&amp;"|"&amp;R767)</f>
        <v/>
      </c>
      <c r="AK767" s="26">
        <f>IF(I767="","",IF(ISNA(MATCH(O767,Kampanyalar!$A$2:$A$150,0)),"Hayır - Kampanyalar'da Yok","Evet"))</f>
        <v/>
      </c>
      <c r="AL767" s="27">
        <f>IF(I767="","",IFERROR(INDEX(Kampanyalar!$E$2:$E$150,MATCH(O767,Kampanyalar!$A$2:$A$150,0)),""))</f>
        <v/>
      </c>
      <c r="AM767" s="27">
        <f>IF(I767="","",IFERROR(INDEX(Kampanyalar!$F$2:$F$150,MATCH(O767,Kampanyalar!$A$2:$A$150,0)),""))</f>
        <v/>
      </c>
      <c r="AN767" s="27">
        <f>IF(I767="","",IFERROR(INDEX(Kampanyalar!$G$2:$G$150,MATCH(O767,Kampanyalar!$A$2:$A$150,0)),""))</f>
        <v/>
      </c>
      <c r="AO767" s="26">
        <f>IF(OR(I767="",AL767="",AM767=""),"",IF(AND(H767&gt;=AL767,H767&lt;=AM767),"Evet","HAYIR - Tarih Dışı"))</f>
        <v/>
      </c>
      <c r="AP767" s="28">
        <f>IF(I767="","",IFERROR(INDEX(Kampanyalar!$H$2:$H$150,MATCH(O767,Kampanyalar!$A$2:$A$150,0)),""))</f>
        <v/>
      </c>
      <c r="AQ767" s="28">
        <f>IF(I767="","",IF(ISNUMBER(AP767),AP767,AD767))</f>
        <v/>
      </c>
      <c r="AR767" s="26">
        <f>IF(I767="","",IF(Parametreler!$C$7="Evet","Kural A - Hemen Ödeme (Stok Mutabakatlı)","Kural B - Nakliye/Montaj Sonrası Ödeme"))</f>
        <v/>
      </c>
    </row>
    <row r="768">
      <c r="A768" s="23" t="n"/>
      <c r="B768" s="23" t="n"/>
      <c r="C768" s="23" t="n"/>
      <c r="D768" s="23" t="n"/>
      <c r="E768" s="23" t="n"/>
      <c r="F768" s="23" t="n"/>
      <c r="G768" s="23" t="n"/>
      <c r="H768" s="24" t="n"/>
      <c r="I768" s="23" t="n"/>
      <c r="J768" s="23" t="n"/>
      <c r="K768" s="23" t="n"/>
      <c r="L768" s="23" t="n"/>
      <c r="M768" s="23" t="n"/>
      <c r="N768" s="23" t="n"/>
      <c r="O768" s="23" t="n"/>
      <c r="P768" s="23" t="n"/>
      <c r="Q768" s="23" t="n"/>
      <c r="R768" s="23" t="n"/>
      <c r="S768" s="23" t="n"/>
      <c r="T768" s="23" t="n"/>
      <c r="U768" s="23" t="n"/>
      <c r="V768" s="23" t="n"/>
      <c r="W768" s="23" t="n"/>
      <c r="X768" s="23" t="n"/>
      <c r="Y768" s="25" t="n"/>
      <c r="Z768" s="25" t="n"/>
      <c r="AA768" s="23" t="n"/>
      <c r="AB768" s="25" t="n"/>
      <c r="AC768" s="23" t="n"/>
      <c r="AD768" s="25" t="n"/>
      <c r="AE768" s="23" t="n"/>
      <c r="AF768" s="25" t="n"/>
      <c r="AG768" s="25" t="n"/>
      <c r="AH768" s="23" t="n"/>
      <c r="AI768" s="23" t="n"/>
      <c r="AJ768" s="26">
        <f>IF(I768="","",I768&amp;"|"&amp;R768)</f>
        <v/>
      </c>
      <c r="AK768" s="26">
        <f>IF(I768="","",IF(ISNA(MATCH(O768,Kampanyalar!$A$2:$A$150,0)),"Hayır - Kampanyalar'da Yok","Evet"))</f>
        <v/>
      </c>
      <c r="AL768" s="27">
        <f>IF(I768="","",IFERROR(INDEX(Kampanyalar!$E$2:$E$150,MATCH(O768,Kampanyalar!$A$2:$A$150,0)),""))</f>
        <v/>
      </c>
      <c r="AM768" s="27">
        <f>IF(I768="","",IFERROR(INDEX(Kampanyalar!$F$2:$F$150,MATCH(O768,Kampanyalar!$A$2:$A$150,0)),""))</f>
        <v/>
      </c>
      <c r="AN768" s="27">
        <f>IF(I768="","",IFERROR(INDEX(Kampanyalar!$G$2:$G$150,MATCH(O768,Kampanyalar!$A$2:$A$150,0)),""))</f>
        <v/>
      </c>
      <c r="AO768" s="26">
        <f>IF(OR(I768="",AL768="",AM768=""),"",IF(AND(H768&gt;=AL768,H768&lt;=AM768),"Evet","HAYIR - Tarih Dışı"))</f>
        <v/>
      </c>
      <c r="AP768" s="28">
        <f>IF(I768="","",IFERROR(INDEX(Kampanyalar!$H$2:$H$150,MATCH(O768,Kampanyalar!$A$2:$A$150,0)),""))</f>
        <v/>
      </c>
      <c r="AQ768" s="28">
        <f>IF(I768="","",IF(ISNUMBER(AP768),AP768,AD768))</f>
        <v/>
      </c>
      <c r="AR768" s="26">
        <f>IF(I768="","",IF(Parametreler!$C$7="Evet","Kural A - Hemen Ödeme (Stok Mutabakatlı)","Kural B - Nakliye/Montaj Sonrası Ödeme"))</f>
        <v/>
      </c>
    </row>
    <row r="769">
      <c r="A769" s="23" t="n"/>
      <c r="B769" s="23" t="n"/>
      <c r="C769" s="23" t="n"/>
      <c r="D769" s="23" t="n"/>
      <c r="E769" s="23" t="n"/>
      <c r="F769" s="23" t="n"/>
      <c r="G769" s="23" t="n"/>
      <c r="H769" s="24" t="n"/>
      <c r="I769" s="23" t="n"/>
      <c r="J769" s="23" t="n"/>
      <c r="K769" s="23" t="n"/>
      <c r="L769" s="23" t="n"/>
      <c r="M769" s="23" t="n"/>
      <c r="N769" s="23" t="n"/>
      <c r="O769" s="23" t="n"/>
      <c r="P769" s="23" t="n"/>
      <c r="Q769" s="23" t="n"/>
      <c r="R769" s="23" t="n"/>
      <c r="S769" s="23" t="n"/>
      <c r="T769" s="23" t="n"/>
      <c r="U769" s="23" t="n"/>
      <c r="V769" s="23" t="n"/>
      <c r="W769" s="23" t="n"/>
      <c r="X769" s="23" t="n"/>
      <c r="Y769" s="25" t="n"/>
      <c r="Z769" s="25" t="n"/>
      <c r="AA769" s="23" t="n"/>
      <c r="AB769" s="25" t="n"/>
      <c r="AC769" s="23" t="n"/>
      <c r="AD769" s="25" t="n"/>
      <c r="AE769" s="23" t="n"/>
      <c r="AF769" s="25" t="n"/>
      <c r="AG769" s="25" t="n"/>
      <c r="AH769" s="23" t="n"/>
      <c r="AI769" s="23" t="n"/>
      <c r="AJ769" s="26">
        <f>IF(I769="","",I769&amp;"|"&amp;R769)</f>
        <v/>
      </c>
      <c r="AK769" s="26">
        <f>IF(I769="","",IF(ISNA(MATCH(O769,Kampanyalar!$A$2:$A$150,0)),"Hayır - Kampanyalar'da Yok","Evet"))</f>
        <v/>
      </c>
      <c r="AL769" s="27">
        <f>IF(I769="","",IFERROR(INDEX(Kampanyalar!$E$2:$E$150,MATCH(O769,Kampanyalar!$A$2:$A$150,0)),""))</f>
        <v/>
      </c>
      <c r="AM769" s="27">
        <f>IF(I769="","",IFERROR(INDEX(Kampanyalar!$F$2:$F$150,MATCH(O769,Kampanyalar!$A$2:$A$150,0)),""))</f>
        <v/>
      </c>
      <c r="AN769" s="27">
        <f>IF(I769="","",IFERROR(INDEX(Kampanyalar!$G$2:$G$150,MATCH(O769,Kampanyalar!$A$2:$A$150,0)),""))</f>
        <v/>
      </c>
      <c r="AO769" s="26">
        <f>IF(OR(I769="",AL769="",AM769=""),"",IF(AND(H769&gt;=AL769,H769&lt;=AM769),"Evet","HAYIR - Tarih Dışı"))</f>
        <v/>
      </c>
      <c r="AP769" s="28">
        <f>IF(I769="","",IFERROR(INDEX(Kampanyalar!$H$2:$H$150,MATCH(O769,Kampanyalar!$A$2:$A$150,0)),""))</f>
        <v/>
      </c>
      <c r="AQ769" s="28">
        <f>IF(I769="","",IF(ISNUMBER(AP769),AP769,AD769))</f>
        <v/>
      </c>
      <c r="AR769" s="26">
        <f>IF(I769="","",IF(Parametreler!$C$7="Evet","Kural A - Hemen Ödeme (Stok Mutabakatlı)","Kural B - Nakliye/Montaj Sonrası Ödeme"))</f>
        <v/>
      </c>
    </row>
    <row r="770">
      <c r="A770" s="23" t="n"/>
      <c r="B770" s="23" t="n"/>
      <c r="C770" s="23" t="n"/>
      <c r="D770" s="23" t="n"/>
      <c r="E770" s="23" t="n"/>
      <c r="F770" s="23" t="n"/>
      <c r="G770" s="23" t="n"/>
      <c r="H770" s="24" t="n"/>
      <c r="I770" s="23" t="n"/>
      <c r="J770" s="23" t="n"/>
      <c r="K770" s="23" t="n"/>
      <c r="L770" s="23" t="n"/>
      <c r="M770" s="23" t="n"/>
      <c r="N770" s="23" t="n"/>
      <c r="O770" s="23" t="n"/>
      <c r="P770" s="23" t="n"/>
      <c r="Q770" s="23" t="n"/>
      <c r="R770" s="23" t="n"/>
      <c r="S770" s="23" t="n"/>
      <c r="T770" s="23" t="n"/>
      <c r="U770" s="23" t="n"/>
      <c r="V770" s="23" t="n"/>
      <c r="W770" s="23" t="n"/>
      <c r="X770" s="23" t="n"/>
      <c r="Y770" s="25" t="n"/>
      <c r="Z770" s="25" t="n"/>
      <c r="AA770" s="23" t="n"/>
      <c r="AB770" s="25" t="n"/>
      <c r="AC770" s="23" t="n"/>
      <c r="AD770" s="25" t="n"/>
      <c r="AE770" s="23" t="n"/>
      <c r="AF770" s="25" t="n"/>
      <c r="AG770" s="25" t="n"/>
      <c r="AH770" s="23" t="n"/>
      <c r="AI770" s="23" t="n"/>
      <c r="AJ770" s="26">
        <f>IF(I770="","",I770&amp;"|"&amp;R770)</f>
        <v/>
      </c>
      <c r="AK770" s="26">
        <f>IF(I770="","",IF(ISNA(MATCH(O770,Kampanyalar!$A$2:$A$150,0)),"Hayır - Kampanyalar'da Yok","Evet"))</f>
        <v/>
      </c>
      <c r="AL770" s="27">
        <f>IF(I770="","",IFERROR(INDEX(Kampanyalar!$E$2:$E$150,MATCH(O770,Kampanyalar!$A$2:$A$150,0)),""))</f>
        <v/>
      </c>
      <c r="AM770" s="27">
        <f>IF(I770="","",IFERROR(INDEX(Kampanyalar!$F$2:$F$150,MATCH(O770,Kampanyalar!$A$2:$A$150,0)),""))</f>
        <v/>
      </c>
      <c r="AN770" s="27">
        <f>IF(I770="","",IFERROR(INDEX(Kampanyalar!$G$2:$G$150,MATCH(O770,Kampanyalar!$A$2:$A$150,0)),""))</f>
        <v/>
      </c>
      <c r="AO770" s="26">
        <f>IF(OR(I770="",AL770="",AM770=""),"",IF(AND(H770&gt;=AL770,H770&lt;=AM770),"Evet","HAYIR - Tarih Dışı"))</f>
        <v/>
      </c>
      <c r="AP770" s="28">
        <f>IF(I770="","",IFERROR(INDEX(Kampanyalar!$H$2:$H$150,MATCH(O770,Kampanyalar!$A$2:$A$150,0)),""))</f>
        <v/>
      </c>
      <c r="AQ770" s="28">
        <f>IF(I770="","",IF(ISNUMBER(AP770),AP770,AD770))</f>
        <v/>
      </c>
      <c r="AR770" s="26">
        <f>IF(I770="","",IF(Parametreler!$C$7="Evet","Kural A - Hemen Ödeme (Stok Mutabakatlı)","Kural B - Nakliye/Montaj Sonrası Ödeme"))</f>
        <v/>
      </c>
    </row>
    <row r="771">
      <c r="A771" s="23" t="n"/>
      <c r="B771" s="23" t="n"/>
      <c r="C771" s="23" t="n"/>
      <c r="D771" s="23" t="n"/>
      <c r="E771" s="23" t="n"/>
      <c r="F771" s="23" t="n"/>
      <c r="G771" s="23" t="n"/>
      <c r="H771" s="24" t="n"/>
      <c r="I771" s="23" t="n"/>
      <c r="J771" s="23" t="n"/>
      <c r="K771" s="23" t="n"/>
      <c r="L771" s="23" t="n"/>
      <c r="M771" s="23" t="n"/>
      <c r="N771" s="23" t="n"/>
      <c r="O771" s="23" t="n"/>
      <c r="P771" s="23" t="n"/>
      <c r="Q771" s="23" t="n"/>
      <c r="R771" s="23" t="n"/>
      <c r="S771" s="23" t="n"/>
      <c r="T771" s="23" t="n"/>
      <c r="U771" s="23" t="n"/>
      <c r="V771" s="23" t="n"/>
      <c r="W771" s="23" t="n"/>
      <c r="X771" s="23" t="n"/>
      <c r="Y771" s="25" t="n"/>
      <c r="Z771" s="25" t="n"/>
      <c r="AA771" s="23" t="n"/>
      <c r="AB771" s="25" t="n"/>
      <c r="AC771" s="23" t="n"/>
      <c r="AD771" s="25" t="n"/>
      <c r="AE771" s="23" t="n"/>
      <c r="AF771" s="25" t="n"/>
      <c r="AG771" s="25" t="n"/>
      <c r="AH771" s="23" t="n"/>
      <c r="AI771" s="23" t="n"/>
      <c r="AJ771" s="26">
        <f>IF(I771="","",I771&amp;"|"&amp;R771)</f>
        <v/>
      </c>
      <c r="AK771" s="26">
        <f>IF(I771="","",IF(ISNA(MATCH(O771,Kampanyalar!$A$2:$A$150,0)),"Hayır - Kampanyalar'da Yok","Evet"))</f>
        <v/>
      </c>
      <c r="AL771" s="27">
        <f>IF(I771="","",IFERROR(INDEX(Kampanyalar!$E$2:$E$150,MATCH(O771,Kampanyalar!$A$2:$A$150,0)),""))</f>
        <v/>
      </c>
      <c r="AM771" s="27">
        <f>IF(I771="","",IFERROR(INDEX(Kampanyalar!$F$2:$F$150,MATCH(O771,Kampanyalar!$A$2:$A$150,0)),""))</f>
        <v/>
      </c>
      <c r="AN771" s="27">
        <f>IF(I771="","",IFERROR(INDEX(Kampanyalar!$G$2:$G$150,MATCH(O771,Kampanyalar!$A$2:$A$150,0)),""))</f>
        <v/>
      </c>
      <c r="AO771" s="26">
        <f>IF(OR(I771="",AL771="",AM771=""),"",IF(AND(H771&gt;=AL771,H771&lt;=AM771),"Evet","HAYIR - Tarih Dışı"))</f>
        <v/>
      </c>
      <c r="AP771" s="28">
        <f>IF(I771="","",IFERROR(INDEX(Kampanyalar!$H$2:$H$150,MATCH(O771,Kampanyalar!$A$2:$A$150,0)),""))</f>
        <v/>
      </c>
      <c r="AQ771" s="28">
        <f>IF(I771="","",IF(ISNUMBER(AP771),AP771,AD771))</f>
        <v/>
      </c>
      <c r="AR771" s="26">
        <f>IF(I771="","",IF(Parametreler!$C$7="Evet","Kural A - Hemen Ödeme (Stok Mutabakatlı)","Kural B - Nakliye/Montaj Sonrası Ödeme"))</f>
        <v/>
      </c>
    </row>
    <row r="772">
      <c r="A772" s="23" t="n"/>
      <c r="B772" s="23" t="n"/>
      <c r="C772" s="23" t="n"/>
      <c r="D772" s="23" t="n"/>
      <c r="E772" s="23" t="n"/>
      <c r="F772" s="23" t="n"/>
      <c r="G772" s="23" t="n"/>
      <c r="H772" s="24" t="n"/>
      <c r="I772" s="23" t="n"/>
      <c r="J772" s="23" t="n"/>
      <c r="K772" s="23" t="n"/>
      <c r="L772" s="23" t="n"/>
      <c r="M772" s="23" t="n"/>
      <c r="N772" s="23" t="n"/>
      <c r="O772" s="23" t="n"/>
      <c r="P772" s="23" t="n"/>
      <c r="Q772" s="23" t="n"/>
      <c r="R772" s="23" t="n"/>
      <c r="S772" s="23" t="n"/>
      <c r="T772" s="23" t="n"/>
      <c r="U772" s="23" t="n"/>
      <c r="V772" s="23" t="n"/>
      <c r="W772" s="23" t="n"/>
      <c r="X772" s="23" t="n"/>
      <c r="Y772" s="25" t="n"/>
      <c r="Z772" s="25" t="n"/>
      <c r="AA772" s="23" t="n"/>
      <c r="AB772" s="25" t="n"/>
      <c r="AC772" s="23" t="n"/>
      <c r="AD772" s="25" t="n"/>
      <c r="AE772" s="23" t="n"/>
      <c r="AF772" s="25" t="n"/>
      <c r="AG772" s="25" t="n"/>
      <c r="AH772" s="23" t="n"/>
      <c r="AI772" s="23" t="n"/>
      <c r="AJ772" s="26">
        <f>IF(I772="","",I772&amp;"|"&amp;R772)</f>
        <v/>
      </c>
      <c r="AK772" s="26">
        <f>IF(I772="","",IF(ISNA(MATCH(O772,Kampanyalar!$A$2:$A$150,0)),"Hayır - Kampanyalar'da Yok","Evet"))</f>
        <v/>
      </c>
      <c r="AL772" s="27">
        <f>IF(I772="","",IFERROR(INDEX(Kampanyalar!$E$2:$E$150,MATCH(O772,Kampanyalar!$A$2:$A$150,0)),""))</f>
        <v/>
      </c>
      <c r="AM772" s="27">
        <f>IF(I772="","",IFERROR(INDEX(Kampanyalar!$F$2:$F$150,MATCH(O772,Kampanyalar!$A$2:$A$150,0)),""))</f>
        <v/>
      </c>
      <c r="AN772" s="27">
        <f>IF(I772="","",IFERROR(INDEX(Kampanyalar!$G$2:$G$150,MATCH(O772,Kampanyalar!$A$2:$A$150,0)),""))</f>
        <v/>
      </c>
      <c r="AO772" s="26">
        <f>IF(OR(I772="",AL772="",AM772=""),"",IF(AND(H772&gt;=AL772,H772&lt;=AM772),"Evet","HAYIR - Tarih Dışı"))</f>
        <v/>
      </c>
      <c r="AP772" s="28">
        <f>IF(I772="","",IFERROR(INDEX(Kampanyalar!$H$2:$H$150,MATCH(O772,Kampanyalar!$A$2:$A$150,0)),""))</f>
        <v/>
      </c>
      <c r="AQ772" s="28">
        <f>IF(I772="","",IF(ISNUMBER(AP772),AP772,AD772))</f>
        <v/>
      </c>
      <c r="AR772" s="26">
        <f>IF(I772="","",IF(Parametreler!$C$7="Evet","Kural A - Hemen Ödeme (Stok Mutabakatlı)","Kural B - Nakliye/Montaj Sonrası Ödeme"))</f>
        <v/>
      </c>
    </row>
    <row r="773">
      <c r="A773" s="23" t="n"/>
      <c r="B773" s="23" t="n"/>
      <c r="C773" s="23" t="n"/>
      <c r="D773" s="23" t="n"/>
      <c r="E773" s="23" t="n"/>
      <c r="F773" s="23" t="n"/>
      <c r="G773" s="23" t="n"/>
      <c r="H773" s="24" t="n"/>
      <c r="I773" s="23" t="n"/>
      <c r="J773" s="23" t="n"/>
      <c r="K773" s="23" t="n"/>
      <c r="L773" s="23" t="n"/>
      <c r="M773" s="23" t="n"/>
      <c r="N773" s="23" t="n"/>
      <c r="O773" s="23" t="n"/>
      <c r="P773" s="23" t="n"/>
      <c r="Q773" s="23" t="n"/>
      <c r="R773" s="23" t="n"/>
      <c r="S773" s="23" t="n"/>
      <c r="T773" s="23" t="n"/>
      <c r="U773" s="23" t="n"/>
      <c r="V773" s="23" t="n"/>
      <c r="W773" s="23" t="n"/>
      <c r="X773" s="23" t="n"/>
      <c r="Y773" s="25" t="n"/>
      <c r="Z773" s="25" t="n"/>
      <c r="AA773" s="23" t="n"/>
      <c r="AB773" s="25" t="n"/>
      <c r="AC773" s="23" t="n"/>
      <c r="AD773" s="25" t="n"/>
      <c r="AE773" s="23" t="n"/>
      <c r="AF773" s="25" t="n"/>
      <c r="AG773" s="25" t="n"/>
      <c r="AH773" s="23" t="n"/>
      <c r="AI773" s="23" t="n"/>
      <c r="AJ773" s="26">
        <f>IF(I773="","",I773&amp;"|"&amp;R773)</f>
        <v/>
      </c>
      <c r="AK773" s="26">
        <f>IF(I773="","",IF(ISNA(MATCH(O773,Kampanyalar!$A$2:$A$150,0)),"Hayır - Kampanyalar'da Yok","Evet"))</f>
        <v/>
      </c>
      <c r="AL773" s="27">
        <f>IF(I773="","",IFERROR(INDEX(Kampanyalar!$E$2:$E$150,MATCH(O773,Kampanyalar!$A$2:$A$150,0)),""))</f>
        <v/>
      </c>
      <c r="AM773" s="27">
        <f>IF(I773="","",IFERROR(INDEX(Kampanyalar!$F$2:$F$150,MATCH(O773,Kampanyalar!$A$2:$A$150,0)),""))</f>
        <v/>
      </c>
      <c r="AN773" s="27">
        <f>IF(I773="","",IFERROR(INDEX(Kampanyalar!$G$2:$G$150,MATCH(O773,Kampanyalar!$A$2:$A$150,0)),""))</f>
        <v/>
      </c>
      <c r="AO773" s="26">
        <f>IF(OR(I773="",AL773="",AM773=""),"",IF(AND(H773&gt;=AL773,H773&lt;=AM773),"Evet","HAYIR - Tarih Dışı"))</f>
        <v/>
      </c>
      <c r="AP773" s="28">
        <f>IF(I773="","",IFERROR(INDEX(Kampanyalar!$H$2:$H$150,MATCH(O773,Kampanyalar!$A$2:$A$150,0)),""))</f>
        <v/>
      </c>
      <c r="AQ773" s="28">
        <f>IF(I773="","",IF(ISNUMBER(AP773),AP773,AD773))</f>
        <v/>
      </c>
      <c r="AR773" s="26">
        <f>IF(I773="","",IF(Parametreler!$C$7="Evet","Kural A - Hemen Ödeme (Stok Mutabakatlı)","Kural B - Nakliye/Montaj Sonrası Ödeme"))</f>
        <v/>
      </c>
    </row>
    <row r="774">
      <c r="A774" s="23" t="n"/>
      <c r="B774" s="23" t="n"/>
      <c r="C774" s="23" t="n"/>
      <c r="D774" s="23" t="n"/>
      <c r="E774" s="23" t="n"/>
      <c r="F774" s="23" t="n"/>
      <c r="G774" s="23" t="n"/>
      <c r="H774" s="24" t="n"/>
      <c r="I774" s="23" t="n"/>
      <c r="J774" s="23" t="n"/>
      <c r="K774" s="23" t="n"/>
      <c r="L774" s="23" t="n"/>
      <c r="M774" s="23" t="n"/>
      <c r="N774" s="23" t="n"/>
      <c r="O774" s="23" t="n"/>
      <c r="P774" s="23" t="n"/>
      <c r="Q774" s="23" t="n"/>
      <c r="R774" s="23" t="n"/>
      <c r="S774" s="23" t="n"/>
      <c r="T774" s="23" t="n"/>
      <c r="U774" s="23" t="n"/>
      <c r="V774" s="23" t="n"/>
      <c r="W774" s="23" t="n"/>
      <c r="X774" s="23" t="n"/>
      <c r="Y774" s="25" t="n"/>
      <c r="Z774" s="25" t="n"/>
      <c r="AA774" s="23" t="n"/>
      <c r="AB774" s="25" t="n"/>
      <c r="AC774" s="23" t="n"/>
      <c r="AD774" s="25" t="n"/>
      <c r="AE774" s="23" t="n"/>
      <c r="AF774" s="25" t="n"/>
      <c r="AG774" s="25" t="n"/>
      <c r="AH774" s="23" t="n"/>
      <c r="AI774" s="23" t="n"/>
      <c r="AJ774" s="26">
        <f>IF(I774="","",I774&amp;"|"&amp;R774)</f>
        <v/>
      </c>
      <c r="AK774" s="26">
        <f>IF(I774="","",IF(ISNA(MATCH(O774,Kampanyalar!$A$2:$A$150,0)),"Hayır - Kampanyalar'da Yok","Evet"))</f>
        <v/>
      </c>
      <c r="AL774" s="27">
        <f>IF(I774="","",IFERROR(INDEX(Kampanyalar!$E$2:$E$150,MATCH(O774,Kampanyalar!$A$2:$A$150,0)),""))</f>
        <v/>
      </c>
      <c r="AM774" s="27">
        <f>IF(I774="","",IFERROR(INDEX(Kampanyalar!$F$2:$F$150,MATCH(O774,Kampanyalar!$A$2:$A$150,0)),""))</f>
        <v/>
      </c>
      <c r="AN774" s="27">
        <f>IF(I774="","",IFERROR(INDEX(Kampanyalar!$G$2:$G$150,MATCH(O774,Kampanyalar!$A$2:$A$150,0)),""))</f>
        <v/>
      </c>
      <c r="AO774" s="26">
        <f>IF(OR(I774="",AL774="",AM774=""),"",IF(AND(H774&gt;=AL774,H774&lt;=AM774),"Evet","HAYIR - Tarih Dışı"))</f>
        <v/>
      </c>
      <c r="AP774" s="28">
        <f>IF(I774="","",IFERROR(INDEX(Kampanyalar!$H$2:$H$150,MATCH(O774,Kampanyalar!$A$2:$A$150,0)),""))</f>
        <v/>
      </c>
      <c r="AQ774" s="28">
        <f>IF(I774="","",IF(ISNUMBER(AP774),AP774,AD774))</f>
        <v/>
      </c>
      <c r="AR774" s="26">
        <f>IF(I774="","",IF(Parametreler!$C$7="Evet","Kural A - Hemen Ödeme (Stok Mutabakatlı)","Kural B - Nakliye/Montaj Sonrası Ödeme"))</f>
        <v/>
      </c>
    </row>
    <row r="775">
      <c r="A775" s="23" t="n"/>
      <c r="B775" s="23" t="n"/>
      <c r="C775" s="23" t="n"/>
      <c r="D775" s="23" t="n"/>
      <c r="E775" s="23" t="n"/>
      <c r="F775" s="23" t="n"/>
      <c r="G775" s="23" t="n"/>
      <c r="H775" s="24" t="n"/>
      <c r="I775" s="23" t="n"/>
      <c r="J775" s="23" t="n"/>
      <c r="K775" s="23" t="n"/>
      <c r="L775" s="23" t="n"/>
      <c r="M775" s="23" t="n"/>
      <c r="N775" s="23" t="n"/>
      <c r="O775" s="23" t="n"/>
      <c r="P775" s="23" t="n"/>
      <c r="Q775" s="23" t="n"/>
      <c r="R775" s="23" t="n"/>
      <c r="S775" s="23" t="n"/>
      <c r="T775" s="23" t="n"/>
      <c r="U775" s="23" t="n"/>
      <c r="V775" s="23" t="n"/>
      <c r="W775" s="23" t="n"/>
      <c r="X775" s="23" t="n"/>
      <c r="Y775" s="25" t="n"/>
      <c r="Z775" s="25" t="n"/>
      <c r="AA775" s="23" t="n"/>
      <c r="AB775" s="25" t="n"/>
      <c r="AC775" s="23" t="n"/>
      <c r="AD775" s="25" t="n"/>
      <c r="AE775" s="23" t="n"/>
      <c r="AF775" s="25" t="n"/>
      <c r="AG775" s="25" t="n"/>
      <c r="AH775" s="23" t="n"/>
      <c r="AI775" s="23" t="n"/>
      <c r="AJ775" s="26">
        <f>IF(I775="","",I775&amp;"|"&amp;R775)</f>
        <v/>
      </c>
      <c r="AK775" s="26">
        <f>IF(I775="","",IF(ISNA(MATCH(O775,Kampanyalar!$A$2:$A$150,0)),"Hayır - Kampanyalar'da Yok","Evet"))</f>
        <v/>
      </c>
      <c r="AL775" s="27">
        <f>IF(I775="","",IFERROR(INDEX(Kampanyalar!$E$2:$E$150,MATCH(O775,Kampanyalar!$A$2:$A$150,0)),""))</f>
        <v/>
      </c>
      <c r="AM775" s="27">
        <f>IF(I775="","",IFERROR(INDEX(Kampanyalar!$F$2:$F$150,MATCH(O775,Kampanyalar!$A$2:$A$150,0)),""))</f>
        <v/>
      </c>
      <c r="AN775" s="27">
        <f>IF(I775="","",IFERROR(INDEX(Kampanyalar!$G$2:$G$150,MATCH(O775,Kampanyalar!$A$2:$A$150,0)),""))</f>
        <v/>
      </c>
      <c r="AO775" s="26">
        <f>IF(OR(I775="",AL775="",AM775=""),"",IF(AND(H775&gt;=AL775,H775&lt;=AM775),"Evet","HAYIR - Tarih Dışı"))</f>
        <v/>
      </c>
      <c r="AP775" s="28">
        <f>IF(I775="","",IFERROR(INDEX(Kampanyalar!$H$2:$H$150,MATCH(O775,Kampanyalar!$A$2:$A$150,0)),""))</f>
        <v/>
      </c>
      <c r="AQ775" s="28">
        <f>IF(I775="","",IF(ISNUMBER(AP775),AP775,AD775))</f>
        <v/>
      </c>
      <c r="AR775" s="26">
        <f>IF(I775="","",IF(Parametreler!$C$7="Evet","Kural A - Hemen Ödeme (Stok Mutabakatlı)","Kural B - Nakliye/Montaj Sonrası Ödeme"))</f>
        <v/>
      </c>
    </row>
    <row r="776">
      <c r="A776" s="23" t="n"/>
      <c r="B776" s="23" t="n"/>
      <c r="C776" s="23" t="n"/>
      <c r="D776" s="23" t="n"/>
      <c r="E776" s="23" t="n"/>
      <c r="F776" s="23" t="n"/>
      <c r="G776" s="23" t="n"/>
      <c r="H776" s="24" t="n"/>
      <c r="I776" s="23" t="n"/>
      <c r="J776" s="23" t="n"/>
      <c r="K776" s="23" t="n"/>
      <c r="L776" s="23" t="n"/>
      <c r="M776" s="23" t="n"/>
      <c r="N776" s="23" t="n"/>
      <c r="O776" s="23" t="n"/>
      <c r="P776" s="23" t="n"/>
      <c r="Q776" s="23" t="n"/>
      <c r="R776" s="23" t="n"/>
      <c r="S776" s="23" t="n"/>
      <c r="T776" s="23" t="n"/>
      <c r="U776" s="23" t="n"/>
      <c r="V776" s="23" t="n"/>
      <c r="W776" s="23" t="n"/>
      <c r="X776" s="23" t="n"/>
      <c r="Y776" s="25" t="n"/>
      <c r="Z776" s="25" t="n"/>
      <c r="AA776" s="23" t="n"/>
      <c r="AB776" s="25" t="n"/>
      <c r="AC776" s="23" t="n"/>
      <c r="AD776" s="25" t="n"/>
      <c r="AE776" s="23" t="n"/>
      <c r="AF776" s="25" t="n"/>
      <c r="AG776" s="25" t="n"/>
      <c r="AH776" s="23" t="n"/>
      <c r="AI776" s="23" t="n"/>
      <c r="AJ776" s="26">
        <f>IF(I776="","",I776&amp;"|"&amp;R776)</f>
        <v/>
      </c>
      <c r="AK776" s="26">
        <f>IF(I776="","",IF(ISNA(MATCH(O776,Kampanyalar!$A$2:$A$150,0)),"Hayır - Kampanyalar'da Yok","Evet"))</f>
        <v/>
      </c>
      <c r="AL776" s="27">
        <f>IF(I776="","",IFERROR(INDEX(Kampanyalar!$E$2:$E$150,MATCH(O776,Kampanyalar!$A$2:$A$150,0)),""))</f>
        <v/>
      </c>
      <c r="AM776" s="27">
        <f>IF(I776="","",IFERROR(INDEX(Kampanyalar!$F$2:$F$150,MATCH(O776,Kampanyalar!$A$2:$A$150,0)),""))</f>
        <v/>
      </c>
      <c r="AN776" s="27">
        <f>IF(I776="","",IFERROR(INDEX(Kampanyalar!$G$2:$G$150,MATCH(O776,Kampanyalar!$A$2:$A$150,0)),""))</f>
        <v/>
      </c>
      <c r="AO776" s="26">
        <f>IF(OR(I776="",AL776="",AM776=""),"",IF(AND(H776&gt;=AL776,H776&lt;=AM776),"Evet","HAYIR - Tarih Dışı"))</f>
        <v/>
      </c>
      <c r="AP776" s="28">
        <f>IF(I776="","",IFERROR(INDEX(Kampanyalar!$H$2:$H$150,MATCH(O776,Kampanyalar!$A$2:$A$150,0)),""))</f>
        <v/>
      </c>
      <c r="AQ776" s="28">
        <f>IF(I776="","",IF(ISNUMBER(AP776),AP776,AD776))</f>
        <v/>
      </c>
      <c r="AR776" s="26">
        <f>IF(I776="","",IF(Parametreler!$C$7="Evet","Kural A - Hemen Ödeme (Stok Mutabakatlı)","Kural B - Nakliye/Montaj Sonrası Ödeme"))</f>
        <v/>
      </c>
    </row>
    <row r="777">
      <c r="A777" s="23" t="n"/>
      <c r="B777" s="23" t="n"/>
      <c r="C777" s="23" t="n"/>
      <c r="D777" s="23" t="n"/>
      <c r="E777" s="23" t="n"/>
      <c r="F777" s="23" t="n"/>
      <c r="G777" s="23" t="n"/>
      <c r="H777" s="24" t="n"/>
      <c r="I777" s="23" t="n"/>
      <c r="J777" s="23" t="n"/>
      <c r="K777" s="23" t="n"/>
      <c r="L777" s="23" t="n"/>
      <c r="M777" s="23" t="n"/>
      <c r="N777" s="23" t="n"/>
      <c r="O777" s="23" t="n"/>
      <c r="P777" s="23" t="n"/>
      <c r="Q777" s="23" t="n"/>
      <c r="R777" s="23" t="n"/>
      <c r="S777" s="23" t="n"/>
      <c r="T777" s="23" t="n"/>
      <c r="U777" s="23" t="n"/>
      <c r="V777" s="23" t="n"/>
      <c r="W777" s="23" t="n"/>
      <c r="X777" s="23" t="n"/>
      <c r="Y777" s="25" t="n"/>
      <c r="Z777" s="25" t="n"/>
      <c r="AA777" s="23" t="n"/>
      <c r="AB777" s="25" t="n"/>
      <c r="AC777" s="23" t="n"/>
      <c r="AD777" s="25" t="n"/>
      <c r="AE777" s="23" t="n"/>
      <c r="AF777" s="25" t="n"/>
      <c r="AG777" s="25" t="n"/>
      <c r="AH777" s="23" t="n"/>
      <c r="AI777" s="23" t="n"/>
      <c r="AJ777" s="26">
        <f>IF(I777="","",I777&amp;"|"&amp;R777)</f>
        <v/>
      </c>
      <c r="AK777" s="26">
        <f>IF(I777="","",IF(ISNA(MATCH(O777,Kampanyalar!$A$2:$A$150,0)),"Hayır - Kampanyalar'da Yok","Evet"))</f>
        <v/>
      </c>
      <c r="AL777" s="27">
        <f>IF(I777="","",IFERROR(INDEX(Kampanyalar!$E$2:$E$150,MATCH(O777,Kampanyalar!$A$2:$A$150,0)),""))</f>
        <v/>
      </c>
      <c r="AM777" s="27">
        <f>IF(I777="","",IFERROR(INDEX(Kampanyalar!$F$2:$F$150,MATCH(O777,Kampanyalar!$A$2:$A$150,0)),""))</f>
        <v/>
      </c>
      <c r="AN777" s="27">
        <f>IF(I777="","",IFERROR(INDEX(Kampanyalar!$G$2:$G$150,MATCH(O777,Kampanyalar!$A$2:$A$150,0)),""))</f>
        <v/>
      </c>
      <c r="AO777" s="26">
        <f>IF(OR(I777="",AL777="",AM777=""),"",IF(AND(H777&gt;=AL777,H777&lt;=AM777),"Evet","HAYIR - Tarih Dışı"))</f>
        <v/>
      </c>
      <c r="AP777" s="28">
        <f>IF(I777="","",IFERROR(INDEX(Kampanyalar!$H$2:$H$150,MATCH(O777,Kampanyalar!$A$2:$A$150,0)),""))</f>
        <v/>
      </c>
      <c r="AQ777" s="28">
        <f>IF(I777="","",IF(ISNUMBER(AP777),AP777,AD777))</f>
        <v/>
      </c>
      <c r="AR777" s="26">
        <f>IF(I777="","",IF(Parametreler!$C$7="Evet","Kural A - Hemen Ödeme (Stok Mutabakatlı)","Kural B - Nakliye/Montaj Sonrası Ödeme"))</f>
        <v/>
      </c>
    </row>
    <row r="778">
      <c r="A778" s="23" t="n"/>
      <c r="B778" s="23" t="n"/>
      <c r="C778" s="23" t="n"/>
      <c r="D778" s="23" t="n"/>
      <c r="E778" s="23" t="n"/>
      <c r="F778" s="23" t="n"/>
      <c r="G778" s="23" t="n"/>
      <c r="H778" s="24" t="n"/>
      <c r="I778" s="23" t="n"/>
      <c r="J778" s="23" t="n"/>
      <c r="K778" s="23" t="n"/>
      <c r="L778" s="23" t="n"/>
      <c r="M778" s="23" t="n"/>
      <c r="N778" s="23" t="n"/>
      <c r="O778" s="23" t="n"/>
      <c r="P778" s="23" t="n"/>
      <c r="Q778" s="23" t="n"/>
      <c r="R778" s="23" t="n"/>
      <c r="S778" s="23" t="n"/>
      <c r="T778" s="23" t="n"/>
      <c r="U778" s="23" t="n"/>
      <c r="V778" s="23" t="n"/>
      <c r="W778" s="23" t="n"/>
      <c r="X778" s="23" t="n"/>
      <c r="Y778" s="25" t="n"/>
      <c r="Z778" s="25" t="n"/>
      <c r="AA778" s="23" t="n"/>
      <c r="AB778" s="25" t="n"/>
      <c r="AC778" s="23" t="n"/>
      <c r="AD778" s="25" t="n"/>
      <c r="AE778" s="23" t="n"/>
      <c r="AF778" s="25" t="n"/>
      <c r="AG778" s="25" t="n"/>
      <c r="AH778" s="23" t="n"/>
      <c r="AI778" s="23" t="n"/>
      <c r="AJ778" s="26">
        <f>IF(I778="","",I778&amp;"|"&amp;R778)</f>
        <v/>
      </c>
      <c r="AK778" s="26">
        <f>IF(I778="","",IF(ISNA(MATCH(O778,Kampanyalar!$A$2:$A$150,0)),"Hayır - Kampanyalar'da Yok","Evet"))</f>
        <v/>
      </c>
      <c r="AL778" s="27">
        <f>IF(I778="","",IFERROR(INDEX(Kampanyalar!$E$2:$E$150,MATCH(O778,Kampanyalar!$A$2:$A$150,0)),""))</f>
        <v/>
      </c>
      <c r="AM778" s="27">
        <f>IF(I778="","",IFERROR(INDEX(Kampanyalar!$F$2:$F$150,MATCH(O778,Kampanyalar!$A$2:$A$150,0)),""))</f>
        <v/>
      </c>
      <c r="AN778" s="27">
        <f>IF(I778="","",IFERROR(INDEX(Kampanyalar!$G$2:$G$150,MATCH(O778,Kampanyalar!$A$2:$A$150,0)),""))</f>
        <v/>
      </c>
      <c r="AO778" s="26">
        <f>IF(OR(I778="",AL778="",AM778=""),"",IF(AND(H778&gt;=AL778,H778&lt;=AM778),"Evet","HAYIR - Tarih Dışı"))</f>
        <v/>
      </c>
      <c r="AP778" s="28">
        <f>IF(I778="","",IFERROR(INDEX(Kampanyalar!$H$2:$H$150,MATCH(O778,Kampanyalar!$A$2:$A$150,0)),""))</f>
        <v/>
      </c>
      <c r="AQ778" s="28">
        <f>IF(I778="","",IF(ISNUMBER(AP778),AP778,AD778))</f>
        <v/>
      </c>
      <c r="AR778" s="26">
        <f>IF(I778="","",IF(Parametreler!$C$7="Evet","Kural A - Hemen Ödeme (Stok Mutabakatlı)","Kural B - Nakliye/Montaj Sonrası Ödeme"))</f>
        <v/>
      </c>
    </row>
    <row r="779">
      <c r="A779" s="23" t="n"/>
      <c r="B779" s="23" t="n"/>
      <c r="C779" s="23" t="n"/>
      <c r="D779" s="23" t="n"/>
      <c r="E779" s="23" t="n"/>
      <c r="F779" s="23" t="n"/>
      <c r="G779" s="23" t="n"/>
      <c r="H779" s="24" t="n"/>
      <c r="I779" s="23" t="n"/>
      <c r="J779" s="23" t="n"/>
      <c r="K779" s="23" t="n"/>
      <c r="L779" s="23" t="n"/>
      <c r="M779" s="23" t="n"/>
      <c r="N779" s="23" t="n"/>
      <c r="O779" s="23" t="n"/>
      <c r="P779" s="23" t="n"/>
      <c r="Q779" s="23" t="n"/>
      <c r="R779" s="23" t="n"/>
      <c r="S779" s="23" t="n"/>
      <c r="T779" s="23" t="n"/>
      <c r="U779" s="23" t="n"/>
      <c r="V779" s="23" t="n"/>
      <c r="W779" s="23" t="n"/>
      <c r="X779" s="23" t="n"/>
      <c r="Y779" s="25" t="n"/>
      <c r="Z779" s="25" t="n"/>
      <c r="AA779" s="23" t="n"/>
      <c r="AB779" s="25" t="n"/>
      <c r="AC779" s="23" t="n"/>
      <c r="AD779" s="25" t="n"/>
      <c r="AE779" s="23" t="n"/>
      <c r="AF779" s="25" t="n"/>
      <c r="AG779" s="25" t="n"/>
      <c r="AH779" s="23" t="n"/>
      <c r="AI779" s="23" t="n"/>
      <c r="AJ779" s="26">
        <f>IF(I779="","",I779&amp;"|"&amp;R779)</f>
        <v/>
      </c>
      <c r="AK779" s="26">
        <f>IF(I779="","",IF(ISNA(MATCH(O779,Kampanyalar!$A$2:$A$150,0)),"Hayır - Kampanyalar'da Yok","Evet"))</f>
        <v/>
      </c>
      <c r="AL779" s="27">
        <f>IF(I779="","",IFERROR(INDEX(Kampanyalar!$E$2:$E$150,MATCH(O779,Kampanyalar!$A$2:$A$150,0)),""))</f>
        <v/>
      </c>
      <c r="AM779" s="27">
        <f>IF(I779="","",IFERROR(INDEX(Kampanyalar!$F$2:$F$150,MATCH(O779,Kampanyalar!$A$2:$A$150,0)),""))</f>
        <v/>
      </c>
      <c r="AN779" s="27">
        <f>IF(I779="","",IFERROR(INDEX(Kampanyalar!$G$2:$G$150,MATCH(O779,Kampanyalar!$A$2:$A$150,0)),""))</f>
        <v/>
      </c>
      <c r="AO779" s="26">
        <f>IF(OR(I779="",AL779="",AM779=""),"",IF(AND(H779&gt;=AL779,H779&lt;=AM779),"Evet","HAYIR - Tarih Dışı"))</f>
        <v/>
      </c>
      <c r="AP779" s="28">
        <f>IF(I779="","",IFERROR(INDEX(Kampanyalar!$H$2:$H$150,MATCH(O779,Kampanyalar!$A$2:$A$150,0)),""))</f>
        <v/>
      </c>
      <c r="AQ779" s="28">
        <f>IF(I779="","",IF(ISNUMBER(AP779),AP779,AD779))</f>
        <v/>
      </c>
      <c r="AR779" s="26">
        <f>IF(I779="","",IF(Parametreler!$C$7="Evet","Kural A - Hemen Ödeme (Stok Mutabakatlı)","Kural B - Nakliye/Montaj Sonrası Ödeme"))</f>
        <v/>
      </c>
    </row>
    <row r="780">
      <c r="A780" s="23" t="n"/>
      <c r="B780" s="23" t="n"/>
      <c r="C780" s="23" t="n"/>
      <c r="D780" s="23" t="n"/>
      <c r="E780" s="23" t="n"/>
      <c r="F780" s="23" t="n"/>
      <c r="G780" s="23" t="n"/>
      <c r="H780" s="24" t="n"/>
      <c r="I780" s="23" t="n"/>
      <c r="J780" s="23" t="n"/>
      <c r="K780" s="23" t="n"/>
      <c r="L780" s="23" t="n"/>
      <c r="M780" s="23" t="n"/>
      <c r="N780" s="23" t="n"/>
      <c r="O780" s="23" t="n"/>
      <c r="P780" s="23" t="n"/>
      <c r="Q780" s="23" t="n"/>
      <c r="R780" s="23" t="n"/>
      <c r="S780" s="23" t="n"/>
      <c r="T780" s="23" t="n"/>
      <c r="U780" s="23" t="n"/>
      <c r="V780" s="23" t="n"/>
      <c r="W780" s="23" t="n"/>
      <c r="X780" s="23" t="n"/>
      <c r="Y780" s="25" t="n"/>
      <c r="Z780" s="25" t="n"/>
      <c r="AA780" s="23" t="n"/>
      <c r="AB780" s="25" t="n"/>
      <c r="AC780" s="23" t="n"/>
      <c r="AD780" s="25" t="n"/>
      <c r="AE780" s="23" t="n"/>
      <c r="AF780" s="25" t="n"/>
      <c r="AG780" s="25" t="n"/>
      <c r="AH780" s="23" t="n"/>
      <c r="AI780" s="23" t="n"/>
      <c r="AJ780" s="26">
        <f>IF(I780="","",I780&amp;"|"&amp;R780)</f>
        <v/>
      </c>
      <c r="AK780" s="26">
        <f>IF(I780="","",IF(ISNA(MATCH(O780,Kampanyalar!$A$2:$A$150,0)),"Hayır - Kampanyalar'da Yok","Evet"))</f>
        <v/>
      </c>
      <c r="AL780" s="27">
        <f>IF(I780="","",IFERROR(INDEX(Kampanyalar!$E$2:$E$150,MATCH(O780,Kampanyalar!$A$2:$A$150,0)),""))</f>
        <v/>
      </c>
      <c r="AM780" s="27">
        <f>IF(I780="","",IFERROR(INDEX(Kampanyalar!$F$2:$F$150,MATCH(O780,Kampanyalar!$A$2:$A$150,0)),""))</f>
        <v/>
      </c>
      <c r="AN780" s="27">
        <f>IF(I780="","",IFERROR(INDEX(Kampanyalar!$G$2:$G$150,MATCH(O780,Kampanyalar!$A$2:$A$150,0)),""))</f>
        <v/>
      </c>
      <c r="AO780" s="26">
        <f>IF(OR(I780="",AL780="",AM780=""),"",IF(AND(H780&gt;=AL780,H780&lt;=AM780),"Evet","HAYIR - Tarih Dışı"))</f>
        <v/>
      </c>
      <c r="AP780" s="28">
        <f>IF(I780="","",IFERROR(INDEX(Kampanyalar!$H$2:$H$150,MATCH(O780,Kampanyalar!$A$2:$A$150,0)),""))</f>
        <v/>
      </c>
      <c r="AQ780" s="28">
        <f>IF(I780="","",IF(ISNUMBER(AP780),AP780,AD780))</f>
        <v/>
      </c>
      <c r="AR780" s="26">
        <f>IF(I780="","",IF(Parametreler!$C$7="Evet","Kural A - Hemen Ödeme (Stok Mutabakatlı)","Kural B - Nakliye/Montaj Sonrası Ödeme"))</f>
        <v/>
      </c>
    </row>
    <row r="781">
      <c r="A781" s="23" t="n"/>
      <c r="B781" s="23" t="n"/>
      <c r="C781" s="23" t="n"/>
      <c r="D781" s="23" t="n"/>
      <c r="E781" s="23" t="n"/>
      <c r="F781" s="23" t="n"/>
      <c r="G781" s="23" t="n"/>
      <c r="H781" s="24" t="n"/>
      <c r="I781" s="23" t="n"/>
      <c r="J781" s="23" t="n"/>
      <c r="K781" s="23" t="n"/>
      <c r="L781" s="23" t="n"/>
      <c r="M781" s="23" t="n"/>
      <c r="N781" s="23" t="n"/>
      <c r="O781" s="23" t="n"/>
      <c r="P781" s="23" t="n"/>
      <c r="Q781" s="23" t="n"/>
      <c r="R781" s="23" t="n"/>
      <c r="S781" s="23" t="n"/>
      <c r="T781" s="23" t="n"/>
      <c r="U781" s="23" t="n"/>
      <c r="V781" s="23" t="n"/>
      <c r="W781" s="23" t="n"/>
      <c r="X781" s="23" t="n"/>
      <c r="Y781" s="25" t="n"/>
      <c r="Z781" s="25" t="n"/>
      <c r="AA781" s="23" t="n"/>
      <c r="AB781" s="25" t="n"/>
      <c r="AC781" s="23" t="n"/>
      <c r="AD781" s="25" t="n"/>
      <c r="AE781" s="23" t="n"/>
      <c r="AF781" s="25" t="n"/>
      <c r="AG781" s="25" t="n"/>
      <c r="AH781" s="23" t="n"/>
      <c r="AI781" s="23" t="n"/>
      <c r="AJ781" s="26">
        <f>IF(I781="","",I781&amp;"|"&amp;R781)</f>
        <v/>
      </c>
      <c r="AK781" s="26">
        <f>IF(I781="","",IF(ISNA(MATCH(O781,Kampanyalar!$A$2:$A$150,0)),"Hayır - Kampanyalar'da Yok","Evet"))</f>
        <v/>
      </c>
      <c r="AL781" s="27">
        <f>IF(I781="","",IFERROR(INDEX(Kampanyalar!$E$2:$E$150,MATCH(O781,Kampanyalar!$A$2:$A$150,0)),""))</f>
        <v/>
      </c>
      <c r="AM781" s="27">
        <f>IF(I781="","",IFERROR(INDEX(Kampanyalar!$F$2:$F$150,MATCH(O781,Kampanyalar!$A$2:$A$150,0)),""))</f>
        <v/>
      </c>
      <c r="AN781" s="27">
        <f>IF(I781="","",IFERROR(INDEX(Kampanyalar!$G$2:$G$150,MATCH(O781,Kampanyalar!$A$2:$A$150,0)),""))</f>
        <v/>
      </c>
      <c r="AO781" s="26">
        <f>IF(OR(I781="",AL781="",AM781=""),"",IF(AND(H781&gt;=AL781,H781&lt;=AM781),"Evet","HAYIR - Tarih Dışı"))</f>
        <v/>
      </c>
      <c r="AP781" s="28">
        <f>IF(I781="","",IFERROR(INDEX(Kampanyalar!$H$2:$H$150,MATCH(O781,Kampanyalar!$A$2:$A$150,0)),""))</f>
        <v/>
      </c>
      <c r="AQ781" s="28">
        <f>IF(I781="","",IF(ISNUMBER(AP781),AP781,AD781))</f>
        <v/>
      </c>
      <c r="AR781" s="26">
        <f>IF(I781="","",IF(Parametreler!$C$7="Evet","Kural A - Hemen Ödeme (Stok Mutabakatlı)","Kural B - Nakliye/Montaj Sonrası Ödeme"))</f>
        <v/>
      </c>
    </row>
    <row r="782">
      <c r="A782" s="23" t="n"/>
      <c r="B782" s="23" t="n"/>
      <c r="C782" s="23" t="n"/>
      <c r="D782" s="23" t="n"/>
      <c r="E782" s="23" t="n"/>
      <c r="F782" s="23" t="n"/>
      <c r="G782" s="23" t="n"/>
      <c r="H782" s="24" t="n"/>
      <c r="I782" s="23" t="n"/>
      <c r="J782" s="23" t="n"/>
      <c r="K782" s="23" t="n"/>
      <c r="L782" s="23" t="n"/>
      <c r="M782" s="23" t="n"/>
      <c r="N782" s="23" t="n"/>
      <c r="O782" s="23" t="n"/>
      <c r="P782" s="23" t="n"/>
      <c r="Q782" s="23" t="n"/>
      <c r="R782" s="23" t="n"/>
      <c r="S782" s="23" t="n"/>
      <c r="T782" s="23" t="n"/>
      <c r="U782" s="23" t="n"/>
      <c r="V782" s="23" t="n"/>
      <c r="W782" s="23" t="n"/>
      <c r="X782" s="23" t="n"/>
      <c r="Y782" s="25" t="n"/>
      <c r="Z782" s="25" t="n"/>
      <c r="AA782" s="23" t="n"/>
      <c r="AB782" s="25" t="n"/>
      <c r="AC782" s="23" t="n"/>
      <c r="AD782" s="25" t="n"/>
      <c r="AE782" s="23" t="n"/>
      <c r="AF782" s="25" t="n"/>
      <c r="AG782" s="25" t="n"/>
      <c r="AH782" s="23" t="n"/>
      <c r="AI782" s="23" t="n"/>
      <c r="AJ782" s="26">
        <f>IF(I782="","",I782&amp;"|"&amp;R782)</f>
        <v/>
      </c>
      <c r="AK782" s="26">
        <f>IF(I782="","",IF(ISNA(MATCH(O782,Kampanyalar!$A$2:$A$150,0)),"Hayır - Kampanyalar'da Yok","Evet"))</f>
        <v/>
      </c>
      <c r="AL782" s="27">
        <f>IF(I782="","",IFERROR(INDEX(Kampanyalar!$E$2:$E$150,MATCH(O782,Kampanyalar!$A$2:$A$150,0)),""))</f>
        <v/>
      </c>
      <c r="AM782" s="27">
        <f>IF(I782="","",IFERROR(INDEX(Kampanyalar!$F$2:$F$150,MATCH(O782,Kampanyalar!$A$2:$A$150,0)),""))</f>
        <v/>
      </c>
      <c r="AN782" s="27">
        <f>IF(I782="","",IFERROR(INDEX(Kampanyalar!$G$2:$G$150,MATCH(O782,Kampanyalar!$A$2:$A$150,0)),""))</f>
        <v/>
      </c>
      <c r="AO782" s="26">
        <f>IF(OR(I782="",AL782="",AM782=""),"",IF(AND(H782&gt;=AL782,H782&lt;=AM782),"Evet","HAYIR - Tarih Dışı"))</f>
        <v/>
      </c>
      <c r="AP782" s="28">
        <f>IF(I782="","",IFERROR(INDEX(Kampanyalar!$H$2:$H$150,MATCH(O782,Kampanyalar!$A$2:$A$150,0)),""))</f>
        <v/>
      </c>
      <c r="AQ782" s="28">
        <f>IF(I782="","",IF(ISNUMBER(AP782),AP782,AD782))</f>
        <v/>
      </c>
      <c r="AR782" s="26">
        <f>IF(I782="","",IF(Parametreler!$C$7="Evet","Kural A - Hemen Ödeme (Stok Mutabakatlı)","Kural B - Nakliye/Montaj Sonrası Ödeme"))</f>
        <v/>
      </c>
    </row>
    <row r="783">
      <c r="A783" s="23" t="n"/>
      <c r="B783" s="23" t="n"/>
      <c r="C783" s="23" t="n"/>
      <c r="D783" s="23" t="n"/>
      <c r="E783" s="23" t="n"/>
      <c r="F783" s="23" t="n"/>
      <c r="G783" s="23" t="n"/>
      <c r="H783" s="24" t="n"/>
      <c r="I783" s="23" t="n"/>
      <c r="J783" s="23" t="n"/>
      <c r="K783" s="23" t="n"/>
      <c r="L783" s="23" t="n"/>
      <c r="M783" s="23" t="n"/>
      <c r="N783" s="23" t="n"/>
      <c r="O783" s="23" t="n"/>
      <c r="P783" s="23" t="n"/>
      <c r="Q783" s="23" t="n"/>
      <c r="R783" s="23" t="n"/>
      <c r="S783" s="23" t="n"/>
      <c r="T783" s="23" t="n"/>
      <c r="U783" s="23" t="n"/>
      <c r="V783" s="23" t="n"/>
      <c r="W783" s="23" t="n"/>
      <c r="X783" s="23" t="n"/>
      <c r="Y783" s="25" t="n"/>
      <c r="Z783" s="25" t="n"/>
      <c r="AA783" s="23" t="n"/>
      <c r="AB783" s="25" t="n"/>
      <c r="AC783" s="23" t="n"/>
      <c r="AD783" s="25" t="n"/>
      <c r="AE783" s="23" t="n"/>
      <c r="AF783" s="25" t="n"/>
      <c r="AG783" s="25" t="n"/>
      <c r="AH783" s="23" t="n"/>
      <c r="AI783" s="23" t="n"/>
      <c r="AJ783" s="26">
        <f>IF(I783="","",I783&amp;"|"&amp;R783)</f>
        <v/>
      </c>
      <c r="AK783" s="26">
        <f>IF(I783="","",IF(ISNA(MATCH(O783,Kampanyalar!$A$2:$A$150,0)),"Hayır - Kampanyalar'da Yok","Evet"))</f>
        <v/>
      </c>
      <c r="AL783" s="27">
        <f>IF(I783="","",IFERROR(INDEX(Kampanyalar!$E$2:$E$150,MATCH(O783,Kampanyalar!$A$2:$A$150,0)),""))</f>
        <v/>
      </c>
      <c r="AM783" s="27">
        <f>IF(I783="","",IFERROR(INDEX(Kampanyalar!$F$2:$F$150,MATCH(O783,Kampanyalar!$A$2:$A$150,0)),""))</f>
        <v/>
      </c>
      <c r="AN783" s="27">
        <f>IF(I783="","",IFERROR(INDEX(Kampanyalar!$G$2:$G$150,MATCH(O783,Kampanyalar!$A$2:$A$150,0)),""))</f>
        <v/>
      </c>
      <c r="AO783" s="26">
        <f>IF(OR(I783="",AL783="",AM783=""),"",IF(AND(H783&gt;=AL783,H783&lt;=AM783),"Evet","HAYIR - Tarih Dışı"))</f>
        <v/>
      </c>
      <c r="AP783" s="28">
        <f>IF(I783="","",IFERROR(INDEX(Kampanyalar!$H$2:$H$150,MATCH(O783,Kampanyalar!$A$2:$A$150,0)),""))</f>
        <v/>
      </c>
      <c r="AQ783" s="28">
        <f>IF(I783="","",IF(ISNUMBER(AP783),AP783,AD783))</f>
        <v/>
      </c>
      <c r="AR783" s="26">
        <f>IF(I783="","",IF(Parametreler!$C$7="Evet","Kural A - Hemen Ödeme (Stok Mutabakatlı)","Kural B - Nakliye/Montaj Sonrası Ödeme"))</f>
        <v/>
      </c>
    </row>
    <row r="784">
      <c r="A784" s="23" t="n"/>
      <c r="B784" s="23" t="n"/>
      <c r="C784" s="23" t="n"/>
      <c r="D784" s="23" t="n"/>
      <c r="E784" s="23" t="n"/>
      <c r="F784" s="23" t="n"/>
      <c r="G784" s="23" t="n"/>
      <c r="H784" s="24" t="n"/>
      <c r="I784" s="23" t="n"/>
      <c r="J784" s="23" t="n"/>
      <c r="K784" s="23" t="n"/>
      <c r="L784" s="23" t="n"/>
      <c r="M784" s="23" t="n"/>
      <c r="N784" s="23" t="n"/>
      <c r="O784" s="23" t="n"/>
      <c r="P784" s="23" t="n"/>
      <c r="Q784" s="23" t="n"/>
      <c r="R784" s="23" t="n"/>
      <c r="S784" s="23" t="n"/>
      <c r="T784" s="23" t="n"/>
      <c r="U784" s="23" t="n"/>
      <c r="V784" s="23" t="n"/>
      <c r="W784" s="23" t="n"/>
      <c r="X784" s="23" t="n"/>
      <c r="Y784" s="25" t="n"/>
      <c r="Z784" s="25" t="n"/>
      <c r="AA784" s="23" t="n"/>
      <c r="AB784" s="25" t="n"/>
      <c r="AC784" s="23" t="n"/>
      <c r="AD784" s="25" t="n"/>
      <c r="AE784" s="23" t="n"/>
      <c r="AF784" s="25" t="n"/>
      <c r="AG784" s="25" t="n"/>
      <c r="AH784" s="23" t="n"/>
      <c r="AI784" s="23" t="n"/>
      <c r="AJ784" s="26">
        <f>IF(I784="","",I784&amp;"|"&amp;R784)</f>
        <v/>
      </c>
      <c r="AK784" s="26">
        <f>IF(I784="","",IF(ISNA(MATCH(O784,Kampanyalar!$A$2:$A$150,0)),"Hayır - Kampanyalar'da Yok","Evet"))</f>
        <v/>
      </c>
      <c r="AL784" s="27">
        <f>IF(I784="","",IFERROR(INDEX(Kampanyalar!$E$2:$E$150,MATCH(O784,Kampanyalar!$A$2:$A$150,0)),""))</f>
        <v/>
      </c>
      <c r="AM784" s="27">
        <f>IF(I784="","",IFERROR(INDEX(Kampanyalar!$F$2:$F$150,MATCH(O784,Kampanyalar!$A$2:$A$150,0)),""))</f>
        <v/>
      </c>
      <c r="AN784" s="27">
        <f>IF(I784="","",IFERROR(INDEX(Kampanyalar!$G$2:$G$150,MATCH(O784,Kampanyalar!$A$2:$A$150,0)),""))</f>
        <v/>
      </c>
      <c r="AO784" s="26">
        <f>IF(OR(I784="",AL784="",AM784=""),"",IF(AND(H784&gt;=AL784,H784&lt;=AM784),"Evet","HAYIR - Tarih Dışı"))</f>
        <v/>
      </c>
      <c r="AP784" s="28">
        <f>IF(I784="","",IFERROR(INDEX(Kampanyalar!$H$2:$H$150,MATCH(O784,Kampanyalar!$A$2:$A$150,0)),""))</f>
        <v/>
      </c>
      <c r="AQ784" s="28">
        <f>IF(I784="","",IF(ISNUMBER(AP784),AP784,AD784))</f>
        <v/>
      </c>
      <c r="AR784" s="26">
        <f>IF(I784="","",IF(Parametreler!$C$7="Evet","Kural A - Hemen Ödeme (Stok Mutabakatlı)","Kural B - Nakliye/Montaj Sonrası Ödeme"))</f>
        <v/>
      </c>
    </row>
    <row r="785">
      <c r="A785" s="23" t="n"/>
      <c r="B785" s="23" t="n"/>
      <c r="C785" s="23" t="n"/>
      <c r="D785" s="23" t="n"/>
      <c r="E785" s="23" t="n"/>
      <c r="F785" s="23" t="n"/>
      <c r="G785" s="23" t="n"/>
      <c r="H785" s="24" t="n"/>
      <c r="I785" s="23" t="n"/>
      <c r="J785" s="23" t="n"/>
      <c r="K785" s="23" t="n"/>
      <c r="L785" s="23" t="n"/>
      <c r="M785" s="23" t="n"/>
      <c r="N785" s="23" t="n"/>
      <c r="O785" s="23" t="n"/>
      <c r="P785" s="23" t="n"/>
      <c r="Q785" s="23" t="n"/>
      <c r="R785" s="23" t="n"/>
      <c r="S785" s="23" t="n"/>
      <c r="T785" s="23" t="n"/>
      <c r="U785" s="23" t="n"/>
      <c r="V785" s="23" t="n"/>
      <c r="W785" s="23" t="n"/>
      <c r="X785" s="23" t="n"/>
      <c r="Y785" s="25" t="n"/>
      <c r="Z785" s="25" t="n"/>
      <c r="AA785" s="23" t="n"/>
      <c r="AB785" s="25" t="n"/>
      <c r="AC785" s="23" t="n"/>
      <c r="AD785" s="25" t="n"/>
      <c r="AE785" s="23" t="n"/>
      <c r="AF785" s="25" t="n"/>
      <c r="AG785" s="25" t="n"/>
      <c r="AH785" s="23" t="n"/>
      <c r="AI785" s="23" t="n"/>
      <c r="AJ785" s="26">
        <f>IF(I785="","",I785&amp;"|"&amp;R785)</f>
        <v/>
      </c>
      <c r="AK785" s="26">
        <f>IF(I785="","",IF(ISNA(MATCH(O785,Kampanyalar!$A$2:$A$150,0)),"Hayır - Kampanyalar'da Yok","Evet"))</f>
        <v/>
      </c>
      <c r="AL785" s="27">
        <f>IF(I785="","",IFERROR(INDEX(Kampanyalar!$E$2:$E$150,MATCH(O785,Kampanyalar!$A$2:$A$150,0)),""))</f>
        <v/>
      </c>
      <c r="AM785" s="27">
        <f>IF(I785="","",IFERROR(INDEX(Kampanyalar!$F$2:$F$150,MATCH(O785,Kampanyalar!$A$2:$A$150,0)),""))</f>
        <v/>
      </c>
      <c r="AN785" s="27">
        <f>IF(I785="","",IFERROR(INDEX(Kampanyalar!$G$2:$G$150,MATCH(O785,Kampanyalar!$A$2:$A$150,0)),""))</f>
        <v/>
      </c>
      <c r="AO785" s="26">
        <f>IF(OR(I785="",AL785="",AM785=""),"",IF(AND(H785&gt;=AL785,H785&lt;=AM785),"Evet","HAYIR - Tarih Dışı"))</f>
        <v/>
      </c>
      <c r="AP785" s="28">
        <f>IF(I785="","",IFERROR(INDEX(Kampanyalar!$H$2:$H$150,MATCH(O785,Kampanyalar!$A$2:$A$150,0)),""))</f>
        <v/>
      </c>
      <c r="AQ785" s="28">
        <f>IF(I785="","",IF(ISNUMBER(AP785),AP785,AD785))</f>
        <v/>
      </c>
      <c r="AR785" s="26">
        <f>IF(I785="","",IF(Parametreler!$C$7="Evet","Kural A - Hemen Ödeme (Stok Mutabakatlı)","Kural B - Nakliye/Montaj Sonrası Ödeme"))</f>
        <v/>
      </c>
    </row>
    <row r="786">
      <c r="A786" s="23" t="n"/>
      <c r="B786" s="23" t="n"/>
      <c r="C786" s="23" t="n"/>
      <c r="D786" s="23" t="n"/>
      <c r="E786" s="23" t="n"/>
      <c r="F786" s="23" t="n"/>
      <c r="G786" s="23" t="n"/>
      <c r="H786" s="24" t="n"/>
      <c r="I786" s="23" t="n"/>
      <c r="J786" s="23" t="n"/>
      <c r="K786" s="23" t="n"/>
      <c r="L786" s="23" t="n"/>
      <c r="M786" s="23" t="n"/>
      <c r="N786" s="23" t="n"/>
      <c r="O786" s="23" t="n"/>
      <c r="P786" s="23" t="n"/>
      <c r="Q786" s="23" t="n"/>
      <c r="R786" s="23" t="n"/>
      <c r="S786" s="23" t="n"/>
      <c r="T786" s="23" t="n"/>
      <c r="U786" s="23" t="n"/>
      <c r="V786" s="23" t="n"/>
      <c r="W786" s="23" t="n"/>
      <c r="X786" s="23" t="n"/>
      <c r="Y786" s="25" t="n"/>
      <c r="Z786" s="25" t="n"/>
      <c r="AA786" s="23" t="n"/>
      <c r="AB786" s="25" t="n"/>
      <c r="AC786" s="23" t="n"/>
      <c r="AD786" s="25" t="n"/>
      <c r="AE786" s="23" t="n"/>
      <c r="AF786" s="25" t="n"/>
      <c r="AG786" s="25" t="n"/>
      <c r="AH786" s="23" t="n"/>
      <c r="AI786" s="23" t="n"/>
      <c r="AJ786" s="26">
        <f>IF(I786="","",I786&amp;"|"&amp;R786)</f>
        <v/>
      </c>
      <c r="AK786" s="26">
        <f>IF(I786="","",IF(ISNA(MATCH(O786,Kampanyalar!$A$2:$A$150,0)),"Hayır - Kampanyalar'da Yok","Evet"))</f>
        <v/>
      </c>
      <c r="AL786" s="27">
        <f>IF(I786="","",IFERROR(INDEX(Kampanyalar!$E$2:$E$150,MATCH(O786,Kampanyalar!$A$2:$A$150,0)),""))</f>
        <v/>
      </c>
      <c r="AM786" s="27">
        <f>IF(I786="","",IFERROR(INDEX(Kampanyalar!$F$2:$F$150,MATCH(O786,Kampanyalar!$A$2:$A$150,0)),""))</f>
        <v/>
      </c>
      <c r="AN786" s="27">
        <f>IF(I786="","",IFERROR(INDEX(Kampanyalar!$G$2:$G$150,MATCH(O786,Kampanyalar!$A$2:$A$150,0)),""))</f>
        <v/>
      </c>
      <c r="AO786" s="26">
        <f>IF(OR(I786="",AL786="",AM786=""),"",IF(AND(H786&gt;=AL786,H786&lt;=AM786),"Evet","HAYIR - Tarih Dışı"))</f>
        <v/>
      </c>
      <c r="AP786" s="28">
        <f>IF(I786="","",IFERROR(INDEX(Kampanyalar!$H$2:$H$150,MATCH(O786,Kampanyalar!$A$2:$A$150,0)),""))</f>
        <v/>
      </c>
      <c r="AQ786" s="28">
        <f>IF(I786="","",IF(ISNUMBER(AP786),AP786,AD786))</f>
        <v/>
      </c>
      <c r="AR786" s="26">
        <f>IF(I786="","",IF(Parametreler!$C$7="Evet","Kural A - Hemen Ödeme (Stok Mutabakatlı)","Kural B - Nakliye/Montaj Sonrası Ödeme"))</f>
        <v/>
      </c>
    </row>
    <row r="787">
      <c r="A787" s="23" t="n"/>
      <c r="B787" s="23" t="n"/>
      <c r="C787" s="23" t="n"/>
      <c r="D787" s="23" t="n"/>
      <c r="E787" s="23" t="n"/>
      <c r="F787" s="23" t="n"/>
      <c r="G787" s="23" t="n"/>
      <c r="H787" s="24" t="n"/>
      <c r="I787" s="23" t="n"/>
      <c r="J787" s="23" t="n"/>
      <c r="K787" s="23" t="n"/>
      <c r="L787" s="23" t="n"/>
      <c r="M787" s="23" t="n"/>
      <c r="N787" s="23" t="n"/>
      <c r="O787" s="23" t="n"/>
      <c r="P787" s="23" t="n"/>
      <c r="Q787" s="23" t="n"/>
      <c r="R787" s="23" t="n"/>
      <c r="S787" s="23" t="n"/>
      <c r="T787" s="23" t="n"/>
      <c r="U787" s="23" t="n"/>
      <c r="V787" s="23" t="n"/>
      <c r="W787" s="23" t="n"/>
      <c r="X787" s="23" t="n"/>
      <c r="Y787" s="25" t="n"/>
      <c r="Z787" s="25" t="n"/>
      <c r="AA787" s="23" t="n"/>
      <c r="AB787" s="25" t="n"/>
      <c r="AC787" s="23" t="n"/>
      <c r="AD787" s="25" t="n"/>
      <c r="AE787" s="23" t="n"/>
      <c r="AF787" s="25" t="n"/>
      <c r="AG787" s="25" t="n"/>
      <c r="AH787" s="23" t="n"/>
      <c r="AI787" s="23" t="n"/>
      <c r="AJ787" s="26">
        <f>IF(I787="","",I787&amp;"|"&amp;R787)</f>
        <v/>
      </c>
      <c r="AK787" s="26">
        <f>IF(I787="","",IF(ISNA(MATCH(O787,Kampanyalar!$A$2:$A$150,0)),"Hayır - Kampanyalar'da Yok","Evet"))</f>
        <v/>
      </c>
      <c r="AL787" s="27">
        <f>IF(I787="","",IFERROR(INDEX(Kampanyalar!$E$2:$E$150,MATCH(O787,Kampanyalar!$A$2:$A$150,0)),""))</f>
        <v/>
      </c>
      <c r="AM787" s="27">
        <f>IF(I787="","",IFERROR(INDEX(Kampanyalar!$F$2:$F$150,MATCH(O787,Kampanyalar!$A$2:$A$150,0)),""))</f>
        <v/>
      </c>
      <c r="AN787" s="27">
        <f>IF(I787="","",IFERROR(INDEX(Kampanyalar!$G$2:$G$150,MATCH(O787,Kampanyalar!$A$2:$A$150,0)),""))</f>
        <v/>
      </c>
      <c r="AO787" s="26">
        <f>IF(OR(I787="",AL787="",AM787=""),"",IF(AND(H787&gt;=AL787,H787&lt;=AM787),"Evet","HAYIR - Tarih Dışı"))</f>
        <v/>
      </c>
      <c r="AP787" s="28">
        <f>IF(I787="","",IFERROR(INDEX(Kampanyalar!$H$2:$H$150,MATCH(O787,Kampanyalar!$A$2:$A$150,0)),""))</f>
        <v/>
      </c>
      <c r="AQ787" s="28">
        <f>IF(I787="","",IF(ISNUMBER(AP787),AP787,AD787))</f>
        <v/>
      </c>
      <c r="AR787" s="26">
        <f>IF(I787="","",IF(Parametreler!$C$7="Evet","Kural A - Hemen Ödeme (Stok Mutabakatlı)","Kural B - Nakliye/Montaj Sonrası Ödeme"))</f>
        <v/>
      </c>
    </row>
    <row r="788">
      <c r="A788" s="23" t="n"/>
      <c r="B788" s="23" t="n"/>
      <c r="C788" s="23" t="n"/>
      <c r="D788" s="23" t="n"/>
      <c r="E788" s="23" t="n"/>
      <c r="F788" s="23" t="n"/>
      <c r="G788" s="23" t="n"/>
      <c r="H788" s="24" t="n"/>
      <c r="I788" s="23" t="n"/>
      <c r="J788" s="23" t="n"/>
      <c r="K788" s="23" t="n"/>
      <c r="L788" s="23" t="n"/>
      <c r="M788" s="23" t="n"/>
      <c r="N788" s="23" t="n"/>
      <c r="O788" s="23" t="n"/>
      <c r="P788" s="23" t="n"/>
      <c r="Q788" s="23" t="n"/>
      <c r="R788" s="23" t="n"/>
      <c r="S788" s="23" t="n"/>
      <c r="T788" s="23" t="n"/>
      <c r="U788" s="23" t="n"/>
      <c r="V788" s="23" t="n"/>
      <c r="W788" s="23" t="n"/>
      <c r="X788" s="23" t="n"/>
      <c r="Y788" s="25" t="n"/>
      <c r="Z788" s="25" t="n"/>
      <c r="AA788" s="23" t="n"/>
      <c r="AB788" s="25" t="n"/>
      <c r="AC788" s="23" t="n"/>
      <c r="AD788" s="25" t="n"/>
      <c r="AE788" s="23" t="n"/>
      <c r="AF788" s="25" t="n"/>
      <c r="AG788" s="25" t="n"/>
      <c r="AH788" s="23" t="n"/>
      <c r="AI788" s="23" t="n"/>
      <c r="AJ788" s="26">
        <f>IF(I788="","",I788&amp;"|"&amp;R788)</f>
        <v/>
      </c>
      <c r="AK788" s="26">
        <f>IF(I788="","",IF(ISNA(MATCH(O788,Kampanyalar!$A$2:$A$150,0)),"Hayır - Kampanyalar'da Yok","Evet"))</f>
        <v/>
      </c>
      <c r="AL788" s="27">
        <f>IF(I788="","",IFERROR(INDEX(Kampanyalar!$E$2:$E$150,MATCH(O788,Kampanyalar!$A$2:$A$150,0)),""))</f>
        <v/>
      </c>
      <c r="AM788" s="27">
        <f>IF(I788="","",IFERROR(INDEX(Kampanyalar!$F$2:$F$150,MATCH(O788,Kampanyalar!$A$2:$A$150,0)),""))</f>
        <v/>
      </c>
      <c r="AN788" s="27">
        <f>IF(I788="","",IFERROR(INDEX(Kampanyalar!$G$2:$G$150,MATCH(O788,Kampanyalar!$A$2:$A$150,0)),""))</f>
        <v/>
      </c>
      <c r="AO788" s="26">
        <f>IF(OR(I788="",AL788="",AM788=""),"",IF(AND(H788&gt;=AL788,H788&lt;=AM788),"Evet","HAYIR - Tarih Dışı"))</f>
        <v/>
      </c>
      <c r="AP788" s="28">
        <f>IF(I788="","",IFERROR(INDEX(Kampanyalar!$H$2:$H$150,MATCH(O788,Kampanyalar!$A$2:$A$150,0)),""))</f>
        <v/>
      </c>
      <c r="AQ788" s="28">
        <f>IF(I788="","",IF(ISNUMBER(AP788),AP788,AD788))</f>
        <v/>
      </c>
      <c r="AR788" s="26">
        <f>IF(I788="","",IF(Parametreler!$C$7="Evet","Kural A - Hemen Ödeme (Stok Mutabakatlı)","Kural B - Nakliye/Montaj Sonrası Ödeme"))</f>
        <v/>
      </c>
    </row>
    <row r="789">
      <c r="A789" s="23" t="n"/>
      <c r="B789" s="23" t="n"/>
      <c r="C789" s="23" t="n"/>
      <c r="D789" s="23" t="n"/>
      <c r="E789" s="23" t="n"/>
      <c r="F789" s="23" t="n"/>
      <c r="G789" s="23" t="n"/>
      <c r="H789" s="24" t="n"/>
      <c r="I789" s="23" t="n"/>
      <c r="J789" s="23" t="n"/>
      <c r="K789" s="23" t="n"/>
      <c r="L789" s="23" t="n"/>
      <c r="M789" s="23" t="n"/>
      <c r="N789" s="23" t="n"/>
      <c r="O789" s="23" t="n"/>
      <c r="P789" s="23" t="n"/>
      <c r="Q789" s="23" t="n"/>
      <c r="R789" s="23" t="n"/>
      <c r="S789" s="23" t="n"/>
      <c r="T789" s="23" t="n"/>
      <c r="U789" s="23" t="n"/>
      <c r="V789" s="23" t="n"/>
      <c r="W789" s="23" t="n"/>
      <c r="X789" s="23" t="n"/>
      <c r="Y789" s="25" t="n"/>
      <c r="Z789" s="25" t="n"/>
      <c r="AA789" s="23" t="n"/>
      <c r="AB789" s="25" t="n"/>
      <c r="AC789" s="23" t="n"/>
      <c r="AD789" s="25" t="n"/>
      <c r="AE789" s="23" t="n"/>
      <c r="AF789" s="25" t="n"/>
      <c r="AG789" s="25" t="n"/>
      <c r="AH789" s="23" t="n"/>
      <c r="AI789" s="23" t="n"/>
      <c r="AJ789" s="26">
        <f>IF(I789="","",I789&amp;"|"&amp;R789)</f>
        <v/>
      </c>
      <c r="AK789" s="26">
        <f>IF(I789="","",IF(ISNA(MATCH(O789,Kampanyalar!$A$2:$A$150,0)),"Hayır - Kampanyalar'da Yok","Evet"))</f>
        <v/>
      </c>
      <c r="AL789" s="27">
        <f>IF(I789="","",IFERROR(INDEX(Kampanyalar!$E$2:$E$150,MATCH(O789,Kampanyalar!$A$2:$A$150,0)),""))</f>
        <v/>
      </c>
      <c r="AM789" s="27">
        <f>IF(I789="","",IFERROR(INDEX(Kampanyalar!$F$2:$F$150,MATCH(O789,Kampanyalar!$A$2:$A$150,0)),""))</f>
        <v/>
      </c>
      <c r="AN789" s="27">
        <f>IF(I789="","",IFERROR(INDEX(Kampanyalar!$G$2:$G$150,MATCH(O789,Kampanyalar!$A$2:$A$150,0)),""))</f>
        <v/>
      </c>
      <c r="AO789" s="26">
        <f>IF(OR(I789="",AL789="",AM789=""),"",IF(AND(H789&gt;=AL789,H789&lt;=AM789),"Evet","HAYIR - Tarih Dışı"))</f>
        <v/>
      </c>
      <c r="AP789" s="28">
        <f>IF(I789="","",IFERROR(INDEX(Kampanyalar!$H$2:$H$150,MATCH(O789,Kampanyalar!$A$2:$A$150,0)),""))</f>
        <v/>
      </c>
      <c r="AQ789" s="28">
        <f>IF(I789="","",IF(ISNUMBER(AP789),AP789,AD789))</f>
        <v/>
      </c>
      <c r="AR789" s="26">
        <f>IF(I789="","",IF(Parametreler!$C$7="Evet","Kural A - Hemen Ödeme (Stok Mutabakatlı)","Kural B - Nakliye/Montaj Sonrası Ödeme"))</f>
        <v/>
      </c>
    </row>
    <row r="790">
      <c r="A790" s="23" t="n"/>
      <c r="B790" s="23" t="n"/>
      <c r="C790" s="23" t="n"/>
      <c r="D790" s="23" t="n"/>
      <c r="E790" s="23" t="n"/>
      <c r="F790" s="23" t="n"/>
      <c r="G790" s="23" t="n"/>
      <c r="H790" s="24" t="n"/>
      <c r="I790" s="23" t="n"/>
      <c r="J790" s="23" t="n"/>
      <c r="K790" s="23" t="n"/>
      <c r="L790" s="23" t="n"/>
      <c r="M790" s="23" t="n"/>
      <c r="N790" s="23" t="n"/>
      <c r="O790" s="23" t="n"/>
      <c r="P790" s="23" t="n"/>
      <c r="Q790" s="23" t="n"/>
      <c r="R790" s="23" t="n"/>
      <c r="S790" s="23" t="n"/>
      <c r="T790" s="23" t="n"/>
      <c r="U790" s="23" t="n"/>
      <c r="V790" s="23" t="n"/>
      <c r="W790" s="23" t="n"/>
      <c r="X790" s="23" t="n"/>
      <c r="Y790" s="25" t="n"/>
      <c r="Z790" s="25" t="n"/>
      <c r="AA790" s="23" t="n"/>
      <c r="AB790" s="25" t="n"/>
      <c r="AC790" s="23" t="n"/>
      <c r="AD790" s="25" t="n"/>
      <c r="AE790" s="23" t="n"/>
      <c r="AF790" s="25" t="n"/>
      <c r="AG790" s="25" t="n"/>
      <c r="AH790" s="23" t="n"/>
      <c r="AI790" s="23" t="n"/>
      <c r="AJ790" s="26">
        <f>IF(I790="","",I790&amp;"|"&amp;R790)</f>
        <v/>
      </c>
      <c r="AK790" s="26">
        <f>IF(I790="","",IF(ISNA(MATCH(O790,Kampanyalar!$A$2:$A$150,0)),"Hayır - Kampanyalar'da Yok","Evet"))</f>
        <v/>
      </c>
      <c r="AL790" s="27">
        <f>IF(I790="","",IFERROR(INDEX(Kampanyalar!$E$2:$E$150,MATCH(O790,Kampanyalar!$A$2:$A$150,0)),""))</f>
        <v/>
      </c>
      <c r="AM790" s="27">
        <f>IF(I790="","",IFERROR(INDEX(Kampanyalar!$F$2:$F$150,MATCH(O790,Kampanyalar!$A$2:$A$150,0)),""))</f>
        <v/>
      </c>
      <c r="AN790" s="27">
        <f>IF(I790="","",IFERROR(INDEX(Kampanyalar!$G$2:$G$150,MATCH(O790,Kampanyalar!$A$2:$A$150,0)),""))</f>
        <v/>
      </c>
      <c r="AO790" s="26">
        <f>IF(OR(I790="",AL790="",AM790=""),"",IF(AND(H790&gt;=AL790,H790&lt;=AM790),"Evet","HAYIR - Tarih Dışı"))</f>
        <v/>
      </c>
      <c r="AP790" s="28">
        <f>IF(I790="","",IFERROR(INDEX(Kampanyalar!$H$2:$H$150,MATCH(O790,Kampanyalar!$A$2:$A$150,0)),""))</f>
        <v/>
      </c>
      <c r="AQ790" s="28">
        <f>IF(I790="","",IF(ISNUMBER(AP790),AP790,AD790))</f>
        <v/>
      </c>
      <c r="AR790" s="26">
        <f>IF(I790="","",IF(Parametreler!$C$7="Evet","Kural A - Hemen Ödeme (Stok Mutabakatlı)","Kural B - Nakliye/Montaj Sonrası Ödeme"))</f>
        <v/>
      </c>
    </row>
    <row r="791">
      <c r="A791" s="23" t="n"/>
      <c r="B791" s="23" t="n"/>
      <c r="C791" s="23" t="n"/>
      <c r="D791" s="23" t="n"/>
      <c r="E791" s="23" t="n"/>
      <c r="F791" s="23" t="n"/>
      <c r="G791" s="23" t="n"/>
      <c r="H791" s="24" t="n"/>
      <c r="I791" s="23" t="n"/>
      <c r="J791" s="23" t="n"/>
      <c r="K791" s="23" t="n"/>
      <c r="L791" s="23" t="n"/>
      <c r="M791" s="23" t="n"/>
      <c r="N791" s="23" t="n"/>
      <c r="O791" s="23" t="n"/>
      <c r="P791" s="23" t="n"/>
      <c r="Q791" s="23" t="n"/>
      <c r="R791" s="23" t="n"/>
      <c r="S791" s="23" t="n"/>
      <c r="T791" s="23" t="n"/>
      <c r="U791" s="23" t="n"/>
      <c r="V791" s="23" t="n"/>
      <c r="W791" s="23" t="n"/>
      <c r="X791" s="23" t="n"/>
      <c r="Y791" s="25" t="n"/>
      <c r="Z791" s="25" t="n"/>
      <c r="AA791" s="23" t="n"/>
      <c r="AB791" s="25" t="n"/>
      <c r="AC791" s="23" t="n"/>
      <c r="AD791" s="25" t="n"/>
      <c r="AE791" s="23" t="n"/>
      <c r="AF791" s="25" t="n"/>
      <c r="AG791" s="25" t="n"/>
      <c r="AH791" s="23" t="n"/>
      <c r="AI791" s="23" t="n"/>
      <c r="AJ791" s="26">
        <f>IF(I791="","",I791&amp;"|"&amp;R791)</f>
        <v/>
      </c>
      <c r="AK791" s="26">
        <f>IF(I791="","",IF(ISNA(MATCH(O791,Kampanyalar!$A$2:$A$150,0)),"Hayır - Kampanyalar'da Yok","Evet"))</f>
        <v/>
      </c>
      <c r="AL791" s="27">
        <f>IF(I791="","",IFERROR(INDEX(Kampanyalar!$E$2:$E$150,MATCH(O791,Kampanyalar!$A$2:$A$150,0)),""))</f>
        <v/>
      </c>
      <c r="AM791" s="27">
        <f>IF(I791="","",IFERROR(INDEX(Kampanyalar!$F$2:$F$150,MATCH(O791,Kampanyalar!$A$2:$A$150,0)),""))</f>
        <v/>
      </c>
      <c r="AN791" s="27">
        <f>IF(I791="","",IFERROR(INDEX(Kampanyalar!$G$2:$G$150,MATCH(O791,Kampanyalar!$A$2:$A$150,0)),""))</f>
        <v/>
      </c>
      <c r="AO791" s="26">
        <f>IF(OR(I791="",AL791="",AM791=""),"",IF(AND(H791&gt;=AL791,H791&lt;=AM791),"Evet","HAYIR - Tarih Dışı"))</f>
        <v/>
      </c>
      <c r="AP791" s="28">
        <f>IF(I791="","",IFERROR(INDEX(Kampanyalar!$H$2:$H$150,MATCH(O791,Kampanyalar!$A$2:$A$150,0)),""))</f>
        <v/>
      </c>
      <c r="AQ791" s="28">
        <f>IF(I791="","",IF(ISNUMBER(AP791),AP791,AD791))</f>
        <v/>
      </c>
      <c r="AR791" s="26">
        <f>IF(I791="","",IF(Parametreler!$C$7="Evet","Kural A - Hemen Ödeme (Stok Mutabakatlı)","Kural B - Nakliye/Montaj Sonrası Ödeme"))</f>
        <v/>
      </c>
    </row>
    <row r="792">
      <c r="A792" s="23" t="n"/>
      <c r="B792" s="23" t="n"/>
      <c r="C792" s="23" t="n"/>
      <c r="D792" s="23" t="n"/>
      <c r="E792" s="23" t="n"/>
      <c r="F792" s="23" t="n"/>
      <c r="G792" s="23" t="n"/>
      <c r="H792" s="24" t="n"/>
      <c r="I792" s="23" t="n"/>
      <c r="J792" s="23" t="n"/>
      <c r="K792" s="23" t="n"/>
      <c r="L792" s="23" t="n"/>
      <c r="M792" s="23" t="n"/>
      <c r="N792" s="23" t="n"/>
      <c r="O792" s="23" t="n"/>
      <c r="P792" s="23" t="n"/>
      <c r="Q792" s="23" t="n"/>
      <c r="R792" s="23" t="n"/>
      <c r="S792" s="23" t="n"/>
      <c r="T792" s="23" t="n"/>
      <c r="U792" s="23" t="n"/>
      <c r="V792" s="23" t="n"/>
      <c r="W792" s="23" t="n"/>
      <c r="X792" s="23" t="n"/>
      <c r="Y792" s="25" t="n"/>
      <c r="Z792" s="25" t="n"/>
      <c r="AA792" s="23" t="n"/>
      <c r="AB792" s="25" t="n"/>
      <c r="AC792" s="23" t="n"/>
      <c r="AD792" s="25" t="n"/>
      <c r="AE792" s="23" t="n"/>
      <c r="AF792" s="25" t="n"/>
      <c r="AG792" s="25" t="n"/>
      <c r="AH792" s="23" t="n"/>
      <c r="AI792" s="23" t="n"/>
      <c r="AJ792" s="26">
        <f>IF(I792="","",I792&amp;"|"&amp;R792)</f>
        <v/>
      </c>
      <c r="AK792" s="26">
        <f>IF(I792="","",IF(ISNA(MATCH(O792,Kampanyalar!$A$2:$A$150,0)),"Hayır - Kampanyalar'da Yok","Evet"))</f>
        <v/>
      </c>
      <c r="AL792" s="27">
        <f>IF(I792="","",IFERROR(INDEX(Kampanyalar!$E$2:$E$150,MATCH(O792,Kampanyalar!$A$2:$A$150,0)),""))</f>
        <v/>
      </c>
      <c r="AM792" s="27">
        <f>IF(I792="","",IFERROR(INDEX(Kampanyalar!$F$2:$F$150,MATCH(O792,Kampanyalar!$A$2:$A$150,0)),""))</f>
        <v/>
      </c>
      <c r="AN792" s="27">
        <f>IF(I792="","",IFERROR(INDEX(Kampanyalar!$G$2:$G$150,MATCH(O792,Kampanyalar!$A$2:$A$150,0)),""))</f>
        <v/>
      </c>
      <c r="AO792" s="26">
        <f>IF(OR(I792="",AL792="",AM792=""),"",IF(AND(H792&gt;=AL792,H792&lt;=AM792),"Evet","HAYIR - Tarih Dışı"))</f>
        <v/>
      </c>
      <c r="AP792" s="28">
        <f>IF(I792="","",IFERROR(INDEX(Kampanyalar!$H$2:$H$150,MATCH(O792,Kampanyalar!$A$2:$A$150,0)),""))</f>
        <v/>
      </c>
      <c r="AQ792" s="28">
        <f>IF(I792="","",IF(ISNUMBER(AP792),AP792,AD792))</f>
        <v/>
      </c>
      <c r="AR792" s="26">
        <f>IF(I792="","",IF(Parametreler!$C$7="Evet","Kural A - Hemen Ödeme (Stok Mutabakatlı)","Kural B - Nakliye/Montaj Sonrası Ödeme"))</f>
        <v/>
      </c>
    </row>
    <row r="793">
      <c r="A793" s="23" t="n"/>
      <c r="B793" s="23" t="n"/>
      <c r="C793" s="23" t="n"/>
      <c r="D793" s="23" t="n"/>
      <c r="E793" s="23" t="n"/>
      <c r="F793" s="23" t="n"/>
      <c r="G793" s="23" t="n"/>
      <c r="H793" s="24" t="n"/>
      <c r="I793" s="23" t="n"/>
      <c r="J793" s="23" t="n"/>
      <c r="K793" s="23" t="n"/>
      <c r="L793" s="23" t="n"/>
      <c r="M793" s="23" t="n"/>
      <c r="N793" s="23" t="n"/>
      <c r="O793" s="23" t="n"/>
      <c r="P793" s="23" t="n"/>
      <c r="Q793" s="23" t="n"/>
      <c r="R793" s="23" t="n"/>
      <c r="S793" s="23" t="n"/>
      <c r="T793" s="23" t="n"/>
      <c r="U793" s="23" t="n"/>
      <c r="V793" s="23" t="n"/>
      <c r="W793" s="23" t="n"/>
      <c r="X793" s="23" t="n"/>
      <c r="Y793" s="25" t="n"/>
      <c r="Z793" s="25" t="n"/>
      <c r="AA793" s="23" t="n"/>
      <c r="AB793" s="25" t="n"/>
      <c r="AC793" s="23" t="n"/>
      <c r="AD793" s="25" t="n"/>
      <c r="AE793" s="23" t="n"/>
      <c r="AF793" s="25" t="n"/>
      <c r="AG793" s="25" t="n"/>
      <c r="AH793" s="23" t="n"/>
      <c r="AI793" s="23" t="n"/>
      <c r="AJ793" s="26">
        <f>IF(I793="","",I793&amp;"|"&amp;R793)</f>
        <v/>
      </c>
      <c r="AK793" s="26">
        <f>IF(I793="","",IF(ISNA(MATCH(O793,Kampanyalar!$A$2:$A$150,0)),"Hayır - Kampanyalar'da Yok","Evet"))</f>
        <v/>
      </c>
      <c r="AL793" s="27">
        <f>IF(I793="","",IFERROR(INDEX(Kampanyalar!$E$2:$E$150,MATCH(O793,Kampanyalar!$A$2:$A$150,0)),""))</f>
        <v/>
      </c>
      <c r="AM793" s="27">
        <f>IF(I793="","",IFERROR(INDEX(Kampanyalar!$F$2:$F$150,MATCH(O793,Kampanyalar!$A$2:$A$150,0)),""))</f>
        <v/>
      </c>
      <c r="AN793" s="27">
        <f>IF(I793="","",IFERROR(INDEX(Kampanyalar!$G$2:$G$150,MATCH(O793,Kampanyalar!$A$2:$A$150,0)),""))</f>
        <v/>
      </c>
      <c r="AO793" s="26">
        <f>IF(OR(I793="",AL793="",AM793=""),"",IF(AND(H793&gt;=AL793,H793&lt;=AM793),"Evet","HAYIR - Tarih Dışı"))</f>
        <v/>
      </c>
      <c r="AP793" s="28">
        <f>IF(I793="","",IFERROR(INDEX(Kampanyalar!$H$2:$H$150,MATCH(O793,Kampanyalar!$A$2:$A$150,0)),""))</f>
        <v/>
      </c>
      <c r="AQ793" s="28">
        <f>IF(I793="","",IF(ISNUMBER(AP793),AP793,AD793))</f>
        <v/>
      </c>
      <c r="AR793" s="26">
        <f>IF(I793="","",IF(Parametreler!$C$7="Evet","Kural A - Hemen Ödeme (Stok Mutabakatlı)","Kural B - Nakliye/Montaj Sonrası Ödeme"))</f>
        <v/>
      </c>
    </row>
    <row r="794">
      <c r="A794" s="23" t="n"/>
      <c r="B794" s="23" t="n"/>
      <c r="C794" s="23" t="n"/>
      <c r="D794" s="23" t="n"/>
      <c r="E794" s="23" t="n"/>
      <c r="F794" s="23" t="n"/>
      <c r="G794" s="23" t="n"/>
      <c r="H794" s="24" t="n"/>
      <c r="I794" s="23" t="n"/>
      <c r="J794" s="23" t="n"/>
      <c r="K794" s="23" t="n"/>
      <c r="L794" s="23" t="n"/>
      <c r="M794" s="23" t="n"/>
      <c r="N794" s="23" t="n"/>
      <c r="O794" s="23" t="n"/>
      <c r="P794" s="23" t="n"/>
      <c r="Q794" s="23" t="n"/>
      <c r="R794" s="23" t="n"/>
      <c r="S794" s="23" t="n"/>
      <c r="T794" s="23" t="n"/>
      <c r="U794" s="23" t="n"/>
      <c r="V794" s="23" t="n"/>
      <c r="W794" s="23" t="n"/>
      <c r="X794" s="23" t="n"/>
      <c r="Y794" s="25" t="n"/>
      <c r="Z794" s="25" t="n"/>
      <c r="AA794" s="23" t="n"/>
      <c r="AB794" s="25" t="n"/>
      <c r="AC794" s="23" t="n"/>
      <c r="AD794" s="25" t="n"/>
      <c r="AE794" s="23" t="n"/>
      <c r="AF794" s="25" t="n"/>
      <c r="AG794" s="25" t="n"/>
      <c r="AH794" s="23" t="n"/>
      <c r="AI794" s="23" t="n"/>
      <c r="AJ794" s="26">
        <f>IF(I794="","",I794&amp;"|"&amp;R794)</f>
        <v/>
      </c>
      <c r="AK794" s="26">
        <f>IF(I794="","",IF(ISNA(MATCH(O794,Kampanyalar!$A$2:$A$150,0)),"Hayır - Kampanyalar'da Yok","Evet"))</f>
        <v/>
      </c>
      <c r="AL794" s="27">
        <f>IF(I794="","",IFERROR(INDEX(Kampanyalar!$E$2:$E$150,MATCH(O794,Kampanyalar!$A$2:$A$150,0)),""))</f>
        <v/>
      </c>
      <c r="AM794" s="27">
        <f>IF(I794="","",IFERROR(INDEX(Kampanyalar!$F$2:$F$150,MATCH(O794,Kampanyalar!$A$2:$A$150,0)),""))</f>
        <v/>
      </c>
      <c r="AN794" s="27">
        <f>IF(I794="","",IFERROR(INDEX(Kampanyalar!$G$2:$G$150,MATCH(O794,Kampanyalar!$A$2:$A$150,0)),""))</f>
        <v/>
      </c>
      <c r="AO794" s="26">
        <f>IF(OR(I794="",AL794="",AM794=""),"",IF(AND(H794&gt;=AL794,H794&lt;=AM794),"Evet","HAYIR - Tarih Dışı"))</f>
        <v/>
      </c>
      <c r="AP794" s="28">
        <f>IF(I794="","",IFERROR(INDEX(Kampanyalar!$H$2:$H$150,MATCH(O794,Kampanyalar!$A$2:$A$150,0)),""))</f>
        <v/>
      </c>
      <c r="AQ794" s="28">
        <f>IF(I794="","",IF(ISNUMBER(AP794),AP794,AD794))</f>
        <v/>
      </c>
      <c r="AR794" s="26">
        <f>IF(I794="","",IF(Parametreler!$C$7="Evet","Kural A - Hemen Ödeme (Stok Mutabakatlı)","Kural B - Nakliye/Montaj Sonrası Ödeme"))</f>
        <v/>
      </c>
    </row>
    <row r="795">
      <c r="A795" s="23" t="n"/>
      <c r="B795" s="23" t="n"/>
      <c r="C795" s="23" t="n"/>
      <c r="D795" s="23" t="n"/>
      <c r="E795" s="23" t="n"/>
      <c r="F795" s="23" t="n"/>
      <c r="G795" s="23" t="n"/>
      <c r="H795" s="24" t="n"/>
      <c r="I795" s="23" t="n"/>
      <c r="J795" s="23" t="n"/>
      <c r="K795" s="23" t="n"/>
      <c r="L795" s="23" t="n"/>
      <c r="M795" s="23" t="n"/>
      <c r="N795" s="23" t="n"/>
      <c r="O795" s="23" t="n"/>
      <c r="P795" s="23" t="n"/>
      <c r="Q795" s="23" t="n"/>
      <c r="R795" s="23" t="n"/>
      <c r="S795" s="23" t="n"/>
      <c r="T795" s="23" t="n"/>
      <c r="U795" s="23" t="n"/>
      <c r="V795" s="23" t="n"/>
      <c r="W795" s="23" t="n"/>
      <c r="X795" s="23" t="n"/>
      <c r="Y795" s="25" t="n"/>
      <c r="Z795" s="25" t="n"/>
      <c r="AA795" s="23" t="n"/>
      <c r="AB795" s="25" t="n"/>
      <c r="AC795" s="23" t="n"/>
      <c r="AD795" s="25" t="n"/>
      <c r="AE795" s="23" t="n"/>
      <c r="AF795" s="25" t="n"/>
      <c r="AG795" s="25" t="n"/>
      <c r="AH795" s="23" t="n"/>
      <c r="AI795" s="23" t="n"/>
      <c r="AJ795" s="26">
        <f>IF(I795="","",I795&amp;"|"&amp;R795)</f>
        <v/>
      </c>
      <c r="AK795" s="26">
        <f>IF(I795="","",IF(ISNA(MATCH(O795,Kampanyalar!$A$2:$A$150,0)),"Hayır - Kampanyalar'da Yok","Evet"))</f>
        <v/>
      </c>
      <c r="AL795" s="27">
        <f>IF(I795="","",IFERROR(INDEX(Kampanyalar!$E$2:$E$150,MATCH(O795,Kampanyalar!$A$2:$A$150,0)),""))</f>
        <v/>
      </c>
      <c r="AM795" s="27">
        <f>IF(I795="","",IFERROR(INDEX(Kampanyalar!$F$2:$F$150,MATCH(O795,Kampanyalar!$A$2:$A$150,0)),""))</f>
        <v/>
      </c>
      <c r="AN795" s="27">
        <f>IF(I795="","",IFERROR(INDEX(Kampanyalar!$G$2:$G$150,MATCH(O795,Kampanyalar!$A$2:$A$150,0)),""))</f>
        <v/>
      </c>
      <c r="AO795" s="26">
        <f>IF(OR(I795="",AL795="",AM795=""),"",IF(AND(H795&gt;=AL795,H795&lt;=AM795),"Evet","HAYIR - Tarih Dışı"))</f>
        <v/>
      </c>
      <c r="AP795" s="28">
        <f>IF(I795="","",IFERROR(INDEX(Kampanyalar!$H$2:$H$150,MATCH(O795,Kampanyalar!$A$2:$A$150,0)),""))</f>
        <v/>
      </c>
      <c r="AQ795" s="28">
        <f>IF(I795="","",IF(ISNUMBER(AP795),AP795,AD795))</f>
        <v/>
      </c>
      <c r="AR795" s="26">
        <f>IF(I795="","",IF(Parametreler!$C$7="Evet","Kural A - Hemen Ödeme (Stok Mutabakatlı)","Kural B - Nakliye/Montaj Sonrası Ödeme"))</f>
        <v/>
      </c>
    </row>
    <row r="796">
      <c r="A796" s="23" t="n"/>
      <c r="B796" s="23" t="n"/>
      <c r="C796" s="23" t="n"/>
      <c r="D796" s="23" t="n"/>
      <c r="E796" s="23" t="n"/>
      <c r="F796" s="23" t="n"/>
      <c r="G796" s="23" t="n"/>
      <c r="H796" s="24" t="n"/>
      <c r="I796" s="23" t="n"/>
      <c r="J796" s="23" t="n"/>
      <c r="K796" s="23" t="n"/>
      <c r="L796" s="23" t="n"/>
      <c r="M796" s="23" t="n"/>
      <c r="N796" s="23" t="n"/>
      <c r="O796" s="23" t="n"/>
      <c r="P796" s="23" t="n"/>
      <c r="Q796" s="23" t="n"/>
      <c r="R796" s="23" t="n"/>
      <c r="S796" s="23" t="n"/>
      <c r="T796" s="23" t="n"/>
      <c r="U796" s="23" t="n"/>
      <c r="V796" s="23" t="n"/>
      <c r="W796" s="23" t="n"/>
      <c r="X796" s="23" t="n"/>
      <c r="Y796" s="25" t="n"/>
      <c r="Z796" s="25" t="n"/>
      <c r="AA796" s="23" t="n"/>
      <c r="AB796" s="25" t="n"/>
      <c r="AC796" s="23" t="n"/>
      <c r="AD796" s="25" t="n"/>
      <c r="AE796" s="23" t="n"/>
      <c r="AF796" s="25" t="n"/>
      <c r="AG796" s="25" t="n"/>
      <c r="AH796" s="23" t="n"/>
      <c r="AI796" s="23" t="n"/>
      <c r="AJ796" s="26">
        <f>IF(I796="","",I796&amp;"|"&amp;R796)</f>
        <v/>
      </c>
      <c r="AK796" s="26">
        <f>IF(I796="","",IF(ISNA(MATCH(O796,Kampanyalar!$A$2:$A$150,0)),"Hayır - Kampanyalar'da Yok","Evet"))</f>
        <v/>
      </c>
      <c r="AL796" s="27">
        <f>IF(I796="","",IFERROR(INDEX(Kampanyalar!$E$2:$E$150,MATCH(O796,Kampanyalar!$A$2:$A$150,0)),""))</f>
        <v/>
      </c>
      <c r="AM796" s="27">
        <f>IF(I796="","",IFERROR(INDEX(Kampanyalar!$F$2:$F$150,MATCH(O796,Kampanyalar!$A$2:$A$150,0)),""))</f>
        <v/>
      </c>
      <c r="AN796" s="27">
        <f>IF(I796="","",IFERROR(INDEX(Kampanyalar!$G$2:$G$150,MATCH(O796,Kampanyalar!$A$2:$A$150,0)),""))</f>
        <v/>
      </c>
      <c r="AO796" s="26">
        <f>IF(OR(I796="",AL796="",AM796=""),"",IF(AND(H796&gt;=AL796,H796&lt;=AM796),"Evet","HAYIR - Tarih Dışı"))</f>
        <v/>
      </c>
      <c r="AP796" s="28">
        <f>IF(I796="","",IFERROR(INDEX(Kampanyalar!$H$2:$H$150,MATCH(O796,Kampanyalar!$A$2:$A$150,0)),""))</f>
        <v/>
      </c>
      <c r="AQ796" s="28">
        <f>IF(I796="","",IF(ISNUMBER(AP796),AP796,AD796))</f>
        <v/>
      </c>
      <c r="AR796" s="26">
        <f>IF(I796="","",IF(Parametreler!$C$7="Evet","Kural A - Hemen Ödeme (Stok Mutabakatlı)","Kural B - Nakliye/Montaj Sonrası Ödeme"))</f>
        <v/>
      </c>
    </row>
    <row r="797">
      <c r="A797" s="23" t="n"/>
      <c r="B797" s="23" t="n"/>
      <c r="C797" s="23" t="n"/>
      <c r="D797" s="23" t="n"/>
      <c r="E797" s="23" t="n"/>
      <c r="F797" s="23" t="n"/>
      <c r="G797" s="23" t="n"/>
      <c r="H797" s="24" t="n"/>
      <c r="I797" s="23" t="n"/>
      <c r="J797" s="23" t="n"/>
      <c r="K797" s="23" t="n"/>
      <c r="L797" s="23" t="n"/>
      <c r="M797" s="23" t="n"/>
      <c r="N797" s="23" t="n"/>
      <c r="O797" s="23" t="n"/>
      <c r="P797" s="23" t="n"/>
      <c r="Q797" s="23" t="n"/>
      <c r="R797" s="23" t="n"/>
      <c r="S797" s="23" t="n"/>
      <c r="T797" s="23" t="n"/>
      <c r="U797" s="23" t="n"/>
      <c r="V797" s="23" t="n"/>
      <c r="W797" s="23" t="n"/>
      <c r="X797" s="23" t="n"/>
      <c r="Y797" s="25" t="n"/>
      <c r="Z797" s="25" t="n"/>
      <c r="AA797" s="23" t="n"/>
      <c r="AB797" s="25" t="n"/>
      <c r="AC797" s="23" t="n"/>
      <c r="AD797" s="25" t="n"/>
      <c r="AE797" s="23" t="n"/>
      <c r="AF797" s="25" t="n"/>
      <c r="AG797" s="25" t="n"/>
      <c r="AH797" s="23" t="n"/>
      <c r="AI797" s="23" t="n"/>
      <c r="AJ797" s="26">
        <f>IF(I797="","",I797&amp;"|"&amp;R797)</f>
        <v/>
      </c>
      <c r="AK797" s="26">
        <f>IF(I797="","",IF(ISNA(MATCH(O797,Kampanyalar!$A$2:$A$150,0)),"Hayır - Kampanyalar'da Yok","Evet"))</f>
        <v/>
      </c>
      <c r="AL797" s="27">
        <f>IF(I797="","",IFERROR(INDEX(Kampanyalar!$E$2:$E$150,MATCH(O797,Kampanyalar!$A$2:$A$150,0)),""))</f>
        <v/>
      </c>
      <c r="AM797" s="27">
        <f>IF(I797="","",IFERROR(INDEX(Kampanyalar!$F$2:$F$150,MATCH(O797,Kampanyalar!$A$2:$A$150,0)),""))</f>
        <v/>
      </c>
      <c r="AN797" s="27">
        <f>IF(I797="","",IFERROR(INDEX(Kampanyalar!$G$2:$G$150,MATCH(O797,Kampanyalar!$A$2:$A$150,0)),""))</f>
        <v/>
      </c>
      <c r="AO797" s="26">
        <f>IF(OR(I797="",AL797="",AM797=""),"",IF(AND(H797&gt;=AL797,H797&lt;=AM797),"Evet","HAYIR - Tarih Dışı"))</f>
        <v/>
      </c>
      <c r="AP797" s="28">
        <f>IF(I797="","",IFERROR(INDEX(Kampanyalar!$H$2:$H$150,MATCH(O797,Kampanyalar!$A$2:$A$150,0)),""))</f>
        <v/>
      </c>
      <c r="AQ797" s="28">
        <f>IF(I797="","",IF(ISNUMBER(AP797),AP797,AD797))</f>
        <v/>
      </c>
      <c r="AR797" s="26">
        <f>IF(I797="","",IF(Parametreler!$C$7="Evet","Kural A - Hemen Ödeme (Stok Mutabakatlı)","Kural B - Nakliye/Montaj Sonrası Ödeme"))</f>
        <v/>
      </c>
    </row>
    <row r="798">
      <c r="A798" s="23" t="n"/>
      <c r="B798" s="23" t="n"/>
      <c r="C798" s="23" t="n"/>
      <c r="D798" s="23" t="n"/>
      <c r="E798" s="23" t="n"/>
      <c r="F798" s="23" t="n"/>
      <c r="G798" s="23" t="n"/>
      <c r="H798" s="24" t="n"/>
      <c r="I798" s="23" t="n"/>
      <c r="J798" s="23" t="n"/>
      <c r="K798" s="23" t="n"/>
      <c r="L798" s="23" t="n"/>
      <c r="M798" s="23" t="n"/>
      <c r="N798" s="23" t="n"/>
      <c r="O798" s="23" t="n"/>
      <c r="P798" s="23" t="n"/>
      <c r="Q798" s="23" t="n"/>
      <c r="R798" s="23" t="n"/>
      <c r="S798" s="23" t="n"/>
      <c r="T798" s="23" t="n"/>
      <c r="U798" s="23" t="n"/>
      <c r="V798" s="23" t="n"/>
      <c r="W798" s="23" t="n"/>
      <c r="X798" s="23" t="n"/>
      <c r="Y798" s="25" t="n"/>
      <c r="Z798" s="25" t="n"/>
      <c r="AA798" s="23" t="n"/>
      <c r="AB798" s="25" t="n"/>
      <c r="AC798" s="23" t="n"/>
      <c r="AD798" s="25" t="n"/>
      <c r="AE798" s="23" t="n"/>
      <c r="AF798" s="25" t="n"/>
      <c r="AG798" s="25" t="n"/>
      <c r="AH798" s="23" t="n"/>
      <c r="AI798" s="23" t="n"/>
      <c r="AJ798" s="26">
        <f>IF(I798="","",I798&amp;"|"&amp;R798)</f>
        <v/>
      </c>
      <c r="AK798" s="26">
        <f>IF(I798="","",IF(ISNA(MATCH(O798,Kampanyalar!$A$2:$A$150,0)),"Hayır - Kampanyalar'da Yok","Evet"))</f>
        <v/>
      </c>
      <c r="AL798" s="27">
        <f>IF(I798="","",IFERROR(INDEX(Kampanyalar!$E$2:$E$150,MATCH(O798,Kampanyalar!$A$2:$A$150,0)),""))</f>
        <v/>
      </c>
      <c r="AM798" s="27">
        <f>IF(I798="","",IFERROR(INDEX(Kampanyalar!$F$2:$F$150,MATCH(O798,Kampanyalar!$A$2:$A$150,0)),""))</f>
        <v/>
      </c>
      <c r="AN798" s="27">
        <f>IF(I798="","",IFERROR(INDEX(Kampanyalar!$G$2:$G$150,MATCH(O798,Kampanyalar!$A$2:$A$150,0)),""))</f>
        <v/>
      </c>
      <c r="AO798" s="26">
        <f>IF(OR(I798="",AL798="",AM798=""),"",IF(AND(H798&gt;=AL798,H798&lt;=AM798),"Evet","HAYIR - Tarih Dışı"))</f>
        <v/>
      </c>
      <c r="AP798" s="28">
        <f>IF(I798="","",IFERROR(INDEX(Kampanyalar!$H$2:$H$150,MATCH(O798,Kampanyalar!$A$2:$A$150,0)),""))</f>
        <v/>
      </c>
      <c r="AQ798" s="28">
        <f>IF(I798="","",IF(ISNUMBER(AP798),AP798,AD798))</f>
        <v/>
      </c>
      <c r="AR798" s="26">
        <f>IF(I798="","",IF(Parametreler!$C$7="Evet","Kural A - Hemen Ödeme (Stok Mutabakatlı)","Kural B - Nakliye/Montaj Sonrası Ödeme"))</f>
        <v/>
      </c>
    </row>
    <row r="799">
      <c r="A799" s="23" t="n"/>
      <c r="B799" s="23" t="n"/>
      <c r="C799" s="23" t="n"/>
      <c r="D799" s="23" t="n"/>
      <c r="E799" s="23" t="n"/>
      <c r="F799" s="23" t="n"/>
      <c r="G799" s="23" t="n"/>
      <c r="H799" s="24" t="n"/>
      <c r="I799" s="23" t="n"/>
      <c r="J799" s="23" t="n"/>
      <c r="K799" s="23" t="n"/>
      <c r="L799" s="23" t="n"/>
      <c r="M799" s="23" t="n"/>
      <c r="N799" s="23" t="n"/>
      <c r="O799" s="23" t="n"/>
      <c r="P799" s="23" t="n"/>
      <c r="Q799" s="23" t="n"/>
      <c r="R799" s="23" t="n"/>
      <c r="S799" s="23" t="n"/>
      <c r="T799" s="23" t="n"/>
      <c r="U799" s="23" t="n"/>
      <c r="V799" s="23" t="n"/>
      <c r="W799" s="23" t="n"/>
      <c r="X799" s="23" t="n"/>
      <c r="Y799" s="25" t="n"/>
      <c r="Z799" s="25" t="n"/>
      <c r="AA799" s="23" t="n"/>
      <c r="AB799" s="25" t="n"/>
      <c r="AC799" s="23" t="n"/>
      <c r="AD799" s="25" t="n"/>
      <c r="AE799" s="23" t="n"/>
      <c r="AF799" s="25" t="n"/>
      <c r="AG799" s="25" t="n"/>
      <c r="AH799" s="23" t="n"/>
      <c r="AI799" s="23" t="n"/>
      <c r="AJ799" s="26">
        <f>IF(I799="","",I799&amp;"|"&amp;R799)</f>
        <v/>
      </c>
      <c r="AK799" s="26">
        <f>IF(I799="","",IF(ISNA(MATCH(O799,Kampanyalar!$A$2:$A$150,0)),"Hayır - Kampanyalar'da Yok","Evet"))</f>
        <v/>
      </c>
      <c r="AL799" s="27">
        <f>IF(I799="","",IFERROR(INDEX(Kampanyalar!$E$2:$E$150,MATCH(O799,Kampanyalar!$A$2:$A$150,0)),""))</f>
        <v/>
      </c>
      <c r="AM799" s="27">
        <f>IF(I799="","",IFERROR(INDEX(Kampanyalar!$F$2:$F$150,MATCH(O799,Kampanyalar!$A$2:$A$150,0)),""))</f>
        <v/>
      </c>
      <c r="AN799" s="27">
        <f>IF(I799="","",IFERROR(INDEX(Kampanyalar!$G$2:$G$150,MATCH(O799,Kampanyalar!$A$2:$A$150,0)),""))</f>
        <v/>
      </c>
      <c r="AO799" s="26">
        <f>IF(OR(I799="",AL799="",AM799=""),"",IF(AND(H799&gt;=AL799,H799&lt;=AM799),"Evet","HAYIR - Tarih Dışı"))</f>
        <v/>
      </c>
      <c r="AP799" s="28">
        <f>IF(I799="","",IFERROR(INDEX(Kampanyalar!$H$2:$H$150,MATCH(O799,Kampanyalar!$A$2:$A$150,0)),""))</f>
        <v/>
      </c>
      <c r="AQ799" s="28">
        <f>IF(I799="","",IF(ISNUMBER(AP799),AP799,AD799))</f>
        <v/>
      </c>
      <c r="AR799" s="26">
        <f>IF(I799="","",IF(Parametreler!$C$7="Evet","Kural A - Hemen Ödeme (Stok Mutabakatlı)","Kural B - Nakliye/Montaj Sonrası Ödeme"))</f>
        <v/>
      </c>
    </row>
    <row r="800">
      <c r="A800" s="23" t="n"/>
      <c r="B800" s="23" t="n"/>
      <c r="C800" s="23" t="n"/>
      <c r="D800" s="23" t="n"/>
      <c r="E800" s="23" t="n"/>
      <c r="F800" s="23" t="n"/>
      <c r="G800" s="23" t="n"/>
      <c r="H800" s="24" t="n"/>
      <c r="I800" s="23" t="n"/>
      <c r="J800" s="23" t="n"/>
      <c r="K800" s="23" t="n"/>
      <c r="L800" s="23" t="n"/>
      <c r="M800" s="23" t="n"/>
      <c r="N800" s="23" t="n"/>
      <c r="O800" s="23" t="n"/>
      <c r="P800" s="23" t="n"/>
      <c r="Q800" s="23" t="n"/>
      <c r="R800" s="23" t="n"/>
      <c r="S800" s="23" t="n"/>
      <c r="T800" s="23" t="n"/>
      <c r="U800" s="23" t="n"/>
      <c r="V800" s="23" t="n"/>
      <c r="W800" s="23" t="n"/>
      <c r="X800" s="23" t="n"/>
      <c r="Y800" s="25" t="n"/>
      <c r="Z800" s="25" t="n"/>
      <c r="AA800" s="23" t="n"/>
      <c r="AB800" s="25" t="n"/>
      <c r="AC800" s="23" t="n"/>
      <c r="AD800" s="25" t="n"/>
      <c r="AE800" s="23" t="n"/>
      <c r="AF800" s="25" t="n"/>
      <c r="AG800" s="25" t="n"/>
      <c r="AH800" s="23" t="n"/>
      <c r="AI800" s="23" t="n"/>
      <c r="AJ800" s="26">
        <f>IF(I800="","",I800&amp;"|"&amp;R800)</f>
        <v/>
      </c>
      <c r="AK800" s="26">
        <f>IF(I800="","",IF(ISNA(MATCH(O800,Kampanyalar!$A$2:$A$150,0)),"Hayır - Kampanyalar'da Yok","Evet"))</f>
        <v/>
      </c>
      <c r="AL800" s="27">
        <f>IF(I800="","",IFERROR(INDEX(Kampanyalar!$E$2:$E$150,MATCH(O800,Kampanyalar!$A$2:$A$150,0)),""))</f>
        <v/>
      </c>
      <c r="AM800" s="27">
        <f>IF(I800="","",IFERROR(INDEX(Kampanyalar!$F$2:$F$150,MATCH(O800,Kampanyalar!$A$2:$A$150,0)),""))</f>
        <v/>
      </c>
      <c r="AN800" s="27">
        <f>IF(I800="","",IFERROR(INDEX(Kampanyalar!$G$2:$G$150,MATCH(O800,Kampanyalar!$A$2:$A$150,0)),""))</f>
        <v/>
      </c>
      <c r="AO800" s="26">
        <f>IF(OR(I800="",AL800="",AM800=""),"",IF(AND(H800&gt;=AL800,H800&lt;=AM800),"Evet","HAYIR - Tarih Dışı"))</f>
        <v/>
      </c>
      <c r="AP800" s="28">
        <f>IF(I800="","",IFERROR(INDEX(Kampanyalar!$H$2:$H$150,MATCH(O800,Kampanyalar!$A$2:$A$150,0)),""))</f>
        <v/>
      </c>
      <c r="AQ800" s="28">
        <f>IF(I800="","",IF(ISNUMBER(AP800),AP800,AD800))</f>
        <v/>
      </c>
      <c r="AR800" s="26">
        <f>IF(I800="","",IF(Parametreler!$C$7="Evet","Kural A - Hemen Ödeme (Stok Mutabakatlı)","Kural B - Nakliye/Montaj Sonrası Ödeme"))</f>
        <v/>
      </c>
    </row>
    <row r="801">
      <c r="A801" s="23" t="n"/>
      <c r="B801" s="23" t="n"/>
      <c r="C801" s="23" t="n"/>
      <c r="D801" s="23" t="n"/>
      <c r="E801" s="23" t="n"/>
      <c r="F801" s="23" t="n"/>
      <c r="G801" s="23" t="n"/>
      <c r="H801" s="24" t="n"/>
      <c r="I801" s="23" t="n"/>
      <c r="J801" s="23" t="n"/>
      <c r="K801" s="23" t="n"/>
      <c r="L801" s="23" t="n"/>
      <c r="M801" s="23" t="n"/>
      <c r="N801" s="23" t="n"/>
      <c r="O801" s="23" t="n"/>
      <c r="P801" s="23" t="n"/>
      <c r="Q801" s="23" t="n"/>
      <c r="R801" s="23" t="n"/>
      <c r="S801" s="23" t="n"/>
      <c r="T801" s="23" t="n"/>
      <c r="U801" s="23" t="n"/>
      <c r="V801" s="23" t="n"/>
      <c r="W801" s="23" t="n"/>
      <c r="X801" s="23" t="n"/>
      <c r="Y801" s="25" t="n"/>
      <c r="Z801" s="25" t="n"/>
      <c r="AA801" s="23" t="n"/>
      <c r="AB801" s="25" t="n"/>
      <c r="AC801" s="23" t="n"/>
      <c r="AD801" s="25" t="n"/>
      <c r="AE801" s="23" t="n"/>
      <c r="AF801" s="25" t="n"/>
      <c r="AG801" s="25" t="n"/>
      <c r="AH801" s="23" t="n"/>
      <c r="AI801" s="23" t="n"/>
      <c r="AJ801" s="26">
        <f>IF(I801="","",I801&amp;"|"&amp;R801)</f>
        <v/>
      </c>
      <c r="AK801" s="26">
        <f>IF(I801="","",IF(ISNA(MATCH(O801,Kampanyalar!$A$2:$A$150,0)),"Hayır - Kampanyalar'da Yok","Evet"))</f>
        <v/>
      </c>
      <c r="AL801" s="27">
        <f>IF(I801="","",IFERROR(INDEX(Kampanyalar!$E$2:$E$150,MATCH(O801,Kampanyalar!$A$2:$A$150,0)),""))</f>
        <v/>
      </c>
      <c r="AM801" s="27">
        <f>IF(I801="","",IFERROR(INDEX(Kampanyalar!$F$2:$F$150,MATCH(O801,Kampanyalar!$A$2:$A$150,0)),""))</f>
        <v/>
      </c>
      <c r="AN801" s="27">
        <f>IF(I801="","",IFERROR(INDEX(Kampanyalar!$G$2:$G$150,MATCH(O801,Kampanyalar!$A$2:$A$150,0)),""))</f>
        <v/>
      </c>
      <c r="AO801" s="26">
        <f>IF(OR(I801="",AL801="",AM801=""),"",IF(AND(H801&gt;=AL801,H801&lt;=AM801),"Evet","HAYIR - Tarih Dışı"))</f>
        <v/>
      </c>
      <c r="AP801" s="28">
        <f>IF(I801="","",IFERROR(INDEX(Kampanyalar!$H$2:$H$150,MATCH(O801,Kampanyalar!$A$2:$A$150,0)),""))</f>
        <v/>
      </c>
      <c r="AQ801" s="28">
        <f>IF(I801="","",IF(ISNUMBER(AP801),AP801,AD801))</f>
        <v/>
      </c>
      <c r="AR801" s="26">
        <f>IF(I801="","",IF(Parametreler!$C$7="Evet","Kural A - Hemen Ödeme (Stok Mutabakatlı)","Kural B - Nakliye/Montaj Sonrası Ödeme"))</f>
        <v/>
      </c>
    </row>
    <row r="802">
      <c r="A802" s="23" t="n"/>
      <c r="B802" s="23" t="n"/>
      <c r="C802" s="23" t="n"/>
      <c r="D802" s="23" t="n"/>
      <c r="E802" s="23" t="n"/>
      <c r="F802" s="23" t="n"/>
      <c r="G802" s="23" t="n"/>
      <c r="H802" s="24" t="n"/>
      <c r="I802" s="23" t="n"/>
      <c r="J802" s="23" t="n"/>
      <c r="K802" s="23" t="n"/>
      <c r="L802" s="23" t="n"/>
      <c r="M802" s="23" t="n"/>
      <c r="N802" s="23" t="n"/>
      <c r="O802" s="23" t="n"/>
      <c r="P802" s="23" t="n"/>
      <c r="Q802" s="23" t="n"/>
      <c r="R802" s="23" t="n"/>
      <c r="S802" s="23" t="n"/>
      <c r="T802" s="23" t="n"/>
      <c r="U802" s="23" t="n"/>
      <c r="V802" s="23" t="n"/>
      <c r="W802" s="23" t="n"/>
      <c r="X802" s="23" t="n"/>
      <c r="Y802" s="25" t="n"/>
      <c r="Z802" s="25" t="n"/>
      <c r="AA802" s="23" t="n"/>
      <c r="AB802" s="25" t="n"/>
      <c r="AC802" s="23" t="n"/>
      <c r="AD802" s="25" t="n"/>
      <c r="AE802" s="23" t="n"/>
      <c r="AF802" s="25" t="n"/>
      <c r="AG802" s="25" t="n"/>
      <c r="AH802" s="23" t="n"/>
      <c r="AI802" s="23" t="n"/>
      <c r="AJ802" s="26">
        <f>IF(I802="","",I802&amp;"|"&amp;R802)</f>
        <v/>
      </c>
      <c r="AK802" s="26">
        <f>IF(I802="","",IF(ISNA(MATCH(O802,Kampanyalar!$A$2:$A$150,0)),"Hayır - Kampanyalar'da Yok","Evet"))</f>
        <v/>
      </c>
      <c r="AL802" s="27">
        <f>IF(I802="","",IFERROR(INDEX(Kampanyalar!$E$2:$E$150,MATCH(O802,Kampanyalar!$A$2:$A$150,0)),""))</f>
        <v/>
      </c>
      <c r="AM802" s="27">
        <f>IF(I802="","",IFERROR(INDEX(Kampanyalar!$F$2:$F$150,MATCH(O802,Kampanyalar!$A$2:$A$150,0)),""))</f>
        <v/>
      </c>
      <c r="AN802" s="27">
        <f>IF(I802="","",IFERROR(INDEX(Kampanyalar!$G$2:$G$150,MATCH(O802,Kampanyalar!$A$2:$A$150,0)),""))</f>
        <v/>
      </c>
      <c r="AO802" s="26">
        <f>IF(OR(I802="",AL802="",AM802=""),"",IF(AND(H802&gt;=AL802,H802&lt;=AM802),"Evet","HAYIR - Tarih Dışı"))</f>
        <v/>
      </c>
      <c r="AP802" s="28">
        <f>IF(I802="","",IFERROR(INDEX(Kampanyalar!$H$2:$H$150,MATCH(O802,Kampanyalar!$A$2:$A$150,0)),""))</f>
        <v/>
      </c>
      <c r="AQ802" s="28">
        <f>IF(I802="","",IF(ISNUMBER(AP802),AP802,AD802))</f>
        <v/>
      </c>
      <c r="AR802" s="26">
        <f>IF(I802="","",IF(Parametreler!$C$7="Evet","Kural A - Hemen Ödeme (Stok Mutabakatlı)","Kural B - Nakliye/Montaj Sonrası Ödeme"))</f>
        <v/>
      </c>
    </row>
    <row r="803">
      <c r="A803" s="23" t="n"/>
      <c r="B803" s="23" t="n"/>
      <c r="C803" s="23" t="n"/>
      <c r="D803" s="23" t="n"/>
      <c r="E803" s="23" t="n"/>
      <c r="F803" s="23" t="n"/>
      <c r="G803" s="23" t="n"/>
      <c r="H803" s="24" t="n"/>
      <c r="I803" s="23" t="n"/>
      <c r="J803" s="23" t="n"/>
      <c r="K803" s="23" t="n"/>
      <c r="L803" s="23" t="n"/>
      <c r="M803" s="23" t="n"/>
      <c r="N803" s="23" t="n"/>
      <c r="O803" s="23" t="n"/>
      <c r="P803" s="23" t="n"/>
      <c r="Q803" s="23" t="n"/>
      <c r="R803" s="23" t="n"/>
      <c r="S803" s="23" t="n"/>
      <c r="T803" s="23" t="n"/>
      <c r="U803" s="23" t="n"/>
      <c r="V803" s="23" t="n"/>
      <c r="W803" s="23" t="n"/>
      <c r="X803" s="23" t="n"/>
      <c r="Y803" s="25" t="n"/>
      <c r="Z803" s="25" t="n"/>
      <c r="AA803" s="23" t="n"/>
      <c r="AB803" s="25" t="n"/>
      <c r="AC803" s="23" t="n"/>
      <c r="AD803" s="25" t="n"/>
      <c r="AE803" s="23" t="n"/>
      <c r="AF803" s="25" t="n"/>
      <c r="AG803" s="25" t="n"/>
      <c r="AH803" s="23" t="n"/>
      <c r="AI803" s="23" t="n"/>
      <c r="AJ803" s="26">
        <f>IF(I803="","",I803&amp;"|"&amp;R803)</f>
        <v/>
      </c>
      <c r="AK803" s="26">
        <f>IF(I803="","",IF(ISNA(MATCH(O803,Kampanyalar!$A$2:$A$150,0)),"Hayır - Kampanyalar'da Yok","Evet"))</f>
        <v/>
      </c>
      <c r="AL803" s="27">
        <f>IF(I803="","",IFERROR(INDEX(Kampanyalar!$E$2:$E$150,MATCH(O803,Kampanyalar!$A$2:$A$150,0)),""))</f>
        <v/>
      </c>
      <c r="AM803" s="27">
        <f>IF(I803="","",IFERROR(INDEX(Kampanyalar!$F$2:$F$150,MATCH(O803,Kampanyalar!$A$2:$A$150,0)),""))</f>
        <v/>
      </c>
      <c r="AN803" s="27">
        <f>IF(I803="","",IFERROR(INDEX(Kampanyalar!$G$2:$G$150,MATCH(O803,Kampanyalar!$A$2:$A$150,0)),""))</f>
        <v/>
      </c>
      <c r="AO803" s="26">
        <f>IF(OR(I803="",AL803="",AM803=""),"",IF(AND(H803&gt;=AL803,H803&lt;=AM803),"Evet","HAYIR - Tarih Dışı"))</f>
        <v/>
      </c>
      <c r="AP803" s="28">
        <f>IF(I803="","",IFERROR(INDEX(Kampanyalar!$H$2:$H$150,MATCH(O803,Kampanyalar!$A$2:$A$150,0)),""))</f>
        <v/>
      </c>
      <c r="AQ803" s="28">
        <f>IF(I803="","",IF(ISNUMBER(AP803),AP803,AD803))</f>
        <v/>
      </c>
      <c r="AR803" s="26">
        <f>IF(I803="","",IF(Parametreler!$C$7="Evet","Kural A - Hemen Ödeme (Stok Mutabakatlı)","Kural B - Nakliye/Montaj Sonrası Ödeme"))</f>
        <v/>
      </c>
    </row>
    <row r="804">
      <c r="A804" s="23" t="n"/>
      <c r="B804" s="23" t="n"/>
      <c r="C804" s="23" t="n"/>
      <c r="D804" s="23" t="n"/>
      <c r="E804" s="23" t="n"/>
      <c r="F804" s="23" t="n"/>
      <c r="G804" s="23" t="n"/>
      <c r="H804" s="24" t="n"/>
      <c r="I804" s="23" t="n"/>
      <c r="J804" s="23" t="n"/>
      <c r="K804" s="23" t="n"/>
      <c r="L804" s="23" t="n"/>
      <c r="M804" s="23" t="n"/>
      <c r="N804" s="23" t="n"/>
      <c r="O804" s="23" t="n"/>
      <c r="P804" s="23" t="n"/>
      <c r="Q804" s="23" t="n"/>
      <c r="R804" s="23" t="n"/>
      <c r="S804" s="23" t="n"/>
      <c r="T804" s="23" t="n"/>
      <c r="U804" s="23" t="n"/>
      <c r="V804" s="23" t="n"/>
      <c r="W804" s="23" t="n"/>
      <c r="X804" s="23" t="n"/>
      <c r="Y804" s="25" t="n"/>
      <c r="Z804" s="25" t="n"/>
      <c r="AA804" s="23" t="n"/>
      <c r="AB804" s="25" t="n"/>
      <c r="AC804" s="23" t="n"/>
      <c r="AD804" s="25" t="n"/>
      <c r="AE804" s="23" t="n"/>
      <c r="AF804" s="25" t="n"/>
      <c r="AG804" s="25" t="n"/>
      <c r="AH804" s="23" t="n"/>
      <c r="AI804" s="23" t="n"/>
      <c r="AJ804" s="26">
        <f>IF(I804="","",I804&amp;"|"&amp;R804)</f>
        <v/>
      </c>
      <c r="AK804" s="26">
        <f>IF(I804="","",IF(ISNA(MATCH(O804,Kampanyalar!$A$2:$A$150,0)),"Hayır - Kampanyalar'da Yok","Evet"))</f>
        <v/>
      </c>
      <c r="AL804" s="27">
        <f>IF(I804="","",IFERROR(INDEX(Kampanyalar!$E$2:$E$150,MATCH(O804,Kampanyalar!$A$2:$A$150,0)),""))</f>
        <v/>
      </c>
      <c r="AM804" s="27">
        <f>IF(I804="","",IFERROR(INDEX(Kampanyalar!$F$2:$F$150,MATCH(O804,Kampanyalar!$A$2:$A$150,0)),""))</f>
        <v/>
      </c>
      <c r="AN804" s="27">
        <f>IF(I804="","",IFERROR(INDEX(Kampanyalar!$G$2:$G$150,MATCH(O804,Kampanyalar!$A$2:$A$150,0)),""))</f>
        <v/>
      </c>
      <c r="AO804" s="26">
        <f>IF(OR(I804="",AL804="",AM804=""),"",IF(AND(H804&gt;=AL804,H804&lt;=AM804),"Evet","HAYIR - Tarih Dışı"))</f>
        <v/>
      </c>
      <c r="AP804" s="28">
        <f>IF(I804="","",IFERROR(INDEX(Kampanyalar!$H$2:$H$150,MATCH(O804,Kampanyalar!$A$2:$A$150,0)),""))</f>
        <v/>
      </c>
      <c r="AQ804" s="28">
        <f>IF(I804="","",IF(ISNUMBER(AP804),AP804,AD804))</f>
        <v/>
      </c>
      <c r="AR804" s="26">
        <f>IF(I804="","",IF(Parametreler!$C$7="Evet","Kural A - Hemen Ödeme (Stok Mutabakatlı)","Kural B - Nakliye/Montaj Sonrası Ödeme"))</f>
        <v/>
      </c>
    </row>
    <row r="805">
      <c r="A805" s="23" t="n"/>
      <c r="B805" s="23" t="n"/>
      <c r="C805" s="23" t="n"/>
      <c r="D805" s="23" t="n"/>
      <c r="E805" s="23" t="n"/>
      <c r="F805" s="23" t="n"/>
      <c r="G805" s="23" t="n"/>
      <c r="H805" s="24" t="n"/>
      <c r="I805" s="23" t="n"/>
      <c r="J805" s="23" t="n"/>
      <c r="K805" s="23" t="n"/>
      <c r="L805" s="23" t="n"/>
      <c r="M805" s="23" t="n"/>
      <c r="N805" s="23" t="n"/>
      <c r="O805" s="23" t="n"/>
      <c r="P805" s="23" t="n"/>
      <c r="Q805" s="23" t="n"/>
      <c r="R805" s="23" t="n"/>
      <c r="S805" s="23" t="n"/>
      <c r="T805" s="23" t="n"/>
      <c r="U805" s="23" t="n"/>
      <c r="V805" s="23" t="n"/>
      <c r="W805" s="23" t="n"/>
      <c r="X805" s="23" t="n"/>
      <c r="Y805" s="25" t="n"/>
      <c r="Z805" s="25" t="n"/>
      <c r="AA805" s="23" t="n"/>
      <c r="AB805" s="25" t="n"/>
      <c r="AC805" s="23" t="n"/>
      <c r="AD805" s="25" t="n"/>
      <c r="AE805" s="23" t="n"/>
      <c r="AF805" s="25" t="n"/>
      <c r="AG805" s="25" t="n"/>
      <c r="AH805" s="23" t="n"/>
      <c r="AI805" s="23" t="n"/>
      <c r="AJ805" s="26">
        <f>IF(I805="","",I805&amp;"|"&amp;R805)</f>
        <v/>
      </c>
      <c r="AK805" s="26">
        <f>IF(I805="","",IF(ISNA(MATCH(O805,Kampanyalar!$A$2:$A$150,0)),"Hayır - Kampanyalar'da Yok","Evet"))</f>
        <v/>
      </c>
      <c r="AL805" s="27">
        <f>IF(I805="","",IFERROR(INDEX(Kampanyalar!$E$2:$E$150,MATCH(O805,Kampanyalar!$A$2:$A$150,0)),""))</f>
        <v/>
      </c>
      <c r="AM805" s="27">
        <f>IF(I805="","",IFERROR(INDEX(Kampanyalar!$F$2:$F$150,MATCH(O805,Kampanyalar!$A$2:$A$150,0)),""))</f>
        <v/>
      </c>
      <c r="AN805" s="27">
        <f>IF(I805="","",IFERROR(INDEX(Kampanyalar!$G$2:$G$150,MATCH(O805,Kampanyalar!$A$2:$A$150,0)),""))</f>
        <v/>
      </c>
      <c r="AO805" s="26">
        <f>IF(OR(I805="",AL805="",AM805=""),"",IF(AND(H805&gt;=AL805,H805&lt;=AM805),"Evet","HAYIR - Tarih Dışı"))</f>
        <v/>
      </c>
      <c r="AP805" s="28">
        <f>IF(I805="","",IFERROR(INDEX(Kampanyalar!$H$2:$H$150,MATCH(O805,Kampanyalar!$A$2:$A$150,0)),""))</f>
        <v/>
      </c>
      <c r="AQ805" s="28">
        <f>IF(I805="","",IF(ISNUMBER(AP805),AP805,AD805))</f>
        <v/>
      </c>
      <c r="AR805" s="26">
        <f>IF(I805="","",IF(Parametreler!$C$7="Evet","Kural A - Hemen Ödeme (Stok Mutabakatlı)","Kural B - Nakliye/Montaj Sonrası Ödeme"))</f>
        <v/>
      </c>
    </row>
    <row r="806">
      <c r="A806" s="23" t="n"/>
      <c r="B806" s="23" t="n"/>
      <c r="C806" s="23" t="n"/>
      <c r="D806" s="23" t="n"/>
      <c r="E806" s="23" t="n"/>
      <c r="F806" s="23" t="n"/>
      <c r="G806" s="23" t="n"/>
      <c r="H806" s="24" t="n"/>
      <c r="I806" s="23" t="n"/>
      <c r="J806" s="23" t="n"/>
      <c r="K806" s="23" t="n"/>
      <c r="L806" s="23" t="n"/>
      <c r="M806" s="23" t="n"/>
      <c r="N806" s="23" t="n"/>
      <c r="O806" s="23" t="n"/>
      <c r="P806" s="23" t="n"/>
      <c r="Q806" s="23" t="n"/>
      <c r="R806" s="23" t="n"/>
      <c r="S806" s="23" t="n"/>
      <c r="T806" s="23" t="n"/>
      <c r="U806" s="23" t="n"/>
      <c r="V806" s="23" t="n"/>
      <c r="W806" s="23" t="n"/>
      <c r="X806" s="23" t="n"/>
      <c r="Y806" s="25" t="n"/>
      <c r="Z806" s="25" t="n"/>
      <c r="AA806" s="23" t="n"/>
      <c r="AB806" s="25" t="n"/>
      <c r="AC806" s="23" t="n"/>
      <c r="AD806" s="25" t="n"/>
      <c r="AE806" s="23" t="n"/>
      <c r="AF806" s="25" t="n"/>
      <c r="AG806" s="25" t="n"/>
      <c r="AH806" s="23" t="n"/>
      <c r="AI806" s="23" t="n"/>
      <c r="AJ806" s="26">
        <f>IF(I806="","",I806&amp;"|"&amp;R806)</f>
        <v/>
      </c>
      <c r="AK806" s="26">
        <f>IF(I806="","",IF(ISNA(MATCH(O806,Kampanyalar!$A$2:$A$150,0)),"Hayır - Kampanyalar'da Yok","Evet"))</f>
        <v/>
      </c>
      <c r="AL806" s="27">
        <f>IF(I806="","",IFERROR(INDEX(Kampanyalar!$E$2:$E$150,MATCH(O806,Kampanyalar!$A$2:$A$150,0)),""))</f>
        <v/>
      </c>
      <c r="AM806" s="27">
        <f>IF(I806="","",IFERROR(INDEX(Kampanyalar!$F$2:$F$150,MATCH(O806,Kampanyalar!$A$2:$A$150,0)),""))</f>
        <v/>
      </c>
      <c r="AN806" s="27">
        <f>IF(I806="","",IFERROR(INDEX(Kampanyalar!$G$2:$G$150,MATCH(O806,Kampanyalar!$A$2:$A$150,0)),""))</f>
        <v/>
      </c>
      <c r="AO806" s="26">
        <f>IF(OR(I806="",AL806="",AM806=""),"",IF(AND(H806&gt;=AL806,H806&lt;=AM806),"Evet","HAYIR - Tarih Dışı"))</f>
        <v/>
      </c>
      <c r="AP806" s="28">
        <f>IF(I806="","",IFERROR(INDEX(Kampanyalar!$H$2:$H$150,MATCH(O806,Kampanyalar!$A$2:$A$150,0)),""))</f>
        <v/>
      </c>
      <c r="AQ806" s="28">
        <f>IF(I806="","",IF(ISNUMBER(AP806),AP806,AD806))</f>
        <v/>
      </c>
      <c r="AR806" s="26">
        <f>IF(I806="","",IF(Parametreler!$C$7="Evet","Kural A - Hemen Ödeme (Stok Mutabakatlı)","Kural B - Nakliye/Montaj Sonrası Ödeme"))</f>
        <v/>
      </c>
    </row>
    <row r="807">
      <c r="A807" s="23" t="n"/>
      <c r="B807" s="23" t="n"/>
      <c r="C807" s="23" t="n"/>
      <c r="D807" s="23" t="n"/>
      <c r="E807" s="23" t="n"/>
      <c r="F807" s="23" t="n"/>
      <c r="G807" s="23" t="n"/>
      <c r="H807" s="24" t="n"/>
      <c r="I807" s="23" t="n"/>
      <c r="J807" s="23" t="n"/>
      <c r="K807" s="23" t="n"/>
      <c r="L807" s="23" t="n"/>
      <c r="M807" s="23" t="n"/>
      <c r="N807" s="23" t="n"/>
      <c r="O807" s="23" t="n"/>
      <c r="P807" s="23" t="n"/>
      <c r="Q807" s="23" t="n"/>
      <c r="R807" s="23" t="n"/>
      <c r="S807" s="23" t="n"/>
      <c r="T807" s="23" t="n"/>
      <c r="U807" s="23" t="n"/>
      <c r="V807" s="23" t="n"/>
      <c r="W807" s="23" t="n"/>
      <c r="X807" s="23" t="n"/>
      <c r="Y807" s="25" t="n"/>
      <c r="Z807" s="25" t="n"/>
      <c r="AA807" s="23" t="n"/>
      <c r="AB807" s="25" t="n"/>
      <c r="AC807" s="23" t="n"/>
      <c r="AD807" s="25" t="n"/>
      <c r="AE807" s="23" t="n"/>
      <c r="AF807" s="25" t="n"/>
      <c r="AG807" s="25" t="n"/>
      <c r="AH807" s="23" t="n"/>
      <c r="AI807" s="23" t="n"/>
      <c r="AJ807" s="26">
        <f>IF(I807="","",I807&amp;"|"&amp;R807)</f>
        <v/>
      </c>
      <c r="AK807" s="26">
        <f>IF(I807="","",IF(ISNA(MATCH(O807,Kampanyalar!$A$2:$A$150,0)),"Hayır - Kampanyalar'da Yok","Evet"))</f>
        <v/>
      </c>
      <c r="AL807" s="27">
        <f>IF(I807="","",IFERROR(INDEX(Kampanyalar!$E$2:$E$150,MATCH(O807,Kampanyalar!$A$2:$A$150,0)),""))</f>
        <v/>
      </c>
      <c r="AM807" s="27">
        <f>IF(I807="","",IFERROR(INDEX(Kampanyalar!$F$2:$F$150,MATCH(O807,Kampanyalar!$A$2:$A$150,0)),""))</f>
        <v/>
      </c>
      <c r="AN807" s="27">
        <f>IF(I807="","",IFERROR(INDEX(Kampanyalar!$G$2:$G$150,MATCH(O807,Kampanyalar!$A$2:$A$150,0)),""))</f>
        <v/>
      </c>
      <c r="AO807" s="26">
        <f>IF(OR(I807="",AL807="",AM807=""),"",IF(AND(H807&gt;=AL807,H807&lt;=AM807),"Evet","HAYIR - Tarih Dışı"))</f>
        <v/>
      </c>
      <c r="AP807" s="28">
        <f>IF(I807="","",IFERROR(INDEX(Kampanyalar!$H$2:$H$150,MATCH(O807,Kampanyalar!$A$2:$A$150,0)),""))</f>
        <v/>
      </c>
      <c r="AQ807" s="28">
        <f>IF(I807="","",IF(ISNUMBER(AP807),AP807,AD807))</f>
        <v/>
      </c>
      <c r="AR807" s="26">
        <f>IF(I807="","",IF(Parametreler!$C$7="Evet","Kural A - Hemen Ödeme (Stok Mutabakatlı)","Kural B - Nakliye/Montaj Sonrası Ödeme"))</f>
        <v/>
      </c>
    </row>
    <row r="808">
      <c r="A808" s="23" t="n"/>
      <c r="B808" s="23" t="n"/>
      <c r="C808" s="23" t="n"/>
      <c r="D808" s="23" t="n"/>
      <c r="E808" s="23" t="n"/>
      <c r="F808" s="23" t="n"/>
      <c r="G808" s="23" t="n"/>
      <c r="H808" s="24" t="n"/>
      <c r="I808" s="23" t="n"/>
      <c r="J808" s="23" t="n"/>
      <c r="K808" s="23" t="n"/>
      <c r="L808" s="23" t="n"/>
      <c r="M808" s="23" t="n"/>
      <c r="N808" s="23" t="n"/>
      <c r="O808" s="23" t="n"/>
      <c r="P808" s="23" t="n"/>
      <c r="Q808" s="23" t="n"/>
      <c r="R808" s="23" t="n"/>
      <c r="S808" s="23" t="n"/>
      <c r="T808" s="23" t="n"/>
      <c r="U808" s="23" t="n"/>
      <c r="V808" s="23" t="n"/>
      <c r="W808" s="23" t="n"/>
      <c r="X808" s="23" t="n"/>
      <c r="Y808" s="25" t="n"/>
      <c r="Z808" s="25" t="n"/>
      <c r="AA808" s="23" t="n"/>
      <c r="AB808" s="25" t="n"/>
      <c r="AC808" s="23" t="n"/>
      <c r="AD808" s="25" t="n"/>
      <c r="AE808" s="23" t="n"/>
      <c r="AF808" s="25" t="n"/>
      <c r="AG808" s="25" t="n"/>
      <c r="AH808" s="23" t="n"/>
      <c r="AI808" s="23" t="n"/>
      <c r="AJ808" s="26">
        <f>IF(I808="","",I808&amp;"|"&amp;R808)</f>
        <v/>
      </c>
      <c r="AK808" s="26">
        <f>IF(I808="","",IF(ISNA(MATCH(O808,Kampanyalar!$A$2:$A$150,0)),"Hayır - Kampanyalar'da Yok","Evet"))</f>
        <v/>
      </c>
      <c r="AL808" s="27">
        <f>IF(I808="","",IFERROR(INDEX(Kampanyalar!$E$2:$E$150,MATCH(O808,Kampanyalar!$A$2:$A$150,0)),""))</f>
        <v/>
      </c>
      <c r="AM808" s="27">
        <f>IF(I808="","",IFERROR(INDEX(Kampanyalar!$F$2:$F$150,MATCH(O808,Kampanyalar!$A$2:$A$150,0)),""))</f>
        <v/>
      </c>
      <c r="AN808" s="27">
        <f>IF(I808="","",IFERROR(INDEX(Kampanyalar!$G$2:$G$150,MATCH(O808,Kampanyalar!$A$2:$A$150,0)),""))</f>
        <v/>
      </c>
      <c r="AO808" s="26">
        <f>IF(OR(I808="",AL808="",AM808=""),"",IF(AND(H808&gt;=AL808,H808&lt;=AM808),"Evet","HAYIR - Tarih Dışı"))</f>
        <v/>
      </c>
      <c r="AP808" s="28">
        <f>IF(I808="","",IFERROR(INDEX(Kampanyalar!$H$2:$H$150,MATCH(O808,Kampanyalar!$A$2:$A$150,0)),""))</f>
        <v/>
      </c>
      <c r="AQ808" s="28">
        <f>IF(I808="","",IF(ISNUMBER(AP808),AP808,AD808))</f>
        <v/>
      </c>
      <c r="AR808" s="26">
        <f>IF(I808="","",IF(Parametreler!$C$7="Evet","Kural A - Hemen Ödeme (Stok Mutabakatlı)","Kural B - Nakliye/Montaj Sonrası Ödeme"))</f>
        <v/>
      </c>
    </row>
    <row r="809">
      <c r="A809" s="23" t="n"/>
      <c r="B809" s="23" t="n"/>
      <c r="C809" s="23" t="n"/>
      <c r="D809" s="23" t="n"/>
      <c r="E809" s="23" t="n"/>
      <c r="F809" s="23" t="n"/>
      <c r="G809" s="23" t="n"/>
      <c r="H809" s="24" t="n"/>
      <c r="I809" s="23" t="n"/>
      <c r="J809" s="23" t="n"/>
      <c r="K809" s="23" t="n"/>
      <c r="L809" s="23" t="n"/>
      <c r="M809" s="23" t="n"/>
      <c r="N809" s="23" t="n"/>
      <c r="O809" s="23" t="n"/>
      <c r="P809" s="23" t="n"/>
      <c r="Q809" s="23" t="n"/>
      <c r="R809" s="23" t="n"/>
      <c r="S809" s="23" t="n"/>
      <c r="T809" s="23" t="n"/>
      <c r="U809" s="23" t="n"/>
      <c r="V809" s="23" t="n"/>
      <c r="W809" s="23" t="n"/>
      <c r="X809" s="23" t="n"/>
      <c r="Y809" s="25" t="n"/>
      <c r="Z809" s="25" t="n"/>
      <c r="AA809" s="23" t="n"/>
      <c r="AB809" s="25" t="n"/>
      <c r="AC809" s="23" t="n"/>
      <c r="AD809" s="25" t="n"/>
      <c r="AE809" s="23" t="n"/>
      <c r="AF809" s="25" t="n"/>
      <c r="AG809" s="25" t="n"/>
      <c r="AH809" s="23" t="n"/>
      <c r="AI809" s="23" t="n"/>
      <c r="AJ809" s="26">
        <f>IF(I809="","",I809&amp;"|"&amp;R809)</f>
        <v/>
      </c>
      <c r="AK809" s="26">
        <f>IF(I809="","",IF(ISNA(MATCH(O809,Kampanyalar!$A$2:$A$150,0)),"Hayır - Kampanyalar'da Yok","Evet"))</f>
        <v/>
      </c>
      <c r="AL809" s="27">
        <f>IF(I809="","",IFERROR(INDEX(Kampanyalar!$E$2:$E$150,MATCH(O809,Kampanyalar!$A$2:$A$150,0)),""))</f>
        <v/>
      </c>
      <c r="AM809" s="27">
        <f>IF(I809="","",IFERROR(INDEX(Kampanyalar!$F$2:$F$150,MATCH(O809,Kampanyalar!$A$2:$A$150,0)),""))</f>
        <v/>
      </c>
      <c r="AN809" s="27">
        <f>IF(I809="","",IFERROR(INDEX(Kampanyalar!$G$2:$G$150,MATCH(O809,Kampanyalar!$A$2:$A$150,0)),""))</f>
        <v/>
      </c>
      <c r="AO809" s="26">
        <f>IF(OR(I809="",AL809="",AM809=""),"",IF(AND(H809&gt;=AL809,H809&lt;=AM809),"Evet","HAYIR - Tarih Dışı"))</f>
        <v/>
      </c>
      <c r="AP809" s="28">
        <f>IF(I809="","",IFERROR(INDEX(Kampanyalar!$H$2:$H$150,MATCH(O809,Kampanyalar!$A$2:$A$150,0)),""))</f>
        <v/>
      </c>
      <c r="AQ809" s="28">
        <f>IF(I809="","",IF(ISNUMBER(AP809),AP809,AD809))</f>
        <v/>
      </c>
      <c r="AR809" s="26">
        <f>IF(I809="","",IF(Parametreler!$C$7="Evet","Kural A - Hemen Ödeme (Stok Mutabakatlı)","Kural B - Nakliye/Montaj Sonrası Ödeme"))</f>
        <v/>
      </c>
    </row>
    <row r="810">
      <c r="A810" s="23" t="n"/>
      <c r="B810" s="23" t="n"/>
      <c r="C810" s="23" t="n"/>
      <c r="D810" s="23" t="n"/>
      <c r="E810" s="23" t="n"/>
      <c r="F810" s="23" t="n"/>
      <c r="G810" s="23" t="n"/>
      <c r="H810" s="24" t="n"/>
      <c r="I810" s="23" t="n"/>
      <c r="J810" s="23" t="n"/>
      <c r="K810" s="23" t="n"/>
      <c r="L810" s="23" t="n"/>
      <c r="M810" s="23" t="n"/>
      <c r="N810" s="23" t="n"/>
      <c r="O810" s="23" t="n"/>
      <c r="P810" s="23" t="n"/>
      <c r="Q810" s="23" t="n"/>
      <c r="R810" s="23" t="n"/>
      <c r="S810" s="23" t="n"/>
      <c r="T810" s="23" t="n"/>
      <c r="U810" s="23" t="n"/>
      <c r="V810" s="23" t="n"/>
      <c r="W810" s="23" t="n"/>
      <c r="X810" s="23" t="n"/>
      <c r="Y810" s="25" t="n"/>
      <c r="Z810" s="25" t="n"/>
      <c r="AA810" s="23" t="n"/>
      <c r="AB810" s="25" t="n"/>
      <c r="AC810" s="23" t="n"/>
      <c r="AD810" s="25" t="n"/>
      <c r="AE810" s="23" t="n"/>
      <c r="AF810" s="25" t="n"/>
      <c r="AG810" s="25" t="n"/>
      <c r="AH810" s="23" t="n"/>
      <c r="AI810" s="23" t="n"/>
      <c r="AJ810" s="26">
        <f>IF(I810="","",I810&amp;"|"&amp;R810)</f>
        <v/>
      </c>
      <c r="AK810" s="26">
        <f>IF(I810="","",IF(ISNA(MATCH(O810,Kampanyalar!$A$2:$A$150,0)),"Hayır - Kampanyalar'da Yok","Evet"))</f>
        <v/>
      </c>
      <c r="AL810" s="27">
        <f>IF(I810="","",IFERROR(INDEX(Kampanyalar!$E$2:$E$150,MATCH(O810,Kampanyalar!$A$2:$A$150,0)),""))</f>
        <v/>
      </c>
      <c r="AM810" s="27">
        <f>IF(I810="","",IFERROR(INDEX(Kampanyalar!$F$2:$F$150,MATCH(O810,Kampanyalar!$A$2:$A$150,0)),""))</f>
        <v/>
      </c>
      <c r="AN810" s="27">
        <f>IF(I810="","",IFERROR(INDEX(Kampanyalar!$G$2:$G$150,MATCH(O810,Kampanyalar!$A$2:$A$150,0)),""))</f>
        <v/>
      </c>
      <c r="AO810" s="26">
        <f>IF(OR(I810="",AL810="",AM810=""),"",IF(AND(H810&gt;=AL810,H810&lt;=AM810),"Evet","HAYIR - Tarih Dışı"))</f>
        <v/>
      </c>
      <c r="AP810" s="28">
        <f>IF(I810="","",IFERROR(INDEX(Kampanyalar!$H$2:$H$150,MATCH(O810,Kampanyalar!$A$2:$A$150,0)),""))</f>
        <v/>
      </c>
      <c r="AQ810" s="28">
        <f>IF(I810="","",IF(ISNUMBER(AP810),AP810,AD810))</f>
        <v/>
      </c>
      <c r="AR810" s="26">
        <f>IF(I810="","",IF(Parametreler!$C$7="Evet","Kural A - Hemen Ödeme (Stok Mutabakatlı)","Kural B - Nakliye/Montaj Sonrası Ödeme"))</f>
        <v/>
      </c>
    </row>
    <row r="811">
      <c r="A811" s="23" t="n"/>
      <c r="B811" s="23" t="n"/>
      <c r="C811" s="23" t="n"/>
      <c r="D811" s="23" t="n"/>
      <c r="E811" s="23" t="n"/>
      <c r="F811" s="23" t="n"/>
      <c r="G811" s="23" t="n"/>
      <c r="H811" s="24" t="n"/>
      <c r="I811" s="23" t="n"/>
      <c r="J811" s="23" t="n"/>
      <c r="K811" s="23" t="n"/>
      <c r="L811" s="23" t="n"/>
      <c r="M811" s="23" t="n"/>
      <c r="N811" s="23" t="n"/>
      <c r="O811" s="23" t="n"/>
      <c r="P811" s="23" t="n"/>
      <c r="Q811" s="23" t="n"/>
      <c r="R811" s="23" t="n"/>
      <c r="S811" s="23" t="n"/>
      <c r="T811" s="23" t="n"/>
      <c r="U811" s="23" t="n"/>
      <c r="V811" s="23" t="n"/>
      <c r="W811" s="23" t="n"/>
      <c r="X811" s="23" t="n"/>
      <c r="Y811" s="25" t="n"/>
      <c r="Z811" s="25" t="n"/>
      <c r="AA811" s="23" t="n"/>
      <c r="AB811" s="25" t="n"/>
      <c r="AC811" s="23" t="n"/>
      <c r="AD811" s="25" t="n"/>
      <c r="AE811" s="23" t="n"/>
      <c r="AF811" s="25" t="n"/>
      <c r="AG811" s="25" t="n"/>
      <c r="AH811" s="23" t="n"/>
      <c r="AI811" s="23" t="n"/>
      <c r="AJ811" s="26">
        <f>IF(I811="","",I811&amp;"|"&amp;R811)</f>
        <v/>
      </c>
      <c r="AK811" s="26">
        <f>IF(I811="","",IF(ISNA(MATCH(O811,Kampanyalar!$A$2:$A$150,0)),"Hayır - Kampanyalar'da Yok","Evet"))</f>
        <v/>
      </c>
      <c r="AL811" s="27">
        <f>IF(I811="","",IFERROR(INDEX(Kampanyalar!$E$2:$E$150,MATCH(O811,Kampanyalar!$A$2:$A$150,0)),""))</f>
        <v/>
      </c>
      <c r="AM811" s="27">
        <f>IF(I811="","",IFERROR(INDEX(Kampanyalar!$F$2:$F$150,MATCH(O811,Kampanyalar!$A$2:$A$150,0)),""))</f>
        <v/>
      </c>
      <c r="AN811" s="27">
        <f>IF(I811="","",IFERROR(INDEX(Kampanyalar!$G$2:$G$150,MATCH(O811,Kampanyalar!$A$2:$A$150,0)),""))</f>
        <v/>
      </c>
      <c r="AO811" s="26">
        <f>IF(OR(I811="",AL811="",AM811=""),"",IF(AND(H811&gt;=AL811,H811&lt;=AM811),"Evet","HAYIR - Tarih Dışı"))</f>
        <v/>
      </c>
      <c r="AP811" s="28">
        <f>IF(I811="","",IFERROR(INDEX(Kampanyalar!$H$2:$H$150,MATCH(O811,Kampanyalar!$A$2:$A$150,0)),""))</f>
        <v/>
      </c>
      <c r="AQ811" s="28">
        <f>IF(I811="","",IF(ISNUMBER(AP811),AP811,AD811))</f>
        <v/>
      </c>
      <c r="AR811" s="26">
        <f>IF(I811="","",IF(Parametreler!$C$7="Evet","Kural A - Hemen Ödeme (Stok Mutabakatlı)","Kural B - Nakliye/Montaj Sonrası Ödeme"))</f>
        <v/>
      </c>
    </row>
    <row r="812">
      <c r="A812" s="23" t="n"/>
      <c r="B812" s="23" t="n"/>
      <c r="C812" s="23" t="n"/>
      <c r="D812" s="23" t="n"/>
      <c r="E812" s="23" t="n"/>
      <c r="F812" s="23" t="n"/>
      <c r="G812" s="23" t="n"/>
      <c r="H812" s="24" t="n"/>
      <c r="I812" s="23" t="n"/>
      <c r="J812" s="23" t="n"/>
      <c r="K812" s="23" t="n"/>
      <c r="L812" s="23" t="n"/>
      <c r="M812" s="23" t="n"/>
      <c r="N812" s="23" t="n"/>
      <c r="O812" s="23" t="n"/>
      <c r="P812" s="23" t="n"/>
      <c r="Q812" s="23" t="n"/>
      <c r="R812" s="23" t="n"/>
      <c r="S812" s="23" t="n"/>
      <c r="T812" s="23" t="n"/>
      <c r="U812" s="23" t="n"/>
      <c r="V812" s="23" t="n"/>
      <c r="W812" s="23" t="n"/>
      <c r="X812" s="23" t="n"/>
      <c r="Y812" s="25" t="n"/>
      <c r="Z812" s="25" t="n"/>
      <c r="AA812" s="23" t="n"/>
      <c r="AB812" s="25" t="n"/>
      <c r="AC812" s="23" t="n"/>
      <c r="AD812" s="25" t="n"/>
      <c r="AE812" s="23" t="n"/>
      <c r="AF812" s="25" t="n"/>
      <c r="AG812" s="25" t="n"/>
      <c r="AH812" s="23" t="n"/>
      <c r="AI812" s="23" t="n"/>
      <c r="AJ812" s="26">
        <f>IF(I812="","",I812&amp;"|"&amp;R812)</f>
        <v/>
      </c>
      <c r="AK812" s="26">
        <f>IF(I812="","",IF(ISNA(MATCH(O812,Kampanyalar!$A$2:$A$150,0)),"Hayır - Kampanyalar'da Yok","Evet"))</f>
        <v/>
      </c>
      <c r="AL812" s="27">
        <f>IF(I812="","",IFERROR(INDEX(Kampanyalar!$E$2:$E$150,MATCH(O812,Kampanyalar!$A$2:$A$150,0)),""))</f>
        <v/>
      </c>
      <c r="AM812" s="27">
        <f>IF(I812="","",IFERROR(INDEX(Kampanyalar!$F$2:$F$150,MATCH(O812,Kampanyalar!$A$2:$A$150,0)),""))</f>
        <v/>
      </c>
      <c r="AN812" s="27">
        <f>IF(I812="","",IFERROR(INDEX(Kampanyalar!$G$2:$G$150,MATCH(O812,Kampanyalar!$A$2:$A$150,0)),""))</f>
        <v/>
      </c>
      <c r="AO812" s="26">
        <f>IF(OR(I812="",AL812="",AM812=""),"",IF(AND(H812&gt;=AL812,H812&lt;=AM812),"Evet","HAYIR - Tarih Dışı"))</f>
        <v/>
      </c>
      <c r="AP812" s="28">
        <f>IF(I812="","",IFERROR(INDEX(Kampanyalar!$H$2:$H$150,MATCH(O812,Kampanyalar!$A$2:$A$150,0)),""))</f>
        <v/>
      </c>
      <c r="AQ812" s="28">
        <f>IF(I812="","",IF(ISNUMBER(AP812),AP812,AD812))</f>
        <v/>
      </c>
      <c r="AR812" s="26">
        <f>IF(I812="","",IF(Parametreler!$C$7="Evet","Kural A - Hemen Ödeme (Stok Mutabakatlı)","Kural B - Nakliye/Montaj Sonrası Ödeme"))</f>
        <v/>
      </c>
    </row>
    <row r="813">
      <c r="A813" s="23" t="n"/>
      <c r="B813" s="23" t="n"/>
      <c r="C813" s="23" t="n"/>
      <c r="D813" s="23" t="n"/>
      <c r="E813" s="23" t="n"/>
      <c r="F813" s="23" t="n"/>
      <c r="G813" s="23" t="n"/>
      <c r="H813" s="24" t="n"/>
      <c r="I813" s="23" t="n"/>
      <c r="J813" s="23" t="n"/>
      <c r="K813" s="23" t="n"/>
      <c r="L813" s="23" t="n"/>
      <c r="M813" s="23" t="n"/>
      <c r="N813" s="23" t="n"/>
      <c r="O813" s="23" t="n"/>
      <c r="P813" s="23" t="n"/>
      <c r="Q813" s="23" t="n"/>
      <c r="R813" s="23" t="n"/>
      <c r="S813" s="23" t="n"/>
      <c r="T813" s="23" t="n"/>
      <c r="U813" s="23" t="n"/>
      <c r="V813" s="23" t="n"/>
      <c r="W813" s="23" t="n"/>
      <c r="X813" s="23" t="n"/>
      <c r="Y813" s="25" t="n"/>
      <c r="Z813" s="25" t="n"/>
      <c r="AA813" s="23" t="n"/>
      <c r="AB813" s="25" t="n"/>
      <c r="AC813" s="23" t="n"/>
      <c r="AD813" s="25" t="n"/>
      <c r="AE813" s="23" t="n"/>
      <c r="AF813" s="25" t="n"/>
      <c r="AG813" s="25" t="n"/>
      <c r="AH813" s="23" t="n"/>
      <c r="AI813" s="23" t="n"/>
      <c r="AJ813" s="26">
        <f>IF(I813="","",I813&amp;"|"&amp;R813)</f>
        <v/>
      </c>
      <c r="AK813" s="26">
        <f>IF(I813="","",IF(ISNA(MATCH(O813,Kampanyalar!$A$2:$A$150,0)),"Hayır - Kampanyalar'da Yok","Evet"))</f>
        <v/>
      </c>
      <c r="AL813" s="27">
        <f>IF(I813="","",IFERROR(INDEX(Kampanyalar!$E$2:$E$150,MATCH(O813,Kampanyalar!$A$2:$A$150,0)),""))</f>
        <v/>
      </c>
      <c r="AM813" s="27">
        <f>IF(I813="","",IFERROR(INDEX(Kampanyalar!$F$2:$F$150,MATCH(O813,Kampanyalar!$A$2:$A$150,0)),""))</f>
        <v/>
      </c>
      <c r="AN813" s="27">
        <f>IF(I813="","",IFERROR(INDEX(Kampanyalar!$G$2:$G$150,MATCH(O813,Kampanyalar!$A$2:$A$150,0)),""))</f>
        <v/>
      </c>
      <c r="AO813" s="26">
        <f>IF(OR(I813="",AL813="",AM813=""),"",IF(AND(H813&gt;=AL813,H813&lt;=AM813),"Evet","HAYIR - Tarih Dışı"))</f>
        <v/>
      </c>
      <c r="AP813" s="28">
        <f>IF(I813="","",IFERROR(INDEX(Kampanyalar!$H$2:$H$150,MATCH(O813,Kampanyalar!$A$2:$A$150,0)),""))</f>
        <v/>
      </c>
      <c r="AQ813" s="28">
        <f>IF(I813="","",IF(ISNUMBER(AP813),AP813,AD813))</f>
        <v/>
      </c>
      <c r="AR813" s="26">
        <f>IF(I813="","",IF(Parametreler!$C$7="Evet","Kural A - Hemen Ödeme (Stok Mutabakatlı)","Kural B - Nakliye/Montaj Sonrası Ödeme"))</f>
        <v/>
      </c>
    </row>
    <row r="814">
      <c r="A814" s="23" t="n"/>
      <c r="B814" s="23" t="n"/>
      <c r="C814" s="23" t="n"/>
      <c r="D814" s="23" t="n"/>
      <c r="E814" s="23" t="n"/>
      <c r="F814" s="23" t="n"/>
      <c r="G814" s="23" t="n"/>
      <c r="H814" s="24" t="n"/>
      <c r="I814" s="23" t="n"/>
      <c r="J814" s="23" t="n"/>
      <c r="K814" s="23" t="n"/>
      <c r="L814" s="23" t="n"/>
      <c r="M814" s="23" t="n"/>
      <c r="N814" s="23" t="n"/>
      <c r="O814" s="23" t="n"/>
      <c r="P814" s="23" t="n"/>
      <c r="Q814" s="23" t="n"/>
      <c r="R814" s="23" t="n"/>
      <c r="S814" s="23" t="n"/>
      <c r="T814" s="23" t="n"/>
      <c r="U814" s="23" t="n"/>
      <c r="V814" s="23" t="n"/>
      <c r="W814" s="23" t="n"/>
      <c r="X814" s="23" t="n"/>
      <c r="Y814" s="25" t="n"/>
      <c r="Z814" s="25" t="n"/>
      <c r="AA814" s="23" t="n"/>
      <c r="AB814" s="25" t="n"/>
      <c r="AC814" s="23" t="n"/>
      <c r="AD814" s="25" t="n"/>
      <c r="AE814" s="23" t="n"/>
      <c r="AF814" s="25" t="n"/>
      <c r="AG814" s="25" t="n"/>
      <c r="AH814" s="23" t="n"/>
      <c r="AI814" s="23" t="n"/>
      <c r="AJ814" s="26">
        <f>IF(I814="","",I814&amp;"|"&amp;R814)</f>
        <v/>
      </c>
      <c r="AK814" s="26">
        <f>IF(I814="","",IF(ISNA(MATCH(O814,Kampanyalar!$A$2:$A$150,0)),"Hayır - Kampanyalar'da Yok","Evet"))</f>
        <v/>
      </c>
      <c r="AL814" s="27">
        <f>IF(I814="","",IFERROR(INDEX(Kampanyalar!$E$2:$E$150,MATCH(O814,Kampanyalar!$A$2:$A$150,0)),""))</f>
        <v/>
      </c>
      <c r="AM814" s="27">
        <f>IF(I814="","",IFERROR(INDEX(Kampanyalar!$F$2:$F$150,MATCH(O814,Kampanyalar!$A$2:$A$150,0)),""))</f>
        <v/>
      </c>
      <c r="AN814" s="27">
        <f>IF(I814="","",IFERROR(INDEX(Kampanyalar!$G$2:$G$150,MATCH(O814,Kampanyalar!$A$2:$A$150,0)),""))</f>
        <v/>
      </c>
      <c r="AO814" s="26">
        <f>IF(OR(I814="",AL814="",AM814=""),"",IF(AND(H814&gt;=AL814,H814&lt;=AM814),"Evet","HAYIR - Tarih Dışı"))</f>
        <v/>
      </c>
      <c r="AP814" s="28">
        <f>IF(I814="","",IFERROR(INDEX(Kampanyalar!$H$2:$H$150,MATCH(O814,Kampanyalar!$A$2:$A$150,0)),""))</f>
        <v/>
      </c>
      <c r="AQ814" s="28">
        <f>IF(I814="","",IF(ISNUMBER(AP814),AP814,AD814))</f>
        <v/>
      </c>
      <c r="AR814" s="26">
        <f>IF(I814="","",IF(Parametreler!$C$7="Evet","Kural A - Hemen Ödeme (Stok Mutabakatlı)","Kural B - Nakliye/Montaj Sonrası Ödeme"))</f>
        <v/>
      </c>
    </row>
    <row r="815">
      <c r="A815" s="23" t="n"/>
      <c r="B815" s="23" t="n"/>
      <c r="C815" s="23" t="n"/>
      <c r="D815" s="23" t="n"/>
      <c r="E815" s="23" t="n"/>
      <c r="F815" s="23" t="n"/>
      <c r="G815" s="23" t="n"/>
      <c r="H815" s="24" t="n"/>
      <c r="I815" s="23" t="n"/>
      <c r="J815" s="23" t="n"/>
      <c r="K815" s="23" t="n"/>
      <c r="L815" s="23" t="n"/>
      <c r="M815" s="23" t="n"/>
      <c r="N815" s="23" t="n"/>
      <c r="O815" s="23" t="n"/>
      <c r="P815" s="23" t="n"/>
      <c r="Q815" s="23" t="n"/>
      <c r="R815" s="23" t="n"/>
      <c r="S815" s="23" t="n"/>
      <c r="T815" s="23" t="n"/>
      <c r="U815" s="23" t="n"/>
      <c r="V815" s="23" t="n"/>
      <c r="W815" s="23" t="n"/>
      <c r="X815" s="23" t="n"/>
      <c r="Y815" s="25" t="n"/>
      <c r="Z815" s="25" t="n"/>
      <c r="AA815" s="23" t="n"/>
      <c r="AB815" s="25" t="n"/>
      <c r="AC815" s="23" t="n"/>
      <c r="AD815" s="25" t="n"/>
      <c r="AE815" s="23" t="n"/>
      <c r="AF815" s="25" t="n"/>
      <c r="AG815" s="25" t="n"/>
      <c r="AH815" s="23" t="n"/>
      <c r="AI815" s="23" t="n"/>
      <c r="AJ815" s="26">
        <f>IF(I815="","",I815&amp;"|"&amp;R815)</f>
        <v/>
      </c>
      <c r="AK815" s="26">
        <f>IF(I815="","",IF(ISNA(MATCH(O815,Kampanyalar!$A$2:$A$150,0)),"Hayır - Kampanyalar'da Yok","Evet"))</f>
        <v/>
      </c>
      <c r="AL815" s="27">
        <f>IF(I815="","",IFERROR(INDEX(Kampanyalar!$E$2:$E$150,MATCH(O815,Kampanyalar!$A$2:$A$150,0)),""))</f>
        <v/>
      </c>
      <c r="AM815" s="27">
        <f>IF(I815="","",IFERROR(INDEX(Kampanyalar!$F$2:$F$150,MATCH(O815,Kampanyalar!$A$2:$A$150,0)),""))</f>
        <v/>
      </c>
      <c r="AN815" s="27">
        <f>IF(I815="","",IFERROR(INDEX(Kampanyalar!$G$2:$G$150,MATCH(O815,Kampanyalar!$A$2:$A$150,0)),""))</f>
        <v/>
      </c>
      <c r="AO815" s="26">
        <f>IF(OR(I815="",AL815="",AM815=""),"",IF(AND(H815&gt;=AL815,H815&lt;=AM815),"Evet","HAYIR - Tarih Dışı"))</f>
        <v/>
      </c>
      <c r="AP815" s="28">
        <f>IF(I815="","",IFERROR(INDEX(Kampanyalar!$H$2:$H$150,MATCH(O815,Kampanyalar!$A$2:$A$150,0)),""))</f>
        <v/>
      </c>
      <c r="AQ815" s="28">
        <f>IF(I815="","",IF(ISNUMBER(AP815),AP815,AD815))</f>
        <v/>
      </c>
      <c r="AR815" s="26">
        <f>IF(I815="","",IF(Parametreler!$C$7="Evet","Kural A - Hemen Ödeme (Stok Mutabakatlı)","Kural B - Nakliye/Montaj Sonrası Ödeme"))</f>
        <v/>
      </c>
    </row>
    <row r="816">
      <c r="A816" s="23" t="n"/>
      <c r="B816" s="23" t="n"/>
      <c r="C816" s="23" t="n"/>
      <c r="D816" s="23" t="n"/>
      <c r="E816" s="23" t="n"/>
      <c r="F816" s="23" t="n"/>
      <c r="G816" s="23" t="n"/>
      <c r="H816" s="24" t="n"/>
      <c r="I816" s="23" t="n"/>
      <c r="J816" s="23" t="n"/>
      <c r="K816" s="23" t="n"/>
      <c r="L816" s="23" t="n"/>
      <c r="M816" s="23" t="n"/>
      <c r="N816" s="23" t="n"/>
      <c r="O816" s="23" t="n"/>
      <c r="P816" s="23" t="n"/>
      <c r="Q816" s="23" t="n"/>
      <c r="R816" s="23" t="n"/>
      <c r="S816" s="23" t="n"/>
      <c r="T816" s="23" t="n"/>
      <c r="U816" s="23" t="n"/>
      <c r="V816" s="23" t="n"/>
      <c r="W816" s="23" t="n"/>
      <c r="X816" s="23" t="n"/>
      <c r="Y816" s="25" t="n"/>
      <c r="Z816" s="25" t="n"/>
      <c r="AA816" s="23" t="n"/>
      <c r="AB816" s="25" t="n"/>
      <c r="AC816" s="23" t="n"/>
      <c r="AD816" s="25" t="n"/>
      <c r="AE816" s="23" t="n"/>
      <c r="AF816" s="25" t="n"/>
      <c r="AG816" s="25" t="n"/>
      <c r="AH816" s="23" t="n"/>
      <c r="AI816" s="23" t="n"/>
      <c r="AJ816" s="26">
        <f>IF(I816="","",I816&amp;"|"&amp;R816)</f>
        <v/>
      </c>
      <c r="AK816" s="26">
        <f>IF(I816="","",IF(ISNA(MATCH(O816,Kampanyalar!$A$2:$A$150,0)),"Hayır - Kampanyalar'da Yok","Evet"))</f>
        <v/>
      </c>
      <c r="AL816" s="27">
        <f>IF(I816="","",IFERROR(INDEX(Kampanyalar!$E$2:$E$150,MATCH(O816,Kampanyalar!$A$2:$A$150,0)),""))</f>
        <v/>
      </c>
      <c r="AM816" s="27">
        <f>IF(I816="","",IFERROR(INDEX(Kampanyalar!$F$2:$F$150,MATCH(O816,Kampanyalar!$A$2:$A$150,0)),""))</f>
        <v/>
      </c>
      <c r="AN816" s="27">
        <f>IF(I816="","",IFERROR(INDEX(Kampanyalar!$G$2:$G$150,MATCH(O816,Kampanyalar!$A$2:$A$150,0)),""))</f>
        <v/>
      </c>
      <c r="AO816" s="26">
        <f>IF(OR(I816="",AL816="",AM816=""),"",IF(AND(H816&gt;=AL816,H816&lt;=AM816),"Evet","HAYIR - Tarih Dışı"))</f>
        <v/>
      </c>
      <c r="AP816" s="28">
        <f>IF(I816="","",IFERROR(INDEX(Kampanyalar!$H$2:$H$150,MATCH(O816,Kampanyalar!$A$2:$A$150,0)),""))</f>
        <v/>
      </c>
      <c r="AQ816" s="28">
        <f>IF(I816="","",IF(ISNUMBER(AP816),AP816,AD816))</f>
        <v/>
      </c>
      <c r="AR816" s="26">
        <f>IF(I816="","",IF(Parametreler!$C$7="Evet","Kural A - Hemen Ödeme (Stok Mutabakatlı)","Kural B - Nakliye/Montaj Sonrası Ödeme"))</f>
        <v/>
      </c>
    </row>
    <row r="817">
      <c r="A817" s="23" t="n"/>
      <c r="B817" s="23" t="n"/>
      <c r="C817" s="23" t="n"/>
      <c r="D817" s="23" t="n"/>
      <c r="E817" s="23" t="n"/>
      <c r="F817" s="23" t="n"/>
      <c r="G817" s="23" t="n"/>
      <c r="H817" s="24" t="n"/>
      <c r="I817" s="23" t="n"/>
      <c r="J817" s="23" t="n"/>
      <c r="K817" s="23" t="n"/>
      <c r="L817" s="23" t="n"/>
      <c r="M817" s="23" t="n"/>
      <c r="N817" s="23" t="n"/>
      <c r="O817" s="23" t="n"/>
      <c r="P817" s="23" t="n"/>
      <c r="Q817" s="23" t="n"/>
      <c r="R817" s="23" t="n"/>
      <c r="S817" s="23" t="n"/>
      <c r="T817" s="23" t="n"/>
      <c r="U817" s="23" t="n"/>
      <c r="V817" s="23" t="n"/>
      <c r="W817" s="23" t="n"/>
      <c r="X817" s="23" t="n"/>
      <c r="Y817" s="25" t="n"/>
      <c r="Z817" s="25" t="n"/>
      <c r="AA817" s="23" t="n"/>
      <c r="AB817" s="25" t="n"/>
      <c r="AC817" s="23" t="n"/>
      <c r="AD817" s="25" t="n"/>
      <c r="AE817" s="23" t="n"/>
      <c r="AF817" s="25" t="n"/>
      <c r="AG817" s="25" t="n"/>
      <c r="AH817" s="23" t="n"/>
      <c r="AI817" s="23" t="n"/>
      <c r="AJ817" s="26">
        <f>IF(I817="","",I817&amp;"|"&amp;R817)</f>
        <v/>
      </c>
      <c r="AK817" s="26">
        <f>IF(I817="","",IF(ISNA(MATCH(O817,Kampanyalar!$A$2:$A$150,0)),"Hayır - Kampanyalar'da Yok","Evet"))</f>
        <v/>
      </c>
      <c r="AL817" s="27">
        <f>IF(I817="","",IFERROR(INDEX(Kampanyalar!$E$2:$E$150,MATCH(O817,Kampanyalar!$A$2:$A$150,0)),""))</f>
        <v/>
      </c>
      <c r="AM817" s="27">
        <f>IF(I817="","",IFERROR(INDEX(Kampanyalar!$F$2:$F$150,MATCH(O817,Kampanyalar!$A$2:$A$150,0)),""))</f>
        <v/>
      </c>
      <c r="AN817" s="27">
        <f>IF(I817="","",IFERROR(INDEX(Kampanyalar!$G$2:$G$150,MATCH(O817,Kampanyalar!$A$2:$A$150,0)),""))</f>
        <v/>
      </c>
      <c r="AO817" s="26">
        <f>IF(OR(I817="",AL817="",AM817=""),"",IF(AND(H817&gt;=AL817,H817&lt;=AM817),"Evet","HAYIR - Tarih Dışı"))</f>
        <v/>
      </c>
      <c r="AP817" s="28">
        <f>IF(I817="","",IFERROR(INDEX(Kampanyalar!$H$2:$H$150,MATCH(O817,Kampanyalar!$A$2:$A$150,0)),""))</f>
        <v/>
      </c>
      <c r="AQ817" s="28">
        <f>IF(I817="","",IF(ISNUMBER(AP817),AP817,AD817))</f>
        <v/>
      </c>
      <c r="AR817" s="26">
        <f>IF(I817="","",IF(Parametreler!$C$7="Evet","Kural A - Hemen Ödeme (Stok Mutabakatlı)","Kural B - Nakliye/Montaj Sonrası Ödeme"))</f>
        <v/>
      </c>
    </row>
    <row r="818">
      <c r="A818" s="23" t="n"/>
      <c r="B818" s="23" t="n"/>
      <c r="C818" s="23" t="n"/>
      <c r="D818" s="23" t="n"/>
      <c r="E818" s="23" t="n"/>
      <c r="F818" s="23" t="n"/>
      <c r="G818" s="23" t="n"/>
      <c r="H818" s="24" t="n"/>
      <c r="I818" s="23" t="n"/>
      <c r="J818" s="23" t="n"/>
      <c r="K818" s="23" t="n"/>
      <c r="L818" s="23" t="n"/>
      <c r="M818" s="23" t="n"/>
      <c r="N818" s="23" t="n"/>
      <c r="O818" s="23" t="n"/>
      <c r="P818" s="23" t="n"/>
      <c r="Q818" s="23" t="n"/>
      <c r="R818" s="23" t="n"/>
      <c r="S818" s="23" t="n"/>
      <c r="T818" s="23" t="n"/>
      <c r="U818" s="23" t="n"/>
      <c r="V818" s="23" t="n"/>
      <c r="W818" s="23" t="n"/>
      <c r="X818" s="23" t="n"/>
      <c r="Y818" s="25" t="n"/>
      <c r="Z818" s="25" t="n"/>
      <c r="AA818" s="23" t="n"/>
      <c r="AB818" s="25" t="n"/>
      <c r="AC818" s="23" t="n"/>
      <c r="AD818" s="25" t="n"/>
      <c r="AE818" s="23" t="n"/>
      <c r="AF818" s="25" t="n"/>
      <c r="AG818" s="25" t="n"/>
      <c r="AH818" s="23" t="n"/>
      <c r="AI818" s="23" t="n"/>
      <c r="AJ818" s="26">
        <f>IF(I818="","",I818&amp;"|"&amp;R818)</f>
        <v/>
      </c>
      <c r="AK818" s="26">
        <f>IF(I818="","",IF(ISNA(MATCH(O818,Kampanyalar!$A$2:$A$150,0)),"Hayır - Kampanyalar'da Yok","Evet"))</f>
        <v/>
      </c>
      <c r="AL818" s="27">
        <f>IF(I818="","",IFERROR(INDEX(Kampanyalar!$E$2:$E$150,MATCH(O818,Kampanyalar!$A$2:$A$150,0)),""))</f>
        <v/>
      </c>
      <c r="AM818" s="27">
        <f>IF(I818="","",IFERROR(INDEX(Kampanyalar!$F$2:$F$150,MATCH(O818,Kampanyalar!$A$2:$A$150,0)),""))</f>
        <v/>
      </c>
      <c r="AN818" s="27">
        <f>IF(I818="","",IFERROR(INDEX(Kampanyalar!$G$2:$G$150,MATCH(O818,Kampanyalar!$A$2:$A$150,0)),""))</f>
        <v/>
      </c>
      <c r="AO818" s="26">
        <f>IF(OR(I818="",AL818="",AM818=""),"",IF(AND(H818&gt;=AL818,H818&lt;=AM818),"Evet","HAYIR - Tarih Dışı"))</f>
        <v/>
      </c>
      <c r="AP818" s="28">
        <f>IF(I818="","",IFERROR(INDEX(Kampanyalar!$H$2:$H$150,MATCH(O818,Kampanyalar!$A$2:$A$150,0)),""))</f>
        <v/>
      </c>
      <c r="AQ818" s="28">
        <f>IF(I818="","",IF(ISNUMBER(AP818),AP818,AD818))</f>
        <v/>
      </c>
      <c r="AR818" s="26">
        <f>IF(I818="","",IF(Parametreler!$C$7="Evet","Kural A - Hemen Ödeme (Stok Mutabakatlı)","Kural B - Nakliye/Montaj Sonrası Ödeme"))</f>
        <v/>
      </c>
    </row>
    <row r="819">
      <c r="A819" s="23" t="n"/>
      <c r="B819" s="23" t="n"/>
      <c r="C819" s="23" t="n"/>
      <c r="D819" s="23" t="n"/>
      <c r="E819" s="23" t="n"/>
      <c r="F819" s="23" t="n"/>
      <c r="G819" s="23" t="n"/>
      <c r="H819" s="24" t="n"/>
      <c r="I819" s="23" t="n"/>
      <c r="J819" s="23" t="n"/>
      <c r="K819" s="23" t="n"/>
      <c r="L819" s="23" t="n"/>
      <c r="M819" s="23" t="n"/>
      <c r="N819" s="23" t="n"/>
      <c r="O819" s="23" t="n"/>
      <c r="P819" s="23" t="n"/>
      <c r="Q819" s="23" t="n"/>
      <c r="R819" s="23" t="n"/>
      <c r="S819" s="23" t="n"/>
      <c r="T819" s="23" t="n"/>
      <c r="U819" s="23" t="n"/>
      <c r="V819" s="23" t="n"/>
      <c r="W819" s="23" t="n"/>
      <c r="X819" s="23" t="n"/>
      <c r="Y819" s="25" t="n"/>
      <c r="Z819" s="25" t="n"/>
      <c r="AA819" s="23" t="n"/>
      <c r="AB819" s="25" t="n"/>
      <c r="AC819" s="23" t="n"/>
      <c r="AD819" s="25" t="n"/>
      <c r="AE819" s="23" t="n"/>
      <c r="AF819" s="25" t="n"/>
      <c r="AG819" s="25" t="n"/>
      <c r="AH819" s="23" t="n"/>
      <c r="AI819" s="23" t="n"/>
      <c r="AJ819" s="26">
        <f>IF(I819="","",I819&amp;"|"&amp;R819)</f>
        <v/>
      </c>
      <c r="AK819" s="26">
        <f>IF(I819="","",IF(ISNA(MATCH(O819,Kampanyalar!$A$2:$A$150,0)),"Hayır - Kampanyalar'da Yok","Evet"))</f>
        <v/>
      </c>
      <c r="AL819" s="27">
        <f>IF(I819="","",IFERROR(INDEX(Kampanyalar!$E$2:$E$150,MATCH(O819,Kampanyalar!$A$2:$A$150,0)),""))</f>
        <v/>
      </c>
      <c r="AM819" s="27">
        <f>IF(I819="","",IFERROR(INDEX(Kampanyalar!$F$2:$F$150,MATCH(O819,Kampanyalar!$A$2:$A$150,0)),""))</f>
        <v/>
      </c>
      <c r="AN819" s="27">
        <f>IF(I819="","",IFERROR(INDEX(Kampanyalar!$G$2:$G$150,MATCH(O819,Kampanyalar!$A$2:$A$150,0)),""))</f>
        <v/>
      </c>
      <c r="AO819" s="26">
        <f>IF(OR(I819="",AL819="",AM819=""),"",IF(AND(H819&gt;=AL819,H819&lt;=AM819),"Evet","HAYIR - Tarih Dışı"))</f>
        <v/>
      </c>
      <c r="AP819" s="28">
        <f>IF(I819="","",IFERROR(INDEX(Kampanyalar!$H$2:$H$150,MATCH(O819,Kampanyalar!$A$2:$A$150,0)),""))</f>
        <v/>
      </c>
      <c r="AQ819" s="28">
        <f>IF(I819="","",IF(ISNUMBER(AP819),AP819,AD819))</f>
        <v/>
      </c>
      <c r="AR819" s="26">
        <f>IF(I819="","",IF(Parametreler!$C$7="Evet","Kural A - Hemen Ödeme (Stok Mutabakatlı)","Kural B - Nakliye/Montaj Sonrası Ödeme"))</f>
        <v/>
      </c>
    </row>
    <row r="820">
      <c r="A820" s="23" t="n"/>
      <c r="B820" s="23" t="n"/>
      <c r="C820" s="23" t="n"/>
      <c r="D820" s="23" t="n"/>
      <c r="E820" s="23" t="n"/>
      <c r="F820" s="23" t="n"/>
      <c r="G820" s="23" t="n"/>
      <c r="H820" s="24" t="n"/>
      <c r="I820" s="23" t="n"/>
      <c r="J820" s="23" t="n"/>
      <c r="K820" s="23" t="n"/>
      <c r="L820" s="23" t="n"/>
      <c r="M820" s="23" t="n"/>
      <c r="N820" s="23" t="n"/>
      <c r="O820" s="23" t="n"/>
      <c r="P820" s="23" t="n"/>
      <c r="Q820" s="23" t="n"/>
      <c r="R820" s="23" t="n"/>
      <c r="S820" s="23" t="n"/>
      <c r="T820" s="23" t="n"/>
      <c r="U820" s="23" t="n"/>
      <c r="V820" s="23" t="n"/>
      <c r="W820" s="23" t="n"/>
      <c r="X820" s="23" t="n"/>
      <c r="Y820" s="25" t="n"/>
      <c r="Z820" s="25" t="n"/>
      <c r="AA820" s="23" t="n"/>
      <c r="AB820" s="25" t="n"/>
      <c r="AC820" s="23" t="n"/>
      <c r="AD820" s="25" t="n"/>
      <c r="AE820" s="23" t="n"/>
      <c r="AF820" s="25" t="n"/>
      <c r="AG820" s="25" t="n"/>
      <c r="AH820" s="23" t="n"/>
      <c r="AI820" s="23" t="n"/>
      <c r="AJ820" s="26">
        <f>IF(I820="","",I820&amp;"|"&amp;R820)</f>
        <v/>
      </c>
      <c r="AK820" s="26">
        <f>IF(I820="","",IF(ISNA(MATCH(O820,Kampanyalar!$A$2:$A$150,0)),"Hayır - Kampanyalar'da Yok","Evet"))</f>
        <v/>
      </c>
      <c r="AL820" s="27">
        <f>IF(I820="","",IFERROR(INDEX(Kampanyalar!$E$2:$E$150,MATCH(O820,Kampanyalar!$A$2:$A$150,0)),""))</f>
        <v/>
      </c>
      <c r="AM820" s="27">
        <f>IF(I820="","",IFERROR(INDEX(Kampanyalar!$F$2:$F$150,MATCH(O820,Kampanyalar!$A$2:$A$150,0)),""))</f>
        <v/>
      </c>
      <c r="AN820" s="27">
        <f>IF(I820="","",IFERROR(INDEX(Kampanyalar!$G$2:$G$150,MATCH(O820,Kampanyalar!$A$2:$A$150,0)),""))</f>
        <v/>
      </c>
      <c r="AO820" s="26">
        <f>IF(OR(I820="",AL820="",AM820=""),"",IF(AND(H820&gt;=AL820,H820&lt;=AM820),"Evet","HAYIR - Tarih Dışı"))</f>
        <v/>
      </c>
      <c r="AP820" s="28">
        <f>IF(I820="","",IFERROR(INDEX(Kampanyalar!$H$2:$H$150,MATCH(O820,Kampanyalar!$A$2:$A$150,0)),""))</f>
        <v/>
      </c>
      <c r="AQ820" s="28">
        <f>IF(I820="","",IF(ISNUMBER(AP820),AP820,AD820))</f>
        <v/>
      </c>
      <c r="AR820" s="26">
        <f>IF(I820="","",IF(Parametreler!$C$7="Evet","Kural A - Hemen Ödeme (Stok Mutabakatlı)","Kural B - Nakliye/Montaj Sonrası Ödeme"))</f>
        <v/>
      </c>
    </row>
    <row r="821">
      <c r="A821" s="23" t="n"/>
      <c r="B821" s="23" t="n"/>
      <c r="C821" s="23" t="n"/>
      <c r="D821" s="23" t="n"/>
      <c r="E821" s="23" t="n"/>
      <c r="F821" s="23" t="n"/>
      <c r="G821" s="23" t="n"/>
      <c r="H821" s="24" t="n"/>
      <c r="I821" s="23" t="n"/>
      <c r="J821" s="23" t="n"/>
      <c r="K821" s="23" t="n"/>
      <c r="L821" s="23" t="n"/>
      <c r="M821" s="23" t="n"/>
      <c r="N821" s="23" t="n"/>
      <c r="O821" s="23" t="n"/>
      <c r="P821" s="23" t="n"/>
      <c r="Q821" s="23" t="n"/>
      <c r="R821" s="23" t="n"/>
      <c r="S821" s="23" t="n"/>
      <c r="T821" s="23" t="n"/>
      <c r="U821" s="23" t="n"/>
      <c r="V821" s="23" t="n"/>
      <c r="W821" s="23" t="n"/>
      <c r="X821" s="23" t="n"/>
      <c r="Y821" s="25" t="n"/>
      <c r="Z821" s="25" t="n"/>
      <c r="AA821" s="23" t="n"/>
      <c r="AB821" s="25" t="n"/>
      <c r="AC821" s="23" t="n"/>
      <c r="AD821" s="25" t="n"/>
      <c r="AE821" s="23" t="n"/>
      <c r="AF821" s="25" t="n"/>
      <c r="AG821" s="25" t="n"/>
      <c r="AH821" s="23" t="n"/>
      <c r="AI821" s="23" t="n"/>
      <c r="AJ821" s="26">
        <f>IF(I821="","",I821&amp;"|"&amp;R821)</f>
        <v/>
      </c>
      <c r="AK821" s="26">
        <f>IF(I821="","",IF(ISNA(MATCH(O821,Kampanyalar!$A$2:$A$150,0)),"Hayır - Kampanyalar'da Yok","Evet"))</f>
        <v/>
      </c>
      <c r="AL821" s="27">
        <f>IF(I821="","",IFERROR(INDEX(Kampanyalar!$E$2:$E$150,MATCH(O821,Kampanyalar!$A$2:$A$150,0)),""))</f>
        <v/>
      </c>
      <c r="AM821" s="27">
        <f>IF(I821="","",IFERROR(INDEX(Kampanyalar!$F$2:$F$150,MATCH(O821,Kampanyalar!$A$2:$A$150,0)),""))</f>
        <v/>
      </c>
      <c r="AN821" s="27">
        <f>IF(I821="","",IFERROR(INDEX(Kampanyalar!$G$2:$G$150,MATCH(O821,Kampanyalar!$A$2:$A$150,0)),""))</f>
        <v/>
      </c>
      <c r="AO821" s="26">
        <f>IF(OR(I821="",AL821="",AM821=""),"",IF(AND(H821&gt;=AL821,H821&lt;=AM821),"Evet","HAYIR - Tarih Dışı"))</f>
        <v/>
      </c>
      <c r="AP821" s="28">
        <f>IF(I821="","",IFERROR(INDEX(Kampanyalar!$H$2:$H$150,MATCH(O821,Kampanyalar!$A$2:$A$150,0)),""))</f>
        <v/>
      </c>
      <c r="AQ821" s="28">
        <f>IF(I821="","",IF(ISNUMBER(AP821),AP821,AD821))</f>
        <v/>
      </c>
      <c r="AR821" s="26">
        <f>IF(I821="","",IF(Parametreler!$C$7="Evet","Kural A - Hemen Ödeme (Stok Mutabakatlı)","Kural B - Nakliye/Montaj Sonrası Ödeme"))</f>
        <v/>
      </c>
    </row>
    <row r="822">
      <c r="A822" s="23" t="n"/>
      <c r="B822" s="23" t="n"/>
      <c r="C822" s="23" t="n"/>
      <c r="D822" s="23" t="n"/>
      <c r="E822" s="23" t="n"/>
      <c r="F822" s="23" t="n"/>
      <c r="G822" s="23" t="n"/>
      <c r="H822" s="24" t="n"/>
      <c r="I822" s="23" t="n"/>
      <c r="J822" s="23" t="n"/>
      <c r="K822" s="23" t="n"/>
      <c r="L822" s="23" t="n"/>
      <c r="M822" s="23" t="n"/>
      <c r="N822" s="23" t="n"/>
      <c r="O822" s="23" t="n"/>
      <c r="P822" s="23" t="n"/>
      <c r="Q822" s="23" t="n"/>
      <c r="R822" s="23" t="n"/>
      <c r="S822" s="23" t="n"/>
      <c r="T822" s="23" t="n"/>
      <c r="U822" s="23" t="n"/>
      <c r="V822" s="23" t="n"/>
      <c r="W822" s="23" t="n"/>
      <c r="X822" s="23" t="n"/>
      <c r="Y822" s="25" t="n"/>
      <c r="Z822" s="25" t="n"/>
      <c r="AA822" s="23" t="n"/>
      <c r="AB822" s="25" t="n"/>
      <c r="AC822" s="23" t="n"/>
      <c r="AD822" s="25" t="n"/>
      <c r="AE822" s="23" t="n"/>
      <c r="AF822" s="25" t="n"/>
      <c r="AG822" s="25" t="n"/>
      <c r="AH822" s="23" t="n"/>
      <c r="AI822" s="23" t="n"/>
      <c r="AJ822" s="26">
        <f>IF(I822="","",I822&amp;"|"&amp;R822)</f>
        <v/>
      </c>
      <c r="AK822" s="26">
        <f>IF(I822="","",IF(ISNA(MATCH(O822,Kampanyalar!$A$2:$A$150,0)),"Hayır - Kampanyalar'da Yok","Evet"))</f>
        <v/>
      </c>
      <c r="AL822" s="27">
        <f>IF(I822="","",IFERROR(INDEX(Kampanyalar!$E$2:$E$150,MATCH(O822,Kampanyalar!$A$2:$A$150,0)),""))</f>
        <v/>
      </c>
      <c r="AM822" s="27">
        <f>IF(I822="","",IFERROR(INDEX(Kampanyalar!$F$2:$F$150,MATCH(O822,Kampanyalar!$A$2:$A$150,0)),""))</f>
        <v/>
      </c>
      <c r="AN822" s="27">
        <f>IF(I822="","",IFERROR(INDEX(Kampanyalar!$G$2:$G$150,MATCH(O822,Kampanyalar!$A$2:$A$150,0)),""))</f>
        <v/>
      </c>
      <c r="AO822" s="26">
        <f>IF(OR(I822="",AL822="",AM822=""),"",IF(AND(H822&gt;=AL822,H822&lt;=AM822),"Evet","HAYIR - Tarih Dışı"))</f>
        <v/>
      </c>
      <c r="AP822" s="28">
        <f>IF(I822="","",IFERROR(INDEX(Kampanyalar!$H$2:$H$150,MATCH(O822,Kampanyalar!$A$2:$A$150,0)),""))</f>
        <v/>
      </c>
      <c r="AQ822" s="28">
        <f>IF(I822="","",IF(ISNUMBER(AP822),AP822,AD822))</f>
        <v/>
      </c>
      <c r="AR822" s="26">
        <f>IF(I822="","",IF(Parametreler!$C$7="Evet","Kural A - Hemen Ödeme (Stok Mutabakatlı)","Kural B - Nakliye/Montaj Sonrası Ödeme"))</f>
        <v/>
      </c>
    </row>
    <row r="823">
      <c r="A823" s="23" t="n"/>
      <c r="B823" s="23" t="n"/>
      <c r="C823" s="23" t="n"/>
      <c r="D823" s="23" t="n"/>
      <c r="E823" s="23" t="n"/>
      <c r="F823" s="23" t="n"/>
      <c r="G823" s="23" t="n"/>
      <c r="H823" s="24" t="n"/>
      <c r="I823" s="23" t="n"/>
      <c r="J823" s="23" t="n"/>
      <c r="K823" s="23" t="n"/>
      <c r="L823" s="23" t="n"/>
      <c r="M823" s="23" t="n"/>
      <c r="N823" s="23" t="n"/>
      <c r="O823" s="23" t="n"/>
      <c r="P823" s="23" t="n"/>
      <c r="Q823" s="23" t="n"/>
      <c r="R823" s="23" t="n"/>
      <c r="S823" s="23" t="n"/>
      <c r="T823" s="23" t="n"/>
      <c r="U823" s="23" t="n"/>
      <c r="V823" s="23" t="n"/>
      <c r="W823" s="23" t="n"/>
      <c r="X823" s="23" t="n"/>
      <c r="Y823" s="25" t="n"/>
      <c r="Z823" s="25" t="n"/>
      <c r="AA823" s="23" t="n"/>
      <c r="AB823" s="25" t="n"/>
      <c r="AC823" s="23" t="n"/>
      <c r="AD823" s="25" t="n"/>
      <c r="AE823" s="23" t="n"/>
      <c r="AF823" s="25" t="n"/>
      <c r="AG823" s="25" t="n"/>
      <c r="AH823" s="23" t="n"/>
      <c r="AI823" s="23" t="n"/>
      <c r="AJ823" s="26">
        <f>IF(I823="","",I823&amp;"|"&amp;R823)</f>
        <v/>
      </c>
      <c r="AK823" s="26">
        <f>IF(I823="","",IF(ISNA(MATCH(O823,Kampanyalar!$A$2:$A$150,0)),"Hayır - Kampanyalar'da Yok","Evet"))</f>
        <v/>
      </c>
      <c r="AL823" s="27">
        <f>IF(I823="","",IFERROR(INDEX(Kampanyalar!$E$2:$E$150,MATCH(O823,Kampanyalar!$A$2:$A$150,0)),""))</f>
        <v/>
      </c>
      <c r="AM823" s="27">
        <f>IF(I823="","",IFERROR(INDEX(Kampanyalar!$F$2:$F$150,MATCH(O823,Kampanyalar!$A$2:$A$150,0)),""))</f>
        <v/>
      </c>
      <c r="AN823" s="27">
        <f>IF(I823="","",IFERROR(INDEX(Kampanyalar!$G$2:$G$150,MATCH(O823,Kampanyalar!$A$2:$A$150,0)),""))</f>
        <v/>
      </c>
      <c r="AO823" s="26">
        <f>IF(OR(I823="",AL823="",AM823=""),"",IF(AND(H823&gt;=AL823,H823&lt;=AM823),"Evet","HAYIR - Tarih Dışı"))</f>
        <v/>
      </c>
      <c r="AP823" s="28">
        <f>IF(I823="","",IFERROR(INDEX(Kampanyalar!$H$2:$H$150,MATCH(O823,Kampanyalar!$A$2:$A$150,0)),""))</f>
        <v/>
      </c>
      <c r="AQ823" s="28">
        <f>IF(I823="","",IF(ISNUMBER(AP823),AP823,AD823))</f>
        <v/>
      </c>
      <c r="AR823" s="26">
        <f>IF(I823="","",IF(Parametreler!$C$7="Evet","Kural A - Hemen Ödeme (Stok Mutabakatlı)","Kural B - Nakliye/Montaj Sonrası Ödeme"))</f>
        <v/>
      </c>
    </row>
    <row r="824">
      <c r="A824" s="23" t="n"/>
      <c r="B824" s="23" t="n"/>
      <c r="C824" s="23" t="n"/>
      <c r="D824" s="23" t="n"/>
      <c r="E824" s="23" t="n"/>
      <c r="F824" s="23" t="n"/>
      <c r="G824" s="23" t="n"/>
      <c r="H824" s="24" t="n"/>
      <c r="I824" s="23" t="n"/>
      <c r="J824" s="23" t="n"/>
      <c r="K824" s="23" t="n"/>
      <c r="L824" s="23" t="n"/>
      <c r="M824" s="23" t="n"/>
      <c r="N824" s="23" t="n"/>
      <c r="O824" s="23" t="n"/>
      <c r="P824" s="23" t="n"/>
      <c r="Q824" s="23" t="n"/>
      <c r="R824" s="23" t="n"/>
      <c r="S824" s="23" t="n"/>
      <c r="T824" s="23" t="n"/>
      <c r="U824" s="23" t="n"/>
      <c r="V824" s="23" t="n"/>
      <c r="W824" s="23" t="n"/>
      <c r="X824" s="23" t="n"/>
      <c r="Y824" s="25" t="n"/>
      <c r="Z824" s="25" t="n"/>
      <c r="AA824" s="23" t="n"/>
      <c r="AB824" s="25" t="n"/>
      <c r="AC824" s="23" t="n"/>
      <c r="AD824" s="25" t="n"/>
      <c r="AE824" s="23" t="n"/>
      <c r="AF824" s="25" t="n"/>
      <c r="AG824" s="25" t="n"/>
      <c r="AH824" s="23" t="n"/>
      <c r="AI824" s="23" t="n"/>
      <c r="AJ824" s="26">
        <f>IF(I824="","",I824&amp;"|"&amp;R824)</f>
        <v/>
      </c>
      <c r="AK824" s="26">
        <f>IF(I824="","",IF(ISNA(MATCH(O824,Kampanyalar!$A$2:$A$150,0)),"Hayır - Kampanyalar'da Yok","Evet"))</f>
        <v/>
      </c>
      <c r="AL824" s="27">
        <f>IF(I824="","",IFERROR(INDEX(Kampanyalar!$E$2:$E$150,MATCH(O824,Kampanyalar!$A$2:$A$150,0)),""))</f>
        <v/>
      </c>
      <c r="AM824" s="27">
        <f>IF(I824="","",IFERROR(INDEX(Kampanyalar!$F$2:$F$150,MATCH(O824,Kampanyalar!$A$2:$A$150,0)),""))</f>
        <v/>
      </c>
      <c r="AN824" s="27">
        <f>IF(I824="","",IFERROR(INDEX(Kampanyalar!$G$2:$G$150,MATCH(O824,Kampanyalar!$A$2:$A$150,0)),""))</f>
        <v/>
      </c>
      <c r="AO824" s="26">
        <f>IF(OR(I824="",AL824="",AM824=""),"",IF(AND(H824&gt;=AL824,H824&lt;=AM824),"Evet","HAYIR - Tarih Dışı"))</f>
        <v/>
      </c>
      <c r="AP824" s="28">
        <f>IF(I824="","",IFERROR(INDEX(Kampanyalar!$H$2:$H$150,MATCH(O824,Kampanyalar!$A$2:$A$150,0)),""))</f>
        <v/>
      </c>
      <c r="AQ824" s="28">
        <f>IF(I824="","",IF(ISNUMBER(AP824),AP824,AD824))</f>
        <v/>
      </c>
      <c r="AR824" s="26">
        <f>IF(I824="","",IF(Parametreler!$C$7="Evet","Kural A - Hemen Ödeme (Stok Mutabakatlı)","Kural B - Nakliye/Montaj Sonrası Ödeme"))</f>
        <v/>
      </c>
    </row>
    <row r="825">
      <c r="A825" s="23" t="n"/>
      <c r="B825" s="23" t="n"/>
      <c r="C825" s="23" t="n"/>
      <c r="D825" s="23" t="n"/>
      <c r="E825" s="23" t="n"/>
      <c r="F825" s="23" t="n"/>
      <c r="G825" s="23" t="n"/>
      <c r="H825" s="24" t="n"/>
      <c r="I825" s="23" t="n"/>
      <c r="J825" s="23" t="n"/>
      <c r="K825" s="23" t="n"/>
      <c r="L825" s="23" t="n"/>
      <c r="M825" s="23" t="n"/>
      <c r="N825" s="23" t="n"/>
      <c r="O825" s="23" t="n"/>
      <c r="P825" s="23" t="n"/>
      <c r="Q825" s="23" t="n"/>
      <c r="R825" s="23" t="n"/>
      <c r="S825" s="23" t="n"/>
      <c r="T825" s="23" t="n"/>
      <c r="U825" s="23" t="n"/>
      <c r="V825" s="23" t="n"/>
      <c r="W825" s="23" t="n"/>
      <c r="X825" s="23" t="n"/>
      <c r="Y825" s="25" t="n"/>
      <c r="Z825" s="25" t="n"/>
      <c r="AA825" s="23" t="n"/>
      <c r="AB825" s="25" t="n"/>
      <c r="AC825" s="23" t="n"/>
      <c r="AD825" s="25" t="n"/>
      <c r="AE825" s="23" t="n"/>
      <c r="AF825" s="25" t="n"/>
      <c r="AG825" s="25" t="n"/>
      <c r="AH825" s="23" t="n"/>
      <c r="AI825" s="23" t="n"/>
      <c r="AJ825" s="26">
        <f>IF(I825="","",I825&amp;"|"&amp;R825)</f>
        <v/>
      </c>
      <c r="AK825" s="26">
        <f>IF(I825="","",IF(ISNA(MATCH(O825,Kampanyalar!$A$2:$A$150,0)),"Hayır - Kampanyalar'da Yok","Evet"))</f>
        <v/>
      </c>
      <c r="AL825" s="27">
        <f>IF(I825="","",IFERROR(INDEX(Kampanyalar!$E$2:$E$150,MATCH(O825,Kampanyalar!$A$2:$A$150,0)),""))</f>
        <v/>
      </c>
      <c r="AM825" s="27">
        <f>IF(I825="","",IFERROR(INDEX(Kampanyalar!$F$2:$F$150,MATCH(O825,Kampanyalar!$A$2:$A$150,0)),""))</f>
        <v/>
      </c>
      <c r="AN825" s="27">
        <f>IF(I825="","",IFERROR(INDEX(Kampanyalar!$G$2:$G$150,MATCH(O825,Kampanyalar!$A$2:$A$150,0)),""))</f>
        <v/>
      </c>
      <c r="AO825" s="26">
        <f>IF(OR(I825="",AL825="",AM825=""),"",IF(AND(H825&gt;=AL825,H825&lt;=AM825),"Evet","HAYIR - Tarih Dışı"))</f>
        <v/>
      </c>
      <c r="AP825" s="28">
        <f>IF(I825="","",IFERROR(INDEX(Kampanyalar!$H$2:$H$150,MATCH(O825,Kampanyalar!$A$2:$A$150,0)),""))</f>
        <v/>
      </c>
      <c r="AQ825" s="28">
        <f>IF(I825="","",IF(ISNUMBER(AP825),AP825,AD825))</f>
        <v/>
      </c>
      <c r="AR825" s="26">
        <f>IF(I825="","",IF(Parametreler!$C$7="Evet","Kural A - Hemen Ödeme (Stok Mutabakatlı)","Kural B - Nakliye/Montaj Sonrası Ödeme"))</f>
        <v/>
      </c>
    </row>
    <row r="826">
      <c r="A826" s="23" t="n"/>
      <c r="B826" s="23" t="n"/>
      <c r="C826" s="23" t="n"/>
      <c r="D826" s="23" t="n"/>
      <c r="E826" s="23" t="n"/>
      <c r="F826" s="23" t="n"/>
      <c r="G826" s="23" t="n"/>
      <c r="H826" s="24" t="n"/>
      <c r="I826" s="23" t="n"/>
      <c r="J826" s="23" t="n"/>
      <c r="K826" s="23" t="n"/>
      <c r="L826" s="23" t="n"/>
      <c r="M826" s="23" t="n"/>
      <c r="N826" s="23" t="n"/>
      <c r="O826" s="23" t="n"/>
      <c r="P826" s="23" t="n"/>
      <c r="Q826" s="23" t="n"/>
      <c r="R826" s="23" t="n"/>
      <c r="S826" s="23" t="n"/>
      <c r="T826" s="23" t="n"/>
      <c r="U826" s="23" t="n"/>
      <c r="V826" s="23" t="n"/>
      <c r="W826" s="23" t="n"/>
      <c r="X826" s="23" t="n"/>
      <c r="Y826" s="25" t="n"/>
      <c r="Z826" s="25" t="n"/>
      <c r="AA826" s="23" t="n"/>
      <c r="AB826" s="25" t="n"/>
      <c r="AC826" s="23" t="n"/>
      <c r="AD826" s="25" t="n"/>
      <c r="AE826" s="23" t="n"/>
      <c r="AF826" s="25" t="n"/>
      <c r="AG826" s="25" t="n"/>
      <c r="AH826" s="23" t="n"/>
      <c r="AI826" s="23" t="n"/>
      <c r="AJ826" s="26">
        <f>IF(I826="","",I826&amp;"|"&amp;R826)</f>
        <v/>
      </c>
      <c r="AK826" s="26">
        <f>IF(I826="","",IF(ISNA(MATCH(O826,Kampanyalar!$A$2:$A$150,0)),"Hayır - Kampanyalar'da Yok","Evet"))</f>
        <v/>
      </c>
      <c r="AL826" s="27">
        <f>IF(I826="","",IFERROR(INDEX(Kampanyalar!$E$2:$E$150,MATCH(O826,Kampanyalar!$A$2:$A$150,0)),""))</f>
        <v/>
      </c>
      <c r="AM826" s="27">
        <f>IF(I826="","",IFERROR(INDEX(Kampanyalar!$F$2:$F$150,MATCH(O826,Kampanyalar!$A$2:$A$150,0)),""))</f>
        <v/>
      </c>
      <c r="AN826" s="27">
        <f>IF(I826="","",IFERROR(INDEX(Kampanyalar!$G$2:$G$150,MATCH(O826,Kampanyalar!$A$2:$A$150,0)),""))</f>
        <v/>
      </c>
      <c r="AO826" s="26">
        <f>IF(OR(I826="",AL826="",AM826=""),"",IF(AND(H826&gt;=AL826,H826&lt;=AM826),"Evet","HAYIR - Tarih Dışı"))</f>
        <v/>
      </c>
      <c r="AP826" s="28">
        <f>IF(I826="","",IFERROR(INDEX(Kampanyalar!$H$2:$H$150,MATCH(O826,Kampanyalar!$A$2:$A$150,0)),""))</f>
        <v/>
      </c>
      <c r="AQ826" s="28">
        <f>IF(I826="","",IF(ISNUMBER(AP826),AP826,AD826))</f>
        <v/>
      </c>
      <c r="AR826" s="26">
        <f>IF(I826="","",IF(Parametreler!$C$7="Evet","Kural A - Hemen Ödeme (Stok Mutabakatlı)","Kural B - Nakliye/Montaj Sonrası Ödeme"))</f>
        <v/>
      </c>
    </row>
    <row r="827">
      <c r="A827" s="23" t="n"/>
      <c r="B827" s="23" t="n"/>
      <c r="C827" s="23" t="n"/>
      <c r="D827" s="23" t="n"/>
      <c r="E827" s="23" t="n"/>
      <c r="F827" s="23" t="n"/>
      <c r="G827" s="23" t="n"/>
      <c r="H827" s="24" t="n"/>
      <c r="I827" s="23" t="n"/>
      <c r="J827" s="23" t="n"/>
      <c r="K827" s="23" t="n"/>
      <c r="L827" s="23" t="n"/>
      <c r="M827" s="23" t="n"/>
      <c r="N827" s="23" t="n"/>
      <c r="O827" s="23" t="n"/>
      <c r="P827" s="23" t="n"/>
      <c r="Q827" s="23" t="n"/>
      <c r="R827" s="23" t="n"/>
      <c r="S827" s="23" t="n"/>
      <c r="T827" s="23" t="n"/>
      <c r="U827" s="23" t="n"/>
      <c r="V827" s="23" t="n"/>
      <c r="W827" s="23" t="n"/>
      <c r="X827" s="23" t="n"/>
      <c r="Y827" s="25" t="n"/>
      <c r="Z827" s="25" t="n"/>
      <c r="AA827" s="23" t="n"/>
      <c r="AB827" s="25" t="n"/>
      <c r="AC827" s="23" t="n"/>
      <c r="AD827" s="25" t="n"/>
      <c r="AE827" s="23" t="n"/>
      <c r="AF827" s="25" t="n"/>
      <c r="AG827" s="25" t="n"/>
      <c r="AH827" s="23" t="n"/>
      <c r="AI827" s="23" t="n"/>
      <c r="AJ827" s="26">
        <f>IF(I827="","",I827&amp;"|"&amp;R827)</f>
        <v/>
      </c>
      <c r="AK827" s="26">
        <f>IF(I827="","",IF(ISNA(MATCH(O827,Kampanyalar!$A$2:$A$150,0)),"Hayır - Kampanyalar'da Yok","Evet"))</f>
        <v/>
      </c>
      <c r="AL827" s="27">
        <f>IF(I827="","",IFERROR(INDEX(Kampanyalar!$E$2:$E$150,MATCH(O827,Kampanyalar!$A$2:$A$150,0)),""))</f>
        <v/>
      </c>
      <c r="AM827" s="27">
        <f>IF(I827="","",IFERROR(INDEX(Kampanyalar!$F$2:$F$150,MATCH(O827,Kampanyalar!$A$2:$A$150,0)),""))</f>
        <v/>
      </c>
      <c r="AN827" s="27">
        <f>IF(I827="","",IFERROR(INDEX(Kampanyalar!$G$2:$G$150,MATCH(O827,Kampanyalar!$A$2:$A$150,0)),""))</f>
        <v/>
      </c>
      <c r="AO827" s="26">
        <f>IF(OR(I827="",AL827="",AM827=""),"",IF(AND(H827&gt;=AL827,H827&lt;=AM827),"Evet","HAYIR - Tarih Dışı"))</f>
        <v/>
      </c>
      <c r="AP827" s="28">
        <f>IF(I827="","",IFERROR(INDEX(Kampanyalar!$H$2:$H$150,MATCH(O827,Kampanyalar!$A$2:$A$150,0)),""))</f>
        <v/>
      </c>
      <c r="AQ827" s="28">
        <f>IF(I827="","",IF(ISNUMBER(AP827),AP827,AD827))</f>
        <v/>
      </c>
      <c r="AR827" s="26">
        <f>IF(I827="","",IF(Parametreler!$C$7="Evet","Kural A - Hemen Ödeme (Stok Mutabakatlı)","Kural B - Nakliye/Montaj Sonrası Ödeme"))</f>
        <v/>
      </c>
    </row>
    <row r="828">
      <c r="A828" s="23" t="n"/>
      <c r="B828" s="23" t="n"/>
      <c r="C828" s="23" t="n"/>
      <c r="D828" s="23" t="n"/>
      <c r="E828" s="23" t="n"/>
      <c r="F828" s="23" t="n"/>
      <c r="G828" s="23" t="n"/>
      <c r="H828" s="24" t="n"/>
      <c r="I828" s="23" t="n"/>
      <c r="J828" s="23" t="n"/>
      <c r="K828" s="23" t="n"/>
      <c r="L828" s="23" t="n"/>
      <c r="M828" s="23" t="n"/>
      <c r="N828" s="23" t="n"/>
      <c r="O828" s="23" t="n"/>
      <c r="P828" s="23" t="n"/>
      <c r="Q828" s="23" t="n"/>
      <c r="R828" s="23" t="n"/>
      <c r="S828" s="23" t="n"/>
      <c r="T828" s="23" t="n"/>
      <c r="U828" s="23" t="n"/>
      <c r="V828" s="23" t="n"/>
      <c r="W828" s="23" t="n"/>
      <c r="X828" s="23" t="n"/>
      <c r="Y828" s="25" t="n"/>
      <c r="Z828" s="25" t="n"/>
      <c r="AA828" s="23" t="n"/>
      <c r="AB828" s="25" t="n"/>
      <c r="AC828" s="23" t="n"/>
      <c r="AD828" s="25" t="n"/>
      <c r="AE828" s="23" t="n"/>
      <c r="AF828" s="25" t="n"/>
      <c r="AG828" s="25" t="n"/>
      <c r="AH828" s="23" t="n"/>
      <c r="AI828" s="23" t="n"/>
      <c r="AJ828" s="26">
        <f>IF(I828="","",I828&amp;"|"&amp;R828)</f>
        <v/>
      </c>
      <c r="AK828" s="26">
        <f>IF(I828="","",IF(ISNA(MATCH(O828,Kampanyalar!$A$2:$A$150,0)),"Hayır - Kampanyalar'da Yok","Evet"))</f>
        <v/>
      </c>
      <c r="AL828" s="27">
        <f>IF(I828="","",IFERROR(INDEX(Kampanyalar!$E$2:$E$150,MATCH(O828,Kampanyalar!$A$2:$A$150,0)),""))</f>
        <v/>
      </c>
      <c r="AM828" s="27">
        <f>IF(I828="","",IFERROR(INDEX(Kampanyalar!$F$2:$F$150,MATCH(O828,Kampanyalar!$A$2:$A$150,0)),""))</f>
        <v/>
      </c>
      <c r="AN828" s="27">
        <f>IF(I828="","",IFERROR(INDEX(Kampanyalar!$G$2:$G$150,MATCH(O828,Kampanyalar!$A$2:$A$150,0)),""))</f>
        <v/>
      </c>
      <c r="AO828" s="26">
        <f>IF(OR(I828="",AL828="",AM828=""),"",IF(AND(H828&gt;=AL828,H828&lt;=AM828),"Evet","HAYIR - Tarih Dışı"))</f>
        <v/>
      </c>
      <c r="AP828" s="28">
        <f>IF(I828="","",IFERROR(INDEX(Kampanyalar!$H$2:$H$150,MATCH(O828,Kampanyalar!$A$2:$A$150,0)),""))</f>
        <v/>
      </c>
      <c r="AQ828" s="28">
        <f>IF(I828="","",IF(ISNUMBER(AP828),AP828,AD828))</f>
        <v/>
      </c>
      <c r="AR828" s="26">
        <f>IF(I828="","",IF(Parametreler!$C$7="Evet","Kural A - Hemen Ödeme (Stok Mutabakatlı)","Kural B - Nakliye/Montaj Sonrası Ödeme"))</f>
        <v/>
      </c>
    </row>
    <row r="829">
      <c r="A829" s="23" t="n"/>
      <c r="B829" s="23" t="n"/>
      <c r="C829" s="23" t="n"/>
      <c r="D829" s="23" t="n"/>
      <c r="E829" s="23" t="n"/>
      <c r="F829" s="23" t="n"/>
      <c r="G829" s="23" t="n"/>
      <c r="H829" s="24" t="n"/>
      <c r="I829" s="23" t="n"/>
      <c r="J829" s="23" t="n"/>
      <c r="K829" s="23" t="n"/>
      <c r="L829" s="23" t="n"/>
      <c r="M829" s="23" t="n"/>
      <c r="N829" s="23" t="n"/>
      <c r="O829" s="23" t="n"/>
      <c r="P829" s="23" t="n"/>
      <c r="Q829" s="23" t="n"/>
      <c r="R829" s="23" t="n"/>
      <c r="S829" s="23" t="n"/>
      <c r="T829" s="23" t="n"/>
      <c r="U829" s="23" t="n"/>
      <c r="V829" s="23" t="n"/>
      <c r="W829" s="23" t="n"/>
      <c r="X829" s="23" t="n"/>
      <c r="Y829" s="25" t="n"/>
      <c r="Z829" s="25" t="n"/>
      <c r="AA829" s="23" t="n"/>
      <c r="AB829" s="25" t="n"/>
      <c r="AC829" s="23" t="n"/>
      <c r="AD829" s="25" t="n"/>
      <c r="AE829" s="23" t="n"/>
      <c r="AF829" s="25" t="n"/>
      <c r="AG829" s="25" t="n"/>
      <c r="AH829" s="23" t="n"/>
      <c r="AI829" s="23" t="n"/>
      <c r="AJ829" s="26">
        <f>IF(I829="","",I829&amp;"|"&amp;R829)</f>
        <v/>
      </c>
      <c r="AK829" s="26">
        <f>IF(I829="","",IF(ISNA(MATCH(O829,Kampanyalar!$A$2:$A$150,0)),"Hayır - Kampanyalar'da Yok","Evet"))</f>
        <v/>
      </c>
      <c r="AL829" s="27">
        <f>IF(I829="","",IFERROR(INDEX(Kampanyalar!$E$2:$E$150,MATCH(O829,Kampanyalar!$A$2:$A$150,0)),""))</f>
        <v/>
      </c>
      <c r="AM829" s="27">
        <f>IF(I829="","",IFERROR(INDEX(Kampanyalar!$F$2:$F$150,MATCH(O829,Kampanyalar!$A$2:$A$150,0)),""))</f>
        <v/>
      </c>
      <c r="AN829" s="27">
        <f>IF(I829="","",IFERROR(INDEX(Kampanyalar!$G$2:$G$150,MATCH(O829,Kampanyalar!$A$2:$A$150,0)),""))</f>
        <v/>
      </c>
      <c r="AO829" s="26">
        <f>IF(OR(I829="",AL829="",AM829=""),"",IF(AND(H829&gt;=AL829,H829&lt;=AM829),"Evet","HAYIR - Tarih Dışı"))</f>
        <v/>
      </c>
      <c r="AP829" s="28">
        <f>IF(I829="","",IFERROR(INDEX(Kampanyalar!$H$2:$H$150,MATCH(O829,Kampanyalar!$A$2:$A$150,0)),""))</f>
        <v/>
      </c>
      <c r="AQ829" s="28">
        <f>IF(I829="","",IF(ISNUMBER(AP829),AP829,AD829))</f>
        <v/>
      </c>
      <c r="AR829" s="26">
        <f>IF(I829="","",IF(Parametreler!$C$7="Evet","Kural A - Hemen Ödeme (Stok Mutabakatlı)","Kural B - Nakliye/Montaj Sonrası Ödeme"))</f>
        <v/>
      </c>
    </row>
    <row r="830">
      <c r="A830" s="23" t="n"/>
      <c r="B830" s="23" t="n"/>
      <c r="C830" s="23" t="n"/>
      <c r="D830" s="23" t="n"/>
      <c r="E830" s="23" t="n"/>
      <c r="F830" s="23" t="n"/>
      <c r="G830" s="23" t="n"/>
      <c r="H830" s="24" t="n"/>
      <c r="I830" s="23" t="n"/>
      <c r="J830" s="23" t="n"/>
      <c r="K830" s="23" t="n"/>
      <c r="L830" s="23" t="n"/>
      <c r="M830" s="23" t="n"/>
      <c r="N830" s="23" t="n"/>
      <c r="O830" s="23" t="n"/>
      <c r="P830" s="23" t="n"/>
      <c r="Q830" s="23" t="n"/>
      <c r="R830" s="23" t="n"/>
      <c r="S830" s="23" t="n"/>
      <c r="T830" s="23" t="n"/>
      <c r="U830" s="23" t="n"/>
      <c r="V830" s="23" t="n"/>
      <c r="W830" s="23" t="n"/>
      <c r="X830" s="23" t="n"/>
      <c r="Y830" s="25" t="n"/>
      <c r="Z830" s="25" t="n"/>
      <c r="AA830" s="23" t="n"/>
      <c r="AB830" s="25" t="n"/>
      <c r="AC830" s="23" t="n"/>
      <c r="AD830" s="25" t="n"/>
      <c r="AE830" s="23" t="n"/>
      <c r="AF830" s="25" t="n"/>
      <c r="AG830" s="25" t="n"/>
      <c r="AH830" s="23" t="n"/>
      <c r="AI830" s="23" t="n"/>
      <c r="AJ830" s="26">
        <f>IF(I830="","",I830&amp;"|"&amp;R830)</f>
        <v/>
      </c>
      <c r="AK830" s="26">
        <f>IF(I830="","",IF(ISNA(MATCH(O830,Kampanyalar!$A$2:$A$150,0)),"Hayır - Kampanyalar'da Yok","Evet"))</f>
        <v/>
      </c>
      <c r="AL830" s="27">
        <f>IF(I830="","",IFERROR(INDEX(Kampanyalar!$E$2:$E$150,MATCH(O830,Kampanyalar!$A$2:$A$150,0)),""))</f>
        <v/>
      </c>
      <c r="AM830" s="27">
        <f>IF(I830="","",IFERROR(INDEX(Kampanyalar!$F$2:$F$150,MATCH(O830,Kampanyalar!$A$2:$A$150,0)),""))</f>
        <v/>
      </c>
      <c r="AN830" s="27">
        <f>IF(I830="","",IFERROR(INDEX(Kampanyalar!$G$2:$G$150,MATCH(O830,Kampanyalar!$A$2:$A$150,0)),""))</f>
        <v/>
      </c>
      <c r="AO830" s="26">
        <f>IF(OR(I830="",AL830="",AM830=""),"",IF(AND(H830&gt;=AL830,H830&lt;=AM830),"Evet","HAYIR - Tarih Dışı"))</f>
        <v/>
      </c>
      <c r="AP830" s="28">
        <f>IF(I830="","",IFERROR(INDEX(Kampanyalar!$H$2:$H$150,MATCH(O830,Kampanyalar!$A$2:$A$150,0)),""))</f>
        <v/>
      </c>
      <c r="AQ830" s="28">
        <f>IF(I830="","",IF(ISNUMBER(AP830),AP830,AD830))</f>
        <v/>
      </c>
      <c r="AR830" s="26">
        <f>IF(I830="","",IF(Parametreler!$C$7="Evet","Kural A - Hemen Ödeme (Stok Mutabakatlı)","Kural B - Nakliye/Montaj Sonrası Ödeme"))</f>
        <v/>
      </c>
    </row>
    <row r="831">
      <c r="A831" s="23" t="n"/>
      <c r="B831" s="23" t="n"/>
      <c r="C831" s="23" t="n"/>
      <c r="D831" s="23" t="n"/>
      <c r="E831" s="23" t="n"/>
      <c r="F831" s="23" t="n"/>
      <c r="G831" s="23" t="n"/>
      <c r="H831" s="24" t="n"/>
      <c r="I831" s="23" t="n"/>
      <c r="J831" s="23" t="n"/>
      <c r="K831" s="23" t="n"/>
      <c r="L831" s="23" t="n"/>
      <c r="M831" s="23" t="n"/>
      <c r="N831" s="23" t="n"/>
      <c r="O831" s="23" t="n"/>
      <c r="P831" s="23" t="n"/>
      <c r="Q831" s="23" t="n"/>
      <c r="R831" s="23" t="n"/>
      <c r="S831" s="23" t="n"/>
      <c r="T831" s="23" t="n"/>
      <c r="U831" s="23" t="n"/>
      <c r="V831" s="23" t="n"/>
      <c r="W831" s="23" t="n"/>
      <c r="X831" s="23" t="n"/>
      <c r="Y831" s="25" t="n"/>
      <c r="Z831" s="25" t="n"/>
      <c r="AA831" s="23" t="n"/>
      <c r="AB831" s="25" t="n"/>
      <c r="AC831" s="23" t="n"/>
      <c r="AD831" s="25" t="n"/>
      <c r="AE831" s="23" t="n"/>
      <c r="AF831" s="25" t="n"/>
      <c r="AG831" s="25" t="n"/>
      <c r="AH831" s="23" t="n"/>
      <c r="AI831" s="23" t="n"/>
      <c r="AJ831" s="26">
        <f>IF(I831="","",I831&amp;"|"&amp;R831)</f>
        <v/>
      </c>
      <c r="AK831" s="26">
        <f>IF(I831="","",IF(ISNA(MATCH(O831,Kampanyalar!$A$2:$A$150,0)),"Hayır - Kampanyalar'da Yok","Evet"))</f>
        <v/>
      </c>
      <c r="AL831" s="27">
        <f>IF(I831="","",IFERROR(INDEX(Kampanyalar!$E$2:$E$150,MATCH(O831,Kampanyalar!$A$2:$A$150,0)),""))</f>
        <v/>
      </c>
      <c r="AM831" s="27">
        <f>IF(I831="","",IFERROR(INDEX(Kampanyalar!$F$2:$F$150,MATCH(O831,Kampanyalar!$A$2:$A$150,0)),""))</f>
        <v/>
      </c>
      <c r="AN831" s="27">
        <f>IF(I831="","",IFERROR(INDEX(Kampanyalar!$G$2:$G$150,MATCH(O831,Kampanyalar!$A$2:$A$150,0)),""))</f>
        <v/>
      </c>
      <c r="AO831" s="26">
        <f>IF(OR(I831="",AL831="",AM831=""),"",IF(AND(H831&gt;=AL831,H831&lt;=AM831),"Evet","HAYIR - Tarih Dışı"))</f>
        <v/>
      </c>
      <c r="AP831" s="28">
        <f>IF(I831="","",IFERROR(INDEX(Kampanyalar!$H$2:$H$150,MATCH(O831,Kampanyalar!$A$2:$A$150,0)),""))</f>
        <v/>
      </c>
      <c r="AQ831" s="28">
        <f>IF(I831="","",IF(ISNUMBER(AP831),AP831,AD831))</f>
        <v/>
      </c>
      <c r="AR831" s="26">
        <f>IF(I831="","",IF(Parametreler!$C$7="Evet","Kural A - Hemen Ödeme (Stok Mutabakatlı)","Kural B - Nakliye/Montaj Sonrası Ödeme"))</f>
        <v/>
      </c>
    </row>
    <row r="832">
      <c r="A832" s="23" t="n"/>
      <c r="B832" s="23" t="n"/>
      <c r="C832" s="23" t="n"/>
      <c r="D832" s="23" t="n"/>
      <c r="E832" s="23" t="n"/>
      <c r="F832" s="23" t="n"/>
      <c r="G832" s="23" t="n"/>
      <c r="H832" s="24" t="n"/>
      <c r="I832" s="23" t="n"/>
      <c r="J832" s="23" t="n"/>
      <c r="K832" s="23" t="n"/>
      <c r="L832" s="23" t="n"/>
      <c r="M832" s="23" t="n"/>
      <c r="N832" s="23" t="n"/>
      <c r="O832" s="23" t="n"/>
      <c r="P832" s="23" t="n"/>
      <c r="Q832" s="23" t="n"/>
      <c r="R832" s="23" t="n"/>
      <c r="S832" s="23" t="n"/>
      <c r="T832" s="23" t="n"/>
      <c r="U832" s="23" t="n"/>
      <c r="V832" s="23" t="n"/>
      <c r="W832" s="23" t="n"/>
      <c r="X832" s="23" t="n"/>
      <c r="Y832" s="25" t="n"/>
      <c r="Z832" s="25" t="n"/>
      <c r="AA832" s="23" t="n"/>
      <c r="AB832" s="25" t="n"/>
      <c r="AC832" s="23" t="n"/>
      <c r="AD832" s="25" t="n"/>
      <c r="AE832" s="23" t="n"/>
      <c r="AF832" s="25" t="n"/>
      <c r="AG832" s="25" t="n"/>
      <c r="AH832" s="23" t="n"/>
      <c r="AI832" s="23" t="n"/>
      <c r="AJ832" s="26">
        <f>IF(I832="","",I832&amp;"|"&amp;R832)</f>
        <v/>
      </c>
      <c r="AK832" s="26">
        <f>IF(I832="","",IF(ISNA(MATCH(O832,Kampanyalar!$A$2:$A$150,0)),"Hayır - Kampanyalar'da Yok","Evet"))</f>
        <v/>
      </c>
      <c r="AL832" s="27">
        <f>IF(I832="","",IFERROR(INDEX(Kampanyalar!$E$2:$E$150,MATCH(O832,Kampanyalar!$A$2:$A$150,0)),""))</f>
        <v/>
      </c>
      <c r="AM832" s="27">
        <f>IF(I832="","",IFERROR(INDEX(Kampanyalar!$F$2:$F$150,MATCH(O832,Kampanyalar!$A$2:$A$150,0)),""))</f>
        <v/>
      </c>
      <c r="AN832" s="27">
        <f>IF(I832="","",IFERROR(INDEX(Kampanyalar!$G$2:$G$150,MATCH(O832,Kampanyalar!$A$2:$A$150,0)),""))</f>
        <v/>
      </c>
      <c r="AO832" s="26">
        <f>IF(OR(I832="",AL832="",AM832=""),"",IF(AND(H832&gt;=AL832,H832&lt;=AM832),"Evet","HAYIR - Tarih Dışı"))</f>
        <v/>
      </c>
      <c r="AP832" s="28">
        <f>IF(I832="","",IFERROR(INDEX(Kampanyalar!$H$2:$H$150,MATCH(O832,Kampanyalar!$A$2:$A$150,0)),""))</f>
        <v/>
      </c>
      <c r="AQ832" s="28">
        <f>IF(I832="","",IF(ISNUMBER(AP832),AP832,AD832))</f>
        <v/>
      </c>
      <c r="AR832" s="26">
        <f>IF(I832="","",IF(Parametreler!$C$7="Evet","Kural A - Hemen Ödeme (Stok Mutabakatlı)","Kural B - Nakliye/Montaj Sonrası Ödeme"))</f>
        <v/>
      </c>
    </row>
    <row r="833">
      <c r="A833" s="23" t="n"/>
      <c r="B833" s="23" t="n"/>
      <c r="C833" s="23" t="n"/>
      <c r="D833" s="23" t="n"/>
      <c r="E833" s="23" t="n"/>
      <c r="F833" s="23" t="n"/>
      <c r="G833" s="23" t="n"/>
      <c r="H833" s="24" t="n"/>
      <c r="I833" s="23" t="n"/>
      <c r="J833" s="23" t="n"/>
      <c r="K833" s="23" t="n"/>
      <c r="L833" s="23" t="n"/>
      <c r="M833" s="23" t="n"/>
      <c r="N833" s="23" t="n"/>
      <c r="O833" s="23" t="n"/>
      <c r="P833" s="23" t="n"/>
      <c r="Q833" s="23" t="n"/>
      <c r="R833" s="23" t="n"/>
      <c r="S833" s="23" t="n"/>
      <c r="T833" s="23" t="n"/>
      <c r="U833" s="23" t="n"/>
      <c r="V833" s="23" t="n"/>
      <c r="W833" s="23" t="n"/>
      <c r="X833" s="23" t="n"/>
      <c r="Y833" s="25" t="n"/>
      <c r="Z833" s="25" t="n"/>
      <c r="AA833" s="23" t="n"/>
      <c r="AB833" s="25" t="n"/>
      <c r="AC833" s="23" t="n"/>
      <c r="AD833" s="25" t="n"/>
      <c r="AE833" s="23" t="n"/>
      <c r="AF833" s="25" t="n"/>
      <c r="AG833" s="25" t="n"/>
      <c r="AH833" s="23" t="n"/>
      <c r="AI833" s="23" t="n"/>
      <c r="AJ833" s="26">
        <f>IF(I833="","",I833&amp;"|"&amp;R833)</f>
        <v/>
      </c>
      <c r="AK833" s="26">
        <f>IF(I833="","",IF(ISNA(MATCH(O833,Kampanyalar!$A$2:$A$150,0)),"Hayır - Kampanyalar'da Yok","Evet"))</f>
        <v/>
      </c>
      <c r="AL833" s="27">
        <f>IF(I833="","",IFERROR(INDEX(Kampanyalar!$E$2:$E$150,MATCH(O833,Kampanyalar!$A$2:$A$150,0)),""))</f>
        <v/>
      </c>
      <c r="AM833" s="27">
        <f>IF(I833="","",IFERROR(INDEX(Kampanyalar!$F$2:$F$150,MATCH(O833,Kampanyalar!$A$2:$A$150,0)),""))</f>
        <v/>
      </c>
      <c r="AN833" s="27">
        <f>IF(I833="","",IFERROR(INDEX(Kampanyalar!$G$2:$G$150,MATCH(O833,Kampanyalar!$A$2:$A$150,0)),""))</f>
        <v/>
      </c>
      <c r="AO833" s="26">
        <f>IF(OR(I833="",AL833="",AM833=""),"",IF(AND(H833&gt;=AL833,H833&lt;=AM833),"Evet","HAYIR - Tarih Dışı"))</f>
        <v/>
      </c>
      <c r="AP833" s="28">
        <f>IF(I833="","",IFERROR(INDEX(Kampanyalar!$H$2:$H$150,MATCH(O833,Kampanyalar!$A$2:$A$150,0)),""))</f>
        <v/>
      </c>
      <c r="AQ833" s="28">
        <f>IF(I833="","",IF(ISNUMBER(AP833),AP833,AD833))</f>
        <v/>
      </c>
      <c r="AR833" s="26">
        <f>IF(I833="","",IF(Parametreler!$C$7="Evet","Kural A - Hemen Ödeme (Stok Mutabakatlı)","Kural B - Nakliye/Montaj Sonrası Ödeme"))</f>
        <v/>
      </c>
    </row>
    <row r="834">
      <c r="A834" s="23" t="n"/>
      <c r="B834" s="23" t="n"/>
      <c r="C834" s="23" t="n"/>
      <c r="D834" s="23" t="n"/>
      <c r="E834" s="23" t="n"/>
      <c r="F834" s="23" t="n"/>
      <c r="G834" s="23" t="n"/>
      <c r="H834" s="24" t="n"/>
      <c r="I834" s="23" t="n"/>
      <c r="J834" s="23" t="n"/>
      <c r="K834" s="23" t="n"/>
      <c r="L834" s="23" t="n"/>
      <c r="M834" s="23" t="n"/>
      <c r="N834" s="23" t="n"/>
      <c r="O834" s="23" t="n"/>
      <c r="P834" s="23" t="n"/>
      <c r="Q834" s="23" t="n"/>
      <c r="R834" s="23" t="n"/>
      <c r="S834" s="23" t="n"/>
      <c r="T834" s="23" t="n"/>
      <c r="U834" s="23" t="n"/>
      <c r="V834" s="23" t="n"/>
      <c r="W834" s="23" t="n"/>
      <c r="X834" s="23" t="n"/>
      <c r="Y834" s="25" t="n"/>
      <c r="Z834" s="25" t="n"/>
      <c r="AA834" s="23" t="n"/>
      <c r="AB834" s="25" t="n"/>
      <c r="AC834" s="23" t="n"/>
      <c r="AD834" s="25" t="n"/>
      <c r="AE834" s="23" t="n"/>
      <c r="AF834" s="25" t="n"/>
      <c r="AG834" s="25" t="n"/>
      <c r="AH834" s="23" t="n"/>
      <c r="AI834" s="23" t="n"/>
      <c r="AJ834" s="26">
        <f>IF(I834="","",I834&amp;"|"&amp;R834)</f>
        <v/>
      </c>
      <c r="AK834" s="26">
        <f>IF(I834="","",IF(ISNA(MATCH(O834,Kampanyalar!$A$2:$A$150,0)),"Hayır - Kampanyalar'da Yok","Evet"))</f>
        <v/>
      </c>
      <c r="AL834" s="27">
        <f>IF(I834="","",IFERROR(INDEX(Kampanyalar!$E$2:$E$150,MATCH(O834,Kampanyalar!$A$2:$A$150,0)),""))</f>
        <v/>
      </c>
      <c r="AM834" s="27">
        <f>IF(I834="","",IFERROR(INDEX(Kampanyalar!$F$2:$F$150,MATCH(O834,Kampanyalar!$A$2:$A$150,0)),""))</f>
        <v/>
      </c>
      <c r="AN834" s="27">
        <f>IF(I834="","",IFERROR(INDEX(Kampanyalar!$G$2:$G$150,MATCH(O834,Kampanyalar!$A$2:$A$150,0)),""))</f>
        <v/>
      </c>
      <c r="AO834" s="26">
        <f>IF(OR(I834="",AL834="",AM834=""),"",IF(AND(H834&gt;=AL834,H834&lt;=AM834),"Evet","HAYIR - Tarih Dışı"))</f>
        <v/>
      </c>
      <c r="AP834" s="28">
        <f>IF(I834="","",IFERROR(INDEX(Kampanyalar!$H$2:$H$150,MATCH(O834,Kampanyalar!$A$2:$A$150,0)),""))</f>
        <v/>
      </c>
      <c r="AQ834" s="28">
        <f>IF(I834="","",IF(ISNUMBER(AP834),AP834,AD834))</f>
        <v/>
      </c>
      <c r="AR834" s="26">
        <f>IF(I834="","",IF(Parametreler!$C$7="Evet","Kural A - Hemen Ödeme (Stok Mutabakatlı)","Kural B - Nakliye/Montaj Sonrası Ödeme"))</f>
        <v/>
      </c>
    </row>
    <row r="835">
      <c r="A835" s="23" t="n"/>
      <c r="B835" s="23" t="n"/>
      <c r="C835" s="23" t="n"/>
      <c r="D835" s="23" t="n"/>
      <c r="E835" s="23" t="n"/>
      <c r="F835" s="23" t="n"/>
      <c r="G835" s="23" t="n"/>
      <c r="H835" s="24" t="n"/>
      <c r="I835" s="23" t="n"/>
      <c r="J835" s="23" t="n"/>
      <c r="K835" s="23" t="n"/>
      <c r="L835" s="23" t="n"/>
      <c r="M835" s="23" t="n"/>
      <c r="N835" s="23" t="n"/>
      <c r="O835" s="23" t="n"/>
      <c r="P835" s="23" t="n"/>
      <c r="Q835" s="23" t="n"/>
      <c r="R835" s="23" t="n"/>
      <c r="S835" s="23" t="n"/>
      <c r="T835" s="23" t="n"/>
      <c r="U835" s="23" t="n"/>
      <c r="V835" s="23" t="n"/>
      <c r="W835" s="23" t="n"/>
      <c r="X835" s="23" t="n"/>
      <c r="Y835" s="25" t="n"/>
      <c r="Z835" s="25" t="n"/>
      <c r="AA835" s="23" t="n"/>
      <c r="AB835" s="25" t="n"/>
      <c r="AC835" s="23" t="n"/>
      <c r="AD835" s="25" t="n"/>
      <c r="AE835" s="23" t="n"/>
      <c r="AF835" s="25" t="n"/>
      <c r="AG835" s="25" t="n"/>
      <c r="AH835" s="23" t="n"/>
      <c r="AI835" s="23" t="n"/>
      <c r="AJ835" s="26">
        <f>IF(I835="","",I835&amp;"|"&amp;R835)</f>
        <v/>
      </c>
      <c r="AK835" s="26">
        <f>IF(I835="","",IF(ISNA(MATCH(O835,Kampanyalar!$A$2:$A$150,0)),"Hayır - Kampanyalar'da Yok","Evet"))</f>
        <v/>
      </c>
      <c r="AL835" s="27">
        <f>IF(I835="","",IFERROR(INDEX(Kampanyalar!$E$2:$E$150,MATCH(O835,Kampanyalar!$A$2:$A$150,0)),""))</f>
        <v/>
      </c>
      <c r="AM835" s="27">
        <f>IF(I835="","",IFERROR(INDEX(Kampanyalar!$F$2:$F$150,MATCH(O835,Kampanyalar!$A$2:$A$150,0)),""))</f>
        <v/>
      </c>
      <c r="AN835" s="27">
        <f>IF(I835="","",IFERROR(INDEX(Kampanyalar!$G$2:$G$150,MATCH(O835,Kampanyalar!$A$2:$A$150,0)),""))</f>
        <v/>
      </c>
      <c r="AO835" s="26">
        <f>IF(OR(I835="",AL835="",AM835=""),"",IF(AND(H835&gt;=AL835,H835&lt;=AM835),"Evet","HAYIR - Tarih Dışı"))</f>
        <v/>
      </c>
      <c r="AP835" s="28">
        <f>IF(I835="","",IFERROR(INDEX(Kampanyalar!$H$2:$H$150,MATCH(O835,Kampanyalar!$A$2:$A$150,0)),""))</f>
        <v/>
      </c>
      <c r="AQ835" s="28">
        <f>IF(I835="","",IF(ISNUMBER(AP835),AP835,AD835))</f>
        <v/>
      </c>
      <c r="AR835" s="26">
        <f>IF(I835="","",IF(Parametreler!$C$7="Evet","Kural A - Hemen Ödeme (Stok Mutabakatlı)","Kural B - Nakliye/Montaj Sonrası Ödeme"))</f>
        <v/>
      </c>
    </row>
    <row r="836">
      <c r="A836" s="23" t="n"/>
      <c r="B836" s="23" t="n"/>
      <c r="C836" s="23" t="n"/>
      <c r="D836" s="23" t="n"/>
      <c r="E836" s="23" t="n"/>
      <c r="F836" s="23" t="n"/>
      <c r="G836" s="23" t="n"/>
      <c r="H836" s="24" t="n"/>
      <c r="I836" s="23" t="n"/>
      <c r="J836" s="23" t="n"/>
      <c r="K836" s="23" t="n"/>
      <c r="L836" s="23" t="n"/>
      <c r="M836" s="23" t="n"/>
      <c r="N836" s="23" t="n"/>
      <c r="O836" s="23" t="n"/>
      <c r="P836" s="23" t="n"/>
      <c r="Q836" s="23" t="n"/>
      <c r="R836" s="23" t="n"/>
      <c r="S836" s="23" t="n"/>
      <c r="T836" s="23" t="n"/>
      <c r="U836" s="23" t="n"/>
      <c r="V836" s="23" t="n"/>
      <c r="W836" s="23" t="n"/>
      <c r="X836" s="23" t="n"/>
      <c r="Y836" s="25" t="n"/>
      <c r="Z836" s="25" t="n"/>
      <c r="AA836" s="23" t="n"/>
      <c r="AB836" s="25" t="n"/>
      <c r="AC836" s="23" t="n"/>
      <c r="AD836" s="25" t="n"/>
      <c r="AE836" s="23" t="n"/>
      <c r="AF836" s="25" t="n"/>
      <c r="AG836" s="25" t="n"/>
      <c r="AH836" s="23" t="n"/>
      <c r="AI836" s="23" t="n"/>
      <c r="AJ836" s="26">
        <f>IF(I836="","",I836&amp;"|"&amp;R836)</f>
        <v/>
      </c>
      <c r="AK836" s="26">
        <f>IF(I836="","",IF(ISNA(MATCH(O836,Kampanyalar!$A$2:$A$150,0)),"Hayır - Kampanyalar'da Yok","Evet"))</f>
        <v/>
      </c>
      <c r="AL836" s="27">
        <f>IF(I836="","",IFERROR(INDEX(Kampanyalar!$E$2:$E$150,MATCH(O836,Kampanyalar!$A$2:$A$150,0)),""))</f>
        <v/>
      </c>
      <c r="AM836" s="27">
        <f>IF(I836="","",IFERROR(INDEX(Kampanyalar!$F$2:$F$150,MATCH(O836,Kampanyalar!$A$2:$A$150,0)),""))</f>
        <v/>
      </c>
      <c r="AN836" s="27">
        <f>IF(I836="","",IFERROR(INDEX(Kampanyalar!$G$2:$G$150,MATCH(O836,Kampanyalar!$A$2:$A$150,0)),""))</f>
        <v/>
      </c>
      <c r="AO836" s="26">
        <f>IF(OR(I836="",AL836="",AM836=""),"",IF(AND(H836&gt;=AL836,H836&lt;=AM836),"Evet","HAYIR - Tarih Dışı"))</f>
        <v/>
      </c>
      <c r="AP836" s="28">
        <f>IF(I836="","",IFERROR(INDEX(Kampanyalar!$H$2:$H$150,MATCH(O836,Kampanyalar!$A$2:$A$150,0)),""))</f>
        <v/>
      </c>
      <c r="AQ836" s="28">
        <f>IF(I836="","",IF(ISNUMBER(AP836),AP836,AD836))</f>
        <v/>
      </c>
      <c r="AR836" s="26">
        <f>IF(I836="","",IF(Parametreler!$C$7="Evet","Kural A - Hemen Ödeme (Stok Mutabakatlı)","Kural B - Nakliye/Montaj Sonrası Ödeme"))</f>
        <v/>
      </c>
    </row>
    <row r="837">
      <c r="A837" s="23" t="n"/>
      <c r="B837" s="23" t="n"/>
      <c r="C837" s="23" t="n"/>
      <c r="D837" s="23" t="n"/>
      <c r="E837" s="23" t="n"/>
      <c r="F837" s="23" t="n"/>
      <c r="G837" s="23" t="n"/>
      <c r="H837" s="24" t="n"/>
      <c r="I837" s="23" t="n"/>
      <c r="J837" s="23" t="n"/>
      <c r="K837" s="23" t="n"/>
      <c r="L837" s="23" t="n"/>
      <c r="M837" s="23" t="n"/>
      <c r="N837" s="23" t="n"/>
      <c r="O837" s="23" t="n"/>
      <c r="P837" s="23" t="n"/>
      <c r="Q837" s="23" t="n"/>
      <c r="R837" s="23" t="n"/>
      <c r="S837" s="23" t="n"/>
      <c r="T837" s="23" t="n"/>
      <c r="U837" s="23" t="n"/>
      <c r="V837" s="23" t="n"/>
      <c r="W837" s="23" t="n"/>
      <c r="X837" s="23" t="n"/>
      <c r="Y837" s="25" t="n"/>
      <c r="Z837" s="25" t="n"/>
      <c r="AA837" s="23" t="n"/>
      <c r="AB837" s="25" t="n"/>
      <c r="AC837" s="23" t="n"/>
      <c r="AD837" s="25" t="n"/>
      <c r="AE837" s="23" t="n"/>
      <c r="AF837" s="25" t="n"/>
      <c r="AG837" s="25" t="n"/>
      <c r="AH837" s="23" t="n"/>
      <c r="AI837" s="23" t="n"/>
      <c r="AJ837" s="26">
        <f>IF(I837="","",I837&amp;"|"&amp;R837)</f>
        <v/>
      </c>
      <c r="AK837" s="26">
        <f>IF(I837="","",IF(ISNA(MATCH(O837,Kampanyalar!$A$2:$A$150,0)),"Hayır - Kampanyalar'da Yok","Evet"))</f>
        <v/>
      </c>
      <c r="AL837" s="27">
        <f>IF(I837="","",IFERROR(INDEX(Kampanyalar!$E$2:$E$150,MATCH(O837,Kampanyalar!$A$2:$A$150,0)),""))</f>
        <v/>
      </c>
      <c r="AM837" s="27">
        <f>IF(I837="","",IFERROR(INDEX(Kampanyalar!$F$2:$F$150,MATCH(O837,Kampanyalar!$A$2:$A$150,0)),""))</f>
        <v/>
      </c>
      <c r="AN837" s="27">
        <f>IF(I837="","",IFERROR(INDEX(Kampanyalar!$G$2:$G$150,MATCH(O837,Kampanyalar!$A$2:$A$150,0)),""))</f>
        <v/>
      </c>
      <c r="AO837" s="26">
        <f>IF(OR(I837="",AL837="",AM837=""),"",IF(AND(H837&gt;=AL837,H837&lt;=AM837),"Evet","HAYIR - Tarih Dışı"))</f>
        <v/>
      </c>
      <c r="AP837" s="28">
        <f>IF(I837="","",IFERROR(INDEX(Kampanyalar!$H$2:$H$150,MATCH(O837,Kampanyalar!$A$2:$A$150,0)),""))</f>
        <v/>
      </c>
      <c r="AQ837" s="28">
        <f>IF(I837="","",IF(ISNUMBER(AP837),AP837,AD837))</f>
        <v/>
      </c>
      <c r="AR837" s="26">
        <f>IF(I837="","",IF(Parametreler!$C$7="Evet","Kural A - Hemen Ödeme (Stok Mutabakatlı)","Kural B - Nakliye/Montaj Sonrası Ödeme"))</f>
        <v/>
      </c>
    </row>
    <row r="838">
      <c r="A838" s="23" t="n"/>
      <c r="B838" s="23" t="n"/>
      <c r="C838" s="23" t="n"/>
      <c r="D838" s="23" t="n"/>
      <c r="E838" s="23" t="n"/>
      <c r="F838" s="23" t="n"/>
      <c r="G838" s="23" t="n"/>
      <c r="H838" s="24" t="n"/>
      <c r="I838" s="23" t="n"/>
      <c r="J838" s="23" t="n"/>
      <c r="K838" s="23" t="n"/>
      <c r="L838" s="23" t="n"/>
      <c r="M838" s="23" t="n"/>
      <c r="N838" s="23" t="n"/>
      <c r="O838" s="23" t="n"/>
      <c r="P838" s="23" t="n"/>
      <c r="Q838" s="23" t="n"/>
      <c r="R838" s="23" t="n"/>
      <c r="S838" s="23" t="n"/>
      <c r="T838" s="23" t="n"/>
      <c r="U838" s="23" t="n"/>
      <c r="V838" s="23" t="n"/>
      <c r="W838" s="23" t="n"/>
      <c r="X838" s="23" t="n"/>
      <c r="Y838" s="25" t="n"/>
      <c r="Z838" s="25" t="n"/>
      <c r="AA838" s="23" t="n"/>
      <c r="AB838" s="25" t="n"/>
      <c r="AC838" s="23" t="n"/>
      <c r="AD838" s="25" t="n"/>
      <c r="AE838" s="23" t="n"/>
      <c r="AF838" s="25" t="n"/>
      <c r="AG838" s="25" t="n"/>
      <c r="AH838" s="23" t="n"/>
      <c r="AI838" s="23" t="n"/>
      <c r="AJ838" s="26">
        <f>IF(I838="","",I838&amp;"|"&amp;R838)</f>
        <v/>
      </c>
      <c r="AK838" s="26">
        <f>IF(I838="","",IF(ISNA(MATCH(O838,Kampanyalar!$A$2:$A$150,0)),"Hayır - Kampanyalar'da Yok","Evet"))</f>
        <v/>
      </c>
      <c r="AL838" s="27">
        <f>IF(I838="","",IFERROR(INDEX(Kampanyalar!$E$2:$E$150,MATCH(O838,Kampanyalar!$A$2:$A$150,0)),""))</f>
        <v/>
      </c>
      <c r="AM838" s="27">
        <f>IF(I838="","",IFERROR(INDEX(Kampanyalar!$F$2:$F$150,MATCH(O838,Kampanyalar!$A$2:$A$150,0)),""))</f>
        <v/>
      </c>
      <c r="AN838" s="27">
        <f>IF(I838="","",IFERROR(INDEX(Kampanyalar!$G$2:$G$150,MATCH(O838,Kampanyalar!$A$2:$A$150,0)),""))</f>
        <v/>
      </c>
      <c r="AO838" s="26">
        <f>IF(OR(I838="",AL838="",AM838=""),"",IF(AND(H838&gt;=AL838,H838&lt;=AM838),"Evet","HAYIR - Tarih Dışı"))</f>
        <v/>
      </c>
      <c r="AP838" s="28">
        <f>IF(I838="","",IFERROR(INDEX(Kampanyalar!$H$2:$H$150,MATCH(O838,Kampanyalar!$A$2:$A$150,0)),""))</f>
        <v/>
      </c>
      <c r="AQ838" s="28">
        <f>IF(I838="","",IF(ISNUMBER(AP838),AP838,AD838))</f>
        <v/>
      </c>
      <c r="AR838" s="26">
        <f>IF(I838="","",IF(Parametreler!$C$7="Evet","Kural A - Hemen Ödeme (Stok Mutabakatlı)","Kural B - Nakliye/Montaj Sonrası Ödeme"))</f>
        <v/>
      </c>
    </row>
    <row r="839">
      <c r="A839" s="23" t="n"/>
      <c r="B839" s="23" t="n"/>
      <c r="C839" s="23" t="n"/>
      <c r="D839" s="23" t="n"/>
      <c r="E839" s="23" t="n"/>
      <c r="F839" s="23" t="n"/>
      <c r="G839" s="23" t="n"/>
      <c r="H839" s="24" t="n"/>
      <c r="I839" s="23" t="n"/>
      <c r="J839" s="23" t="n"/>
      <c r="K839" s="23" t="n"/>
      <c r="L839" s="23" t="n"/>
      <c r="M839" s="23" t="n"/>
      <c r="N839" s="23" t="n"/>
      <c r="O839" s="23" t="n"/>
      <c r="P839" s="23" t="n"/>
      <c r="Q839" s="23" t="n"/>
      <c r="R839" s="23" t="n"/>
      <c r="S839" s="23" t="n"/>
      <c r="T839" s="23" t="n"/>
      <c r="U839" s="23" t="n"/>
      <c r="V839" s="23" t="n"/>
      <c r="W839" s="23" t="n"/>
      <c r="X839" s="23" t="n"/>
      <c r="Y839" s="25" t="n"/>
      <c r="Z839" s="25" t="n"/>
      <c r="AA839" s="23" t="n"/>
      <c r="AB839" s="25" t="n"/>
      <c r="AC839" s="23" t="n"/>
      <c r="AD839" s="25" t="n"/>
      <c r="AE839" s="23" t="n"/>
      <c r="AF839" s="25" t="n"/>
      <c r="AG839" s="25" t="n"/>
      <c r="AH839" s="23" t="n"/>
      <c r="AI839" s="23" t="n"/>
      <c r="AJ839" s="26">
        <f>IF(I839="","",I839&amp;"|"&amp;R839)</f>
        <v/>
      </c>
      <c r="AK839" s="26">
        <f>IF(I839="","",IF(ISNA(MATCH(O839,Kampanyalar!$A$2:$A$150,0)),"Hayır - Kampanyalar'da Yok","Evet"))</f>
        <v/>
      </c>
      <c r="AL839" s="27">
        <f>IF(I839="","",IFERROR(INDEX(Kampanyalar!$E$2:$E$150,MATCH(O839,Kampanyalar!$A$2:$A$150,0)),""))</f>
        <v/>
      </c>
      <c r="AM839" s="27">
        <f>IF(I839="","",IFERROR(INDEX(Kampanyalar!$F$2:$F$150,MATCH(O839,Kampanyalar!$A$2:$A$150,0)),""))</f>
        <v/>
      </c>
      <c r="AN839" s="27">
        <f>IF(I839="","",IFERROR(INDEX(Kampanyalar!$G$2:$G$150,MATCH(O839,Kampanyalar!$A$2:$A$150,0)),""))</f>
        <v/>
      </c>
      <c r="AO839" s="26">
        <f>IF(OR(I839="",AL839="",AM839=""),"",IF(AND(H839&gt;=AL839,H839&lt;=AM839),"Evet","HAYIR - Tarih Dışı"))</f>
        <v/>
      </c>
      <c r="AP839" s="28">
        <f>IF(I839="","",IFERROR(INDEX(Kampanyalar!$H$2:$H$150,MATCH(O839,Kampanyalar!$A$2:$A$150,0)),""))</f>
        <v/>
      </c>
      <c r="AQ839" s="28">
        <f>IF(I839="","",IF(ISNUMBER(AP839),AP839,AD839))</f>
        <v/>
      </c>
      <c r="AR839" s="26">
        <f>IF(I839="","",IF(Parametreler!$C$7="Evet","Kural A - Hemen Ödeme (Stok Mutabakatlı)","Kural B - Nakliye/Montaj Sonrası Ödeme"))</f>
        <v/>
      </c>
    </row>
    <row r="840">
      <c r="A840" s="23" t="n"/>
      <c r="B840" s="23" t="n"/>
      <c r="C840" s="23" t="n"/>
      <c r="D840" s="23" t="n"/>
      <c r="E840" s="23" t="n"/>
      <c r="F840" s="23" t="n"/>
      <c r="G840" s="23" t="n"/>
      <c r="H840" s="24" t="n"/>
      <c r="I840" s="23" t="n"/>
      <c r="J840" s="23" t="n"/>
      <c r="K840" s="23" t="n"/>
      <c r="L840" s="23" t="n"/>
      <c r="M840" s="23" t="n"/>
      <c r="N840" s="23" t="n"/>
      <c r="O840" s="23" t="n"/>
      <c r="P840" s="23" t="n"/>
      <c r="Q840" s="23" t="n"/>
      <c r="R840" s="23" t="n"/>
      <c r="S840" s="23" t="n"/>
      <c r="T840" s="23" t="n"/>
      <c r="U840" s="23" t="n"/>
      <c r="V840" s="23" t="n"/>
      <c r="W840" s="23" t="n"/>
      <c r="X840" s="23" t="n"/>
      <c r="Y840" s="25" t="n"/>
      <c r="Z840" s="25" t="n"/>
      <c r="AA840" s="23" t="n"/>
      <c r="AB840" s="25" t="n"/>
      <c r="AC840" s="23" t="n"/>
      <c r="AD840" s="25" t="n"/>
      <c r="AE840" s="23" t="n"/>
      <c r="AF840" s="25" t="n"/>
      <c r="AG840" s="25" t="n"/>
      <c r="AH840" s="23" t="n"/>
      <c r="AI840" s="23" t="n"/>
      <c r="AJ840" s="26">
        <f>IF(I840="","",I840&amp;"|"&amp;R840)</f>
        <v/>
      </c>
      <c r="AK840" s="26">
        <f>IF(I840="","",IF(ISNA(MATCH(O840,Kampanyalar!$A$2:$A$150,0)),"Hayır - Kampanyalar'da Yok","Evet"))</f>
        <v/>
      </c>
      <c r="AL840" s="27">
        <f>IF(I840="","",IFERROR(INDEX(Kampanyalar!$E$2:$E$150,MATCH(O840,Kampanyalar!$A$2:$A$150,0)),""))</f>
        <v/>
      </c>
      <c r="AM840" s="27">
        <f>IF(I840="","",IFERROR(INDEX(Kampanyalar!$F$2:$F$150,MATCH(O840,Kampanyalar!$A$2:$A$150,0)),""))</f>
        <v/>
      </c>
      <c r="AN840" s="27">
        <f>IF(I840="","",IFERROR(INDEX(Kampanyalar!$G$2:$G$150,MATCH(O840,Kampanyalar!$A$2:$A$150,0)),""))</f>
        <v/>
      </c>
      <c r="AO840" s="26">
        <f>IF(OR(I840="",AL840="",AM840=""),"",IF(AND(H840&gt;=AL840,H840&lt;=AM840),"Evet","HAYIR - Tarih Dışı"))</f>
        <v/>
      </c>
      <c r="AP840" s="28">
        <f>IF(I840="","",IFERROR(INDEX(Kampanyalar!$H$2:$H$150,MATCH(O840,Kampanyalar!$A$2:$A$150,0)),""))</f>
        <v/>
      </c>
      <c r="AQ840" s="28">
        <f>IF(I840="","",IF(ISNUMBER(AP840),AP840,AD840))</f>
        <v/>
      </c>
      <c r="AR840" s="26">
        <f>IF(I840="","",IF(Parametreler!$C$7="Evet","Kural A - Hemen Ödeme (Stok Mutabakatlı)","Kural B - Nakliye/Montaj Sonrası Ödeme"))</f>
        <v/>
      </c>
    </row>
    <row r="841">
      <c r="A841" s="23" t="n"/>
      <c r="B841" s="23" t="n"/>
      <c r="C841" s="23" t="n"/>
      <c r="D841" s="23" t="n"/>
      <c r="E841" s="23" t="n"/>
      <c r="F841" s="23" t="n"/>
      <c r="G841" s="23" t="n"/>
      <c r="H841" s="24" t="n"/>
      <c r="I841" s="23" t="n"/>
      <c r="J841" s="23" t="n"/>
      <c r="K841" s="23" t="n"/>
      <c r="L841" s="23" t="n"/>
      <c r="M841" s="23" t="n"/>
      <c r="N841" s="23" t="n"/>
      <c r="O841" s="23" t="n"/>
      <c r="P841" s="23" t="n"/>
      <c r="Q841" s="23" t="n"/>
      <c r="R841" s="23" t="n"/>
      <c r="S841" s="23" t="n"/>
      <c r="T841" s="23" t="n"/>
      <c r="U841" s="23" t="n"/>
      <c r="V841" s="23" t="n"/>
      <c r="W841" s="23" t="n"/>
      <c r="X841" s="23" t="n"/>
      <c r="Y841" s="25" t="n"/>
      <c r="Z841" s="25" t="n"/>
      <c r="AA841" s="23" t="n"/>
      <c r="AB841" s="25" t="n"/>
      <c r="AC841" s="23" t="n"/>
      <c r="AD841" s="25" t="n"/>
      <c r="AE841" s="23" t="n"/>
      <c r="AF841" s="25" t="n"/>
      <c r="AG841" s="25" t="n"/>
      <c r="AH841" s="23" t="n"/>
      <c r="AI841" s="23" t="n"/>
      <c r="AJ841" s="26">
        <f>IF(I841="","",I841&amp;"|"&amp;R841)</f>
        <v/>
      </c>
      <c r="AK841" s="26">
        <f>IF(I841="","",IF(ISNA(MATCH(O841,Kampanyalar!$A$2:$A$150,0)),"Hayır - Kampanyalar'da Yok","Evet"))</f>
        <v/>
      </c>
      <c r="AL841" s="27">
        <f>IF(I841="","",IFERROR(INDEX(Kampanyalar!$E$2:$E$150,MATCH(O841,Kampanyalar!$A$2:$A$150,0)),""))</f>
        <v/>
      </c>
      <c r="AM841" s="27">
        <f>IF(I841="","",IFERROR(INDEX(Kampanyalar!$F$2:$F$150,MATCH(O841,Kampanyalar!$A$2:$A$150,0)),""))</f>
        <v/>
      </c>
      <c r="AN841" s="27">
        <f>IF(I841="","",IFERROR(INDEX(Kampanyalar!$G$2:$G$150,MATCH(O841,Kampanyalar!$A$2:$A$150,0)),""))</f>
        <v/>
      </c>
      <c r="AO841" s="26">
        <f>IF(OR(I841="",AL841="",AM841=""),"",IF(AND(H841&gt;=AL841,H841&lt;=AM841),"Evet","HAYIR - Tarih Dışı"))</f>
        <v/>
      </c>
      <c r="AP841" s="28">
        <f>IF(I841="","",IFERROR(INDEX(Kampanyalar!$H$2:$H$150,MATCH(O841,Kampanyalar!$A$2:$A$150,0)),""))</f>
        <v/>
      </c>
      <c r="AQ841" s="28">
        <f>IF(I841="","",IF(ISNUMBER(AP841),AP841,AD841))</f>
        <v/>
      </c>
      <c r="AR841" s="26">
        <f>IF(I841="","",IF(Parametreler!$C$7="Evet","Kural A - Hemen Ödeme (Stok Mutabakatlı)","Kural B - Nakliye/Montaj Sonrası Ödeme"))</f>
        <v/>
      </c>
    </row>
    <row r="842">
      <c r="A842" s="23" t="n"/>
      <c r="B842" s="23" t="n"/>
      <c r="C842" s="23" t="n"/>
      <c r="D842" s="23" t="n"/>
      <c r="E842" s="23" t="n"/>
      <c r="F842" s="23" t="n"/>
      <c r="G842" s="23" t="n"/>
      <c r="H842" s="24" t="n"/>
      <c r="I842" s="23" t="n"/>
      <c r="J842" s="23" t="n"/>
      <c r="K842" s="23" t="n"/>
      <c r="L842" s="23" t="n"/>
      <c r="M842" s="23" t="n"/>
      <c r="N842" s="23" t="n"/>
      <c r="O842" s="23" t="n"/>
      <c r="P842" s="23" t="n"/>
      <c r="Q842" s="23" t="n"/>
      <c r="R842" s="23" t="n"/>
      <c r="S842" s="23" t="n"/>
      <c r="T842" s="23" t="n"/>
      <c r="U842" s="23" t="n"/>
      <c r="V842" s="23" t="n"/>
      <c r="W842" s="23" t="n"/>
      <c r="X842" s="23" t="n"/>
      <c r="Y842" s="25" t="n"/>
      <c r="Z842" s="25" t="n"/>
      <c r="AA842" s="23" t="n"/>
      <c r="AB842" s="25" t="n"/>
      <c r="AC842" s="23" t="n"/>
      <c r="AD842" s="25" t="n"/>
      <c r="AE842" s="23" t="n"/>
      <c r="AF842" s="25" t="n"/>
      <c r="AG842" s="25" t="n"/>
      <c r="AH842" s="23" t="n"/>
      <c r="AI842" s="23" t="n"/>
      <c r="AJ842" s="26">
        <f>IF(I842="","",I842&amp;"|"&amp;R842)</f>
        <v/>
      </c>
      <c r="AK842" s="26">
        <f>IF(I842="","",IF(ISNA(MATCH(O842,Kampanyalar!$A$2:$A$150,0)),"Hayır - Kampanyalar'da Yok","Evet"))</f>
        <v/>
      </c>
      <c r="AL842" s="27">
        <f>IF(I842="","",IFERROR(INDEX(Kampanyalar!$E$2:$E$150,MATCH(O842,Kampanyalar!$A$2:$A$150,0)),""))</f>
        <v/>
      </c>
      <c r="AM842" s="27">
        <f>IF(I842="","",IFERROR(INDEX(Kampanyalar!$F$2:$F$150,MATCH(O842,Kampanyalar!$A$2:$A$150,0)),""))</f>
        <v/>
      </c>
      <c r="AN842" s="27">
        <f>IF(I842="","",IFERROR(INDEX(Kampanyalar!$G$2:$G$150,MATCH(O842,Kampanyalar!$A$2:$A$150,0)),""))</f>
        <v/>
      </c>
      <c r="AO842" s="26">
        <f>IF(OR(I842="",AL842="",AM842=""),"",IF(AND(H842&gt;=AL842,H842&lt;=AM842),"Evet","HAYIR - Tarih Dışı"))</f>
        <v/>
      </c>
      <c r="AP842" s="28">
        <f>IF(I842="","",IFERROR(INDEX(Kampanyalar!$H$2:$H$150,MATCH(O842,Kampanyalar!$A$2:$A$150,0)),""))</f>
        <v/>
      </c>
      <c r="AQ842" s="28">
        <f>IF(I842="","",IF(ISNUMBER(AP842),AP842,AD842))</f>
        <v/>
      </c>
      <c r="AR842" s="26">
        <f>IF(I842="","",IF(Parametreler!$C$7="Evet","Kural A - Hemen Ödeme (Stok Mutabakatlı)","Kural B - Nakliye/Montaj Sonrası Ödeme"))</f>
        <v/>
      </c>
    </row>
    <row r="843">
      <c r="A843" s="23" t="n"/>
      <c r="B843" s="23" t="n"/>
      <c r="C843" s="23" t="n"/>
      <c r="D843" s="23" t="n"/>
      <c r="E843" s="23" t="n"/>
      <c r="F843" s="23" t="n"/>
      <c r="G843" s="23" t="n"/>
      <c r="H843" s="24" t="n"/>
      <c r="I843" s="23" t="n"/>
      <c r="J843" s="23" t="n"/>
      <c r="K843" s="23" t="n"/>
      <c r="L843" s="23" t="n"/>
      <c r="M843" s="23" t="n"/>
      <c r="N843" s="23" t="n"/>
      <c r="O843" s="23" t="n"/>
      <c r="P843" s="23" t="n"/>
      <c r="Q843" s="23" t="n"/>
      <c r="R843" s="23" t="n"/>
      <c r="S843" s="23" t="n"/>
      <c r="T843" s="23" t="n"/>
      <c r="U843" s="23" t="n"/>
      <c r="V843" s="23" t="n"/>
      <c r="W843" s="23" t="n"/>
      <c r="X843" s="23" t="n"/>
      <c r="Y843" s="25" t="n"/>
      <c r="Z843" s="25" t="n"/>
      <c r="AA843" s="23" t="n"/>
      <c r="AB843" s="25" t="n"/>
      <c r="AC843" s="23" t="n"/>
      <c r="AD843" s="25" t="n"/>
      <c r="AE843" s="23" t="n"/>
      <c r="AF843" s="25" t="n"/>
      <c r="AG843" s="25" t="n"/>
      <c r="AH843" s="23" t="n"/>
      <c r="AI843" s="23" t="n"/>
      <c r="AJ843" s="26">
        <f>IF(I843="","",I843&amp;"|"&amp;R843)</f>
        <v/>
      </c>
      <c r="AK843" s="26">
        <f>IF(I843="","",IF(ISNA(MATCH(O843,Kampanyalar!$A$2:$A$150,0)),"Hayır - Kampanyalar'da Yok","Evet"))</f>
        <v/>
      </c>
      <c r="AL843" s="27">
        <f>IF(I843="","",IFERROR(INDEX(Kampanyalar!$E$2:$E$150,MATCH(O843,Kampanyalar!$A$2:$A$150,0)),""))</f>
        <v/>
      </c>
      <c r="AM843" s="27">
        <f>IF(I843="","",IFERROR(INDEX(Kampanyalar!$F$2:$F$150,MATCH(O843,Kampanyalar!$A$2:$A$150,0)),""))</f>
        <v/>
      </c>
      <c r="AN843" s="27">
        <f>IF(I843="","",IFERROR(INDEX(Kampanyalar!$G$2:$G$150,MATCH(O843,Kampanyalar!$A$2:$A$150,0)),""))</f>
        <v/>
      </c>
      <c r="AO843" s="26">
        <f>IF(OR(I843="",AL843="",AM843=""),"",IF(AND(H843&gt;=AL843,H843&lt;=AM843),"Evet","HAYIR - Tarih Dışı"))</f>
        <v/>
      </c>
      <c r="AP843" s="28">
        <f>IF(I843="","",IFERROR(INDEX(Kampanyalar!$H$2:$H$150,MATCH(O843,Kampanyalar!$A$2:$A$150,0)),""))</f>
        <v/>
      </c>
      <c r="AQ843" s="28">
        <f>IF(I843="","",IF(ISNUMBER(AP843),AP843,AD843))</f>
        <v/>
      </c>
      <c r="AR843" s="26">
        <f>IF(I843="","",IF(Parametreler!$C$7="Evet","Kural A - Hemen Ödeme (Stok Mutabakatlı)","Kural B - Nakliye/Montaj Sonrası Ödeme"))</f>
        <v/>
      </c>
    </row>
    <row r="844">
      <c r="A844" s="23" t="n"/>
      <c r="B844" s="23" t="n"/>
      <c r="C844" s="23" t="n"/>
      <c r="D844" s="23" t="n"/>
      <c r="E844" s="23" t="n"/>
      <c r="F844" s="23" t="n"/>
      <c r="G844" s="23" t="n"/>
      <c r="H844" s="24" t="n"/>
      <c r="I844" s="23" t="n"/>
      <c r="J844" s="23" t="n"/>
      <c r="K844" s="23" t="n"/>
      <c r="L844" s="23" t="n"/>
      <c r="M844" s="23" t="n"/>
      <c r="N844" s="23" t="n"/>
      <c r="O844" s="23" t="n"/>
      <c r="P844" s="23" t="n"/>
      <c r="Q844" s="23" t="n"/>
      <c r="R844" s="23" t="n"/>
      <c r="S844" s="23" t="n"/>
      <c r="T844" s="23" t="n"/>
      <c r="U844" s="23" t="n"/>
      <c r="V844" s="23" t="n"/>
      <c r="W844" s="23" t="n"/>
      <c r="X844" s="23" t="n"/>
      <c r="Y844" s="25" t="n"/>
      <c r="Z844" s="25" t="n"/>
      <c r="AA844" s="23" t="n"/>
      <c r="AB844" s="25" t="n"/>
      <c r="AC844" s="23" t="n"/>
      <c r="AD844" s="25" t="n"/>
      <c r="AE844" s="23" t="n"/>
      <c r="AF844" s="25" t="n"/>
      <c r="AG844" s="25" t="n"/>
      <c r="AH844" s="23" t="n"/>
      <c r="AI844" s="23" t="n"/>
      <c r="AJ844" s="26">
        <f>IF(I844="","",I844&amp;"|"&amp;R844)</f>
        <v/>
      </c>
      <c r="AK844" s="26">
        <f>IF(I844="","",IF(ISNA(MATCH(O844,Kampanyalar!$A$2:$A$150,0)),"Hayır - Kampanyalar'da Yok","Evet"))</f>
        <v/>
      </c>
      <c r="AL844" s="27">
        <f>IF(I844="","",IFERROR(INDEX(Kampanyalar!$E$2:$E$150,MATCH(O844,Kampanyalar!$A$2:$A$150,0)),""))</f>
        <v/>
      </c>
      <c r="AM844" s="27">
        <f>IF(I844="","",IFERROR(INDEX(Kampanyalar!$F$2:$F$150,MATCH(O844,Kampanyalar!$A$2:$A$150,0)),""))</f>
        <v/>
      </c>
      <c r="AN844" s="27">
        <f>IF(I844="","",IFERROR(INDEX(Kampanyalar!$G$2:$G$150,MATCH(O844,Kampanyalar!$A$2:$A$150,0)),""))</f>
        <v/>
      </c>
      <c r="AO844" s="26">
        <f>IF(OR(I844="",AL844="",AM844=""),"",IF(AND(H844&gt;=AL844,H844&lt;=AM844),"Evet","HAYIR - Tarih Dışı"))</f>
        <v/>
      </c>
      <c r="AP844" s="28">
        <f>IF(I844="","",IFERROR(INDEX(Kampanyalar!$H$2:$H$150,MATCH(O844,Kampanyalar!$A$2:$A$150,0)),""))</f>
        <v/>
      </c>
      <c r="AQ844" s="28">
        <f>IF(I844="","",IF(ISNUMBER(AP844),AP844,AD844))</f>
        <v/>
      </c>
      <c r="AR844" s="26">
        <f>IF(I844="","",IF(Parametreler!$C$7="Evet","Kural A - Hemen Ödeme (Stok Mutabakatlı)","Kural B - Nakliye/Montaj Sonrası Ödeme"))</f>
        <v/>
      </c>
    </row>
    <row r="845">
      <c r="A845" s="23" t="n"/>
      <c r="B845" s="23" t="n"/>
      <c r="C845" s="23" t="n"/>
      <c r="D845" s="23" t="n"/>
      <c r="E845" s="23" t="n"/>
      <c r="F845" s="23" t="n"/>
      <c r="G845" s="23" t="n"/>
      <c r="H845" s="24" t="n"/>
      <c r="I845" s="23" t="n"/>
      <c r="J845" s="23" t="n"/>
      <c r="K845" s="23" t="n"/>
      <c r="L845" s="23" t="n"/>
      <c r="M845" s="23" t="n"/>
      <c r="N845" s="23" t="n"/>
      <c r="O845" s="23" t="n"/>
      <c r="P845" s="23" t="n"/>
      <c r="Q845" s="23" t="n"/>
      <c r="R845" s="23" t="n"/>
      <c r="S845" s="23" t="n"/>
      <c r="T845" s="23" t="n"/>
      <c r="U845" s="23" t="n"/>
      <c r="V845" s="23" t="n"/>
      <c r="W845" s="23" t="n"/>
      <c r="X845" s="23" t="n"/>
      <c r="Y845" s="25" t="n"/>
      <c r="Z845" s="25" t="n"/>
      <c r="AA845" s="23" t="n"/>
      <c r="AB845" s="25" t="n"/>
      <c r="AC845" s="23" t="n"/>
      <c r="AD845" s="25" t="n"/>
      <c r="AE845" s="23" t="n"/>
      <c r="AF845" s="25" t="n"/>
      <c r="AG845" s="25" t="n"/>
      <c r="AH845" s="23" t="n"/>
      <c r="AI845" s="23" t="n"/>
      <c r="AJ845" s="26">
        <f>IF(I845="","",I845&amp;"|"&amp;R845)</f>
        <v/>
      </c>
      <c r="AK845" s="26">
        <f>IF(I845="","",IF(ISNA(MATCH(O845,Kampanyalar!$A$2:$A$150,0)),"Hayır - Kampanyalar'da Yok","Evet"))</f>
        <v/>
      </c>
      <c r="AL845" s="27">
        <f>IF(I845="","",IFERROR(INDEX(Kampanyalar!$E$2:$E$150,MATCH(O845,Kampanyalar!$A$2:$A$150,0)),""))</f>
        <v/>
      </c>
      <c r="AM845" s="27">
        <f>IF(I845="","",IFERROR(INDEX(Kampanyalar!$F$2:$F$150,MATCH(O845,Kampanyalar!$A$2:$A$150,0)),""))</f>
        <v/>
      </c>
      <c r="AN845" s="27">
        <f>IF(I845="","",IFERROR(INDEX(Kampanyalar!$G$2:$G$150,MATCH(O845,Kampanyalar!$A$2:$A$150,0)),""))</f>
        <v/>
      </c>
      <c r="AO845" s="26">
        <f>IF(OR(I845="",AL845="",AM845=""),"",IF(AND(H845&gt;=AL845,H845&lt;=AM845),"Evet","HAYIR - Tarih Dışı"))</f>
        <v/>
      </c>
      <c r="AP845" s="28">
        <f>IF(I845="","",IFERROR(INDEX(Kampanyalar!$H$2:$H$150,MATCH(O845,Kampanyalar!$A$2:$A$150,0)),""))</f>
        <v/>
      </c>
      <c r="AQ845" s="28">
        <f>IF(I845="","",IF(ISNUMBER(AP845),AP845,AD845))</f>
        <v/>
      </c>
      <c r="AR845" s="26">
        <f>IF(I845="","",IF(Parametreler!$C$7="Evet","Kural A - Hemen Ödeme (Stok Mutabakatlı)","Kural B - Nakliye/Montaj Sonrası Ödeme"))</f>
        <v/>
      </c>
    </row>
    <row r="846">
      <c r="A846" s="23" t="n"/>
      <c r="B846" s="23" t="n"/>
      <c r="C846" s="23" t="n"/>
      <c r="D846" s="23" t="n"/>
      <c r="E846" s="23" t="n"/>
      <c r="F846" s="23" t="n"/>
      <c r="G846" s="23" t="n"/>
      <c r="H846" s="24" t="n"/>
      <c r="I846" s="23" t="n"/>
      <c r="J846" s="23" t="n"/>
      <c r="K846" s="23" t="n"/>
      <c r="L846" s="23" t="n"/>
      <c r="M846" s="23" t="n"/>
      <c r="N846" s="23" t="n"/>
      <c r="O846" s="23" t="n"/>
      <c r="P846" s="23" t="n"/>
      <c r="Q846" s="23" t="n"/>
      <c r="R846" s="23" t="n"/>
      <c r="S846" s="23" t="n"/>
      <c r="T846" s="23" t="n"/>
      <c r="U846" s="23" t="n"/>
      <c r="V846" s="23" t="n"/>
      <c r="W846" s="23" t="n"/>
      <c r="X846" s="23" t="n"/>
      <c r="Y846" s="25" t="n"/>
      <c r="Z846" s="25" t="n"/>
      <c r="AA846" s="23" t="n"/>
      <c r="AB846" s="25" t="n"/>
      <c r="AC846" s="23" t="n"/>
      <c r="AD846" s="25" t="n"/>
      <c r="AE846" s="23" t="n"/>
      <c r="AF846" s="25" t="n"/>
      <c r="AG846" s="25" t="n"/>
      <c r="AH846" s="23" t="n"/>
      <c r="AI846" s="23" t="n"/>
      <c r="AJ846" s="26">
        <f>IF(I846="","",I846&amp;"|"&amp;R846)</f>
        <v/>
      </c>
      <c r="AK846" s="26">
        <f>IF(I846="","",IF(ISNA(MATCH(O846,Kampanyalar!$A$2:$A$150,0)),"Hayır - Kampanyalar'da Yok","Evet"))</f>
        <v/>
      </c>
      <c r="AL846" s="27">
        <f>IF(I846="","",IFERROR(INDEX(Kampanyalar!$E$2:$E$150,MATCH(O846,Kampanyalar!$A$2:$A$150,0)),""))</f>
        <v/>
      </c>
      <c r="AM846" s="27">
        <f>IF(I846="","",IFERROR(INDEX(Kampanyalar!$F$2:$F$150,MATCH(O846,Kampanyalar!$A$2:$A$150,0)),""))</f>
        <v/>
      </c>
      <c r="AN846" s="27">
        <f>IF(I846="","",IFERROR(INDEX(Kampanyalar!$G$2:$G$150,MATCH(O846,Kampanyalar!$A$2:$A$150,0)),""))</f>
        <v/>
      </c>
      <c r="AO846" s="26">
        <f>IF(OR(I846="",AL846="",AM846=""),"",IF(AND(H846&gt;=AL846,H846&lt;=AM846),"Evet","HAYIR - Tarih Dışı"))</f>
        <v/>
      </c>
      <c r="AP846" s="28">
        <f>IF(I846="","",IFERROR(INDEX(Kampanyalar!$H$2:$H$150,MATCH(O846,Kampanyalar!$A$2:$A$150,0)),""))</f>
        <v/>
      </c>
      <c r="AQ846" s="28">
        <f>IF(I846="","",IF(ISNUMBER(AP846),AP846,AD846))</f>
        <v/>
      </c>
      <c r="AR846" s="26">
        <f>IF(I846="","",IF(Parametreler!$C$7="Evet","Kural A - Hemen Ödeme (Stok Mutabakatlı)","Kural B - Nakliye/Montaj Sonrası Ödeme"))</f>
        <v/>
      </c>
    </row>
    <row r="847">
      <c r="A847" s="23" t="n"/>
      <c r="B847" s="23" t="n"/>
      <c r="C847" s="23" t="n"/>
      <c r="D847" s="23" t="n"/>
      <c r="E847" s="23" t="n"/>
      <c r="F847" s="23" t="n"/>
      <c r="G847" s="23" t="n"/>
      <c r="H847" s="24" t="n"/>
      <c r="I847" s="23" t="n"/>
      <c r="J847" s="23" t="n"/>
      <c r="K847" s="23" t="n"/>
      <c r="L847" s="23" t="n"/>
      <c r="M847" s="23" t="n"/>
      <c r="N847" s="23" t="n"/>
      <c r="O847" s="23" t="n"/>
      <c r="P847" s="23" t="n"/>
      <c r="Q847" s="23" t="n"/>
      <c r="R847" s="23" t="n"/>
      <c r="S847" s="23" t="n"/>
      <c r="T847" s="23" t="n"/>
      <c r="U847" s="23" t="n"/>
      <c r="V847" s="23" t="n"/>
      <c r="W847" s="23" t="n"/>
      <c r="X847" s="23" t="n"/>
      <c r="Y847" s="25" t="n"/>
      <c r="Z847" s="25" t="n"/>
      <c r="AA847" s="23" t="n"/>
      <c r="AB847" s="25" t="n"/>
      <c r="AC847" s="23" t="n"/>
      <c r="AD847" s="25" t="n"/>
      <c r="AE847" s="23" t="n"/>
      <c r="AF847" s="25" t="n"/>
      <c r="AG847" s="25" t="n"/>
      <c r="AH847" s="23" t="n"/>
      <c r="AI847" s="23" t="n"/>
      <c r="AJ847" s="26">
        <f>IF(I847="","",I847&amp;"|"&amp;R847)</f>
        <v/>
      </c>
      <c r="AK847" s="26">
        <f>IF(I847="","",IF(ISNA(MATCH(O847,Kampanyalar!$A$2:$A$150,0)),"Hayır - Kampanyalar'da Yok","Evet"))</f>
        <v/>
      </c>
      <c r="AL847" s="27">
        <f>IF(I847="","",IFERROR(INDEX(Kampanyalar!$E$2:$E$150,MATCH(O847,Kampanyalar!$A$2:$A$150,0)),""))</f>
        <v/>
      </c>
      <c r="AM847" s="27">
        <f>IF(I847="","",IFERROR(INDEX(Kampanyalar!$F$2:$F$150,MATCH(O847,Kampanyalar!$A$2:$A$150,0)),""))</f>
        <v/>
      </c>
      <c r="AN847" s="27">
        <f>IF(I847="","",IFERROR(INDEX(Kampanyalar!$G$2:$G$150,MATCH(O847,Kampanyalar!$A$2:$A$150,0)),""))</f>
        <v/>
      </c>
      <c r="AO847" s="26">
        <f>IF(OR(I847="",AL847="",AM847=""),"",IF(AND(H847&gt;=AL847,H847&lt;=AM847),"Evet","HAYIR - Tarih Dışı"))</f>
        <v/>
      </c>
      <c r="AP847" s="28">
        <f>IF(I847="","",IFERROR(INDEX(Kampanyalar!$H$2:$H$150,MATCH(O847,Kampanyalar!$A$2:$A$150,0)),""))</f>
        <v/>
      </c>
      <c r="AQ847" s="28">
        <f>IF(I847="","",IF(ISNUMBER(AP847),AP847,AD847))</f>
        <v/>
      </c>
      <c r="AR847" s="26">
        <f>IF(I847="","",IF(Parametreler!$C$7="Evet","Kural A - Hemen Ödeme (Stok Mutabakatlı)","Kural B - Nakliye/Montaj Sonrası Ödeme"))</f>
        <v/>
      </c>
    </row>
    <row r="848">
      <c r="A848" s="23" t="n"/>
      <c r="B848" s="23" t="n"/>
      <c r="C848" s="23" t="n"/>
      <c r="D848" s="23" t="n"/>
      <c r="E848" s="23" t="n"/>
      <c r="F848" s="23" t="n"/>
      <c r="G848" s="23" t="n"/>
      <c r="H848" s="24" t="n"/>
      <c r="I848" s="23" t="n"/>
      <c r="J848" s="23" t="n"/>
      <c r="K848" s="23" t="n"/>
      <c r="L848" s="23" t="n"/>
      <c r="M848" s="23" t="n"/>
      <c r="N848" s="23" t="n"/>
      <c r="O848" s="23" t="n"/>
      <c r="P848" s="23" t="n"/>
      <c r="Q848" s="23" t="n"/>
      <c r="R848" s="23" t="n"/>
      <c r="S848" s="23" t="n"/>
      <c r="T848" s="23" t="n"/>
      <c r="U848" s="23" t="n"/>
      <c r="V848" s="23" t="n"/>
      <c r="W848" s="23" t="n"/>
      <c r="X848" s="23" t="n"/>
      <c r="Y848" s="25" t="n"/>
      <c r="Z848" s="25" t="n"/>
      <c r="AA848" s="23" t="n"/>
      <c r="AB848" s="25" t="n"/>
      <c r="AC848" s="23" t="n"/>
      <c r="AD848" s="25" t="n"/>
      <c r="AE848" s="23" t="n"/>
      <c r="AF848" s="25" t="n"/>
      <c r="AG848" s="25" t="n"/>
      <c r="AH848" s="23" t="n"/>
      <c r="AI848" s="23" t="n"/>
      <c r="AJ848" s="26">
        <f>IF(I848="","",I848&amp;"|"&amp;R848)</f>
        <v/>
      </c>
      <c r="AK848" s="26">
        <f>IF(I848="","",IF(ISNA(MATCH(O848,Kampanyalar!$A$2:$A$150,0)),"Hayır - Kampanyalar'da Yok","Evet"))</f>
        <v/>
      </c>
      <c r="AL848" s="27">
        <f>IF(I848="","",IFERROR(INDEX(Kampanyalar!$E$2:$E$150,MATCH(O848,Kampanyalar!$A$2:$A$150,0)),""))</f>
        <v/>
      </c>
      <c r="AM848" s="27">
        <f>IF(I848="","",IFERROR(INDEX(Kampanyalar!$F$2:$F$150,MATCH(O848,Kampanyalar!$A$2:$A$150,0)),""))</f>
        <v/>
      </c>
      <c r="AN848" s="27">
        <f>IF(I848="","",IFERROR(INDEX(Kampanyalar!$G$2:$G$150,MATCH(O848,Kampanyalar!$A$2:$A$150,0)),""))</f>
        <v/>
      </c>
      <c r="AO848" s="26">
        <f>IF(OR(I848="",AL848="",AM848=""),"",IF(AND(H848&gt;=AL848,H848&lt;=AM848),"Evet","HAYIR - Tarih Dışı"))</f>
        <v/>
      </c>
      <c r="AP848" s="28">
        <f>IF(I848="","",IFERROR(INDEX(Kampanyalar!$H$2:$H$150,MATCH(O848,Kampanyalar!$A$2:$A$150,0)),""))</f>
        <v/>
      </c>
      <c r="AQ848" s="28">
        <f>IF(I848="","",IF(ISNUMBER(AP848),AP848,AD848))</f>
        <v/>
      </c>
      <c r="AR848" s="26">
        <f>IF(I848="","",IF(Parametreler!$C$7="Evet","Kural A - Hemen Ödeme (Stok Mutabakatlı)","Kural B - Nakliye/Montaj Sonrası Ödeme"))</f>
        <v/>
      </c>
    </row>
    <row r="849">
      <c r="A849" s="23" t="n"/>
      <c r="B849" s="23" t="n"/>
      <c r="C849" s="23" t="n"/>
      <c r="D849" s="23" t="n"/>
      <c r="E849" s="23" t="n"/>
      <c r="F849" s="23" t="n"/>
      <c r="G849" s="23" t="n"/>
      <c r="H849" s="24" t="n"/>
      <c r="I849" s="23" t="n"/>
      <c r="J849" s="23" t="n"/>
      <c r="K849" s="23" t="n"/>
      <c r="L849" s="23" t="n"/>
      <c r="M849" s="23" t="n"/>
      <c r="N849" s="23" t="n"/>
      <c r="O849" s="23" t="n"/>
      <c r="P849" s="23" t="n"/>
      <c r="Q849" s="23" t="n"/>
      <c r="R849" s="23" t="n"/>
      <c r="S849" s="23" t="n"/>
      <c r="T849" s="23" t="n"/>
      <c r="U849" s="23" t="n"/>
      <c r="V849" s="23" t="n"/>
      <c r="W849" s="23" t="n"/>
      <c r="X849" s="23" t="n"/>
      <c r="Y849" s="25" t="n"/>
      <c r="Z849" s="25" t="n"/>
      <c r="AA849" s="23" t="n"/>
      <c r="AB849" s="25" t="n"/>
      <c r="AC849" s="23" t="n"/>
      <c r="AD849" s="25" t="n"/>
      <c r="AE849" s="23" t="n"/>
      <c r="AF849" s="25" t="n"/>
      <c r="AG849" s="25" t="n"/>
      <c r="AH849" s="23" t="n"/>
      <c r="AI849" s="23" t="n"/>
      <c r="AJ849" s="26">
        <f>IF(I849="","",I849&amp;"|"&amp;R849)</f>
        <v/>
      </c>
      <c r="AK849" s="26">
        <f>IF(I849="","",IF(ISNA(MATCH(O849,Kampanyalar!$A$2:$A$150,0)),"Hayır - Kampanyalar'da Yok","Evet"))</f>
        <v/>
      </c>
      <c r="AL849" s="27">
        <f>IF(I849="","",IFERROR(INDEX(Kampanyalar!$E$2:$E$150,MATCH(O849,Kampanyalar!$A$2:$A$150,0)),""))</f>
        <v/>
      </c>
      <c r="AM849" s="27">
        <f>IF(I849="","",IFERROR(INDEX(Kampanyalar!$F$2:$F$150,MATCH(O849,Kampanyalar!$A$2:$A$150,0)),""))</f>
        <v/>
      </c>
      <c r="AN849" s="27">
        <f>IF(I849="","",IFERROR(INDEX(Kampanyalar!$G$2:$G$150,MATCH(O849,Kampanyalar!$A$2:$A$150,0)),""))</f>
        <v/>
      </c>
      <c r="AO849" s="26">
        <f>IF(OR(I849="",AL849="",AM849=""),"",IF(AND(H849&gt;=AL849,H849&lt;=AM849),"Evet","HAYIR - Tarih Dışı"))</f>
        <v/>
      </c>
      <c r="AP849" s="28">
        <f>IF(I849="","",IFERROR(INDEX(Kampanyalar!$H$2:$H$150,MATCH(O849,Kampanyalar!$A$2:$A$150,0)),""))</f>
        <v/>
      </c>
      <c r="AQ849" s="28">
        <f>IF(I849="","",IF(ISNUMBER(AP849),AP849,AD849))</f>
        <v/>
      </c>
      <c r="AR849" s="26">
        <f>IF(I849="","",IF(Parametreler!$C$7="Evet","Kural A - Hemen Ödeme (Stok Mutabakatlı)","Kural B - Nakliye/Montaj Sonrası Ödeme"))</f>
        <v/>
      </c>
    </row>
    <row r="850">
      <c r="A850" s="23" t="n"/>
      <c r="B850" s="23" t="n"/>
      <c r="C850" s="23" t="n"/>
      <c r="D850" s="23" t="n"/>
      <c r="E850" s="23" t="n"/>
      <c r="F850" s="23" t="n"/>
      <c r="G850" s="23" t="n"/>
      <c r="H850" s="24" t="n"/>
      <c r="I850" s="23" t="n"/>
      <c r="J850" s="23" t="n"/>
      <c r="K850" s="23" t="n"/>
      <c r="L850" s="23" t="n"/>
      <c r="M850" s="23" t="n"/>
      <c r="N850" s="23" t="n"/>
      <c r="O850" s="23" t="n"/>
      <c r="P850" s="23" t="n"/>
      <c r="Q850" s="23" t="n"/>
      <c r="R850" s="23" t="n"/>
      <c r="S850" s="23" t="n"/>
      <c r="T850" s="23" t="n"/>
      <c r="U850" s="23" t="n"/>
      <c r="V850" s="23" t="n"/>
      <c r="W850" s="23" t="n"/>
      <c r="X850" s="23" t="n"/>
      <c r="Y850" s="25" t="n"/>
      <c r="Z850" s="25" t="n"/>
      <c r="AA850" s="23" t="n"/>
      <c r="AB850" s="25" t="n"/>
      <c r="AC850" s="23" t="n"/>
      <c r="AD850" s="25" t="n"/>
      <c r="AE850" s="23" t="n"/>
      <c r="AF850" s="25" t="n"/>
      <c r="AG850" s="25" t="n"/>
      <c r="AH850" s="23" t="n"/>
      <c r="AI850" s="23" t="n"/>
      <c r="AJ850" s="26">
        <f>IF(I850="","",I850&amp;"|"&amp;R850)</f>
        <v/>
      </c>
      <c r="AK850" s="26">
        <f>IF(I850="","",IF(ISNA(MATCH(O850,Kampanyalar!$A$2:$A$150,0)),"Hayır - Kampanyalar'da Yok","Evet"))</f>
        <v/>
      </c>
      <c r="AL850" s="27">
        <f>IF(I850="","",IFERROR(INDEX(Kampanyalar!$E$2:$E$150,MATCH(O850,Kampanyalar!$A$2:$A$150,0)),""))</f>
        <v/>
      </c>
      <c r="AM850" s="27">
        <f>IF(I850="","",IFERROR(INDEX(Kampanyalar!$F$2:$F$150,MATCH(O850,Kampanyalar!$A$2:$A$150,0)),""))</f>
        <v/>
      </c>
      <c r="AN850" s="27">
        <f>IF(I850="","",IFERROR(INDEX(Kampanyalar!$G$2:$G$150,MATCH(O850,Kampanyalar!$A$2:$A$150,0)),""))</f>
        <v/>
      </c>
      <c r="AO850" s="26">
        <f>IF(OR(I850="",AL850="",AM850=""),"",IF(AND(H850&gt;=AL850,H850&lt;=AM850),"Evet","HAYIR - Tarih Dışı"))</f>
        <v/>
      </c>
      <c r="AP850" s="28">
        <f>IF(I850="","",IFERROR(INDEX(Kampanyalar!$H$2:$H$150,MATCH(O850,Kampanyalar!$A$2:$A$150,0)),""))</f>
        <v/>
      </c>
      <c r="AQ850" s="28">
        <f>IF(I850="","",IF(ISNUMBER(AP850),AP850,AD850))</f>
        <v/>
      </c>
      <c r="AR850" s="26">
        <f>IF(I850="","",IF(Parametreler!$C$7="Evet","Kural A - Hemen Ödeme (Stok Mutabakatlı)","Kural B - Nakliye/Montaj Sonrası Ödeme"))</f>
        <v/>
      </c>
    </row>
    <row r="851">
      <c r="A851" s="23" t="n"/>
      <c r="B851" s="23" t="n"/>
      <c r="C851" s="23" t="n"/>
      <c r="D851" s="23" t="n"/>
      <c r="E851" s="23" t="n"/>
      <c r="F851" s="23" t="n"/>
      <c r="G851" s="23" t="n"/>
      <c r="H851" s="24" t="n"/>
      <c r="I851" s="23" t="n"/>
      <c r="J851" s="23" t="n"/>
      <c r="K851" s="23" t="n"/>
      <c r="L851" s="23" t="n"/>
      <c r="M851" s="23" t="n"/>
      <c r="N851" s="23" t="n"/>
      <c r="O851" s="23" t="n"/>
      <c r="P851" s="23" t="n"/>
      <c r="Q851" s="23" t="n"/>
      <c r="R851" s="23" t="n"/>
      <c r="S851" s="23" t="n"/>
      <c r="T851" s="23" t="n"/>
      <c r="U851" s="23" t="n"/>
      <c r="V851" s="23" t="n"/>
      <c r="W851" s="23" t="n"/>
      <c r="X851" s="23" t="n"/>
      <c r="Y851" s="25" t="n"/>
      <c r="Z851" s="25" t="n"/>
      <c r="AA851" s="23" t="n"/>
      <c r="AB851" s="25" t="n"/>
      <c r="AC851" s="23" t="n"/>
      <c r="AD851" s="25" t="n"/>
      <c r="AE851" s="23" t="n"/>
      <c r="AF851" s="25" t="n"/>
      <c r="AG851" s="25" t="n"/>
      <c r="AH851" s="23" t="n"/>
      <c r="AI851" s="23" t="n"/>
      <c r="AJ851" s="26">
        <f>IF(I851="","",I851&amp;"|"&amp;R851)</f>
        <v/>
      </c>
      <c r="AK851" s="26">
        <f>IF(I851="","",IF(ISNA(MATCH(O851,Kampanyalar!$A$2:$A$150,0)),"Hayır - Kampanyalar'da Yok","Evet"))</f>
        <v/>
      </c>
      <c r="AL851" s="27">
        <f>IF(I851="","",IFERROR(INDEX(Kampanyalar!$E$2:$E$150,MATCH(O851,Kampanyalar!$A$2:$A$150,0)),""))</f>
        <v/>
      </c>
      <c r="AM851" s="27">
        <f>IF(I851="","",IFERROR(INDEX(Kampanyalar!$F$2:$F$150,MATCH(O851,Kampanyalar!$A$2:$A$150,0)),""))</f>
        <v/>
      </c>
      <c r="AN851" s="27">
        <f>IF(I851="","",IFERROR(INDEX(Kampanyalar!$G$2:$G$150,MATCH(O851,Kampanyalar!$A$2:$A$150,0)),""))</f>
        <v/>
      </c>
      <c r="AO851" s="26">
        <f>IF(OR(I851="",AL851="",AM851=""),"",IF(AND(H851&gt;=AL851,H851&lt;=AM851),"Evet","HAYIR - Tarih Dışı"))</f>
        <v/>
      </c>
      <c r="AP851" s="28">
        <f>IF(I851="","",IFERROR(INDEX(Kampanyalar!$H$2:$H$150,MATCH(O851,Kampanyalar!$A$2:$A$150,0)),""))</f>
        <v/>
      </c>
      <c r="AQ851" s="28">
        <f>IF(I851="","",IF(ISNUMBER(AP851),AP851,AD851))</f>
        <v/>
      </c>
      <c r="AR851" s="26">
        <f>IF(I851="","",IF(Parametreler!$C$7="Evet","Kural A - Hemen Ödeme (Stok Mutabakatlı)","Kural B - Nakliye/Montaj Sonrası Ödeme"))</f>
        <v/>
      </c>
    </row>
    <row r="852">
      <c r="A852" s="23" t="n"/>
      <c r="B852" s="23" t="n"/>
      <c r="C852" s="23" t="n"/>
      <c r="D852" s="23" t="n"/>
      <c r="E852" s="23" t="n"/>
      <c r="F852" s="23" t="n"/>
      <c r="G852" s="23" t="n"/>
      <c r="H852" s="24" t="n"/>
      <c r="I852" s="23" t="n"/>
      <c r="J852" s="23" t="n"/>
      <c r="K852" s="23" t="n"/>
      <c r="L852" s="23" t="n"/>
      <c r="M852" s="23" t="n"/>
      <c r="N852" s="23" t="n"/>
      <c r="O852" s="23" t="n"/>
      <c r="P852" s="23" t="n"/>
      <c r="Q852" s="23" t="n"/>
      <c r="R852" s="23" t="n"/>
      <c r="S852" s="23" t="n"/>
      <c r="T852" s="23" t="n"/>
      <c r="U852" s="23" t="n"/>
      <c r="V852" s="23" t="n"/>
      <c r="W852" s="23" t="n"/>
      <c r="X852" s="23" t="n"/>
      <c r="Y852" s="25" t="n"/>
      <c r="Z852" s="25" t="n"/>
      <c r="AA852" s="23" t="n"/>
      <c r="AB852" s="25" t="n"/>
      <c r="AC852" s="23" t="n"/>
      <c r="AD852" s="25" t="n"/>
      <c r="AE852" s="23" t="n"/>
      <c r="AF852" s="25" t="n"/>
      <c r="AG852" s="25" t="n"/>
      <c r="AH852" s="23" t="n"/>
      <c r="AI852" s="23" t="n"/>
      <c r="AJ852" s="26">
        <f>IF(I852="","",I852&amp;"|"&amp;R852)</f>
        <v/>
      </c>
      <c r="AK852" s="26">
        <f>IF(I852="","",IF(ISNA(MATCH(O852,Kampanyalar!$A$2:$A$150,0)),"Hayır - Kampanyalar'da Yok","Evet"))</f>
        <v/>
      </c>
      <c r="AL852" s="27">
        <f>IF(I852="","",IFERROR(INDEX(Kampanyalar!$E$2:$E$150,MATCH(O852,Kampanyalar!$A$2:$A$150,0)),""))</f>
        <v/>
      </c>
      <c r="AM852" s="27">
        <f>IF(I852="","",IFERROR(INDEX(Kampanyalar!$F$2:$F$150,MATCH(O852,Kampanyalar!$A$2:$A$150,0)),""))</f>
        <v/>
      </c>
      <c r="AN852" s="27">
        <f>IF(I852="","",IFERROR(INDEX(Kampanyalar!$G$2:$G$150,MATCH(O852,Kampanyalar!$A$2:$A$150,0)),""))</f>
        <v/>
      </c>
      <c r="AO852" s="26">
        <f>IF(OR(I852="",AL852="",AM852=""),"",IF(AND(H852&gt;=AL852,H852&lt;=AM852),"Evet","HAYIR - Tarih Dışı"))</f>
        <v/>
      </c>
      <c r="AP852" s="28">
        <f>IF(I852="","",IFERROR(INDEX(Kampanyalar!$H$2:$H$150,MATCH(O852,Kampanyalar!$A$2:$A$150,0)),""))</f>
        <v/>
      </c>
      <c r="AQ852" s="28">
        <f>IF(I852="","",IF(ISNUMBER(AP852),AP852,AD852))</f>
        <v/>
      </c>
      <c r="AR852" s="26">
        <f>IF(I852="","",IF(Parametreler!$C$7="Evet","Kural A - Hemen Ödeme (Stok Mutabakatlı)","Kural B - Nakliye/Montaj Sonrası Ödeme"))</f>
        <v/>
      </c>
    </row>
    <row r="853">
      <c r="A853" s="23" t="n"/>
      <c r="B853" s="23" t="n"/>
      <c r="C853" s="23" t="n"/>
      <c r="D853" s="23" t="n"/>
      <c r="E853" s="23" t="n"/>
      <c r="F853" s="23" t="n"/>
      <c r="G853" s="23" t="n"/>
      <c r="H853" s="24" t="n"/>
      <c r="I853" s="23" t="n"/>
      <c r="J853" s="23" t="n"/>
      <c r="K853" s="23" t="n"/>
      <c r="L853" s="23" t="n"/>
      <c r="M853" s="23" t="n"/>
      <c r="N853" s="23" t="n"/>
      <c r="O853" s="23" t="n"/>
      <c r="P853" s="23" t="n"/>
      <c r="Q853" s="23" t="n"/>
      <c r="R853" s="23" t="n"/>
      <c r="S853" s="23" t="n"/>
      <c r="T853" s="23" t="n"/>
      <c r="U853" s="23" t="n"/>
      <c r="V853" s="23" t="n"/>
      <c r="W853" s="23" t="n"/>
      <c r="X853" s="23" t="n"/>
      <c r="Y853" s="25" t="n"/>
      <c r="Z853" s="25" t="n"/>
      <c r="AA853" s="23" t="n"/>
      <c r="AB853" s="25" t="n"/>
      <c r="AC853" s="23" t="n"/>
      <c r="AD853" s="25" t="n"/>
      <c r="AE853" s="23" t="n"/>
      <c r="AF853" s="25" t="n"/>
      <c r="AG853" s="25" t="n"/>
      <c r="AH853" s="23" t="n"/>
      <c r="AI853" s="23" t="n"/>
      <c r="AJ853" s="26">
        <f>IF(I853="","",I853&amp;"|"&amp;R853)</f>
        <v/>
      </c>
      <c r="AK853" s="26">
        <f>IF(I853="","",IF(ISNA(MATCH(O853,Kampanyalar!$A$2:$A$150,0)),"Hayır - Kampanyalar'da Yok","Evet"))</f>
        <v/>
      </c>
      <c r="AL853" s="27">
        <f>IF(I853="","",IFERROR(INDEX(Kampanyalar!$E$2:$E$150,MATCH(O853,Kampanyalar!$A$2:$A$150,0)),""))</f>
        <v/>
      </c>
      <c r="AM853" s="27">
        <f>IF(I853="","",IFERROR(INDEX(Kampanyalar!$F$2:$F$150,MATCH(O853,Kampanyalar!$A$2:$A$150,0)),""))</f>
        <v/>
      </c>
      <c r="AN853" s="27">
        <f>IF(I853="","",IFERROR(INDEX(Kampanyalar!$G$2:$G$150,MATCH(O853,Kampanyalar!$A$2:$A$150,0)),""))</f>
        <v/>
      </c>
      <c r="AO853" s="26">
        <f>IF(OR(I853="",AL853="",AM853=""),"",IF(AND(H853&gt;=AL853,H853&lt;=AM853),"Evet","HAYIR - Tarih Dışı"))</f>
        <v/>
      </c>
      <c r="AP853" s="28">
        <f>IF(I853="","",IFERROR(INDEX(Kampanyalar!$H$2:$H$150,MATCH(O853,Kampanyalar!$A$2:$A$150,0)),""))</f>
        <v/>
      </c>
      <c r="AQ853" s="28">
        <f>IF(I853="","",IF(ISNUMBER(AP853),AP853,AD853))</f>
        <v/>
      </c>
      <c r="AR853" s="26">
        <f>IF(I853="","",IF(Parametreler!$C$7="Evet","Kural A - Hemen Ödeme (Stok Mutabakatlı)","Kural B - Nakliye/Montaj Sonrası Ödeme"))</f>
        <v/>
      </c>
    </row>
    <row r="854">
      <c r="A854" s="23" t="n"/>
      <c r="B854" s="23" t="n"/>
      <c r="C854" s="23" t="n"/>
      <c r="D854" s="23" t="n"/>
      <c r="E854" s="23" t="n"/>
      <c r="F854" s="23" t="n"/>
      <c r="G854" s="23" t="n"/>
      <c r="H854" s="24" t="n"/>
      <c r="I854" s="23" t="n"/>
      <c r="J854" s="23" t="n"/>
      <c r="K854" s="23" t="n"/>
      <c r="L854" s="23" t="n"/>
      <c r="M854" s="23" t="n"/>
      <c r="N854" s="23" t="n"/>
      <c r="O854" s="23" t="n"/>
      <c r="P854" s="23" t="n"/>
      <c r="Q854" s="23" t="n"/>
      <c r="R854" s="23" t="n"/>
      <c r="S854" s="23" t="n"/>
      <c r="T854" s="23" t="n"/>
      <c r="U854" s="23" t="n"/>
      <c r="V854" s="23" t="n"/>
      <c r="W854" s="23" t="n"/>
      <c r="X854" s="23" t="n"/>
      <c r="Y854" s="25" t="n"/>
      <c r="Z854" s="25" t="n"/>
      <c r="AA854" s="23" t="n"/>
      <c r="AB854" s="25" t="n"/>
      <c r="AC854" s="23" t="n"/>
      <c r="AD854" s="25" t="n"/>
      <c r="AE854" s="23" t="n"/>
      <c r="AF854" s="25" t="n"/>
      <c r="AG854" s="25" t="n"/>
      <c r="AH854" s="23" t="n"/>
      <c r="AI854" s="23" t="n"/>
      <c r="AJ854" s="26">
        <f>IF(I854="","",I854&amp;"|"&amp;R854)</f>
        <v/>
      </c>
      <c r="AK854" s="26">
        <f>IF(I854="","",IF(ISNA(MATCH(O854,Kampanyalar!$A$2:$A$150,0)),"Hayır - Kampanyalar'da Yok","Evet"))</f>
        <v/>
      </c>
      <c r="AL854" s="27">
        <f>IF(I854="","",IFERROR(INDEX(Kampanyalar!$E$2:$E$150,MATCH(O854,Kampanyalar!$A$2:$A$150,0)),""))</f>
        <v/>
      </c>
      <c r="AM854" s="27">
        <f>IF(I854="","",IFERROR(INDEX(Kampanyalar!$F$2:$F$150,MATCH(O854,Kampanyalar!$A$2:$A$150,0)),""))</f>
        <v/>
      </c>
      <c r="AN854" s="27">
        <f>IF(I854="","",IFERROR(INDEX(Kampanyalar!$G$2:$G$150,MATCH(O854,Kampanyalar!$A$2:$A$150,0)),""))</f>
        <v/>
      </c>
      <c r="AO854" s="26">
        <f>IF(OR(I854="",AL854="",AM854=""),"",IF(AND(H854&gt;=AL854,H854&lt;=AM854),"Evet","HAYIR - Tarih Dışı"))</f>
        <v/>
      </c>
      <c r="AP854" s="28">
        <f>IF(I854="","",IFERROR(INDEX(Kampanyalar!$H$2:$H$150,MATCH(O854,Kampanyalar!$A$2:$A$150,0)),""))</f>
        <v/>
      </c>
      <c r="AQ854" s="28">
        <f>IF(I854="","",IF(ISNUMBER(AP854),AP854,AD854))</f>
        <v/>
      </c>
      <c r="AR854" s="26">
        <f>IF(I854="","",IF(Parametreler!$C$7="Evet","Kural A - Hemen Ödeme (Stok Mutabakatlı)","Kural B - Nakliye/Montaj Sonrası Ödeme"))</f>
        <v/>
      </c>
    </row>
    <row r="855">
      <c r="A855" s="23" t="n"/>
      <c r="B855" s="23" t="n"/>
      <c r="C855" s="23" t="n"/>
      <c r="D855" s="23" t="n"/>
      <c r="E855" s="23" t="n"/>
      <c r="F855" s="23" t="n"/>
      <c r="G855" s="23" t="n"/>
      <c r="H855" s="24" t="n"/>
      <c r="I855" s="23" t="n"/>
      <c r="J855" s="23" t="n"/>
      <c r="K855" s="23" t="n"/>
      <c r="L855" s="23" t="n"/>
      <c r="M855" s="23" t="n"/>
      <c r="N855" s="23" t="n"/>
      <c r="O855" s="23" t="n"/>
      <c r="P855" s="23" t="n"/>
      <c r="Q855" s="23" t="n"/>
      <c r="R855" s="23" t="n"/>
      <c r="S855" s="23" t="n"/>
      <c r="T855" s="23" t="n"/>
      <c r="U855" s="23" t="n"/>
      <c r="V855" s="23" t="n"/>
      <c r="W855" s="23" t="n"/>
      <c r="X855" s="23" t="n"/>
      <c r="Y855" s="25" t="n"/>
      <c r="Z855" s="25" t="n"/>
      <c r="AA855" s="23" t="n"/>
      <c r="AB855" s="25" t="n"/>
      <c r="AC855" s="23" t="n"/>
      <c r="AD855" s="25" t="n"/>
      <c r="AE855" s="23" t="n"/>
      <c r="AF855" s="25" t="n"/>
      <c r="AG855" s="25" t="n"/>
      <c r="AH855" s="23" t="n"/>
      <c r="AI855" s="23" t="n"/>
      <c r="AJ855" s="26">
        <f>IF(I855="","",I855&amp;"|"&amp;R855)</f>
        <v/>
      </c>
      <c r="AK855" s="26">
        <f>IF(I855="","",IF(ISNA(MATCH(O855,Kampanyalar!$A$2:$A$150,0)),"Hayır - Kampanyalar'da Yok","Evet"))</f>
        <v/>
      </c>
      <c r="AL855" s="27">
        <f>IF(I855="","",IFERROR(INDEX(Kampanyalar!$E$2:$E$150,MATCH(O855,Kampanyalar!$A$2:$A$150,0)),""))</f>
        <v/>
      </c>
      <c r="AM855" s="27">
        <f>IF(I855="","",IFERROR(INDEX(Kampanyalar!$F$2:$F$150,MATCH(O855,Kampanyalar!$A$2:$A$150,0)),""))</f>
        <v/>
      </c>
      <c r="AN855" s="27">
        <f>IF(I855="","",IFERROR(INDEX(Kampanyalar!$G$2:$G$150,MATCH(O855,Kampanyalar!$A$2:$A$150,0)),""))</f>
        <v/>
      </c>
      <c r="AO855" s="26">
        <f>IF(OR(I855="",AL855="",AM855=""),"",IF(AND(H855&gt;=AL855,H855&lt;=AM855),"Evet","HAYIR - Tarih Dışı"))</f>
        <v/>
      </c>
      <c r="AP855" s="28">
        <f>IF(I855="","",IFERROR(INDEX(Kampanyalar!$H$2:$H$150,MATCH(O855,Kampanyalar!$A$2:$A$150,0)),""))</f>
        <v/>
      </c>
      <c r="AQ855" s="28">
        <f>IF(I855="","",IF(ISNUMBER(AP855),AP855,AD855))</f>
        <v/>
      </c>
      <c r="AR855" s="26">
        <f>IF(I855="","",IF(Parametreler!$C$7="Evet","Kural A - Hemen Ödeme (Stok Mutabakatlı)","Kural B - Nakliye/Montaj Sonrası Ödeme"))</f>
        <v/>
      </c>
    </row>
    <row r="856">
      <c r="A856" s="23" t="n"/>
      <c r="B856" s="23" t="n"/>
      <c r="C856" s="23" t="n"/>
      <c r="D856" s="23" t="n"/>
      <c r="E856" s="23" t="n"/>
      <c r="F856" s="23" t="n"/>
      <c r="G856" s="23" t="n"/>
      <c r="H856" s="24" t="n"/>
      <c r="I856" s="23" t="n"/>
      <c r="J856" s="23" t="n"/>
      <c r="K856" s="23" t="n"/>
      <c r="L856" s="23" t="n"/>
      <c r="M856" s="23" t="n"/>
      <c r="N856" s="23" t="n"/>
      <c r="O856" s="23" t="n"/>
      <c r="P856" s="23" t="n"/>
      <c r="Q856" s="23" t="n"/>
      <c r="R856" s="23" t="n"/>
      <c r="S856" s="23" t="n"/>
      <c r="T856" s="23" t="n"/>
      <c r="U856" s="23" t="n"/>
      <c r="V856" s="23" t="n"/>
      <c r="W856" s="23" t="n"/>
      <c r="X856" s="23" t="n"/>
      <c r="Y856" s="25" t="n"/>
      <c r="Z856" s="25" t="n"/>
      <c r="AA856" s="23" t="n"/>
      <c r="AB856" s="25" t="n"/>
      <c r="AC856" s="23" t="n"/>
      <c r="AD856" s="25" t="n"/>
      <c r="AE856" s="23" t="n"/>
      <c r="AF856" s="25" t="n"/>
      <c r="AG856" s="25" t="n"/>
      <c r="AH856" s="23" t="n"/>
      <c r="AI856" s="23" t="n"/>
      <c r="AJ856" s="26">
        <f>IF(I856="","",I856&amp;"|"&amp;R856)</f>
        <v/>
      </c>
      <c r="AK856" s="26">
        <f>IF(I856="","",IF(ISNA(MATCH(O856,Kampanyalar!$A$2:$A$150,0)),"Hayır - Kampanyalar'da Yok","Evet"))</f>
        <v/>
      </c>
      <c r="AL856" s="27">
        <f>IF(I856="","",IFERROR(INDEX(Kampanyalar!$E$2:$E$150,MATCH(O856,Kampanyalar!$A$2:$A$150,0)),""))</f>
        <v/>
      </c>
      <c r="AM856" s="27">
        <f>IF(I856="","",IFERROR(INDEX(Kampanyalar!$F$2:$F$150,MATCH(O856,Kampanyalar!$A$2:$A$150,0)),""))</f>
        <v/>
      </c>
      <c r="AN856" s="27">
        <f>IF(I856="","",IFERROR(INDEX(Kampanyalar!$G$2:$G$150,MATCH(O856,Kampanyalar!$A$2:$A$150,0)),""))</f>
        <v/>
      </c>
      <c r="AO856" s="26">
        <f>IF(OR(I856="",AL856="",AM856=""),"",IF(AND(H856&gt;=AL856,H856&lt;=AM856),"Evet","HAYIR - Tarih Dışı"))</f>
        <v/>
      </c>
      <c r="AP856" s="28">
        <f>IF(I856="","",IFERROR(INDEX(Kampanyalar!$H$2:$H$150,MATCH(O856,Kampanyalar!$A$2:$A$150,0)),""))</f>
        <v/>
      </c>
      <c r="AQ856" s="28">
        <f>IF(I856="","",IF(ISNUMBER(AP856),AP856,AD856))</f>
        <v/>
      </c>
      <c r="AR856" s="26">
        <f>IF(I856="","",IF(Parametreler!$C$7="Evet","Kural A - Hemen Ödeme (Stok Mutabakatlı)","Kural B - Nakliye/Montaj Sonrası Ödeme"))</f>
        <v/>
      </c>
    </row>
    <row r="857">
      <c r="A857" s="23" t="n"/>
      <c r="B857" s="23" t="n"/>
      <c r="C857" s="23" t="n"/>
      <c r="D857" s="23" t="n"/>
      <c r="E857" s="23" t="n"/>
      <c r="F857" s="23" t="n"/>
      <c r="G857" s="23" t="n"/>
      <c r="H857" s="24" t="n"/>
      <c r="I857" s="23" t="n"/>
      <c r="J857" s="23" t="n"/>
      <c r="K857" s="23" t="n"/>
      <c r="L857" s="23" t="n"/>
      <c r="M857" s="23" t="n"/>
      <c r="N857" s="23" t="n"/>
      <c r="O857" s="23" t="n"/>
      <c r="P857" s="23" t="n"/>
      <c r="Q857" s="23" t="n"/>
      <c r="R857" s="23" t="n"/>
      <c r="S857" s="23" t="n"/>
      <c r="T857" s="23" t="n"/>
      <c r="U857" s="23" t="n"/>
      <c r="V857" s="23" t="n"/>
      <c r="W857" s="23" t="n"/>
      <c r="X857" s="23" t="n"/>
      <c r="Y857" s="25" t="n"/>
      <c r="Z857" s="25" t="n"/>
      <c r="AA857" s="23" t="n"/>
      <c r="AB857" s="25" t="n"/>
      <c r="AC857" s="23" t="n"/>
      <c r="AD857" s="25" t="n"/>
      <c r="AE857" s="23" t="n"/>
      <c r="AF857" s="25" t="n"/>
      <c r="AG857" s="25" t="n"/>
      <c r="AH857" s="23" t="n"/>
      <c r="AI857" s="23" t="n"/>
      <c r="AJ857" s="26">
        <f>IF(I857="","",I857&amp;"|"&amp;R857)</f>
        <v/>
      </c>
      <c r="AK857" s="26">
        <f>IF(I857="","",IF(ISNA(MATCH(O857,Kampanyalar!$A$2:$A$150,0)),"Hayır - Kampanyalar'da Yok","Evet"))</f>
        <v/>
      </c>
      <c r="AL857" s="27">
        <f>IF(I857="","",IFERROR(INDEX(Kampanyalar!$E$2:$E$150,MATCH(O857,Kampanyalar!$A$2:$A$150,0)),""))</f>
        <v/>
      </c>
      <c r="AM857" s="27">
        <f>IF(I857="","",IFERROR(INDEX(Kampanyalar!$F$2:$F$150,MATCH(O857,Kampanyalar!$A$2:$A$150,0)),""))</f>
        <v/>
      </c>
      <c r="AN857" s="27">
        <f>IF(I857="","",IFERROR(INDEX(Kampanyalar!$G$2:$G$150,MATCH(O857,Kampanyalar!$A$2:$A$150,0)),""))</f>
        <v/>
      </c>
      <c r="AO857" s="26">
        <f>IF(OR(I857="",AL857="",AM857=""),"",IF(AND(H857&gt;=AL857,H857&lt;=AM857),"Evet","HAYIR - Tarih Dışı"))</f>
        <v/>
      </c>
      <c r="AP857" s="28">
        <f>IF(I857="","",IFERROR(INDEX(Kampanyalar!$H$2:$H$150,MATCH(O857,Kampanyalar!$A$2:$A$150,0)),""))</f>
        <v/>
      </c>
      <c r="AQ857" s="28">
        <f>IF(I857="","",IF(ISNUMBER(AP857),AP857,AD857))</f>
        <v/>
      </c>
      <c r="AR857" s="26">
        <f>IF(I857="","",IF(Parametreler!$C$7="Evet","Kural A - Hemen Ödeme (Stok Mutabakatlı)","Kural B - Nakliye/Montaj Sonrası Ödeme"))</f>
        <v/>
      </c>
    </row>
    <row r="858">
      <c r="A858" s="23" t="n"/>
      <c r="B858" s="23" t="n"/>
      <c r="C858" s="23" t="n"/>
      <c r="D858" s="23" t="n"/>
      <c r="E858" s="23" t="n"/>
      <c r="F858" s="23" t="n"/>
      <c r="G858" s="23" t="n"/>
      <c r="H858" s="24" t="n"/>
      <c r="I858" s="23" t="n"/>
      <c r="J858" s="23" t="n"/>
      <c r="K858" s="23" t="n"/>
      <c r="L858" s="23" t="n"/>
      <c r="M858" s="23" t="n"/>
      <c r="N858" s="23" t="n"/>
      <c r="O858" s="23" t="n"/>
      <c r="P858" s="23" t="n"/>
      <c r="Q858" s="23" t="n"/>
      <c r="R858" s="23" t="n"/>
      <c r="S858" s="23" t="n"/>
      <c r="T858" s="23" t="n"/>
      <c r="U858" s="23" t="n"/>
      <c r="V858" s="23" t="n"/>
      <c r="W858" s="23" t="n"/>
      <c r="X858" s="23" t="n"/>
      <c r="Y858" s="25" t="n"/>
      <c r="Z858" s="25" t="n"/>
      <c r="AA858" s="23" t="n"/>
      <c r="AB858" s="25" t="n"/>
      <c r="AC858" s="23" t="n"/>
      <c r="AD858" s="25" t="n"/>
      <c r="AE858" s="23" t="n"/>
      <c r="AF858" s="25" t="n"/>
      <c r="AG858" s="25" t="n"/>
      <c r="AH858" s="23" t="n"/>
      <c r="AI858" s="23" t="n"/>
      <c r="AJ858" s="26">
        <f>IF(I858="","",I858&amp;"|"&amp;R858)</f>
        <v/>
      </c>
      <c r="AK858" s="26">
        <f>IF(I858="","",IF(ISNA(MATCH(O858,Kampanyalar!$A$2:$A$150,0)),"Hayır - Kampanyalar'da Yok","Evet"))</f>
        <v/>
      </c>
      <c r="AL858" s="27">
        <f>IF(I858="","",IFERROR(INDEX(Kampanyalar!$E$2:$E$150,MATCH(O858,Kampanyalar!$A$2:$A$150,0)),""))</f>
        <v/>
      </c>
      <c r="AM858" s="27">
        <f>IF(I858="","",IFERROR(INDEX(Kampanyalar!$F$2:$F$150,MATCH(O858,Kampanyalar!$A$2:$A$150,0)),""))</f>
        <v/>
      </c>
      <c r="AN858" s="27">
        <f>IF(I858="","",IFERROR(INDEX(Kampanyalar!$G$2:$G$150,MATCH(O858,Kampanyalar!$A$2:$A$150,0)),""))</f>
        <v/>
      </c>
      <c r="AO858" s="26">
        <f>IF(OR(I858="",AL858="",AM858=""),"",IF(AND(H858&gt;=AL858,H858&lt;=AM858),"Evet","HAYIR - Tarih Dışı"))</f>
        <v/>
      </c>
      <c r="AP858" s="28">
        <f>IF(I858="","",IFERROR(INDEX(Kampanyalar!$H$2:$H$150,MATCH(O858,Kampanyalar!$A$2:$A$150,0)),""))</f>
        <v/>
      </c>
      <c r="AQ858" s="28">
        <f>IF(I858="","",IF(ISNUMBER(AP858),AP858,AD858))</f>
        <v/>
      </c>
      <c r="AR858" s="26">
        <f>IF(I858="","",IF(Parametreler!$C$7="Evet","Kural A - Hemen Ödeme (Stok Mutabakatlı)","Kural B - Nakliye/Montaj Sonrası Ödeme"))</f>
        <v/>
      </c>
    </row>
    <row r="859">
      <c r="A859" s="23" t="n"/>
      <c r="B859" s="23" t="n"/>
      <c r="C859" s="23" t="n"/>
      <c r="D859" s="23" t="n"/>
      <c r="E859" s="23" t="n"/>
      <c r="F859" s="23" t="n"/>
      <c r="G859" s="23" t="n"/>
      <c r="H859" s="24" t="n"/>
      <c r="I859" s="23" t="n"/>
      <c r="J859" s="23" t="n"/>
      <c r="K859" s="23" t="n"/>
      <c r="L859" s="23" t="n"/>
      <c r="M859" s="23" t="n"/>
      <c r="N859" s="23" t="n"/>
      <c r="O859" s="23" t="n"/>
      <c r="P859" s="23" t="n"/>
      <c r="Q859" s="23" t="n"/>
      <c r="R859" s="23" t="n"/>
      <c r="S859" s="23" t="n"/>
      <c r="T859" s="23" t="n"/>
      <c r="U859" s="23" t="n"/>
      <c r="V859" s="23" t="n"/>
      <c r="W859" s="23" t="n"/>
      <c r="X859" s="23" t="n"/>
      <c r="Y859" s="25" t="n"/>
      <c r="Z859" s="25" t="n"/>
      <c r="AA859" s="23" t="n"/>
      <c r="AB859" s="25" t="n"/>
      <c r="AC859" s="23" t="n"/>
      <c r="AD859" s="25" t="n"/>
      <c r="AE859" s="23" t="n"/>
      <c r="AF859" s="25" t="n"/>
      <c r="AG859" s="25" t="n"/>
      <c r="AH859" s="23" t="n"/>
      <c r="AI859" s="23" t="n"/>
      <c r="AJ859" s="26">
        <f>IF(I859="","",I859&amp;"|"&amp;R859)</f>
        <v/>
      </c>
      <c r="AK859" s="26">
        <f>IF(I859="","",IF(ISNA(MATCH(O859,Kampanyalar!$A$2:$A$150,0)),"Hayır - Kampanyalar'da Yok","Evet"))</f>
        <v/>
      </c>
      <c r="AL859" s="27">
        <f>IF(I859="","",IFERROR(INDEX(Kampanyalar!$E$2:$E$150,MATCH(O859,Kampanyalar!$A$2:$A$150,0)),""))</f>
        <v/>
      </c>
      <c r="AM859" s="27">
        <f>IF(I859="","",IFERROR(INDEX(Kampanyalar!$F$2:$F$150,MATCH(O859,Kampanyalar!$A$2:$A$150,0)),""))</f>
        <v/>
      </c>
      <c r="AN859" s="27">
        <f>IF(I859="","",IFERROR(INDEX(Kampanyalar!$G$2:$G$150,MATCH(O859,Kampanyalar!$A$2:$A$150,0)),""))</f>
        <v/>
      </c>
      <c r="AO859" s="26">
        <f>IF(OR(I859="",AL859="",AM859=""),"",IF(AND(H859&gt;=AL859,H859&lt;=AM859),"Evet","HAYIR - Tarih Dışı"))</f>
        <v/>
      </c>
      <c r="AP859" s="28">
        <f>IF(I859="","",IFERROR(INDEX(Kampanyalar!$H$2:$H$150,MATCH(O859,Kampanyalar!$A$2:$A$150,0)),""))</f>
        <v/>
      </c>
      <c r="AQ859" s="28">
        <f>IF(I859="","",IF(ISNUMBER(AP859),AP859,AD859))</f>
        <v/>
      </c>
      <c r="AR859" s="26">
        <f>IF(I859="","",IF(Parametreler!$C$7="Evet","Kural A - Hemen Ödeme (Stok Mutabakatlı)","Kural B - Nakliye/Montaj Sonrası Ödeme"))</f>
        <v/>
      </c>
    </row>
    <row r="860">
      <c r="A860" s="23" t="n"/>
      <c r="B860" s="23" t="n"/>
      <c r="C860" s="23" t="n"/>
      <c r="D860" s="23" t="n"/>
      <c r="E860" s="23" t="n"/>
      <c r="F860" s="23" t="n"/>
      <c r="G860" s="23" t="n"/>
      <c r="H860" s="24" t="n"/>
      <c r="I860" s="23" t="n"/>
      <c r="J860" s="23" t="n"/>
      <c r="K860" s="23" t="n"/>
      <c r="L860" s="23" t="n"/>
      <c r="M860" s="23" t="n"/>
      <c r="N860" s="23" t="n"/>
      <c r="O860" s="23" t="n"/>
      <c r="P860" s="23" t="n"/>
      <c r="Q860" s="23" t="n"/>
      <c r="R860" s="23" t="n"/>
      <c r="S860" s="23" t="n"/>
      <c r="T860" s="23" t="n"/>
      <c r="U860" s="23" t="n"/>
      <c r="V860" s="23" t="n"/>
      <c r="W860" s="23" t="n"/>
      <c r="X860" s="23" t="n"/>
      <c r="Y860" s="25" t="n"/>
      <c r="Z860" s="25" t="n"/>
      <c r="AA860" s="23" t="n"/>
      <c r="AB860" s="25" t="n"/>
      <c r="AC860" s="23" t="n"/>
      <c r="AD860" s="25" t="n"/>
      <c r="AE860" s="23" t="n"/>
      <c r="AF860" s="25" t="n"/>
      <c r="AG860" s="25" t="n"/>
      <c r="AH860" s="23" t="n"/>
      <c r="AI860" s="23" t="n"/>
      <c r="AJ860" s="26">
        <f>IF(I860="","",I860&amp;"|"&amp;R860)</f>
        <v/>
      </c>
      <c r="AK860" s="26">
        <f>IF(I860="","",IF(ISNA(MATCH(O860,Kampanyalar!$A$2:$A$150,0)),"Hayır - Kampanyalar'da Yok","Evet"))</f>
        <v/>
      </c>
      <c r="AL860" s="27">
        <f>IF(I860="","",IFERROR(INDEX(Kampanyalar!$E$2:$E$150,MATCH(O860,Kampanyalar!$A$2:$A$150,0)),""))</f>
        <v/>
      </c>
      <c r="AM860" s="27">
        <f>IF(I860="","",IFERROR(INDEX(Kampanyalar!$F$2:$F$150,MATCH(O860,Kampanyalar!$A$2:$A$150,0)),""))</f>
        <v/>
      </c>
      <c r="AN860" s="27">
        <f>IF(I860="","",IFERROR(INDEX(Kampanyalar!$G$2:$G$150,MATCH(O860,Kampanyalar!$A$2:$A$150,0)),""))</f>
        <v/>
      </c>
      <c r="AO860" s="26">
        <f>IF(OR(I860="",AL860="",AM860=""),"",IF(AND(H860&gt;=AL860,H860&lt;=AM860),"Evet","HAYIR - Tarih Dışı"))</f>
        <v/>
      </c>
      <c r="AP860" s="28">
        <f>IF(I860="","",IFERROR(INDEX(Kampanyalar!$H$2:$H$150,MATCH(O860,Kampanyalar!$A$2:$A$150,0)),""))</f>
        <v/>
      </c>
      <c r="AQ860" s="28">
        <f>IF(I860="","",IF(ISNUMBER(AP860),AP860,AD860))</f>
        <v/>
      </c>
      <c r="AR860" s="26">
        <f>IF(I860="","",IF(Parametreler!$C$7="Evet","Kural A - Hemen Ödeme (Stok Mutabakatlı)","Kural B - Nakliye/Montaj Sonrası Ödeme"))</f>
        <v/>
      </c>
    </row>
    <row r="861">
      <c r="A861" s="23" t="n"/>
      <c r="B861" s="23" t="n"/>
      <c r="C861" s="23" t="n"/>
      <c r="D861" s="23" t="n"/>
      <c r="E861" s="23" t="n"/>
      <c r="F861" s="23" t="n"/>
      <c r="G861" s="23" t="n"/>
      <c r="H861" s="24" t="n"/>
      <c r="I861" s="23" t="n"/>
      <c r="J861" s="23" t="n"/>
      <c r="K861" s="23" t="n"/>
      <c r="L861" s="23" t="n"/>
      <c r="M861" s="23" t="n"/>
      <c r="N861" s="23" t="n"/>
      <c r="O861" s="23" t="n"/>
      <c r="P861" s="23" t="n"/>
      <c r="Q861" s="23" t="n"/>
      <c r="R861" s="23" t="n"/>
      <c r="S861" s="23" t="n"/>
      <c r="T861" s="23" t="n"/>
      <c r="U861" s="23" t="n"/>
      <c r="V861" s="23" t="n"/>
      <c r="W861" s="23" t="n"/>
      <c r="X861" s="23" t="n"/>
      <c r="Y861" s="25" t="n"/>
      <c r="Z861" s="25" t="n"/>
      <c r="AA861" s="23" t="n"/>
      <c r="AB861" s="25" t="n"/>
      <c r="AC861" s="23" t="n"/>
      <c r="AD861" s="25" t="n"/>
      <c r="AE861" s="23" t="n"/>
      <c r="AF861" s="25" t="n"/>
      <c r="AG861" s="25" t="n"/>
      <c r="AH861" s="23" t="n"/>
      <c r="AI861" s="23" t="n"/>
      <c r="AJ861" s="26">
        <f>IF(I861="","",I861&amp;"|"&amp;R861)</f>
        <v/>
      </c>
      <c r="AK861" s="26">
        <f>IF(I861="","",IF(ISNA(MATCH(O861,Kampanyalar!$A$2:$A$150,0)),"Hayır - Kampanyalar'da Yok","Evet"))</f>
        <v/>
      </c>
      <c r="AL861" s="27">
        <f>IF(I861="","",IFERROR(INDEX(Kampanyalar!$E$2:$E$150,MATCH(O861,Kampanyalar!$A$2:$A$150,0)),""))</f>
        <v/>
      </c>
      <c r="AM861" s="27">
        <f>IF(I861="","",IFERROR(INDEX(Kampanyalar!$F$2:$F$150,MATCH(O861,Kampanyalar!$A$2:$A$150,0)),""))</f>
        <v/>
      </c>
      <c r="AN861" s="27">
        <f>IF(I861="","",IFERROR(INDEX(Kampanyalar!$G$2:$G$150,MATCH(O861,Kampanyalar!$A$2:$A$150,0)),""))</f>
        <v/>
      </c>
      <c r="AO861" s="26">
        <f>IF(OR(I861="",AL861="",AM861=""),"",IF(AND(H861&gt;=AL861,H861&lt;=AM861),"Evet","HAYIR - Tarih Dışı"))</f>
        <v/>
      </c>
      <c r="AP861" s="28">
        <f>IF(I861="","",IFERROR(INDEX(Kampanyalar!$H$2:$H$150,MATCH(O861,Kampanyalar!$A$2:$A$150,0)),""))</f>
        <v/>
      </c>
      <c r="AQ861" s="28">
        <f>IF(I861="","",IF(ISNUMBER(AP861),AP861,AD861))</f>
        <v/>
      </c>
      <c r="AR861" s="26">
        <f>IF(I861="","",IF(Parametreler!$C$7="Evet","Kural A - Hemen Ödeme (Stok Mutabakatlı)","Kural B - Nakliye/Montaj Sonrası Ödeme"))</f>
        <v/>
      </c>
    </row>
    <row r="862">
      <c r="A862" s="23" t="n"/>
      <c r="B862" s="23" t="n"/>
      <c r="C862" s="23" t="n"/>
      <c r="D862" s="23" t="n"/>
      <c r="E862" s="23" t="n"/>
      <c r="F862" s="23" t="n"/>
      <c r="G862" s="23" t="n"/>
      <c r="H862" s="24" t="n"/>
      <c r="I862" s="23" t="n"/>
      <c r="J862" s="23" t="n"/>
      <c r="K862" s="23" t="n"/>
      <c r="L862" s="23" t="n"/>
      <c r="M862" s="23" t="n"/>
      <c r="N862" s="23" t="n"/>
      <c r="O862" s="23" t="n"/>
      <c r="P862" s="23" t="n"/>
      <c r="Q862" s="23" t="n"/>
      <c r="R862" s="23" t="n"/>
      <c r="S862" s="23" t="n"/>
      <c r="T862" s="23" t="n"/>
      <c r="U862" s="23" t="n"/>
      <c r="V862" s="23" t="n"/>
      <c r="W862" s="23" t="n"/>
      <c r="X862" s="23" t="n"/>
      <c r="Y862" s="25" t="n"/>
      <c r="Z862" s="25" t="n"/>
      <c r="AA862" s="23" t="n"/>
      <c r="AB862" s="25" t="n"/>
      <c r="AC862" s="23" t="n"/>
      <c r="AD862" s="25" t="n"/>
      <c r="AE862" s="23" t="n"/>
      <c r="AF862" s="25" t="n"/>
      <c r="AG862" s="25" t="n"/>
      <c r="AH862" s="23" t="n"/>
      <c r="AI862" s="23" t="n"/>
      <c r="AJ862" s="26">
        <f>IF(I862="","",I862&amp;"|"&amp;R862)</f>
        <v/>
      </c>
      <c r="AK862" s="26">
        <f>IF(I862="","",IF(ISNA(MATCH(O862,Kampanyalar!$A$2:$A$150,0)),"Hayır - Kampanyalar'da Yok","Evet"))</f>
        <v/>
      </c>
      <c r="AL862" s="27">
        <f>IF(I862="","",IFERROR(INDEX(Kampanyalar!$E$2:$E$150,MATCH(O862,Kampanyalar!$A$2:$A$150,0)),""))</f>
        <v/>
      </c>
      <c r="AM862" s="27">
        <f>IF(I862="","",IFERROR(INDEX(Kampanyalar!$F$2:$F$150,MATCH(O862,Kampanyalar!$A$2:$A$150,0)),""))</f>
        <v/>
      </c>
      <c r="AN862" s="27">
        <f>IF(I862="","",IFERROR(INDEX(Kampanyalar!$G$2:$G$150,MATCH(O862,Kampanyalar!$A$2:$A$150,0)),""))</f>
        <v/>
      </c>
      <c r="AO862" s="26">
        <f>IF(OR(I862="",AL862="",AM862=""),"",IF(AND(H862&gt;=AL862,H862&lt;=AM862),"Evet","HAYIR - Tarih Dışı"))</f>
        <v/>
      </c>
      <c r="AP862" s="28">
        <f>IF(I862="","",IFERROR(INDEX(Kampanyalar!$H$2:$H$150,MATCH(O862,Kampanyalar!$A$2:$A$150,0)),""))</f>
        <v/>
      </c>
      <c r="AQ862" s="28">
        <f>IF(I862="","",IF(ISNUMBER(AP862),AP862,AD862))</f>
        <v/>
      </c>
      <c r="AR862" s="26">
        <f>IF(I862="","",IF(Parametreler!$C$7="Evet","Kural A - Hemen Ödeme (Stok Mutabakatlı)","Kural B - Nakliye/Montaj Sonrası Ödeme"))</f>
        <v/>
      </c>
    </row>
    <row r="863">
      <c r="A863" s="23" t="n"/>
      <c r="B863" s="23" t="n"/>
      <c r="C863" s="23" t="n"/>
      <c r="D863" s="23" t="n"/>
      <c r="E863" s="23" t="n"/>
      <c r="F863" s="23" t="n"/>
      <c r="G863" s="23" t="n"/>
      <c r="H863" s="24" t="n"/>
      <c r="I863" s="23" t="n"/>
      <c r="J863" s="23" t="n"/>
      <c r="K863" s="23" t="n"/>
      <c r="L863" s="23" t="n"/>
      <c r="M863" s="23" t="n"/>
      <c r="N863" s="23" t="n"/>
      <c r="O863" s="23" t="n"/>
      <c r="P863" s="23" t="n"/>
      <c r="Q863" s="23" t="n"/>
      <c r="R863" s="23" t="n"/>
      <c r="S863" s="23" t="n"/>
      <c r="T863" s="23" t="n"/>
      <c r="U863" s="23" t="n"/>
      <c r="V863" s="23" t="n"/>
      <c r="W863" s="23" t="n"/>
      <c r="X863" s="23" t="n"/>
      <c r="Y863" s="25" t="n"/>
      <c r="Z863" s="25" t="n"/>
      <c r="AA863" s="23" t="n"/>
      <c r="AB863" s="25" t="n"/>
      <c r="AC863" s="23" t="n"/>
      <c r="AD863" s="25" t="n"/>
      <c r="AE863" s="23" t="n"/>
      <c r="AF863" s="25" t="n"/>
      <c r="AG863" s="25" t="n"/>
      <c r="AH863" s="23" t="n"/>
      <c r="AI863" s="23" t="n"/>
      <c r="AJ863" s="26">
        <f>IF(I863="","",I863&amp;"|"&amp;R863)</f>
        <v/>
      </c>
      <c r="AK863" s="26">
        <f>IF(I863="","",IF(ISNA(MATCH(O863,Kampanyalar!$A$2:$A$150,0)),"Hayır - Kampanyalar'da Yok","Evet"))</f>
        <v/>
      </c>
      <c r="AL863" s="27">
        <f>IF(I863="","",IFERROR(INDEX(Kampanyalar!$E$2:$E$150,MATCH(O863,Kampanyalar!$A$2:$A$150,0)),""))</f>
        <v/>
      </c>
      <c r="AM863" s="27">
        <f>IF(I863="","",IFERROR(INDEX(Kampanyalar!$F$2:$F$150,MATCH(O863,Kampanyalar!$A$2:$A$150,0)),""))</f>
        <v/>
      </c>
      <c r="AN863" s="27">
        <f>IF(I863="","",IFERROR(INDEX(Kampanyalar!$G$2:$G$150,MATCH(O863,Kampanyalar!$A$2:$A$150,0)),""))</f>
        <v/>
      </c>
      <c r="AO863" s="26">
        <f>IF(OR(I863="",AL863="",AM863=""),"",IF(AND(H863&gt;=AL863,H863&lt;=AM863),"Evet","HAYIR - Tarih Dışı"))</f>
        <v/>
      </c>
      <c r="AP863" s="28">
        <f>IF(I863="","",IFERROR(INDEX(Kampanyalar!$H$2:$H$150,MATCH(O863,Kampanyalar!$A$2:$A$150,0)),""))</f>
        <v/>
      </c>
      <c r="AQ863" s="28">
        <f>IF(I863="","",IF(ISNUMBER(AP863),AP863,AD863))</f>
        <v/>
      </c>
      <c r="AR863" s="26">
        <f>IF(I863="","",IF(Parametreler!$C$7="Evet","Kural A - Hemen Ödeme (Stok Mutabakatlı)","Kural B - Nakliye/Montaj Sonrası Ödeme"))</f>
        <v/>
      </c>
    </row>
    <row r="864">
      <c r="A864" s="23" t="n"/>
      <c r="B864" s="23" t="n"/>
      <c r="C864" s="23" t="n"/>
      <c r="D864" s="23" t="n"/>
      <c r="E864" s="23" t="n"/>
      <c r="F864" s="23" t="n"/>
      <c r="G864" s="23" t="n"/>
      <c r="H864" s="24" t="n"/>
      <c r="I864" s="23" t="n"/>
      <c r="J864" s="23" t="n"/>
      <c r="K864" s="23" t="n"/>
      <c r="L864" s="23" t="n"/>
      <c r="M864" s="23" t="n"/>
      <c r="N864" s="23" t="n"/>
      <c r="O864" s="23" t="n"/>
      <c r="P864" s="23" t="n"/>
      <c r="Q864" s="23" t="n"/>
      <c r="R864" s="23" t="n"/>
      <c r="S864" s="23" t="n"/>
      <c r="T864" s="23" t="n"/>
      <c r="U864" s="23" t="n"/>
      <c r="V864" s="23" t="n"/>
      <c r="W864" s="23" t="n"/>
      <c r="X864" s="23" t="n"/>
      <c r="Y864" s="25" t="n"/>
      <c r="Z864" s="25" t="n"/>
      <c r="AA864" s="23" t="n"/>
      <c r="AB864" s="25" t="n"/>
      <c r="AC864" s="23" t="n"/>
      <c r="AD864" s="25" t="n"/>
      <c r="AE864" s="23" t="n"/>
      <c r="AF864" s="25" t="n"/>
      <c r="AG864" s="25" t="n"/>
      <c r="AH864" s="23" t="n"/>
      <c r="AI864" s="23" t="n"/>
      <c r="AJ864" s="26">
        <f>IF(I864="","",I864&amp;"|"&amp;R864)</f>
        <v/>
      </c>
      <c r="AK864" s="26">
        <f>IF(I864="","",IF(ISNA(MATCH(O864,Kampanyalar!$A$2:$A$150,0)),"Hayır - Kampanyalar'da Yok","Evet"))</f>
        <v/>
      </c>
      <c r="AL864" s="27">
        <f>IF(I864="","",IFERROR(INDEX(Kampanyalar!$E$2:$E$150,MATCH(O864,Kampanyalar!$A$2:$A$150,0)),""))</f>
        <v/>
      </c>
      <c r="AM864" s="27">
        <f>IF(I864="","",IFERROR(INDEX(Kampanyalar!$F$2:$F$150,MATCH(O864,Kampanyalar!$A$2:$A$150,0)),""))</f>
        <v/>
      </c>
      <c r="AN864" s="27">
        <f>IF(I864="","",IFERROR(INDEX(Kampanyalar!$G$2:$G$150,MATCH(O864,Kampanyalar!$A$2:$A$150,0)),""))</f>
        <v/>
      </c>
      <c r="AO864" s="26">
        <f>IF(OR(I864="",AL864="",AM864=""),"",IF(AND(H864&gt;=AL864,H864&lt;=AM864),"Evet","HAYIR - Tarih Dışı"))</f>
        <v/>
      </c>
      <c r="AP864" s="28">
        <f>IF(I864="","",IFERROR(INDEX(Kampanyalar!$H$2:$H$150,MATCH(O864,Kampanyalar!$A$2:$A$150,0)),""))</f>
        <v/>
      </c>
      <c r="AQ864" s="28">
        <f>IF(I864="","",IF(ISNUMBER(AP864),AP864,AD864))</f>
        <v/>
      </c>
      <c r="AR864" s="26">
        <f>IF(I864="","",IF(Parametreler!$C$7="Evet","Kural A - Hemen Ödeme (Stok Mutabakatlı)","Kural B - Nakliye/Montaj Sonrası Ödeme"))</f>
        <v/>
      </c>
    </row>
    <row r="865">
      <c r="A865" s="23" t="n"/>
      <c r="B865" s="23" t="n"/>
      <c r="C865" s="23" t="n"/>
      <c r="D865" s="23" t="n"/>
      <c r="E865" s="23" t="n"/>
      <c r="F865" s="23" t="n"/>
      <c r="G865" s="23" t="n"/>
      <c r="H865" s="24" t="n"/>
      <c r="I865" s="23" t="n"/>
      <c r="J865" s="23" t="n"/>
      <c r="K865" s="23" t="n"/>
      <c r="L865" s="23" t="n"/>
      <c r="M865" s="23" t="n"/>
      <c r="N865" s="23" t="n"/>
      <c r="O865" s="23" t="n"/>
      <c r="P865" s="23" t="n"/>
      <c r="Q865" s="23" t="n"/>
      <c r="R865" s="23" t="n"/>
      <c r="S865" s="23" t="n"/>
      <c r="T865" s="23" t="n"/>
      <c r="U865" s="23" t="n"/>
      <c r="V865" s="23" t="n"/>
      <c r="W865" s="23" t="n"/>
      <c r="X865" s="23" t="n"/>
      <c r="Y865" s="25" t="n"/>
      <c r="Z865" s="25" t="n"/>
      <c r="AA865" s="23" t="n"/>
      <c r="AB865" s="25" t="n"/>
      <c r="AC865" s="23" t="n"/>
      <c r="AD865" s="25" t="n"/>
      <c r="AE865" s="23" t="n"/>
      <c r="AF865" s="25" t="n"/>
      <c r="AG865" s="25" t="n"/>
      <c r="AH865" s="23" t="n"/>
      <c r="AI865" s="23" t="n"/>
      <c r="AJ865" s="26">
        <f>IF(I865="","",I865&amp;"|"&amp;R865)</f>
        <v/>
      </c>
      <c r="AK865" s="26">
        <f>IF(I865="","",IF(ISNA(MATCH(O865,Kampanyalar!$A$2:$A$150,0)),"Hayır - Kampanyalar'da Yok","Evet"))</f>
        <v/>
      </c>
      <c r="AL865" s="27">
        <f>IF(I865="","",IFERROR(INDEX(Kampanyalar!$E$2:$E$150,MATCH(O865,Kampanyalar!$A$2:$A$150,0)),""))</f>
        <v/>
      </c>
      <c r="AM865" s="27">
        <f>IF(I865="","",IFERROR(INDEX(Kampanyalar!$F$2:$F$150,MATCH(O865,Kampanyalar!$A$2:$A$150,0)),""))</f>
        <v/>
      </c>
      <c r="AN865" s="27">
        <f>IF(I865="","",IFERROR(INDEX(Kampanyalar!$G$2:$G$150,MATCH(O865,Kampanyalar!$A$2:$A$150,0)),""))</f>
        <v/>
      </c>
      <c r="AO865" s="26">
        <f>IF(OR(I865="",AL865="",AM865=""),"",IF(AND(H865&gt;=AL865,H865&lt;=AM865),"Evet","HAYIR - Tarih Dışı"))</f>
        <v/>
      </c>
      <c r="AP865" s="28">
        <f>IF(I865="","",IFERROR(INDEX(Kampanyalar!$H$2:$H$150,MATCH(O865,Kampanyalar!$A$2:$A$150,0)),""))</f>
        <v/>
      </c>
      <c r="AQ865" s="28">
        <f>IF(I865="","",IF(ISNUMBER(AP865),AP865,AD865))</f>
        <v/>
      </c>
      <c r="AR865" s="26">
        <f>IF(I865="","",IF(Parametreler!$C$7="Evet","Kural A - Hemen Ödeme (Stok Mutabakatlı)","Kural B - Nakliye/Montaj Sonrası Ödeme"))</f>
        <v/>
      </c>
    </row>
    <row r="866">
      <c r="A866" s="23" t="n"/>
      <c r="B866" s="23" t="n"/>
      <c r="C866" s="23" t="n"/>
      <c r="D866" s="23" t="n"/>
      <c r="E866" s="23" t="n"/>
      <c r="F866" s="23" t="n"/>
      <c r="G866" s="23" t="n"/>
      <c r="H866" s="24" t="n"/>
      <c r="I866" s="23" t="n"/>
      <c r="J866" s="23" t="n"/>
      <c r="K866" s="23" t="n"/>
      <c r="L866" s="23" t="n"/>
      <c r="M866" s="23" t="n"/>
      <c r="N866" s="23" t="n"/>
      <c r="O866" s="23" t="n"/>
      <c r="P866" s="23" t="n"/>
      <c r="Q866" s="23" t="n"/>
      <c r="R866" s="23" t="n"/>
      <c r="S866" s="23" t="n"/>
      <c r="T866" s="23" t="n"/>
      <c r="U866" s="23" t="n"/>
      <c r="V866" s="23" t="n"/>
      <c r="W866" s="23" t="n"/>
      <c r="X866" s="23" t="n"/>
      <c r="Y866" s="25" t="n"/>
      <c r="Z866" s="25" t="n"/>
      <c r="AA866" s="23" t="n"/>
      <c r="AB866" s="25" t="n"/>
      <c r="AC866" s="23" t="n"/>
      <c r="AD866" s="25" t="n"/>
      <c r="AE866" s="23" t="n"/>
      <c r="AF866" s="25" t="n"/>
      <c r="AG866" s="25" t="n"/>
      <c r="AH866" s="23" t="n"/>
      <c r="AI866" s="23" t="n"/>
      <c r="AJ866" s="26">
        <f>IF(I866="","",I866&amp;"|"&amp;R866)</f>
        <v/>
      </c>
      <c r="AK866" s="26">
        <f>IF(I866="","",IF(ISNA(MATCH(O866,Kampanyalar!$A$2:$A$150,0)),"Hayır - Kampanyalar'da Yok","Evet"))</f>
        <v/>
      </c>
      <c r="AL866" s="27">
        <f>IF(I866="","",IFERROR(INDEX(Kampanyalar!$E$2:$E$150,MATCH(O866,Kampanyalar!$A$2:$A$150,0)),""))</f>
        <v/>
      </c>
      <c r="AM866" s="27">
        <f>IF(I866="","",IFERROR(INDEX(Kampanyalar!$F$2:$F$150,MATCH(O866,Kampanyalar!$A$2:$A$150,0)),""))</f>
        <v/>
      </c>
      <c r="AN866" s="27">
        <f>IF(I866="","",IFERROR(INDEX(Kampanyalar!$G$2:$G$150,MATCH(O866,Kampanyalar!$A$2:$A$150,0)),""))</f>
        <v/>
      </c>
      <c r="AO866" s="26">
        <f>IF(OR(I866="",AL866="",AM866=""),"",IF(AND(H866&gt;=AL866,H866&lt;=AM866),"Evet","HAYIR - Tarih Dışı"))</f>
        <v/>
      </c>
      <c r="AP866" s="28">
        <f>IF(I866="","",IFERROR(INDEX(Kampanyalar!$H$2:$H$150,MATCH(O866,Kampanyalar!$A$2:$A$150,0)),""))</f>
        <v/>
      </c>
      <c r="AQ866" s="28">
        <f>IF(I866="","",IF(ISNUMBER(AP866),AP866,AD866))</f>
        <v/>
      </c>
      <c r="AR866" s="26">
        <f>IF(I866="","",IF(Parametreler!$C$7="Evet","Kural A - Hemen Ödeme (Stok Mutabakatlı)","Kural B - Nakliye/Montaj Sonrası Ödeme"))</f>
        <v/>
      </c>
    </row>
    <row r="867">
      <c r="A867" s="23" t="n"/>
      <c r="B867" s="23" t="n"/>
      <c r="C867" s="23" t="n"/>
      <c r="D867" s="23" t="n"/>
      <c r="E867" s="23" t="n"/>
      <c r="F867" s="23" t="n"/>
      <c r="G867" s="23" t="n"/>
      <c r="H867" s="24" t="n"/>
      <c r="I867" s="23" t="n"/>
      <c r="J867" s="23" t="n"/>
      <c r="K867" s="23" t="n"/>
      <c r="L867" s="23" t="n"/>
      <c r="M867" s="23" t="n"/>
      <c r="N867" s="23" t="n"/>
      <c r="O867" s="23" t="n"/>
      <c r="P867" s="23" t="n"/>
      <c r="Q867" s="23" t="n"/>
      <c r="R867" s="23" t="n"/>
      <c r="S867" s="23" t="n"/>
      <c r="T867" s="23" t="n"/>
      <c r="U867" s="23" t="n"/>
      <c r="V867" s="23" t="n"/>
      <c r="W867" s="23" t="n"/>
      <c r="X867" s="23" t="n"/>
      <c r="Y867" s="25" t="n"/>
      <c r="Z867" s="25" t="n"/>
      <c r="AA867" s="23" t="n"/>
      <c r="AB867" s="25" t="n"/>
      <c r="AC867" s="23" t="n"/>
      <c r="AD867" s="25" t="n"/>
      <c r="AE867" s="23" t="n"/>
      <c r="AF867" s="25" t="n"/>
      <c r="AG867" s="25" t="n"/>
      <c r="AH867" s="23" t="n"/>
      <c r="AI867" s="23" t="n"/>
      <c r="AJ867" s="26">
        <f>IF(I867="","",I867&amp;"|"&amp;R867)</f>
        <v/>
      </c>
      <c r="AK867" s="26">
        <f>IF(I867="","",IF(ISNA(MATCH(O867,Kampanyalar!$A$2:$A$150,0)),"Hayır - Kampanyalar'da Yok","Evet"))</f>
        <v/>
      </c>
      <c r="AL867" s="27">
        <f>IF(I867="","",IFERROR(INDEX(Kampanyalar!$E$2:$E$150,MATCH(O867,Kampanyalar!$A$2:$A$150,0)),""))</f>
        <v/>
      </c>
      <c r="AM867" s="27">
        <f>IF(I867="","",IFERROR(INDEX(Kampanyalar!$F$2:$F$150,MATCH(O867,Kampanyalar!$A$2:$A$150,0)),""))</f>
        <v/>
      </c>
      <c r="AN867" s="27">
        <f>IF(I867="","",IFERROR(INDEX(Kampanyalar!$G$2:$G$150,MATCH(O867,Kampanyalar!$A$2:$A$150,0)),""))</f>
        <v/>
      </c>
      <c r="AO867" s="26">
        <f>IF(OR(I867="",AL867="",AM867=""),"",IF(AND(H867&gt;=AL867,H867&lt;=AM867),"Evet","HAYIR - Tarih Dışı"))</f>
        <v/>
      </c>
      <c r="AP867" s="28">
        <f>IF(I867="","",IFERROR(INDEX(Kampanyalar!$H$2:$H$150,MATCH(O867,Kampanyalar!$A$2:$A$150,0)),""))</f>
        <v/>
      </c>
      <c r="AQ867" s="28">
        <f>IF(I867="","",IF(ISNUMBER(AP867),AP867,AD867))</f>
        <v/>
      </c>
      <c r="AR867" s="26">
        <f>IF(I867="","",IF(Parametreler!$C$7="Evet","Kural A - Hemen Ödeme (Stok Mutabakatlı)","Kural B - Nakliye/Montaj Sonrası Ödeme"))</f>
        <v/>
      </c>
    </row>
    <row r="868">
      <c r="A868" s="23" t="n"/>
      <c r="B868" s="23" t="n"/>
      <c r="C868" s="23" t="n"/>
      <c r="D868" s="23" t="n"/>
      <c r="E868" s="23" t="n"/>
      <c r="F868" s="23" t="n"/>
      <c r="G868" s="23" t="n"/>
      <c r="H868" s="24" t="n"/>
      <c r="I868" s="23" t="n"/>
      <c r="J868" s="23" t="n"/>
      <c r="K868" s="23" t="n"/>
      <c r="L868" s="23" t="n"/>
      <c r="M868" s="23" t="n"/>
      <c r="N868" s="23" t="n"/>
      <c r="O868" s="23" t="n"/>
      <c r="P868" s="23" t="n"/>
      <c r="Q868" s="23" t="n"/>
      <c r="R868" s="23" t="n"/>
      <c r="S868" s="23" t="n"/>
      <c r="T868" s="23" t="n"/>
      <c r="U868" s="23" t="n"/>
      <c r="V868" s="23" t="n"/>
      <c r="W868" s="23" t="n"/>
      <c r="X868" s="23" t="n"/>
      <c r="Y868" s="25" t="n"/>
      <c r="Z868" s="25" t="n"/>
      <c r="AA868" s="23" t="n"/>
      <c r="AB868" s="25" t="n"/>
      <c r="AC868" s="23" t="n"/>
      <c r="AD868" s="25" t="n"/>
      <c r="AE868" s="23" t="n"/>
      <c r="AF868" s="25" t="n"/>
      <c r="AG868" s="25" t="n"/>
      <c r="AH868" s="23" t="n"/>
      <c r="AI868" s="23" t="n"/>
      <c r="AJ868" s="26">
        <f>IF(I868="","",I868&amp;"|"&amp;R868)</f>
        <v/>
      </c>
      <c r="AK868" s="26">
        <f>IF(I868="","",IF(ISNA(MATCH(O868,Kampanyalar!$A$2:$A$150,0)),"Hayır - Kampanyalar'da Yok","Evet"))</f>
        <v/>
      </c>
      <c r="AL868" s="27">
        <f>IF(I868="","",IFERROR(INDEX(Kampanyalar!$E$2:$E$150,MATCH(O868,Kampanyalar!$A$2:$A$150,0)),""))</f>
        <v/>
      </c>
      <c r="AM868" s="27">
        <f>IF(I868="","",IFERROR(INDEX(Kampanyalar!$F$2:$F$150,MATCH(O868,Kampanyalar!$A$2:$A$150,0)),""))</f>
        <v/>
      </c>
      <c r="AN868" s="27">
        <f>IF(I868="","",IFERROR(INDEX(Kampanyalar!$G$2:$G$150,MATCH(O868,Kampanyalar!$A$2:$A$150,0)),""))</f>
        <v/>
      </c>
      <c r="AO868" s="26">
        <f>IF(OR(I868="",AL868="",AM868=""),"",IF(AND(H868&gt;=AL868,H868&lt;=AM868),"Evet","HAYIR - Tarih Dışı"))</f>
        <v/>
      </c>
      <c r="AP868" s="28">
        <f>IF(I868="","",IFERROR(INDEX(Kampanyalar!$H$2:$H$150,MATCH(O868,Kampanyalar!$A$2:$A$150,0)),""))</f>
        <v/>
      </c>
      <c r="AQ868" s="28">
        <f>IF(I868="","",IF(ISNUMBER(AP868),AP868,AD868))</f>
        <v/>
      </c>
      <c r="AR868" s="26">
        <f>IF(I868="","",IF(Parametreler!$C$7="Evet","Kural A - Hemen Ödeme (Stok Mutabakatlı)","Kural B - Nakliye/Montaj Sonrası Ödeme"))</f>
        <v/>
      </c>
    </row>
    <row r="869">
      <c r="A869" s="23" t="n"/>
      <c r="B869" s="23" t="n"/>
      <c r="C869" s="23" t="n"/>
      <c r="D869" s="23" t="n"/>
      <c r="E869" s="23" t="n"/>
      <c r="F869" s="23" t="n"/>
      <c r="G869" s="23" t="n"/>
      <c r="H869" s="24" t="n"/>
      <c r="I869" s="23" t="n"/>
      <c r="J869" s="23" t="n"/>
      <c r="K869" s="23" t="n"/>
      <c r="L869" s="23" t="n"/>
      <c r="M869" s="23" t="n"/>
      <c r="N869" s="23" t="n"/>
      <c r="O869" s="23" t="n"/>
      <c r="P869" s="23" t="n"/>
      <c r="Q869" s="23" t="n"/>
      <c r="R869" s="23" t="n"/>
      <c r="S869" s="23" t="n"/>
      <c r="T869" s="23" t="n"/>
      <c r="U869" s="23" t="n"/>
      <c r="V869" s="23" t="n"/>
      <c r="W869" s="23" t="n"/>
      <c r="X869" s="23" t="n"/>
      <c r="Y869" s="25" t="n"/>
      <c r="Z869" s="25" t="n"/>
      <c r="AA869" s="23" t="n"/>
      <c r="AB869" s="25" t="n"/>
      <c r="AC869" s="23" t="n"/>
      <c r="AD869" s="25" t="n"/>
      <c r="AE869" s="23" t="n"/>
      <c r="AF869" s="25" t="n"/>
      <c r="AG869" s="25" t="n"/>
      <c r="AH869" s="23" t="n"/>
      <c r="AI869" s="23" t="n"/>
      <c r="AJ869" s="26">
        <f>IF(I869="","",I869&amp;"|"&amp;R869)</f>
        <v/>
      </c>
      <c r="AK869" s="26">
        <f>IF(I869="","",IF(ISNA(MATCH(O869,Kampanyalar!$A$2:$A$150,0)),"Hayır - Kampanyalar'da Yok","Evet"))</f>
        <v/>
      </c>
      <c r="AL869" s="27">
        <f>IF(I869="","",IFERROR(INDEX(Kampanyalar!$E$2:$E$150,MATCH(O869,Kampanyalar!$A$2:$A$150,0)),""))</f>
        <v/>
      </c>
      <c r="AM869" s="27">
        <f>IF(I869="","",IFERROR(INDEX(Kampanyalar!$F$2:$F$150,MATCH(O869,Kampanyalar!$A$2:$A$150,0)),""))</f>
        <v/>
      </c>
      <c r="AN869" s="27">
        <f>IF(I869="","",IFERROR(INDEX(Kampanyalar!$G$2:$G$150,MATCH(O869,Kampanyalar!$A$2:$A$150,0)),""))</f>
        <v/>
      </c>
      <c r="AO869" s="26">
        <f>IF(OR(I869="",AL869="",AM869=""),"",IF(AND(H869&gt;=AL869,H869&lt;=AM869),"Evet","HAYIR - Tarih Dışı"))</f>
        <v/>
      </c>
      <c r="AP869" s="28">
        <f>IF(I869="","",IFERROR(INDEX(Kampanyalar!$H$2:$H$150,MATCH(O869,Kampanyalar!$A$2:$A$150,0)),""))</f>
        <v/>
      </c>
      <c r="AQ869" s="28">
        <f>IF(I869="","",IF(ISNUMBER(AP869),AP869,AD869))</f>
        <v/>
      </c>
      <c r="AR869" s="26">
        <f>IF(I869="","",IF(Parametreler!$C$7="Evet","Kural A - Hemen Ödeme (Stok Mutabakatlı)","Kural B - Nakliye/Montaj Sonrası Ödeme"))</f>
        <v/>
      </c>
    </row>
    <row r="870">
      <c r="A870" s="23" t="n"/>
      <c r="B870" s="23" t="n"/>
      <c r="C870" s="23" t="n"/>
      <c r="D870" s="23" t="n"/>
      <c r="E870" s="23" t="n"/>
      <c r="F870" s="23" t="n"/>
      <c r="G870" s="23" t="n"/>
      <c r="H870" s="24" t="n"/>
      <c r="I870" s="23" t="n"/>
      <c r="J870" s="23" t="n"/>
      <c r="K870" s="23" t="n"/>
      <c r="L870" s="23" t="n"/>
      <c r="M870" s="23" t="n"/>
      <c r="N870" s="23" t="n"/>
      <c r="O870" s="23" t="n"/>
      <c r="P870" s="23" t="n"/>
      <c r="Q870" s="23" t="n"/>
      <c r="R870" s="23" t="n"/>
      <c r="S870" s="23" t="n"/>
      <c r="T870" s="23" t="n"/>
      <c r="U870" s="23" t="n"/>
      <c r="V870" s="23" t="n"/>
      <c r="W870" s="23" t="n"/>
      <c r="X870" s="23" t="n"/>
      <c r="Y870" s="25" t="n"/>
      <c r="Z870" s="25" t="n"/>
      <c r="AA870" s="23" t="n"/>
      <c r="AB870" s="25" t="n"/>
      <c r="AC870" s="23" t="n"/>
      <c r="AD870" s="25" t="n"/>
      <c r="AE870" s="23" t="n"/>
      <c r="AF870" s="25" t="n"/>
      <c r="AG870" s="25" t="n"/>
      <c r="AH870" s="23" t="n"/>
      <c r="AI870" s="23" t="n"/>
      <c r="AJ870" s="26">
        <f>IF(I870="","",I870&amp;"|"&amp;R870)</f>
        <v/>
      </c>
      <c r="AK870" s="26">
        <f>IF(I870="","",IF(ISNA(MATCH(O870,Kampanyalar!$A$2:$A$150,0)),"Hayır - Kampanyalar'da Yok","Evet"))</f>
        <v/>
      </c>
      <c r="AL870" s="27">
        <f>IF(I870="","",IFERROR(INDEX(Kampanyalar!$E$2:$E$150,MATCH(O870,Kampanyalar!$A$2:$A$150,0)),""))</f>
        <v/>
      </c>
      <c r="AM870" s="27">
        <f>IF(I870="","",IFERROR(INDEX(Kampanyalar!$F$2:$F$150,MATCH(O870,Kampanyalar!$A$2:$A$150,0)),""))</f>
        <v/>
      </c>
      <c r="AN870" s="27">
        <f>IF(I870="","",IFERROR(INDEX(Kampanyalar!$G$2:$G$150,MATCH(O870,Kampanyalar!$A$2:$A$150,0)),""))</f>
        <v/>
      </c>
      <c r="AO870" s="26">
        <f>IF(OR(I870="",AL870="",AM870=""),"",IF(AND(H870&gt;=AL870,H870&lt;=AM870),"Evet","HAYIR - Tarih Dışı"))</f>
        <v/>
      </c>
      <c r="AP870" s="28">
        <f>IF(I870="","",IFERROR(INDEX(Kampanyalar!$H$2:$H$150,MATCH(O870,Kampanyalar!$A$2:$A$150,0)),""))</f>
        <v/>
      </c>
      <c r="AQ870" s="28">
        <f>IF(I870="","",IF(ISNUMBER(AP870),AP870,AD870))</f>
        <v/>
      </c>
      <c r="AR870" s="26">
        <f>IF(I870="","",IF(Parametreler!$C$7="Evet","Kural A - Hemen Ödeme (Stok Mutabakatlı)","Kural B - Nakliye/Montaj Sonrası Ödeme"))</f>
        <v/>
      </c>
    </row>
    <row r="871">
      <c r="A871" s="23" t="n"/>
      <c r="B871" s="23" t="n"/>
      <c r="C871" s="23" t="n"/>
      <c r="D871" s="23" t="n"/>
      <c r="E871" s="23" t="n"/>
      <c r="F871" s="23" t="n"/>
      <c r="G871" s="23" t="n"/>
      <c r="H871" s="24" t="n"/>
      <c r="I871" s="23" t="n"/>
      <c r="J871" s="23" t="n"/>
      <c r="K871" s="23" t="n"/>
      <c r="L871" s="23" t="n"/>
      <c r="M871" s="23" t="n"/>
      <c r="N871" s="23" t="n"/>
      <c r="O871" s="23" t="n"/>
      <c r="P871" s="23" t="n"/>
      <c r="Q871" s="23" t="n"/>
      <c r="R871" s="23" t="n"/>
      <c r="S871" s="23" t="n"/>
      <c r="T871" s="23" t="n"/>
      <c r="U871" s="23" t="n"/>
      <c r="V871" s="23" t="n"/>
      <c r="W871" s="23" t="n"/>
      <c r="X871" s="23" t="n"/>
      <c r="Y871" s="25" t="n"/>
      <c r="Z871" s="25" t="n"/>
      <c r="AA871" s="23" t="n"/>
      <c r="AB871" s="25" t="n"/>
      <c r="AC871" s="23" t="n"/>
      <c r="AD871" s="25" t="n"/>
      <c r="AE871" s="23" t="n"/>
      <c r="AF871" s="25" t="n"/>
      <c r="AG871" s="25" t="n"/>
      <c r="AH871" s="23" t="n"/>
      <c r="AI871" s="23" t="n"/>
      <c r="AJ871" s="26">
        <f>IF(I871="","",I871&amp;"|"&amp;R871)</f>
        <v/>
      </c>
      <c r="AK871" s="26">
        <f>IF(I871="","",IF(ISNA(MATCH(O871,Kampanyalar!$A$2:$A$150,0)),"Hayır - Kampanyalar'da Yok","Evet"))</f>
        <v/>
      </c>
      <c r="AL871" s="27">
        <f>IF(I871="","",IFERROR(INDEX(Kampanyalar!$E$2:$E$150,MATCH(O871,Kampanyalar!$A$2:$A$150,0)),""))</f>
        <v/>
      </c>
      <c r="AM871" s="27">
        <f>IF(I871="","",IFERROR(INDEX(Kampanyalar!$F$2:$F$150,MATCH(O871,Kampanyalar!$A$2:$A$150,0)),""))</f>
        <v/>
      </c>
      <c r="AN871" s="27">
        <f>IF(I871="","",IFERROR(INDEX(Kampanyalar!$G$2:$G$150,MATCH(O871,Kampanyalar!$A$2:$A$150,0)),""))</f>
        <v/>
      </c>
      <c r="AO871" s="26">
        <f>IF(OR(I871="",AL871="",AM871=""),"",IF(AND(H871&gt;=AL871,H871&lt;=AM871),"Evet","HAYIR - Tarih Dışı"))</f>
        <v/>
      </c>
      <c r="AP871" s="28">
        <f>IF(I871="","",IFERROR(INDEX(Kampanyalar!$H$2:$H$150,MATCH(O871,Kampanyalar!$A$2:$A$150,0)),""))</f>
        <v/>
      </c>
      <c r="AQ871" s="28">
        <f>IF(I871="","",IF(ISNUMBER(AP871),AP871,AD871))</f>
        <v/>
      </c>
      <c r="AR871" s="26">
        <f>IF(I871="","",IF(Parametreler!$C$7="Evet","Kural A - Hemen Ödeme (Stok Mutabakatlı)","Kural B - Nakliye/Montaj Sonrası Ödeme"))</f>
        <v/>
      </c>
    </row>
    <row r="872">
      <c r="A872" s="23" t="n"/>
      <c r="B872" s="23" t="n"/>
      <c r="C872" s="23" t="n"/>
      <c r="D872" s="23" t="n"/>
      <c r="E872" s="23" t="n"/>
      <c r="F872" s="23" t="n"/>
      <c r="G872" s="23" t="n"/>
      <c r="H872" s="24" t="n"/>
      <c r="I872" s="23" t="n"/>
      <c r="J872" s="23" t="n"/>
      <c r="K872" s="23" t="n"/>
      <c r="L872" s="23" t="n"/>
      <c r="M872" s="23" t="n"/>
      <c r="N872" s="23" t="n"/>
      <c r="O872" s="23" t="n"/>
      <c r="P872" s="23" t="n"/>
      <c r="Q872" s="23" t="n"/>
      <c r="R872" s="23" t="n"/>
      <c r="S872" s="23" t="n"/>
      <c r="T872" s="23" t="n"/>
      <c r="U872" s="23" t="n"/>
      <c r="V872" s="23" t="n"/>
      <c r="W872" s="23" t="n"/>
      <c r="X872" s="23" t="n"/>
      <c r="Y872" s="25" t="n"/>
      <c r="Z872" s="25" t="n"/>
      <c r="AA872" s="23" t="n"/>
      <c r="AB872" s="25" t="n"/>
      <c r="AC872" s="23" t="n"/>
      <c r="AD872" s="25" t="n"/>
      <c r="AE872" s="23" t="n"/>
      <c r="AF872" s="25" t="n"/>
      <c r="AG872" s="25" t="n"/>
      <c r="AH872" s="23" t="n"/>
      <c r="AI872" s="23" t="n"/>
      <c r="AJ872" s="26">
        <f>IF(I872="","",I872&amp;"|"&amp;R872)</f>
        <v/>
      </c>
      <c r="AK872" s="26">
        <f>IF(I872="","",IF(ISNA(MATCH(O872,Kampanyalar!$A$2:$A$150,0)),"Hayır - Kampanyalar'da Yok","Evet"))</f>
        <v/>
      </c>
      <c r="AL872" s="27">
        <f>IF(I872="","",IFERROR(INDEX(Kampanyalar!$E$2:$E$150,MATCH(O872,Kampanyalar!$A$2:$A$150,0)),""))</f>
        <v/>
      </c>
      <c r="AM872" s="27">
        <f>IF(I872="","",IFERROR(INDEX(Kampanyalar!$F$2:$F$150,MATCH(O872,Kampanyalar!$A$2:$A$150,0)),""))</f>
        <v/>
      </c>
      <c r="AN872" s="27">
        <f>IF(I872="","",IFERROR(INDEX(Kampanyalar!$G$2:$G$150,MATCH(O872,Kampanyalar!$A$2:$A$150,0)),""))</f>
        <v/>
      </c>
      <c r="AO872" s="26">
        <f>IF(OR(I872="",AL872="",AM872=""),"",IF(AND(H872&gt;=AL872,H872&lt;=AM872),"Evet","HAYIR - Tarih Dışı"))</f>
        <v/>
      </c>
      <c r="AP872" s="28">
        <f>IF(I872="","",IFERROR(INDEX(Kampanyalar!$H$2:$H$150,MATCH(O872,Kampanyalar!$A$2:$A$150,0)),""))</f>
        <v/>
      </c>
      <c r="AQ872" s="28">
        <f>IF(I872="","",IF(ISNUMBER(AP872),AP872,AD872))</f>
        <v/>
      </c>
      <c r="AR872" s="26">
        <f>IF(I872="","",IF(Parametreler!$C$7="Evet","Kural A - Hemen Ödeme (Stok Mutabakatlı)","Kural B - Nakliye/Montaj Sonrası Ödeme"))</f>
        <v/>
      </c>
    </row>
    <row r="873">
      <c r="A873" s="23" t="n"/>
      <c r="B873" s="23" t="n"/>
      <c r="C873" s="23" t="n"/>
      <c r="D873" s="23" t="n"/>
      <c r="E873" s="23" t="n"/>
      <c r="F873" s="23" t="n"/>
      <c r="G873" s="23" t="n"/>
      <c r="H873" s="24" t="n"/>
      <c r="I873" s="23" t="n"/>
      <c r="J873" s="23" t="n"/>
      <c r="K873" s="23" t="n"/>
      <c r="L873" s="23" t="n"/>
      <c r="M873" s="23" t="n"/>
      <c r="N873" s="23" t="n"/>
      <c r="O873" s="23" t="n"/>
      <c r="P873" s="23" t="n"/>
      <c r="Q873" s="23" t="n"/>
      <c r="R873" s="23" t="n"/>
      <c r="S873" s="23" t="n"/>
      <c r="T873" s="23" t="n"/>
      <c r="U873" s="23" t="n"/>
      <c r="V873" s="23" t="n"/>
      <c r="W873" s="23" t="n"/>
      <c r="X873" s="23" t="n"/>
      <c r="Y873" s="25" t="n"/>
      <c r="Z873" s="25" t="n"/>
      <c r="AA873" s="23" t="n"/>
      <c r="AB873" s="25" t="n"/>
      <c r="AC873" s="23" t="n"/>
      <c r="AD873" s="25" t="n"/>
      <c r="AE873" s="23" t="n"/>
      <c r="AF873" s="25" t="n"/>
      <c r="AG873" s="25" t="n"/>
      <c r="AH873" s="23" t="n"/>
      <c r="AI873" s="23" t="n"/>
      <c r="AJ873" s="26">
        <f>IF(I873="","",I873&amp;"|"&amp;R873)</f>
        <v/>
      </c>
      <c r="AK873" s="26">
        <f>IF(I873="","",IF(ISNA(MATCH(O873,Kampanyalar!$A$2:$A$150,0)),"Hayır - Kampanyalar'da Yok","Evet"))</f>
        <v/>
      </c>
      <c r="AL873" s="27">
        <f>IF(I873="","",IFERROR(INDEX(Kampanyalar!$E$2:$E$150,MATCH(O873,Kampanyalar!$A$2:$A$150,0)),""))</f>
        <v/>
      </c>
      <c r="AM873" s="27">
        <f>IF(I873="","",IFERROR(INDEX(Kampanyalar!$F$2:$F$150,MATCH(O873,Kampanyalar!$A$2:$A$150,0)),""))</f>
        <v/>
      </c>
      <c r="AN873" s="27">
        <f>IF(I873="","",IFERROR(INDEX(Kampanyalar!$G$2:$G$150,MATCH(O873,Kampanyalar!$A$2:$A$150,0)),""))</f>
        <v/>
      </c>
      <c r="AO873" s="26">
        <f>IF(OR(I873="",AL873="",AM873=""),"",IF(AND(H873&gt;=AL873,H873&lt;=AM873),"Evet","HAYIR - Tarih Dışı"))</f>
        <v/>
      </c>
      <c r="AP873" s="28">
        <f>IF(I873="","",IFERROR(INDEX(Kampanyalar!$H$2:$H$150,MATCH(O873,Kampanyalar!$A$2:$A$150,0)),""))</f>
        <v/>
      </c>
      <c r="AQ873" s="28">
        <f>IF(I873="","",IF(ISNUMBER(AP873),AP873,AD873))</f>
        <v/>
      </c>
      <c r="AR873" s="26">
        <f>IF(I873="","",IF(Parametreler!$C$7="Evet","Kural A - Hemen Ödeme (Stok Mutabakatlı)","Kural B - Nakliye/Montaj Sonrası Ödeme"))</f>
        <v/>
      </c>
    </row>
    <row r="874">
      <c r="A874" s="23" t="n"/>
      <c r="B874" s="23" t="n"/>
      <c r="C874" s="23" t="n"/>
      <c r="D874" s="23" t="n"/>
      <c r="E874" s="23" t="n"/>
      <c r="F874" s="23" t="n"/>
      <c r="G874" s="23" t="n"/>
      <c r="H874" s="24" t="n"/>
      <c r="I874" s="23" t="n"/>
      <c r="J874" s="23" t="n"/>
      <c r="K874" s="23" t="n"/>
      <c r="L874" s="23" t="n"/>
      <c r="M874" s="23" t="n"/>
      <c r="N874" s="23" t="n"/>
      <c r="O874" s="23" t="n"/>
      <c r="P874" s="23" t="n"/>
      <c r="Q874" s="23" t="n"/>
      <c r="R874" s="23" t="n"/>
      <c r="S874" s="23" t="n"/>
      <c r="T874" s="23" t="n"/>
      <c r="U874" s="23" t="n"/>
      <c r="V874" s="23" t="n"/>
      <c r="W874" s="23" t="n"/>
      <c r="X874" s="23" t="n"/>
      <c r="Y874" s="25" t="n"/>
      <c r="Z874" s="25" t="n"/>
      <c r="AA874" s="23" t="n"/>
      <c r="AB874" s="25" t="n"/>
      <c r="AC874" s="23" t="n"/>
      <c r="AD874" s="25" t="n"/>
      <c r="AE874" s="23" t="n"/>
      <c r="AF874" s="25" t="n"/>
      <c r="AG874" s="25" t="n"/>
      <c r="AH874" s="23" t="n"/>
      <c r="AI874" s="23" t="n"/>
      <c r="AJ874" s="26">
        <f>IF(I874="","",I874&amp;"|"&amp;R874)</f>
        <v/>
      </c>
      <c r="AK874" s="26">
        <f>IF(I874="","",IF(ISNA(MATCH(O874,Kampanyalar!$A$2:$A$150,0)),"Hayır - Kampanyalar'da Yok","Evet"))</f>
        <v/>
      </c>
      <c r="AL874" s="27">
        <f>IF(I874="","",IFERROR(INDEX(Kampanyalar!$E$2:$E$150,MATCH(O874,Kampanyalar!$A$2:$A$150,0)),""))</f>
        <v/>
      </c>
      <c r="AM874" s="27">
        <f>IF(I874="","",IFERROR(INDEX(Kampanyalar!$F$2:$F$150,MATCH(O874,Kampanyalar!$A$2:$A$150,0)),""))</f>
        <v/>
      </c>
      <c r="AN874" s="27">
        <f>IF(I874="","",IFERROR(INDEX(Kampanyalar!$G$2:$G$150,MATCH(O874,Kampanyalar!$A$2:$A$150,0)),""))</f>
        <v/>
      </c>
      <c r="AO874" s="26">
        <f>IF(OR(I874="",AL874="",AM874=""),"",IF(AND(H874&gt;=AL874,H874&lt;=AM874),"Evet","HAYIR - Tarih Dışı"))</f>
        <v/>
      </c>
      <c r="AP874" s="28">
        <f>IF(I874="","",IFERROR(INDEX(Kampanyalar!$H$2:$H$150,MATCH(O874,Kampanyalar!$A$2:$A$150,0)),""))</f>
        <v/>
      </c>
      <c r="AQ874" s="28">
        <f>IF(I874="","",IF(ISNUMBER(AP874),AP874,AD874))</f>
        <v/>
      </c>
      <c r="AR874" s="26">
        <f>IF(I874="","",IF(Parametreler!$C$7="Evet","Kural A - Hemen Ödeme (Stok Mutabakatlı)","Kural B - Nakliye/Montaj Sonrası Ödeme"))</f>
        <v/>
      </c>
    </row>
    <row r="875">
      <c r="A875" s="23" t="n"/>
      <c r="B875" s="23" t="n"/>
      <c r="C875" s="23" t="n"/>
      <c r="D875" s="23" t="n"/>
      <c r="E875" s="23" t="n"/>
      <c r="F875" s="23" t="n"/>
      <c r="G875" s="23" t="n"/>
      <c r="H875" s="24" t="n"/>
      <c r="I875" s="23" t="n"/>
      <c r="J875" s="23" t="n"/>
      <c r="K875" s="23" t="n"/>
      <c r="L875" s="23" t="n"/>
      <c r="M875" s="23" t="n"/>
      <c r="N875" s="23" t="n"/>
      <c r="O875" s="23" t="n"/>
      <c r="P875" s="23" t="n"/>
      <c r="Q875" s="23" t="n"/>
      <c r="R875" s="23" t="n"/>
      <c r="S875" s="23" t="n"/>
      <c r="T875" s="23" t="n"/>
      <c r="U875" s="23" t="n"/>
      <c r="V875" s="23" t="n"/>
      <c r="W875" s="23" t="n"/>
      <c r="X875" s="23" t="n"/>
      <c r="Y875" s="25" t="n"/>
      <c r="Z875" s="25" t="n"/>
      <c r="AA875" s="23" t="n"/>
      <c r="AB875" s="25" t="n"/>
      <c r="AC875" s="23" t="n"/>
      <c r="AD875" s="25" t="n"/>
      <c r="AE875" s="23" t="n"/>
      <c r="AF875" s="25" t="n"/>
      <c r="AG875" s="25" t="n"/>
      <c r="AH875" s="23" t="n"/>
      <c r="AI875" s="23" t="n"/>
      <c r="AJ875" s="26">
        <f>IF(I875="","",I875&amp;"|"&amp;R875)</f>
        <v/>
      </c>
      <c r="AK875" s="26">
        <f>IF(I875="","",IF(ISNA(MATCH(O875,Kampanyalar!$A$2:$A$150,0)),"Hayır - Kampanyalar'da Yok","Evet"))</f>
        <v/>
      </c>
      <c r="AL875" s="27">
        <f>IF(I875="","",IFERROR(INDEX(Kampanyalar!$E$2:$E$150,MATCH(O875,Kampanyalar!$A$2:$A$150,0)),""))</f>
        <v/>
      </c>
      <c r="AM875" s="27">
        <f>IF(I875="","",IFERROR(INDEX(Kampanyalar!$F$2:$F$150,MATCH(O875,Kampanyalar!$A$2:$A$150,0)),""))</f>
        <v/>
      </c>
      <c r="AN875" s="27">
        <f>IF(I875="","",IFERROR(INDEX(Kampanyalar!$G$2:$G$150,MATCH(O875,Kampanyalar!$A$2:$A$150,0)),""))</f>
        <v/>
      </c>
      <c r="AO875" s="26">
        <f>IF(OR(I875="",AL875="",AM875=""),"",IF(AND(H875&gt;=AL875,H875&lt;=AM875),"Evet","HAYIR - Tarih Dışı"))</f>
        <v/>
      </c>
      <c r="AP875" s="28">
        <f>IF(I875="","",IFERROR(INDEX(Kampanyalar!$H$2:$H$150,MATCH(O875,Kampanyalar!$A$2:$A$150,0)),""))</f>
        <v/>
      </c>
      <c r="AQ875" s="28">
        <f>IF(I875="","",IF(ISNUMBER(AP875),AP875,AD875))</f>
        <v/>
      </c>
      <c r="AR875" s="26">
        <f>IF(I875="","",IF(Parametreler!$C$7="Evet","Kural A - Hemen Ödeme (Stok Mutabakatlı)","Kural B - Nakliye/Montaj Sonrası Ödeme"))</f>
        <v/>
      </c>
    </row>
    <row r="876">
      <c r="A876" s="23" t="n"/>
      <c r="B876" s="23" t="n"/>
      <c r="C876" s="23" t="n"/>
      <c r="D876" s="23" t="n"/>
      <c r="E876" s="23" t="n"/>
      <c r="F876" s="23" t="n"/>
      <c r="G876" s="23" t="n"/>
      <c r="H876" s="24" t="n"/>
      <c r="I876" s="23" t="n"/>
      <c r="J876" s="23" t="n"/>
      <c r="K876" s="23" t="n"/>
      <c r="L876" s="23" t="n"/>
      <c r="M876" s="23" t="n"/>
      <c r="N876" s="23" t="n"/>
      <c r="O876" s="23" t="n"/>
      <c r="P876" s="23" t="n"/>
      <c r="Q876" s="23" t="n"/>
      <c r="R876" s="23" t="n"/>
      <c r="S876" s="23" t="n"/>
      <c r="T876" s="23" t="n"/>
      <c r="U876" s="23" t="n"/>
      <c r="V876" s="23" t="n"/>
      <c r="W876" s="23" t="n"/>
      <c r="X876" s="23" t="n"/>
      <c r="Y876" s="25" t="n"/>
      <c r="Z876" s="25" t="n"/>
      <c r="AA876" s="23" t="n"/>
      <c r="AB876" s="25" t="n"/>
      <c r="AC876" s="23" t="n"/>
      <c r="AD876" s="25" t="n"/>
      <c r="AE876" s="23" t="n"/>
      <c r="AF876" s="25" t="n"/>
      <c r="AG876" s="25" t="n"/>
      <c r="AH876" s="23" t="n"/>
      <c r="AI876" s="23" t="n"/>
      <c r="AJ876" s="26">
        <f>IF(I876="","",I876&amp;"|"&amp;R876)</f>
        <v/>
      </c>
      <c r="AK876" s="26">
        <f>IF(I876="","",IF(ISNA(MATCH(O876,Kampanyalar!$A$2:$A$150,0)),"Hayır - Kampanyalar'da Yok","Evet"))</f>
        <v/>
      </c>
      <c r="AL876" s="27">
        <f>IF(I876="","",IFERROR(INDEX(Kampanyalar!$E$2:$E$150,MATCH(O876,Kampanyalar!$A$2:$A$150,0)),""))</f>
        <v/>
      </c>
      <c r="AM876" s="27">
        <f>IF(I876="","",IFERROR(INDEX(Kampanyalar!$F$2:$F$150,MATCH(O876,Kampanyalar!$A$2:$A$150,0)),""))</f>
        <v/>
      </c>
      <c r="AN876" s="27">
        <f>IF(I876="","",IFERROR(INDEX(Kampanyalar!$G$2:$G$150,MATCH(O876,Kampanyalar!$A$2:$A$150,0)),""))</f>
        <v/>
      </c>
      <c r="AO876" s="26">
        <f>IF(OR(I876="",AL876="",AM876=""),"",IF(AND(H876&gt;=AL876,H876&lt;=AM876),"Evet","HAYIR - Tarih Dışı"))</f>
        <v/>
      </c>
      <c r="AP876" s="28">
        <f>IF(I876="","",IFERROR(INDEX(Kampanyalar!$H$2:$H$150,MATCH(O876,Kampanyalar!$A$2:$A$150,0)),""))</f>
        <v/>
      </c>
      <c r="AQ876" s="28">
        <f>IF(I876="","",IF(ISNUMBER(AP876),AP876,AD876))</f>
        <v/>
      </c>
      <c r="AR876" s="26">
        <f>IF(I876="","",IF(Parametreler!$C$7="Evet","Kural A - Hemen Ödeme (Stok Mutabakatlı)","Kural B - Nakliye/Montaj Sonrası Ödeme"))</f>
        <v/>
      </c>
    </row>
    <row r="877">
      <c r="A877" s="23" t="n"/>
      <c r="B877" s="23" t="n"/>
      <c r="C877" s="23" t="n"/>
      <c r="D877" s="23" t="n"/>
      <c r="E877" s="23" t="n"/>
      <c r="F877" s="23" t="n"/>
      <c r="G877" s="23" t="n"/>
      <c r="H877" s="24" t="n"/>
      <c r="I877" s="23" t="n"/>
      <c r="J877" s="23" t="n"/>
      <c r="K877" s="23" t="n"/>
      <c r="L877" s="23" t="n"/>
      <c r="M877" s="23" t="n"/>
      <c r="N877" s="23" t="n"/>
      <c r="O877" s="23" t="n"/>
      <c r="P877" s="23" t="n"/>
      <c r="Q877" s="23" t="n"/>
      <c r="R877" s="23" t="n"/>
      <c r="S877" s="23" t="n"/>
      <c r="T877" s="23" t="n"/>
      <c r="U877" s="23" t="n"/>
      <c r="V877" s="23" t="n"/>
      <c r="W877" s="23" t="n"/>
      <c r="X877" s="23" t="n"/>
      <c r="Y877" s="25" t="n"/>
      <c r="Z877" s="25" t="n"/>
      <c r="AA877" s="23" t="n"/>
      <c r="AB877" s="25" t="n"/>
      <c r="AC877" s="23" t="n"/>
      <c r="AD877" s="25" t="n"/>
      <c r="AE877" s="23" t="n"/>
      <c r="AF877" s="25" t="n"/>
      <c r="AG877" s="25" t="n"/>
      <c r="AH877" s="23" t="n"/>
      <c r="AI877" s="23" t="n"/>
      <c r="AJ877" s="26">
        <f>IF(I877="","",I877&amp;"|"&amp;R877)</f>
        <v/>
      </c>
      <c r="AK877" s="26">
        <f>IF(I877="","",IF(ISNA(MATCH(O877,Kampanyalar!$A$2:$A$150,0)),"Hayır - Kampanyalar'da Yok","Evet"))</f>
        <v/>
      </c>
      <c r="AL877" s="27">
        <f>IF(I877="","",IFERROR(INDEX(Kampanyalar!$E$2:$E$150,MATCH(O877,Kampanyalar!$A$2:$A$150,0)),""))</f>
        <v/>
      </c>
      <c r="AM877" s="27">
        <f>IF(I877="","",IFERROR(INDEX(Kampanyalar!$F$2:$F$150,MATCH(O877,Kampanyalar!$A$2:$A$150,0)),""))</f>
        <v/>
      </c>
      <c r="AN877" s="27">
        <f>IF(I877="","",IFERROR(INDEX(Kampanyalar!$G$2:$G$150,MATCH(O877,Kampanyalar!$A$2:$A$150,0)),""))</f>
        <v/>
      </c>
      <c r="AO877" s="26">
        <f>IF(OR(I877="",AL877="",AM877=""),"",IF(AND(H877&gt;=AL877,H877&lt;=AM877),"Evet","HAYIR - Tarih Dışı"))</f>
        <v/>
      </c>
      <c r="AP877" s="28">
        <f>IF(I877="","",IFERROR(INDEX(Kampanyalar!$H$2:$H$150,MATCH(O877,Kampanyalar!$A$2:$A$150,0)),""))</f>
        <v/>
      </c>
      <c r="AQ877" s="28">
        <f>IF(I877="","",IF(ISNUMBER(AP877),AP877,AD877))</f>
        <v/>
      </c>
      <c r="AR877" s="26">
        <f>IF(I877="","",IF(Parametreler!$C$7="Evet","Kural A - Hemen Ödeme (Stok Mutabakatlı)","Kural B - Nakliye/Montaj Sonrası Ödeme"))</f>
        <v/>
      </c>
    </row>
    <row r="878">
      <c r="A878" s="23" t="n"/>
      <c r="B878" s="23" t="n"/>
      <c r="C878" s="23" t="n"/>
      <c r="D878" s="23" t="n"/>
      <c r="E878" s="23" t="n"/>
      <c r="F878" s="23" t="n"/>
      <c r="G878" s="23" t="n"/>
      <c r="H878" s="24" t="n"/>
      <c r="I878" s="23" t="n"/>
      <c r="J878" s="23" t="n"/>
      <c r="K878" s="23" t="n"/>
      <c r="L878" s="23" t="n"/>
      <c r="M878" s="23" t="n"/>
      <c r="N878" s="23" t="n"/>
      <c r="O878" s="23" t="n"/>
      <c r="P878" s="23" t="n"/>
      <c r="Q878" s="23" t="n"/>
      <c r="R878" s="23" t="n"/>
      <c r="S878" s="23" t="n"/>
      <c r="T878" s="23" t="n"/>
      <c r="U878" s="23" t="n"/>
      <c r="V878" s="23" t="n"/>
      <c r="W878" s="23" t="n"/>
      <c r="X878" s="23" t="n"/>
      <c r="Y878" s="25" t="n"/>
      <c r="Z878" s="25" t="n"/>
      <c r="AA878" s="23" t="n"/>
      <c r="AB878" s="25" t="n"/>
      <c r="AC878" s="23" t="n"/>
      <c r="AD878" s="25" t="n"/>
      <c r="AE878" s="23" t="n"/>
      <c r="AF878" s="25" t="n"/>
      <c r="AG878" s="25" t="n"/>
      <c r="AH878" s="23" t="n"/>
      <c r="AI878" s="23" t="n"/>
      <c r="AJ878" s="26">
        <f>IF(I878="","",I878&amp;"|"&amp;R878)</f>
        <v/>
      </c>
      <c r="AK878" s="26">
        <f>IF(I878="","",IF(ISNA(MATCH(O878,Kampanyalar!$A$2:$A$150,0)),"Hayır - Kampanyalar'da Yok","Evet"))</f>
        <v/>
      </c>
      <c r="AL878" s="27">
        <f>IF(I878="","",IFERROR(INDEX(Kampanyalar!$E$2:$E$150,MATCH(O878,Kampanyalar!$A$2:$A$150,0)),""))</f>
        <v/>
      </c>
      <c r="AM878" s="27">
        <f>IF(I878="","",IFERROR(INDEX(Kampanyalar!$F$2:$F$150,MATCH(O878,Kampanyalar!$A$2:$A$150,0)),""))</f>
        <v/>
      </c>
      <c r="AN878" s="27">
        <f>IF(I878="","",IFERROR(INDEX(Kampanyalar!$G$2:$G$150,MATCH(O878,Kampanyalar!$A$2:$A$150,0)),""))</f>
        <v/>
      </c>
      <c r="AO878" s="26">
        <f>IF(OR(I878="",AL878="",AM878=""),"",IF(AND(H878&gt;=AL878,H878&lt;=AM878),"Evet","HAYIR - Tarih Dışı"))</f>
        <v/>
      </c>
      <c r="AP878" s="28">
        <f>IF(I878="","",IFERROR(INDEX(Kampanyalar!$H$2:$H$150,MATCH(O878,Kampanyalar!$A$2:$A$150,0)),""))</f>
        <v/>
      </c>
      <c r="AQ878" s="28">
        <f>IF(I878="","",IF(ISNUMBER(AP878),AP878,AD878))</f>
        <v/>
      </c>
      <c r="AR878" s="26">
        <f>IF(I878="","",IF(Parametreler!$C$7="Evet","Kural A - Hemen Ödeme (Stok Mutabakatlı)","Kural B - Nakliye/Montaj Sonrası Ödeme"))</f>
        <v/>
      </c>
    </row>
    <row r="879">
      <c r="A879" s="23" t="n"/>
      <c r="B879" s="23" t="n"/>
      <c r="C879" s="23" t="n"/>
      <c r="D879" s="23" t="n"/>
      <c r="E879" s="23" t="n"/>
      <c r="F879" s="23" t="n"/>
      <c r="G879" s="23" t="n"/>
      <c r="H879" s="24" t="n"/>
      <c r="I879" s="23" t="n"/>
      <c r="J879" s="23" t="n"/>
      <c r="K879" s="23" t="n"/>
      <c r="L879" s="23" t="n"/>
      <c r="M879" s="23" t="n"/>
      <c r="N879" s="23" t="n"/>
      <c r="O879" s="23" t="n"/>
      <c r="P879" s="23" t="n"/>
      <c r="Q879" s="23" t="n"/>
      <c r="R879" s="23" t="n"/>
      <c r="S879" s="23" t="n"/>
      <c r="T879" s="23" t="n"/>
      <c r="U879" s="23" t="n"/>
      <c r="V879" s="23" t="n"/>
      <c r="W879" s="23" t="n"/>
      <c r="X879" s="23" t="n"/>
      <c r="Y879" s="25" t="n"/>
      <c r="Z879" s="25" t="n"/>
      <c r="AA879" s="23" t="n"/>
      <c r="AB879" s="25" t="n"/>
      <c r="AC879" s="23" t="n"/>
      <c r="AD879" s="25" t="n"/>
      <c r="AE879" s="23" t="n"/>
      <c r="AF879" s="25" t="n"/>
      <c r="AG879" s="25" t="n"/>
      <c r="AH879" s="23" t="n"/>
      <c r="AI879" s="23" t="n"/>
      <c r="AJ879" s="26">
        <f>IF(I879="","",I879&amp;"|"&amp;R879)</f>
        <v/>
      </c>
      <c r="AK879" s="26">
        <f>IF(I879="","",IF(ISNA(MATCH(O879,Kampanyalar!$A$2:$A$150,0)),"Hayır - Kampanyalar'da Yok","Evet"))</f>
        <v/>
      </c>
      <c r="AL879" s="27">
        <f>IF(I879="","",IFERROR(INDEX(Kampanyalar!$E$2:$E$150,MATCH(O879,Kampanyalar!$A$2:$A$150,0)),""))</f>
        <v/>
      </c>
      <c r="AM879" s="27">
        <f>IF(I879="","",IFERROR(INDEX(Kampanyalar!$F$2:$F$150,MATCH(O879,Kampanyalar!$A$2:$A$150,0)),""))</f>
        <v/>
      </c>
      <c r="AN879" s="27">
        <f>IF(I879="","",IFERROR(INDEX(Kampanyalar!$G$2:$G$150,MATCH(O879,Kampanyalar!$A$2:$A$150,0)),""))</f>
        <v/>
      </c>
      <c r="AO879" s="26">
        <f>IF(OR(I879="",AL879="",AM879=""),"",IF(AND(H879&gt;=AL879,H879&lt;=AM879),"Evet","HAYIR - Tarih Dışı"))</f>
        <v/>
      </c>
      <c r="AP879" s="28">
        <f>IF(I879="","",IFERROR(INDEX(Kampanyalar!$H$2:$H$150,MATCH(O879,Kampanyalar!$A$2:$A$150,0)),""))</f>
        <v/>
      </c>
      <c r="AQ879" s="28">
        <f>IF(I879="","",IF(ISNUMBER(AP879),AP879,AD879))</f>
        <v/>
      </c>
      <c r="AR879" s="26">
        <f>IF(I879="","",IF(Parametreler!$C$7="Evet","Kural A - Hemen Ödeme (Stok Mutabakatlı)","Kural B - Nakliye/Montaj Sonrası Ödeme"))</f>
        <v/>
      </c>
    </row>
    <row r="880">
      <c r="A880" s="23" t="n"/>
      <c r="B880" s="23" t="n"/>
      <c r="C880" s="23" t="n"/>
      <c r="D880" s="23" t="n"/>
      <c r="E880" s="23" t="n"/>
      <c r="F880" s="23" t="n"/>
      <c r="G880" s="23" t="n"/>
      <c r="H880" s="24" t="n"/>
      <c r="I880" s="23" t="n"/>
      <c r="J880" s="23" t="n"/>
      <c r="K880" s="23" t="n"/>
      <c r="L880" s="23" t="n"/>
      <c r="M880" s="23" t="n"/>
      <c r="N880" s="23" t="n"/>
      <c r="O880" s="23" t="n"/>
      <c r="P880" s="23" t="n"/>
      <c r="Q880" s="23" t="n"/>
      <c r="R880" s="23" t="n"/>
      <c r="S880" s="23" t="n"/>
      <c r="T880" s="23" t="n"/>
      <c r="U880" s="23" t="n"/>
      <c r="V880" s="23" t="n"/>
      <c r="W880" s="23" t="n"/>
      <c r="X880" s="23" t="n"/>
      <c r="Y880" s="25" t="n"/>
      <c r="Z880" s="25" t="n"/>
      <c r="AA880" s="23" t="n"/>
      <c r="AB880" s="25" t="n"/>
      <c r="AC880" s="23" t="n"/>
      <c r="AD880" s="25" t="n"/>
      <c r="AE880" s="23" t="n"/>
      <c r="AF880" s="25" t="n"/>
      <c r="AG880" s="25" t="n"/>
      <c r="AH880" s="23" t="n"/>
      <c r="AI880" s="23" t="n"/>
      <c r="AJ880" s="26">
        <f>IF(I880="","",I880&amp;"|"&amp;R880)</f>
        <v/>
      </c>
      <c r="AK880" s="26">
        <f>IF(I880="","",IF(ISNA(MATCH(O880,Kampanyalar!$A$2:$A$150,0)),"Hayır - Kampanyalar'da Yok","Evet"))</f>
        <v/>
      </c>
      <c r="AL880" s="27">
        <f>IF(I880="","",IFERROR(INDEX(Kampanyalar!$E$2:$E$150,MATCH(O880,Kampanyalar!$A$2:$A$150,0)),""))</f>
        <v/>
      </c>
      <c r="AM880" s="27">
        <f>IF(I880="","",IFERROR(INDEX(Kampanyalar!$F$2:$F$150,MATCH(O880,Kampanyalar!$A$2:$A$150,0)),""))</f>
        <v/>
      </c>
      <c r="AN880" s="27">
        <f>IF(I880="","",IFERROR(INDEX(Kampanyalar!$G$2:$G$150,MATCH(O880,Kampanyalar!$A$2:$A$150,0)),""))</f>
        <v/>
      </c>
      <c r="AO880" s="26">
        <f>IF(OR(I880="",AL880="",AM880=""),"",IF(AND(H880&gt;=AL880,H880&lt;=AM880),"Evet","HAYIR - Tarih Dışı"))</f>
        <v/>
      </c>
      <c r="AP880" s="28">
        <f>IF(I880="","",IFERROR(INDEX(Kampanyalar!$H$2:$H$150,MATCH(O880,Kampanyalar!$A$2:$A$150,0)),""))</f>
        <v/>
      </c>
      <c r="AQ880" s="28">
        <f>IF(I880="","",IF(ISNUMBER(AP880),AP880,AD880))</f>
        <v/>
      </c>
      <c r="AR880" s="26">
        <f>IF(I880="","",IF(Parametreler!$C$7="Evet","Kural A - Hemen Ödeme (Stok Mutabakatlı)","Kural B - Nakliye/Montaj Sonrası Ödeme"))</f>
        <v/>
      </c>
    </row>
    <row r="881">
      <c r="A881" s="23" t="n"/>
      <c r="B881" s="23" t="n"/>
      <c r="C881" s="23" t="n"/>
      <c r="D881" s="23" t="n"/>
      <c r="E881" s="23" t="n"/>
      <c r="F881" s="23" t="n"/>
      <c r="G881" s="23" t="n"/>
      <c r="H881" s="24" t="n"/>
      <c r="I881" s="23" t="n"/>
      <c r="J881" s="23" t="n"/>
      <c r="K881" s="23" t="n"/>
      <c r="L881" s="23" t="n"/>
      <c r="M881" s="23" t="n"/>
      <c r="N881" s="23" t="n"/>
      <c r="O881" s="23" t="n"/>
      <c r="P881" s="23" t="n"/>
      <c r="Q881" s="23" t="n"/>
      <c r="R881" s="23" t="n"/>
      <c r="S881" s="23" t="n"/>
      <c r="T881" s="23" t="n"/>
      <c r="U881" s="23" t="n"/>
      <c r="V881" s="23" t="n"/>
      <c r="W881" s="23" t="n"/>
      <c r="X881" s="23" t="n"/>
      <c r="Y881" s="25" t="n"/>
      <c r="Z881" s="25" t="n"/>
      <c r="AA881" s="23" t="n"/>
      <c r="AB881" s="25" t="n"/>
      <c r="AC881" s="23" t="n"/>
      <c r="AD881" s="25" t="n"/>
      <c r="AE881" s="23" t="n"/>
      <c r="AF881" s="25" t="n"/>
      <c r="AG881" s="25" t="n"/>
      <c r="AH881" s="23" t="n"/>
      <c r="AI881" s="23" t="n"/>
      <c r="AJ881" s="26">
        <f>IF(I881="","",I881&amp;"|"&amp;R881)</f>
        <v/>
      </c>
      <c r="AK881" s="26">
        <f>IF(I881="","",IF(ISNA(MATCH(O881,Kampanyalar!$A$2:$A$150,0)),"Hayır - Kampanyalar'da Yok","Evet"))</f>
        <v/>
      </c>
      <c r="AL881" s="27">
        <f>IF(I881="","",IFERROR(INDEX(Kampanyalar!$E$2:$E$150,MATCH(O881,Kampanyalar!$A$2:$A$150,0)),""))</f>
        <v/>
      </c>
      <c r="AM881" s="27">
        <f>IF(I881="","",IFERROR(INDEX(Kampanyalar!$F$2:$F$150,MATCH(O881,Kampanyalar!$A$2:$A$150,0)),""))</f>
        <v/>
      </c>
      <c r="AN881" s="27">
        <f>IF(I881="","",IFERROR(INDEX(Kampanyalar!$G$2:$G$150,MATCH(O881,Kampanyalar!$A$2:$A$150,0)),""))</f>
        <v/>
      </c>
      <c r="AO881" s="26">
        <f>IF(OR(I881="",AL881="",AM881=""),"",IF(AND(H881&gt;=AL881,H881&lt;=AM881),"Evet","HAYIR - Tarih Dışı"))</f>
        <v/>
      </c>
      <c r="AP881" s="28">
        <f>IF(I881="","",IFERROR(INDEX(Kampanyalar!$H$2:$H$150,MATCH(O881,Kampanyalar!$A$2:$A$150,0)),""))</f>
        <v/>
      </c>
      <c r="AQ881" s="28">
        <f>IF(I881="","",IF(ISNUMBER(AP881),AP881,AD881))</f>
        <v/>
      </c>
      <c r="AR881" s="26">
        <f>IF(I881="","",IF(Parametreler!$C$7="Evet","Kural A - Hemen Ödeme (Stok Mutabakatlı)","Kural B - Nakliye/Montaj Sonrası Ödeme"))</f>
        <v/>
      </c>
    </row>
    <row r="882">
      <c r="A882" s="23" t="n"/>
      <c r="B882" s="23" t="n"/>
      <c r="C882" s="23" t="n"/>
      <c r="D882" s="23" t="n"/>
      <c r="E882" s="23" t="n"/>
      <c r="F882" s="23" t="n"/>
      <c r="G882" s="23" t="n"/>
      <c r="H882" s="24" t="n"/>
      <c r="I882" s="23" t="n"/>
      <c r="J882" s="23" t="n"/>
      <c r="K882" s="23" t="n"/>
      <c r="L882" s="23" t="n"/>
      <c r="M882" s="23" t="n"/>
      <c r="N882" s="23" t="n"/>
      <c r="O882" s="23" t="n"/>
      <c r="P882" s="23" t="n"/>
      <c r="Q882" s="23" t="n"/>
      <c r="R882" s="23" t="n"/>
      <c r="S882" s="23" t="n"/>
      <c r="T882" s="23" t="n"/>
      <c r="U882" s="23" t="n"/>
      <c r="V882" s="23" t="n"/>
      <c r="W882" s="23" t="n"/>
      <c r="X882" s="23" t="n"/>
      <c r="Y882" s="25" t="n"/>
      <c r="Z882" s="25" t="n"/>
      <c r="AA882" s="23" t="n"/>
      <c r="AB882" s="25" t="n"/>
      <c r="AC882" s="23" t="n"/>
      <c r="AD882" s="25" t="n"/>
      <c r="AE882" s="23" t="n"/>
      <c r="AF882" s="25" t="n"/>
      <c r="AG882" s="25" t="n"/>
      <c r="AH882" s="23" t="n"/>
      <c r="AI882" s="23" t="n"/>
      <c r="AJ882" s="26">
        <f>IF(I882="","",I882&amp;"|"&amp;R882)</f>
        <v/>
      </c>
      <c r="AK882" s="26">
        <f>IF(I882="","",IF(ISNA(MATCH(O882,Kampanyalar!$A$2:$A$150,0)),"Hayır - Kampanyalar'da Yok","Evet"))</f>
        <v/>
      </c>
      <c r="AL882" s="27">
        <f>IF(I882="","",IFERROR(INDEX(Kampanyalar!$E$2:$E$150,MATCH(O882,Kampanyalar!$A$2:$A$150,0)),""))</f>
        <v/>
      </c>
      <c r="AM882" s="27">
        <f>IF(I882="","",IFERROR(INDEX(Kampanyalar!$F$2:$F$150,MATCH(O882,Kampanyalar!$A$2:$A$150,0)),""))</f>
        <v/>
      </c>
      <c r="AN882" s="27">
        <f>IF(I882="","",IFERROR(INDEX(Kampanyalar!$G$2:$G$150,MATCH(O882,Kampanyalar!$A$2:$A$150,0)),""))</f>
        <v/>
      </c>
      <c r="AO882" s="26">
        <f>IF(OR(I882="",AL882="",AM882=""),"",IF(AND(H882&gt;=AL882,H882&lt;=AM882),"Evet","HAYIR - Tarih Dışı"))</f>
        <v/>
      </c>
      <c r="AP882" s="28">
        <f>IF(I882="","",IFERROR(INDEX(Kampanyalar!$H$2:$H$150,MATCH(O882,Kampanyalar!$A$2:$A$150,0)),""))</f>
        <v/>
      </c>
      <c r="AQ882" s="28">
        <f>IF(I882="","",IF(ISNUMBER(AP882),AP882,AD882))</f>
        <v/>
      </c>
      <c r="AR882" s="26">
        <f>IF(I882="","",IF(Parametreler!$C$7="Evet","Kural A - Hemen Ödeme (Stok Mutabakatlı)","Kural B - Nakliye/Montaj Sonrası Ödeme"))</f>
        <v/>
      </c>
    </row>
    <row r="883">
      <c r="A883" s="23" t="n"/>
      <c r="B883" s="23" t="n"/>
      <c r="C883" s="23" t="n"/>
      <c r="D883" s="23" t="n"/>
      <c r="E883" s="23" t="n"/>
      <c r="F883" s="23" t="n"/>
      <c r="G883" s="23" t="n"/>
      <c r="H883" s="24" t="n"/>
      <c r="I883" s="23" t="n"/>
      <c r="J883" s="23" t="n"/>
      <c r="K883" s="23" t="n"/>
      <c r="L883" s="23" t="n"/>
      <c r="M883" s="23" t="n"/>
      <c r="N883" s="23" t="n"/>
      <c r="O883" s="23" t="n"/>
      <c r="P883" s="23" t="n"/>
      <c r="Q883" s="23" t="n"/>
      <c r="R883" s="23" t="n"/>
      <c r="S883" s="23" t="n"/>
      <c r="T883" s="23" t="n"/>
      <c r="U883" s="23" t="n"/>
      <c r="V883" s="23" t="n"/>
      <c r="W883" s="23" t="n"/>
      <c r="X883" s="23" t="n"/>
      <c r="Y883" s="25" t="n"/>
      <c r="Z883" s="25" t="n"/>
      <c r="AA883" s="23" t="n"/>
      <c r="AB883" s="25" t="n"/>
      <c r="AC883" s="23" t="n"/>
      <c r="AD883" s="25" t="n"/>
      <c r="AE883" s="23" t="n"/>
      <c r="AF883" s="25" t="n"/>
      <c r="AG883" s="25" t="n"/>
      <c r="AH883" s="23" t="n"/>
      <c r="AI883" s="23" t="n"/>
      <c r="AJ883" s="26">
        <f>IF(I883="","",I883&amp;"|"&amp;R883)</f>
        <v/>
      </c>
      <c r="AK883" s="26">
        <f>IF(I883="","",IF(ISNA(MATCH(O883,Kampanyalar!$A$2:$A$150,0)),"Hayır - Kampanyalar'da Yok","Evet"))</f>
        <v/>
      </c>
      <c r="AL883" s="27">
        <f>IF(I883="","",IFERROR(INDEX(Kampanyalar!$E$2:$E$150,MATCH(O883,Kampanyalar!$A$2:$A$150,0)),""))</f>
        <v/>
      </c>
      <c r="AM883" s="27">
        <f>IF(I883="","",IFERROR(INDEX(Kampanyalar!$F$2:$F$150,MATCH(O883,Kampanyalar!$A$2:$A$150,0)),""))</f>
        <v/>
      </c>
      <c r="AN883" s="27">
        <f>IF(I883="","",IFERROR(INDEX(Kampanyalar!$G$2:$G$150,MATCH(O883,Kampanyalar!$A$2:$A$150,0)),""))</f>
        <v/>
      </c>
      <c r="AO883" s="26">
        <f>IF(OR(I883="",AL883="",AM883=""),"",IF(AND(H883&gt;=AL883,H883&lt;=AM883),"Evet","HAYIR - Tarih Dışı"))</f>
        <v/>
      </c>
      <c r="AP883" s="28">
        <f>IF(I883="","",IFERROR(INDEX(Kampanyalar!$H$2:$H$150,MATCH(O883,Kampanyalar!$A$2:$A$150,0)),""))</f>
        <v/>
      </c>
      <c r="AQ883" s="28">
        <f>IF(I883="","",IF(ISNUMBER(AP883),AP883,AD883))</f>
        <v/>
      </c>
      <c r="AR883" s="26">
        <f>IF(I883="","",IF(Parametreler!$C$7="Evet","Kural A - Hemen Ödeme (Stok Mutabakatlı)","Kural B - Nakliye/Montaj Sonrası Ödeme"))</f>
        <v/>
      </c>
    </row>
    <row r="884">
      <c r="A884" s="23" t="n"/>
      <c r="B884" s="23" t="n"/>
      <c r="C884" s="23" t="n"/>
      <c r="D884" s="23" t="n"/>
      <c r="E884" s="23" t="n"/>
      <c r="F884" s="23" t="n"/>
      <c r="G884" s="23" t="n"/>
      <c r="H884" s="24" t="n"/>
      <c r="I884" s="23" t="n"/>
      <c r="J884" s="23" t="n"/>
      <c r="K884" s="23" t="n"/>
      <c r="L884" s="23" t="n"/>
      <c r="M884" s="23" t="n"/>
      <c r="N884" s="23" t="n"/>
      <c r="O884" s="23" t="n"/>
      <c r="P884" s="23" t="n"/>
      <c r="Q884" s="23" t="n"/>
      <c r="R884" s="23" t="n"/>
      <c r="S884" s="23" t="n"/>
      <c r="T884" s="23" t="n"/>
      <c r="U884" s="23" t="n"/>
      <c r="V884" s="23" t="n"/>
      <c r="W884" s="23" t="n"/>
      <c r="X884" s="23" t="n"/>
      <c r="Y884" s="25" t="n"/>
      <c r="Z884" s="25" t="n"/>
      <c r="AA884" s="23" t="n"/>
      <c r="AB884" s="25" t="n"/>
      <c r="AC884" s="23" t="n"/>
      <c r="AD884" s="25" t="n"/>
      <c r="AE884" s="23" t="n"/>
      <c r="AF884" s="25" t="n"/>
      <c r="AG884" s="25" t="n"/>
      <c r="AH884" s="23" t="n"/>
      <c r="AI884" s="23" t="n"/>
      <c r="AJ884" s="26">
        <f>IF(I884="","",I884&amp;"|"&amp;R884)</f>
        <v/>
      </c>
      <c r="AK884" s="26">
        <f>IF(I884="","",IF(ISNA(MATCH(O884,Kampanyalar!$A$2:$A$150,0)),"Hayır - Kampanyalar'da Yok","Evet"))</f>
        <v/>
      </c>
      <c r="AL884" s="27">
        <f>IF(I884="","",IFERROR(INDEX(Kampanyalar!$E$2:$E$150,MATCH(O884,Kampanyalar!$A$2:$A$150,0)),""))</f>
        <v/>
      </c>
      <c r="AM884" s="27">
        <f>IF(I884="","",IFERROR(INDEX(Kampanyalar!$F$2:$F$150,MATCH(O884,Kampanyalar!$A$2:$A$150,0)),""))</f>
        <v/>
      </c>
      <c r="AN884" s="27">
        <f>IF(I884="","",IFERROR(INDEX(Kampanyalar!$G$2:$G$150,MATCH(O884,Kampanyalar!$A$2:$A$150,0)),""))</f>
        <v/>
      </c>
      <c r="AO884" s="26">
        <f>IF(OR(I884="",AL884="",AM884=""),"",IF(AND(H884&gt;=AL884,H884&lt;=AM884),"Evet","HAYIR - Tarih Dışı"))</f>
        <v/>
      </c>
      <c r="AP884" s="28">
        <f>IF(I884="","",IFERROR(INDEX(Kampanyalar!$H$2:$H$150,MATCH(O884,Kampanyalar!$A$2:$A$150,0)),""))</f>
        <v/>
      </c>
      <c r="AQ884" s="28">
        <f>IF(I884="","",IF(ISNUMBER(AP884),AP884,AD884))</f>
        <v/>
      </c>
      <c r="AR884" s="26">
        <f>IF(I884="","",IF(Parametreler!$C$7="Evet","Kural A - Hemen Ödeme (Stok Mutabakatlı)","Kural B - Nakliye/Montaj Sonrası Ödeme"))</f>
        <v/>
      </c>
    </row>
    <row r="885">
      <c r="A885" s="23" t="n"/>
      <c r="B885" s="23" t="n"/>
      <c r="C885" s="23" t="n"/>
      <c r="D885" s="23" t="n"/>
      <c r="E885" s="23" t="n"/>
      <c r="F885" s="23" t="n"/>
      <c r="G885" s="23" t="n"/>
      <c r="H885" s="24" t="n"/>
      <c r="I885" s="23" t="n"/>
      <c r="J885" s="23" t="n"/>
      <c r="K885" s="23" t="n"/>
      <c r="L885" s="23" t="n"/>
      <c r="M885" s="23" t="n"/>
      <c r="N885" s="23" t="n"/>
      <c r="O885" s="23" t="n"/>
      <c r="P885" s="23" t="n"/>
      <c r="Q885" s="23" t="n"/>
      <c r="R885" s="23" t="n"/>
      <c r="S885" s="23" t="n"/>
      <c r="T885" s="23" t="n"/>
      <c r="U885" s="23" t="n"/>
      <c r="V885" s="23" t="n"/>
      <c r="W885" s="23" t="n"/>
      <c r="X885" s="23" t="n"/>
      <c r="Y885" s="25" t="n"/>
      <c r="Z885" s="25" t="n"/>
      <c r="AA885" s="23" t="n"/>
      <c r="AB885" s="25" t="n"/>
      <c r="AC885" s="23" t="n"/>
      <c r="AD885" s="25" t="n"/>
      <c r="AE885" s="23" t="n"/>
      <c r="AF885" s="25" t="n"/>
      <c r="AG885" s="25" t="n"/>
      <c r="AH885" s="23" t="n"/>
      <c r="AI885" s="23" t="n"/>
      <c r="AJ885" s="26">
        <f>IF(I885="","",I885&amp;"|"&amp;R885)</f>
        <v/>
      </c>
      <c r="AK885" s="26">
        <f>IF(I885="","",IF(ISNA(MATCH(O885,Kampanyalar!$A$2:$A$150,0)),"Hayır - Kampanyalar'da Yok","Evet"))</f>
        <v/>
      </c>
      <c r="AL885" s="27">
        <f>IF(I885="","",IFERROR(INDEX(Kampanyalar!$E$2:$E$150,MATCH(O885,Kampanyalar!$A$2:$A$150,0)),""))</f>
        <v/>
      </c>
      <c r="AM885" s="27">
        <f>IF(I885="","",IFERROR(INDEX(Kampanyalar!$F$2:$F$150,MATCH(O885,Kampanyalar!$A$2:$A$150,0)),""))</f>
        <v/>
      </c>
      <c r="AN885" s="27">
        <f>IF(I885="","",IFERROR(INDEX(Kampanyalar!$G$2:$G$150,MATCH(O885,Kampanyalar!$A$2:$A$150,0)),""))</f>
        <v/>
      </c>
      <c r="AO885" s="26">
        <f>IF(OR(I885="",AL885="",AM885=""),"",IF(AND(H885&gt;=AL885,H885&lt;=AM885),"Evet","HAYIR - Tarih Dışı"))</f>
        <v/>
      </c>
      <c r="AP885" s="28">
        <f>IF(I885="","",IFERROR(INDEX(Kampanyalar!$H$2:$H$150,MATCH(O885,Kampanyalar!$A$2:$A$150,0)),""))</f>
        <v/>
      </c>
      <c r="AQ885" s="28">
        <f>IF(I885="","",IF(ISNUMBER(AP885),AP885,AD885))</f>
        <v/>
      </c>
      <c r="AR885" s="26">
        <f>IF(I885="","",IF(Parametreler!$C$7="Evet","Kural A - Hemen Ödeme (Stok Mutabakatlı)","Kural B - Nakliye/Montaj Sonrası Ödeme"))</f>
        <v/>
      </c>
    </row>
    <row r="886">
      <c r="A886" s="23" t="n"/>
      <c r="B886" s="23" t="n"/>
      <c r="C886" s="23" t="n"/>
      <c r="D886" s="23" t="n"/>
      <c r="E886" s="23" t="n"/>
      <c r="F886" s="23" t="n"/>
      <c r="G886" s="23" t="n"/>
      <c r="H886" s="24" t="n"/>
      <c r="I886" s="23" t="n"/>
      <c r="J886" s="23" t="n"/>
      <c r="K886" s="23" t="n"/>
      <c r="L886" s="23" t="n"/>
      <c r="M886" s="23" t="n"/>
      <c r="N886" s="23" t="n"/>
      <c r="O886" s="23" t="n"/>
      <c r="P886" s="23" t="n"/>
      <c r="Q886" s="23" t="n"/>
      <c r="R886" s="23" t="n"/>
      <c r="S886" s="23" t="n"/>
      <c r="T886" s="23" t="n"/>
      <c r="U886" s="23" t="n"/>
      <c r="V886" s="23" t="n"/>
      <c r="W886" s="23" t="n"/>
      <c r="X886" s="23" t="n"/>
      <c r="Y886" s="25" t="n"/>
      <c r="Z886" s="25" t="n"/>
      <c r="AA886" s="23" t="n"/>
      <c r="AB886" s="25" t="n"/>
      <c r="AC886" s="23" t="n"/>
      <c r="AD886" s="25" t="n"/>
      <c r="AE886" s="23" t="n"/>
      <c r="AF886" s="25" t="n"/>
      <c r="AG886" s="25" t="n"/>
      <c r="AH886" s="23" t="n"/>
      <c r="AI886" s="23" t="n"/>
      <c r="AJ886" s="26">
        <f>IF(I886="","",I886&amp;"|"&amp;R886)</f>
        <v/>
      </c>
      <c r="AK886" s="26">
        <f>IF(I886="","",IF(ISNA(MATCH(O886,Kampanyalar!$A$2:$A$150,0)),"Hayır - Kampanyalar'da Yok","Evet"))</f>
        <v/>
      </c>
      <c r="AL886" s="27">
        <f>IF(I886="","",IFERROR(INDEX(Kampanyalar!$E$2:$E$150,MATCH(O886,Kampanyalar!$A$2:$A$150,0)),""))</f>
        <v/>
      </c>
      <c r="AM886" s="27">
        <f>IF(I886="","",IFERROR(INDEX(Kampanyalar!$F$2:$F$150,MATCH(O886,Kampanyalar!$A$2:$A$150,0)),""))</f>
        <v/>
      </c>
      <c r="AN886" s="27">
        <f>IF(I886="","",IFERROR(INDEX(Kampanyalar!$G$2:$G$150,MATCH(O886,Kampanyalar!$A$2:$A$150,0)),""))</f>
        <v/>
      </c>
      <c r="AO886" s="26">
        <f>IF(OR(I886="",AL886="",AM886=""),"",IF(AND(H886&gt;=AL886,H886&lt;=AM886),"Evet","HAYIR - Tarih Dışı"))</f>
        <v/>
      </c>
      <c r="AP886" s="28">
        <f>IF(I886="","",IFERROR(INDEX(Kampanyalar!$H$2:$H$150,MATCH(O886,Kampanyalar!$A$2:$A$150,0)),""))</f>
        <v/>
      </c>
      <c r="AQ886" s="28">
        <f>IF(I886="","",IF(ISNUMBER(AP886),AP886,AD886))</f>
        <v/>
      </c>
      <c r="AR886" s="26">
        <f>IF(I886="","",IF(Parametreler!$C$7="Evet","Kural A - Hemen Ödeme (Stok Mutabakatlı)","Kural B - Nakliye/Montaj Sonrası Ödeme"))</f>
        <v/>
      </c>
    </row>
    <row r="887">
      <c r="A887" s="23" t="n"/>
      <c r="B887" s="23" t="n"/>
      <c r="C887" s="23" t="n"/>
      <c r="D887" s="23" t="n"/>
      <c r="E887" s="23" t="n"/>
      <c r="F887" s="23" t="n"/>
      <c r="G887" s="23" t="n"/>
      <c r="H887" s="24" t="n"/>
      <c r="I887" s="23" t="n"/>
      <c r="J887" s="23" t="n"/>
      <c r="K887" s="23" t="n"/>
      <c r="L887" s="23" t="n"/>
      <c r="M887" s="23" t="n"/>
      <c r="N887" s="23" t="n"/>
      <c r="O887" s="23" t="n"/>
      <c r="P887" s="23" t="n"/>
      <c r="Q887" s="23" t="n"/>
      <c r="R887" s="23" t="n"/>
      <c r="S887" s="23" t="n"/>
      <c r="T887" s="23" t="n"/>
      <c r="U887" s="23" t="n"/>
      <c r="V887" s="23" t="n"/>
      <c r="W887" s="23" t="n"/>
      <c r="X887" s="23" t="n"/>
      <c r="Y887" s="25" t="n"/>
      <c r="Z887" s="25" t="n"/>
      <c r="AA887" s="23" t="n"/>
      <c r="AB887" s="25" t="n"/>
      <c r="AC887" s="23" t="n"/>
      <c r="AD887" s="25" t="n"/>
      <c r="AE887" s="23" t="n"/>
      <c r="AF887" s="25" t="n"/>
      <c r="AG887" s="25" t="n"/>
      <c r="AH887" s="23" t="n"/>
      <c r="AI887" s="23" t="n"/>
      <c r="AJ887" s="26">
        <f>IF(I887="","",I887&amp;"|"&amp;R887)</f>
        <v/>
      </c>
      <c r="AK887" s="26">
        <f>IF(I887="","",IF(ISNA(MATCH(O887,Kampanyalar!$A$2:$A$150,0)),"Hayır - Kampanyalar'da Yok","Evet"))</f>
        <v/>
      </c>
      <c r="AL887" s="27">
        <f>IF(I887="","",IFERROR(INDEX(Kampanyalar!$E$2:$E$150,MATCH(O887,Kampanyalar!$A$2:$A$150,0)),""))</f>
        <v/>
      </c>
      <c r="AM887" s="27">
        <f>IF(I887="","",IFERROR(INDEX(Kampanyalar!$F$2:$F$150,MATCH(O887,Kampanyalar!$A$2:$A$150,0)),""))</f>
        <v/>
      </c>
      <c r="AN887" s="27">
        <f>IF(I887="","",IFERROR(INDEX(Kampanyalar!$G$2:$G$150,MATCH(O887,Kampanyalar!$A$2:$A$150,0)),""))</f>
        <v/>
      </c>
      <c r="AO887" s="26">
        <f>IF(OR(I887="",AL887="",AM887=""),"",IF(AND(H887&gt;=AL887,H887&lt;=AM887),"Evet","HAYIR - Tarih Dışı"))</f>
        <v/>
      </c>
      <c r="AP887" s="28">
        <f>IF(I887="","",IFERROR(INDEX(Kampanyalar!$H$2:$H$150,MATCH(O887,Kampanyalar!$A$2:$A$150,0)),""))</f>
        <v/>
      </c>
      <c r="AQ887" s="28">
        <f>IF(I887="","",IF(ISNUMBER(AP887),AP887,AD887))</f>
        <v/>
      </c>
      <c r="AR887" s="26">
        <f>IF(I887="","",IF(Parametreler!$C$7="Evet","Kural A - Hemen Ödeme (Stok Mutabakatlı)","Kural B - Nakliye/Montaj Sonrası Ödeme"))</f>
        <v/>
      </c>
    </row>
    <row r="888">
      <c r="A888" s="23" t="n"/>
      <c r="B888" s="23" t="n"/>
      <c r="C888" s="23" t="n"/>
      <c r="D888" s="23" t="n"/>
      <c r="E888" s="23" t="n"/>
      <c r="F888" s="23" t="n"/>
      <c r="G888" s="23" t="n"/>
      <c r="H888" s="24" t="n"/>
      <c r="I888" s="23" t="n"/>
      <c r="J888" s="23" t="n"/>
      <c r="K888" s="23" t="n"/>
      <c r="L888" s="23" t="n"/>
      <c r="M888" s="23" t="n"/>
      <c r="N888" s="23" t="n"/>
      <c r="O888" s="23" t="n"/>
      <c r="P888" s="23" t="n"/>
      <c r="Q888" s="23" t="n"/>
      <c r="R888" s="23" t="n"/>
      <c r="S888" s="23" t="n"/>
      <c r="T888" s="23" t="n"/>
      <c r="U888" s="23" t="n"/>
      <c r="V888" s="23" t="n"/>
      <c r="W888" s="23" t="n"/>
      <c r="X888" s="23" t="n"/>
      <c r="Y888" s="25" t="n"/>
      <c r="Z888" s="25" t="n"/>
      <c r="AA888" s="23" t="n"/>
      <c r="AB888" s="25" t="n"/>
      <c r="AC888" s="23" t="n"/>
      <c r="AD888" s="25" t="n"/>
      <c r="AE888" s="23" t="n"/>
      <c r="AF888" s="25" t="n"/>
      <c r="AG888" s="25" t="n"/>
      <c r="AH888" s="23" t="n"/>
      <c r="AI888" s="23" t="n"/>
      <c r="AJ888" s="26">
        <f>IF(I888="","",I888&amp;"|"&amp;R888)</f>
        <v/>
      </c>
      <c r="AK888" s="26">
        <f>IF(I888="","",IF(ISNA(MATCH(O888,Kampanyalar!$A$2:$A$150,0)),"Hayır - Kampanyalar'da Yok","Evet"))</f>
        <v/>
      </c>
      <c r="AL888" s="27">
        <f>IF(I888="","",IFERROR(INDEX(Kampanyalar!$E$2:$E$150,MATCH(O888,Kampanyalar!$A$2:$A$150,0)),""))</f>
        <v/>
      </c>
      <c r="AM888" s="27">
        <f>IF(I888="","",IFERROR(INDEX(Kampanyalar!$F$2:$F$150,MATCH(O888,Kampanyalar!$A$2:$A$150,0)),""))</f>
        <v/>
      </c>
      <c r="AN888" s="27">
        <f>IF(I888="","",IFERROR(INDEX(Kampanyalar!$G$2:$G$150,MATCH(O888,Kampanyalar!$A$2:$A$150,0)),""))</f>
        <v/>
      </c>
      <c r="AO888" s="26">
        <f>IF(OR(I888="",AL888="",AM888=""),"",IF(AND(H888&gt;=AL888,H888&lt;=AM888),"Evet","HAYIR - Tarih Dışı"))</f>
        <v/>
      </c>
      <c r="AP888" s="28">
        <f>IF(I888="","",IFERROR(INDEX(Kampanyalar!$H$2:$H$150,MATCH(O888,Kampanyalar!$A$2:$A$150,0)),""))</f>
        <v/>
      </c>
      <c r="AQ888" s="28">
        <f>IF(I888="","",IF(ISNUMBER(AP888),AP888,AD888))</f>
        <v/>
      </c>
      <c r="AR888" s="26">
        <f>IF(I888="","",IF(Parametreler!$C$7="Evet","Kural A - Hemen Ödeme (Stok Mutabakatlı)","Kural B - Nakliye/Montaj Sonrası Ödeme"))</f>
        <v/>
      </c>
    </row>
    <row r="889">
      <c r="A889" s="23" t="n"/>
      <c r="B889" s="23" t="n"/>
      <c r="C889" s="23" t="n"/>
      <c r="D889" s="23" t="n"/>
      <c r="E889" s="23" t="n"/>
      <c r="F889" s="23" t="n"/>
      <c r="G889" s="23" t="n"/>
      <c r="H889" s="24" t="n"/>
      <c r="I889" s="23" t="n"/>
      <c r="J889" s="23" t="n"/>
      <c r="K889" s="23" t="n"/>
      <c r="L889" s="23" t="n"/>
      <c r="M889" s="23" t="n"/>
      <c r="N889" s="23" t="n"/>
      <c r="O889" s="23" t="n"/>
      <c r="P889" s="23" t="n"/>
      <c r="Q889" s="23" t="n"/>
      <c r="R889" s="23" t="n"/>
      <c r="S889" s="23" t="n"/>
      <c r="T889" s="23" t="n"/>
      <c r="U889" s="23" t="n"/>
      <c r="V889" s="23" t="n"/>
      <c r="W889" s="23" t="n"/>
      <c r="X889" s="23" t="n"/>
      <c r="Y889" s="25" t="n"/>
      <c r="Z889" s="25" t="n"/>
      <c r="AA889" s="23" t="n"/>
      <c r="AB889" s="25" t="n"/>
      <c r="AC889" s="23" t="n"/>
      <c r="AD889" s="25" t="n"/>
      <c r="AE889" s="23" t="n"/>
      <c r="AF889" s="25" t="n"/>
      <c r="AG889" s="25" t="n"/>
      <c r="AH889" s="23" t="n"/>
      <c r="AI889" s="23" t="n"/>
      <c r="AJ889" s="26">
        <f>IF(I889="","",I889&amp;"|"&amp;R889)</f>
        <v/>
      </c>
      <c r="AK889" s="26">
        <f>IF(I889="","",IF(ISNA(MATCH(O889,Kampanyalar!$A$2:$A$150,0)),"Hayır - Kampanyalar'da Yok","Evet"))</f>
        <v/>
      </c>
      <c r="AL889" s="27">
        <f>IF(I889="","",IFERROR(INDEX(Kampanyalar!$E$2:$E$150,MATCH(O889,Kampanyalar!$A$2:$A$150,0)),""))</f>
        <v/>
      </c>
      <c r="AM889" s="27">
        <f>IF(I889="","",IFERROR(INDEX(Kampanyalar!$F$2:$F$150,MATCH(O889,Kampanyalar!$A$2:$A$150,0)),""))</f>
        <v/>
      </c>
      <c r="AN889" s="27">
        <f>IF(I889="","",IFERROR(INDEX(Kampanyalar!$G$2:$G$150,MATCH(O889,Kampanyalar!$A$2:$A$150,0)),""))</f>
        <v/>
      </c>
      <c r="AO889" s="26">
        <f>IF(OR(I889="",AL889="",AM889=""),"",IF(AND(H889&gt;=AL889,H889&lt;=AM889),"Evet","HAYIR - Tarih Dışı"))</f>
        <v/>
      </c>
      <c r="AP889" s="28">
        <f>IF(I889="","",IFERROR(INDEX(Kampanyalar!$H$2:$H$150,MATCH(O889,Kampanyalar!$A$2:$A$150,0)),""))</f>
        <v/>
      </c>
      <c r="AQ889" s="28">
        <f>IF(I889="","",IF(ISNUMBER(AP889),AP889,AD889))</f>
        <v/>
      </c>
      <c r="AR889" s="26">
        <f>IF(I889="","",IF(Parametreler!$C$7="Evet","Kural A - Hemen Ödeme (Stok Mutabakatlı)","Kural B - Nakliye/Montaj Sonrası Ödeme"))</f>
        <v/>
      </c>
    </row>
    <row r="890">
      <c r="A890" s="23" t="n"/>
      <c r="B890" s="23" t="n"/>
      <c r="C890" s="23" t="n"/>
      <c r="D890" s="23" t="n"/>
      <c r="E890" s="23" t="n"/>
      <c r="F890" s="23" t="n"/>
      <c r="G890" s="23" t="n"/>
      <c r="H890" s="24" t="n"/>
      <c r="I890" s="23" t="n"/>
      <c r="J890" s="23" t="n"/>
      <c r="K890" s="23" t="n"/>
      <c r="L890" s="23" t="n"/>
      <c r="M890" s="23" t="n"/>
      <c r="N890" s="23" t="n"/>
      <c r="O890" s="23" t="n"/>
      <c r="P890" s="23" t="n"/>
      <c r="Q890" s="23" t="n"/>
      <c r="R890" s="23" t="n"/>
      <c r="S890" s="23" t="n"/>
      <c r="T890" s="23" t="n"/>
      <c r="U890" s="23" t="n"/>
      <c r="V890" s="23" t="n"/>
      <c r="W890" s="23" t="n"/>
      <c r="X890" s="23" t="n"/>
      <c r="Y890" s="25" t="n"/>
      <c r="Z890" s="25" t="n"/>
      <c r="AA890" s="23" t="n"/>
      <c r="AB890" s="25" t="n"/>
      <c r="AC890" s="23" t="n"/>
      <c r="AD890" s="25" t="n"/>
      <c r="AE890" s="23" t="n"/>
      <c r="AF890" s="25" t="n"/>
      <c r="AG890" s="25" t="n"/>
      <c r="AH890" s="23" t="n"/>
      <c r="AI890" s="23" t="n"/>
      <c r="AJ890" s="26">
        <f>IF(I890="","",I890&amp;"|"&amp;R890)</f>
        <v/>
      </c>
      <c r="AK890" s="26">
        <f>IF(I890="","",IF(ISNA(MATCH(O890,Kampanyalar!$A$2:$A$150,0)),"Hayır - Kampanyalar'da Yok","Evet"))</f>
        <v/>
      </c>
      <c r="AL890" s="27">
        <f>IF(I890="","",IFERROR(INDEX(Kampanyalar!$E$2:$E$150,MATCH(O890,Kampanyalar!$A$2:$A$150,0)),""))</f>
        <v/>
      </c>
      <c r="AM890" s="27">
        <f>IF(I890="","",IFERROR(INDEX(Kampanyalar!$F$2:$F$150,MATCH(O890,Kampanyalar!$A$2:$A$150,0)),""))</f>
        <v/>
      </c>
      <c r="AN890" s="27">
        <f>IF(I890="","",IFERROR(INDEX(Kampanyalar!$G$2:$G$150,MATCH(O890,Kampanyalar!$A$2:$A$150,0)),""))</f>
        <v/>
      </c>
      <c r="AO890" s="26">
        <f>IF(OR(I890="",AL890="",AM890=""),"",IF(AND(H890&gt;=AL890,H890&lt;=AM890),"Evet","HAYIR - Tarih Dışı"))</f>
        <v/>
      </c>
      <c r="AP890" s="28">
        <f>IF(I890="","",IFERROR(INDEX(Kampanyalar!$H$2:$H$150,MATCH(O890,Kampanyalar!$A$2:$A$150,0)),""))</f>
        <v/>
      </c>
      <c r="AQ890" s="28">
        <f>IF(I890="","",IF(ISNUMBER(AP890),AP890,AD890))</f>
        <v/>
      </c>
      <c r="AR890" s="26">
        <f>IF(I890="","",IF(Parametreler!$C$7="Evet","Kural A - Hemen Ödeme (Stok Mutabakatlı)","Kural B - Nakliye/Montaj Sonrası Ödeme"))</f>
        <v/>
      </c>
    </row>
    <row r="891">
      <c r="A891" s="23" t="n"/>
      <c r="B891" s="23" t="n"/>
      <c r="C891" s="23" t="n"/>
      <c r="D891" s="23" t="n"/>
      <c r="E891" s="23" t="n"/>
      <c r="F891" s="23" t="n"/>
      <c r="G891" s="23" t="n"/>
      <c r="H891" s="24" t="n"/>
      <c r="I891" s="23" t="n"/>
      <c r="J891" s="23" t="n"/>
      <c r="K891" s="23" t="n"/>
      <c r="L891" s="23" t="n"/>
      <c r="M891" s="23" t="n"/>
      <c r="N891" s="23" t="n"/>
      <c r="O891" s="23" t="n"/>
      <c r="P891" s="23" t="n"/>
      <c r="Q891" s="23" t="n"/>
      <c r="R891" s="23" t="n"/>
      <c r="S891" s="23" t="n"/>
      <c r="T891" s="23" t="n"/>
      <c r="U891" s="23" t="n"/>
      <c r="V891" s="23" t="n"/>
      <c r="W891" s="23" t="n"/>
      <c r="X891" s="23" t="n"/>
      <c r="Y891" s="25" t="n"/>
      <c r="Z891" s="25" t="n"/>
      <c r="AA891" s="23" t="n"/>
      <c r="AB891" s="25" t="n"/>
      <c r="AC891" s="23" t="n"/>
      <c r="AD891" s="25" t="n"/>
      <c r="AE891" s="23" t="n"/>
      <c r="AF891" s="25" t="n"/>
      <c r="AG891" s="25" t="n"/>
      <c r="AH891" s="23" t="n"/>
      <c r="AI891" s="23" t="n"/>
      <c r="AJ891" s="26">
        <f>IF(I891="","",I891&amp;"|"&amp;R891)</f>
        <v/>
      </c>
      <c r="AK891" s="26">
        <f>IF(I891="","",IF(ISNA(MATCH(O891,Kampanyalar!$A$2:$A$150,0)),"Hayır - Kampanyalar'da Yok","Evet"))</f>
        <v/>
      </c>
      <c r="AL891" s="27">
        <f>IF(I891="","",IFERROR(INDEX(Kampanyalar!$E$2:$E$150,MATCH(O891,Kampanyalar!$A$2:$A$150,0)),""))</f>
        <v/>
      </c>
      <c r="AM891" s="27">
        <f>IF(I891="","",IFERROR(INDEX(Kampanyalar!$F$2:$F$150,MATCH(O891,Kampanyalar!$A$2:$A$150,0)),""))</f>
        <v/>
      </c>
      <c r="AN891" s="27">
        <f>IF(I891="","",IFERROR(INDEX(Kampanyalar!$G$2:$G$150,MATCH(O891,Kampanyalar!$A$2:$A$150,0)),""))</f>
        <v/>
      </c>
      <c r="AO891" s="26">
        <f>IF(OR(I891="",AL891="",AM891=""),"",IF(AND(H891&gt;=AL891,H891&lt;=AM891),"Evet","HAYIR - Tarih Dışı"))</f>
        <v/>
      </c>
      <c r="AP891" s="28">
        <f>IF(I891="","",IFERROR(INDEX(Kampanyalar!$H$2:$H$150,MATCH(O891,Kampanyalar!$A$2:$A$150,0)),""))</f>
        <v/>
      </c>
      <c r="AQ891" s="28">
        <f>IF(I891="","",IF(ISNUMBER(AP891),AP891,AD891))</f>
        <v/>
      </c>
      <c r="AR891" s="26">
        <f>IF(I891="","",IF(Parametreler!$C$7="Evet","Kural A - Hemen Ödeme (Stok Mutabakatlı)","Kural B - Nakliye/Montaj Sonrası Ödeme"))</f>
        <v/>
      </c>
    </row>
    <row r="892">
      <c r="A892" s="23" t="n"/>
      <c r="B892" s="23" t="n"/>
      <c r="C892" s="23" t="n"/>
      <c r="D892" s="23" t="n"/>
      <c r="E892" s="23" t="n"/>
      <c r="F892" s="23" t="n"/>
      <c r="G892" s="23" t="n"/>
      <c r="H892" s="24" t="n"/>
      <c r="I892" s="23" t="n"/>
      <c r="J892" s="23" t="n"/>
      <c r="K892" s="23" t="n"/>
      <c r="L892" s="23" t="n"/>
      <c r="M892" s="23" t="n"/>
      <c r="N892" s="23" t="n"/>
      <c r="O892" s="23" t="n"/>
      <c r="P892" s="23" t="n"/>
      <c r="Q892" s="23" t="n"/>
      <c r="R892" s="23" t="n"/>
      <c r="S892" s="23" t="n"/>
      <c r="T892" s="23" t="n"/>
      <c r="U892" s="23" t="n"/>
      <c r="V892" s="23" t="n"/>
      <c r="W892" s="23" t="n"/>
      <c r="X892" s="23" t="n"/>
      <c r="Y892" s="25" t="n"/>
      <c r="Z892" s="25" t="n"/>
      <c r="AA892" s="23" t="n"/>
      <c r="AB892" s="25" t="n"/>
      <c r="AC892" s="23" t="n"/>
      <c r="AD892" s="25" t="n"/>
      <c r="AE892" s="23" t="n"/>
      <c r="AF892" s="25" t="n"/>
      <c r="AG892" s="25" t="n"/>
      <c r="AH892" s="23" t="n"/>
      <c r="AI892" s="23" t="n"/>
      <c r="AJ892" s="26">
        <f>IF(I892="","",I892&amp;"|"&amp;R892)</f>
        <v/>
      </c>
      <c r="AK892" s="26">
        <f>IF(I892="","",IF(ISNA(MATCH(O892,Kampanyalar!$A$2:$A$150,0)),"Hayır - Kampanyalar'da Yok","Evet"))</f>
        <v/>
      </c>
      <c r="AL892" s="27">
        <f>IF(I892="","",IFERROR(INDEX(Kampanyalar!$E$2:$E$150,MATCH(O892,Kampanyalar!$A$2:$A$150,0)),""))</f>
        <v/>
      </c>
      <c r="AM892" s="27">
        <f>IF(I892="","",IFERROR(INDEX(Kampanyalar!$F$2:$F$150,MATCH(O892,Kampanyalar!$A$2:$A$150,0)),""))</f>
        <v/>
      </c>
      <c r="AN892" s="27">
        <f>IF(I892="","",IFERROR(INDEX(Kampanyalar!$G$2:$G$150,MATCH(O892,Kampanyalar!$A$2:$A$150,0)),""))</f>
        <v/>
      </c>
      <c r="AO892" s="26">
        <f>IF(OR(I892="",AL892="",AM892=""),"",IF(AND(H892&gt;=AL892,H892&lt;=AM892),"Evet","HAYIR - Tarih Dışı"))</f>
        <v/>
      </c>
      <c r="AP892" s="28">
        <f>IF(I892="","",IFERROR(INDEX(Kampanyalar!$H$2:$H$150,MATCH(O892,Kampanyalar!$A$2:$A$150,0)),""))</f>
        <v/>
      </c>
      <c r="AQ892" s="28">
        <f>IF(I892="","",IF(ISNUMBER(AP892),AP892,AD892))</f>
        <v/>
      </c>
      <c r="AR892" s="26">
        <f>IF(I892="","",IF(Parametreler!$C$7="Evet","Kural A - Hemen Ödeme (Stok Mutabakatlı)","Kural B - Nakliye/Montaj Sonrası Ödeme"))</f>
        <v/>
      </c>
    </row>
    <row r="893">
      <c r="A893" s="23" t="n"/>
      <c r="B893" s="23" t="n"/>
      <c r="C893" s="23" t="n"/>
      <c r="D893" s="23" t="n"/>
      <c r="E893" s="23" t="n"/>
      <c r="F893" s="23" t="n"/>
      <c r="G893" s="23" t="n"/>
      <c r="H893" s="24" t="n"/>
      <c r="I893" s="23" t="n"/>
      <c r="J893" s="23" t="n"/>
      <c r="K893" s="23" t="n"/>
      <c r="L893" s="23" t="n"/>
      <c r="M893" s="23" t="n"/>
      <c r="N893" s="23" t="n"/>
      <c r="O893" s="23" t="n"/>
      <c r="P893" s="23" t="n"/>
      <c r="Q893" s="23" t="n"/>
      <c r="R893" s="23" t="n"/>
      <c r="S893" s="23" t="n"/>
      <c r="T893" s="23" t="n"/>
      <c r="U893" s="23" t="n"/>
      <c r="V893" s="23" t="n"/>
      <c r="W893" s="23" t="n"/>
      <c r="X893" s="23" t="n"/>
      <c r="Y893" s="25" t="n"/>
      <c r="Z893" s="25" t="n"/>
      <c r="AA893" s="23" t="n"/>
      <c r="AB893" s="25" t="n"/>
      <c r="AC893" s="23" t="n"/>
      <c r="AD893" s="25" t="n"/>
      <c r="AE893" s="23" t="n"/>
      <c r="AF893" s="25" t="n"/>
      <c r="AG893" s="25" t="n"/>
      <c r="AH893" s="23" t="n"/>
      <c r="AI893" s="23" t="n"/>
      <c r="AJ893" s="26">
        <f>IF(I893="","",I893&amp;"|"&amp;R893)</f>
        <v/>
      </c>
      <c r="AK893" s="26">
        <f>IF(I893="","",IF(ISNA(MATCH(O893,Kampanyalar!$A$2:$A$150,0)),"Hayır - Kampanyalar'da Yok","Evet"))</f>
        <v/>
      </c>
      <c r="AL893" s="27">
        <f>IF(I893="","",IFERROR(INDEX(Kampanyalar!$E$2:$E$150,MATCH(O893,Kampanyalar!$A$2:$A$150,0)),""))</f>
        <v/>
      </c>
      <c r="AM893" s="27">
        <f>IF(I893="","",IFERROR(INDEX(Kampanyalar!$F$2:$F$150,MATCH(O893,Kampanyalar!$A$2:$A$150,0)),""))</f>
        <v/>
      </c>
      <c r="AN893" s="27">
        <f>IF(I893="","",IFERROR(INDEX(Kampanyalar!$G$2:$G$150,MATCH(O893,Kampanyalar!$A$2:$A$150,0)),""))</f>
        <v/>
      </c>
      <c r="AO893" s="26">
        <f>IF(OR(I893="",AL893="",AM893=""),"",IF(AND(H893&gt;=AL893,H893&lt;=AM893),"Evet","HAYIR - Tarih Dışı"))</f>
        <v/>
      </c>
      <c r="AP893" s="28">
        <f>IF(I893="","",IFERROR(INDEX(Kampanyalar!$H$2:$H$150,MATCH(O893,Kampanyalar!$A$2:$A$150,0)),""))</f>
        <v/>
      </c>
      <c r="AQ893" s="28">
        <f>IF(I893="","",IF(ISNUMBER(AP893),AP893,AD893))</f>
        <v/>
      </c>
      <c r="AR893" s="26">
        <f>IF(I893="","",IF(Parametreler!$C$7="Evet","Kural A - Hemen Ödeme (Stok Mutabakatlı)","Kural B - Nakliye/Montaj Sonrası Ödeme"))</f>
        <v/>
      </c>
    </row>
    <row r="894">
      <c r="A894" s="23" t="n"/>
      <c r="B894" s="23" t="n"/>
      <c r="C894" s="23" t="n"/>
      <c r="D894" s="23" t="n"/>
      <c r="E894" s="23" t="n"/>
      <c r="F894" s="23" t="n"/>
      <c r="G894" s="23" t="n"/>
      <c r="H894" s="24" t="n"/>
      <c r="I894" s="23" t="n"/>
      <c r="J894" s="23" t="n"/>
      <c r="K894" s="23" t="n"/>
      <c r="L894" s="23" t="n"/>
      <c r="M894" s="23" t="n"/>
      <c r="N894" s="23" t="n"/>
      <c r="O894" s="23" t="n"/>
      <c r="P894" s="23" t="n"/>
      <c r="Q894" s="23" t="n"/>
      <c r="R894" s="23" t="n"/>
      <c r="S894" s="23" t="n"/>
      <c r="T894" s="23" t="n"/>
      <c r="U894" s="23" t="n"/>
      <c r="V894" s="23" t="n"/>
      <c r="W894" s="23" t="n"/>
      <c r="X894" s="23" t="n"/>
      <c r="Y894" s="25" t="n"/>
      <c r="Z894" s="25" t="n"/>
      <c r="AA894" s="23" t="n"/>
      <c r="AB894" s="25" t="n"/>
      <c r="AC894" s="23" t="n"/>
      <c r="AD894" s="25" t="n"/>
      <c r="AE894" s="23" t="n"/>
      <c r="AF894" s="25" t="n"/>
      <c r="AG894" s="25" t="n"/>
      <c r="AH894" s="23" t="n"/>
      <c r="AI894" s="23" t="n"/>
      <c r="AJ894" s="26">
        <f>IF(I894="","",I894&amp;"|"&amp;R894)</f>
        <v/>
      </c>
      <c r="AK894" s="26">
        <f>IF(I894="","",IF(ISNA(MATCH(O894,Kampanyalar!$A$2:$A$150,0)),"Hayır - Kampanyalar'da Yok","Evet"))</f>
        <v/>
      </c>
      <c r="AL894" s="27">
        <f>IF(I894="","",IFERROR(INDEX(Kampanyalar!$E$2:$E$150,MATCH(O894,Kampanyalar!$A$2:$A$150,0)),""))</f>
        <v/>
      </c>
      <c r="AM894" s="27">
        <f>IF(I894="","",IFERROR(INDEX(Kampanyalar!$F$2:$F$150,MATCH(O894,Kampanyalar!$A$2:$A$150,0)),""))</f>
        <v/>
      </c>
      <c r="AN894" s="27">
        <f>IF(I894="","",IFERROR(INDEX(Kampanyalar!$G$2:$G$150,MATCH(O894,Kampanyalar!$A$2:$A$150,0)),""))</f>
        <v/>
      </c>
      <c r="AO894" s="26">
        <f>IF(OR(I894="",AL894="",AM894=""),"",IF(AND(H894&gt;=AL894,H894&lt;=AM894),"Evet","HAYIR - Tarih Dışı"))</f>
        <v/>
      </c>
      <c r="AP894" s="28">
        <f>IF(I894="","",IFERROR(INDEX(Kampanyalar!$H$2:$H$150,MATCH(O894,Kampanyalar!$A$2:$A$150,0)),""))</f>
        <v/>
      </c>
      <c r="AQ894" s="28">
        <f>IF(I894="","",IF(ISNUMBER(AP894),AP894,AD894))</f>
        <v/>
      </c>
      <c r="AR894" s="26">
        <f>IF(I894="","",IF(Parametreler!$C$7="Evet","Kural A - Hemen Ödeme (Stok Mutabakatlı)","Kural B - Nakliye/Montaj Sonrası Ödeme"))</f>
        <v/>
      </c>
    </row>
    <row r="895">
      <c r="A895" s="23" t="n"/>
      <c r="B895" s="23" t="n"/>
      <c r="C895" s="23" t="n"/>
      <c r="D895" s="23" t="n"/>
      <c r="E895" s="23" t="n"/>
      <c r="F895" s="23" t="n"/>
      <c r="G895" s="23" t="n"/>
      <c r="H895" s="24" t="n"/>
      <c r="I895" s="23" t="n"/>
      <c r="J895" s="23" t="n"/>
      <c r="K895" s="23" t="n"/>
      <c r="L895" s="23" t="n"/>
      <c r="M895" s="23" t="n"/>
      <c r="N895" s="23" t="n"/>
      <c r="O895" s="23" t="n"/>
      <c r="P895" s="23" t="n"/>
      <c r="Q895" s="23" t="n"/>
      <c r="R895" s="23" t="n"/>
      <c r="S895" s="23" t="n"/>
      <c r="T895" s="23" t="n"/>
      <c r="U895" s="23" t="n"/>
      <c r="V895" s="23" t="n"/>
      <c r="W895" s="23" t="n"/>
      <c r="X895" s="23" t="n"/>
      <c r="Y895" s="25" t="n"/>
      <c r="Z895" s="25" t="n"/>
      <c r="AA895" s="23" t="n"/>
      <c r="AB895" s="25" t="n"/>
      <c r="AC895" s="23" t="n"/>
      <c r="AD895" s="25" t="n"/>
      <c r="AE895" s="23" t="n"/>
      <c r="AF895" s="25" t="n"/>
      <c r="AG895" s="25" t="n"/>
      <c r="AH895" s="23" t="n"/>
      <c r="AI895" s="23" t="n"/>
      <c r="AJ895" s="26">
        <f>IF(I895="","",I895&amp;"|"&amp;R895)</f>
        <v/>
      </c>
      <c r="AK895" s="26">
        <f>IF(I895="","",IF(ISNA(MATCH(O895,Kampanyalar!$A$2:$A$150,0)),"Hayır - Kampanyalar'da Yok","Evet"))</f>
        <v/>
      </c>
      <c r="AL895" s="27">
        <f>IF(I895="","",IFERROR(INDEX(Kampanyalar!$E$2:$E$150,MATCH(O895,Kampanyalar!$A$2:$A$150,0)),""))</f>
        <v/>
      </c>
      <c r="AM895" s="27">
        <f>IF(I895="","",IFERROR(INDEX(Kampanyalar!$F$2:$F$150,MATCH(O895,Kampanyalar!$A$2:$A$150,0)),""))</f>
        <v/>
      </c>
      <c r="AN895" s="27">
        <f>IF(I895="","",IFERROR(INDEX(Kampanyalar!$G$2:$G$150,MATCH(O895,Kampanyalar!$A$2:$A$150,0)),""))</f>
        <v/>
      </c>
      <c r="AO895" s="26">
        <f>IF(OR(I895="",AL895="",AM895=""),"",IF(AND(H895&gt;=AL895,H895&lt;=AM895),"Evet","HAYIR - Tarih Dışı"))</f>
        <v/>
      </c>
      <c r="AP895" s="28">
        <f>IF(I895="","",IFERROR(INDEX(Kampanyalar!$H$2:$H$150,MATCH(O895,Kampanyalar!$A$2:$A$150,0)),""))</f>
        <v/>
      </c>
      <c r="AQ895" s="28">
        <f>IF(I895="","",IF(ISNUMBER(AP895),AP895,AD895))</f>
        <v/>
      </c>
      <c r="AR895" s="26">
        <f>IF(I895="","",IF(Parametreler!$C$7="Evet","Kural A - Hemen Ödeme (Stok Mutabakatlı)","Kural B - Nakliye/Montaj Sonrası Ödeme"))</f>
        <v/>
      </c>
    </row>
    <row r="896">
      <c r="A896" s="23" t="n"/>
      <c r="B896" s="23" t="n"/>
      <c r="C896" s="23" t="n"/>
      <c r="D896" s="23" t="n"/>
      <c r="E896" s="23" t="n"/>
      <c r="F896" s="23" t="n"/>
      <c r="G896" s="23" t="n"/>
      <c r="H896" s="24" t="n"/>
      <c r="I896" s="23" t="n"/>
      <c r="J896" s="23" t="n"/>
      <c r="K896" s="23" t="n"/>
      <c r="L896" s="23" t="n"/>
      <c r="M896" s="23" t="n"/>
      <c r="N896" s="23" t="n"/>
      <c r="O896" s="23" t="n"/>
      <c r="P896" s="23" t="n"/>
      <c r="Q896" s="23" t="n"/>
      <c r="R896" s="23" t="n"/>
      <c r="S896" s="23" t="n"/>
      <c r="T896" s="23" t="n"/>
      <c r="U896" s="23" t="n"/>
      <c r="V896" s="23" t="n"/>
      <c r="W896" s="23" t="n"/>
      <c r="X896" s="23" t="n"/>
      <c r="Y896" s="25" t="n"/>
      <c r="Z896" s="25" t="n"/>
      <c r="AA896" s="23" t="n"/>
      <c r="AB896" s="25" t="n"/>
      <c r="AC896" s="23" t="n"/>
      <c r="AD896" s="25" t="n"/>
      <c r="AE896" s="23" t="n"/>
      <c r="AF896" s="25" t="n"/>
      <c r="AG896" s="25" t="n"/>
      <c r="AH896" s="23" t="n"/>
      <c r="AI896" s="23" t="n"/>
      <c r="AJ896" s="26">
        <f>IF(I896="","",I896&amp;"|"&amp;R896)</f>
        <v/>
      </c>
      <c r="AK896" s="26">
        <f>IF(I896="","",IF(ISNA(MATCH(O896,Kampanyalar!$A$2:$A$150,0)),"Hayır - Kampanyalar'da Yok","Evet"))</f>
        <v/>
      </c>
      <c r="AL896" s="27">
        <f>IF(I896="","",IFERROR(INDEX(Kampanyalar!$E$2:$E$150,MATCH(O896,Kampanyalar!$A$2:$A$150,0)),""))</f>
        <v/>
      </c>
      <c r="AM896" s="27">
        <f>IF(I896="","",IFERROR(INDEX(Kampanyalar!$F$2:$F$150,MATCH(O896,Kampanyalar!$A$2:$A$150,0)),""))</f>
        <v/>
      </c>
      <c r="AN896" s="27">
        <f>IF(I896="","",IFERROR(INDEX(Kampanyalar!$G$2:$G$150,MATCH(O896,Kampanyalar!$A$2:$A$150,0)),""))</f>
        <v/>
      </c>
      <c r="AO896" s="26">
        <f>IF(OR(I896="",AL896="",AM896=""),"",IF(AND(H896&gt;=AL896,H896&lt;=AM896),"Evet","HAYIR - Tarih Dışı"))</f>
        <v/>
      </c>
      <c r="AP896" s="28">
        <f>IF(I896="","",IFERROR(INDEX(Kampanyalar!$H$2:$H$150,MATCH(O896,Kampanyalar!$A$2:$A$150,0)),""))</f>
        <v/>
      </c>
      <c r="AQ896" s="28">
        <f>IF(I896="","",IF(ISNUMBER(AP896),AP896,AD896))</f>
        <v/>
      </c>
      <c r="AR896" s="26">
        <f>IF(I896="","",IF(Parametreler!$C$7="Evet","Kural A - Hemen Ödeme (Stok Mutabakatlı)","Kural B - Nakliye/Montaj Sonrası Ödeme"))</f>
        <v/>
      </c>
    </row>
    <row r="897">
      <c r="A897" s="23" t="n"/>
      <c r="B897" s="23" t="n"/>
      <c r="C897" s="23" t="n"/>
      <c r="D897" s="23" t="n"/>
      <c r="E897" s="23" t="n"/>
      <c r="F897" s="23" t="n"/>
      <c r="G897" s="23" t="n"/>
      <c r="H897" s="24" t="n"/>
      <c r="I897" s="23" t="n"/>
      <c r="J897" s="23" t="n"/>
      <c r="K897" s="23" t="n"/>
      <c r="L897" s="23" t="n"/>
      <c r="M897" s="23" t="n"/>
      <c r="N897" s="23" t="n"/>
      <c r="O897" s="23" t="n"/>
      <c r="P897" s="23" t="n"/>
      <c r="Q897" s="23" t="n"/>
      <c r="R897" s="23" t="n"/>
      <c r="S897" s="23" t="n"/>
      <c r="T897" s="23" t="n"/>
      <c r="U897" s="23" t="n"/>
      <c r="V897" s="23" t="n"/>
      <c r="W897" s="23" t="n"/>
      <c r="X897" s="23" t="n"/>
      <c r="Y897" s="25" t="n"/>
      <c r="Z897" s="25" t="n"/>
      <c r="AA897" s="23" t="n"/>
      <c r="AB897" s="25" t="n"/>
      <c r="AC897" s="23" t="n"/>
      <c r="AD897" s="25" t="n"/>
      <c r="AE897" s="23" t="n"/>
      <c r="AF897" s="25" t="n"/>
      <c r="AG897" s="25" t="n"/>
      <c r="AH897" s="23" t="n"/>
      <c r="AI897" s="23" t="n"/>
      <c r="AJ897" s="26">
        <f>IF(I897="","",I897&amp;"|"&amp;R897)</f>
        <v/>
      </c>
      <c r="AK897" s="26">
        <f>IF(I897="","",IF(ISNA(MATCH(O897,Kampanyalar!$A$2:$A$150,0)),"Hayır - Kampanyalar'da Yok","Evet"))</f>
        <v/>
      </c>
      <c r="AL897" s="27">
        <f>IF(I897="","",IFERROR(INDEX(Kampanyalar!$E$2:$E$150,MATCH(O897,Kampanyalar!$A$2:$A$150,0)),""))</f>
        <v/>
      </c>
      <c r="AM897" s="27">
        <f>IF(I897="","",IFERROR(INDEX(Kampanyalar!$F$2:$F$150,MATCH(O897,Kampanyalar!$A$2:$A$150,0)),""))</f>
        <v/>
      </c>
      <c r="AN897" s="27">
        <f>IF(I897="","",IFERROR(INDEX(Kampanyalar!$G$2:$G$150,MATCH(O897,Kampanyalar!$A$2:$A$150,0)),""))</f>
        <v/>
      </c>
      <c r="AO897" s="26">
        <f>IF(OR(I897="",AL897="",AM897=""),"",IF(AND(H897&gt;=AL897,H897&lt;=AM897),"Evet","HAYIR - Tarih Dışı"))</f>
        <v/>
      </c>
      <c r="AP897" s="28">
        <f>IF(I897="","",IFERROR(INDEX(Kampanyalar!$H$2:$H$150,MATCH(O897,Kampanyalar!$A$2:$A$150,0)),""))</f>
        <v/>
      </c>
      <c r="AQ897" s="28">
        <f>IF(I897="","",IF(ISNUMBER(AP897),AP897,AD897))</f>
        <v/>
      </c>
      <c r="AR897" s="26">
        <f>IF(I897="","",IF(Parametreler!$C$7="Evet","Kural A - Hemen Ödeme (Stok Mutabakatlı)","Kural B - Nakliye/Montaj Sonrası Ödeme"))</f>
        <v/>
      </c>
    </row>
    <row r="898">
      <c r="A898" s="23" t="n"/>
      <c r="B898" s="23" t="n"/>
      <c r="C898" s="23" t="n"/>
      <c r="D898" s="23" t="n"/>
      <c r="E898" s="23" t="n"/>
      <c r="F898" s="23" t="n"/>
      <c r="G898" s="23" t="n"/>
      <c r="H898" s="24" t="n"/>
      <c r="I898" s="23" t="n"/>
      <c r="J898" s="23" t="n"/>
      <c r="K898" s="23" t="n"/>
      <c r="L898" s="23" t="n"/>
      <c r="M898" s="23" t="n"/>
      <c r="N898" s="23" t="n"/>
      <c r="O898" s="23" t="n"/>
      <c r="P898" s="23" t="n"/>
      <c r="Q898" s="23" t="n"/>
      <c r="R898" s="23" t="n"/>
      <c r="S898" s="23" t="n"/>
      <c r="T898" s="23" t="n"/>
      <c r="U898" s="23" t="n"/>
      <c r="V898" s="23" t="n"/>
      <c r="W898" s="23" t="n"/>
      <c r="X898" s="23" t="n"/>
      <c r="Y898" s="25" t="n"/>
      <c r="Z898" s="25" t="n"/>
      <c r="AA898" s="23" t="n"/>
      <c r="AB898" s="25" t="n"/>
      <c r="AC898" s="23" t="n"/>
      <c r="AD898" s="25" t="n"/>
      <c r="AE898" s="23" t="n"/>
      <c r="AF898" s="25" t="n"/>
      <c r="AG898" s="25" t="n"/>
      <c r="AH898" s="23" t="n"/>
      <c r="AI898" s="23" t="n"/>
      <c r="AJ898" s="26">
        <f>IF(I898="","",I898&amp;"|"&amp;R898)</f>
        <v/>
      </c>
      <c r="AK898" s="26">
        <f>IF(I898="","",IF(ISNA(MATCH(O898,Kampanyalar!$A$2:$A$150,0)),"Hayır - Kampanyalar'da Yok","Evet"))</f>
        <v/>
      </c>
      <c r="AL898" s="27">
        <f>IF(I898="","",IFERROR(INDEX(Kampanyalar!$E$2:$E$150,MATCH(O898,Kampanyalar!$A$2:$A$150,0)),""))</f>
        <v/>
      </c>
      <c r="AM898" s="27">
        <f>IF(I898="","",IFERROR(INDEX(Kampanyalar!$F$2:$F$150,MATCH(O898,Kampanyalar!$A$2:$A$150,0)),""))</f>
        <v/>
      </c>
      <c r="AN898" s="27">
        <f>IF(I898="","",IFERROR(INDEX(Kampanyalar!$G$2:$G$150,MATCH(O898,Kampanyalar!$A$2:$A$150,0)),""))</f>
        <v/>
      </c>
      <c r="AO898" s="26">
        <f>IF(OR(I898="",AL898="",AM898=""),"",IF(AND(H898&gt;=AL898,H898&lt;=AM898),"Evet","HAYIR - Tarih Dışı"))</f>
        <v/>
      </c>
      <c r="AP898" s="28">
        <f>IF(I898="","",IFERROR(INDEX(Kampanyalar!$H$2:$H$150,MATCH(O898,Kampanyalar!$A$2:$A$150,0)),""))</f>
        <v/>
      </c>
      <c r="AQ898" s="28">
        <f>IF(I898="","",IF(ISNUMBER(AP898),AP898,AD898))</f>
        <v/>
      </c>
      <c r="AR898" s="26">
        <f>IF(I898="","",IF(Parametreler!$C$7="Evet","Kural A - Hemen Ödeme (Stok Mutabakatlı)","Kural B - Nakliye/Montaj Sonrası Ödeme"))</f>
        <v/>
      </c>
    </row>
    <row r="899">
      <c r="A899" s="23" t="n"/>
      <c r="B899" s="23" t="n"/>
      <c r="C899" s="23" t="n"/>
      <c r="D899" s="23" t="n"/>
      <c r="E899" s="23" t="n"/>
      <c r="F899" s="23" t="n"/>
      <c r="G899" s="23" t="n"/>
      <c r="H899" s="24" t="n"/>
      <c r="I899" s="23" t="n"/>
      <c r="J899" s="23" t="n"/>
      <c r="K899" s="23" t="n"/>
      <c r="L899" s="23" t="n"/>
      <c r="M899" s="23" t="n"/>
      <c r="N899" s="23" t="n"/>
      <c r="O899" s="23" t="n"/>
      <c r="P899" s="23" t="n"/>
      <c r="Q899" s="23" t="n"/>
      <c r="R899" s="23" t="n"/>
      <c r="S899" s="23" t="n"/>
      <c r="T899" s="23" t="n"/>
      <c r="U899" s="23" t="n"/>
      <c r="V899" s="23" t="n"/>
      <c r="W899" s="23" t="n"/>
      <c r="X899" s="23" t="n"/>
      <c r="Y899" s="25" t="n"/>
      <c r="Z899" s="25" t="n"/>
      <c r="AA899" s="23" t="n"/>
      <c r="AB899" s="25" t="n"/>
      <c r="AC899" s="23" t="n"/>
      <c r="AD899" s="25" t="n"/>
      <c r="AE899" s="23" t="n"/>
      <c r="AF899" s="25" t="n"/>
      <c r="AG899" s="25" t="n"/>
      <c r="AH899" s="23" t="n"/>
      <c r="AI899" s="23" t="n"/>
      <c r="AJ899" s="26">
        <f>IF(I899="","",I899&amp;"|"&amp;R899)</f>
        <v/>
      </c>
      <c r="AK899" s="26">
        <f>IF(I899="","",IF(ISNA(MATCH(O899,Kampanyalar!$A$2:$A$150,0)),"Hayır - Kampanyalar'da Yok","Evet"))</f>
        <v/>
      </c>
      <c r="AL899" s="27">
        <f>IF(I899="","",IFERROR(INDEX(Kampanyalar!$E$2:$E$150,MATCH(O899,Kampanyalar!$A$2:$A$150,0)),""))</f>
        <v/>
      </c>
      <c r="AM899" s="27">
        <f>IF(I899="","",IFERROR(INDEX(Kampanyalar!$F$2:$F$150,MATCH(O899,Kampanyalar!$A$2:$A$150,0)),""))</f>
        <v/>
      </c>
      <c r="AN899" s="27">
        <f>IF(I899="","",IFERROR(INDEX(Kampanyalar!$G$2:$G$150,MATCH(O899,Kampanyalar!$A$2:$A$150,0)),""))</f>
        <v/>
      </c>
      <c r="AO899" s="26">
        <f>IF(OR(I899="",AL899="",AM899=""),"",IF(AND(H899&gt;=AL899,H899&lt;=AM899),"Evet","HAYIR - Tarih Dışı"))</f>
        <v/>
      </c>
      <c r="AP899" s="28">
        <f>IF(I899="","",IFERROR(INDEX(Kampanyalar!$H$2:$H$150,MATCH(O899,Kampanyalar!$A$2:$A$150,0)),""))</f>
        <v/>
      </c>
      <c r="AQ899" s="28">
        <f>IF(I899="","",IF(ISNUMBER(AP899),AP899,AD899))</f>
        <v/>
      </c>
      <c r="AR899" s="26">
        <f>IF(I899="","",IF(Parametreler!$C$7="Evet","Kural A - Hemen Ödeme (Stok Mutabakatlı)","Kural B - Nakliye/Montaj Sonrası Ödeme"))</f>
        <v/>
      </c>
    </row>
    <row r="900">
      <c r="A900" s="23" t="n"/>
      <c r="B900" s="23" t="n"/>
      <c r="C900" s="23" t="n"/>
      <c r="D900" s="23" t="n"/>
      <c r="E900" s="23" t="n"/>
      <c r="F900" s="23" t="n"/>
      <c r="G900" s="23" t="n"/>
      <c r="H900" s="24" t="n"/>
      <c r="I900" s="23" t="n"/>
      <c r="J900" s="23" t="n"/>
      <c r="K900" s="23" t="n"/>
      <c r="L900" s="23" t="n"/>
      <c r="M900" s="23" t="n"/>
      <c r="N900" s="23" t="n"/>
      <c r="O900" s="23" t="n"/>
      <c r="P900" s="23" t="n"/>
      <c r="Q900" s="23" t="n"/>
      <c r="R900" s="23" t="n"/>
      <c r="S900" s="23" t="n"/>
      <c r="T900" s="23" t="n"/>
      <c r="U900" s="23" t="n"/>
      <c r="V900" s="23" t="n"/>
      <c r="W900" s="23" t="n"/>
      <c r="X900" s="23" t="n"/>
      <c r="Y900" s="25" t="n"/>
      <c r="Z900" s="25" t="n"/>
      <c r="AA900" s="23" t="n"/>
      <c r="AB900" s="25" t="n"/>
      <c r="AC900" s="23" t="n"/>
      <c r="AD900" s="25" t="n"/>
      <c r="AE900" s="23" t="n"/>
      <c r="AF900" s="25" t="n"/>
      <c r="AG900" s="25" t="n"/>
      <c r="AH900" s="23" t="n"/>
      <c r="AI900" s="23" t="n"/>
      <c r="AJ900" s="26">
        <f>IF(I900="","",I900&amp;"|"&amp;R900)</f>
        <v/>
      </c>
      <c r="AK900" s="26">
        <f>IF(I900="","",IF(ISNA(MATCH(O900,Kampanyalar!$A$2:$A$150,0)),"Hayır - Kampanyalar'da Yok","Evet"))</f>
        <v/>
      </c>
      <c r="AL900" s="27">
        <f>IF(I900="","",IFERROR(INDEX(Kampanyalar!$E$2:$E$150,MATCH(O900,Kampanyalar!$A$2:$A$150,0)),""))</f>
        <v/>
      </c>
      <c r="AM900" s="27">
        <f>IF(I900="","",IFERROR(INDEX(Kampanyalar!$F$2:$F$150,MATCH(O900,Kampanyalar!$A$2:$A$150,0)),""))</f>
        <v/>
      </c>
      <c r="AN900" s="27">
        <f>IF(I900="","",IFERROR(INDEX(Kampanyalar!$G$2:$G$150,MATCH(O900,Kampanyalar!$A$2:$A$150,0)),""))</f>
        <v/>
      </c>
      <c r="AO900" s="26">
        <f>IF(OR(I900="",AL900="",AM900=""),"",IF(AND(H900&gt;=AL900,H900&lt;=AM900),"Evet","HAYIR - Tarih Dışı"))</f>
        <v/>
      </c>
      <c r="AP900" s="28">
        <f>IF(I900="","",IFERROR(INDEX(Kampanyalar!$H$2:$H$150,MATCH(O900,Kampanyalar!$A$2:$A$150,0)),""))</f>
        <v/>
      </c>
      <c r="AQ900" s="28">
        <f>IF(I900="","",IF(ISNUMBER(AP900),AP900,AD900))</f>
        <v/>
      </c>
      <c r="AR900" s="26">
        <f>IF(I900="","",IF(Parametreler!$C$7="Evet","Kural A - Hemen Ödeme (Stok Mutabakatlı)","Kural B - Nakliye/Montaj Sonrası Ödeme"))</f>
        <v/>
      </c>
    </row>
    <row r="901">
      <c r="A901" s="23" t="n"/>
      <c r="B901" s="23" t="n"/>
      <c r="C901" s="23" t="n"/>
      <c r="D901" s="23" t="n"/>
      <c r="E901" s="23" t="n"/>
      <c r="F901" s="23" t="n"/>
      <c r="G901" s="23" t="n"/>
      <c r="H901" s="24" t="n"/>
      <c r="I901" s="23" t="n"/>
      <c r="J901" s="23" t="n"/>
      <c r="K901" s="23" t="n"/>
      <c r="L901" s="23" t="n"/>
      <c r="M901" s="23" t="n"/>
      <c r="N901" s="23" t="n"/>
      <c r="O901" s="23" t="n"/>
      <c r="P901" s="23" t="n"/>
      <c r="Q901" s="23" t="n"/>
      <c r="R901" s="23" t="n"/>
      <c r="S901" s="23" t="n"/>
      <c r="T901" s="23" t="n"/>
      <c r="U901" s="23" t="n"/>
      <c r="V901" s="23" t="n"/>
      <c r="W901" s="23" t="n"/>
      <c r="X901" s="23" t="n"/>
      <c r="Y901" s="25" t="n"/>
      <c r="Z901" s="25" t="n"/>
      <c r="AA901" s="23" t="n"/>
      <c r="AB901" s="25" t="n"/>
      <c r="AC901" s="23" t="n"/>
      <c r="AD901" s="25" t="n"/>
      <c r="AE901" s="23" t="n"/>
      <c r="AF901" s="25" t="n"/>
      <c r="AG901" s="25" t="n"/>
      <c r="AH901" s="23" t="n"/>
      <c r="AI901" s="23" t="n"/>
      <c r="AJ901" s="26">
        <f>IF(I901="","",I901&amp;"|"&amp;R901)</f>
        <v/>
      </c>
      <c r="AK901" s="26">
        <f>IF(I901="","",IF(ISNA(MATCH(O901,Kampanyalar!$A$2:$A$150,0)),"Hayır - Kampanyalar'da Yok","Evet"))</f>
        <v/>
      </c>
      <c r="AL901" s="27">
        <f>IF(I901="","",IFERROR(INDEX(Kampanyalar!$E$2:$E$150,MATCH(O901,Kampanyalar!$A$2:$A$150,0)),""))</f>
        <v/>
      </c>
      <c r="AM901" s="27">
        <f>IF(I901="","",IFERROR(INDEX(Kampanyalar!$F$2:$F$150,MATCH(O901,Kampanyalar!$A$2:$A$150,0)),""))</f>
        <v/>
      </c>
      <c r="AN901" s="27">
        <f>IF(I901="","",IFERROR(INDEX(Kampanyalar!$G$2:$G$150,MATCH(O901,Kampanyalar!$A$2:$A$150,0)),""))</f>
        <v/>
      </c>
      <c r="AO901" s="26">
        <f>IF(OR(I901="",AL901="",AM901=""),"",IF(AND(H901&gt;=AL901,H901&lt;=AM901),"Evet","HAYIR - Tarih Dışı"))</f>
        <v/>
      </c>
      <c r="AP901" s="28">
        <f>IF(I901="","",IFERROR(INDEX(Kampanyalar!$H$2:$H$150,MATCH(O901,Kampanyalar!$A$2:$A$150,0)),""))</f>
        <v/>
      </c>
      <c r="AQ901" s="28">
        <f>IF(I901="","",IF(ISNUMBER(AP901),AP901,AD901))</f>
        <v/>
      </c>
      <c r="AR901" s="26">
        <f>IF(I901="","",IF(Parametreler!$C$7="Evet","Kural A - Hemen Ödeme (Stok Mutabakatlı)","Kural B - Nakliye/Montaj Sonrası Ödeme"))</f>
        <v/>
      </c>
    </row>
    <row r="902">
      <c r="A902" s="23" t="n"/>
      <c r="B902" s="23" t="n"/>
      <c r="C902" s="23" t="n"/>
      <c r="D902" s="23" t="n"/>
      <c r="E902" s="23" t="n"/>
      <c r="F902" s="23" t="n"/>
      <c r="G902" s="23" t="n"/>
      <c r="H902" s="24" t="n"/>
      <c r="I902" s="23" t="n"/>
      <c r="J902" s="23" t="n"/>
      <c r="K902" s="23" t="n"/>
      <c r="L902" s="23" t="n"/>
      <c r="M902" s="23" t="n"/>
      <c r="N902" s="23" t="n"/>
      <c r="O902" s="23" t="n"/>
      <c r="P902" s="23" t="n"/>
      <c r="Q902" s="23" t="n"/>
      <c r="R902" s="23" t="n"/>
      <c r="S902" s="23" t="n"/>
      <c r="T902" s="23" t="n"/>
      <c r="U902" s="23" t="n"/>
      <c r="V902" s="23" t="n"/>
      <c r="W902" s="23" t="n"/>
      <c r="X902" s="23" t="n"/>
      <c r="Y902" s="25" t="n"/>
      <c r="Z902" s="25" t="n"/>
      <c r="AA902" s="23" t="n"/>
      <c r="AB902" s="25" t="n"/>
      <c r="AC902" s="23" t="n"/>
      <c r="AD902" s="25" t="n"/>
      <c r="AE902" s="23" t="n"/>
      <c r="AF902" s="25" t="n"/>
      <c r="AG902" s="25" t="n"/>
      <c r="AH902" s="23" t="n"/>
      <c r="AI902" s="23" t="n"/>
      <c r="AJ902" s="26">
        <f>IF(I902="","",I902&amp;"|"&amp;R902)</f>
        <v/>
      </c>
      <c r="AK902" s="26">
        <f>IF(I902="","",IF(ISNA(MATCH(O902,Kampanyalar!$A$2:$A$150,0)),"Hayır - Kampanyalar'da Yok","Evet"))</f>
        <v/>
      </c>
      <c r="AL902" s="27">
        <f>IF(I902="","",IFERROR(INDEX(Kampanyalar!$E$2:$E$150,MATCH(O902,Kampanyalar!$A$2:$A$150,0)),""))</f>
        <v/>
      </c>
      <c r="AM902" s="27">
        <f>IF(I902="","",IFERROR(INDEX(Kampanyalar!$F$2:$F$150,MATCH(O902,Kampanyalar!$A$2:$A$150,0)),""))</f>
        <v/>
      </c>
      <c r="AN902" s="27">
        <f>IF(I902="","",IFERROR(INDEX(Kampanyalar!$G$2:$G$150,MATCH(O902,Kampanyalar!$A$2:$A$150,0)),""))</f>
        <v/>
      </c>
      <c r="AO902" s="26">
        <f>IF(OR(I902="",AL902="",AM902=""),"",IF(AND(H902&gt;=AL902,H902&lt;=AM902),"Evet","HAYIR - Tarih Dışı"))</f>
        <v/>
      </c>
      <c r="AP902" s="28">
        <f>IF(I902="","",IFERROR(INDEX(Kampanyalar!$H$2:$H$150,MATCH(O902,Kampanyalar!$A$2:$A$150,0)),""))</f>
        <v/>
      </c>
      <c r="AQ902" s="28">
        <f>IF(I902="","",IF(ISNUMBER(AP902),AP902,AD902))</f>
        <v/>
      </c>
      <c r="AR902" s="26">
        <f>IF(I902="","",IF(Parametreler!$C$7="Evet","Kural A - Hemen Ödeme (Stok Mutabakatlı)","Kural B - Nakliye/Montaj Sonrası Ödeme"))</f>
        <v/>
      </c>
    </row>
    <row r="903">
      <c r="A903" s="23" t="n"/>
      <c r="B903" s="23" t="n"/>
      <c r="C903" s="23" t="n"/>
      <c r="D903" s="23" t="n"/>
      <c r="E903" s="23" t="n"/>
      <c r="F903" s="23" t="n"/>
      <c r="G903" s="23" t="n"/>
      <c r="H903" s="24" t="n"/>
      <c r="I903" s="23" t="n"/>
      <c r="J903" s="23" t="n"/>
      <c r="K903" s="23" t="n"/>
      <c r="L903" s="23" t="n"/>
      <c r="M903" s="23" t="n"/>
      <c r="N903" s="23" t="n"/>
      <c r="O903" s="23" t="n"/>
      <c r="P903" s="23" t="n"/>
      <c r="Q903" s="23" t="n"/>
      <c r="R903" s="23" t="n"/>
      <c r="S903" s="23" t="n"/>
      <c r="T903" s="23" t="n"/>
      <c r="U903" s="23" t="n"/>
      <c r="V903" s="23" t="n"/>
      <c r="W903" s="23" t="n"/>
      <c r="X903" s="23" t="n"/>
      <c r="Y903" s="25" t="n"/>
      <c r="Z903" s="25" t="n"/>
      <c r="AA903" s="23" t="n"/>
      <c r="AB903" s="25" t="n"/>
      <c r="AC903" s="23" t="n"/>
      <c r="AD903" s="25" t="n"/>
      <c r="AE903" s="23" t="n"/>
      <c r="AF903" s="25" t="n"/>
      <c r="AG903" s="25" t="n"/>
      <c r="AH903" s="23" t="n"/>
      <c r="AI903" s="23" t="n"/>
      <c r="AJ903" s="26">
        <f>IF(I903="","",I903&amp;"|"&amp;R903)</f>
        <v/>
      </c>
      <c r="AK903" s="26">
        <f>IF(I903="","",IF(ISNA(MATCH(O903,Kampanyalar!$A$2:$A$150,0)),"Hayır - Kampanyalar'da Yok","Evet"))</f>
        <v/>
      </c>
      <c r="AL903" s="27">
        <f>IF(I903="","",IFERROR(INDEX(Kampanyalar!$E$2:$E$150,MATCH(O903,Kampanyalar!$A$2:$A$150,0)),""))</f>
        <v/>
      </c>
      <c r="AM903" s="27">
        <f>IF(I903="","",IFERROR(INDEX(Kampanyalar!$F$2:$F$150,MATCH(O903,Kampanyalar!$A$2:$A$150,0)),""))</f>
        <v/>
      </c>
      <c r="AN903" s="27">
        <f>IF(I903="","",IFERROR(INDEX(Kampanyalar!$G$2:$G$150,MATCH(O903,Kampanyalar!$A$2:$A$150,0)),""))</f>
        <v/>
      </c>
      <c r="AO903" s="26">
        <f>IF(OR(I903="",AL903="",AM903=""),"",IF(AND(H903&gt;=AL903,H903&lt;=AM903),"Evet","HAYIR - Tarih Dışı"))</f>
        <v/>
      </c>
      <c r="AP903" s="28">
        <f>IF(I903="","",IFERROR(INDEX(Kampanyalar!$H$2:$H$150,MATCH(O903,Kampanyalar!$A$2:$A$150,0)),""))</f>
        <v/>
      </c>
      <c r="AQ903" s="28">
        <f>IF(I903="","",IF(ISNUMBER(AP903),AP903,AD903))</f>
        <v/>
      </c>
      <c r="AR903" s="26">
        <f>IF(I903="","",IF(Parametreler!$C$7="Evet","Kural A - Hemen Ödeme (Stok Mutabakatlı)","Kural B - Nakliye/Montaj Sonrası Ödeme"))</f>
        <v/>
      </c>
    </row>
    <row r="904">
      <c r="A904" s="23" t="n"/>
      <c r="B904" s="23" t="n"/>
      <c r="C904" s="23" t="n"/>
      <c r="D904" s="23" t="n"/>
      <c r="E904" s="23" t="n"/>
      <c r="F904" s="23" t="n"/>
      <c r="G904" s="23" t="n"/>
      <c r="H904" s="24" t="n"/>
      <c r="I904" s="23" t="n"/>
      <c r="J904" s="23" t="n"/>
      <c r="K904" s="23" t="n"/>
      <c r="L904" s="23" t="n"/>
      <c r="M904" s="23" t="n"/>
      <c r="N904" s="23" t="n"/>
      <c r="O904" s="23" t="n"/>
      <c r="P904" s="23" t="n"/>
      <c r="Q904" s="23" t="n"/>
      <c r="R904" s="23" t="n"/>
      <c r="S904" s="23" t="n"/>
      <c r="T904" s="23" t="n"/>
      <c r="U904" s="23" t="n"/>
      <c r="V904" s="23" t="n"/>
      <c r="W904" s="23" t="n"/>
      <c r="X904" s="23" t="n"/>
      <c r="Y904" s="25" t="n"/>
      <c r="Z904" s="25" t="n"/>
      <c r="AA904" s="23" t="n"/>
      <c r="AB904" s="25" t="n"/>
      <c r="AC904" s="23" t="n"/>
      <c r="AD904" s="25" t="n"/>
      <c r="AE904" s="23" t="n"/>
      <c r="AF904" s="25" t="n"/>
      <c r="AG904" s="25" t="n"/>
      <c r="AH904" s="23" t="n"/>
      <c r="AI904" s="23" t="n"/>
      <c r="AJ904" s="26">
        <f>IF(I904="","",I904&amp;"|"&amp;R904)</f>
        <v/>
      </c>
      <c r="AK904" s="26">
        <f>IF(I904="","",IF(ISNA(MATCH(O904,Kampanyalar!$A$2:$A$150,0)),"Hayır - Kampanyalar'da Yok","Evet"))</f>
        <v/>
      </c>
      <c r="AL904" s="27">
        <f>IF(I904="","",IFERROR(INDEX(Kampanyalar!$E$2:$E$150,MATCH(O904,Kampanyalar!$A$2:$A$150,0)),""))</f>
        <v/>
      </c>
      <c r="AM904" s="27">
        <f>IF(I904="","",IFERROR(INDEX(Kampanyalar!$F$2:$F$150,MATCH(O904,Kampanyalar!$A$2:$A$150,0)),""))</f>
        <v/>
      </c>
      <c r="AN904" s="27">
        <f>IF(I904="","",IFERROR(INDEX(Kampanyalar!$G$2:$G$150,MATCH(O904,Kampanyalar!$A$2:$A$150,0)),""))</f>
        <v/>
      </c>
      <c r="AO904" s="26">
        <f>IF(OR(I904="",AL904="",AM904=""),"",IF(AND(H904&gt;=AL904,H904&lt;=AM904),"Evet","HAYIR - Tarih Dışı"))</f>
        <v/>
      </c>
      <c r="AP904" s="28">
        <f>IF(I904="","",IFERROR(INDEX(Kampanyalar!$H$2:$H$150,MATCH(O904,Kampanyalar!$A$2:$A$150,0)),""))</f>
        <v/>
      </c>
      <c r="AQ904" s="28">
        <f>IF(I904="","",IF(ISNUMBER(AP904),AP904,AD904))</f>
        <v/>
      </c>
      <c r="AR904" s="26">
        <f>IF(I904="","",IF(Parametreler!$C$7="Evet","Kural A - Hemen Ödeme (Stok Mutabakatlı)","Kural B - Nakliye/Montaj Sonrası Ödeme"))</f>
        <v/>
      </c>
    </row>
    <row r="905">
      <c r="A905" s="23" t="n"/>
      <c r="B905" s="23" t="n"/>
      <c r="C905" s="23" t="n"/>
      <c r="D905" s="23" t="n"/>
      <c r="E905" s="23" t="n"/>
      <c r="F905" s="23" t="n"/>
      <c r="G905" s="23" t="n"/>
      <c r="H905" s="24" t="n"/>
      <c r="I905" s="23" t="n"/>
      <c r="J905" s="23" t="n"/>
      <c r="K905" s="23" t="n"/>
      <c r="L905" s="23" t="n"/>
      <c r="M905" s="23" t="n"/>
      <c r="N905" s="23" t="n"/>
      <c r="O905" s="23" t="n"/>
      <c r="P905" s="23" t="n"/>
      <c r="Q905" s="23" t="n"/>
      <c r="R905" s="23" t="n"/>
      <c r="S905" s="23" t="n"/>
      <c r="T905" s="23" t="n"/>
      <c r="U905" s="23" t="n"/>
      <c r="V905" s="23" t="n"/>
      <c r="W905" s="23" t="n"/>
      <c r="X905" s="23" t="n"/>
      <c r="Y905" s="25" t="n"/>
      <c r="Z905" s="25" t="n"/>
      <c r="AA905" s="23" t="n"/>
      <c r="AB905" s="25" t="n"/>
      <c r="AC905" s="23" t="n"/>
      <c r="AD905" s="25" t="n"/>
      <c r="AE905" s="23" t="n"/>
      <c r="AF905" s="25" t="n"/>
      <c r="AG905" s="25" t="n"/>
      <c r="AH905" s="23" t="n"/>
      <c r="AI905" s="23" t="n"/>
      <c r="AJ905" s="26">
        <f>IF(I905="","",I905&amp;"|"&amp;R905)</f>
        <v/>
      </c>
      <c r="AK905" s="26">
        <f>IF(I905="","",IF(ISNA(MATCH(O905,Kampanyalar!$A$2:$A$150,0)),"Hayır - Kampanyalar'da Yok","Evet"))</f>
        <v/>
      </c>
      <c r="AL905" s="27">
        <f>IF(I905="","",IFERROR(INDEX(Kampanyalar!$E$2:$E$150,MATCH(O905,Kampanyalar!$A$2:$A$150,0)),""))</f>
        <v/>
      </c>
      <c r="AM905" s="27">
        <f>IF(I905="","",IFERROR(INDEX(Kampanyalar!$F$2:$F$150,MATCH(O905,Kampanyalar!$A$2:$A$150,0)),""))</f>
        <v/>
      </c>
      <c r="AN905" s="27">
        <f>IF(I905="","",IFERROR(INDEX(Kampanyalar!$G$2:$G$150,MATCH(O905,Kampanyalar!$A$2:$A$150,0)),""))</f>
        <v/>
      </c>
      <c r="AO905" s="26">
        <f>IF(OR(I905="",AL905="",AM905=""),"",IF(AND(H905&gt;=AL905,H905&lt;=AM905),"Evet","HAYIR - Tarih Dışı"))</f>
        <v/>
      </c>
      <c r="AP905" s="28">
        <f>IF(I905="","",IFERROR(INDEX(Kampanyalar!$H$2:$H$150,MATCH(O905,Kampanyalar!$A$2:$A$150,0)),""))</f>
        <v/>
      </c>
      <c r="AQ905" s="28">
        <f>IF(I905="","",IF(ISNUMBER(AP905),AP905,AD905))</f>
        <v/>
      </c>
      <c r="AR905" s="26">
        <f>IF(I905="","",IF(Parametreler!$C$7="Evet","Kural A - Hemen Ödeme (Stok Mutabakatlı)","Kural B - Nakliye/Montaj Sonrası Ödeme"))</f>
        <v/>
      </c>
    </row>
    <row r="906">
      <c r="A906" s="23" t="n"/>
      <c r="B906" s="23" t="n"/>
      <c r="C906" s="23" t="n"/>
      <c r="D906" s="23" t="n"/>
      <c r="E906" s="23" t="n"/>
      <c r="F906" s="23" t="n"/>
      <c r="G906" s="23" t="n"/>
      <c r="H906" s="24" t="n"/>
      <c r="I906" s="23" t="n"/>
      <c r="J906" s="23" t="n"/>
      <c r="K906" s="23" t="n"/>
      <c r="L906" s="23" t="n"/>
      <c r="M906" s="23" t="n"/>
      <c r="N906" s="23" t="n"/>
      <c r="O906" s="23" t="n"/>
      <c r="P906" s="23" t="n"/>
      <c r="Q906" s="23" t="n"/>
      <c r="R906" s="23" t="n"/>
      <c r="S906" s="23" t="n"/>
      <c r="T906" s="23" t="n"/>
      <c r="U906" s="23" t="n"/>
      <c r="V906" s="23" t="n"/>
      <c r="W906" s="23" t="n"/>
      <c r="X906" s="23" t="n"/>
      <c r="Y906" s="25" t="n"/>
      <c r="Z906" s="25" t="n"/>
      <c r="AA906" s="23" t="n"/>
      <c r="AB906" s="25" t="n"/>
      <c r="AC906" s="23" t="n"/>
      <c r="AD906" s="25" t="n"/>
      <c r="AE906" s="23" t="n"/>
      <c r="AF906" s="25" t="n"/>
      <c r="AG906" s="25" t="n"/>
      <c r="AH906" s="23" t="n"/>
      <c r="AI906" s="23" t="n"/>
      <c r="AJ906" s="26">
        <f>IF(I906="","",I906&amp;"|"&amp;R906)</f>
        <v/>
      </c>
      <c r="AK906" s="26">
        <f>IF(I906="","",IF(ISNA(MATCH(O906,Kampanyalar!$A$2:$A$150,0)),"Hayır - Kampanyalar'da Yok","Evet"))</f>
        <v/>
      </c>
      <c r="AL906" s="27">
        <f>IF(I906="","",IFERROR(INDEX(Kampanyalar!$E$2:$E$150,MATCH(O906,Kampanyalar!$A$2:$A$150,0)),""))</f>
        <v/>
      </c>
      <c r="AM906" s="27">
        <f>IF(I906="","",IFERROR(INDEX(Kampanyalar!$F$2:$F$150,MATCH(O906,Kampanyalar!$A$2:$A$150,0)),""))</f>
        <v/>
      </c>
      <c r="AN906" s="27">
        <f>IF(I906="","",IFERROR(INDEX(Kampanyalar!$G$2:$G$150,MATCH(O906,Kampanyalar!$A$2:$A$150,0)),""))</f>
        <v/>
      </c>
      <c r="AO906" s="26">
        <f>IF(OR(I906="",AL906="",AM906=""),"",IF(AND(H906&gt;=AL906,H906&lt;=AM906),"Evet","HAYIR - Tarih Dışı"))</f>
        <v/>
      </c>
      <c r="AP906" s="28">
        <f>IF(I906="","",IFERROR(INDEX(Kampanyalar!$H$2:$H$150,MATCH(O906,Kampanyalar!$A$2:$A$150,0)),""))</f>
        <v/>
      </c>
      <c r="AQ906" s="28">
        <f>IF(I906="","",IF(ISNUMBER(AP906),AP906,AD906))</f>
        <v/>
      </c>
      <c r="AR906" s="26">
        <f>IF(I906="","",IF(Parametreler!$C$7="Evet","Kural A - Hemen Ödeme (Stok Mutabakatlı)","Kural B - Nakliye/Montaj Sonrası Ödeme"))</f>
        <v/>
      </c>
    </row>
    <row r="907">
      <c r="A907" s="23" t="n"/>
      <c r="B907" s="23" t="n"/>
      <c r="C907" s="23" t="n"/>
      <c r="D907" s="23" t="n"/>
      <c r="E907" s="23" t="n"/>
      <c r="F907" s="23" t="n"/>
      <c r="G907" s="23" t="n"/>
      <c r="H907" s="24" t="n"/>
      <c r="I907" s="23" t="n"/>
      <c r="J907" s="23" t="n"/>
      <c r="K907" s="23" t="n"/>
      <c r="L907" s="23" t="n"/>
      <c r="M907" s="23" t="n"/>
      <c r="N907" s="23" t="n"/>
      <c r="O907" s="23" t="n"/>
      <c r="P907" s="23" t="n"/>
      <c r="Q907" s="23" t="n"/>
      <c r="R907" s="23" t="n"/>
      <c r="S907" s="23" t="n"/>
      <c r="T907" s="23" t="n"/>
      <c r="U907" s="23" t="n"/>
      <c r="V907" s="23" t="n"/>
      <c r="W907" s="23" t="n"/>
      <c r="X907" s="23" t="n"/>
      <c r="Y907" s="25" t="n"/>
      <c r="Z907" s="25" t="n"/>
      <c r="AA907" s="23" t="n"/>
      <c r="AB907" s="25" t="n"/>
      <c r="AC907" s="23" t="n"/>
      <c r="AD907" s="25" t="n"/>
      <c r="AE907" s="23" t="n"/>
      <c r="AF907" s="25" t="n"/>
      <c r="AG907" s="25" t="n"/>
      <c r="AH907" s="23" t="n"/>
      <c r="AI907" s="23" t="n"/>
      <c r="AJ907" s="26">
        <f>IF(I907="","",I907&amp;"|"&amp;R907)</f>
        <v/>
      </c>
      <c r="AK907" s="26">
        <f>IF(I907="","",IF(ISNA(MATCH(O907,Kampanyalar!$A$2:$A$150,0)),"Hayır - Kampanyalar'da Yok","Evet"))</f>
        <v/>
      </c>
      <c r="AL907" s="27">
        <f>IF(I907="","",IFERROR(INDEX(Kampanyalar!$E$2:$E$150,MATCH(O907,Kampanyalar!$A$2:$A$150,0)),""))</f>
        <v/>
      </c>
      <c r="AM907" s="27">
        <f>IF(I907="","",IFERROR(INDEX(Kampanyalar!$F$2:$F$150,MATCH(O907,Kampanyalar!$A$2:$A$150,0)),""))</f>
        <v/>
      </c>
      <c r="AN907" s="27">
        <f>IF(I907="","",IFERROR(INDEX(Kampanyalar!$G$2:$G$150,MATCH(O907,Kampanyalar!$A$2:$A$150,0)),""))</f>
        <v/>
      </c>
      <c r="AO907" s="26">
        <f>IF(OR(I907="",AL907="",AM907=""),"",IF(AND(H907&gt;=AL907,H907&lt;=AM907),"Evet","HAYIR - Tarih Dışı"))</f>
        <v/>
      </c>
      <c r="AP907" s="28">
        <f>IF(I907="","",IFERROR(INDEX(Kampanyalar!$H$2:$H$150,MATCH(O907,Kampanyalar!$A$2:$A$150,0)),""))</f>
        <v/>
      </c>
      <c r="AQ907" s="28">
        <f>IF(I907="","",IF(ISNUMBER(AP907),AP907,AD907))</f>
        <v/>
      </c>
      <c r="AR907" s="26">
        <f>IF(I907="","",IF(Parametreler!$C$7="Evet","Kural A - Hemen Ödeme (Stok Mutabakatlı)","Kural B - Nakliye/Montaj Sonrası Ödeme"))</f>
        <v/>
      </c>
    </row>
    <row r="908">
      <c r="A908" s="23" t="n"/>
      <c r="B908" s="23" t="n"/>
      <c r="C908" s="23" t="n"/>
      <c r="D908" s="23" t="n"/>
      <c r="E908" s="23" t="n"/>
      <c r="F908" s="23" t="n"/>
      <c r="G908" s="23" t="n"/>
      <c r="H908" s="24" t="n"/>
      <c r="I908" s="23" t="n"/>
      <c r="J908" s="23" t="n"/>
      <c r="K908" s="23" t="n"/>
      <c r="L908" s="23" t="n"/>
      <c r="M908" s="23" t="n"/>
      <c r="N908" s="23" t="n"/>
      <c r="O908" s="23" t="n"/>
      <c r="P908" s="23" t="n"/>
      <c r="Q908" s="23" t="n"/>
      <c r="R908" s="23" t="n"/>
      <c r="S908" s="23" t="n"/>
      <c r="T908" s="23" t="n"/>
      <c r="U908" s="23" t="n"/>
      <c r="V908" s="23" t="n"/>
      <c r="W908" s="23" t="n"/>
      <c r="X908" s="23" t="n"/>
      <c r="Y908" s="25" t="n"/>
      <c r="Z908" s="25" t="n"/>
      <c r="AA908" s="23" t="n"/>
      <c r="AB908" s="25" t="n"/>
      <c r="AC908" s="23" t="n"/>
      <c r="AD908" s="25" t="n"/>
      <c r="AE908" s="23" t="n"/>
      <c r="AF908" s="25" t="n"/>
      <c r="AG908" s="25" t="n"/>
      <c r="AH908" s="23" t="n"/>
      <c r="AI908" s="23" t="n"/>
      <c r="AJ908" s="26">
        <f>IF(I908="","",I908&amp;"|"&amp;R908)</f>
        <v/>
      </c>
      <c r="AK908" s="26">
        <f>IF(I908="","",IF(ISNA(MATCH(O908,Kampanyalar!$A$2:$A$150,0)),"Hayır - Kampanyalar'da Yok","Evet"))</f>
        <v/>
      </c>
      <c r="AL908" s="27">
        <f>IF(I908="","",IFERROR(INDEX(Kampanyalar!$E$2:$E$150,MATCH(O908,Kampanyalar!$A$2:$A$150,0)),""))</f>
        <v/>
      </c>
      <c r="AM908" s="27">
        <f>IF(I908="","",IFERROR(INDEX(Kampanyalar!$F$2:$F$150,MATCH(O908,Kampanyalar!$A$2:$A$150,0)),""))</f>
        <v/>
      </c>
      <c r="AN908" s="27">
        <f>IF(I908="","",IFERROR(INDEX(Kampanyalar!$G$2:$G$150,MATCH(O908,Kampanyalar!$A$2:$A$150,0)),""))</f>
        <v/>
      </c>
      <c r="AO908" s="26">
        <f>IF(OR(I908="",AL908="",AM908=""),"",IF(AND(H908&gt;=AL908,H908&lt;=AM908),"Evet","HAYIR - Tarih Dışı"))</f>
        <v/>
      </c>
      <c r="AP908" s="28">
        <f>IF(I908="","",IFERROR(INDEX(Kampanyalar!$H$2:$H$150,MATCH(O908,Kampanyalar!$A$2:$A$150,0)),""))</f>
        <v/>
      </c>
      <c r="AQ908" s="28">
        <f>IF(I908="","",IF(ISNUMBER(AP908),AP908,AD908))</f>
        <v/>
      </c>
      <c r="AR908" s="26">
        <f>IF(I908="","",IF(Parametreler!$C$7="Evet","Kural A - Hemen Ödeme (Stok Mutabakatlı)","Kural B - Nakliye/Montaj Sonrası Ödeme"))</f>
        <v/>
      </c>
    </row>
    <row r="909">
      <c r="A909" s="23" t="n"/>
      <c r="B909" s="23" t="n"/>
      <c r="C909" s="23" t="n"/>
      <c r="D909" s="23" t="n"/>
      <c r="E909" s="23" t="n"/>
      <c r="F909" s="23" t="n"/>
      <c r="G909" s="23" t="n"/>
      <c r="H909" s="24" t="n"/>
      <c r="I909" s="23" t="n"/>
      <c r="J909" s="23" t="n"/>
      <c r="K909" s="23" t="n"/>
      <c r="L909" s="23" t="n"/>
      <c r="M909" s="23" t="n"/>
      <c r="N909" s="23" t="n"/>
      <c r="O909" s="23" t="n"/>
      <c r="P909" s="23" t="n"/>
      <c r="Q909" s="23" t="n"/>
      <c r="R909" s="23" t="n"/>
      <c r="S909" s="23" t="n"/>
      <c r="T909" s="23" t="n"/>
      <c r="U909" s="23" t="n"/>
      <c r="V909" s="23" t="n"/>
      <c r="W909" s="23" t="n"/>
      <c r="X909" s="23" t="n"/>
      <c r="Y909" s="25" t="n"/>
      <c r="Z909" s="25" t="n"/>
      <c r="AA909" s="23" t="n"/>
      <c r="AB909" s="25" t="n"/>
      <c r="AC909" s="23" t="n"/>
      <c r="AD909" s="25" t="n"/>
      <c r="AE909" s="23" t="n"/>
      <c r="AF909" s="25" t="n"/>
      <c r="AG909" s="25" t="n"/>
      <c r="AH909" s="23" t="n"/>
      <c r="AI909" s="23" t="n"/>
      <c r="AJ909" s="26">
        <f>IF(I909="","",I909&amp;"|"&amp;R909)</f>
        <v/>
      </c>
      <c r="AK909" s="26">
        <f>IF(I909="","",IF(ISNA(MATCH(O909,Kampanyalar!$A$2:$A$150,0)),"Hayır - Kampanyalar'da Yok","Evet"))</f>
        <v/>
      </c>
      <c r="AL909" s="27">
        <f>IF(I909="","",IFERROR(INDEX(Kampanyalar!$E$2:$E$150,MATCH(O909,Kampanyalar!$A$2:$A$150,0)),""))</f>
        <v/>
      </c>
      <c r="AM909" s="27">
        <f>IF(I909="","",IFERROR(INDEX(Kampanyalar!$F$2:$F$150,MATCH(O909,Kampanyalar!$A$2:$A$150,0)),""))</f>
        <v/>
      </c>
      <c r="AN909" s="27">
        <f>IF(I909="","",IFERROR(INDEX(Kampanyalar!$G$2:$G$150,MATCH(O909,Kampanyalar!$A$2:$A$150,0)),""))</f>
        <v/>
      </c>
      <c r="AO909" s="26">
        <f>IF(OR(I909="",AL909="",AM909=""),"",IF(AND(H909&gt;=AL909,H909&lt;=AM909),"Evet","HAYIR - Tarih Dışı"))</f>
        <v/>
      </c>
      <c r="AP909" s="28">
        <f>IF(I909="","",IFERROR(INDEX(Kampanyalar!$H$2:$H$150,MATCH(O909,Kampanyalar!$A$2:$A$150,0)),""))</f>
        <v/>
      </c>
      <c r="AQ909" s="28">
        <f>IF(I909="","",IF(ISNUMBER(AP909),AP909,AD909))</f>
        <v/>
      </c>
      <c r="AR909" s="26">
        <f>IF(I909="","",IF(Parametreler!$C$7="Evet","Kural A - Hemen Ödeme (Stok Mutabakatlı)","Kural B - Nakliye/Montaj Sonrası Ödeme"))</f>
        <v/>
      </c>
    </row>
    <row r="910">
      <c r="A910" s="23" t="n"/>
      <c r="B910" s="23" t="n"/>
      <c r="C910" s="23" t="n"/>
      <c r="D910" s="23" t="n"/>
      <c r="E910" s="23" t="n"/>
      <c r="F910" s="23" t="n"/>
      <c r="G910" s="23" t="n"/>
      <c r="H910" s="24" t="n"/>
      <c r="I910" s="23" t="n"/>
      <c r="J910" s="23" t="n"/>
      <c r="K910" s="23" t="n"/>
      <c r="L910" s="23" t="n"/>
      <c r="M910" s="23" t="n"/>
      <c r="N910" s="23" t="n"/>
      <c r="O910" s="23" t="n"/>
      <c r="P910" s="23" t="n"/>
      <c r="Q910" s="23" t="n"/>
      <c r="R910" s="23" t="n"/>
      <c r="S910" s="23" t="n"/>
      <c r="T910" s="23" t="n"/>
      <c r="U910" s="23" t="n"/>
      <c r="V910" s="23" t="n"/>
      <c r="W910" s="23" t="n"/>
      <c r="X910" s="23" t="n"/>
      <c r="Y910" s="25" t="n"/>
      <c r="Z910" s="25" t="n"/>
      <c r="AA910" s="23" t="n"/>
      <c r="AB910" s="25" t="n"/>
      <c r="AC910" s="23" t="n"/>
      <c r="AD910" s="25" t="n"/>
      <c r="AE910" s="23" t="n"/>
      <c r="AF910" s="25" t="n"/>
      <c r="AG910" s="25" t="n"/>
      <c r="AH910" s="23" t="n"/>
      <c r="AI910" s="23" t="n"/>
      <c r="AJ910" s="26">
        <f>IF(I910="","",I910&amp;"|"&amp;R910)</f>
        <v/>
      </c>
      <c r="AK910" s="26">
        <f>IF(I910="","",IF(ISNA(MATCH(O910,Kampanyalar!$A$2:$A$150,0)),"Hayır - Kampanyalar'da Yok","Evet"))</f>
        <v/>
      </c>
      <c r="AL910" s="27">
        <f>IF(I910="","",IFERROR(INDEX(Kampanyalar!$E$2:$E$150,MATCH(O910,Kampanyalar!$A$2:$A$150,0)),""))</f>
        <v/>
      </c>
      <c r="AM910" s="27">
        <f>IF(I910="","",IFERROR(INDEX(Kampanyalar!$F$2:$F$150,MATCH(O910,Kampanyalar!$A$2:$A$150,0)),""))</f>
        <v/>
      </c>
      <c r="AN910" s="27">
        <f>IF(I910="","",IFERROR(INDEX(Kampanyalar!$G$2:$G$150,MATCH(O910,Kampanyalar!$A$2:$A$150,0)),""))</f>
        <v/>
      </c>
      <c r="AO910" s="26">
        <f>IF(OR(I910="",AL910="",AM910=""),"",IF(AND(H910&gt;=AL910,H910&lt;=AM910),"Evet","HAYIR - Tarih Dışı"))</f>
        <v/>
      </c>
      <c r="AP910" s="28">
        <f>IF(I910="","",IFERROR(INDEX(Kampanyalar!$H$2:$H$150,MATCH(O910,Kampanyalar!$A$2:$A$150,0)),""))</f>
        <v/>
      </c>
      <c r="AQ910" s="28">
        <f>IF(I910="","",IF(ISNUMBER(AP910),AP910,AD910))</f>
        <v/>
      </c>
      <c r="AR910" s="26">
        <f>IF(I910="","",IF(Parametreler!$C$7="Evet","Kural A - Hemen Ödeme (Stok Mutabakatlı)","Kural B - Nakliye/Montaj Sonrası Ödeme"))</f>
        <v/>
      </c>
    </row>
    <row r="911">
      <c r="A911" s="23" t="n"/>
      <c r="B911" s="23" t="n"/>
      <c r="C911" s="23" t="n"/>
      <c r="D911" s="23" t="n"/>
      <c r="E911" s="23" t="n"/>
      <c r="F911" s="23" t="n"/>
      <c r="G911" s="23" t="n"/>
      <c r="H911" s="24" t="n"/>
      <c r="I911" s="23" t="n"/>
      <c r="J911" s="23" t="n"/>
      <c r="K911" s="23" t="n"/>
      <c r="L911" s="23" t="n"/>
      <c r="M911" s="23" t="n"/>
      <c r="N911" s="23" t="n"/>
      <c r="O911" s="23" t="n"/>
      <c r="P911" s="23" t="n"/>
      <c r="Q911" s="23" t="n"/>
      <c r="R911" s="23" t="n"/>
      <c r="S911" s="23" t="n"/>
      <c r="T911" s="23" t="n"/>
      <c r="U911" s="23" t="n"/>
      <c r="V911" s="23" t="n"/>
      <c r="W911" s="23" t="n"/>
      <c r="X911" s="23" t="n"/>
      <c r="Y911" s="25" t="n"/>
      <c r="Z911" s="25" t="n"/>
      <c r="AA911" s="23" t="n"/>
      <c r="AB911" s="25" t="n"/>
      <c r="AC911" s="23" t="n"/>
      <c r="AD911" s="25" t="n"/>
      <c r="AE911" s="23" t="n"/>
      <c r="AF911" s="25" t="n"/>
      <c r="AG911" s="25" t="n"/>
      <c r="AH911" s="23" t="n"/>
      <c r="AI911" s="23" t="n"/>
      <c r="AJ911" s="26">
        <f>IF(I911="","",I911&amp;"|"&amp;R911)</f>
        <v/>
      </c>
      <c r="AK911" s="26">
        <f>IF(I911="","",IF(ISNA(MATCH(O911,Kampanyalar!$A$2:$A$150,0)),"Hayır - Kampanyalar'da Yok","Evet"))</f>
        <v/>
      </c>
      <c r="AL911" s="27">
        <f>IF(I911="","",IFERROR(INDEX(Kampanyalar!$E$2:$E$150,MATCH(O911,Kampanyalar!$A$2:$A$150,0)),""))</f>
        <v/>
      </c>
      <c r="AM911" s="27">
        <f>IF(I911="","",IFERROR(INDEX(Kampanyalar!$F$2:$F$150,MATCH(O911,Kampanyalar!$A$2:$A$150,0)),""))</f>
        <v/>
      </c>
      <c r="AN911" s="27">
        <f>IF(I911="","",IFERROR(INDEX(Kampanyalar!$G$2:$G$150,MATCH(O911,Kampanyalar!$A$2:$A$150,0)),""))</f>
        <v/>
      </c>
      <c r="AO911" s="26">
        <f>IF(OR(I911="",AL911="",AM911=""),"",IF(AND(H911&gt;=AL911,H911&lt;=AM911),"Evet","HAYIR - Tarih Dışı"))</f>
        <v/>
      </c>
      <c r="AP911" s="28">
        <f>IF(I911="","",IFERROR(INDEX(Kampanyalar!$H$2:$H$150,MATCH(O911,Kampanyalar!$A$2:$A$150,0)),""))</f>
        <v/>
      </c>
      <c r="AQ911" s="28">
        <f>IF(I911="","",IF(ISNUMBER(AP911),AP911,AD911))</f>
        <v/>
      </c>
      <c r="AR911" s="26">
        <f>IF(I911="","",IF(Parametreler!$C$7="Evet","Kural A - Hemen Ödeme (Stok Mutabakatlı)","Kural B - Nakliye/Montaj Sonrası Ödeme"))</f>
        <v/>
      </c>
    </row>
    <row r="912">
      <c r="A912" s="23" t="n"/>
      <c r="B912" s="23" t="n"/>
      <c r="C912" s="23" t="n"/>
      <c r="D912" s="23" t="n"/>
      <c r="E912" s="23" t="n"/>
      <c r="F912" s="23" t="n"/>
      <c r="G912" s="23" t="n"/>
      <c r="H912" s="24" t="n"/>
      <c r="I912" s="23" t="n"/>
      <c r="J912" s="23" t="n"/>
      <c r="K912" s="23" t="n"/>
      <c r="L912" s="23" t="n"/>
      <c r="M912" s="23" t="n"/>
      <c r="N912" s="23" t="n"/>
      <c r="O912" s="23" t="n"/>
      <c r="P912" s="23" t="n"/>
      <c r="Q912" s="23" t="n"/>
      <c r="R912" s="23" t="n"/>
      <c r="S912" s="23" t="n"/>
      <c r="T912" s="23" t="n"/>
      <c r="U912" s="23" t="n"/>
      <c r="V912" s="23" t="n"/>
      <c r="W912" s="23" t="n"/>
      <c r="X912" s="23" t="n"/>
      <c r="Y912" s="25" t="n"/>
      <c r="Z912" s="25" t="n"/>
      <c r="AA912" s="23" t="n"/>
      <c r="AB912" s="25" t="n"/>
      <c r="AC912" s="23" t="n"/>
      <c r="AD912" s="25" t="n"/>
      <c r="AE912" s="23" t="n"/>
      <c r="AF912" s="25" t="n"/>
      <c r="AG912" s="25" t="n"/>
      <c r="AH912" s="23" t="n"/>
      <c r="AI912" s="23" t="n"/>
      <c r="AJ912" s="26">
        <f>IF(I912="","",I912&amp;"|"&amp;R912)</f>
        <v/>
      </c>
      <c r="AK912" s="26">
        <f>IF(I912="","",IF(ISNA(MATCH(O912,Kampanyalar!$A$2:$A$150,0)),"Hayır - Kampanyalar'da Yok","Evet"))</f>
        <v/>
      </c>
      <c r="AL912" s="27">
        <f>IF(I912="","",IFERROR(INDEX(Kampanyalar!$E$2:$E$150,MATCH(O912,Kampanyalar!$A$2:$A$150,0)),""))</f>
        <v/>
      </c>
      <c r="AM912" s="27">
        <f>IF(I912="","",IFERROR(INDEX(Kampanyalar!$F$2:$F$150,MATCH(O912,Kampanyalar!$A$2:$A$150,0)),""))</f>
        <v/>
      </c>
      <c r="AN912" s="27">
        <f>IF(I912="","",IFERROR(INDEX(Kampanyalar!$G$2:$G$150,MATCH(O912,Kampanyalar!$A$2:$A$150,0)),""))</f>
        <v/>
      </c>
      <c r="AO912" s="26">
        <f>IF(OR(I912="",AL912="",AM912=""),"",IF(AND(H912&gt;=AL912,H912&lt;=AM912),"Evet","HAYIR - Tarih Dışı"))</f>
        <v/>
      </c>
      <c r="AP912" s="28">
        <f>IF(I912="","",IFERROR(INDEX(Kampanyalar!$H$2:$H$150,MATCH(O912,Kampanyalar!$A$2:$A$150,0)),""))</f>
        <v/>
      </c>
      <c r="AQ912" s="28">
        <f>IF(I912="","",IF(ISNUMBER(AP912),AP912,AD912))</f>
        <v/>
      </c>
      <c r="AR912" s="26">
        <f>IF(I912="","",IF(Parametreler!$C$7="Evet","Kural A - Hemen Ödeme (Stok Mutabakatlı)","Kural B - Nakliye/Montaj Sonrası Ödeme"))</f>
        <v/>
      </c>
    </row>
    <row r="913">
      <c r="A913" s="23" t="n"/>
      <c r="B913" s="23" t="n"/>
      <c r="C913" s="23" t="n"/>
      <c r="D913" s="23" t="n"/>
      <c r="E913" s="23" t="n"/>
      <c r="F913" s="23" t="n"/>
      <c r="G913" s="23" t="n"/>
      <c r="H913" s="24" t="n"/>
      <c r="I913" s="23" t="n"/>
      <c r="J913" s="23" t="n"/>
      <c r="K913" s="23" t="n"/>
      <c r="L913" s="23" t="n"/>
      <c r="M913" s="23" t="n"/>
      <c r="N913" s="23" t="n"/>
      <c r="O913" s="23" t="n"/>
      <c r="P913" s="23" t="n"/>
      <c r="Q913" s="23" t="n"/>
      <c r="R913" s="23" t="n"/>
      <c r="S913" s="23" t="n"/>
      <c r="T913" s="23" t="n"/>
      <c r="U913" s="23" t="n"/>
      <c r="V913" s="23" t="n"/>
      <c r="W913" s="23" t="n"/>
      <c r="X913" s="23" t="n"/>
      <c r="Y913" s="25" t="n"/>
      <c r="Z913" s="25" t="n"/>
      <c r="AA913" s="23" t="n"/>
      <c r="AB913" s="25" t="n"/>
      <c r="AC913" s="23" t="n"/>
      <c r="AD913" s="25" t="n"/>
      <c r="AE913" s="23" t="n"/>
      <c r="AF913" s="25" t="n"/>
      <c r="AG913" s="25" t="n"/>
      <c r="AH913" s="23" t="n"/>
      <c r="AI913" s="23" t="n"/>
      <c r="AJ913" s="26">
        <f>IF(I913="","",I913&amp;"|"&amp;R913)</f>
        <v/>
      </c>
      <c r="AK913" s="26">
        <f>IF(I913="","",IF(ISNA(MATCH(O913,Kampanyalar!$A$2:$A$150,0)),"Hayır - Kampanyalar'da Yok","Evet"))</f>
        <v/>
      </c>
      <c r="AL913" s="27">
        <f>IF(I913="","",IFERROR(INDEX(Kampanyalar!$E$2:$E$150,MATCH(O913,Kampanyalar!$A$2:$A$150,0)),""))</f>
        <v/>
      </c>
      <c r="AM913" s="27">
        <f>IF(I913="","",IFERROR(INDEX(Kampanyalar!$F$2:$F$150,MATCH(O913,Kampanyalar!$A$2:$A$150,0)),""))</f>
        <v/>
      </c>
      <c r="AN913" s="27">
        <f>IF(I913="","",IFERROR(INDEX(Kampanyalar!$G$2:$G$150,MATCH(O913,Kampanyalar!$A$2:$A$150,0)),""))</f>
        <v/>
      </c>
      <c r="AO913" s="26">
        <f>IF(OR(I913="",AL913="",AM913=""),"",IF(AND(H913&gt;=AL913,H913&lt;=AM913),"Evet","HAYIR - Tarih Dışı"))</f>
        <v/>
      </c>
      <c r="AP913" s="28">
        <f>IF(I913="","",IFERROR(INDEX(Kampanyalar!$H$2:$H$150,MATCH(O913,Kampanyalar!$A$2:$A$150,0)),""))</f>
        <v/>
      </c>
      <c r="AQ913" s="28">
        <f>IF(I913="","",IF(ISNUMBER(AP913),AP913,AD913))</f>
        <v/>
      </c>
      <c r="AR913" s="26">
        <f>IF(I913="","",IF(Parametreler!$C$7="Evet","Kural A - Hemen Ödeme (Stok Mutabakatlı)","Kural B - Nakliye/Montaj Sonrası Ödeme"))</f>
        <v/>
      </c>
    </row>
    <row r="914">
      <c r="A914" s="23" t="n"/>
      <c r="B914" s="23" t="n"/>
      <c r="C914" s="23" t="n"/>
      <c r="D914" s="23" t="n"/>
      <c r="E914" s="23" t="n"/>
      <c r="F914" s="23" t="n"/>
      <c r="G914" s="23" t="n"/>
      <c r="H914" s="24" t="n"/>
      <c r="I914" s="23" t="n"/>
      <c r="J914" s="23" t="n"/>
      <c r="K914" s="23" t="n"/>
      <c r="L914" s="23" t="n"/>
      <c r="M914" s="23" t="n"/>
      <c r="N914" s="23" t="n"/>
      <c r="O914" s="23" t="n"/>
      <c r="P914" s="23" t="n"/>
      <c r="Q914" s="23" t="n"/>
      <c r="R914" s="23" t="n"/>
      <c r="S914" s="23" t="n"/>
      <c r="T914" s="23" t="n"/>
      <c r="U914" s="23" t="n"/>
      <c r="V914" s="23" t="n"/>
      <c r="W914" s="23" t="n"/>
      <c r="X914" s="23" t="n"/>
      <c r="Y914" s="25" t="n"/>
      <c r="Z914" s="25" t="n"/>
      <c r="AA914" s="23" t="n"/>
      <c r="AB914" s="25" t="n"/>
      <c r="AC914" s="23" t="n"/>
      <c r="AD914" s="25" t="n"/>
      <c r="AE914" s="23" t="n"/>
      <c r="AF914" s="25" t="n"/>
      <c r="AG914" s="25" t="n"/>
      <c r="AH914" s="23" t="n"/>
      <c r="AI914" s="23" t="n"/>
      <c r="AJ914" s="26">
        <f>IF(I914="","",I914&amp;"|"&amp;R914)</f>
        <v/>
      </c>
      <c r="AK914" s="26">
        <f>IF(I914="","",IF(ISNA(MATCH(O914,Kampanyalar!$A$2:$A$150,0)),"Hayır - Kampanyalar'da Yok","Evet"))</f>
        <v/>
      </c>
      <c r="AL914" s="27">
        <f>IF(I914="","",IFERROR(INDEX(Kampanyalar!$E$2:$E$150,MATCH(O914,Kampanyalar!$A$2:$A$150,0)),""))</f>
        <v/>
      </c>
      <c r="AM914" s="27">
        <f>IF(I914="","",IFERROR(INDEX(Kampanyalar!$F$2:$F$150,MATCH(O914,Kampanyalar!$A$2:$A$150,0)),""))</f>
        <v/>
      </c>
      <c r="AN914" s="27">
        <f>IF(I914="","",IFERROR(INDEX(Kampanyalar!$G$2:$G$150,MATCH(O914,Kampanyalar!$A$2:$A$150,0)),""))</f>
        <v/>
      </c>
      <c r="AO914" s="26">
        <f>IF(OR(I914="",AL914="",AM914=""),"",IF(AND(H914&gt;=AL914,H914&lt;=AM914),"Evet","HAYIR - Tarih Dışı"))</f>
        <v/>
      </c>
      <c r="AP914" s="28">
        <f>IF(I914="","",IFERROR(INDEX(Kampanyalar!$H$2:$H$150,MATCH(O914,Kampanyalar!$A$2:$A$150,0)),""))</f>
        <v/>
      </c>
      <c r="AQ914" s="28">
        <f>IF(I914="","",IF(ISNUMBER(AP914),AP914,AD914))</f>
        <v/>
      </c>
      <c r="AR914" s="26">
        <f>IF(I914="","",IF(Parametreler!$C$7="Evet","Kural A - Hemen Ödeme (Stok Mutabakatlı)","Kural B - Nakliye/Montaj Sonrası Ödeme"))</f>
        <v/>
      </c>
    </row>
    <row r="915">
      <c r="A915" s="23" t="n"/>
      <c r="B915" s="23" t="n"/>
      <c r="C915" s="23" t="n"/>
      <c r="D915" s="23" t="n"/>
      <c r="E915" s="23" t="n"/>
      <c r="F915" s="23" t="n"/>
      <c r="G915" s="23" t="n"/>
      <c r="H915" s="24" t="n"/>
      <c r="I915" s="23" t="n"/>
      <c r="J915" s="23" t="n"/>
      <c r="K915" s="23" t="n"/>
      <c r="L915" s="23" t="n"/>
      <c r="M915" s="23" t="n"/>
      <c r="N915" s="23" t="n"/>
      <c r="O915" s="23" t="n"/>
      <c r="P915" s="23" t="n"/>
      <c r="Q915" s="23" t="n"/>
      <c r="R915" s="23" t="n"/>
      <c r="S915" s="23" t="n"/>
      <c r="T915" s="23" t="n"/>
      <c r="U915" s="23" t="n"/>
      <c r="V915" s="23" t="n"/>
      <c r="W915" s="23" t="n"/>
      <c r="X915" s="23" t="n"/>
      <c r="Y915" s="25" t="n"/>
      <c r="Z915" s="25" t="n"/>
      <c r="AA915" s="23" t="n"/>
      <c r="AB915" s="25" t="n"/>
      <c r="AC915" s="23" t="n"/>
      <c r="AD915" s="25" t="n"/>
      <c r="AE915" s="23" t="n"/>
      <c r="AF915" s="25" t="n"/>
      <c r="AG915" s="25" t="n"/>
      <c r="AH915" s="23" t="n"/>
      <c r="AI915" s="23" t="n"/>
      <c r="AJ915" s="26">
        <f>IF(I915="","",I915&amp;"|"&amp;R915)</f>
        <v/>
      </c>
      <c r="AK915" s="26">
        <f>IF(I915="","",IF(ISNA(MATCH(O915,Kampanyalar!$A$2:$A$150,0)),"Hayır - Kampanyalar'da Yok","Evet"))</f>
        <v/>
      </c>
      <c r="AL915" s="27">
        <f>IF(I915="","",IFERROR(INDEX(Kampanyalar!$E$2:$E$150,MATCH(O915,Kampanyalar!$A$2:$A$150,0)),""))</f>
        <v/>
      </c>
      <c r="AM915" s="27">
        <f>IF(I915="","",IFERROR(INDEX(Kampanyalar!$F$2:$F$150,MATCH(O915,Kampanyalar!$A$2:$A$150,0)),""))</f>
        <v/>
      </c>
      <c r="AN915" s="27">
        <f>IF(I915="","",IFERROR(INDEX(Kampanyalar!$G$2:$G$150,MATCH(O915,Kampanyalar!$A$2:$A$150,0)),""))</f>
        <v/>
      </c>
      <c r="AO915" s="26">
        <f>IF(OR(I915="",AL915="",AM915=""),"",IF(AND(H915&gt;=AL915,H915&lt;=AM915),"Evet","HAYIR - Tarih Dışı"))</f>
        <v/>
      </c>
      <c r="AP915" s="28">
        <f>IF(I915="","",IFERROR(INDEX(Kampanyalar!$H$2:$H$150,MATCH(O915,Kampanyalar!$A$2:$A$150,0)),""))</f>
        <v/>
      </c>
      <c r="AQ915" s="28">
        <f>IF(I915="","",IF(ISNUMBER(AP915),AP915,AD915))</f>
        <v/>
      </c>
      <c r="AR915" s="26">
        <f>IF(I915="","",IF(Parametreler!$C$7="Evet","Kural A - Hemen Ödeme (Stok Mutabakatlı)","Kural B - Nakliye/Montaj Sonrası Ödeme"))</f>
        <v/>
      </c>
    </row>
    <row r="916">
      <c r="A916" s="23" t="n"/>
      <c r="B916" s="23" t="n"/>
      <c r="C916" s="23" t="n"/>
      <c r="D916" s="23" t="n"/>
      <c r="E916" s="23" t="n"/>
      <c r="F916" s="23" t="n"/>
      <c r="G916" s="23" t="n"/>
      <c r="H916" s="24" t="n"/>
      <c r="I916" s="23" t="n"/>
      <c r="J916" s="23" t="n"/>
      <c r="K916" s="23" t="n"/>
      <c r="L916" s="23" t="n"/>
      <c r="M916" s="23" t="n"/>
      <c r="N916" s="23" t="n"/>
      <c r="O916" s="23" t="n"/>
      <c r="P916" s="23" t="n"/>
      <c r="Q916" s="23" t="n"/>
      <c r="R916" s="23" t="n"/>
      <c r="S916" s="23" t="n"/>
      <c r="T916" s="23" t="n"/>
      <c r="U916" s="23" t="n"/>
      <c r="V916" s="23" t="n"/>
      <c r="W916" s="23" t="n"/>
      <c r="X916" s="23" t="n"/>
      <c r="Y916" s="25" t="n"/>
      <c r="Z916" s="25" t="n"/>
      <c r="AA916" s="23" t="n"/>
      <c r="AB916" s="25" t="n"/>
      <c r="AC916" s="23" t="n"/>
      <c r="AD916" s="25" t="n"/>
      <c r="AE916" s="23" t="n"/>
      <c r="AF916" s="25" t="n"/>
      <c r="AG916" s="25" t="n"/>
      <c r="AH916" s="23" t="n"/>
      <c r="AI916" s="23" t="n"/>
      <c r="AJ916" s="26">
        <f>IF(I916="","",I916&amp;"|"&amp;R916)</f>
        <v/>
      </c>
      <c r="AK916" s="26">
        <f>IF(I916="","",IF(ISNA(MATCH(O916,Kampanyalar!$A$2:$A$150,0)),"Hayır - Kampanyalar'da Yok","Evet"))</f>
        <v/>
      </c>
      <c r="AL916" s="27">
        <f>IF(I916="","",IFERROR(INDEX(Kampanyalar!$E$2:$E$150,MATCH(O916,Kampanyalar!$A$2:$A$150,0)),""))</f>
        <v/>
      </c>
      <c r="AM916" s="27">
        <f>IF(I916="","",IFERROR(INDEX(Kampanyalar!$F$2:$F$150,MATCH(O916,Kampanyalar!$A$2:$A$150,0)),""))</f>
        <v/>
      </c>
      <c r="AN916" s="27">
        <f>IF(I916="","",IFERROR(INDEX(Kampanyalar!$G$2:$G$150,MATCH(O916,Kampanyalar!$A$2:$A$150,0)),""))</f>
        <v/>
      </c>
      <c r="AO916" s="26">
        <f>IF(OR(I916="",AL916="",AM916=""),"",IF(AND(H916&gt;=AL916,H916&lt;=AM916),"Evet","HAYIR - Tarih Dışı"))</f>
        <v/>
      </c>
      <c r="AP916" s="28">
        <f>IF(I916="","",IFERROR(INDEX(Kampanyalar!$H$2:$H$150,MATCH(O916,Kampanyalar!$A$2:$A$150,0)),""))</f>
        <v/>
      </c>
      <c r="AQ916" s="28">
        <f>IF(I916="","",IF(ISNUMBER(AP916),AP916,AD916))</f>
        <v/>
      </c>
      <c r="AR916" s="26">
        <f>IF(I916="","",IF(Parametreler!$C$7="Evet","Kural A - Hemen Ödeme (Stok Mutabakatlı)","Kural B - Nakliye/Montaj Sonrası Ödeme"))</f>
        <v/>
      </c>
    </row>
    <row r="917">
      <c r="A917" s="23" t="n"/>
      <c r="B917" s="23" t="n"/>
      <c r="C917" s="23" t="n"/>
      <c r="D917" s="23" t="n"/>
      <c r="E917" s="23" t="n"/>
      <c r="F917" s="23" t="n"/>
      <c r="G917" s="23" t="n"/>
      <c r="H917" s="24" t="n"/>
      <c r="I917" s="23" t="n"/>
      <c r="J917" s="23" t="n"/>
      <c r="K917" s="23" t="n"/>
      <c r="L917" s="23" t="n"/>
      <c r="M917" s="23" t="n"/>
      <c r="N917" s="23" t="n"/>
      <c r="O917" s="23" t="n"/>
      <c r="P917" s="23" t="n"/>
      <c r="Q917" s="23" t="n"/>
      <c r="R917" s="23" t="n"/>
      <c r="S917" s="23" t="n"/>
      <c r="T917" s="23" t="n"/>
      <c r="U917" s="23" t="n"/>
      <c r="V917" s="23" t="n"/>
      <c r="W917" s="23" t="n"/>
      <c r="X917" s="23" t="n"/>
      <c r="Y917" s="25" t="n"/>
      <c r="Z917" s="25" t="n"/>
      <c r="AA917" s="23" t="n"/>
      <c r="AB917" s="25" t="n"/>
      <c r="AC917" s="23" t="n"/>
      <c r="AD917" s="25" t="n"/>
      <c r="AE917" s="23" t="n"/>
      <c r="AF917" s="25" t="n"/>
      <c r="AG917" s="25" t="n"/>
      <c r="AH917" s="23" t="n"/>
      <c r="AI917" s="23" t="n"/>
      <c r="AJ917" s="26">
        <f>IF(I917="","",I917&amp;"|"&amp;R917)</f>
        <v/>
      </c>
      <c r="AK917" s="26">
        <f>IF(I917="","",IF(ISNA(MATCH(O917,Kampanyalar!$A$2:$A$150,0)),"Hayır - Kampanyalar'da Yok","Evet"))</f>
        <v/>
      </c>
      <c r="AL917" s="27">
        <f>IF(I917="","",IFERROR(INDEX(Kampanyalar!$E$2:$E$150,MATCH(O917,Kampanyalar!$A$2:$A$150,0)),""))</f>
        <v/>
      </c>
      <c r="AM917" s="27">
        <f>IF(I917="","",IFERROR(INDEX(Kampanyalar!$F$2:$F$150,MATCH(O917,Kampanyalar!$A$2:$A$150,0)),""))</f>
        <v/>
      </c>
      <c r="AN917" s="27">
        <f>IF(I917="","",IFERROR(INDEX(Kampanyalar!$G$2:$G$150,MATCH(O917,Kampanyalar!$A$2:$A$150,0)),""))</f>
        <v/>
      </c>
      <c r="AO917" s="26">
        <f>IF(OR(I917="",AL917="",AM917=""),"",IF(AND(H917&gt;=AL917,H917&lt;=AM917),"Evet","HAYIR - Tarih Dışı"))</f>
        <v/>
      </c>
      <c r="AP917" s="28">
        <f>IF(I917="","",IFERROR(INDEX(Kampanyalar!$H$2:$H$150,MATCH(O917,Kampanyalar!$A$2:$A$150,0)),""))</f>
        <v/>
      </c>
      <c r="AQ917" s="28">
        <f>IF(I917="","",IF(ISNUMBER(AP917),AP917,AD917))</f>
        <v/>
      </c>
      <c r="AR917" s="26">
        <f>IF(I917="","",IF(Parametreler!$C$7="Evet","Kural A - Hemen Ödeme (Stok Mutabakatlı)","Kural B - Nakliye/Montaj Sonrası Ödeme"))</f>
        <v/>
      </c>
    </row>
    <row r="918">
      <c r="A918" s="23" t="n"/>
      <c r="B918" s="23" t="n"/>
      <c r="C918" s="23" t="n"/>
      <c r="D918" s="23" t="n"/>
      <c r="E918" s="23" t="n"/>
      <c r="F918" s="23" t="n"/>
      <c r="G918" s="23" t="n"/>
      <c r="H918" s="24" t="n"/>
      <c r="I918" s="23" t="n"/>
      <c r="J918" s="23" t="n"/>
      <c r="K918" s="23" t="n"/>
      <c r="L918" s="23" t="n"/>
      <c r="M918" s="23" t="n"/>
      <c r="N918" s="23" t="n"/>
      <c r="O918" s="23" t="n"/>
      <c r="P918" s="23" t="n"/>
      <c r="Q918" s="23" t="n"/>
      <c r="R918" s="23" t="n"/>
      <c r="S918" s="23" t="n"/>
      <c r="T918" s="23" t="n"/>
      <c r="U918" s="23" t="n"/>
      <c r="V918" s="23" t="n"/>
      <c r="W918" s="23" t="n"/>
      <c r="X918" s="23" t="n"/>
      <c r="Y918" s="25" t="n"/>
      <c r="Z918" s="25" t="n"/>
      <c r="AA918" s="23" t="n"/>
      <c r="AB918" s="25" t="n"/>
      <c r="AC918" s="23" t="n"/>
      <c r="AD918" s="25" t="n"/>
      <c r="AE918" s="23" t="n"/>
      <c r="AF918" s="25" t="n"/>
      <c r="AG918" s="25" t="n"/>
      <c r="AH918" s="23" t="n"/>
      <c r="AI918" s="23" t="n"/>
      <c r="AJ918" s="26">
        <f>IF(I918="","",I918&amp;"|"&amp;R918)</f>
        <v/>
      </c>
      <c r="AK918" s="26">
        <f>IF(I918="","",IF(ISNA(MATCH(O918,Kampanyalar!$A$2:$A$150,0)),"Hayır - Kampanyalar'da Yok","Evet"))</f>
        <v/>
      </c>
      <c r="AL918" s="27">
        <f>IF(I918="","",IFERROR(INDEX(Kampanyalar!$E$2:$E$150,MATCH(O918,Kampanyalar!$A$2:$A$150,0)),""))</f>
        <v/>
      </c>
      <c r="AM918" s="27">
        <f>IF(I918="","",IFERROR(INDEX(Kampanyalar!$F$2:$F$150,MATCH(O918,Kampanyalar!$A$2:$A$150,0)),""))</f>
        <v/>
      </c>
      <c r="AN918" s="27">
        <f>IF(I918="","",IFERROR(INDEX(Kampanyalar!$G$2:$G$150,MATCH(O918,Kampanyalar!$A$2:$A$150,0)),""))</f>
        <v/>
      </c>
      <c r="AO918" s="26">
        <f>IF(OR(I918="",AL918="",AM918=""),"",IF(AND(H918&gt;=AL918,H918&lt;=AM918),"Evet","HAYIR - Tarih Dışı"))</f>
        <v/>
      </c>
      <c r="AP918" s="28">
        <f>IF(I918="","",IFERROR(INDEX(Kampanyalar!$H$2:$H$150,MATCH(O918,Kampanyalar!$A$2:$A$150,0)),""))</f>
        <v/>
      </c>
      <c r="AQ918" s="28">
        <f>IF(I918="","",IF(ISNUMBER(AP918),AP918,AD918))</f>
        <v/>
      </c>
      <c r="AR918" s="26">
        <f>IF(I918="","",IF(Parametreler!$C$7="Evet","Kural A - Hemen Ödeme (Stok Mutabakatlı)","Kural B - Nakliye/Montaj Sonrası Ödeme"))</f>
        <v/>
      </c>
    </row>
    <row r="919">
      <c r="A919" s="23" t="n"/>
      <c r="B919" s="23" t="n"/>
      <c r="C919" s="23" t="n"/>
      <c r="D919" s="23" t="n"/>
      <c r="E919" s="23" t="n"/>
      <c r="F919" s="23" t="n"/>
      <c r="G919" s="23" t="n"/>
      <c r="H919" s="24" t="n"/>
      <c r="I919" s="23" t="n"/>
      <c r="J919" s="23" t="n"/>
      <c r="K919" s="23" t="n"/>
      <c r="L919" s="23" t="n"/>
      <c r="M919" s="23" t="n"/>
      <c r="N919" s="23" t="n"/>
      <c r="O919" s="23" t="n"/>
      <c r="P919" s="23" t="n"/>
      <c r="Q919" s="23" t="n"/>
      <c r="R919" s="23" t="n"/>
      <c r="S919" s="23" t="n"/>
      <c r="T919" s="23" t="n"/>
      <c r="U919" s="23" t="n"/>
      <c r="V919" s="23" t="n"/>
      <c r="W919" s="23" t="n"/>
      <c r="X919" s="23" t="n"/>
      <c r="Y919" s="25" t="n"/>
      <c r="Z919" s="25" t="n"/>
      <c r="AA919" s="23" t="n"/>
      <c r="AB919" s="25" t="n"/>
      <c r="AC919" s="23" t="n"/>
      <c r="AD919" s="25" t="n"/>
      <c r="AE919" s="23" t="n"/>
      <c r="AF919" s="25" t="n"/>
      <c r="AG919" s="25" t="n"/>
      <c r="AH919" s="23" t="n"/>
      <c r="AI919" s="23" t="n"/>
      <c r="AJ919" s="26">
        <f>IF(I919="","",I919&amp;"|"&amp;R919)</f>
        <v/>
      </c>
      <c r="AK919" s="26">
        <f>IF(I919="","",IF(ISNA(MATCH(O919,Kampanyalar!$A$2:$A$150,0)),"Hayır - Kampanyalar'da Yok","Evet"))</f>
        <v/>
      </c>
      <c r="AL919" s="27">
        <f>IF(I919="","",IFERROR(INDEX(Kampanyalar!$E$2:$E$150,MATCH(O919,Kampanyalar!$A$2:$A$150,0)),""))</f>
        <v/>
      </c>
      <c r="AM919" s="27">
        <f>IF(I919="","",IFERROR(INDEX(Kampanyalar!$F$2:$F$150,MATCH(O919,Kampanyalar!$A$2:$A$150,0)),""))</f>
        <v/>
      </c>
      <c r="AN919" s="27">
        <f>IF(I919="","",IFERROR(INDEX(Kampanyalar!$G$2:$G$150,MATCH(O919,Kampanyalar!$A$2:$A$150,0)),""))</f>
        <v/>
      </c>
      <c r="AO919" s="26">
        <f>IF(OR(I919="",AL919="",AM919=""),"",IF(AND(H919&gt;=AL919,H919&lt;=AM919),"Evet","HAYIR - Tarih Dışı"))</f>
        <v/>
      </c>
      <c r="AP919" s="28">
        <f>IF(I919="","",IFERROR(INDEX(Kampanyalar!$H$2:$H$150,MATCH(O919,Kampanyalar!$A$2:$A$150,0)),""))</f>
        <v/>
      </c>
      <c r="AQ919" s="28">
        <f>IF(I919="","",IF(ISNUMBER(AP919),AP919,AD919))</f>
        <v/>
      </c>
      <c r="AR919" s="26">
        <f>IF(I919="","",IF(Parametreler!$C$7="Evet","Kural A - Hemen Ödeme (Stok Mutabakatlı)","Kural B - Nakliye/Montaj Sonrası Ödeme"))</f>
        <v/>
      </c>
    </row>
    <row r="920">
      <c r="A920" s="23" t="n"/>
      <c r="B920" s="23" t="n"/>
      <c r="C920" s="23" t="n"/>
      <c r="D920" s="23" t="n"/>
      <c r="E920" s="23" t="n"/>
      <c r="F920" s="23" t="n"/>
      <c r="G920" s="23" t="n"/>
      <c r="H920" s="24" t="n"/>
      <c r="I920" s="23" t="n"/>
      <c r="J920" s="23" t="n"/>
      <c r="K920" s="23" t="n"/>
      <c r="L920" s="23" t="n"/>
      <c r="M920" s="23" t="n"/>
      <c r="N920" s="23" t="n"/>
      <c r="O920" s="23" t="n"/>
      <c r="P920" s="23" t="n"/>
      <c r="Q920" s="23" t="n"/>
      <c r="R920" s="23" t="n"/>
      <c r="S920" s="23" t="n"/>
      <c r="T920" s="23" t="n"/>
      <c r="U920" s="23" t="n"/>
      <c r="V920" s="23" t="n"/>
      <c r="W920" s="23" t="n"/>
      <c r="X920" s="23" t="n"/>
      <c r="Y920" s="25" t="n"/>
      <c r="Z920" s="25" t="n"/>
      <c r="AA920" s="23" t="n"/>
      <c r="AB920" s="25" t="n"/>
      <c r="AC920" s="23" t="n"/>
      <c r="AD920" s="25" t="n"/>
      <c r="AE920" s="23" t="n"/>
      <c r="AF920" s="25" t="n"/>
      <c r="AG920" s="25" t="n"/>
      <c r="AH920" s="23" t="n"/>
      <c r="AI920" s="23" t="n"/>
      <c r="AJ920" s="26">
        <f>IF(I920="","",I920&amp;"|"&amp;R920)</f>
        <v/>
      </c>
      <c r="AK920" s="26">
        <f>IF(I920="","",IF(ISNA(MATCH(O920,Kampanyalar!$A$2:$A$150,0)),"Hayır - Kampanyalar'da Yok","Evet"))</f>
        <v/>
      </c>
      <c r="AL920" s="27">
        <f>IF(I920="","",IFERROR(INDEX(Kampanyalar!$E$2:$E$150,MATCH(O920,Kampanyalar!$A$2:$A$150,0)),""))</f>
        <v/>
      </c>
      <c r="AM920" s="27">
        <f>IF(I920="","",IFERROR(INDEX(Kampanyalar!$F$2:$F$150,MATCH(O920,Kampanyalar!$A$2:$A$150,0)),""))</f>
        <v/>
      </c>
      <c r="AN920" s="27">
        <f>IF(I920="","",IFERROR(INDEX(Kampanyalar!$G$2:$G$150,MATCH(O920,Kampanyalar!$A$2:$A$150,0)),""))</f>
        <v/>
      </c>
      <c r="AO920" s="26">
        <f>IF(OR(I920="",AL920="",AM920=""),"",IF(AND(H920&gt;=AL920,H920&lt;=AM920),"Evet","HAYIR - Tarih Dışı"))</f>
        <v/>
      </c>
      <c r="AP920" s="28">
        <f>IF(I920="","",IFERROR(INDEX(Kampanyalar!$H$2:$H$150,MATCH(O920,Kampanyalar!$A$2:$A$150,0)),""))</f>
        <v/>
      </c>
      <c r="AQ920" s="28">
        <f>IF(I920="","",IF(ISNUMBER(AP920),AP920,AD920))</f>
        <v/>
      </c>
      <c r="AR920" s="26">
        <f>IF(I920="","",IF(Parametreler!$C$7="Evet","Kural A - Hemen Ödeme (Stok Mutabakatlı)","Kural B - Nakliye/Montaj Sonrası Ödeme"))</f>
        <v/>
      </c>
    </row>
    <row r="921">
      <c r="A921" s="23" t="n"/>
      <c r="B921" s="23" t="n"/>
      <c r="C921" s="23" t="n"/>
      <c r="D921" s="23" t="n"/>
      <c r="E921" s="23" t="n"/>
      <c r="F921" s="23" t="n"/>
      <c r="G921" s="23" t="n"/>
      <c r="H921" s="24" t="n"/>
      <c r="I921" s="23" t="n"/>
      <c r="J921" s="23" t="n"/>
      <c r="K921" s="23" t="n"/>
      <c r="L921" s="23" t="n"/>
      <c r="M921" s="23" t="n"/>
      <c r="N921" s="23" t="n"/>
      <c r="O921" s="23" t="n"/>
      <c r="P921" s="23" t="n"/>
      <c r="Q921" s="23" t="n"/>
      <c r="R921" s="23" t="n"/>
      <c r="S921" s="23" t="n"/>
      <c r="T921" s="23" t="n"/>
      <c r="U921" s="23" t="n"/>
      <c r="V921" s="23" t="n"/>
      <c r="W921" s="23" t="n"/>
      <c r="X921" s="23" t="n"/>
      <c r="Y921" s="25" t="n"/>
      <c r="Z921" s="25" t="n"/>
      <c r="AA921" s="23" t="n"/>
      <c r="AB921" s="25" t="n"/>
      <c r="AC921" s="23" t="n"/>
      <c r="AD921" s="25" t="n"/>
      <c r="AE921" s="23" t="n"/>
      <c r="AF921" s="25" t="n"/>
      <c r="AG921" s="25" t="n"/>
      <c r="AH921" s="23" t="n"/>
      <c r="AI921" s="23" t="n"/>
      <c r="AJ921" s="26">
        <f>IF(I921="","",I921&amp;"|"&amp;R921)</f>
        <v/>
      </c>
      <c r="AK921" s="26">
        <f>IF(I921="","",IF(ISNA(MATCH(O921,Kampanyalar!$A$2:$A$150,0)),"Hayır - Kampanyalar'da Yok","Evet"))</f>
        <v/>
      </c>
      <c r="AL921" s="27">
        <f>IF(I921="","",IFERROR(INDEX(Kampanyalar!$E$2:$E$150,MATCH(O921,Kampanyalar!$A$2:$A$150,0)),""))</f>
        <v/>
      </c>
      <c r="AM921" s="27">
        <f>IF(I921="","",IFERROR(INDEX(Kampanyalar!$F$2:$F$150,MATCH(O921,Kampanyalar!$A$2:$A$150,0)),""))</f>
        <v/>
      </c>
      <c r="AN921" s="27">
        <f>IF(I921="","",IFERROR(INDEX(Kampanyalar!$G$2:$G$150,MATCH(O921,Kampanyalar!$A$2:$A$150,0)),""))</f>
        <v/>
      </c>
      <c r="AO921" s="26">
        <f>IF(OR(I921="",AL921="",AM921=""),"",IF(AND(H921&gt;=AL921,H921&lt;=AM921),"Evet","HAYIR - Tarih Dışı"))</f>
        <v/>
      </c>
      <c r="AP921" s="28">
        <f>IF(I921="","",IFERROR(INDEX(Kampanyalar!$H$2:$H$150,MATCH(O921,Kampanyalar!$A$2:$A$150,0)),""))</f>
        <v/>
      </c>
      <c r="AQ921" s="28">
        <f>IF(I921="","",IF(ISNUMBER(AP921),AP921,AD921))</f>
        <v/>
      </c>
      <c r="AR921" s="26">
        <f>IF(I921="","",IF(Parametreler!$C$7="Evet","Kural A - Hemen Ödeme (Stok Mutabakatlı)","Kural B - Nakliye/Montaj Sonrası Ödeme"))</f>
        <v/>
      </c>
    </row>
    <row r="922">
      <c r="A922" s="23" t="n"/>
      <c r="B922" s="23" t="n"/>
      <c r="C922" s="23" t="n"/>
      <c r="D922" s="23" t="n"/>
      <c r="E922" s="23" t="n"/>
      <c r="F922" s="23" t="n"/>
      <c r="G922" s="23" t="n"/>
      <c r="H922" s="24" t="n"/>
      <c r="I922" s="23" t="n"/>
      <c r="J922" s="23" t="n"/>
      <c r="K922" s="23" t="n"/>
      <c r="L922" s="23" t="n"/>
      <c r="M922" s="23" t="n"/>
      <c r="N922" s="23" t="n"/>
      <c r="O922" s="23" t="n"/>
      <c r="P922" s="23" t="n"/>
      <c r="Q922" s="23" t="n"/>
      <c r="R922" s="23" t="n"/>
      <c r="S922" s="23" t="n"/>
      <c r="T922" s="23" t="n"/>
      <c r="U922" s="23" t="n"/>
      <c r="V922" s="23" t="n"/>
      <c r="W922" s="23" t="n"/>
      <c r="X922" s="23" t="n"/>
      <c r="Y922" s="25" t="n"/>
      <c r="Z922" s="25" t="n"/>
      <c r="AA922" s="23" t="n"/>
      <c r="AB922" s="25" t="n"/>
      <c r="AC922" s="23" t="n"/>
      <c r="AD922" s="25" t="n"/>
      <c r="AE922" s="23" t="n"/>
      <c r="AF922" s="25" t="n"/>
      <c r="AG922" s="25" t="n"/>
      <c r="AH922" s="23" t="n"/>
      <c r="AI922" s="23" t="n"/>
      <c r="AJ922" s="26">
        <f>IF(I922="","",I922&amp;"|"&amp;R922)</f>
        <v/>
      </c>
      <c r="AK922" s="26">
        <f>IF(I922="","",IF(ISNA(MATCH(O922,Kampanyalar!$A$2:$A$150,0)),"Hayır - Kampanyalar'da Yok","Evet"))</f>
        <v/>
      </c>
      <c r="AL922" s="27">
        <f>IF(I922="","",IFERROR(INDEX(Kampanyalar!$E$2:$E$150,MATCH(O922,Kampanyalar!$A$2:$A$150,0)),""))</f>
        <v/>
      </c>
      <c r="AM922" s="27">
        <f>IF(I922="","",IFERROR(INDEX(Kampanyalar!$F$2:$F$150,MATCH(O922,Kampanyalar!$A$2:$A$150,0)),""))</f>
        <v/>
      </c>
      <c r="AN922" s="27">
        <f>IF(I922="","",IFERROR(INDEX(Kampanyalar!$G$2:$G$150,MATCH(O922,Kampanyalar!$A$2:$A$150,0)),""))</f>
        <v/>
      </c>
      <c r="AO922" s="26">
        <f>IF(OR(I922="",AL922="",AM922=""),"",IF(AND(H922&gt;=AL922,H922&lt;=AM922),"Evet","HAYIR - Tarih Dışı"))</f>
        <v/>
      </c>
      <c r="AP922" s="28">
        <f>IF(I922="","",IFERROR(INDEX(Kampanyalar!$H$2:$H$150,MATCH(O922,Kampanyalar!$A$2:$A$150,0)),""))</f>
        <v/>
      </c>
      <c r="AQ922" s="28">
        <f>IF(I922="","",IF(ISNUMBER(AP922),AP922,AD922))</f>
        <v/>
      </c>
      <c r="AR922" s="26">
        <f>IF(I922="","",IF(Parametreler!$C$7="Evet","Kural A - Hemen Ödeme (Stok Mutabakatlı)","Kural B - Nakliye/Montaj Sonrası Ödeme"))</f>
        <v/>
      </c>
    </row>
    <row r="923">
      <c r="A923" s="23" t="n"/>
      <c r="B923" s="23" t="n"/>
      <c r="C923" s="23" t="n"/>
      <c r="D923" s="23" t="n"/>
      <c r="E923" s="23" t="n"/>
      <c r="F923" s="23" t="n"/>
      <c r="G923" s="23" t="n"/>
      <c r="H923" s="24" t="n"/>
      <c r="I923" s="23" t="n"/>
      <c r="J923" s="23" t="n"/>
      <c r="K923" s="23" t="n"/>
      <c r="L923" s="23" t="n"/>
      <c r="M923" s="23" t="n"/>
      <c r="N923" s="23" t="n"/>
      <c r="O923" s="23" t="n"/>
      <c r="P923" s="23" t="n"/>
      <c r="Q923" s="23" t="n"/>
      <c r="R923" s="23" t="n"/>
      <c r="S923" s="23" t="n"/>
      <c r="T923" s="23" t="n"/>
      <c r="U923" s="23" t="n"/>
      <c r="V923" s="23" t="n"/>
      <c r="W923" s="23" t="n"/>
      <c r="X923" s="23" t="n"/>
      <c r="Y923" s="25" t="n"/>
      <c r="Z923" s="25" t="n"/>
      <c r="AA923" s="23" t="n"/>
      <c r="AB923" s="25" t="n"/>
      <c r="AC923" s="23" t="n"/>
      <c r="AD923" s="25" t="n"/>
      <c r="AE923" s="23" t="n"/>
      <c r="AF923" s="25" t="n"/>
      <c r="AG923" s="25" t="n"/>
      <c r="AH923" s="23" t="n"/>
      <c r="AI923" s="23" t="n"/>
      <c r="AJ923" s="26">
        <f>IF(I923="","",I923&amp;"|"&amp;R923)</f>
        <v/>
      </c>
      <c r="AK923" s="26">
        <f>IF(I923="","",IF(ISNA(MATCH(O923,Kampanyalar!$A$2:$A$150,0)),"Hayır - Kampanyalar'da Yok","Evet"))</f>
        <v/>
      </c>
      <c r="AL923" s="27">
        <f>IF(I923="","",IFERROR(INDEX(Kampanyalar!$E$2:$E$150,MATCH(O923,Kampanyalar!$A$2:$A$150,0)),""))</f>
        <v/>
      </c>
      <c r="AM923" s="27">
        <f>IF(I923="","",IFERROR(INDEX(Kampanyalar!$F$2:$F$150,MATCH(O923,Kampanyalar!$A$2:$A$150,0)),""))</f>
        <v/>
      </c>
      <c r="AN923" s="27">
        <f>IF(I923="","",IFERROR(INDEX(Kampanyalar!$G$2:$G$150,MATCH(O923,Kampanyalar!$A$2:$A$150,0)),""))</f>
        <v/>
      </c>
      <c r="AO923" s="26">
        <f>IF(OR(I923="",AL923="",AM923=""),"",IF(AND(H923&gt;=AL923,H923&lt;=AM923),"Evet","HAYIR - Tarih Dışı"))</f>
        <v/>
      </c>
      <c r="AP923" s="28">
        <f>IF(I923="","",IFERROR(INDEX(Kampanyalar!$H$2:$H$150,MATCH(O923,Kampanyalar!$A$2:$A$150,0)),""))</f>
        <v/>
      </c>
      <c r="AQ923" s="28">
        <f>IF(I923="","",IF(ISNUMBER(AP923),AP923,AD923))</f>
        <v/>
      </c>
      <c r="AR923" s="26">
        <f>IF(I923="","",IF(Parametreler!$C$7="Evet","Kural A - Hemen Ödeme (Stok Mutabakatlı)","Kural B - Nakliye/Montaj Sonrası Ödeme"))</f>
        <v/>
      </c>
    </row>
    <row r="924">
      <c r="A924" s="23" t="n"/>
      <c r="B924" s="23" t="n"/>
      <c r="C924" s="23" t="n"/>
      <c r="D924" s="23" t="n"/>
      <c r="E924" s="23" t="n"/>
      <c r="F924" s="23" t="n"/>
      <c r="G924" s="23" t="n"/>
      <c r="H924" s="24" t="n"/>
      <c r="I924" s="23" t="n"/>
      <c r="J924" s="23" t="n"/>
      <c r="K924" s="23" t="n"/>
      <c r="L924" s="23" t="n"/>
      <c r="M924" s="23" t="n"/>
      <c r="N924" s="23" t="n"/>
      <c r="O924" s="23" t="n"/>
      <c r="P924" s="23" t="n"/>
      <c r="Q924" s="23" t="n"/>
      <c r="R924" s="23" t="n"/>
      <c r="S924" s="23" t="n"/>
      <c r="T924" s="23" t="n"/>
      <c r="U924" s="23" t="n"/>
      <c r="V924" s="23" t="n"/>
      <c r="W924" s="23" t="n"/>
      <c r="X924" s="23" t="n"/>
      <c r="Y924" s="25" t="n"/>
      <c r="Z924" s="25" t="n"/>
      <c r="AA924" s="23" t="n"/>
      <c r="AB924" s="25" t="n"/>
      <c r="AC924" s="23" t="n"/>
      <c r="AD924" s="25" t="n"/>
      <c r="AE924" s="23" t="n"/>
      <c r="AF924" s="25" t="n"/>
      <c r="AG924" s="25" t="n"/>
      <c r="AH924" s="23" t="n"/>
      <c r="AI924" s="23" t="n"/>
      <c r="AJ924" s="26">
        <f>IF(I924="","",I924&amp;"|"&amp;R924)</f>
        <v/>
      </c>
      <c r="AK924" s="26">
        <f>IF(I924="","",IF(ISNA(MATCH(O924,Kampanyalar!$A$2:$A$150,0)),"Hayır - Kampanyalar'da Yok","Evet"))</f>
        <v/>
      </c>
      <c r="AL924" s="27">
        <f>IF(I924="","",IFERROR(INDEX(Kampanyalar!$E$2:$E$150,MATCH(O924,Kampanyalar!$A$2:$A$150,0)),""))</f>
        <v/>
      </c>
      <c r="AM924" s="27">
        <f>IF(I924="","",IFERROR(INDEX(Kampanyalar!$F$2:$F$150,MATCH(O924,Kampanyalar!$A$2:$A$150,0)),""))</f>
        <v/>
      </c>
      <c r="AN924" s="27">
        <f>IF(I924="","",IFERROR(INDEX(Kampanyalar!$G$2:$G$150,MATCH(O924,Kampanyalar!$A$2:$A$150,0)),""))</f>
        <v/>
      </c>
      <c r="AO924" s="26">
        <f>IF(OR(I924="",AL924="",AM924=""),"",IF(AND(H924&gt;=AL924,H924&lt;=AM924),"Evet","HAYIR - Tarih Dışı"))</f>
        <v/>
      </c>
      <c r="AP924" s="28">
        <f>IF(I924="","",IFERROR(INDEX(Kampanyalar!$H$2:$H$150,MATCH(O924,Kampanyalar!$A$2:$A$150,0)),""))</f>
        <v/>
      </c>
      <c r="AQ924" s="28">
        <f>IF(I924="","",IF(ISNUMBER(AP924),AP924,AD924))</f>
        <v/>
      </c>
      <c r="AR924" s="26">
        <f>IF(I924="","",IF(Parametreler!$C$7="Evet","Kural A - Hemen Ödeme (Stok Mutabakatlı)","Kural B - Nakliye/Montaj Sonrası Ödeme"))</f>
        <v/>
      </c>
    </row>
    <row r="925">
      <c r="A925" s="23" t="n"/>
      <c r="B925" s="23" t="n"/>
      <c r="C925" s="23" t="n"/>
      <c r="D925" s="23" t="n"/>
      <c r="E925" s="23" t="n"/>
      <c r="F925" s="23" t="n"/>
      <c r="G925" s="23" t="n"/>
      <c r="H925" s="24" t="n"/>
      <c r="I925" s="23" t="n"/>
      <c r="J925" s="23" t="n"/>
      <c r="K925" s="23" t="n"/>
      <c r="L925" s="23" t="n"/>
      <c r="M925" s="23" t="n"/>
      <c r="N925" s="23" t="n"/>
      <c r="O925" s="23" t="n"/>
      <c r="P925" s="23" t="n"/>
      <c r="Q925" s="23" t="n"/>
      <c r="R925" s="23" t="n"/>
      <c r="S925" s="23" t="n"/>
      <c r="T925" s="23" t="n"/>
      <c r="U925" s="23" t="n"/>
      <c r="V925" s="23" t="n"/>
      <c r="W925" s="23" t="n"/>
      <c r="X925" s="23" t="n"/>
      <c r="Y925" s="25" t="n"/>
      <c r="Z925" s="25" t="n"/>
      <c r="AA925" s="23" t="n"/>
      <c r="AB925" s="25" t="n"/>
      <c r="AC925" s="23" t="n"/>
      <c r="AD925" s="25" t="n"/>
      <c r="AE925" s="23" t="n"/>
      <c r="AF925" s="25" t="n"/>
      <c r="AG925" s="25" t="n"/>
      <c r="AH925" s="23" t="n"/>
      <c r="AI925" s="23" t="n"/>
      <c r="AJ925" s="26">
        <f>IF(I925="","",I925&amp;"|"&amp;R925)</f>
        <v/>
      </c>
      <c r="AK925" s="26">
        <f>IF(I925="","",IF(ISNA(MATCH(O925,Kampanyalar!$A$2:$A$150,0)),"Hayır - Kampanyalar'da Yok","Evet"))</f>
        <v/>
      </c>
      <c r="AL925" s="27">
        <f>IF(I925="","",IFERROR(INDEX(Kampanyalar!$E$2:$E$150,MATCH(O925,Kampanyalar!$A$2:$A$150,0)),""))</f>
        <v/>
      </c>
      <c r="AM925" s="27">
        <f>IF(I925="","",IFERROR(INDEX(Kampanyalar!$F$2:$F$150,MATCH(O925,Kampanyalar!$A$2:$A$150,0)),""))</f>
        <v/>
      </c>
      <c r="AN925" s="27">
        <f>IF(I925="","",IFERROR(INDEX(Kampanyalar!$G$2:$G$150,MATCH(O925,Kampanyalar!$A$2:$A$150,0)),""))</f>
        <v/>
      </c>
      <c r="AO925" s="26">
        <f>IF(OR(I925="",AL925="",AM925=""),"",IF(AND(H925&gt;=AL925,H925&lt;=AM925),"Evet","HAYIR - Tarih Dışı"))</f>
        <v/>
      </c>
      <c r="AP925" s="28">
        <f>IF(I925="","",IFERROR(INDEX(Kampanyalar!$H$2:$H$150,MATCH(O925,Kampanyalar!$A$2:$A$150,0)),""))</f>
        <v/>
      </c>
      <c r="AQ925" s="28">
        <f>IF(I925="","",IF(ISNUMBER(AP925),AP925,AD925))</f>
        <v/>
      </c>
      <c r="AR925" s="26">
        <f>IF(I925="","",IF(Parametreler!$C$7="Evet","Kural A - Hemen Ödeme (Stok Mutabakatlı)","Kural B - Nakliye/Montaj Sonrası Ödeme"))</f>
        <v/>
      </c>
    </row>
    <row r="926">
      <c r="A926" s="23" t="n"/>
      <c r="B926" s="23" t="n"/>
      <c r="C926" s="23" t="n"/>
      <c r="D926" s="23" t="n"/>
      <c r="E926" s="23" t="n"/>
      <c r="F926" s="23" t="n"/>
      <c r="G926" s="23" t="n"/>
      <c r="H926" s="24" t="n"/>
      <c r="I926" s="23" t="n"/>
      <c r="J926" s="23" t="n"/>
      <c r="K926" s="23" t="n"/>
      <c r="L926" s="23" t="n"/>
      <c r="M926" s="23" t="n"/>
      <c r="N926" s="23" t="n"/>
      <c r="O926" s="23" t="n"/>
      <c r="P926" s="23" t="n"/>
      <c r="Q926" s="23" t="n"/>
      <c r="R926" s="23" t="n"/>
      <c r="S926" s="23" t="n"/>
      <c r="T926" s="23" t="n"/>
      <c r="U926" s="23" t="n"/>
      <c r="V926" s="23" t="n"/>
      <c r="W926" s="23" t="n"/>
      <c r="X926" s="23" t="n"/>
      <c r="Y926" s="25" t="n"/>
      <c r="Z926" s="25" t="n"/>
      <c r="AA926" s="23" t="n"/>
      <c r="AB926" s="25" t="n"/>
      <c r="AC926" s="23" t="n"/>
      <c r="AD926" s="25" t="n"/>
      <c r="AE926" s="23" t="n"/>
      <c r="AF926" s="25" t="n"/>
      <c r="AG926" s="25" t="n"/>
      <c r="AH926" s="23" t="n"/>
      <c r="AI926" s="23" t="n"/>
      <c r="AJ926" s="26">
        <f>IF(I926="","",I926&amp;"|"&amp;R926)</f>
        <v/>
      </c>
      <c r="AK926" s="26">
        <f>IF(I926="","",IF(ISNA(MATCH(O926,Kampanyalar!$A$2:$A$150,0)),"Hayır - Kampanyalar'da Yok","Evet"))</f>
        <v/>
      </c>
      <c r="AL926" s="27">
        <f>IF(I926="","",IFERROR(INDEX(Kampanyalar!$E$2:$E$150,MATCH(O926,Kampanyalar!$A$2:$A$150,0)),""))</f>
        <v/>
      </c>
      <c r="AM926" s="27">
        <f>IF(I926="","",IFERROR(INDEX(Kampanyalar!$F$2:$F$150,MATCH(O926,Kampanyalar!$A$2:$A$150,0)),""))</f>
        <v/>
      </c>
      <c r="AN926" s="27">
        <f>IF(I926="","",IFERROR(INDEX(Kampanyalar!$G$2:$G$150,MATCH(O926,Kampanyalar!$A$2:$A$150,0)),""))</f>
        <v/>
      </c>
      <c r="AO926" s="26">
        <f>IF(OR(I926="",AL926="",AM926=""),"",IF(AND(H926&gt;=AL926,H926&lt;=AM926),"Evet","HAYIR - Tarih Dışı"))</f>
        <v/>
      </c>
      <c r="AP926" s="28">
        <f>IF(I926="","",IFERROR(INDEX(Kampanyalar!$H$2:$H$150,MATCH(O926,Kampanyalar!$A$2:$A$150,0)),""))</f>
        <v/>
      </c>
      <c r="AQ926" s="28">
        <f>IF(I926="","",IF(ISNUMBER(AP926),AP926,AD926))</f>
        <v/>
      </c>
      <c r="AR926" s="26">
        <f>IF(I926="","",IF(Parametreler!$C$7="Evet","Kural A - Hemen Ödeme (Stok Mutabakatlı)","Kural B - Nakliye/Montaj Sonrası Ödeme"))</f>
        <v/>
      </c>
    </row>
    <row r="927">
      <c r="A927" s="23" t="n"/>
      <c r="B927" s="23" t="n"/>
      <c r="C927" s="23" t="n"/>
      <c r="D927" s="23" t="n"/>
      <c r="E927" s="23" t="n"/>
      <c r="F927" s="23" t="n"/>
      <c r="G927" s="23" t="n"/>
      <c r="H927" s="24" t="n"/>
      <c r="I927" s="23" t="n"/>
      <c r="J927" s="23" t="n"/>
      <c r="K927" s="23" t="n"/>
      <c r="L927" s="23" t="n"/>
      <c r="M927" s="23" t="n"/>
      <c r="N927" s="23" t="n"/>
      <c r="O927" s="23" t="n"/>
      <c r="P927" s="23" t="n"/>
      <c r="Q927" s="23" t="n"/>
      <c r="R927" s="23" t="n"/>
      <c r="S927" s="23" t="n"/>
      <c r="T927" s="23" t="n"/>
      <c r="U927" s="23" t="n"/>
      <c r="V927" s="23" t="n"/>
      <c r="W927" s="23" t="n"/>
      <c r="X927" s="23" t="n"/>
      <c r="Y927" s="25" t="n"/>
      <c r="Z927" s="25" t="n"/>
      <c r="AA927" s="23" t="n"/>
      <c r="AB927" s="25" t="n"/>
      <c r="AC927" s="23" t="n"/>
      <c r="AD927" s="25" t="n"/>
      <c r="AE927" s="23" t="n"/>
      <c r="AF927" s="25" t="n"/>
      <c r="AG927" s="25" t="n"/>
      <c r="AH927" s="23" t="n"/>
      <c r="AI927" s="23" t="n"/>
      <c r="AJ927" s="26">
        <f>IF(I927="","",I927&amp;"|"&amp;R927)</f>
        <v/>
      </c>
      <c r="AK927" s="26">
        <f>IF(I927="","",IF(ISNA(MATCH(O927,Kampanyalar!$A$2:$A$150,0)),"Hayır - Kampanyalar'da Yok","Evet"))</f>
        <v/>
      </c>
      <c r="AL927" s="27">
        <f>IF(I927="","",IFERROR(INDEX(Kampanyalar!$E$2:$E$150,MATCH(O927,Kampanyalar!$A$2:$A$150,0)),""))</f>
        <v/>
      </c>
      <c r="AM927" s="27">
        <f>IF(I927="","",IFERROR(INDEX(Kampanyalar!$F$2:$F$150,MATCH(O927,Kampanyalar!$A$2:$A$150,0)),""))</f>
        <v/>
      </c>
      <c r="AN927" s="27">
        <f>IF(I927="","",IFERROR(INDEX(Kampanyalar!$G$2:$G$150,MATCH(O927,Kampanyalar!$A$2:$A$150,0)),""))</f>
        <v/>
      </c>
      <c r="AO927" s="26">
        <f>IF(OR(I927="",AL927="",AM927=""),"",IF(AND(H927&gt;=AL927,H927&lt;=AM927),"Evet","HAYIR - Tarih Dışı"))</f>
        <v/>
      </c>
      <c r="AP927" s="28">
        <f>IF(I927="","",IFERROR(INDEX(Kampanyalar!$H$2:$H$150,MATCH(O927,Kampanyalar!$A$2:$A$150,0)),""))</f>
        <v/>
      </c>
      <c r="AQ927" s="28">
        <f>IF(I927="","",IF(ISNUMBER(AP927),AP927,AD927))</f>
        <v/>
      </c>
      <c r="AR927" s="26">
        <f>IF(I927="","",IF(Parametreler!$C$7="Evet","Kural A - Hemen Ödeme (Stok Mutabakatlı)","Kural B - Nakliye/Montaj Sonrası Ödeme"))</f>
        <v/>
      </c>
    </row>
    <row r="928">
      <c r="A928" s="23" t="n"/>
      <c r="B928" s="23" t="n"/>
      <c r="C928" s="23" t="n"/>
      <c r="D928" s="23" t="n"/>
      <c r="E928" s="23" t="n"/>
      <c r="F928" s="23" t="n"/>
      <c r="G928" s="23" t="n"/>
      <c r="H928" s="24" t="n"/>
      <c r="I928" s="23" t="n"/>
      <c r="J928" s="23" t="n"/>
      <c r="K928" s="23" t="n"/>
      <c r="L928" s="23" t="n"/>
      <c r="M928" s="23" t="n"/>
      <c r="N928" s="23" t="n"/>
      <c r="O928" s="23" t="n"/>
      <c r="P928" s="23" t="n"/>
      <c r="Q928" s="23" t="n"/>
      <c r="R928" s="23" t="n"/>
      <c r="S928" s="23" t="n"/>
      <c r="T928" s="23" t="n"/>
      <c r="U928" s="23" t="n"/>
      <c r="V928" s="23" t="n"/>
      <c r="W928" s="23" t="n"/>
      <c r="X928" s="23" t="n"/>
      <c r="Y928" s="25" t="n"/>
      <c r="Z928" s="25" t="n"/>
      <c r="AA928" s="23" t="n"/>
      <c r="AB928" s="25" t="n"/>
      <c r="AC928" s="23" t="n"/>
      <c r="AD928" s="25" t="n"/>
      <c r="AE928" s="23" t="n"/>
      <c r="AF928" s="25" t="n"/>
      <c r="AG928" s="25" t="n"/>
      <c r="AH928" s="23" t="n"/>
      <c r="AI928" s="23" t="n"/>
      <c r="AJ928" s="26">
        <f>IF(I928="","",I928&amp;"|"&amp;R928)</f>
        <v/>
      </c>
      <c r="AK928" s="26">
        <f>IF(I928="","",IF(ISNA(MATCH(O928,Kampanyalar!$A$2:$A$150,0)),"Hayır - Kampanyalar'da Yok","Evet"))</f>
        <v/>
      </c>
      <c r="AL928" s="27">
        <f>IF(I928="","",IFERROR(INDEX(Kampanyalar!$E$2:$E$150,MATCH(O928,Kampanyalar!$A$2:$A$150,0)),""))</f>
        <v/>
      </c>
      <c r="AM928" s="27">
        <f>IF(I928="","",IFERROR(INDEX(Kampanyalar!$F$2:$F$150,MATCH(O928,Kampanyalar!$A$2:$A$150,0)),""))</f>
        <v/>
      </c>
      <c r="AN928" s="27">
        <f>IF(I928="","",IFERROR(INDEX(Kampanyalar!$G$2:$G$150,MATCH(O928,Kampanyalar!$A$2:$A$150,0)),""))</f>
        <v/>
      </c>
      <c r="AO928" s="26">
        <f>IF(OR(I928="",AL928="",AM928=""),"",IF(AND(H928&gt;=AL928,H928&lt;=AM928),"Evet","HAYIR - Tarih Dışı"))</f>
        <v/>
      </c>
      <c r="AP928" s="28">
        <f>IF(I928="","",IFERROR(INDEX(Kampanyalar!$H$2:$H$150,MATCH(O928,Kampanyalar!$A$2:$A$150,0)),""))</f>
        <v/>
      </c>
      <c r="AQ928" s="28">
        <f>IF(I928="","",IF(ISNUMBER(AP928),AP928,AD928))</f>
        <v/>
      </c>
      <c r="AR928" s="26">
        <f>IF(I928="","",IF(Parametreler!$C$7="Evet","Kural A - Hemen Ödeme (Stok Mutabakatlı)","Kural B - Nakliye/Montaj Sonrası Ödeme"))</f>
        <v/>
      </c>
    </row>
    <row r="929">
      <c r="A929" s="23" t="n"/>
      <c r="B929" s="23" t="n"/>
      <c r="C929" s="23" t="n"/>
      <c r="D929" s="23" t="n"/>
      <c r="E929" s="23" t="n"/>
      <c r="F929" s="23" t="n"/>
      <c r="G929" s="23" t="n"/>
      <c r="H929" s="24" t="n"/>
      <c r="I929" s="23" t="n"/>
      <c r="J929" s="23" t="n"/>
      <c r="K929" s="23" t="n"/>
      <c r="L929" s="23" t="n"/>
      <c r="M929" s="23" t="n"/>
      <c r="N929" s="23" t="n"/>
      <c r="O929" s="23" t="n"/>
      <c r="P929" s="23" t="n"/>
      <c r="Q929" s="23" t="n"/>
      <c r="R929" s="23" t="n"/>
      <c r="S929" s="23" t="n"/>
      <c r="T929" s="23" t="n"/>
      <c r="U929" s="23" t="n"/>
      <c r="V929" s="23" t="n"/>
      <c r="W929" s="23" t="n"/>
      <c r="X929" s="23" t="n"/>
      <c r="Y929" s="25" t="n"/>
      <c r="Z929" s="25" t="n"/>
      <c r="AA929" s="23" t="n"/>
      <c r="AB929" s="25" t="n"/>
      <c r="AC929" s="23" t="n"/>
      <c r="AD929" s="25" t="n"/>
      <c r="AE929" s="23" t="n"/>
      <c r="AF929" s="25" t="n"/>
      <c r="AG929" s="25" t="n"/>
      <c r="AH929" s="23" t="n"/>
      <c r="AI929" s="23" t="n"/>
      <c r="AJ929" s="26">
        <f>IF(I929="","",I929&amp;"|"&amp;R929)</f>
        <v/>
      </c>
      <c r="AK929" s="26">
        <f>IF(I929="","",IF(ISNA(MATCH(O929,Kampanyalar!$A$2:$A$150,0)),"Hayır - Kampanyalar'da Yok","Evet"))</f>
        <v/>
      </c>
      <c r="AL929" s="27">
        <f>IF(I929="","",IFERROR(INDEX(Kampanyalar!$E$2:$E$150,MATCH(O929,Kampanyalar!$A$2:$A$150,0)),""))</f>
        <v/>
      </c>
      <c r="AM929" s="27">
        <f>IF(I929="","",IFERROR(INDEX(Kampanyalar!$F$2:$F$150,MATCH(O929,Kampanyalar!$A$2:$A$150,0)),""))</f>
        <v/>
      </c>
      <c r="AN929" s="27">
        <f>IF(I929="","",IFERROR(INDEX(Kampanyalar!$G$2:$G$150,MATCH(O929,Kampanyalar!$A$2:$A$150,0)),""))</f>
        <v/>
      </c>
      <c r="AO929" s="26">
        <f>IF(OR(I929="",AL929="",AM929=""),"",IF(AND(H929&gt;=AL929,H929&lt;=AM929),"Evet","HAYIR - Tarih Dışı"))</f>
        <v/>
      </c>
      <c r="AP929" s="28">
        <f>IF(I929="","",IFERROR(INDEX(Kampanyalar!$H$2:$H$150,MATCH(O929,Kampanyalar!$A$2:$A$150,0)),""))</f>
        <v/>
      </c>
      <c r="AQ929" s="28">
        <f>IF(I929="","",IF(ISNUMBER(AP929),AP929,AD929))</f>
        <v/>
      </c>
      <c r="AR929" s="26">
        <f>IF(I929="","",IF(Parametreler!$C$7="Evet","Kural A - Hemen Ödeme (Stok Mutabakatlı)","Kural B - Nakliye/Montaj Sonrası Ödeme"))</f>
        <v/>
      </c>
    </row>
    <row r="930">
      <c r="A930" s="23" t="n"/>
      <c r="B930" s="23" t="n"/>
      <c r="C930" s="23" t="n"/>
      <c r="D930" s="23" t="n"/>
      <c r="E930" s="23" t="n"/>
      <c r="F930" s="23" t="n"/>
      <c r="G930" s="23" t="n"/>
      <c r="H930" s="24" t="n"/>
      <c r="I930" s="23" t="n"/>
      <c r="J930" s="23" t="n"/>
      <c r="K930" s="23" t="n"/>
      <c r="L930" s="23" t="n"/>
      <c r="M930" s="23" t="n"/>
      <c r="N930" s="23" t="n"/>
      <c r="O930" s="23" t="n"/>
      <c r="P930" s="23" t="n"/>
      <c r="Q930" s="23" t="n"/>
      <c r="R930" s="23" t="n"/>
      <c r="S930" s="23" t="n"/>
      <c r="T930" s="23" t="n"/>
      <c r="U930" s="23" t="n"/>
      <c r="V930" s="23" t="n"/>
      <c r="W930" s="23" t="n"/>
      <c r="X930" s="23" t="n"/>
      <c r="Y930" s="25" t="n"/>
      <c r="Z930" s="25" t="n"/>
      <c r="AA930" s="23" t="n"/>
      <c r="AB930" s="25" t="n"/>
      <c r="AC930" s="23" t="n"/>
      <c r="AD930" s="25" t="n"/>
      <c r="AE930" s="23" t="n"/>
      <c r="AF930" s="25" t="n"/>
      <c r="AG930" s="25" t="n"/>
      <c r="AH930" s="23" t="n"/>
      <c r="AI930" s="23" t="n"/>
      <c r="AJ930" s="26">
        <f>IF(I930="","",I930&amp;"|"&amp;R930)</f>
        <v/>
      </c>
      <c r="AK930" s="26">
        <f>IF(I930="","",IF(ISNA(MATCH(O930,Kampanyalar!$A$2:$A$150,0)),"Hayır - Kampanyalar'da Yok","Evet"))</f>
        <v/>
      </c>
      <c r="AL930" s="27">
        <f>IF(I930="","",IFERROR(INDEX(Kampanyalar!$E$2:$E$150,MATCH(O930,Kampanyalar!$A$2:$A$150,0)),""))</f>
        <v/>
      </c>
      <c r="AM930" s="27">
        <f>IF(I930="","",IFERROR(INDEX(Kampanyalar!$F$2:$F$150,MATCH(O930,Kampanyalar!$A$2:$A$150,0)),""))</f>
        <v/>
      </c>
      <c r="AN930" s="27">
        <f>IF(I930="","",IFERROR(INDEX(Kampanyalar!$G$2:$G$150,MATCH(O930,Kampanyalar!$A$2:$A$150,0)),""))</f>
        <v/>
      </c>
      <c r="AO930" s="26">
        <f>IF(OR(I930="",AL930="",AM930=""),"",IF(AND(H930&gt;=AL930,H930&lt;=AM930),"Evet","HAYIR - Tarih Dışı"))</f>
        <v/>
      </c>
      <c r="AP930" s="28">
        <f>IF(I930="","",IFERROR(INDEX(Kampanyalar!$H$2:$H$150,MATCH(O930,Kampanyalar!$A$2:$A$150,0)),""))</f>
        <v/>
      </c>
      <c r="AQ930" s="28">
        <f>IF(I930="","",IF(ISNUMBER(AP930),AP930,AD930))</f>
        <v/>
      </c>
      <c r="AR930" s="26">
        <f>IF(I930="","",IF(Parametreler!$C$7="Evet","Kural A - Hemen Ödeme (Stok Mutabakatlı)","Kural B - Nakliye/Montaj Sonrası Ödeme"))</f>
        <v/>
      </c>
    </row>
    <row r="931">
      <c r="A931" s="23" t="n"/>
      <c r="B931" s="23" t="n"/>
      <c r="C931" s="23" t="n"/>
      <c r="D931" s="23" t="n"/>
      <c r="E931" s="23" t="n"/>
      <c r="F931" s="23" t="n"/>
      <c r="G931" s="23" t="n"/>
      <c r="H931" s="24" t="n"/>
      <c r="I931" s="23" t="n"/>
      <c r="J931" s="23" t="n"/>
      <c r="K931" s="23" t="n"/>
      <c r="L931" s="23" t="n"/>
      <c r="M931" s="23" t="n"/>
      <c r="N931" s="23" t="n"/>
      <c r="O931" s="23" t="n"/>
      <c r="P931" s="23" t="n"/>
      <c r="Q931" s="23" t="n"/>
      <c r="R931" s="23" t="n"/>
      <c r="S931" s="23" t="n"/>
      <c r="T931" s="23" t="n"/>
      <c r="U931" s="23" t="n"/>
      <c r="V931" s="23" t="n"/>
      <c r="W931" s="23" t="n"/>
      <c r="X931" s="23" t="n"/>
      <c r="Y931" s="25" t="n"/>
      <c r="Z931" s="25" t="n"/>
      <c r="AA931" s="23" t="n"/>
      <c r="AB931" s="25" t="n"/>
      <c r="AC931" s="23" t="n"/>
      <c r="AD931" s="25" t="n"/>
      <c r="AE931" s="23" t="n"/>
      <c r="AF931" s="25" t="n"/>
      <c r="AG931" s="25" t="n"/>
      <c r="AH931" s="23" t="n"/>
      <c r="AI931" s="23" t="n"/>
      <c r="AJ931" s="26">
        <f>IF(I931="","",I931&amp;"|"&amp;R931)</f>
        <v/>
      </c>
      <c r="AK931" s="26">
        <f>IF(I931="","",IF(ISNA(MATCH(O931,Kampanyalar!$A$2:$A$150,0)),"Hayır - Kampanyalar'da Yok","Evet"))</f>
        <v/>
      </c>
      <c r="AL931" s="27">
        <f>IF(I931="","",IFERROR(INDEX(Kampanyalar!$E$2:$E$150,MATCH(O931,Kampanyalar!$A$2:$A$150,0)),""))</f>
        <v/>
      </c>
      <c r="AM931" s="27">
        <f>IF(I931="","",IFERROR(INDEX(Kampanyalar!$F$2:$F$150,MATCH(O931,Kampanyalar!$A$2:$A$150,0)),""))</f>
        <v/>
      </c>
      <c r="AN931" s="27">
        <f>IF(I931="","",IFERROR(INDEX(Kampanyalar!$G$2:$G$150,MATCH(O931,Kampanyalar!$A$2:$A$150,0)),""))</f>
        <v/>
      </c>
      <c r="AO931" s="26">
        <f>IF(OR(I931="",AL931="",AM931=""),"",IF(AND(H931&gt;=AL931,H931&lt;=AM931),"Evet","HAYIR - Tarih Dışı"))</f>
        <v/>
      </c>
      <c r="AP931" s="28">
        <f>IF(I931="","",IFERROR(INDEX(Kampanyalar!$H$2:$H$150,MATCH(O931,Kampanyalar!$A$2:$A$150,0)),""))</f>
        <v/>
      </c>
      <c r="AQ931" s="28">
        <f>IF(I931="","",IF(ISNUMBER(AP931),AP931,AD931))</f>
        <v/>
      </c>
      <c r="AR931" s="26">
        <f>IF(I931="","",IF(Parametreler!$C$7="Evet","Kural A - Hemen Ödeme (Stok Mutabakatlı)","Kural B - Nakliye/Montaj Sonrası Ödeme"))</f>
        <v/>
      </c>
    </row>
    <row r="932">
      <c r="A932" s="23" t="n"/>
      <c r="B932" s="23" t="n"/>
      <c r="C932" s="23" t="n"/>
      <c r="D932" s="23" t="n"/>
      <c r="E932" s="23" t="n"/>
      <c r="F932" s="23" t="n"/>
      <c r="G932" s="23" t="n"/>
      <c r="H932" s="24" t="n"/>
      <c r="I932" s="23" t="n"/>
      <c r="J932" s="23" t="n"/>
      <c r="K932" s="23" t="n"/>
      <c r="L932" s="23" t="n"/>
      <c r="M932" s="23" t="n"/>
      <c r="N932" s="23" t="n"/>
      <c r="O932" s="23" t="n"/>
      <c r="P932" s="23" t="n"/>
      <c r="Q932" s="23" t="n"/>
      <c r="R932" s="23" t="n"/>
      <c r="S932" s="23" t="n"/>
      <c r="T932" s="23" t="n"/>
      <c r="U932" s="23" t="n"/>
      <c r="V932" s="23" t="n"/>
      <c r="W932" s="23" t="n"/>
      <c r="X932" s="23" t="n"/>
      <c r="Y932" s="25" t="n"/>
      <c r="Z932" s="25" t="n"/>
      <c r="AA932" s="23" t="n"/>
      <c r="AB932" s="25" t="n"/>
      <c r="AC932" s="23" t="n"/>
      <c r="AD932" s="25" t="n"/>
      <c r="AE932" s="23" t="n"/>
      <c r="AF932" s="25" t="n"/>
      <c r="AG932" s="25" t="n"/>
      <c r="AH932" s="23" t="n"/>
      <c r="AI932" s="23" t="n"/>
      <c r="AJ932" s="26">
        <f>IF(I932="","",I932&amp;"|"&amp;R932)</f>
        <v/>
      </c>
      <c r="AK932" s="26">
        <f>IF(I932="","",IF(ISNA(MATCH(O932,Kampanyalar!$A$2:$A$150,0)),"Hayır - Kampanyalar'da Yok","Evet"))</f>
        <v/>
      </c>
      <c r="AL932" s="27">
        <f>IF(I932="","",IFERROR(INDEX(Kampanyalar!$E$2:$E$150,MATCH(O932,Kampanyalar!$A$2:$A$150,0)),""))</f>
        <v/>
      </c>
      <c r="AM932" s="27">
        <f>IF(I932="","",IFERROR(INDEX(Kampanyalar!$F$2:$F$150,MATCH(O932,Kampanyalar!$A$2:$A$150,0)),""))</f>
        <v/>
      </c>
      <c r="AN932" s="27">
        <f>IF(I932="","",IFERROR(INDEX(Kampanyalar!$G$2:$G$150,MATCH(O932,Kampanyalar!$A$2:$A$150,0)),""))</f>
        <v/>
      </c>
      <c r="AO932" s="26">
        <f>IF(OR(I932="",AL932="",AM932=""),"",IF(AND(H932&gt;=AL932,H932&lt;=AM932),"Evet","HAYIR - Tarih Dışı"))</f>
        <v/>
      </c>
      <c r="AP932" s="28">
        <f>IF(I932="","",IFERROR(INDEX(Kampanyalar!$H$2:$H$150,MATCH(O932,Kampanyalar!$A$2:$A$150,0)),""))</f>
        <v/>
      </c>
      <c r="AQ932" s="28">
        <f>IF(I932="","",IF(ISNUMBER(AP932),AP932,AD932))</f>
        <v/>
      </c>
      <c r="AR932" s="26">
        <f>IF(I932="","",IF(Parametreler!$C$7="Evet","Kural A - Hemen Ödeme (Stok Mutabakatlı)","Kural B - Nakliye/Montaj Sonrası Ödeme"))</f>
        <v/>
      </c>
    </row>
    <row r="933">
      <c r="A933" s="23" t="n"/>
      <c r="B933" s="23" t="n"/>
      <c r="C933" s="23" t="n"/>
      <c r="D933" s="23" t="n"/>
      <c r="E933" s="23" t="n"/>
      <c r="F933" s="23" t="n"/>
      <c r="G933" s="23" t="n"/>
      <c r="H933" s="24" t="n"/>
      <c r="I933" s="23" t="n"/>
      <c r="J933" s="23" t="n"/>
      <c r="K933" s="23" t="n"/>
      <c r="L933" s="23" t="n"/>
      <c r="M933" s="23" t="n"/>
      <c r="N933" s="23" t="n"/>
      <c r="O933" s="23" t="n"/>
      <c r="P933" s="23" t="n"/>
      <c r="Q933" s="23" t="n"/>
      <c r="R933" s="23" t="n"/>
      <c r="S933" s="23" t="n"/>
      <c r="T933" s="23" t="n"/>
      <c r="U933" s="23" t="n"/>
      <c r="V933" s="23" t="n"/>
      <c r="W933" s="23" t="n"/>
      <c r="X933" s="23" t="n"/>
      <c r="Y933" s="25" t="n"/>
      <c r="Z933" s="25" t="n"/>
      <c r="AA933" s="23" t="n"/>
      <c r="AB933" s="25" t="n"/>
      <c r="AC933" s="23" t="n"/>
      <c r="AD933" s="25" t="n"/>
      <c r="AE933" s="23" t="n"/>
      <c r="AF933" s="25" t="n"/>
      <c r="AG933" s="25" t="n"/>
      <c r="AH933" s="23" t="n"/>
      <c r="AI933" s="23" t="n"/>
      <c r="AJ933" s="26">
        <f>IF(I933="","",I933&amp;"|"&amp;R933)</f>
        <v/>
      </c>
      <c r="AK933" s="26">
        <f>IF(I933="","",IF(ISNA(MATCH(O933,Kampanyalar!$A$2:$A$150,0)),"Hayır - Kampanyalar'da Yok","Evet"))</f>
        <v/>
      </c>
      <c r="AL933" s="27">
        <f>IF(I933="","",IFERROR(INDEX(Kampanyalar!$E$2:$E$150,MATCH(O933,Kampanyalar!$A$2:$A$150,0)),""))</f>
        <v/>
      </c>
      <c r="AM933" s="27">
        <f>IF(I933="","",IFERROR(INDEX(Kampanyalar!$F$2:$F$150,MATCH(O933,Kampanyalar!$A$2:$A$150,0)),""))</f>
        <v/>
      </c>
      <c r="AN933" s="27">
        <f>IF(I933="","",IFERROR(INDEX(Kampanyalar!$G$2:$G$150,MATCH(O933,Kampanyalar!$A$2:$A$150,0)),""))</f>
        <v/>
      </c>
      <c r="AO933" s="26">
        <f>IF(OR(I933="",AL933="",AM933=""),"",IF(AND(H933&gt;=AL933,H933&lt;=AM933),"Evet","HAYIR - Tarih Dışı"))</f>
        <v/>
      </c>
      <c r="AP933" s="28">
        <f>IF(I933="","",IFERROR(INDEX(Kampanyalar!$H$2:$H$150,MATCH(O933,Kampanyalar!$A$2:$A$150,0)),""))</f>
        <v/>
      </c>
      <c r="AQ933" s="28">
        <f>IF(I933="","",IF(ISNUMBER(AP933),AP933,AD933))</f>
        <v/>
      </c>
      <c r="AR933" s="26">
        <f>IF(I933="","",IF(Parametreler!$C$7="Evet","Kural A - Hemen Ödeme (Stok Mutabakatlı)","Kural B - Nakliye/Montaj Sonrası Ödeme"))</f>
        <v/>
      </c>
    </row>
    <row r="934">
      <c r="A934" s="23" t="n"/>
      <c r="B934" s="23" t="n"/>
      <c r="C934" s="23" t="n"/>
      <c r="D934" s="23" t="n"/>
      <c r="E934" s="23" t="n"/>
      <c r="F934" s="23" t="n"/>
      <c r="G934" s="23" t="n"/>
      <c r="H934" s="24" t="n"/>
      <c r="I934" s="23" t="n"/>
      <c r="J934" s="23" t="n"/>
      <c r="K934" s="23" t="n"/>
      <c r="L934" s="23" t="n"/>
      <c r="M934" s="23" t="n"/>
      <c r="N934" s="23" t="n"/>
      <c r="O934" s="23" t="n"/>
      <c r="P934" s="23" t="n"/>
      <c r="Q934" s="23" t="n"/>
      <c r="R934" s="23" t="n"/>
      <c r="S934" s="23" t="n"/>
      <c r="T934" s="23" t="n"/>
      <c r="U934" s="23" t="n"/>
      <c r="V934" s="23" t="n"/>
      <c r="W934" s="23" t="n"/>
      <c r="X934" s="23" t="n"/>
      <c r="Y934" s="25" t="n"/>
      <c r="Z934" s="25" t="n"/>
      <c r="AA934" s="23" t="n"/>
      <c r="AB934" s="25" t="n"/>
      <c r="AC934" s="23" t="n"/>
      <c r="AD934" s="25" t="n"/>
      <c r="AE934" s="23" t="n"/>
      <c r="AF934" s="25" t="n"/>
      <c r="AG934" s="25" t="n"/>
      <c r="AH934" s="23" t="n"/>
      <c r="AI934" s="23" t="n"/>
      <c r="AJ934" s="26">
        <f>IF(I934="","",I934&amp;"|"&amp;R934)</f>
        <v/>
      </c>
      <c r="AK934" s="26">
        <f>IF(I934="","",IF(ISNA(MATCH(O934,Kampanyalar!$A$2:$A$150,0)),"Hayır - Kampanyalar'da Yok","Evet"))</f>
        <v/>
      </c>
      <c r="AL934" s="27">
        <f>IF(I934="","",IFERROR(INDEX(Kampanyalar!$E$2:$E$150,MATCH(O934,Kampanyalar!$A$2:$A$150,0)),""))</f>
        <v/>
      </c>
      <c r="AM934" s="27">
        <f>IF(I934="","",IFERROR(INDEX(Kampanyalar!$F$2:$F$150,MATCH(O934,Kampanyalar!$A$2:$A$150,0)),""))</f>
        <v/>
      </c>
      <c r="AN934" s="27">
        <f>IF(I934="","",IFERROR(INDEX(Kampanyalar!$G$2:$G$150,MATCH(O934,Kampanyalar!$A$2:$A$150,0)),""))</f>
        <v/>
      </c>
      <c r="AO934" s="26">
        <f>IF(OR(I934="",AL934="",AM934=""),"",IF(AND(H934&gt;=AL934,H934&lt;=AM934),"Evet","HAYIR - Tarih Dışı"))</f>
        <v/>
      </c>
      <c r="AP934" s="28">
        <f>IF(I934="","",IFERROR(INDEX(Kampanyalar!$H$2:$H$150,MATCH(O934,Kampanyalar!$A$2:$A$150,0)),""))</f>
        <v/>
      </c>
      <c r="AQ934" s="28">
        <f>IF(I934="","",IF(ISNUMBER(AP934),AP934,AD934))</f>
        <v/>
      </c>
      <c r="AR934" s="26">
        <f>IF(I934="","",IF(Parametreler!$C$7="Evet","Kural A - Hemen Ödeme (Stok Mutabakatlı)","Kural B - Nakliye/Montaj Sonrası Ödeme"))</f>
        <v/>
      </c>
    </row>
    <row r="935">
      <c r="A935" s="23" t="n"/>
      <c r="B935" s="23" t="n"/>
      <c r="C935" s="23" t="n"/>
      <c r="D935" s="23" t="n"/>
      <c r="E935" s="23" t="n"/>
      <c r="F935" s="23" t="n"/>
      <c r="G935" s="23" t="n"/>
      <c r="H935" s="24" t="n"/>
      <c r="I935" s="23" t="n"/>
      <c r="J935" s="23" t="n"/>
      <c r="K935" s="23" t="n"/>
      <c r="L935" s="23" t="n"/>
      <c r="M935" s="23" t="n"/>
      <c r="N935" s="23" t="n"/>
      <c r="O935" s="23" t="n"/>
      <c r="P935" s="23" t="n"/>
      <c r="Q935" s="23" t="n"/>
      <c r="R935" s="23" t="n"/>
      <c r="S935" s="23" t="n"/>
      <c r="T935" s="23" t="n"/>
      <c r="U935" s="23" t="n"/>
      <c r="V935" s="23" t="n"/>
      <c r="W935" s="23" t="n"/>
      <c r="X935" s="23" t="n"/>
      <c r="Y935" s="25" t="n"/>
      <c r="Z935" s="25" t="n"/>
      <c r="AA935" s="23" t="n"/>
      <c r="AB935" s="25" t="n"/>
      <c r="AC935" s="23" t="n"/>
      <c r="AD935" s="25" t="n"/>
      <c r="AE935" s="23" t="n"/>
      <c r="AF935" s="25" t="n"/>
      <c r="AG935" s="25" t="n"/>
      <c r="AH935" s="23" t="n"/>
      <c r="AI935" s="23" t="n"/>
      <c r="AJ935" s="26">
        <f>IF(I935="","",I935&amp;"|"&amp;R935)</f>
        <v/>
      </c>
      <c r="AK935" s="26">
        <f>IF(I935="","",IF(ISNA(MATCH(O935,Kampanyalar!$A$2:$A$150,0)),"Hayır - Kampanyalar'da Yok","Evet"))</f>
        <v/>
      </c>
      <c r="AL935" s="27">
        <f>IF(I935="","",IFERROR(INDEX(Kampanyalar!$E$2:$E$150,MATCH(O935,Kampanyalar!$A$2:$A$150,0)),""))</f>
        <v/>
      </c>
      <c r="AM935" s="27">
        <f>IF(I935="","",IFERROR(INDEX(Kampanyalar!$F$2:$F$150,MATCH(O935,Kampanyalar!$A$2:$A$150,0)),""))</f>
        <v/>
      </c>
      <c r="AN935" s="27">
        <f>IF(I935="","",IFERROR(INDEX(Kampanyalar!$G$2:$G$150,MATCH(O935,Kampanyalar!$A$2:$A$150,0)),""))</f>
        <v/>
      </c>
      <c r="AO935" s="26">
        <f>IF(OR(I935="",AL935="",AM935=""),"",IF(AND(H935&gt;=AL935,H935&lt;=AM935),"Evet","HAYIR - Tarih Dışı"))</f>
        <v/>
      </c>
      <c r="AP935" s="28">
        <f>IF(I935="","",IFERROR(INDEX(Kampanyalar!$H$2:$H$150,MATCH(O935,Kampanyalar!$A$2:$A$150,0)),""))</f>
        <v/>
      </c>
      <c r="AQ935" s="28">
        <f>IF(I935="","",IF(ISNUMBER(AP935),AP935,AD935))</f>
        <v/>
      </c>
      <c r="AR935" s="26">
        <f>IF(I935="","",IF(Parametreler!$C$7="Evet","Kural A - Hemen Ödeme (Stok Mutabakatlı)","Kural B - Nakliye/Montaj Sonrası Ödeme"))</f>
        <v/>
      </c>
    </row>
    <row r="936">
      <c r="A936" s="23" t="n"/>
      <c r="B936" s="23" t="n"/>
      <c r="C936" s="23" t="n"/>
      <c r="D936" s="23" t="n"/>
      <c r="E936" s="23" t="n"/>
      <c r="F936" s="23" t="n"/>
      <c r="G936" s="23" t="n"/>
      <c r="H936" s="24" t="n"/>
      <c r="I936" s="23" t="n"/>
      <c r="J936" s="23" t="n"/>
      <c r="K936" s="23" t="n"/>
      <c r="L936" s="23" t="n"/>
      <c r="M936" s="23" t="n"/>
      <c r="N936" s="23" t="n"/>
      <c r="O936" s="23" t="n"/>
      <c r="P936" s="23" t="n"/>
      <c r="Q936" s="23" t="n"/>
      <c r="R936" s="23" t="n"/>
      <c r="S936" s="23" t="n"/>
      <c r="T936" s="23" t="n"/>
      <c r="U936" s="23" t="n"/>
      <c r="V936" s="23" t="n"/>
      <c r="W936" s="23" t="n"/>
      <c r="X936" s="23" t="n"/>
      <c r="Y936" s="25" t="n"/>
      <c r="Z936" s="25" t="n"/>
      <c r="AA936" s="23" t="n"/>
      <c r="AB936" s="25" t="n"/>
      <c r="AC936" s="23" t="n"/>
      <c r="AD936" s="25" t="n"/>
      <c r="AE936" s="23" t="n"/>
      <c r="AF936" s="25" t="n"/>
      <c r="AG936" s="25" t="n"/>
      <c r="AH936" s="23" t="n"/>
      <c r="AI936" s="23" t="n"/>
      <c r="AJ936" s="26">
        <f>IF(I936="","",I936&amp;"|"&amp;R936)</f>
        <v/>
      </c>
      <c r="AK936" s="26">
        <f>IF(I936="","",IF(ISNA(MATCH(O936,Kampanyalar!$A$2:$A$150,0)),"Hayır - Kampanyalar'da Yok","Evet"))</f>
        <v/>
      </c>
      <c r="AL936" s="27">
        <f>IF(I936="","",IFERROR(INDEX(Kampanyalar!$E$2:$E$150,MATCH(O936,Kampanyalar!$A$2:$A$150,0)),""))</f>
        <v/>
      </c>
      <c r="AM936" s="27">
        <f>IF(I936="","",IFERROR(INDEX(Kampanyalar!$F$2:$F$150,MATCH(O936,Kampanyalar!$A$2:$A$150,0)),""))</f>
        <v/>
      </c>
      <c r="AN936" s="27">
        <f>IF(I936="","",IFERROR(INDEX(Kampanyalar!$G$2:$G$150,MATCH(O936,Kampanyalar!$A$2:$A$150,0)),""))</f>
        <v/>
      </c>
      <c r="AO936" s="26">
        <f>IF(OR(I936="",AL936="",AM936=""),"",IF(AND(H936&gt;=AL936,H936&lt;=AM936),"Evet","HAYIR - Tarih Dışı"))</f>
        <v/>
      </c>
      <c r="AP936" s="28">
        <f>IF(I936="","",IFERROR(INDEX(Kampanyalar!$H$2:$H$150,MATCH(O936,Kampanyalar!$A$2:$A$150,0)),""))</f>
        <v/>
      </c>
      <c r="AQ936" s="28">
        <f>IF(I936="","",IF(ISNUMBER(AP936),AP936,AD936))</f>
        <v/>
      </c>
      <c r="AR936" s="26">
        <f>IF(I936="","",IF(Parametreler!$C$7="Evet","Kural A - Hemen Ödeme (Stok Mutabakatlı)","Kural B - Nakliye/Montaj Sonrası Ödeme"))</f>
        <v/>
      </c>
    </row>
    <row r="937">
      <c r="A937" s="23" t="n"/>
      <c r="B937" s="23" t="n"/>
      <c r="C937" s="23" t="n"/>
      <c r="D937" s="23" t="n"/>
      <c r="E937" s="23" t="n"/>
      <c r="F937" s="23" t="n"/>
      <c r="G937" s="23" t="n"/>
      <c r="H937" s="24" t="n"/>
      <c r="I937" s="23" t="n"/>
      <c r="J937" s="23" t="n"/>
      <c r="K937" s="23" t="n"/>
      <c r="L937" s="23" t="n"/>
      <c r="M937" s="23" t="n"/>
      <c r="N937" s="23" t="n"/>
      <c r="O937" s="23" t="n"/>
      <c r="P937" s="23" t="n"/>
      <c r="Q937" s="23" t="n"/>
      <c r="R937" s="23" t="n"/>
      <c r="S937" s="23" t="n"/>
      <c r="T937" s="23" t="n"/>
      <c r="U937" s="23" t="n"/>
      <c r="V937" s="23" t="n"/>
      <c r="W937" s="23" t="n"/>
      <c r="X937" s="23" t="n"/>
      <c r="Y937" s="25" t="n"/>
      <c r="Z937" s="25" t="n"/>
      <c r="AA937" s="23" t="n"/>
      <c r="AB937" s="25" t="n"/>
      <c r="AC937" s="23" t="n"/>
      <c r="AD937" s="25" t="n"/>
      <c r="AE937" s="23" t="n"/>
      <c r="AF937" s="25" t="n"/>
      <c r="AG937" s="25" t="n"/>
      <c r="AH937" s="23" t="n"/>
      <c r="AI937" s="23" t="n"/>
      <c r="AJ937" s="26">
        <f>IF(I937="","",I937&amp;"|"&amp;R937)</f>
        <v/>
      </c>
      <c r="AK937" s="26">
        <f>IF(I937="","",IF(ISNA(MATCH(O937,Kampanyalar!$A$2:$A$150,0)),"Hayır - Kampanyalar'da Yok","Evet"))</f>
        <v/>
      </c>
      <c r="AL937" s="27">
        <f>IF(I937="","",IFERROR(INDEX(Kampanyalar!$E$2:$E$150,MATCH(O937,Kampanyalar!$A$2:$A$150,0)),""))</f>
        <v/>
      </c>
      <c r="AM937" s="27">
        <f>IF(I937="","",IFERROR(INDEX(Kampanyalar!$F$2:$F$150,MATCH(O937,Kampanyalar!$A$2:$A$150,0)),""))</f>
        <v/>
      </c>
      <c r="AN937" s="27">
        <f>IF(I937="","",IFERROR(INDEX(Kampanyalar!$G$2:$G$150,MATCH(O937,Kampanyalar!$A$2:$A$150,0)),""))</f>
        <v/>
      </c>
      <c r="AO937" s="26">
        <f>IF(OR(I937="",AL937="",AM937=""),"",IF(AND(H937&gt;=AL937,H937&lt;=AM937),"Evet","HAYIR - Tarih Dışı"))</f>
        <v/>
      </c>
      <c r="AP937" s="28">
        <f>IF(I937="","",IFERROR(INDEX(Kampanyalar!$H$2:$H$150,MATCH(O937,Kampanyalar!$A$2:$A$150,0)),""))</f>
        <v/>
      </c>
      <c r="AQ937" s="28">
        <f>IF(I937="","",IF(ISNUMBER(AP937),AP937,AD937))</f>
        <v/>
      </c>
      <c r="AR937" s="26">
        <f>IF(I937="","",IF(Parametreler!$C$7="Evet","Kural A - Hemen Ödeme (Stok Mutabakatlı)","Kural B - Nakliye/Montaj Sonrası Ödeme"))</f>
        <v/>
      </c>
    </row>
    <row r="938">
      <c r="A938" s="23" t="n"/>
      <c r="B938" s="23" t="n"/>
      <c r="C938" s="23" t="n"/>
      <c r="D938" s="23" t="n"/>
      <c r="E938" s="23" t="n"/>
      <c r="F938" s="23" t="n"/>
      <c r="G938" s="23" t="n"/>
      <c r="H938" s="24" t="n"/>
      <c r="I938" s="23" t="n"/>
      <c r="J938" s="23" t="n"/>
      <c r="K938" s="23" t="n"/>
      <c r="L938" s="23" t="n"/>
      <c r="M938" s="23" t="n"/>
      <c r="N938" s="23" t="n"/>
      <c r="O938" s="23" t="n"/>
      <c r="P938" s="23" t="n"/>
      <c r="Q938" s="23" t="n"/>
      <c r="R938" s="23" t="n"/>
      <c r="S938" s="23" t="n"/>
      <c r="T938" s="23" t="n"/>
      <c r="U938" s="23" t="n"/>
      <c r="V938" s="23" t="n"/>
      <c r="W938" s="23" t="n"/>
      <c r="X938" s="23" t="n"/>
      <c r="Y938" s="25" t="n"/>
      <c r="Z938" s="25" t="n"/>
      <c r="AA938" s="23" t="n"/>
      <c r="AB938" s="25" t="n"/>
      <c r="AC938" s="23" t="n"/>
      <c r="AD938" s="25" t="n"/>
      <c r="AE938" s="23" t="n"/>
      <c r="AF938" s="25" t="n"/>
      <c r="AG938" s="25" t="n"/>
      <c r="AH938" s="23" t="n"/>
      <c r="AI938" s="23" t="n"/>
      <c r="AJ938" s="26">
        <f>IF(I938="","",I938&amp;"|"&amp;R938)</f>
        <v/>
      </c>
      <c r="AK938" s="26">
        <f>IF(I938="","",IF(ISNA(MATCH(O938,Kampanyalar!$A$2:$A$150,0)),"Hayır - Kampanyalar'da Yok","Evet"))</f>
        <v/>
      </c>
      <c r="AL938" s="27">
        <f>IF(I938="","",IFERROR(INDEX(Kampanyalar!$E$2:$E$150,MATCH(O938,Kampanyalar!$A$2:$A$150,0)),""))</f>
        <v/>
      </c>
      <c r="AM938" s="27">
        <f>IF(I938="","",IFERROR(INDEX(Kampanyalar!$F$2:$F$150,MATCH(O938,Kampanyalar!$A$2:$A$150,0)),""))</f>
        <v/>
      </c>
      <c r="AN938" s="27">
        <f>IF(I938="","",IFERROR(INDEX(Kampanyalar!$G$2:$G$150,MATCH(O938,Kampanyalar!$A$2:$A$150,0)),""))</f>
        <v/>
      </c>
      <c r="AO938" s="26">
        <f>IF(OR(I938="",AL938="",AM938=""),"",IF(AND(H938&gt;=AL938,H938&lt;=AM938),"Evet","HAYIR - Tarih Dışı"))</f>
        <v/>
      </c>
      <c r="AP938" s="28">
        <f>IF(I938="","",IFERROR(INDEX(Kampanyalar!$H$2:$H$150,MATCH(O938,Kampanyalar!$A$2:$A$150,0)),""))</f>
        <v/>
      </c>
      <c r="AQ938" s="28">
        <f>IF(I938="","",IF(ISNUMBER(AP938),AP938,AD938))</f>
        <v/>
      </c>
      <c r="AR938" s="26">
        <f>IF(I938="","",IF(Parametreler!$C$7="Evet","Kural A - Hemen Ödeme (Stok Mutabakatlı)","Kural B - Nakliye/Montaj Sonrası Ödeme"))</f>
        <v/>
      </c>
    </row>
    <row r="939">
      <c r="A939" s="23" t="n"/>
      <c r="B939" s="23" t="n"/>
      <c r="C939" s="23" t="n"/>
      <c r="D939" s="23" t="n"/>
      <c r="E939" s="23" t="n"/>
      <c r="F939" s="23" t="n"/>
      <c r="G939" s="23" t="n"/>
      <c r="H939" s="24" t="n"/>
      <c r="I939" s="23" t="n"/>
      <c r="J939" s="23" t="n"/>
      <c r="K939" s="23" t="n"/>
      <c r="L939" s="23" t="n"/>
      <c r="M939" s="23" t="n"/>
      <c r="N939" s="23" t="n"/>
      <c r="O939" s="23" t="n"/>
      <c r="P939" s="23" t="n"/>
      <c r="Q939" s="23" t="n"/>
      <c r="R939" s="23" t="n"/>
      <c r="S939" s="23" t="n"/>
      <c r="T939" s="23" t="n"/>
      <c r="U939" s="23" t="n"/>
      <c r="V939" s="23" t="n"/>
      <c r="W939" s="23" t="n"/>
      <c r="X939" s="23" t="n"/>
      <c r="Y939" s="25" t="n"/>
      <c r="Z939" s="25" t="n"/>
      <c r="AA939" s="23" t="n"/>
      <c r="AB939" s="25" t="n"/>
      <c r="AC939" s="23" t="n"/>
      <c r="AD939" s="25" t="n"/>
      <c r="AE939" s="23" t="n"/>
      <c r="AF939" s="25" t="n"/>
      <c r="AG939" s="25" t="n"/>
      <c r="AH939" s="23" t="n"/>
      <c r="AI939" s="23" t="n"/>
      <c r="AJ939" s="26">
        <f>IF(I939="","",I939&amp;"|"&amp;R939)</f>
        <v/>
      </c>
      <c r="AK939" s="26">
        <f>IF(I939="","",IF(ISNA(MATCH(O939,Kampanyalar!$A$2:$A$150,0)),"Hayır - Kampanyalar'da Yok","Evet"))</f>
        <v/>
      </c>
      <c r="AL939" s="27">
        <f>IF(I939="","",IFERROR(INDEX(Kampanyalar!$E$2:$E$150,MATCH(O939,Kampanyalar!$A$2:$A$150,0)),""))</f>
        <v/>
      </c>
      <c r="AM939" s="27">
        <f>IF(I939="","",IFERROR(INDEX(Kampanyalar!$F$2:$F$150,MATCH(O939,Kampanyalar!$A$2:$A$150,0)),""))</f>
        <v/>
      </c>
      <c r="AN939" s="27">
        <f>IF(I939="","",IFERROR(INDEX(Kampanyalar!$G$2:$G$150,MATCH(O939,Kampanyalar!$A$2:$A$150,0)),""))</f>
        <v/>
      </c>
      <c r="AO939" s="26">
        <f>IF(OR(I939="",AL939="",AM939=""),"",IF(AND(H939&gt;=AL939,H939&lt;=AM939),"Evet","HAYIR - Tarih Dışı"))</f>
        <v/>
      </c>
      <c r="AP939" s="28">
        <f>IF(I939="","",IFERROR(INDEX(Kampanyalar!$H$2:$H$150,MATCH(O939,Kampanyalar!$A$2:$A$150,0)),""))</f>
        <v/>
      </c>
      <c r="AQ939" s="28">
        <f>IF(I939="","",IF(ISNUMBER(AP939),AP939,AD939))</f>
        <v/>
      </c>
      <c r="AR939" s="26">
        <f>IF(I939="","",IF(Parametreler!$C$7="Evet","Kural A - Hemen Ödeme (Stok Mutabakatlı)","Kural B - Nakliye/Montaj Sonrası Ödeme"))</f>
        <v/>
      </c>
    </row>
    <row r="940">
      <c r="A940" s="23" t="n"/>
      <c r="B940" s="23" t="n"/>
      <c r="C940" s="23" t="n"/>
      <c r="D940" s="23" t="n"/>
      <c r="E940" s="23" t="n"/>
      <c r="F940" s="23" t="n"/>
      <c r="G940" s="23" t="n"/>
      <c r="H940" s="24" t="n"/>
      <c r="I940" s="23" t="n"/>
      <c r="J940" s="23" t="n"/>
      <c r="K940" s="23" t="n"/>
      <c r="L940" s="23" t="n"/>
      <c r="M940" s="23" t="n"/>
      <c r="N940" s="23" t="n"/>
      <c r="O940" s="23" t="n"/>
      <c r="P940" s="23" t="n"/>
      <c r="Q940" s="23" t="n"/>
      <c r="R940" s="23" t="n"/>
      <c r="S940" s="23" t="n"/>
      <c r="T940" s="23" t="n"/>
      <c r="U940" s="23" t="n"/>
      <c r="V940" s="23" t="n"/>
      <c r="W940" s="23" t="n"/>
      <c r="X940" s="23" t="n"/>
      <c r="Y940" s="25" t="n"/>
      <c r="Z940" s="25" t="n"/>
      <c r="AA940" s="23" t="n"/>
      <c r="AB940" s="25" t="n"/>
      <c r="AC940" s="23" t="n"/>
      <c r="AD940" s="25" t="n"/>
      <c r="AE940" s="23" t="n"/>
      <c r="AF940" s="25" t="n"/>
      <c r="AG940" s="25" t="n"/>
      <c r="AH940" s="23" t="n"/>
      <c r="AI940" s="23" t="n"/>
      <c r="AJ940" s="26">
        <f>IF(I940="","",I940&amp;"|"&amp;R940)</f>
        <v/>
      </c>
      <c r="AK940" s="26">
        <f>IF(I940="","",IF(ISNA(MATCH(O940,Kampanyalar!$A$2:$A$150,0)),"Hayır - Kampanyalar'da Yok","Evet"))</f>
        <v/>
      </c>
      <c r="AL940" s="27">
        <f>IF(I940="","",IFERROR(INDEX(Kampanyalar!$E$2:$E$150,MATCH(O940,Kampanyalar!$A$2:$A$150,0)),""))</f>
        <v/>
      </c>
      <c r="AM940" s="27">
        <f>IF(I940="","",IFERROR(INDEX(Kampanyalar!$F$2:$F$150,MATCH(O940,Kampanyalar!$A$2:$A$150,0)),""))</f>
        <v/>
      </c>
      <c r="AN940" s="27">
        <f>IF(I940="","",IFERROR(INDEX(Kampanyalar!$G$2:$G$150,MATCH(O940,Kampanyalar!$A$2:$A$150,0)),""))</f>
        <v/>
      </c>
      <c r="AO940" s="26">
        <f>IF(OR(I940="",AL940="",AM940=""),"",IF(AND(H940&gt;=AL940,H940&lt;=AM940),"Evet","HAYIR - Tarih Dışı"))</f>
        <v/>
      </c>
      <c r="AP940" s="28">
        <f>IF(I940="","",IFERROR(INDEX(Kampanyalar!$H$2:$H$150,MATCH(O940,Kampanyalar!$A$2:$A$150,0)),""))</f>
        <v/>
      </c>
      <c r="AQ940" s="28">
        <f>IF(I940="","",IF(ISNUMBER(AP940),AP940,AD940))</f>
        <v/>
      </c>
      <c r="AR940" s="26">
        <f>IF(I940="","",IF(Parametreler!$C$7="Evet","Kural A - Hemen Ödeme (Stok Mutabakatlı)","Kural B - Nakliye/Montaj Sonrası Ödeme"))</f>
        <v/>
      </c>
    </row>
    <row r="941">
      <c r="A941" s="23" t="n"/>
      <c r="B941" s="23" t="n"/>
      <c r="C941" s="23" t="n"/>
      <c r="D941" s="23" t="n"/>
      <c r="E941" s="23" t="n"/>
      <c r="F941" s="23" t="n"/>
      <c r="G941" s="23" t="n"/>
      <c r="H941" s="24" t="n"/>
      <c r="I941" s="23" t="n"/>
      <c r="J941" s="23" t="n"/>
      <c r="K941" s="23" t="n"/>
      <c r="L941" s="23" t="n"/>
      <c r="M941" s="23" t="n"/>
      <c r="N941" s="23" t="n"/>
      <c r="O941" s="23" t="n"/>
      <c r="P941" s="23" t="n"/>
      <c r="Q941" s="23" t="n"/>
      <c r="R941" s="23" t="n"/>
      <c r="S941" s="23" t="n"/>
      <c r="T941" s="23" t="n"/>
      <c r="U941" s="23" t="n"/>
      <c r="V941" s="23" t="n"/>
      <c r="W941" s="23" t="n"/>
      <c r="X941" s="23" t="n"/>
      <c r="Y941" s="25" t="n"/>
      <c r="Z941" s="25" t="n"/>
      <c r="AA941" s="23" t="n"/>
      <c r="AB941" s="25" t="n"/>
      <c r="AC941" s="23" t="n"/>
      <c r="AD941" s="25" t="n"/>
      <c r="AE941" s="23" t="n"/>
      <c r="AF941" s="25" t="n"/>
      <c r="AG941" s="25" t="n"/>
      <c r="AH941" s="23" t="n"/>
      <c r="AI941" s="23" t="n"/>
      <c r="AJ941" s="26">
        <f>IF(I941="","",I941&amp;"|"&amp;R941)</f>
        <v/>
      </c>
      <c r="AK941" s="26">
        <f>IF(I941="","",IF(ISNA(MATCH(O941,Kampanyalar!$A$2:$A$150,0)),"Hayır - Kampanyalar'da Yok","Evet"))</f>
        <v/>
      </c>
      <c r="AL941" s="27">
        <f>IF(I941="","",IFERROR(INDEX(Kampanyalar!$E$2:$E$150,MATCH(O941,Kampanyalar!$A$2:$A$150,0)),""))</f>
        <v/>
      </c>
      <c r="AM941" s="27">
        <f>IF(I941="","",IFERROR(INDEX(Kampanyalar!$F$2:$F$150,MATCH(O941,Kampanyalar!$A$2:$A$150,0)),""))</f>
        <v/>
      </c>
      <c r="AN941" s="27">
        <f>IF(I941="","",IFERROR(INDEX(Kampanyalar!$G$2:$G$150,MATCH(O941,Kampanyalar!$A$2:$A$150,0)),""))</f>
        <v/>
      </c>
      <c r="AO941" s="26">
        <f>IF(OR(I941="",AL941="",AM941=""),"",IF(AND(H941&gt;=AL941,H941&lt;=AM941),"Evet","HAYIR - Tarih Dışı"))</f>
        <v/>
      </c>
      <c r="AP941" s="28">
        <f>IF(I941="","",IFERROR(INDEX(Kampanyalar!$H$2:$H$150,MATCH(O941,Kampanyalar!$A$2:$A$150,0)),""))</f>
        <v/>
      </c>
      <c r="AQ941" s="28">
        <f>IF(I941="","",IF(ISNUMBER(AP941),AP941,AD941))</f>
        <v/>
      </c>
      <c r="AR941" s="26">
        <f>IF(I941="","",IF(Parametreler!$C$7="Evet","Kural A - Hemen Ödeme (Stok Mutabakatlı)","Kural B - Nakliye/Montaj Sonrası Ödeme"))</f>
        <v/>
      </c>
    </row>
    <row r="942">
      <c r="A942" s="23" t="n"/>
      <c r="B942" s="23" t="n"/>
      <c r="C942" s="23" t="n"/>
      <c r="D942" s="23" t="n"/>
      <c r="E942" s="23" t="n"/>
      <c r="F942" s="23" t="n"/>
      <c r="G942" s="23" t="n"/>
      <c r="H942" s="24" t="n"/>
      <c r="I942" s="23" t="n"/>
      <c r="J942" s="23" t="n"/>
      <c r="K942" s="23" t="n"/>
      <c r="L942" s="23" t="n"/>
      <c r="M942" s="23" t="n"/>
      <c r="N942" s="23" t="n"/>
      <c r="O942" s="23" t="n"/>
      <c r="P942" s="23" t="n"/>
      <c r="Q942" s="23" t="n"/>
      <c r="R942" s="23" t="n"/>
      <c r="S942" s="23" t="n"/>
      <c r="T942" s="23" t="n"/>
      <c r="U942" s="23" t="n"/>
      <c r="V942" s="23" t="n"/>
      <c r="W942" s="23" t="n"/>
      <c r="X942" s="23" t="n"/>
      <c r="Y942" s="25" t="n"/>
      <c r="Z942" s="25" t="n"/>
      <c r="AA942" s="23" t="n"/>
      <c r="AB942" s="25" t="n"/>
      <c r="AC942" s="23" t="n"/>
      <c r="AD942" s="25" t="n"/>
      <c r="AE942" s="23" t="n"/>
      <c r="AF942" s="25" t="n"/>
      <c r="AG942" s="25" t="n"/>
      <c r="AH942" s="23" t="n"/>
      <c r="AI942" s="23" t="n"/>
      <c r="AJ942" s="26">
        <f>IF(I942="","",I942&amp;"|"&amp;R942)</f>
        <v/>
      </c>
      <c r="AK942" s="26">
        <f>IF(I942="","",IF(ISNA(MATCH(O942,Kampanyalar!$A$2:$A$150,0)),"Hayır - Kampanyalar'da Yok","Evet"))</f>
        <v/>
      </c>
      <c r="AL942" s="27">
        <f>IF(I942="","",IFERROR(INDEX(Kampanyalar!$E$2:$E$150,MATCH(O942,Kampanyalar!$A$2:$A$150,0)),""))</f>
        <v/>
      </c>
      <c r="AM942" s="27">
        <f>IF(I942="","",IFERROR(INDEX(Kampanyalar!$F$2:$F$150,MATCH(O942,Kampanyalar!$A$2:$A$150,0)),""))</f>
        <v/>
      </c>
      <c r="AN942" s="27">
        <f>IF(I942="","",IFERROR(INDEX(Kampanyalar!$G$2:$G$150,MATCH(O942,Kampanyalar!$A$2:$A$150,0)),""))</f>
        <v/>
      </c>
      <c r="AO942" s="26">
        <f>IF(OR(I942="",AL942="",AM942=""),"",IF(AND(H942&gt;=AL942,H942&lt;=AM942),"Evet","HAYIR - Tarih Dışı"))</f>
        <v/>
      </c>
      <c r="AP942" s="28">
        <f>IF(I942="","",IFERROR(INDEX(Kampanyalar!$H$2:$H$150,MATCH(O942,Kampanyalar!$A$2:$A$150,0)),""))</f>
        <v/>
      </c>
      <c r="AQ942" s="28">
        <f>IF(I942="","",IF(ISNUMBER(AP942),AP942,AD942))</f>
        <v/>
      </c>
      <c r="AR942" s="26">
        <f>IF(I942="","",IF(Parametreler!$C$7="Evet","Kural A - Hemen Ödeme (Stok Mutabakatlı)","Kural B - Nakliye/Montaj Sonrası Ödeme"))</f>
        <v/>
      </c>
    </row>
    <row r="943">
      <c r="A943" s="23" t="n"/>
      <c r="B943" s="23" t="n"/>
      <c r="C943" s="23" t="n"/>
      <c r="D943" s="23" t="n"/>
      <c r="E943" s="23" t="n"/>
      <c r="F943" s="23" t="n"/>
      <c r="G943" s="23" t="n"/>
      <c r="H943" s="24" t="n"/>
      <c r="I943" s="23" t="n"/>
      <c r="J943" s="23" t="n"/>
      <c r="K943" s="23" t="n"/>
      <c r="L943" s="23" t="n"/>
      <c r="M943" s="23" t="n"/>
      <c r="N943" s="23" t="n"/>
      <c r="O943" s="23" t="n"/>
      <c r="P943" s="23" t="n"/>
      <c r="Q943" s="23" t="n"/>
      <c r="R943" s="23" t="n"/>
      <c r="S943" s="23" t="n"/>
      <c r="T943" s="23" t="n"/>
      <c r="U943" s="23" t="n"/>
      <c r="V943" s="23" t="n"/>
      <c r="W943" s="23" t="n"/>
      <c r="X943" s="23" t="n"/>
      <c r="Y943" s="25" t="n"/>
      <c r="Z943" s="25" t="n"/>
      <c r="AA943" s="23" t="n"/>
      <c r="AB943" s="25" t="n"/>
      <c r="AC943" s="23" t="n"/>
      <c r="AD943" s="25" t="n"/>
      <c r="AE943" s="23" t="n"/>
      <c r="AF943" s="25" t="n"/>
      <c r="AG943" s="25" t="n"/>
      <c r="AH943" s="23" t="n"/>
      <c r="AI943" s="23" t="n"/>
      <c r="AJ943" s="26">
        <f>IF(I943="","",I943&amp;"|"&amp;R943)</f>
        <v/>
      </c>
      <c r="AK943" s="26">
        <f>IF(I943="","",IF(ISNA(MATCH(O943,Kampanyalar!$A$2:$A$150,0)),"Hayır - Kampanyalar'da Yok","Evet"))</f>
        <v/>
      </c>
      <c r="AL943" s="27">
        <f>IF(I943="","",IFERROR(INDEX(Kampanyalar!$E$2:$E$150,MATCH(O943,Kampanyalar!$A$2:$A$150,0)),""))</f>
        <v/>
      </c>
      <c r="AM943" s="27">
        <f>IF(I943="","",IFERROR(INDEX(Kampanyalar!$F$2:$F$150,MATCH(O943,Kampanyalar!$A$2:$A$150,0)),""))</f>
        <v/>
      </c>
      <c r="AN943" s="27">
        <f>IF(I943="","",IFERROR(INDEX(Kampanyalar!$G$2:$G$150,MATCH(O943,Kampanyalar!$A$2:$A$150,0)),""))</f>
        <v/>
      </c>
      <c r="AO943" s="26">
        <f>IF(OR(I943="",AL943="",AM943=""),"",IF(AND(H943&gt;=AL943,H943&lt;=AM943),"Evet","HAYIR - Tarih Dışı"))</f>
        <v/>
      </c>
      <c r="AP943" s="28">
        <f>IF(I943="","",IFERROR(INDEX(Kampanyalar!$H$2:$H$150,MATCH(O943,Kampanyalar!$A$2:$A$150,0)),""))</f>
        <v/>
      </c>
      <c r="AQ943" s="28">
        <f>IF(I943="","",IF(ISNUMBER(AP943),AP943,AD943))</f>
        <v/>
      </c>
      <c r="AR943" s="26">
        <f>IF(I943="","",IF(Parametreler!$C$7="Evet","Kural A - Hemen Ödeme (Stok Mutabakatlı)","Kural B - Nakliye/Montaj Sonrası Ödeme"))</f>
        <v/>
      </c>
    </row>
    <row r="944">
      <c r="A944" s="23" t="n"/>
      <c r="B944" s="23" t="n"/>
      <c r="C944" s="23" t="n"/>
      <c r="D944" s="23" t="n"/>
      <c r="E944" s="23" t="n"/>
      <c r="F944" s="23" t="n"/>
      <c r="G944" s="23" t="n"/>
      <c r="H944" s="24" t="n"/>
      <c r="I944" s="23" t="n"/>
      <c r="J944" s="23" t="n"/>
      <c r="K944" s="23" t="n"/>
      <c r="L944" s="23" t="n"/>
      <c r="M944" s="23" t="n"/>
      <c r="N944" s="23" t="n"/>
      <c r="O944" s="23" t="n"/>
      <c r="P944" s="23" t="n"/>
      <c r="Q944" s="23" t="n"/>
      <c r="R944" s="23" t="n"/>
      <c r="S944" s="23" t="n"/>
      <c r="T944" s="23" t="n"/>
      <c r="U944" s="23" t="n"/>
      <c r="V944" s="23" t="n"/>
      <c r="W944" s="23" t="n"/>
      <c r="X944" s="23" t="n"/>
      <c r="Y944" s="25" t="n"/>
      <c r="Z944" s="25" t="n"/>
      <c r="AA944" s="23" t="n"/>
      <c r="AB944" s="25" t="n"/>
      <c r="AC944" s="23" t="n"/>
      <c r="AD944" s="25" t="n"/>
      <c r="AE944" s="23" t="n"/>
      <c r="AF944" s="25" t="n"/>
      <c r="AG944" s="25" t="n"/>
      <c r="AH944" s="23" t="n"/>
      <c r="AI944" s="23" t="n"/>
      <c r="AJ944" s="26">
        <f>IF(I944="","",I944&amp;"|"&amp;R944)</f>
        <v/>
      </c>
      <c r="AK944" s="26">
        <f>IF(I944="","",IF(ISNA(MATCH(O944,Kampanyalar!$A$2:$A$150,0)),"Hayır - Kampanyalar'da Yok","Evet"))</f>
        <v/>
      </c>
      <c r="AL944" s="27">
        <f>IF(I944="","",IFERROR(INDEX(Kampanyalar!$E$2:$E$150,MATCH(O944,Kampanyalar!$A$2:$A$150,0)),""))</f>
        <v/>
      </c>
      <c r="AM944" s="27">
        <f>IF(I944="","",IFERROR(INDEX(Kampanyalar!$F$2:$F$150,MATCH(O944,Kampanyalar!$A$2:$A$150,0)),""))</f>
        <v/>
      </c>
      <c r="AN944" s="27">
        <f>IF(I944="","",IFERROR(INDEX(Kampanyalar!$G$2:$G$150,MATCH(O944,Kampanyalar!$A$2:$A$150,0)),""))</f>
        <v/>
      </c>
      <c r="AO944" s="26">
        <f>IF(OR(I944="",AL944="",AM944=""),"",IF(AND(H944&gt;=AL944,H944&lt;=AM944),"Evet","HAYIR - Tarih Dışı"))</f>
        <v/>
      </c>
      <c r="AP944" s="28">
        <f>IF(I944="","",IFERROR(INDEX(Kampanyalar!$H$2:$H$150,MATCH(O944,Kampanyalar!$A$2:$A$150,0)),""))</f>
        <v/>
      </c>
      <c r="AQ944" s="28">
        <f>IF(I944="","",IF(ISNUMBER(AP944),AP944,AD944))</f>
        <v/>
      </c>
      <c r="AR944" s="26">
        <f>IF(I944="","",IF(Parametreler!$C$7="Evet","Kural A - Hemen Ödeme (Stok Mutabakatlı)","Kural B - Nakliye/Montaj Sonrası Ödeme"))</f>
        <v/>
      </c>
    </row>
    <row r="945">
      <c r="A945" s="23" t="n"/>
      <c r="B945" s="23" t="n"/>
      <c r="C945" s="23" t="n"/>
      <c r="D945" s="23" t="n"/>
      <c r="E945" s="23" t="n"/>
      <c r="F945" s="23" t="n"/>
      <c r="G945" s="23" t="n"/>
      <c r="H945" s="24" t="n"/>
      <c r="I945" s="23" t="n"/>
      <c r="J945" s="23" t="n"/>
      <c r="K945" s="23" t="n"/>
      <c r="L945" s="23" t="n"/>
      <c r="M945" s="23" t="n"/>
      <c r="N945" s="23" t="n"/>
      <c r="O945" s="23" t="n"/>
      <c r="P945" s="23" t="n"/>
      <c r="Q945" s="23" t="n"/>
      <c r="R945" s="23" t="n"/>
      <c r="S945" s="23" t="n"/>
      <c r="T945" s="23" t="n"/>
      <c r="U945" s="23" t="n"/>
      <c r="V945" s="23" t="n"/>
      <c r="W945" s="23" t="n"/>
      <c r="X945" s="23" t="n"/>
      <c r="Y945" s="25" t="n"/>
      <c r="Z945" s="25" t="n"/>
      <c r="AA945" s="23" t="n"/>
      <c r="AB945" s="25" t="n"/>
      <c r="AC945" s="23" t="n"/>
      <c r="AD945" s="25" t="n"/>
      <c r="AE945" s="23" t="n"/>
      <c r="AF945" s="25" t="n"/>
      <c r="AG945" s="25" t="n"/>
      <c r="AH945" s="23" t="n"/>
      <c r="AI945" s="23" t="n"/>
      <c r="AJ945" s="26">
        <f>IF(I945="","",I945&amp;"|"&amp;R945)</f>
        <v/>
      </c>
      <c r="AK945" s="26">
        <f>IF(I945="","",IF(ISNA(MATCH(O945,Kampanyalar!$A$2:$A$150,0)),"Hayır - Kampanyalar'da Yok","Evet"))</f>
        <v/>
      </c>
      <c r="AL945" s="27">
        <f>IF(I945="","",IFERROR(INDEX(Kampanyalar!$E$2:$E$150,MATCH(O945,Kampanyalar!$A$2:$A$150,0)),""))</f>
        <v/>
      </c>
      <c r="AM945" s="27">
        <f>IF(I945="","",IFERROR(INDEX(Kampanyalar!$F$2:$F$150,MATCH(O945,Kampanyalar!$A$2:$A$150,0)),""))</f>
        <v/>
      </c>
      <c r="AN945" s="27">
        <f>IF(I945="","",IFERROR(INDEX(Kampanyalar!$G$2:$G$150,MATCH(O945,Kampanyalar!$A$2:$A$150,0)),""))</f>
        <v/>
      </c>
      <c r="AO945" s="26">
        <f>IF(OR(I945="",AL945="",AM945=""),"",IF(AND(H945&gt;=AL945,H945&lt;=AM945),"Evet","HAYIR - Tarih Dışı"))</f>
        <v/>
      </c>
      <c r="AP945" s="28">
        <f>IF(I945="","",IFERROR(INDEX(Kampanyalar!$H$2:$H$150,MATCH(O945,Kampanyalar!$A$2:$A$150,0)),""))</f>
        <v/>
      </c>
      <c r="AQ945" s="28">
        <f>IF(I945="","",IF(ISNUMBER(AP945),AP945,AD945))</f>
        <v/>
      </c>
      <c r="AR945" s="26">
        <f>IF(I945="","",IF(Parametreler!$C$7="Evet","Kural A - Hemen Ödeme (Stok Mutabakatlı)","Kural B - Nakliye/Montaj Sonrası Ödeme"))</f>
        <v/>
      </c>
    </row>
    <row r="946">
      <c r="A946" s="23" t="n"/>
      <c r="B946" s="23" t="n"/>
      <c r="C946" s="23" t="n"/>
      <c r="D946" s="23" t="n"/>
      <c r="E946" s="23" t="n"/>
      <c r="F946" s="23" t="n"/>
      <c r="G946" s="23" t="n"/>
      <c r="H946" s="24" t="n"/>
      <c r="I946" s="23" t="n"/>
      <c r="J946" s="23" t="n"/>
      <c r="K946" s="23" t="n"/>
      <c r="L946" s="23" t="n"/>
      <c r="M946" s="23" t="n"/>
      <c r="N946" s="23" t="n"/>
      <c r="O946" s="23" t="n"/>
      <c r="P946" s="23" t="n"/>
      <c r="Q946" s="23" t="n"/>
      <c r="R946" s="23" t="n"/>
      <c r="S946" s="23" t="n"/>
      <c r="T946" s="23" t="n"/>
      <c r="U946" s="23" t="n"/>
      <c r="V946" s="23" t="n"/>
      <c r="W946" s="23" t="n"/>
      <c r="X946" s="23" t="n"/>
      <c r="Y946" s="25" t="n"/>
      <c r="Z946" s="25" t="n"/>
      <c r="AA946" s="23" t="n"/>
      <c r="AB946" s="25" t="n"/>
      <c r="AC946" s="23" t="n"/>
      <c r="AD946" s="25" t="n"/>
      <c r="AE946" s="23" t="n"/>
      <c r="AF946" s="25" t="n"/>
      <c r="AG946" s="25" t="n"/>
      <c r="AH946" s="23" t="n"/>
      <c r="AI946" s="23" t="n"/>
      <c r="AJ946" s="26">
        <f>IF(I946="","",I946&amp;"|"&amp;R946)</f>
        <v/>
      </c>
      <c r="AK946" s="26">
        <f>IF(I946="","",IF(ISNA(MATCH(O946,Kampanyalar!$A$2:$A$150,0)),"Hayır - Kampanyalar'da Yok","Evet"))</f>
        <v/>
      </c>
      <c r="AL946" s="27">
        <f>IF(I946="","",IFERROR(INDEX(Kampanyalar!$E$2:$E$150,MATCH(O946,Kampanyalar!$A$2:$A$150,0)),""))</f>
        <v/>
      </c>
      <c r="AM946" s="27">
        <f>IF(I946="","",IFERROR(INDEX(Kampanyalar!$F$2:$F$150,MATCH(O946,Kampanyalar!$A$2:$A$150,0)),""))</f>
        <v/>
      </c>
      <c r="AN946" s="27">
        <f>IF(I946="","",IFERROR(INDEX(Kampanyalar!$G$2:$G$150,MATCH(O946,Kampanyalar!$A$2:$A$150,0)),""))</f>
        <v/>
      </c>
      <c r="AO946" s="26">
        <f>IF(OR(I946="",AL946="",AM946=""),"",IF(AND(H946&gt;=AL946,H946&lt;=AM946),"Evet","HAYIR - Tarih Dışı"))</f>
        <v/>
      </c>
      <c r="AP946" s="28">
        <f>IF(I946="","",IFERROR(INDEX(Kampanyalar!$H$2:$H$150,MATCH(O946,Kampanyalar!$A$2:$A$150,0)),""))</f>
        <v/>
      </c>
      <c r="AQ946" s="28">
        <f>IF(I946="","",IF(ISNUMBER(AP946),AP946,AD946))</f>
        <v/>
      </c>
      <c r="AR946" s="26">
        <f>IF(I946="","",IF(Parametreler!$C$7="Evet","Kural A - Hemen Ödeme (Stok Mutabakatlı)","Kural B - Nakliye/Montaj Sonrası Ödeme"))</f>
        <v/>
      </c>
    </row>
    <row r="947">
      <c r="A947" s="23" t="n"/>
      <c r="B947" s="23" t="n"/>
      <c r="C947" s="23" t="n"/>
      <c r="D947" s="23" t="n"/>
      <c r="E947" s="23" t="n"/>
      <c r="F947" s="23" t="n"/>
      <c r="G947" s="23" t="n"/>
      <c r="H947" s="24" t="n"/>
      <c r="I947" s="23" t="n"/>
      <c r="J947" s="23" t="n"/>
      <c r="K947" s="23" t="n"/>
      <c r="L947" s="23" t="n"/>
      <c r="M947" s="23" t="n"/>
      <c r="N947" s="23" t="n"/>
      <c r="O947" s="23" t="n"/>
      <c r="P947" s="23" t="n"/>
      <c r="Q947" s="23" t="n"/>
      <c r="R947" s="23" t="n"/>
      <c r="S947" s="23" t="n"/>
      <c r="T947" s="23" t="n"/>
      <c r="U947" s="23" t="n"/>
      <c r="V947" s="23" t="n"/>
      <c r="W947" s="23" t="n"/>
      <c r="X947" s="23" t="n"/>
      <c r="Y947" s="25" t="n"/>
      <c r="Z947" s="25" t="n"/>
      <c r="AA947" s="23" t="n"/>
      <c r="AB947" s="25" t="n"/>
      <c r="AC947" s="23" t="n"/>
      <c r="AD947" s="25" t="n"/>
      <c r="AE947" s="23" t="n"/>
      <c r="AF947" s="25" t="n"/>
      <c r="AG947" s="25" t="n"/>
      <c r="AH947" s="23" t="n"/>
      <c r="AI947" s="23" t="n"/>
      <c r="AJ947" s="26">
        <f>IF(I947="","",I947&amp;"|"&amp;R947)</f>
        <v/>
      </c>
      <c r="AK947" s="26">
        <f>IF(I947="","",IF(ISNA(MATCH(O947,Kampanyalar!$A$2:$A$150,0)),"Hayır - Kampanyalar'da Yok","Evet"))</f>
        <v/>
      </c>
      <c r="AL947" s="27">
        <f>IF(I947="","",IFERROR(INDEX(Kampanyalar!$E$2:$E$150,MATCH(O947,Kampanyalar!$A$2:$A$150,0)),""))</f>
        <v/>
      </c>
      <c r="AM947" s="27">
        <f>IF(I947="","",IFERROR(INDEX(Kampanyalar!$F$2:$F$150,MATCH(O947,Kampanyalar!$A$2:$A$150,0)),""))</f>
        <v/>
      </c>
      <c r="AN947" s="27">
        <f>IF(I947="","",IFERROR(INDEX(Kampanyalar!$G$2:$G$150,MATCH(O947,Kampanyalar!$A$2:$A$150,0)),""))</f>
        <v/>
      </c>
      <c r="AO947" s="26">
        <f>IF(OR(I947="",AL947="",AM947=""),"",IF(AND(H947&gt;=AL947,H947&lt;=AM947),"Evet","HAYIR - Tarih Dışı"))</f>
        <v/>
      </c>
      <c r="AP947" s="28">
        <f>IF(I947="","",IFERROR(INDEX(Kampanyalar!$H$2:$H$150,MATCH(O947,Kampanyalar!$A$2:$A$150,0)),""))</f>
        <v/>
      </c>
      <c r="AQ947" s="28">
        <f>IF(I947="","",IF(ISNUMBER(AP947),AP947,AD947))</f>
        <v/>
      </c>
      <c r="AR947" s="26">
        <f>IF(I947="","",IF(Parametreler!$C$7="Evet","Kural A - Hemen Ödeme (Stok Mutabakatlı)","Kural B - Nakliye/Montaj Sonrası Ödeme"))</f>
        <v/>
      </c>
    </row>
    <row r="948">
      <c r="A948" s="23" t="n"/>
      <c r="B948" s="23" t="n"/>
      <c r="C948" s="23" t="n"/>
      <c r="D948" s="23" t="n"/>
      <c r="E948" s="23" t="n"/>
      <c r="F948" s="23" t="n"/>
      <c r="G948" s="23" t="n"/>
      <c r="H948" s="24" t="n"/>
      <c r="I948" s="23" t="n"/>
      <c r="J948" s="23" t="n"/>
      <c r="K948" s="23" t="n"/>
      <c r="L948" s="23" t="n"/>
      <c r="M948" s="23" t="n"/>
      <c r="N948" s="23" t="n"/>
      <c r="O948" s="23" t="n"/>
      <c r="P948" s="23" t="n"/>
      <c r="Q948" s="23" t="n"/>
      <c r="R948" s="23" t="n"/>
      <c r="S948" s="23" t="n"/>
      <c r="T948" s="23" t="n"/>
      <c r="U948" s="23" t="n"/>
      <c r="V948" s="23" t="n"/>
      <c r="W948" s="23" t="n"/>
      <c r="X948" s="23" t="n"/>
      <c r="Y948" s="25" t="n"/>
      <c r="Z948" s="25" t="n"/>
      <c r="AA948" s="23" t="n"/>
      <c r="AB948" s="25" t="n"/>
      <c r="AC948" s="23" t="n"/>
      <c r="AD948" s="25" t="n"/>
      <c r="AE948" s="23" t="n"/>
      <c r="AF948" s="25" t="n"/>
      <c r="AG948" s="25" t="n"/>
      <c r="AH948" s="23" t="n"/>
      <c r="AI948" s="23" t="n"/>
      <c r="AJ948" s="26">
        <f>IF(I948="","",I948&amp;"|"&amp;R948)</f>
        <v/>
      </c>
      <c r="AK948" s="26">
        <f>IF(I948="","",IF(ISNA(MATCH(O948,Kampanyalar!$A$2:$A$150,0)),"Hayır - Kampanyalar'da Yok","Evet"))</f>
        <v/>
      </c>
      <c r="AL948" s="27">
        <f>IF(I948="","",IFERROR(INDEX(Kampanyalar!$E$2:$E$150,MATCH(O948,Kampanyalar!$A$2:$A$150,0)),""))</f>
        <v/>
      </c>
      <c r="AM948" s="27">
        <f>IF(I948="","",IFERROR(INDEX(Kampanyalar!$F$2:$F$150,MATCH(O948,Kampanyalar!$A$2:$A$150,0)),""))</f>
        <v/>
      </c>
      <c r="AN948" s="27">
        <f>IF(I948="","",IFERROR(INDEX(Kampanyalar!$G$2:$G$150,MATCH(O948,Kampanyalar!$A$2:$A$150,0)),""))</f>
        <v/>
      </c>
      <c r="AO948" s="26">
        <f>IF(OR(I948="",AL948="",AM948=""),"",IF(AND(H948&gt;=AL948,H948&lt;=AM948),"Evet","HAYIR - Tarih Dışı"))</f>
        <v/>
      </c>
      <c r="AP948" s="28">
        <f>IF(I948="","",IFERROR(INDEX(Kampanyalar!$H$2:$H$150,MATCH(O948,Kampanyalar!$A$2:$A$150,0)),""))</f>
        <v/>
      </c>
      <c r="AQ948" s="28">
        <f>IF(I948="","",IF(ISNUMBER(AP948),AP948,AD948))</f>
        <v/>
      </c>
      <c r="AR948" s="26">
        <f>IF(I948="","",IF(Parametreler!$C$7="Evet","Kural A - Hemen Ödeme (Stok Mutabakatlı)","Kural B - Nakliye/Montaj Sonrası Ödeme"))</f>
        <v/>
      </c>
    </row>
    <row r="949">
      <c r="A949" s="23" t="n"/>
      <c r="B949" s="23" t="n"/>
      <c r="C949" s="23" t="n"/>
      <c r="D949" s="23" t="n"/>
      <c r="E949" s="23" t="n"/>
      <c r="F949" s="23" t="n"/>
      <c r="G949" s="23" t="n"/>
      <c r="H949" s="24" t="n"/>
      <c r="I949" s="23" t="n"/>
      <c r="J949" s="23" t="n"/>
      <c r="K949" s="23" t="n"/>
      <c r="L949" s="23" t="n"/>
      <c r="M949" s="23" t="n"/>
      <c r="N949" s="23" t="n"/>
      <c r="O949" s="23" t="n"/>
      <c r="P949" s="23" t="n"/>
      <c r="Q949" s="23" t="n"/>
      <c r="R949" s="23" t="n"/>
      <c r="S949" s="23" t="n"/>
      <c r="T949" s="23" t="n"/>
      <c r="U949" s="23" t="n"/>
      <c r="V949" s="23" t="n"/>
      <c r="W949" s="23" t="n"/>
      <c r="X949" s="23" t="n"/>
      <c r="Y949" s="25" t="n"/>
      <c r="Z949" s="25" t="n"/>
      <c r="AA949" s="23" t="n"/>
      <c r="AB949" s="25" t="n"/>
      <c r="AC949" s="23" t="n"/>
      <c r="AD949" s="25" t="n"/>
      <c r="AE949" s="23" t="n"/>
      <c r="AF949" s="25" t="n"/>
      <c r="AG949" s="25" t="n"/>
      <c r="AH949" s="23" t="n"/>
      <c r="AI949" s="23" t="n"/>
      <c r="AJ949" s="26">
        <f>IF(I949="","",I949&amp;"|"&amp;R949)</f>
        <v/>
      </c>
      <c r="AK949" s="26">
        <f>IF(I949="","",IF(ISNA(MATCH(O949,Kampanyalar!$A$2:$A$150,0)),"Hayır - Kampanyalar'da Yok","Evet"))</f>
        <v/>
      </c>
      <c r="AL949" s="27">
        <f>IF(I949="","",IFERROR(INDEX(Kampanyalar!$E$2:$E$150,MATCH(O949,Kampanyalar!$A$2:$A$150,0)),""))</f>
        <v/>
      </c>
      <c r="AM949" s="27">
        <f>IF(I949="","",IFERROR(INDEX(Kampanyalar!$F$2:$F$150,MATCH(O949,Kampanyalar!$A$2:$A$150,0)),""))</f>
        <v/>
      </c>
      <c r="AN949" s="27">
        <f>IF(I949="","",IFERROR(INDEX(Kampanyalar!$G$2:$G$150,MATCH(O949,Kampanyalar!$A$2:$A$150,0)),""))</f>
        <v/>
      </c>
      <c r="AO949" s="26">
        <f>IF(OR(I949="",AL949="",AM949=""),"",IF(AND(H949&gt;=AL949,H949&lt;=AM949),"Evet","HAYIR - Tarih Dışı"))</f>
        <v/>
      </c>
      <c r="AP949" s="28">
        <f>IF(I949="","",IFERROR(INDEX(Kampanyalar!$H$2:$H$150,MATCH(O949,Kampanyalar!$A$2:$A$150,0)),""))</f>
        <v/>
      </c>
      <c r="AQ949" s="28">
        <f>IF(I949="","",IF(ISNUMBER(AP949),AP949,AD949))</f>
        <v/>
      </c>
      <c r="AR949" s="26">
        <f>IF(I949="","",IF(Parametreler!$C$7="Evet","Kural A - Hemen Ödeme (Stok Mutabakatlı)","Kural B - Nakliye/Montaj Sonrası Ödeme"))</f>
        <v/>
      </c>
    </row>
    <row r="950">
      <c r="A950" s="23" t="n"/>
      <c r="B950" s="23" t="n"/>
      <c r="C950" s="23" t="n"/>
      <c r="D950" s="23" t="n"/>
      <c r="E950" s="23" t="n"/>
      <c r="F950" s="23" t="n"/>
      <c r="G950" s="23" t="n"/>
      <c r="H950" s="24" t="n"/>
      <c r="I950" s="23" t="n"/>
      <c r="J950" s="23" t="n"/>
      <c r="K950" s="23" t="n"/>
      <c r="L950" s="23" t="n"/>
      <c r="M950" s="23" t="n"/>
      <c r="N950" s="23" t="n"/>
      <c r="O950" s="23" t="n"/>
      <c r="P950" s="23" t="n"/>
      <c r="Q950" s="23" t="n"/>
      <c r="R950" s="23" t="n"/>
      <c r="S950" s="23" t="n"/>
      <c r="T950" s="23" t="n"/>
      <c r="U950" s="23" t="n"/>
      <c r="V950" s="23" t="n"/>
      <c r="W950" s="23" t="n"/>
      <c r="X950" s="23" t="n"/>
      <c r="Y950" s="25" t="n"/>
      <c r="Z950" s="25" t="n"/>
      <c r="AA950" s="23" t="n"/>
      <c r="AB950" s="25" t="n"/>
      <c r="AC950" s="23" t="n"/>
      <c r="AD950" s="25" t="n"/>
      <c r="AE950" s="23" t="n"/>
      <c r="AF950" s="25" t="n"/>
      <c r="AG950" s="25" t="n"/>
      <c r="AH950" s="23" t="n"/>
      <c r="AI950" s="23" t="n"/>
      <c r="AJ950" s="26">
        <f>IF(I950="","",I950&amp;"|"&amp;R950)</f>
        <v/>
      </c>
      <c r="AK950" s="26">
        <f>IF(I950="","",IF(ISNA(MATCH(O950,Kampanyalar!$A$2:$A$150,0)),"Hayır - Kampanyalar'da Yok","Evet"))</f>
        <v/>
      </c>
      <c r="AL950" s="27">
        <f>IF(I950="","",IFERROR(INDEX(Kampanyalar!$E$2:$E$150,MATCH(O950,Kampanyalar!$A$2:$A$150,0)),""))</f>
        <v/>
      </c>
      <c r="AM950" s="27">
        <f>IF(I950="","",IFERROR(INDEX(Kampanyalar!$F$2:$F$150,MATCH(O950,Kampanyalar!$A$2:$A$150,0)),""))</f>
        <v/>
      </c>
      <c r="AN950" s="27">
        <f>IF(I950="","",IFERROR(INDEX(Kampanyalar!$G$2:$G$150,MATCH(O950,Kampanyalar!$A$2:$A$150,0)),""))</f>
        <v/>
      </c>
      <c r="AO950" s="26">
        <f>IF(OR(I950="",AL950="",AM950=""),"",IF(AND(H950&gt;=AL950,H950&lt;=AM950),"Evet","HAYIR - Tarih Dışı"))</f>
        <v/>
      </c>
      <c r="AP950" s="28">
        <f>IF(I950="","",IFERROR(INDEX(Kampanyalar!$H$2:$H$150,MATCH(O950,Kampanyalar!$A$2:$A$150,0)),""))</f>
        <v/>
      </c>
      <c r="AQ950" s="28">
        <f>IF(I950="","",IF(ISNUMBER(AP950),AP950,AD950))</f>
        <v/>
      </c>
      <c r="AR950" s="26">
        <f>IF(I950="","",IF(Parametreler!$C$7="Evet","Kural A - Hemen Ödeme (Stok Mutabakatlı)","Kural B - Nakliye/Montaj Sonrası Ödeme"))</f>
        <v/>
      </c>
    </row>
    <row r="951">
      <c r="A951" s="23" t="n"/>
      <c r="B951" s="23" t="n"/>
      <c r="C951" s="23" t="n"/>
      <c r="D951" s="23" t="n"/>
      <c r="E951" s="23" t="n"/>
      <c r="F951" s="23" t="n"/>
      <c r="G951" s="23" t="n"/>
      <c r="H951" s="24" t="n"/>
      <c r="I951" s="23" t="n"/>
      <c r="J951" s="23" t="n"/>
      <c r="K951" s="23" t="n"/>
      <c r="L951" s="23" t="n"/>
      <c r="M951" s="23" t="n"/>
      <c r="N951" s="23" t="n"/>
      <c r="O951" s="23" t="n"/>
      <c r="P951" s="23" t="n"/>
      <c r="Q951" s="23" t="n"/>
      <c r="R951" s="23" t="n"/>
      <c r="S951" s="23" t="n"/>
      <c r="T951" s="23" t="n"/>
      <c r="U951" s="23" t="n"/>
      <c r="V951" s="23" t="n"/>
      <c r="W951" s="23" t="n"/>
      <c r="X951" s="23" t="n"/>
      <c r="Y951" s="25" t="n"/>
      <c r="Z951" s="25" t="n"/>
      <c r="AA951" s="23" t="n"/>
      <c r="AB951" s="25" t="n"/>
      <c r="AC951" s="23" t="n"/>
      <c r="AD951" s="25" t="n"/>
      <c r="AE951" s="23" t="n"/>
      <c r="AF951" s="25" t="n"/>
      <c r="AG951" s="25" t="n"/>
      <c r="AH951" s="23" t="n"/>
      <c r="AI951" s="23" t="n"/>
      <c r="AJ951" s="26">
        <f>IF(I951="","",I951&amp;"|"&amp;R951)</f>
        <v/>
      </c>
      <c r="AK951" s="26">
        <f>IF(I951="","",IF(ISNA(MATCH(O951,Kampanyalar!$A$2:$A$150,0)),"Hayır - Kampanyalar'da Yok","Evet"))</f>
        <v/>
      </c>
      <c r="AL951" s="27">
        <f>IF(I951="","",IFERROR(INDEX(Kampanyalar!$E$2:$E$150,MATCH(O951,Kampanyalar!$A$2:$A$150,0)),""))</f>
        <v/>
      </c>
      <c r="AM951" s="27">
        <f>IF(I951="","",IFERROR(INDEX(Kampanyalar!$F$2:$F$150,MATCH(O951,Kampanyalar!$A$2:$A$150,0)),""))</f>
        <v/>
      </c>
      <c r="AN951" s="27">
        <f>IF(I951="","",IFERROR(INDEX(Kampanyalar!$G$2:$G$150,MATCH(O951,Kampanyalar!$A$2:$A$150,0)),""))</f>
        <v/>
      </c>
      <c r="AO951" s="26">
        <f>IF(OR(I951="",AL951="",AM951=""),"",IF(AND(H951&gt;=AL951,H951&lt;=AM951),"Evet","HAYIR - Tarih Dışı"))</f>
        <v/>
      </c>
      <c r="AP951" s="28">
        <f>IF(I951="","",IFERROR(INDEX(Kampanyalar!$H$2:$H$150,MATCH(O951,Kampanyalar!$A$2:$A$150,0)),""))</f>
        <v/>
      </c>
      <c r="AQ951" s="28">
        <f>IF(I951="","",IF(ISNUMBER(AP951),AP951,AD951))</f>
        <v/>
      </c>
      <c r="AR951" s="26">
        <f>IF(I951="","",IF(Parametreler!$C$7="Evet","Kural A - Hemen Ödeme (Stok Mutabakatlı)","Kural B - Nakliye/Montaj Sonrası Ödeme"))</f>
        <v/>
      </c>
    </row>
    <row r="952">
      <c r="A952" s="23" t="n"/>
      <c r="B952" s="23" t="n"/>
      <c r="C952" s="23" t="n"/>
      <c r="D952" s="23" t="n"/>
      <c r="E952" s="23" t="n"/>
      <c r="F952" s="23" t="n"/>
      <c r="G952" s="23" t="n"/>
      <c r="H952" s="24" t="n"/>
      <c r="I952" s="23" t="n"/>
      <c r="J952" s="23" t="n"/>
      <c r="K952" s="23" t="n"/>
      <c r="L952" s="23" t="n"/>
      <c r="M952" s="23" t="n"/>
      <c r="N952" s="23" t="n"/>
      <c r="O952" s="23" t="n"/>
      <c r="P952" s="23" t="n"/>
      <c r="Q952" s="23" t="n"/>
      <c r="R952" s="23" t="n"/>
      <c r="S952" s="23" t="n"/>
      <c r="T952" s="23" t="n"/>
      <c r="U952" s="23" t="n"/>
      <c r="V952" s="23" t="n"/>
      <c r="W952" s="23" t="n"/>
      <c r="X952" s="23" t="n"/>
      <c r="Y952" s="25" t="n"/>
      <c r="Z952" s="25" t="n"/>
      <c r="AA952" s="23" t="n"/>
      <c r="AB952" s="25" t="n"/>
      <c r="AC952" s="23" t="n"/>
      <c r="AD952" s="25" t="n"/>
      <c r="AE952" s="23" t="n"/>
      <c r="AF952" s="25" t="n"/>
      <c r="AG952" s="25" t="n"/>
      <c r="AH952" s="23" t="n"/>
      <c r="AI952" s="23" t="n"/>
      <c r="AJ952" s="26">
        <f>IF(I952="","",I952&amp;"|"&amp;R952)</f>
        <v/>
      </c>
      <c r="AK952" s="26">
        <f>IF(I952="","",IF(ISNA(MATCH(O952,Kampanyalar!$A$2:$A$150,0)),"Hayır - Kampanyalar'da Yok","Evet"))</f>
        <v/>
      </c>
      <c r="AL952" s="27">
        <f>IF(I952="","",IFERROR(INDEX(Kampanyalar!$E$2:$E$150,MATCH(O952,Kampanyalar!$A$2:$A$150,0)),""))</f>
        <v/>
      </c>
      <c r="AM952" s="27">
        <f>IF(I952="","",IFERROR(INDEX(Kampanyalar!$F$2:$F$150,MATCH(O952,Kampanyalar!$A$2:$A$150,0)),""))</f>
        <v/>
      </c>
      <c r="AN952" s="27">
        <f>IF(I952="","",IFERROR(INDEX(Kampanyalar!$G$2:$G$150,MATCH(O952,Kampanyalar!$A$2:$A$150,0)),""))</f>
        <v/>
      </c>
      <c r="AO952" s="26">
        <f>IF(OR(I952="",AL952="",AM952=""),"",IF(AND(H952&gt;=AL952,H952&lt;=AM952),"Evet","HAYIR - Tarih Dışı"))</f>
        <v/>
      </c>
      <c r="AP952" s="28">
        <f>IF(I952="","",IFERROR(INDEX(Kampanyalar!$H$2:$H$150,MATCH(O952,Kampanyalar!$A$2:$A$150,0)),""))</f>
        <v/>
      </c>
      <c r="AQ952" s="28">
        <f>IF(I952="","",IF(ISNUMBER(AP952),AP952,AD952))</f>
        <v/>
      </c>
      <c r="AR952" s="26">
        <f>IF(I952="","",IF(Parametreler!$C$7="Evet","Kural A - Hemen Ödeme (Stok Mutabakatlı)","Kural B - Nakliye/Montaj Sonrası Ödeme"))</f>
        <v/>
      </c>
    </row>
    <row r="953">
      <c r="A953" s="23" t="n"/>
      <c r="B953" s="23" t="n"/>
      <c r="C953" s="23" t="n"/>
      <c r="D953" s="23" t="n"/>
      <c r="E953" s="23" t="n"/>
      <c r="F953" s="23" t="n"/>
      <c r="G953" s="23" t="n"/>
      <c r="H953" s="24" t="n"/>
      <c r="I953" s="23" t="n"/>
      <c r="J953" s="23" t="n"/>
      <c r="K953" s="23" t="n"/>
      <c r="L953" s="23" t="n"/>
      <c r="M953" s="23" t="n"/>
      <c r="N953" s="23" t="n"/>
      <c r="O953" s="23" t="n"/>
      <c r="P953" s="23" t="n"/>
      <c r="Q953" s="23" t="n"/>
      <c r="R953" s="23" t="n"/>
      <c r="S953" s="23" t="n"/>
      <c r="T953" s="23" t="n"/>
      <c r="U953" s="23" t="n"/>
      <c r="V953" s="23" t="n"/>
      <c r="W953" s="23" t="n"/>
      <c r="X953" s="23" t="n"/>
      <c r="Y953" s="25" t="n"/>
      <c r="Z953" s="25" t="n"/>
      <c r="AA953" s="23" t="n"/>
      <c r="AB953" s="25" t="n"/>
      <c r="AC953" s="23" t="n"/>
      <c r="AD953" s="25" t="n"/>
      <c r="AE953" s="23" t="n"/>
      <c r="AF953" s="25" t="n"/>
      <c r="AG953" s="25" t="n"/>
      <c r="AH953" s="23" t="n"/>
      <c r="AI953" s="23" t="n"/>
      <c r="AJ953" s="26">
        <f>IF(I953="","",I953&amp;"|"&amp;R953)</f>
        <v/>
      </c>
      <c r="AK953" s="26">
        <f>IF(I953="","",IF(ISNA(MATCH(O953,Kampanyalar!$A$2:$A$150,0)),"Hayır - Kampanyalar'da Yok","Evet"))</f>
        <v/>
      </c>
      <c r="AL953" s="27">
        <f>IF(I953="","",IFERROR(INDEX(Kampanyalar!$E$2:$E$150,MATCH(O953,Kampanyalar!$A$2:$A$150,0)),""))</f>
        <v/>
      </c>
      <c r="AM953" s="27">
        <f>IF(I953="","",IFERROR(INDEX(Kampanyalar!$F$2:$F$150,MATCH(O953,Kampanyalar!$A$2:$A$150,0)),""))</f>
        <v/>
      </c>
      <c r="AN953" s="27">
        <f>IF(I953="","",IFERROR(INDEX(Kampanyalar!$G$2:$G$150,MATCH(O953,Kampanyalar!$A$2:$A$150,0)),""))</f>
        <v/>
      </c>
      <c r="AO953" s="26">
        <f>IF(OR(I953="",AL953="",AM953=""),"",IF(AND(H953&gt;=AL953,H953&lt;=AM953),"Evet","HAYIR - Tarih Dışı"))</f>
        <v/>
      </c>
      <c r="AP953" s="28">
        <f>IF(I953="","",IFERROR(INDEX(Kampanyalar!$H$2:$H$150,MATCH(O953,Kampanyalar!$A$2:$A$150,0)),""))</f>
        <v/>
      </c>
      <c r="AQ953" s="28">
        <f>IF(I953="","",IF(ISNUMBER(AP953),AP953,AD953))</f>
        <v/>
      </c>
      <c r="AR953" s="26">
        <f>IF(I953="","",IF(Parametreler!$C$7="Evet","Kural A - Hemen Ödeme (Stok Mutabakatlı)","Kural B - Nakliye/Montaj Sonrası Ödeme"))</f>
        <v/>
      </c>
    </row>
    <row r="954">
      <c r="A954" s="23" t="n"/>
      <c r="B954" s="23" t="n"/>
      <c r="C954" s="23" t="n"/>
      <c r="D954" s="23" t="n"/>
      <c r="E954" s="23" t="n"/>
      <c r="F954" s="23" t="n"/>
      <c r="G954" s="23" t="n"/>
      <c r="H954" s="24" t="n"/>
      <c r="I954" s="23" t="n"/>
      <c r="J954" s="23" t="n"/>
      <c r="K954" s="23" t="n"/>
      <c r="L954" s="23" t="n"/>
      <c r="M954" s="23" t="n"/>
      <c r="N954" s="23" t="n"/>
      <c r="O954" s="23" t="n"/>
      <c r="P954" s="23" t="n"/>
      <c r="Q954" s="23" t="n"/>
      <c r="R954" s="23" t="n"/>
      <c r="S954" s="23" t="n"/>
      <c r="T954" s="23" t="n"/>
      <c r="U954" s="23" t="n"/>
      <c r="V954" s="23" t="n"/>
      <c r="W954" s="23" t="n"/>
      <c r="X954" s="23" t="n"/>
      <c r="Y954" s="25" t="n"/>
      <c r="Z954" s="25" t="n"/>
      <c r="AA954" s="23" t="n"/>
      <c r="AB954" s="25" t="n"/>
      <c r="AC954" s="23" t="n"/>
      <c r="AD954" s="25" t="n"/>
      <c r="AE954" s="23" t="n"/>
      <c r="AF954" s="25" t="n"/>
      <c r="AG954" s="25" t="n"/>
      <c r="AH954" s="23" t="n"/>
      <c r="AI954" s="23" t="n"/>
      <c r="AJ954" s="26">
        <f>IF(I954="","",I954&amp;"|"&amp;R954)</f>
        <v/>
      </c>
      <c r="AK954" s="26">
        <f>IF(I954="","",IF(ISNA(MATCH(O954,Kampanyalar!$A$2:$A$150,0)),"Hayır - Kampanyalar'da Yok","Evet"))</f>
        <v/>
      </c>
      <c r="AL954" s="27">
        <f>IF(I954="","",IFERROR(INDEX(Kampanyalar!$E$2:$E$150,MATCH(O954,Kampanyalar!$A$2:$A$150,0)),""))</f>
        <v/>
      </c>
      <c r="AM954" s="27">
        <f>IF(I954="","",IFERROR(INDEX(Kampanyalar!$F$2:$F$150,MATCH(O954,Kampanyalar!$A$2:$A$150,0)),""))</f>
        <v/>
      </c>
      <c r="AN954" s="27">
        <f>IF(I954="","",IFERROR(INDEX(Kampanyalar!$G$2:$G$150,MATCH(O954,Kampanyalar!$A$2:$A$150,0)),""))</f>
        <v/>
      </c>
      <c r="AO954" s="26">
        <f>IF(OR(I954="",AL954="",AM954=""),"",IF(AND(H954&gt;=AL954,H954&lt;=AM954),"Evet","HAYIR - Tarih Dışı"))</f>
        <v/>
      </c>
      <c r="AP954" s="28">
        <f>IF(I954="","",IFERROR(INDEX(Kampanyalar!$H$2:$H$150,MATCH(O954,Kampanyalar!$A$2:$A$150,0)),""))</f>
        <v/>
      </c>
      <c r="AQ954" s="28">
        <f>IF(I954="","",IF(ISNUMBER(AP954),AP954,AD954))</f>
        <v/>
      </c>
      <c r="AR954" s="26">
        <f>IF(I954="","",IF(Parametreler!$C$7="Evet","Kural A - Hemen Ödeme (Stok Mutabakatlı)","Kural B - Nakliye/Montaj Sonrası Ödeme"))</f>
        <v/>
      </c>
    </row>
    <row r="955">
      <c r="A955" s="23" t="n"/>
      <c r="B955" s="23" t="n"/>
      <c r="C955" s="23" t="n"/>
      <c r="D955" s="23" t="n"/>
      <c r="E955" s="23" t="n"/>
      <c r="F955" s="23" t="n"/>
      <c r="G955" s="23" t="n"/>
      <c r="H955" s="24" t="n"/>
      <c r="I955" s="23" t="n"/>
      <c r="J955" s="23" t="n"/>
      <c r="K955" s="23" t="n"/>
      <c r="L955" s="23" t="n"/>
      <c r="M955" s="23" t="n"/>
      <c r="N955" s="23" t="n"/>
      <c r="O955" s="23" t="n"/>
      <c r="P955" s="23" t="n"/>
      <c r="Q955" s="23" t="n"/>
      <c r="R955" s="23" t="n"/>
      <c r="S955" s="23" t="n"/>
      <c r="T955" s="23" t="n"/>
      <c r="U955" s="23" t="n"/>
      <c r="V955" s="23" t="n"/>
      <c r="W955" s="23" t="n"/>
      <c r="X955" s="23" t="n"/>
      <c r="Y955" s="25" t="n"/>
      <c r="Z955" s="25" t="n"/>
      <c r="AA955" s="23" t="n"/>
      <c r="AB955" s="25" t="n"/>
      <c r="AC955" s="23" t="n"/>
      <c r="AD955" s="25" t="n"/>
      <c r="AE955" s="23" t="n"/>
      <c r="AF955" s="25" t="n"/>
      <c r="AG955" s="25" t="n"/>
      <c r="AH955" s="23" t="n"/>
      <c r="AI955" s="23" t="n"/>
      <c r="AJ955" s="26">
        <f>IF(I955="","",I955&amp;"|"&amp;R955)</f>
        <v/>
      </c>
      <c r="AK955" s="26">
        <f>IF(I955="","",IF(ISNA(MATCH(O955,Kampanyalar!$A$2:$A$150,0)),"Hayır - Kampanyalar'da Yok","Evet"))</f>
        <v/>
      </c>
      <c r="AL955" s="27">
        <f>IF(I955="","",IFERROR(INDEX(Kampanyalar!$E$2:$E$150,MATCH(O955,Kampanyalar!$A$2:$A$150,0)),""))</f>
        <v/>
      </c>
      <c r="AM955" s="27">
        <f>IF(I955="","",IFERROR(INDEX(Kampanyalar!$F$2:$F$150,MATCH(O955,Kampanyalar!$A$2:$A$150,0)),""))</f>
        <v/>
      </c>
      <c r="AN955" s="27">
        <f>IF(I955="","",IFERROR(INDEX(Kampanyalar!$G$2:$G$150,MATCH(O955,Kampanyalar!$A$2:$A$150,0)),""))</f>
        <v/>
      </c>
      <c r="AO955" s="26">
        <f>IF(OR(I955="",AL955="",AM955=""),"",IF(AND(H955&gt;=AL955,H955&lt;=AM955),"Evet","HAYIR - Tarih Dışı"))</f>
        <v/>
      </c>
      <c r="AP955" s="28">
        <f>IF(I955="","",IFERROR(INDEX(Kampanyalar!$H$2:$H$150,MATCH(O955,Kampanyalar!$A$2:$A$150,0)),""))</f>
        <v/>
      </c>
      <c r="AQ955" s="28">
        <f>IF(I955="","",IF(ISNUMBER(AP955),AP955,AD955))</f>
        <v/>
      </c>
      <c r="AR955" s="26">
        <f>IF(I955="","",IF(Parametreler!$C$7="Evet","Kural A - Hemen Ödeme (Stok Mutabakatlı)","Kural B - Nakliye/Montaj Sonrası Ödeme"))</f>
        <v/>
      </c>
    </row>
    <row r="956">
      <c r="A956" s="23" t="n"/>
      <c r="B956" s="23" t="n"/>
      <c r="C956" s="23" t="n"/>
      <c r="D956" s="23" t="n"/>
      <c r="E956" s="23" t="n"/>
      <c r="F956" s="23" t="n"/>
      <c r="G956" s="23" t="n"/>
      <c r="H956" s="24" t="n"/>
      <c r="I956" s="23" t="n"/>
      <c r="J956" s="23" t="n"/>
      <c r="K956" s="23" t="n"/>
      <c r="L956" s="23" t="n"/>
      <c r="M956" s="23" t="n"/>
      <c r="N956" s="23" t="n"/>
      <c r="O956" s="23" t="n"/>
      <c r="P956" s="23" t="n"/>
      <c r="Q956" s="23" t="n"/>
      <c r="R956" s="23" t="n"/>
      <c r="S956" s="23" t="n"/>
      <c r="T956" s="23" t="n"/>
      <c r="U956" s="23" t="n"/>
      <c r="V956" s="23" t="n"/>
      <c r="W956" s="23" t="n"/>
      <c r="X956" s="23" t="n"/>
      <c r="Y956" s="25" t="n"/>
      <c r="Z956" s="25" t="n"/>
      <c r="AA956" s="23" t="n"/>
      <c r="AB956" s="25" t="n"/>
      <c r="AC956" s="23" t="n"/>
      <c r="AD956" s="25" t="n"/>
      <c r="AE956" s="23" t="n"/>
      <c r="AF956" s="25" t="n"/>
      <c r="AG956" s="25" t="n"/>
      <c r="AH956" s="23" t="n"/>
      <c r="AI956" s="23" t="n"/>
      <c r="AJ956" s="26">
        <f>IF(I956="","",I956&amp;"|"&amp;R956)</f>
        <v/>
      </c>
      <c r="AK956" s="26">
        <f>IF(I956="","",IF(ISNA(MATCH(O956,Kampanyalar!$A$2:$A$150,0)),"Hayır - Kampanyalar'da Yok","Evet"))</f>
        <v/>
      </c>
      <c r="AL956" s="27">
        <f>IF(I956="","",IFERROR(INDEX(Kampanyalar!$E$2:$E$150,MATCH(O956,Kampanyalar!$A$2:$A$150,0)),""))</f>
        <v/>
      </c>
      <c r="AM956" s="27">
        <f>IF(I956="","",IFERROR(INDEX(Kampanyalar!$F$2:$F$150,MATCH(O956,Kampanyalar!$A$2:$A$150,0)),""))</f>
        <v/>
      </c>
      <c r="AN956" s="27">
        <f>IF(I956="","",IFERROR(INDEX(Kampanyalar!$G$2:$G$150,MATCH(O956,Kampanyalar!$A$2:$A$150,0)),""))</f>
        <v/>
      </c>
      <c r="AO956" s="26">
        <f>IF(OR(I956="",AL956="",AM956=""),"",IF(AND(H956&gt;=AL956,H956&lt;=AM956),"Evet","HAYIR - Tarih Dışı"))</f>
        <v/>
      </c>
      <c r="AP956" s="28">
        <f>IF(I956="","",IFERROR(INDEX(Kampanyalar!$H$2:$H$150,MATCH(O956,Kampanyalar!$A$2:$A$150,0)),""))</f>
        <v/>
      </c>
      <c r="AQ956" s="28">
        <f>IF(I956="","",IF(ISNUMBER(AP956),AP956,AD956))</f>
        <v/>
      </c>
      <c r="AR956" s="26">
        <f>IF(I956="","",IF(Parametreler!$C$7="Evet","Kural A - Hemen Ödeme (Stok Mutabakatlı)","Kural B - Nakliye/Montaj Sonrası Ödeme"))</f>
        <v/>
      </c>
    </row>
    <row r="957">
      <c r="A957" s="23" t="n"/>
      <c r="B957" s="23" t="n"/>
      <c r="C957" s="23" t="n"/>
      <c r="D957" s="23" t="n"/>
      <c r="E957" s="23" t="n"/>
      <c r="F957" s="23" t="n"/>
      <c r="G957" s="23" t="n"/>
      <c r="H957" s="24" t="n"/>
      <c r="I957" s="23" t="n"/>
      <c r="J957" s="23" t="n"/>
      <c r="K957" s="23" t="n"/>
      <c r="L957" s="23" t="n"/>
      <c r="M957" s="23" t="n"/>
      <c r="N957" s="23" t="n"/>
      <c r="O957" s="23" t="n"/>
      <c r="P957" s="23" t="n"/>
      <c r="Q957" s="23" t="n"/>
      <c r="R957" s="23" t="n"/>
      <c r="S957" s="23" t="n"/>
      <c r="T957" s="23" t="n"/>
      <c r="U957" s="23" t="n"/>
      <c r="V957" s="23" t="n"/>
      <c r="W957" s="23" t="n"/>
      <c r="X957" s="23" t="n"/>
      <c r="Y957" s="25" t="n"/>
      <c r="Z957" s="25" t="n"/>
      <c r="AA957" s="23" t="n"/>
      <c r="AB957" s="25" t="n"/>
      <c r="AC957" s="23" t="n"/>
      <c r="AD957" s="25" t="n"/>
      <c r="AE957" s="23" t="n"/>
      <c r="AF957" s="25" t="n"/>
      <c r="AG957" s="25" t="n"/>
      <c r="AH957" s="23" t="n"/>
      <c r="AI957" s="23" t="n"/>
      <c r="AJ957" s="26">
        <f>IF(I957="","",I957&amp;"|"&amp;R957)</f>
        <v/>
      </c>
      <c r="AK957" s="26">
        <f>IF(I957="","",IF(ISNA(MATCH(O957,Kampanyalar!$A$2:$A$150,0)),"Hayır - Kampanyalar'da Yok","Evet"))</f>
        <v/>
      </c>
      <c r="AL957" s="27">
        <f>IF(I957="","",IFERROR(INDEX(Kampanyalar!$E$2:$E$150,MATCH(O957,Kampanyalar!$A$2:$A$150,0)),""))</f>
        <v/>
      </c>
      <c r="AM957" s="27">
        <f>IF(I957="","",IFERROR(INDEX(Kampanyalar!$F$2:$F$150,MATCH(O957,Kampanyalar!$A$2:$A$150,0)),""))</f>
        <v/>
      </c>
      <c r="AN957" s="27">
        <f>IF(I957="","",IFERROR(INDEX(Kampanyalar!$G$2:$G$150,MATCH(O957,Kampanyalar!$A$2:$A$150,0)),""))</f>
        <v/>
      </c>
      <c r="AO957" s="26">
        <f>IF(OR(I957="",AL957="",AM957=""),"",IF(AND(H957&gt;=AL957,H957&lt;=AM957),"Evet","HAYIR - Tarih Dışı"))</f>
        <v/>
      </c>
      <c r="AP957" s="28">
        <f>IF(I957="","",IFERROR(INDEX(Kampanyalar!$H$2:$H$150,MATCH(O957,Kampanyalar!$A$2:$A$150,0)),""))</f>
        <v/>
      </c>
      <c r="AQ957" s="28">
        <f>IF(I957="","",IF(ISNUMBER(AP957),AP957,AD957))</f>
        <v/>
      </c>
      <c r="AR957" s="26">
        <f>IF(I957="","",IF(Parametreler!$C$7="Evet","Kural A - Hemen Ödeme (Stok Mutabakatlı)","Kural B - Nakliye/Montaj Sonrası Ödeme"))</f>
        <v/>
      </c>
    </row>
    <row r="958">
      <c r="A958" s="23" t="n"/>
      <c r="B958" s="23" t="n"/>
      <c r="C958" s="23" t="n"/>
      <c r="D958" s="23" t="n"/>
      <c r="E958" s="23" t="n"/>
      <c r="F958" s="23" t="n"/>
      <c r="G958" s="23" t="n"/>
      <c r="H958" s="24" t="n"/>
      <c r="I958" s="23" t="n"/>
      <c r="J958" s="23" t="n"/>
      <c r="K958" s="23" t="n"/>
      <c r="L958" s="23" t="n"/>
      <c r="M958" s="23" t="n"/>
      <c r="N958" s="23" t="n"/>
      <c r="O958" s="23" t="n"/>
      <c r="P958" s="23" t="n"/>
      <c r="Q958" s="23" t="n"/>
      <c r="R958" s="23" t="n"/>
      <c r="S958" s="23" t="n"/>
      <c r="T958" s="23" t="n"/>
      <c r="U958" s="23" t="n"/>
      <c r="V958" s="23" t="n"/>
      <c r="W958" s="23" t="n"/>
      <c r="X958" s="23" t="n"/>
      <c r="Y958" s="25" t="n"/>
      <c r="Z958" s="25" t="n"/>
      <c r="AA958" s="23" t="n"/>
      <c r="AB958" s="25" t="n"/>
      <c r="AC958" s="23" t="n"/>
      <c r="AD958" s="25" t="n"/>
      <c r="AE958" s="23" t="n"/>
      <c r="AF958" s="25" t="n"/>
      <c r="AG958" s="25" t="n"/>
      <c r="AH958" s="23" t="n"/>
      <c r="AI958" s="23" t="n"/>
      <c r="AJ958" s="26">
        <f>IF(I958="","",I958&amp;"|"&amp;R958)</f>
        <v/>
      </c>
      <c r="AK958" s="26">
        <f>IF(I958="","",IF(ISNA(MATCH(O958,Kampanyalar!$A$2:$A$150,0)),"Hayır - Kampanyalar'da Yok","Evet"))</f>
        <v/>
      </c>
      <c r="AL958" s="27">
        <f>IF(I958="","",IFERROR(INDEX(Kampanyalar!$E$2:$E$150,MATCH(O958,Kampanyalar!$A$2:$A$150,0)),""))</f>
        <v/>
      </c>
      <c r="AM958" s="27">
        <f>IF(I958="","",IFERROR(INDEX(Kampanyalar!$F$2:$F$150,MATCH(O958,Kampanyalar!$A$2:$A$150,0)),""))</f>
        <v/>
      </c>
      <c r="AN958" s="27">
        <f>IF(I958="","",IFERROR(INDEX(Kampanyalar!$G$2:$G$150,MATCH(O958,Kampanyalar!$A$2:$A$150,0)),""))</f>
        <v/>
      </c>
      <c r="AO958" s="26">
        <f>IF(OR(I958="",AL958="",AM958=""),"",IF(AND(H958&gt;=AL958,H958&lt;=AM958),"Evet","HAYIR - Tarih Dışı"))</f>
        <v/>
      </c>
      <c r="AP958" s="28">
        <f>IF(I958="","",IFERROR(INDEX(Kampanyalar!$H$2:$H$150,MATCH(O958,Kampanyalar!$A$2:$A$150,0)),""))</f>
        <v/>
      </c>
      <c r="AQ958" s="28">
        <f>IF(I958="","",IF(ISNUMBER(AP958),AP958,AD958))</f>
        <v/>
      </c>
      <c r="AR958" s="26">
        <f>IF(I958="","",IF(Parametreler!$C$7="Evet","Kural A - Hemen Ödeme (Stok Mutabakatlı)","Kural B - Nakliye/Montaj Sonrası Ödeme"))</f>
        <v/>
      </c>
    </row>
    <row r="959">
      <c r="A959" s="23" t="n"/>
      <c r="B959" s="23" t="n"/>
      <c r="C959" s="23" t="n"/>
      <c r="D959" s="23" t="n"/>
      <c r="E959" s="23" t="n"/>
      <c r="F959" s="23" t="n"/>
      <c r="G959" s="23" t="n"/>
      <c r="H959" s="24" t="n"/>
      <c r="I959" s="23" t="n"/>
      <c r="J959" s="23" t="n"/>
      <c r="K959" s="23" t="n"/>
      <c r="L959" s="23" t="n"/>
      <c r="M959" s="23" t="n"/>
      <c r="N959" s="23" t="n"/>
      <c r="O959" s="23" t="n"/>
      <c r="P959" s="23" t="n"/>
      <c r="Q959" s="23" t="n"/>
      <c r="R959" s="23" t="n"/>
      <c r="S959" s="23" t="n"/>
      <c r="T959" s="23" t="n"/>
      <c r="U959" s="23" t="n"/>
      <c r="V959" s="23" t="n"/>
      <c r="W959" s="23" t="n"/>
      <c r="X959" s="23" t="n"/>
      <c r="Y959" s="25" t="n"/>
      <c r="Z959" s="25" t="n"/>
      <c r="AA959" s="23" t="n"/>
      <c r="AB959" s="25" t="n"/>
      <c r="AC959" s="23" t="n"/>
      <c r="AD959" s="25" t="n"/>
      <c r="AE959" s="23" t="n"/>
      <c r="AF959" s="25" t="n"/>
      <c r="AG959" s="25" t="n"/>
      <c r="AH959" s="23" t="n"/>
      <c r="AI959" s="23" t="n"/>
      <c r="AJ959" s="26">
        <f>IF(I959="","",I959&amp;"|"&amp;R959)</f>
        <v/>
      </c>
      <c r="AK959" s="26">
        <f>IF(I959="","",IF(ISNA(MATCH(O959,Kampanyalar!$A$2:$A$150,0)),"Hayır - Kampanyalar'da Yok","Evet"))</f>
        <v/>
      </c>
      <c r="AL959" s="27">
        <f>IF(I959="","",IFERROR(INDEX(Kampanyalar!$E$2:$E$150,MATCH(O959,Kampanyalar!$A$2:$A$150,0)),""))</f>
        <v/>
      </c>
      <c r="AM959" s="27">
        <f>IF(I959="","",IFERROR(INDEX(Kampanyalar!$F$2:$F$150,MATCH(O959,Kampanyalar!$A$2:$A$150,0)),""))</f>
        <v/>
      </c>
      <c r="AN959" s="27">
        <f>IF(I959="","",IFERROR(INDEX(Kampanyalar!$G$2:$G$150,MATCH(O959,Kampanyalar!$A$2:$A$150,0)),""))</f>
        <v/>
      </c>
      <c r="AO959" s="26">
        <f>IF(OR(I959="",AL959="",AM959=""),"",IF(AND(H959&gt;=AL959,H959&lt;=AM959),"Evet","HAYIR - Tarih Dışı"))</f>
        <v/>
      </c>
      <c r="AP959" s="28">
        <f>IF(I959="","",IFERROR(INDEX(Kampanyalar!$H$2:$H$150,MATCH(O959,Kampanyalar!$A$2:$A$150,0)),""))</f>
        <v/>
      </c>
      <c r="AQ959" s="28">
        <f>IF(I959="","",IF(ISNUMBER(AP959),AP959,AD959))</f>
        <v/>
      </c>
      <c r="AR959" s="26">
        <f>IF(I959="","",IF(Parametreler!$C$7="Evet","Kural A - Hemen Ödeme (Stok Mutabakatlı)","Kural B - Nakliye/Montaj Sonrası Ödeme"))</f>
        <v/>
      </c>
    </row>
    <row r="960">
      <c r="A960" s="23" t="n"/>
      <c r="B960" s="23" t="n"/>
      <c r="C960" s="23" t="n"/>
      <c r="D960" s="23" t="n"/>
      <c r="E960" s="23" t="n"/>
      <c r="F960" s="23" t="n"/>
      <c r="G960" s="23" t="n"/>
      <c r="H960" s="24" t="n"/>
      <c r="I960" s="23" t="n"/>
      <c r="J960" s="23" t="n"/>
      <c r="K960" s="23" t="n"/>
      <c r="L960" s="23" t="n"/>
      <c r="M960" s="23" t="n"/>
      <c r="N960" s="23" t="n"/>
      <c r="O960" s="23" t="n"/>
      <c r="P960" s="23" t="n"/>
      <c r="Q960" s="23" t="n"/>
      <c r="R960" s="23" t="n"/>
      <c r="S960" s="23" t="n"/>
      <c r="T960" s="23" t="n"/>
      <c r="U960" s="23" t="n"/>
      <c r="V960" s="23" t="n"/>
      <c r="W960" s="23" t="n"/>
      <c r="X960" s="23" t="n"/>
      <c r="Y960" s="25" t="n"/>
      <c r="Z960" s="25" t="n"/>
      <c r="AA960" s="23" t="n"/>
      <c r="AB960" s="25" t="n"/>
      <c r="AC960" s="23" t="n"/>
      <c r="AD960" s="25" t="n"/>
      <c r="AE960" s="23" t="n"/>
      <c r="AF960" s="25" t="n"/>
      <c r="AG960" s="25" t="n"/>
      <c r="AH960" s="23" t="n"/>
      <c r="AI960" s="23" t="n"/>
      <c r="AJ960" s="26">
        <f>IF(I960="","",I960&amp;"|"&amp;R960)</f>
        <v/>
      </c>
      <c r="AK960" s="26">
        <f>IF(I960="","",IF(ISNA(MATCH(O960,Kampanyalar!$A$2:$A$150,0)),"Hayır - Kampanyalar'da Yok","Evet"))</f>
        <v/>
      </c>
      <c r="AL960" s="27">
        <f>IF(I960="","",IFERROR(INDEX(Kampanyalar!$E$2:$E$150,MATCH(O960,Kampanyalar!$A$2:$A$150,0)),""))</f>
        <v/>
      </c>
      <c r="AM960" s="27">
        <f>IF(I960="","",IFERROR(INDEX(Kampanyalar!$F$2:$F$150,MATCH(O960,Kampanyalar!$A$2:$A$150,0)),""))</f>
        <v/>
      </c>
      <c r="AN960" s="27">
        <f>IF(I960="","",IFERROR(INDEX(Kampanyalar!$G$2:$G$150,MATCH(O960,Kampanyalar!$A$2:$A$150,0)),""))</f>
        <v/>
      </c>
      <c r="AO960" s="26">
        <f>IF(OR(I960="",AL960="",AM960=""),"",IF(AND(H960&gt;=AL960,H960&lt;=AM960),"Evet","HAYIR - Tarih Dışı"))</f>
        <v/>
      </c>
      <c r="AP960" s="28">
        <f>IF(I960="","",IFERROR(INDEX(Kampanyalar!$H$2:$H$150,MATCH(O960,Kampanyalar!$A$2:$A$150,0)),""))</f>
        <v/>
      </c>
      <c r="AQ960" s="28">
        <f>IF(I960="","",IF(ISNUMBER(AP960),AP960,AD960))</f>
        <v/>
      </c>
      <c r="AR960" s="26">
        <f>IF(I960="","",IF(Parametreler!$C$7="Evet","Kural A - Hemen Ödeme (Stok Mutabakatlı)","Kural B - Nakliye/Montaj Sonrası Ödeme"))</f>
        <v/>
      </c>
    </row>
    <row r="961">
      <c r="A961" s="23" t="n"/>
      <c r="B961" s="23" t="n"/>
      <c r="C961" s="23" t="n"/>
      <c r="D961" s="23" t="n"/>
      <c r="E961" s="23" t="n"/>
      <c r="F961" s="23" t="n"/>
      <c r="G961" s="23" t="n"/>
      <c r="H961" s="24" t="n"/>
      <c r="I961" s="23" t="n"/>
      <c r="J961" s="23" t="n"/>
      <c r="K961" s="23" t="n"/>
      <c r="L961" s="23" t="n"/>
      <c r="M961" s="23" t="n"/>
      <c r="N961" s="23" t="n"/>
      <c r="O961" s="23" t="n"/>
      <c r="P961" s="23" t="n"/>
      <c r="Q961" s="23" t="n"/>
      <c r="R961" s="23" t="n"/>
      <c r="S961" s="23" t="n"/>
      <c r="T961" s="23" t="n"/>
      <c r="U961" s="23" t="n"/>
      <c r="V961" s="23" t="n"/>
      <c r="W961" s="23" t="n"/>
      <c r="X961" s="23" t="n"/>
      <c r="Y961" s="25" t="n"/>
      <c r="Z961" s="25" t="n"/>
      <c r="AA961" s="23" t="n"/>
      <c r="AB961" s="25" t="n"/>
      <c r="AC961" s="23" t="n"/>
      <c r="AD961" s="25" t="n"/>
      <c r="AE961" s="23" t="n"/>
      <c r="AF961" s="25" t="n"/>
      <c r="AG961" s="25" t="n"/>
      <c r="AH961" s="23" t="n"/>
      <c r="AI961" s="23" t="n"/>
      <c r="AJ961" s="26">
        <f>IF(I961="","",I961&amp;"|"&amp;R961)</f>
        <v/>
      </c>
      <c r="AK961" s="26">
        <f>IF(I961="","",IF(ISNA(MATCH(O961,Kampanyalar!$A$2:$A$150,0)),"Hayır - Kampanyalar'da Yok","Evet"))</f>
        <v/>
      </c>
      <c r="AL961" s="27">
        <f>IF(I961="","",IFERROR(INDEX(Kampanyalar!$E$2:$E$150,MATCH(O961,Kampanyalar!$A$2:$A$150,0)),""))</f>
        <v/>
      </c>
      <c r="AM961" s="27">
        <f>IF(I961="","",IFERROR(INDEX(Kampanyalar!$F$2:$F$150,MATCH(O961,Kampanyalar!$A$2:$A$150,0)),""))</f>
        <v/>
      </c>
      <c r="AN961" s="27">
        <f>IF(I961="","",IFERROR(INDEX(Kampanyalar!$G$2:$G$150,MATCH(O961,Kampanyalar!$A$2:$A$150,0)),""))</f>
        <v/>
      </c>
      <c r="AO961" s="26">
        <f>IF(OR(I961="",AL961="",AM961=""),"",IF(AND(H961&gt;=AL961,H961&lt;=AM961),"Evet","HAYIR - Tarih Dışı"))</f>
        <v/>
      </c>
      <c r="AP961" s="28">
        <f>IF(I961="","",IFERROR(INDEX(Kampanyalar!$H$2:$H$150,MATCH(O961,Kampanyalar!$A$2:$A$150,0)),""))</f>
        <v/>
      </c>
      <c r="AQ961" s="28">
        <f>IF(I961="","",IF(ISNUMBER(AP961),AP961,AD961))</f>
        <v/>
      </c>
      <c r="AR961" s="26">
        <f>IF(I961="","",IF(Parametreler!$C$7="Evet","Kural A - Hemen Ödeme (Stok Mutabakatlı)","Kural B - Nakliye/Montaj Sonrası Ödeme"))</f>
        <v/>
      </c>
    </row>
    <row r="962">
      <c r="A962" s="23" t="n"/>
      <c r="B962" s="23" t="n"/>
      <c r="C962" s="23" t="n"/>
      <c r="D962" s="23" t="n"/>
      <c r="E962" s="23" t="n"/>
      <c r="F962" s="23" t="n"/>
      <c r="G962" s="23" t="n"/>
      <c r="H962" s="24" t="n"/>
      <c r="I962" s="23" t="n"/>
      <c r="J962" s="23" t="n"/>
      <c r="K962" s="23" t="n"/>
      <c r="L962" s="23" t="n"/>
      <c r="M962" s="23" t="n"/>
      <c r="N962" s="23" t="n"/>
      <c r="O962" s="23" t="n"/>
      <c r="P962" s="23" t="n"/>
      <c r="Q962" s="23" t="n"/>
      <c r="R962" s="23" t="n"/>
      <c r="S962" s="23" t="n"/>
      <c r="T962" s="23" t="n"/>
      <c r="U962" s="23" t="n"/>
      <c r="V962" s="23" t="n"/>
      <c r="W962" s="23" t="n"/>
      <c r="X962" s="23" t="n"/>
      <c r="Y962" s="25" t="n"/>
      <c r="Z962" s="25" t="n"/>
      <c r="AA962" s="23" t="n"/>
      <c r="AB962" s="25" t="n"/>
      <c r="AC962" s="23" t="n"/>
      <c r="AD962" s="25" t="n"/>
      <c r="AE962" s="23" t="n"/>
      <c r="AF962" s="25" t="n"/>
      <c r="AG962" s="25" t="n"/>
      <c r="AH962" s="23" t="n"/>
      <c r="AI962" s="23" t="n"/>
      <c r="AJ962" s="26">
        <f>IF(I962="","",I962&amp;"|"&amp;R962)</f>
        <v/>
      </c>
      <c r="AK962" s="26">
        <f>IF(I962="","",IF(ISNA(MATCH(O962,Kampanyalar!$A$2:$A$150,0)),"Hayır - Kampanyalar'da Yok","Evet"))</f>
        <v/>
      </c>
      <c r="AL962" s="27">
        <f>IF(I962="","",IFERROR(INDEX(Kampanyalar!$E$2:$E$150,MATCH(O962,Kampanyalar!$A$2:$A$150,0)),""))</f>
        <v/>
      </c>
      <c r="AM962" s="27">
        <f>IF(I962="","",IFERROR(INDEX(Kampanyalar!$F$2:$F$150,MATCH(O962,Kampanyalar!$A$2:$A$150,0)),""))</f>
        <v/>
      </c>
      <c r="AN962" s="27">
        <f>IF(I962="","",IFERROR(INDEX(Kampanyalar!$G$2:$G$150,MATCH(O962,Kampanyalar!$A$2:$A$150,0)),""))</f>
        <v/>
      </c>
      <c r="AO962" s="26">
        <f>IF(OR(I962="",AL962="",AM962=""),"",IF(AND(H962&gt;=AL962,H962&lt;=AM962),"Evet","HAYIR - Tarih Dışı"))</f>
        <v/>
      </c>
      <c r="AP962" s="28">
        <f>IF(I962="","",IFERROR(INDEX(Kampanyalar!$H$2:$H$150,MATCH(O962,Kampanyalar!$A$2:$A$150,0)),""))</f>
        <v/>
      </c>
      <c r="AQ962" s="28">
        <f>IF(I962="","",IF(ISNUMBER(AP962),AP962,AD962))</f>
        <v/>
      </c>
      <c r="AR962" s="26">
        <f>IF(I962="","",IF(Parametreler!$C$7="Evet","Kural A - Hemen Ödeme (Stok Mutabakatlı)","Kural B - Nakliye/Montaj Sonrası Ödeme"))</f>
        <v/>
      </c>
    </row>
    <row r="963">
      <c r="A963" s="23" t="n"/>
      <c r="B963" s="23" t="n"/>
      <c r="C963" s="23" t="n"/>
      <c r="D963" s="23" t="n"/>
      <c r="E963" s="23" t="n"/>
      <c r="F963" s="23" t="n"/>
      <c r="G963" s="23" t="n"/>
      <c r="H963" s="24" t="n"/>
      <c r="I963" s="23" t="n"/>
      <c r="J963" s="23" t="n"/>
      <c r="K963" s="23" t="n"/>
      <c r="L963" s="23" t="n"/>
      <c r="M963" s="23" t="n"/>
      <c r="N963" s="23" t="n"/>
      <c r="O963" s="23" t="n"/>
      <c r="P963" s="23" t="n"/>
      <c r="Q963" s="23" t="n"/>
      <c r="R963" s="23" t="n"/>
      <c r="S963" s="23" t="n"/>
      <c r="T963" s="23" t="n"/>
      <c r="U963" s="23" t="n"/>
      <c r="V963" s="23" t="n"/>
      <c r="W963" s="23" t="n"/>
      <c r="X963" s="23" t="n"/>
      <c r="Y963" s="25" t="n"/>
      <c r="Z963" s="25" t="n"/>
      <c r="AA963" s="23" t="n"/>
      <c r="AB963" s="25" t="n"/>
      <c r="AC963" s="23" t="n"/>
      <c r="AD963" s="25" t="n"/>
      <c r="AE963" s="23" t="n"/>
      <c r="AF963" s="25" t="n"/>
      <c r="AG963" s="25" t="n"/>
      <c r="AH963" s="23" t="n"/>
      <c r="AI963" s="23" t="n"/>
      <c r="AJ963" s="26">
        <f>IF(I963="","",I963&amp;"|"&amp;R963)</f>
        <v/>
      </c>
      <c r="AK963" s="26">
        <f>IF(I963="","",IF(ISNA(MATCH(O963,Kampanyalar!$A$2:$A$150,0)),"Hayır - Kampanyalar'da Yok","Evet"))</f>
        <v/>
      </c>
      <c r="AL963" s="27">
        <f>IF(I963="","",IFERROR(INDEX(Kampanyalar!$E$2:$E$150,MATCH(O963,Kampanyalar!$A$2:$A$150,0)),""))</f>
        <v/>
      </c>
      <c r="AM963" s="27">
        <f>IF(I963="","",IFERROR(INDEX(Kampanyalar!$F$2:$F$150,MATCH(O963,Kampanyalar!$A$2:$A$150,0)),""))</f>
        <v/>
      </c>
      <c r="AN963" s="27">
        <f>IF(I963="","",IFERROR(INDEX(Kampanyalar!$G$2:$G$150,MATCH(O963,Kampanyalar!$A$2:$A$150,0)),""))</f>
        <v/>
      </c>
      <c r="AO963" s="26">
        <f>IF(OR(I963="",AL963="",AM963=""),"",IF(AND(H963&gt;=AL963,H963&lt;=AM963),"Evet","HAYIR - Tarih Dışı"))</f>
        <v/>
      </c>
      <c r="AP963" s="28">
        <f>IF(I963="","",IFERROR(INDEX(Kampanyalar!$H$2:$H$150,MATCH(O963,Kampanyalar!$A$2:$A$150,0)),""))</f>
        <v/>
      </c>
      <c r="AQ963" s="28">
        <f>IF(I963="","",IF(ISNUMBER(AP963),AP963,AD963))</f>
        <v/>
      </c>
      <c r="AR963" s="26">
        <f>IF(I963="","",IF(Parametreler!$C$7="Evet","Kural A - Hemen Ödeme (Stok Mutabakatlı)","Kural B - Nakliye/Montaj Sonrası Ödeme"))</f>
        <v/>
      </c>
    </row>
    <row r="964">
      <c r="A964" s="23" t="n"/>
      <c r="B964" s="23" t="n"/>
      <c r="C964" s="23" t="n"/>
      <c r="D964" s="23" t="n"/>
      <c r="E964" s="23" t="n"/>
      <c r="F964" s="23" t="n"/>
      <c r="G964" s="23" t="n"/>
      <c r="H964" s="24" t="n"/>
      <c r="I964" s="23" t="n"/>
      <c r="J964" s="23" t="n"/>
      <c r="K964" s="23" t="n"/>
      <c r="L964" s="23" t="n"/>
      <c r="M964" s="23" t="n"/>
      <c r="N964" s="23" t="n"/>
      <c r="O964" s="23" t="n"/>
      <c r="P964" s="23" t="n"/>
      <c r="Q964" s="23" t="n"/>
      <c r="R964" s="23" t="n"/>
      <c r="S964" s="23" t="n"/>
      <c r="T964" s="23" t="n"/>
      <c r="U964" s="23" t="n"/>
      <c r="V964" s="23" t="n"/>
      <c r="W964" s="23" t="n"/>
      <c r="X964" s="23" t="n"/>
      <c r="Y964" s="25" t="n"/>
      <c r="Z964" s="25" t="n"/>
      <c r="AA964" s="23" t="n"/>
      <c r="AB964" s="25" t="n"/>
      <c r="AC964" s="23" t="n"/>
      <c r="AD964" s="25" t="n"/>
      <c r="AE964" s="23" t="n"/>
      <c r="AF964" s="25" t="n"/>
      <c r="AG964" s="25" t="n"/>
      <c r="AH964" s="23" t="n"/>
      <c r="AI964" s="23" t="n"/>
      <c r="AJ964" s="26">
        <f>IF(I964="","",I964&amp;"|"&amp;R964)</f>
        <v/>
      </c>
      <c r="AK964" s="26">
        <f>IF(I964="","",IF(ISNA(MATCH(O964,Kampanyalar!$A$2:$A$150,0)),"Hayır - Kampanyalar'da Yok","Evet"))</f>
        <v/>
      </c>
      <c r="AL964" s="27">
        <f>IF(I964="","",IFERROR(INDEX(Kampanyalar!$E$2:$E$150,MATCH(O964,Kampanyalar!$A$2:$A$150,0)),""))</f>
        <v/>
      </c>
      <c r="AM964" s="27">
        <f>IF(I964="","",IFERROR(INDEX(Kampanyalar!$F$2:$F$150,MATCH(O964,Kampanyalar!$A$2:$A$150,0)),""))</f>
        <v/>
      </c>
      <c r="AN964" s="27">
        <f>IF(I964="","",IFERROR(INDEX(Kampanyalar!$G$2:$G$150,MATCH(O964,Kampanyalar!$A$2:$A$150,0)),""))</f>
        <v/>
      </c>
      <c r="AO964" s="26">
        <f>IF(OR(I964="",AL964="",AM964=""),"",IF(AND(H964&gt;=AL964,H964&lt;=AM964),"Evet","HAYIR - Tarih Dışı"))</f>
        <v/>
      </c>
      <c r="AP964" s="28">
        <f>IF(I964="","",IFERROR(INDEX(Kampanyalar!$H$2:$H$150,MATCH(O964,Kampanyalar!$A$2:$A$150,0)),""))</f>
        <v/>
      </c>
      <c r="AQ964" s="28">
        <f>IF(I964="","",IF(ISNUMBER(AP964),AP964,AD964))</f>
        <v/>
      </c>
      <c r="AR964" s="26">
        <f>IF(I964="","",IF(Parametreler!$C$7="Evet","Kural A - Hemen Ödeme (Stok Mutabakatlı)","Kural B - Nakliye/Montaj Sonrası Ödeme"))</f>
        <v/>
      </c>
    </row>
    <row r="965">
      <c r="A965" s="23" t="n"/>
      <c r="B965" s="23" t="n"/>
      <c r="C965" s="23" t="n"/>
      <c r="D965" s="23" t="n"/>
      <c r="E965" s="23" t="n"/>
      <c r="F965" s="23" t="n"/>
      <c r="G965" s="23" t="n"/>
      <c r="H965" s="24" t="n"/>
      <c r="I965" s="23" t="n"/>
      <c r="J965" s="23" t="n"/>
      <c r="K965" s="23" t="n"/>
      <c r="L965" s="23" t="n"/>
      <c r="M965" s="23" t="n"/>
      <c r="N965" s="23" t="n"/>
      <c r="O965" s="23" t="n"/>
      <c r="P965" s="23" t="n"/>
      <c r="Q965" s="23" t="n"/>
      <c r="R965" s="23" t="n"/>
      <c r="S965" s="23" t="n"/>
      <c r="T965" s="23" t="n"/>
      <c r="U965" s="23" t="n"/>
      <c r="V965" s="23" t="n"/>
      <c r="W965" s="23" t="n"/>
      <c r="X965" s="23" t="n"/>
      <c r="Y965" s="25" t="n"/>
      <c r="Z965" s="25" t="n"/>
      <c r="AA965" s="23" t="n"/>
      <c r="AB965" s="25" t="n"/>
      <c r="AC965" s="23" t="n"/>
      <c r="AD965" s="25" t="n"/>
      <c r="AE965" s="23" t="n"/>
      <c r="AF965" s="25" t="n"/>
      <c r="AG965" s="25" t="n"/>
      <c r="AH965" s="23" t="n"/>
      <c r="AI965" s="23" t="n"/>
      <c r="AJ965" s="26">
        <f>IF(I965="","",I965&amp;"|"&amp;R965)</f>
        <v/>
      </c>
      <c r="AK965" s="26">
        <f>IF(I965="","",IF(ISNA(MATCH(O965,Kampanyalar!$A$2:$A$150,0)),"Hayır - Kampanyalar'da Yok","Evet"))</f>
        <v/>
      </c>
      <c r="AL965" s="27">
        <f>IF(I965="","",IFERROR(INDEX(Kampanyalar!$E$2:$E$150,MATCH(O965,Kampanyalar!$A$2:$A$150,0)),""))</f>
        <v/>
      </c>
      <c r="AM965" s="27">
        <f>IF(I965="","",IFERROR(INDEX(Kampanyalar!$F$2:$F$150,MATCH(O965,Kampanyalar!$A$2:$A$150,0)),""))</f>
        <v/>
      </c>
      <c r="AN965" s="27">
        <f>IF(I965="","",IFERROR(INDEX(Kampanyalar!$G$2:$G$150,MATCH(O965,Kampanyalar!$A$2:$A$150,0)),""))</f>
        <v/>
      </c>
      <c r="AO965" s="26">
        <f>IF(OR(I965="",AL965="",AM965=""),"",IF(AND(H965&gt;=AL965,H965&lt;=AM965),"Evet","HAYIR - Tarih Dışı"))</f>
        <v/>
      </c>
      <c r="AP965" s="28">
        <f>IF(I965="","",IFERROR(INDEX(Kampanyalar!$H$2:$H$150,MATCH(O965,Kampanyalar!$A$2:$A$150,0)),""))</f>
        <v/>
      </c>
      <c r="AQ965" s="28">
        <f>IF(I965="","",IF(ISNUMBER(AP965),AP965,AD965))</f>
        <v/>
      </c>
      <c r="AR965" s="26">
        <f>IF(I965="","",IF(Parametreler!$C$7="Evet","Kural A - Hemen Ödeme (Stok Mutabakatlı)","Kural B - Nakliye/Montaj Sonrası Ödeme"))</f>
        <v/>
      </c>
    </row>
    <row r="966">
      <c r="A966" s="23" t="n"/>
      <c r="B966" s="23" t="n"/>
      <c r="C966" s="23" t="n"/>
      <c r="D966" s="23" t="n"/>
      <c r="E966" s="23" t="n"/>
      <c r="F966" s="23" t="n"/>
      <c r="G966" s="23" t="n"/>
      <c r="H966" s="24" t="n"/>
      <c r="I966" s="23" t="n"/>
      <c r="J966" s="23" t="n"/>
      <c r="K966" s="23" t="n"/>
      <c r="L966" s="23" t="n"/>
      <c r="M966" s="23" t="n"/>
      <c r="N966" s="23" t="n"/>
      <c r="O966" s="23" t="n"/>
      <c r="P966" s="23" t="n"/>
      <c r="Q966" s="23" t="n"/>
      <c r="R966" s="23" t="n"/>
      <c r="S966" s="23" t="n"/>
      <c r="T966" s="23" t="n"/>
      <c r="U966" s="23" t="n"/>
      <c r="V966" s="23" t="n"/>
      <c r="W966" s="23" t="n"/>
      <c r="X966" s="23" t="n"/>
      <c r="Y966" s="25" t="n"/>
      <c r="Z966" s="25" t="n"/>
      <c r="AA966" s="23" t="n"/>
      <c r="AB966" s="25" t="n"/>
      <c r="AC966" s="23" t="n"/>
      <c r="AD966" s="25" t="n"/>
      <c r="AE966" s="23" t="n"/>
      <c r="AF966" s="25" t="n"/>
      <c r="AG966" s="25" t="n"/>
      <c r="AH966" s="23" t="n"/>
      <c r="AI966" s="23" t="n"/>
      <c r="AJ966" s="26">
        <f>IF(I966="","",I966&amp;"|"&amp;R966)</f>
        <v/>
      </c>
      <c r="AK966" s="26">
        <f>IF(I966="","",IF(ISNA(MATCH(O966,Kampanyalar!$A$2:$A$150,0)),"Hayır - Kampanyalar'da Yok","Evet"))</f>
        <v/>
      </c>
      <c r="AL966" s="27">
        <f>IF(I966="","",IFERROR(INDEX(Kampanyalar!$E$2:$E$150,MATCH(O966,Kampanyalar!$A$2:$A$150,0)),""))</f>
        <v/>
      </c>
      <c r="AM966" s="27">
        <f>IF(I966="","",IFERROR(INDEX(Kampanyalar!$F$2:$F$150,MATCH(O966,Kampanyalar!$A$2:$A$150,0)),""))</f>
        <v/>
      </c>
      <c r="AN966" s="27">
        <f>IF(I966="","",IFERROR(INDEX(Kampanyalar!$G$2:$G$150,MATCH(O966,Kampanyalar!$A$2:$A$150,0)),""))</f>
        <v/>
      </c>
      <c r="AO966" s="26">
        <f>IF(OR(I966="",AL966="",AM966=""),"",IF(AND(H966&gt;=AL966,H966&lt;=AM966),"Evet","HAYIR - Tarih Dışı"))</f>
        <v/>
      </c>
      <c r="AP966" s="28">
        <f>IF(I966="","",IFERROR(INDEX(Kampanyalar!$H$2:$H$150,MATCH(O966,Kampanyalar!$A$2:$A$150,0)),""))</f>
        <v/>
      </c>
      <c r="AQ966" s="28">
        <f>IF(I966="","",IF(ISNUMBER(AP966),AP966,AD966))</f>
        <v/>
      </c>
      <c r="AR966" s="26">
        <f>IF(I966="","",IF(Parametreler!$C$7="Evet","Kural A - Hemen Ödeme (Stok Mutabakatlı)","Kural B - Nakliye/Montaj Sonrası Ödeme"))</f>
        <v/>
      </c>
    </row>
    <row r="967">
      <c r="A967" s="23" t="n"/>
      <c r="B967" s="23" t="n"/>
      <c r="C967" s="23" t="n"/>
      <c r="D967" s="23" t="n"/>
      <c r="E967" s="23" t="n"/>
      <c r="F967" s="23" t="n"/>
      <c r="G967" s="23" t="n"/>
      <c r="H967" s="24" t="n"/>
      <c r="I967" s="23" t="n"/>
      <c r="J967" s="23" t="n"/>
      <c r="K967" s="23" t="n"/>
      <c r="L967" s="23" t="n"/>
      <c r="M967" s="23" t="n"/>
      <c r="N967" s="23" t="n"/>
      <c r="O967" s="23" t="n"/>
      <c r="P967" s="23" t="n"/>
      <c r="Q967" s="23" t="n"/>
      <c r="R967" s="23" t="n"/>
      <c r="S967" s="23" t="n"/>
      <c r="T967" s="23" t="n"/>
      <c r="U967" s="23" t="n"/>
      <c r="V967" s="23" t="n"/>
      <c r="W967" s="23" t="n"/>
      <c r="X967" s="23" t="n"/>
      <c r="Y967" s="25" t="n"/>
      <c r="Z967" s="25" t="n"/>
      <c r="AA967" s="23" t="n"/>
      <c r="AB967" s="25" t="n"/>
      <c r="AC967" s="23" t="n"/>
      <c r="AD967" s="25" t="n"/>
      <c r="AE967" s="23" t="n"/>
      <c r="AF967" s="25" t="n"/>
      <c r="AG967" s="25" t="n"/>
      <c r="AH967" s="23" t="n"/>
      <c r="AI967" s="23" t="n"/>
      <c r="AJ967" s="26">
        <f>IF(I967="","",I967&amp;"|"&amp;R967)</f>
        <v/>
      </c>
      <c r="AK967" s="26">
        <f>IF(I967="","",IF(ISNA(MATCH(O967,Kampanyalar!$A$2:$A$150,0)),"Hayır - Kampanyalar'da Yok","Evet"))</f>
        <v/>
      </c>
      <c r="AL967" s="27">
        <f>IF(I967="","",IFERROR(INDEX(Kampanyalar!$E$2:$E$150,MATCH(O967,Kampanyalar!$A$2:$A$150,0)),""))</f>
        <v/>
      </c>
      <c r="AM967" s="27">
        <f>IF(I967="","",IFERROR(INDEX(Kampanyalar!$F$2:$F$150,MATCH(O967,Kampanyalar!$A$2:$A$150,0)),""))</f>
        <v/>
      </c>
      <c r="AN967" s="27">
        <f>IF(I967="","",IFERROR(INDEX(Kampanyalar!$G$2:$G$150,MATCH(O967,Kampanyalar!$A$2:$A$150,0)),""))</f>
        <v/>
      </c>
      <c r="AO967" s="26">
        <f>IF(OR(I967="",AL967="",AM967=""),"",IF(AND(H967&gt;=AL967,H967&lt;=AM967),"Evet","HAYIR - Tarih Dışı"))</f>
        <v/>
      </c>
      <c r="AP967" s="28">
        <f>IF(I967="","",IFERROR(INDEX(Kampanyalar!$H$2:$H$150,MATCH(O967,Kampanyalar!$A$2:$A$150,0)),""))</f>
        <v/>
      </c>
      <c r="AQ967" s="28">
        <f>IF(I967="","",IF(ISNUMBER(AP967),AP967,AD967))</f>
        <v/>
      </c>
      <c r="AR967" s="26">
        <f>IF(I967="","",IF(Parametreler!$C$7="Evet","Kural A - Hemen Ödeme (Stok Mutabakatlı)","Kural B - Nakliye/Montaj Sonrası Ödeme"))</f>
        <v/>
      </c>
    </row>
    <row r="968">
      <c r="A968" s="23" t="n"/>
      <c r="B968" s="23" t="n"/>
      <c r="C968" s="23" t="n"/>
      <c r="D968" s="23" t="n"/>
      <c r="E968" s="23" t="n"/>
      <c r="F968" s="23" t="n"/>
      <c r="G968" s="23" t="n"/>
      <c r="H968" s="24" t="n"/>
      <c r="I968" s="23" t="n"/>
      <c r="J968" s="23" t="n"/>
      <c r="K968" s="23" t="n"/>
      <c r="L968" s="23" t="n"/>
      <c r="M968" s="23" t="n"/>
      <c r="N968" s="23" t="n"/>
      <c r="O968" s="23" t="n"/>
      <c r="P968" s="23" t="n"/>
      <c r="Q968" s="23" t="n"/>
      <c r="R968" s="23" t="n"/>
      <c r="S968" s="23" t="n"/>
      <c r="T968" s="23" t="n"/>
      <c r="U968" s="23" t="n"/>
      <c r="V968" s="23" t="n"/>
      <c r="W968" s="23" t="n"/>
      <c r="X968" s="23" t="n"/>
      <c r="Y968" s="25" t="n"/>
      <c r="Z968" s="25" t="n"/>
      <c r="AA968" s="23" t="n"/>
      <c r="AB968" s="25" t="n"/>
      <c r="AC968" s="23" t="n"/>
      <c r="AD968" s="25" t="n"/>
      <c r="AE968" s="23" t="n"/>
      <c r="AF968" s="25" t="n"/>
      <c r="AG968" s="25" t="n"/>
      <c r="AH968" s="23" t="n"/>
      <c r="AI968" s="23" t="n"/>
      <c r="AJ968" s="26">
        <f>IF(I968="","",I968&amp;"|"&amp;R968)</f>
        <v/>
      </c>
      <c r="AK968" s="26">
        <f>IF(I968="","",IF(ISNA(MATCH(O968,Kampanyalar!$A$2:$A$150,0)),"Hayır - Kampanyalar'da Yok","Evet"))</f>
        <v/>
      </c>
      <c r="AL968" s="27">
        <f>IF(I968="","",IFERROR(INDEX(Kampanyalar!$E$2:$E$150,MATCH(O968,Kampanyalar!$A$2:$A$150,0)),""))</f>
        <v/>
      </c>
      <c r="AM968" s="27">
        <f>IF(I968="","",IFERROR(INDEX(Kampanyalar!$F$2:$F$150,MATCH(O968,Kampanyalar!$A$2:$A$150,0)),""))</f>
        <v/>
      </c>
      <c r="AN968" s="27">
        <f>IF(I968="","",IFERROR(INDEX(Kampanyalar!$G$2:$G$150,MATCH(O968,Kampanyalar!$A$2:$A$150,0)),""))</f>
        <v/>
      </c>
      <c r="AO968" s="26">
        <f>IF(OR(I968="",AL968="",AM968=""),"",IF(AND(H968&gt;=AL968,H968&lt;=AM968),"Evet","HAYIR - Tarih Dışı"))</f>
        <v/>
      </c>
      <c r="AP968" s="28">
        <f>IF(I968="","",IFERROR(INDEX(Kampanyalar!$H$2:$H$150,MATCH(O968,Kampanyalar!$A$2:$A$150,0)),""))</f>
        <v/>
      </c>
      <c r="AQ968" s="28">
        <f>IF(I968="","",IF(ISNUMBER(AP968),AP968,AD968))</f>
        <v/>
      </c>
      <c r="AR968" s="26">
        <f>IF(I968="","",IF(Parametreler!$C$7="Evet","Kural A - Hemen Ödeme (Stok Mutabakatlı)","Kural B - Nakliye/Montaj Sonrası Ödeme"))</f>
        <v/>
      </c>
    </row>
    <row r="969">
      <c r="A969" s="23" t="n"/>
      <c r="B969" s="23" t="n"/>
      <c r="C969" s="23" t="n"/>
      <c r="D969" s="23" t="n"/>
      <c r="E969" s="23" t="n"/>
      <c r="F969" s="23" t="n"/>
      <c r="G969" s="23" t="n"/>
      <c r="H969" s="24" t="n"/>
      <c r="I969" s="23" t="n"/>
      <c r="J969" s="23" t="n"/>
      <c r="K969" s="23" t="n"/>
      <c r="L969" s="23" t="n"/>
      <c r="M969" s="23" t="n"/>
      <c r="N969" s="23" t="n"/>
      <c r="O969" s="23" t="n"/>
      <c r="P969" s="23" t="n"/>
      <c r="Q969" s="23" t="n"/>
      <c r="R969" s="23" t="n"/>
      <c r="S969" s="23" t="n"/>
      <c r="T969" s="23" t="n"/>
      <c r="U969" s="23" t="n"/>
      <c r="V969" s="23" t="n"/>
      <c r="W969" s="23" t="n"/>
      <c r="X969" s="23" t="n"/>
      <c r="Y969" s="25" t="n"/>
      <c r="Z969" s="25" t="n"/>
      <c r="AA969" s="23" t="n"/>
      <c r="AB969" s="25" t="n"/>
      <c r="AC969" s="23" t="n"/>
      <c r="AD969" s="25" t="n"/>
      <c r="AE969" s="23" t="n"/>
      <c r="AF969" s="25" t="n"/>
      <c r="AG969" s="25" t="n"/>
      <c r="AH969" s="23" t="n"/>
      <c r="AI969" s="23" t="n"/>
      <c r="AJ969" s="26">
        <f>IF(I969="","",I969&amp;"|"&amp;R969)</f>
        <v/>
      </c>
      <c r="AK969" s="26">
        <f>IF(I969="","",IF(ISNA(MATCH(O969,Kampanyalar!$A$2:$A$150,0)),"Hayır - Kampanyalar'da Yok","Evet"))</f>
        <v/>
      </c>
      <c r="AL969" s="27">
        <f>IF(I969="","",IFERROR(INDEX(Kampanyalar!$E$2:$E$150,MATCH(O969,Kampanyalar!$A$2:$A$150,0)),""))</f>
        <v/>
      </c>
      <c r="AM969" s="27">
        <f>IF(I969="","",IFERROR(INDEX(Kampanyalar!$F$2:$F$150,MATCH(O969,Kampanyalar!$A$2:$A$150,0)),""))</f>
        <v/>
      </c>
      <c r="AN969" s="27">
        <f>IF(I969="","",IFERROR(INDEX(Kampanyalar!$G$2:$G$150,MATCH(O969,Kampanyalar!$A$2:$A$150,0)),""))</f>
        <v/>
      </c>
      <c r="AO969" s="26">
        <f>IF(OR(I969="",AL969="",AM969=""),"",IF(AND(H969&gt;=AL969,H969&lt;=AM969),"Evet","HAYIR - Tarih Dışı"))</f>
        <v/>
      </c>
      <c r="AP969" s="28">
        <f>IF(I969="","",IFERROR(INDEX(Kampanyalar!$H$2:$H$150,MATCH(O969,Kampanyalar!$A$2:$A$150,0)),""))</f>
        <v/>
      </c>
      <c r="AQ969" s="28">
        <f>IF(I969="","",IF(ISNUMBER(AP969),AP969,AD969))</f>
        <v/>
      </c>
      <c r="AR969" s="26">
        <f>IF(I969="","",IF(Parametreler!$C$7="Evet","Kural A - Hemen Ödeme (Stok Mutabakatlı)","Kural B - Nakliye/Montaj Sonrası Ödeme"))</f>
        <v/>
      </c>
    </row>
    <row r="970">
      <c r="A970" s="23" t="n"/>
      <c r="B970" s="23" t="n"/>
      <c r="C970" s="23" t="n"/>
      <c r="D970" s="23" t="n"/>
      <c r="E970" s="23" t="n"/>
      <c r="F970" s="23" t="n"/>
      <c r="G970" s="23" t="n"/>
      <c r="H970" s="24" t="n"/>
      <c r="I970" s="23" t="n"/>
      <c r="J970" s="23" t="n"/>
      <c r="K970" s="23" t="n"/>
      <c r="L970" s="23" t="n"/>
      <c r="M970" s="23" t="n"/>
      <c r="N970" s="23" t="n"/>
      <c r="O970" s="23" t="n"/>
      <c r="P970" s="23" t="n"/>
      <c r="Q970" s="23" t="n"/>
      <c r="R970" s="23" t="n"/>
      <c r="S970" s="23" t="n"/>
      <c r="T970" s="23" t="n"/>
      <c r="U970" s="23" t="n"/>
      <c r="V970" s="23" t="n"/>
      <c r="W970" s="23" t="n"/>
      <c r="X970" s="23" t="n"/>
      <c r="Y970" s="25" t="n"/>
      <c r="Z970" s="25" t="n"/>
      <c r="AA970" s="23" t="n"/>
      <c r="AB970" s="25" t="n"/>
      <c r="AC970" s="23" t="n"/>
      <c r="AD970" s="25" t="n"/>
      <c r="AE970" s="23" t="n"/>
      <c r="AF970" s="25" t="n"/>
      <c r="AG970" s="25" t="n"/>
      <c r="AH970" s="23" t="n"/>
      <c r="AI970" s="23" t="n"/>
      <c r="AJ970" s="26">
        <f>IF(I970="","",I970&amp;"|"&amp;R970)</f>
        <v/>
      </c>
      <c r="AK970" s="26">
        <f>IF(I970="","",IF(ISNA(MATCH(O970,Kampanyalar!$A$2:$A$150,0)),"Hayır - Kampanyalar'da Yok","Evet"))</f>
        <v/>
      </c>
      <c r="AL970" s="27">
        <f>IF(I970="","",IFERROR(INDEX(Kampanyalar!$E$2:$E$150,MATCH(O970,Kampanyalar!$A$2:$A$150,0)),""))</f>
        <v/>
      </c>
      <c r="AM970" s="27">
        <f>IF(I970="","",IFERROR(INDEX(Kampanyalar!$F$2:$F$150,MATCH(O970,Kampanyalar!$A$2:$A$150,0)),""))</f>
        <v/>
      </c>
      <c r="AN970" s="27">
        <f>IF(I970="","",IFERROR(INDEX(Kampanyalar!$G$2:$G$150,MATCH(O970,Kampanyalar!$A$2:$A$150,0)),""))</f>
        <v/>
      </c>
      <c r="AO970" s="26">
        <f>IF(OR(I970="",AL970="",AM970=""),"",IF(AND(H970&gt;=AL970,H970&lt;=AM970),"Evet","HAYIR - Tarih Dışı"))</f>
        <v/>
      </c>
      <c r="AP970" s="28">
        <f>IF(I970="","",IFERROR(INDEX(Kampanyalar!$H$2:$H$150,MATCH(O970,Kampanyalar!$A$2:$A$150,0)),""))</f>
        <v/>
      </c>
      <c r="AQ970" s="28">
        <f>IF(I970="","",IF(ISNUMBER(AP970),AP970,AD970))</f>
        <v/>
      </c>
      <c r="AR970" s="26">
        <f>IF(I970="","",IF(Parametreler!$C$7="Evet","Kural A - Hemen Ödeme (Stok Mutabakatlı)","Kural B - Nakliye/Montaj Sonrası Ödeme"))</f>
        <v/>
      </c>
    </row>
    <row r="971">
      <c r="A971" s="23" t="n"/>
      <c r="B971" s="23" t="n"/>
      <c r="C971" s="23" t="n"/>
      <c r="D971" s="23" t="n"/>
      <c r="E971" s="23" t="n"/>
      <c r="F971" s="23" t="n"/>
      <c r="G971" s="23" t="n"/>
      <c r="H971" s="24" t="n"/>
      <c r="I971" s="23" t="n"/>
      <c r="J971" s="23" t="n"/>
      <c r="K971" s="23" t="n"/>
      <c r="L971" s="23" t="n"/>
      <c r="M971" s="23" t="n"/>
      <c r="N971" s="23" t="n"/>
      <c r="O971" s="23" t="n"/>
      <c r="P971" s="23" t="n"/>
      <c r="Q971" s="23" t="n"/>
      <c r="R971" s="23" t="n"/>
      <c r="S971" s="23" t="n"/>
      <c r="T971" s="23" t="n"/>
      <c r="U971" s="23" t="n"/>
      <c r="V971" s="23" t="n"/>
      <c r="W971" s="23" t="n"/>
      <c r="X971" s="23" t="n"/>
      <c r="Y971" s="25" t="n"/>
      <c r="Z971" s="25" t="n"/>
      <c r="AA971" s="23" t="n"/>
      <c r="AB971" s="25" t="n"/>
      <c r="AC971" s="23" t="n"/>
      <c r="AD971" s="25" t="n"/>
      <c r="AE971" s="23" t="n"/>
      <c r="AF971" s="25" t="n"/>
      <c r="AG971" s="25" t="n"/>
      <c r="AH971" s="23" t="n"/>
      <c r="AI971" s="23" t="n"/>
      <c r="AJ971" s="26">
        <f>IF(I971="","",I971&amp;"|"&amp;R971)</f>
        <v/>
      </c>
      <c r="AK971" s="26">
        <f>IF(I971="","",IF(ISNA(MATCH(O971,Kampanyalar!$A$2:$A$150,0)),"Hayır - Kampanyalar'da Yok","Evet"))</f>
        <v/>
      </c>
      <c r="AL971" s="27">
        <f>IF(I971="","",IFERROR(INDEX(Kampanyalar!$E$2:$E$150,MATCH(O971,Kampanyalar!$A$2:$A$150,0)),""))</f>
        <v/>
      </c>
      <c r="AM971" s="27">
        <f>IF(I971="","",IFERROR(INDEX(Kampanyalar!$F$2:$F$150,MATCH(O971,Kampanyalar!$A$2:$A$150,0)),""))</f>
        <v/>
      </c>
      <c r="AN971" s="27">
        <f>IF(I971="","",IFERROR(INDEX(Kampanyalar!$G$2:$G$150,MATCH(O971,Kampanyalar!$A$2:$A$150,0)),""))</f>
        <v/>
      </c>
      <c r="AO971" s="26">
        <f>IF(OR(I971="",AL971="",AM971=""),"",IF(AND(H971&gt;=AL971,H971&lt;=AM971),"Evet","HAYIR - Tarih Dışı"))</f>
        <v/>
      </c>
      <c r="AP971" s="28">
        <f>IF(I971="","",IFERROR(INDEX(Kampanyalar!$H$2:$H$150,MATCH(O971,Kampanyalar!$A$2:$A$150,0)),""))</f>
        <v/>
      </c>
      <c r="AQ971" s="28">
        <f>IF(I971="","",IF(ISNUMBER(AP971),AP971,AD971))</f>
        <v/>
      </c>
      <c r="AR971" s="26">
        <f>IF(I971="","",IF(Parametreler!$C$7="Evet","Kural A - Hemen Ödeme (Stok Mutabakatlı)","Kural B - Nakliye/Montaj Sonrası Ödeme"))</f>
        <v/>
      </c>
    </row>
    <row r="972">
      <c r="A972" s="23" t="n"/>
      <c r="B972" s="23" t="n"/>
      <c r="C972" s="23" t="n"/>
      <c r="D972" s="23" t="n"/>
      <c r="E972" s="23" t="n"/>
      <c r="F972" s="23" t="n"/>
      <c r="G972" s="23" t="n"/>
      <c r="H972" s="24" t="n"/>
      <c r="I972" s="23" t="n"/>
      <c r="J972" s="23" t="n"/>
      <c r="K972" s="23" t="n"/>
      <c r="L972" s="23" t="n"/>
      <c r="M972" s="23" t="n"/>
      <c r="N972" s="23" t="n"/>
      <c r="O972" s="23" t="n"/>
      <c r="P972" s="23" t="n"/>
      <c r="Q972" s="23" t="n"/>
      <c r="R972" s="23" t="n"/>
      <c r="S972" s="23" t="n"/>
      <c r="T972" s="23" t="n"/>
      <c r="U972" s="23" t="n"/>
      <c r="V972" s="23" t="n"/>
      <c r="W972" s="23" t="n"/>
      <c r="X972" s="23" t="n"/>
      <c r="Y972" s="25" t="n"/>
      <c r="Z972" s="25" t="n"/>
      <c r="AA972" s="23" t="n"/>
      <c r="AB972" s="25" t="n"/>
      <c r="AC972" s="23" t="n"/>
      <c r="AD972" s="25" t="n"/>
      <c r="AE972" s="23" t="n"/>
      <c r="AF972" s="25" t="n"/>
      <c r="AG972" s="25" t="n"/>
      <c r="AH972" s="23" t="n"/>
      <c r="AI972" s="23" t="n"/>
      <c r="AJ972" s="26">
        <f>IF(I972="","",I972&amp;"|"&amp;R972)</f>
        <v/>
      </c>
      <c r="AK972" s="26">
        <f>IF(I972="","",IF(ISNA(MATCH(O972,Kampanyalar!$A$2:$A$150,0)),"Hayır - Kampanyalar'da Yok","Evet"))</f>
        <v/>
      </c>
      <c r="AL972" s="27">
        <f>IF(I972="","",IFERROR(INDEX(Kampanyalar!$E$2:$E$150,MATCH(O972,Kampanyalar!$A$2:$A$150,0)),""))</f>
        <v/>
      </c>
      <c r="AM972" s="27">
        <f>IF(I972="","",IFERROR(INDEX(Kampanyalar!$F$2:$F$150,MATCH(O972,Kampanyalar!$A$2:$A$150,0)),""))</f>
        <v/>
      </c>
      <c r="AN972" s="27">
        <f>IF(I972="","",IFERROR(INDEX(Kampanyalar!$G$2:$G$150,MATCH(O972,Kampanyalar!$A$2:$A$150,0)),""))</f>
        <v/>
      </c>
      <c r="AO972" s="26">
        <f>IF(OR(I972="",AL972="",AM972=""),"",IF(AND(H972&gt;=AL972,H972&lt;=AM972),"Evet","HAYIR - Tarih Dışı"))</f>
        <v/>
      </c>
      <c r="AP972" s="28">
        <f>IF(I972="","",IFERROR(INDEX(Kampanyalar!$H$2:$H$150,MATCH(O972,Kampanyalar!$A$2:$A$150,0)),""))</f>
        <v/>
      </c>
      <c r="AQ972" s="28">
        <f>IF(I972="","",IF(ISNUMBER(AP972),AP972,AD972))</f>
        <v/>
      </c>
      <c r="AR972" s="26">
        <f>IF(I972="","",IF(Parametreler!$C$7="Evet","Kural A - Hemen Ödeme (Stok Mutabakatlı)","Kural B - Nakliye/Montaj Sonrası Ödeme"))</f>
        <v/>
      </c>
    </row>
    <row r="973">
      <c r="A973" s="23" t="n"/>
      <c r="B973" s="23" t="n"/>
      <c r="C973" s="23" t="n"/>
      <c r="D973" s="23" t="n"/>
      <c r="E973" s="23" t="n"/>
      <c r="F973" s="23" t="n"/>
      <c r="G973" s="23" t="n"/>
      <c r="H973" s="24" t="n"/>
      <c r="I973" s="23" t="n"/>
      <c r="J973" s="23" t="n"/>
      <c r="K973" s="23" t="n"/>
      <c r="L973" s="23" t="n"/>
      <c r="M973" s="23" t="n"/>
      <c r="N973" s="23" t="n"/>
      <c r="O973" s="23" t="n"/>
      <c r="P973" s="23" t="n"/>
      <c r="Q973" s="23" t="n"/>
      <c r="R973" s="23" t="n"/>
      <c r="S973" s="23" t="n"/>
      <c r="T973" s="23" t="n"/>
      <c r="U973" s="23" t="n"/>
      <c r="V973" s="23" t="n"/>
      <c r="W973" s="23" t="n"/>
      <c r="X973" s="23" t="n"/>
      <c r="Y973" s="25" t="n"/>
      <c r="Z973" s="25" t="n"/>
      <c r="AA973" s="23" t="n"/>
      <c r="AB973" s="25" t="n"/>
      <c r="AC973" s="23" t="n"/>
      <c r="AD973" s="25" t="n"/>
      <c r="AE973" s="23" t="n"/>
      <c r="AF973" s="25" t="n"/>
      <c r="AG973" s="25" t="n"/>
      <c r="AH973" s="23" t="n"/>
      <c r="AI973" s="23" t="n"/>
      <c r="AJ973" s="26">
        <f>IF(I973="","",I973&amp;"|"&amp;R973)</f>
        <v/>
      </c>
      <c r="AK973" s="26">
        <f>IF(I973="","",IF(ISNA(MATCH(O973,Kampanyalar!$A$2:$A$150,0)),"Hayır - Kampanyalar'da Yok","Evet"))</f>
        <v/>
      </c>
      <c r="AL973" s="27">
        <f>IF(I973="","",IFERROR(INDEX(Kampanyalar!$E$2:$E$150,MATCH(O973,Kampanyalar!$A$2:$A$150,0)),""))</f>
        <v/>
      </c>
      <c r="AM973" s="27">
        <f>IF(I973="","",IFERROR(INDEX(Kampanyalar!$F$2:$F$150,MATCH(O973,Kampanyalar!$A$2:$A$150,0)),""))</f>
        <v/>
      </c>
      <c r="AN973" s="27">
        <f>IF(I973="","",IFERROR(INDEX(Kampanyalar!$G$2:$G$150,MATCH(O973,Kampanyalar!$A$2:$A$150,0)),""))</f>
        <v/>
      </c>
      <c r="AO973" s="26">
        <f>IF(OR(I973="",AL973="",AM973=""),"",IF(AND(H973&gt;=AL973,H973&lt;=AM973),"Evet","HAYIR - Tarih Dışı"))</f>
        <v/>
      </c>
      <c r="AP973" s="28">
        <f>IF(I973="","",IFERROR(INDEX(Kampanyalar!$H$2:$H$150,MATCH(O973,Kampanyalar!$A$2:$A$150,0)),""))</f>
        <v/>
      </c>
      <c r="AQ973" s="28">
        <f>IF(I973="","",IF(ISNUMBER(AP973),AP973,AD973))</f>
        <v/>
      </c>
      <c r="AR973" s="26">
        <f>IF(I973="","",IF(Parametreler!$C$7="Evet","Kural A - Hemen Ödeme (Stok Mutabakatlı)","Kural B - Nakliye/Montaj Sonrası Ödeme"))</f>
        <v/>
      </c>
    </row>
    <row r="974">
      <c r="A974" s="23" t="n"/>
      <c r="B974" s="23" t="n"/>
      <c r="C974" s="23" t="n"/>
      <c r="D974" s="23" t="n"/>
      <c r="E974" s="23" t="n"/>
      <c r="F974" s="23" t="n"/>
      <c r="G974" s="23" t="n"/>
      <c r="H974" s="24" t="n"/>
      <c r="I974" s="23" t="n"/>
      <c r="J974" s="23" t="n"/>
      <c r="K974" s="23" t="n"/>
      <c r="L974" s="23" t="n"/>
      <c r="M974" s="23" t="n"/>
      <c r="N974" s="23" t="n"/>
      <c r="O974" s="23" t="n"/>
      <c r="P974" s="23" t="n"/>
      <c r="Q974" s="23" t="n"/>
      <c r="R974" s="23" t="n"/>
      <c r="S974" s="23" t="n"/>
      <c r="T974" s="23" t="n"/>
      <c r="U974" s="23" t="n"/>
      <c r="V974" s="23" t="n"/>
      <c r="W974" s="23" t="n"/>
      <c r="X974" s="23" t="n"/>
      <c r="Y974" s="25" t="n"/>
      <c r="Z974" s="25" t="n"/>
      <c r="AA974" s="23" t="n"/>
      <c r="AB974" s="25" t="n"/>
      <c r="AC974" s="23" t="n"/>
      <c r="AD974" s="25" t="n"/>
      <c r="AE974" s="23" t="n"/>
      <c r="AF974" s="25" t="n"/>
      <c r="AG974" s="25" t="n"/>
      <c r="AH974" s="23" t="n"/>
      <c r="AI974" s="23" t="n"/>
      <c r="AJ974" s="26">
        <f>IF(I974="","",I974&amp;"|"&amp;R974)</f>
        <v/>
      </c>
      <c r="AK974" s="26">
        <f>IF(I974="","",IF(ISNA(MATCH(O974,Kampanyalar!$A$2:$A$150,0)),"Hayır - Kampanyalar'da Yok","Evet"))</f>
        <v/>
      </c>
      <c r="AL974" s="27">
        <f>IF(I974="","",IFERROR(INDEX(Kampanyalar!$E$2:$E$150,MATCH(O974,Kampanyalar!$A$2:$A$150,0)),""))</f>
        <v/>
      </c>
      <c r="AM974" s="27">
        <f>IF(I974="","",IFERROR(INDEX(Kampanyalar!$F$2:$F$150,MATCH(O974,Kampanyalar!$A$2:$A$150,0)),""))</f>
        <v/>
      </c>
      <c r="AN974" s="27">
        <f>IF(I974="","",IFERROR(INDEX(Kampanyalar!$G$2:$G$150,MATCH(O974,Kampanyalar!$A$2:$A$150,0)),""))</f>
        <v/>
      </c>
      <c r="AO974" s="26">
        <f>IF(OR(I974="",AL974="",AM974=""),"",IF(AND(H974&gt;=AL974,H974&lt;=AM974),"Evet","HAYIR - Tarih Dışı"))</f>
        <v/>
      </c>
      <c r="AP974" s="28">
        <f>IF(I974="","",IFERROR(INDEX(Kampanyalar!$H$2:$H$150,MATCH(O974,Kampanyalar!$A$2:$A$150,0)),""))</f>
        <v/>
      </c>
      <c r="AQ974" s="28">
        <f>IF(I974="","",IF(ISNUMBER(AP974),AP974,AD974))</f>
        <v/>
      </c>
      <c r="AR974" s="26">
        <f>IF(I974="","",IF(Parametreler!$C$7="Evet","Kural A - Hemen Ödeme (Stok Mutabakatlı)","Kural B - Nakliye/Montaj Sonrası Ödeme"))</f>
        <v/>
      </c>
    </row>
    <row r="975">
      <c r="A975" s="23" t="n"/>
      <c r="B975" s="23" t="n"/>
      <c r="C975" s="23" t="n"/>
      <c r="D975" s="23" t="n"/>
      <c r="E975" s="23" t="n"/>
      <c r="F975" s="23" t="n"/>
      <c r="G975" s="23" t="n"/>
      <c r="H975" s="24" t="n"/>
      <c r="I975" s="23" t="n"/>
      <c r="J975" s="23" t="n"/>
      <c r="K975" s="23" t="n"/>
      <c r="L975" s="23" t="n"/>
      <c r="M975" s="23" t="n"/>
      <c r="N975" s="23" t="n"/>
      <c r="O975" s="23" t="n"/>
      <c r="P975" s="23" t="n"/>
      <c r="Q975" s="23" t="n"/>
      <c r="R975" s="23" t="n"/>
      <c r="S975" s="23" t="n"/>
      <c r="T975" s="23" t="n"/>
      <c r="U975" s="23" t="n"/>
      <c r="V975" s="23" t="n"/>
      <c r="W975" s="23" t="n"/>
      <c r="X975" s="23" t="n"/>
      <c r="Y975" s="25" t="n"/>
      <c r="Z975" s="25" t="n"/>
      <c r="AA975" s="23" t="n"/>
      <c r="AB975" s="25" t="n"/>
      <c r="AC975" s="23" t="n"/>
      <c r="AD975" s="25" t="n"/>
      <c r="AE975" s="23" t="n"/>
      <c r="AF975" s="25" t="n"/>
      <c r="AG975" s="25" t="n"/>
      <c r="AH975" s="23" t="n"/>
      <c r="AI975" s="23" t="n"/>
      <c r="AJ975" s="26">
        <f>IF(I975="","",I975&amp;"|"&amp;R975)</f>
        <v/>
      </c>
      <c r="AK975" s="26">
        <f>IF(I975="","",IF(ISNA(MATCH(O975,Kampanyalar!$A$2:$A$150,0)),"Hayır - Kampanyalar'da Yok","Evet"))</f>
        <v/>
      </c>
      <c r="AL975" s="27">
        <f>IF(I975="","",IFERROR(INDEX(Kampanyalar!$E$2:$E$150,MATCH(O975,Kampanyalar!$A$2:$A$150,0)),""))</f>
        <v/>
      </c>
      <c r="AM975" s="27">
        <f>IF(I975="","",IFERROR(INDEX(Kampanyalar!$F$2:$F$150,MATCH(O975,Kampanyalar!$A$2:$A$150,0)),""))</f>
        <v/>
      </c>
      <c r="AN975" s="27">
        <f>IF(I975="","",IFERROR(INDEX(Kampanyalar!$G$2:$G$150,MATCH(O975,Kampanyalar!$A$2:$A$150,0)),""))</f>
        <v/>
      </c>
      <c r="AO975" s="26">
        <f>IF(OR(I975="",AL975="",AM975=""),"",IF(AND(H975&gt;=AL975,H975&lt;=AM975),"Evet","HAYIR - Tarih Dışı"))</f>
        <v/>
      </c>
      <c r="AP975" s="28">
        <f>IF(I975="","",IFERROR(INDEX(Kampanyalar!$H$2:$H$150,MATCH(O975,Kampanyalar!$A$2:$A$150,0)),""))</f>
        <v/>
      </c>
      <c r="AQ975" s="28">
        <f>IF(I975="","",IF(ISNUMBER(AP975),AP975,AD975))</f>
        <v/>
      </c>
      <c r="AR975" s="26">
        <f>IF(I975="","",IF(Parametreler!$C$7="Evet","Kural A - Hemen Ödeme (Stok Mutabakatlı)","Kural B - Nakliye/Montaj Sonrası Ödeme"))</f>
        <v/>
      </c>
    </row>
    <row r="976">
      <c r="A976" s="23" t="n"/>
      <c r="B976" s="23" t="n"/>
      <c r="C976" s="23" t="n"/>
      <c r="D976" s="23" t="n"/>
      <c r="E976" s="23" t="n"/>
      <c r="F976" s="23" t="n"/>
      <c r="G976" s="23" t="n"/>
      <c r="H976" s="24" t="n"/>
      <c r="I976" s="23" t="n"/>
      <c r="J976" s="23" t="n"/>
      <c r="K976" s="23" t="n"/>
      <c r="L976" s="23" t="n"/>
      <c r="M976" s="23" t="n"/>
      <c r="N976" s="23" t="n"/>
      <c r="O976" s="23" t="n"/>
      <c r="P976" s="23" t="n"/>
      <c r="Q976" s="23" t="n"/>
      <c r="R976" s="23" t="n"/>
      <c r="S976" s="23" t="n"/>
      <c r="T976" s="23" t="n"/>
      <c r="U976" s="23" t="n"/>
      <c r="V976" s="23" t="n"/>
      <c r="W976" s="23" t="n"/>
      <c r="X976" s="23" t="n"/>
      <c r="Y976" s="25" t="n"/>
      <c r="Z976" s="25" t="n"/>
      <c r="AA976" s="23" t="n"/>
      <c r="AB976" s="25" t="n"/>
      <c r="AC976" s="23" t="n"/>
      <c r="AD976" s="25" t="n"/>
      <c r="AE976" s="23" t="n"/>
      <c r="AF976" s="25" t="n"/>
      <c r="AG976" s="25" t="n"/>
      <c r="AH976" s="23" t="n"/>
      <c r="AI976" s="23" t="n"/>
      <c r="AJ976" s="26">
        <f>IF(I976="","",I976&amp;"|"&amp;R976)</f>
        <v/>
      </c>
      <c r="AK976" s="26">
        <f>IF(I976="","",IF(ISNA(MATCH(O976,Kampanyalar!$A$2:$A$150,0)),"Hayır - Kampanyalar'da Yok","Evet"))</f>
        <v/>
      </c>
      <c r="AL976" s="27">
        <f>IF(I976="","",IFERROR(INDEX(Kampanyalar!$E$2:$E$150,MATCH(O976,Kampanyalar!$A$2:$A$150,0)),""))</f>
        <v/>
      </c>
      <c r="AM976" s="27">
        <f>IF(I976="","",IFERROR(INDEX(Kampanyalar!$F$2:$F$150,MATCH(O976,Kampanyalar!$A$2:$A$150,0)),""))</f>
        <v/>
      </c>
      <c r="AN976" s="27">
        <f>IF(I976="","",IFERROR(INDEX(Kampanyalar!$G$2:$G$150,MATCH(O976,Kampanyalar!$A$2:$A$150,0)),""))</f>
        <v/>
      </c>
      <c r="AO976" s="26">
        <f>IF(OR(I976="",AL976="",AM976=""),"",IF(AND(H976&gt;=AL976,H976&lt;=AM976),"Evet","HAYIR - Tarih Dışı"))</f>
        <v/>
      </c>
      <c r="AP976" s="28">
        <f>IF(I976="","",IFERROR(INDEX(Kampanyalar!$H$2:$H$150,MATCH(O976,Kampanyalar!$A$2:$A$150,0)),""))</f>
        <v/>
      </c>
      <c r="AQ976" s="28">
        <f>IF(I976="","",IF(ISNUMBER(AP976),AP976,AD976))</f>
        <v/>
      </c>
      <c r="AR976" s="26">
        <f>IF(I976="","",IF(Parametreler!$C$7="Evet","Kural A - Hemen Ödeme (Stok Mutabakatlı)","Kural B - Nakliye/Montaj Sonrası Ödeme"))</f>
        <v/>
      </c>
    </row>
    <row r="977">
      <c r="A977" s="23" t="n"/>
      <c r="B977" s="23" t="n"/>
      <c r="C977" s="23" t="n"/>
      <c r="D977" s="23" t="n"/>
      <c r="E977" s="23" t="n"/>
      <c r="F977" s="23" t="n"/>
      <c r="G977" s="23" t="n"/>
      <c r="H977" s="24" t="n"/>
      <c r="I977" s="23" t="n"/>
      <c r="J977" s="23" t="n"/>
      <c r="K977" s="23" t="n"/>
      <c r="L977" s="23" t="n"/>
      <c r="M977" s="23" t="n"/>
      <c r="N977" s="23" t="n"/>
      <c r="O977" s="23" t="n"/>
      <c r="P977" s="23" t="n"/>
      <c r="Q977" s="23" t="n"/>
      <c r="R977" s="23" t="n"/>
      <c r="S977" s="23" t="n"/>
      <c r="T977" s="23" t="n"/>
      <c r="U977" s="23" t="n"/>
      <c r="V977" s="23" t="n"/>
      <c r="W977" s="23" t="n"/>
      <c r="X977" s="23" t="n"/>
      <c r="Y977" s="25" t="n"/>
      <c r="Z977" s="25" t="n"/>
      <c r="AA977" s="23" t="n"/>
      <c r="AB977" s="25" t="n"/>
      <c r="AC977" s="23" t="n"/>
      <c r="AD977" s="25" t="n"/>
      <c r="AE977" s="23" t="n"/>
      <c r="AF977" s="25" t="n"/>
      <c r="AG977" s="25" t="n"/>
      <c r="AH977" s="23" t="n"/>
      <c r="AI977" s="23" t="n"/>
      <c r="AJ977" s="26">
        <f>IF(I977="","",I977&amp;"|"&amp;R977)</f>
        <v/>
      </c>
      <c r="AK977" s="26">
        <f>IF(I977="","",IF(ISNA(MATCH(O977,Kampanyalar!$A$2:$A$150,0)),"Hayır - Kampanyalar'da Yok","Evet"))</f>
        <v/>
      </c>
      <c r="AL977" s="27">
        <f>IF(I977="","",IFERROR(INDEX(Kampanyalar!$E$2:$E$150,MATCH(O977,Kampanyalar!$A$2:$A$150,0)),""))</f>
        <v/>
      </c>
      <c r="AM977" s="27">
        <f>IF(I977="","",IFERROR(INDEX(Kampanyalar!$F$2:$F$150,MATCH(O977,Kampanyalar!$A$2:$A$150,0)),""))</f>
        <v/>
      </c>
      <c r="AN977" s="27">
        <f>IF(I977="","",IFERROR(INDEX(Kampanyalar!$G$2:$G$150,MATCH(O977,Kampanyalar!$A$2:$A$150,0)),""))</f>
        <v/>
      </c>
      <c r="AO977" s="26">
        <f>IF(OR(I977="",AL977="",AM977=""),"",IF(AND(H977&gt;=AL977,H977&lt;=AM977),"Evet","HAYIR - Tarih Dışı"))</f>
        <v/>
      </c>
      <c r="AP977" s="28">
        <f>IF(I977="","",IFERROR(INDEX(Kampanyalar!$H$2:$H$150,MATCH(O977,Kampanyalar!$A$2:$A$150,0)),""))</f>
        <v/>
      </c>
      <c r="AQ977" s="28">
        <f>IF(I977="","",IF(ISNUMBER(AP977),AP977,AD977))</f>
        <v/>
      </c>
      <c r="AR977" s="26">
        <f>IF(I977="","",IF(Parametreler!$C$7="Evet","Kural A - Hemen Ödeme (Stok Mutabakatlı)","Kural B - Nakliye/Montaj Sonrası Ödeme"))</f>
        <v/>
      </c>
    </row>
    <row r="978">
      <c r="A978" s="23" t="n"/>
      <c r="B978" s="23" t="n"/>
      <c r="C978" s="23" t="n"/>
      <c r="D978" s="23" t="n"/>
      <c r="E978" s="23" t="n"/>
      <c r="F978" s="23" t="n"/>
      <c r="G978" s="23" t="n"/>
      <c r="H978" s="24" t="n"/>
      <c r="I978" s="23" t="n"/>
      <c r="J978" s="23" t="n"/>
      <c r="K978" s="23" t="n"/>
      <c r="L978" s="23" t="n"/>
      <c r="M978" s="23" t="n"/>
      <c r="N978" s="23" t="n"/>
      <c r="O978" s="23" t="n"/>
      <c r="P978" s="23" t="n"/>
      <c r="Q978" s="23" t="n"/>
      <c r="R978" s="23" t="n"/>
      <c r="S978" s="23" t="n"/>
      <c r="T978" s="23" t="n"/>
      <c r="U978" s="23" t="n"/>
      <c r="V978" s="23" t="n"/>
      <c r="W978" s="23" t="n"/>
      <c r="X978" s="23" t="n"/>
      <c r="Y978" s="25" t="n"/>
      <c r="Z978" s="25" t="n"/>
      <c r="AA978" s="23" t="n"/>
      <c r="AB978" s="25" t="n"/>
      <c r="AC978" s="23" t="n"/>
      <c r="AD978" s="25" t="n"/>
      <c r="AE978" s="23" t="n"/>
      <c r="AF978" s="25" t="n"/>
      <c r="AG978" s="25" t="n"/>
      <c r="AH978" s="23" t="n"/>
      <c r="AI978" s="23" t="n"/>
      <c r="AJ978" s="26">
        <f>IF(I978="","",I978&amp;"|"&amp;R978)</f>
        <v/>
      </c>
      <c r="AK978" s="26">
        <f>IF(I978="","",IF(ISNA(MATCH(O978,Kampanyalar!$A$2:$A$150,0)),"Hayır - Kampanyalar'da Yok","Evet"))</f>
        <v/>
      </c>
      <c r="AL978" s="27">
        <f>IF(I978="","",IFERROR(INDEX(Kampanyalar!$E$2:$E$150,MATCH(O978,Kampanyalar!$A$2:$A$150,0)),""))</f>
        <v/>
      </c>
      <c r="AM978" s="27">
        <f>IF(I978="","",IFERROR(INDEX(Kampanyalar!$F$2:$F$150,MATCH(O978,Kampanyalar!$A$2:$A$150,0)),""))</f>
        <v/>
      </c>
      <c r="AN978" s="27">
        <f>IF(I978="","",IFERROR(INDEX(Kampanyalar!$G$2:$G$150,MATCH(O978,Kampanyalar!$A$2:$A$150,0)),""))</f>
        <v/>
      </c>
      <c r="AO978" s="26">
        <f>IF(OR(I978="",AL978="",AM978=""),"",IF(AND(H978&gt;=AL978,H978&lt;=AM978),"Evet","HAYIR - Tarih Dışı"))</f>
        <v/>
      </c>
      <c r="AP978" s="28">
        <f>IF(I978="","",IFERROR(INDEX(Kampanyalar!$H$2:$H$150,MATCH(O978,Kampanyalar!$A$2:$A$150,0)),""))</f>
        <v/>
      </c>
      <c r="AQ978" s="28">
        <f>IF(I978="","",IF(ISNUMBER(AP978),AP978,AD978))</f>
        <v/>
      </c>
      <c r="AR978" s="26">
        <f>IF(I978="","",IF(Parametreler!$C$7="Evet","Kural A - Hemen Ödeme (Stok Mutabakatlı)","Kural B - Nakliye/Montaj Sonrası Ödeme"))</f>
        <v/>
      </c>
    </row>
    <row r="979">
      <c r="A979" s="23" t="n"/>
      <c r="B979" s="23" t="n"/>
      <c r="C979" s="23" t="n"/>
      <c r="D979" s="23" t="n"/>
      <c r="E979" s="23" t="n"/>
      <c r="F979" s="23" t="n"/>
      <c r="G979" s="23" t="n"/>
      <c r="H979" s="24" t="n"/>
      <c r="I979" s="23" t="n"/>
      <c r="J979" s="23" t="n"/>
      <c r="K979" s="23" t="n"/>
      <c r="L979" s="23" t="n"/>
      <c r="M979" s="23" t="n"/>
      <c r="N979" s="23" t="n"/>
      <c r="O979" s="23" t="n"/>
      <c r="P979" s="23" t="n"/>
      <c r="Q979" s="23" t="n"/>
      <c r="R979" s="23" t="n"/>
      <c r="S979" s="23" t="n"/>
      <c r="T979" s="23" t="n"/>
      <c r="U979" s="23" t="n"/>
      <c r="V979" s="23" t="n"/>
      <c r="W979" s="23" t="n"/>
      <c r="X979" s="23" t="n"/>
      <c r="Y979" s="25" t="n"/>
      <c r="Z979" s="25" t="n"/>
      <c r="AA979" s="23" t="n"/>
      <c r="AB979" s="25" t="n"/>
      <c r="AC979" s="23" t="n"/>
      <c r="AD979" s="25" t="n"/>
      <c r="AE979" s="23" t="n"/>
      <c r="AF979" s="25" t="n"/>
      <c r="AG979" s="25" t="n"/>
      <c r="AH979" s="23" t="n"/>
      <c r="AI979" s="23" t="n"/>
      <c r="AJ979" s="26">
        <f>IF(I979="","",I979&amp;"|"&amp;R979)</f>
        <v/>
      </c>
      <c r="AK979" s="26">
        <f>IF(I979="","",IF(ISNA(MATCH(O979,Kampanyalar!$A$2:$A$150,0)),"Hayır - Kampanyalar'da Yok","Evet"))</f>
        <v/>
      </c>
      <c r="AL979" s="27">
        <f>IF(I979="","",IFERROR(INDEX(Kampanyalar!$E$2:$E$150,MATCH(O979,Kampanyalar!$A$2:$A$150,0)),""))</f>
        <v/>
      </c>
      <c r="AM979" s="27">
        <f>IF(I979="","",IFERROR(INDEX(Kampanyalar!$F$2:$F$150,MATCH(O979,Kampanyalar!$A$2:$A$150,0)),""))</f>
        <v/>
      </c>
      <c r="AN979" s="27">
        <f>IF(I979="","",IFERROR(INDEX(Kampanyalar!$G$2:$G$150,MATCH(O979,Kampanyalar!$A$2:$A$150,0)),""))</f>
        <v/>
      </c>
      <c r="AO979" s="26">
        <f>IF(OR(I979="",AL979="",AM979=""),"",IF(AND(H979&gt;=AL979,H979&lt;=AM979),"Evet","HAYIR - Tarih Dışı"))</f>
        <v/>
      </c>
      <c r="AP979" s="28">
        <f>IF(I979="","",IFERROR(INDEX(Kampanyalar!$H$2:$H$150,MATCH(O979,Kampanyalar!$A$2:$A$150,0)),""))</f>
        <v/>
      </c>
      <c r="AQ979" s="28">
        <f>IF(I979="","",IF(ISNUMBER(AP979),AP979,AD979))</f>
        <v/>
      </c>
      <c r="AR979" s="26">
        <f>IF(I979="","",IF(Parametreler!$C$7="Evet","Kural A - Hemen Ödeme (Stok Mutabakatlı)","Kural B - Nakliye/Montaj Sonrası Ödeme"))</f>
        <v/>
      </c>
    </row>
    <row r="980">
      <c r="A980" s="23" t="n"/>
      <c r="B980" s="23" t="n"/>
      <c r="C980" s="23" t="n"/>
      <c r="D980" s="23" t="n"/>
      <c r="E980" s="23" t="n"/>
      <c r="F980" s="23" t="n"/>
      <c r="G980" s="23" t="n"/>
      <c r="H980" s="24" t="n"/>
      <c r="I980" s="23" t="n"/>
      <c r="J980" s="23" t="n"/>
      <c r="K980" s="23" t="n"/>
      <c r="L980" s="23" t="n"/>
      <c r="M980" s="23" t="n"/>
      <c r="N980" s="23" t="n"/>
      <c r="O980" s="23" t="n"/>
      <c r="P980" s="23" t="n"/>
      <c r="Q980" s="23" t="n"/>
      <c r="R980" s="23" t="n"/>
      <c r="S980" s="23" t="n"/>
      <c r="T980" s="23" t="n"/>
      <c r="U980" s="23" t="n"/>
      <c r="V980" s="23" t="n"/>
      <c r="W980" s="23" t="n"/>
      <c r="X980" s="23" t="n"/>
      <c r="Y980" s="25" t="n"/>
      <c r="Z980" s="25" t="n"/>
      <c r="AA980" s="23" t="n"/>
      <c r="AB980" s="25" t="n"/>
      <c r="AC980" s="23" t="n"/>
      <c r="AD980" s="25" t="n"/>
      <c r="AE980" s="23" t="n"/>
      <c r="AF980" s="25" t="n"/>
      <c r="AG980" s="25" t="n"/>
      <c r="AH980" s="23" t="n"/>
      <c r="AI980" s="23" t="n"/>
      <c r="AJ980" s="26">
        <f>IF(I980="","",I980&amp;"|"&amp;R980)</f>
        <v/>
      </c>
      <c r="AK980" s="26">
        <f>IF(I980="","",IF(ISNA(MATCH(O980,Kampanyalar!$A$2:$A$150,0)),"Hayır - Kampanyalar'da Yok","Evet"))</f>
        <v/>
      </c>
      <c r="AL980" s="27">
        <f>IF(I980="","",IFERROR(INDEX(Kampanyalar!$E$2:$E$150,MATCH(O980,Kampanyalar!$A$2:$A$150,0)),""))</f>
        <v/>
      </c>
      <c r="AM980" s="27">
        <f>IF(I980="","",IFERROR(INDEX(Kampanyalar!$F$2:$F$150,MATCH(O980,Kampanyalar!$A$2:$A$150,0)),""))</f>
        <v/>
      </c>
      <c r="AN980" s="27">
        <f>IF(I980="","",IFERROR(INDEX(Kampanyalar!$G$2:$G$150,MATCH(O980,Kampanyalar!$A$2:$A$150,0)),""))</f>
        <v/>
      </c>
      <c r="AO980" s="26">
        <f>IF(OR(I980="",AL980="",AM980=""),"",IF(AND(H980&gt;=AL980,H980&lt;=AM980),"Evet","HAYIR - Tarih Dışı"))</f>
        <v/>
      </c>
      <c r="AP980" s="28">
        <f>IF(I980="","",IFERROR(INDEX(Kampanyalar!$H$2:$H$150,MATCH(O980,Kampanyalar!$A$2:$A$150,0)),""))</f>
        <v/>
      </c>
      <c r="AQ980" s="28">
        <f>IF(I980="","",IF(ISNUMBER(AP980),AP980,AD980))</f>
        <v/>
      </c>
      <c r="AR980" s="26">
        <f>IF(I980="","",IF(Parametreler!$C$7="Evet","Kural A - Hemen Ödeme (Stok Mutabakatlı)","Kural B - Nakliye/Montaj Sonrası Ödeme"))</f>
        <v/>
      </c>
    </row>
    <row r="981">
      <c r="A981" s="23" t="n"/>
      <c r="B981" s="23" t="n"/>
      <c r="C981" s="23" t="n"/>
      <c r="D981" s="23" t="n"/>
      <c r="E981" s="23" t="n"/>
      <c r="F981" s="23" t="n"/>
      <c r="G981" s="23" t="n"/>
      <c r="H981" s="24" t="n"/>
      <c r="I981" s="23" t="n"/>
      <c r="J981" s="23" t="n"/>
      <c r="K981" s="23" t="n"/>
      <c r="L981" s="23" t="n"/>
      <c r="M981" s="23" t="n"/>
      <c r="N981" s="23" t="n"/>
      <c r="O981" s="23" t="n"/>
      <c r="P981" s="23" t="n"/>
      <c r="Q981" s="23" t="n"/>
      <c r="R981" s="23" t="n"/>
      <c r="S981" s="23" t="n"/>
      <c r="T981" s="23" t="n"/>
      <c r="U981" s="23" t="n"/>
      <c r="V981" s="23" t="n"/>
      <c r="W981" s="23" t="n"/>
      <c r="X981" s="23" t="n"/>
      <c r="Y981" s="25" t="n"/>
      <c r="Z981" s="25" t="n"/>
      <c r="AA981" s="23" t="n"/>
      <c r="AB981" s="25" t="n"/>
      <c r="AC981" s="23" t="n"/>
      <c r="AD981" s="25" t="n"/>
      <c r="AE981" s="23" t="n"/>
      <c r="AF981" s="25" t="n"/>
      <c r="AG981" s="25" t="n"/>
      <c r="AH981" s="23" t="n"/>
      <c r="AI981" s="23" t="n"/>
      <c r="AJ981" s="26">
        <f>IF(I981="","",I981&amp;"|"&amp;R981)</f>
        <v/>
      </c>
      <c r="AK981" s="26">
        <f>IF(I981="","",IF(ISNA(MATCH(O981,Kampanyalar!$A$2:$A$150,0)),"Hayır - Kampanyalar'da Yok","Evet"))</f>
        <v/>
      </c>
      <c r="AL981" s="27">
        <f>IF(I981="","",IFERROR(INDEX(Kampanyalar!$E$2:$E$150,MATCH(O981,Kampanyalar!$A$2:$A$150,0)),""))</f>
        <v/>
      </c>
      <c r="AM981" s="27">
        <f>IF(I981="","",IFERROR(INDEX(Kampanyalar!$F$2:$F$150,MATCH(O981,Kampanyalar!$A$2:$A$150,0)),""))</f>
        <v/>
      </c>
      <c r="AN981" s="27">
        <f>IF(I981="","",IFERROR(INDEX(Kampanyalar!$G$2:$G$150,MATCH(O981,Kampanyalar!$A$2:$A$150,0)),""))</f>
        <v/>
      </c>
      <c r="AO981" s="26">
        <f>IF(OR(I981="",AL981="",AM981=""),"",IF(AND(H981&gt;=AL981,H981&lt;=AM981),"Evet","HAYIR - Tarih Dışı"))</f>
        <v/>
      </c>
      <c r="AP981" s="28">
        <f>IF(I981="","",IFERROR(INDEX(Kampanyalar!$H$2:$H$150,MATCH(O981,Kampanyalar!$A$2:$A$150,0)),""))</f>
        <v/>
      </c>
      <c r="AQ981" s="28">
        <f>IF(I981="","",IF(ISNUMBER(AP981),AP981,AD981))</f>
        <v/>
      </c>
      <c r="AR981" s="26">
        <f>IF(I981="","",IF(Parametreler!$C$7="Evet","Kural A - Hemen Ödeme (Stok Mutabakatlı)","Kural B - Nakliye/Montaj Sonrası Ödeme"))</f>
        <v/>
      </c>
    </row>
    <row r="982">
      <c r="A982" s="23" t="n"/>
      <c r="B982" s="23" t="n"/>
      <c r="C982" s="23" t="n"/>
      <c r="D982" s="23" t="n"/>
      <c r="E982" s="23" t="n"/>
      <c r="F982" s="23" t="n"/>
      <c r="G982" s="23" t="n"/>
      <c r="H982" s="24" t="n"/>
      <c r="I982" s="23" t="n"/>
      <c r="J982" s="23" t="n"/>
      <c r="K982" s="23" t="n"/>
      <c r="L982" s="23" t="n"/>
      <c r="M982" s="23" t="n"/>
      <c r="N982" s="23" t="n"/>
      <c r="O982" s="23" t="n"/>
      <c r="P982" s="23" t="n"/>
      <c r="Q982" s="23" t="n"/>
      <c r="R982" s="23" t="n"/>
      <c r="S982" s="23" t="n"/>
      <c r="T982" s="23" t="n"/>
      <c r="U982" s="23" t="n"/>
      <c r="V982" s="23" t="n"/>
      <c r="W982" s="23" t="n"/>
      <c r="X982" s="23" t="n"/>
      <c r="Y982" s="25" t="n"/>
      <c r="Z982" s="25" t="n"/>
      <c r="AA982" s="23" t="n"/>
      <c r="AB982" s="25" t="n"/>
      <c r="AC982" s="23" t="n"/>
      <c r="AD982" s="25" t="n"/>
      <c r="AE982" s="23" t="n"/>
      <c r="AF982" s="25" t="n"/>
      <c r="AG982" s="25" t="n"/>
      <c r="AH982" s="23" t="n"/>
      <c r="AI982" s="23" t="n"/>
      <c r="AJ982" s="26">
        <f>IF(I982="","",I982&amp;"|"&amp;R982)</f>
        <v/>
      </c>
      <c r="AK982" s="26">
        <f>IF(I982="","",IF(ISNA(MATCH(O982,Kampanyalar!$A$2:$A$150,0)),"Hayır - Kampanyalar'da Yok","Evet"))</f>
        <v/>
      </c>
      <c r="AL982" s="27">
        <f>IF(I982="","",IFERROR(INDEX(Kampanyalar!$E$2:$E$150,MATCH(O982,Kampanyalar!$A$2:$A$150,0)),""))</f>
        <v/>
      </c>
      <c r="AM982" s="27">
        <f>IF(I982="","",IFERROR(INDEX(Kampanyalar!$F$2:$F$150,MATCH(O982,Kampanyalar!$A$2:$A$150,0)),""))</f>
        <v/>
      </c>
      <c r="AN982" s="27">
        <f>IF(I982="","",IFERROR(INDEX(Kampanyalar!$G$2:$G$150,MATCH(O982,Kampanyalar!$A$2:$A$150,0)),""))</f>
        <v/>
      </c>
      <c r="AO982" s="26">
        <f>IF(OR(I982="",AL982="",AM982=""),"",IF(AND(H982&gt;=AL982,H982&lt;=AM982),"Evet","HAYIR - Tarih Dışı"))</f>
        <v/>
      </c>
      <c r="AP982" s="28">
        <f>IF(I982="","",IFERROR(INDEX(Kampanyalar!$H$2:$H$150,MATCH(O982,Kampanyalar!$A$2:$A$150,0)),""))</f>
        <v/>
      </c>
      <c r="AQ982" s="28">
        <f>IF(I982="","",IF(ISNUMBER(AP982),AP982,AD982))</f>
        <v/>
      </c>
      <c r="AR982" s="26">
        <f>IF(I982="","",IF(Parametreler!$C$7="Evet","Kural A - Hemen Ödeme (Stok Mutabakatlı)","Kural B - Nakliye/Montaj Sonrası Ödeme"))</f>
        <v/>
      </c>
    </row>
    <row r="983">
      <c r="A983" s="23" t="n"/>
      <c r="B983" s="23" t="n"/>
      <c r="C983" s="23" t="n"/>
      <c r="D983" s="23" t="n"/>
      <c r="E983" s="23" t="n"/>
      <c r="F983" s="23" t="n"/>
      <c r="G983" s="23" t="n"/>
      <c r="H983" s="24" t="n"/>
      <c r="I983" s="23" t="n"/>
      <c r="J983" s="23" t="n"/>
      <c r="K983" s="23" t="n"/>
      <c r="L983" s="23" t="n"/>
      <c r="M983" s="23" t="n"/>
      <c r="N983" s="23" t="n"/>
      <c r="O983" s="23" t="n"/>
      <c r="P983" s="23" t="n"/>
      <c r="Q983" s="23" t="n"/>
      <c r="R983" s="23" t="n"/>
      <c r="S983" s="23" t="n"/>
      <c r="T983" s="23" t="n"/>
      <c r="U983" s="23" t="n"/>
      <c r="V983" s="23" t="n"/>
      <c r="W983" s="23" t="n"/>
      <c r="X983" s="23" t="n"/>
      <c r="Y983" s="25" t="n"/>
      <c r="Z983" s="25" t="n"/>
      <c r="AA983" s="23" t="n"/>
      <c r="AB983" s="25" t="n"/>
      <c r="AC983" s="23" t="n"/>
      <c r="AD983" s="25" t="n"/>
      <c r="AE983" s="23" t="n"/>
      <c r="AF983" s="25" t="n"/>
      <c r="AG983" s="25" t="n"/>
      <c r="AH983" s="23" t="n"/>
      <c r="AI983" s="23" t="n"/>
      <c r="AJ983" s="26">
        <f>IF(I983="","",I983&amp;"|"&amp;R983)</f>
        <v/>
      </c>
      <c r="AK983" s="26">
        <f>IF(I983="","",IF(ISNA(MATCH(O983,Kampanyalar!$A$2:$A$150,0)),"Hayır - Kampanyalar'da Yok","Evet"))</f>
        <v/>
      </c>
      <c r="AL983" s="27">
        <f>IF(I983="","",IFERROR(INDEX(Kampanyalar!$E$2:$E$150,MATCH(O983,Kampanyalar!$A$2:$A$150,0)),""))</f>
        <v/>
      </c>
      <c r="AM983" s="27">
        <f>IF(I983="","",IFERROR(INDEX(Kampanyalar!$F$2:$F$150,MATCH(O983,Kampanyalar!$A$2:$A$150,0)),""))</f>
        <v/>
      </c>
      <c r="AN983" s="27">
        <f>IF(I983="","",IFERROR(INDEX(Kampanyalar!$G$2:$G$150,MATCH(O983,Kampanyalar!$A$2:$A$150,0)),""))</f>
        <v/>
      </c>
      <c r="AO983" s="26">
        <f>IF(OR(I983="",AL983="",AM983=""),"",IF(AND(H983&gt;=AL983,H983&lt;=AM983),"Evet","HAYIR - Tarih Dışı"))</f>
        <v/>
      </c>
      <c r="AP983" s="28">
        <f>IF(I983="","",IFERROR(INDEX(Kampanyalar!$H$2:$H$150,MATCH(O983,Kampanyalar!$A$2:$A$150,0)),""))</f>
        <v/>
      </c>
      <c r="AQ983" s="28">
        <f>IF(I983="","",IF(ISNUMBER(AP983),AP983,AD983))</f>
        <v/>
      </c>
      <c r="AR983" s="26">
        <f>IF(I983="","",IF(Parametreler!$C$7="Evet","Kural A - Hemen Ödeme (Stok Mutabakatlı)","Kural B - Nakliye/Montaj Sonrası Ödeme"))</f>
        <v/>
      </c>
    </row>
    <row r="984">
      <c r="A984" s="23" t="n"/>
      <c r="B984" s="23" t="n"/>
      <c r="C984" s="23" t="n"/>
      <c r="D984" s="23" t="n"/>
      <c r="E984" s="23" t="n"/>
      <c r="F984" s="23" t="n"/>
      <c r="G984" s="23" t="n"/>
      <c r="H984" s="24" t="n"/>
      <c r="I984" s="23" t="n"/>
      <c r="J984" s="23" t="n"/>
      <c r="K984" s="23" t="n"/>
      <c r="L984" s="23" t="n"/>
      <c r="M984" s="23" t="n"/>
      <c r="N984" s="23" t="n"/>
      <c r="O984" s="23" t="n"/>
      <c r="P984" s="23" t="n"/>
      <c r="Q984" s="23" t="n"/>
      <c r="R984" s="23" t="n"/>
      <c r="S984" s="23" t="n"/>
      <c r="T984" s="23" t="n"/>
      <c r="U984" s="23" t="n"/>
      <c r="V984" s="23" t="n"/>
      <c r="W984" s="23" t="n"/>
      <c r="X984" s="23" t="n"/>
      <c r="Y984" s="25" t="n"/>
      <c r="Z984" s="25" t="n"/>
      <c r="AA984" s="23" t="n"/>
      <c r="AB984" s="25" t="n"/>
      <c r="AC984" s="23" t="n"/>
      <c r="AD984" s="25" t="n"/>
      <c r="AE984" s="23" t="n"/>
      <c r="AF984" s="25" t="n"/>
      <c r="AG984" s="25" t="n"/>
      <c r="AH984" s="23" t="n"/>
      <c r="AI984" s="23" t="n"/>
      <c r="AJ984" s="26">
        <f>IF(I984="","",I984&amp;"|"&amp;R984)</f>
        <v/>
      </c>
      <c r="AK984" s="26">
        <f>IF(I984="","",IF(ISNA(MATCH(O984,Kampanyalar!$A$2:$A$150,0)),"Hayır - Kampanyalar'da Yok","Evet"))</f>
        <v/>
      </c>
      <c r="AL984" s="27">
        <f>IF(I984="","",IFERROR(INDEX(Kampanyalar!$E$2:$E$150,MATCH(O984,Kampanyalar!$A$2:$A$150,0)),""))</f>
        <v/>
      </c>
      <c r="AM984" s="27">
        <f>IF(I984="","",IFERROR(INDEX(Kampanyalar!$F$2:$F$150,MATCH(O984,Kampanyalar!$A$2:$A$150,0)),""))</f>
        <v/>
      </c>
      <c r="AN984" s="27">
        <f>IF(I984="","",IFERROR(INDEX(Kampanyalar!$G$2:$G$150,MATCH(O984,Kampanyalar!$A$2:$A$150,0)),""))</f>
        <v/>
      </c>
      <c r="AO984" s="26">
        <f>IF(OR(I984="",AL984="",AM984=""),"",IF(AND(H984&gt;=AL984,H984&lt;=AM984),"Evet","HAYIR - Tarih Dışı"))</f>
        <v/>
      </c>
      <c r="AP984" s="28">
        <f>IF(I984="","",IFERROR(INDEX(Kampanyalar!$H$2:$H$150,MATCH(O984,Kampanyalar!$A$2:$A$150,0)),""))</f>
        <v/>
      </c>
      <c r="AQ984" s="28">
        <f>IF(I984="","",IF(ISNUMBER(AP984),AP984,AD984))</f>
        <v/>
      </c>
      <c r="AR984" s="26">
        <f>IF(I984="","",IF(Parametreler!$C$7="Evet","Kural A - Hemen Ödeme (Stok Mutabakatlı)","Kural B - Nakliye/Montaj Sonrası Ödeme"))</f>
        <v/>
      </c>
    </row>
    <row r="985">
      <c r="A985" s="23" t="n"/>
      <c r="B985" s="23" t="n"/>
      <c r="C985" s="23" t="n"/>
      <c r="D985" s="23" t="n"/>
      <c r="E985" s="23" t="n"/>
      <c r="F985" s="23" t="n"/>
      <c r="G985" s="23" t="n"/>
      <c r="H985" s="24" t="n"/>
      <c r="I985" s="23" t="n"/>
      <c r="J985" s="23" t="n"/>
      <c r="K985" s="23" t="n"/>
      <c r="L985" s="23" t="n"/>
      <c r="M985" s="23" t="n"/>
      <c r="N985" s="23" t="n"/>
      <c r="O985" s="23" t="n"/>
      <c r="P985" s="23" t="n"/>
      <c r="Q985" s="23" t="n"/>
      <c r="R985" s="23" t="n"/>
      <c r="S985" s="23" t="n"/>
      <c r="T985" s="23" t="n"/>
      <c r="U985" s="23" t="n"/>
      <c r="V985" s="23" t="n"/>
      <c r="W985" s="23" t="n"/>
      <c r="X985" s="23" t="n"/>
      <c r="Y985" s="25" t="n"/>
      <c r="Z985" s="25" t="n"/>
      <c r="AA985" s="23" t="n"/>
      <c r="AB985" s="25" t="n"/>
      <c r="AC985" s="23" t="n"/>
      <c r="AD985" s="25" t="n"/>
      <c r="AE985" s="23" t="n"/>
      <c r="AF985" s="25" t="n"/>
      <c r="AG985" s="25" t="n"/>
      <c r="AH985" s="23" t="n"/>
      <c r="AI985" s="23" t="n"/>
      <c r="AJ985" s="26">
        <f>IF(I985="","",I985&amp;"|"&amp;R985)</f>
        <v/>
      </c>
      <c r="AK985" s="26">
        <f>IF(I985="","",IF(ISNA(MATCH(O985,Kampanyalar!$A$2:$A$150,0)),"Hayır - Kampanyalar'da Yok","Evet"))</f>
        <v/>
      </c>
      <c r="AL985" s="27">
        <f>IF(I985="","",IFERROR(INDEX(Kampanyalar!$E$2:$E$150,MATCH(O985,Kampanyalar!$A$2:$A$150,0)),""))</f>
        <v/>
      </c>
      <c r="AM985" s="27">
        <f>IF(I985="","",IFERROR(INDEX(Kampanyalar!$F$2:$F$150,MATCH(O985,Kampanyalar!$A$2:$A$150,0)),""))</f>
        <v/>
      </c>
      <c r="AN985" s="27">
        <f>IF(I985="","",IFERROR(INDEX(Kampanyalar!$G$2:$G$150,MATCH(O985,Kampanyalar!$A$2:$A$150,0)),""))</f>
        <v/>
      </c>
      <c r="AO985" s="26">
        <f>IF(OR(I985="",AL985="",AM985=""),"",IF(AND(H985&gt;=AL985,H985&lt;=AM985),"Evet","HAYIR - Tarih Dışı"))</f>
        <v/>
      </c>
      <c r="AP985" s="28">
        <f>IF(I985="","",IFERROR(INDEX(Kampanyalar!$H$2:$H$150,MATCH(O985,Kampanyalar!$A$2:$A$150,0)),""))</f>
        <v/>
      </c>
      <c r="AQ985" s="28">
        <f>IF(I985="","",IF(ISNUMBER(AP985),AP985,AD985))</f>
        <v/>
      </c>
      <c r="AR985" s="26">
        <f>IF(I985="","",IF(Parametreler!$C$7="Evet","Kural A - Hemen Ödeme (Stok Mutabakatlı)","Kural B - Nakliye/Montaj Sonrası Ödeme"))</f>
        <v/>
      </c>
    </row>
    <row r="986">
      <c r="A986" s="23" t="n"/>
      <c r="B986" s="23" t="n"/>
      <c r="C986" s="23" t="n"/>
      <c r="D986" s="23" t="n"/>
      <c r="E986" s="23" t="n"/>
      <c r="F986" s="23" t="n"/>
      <c r="G986" s="23" t="n"/>
      <c r="H986" s="24" t="n"/>
      <c r="I986" s="23" t="n"/>
      <c r="J986" s="23" t="n"/>
      <c r="K986" s="23" t="n"/>
      <c r="L986" s="23" t="n"/>
      <c r="M986" s="23" t="n"/>
      <c r="N986" s="23" t="n"/>
      <c r="O986" s="23" t="n"/>
      <c r="P986" s="23" t="n"/>
      <c r="Q986" s="23" t="n"/>
      <c r="R986" s="23" t="n"/>
      <c r="S986" s="23" t="n"/>
      <c r="T986" s="23" t="n"/>
      <c r="U986" s="23" t="n"/>
      <c r="V986" s="23" t="n"/>
      <c r="W986" s="23" t="n"/>
      <c r="X986" s="23" t="n"/>
      <c r="Y986" s="25" t="n"/>
      <c r="Z986" s="25" t="n"/>
      <c r="AA986" s="23" t="n"/>
      <c r="AB986" s="25" t="n"/>
      <c r="AC986" s="23" t="n"/>
      <c r="AD986" s="25" t="n"/>
      <c r="AE986" s="23" t="n"/>
      <c r="AF986" s="25" t="n"/>
      <c r="AG986" s="25" t="n"/>
      <c r="AH986" s="23" t="n"/>
      <c r="AI986" s="23" t="n"/>
      <c r="AJ986" s="26">
        <f>IF(I986="","",I986&amp;"|"&amp;R986)</f>
        <v/>
      </c>
      <c r="AK986" s="26">
        <f>IF(I986="","",IF(ISNA(MATCH(O986,Kampanyalar!$A$2:$A$150,0)),"Hayır - Kampanyalar'da Yok","Evet"))</f>
        <v/>
      </c>
      <c r="AL986" s="27">
        <f>IF(I986="","",IFERROR(INDEX(Kampanyalar!$E$2:$E$150,MATCH(O986,Kampanyalar!$A$2:$A$150,0)),""))</f>
        <v/>
      </c>
      <c r="AM986" s="27">
        <f>IF(I986="","",IFERROR(INDEX(Kampanyalar!$F$2:$F$150,MATCH(O986,Kampanyalar!$A$2:$A$150,0)),""))</f>
        <v/>
      </c>
      <c r="AN986" s="27">
        <f>IF(I986="","",IFERROR(INDEX(Kampanyalar!$G$2:$G$150,MATCH(O986,Kampanyalar!$A$2:$A$150,0)),""))</f>
        <v/>
      </c>
      <c r="AO986" s="26">
        <f>IF(OR(I986="",AL986="",AM986=""),"",IF(AND(H986&gt;=AL986,H986&lt;=AM986),"Evet","HAYIR - Tarih Dışı"))</f>
        <v/>
      </c>
      <c r="AP986" s="28">
        <f>IF(I986="","",IFERROR(INDEX(Kampanyalar!$H$2:$H$150,MATCH(O986,Kampanyalar!$A$2:$A$150,0)),""))</f>
        <v/>
      </c>
      <c r="AQ986" s="28">
        <f>IF(I986="","",IF(ISNUMBER(AP986),AP986,AD986))</f>
        <v/>
      </c>
      <c r="AR986" s="26">
        <f>IF(I986="","",IF(Parametreler!$C$7="Evet","Kural A - Hemen Ödeme (Stok Mutabakatlı)","Kural B - Nakliye/Montaj Sonrası Ödeme"))</f>
        <v/>
      </c>
    </row>
    <row r="987">
      <c r="A987" s="23" t="n"/>
      <c r="B987" s="23" t="n"/>
      <c r="C987" s="23" t="n"/>
      <c r="D987" s="23" t="n"/>
      <c r="E987" s="23" t="n"/>
      <c r="F987" s="23" t="n"/>
      <c r="G987" s="23" t="n"/>
      <c r="H987" s="24" t="n"/>
      <c r="I987" s="23" t="n"/>
      <c r="J987" s="23" t="n"/>
      <c r="K987" s="23" t="n"/>
      <c r="L987" s="23" t="n"/>
      <c r="M987" s="23" t="n"/>
      <c r="N987" s="23" t="n"/>
      <c r="O987" s="23" t="n"/>
      <c r="P987" s="23" t="n"/>
      <c r="Q987" s="23" t="n"/>
      <c r="R987" s="23" t="n"/>
      <c r="S987" s="23" t="n"/>
      <c r="T987" s="23" t="n"/>
      <c r="U987" s="23" t="n"/>
      <c r="V987" s="23" t="n"/>
      <c r="W987" s="23" t="n"/>
      <c r="X987" s="23" t="n"/>
      <c r="Y987" s="25" t="n"/>
      <c r="Z987" s="25" t="n"/>
      <c r="AA987" s="23" t="n"/>
      <c r="AB987" s="25" t="n"/>
      <c r="AC987" s="23" t="n"/>
      <c r="AD987" s="25" t="n"/>
      <c r="AE987" s="23" t="n"/>
      <c r="AF987" s="25" t="n"/>
      <c r="AG987" s="25" t="n"/>
      <c r="AH987" s="23" t="n"/>
      <c r="AI987" s="23" t="n"/>
      <c r="AJ987" s="26">
        <f>IF(I987="","",I987&amp;"|"&amp;R987)</f>
        <v/>
      </c>
      <c r="AK987" s="26">
        <f>IF(I987="","",IF(ISNA(MATCH(O987,Kampanyalar!$A$2:$A$150,0)),"Hayır - Kampanyalar'da Yok","Evet"))</f>
        <v/>
      </c>
      <c r="AL987" s="27">
        <f>IF(I987="","",IFERROR(INDEX(Kampanyalar!$E$2:$E$150,MATCH(O987,Kampanyalar!$A$2:$A$150,0)),""))</f>
        <v/>
      </c>
      <c r="AM987" s="27">
        <f>IF(I987="","",IFERROR(INDEX(Kampanyalar!$F$2:$F$150,MATCH(O987,Kampanyalar!$A$2:$A$150,0)),""))</f>
        <v/>
      </c>
      <c r="AN987" s="27">
        <f>IF(I987="","",IFERROR(INDEX(Kampanyalar!$G$2:$G$150,MATCH(O987,Kampanyalar!$A$2:$A$150,0)),""))</f>
        <v/>
      </c>
      <c r="AO987" s="26">
        <f>IF(OR(I987="",AL987="",AM987=""),"",IF(AND(H987&gt;=AL987,H987&lt;=AM987),"Evet","HAYIR - Tarih Dışı"))</f>
        <v/>
      </c>
      <c r="AP987" s="28">
        <f>IF(I987="","",IFERROR(INDEX(Kampanyalar!$H$2:$H$150,MATCH(O987,Kampanyalar!$A$2:$A$150,0)),""))</f>
        <v/>
      </c>
      <c r="AQ987" s="28">
        <f>IF(I987="","",IF(ISNUMBER(AP987),AP987,AD987))</f>
        <v/>
      </c>
      <c r="AR987" s="26">
        <f>IF(I987="","",IF(Parametreler!$C$7="Evet","Kural A - Hemen Ödeme (Stok Mutabakatlı)","Kural B - Nakliye/Montaj Sonrası Ödeme"))</f>
        <v/>
      </c>
    </row>
    <row r="988">
      <c r="A988" s="23" t="n"/>
      <c r="B988" s="23" t="n"/>
      <c r="C988" s="23" t="n"/>
      <c r="D988" s="23" t="n"/>
      <c r="E988" s="23" t="n"/>
      <c r="F988" s="23" t="n"/>
      <c r="G988" s="23" t="n"/>
      <c r="H988" s="24" t="n"/>
      <c r="I988" s="23" t="n"/>
      <c r="J988" s="23" t="n"/>
      <c r="K988" s="23" t="n"/>
      <c r="L988" s="23" t="n"/>
      <c r="M988" s="23" t="n"/>
      <c r="N988" s="23" t="n"/>
      <c r="O988" s="23" t="n"/>
      <c r="P988" s="23" t="n"/>
      <c r="Q988" s="23" t="n"/>
      <c r="R988" s="23" t="n"/>
      <c r="S988" s="23" t="n"/>
      <c r="T988" s="23" t="n"/>
      <c r="U988" s="23" t="n"/>
      <c r="V988" s="23" t="n"/>
      <c r="W988" s="23" t="n"/>
      <c r="X988" s="23" t="n"/>
      <c r="Y988" s="25" t="n"/>
      <c r="Z988" s="25" t="n"/>
      <c r="AA988" s="23" t="n"/>
      <c r="AB988" s="25" t="n"/>
      <c r="AC988" s="23" t="n"/>
      <c r="AD988" s="25" t="n"/>
      <c r="AE988" s="23" t="n"/>
      <c r="AF988" s="25" t="n"/>
      <c r="AG988" s="25" t="n"/>
      <c r="AH988" s="23" t="n"/>
      <c r="AI988" s="23" t="n"/>
      <c r="AJ988" s="26">
        <f>IF(I988="","",I988&amp;"|"&amp;R988)</f>
        <v/>
      </c>
      <c r="AK988" s="26">
        <f>IF(I988="","",IF(ISNA(MATCH(O988,Kampanyalar!$A$2:$A$150,0)),"Hayır - Kampanyalar'da Yok","Evet"))</f>
        <v/>
      </c>
      <c r="AL988" s="27">
        <f>IF(I988="","",IFERROR(INDEX(Kampanyalar!$E$2:$E$150,MATCH(O988,Kampanyalar!$A$2:$A$150,0)),""))</f>
        <v/>
      </c>
      <c r="AM988" s="27">
        <f>IF(I988="","",IFERROR(INDEX(Kampanyalar!$F$2:$F$150,MATCH(O988,Kampanyalar!$A$2:$A$150,0)),""))</f>
        <v/>
      </c>
      <c r="AN988" s="27">
        <f>IF(I988="","",IFERROR(INDEX(Kampanyalar!$G$2:$G$150,MATCH(O988,Kampanyalar!$A$2:$A$150,0)),""))</f>
        <v/>
      </c>
      <c r="AO988" s="26">
        <f>IF(OR(I988="",AL988="",AM988=""),"",IF(AND(H988&gt;=AL988,H988&lt;=AM988),"Evet","HAYIR - Tarih Dışı"))</f>
        <v/>
      </c>
      <c r="AP988" s="28">
        <f>IF(I988="","",IFERROR(INDEX(Kampanyalar!$H$2:$H$150,MATCH(O988,Kampanyalar!$A$2:$A$150,0)),""))</f>
        <v/>
      </c>
      <c r="AQ988" s="28">
        <f>IF(I988="","",IF(ISNUMBER(AP988),AP988,AD988))</f>
        <v/>
      </c>
      <c r="AR988" s="26">
        <f>IF(I988="","",IF(Parametreler!$C$7="Evet","Kural A - Hemen Ödeme (Stok Mutabakatlı)","Kural B - Nakliye/Montaj Sonrası Ödeme"))</f>
        <v/>
      </c>
    </row>
    <row r="989">
      <c r="A989" s="23" t="n"/>
      <c r="B989" s="23" t="n"/>
      <c r="C989" s="23" t="n"/>
      <c r="D989" s="23" t="n"/>
      <c r="E989" s="23" t="n"/>
      <c r="F989" s="23" t="n"/>
      <c r="G989" s="23" t="n"/>
      <c r="H989" s="24" t="n"/>
      <c r="I989" s="23" t="n"/>
      <c r="J989" s="23" t="n"/>
      <c r="K989" s="23" t="n"/>
      <c r="L989" s="23" t="n"/>
      <c r="M989" s="23" t="n"/>
      <c r="N989" s="23" t="n"/>
      <c r="O989" s="23" t="n"/>
      <c r="P989" s="23" t="n"/>
      <c r="Q989" s="23" t="n"/>
      <c r="R989" s="23" t="n"/>
      <c r="S989" s="23" t="n"/>
      <c r="T989" s="23" t="n"/>
      <c r="U989" s="23" t="n"/>
      <c r="V989" s="23" t="n"/>
      <c r="W989" s="23" t="n"/>
      <c r="X989" s="23" t="n"/>
      <c r="Y989" s="25" t="n"/>
      <c r="Z989" s="25" t="n"/>
      <c r="AA989" s="23" t="n"/>
      <c r="AB989" s="25" t="n"/>
      <c r="AC989" s="23" t="n"/>
      <c r="AD989" s="25" t="n"/>
      <c r="AE989" s="23" t="n"/>
      <c r="AF989" s="25" t="n"/>
      <c r="AG989" s="25" t="n"/>
      <c r="AH989" s="23" t="n"/>
      <c r="AI989" s="23" t="n"/>
      <c r="AJ989" s="26">
        <f>IF(I989="","",I989&amp;"|"&amp;R989)</f>
        <v/>
      </c>
      <c r="AK989" s="26">
        <f>IF(I989="","",IF(ISNA(MATCH(O989,Kampanyalar!$A$2:$A$150,0)),"Hayır - Kampanyalar'da Yok","Evet"))</f>
        <v/>
      </c>
      <c r="AL989" s="27">
        <f>IF(I989="","",IFERROR(INDEX(Kampanyalar!$E$2:$E$150,MATCH(O989,Kampanyalar!$A$2:$A$150,0)),""))</f>
        <v/>
      </c>
      <c r="AM989" s="27">
        <f>IF(I989="","",IFERROR(INDEX(Kampanyalar!$F$2:$F$150,MATCH(O989,Kampanyalar!$A$2:$A$150,0)),""))</f>
        <v/>
      </c>
      <c r="AN989" s="27">
        <f>IF(I989="","",IFERROR(INDEX(Kampanyalar!$G$2:$G$150,MATCH(O989,Kampanyalar!$A$2:$A$150,0)),""))</f>
        <v/>
      </c>
      <c r="AO989" s="26">
        <f>IF(OR(I989="",AL989="",AM989=""),"",IF(AND(H989&gt;=AL989,H989&lt;=AM989),"Evet","HAYIR - Tarih Dışı"))</f>
        <v/>
      </c>
      <c r="AP989" s="28">
        <f>IF(I989="","",IFERROR(INDEX(Kampanyalar!$H$2:$H$150,MATCH(O989,Kampanyalar!$A$2:$A$150,0)),""))</f>
        <v/>
      </c>
      <c r="AQ989" s="28">
        <f>IF(I989="","",IF(ISNUMBER(AP989),AP989,AD989))</f>
        <v/>
      </c>
      <c r="AR989" s="26">
        <f>IF(I989="","",IF(Parametreler!$C$7="Evet","Kural A - Hemen Ödeme (Stok Mutabakatlı)","Kural B - Nakliye/Montaj Sonrası Ödeme"))</f>
        <v/>
      </c>
    </row>
    <row r="990">
      <c r="A990" s="23" t="n"/>
      <c r="B990" s="23" t="n"/>
      <c r="C990" s="23" t="n"/>
      <c r="D990" s="23" t="n"/>
      <c r="E990" s="23" t="n"/>
      <c r="F990" s="23" t="n"/>
      <c r="G990" s="23" t="n"/>
      <c r="H990" s="24" t="n"/>
      <c r="I990" s="23" t="n"/>
      <c r="J990" s="23" t="n"/>
      <c r="K990" s="23" t="n"/>
      <c r="L990" s="23" t="n"/>
      <c r="M990" s="23" t="n"/>
      <c r="N990" s="23" t="n"/>
      <c r="O990" s="23" t="n"/>
      <c r="P990" s="23" t="n"/>
      <c r="Q990" s="23" t="n"/>
      <c r="R990" s="23" t="n"/>
      <c r="S990" s="23" t="n"/>
      <c r="T990" s="23" t="n"/>
      <c r="U990" s="23" t="n"/>
      <c r="V990" s="23" t="n"/>
      <c r="W990" s="23" t="n"/>
      <c r="X990" s="23" t="n"/>
      <c r="Y990" s="25" t="n"/>
      <c r="Z990" s="25" t="n"/>
      <c r="AA990" s="23" t="n"/>
      <c r="AB990" s="25" t="n"/>
      <c r="AC990" s="23" t="n"/>
      <c r="AD990" s="25" t="n"/>
      <c r="AE990" s="23" t="n"/>
      <c r="AF990" s="25" t="n"/>
      <c r="AG990" s="25" t="n"/>
      <c r="AH990" s="23" t="n"/>
      <c r="AI990" s="23" t="n"/>
      <c r="AJ990" s="26">
        <f>IF(I990="","",I990&amp;"|"&amp;R990)</f>
        <v/>
      </c>
      <c r="AK990" s="26">
        <f>IF(I990="","",IF(ISNA(MATCH(O990,Kampanyalar!$A$2:$A$150,0)),"Hayır - Kampanyalar'da Yok","Evet"))</f>
        <v/>
      </c>
      <c r="AL990" s="27">
        <f>IF(I990="","",IFERROR(INDEX(Kampanyalar!$E$2:$E$150,MATCH(O990,Kampanyalar!$A$2:$A$150,0)),""))</f>
        <v/>
      </c>
      <c r="AM990" s="27">
        <f>IF(I990="","",IFERROR(INDEX(Kampanyalar!$F$2:$F$150,MATCH(O990,Kampanyalar!$A$2:$A$150,0)),""))</f>
        <v/>
      </c>
      <c r="AN990" s="27">
        <f>IF(I990="","",IFERROR(INDEX(Kampanyalar!$G$2:$G$150,MATCH(O990,Kampanyalar!$A$2:$A$150,0)),""))</f>
        <v/>
      </c>
      <c r="AO990" s="26">
        <f>IF(OR(I990="",AL990="",AM990=""),"",IF(AND(H990&gt;=AL990,H990&lt;=AM990),"Evet","HAYIR - Tarih Dışı"))</f>
        <v/>
      </c>
      <c r="AP990" s="28">
        <f>IF(I990="","",IFERROR(INDEX(Kampanyalar!$H$2:$H$150,MATCH(O990,Kampanyalar!$A$2:$A$150,0)),""))</f>
        <v/>
      </c>
      <c r="AQ990" s="28">
        <f>IF(I990="","",IF(ISNUMBER(AP990),AP990,AD990))</f>
        <v/>
      </c>
      <c r="AR990" s="26">
        <f>IF(I990="","",IF(Parametreler!$C$7="Evet","Kural A - Hemen Ödeme (Stok Mutabakatlı)","Kural B - Nakliye/Montaj Sonrası Ödeme"))</f>
        <v/>
      </c>
    </row>
    <row r="991">
      <c r="A991" s="23" t="n"/>
      <c r="B991" s="23" t="n"/>
      <c r="C991" s="23" t="n"/>
      <c r="D991" s="23" t="n"/>
      <c r="E991" s="23" t="n"/>
      <c r="F991" s="23" t="n"/>
      <c r="G991" s="23" t="n"/>
      <c r="H991" s="24" t="n"/>
      <c r="I991" s="23" t="n"/>
      <c r="J991" s="23" t="n"/>
      <c r="K991" s="23" t="n"/>
      <c r="L991" s="23" t="n"/>
      <c r="M991" s="23" t="n"/>
      <c r="N991" s="23" t="n"/>
      <c r="O991" s="23" t="n"/>
      <c r="P991" s="23" t="n"/>
      <c r="Q991" s="23" t="n"/>
      <c r="R991" s="23" t="n"/>
      <c r="S991" s="23" t="n"/>
      <c r="T991" s="23" t="n"/>
      <c r="U991" s="23" t="n"/>
      <c r="V991" s="23" t="n"/>
      <c r="W991" s="23" t="n"/>
      <c r="X991" s="23" t="n"/>
      <c r="Y991" s="25" t="n"/>
      <c r="Z991" s="25" t="n"/>
      <c r="AA991" s="23" t="n"/>
      <c r="AB991" s="25" t="n"/>
      <c r="AC991" s="23" t="n"/>
      <c r="AD991" s="25" t="n"/>
      <c r="AE991" s="23" t="n"/>
      <c r="AF991" s="25" t="n"/>
      <c r="AG991" s="25" t="n"/>
      <c r="AH991" s="23" t="n"/>
      <c r="AI991" s="23" t="n"/>
      <c r="AJ991" s="26">
        <f>IF(I991="","",I991&amp;"|"&amp;R991)</f>
        <v/>
      </c>
      <c r="AK991" s="26">
        <f>IF(I991="","",IF(ISNA(MATCH(O991,Kampanyalar!$A$2:$A$150,0)),"Hayır - Kampanyalar'da Yok","Evet"))</f>
        <v/>
      </c>
      <c r="AL991" s="27">
        <f>IF(I991="","",IFERROR(INDEX(Kampanyalar!$E$2:$E$150,MATCH(O991,Kampanyalar!$A$2:$A$150,0)),""))</f>
        <v/>
      </c>
      <c r="AM991" s="27">
        <f>IF(I991="","",IFERROR(INDEX(Kampanyalar!$F$2:$F$150,MATCH(O991,Kampanyalar!$A$2:$A$150,0)),""))</f>
        <v/>
      </c>
      <c r="AN991" s="27">
        <f>IF(I991="","",IFERROR(INDEX(Kampanyalar!$G$2:$G$150,MATCH(O991,Kampanyalar!$A$2:$A$150,0)),""))</f>
        <v/>
      </c>
      <c r="AO991" s="26">
        <f>IF(OR(I991="",AL991="",AM991=""),"",IF(AND(H991&gt;=AL991,H991&lt;=AM991),"Evet","HAYIR - Tarih Dışı"))</f>
        <v/>
      </c>
      <c r="AP991" s="28">
        <f>IF(I991="","",IFERROR(INDEX(Kampanyalar!$H$2:$H$150,MATCH(O991,Kampanyalar!$A$2:$A$150,0)),""))</f>
        <v/>
      </c>
      <c r="AQ991" s="28">
        <f>IF(I991="","",IF(ISNUMBER(AP991),AP991,AD991))</f>
        <v/>
      </c>
      <c r="AR991" s="26">
        <f>IF(I991="","",IF(Parametreler!$C$7="Evet","Kural A - Hemen Ödeme (Stok Mutabakatlı)","Kural B - Nakliye/Montaj Sonrası Ödeme"))</f>
        <v/>
      </c>
    </row>
    <row r="992">
      <c r="A992" s="23" t="n"/>
      <c r="B992" s="23" t="n"/>
      <c r="C992" s="23" t="n"/>
      <c r="D992" s="23" t="n"/>
      <c r="E992" s="23" t="n"/>
      <c r="F992" s="23" t="n"/>
      <c r="G992" s="23" t="n"/>
      <c r="H992" s="24" t="n"/>
      <c r="I992" s="23" t="n"/>
      <c r="J992" s="23" t="n"/>
      <c r="K992" s="23" t="n"/>
      <c r="L992" s="23" t="n"/>
      <c r="M992" s="23" t="n"/>
      <c r="N992" s="23" t="n"/>
      <c r="O992" s="23" t="n"/>
      <c r="P992" s="23" t="n"/>
      <c r="Q992" s="23" t="n"/>
      <c r="R992" s="23" t="n"/>
      <c r="S992" s="23" t="n"/>
      <c r="T992" s="23" t="n"/>
      <c r="U992" s="23" t="n"/>
      <c r="V992" s="23" t="n"/>
      <c r="W992" s="23" t="n"/>
      <c r="X992" s="23" t="n"/>
      <c r="Y992" s="25" t="n"/>
      <c r="Z992" s="25" t="n"/>
      <c r="AA992" s="23" t="n"/>
      <c r="AB992" s="25" t="n"/>
      <c r="AC992" s="23" t="n"/>
      <c r="AD992" s="25" t="n"/>
      <c r="AE992" s="23" t="n"/>
      <c r="AF992" s="25" t="n"/>
      <c r="AG992" s="25" t="n"/>
      <c r="AH992" s="23" t="n"/>
      <c r="AI992" s="23" t="n"/>
      <c r="AJ992" s="26">
        <f>IF(I992="","",I992&amp;"|"&amp;R992)</f>
        <v/>
      </c>
      <c r="AK992" s="26">
        <f>IF(I992="","",IF(ISNA(MATCH(O992,Kampanyalar!$A$2:$A$150,0)),"Hayır - Kampanyalar'da Yok","Evet"))</f>
        <v/>
      </c>
      <c r="AL992" s="27">
        <f>IF(I992="","",IFERROR(INDEX(Kampanyalar!$E$2:$E$150,MATCH(O992,Kampanyalar!$A$2:$A$150,0)),""))</f>
        <v/>
      </c>
      <c r="AM992" s="27">
        <f>IF(I992="","",IFERROR(INDEX(Kampanyalar!$F$2:$F$150,MATCH(O992,Kampanyalar!$A$2:$A$150,0)),""))</f>
        <v/>
      </c>
      <c r="AN992" s="27">
        <f>IF(I992="","",IFERROR(INDEX(Kampanyalar!$G$2:$G$150,MATCH(O992,Kampanyalar!$A$2:$A$150,0)),""))</f>
        <v/>
      </c>
      <c r="AO992" s="26">
        <f>IF(OR(I992="",AL992="",AM992=""),"",IF(AND(H992&gt;=AL992,H992&lt;=AM992),"Evet","HAYIR - Tarih Dışı"))</f>
        <v/>
      </c>
      <c r="AP992" s="28">
        <f>IF(I992="","",IFERROR(INDEX(Kampanyalar!$H$2:$H$150,MATCH(O992,Kampanyalar!$A$2:$A$150,0)),""))</f>
        <v/>
      </c>
      <c r="AQ992" s="28">
        <f>IF(I992="","",IF(ISNUMBER(AP992),AP992,AD992))</f>
        <v/>
      </c>
      <c r="AR992" s="26">
        <f>IF(I992="","",IF(Parametreler!$C$7="Evet","Kural A - Hemen Ödeme (Stok Mutabakatlı)","Kural B - Nakliye/Montaj Sonrası Ödeme"))</f>
        <v/>
      </c>
    </row>
    <row r="993">
      <c r="A993" s="23" t="n"/>
      <c r="B993" s="23" t="n"/>
      <c r="C993" s="23" t="n"/>
      <c r="D993" s="23" t="n"/>
      <c r="E993" s="23" t="n"/>
      <c r="F993" s="23" t="n"/>
      <c r="G993" s="23" t="n"/>
      <c r="H993" s="24" t="n"/>
      <c r="I993" s="23" t="n"/>
      <c r="J993" s="23" t="n"/>
      <c r="K993" s="23" t="n"/>
      <c r="L993" s="23" t="n"/>
      <c r="M993" s="23" t="n"/>
      <c r="N993" s="23" t="n"/>
      <c r="O993" s="23" t="n"/>
      <c r="P993" s="23" t="n"/>
      <c r="Q993" s="23" t="n"/>
      <c r="R993" s="23" t="n"/>
      <c r="S993" s="23" t="n"/>
      <c r="T993" s="23" t="n"/>
      <c r="U993" s="23" t="n"/>
      <c r="V993" s="23" t="n"/>
      <c r="W993" s="23" t="n"/>
      <c r="X993" s="23" t="n"/>
      <c r="Y993" s="25" t="n"/>
      <c r="Z993" s="25" t="n"/>
      <c r="AA993" s="23" t="n"/>
      <c r="AB993" s="25" t="n"/>
      <c r="AC993" s="23" t="n"/>
      <c r="AD993" s="25" t="n"/>
      <c r="AE993" s="23" t="n"/>
      <c r="AF993" s="25" t="n"/>
      <c r="AG993" s="25" t="n"/>
      <c r="AH993" s="23" t="n"/>
      <c r="AI993" s="23" t="n"/>
      <c r="AJ993" s="26">
        <f>IF(I993="","",I993&amp;"|"&amp;R993)</f>
        <v/>
      </c>
      <c r="AK993" s="26">
        <f>IF(I993="","",IF(ISNA(MATCH(O993,Kampanyalar!$A$2:$A$150,0)),"Hayır - Kampanyalar'da Yok","Evet"))</f>
        <v/>
      </c>
      <c r="AL993" s="27">
        <f>IF(I993="","",IFERROR(INDEX(Kampanyalar!$E$2:$E$150,MATCH(O993,Kampanyalar!$A$2:$A$150,0)),""))</f>
        <v/>
      </c>
      <c r="AM993" s="27">
        <f>IF(I993="","",IFERROR(INDEX(Kampanyalar!$F$2:$F$150,MATCH(O993,Kampanyalar!$A$2:$A$150,0)),""))</f>
        <v/>
      </c>
      <c r="AN993" s="27">
        <f>IF(I993="","",IFERROR(INDEX(Kampanyalar!$G$2:$G$150,MATCH(O993,Kampanyalar!$A$2:$A$150,0)),""))</f>
        <v/>
      </c>
      <c r="AO993" s="26">
        <f>IF(OR(I993="",AL993="",AM993=""),"",IF(AND(H993&gt;=AL993,H993&lt;=AM993),"Evet","HAYIR - Tarih Dışı"))</f>
        <v/>
      </c>
      <c r="AP993" s="28">
        <f>IF(I993="","",IFERROR(INDEX(Kampanyalar!$H$2:$H$150,MATCH(O993,Kampanyalar!$A$2:$A$150,0)),""))</f>
        <v/>
      </c>
      <c r="AQ993" s="28">
        <f>IF(I993="","",IF(ISNUMBER(AP993),AP993,AD993))</f>
        <v/>
      </c>
      <c r="AR993" s="26">
        <f>IF(I993="","",IF(Parametreler!$C$7="Evet","Kural A - Hemen Ödeme (Stok Mutabakatlı)","Kural B - Nakliye/Montaj Sonrası Ödeme"))</f>
        <v/>
      </c>
    </row>
    <row r="994">
      <c r="A994" s="23" t="n"/>
      <c r="B994" s="23" t="n"/>
      <c r="C994" s="23" t="n"/>
      <c r="D994" s="23" t="n"/>
      <c r="E994" s="23" t="n"/>
      <c r="F994" s="23" t="n"/>
      <c r="G994" s="23" t="n"/>
      <c r="H994" s="24" t="n"/>
      <c r="I994" s="23" t="n"/>
      <c r="J994" s="23" t="n"/>
      <c r="K994" s="23" t="n"/>
      <c r="L994" s="23" t="n"/>
      <c r="M994" s="23" t="n"/>
      <c r="N994" s="23" t="n"/>
      <c r="O994" s="23" t="n"/>
      <c r="P994" s="23" t="n"/>
      <c r="Q994" s="23" t="n"/>
      <c r="R994" s="23" t="n"/>
      <c r="S994" s="23" t="n"/>
      <c r="T994" s="23" t="n"/>
      <c r="U994" s="23" t="n"/>
      <c r="V994" s="23" t="n"/>
      <c r="W994" s="23" t="n"/>
      <c r="X994" s="23" t="n"/>
      <c r="Y994" s="25" t="n"/>
      <c r="Z994" s="25" t="n"/>
      <c r="AA994" s="23" t="n"/>
      <c r="AB994" s="25" t="n"/>
      <c r="AC994" s="23" t="n"/>
      <c r="AD994" s="25" t="n"/>
      <c r="AE994" s="23" t="n"/>
      <c r="AF994" s="25" t="n"/>
      <c r="AG994" s="25" t="n"/>
      <c r="AH994" s="23" t="n"/>
      <c r="AI994" s="23" t="n"/>
      <c r="AJ994" s="26">
        <f>IF(I994="","",I994&amp;"|"&amp;R994)</f>
        <v/>
      </c>
      <c r="AK994" s="26">
        <f>IF(I994="","",IF(ISNA(MATCH(O994,Kampanyalar!$A$2:$A$150,0)),"Hayır - Kampanyalar'da Yok","Evet"))</f>
        <v/>
      </c>
      <c r="AL994" s="27">
        <f>IF(I994="","",IFERROR(INDEX(Kampanyalar!$E$2:$E$150,MATCH(O994,Kampanyalar!$A$2:$A$150,0)),""))</f>
        <v/>
      </c>
      <c r="AM994" s="27">
        <f>IF(I994="","",IFERROR(INDEX(Kampanyalar!$F$2:$F$150,MATCH(O994,Kampanyalar!$A$2:$A$150,0)),""))</f>
        <v/>
      </c>
      <c r="AN994" s="27">
        <f>IF(I994="","",IFERROR(INDEX(Kampanyalar!$G$2:$G$150,MATCH(O994,Kampanyalar!$A$2:$A$150,0)),""))</f>
        <v/>
      </c>
      <c r="AO994" s="26">
        <f>IF(OR(I994="",AL994="",AM994=""),"",IF(AND(H994&gt;=AL994,H994&lt;=AM994),"Evet","HAYIR - Tarih Dışı"))</f>
        <v/>
      </c>
      <c r="AP994" s="28">
        <f>IF(I994="","",IFERROR(INDEX(Kampanyalar!$H$2:$H$150,MATCH(O994,Kampanyalar!$A$2:$A$150,0)),""))</f>
        <v/>
      </c>
      <c r="AQ994" s="28">
        <f>IF(I994="","",IF(ISNUMBER(AP994),AP994,AD994))</f>
        <v/>
      </c>
      <c r="AR994" s="26">
        <f>IF(I994="","",IF(Parametreler!$C$7="Evet","Kural A - Hemen Ödeme (Stok Mutabakatlı)","Kural B - Nakliye/Montaj Sonrası Ödeme"))</f>
        <v/>
      </c>
    </row>
    <row r="995">
      <c r="A995" s="23" t="n"/>
      <c r="B995" s="23" t="n"/>
      <c r="C995" s="23" t="n"/>
      <c r="D995" s="23" t="n"/>
      <c r="E995" s="23" t="n"/>
      <c r="F995" s="23" t="n"/>
      <c r="G995" s="23" t="n"/>
      <c r="H995" s="24" t="n"/>
      <c r="I995" s="23" t="n"/>
      <c r="J995" s="23" t="n"/>
      <c r="K995" s="23" t="n"/>
      <c r="L995" s="23" t="n"/>
      <c r="M995" s="23" t="n"/>
      <c r="N995" s="23" t="n"/>
      <c r="O995" s="23" t="n"/>
      <c r="P995" s="23" t="n"/>
      <c r="Q995" s="23" t="n"/>
      <c r="R995" s="23" t="n"/>
      <c r="S995" s="23" t="n"/>
      <c r="T995" s="23" t="n"/>
      <c r="U995" s="23" t="n"/>
      <c r="V995" s="23" t="n"/>
      <c r="W995" s="23" t="n"/>
      <c r="X995" s="23" t="n"/>
      <c r="Y995" s="25" t="n"/>
      <c r="Z995" s="25" t="n"/>
      <c r="AA995" s="23" t="n"/>
      <c r="AB995" s="25" t="n"/>
      <c r="AC995" s="23" t="n"/>
      <c r="AD995" s="25" t="n"/>
      <c r="AE995" s="23" t="n"/>
      <c r="AF995" s="25" t="n"/>
      <c r="AG995" s="25" t="n"/>
      <c r="AH995" s="23" t="n"/>
      <c r="AI995" s="23" t="n"/>
      <c r="AJ995" s="26">
        <f>IF(I995="","",I995&amp;"|"&amp;R995)</f>
        <v/>
      </c>
      <c r="AK995" s="26">
        <f>IF(I995="","",IF(ISNA(MATCH(O995,Kampanyalar!$A$2:$A$150,0)),"Hayır - Kampanyalar'da Yok","Evet"))</f>
        <v/>
      </c>
      <c r="AL995" s="27">
        <f>IF(I995="","",IFERROR(INDEX(Kampanyalar!$E$2:$E$150,MATCH(O995,Kampanyalar!$A$2:$A$150,0)),""))</f>
        <v/>
      </c>
      <c r="AM995" s="27">
        <f>IF(I995="","",IFERROR(INDEX(Kampanyalar!$F$2:$F$150,MATCH(O995,Kampanyalar!$A$2:$A$150,0)),""))</f>
        <v/>
      </c>
      <c r="AN995" s="27">
        <f>IF(I995="","",IFERROR(INDEX(Kampanyalar!$G$2:$G$150,MATCH(O995,Kampanyalar!$A$2:$A$150,0)),""))</f>
        <v/>
      </c>
      <c r="AO995" s="26">
        <f>IF(OR(I995="",AL995="",AM995=""),"",IF(AND(H995&gt;=AL995,H995&lt;=AM995),"Evet","HAYIR - Tarih Dışı"))</f>
        <v/>
      </c>
      <c r="AP995" s="28">
        <f>IF(I995="","",IFERROR(INDEX(Kampanyalar!$H$2:$H$150,MATCH(O995,Kampanyalar!$A$2:$A$150,0)),""))</f>
        <v/>
      </c>
      <c r="AQ995" s="28">
        <f>IF(I995="","",IF(ISNUMBER(AP995),AP995,AD995))</f>
        <v/>
      </c>
      <c r="AR995" s="26">
        <f>IF(I995="","",IF(Parametreler!$C$7="Evet","Kural A - Hemen Ödeme (Stok Mutabakatlı)","Kural B - Nakliye/Montaj Sonrası Ödeme"))</f>
        <v/>
      </c>
    </row>
    <row r="996">
      <c r="A996" s="23" t="n"/>
      <c r="B996" s="23" t="n"/>
      <c r="C996" s="23" t="n"/>
      <c r="D996" s="23" t="n"/>
      <c r="E996" s="23" t="n"/>
      <c r="F996" s="23" t="n"/>
      <c r="G996" s="23" t="n"/>
      <c r="H996" s="24" t="n"/>
      <c r="I996" s="23" t="n"/>
      <c r="J996" s="23" t="n"/>
      <c r="K996" s="23" t="n"/>
      <c r="L996" s="23" t="n"/>
      <c r="M996" s="23" t="n"/>
      <c r="N996" s="23" t="n"/>
      <c r="O996" s="23" t="n"/>
      <c r="P996" s="23" t="n"/>
      <c r="Q996" s="23" t="n"/>
      <c r="R996" s="23" t="n"/>
      <c r="S996" s="23" t="n"/>
      <c r="T996" s="23" t="n"/>
      <c r="U996" s="23" t="n"/>
      <c r="V996" s="23" t="n"/>
      <c r="W996" s="23" t="n"/>
      <c r="X996" s="23" t="n"/>
      <c r="Y996" s="25" t="n"/>
      <c r="Z996" s="25" t="n"/>
      <c r="AA996" s="23" t="n"/>
      <c r="AB996" s="25" t="n"/>
      <c r="AC996" s="23" t="n"/>
      <c r="AD996" s="25" t="n"/>
      <c r="AE996" s="23" t="n"/>
      <c r="AF996" s="25" t="n"/>
      <c r="AG996" s="25" t="n"/>
      <c r="AH996" s="23" t="n"/>
      <c r="AI996" s="23" t="n"/>
      <c r="AJ996" s="26">
        <f>IF(I996="","",I996&amp;"|"&amp;R996)</f>
        <v/>
      </c>
      <c r="AK996" s="26">
        <f>IF(I996="","",IF(ISNA(MATCH(O996,Kampanyalar!$A$2:$A$150,0)),"Hayır - Kampanyalar'da Yok","Evet"))</f>
        <v/>
      </c>
      <c r="AL996" s="27">
        <f>IF(I996="","",IFERROR(INDEX(Kampanyalar!$E$2:$E$150,MATCH(O996,Kampanyalar!$A$2:$A$150,0)),""))</f>
        <v/>
      </c>
      <c r="AM996" s="27">
        <f>IF(I996="","",IFERROR(INDEX(Kampanyalar!$F$2:$F$150,MATCH(O996,Kampanyalar!$A$2:$A$150,0)),""))</f>
        <v/>
      </c>
      <c r="AN996" s="27">
        <f>IF(I996="","",IFERROR(INDEX(Kampanyalar!$G$2:$G$150,MATCH(O996,Kampanyalar!$A$2:$A$150,0)),""))</f>
        <v/>
      </c>
      <c r="AO996" s="26">
        <f>IF(OR(I996="",AL996="",AM996=""),"",IF(AND(H996&gt;=AL996,H996&lt;=AM996),"Evet","HAYIR - Tarih Dışı"))</f>
        <v/>
      </c>
      <c r="AP996" s="28">
        <f>IF(I996="","",IFERROR(INDEX(Kampanyalar!$H$2:$H$150,MATCH(O996,Kampanyalar!$A$2:$A$150,0)),""))</f>
        <v/>
      </c>
      <c r="AQ996" s="28">
        <f>IF(I996="","",IF(ISNUMBER(AP996),AP996,AD996))</f>
        <v/>
      </c>
      <c r="AR996" s="26">
        <f>IF(I996="","",IF(Parametreler!$C$7="Evet","Kural A - Hemen Ödeme (Stok Mutabakatlı)","Kural B - Nakliye/Montaj Sonrası Ödeme"))</f>
        <v/>
      </c>
    </row>
    <row r="997">
      <c r="A997" s="23" t="n"/>
      <c r="B997" s="23" t="n"/>
      <c r="C997" s="23" t="n"/>
      <c r="D997" s="23" t="n"/>
      <c r="E997" s="23" t="n"/>
      <c r="F997" s="23" t="n"/>
      <c r="G997" s="23" t="n"/>
      <c r="H997" s="24" t="n"/>
      <c r="I997" s="23" t="n"/>
      <c r="J997" s="23" t="n"/>
      <c r="K997" s="23" t="n"/>
      <c r="L997" s="23" t="n"/>
      <c r="M997" s="23" t="n"/>
      <c r="N997" s="23" t="n"/>
      <c r="O997" s="23" t="n"/>
      <c r="P997" s="23" t="n"/>
      <c r="Q997" s="23" t="n"/>
      <c r="R997" s="23" t="n"/>
      <c r="S997" s="23" t="n"/>
      <c r="T997" s="23" t="n"/>
      <c r="U997" s="23" t="n"/>
      <c r="V997" s="23" t="n"/>
      <c r="W997" s="23" t="n"/>
      <c r="X997" s="23" t="n"/>
      <c r="Y997" s="25" t="n"/>
      <c r="Z997" s="25" t="n"/>
      <c r="AA997" s="23" t="n"/>
      <c r="AB997" s="25" t="n"/>
      <c r="AC997" s="23" t="n"/>
      <c r="AD997" s="25" t="n"/>
      <c r="AE997" s="23" t="n"/>
      <c r="AF997" s="25" t="n"/>
      <c r="AG997" s="25" t="n"/>
      <c r="AH997" s="23" t="n"/>
      <c r="AI997" s="23" t="n"/>
      <c r="AJ997" s="26">
        <f>IF(I997="","",I997&amp;"|"&amp;R997)</f>
        <v/>
      </c>
      <c r="AK997" s="26">
        <f>IF(I997="","",IF(ISNA(MATCH(O997,Kampanyalar!$A$2:$A$150,0)),"Hayır - Kampanyalar'da Yok","Evet"))</f>
        <v/>
      </c>
      <c r="AL997" s="27">
        <f>IF(I997="","",IFERROR(INDEX(Kampanyalar!$E$2:$E$150,MATCH(O997,Kampanyalar!$A$2:$A$150,0)),""))</f>
        <v/>
      </c>
      <c r="AM997" s="27">
        <f>IF(I997="","",IFERROR(INDEX(Kampanyalar!$F$2:$F$150,MATCH(O997,Kampanyalar!$A$2:$A$150,0)),""))</f>
        <v/>
      </c>
      <c r="AN997" s="27">
        <f>IF(I997="","",IFERROR(INDEX(Kampanyalar!$G$2:$G$150,MATCH(O997,Kampanyalar!$A$2:$A$150,0)),""))</f>
        <v/>
      </c>
      <c r="AO997" s="26">
        <f>IF(OR(I997="",AL997="",AM997=""),"",IF(AND(H997&gt;=AL997,H997&lt;=AM997),"Evet","HAYIR - Tarih Dışı"))</f>
        <v/>
      </c>
      <c r="AP997" s="28">
        <f>IF(I997="","",IFERROR(INDEX(Kampanyalar!$H$2:$H$150,MATCH(O997,Kampanyalar!$A$2:$A$150,0)),""))</f>
        <v/>
      </c>
      <c r="AQ997" s="28">
        <f>IF(I997="","",IF(ISNUMBER(AP997),AP997,AD997))</f>
        <v/>
      </c>
      <c r="AR997" s="26">
        <f>IF(I997="","",IF(Parametreler!$C$7="Evet","Kural A - Hemen Ödeme (Stok Mutabakatlı)","Kural B - Nakliye/Montaj Sonrası Ödeme"))</f>
        <v/>
      </c>
    </row>
    <row r="998">
      <c r="A998" s="23" t="n"/>
      <c r="B998" s="23" t="n"/>
      <c r="C998" s="23" t="n"/>
      <c r="D998" s="23" t="n"/>
      <c r="E998" s="23" t="n"/>
      <c r="F998" s="23" t="n"/>
      <c r="G998" s="23" t="n"/>
      <c r="H998" s="24" t="n"/>
      <c r="I998" s="23" t="n"/>
      <c r="J998" s="23" t="n"/>
      <c r="K998" s="23" t="n"/>
      <c r="L998" s="23" t="n"/>
      <c r="M998" s="23" t="n"/>
      <c r="N998" s="23" t="n"/>
      <c r="O998" s="23" t="n"/>
      <c r="P998" s="23" t="n"/>
      <c r="Q998" s="23" t="n"/>
      <c r="R998" s="23" t="n"/>
      <c r="S998" s="23" t="n"/>
      <c r="T998" s="23" t="n"/>
      <c r="U998" s="23" t="n"/>
      <c r="V998" s="23" t="n"/>
      <c r="W998" s="23" t="n"/>
      <c r="X998" s="23" t="n"/>
      <c r="Y998" s="25" t="n"/>
      <c r="Z998" s="25" t="n"/>
      <c r="AA998" s="23" t="n"/>
      <c r="AB998" s="25" t="n"/>
      <c r="AC998" s="23" t="n"/>
      <c r="AD998" s="25" t="n"/>
      <c r="AE998" s="23" t="n"/>
      <c r="AF998" s="25" t="n"/>
      <c r="AG998" s="25" t="n"/>
      <c r="AH998" s="23" t="n"/>
      <c r="AI998" s="23" t="n"/>
      <c r="AJ998" s="26">
        <f>IF(I998="","",I998&amp;"|"&amp;R998)</f>
        <v/>
      </c>
      <c r="AK998" s="26">
        <f>IF(I998="","",IF(ISNA(MATCH(O998,Kampanyalar!$A$2:$A$150,0)),"Hayır - Kampanyalar'da Yok","Evet"))</f>
        <v/>
      </c>
      <c r="AL998" s="27">
        <f>IF(I998="","",IFERROR(INDEX(Kampanyalar!$E$2:$E$150,MATCH(O998,Kampanyalar!$A$2:$A$150,0)),""))</f>
        <v/>
      </c>
      <c r="AM998" s="27">
        <f>IF(I998="","",IFERROR(INDEX(Kampanyalar!$F$2:$F$150,MATCH(O998,Kampanyalar!$A$2:$A$150,0)),""))</f>
        <v/>
      </c>
      <c r="AN998" s="27">
        <f>IF(I998="","",IFERROR(INDEX(Kampanyalar!$G$2:$G$150,MATCH(O998,Kampanyalar!$A$2:$A$150,0)),""))</f>
        <v/>
      </c>
      <c r="AO998" s="26">
        <f>IF(OR(I998="",AL998="",AM998=""),"",IF(AND(H998&gt;=AL998,H998&lt;=AM998),"Evet","HAYIR - Tarih Dışı"))</f>
        <v/>
      </c>
      <c r="AP998" s="28">
        <f>IF(I998="","",IFERROR(INDEX(Kampanyalar!$H$2:$H$150,MATCH(O998,Kampanyalar!$A$2:$A$150,0)),""))</f>
        <v/>
      </c>
      <c r="AQ998" s="28">
        <f>IF(I998="","",IF(ISNUMBER(AP998),AP998,AD998))</f>
        <v/>
      </c>
      <c r="AR998" s="26">
        <f>IF(I998="","",IF(Parametreler!$C$7="Evet","Kural A - Hemen Ödeme (Stok Mutabakatlı)","Kural B - Nakliye/Montaj Sonrası Ödeme"))</f>
        <v/>
      </c>
    </row>
    <row r="999">
      <c r="A999" s="23" t="n"/>
      <c r="B999" s="23" t="n"/>
      <c r="C999" s="23" t="n"/>
      <c r="D999" s="23" t="n"/>
      <c r="E999" s="23" t="n"/>
      <c r="F999" s="23" t="n"/>
      <c r="G999" s="23" t="n"/>
      <c r="H999" s="24" t="n"/>
      <c r="I999" s="23" t="n"/>
      <c r="J999" s="23" t="n"/>
      <c r="K999" s="23" t="n"/>
      <c r="L999" s="23" t="n"/>
      <c r="M999" s="23" t="n"/>
      <c r="N999" s="23" t="n"/>
      <c r="O999" s="23" t="n"/>
      <c r="P999" s="23" t="n"/>
      <c r="Q999" s="23" t="n"/>
      <c r="R999" s="23" t="n"/>
      <c r="S999" s="23" t="n"/>
      <c r="T999" s="23" t="n"/>
      <c r="U999" s="23" t="n"/>
      <c r="V999" s="23" t="n"/>
      <c r="W999" s="23" t="n"/>
      <c r="X999" s="23" t="n"/>
      <c r="Y999" s="25" t="n"/>
      <c r="Z999" s="25" t="n"/>
      <c r="AA999" s="23" t="n"/>
      <c r="AB999" s="25" t="n"/>
      <c r="AC999" s="23" t="n"/>
      <c r="AD999" s="25" t="n"/>
      <c r="AE999" s="23" t="n"/>
      <c r="AF999" s="25" t="n"/>
      <c r="AG999" s="25" t="n"/>
      <c r="AH999" s="23" t="n"/>
      <c r="AI999" s="23" t="n"/>
      <c r="AJ999" s="26">
        <f>IF(I999="","",I999&amp;"|"&amp;R999)</f>
        <v/>
      </c>
      <c r="AK999" s="26">
        <f>IF(I999="","",IF(ISNA(MATCH(O999,Kampanyalar!$A$2:$A$150,0)),"Hayır - Kampanyalar'da Yok","Evet"))</f>
        <v/>
      </c>
      <c r="AL999" s="27">
        <f>IF(I999="","",IFERROR(INDEX(Kampanyalar!$E$2:$E$150,MATCH(O999,Kampanyalar!$A$2:$A$150,0)),""))</f>
        <v/>
      </c>
      <c r="AM999" s="27">
        <f>IF(I999="","",IFERROR(INDEX(Kampanyalar!$F$2:$F$150,MATCH(O999,Kampanyalar!$A$2:$A$150,0)),""))</f>
        <v/>
      </c>
      <c r="AN999" s="27">
        <f>IF(I999="","",IFERROR(INDEX(Kampanyalar!$G$2:$G$150,MATCH(O999,Kampanyalar!$A$2:$A$150,0)),""))</f>
        <v/>
      </c>
      <c r="AO999" s="26">
        <f>IF(OR(I999="",AL999="",AM999=""),"",IF(AND(H999&gt;=AL999,H999&lt;=AM999),"Evet","HAYIR - Tarih Dışı"))</f>
        <v/>
      </c>
      <c r="AP999" s="28">
        <f>IF(I999="","",IFERROR(INDEX(Kampanyalar!$H$2:$H$150,MATCH(O999,Kampanyalar!$A$2:$A$150,0)),""))</f>
        <v/>
      </c>
      <c r="AQ999" s="28">
        <f>IF(I999="","",IF(ISNUMBER(AP999),AP999,AD999))</f>
        <v/>
      </c>
      <c r="AR999" s="26">
        <f>IF(I999="","",IF(Parametreler!$C$7="Evet","Kural A - Hemen Ödeme (Stok Mutabakatlı)","Kural B - Nakliye/Montaj Sonrası Ödeme"))</f>
        <v/>
      </c>
    </row>
    <row r="1000">
      <c r="A1000" s="23" t="n"/>
      <c r="B1000" s="23" t="n"/>
      <c r="C1000" s="23" t="n"/>
      <c r="D1000" s="23" t="n"/>
      <c r="E1000" s="23" t="n"/>
      <c r="F1000" s="23" t="n"/>
      <c r="G1000" s="23" t="n"/>
      <c r="H1000" s="24" t="n"/>
      <c r="I1000" s="23" t="n"/>
      <c r="J1000" s="23" t="n"/>
      <c r="K1000" s="23" t="n"/>
      <c r="L1000" s="23" t="n"/>
      <c r="M1000" s="23" t="n"/>
      <c r="N1000" s="23" t="n"/>
      <c r="O1000" s="23" t="n"/>
      <c r="P1000" s="23" t="n"/>
      <c r="Q1000" s="23" t="n"/>
      <c r="R1000" s="23" t="n"/>
      <c r="S1000" s="23" t="n"/>
      <c r="T1000" s="23" t="n"/>
      <c r="U1000" s="23" t="n"/>
      <c r="V1000" s="23" t="n"/>
      <c r="W1000" s="23" t="n"/>
      <c r="X1000" s="23" t="n"/>
      <c r="Y1000" s="25" t="n"/>
      <c r="Z1000" s="25" t="n"/>
      <c r="AA1000" s="23" t="n"/>
      <c r="AB1000" s="25" t="n"/>
      <c r="AC1000" s="23" t="n"/>
      <c r="AD1000" s="25" t="n"/>
      <c r="AE1000" s="23" t="n"/>
      <c r="AF1000" s="25" t="n"/>
      <c r="AG1000" s="25" t="n"/>
      <c r="AH1000" s="23" t="n"/>
      <c r="AI1000" s="23" t="n"/>
      <c r="AJ1000" s="26">
        <f>IF(I1000="","",I1000&amp;"|"&amp;R1000)</f>
        <v/>
      </c>
      <c r="AK1000" s="26">
        <f>IF(I1000="","",IF(ISNA(MATCH(O1000,Kampanyalar!$A$2:$A$150,0)),"Hayır - Kampanyalar'da Yok","Evet"))</f>
        <v/>
      </c>
      <c r="AL1000" s="27">
        <f>IF(I1000="","",IFERROR(INDEX(Kampanyalar!$E$2:$E$150,MATCH(O1000,Kampanyalar!$A$2:$A$150,0)),""))</f>
        <v/>
      </c>
      <c r="AM1000" s="27">
        <f>IF(I1000="","",IFERROR(INDEX(Kampanyalar!$F$2:$F$150,MATCH(O1000,Kampanyalar!$A$2:$A$150,0)),""))</f>
        <v/>
      </c>
      <c r="AN1000" s="27">
        <f>IF(I1000="","",IFERROR(INDEX(Kampanyalar!$G$2:$G$150,MATCH(O1000,Kampanyalar!$A$2:$A$150,0)),""))</f>
        <v/>
      </c>
      <c r="AO1000" s="26">
        <f>IF(OR(I1000="",AL1000="",AM1000=""),"",IF(AND(H1000&gt;=AL1000,H1000&lt;=AM1000),"Evet","HAYIR - Tarih Dışı"))</f>
        <v/>
      </c>
      <c r="AP1000" s="28">
        <f>IF(I1000="","",IFERROR(INDEX(Kampanyalar!$H$2:$H$150,MATCH(O1000,Kampanyalar!$A$2:$A$150,0)),""))</f>
        <v/>
      </c>
      <c r="AQ1000" s="28">
        <f>IF(I1000="","",IF(ISNUMBER(AP1000),AP1000,AD1000))</f>
        <v/>
      </c>
      <c r="AR1000" s="26">
        <f>IF(I1000="","",IF(Parametreler!$C$7="Evet","Kural A - Hemen Ödeme (Stok Mutabakatlı)","Kural B - Nakliye/Montaj Sonrası Ödeme"))</f>
        <v/>
      </c>
    </row>
    <row r="1001">
      <c r="A1001" s="23" t="n"/>
      <c r="B1001" s="23" t="n"/>
      <c r="C1001" s="23" t="n"/>
      <c r="D1001" s="23" t="n"/>
      <c r="E1001" s="23" t="n"/>
      <c r="F1001" s="23" t="n"/>
      <c r="G1001" s="23" t="n"/>
      <c r="H1001" s="24" t="n"/>
      <c r="I1001" s="23" t="n"/>
      <c r="J1001" s="23" t="n"/>
      <c r="K1001" s="23" t="n"/>
      <c r="L1001" s="23" t="n"/>
      <c r="M1001" s="23" t="n"/>
      <c r="N1001" s="23" t="n"/>
      <c r="O1001" s="23" t="n"/>
      <c r="P1001" s="23" t="n"/>
      <c r="Q1001" s="23" t="n"/>
      <c r="R1001" s="23" t="n"/>
      <c r="S1001" s="23" t="n"/>
      <c r="T1001" s="23" t="n"/>
      <c r="U1001" s="23" t="n"/>
      <c r="V1001" s="23" t="n"/>
      <c r="W1001" s="23" t="n"/>
      <c r="X1001" s="23" t="n"/>
      <c r="Y1001" s="25" t="n"/>
      <c r="Z1001" s="25" t="n"/>
      <c r="AA1001" s="23" t="n"/>
      <c r="AB1001" s="25" t="n"/>
      <c r="AC1001" s="23" t="n"/>
      <c r="AD1001" s="25" t="n"/>
      <c r="AE1001" s="23" t="n"/>
      <c r="AF1001" s="25" t="n"/>
      <c r="AG1001" s="25" t="n"/>
      <c r="AH1001" s="23" t="n"/>
      <c r="AI1001" s="23" t="n"/>
      <c r="AJ1001" s="26">
        <f>IF(I1001="","",I1001&amp;"|"&amp;R1001)</f>
        <v/>
      </c>
      <c r="AK1001" s="26">
        <f>IF(I1001="","",IF(ISNA(MATCH(O1001,Kampanyalar!$A$2:$A$150,0)),"Hayır - Kampanyalar'da Yok","Evet"))</f>
        <v/>
      </c>
      <c r="AL1001" s="27">
        <f>IF(I1001="","",IFERROR(INDEX(Kampanyalar!$E$2:$E$150,MATCH(O1001,Kampanyalar!$A$2:$A$150,0)),""))</f>
        <v/>
      </c>
      <c r="AM1001" s="27">
        <f>IF(I1001="","",IFERROR(INDEX(Kampanyalar!$F$2:$F$150,MATCH(O1001,Kampanyalar!$A$2:$A$150,0)),""))</f>
        <v/>
      </c>
      <c r="AN1001" s="27">
        <f>IF(I1001="","",IFERROR(INDEX(Kampanyalar!$G$2:$G$150,MATCH(O1001,Kampanyalar!$A$2:$A$150,0)),""))</f>
        <v/>
      </c>
      <c r="AO1001" s="26">
        <f>IF(OR(I1001="",AL1001="",AM1001=""),"",IF(AND(H1001&gt;=AL1001,H1001&lt;=AM1001),"Evet","HAYIR - Tarih Dışı"))</f>
        <v/>
      </c>
      <c r="AP1001" s="28">
        <f>IF(I1001="","",IFERROR(INDEX(Kampanyalar!$H$2:$H$150,MATCH(O1001,Kampanyalar!$A$2:$A$150,0)),""))</f>
        <v/>
      </c>
      <c r="AQ1001" s="28">
        <f>IF(I1001="","",IF(ISNUMBER(AP1001),AP1001,AD1001))</f>
        <v/>
      </c>
      <c r="AR1001" s="26">
        <f>IF(I1001="","",IF(Parametreler!$C$7="Evet","Kural A - Hemen Ödeme (Stok Mutabakatlı)","Kural B - Nakliye/Montaj Sonrası Ödeme"))</f>
        <v/>
      </c>
    </row>
    <row r="1002">
      <c r="A1002" s="23" t="n"/>
      <c r="B1002" s="23" t="n"/>
      <c r="C1002" s="23" t="n"/>
      <c r="D1002" s="23" t="n"/>
      <c r="E1002" s="23" t="n"/>
      <c r="F1002" s="23" t="n"/>
      <c r="G1002" s="23" t="n"/>
      <c r="H1002" s="24" t="n"/>
      <c r="I1002" s="23" t="n"/>
      <c r="J1002" s="23" t="n"/>
      <c r="K1002" s="23" t="n"/>
      <c r="L1002" s="23" t="n"/>
      <c r="M1002" s="23" t="n"/>
      <c r="N1002" s="23" t="n"/>
      <c r="O1002" s="23" t="n"/>
      <c r="P1002" s="23" t="n"/>
      <c r="Q1002" s="23" t="n"/>
      <c r="R1002" s="23" t="n"/>
      <c r="S1002" s="23" t="n"/>
      <c r="T1002" s="23" t="n"/>
      <c r="U1002" s="23" t="n"/>
      <c r="V1002" s="23" t="n"/>
      <c r="W1002" s="23" t="n"/>
      <c r="X1002" s="23" t="n"/>
      <c r="Y1002" s="25" t="n"/>
      <c r="Z1002" s="25" t="n"/>
      <c r="AA1002" s="23" t="n"/>
      <c r="AB1002" s="25" t="n"/>
      <c r="AC1002" s="23" t="n"/>
      <c r="AD1002" s="25" t="n"/>
      <c r="AE1002" s="23" t="n"/>
      <c r="AF1002" s="25" t="n"/>
      <c r="AG1002" s="25" t="n"/>
      <c r="AH1002" s="23" t="n"/>
      <c r="AI1002" s="23" t="n"/>
      <c r="AJ1002" s="26">
        <f>IF(I1002="","",I1002&amp;"|"&amp;R1002)</f>
        <v/>
      </c>
      <c r="AK1002" s="26">
        <f>IF(I1002="","",IF(ISNA(MATCH(O1002,Kampanyalar!$A$2:$A$150,0)),"Hayır - Kampanyalar'da Yok","Evet"))</f>
        <v/>
      </c>
      <c r="AL1002" s="27">
        <f>IF(I1002="","",IFERROR(INDEX(Kampanyalar!$E$2:$E$150,MATCH(O1002,Kampanyalar!$A$2:$A$150,0)),""))</f>
        <v/>
      </c>
      <c r="AM1002" s="27">
        <f>IF(I1002="","",IFERROR(INDEX(Kampanyalar!$F$2:$F$150,MATCH(O1002,Kampanyalar!$A$2:$A$150,0)),""))</f>
        <v/>
      </c>
      <c r="AN1002" s="27">
        <f>IF(I1002="","",IFERROR(INDEX(Kampanyalar!$G$2:$G$150,MATCH(O1002,Kampanyalar!$A$2:$A$150,0)),""))</f>
        <v/>
      </c>
      <c r="AO1002" s="26">
        <f>IF(OR(I1002="",AL1002="",AM1002=""),"",IF(AND(H1002&gt;=AL1002,H1002&lt;=AM1002),"Evet","HAYIR - Tarih Dışı"))</f>
        <v/>
      </c>
      <c r="AP1002" s="28">
        <f>IF(I1002="","",IFERROR(INDEX(Kampanyalar!$H$2:$H$150,MATCH(O1002,Kampanyalar!$A$2:$A$150,0)),""))</f>
        <v/>
      </c>
      <c r="AQ1002" s="28">
        <f>IF(I1002="","",IF(ISNUMBER(AP1002),AP1002,AD1002))</f>
        <v/>
      </c>
      <c r="AR1002" s="26">
        <f>IF(I1002="","",IF(Parametreler!$C$7="Evet","Kural A - Hemen Ödeme (Stok Mutabakatlı)","Kural B - Nakliye/Montaj Sonrası Ödeme"))</f>
        <v/>
      </c>
    </row>
  </sheetData>
  <sheetProtection selectLockedCells="0" selectUnlockedCells="0" sheet="1" objects="0" insertRows="0" insertHyperlinks="1" autoFilter="1" scenarios="0" formatColumns="1" deleteColumns="1" insertColumns="1" pivotTables="1" deleteRows="0" formatCells="1" formatRows="1" sort="1" password="D6F9"/>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AV1002"/>
  <sheetViews>
    <sheetView showGridLines="0" workbookViewId="0">
      <pane ySplit="2" topLeftCell="A3"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6" customWidth="1" min="39" max="39"/>
    <col width="12" customWidth="1" min="40" max="40"/>
    <col width="12" customWidth="1" min="41" max="41"/>
    <col width="12" customWidth="1" min="42" max="42"/>
    <col width="12" customWidth="1" min="43" max="43"/>
    <col width="12" customWidth="1" min="44" max="44"/>
    <col width="12" customWidth="1" min="45" max="45"/>
    <col width="11" customWidth="1" min="46" max="46"/>
    <col width="11" customWidth="1" min="47" max="47"/>
    <col width="13" customWidth="1" min="48" max="48"/>
  </cols>
  <sheetData>
    <row r="1" ht="44" customHeight="1">
      <c r="A1" s="18" t="inlineStr">
        <is>
          <t>MerkezKodu</t>
        </is>
      </c>
      <c r="B1" s="18" t="inlineStr">
        <is>
          <t>BayiKodu</t>
        </is>
      </c>
      <c r="C1" s="18" t="inlineStr">
        <is>
          <t>UrunCikisDepoKodu</t>
        </is>
      </c>
      <c r="D1" s="18" t="inlineStr">
        <is>
          <t>BayiUnvani</t>
        </is>
      </c>
      <c r="E1" s="18" t="inlineStr">
        <is>
          <t>SiparisNo</t>
        </is>
      </c>
      <c r="F1" s="18" t="inlineStr">
        <is>
          <t>DivaSiparisFaturaNo</t>
        </is>
      </c>
      <c r="G1" s="18" t="inlineStr">
        <is>
          <t>DivaFaturaNo</t>
        </is>
      </c>
      <c r="H1" s="18" t="inlineStr">
        <is>
          <t>E2ESiparisNo</t>
        </is>
      </c>
      <c r="I1" s="18" t="inlineStr">
        <is>
          <t>SiparisTarihi</t>
        </is>
      </c>
      <c r="J1" s="18" t="inlineStr">
        <is>
          <t>SiparisTuru</t>
        </is>
      </c>
      <c r="K1" s="18" t="inlineStr">
        <is>
          <t>SiparisKanali</t>
        </is>
      </c>
      <c r="L1" s="18" t="inlineStr">
        <is>
          <t>TuketiciAdi</t>
        </is>
      </c>
      <c r="M1" s="18" t="inlineStr">
        <is>
          <t>TuketiciSoyadi</t>
        </is>
      </c>
      <c r="N1" s="18" t="inlineStr">
        <is>
          <t>TuketiciTelefon</t>
        </is>
      </c>
      <c r="O1" s="18" t="inlineStr">
        <is>
          <t>TeslimEdilecekKisiEmail</t>
        </is>
      </c>
      <c r="P1" s="18" t="inlineStr">
        <is>
          <t>UrunKodu</t>
        </is>
      </c>
      <c r="Q1" s="18" t="inlineStr">
        <is>
          <t>UrunAdi</t>
        </is>
      </c>
      <c r="R1" s="18" t="inlineStr">
        <is>
          <t>UrunTipi</t>
        </is>
      </c>
      <c r="S1" s="18" t="inlineStr">
        <is>
          <t>TeslimatFisNo</t>
        </is>
      </c>
      <c r="T1" s="18" t="inlineStr">
        <is>
          <t>TeslimatDurum</t>
        </is>
      </c>
      <c r="U1" s="18" t="inlineStr">
        <is>
          <t>IadeDurum</t>
        </is>
      </c>
      <c r="V1" s="18" t="inlineStr">
        <is>
          <t>TeslimatAdresBilgisi</t>
        </is>
      </c>
      <c r="W1" s="18" t="inlineStr">
        <is>
          <t>TeslimatTuketiciIl</t>
        </is>
      </c>
      <c r="X1" s="18" t="inlineStr">
        <is>
          <t>TeslimatTuketiciIlce</t>
        </is>
      </c>
      <c r="Y1" s="18" t="inlineStr">
        <is>
          <t>TeslimatIstenilenTarih</t>
        </is>
      </c>
      <c r="Z1" s="18" t="inlineStr">
        <is>
          <t>TeslimatRandevuSaati</t>
        </is>
      </c>
      <c r="AA1" s="18" t="inlineStr">
        <is>
          <t>MontajFisNo</t>
        </is>
      </c>
      <c r="AB1" s="18" t="inlineStr">
        <is>
          <t>MontajDurum</t>
        </is>
      </c>
      <c r="AC1" s="18" t="inlineStr">
        <is>
          <t>MontajIstenilenilenTarih</t>
        </is>
      </c>
      <c r="AD1" s="18" t="inlineStr">
        <is>
          <t>MontajRandevuSaati</t>
        </is>
      </c>
      <c r="AE1" s="18" t="inlineStr">
        <is>
          <t>SatisTipi</t>
        </is>
      </c>
      <c r="AF1" s="18" t="inlineStr">
        <is>
          <t>TeslimatTipi</t>
        </is>
      </c>
      <c r="AG1" s="18" t="inlineStr">
        <is>
          <t>Tasiyici</t>
        </is>
      </c>
      <c r="AH1" s="18" t="inlineStr">
        <is>
          <t>DepoYeri</t>
        </is>
      </c>
      <c r="AI1" s="18" t="inlineStr">
        <is>
          <t>IrsaliyeTarihi</t>
        </is>
      </c>
      <c r="AJ1" s="18" t="inlineStr">
        <is>
          <t>IrsaliyeNo</t>
        </is>
      </c>
      <c r="AK1" s="18" t="inlineStr">
        <is>
          <t>Platform</t>
        </is>
      </c>
      <c r="AL1" s="18" t="inlineStr">
        <is>
          <t>PlatformName</t>
        </is>
      </c>
      <c r="AM1" s="19" t="inlineStr">
        <is>
          <t>Eşleştirme
Anahtarı</t>
        </is>
      </c>
      <c r="AN1" s="19" t="inlineStr">
        <is>
          <t>Sipariş Tarihi
(Tarih)</t>
        </is>
      </c>
      <c r="AO1" s="19" t="inlineStr">
        <is>
          <t>Teslimat İstenilen
Tarih (Tarih)</t>
        </is>
      </c>
      <c r="AP1" s="19" t="inlineStr">
        <is>
          <t>Montaj İstenilen
Tarih (Tarih)</t>
        </is>
      </c>
      <c r="AQ1" s="19" t="inlineStr">
        <is>
          <t>İrsaliye Tarih
Metni (yardımcı)</t>
        </is>
      </c>
      <c r="AR1" s="19" t="inlineStr">
        <is>
          <t>İrsaliye Tarihi
(Tarih)</t>
        </is>
      </c>
      <c r="AS1" s="19" t="inlineStr">
        <is>
          <t>Nakliye
İzlenebilir mi</t>
        </is>
      </c>
      <c r="AT1" s="19" t="inlineStr">
        <is>
          <t>Nakliye
Tamamlandı mı</t>
        </is>
      </c>
      <c r="AU1" s="19" t="inlineStr">
        <is>
          <t>Montaj
Tamamlandı mı</t>
        </is>
      </c>
      <c r="AV1" s="19" t="inlineStr">
        <is>
          <t>Hakediş Tetikleyici
Tarih</t>
        </is>
      </c>
    </row>
    <row r="2">
      <c r="A2" s="20" t="inlineStr">
        <is>
          <t>7000129546</t>
        </is>
      </c>
      <c r="B2" s="20" t="inlineStr">
        <is>
          <t>7000129546</t>
        </is>
      </c>
      <c r="C2" s="20" t="inlineStr">
        <is>
          <t>7000129546</t>
        </is>
      </c>
      <c r="D2" s="20" t="inlineStr">
        <is>
          <t>MUSTAFA DEMIREL</t>
        </is>
      </c>
      <c r="E2" s="20" t="inlineStr">
        <is>
          <t>TR01-20764369</t>
        </is>
      </c>
      <c r="F2" s="20" t="inlineStr">
        <is>
          <t>2600000650</t>
        </is>
      </c>
      <c r="G2" s="20" t="inlineStr">
        <is>
          <t>2600000650</t>
        </is>
      </c>
      <c r="H2" s="20" t="inlineStr">
        <is>
          <t>5371889</t>
        </is>
      </c>
      <c r="I2" s="20" t="inlineStr">
        <is>
          <t>24-08-2026</t>
        </is>
      </c>
      <c r="J2" s="20" t="inlineStr">
        <is>
          <t>Offline</t>
        </is>
      </c>
      <c r="K2" s="20" t="inlineStr">
        <is>
          <t>DIVA</t>
        </is>
      </c>
      <c r="L2" s="20" t="inlineStr">
        <is>
          <t>ÖRNEK</t>
        </is>
      </c>
      <c r="M2" s="20" t="inlineStr">
        <is>
          <t>MÜŞTERİ</t>
        </is>
      </c>
      <c r="N2" s="20" t="inlineStr">
        <is>
          <t>5xxxxxxxxx</t>
        </is>
      </c>
      <c r="O2" s="20" t="inlineStr"/>
      <c r="P2" s="20" t="inlineStr">
        <is>
          <t>SMS4IKW62T</t>
        </is>
      </c>
      <c r="Q2" s="20" t="inlineStr">
        <is>
          <t>Solo bulaşık makinesi</t>
        </is>
      </c>
      <c r="R2" s="20" t="inlineStr">
        <is>
          <t>LDA</t>
        </is>
      </c>
      <c r="S2" s="20" t="inlineStr"/>
      <c r="T2" s="20" t="inlineStr">
        <is>
          <t>Siparişiniz Teslim Edildi</t>
        </is>
      </c>
      <c r="U2" s="20" t="inlineStr">
        <is>
          <t>-</t>
        </is>
      </c>
      <c r="V2" s="20" t="inlineStr">
        <is>
          <t>Örnek adres</t>
        </is>
      </c>
      <c r="W2" s="20" t="inlineStr">
        <is>
          <t>ANTALYA</t>
        </is>
      </c>
      <c r="X2" s="20" t="inlineStr">
        <is>
          <t>ALANYA</t>
        </is>
      </c>
      <c r="Y2" s="20" t="inlineStr">
        <is>
          <t>24-08-2026</t>
        </is>
      </c>
      <c r="Z2" s="20" t="inlineStr"/>
      <c r="AA2" s="20" t="inlineStr">
        <is>
          <t>158360746</t>
        </is>
      </c>
      <c r="AB2" s="20" t="inlineStr">
        <is>
          <t>Siparişinizin Montajı Yapıldı</t>
        </is>
      </c>
      <c r="AC2" s="20" t="inlineStr">
        <is>
          <t>29-08-2026</t>
        </is>
      </c>
      <c r="AD2" s="20" t="inlineStr">
        <is>
          <t>Tüm Gün</t>
        </is>
      </c>
      <c r="AE2" s="20" t="inlineStr">
        <is>
          <t>Hemen Teslim Satış</t>
        </is>
      </c>
      <c r="AF2" s="20" t="inlineStr">
        <is>
          <t>Mağaza Depodan Tüketiciye</t>
        </is>
      </c>
      <c r="AG2" s="20" t="inlineStr">
        <is>
          <t>Servis</t>
        </is>
      </c>
      <c r="AH2" s="20" t="inlineStr">
        <is>
          <t>Magaza Depo</t>
        </is>
      </c>
      <c r="AI2" s="20" t="inlineStr">
        <is>
          <t>8/24/2026 6:24:05 PM</t>
        </is>
      </c>
      <c r="AJ2" s="20" t="inlineStr">
        <is>
          <t>MDI2026000000099</t>
        </is>
      </c>
      <c r="AK2" s="20" t="inlineStr">
        <is>
          <t>1354</t>
        </is>
      </c>
      <c r="AL2" s="20" t="inlineStr">
        <is>
          <t>Antalya Platform</t>
        </is>
      </c>
    </row>
    <row r="3">
      <c r="A3" s="23" t="n"/>
      <c r="B3" s="23" t="n"/>
      <c r="C3" s="23" t="n"/>
      <c r="D3" s="23" t="n"/>
      <c r="E3" s="23" t="n"/>
      <c r="F3" s="23" t="n"/>
      <c r="G3" s="23" t="n"/>
      <c r="H3" s="23" t="n"/>
      <c r="I3" s="23" t="n"/>
      <c r="J3" s="23" t="n"/>
      <c r="K3" s="23" t="n"/>
      <c r="L3" s="23" t="n"/>
      <c r="M3" s="23" t="n"/>
      <c r="N3" s="23" t="n"/>
      <c r="O3" s="23" t="n"/>
      <c r="P3" s="23" t="n"/>
      <c r="Q3" s="23" t="n"/>
      <c r="R3" s="23" t="n"/>
      <c r="S3" s="23" t="n"/>
      <c r="T3" s="23" t="n"/>
      <c r="U3" s="23" t="n"/>
      <c r="V3" s="23" t="n"/>
      <c r="W3" s="23" t="n"/>
      <c r="X3" s="23" t="n"/>
      <c r="Y3" s="23" t="n"/>
      <c r="Z3" s="23" t="n"/>
      <c r="AA3" s="23" t="n"/>
      <c r="AB3" s="23" t="n"/>
      <c r="AC3" s="23" t="n"/>
      <c r="AD3" s="23" t="n"/>
      <c r="AE3" s="23" t="n"/>
      <c r="AF3" s="23" t="n"/>
      <c r="AG3" s="23" t="n"/>
      <c r="AH3" s="23" t="n"/>
      <c r="AI3" s="23" t="n"/>
      <c r="AJ3" s="23" t="n"/>
      <c r="AK3" s="23" t="n"/>
      <c r="AL3" s="23" t="n"/>
      <c r="AM3" s="26">
        <f>IF(G3="","",G3&amp;"|"&amp;P3)</f>
        <v/>
      </c>
      <c r="AN3" s="27">
        <f>IF(I3="","",IFERROR(DATE(VALUE(RIGHT(I3,4)),VALUE(MID(I3,4,2)),VALUE(LEFT(I3,2))),""))</f>
        <v/>
      </c>
      <c r="AO3" s="27">
        <f>IF(Y3="","",IFERROR(DATE(VALUE(RIGHT(Y3,4)),VALUE(MID(Y3,4,2)),VALUE(LEFT(Y3,2))),""))</f>
        <v/>
      </c>
      <c r="AP3" s="27">
        <f>IF(AC3="","",IFERROR(DATE(VALUE(RIGHT(AC3,4)),VALUE(MID(AC3,4,2)),VALUE(LEFT(AC3,2))),""))</f>
        <v/>
      </c>
      <c r="AQ3" s="26">
        <f>IF(AI3="","",TRIM(LEFT(AI3,FIND(" ",AI3&amp;" ")-1)))</f>
        <v/>
      </c>
      <c r="AR3" s="27">
        <f>IF(AQ3="","",IFERROR(DATE(VALUE(MID(AQ3,FIND("/",AQ3,FIND("/",AQ3)+1)+1,4)),VALUE(LEFT(AQ3,FIND("/",AQ3)-1)),VALUE(MID(AQ3,FIND("/",AQ3)+1,FIND("/",AQ3,FIND("/",AQ3)+1)-FIND("/",AQ3)-1))),""))</f>
        <v/>
      </c>
      <c r="AS3" s="26">
        <f>IF(G3="","",IF(AND(AG3&lt;&gt;"",AG3&lt;&gt;"Bayi Aracı"),"Evet","Hayır"))</f>
        <v/>
      </c>
      <c r="AT3" s="26">
        <f>IF(G3="","",IF(AND(AS3="Evet",T3="Siparişiniz Teslim Edildi"),"Evet","Hayır"))</f>
        <v/>
      </c>
      <c r="AU3" s="26">
        <f>IF(G3="","",IF(AB3="Siparişinizin Montajı Yapıldı","Evet","Hayır"))</f>
        <v/>
      </c>
      <c r="AV3" s="27">
        <f>IF(G3="","",IF(AT3="Evet",AR3,IF(AU3="Evet",AP3,"")))</f>
        <v/>
      </c>
    </row>
    <row r="4">
      <c r="A4" s="23" t="n"/>
      <c r="B4" s="23" t="n"/>
      <c r="C4" s="23" t="n"/>
      <c r="D4" s="23" t="n"/>
      <c r="E4" s="23" t="n"/>
      <c r="F4" s="23" t="n"/>
      <c r="G4" s="23" t="n"/>
      <c r="H4" s="23" t="n"/>
      <c r="I4" s="23" t="n"/>
      <c r="J4" s="23" t="n"/>
      <c r="K4" s="23" t="n"/>
      <c r="L4" s="23" t="n"/>
      <c r="M4" s="23" t="n"/>
      <c r="N4" s="23" t="n"/>
      <c r="O4" s="23" t="n"/>
      <c r="P4" s="23" t="n"/>
      <c r="Q4" s="23" t="n"/>
      <c r="R4" s="23" t="n"/>
      <c r="S4" s="23" t="n"/>
      <c r="T4" s="23" t="n"/>
      <c r="U4" s="23" t="n"/>
      <c r="V4" s="23" t="n"/>
      <c r="W4" s="23" t="n"/>
      <c r="X4" s="23" t="n"/>
      <c r="Y4" s="23" t="n"/>
      <c r="Z4" s="23" t="n"/>
      <c r="AA4" s="23" t="n"/>
      <c r="AB4" s="23" t="n"/>
      <c r="AC4" s="23" t="n"/>
      <c r="AD4" s="23" t="n"/>
      <c r="AE4" s="23" t="n"/>
      <c r="AF4" s="23" t="n"/>
      <c r="AG4" s="23" t="n"/>
      <c r="AH4" s="23" t="n"/>
      <c r="AI4" s="23" t="n"/>
      <c r="AJ4" s="23" t="n"/>
      <c r="AK4" s="23" t="n"/>
      <c r="AL4" s="23" t="n"/>
      <c r="AM4" s="26">
        <f>IF(G4="","",G4&amp;"|"&amp;P4)</f>
        <v/>
      </c>
      <c r="AN4" s="27">
        <f>IF(I4="","",IFERROR(DATE(VALUE(RIGHT(I4,4)),VALUE(MID(I4,4,2)),VALUE(LEFT(I4,2))),""))</f>
        <v/>
      </c>
      <c r="AO4" s="27">
        <f>IF(Y4="","",IFERROR(DATE(VALUE(RIGHT(Y4,4)),VALUE(MID(Y4,4,2)),VALUE(LEFT(Y4,2))),""))</f>
        <v/>
      </c>
      <c r="AP4" s="27">
        <f>IF(AC4="","",IFERROR(DATE(VALUE(RIGHT(AC4,4)),VALUE(MID(AC4,4,2)),VALUE(LEFT(AC4,2))),""))</f>
        <v/>
      </c>
      <c r="AQ4" s="26">
        <f>IF(AI4="","",TRIM(LEFT(AI4,FIND(" ",AI4&amp;" ")-1)))</f>
        <v/>
      </c>
      <c r="AR4" s="27">
        <f>IF(AQ4="","",IFERROR(DATE(VALUE(MID(AQ4,FIND("/",AQ4,FIND("/",AQ4)+1)+1,4)),VALUE(LEFT(AQ4,FIND("/",AQ4)-1)),VALUE(MID(AQ4,FIND("/",AQ4)+1,FIND("/",AQ4,FIND("/",AQ4)+1)-FIND("/",AQ4)-1))),""))</f>
        <v/>
      </c>
      <c r="AS4" s="26">
        <f>IF(G4="","",IF(AND(AG4&lt;&gt;"",AG4&lt;&gt;"Bayi Aracı"),"Evet","Hayır"))</f>
        <v/>
      </c>
      <c r="AT4" s="26">
        <f>IF(G4="","",IF(AND(AS4="Evet",T4="Siparişiniz Teslim Edildi"),"Evet","Hayır"))</f>
        <v/>
      </c>
      <c r="AU4" s="26">
        <f>IF(G4="","",IF(AB4="Siparişinizin Montajı Yapıldı","Evet","Hayır"))</f>
        <v/>
      </c>
      <c r="AV4" s="27">
        <f>IF(G4="","",IF(AT4="Evet",AR4,IF(AU4="Evet",AP4,"")))</f>
        <v/>
      </c>
    </row>
    <row r="5">
      <c r="A5" s="23" t="n"/>
      <c r="B5" s="23" t="n"/>
      <c r="C5" s="23" t="n"/>
      <c r="D5" s="23" t="n"/>
      <c r="E5" s="23" t="n"/>
      <c r="F5" s="23" t="n"/>
      <c r="G5" s="23" t="n"/>
      <c r="H5" s="23" t="n"/>
      <c r="I5" s="23" t="n"/>
      <c r="J5" s="23" t="n"/>
      <c r="K5" s="23" t="n"/>
      <c r="L5" s="23" t="n"/>
      <c r="M5" s="23" t="n"/>
      <c r="N5" s="23" t="n"/>
      <c r="O5" s="23" t="n"/>
      <c r="P5" s="23" t="n"/>
      <c r="Q5" s="23" t="n"/>
      <c r="R5" s="23" t="n"/>
      <c r="S5" s="23" t="n"/>
      <c r="T5" s="23" t="n"/>
      <c r="U5" s="23" t="n"/>
      <c r="V5" s="23" t="n"/>
      <c r="W5" s="23" t="n"/>
      <c r="X5" s="23" t="n"/>
      <c r="Y5" s="23" t="n"/>
      <c r="Z5" s="23" t="n"/>
      <c r="AA5" s="23" t="n"/>
      <c r="AB5" s="23" t="n"/>
      <c r="AC5" s="23" t="n"/>
      <c r="AD5" s="23" t="n"/>
      <c r="AE5" s="23" t="n"/>
      <c r="AF5" s="23" t="n"/>
      <c r="AG5" s="23" t="n"/>
      <c r="AH5" s="23" t="n"/>
      <c r="AI5" s="23" t="n"/>
      <c r="AJ5" s="23" t="n"/>
      <c r="AK5" s="23" t="n"/>
      <c r="AL5" s="23" t="n"/>
      <c r="AM5" s="26">
        <f>IF(G5="","",G5&amp;"|"&amp;P5)</f>
        <v/>
      </c>
      <c r="AN5" s="27">
        <f>IF(I5="","",IFERROR(DATE(VALUE(RIGHT(I5,4)),VALUE(MID(I5,4,2)),VALUE(LEFT(I5,2))),""))</f>
        <v/>
      </c>
      <c r="AO5" s="27">
        <f>IF(Y5="","",IFERROR(DATE(VALUE(RIGHT(Y5,4)),VALUE(MID(Y5,4,2)),VALUE(LEFT(Y5,2))),""))</f>
        <v/>
      </c>
      <c r="AP5" s="27">
        <f>IF(AC5="","",IFERROR(DATE(VALUE(RIGHT(AC5,4)),VALUE(MID(AC5,4,2)),VALUE(LEFT(AC5,2))),""))</f>
        <v/>
      </c>
      <c r="AQ5" s="26">
        <f>IF(AI5="","",TRIM(LEFT(AI5,FIND(" ",AI5&amp;" ")-1)))</f>
        <v/>
      </c>
      <c r="AR5" s="27">
        <f>IF(AQ5="","",IFERROR(DATE(VALUE(MID(AQ5,FIND("/",AQ5,FIND("/",AQ5)+1)+1,4)),VALUE(LEFT(AQ5,FIND("/",AQ5)-1)),VALUE(MID(AQ5,FIND("/",AQ5)+1,FIND("/",AQ5,FIND("/",AQ5)+1)-FIND("/",AQ5)-1))),""))</f>
        <v/>
      </c>
      <c r="AS5" s="26">
        <f>IF(G5="","",IF(AND(AG5&lt;&gt;"",AG5&lt;&gt;"Bayi Aracı"),"Evet","Hayır"))</f>
        <v/>
      </c>
      <c r="AT5" s="26">
        <f>IF(G5="","",IF(AND(AS5="Evet",T5="Siparişiniz Teslim Edildi"),"Evet","Hayır"))</f>
        <v/>
      </c>
      <c r="AU5" s="26">
        <f>IF(G5="","",IF(AB5="Siparişinizin Montajı Yapıldı","Evet","Hayır"))</f>
        <v/>
      </c>
      <c r="AV5" s="27">
        <f>IF(G5="","",IF(AT5="Evet",AR5,IF(AU5="Evet",AP5,"")))</f>
        <v/>
      </c>
    </row>
    <row r="6">
      <c r="A6" s="23" t="n"/>
      <c r="B6" s="23" t="n"/>
      <c r="C6" s="23" t="n"/>
      <c r="D6" s="23" t="n"/>
      <c r="E6" s="23" t="n"/>
      <c r="F6" s="23" t="n"/>
      <c r="G6" s="23" t="n"/>
      <c r="H6" s="23" t="n"/>
      <c r="I6" s="23" t="n"/>
      <c r="J6" s="23" t="n"/>
      <c r="K6" s="23" t="n"/>
      <c r="L6" s="23" t="n"/>
      <c r="M6" s="23" t="n"/>
      <c r="N6" s="23" t="n"/>
      <c r="O6" s="23" t="n"/>
      <c r="P6" s="23" t="n"/>
      <c r="Q6" s="23" t="n"/>
      <c r="R6" s="23" t="n"/>
      <c r="S6" s="23" t="n"/>
      <c r="T6" s="23" t="n"/>
      <c r="U6" s="23" t="n"/>
      <c r="V6" s="23" t="n"/>
      <c r="W6" s="23" t="n"/>
      <c r="X6" s="23" t="n"/>
      <c r="Y6" s="23" t="n"/>
      <c r="Z6" s="23" t="n"/>
      <c r="AA6" s="23" t="n"/>
      <c r="AB6" s="23" t="n"/>
      <c r="AC6" s="23" t="n"/>
      <c r="AD6" s="23" t="n"/>
      <c r="AE6" s="23" t="n"/>
      <c r="AF6" s="23" t="n"/>
      <c r="AG6" s="23" t="n"/>
      <c r="AH6" s="23" t="n"/>
      <c r="AI6" s="23" t="n"/>
      <c r="AJ6" s="23" t="n"/>
      <c r="AK6" s="23" t="n"/>
      <c r="AL6" s="23" t="n"/>
      <c r="AM6" s="26">
        <f>IF(G6="","",G6&amp;"|"&amp;P6)</f>
        <v/>
      </c>
      <c r="AN6" s="27">
        <f>IF(I6="","",IFERROR(DATE(VALUE(RIGHT(I6,4)),VALUE(MID(I6,4,2)),VALUE(LEFT(I6,2))),""))</f>
        <v/>
      </c>
      <c r="AO6" s="27">
        <f>IF(Y6="","",IFERROR(DATE(VALUE(RIGHT(Y6,4)),VALUE(MID(Y6,4,2)),VALUE(LEFT(Y6,2))),""))</f>
        <v/>
      </c>
      <c r="AP6" s="27">
        <f>IF(AC6="","",IFERROR(DATE(VALUE(RIGHT(AC6,4)),VALUE(MID(AC6,4,2)),VALUE(LEFT(AC6,2))),""))</f>
        <v/>
      </c>
      <c r="AQ6" s="26">
        <f>IF(AI6="","",TRIM(LEFT(AI6,FIND(" ",AI6&amp;" ")-1)))</f>
        <v/>
      </c>
      <c r="AR6" s="27">
        <f>IF(AQ6="","",IFERROR(DATE(VALUE(MID(AQ6,FIND("/",AQ6,FIND("/",AQ6)+1)+1,4)),VALUE(LEFT(AQ6,FIND("/",AQ6)-1)),VALUE(MID(AQ6,FIND("/",AQ6)+1,FIND("/",AQ6,FIND("/",AQ6)+1)-FIND("/",AQ6)-1))),""))</f>
        <v/>
      </c>
      <c r="AS6" s="26">
        <f>IF(G6="","",IF(AND(AG6&lt;&gt;"",AG6&lt;&gt;"Bayi Aracı"),"Evet","Hayır"))</f>
        <v/>
      </c>
      <c r="AT6" s="26">
        <f>IF(G6="","",IF(AND(AS6="Evet",T6="Siparişiniz Teslim Edildi"),"Evet","Hayır"))</f>
        <v/>
      </c>
      <c r="AU6" s="26">
        <f>IF(G6="","",IF(AB6="Siparişinizin Montajı Yapıldı","Evet","Hayır"))</f>
        <v/>
      </c>
      <c r="AV6" s="27">
        <f>IF(G6="","",IF(AT6="Evet",AR6,IF(AU6="Evet",AP6,"")))</f>
        <v/>
      </c>
    </row>
    <row r="7">
      <c r="A7" s="23" t="n"/>
      <c r="B7" s="23" t="n"/>
      <c r="C7" s="23" t="n"/>
      <c r="D7" s="23" t="n"/>
      <c r="E7" s="23" t="n"/>
      <c r="F7" s="23" t="n"/>
      <c r="G7" s="23" t="n"/>
      <c r="H7" s="23" t="n"/>
      <c r="I7" s="23" t="n"/>
      <c r="J7" s="23" t="n"/>
      <c r="K7" s="23" t="n"/>
      <c r="L7" s="23" t="n"/>
      <c r="M7" s="23" t="n"/>
      <c r="N7" s="23" t="n"/>
      <c r="O7" s="23" t="n"/>
      <c r="P7" s="23" t="n"/>
      <c r="Q7" s="23" t="n"/>
      <c r="R7" s="23" t="n"/>
      <c r="S7" s="23" t="n"/>
      <c r="T7" s="23" t="n"/>
      <c r="U7" s="23" t="n"/>
      <c r="V7" s="23" t="n"/>
      <c r="W7" s="23" t="n"/>
      <c r="X7" s="23" t="n"/>
      <c r="Y7" s="23" t="n"/>
      <c r="Z7" s="23" t="n"/>
      <c r="AA7" s="23" t="n"/>
      <c r="AB7" s="23" t="n"/>
      <c r="AC7" s="23" t="n"/>
      <c r="AD7" s="23" t="n"/>
      <c r="AE7" s="23" t="n"/>
      <c r="AF7" s="23" t="n"/>
      <c r="AG7" s="23" t="n"/>
      <c r="AH7" s="23" t="n"/>
      <c r="AI7" s="23" t="n"/>
      <c r="AJ7" s="23" t="n"/>
      <c r="AK7" s="23" t="n"/>
      <c r="AL7" s="23" t="n"/>
      <c r="AM7" s="26">
        <f>IF(G7="","",G7&amp;"|"&amp;P7)</f>
        <v/>
      </c>
      <c r="AN7" s="27">
        <f>IF(I7="","",IFERROR(DATE(VALUE(RIGHT(I7,4)),VALUE(MID(I7,4,2)),VALUE(LEFT(I7,2))),""))</f>
        <v/>
      </c>
      <c r="AO7" s="27">
        <f>IF(Y7="","",IFERROR(DATE(VALUE(RIGHT(Y7,4)),VALUE(MID(Y7,4,2)),VALUE(LEFT(Y7,2))),""))</f>
        <v/>
      </c>
      <c r="AP7" s="27">
        <f>IF(AC7="","",IFERROR(DATE(VALUE(RIGHT(AC7,4)),VALUE(MID(AC7,4,2)),VALUE(LEFT(AC7,2))),""))</f>
        <v/>
      </c>
      <c r="AQ7" s="26">
        <f>IF(AI7="","",TRIM(LEFT(AI7,FIND(" ",AI7&amp;" ")-1)))</f>
        <v/>
      </c>
      <c r="AR7" s="27">
        <f>IF(AQ7="","",IFERROR(DATE(VALUE(MID(AQ7,FIND("/",AQ7,FIND("/",AQ7)+1)+1,4)),VALUE(LEFT(AQ7,FIND("/",AQ7)-1)),VALUE(MID(AQ7,FIND("/",AQ7)+1,FIND("/",AQ7,FIND("/",AQ7)+1)-FIND("/",AQ7)-1))),""))</f>
        <v/>
      </c>
      <c r="AS7" s="26">
        <f>IF(G7="","",IF(AND(AG7&lt;&gt;"",AG7&lt;&gt;"Bayi Aracı"),"Evet","Hayır"))</f>
        <v/>
      </c>
      <c r="AT7" s="26">
        <f>IF(G7="","",IF(AND(AS7="Evet",T7="Siparişiniz Teslim Edildi"),"Evet","Hayır"))</f>
        <v/>
      </c>
      <c r="AU7" s="26">
        <f>IF(G7="","",IF(AB7="Siparişinizin Montajı Yapıldı","Evet","Hayır"))</f>
        <v/>
      </c>
      <c r="AV7" s="27">
        <f>IF(G7="","",IF(AT7="Evet",AR7,IF(AU7="Evet",AP7,"")))</f>
        <v/>
      </c>
    </row>
    <row r="8">
      <c r="A8" s="23" t="n"/>
      <c r="B8" s="23" t="n"/>
      <c r="C8" s="23" t="n"/>
      <c r="D8" s="23" t="n"/>
      <c r="E8" s="23" t="n"/>
      <c r="F8" s="23" t="n"/>
      <c r="G8" s="23" t="n"/>
      <c r="H8" s="23" t="n"/>
      <c r="I8" s="23" t="n"/>
      <c r="J8" s="23" t="n"/>
      <c r="K8" s="23" t="n"/>
      <c r="L8" s="23" t="n"/>
      <c r="M8" s="23" t="n"/>
      <c r="N8" s="23" t="n"/>
      <c r="O8" s="23" t="n"/>
      <c r="P8" s="23" t="n"/>
      <c r="Q8" s="23" t="n"/>
      <c r="R8" s="23" t="n"/>
      <c r="S8" s="23" t="n"/>
      <c r="T8" s="23" t="n"/>
      <c r="U8" s="23" t="n"/>
      <c r="V8" s="23" t="n"/>
      <c r="W8" s="23" t="n"/>
      <c r="X8" s="23" t="n"/>
      <c r="Y8" s="23" t="n"/>
      <c r="Z8" s="23" t="n"/>
      <c r="AA8" s="23" t="n"/>
      <c r="AB8" s="23" t="n"/>
      <c r="AC8" s="23" t="n"/>
      <c r="AD8" s="23" t="n"/>
      <c r="AE8" s="23" t="n"/>
      <c r="AF8" s="23" t="n"/>
      <c r="AG8" s="23" t="n"/>
      <c r="AH8" s="23" t="n"/>
      <c r="AI8" s="23" t="n"/>
      <c r="AJ8" s="23" t="n"/>
      <c r="AK8" s="23" t="n"/>
      <c r="AL8" s="23" t="n"/>
      <c r="AM8" s="26">
        <f>IF(G8="","",G8&amp;"|"&amp;P8)</f>
        <v/>
      </c>
      <c r="AN8" s="27">
        <f>IF(I8="","",IFERROR(DATE(VALUE(RIGHT(I8,4)),VALUE(MID(I8,4,2)),VALUE(LEFT(I8,2))),""))</f>
        <v/>
      </c>
      <c r="AO8" s="27">
        <f>IF(Y8="","",IFERROR(DATE(VALUE(RIGHT(Y8,4)),VALUE(MID(Y8,4,2)),VALUE(LEFT(Y8,2))),""))</f>
        <v/>
      </c>
      <c r="AP8" s="27">
        <f>IF(AC8="","",IFERROR(DATE(VALUE(RIGHT(AC8,4)),VALUE(MID(AC8,4,2)),VALUE(LEFT(AC8,2))),""))</f>
        <v/>
      </c>
      <c r="AQ8" s="26">
        <f>IF(AI8="","",TRIM(LEFT(AI8,FIND(" ",AI8&amp;" ")-1)))</f>
        <v/>
      </c>
      <c r="AR8" s="27">
        <f>IF(AQ8="","",IFERROR(DATE(VALUE(MID(AQ8,FIND("/",AQ8,FIND("/",AQ8)+1)+1,4)),VALUE(LEFT(AQ8,FIND("/",AQ8)-1)),VALUE(MID(AQ8,FIND("/",AQ8)+1,FIND("/",AQ8,FIND("/",AQ8)+1)-FIND("/",AQ8)-1))),""))</f>
        <v/>
      </c>
      <c r="AS8" s="26">
        <f>IF(G8="","",IF(AND(AG8&lt;&gt;"",AG8&lt;&gt;"Bayi Aracı"),"Evet","Hayır"))</f>
        <v/>
      </c>
      <c r="AT8" s="26">
        <f>IF(G8="","",IF(AND(AS8="Evet",T8="Siparişiniz Teslim Edildi"),"Evet","Hayır"))</f>
        <v/>
      </c>
      <c r="AU8" s="26">
        <f>IF(G8="","",IF(AB8="Siparişinizin Montajı Yapıldı","Evet","Hayır"))</f>
        <v/>
      </c>
      <c r="AV8" s="27">
        <f>IF(G8="","",IF(AT8="Evet",AR8,IF(AU8="Evet",AP8,"")))</f>
        <v/>
      </c>
    </row>
    <row r="9">
      <c r="A9" s="23" t="n"/>
      <c r="B9" s="23" t="n"/>
      <c r="C9" s="23" t="n"/>
      <c r="D9" s="23" t="n"/>
      <c r="E9" s="23" t="n"/>
      <c r="F9" s="23" t="n"/>
      <c r="G9" s="23" t="n"/>
      <c r="H9" s="23" t="n"/>
      <c r="I9" s="23" t="n"/>
      <c r="J9" s="23" t="n"/>
      <c r="K9" s="23" t="n"/>
      <c r="L9" s="23" t="n"/>
      <c r="M9" s="23" t="n"/>
      <c r="N9" s="23" t="n"/>
      <c r="O9" s="23" t="n"/>
      <c r="P9" s="23" t="n"/>
      <c r="Q9" s="23" t="n"/>
      <c r="R9" s="23" t="n"/>
      <c r="S9" s="23" t="n"/>
      <c r="T9" s="23" t="n"/>
      <c r="U9" s="23" t="n"/>
      <c r="V9" s="23" t="n"/>
      <c r="W9" s="23" t="n"/>
      <c r="X9" s="23" t="n"/>
      <c r="Y9" s="23" t="n"/>
      <c r="Z9" s="23" t="n"/>
      <c r="AA9" s="23" t="n"/>
      <c r="AB9" s="23" t="n"/>
      <c r="AC9" s="23" t="n"/>
      <c r="AD9" s="23" t="n"/>
      <c r="AE9" s="23" t="n"/>
      <c r="AF9" s="23" t="n"/>
      <c r="AG9" s="23" t="n"/>
      <c r="AH9" s="23" t="n"/>
      <c r="AI9" s="23" t="n"/>
      <c r="AJ9" s="23" t="n"/>
      <c r="AK9" s="23" t="n"/>
      <c r="AL9" s="23" t="n"/>
      <c r="AM9" s="26">
        <f>IF(G9="","",G9&amp;"|"&amp;P9)</f>
        <v/>
      </c>
      <c r="AN9" s="27">
        <f>IF(I9="","",IFERROR(DATE(VALUE(RIGHT(I9,4)),VALUE(MID(I9,4,2)),VALUE(LEFT(I9,2))),""))</f>
        <v/>
      </c>
      <c r="AO9" s="27">
        <f>IF(Y9="","",IFERROR(DATE(VALUE(RIGHT(Y9,4)),VALUE(MID(Y9,4,2)),VALUE(LEFT(Y9,2))),""))</f>
        <v/>
      </c>
      <c r="AP9" s="27">
        <f>IF(AC9="","",IFERROR(DATE(VALUE(RIGHT(AC9,4)),VALUE(MID(AC9,4,2)),VALUE(LEFT(AC9,2))),""))</f>
        <v/>
      </c>
      <c r="AQ9" s="26">
        <f>IF(AI9="","",TRIM(LEFT(AI9,FIND(" ",AI9&amp;" ")-1)))</f>
        <v/>
      </c>
      <c r="AR9" s="27">
        <f>IF(AQ9="","",IFERROR(DATE(VALUE(MID(AQ9,FIND("/",AQ9,FIND("/",AQ9)+1)+1,4)),VALUE(LEFT(AQ9,FIND("/",AQ9)-1)),VALUE(MID(AQ9,FIND("/",AQ9)+1,FIND("/",AQ9,FIND("/",AQ9)+1)-FIND("/",AQ9)-1))),""))</f>
        <v/>
      </c>
      <c r="AS9" s="26">
        <f>IF(G9="","",IF(AND(AG9&lt;&gt;"",AG9&lt;&gt;"Bayi Aracı"),"Evet","Hayır"))</f>
        <v/>
      </c>
      <c r="AT9" s="26">
        <f>IF(G9="","",IF(AND(AS9="Evet",T9="Siparişiniz Teslim Edildi"),"Evet","Hayır"))</f>
        <v/>
      </c>
      <c r="AU9" s="26">
        <f>IF(G9="","",IF(AB9="Siparişinizin Montajı Yapıldı","Evet","Hayır"))</f>
        <v/>
      </c>
      <c r="AV9" s="27">
        <f>IF(G9="","",IF(AT9="Evet",AR9,IF(AU9="Evet",AP9,"")))</f>
        <v/>
      </c>
    </row>
    <row r="10">
      <c r="A10" s="23" t="n"/>
      <c r="B10" s="23" t="n"/>
      <c r="C10" s="23" t="n"/>
      <c r="D10" s="23" t="n"/>
      <c r="E10" s="23" t="n"/>
      <c r="F10" s="23" t="n"/>
      <c r="G10" s="23" t="n"/>
      <c r="H10" s="23" t="n"/>
      <c r="I10" s="23" t="n"/>
      <c r="J10" s="23" t="n"/>
      <c r="K10" s="23" t="n"/>
      <c r="L10" s="23" t="n"/>
      <c r="M10" s="23" t="n"/>
      <c r="N10" s="23" t="n"/>
      <c r="O10" s="23" t="n"/>
      <c r="P10" s="23" t="n"/>
      <c r="Q10" s="23" t="n"/>
      <c r="R10" s="23" t="n"/>
      <c r="S10" s="23" t="n"/>
      <c r="T10" s="23" t="n"/>
      <c r="U10" s="23" t="n"/>
      <c r="V10" s="23" t="n"/>
      <c r="W10" s="23" t="n"/>
      <c r="X10" s="23" t="n"/>
      <c r="Y10" s="23" t="n"/>
      <c r="Z10" s="23" t="n"/>
      <c r="AA10" s="23" t="n"/>
      <c r="AB10" s="23" t="n"/>
      <c r="AC10" s="23" t="n"/>
      <c r="AD10" s="23" t="n"/>
      <c r="AE10" s="23" t="n"/>
      <c r="AF10" s="23" t="n"/>
      <c r="AG10" s="23" t="n"/>
      <c r="AH10" s="23" t="n"/>
      <c r="AI10" s="23" t="n"/>
      <c r="AJ10" s="23" t="n"/>
      <c r="AK10" s="23" t="n"/>
      <c r="AL10" s="23" t="n"/>
      <c r="AM10" s="26">
        <f>IF(G10="","",G10&amp;"|"&amp;P10)</f>
        <v/>
      </c>
      <c r="AN10" s="27">
        <f>IF(I10="","",IFERROR(DATE(VALUE(RIGHT(I10,4)),VALUE(MID(I10,4,2)),VALUE(LEFT(I10,2))),""))</f>
        <v/>
      </c>
      <c r="AO10" s="27">
        <f>IF(Y10="","",IFERROR(DATE(VALUE(RIGHT(Y10,4)),VALUE(MID(Y10,4,2)),VALUE(LEFT(Y10,2))),""))</f>
        <v/>
      </c>
      <c r="AP10" s="27">
        <f>IF(AC10="","",IFERROR(DATE(VALUE(RIGHT(AC10,4)),VALUE(MID(AC10,4,2)),VALUE(LEFT(AC10,2))),""))</f>
        <v/>
      </c>
      <c r="AQ10" s="26">
        <f>IF(AI10="","",TRIM(LEFT(AI10,FIND(" ",AI10&amp;" ")-1)))</f>
        <v/>
      </c>
      <c r="AR10" s="27">
        <f>IF(AQ10="","",IFERROR(DATE(VALUE(MID(AQ10,FIND("/",AQ10,FIND("/",AQ10)+1)+1,4)),VALUE(LEFT(AQ10,FIND("/",AQ10)-1)),VALUE(MID(AQ10,FIND("/",AQ10)+1,FIND("/",AQ10,FIND("/",AQ10)+1)-FIND("/",AQ10)-1))),""))</f>
        <v/>
      </c>
      <c r="AS10" s="26">
        <f>IF(G10="","",IF(AND(AG10&lt;&gt;"",AG10&lt;&gt;"Bayi Aracı"),"Evet","Hayır"))</f>
        <v/>
      </c>
      <c r="AT10" s="26">
        <f>IF(G10="","",IF(AND(AS10="Evet",T10="Siparişiniz Teslim Edildi"),"Evet","Hayır"))</f>
        <v/>
      </c>
      <c r="AU10" s="26">
        <f>IF(G10="","",IF(AB10="Siparişinizin Montajı Yapıldı","Evet","Hayır"))</f>
        <v/>
      </c>
      <c r="AV10" s="27">
        <f>IF(G10="","",IF(AT10="Evet",AR10,IF(AU10="Evet",AP10,"")))</f>
        <v/>
      </c>
    </row>
    <row r="1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c r="AA11" s="23" t="n"/>
      <c r="AB11" s="23" t="n"/>
      <c r="AC11" s="23" t="n"/>
      <c r="AD11" s="23" t="n"/>
      <c r="AE11" s="23" t="n"/>
      <c r="AF11" s="23" t="n"/>
      <c r="AG11" s="23" t="n"/>
      <c r="AH11" s="23" t="n"/>
      <c r="AI11" s="23" t="n"/>
      <c r="AJ11" s="23" t="n"/>
      <c r="AK11" s="23" t="n"/>
      <c r="AL11" s="23" t="n"/>
      <c r="AM11" s="26">
        <f>IF(G11="","",G11&amp;"|"&amp;P11)</f>
        <v/>
      </c>
      <c r="AN11" s="27">
        <f>IF(I11="","",IFERROR(DATE(VALUE(RIGHT(I11,4)),VALUE(MID(I11,4,2)),VALUE(LEFT(I11,2))),""))</f>
        <v/>
      </c>
      <c r="AO11" s="27">
        <f>IF(Y11="","",IFERROR(DATE(VALUE(RIGHT(Y11,4)),VALUE(MID(Y11,4,2)),VALUE(LEFT(Y11,2))),""))</f>
        <v/>
      </c>
      <c r="AP11" s="27">
        <f>IF(AC11="","",IFERROR(DATE(VALUE(RIGHT(AC11,4)),VALUE(MID(AC11,4,2)),VALUE(LEFT(AC11,2))),""))</f>
        <v/>
      </c>
      <c r="AQ11" s="26">
        <f>IF(AI11="","",TRIM(LEFT(AI11,FIND(" ",AI11&amp;" ")-1)))</f>
        <v/>
      </c>
      <c r="AR11" s="27">
        <f>IF(AQ11="","",IFERROR(DATE(VALUE(MID(AQ11,FIND("/",AQ11,FIND("/",AQ11)+1)+1,4)),VALUE(LEFT(AQ11,FIND("/",AQ11)-1)),VALUE(MID(AQ11,FIND("/",AQ11)+1,FIND("/",AQ11,FIND("/",AQ11)+1)-FIND("/",AQ11)-1))),""))</f>
        <v/>
      </c>
      <c r="AS11" s="26">
        <f>IF(G11="","",IF(AND(AG11&lt;&gt;"",AG11&lt;&gt;"Bayi Aracı"),"Evet","Hayır"))</f>
        <v/>
      </c>
      <c r="AT11" s="26">
        <f>IF(G11="","",IF(AND(AS11="Evet",T11="Siparişiniz Teslim Edildi"),"Evet","Hayır"))</f>
        <v/>
      </c>
      <c r="AU11" s="26">
        <f>IF(G11="","",IF(AB11="Siparişinizin Montajı Yapıldı","Evet","Hayır"))</f>
        <v/>
      </c>
      <c r="AV11" s="27">
        <f>IF(G11="","",IF(AT11="Evet",AR11,IF(AU11="Evet",AP11,"")))</f>
        <v/>
      </c>
    </row>
    <row r="12">
      <c r="A12" s="23" t="n"/>
      <c r="B12" s="23" t="n"/>
      <c r="C12" s="23" t="n"/>
      <c r="D12" s="23" t="n"/>
      <c r="E12" s="23" t="n"/>
      <c r="F12" s="23" t="n"/>
      <c r="G12" s="23" t="n"/>
      <c r="H12" s="23" t="n"/>
      <c r="I12" s="23" t="n"/>
      <c r="J12" s="23" t="n"/>
      <c r="K12" s="23" t="n"/>
      <c r="L12" s="23" t="n"/>
      <c r="M12" s="23" t="n"/>
      <c r="N12" s="23" t="n"/>
      <c r="O12" s="23" t="n"/>
      <c r="P12" s="23" t="n"/>
      <c r="Q12" s="23" t="n"/>
      <c r="R12" s="23" t="n"/>
      <c r="S12" s="23" t="n"/>
      <c r="T12" s="23" t="n"/>
      <c r="U12" s="23" t="n"/>
      <c r="V12" s="23" t="n"/>
      <c r="W12" s="23" t="n"/>
      <c r="X12" s="23" t="n"/>
      <c r="Y12" s="23" t="n"/>
      <c r="Z12" s="23" t="n"/>
      <c r="AA12" s="23" t="n"/>
      <c r="AB12" s="23" t="n"/>
      <c r="AC12" s="23" t="n"/>
      <c r="AD12" s="23" t="n"/>
      <c r="AE12" s="23" t="n"/>
      <c r="AF12" s="23" t="n"/>
      <c r="AG12" s="23" t="n"/>
      <c r="AH12" s="23" t="n"/>
      <c r="AI12" s="23" t="n"/>
      <c r="AJ12" s="23" t="n"/>
      <c r="AK12" s="23" t="n"/>
      <c r="AL12" s="23" t="n"/>
      <c r="AM12" s="26">
        <f>IF(G12="","",G12&amp;"|"&amp;P12)</f>
        <v/>
      </c>
      <c r="AN12" s="27">
        <f>IF(I12="","",IFERROR(DATE(VALUE(RIGHT(I12,4)),VALUE(MID(I12,4,2)),VALUE(LEFT(I12,2))),""))</f>
        <v/>
      </c>
      <c r="AO12" s="27">
        <f>IF(Y12="","",IFERROR(DATE(VALUE(RIGHT(Y12,4)),VALUE(MID(Y12,4,2)),VALUE(LEFT(Y12,2))),""))</f>
        <v/>
      </c>
      <c r="AP12" s="27">
        <f>IF(AC12="","",IFERROR(DATE(VALUE(RIGHT(AC12,4)),VALUE(MID(AC12,4,2)),VALUE(LEFT(AC12,2))),""))</f>
        <v/>
      </c>
      <c r="AQ12" s="26">
        <f>IF(AI12="","",TRIM(LEFT(AI12,FIND(" ",AI12&amp;" ")-1)))</f>
        <v/>
      </c>
      <c r="AR12" s="27">
        <f>IF(AQ12="","",IFERROR(DATE(VALUE(MID(AQ12,FIND("/",AQ12,FIND("/",AQ12)+1)+1,4)),VALUE(LEFT(AQ12,FIND("/",AQ12)-1)),VALUE(MID(AQ12,FIND("/",AQ12)+1,FIND("/",AQ12,FIND("/",AQ12)+1)-FIND("/",AQ12)-1))),""))</f>
        <v/>
      </c>
      <c r="AS12" s="26">
        <f>IF(G12="","",IF(AND(AG12&lt;&gt;"",AG12&lt;&gt;"Bayi Aracı"),"Evet","Hayır"))</f>
        <v/>
      </c>
      <c r="AT12" s="26">
        <f>IF(G12="","",IF(AND(AS12="Evet",T12="Siparişiniz Teslim Edildi"),"Evet","Hayır"))</f>
        <v/>
      </c>
      <c r="AU12" s="26">
        <f>IF(G12="","",IF(AB12="Siparişinizin Montajı Yapıldı","Evet","Hayır"))</f>
        <v/>
      </c>
      <c r="AV12" s="27">
        <f>IF(G12="","",IF(AT12="Evet",AR12,IF(AU12="Evet",AP12,"")))</f>
        <v/>
      </c>
    </row>
    <row r="13">
      <c r="A13" s="23" t="n"/>
      <c r="B13" s="23" t="n"/>
      <c r="C13" s="23" t="n"/>
      <c r="D13" s="23" t="n"/>
      <c r="E13" s="23" t="n"/>
      <c r="F13" s="23" t="n"/>
      <c r="G13" s="23" t="n"/>
      <c r="H13" s="23" t="n"/>
      <c r="I13" s="23" t="n"/>
      <c r="J13" s="23" t="n"/>
      <c r="K13" s="23" t="n"/>
      <c r="L13" s="23" t="n"/>
      <c r="M13" s="23" t="n"/>
      <c r="N13" s="23" t="n"/>
      <c r="O13" s="23" t="n"/>
      <c r="P13" s="23" t="n"/>
      <c r="Q13" s="23" t="n"/>
      <c r="R13" s="23" t="n"/>
      <c r="S13" s="23" t="n"/>
      <c r="T13" s="23" t="n"/>
      <c r="U13" s="23" t="n"/>
      <c r="V13" s="23" t="n"/>
      <c r="W13" s="23" t="n"/>
      <c r="X13" s="23" t="n"/>
      <c r="Y13" s="23" t="n"/>
      <c r="Z13" s="23" t="n"/>
      <c r="AA13" s="23" t="n"/>
      <c r="AB13" s="23" t="n"/>
      <c r="AC13" s="23" t="n"/>
      <c r="AD13" s="23" t="n"/>
      <c r="AE13" s="23" t="n"/>
      <c r="AF13" s="23" t="n"/>
      <c r="AG13" s="23" t="n"/>
      <c r="AH13" s="23" t="n"/>
      <c r="AI13" s="23" t="n"/>
      <c r="AJ13" s="23" t="n"/>
      <c r="AK13" s="23" t="n"/>
      <c r="AL13" s="23" t="n"/>
      <c r="AM13" s="26">
        <f>IF(G13="","",G13&amp;"|"&amp;P13)</f>
        <v/>
      </c>
      <c r="AN13" s="27">
        <f>IF(I13="","",IFERROR(DATE(VALUE(RIGHT(I13,4)),VALUE(MID(I13,4,2)),VALUE(LEFT(I13,2))),""))</f>
        <v/>
      </c>
      <c r="AO13" s="27">
        <f>IF(Y13="","",IFERROR(DATE(VALUE(RIGHT(Y13,4)),VALUE(MID(Y13,4,2)),VALUE(LEFT(Y13,2))),""))</f>
        <v/>
      </c>
      <c r="AP13" s="27">
        <f>IF(AC13="","",IFERROR(DATE(VALUE(RIGHT(AC13,4)),VALUE(MID(AC13,4,2)),VALUE(LEFT(AC13,2))),""))</f>
        <v/>
      </c>
      <c r="AQ13" s="26">
        <f>IF(AI13="","",TRIM(LEFT(AI13,FIND(" ",AI13&amp;" ")-1)))</f>
        <v/>
      </c>
      <c r="AR13" s="27">
        <f>IF(AQ13="","",IFERROR(DATE(VALUE(MID(AQ13,FIND("/",AQ13,FIND("/",AQ13)+1)+1,4)),VALUE(LEFT(AQ13,FIND("/",AQ13)-1)),VALUE(MID(AQ13,FIND("/",AQ13)+1,FIND("/",AQ13,FIND("/",AQ13)+1)-FIND("/",AQ13)-1))),""))</f>
        <v/>
      </c>
      <c r="AS13" s="26">
        <f>IF(G13="","",IF(AND(AG13&lt;&gt;"",AG13&lt;&gt;"Bayi Aracı"),"Evet","Hayır"))</f>
        <v/>
      </c>
      <c r="AT13" s="26">
        <f>IF(G13="","",IF(AND(AS13="Evet",T13="Siparişiniz Teslim Edildi"),"Evet","Hayır"))</f>
        <v/>
      </c>
      <c r="AU13" s="26">
        <f>IF(G13="","",IF(AB13="Siparişinizin Montajı Yapıldı","Evet","Hayır"))</f>
        <v/>
      </c>
      <c r="AV13" s="27">
        <f>IF(G13="","",IF(AT13="Evet",AR13,IF(AU13="Evet",AP13,"")))</f>
        <v/>
      </c>
    </row>
    <row r="14">
      <c r="A14" s="23" t="n"/>
      <c r="B14" s="23" t="n"/>
      <c r="C14" s="23" t="n"/>
      <c r="D14" s="23" t="n"/>
      <c r="E14" s="23" t="n"/>
      <c r="F14" s="23" t="n"/>
      <c r="G14" s="23" t="n"/>
      <c r="H14" s="23" t="n"/>
      <c r="I14" s="23" t="n"/>
      <c r="J14" s="23" t="n"/>
      <c r="K14" s="23" t="n"/>
      <c r="L14" s="23" t="n"/>
      <c r="M14" s="23" t="n"/>
      <c r="N14" s="23" t="n"/>
      <c r="O14" s="23" t="n"/>
      <c r="P14" s="23" t="n"/>
      <c r="Q14" s="23" t="n"/>
      <c r="R14" s="23" t="n"/>
      <c r="S14" s="23" t="n"/>
      <c r="T14" s="23" t="n"/>
      <c r="U14" s="23" t="n"/>
      <c r="V14" s="23" t="n"/>
      <c r="W14" s="23" t="n"/>
      <c r="X14" s="23" t="n"/>
      <c r="Y14" s="23" t="n"/>
      <c r="Z14" s="23" t="n"/>
      <c r="AA14" s="23" t="n"/>
      <c r="AB14" s="23" t="n"/>
      <c r="AC14" s="23" t="n"/>
      <c r="AD14" s="23" t="n"/>
      <c r="AE14" s="23" t="n"/>
      <c r="AF14" s="23" t="n"/>
      <c r="AG14" s="23" t="n"/>
      <c r="AH14" s="23" t="n"/>
      <c r="AI14" s="23" t="n"/>
      <c r="AJ14" s="23" t="n"/>
      <c r="AK14" s="23" t="n"/>
      <c r="AL14" s="23" t="n"/>
      <c r="AM14" s="26">
        <f>IF(G14="","",G14&amp;"|"&amp;P14)</f>
        <v/>
      </c>
      <c r="AN14" s="27">
        <f>IF(I14="","",IFERROR(DATE(VALUE(RIGHT(I14,4)),VALUE(MID(I14,4,2)),VALUE(LEFT(I14,2))),""))</f>
        <v/>
      </c>
      <c r="AO14" s="27">
        <f>IF(Y14="","",IFERROR(DATE(VALUE(RIGHT(Y14,4)),VALUE(MID(Y14,4,2)),VALUE(LEFT(Y14,2))),""))</f>
        <v/>
      </c>
      <c r="AP14" s="27">
        <f>IF(AC14="","",IFERROR(DATE(VALUE(RIGHT(AC14,4)),VALUE(MID(AC14,4,2)),VALUE(LEFT(AC14,2))),""))</f>
        <v/>
      </c>
      <c r="AQ14" s="26">
        <f>IF(AI14="","",TRIM(LEFT(AI14,FIND(" ",AI14&amp;" ")-1)))</f>
        <v/>
      </c>
      <c r="AR14" s="27">
        <f>IF(AQ14="","",IFERROR(DATE(VALUE(MID(AQ14,FIND("/",AQ14,FIND("/",AQ14)+1)+1,4)),VALUE(LEFT(AQ14,FIND("/",AQ14)-1)),VALUE(MID(AQ14,FIND("/",AQ14)+1,FIND("/",AQ14,FIND("/",AQ14)+1)-FIND("/",AQ14)-1))),""))</f>
        <v/>
      </c>
      <c r="AS14" s="26">
        <f>IF(G14="","",IF(AND(AG14&lt;&gt;"",AG14&lt;&gt;"Bayi Aracı"),"Evet","Hayır"))</f>
        <v/>
      </c>
      <c r="AT14" s="26">
        <f>IF(G14="","",IF(AND(AS14="Evet",T14="Siparişiniz Teslim Edildi"),"Evet","Hayır"))</f>
        <v/>
      </c>
      <c r="AU14" s="26">
        <f>IF(G14="","",IF(AB14="Siparişinizin Montajı Yapıldı","Evet","Hayır"))</f>
        <v/>
      </c>
      <c r="AV14" s="27">
        <f>IF(G14="","",IF(AT14="Evet",AR14,IF(AU14="Evet",AP14,"")))</f>
        <v/>
      </c>
    </row>
    <row r="15">
      <c r="A15" s="23" t="n"/>
      <c r="B15" s="23" t="n"/>
      <c r="C15" s="23" t="n"/>
      <c r="D15" s="23" t="n"/>
      <c r="E15" s="23" t="n"/>
      <c r="F15" s="23" t="n"/>
      <c r="G15" s="23" t="n"/>
      <c r="H15" s="23" t="n"/>
      <c r="I15" s="23" t="n"/>
      <c r="J15" s="23" t="n"/>
      <c r="K15" s="23" t="n"/>
      <c r="L15" s="23" t="n"/>
      <c r="M15" s="23" t="n"/>
      <c r="N15" s="23" t="n"/>
      <c r="O15" s="23" t="n"/>
      <c r="P15" s="23" t="n"/>
      <c r="Q15" s="23" t="n"/>
      <c r="R15" s="23" t="n"/>
      <c r="S15" s="23" t="n"/>
      <c r="T15" s="23" t="n"/>
      <c r="U15" s="23" t="n"/>
      <c r="V15" s="23" t="n"/>
      <c r="W15" s="23" t="n"/>
      <c r="X15" s="23" t="n"/>
      <c r="Y15" s="23" t="n"/>
      <c r="Z15" s="23" t="n"/>
      <c r="AA15" s="23" t="n"/>
      <c r="AB15" s="23" t="n"/>
      <c r="AC15" s="23" t="n"/>
      <c r="AD15" s="23" t="n"/>
      <c r="AE15" s="23" t="n"/>
      <c r="AF15" s="23" t="n"/>
      <c r="AG15" s="23" t="n"/>
      <c r="AH15" s="23" t="n"/>
      <c r="AI15" s="23" t="n"/>
      <c r="AJ15" s="23" t="n"/>
      <c r="AK15" s="23" t="n"/>
      <c r="AL15" s="23" t="n"/>
      <c r="AM15" s="26">
        <f>IF(G15="","",G15&amp;"|"&amp;P15)</f>
        <v/>
      </c>
      <c r="AN15" s="27">
        <f>IF(I15="","",IFERROR(DATE(VALUE(RIGHT(I15,4)),VALUE(MID(I15,4,2)),VALUE(LEFT(I15,2))),""))</f>
        <v/>
      </c>
      <c r="AO15" s="27">
        <f>IF(Y15="","",IFERROR(DATE(VALUE(RIGHT(Y15,4)),VALUE(MID(Y15,4,2)),VALUE(LEFT(Y15,2))),""))</f>
        <v/>
      </c>
      <c r="AP15" s="27">
        <f>IF(AC15="","",IFERROR(DATE(VALUE(RIGHT(AC15,4)),VALUE(MID(AC15,4,2)),VALUE(LEFT(AC15,2))),""))</f>
        <v/>
      </c>
      <c r="AQ15" s="26">
        <f>IF(AI15="","",TRIM(LEFT(AI15,FIND(" ",AI15&amp;" ")-1)))</f>
        <v/>
      </c>
      <c r="AR15" s="27">
        <f>IF(AQ15="","",IFERROR(DATE(VALUE(MID(AQ15,FIND("/",AQ15,FIND("/",AQ15)+1)+1,4)),VALUE(LEFT(AQ15,FIND("/",AQ15)-1)),VALUE(MID(AQ15,FIND("/",AQ15)+1,FIND("/",AQ15,FIND("/",AQ15)+1)-FIND("/",AQ15)-1))),""))</f>
        <v/>
      </c>
      <c r="AS15" s="26">
        <f>IF(G15="","",IF(AND(AG15&lt;&gt;"",AG15&lt;&gt;"Bayi Aracı"),"Evet","Hayır"))</f>
        <v/>
      </c>
      <c r="AT15" s="26">
        <f>IF(G15="","",IF(AND(AS15="Evet",T15="Siparişiniz Teslim Edildi"),"Evet","Hayır"))</f>
        <v/>
      </c>
      <c r="AU15" s="26">
        <f>IF(G15="","",IF(AB15="Siparişinizin Montajı Yapıldı","Evet","Hayır"))</f>
        <v/>
      </c>
      <c r="AV15" s="27">
        <f>IF(G15="","",IF(AT15="Evet",AR15,IF(AU15="Evet",AP15,"")))</f>
        <v/>
      </c>
    </row>
    <row r="16">
      <c r="A16" s="23" t="n"/>
      <c r="B16" s="23" t="n"/>
      <c r="C16" s="23" t="n"/>
      <c r="D16" s="23" t="n"/>
      <c r="E16" s="23" t="n"/>
      <c r="F16" s="23" t="n"/>
      <c r="G16" s="23" t="n"/>
      <c r="H16" s="23" t="n"/>
      <c r="I16" s="23" t="n"/>
      <c r="J16" s="23" t="n"/>
      <c r="K16" s="23" t="n"/>
      <c r="L16" s="23" t="n"/>
      <c r="M16" s="23" t="n"/>
      <c r="N16" s="23" t="n"/>
      <c r="O16" s="23" t="n"/>
      <c r="P16" s="23" t="n"/>
      <c r="Q16" s="23" t="n"/>
      <c r="R16" s="23" t="n"/>
      <c r="S16" s="23" t="n"/>
      <c r="T16" s="23" t="n"/>
      <c r="U16" s="23" t="n"/>
      <c r="V16" s="23" t="n"/>
      <c r="W16" s="23" t="n"/>
      <c r="X16" s="23" t="n"/>
      <c r="Y16" s="23" t="n"/>
      <c r="Z16" s="23" t="n"/>
      <c r="AA16" s="23" t="n"/>
      <c r="AB16" s="23" t="n"/>
      <c r="AC16" s="23" t="n"/>
      <c r="AD16" s="23" t="n"/>
      <c r="AE16" s="23" t="n"/>
      <c r="AF16" s="23" t="n"/>
      <c r="AG16" s="23" t="n"/>
      <c r="AH16" s="23" t="n"/>
      <c r="AI16" s="23" t="n"/>
      <c r="AJ16" s="23" t="n"/>
      <c r="AK16" s="23" t="n"/>
      <c r="AL16" s="23" t="n"/>
      <c r="AM16" s="26">
        <f>IF(G16="","",G16&amp;"|"&amp;P16)</f>
        <v/>
      </c>
      <c r="AN16" s="27">
        <f>IF(I16="","",IFERROR(DATE(VALUE(RIGHT(I16,4)),VALUE(MID(I16,4,2)),VALUE(LEFT(I16,2))),""))</f>
        <v/>
      </c>
      <c r="AO16" s="27">
        <f>IF(Y16="","",IFERROR(DATE(VALUE(RIGHT(Y16,4)),VALUE(MID(Y16,4,2)),VALUE(LEFT(Y16,2))),""))</f>
        <v/>
      </c>
      <c r="AP16" s="27">
        <f>IF(AC16="","",IFERROR(DATE(VALUE(RIGHT(AC16,4)),VALUE(MID(AC16,4,2)),VALUE(LEFT(AC16,2))),""))</f>
        <v/>
      </c>
      <c r="AQ16" s="26">
        <f>IF(AI16="","",TRIM(LEFT(AI16,FIND(" ",AI16&amp;" ")-1)))</f>
        <v/>
      </c>
      <c r="AR16" s="27">
        <f>IF(AQ16="","",IFERROR(DATE(VALUE(MID(AQ16,FIND("/",AQ16,FIND("/",AQ16)+1)+1,4)),VALUE(LEFT(AQ16,FIND("/",AQ16)-1)),VALUE(MID(AQ16,FIND("/",AQ16)+1,FIND("/",AQ16,FIND("/",AQ16)+1)-FIND("/",AQ16)-1))),""))</f>
        <v/>
      </c>
      <c r="AS16" s="26">
        <f>IF(G16="","",IF(AND(AG16&lt;&gt;"",AG16&lt;&gt;"Bayi Aracı"),"Evet","Hayır"))</f>
        <v/>
      </c>
      <c r="AT16" s="26">
        <f>IF(G16="","",IF(AND(AS16="Evet",T16="Siparişiniz Teslim Edildi"),"Evet","Hayır"))</f>
        <v/>
      </c>
      <c r="AU16" s="26">
        <f>IF(G16="","",IF(AB16="Siparişinizin Montajı Yapıldı","Evet","Hayır"))</f>
        <v/>
      </c>
      <c r="AV16" s="27">
        <f>IF(G16="","",IF(AT16="Evet",AR16,IF(AU16="Evet",AP16,"")))</f>
        <v/>
      </c>
    </row>
    <row r="17">
      <c r="A17" s="23" t="n"/>
      <c r="B17" s="23" t="n"/>
      <c r="C17" s="23" t="n"/>
      <c r="D17" s="23" t="n"/>
      <c r="E17" s="23" t="n"/>
      <c r="F17" s="23" t="n"/>
      <c r="G17" s="23" t="n"/>
      <c r="H17" s="23" t="n"/>
      <c r="I17" s="23" t="n"/>
      <c r="J17" s="23" t="n"/>
      <c r="K17" s="23" t="n"/>
      <c r="L17" s="23" t="n"/>
      <c r="M17" s="23" t="n"/>
      <c r="N17" s="23" t="n"/>
      <c r="O17" s="23" t="n"/>
      <c r="P17" s="23" t="n"/>
      <c r="Q17" s="23" t="n"/>
      <c r="R17" s="23" t="n"/>
      <c r="S17" s="23" t="n"/>
      <c r="T17" s="23" t="n"/>
      <c r="U17" s="23" t="n"/>
      <c r="V17" s="23" t="n"/>
      <c r="W17" s="23" t="n"/>
      <c r="X17" s="23" t="n"/>
      <c r="Y17" s="23" t="n"/>
      <c r="Z17" s="23" t="n"/>
      <c r="AA17" s="23" t="n"/>
      <c r="AB17" s="23" t="n"/>
      <c r="AC17" s="23" t="n"/>
      <c r="AD17" s="23" t="n"/>
      <c r="AE17" s="23" t="n"/>
      <c r="AF17" s="23" t="n"/>
      <c r="AG17" s="23" t="n"/>
      <c r="AH17" s="23" t="n"/>
      <c r="AI17" s="23" t="n"/>
      <c r="AJ17" s="23" t="n"/>
      <c r="AK17" s="23" t="n"/>
      <c r="AL17" s="23" t="n"/>
      <c r="AM17" s="26">
        <f>IF(G17="","",G17&amp;"|"&amp;P17)</f>
        <v/>
      </c>
      <c r="AN17" s="27">
        <f>IF(I17="","",IFERROR(DATE(VALUE(RIGHT(I17,4)),VALUE(MID(I17,4,2)),VALUE(LEFT(I17,2))),""))</f>
        <v/>
      </c>
      <c r="AO17" s="27">
        <f>IF(Y17="","",IFERROR(DATE(VALUE(RIGHT(Y17,4)),VALUE(MID(Y17,4,2)),VALUE(LEFT(Y17,2))),""))</f>
        <v/>
      </c>
      <c r="AP17" s="27">
        <f>IF(AC17="","",IFERROR(DATE(VALUE(RIGHT(AC17,4)),VALUE(MID(AC17,4,2)),VALUE(LEFT(AC17,2))),""))</f>
        <v/>
      </c>
      <c r="AQ17" s="26">
        <f>IF(AI17="","",TRIM(LEFT(AI17,FIND(" ",AI17&amp;" ")-1)))</f>
        <v/>
      </c>
      <c r="AR17" s="27">
        <f>IF(AQ17="","",IFERROR(DATE(VALUE(MID(AQ17,FIND("/",AQ17,FIND("/",AQ17)+1)+1,4)),VALUE(LEFT(AQ17,FIND("/",AQ17)-1)),VALUE(MID(AQ17,FIND("/",AQ17)+1,FIND("/",AQ17,FIND("/",AQ17)+1)-FIND("/",AQ17)-1))),""))</f>
        <v/>
      </c>
      <c r="AS17" s="26">
        <f>IF(G17="","",IF(AND(AG17&lt;&gt;"",AG17&lt;&gt;"Bayi Aracı"),"Evet","Hayır"))</f>
        <v/>
      </c>
      <c r="AT17" s="26">
        <f>IF(G17="","",IF(AND(AS17="Evet",T17="Siparişiniz Teslim Edildi"),"Evet","Hayır"))</f>
        <v/>
      </c>
      <c r="AU17" s="26">
        <f>IF(G17="","",IF(AB17="Siparişinizin Montajı Yapıldı","Evet","Hayır"))</f>
        <v/>
      </c>
      <c r="AV17" s="27">
        <f>IF(G17="","",IF(AT17="Evet",AR17,IF(AU17="Evet",AP17,"")))</f>
        <v/>
      </c>
    </row>
    <row r="18">
      <c r="A18" s="23" t="n"/>
      <c r="B18" s="23" t="n"/>
      <c r="C18" s="23" t="n"/>
      <c r="D18" s="23" t="n"/>
      <c r="E18" s="23" t="n"/>
      <c r="F18" s="23" t="n"/>
      <c r="G18" s="23" t="n"/>
      <c r="H18" s="23" t="n"/>
      <c r="I18" s="23" t="n"/>
      <c r="J18" s="23" t="n"/>
      <c r="K18" s="23" t="n"/>
      <c r="L18" s="23" t="n"/>
      <c r="M18" s="23" t="n"/>
      <c r="N18" s="23" t="n"/>
      <c r="O18" s="23" t="n"/>
      <c r="P18" s="23" t="n"/>
      <c r="Q18" s="23" t="n"/>
      <c r="R18" s="23" t="n"/>
      <c r="S18" s="23" t="n"/>
      <c r="T18" s="23" t="n"/>
      <c r="U18" s="23" t="n"/>
      <c r="V18" s="23" t="n"/>
      <c r="W18" s="23" t="n"/>
      <c r="X18" s="23" t="n"/>
      <c r="Y18" s="23" t="n"/>
      <c r="Z18" s="23" t="n"/>
      <c r="AA18" s="23" t="n"/>
      <c r="AB18" s="23" t="n"/>
      <c r="AC18" s="23" t="n"/>
      <c r="AD18" s="23" t="n"/>
      <c r="AE18" s="23" t="n"/>
      <c r="AF18" s="23" t="n"/>
      <c r="AG18" s="23" t="n"/>
      <c r="AH18" s="23" t="n"/>
      <c r="AI18" s="23" t="n"/>
      <c r="AJ18" s="23" t="n"/>
      <c r="AK18" s="23" t="n"/>
      <c r="AL18" s="23" t="n"/>
      <c r="AM18" s="26">
        <f>IF(G18="","",G18&amp;"|"&amp;P18)</f>
        <v/>
      </c>
      <c r="AN18" s="27">
        <f>IF(I18="","",IFERROR(DATE(VALUE(RIGHT(I18,4)),VALUE(MID(I18,4,2)),VALUE(LEFT(I18,2))),""))</f>
        <v/>
      </c>
      <c r="AO18" s="27">
        <f>IF(Y18="","",IFERROR(DATE(VALUE(RIGHT(Y18,4)),VALUE(MID(Y18,4,2)),VALUE(LEFT(Y18,2))),""))</f>
        <v/>
      </c>
      <c r="AP18" s="27">
        <f>IF(AC18="","",IFERROR(DATE(VALUE(RIGHT(AC18,4)),VALUE(MID(AC18,4,2)),VALUE(LEFT(AC18,2))),""))</f>
        <v/>
      </c>
      <c r="AQ18" s="26">
        <f>IF(AI18="","",TRIM(LEFT(AI18,FIND(" ",AI18&amp;" ")-1)))</f>
        <v/>
      </c>
      <c r="AR18" s="27">
        <f>IF(AQ18="","",IFERROR(DATE(VALUE(MID(AQ18,FIND("/",AQ18,FIND("/",AQ18)+1)+1,4)),VALUE(LEFT(AQ18,FIND("/",AQ18)-1)),VALUE(MID(AQ18,FIND("/",AQ18)+1,FIND("/",AQ18,FIND("/",AQ18)+1)-FIND("/",AQ18)-1))),""))</f>
        <v/>
      </c>
      <c r="AS18" s="26">
        <f>IF(G18="","",IF(AND(AG18&lt;&gt;"",AG18&lt;&gt;"Bayi Aracı"),"Evet","Hayır"))</f>
        <v/>
      </c>
      <c r="AT18" s="26">
        <f>IF(G18="","",IF(AND(AS18="Evet",T18="Siparişiniz Teslim Edildi"),"Evet","Hayır"))</f>
        <v/>
      </c>
      <c r="AU18" s="26">
        <f>IF(G18="","",IF(AB18="Siparişinizin Montajı Yapıldı","Evet","Hayır"))</f>
        <v/>
      </c>
      <c r="AV18" s="27">
        <f>IF(G18="","",IF(AT18="Evet",AR18,IF(AU18="Evet",AP18,"")))</f>
        <v/>
      </c>
    </row>
    <row r="19">
      <c r="A19" s="23" t="n"/>
      <c r="B19" s="23" t="n"/>
      <c r="C19" s="23" t="n"/>
      <c r="D19" s="23" t="n"/>
      <c r="E19" s="23" t="n"/>
      <c r="F19" s="23" t="n"/>
      <c r="G19" s="23" t="n"/>
      <c r="H19" s="23" t="n"/>
      <c r="I19" s="23" t="n"/>
      <c r="J19" s="23" t="n"/>
      <c r="K19" s="23" t="n"/>
      <c r="L19" s="23" t="n"/>
      <c r="M19" s="23" t="n"/>
      <c r="N19" s="23" t="n"/>
      <c r="O19" s="23" t="n"/>
      <c r="P19" s="23" t="n"/>
      <c r="Q19" s="23" t="n"/>
      <c r="R19" s="23" t="n"/>
      <c r="S19" s="23" t="n"/>
      <c r="T19" s="23" t="n"/>
      <c r="U19" s="23" t="n"/>
      <c r="V19" s="23" t="n"/>
      <c r="W19" s="23" t="n"/>
      <c r="X19" s="23" t="n"/>
      <c r="Y19" s="23" t="n"/>
      <c r="Z19" s="23" t="n"/>
      <c r="AA19" s="23" t="n"/>
      <c r="AB19" s="23" t="n"/>
      <c r="AC19" s="23" t="n"/>
      <c r="AD19" s="23" t="n"/>
      <c r="AE19" s="23" t="n"/>
      <c r="AF19" s="23" t="n"/>
      <c r="AG19" s="23" t="n"/>
      <c r="AH19" s="23" t="n"/>
      <c r="AI19" s="23" t="n"/>
      <c r="AJ19" s="23" t="n"/>
      <c r="AK19" s="23" t="n"/>
      <c r="AL19" s="23" t="n"/>
      <c r="AM19" s="26">
        <f>IF(G19="","",G19&amp;"|"&amp;P19)</f>
        <v/>
      </c>
      <c r="AN19" s="27">
        <f>IF(I19="","",IFERROR(DATE(VALUE(RIGHT(I19,4)),VALUE(MID(I19,4,2)),VALUE(LEFT(I19,2))),""))</f>
        <v/>
      </c>
      <c r="AO19" s="27">
        <f>IF(Y19="","",IFERROR(DATE(VALUE(RIGHT(Y19,4)),VALUE(MID(Y19,4,2)),VALUE(LEFT(Y19,2))),""))</f>
        <v/>
      </c>
      <c r="AP19" s="27">
        <f>IF(AC19="","",IFERROR(DATE(VALUE(RIGHT(AC19,4)),VALUE(MID(AC19,4,2)),VALUE(LEFT(AC19,2))),""))</f>
        <v/>
      </c>
      <c r="AQ19" s="26">
        <f>IF(AI19="","",TRIM(LEFT(AI19,FIND(" ",AI19&amp;" ")-1)))</f>
        <v/>
      </c>
      <c r="AR19" s="27">
        <f>IF(AQ19="","",IFERROR(DATE(VALUE(MID(AQ19,FIND("/",AQ19,FIND("/",AQ19)+1)+1,4)),VALUE(LEFT(AQ19,FIND("/",AQ19)-1)),VALUE(MID(AQ19,FIND("/",AQ19)+1,FIND("/",AQ19,FIND("/",AQ19)+1)-FIND("/",AQ19)-1))),""))</f>
        <v/>
      </c>
      <c r="AS19" s="26">
        <f>IF(G19="","",IF(AND(AG19&lt;&gt;"",AG19&lt;&gt;"Bayi Aracı"),"Evet","Hayır"))</f>
        <v/>
      </c>
      <c r="AT19" s="26">
        <f>IF(G19="","",IF(AND(AS19="Evet",T19="Siparişiniz Teslim Edildi"),"Evet","Hayır"))</f>
        <v/>
      </c>
      <c r="AU19" s="26">
        <f>IF(G19="","",IF(AB19="Siparişinizin Montajı Yapıldı","Evet","Hayır"))</f>
        <v/>
      </c>
      <c r="AV19" s="27">
        <f>IF(G19="","",IF(AT19="Evet",AR19,IF(AU19="Evet",AP19,"")))</f>
        <v/>
      </c>
    </row>
    <row r="20">
      <c r="A20" s="23" t="n"/>
      <c r="B20" s="23" t="n"/>
      <c r="C20" s="23" t="n"/>
      <c r="D20" s="23" t="n"/>
      <c r="E20" s="23" t="n"/>
      <c r="F20" s="23" t="n"/>
      <c r="G20" s="23" t="n"/>
      <c r="H20" s="23" t="n"/>
      <c r="I20" s="23" t="n"/>
      <c r="J20" s="23" t="n"/>
      <c r="K20" s="23" t="n"/>
      <c r="L20" s="23" t="n"/>
      <c r="M20" s="23" t="n"/>
      <c r="N20" s="23" t="n"/>
      <c r="O20" s="23" t="n"/>
      <c r="P20" s="23" t="n"/>
      <c r="Q20" s="23" t="n"/>
      <c r="R20" s="23" t="n"/>
      <c r="S20" s="23" t="n"/>
      <c r="T20" s="23" t="n"/>
      <c r="U20" s="23" t="n"/>
      <c r="V20" s="23" t="n"/>
      <c r="W20" s="23" t="n"/>
      <c r="X20" s="23" t="n"/>
      <c r="Y20" s="23" t="n"/>
      <c r="Z20" s="23" t="n"/>
      <c r="AA20" s="23" t="n"/>
      <c r="AB20" s="23" t="n"/>
      <c r="AC20" s="23" t="n"/>
      <c r="AD20" s="23" t="n"/>
      <c r="AE20" s="23" t="n"/>
      <c r="AF20" s="23" t="n"/>
      <c r="AG20" s="23" t="n"/>
      <c r="AH20" s="23" t="n"/>
      <c r="AI20" s="23" t="n"/>
      <c r="AJ20" s="23" t="n"/>
      <c r="AK20" s="23" t="n"/>
      <c r="AL20" s="23" t="n"/>
      <c r="AM20" s="26">
        <f>IF(G20="","",G20&amp;"|"&amp;P20)</f>
        <v/>
      </c>
      <c r="AN20" s="27">
        <f>IF(I20="","",IFERROR(DATE(VALUE(RIGHT(I20,4)),VALUE(MID(I20,4,2)),VALUE(LEFT(I20,2))),""))</f>
        <v/>
      </c>
      <c r="AO20" s="27">
        <f>IF(Y20="","",IFERROR(DATE(VALUE(RIGHT(Y20,4)),VALUE(MID(Y20,4,2)),VALUE(LEFT(Y20,2))),""))</f>
        <v/>
      </c>
      <c r="AP20" s="27">
        <f>IF(AC20="","",IFERROR(DATE(VALUE(RIGHT(AC20,4)),VALUE(MID(AC20,4,2)),VALUE(LEFT(AC20,2))),""))</f>
        <v/>
      </c>
      <c r="AQ20" s="26">
        <f>IF(AI20="","",TRIM(LEFT(AI20,FIND(" ",AI20&amp;" ")-1)))</f>
        <v/>
      </c>
      <c r="AR20" s="27">
        <f>IF(AQ20="","",IFERROR(DATE(VALUE(MID(AQ20,FIND("/",AQ20,FIND("/",AQ20)+1)+1,4)),VALUE(LEFT(AQ20,FIND("/",AQ20)-1)),VALUE(MID(AQ20,FIND("/",AQ20)+1,FIND("/",AQ20,FIND("/",AQ20)+1)-FIND("/",AQ20)-1))),""))</f>
        <v/>
      </c>
      <c r="AS20" s="26">
        <f>IF(G20="","",IF(AND(AG20&lt;&gt;"",AG20&lt;&gt;"Bayi Aracı"),"Evet","Hayır"))</f>
        <v/>
      </c>
      <c r="AT20" s="26">
        <f>IF(G20="","",IF(AND(AS20="Evet",T20="Siparişiniz Teslim Edildi"),"Evet","Hayır"))</f>
        <v/>
      </c>
      <c r="AU20" s="26">
        <f>IF(G20="","",IF(AB20="Siparişinizin Montajı Yapıldı","Evet","Hayır"))</f>
        <v/>
      </c>
      <c r="AV20" s="27">
        <f>IF(G20="","",IF(AT20="Evet",AR20,IF(AU20="Evet",AP20,"")))</f>
        <v/>
      </c>
    </row>
    <row r="21">
      <c r="A21" s="23" t="n"/>
      <c r="B21" s="23" t="n"/>
      <c r="C21" s="23" t="n"/>
      <c r="D21" s="23" t="n"/>
      <c r="E21" s="23" t="n"/>
      <c r="F21" s="23" t="n"/>
      <c r="G21" s="23" t="n"/>
      <c r="H21" s="23" t="n"/>
      <c r="I21" s="23" t="n"/>
      <c r="J21" s="23" t="n"/>
      <c r="K21" s="23" t="n"/>
      <c r="L21" s="23" t="n"/>
      <c r="M21" s="23" t="n"/>
      <c r="N21" s="23" t="n"/>
      <c r="O21" s="23" t="n"/>
      <c r="P21" s="23" t="n"/>
      <c r="Q21" s="23" t="n"/>
      <c r="R21" s="23" t="n"/>
      <c r="S21" s="23" t="n"/>
      <c r="T21" s="23" t="n"/>
      <c r="U21" s="23" t="n"/>
      <c r="V21" s="23" t="n"/>
      <c r="W21" s="23" t="n"/>
      <c r="X21" s="23" t="n"/>
      <c r="Y21" s="23" t="n"/>
      <c r="Z21" s="23" t="n"/>
      <c r="AA21" s="23" t="n"/>
      <c r="AB21" s="23" t="n"/>
      <c r="AC21" s="23" t="n"/>
      <c r="AD21" s="23" t="n"/>
      <c r="AE21" s="23" t="n"/>
      <c r="AF21" s="23" t="n"/>
      <c r="AG21" s="23" t="n"/>
      <c r="AH21" s="23" t="n"/>
      <c r="AI21" s="23" t="n"/>
      <c r="AJ21" s="23" t="n"/>
      <c r="AK21" s="23" t="n"/>
      <c r="AL21" s="23" t="n"/>
      <c r="AM21" s="26">
        <f>IF(G21="","",G21&amp;"|"&amp;P21)</f>
        <v/>
      </c>
      <c r="AN21" s="27">
        <f>IF(I21="","",IFERROR(DATE(VALUE(RIGHT(I21,4)),VALUE(MID(I21,4,2)),VALUE(LEFT(I21,2))),""))</f>
        <v/>
      </c>
      <c r="AO21" s="27">
        <f>IF(Y21="","",IFERROR(DATE(VALUE(RIGHT(Y21,4)),VALUE(MID(Y21,4,2)),VALUE(LEFT(Y21,2))),""))</f>
        <v/>
      </c>
      <c r="AP21" s="27">
        <f>IF(AC21="","",IFERROR(DATE(VALUE(RIGHT(AC21,4)),VALUE(MID(AC21,4,2)),VALUE(LEFT(AC21,2))),""))</f>
        <v/>
      </c>
      <c r="AQ21" s="26">
        <f>IF(AI21="","",TRIM(LEFT(AI21,FIND(" ",AI21&amp;" ")-1)))</f>
        <v/>
      </c>
      <c r="AR21" s="27">
        <f>IF(AQ21="","",IFERROR(DATE(VALUE(MID(AQ21,FIND("/",AQ21,FIND("/",AQ21)+1)+1,4)),VALUE(LEFT(AQ21,FIND("/",AQ21)-1)),VALUE(MID(AQ21,FIND("/",AQ21)+1,FIND("/",AQ21,FIND("/",AQ21)+1)-FIND("/",AQ21)-1))),""))</f>
        <v/>
      </c>
      <c r="AS21" s="26">
        <f>IF(G21="","",IF(AND(AG21&lt;&gt;"",AG21&lt;&gt;"Bayi Aracı"),"Evet","Hayır"))</f>
        <v/>
      </c>
      <c r="AT21" s="26">
        <f>IF(G21="","",IF(AND(AS21="Evet",T21="Siparişiniz Teslim Edildi"),"Evet","Hayır"))</f>
        <v/>
      </c>
      <c r="AU21" s="26">
        <f>IF(G21="","",IF(AB21="Siparişinizin Montajı Yapıldı","Evet","Hayır"))</f>
        <v/>
      </c>
      <c r="AV21" s="27">
        <f>IF(G21="","",IF(AT21="Evet",AR21,IF(AU21="Evet",AP21,"")))</f>
        <v/>
      </c>
    </row>
    <row r="22">
      <c r="A22" s="23" t="n"/>
      <c r="B22" s="23" t="n"/>
      <c r="C22" s="23" t="n"/>
      <c r="D22" s="23" t="n"/>
      <c r="E22" s="23" t="n"/>
      <c r="F22" s="23" t="n"/>
      <c r="G22" s="23" t="n"/>
      <c r="H22" s="23" t="n"/>
      <c r="I22" s="23" t="n"/>
      <c r="J22" s="23" t="n"/>
      <c r="K22" s="23" t="n"/>
      <c r="L22" s="23" t="n"/>
      <c r="M22" s="23" t="n"/>
      <c r="N22" s="23" t="n"/>
      <c r="O22" s="23" t="n"/>
      <c r="P22" s="23" t="n"/>
      <c r="Q22" s="23" t="n"/>
      <c r="R22" s="23" t="n"/>
      <c r="S22" s="23" t="n"/>
      <c r="T22" s="23" t="n"/>
      <c r="U22" s="23" t="n"/>
      <c r="V22" s="23" t="n"/>
      <c r="W22" s="23" t="n"/>
      <c r="X22" s="23" t="n"/>
      <c r="Y22" s="23" t="n"/>
      <c r="Z22" s="23" t="n"/>
      <c r="AA22" s="23" t="n"/>
      <c r="AB22" s="23" t="n"/>
      <c r="AC22" s="23" t="n"/>
      <c r="AD22" s="23" t="n"/>
      <c r="AE22" s="23" t="n"/>
      <c r="AF22" s="23" t="n"/>
      <c r="AG22" s="23" t="n"/>
      <c r="AH22" s="23" t="n"/>
      <c r="AI22" s="23" t="n"/>
      <c r="AJ22" s="23" t="n"/>
      <c r="AK22" s="23" t="n"/>
      <c r="AL22" s="23" t="n"/>
      <c r="AM22" s="26">
        <f>IF(G22="","",G22&amp;"|"&amp;P22)</f>
        <v/>
      </c>
      <c r="AN22" s="27">
        <f>IF(I22="","",IFERROR(DATE(VALUE(RIGHT(I22,4)),VALUE(MID(I22,4,2)),VALUE(LEFT(I22,2))),""))</f>
        <v/>
      </c>
      <c r="AO22" s="27">
        <f>IF(Y22="","",IFERROR(DATE(VALUE(RIGHT(Y22,4)),VALUE(MID(Y22,4,2)),VALUE(LEFT(Y22,2))),""))</f>
        <v/>
      </c>
      <c r="AP22" s="27">
        <f>IF(AC22="","",IFERROR(DATE(VALUE(RIGHT(AC22,4)),VALUE(MID(AC22,4,2)),VALUE(LEFT(AC22,2))),""))</f>
        <v/>
      </c>
      <c r="AQ22" s="26">
        <f>IF(AI22="","",TRIM(LEFT(AI22,FIND(" ",AI22&amp;" ")-1)))</f>
        <v/>
      </c>
      <c r="AR22" s="27">
        <f>IF(AQ22="","",IFERROR(DATE(VALUE(MID(AQ22,FIND("/",AQ22,FIND("/",AQ22)+1)+1,4)),VALUE(LEFT(AQ22,FIND("/",AQ22)-1)),VALUE(MID(AQ22,FIND("/",AQ22)+1,FIND("/",AQ22,FIND("/",AQ22)+1)-FIND("/",AQ22)-1))),""))</f>
        <v/>
      </c>
      <c r="AS22" s="26">
        <f>IF(G22="","",IF(AND(AG22&lt;&gt;"",AG22&lt;&gt;"Bayi Aracı"),"Evet","Hayır"))</f>
        <v/>
      </c>
      <c r="AT22" s="26">
        <f>IF(G22="","",IF(AND(AS22="Evet",T22="Siparişiniz Teslim Edildi"),"Evet","Hayır"))</f>
        <v/>
      </c>
      <c r="AU22" s="26">
        <f>IF(G22="","",IF(AB22="Siparişinizin Montajı Yapıldı","Evet","Hayır"))</f>
        <v/>
      </c>
      <c r="AV22" s="27">
        <f>IF(G22="","",IF(AT22="Evet",AR22,IF(AU22="Evet",AP22,"")))</f>
        <v/>
      </c>
    </row>
    <row r="23">
      <c r="A23" s="23" t="n"/>
      <c r="B23" s="23" t="n"/>
      <c r="C23" s="23" t="n"/>
      <c r="D23" s="23" t="n"/>
      <c r="E23" s="23" t="n"/>
      <c r="F23" s="23" t="n"/>
      <c r="G23" s="23" t="n"/>
      <c r="H23" s="23" t="n"/>
      <c r="I23" s="23" t="n"/>
      <c r="J23" s="23" t="n"/>
      <c r="K23" s="23" t="n"/>
      <c r="L23" s="23" t="n"/>
      <c r="M23" s="23" t="n"/>
      <c r="N23" s="23" t="n"/>
      <c r="O23" s="23" t="n"/>
      <c r="P23" s="23" t="n"/>
      <c r="Q23" s="23" t="n"/>
      <c r="R23" s="23" t="n"/>
      <c r="S23" s="23" t="n"/>
      <c r="T23" s="23" t="n"/>
      <c r="U23" s="23" t="n"/>
      <c r="V23" s="23" t="n"/>
      <c r="W23" s="23" t="n"/>
      <c r="X23" s="23" t="n"/>
      <c r="Y23" s="23" t="n"/>
      <c r="Z23" s="23" t="n"/>
      <c r="AA23" s="23" t="n"/>
      <c r="AB23" s="23" t="n"/>
      <c r="AC23" s="23" t="n"/>
      <c r="AD23" s="23" t="n"/>
      <c r="AE23" s="23" t="n"/>
      <c r="AF23" s="23" t="n"/>
      <c r="AG23" s="23" t="n"/>
      <c r="AH23" s="23" t="n"/>
      <c r="AI23" s="23" t="n"/>
      <c r="AJ23" s="23" t="n"/>
      <c r="AK23" s="23" t="n"/>
      <c r="AL23" s="23" t="n"/>
      <c r="AM23" s="26">
        <f>IF(G23="","",G23&amp;"|"&amp;P23)</f>
        <v/>
      </c>
      <c r="AN23" s="27">
        <f>IF(I23="","",IFERROR(DATE(VALUE(RIGHT(I23,4)),VALUE(MID(I23,4,2)),VALUE(LEFT(I23,2))),""))</f>
        <v/>
      </c>
      <c r="AO23" s="27">
        <f>IF(Y23="","",IFERROR(DATE(VALUE(RIGHT(Y23,4)),VALUE(MID(Y23,4,2)),VALUE(LEFT(Y23,2))),""))</f>
        <v/>
      </c>
      <c r="AP23" s="27">
        <f>IF(AC23="","",IFERROR(DATE(VALUE(RIGHT(AC23,4)),VALUE(MID(AC23,4,2)),VALUE(LEFT(AC23,2))),""))</f>
        <v/>
      </c>
      <c r="AQ23" s="26">
        <f>IF(AI23="","",TRIM(LEFT(AI23,FIND(" ",AI23&amp;" ")-1)))</f>
        <v/>
      </c>
      <c r="AR23" s="27">
        <f>IF(AQ23="","",IFERROR(DATE(VALUE(MID(AQ23,FIND("/",AQ23,FIND("/",AQ23)+1)+1,4)),VALUE(LEFT(AQ23,FIND("/",AQ23)-1)),VALUE(MID(AQ23,FIND("/",AQ23)+1,FIND("/",AQ23,FIND("/",AQ23)+1)-FIND("/",AQ23)-1))),""))</f>
        <v/>
      </c>
      <c r="AS23" s="26">
        <f>IF(G23="","",IF(AND(AG23&lt;&gt;"",AG23&lt;&gt;"Bayi Aracı"),"Evet","Hayır"))</f>
        <v/>
      </c>
      <c r="AT23" s="26">
        <f>IF(G23="","",IF(AND(AS23="Evet",T23="Siparişiniz Teslim Edildi"),"Evet","Hayır"))</f>
        <v/>
      </c>
      <c r="AU23" s="26">
        <f>IF(G23="","",IF(AB23="Siparişinizin Montajı Yapıldı","Evet","Hayır"))</f>
        <v/>
      </c>
      <c r="AV23" s="27">
        <f>IF(G23="","",IF(AT23="Evet",AR23,IF(AU23="Evet",AP23,"")))</f>
        <v/>
      </c>
    </row>
    <row r="24">
      <c r="A24" s="23" t="n"/>
      <c r="B24" s="23" t="n"/>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c r="AG24" s="23" t="n"/>
      <c r="AH24" s="23" t="n"/>
      <c r="AI24" s="23" t="n"/>
      <c r="AJ24" s="23" t="n"/>
      <c r="AK24" s="23" t="n"/>
      <c r="AL24" s="23" t="n"/>
      <c r="AM24" s="26">
        <f>IF(G24="","",G24&amp;"|"&amp;P24)</f>
        <v/>
      </c>
      <c r="AN24" s="27">
        <f>IF(I24="","",IFERROR(DATE(VALUE(RIGHT(I24,4)),VALUE(MID(I24,4,2)),VALUE(LEFT(I24,2))),""))</f>
        <v/>
      </c>
      <c r="AO24" s="27">
        <f>IF(Y24="","",IFERROR(DATE(VALUE(RIGHT(Y24,4)),VALUE(MID(Y24,4,2)),VALUE(LEFT(Y24,2))),""))</f>
        <v/>
      </c>
      <c r="AP24" s="27">
        <f>IF(AC24="","",IFERROR(DATE(VALUE(RIGHT(AC24,4)),VALUE(MID(AC24,4,2)),VALUE(LEFT(AC24,2))),""))</f>
        <v/>
      </c>
      <c r="AQ24" s="26">
        <f>IF(AI24="","",TRIM(LEFT(AI24,FIND(" ",AI24&amp;" ")-1)))</f>
        <v/>
      </c>
      <c r="AR24" s="27">
        <f>IF(AQ24="","",IFERROR(DATE(VALUE(MID(AQ24,FIND("/",AQ24,FIND("/",AQ24)+1)+1,4)),VALUE(LEFT(AQ24,FIND("/",AQ24)-1)),VALUE(MID(AQ24,FIND("/",AQ24)+1,FIND("/",AQ24,FIND("/",AQ24)+1)-FIND("/",AQ24)-1))),""))</f>
        <v/>
      </c>
      <c r="AS24" s="26">
        <f>IF(G24="","",IF(AND(AG24&lt;&gt;"",AG24&lt;&gt;"Bayi Aracı"),"Evet","Hayır"))</f>
        <v/>
      </c>
      <c r="AT24" s="26">
        <f>IF(G24="","",IF(AND(AS24="Evet",T24="Siparişiniz Teslim Edildi"),"Evet","Hayır"))</f>
        <v/>
      </c>
      <c r="AU24" s="26">
        <f>IF(G24="","",IF(AB24="Siparişinizin Montajı Yapıldı","Evet","Hayır"))</f>
        <v/>
      </c>
      <c r="AV24" s="27">
        <f>IF(G24="","",IF(AT24="Evet",AR24,IF(AU24="Evet",AP24,"")))</f>
        <v/>
      </c>
    </row>
    <row r="25">
      <c r="A25" s="23" t="n"/>
      <c r="B25" s="23" t="n"/>
      <c r="C25" s="23" t="n"/>
      <c r="D25" s="23" t="n"/>
      <c r="E25" s="23" t="n"/>
      <c r="F25" s="23" t="n"/>
      <c r="G25" s="23" t="n"/>
      <c r="H25" s="23" t="n"/>
      <c r="I25" s="23" t="n"/>
      <c r="J25" s="23" t="n"/>
      <c r="K25" s="23" t="n"/>
      <c r="L25" s="23" t="n"/>
      <c r="M25" s="23" t="n"/>
      <c r="N25" s="23" t="n"/>
      <c r="O25" s="23" t="n"/>
      <c r="P25" s="23" t="n"/>
      <c r="Q25" s="23" t="n"/>
      <c r="R25" s="23" t="n"/>
      <c r="S25" s="23" t="n"/>
      <c r="T25" s="23" t="n"/>
      <c r="U25" s="23" t="n"/>
      <c r="V25" s="23" t="n"/>
      <c r="W25" s="23" t="n"/>
      <c r="X25" s="23" t="n"/>
      <c r="Y25" s="23" t="n"/>
      <c r="Z25" s="23" t="n"/>
      <c r="AA25" s="23" t="n"/>
      <c r="AB25" s="23" t="n"/>
      <c r="AC25" s="23" t="n"/>
      <c r="AD25" s="23" t="n"/>
      <c r="AE25" s="23" t="n"/>
      <c r="AF25" s="23" t="n"/>
      <c r="AG25" s="23" t="n"/>
      <c r="AH25" s="23" t="n"/>
      <c r="AI25" s="23" t="n"/>
      <c r="AJ25" s="23" t="n"/>
      <c r="AK25" s="23" t="n"/>
      <c r="AL25" s="23" t="n"/>
      <c r="AM25" s="26">
        <f>IF(G25="","",G25&amp;"|"&amp;P25)</f>
        <v/>
      </c>
      <c r="AN25" s="27">
        <f>IF(I25="","",IFERROR(DATE(VALUE(RIGHT(I25,4)),VALUE(MID(I25,4,2)),VALUE(LEFT(I25,2))),""))</f>
        <v/>
      </c>
      <c r="AO25" s="27">
        <f>IF(Y25="","",IFERROR(DATE(VALUE(RIGHT(Y25,4)),VALUE(MID(Y25,4,2)),VALUE(LEFT(Y25,2))),""))</f>
        <v/>
      </c>
      <c r="AP25" s="27">
        <f>IF(AC25="","",IFERROR(DATE(VALUE(RIGHT(AC25,4)),VALUE(MID(AC25,4,2)),VALUE(LEFT(AC25,2))),""))</f>
        <v/>
      </c>
      <c r="AQ25" s="26">
        <f>IF(AI25="","",TRIM(LEFT(AI25,FIND(" ",AI25&amp;" ")-1)))</f>
        <v/>
      </c>
      <c r="AR25" s="27">
        <f>IF(AQ25="","",IFERROR(DATE(VALUE(MID(AQ25,FIND("/",AQ25,FIND("/",AQ25)+1)+1,4)),VALUE(LEFT(AQ25,FIND("/",AQ25)-1)),VALUE(MID(AQ25,FIND("/",AQ25)+1,FIND("/",AQ25,FIND("/",AQ25)+1)-FIND("/",AQ25)-1))),""))</f>
        <v/>
      </c>
      <c r="AS25" s="26">
        <f>IF(G25="","",IF(AND(AG25&lt;&gt;"",AG25&lt;&gt;"Bayi Aracı"),"Evet","Hayır"))</f>
        <v/>
      </c>
      <c r="AT25" s="26">
        <f>IF(G25="","",IF(AND(AS25="Evet",T25="Siparişiniz Teslim Edildi"),"Evet","Hayır"))</f>
        <v/>
      </c>
      <c r="AU25" s="26">
        <f>IF(G25="","",IF(AB25="Siparişinizin Montajı Yapıldı","Evet","Hayır"))</f>
        <v/>
      </c>
      <c r="AV25" s="27">
        <f>IF(G25="","",IF(AT25="Evet",AR25,IF(AU25="Evet",AP25,"")))</f>
        <v/>
      </c>
    </row>
    <row r="26">
      <c r="A26" s="23" t="n"/>
      <c r="B26" s="23" t="n"/>
      <c r="C26" s="23" t="n"/>
      <c r="D26" s="23" t="n"/>
      <c r="E26" s="23" t="n"/>
      <c r="F26" s="23" t="n"/>
      <c r="G26" s="23" t="n"/>
      <c r="H26" s="23" t="n"/>
      <c r="I26" s="23" t="n"/>
      <c r="J26" s="23" t="n"/>
      <c r="K26" s="23" t="n"/>
      <c r="L26" s="23" t="n"/>
      <c r="M26" s="23" t="n"/>
      <c r="N26" s="23" t="n"/>
      <c r="O26" s="23" t="n"/>
      <c r="P26" s="23" t="n"/>
      <c r="Q26" s="23" t="n"/>
      <c r="R26" s="23" t="n"/>
      <c r="S26" s="23" t="n"/>
      <c r="T26" s="23" t="n"/>
      <c r="U26" s="23" t="n"/>
      <c r="V26" s="23" t="n"/>
      <c r="W26" s="23" t="n"/>
      <c r="X26" s="23" t="n"/>
      <c r="Y26" s="23" t="n"/>
      <c r="Z26" s="23" t="n"/>
      <c r="AA26" s="23" t="n"/>
      <c r="AB26" s="23" t="n"/>
      <c r="AC26" s="23" t="n"/>
      <c r="AD26" s="23" t="n"/>
      <c r="AE26" s="23" t="n"/>
      <c r="AF26" s="23" t="n"/>
      <c r="AG26" s="23" t="n"/>
      <c r="AH26" s="23" t="n"/>
      <c r="AI26" s="23" t="n"/>
      <c r="AJ26" s="23" t="n"/>
      <c r="AK26" s="23" t="n"/>
      <c r="AL26" s="23" t="n"/>
      <c r="AM26" s="26">
        <f>IF(G26="","",G26&amp;"|"&amp;P26)</f>
        <v/>
      </c>
      <c r="AN26" s="27">
        <f>IF(I26="","",IFERROR(DATE(VALUE(RIGHT(I26,4)),VALUE(MID(I26,4,2)),VALUE(LEFT(I26,2))),""))</f>
        <v/>
      </c>
      <c r="AO26" s="27">
        <f>IF(Y26="","",IFERROR(DATE(VALUE(RIGHT(Y26,4)),VALUE(MID(Y26,4,2)),VALUE(LEFT(Y26,2))),""))</f>
        <v/>
      </c>
      <c r="AP26" s="27">
        <f>IF(AC26="","",IFERROR(DATE(VALUE(RIGHT(AC26,4)),VALUE(MID(AC26,4,2)),VALUE(LEFT(AC26,2))),""))</f>
        <v/>
      </c>
      <c r="AQ26" s="26">
        <f>IF(AI26="","",TRIM(LEFT(AI26,FIND(" ",AI26&amp;" ")-1)))</f>
        <v/>
      </c>
      <c r="AR26" s="27">
        <f>IF(AQ26="","",IFERROR(DATE(VALUE(MID(AQ26,FIND("/",AQ26,FIND("/",AQ26)+1)+1,4)),VALUE(LEFT(AQ26,FIND("/",AQ26)-1)),VALUE(MID(AQ26,FIND("/",AQ26)+1,FIND("/",AQ26,FIND("/",AQ26)+1)-FIND("/",AQ26)-1))),""))</f>
        <v/>
      </c>
      <c r="AS26" s="26">
        <f>IF(G26="","",IF(AND(AG26&lt;&gt;"",AG26&lt;&gt;"Bayi Aracı"),"Evet","Hayır"))</f>
        <v/>
      </c>
      <c r="AT26" s="26">
        <f>IF(G26="","",IF(AND(AS26="Evet",T26="Siparişiniz Teslim Edildi"),"Evet","Hayır"))</f>
        <v/>
      </c>
      <c r="AU26" s="26">
        <f>IF(G26="","",IF(AB26="Siparişinizin Montajı Yapıldı","Evet","Hayır"))</f>
        <v/>
      </c>
      <c r="AV26" s="27">
        <f>IF(G26="","",IF(AT26="Evet",AR26,IF(AU26="Evet",AP26,"")))</f>
        <v/>
      </c>
    </row>
    <row r="27">
      <c r="A27" s="23" t="n"/>
      <c r="B27" s="23" t="n"/>
      <c r="C27" s="23" t="n"/>
      <c r="D27" s="23" t="n"/>
      <c r="E27" s="23" t="n"/>
      <c r="F27" s="23" t="n"/>
      <c r="G27" s="23" t="n"/>
      <c r="H27" s="23" t="n"/>
      <c r="I27" s="23" t="n"/>
      <c r="J27" s="23" t="n"/>
      <c r="K27" s="23" t="n"/>
      <c r="L27" s="23" t="n"/>
      <c r="M27" s="23" t="n"/>
      <c r="N27" s="23" t="n"/>
      <c r="O27" s="23" t="n"/>
      <c r="P27" s="23" t="n"/>
      <c r="Q27" s="23" t="n"/>
      <c r="R27" s="23" t="n"/>
      <c r="S27" s="23" t="n"/>
      <c r="T27" s="23" t="n"/>
      <c r="U27" s="23" t="n"/>
      <c r="V27" s="23" t="n"/>
      <c r="W27" s="23" t="n"/>
      <c r="X27" s="23" t="n"/>
      <c r="Y27" s="23" t="n"/>
      <c r="Z27" s="23" t="n"/>
      <c r="AA27" s="23" t="n"/>
      <c r="AB27" s="23" t="n"/>
      <c r="AC27" s="23" t="n"/>
      <c r="AD27" s="23" t="n"/>
      <c r="AE27" s="23" t="n"/>
      <c r="AF27" s="23" t="n"/>
      <c r="AG27" s="23" t="n"/>
      <c r="AH27" s="23" t="n"/>
      <c r="AI27" s="23" t="n"/>
      <c r="AJ27" s="23" t="n"/>
      <c r="AK27" s="23" t="n"/>
      <c r="AL27" s="23" t="n"/>
      <c r="AM27" s="26">
        <f>IF(G27="","",G27&amp;"|"&amp;P27)</f>
        <v/>
      </c>
      <c r="AN27" s="27">
        <f>IF(I27="","",IFERROR(DATE(VALUE(RIGHT(I27,4)),VALUE(MID(I27,4,2)),VALUE(LEFT(I27,2))),""))</f>
        <v/>
      </c>
      <c r="AO27" s="27">
        <f>IF(Y27="","",IFERROR(DATE(VALUE(RIGHT(Y27,4)),VALUE(MID(Y27,4,2)),VALUE(LEFT(Y27,2))),""))</f>
        <v/>
      </c>
      <c r="AP27" s="27">
        <f>IF(AC27="","",IFERROR(DATE(VALUE(RIGHT(AC27,4)),VALUE(MID(AC27,4,2)),VALUE(LEFT(AC27,2))),""))</f>
        <v/>
      </c>
      <c r="AQ27" s="26">
        <f>IF(AI27="","",TRIM(LEFT(AI27,FIND(" ",AI27&amp;" ")-1)))</f>
        <v/>
      </c>
      <c r="AR27" s="27">
        <f>IF(AQ27="","",IFERROR(DATE(VALUE(MID(AQ27,FIND("/",AQ27,FIND("/",AQ27)+1)+1,4)),VALUE(LEFT(AQ27,FIND("/",AQ27)-1)),VALUE(MID(AQ27,FIND("/",AQ27)+1,FIND("/",AQ27,FIND("/",AQ27)+1)-FIND("/",AQ27)-1))),""))</f>
        <v/>
      </c>
      <c r="AS27" s="26">
        <f>IF(G27="","",IF(AND(AG27&lt;&gt;"",AG27&lt;&gt;"Bayi Aracı"),"Evet","Hayır"))</f>
        <v/>
      </c>
      <c r="AT27" s="26">
        <f>IF(G27="","",IF(AND(AS27="Evet",T27="Siparişiniz Teslim Edildi"),"Evet","Hayır"))</f>
        <v/>
      </c>
      <c r="AU27" s="26">
        <f>IF(G27="","",IF(AB27="Siparişinizin Montajı Yapıldı","Evet","Hayır"))</f>
        <v/>
      </c>
      <c r="AV27" s="27">
        <f>IF(G27="","",IF(AT27="Evet",AR27,IF(AU27="Evet",AP27,"")))</f>
        <v/>
      </c>
    </row>
    <row r="28">
      <c r="A28" s="23" t="n"/>
      <c r="B28" s="23" t="n"/>
      <c r="C28" s="23" t="n"/>
      <c r="D28" s="23" t="n"/>
      <c r="E28" s="23" t="n"/>
      <c r="F28" s="23" t="n"/>
      <c r="G28" s="23" t="n"/>
      <c r="H28" s="23" t="n"/>
      <c r="I28" s="23" t="n"/>
      <c r="J28" s="23" t="n"/>
      <c r="K28" s="23" t="n"/>
      <c r="L28" s="23" t="n"/>
      <c r="M28" s="23" t="n"/>
      <c r="N28" s="23" t="n"/>
      <c r="O28" s="23" t="n"/>
      <c r="P28" s="23" t="n"/>
      <c r="Q28" s="23" t="n"/>
      <c r="R28" s="23" t="n"/>
      <c r="S28" s="23" t="n"/>
      <c r="T28" s="23" t="n"/>
      <c r="U28" s="23" t="n"/>
      <c r="V28" s="23" t="n"/>
      <c r="W28" s="23" t="n"/>
      <c r="X28" s="23" t="n"/>
      <c r="Y28" s="23" t="n"/>
      <c r="Z28" s="23" t="n"/>
      <c r="AA28" s="23" t="n"/>
      <c r="AB28" s="23" t="n"/>
      <c r="AC28" s="23" t="n"/>
      <c r="AD28" s="23" t="n"/>
      <c r="AE28" s="23" t="n"/>
      <c r="AF28" s="23" t="n"/>
      <c r="AG28" s="23" t="n"/>
      <c r="AH28" s="23" t="n"/>
      <c r="AI28" s="23" t="n"/>
      <c r="AJ28" s="23" t="n"/>
      <c r="AK28" s="23" t="n"/>
      <c r="AL28" s="23" t="n"/>
      <c r="AM28" s="26">
        <f>IF(G28="","",G28&amp;"|"&amp;P28)</f>
        <v/>
      </c>
      <c r="AN28" s="27">
        <f>IF(I28="","",IFERROR(DATE(VALUE(RIGHT(I28,4)),VALUE(MID(I28,4,2)),VALUE(LEFT(I28,2))),""))</f>
        <v/>
      </c>
      <c r="AO28" s="27">
        <f>IF(Y28="","",IFERROR(DATE(VALUE(RIGHT(Y28,4)),VALUE(MID(Y28,4,2)),VALUE(LEFT(Y28,2))),""))</f>
        <v/>
      </c>
      <c r="AP28" s="27">
        <f>IF(AC28="","",IFERROR(DATE(VALUE(RIGHT(AC28,4)),VALUE(MID(AC28,4,2)),VALUE(LEFT(AC28,2))),""))</f>
        <v/>
      </c>
      <c r="AQ28" s="26">
        <f>IF(AI28="","",TRIM(LEFT(AI28,FIND(" ",AI28&amp;" ")-1)))</f>
        <v/>
      </c>
      <c r="AR28" s="27">
        <f>IF(AQ28="","",IFERROR(DATE(VALUE(MID(AQ28,FIND("/",AQ28,FIND("/",AQ28)+1)+1,4)),VALUE(LEFT(AQ28,FIND("/",AQ28)-1)),VALUE(MID(AQ28,FIND("/",AQ28)+1,FIND("/",AQ28,FIND("/",AQ28)+1)-FIND("/",AQ28)-1))),""))</f>
        <v/>
      </c>
      <c r="AS28" s="26">
        <f>IF(G28="","",IF(AND(AG28&lt;&gt;"",AG28&lt;&gt;"Bayi Aracı"),"Evet","Hayır"))</f>
        <v/>
      </c>
      <c r="AT28" s="26">
        <f>IF(G28="","",IF(AND(AS28="Evet",T28="Siparişiniz Teslim Edildi"),"Evet","Hayır"))</f>
        <v/>
      </c>
      <c r="AU28" s="26">
        <f>IF(G28="","",IF(AB28="Siparişinizin Montajı Yapıldı","Evet","Hayır"))</f>
        <v/>
      </c>
      <c r="AV28" s="27">
        <f>IF(G28="","",IF(AT28="Evet",AR28,IF(AU28="Evet",AP28,"")))</f>
        <v/>
      </c>
    </row>
    <row r="29">
      <c r="A29" s="23" t="n"/>
      <c r="B29" s="23" t="n"/>
      <c r="C29" s="23" t="n"/>
      <c r="D29" s="23" t="n"/>
      <c r="E29" s="23" t="n"/>
      <c r="F29" s="23" t="n"/>
      <c r="G29" s="23" t="n"/>
      <c r="H29" s="23" t="n"/>
      <c r="I29" s="23" t="n"/>
      <c r="J29" s="23" t="n"/>
      <c r="K29" s="23" t="n"/>
      <c r="L29" s="23" t="n"/>
      <c r="M29" s="23" t="n"/>
      <c r="N29" s="23" t="n"/>
      <c r="O29" s="23" t="n"/>
      <c r="P29" s="23" t="n"/>
      <c r="Q29" s="23" t="n"/>
      <c r="R29" s="23" t="n"/>
      <c r="S29" s="23" t="n"/>
      <c r="T29" s="23" t="n"/>
      <c r="U29" s="23" t="n"/>
      <c r="V29" s="23" t="n"/>
      <c r="W29" s="23" t="n"/>
      <c r="X29" s="23" t="n"/>
      <c r="Y29" s="23" t="n"/>
      <c r="Z29" s="23" t="n"/>
      <c r="AA29" s="23" t="n"/>
      <c r="AB29" s="23" t="n"/>
      <c r="AC29" s="23" t="n"/>
      <c r="AD29" s="23" t="n"/>
      <c r="AE29" s="23" t="n"/>
      <c r="AF29" s="23" t="n"/>
      <c r="AG29" s="23" t="n"/>
      <c r="AH29" s="23" t="n"/>
      <c r="AI29" s="23" t="n"/>
      <c r="AJ29" s="23" t="n"/>
      <c r="AK29" s="23" t="n"/>
      <c r="AL29" s="23" t="n"/>
      <c r="AM29" s="26">
        <f>IF(G29="","",G29&amp;"|"&amp;P29)</f>
        <v/>
      </c>
      <c r="AN29" s="27">
        <f>IF(I29="","",IFERROR(DATE(VALUE(RIGHT(I29,4)),VALUE(MID(I29,4,2)),VALUE(LEFT(I29,2))),""))</f>
        <v/>
      </c>
      <c r="AO29" s="27">
        <f>IF(Y29="","",IFERROR(DATE(VALUE(RIGHT(Y29,4)),VALUE(MID(Y29,4,2)),VALUE(LEFT(Y29,2))),""))</f>
        <v/>
      </c>
      <c r="AP29" s="27">
        <f>IF(AC29="","",IFERROR(DATE(VALUE(RIGHT(AC29,4)),VALUE(MID(AC29,4,2)),VALUE(LEFT(AC29,2))),""))</f>
        <v/>
      </c>
      <c r="AQ29" s="26">
        <f>IF(AI29="","",TRIM(LEFT(AI29,FIND(" ",AI29&amp;" ")-1)))</f>
        <v/>
      </c>
      <c r="AR29" s="27">
        <f>IF(AQ29="","",IFERROR(DATE(VALUE(MID(AQ29,FIND("/",AQ29,FIND("/",AQ29)+1)+1,4)),VALUE(LEFT(AQ29,FIND("/",AQ29)-1)),VALUE(MID(AQ29,FIND("/",AQ29)+1,FIND("/",AQ29,FIND("/",AQ29)+1)-FIND("/",AQ29)-1))),""))</f>
        <v/>
      </c>
      <c r="AS29" s="26">
        <f>IF(G29="","",IF(AND(AG29&lt;&gt;"",AG29&lt;&gt;"Bayi Aracı"),"Evet","Hayır"))</f>
        <v/>
      </c>
      <c r="AT29" s="26">
        <f>IF(G29="","",IF(AND(AS29="Evet",T29="Siparişiniz Teslim Edildi"),"Evet","Hayır"))</f>
        <v/>
      </c>
      <c r="AU29" s="26">
        <f>IF(G29="","",IF(AB29="Siparişinizin Montajı Yapıldı","Evet","Hayır"))</f>
        <v/>
      </c>
      <c r="AV29" s="27">
        <f>IF(G29="","",IF(AT29="Evet",AR29,IF(AU29="Evet",AP29,"")))</f>
        <v/>
      </c>
    </row>
    <row r="30">
      <c r="A30" s="23" t="n"/>
      <c r="B30" s="23" t="n"/>
      <c r="C30" s="23" t="n"/>
      <c r="D30" s="23" t="n"/>
      <c r="E30" s="23" t="n"/>
      <c r="F30" s="23" t="n"/>
      <c r="G30" s="23" t="n"/>
      <c r="H30" s="23" t="n"/>
      <c r="I30" s="23" t="n"/>
      <c r="J30" s="23" t="n"/>
      <c r="K30" s="23" t="n"/>
      <c r="L30" s="23" t="n"/>
      <c r="M30" s="23" t="n"/>
      <c r="N30" s="23" t="n"/>
      <c r="O30" s="23" t="n"/>
      <c r="P30" s="23" t="n"/>
      <c r="Q30" s="23" t="n"/>
      <c r="R30" s="23" t="n"/>
      <c r="S30" s="23" t="n"/>
      <c r="T30" s="23" t="n"/>
      <c r="U30" s="23" t="n"/>
      <c r="V30" s="23" t="n"/>
      <c r="W30" s="23" t="n"/>
      <c r="X30" s="23" t="n"/>
      <c r="Y30" s="23" t="n"/>
      <c r="Z30" s="23" t="n"/>
      <c r="AA30" s="23" t="n"/>
      <c r="AB30" s="23" t="n"/>
      <c r="AC30" s="23" t="n"/>
      <c r="AD30" s="23" t="n"/>
      <c r="AE30" s="23" t="n"/>
      <c r="AF30" s="23" t="n"/>
      <c r="AG30" s="23" t="n"/>
      <c r="AH30" s="23" t="n"/>
      <c r="AI30" s="23" t="n"/>
      <c r="AJ30" s="23" t="n"/>
      <c r="AK30" s="23" t="n"/>
      <c r="AL30" s="23" t="n"/>
      <c r="AM30" s="26">
        <f>IF(G30="","",G30&amp;"|"&amp;P30)</f>
        <v/>
      </c>
      <c r="AN30" s="27">
        <f>IF(I30="","",IFERROR(DATE(VALUE(RIGHT(I30,4)),VALUE(MID(I30,4,2)),VALUE(LEFT(I30,2))),""))</f>
        <v/>
      </c>
      <c r="AO30" s="27">
        <f>IF(Y30="","",IFERROR(DATE(VALUE(RIGHT(Y30,4)),VALUE(MID(Y30,4,2)),VALUE(LEFT(Y30,2))),""))</f>
        <v/>
      </c>
      <c r="AP30" s="27">
        <f>IF(AC30="","",IFERROR(DATE(VALUE(RIGHT(AC30,4)),VALUE(MID(AC30,4,2)),VALUE(LEFT(AC30,2))),""))</f>
        <v/>
      </c>
      <c r="AQ30" s="26">
        <f>IF(AI30="","",TRIM(LEFT(AI30,FIND(" ",AI30&amp;" ")-1)))</f>
        <v/>
      </c>
      <c r="AR30" s="27">
        <f>IF(AQ30="","",IFERROR(DATE(VALUE(MID(AQ30,FIND("/",AQ30,FIND("/",AQ30)+1)+1,4)),VALUE(LEFT(AQ30,FIND("/",AQ30)-1)),VALUE(MID(AQ30,FIND("/",AQ30)+1,FIND("/",AQ30,FIND("/",AQ30)+1)-FIND("/",AQ30)-1))),""))</f>
        <v/>
      </c>
      <c r="AS30" s="26">
        <f>IF(G30="","",IF(AND(AG30&lt;&gt;"",AG30&lt;&gt;"Bayi Aracı"),"Evet","Hayır"))</f>
        <v/>
      </c>
      <c r="AT30" s="26">
        <f>IF(G30="","",IF(AND(AS30="Evet",T30="Siparişiniz Teslim Edildi"),"Evet","Hayır"))</f>
        <v/>
      </c>
      <c r="AU30" s="26">
        <f>IF(G30="","",IF(AB30="Siparişinizin Montajı Yapıldı","Evet","Hayır"))</f>
        <v/>
      </c>
      <c r="AV30" s="27">
        <f>IF(G30="","",IF(AT30="Evet",AR30,IF(AU30="Evet",AP30,"")))</f>
        <v/>
      </c>
    </row>
    <row r="31">
      <c r="A31" s="23" t="n"/>
      <c r="B31" s="23" t="n"/>
      <c r="C31" s="23" t="n"/>
      <c r="D31" s="23" t="n"/>
      <c r="E31" s="23" t="n"/>
      <c r="F31" s="23" t="n"/>
      <c r="G31" s="23" t="n"/>
      <c r="H31" s="23" t="n"/>
      <c r="I31" s="23" t="n"/>
      <c r="J31" s="23" t="n"/>
      <c r="K31" s="23" t="n"/>
      <c r="L31" s="23" t="n"/>
      <c r="M31" s="23" t="n"/>
      <c r="N31" s="23" t="n"/>
      <c r="O31" s="23" t="n"/>
      <c r="P31" s="23" t="n"/>
      <c r="Q31" s="23" t="n"/>
      <c r="R31" s="23" t="n"/>
      <c r="S31" s="23" t="n"/>
      <c r="T31" s="23" t="n"/>
      <c r="U31" s="23" t="n"/>
      <c r="V31" s="23" t="n"/>
      <c r="W31" s="23" t="n"/>
      <c r="X31" s="23" t="n"/>
      <c r="Y31" s="23" t="n"/>
      <c r="Z31" s="23" t="n"/>
      <c r="AA31" s="23" t="n"/>
      <c r="AB31" s="23" t="n"/>
      <c r="AC31" s="23" t="n"/>
      <c r="AD31" s="23" t="n"/>
      <c r="AE31" s="23" t="n"/>
      <c r="AF31" s="23" t="n"/>
      <c r="AG31" s="23" t="n"/>
      <c r="AH31" s="23" t="n"/>
      <c r="AI31" s="23" t="n"/>
      <c r="AJ31" s="23" t="n"/>
      <c r="AK31" s="23" t="n"/>
      <c r="AL31" s="23" t="n"/>
      <c r="AM31" s="26">
        <f>IF(G31="","",G31&amp;"|"&amp;P31)</f>
        <v/>
      </c>
      <c r="AN31" s="27">
        <f>IF(I31="","",IFERROR(DATE(VALUE(RIGHT(I31,4)),VALUE(MID(I31,4,2)),VALUE(LEFT(I31,2))),""))</f>
        <v/>
      </c>
      <c r="AO31" s="27">
        <f>IF(Y31="","",IFERROR(DATE(VALUE(RIGHT(Y31,4)),VALUE(MID(Y31,4,2)),VALUE(LEFT(Y31,2))),""))</f>
        <v/>
      </c>
      <c r="AP31" s="27">
        <f>IF(AC31="","",IFERROR(DATE(VALUE(RIGHT(AC31,4)),VALUE(MID(AC31,4,2)),VALUE(LEFT(AC31,2))),""))</f>
        <v/>
      </c>
      <c r="AQ31" s="26">
        <f>IF(AI31="","",TRIM(LEFT(AI31,FIND(" ",AI31&amp;" ")-1)))</f>
        <v/>
      </c>
      <c r="AR31" s="27">
        <f>IF(AQ31="","",IFERROR(DATE(VALUE(MID(AQ31,FIND("/",AQ31,FIND("/",AQ31)+1)+1,4)),VALUE(LEFT(AQ31,FIND("/",AQ31)-1)),VALUE(MID(AQ31,FIND("/",AQ31)+1,FIND("/",AQ31,FIND("/",AQ31)+1)-FIND("/",AQ31)-1))),""))</f>
        <v/>
      </c>
      <c r="AS31" s="26">
        <f>IF(G31="","",IF(AND(AG31&lt;&gt;"",AG31&lt;&gt;"Bayi Aracı"),"Evet","Hayır"))</f>
        <v/>
      </c>
      <c r="AT31" s="26">
        <f>IF(G31="","",IF(AND(AS31="Evet",T31="Siparişiniz Teslim Edildi"),"Evet","Hayır"))</f>
        <v/>
      </c>
      <c r="AU31" s="26">
        <f>IF(G31="","",IF(AB31="Siparişinizin Montajı Yapıldı","Evet","Hayır"))</f>
        <v/>
      </c>
      <c r="AV31" s="27">
        <f>IF(G31="","",IF(AT31="Evet",AR31,IF(AU31="Evet",AP31,"")))</f>
        <v/>
      </c>
    </row>
    <row r="32">
      <c r="A32" s="23" t="n"/>
      <c r="B32" s="23" t="n"/>
      <c r="C32" s="23" t="n"/>
      <c r="D32" s="23" t="n"/>
      <c r="E32" s="23" t="n"/>
      <c r="F32" s="23" t="n"/>
      <c r="G32" s="23" t="n"/>
      <c r="H32" s="23" t="n"/>
      <c r="I32" s="23" t="n"/>
      <c r="J32" s="23" t="n"/>
      <c r="K32" s="23" t="n"/>
      <c r="L32" s="23" t="n"/>
      <c r="M32" s="23" t="n"/>
      <c r="N32" s="23" t="n"/>
      <c r="O32" s="23" t="n"/>
      <c r="P32" s="23" t="n"/>
      <c r="Q32" s="23" t="n"/>
      <c r="R32" s="23" t="n"/>
      <c r="S32" s="23" t="n"/>
      <c r="T32" s="23" t="n"/>
      <c r="U32" s="23" t="n"/>
      <c r="V32" s="23" t="n"/>
      <c r="W32" s="23" t="n"/>
      <c r="X32" s="23" t="n"/>
      <c r="Y32" s="23" t="n"/>
      <c r="Z32" s="23" t="n"/>
      <c r="AA32" s="23" t="n"/>
      <c r="AB32" s="23" t="n"/>
      <c r="AC32" s="23" t="n"/>
      <c r="AD32" s="23" t="n"/>
      <c r="AE32" s="23" t="n"/>
      <c r="AF32" s="23" t="n"/>
      <c r="AG32" s="23" t="n"/>
      <c r="AH32" s="23" t="n"/>
      <c r="AI32" s="23" t="n"/>
      <c r="AJ32" s="23" t="n"/>
      <c r="AK32" s="23" t="n"/>
      <c r="AL32" s="23" t="n"/>
      <c r="AM32" s="26">
        <f>IF(G32="","",G32&amp;"|"&amp;P32)</f>
        <v/>
      </c>
      <c r="AN32" s="27">
        <f>IF(I32="","",IFERROR(DATE(VALUE(RIGHT(I32,4)),VALUE(MID(I32,4,2)),VALUE(LEFT(I32,2))),""))</f>
        <v/>
      </c>
      <c r="AO32" s="27">
        <f>IF(Y32="","",IFERROR(DATE(VALUE(RIGHT(Y32,4)),VALUE(MID(Y32,4,2)),VALUE(LEFT(Y32,2))),""))</f>
        <v/>
      </c>
      <c r="AP32" s="27">
        <f>IF(AC32="","",IFERROR(DATE(VALUE(RIGHT(AC32,4)),VALUE(MID(AC32,4,2)),VALUE(LEFT(AC32,2))),""))</f>
        <v/>
      </c>
      <c r="AQ32" s="26">
        <f>IF(AI32="","",TRIM(LEFT(AI32,FIND(" ",AI32&amp;" ")-1)))</f>
        <v/>
      </c>
      <c r="AR32" s="27">
        <f>IF(AQ32="","",IFERROR(DATE(VALUE(MID(AQ32,FIND("/",AQ32,FIND("/",AQ32)+1)+1,4)),VALUE(LEFT(AQ32,FIND("/",AQ32)-1)),VALUE(MID(AQ32,FIND("/",AQ32)+1,FIND("/",AQ32,FIND("/",AQ32)+1)-FIND("/",AQ32)-1))),""))</f>
        <v/>
      </c>
      <c r="AS32" s="26">
        <f>IF(G32="","",IF(AND(AG32&lt;&gt;"",AG32&lt;&gt;"Bayi Aracı"),"Evet","Hayır"))</f>
        <v/>
      </c>
      <c r="AT32" s="26">
        <f>IF(G32="","",IF(AND(AS32="Evet",T32="Siparişiniz Teslim Edildi"),"Evet","Hayır"))</f>
        <v/>
      </c>
      <c r="AU32" s="26">
        <f>IF(G32="","",IF(AB32="Siparişinizin Montajı Yapıldı","Evet","Hayır"))</f>
        <v/>
      </c>
      <c r="AV32" s="27">
        <f>IF(G32="","",IF(AT32="Evet",AR32,IF(AU32="Evet",AP32,"")))</f>
        <v/>
      </c>
    </row>
    <row r="33">
      <c r="A33" s="23" t="n"/>
      <c r="B33" s="23" t="n"/>
      <c r="C33" s="23" t="n"/>
      <c r="D33" s="23" t="n"/>
      <c r="E33" s="23" t="n"/>
      <c r="F33" s="23" t="n"/>
      <c r="G33" s="23" t="n"/>
      <c r="H33" s="23" t="n"/>
      <c r="I33" s="23" t="n"/>
      <c r="J33" s="23" t="n"/>
      <c r="K33" s="23" t="n"/>
      <c r="L33" s="23" t="n"/>
      <c r="M33" s="23" t="n"/>
      <c r="N33" s="23" t="n"/>
      <c r="O33" s="23" t="n"/>
      <c r="P33" s="23" t="n"/>
      <c r="Q33" s="23" t="n"/>
      <c r="R33" s="23" t="n"/>
      <c r="S33" s="23" t="n"/>
      <c r="T33" s="23" t="n"/>
      <c r="U33" s="23" t="n"/>
      <c r="V33" s="23" t="n"/>
      <c r="W33" s="23" t="n"/>
      <c r="X33" s="23" t="n"/>
      <c r="Y33" s="23" t="n"/>
      <c r="Z33" s="23" t="n"/>
      <c r="AA33" s="23" t="n"/>
      <c r="AB33" s="23" t="n"/>
      <c r="AC33" s="23" t="n"/>
      <c r="AD33" s="23" t="n"/>
      <c r="AE33" s="23" t="n"/>
      <c r="AF33" s="23" t="n"/>
      <c r="AG33" s="23" t="n"/>
      <c r="AH33" s="23" t="n"/>
      <c r="AI33" s="23" t="n"/>
      <c r="AJ33" s="23" t="n"/>
      <c r="AK33" s="23" t="n"/>
      <c r="AL33" s="23" t="n"/>
      <c r="AM33" s="26">
        <f>IF(G33="","",G33&amp;"|"&amp;P33)</f>
        <v/>
      </c>
      <c r="AN33" s="27">
        <f>IF(I33="","",IFERROR(DATE(VALUE(RIGHT(I33,4)),VALUE(MID(I33,4,2)),VALUE(LEFT(I33,2))),""))</f>
        <v/>
      </c>
      <c r="AO33" s="27">
        <f>IF(Y33="","",IFERROR(DATE(VALUE(RIGHT(Y33,4)),VALUE(MID(Y33,4,2)),VALUE(LEFT(Y33,2))),""))</f>
        <v/>
      </c>
      <c r="AP33" s="27">
        <f>IF(AC33="","",IFERROR(DATE(VALUE(RIGHT(AC33,4)),VALUE(MID(AC33,4,2)),VALUE(LEFT(AC33,2))),""))</f>
        <v/>
      </c>
      <c r="AQ33" s="26">
        <f>IF(AI33="","",TRIM(LEFT(AI33,FIND(" ",AI33&amp;" ")-1)))</f>
        <v/>
      </c>
      <c r="AR33" s="27">
        <f>IF(AQ33="","",IFERROR(DATE(VALUE(MID(AQ33,FIND("/",AQ33,FIND("/",AQ33)+1)+1,4)),VALUE(LEFT(AQ33,FIND("/",AQ33)-1)),VALUE(MID(AQ33,FIND("/",AQ33)+1,FIND("/",AQ33,FIND("/",AQ33)+1)-FIND("/",AQ33)-1))),""))</f>
        <v/>
      </c>
      <c r="AS33" s="26">
        <f>IF(G33="","",IF(AND(AG33&lt;&gt;"",AG33&lt;&gt;"Bayi Aracı"),"Evet","Hayır"))</f>
        <v/>
      </c>
      <c r="AT33" s="26">
        <f>IF(G33="","",IF(AND(AS33="Evet",T33="Siparişiniz Teslim Edildi"),"Evet","Hayır"))</f>
        <v/>
      </c>
      <c r="AU33" s="26">
        <f>IF(G33="","",IF(AB33="Siparişinizin Montajı Yapıldı","Evet","Hayır"))</f>
        <v/>
      </c>
      <c r="AV33" s="27">
        <f>IF(G33="","",IF(AT33="Evet",AR33,IF(AU33="Evet",AP33,"")))</f>
        <v/>
      </c>
    </row>
    <row r="34">
      <c r="A34" s="23" t="n"/>
      <c r="B34" s="23" t="n"/>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c r="AA34" s="23" t="n"/>
      <c r="AB34" s="23" t="n"/>
      <c r="AC34" s="23" t="n"/>
      <c r="AD34" s="23" t="n"/>
      <c r="AE34" s="23" t="n"/>
      <c r="AF34" s="23" t="n"/>
      <c r="AG34" s="23" t="n"/>
      <c r="AH34" s="23" t="n"/>
      <c r="AI34" s="23" t="n"/>
      <c r="AJ34" s="23" t="n"/>
      <c r="AK34" s="23" t="n"/>
      <c r="AL34" s="23" t="n"/>
      <c r="AM34" s="26">
        <f>IF(G34="","",G34&amp;"|"&amp;P34)</f>
        <v/>
      </c>
      <c r="AN34" s="27">
        <f>IF(I34="","",IFERROR(DATE(VALUE(RIGHT(I34,4)),VALUE(MID(I34,4,2)),VALUE(LEFT(I34,2))),""))</f>
        <v/>
      </c>
      <c r="AO34" s="27">
        <f>IF(Y34="","",IFERROR(DATE(VALUE(RIGHT(Y34,4)),VALUE(MID(Y34,4,2)),VALUE(LEFT(Y34,2))),""))</f>
        <v/>
      </c>
      <c r="AP34" s="27">
        <f>IF(AC34="","",IFERROR(DATE(VALUE(RIGHT(AC34,4)),VALUE(MID(AC34,4,2)),VALUE(LEFT(AC34,2))),""))</f>
        <v/>
      </c>
      <c r="AQ34" s="26">
        <f>IF(AI34="","",TRIM(LEFT(AI34,FIND(" ",AI34&amp;" ")-1)))</f>
        <v/>
      </c>
      <c r="AR34" s="27">
        <f>IF(AQ34="","",IFERROR(DATE(VALUE(MID(AQ34,FIND("/",AQ34,FIND("/",AQ34)+1)+1,4)),VALUE(LEFT(AQ34,FIND("/",AQ34)-1)),VALUE(MID(AQ34,FIND("/",AQ34)+1,FIND("/",AQ34,FIND("/",AQ34)+1)-FIND("/",AQ34)-1))),""))</f>
        <v/>
      </c>
      <c r="AS34" s="26">
        <f>IF(G34="","",IF(AND(AG34&lt;&gt;"",AG34&lt;&gt;"Bayi Aracı"),"Evet","Hayır"))</f>
        <v/>
      </c>
      <c r="AT34" s="26">
        <f>IF(G34="","",IF(AND(AS34="Evet",T34="Siparişiniz Teslim Edildi"),"Evet","Hayır"))</f>
        <v/>
      </c>
      <c r="AU34" s="26">
        <f>IF(G34="","",IF(AB34="Siparişinizin Montajı Yapıldı","Evet","Hayır"))</f>
        <v/>
      </c>
      <c r="AV34" s="27">
        <f>IF(G34="","",IF(AT34="Evet",AR34,IF(AU34="Evet",AP34,"")))</f>
        <v/>
      </c>
    </row>
    <row r="35">
      <c r="A35" s="23" t="n"/>
      <c r="B35" s="23" t="n"/>
      <c r="C35" s="23" t="n"/>
      <c r="D35" s="23" t="n"/>
      <c r="E35" s="23" t="n"/>
      <c r="F35" s="23" t="n"/>
      <c r="G35" s="23" t="n"/>
      <c r="H35" s="23" t="n"/>
      <c r="I35" s="23" t="n"/>
      <c r="J35" s="23" t="n"/>
      <c r="K35" s="23" t="n"/>
      <c r="L35" s="23" t="n"/>
      <c r="M35" s="23" t="n"/>
      <c r="N35" s="23" t="n"/>
      <c r="O35" s="23" t="n"/>
      <c r="P35" s="23" t="n"/>
      <c r="Q35" s="23" t="n"/>
      <c r="R35" s="23" t="n"/>
      <c r="S35" s="23" t="n"/>
      <c r="T35" s="23" t="n"/>
      <c r="U35" s="23" t="n"/>
      <c r="V35" s="23" t="n"/>
      <c r="W35" s="23" t="n"/>
      <c r="X35" s="23" t="n"/>
      <c r="Y35" s="23" t="n"/>
      <c r="Z35" s="23" t="n"/>
      <c r="AA35" s="23" t="n"/>
      <c r="AB35" s="23" t="n"/>
      <c r="AC35" s="23" t="n"/>
      <c r="AD35" s="23" t="n"/>
      <c r="AE35" s="23" t="n"/>
      <c r="AF35" s="23" t="n"/>
      <c r="AG35" s="23" t="n"/>
      <c r="AH35" s="23" t="n"/>
      <c r="AI35" s="23" t="n"/>
      <c r="AJ35" s="23" t="n"/>
      <c r="AK35" s="23" t="n"/>
      <c r="AL35" s="23" t="n"/>
      <c r="AM35" s="26">
        <f>IF(G35="","",G35&amp;"|"&amp;P35)</f>
        <v/>
      </c>
      <c r="AN35" s="27">
        <f>IF(I35="","",IFERROR(DATE(VALUE(RIGHT(I35,4)),VALUE(MID(I35,4,2)),VALUE(LEFT(I35,2))),""))</f>
        <v/>
      </c>
      <c r="AO35" s="27">
        <f>IF(Y35="","",IFERROR(DATE(VALUE(RIGHT(Y35,4)),VALUE(MID(Y35,4,2)),VALUE(LEFT(Y35,2))),""))</f>
        <v/>
      </c>
      <c r="AP35" s="27">
        <f>IF(AC35="","",IFERROR(DATE(VALUE(RIGHT(AC35,4)),VALUE(MID(AC35,4,2)),VALUE(LEFT(AC35,2))),""))</f>
        <v/>
      </c>
      <c r="AQ35" s="26">
        <f>IF(AI35="","",TRIM(LEFT(AI35,FIND(" ",AI35&amp;" ")-1)))</f>
        <v/>
      </c>
      <c r="AR35" s="27">
        <f>IF(AQ35="","",IFERROR(DATE(VALUE(MID(AQ35,FIND("/",AQ35,FIND("/",AQ35)+1)+1,4)),VALUE(LEFT(AQ35,FIND("/",AQ35)-1)),VALUE(MID(AQ35,FIND("/",AQ35)+1,FIND("/",AQ35,FIND("/",AQ35)+1)-FIND("/",AQ35)-1))),""))</f>
        <v/>
      </c>
      <c r="AS35" s="26">
        <f>IF(G35="","",IF(AND(AG35&lt;&gt;"",AG35&lt;&gt;"Bayi Aracı"),"Evet","Hayır"))</f>
        <v/>
      </c>
      <c r="AT35" s="26">
        <f>IF(G35="","",IF(AND(AS35="Evet",T35="Siparişiniz Teslim Edildi"),"Evet","Hayır"))</f>
        <v/>
      </c>
      <c r="AU35" s="26">
        <f>IF(G35="","",IF(AB35="Siparişinizin Montajı Yapıldı","Evet","Hayır"))</f>
        <v/>
      </c>
      <c r="AV35" s="27">
        <f>IF(G35="","",IF(AT35="Evet",AR35,IF(AU35="Evet",AP35,"")))</f>
        <v/>
      </c>
    </row>
    <row r="36">
      <c r="A36" s="23" t="n"/>
      <c r="B36" s="23" t="n"/>
      <c r="C36" s="23" t="n"/>
      <c r="D36" s="23" t="n"/>
      <c r="E36" s="23" t="n"/>
      <c r="F36" s="23" t="n"/>
      <c r="G36" s="23" t="n"/>
      <c r="H36" s="23" t="n"/>
      <c r="I36" s="23" t="n"/>
      <c r="J36" s="23" t="n"/>
      <c r="K36" s="23" t="n"/>
      <c r="L36" s="23" t="n"/>
      <c r="M36" s="23" t="n"/>
      <c r="N36" s="23" t="n"/>
      <c r="O36" s="23" t="n"/>
      <c r="P36" s="23" t="n"/>
      <c r="Q36" s="23" t="n"/>
      <c r="R36" s="23" t="n"/>
      <c r="S36" s="23" t="n"/>
      <c r="T36" s="23" t="n"/>
      <c r="U36" s="23" t="n"/>
      <c r="V36" s="23" t="n"/>
      <c r="W36" s="23" t="n"/>
      <c r="X36" s="23" t="n"/>
      <c r="Y36" s="23" t="n"/>
      <c r="Z36" s="23" t="n"/>
      <c r="AA36" s="23" t="n"/>
      <c r="AB36" s="23" t="n"/>
      <c r="AC36" s="23" t="n"/>
      <c r="AD36" s="23" t="n"/>
      <c r="AE36" s="23" t="n"/>
      <c r="AF36" s="23" t="n"/>
      <c r="AG36" s="23" t="n"/>
      <c r="AH36" s="23" t="n"/>
      <c r="AI36" s="23" t="n"/>
      <c r="AJ36" s="23" t="n"/>
      <c r="AK36" s="23" t="n"/>
      <c r="AL36" s="23" t="n"/>
      <c r="AM36" s="26">
        <f>IF(G36="","",G36&amp;"|"&amp;P36)</f>
        <v/>
      </c>
      <c r="AN36" s="27">
        <f>IF(I36="","",IFERROR(DATE(VALUE(RIGHT(I36,4)),VALUE(MID(I36,4,2)),VALUE(LEFT(I36,2))),""))</f>
        <v/>
      </c>
      <c r="AO36" s="27">
        <f>IF(Y36="","",IFERROR(DATE(VALUE(RIGHT(Y36,4)),VALUE(MID(Y36,4,2)),VALUE(LEFT(Y36,2))),""))</f>
        <v/>
      </c>
      <c r="AP36" s="27">
        <f>IF(AC36="","",IFERROR(DATE(VALUE(RIGHT(AC36,4)),VALUE(MID(AC36,4,2)),VALUE(LEFT(AC36,2))),""))</f>
        <v/>
      </c>
      <c r="AQ36" s="26">
        <f>IF(AI36="","",TRIM(LEFT(AI36,FIND(" ",AI36&amp;" ")-1)))</f>
        <v/>
      </c>
      <c r="AR36" s="27">
        <f>IF(AQ36="","",IFERROR(DATE(VALUE(MID(AQ36,FIND("/",AQ36,FIND("/",AQ36)+1)+1,4)),VALUE(LEFT(AQ36,FIND("/",AQ36)-1)),VALUE(MID(AQ36,FIND("/",AQ36)+1,FIND("/",AQ36,FIND("/",AQ36)+1)-FIND("/",AQ36)-1))),""))</f>
        <v/>
      </c>
      <c r="AS36" s="26">
        <f>IF(G36="","",IF(AND(AG36&lt;&gt;"",AG36&lt;&gt;"Bayi Aracı"),"Evet","Hayır"))</f>
        <v/>
      </c>
      <c r="AT36" s="26">
        <f>IF(G36="","",IF(AND(AS36="Evet",T36="Siparişiniz Teslim Edildi"),"Evet","Hayır"))</f>
        <v/>
      </c>
      <c r="AU36" s="26">
        <f>IF(G36="","",IF(AB36="Siparişinizin Montajı Yapıldı","Evet","Hayır"))</f>
        <v/>
      </c>
      <c r="AV36" s="27">
        <f>IF(G36="","",IF(AT36="Evet",AR36,IF(AU36="Evet",AP36,"")))</f>
        <v/>
      </c>
    </row>
    <row r="37">
      <c r="A37" s="23" t="n"/>
      <c r="B37" s="23" t="n"/>
      <c r="C37" s="23" t="n"/>
      <c r="D37" s="23" t="n"/>
      <c r="E37" s="23" t="n"/>
      <c r="F37" s="23" t="n"/>
      <c r="G37" s="23" t="n"/>
      <c r="H37" s="23" t="n"/>
      <c r="I37" s="23" t="n"/>
      <c r="J37" s="23" t="n"/>
      <c r="K37" s="23" t="n"/>
      <c r="L37" s="23" t="n"/>
      <c r="M37" s="23" t="n"/>
      <c r="N37" s="23" t="n"/>
      <c r="O37" s="23" t="n"/>
      <c r="P37" s="23" t="n"/>
      <c r="Q37" s="23" t="n"/>
      <c r="R37" s="23" t="n"/>
      <c r="S37" s="23" t="n"/>
      <c r="T37" s="23" t="n"/>
      <c r="U37" s="23" t="n"/>
      <c r="V37" s="23" t="n"/>
      <c r="W37" s="23" t="n"/>
      <c r="X37" s="23" t="n"/>
      <c r="Y37" s="23" t="n"/>
      <c r="Z37" s="23" t="n"/>
      <c r="AA37" s="23" t="n"/>
      <c r="AB37" s="23" t="n"/>
      <c r="AC37" s="23" t="n"/>
      <c r="AD37" s="23" t="n"/>
      <c r="AE37" s="23" t="n"/>
      <c r="AF37" s="23" t="n"/>
      <c r="AG37" s="23" t="n"/>
      <c r="AH37" s="23" t="n"/>
      <c r="AI37" s="23" t="n"/>
      <c r="AJ37" s="23" t="n"/>
      <c r="AK37" s="23" t="n"/>
      <c r="AL37" s="23" t="n"/>
      <c r="AM37" s="26">
        <f>IF(G37="","",G37&amp;"|"&amp;P37)</f>
        <v/>
      </c>
      <c r="AN37" s="27">
        <f>IF(I37="","",IFERROR(DATE(VALUE(RIGHT(I37,4)),VALUE(MID(I37,4,2)),VALUE(LEFT(I37,2))),""))</f>
        <v/>
      </c>
      <c r="AO37" s="27">
        <f>IF(Y37="","",IFERROR(DATE(VALUE(RIGHT(Y37,4)),VALUE(MID(Y37,4,2)),VALUE(LEFT(Y37,2))),""))</f>
        <v/>
      </c>
      <c r="AP37" s="27">
        <f>IF(AC37="","",IFERROR(DATE(VALUE(RIGHT(AC37,4)),VALUE(MID(AC37,4,2)),VALUE(LEFT(AC37,2))),""))</f>
        <v/>
      </c>
      <c r="AQ37" s="26">
        <f>IF(AI37="","",TRIM(LEFT(AI37,FIND(" ",AI37&amp;" ")-1)))</f>
        <v/>
      </c>
      <c r="AR37" s="27">
        <f>IF(AQ37="","",IFERROR(DATE(VALUE(MID(AQ37,FIND("/",AQ37,FIND("/",AQ37)+1)+1,4)),VALUE(LEFT(AQ37,FIND("/",AQ37)-1)),VALUE(MID(AQ37,FIND("/",AQ37)+1,FIND("/",AQ37,FIND("/",AQ37)+1)-FIND("/",AQ37)-1))),""))</f>
        <v/>
      </c>
      <c r="AS37" s="26">
        <f>IF(G37="","",IF(AND(AG37&lt;&gt;"",AG37&lt;&gt;"Bayi Aracı"),"Evet","Hayır"))</f>
        <v/>
      </c>
      <c r="AT37" s="26">
        <f>IF(G37="","",IF(AND(AS37="Evet",T37="Siparişiniz Teslim Edildi"),"Evet","Hayır"))</f>
        <v/>
      </c>
      <c r="AU37" s="26">
        <f>IF(G37="","",IF(AB37="Siparişinizin Montajı Yapıldı","Evet","Hayır"))</f>
        <v/>
      </c>
      <c r="AV37" s="27">
        <f>IF(G37="","",IF(AT37="Evet",AR37,IF(AU37="Evet",AP37,"")))</f>
        <v/>
      </c>
    </row>
    <row r="38">
      <c r="A38" s="23" t="n"/>
      <c r="B38" s="23" t="n"/>
      <c r="C38" s="23" t="n"/>
      <c r="D38" s="23" t="n"/>
      <c r="E38" s="23" t="n"/>
      <c r="F38" s="23" t="n"/>
      <c r="G38" s="23" t="n"/>
      <c r="H38" s="23" t="n"/>
      <c r="I38" s="23" t="n"/>
      <c r="J38" s="23" t="n"/>
      <c r="K38" s="23" t="n"/>
      <c r="L38" s="23" t="n"/>
      <c r="M38" s="23" t="n"/>
      <c r="N38" s="23" t="n"/>
      <c r="O38" s="23" t="n"/>
      <c r="P38" s="23" t="n"/>
      <c r="Q38" s="23" t="n"/>
      <c r="R38" s="23" t="n"/>
      <c r="S38" s="23" t="n"/>
      <c r="T38" s="23" t="n"/>
      <c r="U38" s="23" t="n"/>
      <c r="V38" s="23" t="n"/>
      <c r="W38" s="23" t="n"/>
      <c r="X38" s="23" t="n"/>
      <c r="Y38" s="23" t="n"/>
      <c r="Z38" s="23" t="n"/>
      <c r="AA38" s="23" t="n"/>
      <c r="AB38" s="23" t="n"/>
      <c r="AC38" s="23" t="n"/>
      <c r="AD38" s="23" t="n"/>
      <c r="AE38" s="23" t="n"/>
      <c r="AF38" s="23" t="n"/>
      <c r="AG38" s="23" t="n"/>
      <c r="AH38" s="23" t="n"/>
      <c r="AI38" s="23" t="n"/>
      <c r="AJ38" s="23" t="n"/>
      <c r="AK38" s="23" t="n"/>
      <c r="AL38" s="23" t="n"/>
      <c r="AM38" s="26">
        <f>IF(G38="","",G38&amp;"|"&amp;P38)</f>
        <v/>
      </c>
      <c r="AN38" s="27">
        <f>IF(I38="","",IFERROR(DATE(VALUE(RIGHT(I38,4)),VALUE(MID(I38,4,2)),VALUE(LEFT(I38,2))),""))</f>
        <v/>
      </c>
      <c r="AO38" s="27">
        <f>IF(Y38="","",IFERROR(DATE(VALUE(RIGHT(Y38,4)),VALUE(MID(Y38,4,2)),VALUE(LEFT(Y38,2))),""))</f>
        <v/>
      </c>
      <c r="AP38" s="27">
        <f>IF(AC38="","",IFERROR(DATE(VALUE(RIGHT(AC38,4)),VALUE(MID(AC38,4,2)),VALUE(LEFT(AC38,2))),""))</f>
        <v/>
      </c>
      <c r="AQ38" s="26">
        <f>IF(AI38="","",TRIM(LEFT(AI38,FIND(" ",AI38&amp;" ")-1)))</f>
        <v/>
      </c>
      <c r="AR38" s="27">
        <f>IF(AQ38="","",IFERROR(DATE(VALUE(MID(AQ38,FIND("/",AQ38,FIND("/",AQ38)+1)+1,4)),VALUE(LEFT(AQ38,FIND("/",AQ38)-1)),VALUE(MID(AQ38,FIND("/",AQ38)+1,FIND("/",AQ38,FIND("/",AQ38)+1)-FIND("/",AQ38)-1))),""))</f>
        <v/>
      </c>
      <c r="AS38" s="26">
        <f>IF(G38="","",IF(AND(AG38&lt;&gt;"",AG38&lt;&gt;"Bayi Aracı"),"Evet","Hayır"))</f>
        <v/>
      </c>
      <c r="AT38" s="26">
        <f>IF(G38="","",IF(AND(AS38="Evet",T38="Siparişiniz Teslim Edildi"),"Evet","Hayır"))</f>
        <v/>
      </c>
      <c r="AU38" s="26">
        <f>IF(G38="","",IF(AB38="Siparişinizin Montajı Yapıldı","Evet","Hayır"))</f>
        <v/>
      </c>
      <c r="AV38" s="27">
        <f>IF(G38="","",IF(AT38="Evet",AR38,IF(AU38="Evet",AP38,"")))</f>
        <v/>
      </c>
    </row>
    <row r="39">
      <c r="A39" s="23" t="n"/>
      <c r="B39" s="23" t="n"/>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c r="AA39" s="23" t="n"/>
      <c r="AB39" s="23" t="n"/>
      <c r="AC39" s="23" t="n"/>
      <c r="AD39" s="23" t="n"/>
      <c r="AE39" s="23" t="n"/>
      <c r="AF39" s="23" t="n"/>
      <c r="AG39" s="23" t="n"/>
      <c r="AH39" s="23" t="n"/>
      <c r="AI39" s="23" t="n"/>
      <c r="AJ39" s="23" t="n"/>
      <c r="AK39" s="23" t="n"/>
      <c r="AL39" s="23" t="n"/>
      <c r="AM39" s="26">
        <f>IF(G39="","",G39&amp;"|"&amp;P39)</f>
        <v/>
      </c>
      <c r="AN39" s="27">
        <f>IF(I39="","",IFERROR(DATE(VALUE(RIGHT(I39,4)),VALUE(MID(I39,4,2)),VALUE(LEFT(I39,2))),""))</f>
        <v/>
      </c>
      <c r="AO39" s="27">
        <f>IF(Y39="","",IFERROR(DATE(VALUE(RIGHT(Y39,4)),VALUE(MID(Y39,4,2)),VALUE(LEFT(Y39,2))),""))</f>
        <v/>
      </c>
      <c r="AP39" s="27">
        <f>IF(AC39="","",IFERROR(DATE(VALUE(RIGHT(AC39,4)),VALUE(MID(AC39,4,2)),VALUE(LEFT(AC39,2))),""))</f>
        <v/>
      </c>
      <c r="AQ39" s="26">
        <f>IF(AI39="","",TRIM(LEFT(AI39,FIND(" ",AI39&amp;" ")-1)))</f>
        <v/>
      </c>
      <c r="AR39" s="27">
        <f>IF(AQ39="","",IFERROR(DATE(VALUE(MID(AQ39,FIND("/",AQ39,FIND("/",AQ39)+1)+1,4)),VALUE(LEFT(AQ39,FIND("/",AQ39)-1)),VALUE(MID(AQ39,FIND("/",AQ39)+1,FIND("/",AQ39,FIND("/",AQ39)+1)-FIND("/",AQ39)-1))),""))</f>
        <v/>
      </c>
      <c r="AS39" s="26">
        <f>IF(G39="","",IF(AND(AG39&lt;&gt;"",AG39&lt;&gt;"Bayi Aracı"),"Evet","Hayır"))</f>
        <v/>
      </c>
      <c r="AT39" s="26">
        <f>IF(G39="","",IF(AND(AS39="Evet",T39="Siparişiniz Teslim Edildi"),"Evet","Hayır"))</f>
        <v/>
      </c>
      <c r="AU39" s="26">
        <f>IF(G39="","",IF(AB39="Siparişinizin Montajı Yapıldı","Evet","Hayır"))</f>
        <v/>
      </c>
      <c r="AV39" s="27">
        <f>IF(G39="","",IF(AT39="Evet",AR39,IF(AU39="Evet",AP39,"")))</f>
        <v/>
      </c>
    </row>
    <row r="40">
      <c r="A40" s="23" t="n"/>
      <c r="B40" s="23" t="n"/>
      <c r="C40" s="23" t="n"/>
      <c r="D40" s="23" t="n"/>
      <c r="E40" s="23" t="n"/>
      <c r="F40" s="23" t="n"/>
      <c r="G40" s="23" t="n"/>
      <c r="H40" s="23" t="n"/>
      <c r="I40" s="23" t="n"/>
      <c r="J40" s="23" t="n"/>
      <c r="K40" s="23" t="n"/>
      <c r="L40" s="23" t="n"/>
      <c r="M40" s="23" t="n"/>
      <c r="N40" s="23" t="n"/>
      <c r="O40" s="23" t="n"/>
      <c r="P40" s="23" t="n"/>
      <c r="Q40" s="23" t="n"/>
      <c r="R40" s="23" t="n"/>
      <c r="S40" s="23" t="n"/>
      <c r="T40" s="23" t="n"/>
      <c r="U40" s="23" t="n"/>
      <c r="V40" s="23" t="n"/>
      <c r="W40" s="23" t="n"/>
      <c r="X40" s="23" t="n"/>
      <c r="Y40" s="23" t="n"/>
      <c r="Z40" s="23" t="n"/>
      <c r="AA40" s="23" t="n"/>
      <c r="AB40" s="23" t="n"/>
      <c r="AC40" s="23" t="n"/>
      <c r="AD40" s="23" t="n"/>
      <c r="AE40" s="23" t="n"/>
      <c r="AF40" s="23" t="n"/>
      <c r="AG40" s="23" t="n"/>
      <c r="AH40" s="23" t="n"/>
      <c r="AI40" s="23" t="n"/>
      <c r="AJ40" s="23" t="n"/>
      <c r="AK40" s="23" t="n"/>
      <c r="AL40" s="23" t="n"/>
      <c r="AM40" s="26">
        <f>IF(G40="","",G40&amp;"|"&amp;P40)</f>
        <v/>
      </c>
      <c r="AN40" s="27">
        <f>IF(I40="","",IFERROR(DATE(VALUE(RIGHT(I40,4)),VALUE(MID(I40,4,2)),VALUE(LEFT(I40,2))),""))</f>
        <v/>
      </c>
      <c r="AO40" s="27">
        <f>IF(Y40="","",IFERROR(DATE(VALUE(RIGHT(Y40,4)),VALUE(MID(Y40,4,2)),VALUE(LEFT(Y40,2))),""))</f>
        <v/>
      </c>
      <c r="AP40" s="27">
        <f>IF(AC40="","",IFERROR(DATE(VALUE(RIGHT(AC40,4)),VALUE(MID(AC40,4,2)),VALUE(LEFT(AC40,2))),""))</f>
        <v/>
      </c>
      <c r="AQ40" s="26">
        <f>IF(AI40="","",TRIM(LEFT(AI40,FIND(" ",AI40&amp;" ")-1)))</f>
        <v/>
      </c>
      <c r="AR40" s="27">
        <f>IF(AQ40="","",IFERROR(DATE(VALUE(MID(AQ40,FIND("/",AQ40,FIND("/",AQ40)+1)+1,4)),VALUE(LEFT(AQ40,FIND("/",AQ40)-1)),VALUE(MID(AQ40,FIND("/",AQ40)+1,FIND("/",AQ40,FIND("/",AQ40)+1)-FIND("/",AQ40)-1))),""))</f>
        <v/>
      </c>
      <c r="AS40" s="26">
        <f>IF(G40="","",IF(AND(AG40&lt;&gt;"",AG40&lt;&gt;"Bayi Aracı"),"Evet","Hayır"))</f>
        <v/>
      </c>
      <c r="AT40" s="26">
        <f>IF(G40="","",IF(AND(AS40="Evet",T40="Siparişiniz Teslim Edildi"),"Evet","Hayır"))</f>
        <v/>
      </c>
      <c r="AU40" s="26">
        <f>IF(G40="","",IF(AB40="Siparişinizin Montajı Yapıldı","Evet","Hayır"))</f>
        <v/>
      </c>
      <c r="AV40" s="27">
        <f>IF(G40="","",IF(AT40="Evet",AR40,IF(AU40="Evet",AP40,"")))</f>
        <v/>
      </c>
    </row>
    <row r="41">
      <c r="A41" s="23" t="n"/>
      <c r="B41" s="23" t="n"/>
      <c r="C41" s="23" t="n"/>
      <c r="D41" s="23" t="n"/>
      <c r="E41" s="23" t="n"/>
      <c r="F41" s="23" t="n"/>
      <c r="G41" s="23" t="n"/>
      <c r="H41" s="23" t="n"/>
      <c r="I41" s="23" t="n"/>
      <c r="J41" s="23" t="n"/>
      <c r="K41" s="23" t="n"/>
      <c r="L41" s="23" t="n"/>
      <c r="M41" s="23" t="n"/>
      <c r="N41" s="23" t="n"/>
      <c r="O41" s="23" t="n"/>
      <c r="P41" s="23" t="n"/>
      <c r="Q41" s="23" t="n"/>
      <c r="R41" s="23" t="n"/>
      <c r="S41" s="23" t="n"/>
      <c r="T41" s="23" t="n"/>
      <c r="U41" s="23" t="n"/>
      <c r="V41" s="23" t="n"/>
      <c r="W41" s="23" t="n"/>
      <c r="X41" s="23" t="n"/>
      <c r="Y41" s="23" t="n"/>
      <c r="Z41" s="23" t="n"/>
      <c r="AA41" s="23" t="n"/>
      <c r="AB41" s="23" t="n"/>
      <c r="AC41" s="23" t="n"/>
      <c r="AD41" s="23" t="n"/>
      <c r="AE41" s="23" t="n"/>
      <c r="AF41" s="23" t="n"/>
      <c r="AG41" s="23" t="n"/>
      <c r="AH41" s="23" t="n"/>
      <c r="AI41" s="23" t="n"/>
      <c r="AJ41" s="23" t="n"/>
      <c r="AK41" s="23" t="n"/>
      <c r="AL41" s="23" t="n"/>
      <c r="AM41" s="26">
        <f>IF(G41="","",G41&amp;"|"&amp;P41)</f>
        <v/>
      </c>
      <c r="AN41" s="27">
        <f>IF(I41="","",IFERROR(DATE(VALUE(RIGHT(I41,4)),VALUE(MID(I41,4,2)),VALUE(LEFT(I41,2))),""))</f>
        <v/>
      </c>
      <c r="AO41" s="27">
        <f>IF(Y41="","",IFERROR(DATE(VALUE(RIGHT(Y41,4)),VALUE(MID(Y41,4,2)),VALUE(LEFT(Y41,2))),""))</f>
        <v/>
      </c>
      <c r="AP41" s="27">
        <f>IF(AC41="","",IFERROR(DATE(VALUE(RIGHT(AC41,4)),VALUE(MID(AC41,4,2)),VALUE(LEFT(AC41,2))),""))</f>
        <v/>
      </c>
      <c r="AQ41" s="26">
        <f>IF(AI41="","",TRIM(LEFT(AI41,FIND(" ",AI41&amp;" ")-1)))</f>
        <v/>
      </c>
      <c r="AR41" s="27">
        <f>IF(AQ41="","",IFERROR(DATE(VALUE(MID(AQ41,FIND("/",AQ41,FIND("/",AQ41)+1)+1,4)),VALUE(LEFT(AQ41,FIND("/",AQ41)-1)),VALUE(MID(AQ41,FIND("/",AQ41)+1,FIND("/",AQ41,FIND("/",AQ41)+1)-FIND("/",AQ41)-1))),""))</f>
        <v/>
      </c>
      <c r="AS41" s="26">
        <f>IF(G41="","",IF(AND(AG41&lt;&gt;"",AG41&lt;&gt;"Bayi Aracı"),"Evet","Hayır"))</f>
        <v/>
      </c>
      <c r="AT41" s="26">
        <f>IF(G41="","",IF(AND(AS41="Evet",T41="Siparişiniz Teslim Edildi"),"Evet","Hayır"))</f>
        <v/>
      </c>
      <c r="AU41" s="26">
        <f>IF(G41="","",IF(AB41="Siparişinizin Montajı Yapıldı","Evet","Hayır"))</f>
        <v/>
      </c>
      <c r="AV41" s="27">
        <f>IF(G41="","",IF(AT41="Evet",AR41,IF(AU41="Evet",AP41,"")))</f>
        <v/>
      </c>
    </row>
    <row r="42">
      <c r="A42" s="23" t="n"/>
      <c r="B42" s="23" t="n"/>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c r="AA42" s="23" t="n"/>
      <c r="AB42" s="23" t="n"/>
      <c r="AC42" s="23" t="n"/>
      <c r="AD42" s="23" t="n"/>
      <c r="AE42" s="23" t="n"/>
      <c r="AF42" s="23" t="n"/>
      <c r="AG42" s="23" t="n"/>
      <c r="AH42" s="23" t="n"/>
      <c r="AI42" s="23" t="n"/>
      <c r="AJ42" s="23" t="n"/>
      <c r="AK42" s="23" t="n"/>
      <c r="AL42" s="23" t="n"/>
      <c r="AM42" s="26">
        <f>IF(G42="","",G42&amp;"|"&amp;P42)</f>
        <v/>
      </c>
      <c r="AN42" s="27">
        <f>IF(I42="","",IFERROR(DATE(VALUE(RIGHT(I42,4)),VALUE(MID(I42,4,2)),VALUE(LEFT(I42,2))),""))</f>
        <v/>
      </c>
      <c r="AO42" s="27">
        <f>IF(Y42="","",IFERROR(DATE(VALUE(RIGHT(Y42,4)),VALUE(MID(Y42,4,2)),VALUE(LEFT(Y42,2))),""))</f>
        <v/>
      </c>
      <c r="AP42" s="27">
        <f>IF(AC42="","",IFERROR(DATE(VALUE(RIGHT(AC42,4)),VALUE(MID(AC42,4,2)),VALUE(LEFT(AC42,2))),""))</f>
        <v/>
      </c>
      <c r="AQ42" s="26">
        <f>IF(AI42="","",TRIM(LEFT(AI42,FIND(" ",AI42&amp;" ")-1)))</f>
        <v/>
      </c>
      <c r="AR42" s="27">
        <f>IF(AQ42="","",IFERROR(DATE(VALUE(MID(AQ42,FIND("/",AQ42,FIND("/",AQ42)+1)+1,4)),VALUE(LEFT(AQ42,FIND("/",AQ42)-1)),VALUE(MID(AQ42,FIND("/",AQ42)+1,FIND("/",AQ42,FIND("/",AQ42)+1)-FIND("/",AQ42)-1))),""))</f>
        <v/>
      </c>
      <c r="AS42" s="26">
        <f>IF(G42="","",IF(AND(AG42&lt;&gt;"",AG42&lt;&gt;"Bayi Aracı"),"Evet","Hayır"))</f>
        <v/>
      </c>
      <c r="AT42" s="26">
        <f>IF(G42="","",IF(AND(AS42="Evet",T42="Siparişiniz Teslim Edildi"),"Evet","Hayır"))</f>
        <v/>
      </c>
      <c r="AU42" s="26">
        <f>IF(G42="","",IF(AB42="Siparişinizin Montajı Yapıldı","Evet","Hayır"))</f>
        <v/>
      </c>
      <c r="AV42" s="27">
        <f>IF(G42="","",IF(AT42="Evet",AR42,IF(AU42="Evet",AP42,"")))</f>
        <v/>
      </c>
    </row>
    <row r="43">
      <c r="A43" s="23" t="n"/>
      <c r="B43" s="23" t="n"/>
      <c r="C43" s="23" t="n"/>
      <c r="D43" s="23" t="n"/>
      <c r="E43" s="23" t="n"/>
      <c r="F43" s="23" t="n"/>
      <c r="G43" s="23" t="n"/>
      <c r="H43" s="23" t="n"/>
      <c r="I43" s="23" t="n"/>
      <c r="J43" s="23" t="n"/>
      <c r="K43" s="23" t="n"/>
      <c r="L43" s="23" t="n"/>
      <c r="M43" s="23" t="n"/>
      <c r="N43" s="23" t="n"/>
      <c r="O43" s="23" t="n"/>
      <c r="P43" s="23" t="n"/>
      <c r="Q43" s="23" t="n"/>
      <c r="R43" s="23" t="n"/>
      <c r="S43" s="23" t="n"/>
      <c r="T43" s="23" t="n"/>
      <c r="U43" s="23" t="n"/>
      <c r="V43" s="23" t="n"/>
      <c r="W43" s="23" t="n"/>
      <c r="X43" s="23" t="n"/>
      <c r="Y43" s="23" t="n"/>
      <c r="Z43" s="23" t="n"/>
      <c r="AA43" s="23" t="n"/>
      <c r="AB43" s="23" t="n"/>
      <c r="AC43" s="23" t="n"/>
      <c r="AD43" s="23" t="n"/>
      <c r="AE43" s="23" t="n"/>
      <c r="AF43" s="23" t="n"/>
      <c r="AG43" s="23" t="n"/>
      <c r="AH43" s="23" t="n"/>
      <c r="AI43" s="23" t="n"/>
      <c r="AJ43" s="23" t="n"/>
      <c r="AK43" s="23" t="n"/>
      <c r="AL43" s="23" t="n"/>
      <c r="AM43" s="26">
        <f>IF(G43="","",G43&amp;"|"&amp;P43)</f>
        <v/>
      </c>
      <c r="AN43" s="27">
        <f>IF(I43="","",IFERROR(DATE(VALUE(RIGHT(I43,4)),VALUE(MID(I43,4,2)),VALUE(LEFT(I43,2))),""))</f>
        <v/>
      </c>
      <c r="AO43" s="27">
        <f>IF(Y43="","",IFERROR(DATE(VALUE(RIGHT(Y43,4)),VALUE(MID(Y43,4,2)),VALUE(LEFT(Y43,2))),""))</f>
        <v/>
      </c>
      <c r="AP43" s="27">
        <f>IF(AC43="","",IFERROR(DATE(VALUE(RIGHT(AC43,4)),VALUE(MID(AC43,4,2)),VALUE(LEFT(AC43,2))),""))</f>
        <v/>
      </c>
      <c r="AQ43" s="26">
        <f>IF(AI43="","",TRIM(LEFT(AI43,FIND(" ",AI43&amp;" ")-1)))</f>
        <v/>
      </c>
      <c r="AR43" s="27">
        <f>IF(AQ43="","",IFERROR(DATE(VALUE(MID(AQ43,FIND("/",AQ43,FIND("/",AQ43)+1)+1,4)),VALUE(LEFT(AQ43,FIND("/",AQ43)-1)),VALUE(MID(AQ43,FIND("/",AQ43)+1,FIND("/",AQ43,FIND("/",AQ43)+1)-FIND("/",AQ43)-1))),""))</f>
        <v/>
      </c>
      <c r="AS43" s="26">
        <f>IF(G43="","",IF(AND(AG43&lt;&gt;"",AG43&lt;&gt;"Bayi Aracı"),"Evet","Hayır"))</f>
        <v/>
      </c>
      <c r="AT43" s="26">
        <f>IF(G43="","",IF(AND(AS43="Evet",T43="Siparişiniz Teslim Edildi"),"Evet","Hayır"))</f>
        <v/>
      </c>
      <c r="AU43" s="26">
        <f>IF(G43="","",IF(AB43="Siparişinizin Montajı Yapıldı","Evet","Hayır"))</f>
        <v/>
      </c>
      <c r="AV43" s="27">
        <f>IF(G43="","",IF(AT43="Evet",AR43,IF(AU43="Evet",AP43,"")))</f>
        <v/>
      </c>
    </row>
    <row r="44">
      <c r="A44" s="23" t="n"/>
      <c r="B44" s="23" t="n"/>
      <c r="C44" s="23" t="n"/>
      <c r="D44" s="23" t="n"/>
      <c r="E44" s="23" t="n"/>
      <c r="F44" s="23" t="n"/>
      <c r="G44" s="23" t="n"/>
      <c r="H44" s="23" t="n"/>
      <c r="I44" s="23" t="n"/>
      <c r="J44" s="23" t="n"/>
      <c r="K44" s="23" t="n"/>
      <c r="L44" s="23" t="n"/>
      <c r="M44" s="23" t="n"/>
      <c r="N44" s="23" t="n"/>
      <c r="O44" s="23" t="n"/>
      <c r="P44" s="23" t="n"/>
      <c r="Q44" s="23" t="n"/>
      <c r="R44" s="23" t="n"/>
      <c r="S44" s="23" t="n"/>
      <c r="T44" s="23" t="n"/>
      <c r="U44" s="23" t="n"/>
      <c r="V44" s="23" t="n"/>
      <c r="W44" s="23" t="n"/>
      <c r="X44" s="23" t="n"/>
      <c r="Y44" s="23" t="n"/>
      <c r="Z44" s="23" t="n"/>
      <c r="AA44" s="23" t="n"/>
      <c r="AB44" s="23" t="n"/>
      <c r="AC44" s="23" t="n"/>
      <c r="AD44" s="23" t="n"/>
      <c r="AE44" s="23" t="n"/>
      <c r="AF44" s="23" t="n"/>
      <c r="AG44" s="23" t="n"/>
      <c r="AH44" s="23" t="n"/>
      <c r="AI44" s="23" t="n"/>
      <c r="AJ44" s="23" t="n"/>
      <c r="AK44" s="23" t="n"/>
      <c r="AL44" s="23" t="n"/>
      <c r="AM44" s="26">
        <f>IF(G44="","",G44&amp;"|"&amp;P44)</f>
        <v/>
      </c>
      <c r="AN44" s="27">
        <f>IF(I44="","",IFERROR(DATE(VALUE(RIGHT(I44,4)),VALUE(MID(I44,4,2)),VALUE(LEFT(I44,2))),""))</f>
        <v/>
      </c>
      <c r="AO44" s="27">
        <f>IF(Y44="","",IFERROR(DATE(VALUE(RIGHT(Y44,4)),VALUE(MID(Y44,4,2)),VALUE(LEFT(Y44,2))),""))</f>
        <v/>
      </c>
      <c r="AP44" s="27">
        <f>IF(AC44="","",IFERROR(DATE(VALUE(RIGHT(AC44,4)),VALUE(MID(AC44,4,2)),VALUE(LEFT(AC44,2))),""))</f>
        <v/>
      </c>
      <c r="AQ44" s="26">
        <f>IF(AI44="","",TRIM(LEFT(AI44,FIND(" ",AI44&amp;" ")-1)))</f>
        <v/>
      </c>
      <c r="AR44" s="27">
        <f>IF(AQ44="","",IFERROR(DATE(VALUE(MID(AQ44,FIND("/",AQ44,FIND("/",AQ44)+1)+1,4)),VALUE(LEFT(AQ44,FIND("/",AQ44)-1)),VALUE(MID(AQ44,FIND("/",AQ44)+1,FIND("/",AQ44,FIND("/",AQ44)+1)-FIND("/",AQ44)-1))),""))</f>
        <v/>
      </c>
      <c r="AS44" s="26">
        <f>IF(G44="","",IF(AND(AG44&lt;&gt;"",AG44&lt;&gt;"Bayi Aracı"),"Evet","Hayır"))</f>
        <v/>
      </c>
      <c r="AT44" s="26">
        <f>IF(G44="","",IF(AND(AS44="Evet",T44="Siparişiniz Teslim Edildi"),"Evet","Hayır"))</f>
        <v/>
      </c>
      <c r="AU44" s="26">
        <f>IF(G44="","",IF(AB44="Siparişinizin Montajı Yapıldı","Evet","Hayır"))</f>
        <v/>
      </c>
      <c r="AV44" s="27">
        <f>IF(G44="","",IF(AT44="Evet",AR44,IF(AU44="Evet",AP44,"")))</f>
        <v/>
      </c>
    </row>
    <row r="45">
      <c r="A45" s="23" t="n"/>
      <c r="B45" s="23" t="n"/>
      <c r="C45" s="23" t="n"/>
      <c r="D45" s="23" t="n"/>
      <c r="E45" s="23" t="n"/>
      <c r="F45" s="23" t="n"/>
      <c r="G45" s="23" t="n"/>
      <c r="H45" s="23" t="n"/>
      <c r="I45" s="23" t="n"/>
      <c r="J45" s="23" t="n"/>
      <c r="K45" s="23" t="n"/>
      <c r="L45" s="23" t="n"/>
      <c r="M45" s="23" t="n"/>
      <c r="N45" s="23" t="n"/>
      <c r="O45" s="23" t="n"/>
      <c r="P45" s="23" t="n"/>
      <c r="Q45" s="23" t="n"/>
      <c r="R45" s="23" t="n"/>
      <c r="S45" s="23" t="n"/>
      <c r="T45" s="23" t="n"/>
      <c r="U45" s="23" t="n"/>
      <c r="V45" s="23" t="n"/>
      <c r="W45" s="23" t="n"/>
      <c r="X45" s="23" t="n"/>
      <c r="Y45" s="23" t="n"/>
      <c r="Z45" s="23" t="n"/>
      <c r="AA45" s="23" t="n"/>
      <c r="AB45" s="23" t="n"/>
      <c r="AC45" s="23" t="n"/>
      <c r="AD45" s="23" t="n"/>
      <c r="AE45" s="23" t="n"/>
      <c r="AF45" s="23" t="n"/>
      <c r="AG45" s="23" t="n"/>
      <c r="AH45" s="23" t="n"/>
      <c r="AI45" s="23" t="n"/>
      <c r="AJ45" s="23" t="n"/>
      <c r="AK45" s="23" t="n"/>
      <c r="AL45" s="23" t="n"/>
      <c r="AM45" s="26">
        <f>IF(G45="","",G45&amp;"|"&amp;P45)</f>
        <v/>
      </c>
      <c r="AN45" s="27">
        <f>IF(I45="","",IFERROR(DATE(VALUE(RIGHT(I45,4)),VALUE(MID(I45,4,2)),VALUE(LEFT(I45,2))),""))</f>
        <v/>
      </c>
      <c r="AO45" s="27">
        <f>IF(Y45="","",IFERROR(DATE(VALUE(RIGHT(Y45,4)),VALUE(MID(Y45,4,2)),VALUE(LEFT(Y45,2))),""))</f>
        <v/>
      </c>
      <c r="AP45" s="27">
        <f>IF(AC45="","",IFERROR(DATE(VALUE(RIGHT(AC45,4)),VALUE(MID(AC45,4,2)),VALUE(LEFT(AC45,2))),""))</f>
        <v/>
      </c>
      <c r="AQ45" s="26">
        <f>IF(AI45="","",TRIM(LEFT(AI45,FIND(" ",AI45&amp;" ")-1)))</f>
        <v/>
      </c>
      <c r="AR45" s="27">
        <f>IF(AQ45="","",IFERROR(DATE(VALUE(MID(AQ45,FIND("/",AQ45,FIND("/",AQ45)+1)+1,4)),VALUE(LEFT(AQ45,FIND("/",AQ45)-1)),VALUE(MID(AQ45,FIND("/",AQ45)+1,FIND("/",AQ45,FIND("/",AQ45)+1)-FIND("/",AQ45)-1))),""))</f>
        <v/>
      </c>
      <c r="AS45" s="26">
        <f>IF(G45="","",IF(AND(AG45&lt;&gt;"",AG45&lt;&gt;"Bayi Aracı"),"Evet","Hayır"))</f>
        <v/>
      </c>
      <c r="AT45" s="26">
        <f>IF(G45="","",IF(AND(AS45="Evet",T45="Siparişiniz Teslim Edildi"),"Evet","Hayır"))</f>
        <v/>
      </c>
      <c r="AU45" s="26">
        <f>IF(G45="","",IF(AB45="Siparişinizin Montajı Yapıldı","Evet","Hayır"))</f>
        <v/>
      </c>
      <c r="AV45" s="27">
        <f>IF(G45="","",IF(AT45="Evet",AR45,IF(AU45="Evet",AP45,"")))</f>
        <v/>
      </c>
    </row>
    <row r="46">
      <c r="A46" s="23" t="n"/>
      <c r="B46" s="23" t="n"/>
      <c r="C46" s="23" t="n"/>
      <c r="D46" s="23" t="n"/>
      <c r="E46" s="23" t="n"/>
      <c r="F46" s="23" t="n"/>
      <c r="G46" s="23" t="n"/>
      <c r="H46" s="23" t="n"/>
      <c r="I46" s="23" t="n"/>
      <c r="J46" s="23" t="n"/>
      <c r="K46" s="23" t="n"/>
      <c r="L46" s="23" t="n"/>
      <c r="M46" s="23" t="n"/>
      <c r="N46" s="23" t="n"/>
      <c r="O46" s="23" t="n"/>
      <c r="P46" s="23" t="n"/>
      <c r="Q46" s="23" t="n"/>
      <c r="R46" s="23" t="n"/>
      <c r="S46" s="23" t="n"/>
      <c r="T46" s="23" t="n"/>
      <c r="U46" s="23" t="n"/>
      <c r="V46" s="23" t="n"/>
      <c r="W46" s="23" t="n"/>
      <c r="X46" s="23" t="n"/>
      <c r="Y46" s="23" t="n"/>
      <c r="Z46" s="23" t="n"/>
      <c r="AA46" s="23" t="n"/>
      <c r="AB46" s="23" t="n"/>
      <c r="AC46" s="23" t="n"/>
      <c r="AD46" s="23" t="n"/>
      <c r="AE46" s="23" t="n"/>
      <c r="AF46" s="23" t="n"/>
      <c r="AG46" s="23" t="n"/>
      <c r="AH46" s="23" t="n"/>
      <c r="AI46" s="23" t="n"/>
      <c r="AJ46" s="23" t="n"/>
      <c r="AK46" s="23" t="n"/>
      <c r="AL46" s="23" t="n"/>
      <c r="AM46" s="26">
        <f>IF(G46="","",G46&amp;"|"&amp;P46)</f>
        <v/>
      </c>
      <c r="AN46" s="27">
        <f>IF(I46="","",IFERROR(DATE(VALUE(RIGHT(I46,4)),VALUE(MID(I46,4,2)),VALUE(LEFT(I46,2))),""))</f>
        <v/>
      </c>
      <c r="AO46" s="27">
        <f>IF(Y46="","",IFERROR(DATE(VALUE(RIGHT(Y46,4)),VALUE(MID(Y46,4,2)),VALUE(LEFT(Y46,2))),""))</f>
        <v/>
      </c>
      <c r="AP46" s="27">
        <f>IF(AC46="","",IFERROR(DATE(VALUE(RIGHT(AC46,4)),VALUE(MID(AC46,4,2)),VALUE(LEFT(AC46,2))),""))</f>
        <v/>
      </c>
      <c r="AQ46" s="26">
        <f>IF(AI46="","",TRIM(LEFT(AI46,FIND(" ",AI46&amp;" ")-1)))</f>
        <v/>
      </c>
      <c r="AR46" s="27">
        <f>IF(AQ46="","",IFERROR(DATE(VALUE(MID(AQ46,FIND("/",AQ46,FIND("/",AQ46)+1)+1,4)),VALUE(LEFT(AQ46,FIND("/",AQ46)-1)),VALUE(MID(AQ46,FIND("/",AQ46)+1,FIND("/",AQ46,FIND("/",AQ46)+1)-FIND("/",AQ46)-1))),""))</f>
        <v/>
      </c>
      <c r="AS46" s="26">
        <f>IF(G46="","",IF(AND(AG46&lt;&gt;"",AG46&lt;&gt;"Bayi Aracı"),"Evet","Hayır"))</f>
        <v/>
      </c>
      <c r="AT46" s="26">
        <f>IF(G46="","",IF(AND(AS46="Evet",T46="Siparişiniz Teslim Edildi"),"Evet","Hayır"))</f>
        <v/>
      </c>
      <c r="AU46" s="26">
        <f>IF(G46="","",IF(AB46="Siparişinizin Montajı Yapıldı","Evet","Hayır"))</f>
        <v/>
      </c>
      <c r="AV46" s="27">
        <f>IF(G46="","",IF(AT46="Evet",AR46,IF(AU46="Evet",AP46,"")))</f>
        <v/>
      </c>
    </row>
    <row r="47">
      <c r="A47" s="23" t="n"/>
      <c r="B47" s="23" t="n"/>
      <c r="C47" s="23" t="n"/>
      <c r="D47" s="23" t="n"/>
      <c r="E47" s="23" t="n"/>
      <c r="F47" s="23" t="n"/>
      <c r="G47" s="23" t="n"/>
      <c r="H47" s="23" t="n"/>
      <c r="I47" s="23" t="n"/>
      <c r="J47" s="23" t="n"/>
      <c r="K47" s="23" t="n"/>
      <c r="L47" s="23" t="n"/>
      <c r="M47" s="23" t="n"/>
      <c r="N47" s="23" t="n"/>
      <c r="O47" s="23" t="n"/>
      <c r="P47" s="23" t="n"/>
      <c r="Q47" s="23" t="n"/>
      <c r="R47" s="23" t="n"/>
      <c r="S47" s="23" t="n"/>
      <c r="T47" s="23" t="n"/>
      <c r="U47" s="23" t="n"/>
      <c r="V47" s="23" t="n"/>
      <c r="W47" s="23" t="n"/>
      <c r="X47" s="23" t="n"/>
      <c r="Y47" s="23" t="n"/>
      <c r="Z47" s="23" t="n"/>
      <c r="AA47" s="23" t="n"/>
      <c r="AB47" s="23" t="n"/>
      <c r="AC47" s="23" t="n"/>
      <c r="AD47" s="23" t="n"/>
      <c r="AE47" s="23" t="n"/>
      <c r="AF47" s="23" t="n"/>
      <c r="AG47" s="23" t="n"/>
      <c r="AH47" s="23" t="n"/>
      <c r="AI47" s="23" t="n"/>
      <c r="AJ47" s="23" t="n"/>
      <c r="AK47" s="23" t="n"/>
      <c r="AL47" s="23" t="n"/>
      <c r="AM47" s="26">
        <f>IF(G47="","",G47&amp;"|"&amp;P47)</f>
        <v/>
      </c>
      <c r="AN47" s="27">
        <f>IF(I47="","",IFERROR(DATE(VALUE(RIGHT(I47,4)),VALUE(MID(I47,4,2)),VALUE(LEFT(I47,2))),""))</f>
        <v/>
      </c>
      <c r="AO47" s="27">
        <f>IF(Y47="","",IFERROR(DATE(VALUE(RIGHT(Y47,4)),VALUE(MID(Y47,4,2)),VALUE(LEFT(Y47,2))),""))</f>
        <v/>
      </c>
      <c r="AP47" s="27">
        <f>IF(AC47="","",IFERROR(DATE(VALUE(RIGHT(AC47,4)),VALUE(MID(AC47,4,2)),VALUE(LEFT(AC47,2))),""))</f>
        <v/>
      </c>
      <c r="AQ47" s="26">
        <f>IF(AI47="","",TRIM(LEFT(AI47,FIND(" ",AI47&amp;" ")-1)))</f>
        <v/>
      </c>
      <c r="AR47" s="27">
        <f>IF(AQ47="","",IFERROR(DATE(VALUE(MID(AQ47,FIND("/",AQ47,FIND("/",AQ47)+1)+1,4)),VALUE(LEFT(AQ47,FIND("/",AQ47)-1)),VALUE(MID(AQ47,FIND("/",AQ47)+1,FIND("/",AQ47,FIND("/",AQ47)+1)-FIND("/",AQ47)-1))),""))</f>
        <v/>
      </c>
      <c r="AS47" s="26">
        <f>IF(G47="","",IF(AND(AG47&lt;&gt;"",AG47&lt;&gt;"Bayi Aracı"),"Evet","Hayır"))</f>
        <v/>
      </c>
      <c r="AT47" s="26">
        <f>IF(G47="","",IF(AND(AS47="Evet",T47="Siparişiniz Teslim Edildi"),"Evet","Hayır"))</f>
        <v/>
      </c>
      <c r="AU47" s="26">
        <f>IF(G47="","",IF(AB47="Siparişinizin Montajı Yapıldı","Evet","Hayır"))</f>
        <v/>
      </c>
      <c r="AV47" s="27">
        <f>IF(G47="","",IF(AT47="Evet",AR47,IF(AU47="Evet",AP47,"")))</f>
        <v/>
      </c>
    </row>
    <row r="48">
      <c r="A48" s="23" t="n"/>
      <c r="B48" s="23" t="n"/>
      <c r="C48" s="23" t="n"/>
      <c r="D48" s="23" t="n"/>
      <c r="E48" s="23" t="n"/>
      <c r="F48" s="23" t="n"/>
      <c r="G48" s="23" t="n"/>
      <c r="H48" s="23" t="n"/>
      <c r="I48" s="23" t="n"/>
      <c r="J48" s="23" t="n"/>
      <c r="K48" s="23" t="n"/>
      <c r="L48" s="23" t="n"/>
      <c r="M48" s="23" t="n"/>
      <c r="N48" s="23" t="n"/>
      <c r="O48" s="23" t="n"/>
      <c r="P48" s="23" t="n"/>
      <c r="Q48" s="23" t="n"/>
      <c r="R48" s="23" t="n"/>
      <c r="S48" s="23" t="n"/>
      <c r="T48" s="23" t="n"/>
      <c r="U48" s="23" t="n"/>
      <c r="V48" s="23" t="n"/>
      <c r="W48" s="23" t="n"/>
      <c r="X48" s="23" t="n"/>
      <c r="Y48" s="23" t="n"/>
      <c r="Z48" s="23" t="n"/>
      <c r="AA48" s="23" t="n"/>
      <c r="AB48" s="23" t="n"/>
      <c r="AC48" s="23" t="n"/>
      <c r="AD48" s="23" t="n"/>
      <c r="AE48" s="23" t="n"/>
      <c r="AF48" s="23" t="n"/>
      <c r="AG48" s="23" t="n"/>
      <c r="AH48" s="23" t="n"/>
      <c r="AI48" s="23" t="n"/>
      <c r="AJ48" s="23" t="n"/>
      <c r="AK48" s="23" t="n"/>
      <c r="AL48" s="23" t="n"/>
      <c r="AM48" s="26">
        <f>IF(G48="","",G48&amp;"|"&amp;P48)</f>
        <v/>
      </c>
      <c r="AN48" s="27">
        <f>IF(I48="","",IFERROR(DATE(VALUE(RIGHT(I48,4)),VALUE(MID(I48,4,2)),VALUE(LEFT(I48,2))),""))</f>
        <v/>
      </c>
      <c r="AO48" s="27">
        <f>IF(Y48="","",IFERROR(DATE(VALUE(RIGHT(Y48,4)),VALUE(MID(Y48,4,2)),VALUE(LEFT(Y48,2))),""))</f>
        <v/>
      </c>
      <c r="AP48" s="27">
        <f>IF(AC48="","",IFERROR(DATE(VALUE(RIGHT(AC48,4)),VALUE(MID(AC48,4,2)),VALUE(LEFT(AC48,2))),""))</f>
        <v/>
      </c>
      <c r="AQ48" s="26">
        <f>IF(AI48="","",TRIM(LEFT(AI48,FIND(" ",AI48&amp;" ")-1)))</f>
        <v/>
      </c>
      <c r="AR48" s="27">
        <f>IF(AQ48="","",IFERROR(DATE(VALUE(MID(AQ48,FIND("/",AQ48,FIND("/",AQ48)+1)+1,4)),VALUE(LEFT(AQ48,FIND("/",AQ48)-1)),VALUE(MID(AQ48,FIND("/",AQ48)+1,FIND("/",AQ48,FIND("/",AQ48)+1)-FIND("/",AQ48)-1))),""))</f>
        <v/>
      </c>
      <c r="AS48" s="26">
        <f>IF(G48="","",IF(AND(AG48&lt;&gt;"",AG48&lt;&gt;"Bayi Aracı"),"Evet","Hayır"))</f>
        <v/>
      </c>
      <c r="AT48" s="26">
        <f>IF(G48="","",IF(AND(AS48="Evet",T48="Siparişiniz Teslim Edildi"),"Evet","Hayır"))</f>
        <v/>
      </c>
      <c r="AU48" s="26">
        <f>IF(G48="","",IF(AB48="Siparişinizin Montajı Yapıldı","Evet","Hayır"))</f>
        <v/>
      </c>
      <c r="AV48" s="27">
        <f>IF(G48="","",IF(AT48="Evet",AR48,IF(AU48="Evet",AP48,"")))</f>
        <v/>
      </c>
    </row>
    <row r="49">
      <c r="A49" s="23" t="n"/>
      <c r="B49" s="23" t="n"/>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c r="AA49" s="23" t="n"/>
      <c r="AB49" s="23" t="n"/>
      <c r="AC49" s="23" t="n"/>
      <c r="AD49" s="23" t="n"/>
      <c r="AE49" s="23" t="n"/>
      <c r="AF49" s="23" t="n"/>
      <c r="AG49" s="23" t="n"/>
      <c r="AH49" s="23" t="n"/>
      <c r="AI49" s="23" t="n"/>
      <c r="AJ49" s="23" t="n"/>
      <c r="AK49" s="23" t="n"/>
      <c r="AL49" s="23" t="n"/>
      <c r="AM49" s="26">
        <f>IF(G49="","",G49&amp;"|"&amp;P49)</f>
        <v/>
      </c>
      <c r="AN49" s="27">
        <f>IF(I49="","",IFERROR(DATE(VALUE(RIGHT(I49,4)),VALUE(MID(I49,4,2)),VALUE(LEFT(I49,2))),""))</f>
        <v/>
      </c>
      <c r="AO49" s="27">
        <f>IF(Y49="","",IFERROR(DATE(VALUE(RIGHT(Y49,4)),VALUE(MID(Y49,4,2)),VALUE(LEFT(Y49,2))),""))</f>
        <v/>
      </c>
      <c r="AP49" s="27">
        <f>IF(AC49="","",IFERROR(DATE(VALUE(RIGHT(AC49,4)),VALUE(MID(AC49,4,2)),VALUE(LEFT(AC49,2))),""))</f>
        <v/>
      </c>
      <c r="AQ49" s="26">
        <f>IF(AI49="","",TRIM(LEFT(AI49,FIND(" ",AI49&amp;" ")-1)))</f>
        <v/>
      </c>
      <c r="AR49" s="27">
        <f>IF(AQ49="","",IFERROR(DATE(VALUE(MID(AQ49,FIND("/",AQ49,FIND("/",AQ49)+1)+1,4)),VALUE(LEFT(AQ49,FIND("/",AQ49)-1)),VALUE(MID(AQ49,FIND("/",AQ49)+1,FIND("/",AQ49,FIND("/",AQ49)+1)-FIND("/",AQ49)-1))),""))</f>
        <v/>
      </c>
      <c r="AS49" s="26">
        <f>IF(G49="","",IF(AND(AG49&lt;&gt;"",AG49&lt;&gt;"Bayi Aracı"),"Evet","Hayır"))</f>
        <v/>
      </c>
      <c r="AT49" s="26">
        <f>IF(G49="","",IF(AND(AS49="Evet",T49="Siparişiniz Teslim Edildi"),"Evet","Hayır"))</f>
        <v/>
      </c>
      <c r="AU49" s="26">
        <f>IF(G49="","",IF(AB49="Siparişinizin Montajı Yapıldı","Evet","Hayır"))</f>
        <v/>
      </c>
      <c r="AV49" s="27">
        <f>IF(G49="","",IF(AT49="Evet",AR49,IF(AU49="Evet",AP49,"")))</f>
        <v/>
      </c>
    </row>
    <row r="50">
      <c r="A50" s="23" t="n"/>
      <c r="B50" s="23" t="n"/>
      <c r="C50" s="23" t="n"/>
      <c r="D50" s="23" t="n"/>
      <c r="E50" s="23" t="n"/>
      <c r="F50" s="23" t="n"/>
      <c r="G50" s="23" t="n"/>
      <c r="H50" s="23" t="n"/>
      <c r="I50" s="23" t="n"/>
      <c r="J50" s="23" t="n"/>
      <c r="K50" s="23" t="n"/>
      <c r="L50" s="23" t="n"/>
      <c r="M50" s="23" t="n"/>
      <c r="N50" s="23" t="n"/>
      <c r="O50" s="23" t="n"/>
      <c r="P50" s="23" t="n"/>
      <c r="Q50" s="23" t="n"/>
      <c r="R50" s="23" t="n"/>
      <c r="S50" s="23" t="n"/>
      <c r="T50" s="23" t="n"/>
      <c r="U50" s="23" t="n"/>
      <c r="V50" s="23" t="n"/>
      <c r="W50" s="23" t="n"/>
      <c r="X50" s="23" t="n"/>
      <c r="Y50" s="23" t="n"/>
      <c r="Z50" s="23" t="n"/>
      <c r="AA50" s="23" t="n"/>
      <c r="AB50" s="23" t="n"/>
      <c r="AC50" s="23" t="n"/>
      <c r="AD50" s="23" t="n"/>
      <c r="AE50" s="23" t="n"/>
      <c r="AF50" s="23" t="n"/>
      <c r="AG50" s="23" t="n"/>
      <c r="AH50" s="23" t="n"/>
      <c r="AI50" s="23" t="n"/>
      <c r="AJ50" s="23" t="n"/>
      <c r="AK50" s="23" t="n"/>
      <c r="AL50" s="23" t="n"/>
      <c r="AM50" s="26">
        <f>IF(G50="","",G50&amp;"|"&amp;P50)</f>
        <v/>
      </c>
      <c r="AN50" s="27">
        <f>IF(I50="","",IFERROR(DATE(VALUE(RIGHT(I50,4)),VALUE(MID(I50,4,2)),VALUE(LEFT(I50,2))),""))</f>
        <v/>
      </c>
      <c r="AO50" s="27">
        <f>IF(Y50="","",IFERROR(DATE(VALUE(RIGHT(Y50,4)),VALUE(MID(Y50,4,2)),VALUE(LEFT(Y50,2))),""))</f>
        <v/>
      </c>
      <c r="AP50" s="27">
        <f>IF(AC50="","",IFERROR(DATE(VALUE(RIGHT(AC50,4)),VALUE(MID(AC50,4,2)),VALUE(LEFT(AC50,2))),""))</f>
        <v/>
      </c>
      <c r="AQ50" s="26">
        <f>IF(AI50="","",TRIM(LEFT(AI50,FIND(" ",AI50&amp;" ")-1)))</f>
        <v/>
      </c>
      <c r="AR50" s="27">
        <f>IF(AQ50="","",IFERROR(DATE(VALUE(MID(AQ50,FIND("/",AQ50,FIND("/",AQ50)+1)+1,4)),VALUE(LEFT(AQ50,FIND("/",AQ50)-1)),VALUE(MID(AQ50,FIND("/",AQ50)+1,FIND("/",AQ50,FIND("/",AQ50)+1)-FIND("/",AQ50)-1))),""))</f>
        <v/>
      </c>
      <c r="AS50" s="26">
        <f>IF(G50="","",IF(AND(AG50&lt;&gt;"",AG50&lt;&gt;"Bayi Aracı"),"Evet","Hayır"))</f>
        <v/>
      </c>
      <c r="AT50" s="26">
        <f>IF(G50="","",IF(AND(AS50="Evet",T50="Siparişiniz Teslim Edildi"),"Evet","Hayır"))</f>
        <v/>
      </c>
      <c r="AU50" s="26">
        <f>IF(G50="","",IF(AB50="Siparişinizin Montajı Yapıldı","Evet","Hayır"))</f>
        <v/>
      </c>
      <c r="AV50" s="27">
        <f>IF(G50="","",IF(AT50="Evet",AR50,IF(AU50="Evet",AP50,"")))</f>
        <v/>
      </c>
    </row>
    <row r="51">
      <c r="A51" s="23" t="n"/>
      <c r="B51" s="23" t="n"/>
      <c r="C51" s="23" t="n"/>
      <c r="D51" s="23" t="n"/>
      <c r="E51" s="23" t="n"/>
      <c r="F51" s="23" t="n"/>
      <c r="G51" s="23" t="n"/>
      <c r="H51" s="23" t="n"/>
      <c r="I51" s="23" t="n"/>
      <c r="J51" s="23" t="n"/>
      <c r="K51" s="23" t="n"/>
      <c r="L51" s="23" t="n"/>
      <c r="M51" s="23" t="n"/>
      <c r="N51" s="23" t="n"/>
      <c r="O51" s="23" t="n"/>
      <c r="P51" s="23" t="n"/>
      <c r="Q51" s="23" t="n"/>
      <c r="R51" s="23" t="n"/>
      <c r="S51" s="23" t="n"/>
      <c r="T51" s="23" t="n"/>
      <c r="U51" s="23" t="n"/>
      <c r="V51" s="23" t="n"/>
      <c r="W51" s="23" t="n"/>
      <c r="X51" s="23" t="n"/>
      <c r="Y51" s="23" t="n"/>
      <c r="Z51" s="23" t="n"/>
      <c r="AA51" s="23" t="n"/>
      <c r="AB51" s="23" t="n"/>
      <c r="AC51" s="23" t="n"/>
      <c r="AD51" s="23" t="n"/>
      <c r="AE51" s="23" t="n"/>
      <c r="AF51" s="23" t="n"/>
      <c r="AG51" s="23" t="n"/>
      <c r="AH51" s="23" t="n"/>
      <c r="AI51" s="23" t="n"/>
      <c r="AJ51" s="23" t="n"/>
      <c r="AK51" s="23" t="n"/>
      <c r="AL51" s="23" t="n"/>
      <c r="AM51" s="26">
        <f>IF(G51="","",G51&amp;"|"&amp;P51)</f>
        <v/>
      </c>
      <c r="AN51" s="27">
        <f>IF(I51="","",IFERROR(DATE(VALUE(RIGHT(I51,4)),VALUE(MID(I51,4,2)),VALUE(LEFT(I51,2))),""))</f>
        <v/>
      </c>
      <c r="AO51" s="27">
        <f>IF(Y51="","",IFERROR(DATE(VALUE(RIGHT(Y51,4)),VALUE(MID(Y51,4,2)),VALUE(LEFT(Y51,2))),""))</f>
        <v/>
      </c>
      <c r="AP51" s="27">
        <f>IF(AC51="","",IFERROR(DATE(VALUE(RIGHT(AC51,4)),VALUE(MID(AC51,4,2)),VALUE(LEFT(AC51,2))),""))</f>
        <v/>
      </c>
      <c r="AQ51" s="26">
        <f>IF(AI51="","",TRIM(LEFT(AI51,FIND(" ",AI51&amp;" ")-1)))</f>
        <v/>
      </c>
      <c r="AR51" s="27">
        <f>IF(AQ51="","",IFERROR(DATE(VALUE(MID(AQ51,FIND("/",AQ51,FIND("/",AQ51)+1)+1,4)),VALUE(LEFT(AQ51,FIND("/",AQ51)-1)),VALUE(MID(AQ51,FIND("/",AQ51)+1,FIND("/",AQ51,FIND("/",AQ51)+1)-FIND("/",AQ51)-1))),""))</f>
        <v/>
      </c>
      <c r="AS51" s="26">
        <f>IF(G51="","",IF(AND(AG51&lt;&gt;"",AG51&lt;&gt;"Bayi Aracı"),"Evet","Hayır"))</f>
        <v/>
      </c>
      <c r="AT51" s="26">
        <f>IF(G51="","",IF(AND(AS51="Evet",T51="Siparişiniz Teslim Edildi"),"Evet","Hayır"))</f>
        <v/>
      </c>
      <c r="AU51" s="26">
        <f>IF(G51="","",IF(AB51="Siparişinizin Montajı Yapıldı","Evet","Hayır"))</f>
        <v/>
      </c>
      <c r="AV51" s="27">
        <f>IF(G51="","",IF(AT51="Evet",AR51,IF(AU51="Evet",AP51,"")))</f>
        <v/>
      </c>
    </row>
    <row r="52">
      <c r="A52" s="23" t="n"/>
      <c r="B52" s="23" t="n"/>
      <c r="C52" s="23" t="n"/>
      <c r="D52" s="23" t="n"/>
      <c r="E52" s="23" t="n"/>
      <c r="F52" s="23" t="n"/>
      <c r="G52" s="23" t="n"/>
      <c r="H52" s="23" t="n"/>
      <c r="I52" s="23" t="n"/>
      <c r="J52" s="23" t="n"/>
      <c r="K52" s="23" t="n"/>
      <c r="L52" s="23" t="n"/>
      <c r="M52" s="23" t="n"/>
      <c r="N52" s="23" t="n"/>
      <c r="O52" s="23" t="n"/>
      <c r="P52" s="23" t="n"/>
      <c r="Q52" s="23" t="n"/>
      <c r="R52" s="23" t="n"/>
      <c r="S52" s="23" t="n"/>
      <c r="T52" s="23" t="n"/>
      <c r="U52" s="23" t="n"/>
      <c r="V52" s="23" t="n"/>
      <c r="W52" s="23" t="n"/>
      <c r="X52" s="23" t="n"/>
      <c r="Y52" s="23" t="n"/>
      <c r="Z52" s="23" t="n"/>
      <c r="AA52" s="23" t="n"/>
      <c r="AB52" s="23" t="n"/>
      <c r="AC52" s="23" t="n"/>
      <c r="AD52" s="23" t="n"/>
      <c r="AE52" s="23" t="n"/>
      <c r="AF52" s="23" t="n"/>
      <c r="AG52" s="23" t="n"/>
      <c r="AH52" s="23" t="n"/>
      <c r="AI52" s="23" t="n"/>
      <c r="AJ52" s="23" t="n"/>
      <c r="AK52" s="23" t="n"/>
      <c r="AL52" s="23" t="n"/>
      <c r="AM52" s="26">
        <f>IF(G52="","",G52&amp;"|"&amp;P52)</f>
        <v/>
      </c>
      <c r="AN52" s="27">
        <f>IF(I52="","",IFERROR(DATE(VALUE(RIGHT(I52,4)),VALUE(MID(I52,4,2)),VALUE(LEFT(I52,2))),""))</f>
        <v/>
      </c>
      <c r="AO52" s="27">
        <f>IF(Y52="","",IFERROR(DATE(VALUE(RIGHT(Y52,4)),VALUE(MID(Y52,4,2)),VALUE(LEFT(Y52,2))),""))</f>
        <v/>
      </c>
      <c r="AP52" s="27">
        <f>IF(AC52="","",IFERROR(DATE(VALUE(RIGHT(AC52,4)),VALUE(MID(AC52,4,2)),VALUE(LEFT(AC52,2))),""))</f>
        <v/>
      </c>
      <c r="AQ52" s="26">
        <f>IF(AI52="","",TRIM(LEFT(AI52,FIND(" ",AI52&amp;" ")-1)))</f>
        <v/>
      </c>
      <c r="AR52" s="27">
        <f>IF(AQ52="","",IFERROR(DATE(VALUE(MID(AQ52,FIND("/",AQ52,FIND("/",AQ52)+1)+1,4)),VALUE(LEFT(AQ52,FIND("/",AQ52)-1)),VALUE(MID(AQ52,FIND("/",AQ52)+1,FIND("/",AQ52,FIND("/",AQ52)+1)-FIND("/",AQ52)-1))),""))</f>
        <v/>
      </c>
      <c r="AS52" s="26">
        <f>IF(G52="","",IF(AND(AG52&lt;&gt;"",AG52&lt;&gt;"Bayi Aracı"),"Evet","Hayır"))</f>
        <v/>
      </c>
      <c r="AT52" s="26">
        <f>IF(G52="","",IF(AND(AS52="Evet",T52="Siparişiniz Teslim Edildi"),"Evet","Hayır"))</f>
        <v/>
      </c>
      <c r="AU52" s="26">
        <f>IF(G52="","",IF(AB52="Siparişinizin Montajı Yapıldı","Evet","Hayır"))</f>
        <v/>
      </c>
      <c r="AV52" s="27">
        <f>IF(G52="","",IF(AT52="Evet",AR52,IF(AU52="Evet",AP52,"")))</f>
        <v/>
      </c>
    </row>
    <row r="53">
      <c r="A53" s="23" t="n"/>
      <c r="B53" s="23" t="n"/>
      <c r="C53" s="23" t="n"/>
      <c r="D53" s="23" t="n"/>
      <c r="E53" s="23" t="n"/>
      <c r="F53" s="23" t="n"/>
      <c r="G53" s="23" t="n"/>
      <c r="H53" s="23" t="n"/>
      <c r="I53" s="23" t="n"/>
      <c r="J53" s="23" t="n"/>
      <c r="K53" s="23" t="n"/>
      <c r="L53" s="23" t="n"/>
      <c r="M53" s="23" t="n"/>
      <c r="N53" s="23" t="n"/>
      <c r="O53" s="23" t="n"/>
      <c r="P53" s="23" t="n"/>
      <c r="Q53" s="23" t="n"/>
      <c r="R53" s="23" t="n"/>
      <c r="S53" s="23" t="n"/>
      <c r="T53" s="23" t="n"/>
      <c r="U53" s="23" t="n"/>
      <c r="V53" s="23" t="n"/>
      <c r="W53" s="23" t="n"/>
      <c r="X53" s="23" t="n"/>
      <c r="Y53" s="23" t="n"/>
      <c r="Z53" s="23" t="n"/>
      <c r="AA53" s="23" t="n"/>
      <c r="AB53" s="23" t="n"/>
      <c r="AC53" s="23" t="n"/>
      <c r="AD53" s="23" t="n"/>
      <c r="AE53" s="23" t="n"/>
      <c r="AF53" s="23" t="n"/>
      <c r="AG53" s="23" t="n"/>
      <c r="AH53" s="23" t="n"/>
      <c r="AI53" s="23" t="n"/>
      <c r="AJ53" s="23" t="n"/>
      <c r="AK53" s="23" t="n"/>
      <c r="AL53" s="23" t="n"/>
      <c r="AM53" s="26">
        <f>IF(G53="","",G53&amp;"|"&amp;P53)</f>
        <v/>
      </c>
      <c r="AN53" s="27">
        <f>IF(I53="","",IFERROR(DATE(VALUE(RIGHT(I53,4)),VALUE(MID(I53,4,2)),VALUE(LEFT(I53,2))),""))</f>
        <v/>
      </c>
      <c r="AO53" s="27">
        <f>IF(Y53="","",IFERROR(DATE(VALUE(RIGHT(Y53,4)),VALUE(MID(Y53,4,2)),VALUE(LEFT(Y53,2))),""))</f>
        <v/>
      </c>
      <c r="AP53" s="27">
        <f>IF(AC53="","",IFERROR(DATE(VALUE(RIGHT(AC53,4)),VALUE(MID(AC53,4,2)),VALUE(LEFT(AC53,2))),""))</f>
        <v/>
      </c>
      <c r="AQ53" s="26">
        <f>IF(AI53="","",TRIM(LEFT(AI53,FIND(" ",AI53&amp;" ")-1)))</f>
        <v/>
      </c>
      <c r="AR53" s="27">
        <f>IF(AQ53="","",IFERROR(DATE(VALUE(MID(AQ53,FIND("/",AQ53,FIND("/",AQ53)+1)+1,4)),VALUE(LEFT(AQ53,FIND("/",AQ53)-1)),VALUE(MID(AQ53,FIND("/",AQ53)+1,FIND("/",AQ53,FIND("/",AQ53)+1)-FIND("/",AQ53)-1))),""))</f>
        <v/>
      </c>
      <c r="AS53" s="26">
        <f>IF(G53="","",IF(AND(AG53&lt;&gt;"",AG53&lt;&gt;"Bayi Aracı"),"Evet","Hayır"))</f>
        <v/>
      </c>
      <c r="AT53" s="26">
        <f>IF(G53="","",IF(AND(AS53="Evet",T53="Siparişiniz Teslim Edildi"),"Evet","Hayır"))</f>
        <v/>
      </c>
      <c r="AU53" s="26">
        <f>IF(G53="","",IF(AB53="Siparişinizin Montajı Yapıldı","Evet","Hayır"))</f>
        <v/>
      </c>
      <c r="AV53" s="27">
        <f>IF(G53="","",IF(AT53="Evet",AR53,IF(AU53="Evet",AP53,"")))</f>
        <v/>
      </c>
    </row>
    <row r="54">
      <c r="A54" s="23" t="n"/>
      <c r="B54" s="23" t="n"/>
      <c r="C54" s="23" t="n"/>
      <c r="D54" s="23" t="n"/>
      <c r="E54" s="23" t="n"/>
      <c r="F54" s="23" t="n"/>
      <c r="G54" s="23" t="n"/>
      <c r="H54" s="23" t="n"/>
      <c r="I54" s="23" t="n"/>
      <c r="J54" s="23" t="n"/>
      <c r="K54" s="23" t="n"/>
      <c r="L54" s="23" t="n"/>
      <c r="M54" s="23" t="n"/>
      <c r="N54" s="23" t="n"/>
      <c r="O54" s="23" t="n"/>
      <c r="P54" s="23" t="n"/>
      <c r="Q54" s="23" t="n"/>
      <c r="R54" s="23" t="n"/>
      <c r="S54" s="23" t="n"/>
      <c r="T54" s="23" t="n"/>
      <c r="U54" s="23" t="n"/>
      <c r="V54" s="23" t="n"/>
      <c r="W54" s="23" t="n"/>
      <c r="X54" s="23" t="n"/>
      <c r="Y54" s="23" t="n"/>
      <c r="Z54" s="23" t="n"/>
      <c r="AA54" s="23" t="n"/>
      <c r="AB54" s="23" t="n"/>
      <c r="AC54" s="23" t="n"/>
      <c r="AD54" s="23" t="n"/>
      <c r="AE54" s="23" t="n"/>
      <c r="AF54" s="23" t="n"/>
      <c r="AG54" s="23" t="n"/>
      <c r="AH54" s="23" t="n"/>
      <c r="AI54" s="23" t="n"/>
      <c r="AJ54" s="23" t="n"/>
      <c r="AK54" s="23" t="n"/>
      <c r="AL54" s="23" t="n"/>
      <c r="AM54" s="26">
        <f>IF(G54="","",G54&amp;"|"&amp;P54)</f>
        <v/>
      </c>
      <c r="AN54" s="27">
        <f>IF(I54="","",IFERROR(DATE(VALUE(RIGHT(I54,4)),VALUE(MID(I54,4,2)),VALUE(LEFT(I54,2))),""))</f>
        <v/>
      </c>
      <c r="AO54" s="27">
        <f>IF(Y54="","",IFERROR(DATE(VALUE(RIGHT(Y54,4)),VALUE(MID(Y54,4,2)),VALUE(LEFT(Y54,2))),""))</f>
        <v/>
      </c>
      <c r="AP54" s="27">
        <f>IF(AC54="","",IFERROR(DATE(VALUE(RIGHT(AC54,4)),VALUE(MID(AC54,4,2)),VALUE(LEFT(AC54,2))),""))</f>
        <v/>
      </c>
      <c r="AQ54" s="26">
        <f>IF(AI54="","",TRIM(LEFT(AI54,FIND(" ",AI54&amp;" ")-1)))</f>
        <v/>
      </c>
      <c r="AR54" s="27">
        <f>IF(AQ54="","",IFERROR(DATE(VALUE(MID(AQ54,FIND("/",AQ54,FIND("/",AQ54)+1)+1,4)),VALUE(LEFT(AQ54,FIND("/",AQ54)-1)),VALUE(MID(AQ54,FIND("/",AQ54)+1,FIND("/",AQ54,FIND("/",AQ54)+1)-FIND("/",AQ54)-1))),""))</f>
        <v/>
      </c>
      <c r="AS54" s="26">
        <f>IF(G54="","",IF(AND(AG54&lt;&gt;"",AG54&lt;&gt;"Bayi Aracı"),"Evet","Hayır"))</f>
        <v/>
      </c>
      <c r="AT54" s="26">
        <f>IF(G54="","",IF(AND(AS54="Evet",T54="Siparişiniz Teslim Edildi"),"Evet","Hayır"))</f>
        <v/>
      </c>
      <c r="AU54" s="26">
        <f>IF(G54="","",IF(AB54="Siparişinizin Montajı Yapıldı","Evet","Hayır"))</f>
        <v/>
      </c>
      <c r="AV54" s="27">
        <f>IF(G54="","",IF(AT54="Evet",AR54,IF(AU54="Evet",AP54,"")))</f>
        <v/>
      </c>
    </row>
    <row r="55">
      <c r="A55" s="23" t="n"/>
      <c r="B55" s="23" t="n"/>
      <c r="C55" s="23" t="n"/>
      <c r="D55" s="23" t="n"/>
      <c r="E55" s="23" t="n"/>
      <c r="F55" s="23" t="n"/>
      <c r="G55" s="23" t="n"/>
      <c r="H55" s="23" t="n"/>
      <c r="I55" s="23" t="n"/>
      <c r="J55" s="23" t="n"/>
      <c r="K55" s="23" t="n"/>
      <c r="L55" s="23" t="n"/>
      <c r="M55" s="23" t="n"/>
      <c r="N55" s="23" t="n"/>
      <c r="O55" s="23" t="n"/>
      <c r="P55" s="23" t="n"/>
      <c r="Q55" s="23" t="n"/>
      <c r="R55" s="23" t="n"/>
      <c r="S55" s="23" t="n"/>
      <c r="T55" s="23" t="n"/>
      <c r="U55" s="23" t="n"/>
      <c r="V55" s="23" t="n"/>
      <c r="W55" s="23" t="n"/>
      <c r="X55" s="23" t="n"/>
      <c r="Y55" s="23" t="n"/>
      <c r="Z55" s="23" t="n"/>
      <c r="AA55" s="23" t="n"/>
      <c r="AB55" s="23" t="n"/>
      <c r="AC55" s="23" t="n"/>
      <c r="AD55" s="23" t="n"/>
      <c r="AE55" s="23" t="n"/>
      <c r="AF55" s="23" t="n"/>
      <c r="AG55" s="23" t="n"/>
      <c r="AH55" s="23" t="n"/>
      <c r="AI55" s="23" t="n"/>
      <c r="AJ55" s="23" t="n"/>
      <c r="AK55" s="23" t="n"/>
      <c r="AL55" s="23" t="n"/>
      <c r="AM55" s="26">
        <f>IF(G55="","",G55&amp;"|"&amp;P55)</f>
        <v/>
      </c>
      <c r="AN55" s="27">
        <f>IF(I55="","",IFERROR(DATE(VALUE(RIGHT(I55,4)),VALUE(MID(I55,4,2)),VALUE(LEFT(I55,2))),""))</f>
        <v/>
      </c>
      <c r="AO55" s="27">
        <f>IF(Y55="","",IFERROR(DATE(VALUE(RIGHT(Y55,4)),VALUE(MID(Y55,4,2)),VALUE(LEFT(Y55,2))),""))</f>
        <v/>
      </c>
      <c r="AP55" s="27">
        <f>IF(AC55="","",IFERROR(DATE(VALUE(RIGHT(AC55,4)),VALUE(MID(AC55,4,2)),VALUE(LEFT(AC55,2))),""))</f>
        <v/>
      </c>
      <c r="AQ55" s="26">
        <f>IF(AI55="","",TRIM(LEFT(AI55,FIND(" ",AI55&amp;" ")-1)))</f>
        <v/>
      </c>
      <c r="AR55" s="27">
        <f>IF(AQ55="","",IFERROR(DATE(VALUE(MID(AQ55,FIND("/",AQ55,FIND("/",AQ55)+1)+1,4)),VALUE(LEFT(AQ55,FIND("/",AQ55)-1)),VALUE(MID(AQ55,FIND("/",AQ55)+1,FIND("/",AQ55,FIND("/",AQ55)+1)-FIND("/",AQ55)-1))),""))</f>
        <v/>
      </c>
      <c r="AS55" s="26">
        <f>IF(G55="","",IF(AND(AG55&lt;&gt;"",AG55&lt;&gt;"Bayi Aracı"),"Evet","Hayır"))</f>
        <v/>
      </c>
      <c r="AT55" s="26">
        <f>IF(G55="","",IF(AND(AS55="Evet",T55="Siparişiniz Teslim Edildi"),"Evet","Hayır"))</f>
        <v/>
      </c>
      <c r="AU55" s="26">
        <f>IF(G55="","",IF(AB55="Siparişinizin Montajı Yapıldı","Evet","Hayır"))</f>
        <v/>
      </c>
      <c r="AV55" s="27">
        <f>IF(G55="","",IF(AT55="Evet",AR55,IF(AU55="Evet",AP55,"")))</f>
        <v/>
      </c>
    </row>
    <row r="56">
      <c r="A56" s="23" t="n"/>
      <c r="B56" s="23" t="n"/>
      <c r="C56" s="23" t="n"/>
      <c r="D56" s="23" t="n"/>
      <c r="E56" s="23" t="n"/>
      <c r="F56" s="23" t="n"/>
      <c r="G56" s="23" t="n"/>
      <c r="H56" s="23" t="n"/>
      <c r="I56" s="23" t="n"/>
      <c r="J56" s="23" t="n"/>
      <c r="K56" s="23" t="n"/>
      <c r="L56" s="23" t="n"/>
      <c r="M56" s="23" t="n"/>
      <c r="N56" s="23" t="n"/>
      <c r="O56" s="23" t="n"/>
      <c r="P56" s="23" t="n"/>
      <c r="Q56" s="23" t="n"/>
      <c r="R56" s="23" t="n"/>
      <c r="S56" s="23" t="n"/>
      <c r="T56" s="23" t="n"/>
      <c r="U56" s="23" t="n"/>
      <c r="V56" s="23" t="n"/>
      <c r="W56" s="23" t="n"/>
      <c r="X56" s="23" t="n"/>
      <c r="Y56" s="23" t="n"/>
      <c r="Z56" s="23" t="n"/>
      <c r="AA56" s="23" t="n"/>
      <c r="AB56" s="23" t="n"/>
      <c r="AC56" s="23" t="n"/>
      <c r="AD56" s="23" t="n"/>
      <c r="AE56" s="23" t="n"/>
      <c r="AF56" s="23" t="n"/>
      <c r="AG56" s="23" t="n"/>
      <c r="AH56" s="23" t="n"/>
      <c r="AI56" s="23" t="n"/>
      <c r="AJ56" s="23" t="n"/>
      <c r="AK56" s="23" t="n"/>
      <c r="AL56" s="23" t="n"/>
      <c r="AM56" s="26">
        <f>IF(G56="","",G56&amp;"|"&amp;P56)</f>
        <v/>
      </c>
      <c r="AN56" s="27">
        <f>IF(I56="","",IFERROR(DATE(VALUE(RIGHT(I56,4)),VALUE(MID(I56,4,2)),VALUE(LEFT(I56,2))),""))</f>
        <v/>
      </c>
      <c r="AO56" s="27">
        <f>IF(Y56="","",IFERROR(DATE(VALUE(RIGHT(Y56,4)),VALUE(MID(Y56,4,2)),VALUE(LEFT(Y56,2))),""))</f>
        <v/>
      </c>
      <c r="AP56" s="27">
        <f>IF(AC56="","",IFERROR(DATE(VALUE(RIGHT(AC56,4)),VALUE(MID(AC56,4,2)),VALUE(LEFT(AC56,2))),""))</f>
        <v/>
      </c>
      <c r="AQ56" s="26">
        <f>IF(AI56="","",TRIM(LEFT(AI56,FIND(" ",AI56&amp;" ")-1)))</f>
        <v/>
      </c>
      <c r="AR56" s="27">
        <f>IF(AQ56="","",IFERROR(DATE(VALUE(MID(AQ56,FIND("/",AQ56,FIND("/",AQ56)+1)+1,4)),VALUE(LEFT(AQ56,FIND("/",AQ56)-1)),VALUE(MID(AQ56,FIND("/",AQ56)+1,FIND("/",AQ56,FIND("/",AQ56)+1)-FIND("/",AQ56)-1))),""))</f>
        <v/>
      </c>
      <c r="AS56" s="26">
        <f>IF(G56="","",IF(AND(AG56&lt;&gt;"",AG56&lt;&gt;"Bayi Aracı"),"Evet","Hayır"))</f>
        <v/>
      </c>
      <c r="AT56" s="26">
        <f>IF(G56="","",IF(AND(AS56="Evet",T56="Siparişiniz Teslim Edildi"),"Evet","Hayır"))</f>
        <v/>
      </c>
      <c r="AU56" s="26">
        <f>IF(G56="","",IF(AB56="Siparişinizin Montajı Yapıldı","Evet","Hayır"))</f>
        <v/>
      </c>
      <c r="AV56" s="27">
        <f>IF(G56="","",IF(AT56="Evet",AR56,IF(AU56="Evet",AP56,"")))</f>
        <v/>
      </c>
    </row>
    <row r="57">
      <c r="A57" s="23" t="n"/>
      <c r="B57" s="23" t="n"/>
      <c r="C57" s="23" t="n"/>
      <c r="D57" s="23" t="n"/>
      <c r="E57" s="23" t="n"/>
      <c r="F57" s="23" t="n"/>
      <c r="G57" s="23" t="n"/>
      <c r="H57" s="23" t="n"/>
      <c r="I57" s="23" t="n"/>
      <c r="J57" s="23" t="n"/>
      <c r="K57" s="23" t="n"/>
      <c r="L57" s="23" t="n"/>
      <c r="M57" s="23" t="n"/>
      <c r="N57" s="23" t="n"/>
      <c r="O57" s="23" t="n"/>
      <c r="P57" s="23" t="n"/>
      <c r="Q57" s="23" t="n"/>
      <c r="R57" s="23" t="n"/>
      <c r="S57" s="23" t="n"/>
      <c r="T57" s="23" t="n"/>
      <c r="U57" s="23" t="n"/>
      <c r="V57" s="23" t="n"/>
      <c r="W57" s="23" t="n"/>
      <c r="X57" s="23" t="n"/>
      <c r="Y57" s="23" t="n"/>
      <c r="Z57" s="23" t="n"/>
      <c r="AA57" s="23" t="n"/>
      <c r="AB57" s="23" t="n"/>
      <c r="AC57" s="23" t="n"/>
      <c r="AD57" s="23" t="n"/>
      <c r="AE57" s="23" t="n"/>
      <c r="AF57" s="23" t="n"/>
      <c r="AG57" s="23" t="n"/>
      <c r="AH57" s="23" t="n"/>
      <c r="AI57" s="23" t="n"/>
      <c r="AJ57" s="23" t="n"/>
      <c r="AK57" s="23" t="n"/>
      <c r="AL57" s="23" t="n"/>
      <c r="AM57" s="26">
        <f>IF(G57="","",G57&amp;"|"&amp;P57)</f>
        <v/>
      </c>
      <c r="AN57" s="27">
        <f>IF(I57="","",IFERROR(DATE(VALUE(RIGHT(I57,4)),VALUE(MID(I57,4,2)),VALUE(LEFT(I57,2))),""))</f>
        <v/>
      </c>
      <c r="AO57" s="27">
        <f>IF(Y57="","",IFERROR(DATE(VALUE(RIGHT(Y57,4)),VALUE(MID(Y57,4,2)),VALUE(LEFT(Y57,2))),""))</f>
        <v/>
      </c>
      <c r="AP57" s="27">
        <f>IF(AC57="","",IFERROR(DATE(VALUE(RIGHT(AC57,4)),VALUE(MID(AC57,4,2)),VALUE(LEFT(AC57,2))),""))</f>
        <v/>
      </c>
      <c r="AQ57" s="26">
        <f>IF(AI57="","",TRIM(LEFT(AI57,FIND(" ",AI57&amp;" ")-1)))</f>
        <v/>
      </c>
      <c r="AR57" s="27">
        <f>IF(AQ57="","",IFERROR(DATE(VALUE(MID(AQ57,FIND("/",AQ57,FIND("/",AQ57)+1)+1,4)),VALUE(LEFT(AQ57,FIND("/",AQ57)-1)),VALUE(MID(AQ57,FIND("/",AQ57)+1,FIND("/",AQ57,FIND("/",AQ57)+1)-FIND("/",AQ57)-1))),""))</f>
        <v/>
      </c>
      <c r="AS57" s="26">
        <f>IF(G57="","",IF(AND(AG57&lt;&gt;"",AG57&lt;&gt;"Bayi Aracı"),"Evet","Hayır"))</f>
        <v/>
      </c>
      <c r="AT57" s="26">
        <f>IF(G57="","",IF(AND(AS57="Evet",T57="Siparişiniz Teslim Edildi"),"Evet","Hayır"))</f>
        <v/>
      </c>
      <c r="AU57" s="26">
        <f>IF(G57="","",IF(AB57="Siparişinizin Montajı Yapıldı","Evet","Hayır"))</f>
        <v/>
      </c>
      <c r="AV57" s="27">
        <f>IF(G57="","",IF(AT57="Evet",AR57,IF(AU57="Evet",AP57,"")))</f>
        <v/>
      </c>
    </row>
    <row r="58">
      <c r="A58" s="23" t="n"/>
      <c r="B58" s="23" t="n"/>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3" t="n"/>
      <c r="Z58" s="23" t="n"/>
      <c r="AA58" s="23" t="n"/>
      <c r="AB58" s="23" t="n"/>
      <c r="AC58" s="23" t="n"/>
      <c r="AD58" s="23" t="n"/>
      <c r="AE58" s="23" t="n"/>
      <c r="AF58" s="23" t="n"/>
      <c r="AG58" s="23" t="n"/>
      <c r="AH58" s="23" t="n"/>
      <c r="AI58" s="23" t="n"/>
      <c r="AJ58" s="23" t="n"/>
      <c r="AK58" s="23" t="n"/>
      <c r="AL58" s="23" t="n"/>
      <c r="AM58" s="26">
        <f>IF(G58="","",G58&amp;"|"&amp;P58)</f>
        <v/>
      </c>
      <c r="AN58" s="27">
        <f>IF(I58="","",IFERROR(DATE(VALUE(RIGHT(I58,4)),VALUE(MID(I58,4,2)),VALUE(LEFT(I58,2))),""))</f>
        <v/>
      </c>
      <c r="AO58" s="27">
        <f>IF(Y58="","",IFERROR(DATE(VALUE(RIGHT(Y58,4)),VALUE(MID(Y58,4,2)),VALUE(LEFT(Y58,2))),""))</f>
        <v/>
      </c>
      <c r="AP58" s="27">
        <f>IF(AC58="","",IFERROR(DATE(VALUE(RIGHT(AC58,4)),VALUE(MID(AC58,4,2)),VALUE(LEFT(AC58,2))),""))</f>
        <v/>
      </c>
      <c r="AQ58" s="26">
        <f>IF(AI58="","",TRIM(LEFT(AI58,FIND(" ",AI58&amp;" ")-1)))</f>
        <v/>
      </c>
      <c r="AR58" s="27">
        <f>IF(AQ58="","",IFERROR(DATE(VALUE(MID(AQ58,FIND("/",AQ58,FIND("/",AQ58)+1)+1,4)),VALUE(LEFT(AQ58,FIND("/",AQ58)-1)),VALUE(MID(AQ58,FIND("/",AQ58)+1,FIND("/",AQ58,FIND("/",AQ58)+1)-FIND("/",AQ58)-1))),""))</f>
        <v/>
      </c>
      <c r="AS58" s="26">
        <f>IF(G58="","",IF(AND(AG58&lt;&gt;"",AG58&lt;&gt;"Bayi Aracı"),"Evet","Hayır"))</f>
        <v/>
      </c>
      <c r="AT58" s="26">
        <f>IF(G58="","",IF(AND(AS58="Evet",T58="Siparişiniz Teslim Edildi"),"Evet","Hayır"))</f>
        <v/>
      </c>
      <c r="AU58" s="26">
        <f>IF(G58="","",IF(AB58="Siparişinizin Montajı Yapıldı","Evet","Hayır"))</f>
        <v/>
      </c>
      <c r="AV58" s="27">
        <f>IF(G58="","",IF(AT58="Evet",AR58,IF(AU58="Evet",AP58,"")))</f>
        <v/>
      </c>
    </row>
    <row r="59">
      <c r="A59" s="23" t="n"/>
      <c r="B59" s="23" t="n"/>
      <c r="C59" s="23" t="n"/>
      <c r="D59" s="23" t="n"/>
      <c r="E59" s="23" t="n"/>
      <c r="F59" s="23" t="n"/>
      <c r="G59" s="23" t="n"/>
      <c r="H59" s="23" t="n"/>
      <c r="I59" s="23" t="n"/>
      <c r="J59" s="23" t="n"/>
      <c r="K59" s="23" t="n"/>
      <c r="L59" s="23" t="n"/>
      <c r="M59" s="23" t="n"/>
      <c r="N59" s="23" t="n"/>
      <c r="O59" s="23" t="n"/>
      <c r="P59" s="23" t="n"/>
      <c r="Q59" s="23" t="n"/>
      <c r="R59" s="23" t="n"/>
      <c r="S59" s="23" t="n"/>
      <c r="T59" s="23" t="n"/>
      <c r="U59" s="23" t="n"/>
      <c r="V59" s="23" t="n"/>
      <c r="W59" s="23" t="n"/>
      <c r="X59" s="23" t="n"/>
      <c r="Y59" s="23" t="n"/>
      <c r="Z59" s="23" t="n"/>
      <c r="AA59" s="23" t="n"/>
      <c r="AB59" s="23" t="n"/>
      <c r="AC59" s="23" t="n"/>
      <c r="AD59" s="23" t="n"/>
      <c r="AE59" s="23" t="n"/>
      <c r="AF59" s="23" t="n"/>
      <c r="AG59" s="23" t="n"/>
      <c r="AH59" s="23" t="n"/>
      <c r="AI59" s="23" t="n"/>
      <c r="AJ59" s="23" t="n"/>
      <c r="AK59" s="23" t="n"/>
      <c r="AL59" s="23" t="n"/>
      <c r="AM59" s="26">
        <f>IF(G59="","",G59&amp;"|"&amp;P59)</f>
        <v/>
      </c>
      <c r="AN59" s="27">
        <f>IF(I59="","",IFERROR(DATE(VALUE(RIGHT(I59,4)),VALUE(MID(I59,4,2)),VALUE(LEFT(I59,2))),""))</f>
        <v/>
      </c>
      <c r="AO59" s="27">
        <f>IF(Y59="","",IFERROR(DATE(VALUE(RIGHT(Y59,4)),VALUE(MID(Y59,4,2)),VALUE(LEFT(Y59,2))),""))</f>
        <v/>
      </c>
      <c r="AP59" s="27">
        <f>IF(AC59="","",IFERROR(DATE(VALUE(RIGHT(AC59,4)),VALUE(MID(AC59,4,2)),VALUE(LEFT(AC59,2))),""))</f>
        <v/>
      </c>
      <c r="AQ59" s="26">
        <f>IF(AI59="","",TRIM(LEFT(AI59,FIND(" ",AI59&amp;" ")-1)))</f>
        <v/>
      </c>
      <c r="AR59" s="27">
        <f>IF(AQ59="","",IFERROR(DATE(VALUE(MID(AQ59,FIND("/",AQ59,FIND("/",AQ59)+1)+1,4)),VALUE(LEFT(AQ59,FIND("/",AQ59)-1)),VALUE(MID(AQ59,FIND("/",AQ59)+1,FIND("/",AQ59,FIND("/",AQ59)+1)-FIND("/",AQ59)-1))),""))</f>
        <v/>
      </c>
      <c r="AS59" s="26">
        <f>IF(G59="","",IF(AND(AG59&lt;&gt;"",AG59&lt;&gt;"Bayi Aracı"),"Evet","Hayır"))</f>
        <v/>
      </c>
      <c r="AT59" s="26">
        <f>IF(G59="","",IF(AND(AS59="Evet",T59="Siparişiniz Teslim Edildi"),"Evet","Hayır"))</f>
        <v/>
      </c>
      <c r="AU59" s="26">
        <f>IF(G59="","",IF(AB59="Siparişinizin Montajı Yapıldı","Evet","Hayır"))</f>
        <v/>
      </c>
      <c r="AV59" s="27">
        <f>IF(G59="","",IF(AT59="Evet",AR59,IF(AU59="Evet",AP59,"")))</f>
        <v/>
      </c>
    </row>
    <row r="60">
      <c r="A60" s="23" t="n"/>
      <c r="B60" s="23" t="n"/>
      <c r="C60" s="23" t="n"/>
      <c r="D60" s="23" t="n"/>
      <c r="E60" s="23" t="n"/>
      <c r="F60" s="23" t="n"/>
      <c r="G60" s="23" t="n"/>
      <c r="H60" s="23" t="n"/>
      <c r="I60" s="23" t="n"/>
      <c r="J60" s="23" t="n"/>
      <c r="K60" s="23" t="n"/>
      <c r="L60" s="23" t="n"/>
      <c r="M60" s="23" t="n"/>
      <c r="N60" s="23" t="n"/>
      <c r="O60" s="23" t="n"/>
      <c r="P60" s="23" t="n"/>
      <c r="Q60" s="23" t="n"/>
      <c r="R60" s="23" t="n"/>
      <c r="S60" s="23" t="n"/>
      <c r="T60" s="23" t="n"/>
      <c r="U60" s="23" t="n"/>
      <c r="V60" s="23" t="n"/>
      <c r="W60" s="23" t="n"/>
      <c r="X60" s="23" t="n"/>
      <c r="Y60" s="23" t="n"/>
      <c r="Z60" s="23" t="n"/>
      <c r="AA60" s="23" t="n"/>
      <c r="AB60" s="23" t="n"/>
      <c r="AC60" s="23" t="n"/>
      <c r="AD60" s="23" t="n"/>
      <c r="AE60" s="23" t="n"/>
      <c r="AF60" s="23" t="n"/>
      <c r="AG60" s="23" t="n"/>
      <c r="AH60" s="23" t="n"/>
      <c r="AI60" s="23" t="n"/>
      <c r="AJ60" s="23" t="n"/>
      <c r="AK60" s="23" t="n"/>
      <c r="AL60" s="23" t="n"/>
      <c r="AM60" s="26">
        <f>IF(G60="","",G60&amp;"|"&amp;P60)</f>
        <v/>
      </c>
      <c r="AN60" s="27">
        <f>IF(I60="","",IFERROR(DATE(VALUE(RIGHT(I60,4)),VALUE(MID(I60,4,2)),VALUE(LEFT(I60,2))),""))</f>
        <v/>
      </c>
      <c r="AO60" s="27">
        <f>IF(Y60="","",IFERROR(DATE(VALUE(RIGHT(Y60,4)),VALUE(MID(Y60,4,2)),VALUE(LEFT(Y60,2))),""))</f>
        <v/>
      </c>
      <c r="AP60" s="27">
        <f>IF(AC60="","",IFERROR(DATE(VALUE(RIGHT(AC60,4)),VALUE(MID(AC60,4,2)),VALUE(LEFT(AC60,2))),""))</f>
        <v/>
      </c>
      <c r="AQ60" s="26">
        <f>IF(AI60="","",TRIM(LEFT(AI60,FIND(" ",AI60&amp;" ")-1)))</f>
        <v/>
      </c>
      <c r="AR60" s="27">
        <f>IF(AQ60="","",IFERROR(DATE(VALUE(MID(AQ60,FIND("/",AQ60,FIND("/",AQ60)+1)+1,4)),VALUE(LEFT(AQ60,FIND("/",AQ60)-1)),VALUE(MID(AQ60,FIND("/",AQ60)+1,FIND("/",AQ60,FIND("/",AQ60)+1)-FIND("/",AQ60)-1))),""))</f>
        <v/>
      </c>
      <c r="AS60" s="26">
        <f>IF(G60="","",IF(AND(AG60&lt;&gt;"",AG60&lt;&gt;"Bayi Aracı"),"Evet","Hayır"))</f>
        <v/>
      </c>
      <c r="AT60" s="26">
        <f>IF(G60="","",IF(AND(AS60="Evet",T60="Siparişiniz Teslim Edildi"),"Evet","Hayır"))</f>
        <v/>
      </c>
      <c r="AU60" s="26">
        <f>IF(G60="","",IF(AB60="Siparişinizin Montajı Yapıldı","Evet","Hayır"))</f>
        <v/>
      </c>
      <c r="AV60" s="27">
        <f>IF(G60="","",IF(AT60="Evet",AR60,IF(AU60="Evet",AP60,"")))</f>
        <v/>
      </c>
    </row>
    <row r="61">
      <c r="A61" s="23" t="n"/>
      <c r="B61" s="23" t="n"/>
      <c r="C61" s="23" t="n"/>
      <c r="D61" s="23" t="n"/>
      <c r="E61" s="23" t="n"/>
      <c r="F61" s="23" t="n"/>
      <c r="G61" s="23" t="n"/>
      <c r="H61" s="23" t="n"/>
      <c r="I61" s="23" t="n"/>
      <c r="J61" s="23" t="n"/>
      <c r="K61" s="23" t="n"/>
      <c r="L61" s="23" t="n"/>
      <c r="M61" s="23" t="n"/>
      <c r="N61" s="23" t="n"/>
      <c r="O61" s="23" t="n"/>
      <c r="P61" s="23" t="n"/>
      <c r="Q61" s="23" t="n"/>
      <c r="R61" s="23" t="n"/>
      <c r="S61" s="23" t="n"/>
      <c r="T61" s="23" t="n"/>
      <c r="U61" s="23" t="n"/>
      <c r="V61" s="23" t="n"/>
      <c r="W61" s="23" t="n"/>
      <c r="X61" s="23" t="n"/>
      <c r="Y61" s="23" t="n"/>
      <c r="Z61" s="23" t="n"/>
      <c r="AA61" s="23" t="n"/>
      <c r="AB61" s="23" t="n"/>
      <c r="AC61" s="23" t="n"/>
      <c r="AD61" s="23" t="n"/>
      <c r="AE61" s="23" t="n"/>
      <c r="AF61" s="23" t="n"/>
      <c r="AG61" s="23" t="n"/>
      <c r="AH61" s="23" t="n"/>
      <c r="AI61" s="23" t="n"/>
      <c r="AJ61" s="23" t="n"/>
      <c r="AK61" s="23" t="n"/>
      <c r="AL61" s="23" t="n"/>
      <c r="AM61" s="26">
        <f>IF(G61="","",G61&amp;"|"&amp;P61)</f>
        <v/>
      </c>
      <c r="AN61" s="27">
        <f>IF(I61="","",IFERROR(DATE(VALUE(RIGHT(I61,4)),VALUE(MID(I61,4,2)),VALUE(LEFT(I61,2))),""))</f>
        <v/>
      </c>
      <c r="AO61" s="27">
        <f>IF(Y61="","",IFERROR(DATE(VALUE(RIGHT(Y61,4)),VALUE(MID(Y61,4,2)),VALUE(LEFT(Y61,2))),""))</f>
        <v/>
      </c>
      <c r="AP61" s="27">
        <f>IF(AC61="","",IFERROR(DATE(VALUE(RIGHT(AC61,4)),VALUE(MID(AC61,4,2)),VALUE(LEFT(AC61,2))),""))</f>
        <v/>
      </c>
      <c r="AQ61" s="26">
        <f>IF(AI61="","",TRIM(LEFT(AI61,FIND(" ",AI61&amp;" ")-1)))</f>
        <v/>
      </c>
      <c r="AR61" s="27">
        <f>IF(AQ61="","",IFERROR(DATE(VALUE(MID(AQ61,FIND("/",AQ61,FIND("/",AQ61)+1)+1,4)),VALUE(LEFT(AQ61,FIND("/",AQ61)-1)),VALUE(MID(AQ61,FIND("/",AQ61)+1,FIND("/",AQ61,FIND("/",AQ61)+1)-FIND("/",AQ61)-1))),""))</f>
        <v/>
      </c>
      <c r="AS61" s="26">
        <f>IF(G61="","",IF(AND(AG61&lt;&gt;"",AG61&lt;&gt;"Bayi Aracı"),"Evet","Hayır"))</f>
        <v/>
      </c>
      <c r="AT61" s="26">
        <f>IF(G61="","",IF(AND(AS61="Evet",T61="Siparişiniz Teslim Edildi"),"Evet","Hayır"))</f>
        <v/>
      </c>
      <c r="AU61" s="26">
        <f>IF(G61="","",IF(AB61="Siparişinizin Montajı Yapıldı","Evet","Hayır"))</f>
        <v/>
      </c>
      <c r="AV61" s="27">
        <f>IF(G61="","",IF(AT61="Evet",AR61,IF(AU61="Evet",AP61,"")))</f>
        <v/>
      </c>
    </row>
    <row r="62">
      <c r="A62" s="23" t="n"/>
      <c r="B62" s="23" t="n"/>
      <c r="C62" s="23" t="n"/>
      <c r="D62" s="23" t="n"/>
      <c r="E62" s="23" t="n"/>
      <c r="F62" s="23" t="n"/>
      <c r="G62" s="23" t="n"/>
      <c r="H62" s="23" t="n"/>
      <c r="I62" s="23" t="n"/>
      <c r="J62" s="23" t="n"/>
      <c r="K62" s="23" t="n"/>
      <c r="L62" s="23" t="n"/>
      <c r="M62" s="23" t="n"/>
      <c r="N62" s="23" t="n"/>
      <c r="O62" s="23" t="n"/>
      <c r="P62" s="23" t="n"/>
      <c r="Q62" s="23" t="n"/>
      <c r="R62" s="23" t="n"/>
      <c r="S62" s="23" t="n"/>
      <c r="T62" s="23" t="n"/>
      <c r="U62" s="23" t="n"/>
      <c r="V62" s="23" t="n"/>
      <c r="W62" s="23" t="n"/>
      <c r="X62" s="23" t="n"/>
      <c r="Y62" s="23" t="n"/>
      <c r="Z62" s="23" t="n"/>
      <c r="AA62" s="23" t="n"/>
      <c r="AB62" s="23" t="n"/>
      <c r="AC62" s="23" t="n"/>
      <c r="AD62" s="23" t="n"/>
      <c r="AE62" s="23" t="n"/>
      <c r="AF62" s="23" t="n"/>
      <c r="AG62" s="23" t="n"/>
      <c r="AH62" s="23" t="n"/>
      <c r="AI62" s="23" t="n"/>
      <c r="AJ62" s="23" t="n"/>
      <c r="AK62" s="23" t="n"/>
      <c r="AL62" s="23" t="n"/>
      <c r="AM62" s="26">
        <f>IF(G62="","",G62&amp;"|"&amp;P62)</f>
        <v/>
      </c>
      <c r="AN62" s="27">
        <f>IF(I62="","",IFERROR(DATE(VALUE(RIGHT(I62,4)),VALUE(MID(I62,4,2)),VALUE(LEFT(I62,2))),""))</f>
        <v/>
      </c>
      <c r="AO62" s="27">
        <f>IF(Y62="","",IFERROR(DATE(VALUE(RIGHT(Y62,4)),VALUE(MID(Y62,4,2)),VALUE(LEFT(Y62,2))),""))</f>
        <v/>
      </c>
      <c r="AP62" s="27">
        <f>IF(AC62="","",IFERROR(DATE(VALUE(RIGHT(AC62,4)),VALUE(MID(AC62,4,2)),VALUE(LEFT(AC62,2))),""))</f>
        <v/>
      </c>
      <c r="AQ62" s="26">
        <f>IF(AI62="","",TRIM(LEFT(AI62,FIND(" ",AI62&amp;" ")-1)))</f>
        <v/>
      </c>
      <c r="AR62" s="27">
        <f>IF(AQ62="","",IFERROR(DATE(VALUE(MID(AQ62,FIND("/",AQ62,FIND("/",AQ62)+1)+1,4)),VALUE(LEFT(AQ62,FIND("/",AQ62)-1)),VALUE(MID(AQ62,FIND("/",AQ62)+1,FIND("/",AQ62,FIND("/",AQ62)+1)-FIND("/",AQ62)-1))),""))</f>
        <v/>
      </c>
      <c r="AS62" s="26">
        <f>IF(G62="","",IF(AND(AG62&lt;&gt;"",AG62&lt;&gt;"Bayi Aracı"),"Evet","Hayır"))</f>
        <v/>
      </c>
      <c r="AT62" s="26">
        <f>IF(G62="","",IF(AND(AS62="Evet",T62="Siparişiniz Teslim Edildi"),"Evet","Hayır"))</f>
        <v/>
      </c>
      <c r="AU62" s="26">
        <f>IF(G62="","",IF(AB62="Siparişinizin Montajı Yapıldı","Evet","Hayır"))</f>
        <v/>
      </c>
      <c r="AV62" s="27">
        <f>IF(G62="","",IF(AT62="Evet",AR62,IF(AU62="Evet",AP62,"")))</f>
        <v/>
      </c>
    </row>
    <row r="63">
      <c r="A63" s="23" t="n"/>
      <c r="B63" s="23" t="n"/>
      <c r="C63" s="23" t="n"/>
      <c r="D63" s="23" t="n"/>
      <c r="E63" s="23" t="n"/>
      <c r="F63" s="23" t="n"/>
      <c r="G63" s="23" t="n"/>
      <c r="H63" s="23" t="n"/>
      <c r="I63" s="23" t="n"/>
      <c r="J63" s="23" t="n"/>
      <c r="K63" s="23" t="n"/>
      <c r="L63" s="23" t="n"/>
      <c r="M63" s="23" t="n"/>
      <c r="N63" s="23" t="n"/>
      <c r="O63" s="23" t="n"/>
      <c r="P63" s="23" t="n"/>
      <c r="Q63" s="23" t="n"/>
      <c r="R63" s="23" t="n"/>
      <c r="S63" s="23" t="n"/>
      <c r="T63" s="23" t="n"/>
      <c r="U63" s="23" t="n"/>
      <c r="V63" s="23" t="n"/>
      <c r="W63" s="23" t="n"/>
      <c r="X63" s="23" t="n"/>
      <c r="Y63" s="23" t="n"/>
      <c r="Z63" s="23" t="n"/>
      <c r="AA63" s="23" t="n"/>
      <c r="AB63" s="23" t="n"/>
      <c r="AC63" s="23" t="n"/>
      <c r="AD63" s="23" t="n"/>
      <c r="AE63" s="23" t="n"/>
      <c r="AF63" s="23" t="n"/>
      <c r="AG63" s="23" t="n"/>
      <c r="AH63" s="23" t="n"/>
      <c r="AI63" s="23" t="n"/>
      <c r="AJ63" s="23" t="n"/>
      <c r="AK63" s="23" t="n"/>
      <c r="AL63" s="23" t="n"/>
      <c r="AM63" s="26">
        <f>IF(G63="","",G63&amp;"|"&amp;P63)</f>
        <v/>
      </c>
      <c r="AN63" s="27">
        <f>IF(I63="","",IFERROR(DATE(VALUE(RIGHT(I63,4)),VALUE(MID(I63,4,2)),VALUE(LEFT(I63,2))),""))</f>
        <v/>
      </c>
      <c r="AO63" s="27">
        <f>IF(Y63="","",IFERROR(DATE(VALUE(RIGHT(Y63,4)),VALUE(MID(Y63,4,2)),VALUE(LEFT(Y63,2))),""))</f>
        <v/>
      </c>
      <c r="AP63" s="27">
        <f>IF(AC63="","",IFERROR(DATE(VALUE(RIGHT(AC63,4)),VALUE(MID(AC63,4,2)),VALUE(LEFT(AC63,2))),""))</f>
        <v/>
      </c>
      <c r="AQ63" s="26">
        <f>IF(AI63="","",TRIM(LEFT(AI63,FIND(" ",AI63&amp;" ")-1)))</f>
        <v/>
      </c>
      <c r="AR63" s="27">
        <f>IF(AQ63="","",IFERROR(DATE(VALUE(MID(AQ63,FIND("/",AQ63,FIND("/",AQ63)+1)+1,4)),VALUE(LEFT(AQ63,FIND("/",AQ63)-1)),VALUE(MID(AQ63,FIND("/",AQ63)+1,FIND("/",AQ63,FIND("/",AQ63)+1)-FIND("/",AQ63)-1))),""))</f>
        <v/>
      </c>
      <c r="AS63" s="26">
        <f>IF(G63="","",IF(AND(AG63&lt;&gt;"",AG63&lt;&gt;"Bayi Aracı"),"Evet","Hayır"))</f>
        <v/>
      </c>
      <c r="AT63" s="26">
        <f>IF(G63="","",IF(AND(AS63="Evet",T63="Siparişiniz Teslim Edildi"),"Evet","Hayır"))</f>
        <v/>
      </c>
      <c r="AU63" s="26">
        <f>IF(G63="","",IF(AB63="Siparişinizin Montajı Yapıldı","Evet","Hayır"))</f>
        <v/>
      </c>
      <c r="AV63" s="27">
        <f>IF(G63="","",IF(AT63="Evet",AR63,IF(AU63="Evet",AP63,"")))</f>
        <v/>
      </c>
    </row>
    <row r="64">
      <c r="A64" s="23" t="n"/>
      <c r="B64" s="23" t="n"/>
      <c r="C64" s="23" t="n"/>
      <c r="D64" s="23" t="n"/>
      <c r="E64" s="23" t="n"/>
      <c r="F64" s="23" t="n"/>
      <c r="G64" s="23" t="n"/>
      <c r="H64" s="23" t="n"/>
      <c r="I64" s="23" t="n"/>
      <c r="J64" s="23" t="n"/>
      <c r="K64" s="23" t="n"/>
      <c r="L64" s="23" t="n"/>
      <c r="M64" s="23" t="n"/>
      <c r="N64" s="23" t="n"/>
      <c r="O64" s="23" t="n"/>
      <c r="P64" s="23" t="n"/>
      <c r="Q64" s="23" t="n"/>
      <c r="R64" s="23" t="n"/>
      <c r="S64" s="23" t="n"/>
      <c r="T64" s="23" t="n"/>
      <c r="U64" s="23" t="n"/>
      <c r="V64" s="23" t="n"/>
      <c r="W64" s="23" t="n"/>
      <c r="X64" s="23" t="n"/>
      <c r="Y64" s="23" t="n"/>
      <c r="Z64" s="23" t="n"/>
      <c r="AA64" s="23" t="n"/>
      <c r="AB64" s="23" t="n"/>
      <c r="AC64" s="23" t="n"/>
      <c r="AD64" s="23" t="n"/>
      <c r="AE64" s="23" t="n"/>
      <c r="AF64" s="23" t="n"/>
      <c r="AG64" s="23" t="n"/>
      <c r="AH64" s="23" t="n"/>
      <c r="AI64" s="23" t="n"/>
      <c r="AJ64" s="23" t="n"/>
      <c r="AK64" s="23" t="n"/>
      <c r="AL64" s="23" t="n"/>
      <c r="AM64" s="26">
        <f>IF(G64="","",G64&amp;"|"&amp;P64)</f>
        <v/>
      </c>
      <c r="AN64" s="27">
        <f>IF(I64="","",IFERROR(DATE(VALUE(RIGHT(I64,4)),VALUE(MID(I64,4,2)),VALUE(LEFT(I64,2))),""))</f>
        <v/>
      </c>
      <c r="AO64" s="27">
        <f>IF(Y64="","",IFERROR(DATE(VALUE(RIGHT(Y64,4)),VALUE(MID(Y64,4,2)),VALUE(LEFT(Y64,2))),""))</f>
        <v/>
      </c>
      <c r="AP64" s="27">
        <f>IF(AC64="","",IFERROR(DATE(VALUE(RIGHT(AC64,4)),VALUE(MID(AC64,4,2)),VALUE(LEFT(AC64,2))),""))</f>
        <v/>
      </c>
      <c r="AQ64" s="26">
        <f>IF(AI64="","",TRIM(LEFT(AI64,FIND(" ",AI64&amp;" ")-1)))</f>
        <v/>
      </c>
      <c r="AR64" s="27">
        <f>IF(AQ64="","",IFERROR(DATE(VALUE(MID(AQ64,FIND("/",AQ64,FIND("/",AQ64)+1)+1,4)),VALUE(LEFT(AQ64,FIND("/",AQ64)-1)),VALUE(MID(AQ64,FIND("/",AQ64)+1,FIND("/",AQ64,FIND("/",AQ64)+1)-FIND("/",AQ64)-1))),""))</f>
        <v/>
      </c>
      <c r="AS64" s="26">
        <f>IF(G64="","",IF(AND(AG64&lt;&gt;"",AG64&lt;&gt;"Bayi Aracı"),"Evet","Hayır"))</f>
        <v/>
      </c>
      <c r="AT64" s="26">
        <f>IF(G64="","",IF(AND(AS64="Evet",T64="Siparişiniz Teslim Edildi"),"Evet","Hayır"))</f>
        <v/>
      </c>
      <c r="AU64" s="26">
        <f>IF(G64="","",IF(AB64="Siparişinizin Montajı Yapıldı","Evet","Hayır"))</f>
        <v/>
      </c>
      <c r="AV64" s="27">
        <f>IF(G64="","",IF(AT64="Evet",AR64,IF(AU64="Evet",AP64,"")))</f>
        <v/>
      </c>
    </row>
    <row r="65">
      <c r="A65" s="23" t="n"/>
      <c r="B65" s="23" t="n"/>
      <c r="C65" s="23" t="n"/>
      <c r="D65" s="23" t="n"/>
      <c r="E65" s="23" t="n"/>
      <c r="F65" s="23" t="n"/>
      <c r="G65" s="23" t="n"/>
      <c r="H65" s="23" t="n"/>
      <c r="I65" s="23" t="n"/>
      <c r="J65" s="23" t="n"/>
      <c r="K65" s="23" t="n"/>
      <c r="L65" s="23" t="n"/>
      <c r="M65" s="23" t="n"/>
      <c r="N65" s="23" t="n"/>
      <c r="O65" s="23" t="n"/>
      <c r="P65" s="23" t="n"/>
      <c r="Q65" s="23" t="n"/>
      <c r="R65" s="23" t="n"/>
      <c r="S65" s="23" t="n"/>
      <c r="T65" s="23" t="n"/>
      <c r="U65" s="23" t="n"/>
      <c r="V65" s="23" t="n"/>
      <c r="W65" s="23" t="n"/>
      <c r="X65" s="23" t="n"/>
      <c r="Y65" s="23" t="n"/>
      <c r="Z65" s="23" t="n"/>
      <c r="AA65" s="23" t="n"/>
      <c r="AB65" s="23" t="n"/>
      <c r="AC65" s="23" t="n"/>
      <c r="AD65" s="23" t="n"/>
      <c r="AE65" s="23" t="n"/>
      <c r="AF65" s="23" t="n"/>
      <c r="AG65" s="23" t="n"/>
      <c r="AH65" s="23" t="n"/>
      <c r="AI65" s="23" t="n"/>
      <c r="AJ65" s="23" t="n"/>
      <c r="AK65" s="23" t="n"/>
      <c r="AL65" s="23" t="n"/>
      <c r="AM65" s="26">
        <f>IF(G65="","",G65&amp;"|"&amp;P65)</f>
        <v/>
      </c>
      <c r="AN65" s="27">
        <f>IF(I65="","",IFERROR(DATE(VALUE(RIGHT(I65,4)),VALUE(MID(I65,4,2)),VALUE(LEFT(I65,2))),""))</f>
        <v/>
      </c>
      <c r="AO65" s="27">
        <f>IF(Y65="","",IFERROR(DATE(VALUE(RIGHT(Y65,4)),VALUE(MID(Y65,4,2)),VALUE(LEFT(Y65,2))),""))</f>
        <v/>
      </c>
      <c r="AP65" s="27">
        <f>IF(AC65="","",IFERROR(DATE(VALUE(RIGHT(AC65,4)),VALUE(MID(AC65,4,2)),VALUE(LEFT(AC65,2))),""))</f>
        <v/>
      </c>
      <c r="AQ65" s="26">
        <f>IF(AI65="","",TRIM(LEFT(AI65,FIND(" ",AI65&amp;" ")-1)))</f>
        <v/>
      </c>
      <c r="AR65" s="27">
        <f>IF(AQ65="","",IFERROR(DATE(VALUE(MID(AQ65,FIND("/",AQ65,FIND("/",AQ65)+1)+1,4)),VALUE(LEFT(AQ65,FIND("/",AQ65)-1)),VALUE(MID(AQ65,FIND("/",AQ65)+1,FIND("/",AQ65,FIND("/",AQ65)+1)-FIND("/",AQ65)-1))),""))</f>
        <v/>
      </c>
      <c r="AS65" s="26">
        <f>IF(G65="","",IF(AND(AG65&lt;&gt;"",AG65&lt;&gt;"Bayi Aracı"),"Evet","Hayır"))</f>
        <v/>
      </c>
      <c r="AT65" s="26">
        <f>IF(G65="","",IF(AND(AS65="Evet",T65="Siparişiniz Teslim Edildi"),"Evet","Hayır"))</f>
        <v/>
      </c>
      <c r="AU65" s="26">
        <f>IF(G65="","",IF(AB65="Siparişinizin Montajı Yapıldı","Evet","Hayır"))</f>
        <v/>
      </c>
      <c r="AV65" s="27">
        <f>IF(G65="","",IF(AT65="Evet",AR65,IF(AU65="Evet",AP65,"")))</f>
        <v/>
      </c>
    </row>
    <row r="66">
      <c r="A66" s="23" t="n"/>
      <c r="B66" s="23" t="n"/>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c r="AA66" s="23" t="n"/>
      <c r="AB66" s="23" t="n"/>
      <c r="AC66" s="23" t="n"/>
      <c r="AD66" s="23" t="n"/>
      <c r="AE66" s="23" t="n"/>
      <c r="AF66" s="23" t="n"/>
      <c r="AG66" s="23" t="n"/>
      <c r="AH66" s="23" t="n"/>
      <c r="AI66" s="23" t="n"/>
      <c r="AJ66" s="23" t="n"/>
      <c r="AK66" s="23" t="n"/>
      <c r="AL66" s="23" t="n"/>
      <c r="AM66" s="26">
        <f>IF(G66="","",G66&amp;"|"&amp;P66)</f>
        <v/>
      </c>
      <c r="AN66" s="27">
        <f>IF(I66="","",IFERROR(DATE(VALUE(RIGHT(I66,4)),VALUE(MID(I66,4,2)),VALUE(LEFT(I66,2))),""))</f>
        <v/>
      </c>
      <c r="AO66" s="27">
        <f>IF(Y66="","",IFERROR(DATE(VALUE(RIGHT(Y66,4)),VALUE(MID(Y66,4,2)),VALUE(LEFT(Y66,2))),""))</f>
        <v/>
      </c>
      <c r="AP66" s="27">
        <f>IF(AC66="","",IFERROR(DATE(VALUE(RIGHT(AC66,4)),VALUE(MID(AC66,4,2)),VALUE(LEFT(AC66,2))),""))</f>
        <v/>
      </c>
      <c r="AQ66" s="26">
        <f>IF(AI66="","",TRIM(LEFT(AI66,FIND(" ",AI66&amp;" ")-1)))</f>
        <v/>
      </c>
      <c r="AR66" s="27">
        <f>IF(AQ66="","",IFERROR(DATE(VALUE(MID(AQ66,FIND("/",AQ66,FIND("/",AQ66)+1)+1,4)),VALUE(LEFT(AQ66,FIND("/",AQ66)-1)),VALUE(MID(AQ66,FIND("/",AQ66)+1,FIND("/",AQ66,FIND("/",AQ66)+1)-FIND("/",AQ66)-1))),""))</f>
        <v/>
      </c>
      <c r="AS66" s="26">
        <f>IF(G66="","",IF(AND(AG66&lt;&gt;"",AG66&lt;&gt;"Bayi Aracı"),"Evet","Hayır"))</f>
        <v/>
      </c>
      <c r="AT66" s="26">
        <f>IF(G66="","",IF(AND(AS66="Evet",T66="Siparişiniz Teslim Edildi"),"Evet","Hayır"))</f>
        <v/>
      </c>
      <c r="AU66" s="26">
        <f>IF(G66="","",IF(AB66="Siparişinizin Montajı Yapıldı","Evet","Hayır"))</f>
        <v/>
      </c>
      <c r="AV66" s="27">
        <f>IF(G66="","",IF(AT66="Evet",AR66,IF(AU66="Evet",AP66,"")))</f>
        <v/>
      </c>
    </row>
    <row r="67">
      <c r="A67" s="23" t="n"/>
      <c r="B67" s="23" t="n"/>
      <c r="C67" s="23" t="n"/>
      <c r="D67" s="23" t="n"/>
      <c r="E67" s="23" t="n"/>
      <c r="F67" s="23" t="n"/>
      <c r="G67" s="23" t="n"/>
      <c r="H67" s="23" t="n"/>
      <c r="I67" s="23" t="n"/>
      <c r="J67" s="23" t="n"/>
      <c r="K67" s="23" t="n"/>
      <c r="L67" s="23" t="n"/>
      <c r="M67" s="23" t="n"/>
      <c r="N67" s="23" t="n"/>
      <c r="O67" s="23" t="n"/>
      <c r="P67" s="23" t="n"/>
      <c r="Q67" s="23" t="n"/>
      <c r="R67" s="23" t="n"/>
      <c r="S67" s="23" t="n"/>
      <c r="T67" s="23" t="n"/>
      <c r="U67" s="23" t="n"/>
      <c r="V67" s="23" t="n"/>
      <c r="W67" s="23" t="n"/>
      <c r="X67" s="23" t="n"/>
      <c r="Y67" s="23" t="n"/>
      <c r="Z67" s="23" t="n"/>
      <c r="AA67" s="23" t="n"/>
      <c r="AB67" s="23" t="n"/>
      <c r="AC67" s="23" t="n"/>
      <c r="AD67" s="23" t="n"/>
      <c r="AE67" s="23" t="n"/>
      <c r="AF67" s="23" t="n"/>
      <c r="AG67" s="23" t="n"/>
      <c r="AH67" s="23" t="n"/>
      <c r="AI67" s="23" t="n"/>
      <c r="AJ67" s="23" t="n"/>
      <c r="AK67" s="23" t="n"/>
      <c r="AL67" s="23" t="n"/>
      <c r="AM67" s="26">
        <f>IF(G67="","",G67&amp;"|"&amp;P67)</f>
        <v/>
      </c>
      <c r="AN67" s="27">
        <f>IF(I67="","",IFERROR(DATE(VALUE(RIGHT(I67,4)),VALUE(MID(I67,4,2)),VALUE(LEFT(I67,2))),""))</f>
        <v/>
      </c>
      <c r="AO67" s="27">
        <f>IF(Y67="","",IFERROR(DATE(VALUE(RIGHT(Y67,4)),VALUE(MID(Y67,4,2)),VALUE(LEFT(Y67,2))),""))</f>
        <v/>
      </c>
      <c r="AP67" s="27">
        <f>IF(AC67="","",IFERROR(DATE(VALUE(RIGHT(AC67,4)),VALUE(MID(AC67,4,2)),VALUE(LEFT(AC67,2))),""))</f>
        <v/>
      </c>
      <c r="AQ67" s="26">
        <f>IF(AI67="","",TRIM(LEFT(AI67,FIND(" ",AI67&amp;" ")-1)))</f>
        <v/>
      </c>
      <c r="AR67" s="27">
        <f>IF(AQ67="","",IFERROR(DATE(VALUE(MID(AQ67,FIND("/",AQ67,FIND("/",AQ67)+1)+1,4)),VALUE(LEFT(AQ67,FIND("/",AQ67)-1)),VALUE(MID(AQ67,FIND("/",AQ67)+1,FIND("/",AQ67,FIND("/",AQ67)+1)-FIND("/",AQ67)-1))),""))</f>
        <v/>
      </c>
      <c r="AS67" s="26">
        <f>IF(G67="","",IF(AND(AG67&lt;&gt;"",AG67&lt;&gt;"Bayi Aracı"),"Evet","Hayır"))</f>
        <v/>
      </c>
      <c r="AT67" s="26">
        <f>IF(G67="","",IF(AND(AS67="Evet",T67="Siparişiniz Teslim Edildi"),"Evet","Hayır"))</f>
        <v/>
      </c>
      <c r="AU67" s="26">
        <f>IF(G67="","",IF(AB67="Siparişinizin Montajı Yapıldı","Evet","Hayır"))</f>
        <v/>
      </c>
      <c r="AV67" s="27">
        <f>IF(G67="","",IF(AT67="Evet",AR67,IF(AU67="Evet",AP67,"")))</f>
        <v/>
      </c>
    </row>
    <row r="68">
      <c r="A68" s="23" t="n"/>
      <c r="B68" s="23" t="n"/>
      <c r="C68" s="23" t="n"/>
      <c r="D68" s="23" t="n"/>
      <c r="E68" s="23" t="n"/>
      <c r="F68" s="23" t="n"/>
      <c r="G68" s="23" t="n"/>
      <c r="H68" s="23" t="n"/>
      <c r="I68" s="23" t="n"/>
      <c r="J68" s="23" t="n"/>
      <c r="K68" s="23" t="n"/>
      <c r="L68" s="23" t="n"/>
      <c r="M68" s="23" t="n"/>
      <c r="N68" s="23" t="n"/>
      <c r="O68" s="23" t="n"/>
      <c r="P68" s="23" t="n"/>
      <c r="Q68" s="23" t="n"/>
      <c r="R68" s="23" t="n"/>
      <c r="S68" s="23" t="n"/>
      <c r="T68" s="23" t="n"/>
      <c r="U68" s="23" t="n"/>
      <c r="V68" s="23" t="n"/>
      <c r="W68" s="23" t="n"/>
      <c r="X68" s="23" t="n"/>
      <c r="Y68" s="23" t="n"/>
      <c r="Z68" s="23" t="n"/>
      <c r="AA68" s="23" t="n"/>
      <c r="AB68" s="23" t="n"/>
      <c r="AC68" s="23" t="n"/>
      <c r="AD68" s="23" t="n"/>
      <c r="AE68" s="23" t="n"/>
      <c r="AF68" s="23" t="n"/>
      <c r="AG68" s="23" t="n"/>
      <c r="AH68" s="23" t="n"/>
      <c r="AI68" s="23" t="n"/>
      <c r="AJ68" s="23" t="n"/>
      <c r="AK68" s="23" t="n"/>
      <c r="AL68" s="23" t="n"/>
      <c r="AM68" s="26">
        <f>IF(G68="","",G68&amp;"|"&amp;P68)</f>
        <v/>
      </c>
      <c r="AN68" s="27">
        <f>IF(I68="","",IFERROR(DATE(VALUE(RIGHT(I68,4)),VALUE(MID(I68,4,2)),VALUE(LEFT(I68,2))),""))</f>
        <v/>
      </c>
      <c r="AO68" s="27">
        <f>IF(Y68="","",IFERROR(DATE(VALUE(RIGHT(Y68,4)),VALUE(MID(Y68,4,2)),VALUE(LEFT(Y68,2))),""))</f>
        <v/>
      </c>
      <c r="AP68" s="27">
        <f>IF(AC68="","",IFERROR(DATE(VALUE(RIGHT(AC68,4)),VALUE(MID(AC68,4,2)),VALUE(LEFT(AC68,2))),""))</f>
        <v/>
      </c>
      <c r="AQ68" s="26">
        <f>IF(AI68="","",TRIM(LEFT(AI68,FIND(" ",AI68&amp;" ")-1)))</f>
        <v/>
      </c>
      <c r="AR68" s="27">
        <f>IF(AQ68="","",IFERROR(DATE(VALUE(MID(AQ68,FIND("/",AQ68,FIND("/",AQ68)+1)+1,4)),VALUE(LEFT(AQ68,FIND("/",AQ68)-1)),VALUE(MID(AQ68,FIND("/",AQ68)+1,FIND("/",AQ68,FIND("/",AQ68)+1)-FIND("/",AQ68)-1))),""))</f>
        <v/>
      </c>
      <c r="AS68" s="26">
        <f>IF(G68="","",IF(AND(AG68&lt;&gt;"",AG68&lt;&gt;"Bayi Aracı"),"Evet","Hayır"))</f>
        <v/>
      </c>
      <c r="AT68" s="26">
        <f>IF(G68="","",IF(AND(AS68="Evet",T68="Siparişiniz Teslim Edildi"),"Evet","Hayır"))</f>
        <v/>
      </c>
      <c r="AU68" s="26">
        <f>IF(G68="","",IF(AB68="Siparişinizin Montajı Yapıldı","Evet","Hayır"))</f>
        <v/>
      </c>
      <c r="AV68" s="27">
        <f>IF(G68="","",IF(AT68="Evet",AR68,IF(AU68="Evet",AP68,"")))</f>
        <v/>
      </c>
    </row>
    <row r="69">
      <c r="A69" s="23" t="n"/>
      <c r="B69" s="23" t="n"/>
      <c r="C69" s="23" t="n"/>
      <c r="D69" s="23" t="n"/>
      <c r="E69" s="23" t="n"/>
      <c r="F69" s="23" t="n"/>
      <c r="G69" s="23" t="n"/>
      <c r="H69" s="23" t="n"/>
      <c r="I69" s="23" t="n"/>
      <c r="J69" s="23" t="n"/>
      <c r="K69" s="23" t="n"/>
      <c r="L69" s="23" t="n"/>
      <c r="M69" s="23" t="n"/>
      <c r="N69" s="23" t="n"/>
      <c r="O69" s="23" t="n"/>
      <c r="P69" s="23" t="n"/>
      <c r="Q69" s="23" t="n"/>
      <c r="R69" s="23" t="n"/>
      <c r="S69" s="23" t="n"/>
      <c r="T69" s="23" t="n"/>
      <c r="U69" s="23" t="n"/>
      <c r="V69" s="23" t="n"/>
      <c r="W69" s="23" t="n"/>
      <c r="X69" s="23" t="n"/>
      <c r="Y69" s="23" t="n"/>
      <c r="Z69" s="23" t="n"/>
      <c r="AA69" s="23" t="n"/>
      <c r="AB69" s="23" t="n"/>
      <c r="AC69" s="23" t="n"/>
      <c r="AD69" s="23" t="n"/>
      <c r="AE69" s="23" t="n"/>
      <c r="AF69" s="23" t="n"/>
      <c r="AG69" s="23" t="n"/>
      <c r="AH69" s="23" t="n"/>
      <c r="AI69" s="23" t="n"/>
      <c r="AJ69" s="23" t="n"/>
      <c r="AK69" s="23" t="n"/>
      <c r="AL69" s="23" t="n"/>
      <c r="AM69" s="26">
        <f>IF(G69="","",G69&amp;"|"&amp;P69)</f>
        <v/>
      </c>
      <c r="AN69" s="27">
        <f>IF(I69="","",IFERROR(DATE(VALUE(RIGHT(I69,4)),VALUE(MID(I69,4,2)),VALUE(LEFT(I69,2))),""))</f>
        <v/>
      </c>
      <c r="AO69" s="27">
        <f>IF(Y69="","",IFERROR(DATE(VALUE(RIGHT(Y69,4)),VALUE(MID(Y69,4,2)),VALUE(LEFT(Y69,2))),""))</f>
        <v/>
      </c>
      <c r="AP69" s="27">
        <f>IF(AC69="","",IFERROR(DATE(VALUE(RIGHT(AC69,4)),VALUE(MID(AC69,4,2)),VALUE(LEFT(AC69,2))),""))</f>
        <v/>
      </c>
      <c r="AQ69" s="26">
        <f>IF(AI69="","",TRIM(LEFT(AI69,FIND(" ",AI69&amp;" ")-1)))</f>
        <v/>
      </c>
      <c r="AR69" s="27">
        <f>IF(AQ69="","",IFERROR(DATE(VALUE(MID(AQ69,FIND("/",AQ69,FIND("/",AQ69)+1)+1,4)),VALUE(LEFT(AQ69,FIND("/",AQ69)-1)),VALUE(MID(AQ69,FIND("/",AQ69)+1,FIND("/",AQ69,FIND("/",AQ69)+1)-FIND("/",AQ69)-1))),""))</f>
        <v/>
      </c>
      <c r="AS69" s="26">
        <f>IF(G69="","",IF(AND(AG69&lt;&gt;"",AG69&lt;&gt;"Bayi Aracı"),"Evet","Hayır"))</f>
        <v/>
      </c>
      <c r="AT69" s="26">
        <f>IF(G69="","",IF(AND(AS69="Evet",T69="Siparişiniz Teslim Edildi"),"Evet","Hayır"))</f>
        <v/>
      </c>
      <c r="AU69" s="26">
        <f>IF(G69="","",IF(AB69="Siparişinizin Montajı Yapıldı","Evet","Hayır"))</f>
        <v/>
      </c>
      <c r="AV69" s="27">
        <f>IF(G69="","",IF(AT69="Evet",AR69,IF(AU69="Evet",AP69,"")))</f>
        <v/>
      </c>
    </row>
    <row r="70">
      <c r="A70" s="23" t="n"/>
      <c r="B70" s="23" t="n"/>
      <c r="C70" s="23" t="n"/>
      <c r="D70" s="23" t="n"/>
      <c r="E70" s="23" t="n"/>
      <c r="F70" s="23" t="n"/>
      <c r="G70" s="23" t="n"/>
      <c r="H70" s="23" t="n"/>
      <c r="I70" s="23" t="n"/>
      <c r="J70" s="23" t="n"/>
      <c r="K70" s="23" t="n"/>
      <c r="L70" s="23" t="n"/>
      <c r="M70" s="23" t="n"/>
      <c r="N70" s="23" t="n"/>
      <c r="O70" s="23" t="n"/>
      <c r="P70" s="23" t="n"/>
      <c r="Q70" s="23" t="n"/>
      <c r="R70" s="23" t="n"/>
      <c r="S70" s="23" t="n"/>
      <c r="T70" s="23" t="n"/>
      <c r="U70" s="23" t="n"/>
      <c r="V70" s="23" t="n"/>
      <c r="W70" s="23" t="n"/>
      <c r="X70" s="23" t="n"/>
      <c r="Y70" s="23" t="n"/>
      <c r="Z70" s="23" t="n"/>
      <c r="AA70" s="23" t="n"/>
      <c r="AB70" s="23" t="n"/>
      <c r="AC70" s="23" t="n"/>
      <c r="AD70" s="23" t="n"/>
      <c r="AE70" s="23" t="n"/>
      <c r="AF70" s="23" t="n"/>
      <c r="AG70" s="23" t="n"/>
      <c r="AH70" s="23" t="n"/>
      <c r="AI70" s="23" t="n"/>
      <c r="AJ70" s="23" t="n"/>
      <c r="AK70" s="23" t="n"/>
      <c r="AL70" s="23" t="n"/>
      <c r="AM70" s="26">
        <f>IF(G70="","",G70&amp;"|"&amp;P70)</f>
        <v/>
      </c>
      <c r="AN70" s="27">
        <f>IF(I70="","",IFERROR(DATE(VALUE(RIGHT(I70,4)),VALUE(MID(I70,4,2)),VALUE(LEFT(I70,2))),""))</f>
        <v/>
      </c>
      <c r="AO70" s="27">
        <f>IF(Y70="","",IFERROR(DATE(VALUE(RIGHT(Y70,4)),VALUE(MID(Y70,4,2)),VALUE(LEFT(Y70,2))),""))</f>
        <v/>
      </c>
      <c r="AP70" s="27">
        <f>IF(AC70="","",IFERROR(DATE(VALUE(RIGHT(AC70,4)),VALUE(MID(AC70,4,2)),VALUE(LEFT(AC70,2))),""))</f>
        <v/>
      </c>
      <c r="AQ70" s="26">
        <f>IF(AI70="","",TRIM(LEFT(AI70,FIND(" ",AI70&amp;" ")-1)))</f>
        <v/>
      </c>
      <c r="AR70" s="27">
        <f>IF(AQ70="","",IFERROR(DATE(VALUE(MID(AQ70,FIND("/",AQ70,FIND("/",AQ70)+1)+1,4)),VALUE(LEFT(AQ70,FIND("/",AQ70)-1)),VALUE(MID(AQ70,FIND("/",AQ70)+1,FIND("/",AQ70,FIND("/",AQ70)+1)-FIND("/",AQ70)-1))),""))</f>
        <v/>
      </c>
      <c r="AS70" s="26">
        <f>IF(G70="","",IF(AND(AG70&lt;&gt;"",AG70&lt;&gt;"Bayi Aracı"),"Evet","Hayır"))</f>
        <v/>
      </c>
      <c r="AT70" s="26">
        <f>IF(G70="","",IF(AND(AS70="Evet",T70="Siparişiniz Teslim Edildi"),"Evet","Hayır"))</f>
        <v/>
      </c>
      <c r="AU70" s="26">
        <f>IF(G70="","",IF(AB70="Siparişinizin Montajı Yapıldı","Evet","Hayır"))</f>
        <v/>
      </c>
      <c r="AV70" s="27">
        <f>IF(G70="","",IF(AT70="Evet",AR70,IF(AU70="Evet",AP70,"")))</f>
        <v/>
      </c>
    </row>
    <row r="71">
      <c r="A71" s="23" t="n"/>
      <c r="B71" s="23" t="n"/>
      <c r="C71" s="23" t="n"/>
      <c r="D71" s="23" t="n"/>
      <c r="E71" s="23" t="n"/>
      <c r="F71" s="23" t="n"/>
      <c r="G71" s="23" t="n"/>
      <c r="H71" s="23" t="n"/>
      <c r="I71" s="23" t="n"/>
      <c r="J71" s="23" t="n"/>
      <c r="K71" s="23" t="n"/>
      <c r="L71" s="23" t="n"/>
      <c r="M71" s="23" t="n"/>
      <c r="N71" s="23" t="n"/>
      <c r="O71" s="23" t="n"/>
      <c r="P71" s="23" t="n"/>
      <c r="Q71" s="23" t="n"/>
      <c r="R71" s="23" t="n"/>
      <c r="S71" s="23" t="n"/>
      <c r="T71" s="23" t="n"/>
      <c r="U71" s="23" t="n"/>
      <c r="V71" s="23" t="n"/>
      <c r="W71" s="23" t="n"/>
      <c r="X71" s="23" t="n"/>
      <c r="Y71" s="23" t="n"/>
      <c r="Z71" s="23" t="n"/>
      <c r="AA71" s="23" t="n"/>
      <c r="AB71" s="23" t="n"/>
      <c r="AC71" s="23" t="n"/>
      <c r="AD71" s="23" t="n"/>
      <c r="AE71" s="23" t="n"/>
      <c r="AF71" s="23" t="n"/>
      <c r="AG71" s="23" t="n"/>
      <c r="AH71" s="23" t="n"/>
      <c r="AI71" s="23" t="n"/>
      <c r="AJ71" s="23" t="n"/>
      <c r="AK71" s="23" t="n"/>
      <c r="AL71" s="23" t="n"/>
      <c r="AM71" s="26">
        <f>IF(G71="","",G71&amp;"|"&amp;P71)</f>
        <v/>
      </c>
      <c r="AN71" s="27">
        <f>IF(I71="","",IFERROR(DATE(VALUE(RIGHT(I71,4)),VALUE(MID(I71,4,2)),VALUE(LEFT(I71,2))),""))</f>
        <v/>
      </c>
      <c r="AO71" s="27">
        <f>IF(Y71="","",IFERROR(DATE(VALUE(RIGHT(Y71,4)),VALUE(MID(Y71,4,2)),VALUE(LEFT(Y71,2))),""))</f>
        <v/>
      </c>
      <c r="AP71" s="27">
        <f>IF(AC71="","",IFERROR(DATE(VALUE(RIGHT(AC71,4)),VALUE(MID(AC71,4,2)),VALUE(LEFT(AC71,2))),""))</f>
        <v/>
      </c>
      <c r="AQ71" s="26">
        <f>IF(AI71="","",TRIM(LEFT(AI71,FIND(" ",AI71&amp;" ")-1)))</f>
        <v/>
      </c>
      <c r="AR71" s="27">
        <f>IF(AQ71="","",IFERROR(DATE(VALUE(MID(AQ71,FIND("/",AQ71,FIND("/",AQ71)+1)+1,4)),VALUE(LEFT(AQ71,FIND("/",AQ71)-1)),VALUE(MID(AQ71,FIND("/",AQ71)+1,FIND("/",AQ71,FIND("/",AQ71)+1)-FIND("/",AQ71)-1))),""))</f>
        <v/>
      </c>
      <c r="AS71" s="26">
        <f>IF(G71="","",IF(AND(AG71&lt;&gt;"",AG71&lt;&gt;"Bayi Aracı"),"Evet","Hayır"))</f>
        <v/>
      </c>
      <c r="AT71" s="26">
        <f>IF(G71="","",IF(AND(AS71="Evet",T71="Siparişiniz Teslim Edildi"),"Evet","Hayır"))</f>
        <v/>
      </c>
      <c r="AU71" s="26">
        <f>IF(G71="","",IF(AB71="Siparişinizin Montajı Yapıldı","Evet","Hayır"))</f>
        <v/>
      </c>
      <c r="AV71" s="27">
        <f>IF(G71="","",IF(AT71="Evet",AR71,IF(AU71="Evet",AP71,"")))</f>
        <v/>
      </c>
    </row>
    <row r="72">
      <c r="A72" s="23" t="n"/>
      <c r="B72" s="23" t="n"/>
      <c r="C72" s="23" t="n"/>
      <c r="D72" s="23" t="n"/>
      <c r="E72" s="23" t="n"/>
      <c r="F72" s="23" t="n"/>
      <c r="G72" s="23" t="n"/>
      <c r="H72" s="23" t="n"/>
      <c r="I72" s="23" t="n"/>
      <c r="J72" s="23" t="n"/>
      <c r="K72" s="23" t="n"/>
      <c r="L72" s="23" t="n"/>
      <c r="M72" s="23" t="n"/>
      <c r="N72" s="23" t="n"/>
      <c r="O72" s="23" t="n"/>
      <c r="P72" s="23" t="n"/>
      <c r="Q72" s="23" t="n"/>
      <c r="R72" s="23" t="n"/>
      <c r="S72" s="23" t="n"/>
      <c r="T72" s="23" t="n"/>
      <c r="U72" s="23" t="n"/>
      <c r="V72" s="23" t="n"/>
      <c r="W72" s="23" t="n"/>
      <c r="X72" s="23" t="n"/>
      <c r="Y72" s="23" t="n"/>
      <c r="Z72" s="23" t="n"/>
      <c r="AA72" s="23" t="n"/>
      <c r="AB72" s="23" t="n"/>
      <c r="AC72" s="23" t="n"/>
      <c r="AD72" s="23" t="n"/>
      <c r="AE72" s="23" t="n"/>
      <c r="AF72" s="23" t="n"/>
      <c r="AG72" s="23" t="n"/>
      <c r="AH72" s="23" t="n"/>
      <c r="AI72" s="23" t="n"/>
      <c r="AJ72" s="23" t="n"/>
      <c r="AK72" s="23" t="n"/>
      <c r="AL72" s="23" t="n"/>
      <c r="AM72" s="26">
        <f>IF(G72="","",G72&amp;"|"&amp;P72)</f>
        <v/>
      </c>
      <c r="AN72" s="27">
        <f>IF(I72="","",IFERROR(DATE(VALUE(RIGHT(I72,4)),VALUE(MID(I72,4,2)),VALUE(LEFT(I72,2))),""))</f>
        <v/>
      </c>
      <c r="AO72" s="27">
        <f>IF(Y72="","",IFERROR(DATE(VALUE(RIGHT(Y72,4)),VALUE(MID(Y72,4,2)),VALUE(LEFT(Y72,2))),""))</f>
        <v/>
      </c>
      <c r="AP72" s="27">
        <f>IF(AC72="","",IFERROR(DATE(VALUE(RIGHT(AC72,4)),VALUE(MID(AC72,4,2)),VALUE(LEFT(AC72,2))),""))</f>
        <v/>
      </c>
      <c r="AQ72" s="26">
        <f>IF(AI72="","",TRIM(LEFT(AI72,FIND(" ",AI72&amp;" ")-1)))</f>
        <v/>
      </c>
      <c r="AR72" s="27">
        <f>IF(AQ72="","",IFERROR(DATE(VALUE(MID(AQ72,FIND("/",AQ72,FIND("/",AQ72)+1)+1,4)),VALUE(LEFT(AQ72,FIND("/",AQ72)-1)),VALUE(MID(AQ72,FIND("/",AQ72)+1,FIND("/",AQ72,FIND("/",AQ72)+1)-FIND("/",AQ72)-1))),""))</f>
        <v/>
      </c>
      <c r="AS72" s="26">
        <f>IF(G72="","",IF(AND(AG72&lt;&gt;"",AG72&lt;&gt;"Bayi Aracı"),"Evet","Hayır"))</f>
        <v/>
      </c>
      <c r="AT72" s="26">
        <f>IF(G72="","",IF(AND(AS72="Evet",T72="Siparişiniz Teslim Edildi"),"Evet","Hayır"))</f>
        <v/>
      </c>
      <c r="AU72" s="26">
        <f>IF(G72="","",IF(AB72="Siparişinizin Montajı Yapıldı","Evet","Hayır"))</f>
        <v/>
      </c>
      <c r="AV72" s="27">
        <f>IF(G72="","",IF(AT72="Evet",AR72,IF(AU72="Evet",AP72,"")))</f>
        <v/>
      </c>
    </row>
    <row r="73">
      <c r="A73" s="23" t="n"/>
      <c r="B73" s="23" t="n"/>
      <c r="C73" s="23" t="n"/>
      <c r="D73" s="23" t="n"/>
      <c r="E73" s="23" t="n"/>
      <c r="F73" s="23" t="n"/>
      <c r="G73" s="23" t="n"/>
      <c r="H73" s="23" t="n"/>
      <c r="I73" s="23" t="n"/>
      <c r="J73" s="23" t="n"/>
      <c r="K73" s="23" t="n"/>
      <c r="L73" s="23" t="n"/>
      <c r="M73" s="23" t="n"/>
      <c r="N73" s="23" t="n"/>
      <c r="O73" s="23" t="n"/>
      <c r="P73" s="23" t="n"/>
      <c r="Q73" s="23" t="n"/>
      <c r="R73" s="23" t="n"/>
      <c r="S73" s="23" t="n"/>
      <c r="T73" s="23" t="n"/>
      <c r="U73" s="23" t="n"/>
      <c r="V73" s="23" t="n"/>
      <c r="W73" s="23" t="n"/>
      <c r="X73" s="23" t="n"/>
      <c r="Y73" s="23" t="n"/>
      <c r="Z73" s="23" t="n"/>
      <c r="AA73" s="23" t="n"/>
      <c r="AB73" s="23" t="n"/>
      <c r="AC73" s="23" t="n"/>
      <c r="AD73" s="23" t="n"/>
      <c r="AE73" s="23" t="n"/>
      <c r="AF73" s="23" t="n"/>
      <c r="AG73" s="23" t="n"/>
      <c r="AH73" s="23" t="n"/>
      <c r="AI73" s="23" t="n"/>
      <c r="AJ73" s="23" t="n"/>
      <c r="AK73" s="23" t="n"/>
      <c r="AL73" s="23" t="n"/>
      <c r="AM73" s="26">
        <f>IF(G73="","",G73&amp;"|"&amp;P73)</f>
        <v/>
      </c>
      <c r="AN73" s="27">
        <f>IF(I73="","",IFERROR(DATE(VALUE(RIGHT(I73,4)),VALUE(MID(I73,4,2)),VALUE(LEFT(I73,2))),""))</f>
        <v/>
      </c>
      <c r="AO73" s="27">
        <f>IF(Y73="","",IFERROR(DATE(VALUE(RIGHT(Y73,4)),VALUE(MID(Y73,4,2)),VALUE(LEFT(Y73,2))),""))</f>
        <v/>
      </c>
      <c r="AP73" s="27">
        <f>IF(AC73="","",IFERROR(DATE(VALUE(RIGHT(AC73,4)),VALUE(MID(AC73,4,2)),VALUE(LEFT(AC73,2))),""))</f>
        <v/>
      </c>
      <c r="AQ73" s="26">
        <f>IF(AI73="","",TRIM(LEFT(AI73,FIND(" ",AI73&amp;" ")-1)))</f>
        <v/>
      </c>
      <c r="AR73" s="27">
        <f>IF(AQ73="","",IFERROR(DATE(VALUE(MID(AQ73,FIND("/",AQ73,FIND("/",AQ73)+1)+1,4)),VALUE(LEFT(AQ73,FIND("/",AQ73)-1)),VALUE(MID(AQ73,FIND("/",AQ73)+1,FIND("/",AQ73,FIND("/",AQ73)+1)-FIND("/",AQ73)-1))),""))</f>
        <v/>
      </c>
      <c r="AS73" s="26">
        <f>IF(G73="","",IF(AND(AG73&lt;&gt;"",AG73&lt;&gt;"Bayi Aracı"),"Evet","Hayır"))</f>
        <v/>
      </c>
      <c r="AT73" s="26">
        <f>IF(G73="","",IF(AND(AS73="Evet",T73="Siparişiniz Teslim Edildi"),"Evet","Hayır"))</f>
        <v/>
      </c>
      <c r="AU73" s="26">
        <f>IF(G73="","",IF(AB73="Siparişinizin Montajı Yapıldı","Evet","Hayır"))</f>
        <v/>
      </c>
      <c r="AV73" s="27">
        <f>IF(G73="","",IF(AT73="Evet",AR73,IF(AU73="Evet",AP73,"")))</f>
        <v/>
      </c>
    </row>
    <row r="74">
      <c r="A74" s="23" t="n"/>
      <c r="B74" s="23" t="n"/>
      <c r="C74" s="23" t="n"/>
      <c r="D74" s="23" t="n"/>
      <c r="E74" s="23" t="n"/>
      <c r="F74" s="23" t="n"/>
      <c r="G74" s="23" t="n"/>
      <c r="H74" s="23" t="n"/>
      <c r="I74" s="23" t="n"/>
      <c r="J74" s="23" t="n"/>
      <c r="K74" s="23" t="n"/>
      <c r="L74" s="23" t="n"/>
      <c r="M74" s="23" t="n"/>
      <c r="N74" s="23" t="n"/>
      <c r="O74" s="23" t="n"/>
      <c r="P74" s="23" t="n"/>
      <c r="Q74" s="23" t="n"/>
      <c r="R74" s="23" t="n"/>
      <c r="S74" s="23" t="n"/>
      <c r="T74" s="23" t="n"/>
      <c r="U74" s="23" t="n"/>
      <c r="V74" s="23" t="n"/>
      <c r="W74" s="23" t="n"/>
      <c r="X74" s="23" t="n"/>
      <c r="Y74" s="23" t="n"/>
      <c r="Z74" s="23" t="n"/>
      <c r="AA74" s="23" t="n"/>
      <c r="AB74" s="23" t="n"/>
      <c r="AC74" s="23" t="n"/>
      <c r="AD74" s="23" t="n"/>
      <c r="AE74" s="23" t="n"/>
      <c r="AF74" s="23" t="n"/>
      <c r="AG74" s="23" t="n"/>
      <c r="AH74" s="23" t="n"/>
      <c r="AI74" s="23" t="n"/>
      <c r="AJ74" s="23" t="n"/>
      <c r="AK74" s="23" t="n"/>
      <c r="AL74" s="23" t="n"/>
      <c r="AM74" s="26">
        <f>IF(G74="","",G74&amp;"|"&amp;P74)</f>
        <v/>
      </c>
      <c r="AN74" s="27">
        <f>IF(I74="","",IFERROR(DATE(VALUE(RIGHT(I74,4)),VALUE(MID(I74,4,2)),VALUE(LEFT(I74,2))),""))</f>
        <v/>
      </c>
      <c r="AO74" s="27">
        <f>IF(Y74="","",IFERROR(DATE(VALUE(RIGHT(Y74,4)),VALUE(MID(Y74,4,2)),VALUE(LEFT(Y74,2))),""))</f>
        <v/>
      </c>
      <c r="AP74" s="27">
        <f>IF(AC74="","",IFERROR(DATE(VALUE(RIGHT(AC74,4)),VALUE(MID(AC74,4,2)),VALUE(LEFT(AC74,2))),""))</f>
        <v/>
      </c>
      <c r="AQ74" s="26">
        <f>IF(AI74="","",TRIM(LEFT(AI74,FIND(" ",AI74&amp;" ")-1)))</f>
        <v/>
      </c>
      <c r="AR74" s="27">
        <f>IF(AQ74="","",IFERROR(DATE(VALUE(MID(AQ74,FIND("/",AQ74,FIND("/",AQ74)+1)+1,4)),VALUE(LEFT(AQ74,FIND("/",AQ74)-1)),VALUE(MID(AQ74,FIND("/",AQ74)+1,FIND("/",AQ74,FIND("/",AQ74)+1)-FIND("/",AQ74)-1))),""))</f>
        <v/>
      </c>
      <c r="AS74" s="26">
        <f>IF(G74="","",IF(AND(AG74&lt;&gt;"",AG74&lt;&gt;"Bayi Aracı"),"Evet","Hayır"))</f>
        <v/>
      </c>
      <c r="AT74" s="26">
        <f>IF(G74="","",IF(AND(AS74="Evet",T74="Siparişiniz Teslim Edildi"),"Evet","Hayır"))</f>
        <v/>
      </c>
      <c r="AU74" s="26">
        <f>IF(G74="","",IF(AB74="Siparişinizin Montajı Yapıldı","Evet","Hayır"))</f>
        <v/>
      </c>
      <c r="AV74" s="27">
        <f>IF(G74="","",IF(AT74="Evet",AR74,IF(AU74="Evet",AP74,"")))</f>
        <v/>
      </c>
    </row>
    <row r="75">
      <c r="A75" s="23" t="n"/>
      <c r="B75" s="23" t="n"/>
      <c r="C75" s="23" t="n"/>
      <c r="D75" s="23" t="n"/>
      <c r="E75" s="23" t="n"/>
      <c r="F75" s="23" t="n"/>
      <c r="G75" s="23" t="n"/>
      <c r="H75" s="23" t="n"/>
      <c r="I75" s="23" t="n"/>
      <c r="J75" s="23" t="n"/>
      <c r="K75" s="23" t="n"/>
      <c r="L75" s="23" t="n"/>
      <c r="M75" s="23" t="n"/>
      <c r="N75" s="23" t="n"/>
      <c r="O75" s="23" t="n"/>
      <c r="P75" s="23" t="n"/>
      <c r="Q75" s="23" t="n"/>
      <c r="R75" s="23" t="n"/>
      <c r="S75" s="23" t="n"/>
      <c r="T75" s="23" t="n"/>
      <c r="U75" s="23" t="n"/>
      <c r="V75" s="23" t="n"/>
      <c r="W75" s="23" t="n"/>
      <c r="X75" s="23" t="n"/>
      <c r="Y75" s="23" t="n"/>
      <c r="Z75" s="23" t="n"/>
      <c r="AA75" s="23" t="n"/>
      <c r="AB75" s="23" t="n"/>
      <c r="AC75" s="23" t="n"/>
      <c r="AD75" s="23" t="n"/>
      <c r="AE75" s="23" t="n"/>
      <c r="AF75" s="23" t="n"/>
      <c r="AG75" s="23" t="n"/>
      <c r="AH75" s="23" t="n"/>
      <c r="AI75" s="23" t="n"/>
      <c r="AJ75" s="23" t="n"/>
      <c r="AK75" s="23" t="n"/>
      <c r="AL75" s="23" t="n"/>
      <c r="AM75" s="26">
        <f>IF(G75="","",G75&amp;"|"&amp;P75)</f>
        <v/>
      </c>
      <c r="AN75" s="27">
        <f>IF(I75="","",IFERROR(DATE(VALUE(RIGHT(I75,4)),VALUE(MID(I75,4,2)),VALUE(LEFT(I75,2))),""))</f>
        <v/>
      </c>
      <c r="AO75" s="27">
        <f>IF(Y75="","",IFERROR(DATE(VALUE(RIGHT(Y75,4)),VALUE(MID(Y75,4,2)),VALUE(LEFT(Y75,2))),""))</f>
        <v/>
      </c>
      <c r="AP75" s="27">
        <f>IF(AC75="","",IFERROR(DATE(VALUE(RIGHT(AC75,4)),VALUE(MID(AC75,4,2)),VALUE(LEFT(AC75,2))),""))</f>
        <v/>
      </c>
      <c r="AQ75" s="26">
        <f>IF(AI75="","",TRIM(LEFT(AI75,FIND(" ",AI75&amp;" ")-1)))</f>
        <v/>
      </c>
      <c r="AR75" s="27">
        <f>IF(AQ75="","",IFERROR(DATE(VALUE(MID(AQ75,FIND("/",AQ75,FIND("/",AQ75)+1)+1,4)),VALUE(LEFT(AQ75,FIND("/",AQ75)-1)),VALUE(MID(AQ75,FIND("/",AQ75)+1,FIND("/",AQ75,FIND("/",AQ75)+1)-FIND("/",AQ75)-1))),""))</f>
        <v/>
      </c>
      <c r="AS75" s="26">
        <f>IF(G75="","",IF(AND(AG75&lt;&gt;"",AG75&lt;&gt;"Bayi Aracı"),"Evet","Hayır"))</f>
        <v/>
      </c>
      <c r="AT75" s="26">
        <f>IF(G75="","",IF(AND(AS75="Evet",T75="Siparişiniz Teslim Edildi"),"Evet","Hayır"))</f>
        <v/>
      </c>
      <c r="AU75" s="26">
        <f>IF(G75="","",IF(AB75="Siparişinizin Montajı Yapıldı","Evet","Hayır"))</f>
        <v/>
      </c>
      <c r="AV75" s="27">
        <f>IF(G75="","",IF(AT75="Evet",AR75,IF(AU75="Evet",AP75,"")))</f>
        <v/>
      </c>
    </row>
    <row r="76">
      <c r="A76" s="23" t="n"/>
      <c r="B76" s="23" t="n"/>
      <c r="C76" s="23" t="n"/>
      <c r="D76" s="23" t="n"/>
      <c r="E76" s="23" t="n"/>
      <c r="F76" s="23" t="n"/>
      <c r="G76" s="23" t="n"/>
      <c r="H76" s="23" t="n"/>
      <c r="I76" s="23" t="n"/>
      <c r="J76" s="23" t="n"/>
      <c r="K76" s="23" t="n"/>
      <c r="L76" s="23" t="n"/>
      <c r="M76" s="23" t="n"/>
      <c r="N76" s="23" t="n"/>
      <c r="O76" s="23" t="n"/>
      <c r="P76" s="23" t="n"/>
      <c r="Q76" s="23" t="n"/>
      <c r="R76" s="23" t="n"/>
      <c r="S76" s="23" t="n"/>
      <c r="T76" s="23" t="n"/>
      <c r="U76" s="23" t="n"/>
      <c r="V76" s="23" t="n"/>
      <c r="W76" s="23" t="n"/>
      <c r="X76" s="23" t="n"/>
      <c r="Y76" s="23" t="n"/>
      <c r="Z76" s="23" t="n"/>
      <c r="AA76" s="23" t="n"/>
      <c r="AB76" s="23" t="n"/>
      <c r="AC76" s="23" t="n"/>
      <c r="AD76" s="23" t="n"/>
      <c r="AE76" s="23" t="n"/>
      <c r="AF76" s="23" t="n"/>
      <c r="AG76" s="23" t="n"/>
      <c r="AH76" s="23" t="n"/>
      <c r="AI76" s="23" t="n"/>
      <c r="AJ76" s="23" t="n"/>
      <c r="AK76" s="23" t="n"/>
      <c r="AL76" s="23" t="n"/>
      <c r="AM76" s="26">
        <f>IF(G76="","",G76&amp;"|"&amp;P76)</f>
        <v/>
      </c>
      <c r="AN76" s="27">
        <f>IF(I76="","",IFERROR(DATE(VALUE(RIGHT(I76,4)),VALUE(MID(I76,4,2)),VALUE(LEFT(I76,2))),""))</f>
        <v/>
      </c>
      <c r="AO76" s="27">
        <f>IF(Y76="","",IFERROR(DATE(VALUE(RIGHT(Y76,4)),VALUE(MID(Y76,4,2)),VALUE(LEFT(Y76,2))),""))</f>
        <v/>
      </c>
      <c r="AP76" s="27">
        <f>IF(AC76="","",IFERROR(DATE(VALUE(RIGHT(AC76,4)),VALUE(MID(AC76,4,2)),VALUE(LEFT(AC76,2))),""))</f>
        <v/>
      </c>
      <c r="AQ76" s="26">
        <f>IF(AI76="","",TRIM(LEFT(AI76,FIND(" ",AI76&amp;" ")-1)))</f>
        <v/>
      </c>
      <c r="AR76" s="27">
        <f>IF(AQ76="","",IFERROR(DATE(VALUE(MID(AQ76,FIND("/",AQ76,FIND("/",AQ76)+1)+1,4)),VALUE(LEFT(AQ76,FIND("/",AQ76)-1)),VALUE(MID(AQ76,FIND("/",AQ76)+1,FIND("/",AQ76,FIND("/",AQ76)+1)-FIND("/",AQ76)-1))),""))</f>
        <v/>
      </c>
      <c r="AS76" s="26">
        <f>IF(G76="","",IF(AND(AG76&lt;&gt;"",AG76&lt;&gt;"Bayi Aracı"),"Evet","Hayır"))</f>
        <v/>
      </c>
      <c r="AT76" s="26">
        <f>IF(G76="","",IF(AND(AS76="Evet",T76="Siparişiniz Teslim Edildi"),"Evet","Hayır"))</f>
        <v/>
      </c>
      <c r="AU76" s="26">
        <f>IF(G76="","",IF(AB76="Siparişinizin Montajı Yapıldı","Evet","Hayır"))</f>
        <v/>
      </c>
      <c r="AV76" s="27">
        <f>IF(G76="","",IF(AT76="Evet",AR76,IF(AU76="Evet",AP76,"")))</f>
        <v/>
      </c>
    </row>
    <row r="77">
      <c r="A77" s="23" t="n"/>
      <c r="B77" s="23" t="n"/>
      <c r="C77" s="23" t="n"/>
      <c r="D77" s="23" t="n"/>
      <c r="E77" s="23" t="n"/>
      <c r="F77" s="23" t="n"/>
      <c r="G77" s="23" t="n"/>
      <c r="H77" s="23" t="n"/>
      <c r="I77" s="23" t="n"/>
      <c r="J77" s="23" t="n"/>
      <c r="K77" s="23" t="n"/>
      <c r="L77" s="23" t="n"/>
      <c r="M77" s="23" t="n"/>
      <c r="N77" s="23" t="n"/>
      <c r="O77" s="23" t="n"/>
      <c r="P77" s="23" t="n"/>
      <c r="Q77" s="23" t="n"/>
      <c r="R77" s="23" t="n"/>
      <c r="S77" s="23" t="n"/>
      <c r="T77" s="23" t="n"/>
      <c r="U77" s="23" t="n"/>
      <c r="V77" s="23" t="n"/>
      <c r="W77" s="23" t="n"/>
      <c r="X77" s="23" t="n"/>
      <c r="Y77" s="23" t="n"/>
      <c r="Z77" s="23" t="n"/>
      <c r="AA77" s="23" t="n"/>
      <c r="AB77" s="23" t="n"/>
      <c r="AC77" s="23" t="n"/>
      <c r="AD77" s="23" t="n"/>
      <c r="AE77" s="23" t="n"/>
      <c r="AF77" s="23" t="n"/>
      <c r="AG77" s="23" t="n"/>
      <c r="AH77" s="23" t="n"/>
      <c r="AI77" s="23" t="n"/>
      <c r="AJ77" s="23" t="n"/>
      <c r="AK77" s="23" t="n"/>
      <c r="AL77" s="23" t="n"/>
      <c r="AM77" s="26">
        <f>IF(G77="","",G77&amp;"|"&amp;P77)</f>
        <v/>
      </c>
      <c r="AN77" s="27">
        <f>IF(I77="","",IFERROR(DATE(VALUE(RIGHT(I77,4)),VALUE(MID(I77,4,2)),VALUE(LEFT(I77,2))),""))</f>
        <v/>
      </c>
      <c r="AO77" s="27">
        <f>IF(Y77="","",IFERROR(DATE(VALUE(RIGHT(Y77,4)),VALUE(MID(Y77,4,2)),VALUE(LEFT(Y77,2))),""))</f>
        <v/>
      </c>
      <c r="AP77" s="27">
        <f>IF(AC77="","",IFERROR(DATE(VALUE(RIGHT(AC77,4)),VALUE(MID(AC77,4,2)),VALUE(LEFT(AC77,2))),""))</f>
        <v/>
      </c>
      <c r="AQ77" s="26">
        <f>IF(AI77="","",TRIM(LEFT(AI77,FIND(" ",AI77&amp;" ")-1)))</f>
        <v/>
      </c>
      <c r="AR77" s="27">
        <f>IF(AQ77="","",IFERROR(DATE(VALUE(MID(AQ77,FIND("/",AQ77,FIND("/",AQ77)+1)+1,4)),VALUE(LEFT(AQ77,FIND("/",AQ77)-1)),VALUE(MID(AQ77,FIND("/",AQ77)+1,FIND("/",AQ77,FIND("/",AQ77)+1)-FIND("/",AQ77)-1))),""))</f>
        <v/>
      </c>
      <c r="AS77" s="26">
        <f>IF(G77="","",IF(AND(AG77&lt;&gt;"",AG77&lt;&gt;"Bayi Aracı"),"Evet","Hayır"))</f>
        <v/>
      </c>
      <c r="AT77" s="26">
        <f>IF(G77="","",IF(AND(AS77="Evet",T77="Siparişiniz Teslim Edildi"),"Evet","Hayır"))</f>
        <v/>
      </c>
      <c r="AU77" s="26">
        <f>IF(G77="","",IF(AB77="Siparişinizin Montajı Yapıldı","Evet","Hayır"))</f>
        <v/>
      </c>
      <c r="AV77" s="27">
        <f>IF(G77="","",IF(AT77="Evet",AR77,IF(AU77="Evet",AP77,"")))</f>
        <v/>
      </c>
    </row>
    <row r="78">
      <c r="A78" s="23" t="n"/>
      <c r="B78" s="23" t="n"/>
      <c r="C78" s="23" t="n"/>
      <c r="D78" s="23" t="n"/>
      <c r="E78" s="23" t="n"/>
      <c r="F78" s="23" t="n"/>
      <c r="G78" s="23" t="n"/>
      <c r="H78" s="23" t="n"/>
      <c r="I78" s="23" t="n"/>
      <c r="J78" s="23" t="n"/>
      <c r="K78" s="23" t="n"/>
      <c r="L78" s="23" t="n"/>
      <c r="M78" s="23" t="n"/>
      <c r="N78" s="23" t="n"/>
      <c r="O78" s="23" t="n"/>
      <c r="P78" s="23" t="n"/>
      <c r="Q78" s="23" t="n"/>
      <c r="R78" s="23" t="n"/>
      <c r="S78" s="23" t="n"/>
      <c r="T78" s="23" t="n"/>
      <c r="U78" s="23" t="n"/>
      <c r="V78" s="23" t="n"/>
      <c r="W78" s="23" t="n"/>
      <c r="X78" s="23" t="n"/>
      <c r="Y78" s="23" t="n"/>
      <c r="Z78" s="23" t="n"/>
      <c r="AA78" s="23" t="n"/>
      <c r="AB78" s="23" t="n"/>
      <c r="AC78" s="23" t="n"/>
      <c r="AD78" s="23" t="n"/>
      <c r="AE78" s="23" t="n"/>
      <c r="AF78" s="23" t="n"/>
      <c r="AG78" s="23" t="n"/>
      <c r="AH78" s="23" t="n"/>
      <c r="AI78" s="23" t="n"/>
      <c r="AJ78" s="23" t="n"/>
      <c r="AK78" s="23" t="n"/>
      <c r="AL78" s="23" t="n"/>
      <c r="AM78" s="26">
        <f>IF(G78="","",G78&amp;"|"&amp;P78)</f>
        <v/>
      </c>
      <c r="AN78" s="27">
        <f>IF(I78="","",IFERROR(DATE(VALUE(RIGHT(I78,4)),VALUE(MID(I78,4,2)),VALUE(LEFT(I78,2))),""))</f>
        <v/>
      </c>
      <c r="AO78" s="27">
        <f>IF(Y78="","",IFERROR(DATE(VALUE(RIGHT(Y78,4)),VALUE(MID(Y78,4,2)),VALUE(LEFT(Y78,2))),""))</f>
        <v/>
      </c>
      <c r="AP78" s="27">
        <f>IF(AC78="","",IFERROR(DATE(VALUE(RIGHT(AC78,4)),VALUE(MID(AC78,4,2)),VALUE(LEFT(AC78,2))),""))</f>
        <v/>
      </c>
      <c r="AQ78" s="26">
        <f>IF(AI78="","",TRIM(LEFT(AI78,FIND(" ",AI78&amp;" ")-1)))</f>
        <v/>
      </c>
      <c r="AR78" s="27">
        <f>IF(AQ78="","",IFERROR(DATE(VALUE(MID(AQ78,FIND("/",AQ78,FIND("/",AQ78)+1)+1,4)),VALUE(LEFT(AQ78,FIND("/",AQ78)-1)),VALUE(MID(AQ78,FIND("/",AQ78)+1,FIND("/",AQ78,FIND("/",AQ78)+1)-FIND("/",AQ78)-1))),""))</f>
        <v/>
      </c>
      <c r="AS78" s="26">
        <f>IF(G78="","",IF(AND(AG78&lt;&gt;"",AG78&lt;&gt;"Bayi Aracı"),"Evet","Hayır"))</f>
        <v/>
      </c>
      <c r="AT78" s="26">
        <f>IF(G78="","",IF(AND(AS78="Evet",T78="Siparişiniz Teslim Edildi"),"Evet","Hayır"))</f>
        <v/>
      </c>
      <c r="AU78" s="26">
        <f>IF(G78="","",IF(AB78="Siparişinizin Montajı Yapıldı","Evet","Hayır"))</f>
        <v/>
      </c>
      <c r="AV78" s="27">
        <f>IF(G78="","",IF(AT78="Evet",AR78,IF(AU78="Evet",AP78,"")))</f>
        <v/>
      </c>
    </row>
    <row r="79">
      <c r="A79" s="23" t="n"/>
      <c r="B79" s="23" t="n"/>
      <c r="C79" s="23" t="n"/>
      <c r="D79" s="23" t="n"/>
      <c r="E79" s="23" t="n"/>
      <c r="F79" s="23" t="n"/>
      <c r="G79" s="23" t="n"/>
      <c r="H79" s="23" t="n"/>
      <c r="I79" s="23" t="n"/>
      <c r="J79" s="23" t="n"/>
      <c r="K79" s="23" t="n"/>
      <c r="L79" s="23" t="n"/>
      <c r="M79" s="23" t="n"/>
      <c r="N79" s="23" t="n"/>
      <c r="O79" s="23" t="n"/>
      <c r="P79" s="23" t="n"/>
      <c r="Q79" s="23" t="n"/>
      <c r="R79" s="23" t="n"/>
      <c r="S79" s="23" t="n"/>
      <c r="T79" s="23" t="n"/>
      <c r="U79" s="23" t="n"/>
      <c r="V79" s="23" t="n"/>
      <c r="W79" s="23" t="n"/>
      <c r="X79" s="23" t="n"/>
      <c r="Y79" s="23" t="n"/>
      <c r="Z79" s="23" t="n"/>
      <c r="AA79" s="23" t="n"/>
      <c r="AB79" s="23" t="n"/>
      <c r="AC79" s="23" t="n"/>
      <c r="AD79" s="23" t="n"/>
      <c r="AE79" s="23" t="n"/>
      <c r="AF79" s="23" t="n"/>
      <c r="AG79" s="23" t="n"/>
      <c r="AH79" s="23" t="n"/>
      <c r="AI79" s="23" t="n"/>
      <c r="AJ79" s="23" t="n"/>
      <c r="AK79" s="23" t="n"/>
      <c r="AL79" s="23" t="n"/>
      <c r="AM79" s="26">
        <f>IF(G79="","",G79&amp;"|"&amp;P79)</f>
        <v/>
      </c>
      <c r="AN79" s="27">
        <f>IF(I79="","",IFERROR(DATE(VALUE(RIGHT(I79,4)),VALUE(MID(I79,4,2)),VALUE(LEFT(I79,2))),""))</f>
        <v/>
      </c>
      <c r="AO79" s="27">
        <f>IF(Y79="","",IFERROR(DATE(VALUE(RIGHT(Y79,4)),VALUE(MID(Y79,4,2)),VALUE(LEFT(Y79,2))),""))</f>
        <v/>
      </c>
      <c r="AP79" s="27">
        <f>IF(AC79="","",IFERROR(DATE(VALUE(RIGHT(AC79,4)),VALUE(MID(AC79,4,2)),VALUE(LEFT(AC79,2))),""))</f>
        <v/>
      </c>
      <c r="AQ79" s="26">
        <f>IF(AI79="","",TRIM(LEFT(AI79,FIND(" ",AI79&amp;" ")-1)))</f>
        <v/>
      </c>
      <c r="AR79" s="27">
        <f>IF(AQ79="","",IFERROR(DATE(VALUE(MID(AQ79,FIND("/",AQ79,FIND("/",AQ79)+1)+1,4)),VALUE(LEFT(AQ79,FIND("/",AQ79)-1)),VALUE(MID(AQ79,FIND("/",AQ79)+1,FIND("/",AQ79,FIND("/",AQ79)+1)-FIND("/",AQ79)-1))),""))</f>
        <v/>
      </c>
      <c r="AS79" s="26">
        <f>IF(G79="","",IF(AND(AG79&lt;&gt;"",AG79&lt;&gt;"Bayi Aracı"),"Evet","Hayır"))</f>
        <v/>
      </c>
      <c r="AT79" s="26">
        <f>IF(G79="","",IF(AND(AS79="Evet",T79="Siparişiniz Teslim Edildi"),"Evet","Hayır"))</f>
        <v/>
      </c>
      <c r="AU79" s="26">
        <f>IF(G79="","",IF(AB79="Siparişinizin Montajı Yapıldı","Evet","Hayır"))</f>
        <v/>
      </c>
      <c r="AV79" s="27">
        <f>IF(G79="","",IF(AT79="Evet",AR79,IF(AU79="Evet",AP79,"")))</f>
        <v/>
      </c>
    </row>
    <row r="80">
      <c r="A80" s="23" t="n"/>
      <c r="B80" s="23" t="n"/>
      <c r="C80" s="23" t="n"/>
      <c r="D80" s="23" t="n"/>
      <c r="E80" s="23" t="n"/>
      <c r="F80" s="23" t="n"/>
      <c r="G80" s="23" t="n"/>
      <c r="H80" s="23" t="n"/>
      <c r="I80" s="23" t="n"/>
      <c r="J80" s="23" t="n"/>
      <c r="K80" s="23" t="n"/>
      <c r="L80" s="23" t="n"/>
      <c r="M80" s="23" t="n"/>
      <c r="N80" s="23" t="n"/>
      <c r="O80" s="23" t="n"/>
      <c r="P80" s="23" t="n"/>
      <c r="Q80" s="23" t="n"/>
      <c r="R80" s="23" t="n"/>
      <c r="S80" s="23" t="n"/>
      <c r="T80" s="23" t="n"/>
      <c r="U80" s="23" t="n"/>
      <c r="V80" s="23" t="n"/>
      <c r="W80" s="23" t="n"/>
      <c r="X80" s="23" t="n"/>
      <c r="Y80" s="23" t="n"/>
      <c r="Z80" s="23" t="n"/>
      <c r="AA80" s="23" t="n"/>
      <c r="AB80" s="23" t="n"/>
      <c r="AC80" s="23" t="n"/>
      <c r="AD80" s="23" t="n"/>
      <c r="AE80" s="23" t="n"/>
      <c r="AF80" s="23" t="n"/>
      <c r="AG80" s="23" t="n"/>
      <c r="AH80" s="23" t="n"/>
      <c r="AI80" s="23" t="n"/>
      <c r="AJ80" s="23" t="n"/>
      <c r="AK80" s="23" t="n"/>
      <c r="AL80" s="23" t="n"/>
      <c r="AM80" s="26">
        <f>IF(G80="","",G80&amp;"|"&amp;P80)</f>
        <v/>
      </c>
      <c r="AN80" s="27">
        <f>IF(I80="","",IFERROR(DATE(VALUE(RIGHT(I80,4)),VALUE(MID(I80,4,2)),VALUE(LEFT(I80,2))),""))</f>
        <v/>
      </c>
      <c r="AO80" s="27">
        <f>IF(Y80="","",IFERROR(DATE(VALUE(RIGHT(Y80,4)),VALUE(MID(Y80,4,2)),VALUE(LEFT(Y80,2))),""))</f>
        <v/>
      </c>
      <c r="AP80" s="27">
        <f>IF(AC80="","",IFERROR(DATE(VALUE(RIGHT(AC80,4)),VALUE(MID(AC80,4,2)),VALUE(LEFT(AC80,2))),""))</f>
        <v/>
      </c>
      <c r="AQ80" s="26">
        <f>IF(AI80="","",TRIM(LEFT(AI80,FIND(" ",AI80&amp;" ")-1)))</f>
        <v/>
      </c>
      <c r="AR80" s="27">
        <f>IF(AQ80="","",IFERROR(DATE(VALUE(MID(AQ80,FIND("/",AQ80,FIND("/",AQ80)+1)+1,4)),VALUE(LEFT(AQ80,FIND("/",AQ80)-1)),VALUE(MID(AQ80,FIND("/",AQ80)+1,FIND("/",AQ80,FIND("/",AQ80)+1)-FIND("/",AQ80)-1))),""))</f>
        <v/>
      </c>
      <c r="AS80" s="26">
        <f>IF(G80="","",IF(AND(AG80&lt;&gt;"",AG80&lt;&gt;"Bayi Aracı"),"Evet","Hayır"))</f>
        <v/>
      </c>
      <c r="AT80" s="26">
        <f>IF(G80="","",IF(AND(AS80="Evet",T80="Siparişiniz Teslim Edildi"),"Evet","Hayır"))</f>
        <v/>
      </c>
      <c r="AU80" s="26">
        <f>IF(G80="","",IF(AB80="Siparişinizin Montajı Yapıldı","Evet","Hayır"))</f>
        <v/>
      </c>
      <c r="AV80" s="27">
        <f>IF(G80="","",IF(AT80="Evet",AR80,IF(AU80="Evet",AP80,"")))</f>
        <v/>
      </c>
    </row>
    <row r="81">
      <c r="A81" s="23" t="n"/>
      <c r="B81" s="23" t="n"/>
      <c r="C81" s="23" t="n"/>
      <c r="D81" s="23" t="n"/>
      <c r="E81" s="23" t="n"/>
      <c r="F81" s="23" t="n"/>
      <c r="G81" s="23" t="n"/>
      <c r="H81" s="23" t="n"/>
      <c r="I81" s="23" t="n"/>
      <c r="J81" s="23" t="n"/>
      <c r="K81" s="23" t="n"/>
      <c r="L81" s="23" t="n"/>
      <c r="M81" s="23" t="n"/>
      <c r="N81" s="23" t="n"/>
      <c r="O81" s="23" t="n"/>
      <c r="P81" s="23" t="n"/>
      <c r="Q81" s="23" t="n"/>
      <c r="R81" s="23" t="n"/>
      <c r="S81" s="23" t="n"/>
      <c r="T81" s="23" t="n"/>
      <c r="U81" s="23" t="n"/>
      <c r="V81" s="23" t="n"/>
      <c r="W81" s="23" t="n"/>
      <c r="X81" s="23" t="n"/>
      <c r="Y81" s="23" t="n"/>
      <c r="Z81" s="23" t="n"/>
      <c r="AA81" s="23" t="n"/>
      <c r="AB81" s="23" t="n"/>
      <c r="AC81" s="23" t="n"/>
      <c r="AD81" s="23" t="n"/>
      <c r="AE81" s="23" t="n"/>
      <c r="AF81" s="23" t="n"/>
      <c r="AG81" s="23" t="n"/>
      <c r="AH81" s="23" t="n"/>
      <c r="AI81" s="23" t="n"/>
      <c r="AJ81" s="23" t="n"/>
      <c r="AK81" s="23" t="n"/>
      <c r="AL81" s="23" t="n"/>
      <c r="AM81" s="26">
        <f>IF(G81="","",G81&amp;"|"&amp;P81)</f>
        <v/>
      </c>
      <c r="AN81" s="27">
        <f>IF(I81="","",IFERROR(DATE(VALUE(RIGHT(I81,4)),VALUE(MID(I81,4,2)),VALUE(LEFT(I81,2))),""))</f>
        <v/>
      </c>
      <c r="AO81" s="27">
        <f>IF(Y81="","",IFERROR(DATE(VALUE(RIGHT(Y81,4)),VALUE(MID(Y81,4,2)),VALUE(LEFT(Y81,2))),""))</f>
        <v/>
      </c>
      <c r="AP81" s="27">
        <f>IF(AC81="","",IFERROR(DATE(VALUE(RIGHT(AC81,4)),VALUE(MID(AC81,4,2)),VALUE(LEFT(AC81,2))),""))</f>
        <v/>
      </c>
      <c r="AQ81" s="26">
        <f>IF(AI81="","",TRIM(LEFT(AI81,FIND(" ",AI81&amp;" ")-1)))</f>
        <v/>
      </c>
      <c r="AR81" s="27">
        <f>IF(AQ81="","",IFERROR(DATE(VALUE(MID(AQ81,FIND("/",AQ81,FIND("/",AQ81)+1)+1,4)),VALUE(LEFT(AQ81,FIND("/",AQ81)-1)),VALUE(MID(AQ81,FIND("/",AQ81)+1,FIND("/",AQ81,FIND("/",AQ81)+1)-FIND("/",AQ81)-1))),""))</f>
        <v/>
      </c>
      <c r="AS81" s="26">
        <f>IF(G81="","",IF(AND(AG81&lt;&gt;"",AG81&lt;&gt;"Bayi Aracı"),"Evet","Hayır"))</f>
        <v/>
      </c>
      <c r="AT81" s="26">
        <f>IF(G81="","",IF(AND(AS81="Evet",T81="Siparişiniz Teslim Edildi"),"Evet","Hayır"))</f>
        <v/>
      </c>
      <c r="AU81" s="26">
        <f>IF(G81="","",IF(AB81="Siparişinizin Montajı Yapıldı","Evet","Hayır"))</f>
        <v/>
      </c>
      <c r="AV81" s="27">
        <f>IF(G81="","",IF(AT81="Evet",AR81,IF(AU81="Evet",AP81,"")))</f>
        <v/>
      </c>
    </row>
    <row r="82">
      <c r="A82" s="23" t="n"/>
      <c r="B82" s="23" t="n"/>
      <c r="C82" s="23" t="n"/>
      <c r="D82" s="23" t="n"/>
      <c r="E82" s="23" t="n"/>
      <c r="F82" s="23" t="n"/>
      <c r="G82" s="23" t="n"/>
      <c r="H82" s="23" t="n"/>
      <c r="I82" s="23" t="n"/>
      <c r="J82" s="23" t="n"/>
      <c r="K82" s="23" t="n"/>
      <c r="L82" s="23" t="n"/>
      <c r="M82" s="23" t="n"/>
      <c r="N82" s="23" t="n"/>
      <c r="O82" s="23" t="n"/>
      <c r="P82" s="23" t="n"/>
      <c r="Q82" s="23" t="n"/>
      <c r="R82" s="23" t="n"/>
      <c r="S82" s="23" t="n"/>
      <c r="T82" s="23" t="n"/>
      <c r="U82" s="23" t="n"/>
      <c r="V82" s="23" t="n"/>
      <c r="W82" s="23" t="n"/>
      <c r="X82" s="23" t="n"/>
      <c r="Y82" s="23" t="n"/>
      <c r="Z82" s="23" t="n"/>
      <c r="AA82" s="23" t="n"/>
      <c r="AB82" s="23" t="n"/>
      <c r="AC82" s="23" t="n"/>
      <c r="AD82" s="23" t="n"/>
      <c r="AE82" s="23" t="n"/>
      <c r="AF82" s="23" t="n"/>
      <c r="AG82" s="23" t="n"/>
      <c r="AH82" s="23" t="n"/>
      <c r="AI82" s="23" t="n"/>
      <c r="AJ82" s="23" t="n"/>
      <c r="AK82" s="23" t="n"/>
      <c r="AL82" s="23" t="n"/>
      <c r="AM82" s="26">
        <f>IF(G82="","",G82&amp;"|"&amp;P82)</f>
        <v/>
      </c>
      <c r="AN82" s="27">
        <f>IF(I82="","",IFERROR(DATE(VALUE(RIGHT(I82,4)),VALUE(MID(I82,4,2)),VALUE(LEFT(I82,2))),""))</f>
        <v/>
      </c>
      <c r="AO82" s="27">
        <f>IF(Y82="","",IFERROR(DATE(VALUE(RIGHT(Y82,4)),VALUE(MID(Y82,4,2)),VALUE(LEFT(Y82,2))),""))</f>
        <v/>
      </c>
      <c r="AP82" s="27">
        <f>IF(AC82="","",IFERROR(DATE(VALUE(RIGHT(AC82,4)),VALUE(MID(AC82,4,2)),VALUE(LEFT(AC82,2))),""))</f>
        <v/>
      </c>
      <c r="AQ82" s="26">
        <f>IF(AI82="","",TRIM(LEFT(AI82,FIND(" ",AI82&amp;" ")-1)))</f>
        <v/>
      </c>
      <c r="AR82" s="27">
        <f>IF(AQ82="","",IFERROR(DATE(VALUE(MID(AQ82,FIND("/",AQ82,FIND("/",AQ82)+1)+1,4)),VALUE(LEFT(AQ82,FIND("/",AQ82)-1)),VALUE(MID(AQ82,FIND("/",AQ82)+1,FIND("/",AQ82,FIND("/",AQ82)+1)-FIND("/",AQ82)-1))),""))</f>
        <v/>
      </c>
      <c r="AS82" s="26">
        <f>IF(G82="","",IF(AND(AG82&lt;&gt;"",AG82&lt;&gt;"Bayi Aracı"),"Evet","Hayır"))</f>
        <v/>
      </c>
      <c r="AT82" s="26">
        <f>IF(G82="","",IF(AND(AS82="Evet",T82="Siparişiniz Teslim Edildi"),"Evet","Hayır"))</f>
        <v/>
      </c>
      <c r="AU82" s="26">
        <f>IF(G82="","",IF(AB82="Siparişinizin Montajı Yapıldı","Evet","Hayır"))</f>
        <v/>
      </c>
      <c r="AV82" s="27">
        <f>IF(G82="","",IF(AT82="Evet",AR82,IF(AU82="Evet",AP82,"")))</f>
        <v/>
      </c>
    </row>
    <row r="83">
      <c r="A83" s="23" t="n"/>
      <c r="B83" s="23" t="n"/>
      <c r="C83" s="23" t="n"/>
      <c r="D83" s="23" t="n"/>
      <c r="E83" s="23" t="n"/>
      <c r="F83" s="23" t="n"/>
      <c r="G83" s="23" t="n"/>
      <c r="H83" s="23" t="n"/>
      <c r="I83" s="23" t="n"/>
      <c r="J83" s="23" t="n"/>
      <c r="K83" s="23" t="n"/>
      <c r="L83" s="23" t="n"/>
      <c r="M83" s="23" t="n"/>
      <c r="N83" s="23" t="n"/>
      <c r="O83" s="23" t="n"/>
      <c r="P83" s="23" t="n"/>
      <c r="Q83" s="23" t="n"/>
      <c r="R83" s="23" t="n"/>
      <c r="S83" s="23" t="n"/>
      <c r="T83" s="23" t="n"/>
      <c r="U83" s="23" t="n"/>
      <c r="V83" s="23" t="n"/>
      <c r="W83" s="23" t="n"/>
      <c r="X83" s="23" t="n"/>
      <c r="Y83" s="23" t="n"/>
      <c r="Z83" s="23" t="n"/>
      <c r="AA83" s="23" t="n"/>
      <c r="AB83" s="23" t="n"/>
      <c r="AC83" s="23" t="n"/>
      <c r="AD83" s="23" t="n"/>
      <c r="AE83" s="23" t="n"/>
      <c r="AF83" s="23" t="n"/>
      <c r="AG83" s="23" t="n"/>
      <c r="AH83" s="23" t="n"/>
      <c r="AI83" s="23" t="n"/>
      <c r="AJ83" s="23" t="n"/>
      <c r="AK83" s="23" t="n"/>
      <c r="AL83" s="23" t="n"/>
      <c r="AM83" s="26">
        <f>IF(G83="","",G83&amp;"|"&amp;P83)</f>
        <v/>
      </c>
      <c r="AN83" s="27">
        <f>IF(I83="","",IFERROR(DATE(VALUE(RIGHT(I83,4)),VALUE(MID(I83,4,2)),VALUE(LEFT(I83,2))),""))</f>
        <v/>
      </c>
      <c r="AO83" s="27">
        <f>IF(Y83="","",IFERROR(DATE(VALUE(RIGHT(Y83,4)),VALUE(MID(Y83,4,2)),VALUE(LEFT(Y83,2))),""))</f>
        <v/>
      </c>
      <c r="AP83" s="27">
        <f>IF(AC83="","",IFERROR(DATE(VALUE(RIGHT(AC83,4)),VALUE(MID(AC83,4,2)),VALUE(LEFT(AC83,2))),""))</f>
        <v/>
      </c>
      <c r="AQ83" s="26">
        <f>IF(AI83="","",TRIM(LEFT(AI83,FIND(" ",AI83&amp;" ")-1)))</f>
        <v/>
      </c>
      <c r="AR83" s="27">
        <f>IF(AQ83="","",IFERROR(DATE(VALUE(MID(AQ83,FIND("/",AQ83,FIND("/",AQ83)+1)+1,4)),VALUE(LEFT(AQ83,FIND("/",AQ83)-1)),VALUE(MID(AQ83,FIND("/",AQ83)+1,FIND("/",AQ83,FIND("/",AQ83)+1)-FIND("/",AQ83)-1))),""))</f>
        <v/>
      </c>
      <c r="AS83" s="26">
        <f>IF(G83="","",IF(AND(AG83&lt;&gt;"",AG83&lt;&gt;"Bayi Aracı"),"Evet","Hayır"))</f>
        <v/>
      </c>
      <c r="AT83" s="26">
        <f>IF(G83="","",IF(AND(AS83="Evet",T83="Siparişiniz Teslim Edildi"),"Evet","Hayır"))</f>
        <v/>
      </c>
      <c r="AU83" s="26">
        <f>IF(G83="","",IF(AB83="Siparişinizin Montajı Yapıldı","Evet","Hayır"))</f>
        <v/>
      </c>
      <c r="AV83" s="27">
        <f>IF(G83="","",IF(AT83="Evet",AR83,IF(AU83="Evet",AP83,"")))</f>
        <v/>
      </c>
    </row>
    <row r="84">
      <c r="A84" s="23" t="n"/>
      <c r="B84" s="23" t="n"/>
      <c r="C84" s="23" t="n"/>
      <c r="D84" s="23" t="n"/>
      <c r="E84" s="23" t="n"/>
      <c r="F84" s="23" t="n"/>
      <c r="G84" s="23" t="n"/>
      <c r="H84" s="23" t="n"/>
      <c r="I84" s="23" t="n"/>
      <c r="J84" s="23" t="n"/>
      <c r="K84" s="23" t="n"/>
      <c r="L84" s="23" t="n"/>
      <c r="M84" s="23" t="n"/>
      <c r="N84" s="23" t="n"/>
      <c r="O84" s="23" t="n"/>
      <c r="P84" s="23" t="n"/>
      <c r="Q84" s="23" t="n"/>
      <c r="R84" s="23" t="n"/>
      <c r="S84" s="23" t="n"/>
      <c r="T84" s="23" t="n"/>
      <c r="U84" s="23" t="n"/>
      <c r="V84" s="23" t="n"/>
      <c r="W84" s="23" t="n"/>
      <c r="X84" s="23" t="n"/>
      <c r="Y84" s="23" t="n"/>
      <c r="Z84" s="23" t="n"/>
      <c r="AA84" s="23" t="n"/>
      <c r="AB84" s="23" t="n"/>
      <c r="AC84" s="23" t="n"/>
      <c r="AD84" s="23" t="n"/>
      <c r="AE84" s="23" t="n"/>
      <c r="AF84" s="23" t="n"/>
      <c r="AG84" s="23" t="n"/>
      <c r="AH84" s="23" t="n"/>
      <c r="AI84" s="23" t="n"/>
      <c r="AJ84" s="23" t="n"/>
      <c r="AK84" s="23" t="n"/>
      <c r="AL84" s="23" t="n"/>
      <c r="AM84" s="26">
        <f>IF(G84="","",G84&amp;"|"&amp;P84)</f>
        <v/>
      </c>
      <c r="AN84" s="27">
        <f>IF(I84="","",IFERROR(DATE(VALUE(RIGHT(I84,4)),VALUE(MID(I84,4,2)),VALUE(LEFT(I84,2))),""))</f>
        <v/>
      </c>
      <c r="AO84" s="27">
        <f>IF(Y84="","",IFERROR(DATE(VALUE(RIGHT(Y84,4)),VALUE(MID(Y84,4,2)),VALUE(LEFT(Y84,2))),""))</f>
        <v/>
      </c>
      <c r="AP84" s="27">
        <f>IF(AC84="","",IFERROR(DATE(VALUE(RIGHT(AC84,4)),VALUE(MID(AC84,4,2)),VALUE(LEFT(AC84,2))),""))</f>
        <v/>
      </c>
      <c r="AQ84" s="26">
        <f>IF(AI84="","",TRIM(LEFT(AI84,FIND(" ",AI84&amp;" ")-1)))</f>
        <v/>
      </c>
      <c r="AR84" s="27">
        <f>IF(AQ84="","",IFERROR(DATE(VALUE(MID(AQ84,FIND("/",AQ84,FIND("/",AQ84)+1)+1,4)),VALUE(LEFT(AQ84,FIND("/",AQ84)-1)),VALUE(MID(AQ84,FIND("/",AQ84)+1,FIND("/",AQ84,FIND("/",AQ84)+1)-FIND("/",AQ84)-1))),""))</f>
        <v/>
      </c>
      <c r="AS84" s="26">
        <f>IF(G84="","",IF(AND(AG84&lt;&gt;"",AG84&lt;&gt;"Bayi Aracı"),"Evet","Hayır"))</f>
        <v/>
      </c>
      <c r="AT84" s="26">
        <f>IF(G84="","",IF(AND(AS84="Evet",T84="Siparişiniz Teslim Edildi"),"Evet","Hayır"))</f>
        <v/>
      </c>
      <c r="AU84" s="26">
        <f>IF(G84="","",IF(AB84="Siparişinizin Montajı Yapıldı","Evet","Hayır"))</f>
        <v/>
      </c>
      <c r="AV84" s="27">
        <f>IF(G84="","",IF(AT84="Evet",AR84,IF(AU84="Evet",AP84,"")))</f>
        <v/>
      </c>
    </row>
    <row r="85">
      <c r="A85" s="23" t="n"/>
      <c r="B85" s="23" t="n"/>
      <c r="C85" s="23" t="n"/>
      <c r="D85" s="23" t="n"/>
      <c r="E85" s="23" t="n"/>
      <c r="F85" s="23" t="n"/>
      <c r="G85" s="23" t="n"/>
      <c r="H85" s="23" t="n"/>
      <c r="I85" s="23" t="n"/>
      <c r="J85" s="23" t="n"/>
      <c r="K85" s="23" t="n"/>
      <c r="L85" s="23" t="n"/>
      <c r="M85" s="23" t="n"/>
      <c r="N85" s="23" t="n"/>
      <c r="O85" s="23" t="n"/>
      <c r="P85" s="23" t="n"/>
      <c r="Q85" s="23" t="n"/>
      <c r="R85" s="23" t="n"/>
      <c r="S85" s="23" t="n"/>
      <c r="T85" s="23" t="n"/>
      <c r="U85" s="23" t="n"/>
      <c r="V85" s="23" t="n"/>
      <c r="W85" s="23" t="n"/>
      <c r="X85" s="23" t="n"/>
      <c r="Y85" s="23" t="n"/>
      <c r="Z85" s="23" t="n"/>
      <c r="AA85" s="23" t="n"/>
      <c r="AB85" s="23" t="n"/>
      <c r="AC85" s="23" t="n"/>
      <c r="AD85" s="23" t="n"/>
      <c r="AE85" s="23" t="n"/>
      <c r="AF85" s="23" t="n"/>
      <c r="AG85" s="23" t="n"/>
      <c r="AH85" s="23" t="n"/>
      <c r="AI85" s="23" t="n"/>
      <c r="AJ85" s="23" t="n"/>
      <c r="AK85" s="23" t="n"/>
      <c r="AL85" s="23" t="n"/>
      <c r="AM85" s="26">
        <f>IF(G85="","",G85&amp;"|"&amp;P85)</f>
        <v/>
      </c>
      <c r="AN85" s="27">
        <f>IF(I85="","",IFERROR(DATE(VALUE(RIGHT(I85,4)),VALUE(MID(I85,4,2)),VALUE(LEFT(I85,2))),""))</f>
        <v/>
      </c>
      <c r="AO85" s="27">
        <f>IF(Y85="","",IFERROR(DATE(VALUE(RIGHT(Y85,4)),VALUE(MID(Y85,4,2)),VALUE(LEFT(Y85,2))),""))</f>
        <v/>
      </c>
      <c r="AP85" s="27">
        <f>IF(AC85="","",IFERROR(DATE(VALUE(RIGHT(AC85,4)),VALUE(MID(AC85,4,2)),VALUE(LEFT(AC85,2))),""))</f>
        <v/>
      </c>
      <c r="AQ85" s="26">
        <f>IF(AI85="","",TRIM(LEFT(AI85,FIND(" ",AI85&amp;" ")-1)))</f>
        <v/>
      </c>
      <c r="AR85" s="27">
        <f>IF(AQ85="","",IFERROR(DATE(VALUE(MID(AQ85,FIND("/",AQ85,FIND("/",AQ85)+1)+1,4)),VALUE(LEFT(AQ85,FIND("/",AQ85)-1)),VALUE(MID(AQ85,FIND("/",AQ85)+1,FIND("/",AQ85,FIND("/",AQ85)+1)-FIND("/",AQ85)-1))),""))</f>
        <v/>
      </c>
      <c r="AS85" s="26">
        <f>IF(G85="","",IF(AND(AG85&lt;&gt;"",AG85&lt;&gt;"Bayi Aracı"),"Evet","Hayır"))</f>
        <v/>
      </c>
      <c r="AT85" s="26">
        <f>IF(G85="","",IF(AND(AS85="Evet",T85="Siparişiniz Teslim Edildi"),"Evet","Hayır"))</f>
        <v/>
      </c>
      <c r="AU85" s="26">
        <f>IF(G85="","",IF(AB85="Siparişinizin Montajı Yapıldı","Evet","Hayır"))</f>
        <v/>
      </c>
      <c r="AV85" s="27">
        <f>IF(G85="","",IF(AT85="Evet",AR85,IF(AU85="Evet",AP85,"")))</f>
        <v/>
      </c>
    </row>
    <row r="86">
      <c r="A86" s="23" t="n"/>
      <c r="B86" s="23" t="n"/>
      <c r="C86" s="23" t="n"/>
      <c r="D86" s="23" t="n"/>
      <c r="E86" s="23" t="n"/>
      <c r="F86" s="23" t="n"/>
      <c r="G86" s="23" t="n"/>
      <c r="H86" s="23" t="n"/>
      <c r="I86" s="23" t="n"/>
      <c r="J86" s="23" t="n"/>
      <c r="K86" s="23" t="n"/>
      <c r="L86" s="23" t="n"/>
      <c r="M86" s="23" t="n"/>
      <c r="N86" s="23" t="n"/>
      <c r="O86" s="23" t="n"/>
      <c r="P86" s="23" t="n"/>
      <c r="Q86" s="23" t="n"/>
      <c r="R86" s="23" t="n"/>
      <c r="S86" s="23" t="n"/>
      <c r="T86" s="23" t="n"/>
      <c r="U86" s="23" t="n"/>
      <c r="V86" s="23" t="n"/>
      <c r="W86" s="23" t="n"/>
      <c r="X86" s="23" t="n"/>
      <c r="Y86" s="23" t="n"/>
      <c r="Z86" s="23" t="n"/>
      <c r="AA86" s="23" t="n"/>
      <c r="AB86" s="23" t="n"/>
      <c r="AC86" s="23" t="n"/>
      <c r="AD86" s="23" t="n"/>
      <c r="AE86" s="23" t="n"/>
      <c r="AF86" s="23" t="n"/>
      <c r="AG86" s="23" t="n"/>
      <c r="AH86" s="23" t="n"/>
      <c r="AI86" s="23" t="n"/>
      <c r="AJ86" s="23" t="n"/>
      <c r="AK86" s="23" t="n"/>
      <c r="AL86" s="23" t="n"/>
      <c r="AM86" s="26">
        <f>IF(G86="","",G86&amp;"|"&amp;P86)</f>
        <v/>
      </c>
      <c r="AN86" s="27">
        <f>IF(I86="","",IFERROR(DATE(VALUE(RIGHT(I86,4)),VALUE(MID(I86,4,2)),VALUE(LEFT(I86,2))),""))</f>
        <v/>
      </c>
      <c r="AO86" s="27">
        <f>IF(Y86="","",IFERROR(DATE(VALUE(RIGHT(Y86,4)),VALUE(MID(Y86,4,2)),VALUE(LEFT(Y86,2))),""))</f>
        <v/>
      </c>
      <c r="AP86" s="27">
        <f>IF(AC86="","",IFERROR(DATE(VALUE(RIGHT(AC86,4)),VALUE(MID(AC86,4,2)),VALUE(LEFT(AC86,2))),""))</f>
        <v/>
      </c>
      <c r="AQ86" s="26">
        <f>IF(AI86="","",TRIM(LEFT(AI86,FIND(" ",AI86&amp;" ")-1)))</f>
        <v/>
      </c>
      <c r="AR86" s="27">
        <f>IF(AQ86="","",IFERROR(DATE(VALUE(MID(AQ86,FIND("/",AQ86,FIND("/",AQ86)+1)+1,4)),VALUE(LEFT(AQ86,FIND("/",AQ86)-1)),VALUE(MID(AQ86,FIND("/",AQ86)+1,FIND("/",AQ86,FIND("/",AQ86)+1)-FIND("/",AQ86)-1))),""))</f>
        <v/>
      </c>
      <c r="AS86" s="26">
        <f>IF(G86="","",IF(AND(AG86&lt;&gt;"",AG86&lt;&gt;"Bayi Aracı"),"Evet","Hayır"))</f>
        <v/>
      </c>
      <c r="AT86" s="26">
        <f>IF(G86="","",IF(AND(AS86="Evet",T86="Siparişiniz Teslim Edildi"),"Evet","Hayır"))</f>
        <v/>
      </c>
      <c r="AU86" s="26">
        <f>IF(G86="","",IF(AB86="Siparişinizin Montajı Yapıldı","Evet","Hayır"))</f>
        <v/>
      </c>
      <c r="AV86" s="27">
        <f>IF(G86="","",IF(AT86="Evet",AR86,IF(AU86="Evet",AP86,"")))</f>
        <v/>
      </c>
    </row>
    <row r="87">
      <c r="A87" s="23" t="n"/>
      <c r="B87" s="23" t="n"/>
      <c r="C87" s="23" t="n"/>
      <c r="D87" s="23" t="n"/>
      <c r="E87" s="23" t="n"/>
      <c r="F87" s="23" t="n"/>
      <c r="G87" s="23" t="n"/>
      <c r="H87" s="23" t="n"/>
      <c r="I87" s="23" t="n"/>
      <c r="J87" s="23" t="n"/>
      <c r="K87" s="23" t="n"/>
      <c r="L87" s="23" t="n"/>
      <c r="M87" s="23" t="n"/>
      <c r="N87" s="23" t="n"/>
      <c r="O87" s="23" t="n"/>
      <c r="P87" s="23" t="n"/>
      <c r="Q87" s="23" t="n"/>
      <c r="R87" s="23" t="n"/>
      <c r="S87" s="23" t="n"/>
      <c r="T87" s="23" t="n"/>
      <c r="U87" s="23" t="n"/>
      <c r="V87" s="23" t="n"/>
      <c r="W87" s="23" t="n"/>
      <c r="X87" s="23" t="n"/>
      <c r="Y87" s="23" t="n"/>
      <c r="Z87" s="23" t="n"/>
      <c r="AA87" s="23" t="n"/>
      <c r="AB87" s="23" t="n"/>
      <c r="AC87" s="23" t="n"/>
      <c r="AD87" s="23" t="n"/>
      <c r="AE87" s="23" t="n"/>
      <c r="AF87" s="23" t="n"/>
      <c r="AG87" s="23" t="n"/>
      <c r="AH87" s="23" t="n"/>
      <c r="AI87" s="23" t="n"/>
      <c r="AJ87" s="23" t="n"/>
      <c r="AK87" s="23" t="n"/>
      <c r="AL87" s="23" t="n"/>
      <c r="AM87" s="26">
        <f>IF(G87="","",G87&amp;"|"&amp;P87)</f>
        <v/>
      </c>
      <c r="AN87" s="27">
        <f>IF(I87="","",IFERROR(DATE(VALUE(RIGHT(I87,4)),VALUE(MID(I87,4,2)),VALUE(LEFT(I87,2))),""))</f>
        <v/>
      </c>
      <c r="AO87" s="27">
        <f>IF(Y87="","",IFERROR(DATE(VALUE(RIGHT(Y87,4)),VALUE(MID(Y87,4,2)),VALUE(LEFT(Y87,2))),""))</f>
        <v/>
      </c>
      <c r="AP87" s="27">
        <f>IF(AC87="","",IFERROR(DATE(VALUE(RIGHT(AC87,4)),VALUE(MID(AC87,4,2)),VALUE(LEFT(AC87,2))),""))</f>
        <v/>
      </c>
      <c r="AQ87" s="26">
        <f>IF(AI87="","",TRIM(LEFT(AI87,FIND(" ",AI87&amp;" ")-1)))</f>
        <v/>
      </c>
      <c r="AR87" s="27">
        <f>IF(AQ87="","",IFERROR(DATE(VALUE(MID(AQ87,FIND("/",AQ87,FIND("/",AQ87)+1)+1,4)),VALUE(LEFT(AQ87,FIND("/",AQ87)-1)),VALUE(MID(AQ87,FIND("/",AQ87)+1,FIND("/",AQ87,FIND("/",AQ87)+1)-FIND("/",AQ87)-1))),""))</f>
        <v/>
      </c>
      <c r="AS87" s="26">
        <f>IF(G87="","",IF(AND(AG87&lt;&gt;"",AG87&lt;&gt;"Bayi Aracı"),"Evet","Hayır"))</f>
        <v/>
      </c>
      <c r="AT87" s="26">
        <f>IF(G87="","",IF(AND(AS87="Evet",T87="Siparişiniz Teslim Edildi"),"Evet","Hayır"))</f>
        <v/>
      </c>
      <c r="AU87" s="26">
        <f>IF(G87="","",IF(AB87="Siparişinizin Montajı Yapıldı","Evet","Hayır"))</f>
        <v/>
      </c>
      <c r="AV87" s="27">
        <f>IF(G87="","",IF(AT87="Evet",AR87,IF(AU87="Evet",AP87,"")))</f>
        <v/>
      </c>
    </row>
    <row r="88">
      <c r="A88" s="23" t="n"/>
      <c r="B88" s="23" t="n"/>
      <c r="C88" s="23" t="n"/>
      <c r="D88" s="23" t="n"/>
      <c r="E88" s="23" t="n"/>
      <c r="F88" s="23" t="n"/>
      <c r="G88" s="23" t="n"/>
      <c r="H88" s="23" t="n"/>
      <c r="I88" s="23" t="n"/>
      <c r="J88" s="23" t="n"/>
      <c r="K88" s="23" t="n"/>
      <c r="L88" s="23" t="n"/>
      <c r="M88" s="23" t="n"/>
      <c r="N88" s="23" t="n"/>
      <c r="O88" s="23" t="n"/>
      <c r="P88" s="23" t="n"/>
      <c r="Q88" s="23" t="n"/>
      <c r="R88" s="23" t="n"/>
      <c r="S88" s="23" t="n"/>
      <c r="T88" s="23" t="n"/>
      <c r="U88" s="23" t="n"/>
      <c r="V88" s="23" t="n"/>
      <c r="W88" s="23" t="n"/>
      <c r="X88" s="23" t="n"/>
      <c r="Y88" s="23" t="n"/>
      <c r="Z88" s="23" t="n"/>
      <c r="AA88" s="23" t="n"/>
      <c r="AB88" s="23" t="n"/>
      <c r="AC88" s="23" t="n"/>
      <c r="AD88" s="23" t="n"/>
      <c r="AE88" s="23" t="n"/>
      <c r="AF88" s="23" t="n"/>
      <c r="AG88" s="23" t="n"/>
      <c r="AH88" s="23" t="n"/>
      <c r="AI88" s="23" t="n"/>
      <c r="AJ88" s="23" t="n"/>
      <c r="AK88" s="23" t="n"/>
      <c r="AL88" s="23" t="n"/>
      <c r="AM88" s="26">
        <f>IF(G88="","",G88&amp;"|"&amp;P88)</f>
        <v/>
      </c>
      <c r="AN88" s="27">
        <f>IF(I88="","",IFERROR(DATE(VALUE(RIGHT(I88,4)),VALUE(MID(I88,4,2)),VALUE(LEFT(I88,2))),""))</f>
        <v/>
      </c>
      <c r="AO88" s="27">
        <f>IF(Y88="","",IFERROR(DATE(VALUE(RIGHT(Y88,4)),VALUE(MID(Y88,4,2)),VALUE(LEFT(Y88,2))),""))</f>
        <v/>
      </c>
      <c r="AP88" s="27">
        <f>IF(AC88="","",IFERROR(DATE(VALUE(RIGHT(AC88,4)),VALUE(MID(AC88,4,2)),VALUE(LEFT(AC88,2))),""))</f>
        <v/>
      </c>
      <c r="AQ88" s="26">
        <f>IF(AI88="","",TRIM(LEFT(AI88,FIND(" ",AI88&amp;" ")-1)))</f>
        <v/>
      </c>
      <c r="AR88" s="27">
        <f>IF(AQ88="","",IFERROR(DATE(VALUE(MID(AQ88,FIND("/",AQ88,FIND("/",AQ88)+1)+1,4)),VALUE(LEFT(AQ88,FIND("/",AQ88)-1)),VALUE(MID(AQ88,FIND("/",AQ88)+1,FIND("/",AQ88,FIND("/",AQ88)+1)-FIND("/",AQ88)-1))),""))</f>
        <v/>
      </c>
      <c r="AS88" s="26">
        <f>IF(G88="","",IF(AND(AG88&lt;&gt;"",AG88&lt;&gt;"Bayi Aracı"),"Evet","Hayır"))</f>
        <v/>
      </c>
      <c r="AT88" s="26">
        <f>IF(G88="","",IF(AND(AS88="Evet",T88="Siparişiniz Teslim Edildi"),"Evet","Hayır"))</f>
        <v/>
      </c>
      <c r="AU88" s="26">
        <f>IF(G88="","",IF(AB88="Siparişinizin Montajı Yapıldı","Evet","Hayır"))</f>
        <v/>
      </c>
      <c r="AV88" s="27">
        <f>IF(G88="","",IF(AT88="Evet",AR88,IF(AU88="Evet",AP88,"")))</f>
        <v/>
      </c>
    </row>
    <row r="89">
      <c r="A89" s="23" t="n"/>
      <c r="B89" s="23" t="n"/>
      <c r="C89" s="23" t="n"/>
      <c r="D89" s="23" t="n"/>
      <c r="E89" s="23" t="n"/>
      <c r="F89" s="23" t="n"/>
      <c r="G89" s="23" t="n"/>
      <c r="H89" s="23" t="n"/>
      <c r="I89" s="23" t="n"/>
      <c r="J89" s="23" t="n"/>
      <c r="K89" s="23" t="n"/>
      <c r="L89" s="23" t="n"/>
      <c r="M89" s="23" t="n"/>
      <c r="N89" s="23" t="n"/>
      <c r="O89" s="23" t="n"/>
      <c r="P89" s="23" t="n"/>
      <c r="Q89" s="23" t="n"/>
      <c r="R89" s="23" t="n"/>
      <c r="S89" s="23" t="n"/>
      <c r="T89" s="23" t="n"/>
      <c r="U89" s="23" t="n"/>
      <c r="V89" s="23" t="n"/>
      <c r="W89" s="23" t="n"/>
      <c r="X89" s="23" t="n"/>
      <c r="Y89" s="23" t="n"/>
      <c r="Z89" s="23" t="n"/>
      <c r="AA89" s="23" t="n"/>
      <c r="AB89" s="23" t="n"/>
      <c r="AC89" s="23" t="n"/>
      <c r="AD89" s="23" t="n"/>
      <c r="AE89" s="23" t="n"/>
      <c r="AF89" s="23" t="n"/>
      <c r="AG89" s="23" t="n"/>
      <c r="AH89" s="23" t="n"/>
      <c r="AI89" s="23" t="n"/>
      <c r="AJ89" s="23" t="n"/>
      <c r="AK89" s="23" t="n"/>
      <c r="AL89" s="23" t="n"/>
      <c r="AM89" s="26">
        <f>IF(G89="","",G89&amp;"|"&amp;P89)</f>
        <v/>
      </c>
      <c r="AN89" s="27">
        <f>IF(I89="","",IFERROR(DATE(VALUE(RIGHT(I89,4)),VALUE(MID(I89,4,2)),VALUE(LEFT(I89,2))),""))</f>
        <v/>
      </c>
      <c r="AO89" s="27">
        <f>IF(Y89="","",IFERROR(DATE(VALUE(RIGHT(Y89,4)),VALUE(MID(Y89,4,2)),VALUE(LEFT(Y89,2))),""))</f>
        <v/>
      </c>
      <c r="AP89" s="27">
        <f>IF(AC89="","",IFERROR(DATE(VALUE(RIGHT(AC89,4)),VALUE(MID(AC89,4,2)),VALUE(LEFT(AC89,2))),""))</f>
        <v/>
      </c>
      <c r="AQ89" s="26">
        <f>IF(AI89="","",TRIM(LEFT(AI89,FIND(" ",AI89&amp;" ")-1)))</f>
        <v/>
      </c>
      <c r="AR89" s="27">
        <f>IF(AQ89="","",IFERROR(DATE(VALUE(MID(AQ89,FIND("/",AQ89,FIND("/",AQ89)+1)+1,4)),VALUE(LEFT(AQ89,FIND("/",AQ89)-1)),VALUE(MID(AQ89,FIND("/",AQ89)+1,FIND("/",AQ89,FIND("/",AQ89)+1)-FIND("/",AQ89)-1))),""))</f>
        <v/>
      </c>
      <c r="AS89" s="26">
        <f>IF(G89="","",IF(AND(AG89&lt;&gt;"",AG89&lt;&gt;"Bayi Aracı"),"Evet","Hayır"))</f>
        <v/>
      </c>
      <c r="AT89" s="26">
        <f>IF(G89="","",IF(AND(AS89="Evet",T89="Siparişiniz Teslim Edildi"),"Evet","Hayır"))</f>
        <v/>
      </c>
      <c r="AU89" s="26">
        <f>IF(G89="","",IF(AB89="Siparişinizin Montajı Yapıldı","Evet","Hayır"))</f>
        <v/>
      </c>
      <c r="AV89" s="27">
        <f>IF(G89="","",IF(AT89="Evet",AR89,IF(AU89="Evet",AP89,"")))</f>
        <v/>
      </c>
    </row>
    <row r="90">
      <c r="A90" s="23" t="n"/>
      <c r="B90" s="23" t="n"/>
      <c r="C90" s="23" t="n"/>
      <c r="D90" s="23" t="n"/>
      <c r="E90" s="23" t="n"/>
      <c r="F90" s="23" t="n"/>
      <c r="G90" s="23" t="n"/>
      <c r="H90" s="23" t="n"/>
      <c r="I90" s="23" t="n"/>
      <c r="J90" s="23" t="n"/>
      <c r="K90" s="23" t="n"/>
      <c r="L90" s="23" t="n"/>
      <c r="M90" s="23" t="n"/>
      <c r="N90" s="23" t="n"/>
      <c r="O90" s="23" t="n"/>
      <c r="P90" s="23" t="n"/>
      <c r="Q90" s="23" t="n"/>
      <c r="R90" s="23" t="n"/>
      <c r="S90" s="23" t="n"/>
      <c r="T90" s="23" t="n"/>
      <c r="U90" s="23" t="n"/>
      <c r="V90" s="23" t="n"/>
      <c r="W90" s="23" t="n"/>
      <c r="X90" s="23" t="n"/>
      <c r="Y90" s="23" t="n"/>
      <c r="Z90" s="23" t="n"/>
      <c r="AA90" s="23" t="n"/>
      <c r="AB90" s="23" t="n"/>
      <c r="AC90" s="23" t="n"/>
      <c r="AD90" s="23" t="n"/>
      <c r="AE90" s="23" t="n"/>
      <c r="AF90" s="23" t="n"/>
      <c r="AG90" s="23" t="n"/>
      <c r="AH90" s="23" t="n"/>
      <c r="AI90" s="23" t="n"/>
      <c r="AJ90" s="23" t="n"/>
      <c r="AK90" s="23" t="n"/>
      <c r="AL90" s="23" t="n"/>
      <c r="AM90" s="26">
        <f>IF(G90="","",G90&amp;"|"&amp;P90)</f>
        <v/>
      </c>
      <c r="AN90" s="27">
        <f>IF(I90="","",IFERROR(DATE(VALUE(RIGHT(I90,4)),VALUE(MID(I90,4,2)),VALUE(LEFT(I90,2))),""))</f>
        <v/>
      </c>
      <c r="AO90" s="27">
        <f>IF(Y90="","",IFERROR(DATE(VALUE(RIGHT(Y90,4)),VALUE(MID(Y90,4,2)),VALUE(LEFT(Y90,2))),""))</f>
        <v/>
      </c>
      <c r="AP90" s="27">
        <f>IF(AC90="","",IFERROR(DATE(VALUE(RIGHT(AC90,4)),VALUE(MID(AC90,4,2)),VALUE(LEFT(AC90,2))),""))</f>
        <v/>
      </c>
      <c r="AQ90" s="26">
        <f>IF(AI90="","",TRIM(LEFT(AI90,FIND(" ",AI90&amp;" ")-1)))</f>
        <v/>
      </c>
      <c r="AR90" s="27">
        <f>IF(AQ90="","",IFERROR(DATE(VALUE(MID(AQ90,FIND("/",AQ90,FIND("/",AQ90)+1)+1,4)),VALUE(LEFT(AQ90,FIND("/",AQ90)-1)),VALUE(MID(AQ90,FIND("/",AQ90)+1,FIND("/",AQ90,FIND("/",AQ90)+1)-FIND("/",AQ90)-1))),""))</f>
        <v/>
      </c>
      <c r="AS90" s="26">
        <f>IF(G90="","",IF(AND(AG90&lt;&gt;"",AG90&lt;&gt;"Bayi Aracı"),"Evet","Hayır"))</f>
        <v/>
      </c>
      <c r="AT90" s="26">
        <f>IF(G90="","",IF(AND(AS90="Evet",T90="Siparişiniz Teslim Edildi"),"Evet","Hayır"))</f>
        <v/>
      </c>
      <c r="AU90" s="26">
        <f>IF(G90="","",IF(AB90="Siparişinizin Montajı Yapıldı","Evet","Hayır"))</f>
        <v/>
      </c>
      <c r="AV90" s="27">
        <f>IF(G90="","",IF(AT90="Evet",AR90,IF(AU90="Evet",AP90,"")))</f>
        <v/>
      </c>
    </row>
    <row r="91">
      <c r="A91" s="23" t="n"/>
      <c r="B91" s="23" t="n"/>
      <c r="C91" s="23" t="n"/>
      <c r="D91" s="23" t="n"/>
      <c r="E91" s="23" t="n"/>
      <c r="F91" s="23" t="n"/>
      <c r="G91" s="23" t="n"/>
      <c r="H91" s="23" t="n"/>
      <c r="I91" s="23" t="n"/>
      <c r="J91" s="23" t="n"/>
      <c r="K91" s="23" t="n"/>
      <c r="L91" s="23" t="n"/>
      <c r="M91" s="23" t="n"/>
      <c r="N91" s="23" t="n"/>
      <c r="O91" s="23" t="n"/>
      <c r="P91" s="23" t="n"/>
      <c r="Q91" s="23" t="n"/>
      <c r="R91" s="23" t="n"/>
      <c r="S91" s="23" t="n"/>
      <c r="T91" s="23" t="n"/>
      <c r="U91" s="23" t="n"/>
      <c r="V91" s="23" t="n"/>
      <c r="W91" s="23" t="n"/>
      <c r="X91" s="23" t="n"/>
      <c r="Y91" s="23" t="n"/>
      <c r="Z91" s="23" t="n"/>
      <c r="AA91" s="23" t="n"/>
      <c r="AB91" s="23" t="n"/>
      <c r="AC91" s="23" t="n"/>
      <c r="AD91" s="23" t="n"/>
      <c r="AE91" s="23" t="n"/>
      <c r="AF91" s="23" t="n"/>
      <c r="AG91" s="23" t="n"/>
      <c r="AH91" s="23" t="n"/>
      <c r="AI91" s="23" t="n"/>
      <c r="AJ91" s="23" t="n"/>
      <c r="AK91" s="23" t="n"/>
      <c r="AL91" s="23" t="n"/>
      <c r="AM91" s="26">
        <f>IF(G91="","",G91&amp;"|"&amp;P91)</f>
        <v/>
      </c>
      <c r="AN91" s="27">
        <f>IF(I91="","",IFERROR(DATE(VALUE(RIGHT(I91,4)),VALUE(MID(I91,4,2)),VALUE(LEFT(I91,2))),""))</f>
        <v/>
      </c>
      <c r="AO91" s="27">
        <f>IF(Y91="","",IFERROR(DATE(VALUE(RIGHT(Y91,4)),VALUE(MID(Y91,4,2)),VALUE(LEFT(Y91,2))),""))</f>
        <v/>
      </c>
      <c r="AP91" s="27">
        <f>IF(AC91="","",IFERROR(DATE(VALUE(RIGHT(AC91,4)),VALUE(MID(AC91,4,2)),VALUE(LEFT(AC91,2))),""))</f>
        <v/>
      </c>
      <c r="AQ91" s="26">
        <f>IF(AI91="","",TRIM(LEFT(AI91,FIND(" ",AI91&amp;" ")-1)))</f>
        <v/>
      </c>
      <c r="AR91" s="27">
        <f>IF(AQ91="","",IFERROR(DATE(VALUE(MID(AQ91,FIND("/",AQ91,FIND("/",AQ91)+1)+1,4)),VALUE(LEFT(AQ91,FIND("/",AQ91)-1)),VALUE(MID(AQ91,FIND("/",AQ91)+1,FIND("/",AQ91,FIND("/",AQ91)+1)-FIND("/",AQ91)-1))),""))</f>
        <v/>
      </c>
      <c r="AS91" s="26">
        <f>IF(G91="","",IF(AND(AG91&lt;&gt;"",AG91&lt;&gt;"Bayi Aracı"),"Evet","Hayır"))</f>
        <v/>
      </c>
      <c r="AT91" s="26">
        <f>IF(G91="","",IF(AND(AS91="Evet",T91="Siparişiniz Teslim Edildi"),"Evet","Hayır"))</f>
        <v/>
      </c>
      <c r="AU91" s="26">
        <f>IF(G91="","",IF(AB91="Siparişinizin Montajı Yapıldı","Evet","Hayır"))</f>
        <v/>
      </c>
      <c r="AV91" s="27">
        <f>IF(G91="","",IF(AT91="Evet",AR91,IF(AU91="Evet",AP91,"")))</f>
        <v/>
      </c>
    </row>
    <row r="92">
      <c r="A92" s="23" t="n"/>
      <c r="B92" s="23" t="n"/>
      <c r="C92" s="23" t="n"/>
      <c r="D92" s="23" t="n"/>
      <c r="E92" s="23" t="n"/>
      <c r="F92" s="23" t="n"/>
      <c r="G92" s="23" t="n"/>
      <c r="H92" s="23" t="n"/>
      <c r="I92" s="23" t="n"/>
      <c r="J92" s="23" t="n"/>
      <c r="K92" s="23" t="n"/>
      <c r="L92" s="23" t="n"/>
      <c r="M92" s="23" t="n"/>
      <c r="N92" s="23" t="n"/>
      <c r="O92" s="23" t="n"/>
      <c r="P92" s="23" t="n"/>
      <c r="Q92" s="23" t="n"/>
      <c r="R92" s="23" t="n"/>
      <c r="S92" s="23" t="n"/>
      <c r="T92" s="23" t="n"/>
      <c r="U92" s="23" t="n"/>
      <c r="V92" s="23" t="n"/>
      <c r="W92" s="23" t="n"/>
      <c r="X92" s="23" t="n"/>
      <c r="Y92" s="23" t="n"/>
      <c r="Z92" s="23" t="n"/>
      <c r="AA92" s="23" t="n"/>
      <c r="AB92" s="23" t="n"/>
      <c r="AC92" s="23" t="n"/>
      <c r="AD92" s="23" t="n"/>
      <c r="AE92" s="23" t="n"/>
      <c r="AF92" s="23" t="n"/>
      <c r="AG92" s="23" t="n"/>
      <c r="AH92" s="23" t="n"/>
      <c r="AI92" s="23" t="n"/>
      <c r="AJ92" s="23" t="n"/>
      <c r="AK92" s="23" t="n"/>
      <c r="AL92" s="23" t="n"/>
      <c r="AM92" s="26">
        <f>IF(G92="","",G92&amp;"|"&amp;P92)</f>
        <v/>
      </c>
      <c r="AN92" s="27">
        <f>IF(I92="","",IFERROR(DATE(VALUE(RIGHT(I92,4)),VALUE(MID(I92,4,2)),VALUE(LEFT(I92,2))),""))</f>
        <v/>
      </c>
      <c r="AO92" s="27">
        <f>IF(Y92="","",IFERROR(DATE(VALUE(RIGHT(Y92,4)),VALUE(MID(Y92,4,2)),VALUE(LEFT(Y92,2))),""))</f>
        <v/>
      </c>
      <c r="AP92" s="27">
        <f>IF(AC92="","",IFERROR(DATE(VALUE(RIGHT(AC92,4)),VALUE(MID(AC92,4,2)),VALUE(LEFT(AC92,2))),""))</f>
        <v/>
      </c>
      <c r="AQ92" s="26">
        <f>IF(AI92="","",TRIM(LEFT(AI92,FIND(" ",AI92&amp;" ")-1)))</f>
        <v/>
      </c>
      <c r="AR92" s="27">
        <f>IF(AQ92="","",IFERROR(DATE(VALUE(MID(AQ92,FIND("/",AQ92,FIND("/",AQ92)+1)+1,4)),VALUE(LEFT(AQ92,FIND("/",AQ92)-1)),VALUE(MID(AQ92,FIND("/",AQ92)+1,FIND("/",AQ92,FIND("/",AQ92)+1)-FIND("/",AQ92)-1))),""))</f>
        <v/>
      </c>
      <c r="AS92" s="26">
        <f>IF(G92="","",IF(AND(AG92&lt;&gt;"",AG92&lt;&gt;"Bayi Aracı"),"Evet","Hayır"))</f>
        <v/>
      </c>
      <c r="AT92" s="26">
        <f>IF(G92="","",IF(AND(AS92="Evet",T92="Siparişiniz Teslim Edildi"),"Evet","Hayır"))</f>
        <v/>
      </c>
      <c r="AU92" s="26">
        <f>IF(G92="","",IF(AB92="Siparişinizin Montajı Yapıldı","Evet","Hayır"))</f>
        <v/>
      </c>
      <c r="AV92" s="27">
        <f>IF(G92="","",IF(AT92="Evet",AR92,IF(AU92="Evet",AP92,"")))</f>
        <v/>
      </c>
    </row>
    <row r="93">
      <c r="A93" s="23" t="n"/>
      <c r="B93" s="23" t="n"/>
      <c r="C93" s="23" t="n"/>
      <c r="D93" s="23" t="n"/>
      <c r="E93" s="23" t="n"/>
      <c r="F93" s="23" t="n"/>
      <c r="G93" s="23" t="n"/>
      <c r="H93" s="23" t="n"/>
      <c r="I93" s="23" t="n"/>
      <c r="J93" s="23" t="n"/>
      <c r="K93" s="23" t="n"/>
      <c r="L93" s="23" t="n"/>
      <c r="M93" s="23" t="n"/>
      <c r="N93" s="23" t="n"/>
      <c r="O93" s="23" t="n"/>
      <c r="P93" s="23" t="n"/>
      <c r="Q93" s="23" t="n"/>
      <c r="R93" s="23" t="n"/>
      <c r="S93" s="23" t="n"/>
      <c r="T93" s="23" t="n"/>
      <c r="U93" s="23" t="n"/>
      <c r="V93" s="23" t="n"/>
      <c r="W93" s="23" t="n"/>
      <c r="X93" s="23" t="n"/>
      <c r="Y93" s="23" t="n"/>
      <c r="Z93" s="23" t="n"/>
      <c r="AA93" s="23" t="n"/>
      <c r="AB93" s="23" t="n"/>
      <c r="AC93" s="23" t="n"/>
      <c r="AD93" s="23" t="n"/>
      <c r="AE93" s="23" t="n"/>
      <c r="AF93" s="23" t="n"/>
      <c r="AG93" s="23" t="n"/>
      <c r="AH93" s="23" t="n"/>
      <c r="AI93" s="23" t="n"/>
      <c r="AJ93" s="23" t="n"/>
      <c r="AK93" s="23" t="n"/>
      <c r="AL93" s="23" t="n"/>
      <c r="AM93" s="26">
        <f>IF(G93="","",G93&amp;"|"&amp;P93)</f>
        <v/>
      </c>
      <c r="AN93" s="27">
        <f>IF(I93="","",IFERROR(DATE(VALUE(RIGHT(I93,4)),VALUE(MID(I93,4,2)),VALUE(LEFT(I93,2))),""))</f>
        <v/>
      </c>
      <c r="AO93" s="27">
        <f>IF(Y93="","",IFERROR(DATE(VALUE(RIGHT(Y93,4)),VALUE(MID(Y93,4,2)),VALUE(LEFT(Y93,2))),""))</f>
        <v/>
      </c>
      <c r="AP93" s="27">
        <f>IF(AC93="","",IFERROR(DATE(VALUE(RIGHT(AC93,4)),VALUE(MID(AC93,4,2)),VALUE(LEFT(AC93,2))),""))</f>
        <v/>
      </c>
      <c r="AQ93" s="26">
        <f>IF(AI93="","",TRIM(LEFT(AI93,FIND(" ",AI93&amp;" ")-1)))</f>
        <v/>
      </c>
      <c r="AR93" s="27">
        <f>IF(AQ93="","",IFERROR(DATE(VALUE(MID(AQ93,FIND("/",AQ93,FIND("/",AQ93)+1)+1,4)),VALUE(LEFT(AQ93,FIND("/",AQ93)-1)),VALUE(MID(AQ93,FIND("/",AQ93)+1,FIND("/",AQ93,FIND("/",AQ93)+1)-FIND("/",AQ93)-1))),""))</f>
        <v/>
      </c>
      <c r="AS93" s="26">
        <f>IF(G93="","",IF(AND(AG93&lt;&gt;"",AG93&lt;&gt;"Bayi Aracı"),"Evet","Hayır"))</f>
        <v/>
      </c>
      <c r="AT93" s="26">
        <f>IF(G93="","",IF(AND(AS93="Evet",T93="Siparişiniz Teslim Edildi"),"Evet","Hayır"))</f>
        <v/>
      </c>
      <c r="AU93" s="26">
        <f>IF(G93="","",IF(AB93="Siparişinizin Montajı Yapıldı","Evet","Hayır"))</f>
        <v/>
      </c>
      <c r="AV93" s="27">
        <f>IF(G93="","",IF(AT93="Evet",AR93,IF(AU93="Evet",AP93,"")))</f>
        <v/>
      </c>
    </row>
    <row r="94">
      <c r="A94" s="23" t="n"/>
      <c r="B94" s="23" t="n"/>
      <c r="C94" s="23" t="n"/>
      <c r="D94" s="23" t="n"/>
      <c r="E94" s="23" t="n"/>
      <c r="F94" s="23" t="n"/>
      <c r="G94" s="23" t="n"/>
      <c r="H94" s="23" t="n"/>
      <c r="I94" s="23" t="n"/>
      <c r="J94" s="23" t="n"/>
      <c r="K94" s="23" t="n"/>
      <c r="L94" s="23" t="n"/>
      <c r="M94" s="23" t="n"/>
      <c r="N94" s="23" t="n"/>
      <c r="O94" s="23" t="n"/>
      <c r="P94" s="23" t="n"/>
      <c r="Q94" s="23" t="n"/>
      <c r="R94" s="23" t="n"/>
      <c r="S94" s="23" t="n"/>
      <c r="T94" s="23" t="n"/>
      <c r="U94" s="23" t="n"/>
      <c r="V94" s="23" t="n"/>
      <c r="W94" s="23" t="n"/>
      <c r="X94" s="23" t="n"/>
      <c r="Y94" s="23" t="n"/>
      <c r="Z94" s="23" t="n"/>
      <c r="AA94" s="23" t="n"/>
      <c r="AB94" s="23" t="n"/>
      <c r="AC94" s="23" t="n"/>
      <c r="AD94" s="23" t="n"/>
      <c r="AE94" s="23" t="n"/>
      <c r="AF94" s="23" t="n"/>
      <c r="AG94" s="23" t="n"/>
      <c r="AH94" s="23" t="n"/>
      <c r="AI94" s="23" t="n"/>
      <c r="AJ94" s="23" t="n"/>
      <c r="AK94" s="23" t="n"/>
      <c r="AL94" s="23" t="n"/>
      <c r="AM94" s="26">
        <f>IF(G94="","",G94&amp;"|"&amp;P94)</f>
        <v/>
      </c>
      <c r="AN94" s="27">
        <f>IF(I94="","",IFERROR(DATE(VALUE(RIGHT(I94,4)),VALUE(MID(I94,4,2)),VALUE(LEFT(I94,2))),""))</f>
        <v/>
      </c>
      <c r="AO94" s="27">
        <f>IF(Y94="","",IFERROR(DATE(VALUE(RIGHT(Y94,4)),VALUE(MID(Y94,4,2)),VALUE(LEFT(Y94,2))),""))</f>
        <v/>
      </c>
      <c r="AP94" s="27">
        <f>IF(AC94="","",IFERROR(DATE(VALUE(RIGHT(AC94,4)),VALUE(MID(AC94,4,2)),VALUE(LEFT(AC94,2))),""))</f>
        <v/>
      </c>
      <c r="AQ94" s="26">
        <f>IF(AI94="","",TRIM(LEFT(AI94,FIND(" ",AI94&amp;" ")-1)))</f>
        <v/>
      </c>
      <c r="AR94" s="27">
        <f>IF(AQ94="","",IFERROR(DATE(VALUE(MID(AQ94,FIND("/",AQ94,FIND("/",AQ94)+1)+1,4)),VALUE(LEFT(AQ94,FIND("/",AQ94)-1)),VALUE(MID(AQ94,FIND("/",AQ94)+1,FIND("/",AQ94,FIND("/",AQ94)+1)-FIND("/",AQ94)-1))),""))</f>
        <v/>
      </c>
      <c r="AS94" s="26">
        <f>IF(G94="","",IF(AND(AG94&lt;&gt;"",AG94&lt;&gt;"Bayi Aracı"),"Evet","Hayır"))</f>
        <v/>
      </c>
      <c r="AT94" s="26">
        <f>IF(G94="","",IF(AND(AS94="Evet",T94="Siparişiniz Teslim Edildi"),"Evet","Hayır"))</f>
        <v/>
      </c>
      <c r="AU94" s="26">
        <f>IF(G94="","",IF(AB94="Siparişinizin Montajı Yapıldı","Evet","Hayır"))</f>
        <v/>
      </c>
      <c r="AV94" s="27">
        <f>IF(G94="","",IF(AT94="Evet",AR94,IF(AU94="Evet",AP94,"")))</f>
        <v/>
      </c>
    </row>
    <row r="95">
      <c r="A95" s="23" t="n"/>
      <c r="B95" s="23" t="n"/>
      <c r="C95" s="23" t="n"/>
      <c r="D95" s="23" t="n"/>
      <c r="E95" s="23" t="n"/>
      <c r="F95" s="23" t="n"/>
      <c r="G95" s="23" t="n"/>
      <c r="H95" s="23" t="n"/>
      <c r="I95" s="23" t="n"/>
      <c r="J95" s="23" t="n"/>
      <c r="K95" s="23" t="n"/>
      <c r="L95" s="23" t="n"/>
      <c r="M95" s="23" t="n"/>
      <c r="N95" s="23" t="n"/>
      <c r="O95" s="23" t="n"/>
      <c r="P95" s="23" t="n"/>
      <c r="Q95" s="23" t="n"/>
      <c r="R95" s="23" t="n"/>
      <c r="S95" s="23" t="n"/>
      <c r="T95" s="23" t="n"/>
      <c r="U95" s="23" t="n"/>
      <c r="V95" s="23" t="n"/>
      <c r="W95" s="23" t="n"/>
      <c r="X95" s="23" t="n"/>
      <c r="Y95" s="23" t="n"/>
      <c r="Z95" s="23" t="n"/>
      <c r="AA95" s="23" t="n"/>
      <c r="AB95" s="23" t="n"/>
      <c r="AC95" s="23" t="n"/>
      <c r="AD95" s="23" t="n"/>
      <c r="AE95" s="23" t="n"/>
      <c r="AF95" s="23" t="n"/>
      <c r="AG95" s="23" t="n"/>
      <c r="AH95" s="23" t="n"/>
      <c r="AI95" s="23" t="n"/>
      <c r="AJ95" s="23" t="n"/>
      <c r="AK95" s="23" t="n"/>
      <c r="AL95" s="23" t="n"/>
      <c r="AM95" s="26">
        <f>IF(G95="","",G95&amp;"|"&amp;P95)</f>
        <v/>
      </c>
      <c r="AN95" s="27">
        <f>IF(I95="","",IFERROR(DATE(VALUE(RIGHT(I95,4)),VALUE(MID(I95,4,2)),VALUE(LEFT(I95,2))),""))</f>
        <v/>
      </c>
      <c r="AO95" s="27">
        <f>IF(Y95="","",IFERROR(DATE(VALUE(RIGHT(Y95,4)),VALUE(MID(Y95,4,2)),VALUE(LEFT(Y95,2))),""))</f>
        <v/>
      </c>
      <c r="AP95" s="27">
        <f>IF(AC95="","",IFERROR(DATE(VALUE(RIGHT(AC95,4)),VALUE(MID(AC95,4,2)),VALUE(LEFT(AC95,2))),""))</f>
        <v/>
      </c>
      <c r="AQ95" s="26">
        <f>IF(AI95="","",TRIM(LEFT(AI95,FIND(" ",AI95&amp;" ")-1)))</f>
        <v/>
      </c>
      <c r="AR95" s="27">
        <f>IF(AQ95="","",IFERROR(DATE(VALUE(MID(AQ95,FIND("/",AQ95,FIND("/",AQ95)+1)+1,4)),VALUE(LEFT(AQ95,FIND("/",AQ95)-1)),VALUE(MID(AQ95,FIND("/",AQ95)+1,FIND("/",AQ95,FIND("/",AQ95)+1)-FIND("/",AQ95)-1))),""))</f>
        <v/>
      </c>
      <c r="AS95" s="26">
        <f>IF(G95="","",IF(AND(AG95&lt;&gt;"",AG95&lt;&gt;"Bayi Aracı"),"Evet","Hayır"))</f>
        <v/>
      </c>
      <c r="AT95" s="26">
        <f>IF(G95="","",IF(AND(AS95="Evet",T95="Siparişiniz Teslim Edildi"),"Evet","Hayır"))</f>
        <v/>
      </c>
      <c r="AU95" s="26">
        <f>IF(G95="","",IF(AB95="Siparişinizin Montajı Yapıldı","Evet","Hayır"))</f>
        <v/>
      </c>
      <c r="AV95" s="27">
        <f>IF(G95="","",IF(AT95="Evet",AR95,IF(AU95="Evet",AP95,"")))</f>
        <v/>
      </c>
    </row>
    <row r="96">
      <c r="A96" s="23" t="n"/>
      <c r="B96" s="23" t="n"/>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c r="AA96" s="23" t="n"/>
      <c r="AB96" s="23" t="n"/>
      <c r="AC96" s="23" t="n"/>
      <c r="AD96" s="23" t="n"/>
      <c r="AE96" s="23" t="n"/>
      <c r="AF96" s="23" t="n"/>
      <c r="AG96" s="23" t="n"/>
      <c r="AH96" s="23" t="n"/>
      <c r="AI96" s="23" t="n"/>
      <c r="AJ96" s="23" t="n"/>
      <c r="AK96" s="23" t="n"/>
      <c r="AL96" s="23" t="n"/>
      <c r="AM96" s="26">
        <f>IF(G96="","",G96&amp;"|"&amp;P96)</f>
        <v/>
      </c>
      <c r="AN96" s="27">
        <f>IF(I96="","",IFERROR(DATE(VALUE(RIGHT(I96,4)),VALUE(MID(I96,4,2)),VALUE(LEFT(I96,2))),""))</f>
        <v/>
      </c>
      <c r="AO96" s="27">
        <f>IF(Y96="","",IFERROR(DATE(VALUE(RIGHT(Y96,4)),VALUE(MID(Y96,4,2)),VALUE(LEFT(Y96,2))),""))</f>
        <v/>
      </c>
      <c r="AP96" s="27">
        <f>IF(AC96="","",IFERROR(DATE(VALUE(RIGHT(AC96,4)),VALUE(MID(AC96,4,2)),VALUE(LEFT(AC96,2))),""))</f>
        <v/>
      </c>
      <c r="AQ96" s="26">
        <f>IF(AI96="","",TRIM(LEFT(AI96,FIND(" ",AI96&amp;" ")-1)))</f>
        <v/>
      </c>
      <c r="AR96" s="27">
        <f>IF(AQ96="","",IFERROR(DATE(VALUE(MID(AQ96,FIND("/",AQ96,FIND("/",AQ96)+1)+1,4)),VALUE(LEFT(AQ96,FIND("/",AQ96)-1)),VALUE(MID(AQ96,FIND("/",AQ96)+1,FIND("/",AQ96,FIND("/",AQ96)+1)-FIND("/",AQ96)-1))),""))</f>
        <v/>
      </c>
      <c r="AS96" s="26">
        <f>IF(G96="","",IF(AND(AG96&lt;&gt;"",AG96&lt;&gt;"Bayi Aracı"),"Evet","Hayır"))</f>
        <v/>
      </c>
      <c r="AT96" s="26">
        <f>IF(G96="","",IF(AND(AS96="Evet",T96="Siparişiniz Teslim Edildi"),"Evet","Hayır"))</f>
        <v/>
      </c>
      <c r="AU96" s="26">
        <f>IF(G96="","",IF(AB96="Siparişinizin Montajı Yapıldı","Evet","Hayır"))</f>
        <v/>
      </c>
      <c r="AV96" s="27">
        <f>IF(G96="","",IF(AT96="Evet",AR96,IF(AU96="Evet",AP96,"")))</f>
        <v/>
      </c>
    </row>
    <row r="97">
      <c r="A97" s="23" t="n"/>
      <c r="B97" s="23" t="n"/>
      <c r="C97" s="23" t="n"/>
      <c r="D97" s="23" t="n"/>
      <c r="E97" s="23" t="n"/>
      <c r="F97" s="23" t="n"/>
      <c r="G97" s="23" t="n"/>
      <c r="H97" s="23" t="n"/>
      <c r="I97" s="23" t="n"/>
      <c r="J97" s="23" t="n"/>
      <c r="K97" s="23" t="n"/>
      <c r="L97" s="23" t="n"/>
      <c r="M97" s="23" t="n"/>
      <c r="N97" s="23" t="n"/>
      <c r="O97" s="23" t="n"/>
      <c r="P97" s="23" t="n"/>
      <c r="Q97" s="23" t="n"/>
      <c r="R97" s="23" t="n"/>
      <c r="S97" s="23" t="n"/>
      <c r="T97" s="23" t="n"/>
      <c r="U97" s="23" t="n"/>
      <c r="V97" s="23" t="n"/>
      <c r="W97" s="23" t="n"/>
      <c r="X97" s="23" t="n"/>
      <c r="Y97" s="23" t="n"/>
      <c r="Z97" s="23" t="n"/>
      <c r="AA97" s="23" t="n"/>
      <c r="AB97" s="23" t="n"/>
      <c r="AC97" s="23" t="n"/>
      <c r="AD97" s="23" t="n"/>
      <c r="AE97" s="23" t="n"/>
      <c r="AF97" s="23" t="n"/>
      <c r="AG97" s="23" t="n"/>
      <c r="AH97" s="23" t="n"/>
      <c r="AI97" s="23" t="n"/>
      <c r="AJ97" s="23" t="n"/>
      <c r="AK97" s="23" t="n"/>
      <c r="AL97" s="23" t="n"/>
      <c r="AM97" s="26">
        <f>IF(G97="","",G97&amp;"|"&amp;P97)</f>
        <v/>
      </c>
      <c r="AN97" s="27">
        <f>IF(I97="","",IFERROR(DATE(VALUE(RIGHT(I97,4)),VALUE(MID(I97,4,2)),VALUE(LEFT(I97,2))),""))</f>
        <v/>
      </c>
      <c r="AO97" s="27">
        <f>IF(Y97="","",IFERROR(DATE(VALUE(RIGHT(Y97,4)),VALUE(MID(Y97,4,2)),VALUE(LEFT(Y97,2))),""))</f>
        <v/>
      </c>
      <c r="AP97" s="27">
        <f>IF(AC97="","",IFERROR(DATE(VALUE(RIGHT(AC97,4)),VALUE(MID(AC97,4,2)),VALUE(LEFT(AC97,2))),""))</f>
        <v/>
      </c>
      <c r="AQ97" s="26">
        <f>IF(AI97="","",TRIM(LEFT(AI97,FIND(" ",AI97&amp;" ")-1)))</f>
        <v/>
      </c>
      <c r="AR97" s="27">
        <f>IF(AQ97="","",IFERROR(DATE(VALUE(MID(AQ97,FIND("/",AQ97,FIND("/",AQ97)+1)+1,4)),VALUE(LEFT(AQ97,FIND("/",AQ97)-1)),VALUE(MID(AQ97,FIND("/",AQ97)+1,FIND("/",AQ97,FIND("/",AQ97)+1)-FIND("/",AQ97)-1))),""))</f>
        <v/>
      </c>
      <c r="AS97" s="26">
        <f>IF(G97="","",IF(AND(AG97&lt;&gt;"",AG97&lt;&gt;"Bayi Aracı"),"Evet","Hayır"))</f>
        <v/>
      </c>
      <c r="AT97" s="26">
        <f>IF(G97="","",IF(AND(AS97="Evet",T97="Siparişiniz Teslim Edildi"),"Evet","Hayır"))</f>
        <v/>
      </c>
      <c r="AU97" s="26">
        <f>IF(G97="","",IF(AB97="Siparişinizin Montajı Yapıldı","Evet","Hayır"))</f>
        <v/>
      </c>
      <c r="AV97" s="27">
        <f>IF(G97="","",IF(AT97="Evet",AR97,IF(AU97="Evet",AP97,"")))</f>
        <v/>
      </c>
    </row>
    <row r="98">
      <c r="A98" s="23" t="n"/>
      <c r="B98" s="23" t="n"/>
      <c r="C98" s="23" t="n"/>
      <c r="D98" s="23" t="n"/>
      <c r="E98" s="23" t="n"/>
      <c r="F98" s="23" t="n"/>
      <c r="G98" s="23" t="n"/>
      <c r="H98" s="23" t="n"/>
      <c r="I98" s="23" t="n"/>
      <c r="J98" s="23" t="n"/>
      <c r="K98" s="23" t="n"/>
      <c r="L98" s="23" t="n"/>
      <c r="M98" s="23" t="n"/>
      <c r="N98" s="23" t="n"/>
      <c r="O98" s="23" t="n"/>
      <c r="P98" s="23" t="n"/>
      <c r="Q98" s="23" t="n"/>
      <c r="R98" s="23" t="n"/>
      <c r="S98" s="23" t="n"/>
      <c r="T98" s="23" t="n"/>
      <c r="U98" s="23" t="n"/>
      <c r="V98" s="23" t="n"/>
      <c r="W98" s="23" t="n"/>
      <c r="X98" s="23" t="n"/>
      <c r="Y98" s="23" t="n"/>
      <c r="Z98" s="23" t="n"/>
      <c r="AA98" s="23" t="n"/>
      <c r="AB98" s="23" t="n"/>
      <c r="AC98" s="23" t="n"/>
      <c r="AD98" s="23" t="n"/>
      <c r="AE98" s="23" t="n"/>
      <c r="AF98" s="23" t="n"/>
      <c r="AG98" s="23" t="n"/>
      <c r="AH98" s="23" t="n"/>
      <c r="AI98" s="23" t="n"/>
      <c r="AJ98" s="23" t="n"/>
      <c r="AK98" s="23" t="n"/>
      <c r="AL98" s="23" t="n"/>
      <c r="AM98" s="26">
        <f>IF(G98="","",G98&amp;"|"&amp;P98)</f>
        <v/>
      </c>
      <c r="AN98" s="27">
        <f>IF(I98="","",IFERROR(DATE(VALUE(RIGHT(I98,4)),VALUE(MID(I98,4,2)),VALUE(LEFT(I98,2))),""))</f>
        <v/>
      </c>
      <c r="AO98" s="27">
        <f>IF(Y98="","",IFERROR(DATE(VALUE(RIGHT(Y98,4)),VALUE(MID(Y98,4,2)),VALUE(LEFT(Y98,2))),""))</f>
        <v/>
      </c>
      <c r="AP98" s="27">
        <f>IF(AC98="","",IFERROR(DATE(VALUE(RIGHT(AC98,4)),VALUE(MID(AC98,4,2)),VALUE(LEFT(AC98,2))),""))</f>
        <v/>
      </c>
      <c r="AQ98" s="26">
        <f>IF(AI98="","",TRIM(LEFT(AI98,FIND(" ",AI98&amp;" ")-1)))</f>
        <v/>
      </c>
      <c r="AR98" s="27">
        <f>IF(AQ98="","",IFERROR(DATE(VALUE(MID(AQ98,FIND("/",AQ98,FIND("/",AQ98)+1)+1,4)),VALUE(LEFT(AQ98,FIND("/",AQ98)-1)),VALUE(MID(AQ98,FIND("/",AQ98)+1,FIND("/",AQ98,FIND("/",AQ98)+1)-FIND("/",AQ98)-1))),""))</f>
        <v/>
      </c>
      <c r="AS98" s="26">
        <f>IF(G98="","",IF(AND(AG98&lt;&gt;"",AG98&lt;&gt;"Bayi Aracı"),"Evet","Hayır"))</f>
        <v/>
      </c>
      <c r="AT98" s="26">
        <f>IF(G98="","",IF(AND(AS98="Evet",T98="Siparişiniz Teslim Edildi"),"Evet","Hayır"))</f>
        <v/>
      </c>
      <c r="AU98" s="26">
        <f>IF(G98="","",IF(AB98="Siparişinizin Montajı Yapıldı","Evet","Hayır"))</f>
        <v/>
      </c>
      <c r="AV98" s="27">
        <f>IF(G98="","",IF(AT98="Evet",AR98,IF(AU98="Evet",AP98,"")))</f>
        <v/>
      </c>
    </row>
    <row r="99">
      <c r="A99" s="23" t="n"/>
      <c r="B99" s="23" t="n"/>
      <c r="C99" s="23" t="n"/>
      <c r="D99" s="23" t="n"/>
      <c r="E99" s="23" t="n"/>
      <c r="F99" s="23" t="n"/>
      <c r="G99" s="23" t="n"/>
      <c r="H99" s="23" t="n"/>
      <c r="I99" s="23" t="n"/>
      <c r="J99" s="23" t="n"/>
      <c r="K99" s="23" t="n"/>
      <c r="L99" s="23" t="n"/>
      <c r="M99" s="23" t="n"/>
      <c r="N99" s="23" t="n"/>
      <c r="O99" s="23" t="n"/>
      <c r="P99" s="23" t="n"/>
      <c r="Q99" s="23" t="n"/>
      <c r="R99" s="23" t="n"/>
      <c r="S99" s="23" t="n"/>
      <c r="T99" s="23" t="n"/>
      <c r="U99" s="23" t="n"/>
      <c r="V99" s="23" t="n"/>
      <c r="W99" s="23" t="n"/>
      <c r="X99" s="23" t="n"/>
      <c r="Y99" s="23" t="n"/>
      <c r="Z99" s="23" t="n"/>
      <c r="AA99" s="23" t="n"/>
      <c r="AB99" s="23" t="n"/>
      <c r="AC99" s="23" t="n"/>
      <c r="AD99" s="23" t="n"/>
      <c r="AE99" s="23" t="n"/>
      <c r="AF99" s="23" t="n"/>
      <c r="AG99" s="23" t="n"/>
      <c r="AH99" s="23" t="n"/>
      <c r="AI99" s="23" t="n"/>
      <c r="AJ99" s="23" t="n"/>
      <c r="AK99" s="23" t="n"/>
      <c r="AL99" s="23" t="n"/>
      <c r="AM99" s="26">
        <f>IF(G99="","",G99&amp;"|"&amp;P99)</f>
        <v/>
      </c>
      <c r="AN99" s="27">
        <f>IF(I99="","",IFERROR(DATE(VALUE(RIGHT(I99,4)),VALUE(MID(I99,4,2)),VALUE(LEFT(I99,2))),""))</f>
        <v/>
      </c>
      <c r="AO99" s="27">
        <f>IF(Y99="","",IFERROR(DATE(VALUE(RIGHT(Y99,4)),VALUE(MID(Y99,4,2)),VALUE(LEFT(Y99,2))),""))</f>
        <v/>
      </c>
      <c r="AP99" s="27">
        <f>IF(AC99="","",IFERROR(DATE(VALUE(RIGHT(AC99,4)),VALUE(MID(AC99,4,2)),VALUE(LEFT(AC99,2))),""))</f>
        <v/>
      </c>
      <c r="AQ99" s="26">
        <f>IF(AI99="","",TRIM(LEFT(AI99,FIND(" ",AI99&amp;" ")-1)))</f>
        <v/>
      </c>
      <c r="AR99" s="27">
        <f>IF(AQ99="","",IFERROR(DATE(VALUE(MID(AQ99,FIND("/",AQ99,FIND("/",AQ99)+1)+1,4)),VALUE(LEFT(AQ99,FIND("/",AQ99)-1)),VALUE(MID(AQ99,FIND("/",AQ99)+1,FIND("/",AQ99,FIND("/",AQ99)+1)-FIND("/",AQ99)-1))),""))</f>
        <v/>
      </c>
      <c r="AS99" s="26">
        <f>IF(G99="","",IF(AND(AG99&lt;&gt;"",AG99&lt;&gt;"Bayi Aracı"),"Evet","Hayır"))</f>
        <v/>
      </c>
      <c r="AT99" s="26">
        <f>IF(G99="","",IF(AND(AS99="Evet",T99="Siparişiniz Teslim Edildi"),"Evet","Hayır"))</f>
        <v/>
      </c>
      <c r="AU99" s="26">
        <f>IF(G99="","",IF(AB99="Siparişinizin Montajı Yapıldı","Evet","Hayır"))</f>
        <v/>
      </c>
      <c r="AV99" s="27">
        <f>IF(G99="","",IF(AT99="Evet",AR99,IF(AU99="Evet",AP99,"")))</f>
        <v/>
      </c>
    </row>
    <row r="100">
      <c r="A100" s="23" t="n"/>
      <c r="B100" s="23" t="n"/>
      <c r="C100" s="23" t="n"/>
      <c r="D100" s="23" t="n"/>
      <c r="E100" s="23" t="n"/>
      <c r="F100" s="23" t="n"/>
      <c r="G100" s="23" t="n"/>
      <c r="H100" s="23" t="n"/>
      <c r="I100" s="23" t="n"/>
      <c r="J100" s="23" t="n"/>
      <c r="K100" s="23" t="n"/>
      <c r="L100" s="23" t="n"/>
      <c r="M100" s="23" t="n"/>
      <c r="N100" s="23" t="n"/>
      <c r="O100" s="23" t="n"/>
      <c r="P100" s="23" t="n"/>
      <c r="Q100" s="23" t="n"/>
      <c r="R100" s="23" t="n"/>
      <c r="S100" s="23" t="n"/>
      <c r="T100" s="23" t="n"/>
      <c r="U100" s="23" t="n"/>
      <c r="V100" s="23" t="n"/>
      <c r="W100" s="23" t="n"/>
      <c r="X100" s="23" t="n"/>
      <c r="Y100" s="23" t="n"/>
      <c r="Z100" s="23" t="n"/>
      <c r="AA100" s="23" t="n"/>
      <c r="AB100" s="23" t="n"/>
      <c r="AC100" s="23" t="n"/>
      <c r="AD100" s="23" t="n"/>
      <c r="AE100" s="23" t="n"/>
      <c r="AF100" s="23" t="n"/>
      <c r="AG100" s="23" t="n"/>
      <c r="AH100" s="23" t="n"/>
      <c r="AI100" s="23" t="n"/>
      <c r="AJ100" s="23" t="n"/>
      <c r="AK100" s="23" t="n"/>
      <c r="AL100" s="23" t="n"/>
      <c r="AM100" s="26">
        <f>IF(G100="","",G100&amp;"|"&amp;P100)</f>
        <v/>
      </c>
      <c r="AN100" s="27">
        <f>IF(I100="","",IFERROR(DATE(VALUE(RIGHT(I100,4)),VALUE(MID(I100,4,2)),VALUE(LEFT(I100,2))),""))</f>
        <v/>
      </c>
      <c r="AO100" s="27">
        <f>IF(Y100="","",IFERROR(DATE(VALUE(RIGHT(Y100,4)),VALUE(MID(Y100,4,2)),VALUE(LEFT(Y100,2))),""))</f>
        <v/>
      </c>
      <c r="AP100" s="27">
        <f>IF(AC100="","",IFERROR(DATE(VALUE(RIGHT(AC100,4)),VALUE(MID(AC100,4,2)),VALUE(LEFT(AC100,2))),""))</f>
        <v/>
      </c>
      <c r="AQ100" s="26">
        <f>IF(AI100="","",TRIM(LEFT(AI100,FIND(" ",AI100&amp;" ")-1)))</f>
        <v/>
      </c>
      <c r="AR100" s="27">
        <f>IF(AQ100="","",IFERROR(DATE(VALUE(MID(AQ100,FIND("/",AQ100,FIND("/",AQ100)+1)+1,4)),VALUE(LEFT(AQ100,FIND("/",AQ100)-1)),VALUE(MID(AQ100,FIND("/",AQ100)+1,FIND("/",AQ100,FIND("/",AQ100)+1)-FIND("/",AQ100)-1))),""))</f>
        <v/>
      </c>
      <c r="AS100" s="26">
        <f>IF(G100="","",IF(AND(AG100&lt;&gt;"",AG100&lt;&gt;"Bayi Aracı"),"Evet","Hayır"))</f>
        <v/>
      </c>
      <c r="AT100" s="26">
        <f>IF(G100="","",IF(AND(AS100="Evet",T100="Siparişiniz Teslim Edildi"),"Evet","Hayır"))</f>
        <v/>
      </c>
      <c r="AU100" s="26">
        <f>IF(G100="","",IF(AB100="Siparişinizin Montajı Yapıldı","Evet","Hayır"))</f>
        <v/>
      </c>
      <c r="AV100" s="27">
        <f>IF(G100="","",IF(AT100="Evet",AR100,IF(AU100="Evet",AP100,"")))</f>
        <v/>
      </c>
    </row>
    <row r="101">
      <c r="A101" s="23" t="n"/>
      <c r="B101" s="23" t="n"/>
      <c r="C101" s="23" t="n"/>
      <c r="D101" s="23" t="n"/>
      <c r="E101" s="23" t="n"/>
      <c r="F101" s="23" t="n"/>
      <c r="G101" s="23" t="n"/>
      <c r="H101" s="23" t="n"/>
      <c r="I101" s="23" t="n"/>
      <c r="J101" s="23" t="n"/>
      <c r="K101" s="23" t="n"/>
      <c r="L101" s="23" t="n"/>
      <c r="M101" s="23" t="n"/>
      <c r="N101" s="23" t="n"/>
      <c r="O101" s="23" t="n"/>
      <c r="P101" s="23" t="n"/>
      <c r="Q101" s="23" t="n"/>
      <c r="R101" s="23" t="n"/>
      <c r="S101" s="23" t="n"/>
      <c r="T101" s="23" t="n"/>
      <c r="U101" s="23" t="n"/>
      <c r="V101" s="23" t="n"/>
      <c r="W101" s="23" t="n"/>
      <c r="X101" s="23" t="n"/>
      <c r="Y101" s="23" t="n"/>
      <c r="Z101" s="23" t="n"/>
      <c r="AA101" s="23" t="n"/>
      <c r="AB101" s="23" t="n"/>
      <c r="AC101" s="23" t="n"/>
      <c r="AD101" s="23" t="n"/>
      <c r="AE101" s="23" t="n"/>
      <c r="AF101" s="23" t="n"/>
      <c r="AG101" s="23" t="n"/>
      <c r="AH101" s="23" t="n"/>
      <c r="AI101" s="23" t="n"/>
      <c r="AJ101" s="23" t="n"/>
      <c r="AK101" s="23" t="n"/>
      <c r="AL101" s="23" t="n"/>
      <c r="AM101" s="26">
        <f>IF(G101="","",G101&amp;"|"&amp;P101)</f>
        <v/>
      </c>
      <c r="AN101" s="27">
        <f>IF(I101="","",IFERROR(DATE(VALUE(RIGHT(I101,4)),VALUE(MID(I101,4,2)),VALUE(LEFT(I101,2))),""))</f>
        <v/>
      </c>
      <c r="AO101" s="27">
        <f>IF(Y101="","",IFERROR(DATE(VALUE(RIGHT(Y101,4)),VALUE(MID(Y101,4,2)),VALUE(LEFT(Y101,2))),""))</f>
        <v/>
      </c>
      <c r="AP101" s="27">
        <f>IF(AC101="","",IFERROR(DATE(VALUE(RIGHT(AC101,4)),VALUE(MID(AC101,4,2)),VALUE(LEFT(AC101,2))),""))</f>
        <v/>
      </c>
      <c r="AQ101" s="26">
        <f>IF(AI101="","",TRIM(LEFT(AI101,FIND(" ",AI101&amp;" ")-1)))</f>
        <v/>
      </c>
      <c r="AR101" s="27">
        <f>IF(AQ101="","",IFERROR(DATE(VALUE(MID(AQ101,FIND("/",AQ101,FIND("/",AQ101)+1)+1,4)),VALUE(LEFT(AQ101,FIND("/",AQ101)-1)),VALUE(MID(AQ101,FIND("/",AQ101)+1,FIND("/",AQ101,FIND("/",AQ101)+1)-FIND("/",AQ101)-1))),""))</f>
        <v/>
      </c>
      <c r="AS101" s="26">
        <f>IF(G101="","",IF(AND(AG101&lt;&gt;"",AG101&lt;&gt;"Bayi Aracı"),"Evet","Hayır"))</f>
        <v/>
      </c>
      <c r="AT101" s="26">
        <f>IF(G101="","",IF(AND(AS101="Evet",T101="Siparişiniz Teslim Edildi"),"Evet","Hayır"))</f>
        <v/>
      </c>
      <c r="AU101" s="26">
        <f>IF(G101="","",IF(AB101="Siparişinizin Montajı Yapıldı","Evet","Hayır"))</f>
        <v/>
      </c>
      <c r="AV101" s="27">
        <f>IF(G101="","",IF(AT101="Evet",AR101,IF(AU101="Evet",AP101,"")))</f>
        <v/>
      </c>
    </row>
    <row r="102">
      <c r="A102" s="23" t="n"/>
      <c r="B102" s="23" t="n"/>
      <c r="C102" s="23" t="n"/>
      <c r="D102" s="23" t="n"/>
      <c r="E102" s="23" t="n"/>
      <c r="F102" s="23" t="n"/>
      <c r="G102" s="23" t="n"/>
      <c r="H102" s="23" t="n"/>
      <c r="I102" s="23" t="n"/>
      <c r="J102" s="23" t="n"/>
      <c r="K102" s="23" t="n"/>
      <c r="L102" s="23" t="n"/>
      <c r="M102" s="23" t="n"/>
      <c r="N102" s="23" t="n"/>
      <c r="O102" s="23" t="n"/>
      <c r="P102" s="23" t="n"/>
      <c r="Q102" s="23" t="n"/>
      <c r="R102" s="23" t="n"/>
      <c r="S102" s="23" t="n"/>
      <c r="T102" s="23" t="n"/>
      <c r="U102" s="23" t="n"/>
      <c r="V102" s="23" t="n"/>
      <c r="W102" s="23" t="n"/>
      <c r="X102" s="23" t="n"/>
      <c r="Y102" s="23" t="n"/>
      <c r="Z102" s="23" t="n"/>
      <c r="AA102" s="23" t="n"/>
      <c r="AB102" s="23" t="n"/>
      <c r="AC102" s="23" t="n"/>
      <c r="AD102" s="23" t="n"/>
      <c r="AE102" s="23" t="n"/>
      <c r="AF102" s="23" t="n"/>
      <c r="AG102" s="23" t="n"/>
      <c r="AH102" s="23" t="n"/>
      <c r="AI102" s="23" t="n"/>
      <c r="AJ102" s="23" t="n"/>
      <c r="AK102" s="23" t="n"/>
      <c r="AL102" s="23" t="n"/>
      <c r="AM102" s="26">
        <f>IF(G102="","",G102&amp;"|"&amp;P102)</f>
        <v/>
      </c>
      <c r="AN102" s="27">
        <f>IF(I102="","",IFERROR(DATE(VALUE(RIGHT(I102,4)),VALUE(MID(I102,4,2)),VALUE(LEFT(I102,2))),""))</f>
        <v/>
      </c>
      <c r="AO102" s="27">
        <f>IF(Y102="","",IFERROR(DATE(VALUE(RIGHT(Y102,4)),VALUE(MID(Y102,4,2)),VALUE(LEFT(Y102,2))),""))</f>
        <v/>
      </c>
      <c r="AP102" s="27">
        <f>IF(AC102="","",IFERROR(DATE(VALUE(RIGHT(AC102,4)),VALUE(MID(AC102,4,2)),VALUE(LEFT(AC102,2))),""))</f>
        <v/>
      </c>
      <c r="AQ102" s="26">
        <f>IF(AI102="","",TRIM(LEFT(AI102,FIND(" ",AI102&amp;" ")-1)))</f>
        <v/>
      </c>
      <c r="AR102" s="27">
        <f>IF(AQ102="","",IFERROR(DATE(VALUE(MID(AQ102,FIND("/",AQ102,FIND("/",AQ102)+1)+1,4)),VALUE(LEFT(AQ102,FIND("/",AQ102)-1)),VALUE(MID(AQ102,FIND("/",AQ102)+1,FIND("/",AQ102,FIND("/",AQ102)+1)-FIND("/",AQ102)-1))),""))</f>
        <v/>
      </c>
      <c r="AS102" s="26">
        <f>IF(G102="","",IF(AND(AG102&lt;&gt;"",AG102&lt;&gt;"Bayi Aracı"),"Evet","Hayır"))</f>
        <v/>
      </c>
      <c r="AT102" s="26">
        <f>IF(G102="","",IF(AND(AS102="Evet",T102="Siparişiniz Teslim Edildi"),"Evet","Hayır"))</f>
        <v/>
      </c>
      <c r="AU102" s="26">
        <f>IF(G102="","",IF(AB102="Siparişinizin Montajı Yapıldı","Evet","Hayır"))</f>
        <v/>
      </c>
      <c r="AV102" s="27">
        <f>IF(G102="","",IF(AT102="Evet",AR102,IF(AU102="Evet",AP102,"")))</f>
        <v/>
      </c>
    </row>
    <row r="103">
      <c r="A103" s="23" t="n"/>
      <c r="B103" s="23" t="n"/>
      <c r="C103" s="23" t="n"/>
      <c r="D103" s="23" t="n"/>
      <c r="E103" s="23" t="n"/>
      <c r="F103" s="23" t="n"/>
      <c r="G103" s="23" t="n"/>
      <c r="H103" s="23" t="n"/>
      <c r="I103" s="23" t="n"/>
      <c r="J103" s="23" t="n"/>
      <c r="K103" s="23" t="n"/>
      <c r="L103" s="23" t="n"/>
      <c r="M103" s="23" t="n"/>
      <c r="N103" s="23" t="n"/>
      <c r="O103" s="23" t="n"/>
      <c r="P103" s="23" t="n"/>
      <c r="Q103" s="23" t="n"/>
      <c r="R103" s="23" t="n"/>
      <c r="S103" s="23" t="n"/>
      <c r="T103" s="23" t="n"/>
      <c r="U103" s="23" t="n"/>
      <c r="V103" s="23" t="n"/>
      <c r="W103" s="23" t="n"/>
      <c r="X103" s="23" t="n"/>
      <c r="Y103" s="23" t="n"/>
      <c r="Z103" s="23" t="n"/>
      <c r="AA103" s="23" t="n"/>
      <c r="AB103" s="23" t="n"/>
      <c r="AC103" s="23" t="n"/>
      <c r="AD103" s="23" t="n"/>
      <c r="AE103" s="23" t="n"/>
      <c r="AF103" s="23" t="n"/>
      <c r="AG103" s="23" t="n"/>
      <c r="AH103" s="23" t="n"/>
      <c r="AI103" s="23" t="n"/>
      <c r="AJ103" s="23" t="n"/>
      <c r="AK103" s="23" t="n"/>
      <c r="AL103" s="23" t="n"/>
      <c r="AM103" s="26">
        <f>IF(G103="","",G103&amp;"|"&amp;P103)</f>
        <v/>
      </c>
      <c r="AN103" s="27">
        <f>IF(I103="","",IFERROR(DATE(VALUE(RIGHT(I103,4)),VALUE(MID(I103,4,2)),VALUE(LEFT(I103,2))),""))</f>
        <v/>
      </c>
      <c r="AO103" s="27">
        <f>IF(Y103="","",IFERROR(DATE(VALUE(RIGHT(Y103,4)),VALUE(MID(Y103,4,2)),VALUE(LEFT(Y103,2))),""))</f>
        <v/>
      </c>
      <c r="AP103" s="27">
        <f>IF(AC103="","",IFERROR(DATE(VALUE(RIGHT(AC103,4)),VALUE(MID(AC103,4,2)),VALUE(LEFT(AC103,2))),""))</f>
        <v/>
      </c>
      <c r="AQ103" s="26">
        <f>IF(AI103="","",TRIM(LEFT(AI103,FIND(" ",AI103&amp;" ")-1)))</f>
        <v/>
      </c>
      <c r="AR103" s="27">
        <f>IF(AQ103="","",IFERROR(DATE(VALUE(MID(AQ103,FIND("/",AQ103,FIND("/",AQ103)+1)+1,4)),VALUE(LEFT(AQ103,FIND("/",AQ103)-1)),VALUE(MID(AQ103,FIND("/",AQ103)+1,FIND("/",AQ103,FIND("/",AQ103)+1)-FIND("/",AQ103)-1))),""))</f>
        <v/>
      </c>
      <c r="AS103" s="26">
        <f>IF(G103="","",IF(AND(AG103&lt;&gt;"",AG103&lt;&gt;"Bayi Aracı"),"Evet","Hayır"))</f>
        <v/>
      </c>
      <c r="AT103" s="26">
        <f>IF(G103="","",IF(AND(AS103="Evet",T103="Siparişiniz Teslim Edildi"),"Evet","Hayır"))</f>
        <v/>
      </c>
      <c r="AU103" s="26">
        <f>IF(G103="","",IF(AB103="Siparişinizin Montajı Yapıldı","Evet","Hayır"))</f>
        <v/>
      </c>
      <c r="AV103" s="27">
        <f>IF(G103="","",IF(AT103="Evet",AR103,IF(AU103="Evet",AP103,"")))</f>
        <v/>
      </c>
    </row>
    <row r="104">
      <c r="A104" s="23" t="n"/>
      <c r="B104" s="23" t="n"/>
      <c r="C104" s="23" t="n"/>
      <c r="D104" s="23" t="n"/>
      <c r="E104" s="23" t="n"/>
      <c r="F104" s="23" t="n"/>
      <c r="G104" s="23" t="n"/>
      <c r="H104" s="23" t="n"/>
      <c r="I104" s="23" t="n"/>
      <c r="J104" s="23" t="n"/>
      <c r="K104" s="23" t="n"/>
      <c r="L104" s="23" t="n"/>
      <c r="M104" s="23" t="n"/>
      <c r="N104" s="23" t="n"/>
      <c r="O104" s="23" t="n"/>
      <c r="P104" s="23" t="n"/>
      <c r="Q104" s="23" t="n"/>
      <c r="R104" s="23" t="n"/>
      <c r="S104" s="23" t="n"/>
      <c r="T104" s="23" t="n"/>
      <c r="U104" s="23" t="n"/>
      <c r="V104" s="23" t="n"/>
      <c r="W104" s="23" t="n"/>
      <c r="X104" s="23" t="n"/>
      <c r="Y104" s="23" t="n"/>
      <c r="Z104" s="23" t="n"/>
      <c r="AA104" s="23" t="n"/>
      <c r="AB104" s="23" t="n"/>
      <c r="AC104" s="23" t="n"/>
      <c r="AD104" s="23" t="n"/>
      <c r="AE104" s="23" t="n"/>
      <c r="AF104" s="23" t="n"/>
      <c r="AG104" s="23" t="n"/>
      <c r="AH104" s="23" t="n"/>
      <c r="AI104" s="23" t="n"/>
      <c r="AJ104" s="23" t="n"/>
      <c r="AK104" s="23" t="n"/>
      <c r="AL104" s="23" t="n"/>
      <c r="AM104" s="26">
        <f>IF(G104="","",G104&amp;"|"&amp;P104)</f>
        <v/>
      </c>
      <c r="AN104" s="27">
        <f>IF(I104="","",IFERROR(DATE(VALUE(RIGHT(I104,4)),VALUE(MID(I104,4,2)),VALUE(LEFT(I104,2))),""))</f>
        <v/>
      </c>
      <c r="AO104" s="27">
        <f>IF(Y104="","",IFERROR(DATE(VALUE(RIGHT(Y104,4)),VALUE(MID(Y104,4,2)),VALUE(LEFT(Y104,2))),""))</f>
        <v/>
      </c>
      <c r="AP104" s="27">
        <f>IF(AC104="","",IFERROR(DATE(VALUE(RIGHT(AC104,4)),VALUE(MID(AC104,4,2)),VALUE(LEFT(AC104,2))),""))</f>
        <v/>
      </c>
      <c r="AQ104" s="26">
        <f>IF(AI104="","",TRIM(LEFT(AI104,FIND(" ",AI104&amp;" ")-1)))</f>
        <v/>
      </c>
      <c r="AR104" s="27">
        <f>IF(AQ104="","",IFERROR(DATE(VALUE(MID(AQ104,FIND("/",AQ104,FIND("/",AQ104)+1)+1,4)),VALUE(LEFT(AQ104,FIND("/",AQ104)-1)),VALUE(MID(AQ104,FIND("/",AQ104)+1,FIND("/",AQ104,FIND("/",AQ104)+1)-FIND("/",AQ104)-1))),""))</f>
        <v/>
      </c>
      <c r="AS104" s="26">
        <f>IF(G104="","",IF(AND(AG104&lt;&gt;"",AG104&lt;&gt;"Bayi Aracı"),"Evet","Hayır"))</f>
        <v/>
      </c>
      <c r="AT104" s="26">
        <f>IF(G104="","",IF(AND(AS104="Evet",T104="Siparişiniz Teslim Edildi"),"Evet","Hayır"))</f>
        <v/>
      </c>
      <c r="AU104" s="26">
        <f>IF(G104="","",IF(AB104="Siparişinizin Montajı Yapıldı","Evet","Hayır"))</f>
        <v/>
      </c>
      <c r="AV104" s="27">
        <f>IF(G104="","",IF(AT104="Evet",AR104,IF(AU104="Evet",AP104,"")))</f>
        <v/>
      </c>
    </row>
    <row r="105">
      <c r="A105" s="23" t="n"/>
      <c r="B105" s="23" t="n"/>
      <c r="C105" s="23" t="n"/>
      <c r="D105" s="23" t="n"/>
      <c r="E105" s="23" t="n"/>
      <c r="F105" s="23" t="n"/>
      <c r="G105" s="23" t="n"/>
      <c r="H105" s="23" t="n"/>
      <c r="I105" s="23" t="n"/>
      <c r="J105" s="23" t="n"/>
      <c r="K105" s="23" t="n"/>
      <c r="L105" s="23" t="n"/>
      <c r="M105" s="23" t="n"/>
      <c r="N105" s="23" t="n"/>
      <c r="O105" s="23" t="n"/>
      <c r="P105" s="23" t="n"/>
      <c r="Q105" s="23" t="n"/>
      <c r="R105" s="23" t="n"/>
      <c r="S105" s="23" t="n"/>
      <c r="T105" s="23" t="n"/>
      <c r="U105" s="23" t="n"/>
      <c r="V105" s="23" t="n"/>
      <c r="W105" s="23" t="n"/>
      <c r="X105" s="23" t="n"/>
      <c r="Y105" s="23" t="n"/>
      <c r="Z105" s="23" t="n"/>
      <c r="AA105" s="23" t="n"/>
      <c r="AB105" s="23" t="n"/>
      <c r="AC105" s="23" t="n"/>
      <c r="AD105" s="23" t="n"/>
      <c r="AE105" s="23" t="n"/>
      <c r="AF105" s="23" t="n"/>
      <c r="AG105" s="23" t="n"/>
      <c r="AH105" s="23" t="n"/>
      <c r="AI105" s="23" t="n"/>
      <c r="AJ105" s="23" t="n"/>
      <c r="AK105" s="23" t="n"/>
      <c r="AL105" s="23" t="n"/>
      <c r="AM105" s="26">
        <f>IF(G105="","",G105&amp;"|"&amp;P105)</f>
        <v/>
      </c>
      <c r="AN105" s="27">
        <f>IF(I105="","",IFERROR(DATE(VALUE(RIGHT(I105,4)),VALUE(MID(I105,4,2)),VALUE(LEFT(I105,2))),""))</f>
        <v/>
      </c>
      <c r="AO105" s="27">
        <f>IF(Y105="","",IFERROR(DATE(VALUE(RIGHT(Y105,4)),VALUE(MID(Y105,4,2)),VALUE(LEFT(Y105,2))),""))</f>
        <v/>
      </c>
      <c r="AP105" s="27">
        <f>IF(AC105="","",IFERROR(DATE(VALUE(RIGHT(AC105,4)),VALUE(MID(AC105,4,2)),VALUE(LEFT(AC105,2))),""))</f>
        <v/>
      </c>
      <c r="AQ105" s="26">
        <f>IF(AI105="","",TRIM(LEFT(AI105,FIND(" ",AI105&amp;" ")-1)))</f>
        <v/>
      </c>
      <c r="AR105" s="27">
        <f>IF(AQ105="","",IFERROR(DATE(VALUE(MID(AQ105,FIND("/",AQ105,FIND("/",AQ105)+1)+1,4)),VALUE(LEFT(AQ105,FIND("/",AQ105)-1)),VALUE(MID(AQ105,FIND("/",AQ105)+1,FIND("/",AQ105,FIND("/",AQ105)+1)-FIND("/",AQ105)-1))),""))</f>
        <v/>
      </c>
      <c r="AS105" s="26">
        <f>IF(G105="","",IF(AND(AG105&lt;&gt;"",AG105&lt;&gt;"Bayi Aracı"),"Evet","Hayır"))</f>
        <v/>
      </c>
      <c r="AT105" s="26">
        <f>IF(G105="","",IF(AND(AS105="Evet",T105="Siparişiniz Teslim Edildi"),"Evet","Hayır"))</f>
        <v/>
      </c>
      <c r="AU105" s="26">
        <f>IF(G105="","",IF(AB105="Siparişinizin Montajı Yapıldı","Evet","Hayır"))</f>
        <v/>
      </c>
      <c r="AV105" s="27">
        <f>IF(G105="","",IF(AT105="Evet",AR105,IF(AU105="Evet",AP105,"")))</f>
        <v/>
      </c>
    </row>
    <row r="106">
      <c r="A106" s="23" t="n"/>
      <c r="B106" s="23" t="n"/>
      <c r="C106" s="23" t="n"/>
      <c r="D106" s="23" t="n"/>
      <c r="E106" s="23" t="n"/>
      <c r="F106" s="23" t="n"/>
      <c r="G106" s="23" t="n"/>
      <c r="H106" s="23" t="n"/>
      <c r="I106" s="23" t="n"/>
      <c r="J106" s="23" t="n"/>
      <c r="K106" s="23" t="n"/>
      <c r="L106" s="23" t="n"/>
      <c r="M106" s="23" t="n"/>
      <c r="N106" s="23" t="n"/>
      <c r="O106" s="23" t="n"/>
      <c r="P106" s="23" t="n"/>
      <c r="Q106" s="23" t="n"/>
      <c r="R106" s="23" t="n"/>
      <c r="S106" s="23" t="n"/>
      <c r="T106" s="23" t="n"/>
      <c r="U106" s="23" t="n"/>
      <c r="V106" s="23" t="n"/>
      <c r="W106" s="23" t="n"/>
      <c r="X106" s="23" t="n"/>
      <c r="Y106" s="23" t="n"/>
      <c r="Z106" s="23" t="n"/>
      <c r="AA106" s="23" t="n"/>
      <c r="AB106" s="23" t="n"/>
      <c r="AC106" s="23" t="n"/>
      <c r="AD106" s="23" t="n"/>
      <c r="AE106" s="23" t="n"/>
      <c r="AF106" s="23" t="n"/>
      <c r="AG106" s="23" t="n"/>
      <c r="AH106" s="23" t="n"/>
      <c r="AI106" s="23" t="n"/>
      <c r="AJ106" s="23" t="n"/>
      <c r="AK106" s="23" t="n"/>
      <c r="AL106" s="23" t="n"/>
      <c r="AM106" s="26">
        <f>IF(G106="","",G106&amp;"|"&amp;P106)</f>
        <v/>
      </c>
      <c r="AN106" s="27">
        <f>IF(I106="","",IFERROR(DATE(VALUE(RIGHT(I106,4)),VALUE(MID(I106,4,2)),VALUE(LEFT(I106,2))),""))</f>
        <v/>
      </c>
      <c r="AO106" s="27">
        <f>IF(Y106="","",IFERROR(DATE(VALUE(RIGHT(Y106,4)),VALUE(MID(Y106,4,2)),VALUE(LEFT(Y106,2))),""))</f>
        <v/>
      </c>
      <c r="AP106" s="27">
        <f>IF(AC106="","",IFERROR(DATE(VALUE(RIGHT(AC106,4)),VALUE(MID(AC106,4,2)),VALUE(LEFT(AC106,2))),""))</f>
        <v/>
      </c>
      <c r="AQ106" s="26">
        <f>IF(AI106="","",TRIM(LEFT(AI106,FIND(" ",AI106&amp;" ")-1)))</f>
        <v/>
      </c>
      <c r="AR106" s="27">
        <f>IF(AQ106="","",IFERROR(DATE(VALUE(MID(AQ106,FIND("/",AQ106,FIND("/",AQ106)+1)+1,4)),VALUE(LEFT(AQ106,FIND("/",AQ106)-1)),VALUE(MID(AQ106,FIND("/",AQ106)+1,FIND("/",AQ106,FIND("/",AQ106)+1)-FIND("/",AQ106)-1))),""))</f>
        <v/>
      </c>
      <c r="AS106" s="26">
        <f>IF(G106="","",IF(AND(AG106&lt;&gt;"",AG106&lt;&gt;"Bayi Aracı"),"Evet","Hayır"))</f>
        <v/>
      </c>
      <c r="AT106" s="26">
        <f>IF(G106="","",IF(AND(AS106="Evet",T106="Siparişiniz Teslim Edildi"),"Evet","Hayır"))</f>
        <v/>
      </c>
      <c r="AU106" s="26">
        <f>IF(G106="","",IF(AB106="Siparişinizin Montajı Yapıldı","Evet","Hayır"))</f>
        <v/>
      </c>
      <c r="AV106" s="27">
        <f>IF(G106="","",IF(AT106="Evet",AR106,IF(AU106="Evet",AP106,"")))</f>
        <v/>
      </c>
    </row>
    <row r="107">
      <c r="A107" s="23" t="n"/>
      <c r="B107" s="23" t="n"/>
      <c r="C107" s="23" t="n"/>
      <c r="D107" s="23" t="n"/>
      <c r="E107" s="23" t="n"/>
      <c r="F107" s="23" t="n"/>
      <c r="G107" s="23" t="n"/>
      <c r="H107" s="23" t="n"/>
      <c r="I107" s="23" t="n"/>
      <c r="J107" s="23" t="n"/>
      <c r="K107" s="23" t="n"/>
      <c r="L107" s="23" t="n"/>
      <c r="M107" s="23" t="n"/>
      <c r="N107" s="23" t="n"/>
      <c r="O107" s="23" t="n"/>
      <c r="P107" s="23" t="n"/>
      <c r="Q107" s="23" t="n"/>
      <c r="R107" s="23" t="n"/>
      <c r="S107" s="23" t="n"/>
      <c r="T107" s="23" t="n"/>
      <c r="U107" s="23" t="n"/>
      <c r="V107" s="23" t="n"/>
      <c r="W107" s="23" t="n"/>
      <c r="X107" s="23" t="n"/>
      <c r="Y107" s="23" t="n"/>
      <c r="Z107" s="23" t="n"/>
      <c r="AA107" s="23" t="n"/>
      <c r="AB107" s="23" t="n"/>
      <c r="AC107" s="23" t="n"/>
      <c r="AD107" s="23" t="n"/>
      <c r="AE107" s="23" t="n"/>
      <c r="AF107" s="23" t="n"/>
      <c r="AG107" s="23" t="n"/>
      <c r="AH107" s="23" t="n"/>
      <c r="AI107" s="23" t="n"/>
      <c r="AJ107" s="23" t="n"/>
      <c r="AK107" s="23" t="n"/>
      <c r="AL107" s="23" t="n"/>
      <c r="AM107" s="26">
        <f>IF(G107="","",G107&amp;"|"&amp;P107)</f>
        <v/>
      </c>
      <c r="AN107" s="27">
        <f>IF(I107="","",IFERROR(DATE(VALUE(RIGHT(I107,4)),VALUE(MID(I107,4,2)),VALUE(LEFT(I107,2))),""))</f>
        <v/>
      </c>
      <c r="AO107" s="27">
        <f>IF(Y107="","",IFERROR(DATE(VALUE(RIGHT(Y107,4)),VALUE(MID(Y107,4,2)),VALUE(LEFT(Y107,2))),""))</f>
        <v/>
      </c>
      <c r="AP107" s="27">
        <f>IF(AC107="","",IFERROR(DATE(VALUE(RIGHT(AC107,4)),VALUE(MID(AC107,4,2)),VALUE(LEFT(AC107,2))),""))</f>
        <v/>
      </c>
      <c r="AQ107" s="26">
        <f>IF(AI107="","",TRIM(LEFT(AI107,FIND(" ",AI107&amp;" ")-1)))</f>
        <v/>
      </c>
      <c r="AR107" s="27">
        <f>IF(AQ107="","",IFERROR(DATE(VALUE(MID(AQ107,FIND("/",AQ107,FIND("/",AQ107)+1)+1,4)),VALUE(LEFT(AQ107,FIND("/",AQ107)-1)),VALUE(MID(AQ107,FIND("/",AQ107)+1,FIND("/",AQ107,FIND("/",AQ107)+1)-FIND("/",AQ107)-1))),""))</f>
        <v/>
      </c>
      <c r="AS107" s="26">
        <f>IF(G107="","",IF(AND(AG107&lt;&gt;"",AG107&lt;&gt;"Bayi Aracı"),"Evet","Hayır"))</f>
        <v/>
      </c>
      <c r="AT107" s="26">
        <f>IF(G107="","",IF(AND(AS107="Evet",T107="Siparişiniz Teslim Edildi"),"Evet","Hayır"))</f>
        <v/>
      </c>
      <c r="AU107" s="26">
        <f>IF(G107="","",IF(AB107="Siparişinizin Montajı Yapıldı","Evet","Hayır"))</f>
        <v/>
      </c>
      <c r="AV107" s="27">
        <f>IF(G107="","",IF(AT107="Evet",AR107,IF(AU107="Evet",AP107,"")))</f>
        <v/>
      </c>
    </row>
    <row r="108">
      <c r="A108" s="23" t="n"/>
      <c r="B108" s="23" t="n"/>
      <c r="C108" s="23" t="n"/>
      <c r="D108" s="23" t="n"/>
      <c r="E108" s="23" t="n"/>
      <c r="F108" s="23" t="n"/>
      <c r="G108" s="23" t="n"/>
      <c r="H108" s="23" t="n"/>
      <c r="I108" s="23" t="n"/>
      <c r="J108" s="23" t="n"/>
      <c r="K108" s="23" t="n"/>
      <c r="L108" s="23" t="n"/>
      <c r="M108" s="23" t="n"/>
      <c r="N108" s="23" t="n"/>
      <c r="O108" s="23" t="n"/>
      <c r="P108" s="23" t="n"/>
      <c r="Q108" s="23" t="n"/>
      <c r="R108" s="23" t="n"/>
      <c r="S108" s="23" t="n"/>
      <c r="T108" s="23" t="n"/>
      <c r="U108" s="23" t="n"/>
      <c r="V108" s="23" t="n"/>
      <c r="W108" s="23" t="n"/>
      <c r="X108" s="23" t="n"/>
      <c r="Y108" s="23" t="n"/>
      <c r="Z108" s="23" t="n"/>
      <c r="AA108" s="23" t="n"/>
      <c r="AB108" s="23" t="n"/>
      <c r="AC108" s="23" t="n"/>
      <c r="AD108" s="23" t="n"/>
      <c r="AE108" s="23" t="n"/>
      <c r="AF108" s="23" t="n"/>
      <c r="AG108" s="23" t="n"/>
      <c r="AH108" s="23" t="n"/>
      <c r="AI108" s="23" t="n"/>
      <c r="AJ108" s="23" t="n"/>
      <c r="AK108" s="23" t="n"/>
      <c r="AL108" s="23" t="n"/>
      <c r="AM108" s="26">
        <f>IF(G108="","",G108&amp;"|"&amp;P108)</f>
        <v/>
      </c>
      <c r="AN108" s="27">
        <f>IF(I108="","",IFERROR(DATE(VALUE(RIGHT(I108,4)),VALUE(MID(I108,4,2)),VALUE(LEFT(I108,2))),""))</f>
        <v/>
      </c>
      <c r="AO108" s="27">
        <f>IF(Y108="","",IFERROR(DATE(VALUE(RIGHT(Y108,4)),VALUE(MID(Y108,4,2)),VALUE(LEFT(Y108,2))),""))</f>
        <v/>
      </c>
      <c r="AP108" s="27">
        <f>IF(AC108="","",IFERROR(DATE(VALUE(RIGHT(AC108,4)),VALUE(MID(AC108,4,2)),VALUE(LEFT(AC108,2))),""))</f>
        <v/>
      </c>
      <c r="AQ108" s="26">
        <f>IF(AI108="","",TRIM(LEFT(AI108,FIND(" ",AI108&amp;" ")-1)))</f>
        <v/>
      </c>
      <c r="AR108" s="27">
        <f>IF(AQ108="","",IFERROR(DATE(VALUE(MID(AQ108,FIND("/",AQ108,FIND("/",AQ108)+1)+1,4)),VALUE(LEFT(AQ108,FIND("/",AQ108)-1)),VALUE(MID(AQ108,FIND("/",AQ108)+1,FIND("/",AQ108,FIND("/",AQ108)+1)-FIND("/",AQ108)-1))),""))</f>
        <v/>
      </c>
      <c r="AS108" s="26">
        <f>IF(G108="","",IF(AND(AG108&lt;&gt;"",AG108&lt;&gt;"Bayi Aracı"),"Evet","Hayır"))</f>
        <v/>
      </c>
      <c r="AT108" s="26">
        <f>IF(G108="","",IF(AND(AS108="Evet",T108="Siparişiniz Teslim Edildi"),"Evet","Hayır"))</f>
        <v/>
      </c>
      <c r="AU108" s="26">
        <f>IF(G108="","",IF(AB108="Siparişinizin Montajı Yapıldı","Evet","Hayır"))</f>
        <v/>
      </c>
      <c r="AV108" s="27">
        <f>IF(G108="","",IF(AT108="Evet",AR108,IF(AU108="Evet",AP108,"")))</f>
        <v/>
      </c>
    </row>
    <row r="109">
      <c r="A109" s="23" t="n"/>
      <c r="B109" s="23" t="n"/>
      <c r="C109" s="23" t="n"/>
      <c r="D109" s="23" t="n"/>
      <c r="E109" s="23" t="n"/>
      <c r="F109" s="23" t="n"/>
      <c r="G109" s="23" t="n"/>
      <c r="H109" s="23" t="n"/>
      <c r="I109" s="23" t="n"/>
      <c r="J109" s="23" t="n"/>
      <c r="K109" s="23" t="n"/>
      <c r="L109" s="23" t="n"/>
      <c r="M109" s="23" t="n"/>
      <c r="N109" s="23" t="n"/>
      <c r="O109" s="23" t="n"/>
      <c r="P109" s="23" t="n"/>
      <c r="Q109" s="23" t="n"/>
      <c r="R109" s="23" t="n"/>
      <c r="S109" s="23" t="n"/>
      <c r="T109" s="23" t="n"/>
      <c r="U109" s="23" t="n"/>
      <c r="V109" s="23" t="n"/>
      <c r="W109" s="23" t="n"/>
      <c r="X109" s="23" t="n"/>
      <c r="Y109" s="23" t="n"/>
      <c r="Z109" s="23" t="n"/>
      <c r="AA109" s="23" t="n"/>
      <c r="AB109" s="23" t="n"/>
      <c r="AC109" s="23" t="n"/>
      <c r="AD109" s="23" t="n"/>
      <c r="AE109" s="23" t="n"/>
      <c r="AF109" s="23" t="n"/>
      <c r="AG109" s="23" t="n"/>
      <c r="AH109" s="23" t="n"/>
      <c r="AI109" s="23" t="n"/>
      <c r="AJ109" s="23" t="n"/>
      <c r="AK109" s="23" t="n"/>
      <c r="AL109" s="23" t="n"/>
      <c r="AM109" s="26">
        <f>IF(G109="","",G109&amp;"|"&amp;P109)</f>
        <v/>
      </c>
      <c r="AN109" s="27">
        <f>IF(I109="","",IFERROR(DATE(VALUE(RIGHT(I109,4)),VALUE(MID(I109,4,2)),VALUE(LEFT(I109,2))),""))</f>
        <v/>
      </c>
      <c r="AO109" s="27">
        <f>IF(Y109="","",IFERROR(DATE(VALUE(RIGHT(Y109,4)),VALUE(MID(Y109,4,2)),VALUE(LEFT(Y109,2))),""))</f>
        <v/>
      </c>
      <c r="AP109" s="27">
        <f>IF(AC109="","",IFERROR(DATE(VALUE(RIGHT(AC109,4)),VALUE(MID(AC109,4,2)),VALUE(LEFT(AC109,2))),""))</f>
        <v/>
      </c>
      <c r="AQ109" s="26">
        <f>IF(AI109="","",TRIM(LEFT(AI109,FIND(" ",AI109&amp;" ")-1)))</f>
        <v/>
      </c>
      <c r="AR109" s="27">
        <f>IF(AQ109="","",IFERROR(DATE(VALUE(MID(AQ109,FIND("/",AQ109,FIND("/",AQ109)+1)+1,4)),VALUE(LEFT(AQ109,FIND("/",AQ109)-1)),VALUE(MID(AQ109,FIND("/",AQ109)+1,FIND("/",AQ109,FIND("/",AQ109)+1)-FIND("/",AQ109)-1))),""))</f>
        <v/>
      </c>
      <c r="AS109" s="26">
        <f>IF(G109="","",IF(AND(AG109&lt;&gt;"",AG109&lt;&gt;"Bayi Aracı"),"Evet","Hayır"))</f>
        <v/>
      </c>
      <c r="AT109" s="26">
        <f>IF(G109="","",IF(AND(AS109="Evet",T109="Siparişiniz Teslim Edildi"),"Evet","Hayır"))</f>
        <v/>
      </c>
      <c r="AU109" s="26">
        <f>IF(G109="","",IF(AB109="Siparişinizin Montajı Yapıldı","Evet","Hayır"))</f>
        <v/>
      </c>
      <c r="AV109" s="27">
        <f>IF(G109="","",IF(AT109="Evet",AR109,IF(AU109="Evet",AP109,"")))</f>
        <v/>
      </c>
    </row>
    <row r="110">
      <c r="A110" s="23" t="n"/>
      <c r="B110" s="23" t="n"/>
      <c r="C110" s="23" t="n"/>
      <c r="D110" s="23" t="n"/>
      <c r="E110" s="23" t="n"/>
      <c r="F110" s="23" t="n"/>
      <c r="G110" s="23" t="n"/>
      <c r="H110" s="23" t="n"/>
      <c r="I110" s="23" t="n"/>
      <c r="J110" s="23" t="n"/>
      <c r="K110" s="23" t="n"/>
      <c r="L110" s="23" t="n"/>
      <c r="M110" s="23" t="n"/>
      <c r="N110" s="23" t="n"/>
      <c r="O110" s="23" t="n"/>
      <c r="P110" s="23" t="n"/>
      <c r="Q110" s="23" t="n"/>
      <c r="R110" s="23" t="n"/>
      <c r="S110" s="23" t="n"/>
      <c r="T110" s="23" t="n"/>
      <c r="U110" s="23" t="n"/>
      <c r="V110" s="23" t="n"/>
      <c r="W110" s="23" t="n"/>
      <c r="X110" s="23" t="n"/>
      <c r="Y110" s="23" t="n"/>
      <c r="Z110" s="23" t="n"/>
      <c r="AA110" s="23" t="n"/>
      <c r="AB110" s="23" t="n"/>
      <c r="AC110" s="23" t="n"/>
      <c r="AD110" s="23" t="n"/>
      <c r="AE110" s="23" t="n"/>
      <c r="AF110" s="23" t="n"/>
      <c r="AG110" s="23" t="n"/>
      <c r="AH110" s="23" t="n"/>
      <c r="AI110" s="23" t="n"/>
      <c r="AJ110" s="23" t="n"/>
      <c r="AK110" s="23" t="n"/>
      <c r="AL110" s="23" t="n"/>
      <c r="AM110" s="26">
        <f>IF(G110="","",G110&amp;"|"&amp;P110)</f>
        <v/>
      </c>
      <c r="AN110" s="27">
        <f>IF(I110="","",IFERROR(DATE(VALUE(RIGHT(I110,4)),VALUE(MID(I110,4,2)),VALUE(LEFT(I110,2))),""))</f>
        <v/>
      </c>
      <c r="AO110" s="27">
        <f>IF(Y110="","",IFERROR(DATE(VALUE(RIGHT(Y110,4)),VALUE(MID(Y110,4,2)),VALUE(LEFT(Y110,2))),""))</f>
        <v/>
      </c>
      <c r="AP110" s="27">
        <f>IF(AC110="","",IFERROR(DATE(VALUE(RIGHT(AC110,4)),VALUE(MID(AC110,4,2)),VALUE(LEFT(AC110,2))),""))</f>
        <v/>
      </c>
      <c r="AQ110" s="26">
        <f>IF(AI110="","",TRIM(LEFT(AI110,FIND(" ",AI110&amp;" ")-1)))</f>
        <v/>
      </c>
      <c r="AR110" s="27">
        <f>IF(AQ110="","",IFERROR(DATE(VALUE(MID(AQ110,FIND("/",AQ110,FIND("/",AQ110)+1)+1,4)),VALUE(LEFT(AQ110,FIND("/",AQ110)-1)),VALUE(MID(AQ110,FIND("/",AQ110)+1,FIND("/",AQ110,FIND("/",AQ110)+1)-FIND("/",AQ110)-1))),""))</f>
        <v/>
      </c>
      <c r="AS110" s="26">
        <f>IF(G110="","",IF(AND(AG110&lt;&gt;"",AG110&lt;&gt;"Bayi Aracı"),"Evet","Hayır"))</f>
        <v/>
      </c>
      <c r="AT110" s="26">
        <f>IF(G110="","",IF(AND(AS110="Evet",T110="Siparişiniz Teslim Edildi"),"Evet","Hayır"))</f>
        <v/>
      </c>
      <c r="AU110" s="26">
        <f>IF(G110="","",IF(AB110="Siparişinizin Montajı Yapıldı","Evet","Hayır"))</f>
        <v/>
      </c>
      <c r="AV110" s="27">
        <f>IF(G110="","",IF(AT110="Evet",AR110,IF(AU110="Evet",AP110,"")))</f>
        <v/>
      </c>
    </row>
    <row r="111">
      <c r="A111" s="23" t="n"/>
      <c r="B111" s="23" t="n"/>
      <c r="C111" s="23" t="n"/>
      <c r="D111" s="23" t="n"/>
      <c r="E111" s="23" t="n"/>
      <c r="F111" s="23" t="n"/>
      <c r="G111" s="23" t="n"/>
      <c r="H111" s="23" t="n"/>
      <c r="I111" s="23" t="n"/>
      <c r="J111" s="23" t="n"/>
      <c r="K111" s="23" t="n"/>
      <c r="L111" s="23" t="n"/>
      <c r="M111" s="23" t="n"/>
      <c r="N111" s="23" t="n"/>
      <c r="O111" s="23" t="n"/>
      <c r="P111" s="23" t="n"/>
      <c r="Q111" s="23" t="n"/>
      <c r="R111" s="23" t="n"/>
      <c r="S111" s="23" t="n"/>
      <c r="T111" s="23" t="n"/>
      <c r="U111" s="23" t="n"/>
      <c r="V111" s="23" t="n"/>
      <c r="W111" s="23" t="n"/>
      <c r="X111" s="23" t="n"/>
      <c r="Y111" s="23" t="n"/>
      <c r="Z111" s="23" t="n"/>
      <c r="AA111" s="23" t="n"/>
      <c r="AB111" s="23" t="n"/>
      <c r="AC111" s="23" t="n"/>
      <c r="AD111" s="23" t="n"/>
      <c r="AE111" s="23" t="n"/>
      <c r="AF111" s="23" t="n"/>
      <c r="AG111" s="23" t="n"/>
      <c r="AH111" s="23" t="n"/>
      <c r="AI111" s="23" t="n"/>
      <c r="AJ111" s="23" t="n"/>
      <c r="AK111" s="23" t="n"/>
      <c r="AL111" s="23" t="n"/>
      <c r="AM111" s="26">
        <f>IF(G111="","",G111&amp;"|"&amp;P111)</f>
        <v/>
      </c>
      <c r="AN111" s="27">
        <f>IF(I111="","",IFERROR(DATE(VALUE(RIGHT(I111,4)),VALUE(MID(I111,4,2)),VALUE(LEFT(I111,2))),""))</f>
        <v/>
      </c>
      <c r="AO111" s="27">
        <f>IF(Y111="","",IFERROR(DATE(VALUE(RIGHT(Y111,4)),VALUE(MID(Y111,4,2)),VALUE(LEFT(Y111,2))),""))</f>
        <v/>
      </c>
      <c r="AP111" s="27">
        <f>IF(AC111="","",IFERROR(DATE(VALUE(RIGHT(AC111,4)),VALUE(MID(AC111,4,2)),VALUE(LEFT(AC111,2))),""))</f>
        <v/>
      </c>
      <c r="AQ111" s="26">
        <f>IF(AI111="","",TRIM(LEFT(AI111,FIND(" ",AI111&amp;" ")-1)))</f>
        <v/>
      </c>
      <c r="AR111" s="27">
        <f>IF(AQ111="","",IFERROR(DATE(VALUE(MID(AQ111,FIND("/",AQ111,FIND("/",AQ111)+1)+1,4)),VALUE(LEFT(AQ111,FIND("/",AQ111)-1)),VALUE(MID(AQ111,FIND("/",AQ111)+1,FIND("/",AQ111,FIND("/",AQ111)+1)-FIND("/",AQ111)-1))),""))</f>
        <v/>
      </c>
      <c r="AS111" s="26">
        <f>IF(G111="","",IF(AND(AG111&lt;&gt;"",AG111&lt;&gt;"Bayi Aracı"),"Evet","Hayır"))</f>
        <v/>
      </c>
      <c r="AT111" s="26">
        <f>IF(G111="","",IF(AND(AS111="Evet",T111="Siparişiniz Teslim Edildi"),"Evet","Hayır"))</f>
        <v/>
      </c>
      <c r="AU111" s="26">
        <f>IF(G111="","",IF(AB111="Siparişinizin Montajı Yapıldı","Evet","Hayır"))</f>
        <v/>
      </c>
      <c r="AV111" s="27">
        <f>IF(G111="","",IF(AT111="Evet",AR111,IF(AU111="Evet",AP111,"")))</f>
        <v/>
      </c>
    </row>
    <row r="112">
      <c r="A112" s="23" t="n"/>
      <c r="B112" s="23" t="n"/>
      <c r="C112" s="23" t="n"/>
      <c r="D112" s="23" t="n"/>
      <c r="E112" s="23" t="n"/>
      <c r="F112" s="23" t="n"/>
      <c r="G112" s="23" t="n"/>
      <c r="H112" s="23" t="n"/>
      <c r="I112" s="23" t="n"/>
      <c r="J112" s="23" t="n"/>
      <c r="K112" s="23" t="n"/>
      <c r="L112" s="23" t="n"/>
      <c r="M112" s="23" t="n"/>
      <c r="N112" s="23" t="n"/>
      <c r="O112" s="23" t="n"/>
      <c r="P112" s="23" t="n"/>
      <c r="Q112" s="23" t="n"/>
      <c r="R112" s="23" t="n"/>
      <c r="S112" s="23" t="n"/>
      <c r="T112" s="23" t="n"/>
      <c r="U112" s="23" t="n"/>
      <c r="V112" s="23" t="n"/>
      <c r="W112" s="23" t="n"/>
      <c r="X112" s="23" t="n"/>
      <c r="Y112" s="23" t="n"/>
      <c r="Z112" s="23" t="n"/>
      <c r="AA112" s="23" t="n"/>
      <c r="AB112" s="23" t="n"/>
      <c r="AC112" s="23" t="n"/>
      <c r="AD112" s="23" t="n"/>
      <c r="AE112" s="23" t="n"/>
      <c r="AF112" s="23" t="n"/>
      <c r="AG112" s="23" t="n"/>
      <c r="AH112" s="23" t="n"/>
      <c r="AI112" s="23" t="n"/>
      <c r="AJ112" s="23" t="n"/>
      <c r="AK112" s="23" t="n"/>
      <c r="AL112" s="23" t="n"/>
      <c r="AM112" s="26">
        <f>IF(G112="","",G112&amp;"|"&amp;P112)</f>
        <v/>
      </c>
      <c r="AN112" s="27">
        <f>IF(I112="","",IFERROR(DATE(VALUE(RIGHT(I112,4)),VALUE(MID(I112,4,2)),VALUE(LEFT(I112,2))),""))</f>
        <v/>
      </c>
      <c r="AO112" s="27">
        <f>IF(Y112="","",IFERROR(DATE(VALUE(RIGHT(Y112,4)),VALUE(MID(Y112,4,2)),VALUE(LEFT(Y112,2))),""))</f>
        <v/>
      </c>
      <c r="AP112" s="27">
        <f>IF(AC112="","",IFERROR(DATE(VALUE(RIGHT(AC112,4)),VALUE(MID(AC112,4,2)),VALUE(LEFT(AC112,2))),""))</f>
        <v/>
      </c>
      <c r="AQ112" s="26">
        <f>IF(AI112="","",TRIM(LEFT(AI112,FIND(" ",AI112&amp;" ")-1)))</f>
        <v/>
      </c>
      <c r="AR112" s="27">
        <f>IF(AQ112="","",IFERROR(DATE(VALUE(MID(AQ112,FIND("/",AQ112,FIND("/",AQ112)+1)+1,4)),VALUE(LEFT(AQ112,FIND("/",AQ112)-1)),VALUE(MID(AQ112,FIND("/",AQ112)+1,FIND("/",AQ112,FIND("/",AQ112)+1)-FIND("/",AQ112)-1))),""))</f>
        <v/>
      </c>
      <c r="AS112" s="26">
        <f>IF(G112="","",IF(AND(AG112&lt;&gt;"",AG112&lt;&gt;"Bayi Aracı"),"Evet","Hayır"))</f>
        <v/>
      </c>
      <c r="AT112" s="26">
        <f>IF(G112="","",IF(AND(AS112="Evet",T112="Siparişiniz Teslim Edildi"),"Evet","Hayır"))</f>
        <v/>
      </c>
      <c r="AU112" s="26">
        <f>IF(G112="","",IF(AB112="Siparişinizin Montajı Yapıldı","Evet","Hayır"))</f>
        <v/>
      </c>
      <c r="AV112" s="27">
        <f>IF(G112="","",IF(AT112="Evet",AR112,IF(AU112="Evet",AP112,"")))</f>
        <v/>
      </c>
    </row>
    <row r="113">
      <c r="A113" s="23" t="n"/>
      <c r="B113" s="23" t="n"/>
      <c r="C113" s="23" t="n"/>
      <c r="D113" s="23" t="n"/>
      <c r="E113" s="23" t="n"/>
      <c r="F113" s="23" t="n"/>
      <c r="G113" s="23" t="n"/>
      <c r="H113" s="23" t="n"/>
      <c r="I113" s="23" t="n"/>
      <c r="J113" s="23" t="n"/>
      <c r="K113" s="23" t="n"/>
      <c r="L113" s="23" t="n"/>
      <c r="M113" s="23" t="n"/>
      <c r="N113" s="23" t="n"/>
      <c r="O113" s="23" t="n"/>
      <c r="P113" s="23" t="n"/>
      <c r="Q113" s="23" t="n"/>
      <c r="R113" s="23" t="n"/>
      <c r="S113" s="23" t="n"/>
      <c r="T113" s="23" t="n"/>
      <c r="U113" s="23" t="n"/>
      <c r="V113" s="23" t="n"/>
      <c r="W113" s="23" t="n"/>
      <c r="X113" s="23" t="n"/>
      <c r="Y113" s="23" t="n"/>
      <c r="Z113" s="23" t="n"/>
      <c r="AA113" s="23" t="n"/>
      <c r="AB113" s="23" t="n"/>
      <c r="AC113" s="23" t="n"/>
      <c r="AD113" s="23" t="n"/>
      <c r="AE113" s="23" t="n"/>
      <c r="AF113" s="23" t="n"/>
      <c r="AG113" s="23" t="n"/>
      <c r="AH113" s="23" t="n"/>
      <c r="AI113" s="23" t="n"/>
      <c r="AJ113" s="23" t="n"/>
      <c r="AK113" s="23" t="n"/>
      <c r="AL113" s="23" t="n"/>
      <c r="AM113" s="26">
        <f>IF(G113="","",G113&amp;"|"&amp;P113)</f>
        <v/>
      </c>
      <c r="AN113" s="27">
        <f>IF(I113="","",IFERROR(DATE(VALUE(RIGHT(I113,4)),VALUE(MID(I113,4,2)),VALUE(LEFT(I113,2))),""))</f>
        <v/>
      </c>
      <c r="AO113" s="27">
        <f>IF(Y113="","",IFERROR(DATE(VALUE(RIGHT(Y113,4)),VALUE(MID(Y113,4,2)),VALUE(LEFT(Y113,2))),""))</f>
        <v/>
      </c>
      <c r="AP113" s="27">
        <f>IF(AC113="","",IFERROR(DATE(VALUE(RIGHT(AC113,4)),VALUE(MID(AC113,4,2)),VALUE(LEFT(AC113,2))),""))</f>
        <v/>
      </c>
      <c r="AQ113" s="26">
        <f>IF(AI113="","",TRIM(LEFT(AI113,FIND(" ",AI113&amp;" ")-1)))</f>
        <v/>
      </c>
      <c r="AR113" s="27">
        <f>IF(AQ113="","",IFERROR(DATE(VALUE(MID(AQ113,FIND("/",AQ113,FIND("/",AQ113)+1)+1,4)),VALUE(LEFT(AQ113,FIND("/",AQ113)-1)),VALUE(MID(AQ113,FIND("/",AQ113)+1,FIND("/",AQ113,FIND("/",AQ113)+1)-FIND("/",AQ113)-1))),""))</f>
        <v/>
      </c>
      <c r="AS113" s="26">
        <f>IF(G113="","",IF(AND(AG113&lt;&gt;"",AG113&lt;&gt;"Bayi Aracı"),"Evet","Hayır"))</f>
        <v/>
      </c>
      <c r="AT113" s="26">
        <f>IF(G113="","",IF(AND(AS113="Evet",T113="Siparişiniz Teslim Edildi"),"Evet","Hayır"))</f>
        <v/>
      </c>
      <c r="AU113" s="26">
        <f>IF(G113="","",IF(AB113="Siparişinizin Montajı Yapıldı","Evet","Hayır"))</f>
        <v/>
      </c>
      <c r="AV113" s="27">
        <f>IF(G113="","",IF(AT113="Evet",AR113,IF(AU113="Evet",AP113,"")))</f>
        <v/>
      </c>
    </row>
    <row r="114">
      <c r="A114" s="23" t="n"/>
      <c r="B114" s="23" t="n"/>
      <c r="C114" s="23" t="n"/>
      <c r="D114" s="23" t="n"/>
      <c r="E114" s="23" t="n"/>
      <c r="F114" s="23" t="n"/>
      <c r="G114" s="23" t="n"/>
      <c r="H114" s="23" t="n"/>
      <c r="I114" s="23" t="n"/>
      <c r="J114" s="23" t="n"/>
      <c r="K114" s="23" t="n"/>
      <c r="L114" s="23" t="n"/>
      <c r="M114" s="23" t="n"/>
      <c r="N114" s="23" t="n"/>
      <c r="O114" s="23" t="n"/>
      <c r="P114" s="23" t="n"/>
      <c r="Q114" s="23" t="n"/>
      <c r="R114" s="23" t="n"/>
      <c r="S114" s="23" t="n"/>
      <c r="T114" s="23" t="n"/>
      <c r="U114" s="23" t="n"/>
      <c r="V114" s="23" t="n"/>
      <c r="W114" s="23" t="n"/>
      <c r="X114" s="23" t="n"/>
      <c r="Y114" s="23" t="n"/>
      <c r="Z114" s="23" t="n"/>
      <c r="AA114" s="23" t="n"/>
      <c r="AB114" s="23" t="n"/>
      <c r="AC114" s="23" t="n"/>
      <c r="AD114" s="23" t="n"/>
      <c r="AE114" s="23" t="n"/>
      <c r="AF114" s="23" t="n"/>
      <c r="AG114" s="23" t="n"/>
      <c r="AH114" s="23" t="n"/>
      <c r="AI114" s="23" t="n"/>
      <c r="AJ114" s="23" t="n"/>
      <c r="AK114" s="23" t="n"/>
      <c r="AL114" s="23" t="n"/>
      <c r="AM114" s="26">
        <f>IF(G114="","",G114&amp;"|"&amp;P114)</f>
        <v/>
      </c>
      <c r="AN114" s="27">
        <f>IF(I114="","",IFERROR(DATE(VALUE(RIGHT(I114,4)),VALUE(MID(I114,4,2)),VALUE(LEFT(I114,2))),""))</f>
        <v/>
      </c>
      <c r="AO114" s="27">
        <f>IF(Y114="","",IFERROR(DATE(VALUE(RIGHT(Y114,4)),VALUE(MID(Y114,4,2)),VALUE(LEFT(Y114,2))),""))</f>
        <v/>
      </c>
      <c r="AP114" s="27">
        <f>IF(AC114="","",IFERROR(DATE(VALUE(RIGHT(AC114,4)),VALUE(MID(AC114,4,2)),VALUE(LEFT(AC114,2))),""))</f>
        <v/>
      </c>
      <c r="AQ114" s="26">
        <f>IF(AI114="","",TRIM(LEFT(AI114,FIND(" ",AI114&amp;" ")-1)))</f>
        <v/>
      </c>
      <c r="AR114" s="27">
        <f>IF(AQ114="","",IFERROR(DATE(VALUE(MID(AQ114,FIND("/",AQ114,FIND("/",AQ114)+1)+1,4)),VALUE(LEFT(AQ114,FIND("/",AQ114)-1)),VALUE(MID(AQ114,FIND("/",AQ114)+1,FIND("/",AQ114,FIND("/",AQ114)+1)-FIND("/",AQ114)-1))),""))</f>
        <v/>
      </c>
      <c r="AS114" s="26">
        <f>IF(G114="","",IF(AND(AG114&lt;&gt;"",AG114&lt;&gt;"Bayi Aracı"),"Evet","Hayır"))</f>
        <v/>
      </c>
      <c r="AT114" s="26">
        <f>IF(G114="","",IF(AND(AS114="Evet",T114="Siparişiniz Teslim Edildi"),"Evet","Hayır"))</f>
        <v/>
      </c>
      <c r="AU114" s="26">
        <f>IF(G114="","",IF(AB114="Siparişinizin Montajı Yapıldı","Evet","Hayır"))</f>
        <v/>
      </c>
      <c r="AV114" s="27">
        <f>IF(G114="","",IF(AT114="Evet",AR114,IF(AU114="Evet",AP114,"")))</f>
        <v/>
      </c>
    </row>
    <row r="115">
      <c r="A115" s="23" t="n"/>
      <c r="B115" s="23" t="n"/>
      <c r="C115" s="23" t="n"/>
      <c r="D115" s="23" t="n"/>
      <c r="E115" s="23" t="n"/>
      <c r="F115" s="23" t="n"/>
      <c r="G115" s="23" t="n"/>
      <c r="H115" s="23" t="n"/>
      <c r="I115" s="23" t="n"/>
      <c r="J115" s="23" t="n"/>
      <c r="K115" s="23" t="n"/>
      <c r="L115" s="23" t="n"/>
      <c r="M115" s="23" t="n"/>
      <c r="N115" s="23" t="n"/>
      <c r="O115" s="23" t="n"/>
      <c r="P115" s="23" t="n"/>
      <c r="Q115" s="23" t="n"/>
      <c r="R115" s="23" t="n"/>
      <c r="S115" s="23" t="n"/>
      <c r="T115" s="23" t="n"/>
      <c r="U115" s="23" t="n"/>
      <c r="V115" s="23" t="n"/>
      <c r="W115" s="23" t="n"/>
      <c r="X115" s="23" t="n"/>
      <c r="Y115" s="23" t="n"/>
      <c r="Z115" s="23" t="n"/>
      <c r="AA115" s="23" t="n"/>
      <c r="AB115" s="23" t="n"/>
      <c r="AC115" s="23" t="n"/>
      <c r="AD115" s="23" t="n"/>
      <c r="AE115" s="23" t="n"/>
      <c r="AF115" s="23" t="n"/>
      <c r="AG115" s="23" t="n"/>
      <c r="AH115" s="23" t="n"/>
      <c r="AI115" s="23" t="n"/>
      <c r="AJ115" s="23" t="n"/>
      <c r="AK115" s="23" t="n"/>
      <c r="AL115" s="23" t="n"/>
      <c r="AM115" s="26">
        <f>IF(G115="","",G115&amp;"|"&amp;P115)</f>
        <v/>
      </c>
      <c r="AN115" s="27">
        <f>IF(I115="","",IFERROR(DATE(VALUE(RIGHT(I115,4)),VALUE(MID(I115,4,2)),VALUE(LEFT(I115,2))),""))</f>
        <v/>
      </c>
      <c r="AO115" s="27">
        <f>IF(Y115="","",IFERROR(DATE(VALUE(RIGHT(Y115,4)),VALUE(MID(Y115,4,2)),VALUE(LEFT(Y115,2))),""))</f>
        <v/>
      </c>
      <c r="AP115" s="27">
        <f>IF(AC115="","",IFERROR(DATE(VALUE(RIGHT(AC115,4)),VALUE(MID(AC115,4,2)),VALUE(LEFT(AC115,2))),""))</f>
        <v/>
      </c>
      <c r="AQ115" s="26">
        <f>IF(AI115="","",TRIM(LEFT(AI115,FIND(" ",AI115&amp;" ")-1)))</f>
        <v/>
      </c>
      <c r="AR115" s="27">
        <f>IF(AQ115="","",IFERROR(DATE(VALUE(MID(AQ115,FIND("/",AQ115,FIND("/",AQ115)+1)+1,4)),VALUE(LEFT(AQ115,FIND("/",AQ115)-1)),VALUE(MID(AQ115,FIND("/",AQ115)+1,FIND("/",AQ115,FIND("/",AQ115)+1)-FIND("/",AQ115)-1))),""))</f>
        <v/>
      </c>
      <c r="AS115" s="26">
        <f>IF(G115="","",IF(AND(AG115&lt;&gt;"",AG115&lt;&gt;"Bayi Aracı"),"Evet","Hayır"))</f>
        <v/>
      </c>
      <c r="AT115" s="26">
        <f>IF(G115="","",IF(AND(AS115="Evet",T115="Siparişiniz Teslim Edildi"),"Evet","Hayır"))</f>
        <v/>
      </c>
      <c r="AU115" s="26">
        <f>IF(G115="","",IF(AB115="Siparişinizin Montajı Yapıldı","Evet","Hayır"))</f>
        <v/>
      </c>
      <c r="AV115" s="27">
        <f>IF(G115="","",IF(AT115="Evet",AR115,IF(AU115="Evet",AP115,"")))</f>
        <v/>
      </c>
    </row>
    <row r="116">
      <c r="A116" s="23" t="n"/>
      <c r="B116" s="23" t="n"/>
      <c r="C116" s="23" t="n"/>
      <c r="D116" s="23" t="n"/>
      <c r="E116" s="23" t="n"/>
      <c r="F116" s="23" t="n"/>
      <c r="G116" s="23" t="n"/>
      <c r="H116" s="23" t="n"/>
      <c r="I116" s="23" t="n"/>
      <c r="J116" s="23" t="n"/>
      <c r="K116" s="23" t="n"/>
      <c r="L116" s="23" t="n"/>
      <c r="M116" s="23" t="n"/>
      <c r="N116" s="23" t="n"/>
      <c r="O116" s="23" t="n"/>
      <c r="P116" s="23" t="n"/>
      <c r="Q116" s="23" t="n"/>
      <c r="R116" s="23" t="n"/>
      <c r="S116" s="23" t="n"/>
      <c r="T116" s="23" t="n"/>
      <c r="U116" s="23" t="n"/>
      <c r="V116" s="23" t="n"/>
      <c r="W116" s="23" t="n"/>
      <c r="X116" s="23" t="n"/>
      <c r="Y116" s="23" t="n"/>
      <c r="Z116" s="23" t="n"/>
      <c r="AA116" s="23" t="n"/>
      <c r="AB116" s="23" t="n"/>
      <c r="AC116" s="23" t="n"/>
      <c r="AD116" s="23" t="n"/>
      <c r="AE116" s="23" t="n"/>
      <c r="AF116" s="23" t="n"/>
      <c r="AG116" s="23" t="n"/>
      <c r="AH116" s="23" t="n"/>
      <c r="AI116" s="23" t="n"/>
      <c r="AJ116" s="23" t="n"/>
      <c r="AK116" s="23" t="n"/>
      <c r="AL116" s="23" t="n"/>
      <c r="AM116" s="26">
        <f>IF(G116="","",G116&amp;"|"&amp;P116)</f>
        <v/>
      </c>
      <c r="AN116" s="27">
        <f>IF(I116="","",IFERROR(DATE(VALUE(RIGHT(I116,4)),VALUE(MID(I116,4,2)),VALUE(LEFT(I116,2))),""))</f>
        <v/>
      </c>
      <c r="AO116" s="27">
        <f>IF(Y116="","",IFERROR(DATE(VALUE(RIGHT(Y116,4)),VALUE(MID(Y116,4,2)),VALUE(LEFT(Y116,2))),""))</f>
        <v/>
      </c>
      <c r="AP116" s="27">
        <f>IF(AC116="","",IFERROR(DATE(VALUE(RIGHT(AC116,4)),VALUE(MID(AC116,4,2)),VALUE(LEFT(AC116,2))),""))</f>
        <v/>
      </c>
      <c r="AQ116" s="26">
        <f>IF(AI116="","",TRIM(LEFT(AI116,FIND(" ",AI116&amp;" ")-1)))</f>
        <v/>
      </c>
      <c r="AR116" s="27">
        <f>IF(AQ116="","",IFERROR(DATE(VALUE(MID(AQ116,FIND("/",AQ116,FIND("/",AQ116)+1)+1,4)),VALUE(LEFT(AQ116,FIND("/",AQ116)-1)),VALUE(MID(AQ116,FIND("/",AQ116)+1,FIND("/",AQ116,FIND("/",AQ116)+1)-FIND("/",AQ116)-1))),""))</f>
        <v/>
      </c>
      <c r="AS116" s="26">
        <f>IF(G116="","",IF(AND(AG116&lt;&gt;"",AG116&lt;&gt;"Bayi Aracı"),"Evet","Hayır"))</f>
        <v/>
      </c>
      <c r="AT116" s="26">
        <f>IF(G116="","",IF(AND(AS116="Evet",T116="Siparişiniz Teslim Edildi"),"Evet","Hayır"))</f>
        <v/>
      </c>
      <c r="AU116" s="26">
        <f>IF(G116="","",IF(AB116="Siparişinizin Montajı Yapıldı","Evet","Hayır"))</f>
        <v/>
      </c>
      <c r="AV116" s="27">
        <f>IF(G116="","",IF(AT116="Evet",AR116,IF(AU116="Evet",AP116,"")))</f>
        <v/>
      </c>
    </row>
    <row r="117">
      <c r="A117" s="23" t="n"/>
      <c r="B117" s="23" t="n"/>
      <c r="C117" s="23" t="n"/>
      <c r="D117" s="23" t="n"/>
      <c r="E117" s="23" t="n"/>
      <c r="F117" s="23" t="n"/>
      <c r="G117" s="23" t="n"/>
      <c r="H117" s="23" t="n"/>
      <c r="I117" s="23" t="n"/>
      <c r="J117" s="23" t="n"/>
      <c r="K117" s="23" t="n"/>
      <c r="L117" s="23" t="n"/>
      <c r="M117" s="23" t="n"/>
      <c r="N117" s="23" t="n"/>
      <c r="O117" s="23" t="n"/>
      <c r="P117" s="23" t="n"/>
      <c r="Q117" s="23" t="n"/>
      <c r="R117" s="23" t="n"/>
      <c r="S117" s="23" t="n"/>
      <c r="T117" s="23" t="n"/>
      <c r="U117" s="23" t="n"/>
      <c r="V117" s="23" t="n"/>
      <c r="W117" s="23" t="n"/>
      <c r="X117" s="23" t="n"/>
      <c r="Y117" s="23" t="n"/>
      <c r="Z117" s="23" t="n"/>
      <c r="AA117" s="23" t="n"/>
      <c r="AB117" s="23" t="n"/>
      <c r="AC117" s="23" t="n"/>
      <c r="AD117" s="23" t="n"/>
      <c r="AE117" s="23" t="n"/>
      <c r="AF117" s="23" t="n"/>
      <c r="AG117" s="23" t="n"/>
      <c r="AH117" s="23" t="n"/>
      <c r="AI117" s="23" t="n"/>
      <c r="AJ117" s="23" t="n"/>
      <c r="AK117" s="23" t="n"/>
      <c r="AL117" s="23" t="n"/>
      <c r="AM117" s="26">
        <f>IF(G117="","",G117&amp;"|"&amp;P117)</f>
        <v/>
      </c>
      <c r="AN117" s="27">
        <f>IF(I117="","",IFERROR(DATE(VALUE(RIGHT(I117,4)),VALUE(MID(I117,4,2)),VALUE(LEFT(I117,2))),""))</f>
        <v/>
      </c>
      <c r="AO117" s="27">
        <f>IF(Y117="","",IFERROR(DATE(VALUE(RIGHT(Y117,4)),VALUE(MID(Y117,4,2)),VALUE(LEFT(Y117,2))),""))</f>
        <v/>
      </c>
      <c r="AP117" s="27">
        <f>IF(AC117="","",IFERROR(DATE(VALUE(RIGHT(AC117,4)),VALUE(MID(AC117,4,2)),VALUE(LEFT(AC117,2))),""))</f>
        <v/>
      </c>
      <c r="AQ117" s="26">
        <f>IF(AI117="","",TRIM(LEFT(AI117,FIND(" ",AI117&amp;" ")-1)))</f>
        <v/>
      </c>
      <c r="AR117" s="27">
        <f>IF(AQ117="","",IFERROR(DATE(VALUE(MID(AQ117,FIND("/",AQ117,FIND("/",AQ117)+1)+1,4)),VALUE(LEFT(AQ117,FIND("/",AQ117)-1)),VALUE(MID(AQ117,FIND("/",AQ117)+1,FIND("/",AQ117,FIND("/",AQ117)+1)-FIND("/",AQ117)-1))),""))</f>
        <v/>
      </c>
      <c r="AS117" s="26">
        <f>IF(G117="","",IF(AND(AG117&lt;&gt;"",AG117&lt;&gt;"Bayi Aracı"),"Evet","Hayır"))</f>
        <v/>
      </c>
      <c r="AT117" s="26">
        <f>IF(G117="","",IF(AND(AS117="Evet",T117="Siparişiniz Teslim Edildi"),"Evet","Hayır"))</f>
        <v/>
      </c>
      <c r="AU117" s="26">
        <f>IF(G117="","",IF(AB117="Siparişinizin Montajı Yapıldı","Evet","Hayır"))</f>
        <v/>
      </c>
      <c r="AV117" s="27">
        <f>IF(G117="","",IF(AT117="Evet",AR117,IF(AU117="Evet",AP117,"")))</f>
        <v/>
      </c>
    </row>
    <row r="118">
      <c r="A118" s="23" t="n"/>
      <c r="B118" s="23" t="n"/>
      <c r="C118" s="23" t="n"/>
      <c r="D118" s="23" t="n"/>
      <c r="E118" s="23" t="n"/>
      <c r="F118" s="23" t="n"/>
      <c r="G118" s="23" t="n"/>
      <c r="H118" s="23" t="n"/>
      <c r="I118" s="23" t="n"/>
      <c r="J118" s="23" t="n"/>
      <c r="K118" s="23" t="n"/>
      <c r="L118" s="23" t="n"/>
      <c r="M118" s="23" t="n"/>
      <c r="N118" s="23" t="n"/>
      <c r="O118" s="23" t="n"/>
      <c r="P118" s="23" t="n"/>
      <c r="Q118" s="23" t="n"/>
      <c r="R118" s="23" t="n"/>
      <c r="S118" s="23" t="n"/>
      <c r="T118" s="23" t="n"/>
      <c r="U118" s="23" t="n"/>
      <c r="V118" s="23" t="n"/>
      <c r="W118" s="23" t="n"/>
      <c r="X118" s="23" t="n"/>
      <c r="Y118" s="23" t="n"/>
      <c r="Z118" s="23" t="n"/>
      <c r="AA118" s="23" t="n"/>
      <c r="AB118" s="23" t="n"/>
      <c r="AC118" s="23" t="n"/>
      <c r="AD118" s="23" t="n"/>
      <c r="AE118" s="23" t="n"/>
      <c r="AF118" s="23" t="n"/>
      <c r="AG118" s="23" t="n"/>
      <c r="AH118" s="23" t="n"/>
      <c r="AI118" s="23" t="n"/>
      <c r="AJ118" s="23" t="n"/>
      <c r="AK118" s="23" t="n"/>
      <c r="AL118" s="23" t="n"/>
      <c r="AM118" s="26">
        <f>IF(G118="","",G118&amp;"|"&amp;P118)</f>
        <v/>
      </c>
      <c r="AN118" s="27">
        <f>IF(I118="","",IFERROR(DATE(VALUE(RIGHT(I118,4)),VALUE(MID(I118,4,2)),VALUE(LEFT(I118,2))),""))</f>
        <v/>
      </c>
      <c r="AO118" s="27">
        <f>IF(Y118="","",IFERROR(DATE(VALUE(RIGHT(Y118,4)),VALUE(MID(Y118,4,2)),VALUE(LEFT(Y118,2))),""))</f>
        <v/>
      </c>
      <c r="AP118" s="27">
        <f>IF(AC118="","",IFERROR(DATE(VALUE(RIGHT(AC118,4)),VALUE(MID(AC118,4,2)),VALUE(LEFT(AC118,2))),""))</f>
        <v/>
      </c>
      <c r="AQ118" s="26">
        <f>IF(AI118="","",TRIM(LEFT(AI118,FIND(" ",AI118&amp;" ")-1)))</f>
        <v/>
      </c>
      <c r="AR118" s="27">
        <f>IF(AQ118="","",IFERROR(DATE(VALUE(MID(AQ118,FIND("/",AQ118,FIND("/",AQ118)+1)+1,4)),VALUE(LEFT(AQ118,FIND("/",AQ118)-1)),VALUE(MID(AQ118,FIND("/",AQ118)+1,FIND("/",AQ118,FIND("/",AQ118)+1)-FIND("/",AQ118)-1))),""))</f>
        <v/>
      </c>
      <c r="AS118" s="26">
        <f>IF(G118="","",IF(AND(AG118&lt;&gt;"",AG118&lt;&gt;"Bayi Aracı"),"Evet","Hayır"))</f>
        <v/>
      </c>
      <c r="AT118" s="26">
        <f>IF(G118="","",IF(AND(AS118="Evet",T118="Siparişiniz Teslim Edildi"),"Evet","Hayır"))</f>
        <v/>
      </c>
      <c r="AU118" s="26">
        <f>IF(G118="","",IF(AB118="Siparişinizin Montajı Yapıldı","Evet","Hayır"))</f>
        <v/>
      </c>
      <c r="AV118" s="27">
        <f>IF(G118="","",IF(AT118="Evet",AR118,IF(AU118="Evet",AP118,"")))</f>
        <v/>
      </c>
    </row>
    <row r="119">
      <c r="A119" s="23" t="n"/>
      <c r="B119" s="23" t="n"/>
      <c r="C119" s="23" t="n"/>
      <c r="D119" s="23" t="n"/>
      <c r="E119" s="23" t="n"/>
      <c r="F119" s="23" t="n"/>
      <c r="G119" s="23" t="n"/>
      <c r="H119" s="23" t="n"/>
      <c r="I119" s="23" t="n"/>
      <c r="J119" s="23" t="n"/>
      <c r="K119" s="23" t="n"/>
      <c r="L119" s="23" t="n"/>
      <c r="M119" s="23" t="n"/>
      <c r="N119" s="23" t="n"/>
      <c r="O119" s="23" t="n"/>
      <c r="P119" s="23" t="n"/>
      <c r="Q119" s="23" t="n"/>
      <c r="R119" s="23" t="n"/>
      <c r="S119" s="23" t="n"/>
      <c r="T119" s="23" t="n"/>
      <c r="U119" s="23" t="n"/>
      <c r="V119" s="23" t="n"/>
      <c r="W119" s="23" t="n"/>
      <c r="X119" s="23" t="n"/>
      <c r="Y119" s="23" t="n"/>
      <c r="Z119" s="23" t="n"/>
      <c r="AA119" s="23" t="n"/>
      <c r="AB119" s="23" t="n"/>
      <c r="AC119" s="23" t="n"/>
      <c r="AD119" s="23" t="n"/>
      <c r="AE119" s="23" t="n"/>
      <c r="AF119" s="23" t="n"/>
      <c r="AG119" s="23" t="n"/>
      <c r="AH119" s="23" t="n"/>
      <c r="AI119" s="23" t="n"/>
      <c r="AJ119" s="23" t="n"/>
      <c r="AK119" s="23" t="n"/>
      <c r="AL119" s="23" t="n"/>
      <c r="AM119" s="26">
        <f>IF(G119="","",G119&amp;"|"&amp;P119)</f>
        <v/>
      </c>
      <c r="AN119" s="27">
        <f>IF(I119="","",IFERROR(DATE(VALUE(RIGHT(I119,4)),VALUE(MID(I119,4,2)),VALUE(LEFT(I119,2))),""))</f>
        <v/>
      </c>
      <c r="AO119" s="27">
        <f>IF(Y119="","",IFERROR(DATE(VALUE(RIGHT(Y119,4)),VALUE(MID(Y119,4,2)),VALUE(LEFT(Y119,2))),""))</f>
        <v/>
      </c>
      <c r="AP119" s="27">
        <f>IF(AC119="","",IFERROR(DATE(VALUE(RIGHT(AC119,4)),VALUE(MID(AC119,4,2)),VALUE(LEFT(AC119,2))),""))</f>
        <v/>
      </c>
      <c r="AQ119" s="26">
        <f>IF(AI119="","",TRIM(LEFT(AI119,FIND(" ",AI119&amp;" ")-1)))</f>
        <v/>
      </c>
      <c r="AR119" s="27">
        <f>IF(AQ119="","",IFERROR(DATE(VALUE(MID(AQ119,FIND("/",AQ119,FIND("/",AQ119)+1)+1,4)),VALUE(LEFT(AQ119,FIND("/",AQ119)-1)),VALUE(MID(AQ119,FIND("/",AQ119)+1,FIND("/",AQ119,FIND("/",AQ119)+1)-FIND("/",AQ119)-1))),""))</f>
        <v/>
      </c>
      <c r="AS119" s="26">
        <f>IF(G119="","",IF(AND(AG119&lt;&gt;"",AG119&lt;&gt;"Bayi Aracı"),"Evet","Hayır"))</f>
        <v/>
      </c>
      <c r="AT119" s="26">
        <f>IF(G119="","",IF(AND(AS119="Evet",T119="Siparişiniz Teslim Edildi"),"Evet","Hayır"))</f>
        <v/>
      </c>
      <c r="AU119" s="26">
        <f>IF(G119="","",IF(AB119="Siparişinizin Montajı Yapıldı","Evet","Hayır"))</f>
        <v/>
      </c>
      <c r="AV119" s="27">
        <f>IF(G119="","",IF(AT119="Evet",AR119,IF(AU119="Evet",AP119,"")))</f>
        <v/>
      </c>
    </row>
    <row r="120">
      <c r="A120" s="23" t="n"/>
      <c r="B120" s="23" t="n"/>
      <c r="C120" s="23" t="n"/>
      <c r="D120" s="23" t="n"/>
      <c r="E120" s="23" t="n"/>
      <c r="F120" s="23" t="n"/>
      <c r="G120" s="23" t="n"/>
      <c r="H120" s="23" t="n"/>
      <c r="I120" s="23" t="n"/>
      <c r="J120" s="23" t="n"/>
      <c r="K120" s="23" t="n"/>
      <c r="L120" s="23" t="n"/>
      <c r="M120" s="23" t="n"/>
      <c r="N120" s="23" t="n"/>
      <c r="O120" s="23" t="n"/>
      <c r="P120" s="23" t="n"/>
      <c r="Q120" s="23" t="n"/>
      <c r="R120" s="23" t="n"/>
      <c r="S120" s="23" t="n"/>
      <c r="T120" s="23" t="n"/>
      <c r="U120" s="23" t="n"/>
      <c r="V120" s="23" t="n"/>
      <c r="W120" s="23" t="n"/>
      <c r="X120" s="23" t="n"/>
      <c r="Y120" s="23" t="n"/>
      <c r="Z120" s="23" t="n"/>
      <c r="AA120" s="23" t="n"/>
      <c r="AB120" s="23" t="n"/>
      <c r="AC120" s="23" t="n"/>
      <c r="AD120" s="23" t="n"/>
      <c r="AE120" s="23" t="n"/>
      <c r="AF120" s="23" t="n"/>
      <c r="AG120" s="23" t="n"/>
      <c r="AH120" s="23" t="n"/>
      <c r="AI120" s="23" t="n"/>
      <c r="AJ120" s="23" t="n"/>
      <c r="AK120" s="23" t="n"/>
      <c r="AL120" s="23" t="n"/>
      <c r="AM120" s="26">
        <f>IF(G120="","",G120&amp;"|"&amp;P120)</f>
        <v/>
      </c>
      <c r="AN120" s="27">
        <f>IF(I120="","",IFERROR(DATE(VALUE(RIGHT(I120,4)),VALUE(MID(I120,4,2)),VALUE(LEFT(I120,2))),""))</f>
        <v/>
      </c>
      <c r="AO120" s="27">
        <f>IF(Y120="","",IFERROR(DATE(VALUE(RIGHT(Y120,4)),VALUE(MID(Y120,4,2)),VALUE(LEFT(Y120,2))),""))</f>
        <v/>
      </c>
      <c r="AP120" s="27">
        <f>IF(AC120="","",IFERROR(DATE(VALUE(RIGHT(AC120,4)),VALUE(MID(AC120,4,2)),VALUE(LEFT(AC120,2))),""))</f>
        <v/>
      </c>
      <c r="AQ120" s="26">
        <f>IF(AI120="","",TRIM(LEFT(AI120,FIND(" ",AI120&amp;" ")-1)))</f>
        <v/>
      </c>
      <c r="AR120" s="27">
        <f>IF(AQ120="","",IFERROR(DATE(VALUE(MID(AQ120,FIND("/",AQ120,FIND("/",AQ120)+1)+1,4)),VALUE(LEFT(AQ120,FIND("/",AQ120)-1)),VALUE(MID(AQ120,FIND("/",AQ120)+1,FIND("/",AQ120,FIND("/",AQ120)+1)-FIND("/",AQ120)-1))),""))</f>
        <v/>
      </c>
      <c r="AS120" s="26">
        <f>IF(G120="","",IF(AND(AG120&lt;&gt;"",AG120&lt;&gt;"Bayi Aracı"),"Evet","Hayır"))</f>
        <v/>
      </c>
      <c r="AT120" s="26">
        <f>IF(G120="","",IF(AND(AS120="Evet",T120="Siparişiniz Teslim Edildi"),"Evet","Hayır"))</f>
        <v/>
      </c>
      <c r="AU120" s="26">
        <f>IF(G120="","",IF(AB120="Siparişinizin Montajı Yapıldı","Evet","Hayır"))</f>
        <v/>
      </c>
      <c r="AV120" s="27">
        <f>IF(G120="","",IF(AT120="Evet",AR120,IF(AU120="Evet",AP120,"")))</f>
        <v/>
      </c>
    </row>
    <row r="121">
      <c r="A121" s="23" t="n"/>
      <c r="B121" s="23" t="n"/>
      <c r="C121" s="23" t="n"/>
      <c r="D121" s="23" t="n"/>
      <c r="E121" s="23" t="n"/>
      <c r="F121" s="23" t="n"/>
      <c r="G121" s="23" t="n"/>
      <c r="H121" s="23" t="n"/>
      <c r="I121" s="23" t="n"/>
      <c r="J121" s="23" t="n"/>
      <c r="K121" s="23" t="n"/>
      <c r="L121" s="23" t="n"/>
      <c r="M121" s="23" t="n"/>
      <c r="N121" s="23" t="n"/>
      <c r="O121" s="23" t="n"/>
      <c r="P121" s="23" t="n"/>
      <c r="Q121" s="23" t="n"/>
      <c r="R121" s="23" t="n"/>
      <c r="S121" s="23" t="n"/>
      <c r="T121" s="23" t="n"/>
      <c r="U121" s="23" t="n"/>
      <c r="V121" s="23" t="n"/>
      <c r="W121" s="23" t="n"/>
      <c r="X121" s="23" t="n"/>
      <c r="Y121" s="23" t="n"/>
      <c r="Z121" s="23" t="n"/>
      <c r="AA121" s="23" t="n"/>
      <c r="AB121" s="23" t="n"/>
      <c r="AC121" s="23" t="n"/>
      <c r="AD121" s="23" t="n"/>
      <c r="AE121" s="23" t="n"/>
      <c r="AF121" s="23" t="n"/>
      <c r="AG121" s="23" t="n"/>
      <c r="AH121" s="23" t="n"/>
      <c r="AI121" s="23" t="n"/>
      <c r="AJ121" s="23" t="n"/>
      <c r="AK121" s="23" t="n"/>
      <c r="AL121" s="23" t="n"/>
      <c r="AM121" s="26">
        <f>IF(G121="","",G121&amp;"|"&amp;P121)</f>
        <v/>
      </c>
      <c r="AN121" s="27">
        <f>IF(I121="","",IFERROR(DATE(VALUE(RIGHT(I121,4)),VALUE(MID(I121,4,2)),VALUE(LEFT(I121,2))),""))</f>
        <v/>
      </c>
      <c r="AO121" s="27">
        <f>IF(Y121="","",IFERROR(DATE(VALUE(RIGHT(Y121,4)),VALUE(MID(Y121,4,2)),VALUE(LEFT(Y121,2))),""))</f>
        <v/>
      </c>
      <c r="AP121" s="27">
        <f>IF(AC121="","",IFERROR(DATE(VALUE(RIGHT(AC121,4)),VALUE(MID(AC121,4,2)),VALUE(LEFT(AC121,2))),""))</f>
        <v/>
      </c>
      <c r="AQ121" s="26">
        <f>IF(AI121="","",TRIM(LEFT(AI121,FIND(" ",AI121&amp;" ")-1)))</f>
        <v/>
      </c>
      <c r="AR121" s="27">
        <f>IF(AQ121="","",IFERROR(DATE(VALUE(MID(AQ121,FIND("/",AQ121,FIND("/",AQ121)+1)+1,4)),VALUE(LEFT(AQ121,FIND("/",AQ121)-1)),VALUE(MID(AQ121,FIND("/",AQ121)+1,FIND("/",AQ121,FIND("/",AQ121)+1)-FIND("/",AQ121)-1))),""))</f>
        <v/>
      </c>
      <c r="AS121" s="26">
        <f>IF(G121="","",IF(AND(AG121&lt;&gt;"",AG121&lt;&gt;"Bayi Aracı"),"Evet","Hayır"))</f>
        <v/>
      </c>
      <c r="AT121" s="26">
        <f>IF(G121="","",IF(AND(AS121="Evet",T121="Siparişiniz Teslim Edildi"),"Evet","Hayır"))</f>
        <v/>
      </c>
      <c r="AU121" s="26">
        <f>IF(G121="","",IF(AB121="Siparişinizin Montajı Yapıldı","Evet","Hayır"))</f>
        <v/>
      </c>
      <c r="AV121" s="27">
        <f>IF(G121="","",IF(AT121="Evet",AR121,IF(AU121="Evet",AP121,"")))</f>
        <v/>
      </c>
    </row>
    <row r="122">
      <c r="A122" s="23" t="n"/>
      <c r="B122" s="23" t="n"/>
      <c r="C122" s="23" t="n"/>
      <c r="D122" s="23" t="n"/>
      <c r="E122" s="23" t="n"/>
      <c r="F122" s="23" t="n"/>
      <c r="G122" s="23" t="n"/>
      <c r="H122" s="23" t="n"/>
      <c r="I122" s="23" t="n"/>
      <c r="J122" s="23" t="n"/>
      <c r="K122" s="23" t="n"/>
      <c r="L122" s="23" t="n"/>
      <c r="M122" s="23" t="n"/>
      <c r="N122" s="23" t="n"/>
      <c r="O122" s="23" t="n"/>
      <c r="P122" s="23" t="n"/>
      <c r="Q122" s="23" t="n"/>
      <c r="R122" s="23" t="n"/>
      <c r="S122" s="23" t="n"/>
      <c r="T122" s="23" t="n"/>
      <c r="U122" s="23" t="n"/>
      <c r="V122" s="23" t="n"/>
      <c r="W122" s="23" t="n"/>
      <c r="X122" s="23" t="n"/>
      <c r="Y122" s="23" t="n"/>
      <c r="Z122" s="23" t="n"/>
      <c r="AA122" s="23" t="n"/>
      <c r="AB122" s="23" t="n"/>
      <c r="AC122" s="23" t="n"/>
      <c r="AD122" s="23" t="n"/>
      <c r="AE122" s="23" t="n"/>
      <c r="AF122" s="23" t="n"/>
      <c r="AG122" s="23" t="n"/>
      <c r="AH122" s="23" t="n"/>
      <c r="AI122" s="23" t="n"/>
      <c r="AJ122" s="23" t="n"/>
      <c r="AK122" s="23" t="n"/>
      <c r="AL122" s="23" t="n"/>
      <c r="AM122" s="26">
        <f>IF(G122="","",G122&amp;"|"&amp;P122)</f>
        <v/>
      </c>
      <c r="AN122" s="27">
        <f>IF(I122="","",IFERROR(DATE(VALUE(RIGHT(I122,4)),VALUE(MID(I122,4,2)),VALUE(LEFT(I122,2))),""))</f>
        <v/>
      </c>
      <c r="AO122" s="27">
        <f>IF(Y122="","",IFERROR(DATE(VALUE(RIGHT(Y122,4)),VALUE(MID(Y122,4,2)),VALUE(LEFT(Y122,2))),""))</f>
        <v/>
      </c>
      <c r="AP122" s="27">
        <f>IF(AC122="","",IFERROR(DATE(VALUE(RIGHT(AC122,4)),VALUE(MID(AC122,4,2)),VALUE(LEFT(AC122,2))),""))</f>
        <v/>
      </c>
      <c r="AQ122" s="26">
        <f>IF(AI122="","",TRIM(LEFT(AI122,FIND(" ",AI122&amp;" ")-1)))</f>
        <v/>
      </c>
      <c r="AR122" s="27">
        <f>IF(AQ122="","",IFERROR(DATE(VALUE(MID(AQ122,FIND("/",AQ122,FIND("/",AQ122)+1)+1,4)),VALUE(LEFT(AQ122,FIND("/",AQ122)-1)),VALUE(MID(AQ122,FIND("/",AQ122)+1,FIND("/",AQ122,FIND("/",AQ122)+1)-FIND("/",AQ122)-1))),""))</f>
        <v/>
      </c>
      <c r="AS122" s="26">
        <f>IF(G122="","",IF(AND(AG122&lt;&gt;"",AG122&lt;&gt;"Bayi Aracı"),"Evet","Hayır"))</f>
        <v/>
      </c>
      <c r="AT122" s="26">
        <f>IF(G122="","",IF(AND(AS122="Evet",T122="Siparişiniz Teslim Edildi"),"Evet","Hayır"))</f>
        <v/>
      </c>
      <c r="AU122" s="26">
        <f>IF(G122="","",IF(AB122="Siparişinizin Montajı Yapıldı","Evet","Hayır"))</f>
        <v/>
      </c>
      <c r="AV122" s="27">
        <f>IF(G122="","",IF(AT122="Evet",AR122,IF(AU122="Evet",AP122,"")))</f>
        <v/>
      </c>
    </row>
    <row r="123">
      <c r="A123" s="23" t="n"/>
      <c r="B123" s="23" t="n"/>
      <c r="C123" s="23" t="n"/>
      <c r="D123" s="23" t="n"/>
      <c r="E123" s="23" t="n"/>
      <c r="F123" s="23" t="n"/>
      <c r="G123" s="23" t="n"/>
      <c r="H123" s="23" t="n"/>
      <c r="I123" s="23" t="n"/>
      <c r="J123" s="23" t="n"/>
      <c r="K123" s="23" t="n"/>
      <c r="L123" s="23" t="n"/>
      <c r="M123" s="23" t="n"/>
      <c r="N123" s="23" t="n"/>
      <c r="O123" s="23" t="n"/>
      <c r="P123" s="23" t="n"/>
      <c r="Q123" s="23" t="n"/>
      <c r="R123" s="23" t="n"/>
      <c r="S123" s="23" t="n"/>
      <c r="T123" s="23" t="n"/>
      <c r="U123" s="23" t="n"/>
      <c r="V123" s="23" t="n"/>
      <c r="W123" s="23" t="n"/>
      <c r="X123" s="23" t="n"/>
      <c r="Y123" s="23" t="n"/>
      <c r="Z123" s="23" t="n"/>
      <c r="AA123" s="23" t="n"/>
      <c r="AB123" s="23" t="n"/>
      <c r="AC123" s="23" t="n"/>
      <c r="AD123" s="23" t="n"/>
      <c r="AE123" s="23" t="n"/>
      <c r="AF123" s="23" t="n"/>
      <c r="AG123" s="23" t="n"/>
      <c r="AH123" s="23" t="n"/>
      <c r="AI123" s="23" t="n"/>
      <c r="AJ123" s="23" t="n"/>
      <c r="AK123" s="23" t="n"/>
      <c r="AL123" s="23" t="n"/>
      <c r="AM123" s="26">
        <f>IF(G123="","",G123&amp;"|"&amp;P123)</f>
        <v/>
      </c>
      <c r="AN123" s="27">
        <f>IF(I123="","",IFERROR(DATE(VALUE(RIGHT(I123,4)),VALUE(MID(I123,4,2)),VALUE(LEFT(I123,2))),""))</f>
        <v/>
      </c>
      <c r="AO123" s="27">
        <f>IF(Y123="","",IFERROR(DATE(VALUE(RIGHT(Y123,4)),VALUE(MID(Y123,4,2)),VALUE(LEFT(Y123,2))),""))</f>
        <v/>
      </c>
      <c r="AP123" s="27">
        <f>IF(AC123="","",IFERROR(DATE(VALUE(RIGHT(AC123,4)),VALUE(MID(AC123,4,2)),VALUE(LEFT(AC123,2))),""))</f>
        <v/>
      </c>
      <c r="AQ123" s="26">
        <f>IF(AI123="","",TRIM(LEFT(AI123,FIND(" ",AI123&amp;" ")-1)))</f>
        <v/>
      </c>
      <c r="AR123" s="27">
        <f>IF(AQ123="","",IFERROR(DATE(VALUE(MID(AQ123,FIND("/",AQ123,FIND("/",AQ123)+1)+1,4)),VALUE(LEFT(AQ123,FIND("/",AQ123)-1)),VALUE(MID(AQ123,FIND("/",AQ123)+1,FIND("/",AQ123,FIND("/",AQ123)+1)-FIND("/",AQ123)-1))),""))</f>
        <v/>
      </c>
      <c r="AS123" s="26">
        <f>IF(G123="","",IF(AND(AG123&lt;&gt;"",AG123&lt;&gt;"Bayi Aracı"),"Evet","Hayır"))</f>
        <v/>
      </c>
      <c r="AT123" s="26">
        <f>IF(G123="","",IF(AND(AS123="Evet",T123="Siparişiniz Teslim Edildi"),"Evet","Hayır"))</f>
        <v/>
      </c>
      <c r="AU123" s="26">
        <f>IF(G123="","",IF(AB123="Siparişinizin Montajı Yapıldı","Evet","Hayır"))</f>
        <v/>
      </c>
      <c r="AV123" s="27">
        <f>IF(G123="","",IF(AT123="Evet",AR123,IF(AU123="Evet",AP123,"")))</f>
        <v/>
      </c>
    </row>
    <row r="124">
      <c r="A124" s="23" t="n"/>
      <c r="B124" s="23" t="n"/>
      <c r="C124" s="23" t="n"/>
      <c r="D124" s="23" t="n"/>
      <c r="E124" s="23" t="n"/>
      <c r="F124" s="23" t="n"/>
      <c r="G124" s="23" t="n"/>
      <c r="H124" s="23" t="n"/>
      <c r="I124" s="23" t="n"/>
      <c r="J124" s="23" t="n"/>
      <c r="K124" s="23" t="n"/>
      <c r="L124" s="23" t="n"/>
      <c r="M124" s="23" t="n"/>
      <c r="N124" s="23" t="n"/>
      <c r="O124" s="23" t="n"/>
      <c r="P124" s="23" t="n"/>
      <c r="Q124" s="23" t="n"/>
      <c r="R124" s="23" t="n"/>
      <c r="S124" s="23" t="n"/>
      <c r="T124" s="23" t="n"/>
      <c r="U124" s="23" t="n"/>
      <c r="V124" s="23" t="n"/>
      <c r="W124" s="23" t="n"/>
      <c r="X124" s="23" t="n"/>
      <c r="Y124" s="23" t="n"/>
      <c r="Z124" s="23" t="n"/>
      <c r="AA124" s="23" t="n"/>
      <c r="AB124" s="23" t="n"/>
      <c r="AC124" s="23" t="n"/>
      <c r="AD124" s="23" t="n"/>
      <c r="AE124" s="23" t="n"/>
      <c r="AF124" s="23" t="n"/>
      <c r="AG124" s="23" t="n"/>
      <c r="AH124" s="23" t="n"/>
      <c r="AI124" s="23" t="n"/>
      <c r="AJ124" s="23" t="n"/>
      <c r="AK124" s="23" t="n"/>
      <c r="AL124" s="23" t="n"/>
      <c r="AM124" s="26">
        <f>IF(G124="","",G124&amp;"|"&amp;P124)</f>
        <v/>
      </c>
      <c r="AN124" s="27">
        <f>IF(I124="","",IFERROR(DATE(VALUE(RIGHT(I124,4)),VALUE(MID(I124,4,2)),VALUE(LEFT(I124,2))),""))</f>
        <v/>
      </c>
      <c r="AO124" s="27">
        <f>IF(Y124="","",IFERROR(DATE(VALUE(RIGHT(Y124,4)),VALUE(MID(Y124,4,2)),VALUE(LEFT(Y124,2))),""))</f>
        <v/>
      </c>
      <c r="AP124" s="27">
        <f>IF(AC124="","",IFERROR(DATE(VALUE(RIGHT(AC124,4)),VALUE(MID(AC124,4,2)),VALUE(LEFT(AC124,2))),""))</f>
        <v/>
      </c>
      <c r="AQ124" s="26">
        <f>IF(AI124="","",TRIM(LEFT(AI124,FIND(" ",AI124&amp;" ")-1)))</f>
        <v/>
      </c>
      <c r="AR124" s="27">
        <f>IF(AQ124="","",IFERROR(DATE(VALUE(MID(AQ124,FIND("/",AQ124,FIND("/",AQ124)+1)+1,4)),VALUE(LEFT(AQ124,FIND("/",AQ124)-1)),VALUE(MID(AQ124,FIND("/",AQ124)+1,FIND("/",AQ124,FIND("/",AQ124)+1)-FIND("/",AQ124)-1))),""))</f>
        <v/>
      </c>
      <c r="AS124" s="26">
        <f>IF(G124="","",IF(AND(AG124&lt;&gt;"",AG124&lt;&gt;"Bayi Aracı"),"Evet","Hayır"))</f>
        <v/>
      </c>
      <c r="AT124" s="26">
        <f>IF(G124="","",IF(AND(AS124="Evet",T124="Siparişiniz Teslim Edildi"),"Evet","Hayır"))</f>
        <v/>
      </c>
      <c r="AU124" s="26">
        <f>IF(G124="","",IF(AB124="Siparişinizin Montajı Yapıldı","Evet","Hayır"))</f>
        <v/>
      </c>
      <c r="AV124" s="27">
        <f>IF(G124="","",IF(AT124="Evet",AR124,IF(AU124="Evet",AP124,"")))</f>
        <v/>
      </c>
    </row>
    <row r="125">
      <c r="A125" s="23" t="n"/>
      <c r="B125" s="23" t="n"/>
      <c r="C125" s="23" t="n"/>
      <c r="D125" s="23" t="n"/>
      <c r="E125" s="23" t="n"/>
      <c r="F125" s="23" t="n"/>
      <c r="G125" s="23" t="n"/>
      <c r="H125" s="23" t="n"/>
      <c r="I125" s="23" t="n"/>
      <c r="J125" s="23" t="n"/>
      <c r="K125" s="23" t="n"/>
      <c r="L125" s="23" t="n"/>
      <c r="M125" s="23" t="n"/>
      <c r="N125" s="23" t="n"/>
      <c r="O125" s="23" t="n"/>
      <c r="P125" s="23" t="n"/>
      <c r="Q125" s="23" t="n"/>
      <c r="R125" s="23" t="n"/>
      <c r="S125" s="23" t="n"/>
      <c r="T125" s="23" t="n"/>
      <c r="U125" s="23" t="n"/>
      <c r="V125" s="23" t="n"/>
      <c r="W125" s="23" t="n"/>
      <c r="X125" s="23" t="n"/>
      <c r="Y125" s="23" t="n"/>
      <c r="Z125" s="23" t="n"/>
      <c r="AA125" s="23" t="n"/>
      <c r="AB125" s="23" t="n"/>
      <c r="AC125" s="23" t="n"/>
      <c r="AD125" s="23" t="n"/>
      <c r="AE125" s="23" t="n"/>
      <c r="AF125" s="23" t="n"/>
      <c r="AG125" s="23" t="n"/>
      <c r="AH125" s="23" t="n"/>
      <c r="AI125" s="23" t="n"/>
      <c r="AJ125" s="23" t="n"/>
      <c r="AK125" s="23" t="n"/>
      <c r="AL125" s="23" t="n"/>
      <c r="AM125" s="26">
        <f>IF(G125="","",G125&amp;"|"&amp;P125)</f>
        <v/>
      </c>
      <c r="AN125" s="27">
        <f>IF(I125="","",IFERROR(DATE(VALUE(RIGHT(I125,4)),VALUE(MID(I125,4,2)),VALUE(LEFT(I125,2))),""))</f>
        <v/>
      </c>
      <c r="AO125" s="27">
        <f>IF(Y125="","",IFERROR(DATE(VALUE(RIGHT(Y125,4)),VALUE(MID(Y125,4,2)),VALUE(LEFT(Y125,2))),""))</f>
        <v/>
      </c>
      <c r="AP125" s="27">
        <f>IF(AC125="","",IFERROR(DATE(VALUE(RIGHT(AC125,4)),VALUE(MID(AC125,4,2)),VALUE(LEFT(AC125,2))),""))</f>
        <v/>
      </c>
      <c r="AQ125" s="26">
        <f>IF(AI125="","",TRIM(LEFT(AI125,FIND(" ",AI125&amp;" ")-1)))</f>
        <v/>
      </c>
      <c r="AR125" s="27">
        <f>IF(AQ125="","",IFERROR(DATE(VALUE(MID(AQ125,FIND("/",AQ125,FIND("/",AQ125)+1)+1,4)),VALUE(LEFT(AQ125,FIND("/",AQ125)-1)),VALUE(MID(AQ125,FIND("/",AQ125)+1,FIND("/",AQ125,FIND("/",AQ125)+1)-FIND("/",AQ125)-1))),""))</f>
        <v/>
      </c>
      <c r="AS125" s="26">
        <f>IF(G125="","",IF(AND(AG125&lt;&gt;"",AG125&lt;&gt;"Bayi Aracı"),"Evet","Hayır"))</f>
        <v/>
      </c>
      <c r="AT125" s="26">
        <f>IF(G125="","",IF(AND(AS125="Evet",T125="Siparişiniz Teslim Edildi"),"Evet","Hayır"))</f>
        <v/>
      </c>
      <c r="AU125" s="26">
        <f>IF(G125="","",IF(AB125="Siparişinizin Montajı Yapıldı","Evet","Hayır"))</f>
        <v/>
      </c>
      <c r="AV125" s="27">
        <f>IF(G125="","",IF(AT125="Evet",AR125,IF(AU125="Evet",AP125,"")))</f>
        <v/>
      </c>
    </row>
    <row r="126">
      <c r="A126" s="23" t="n"/>
      <c r="B126" s="23" t="n"/>
      <c r="C126" s="23" t="n"/>
      <c r="D126" s="23" t="n"/>
      <c r="E126" s="23" t="n"/>
      <c r="F126" s="23" t="n"/>
      <c r="G126" s="23" t="n"/>
      <c r="H126" s="23" t="n"/>
      <c r="I126" s="23" t="n"/>
      <c r="J126" s="23" t="n"/>
      <c r="K126" s="23" t="n"/>
      <c r="L126" s="23" t="n"/>
      <c r="M126" s="23" t="n"/>
      <c r="N126" s="23" t="n"/>
      <c r="O126" s="23" t="n"/>
      <c r="P126" s="23" t="n"/>
      <c r="Q126" s="23" t="n"/>
      <c r="R126" s="23" t="n"/>
      <c r="S126" s="23" t="n"/>
      <c r="T126" s="23" t="n"/>
      <c r="U126" s="23" t="n"/>
      <c r="V126" s="23" t="n"/>
      <c r="W126" s="23" t="n"/>
      <c r="X126" s="23" t="n"/>
      <c r="Y126" s="23" t="n"/>
      <c r="Z126" s="23" t="n"/>
      <c r="AA126" s="23" t="n"/>
      <c r="AB126" s="23" t="n"/>
      <c r="AC126" s="23" t="n"/>
      <c r="AD126" s="23" t="n"/>
      <c r="AE126" s="23" t="n"/>
      <c r="AF126" s="23" t="n"/>
      <c r="AG126" s="23" t="n"/>
      <c r="AH126" s="23" t="n"/>
      <c r="AI126" s="23" t="n"/>
      <c r="AJ126" s="23" t="n"/>
      <c r="AK126" s="23" t="n"/>
      <c r="AL126" s="23" t="n"/>
      <c r="AM126" s="26">
        <f>IF(G126="","",G126&amp;"|"&amp;P126)</f>
        <v/>
      </c>
      <c r="AN126" s="27">
        <f>IF(I126="","",IFERROR(DATE(VALUE(RIGHT(I126,4)),VALUE(MID(I126,4,2)),VALUE(LEFT(I126,2))),""))</f>
        <v/>
      </c>
      <c r="AO126" s="27">
        <f>IF(Y126="","",IFERROR(DATE(VALUE(RIGHT(Y126,4)),VALUE(MID(Y126,4,2)),VALUE(LEFT(Y126,2))),""))</f>
        <v/>
      </c>
      <c r="AP126" s="27">
        <f>IF(AC126="","",IFERROR(DATE(VALUE(RIGHT(AC126,4)),VALUE(MID(AC126,4,2)),VALUE(LEFT(AC126,2))),""))</f>
        <v/>
      </c>
      <c r="AQ126" s="26">
        <f>IF(AI126="","",TRIM(LEFT(AI126,FIND(" ",AI126&amp;" ")-1)))</f>
        <v/>
      </c>
      <c r="AR126" s="27">
        <f>IF(AQ126="","",IFERROR(DATE(VALUE(MID(AQ126,FIND("/",AQ126,FIND("/",AQ126)+1)+1,4)),VALUE(LEFT(AQ126,FIND("/",AQ126)-1)),VALUE(MID(AQ126,FIND("/",AQ126)+1,FIND("/",AQ126,FIND("/",AQ126)+1)-FIND("/",AQ126)-1))),""))</f>
        <v/>
      </c>
      <c r="AS126" s="26">
        <f>IF(G126="","",IF(AND(AG126&lt;&gt;"",AG126&lt;&gt;"Bayi Aracı"),"Evet","Hayır"))</f>
        <v/>
      </c>
      <c r="AT126" s="26">
        <f>IF(G126="","",IF(AND(AS126="Evet",T126="Siparişiniz Teslim Edildi"),"Evet","Hayır"))</f>
        <v/>
      </c>
      <c r="AU126" s="26">
        <f>IF(G126="","",IF(AB126="Siparişinizin Montajı Yapıldı","Evet","Hayır"))</f>
        <v/>
      </c>
      <c r="AV126" s="27">
        <f>IF(G126="","",IF(AT126="Evet",AR126,IF(AU126="Evet",AP126,"")))</f>
        <v/>
      </c>
    </row>
    <row r="127">
      <c r="A127" s="23" t="n"/>
      <c r="B127" s="23" t="n"/>
      <c r="C127" s="23" t="n"/>
      <c r="D127" s="23" t="n"/>
      <c r="E127" s="23" t="n"/>
      <c r="F127" s="23" t="n"/>
      <c r="G127" s="23" t="n"/>
      <c r="H127" s="23" t="n"/>
      <c r="I127" s="23" t="n"/>
      <c r="J127" s="23" t="n"/>
      <c r="K127" s="23" t="n"/>
      <c r="L127" s="23" t="n"/>
      <c r="M127" s="23" t="n"/>
      <c r="N127" s="23" t="n"/>
      <c r="O127" s="23" t="n"/>
      <c r="P127" s="23" t="n"/>
      <c r="Q127" s="23" t="n"/>
      <c r="R127" s="23" t="n"/>
      <c r="S127" s="23" t="n"/>
      <c r="T127" s="23" t="n"/>
      <c r="U127" s="23" t="n"/>
      <c r="V127" s="23" t="n"/>
      <c r="W127" s="23" t="n"/>
      <c r="X127" s="23" t="n"/>
      <c r="Y127" s="23" t="n"/>
      <c r="Z127" s="23" t="n"/>
      <c r="AA127" s="23" t="n"/>
      <c r="AB127" s="23" t="n"/>
      <c r="AC127" s="23" t="n"/>
      <c r="AD127" s="23" t="n"/>
      <c r="AE127" s="23" t="n"/>
      <c r="AF127" s="23" t="n"/>
      <c r="AG127" s="23" t="n"/>
      <c r="AH127" s="23" t="n"/>
      <c r="AI127" s="23" t="n"/>
      <c r="AJ127" s="23" t="n"/>
      <c r="AK127" s="23" t="n"/>
      <c r="AL127" s="23" t="n"/>
      <c r="AM127" s="26">
        <f>IF(G127="","",G127&amp;"|"&amp;P127)</f>
        <v/>
      </c>
      <c r="AN127" s="27">
        <f>IF(I127="","",IFERROR(DATE(VALUE(RIGHT(I127,4)),VALUE(MID(I127,4,2)),VALUE(LEFT(I127,2))),""))</f>
        <v/>
      </c>
      <c r="AO127" s="27">
        <f>IF(Y127="","",IFERROR(DATE(VALUE(RIGHT(Y127,4)),VALUE(MID(Y127,4,2)),VALUE(LEFT(Y127,2))),""))</f>
        <v/>
      </c>
      <c r="AP127" s="27">
        <f>IF(AC127="","",IFERROR(DATE(VALUE(RIGHT(AC127,4)),VALUE(MID(AC127,4,2)),VALUE(LEFT(AC127,2))),""))</f>
        <v/>
      </c>
      <c r="AQ127" s="26">
        <f>IF(AI127="","",TRIM(LEFT(AI127,FIND(" ",AI127&amp;" ")-1)))</f>
        <v/>
      </c>
      <c r="AR127" s="27">
        <f>IF(AQ127="","",IFERROR(DATE(VALUE(MID(AQ127,FIND("/",AQ127,FIND("/",AQ127)+1)+1,4)),VALUE(LEFT(AQ127,FIND("/",AQ127)-1)),VALUE(MID(AQ127,FIND("/",AQ127)+1,FIND("/",AQ127,FIND("/",AQ127)+1)-FIND("/",AQ127)-1))),""))</f>
        <v/>
      </c>
      <c r="AS127" s="26">
        <f>IF(G127="","",IF(AND(AG127&lt;&gt;"",AG127&lt;&gt;"Bayi Aracı"),"Evet","Hayır"))</f>
        <v/>
      </c>
      <c r="AT127" s="26">
        <f>IF(G127="","",IF(AND(AS127="Evet",T127="Siparişiniz Teslim Edildi"),"Evet","Hayır"))</f>
        <v/>
      </c>
      <c r="AU127" s="26">
        <f>IF(G127="","",IF(AB127="Siparişinizin Montajı Yapıldı","Evet","Hayır"))</f>
        <v/>
      </c>
      <c r="AV127" s="27">
        <f>IF(G127="","",IF(AT127="Evet",AR127,IF(AU127="Evet",AP127,"")))</f>
        <v/>
      </c>
    </row>
    <row r="128">
      <c r="A128" s="23" t="n"/>
      <c r="B128" s="23" t="n"/>
      <c r="C128" s="23" t="n"/>
      <c r="D128" s="23" t="n"/>
      <c r="E128" s="23" t="n"/>
      <c r="F128" s="23" t="n"/>
      <c r="G128" s="23" t="n"/>
      <c r="H128" s="23" t="n"/>
      <c r="I128" s="23" t="n"/>
      <c r="J128" s="23" t="n"/>
      <c r="K128" s="23" t="n"/>
      <c r="L128" s="23" t="n"/>
      <c r="M128" s="23" t="n"/>
      <c r="N128" s="23" t="n"/>
      <c r="O128" s="23" t="n"/>
      <c r="P128" s="23" t="n"/>
      <c r="Q128" s="23" t="n"/>
      <c r="R128" s="23" t="n"/>
      <c r="S128" s="23" t="n"/>
      <c r="T128" s="23" t="n"/>
      <c r="U128" s="23" t="n"/>
      <c r="V128" s="23" t="n"/>
      <c r="W128" s="23" t="n"/>
      <c r="X128" s="23" t="n"/>
      <c r="Y128" s="23" t="n"/>
      <c r="Z128" s="23" t="n"/>
      <c r="AA128" s="23" t="n"/>
      <c r="AB128" s="23" t="n"/>
      <c r="AC128" s="23" t="n"/>
      <c r="AD128" s="23" t="n"/>
      <c r="AE128" s="23" t="n"/>
      <c r="AF128" s="23" t="n"/>
      <c r="AG128" s="23" t="n"/>
      <c r="AH128" s="23" t="n"/>
      <c r="AI128" s="23" t="n"/>
      <c r="AJ128" s="23" t="n"/>
      <c r="AK128" s="23" t="n"/>
      <c r="AL128" s="23" t="n"/>
      <c r="AM128" s="26">
        <f>IF(G128="","",G128&amp;"|"&amp;P128)</f>
        <v/>
      </c>
      <c r="AN128" s="27">
        <f>IF(I128="","",IFERROR(DATE(VALUE(RIGHT(I128,4)),VALUE(MID(I128,4,2)),VALUE(LEFT(I128,2))),""))</f>
        <v/>
      </c>
      <c r="AO128" s="27">
        <f>IF(Y128="","",IFERROR(DATE(VALUE(RIGHT(Y128,4)),VALUE(MID(Y128,4,2)),VALUE(LEFT(Y128,2))),""))</f>
        <v/>
      </c>
      <c r="AP128" s="27">
        <f>IF(AC128="","",IFERROR(DATE(VALUE(RIGHT(AC128,4)),VALUE(MID(AC128,4,2)),VALUE(LEFT(AC128,2))),""))</f>
        <v/>
      </c>
      <c r="AQ128" s="26">
        <f>IF(AI128="","",TRIM(LEFT(AI128,FIND(" ",AI128&amp;" ")-1)))</f>
        <v/>
      </c>
      <c r="AR128" s="27">
        <f>IF(AQ128="","",IFERROR(DATE(VALUE(MID(AQ128,FIND("/",AQ128,FIND("/",AQ128)+1)+1,4)),VALUE(LEFT(AQ128,FIND("/",AQ128)-1)),VALUE(MID(AQ128,FIND("/",AQ128)+1,FIND("/",AQ128,FIND("/",AQ128)+1)-FIND("/",AQ128)-1))),""))</f>
        <v/>
      </c>
      <c r="AS128" s="26">
        <f>IF(G128="","",IF(AND(AG128&lt;&gt;"",AG128&lt;&gt;"Bayi Aracı"),"Evet","Hayır"))</f>
        <v/>
      </c>
      <c r="AT128" s="26">
        <f>IF(G128="","",IF(AND(AS128="Evet",T128="Siparişiniz Teslim Edildi"),"Evet","Hayır"))</f>
        <v/>
      </c>
      <c r="AU128" s="26">
        <f>IF(G128="","",IF(AB128="Siparişinizin Montajı Yapıldı","Evet","Hayır"))</f>
        <v/>
      </c>
      <c r="AV128" s="27">
        <f>IF(G128="","",IF(AT128="Evet",AR128,IF(AU128="Evet",AP128,"")))</f>
        <v/>
      </c>
    </row>
    <row r="129">
      <c r="A129" s="23" t="n"/>
      <c r="B129" s="23" t="n"/>
      <c r="C129" s="23" t="n"/>
      <c r="D129" s="23" t="n"/>
      <c r="E129" s="23" t="n"/>
      <c r="F129" s="23" t="n"/>
      <c r="G129" s="23" t="n"/>
      <c r="H129" s="23" t="n"/>
      <c r="I129" s="23" t="n"/>
      <c r="J129" s="23" t="n"/>
      <c r="K129" s="23" t="n"/>
      <c r="L129" s="23" t="n"/>
      <c r="M129" s="23" t="n"/>
      <c r="N129" s="23" t="n"/>
      <c r="O129" s="23" t="n"/>
      <c r="P129" s="23" t="n"/>
      <c r="Q129" s="23" t="n"/>
      <c r="R129" s="23" t="n"/>
      <c r="S129" s="23" t="n"/>
      <c r="T129" s="23" t="n"/>
      <c r="U129" s="23" t="n"/>
      <c r="V129" s="23" t="n"/>
      <c r="W129" s="23" t="n"/>
      <c r="X129" s="23" t="n"/>
      <c r="Y129" s="23" t="n"/>
      <c r="Z129" s="23" t="n"/>
      <c r="AA129" s="23" t="n"/>
      <c r="AB129" s="23" t="n"/>
      <c r="AC129" s="23" t="n"/>
      <c r="AD129" s="23" t="n"/>
      <c r="AE129" s="23" t="n"/>
      <c r="AF129" s="23" t="n"/>
      <c r="AG129" s="23" t="n"/>
      <c r="AH129" s="23" t="n"/>
      <c r="AI129" s="23" t="n"/>
      <c r="AJ129" s="23" t="n"/>
      <c r="AK129" s="23" t="n"/>
      <c r="AL129" s="23" t="n"/>
      <c r="AM129" s="26">
        <f>IF(G129="","",G129&amp;"|"&amp;P129)</f>
        <v/>
      </c>
      <c r="AN129" s="27">
        <f>IF(I129="","",IFERROR(DATE(VALUE(RIGHT(I129,4)),VALUE(MID(I129,4,2)),VALUE(LEFT(I129,2))),""))</f>
        <v/>
      </c>
      <c r="AO129" s="27">
        <f>IF(Y129="","",IFERROR(DATE(VALUE(RIGHT(Y129,4)),VALUE(MID(Y129,4,2)),VALUE(LEFT(Y129,2))),""))</f>
        <v/>
      </c>
      <c r="AP129" s="27">
        <f>IF(AC129="","",IFERROR(DATE(VALUE(RIGHT(AC129,4)),VALUE(MID(AC129,4,2)),VALUE(LEFT(AC129,2))),""))</f>
        <v/>
      </c>
      <c r="AQ129" s="26">
        <f>IF(AI129="","",TRIM(LEFT(AI129,FIND(" ",AI129&amp;" ")-1)))</f>
        <v/>
      </c>
      <c r="AR129" s="27">
        <f>IF(AQ129="","",IFERROR(DATE(VALUE(MID(AQ129,FIND("/",AQ129,FIND("/",AQ129)+1)+1,4)),VALUE(LEFT(AQ129,FIND("/",AQ129)-1)),VALUE(MID(AQ129,FIND("/",AQ129)+1,FIND("/",AQ129,FIND("/",AQ129)+1)-FIND("/",AQ129)-1))),""))</f>
        <v/>
      </c>
      <c r="AS129" s="26">
        <f>IF(G129="","",IF(AND(AG129&lt;&gt;"",AG129&lt;&gt;"Bayi Aracı"),"Evet","Hayır"))</f>
        <v/>
      </c>
      <c r="AT129" s="26">
        <f>IF(G129="","",IF(AND(AS129="Evet",T129="Siparişiniz Teslim Edildi"),"Evet","Hayır"))</f>
        <v/>
      </c>
      <c r="AU129" s="26">
        <f>IF(G129="","",IF(AB129="Siparişinizin Montajı Yapıldı","Evet","Hayır"))</f>
        <v/>
      </c>
      <c r="AV129" s="27">
        <f>IF(G129="","",IF(AT129="Evet",AR129,IF(AU129="Evet",AP129,"")))</f>
        <v/>
      </c>
    </row>
    <row r="130">
      <c r="A130" s="23" t="n"/>
      <c r="B130" s="23" t="n"/>
      <c r="C130" s="23" t="n"/>
      <c r="D130" s="23" t="n"/>
      <c r="E130" s="23" t="n"/>
      <c r="F130" s="23" t="n"/>
      <c r="G130" s="23" t="n"/>
      <c r="H130" s="23" t="n"/>
      <c r="I130" s="23" t="n"/>
      <c r="J130" s="23" t="n"/>
      <c r="K130" s="23" t="n"/>
      <c r="L130" s="23" t="n"/>
      <c r="M130" s="23" t="n"/>
      <c r="N130" s="23" t="n"/>
      <c r="O130" s="23" t="n"/>
      <c r="P130" s="23" t="n"/>
      <c r="Q130" s="23" t="n"/>
      <c r="R130" s="23" t="n"/>
      <c r="S130" s="23" t="n"/>
      <c r="T130" s="23" t="n"/>
      <c r="U130" s="23" t="n"/>
      <c r="V130" s="23" t="n"/>
      <c r="W130" s="23" t="n"/>
      <c r="X130" s="23" t="n"/>
      <c r="Y130" s="23" t="n"/>
      <c r="Z130" s="23" t="n"/>
      <c r="AA130" s="23" t="n"/>
      <c r="AB130" s="23" t="n"/>
      <c r="AC130" s="23" t="n"/>
      <c r="AD130" s="23" t="n"/>
      <c r="AE130" s="23" t="n"/>
      <c r="AF130" s="23" t="n"/>
      <c r="AG130" s="23" t="n"/>
      <c r="AH130" s="23" t="n"/>
      <c r="AI130" s="23" t="n"/>
      <c r="AJ130" s="23" t="n"/>
      <c r="AK130" s="23" t="n"/>
      <c r="AL130" s="23" t="n"/>
      <c r="AM130" s="26">
        <f>IF(G130="","",G130&amp;"|"&amp;P130)</f>
        <v/>
      </c>
      <c r="AN130" s="27">
        <f>IF(I130="","",IFERROR(DATE(VALUE(RIGHT(I130,4)),VALUE(MID(I130,4,2)),VALUE(LEFT(I130,2))),""))</f>
        <v/>
      </c>
      <c r="AO130" s="27">
        <f>IF(Y130="","",IFERROR(DATE(VALUE(RIGHT(Y130,4)),VALUE(MID(Y130,4,2)),VALUE(LEFT(Y130,2))),""))</f>
        <v/>
      </c>
      <c r="AP130" s="27">
        <f>IF(AC130="","",IFERROR(DATE(VALUE(RIGHT(AC130,4)),VALUE(MID(AC130,4,2)),VALUE(LEFT(AC130,2))),""))</f>
        <v/>
      </c>
      <c r="AQ130" s="26">
        <f>IF(AI130="","",TRIM(LEFT(AI130,FIND(" ",AI130&amp;" ")-1)))</f>
        <v/>
      </c>
      <c r="AR130" s="27">
        <f>IF(AQ130="","",IFERROR(DATE(VALUE(MID(AQ130,FIND("/",AQ130,FIND("/",AQ130)+1)+1,4)),VALUE(LEFT(AQ130,FIND("/",AQ130)-1)),VALUE(MID(AQ130,FIND("/",AQ130)+1,FIND("/",AQ130,FIND("/",AQ130)+1)-FIND("/",AQ130)-1))),""))</f>
        <v/>
      </c>
      <c r="AS130" s="26">
        <f>IF(G130="","",IF(AND(AG130&lt;&gt;"",AG130&lt;&gt;"Bayi Aracı"),"Evet","Hayır"))</f>
        <v/>
      </c>
      <c r="AT130" s="26">
        <f>IF(G130="","",IF(AND(AS130="Evet",T130="Siparişiniz Teslim Edildi"),"Evet","Hayır"))</f>
        <v/>
      </c>
      <c r="AU130" s="26">
        <f>IF(G130="","",IF(AB130="Siparişinizin Montajı Yapıldı","Evet","Hayır"))</f>
        <v/>
      </c>
      <c r="AV130" s="27">
        <f>IF(G130="","",IF(AT130="Evet",AR130,IF(AU130="Evet",AP130,"")))</f>
        <v/>
      </c>
    </row>
    <row r="131">
      <c r="A131" s="23" t="n"/>
      <c r="B131" s="23" t="n"/>
      <c r="C131" s="23" t="n"/>
      <c r="D131" s="23" t="n"/>
      <c r="E131" s="23" t="n"/>
      <c r="F131" s="23" t="n"/>
      <c r="G131" s="23" t="n"/>
      <c r="H131" s="23" t="n"/>
      <c r="I131" s="23" t="n"/>
      <c r="J131" s="23" t="n"/>
      <c r="K131" s="23" t="n"/>
      <c r="L131" s="23" t="n"/>
      <c r="M131" s="23" t="n"/>
      <c r="N131" s="23" t="n"/>
      <c r="O131" s="23" t="n"/>
      <c r="P131" s="23" t="n"/>
      <c r="Q131" s="23" t="n"/>
      <c r="R131" s="23" t="n"/>
      <c r="S131" s="23" t="n"/>
      <c r="T131" s="23" t="n"/>
      <c r="U131" s="23" t="n"/>
      <c r="V131" s="23" t="n"/>
      <c r="W131" s="23" t="n"/>
      <c r="X131" s="23" t="n"/>
      <c r="Y131" s="23" t="n"/>
      <c r="Z131" s="23" t="n"/>
      <c r="AA131" s="23" t="n"/>
      <c r="AB131" s="23" t="n"/>
      <c r="AC131" s="23" t="n"/>
      <c r="AD131" s="23" t="n"/>
      <c r="AE131" s="23" t="n"/>
      <c r="AF131" s="23" t="n"/>
      <c r="AG131" s="23" t="n"/>
      <c r="AH131" s="23" t="n"/>
      <c r="AI131" s="23" t="n"/>
      <c r="AJ131" s="23" t="n"/>
      <c r="AK131" s="23" t="n"/>
      <c r="AL131" s="23" t="n"/>
      <c r="AM131" s="26">
        <f>IF(G131="","",G131&amp;"|"&amp;P131)</f>
        <v/>
      </c>
      <c r="AN131" s="27">
        <f>IF(I131="","",IFERROR(DATE(VALUE(RIGHT(I131,4)),VALUE(MID(I131,4,2)),VALUE(LEFT(I131,2))),""))</f>
        <v/>
      </c>
      <c r="AO131" s="27">
        <f>IF(Y131="","",IFERROR(DATE(VALUE(RIGHT(Y131,4)),VALUE(MID(Y131,4,2)),VALUE(LEFT(Y131,2))),""))</f>
        <v/>
      </c>
      <c r="AP131" s="27">
        <f>IF(AC131="","",IFERROR(DATE(VALUE(RIGHT(AC131,4)),VALUE(MID(AC131,4,2)),VALUE(LEFT(AC131,2))),""))</f>
        <v/>
      </c>
      <c r="AQ131" s="26">
        <f>IF(AI131="","",TRIM(LEFT(AI131,FIND(" ",AI131&amp;" ")-1)))</f>
        <v/>
      </c>
      <c r="AR131" s="27">
        <f>IF(AQ131="","",IFERROR(DATE(VALUE(MID(AQ131,FIND("/",AQ131,FIND("/",AQ131)+1)+1,4)),VALUE(LEFT(AQ131,FIND("/",AQ131)-1)),VALUE(MID(AQ131,FIND("/",AQ131)+1,FIND("/",AQ131,FIND("/",AQ131)+1)-FIND("/",AQ131)-1))),""))</f>
        <v/>
      </c>
      <c r="AS131" s="26">
        <f>IF(G131="","",IF(AND(AG131&lt;&gt;"",AG131&lt;&gt;"Bayi Aracı"),"Evet","Hayır"))</f>
        <v/>
      </c>
      <c r="AT131" s="26">
        <f>IF(G131="","",IF(AND(AS131="Evet",T131="Siparişiniz Teslim Edildi"),"Evet","Hayır"))</f>
        <v/>
      </c>
      <c r="AU131" s="26">
        <f>IF(G131="","",IF(AB131="Siparişinizin Montajı Yapıldı","Evet","Hayır"))</f>
        <v/>
      </c>
      <c r="AV131" s="27">
        <f>IF(G131="","",IF(AT131="Evet",AR131,IF(AU131="Evet",AP131,"")))</f>
        <v/>
      </c>
    </row>
    <row r="132">
      <c r="A132" s="23" t="n"/>
      <c r="B132" s="23" t="n"/>
      <c r="C132" s="23" t="n"/>
      <c r="D132" s="23" t="n"/>
      <c r="E132" s="23" t="n"/>
      <c r="F132" s="23" t="n"/>
      <c r="G132" s="23" t="n"/>
      <c r="H132" s="23" t="n"/>
      <c r="I132" s="23" t="n"/>
      <c r="J132" s="23" t="n"/>
      <c r="K132" s="23" t="n"/>
      <c r="L132" s="23" t="n"/>
      <c r="M132" s="23" t="n"/>
      <c r="N132" s="23" t="n"/>
      <c r="O132" s="23" t="n"/>
      <c r="P132" s="23" t="n"/>
      <c r="Q132" s="23" t="n"/>
      <c r="R132" s="23" t="n"/>
      <c r="S132" s="23" t="n"/>
      <c r="T132" s="23" t="n"/>
      <c r="U132" s="23" t="n"/>
      <c r="V132" s="23" t="n"/>
      <c r="W132" s="23" t="n"/>
      <c r="X132" s="23" t="n"/>
      <c r="Y132" s="23" t="n"/>
      <c r="Z132" s="23" t="n"/>
      <c r="AA132" s="23" t="n"/>
      <c r="AB132" s="23" t="n"/>
      <c r="AC132" s="23" t="n"/>
      <c r="AD132" s="23" t="n"/>
      <c r="AE132" s="23" t="n"/>
      <c r="AF132" s="23" t="n"/>
      <c r="AG132" s="23" t="n"/>
      <c r="AH132" s="23" t="n"/>
      <c r="AI132" s="23" t="n"/>
      <c r="AJ132" s="23" t="n"/>
      <c r="AK132" s="23" t="n"/>
      <c r="AL132" s="23" t="n"/>
      <c r="AM132" s="26">
        <f>IF(G132="","",G132&amp;"|"&amp;P132)</f>
        <v/>
      </c>
      <c r="AN132" s="27">
        <f>IF(I132="","",IFERROR(DATE(VALUE(RIGHT(I132,4)),VALUE(MID(I132,4,2)),VALUE(LEFT(I132,2))),""))</f>
        <v/>
      </c>
      <c r="AO132" s="27">
        <f>IF(Y132="","",IFERROR(DATE(VALUE(RIGHT(Y132,4)),VALUE(MID(Y132,4,2)),VALUE(LEFT(Y132,2))),""))</f>
        <v/>
      </c>
      <c r="AP132" s="27">
        <f>IF(AC132="","",IFERROR(DATE(VALUE(RIGHT(AC132,4)),VALUE(MID(AC132,4,2)),VALUE(LEFT(AC132,2))),""))</f>
        <v/>
      </c>
      <c r="AQ132" s="26">
        <f>IF(AI132="","",TRIM(LEFT(AI132,FIND(" ",AI132&amp;" ")-1)))</f>
        <v/>
      </c>
      <c r="AR132" s="27">
        <f>IF(AQ132="","",IFERROR(DATE(VALUE(MID(AQ132,FIND("/",AQ132,FIND("/",AQ132)+1)+1,4)),VALUE(LEFT(AQ132,FIND("/",AQ132)-1)),VALUE(MID(AQ132,FIND("/",AQ132)+1,FIND("/",AQ132,FIND("/",AQ132)+1)-FIND("/",AQ132)-1))),""))</f>
        <v/>
      </c>
      <c r="AS132" s="26">
        <f>IF(G132="","",IF(AND(AG132&lt;&gt;"",AG132&lt;&gt;"Bayi Aracı"),"Evet","Hayır"))</f>
        <v/>
      </c>
      <c r="AT132" s="26">
        <f>IF(G132="","",IF(AND(AS132="Evet",T132="Siparişiniz Teslim Edildi"),"Evet","Hayır"))</f>
        <v/>
      </c>
      <c r="AU132" s="26">
        <f>IF(G132="","",IF(AB132="Siparişinizin Montajı Yapıldı","Evet","Hayır"))</f>
        <v/>
      </c>
      <c r="AV132" s="27">
        <f>IF(G132="","",IF(AT132="Evet",AR132,IF(AU132="Evet",AP132,"")))</f>
        <v/>
      </c>
    </row>
    <row r="133">
      <c r="A133" s="23" t="n"/>
      <c r="B133" s="23" t="n"/>
      <c r="C133" s="23" t="n"/>
      <c r="D133" s="23" t="n"/>
      <c r="E133" s="23" t="n"/>
      <c r="F133" s="23" t="n"/>
      <c r="G133" s="23" t="n"/>
      <c r="H133" s="23" t="n"/>
      <c r="I133" s="23" t="n"/>
      <c r="J133" s="23" t="n"/>
      <c r="K133" s="23" t="n"/>
      <c r="L133" s="23" t="n"/>
      <c r="M133" s="23" t="n"/>
      <c r="N133" s="23" t="n"/>
      <c r="O133" s="23" t="n"/>
      <c r="P133" s="23" t="n"/>
      <c r="Q133" s="23" t="n"/>
      <c r="R133" s="23" t="n"/>
      <c r="S133" s="23" t="n"/>
      <c r="T133" s="23" t="n"/>
      <c r="U133" s="23" t="n"/>
      <c r="V133" s="23" t="n"/>
      <c r="W133" s="23" t="n"/>
      <c r="X133" s="23" t="n"/>
      <c r="Y133" s="23" t="n"/>
      <c r="Z133" s="23" t="n"/>
      <c r="AA133" s="23" t="n"/>
      <c r="AB133" s="23" t="n"/>
      <c r="AC133" s="23" t="n"/>
      <c r="AD133" s="23" t="n"/>
      <c r="AE133" s="23" t="n"/>
      <c r="AF133" s="23" t="n"/>
      <c r="AG133" s="23" t="n"/>
      <c r="AH133" s="23" t="n"/>
      <c r="AI133" s="23" t="n"/>
      <c r="AJ133" s="23" t="n"/>
      <c r="AK133" s="23" t="n"/>
      <c r="AL133" s="23" t="n"/>
      <c r="AM133" s="26">
        <f>IF(G133="","",G133&amp;"|"&amp;P133)</f>
        <v/>
      </c>
      <c r="AN133" s="27">
        <f>IF(I133="","",IFERROR(DATE(VALUE(RIGHT(I133,4)),VALUE(MID(I133,4,2)),VALUE(LEFT(I133,2))),""))</f>
        <v/>
      </c>
      <c r="AO133" s="27">
        <f>IF(Y133="","",IFERROR(DATE(VALUE(RIGHT(Y133,4)),VALUE(MID(Y133,4,2)),VALUE(LEFT(Y133,2))),""))</f>
        <v/>
      </c>
      <c r="AP133" s="27">
        <f>IF(AC133="","",IFERROR(DATE(VALUE(RIGHT(AC133,4)),VALUE(MID(AC133,4,2)),VALUE(LEFT(AC133,2))),""))</f>
        <v/>
      </c>
      <c r="AQ133" s="26">
        <f>IF(AI133="","",TRIM(LEFT(AI133,FIND(" ",AI133&amp;" ")-1)))</f>
        <v/>
      </c>
      <c r="AR133" s="27">
        <f>IF(AQ133="","",IFERROR(DATE(VALUE(MID(AQ133,FIND("/",AQ133,FIND("/",AQ133)+1)+1,4)),VALUE(LEFT(AQ133,FIND("/",AQ133)-1)),VALUE(MID(AQ133,FIND("/",AQ133)+1,FIND("/",AQ133,FIND("/",AQ133)+1)-FIND("/",AQ133)-1))),""))</f>
        <v/>
      </c>
      <c r="AS133" s="26">
        <f>IF(G133="","",IF(AND(AG133&lt;&gt;"",AG133&lt;&gt;"Bayi Aracı"),"Evet","Hayır"))</f>
        <v/>
      </c>
      <c r="AT133" s="26">
        <f>IF(G133="","",IF(AND(AS133="Evet",T133="Siparişiniz Teslim Edildi"),"Evet","Hayır"))</f>
        <v/>
      </c>
      <c r="AU133" s="26">
        <f>IF(G133="","",IF(AB133="Siparişinizin Montajı Yapıldı","Evet","Hayır"))</f>
        <v/>
      </c>
      <c r="AV133" s="27">
        <f>IF(G133="","",IF(AT133="Evet",AR133,IF(AU133="Evet",AP133,"")))</f>
        <v/>
      </c>
    </row>
    <row r="134">
      <c r="A134" s="23" t="n"/>
      <c r="B134" s="23" t="n"/>
      <c r="C134" s="23" t="n"/>
      <c r="D134" s="23" t="n"/>
      <c r="E134" s="23" t="n"/>
      <c r="F134" s="23" t="n"/>
      <c r="G134" s="23" t="n"/>
      <c r="H134" s="23" t="n"/>
      <c r="I134" s="23" t="n"/>
      <c r="J134" s="23" t="n"/>
      <c r="K134" s="23" t="n"/>
      <c r="L134" s="23" t="n"/>
      <c r="M134" s="23" t="n"/>
      <c r="N134" s="23" t="n"/>
      <c r="O134" s="23" t="n"/>
      <c r="P134" s="23" t="n"/>
      <c r="Q134" s="23" t="n"/>
      <c r="R134" s="23" t="n"/>
      <c r="S134" s="23" t="n"/>
      <c r="T134" s="23" t="n"/>
      <c r="U134" s="23" t="n"/>
      <c r="V134" s="23" t="n"/>
      <c r="W134" s="23" t="n"/>
      <c r="X134" s="23" t="n"/>
      <c r="Y134" s="23" t="n"/>
      <c r="Z134" s="23" t="n"/>
      <c r="AA134" s="23" t="n"/>
      <c r="AB134" s="23" t="n"/>
      <c r="AC134" s="23" t="n"/>
      <c r="AD134" s="23" t="n"/>
      <c r="AE134" s="23" t="n"/>
      <c r="AF134" s="23" t="n"/>
      <c r="AG134" s="23" t="n"/>
      <c r="AH134" s="23" t="n"/>
      <c r="AI134" s="23" t="n"/>
      <c r="AJ134" s="23" t="n"/>
      <c r="AK134" s="23" t="n"/>
      <c r="AL134" s="23" t="n"/>
      <c r="AM134" s="26">
        <f>IF(G134="","",G134&amp;"|"&amp;P134)</f>
        <v/>
      </c>
      <c r="AN134" s="27">
        <f>IF(I134="","",IFERROR(DATE(VALUE(RIGHT(I134,4)),VALUE(MID(I134,4,2)),VALUE(LEFT(I134,2))),""))</f>
        <v/>
      </c>
      <c r="AO134" s="27">
        <f>IF(Y134="","",IFERROR(DATE(VALUE(RIGHT(Y134,4)),VALUE(MID(Y134,4,2)),VALUE(LEFT(Y134,2))),""))</f>
        <v/>
      </c>
      <c r="AP134" s="27">
        <f>IF(AC134="","",IFERROR(DATE(VALUE(RIGHT(AC134,4)),VALUE(MID(AC134,4,2)),VALUE(LEFT(AC134,2))),""))</f>
        <v/>
      </c>
      <c r="AQ134" s="26">
        <f>IF(AI134="","",TRIM(LEFT(AI134,FIND(" ",AI134&amp;" ")-1)))</f>
        <v/>
      </c>
      <c r="AR134" s="27">
        <f>IF(AQ134="","",IFERROR(DATE(VALUE(MID(AQ134,FIND("/",AQ134,FIND("/",AQ134)+1)+1,4)),VALUE(LEFT(AQ134,FIND("/",AQ134)-1)),VALUE(MID(AQ134,FIND("/",AQ134)+1,FIND("/",AQ134,FIND("/",AQ134)+1)-FIND("/",AQ134)-1))),""))</f>
        <v/>
      </c>
      <c r="AS134" s="26">
        <f>IF(G134="","",IF(AND(AG134&lt;&gt;"",AG134&lt;&gt;"Bayi Aracı"),"Evet","Hayır"))</f>
        <v/>
      </c>
      <c r="AT134" s="26">
        <f>IF(G134="","",IF(AND(AS134="Evet",T134="Siparişiniz Teslim Edildi"),"Evet","Hayır"))</f>
        <v/>
      </c>
      <c r="AU134" s="26">
        <f>IF(G134="","",IF(AB134="Siparişinizin Montajı Yapıldı","Evet","Hayır"))</f>
        <v/>
      </c>
      <c r="AV134" s="27">
        <f>IF(G134="","",IF(AT134="Evet",AR134,IF(AU134="Evet",AP134,"")))</f>
        <v/>
      </c>
    </row>
    <row r="135">
      <c r="A135" s="23" t="n"/>
      <c r="B135" s="23" t="n"/>
      <c r="C135" s="23" t="n"/>
      <c r="D135" s="23" t="n"/>
      <c r="E135" s="23" t="n"/>
      <c r="F135" s="23" t="n"/>
      <c r="G135" s="23" t="n"/>
      <c r="H135" s="23" t="n"/>
      <c r="I135" s="23" t="n"/>
      <c r="J135" s="23" t="n"/>
      <c r="K135" s="23" t="n"/>
      <c r="L135" s="23" t="n"/>
      <c r="M135" s="23" t="n"/>
      <c r="N135" s="23" t="n"/>
      <c r="O135" s="23" t="n"/>
      <c r="P135" s="23" t="n"/>
      <c r="Q135" s="23" t="n"/>
      <c r="R135" s="23" t="n"/>
      <c r="S135" s="23" t="n"/>
      <c r="T135" s="23" t="n"/>
      <c r="U135" s="23" t="n"/>
      <c r="V135" s="23" t="n"/>
      <c r="W135" s="23" t="n"/>
      <c r="X135" s="23" t="n"/>
      <c r="Y135" s="23" t="n"/>
      <c r="Z135" s="23" t="n"/>
      <c r="AA135" s="23" t="n"/>
      <c r="AB135" s="23" t="n"/>
      <c r="AC135" s="23" t="n"/>
      <c r="AD135" s="23" t="n"/>
      <c r="AE135" s="23" t="n"/>
      <c r="AF135" s="23" t="n"/>
      <c r="AG135" s="23" t="n"/>
      <c r="AH135" s="23" t="n"/>
      <c r="AI135" s="23" t="n"/>
      <c r="AJ135" s="23" t="n"/>
      <c r="AK135" s="23" t="n"/>
      <c r="AL135" s="23" t="n"/>
      <c r="AM135" s="26">
        <f>IF(G135="","",G135&amp;"|"&amp;P135)</f>
        <v/>
      </c>
      <c r="AN135" s="27">
        <f>IF(I135="","",IFERROR(DATE(VALUE(RIGHT(I135,4)),VALUE(MID(I135,4,2)),VALUE(LEFT(I135,2))),""))</f>
        <v/>
      </c>
      <c r="AO135" s="27">
        <f>IF(Y135="","",IFERROR(DATE(VALUE(RIGHT(Y135,4)),VALUE(MID(Y135,4,2)),VALUE(LEFT(Y135,2))),""))</f>
        <v/>
      </c>
      <c r="AP135" s="27">
        <f>IF(AC135="","",IFERROR(DATE(VALUE(RIGHT(AC135,4)),VALUE(MID(AC135,4,2)),VALUE(LEFT(AC135,2))),""))</f>
        <v/>
      </c>
      <c r="AQ135" s="26">
        <f>IF(AI135="","",TRIM(LEFT(AI135,FIND(" ",AI135&amp;" ")-1)))</f>
        <v/>
      </c>
      <c r="AR135" s="27">
        <f>IF(AQ135="","",IFERROR(DATE(VALUE(MID(AQ135,FIND("/",AQ135,FIND("/",AQ135)+1)+1,4)),VALUE(LEFT(AQ135,FIND("/",AQ135)-1)),VALUE(MID(AQ135,FIND("/",AQ135)+1,FIND("/",AQ135,FIND("/",AQ135)+1)-FIND("/",AQ135)-1))),""))</f>
        <v/>
      </c>
      <c r="AS135" s="26">
        <f>IF(G135="","",IF(AND(AG135&lt;&gt;"",AG135&lt;&gt;"Bayi Aracı"),"Evet","Hayır"))</f>
        <v/>
      </c>
      <c r="AT135" s="26">
        <f>IF(G135="","",IF(AND(AS135="Evet",T135="Siparişiniz Teslim Edildi"),"Evet","Hayır"))</f>
        <v/>
      </c>
      <c r="AU135" s="26">
        <f>IF(G135="","",IF(AB135="Siparişinizin Montajı Yapıldı","Evet","Hayır"))</f>
        <v/>
      </c>
      <c r="AV135" s="27">
        <f>IF(G135="","",IF(AT135="Evet",AR135,IF(AU135="Evet",AP135,"")))</f>
        <v/>
      </c>
    </row>
    <row r="136">
      <c r="A136" s="23" t="n"/>
      <c r="B136" s="23" t="n"/>
      <c r="C136" s="23" t="n"/>
      <c r="D136" s="23" t="n"/>
      <c r="E136" s="23" t="n"/>
      <c r="F136" s="23" t="n"/>
      <c r="G136" s="23" t="n"/>
      <c r="H136" s="23" t="n"/>
      <c r="I136" s="23" t="n"/>
      <c r="J136" s="23" t="n"/>
      <c r="K136" s="23" t="n"/>
      <c r="L136" s="23" t="n"/>
      <c r="M136" s="23" t="n"/>
      <c r="N136" s="23" t="n"/>
      <c r="O136" s="23" t="n"/>
      <c r="P136" s="23" t="n"/>
      <c r="Q136" s="23" t="n"/>
      <c r="R136" s="23" t="n"/>
      <c r="S136" s="23" t="n"/>
      <c r="T136" s="23" t="n"/>
      <c r="U136" s="23" t="n"/>
      <c r="V136" s="23" t="n"/>
      <c r="W136" s="23" t="n"/>
      <c r="X136" s="23" t="n"/>
      <c r="Y136" s="23" t="n"/>
      <c r="Z136" s="23" t="n"/>
      <c r="AA136" s="23" t="n"/>
      <c r="AB136" s="23" t="n"/>
      <c r="AC136" s="23" t="n"/>
      <c r="AD136" s="23" t="n"/>
      <c r="AE136" s="23" t="n"/>
      <c r="AF136" s="23" t="n"/>
      <c r="AG136" s="23" t="n"/>
      <c r="AH136" s="23" t="n"/>
      <c r="AI136" s="23" t="n"/>
      <c r="AJ136" s="23" t="n"/>
      <c r="AK136" s="23" t="n"/>
      <c r="AL136" s="23" t="n"/>
      <c r="AM136" s="26">
        <f>IF(G136="","",G136&amp;"|"&amp;P136)</f>
        <v/>
      </c>
      <c r="AN136" s="27">
        <f>IF(I136="","",IFERROR(DATE(VALUE(RIGHT(I136,4)),VALUE(MID(I136,4,2)),VALUE(LEFT(I136,2))),""))</f>
        <v/>
      </c>
      <c r="AO136" s="27">
        <f>IF(Y136="","",IFERROR(DATE(VALUE(RIGHT(Y136,4)),VALUE(MID(Y136,4,2)),VALUE(LEFT(Y136,2))),""))</f>
        <v/>
      </c>
      <c r="AP136" s="27">
        <f>IF(AC136="","",IFERROR(DATE(VALUE(RIGHT(AC136,4)),VALUE(MID(AC136,4,2)),VALUE(LEFT(AC136,2))),""))</f>
        <v/>
      </c>
      <c r="AQ136" s="26">
        <f>IF(AI136="","",TRIM(LEFT(AI136,FIND(" ",AI136&amp;" ")-1)))</f>
        <v/>
      </c>
      <c r="AR136" s="27">
        <f>IF(AQ136="","",IFERROR(DATE(VALUE(MID(AQ136,FIND("/",AQ136,FIND("/",AQ136)+1)+1,4)),VALUE(LEFT(AQ136,FIND("/",AQ136)-1)),VALUE(MID(AQ136,FIND("/",AQ136)+1,FIND("/",AQ136,FIND("/",AQ136)+1)-FIND("/",AQ136)-1))),""))</f>
        <v/>
      </c>
      <c r="AS136" s="26">
        <f>IF(G136="","",IF(AND(AG136&lt;&gt;"",AG136&lt;&gt;"Bayi Aracı"),"Evet","Hayır"))</f>
        <v/>
      </c>
      <c r="AT136" s="26">
        <f>IF(G136="","",IF(AND(AS136="Evet",T136="Siparişiniz Teslim Edildi"),"Evet","Hayır"))</f>
        <v/>
      </c>
      <c r="AU136" s="26">
        <f>IF(G136="","",IF(AB136="Siparişinizin Montajı Yapıldı","Evet","Hayır"))</f>
        <v/>
      </c>
      <c r="AV136" s="27">
        <f>IF(G136="","",IF(AT136="Evet",AR136,IF(AU136="Evet",AP136,"")))</f>
        <v/>
      </c>
    </row>
    <row r="137">
      <c r="A137" s="23" t="n"/>
      <c r="B137" s="23" t="n"/>
      <c r="C137" s="23" t="n"/>
      <c r="D137" s="23" t="n"/>
      <c r="E137" s="23" t="n"/>
      <c r="F137" s="23" t="n"/>
      <c r="G137" s="23" t="n"/>
      <c r="H137" s="23" t="n"/>
      <c r="I137" s="23" t="n"/>
      <c r="J137" s="23" t="n"/>
      <c r="K137" s="23" t="n"/>
      <c r="L137" s="23" t="n"/>
      <c r="M137" s="23" t="n"/>
      <c r="N137" s="23" t="n"/>
      <c r="O137" s="23" t="n"/>
      <c r="P137" s="23" t="n"/>
      <c r="Q137" s="23" t="n"/>
      <c r="R137" s="23" t="n"/>
      <c r="S137" s="23" t="n"/>
      <c r="T137" s="23" t="n"/>
      <c r="U137" s="23" t="n"/>
      <c r="V137" s="23" t="n"/>
      <c r="W137" s="23" t="n"/>
      <c r="X137" s="23" t="n"/>
      <c r="Y137" s="23" t="n"/>
      <c r="Z137" s="23" t="n"/>
      <c r="AA137" s="23" t="n"/>
      <c r="AB137" s="23" t="n"/>
      <c r="AC137" s="23" t="n"/>
      <c r="AD137" s="23" t="n"/>
      <c r="AE137" s="23" t="n"/>
      <c r="AF137" s="23" t="n"/>
      <c r="AG137" s="23" t="n"/>
      <c r="AH137" s="23" t="n"/>
      <c r="AI137" s="23" t="n"/>
      <c r="AJ137" s="23" t="n"/>
      <c r="AK137" s="23" t="n"/>
      <c r="AL137" s="23" t="n"/>
      <c r="AM137" s="26">
        <f>IF(G137="","",G137&amp;"|"&amp;P137)</f>
        <v/>
      </c>
      <c r="AN137" s="27">
        <f>IF(I137="","",IFERROR(DATE(VALUE(RIGHT(I137,4)),VALUE(MID(I137,4,2)),VALUE(LEFT(I137,2))),""))</f>
        <v/>
      </c>
      <c r="AO137" s="27">
        <f>IF(Y137="","",IFERROR(DATE(VALUE(RIGHT(Y137,4)),VALUE(MID(Y137,4,2)),VALUE(LEFT(Y137,2))),""))</f>
        <v/>
      </c>
      <c r="AP137" s="27">
        <f>IF(AC137="","",IFERROR(DATE(VALUE(RIGHT(AC137,4)),VALUE(MID(AC137,4,2)),VALUE(LEFT(AC137,2))),""))</f>
        <v/>
      </c>
      <c r="AQ137" s="26">
        <f>IF(AI137="","",TRIM(LEFT(AI137,FIND(" ",AI137&amp;" ")-1)))</f>
        <v/>
      </c>
      <c r="AR137" s="27">
        <f>IF(AQ137="","",IFERROR(DATE(VALUE(MID(AQ137,FIND("/",AQ137,FIND("/",AQ137)+1)+1,4)),VALUE(LEFT(AQ137,FIND("/",AQ137)-1)),VALUE(MID(AQ137,FIND("/",AQ137)+1,FIND("/",AQ137,FIND("/",AQ137)+1)-FIND("/",AQ137)-1))),""))</f>
        <v/>
      </c>
      <c r="AS137" s="26">
        <f>IF(G137="","",IF(AND(AG137&lt;&gt;"",AG137&lt;&gt;"Bayi Aracı"),"Evet","Hayır"))</f>
        <v/>
      </c>
      <c r="AT137" s="26">
        <f>IF(G137="","",IF(AND(AS137="Evet",T137="Siparişiniz Teslim Edildi"),"Evet","Hayır"))</f>
        <v/>
      </c>
      <c r="AU137" s="26">
        <f>IF(G137="","",IF(AB137="Siparişinizin Montajı Yapıldı","Evet","Hayır"))</f>
        <v/>
      </c>
      <c r="AV137" s="27">
        <f>IF(G137="","",IF(AT137="Evet",AR137,IF(AU137="Evet",AP137,"")))</f>
        <v/>
      </c>
    </row>
    <row r="138">
      <c r="A138" s="23" t="n"/>
      <c r="B138" s="23" t="n"/>
      <c r="C138" s="23" t="n"/>
      <c r="D138" s="23" t="n"/>
      <c r="E138" s="23" t="n"/>
      <c r="F138" s="23" t="n"/>
      <c r="G138" s="23" t="n"/>
      <c r="H138" s="23" t="n"/>
      <c r="I138" s="23" t="n"/>
      <c r="J138" s="23" t="n"/>
      <c r="K138" s="23" t="n"/>
      <c r="L138" s="23" t="n"/>
      <c r="M138" s="23" t="n"/>
      <c r="N138" s="23" t="n"/>
      <c r="O138" s="23" t="n"/>
      <c r="P138" s="23" t="n"/>
      <c r="Q138" s="23" t="n"/>
      <c r="R138" s="23" t="n"/>
      <c r="S138" s="23" t="n"/>
      <c r="T138" s="23" t="n"/>
      <c r="U138" s="23" t="n"/>
      <c r="V138" s="23" t="n"/>
      <c r="W138" s="23" t="n"/>
      <c r="X138" s="23" t="n"/>
      <c r="Y138" s="23" t="n"/>
      <c r="Z138" s="23" t="n"/>
      <c r="AA138" s="23" t="n"/>
      <c r="AB138" s="23" t="n"/>
      <c r="AC138" s="23" t="n"/>
      <c r="AD138" s="23" t="n"/>
      <c r="AE138" s="23" t="n"/>
      <c r="AF138" s="23" t="n"/>
      <c r="AG138" s="23" t="n"/>
      <c r="AH138" s="23" t="n"/>
      <c r="AI138" s="23" t="n"/>
      <c r="AJ138" s="23" t="n"/>
      <c r="AK138" s="23" t="n"/>
      <c r="AL138" s="23" t="n"/>
      <c r="AM138" s="26">
        <f>IF(G138="","",G138&amp;"|"&amp;P138)</f>
        <v/>
      </c>
      <c r="AN138" s="27">
        <f>IF(I138="","",IFERROR(DATE(VALUE(RIGHT(I138,4)),VALUE(MID(I138,4,2)),VALUE(LEFT(I138,2))),""))</f>
        <v/>
      </c>
      <c r="AO138" s="27">
        <f>IF(Y138="","",IFERROR(DATE(VALUE(RIGHT(Y138,4)),VALUE(MID(Y138,4,2)),VALUE(LEFT(Y138,2))),""))</f>
        <v/>
      </c>
      <c r="AP138" s="27">
        <f>IF(AC138="","",IFERROR(DATE(VALUE(RIGHT(AC138,4)),VALUE(MID(AC138,4,2)),VALUE(LEFT(AC138,2))),""))</f>
        <v/>
      </c>
      <c r="AQ138" s="26">
        <f>IF(AI138="","",TRIM(LEFT(AI138,FIND(" ",AI138&amp;" ")-1)))</f>
        <v/>
      </c>
      <c r="AR138" s="27">
        <f>IF(AQ138="","",IFERROR(DATE(VALUE(MID(AQ138,FIND("/",AQ138,FIND("/",AQ138)+1)+1,4)),VALUE(LEFT(AQ138,FIND("/",AQ138)-1)),VALUE(MID(AQ138,FIND("/",AQ138)+1,FIND("/",AQ138,FIND("/",AQ138)+1)-FIND("/",AQ138)-1))),""))</f>
        <v/>
      </c>
      <c r="AS138" s="26">
        <f>IF(G138="","",IF(AND(AG138&lt;&gt;"",AG138&lt;&gt;"Bayi Aracı"),"Evet","Hayır"))</f>
        <v/>
      </c>
      <c r="AT138" s="26">
        <f>IF(G138="","",IF(AND(AS138="Evet",T138="Siparişiniz Teslim Edildi"),"Evet","Hayır"))</f>
        <v/>
      </c>
      <c r="AU138" s="26">
        <f>IF(G138="","",IF(AB138="Siparişinizin Montajı Yapıldı","Evet","Hayır"))</f>
        <v/>
      </c>
      <c r="AV138" s="27">
        <f>IF(G138="","",IF(AT138="Evet",AR138,IF(AU138="Evet",AP138,"")))</f>
        <v/>
      </c>
    </row>
    <row r="139">
      <c r="A139" s="23" t="n"/>
      <c r="B139" s="23" t="n"/>
      <c r="C139" s="23" t="n"/>
      <c r="D139" s="23" t="n"/>
      <c r="E139" s="23" t="n"/>
      <c r="F139" s="23" t="n"/>
      <c r="G139" s="23" t="n"/>
      <c r="H139" s="23" t="n"/>
      <c r="I139" s="23" t="n"/>
      <c r="J139" s="23" t="n"/>
      <c r="K139" s="23" t="n"/>
      <c r="L139" s="23" t="n"/>
      <c r="M139" s="23" t="n"/>
      <c r="N139" s="23" t="n"/>
      <c r="O139" s="23" t="n"/>
      <c r="P139" s="23" t="n"/>
      <c r="Q139" s="23" t="n"/>
      <c r="R139" s="23" t="n"/>
      <c r="S139" s="23" t="n"/>
      <c r="T139" s="23" t="n"/>
      <c r="U139" s="23" t="n"/>
      <c r="V139" s="23" t="n"/>
      <c r="W139" s="23" t="n"/>
      <c r="X139" s="23" t="n"/>
      <c r="Y139" s="23" t="n"/>
      <c r="Z139" s="23" t="n"/>
      <c r="AA139" s="23" t="n"/>
      <c r="AB139" s="23" t="n"/>
      <c r="AC139" s="23" t="n"/>
      <c r="AD139" s="23" t="n"/>
      <c r="AE139" s="23" t="n"/>
      <c r="AF139" s="23" t="n"/>
      <c r="AG139" s="23" t="n"/>
      <c r="AH139" s="23" t="n"/>
      <c r="AI139" s="23" t="n"/>
      <c r="AJ139" s="23" t="n"/>
      <c r="AK139" s="23" t="n"/>
      <c r="AL139" s="23" t="n"/>
      <c r="AM139" s="26">
        <f>IF(G139="","",G139&amp;"|"&amp;P139)</f>
        <v/>
      </c>
      <c r="AN139" s="27">
        <f>IF(I139="","",IFERROR(DATE(VALUE(RIGHT(I139,4)),VALUE(MID(I139,4,2)),VALUE(LEFT(I139,2))),""))</f>
        <v/>
      </c>
      <c r="AO139" s="27">
        <f>IF(Y139="","",IFERROR(DATE(VALUE(RIGHT(Y139,4)),VALUE(MID(Y139,4,2)),VALUE(LEFT(Y139,2))),""))</f>
        <v/>
      </c>
      <c r="AP139" s="27">
        <f>IF(AC139="","",IFERROR(DATE(VALUE(RIGHT(AC139,4)),VALUE(MID(AC139,4,2)),VALUE(LEFT(AC139,2))),""))</f>
        <v/>
      </c>
      <c r="AQ139" s="26">
        <f>IF(AI139="","",TRIM(LEFT(AI139,FIND(" ",AI139&amp;" ")-1)))</f>
        <v/>
      </c>
      <c r="AR139" s="27">
        <f>IF(AQ139="","",IFERROR(DATE(VALUE(MID(AQ139,FIND("/",AQ139,FIND("/",AQ139)+1)+1,4)),VALUE(LEFT(AQ139,FIND("/",AQ139)-1)),VALUE(MID(AQ139,FIND("/",AQ139)+1,FIND("/",AQ139,FIND("/",AQ139)+1)-FIND("/",AQ139)-1))),""))</f>
        <v/>
      </c>
      <c r="AS139" s="26">
        <f>IF(G139="","",IF(AND(AG139&lt;&gt;"",AG139&lt;&gt;"Bayi Aracı"),"Evet","Hayır"))</f>
        <v/>
      </c>
      <c r="AT139" s="26">
        <f>IF(G139="","",IF(AND(AS139="Evet",T139="Siparişiniz Teslim Edildi"),"Evet","Hayır"))</f>
        <v/>
      </c>
      <c r="AU139" s="26">
        <f>IF(G139="","",IF(AB139="Siparişinizin Montajı Yapıldı","Evet","Hayır"))</f>
        <v/>
      </c>
      <c r="AV139" s="27">
        <f>IF(G139="","",IF(AT139="Evet",AR139,IF(AU139="Evet",AP139,"")))</f>
        <v/>
      </c>
    </row>
    <row r="140">
      <c r="A140" s="23" t="n"/>
      <c r="B140" s="23" t="n"/>
      <c r="C140" s="23" t="n"/>
      <c r="D140" s="23" t="n"/>
      <c r="E140" s="23" t="n"/>
      <c r="F140" s="23" t="n"/>
      <c r="G140" s="23" t="n"/>
      <c r="H140" s="23" t="n"/>
      <c r="I140" s="23" t="n"/>
      <c r="J140" s="23" t="n"/>
      <c r="K140" s="23" t="n"/>
      <c r="L140" s="23" t="n"/>
      <c r="M140" s="23" t="n"/>
      <c r="N140" s="23" t="n"/>
      <c r="O140" s="23" t="n"/>
      <c r="P140" s="23" t="n"/>
      <c r="Q140" s="23" t="n"/>
      <c r="R140" s="23" t="n"/>
      <c r="S140" s="23" t="n"/>
      <c r="T140" s="23" t="n"/>
      <c r="U140" s="23" t="n"/>
      <c r="V140" s="23" t="n"/>
      <c r="W140" s="23" t="n"/>
      <c r="X140" s="23" t="n"/>
      <c r="Y140" s="23" t="n"/>
      <c r="Z140" s="23" t="n"/>
      <c r="AA140" s="23" t="n"/>
      <c r="AB140" s="23" t="n"/>
      <c r="AC140" s="23" t="n"/>
      <c r="AD140" s="23" t="n"/>
      <c r="AE140" s="23" t="n"/>
      <c r="AF140" s="23" t="n"/>
      <c r="AG140" s="23" t="n"/>
      <c r="AH140" s="23" t="n"/>
      <c r="AI140" s="23" t="n"/>
      <c r="AJ140" s="23" t="n"/>
      <c r="AK140" s="23" t="n"/>
      <c r="AL140" s="23" t="n"/>
      <c r="AM140" s="26">
        <f>IF(G140="","",G140&amp;"|"&amp;P140)</f>
        <v/>
      </c>
      <c r="AN140" s="27">
        <f>IF(I140="","",IFERROR(DATE(VALUE(RIGHT(I140,4)),VALUE(MID(I140,4,2)),VALUE(LEFT(I140,2))),""))</f>
        <v/>
      </c>
      <c r="AO140" s="27">
        <f>IF(Y140="","",IFERROR(DATE(VALUE(RIGHT(Y140,4)),VALUE(MID(Y140,4,2)),VALUE(LEFT(Y140,2))),""))</f>
        <v/>
      </c>
      <c r="AP140" s="27">
        <f>IF(AC140="","",IFERROR(DATE(VALUE(RIGHT(AC140,4)),VALUE(MID(AC140,4,2)),VALUE(LEFT(AC140,2))),""))</f>
        <v/>
      </c>
      <c r="AQ140" s="26">
        <f>IF(AI140="","",TRIM(LEFT(AI140,FIND(" ",AI140&amp;" ")-1)))</f>
        <v/>
      </c>
      <c r="AR140" s="27">
        <f>IF(AQ140="","",IFERROR(DATE(VALUE(MID(AQ140,FIND("/",AQ140,FIND("/",AQ140)+1)+1,4)),VALUE(LEFT(AQ140,FIND("/",AQ140)-1)),VALUE(MID(AQ140,FIND("/",AQ140)+1,FIND("/",AQ140,FIND("/",AQ140)+1)-FIND("/",AQ140)-1))),""))</f>
        <v/>
      </c>
      <c r="AS140" s="26">
        <f>IF(G140="","",IF(AND(AG140&lt;&gt;"",AG140&lt;&gt;"Bayi Aracı"),"Evet","Hayır"))</f>
        <v/>
      </c>
      <c r="AT140" s="26">
        <f>IF(G140="","",IF(AND(AS140="Evet",T140="Siparişiniz Teslim Edildi"),"Evet","Hayır"))</f>
        <v/>
      </c>
      <c r="AU140" s="26">
        <f>IF(G140="","",IF(AB140="Siparişinizin Montajı Yapıldı","Evet","Hayır"))</f>
        <v/>
      </c>
      <c r="AV140" s="27">
        <f>IF(G140="","",IF(AT140="Evet",AR140,IF(AU140="Evet",AP140,"")))</f>
        <v/>
      </c>
    </row>
    <row r="141">
      <c r="A141" s="23" t="n"/>
      <c r="B141" s="23" t="n"/>
      <c r="C141" s="23" t="n"/>
      <c r="D141" s="23" t="n"/>
      <c r="E141" s="23" t="n"/>
      <c r="F141" s="23" t="n"/>
      <c r="G141" s="23" t="n"/>
      <c r="H141" s="23" t="n"/>
      <c r="I141" s="23" t="n"/>
      <c r="J141" s="23" t="n"/>
      <c r="K141" s="23" t="n"/>
      <c r="L141" s="23" t="n"/>
      <c r="M141" s="23" t="n"/>
      <c r="N141" s="23" t="n"/>
      <c r="O141" s="23" t="n"/>
      <c r="P141" s="23" t="n"/>
      <c r="Q141" s="23" t="n"/>
      <c r="R141" s="23" t="n"/>
      <c r="S141" s="23" t="n"/>
      <c r="T141" s="23" t="n"/>
      <c r="U141" s="23" t="n"/>
      <c r="V141" s="23" t="n"/>
      <c r="W141" s="23" t="n"/>
      <c r="X141" s="23" t="n"/>
      <c r="Y141" s="23" t="n"/>
      <c r="Z141" s="23" t="n"/>
      <c r="AA141" s="23" t="n"/>
      <c r="AB141" s="23" t="n"/>
      <c r="AC141" s="23" t="n"/>
      <c r="AD141" s="23" t="n"/>
      <c r="AE141" s="23" t="n"/>
      <c r="AF141" s="23" t="n"/>
      <c r="AG141" s="23" t="n"/>
      <c r="AH141" s="23" t="n"/>
      <c r="AI141" s="23" t="n"/>
      <c r="AJ141" s="23" t="n"/>
      <c r="AK141" s="23" t="n"/>
      <c r="AL141" s="23" t="n"/>
      <c r="AM141" s="26">
        <f>IF(G141="","",G141&amp;"|"&amp;P141)</f>
        <v/>
      </c>
      <c r="AN141" s="27">
        <f>IF(I141="","",IFERROR(DATE(VALUE(RIGHT(I141,4)),VALUE(MID(I141,4,2)),VALUE(LEFT(I141,2))),""))</f>
        <v/>
      </c>
      <c r="AO141" s="27">
        <f>IF(Y141="","",IFERROR(DATE(VALUE(RIGHT(Y141,4)),VALUE(MID(Y141,4,2)),VALUE(LEFT(Y141,2))),""))</f>
        <v/>
      </c>
      <c r="AP141" s="27">
        <f>IF(AC141="","",IFERROR(DATE(VALUE(RIGHT(AC141,4)),VALUE(MID(AC141,4,2)),VALUE(LEFT(AC141,2))),""))</f>
        <v/>
      </c>
      <c r="AQ141" s="26">
        <f>IF(AI141="","",TRIM(LEFT(AI141,FIND(" ",AI141&amp;" ")-1)))</f>
        <v/>
      </c>
      <c r="AR141" s="27">
        <f>IF(AQ141="","",IFERROR(DATE(VALUE(MID(AQ141,FIND("/",AQ141,FIND("/",AQ141)+1)+1,4)),VALUE(LEFT(AQ141,FIND("/",AQ141)-1)),VALUE(MID(AQ141,FIND("/",AQ141)+1,FIND("/",AQ141,FIND("/",AQ141)+1)-FIND("/",AQ141)-1))),""))</f>
        <v/>
      </c>
      <c r="AS141" s="26">
        <f>IF(G141="","",IF(AND(AG141&lt;&gt;"",AG141&lt;&gt;"Bayi Aracı"),"Evet","Hayır"))</f>
        <v/>
      </c>
      <c r="AT141" s="26">
        <f>IF(G141="","",IF(AND(AS141="Evet",T141="Siparişiniz Teslim Edildi"),"Evet","Hayır"))</f>
        <v/>
      </c>
      <c r="AU141" s="26">
        <f>IF(G141="","",IF(AB141="Siparişinizin Montajı Yapıldı","Evet","Hayır"))</f>
        <v/>
      </c>
      <c r="AV141" s="27">
        <f>IF(G141="","",IF(AT141="Evet",AR141,IF(AU141="Evet",AP141,"")))</f>
        <v/>
      </c>
    </row>
    <row r="142">
      <c r="A142" s="23" t="n"/>
      <c r="B142" s="23" t="n"/>
      <c r="C142" s="23" t="n"/>
      <c r="D142" s="23" t="n"/>
      <c r="E142" s="23" t="n"/>
      <c r="F142" s="23" t="n"/>
      <c r="G142" s="23" t="n"/>
      <c r="H142" s="23" t="n"/>
      <c r="I142" s="23" t="n"/>
      <c r="J142" s="23" t="n"/>
      <c r="K142" s="23" t="n"/>
      <c r="L142" s="23" t="n"/>
      <c r="M142" s="23" t="n"/>
      <c r="N142" s="23" t="n"/>
      <c r="O142" s="23" t="n"/>
      <c r="P142" s="23" t="n"/>
      <c r="Q142" s="23" t="n"/>
      <c r="R142" s="23" t="n"/>
      <c r="S142" s="23" t="n"/>
      <c r="T142" s="23" t="n"/>
      <c r="U142" s="23" t="n"/>
      <c r="V142" s="23" t="n"/>
      <c r="W142" s="23" t="n"/>
      <c r="X142" s="23" t="n"/>
      <c r="Y142" s="23" t="n"/>
      <c r="Z142" s="23" t="n"/>
      <c r="AA142" s="23" t="n"/>
      <c r="AB142" s="23" t="n"/>
      <c r="AC142" s="23" t="n"/>
      <c r="AD142" s="23" t="n"/>
      <c r="AE142" s="23" t="n"/>
      <c r="AF142" s="23" t="n"/>
      <c r="AG142" s="23" t="n"/>
      <c r="AH142" s="23" t="n"/>
      <c r="AI142" s="23" t="n"/>
      <c r="AJ142" s="23" t="n"/>
      <c r="AK142" s="23" t="n"/>
      <c r="AL142" s="23" t="n"/>
      <c r="AM142" s="26">
        <f>IF(G142="","",G142&amp;"|"&amp;P142)</f>
        <v/>
      </c>
      <c r="AN142" s="27">
        <f>IF(I142="","",IFERROR(DATE(VALUE(RIGHT(I142,4)),VALUE(MID(I142,4,2)),VALUE(LEFT(I142,2))),""))</f>
        <v/>
      </c>
      <c r="AO142" s="27">
        <f>IF(Y142="","",IFERROR(DATE(VALUE(RIGHT(Y142,4)),VALUE(MID(Y142,4,2)),VALUE(LEFT(Y142,2))),""))</f>
        <v/>
      </c>
      <c r="AP142" s="27">
        <f>IF(AC142="","",IFERROR(DATE(VALUE(RIGHT(AC142,4)),VALUE(MID(AC142,4,2)),VALUE(LEFT(AC142,2))),""))</f>
        <v/>
      </c>
      <c r="AQ142" s="26">
        <f>IF(AI142="","",TRIM(LEFT(AI142,FIND(" ",AI142&amp;" ")-1)))</f>
        <v/>
      </c>
      <c r="AR142" s="27">
        <f>IF(AQ142="","",IFERROR(DATE(VALUE(MID(AQ142,FIND("/",AQ142,FIND("/",AQ142)+1)+1,4)),VALUE(LEFT(AQ142,FIND("/",AQ142)-1)),VALUE(MID(AQ142,FIND("/",AQ142)+1,FIND("/",AQ142,FIND("/",AQ142)+1)-FIND("/",AQ142)-1))),""))</f>
        <v/>
      </c>
      <c r="AS142" s="26">
        <f>IF(G142="","",IF(AND(AG142&lt;&gt;"",AG142&lt;&gt;"Bayi Aracı"),"Evet","Hayır"))</f>
        <v/>
      </c>
      <c r="AT142" s="26">
        <f>IF(G142="","",IF(AND(AS142="Evet",T142="Siparişiniz Teslim Edildi"),"Evet","Hayır"))</f>
        <v/>
      </c>
      <c r="AU142" s="26">
        <f>IF(G142="","",IF(AB142="Siparişinizin Montajı Yapıldı","Evet","Hayır"))</f>
        <v/>
      </c>
      <c r="AV142" s="27">
        <f>IF(G142="","",IF(AT142="Evet",AR142,IF(AU142="Evet",AP142,"")))</f>
        <v/>
      </c>
    </row>
    <row r="143">
      <c r="A143" s="23" t="n"/>
      <c r="B143" s="23" t="n"/>
      <c r="C143" s="23" t="n"/>
      <c r="D143" s="23" t="n"/>
      <c r="E143" s="23" t="n"/>
      <c r="F143" s="23" t="n"/>
      <c r="G143" s="23" t="n"/>
      <c r="H143" s="23" t="n"/>
      <c r="I143" s="23" t="n"/>
      <c r="J143" s="23" t="n"/>
      <c r="K143" s="23" t="n"/>
      <c r="L143" s="23" t="n"/>
      <c r="M143" s="23" t="n"/>
      <c r="N143" s="23" t="n"/>
      <c r="O143" s="23" t="n"/>
      <c r="P143" s="23" t="n"/>
      <c r="Q143" s="23" t="n"/>
      <c r="R143" s="23" t="n"/>
      <c r="S143" s="23" t="n"/>
      <c r="T143" s="23" t="n"/>
      <c r="U143" s="23" t="n"/>
      <c r="V143" s="23" t="n"/>
      <c r="W143" s="23" t="n"/>
      <c r="X143" s="23" t="n"/>
      <c r="Y143" s="23" t="n"/>
      <c r="Z143" s="23" t="n"/>
      <c r="AA143" s="23" t="n"/>
      <c r="AB143" s="23" t="n"/>
      <c r="AC143" s="23" t="n"/>
      <c r="AD143" s="23" t="n"/>
      <c r="AE143" s="23" t="n"/>
      <c r="AF143" s="23" t="n"/>
      <c r="AG143" s="23" t="n"/>
      <c r="AH143" s="23" t="n"/>
      <c r="AI143" s="23" t="n"/>
      <c r="AJ143" s="23" t="n"/>
      <c r="AK143" s="23" t="n"/>
      <c r="AL143" s="23" t="n"/>
      <c r="AM143" s="26">
        <f>IF(G143="","",G143&amp;"|"&amp;P143)</f>
        <v/>
      </c>
      <c r="AN143" s="27">
        <f>IF(I143="","",IFERROR(DATE(VALUE(RIGHT(I143,4)),VALUE(MID(I143,4,2)),VALUE(LEFT(I143,2))),""))</f>
        <v/>
      </c>
      <c r="AO143" s="27">
        <f>IF(Y143="","",IFERROR(DATE(VALUE(RIGHT(Y143,4)),VALUE(MID(Y143,4,2)),VALUE(LEFT(Y143,2))),""))</f>
        <v/>
      </c>
      <c r="AP143" s="27">
        <f>IF(AC143="","",IFERROR(DATE(VALUE(RIGHT(AC143,4)),VALUE(MID(AC143,4,2)),VALUE(LEFT(AC143,2))),""))</f>
        <v/>
      </c>
      <c r="AQ143" s="26">
        <f>IF(AI143="","",TRIM(LEFT(AI143,FIND(" ",AI143&amp;" ")-1)))</f>
        <v/>
      </c>
      <c r="AR143" s="27">
        <f>IF(AQ143="","",IFERROR(DATE(VALUE(MID(AQ143,FIND("/",AQ143,FIND("/",AQ143)+1)+1,4)),VALUE(LEFT(AQ143,FIND("/",AQ143)-1)),VALUE(MID(AQ143,FIND("/",AQ143)+1,FIND("/",AQ143,FIND("/",AQ143)+1)-FIND("/",AQ143)-1))),""))</f>
        <v/>
      </c>
      <c r="AS143" s="26">
        <f>IF(G143="","",IF(AND(AG143&lt;&gt;"",AG143&lt;&gt;"Bayi Aracı"),"Evet","Hayır"))</f>
        <v/>
      </c>
      <c r="AT143" s="26">
        <f>IF(G143="","",IF(AND(AS143="Evet",T143="Siparişiniz Teslim Edildi"),"Evet","Hayır"))</f>
        <v/>
      </c>
      <c r="AU143" s="26">
        <f>IF(G143="","",IF(AB143="Siparişinizin Montajı Yapıldı","Evet","Hayır"))</f>
        <v/>
      </c>
      <c r="AV143" s="27">
        <f>IF(G143="","",IF(AT143="Evet",AR143,IF(AU143="Evet",AP143,"")))</f>
        <v/>
      </c>
    </row>
    <row r="144">
      <c r="A144" s="23" t="n"/>
      <c r="B144" s="23" t="n"/>
      <c r="C144" s="23" t="n"/>
      <c r="D144" s="23" t="n"/>
      <c r="E144" s="23" t="n"/>
      <c r="F144" s="23" t="n"/>
      <c r="G144" s="23" t="n"/>
      <c r="H144" s="23" t="n"/>
      <c r="I144" s="23" t="n"/>
      <c r="J144" s="23" t="n"/>
      <c r="K144" s="23" t="n"/>
      <c r="L144" s="23" t="n"/>
      <c r="M144" s="23" t="n"/>
      <c r="N144" s="23" t="n"/>
      <c r="O144" s="23" t="n"/>
      <c r="P144" s="23" t="n"/>
      <c r="Q144" s="23" t="n"/>
      <c r="R144" s="23" t="n"/>
      <c r="S144" s="23" t="n"/>
      <c r="T144" s="23" t="n"/>
      <c r="U144" s="23" t="n"/>
      <c r="V144" s="23" t="n"/>
      <c r="W144" s="23" t="n"/>
      <c r="X144" s="23" t="n"/>
      <c r="Y144" s="23" t="n"/>
      <c r="Z144" s="23" t="n"/>
      <c r="AA144" s="23" t="n"/>
      <c r="AB144" s="23" t="n"/>
      <c r="AC144" s="23" t="n"/>
      <c r="AD144" s="23" t="n"/>
      <c r="AE144" s="23" t="n"/>
      <c r="AF144" s="23" t="n"/>
      <c r="AG144" s="23" t="n"/>
      <c r="AH144" s="23" t="n"/>
      <c r="AI144" s="23" t="n"/>
      <c r="AJ144" s="23" t="n"/>
      <c r="AK144" s="23" t="n"/>
      <c r="AL144" s="23" t="n"/>
      <c r="AM144" s="26">
        <f>IF(G144="","",G144&amp;"|"&amp;P144)</f>
        <v/>
      </c>
      <c r="AN144" s="27">
        <f>IF(I144="","",IFERROR(DATE(VALUE(RIGHT(I144,4)),VALUE(MID(I144,4,2)),VALUE(LEFT(I144,2))),""))</f>
        <v/>
      </c>
      <c r="AO144" s="27">
        <f>IF(Y144="","",IFERROR(DATE(VALUE(RIGHT(Y144,4)),VALUE(MID(Y144,4,2)),VALUE(LEFT(Y144,2))),""))</f>
        <v/>
      </c>
      <c r="AP144" s="27">
        <f>IF(AC144="","",IFERROR(DATE(VALUE(RIGHT(AC144,4)),VALUE(MID(AC144,4,2)),VALUE(LEFT(AC144,2))),""))</f>
        <v/>
      </c>
      <c r="AQ144" s="26">
        <f>IF(AI144="","",TRIM(LEFT(AI144,FIND(" ",AI144&amp;" ")-1)))</f>
        <v/>
      </c>
      <c r="AR144" s="27">
        <f>IF(AQ144="","",IFERROR(DATE(VALUE(MID(AQ144,FIND("/",AQ144,FIND("/",AQ144)+1)+1,4)),VALUE(LEFT(AQ144,FIND("/",AQ144)-1)),VALUE(MID(AQ144,FIND("/",AQ144)+1,FIND("/",AQ144,FIND("/",AQ144)+1)-FIND("/",AQ144)-1))),""))</f>
        <v/>
      </c>
      <c r="AS144" s="26">
        <f>IF(G144="","",IF(AND(AG144&lt;&gt;"",AG144&lt;&gt;"Bayi Aracı"),"Evet","Hayır"))</f>
        <v/>
      </c>
      <c r="AT144" s="26">
        <f>IF(G144="","",IF(AND(AS144="Evet",T144="Siparişiniz Teslim Edildi"),"Evet","Hayır"))</f>
        <v/>
      </c>
      <c r="AU144" s="26">
        <f>IF(G144="","",IF(AB144="Siparişinizin Montajı Yapıldı","Evet","Hayır"))</f>
        <v/>
      </c>
      <c r="AV144" s="27">
        <f>IF(G144="","",IF(AT144="Evet",AR144,IF(AU144="Evet",AP144,"")))</f>
        <v/>
      </c>
    </row>
    <row r="145">
      <c r="A145" s="23" t="n"/>
      <c r="B145" s="23" t="n"/>
      <c r="C145" s="23" t="n"/>
      <c r="D145" s="23" t="n"/>
      <c r="E145" s="23" t="n"/>
      <c r="F145" s="23" t="n"/>
      <c r="G145" s="23" t="n"/>
      <c r="H145" s="23" t="n"/>
      <c r="I145" s="23" t="n"/>
      <c r="J145" s="23" t="n"/>
      <c r="K145" s="23" t="n"/>
      <c r="L145" s="23" t="n"/>
      <c r="M145" s="23" t="n"/>
      <c r="N145" s="23" t="n"/>
      <c r="O145" s="23" t="n"/>
      <c r="P145" s="23" t="n"/>
      <c r="Q145" s="23" t="n"/>
      <c r="R145" s="23" t="n"/>
      <c r="S145" s="23" t="n"/>
      <c r="T145" s="23" t="n"/>
      <c r="U145" s="23" t="n"/>
      <c r="V145" s="23" t="n"/>
      <c r="W145" s="23" t="n"/>
      <c r="X145" s="23" t="n"/>
      <c r="Y145" s="23" t="n"/>
      <c r="Z145" s="23" t="n"/>
      <c r="AA145" s="23" t="n"/>
      <c r="AB145" s="23" t="n"/>
      <c r="AC145" s="23" t="n"/>
      <c r="AD145" s="23" t="n"/>
      <c r="AE145" s="23" t="n"/>
      <c r="AF145" s="23" t="n"/>
      <c r="AG145" s="23" t="n"/>
      <c r="AH145" s="23" t="n"/>
      <c r="AI145" s="23" t="n"/>
      <c r="AJ145" s="23" t="n"/>
      <c r="AK145" s="23" t="n"/>
      <c r="AL145" s="23" t="n"/>
      <c r="AM145" s="26">
        <f>IF(G145="","",G145&amp;"|"&amp;P145)</f>
        <v/>
      </c>
      <c r="AN145" s="27">
        <f>IF(I145="","",IFERROR(DATE(VALUE(RIGHT(I145,4)),VALUE(MID(I145,4,2)),VALUE(LEFT(I145,2))),""))</f>
        <v/>
      </c>
      <c r="AO145" s="27">
        <f>IF(Y145="","",IFERROR(DATE(VALUE(RIGHT(Y145,4)),VALUE(MID(Y145,4,2)),VALUE(LEFT(Y145,2))),""))</f>
        <v/>
      </c>
      <c r="AP145" s="27">
        <f>IF(AC145="","",IFERROR(DATE(VALUE(RIGHT(AC145,4)),VALUE(MID(AC145,4,2)),VALUE(LEFT(AC145,2))),""))</f>
        <v/>
      </c>
      <c r="AQ145" s="26">
        <f>IF(AI145="","",TRIM(LEFT(AI145,FIND(" ",AI145&amp;" ")-1)))</f>
        <v/>
      </c>
      <c r="AR145" s="27">
        <f>IF(AQ145="","",IFERROR(DATE(VALUE(MID(AQ145,FIND("/",AQ145,FIND("/",AQ145)+1)+1,4)),VALUE(LEFT(AQ145,FIND("/",AQ145)-1)),VALUE(MID(AQ145,FIND("/",AQ145)+1,FIND("/",AQ145,FIND("/",AQ145)+1)-FIND("/",AQ145)-1))),""))</f>
        <v/>
      </c>
      <c r="AS145" s="26">
        <f>IF(G145="","",IF(AND(AG145&lt;&gt;"",AG145&lt;&gt;"Bayi Aracı"),"Evet","Hayır"))</f>
        <v/>
      </c>
      <c r="AT145" s="26">
        <f>IF(G145="","",IF(AND(AS145="Evet",T145="Siparişiniz Teslim Edildi"),"Evet","Hayır"))</f>
        <v/>
      </c>
      <c r="AU145" s="26">
        <f>IF(G145="","",IF(AB145="Siparişinizin Montajı Yapıldı","Evet","Hayır"))</f>
        <v/>
      </c>
      <c r="AV145" s="27">
        <f>IF(G145="","",IF(AT145="Evet",AR145,IF(AU145="Evet",AP145,"")))</f>
        <v/>
      </c>
    </row>
    <row r="146">
      <c r="A146" s="23" t="n"/>
      <c r="B146" s="23" t="n"/>
      <c r="C146" s="23" t="n"/>
      <c r="D146" s="23" t="n"/>
      <c r="E146" s="23" t="n"/>
      <c r="F146" s="23" t="n"/>
      <c r="G146" s="23" t="n"/>
      <c r="H146" s="23" t="n"/>
      <c r="I146" s="23" t="n"/>
      <c r="J146" s="23" t="n"/>
      <c r="K146" s="23" t="n"/>
      <c r="L146" s="23" t="n"/>
      <c r="M146" s="23" t="n"/>
      <c r="N146" s="23" t="n"/>
      <c r="O146" s="23" t="n"/>
      <c r="P146" s="23" t="n"/>
      <c r="Q146" s="23" t="n"/>
      <c r="R146" s="23" t="n"/>
      <c r="S146" s="23" t="n"/>
      <c r="T146" s="23" t="n"/>
      <c r="U146" s="23" t="n"/>
      <c r="V146" s="23" t="n"/>
      <c r="W146" s="23" t="n"/>
      <c r="X146" s="23" t="n"/>
      <c r="Y146" s="23" t="n"/>
      <c r="Z146" s="23" t="n"/>
      <c r="AA146" s="23" t="n"/>
      <c r="AB146" s="23" t="n"/>
      <c r="AC146" s="23" t="n"/>
      <c r="AD146" s="23" t="n"/>
      <c r="AE146" s="23" t="n"/>
      <c r="AF146" s="23" t="n"/>
      <c r="AG146" s="23" t="n"/>
      <c r="AH146" s="23" t="n"/>
      <c r="AI146" s="23" t="n"/>
      <c r="AJ146" s="23" t="n"/>
      <c r="AK146" s="23" t="n"/>
      <c r="AL146" s="23" t="n"/>
      <c r="AM146" s="26">
        <f>IF(G146="","",G146&amp;"|"&amp;P146)</f>
        <v/>
      </c>
      <c r="AN146" s="27">
        <f>IF(I146="","",IFERROR(DATE(VALUE(RIGHT(I146,4)),VALUE(MID(I146,4,2)),VALUE(LEFT(I146,2))),""))</f>
        <v/>
      </c>
      <c r="AO146" s="27">
        <f>IF(Y146="","",IFERROR(DATE(VALUE(RIGHT(Y146,4)),VALUE(MID(Y146,4,2)),VALUE(LEFT(Y146,2))),""))</f>
        <v/>
      </c>
      <c r="AP146" s="27">
        <f>IF(AC146="","",IFERROR(DATE(VALUE(RIGHT(AC146,4)),VALUE(MID(AC146,4,2)),VALUE(LEFT(AC146,2))),""))</f>
        <v/>
      </c>
      <c r="AQ146" s="26">
        <f>IF(AI146="","",TRIM(LEFT(AI146,FIND(" ",AI146&amp;" ")-1)))</f>
        <v/>
      </c>
      <c r="AR146" s="27">
        <f>IF(AQ146="","",IFERROR(DATE(VALUE(MID(AQ146,FIND("/",AQ146,FIND("/",AQ146)+1)+1,4)),VALUE(LEFT(AQ146,FIND("/",AQ146)-1)),VALUE(MID(AQ146,FIND("/",AQ146)+1,FIND("/",AQ146,FIND("/",AQ146)+1)-FIND("/",AQ146)-1))),""))</f>
        <v/>
      </c>
      <c r="AS146" s="26">
        <f>IF(G146="","",IF(AND(AG146&lt;&gt;"",AG146&lt;&gt;"Bayi Aracı"),"Evet","Hayır"))</f>
        <v/>
      </c>
      <c r="AT146" s="26">
        <f>IF(G146="","",IF(AND(AS146="Evet",T146="Siparişiniz Teslim Edildi"),"Evet","Hayır"))</f>
        <v/>
      </c>
      <c r="AU146" s="26">
        <f>IF(G146="","",IF(AB146="Siparişinizin Montajı Yapıldı","Evet","Hayır"))</f>
        <v/>
      </c>
      <c r="AV146" s="27">
        <f>IF(G146="","",IF(AT146="Evet",AR146,IF(AU146="Evet",AP146,"")))</f>
        <v/>
      </c>
    </row>
    <row r="147">
      <c r="A147" s="23" t="n"/>
      <c r="B147" s="23" t="n"/>
      <c r="C147" s="23" t="n"/>
      <c r="D147" s="23" t="n"/>
      <c r="E147" s="23" t="n"/>
      <c r="F147" s="23" t="n"/>
      <c r="G147" s="23" t="n"/>
      <c r="H147" s="23" t="n"/>
      <c r="I147" s="23" t="n"/>
      <c r="J147" s="23" t="n"/>
      <c r="K147" s="23" t="n"/>
      <c r="L147" s="23" t="n"/>
      <c r="M147" s="23" t="n"/>
      <c r="N147" s="23" t="n"/>
      <c r="O147" s="23" t="n"/>
      <c r="P147" s="23" t="n"/>
      <c r="Q147" s="23" t="n"/>
      <c r="R147" s="23" t="n"/>
      <c r="S147" s="23" t="n"/>
      <c r="T147" s="23" t="n"/>
      <c r="U147" s="23" t="n"/>
      <c r="V147" s="23" t="n"/>
      <c r="W147" s="23" t="n"/>
      <c r="X147" s="23" t="n"/>
      <c r="Y147" s="23" t="n"/>
      <c r="Z147" s="23" t="n"/>
      <c r="AA147" s="23" t="n"/>
      <c r="AB147" s="23" t="n"/>
      <c r="AC147" s="23" t="n"/>
      <c r="AD147" s="23" t="n"/>
      <c r="AE147" s="23" t="n"/>
      <c r="AF147" s="23" t="n"/>
      <c r="AG147" s="23" t="n"/>
      <c r="AH147" s="23" t="n"/>
      <c r="AI147" s="23" t="n"/>
      <c r="AJ147" s="23" t="n"/>
      <c r="AK147" s="23" t="n"/>
      <c r="AL147" s="23" t="n"/>
      <c r="AM147" s="26">
        <f>IF(G147="","",G147&amp;"|"&amp;P147)</f>
        <v/>
      </c>
      <c r="AN147" s="27">
        <f>IF(I147="","",IFERROR(DATE(VALUE(RIGHT(I147,4)),VALUE(MID(I147,4,2)),VALUE(LEFT(I147,2))),""))</f>
        <v/>
      </c>
      <c r="AO147" s="27">
        <f>IF(Y147="","",IFERROR(DATE(VALUE(RIGHT(Y147,4)),VALUE(MID(Y147,4,2)),VALUE(LEFT(Y147,2))),""))</f>
        <v/>
      </c>
      <c r="AP147" s="27">
        <f>IF(AC147="","",IFERROR(DATE(VALUE(RIGHT(AC147,4)),VALUE(MID(AC147,4,2)),VALUE(LEFT(AC147,2))),""))</f>
        <v/>
      </c>
      <c r="AQ147" s="26">
        <f>IF(AI147="","",TRIM(LEFT(AI147,FIND(" ",AI147&amp;" ")-1)))</f>
        <v/>
      </c>
      <c r="AR147" s="27">
        <f>IF(AQ147="","",IFERROR(DATE(VALUE(MID(AQ147,FIND("/",AQ147,FIND("/",AQ147)+1)+1,4)),VALUE(LEFT(AQ147,FIND("/",AQ147)-1)),VALUE(MID(AQ147,FIND("/",AQ147)+1,FIND("/",AQ147,FIND("/",AQ147)+1)-FIND("/",AQ147)-1))),""))</f>
        <v/>
      </c>
      <c r="AS147" s="26">
        <f>IF(G147="","",IF(AND(AG147&lt;&gt;"",AG147&lt;&gt;"Bayi Aracı"),"Evet","Hayır"))</f>
        <v/>
      </c>
      <c r="AT147" s="26">
        <f>IF(G147="","",IF(AND(AS147="Evet",T147="Siparişiniz Teslim Edildi"),"Evet","Hayır"))</f>
        <v/>
      </c>
      <c r="AU147" s="26">
        <f>IF(G147="","",IF(AB147="Siparişinizin Montajı Yapıldı","Evet","Hayır"))</f>
        <v/>
      </c>
      <c r="AV147" s="27">
        <f>IF(G147="","",IF(AT147="Evet",AR147,IF(AU147="Evet",AP147,"")))</f>
        <v/>
      </c>
    </row>
    <row r="148">
      <c r="A148" s="23" t="n"/>
      <c r="B148" s="23" t="n"/>
      <c r="C148" s="23" t="n"/>
      <c r="D148" s="23" t="n"/>
      <c r="E148" s="23" t="n"/>
      <c r="F148" s="23" t="n"/>
      <c r="G148" s="23" t="n"/>
      <c r="H148" s="23" t="n"/>
      <c r="I148" s="23" t="n"/>
      <c r="J148" s="23" t="n"/>
      <c r="K148" s="23" t="n"/>
      <c r="L148" s="23" t="n"/>
      <c r="M148" s="23" t="n"/>
      <c r="N148" s="23" t="n"/>
      <c r="O148" s="23" t="n"/>
      <c r="P148" s="23" t="n"/>
      <c r="Q148" s="23" t="n"/>
      <c r="R148" s="23" t="n"/>
      <c r="S148" s="23" t="n"/>
      <c r="T148" s="23" t="n"/>
      <c r="U148" s="23" t="n"/>
      <c r="V148" s="23" t="n"/>
      <c r="W148" s="23" t="n"/>
      <c r="X148" s="23" t="n"/>
      <c r="Y148" s="23" t="n"/>
      <c r="Z148" s="23" t="n"/>
      <c r="AA148" s="23" t="n"/>
      <c r="AB148" s="23" t="n"/>
      <c r="AC148" s="23" t="n"/>
      <c r="AD148" s="23" t="n"/>
      <c r="AE148" s="23" t="n"/>
      <c r="AF148" s="23" t="n"/>
      <c r="AG148" s="23" t="n"/>
      <c r="AH148" s="23" t="n"/>
      <c r="AI148" s="23" t="n"/>
      <c r="AJ148" s="23" t="n"/>
      <c r="AK148" s="23" t="n"/>
      <c r="AL148" s="23" t="n"/>
      <c r="AM148" s="26">
        <f>IF(G148="","",G148&amp;"|"&amp;P148)</f>
        <v/>
      </c>
      <c r="AN148" s="27">
        <f>IF(I148="","",IFERROR(DATE(VALUE(RIGHT(I148,4)),VALUE(MID(I148,4,2)),VALUE(LEFT(I148,2))),""))</f>
        <v/>
      </c>
      <c r="AO148" s="27">
        <f>IF(Y148="","",IFERROR(DATE(VALUE(RIGHT(Y148,4)),VALUE(MID(Y148,4,2)),VALUE(LEFT(Y148,2))),""))</f>
        <v/>
      </c>
      <c r="AP148" s="27">
        <f>IF(AC148="","",IFERROR(DATE(VALUE(RIGHT(AC148,4)),VALUE(MID(AC148,4,2)),VALUE(LEFT(AC148,2))),""))</f>
        <v/>
      </c>
      <c r="AQ148" s="26">
        <f>IF(AI148="","",TRIM(LEFT(AI148,FIND(" ",AI148&amp;" ")-1)))</f>
        <v/>
      </c>
      <c r="AR148" s="27">
        <f>IF(AQ148="","",IFERROR(DATE(VALUE(MID(AQ148,FIND("/",AQ148,FIND("/",AQ148)+1)+1,4)),VALUE(LEFT(AQ148,FIND("/",AQ148)-1)),VALUE(MID(AQ148,FIND("/",AQ148)+1,FIND("/",AQ148,FIND("/",AQ148)+1)-FIND("/",AQ148)-1))),""))</f>
        <v/>
      </c>
      <c r="AS148" s="26">
        <f>IF(G148="","",IF(AND(AG148&lt;&gt;"",AG148&lt;&gt;"Bayi Aracı"),"Evet","Hayır"))</f>
        <v/>
      </c>
      <c r="AT148" s="26">
        <f>IF(G148="","",IF(AND(AS148="Evet",T148="Siparişiniz Teslim Edildi"),"Evet","Hayır"))</f>
        <v/>
      </c>
      <c r="AU148" s="26">
        <f>IF(G148="","",IF(AB148="Siparişinizin Montajı Yapıldı","Evet","Hayır"))</f>
        <v/>
      </c>
      <c r="AV148" s="27">
        <f>IF(G148="","",IF(AT148="Evet",AR148,IF(AU148="Evet",AP148,"")))</f>
        <v/>
      </c>
    </row>
    <row r="149">
      <c r="A149" s="23" t="n"/>
      <c r="B149" s="23" t="n"/>
      <c r="C149" s="23" t="n"/>
      <c r="D149" s="23" t="n"/>
      <c r="E149" s="23" t="n"/>
      <c r="F149" s="23" t="n"/>
      <c r="G149" s="23" t="n"/>
      <c r="H149" s="23" t="n"/>
      <c r="I149" s="23" t="n"/>
      <c r="J149" s="23" t="n"/>
      <c r="K149" s="23" t="n"/>
      <c r="L149" s="23" t="n"/>
      <c r="M149" s="23" t="n"/>
      <c r="N149" s="23" t="n"/>
      <c r="O149" s="23" t="n"/>
      <c r="P149" s="23" t="n"/>
      <c r="Q149" s="23" t="n"/>
      <c r="R149" s="23" t="n"/>
      <c r="S149" s="23" t="n"/>
      <c r="T149" s="23" t="n"/>
      <c r="U149" s="23" t="n"/>
      <c r="V149" s="23" t="n"/>
      <c r="W149" s="23" t="n"/>
      <c r="X149" s="23" t="n"/>
      <c r="Y149" s="23" t="n"/>
      <c r="Z149" s="23" t="n"/>
      <c r="AA149" s="23" t="n"/>
      <c r="AB149" s="23" t="n"/>
      <c r="AC149" s="23" t="n"/>
      <c r="AD149" s="23" t="n"/>
      <c r="AE149" s="23" t="n"/>
      <c r="AF149" s="23" t="n"/>
      <c r="AG149" s="23" t="n"/>
      <c r="AH149" s="23" t="n"/>
      <c r="AI149" s="23" t="n"/>
      <c r="AJ149" s="23" t="n"/>
      <c r="AK149" s="23" t="n"/>
      <c r="AL149" s="23" t="n"/>
      <c r="AM149" s="26">
        <f>IF(G149="","",G149&amp;"|"&amp;P149)</f>
        <v/>
      </c>
      <c r="AN149" s="27">
        <f>IF(I149="","",IFERROR(DATE(VALUE(RIGHT(I149,4)),VALUE(MID(I149,4,2)),VALUE(LEFT(I149,2))),""))</f>
        <v/>
      </c>
      <c r="AO149" s="27">
        <f>IF(Y149="","",IFERROR(DATE(VALUE(RIGHT(Y149,4)),VALUE(MID(Y149,4,2)),VALUE(LEFT(Y149,2))),""))</f>
        <v/>
      </c>
      <c r="AP149" s="27">
        <f>IF(AC149="","",IFERROR(DATE(VALUE(RIGHT(AC149,4)),VALUE(MID(AC149,4,2)),VALUE(LEFT(AC149,2))),""))</f>
        <v/>
      </c>
      <c r="AQ149" s="26">
        <f>IF(AI149="","",TRIM(LEFT(AI149,FIND(" ",AI149&amp;" ")-1)))</f>
        <v/>
      </c>
      <c r="AR149" s="27">
        <f>IF(AQ149="","",IFERROR(DATE(VALUE(MID(AQ149,FIND("/",AQ149,FIND("/",AQ149)+1)+1,4)),VALUE(LEFT(AQ149,FIND("/",AQ149)-1)),VALUE(MID(AQ149,FIND("/",AQ149)+1,FIND("/",AQ149,FIND("/",AQ149)+1)-FIND("/",AQ149)-1))),""))</f>
        <v/>
      </c>
      <c r="AS149" s="26">
        <f>IF(G149="","",IF(AND(AG149&lt;&gt;"",AG149&lt;&gt;"Bayi Aracı"),"Evet","Hayır"))</f>
        <v/>
      </c>
      <c r="AT149" s="26">
        <f>IF(G149="","",IF(AND(AS149="Evet",T149="Siparişiniz Teslim Edildi"),"Evet","Hayır"))</f>
        <v/>
      </c>
      <c r="AU149" s="26">
        <f>IF(G149="","",IF(AB149="Siparişinizin Montajı Yapıldı","Evet","Hayır"))</f>
        <v/>
      </c>
      <c r="AV149" s="27">
        <f>IF(G149="","",IF(AT149="Evet",AR149,IF(AU149="Evet",AP149,"")))</f>
        <v/>
      </c>
    </row>
    <row r="150">
      <c r="A150" s="23" t="n"/>
      <c r="B150" s="23" t="n"/>
      <c r="C150" s="23" t="n"/>
      <c r="D150" s="23" t="n"/>
      <c r="E150" s="23" t="n"/>
      <c r="F150" s="23" t="n"/>
      <c r="G150" s="23" t="n"/>
      <c r="H150" s="23" t="n"/>
      <c r="I150" s="23" t="n"/>
      <c r="J150" s="23" t="n"/>
      <c r="K150" s="23" t="n"/>
      <c r="L150" s="23" t="n"/>
      <c r="M150" s="23" t="n"/>
      <c r="N150" s="23" t="n"/>
      <c r="O150" s="23" t="n"/>
      <c r="P150" s="23" t="n"/>
      <c r="Q150" s="23" t="n"/>
      <c r="R150" s="23" t="n"/>
      <c r="S150" s="23" t="n"/>
      <c r="T150" s="23" t="n"/>
      <c r="U150" s="23" t="n"/>
      <c r="V150" s="23" t="n"/>
      <c r="W150" s="23" t="n"/>
      <c r="X150" s="23" t="n"/>
      <c r="Y150" s="23" t="n"/>
      <c r="Z150" s="23" t="n"/>
      <c r="AA150" s="23" t="n"/>
      <c r="AB150" s="23" t="n"/>
      <c r="AC150" s="23" t="n"/>
      <c r="AD150" s="23" t="n"/>
      <c r="AE150" s="23" t="n"/>
      <c r="AF150" s="23" t="n"/>
      <c r="AG150" s="23" t="n"/>
      <c r="AH150" s="23" t="n"/>
      <c r="AI150" s="23" t="n"/>
      <c r="AJ150" s="23" t="n"/>
      <c r="AK150" s="23" t="n"/>
      <c r="AL150" s="23" t="n"/>
      <c r="AM150" s="26">
        <f>IF(G150="","",G150&amp;"|"&amp;P150)</f>
        <v/>
      </c>
      <c r="AN150" s="27">
        <f>IF(I150="","",IFERROR(DATE(VALUE(RIGHT(I150,4)),VALUE(MID(I150,4,2)),VALUE(LEFT(I150,2))),""))</f>
        <v/>
      </c>
      <c r="AO150" s="27">
        <f>IF(Y150="","",IFERROR(DATE(VALUE(RIGHT(Y150,4)),VALUE(MID(Y150,4,2)),VALUE(LEFT(Y150,2))),""))</f>
        <v/>
      </c>
      <c r="AP150" s="27">
        <f>IF(AC150="","",IFERROR(DATE(VALUE(RIGHT(AC150,4)),VALUE(MID(AC150,4,2)),VALUE(LEFT(AC150,2))),""))</f>
        <v/>
      </c>
      <c r="AQ150" s="26">
        <f>IF(AI150="","",TRIM(LEFT(AI150,FIND(" ",AI150&amp;" ")-1)))</f>
        <v/>
      </c>
      <c r="AR150" s="27">
        <f>IF(AQ150="","",IFERROR(DATE(VALUE(MID(AQ150,FIND("/",AQ150,FIND("/",AQ150)+1)+1,4)),VALUE(LEFT(AQ150,FIND("/",AQ150)-1)),VALUE(MID(AQ150,FIND("/",AQ150)+1,FIND("/",AQ150,FIND("/",AQ150)+1)-FIND("/",AQ150)-1))),""))</f>
        <v/>
      </c>
      <c r="AS150" s="26">
        <f>IF(G150="","",IF(AND(AG150&lt;&gt;"",AG150&lt;&gt;"Bayi Aracı"),"Evet","Hayır"))</f>
        <v/>
      </c>
      <c r="AT150" s="26">
        <f>IF(G150="","",IF(AND(AS150="Evet",T150="Siparişiniz Teslim Edildi"),"Evet","Hayır"))</f>
        <v/>
      </c>
      <c r="AU150" s="26">
        <f>IF(G150="","",IF(AB150="Siparişinizin Montajı Yapıldı","Evet","Hayır"))</f>
        <v/>
      </c>
      <c r="AV150" s="27">
        <f>IF(G150="","",IF(AT150="Evet",AR150,IF(AU150="Evet",AP150,"")))</f>
        <v/>
      </c>
    </row>
    <row r="151">
      <c r="A151" s="23" t="n"/>
      <c r="B151" s="23" t="n"/>
      <c r="C151" s="23" t="n"/>
      <c r="D151" s="23" t="n"/>
      <c r="E151" s="23" t="n"/>
      <c r="F151" s="23" t="n"/>
      <c r="G151" s="23" t="n"/>
      <c r="H151" s="23" t="n"/>
      <c r="I151" s="23" t="n"/>
      <c r="J151" s="23" t="n"/>
      <c r="K151" s="23" t="n"/>
      <c r="L151" s="23" t="n"/>
      <c r="M151" s="23" t="n"/>
      <c r="N151" s="23" t="n"/>
      <c r="O151" s="23" t="n"/>
      <c r="P151" s="23" t="n"/>
      <c r="Q151" s="23" t="n"/>
      <c r="R151" s="23" t="n"/>
      <c r="S151" s="23" t="n"/>
      <c r="T151" s="23" t="n"/>
      <c r="U151" s="23" t="n"/>
      <c r="V151" s="23" t="n"/>
      <c r="W151" s="23" t="n"/>
      <c r="X151" s="23" t="n"/>
      <c r="Y151" s="23" t="n"/>
      <c r="Z151" s="23" t="n"/>
      <c r="AA151" s="23" t="n"/>
      <c r="AB151" s="23" t="n"/>
      <c r="AC151" s="23" t="n"/>
      <c r="AD151" s="23" t="n"/>
      <c r="AE151" s="23" t="n"/>
      <c r="AF151" s="23" t="n"/>
      <c r="AG151" s="23" t="n"/>
      <c r="AH151" s="23" t="n"/>
      <c r="AI151" s="23" t="n"/>
      <c r="AJ151" s="23" t="n"/>
      <c r="AK151" s="23" t="n"/>
      <c r="AL151" s="23" t="n"/>
      <c r="AM151" s="26">
        <f>IF(G151="","",G151&amp;"|"&amp;P151)</f>
        <v/>
      </c>
      <c r="AN151" s="27">
        <f>IF(I151="","",IFERROR(DATE(VALUE(RIGHT(I151,4)),VALUE(MID(I151,4,2)),VALUE(LEFT(I151,2))),""))</f>
        <v/>
      </c>
      <c r="AO151" s="27">
        <f>IF(Y151="","",IFERROR(DATE(VALUE(RIGHT(Y151,4)),VALUE(MID(Y151,4,2)),VALUE(LEFT(Y151,2))),""))</f>
        <v/>
      </c>
      <c r="AP151" s="27">
        <f>IF(AC151="","",IFERROR(DATE(VALUE(RIGHT(AC151,4)),VALUE(MID(AC151,4,2)),VALUE(LEFT(AC151,2))),""))</f>
        <v/>
      </c>
      <c r="AQ151" s="26">
        <f>IF(AI151="","",TRIM(LEFT(AI151,FIND(" ",AI151&amp;" ")-1)))</f>
        <v/>
      </c>
      <c r="AR151" s="27">
        <f>IF(AQ151="","",IFERROR(DATE(VALUE(MID(AQ151,FIND("/",AQ151,FIND("/",AQ151)+1)+1,4)),VALUE(LEFT(AQ151,FIND("/",AQ151)-1)),VALUE(MID(AQ151,FIND("/",AQ151)+1,FIND("/",AQ151,FIND("/",AQ151)+1)-FIND("/",AQ151)-1))),""))</f>
        <v/>
      </c>
      <c r="AS151" s="26">
        <f>IF(G151="","",IF(AND(AG151&lt;&gt;"",AG151&lt;&gt;"Bayi Aracı"),"Evet","Hayır"))</f>
        <v/>
      </c>
      <c r="AT151" s="26">
        <f>IF(G151="","",IF(AND(AS151="Evet",T151="Siparişiniz Teslim Edildi"),"Evet","Hayır"))</f>
        <v/>
      </c>
      <c r="AU151" s="26">
        <f>IF(G151="","",IF(AB151="Siparişinizin Montajı Yapıldı","Evet","Hayır"))</f>
        <v/>
      </c>
      <c r="AV151" s="27">
        <f>IF(G151="","",IF(AT151="Evet",AR151,IF(AU151="Evet",AP151,"")))</f>
        <v/>
      </c>
    </row>
    <row r="152">
      <c r="A152" s="23" t="n"/>
      <c r="B152" s="23" t="n"/>
      <c r="C152" s="23" t="n"/>
      <c r="D152" s="23" t="n"/>
      <c r="E152" s="23" t="n"/>
      <c r="F152" s="23" t="n"/>
      <c r="G152" s="23" t="n"/>
      <c r="H152" s="23" t="n"/>
      <c r="I152" s="23" t="n"/>
      <c r="J152" s="23" t="n"/>
      <c r="K152" s="23" t="n"/>
      <c r="L152" s="23" t="n"/>
      <c r="M152" s="23" t="n"/>
      <c r="N152" s="23" t="n"/>
      <c r="O152" s="23" t="n"/>
      <c r="P152" s="23" t="n"/>
      <c r="Q152" s="23" t="n"/>
      <c r="R152" s="23" t="n"/>
      <c r="S152" s="23" t="n"/>
      <c r="T152" s="23" t="n"/>
      <c r="U152" s="23" t="n"/>
      <c r="V152" s="23" t="n"/>
      <c r="W152" s="23" t="n"/>
      <c r="X152" s="23" t="n"/>
      <c r="Y152" s="23" t="n"/>
      <c r="Z152" s="23" t="n"/>
      <c r="AA152" s="23" t="n"/>
      <c r="AB152" s="23" t="n"/>
      <c r="AC152" s="23" t="n"/>
      <c r="AD152" s="23" t="n"/>
      <c r="AE152" s="23" t="n"/>
      <c r="AF152" s="23" t="n"/>
      <c r="AG152" s="23" t="n"/>
      <c r="AH152" s="23" t="n"/>
      <c r="AI152" s="23" t="n"/>
      <c r="AJ152" s="23" t="n"/>
      <c r="AK152" s="23" t="n"/>
      <c r="AL152" s="23" t="n"/>
      <c r="AM152" s="26">
        <f>IF(G152="","",G152&amp;"|"&amp;P152)</f>
        <v/>
      </c>
      <c r="AN152" s="27">
        <f>IF(I152="","",IFERROR(DATE(VALUE(RIGHT(I152,4)),VALUE(MID(I152,4,2)),VALUE(LEFT(I152,2))),""))</f>
        <v/>
      </c>
      <c r="AO152" s="27">
        <f>IF(Y152="","",IFERROR(DATE(VALUE(RIGHT(Y152,4)),VALUE(MID(Y152,4,2)),VALUE(LEFT(Y152,2))),""))</f>
        <v/>
      </c>
      <c r="AP152" s="27">
        <f>IF(AC152="","",IFERROR(DATE(VALUE(RIGHT(AC152,4)),VALUE(MID(AC152,4,2)),VALUE(LEFT(AC152,2))),""))</f>
        <v/>
      </c>
      <c r="AQ152" s="26">
        <f>IF(AI152="","",TRIM(LEFT(AI152,FIND(" ",AI152&amp;" ")-1)))</f>
        <v/>
      </c>
      <c r="AR152" s="27">
        <f>IF(AQ152="","",IFERROR(DATE(VALUE(MID(AQ152,FIND("/",AQ152,FIND("/",AQ152)+1)+1,4)),VALUE(LEFT(AQ152,FIND("/",AQ152)-1)),VALUE(MID(AQ152,FIND("/",AQ152)+1,FIND("/",AQ152,FIND("/",AQ152)+1)-FIND("/",AQ152)-1))),""))</f>
        <v/>
      </c>
      <c r="AS152" s="26">
        <f>IF(G152="","",IF(AND(AG152&lt;&gt;"",AG152&lt;&gt;"Bayi Aracı"),"Evet","Hayır"))</f>
        <v/>
      </c>
      <c r="AT152" s="26">
        <f>IF(G152="","",IF(AND(AS152="Evet",T152="Siparişiniz Teslim Edildi"),"Evet","Hayır"))</f>
        <v/>
      </c>
      <c r="AU152" s="26">
        <f>IF(G152="","",IF(AB152="Siparişinizin Montajı Yapıldı","Evet","Hayır"))</f>
        <v/>
      </c>
      <c r="AV152" s="27">
        <f>IF(G152="","",IF(AT152="Evet",AR152,IF(AU152="Evet",AP152,"")))</f>
        <v/>
      </c>
    </row>
    <row r="153">
      <c r="A153" s="23" t="n"/>
      <c r="B153" s="23" t="n"/>
      <c r="C153" s="23" t="n"/>
      <c r="D153" s="23" t="n"/>
      <c r="E153" s="23" t="n"/>
      <c r="F153" s="23" t="n"/>
      <c r="G153" s="23" t="n"/>
      <c r="H153" s="23" t="n"/>
      <c r="I153" s="23" t="n"/>
      <c r="J153" s="23" t="n"/>
      <c r="K153" s="23" t="n"/>
      <c r="L153" s="23" t="n"/>
      <c r="M153" s="23" t="n"/>
      <c r="N153" s="23" t="n"/>
      <c r="O153" s="23" t="n"/>
      <c r="P153" s="23" t="n"/>
      <c r="Q153" s="23" t="n"/>
      <c r="R153" s="23" t="n"/>
      <c r="S153" s="23" t="n"/>
      <c r="T153" s="23" t="n"/>
      <c r="U153" s="23" t="n"/>
      <c r="V153" s="23" t="n"/>
      <c r="W153" s="23" t="n"/>
      <c r="X153" s="23" t="n"/>
      <c r="Y153" s="23" t="n"/>
      <c r="Z153" s="23" t="n"/>
      <c r="AA153" s="23" t="n"/>
      <c r="AB153" s="23" t="n"/>
      <c r="AC153" s="23" t="n"/>
      <c r="AD153" s="23" t="n"/>
      <c r="AE153" s="23" t="n"/>
      <c r="AF153" s="23" t="n"/>
      <c r="AG153" s="23" t="n"/>
      <c r="AH153" s="23" t="n"/>
      <c r="AI153" s="23" t="n"/>
      <c r="AJ153" s="23" t="n"/>
      <c r="AK153" s="23" t="n"/>
      <c r="AL153" s="23" t="n"/>
      <c r="AM153" s="26">
        <f>IF(G153="","",G153&amp;"|"&amp;P153)</f>
        <v/>
      </c>
      <c r="AN153" s="27">
        <f>IF(I153="","",IFERROR(DATE(VALUE(RIGHT(I153,4)),VALUE(MID(I153,4,2)),VALUE(LEFT(I153,2))),""))</f>
        <v/>
      </c>
      <c r="AO153" s="27">
        <f>IF(Y153="","",IFERROR(DATE(VALUE(RIGHT(Y153,4)),VALUE(MID(Y153,4,2)),VALUE(LEFT(Y153,2))),""))</f>
        <v/>
      </c>
      <c r="AP153" s="27">
        <f>IF(AC153="","",IFERROR(DATE(VALUE(RIGHT(AC153,4)),VALUE(MID(AC153,4,2)),VALUE(LEFT(AC153,2))),""))</f>
        <v/>
      </c>
      <c r="AQ153" s="26">
        <f>IF(AI153="","",TRIM(LEFT(AI153,FIND(" ",AI153&amp;" ")-1)))</f>
        <v/>
      </c>
      <c r="AR153" s="27">
        <f>IF(AQ153="","",IFERROR(DATE(VALUE(MID(AQ153,FIND("/",AQ153,FIND("/",AQ153)+1)+1,4)),VALUE(LEFT(AQ153,FIND("/",AQ153)-1)),VALUE(MID(AQ153,FIND("/",AQ153)+1,FIND("/",AQ153,FIND("/",AQ153)+1)-FIND("/",AQ153)-1))),""))</f>
        <v/>
      </c>
      <c r="AS153" s="26">
        <f>IF(G153="","",IF(AND(AG153&lt;&gt;"",AG153&lt;&gt;"Bayi Aracı"),"Evet","Hayır"))</f>
        <v/>
      </c>
      <c r="AT153" s="26">
        <f>IF(G153="","",IF(AND(AS153="Evet",T153="Siparişiniz Teslim Edildi"),"Evet","Hayır"))</f>
        <v/>
      </c>
      <c r="AU153" s="26">
        <f>IF(G153="","",IF(AB153="Siparişinizin Montajı Yapıldı","Evet","Hayır"))</f>
        <v/>
      </c>
      <c r="AV153" s="27">
        <f>IF(G153="","",IF(AT153="Evet",AR153,IF(AU153="Evet",AP153,"")))</f>
        <v/>
      </c>
    </row>
    <row r="154">
      <c r="A154" s="23" t="n"/>
      <c r="B154" s="23" t="n"/>
      <c r="C154" s="23" t="n"/>
      <c r="D154" s="23" t="n"/>
      <c r="E154" s="23" t="n"/>
      <c r="F154" s="23" t="n"/>
      <c r="G154" s="23" t="n"/>
      <c r="H154" s="23" t="n"/>
      <c r="I154" s="23" t="n"/>
      <c r="J154" s="23" t="n"/>
      <c r="K154" s="23" t="n"/>
      <c r="L154" s="23" t="n"/>
      <c r="M154" s="23" t="n"/>
      <c r="N154" s="23" t="n"/>
      <c r="O154" s="23" t="n"/>
      <c r="P154" s="23" t="n"/>
      <c r="Q154" s="23" t="n"/>
      <c r="R154" s="23" t="n"/>
      <c r="S154" s="23" t="n"/>
      <c r="T154" s="23" t="n"/>
      <c r="U154" s="23" t="n"/>
      <c r="V154" s="23" t="n"/>
      <c r="W154" s="23" t="n"/>
      <c r="X154" s="23" t="n"/>
      <c r="Y154" s="23" t="n"/>
      <c r="Z154" s="23" t="n"/>
      <c r="AA154" s="23" t="n"/>
      <c r="AB154" s="23" t="n"/>
      <c r="AC154" s="23" t="n"/>
      <c r="AD154" s="23" t="n"/>
      <c r="AE154" s="23" t="n"/>
      <c r="AF154" s="23" t="n"/>
      <c r="AG154" s="23" t="n"/>
      <c r="AH154" s="23" t="n"/>
      <c r="AI154" s="23" t="n"/>
      <c r="AJ154" s="23" t="n"/>
      <c r="AK154" s="23" t="n"/>
      <c r="AL154" s="23" t="n"/>
      <c r="AM154" s="26">
        <f>IF(G154="","",G154&amp;"|"&amp;P154)</f>
        <v/>
      </c>
      <c r="AN154" s="27">
        <f>IF(I154="","",IFERROR(DATE(VALUE(RIGHT(I154,4)),VALUE(MID(I154,4,2)),VALUE(LEFT(I154,2))),""))</f>
        <v/>
      </c>
      <c r="AO154" s="27">
        <f>IF(Y154="","",IFERROR(DATE(VALUE(RIGHT(Y154,4)),VALUE(MID(Y154,4,2)),VALUE(LEFT(Y154,2))),""))</f>
        <v/>
      </c>
      <c r="AP154" s="27">
        <f>IF(AC154="","",IFERROR(DATE(VALUE(RIGHT(AC154,4)),VALUE(MID(AC154,4,2)),VALUE(LEFT(AC154,2))),""))</f>
        <v/>
      </c>
      <c r="AQ154" s="26">
        <f>IF(AI154="","",TRIM(LEFT(AI154,FIND(" ",AI154&amp;" ")-1)))</f>
        <v/>
      </c>
      <c r="AR154" s="27">
        <f>IF(AQ154="","",IFERROR(DATE(VALUE(MID(AQ154,FIND("/",AQ154,FIND("/",AQ154)+1)+1,4)),VALUE(LEFT(AQ154,FIND("/",AQ154)-1)),VALUE(MID(AQ154,FIND("/",AQ154)+1,FIND("/",AQ154,FIND("/",AQ154)+1)-FIND("/",AQ154)-1))),""))</f>
        <v/>
      </c>
      <c r="AS154" s="26">
        <f>IF(G154="","",IF(AND(AG154&lt;&gt;"",AG154&lt;&gt;"Bayi Aracı"),"Evet","Hayır"))</f>
        <v/>
      </c>
      <c r="AT154" s="26">
        <f>IF(G154="","",IF(AND(AS154="Evet",T154="Siparişiniz Teslim Edildi"),"Evet","Hayır"))</f>
        <v/>
      </c>
      <c r="AU154" s="26">
        <f>IF(G154="","",IF(AB154="Siparişinizin Montajı Yapıldı","Evet","Hayır"))</f>
        <v/>
      </c>
      <c r="AV154" s="27">
        <f>IF(G154="","",IF(AT154="Evet",AR154,IF(AU154="Evet",AP154,"")))</f>
        <v/>
      </c>
    </row>
    <row r="155">
      <c r="A155" s="23" t="n"/>
      <c r="B155" s="23" t="n"/>
      <c r="C155" s="23" t="n"/>
      <c r="D155" s="23" t="n"/>
      <c r="E155" s="23" t="n"/>
      <c r="F155" s="23" t="n"/>
      <c r="G155" s="23" t="n"/>
      <c r="H155" s="23" t="n"/>
      <c r="I155" s="23" t="n"/>
      <c r="J155" s="23" t="n"/>
      <c r="K155" s="23" t="n"/>
      <c r="L155" s="23" t="n"/>
      <c r="M155" s="23" t="n"/>
      <c r="N155" s="23" t="n"/>
      <c r="O155" s="23" t="n"/>
      <c r="P155" s="23" t="n"/>
      <c r="Q155" s="23" t="n"/>
      <c r="R155" s="23" t="n"/>
      <c r="S155" s="23" t="n"/>
      <c r="T155" s="23" t="n"/>
      <c r="U155" s="23" t="n"/>
      <c r="V155" s="23" t="n"/>
      <c r="W155" s="23" t="n"/>
      <c r="X155" s="23" t="n"/>
      <c r="Y155" s="23" t="n"/>
      <c r="Z155" s="23" t="n"/>
      <c r="AA155" s="23" t="n"/>
      <c r="AB155" s="23" t="n"/>
      <c r="AC155" s="23" t="n"/>
      <c r="AD155" s="23" t="n"/>
      <c r="AE155" s="23" t="n"/>
      <c r="AF155" s="23" t="n"/>
      <c r="AG155" s="23" t="n"/>
      <c r="AH155" s="23" t="n"/>
      <c r="AI155" s="23" t="n"/>
      <c r="AJ155" s="23" t="n"/>
      <c r="AK155" s="23" t="n"/>
      <c r="AL155" s="23" t="n"/>
      <c r="AM155" s="26">
        <f>IF(G155="","",G155&amp;"|"&amp;P155)</f>
        <v/>
      </c>
      <c r="AN155" s="27">
        <f>IF(I155="","",IFERROR(DATE(VALUE(RIGHT(I155,4)),VALUE(MID(I155,4,2)),VALUE(LEFT(I155,2))),""))</f>
        <v/>
      </c>
      <c r="AO155" s="27">
        <f>IF(Y155="","",IFERROR(DATE(VALUE(RIGHT(Y155,4)),VALUE(MID(Y155,4,2)),VALUE(LEFT(Y155,2))),""))</f>
        <v/>
      </c>
      <c r="AP155" s="27">
        <f>IF(AC155="","",IFERROR(DATE(VALUE(RIGHT(AC155,4)),VALUE(MID(AC155,4,2)),VALUE(LEFT(AC155,2))),""))</f>
        <v/>
      </c>
      <c r="AQ155" s="26">
        <f>IF(AI155="","",TRIM(LEFT(AI155,FIND(" ",AI155&amp;" ")-1)))</f>
        <v/>
      </c>
      <c r="AR155" s="27">
        <f>IF(AQ155="","",IFERROR(DATE(VALUE(MID(AQ155,FIND("/",AQ155,FIND("/",AQ155)+1)+1,4)),VALUE(LEFT(AQ155,FIND("/",AQ155)-1)),VALUE(MID(AQ155,FIND("/",AQ155)+1,FIND("/",AQ155,FIND("/",AQ155)+1)-FIND("/",AQ155)-1))),""))</f>
        <v/>
      </c>
      <c r="AS155" s="26">
        <f>IF(G155="","",IF(AND(AG155&lt;&gt;"",AG155&lt;&gt;"Bayi Aracı"),"Evet","Hayır"))</f>
        <v/>
      </c>
      <c r="AT155" s="26">
        <f>IF(G155="","",IF(AND(AS155="Evet",T155="Siparişiniz Teslim Edildi"),"Evet","Hayır"))</f>
        <v/>
      </c>
      <c r="AU155" s="26">
        <f>IF(G155="","",IF(AB155="Siparişinizin Montajı Yapıldı","Evet","Hayır"))</f>
        <v/>
      </c>
      <c r="AV155" s="27">
        <f>IF(G155="","",IF(AT155="Evet",AR155,IF(AU155="Evet",AP155,"")))</f>
        <v/>
      </c>
    </row>
    <row r="156">
      <c r="A156" s="23" t="n"/>
      <c r="B156" s="23" t="n"/>
      <c r="C156" s="23" t="n"/>
      <c r="D156" s="23" t="n"/>
      <c r="E156" s="23" t="n"/>
      <c r="F156" s="23" t="n"/>
      <c r="G156" s="23" t="n"/>
      <c r="H156" s="23" t="n"/>
      <c r="I156" s="23" t="n"/>
      <c r="J156" s="23" t="n"/>
      <c r="K156" s="23" t="n"/>
      <c r="L156" s="23" t="n"/>
      <c r="M156" s="23" t="n"/>
      <c r="N156" s="23" t="n"/>
      <c r="O156" s="23" t="n"/>
      <c r="P156" s="23" t="n"/>
      <c r="Q156" s="23" t="n"/>
      <c r="R156" s="23" t="n"/>
      <c r="S156" s="23" t="n"/>
      <c r="T156" s="23" t="n"/>
      <c r="U156" s="23" t="n"/>
      <c r="V156" s="23" t="n"/>
      <c r="W156" s="23" t="n"/>
      <c r="X156" s="23" t="n"/>
      <c r="Y156" s="23" t="n"/>
      <c r="Z156" s="23" t="n"/>
      <c r="AA156" s="23" t="n"/>
      <c r="AB156" s="23" t="n"/>
      <c r="AC156" s="23" t="n"/>
      <c r="AD156" s="23" t="n"/>
      <c r="AE156" s="23" t="n"/>
      <c r="AF156" s="23" t="n"/>
      <c r="AG156" s="23" t="n"/>
      <c r="AH156" s="23" t="n"/>
      <c r="AI156" s="23" t="n"/>
      <c r="AJ156" s="23" t="n"/>
      <c r="AK156" s="23" t="n"/>
      <c r="AL156" s="23" t="n"/>
      <c r="AM156" s="26">
        <f>IF(G156="","",G156&amp;"|"&amp;P156)</f>
        <v/>
      </c>
      <c r="AN156" s="27">
        <f>IF(I156="","",IFERROR(DATE(VALUE(RIGHT(I156,4)),VALUE(MID(I156,4,2)),VALUE(LEFT(I156,2))),""))</f>
        <v/>
      </c>
      <c r="AO156" s="27">
        <f>IF(Y156="","",IFERROR(DATE(VALUE(RIGHT(Y156,4)),VALUE(MID(Y156,4,2)),VALUE(LEFT(Y156,2))),""))</f>
        <v/>
      </c>
      <c r="AP156" s="27">
        <f>IF(AC156="","",IFERROR(DATE(VALUE(RIGHT(AC156,4)),VALUE(MID(AC156,4,2)),VALUE(LEFT(AC156,2))),""))</f>
        <v/>
      </c>
      <c r="AQ156" s="26">
        <f>IF(AI156="","",TRIM(LEFT(AI156,FIND(" ",AI156&amp;" ")-1)))</f>
        <v/>
      </c>
      <c r="AR156" s="27">
        <f>IF(AQ156="","",IFERROR(DATE(VALUE(MID(AQ156,FIND("/",AQ156,FIND("/",AQ156)+1)+1,4)),VALUE(LEFT(AQ156,FIND("/",AQ156)-1)),VALUE(MID(AQ156,FIND("/",AQ156)+1,FIND("/",AQ156,FIND("/",AQ156)+1)-FIND("/",AQ156)-1))),""))</f>
        <v/>
      </c>
      <c r="AS156" s="26">
        <f>IF(G156="","",IF(AND(AG156&lt;&gt;"",AG156&lt;&gt;"Bayi Aracı"),"Evet","Hayır"))</f>
        <v/>
      </c>
      <c r="AT156" s="26">
        <f>IF(G156="","",IF(AND(AS156="Evet",T156="Siparişiniz Teslim Edildi"),"Evet","Hayır"))</f>
        <v/>
      </c>
      <c r="AU156" s="26">
        <f>IF(G156="","",IF(AB156="Siparişinizin Montajı Yapıldı","Evet","Hayır"))</f>
        <v/>
      </c>
      <c r="AV156" s="27">
        <f>IF(G156="","",IF(AT156="Evet",AR156,IF(AU156="Evet",AP156,"")))</f>
        <v/>
      </c>
    </row>
    <row r="157">
      <c r="A157" s="23" t="n"/>
      <c r="B157" s="23" t="n"/>
      <c r="C157" s="23" t="n"/>
      <c r="D157" s="23" t="n"/>
      <c r="E157" s="23" t="n"/>
      <c r="F157" s="23" t="n"/>
      <c r="G157" s="23" t="n"/>
      <c r="H157" s="23" t="n"/>
      <c r="I157" s="23" t="n"/>
      <c r="J157" s="23" t="n"/>
      <c r="K157" s="23" t="n"/>
      <c r="L157" s="23" t="n"/>
      <c r="M157" s="23" t="n"/>
      <c r="N157" s="23" t="n"/>
      <c r="O157" s="23" t="n"/>
      <c r="P157" s="23" t="n"/>
      <c r="Q157" s="23" t="n"/>
      <c r="R157" s="23" t="n"/>
      <c r="S157" s="23" t="n"/>
      <c r="T157" s="23" t="n"/>
      <c r="U157" s="23" t="n"/>
      <c r="V157" s="23" t="n"/>
      <c r="W157" s="23" t="n"/>
      <c r="X157" s="23" t="n"/>
      <c r="Y157" s="23" t="n"/>
      <c r="Z157" s="23" t="n"/>
      <c r="AA157" s="23" t="n"/>
      <c r="AB157" s="23" t="n"/>
      <c r="AC157" s="23" t="n"/>
      <c r="AD157" s="23" t="n"/>
      <c r="AE157" s="23" t="n"/>
      <c r="AF157" s="23" t="n"/>
      <c r="AG157" s="23" t="n"/>
      <c r="AH157" s="23" t="n"/>
      <c r="AI157" s="23" t="n"/>
      <c r="AJ157" s="23" t="n"/>
      <c r="AK157" s="23" t="n"/>
      <c r="AL157" s="23" t="n"/>
      <c r="AM157" s="26">
        <f>IF(G157="","",G157&amp;"|"&amp;P157)</f>
        <v/>
      </c>
      <c r="AN157" s="27">
        <f>IF(I157="","",IFERROR(DATE(VALUE(RIGHT(I157,4)),VALUE(MID(I157,4,2)),VALUE(LEFT(I157,2))),""))</f>
        <v/>
      </c>
      <c r="AO157" s="27">
        <f>IF(Y157="","",IFERROR(DATE(VALUE(RIGHT(Y157,4)),VALUE(MID(Y157,4,2)),VALUE(LEFT(Y157,2))),""))</f>
        <v/>
      </c>
      <c r="AP157" s="27">
        <f>IF(AC157="","",IFERROR(DATE(VALUE(RIGHT(AC157,4)),VALUE(MID(AC157,4,2)),VALUE(LEFT(AC157,2))),""))</f>
        <v/>
      </c>
      <c r="AQ157" s="26">
        <f>IF(AI157="","",TRIM(LEFT(AI157,FIND(" ",AI157&amp;" ")-1)))</f>
        <v/>
      </c>
      <c r="AR157" s="27">
        <f>IF(AQ157="","",IFERROR(DATE(VALUE(MID(AQ157,FIND("/",AQ157,FIND("/",AQ157)+1)+1,4)),VALUE(LEFT(AQ157,FIND("/",AQ157)-1)),VALUE(MID(AQ157,FIND("/",AQ157)+1,FIND("/",AQ157,FIND("/",AQ157)+1)-FIND("/",AQ157)-1))),""))</f>
        <v/>
      </c>
      <c r="AS157" s="26">
        <f>IF(G157="","",IF(AND(AG157&lt;&gt;"",AG157&lt;&gt;"Bayi Aracı"),"Evet","Hayır"))</f>
        <v/>
      </c>
      <c r="AT157" s="26">
        <f>IF(G157="","",IF(AND(AS157="Evet",T157="Siparişiniz Teslim Edildi"),"Evet","Hayır"))</f>
        <v/>
      </c>
      <c r="AU157" s="26">
        <f>IF(G157="","",IF(AB157="Siparişinizin Montajı Yapıldı","Evet","Hayır"))</f>
        <v/>
      </c>
      <c r="AV157" s="27">
        <f>IF(G157="","",IF(AT157="Evet",AR157,IF(AU157="Evet",AP157,"")))</f>
        <v/>
      </c>
    </row>
    <row r="158">
      <c r="A158" s="23" t="n"/>
      <c r="B158" s="23" t="n"/>
      <c r="C158" s="23" t="n"/>
      <c r="D158" s="23" t="n"/>
      <c r="E158" s="23" t="n"/>
      <c r="F158" s="23" t="n"/>
      <c r="G158" s="23" t="n"/>
      <c r="H158" s="23" t="n"/>
      <c r="I158" s="23" t="n"/>
      <c r="J158" s="23" t="n"/>
      <c r="K158" s="23" t="n"/>
      <c r="L158" s="23" t="n"/>
      <c r="M158" s="23" t="n"/>
      <c r="N158" s="23" t="n"/>
      <c r="O158" s="23" t="n"/>
      <c r="P158" s="23" t="n"/>
      <c r="Q158" s="23" t="n"/>
      <c r="R158" s="23" t="n"/>
      <c r="S158" s="23" t="n"/>
      <c r="T158" s="23" t="n"/>
      <c r="U158" s="23" t="n"/>
      <c r="V158" s="23" t="n"/>
      <c r="W158" s="23" t="n"/>
      <c r="X158" s="23" t="n"/>
      <c r="Y158" s="23" t="n"/>
      <c r="Z158" s="23" t="n"/>
      <c r="AA158" s="23" t="n"/>
      <c r="AB158" s="23" t="n"/>
      <c r="AC158" s="23" t="n"/>
      <c r="AD158" s="23" t="n"/>
      <c r="AE158" s="23" t="n"/>
      <c r="AF158" s="23" t="n"/>
      <c r="AG158" s="23" t="n"/>
      <c r="AH158" s="23" t="n"/>
      <c r="AI158" s="23" t="n"/>
      <c r="AJ158" s="23" t="n"/>
      <c r="AK158" s="23" t="n"/>
      <c r="AL158" s="23" t="n"/>
      <c r="AM158" s="26">
        <f>IF(G158="","",G158&amp;"|"&amp;P158)</f>
        <v/>
      </c>
      <c r="AN158" s="27">
        <f>IF(I158="","",IFERROR(DATE(VALUE(RIGHT(I158,4)),VALUE(MID(I158,4,2)),VALUE(LEFT(I158,2))),""))</f>
        <v/>
      </c>
      <c r="AO158" s="27">
        <f>IF(Y158="","",IFERROR(DATE(VALUE(RIGHT(Y158,4)),VALUE(MID(Y158,4,2)),VALUE(LEFT(Y158,2))),""))</f>
        <v/>
      </c>
      <c r="AP158" s="27">
        <f>IF(AC158="","",IFERROR(DATE(VALUE(RIGHT(AC158,4)),VALUE(MID(AC158,4,2)),VALUE(LEFT(AC158,2))),""))</f>
        <v/>
      </c>
      <c r="AQ158" s="26">
        <f>IF(AI158="","",TRIM(LEFT(AI158,FIND(" ",AI158&amp;" ")-1)))</f>
        <v/>
      </c>
      <c r="AR158" s="27">
        <f>IF(AQ158="","",IFERROR(DATE(VALUE(MID(AQ158,FIND("/",AQ158,FIND("/",AQ158)+1)+1,4)),VALUE(LEFT(AQ158,FIND("/",AQ158)-1)),VALUE(MID(AQ158,FIND("/",AQ158)+1,FIND("/",AQ158,FIND("/",AQ158)+1)-FIND("/",AQ158)-1))),""))</f>
        <v/>
      </c>
      <c r="AS158" s="26">
        <f>IF(G158="","",IF(AND(AG158&lt;&gt;"",AG158&lt;&gt;"Bayi Aracı"),"Evet","Hayır"))</f>
        <v/>
      </c>
      <c r="AT158" s="26">
        <f>IF(G158="","",IF(AND(AS158="Evet",T158="Siparişiniz Teslim Edildi"),"Evet","Hayır"))</f>
        <v/>
      </c>
      <c r="AU158" s="26">
        <f>IF(G158="","",IF(AB158="Siparişinizin Montajı Yapıldı","Evet","Hayır"))</f>
        <v/>
      </c>
      <c r="AV158" s="27">
        <f>IF(G158="","",IF(AT158="Evet",AR158,IF(AU158="Evet",AP158,"")))</f>
        <v/>
      </c>
    </row>
    <row r="159">
      <c r="A159" s="23" t="n"/>
      <c r="B159" s="23" t="n"/>
      <c r="C159" s="23" t="n"/>
      <c r="D159" s="23" t="n"/>
      <c r="E159" s="23" t="n"/>
      <c r="F159" s="23" t="n"/>
      <c r="G159" s="23" t="n"/>
      <c r="H159" s="23" t="n"/>
      <c r="I159" s="23" t="n"/>
      <c r="J159" s="23" t="n"/>
      <c r="K159" s="23" t="n"/>
      <c r="L159" s="23" t="n"/>
      <c r="M159" s="23" t="n"/>
      <c r="N159" s="23" t="n"/>
      <c r="O159" s="23" t="n"/>
      <c r="P159" s="23" t="n"/>
      <c r="Q159" s="23" t="n"/>
      <c r="R159" s="23" t="n"/>
      <c r="S159" s="23" t="n"/>
      <c r="T159" s="23" t="n"/>
      <c r="U159" s="23" t="n"/>
      <c r="V159" s="23" t="n"/>
      <c r="W159" s="23" t="n"/>
      <c r="X159" s="23" t="n"/>
      <c r="Y159" s="23" t="n"/>
      <c r="Z159" s="23" t="n"/>
      <c r="AA159" s="23" t="n"/>
      <c r="AB159" s="23" t="n"/>
      <c r="AC159" s="23" t="n"/>
      <c r="AD159" s="23" t="n"/>
      <c r="AE159" s="23" t="n"/>
      <c r="AF159" s="23" t="n"/>
      <c r="AG159" s="23" t="n"/>
      <c r="AH159" s="23" t="n"/>
      <c r="AI159" s="23" t="n"/>
      <c r="AJ159" s="23" t="n"/>
      <c r="AK159" s="23" t="n"/>
      <c r="AL159" s="23" t="n"/>
      <c r="AM159" s="26">
        <f>IF(G159="","",G159&amp;"|"&amp;P159)</f>
        <v/>
      </c>
      <c r="AN159" s="27">
        <f>IF(I159="","",IFERROR(DATE(VALUE(RIGHT(I159,4)),VALUE(MID(I159,4,2)),VALUE(LEFT(I159,2))),""))</f>
        <v/>
      </c>
      <c r="AO159" s="27">
        <f>IF(Y159="","",IFERROR(DATE(VALUE(RIGHT(Y159,4)),VALUE(MID(Y159,4,2)),VALUE(LEFT(Y159,2))),""))</f>
        <v/>
      </c>
      <c r="AP159" s="27">
        <f>IF(AC159="","",IFERROR(DATE(VALUE(RIGHT(AC159,4)),VALUE(MID(AC159,4,2)),VALUE(LEFT(AC159,2))),""))</f>
        <v/>
      </c>
      <c r="AQ159" s="26">
        <f>IF(AI159="","",TRIM(LEFT(AI159,FIND(" ",AI159&amp;" ")-1)))</f>
        <v/>
      </c>
      <c r="AR159" s="27">
        <f>IF(AQ159="","",IFERROR(DATE(VALUE(MID(AQ159,FIND("/",AQ159,FIND("/",AQ159)+1)+1,4)),VALUE(LEFT(AQ159,FIND("/",AQ159)-1)),VALUE(MID(AQ159,FIND("/",AQ159)+1,FIND("/",AQ159,FIND("/",AQ159)+1)-FIND("/",AQ159)-1))),""))</f>
        <v/>
      </c>
      <c r="AS159" s="26">
        <f>IF(G159="","",IF(AND(AG159&lt;&gt;"",AG159&lt;&gt;"Bayi Aracı"),"Evet","Hayır"))</f>
        <v/>
      </c>
      <c r="AT159" s="26">
        <f>IF(G159="","",IF(AND(AS159="Evet",T159="Siparişiniz Teslim Edildi"),"Evet","Hayır"))</f>
        <v/>
      </c>
      <c r="AU159" s="26">
        <f>IF(G159="","",IF(AB159="Siparişinizin Montajı Yapıldı","Evet","Hayır"))</f>
        <v/>
      </c>
      <c r="AV159" s="27">
        <f>IF(G159="","",IF(AT159="Evet",AR159,IF(AU159="Evet",AP159,"")))</f>
        <v/>
      </c>
    </row>
    <row r="160">
      <c r="A160" s="23" t="n"/>
      <c r="B160" s="23" t="n"/>
      <c r="C160" s="23" t="n"/>
      <c r="D160" s="23" t="n"/>
      <c r="E160" s="23" t="n"/>
      <c r="F160" s="23" t="n"/>
      <c r="G160" s="23" t="n"/>
      <c r="H160" s="23" t="n"/>
      <c r="I160" s="23" t="n"/>
      <c r="J160" s="23" t="n"/>
      <c r="K160" s="23" t="n"/>
      <c r="L160" s="23" t="n"/>
      <c r="M160" s="23" t="n"/>
      <c r="N160" s="23" t="n"/>
      <c r="O160" s="23" t="n"/>
      <c r="P160" s="23" t="n"/>
      <c r="Q160" s="23" t="n"/>
      <c r="R160" s="23" t="n"/>
      <c r="S160" s="23" t="n"/>
      <c r="T160" s="23" t="n"/>
      <c r="U160" s="23" t="n"/>
      <c r="V160" s="23" t="n"/>
      <c r="W160" s="23" t="n"/>
      <c r="X160" s="23" t="n"/>
      <c r="Y160" s="23" t="n"/>
      <c r="Z160" s="23" t="n"/>
      <c r="AA160" s="23" t="n"/>
      <c r="AB160" s="23" t="n"/>
      <c r="AC160" s="23" t="n"/>
      <c r="AD160" s="23" t="n"/>
      <c r="AE160" s="23" t="n"/>
      <c r="AF160" s="23" t="n"/>
      <c r="AG160" s="23" t="n"/>
      <c r="AH160" s="23" t="n"/>
      <c r="AI160" s="23" t="n"/>
      <c r="AJ160" s="23" t="n"/>
      <c r="AK160" s="23" t="n"/>
      <c r="AL160" s="23" t="n"/>
      <c r="AM160" s="26">
        <f>IF(G160="","",G160&amp;"|"&amp;P160)</f>
        <v/>
      </c>
      <c r="AN160" s="27">
        <f>IF(I160="","",IFERROR(DATE(VALUE(RIGHT(I160,4)),VALUE(MID(I160,4,2)),VALUE(LEFT(I160,2))),""))</f>
        <v/>
      </c>
      <c r="AO160" s="27">
        <f>IF(Y160="","",IFERROR(DATE(VALUE(RIGHT(Y160,4)),VALUE(MID(Y160,4,2)),VALUE(LEFT(Y160,2))),""))</f>
        <v/>
      </c>
      <c r="AP160" s="27">
        <f>IF(AC160="","",IFERROR(DATE(VALUE(RIGHT(AC160,4)),VALUE(MID(AC160,4,2)),VALUE(LEFT(AC160,2))),""))</f>
        <v/>
      </c>
      <c r="AQ160" s="26">
        <f>IF(AI160="","",TRIM(LEFT(AI160,FIND(" ",AI160&amp;" ")-1)))</f>
        <v/>
      </c>
      <c r="AR160" s="27">
        <f>IF(AQ160="","",IFERROR(DATE(VALUE(MID(AQ160,FIND("/",AQ160,FIND("/",AQ160)+1)+1,4)),VALUE(LEFT(AQ160,FIND("/",AQ160)-1)),VALUE(MID(AQ160,FIND("/",AQ160)+1,FIND("/",AQ160,FIND("/",AQ160)+1)-FIND("/",AQ160)-1))),""))</f>
        <v/>
      </c>
      <c r="AS160" s="26">
        <f>IF(G160="","",IF(AND(AG160&lt;&gt;"",AG160&lt;&gt;"Bayi Aracı"),"Evet","Hayır"))</f>
        <v/>
      </c>
      <c r="AT160" s="26">
        <f>IF(G160="","",IF(AND(AS160="Evet",T160="Siparişiniz Teslim Edildi"),"Evet","Hayır"))</f>
        <v/>
      </c>
      <c r="AU160" s="26">
        <f>IF(G160="","",IF(AB160="Siparişinizin Montajı Yapıldı","Evet","Hayır"))</f>
        <v/>
      </c>
      <c r="AV160" s="27">
        <f>IF(G160="","",IF(AT160="Evet",AR160,IF(AU160="Evet",AP160,"")))</f>
        <v/>
      </c>
    </row>
    <row r="161">
      <c r="A161" s="23" t="n"/>
      <c r="B161" s="23" t="n"/>
      <c r="C161" s="23" t="n"/>
      <c r="D161" s="23" t="n"/>
      <c r="E161" s="23" t="n"/>
      <c r="F161" s="23" t="n"/>
      <c r="G161" s="23" t="n"/>
      <c r="H161" s="23" t="n"/>
      <c r="I161" s="23" t="n"/>
      <c r="J161" s="23" t="n"/>
      <c r="K161" s="23" t="n"/>
      <c r="L161" s="23" t="n"/>
      <c r="M161" s="23" t="n"/>
      <c r="N161" s="23" t="n"/>
      <c r="O161" s="23" t="n"/>
      <c r="P161" s="23" t="n"/>
      <c r="Q161" s="23" t="n"/>
      <c r="R161" s="23" t="n"/>
      <c r="S161" s="23" t="n"/>
      <c r="T161" s="23" t="n"/>
      <c r="U161" s="23" t="n"/>
      <c r="V161" s="23" t="n"/>
      <c r="W161" s="23" t="n"/>
      <c r="X161" s="23" t="n"/>
      <c r="Y161" s="23" t="n"/>
      <c r="Z161" s="23" t="n"/>
      <c r="AA161" s="23" t="n"/>
      <c r="AB161" s="23" t="n"/>
      <c r="AC161" s="23" t="n"/>
      <c r="AD161" s="23" t="n"/>
      <c r="AE161" s="23" t="n"/>
      <c r="AF161" s="23" t="n"/>
      <c r="AG161" s="23" t="n"/>
      <c r="AH161" s="23" t="n"/>
      <c r="AI161" s="23" t="n"/>
      <c r="AJ161" s="23" t="n"/>
      <c r="AK161" s="23" t="n"/>
      <c r="AL161" s="23" t="n"/>
      <c r="AM161" s="26">
        <f>IF(G161="","",G161&amp;"|"&amp;P161)</f>
        <v/>
      </c>
      <c r="AN161" s="27">
        <f>IF(I161="","",IFERROR(DATE(VALUE(RIGHT(I161,4)),VALUE(MID(I161,4,2)),VALUE(LEFT(I161,2))),""))</f>
        <v/>
      </c>
      <c r="AO161" s="27">
        <f>IF(Y161="","",IFERROR(DATE(VALUE(RIGHT(Y161,4)),VALUE(MID(Y161,4,2)),VALUE(LEFT(Y161,2))),""))</f>
        <v/>
      </c>
      <c r="AP161" s="27">
        <f>IF(AC161="","",IFERROR(DATE(VALUE(RIGHT(AC161,4)),VALUE(MID(AC161,4,2)),VALUE(LEFT(AC161,2))),""))</f>
        <v/>
      </c>
      <c r="AQ161" s="26">
        <f>IF(AI161="","",TRIM(LEFT(AI161,FIND(" ",AI161&amp;" ")-1)))</f>
        <v/>
      </c>
      <c r="AR161" s="27">
        <f>IF(AQ161="","",IFERROR(DATE(VALUE(MID(AQ161,FIND("/",AQ161,FIND("/",AQ161)+1)+1,4)),VALUE(LEFT(AQ161,FIND("/",AQ161)-1)),VALUE(MID(AQ161,FIND("/",AQ161)+1,FIND("/",AQ161,FIND("/",AQ161)+1)-FIND("/",AQ161)-1))),""))</f>
        <v/>
      </c>
      <c r="AS161" s="26">
        <f>IF(G161="","",IF(AND(AG161&lt;&gt;"",AG161&lt;&gt;"Bayi Aracı"),"Evet","Hayır"))</f>
        <v/>
      </c>
      <c r="AT161" s="26">
        <f>IF(G161="","",IF(AND(AS161="Evet",T161="Siparişiniz Teslim Edildi"),"Evet","Hayır"))</f>
        <v/>
      </c>
      <c r="AU161" s="26">
        <f>IF(G161="","",IF(AB161="Siparişinizin Montajı Yapıldı","Evet","Hayır"))</f>
        <v/>
      </c>
      <c r="AV161" s="27">
        <f>IF(G161="","",IF(AT161="Evet",AR161,IF(AU161="Evet",AP161,"")))</f>
        <v/>
      </c>
    </row>
    <row r="162">
      <c r="A162" s="23" t="n"/>
      <c r="B162" s="23" t="n"/>
      <c r="C162" s="23" t="n"/>
      <c r="D162" s="23" t="n"/>
      <c r="E162" s="23" t="n"/>
      <c r="F162" s="23" t="n"/>
      <c r="G162" s="23" t="n"/>
      <c r="H162" s="23" t="n"/>
      <c r="I162" s="23" t="n"/>
      <c r="J162" s="23" t="n"/>
      <c r="K162" s="23" t="n"/>
      <c r="L162" s="23" t="n"/>
      <c r="M162" s="23" t="n"/>
      <c r="N162" s="23" t="n"/>
      <c r="O162" s="23" t="n"/>
      <c r="P162" s="23" t="n"/>
      <c r="Q162" s="23" t="n"/>
      <c r="R162" s="23" t="n"/>
      <c r="S162" s="23" t="n"/>
      <c r="T162" s="23" t="n"/>
      <c r="U162" s="23" t="n"/>
      <c r="V162" s="23" t="n"/>
      <c r="W162" s="23" t="n"/>
      <c r="X162" s="23" t="n"/>
      <c r="Y162" s="23" t="n"/>
      <c r="Z162" s="23" t="n"/>
      <c r="AA162" s="23" t="n"/>
      <c r="AB162" s="23" t="n"/>
      <c r="AC162" s="23" t="n"/>
      <c r="AD162" s="23" t="n"/>
      <c r="AE162" s="23" t="n"/>
      <c r="AF162" s="23" t="n"/>
      <c r="AG162" s="23" t="n"/>
      <c r="AH162" s="23" t="n"/>
      <c r="AI162" s="23" t="n"/>
      <c r="AJ162" s="23" t="n"/>
      <c r="AK162" s="23" t="n"/>
      <c r="AL162" s="23" t="n"/>
      <c r="AM162" s="26">
        <f>IF(G162="","",G162&amp;"|"&amp;P162)</f>
        <v/>
      </c>
      <c r="AN162" s="27">
        <f>IF(I162="","",IFERROR(DATE(VALUE(RIGHT(I162,4)),VALUE(MID(I162,4,2)),VALUE(LEFT(I162,2))),""))</f>
        <v/>
      </c>
      <c r="AO162" s="27">
        <f>IF(Y162="","",IFERROR(DATE(VALUE(RIGHT(Y162,4)),VALUE(MID(Y162,4,2)),VALUE(LEFT(Y162,2))),""))</f>
        <v/>
      </c>
      <c r="AP162" s="27">
        <f>IF(AC162="","",IFERROR(DATE(VALUE(RIGHT(AC162,4)),VALUE(MID(AC162,4,2)),VALUE(LEFT(AC162,2))),""))</f>
        <v/>
      </c>
      <c r="AQ162" s="26">
        <f>IF(AI162="","",TRIM(LEFT(AI162,FIND(" ",AI162&amp;" ")-1)))</f>
        <v/>
      </c>
      <c r="AR162" s="27">
        <f>IF(AQ162="","",IFERROR(DATE(VALUE(MID(AQ162,FIND("/",AQ162,FIND("/",AQ162)+1)+1,4)),VALUE(LEFT(AQ162,FIND("/",AQ162)-1)),VALUE(MID(AQ162,FIND("/",AQ162)+1,FIND("/",AQ162,FIND("/",AQ162)+1)-FIND("/",AQ162)-1))),""))</f>
        <v/>
      </c>
      <c r="AS162" s="26">
        <f>IF(G162="","",IF(AND(AG162&lt;&gt;"",AG162&lt;&gt;"Bayi Aracı"),"Evet","Hayır"))</f>
        <v/>
      </c>
      <c r="AT162" s="26">
        <f>IF(G162="","",IF(AND(AS162="Evet",T162="Siparişiniz Teslim Edildi"),"Evet","Hayır"))</f>
        <v/>
      </c>
      <c r="AU162" s="26">
        <f>IF(G162="","",IF(AB162="Siparişinizin Montajı Yapıldı","Evet","Hayır"))</f>
        <v/>
      </c>
      <c r="AV162" s="27">
        <f>IF(G162="","",IF(AT162="Evet",AR162,IF(AU162="Evet",AP162,"")))</f>
        <v/>
      </c>
    </row>
    <row r="163">
      <c r="A163" s="23" t="n"/>
      <c r="B163" s="23" t="n"/>
      <c r="C163" s="23" t="n"/>
      <c r="D163" s="23" t="n"/>
      <c r="E163" s="23" t="n"/>
      <c r="F163" s="23" t="n"/>
      <c r="G163" s="23" t="n"/>
      <c r="H163" s="23" t="n"/>
      <c r="I163" s="23" t="n"/>
      <c r="J163" s="23" t="n"/>
      <c r="K163" s="23" t="n"/>
      <c r="L163" s="23" t="n"/>
      <c r="M163" s="23" t="n"/>
      <c r="N163" s="23" t="n"/>
      <c r="O163" s="23" t="n"/>
      <c r="P163" s="23" t="n"/>
      <c r="Q163" s="23" t="n"/>
      <c r="R163" s="23" t="n"/>
      <c r="S163" s="23" t="n"/>
      <c r="T163" s="23" t="n"/>
      <c r="U163" s="23" t="n"/>
      <c r="V163" s="23" t="n"/>
      <c r="W163" s="23" t="n"/>
      <c r="X163" s="23" t="n"/>
      <c r="Y163" s="23" t="n"/>
      <c r="Z163" s="23" t="n"/>
      <c r="AA163" s="23" t="n"/>
      <c r="AB163" s="23" t="n"/>
      <c r="AC163" s="23" t="n"/>
      <c r="AD163" s="23" t="n"/>
      <c r="AE163" s="23" t="n"/>
      <c r="AF163" s="23" t="n"/>
      <c r="AG163" s="23" t="n"/>
      <c r="AH163" s="23" t="n"/>
      <c r="AI163" s="23" t="n"/>
      <c r="AJ163" s="23" t="n"/>
      <c r="AK163" s="23" t="n"/>
      <c r="AL163" s="23" t="n"/>
      <c r="AM163" s="26">
        <f>IF(G163="","",G163&amp;"|"&amp;P163)</f>
        <v/>
      </c>
      <c r="AN163" s="27">
        <f>IF(I163="","",IFERROR(DATE(VALUE(RIGHT(I163,4)),VALUE(MID(I163,4,2)),VALUE(LEFT(I163,2))),""))</f>
        <v/>
      </c>
      <c r="AO163" s="27">
        <f>IF(Y163="","",IFERROR(DATE(VALUE(RIGHT(Y163,4)),VALUE(MID(Y163,4,2)),VALUE(LEFT(Y163,2))),""))</f>
        <v/>
      </c>
      <c r="AP163" s="27">
        <f>IF(AC163="","",IFERROR(DATE(VALUE(RIGHT(AC163,4)),VALUE(MID(AC163,4,2)),VALUE(LEFT(AC163,2))),""))</f>
        <v/>
      </c>
      <c r="AQ163" s="26">
        <f>IF(AI163="","",TRIM(LEFT(AI163,FIND(" ",AI163&amp;" ")-1)))</f>
        <v/>
      </c>
      <c r="AR163" s="27">
        <f>IF(AQ163="","",IFERROR(DATE(VALUE(MID(AQ163,FIND("/",AQ163,FIND("/",AQ163)+1)+1,4)),VALUE(LEFT(AQ163,FIND("/",AQ163)-1)),VALUE(MID(AQ163,FIND("/",AQ163)+1,FIND("/",AQ163,FIND("/",AQ163)+1)-FIND("/",AQ163)-1))),""))</f>
        <v/>
      </c>
      <c r="AS163" s="26">
        <f>IF(G163="","",IF(AND(AG163&lt;&gt;"",AG163&lt;&gt;"Bayi Aracı"),"Evet","Hayır"))</f>
        <v/>
      </c>
      <c r="AT163" s="26">
        <f>IF(G163="","",IF(AND(AS163="Evet",T163="Siparişiniz Teslim Edildi"),"Evet","Hayır"))</f>
        <v/>
      </c>
      <c r="AU163" s="26">
        <f>IF(G163="","",IF(AB163="Siparişinizin Montajı Yapıldı","Evet","Hayır"))</f>
        <v/>
      </c>
      <c r="AV163" s="27">
        <f>IF(G163="","",IF(AT163="Evet",AR163,IF(AU163="Evet",AP163,"")))</f>
        <v/>
      </c>
    </row>
    <row r="164">
      <c r="A164" s="23" t="n"/>
      <c r="B164" s="23" t="n"/>
      <c r="C164" s="23" t="n"/>
      <c r="D164" s="23" t="n"/>
      <c r="E164" s="23" t="n"/>
      <c r="F164" s="23" t="n"/>
      <c r="G164" s="23" t="n"/>
      <c r="H164" s="23" t="n"/>
      <c r="I164" s="23" t="n"/>
      <c r="J164" s="23" t="n"/>
      <c r="K164" s="23" t="n"/>
      <c r="L164" s="23" t="n"/>
      <c r="M164" s="23" t="n"/>
      <c r="N164" s="23" t="n"/>
      <c r="O164" s="23" t="n"/>
      <c r="P164" s="23" t="n"/>
      <c r="Q164" s="23" t="n"/>
      <c r="R164" s="23" t="n"/>
      <c r="S164" s="23" t="n"/>
      <c r="T164" s="23" t="n"/>
      <c r="U164" s="23" t="n"/>
      <c r="V164" s="23" t="n"/>
      <c r="W164" s="23" t="n"/>
      <c r="X164" s="23" t="n"/>
      <c r="Y164" s="23" t="n"/>
      <c r="Z164" s="23" t="n"/>
      <c r="AA164" s="23" t="n"/>
      <c r="AB164" s="23" t="n"/>
      <c r="AC164" s="23" t="n"/>
      <c r="AD164" s="23" t="n"/>
      <c r="AE164" s="23" t="n"/>
      <c r="AF164" s="23" t="n"/>
      <c r="AG164" s="23" t="n"/>
      <c r="AH164" s="23" t="n"/>
      <c r="AI164" s="23" t="n"/>
      <c r="AJ164" s="23" t="n"/>
      <c r="AK164" s="23" t="n"/>
      <c r="AL164" s="23" t="n"/>
      <c r="AM164" s="26">
        <f>IF(G164="","",G164&amp;"|"&amp;P164)</f>
        <v/>
      </c>
      <c r="AN164" s="27">
        <f>IF(I164="","",IFERROR(DATE(VALUE(RIGHT(I164,4)),VALUE(MID(I164,4,2)),VALUE(LEFT(I164,2))),""))</f>
        <v/>
      </c>
      <c r="AO164" s="27">
        <f>IF(Y164="","",IFERROR(DATE(VALUE(RIGHT(Y164,4)),VALUE(MID(Y164,4,2)),VALUE(LEFT(Y164,2))),""))</f>
        <v/>
      </c>
      <c r="AP164" s="27">
        <f>IF(AC164="","",IFERROR(DATE(VALUE(RIGHT(AC164,4)),VALUE(MID(AC164,4,2)),VALUE(LEFT(AC164,2))),""))</f>
        <v/>
      </c>
      <c r="AQ164" s="26">
        <f>IF(AI164="","",TRIM(LEFT(AI164,FIND(" ",AI164&amp;" ")-1)))</f>
        <v/>
      </c>
      <c r="AR164" s="27">
        <f>IF(AQ164="","",IFERROR(DATE(VALUE(MID(AQ164,FIND("/",AQ164,FIND("/",AQ164)+1)+1,4)),VALUE(LEFT(AQ164,FIND("/",AQ164)-1)),VALUE(MID(AQ164,FIND("/",AQ164)+1,FIND("/",AQ164,FIND("/",AQ164)+1)-FIND("/",AQ164)-1))),""))</f>
        <v/>
      </c>
      <c r="AS164" s="26">
        <f>IF(G164="","",IF(AND(AG164&lt;&gt;"",AG164&lt;&gt;"Bayi Aracı"),"Evet","Hayır"))</f>
        <v/>
      </c>
      <c r="AT164" s="26">
        <f>IF(G164="","",IF(AND(AS164="Evet",T164="Siparişiniz Teslim Edildi"),"Evet","Hayır"))</f>
        <v/>
      </c>
      <c r="AU164" s="26">
        <f>IF(G164="","",IF(AB164="Siparişinizin Montajı Yapıldı","Evet","Hayır"))</f>
        <v/>
      </c>
      <c r="AV164" s="27">
        <f>IF(G164="","",IF(AT164="Evet",AR164,IF(AU164="Evet",AP164,"")))</f>
        <v/>
      </c>
    </row>
    <row r="165">
      <c r="A165" s="23" t="n"/>
      <c r="B165" s="23" t="n"/>
      <c r="C165" s="23" t="n"/>
      <c r="D165" s="23" t="n"/>
      <c r="E165" s="23" t="n"/>
      <c r="F165" s="23" t="n"/>
      <c r="G165" s="23" t="n"/>
      <c r="H165" s="23" t="n"/>
      <c r="I165" s="23" t="n"/>
      <c r="J165" s="23" t="n"/>
      <c r="K165" s="23" t="n"/>
      <c r="L165" s="23" t="n"/>
      <c r="M165" s="23" t="n"/>
      <c r="N165" s="23" t="n"/>
      <c r="O165" s="23" t="n"/>
      <c r="P165" s="23" t="n"/>
      <c r="Q165" s="23" t="n"/>
      <c r="R165" s="23" t="n"/>
      <c r="S165" s="23" t="n"/>
      <c r="T165" s="23" t="n"/>
      <c r="U165" s="23" t="n"/>
      <c r="V165" s="23" t="n"/>
      <c r="W165" s="23" t="n"/>
      <c r="X165" s="23" t="n"/>
      <c r="Y165" s="23" t="n"/>
      <c r="Z165" s="23" t="n"/>
      <c r="AA165" s="23" t="n"/>
      <c r="AB165" s="23" t="n"/>
      <c r="AC165" s="23" t="n"/>
      <c r="AD165" s="23" t="n"/>
      <c r="AE165" s="23" t="n"/>
      <c r="AF165" s="23" t="n"/>
      <c r="AG165" s="23" t="n"/>
      <c r="AH165" s="23" t="n"/>
      <c r="AI165" s="23" t="n"/>
      <c r="AJ165" s="23" t="n"/>
      <c r="AK165" s="23" t="n"/>
      <c r="AL165" s="23" t="n"/>
      <c r="AM165" s="26">
        <f>IF(G165="","",G165&amp;"|"&amp;P165)</f>
        <v/>
      </c>
      <c r="AN165" s="27">
        <f>IF(I165="","",IFERROR(DATE(VALUE(RIGHT(I165,4)),VALUE(MID(I165,4,2)),VALUE(LEFT(I165,2))),""))</f>
        <v/>
      </c>
      <c r="AO165" s="27">
        <f>IF(Y165="","",IFERROR(DATE(VALUE(RIGHT(Y165,4)),VALUE(MID(Y165,4,2)),VALUE(LEFT(Y165,2))),""))</f>
        <v/>
      </c>
      <c r="AP165" s="27">
        <f>IF(AC165="","",IFERROR(DATE(VALUE(RIGHT(AC165,4)),VALUE(MID(AC165,4,2)),VALUE(LEFT(AC165,2))),""))</f>
        <v/>
      </c>
      <c r="AQ165" s="26">
        <f>IF(AI165="","",TRIM(LEFT(AI165,FIND(" ",AI165&amp;" ")-1)))</f>
        <v/>
      </c>
      <c r="AR165" s="27">
        <f>IF(AQ165="","",IFERROR(DATE(VALUE(MID(AQ165,FIND("/",AQ165,FIND("/",AQ165)+1)+1,4)),VALUE(LEFT(AQ165,FIND("/",AQ165)-1)),VALUE(MID(AQ165,FIND("/",AQ165)+1,FIND("/",AQ165,FIND("/",AQ165)+1)-FIND("/",AQ165)-1))),""))</f>
        <v/>
      </c>
      <c r="AS165" s="26">
        <f>IF(G165="","",IF(AND(AG165&lt;&gt;"",AG165&lt;&gt;"Bayi Aracı"),"Evet","Hayır"))</f>
        <v/>
      </c>
      <c r="AT165" s="26">
        <f>IF(G165="","",IF(AND(AS165="Evet",T165="Siparişiniz Teslim Edildi"),"Evet","Hayır"))</f>
        <v/>
      </c>
      <c r="AU165" s="26">
        <f>IF(G165="","",IF(AB165="Siparişinizin Montajı Yapıldı","Evet","Hayır"))</f>
        <v/>
      </c>
      <c r="AV165" s="27">
        <f>IF(G165="","",IF(AT165="Evet",AR165,IF(AU165="Evet",AP165,"")))</f>
        <v/>
      </c>
    </row>
    <row r="166">
      <c r="A166" s="23" t="n"/>
      <c r="B166" s="23" t="n"/>
      <c r="C166" s="23" t="n"/>
      <c r="D166" s="23" t="n"/>
      <c r="E166" s="23" t="n"/>
      <c r="F166" s="23" t="n"/>
      <c r="G166" s="23" t="n"/>
      <c r="H166" s="23" t="n"/>
      <c r="I166" s="23" t="n"/>
      <c r="J166" s="23" t="n"/>
      <c r="K166" s="23" t="n"/>
      <c r="L166" s="23" t="n"/>
      <c r="M166" s="23" t="n"/>
      <c r="N166" s="23" t="n"/>
      <c r="O166" s="23" t="n"/>
      <c r="P166" s="23" t="n"/>
      <c r="Q166" s="23" t="n"/>
      <c r="R166" s="23" t="n"/>
      <c r="S166" s="23" t="n"/>
      <c r="T166" s="23" t="n"/>
      <c r="U166" s="23" t="n"/>
      <c r="V166" s="23" t="n"/>
      <c r="W166" s="23" t="n"/>
      <c r="X166" s="23" t="n"/>
      <c r="Y166" s="23" t="n"/>
      <c r="Z166" s="23" t="n"/>
      <c r="AA166" s="23" t="n"/>
      <c r="AB166" s="23" t="n"/>
      <c r="AC166" s="23" t="n"/>
      <c r="AD166" s="23" t="n"/>
      <c r="AE166" s="23" t="n"/>
      <c r="AF166" s="23" t="n"/>
      <c r="AG166" s="23" t="n"/>
      <c r="AH166" s="23" t="n"/>
      <c r="AI166" s="23" t="n"/>
      <c r="AJ166" s="23" t="n"/>
      <c r="AK166" s="23" t="n"/>
      <c r="AL166" s="23" t="n"/>
      <c r="AM166" s="26">
        <f>IF(G166="","",G166&amp;"|"&amp;P166)</f>
        <v/>
      </c>
      <c r="AN166" s="27">
        <f>IF(I166="","",IFERROR(DATE(VALUE(RIGHT(I166,4)),VALUE(MID(I166,4,2)),VALUE(LEFT(I166,2))),""))</f>
        <v/>
      </c>
      <c r="AO166" s="27">
        <f>IF(Y166="","",IFERROR(DATE(VALUE(RIGHT(Y166,4)),VALUE(MID(Y166,4,2)),VALUE(LEFT(Y166,2))),""))</f>
        <v/>
      </c>
      <c r="AP166" s="27">
        <f>IF(AC166="","",IFERROR(DATE(VALUE(RIGHT(AC166,4)),VALUE(MID(AC166,4,2)),VALUE(LEFT(AC166,2))),""))</f>
        <v/>
      </c>
      <c r="AQ166" s="26">
        <f>IF(AI166="","",TRIM(LEFT(AI166,FIND(" ",AI166&amp;" ")-1)))</f>
        <v/>
      </c>
      <c r="AR166" s="27">
        <f>IF(AQ166="","",IFERROR(DATE(VALUE(MID(AQ166,FIND("/",AQ166,FIND("/",AQ166)+1)+1,4)),VALUE(LEFT(AQ166,FIND("/",AQ166)-1)),VALUE(MID(AQ166,FIND("/",AQ166)+1,FIND("/",AQ166,FIND("/",AQ166)+1)-FIND("/",AQ166)-1))),""))</f>
        <v/>
      </c>
      <c r="AS166" s="26">
        <f>IF(G166="","",IF(AND(AG166&lt;&gt;"",AG166&lt;&gt;"Bayi Aracı"),"Evet","Hayır"))</f>
        <v/>
      </c>
      <c r="AT166" s="26">
        <f>IF(G166="","",IF(AND(AS166="Evet",T166="Siparişiniz Teslim Edildi"),"Evet","Hayır"))</f>
        <v/>
      </c>
      <c r="AU166" s="26">
        <f>IF(G166="","",IF(AB166="Siparişinizin Montajı Yapıldı","Evet","Hayır"))</f>
        <v/>
      </c>
      <c r="AV166" s="27">
        <f>IF(G166="","",IF(AT166="Evet",AR166,IF(AU166="Evet",AP166,"")))</f>
        <v/>
      </c>
    </row>
    <row r="167">
      <c r="A167" s="23" t="n"/>
      <c r="B167" s="23" t="n"/>
      <c r="C167" s="23" t="n"/>
      <c r="D167" s="23" t="n"/>
      <c r="E167" s="23" t="n"/>
      <c r="F167" s="23" t="n"/>
      <c r="G167" s="23" t="n"/>
      <c r="H167" s="23" t="n"/>
      <c r="I167" s="23" t="n"/>
      <c r="J167" s="23" t="n"/>
      <c r="K167" s="23" t="n"/>
      <c r="L167" s="23" t="n"/>
      <c r="M167" s="23" t="n"/>
      <c r="N167" s="23" t="n"/>
      <c r="O167" s="23" t="n"/>
      <c r="P167" s="23" t="n"/>
      <c r="Q167" s="23" t="n"/>
      <c r="R167" s="23" t="n"/>
      <c r="S167" s="23" t="n"/>
      <c r="T167" s="23" t="n"/>
      <c r="U167" s="23" t="n"/>
      <c r="V167" s="23" t="n"/>
      <c r="W167" s="23" t="n"/>
      <c r="X167" s="23" t="n"/>
      <c r="Y167" s="23" t="n"/>
      <c r="Z167" s="23" t="n"/>
      <c r="AA167" s="23" t="n"/>
      <c r="AB167" s="23" t="n"/>
      <c r="AC167" s="23" t="n"/>
      <c r="AD167" s="23" t="n"/>
      <c r="AE167" s="23" t="n"/>
      <c r="AF167" s="23" t="n"/>
      <c r="AG167" s="23" t="n"/>
      <c r="AH167" s="23" t="n"/>
      <c r="AI167" s="23" t="n"/>
      <c r="AJ167" s="23" t="n"/>
      <c r="AK167" s="23" t="n"/>
      <c r="AL167" s="23" t="n"/>
      <c r="AM167" s="26">
        <f>IF(G167="","",G167&amp;"|"&amp;P167)</f>
        <v/>
      </c>
      <c r="AN167" s="27">
        <f>IF(I167="","",IFERROR(DATE(VALUE(RIGHT(I167,4)),VALUE(MID(I167,4,2)),VALUE(LEFT(I167,2))),""))</f>
        <v/>
      </c>
      <c r="AO167" s="27">
        <f>IF(Y167="","",IFERROR(DATE(VALUE(RIGHT(Y167,4)),VALUE(MID(Y167,4,2)),VALUE(LEFT(Y167,2))),""))</f>
        <v/>
      </c>
      <c r="AP167" s="27">
        <f>IF(AC167="","",IFERROR(DATE(VALUE(RIGHT(AC167,4)),VALUE(MID(AC167,4,2)),VALUE(LEFT(AC167,2))),""))</f>
        <v/>
      </c>
      <c r="AQ167" s="26">
        <f>IF(AI167="","",TRIM(LEFT(AI167,FIND(" ",AI167&amp;" ")-1)))</f>
        <v/>
      </c>
      <c r="AR167" s="27">
        <f>IF(AQ167="","",IFERROR(DATE(VALUE(MID(AQ167,FIND("/",AQ167,FIND("/",AQ167)+1)+1,4)),VALUE(LEFT(AQ167,FIND("/",AQ167)-1)),VALUE(MID(AQ167,FIND("/",AQ167)+1,FIND("/",AQ167,FIND("/",AQ167)+1)-FIND("/",AQ167)-1))),""))</f>
        <v/>
      </c>
      <c r="AS167" s="26">
        <f>IF(G167="","",IF(AND(AG167&lt;&gt;"",AG167&lt;&gt;"Bayi Aracı"),"Evet","Hayır"))</f>
        <v/>
      </c>
      <c r="AT167" s="26">
        <f>IF(G167="","",IF(AND(AS167="Evet",T167="Siparişiniz Teslim Edildi"),"Evet","Hayır"))</f>
        <v/>
      </c>
      <c r="AU167" s="26">
        <f>IF(G167="","",IF(AB167="Siparişinizin Montajı Yapıldı","Evet","Hayır"))</f>
        <v/>
      </c>
      <c r="AV167" s="27">
        <f>IF(G167="","",IF(AT167="Evet",AR167,IF(AU167="Evet",AP167,"")))</f>
        <v/>
      </c>
    </row>
    <row r="168">
      <c r="A168" s="23" t="n"/>
      <c r="B168" s="23" t="n"/>
      <c r="C168" s="23" t="n"/>
      <c r="D168" s="23" t="n"/>
      <c r="E168" s="23" t="n"/>
      <c r="F168" s="23" t="n"/>
      <c r="G168" s="23" t="n"/>
      <c r="H168" s="23" t="n"/>
      <c r="I168" s="23" t="n"/>
      <c r="J168" s="23" t="n"/>
      <c r="K168" s="23" t="n"/>
      <c r="L168" s="23" t="n"/>
      <c r="M168" s="23" t="n"/>
      <c r="N168" s="23" t="n"/>
      <c r="O168" s="23" t="n"/>
      <c r="P168" s="23" t="n"/>
      <c r="Q168" s="23" t="n"/>
      <c r="R168" s="23" t="n"/>
      <c r="S168" s="23" t="n"/>
      <c r="T168" s="23" t="n"/>
      <c r="U168" s="23" t="n"/>
      <c r="V168" s="23" t="n"/>
      <c r="W168" s="23" t="n"/>
      <c r="X168" s="23" t="n"/>
      <c r="Y168" s="23" t="n"/>
      <c r="Z168" s="23" t="n"/>
      <c r="AA168" s="23" t="n"/>
      <c r="AB168" s="23" t="n"/>
      <c r="AC168" s="23" t="n"/>
      <c r="AD168" s="23" t="n"/>
      <c r="AE168" s="23" t="n"/>
      <c r="AF168" s="23" t="n"/>
      <c r="AG168" s="23" t="n"/>
      <c r="AH168" s="23" t="n"/>
      <c r="AI168" s="23" t="n"/>
      <c r="AJ168" s="23" t="n"/>
      <c r="AK168" s="23" t="n"/>
      <c r="AL168" s="23" t="n"/>
      <c r="AM168" s="26">
        <f>IF(G168="","",G168&amp;"|"&amp;P168)</f>
        <v/>
      </c>
      <c r="AN168" s="27">
        <f>IF(I168="","",IFERROR(DATE(VALUE(RIGHT(I168,4)),VALUE(MID(I168,4,2)),VALUE(LEFT(I168,2))),""))</f>
        <v/>
      </c>
      <c r="AO168" s="27">
        <f>IF(Y168="","",IFERROR(DATE(VALUE(RIGHT(Y168,4)),VALUE(MID(Y168,4,2)),VALUE(LEFT(Y168,2))),""))</f>
        <v/>
      </c>
      <c r="AP168" s="27">
        <f>IF(AC168="","",IFERROR(DATE(VALUE(RIGHT(AC168,4)),VALUE(MID(AC168,4,2)),VALUE(LEFT(AC168,2))),""))</f>
        <v/>
      </c>
      <c r="AQ168" s="26">
        <f>IF(AI168="","",TRIM(LEFT(AI168,FIND(" ",AI168&amp;" ")-1)))</f>
        <v/>
      </c>
      <c r="AR168" s="27">
        <f>IF(AQ168="","",IFERROR(DATE(VALUE(MID(AQ168,FIND("/",AQ168,FIND("/",AQ168)+1)+1,4)),VALUE(LEFT(AQ168,FIND("/",AQ168)-1)),VALUE(MID(AQ168,FIND("/",AQ168)+1,FIND("/",AQ168,FIND("/",AQ168)+1)-FIND("/",AQ168)-1))),""))</f>
        <v/>
      </c>
      <c r="AS168" s="26">
        <f>IF(G168="","",IF(AND(AG168&lt;&gt;"",AG168&lt;&gt;"Bayi Aracı"),"Evet","Hayır"))</f>
        <v/>
      </c>
      <c r="AT168" s="26">
        <f>IF(G168="","",IF(AND(AS168="Evet",T168="Siparişiniz Teslim Edildi"),"Evet","Hayır"))</f>
        <v/>
      </c>
      <c r="AU168" s="26">
        <f>IF(G168="","",IF(AB168="Siparişinizin Montajı Yapıldı","Evet","Hayır"))</f>
        <v/>
      </c>
      <c r="AV168" s="27">
        <f>IF(G168="","",IF(AT168="Evet",AR168,IF(AU168="Evet",AP168,"")))</f>
        <v/>
      </c>
    </row>
    <row r="169">
      <c r="A169" s="23" t="n"/>
      <c r="B169" s="23" t="n"/>
      <c r="C169" s="23" t="n"/>
      <c r="D169" s="23" t="n"/>
      <c r="E169" s="23" t="n"/>
      <c r="F169" s="23" t="n"/>
      <c r="G169" s="23" t="n"/>
      <c r="H169" s="23" t="n"/>
      <c r="I169" s="23" t="n"/>
      <c r="J169" s="23" t="n"/>
      <c r="K169" s="23" t="n"/>
      <c r="L169" s="23" t="n"/>
      <c r="M169" s="23" t="n"/>
      <c r="N169" s="23" t="n"/>
      <c r="O169" s="23" t="n"/>
      <c r="P169" s="23" t="n"/>
      <c r="Q169" s="23" t="n"/>
      <c r="R169" s="23" t="n"/>
      <c r="S169" s="23" t="n"/>
      <c r="T169" s="23" t="n"/>
      <c r="U169" s="23" t="n"/>
      <c r="V169" s="23" t="n"/>
      <c r="W169" s="23" t="n"/>
      <c r="X169" s="23" t="n"/>
      <c r="Y169" s="23" t="n"/>
      <c r="Z169" s="23" t="n"/>
      <c r="AA169" s="23" t="n"/>
      <c r="AB169" s="23" t="n"/>
      <c r="AC169" s="23" t="n"/>
      <c r="AD169" s="23" t="n"/>
      <c r="AE169" s="23" t="n"/>
      <c r="AF169" s="23" t="n"/>
      <c r="AG169" s="23" t="n"/>
      <c r="AH169" s="23" t="n"/>
      <c r="AI169" s="23" t="n"/>
      <c r="AJ169" s="23" t="n"/>
      <c r="AK169" s="23" t="n"/>
      <c r="AL169" s="23" t="n"/>
      <c r="AM169" s="26">
        <f>IF(G169="","",G169&amp;"|"&amp;P169)</f>
        <v/>
      </c>
      <c r="AN169" s="27">
        <f>IF(I169="","",IFERROR(DATE(VALUE(RIGHT(I169,4)),VALUE(MID(I169,4,2)),VALUE(LEFT(I169,2))),""))</f>
        <v/>
      </c>
      <c r="AO169" s="27">
        <f>IF(Y169="","",IFERROR(DATE(VALUE(RIGHT(Y169,4)),VALUE(MID(Y169,4,2)),VALUE(LEFT(Y169,2))),""))</f>
        <v/>
      </c>
      <c r="AP169" s="27">
        <f>IF(AC169="","",IFERROR(DATE(VALUE(RIGHT(AC169,4)),VALUE(MID(AC169,4,2)),VALUE(LEFT(AC169,2))),""))</f>
        <v/>
      </c>
      <c r="AQ169" s="26">
        <f>IF(AI169="","",TRIM(LEFT(AI169,FIND(" ",AI169&amp;" ")-1)))</f>
        <v/>
      </c>
      <c r="AR169" s="27">
        <f>IF(AQ169="","",IFERROR(DATE(VALUE(MID(AQ169,FIND("/",AQ169,FIND("/",AQ169)+1)+1,4)),VALUE(LEFT(AQ169,FIND("/",AQ169)-1)),VALUE(MID(AQ169,FIND("/",AQ169)+1,FIND("/",AQ169,FIND("/",AQ169)+1)-FIND("/",AQ169)-1))),""))</f>
        <v/>
      </c>
      <c r="AS169" s="26">
        <f>IF(G169="","",IF(AND(AG169&lt;&gt;"",AG169&lt;&gt;"Bayi Aracı"),"Evet","Hayır"))</f>
        <v/>
      </c>
      <c r="AT169" s="26">
        <f>IF(G169="","",IF(AND(AS169="Evet",T169="Siparişiniz Teslim Edildi"),"Evet","Hayır"))</f>
        <v/>
      </c>
      <c r="AU169" s="26">
        <f>IF(G169="","",IF(AB169="Siparişinizin Montajı Yapıldı","Evet","Hayır"))</f>
        <v/>
      </c>
      <c r="AV169" s="27">
        <f>IF(G169="","",IF(AT169="Evet",AR169,IF(AU169="Evet",AP169,"")))</f>
        <v/>
      </c>
    </row>
    <row r="170">
      <c r="A170" s="23" t="n"/>
      <c r="B170" s="23" t="n"/>
      <c r="C170" s="23" t="n"/>
      <c r="D170" s="23" t="n"/>
      <c r="E170" s="23" t="n"/>
      <c r="F170" s="23" t="n"/>
      <c r="G170" s="23" t="n"/>
      <c r="H170" s="23" t="n"/>
      <c r="I170" s="23" t="n"/>
      <c r="J170" s="23" t="n"/>
      <c r="K170" s="23" t="n"/>
      <c r="L170" s="23" t="n"/>
      <c r="M170" s="23" t="n"/>
      <c r="N170" s="23" t="n"/>
      <c r="O170" s="23" t="n"/>
      <c r="P170" s="23" t="n"/>
      <c r="Q170" s="23" t="n"/>
      <c r="R170" s="23" t="n"/>
      <c r="S170" s="23" t="n"/>
      <c r="T170" s="23" t="n"/>
      <c r="U170" s="23" t="n"/>
      <c r="V170" s="23" t="n"/>
      <c r="W170" s="23" t="n"/>
      <c r="X170" s="23" t="n"/>
      <c r="Y170" s="23" t="n"/>
      <c r="Z170" s="23" t="n"/>
      <c r="AA170" s="23" t="n"/>
      <c r="AB170" s="23" t="n"/>
      <c r="AC170" s="23" t="n"/>
      <c r="AD170" s="23" t="n"/>
      <c r="AE170" s="23" t="n"/>
      <c r="AF170" s="23" t="n"/>
      <c r="AG170" s="23" t="n"/>
      <c r="AH170" s="23" t="n"/>
      <c r="AI170" s="23" t="n"/>
      <c r="AJ170" s="23" t="n"/>
      <c r="AK170" s="23" t="n"/>
      <c r="AL170" s="23" t="n"/>
      <c r="AM170" s="26">
        <f>IF(G170="","",G170&amp;"|"&amp;P170)</f>
        <v/>
      </c>
      <c r="AN170" s="27">
        <f>IF(I170="","",IFERROR(DATE(VALUE(RIGHT(I170,4)),VALUE(MID(I170,4,2)),VALUE(LEFT(I170,2))),""))</f>
        <v/>
      </c>
      <c r="AO170" s="27">
        <f>IF(Y170="","",IFERROR(DATE(VALUE(RIGHT(Y170,4)),VALUE(MID(Y170,4,2)),VALUE(LEFT(Y170,2))),""))</f>
        <v/>
      </c>
      <c r="AP170" s="27">
        <f>IF(AC170="","",IFERROR(DATE(VALUE(RIGHT(AC170,4)),VALUE(MID(AC170,4,2)),VALUE(LEFT(AC170,2))),""))</f>
        <v/>
      </c>
      <c r="AQ170" s="26">
        <f>IF(AI170="","",TRIM(LEFT(AI170,FIND(" ",AI170&amp;" ")-1)))</f>
        <v/>
      </c>
      <c r="AR170" s="27">
        <f>IF(AQ170="","",IFERROR(DATE(VALUE(MID(AQ170,FIND("/",AQ170,FIND("/",AQ170)+1)+1,4)),VALUE(LEFT(AQ170,FIND("/",AQ170)-1)),VALUE(MID(AQ170,FIND("/",AQ170)+1,FIND("/",AQ170,FIND("/",AQ170)+1)-FIND("/",AQ170)-1))),""))</f>
        <v/>
      </c>
      <c r="AS170" s="26">
        <f>IF(G170="","",IF(AND(AG170&lt;&gt;"",AG170&lt;&gt;"Bayi Aracı"),"Evet","Hayır"))</f>
        <v/>
      </c>
      <c r="AT170" s="26">
        <f>IF(G170="","",IF(AND(AS170="Evet",T170="Siparişiniz Teslim Edildi"),"Evet","Hayır"))</f>
        <v/>
      </c>
      <c r="AU170" s="26">
        <f>IF(G170="","",IF(AB170="Siparişinizin Montajı Yapıldı","Evet","Hayır"))</f>
        <v/>
      </c>
      <c r="AV170" s="27">
        <f>IF(G170="","",IF(AT170="Evet",AR170,IF(AU170="Evet",AP170,"")))</f>
        <v/>
      </c>
    </row>
    <row r="171">
      <c r="A171" s="23" t="n"/>
      <c r="B171" s="23" t="n"/>
      <c r="C171" s="23" t="n"/>
      <c r="D171" s="23" t="n"/>
      <c r="E171" s="23" t="n"/>
      <c r="F171" s="23" t="n"/>
      <c r="G171" s="23" t="n"/>
      <c r="H171" s="23" t="n"/>
      <c r="I171" s="23" t="n"/>
      <c r="J171" s="23" t="n"/>
      <c r="K171" s="23" t="n"/>
      <c r="L171" s="23" t="n"/>
      <c r="M171" s="23" t="n"/>
      <c r="N171" s="23" t="n"/>
      <c r="O171" s="23" t="n"/>
      <c r="P171" s="23" t="n"/>
      <c r="Q171" s="23" t="n"/>
      <c r="R171" s="23" t="n"/>
      <c r="S171" s="23" t="n"/>
      <c r="T171" s="23" t="n"/>
      <c r="U171" s="23" t="n"/>
      <c r="V171" s="23" t="n"/>
      <c r="W171" s="23" t="n"/>
      <c r="X171" s="23" t="n"/>
      <c r="Y171" s="23" t="n"/>
      <c r="Z171" s="23" t="n"/>
      <c r="AA171" s="23" t="n"/>
      <c r="AB171" s="23" t="n"/>
      <c r="AC171" s="23" t="n"/>
      <c r="AD171" s="23" t="n"/>
      <c r="AE171" s="23" t="n"/>
      <c r="AF171" s="23" t="n"/>
      <c r="AG171" s="23" t="n"/>
      <c r="AH171" s="23" t="n"/>
      <c r="AI171" s="23" t="n"/>
      <c r="AJ171" s="23" t="n"/>
      <c r="AK171" s="23" t="n"/>
      <c r="AL171" s="23" t="n"/>
      <c r="AM171" s="26">
        <f>IF(G171="","",G171&amp;"|"&amp;P171)</f>
        <v/>
      </c>
      <c r="AN171" s="27">
        <f>IF(I171="","",IFERROR(DATE(VALUE(RIGHT(I171,4)),VALUE(MID(I171,4,2)),VALUE(LEFT(I171,2))),""))</f>
        <v/>
      </c>
      <c r="AO171" s="27">
        <f>IF(Y171="","",IFERROR(DATE(VALUE(RIGHT(Y171,4)),VALUE(MID(Y171,4,2)),VALUE(LEFT(Y171,2))),""))</f>
        <v/>
      </c>
      <c r="AP171" s="27">
        <f>IF(AC171="","",IFERROR(DATE(VALUE(RIGHT(AC171,4)),VALUE(MID(AC171,4,2)),VALUE(LEFT(AC171,2))),""))</f>
        <v/>
      </c>
      <c r="AQ171" s="26">
        <f>IF(AI171="","",TRIM(LEFT(AI171,FIND(" ",AI171&amp;" ")-1)))</f>
        <v/>
      </c>
      <c r="AR171" s="27">
        <f>IF(AQ171="","",IFERROR(DATE(VALUE(MID(AQ171,FIND("/",AQ171,FIND("/",AQ171)+1)+1,4)),VALUE(LEFT(AQ171,FIND("/",AQ171)-1)),VALUE(MID(AQ171,FIND("/",AQ171)+1,FIND("/",AQ171,FIND("/",AQ171)+1)-FIND("/",AQ171)-1))),""))</f>
        <v/>
      </c>
      <c r="AS171" s="26">
        <f>IF(G171="","",IF(AND(AG171&lt;&gt;"",AG171&lt;&gt;"Bayi Aracı"),"Evet","Hayır"))</f>
        <v/>
      </c>
      <c r="AT171" s="26">
        <f>IF(G171="","",IF(AND(AS171="Evet",T171="Siparişiniz Teslim Edildi"),"Evet","Hayır"))</f>
        <v/>
      </c>
      <c r="AU171" s="26">
        <f>IF(G171="","",IF(AB171="Siparişinizin Montajı Yapıldı","Evet","Hayır"))</f>
        <v/>
      </c>
      <c r="AV171" s="27">
        <f>IF(G171="","",IF(AT171="Evet",AR171,IF(AU171="Evet",AP171,"")))</f>
        <v/>
      </c>
    </row>
    <row r="172">
      <c r="A172" s="23" t="n"/>
      <c r="B172" s="23" t="n"/>
      <c r="C172" s="23" t="n"/>
      <c r="D172" s="23" t="n"/>
      <c r="E172" s="23" t="n"/>
      <c r="F172" s="23" t="n"/>
      <c r="G172" s="23" t="n"/>
      <c r="H172" s="23" t="n"/>
      <c r="I172" s="23" t="n"/>
      <c r="J172" s="23" t="n"/>
      <c r="K172" s="23" t="n"/>
      <c r="L172" s="23" t="n"/>
      <c r="M172" s="23" t="n"/>
      <c r="N172" s="23" t="n"/>
      <c r="O172" s="23" t="n"/>
      <c r="P172" s="23" t="n"/>
      <c r="Q172" s="23" t="n"/>
      <c r="R172" s="23" t="n"/>
      <c r="S172" s="23" t="n"/>
      <c r="T172" s="23" t="n"/>
      <c r="U172" s="23" t="n"/>
      <c r="V172" s="23" t="n"/>
      <c r="W172" s="23" t="n"/>
      <c r="X172" s="23" t="n"/>
      <c r="Y172" s="23" t="n"/>
      <c r="Z172" s="23" t="n"/>
      <c r="AA172" s="23" t="n"/>
      <c r="AB172" s="23" t="n"/>
      <c r="AC172" s="23" t="n"/>
      <c r="AD172" s="23" t="n"/>
      <c r="AE172" s="23" t="n"/>
      <c r="AF172" s="23" t="n"/>
      <c r="AG172" s="23" t="n"/>
      <c r="AH172" s="23" t="n"/>
      <c r="AI172" s="23" t="n"/>
      <c r="AJ172" s="23" t="n"/>
      <c r="AK172" s="23" t="n"/>
      <c r="AL172" s="23" t="n"/>
      <c r="AM172" s="26">
        <f>IF(G172="","",G172&amp;"|"&amp;P172)</f>
        <v/>
      </c>
      <c r="AN172" s="27">
        <f>IF(I172="","",IFERROR(DATE(VALUE(RIGHT(I172,4)),VALUE(MID(I172,4,2)),VALUE(LEFT(I172,2))),""))</f>
        <v/>
      </c>
      <c r="AO172" s="27">
        <f>IF(Y172="","",IFERROR(DATE(VALUE(RIGHT(Y172,4)),VALUE(MID(Y172,4,2)),VALUE(LEFT(Y172,2))),""))</f>
        <v/>
      </c>
      <c r="AP172" s="27">
        <f>IF(AC172="","",IFERROR(DATE(VALUE(RIGHT(AC172,4)),VALUE(MID(AC172,4,2)),VALUE(LEFT(AC172,2))),""))</f>
        <v/>
      </c>
      <c r="AQ172" s="26">
        <f>IF(AI172="","",TRIM(LEFT(AI172,FIND(" ",AI172&amp;" ")-1)))</f>
        <v/>
      </c>
      <c r="AR172" s="27">
        <f>IF(AQ172="","",IFERROR(DATE(VALUE(MID(AQ172,FIND("/",AQ172,FIND("/",AQ172)+1)+1,4)),VALUE(LEFT(AQ172,FIND("/",AQ172)-1)),VALUE(MID(AQ172,FIND("/",AQ172)+1,FIND("/",AQ172,FIND("/",AQ172)+1)-FIND("/",AQ172)-1))),""))</f>
        <v/>
      </c>
      <c r="AS172" s="26">
        <f>IF(G172="","",IF(AND(AG172&lt;&gt;"",AG172&lt;&gt;"Bayi Aracı"),"Evet","Hayır"))</f>
        <v/>
      </c>
      <c r="AT172" s="26">
        <f>IF(G172="","",IF(AND(AS172="Evet",T172="Siparişiniz Teslim Edildi"),"Evet","Hayır"))</f>
        <v/>
      </c>
      <c r="AU172" s="26">
        <f>IF(G172="","",IF(AB172="Siparişinizin Montajı Yapıldı","Evet","Hayır"))</f>
        <v/>
      </c>
      <c r="AV172" s="27">
        <f>IF(G172="","",IF(AT172="Evet",AR172,IF(AU172="Evet",AP172,"")))</f>
        <v/>
      </c>
    </row>
    <row r="173">
      <c r="A173" s="23" t="n"/>
      <c r="B173" s="23" t="n"/>
      <c r="C173" s="23" t="n"/>
      <c r="D173" s="23" t="n"/>
      <c r="E173" s="23" t="n"/>
      <c r="F173" s="23" t="n"/>
      <c r="G173" s="23" t="n"/>
      <c r="H173" s="23" t="n"/>
      <c r="I173" s="23" t="n"/>
      <c r="J173" s="23" t="n"/>
      <c r="K173" s="23" t="n"/>
      <c r="L173" s="23" t="n"/>
      <c r="M173" s="23" t="n"/>
      <c r="N173" s="23" t="n"/>
      <c r="O173" s="23" t="n"/>
      <c r="P173" s="23" t="n"/>
      <c r="Q173" s="23" t="n"/>
      <c r="R173" s="23" t="n"/>
      <c r="S173" s="23" t="n"/>
      <c r="T173" s="23" t="n"/>
      <c r="U173" s="23" t="n"/>
      <c r="V173" s="23" t="n"/>
      <c r="W173" s="23" t="n"/>
      <c r="X173" s="23" t="n"/>
      <c r="Y173" s="23" t="n"/>
      <c r="Z173" s="23" t="n"/>
      <c r="AA173" s="23" t="n"/>
      <c r="AB173" s="23" t="n"/>
      <c r="AC173" s="23" t="n"/>
      <c r="AD173" s="23" t="n"/>
      <c r="AE173" s="23" t="n"/>
      <c r="AF173" s="23" t="n"/>
      <c r="AG173" s="23" t="n"/>
      <c r="AH173" s="23" t="n"/>
      <c r="AI173" s="23" t="n"/>
      <c r="AJ173" s="23" t="n"/>
      <c r="AK173" s="23" t="n"/>
      <c r="AL173" s="23" t="n"/>
      <c r="AM173" s="26">
        <f>IF(G173="","",G173&amp;"|"&amp;P173)</f>
        <v/>
      </c>
      <c r="AN173" s="27">
        <f>IF(I173="","",IFERROR(DATE(VALUE(RIGHT(I173,4)),VALUE(MID(I173,4,2)),VALUE(LEFT(I173,2))),""))</f>
        <v/>
      </c>
      <c r="AO173" s="27">
        <f>IF(Y173="","",IFERROR(DATE(VALUE(RIGHT(Y173,4)),VALUE(MID(Y173,4,2)),VALUE(LEFT(Y173,2))),""))</f>
        <v/>
      </c>
      <c r="AP173" s="27">
        <f>IF(AC173="","",IFERROR(DATE(VALUE(RIGHT(AC173,4)),VALUE(MID(AC173,4,2)),VALUE(LEFT(AC173,2))),""))</f>
        <v/>
      </c>
      <c r="AQ173" s="26">
        <f>IF(AI173="","",TRIM(LEFT(AI173,FIND(" ",AI173&amp;" ")-1)))</f>
        <v/>
      </c>
      <c r="AR173" s="27">
        <f>IF(AQ173="","",IFERROR(DATE(VALUE(MID(AQ173,FIND("/",AQ173,FIND("/",AQ173)+1)+1,4)),VALUE(LEFT(AQ173,FIND("/",AQ173)-1)),VALUE(MID(AQ173,FIND("/",AQ173)+1,FIND("/",AQ173,FIND("/",AQ173)+1)-FIND("/",AQ173)-1))),""))</f>
        <v/>
      </c>
      <c r="AS173" s="26">
        <f>IF(G173="","",IF(AND(AG173&lt;&gt;"",AG173&lt;&gt;"Bayi Aracı"),"Evet","Hayır"))</f>
        <v/>
      </c>
      <c r="AT173" s="26">
        <f>IF(G173="","",IF(AND(AS173="Evet",T173="Siparişiniz Teslim Edildi"),"Evet","Hayır"))</f>
        <v/>
      </c>
      <c r="AU173" s="26">
        <f>IF(G173="","",IF(AB173="Siparişinizin Montajı Yapıldı","Evet","Hayır"))</f>
        <v/>
      </c>
      <c r="AV173" s="27">
        <f>IF(G173="","",IF(AT173="Evet",AR173,IF(AU173="Evet",AP173,"")))</f>
        <v/>
      </c>
    </row>
    <row r="174">
      <c r="A174" s="23" t="n"/>
      <c r="B174" s="23" t="n"/>
      <c r="C174" s="23" t="n"/>
      <c r="D174" s="23" t="n"/>
      <c r="E174" s="23" t="n"/>
      <c r="F174" s="23" t="n"/>
      <c r="G174" s="23" t="n"/>
      <c r="H174" s="23" t="n"/>
      <c r="I174" s="23" t="n"/>
      <c r="J174" s="23" t="n"/>
      <c r="K174" s="23" t="n"/>
      <c r="L174" s="23" t="n"/>
      <c r="M174" s="23" t="n"/>
      <c r="N174" s="23" t="n"/>
      <c r="O174" s="23" t="n"/>
      <c r="P174" s="23" t="n"/>
      <c r="Q174" s="23" t="n"/>
      <c r="R174" s="23" t="n"/>
      <c r="S174" s="23" t="n"/>
      <c r="T174" s="23" t="n"/>
      <c r="U174" s="23" t="n"/>
      <c r="V174" s="23" t="n"/>
      <c r="W174" s="23" t="n"/>
      <c r="X174" s="23" t="n"/>
      <c r="Y174" s="23" t="n"/>
      <c r="Z174" s="23" t="n"/>
      <c r="AA174" s="23" t="n"/>
      <c r="AB174" s="23" t="n"/>
      <c r="AC174" s="23" t="n"/>
      <c r="AD174" s="23" t="n"/>
      <c r="AE174" s="23" t="n"/>
      <c r="AF174" s="23" t="n"/>
      <c r="AG174" s="23" t="n"/>
      <c r="AH174" s="23" t="n"/>
      <c r="AI174" s="23" t="n"/>
      <c r="AJ174" s="23" t="n"/>
      <c r="AK174" s="23" t="n"/>
      <c r="AL174" s="23" t="n"/>
      <c r="AM174" s="26">
        <f>IF(G174="","",G174&amp;"|"&amp;P174)</f>
        <v/>
      </c>
      <c r="AN174" s="27">
        <f>IF(I174="","",IFERROR(DATE(VALUE(RIGHT(I174,4)),VALUE(MID(I174,4,2)),VALUE(LEFT(I174,2))),""))</f>
        <v/>
      </c>
      <c r="AO174" s="27">
        <f>IF(Y174="","",IFERROR(DATE(VALUE(RIGHT(Y174,4)),VALUE(MID(Y174,4,2)),VALUE(LEFT(Y174,2))),""))</f>
        <v/>
      </c>
      <c r="AP174" s="27">
        <f>IF(AC174="","",IFERROR(DATE(VALUE(RIGHT(AC174,4)),VALUE(MID(AC174,4,2)),VALUE(LEFT(AC174,2))),""))</f>
        <v/>
      </c>
      <c r="AQ174" s="26">
        <f>IF(AI174="","",TRIM(LEFT(AI174,FIND(" ",AI174&amp;" ")-1)))</f>
        <v/>
      </c>
      <c r="AR174" s="27">
        <f>IF(AQ174="","",IFERROR(DATE(VALUE(MID(AQ174,FIND("/",AQ174,FIND("/",AQ174)+1)+1,4)),VALUE(LEFT(AQ174,FIND("/",AQ174)-1)),VALUE(MID(AQ174,FIND("/",AQ174)+1,FIND("/",AQ174,FIND("/",AQ174)+1)-FIND("/",AQ174)-1))),""))</f>
        <v/>
      </c>
      <c r="AS174" s="26">
        <f>IF(G174="","",IF(AND(AG174&lt;&gt;"",AG174&lt;&gt;"Bayi Aracı"),"Evet","Hayır"))</f>
        <v/>
      </c>
      <c r="AT174" s="26">
        <f>IF(G174="","",IF(AND(AS174="Evet",T174="Siparişiniz Teslim Edildi"),"Evet","Hayır"))</f>
        <v/>
      </c>
      <c r="AU174" s="26">
        <f>IF(G174="","",IF(AB174="Siparişinizin Montajı Yapıldı","Evet","Hayır"))</f>
        <v/>
      </c>
      <c r="AV174" s="27">
        <f>IF(G174="","",IF(AT174="Evet",AR174,IF(AU174="Evet",AP174,"")))</f>
        <v/>
      </c>
    </row>
    <row r="175">
      <c r="A175" s="23" t="n"/>
      <c r="B175" s="23" t="n"/>
      <c r="C175" s="23" t="n"/>
      <c r="D175" s="23" t="n"/>
      <c r="E175" s="23" t="n"/>
      <c r="F175" s="23" t="n"/>
      <c r="G175" s="23" t="n"/>
      <c r="H175" s="23" t="n"/>
      <c r="I175" s="23" t="n"/>
      <c r="J175" s="23" t="n"/>
      <c r="K175" s="23" t="n"/>
      <c r="L175" s="23" t="n"/>
      <c r="M175" s="23" t="n"/>
      <c r="N175" s="23" t="n"/>
      <c r="O175" s="23" t="n"/>
      <c r="P175" s="23" t="n"/>
      <c r="Q175" s="23" t="n"/>
      <c r="R175" s="23" t="n"/>
      <c r="S175" s="23" t="n"/>
      <c r="T175" s="23" t="n"/>
      <c r="U175" s="23" t="n"/>
      <c r="V175" s="23" t="n"/>
      <c r="W175" s="23" t="n"/>
      <c r="X175" s="23" t="n"/>
      <c r="Y175" s="23" t="n"/>
      <c r="Z175" s="23" t="n"/>
      <c r="AA175" s="23" t="n"/>
      <c r="AB175" s="23" t="n"/>
      <c r="AC175" s="23" t="n"/>
      <c r="AD175" s="23" t="n"/>
      <c r="AE175" s="23" t="n"/>
      <c r="AF175" s="23" t="n"/>
      <c r="AG175" s="23" t="n"/>
      <c r="AH175" s="23" t="n"/>
      <c r="AI175" s="23" t="n"/>
      <c r="AJ175" s="23" t="n"/>
      <c r="AK175" s="23" t="n"/>
      <c r="AL175" s="23" t="n"/>
      <c r="AM175" s="26">
        <f>IF(G175="","",G175&amp;"|"&amp;P175)</f>
        <v/>
      </c>
      <c r="AN175" s="27">
        <f>IF(I175="","",IFERROR(DATE(VALUE(RIGHT(I175,4)),VALUE(MID(I175,4,2)),VALUE(LEFT(I175,2))),""))</f>
        <v/>
      </c>
      <c r="AO175" s="27">
        <f>IF(Y175="","",IFERROR(DATE(VALUE(RIGHT(Y175,4)),VALUE(MID(Y175,4,2)),VALUE(LEFT(Y175,2))),""))</f>
        <v/>
      </c>
      <c r="AP175" s="27">
        <f>IF(AC175="","",IFERROR(DATE(VALUE(RIGHT(AC175,4)),VALUE(MID(AC175,4,2)),VALUE(LEFT(AC175,2))),""))</f>
        <v/>
      </c>
      <c r="AQ175" s="26">
        <f>IF(AI175="","",TRIM(LEFT(AI175,FIND(" ",AI175&amp;" ")-1)))</f>
        <v/>
      </c>
      <c r="AR175" s="27">
        <f>IF(AQ175="","",IFERROR(DATE(VALUE(MID(AQ175,FIND("/",AQ175,FIND("/",AQ175)+1)+1,4)),VALUE(LEFT(AQ175,FIND("/",AQ175)-1)),VALUE(MID(AQ175,FIND("/",AQ175)+1,FIND("/",AQ175,FIND("/",AQ175)+1)-FIND("/",AQ175)-1))),""))</f>
        <v/>
      </c>
      <c r="AS175" s="26">
        <f>IF(G175="","",IF(AND(AG175&lt;&gt;"",AG175&lt;&gt;"Bayi Aracı"),"Evet","Hayır"))</f>
        <v/>
      </c>
      <c r="AT175" s="26">
        <f>IF(G175="","",IF(AND(AS175="Evet",T175="Siparişiniz Teslim Edildi"),"Evet","Hayır"))</f>
        <v/>
      </c>
      <c r="AU175" s="26">
        <f>IF(G175="","",IF(AB175="Siparişinizin Montajı Yapıldı","Evet","Hayır"))</f>
        <v/>
      </c>
      <c r="AV175" s="27">
        <f>IF(G175="","",IF(AT175="Evet",AR175,IF(AU175="Evet",AP175,"")))</f>
        <v/>
      </c>
    </row>
    <row r="176">
      <c r="A176" s="23" t="n"/>
      <c r="B176" s="23" t="n"/>
      <c r="C176" s="23" t="n"/>
      <c r="D176" s="23" t="n"/>
      <c r="E176" s="23" t="n"/>
      <c r="F176" s="23" t="n"/>
      <c r="G176" s="23" t="n"/>
      <c r="H176" s="23" t="n"/>
      <c r="I176" s="23" t="n"/>
      <c r="J176" s="23" t="n"/>
      <c r="K176" s="23" t="n"/>
      <c r="L176" s="23" t="n"/>
      <c r="M176" s="23" t="n"/>
      <c r="N176" s="23" t="n"/>
      <c r="O176" s="23" t="n"/>
      <c r="P176" s="23" t="n"/>
      <c r="Q176" s="23" t="n"/>
      <c r="R176" s="23" t="n"/>
      <c r="S176" s="23" t="n"/>
      <c r="T176" s="23" t="n"/>
      <c r="U176" s="23" t="n"/>
      <c r="V176" s="23" t="n"/>
      <c r="W176" s="23" t="n"/>
      <c r="X176" s="23" t="n"/>
      <c r="Y176" s="23" t="n"/>
      <c r="Z176" s="23" t="n"/>
      <c r="AA176" s="23" t="n"/>
      <c r="AB176" s="23" t="n"/>
      <c r="AC176" s="23" t="n"/>
      <c r="AD176" s="23" t="n"/>
      <c r="AE176" s="23" t="n"/>
      <c r="AF176" s="23" t="n"/>
      <c r="AG176" s="23" t="n"/>
      <c r="AH176" s="23" t="n"/>
      <c r="AI176" s="23" t="n"/>
      <c r="AJ176" s="23" t="n"/>
      <c r="AK176" s="23" t="n"/>
      <c r="AL176" s="23" t="n"/>
      <c r="AM176" s="26">
        <f>IF(G176="","",G176&amp;"|"&amp;P176)</f>
        <v/>
      </c>
      <c r="AN176" s="27">
        <f>IF(I176="","",IFERROR(DATE(VALUE(RIGHT(I176,4)),VALUE(MID(I176,4,2)),VALUE(LEFT(I176,2))),""))</f>
        <v/>
      </c>
      <c r="AO176" s="27">
        <f>IF(Y176="","",IFERROR(DATE(VALUE(RIGHT(Y176,4)),VALUE(MID(Y176,4,2)),VALUE(LEFT(Y176,2))),""))</f>
        <v/>
      </c>
      <c r="AP176" s="27">
        <f>IF(AC176="","",IFERROR(DATE(VALUE(RIGHT(AC176,4)),VALUE(MID(AC176,4,2)),VALUE(LEFT(AC176,2))),""))</f>
        <v/>
      </c>
      <c r="AQ176" s="26">
        <f>IF(AI176="","",TRIM(LEFT(AI176,FIND(" ",AI176&amp;" ")-1)))</f>
        <v/>
      </c>
      <c r="AR176" s="27">
        <f>IF(AQ176="","",IFERROR(DATE(VALUE(MID(AQ176,FIND("/",AQ176,FIND("/",AQ176)+1)+1,4)),VALUE(LEFT(AQ176,FIND("/",AQ176)-1)),VALUE(MID(AQ176,FIND("/",AQ176)+1,FIND("/",AQ176,FIND("/",AQ176)+1)-FIND("/",AQ176)-1))),""))</f>
        <v/>
      </c>
      <c r="AS176" s="26">
        <f>IF(G176="","",IF(AND(AG176&lt;&gt;"",AG176&lt;&gt;"Bayi Aracı"),"Evet","Hayır"))</f>
        <v/>
      </c>
      <c r="AT176" s="26">
        <f>IF(G176="","",IF(AND(AS176="Evet",T176="Siparişiniz Teslim Edildi"),"Evet","Hayır"))</f>
        <v/>
      </c>
      <c r="AU176" s="26">
        <f>IF(G176="","",IF(AB176="Siparişinizin Montajı Yapıldı","Evet","Hayır"))</f>
        <v/>
      </c>
      <c r="AV176" s="27">
        <f>IF(G176="","",IF(AT176="Evet",AR176,IF(AU176="Evet",AP176,"")))</f>
        <v/>
      </c>
    </row>
    <row r="177">
      <c r="A177" s="23" t="n"/>
      <c r="B177" s="23" t="n"/>
      <c r="C177" s="23" t="n"/>
      <c r="D177" s="23" t="n"/>
      <c r="E177" s="23" t="n"/>
      <c r="F177" s="23" t="n"/>
      <c r="G177" s="23" t="n"/>
      <c r="H177" s="23" t="n"/>
      <c r="I177" s="23" t="n"/>
      <c r="J177" s="23" t="n"/>
      <c r="K177" s="23" t="n"/>
      <c r="L177" s="23" t="n"/>
      <c r="M177" s="23" t="n"/>
      <c r="N177" s="23" t="n"/>
      <c r="O177" s="23" t="n"/>
      <c r="P177" s="23" t="n"/>
      <c r="Q177" s="23" t="n"/>
      <c r="R177" s="23" t="n"/>
      <c r="S177" s="23" t="n"/>
      <c r="T177" s="23" t="n"/>
      <c r="U177" s="23" t="n"/>
      <c r="V177" s="23" t="n"/>
      <c r="W177" s="23" t="n"/>
      <c r="X177" s="23" t="n"/>
      <c r="Y177" s="23" t="n"/>
      <c r="Z177" s="23" t="n"/>
      <c r="AA177" s="23" t="n"/>
      <c r="AB177" s="23" t="n"/>
      <c r="AC177" s="23" t="n"/>
      <c r="AD177" s="23" t="n"/>
      <c r="AE177" s="23" t="n"/>
      <c r="AF177" s="23" t="n"/>
      <c r="AG177" s="23" t="n"/>
      <c r="AH177" s="23" t="n"/>
      <c r="AI177" s="23" t="n"/>
      <c r="AJ177" s="23" t="n"/>
      <c r="AK177" s="23" t="n"/>
      <c r="AL177" s="23" t="n"/>
      <c r="AM177" s="26">
        <f>IF(G177="","",G177&amp;"|"&amp;P177)</f>
        <v/>
      </c>
      <c r="AN177" s="27">
        <f>IF(I177="","",IFERROR(DATE(VALUE(RIGHT(I177,4)),VALUE(MID(I177,4,2)),VALUE(LEFT(I177,2))),""))</f>
        <v/>
      </c>
      <c r="AO177" s="27">
        <f>IF(Y177="","",IFERROR(DATE(VALUE(RIGHT(Y177,4)),VALUE(MID(Y177,4,2)),VALUE(LEFT(Y177,2))),""))</f>
        <v/>
      </c>
      <c r="AP177" s="27">
        <f>IF(AC177="","",IFERROR(DATE(VALUE(RIGHT(AC177,4)),VALUE(MID(AC177,4,2)),VALUE(LEFT(AC177,2))),""))</f>
        <v/>
      </c>
      <c r="AQ177" s="26">
        <f>IF(AI177="","",TRIM(LEFT(AI177,FIND(" ",AI177&amp;" ")-1)))</f>
        <v/>
      </c>
      <c r="AR177" s="27">
        <f>IF(AQ177="","",IFERROR(DATE(VALUE(MID(AQ177,FIND("/",AQ177,FIND("/",AQ177)+1)+1,4)),VALUE(LEFT(AQ177,FIND("/",AQ177)-1)),VALUE(MID(AQ177,FIND("/",AQ177)+1,FIND("/",AQ177,FIND("/",AQ177)+1)-FIND("/",AQ177)-1))),""))</f>
        <v/>
      </c>
      <c r="AS177" s="26">
        <f>IF(G177="","",IF(AND(AG177&lt;&gt;"",AG177&lt;&gt;"Bayi Aracı"),"Evet","Hayır"))</f>
        <v/>
      </c>
      <c r="AT177" s="26">
        <f>IF(G177="","",IF(AND(AS177="Evet",T177="Siparişiniz Teslim Edildi"),"Evet","Hayır"))</f>
        <v/>
      </c>
      <c r="AU177" s="26">
        <f>IF(G177="","",IF(AB177="Siparişinizin Montajı Yapıldı","Evet","Hayır"))</f>
        <v/>
      </c>
      <c r="AV177" s="27">
        <f>IF(G177="","",IF(AT177="Evet",AR177,IF(AU177="Evet",AP177,"")))</f>
        <v/>
      </c>
    </row>
    <row r="178">
      <c r="A178" s="23" t="n"/>
      <c r="B178" s="23" t="n"/>
      <c r="C178" s="23" t="n"/>
      <c r="D178" s="23" t="n"/>
      <c r="E178" s="23" t="n"/>
      <c r="F178" s="23" t="n"/>
      <c r="G178" s="23" t="n"/>
      <c r="H178" s="23" t="n"/>
      <c r="I178" s="23" t="n"/>
      <c r="J178" s="23" t="n"/>
      <c r="K178" s="23" t="n"/>
      <c r="L178" s="23" t="n"/>
      <c r="M178" s="23" t="n"/>
      <c r="N178" s="23" t="n"/>
      <c r="O178" s="23" t="n"/>
      <c r="P178" s="23" t="n"/>
      <c r="Q178" s="23" t="n"/>
      <c r="R178" s="23" t="n"/>
      <c r="S178" s="23" t="n"/>
      <c r="T178" s="23" t="n"/>
      <c r="U178" s="23" t="n"/>
      <c r="V178" s="23" t="n"/>
      <c r="W178" s="23" t="n"/>
      <c r="X178" s="23" t="n"/>
      <c r="Y178" s="23" t="n"/>
      <c r="Z178" s="23" t="n"/>
      <c r="AA178" s="23" t="n"/>
      <c r="AB178" s="23" t="n"/>
      <c r="AC178" s="23" t="n"/>
      <c r="AD178" s="23" t="n"/>
      <c r="AE178" s="23" t="n"/>
      <c r="AF178" s="23" t="n"/>
      <c r="AG178" s="23" t="n"/>
      <c r="AH178" s="23" t="n"/>
      <c r="AI178" s="23" t="n"/>
      <c r="AJ178" s="23" t="n"/>
      <c r="AK178" s="23" t="n"/>
      <c r="AL178" s="23" t="n"/>
      <c r="AM178" s="26">
        <f>IF(G178="","",G178&amp;"|"&amp;P178)</f>
        <v/>
      </c>
      <c r="AN178" s="27">
        <f>IF(I178="","",IFERROR(DATE(VALUE(RIGHT(I178,4)),VALUE(MID(I178,4,2)),VALUE(LEFT(I178,2))),""))</f>
        <v/>
      </c>
      <c r="AO178" s="27">
        <f>IF(Y178="","",IFERROR(DATE(VALUE(RIGHT(Y178,4)),VALUE(MID(Y178,4,2)),VALUE(LEFT(Y178,2))),""))</f>
        <v/>
      </c>
      <c r="AP178" s="27">
        <f>IF(AC178="","",IFERROR(DATE(VALUE(RIGHT(AC178,4)),VALUE(MID(AC178,4,2)),VALUE(LEFT(AC178,2))),""))</f>
        <v/>
      </c>
      <c r="AQ178" s="26">
        <f>IF(AI178="","",TRIM(LEFT(AI178,FIND(" ",AI178&amp;" ")-1)))</f>
        <v/>
      </c>
      <c r="AR178" s="27">
        <f>IF(AQ178="","",IFERROR(DATE(VALUE(MID(AQ178,FIND("/",AQ178,FIND("/",AQ178)+1)+1,4)),VALUE(LEFT(AQ178,FIND("/",AQ178)-1)),VALUE(MID(AQ178,FIND("/",AQ178)+1,FIND("/",AQ178,FIND("/",AQ178)+1)-FIND("/",AQ178)-1))),""))</f>
        <v/>
      </c>
      <c r="AS178" s="26">
        <f>IF(G178="","",IF(AND(AG178&lt;&gt;"",AG178&lt;&gt;"Bayi Aracı"),"Evet","Hayır"))</f>
        <v/>
      </c>
      <c r="AT178" s="26">
        <f>IF(G178="","",IF(AND(AS178="Evet",T178="Siparişiniz Teslim Edildi"),"Evet","Hayır"))</f>
        <v/>
      </c>
      <c r="AU178" s="26">
        <f>IF(G178="","",IF(AB178="Siparişinizin Montajı Yapıldı","Evet","Hayır"))</f>
        <v/>
      </c>
      <c r="AV178" s="27">
        <f>IF(G178="","",IF(AT178="Evet",AR178,IF(AU178="Evet",AP178,"")))</f>
        <v/>
      </c>
    </row>
    <row r="179">
      <c r="A179" s="23" t="n"/>
      <c r="B179" s="23" t="n"/>
      <c r="C179" s="23" t="n"/>
      <c r="D179" s="23" t="n"/>
      <c r="E179" s="23" t="n"/>
      <c r="F179" s="23" t="n"/>
      <c r="G179" s="23" t="n"/>
      <c r="H179" s="23" t="n"/>
      <c r="I179" s="23" t="n"/>
      <c r="J179" s="23" t="n"/>
      <c r="K179" s="23" t="n"/>
      <c r="L179" s="23" t="n"/>
      <c r="M179" s="23" t="n"/>
      <c r="N179" s="23" t="n"/>
      <c r="O179" s="23" t="n"/>
      <c r="P179" s="23" t="n"/>
      <c r="Q179" s="23" t="n"/>
      <c r="R179" s="23" t="n"/>
      <c r="S179" s="23" t="n"/>
      <c r="T179" s="23" t="n"/>
      <c r="U179" s="23" t="n"/>
      <c r="V179" s="23" t="n"/>
      <c r="W179" s="23" t="n"/>
      <c r="X179" s="23" t="n"/>
      <c r="Y179" s="23" t="n"/>
      <c r="Z179" s="23" t="n"/>
      <c r="AA179" s="23" t="n"/>
      <c r="AB179" s="23" t="n"/>
      <c r="AC179" s="23" t="n"/>
      <c r="AD179" s="23" t="n"/>
      <c r="AE179" s="23" t="n"/>
      <c r="AF179" s="23" t="n"/>
      <c r="AG179" s="23" t="n"/>
      <c r="AH179" s="23" t="n"/>
      <c r="AI179" s="23" t="n"/>
      <c r="AJ179" s="23" t="n"/>
      <c r="AK179" s="23" t="n"/>
      <c r="AL179" s="23" t="n"/>
      <c r="AM179" s="26">
        <f>IF(G179="","",G179&amp;"|"&amp;P179)</f>
        <v/>
      </c>
      <c r="AN179" s="27">
        <f>IF(I179="","",IFERROR(DATE(VALUE(RIGHT(I179,4)),VALUE(MID(I179,4,2)),VALUE(LEFT(I179,2))),""))</f>
        <v/>
      </c>
      <c r="AO179" s="27">
        <f>IF(Y179="","",IFERROR(DATE(VALUE(RIGHT(Y179,4)),VALUE(MID(Y179,4,2)),VALUE(LEFT(Y179,2))),""))</f>
        <v/>
      </c>
      <c r="AP179" s="27">
        <f>IF(AC179="","",IFERROR(DATE(VALUE(RIGHT(AC179,4)),VALUE(MID(AC179,4,2)),VALUE(LEFT(AC179,2))),""))</f>
        <v/>
      </c>
      <c r="AQ179" s="26">
        <f>IF(AI179="","",TRIM(LEFT(AI179,FIND(" ",AI179&amp;" ")-1)))</f>
        <v/>
      </c>
      <c r="AR179" s="27">
        <f>IF(AQ179="","",IFERROR(DATE(VALUE(MID(AQ179,FIND("/",AQ179,FIND("/",AQ179)+1)+1,4)),VALUE(LEFT(AQ179,FIND("/",AQ179)-1)),VALUE(MID(AQ179,FIND("/",AQ179)+1,FIND("/",AQ179,FIND("/",AQ179)+1)-FIND("/",AQ179)-1))),""))</f>
        <v/>
      </c>
      <c r="AS179" s="26">
        <f>IF(G179="","",IF(AND(AG179&lt;&gt;"",AG179&lt;&gt;"Bayi Aracı"),"Evet","Hayır"))</f>
        <v/>
      </c>
      <c r="AT179" s="26">
        <f>IF(G179="","",IF(AND(AS179="Evet",T179="Siparişiniz Teslim Edildi"),"Evet","Hayır"))</f>
        <v/>
      </c>
      <c r="AU179" s="26">
        <f>IF(G179="","",IF(AB179="Siparişinizin Montajı Yapıldı","Evet","Hayır"))</f>
        <v/>
      </c>
      <c r="AV179" s="27">
        <f>IF(G179="","",IF(AT179="Evet",AR179,IF(AU179="Evet",AP179,"")))</f>
        <v/>
      </c>
    </row>
    <row r="180">
      <c r="A180" s="23" t="n"/>
      <c r="B180" s="23" t="n"/>
      <c r="C180" s="23" t="n"/>
      <c r="D180" s="23" t="n"/>
      <c r="E180" s="23" t="n"/>
      <c r="F180" s="23" t="n"/>
      <c r="G180" s="23" t="n"/>
      <c r="H180" s="23" t="n"/>
      <c r="I180" s="23" t="n"/>
      <c r="J180" s="23" t="n"/>
      <c r="K180" s="23" t="n"/>
      <c r="L180" s="23" t="n"/>
      <c r="M180" s="23" t="n"/>
      <c r="N180" s="23" t="n"/>
      <c r="O180" s="23" t="n"/>
      <c r="P180" s="23" t="n"/>
      <c r="Q180" s="23" t="n"/>
      <c r="R180" s="23" t="n"/>
      <c r="S180" s="23" t="n"/>
      <c r="T180" s="23" t="n"/>
      <c r="U180" s="23" t="n"/>
      <c r="V180" s="23" t="n"/>
      <c r="W180" s="23" t="n"/>
      <c r="X180" s="23" t="n"/>
      <c r="Y180" s="23" t="n"/>
      <c r="Z180" s="23" t="n"/>
      <c r="AA180" s="23" t="n"/>
      <c r="AB180" s="23" t="n"/>
      <c r="AC180" s="23" t="n"/>
      <c r="AD180" s="23" t="n"/>
      <c r="AE180" s="23" t="n"/>
      <c r="AF180" s="23" t="n"/>
      <c r="AG180" s="23" t="n"/>
      <c r="AH180" s="23" t="n"/>
      <c r="AI180" s="23" t="n"/>
      <c r="AJ180" s="23" t="n"/>
      <c r="AK180" s="23" t="n"/>
      <c r="AL180" s="23" t="n"/>
      <c r="AM180" s="26">
        <f>IF(G180="","",G180&amp;"|"&amp;P180)</f>
        <v/>
      </c>
      <c r="AN180" s="27">
        <f>IF(I180="","",IFERROR(DATE(VALUE(RIGHT(I180,4)),VALUE(MID(I180,4,2)),VALUE(LEFT(I180,2))),""))</f>
        <v/>
      </c>
      <c r="AO180" s="27">
        <f>IF(Y180="","",IFERROR(DATE(VALUE(RIGHT(Y180,4)),VALUE(MID(Y180,4,2)),VALUE(LEFT(Y180,2))),""))</f>
        <v/>
      </c>
      <c r="AP180" s="27">
        <f>IF(AC180="","",IFERROR(DATE(VALUE(RIGHT(AC180,4)),VALUE(MID(AC180,4,2)),VALUE(LEFT(AC180,2))),""))</f>
        <v/>
      </c>
      <c r="AQ180" s="26">
        <f>IF(AI180="","",TRIM(LEFT(AI180,FIND(" ",AI180&amp;" ")-1)))</f>
        <v/>
      </c>
      <c r="AR180" s="27">
        <f>IF(AQ180="","",IFERROR(DATE(VALUE(MID(AQ180,FIND("/",AQ180,FIND("/",AQ180)+1)+1,4)),VALUE(LEFT(AQ180,FIND("/",AQ180)-1)),VALUE(MID(AQ180,FIND("/",AQ180)+1,FIND("/",AQ180,FIND("/",AQ180)+1)-FIND("/",AQ180)-1))),""))</f>
        <v/>
      </c>
      <c r="AS180" s="26">
        <f>IF(G180="","",IF(AND(AG180&lt;&gt;"",AG180&lt;&gt;"Bayi Aracı"),"Evet","Hayır"))</f>
        <v/>
      </c>
      <c r="AT180" s="26">
        <f>IF(G180="","",IF(AND(AS180="Evet",T180="Siparişiniz Teslim Edildi"),"Evet","Hayır"))</f>
        <v/>
      </c>
      <c r="AU180" s="26">
        <f>IF(G180="","",IF(AB180="Siparişinizin Montajı Yapıldı","Evet","Hayır"))</f>
        <v/>
      </c>
      <c r="AV180" s="27">
        <f>IF(G180="","",IF(AT180="Evet",AR180,IF(AU180="Evet",AP180,"")))</f>
        <v/>
      </c>
    </row>
    <row r="181">
      <c r="A181" s="23" t="n"/>
      <c r="B181" s="23" t="n"/>
      <c r="C181" s="23" t="n"/>
      <c r="D181" s="23" t="n"/>
      <c r="E181" s="23" t="n"/>
      <c r="F181" s="23" t="n"/>
      <c r="G181" s="23" t="n"/>
      <c r="H181" s="23" t="n"/>
      <c r="I181" s="23" t="n"/>
      <c r="J181" s="23" t="n"/>
      <c r="K181" s="23" t="n"/>
      <c r="L181" s="23" t="n"/>
      <c r="M181" s="23" t="n"/>
      <c r="N181" s="23" t="n"/>
      <c r="O181" s="23" t="n"/>
      <c r="P181" s="23" t="n"/>
      <c r="Q181" s="23" t="n"/>
      <c r="R181" s="23" t="n"/>
      <c r="S181" s="23" t="n"/>
      <c r="T181" s="23" t="n"/>
      <c r="U181" s="23" t="n"/>
      <c r="V181" s="23" t="n"/>
      <c r="W181" s="23" t="n"/>
      <c r="X181" s="23" t="n"/>
      <c r="Y181" s="23" t="n"/>
      <c r="Z181" s="23" t="n"/>
      <c r="AA181" s="23" t="n"/>
      <c r="AB181" s="23" t="n"/>
      <c r="AC181" s="23" t="n"/>
      <c r="AD181" s="23" t="n"/>
      <c r="AE181" s="23" t="n"/>
      <c r="AF181" s="23" t="n"/>
      <c r="AG181" s="23" t="n"/>
      <c r="AH181" s="23" t="n"/>
      <c r="AI181" s="23" t="n"/>
      <c r="AJ181" s="23" t="n"/>
      <c r="AK181" s="23" t="n"/>
      <c r="AL181" s="23" t="n"/>
      <c r="AM181" s="26">
        <f>IF(G181="","",G181&amp;"|"&amp;P181)</f>
        <v/>
      </c>
      <c r="AN181" s="27">
        <f>IF(I181="","",IFERROR(DATE(VALUE(RIGHT(I181,4)),VALUE(MID(I181,4,2)),VALUE(LEFT(I181,2))),""))</f>
        <v/>
      </c>
      <c r="AO181" s="27">
        <f>IF(Y181="","",IFERROR(DATE(VALUE(RIGHT(Y181,4)),VALUE(MID(Y181,4,2)),VALUE(LEFT(Y181,2))),""))</f>
        <v/>
      </c>
      <c r="AP181" s="27">
        <f>IF(AC181="","",IFERROR(DATE(VALUE(RIGHT(AC181,4)),VALUE(MID(AC181,4,2)),VALUE(LEFT(AC181,2))),""))</f>
        <v/>
      </c>
      <c r="AQ181" s="26">
        <f>IF(AI181="","",TRIM(LEFT(AI181,FIND(" ",AI181&amp;" ")-1)))</f>
        <v/>
      </c>
      <c r="AR181" s="27">
        <f>IF(AQ181="","",IFERROR(DATE(VALUE(MID(AQ181,FIND("/",AQ181,FIND("/",AQ181)+1)+1,4)),VALUE(LEFT(AQ181,FIND("/",AQ181)-1)),VALUE(MID(AQ181,FIND("/",AQ181)+1,FIND("/",AQ181,FIND("/",AQ181)+1)-FIND("/",AQ181)-1))),""))</f>
        <v/>
      </c>
      <c r="AS181" s="26">
        <f>IF(G181="","",IF(AND(AG181&lt;&gt;"",AG181&lt;&gt;"Bayi Aracı"),"Evet","Hayır"))</f>
        <v/>
      </c>
      <c r="AT181" s="26">
        <f>IF(G181="","",IF(AND(AS181="Evet",T181="Siparişiniz Teslim Edildi"),"Evet","Hayır"))</f>
        <v/>
      </c>
      <c r="AU181" s="26">
        <f>IF(G181="","",IF(AB181="Siparişinizin Montajı Yapıldı","Evet","Hayır"))</f>
        <v/>
      </c>
      <c r="AV181" s="27">
        <f>IF(G181="","",IF(AT181="Evet",AR181,IF(AU181="Evet",AP181,"")))</f>
        <v/>
      </c>
    </row>
    <row r="182">
      <c r="A182" s="23" t="n"/>
      <c r="B182" s="23" t="n"/>
      <c r="C182" s="23" t="n"/>
      <c r="D182" s="23" t="n"/>
      <c r="E182" s="23" t="n"/>
      <c r="F182" s="23" t="n"/>
      <c r="G182" s="23" t="n"/>
      <c r="H182" s="23" t="n"/>
      <c r="I182" s="23" t="n"/>
      <c r="J182" s="23" t="n"/>
      <c r="K182" s="23" t="n"/>
      <c r="L182" s="23" t="n"/>
      <c r="M182" s="23" t="n"/>
      <c r="N182" s="23" t="n"/>
      <c r="O182" s="23" t="n"/>
      <c r="P182" s="23" t="n"/>
      <c r="Q182" s="23" t="n"/>
      <c r="R182" s="23" t="n"/>
      <c r="S182" s="23" t="n"/>
      <c r="T182" s="23" t="n"/>
      <c r="U182" s="23" t="n"/>
      <c r="V182" s="23" t="n"/>
      <c r="W182" s="23" t="n"/>
      <c r="X182" s="23" t="n"/>
      <c r="Y182" s="23" t="n"/>
      <c r="Z182" s="23" t="n"/>
      <c r="AA182" s="23" t="n"/>
      <c r="AB182" s="23" t="n"/>
      <c r="AC182" s="23" t="n"/>
      <c r="AD182" s="23" t="n"/>
      <c r="AE182" s="23" t="n"/>
      <c r="AF182" s="23" t="n"/>
      <c r="AG182" s="23" t="n"/>
      <c r="AH182" s="23" t="n"/>
      <c r="AI182" s="23" t="n"/>
      <c r="AJ182" s="23" t="n"/>
      <c r="AK182" s="23" t="n"/>
      <c r="AL182" s="23" t="n"/>
      <c r="AM182" s="26">
        <f>IF(G182="","",G182&amp;"|"&amp;P182)</f>
        <v/>
      </c>
      <c r="AN182" s="27">
        <f>IF(I182="","",IFERROR(DATE(VALUE(RIGHT(I182,4)),VALUE(MID(I182,4,2)),VALUE(LEFT(I182,2))),""))</f>
        <v/>
      </c>
      <c r="AO182" s="27">
        <f>IF(Y182="","",IFERROR(DATE(VALUE(RIGHT(Y182,4)),VALUE(MID(Y182,4,2)),VALUE(LEFT(Y182,2))),""))</f>
        <v/>
      </c>
      <c r="AP182" s="27">
        <f>IF(AC182="","",IFERROR(DATE(VALUE(RIGHT(AC182,4)),VALUE(MID(AC182,4,2)),VALUE(LEFT(AC182,2))),""))</f>
        <v/>
      </c>
      <c r="AQ182" s="26">
        <f>IF(AI182="","",TRIM(LEFT(AI182,FIND(" ",AI182&amp;" ")-1)))</f>
        <v/>
      </c>
      <c r="AR182" s="27">
        <f>IF(AQ182="","",IFERROR(DATE(VALUE(MID(AQ182,FIND("/",AQ182,FIND("/",AQ182)+1)+1,4)),VALUE(LEFT(AQ182,FIND("/",AQ182)-1)),VALUE(MID(AQ182,FIND("/",AQ182)+1,FIND("/",AQ182,FIND("/",AQ182)+1)-FIND("/",AQ182)-1))),""))</f>
        <v/>
      </c>
      <c r="AS182" s="26">
        <f>IF(G182="","",IF(AND(AG182&lt;&gt;"",AG182&lt;&gt;"Bayi Aracı"),"Evet","Hayır"))</f>
        <v/>
      </c>
      <c r="AT182" s="26">
        <f>IF(G182="","",IF(AND(AS182="Evet",T182="Siparişiniz Teslim Edildi"),"Evet","Hayır"))</f>
        <v/>
      </c>
      <c r="AU182" s="26">
        <f>IF(G182="","",IF(AB182="Siparişinizin Montajı Yapıldı","Evet","Hayır"))</f>
        <v/>
      </c>
      <c r="AV182" s="27">
        <f>IF(G182="","",IF(AT182="Evet",AR182,IF(AU182="Evet",AP182,"")))</f>
        <v/>
      </c>
    </row>
    <row r="183">
      <c r="A183" s="23" t="n"/>
      <c r="B183" s="23" t="n"/>
      <c r="C183" s="23" t="n"/>
      <c r="D183" s="23" t="n"/>
      <c r="E183" s="23" t="n"/>
      <c r="F183" s="23" t="n"/>
      <c r="G183" s="23" t="n"/>
      <c r="H183" s="23" t="n"/>
      <c r="I183" s="23" t="n"/>
      <c r="J183" s="23" t="n"/>
      <c r="K183" s="23" t="n"/>
      <c r="L183" s="23" t="n"/>
      <c r="M183" s="23" t="n"/>
      <c r="N183" s="23" t="n"/>
      <c r="O183" s="23" t="n"/>
      <c r="P183" s="23" t="n"/>
      <c r="Q183" s="23" t="n"/>
      <c r="R183" s="23" t="n"/>
      <c r="S183" s="23" t="n"/>
      <c r="T183" s="23" t="n"/>
      <c r="U183" s="23" t="n"/>
      <c r="V183" s="23" t="n"/>
      <c r="W183" s="23" t="n"/>
      <c r="X183" s="23" t="n"/>
      <c r="Y183" s="23" t="n"/>
      <c r="Z183" s="23" t="n"/>
      <c r="AA183" s="23" t="n"/>
      <c r="AB183" s="23" t="n"/>
      <c r="AC183" s="23" t="n"/>
      <c r="AD183" s="23" t="n"/>
      <c r="AE183" s="23" t="n"/>
      <c r="AF183" s="23" t="n"/>
      <c r="AG183" s="23" t="n"/>
      <c r="AH183" s="23" t="n"/>
      <c r="AI183" s="23" t="n"/>
      <c r="AJ183" s="23" t="n"/>
      <c r="AK183" s="23" t="n"/>
      <c r="AL183" s="23" t="n"/>
      <c r="AM183" s="26">
        <f>IF(G183="","",G183&amp;"|"&amp;P183)</f>
        <v/>
      </c>
      <c r="AN183" s="27">
        <f>IF(I183="","",IFERROR(DATE(VALUE(RIGHT(I183,4)),VALUE(MID(I183,4,2)),VALUE(LEFT(I183,2))),""))</f>
        <v/>
      </c>
      <c r="AO183" s="27">
        <f>IF(Y183="","",IFERROR(DATE(VALUE(RIGHT(Y183,4)),VALUE(MID(Y183,4,2)),VALUE(LEFT(Y183,2))),""))</f>
        <v/>
      </c>
      <c r="AP183" s="27">
        <f>IF(AC183="","",IFERROR(DATE(VALUE(RIGHT(AC183,4)),VALUE(MID(AC183,4,2)),VALUE(LEFT(AC183,2))),""))</f>
        <v/>
      </c>
      <c r="AQ183" s="26">
        <f>IF(AI183="","",TRIM(LEFT(AI183,FIND(" ",AI183&amp;" ")-1)))</f>
        <v/>
      </c>
      <c r="AR183" s="27">
        <f>IF(AQ183="","",IFERROR(DATE(VALUE(MID(AQ183,FIND("/",AQ183,FIND("/",AQ183)+1)+1,4)),VALUE(LEFT(AQ183,FIND("/",AQ183)-1)),VALUE(MID(AQ183,FIND("/",AQ183)+1,FIND("/",AQ183,FIND("/",AQ183)+1)-FIND("/",AQ183)-1))),""))</f>
        <v/>
      </c>
      <c r="AS183" s="26">
        <f>IF(G183="","",IF(AND(AG183&lt;&gt;"",AG183&lt;&gt;"Bayi Aracı"),"Evet","Hayır"))</f>
        <v/>
      </c>
      <c r="AT183" s="26">
        <f>IF(G183="","",IF(AND(AS183="Evet",T183="Siparişiniz Teslim Edildi"),"Evet","Hayır"))</f>
        <v/>
      </c>
      <c r="AU183" s="26">
        <f>IF(G183="","",IF(AB183="Siparişinizin Montajı Yapıldı","Evet","Hayır"))</f>
        <v/>
      </c>
      <c r="AV183" s="27">
        <f>IF(G183="","",IF(AT183="Evet",AR183,IF(AU183="Evet",AP183,"")))</f>
        <v/>
      </c>
    </row>
    <row r="184">
      <c r="A184" s="23" t="n"/>
      <c r="B184" s="23" t="n"/>
      <c r="C184" s="23" t="n"/>
      <c r="D184" s="23" t="n"/>
      <c r="E184" s="23" t="n"/>
      <c r="F184" s="23" t="n"/>
      <c r="G184" s="23" t="n"/>
      <c r="H184" s="23" t="n"/>
      <c r="I184" s="23" t="n"/>
      <c r="J184" s="23" t="n"/>
      <c r="K184" s="23" t="n"/>
      <c r="L184" s="23" t="n"/>
      <c r="M184" s="23" t="n"/>
      <c r="N184" s="23" t="n"/>
      <c r="O184" s="23" t="n"/>
      <c r="P184" s="23" t="n"/>
      <c r="Q184" s="23" t="n"/>
      <c r="R184" s="23" t="n"/>
      <c r="S184" s="23" t="n"/>
      <c r="T184" s="23" t="n"/>
      <c r="U184" s="23" t="n"/>
      <c r="V184" s="23" t="n"/>
      <c r="W184" s="23" t="n"/>
      <c r="X184" s="23" t="n"/>
      <c r="Y184" s="23" t="n"/>
      <c r="Z184" s="23" t="n"/>
      <c r="AA184" s="23" t="n"/>
      <c r="AB184" s="23" t="n"/>
      <c r="AC184" s="23" t="n"/>
      <c r="AD184" s="23" t="n"/>
      <c r="AE184" s="23" t="n"/>
      <c r="AF184" s="23" t="n"/>
      <c r="AG184" s="23" t="n"/>
      <c r="AH184" s="23" t="n"/>
      <c r="AI184" s="23" t="n"/>
      <c r="AJ184" s="23" t="n"/>
      <c r="AK184" s="23" t="n"/>
      <c r="AL184" s="23" t="n"/>
      <c r="AM184" s="26">
        <f>IF(G184="","",G184&amp;"|"&amp;P184)</f>
        <v/>
      </c>
      <c r="AN184" s="27">
        <f>IF(I184="","",IFERROR(DATE(VALUE(RIGHT(I184,4)),VALUE(MID(I184,4,2)),VALUE(LEFT(I184,2))),""))</f>
        <v/>
      </c>
      <c r="AO184" s="27">
        <f>IF(Y184="","",IFERROR(DATE(VALUE(RIGHT(Y184,4)),VALUE(MID(Y184,4,2)),VALUE(LEFT(Y184,2))),""))</f>
        <v/>
      </c>
      <c r="AP184" s="27">
        <f>IF(AC184="","",IFERROR(DATE(VALUE(RIGHT(AC184,4)),VALUE(MID(AC184,4,2)),VALUE(LEFT(AC184,2))),""))</f>
        <v/>
      </c>
      <c r="AQ184" s="26">
        <f>IF(AI184="","",TRIM(LEFT(AI184,FIND(" ",AI184&amp;" ")-1)))</f>
        <v/>
      </c>
      <c r="AR184" s="27">
        <f>IF(AQ184="","",IFERROR(DATE(VALUE(MID(AQ184,FIND("/",AQ184,FIND("/",AQ184)+1)+1,4)),VALUE(LEFT(AQ184,FIND("/",AQ184)-1)),VALUE(MID(AQ184,FIND("/",AQ184)+1,FIND("/",AQ184,FIND("/",AQ184)+1)-FIND("/",AQ184)-1))),""))</f>
        <v/>
      </c>
      <c r="AS184" s="26">
        <f>IF(G184="","",IF(AND(AG184&lt;&gt;"",AG184&lt;&gt;"Bayi Aracı"),"Evet","Hayır"))</f>
        <v/>
      </c>
      <c r="AT184" s="26">
        <f>IF(G184="","",IF(AND(AS184="Evet",T184="Siparişiniz Teslim Edildi"),"Evet","Hayır"))</f>
        <v/>
      </c>
      <c r="AU184" s="26">
        <f>IF(G184="","",IF(AB184="Siparişinizin Montajı Yapıldı","Evet","Hayır"))</f>
        <v/>
      </c>
      <c r="AV184" s="27">
        <f>IF(G184="","",IF(AT184="Evet",AR184,IF(AU184="Evet",AP184,"")))</f>
        <v/>
      </c>
    </row>
    <row r="185">
      <c r="A185" s="23" t="n"/>
      <c r="B185" s="23" t="n"/>
      <c r="C185" s="23" t="n"/>
      <c r="D185" s="23" t="n"/>
      <c r="E185" s="23" t="n"/>
      <c r="F185" s="23" t="n"/>
      <c r="G185" s="23" t="n"/>
      <c r="H185" s="23" t="n"/>
      <c r="I185" s="23" t="n"/>
      <c r="J185" s="23" t="n"/>
      <c r="K185" s="23" t="n"/>
      <c r="L185" s="23" t="n"/>
      <c r="M185" s="23" t="n"/>
      <c r="N185" s="23" t="n"/>
      <c r="O185" s="23" t="n"/>
      <c r="P185" s="23" t="n"/>
      <c r="Q185" s="23" t="n"/>
      <c r="R185" s="23" t="n"/>
      <c r="S185" s="23" t="n"/>
      <c r="T185" s="23" t="n"/>
      <c r="U185" s="23" t="n"/>
      <c r="V185" s="23" t="n"/>
      <c r="W185" s="23" t="n"/>
      <c r="X185" s="23" t="n"/>
      <c r="Y185" s="23" t="n"/>
      <c r="Z185" s="23" t="n"/>
      <c r="AA185" s="23" t="n"/>
      <c r="AB185" s="23" t="n"/>
      <c r="AC185" s="23" t="n"/>
      <c r="AD185" s="23" t="n"/>
      <c r="AE185" s="23" t="n"/>
      <c r="AF185" s="23" t="n"/>
      <c r="AG185" s="23" t="n"/>
      <c r="AH185" s="23" t="n"/>
      <c r="AI185" s="23" t="n"/>
      <c r="AJ185" s="23" t="n"/>
      <c r="AK185" s="23" t="n"/>
      <c r="AL185" s="23" t="n"/>
      <c r="AM185" s="26">
        <f>IF(G185="","",G185&amp;"|"&amp;P185)</f>
        <v/>
      </c>
      <c r="AN185" s="27">
        <f>IF(I185="","",IFERROR(DATE(VALUE(RIGHT(I185,4)),VALUE(MID(I185,4,2)),VALUE(LEFT(I185,2))),""))</f>
        <v/>
      </c>
      <c r="AO185" s="27">
        <f>IF(Y185="","",IFERROR(DATE(VALUE(RIGHT(Y185,4)),VALUE(MID(Y185,4,2)),VALUE(LEFT(Y185,2))),""))</f>
        <v/>
      </c>
      <c r="AP185" s="27">
        <f>IF(AC185="","",IFERROR(DATE(VALUE(RIGHT(AC185,4)),VALUE(MID(AC185,4,2)),VALUE(LEFT(AC185,2))),""))</f>
        <v/>
      </c>
      <c r="AQ185" s="26">
        <f>IF(AI185="","",TRIM(LEFT(AI185,FIND(" ",AI185&amp;" ")-1)))</f>
        <v/>
      </c>
      <c r="AR185" s="27">
        <f>IF(AQ185="","",IFERROR(DATE(VALUE(MID(AQ185,FIND("/",AQ185,FIND("/",AQ185)+1)+1,4)),VALUE(LEFT(AQ185,FIND("/",AQ185)-1)),VALUE(MID(AQ185,FIND("/",AQ185)+1,FIND("/",AQ185,FIND("/",AQ185)+1)-FIND("/",AQ185)-1))),""))</f>
        <v/>
      </c>
      <c r="AS185" s="26">
        <f>IF(G185="","",IF(AND(AG185&lt;&gt;"",AG185&lt;&gt;"Bayi Aracı"),"Evet","Hayır"))</f>
        <v/>
      </c>
      <c r="AT185" s="26">
        <f>IF(G185="","",IF(AND(AS185="Evet",T185="Siparişiniz Teslim Edildi"),"Evet","Hayır"))</f>
        <v/>
      </c>
      <c r="AU185" s="26">
        <f>IF(G185="","",IF(AB185="Siparişinizin Montajı Yapıldı","Evet","Hayır"))</f>
        <v/>
      </c>
      <c r="AV185" s="27">
        <f>IF(G185="","",IF(AT185="Evet",AR185,IF(AU185="Evet",AP185,"")))</f>
        <v/>
      </c>
    </row>
    <row r="186">
      <c r="A186" s="23" t="n"/>
      <c r="B186" s="23" t="n"/>
      <c r="C186" s="23" t="n"/>
      <c r="D186" s="23" t="n"/>
      <c r="E186" s="23" t="n"/>
      <c r="F186" s="23" t="n"/>
      <c r="G186" s="23" t="n"/>
      <c r="H186" s="23" t="n"/>
      <c r="I186" s="23" t="n"/>
      <c r="J186" s="23" t="n"/>
      <c r="K186" s="23" t="n"/>
      <c r="L186" s="23" t="n"/>
      <c r="M186" s="23" t="n"/>
      <c r="N186" s="23" t="n"/>
      <c r="O186" s="23" t="n"/>
      <c r="P186" s="23" t="n"/>
      <c r="Q186" s="23" t="n"/>
      <c r="R186" s="23" t="n"/>
      <c r="S186" s="23" t="n"/>
      <c r="T186" s="23" t="n"/>
      <c r="U186" s="23" t="n"/>
      <c r="V186" s="23" t="n"/>
      <c r="W186" s="23" t="n"/>
      <c r="X186" s="23" t="n"/>
      <c r="Y186" s="23" t="n"/>
      <c r="Z186" s="23" t="n"/>
      <c r="AA186" s="23" t="n"/>
      <c r="AB186" s="23" t="n"/>
      <c r="AC186" s="23" t="n"/>
      <c r="AD186" s="23" t="n"/>
      <c r="AE186" s="23" t="n"/>
      <c r="AF186" s="23" t="n"/>
      <c r="AG186" s="23" t="n"/>
      <c r="AH186" s="23" t="n"/>
      <c r="AI186" s="23" t="n"/>
      <c r="AJ186" s="23" t="n"/>
      <c r="AK186" s="23" t="n"/>
      <c r="AL186" s="23" t="n"/>
      <c r="AM186" s="26">
        <f>IF(G186="","",G186&amp;"|"&amp;P186)</f>
        <v/>
      </c>
      <c r="AN186" s="27">
        <f>IF(I186="","",IFERROR(DATE(VALUE(RIGHT(I186,4)),VALUE(MID(I186,4,2)),VALUE(LEFT(I186,2))),""))</f>
        <v/>
      </c>
      <c r="AO186" s="27">
        <f>IF(Y186="","",IFERROR(DATE(VALUE(RIGHT(Y186,4)),VALUE(MID(Y186,4,2)),VALUE(LEFT(Y186,2))),""))</f>
        <v/>
      </c>
      <c r="AP186" s="27">
        <f>IF(AC186="","",IFERROR(DATE(VALUE(RIGHT(AC186,4)),VALUE(MID(AC186,4,2)),VALUE(LEFT(AC186,2))),""))</f>
        <v/>
      </c>
      <c r="AQ186" s="26">
        <f>IF(AI186="","",TRIM(LEFT(AI186,FIND(" ",AI186&amp;" ")-1)))</f>
        <v/>
      </c>
      <c r="AR186" s="27">
        <f>IF(AQ186="","",IFERROR(DATE(VALUE(MID(AQ186,FIND("/",AQ186,FIND("/",AQ186)+1)+1,4)),VALUE(LEFT(AQ186,FIND("/",AQ186)-1)),VALUE(MID(AQ186,FIND("/",AQ186)+1,FIND("/",AQ186,FIND("/",AQ186)+1)-FIND("/",AQ186)-1))),""))</f>
        <v/>
      </c>
      <c r="AS186" s="26">
        <f>IF(G186="","",IF(AND(AG186&lt;&gt;"",AG186&lt;&gt;"Bayi Aracı"),"Evet","Hayır"))</f>
        <v/>
      </c>
      <c r="AT186" s="26">
        <f>IF(G186="","",IF(AND(AS186="Evet",T186="Siparişiniz Teslim Edildi"),"Evet","Hayır"))</f>
        <v/>
      </c>
      <c r="AU186" s="26">
        <f>IF(G186="","",IF(AB186="Siparişinizin Montajı Yapıldı","Evet","Hayır"))</f>
        <v/>
      </c>
      <c r="AV186" s="27">
        <f>IF(G186="","",IF(AT186="Evet",AR186,IF(AU186="Evet",AP186,"")))</f>
        <v/>
      </c>
    </row>
    <row r="187">
      <c r="A187" s="23" t="n"/>
      <c r="B187" s="23" t="n"/>
      <c r="C187" s="23" t="n"/>
      <c r="D187" s="23" t="n"/>
      <c r="E187" s="23" t="n"/>
      <c r="F187" s="23" t="n"/>
      <c r="G187" s="23" t="n"/>
      <c r="H187" s="23" t="n"/>
      <c r="I187" s="23" t="n"/>
      <c r="J187" s="23" t="n"/>
      <c r="K187" s="23" t="n"/>
      <c r="L187" s="23" t="n"/>
      <c r="M187" s="23" t="n"/>
      <c r="N187" s="23" t="n"/>
      <c r="O187" s="23" t="n"/>
      <c r="P187" s="23" t="n"/>
      <c r="Q187" s="23" t="n"/>
      <c r="R187" s="23" t="n"/>
      <c r="S187" s="23" t="n"/>
      <c r="T187" s="23" t="n"/>
      <c r="U187" s="23" t="n"/>
      <c r="V187" s="23" t="n"/>
      <c r="W187" s="23" t="n"/>
      <c r="X187" s="23" t="n"/>
      <c r="Y187" s="23" t="n"/>
      <c r="Z187" s="23" t="n"/>
      <c r="AA187" s="23" t="n"/>
      <c r="AB187" s="23" t="n"/>
      <c r="AC187" s="23" t="n"/>
      <c r="AD187" s="23" t="n"/>
      <c r="AE187" s="23" t="n"/>
      <c r="AF187" s="23" t="n"/>
      <c r="AG187" s="23" t="n"/>
      <c r="AH187" s="23" t="n"/>
      <c r="AI187" s="23" t="n"/>
      <c r="AJ187" s="23" t="n"/>
      <c r="AK187" s="23" t="n"/>
      <c r="AL187" s="23" t="n"/>
      <c r="AM187" s="26">
        <f>IF(G187="","",G187&amp;"|"&amp;P187)</f>
        <v/>
      </c>
      <c r="AN187" s="27">
        <f>IF(I187="","",IFERROR(DATE(VALUE(RIGHT(I187,4)),VALUE(MID(I187,4,2)),VALUE(LEFT(I187,2))),""))</f>
        <v/>
      </c>
      <c r="AO187" s="27">
        <f>IF(Y187="","",IFERROR(DATE(VALUE(RIGHT(Y187,4)),VALUE(MID(Y187,4,2)),VALUE(LEFT(Y187,2))),""))</f>
        <v/>
      </c>
      <c r="AP187" s="27">
        <f>IF(AC187="","",IFERROR(DATE(VALUE(RIGHT(AC187,4)),VALUE(MID(AC187,4,2)),VALUE(LEFT(AC187,2))),""))</f>
        <v/>
      </c>
      <c r="AQ187" s="26">
        <f>IF(AI187="","",TRIM(LEFT(AI187,FIND(" ",AI187&amp;" ")-1)))</f>
        <v/>
      </c>
      <c r="AR187" s="27">
        <f>IF(AQ187="","",IFERROR(DATE(VALUE(MID(AQ187,FIND("/",AQ187,FIND("/",AQ187)+1)+1,4)),VALUE(LEFT(AQ187,FIND("/",AQ187)-1)),VALUE(MID(AQ187,FIND("/",AQ187)+1,FIND("/",AQ187,FIND("/",AQ187)+1)-FIND("/",AQ187)-1))),""))</f>
        <v/>
      </c>
      <c r="AS187" s="26">
        <f>IF(G187="","",IF(AND(AG187&lt;&gt;"",AG187&lt;&gt;"Bayi Aracı"),"Evet","Hayır"))</f>
        <v/>
      </c>
      <c r="AT187" s="26">
        <f>IF(G187="","",IF(AND(AS187="Evet",T187="Siparişiniz Teslim Edildi"),"Evet","Hayır"))</f>
        <v/>
      </c>
      <c r="AU187" s="26">
        <f>IF(G187="","",IF(AB187="Siparişinizin Montajı Yapıldı","Evet","Hayır"))</f>
        <v/>
      </c>
      <c r="AV187" s="27">
        <f>IF(G187="","",IF(AT187="Evet",AR187,IF(AU187="Evet",AP187,"")))</f>
        <v/>
      </c>
    </row>
    <row r="188">
      <c r="A188" s="23" t="n"/>
      <c r="B188" s="23" t="n"/>
      <c r="C188" s="23" t="n"/>
      <c r="D188" s="23" t="n"/>
      <c r="E188" s="23" t="n"/>
      <c r="F188" s="23" t="n"/>
      <c r="G188" s="23" t="n"/>
      <c r="H188" s="23" t="n"/>
      <c r="I188" s="23" t="n"/>
      <c r="J188" s="23" t="n"/>
      <c r="K188" s="23" t="n"/>
      <c r="L188" s="23" t="n"/>
      <c r="M188" s="23" t="n"/>
      <c r="N188" s="23" t="n"/>
      <c r="O188" s="23" t="n"/>
      <c r="P188" s="23" t="n"/>
      <c r="Q188" s="23" t="n"/>
      <c r="R188" s="23" t="n"/>
      <c r="S188" s="23" t="n"/>
      <c r="T188" s="23" t="n"/>
      <c r="U188" s="23" t="n"/>
      <c r="V188" s="23" t="n"/>
      <c r="W188" s="23" t="n"/>
      <c r="X188" s="23" t="n"/>
      <c r="Y188" s="23" t="n"/>
      <c r="Z188" s="23" t="n"/>
      <c r="AA188" s="23" t="n"/>
      <c r="AB188" s="23" t="n"/>
      <c r="AC188" s="23" t="n"/>
      <c r="AD188" s="23" t="n"/>
      <c r="AE188" s="23" t="n"/>
      <c r="AF188" s="23" t="n"/>
      <c r="AG188" s="23" t="n"/>
      <c r="AH188" s="23" t="n"/>
      <c r="AI188" s="23" t="n"/>
      <c r="AJ188" s="23" t="n"/>
      <c r="AK188" s="23" t="n"/>
      <c r="AL188" s="23" t="n"/>
      <c r="AM188" s="26">
        <f>IF(G188="","",G188&amp;"|"&amp;P188)</f>
        <v/>
      </c>
      <c r="AN188" s="27">
        <f>IF(I188="","",IFERROR(DATE(VALUE(RIGHT(I188,4)),VALUE(MID(I188,4,2)),VALUE(LEFT(I188,2))),""))</f>
        <v/>
      </c>
      <c r="AO188" s="27">
        <f>IF(Y188="","",IFERROR(DATE(VALUE(RIGHT(Y188,4)),VALUE(MID(Y188,4,2)),VALUE(LEFT(Y188,2))),""))</f>
        <v/>
      </c>
      <c r="AP188" s="27">
        <f>IF(AC188="","",IFERROR(DATE(VALUE(RIGHT(AC188,4)),VALUE(MID(AC188,4,2)),VALUE(LEFT(AC188,2))),""))</f>
        <v/>
      </c>
      <c r="AQ188" s="26">
        <f>IF(AI188="","",TRIM(LEFT(AI188,FIND(" ",AI188&amp;" ")-1)))</f>
        <v/>
      </c>
      <c r="AR188" s="27">
        <f>IF(AQ188="","",IFERROR(DATE(VALUE(MID(AQ188,FIND("/",AQ188,FIND("/",AQ188)+1)+1,4)),VALUE(LEFT(AQ188,FIND("/",AQ188)-1)),VALUE(MID(AQ188,FIND("/",AQ188)+1,FIND("/",AQ188,FIND("/",AQ188)+1)-FIND("/",AQ188)-1))),""))</f>
        <v/>
      </c>
      <c r="AS188" s="26">
        <f>IF(G188="","",IF(AND(AG188&lt;&gt;"",AG188&lt;&gt;"Bayi Aracı"),"Evet","Hayır"))</f>
        <v/>
      </c>
      <c r="AT188" s="26">
        <f>IF(G188="","",IF(AND(AS188="Evet",T188="Siparişiniz Teslim Edildi"),"Evet","Hayır"))</f>
        <v/>
      </c>
      <c r="AU188" s="26">
        <f>IF(G188="","",IF(AB188="Siparişinizin Montajı Yapıldı","Evet","Hayır"))</f>
        <v/>
      </c>
      <c r="AV188" s="27">
        <f>IF(G188="","",IF(AT188="Evet",AR188,IF(AU188="Evet",AP188,"")))</f>
        <v/>
      </c>
    </row>
    <row r="189">
      <c r="A189" s="23" t="n"/>
      <c r="B189" s="23" t="n"/>
      <c r="C189" s="23" t="n"/>
      <c r="D189" s="23" t="n"/>
      <c r="E189" s="23" t="n"/>
      <c r="F189" s="23" t="n"/>
      <c r="G189" s="23" t="n"/>
      <c r="H189" s="23" t="n"/>
      <c r="I189" s="23" t="n"/>
      <c r="J189" s="23" t="n"/>
      <c r="K189" s="23" t="n"/>
      <c r="L189" s="23" t="n"/>
      <c r="M189" s="23" t="n"/>
      <c r="N189" s="23" t="n"/>
      <c r="O189" s="23" t="n"/>
      <c r="P189" s="23" t="n"/>
      <c r="Q189" s="23" t="n"/>
      <c r="R189" s="23" t="n"/>
      <c r="S189" s="23" t="n"/>
      <c r="T189" s="23" t="n"/>
      <c r="U189" s="23" t="n"/>
      <c r="V189" s="23" t="n"/>
      <c r="W189" s="23" t="n"/>
      <c r="X189" s="23" t="n"/>
      <c r="Y189" s="23" t="n"/>
      <c r="Z189" s="23" t="n"/>
      <c r="AA189" s="23" t="n"/>
      <c r="AB189" s="23" t="n"/>
      <c r="AC189" s="23" t="n"/>
      <c r="AD189" s="23" t="n"/>
      <c r="AE189" s="23" t="n"/>
      <c r="AF189" s="23" t="n"/>
      <c r="AG189" s="23" t="n"/>
      <c r="AH189" s="23" t="n"/>
      <c r="AI189" s="23" t="n"/>
      <c r="AJ189" s="23" t="n"/>
      <c r="AK189" s="23" t="n"/>
      <c r="AL189" s="23" t="n"/>
      <c r="AM189" s="26">
        <f>IF(G189="","",G189&amp;"|"&amp;P189)</f>
        <v/>
      </c>
      <c r="AN189" s="27">
        <f>IF(I189="","",IFERROR(DATE(VALUE(RIGHT(I189,4)),VALUE(MID(I189,4,2)),VALUE(LEFT(I189,2))),""))</f>
        <v/>
      </c>
      <c r="AO189" s="27">
        <f>IF(Y189="","",IFERROR(DATE(VALUE(RIGHT(Y189,4)),VALUE(MID(Y189,4,2)),VALUE(LEFT(Y189,2))),""))</f>
        <v/>
      </c>
      <c r="AP189" s="27">
        <f>IF(AC189="","",IFERROR(DATE(VALUE(RIGHT(AC189,4)),VALUE(MID(AC189,4,2)),VALUE(LEFT(AC189,2))),""))</f>
        <v/>
      </c>
      <c r="AQ189" s="26">
        <f>IF(AI189="","",TRIM(LEFT(AI189,FIND(" ",AI189&amp;" ")-1)))</f>
        <v/>
      </c>
      <c r="AR189" s="27">
        <f>IF(AQ189="","",IFERROR(DATE(VALUE(MID(AQ189,FIND("/",AQ189,FIND("/",AQ189)+1)+1,4)),VALUE(LEFT(AQ189,FIND("/",AQ189)-1)),VALUE(MID(AQ189,FIND("/",AQ189)+1,FIND("/",AQ189,FIND("/",AQ189)+1)-FIND("/",AQ189)-1))),""))</f>
        <v/>
      </c>
      <c r="AS189" s="26">
        <f>IF(G189="","",IF(AND(AG189&lt;&gt;"",AG189&lt;&gt;"Bayi Aracı"),"Evet","Hayır"))</f>
        <v/>
      </c>
      <c r="AT189" s="26">
        <f>IF(G189="","",IF(AND(AS189="Evet",T189="Siparişiniz Teslim Edildi"),"Evet","Hayır"))</f>
        <v/>
      </c>
      <c r="AU189" s="26">
        <f>IF(G189="","",IF(AB189="Siparişinizin Montajı Yapıldı","Evet","Hayır"))</f>
        <v/>
      </c>
      <c r="AV189" s="27">
        <f>IF(G189="","",IF(AT189="Evet",AR189,IF(AU189="Evet",AP189,"")))</f>
        <v/>
      </c>
    </row>
    <row r="190">
      <c r="A190" s="23" t="n"/>
      <c r="B190" s="23" t="n"/>
      <c r="C190" s="23" t="n"/>
      <c r="D190" s="23" t="n"/>
      <c r="E190" s="23" t="n"/>
      <c r="F190" s="23" t="n"/>
      <c r="G190" s="23" t="n"/>
      <c r="H190" s="23" t="n"/>
      <c r="I190" s="23" t="n"/>
      <c r="J190" s="23" t="n"/>
      <c r="K190" s="23" t="n"/>
      <c r="L190" s="23" t="n"/>
      <c r="M190" s="23" t="n"/>
      <c r="N190" s="23" t="n"/>
      <c r="O190" s="23" t="n"/>
      <c r="P190" s="23" t="n"/>
      <c r="Q190" s="23" t="n"/>
      <c r="R190" s="23" t="n"/>
      <c r="S190" s="23" t="n"/>
      <c r="T190" s="23" t="n"/>
      <c r="U190" s="23" t="n"/>
      <c r="V190" s="23" t="n"/>
      <c r="W190" s="23" t="n"/>
      <c r="X190" s="23" t="n"/>
      <c r="Y190" s="23" t="n"/>
      <c r="Z190" s="23" t="n"/>
      <c r="AA190" s="23" t="n"/>
      <c r="AB190" s="23" t="n"/>
      <c r="AC190" s="23" t="n"/>
      <c r="AD190" s="23" t="n"/>
      <c r="AE190" s="23" t="n"/>
      <c r="AF190" s="23" t="n"/>
      <c r="AG190" s="23" t="n"/>
      <c r="AH190" s="23" t="n"/>
      <c r="AI190" s="23" t="n"/>
      <c r="AJ190" s="23" t="n"/>
      <c r="AK190" s="23" t="n"/>
      <c r="AL190" s="23" t="n"/>
      <c r="AM190" s="26">
        <f>IF(G190="","",G190&amp;"|"&amp;P190)</f>
        <v/>
      </c>
      <c r="AN190" s="27">
        <f>IF(I190="","",IFERROR(DATE(VALUE(RIGHT(I190,4)),VALUE(MID(I190,4,2)),VALUE(LEFT(I190,2))),""))</f>
        <v/>
      </c>
      <c r="AO190" s="27">
        <f>IF(Y190="","",IFERROR(DATE(VALUE(RIGHT(Y190,4)),VALUE(MID(Y190,4,2)),VALUE(LEFT(Y190,2))),""))</f>
        <v/>
      </c>
      <c r="AP190" s="27">
        <f>IF(AC190="","",IFERROR(DATE(VALUE(RIGHT(AC190,4)),VALUE(MID(AC190,4,2)),VALUE(LEFT(AC190,2))),""))</f>
        <v/>
      </c>
      <c r="AQ190" s="26">
        <f>IF(AI190="","",TRIM(LEFT(AI190,FIND(" ",AI190&amp;" ")-1)))</f>
        <v/>
      </c>
      <c r="AR190" s="27">
        <f>IF(AQ190="","",IFERROR(DATE(VALUE(MID(AQ190,FIND("/",AQ190,FIND("/",AQ190)+1)+1,4)),VALUE(LEFT(AQ190,FIND("/",AQ190)-1)),VALUE(MID(AQ190,FIND("/",AQ190)+1,FIND("/",AQ190,FIND("/",AQ190)+1)-FIND("/",AQ190)-1))),""))</f>
        <v/>
      </c>
      <c r="AS190" s="26">
        <f>IF(G190="","",IF(AND(AG190&lt;&gt;"",AG190&lt;&gt;"Bayi Aracı"),"Evet","Hayır"))</f>
        <v/>
      </c>
      <c r="AT190" s="26">
        <f>IF(G190="","",IF(AND(AS190="Evet",T190="Siparişiniz Teslim Edildi"),"Evet","Hayır"))</f>
        <v/>
      </c>
      <c r="AU190" s="26">
        <f>IF(G190="","",IF(AB190="Siparişinizin Montajı Yapıldı","Evet","Hayır"))</f>
        <v/>
      </c>
      <c r="AV190" s="27">
        <f>IF(G190="","",IF(AT190="Evet",AR190,IF(AU190="Evet",AP190,"")))</f>
        <v/>
      </c>
    </row>
    <row r="191">
      <c r="A191" s="23" t="n"/>
      <c r="B191" s="23" t="n"/>
      <c r="C191" s="23" t="n"/>
      <c r="D191" s="23" t="n"/>
      <c r="E191" s="23" t="n"/>
      <c r="F191" s="23" t="n"/>
      <c r="G191" s="23" t="n"/>
      <c r="H191" s="23" t="n"/>
      <c r="I191" s="23" t="n"/>
      <c r="J191" s="23" t="n"/>
      <c r="K191" s="23" t="n"/>
      <c r="L191" s="23" t="n"/>
      <c r="M191" s="23" t="n"/>
      <c r="N191" s="23" t="n"/>
      <c r="O191" s="23" t="n"/>
      <c r="P191" s="23" t="n"/>
      <c r="Q191" s="23" t="n"/>
      <c r="R191" s="23" t="n"/>
      <c r="S191" s="23" t="n"/>
      <c r="T191" s="23" t="n"/>
      <c r="U191" s="23" t="n"/>
      <c r="V191" s="23" t="n"/>
      <c r="W191" s="23" t="n"/>
      <c r="X191" s="23" t="n"/>
      <c r="Y191" s="23" t="n"/>
      <c r="Z191" s="23" t="n"/>
      <c r="AA191" s="23" t="n"/>
      <c r="AB191" s="23" t="n"/>
      <c r="AC191" s="23" t="n"/>
      <c r="AD191" s="23" t="n"/>
      <c r="AE191" s="23" t="n"/>
      <c r="AF191" s="23" t="n"/>
      <c r="AG191" s="23" t="n"/>
      <c r="AH191" s="23" t="n"/>
      <c r="AI191" s="23" t="n"/>
      <c r="AJ191" s="23" t="n"/>
      <c r="AK191" s="23" t="n"/>
      <c r="AL191" s="23" t="n"/>
      <c r="AM191" s="26">
        <f>IF(G191="","",G191&amp;"|"&amp;P191)</f>
        <v/>
      </c>
      <c r="AN191" s="27">
        <f>IF(I191="","",IFERROR(DATE(VALUE(RIGHT(I191,4)),VALUE(MID(I191,4,2)),VALUE(LEFT(I191,2))),""))</f>
        <v/>
      </c>
      <c r="AO191" s="27">
        <f>IF(Y191="","",IFERROR(DATE(VALUE(RIGHT(Y191,4)),VALUE(MID(Y191,4,2)),VALUE(LEFT(Y191,2))),""))</f>
        <v/>
      </c>
      <c r="AP191" s="27">
        <f>IF(AC191="","",IFERROR(DATE(VALUE(RIGHT(AC191,4)),VALUE(MID(AC191,4,2)),VALUE(LEFT(AC191,2))),""))</f>
        <v/>
      </c>
      <c r="AQ191" s="26">
        <f>IF(AI191="","",TRIM(LEFT(AI191,FIND(" ",AI191&amp;" ")-1)))</f>
        <v/>
      </c>
      <c r="AR191" s="27">
        <f>IF(AQ191="","",IFERROR(DATE(VALUE(MID(AQ191,FIND("/",AQ191,FIND("/",AQ191)+1)+1,4)),VALUE(LEFT(AQ191,FIND("/",AQ191)-1)),VALUE(MID(AQ191,FIND("/",AQ191)+1,FIND("/",AQ191,FIND("/",AQ191)+1)-FIND("/",AQ191)-1))),""))</f>
        <v/>
      </c>
      <c r="AS191" s="26">
        <f>IF(G191="","",IF(AND(AG191&lt;&gt;"",AG191&lt;&gt;"Bayi Aracı"),"Evet","Hayır"))</f>
        <v/>
      </c>
      <c r="AT191" s="26">
        <f>IF(G191="","",IF(AND(AS191="Evet",T191="Siparişiniz Teslim Edildi"),"Evet","Hayır"))</f>
        <v/>
      </c>
      <c r="AU191" s="26">
        <f>IF(G191="","",IF(AB191="Siparişinizin Montajı Yapıldı","Evet","Hayır"))</f>
        <v/>
      </c>
      <c r="AV191" s="27">
        <f>IF(G191="","",IF(AT191="Evet",AR191,IF(AU191="Evet",AP191,"")))</f>
        <v/>
      </c>
    </row>
    <row r="192">
      <c r="A192" s="23" t="n"/>
      <c r="B192" s="23" t="n"/>
      <c r="C192" s="23" t="n"/>
      <c r="D192" s="23" t="n"/>
      <c r="E192" s="23" t="n"/>
      <c r="F192" s="23" t="n"/>
      <c r="G192" s="23" t="n"/>
      <c r="H192" s="23" t="n"/>
      <c r="I192" s="23" t="n"/>
      <c r="J192" s="23" t="n"/>
      <c r="K192" s="23" t="n"/>
      <c r="L192" s="23" t="n"/>
      <c r="M192" s="23" t="n"/>
      <c r="N192" s="23" t="n"/>
      <c r="O192" s="23" t="n"/>
      <c r="P192" s="23" t="n"/>
      <c r="Q192" s="23" t="n"/>
      <c r="R192" s="23" t="n"/>
      <c r="S192" s="23" t="n"/>
      <c r="T192" s="23" t="n"/>
      <c r="U192" s="23" t="n"/>
      <c r="V192" s="23" t="n"/>
      <c r="W192" s="23" t="n"/>
      <c r="X192" s="23" t="n"/>
      <c r="Y192" s="23" t="n"/>
      <c r="Z192" s="23" t="n"/>
      <c r="AA192" s="23" t="n"/>
      <c r="AB192" s="23" t="n"/>
      <c r="AC192" s="23" t="n"/>
      <c r="AD192" s="23" t="n"/>
      <c r="AE192" s="23" t="n"/>
      <c r="AF192" s="23" t="n"/>
      <c r="AG192" s="23" t="n"/>
      <c r="AH192" s="23" t="n"/>
      <c r="AI192" s="23" t="n"/>
      <c r="AJ192" s="23" t="n"/>
      <c r="AK192" s="23" t="n"/>
      <c r="AL192" s="23" t="n"/>
      <c r="AM192" s="26">
        <f>IF(G192="","",G192&amp;"|"&amp;P192)</f>
        <v/>
      </c>
      <c r="AN192" s="27">
        <f>IF(I192="","",IFERROR(DATE(VALUE(RIGHT(I192,4)),VALUE(MID(I192,4,2)),VALUE(LEFT(I192,2))),""))</f>
        <v/>
      </c>
      <c r="AO192" s="27">
        <f>IF(Y192="","",IFERROR(DATE(VALUE(RIGHT(Y192,4)),VALUE(MID(Y192,4,2)),VALUE(LEFT(Y192,2))),""))</f>
        <v/>
      </c>
      <c r="AP192" s="27">
        <f>IF(AC192="","",IFERROR(DATE(VALUE(RIGHT(AC192,4)),VALUE(MID(AC192,4,2)),VALUE(LEFT(AC192,2))),""))</f>
        <v/>
      </c>
      <c r="AQ192" s="26">
        <f>IF(AI192="","",TRIM(LEFT(AI192,FIND(" ",AI192&amp;" ")-1)))</f>
        <v/>
      </c>
      <c r="AR192" s="27">
        <f>IF(AQ192="","",IFERROR(DATE(VALUE(MID(AQ192,FIND("/",AQ192,FIND("/",AQ192)+1)+1,4)),VALUE(LEFT(AQ192,FIND("/",AQ192)-1)),VALUE(MID(AQ192,FIND("/",AQ192)+1,FIND("/",AQ192,FIND("/",AQ192)+1)-FIND("/",AQ192)-1))),""))</f>
        <v/>
      </c>
      <c r="AS192" s="26">
        <f>IF(G192="","",IF(AND(AG192&lt;&gt;"",AG192&lt;&gt;"Bayi Aracı"),"Evet","Hayır"))</f>
        <v/>
      </c>
      <c r="AT192" s="26">
        <f>IF(G192="","",IF(AND(AS192="Evet",T192="Siparişiniz Teslim Edildi"),"Evet","Hayır"))</f>
        <v/>
      </c>
      <c r="AU192" s="26">
        <f>IF(G192="","",IF(AB192="Siparişinizin Montajı Yapıldı","Evet","Hayır"))</f>
        <v/>
      </c>
      <c r="AV192" s="27">
        <f>IF(G192="","",IF(AT192="Evet",AR192,IF(AU192="Evet",AP192,"")))</f>
        <v/>
      </c>
    </row>
    <row r="193">
      <c r="A193" s="23" t="n"/>
      <c r="B193" s="23" t="n"/>
      <c r="C193" s="23" t="n"/>
      <c r="D193" s="23" t="n"/>
      <c r="E193" s="23" t="n"/>
      <c r="F193" s="23" t="n"/>
      <c r="G193" s="23" t="n"/>
      <c r="H193" s="23" t="n"/>
      <c r="I193" s="23" t="n"/>
      <c r="J193" s="23" t="n"/>
      <c r="K193" s="23" t="n"/>
      <c r="L193" s="23" t="n"/>
      <c r="M193" s="23" t="n"/>
      <c r="N193" s="23" t="n"/>
      <c r="O193" s="23" t="n"/>
      <c r="P193" s="23" t="n"/>
      <c r="Q193" s="23" t="n"/>
      <c r="R193" s="23" t="n"/>
      <c r="S193" s="23" t="n"/>
      <c r="T193" s="23" t="n"/>
      <c r="U193" s="23" t="n"/>
      <c r="V193" s="23" t="n"/>
      <c r="W193" s="23" t="n"/>
      <c r="X193" s="23" t="n"/>
      <c r="Y193" s="23" t="n"/>
      <c r="Z193" s="23" t="n"/>
      <c r="AA193" s="23" t="n"/>
      <c r="AB193" s="23" t="n"/>
      <c r="AC193" s="23" t="n"/>
      <c r="AD193" s="23" t="n"/>
      <c r="AE193" s="23" t="n"/>
      <c r="AF193" s="23" t="n"/>
      <c r="AG193" s="23" t="n"/>
      <c r="AH193" s="23" t="n"/>
      <c r="AI193" s="23" t="n"/>
      <c r="AJ193" s="23" t="n"/>
      <c r="AK193" s="23" t="n"/>
      <c r="AL193" s="23" t="n"/>
      <c r="AM193" s="26">
        <f>IF(G193="","",G193&amp;"|"&amp;P193)</f>
        <v/>
      </c>
      <c r="AN193" s="27">
        <f>IF(I193="","",IFERROR(DATE(VALUE(RIGHT(I193,4)),VALUE(MID(I193,4,2)),VALUE(LEFT(I193,2))),""))</f>
        <v/>
      </c>
      <c r="AO193" s="27">
        <f>IF(Y193="","",IFERROR(DATE(VALUE(RIGHT(Y193,4)),VALUE(MID(Y193,4,2)),VALUE(LEFT(Y193,2))),""))</f>
        <v/>
      </c>
      <c r="AP193" s="27">
        <f>IF(AC193="","",IFERROR(DATE(VALUE(RIGHT(AC193,4)),VALUE(MID(AC193,4,2)),VALUE(LEFT(AC193,2))),""))</f>
        <v/>
      </c>
      <c r="AQ193" s="26">
        <f>IF(AI193="","",TRIM(LEFT(AI193,FIND(" ",AI193&amp;" ")-1)))</f>
        <v/>
      </c>
      <c r="AR193" s="27">
        <f>IF(AQ193="","",IFERROR(DATE(VALUE(MID(AQ193,FIND("/",AQ193,FIND("/",AQ193)+1)+1,4)),VALUE(LEFT(AQ193,FIND("/",AQ193)-1)),VALUE(MID(AQ193,FIND("/",AQ193)+1,FIND("/",AQ193,FIND("/",AQ193)+1)-FIND("/",AQ193)-1))),""))</f>
        <v/>
      </c>
      <c r="AS193" s="26">
        <f>IF(G193="","",IF(AND(AG193&lt;&gt;"",AG193&lt;&gt;"Bayi Aracı"),"Evet","Hayır"))</f>
        <v/>
      </c>
      <c r="AT193" s="26">
        <f>IF(G193="","",IF(AND(AS193="Evet",T193="Siparişiniz Teslim Edildi"),"Evet","Hayır"))</f>
        <v/>
      </c>
      <c r="AU193" s="26">
        <f>IF(G193="","",IF(AB193="Siparişinizin Montajı Yapıldı","Evet","Hayır"))</f>
        <v/>
      </c>
      <c r="AV193" s="27">
        <f>IF(G193="","",IF(AT193="Evet",AR193,IF(AU193="Evet",AP193,"")))</f>
        <v/>
      </c>
    </row>
    <row r="194">
      <c r="A194" s="23" t="n"/>
      <c r="B194" s="23" t="n"/>
      <c r="C194" s="23" t="n"/>
      <c r="D194" s="23" t="n"/>
      <c r="E194" s="23" t="n"/>
      <c r="F194" s="23" t="n"/>
      <c r="G194" s="23" t="n"/>
      <c r="H194" s="23" t="n"/>
      <c r="I194" s="23" t="n"/>
      <c r="J194" s="23" t="n"/>
      <c r="K194" s="23" t="n"/>
      <c r="L194" s="23" t="n"/>
      <c r="M194" s="23" t="n"/>
      <c r="N194" s="23" t="n"/>
      <c r="O194" s="23" t="n"/>
      <c r="P194" s="23" t="n"/>
      <c r="Q194" s="23" t="n"/>
      <c r="R194" s="23" t="n"/>
      <c r="S194" s="23" t="n"/>
      <c r="T194" s="23" t="n"/>
      <c r="U194" s="23" t="n"/>
      <c r="V194" s="23" t="n"/>
      <c r="W194" s="23" t="n"/>
      <c r="X194" s="23" t="n"/>
      <c r="Y194" s="23" t="n"/>
      <c r="Z194" s="23" t="n"/>
      <c r="AA194" s="23" t="n"/>
      <c r="AB194" s="23" t="n"/>
      <c r="AC194" s="23" t="n"/>
      <c r="AD194" s="23" t="n"/>
      <c r="AE194" s="23" t="n"/>
      <c r="AF194" s="23" t="n"/>
      <c r="AG194" s="23" t="n"/>
      <c r="AH194" s="23" t="n"/>
      <c r="AI194" s="23" t="n"/>
      <c r="AJ194" s="23" t="n"/>
      <c r="AK194" s="23" t="n"/>
      <c r="AL194" s="23" t="n"/>
      <c r="AM194" s="26">
        <f>IF(G194="","",G194&amp;"|"&amp;P194)</f>
        <v/>
      </c>
      <c r="AN194" s="27">
        <f>IF(I194="","",IFERROR(DATE(VALUE(RIGHT(I194,4)),VALUE(MID(I194,4,2)),VALUE(LEFT(I194,2))),""))</f>
        <v/>
      </c>
      <c r="AO194" s="27">
        <f>IF(Y194="","",IFERROR(DATE(VALUE(RIGHT(Y194,4)),VALUE(MID(Y194,4,2)),VALUE(LEFT(Y194,2))),""))</f>
        <v/>
      </c>
      <c r="AP194" s="27">
        <f>IF(AC194="","",IFERROR(DATE(VALUE(RIGHT(AC194,4)),VALUE(MID(AC194,4,2)),VALUE(LEFT(AC194,2))),""))</f>
        <v/>
      </c>
      <c r="AQ194" s="26">
        <f>IF(AI194="","",TRIM(LEFT(AI194,FIND(" ",AI194&amp;" ")-1)))</f>
        <v/>
      </c>
      <c r="AR194" s="27">
        <f>IF(AQ194="","",IFERROR(DATE(VALUE(MID(AQ194,FIND("/",AQ194,FIND("/",AQ194)+1)+1,4)),VALUE(LEFT(AQ194,FIND("/",AQ194)-1)),VALUE(MID(AQ194,FIND("/",AQ194)+1,FIND("/",AQ194,FIND("/",AQ194)+1)-FIND("/",AQ194)-1))),""))</f>
        <v/>
      </c>
      <c r="AS194" s="26">
        <f>IF(G194="","",IF(AND(AG194&lt;&gt;"",AG194&lt;&gt;"Bayi Aracı"),"Evet","Hayır"))</f>
        <v/>
      </c>
      <c r="AT194" s="26">
        <f>IF(G194="","",IF(AND(AS194="Evet",T194="Siparişiniz Teslim Edildi"),"Evet","Hayır"))</f>
        <v/>
      </c>
      <c r="AU194" s="26">
        <f>IF(G194="","",IF(AB194="Siparişinizin Montajı Yapıldı","Evet","Hayır"))</f>
        <v/>
      </c>
      <c r="AV194" s="27">
        <f>IF(G194="","",IF(AT194="Evet",AR194,IF(AU194="Evet",AP194,"")))</f>
        <v/>
      </c>
    </row>
    <row r="195">
      <c r="A195" s="23" t="n"/>
      <c r="B195" s="23" t="n"/>
      <c r="C195" s="23" t="n"/>
      <c r="D195" s="23" t="n"/>
      <c r="E195" s="23" t="n"/>
      <c r="F195" s="23" t="n"/>
      <c r="G195" s="23" t="n"/>
      <c r="H195" s="23" t="n"/>
      <c r="I195" s="23" t="n"/>
      <c r="J195" s="23" t="n"/>
      <c r="K195" s="23" t="n"/>
      <c r="L195" s="23" t="n"/>
      <c r="M195" s="23" t="n"/>
      <c r="N195" s="23" t="n"/>
      <c r="O195" s="23" t="n"/>
      <c r="P195" s="23" t="n"/>
      <c r="Q195" s="23" t="n"/>
      <c r="R195" s="23" t="n"/>
      <c r="S195" s="23" t="n"/>
      <c r="T195" s="23" t="n"/>
      <c r="U195" s="23" t="n"/>
      <c r="V195" s="23" t="n"/>
      <c r="W195" s="23" t="n"/>
      <c r="X195" s="23" t="n"/>
      <c r="Y195" s="23" t="n"/>
      <c r="Z195" s="23" t="n"/>
      <c r="AA195" s="23" t="n"/>
      <c r="AB195" s="23" t="n"/>
      <c r="AC195" s="23" t="n"/>
      <c r="AD195" s="23" t="n"/>
      <c r="AE195" s="23" t="n"/>
      <c r="AF195" s="23" t="n"/>
      <c r="AG195" s="23" t="n"/>
      <c r="AH195" s="23" t="n"/>
      <c r="AI195" s="23" t="n"/>
      <c r="AJ195" s="23" t="n"/>
      <c r="AK195" s="23" t="n"/>
      <c r="AL195" s="23" t="n"/>
      <c r="AM195" s="26">
        <f>IF(G195="","",G195&amp;"|"&amp;P195)</f>
        <v/>
      </c>
      <c r="AN195" s="27">
        <f>IF(I195="","",IFERROR(DATE(VALUE(RIGHT(I195,4)),VALUE(MID(I195,4,2)),VALUE(LEFT(I195,2))),""))</f>
        <v/>
      </c>
      <c r="AO195" s="27">
        <f>IF(Y195="","",IFERROR(DATE(VALUE(RIGHT(Y195,4)),VALUE(MID(Y195,4,2)),VALUE(LEFT(Y195,2))),""))</f>
        <v/>
      </c>
      <c r="AP195" s="27">
        <f>IF(AC195="","",IFERROR(DATE(VALUE(RIGHT(AC195,4)),VALUE(MID(AC195,4,2)),VALUE(LEFT(AC195,2))),""))</f>
        <v/>
      </c>
      <c r="AQ195" s="26">
        <f>IF(AI195="","",TRIM(LEFT(AI195,FIND(" ",AI195&amp;" ")-1)))</f>
        <v/>
      </c>
      <c r="AR195" s="27">
        <f>IF(AQ195="","",IFERROR(DATE(VALUE(MID(AQ195,FIND("/",AQ195,FIND("/",AQ195)+1)+1,4)),VALUE(LEFT(AQ195,FIND("/",AQ195)-1)),VALUE(MID(AQ195,FIND("/",AQ195)+1,FIND("/",AQ195,FIND("/",AQ195)+1)-FIND("/",AQ195)-1))),""))</f>
        <v/>
      </c>
      <c r="AS195" s="26">
        <f>IF(G195="","",IF(AND(AG195&lt;&gt;"",AG195&lt;&gt;"Bayi Aracı"),"Evet","Hayır"))</f>
        <v/>
      </c>
      <c r="AT195" s="26">
        <f>IF(G195="","",IF(AND(AS195="Evet",T195="Siparişiniz Teslim Edildi"),"Evet","Hayır"))</f>
        <v/>
      </c>
      <c r="AU195" s="26">
        <f>IF(G195="","",IF(AB195="Siparişinizin Montajı Yapıldı","Evet","Hayır"))</f>
        <v/>
      </c>
      <c r="AV195" s="27">
        <f>IF(G195="","",IF(AT195="Evet",AR195,IF(AU195="Evet",AP195,"")))</f>
        <v/>
      </c>
    </row>
    <row r="196">
      <c r="A196" s="23" t="n"/>
      <c r="B196" s="23" t="n"/>
      <c r="C196" s="23" t="n"/>
      <c r="D196" s="23" t="n"/>
      <c r="E196" s="23" t="n"/>
      <c r="F196" s="23" t="n"/>
      <c r="G196" s="23" t="n"/>
      <c r="H196" s="23" t="n"/>
      <c r="I196" s="23" t="n"/>
      <c r="J196" s="23" t="n"/>
      <c r="K196" s="23" t="n"/>
      <c r="L196" s="23" t="n"/>
      <c r="M196" s="23" t="n"/>
      <c r="N196" s="23" t="n"/>
      <c r="O196" s="23" t="n"/>
      <c r="P196" s="23" t="n"/>
      <c r="Q196" s="23" t="n"/>
      <c r="R196" s="23" t="n"/>
      <c r="S196" s="23" t="n"/>
      <c r="T196" s="23" t="n"/>
      <c r="U196" s="23" t="n"/>
      <c r="V196" s="23" t="n"/>
      <c r="W196" s="23" t="n"/>
      <c r="X196" s="23" t="n"/>
      <c r="Y196" s="23" t="n"/>
      <c r="Z196" s="23" t="n"/>
      <c r="AA196" s="23" t="n"/>
      <c r="AB196" s="23" t="n"/>
      <c r="AC196" s="23" t="n"/>
      <c r="AD196" s="23" t="n"/>
      <c r="AE196" s="23" t="n"/>
      <c r="AF196" s="23" t="n"/>
      <c r="AG196" s="23" t="n"/>
      <c r="AH196" s="23" t="n"/>
      <c r="AI196" s="23" t="n"/>
      <c r="AJ196" s="23" t="n"/>
      <c r="AK196" s="23" t="n"/>
      <c r="AL196" s="23" t="n"/>
      <c r="AM196" s="26">
        <f>IF(G196="","",G196&amp;"|"&amp;P196)</f>
        <v/>
      </c>
      <c r="AN196" s="27">
        <f>IF(I196="","",IFERROR(DATE(VALUE(RIGHT(I196,4)),VALUE(MID(I196,4,2)),VALUE(LEFT(I196,2))),""))</f>
        <v/>
      </c>
      <c r="AO196" s="27">
        <f>IF(Y196="","",IFERROR(DATE(VALUE(RIGHT(Y196,4)),VALUE(MID(Y196,4,2)),VALUE(LEFT(Y196,2))),""))</f>
        <v/>
      </c>
      <c r="AP196" s="27">
        <f>IF(AC196="","",IFERROR(DATE(VALUE(RIGHT(AC196,4)),VALUE(MID(AC196,4,2)),VALUE(LEFT(AC196,2))),""))</f>
        <v/>
      </c>
      <c r="AQ196" s="26">
        <f>IF(AI196="","",TRIM(LEFT(AI196,FIND(" ",AI196&amp;" ")-1)))</f>
        <v/>
      </c>
      <c r="AR196" s="27">
        <f>IF(AQ196="","",IFERROR(DATE(VALUE(MID(AQ196,FIND("/",AQ196,FIND("/",AQ196)+1)+1,4)),VALUE(LEFT(AQ196,FIND("/",AQ196)-1)),VALUE(MID(AQ196,FIND("/",AQ196)+1,FIND("/",AQ196,FIND("/",AQ196)+1)-FIND("/",AQ196)-1))),""))</f>
        <v/>
      </c>
      <c r="AS196" s="26">
        <f>IF(G196="","",IF(AND(AG196&lt;&gt;"",AG196&lt;&gt;"Bayi Aracı"),"Evet","Hayır"))</f>
        <v/>
      </c>
      <c r="AT196" s="26">
        <f>IF(G196="","",IF(AND(AS196="Evet",T196="Siparişiniz Teslim Edildi"),"Evet","Hayır"))</f>
        <v/>
      </c>
      <c r="AU196" s="26">
        <f>IF(G196="","",IF(AB196="Siparişinizin Montajı Yapıldı","Evet","Hayır"))</f>
        <v/>
      </c>
      <c r="AV196" s="27">
        <f>IF(G196="","",IF(AT196="Evet",AR196,IF(AU196="Evet",AP196,"")))</f>
        <v/>
      </c>
    </row>
    <row r="197">
      <c r="A197" s="23" t="n"/>
      <c r="B197" s="23" t="n"/>
      <c r="C197" s="23" t="n"/>
      <c r="D197" s="23" t="n"/>
      <c r="E197" s="23" t="n"/>
      <c r="F197" s="23" t="n"/>
      <c r="G197" s="23" t="n"/>
      <c r="H197" s="23" t="n"/>
      <c r="I197" s="23" t="n"/>
      <c r="J197" s="23" t="n"/>
      <c r="K197" s="23" t="n"/>
      <c r="L197" s="23" t="n"/>
      <c r="M197" s="23" t="n"/>
      <c r="N197" s="23" t="n"/>
      <c r="O197" s="23" t="n"/>
      <c r="P197" s="23" t="n"/>
      <c r="Q197" s="23" t="n"/>
      <c r="R197" s="23" t="n"/>
      <c r="S197" s="23" t="n"/>
      <c r="T197" s="23" t="n"/>
      <c r="U197" s="23" t="n"/>
      <c r="V197" s="23" t="n"/>
      <c r="W197" s="23" t="n"/>
      <c r="X197" s="23" t="n"/>
      <c r="Y197" s="23" t="n"/>
      <c r="Z197" s="23" t="n"/>
      <c r="AA197" s="23" t="n"/>
      <c r="AB197" s="23" t="n"/>
      <c r="AC197" s="23" t="n"/>
      <c r="AD197" s="23" t="n"/>
      <c r="AE197" s="23" t="n"/>
      <c r="AF197" s="23" t="n"/>
      <c r="AG197" s="23" t="n"/>
      <c r="AH197" s="23" t="n"/>
      <c r="AI197" s="23" t="n"/>
      <c r="AJ197" s="23" t="n"/>
      <c r="AK197" s="23" t="n"/>
      <c r="AL197" s="23" t="n"/>
      <c r="AM197" s="26">
        <f>IF(G197="","",G197&amp;"|"&amp;P197)</f>
        <v/>
      </c>
      <c r="AN197" s="27">
        <f>IF(I197="","",IFERROR(DATE(VALUE(RIGHT(I197,4)),VALUE(MID(I197,4,2)),VALUE(LEFT(I197,2))),""))</f>
        <v/>
      </c>
      <c r="AO197" s="27">
        <f>IF(Y197="","",IFERROR(DATE(VALUE(RIGHT(Y197,4)),VALUE(MID(Y197,4,2)),VALUE(LEFT(Y197,2))),""))</f>
        <v/>
      </c>
      <c r="AP197" s="27">
        <f>IF(AC197="","",IFERROR(DATE(VALUE(RIGHT(AC197,4)),VALUE(MID(AC197,4,2)),VALUE(LEFT(AC197,2))),""))</f>
        <v/>
      </c>
      <c r="AQ197" s="26">
        <f>IF(AI197="","",TRIM(LEFT(AI197,FIND(" ",AI197&amp;" ")-1)))</f>
        <v/>
      </c>
      <c r="AR197" s="27">
        <f>IF(AQ197="","",IFERROR(DATE(VALUE(MID(AQ197,FIND("/",AQ197,FIND("/",AQ197)+1)+1,4)),VALUE(LEFT(AQ197,FIND("/",AQ197)-1)),VALUE(MID(AQ197,FIND("/",AQ197)+1,FIND("/",AQ197,FIND("/",AQ197)+1)-FIND("/",AQ197)-1))),""))</f>
        <v/>
      </c>
      <c r="AS197" s="26">
        <f>IF(G197="","",IF(AND(AG197&lt;&gt;"",AG197&lt;&gt;"Bayi Aracı"),"Evet","Hayır"))</f>
        <v/>
      </c>
      <c r="AT197" s="26">
        <f>IF(G197="","",IF(AND(AS197="Evet",T197="Siparişiniz Teslim Edildi"),"Evet","Hayır"))</f>
        <v/>
      </c>
      <c r="AU197" s="26">
        <f>IF(G197="","",IF(AB197="Siparişinizin Montajı Yapıldı","Evet","Hayır"))</f>
        <v/>
      </c>
      <c r="AV197" s="27">
        <f>IF(G197="","",IF(AT197="Evet",AR197,IF(AU197="Evet",AP197,"")))</f>
        <v/>
      </c>
    </row>
    <row r="198">
      <c r="A198" s="23" t="n"/>
      <c r="B198" s="23" t="n"/>
      <c r="C198" s="23" t="n"/>
      <c r="D198" s="23" t="n"/>
      <c r="E198" s="23" t="n"/>
      <c r="F198" s="23" t="n"/>
      <c r="G198" s="23" t="n"/>
      <c r="H198" s="23" t="n"/>
      <c r="I198" s="23" t="n"/>
      <c r="J198" s="23" t="n"/>
      <c r="K198" s="23" t="n"/>
      <c r="L198" s="23" t="n"/>
      <c r="M198" s="23" t="n"/>
      <c r="N198" s="23" t="n"/>
      <c r="O198" s="23" t="n"/>
      <c r="P198" s="23" t="n"/>
      <c r="Q198" s="23" t="n"/>
      <c r="R198" s="23" t="n"/>
      <c r="S198" s="23" t="n"/>
      <c r="T198" s="23" t="n"/>
      <c r="U198" s="23" t="n"/>
      <c r="V198" s="23" t="n"/>
      <c r="W198" s="23" t="n"/>
      <c r="X198" s="23" t="n"/>
      <c r="Y198" s="23" t="n"/>
      <c r="Z198" s="23" t="n"/>
      <c r="AA198" s="23" t="n"/>
      <c r="AB198" s="23" t="n"/>
      <c r="AC198" s="23" t="n"/>
      <c r="AD198" s="23" t="n"/>
      <c r="AE198" s="23" t="n"/>
      <c r="AF198" s="23" t="n"/>
      <c r="AG198" s="23" t="n"/>
      <c r="AH198" s="23" t="n"/>
      <c r="AI198" s="23" t="n"/>
      <c r="AJ198" s="23" t="n"/>
      <c r="AK198" s="23" t="n"/>
      <c r="AL198" s="23" t="n"/>
      <c r="AM198" s="26">
        <f>IF(G198="","",G198&amp;"|"&amp;P198)</f>
        <v/>
      </c>
      <c r="AN198" s="27">
        <f>IF(I198="","",IFERROR(DATE(VALUE(RIGHT(I198,4)),VALUE(MID(I198,4,2)),VALUE(LEFT(I198,2))),""))</f>
        <v/>
      </c>
      <c r="AO198" s="27">
        <f>IF(Y198="","",IFERROR(DATE(VALUE(RIGHT(Y198,4)),VALUE(MID(Y198,4,2)),VALUE(LEFT(Y198,2))),""))</f>
        <v/>
      </c>
      <c r="AP198" s="27">
        <f>IF(AC198="","",IFERROR(DATE(VALUE(RIGHT(AC198,4)),VALUE(MID(AC198,4,2)),VALUE(LEFT(AC198,2))),""))</f>
        <v/>
      </c>
      <c r="AQ198" s="26">
        <f>IF(AI198="","",TRIM(LEFT(AI198,FIND(" ",AI198&amp;" ")-1)))</f>
        <v/>
      </c>
      <c r="AR198" s="27">
        <f>IF(AQ198="","",IFERROR(DATE(VALUE(MID(AQ198,FIND("/",AQ198,FIND("/",AQ198)+1)+1,4)),VALUE(LEFT(AQ198,FIND("/",AQ198)-1)),VALUE(MID(AQ198,FIND("/",AQ198)+1,FIND("/",AQ198,FIND("/",AQ198)+1)-FIND("/",AQ198)-1))),""))</f>
        <v/>
      </c>
      <c r="AS198" s="26">
        <f>IF(G198="","",IF(AND(AG198&lt;&gt;"",AG198&lt;&gt;"Bayi Aracı"),"Evet","Hayır"))</f>
        <v/>
      </c>
      <c r="AT198" s="26">
        <f>IF(G198="","",IF(AND(AS198="Evet",T198="Siparişiniz Teslim Edildi"),"Evet","Hayır"))</f>
        <v/>
      </c>
      <c r="AU198" s="26">
        <f>IF(G198="","",IF(AB198="Siparişinizin Montajı Yapıldı","Evet","Hayır"))</f>
        <v/>
      </c>
      <c r="AV198" s="27">
        <f>IF(G198="","",IF(AT198="Evet",AR198,IF(AU198="Evet",AP198,"")))</f>
        <v/>
      </c>
    </row>
    <row r="199">
      <c r="A199" s="23" t="n"/>
      <c r="B199" s="23" t="n"/>
      <c r="C199" s="23" t="n"/>
      <c r="D199" s="23" t="n"/>
      <c r="E199" s="23" t="n"/>
      <c r="F199" s="23" t="n"/>
      <c r="G199" s="23" t="n"/>
      <c r="H199" s="23" t="n"/>
      <c r="I199" s="23" t="n"/>
      <c r="J199" s="23" t="n"/>
      <c r="K199" s="23" t="n"/>
      <c r="L199" s="23" t="n"/>
      <c r="M199" s="23" t="n"/>
      <c r="N199" s="23" t="n"/>
      <c r="O199" s="23" t="n"/>
      <c r="P199" s="23" t="n"/>
      <c r="Q199" s="23" t="n"/>
      <c r="R199" s="23" t="n"/>
      <c r="S199" s="23" t="n"/>
      <c r="T199" s="23" t="n"/>
      <c r="U199" s="23" t="n"/>
      <c r="V199" s="23" t="n"/>
      <c r="W199" s="23" t="n"/>
      <c r="X199" s="23" t="n"/>
      <c r="Y199" s="23" t="n"/>
      <c r="Z199" s="23" t="n"/>
      <c r="AA199" s="23" t="n"/>
      <c r="AB199" s="23" t="n"/>
      <c r="AC199" s="23" t="n"/>
      <c r="AD199" s="23" t="n"/>
      <c r="AE199" s="23" t="n"/>
      <c r="AF199" s="23" t="n"/>
      <c r="AG199" s="23" t="n"/>
      <c r="AH199" s="23" t="n"/>
      <c r="AI199" s="23" t="n"/>
      <c r="AJ199" s="23" t="n"/>
      <c r="AK199" s="23" t="n"/>
      <c r="AL199" s="23" t="n"/>
      <c r="AM199" s="26">
        <f>IF(G199="","",G199&amp;"|"&amp;P199)</f>
        <v/>
      </c>
      <c r="AN199" s="27">
        <f>IF(I199="","",IFERROR(DATE(VALUE(RIGHT(I199,4)),VALUE(MID(I199,4,2)),VALUE(LEFT(I199,2))),""))</f>
        <v/>
      </c>
      <c r="AO199" s="27">
        <f>IF(Y199="","",IFERROR(DATE(VALUE(RIGHT(Y199,4)),VALUE(MID(Y199,4,2)),VALUE(LEFT(Y199,2))),""))</f>
        <v/>
      </c>
      <c r="AP199" s="27">
        <f>IF(AC199="","",IFERROR(DATE(VALUE(RIGHT(AC199,4)),VALUE(MID(AC199,4,2)),VALUE(LEFT(AC199,2))),""))</f>
        <v/>
      </c>
      <c r="AQ199" s="26">
        <f>IF(AI199="","",TRIM(LEFT(AI199,FIND(" ",AI199&amp;" ")-1)))</f>
        <v/>
      </c>
      <c r="AR199" s="27">
        <f>IF(AQ199="","",IFERROR(DATE(VALUE(MID(AQ199,FIND("/",AQ199,FIND("/",AQ199)+1)+1,4)),VALUE(LEFT(AQ199,FIND("/",AQ199)-1)),VALUE(MID(AQ199,FIND("/",AQ199)+1,FIND("/",AQ199,FIND("/",AQ199)+1)-FIND("/",AQ199)-1))),""))</f>
        <v/>
      </c>
      <c r="AS199" s="26">
        <f>IF(G199="","",IF(AND(AG199&lt;&gt;"",AG199&lt;&gt;"Bayi Aracı"),"Evet","Hayır"))</f>
        <v/>
      </c>
      <c r="AT199" s="26">
        <f>IF(G199="","",IF(AND(AS199="Evet",T199="Siparişiniz Teslim Edildi"),"Evet","Hayır"))</f>
        <v/>
      </c>
      <c r="AU199" s="26">
        <f>IF(G199="","",IF(AB199="Siparişinizin Montajı Yapıldı","Evet","Hayır"))</f>
        <v/>
      </c>
      <c r="AV199" s="27">
        <f>IF(G199="","",IF(AT199="Evet",AR199,IF(AU199="Evet",AP199,"")))</f>
        <v/>
      </c>
    </row>
    <row r="200">
      <c r="A200" s="23" t="n"/>
      <c r="B200" s="23" t="n"/>
      <c r="C200" s="23" t="n"/>
      <c r="D200" s="23" t="n"/>
      <c r="E200" s="23" t="n"/>
      <c r="F200" s="23" t="n"/>
      <c r="G200" s="23" t="n"/>
      <c r="H200" s="23" t="n"/>
      <c r="I200" s="23" t="n"/>
      <c r="J200" s="23" t="n"/>
      <c r="K200" s="23" t="n"/>
      <c r="L200" s="23" t="n"/>
      <c r="M200" s="23" t="n"/>
      <c r="N200" s="23" t="n"/>
      <c r="O200" s="23" t="n"/>
      <c r="P200" s="23" t="n"/>
      <c r="Q200" s="23" t="n"/>
      <c r="R200" s="23" t="n"/>
      <c r="S200" s="23" t="n"/>
      <c r="T200" s="23" t="n"/>
      <c r="U200" s="23" t="n"/>
      <c r="V200" s="23" t="n"/>
      <c r="W200" s="23" t="n"/>
      <c r="X200" s="23" t="n"/>
      <c r="Y200" s="23" t="n"/>
      <c r="Z200" s="23" t="n"/>
      <c r="AA200" s="23" t="n"/>
      <c r="AB200" s="23" t="n"/>
      <c r="AC200" s="23" t="n"/>
      <c r="AD200" s="23" t="n"/>
      <c r="AE200" s="23" t="n"/>
      <c r="AF200" s="23" t="n"/>
      <c r="AG200" s="23" t="n"/>
      <c r="AH200" s="23" t="n"/>
      <c r="AI200" s="23" t="n"/>
      <c r="AJ200" s="23" t="n"/>
      <c r="AK200" s="23" t="n"/>
      <c r="AL200" s="23" t="n"/>
      <c r="AM200" s="26">
        <f>IF(G200="","",G200&amp;"|"&amp;P200)</f>
        <v/>
      </c>
      <c r="AN200" s="27">
        <f>IF(I200="","",IFERROR(DATE(VALUE(RIGHT(I200,4)),VALUE(MID(I200,4,2)),VALUE(LEFT(I200,2))),""))</f>
        <v/>
      </c>
      <c r="AO200" s="27">
        <f>IF(Y200="","",IFERROR(DATE(VALUE(RIGHT(Y200,4)),VALUE(MID(Y200,4,2)),VALUE(LEFT(Y200,2))),""))</f>
        <v/>
      </c>
      <c r="AP200" s="27">
        <f>IF(AC200="","",IFERROR(DATE(VALUE(RIGHT(AC200,4)),VALUE(MID(AC200,4,2)),VALUE(LEFT(AC200,2))),""))</f>
        <v/>
      </c>
      <c r="AQ200" s="26">
        <f>IF(AI200="","",TRIM(LEFT(AI200,FIND(" ",AI200&amp;" ")-1)))</f>
        <v/>
      </c>
      <c r="AR200" s="27">
        <f>IF(AQ200="","",IFERROR(DATE(VALUE(MID(AQ200,FIND("/",AQ200,FIND("/",AQ200)+1)+1,4)),VALUE(LEFT(AQ200,FIND("/",AQ200)-1)),VALUE(MID(AQ200,FIND("/",AQ200)+1,FIND("/",AQ200,FIND("/",AQ200)+1)-FIND("/",AQ200)-1))),""))</f>
        <v/>
      </c>
      <c r="AS200" s="26">
        <f>IF(G200="","",IF(AND(AG200&lt;&gt;"",AG200&lt;&gt;"Bayi Aracı"),"Evet","Hayır"))</f>
        <v/>
      </c>
      <c r="AT200" s="26">
        <f>IF(G200="","",IF(AND(AS200="Evet",T200="Siparişiniz Teslim Edildi"),"Evet","Hayır"))</f>
        <v/>
      </c>
      <c r="AU200" s="26">
        <f>IF(G200="","",IF(AB200="Siparişinizin Montajı Yapıldı","Evet","Hayır"))</f>
        <v/>
      </c>
      <c r="AV200" s="27">
        <f>IF(G200="","",IF(AT200="Evet",AR200,IF(AU200="Evet",AP200,"")))</f>
        <v/>
      </c>
    </row>
    <row r="201">
      <c r="A201" s="23" t="n"/>
      <c r="B201" s="23" t="n"/>
      <c r="C201" s="23" t="n"/>
      <c r="D201" s="23" t="n"/>
      <c r="E201" s="23" t="n"/>
      <c r="F201" s="23" t="n"/>
      <c r="G201" s="23" t="n"/>
      <c r="H201" s="23" t="n"/>
      <c r="I201" s="23" t="n"/>
      <c r="J201" s="23" t="n"/>
      <c r="K201" s="23" t="n"/>
      <c r="L201" s="23" t="n"/>
      <c r="M201" s="23" t="n"/>
      <c r="N201" s="23" t="n"/>
      <c r="O201" s="23" t="n"/>
      <c r="P201" s="23" t="n"/>
      <c r="Q201" s="23" t="n"/>
      <c r="R201" s="23" t="n"/>
      <c r="S201" s="23" t="n"/>
      <c r="T201" s="23" t="n"/>
      <c r="U201" s="23" t="n"/>
      <c r="V201" s="23" t="n"/>
      <c r="W201" s="23" t="n"/>
      <c r="X201" s="23" t="n"/>
      <c r="Y201" s="23" t="n"/>
      <c r="Z201" s="23" t="n"/>
      <c r="AA201" s="23" t="n"/>
      <c r="AB201" s="23" t="n"/>
      <c r="AC201" s="23" t="n"/>
      <c r="AD201" s="23" t="n"/>
      <c r="AE201" s="23" t="n"/>
      <c r="AF201" s="23" t="n"/>
      <c r="AG201" s="23" t="n"/>
      <c r="AH201" s="23" t="n"/>
      <c r="AI201" s="23" t="n"/>
      <c r="AJ201" s="23" t="n"/>
      <c r="AK201" s="23" t="n"/>
      <c r="AL201" s="23" t="n"/>
      <c r="AM201" s="26">
        <f>IF(G201="","",G201&amp;"|"&amp;P201)</f>
        <v/>
      </c>
      <c r="AN201" s="27">
        <f>IF(I201="","",IFERROR(DATE(VALUE(RIGHT(I201,4)),VALUE(MID(I201,4,2)),VALUE(LEFT(I201,2))),""))</f>
        <v/>
      </c>
      <c r="AO201" s="27">
        <f>IF(Y201="","",IFERROR(DATE(VALUE(RIGHT(Y201,4)),VALUE(MID(Y201,4,2)),VALUE(LEFT(Y201,2))),""))</f>
        <v/>
      </c>
      <c r="AP201" s="27">
        <f>IF(AC201="","",IFERROR(DATE(VALUE(RIGHT(AC201,4)),VALUE(MID(AC201,4,2)),VALUE(LEFT(AC201,2))),""))</f>
        <v/>
      </c>
      <c r="AQ201" s="26">
        <f>IF(AI201="","",TRIM(LEFT(AI201,FIND(" ",AI201&amp;" ")-1)))</f>
        <v/>
      </c>
      <c r="AR201" s="27">
        <f>IF(AQ201="","",IFERROR(DATE(VALUE(MID(AQ201,FIND("/",AQ201,FIND("/",AQ201)+1)+1,4)),VALUE(LEFT(AQ201,FIND("/",AQ201)-1)),VALUE(MID(AQ201,FIND("/",AQ201)+1,FIND("/",AQ201,FIND("/",AQ201)+1)-FIND("/",AQ201)-1))),""))</f>
        <v/>
      </c>
      <c r="AS201" s="26">
        <f>IF(G201="","",IF(AND(AG201&lt;&gt;"",AG201&lt;&gt;"Bayi Aracı"),"Evet","Hayır"))</f>
        <v/>
      </c>
      <c r="AT201" s="26">
        <f>IF(G201="","",IF(AND(AS201="Evet",T201="Siparişiniz Teslim Edildi"),"Evet","Hayır"))</f>
        <v/>
      </c>
      <c r="AU201" s="26">
        <f>IF(G201="","",IF(AB201="Siparişinizin Montajı Yapıldı","Evet","Hayır"))</f>
        <v/>
      </c>
      <c r="AV201" s="27">
        <f>IF(G201="","",IF(AT201="Evet",AR201,IF(AU201="Evet",AP201,"")))</f>
        <v/>
      </c>
    </row>
    <row r="202">
      <c r="A202" s="23" t="n"/>
      <c r="B202" s="23" t="n"/>
      <c r="C202" s="23" t="n"/>
      <c r="D202" s="23" t="n"/>
      <c r="E202" s="23" t="n"/>
      <c r="F202" s="23" t="n"/>
      <c r="G202" s="23" t="n"/>
      <c r="H202" s="23" t="n"/>
      <c r="I202" s="23" t="n"/>
      <c r="J202" s="23" t="n"/>
      <c r="K202" s="23" t="n"/>
      <c r="L202" s="23" t="n"/>
      <c r="M202" s="23" t="n"/>
      <c r="N202" s="23" t="n"/>
      <c r="O202" s="23" t="n"/>
      <c r="P202" s="23" t="n"/>
      <c r="Q202" s="23" t="n"/>
      <c r="R202" s="23" t="n"/>
      <c r="S202" s="23" t="n"/>
      <c r="T202" s="23" t="n"/>
      <c r="U202" s="23" t="n"/>
      <c r="V202" s="23" t="n"/>
      <c r="W202" s="23" t="n"/>
      <c r="X202" s="23" t="n"/>
      <c r="Y202" s="23" t="n"/>
      <c r="Z202" s="23" t="n"/>
      <c r="AA202" s="23" t="n"/>
      <c r="AB202" s="23" t="n"/>
      <c r="AC202" s="23" t="n"/>
      <c r="AD202" s="23" t="n"/>
      <c r="AE202" s="23" t="n"/>
      <c r="AF202" s="23" t="n"/>
      <c r="AG202" s="23" t="n"/>
      <c r="AH202" s="23" t="n"/>
      <c r="AI202" s="23" t="n"/>
      <c r="AJ202" s="23" t="n"/>
      <c r="AK202" s="23" t="n"/>
      <c r="AL202" s="23" t="n"/>
      <c r="AM202" s="26">
        <f>IF(G202="","",G202&amp;"|"&amp;P202)</f>
        <v/>
      </c>
      <c r="AN202" s="27">
        <f>IF(I202="","",IFERROR(DATE(VALUE(RIGHT(I202,4)),VALUE(MID(I202,4,2)),VALUE(LEFT(I202,2))),""))</f>
        <v/>
      </c>
      <c r="AO202" s="27">
        <f>IF(Y202="","",IFERROR(DATE(VALUE(RIGHT(Y202,4)),VALUE(MID(Y202,4,2)),VALUE(LEFT(Y202,2))),""))</f>
        <v/>
      </c>
      <c r="AP202" s="27">
        <f>IF(AC202="","",IFERROR(DATE(VALUE(RIGHT(AC202,4)),VALUE(MID(AC202,4,2)),VALUE(LEFT(AC202,2))),""))</f>
        <v/>
      </c>
      <c r="AQ202" s="26">
        <f>IF(AI202="","",TRIM(LEFT(AI202,FIND(" ",AI202&amp;" ")-1)))</f>
        <v/>
      </c>
      <c r="AR202" s="27">
        <f>IF(AQ202="","",IFERROR(DATE(VALUE(MID(AQ202,FIND("/",AQ202,FIND("/",AQ202)+1)+1,4)),VALUE(LEFT(AQ202,FIND("/",AQ202)-1)),VALUE(MID(AQ202,FIND("/",AQ202)+1,FIND("/",AQ202,FIND("/",AQ202)+1)-FIND("/",AQ202)-1))),""))</f>
        <v/>
      </c>
      <c r="AS202" s="26">
        <f>IF(G202="","",IF(AND(AG202&lt;&gt;"",AG202&lt;&gt;"Bayi Aracı"),"Evet","Hayır"))</f>
        <v/>
      </c>
      <c r="AT202" s="26">
        <f>IF(G202="","",IF(AND(AS202="Evet",T202="Siparişiniz Teslim Edildi"),"Evet","Hayır"))</f>
        <v/>
      </c>
      <c r="AU202" s="26">
        <f>IF(G202="","",IF(AB202="Siparişinizin Montajı Yapıldı","Evet","Hayır"))</f>
        <v/>
      </c>
      <c r="AV202" s="27">
        <f>IF(G202="","",IF(AT202="Evet",AR202,IF(AU202="Evet",AP202,"")))</f>
        <v/>
      </c>
    </row>
    <row r="203">
      <c r="A203" s="23" t="n"/>
      <c r="B203" s="23" t="n"/>
      <c r="C203" s="23" t="n"/>
      <c r="D203" s="23" t="n"/>
      <c r="E203" s="23" t="n"/>
      <c r="F203" s="23" t="n"/>
      <c r="G203" s="23" t="n"/>
      <c r="H203" s="23" t="n"/>
      <c r="I203" s="23" t="n"/>
      <c r="J203" s="23" t="n"/>
      <c r="K203" s="23" t="n"/>
      <c r="L203" s="23" t="n"/>
      <c r="M203" s="23" t="n"/>
      <c r="N203" s="23" t="n"/>
      <c r="O203" s="23" t="n"/>
      <c r="P203" s="23" t="n"/>
      <c r="Q203" s="23" t="n"/>
      <c r="R203" s="23" t="n"/>
      <c r="S203" s="23" t="n"/>
      <c r="T203" s="23" t="n"/>
      <c r="U203" s="23" t="n"/>
      <c r="V203" s="23" t="n"/>
      <c r="W203" s="23" t="n"/>
      <c r="X203" s="23" t="n"/>
      <c r="Y203" s="23" t="n"/>
      <c r="Z203" s="23" t="n"/>
      <c r="AA203" s="23" t="n"/>
      <c r="AB203" s="23" t="n"/>
      <c r="AC203" s="23" t="n"/>
      <c r="AD203" s="23" t="n"/>
      <c r="AE203" s="23" t="n"/>
      <c r="AF203" s="23" t="n"/>
      <c r="AG203" s="23" t="n"/>
      <c r="AH203" s="23" t="n"/>
      <c r="AI203" s="23" t="n"/>
      <c r="AJ203" s="23" t="n"/>
      <c r="AK203" s="23" t="n"/>
      <c r="AL203" s="23" t="n"/>
      <c r="AM203" s="26">
        <f>IF(G203="","",G203&amp;"|"&amp;P203)</f>
        <v/>
      </c>
      <c r="AN203" s="27">
        <f>IF(I203="","",IFERROR(DATE(VALUE(RIGHT(I203,4)),VALUE(MID(I203,4,2)),VALUE(LEFT(I203,2))),""))</f>
        <v/>
      </c>
      <c r="AO203" s="27">
        <f>IF(Y203="","",IFERROR(DATE(VALUE(RIGHT(Y203,4)),VALUE(MID(Y203,4,2)),VALUE(LEFT(Y203,2))),""))</f>
        <v/>
      </c>
      <c r="AP203" s="27">
        <f>IF(AC203="","",IFERROR(DATE(VALUE(RIGHT(AC203,4)),VALUE(MID(AC203,4,2)),VALUE(LEFT(AC203,2))),""))</f>
        <v/>
      </c>
      <c r="AQ203" s="26">
        <f>IF(AI203="","",TRIM(LEFT(AI203,FIND(" ",AI203&amp;" ")-1)))</f>
        <v/>
      </c>
      <c r="AR203" s="27">
        <f>IF(AQ203="","",IFERROR(DATE(VALUE(MID(AQ203,FIND("/",AQ203,FIND("/",AQ203)+1)+1,4)),VALUE(LEFT(AQ203,FIND("/",AQ203)-1)),VALUE(MID(AQ203,FIND("/",AQ203)+1,FIND("/",AQ203,FIND("/",AQ203)+1)-FIND("/",AQ203)-1))),""))</f>
        <v/>
      </c>
      <c r="AS203" s="26">
        <f>IF(G203="","",IF(AND(AG203&lt;&gt;"",AG203&lt;&gt;"Bayi Aracı"),"Evet","Hayır"))</f>
        <v/>
      </c>
      <c r="AT203" s="26">
        <f>IF(G203="","",IF(AND(AS203="Evet",T203="Siparişiniz Teslim Edildi"),"Evet","Hayır"))</f>
        <v/>
      </c>
      <c r="AU203" s="26">
        <f>IF(G203="","",IF(AB203="Siparişinizin Montajı Yapıldı","Evet","Hayır"))</f>
        <v/>
      </c>
      <c r="AV203" s="27">
        <f>IF(G203="","",IF(AT203="Evet",AR203,IF(AU203="Evet",AP203,"")))</f>
        <v/>
      </c>
    </row>
    <row r="204">
      <c r="A204" s="23" t="n"/>
      <c r="B204" s="23" t="n"/>
      <c r="C204" s="23" t="n"/>
      <c r="D204" s="23" t="n"/>
      <c r="E204" s="23" t="n"/>
      <c r="F204" s="23" t="n"/>
      <c r="G204" s="23" t="n"/>
      <c r="H204" s="23" t="n"/>
      <c r="I204" s="23" t="n"/>
      <c r="J204" s="23" t="n"/>
      <c r="K204" s="23" t="n"/>
      <c r="L204" s="23" t="n"/>
      <c r="M204" s="23" t="n"/>
      <c r="N204" s="23" t="n"/>
      <c r="O204" s="23" t="n"/>
      <c r="P204" s="23" t="n"/>
      <c r="Q204" s="23" t="n"/>
      <c r="R204" s="23" t="n"/>
      <c r="S204" s="23" t="n"/>
      <c r="T204" s="23" t="n"/>
      <c r="U204" s="23" t="n"/>
      <c r="V204" s="23" t="n"/>
      <c r="W204" s="23" t="n"/>
      <c r="X204" s="23" t="n"/>
      <c r="Y204" s="23" t="n"/>
      <c r="Z204" s="23" t="n"/>
      <c r="AA204" s="23" t="n"/>
      <c r="AB204" s="23" t="n"/>
      <c r="AC204" s="23" t="n"/>
      <c r="AD204" s="23" t="n"/>
      <c r="AE204" s="23" t="n"/>
      <c r="AF204" s="23" t="n"/>
      <c r="AG204" s="23" t="n"/>
      <c r="AH204" s="23" t="n"/>
      <c r="AI204" s="23" t="n"/>
      <c r="AJ204" s="23" t="n"/>
      <c r="AK204" s="23" t="n"/>
      <c r="AL204" s="23" t="n"/>
      <c r="AM204" s="26">
        <f>IF(G204="","",G204&amp;"|"&amp;P204)</f>
        <v/>
      </c>
      <c r="AN204" s="27">
        <f>IF(I204="","",IFERROR(DATE(VALUE(RIGHT(I204,4)),VALUE(MID(I204,4,2)),VALUE(LEFT(I204,2))),""))</f>
        <v/>
      </c>
      <c r="AO204" s="27">
        <f>IF(Y204="","",IFERROR(DATE(VALUE(RIGHT(Y204,4)),VALUE(MID(Y204,4,2)),VALUE(LEFT(Y204,2))),""))</f>
        <v/>
      </c>
      <c r="AP204" s="27">
        <f>IF(AC204="","",IFERROR(DATE(VALUE(RIGHT(AC204,4)),VALUE(MID(AC204,4,2)),VALUE(LEFT(AC204,2))),""))</f>
        <v/>
      </c>
      <c r="AQ204" s="26">
        <f>IF(AI204="","",TRIM(LEFT(AI204,FIND(" ",AI204&amp;" ")-1)))</f>
        <v/>
      </c>
      <c r="AR204" s="27">
        <f>IF(AQ204="","",IFERROR(DATE(VALUE(MID(AQ204,FIND("/",AQ204,FIND("/",AQ204)+1)+1,4)),VALUE(LEFT(AQ204,FIND("/",AQ204)-1)),VALUE(MID(AQ204,FIND("/",AQ204)+1,FIND("/",AQ204,FIND("/",AQ204)+1)-FIND("/",AQ204)-1))),""))</f>
        <v/>
      </c>
      <c r="AS204" s="26">
        <f>IF(G204="","",IF(AND(AG204&lt;&gt;"",AG204&lt;&gt;"Bayi Aracı"),"Evet","Hayır"))</f>
        <v/>
      </c>
      <c r="AT204" s="26">
        <f>IF(G204="","",IF(AND(AS204="Evet",T204="Siparişiniz Teslim Edildi"),"Evet","Hayır"))</f>
        <v/>
      </c>
      <c r="AU204" s="26">
        <f>IF(G204="","",IF(AB204="Siparişinizin Montajı Yapıldı","Evet","Hayır"))</f>
        <v/>
      </c>
      <c r="AV204" s="27">
        <f>IF(G204="","",IF(AT204="Evet",AR204,IF(AU204="Evet",AP204,"")))</f>
        <v/>
      </c>
    </row>
    <row r="205">
      <c r="A205" s="23" t="n"/>
      <c r="B205" s="23" t="n"/>
      <c r="C205" s="23" t="n"/>
      <c r="D205" s="23" t="n"/>
      <c r="E205" s="23" t="n"/>
      <c r="F205" s="23" t="n"/>
      <c r="G205" s="23" t="n"/>
      <c r="H205" s="23" t="n"/>
      <c r="I205" s="23" t="n"/>
      <c r="J205" s="23" t="n"/>
      <c r="K205" s="23" t="n"/>
      <c r="L205" s="23" t="n"/>
      <c r="M205" s="23" t="n"/>
      <c r="N205" s="23" t="n"/>
      <c r="O205" s="23" t="n"/>
      <c r="P205" s="23" t="n"/>
      <c r="Q205" s="23" t="n"/>
      <c r="R205" s="23" t="n"/>
      <c r="S205" s="23" t="n"/>
      <c r="T205" s="23" t="n"/>
      <c r="U205" s="23" t="n"/>
      <c r="V205" s="23" t="n"/>
      <c r="W205" s="23" t="n"/>
      <c r="X205" s="23" t="n"/>
      <c r="Y205" s="23" t="n"/>
      <c r="Z205" s="23" t="n"/>
      <c r="AA205" s="23" t="n"/>
      <c r="AB205" s="23" t="n"/>
      <c r="AC205" s="23" t="n"/>
      <c r="AD205" s="23" t="n"/>
      <c r="AE205" s="23" t="n"/>
      <c r="AF205" s="23" t="n"/>
      <c r="AG205" s="23" t="n"/>
      <c r="AH205" s="23" t="n"/>
      <c r="AI205" s="23" t="n"/>
      <c r="AJ205" s="23" t="n"/>
      <c r="AK205" s="23" t="n"/>
      <c r="AL205" s="23" t="n"/>
      <c r="AM205" s="26">
        <f>IF(G205="","",G205&amp;"|"&amp;P205)</f>
        <v/>
      </c>
      <c r="AN205" s="27">
        <f>IF(I205="","",IFERROR(DATE(VALUE(RIGHT(I205,4)),VALUE(MID(I205,4,2)),VALUE(LEFT(I205,2))),""))</f>
        <v/>
      </c>
      <c r="AO205" s="27">
        <f>IF(Y205="","",IFERROR(DATE(VALUE(RIGHT(Y205,4)),VALUE(MID(Y205,4,2)),VALUE(LEFT(Y205,2))),""))</f>
        <v/>
      </c>
      <c r="AP205" s="27">
        <f>IF(AC205="","",IFERROR(DATE(VALUE(RIGHT(AC205,4)),VALUE(MID(AC205,4,2)),VALUE(LEFT(AC205,2))),""))</f>
        <v/>
      </c>
      <c r="AQ205" s="26">
        <f>IF(AI205="","",TRIM(LEFT(AI205,FIND(" ",AI205&amp;" ")-1)))</f>
        <v/>
      </c>
      <c r="AR205" s="27">
        <f>IF(AQ205="","",IFERROR(DATE(VALUE(MID(AQ205,FIND("/",AQ205,FIND("/",AQ205)+1)+1,4)),VALUE(LEFT(AQ205,FIND("/",AQ205)-1)),VALUE(MID(AQ205,FIND("/",AQ205)+1,FIND("/",AQ205,FIND("/",AQ205)+1)-FIND("/",AQ205)-1))),""))</f>
        <v/>
      </c>
      <c r="AS205" s="26">
        <f>IF(G205="","",IF(AND(AG205&lt;&gt;"",AG205&lt;&gt;"Bayi Aracı"),"Evet","Hayır"))</f>
        <v/>
      </c>
      <c r="AT205" s="26">
        <f>IF(G205="","",IF(AND(AS205="Evet",T205="Siparişiniz Teslim Edildi"),"Evet","Hayır"))</f>
        <v/>
      </c>
      <c r="AU205" s="26">
        <f>IF(G205="","",IF(AB205="Siparişinizin Montajı Yapıldı","Evet","Hayır"))</f>
        <v/>
      </c>
      <c r="AV205" s="27">
        <f>IF(G205="","",IF(AT205="Evet",AR205,IF(AU205="Evet",AP205,"")))</f>
        <v/>
      </c>
    </row>
    <row r="206">
      <c r="A206" s="23" t="n"/>
      <c r="B206" s="23" t="n"/>
      <c r="C206" s="23" t="n"/>
      <c r="D206" s="23" t="n"/>
      <c r="E206" s="23" t="n"/>
      <c r="F206" s="23" t="n"/>
      <c r="G206" s="23" t="n"/>
      <c r="H206" s="23" t="n"/>
      <c r="I206" s="23" t="n"/>
      <c r="J206" s="23" t="n"/>
      <c r="K206" s="23" t="n"/>
      <c r="L206" s="23" t="n"/>
      <c r="M206" s="23" t="n"/>
      <c r="N206" s="23" t="n"/>
      <c r="O206" s="23" t="n"/>
      <c r="P206" s="23" t="n"/>
      <c r="Q206" s="23" t="n"/>
      <c r="R206" s="23" t="n"/>
      <c r="S206" s="23" t="n"/>
      <c r="T206" s="23" t="n"/>
      <c r="U206" s="23" t="n"/>
      <c r="V206" s="23" t="n"/>
      <c r="W206" s="23" t="n"/>
      <c r="X206" s="23" t="n"/>
      <c r="Y206" s="23" t="n"/>
      <c r="Z206" s="23" t="n"/>
      <c r="AA206" s="23" t="n"/>
      <c r="AB206" s="23" t="n"/>
      <c r="AC206" s="23" t="n"/>
      <c r="AD206" s="23" t="n"/>
      <c r="AE206" s="23" t="n"/>
      <c r="AF206" s="23" t="n"/>
      <c r="AG206" s="23" t="n"/>
      <c r="AH206" s="23" t="n"/>
      <c r="AI206" s="23" t="n"/>
      <c r="AJ206" s="23" t="n"/>
      <c r="AK206" s="23" t="n"/>
      <c r="AL206" s="23" t="n"/>
      <c r="AM206" s="26">
        <f>IF(G206="","",G206&amp;"|"&amp;P206)</f>
        <v/>
      </c>
      <c r="AN206" s="27">
        <f>IF(I206="","",IFERROR(DATE(VALUE(RIGHT(I206,4)),VALUE(MID(I206,4,2)),VALUE(LEFT(I206,2))),""))</f>
        <v/>
      </c>
      <c r="AO206" s="27">
        <f>IF(Y206="","",IFERROR(DATE(VALUE(RIGHT(Y206,4)),VALUE(MID(Y206,4,2)),VALUE(LEFT(Y206,2))),""))</f>
        <v/>
      </c>
      <c r="AP206" s="27">
        <f>IF(AC206="","",IFERROR(DATE(VALUE(RIGHT(AC206,4)),VALUE(MID(AC206,4,2)),VALUE(LEFT(AC206,2))),""))</f>
        <v/>
      </c>
      <c r="AQ206" s="26">
        <f>IF(AI206="","",TRIM(LEFT(AI206,FIND(" ",AI206&amp;" ")-1)))</f>
        <v/>
      </c>
      <c r="AR206" s="27">
        <f>IF(AQ206="","",IFERROR(DATE(VALUE(MID(AQ206,FIND("/",AQ206,FIND("/",AQ206)+1)+1,4)),VALUE(LEFT(AQ206,FIND("/",AQ206)-1)),VALUE(MID(AQ206,FIND("/",AQ206)+1,FIND("/",AQ206,FIND("/",AQ206)+1)-FIND("/",AQ206)-1))),""))</f>
        <v/>
      </c>
      <c r="AS206" s="26">
        <f>IF(G206="","",IF(AND(AG206&lt;&gt;"",AG206&lt;&gt;"Bayi Aracı"),"Evet","Hayır"))</f>
        <v/>
      </c>
      <c r="AT206" s="26">
        <f>IF(G206="","",IF(AND(AS206="Evet",T206="Siparişiniz Teslim Edildi"),"Evet","Hayır"))</f>
        <v/>
      </c>
      <c r="AU206" s="26">
        <f>IF(G206="","",IF(AB206="Siparişinizin Montajı Yapıldı","Evet","Hayır"))</f>
        <v/>
      </c>
      <c r="AV206" s="27">
        <f>IF(G206="","",IF(AT206="Evet",AR206,IF(AU206="Evet",AP206,"")))</f>
        <v/>
      </c>
    </row>
    <row r="207">
      <c r="A207" s="23" t="n"/>
      <c r="B207" s="23" t="n"/>
      <c r="C207" s="23" t="n"/>
      <c r="D207" s="23" t="n"/>
      <c r="E207" s="23" t="n"/>
      <c r="F207" s="23" t="n"/>
      <c r="G207" s="23" t="n"/>
      <c r="H207" s="23" t="n"/>
      <c r="I207" s="23" t="n"/>
      <c r="J207" s="23" t="n"/>
      <c r="K207" s="23" t="n"/>
      <c r="L207" s="23" t="n"/>
      <c r="M207" s="23" t="n"/>
      <c r="N207" s="23" t="n"/>
      <c r="O207" s="23" t="n"/>
      <c r="P207" s="23" t="n"/>
      <c r="Q207" s="23" t="n"/>
      <c r="R207" s="23" t="n"/>
      <c r="S207" s="23" t="n"/>
      <c r="T207" s="23" t="n"/>
      <c r="U207" s="23" t="n"/>
      <c r="V207" s="23" t="n"/>
      <c r="W207" s="23" t="n"/>
      <c r="X207" s="23" t="n"/>
      <c r="Y207" s="23" t="n"/>
      <c r="Z207" s="23" t="n"/>
      <c r="AA207" s="23" t="n"/>
      <c r="AB207" s="23" t="n"/>
      <c r="AC207" s="23" t="n"/>
      <c r="AD207" s="23" t="n"/>
      <c r="AE207" s="23" t="n"/>
      <c r="AF207" s="23" t="n"/>
      <c r="AG207" s="23" t="n"/>
      <c r="AH207" s="23" t="n"/>
      <c r="AI207" s="23" t="n"/>
      <c r="AJ207" s="23" t="n"/>
      <c r="AK207" s="23" t="n"/>
      <c r="AL207" s="23" t="n"/>
      <c r="AM207" s="26">
        <f>IF(G207="","",G207&amp;"|"&amp;P207)</f>
        <v/>
      </c>
      <c r="AN207" s="27">
        <f>IF(I207="","",IFERROR(DATE(VALUE(RIGHT(I207,4)),VALUE(MID(I207,4,2)),VALUE(LEFT(I207,2))),""))</f>
        <v/>
      </c>
      <c r="AO207" s="27">
        <f>IF(Y207="","",IFERROR(DATE(VALUE(RIGHT(Y207,4)),VALUE(MID(Y207,4,2)),VALUE(LEFT(Y207,2))),""))</f>
        <v/>
      </c>
      <c r="AP207" s="27">
        <f>IF(AC207="","",IFERROR(DATE(VALUE(RIGHT(AC207,4)),VALUE(MID(AC207,4,2)),VALUE(LEFT(AC207,2))),""))</f>
        <v/>
      </c>
      <c r="AQ207" s="26">
        <f>IF(AI207="","",TRIM(LEFT(AI207,FIND(" ",AI207&amp;" ")-1)))</f>
        <v/>
      </c>
      <c r="AR207" s="27">
        <f>IF(AQ207="","",IFERROR(DATE(VALUE(MID(AQ207,FIND("/",AQ207,FIND("/",AQ207)+1)+1,4)),VALUE(LEFT(AQ207,FIND("/",AQ207)-1)),VALUE(MID(AQ207,FIND("/",AQ207)+1,FIND("/",AQ207,FIND("/",AQ207)+1)-FIND("/",AQ207)-1))),""))</f>
        <v/>
      </c>
      <c r="AS207" s="26">
        <f>IF(G207="","",IF(AND(AG207&lt;&gt;"",AG207&lt;&gt;"Bayi Aracı"),"Evet","Hayır"))</f>
        <v/>
      </c>
      <c r="AT207" s="26">
        <f>IF(G207="","",IF(AND(AS207="Evet",T207="Siparişiniz Teslim Edildi"),"Evet","Hayır"))</f>
        <v/>
      </c>
      <c r="AU207" s="26">
        <f>IF(G207="","",IF(AB207="Siparişinizin Montajı Yapıldı","Evet","Hayır"))</f>
        <v/>
      </c>
      <c r="AV207" s="27">
        <f>IF(G207="","",IF(AT207="Evet",AR207,IF(AU207="Evet",AP207,"")))</f>
        <v/>
      </c>
    </row>
    <row r="208">
      <c r="A208" s="23" t="n"/>
      <c r="B208" s="23" t="n"/>
      <c r="C208" s="23" t="n"/>
      <c r="D208" s="23" t="n"/>
      <c r="E208" s="23" t="n"/>
      <c r="F208" s="23" t="n"/>
      <c r="G208" s="23" t="n"/>
      <c r="H208" s="23" t="n"/>
      <c r="I208" s="23" t="n"/>
      <c r="J208" s="23" t="n"/>
      <c r="K208" s="23" t="n"/>
      <c r="L208" s="23" t="n"/>
      <c r="M208" s="23" t="n"/>
      <c r="N208" s="23" t="n"/>
      <c r="O208" s="23" t="n"/>
      <c r="P208" s="23" t="n"/>
      <c r="Q208" s="23" t="n"/>
      <c r="R208" s="23" t="n"/>
      <c r="S208" s="23" t="n"/>
      <c r="T208" s="23" t="n"/>
      <c r="U208" s="23" t="n"/>
      <c r="V208" s="23" t="n"/>
      <c r="W208" s="23" t="n"/>
      <c r="X208" s="23" t="n"/>
      <c r="Y208" s="23" t="n"/>
      <c r="Z208" s="23" t="n"/>
      <c r="AA208" s="23" t="n"/>
      <c r="AB208" s="23" t="n"/>
      <c r="AC208" s="23" t="n"/>
      <c r="AD208" s="23" t="n"/>
      <c r="AE208" s="23" t="n"/>
      <c r="AF208" s="23" t="n"/>
      <c r="AG208" s="23" t="n"/>
      <c r="AH208" s="23" t="n"/>
      <c r="AI208" s="23" t="n"/>
      <c r="AJ208" s="23" t="n"/>
      <c r="AK208" s="23" t="n"/>
      <c r="AL208" s="23" t="n"/>
      <c r="AM208" s="26">
        <f>IF(G208="","",G208&amp;"|"&amp;P208)</f>
        <v/>
      </c>
      <c r="AN208" s="27">
        <f>IF(I208="","",IFERROR(DATE(VALUE(RIGHT(I208,4)),VALUE(MID(I208,4,2)),VALUE(LEFT(I208,2))),""))</f>
        <v/>
      </c>
      <c r="AO208" s="27">
        <f>IF(Y208="","",IFERROR(DATE(VALUE(RIGHT(Y208,4)),VALUE(MID(Y208,4,2)),VALUE(LEFT(Y208,2))),""))</f>
        <v/>
      </c>
      <c r="AP208" s="27">
        <f>IF(AC208="","",IFERROR(DATE(VALUE(RIGHT(AC208,4)),VALUE(MID(AC208,4,2)),VALUE(LEFT(AC208,2))),""))</f>
        <v/>
      </c>
      <c r="AQ208" s="26">
        <f>IF(AI208="","",TRIM(LEFT(AI208,FIND(" ",AI208&amp;" ")-1)))</f>
        <v/>
      </c>
      <c r="AR208" s="27">
        <f>IF(AQ208="","",IFERROR(DATE(VALUE(MID(AQ208,FIND("/",AQ208,FIND("/",AQ208)+1)+1,4)),VALUE(LEFT(AQ208,FIND("/",AQ208)-1)),VALUE(MID(AQ208,FIND("/",AQ208)+1,FIND("/",AQ208,FIND("/",AQ208)+1)-FIND("/",AQ208)-1))),""))</f>
        <v/>
      </c>
      <c r="AS208" s="26">
        <f>IF(G208="","",IF(AND(AG208&lt;&gt;"",AG208&lt;&gt;"Bayi Aracı"),"Evet","Hayır"))</f>
        <v/>
      </c>
      <c r="AT208" s="26">
        <f>IF(G208="","",IF(AND(AS208="Evet",T208="Siparişiniz Teslim Edildi"),"Evet","Hayır"))</f>
        <v/>
      </c>
      <c r="AU208" s="26">
        <f>IF(G208="","",IF(AB208="Siparişinizin Montajı Yapıldı","Evet","Hayır"))</f>
        <v/>
      </c>
      <c r="AV208" s="27">
        <f>IF(G208="","",IF(AT208="Evet",AR208,IF(AU208="Evet",AP208,"")))</f>
        <v/>
      </c>
    </row>
    <row r="209">
      <c r="A209" s="23" t="n"/>
      <c r="B209" s="23" t="n"/>
      <c r="C209" s="23" t="n"/>
      <c r="D209" s="23" t="n"/>
      <c r="E209" s="23" t="n"/>
      <c r="F209" s="23" t="n"/>
      <c r="G209" s="23" t="n"/>
      <c r="H209" s="23" t="n"/>
      <c r="I209" s="23" t="n"/>
      <c r="J209" s="23" t="n"/>
      <c r="K209" s="23" t="n"/>
      <c r="L209" s="23" t="n"/>
      <c r="M209" s="23" t="n"/>
      <c r="N209" s="23" t="n"/>
      <c r="O209" s="23" t="n"/>
      <c r="P209" s="23" t="n"/>
      <c r="Q209" s="23" t="n"/>
      <c r="R209" s="23" t="n"/>
      <c r="S209" s="23" t="n"/>
      <c r="T209" s="23" t="n"/>
      <c r="U209" s="23" t="n"/>
      <c r="V209" s="23" t="n"/>
      <c r="W209" s="23" t="n"/>
      <c r="X209" s="23" t="n"/>
      <c r="Y209" s="23" t="n"/>
      <c r="Z209" s="23" t="n"/>
      <c r="AA209" s="23" t="n"/>
      <c r="AB209" s="23" t="n"/>
      <c r="AC209" s="23" t="n"/>
      <c r="AD209" s="23" t="n"/>
      <c r="AE209" s="23" t="n"/>
      <c r="AF209" s="23" t="n"/>
      <c r="AG209" s="23" t="n"/>
      <c r="AH209" s="23" t="n"/>
      <c r="AI209" s="23" t="n"/>
      <c r="AJ209" s="23" t="n"/>
      <c r="AK209" s="23" t="n"/>
      <c r="AL209" s="23" t="n"/>
      <c r="AM209" s="26">
        <f>IF(G209="","",G209&amp;"|"&amp;P209)</f>
        <v/>
      </c>
      <c r="AN209" s="27">
        <f>IF(I209="","",IFERROR(DATE(VALUE(RIGHT(I209,4)),VALUE(MID(I209,4,2)),VALUE(LEFT(I209,2))),""))</f>
        <v/>
      </c>
      <c r="AO209" s="27">
        <f>IF(Y209="","",IFERROR(DATE(VALUE(RIGHT(Y209,4)),VALUE(MID(Y209,4,2)),VALUE(LEFT(Y209,2))),""))</f>
        <v/>
      </c>
      <c r="AP209" s="27">
        <f>IF(AC209="","",IFERROR(DATE(VALUE(RIGHT(AC209,4)),VALUE(MID(AC209,4,2)),VALUE(LEFT(AC209,2))),""))</f>
        <v/>
      </c>
      <c r="AQ209" s="26">
        <f>IF(AI209="","",TRIM(LEFT(AI209,FIND(" ",AI209&amp;" ")-1)))</f>
        <v/>
      </c>
      <c r="AR209" s="27">
        <f>IF(AQ209="","",IFERROR(DATE(VALUE(MID(AQ209,FIND("/",AQ209,FIND("/",AQ209)+1)+1,4)),VALUE(LEFT(AQ209,FIND("/",AQ209)-1)),VALUE(MID(AQ209,FIND("/",AQ209)+1,FIND("/",AQ209,FIND("/",AQ209)+1)-FIND("/",AQ209)-1))),""))</f>
        <v/>
      </c>
      <c r="AS209" s="26">
        <f>IF(G209="","",IF(AND(AG209&lt;&gt;"",AG209&lt;&gt;"Bayi Aracı"),"Evet","Hayır"))</f>
        <v/>
      </c>
      <c r="AT209" s="26">
        <f>IF(G209="","",IF(AND(AS209="Evet",T209="Siparişiniz Teslim Edildi"),"Evet","Hayır"))</f>
        <v/>
      </c>
      <c r="AU209" s="26">
        <f>IF(G209="","",IF(AB209="Siparişinizin Montajı Yapıldı","Evet","Hayır"))</f>
        <v/>
      </c>
      <c r="AV209" s="27">
        <f>IF(G209="","",IF(AT209="Evet",AR209,IF(AU209="Evet",AP209,"")))</f>
        <v/>
      </c>
    </row>
    <row r="210">
      <c r="A210" s="23" t="n"/>
      <c r="B210" s="23" t="n"/>
      <c r="C210" s="23" t="n"/>
      <c r="D210" s="23" t="n"/>
      <c r="E210" s="23" t="n"/>
      <c r="F210" s="23" t="n"/>
      <c r="G210" s="23" t="n"/>
      <c r="H210" s="23" t="n"/>
      <c r="I210" s="23" t="n"/>
      <c r="J210" s="23" t="n"/>
      <c r="K210" s="23" t="n"/>
      <c r="L210" s="23" t="n"/>
      <c r="M210" s="23" t="n"/>
      <c r="N210" s="23" t="n"/>
      <c r="O210" s="23" t="n"/>
      <c r="P210" s="23" t="n"/>
      <c r="Q210" s="23" t="n"/>
      <c r="R210" s="23" t="n"/>
      <c r="S210" s="23" t="n"/>
      <c r="T210" s="23" t="n"/>
      <c r="U210" s="23" t="n"/>
      <c r="V210" s="23" t="n"/>
      <c r="W210" s="23" t="n"/>
      <c r="X210" s="23" t="n"/>
      <c r="Y210" s="23" t="n"/>
      <c r="Z210" s="23" t="n"/>
      <c r="AA210" s="23" t="n"/>
      <c r="AB210" s="23" t="n"/>
      <c r="AC210" s="23" t="n"/>
      <c r="AD210" s="23" t="n"/>
      <c r="AE210" s="23" t="n"/>
      <c r="AF210" s="23" t="n"/>
      <c r="AG210" s="23" t="n"/>
      <c r="AH210" s="23" t="n"/>
      <c r="AI210" s="23" t="n"/>
      <c r="AJ210" s="23" t="n"/>
      <c r="AK210" s="23" t="n"/>
      <c r="AL210" s="23" t="n"/>
      <c r="AM210" s="26">
        <f>IF(G210="","",G210&amp;"|"&amp;P210)</f>
        <v/>
      </c>
      <c r="AN210" s="27">
        <f>IF(I210="","",IFERROR(DATE(VALUE(RIGHT(I210,4)),VALUE(MID(I210,4,2)),VALUE(LEFT(I210,2))),""))</f>
        <v/>
      </c>
      <c r="AO210" s="27">
        <f>IF(Y210="","",IFERROR(DATE(VALUE(RIGHT(Y210,4)),VALUE(MID(Y210,4,2)),VALUE(LEFT(Y210,2))),""))</f>
        <v/>
      </c>
      <c r="AP210" s="27">
        <f>IF(AC210="","",IFERROR(DATE(VALUE(RIGHT(AC210,4)),VALUE(MID(AC210,4,2)),VALUE(LEFT(AC210,2))),""))</f>
        <v/>
      </c>
      <c r="AQ210" s="26">
        <f>IF(AI210="","",TRIM(LEFT(AI210,FIND(" ",AI210&amp;" ")-1)))</f>
        <v/>
      </c>
      <c r="AR210" s="27">
        <f>IF(AQ210="","",IFERROR(DATE(VALUE(MID(AQ210,FIND("/",AQ210,FIND("/",AQ210)+1)+1,4)),VALUE(LEFT(AQ210,FIND("/",AQ210)-1)),VALUE(MID(AQ210,FIND("/",AQ210)+1,FIND("/",AQ210,FIND("/",AQ210)+1)-FIND("/",AQ210)-1))),""))</f>
        <v/>
      </c>
      <c r="AS210" s="26">
        <f>IF(G210="","",IF(AND(AG210&lt;&gt;"",AG210&lt;&gt;"Bayi Aracı"),"Evet","Hayır"))</f>
        <v/>
      </c>
      <c r="AT210" s="26">
        <f>IF(G210="","",IF(AND(AS210="Evet",T210="Siparişiniz Teslim Edildi"),"Evet","Hayır"))</f>
        <v/>
      </c>
      <c r="AU210" s="26">
        <f>IF(G210="","",IF(AB210="Siparişinizin Montajı Yapıldı","Evet","Hayır"))</f>
        <v/>
      </c>
      <c r="AV210" s="27">
        <f>IF(G210="","",IF(AT210="Evet",AR210,IF(AU210="Evet",AP210,"")))</f>
        <v/>
      </c>
    </row>
    <row r="211">
      <c r="A211" s="23" t="n"/>
      <c r="B211" s="23" t="n"/>
      <c r="C211" s="23" t="n"/>
      <c r="D211" s="23" t="n"/>
      <c r="E211" s="23" t="n"/>
      <c r="F211" s="23" t="n"/>
      <c r="G211" s="23" t="n"/>
      <c r="H211" s="23" t="n"/>
      <c r="I211" s="23" t="n"/>
      <c r="J211" s="23" t="n"/>
      <c r="K211" s="23" t="n"/>
      <c r="L211" s="23" t="n"/>
      <c r="M211" s="23" t="n"/>
      <c r="N211" s="23" t="n"/>
      <c r="O211" s="23" t="n"/>
      <c r="P211" s="23" t="n"/>
      <c r="Q211" s="23" t="n"/>
      <c r="R211" s="23" t="n"/>
      <c r="S211" s="23" t="n"/>
      <c r="T211" s="23" t="n"/>
      <c r="U211" s="23" t="n"/>
      <c r="V211" s="23" t="n"/>
      <c r="W211" s="23" t="n"/>
      <c r="X211" s="23" t="n"/>
      <c r="Y211" s="23" t="n"/>
      <c r="Z211" s="23" t="n"/>
      <c r="AA211" s="23" t="n"/>
      <c r="AB211" s="23" t="n"/>
      <c r="AC211" s="23" t="n"/>
      <c r="AD211" s="23" t="n"/>
      <c r="AE211" s="23" t="n"/>
      <c r="AF211" s="23" t="n"/>
      <c r="AG211" s="23" t="n"/>
      <c r="AH211" s="23" t="n"/>
      <c r="AI211" s="23" t="n"/>
      <c r="AJ211" s="23" t="n"/>
      <c r="AK211" s="23" t="n"/>
      <c r="AL211" s="23" t="n"/>
      <c r="AM211" s="26">
        <f>IF(G211="","",G211&amp;"|"&amp;P211)</f>
        <v/>
      </c>
      <c r="AN211" s="27">
        <f>IF(I211="","",IFERROR(DATE(VALUE(RIGHT(I211,4)),VALUE(MID(I211,4,2)),VALUE(LEFT(I211,2))),""))</f>
        <v/>
      </c>
      <c r="AO211" s="27">
        <f>IF(Y211="","",IFERROR(DATE(VALUE(RIGHT(Y211,4)),VALUE(MID(Y211,4,2)),VALUE(LEFT(Y211,2))),""))</f>
        <v/>
      </c>
      <c r="AP211" s="27">
        <f>IF(AC211="","",IFERROR(DATE(VALUE(RIGHT(AC211,4)),VALUE(MID(AC211,4,2)),VALUE(LEFT(AC211,2))),""))</f>
        <v/>
      </c>
      <c r="AQ211" s="26">
        <f>IF(AI211="","",TRIM(LEFT(AI211,FIND(" ",AI211&amp;" ")-1)))</f>
        <v/>
      </c>
      <c r="AR211" s="27">
        <f>IF(AQ211="","",IFERROR(DATE(VALUE(MID(AQ211,FIND("/",AQ211,FIND("/",AQ211)+1)+1,4)),VALUE(LEFT(AQ211,FIND("/",AQ211)-1)),VALUE(MID(AQ211,FIND("/",AQ211)+1,FIND("/",AQ211,FIND("/",AQ211)+1)-FIND("/",AQ211)-1))),""))</f>
        <v/>
      </c>
      <c r="AS211" s="26">
        <f>IF(G211="","",IF(AND(AG211&lt;&gt;"",AG211&lt;&gt;"Bayi Aracı"),"Evet","Hayır"))</f>
        <v/>
      </c>
      <c r="AT211" s="26">
        <f>IF(G211="","",IF(AND(AS211="Evet",T211="Siparişiniz Teslim Edildi"),"Evet","Hayır"))</f>
        <v/>
      </c>
      <c r="AU211" s="26">
        <f>IF(G211="","",IF(AB211="Siparişinizin Montajı Yapıldı","Evet","Hayır"))</f>
        <v/>
      </c>
      <c r="AV211" s="27">
        <f>IF(G211="","",IF(AT211="Evet",AR211,IF(AU211="Evet",AP211,"")))</f>
        <v/>
      </c>
    </row>
    <row r="212">
      <c r="A212" s="23" t="n"/>
      <c r="B212" s="23" t="n"/>
      <c r="C212" s="23" t="n"/>
      <c r="D212" s="23" t="n"/>
      <c r="E212" s="23" t="n"/>
      <c r="F212" s="23" t="n"/>
      <c r="G212" s="23" t="n"/>
      <c r="H212" s="23" t="n"/>
      <c r="I212" s="23" t="n"/>
      <c r="J212" s="23" t="n"/>
      <c r="K212" s="23" t="n"/>
      <c r="L212" s="23" t="n"/>
      <c r="M212" s="23" t="n"/>
      <c r="N212" s="23" t="n"/>
      <c r="O212" s="23" t="n"/>
      <c r="P212" s="23" t="n"/>
      <c r="Q212" s="23" t="n"/>
      <c r="R212" s="23" t="n"/>
      <c r="S212" s="23" t="n"/>
      <c r="T212" s="23" t="n"/>
      <c r="U212" s="23" t="n"/>
      <c r="V212" s="23" t="n"/>
      <c r="W212" s="23" t="n"/>
      <c r="X212" s="23" t="n"/>
      <c r="Y212" s="23" t="n"/>
      <c r="Z212" s="23" t="n"/>
      <c r="AA212" s="23" t="n"/>
      <c r="AB212" s="23" t="n"/>
      <c r="AC212" s="23" t="n"/>
      <c r="AD212" s="23" t="n"/>
      <c r="AE212" s="23" t="n"/>
      <c r="AF212" s="23" t="n"/>
      <c r="AG212" s="23" t="n"/>
      <c r="AH212" s="23" t="n"/>
      <c r="AI212" s="23" t="n"/>
      <c r="AJ212" s="23" t="n"/>
      <c r="AK212" s="23" t="n"/>
      <c r="AL212" s="23" t="n"/>
      <c r="AM212" s="26">
        <f>IF(G212="","",G212&amp;"|"&amp;P212)</f>
        <v/>
      </c>
      <c r="AN212" s="27">
        <f>IF(I212="","",IFERROR(DATE(VALUE(RIGHT(I212,4)),VALUE(MID(I212,4,2)),VALUE(LEFT(I212,2))),""))</f>
        <v/>
      </c>
      <c r="AO212" s="27">
        <f>IF(Y212="","",IFERROR(DATE(VALUE(RIGHT(Y212,4)),VALUE(MID(Y212,4,2)),VALUE(LEFT(Y212,2))),""))</f>
        <v/>
      </c>
      <c r="AP212" s="27">
        <f>IF(AC212="","",IFERROR(DATE(VALUE(RIGHT(AC212,4)),VALUE(MID(AC212,4,2)),VALUE(LEFT(AC212,2))),""))</f>
        <v/>
      </c>
      <c r="AQ212" s="26">
        <f>IF(AI212="","",TRIM(LEFT(AI212,FIND(" ",AI212&amp;" ")-1)))</f>
        <v/>
      </c>
      <c r="AR212" s="27">
        <f>IF(AQ212="","",IFERROR(DATE(VALUE(MID(AQ212,FIND("/",AQ212,FIND("/",AQ212)+1)+1,4)),VALUE(LEFT(AQ212,FIND("/",AQ212)-1)),VALUE(MID(AQ212,FIND("/",AQ212)+1,FIND("/",AQ212,FIND("/",AQ212)+1)-FIND("/",AQ212)-1))),""))</f>
        <v/>
      </c>
      <c r="AS212" s="26">
        <f>IF(G212="","",IF(AND(AG212&lt;&gt;"",AG212&lt;&gt;"Bayi Aracı"),"Evet","Hayır"))</f>
        <v/>
      </c>
      <c r="AT212" s="26">
        <f>IF(G212="","",IF(AND(AS212="Evet",T212="Siparişiniz Teslim Edildi"),"Evet","Hayır"))</f>
        <v/>
      </c>
      <c r="AU212" s="26">
        <f>IF(G212="","",IF(AB212="Siparişinizin Montajı Yapıldı","Evet","Hayır"))</f>
        <v/>
      </c>
      <c r="AV212" s="27">
        <f>IF(G212="","",IF(AT212="Evet",AR212,IF(AU212="Evet",AP212,"")))</f>
        <v/>
      </c>
    </row>
    <row r="213">
      <c r="A213" s="23" t="n"/>
      <c r="B213" s="23" t="n"/>
      <c r="C213" s="23" t="n"/>
      <c r="D213" s="23" t="n"/>
      <c r="E213" s="23" t="n"/>
      <c r="F213" s="23" t="n"/>
      <c r="G213" s="23" t="n"/>
      <c r="H213" s="23" t="n"/>
      <c r="I213" s="23" t="n"/>
      <c r="J213" s="23" t="n"/>
      <c r="K213" s="23" t="n"/>
      <c r="L213" s="23" t="n"/>
      <c r="M213" s="23" t="n"/>
      <c r="N213" s="23" t="n"/>
      <c r="O213" s="23" t="n"/>
      <c r="P213" s="23" t="n"/>
      <c r="Q213" s="23" t="n"/>
      <c r="R213" s="23" t="n"/>
      <c r="S213" s="23" t="n"/>
      <c r="T213" s="23" t="n"/>
      <c r="U213" s="23" t="n"/>
      <c r="V213" s="23" t="n"/>
      <c r="W213" s="23" t="n"/>
      <c r="X213" s="23" t="n"/>
      <c r="Y213" s="23" t="n"/>
      <c r="Z213" s="23" t="n"/>
      <c r="AA213" s="23" t="n"/>
      <c r="AB213" s="23" t="n"/>
      <c r="AC213" s="23" t="n"/>
      <c r="AD213" s="23" t="n"/>
      <c r="AE213" s="23" t="n"/>
      <c r="AF213" s="23" t="n"/>
      <c r="AG213" s="23" t="n"/>
      <c r="AH213" s="23" t="n"/>
      <c r="AI213" s="23" t="n"/>
      <c r="AJ213" s="23" t="n"/>
      <c r="AK213" s="23" t="n"/>
      <c r="AL213" s="23" t="n"/>
      <c r="AM213" s="26">
        <f>IF(G213="","",G213&amp;"|"&amp;P213)</f>
        <v/>
      </c>
      <c r="AN213" s="27">
        <f>IF(I213="","",IFERROR(DATE(VALUE(RIGHT(I213,4)),VALUE(MID(I213,4,2)),VALUE(LEFT(I213,2))),""))</f>
        <v/>
      </c>
      <c r="AO213" s="27">
        <f>IF(Y213="","",IFERROR(DATE(VALUE(RIGHT(Y213,4)),VALUE(MID(Y213,4,2)),VALUE(LEFT(Y213,2))),""))</f>
        <v/>
      </c>
      <c r="AP213" s="27">
        <f>IF(AC213="","",IFERROR(DATE(VALUE(RIGHT(AC213,4)),VALUE(MID(AC213,4,2)),VALUE(LEFT(AC213,2))),""))</f>
        <v/>
      </c>
      <c r="AQ213" s="26">
        <f>IF(AI213="","",TRIM(LEFT(AI213,FIND(" ",AI213&amp;" ")-1)))</f>
        <v/>
      </c>
      <c r="AR213" s="27">
        <f>IF(AQ213="","",IFERROR(DATE(VALUE(MID(AQ213,FIND("/",AQ213,FIND("/",AQ213)+1)+1,4)),VALUE(LEFT(AQ213,FIND("/",AQ213)-1)),VALUE(MID(AQ213,FIND("/",AQ213)+1,FIND("/",AQ213,FIND("/",AQ213)+1)-FIND("/",AQ213)-1))),""))</f>
        <v/>
      </c>
      <c r="AS213" s="26">
        <f>IF(G213="","",IF(AND(AG213&lt;&gt;"",AG213&lt;&gt;"Bayi Aracı"),"Evet","Hayır"))</f>
        <v/>
      </c>
      <c r="AT213" s="26">
        <f>IF(G213="","",IF(AND(AS213="Evet",T213="Siparişiniz Teslim Edildi"),"Evet","Hayır"))</f>
        <v/>
      </c>
      <c r="AU213" s="26">
        <f>IF(G213="","",IF(AB213="Siparişinizin Montajı Yapıldı","Evet","Hayır"))</f>
        <v/>
      </c>
      <c r="AV213" s="27">
        <f>IF(G213="","",IF(AT213="Evet",AR213,IF(AU213="Evet",AP213,"")))</f>
        <v/>
      </c>
    </row>
    <row r="214">
      <c r="A214" s="23" t="n"/>
      <c r="B214" s="23" t="n"/>
      <c r="C214" s="23" t="n"/>
      <c r="D214" s="23" t="n"/>
      <c r="E214" s="23" t="n"/>
      <c r="F214" s="23" t="n"/>
      <c r="G214" s="23" t="n"/>
      <c r="H214" s="23" t="n"/>
      <c r="I214" s="23" t="n"/>
      <c r="J214" s="23" t="n"/>
      <c r="K214" s="23" t="n"/>
      <c r="L214" s="23" t="n"/>
      <c r="M214" s="23" t="n"/>
      <c r="N214" s="23" t="n"/>
      <c r="O214" s="23" t="n"/>
      <c r="P214" s="23" t="n"/>
      <c r="Q214" s="23" t="n"/>
      <c r="R214" s="23" t="n"/>
      <c r="S214" s="23" t="n"/>
      <c r="T214" s="23" t="n"/>
      <c r="U214" s="23" t="n"/>
      <c r="V214" s="23" t="n"/>
      <c r="W214" s="23" t="n"/>
      <c r="X214" s="23" t="n"/>
      <c r="Y214" s="23" t="n"/>
      <c r="Z214" s="23" t="n"/>
      <c r="AA214" s="23" t="n"/>
      <c r="AB214" s="23" t="n"/>
      <c r="AC214" s="23" t="n"/>
      <c r="AD214" s="23" t="n"/>
      <c r="AE214" s="23" t="n"/>
      <c r="AF214" s="23" t="n"/>
      <c r="AG214" s="23" t="n"/>
      <c r="AH214" s="23" t="n"/>
      <c r="AI214" s="23" t="n"/>
      <c r="AJ214" s="23" t="n"/>
      <c r="AK214" s="23" t="n"/>
      <c r="AL214" s="23" t="n"/>
      <c r="AM214" s="26">
        <f>IF(G214="","",G214&amp;"|"&amp;P214)</f>
        <v/>
      </c>
      <c r="AN214" s="27">
        <f>IF(I214="","",IFERROR(DATE(VALUE(RIGHT(I214,4)),VALUE(MID(I214,4,2)),VALUE(LEFT(I214,2))),""))</f>
        <v/>
      </c>
      <c r="AO214" s="27">
        <f>IF(Y214="","",IFERROR(DATE(VALUE(RIGHT(Y214,4)),VALUE(MID(Y214,4,2)),VALUE(LEFT(Y214,2))),""))</f>
        <v/>
      </c>
      <c r="AP214" s="27">
        <f>IF(AC214="","",IFERROR(DATE(VALUE(RIGHT(AC214,4)),VALUE(MID(AC214,4,2)),VALUE(LEFT(AC214,2))),""))</f>
        <v/>
      </c>
      <c r="AQ214" s="26">
        <f>IF(AI214="","",TRIM(LEFT(AI214,FIND(" ",AI214&amp;" ")-1)))</f>
        <v/>
      </c>
      <c r="AR214" s="27">
        <f>IF(AQ214="","",IFERROR(DATE(VALUE(MID(AQ214,FIND("/",AQ214,FIND("/",AQ214)+1)+1,4)),VALUE(LEFT(AQ214,FIND("/",AQ214)-1)),VALUE(MID(AQ214,FIND("/",AQ214)+1,FIND("/",AQ214,FIND("/",AQ214)+1)-FIND("/",AQ214)-1))),""))</f>
        <v/>
      </c>
      <c r="AS214" s="26">
        <f>IF(G214="","",IF(AND(AG214&lt;&gt;"",AG214&lt;&gt;"Bayi Aracı"),"Evet","Hayır"))</f>
        <v/>
      </c>
      <c r="AT214" s="26">
        <f>IF(G214="","",IF(AND(AS214="Evet",T214="Siparişiniz Teslim Edildi"),"Evet","Hayır"))</f>
        <v/>
      </c>
      <c r="AU214" s="26">
        <f>IF(G214="","",IF(AB214="Siparişinizin Montajı Yapıldı","Evet","Hayır"))</f>
        <v/>
      </c>
      <c r="AV214" s="27">
        <f>IF(G214="","",IF(AT214="Evet",AR214,IF(AU214="Evet",AP214,"")))</f>
        <v/>
      </c>
    </row>
    <row r="215">
      <c r="A215" s="23" t="n"/>
      <c r="B215" s="23" t="n"/>
      <c r="C215" s="23" t="n"/>
      <c r="D215" s="23" t="n"/>
      <c r="E215" s="23" t="n"/>
      <c r="F215" s="23" t="n"/>
      <c r="G215" s="23" t="n"/>
      <c r="H215" s="23" t="n"/>
      <c r="I215" s="23" t="n"/>
      <c r="J215" s="23" t="n"/>
      <c r="K215" s="23" t="n"/>
      <c r="L215" s="23" t="n"/>
      <c r="M215" s="23" t="n"/>
      <c r="N215" s="23" t="n"/>
      <c r="O215" s="23" t="n"/>
      <c r="P215" s="23" t="n"/>
      <c r="Q215" s="23" t="n"/>
      <c r="R215" s="23" t="n"/>
      <c r="S215" s="23" t="n"/>
      <c r="T215" s="23" t="n"/>
      <c r="U215" s="23" t="n"/>
      <c r="V215" s="23" t="n"/>
      <c r="W215" s="23" t="n"/>
      <c r="X215" s="23" t="n"/>
      <c r="Y215" s="23" t="n"/>
      <c r="Z215" s="23" t="n"/>
      <c r="AA215" s="23" t="n"/>
      <c r="AB215" s="23" t="n"/>
      <c r="AC215" s="23" t="n"/>
      <c r="AD215" s="23" t="n"/>
      <c r="AE215" s="23" t="n"/>
      <c r="AF215" s="23" t="n"/>
      <c r="AG215" s="23" t="n"/>
      <c r="AH215" s="23" t="n"/>
      <c r="AI215" s="23" t="n"/>
      <c r="AJ215" s="23" t="n"/>
      <c r="AK215" s="23" t="n"/>
      <c r="AL215" s="23" t="n"/>
      <c r="AM215" s="26">
        <f>IF(G215="","",G215&amp;"|"&amp;P215)</f>
        <v/>
      </c>
      <c r="AN215" s="27">
        <f>IF(I215="","",IFERROR(DATE(VALUE(RIGHT(I215,4)),VALUE(MID(I215,4,2)),VALUE(LEFT(I215,2))),""))</f>
        <v/>
      </c>
      <c r="AO215" s="27">
        <f>IF(Y215="","",IFERROR(DATE(VALUE(RIGHT(Y215,4)),VALUE(MID(Y215,4,2)),VALUE(LEFT(Y215,2))),""))</f>
        <v/>
      </c>
      <c r="AP215" s="27">
        <f>IF(AC215="","",IFERROR(DATE(VALUE(RIGHT(AC215,4)),VALUE(MID(AC215,4,2)),VALUE(LEFT(AC215,2))),""))</f>
        <v/>
      </c>
      <c r="AQ215" s="26">
        <f>IF(AI215="","",TRIM(LEFT(AI215,FIND(" ",AI215&amp;" ")-1)))</f>
        <v/>
      </c>
      <c r="AR215" s="27">
        <f>IF(AQ215="","",IFERROR(DATE(VALUE(MID(AQ215,FIND("/",AQ215,FIND("/",AQ215)+1)+1,4)),VALUE(LEFT(AQ215,FIND("/",AQ215)-1)),VALUE(MID(AQ215,FIND("/",AQ215)+1,FIND("/",AQ215,FIND("/",AQ215)+1)-FIND("/",AQ215)-1))),""))</f>
        <v/>
      </c>
      <c r="AS215" s="26">
        <f>IF(G215="","",IF(AND(AG215&lt;&gt;"",AG215&lt;&gt;"Bayi Aracı"),"Evet","Hayır"))</f>
        <v/>
      </c>
      <c r="AT215" s="26">
        <f>IF(G215="","",IF(AND(AS215="Evet",T215="Siparişiniz Teslim Edildi"),"Evet","Hayır"))</f>
        <v/>
      </c>
      <c r="AU215" s="26">
        <f>IF(G215="","",IF(AB215="Siparişinizin Montajı Yapıldı","Evet","Hayır"))</f>
        <v/>
      </c>
      <c r="AV215" s="27">
        <f>IF(G215="","",IF(AT215="Evet",AR215,IF(AU215="Evet",AP215,"")))</f>
        <v/>
      </c>
    </row>
    <row r="216">
      <c r="A216" s="23" t="n"/>
      <c r="B216" s="23" t="n"/>
      <c r="C216" s="23" t="n"/>
      <c r="D216" s="23" t="n"/>
      <c r="E216" s="23" t="n"/>
      <c r="F216" s="23" t="n"/>
      <c r="G216" s="23" t="n"/>
      <c r="H216" s="23" t="n"/>
      <c r="I216" s="23" t="n"/>
      <c r="J216" s="23" t="n"/>
      <c r="K216" s="23" t="n"/>
      <c r="L216" s="23" t="n"/>
      <c r="M216" s="23" t="n"/>
      <c r="N216" s="23" t="n"/>
      <c r="O216" s="23" t="n"/>
      <c r="P216" s="23" t="n"/>
      <c r="Q216" s="23" t="n"/>
      <c r="R216" s="23" t="n"/>
      <c r="S216" s="23" t="n"/>
      <c r="T216" s="23" t="n"/>
      <c r="U216" s="23" t="n"/>
      <c r="V216" s="23" t="n"/>
      <c r="W216" s="23" t="n"/>
      <c r="X216" s="23" t="n"/>
      <c r="Y216" s="23" t="n"/>
      <c r="Z216" s="23" t="n"/>
      <c r="AA216" s="23" t="n"/>
      <c r="AB216" s="23" t="n"/>
      <c r="AC216" s="23" t="n"/>
      <c r="AD216" s="23" t="n"/>
      <c r="AE216" s="23" t="n"/>
      <c r="AF216" s="23" t="n"/>
      <c r="AG216" s="23" t="n"/>
      <c r="AH216" s="23" t="n"/>
      <c r="AI216" s="23" t="n"/>
      <c r="AJ216" s="23" t="n"/>
      <c r="AK216" s="23" t="n"/>
      <c r="AL216" s="23" t="n"/>
      <c r="AM216" s="26">
        <f>IF(G216="","",G216&amp;"|"&amp;P216)</f>
        <v/>
      </c>
      <c r="AN216" s="27">
        <f>IF(I216="","",IFERROR(DATE(VALUE(RIGHT(I216,4)),VALUE(MID(I216,4,2)),VALUE(LEFT(I216,2))),""))</f>
        <v/>
      </c>
      <c r="AO216" s="27">
        <f>IF(Y216="","",IFERROR(DATE(VALUE(RIGHT(Y216,4)),VALUE(MID(Y216,4,2)),VALUE(LEFT(Y216,2))),""))</f>
        <v/>
      </c>
      <c r="AP216" s="27">
        <f>IF(AC216="","",IFERROR(DATE(VALUE(RIGHT(AC216,4)),VALUE(MID(AC216,4,2)),VALUE(LEFT(AC216,2))),""))</f>
        <v/>
      </c>
      <c r="AQ216" s="26">
        <f>IF(AI216="","",TRIM(LEFT(AI216,FIND(" ",AI216&amp;" ")-1)))</f>
        <v/>
      </c>
      <c r="AR216" s="27">
        <f>IF(AQ216="","",IFERROR(DATE(VALUE(MID(AQ216,FIND("/",AQ216,FIND("/",AQ216)+1)+1,4)),VALUE(LEFT(AQ216,FIND("/",AQ216)-1)),VALUE(MID(AQ216,FIND("/",AQ216)+1,FIND("/",AQ216,FIND("/",AQ216)+1)-FIND("/",AQ216)-1))),""))</f>
        <v/>
      </c>
      <c r="AS216" s="26">
        <f>IF(G216="","",IF(AND(AG216&lt;&gt;"",AG216&lt;&gt;"Bayi Aracı"),"Evet","Hayır"))</f>
        <v/>
      </c>
      <c r="AT216" s="26">
        <f>IF(G216="","",IF(AND(AS216="Evet",T216="Siparişiniz Teslim Edildi"),"Evet","Hayır"))</f>
        <v/>
      </c>
      <c r="AU216" s="26">
        <f>IF(G216="","",IF(AB216="Siparişinizin Montajı Yapıldı","Evet","Hayır"))</f>
        <v/>
      </c>
      <c r="AV216" s="27">
        <f>IF(G216="","",IF(AT216="Evet",AR216,IF(AU216="Evet",AP216,"")))</f>
        <v/>
      </c>
    </row>
    <row r="217">
      <c r="A217" s="23" t="n"/>
      <c r="B217" s="23" t="n"/>
      <c r="C217" s="23" t="n"/>
      <c r="D217" s="23" t="n"/>
      <c r="E217" s="23" t="n"/>
      <c r="F217" s="23" t="n"/>
      <c r="G217" s="23" t="n"/>
      <c r="H217" s="23" t="n"/>
      <c r="I217" s="23" t="n"/>
      <c r="J217" s="23" t="n"/>
      <c r="K217" s="23" t="n"/>
      <c r="L217" s="23" t="n"/>
      <c r="M217" s="23" t="n"/>
      <c r="N217" s="23" t="n"/>
      <c r="O217" s="23" t="n"/>
      <c r="P217" s="23" t="n"/>
      <c r="Q217" s="23" t="n"/>
      <c r="R217" s="23" t="n"/>
      <c r="S217" s="23" t="n"/>
      <c r="T217" s="23" t="n"/>
      <c r="U217" s="23" t="n"/>
      <c r="V217" s="23" t="n"/>
      <c r="W217" s="23" t="n"/>
      <c r="X217" s="23" t="n"/>
      <c r="Y217" s="23" t="n"/>
      <c r="Z217" s="23" t="n"/>
      <c r="AA217" s="23" t="n"/>
      <c r="AB217" s="23" t="n"/>
      <c r="AC217" s="23" t="n"/>
      <c r="AD217" s="23" t="n"/>
      <c r="AE217" s="23" t="n"/>
      <c r="AF217" s="23" t="n"/>
      <c r="AG217" s="23" t="n"/>
      <c r="AH217" s="23" t="n"/>
      <c r="AI217" s="23" t="n"/>
      <c r="AJ217" s="23" t="n"/>
      <c r="AK217" s="23" t="n"/>
      <c r="AL217" s="23" t="n"/>
      <c r="AM217" s="26">
        <f>IF(G217="","",G217&amp;"|"&amp;P217)</f>
        <v/>
      </c>
      <c r="AN217" s="27">
        <f>IF(I217="","",IFERROR(DATE(VALUE(RIGHT(I217,4)),VALUE(MID(I217,4,2)),VALUE(LEFT(I217,2))),""))</f>
        <v/>
      </c>
      <c r="AO217" s="27">
        <f>IF(Y217="","",IFERROR(DATE(VALUE(RIGHT(Y217,4)),VALUE(MID(Y217,4,2)),VALUE(LEFT(Y217,2))),""))</f>
        <v/>
      </c>
      <c r="AP217" s="27">
        <f>IF(AC217="","",IFERROR(DATE(VALUE(RIGHT(AC217,4)),VALUE(MID(AC217,4,2)),VALUE(LEFT(AC217,2))),""))</f>
        <v/>
      </c>
      <c r="AQ217" s="26">
        <f>IF(AI217="","",TRIM(LEFT(AI217,FIND(" ",AI217&amp;" ")-1)))</f>
        <v/>
      </c>
      <c r="AR217" s="27">
        <f>IF(AQ217="","",IFERROR(DATE(VALUE(MID(AQ217,FIND("/",AQ217,FIND("/",AQ217)+1)+1,4)),VALUE(LEFT(AQ217,FIND("/",AQ217)-1)),VALUE(MID(AQ217,FIND("/",AQ217)+1,FIND("/",AQ217,FIND("/",AQ217)+1)-FIND("/",AQ217)-1))),""))</f>
        <v/>
      </c>
      <c r="AS217" s="26">
        <f>IF(G217="","",IF(AND(AG217&lt;&gt;"",AG217&lt;&gt;"Bayi Aracı"),"Evet","Hayır"))</f>
        <v/>
      </c>
      <c r="AT217" s="26">
        <f>IF(G217="","",IF(AND(AS217="Evet",T217="Siparişiniz Teslim Edildi"),"Evet","Hayır"))</f>
        <v/>
      </c>
      <c r="AU217" s="26">
        <f>IF(G217="","",IF(AB217="Siparişinizin Montajı Yapıldı","Evet","Hayır"))</f>
        <v/>
      </c>
      <c r="AV217" s="27">
        <f>IF(G217="","",IF(AT217="Evet",AR217,IF(AU217="Evet",AP217,"")))</f>
        <v/>
      </c>
    </row>
    <row r="218">
      <c r="A218" s="23" t="n"/>
      <c r="B218" s="23" t="n"/>
      <c r="C218" s="23" t="n"/>
      <c r="D218" s="23" t="n"/>
      <c r="E218" s="23" t="n"/>
      <c r="F218" s="23" t="n"/>
      <c r="G218" s="23" t="n"/>
      <c r="H218" s="23" t="n"/>
      <c r="I218" s="23" t="n"/>
      <c r="J218" s="23" t="n"/>
      <c r="K218" s="23" t="n"/>
      <c r="L218" s="23" t="n"/>
      <c r="M218" s="23" t="n"/>
      <c r="N218" s="23" t="n"/>
      <c r="O218" s="23" t="n"/>
      <c r="P218" s="23" t="n"/>
      <c r="Q218" s="23" t="n"/>
      <c r="R218" s="23" t="n"/>
      <c r="S218" s="23" t="n"/>
      <c r="T218" s="23" t="n"/>
      <c r="U218" s="23" t="n"/>
      <c r="V218" s="23" t="n"/>
      <c r="W218" s="23" t="n"/>
      <c r="X218" s="23" t="n"/>
      <c r="Y218" s="23" t="n"/>
      <c r="Z218" s="23" t="n"/>
      <c r="AA218" s="23" t="n"/>
      <c r="AB218" s="23" t="n"/>
      <c r="AC218" s="23" t="n"/>
      <c r="AD218" s="23" t="n"/>
      <c r="AE218" s="23" t="n"/>
      <c r="AF218" s="23" t="n"/>
      <c r="AG218" s="23" t="n"/>
      <c r="AH218" s="23" t="n"/>
      <c r="AI218" s="23" t="n"/>
      <c r="AJ218" s="23" t="n"/>
      <c r="AK218" s="23" t="n"/>
      <c r="AL218" s="23" t="n"/>
      <c r="AM218" s="26">
        <f>IF(G218="","",G218&amp;"|"&amp;P218)</f>
        <v/>
      </c>
      <c r="AN218" s="27">
        <f>IF(I218="","",IFERROR(DATE(VALUE(RIGHT(I218,4)),VALUE(MID(I218,4,2)),VALUE(LEFT(I218,2))),""))</f>
        <v/>
      </c>
      <c r="AO218" s="27">
        <f>IF(Y218="","",IFERROR(DATE(VALUE(RIGHT(Y218,4)),VALUE(MID(Y218,4,2)),VALUE(LEFT(Y218,2))),""))</f>
        <v/>
      </c>
      <c r="AP218" s="27">
        <f>IF(AC218="","",IFERROR(DATE(VALUE(RIGHT(AC218,4)),VALUE(MID(AC218,4,2)),VALUE(LEFT(AC218,2))),""))</f>
        <v/>
      </c>
      <c r="AQ218" s="26">
        <f>IF(AI218="","",TRIM(LEFT(AI218,FIND(" ",AI218&amp;" ")-1)))</f>
        <v/>
      </c>
      <c r="AR218" s="27">
        <f>IF(AQ218="","",IFERROR(DATE(VALUE(MID(AQ218,FIND("/",AQ218,FIND("/",AQ218)+1)+1,4)),VALUE(LEFT(AQ218,FIND("/",AQ218)-1)),VALUE(MID(AQ218,FIND("/",AQ218)+1,FIND("/",AQ218,FIND("/",AQ218)+1)-FIND("/",AQ218)-1))),""))</f>
        <v/>
      </c>
      <c r="AS218" s="26">
        <f>IF(G218="","",IF(AND(AG218&lt;&gt;"",AG218&lt;&gt;"Bayi Aracı"),"Evet","Hayır"))</f>
        <v/>
      </c>
      <c r="AT218" s="26">
        <f>IF(G218="","",IF(AND(AS218="Evet",T218="Siparişiniz Teslim Edildi"),"Evet","Hayır"))</f>
        <v/>
      </c>
      <c r="AU218" s="26">
        <f>IF(G218="","",IF(AB218="Siparişinizin Montajı Yapıldı","Evet","Hayır"))</f>
        <v/>
      </c>
      <c r="AV218" s="27">
        <f>IF(G218="","",IF(AT218="Evet",AR218,IF(AU218="Evet",AP218,"")))</f>
        <v/>
      </c>
    </row>
    <row r="219">
      <c r="A219" s="23" t="n"/>
      <c r="B219" s="23" t="n"/>
      <c r="C219" s="23" t="n"/>
      <c r="D219" s="23" t="n"/>
      <c r="E219" s="23" t="n"/>
      <c r="F219" s="23" t="n"/>
      <c r="G219" s="23" t="n"/>
      <c r="H219" s="23" t="n"/>
      <c r="I219" s="23" t="n"/>
      <c r="J219" s="23" t="n"/>
      <c r="K219" s="23" t="n"/>
      <c r="L219" s="23" t="n"/>
      <c r="M219" s="23" t="n"/>
      <c r="N219" s="23" t="n"/>
      <c r="O219" s="23" t="n"/>
      <c r="P219" s="23" t="n"/>
      <c r="Q219" s="23" t="n"/>
      <c r="R219" s="23" t="n"/>
      <c r="S219" s="23" t="n"/>
      <c r="T219" s="23" t="n"/>
      <c r="U219" s="23" t="n"/>
      <c r="V219" s="23" t="n"/>
      <c r="W219" s="23" t="n"/>
      <c r="X219" s="23" t="n"/>
      <c r="Y219" s="23" t="n"/>
      <c r="Z219" s="23" t="n"/>
      <c r="AA219" s="23" t="n"/>
      <c r="AB219" s="23" t="n"/>
      <c r="AC219" s="23" t="n"/>
      <c r="AD219" s="23" t="n"/>
      <c r="AE219" s="23" t="n"/>
      <c r="AF219" s="23" t="n"/>
      <c r="AG219" s="23" t="n"/>
      <c r="AH219" s="23" t="n"/>
      <c r="AI219" s="23" t="n"/>
      <c r="AJ219" s="23" t="n"/>
      <c r="AK219" s="23" t="n"/>
      <c r="AL219" s="23" t="n"/>
      <c r="AM219" s="26">
        <f>IF(G219="","",G219&amp;"|"&amp;P219)</f>
        <v/>
      </c>
      <c r="AN219" s="27">
        <f>IF(I219="","",IFERROR(DATE(VALUE(RIGHT(I219,4)),VALUE(MID(I219,4,2)),VALUE(LEFT(I219,2))),""))</f>
        <v/>
      </c>
      <c r="AO219" s="27">
        <f>IF(Y219="","",IFERROR(DATE(VALUE(RIGHT(Y219,4)),VALUE(MID(Y219,4,2)),VALUE(LEFT(Y219,2))),""))</f>
        <v/>
      </c>
      <c r="AP219" s="27">
        <f>IF(AC219="","",IFERROR(DATE(VALUE(RIGHT(AC219,4)),VALUE(MID(AC219,4,2)),VALUE(LEFT(AC219,2))),""))</f>
        <v/>
      </c>
      <c r="AQ219" s="26">
        <f>IF(AI219="","",TRIM(LEFT(AI219,FIND(" ",AI219&amp;" ")-1)))</f>
        <v/>
      </c>
      <c r="AR219" s="27">
        <f>IF(AQ219="","",IFERROR(DATE(VALUE(MID(AQ219,FIND("/",AQ219,FIND("/",AQ219)+1)+1,4)),VALUE(LEFT(AQ219,FIND("/",AQ219)-1)),VALUE(MID(AQ219,FIND("/",AQ219)+1,FIND("/",AQ219,FIND("/",AQ219)+1)-FIND("/",AQ219)-1))),""))</f>
        <v/>
      </c>
      <c r="AS219" s="26">
        <f>IF(G219="","",IF(AND(AG219&lt;&gt;"",AG219&lt;&gt;"Bayi Aracı"),"Evet","Hayır"))</f>
        <v/>
      </c>
      <c r="AT219" s="26">
        <f>IF(G219="","",IF(AND(AS219="Evet",T219="Siparişiniz Teslim Edildi"),"Evet","Hayır"))</f>
        <v/>
      </c>
      <c r="AU219" s="26">
        <f>IF(G219="","",IF(AB219="Siparişinizin Montajı Yapıldı","Evet","Hayır"))</f>
        <v/>
      </c>
      <c r="AV219" s="27">
        <f>IF(G219="","",IF(AT219="Evet",AR219,IF(AU219="Evet",AP219,"")))</f>
        <v/>
      </c>
    </row>
    <row r="220">
      <c r="A220" s="23" t="n"/>
      <c r="B220" s="23" t="n"/>
      <c r="C220" s="23" t="n"/>
      <c r="D220" s="23" t="n"/>
      <c r="E220" s="23" t="n"/>
      <c r="F220" s="23" t="n"/>
      <c r="G220" s="23" t="n"/>
      <c r="H220" s="23" t="n"/>
      <c r="I220" s="23" t="n"/>
      <c r="J220" s="23" t="n"/>
      <c r="K220" s="23" t="n"/>
      <c r="L220" s="23" t="n"/>
      <c r="M220" s="23" t="n"/>
      <c r="N220" s="23" t="n"/>
      <c r="O220" s="23" t="n"/>
      <c r="P220" s="23" t="n"/>
      <c r="Q220" s="23" t="n"/>
      <c r="R220" s="23" t="n"/>
      <c r="S220" s="23" t="n"/>
      <c r="T220" s="23" t="n"/>
      <c r="U220" s="23" t="n"/>
      <c r="V220" s="23" t="n"/>
      <c r="W220" s="23" t="n"/>
      <c r="X220" s="23" t="n"/>
      <c r="Y220" s="23" t="n"/>
      <c r="Z220" s="23" t="n"/>
      <c r="AA220" s="23" t="n"/>
      <c r="AB220" s="23" t="n"/>
      <c r="AC220" s="23" t="n"/>
      <c r="AD220" s="23" t="n"/>
      <c r="AE220" s="23" t="n"/>
      <c r="AF220" s="23" t="n"/>
      <c r="AG220" s="23" t="n"/>
      <c r="AH220" s="23" t="n"/>
      <c r="AI220" s="23" t="n"/>
      <c r="AJ220" s="23" t="n"/>
      <c r="AK220" s="23" t="n"/>
      <c r="AL220" s="23" t="n"/>
      <c r="AM220" s="26">
        <f>IF(G220="","",G220&amp;"|"&amp;P220)</f>
        <v/>
      </c>
      <c r="AN220" s="27">
        <f>IF(I220="","",IFERROR(DATE(VALUE(RIGHT(I220,4)),VALUE(MID(I220,4,2)),VALUE(LEFT(I220,2))),""))</f>
        <v/>
      </c>
      <c r="AO220" s="27">
        <f>IF(Y220="","",IFERROR(DATE(VALUE(RIGHT(Y220,4)),VALUE(MID(Y220,4,2)),VALUE(LEFT(Y220,2))),""))</f>
        <v/>
      </c>
      <c r="AP220" s="27">
        <f>IF(AC220="","",IFERROR(DATE(VALUE(RIGHT(AC220,4)),VALUE(MID(AC220,4,2)),VALUE(LEFT(AC220,2))),""))</f>
        <v/>
      </c>
      <c r="AQ220" s="26">
        <f>IF(AI220="","",TRIM(LEFT(AI220,FIND(" ",AI220&amp;" ")-1)))</f>
        <v/>
      </c>
      <c r="AR220" s="27">
        <f>IF(AQ220="","",IFERROR(DATE(VALUE(MID(AQ220,FIND("/",AQ220,FIND("/",AQ220)+1)+1,4)),VALUE(LEFT(AQ220,FIND("/",AQ220)-1)),VALUE(MID(AQ220,FIND("/",AQ220)+1,FIND("/",AQ220,FIND("/",AQ220)+1)-FIND("/",AQ220)-1))),""))</f>
        <v/>
      </c>
      <c r="AS220" s="26">
        <f>IF(G220="","",IF(AND(AG220&lt;&gt;"",AG220&lt;&gt;"Bayi Aracı"),"Evet","Hayır"))</f>
        <v/>
      </c>
      <c r="AT220" s="26">
        <f>IF(G220="","",IF(AND(AS220="Evet",T220="Siparişiniz Teslim Edildi"),"Evet","Hayır"))</f>
        <v/>
      </c>
      <c r="AU220" s="26">
        <f>IF(G220="","",IF(AB220="Siparişinizin Montajı Yapıldı","Evet","Hayır"))</f>
        <v/>
      </c>
      <c r="AV220" s="27">
        <f>IF(G220="","",IF(AT220="Evet",AR220,IF(AU220="Evet",AP220,"")))</f>
        <v/>
      </c>
    </row>
    <row r="221">
      <c r="A221" s="23" t="n"/>
      <c r="B221" s="23" t="n"/>
      <c r="C221" s="23" t="n"/>
      <c r="D221" s="23" t="n"/>
      <c r="E221" s="23" t="n"/>
      <c r="F221" s="23" t="n"/>
      <c r="G221" s="23" t="n"/>
      <c r="H221" s="23" t="n"/>
      <c r="I221" s="23" t="n"/>
      <c r="J221" s="23" t="n"/>
      <c r="K221" s="23" t="n"/>
      <c r="L221" s="23" t="n"/>
      <c r="M221" s="23" t="n"/>
      <c r="N221" s="23" t="n"/>
      <c r="O221" s="23" t="n"/>
      <c r="P221" s="23" t="n"/>
      <c r="Q221" s="23" t="n"/>
      <c r="R221" s="23" t="n"/>
      <c r="S221" s="23" t="n"/>
      <c r="T221" s="23" t="n"/>
      <c r="U221" s="23" t="n"/>
      <c r="V221" s="23" t="n"/>
      <c r="W221" s="23" t="n"/>
      <c r="X221" s="23" t="n"/>
      <c r="Y221" s="23" t="n"/>
      <c r="Z221" s="23" t="n"/>
      <c r="AA221" s="23" t="n"/>
      <c r="AB221" s="23" t="n"/>
      <c r="AC221" s="23" t="n"/>
      <c r="AD221" s="23" t="n"/>
      <c r="AE221" s="23" t="n"/>
      <c r="AF221" s="23" t="n"/>
      <c r="AG221" s="23" t="n"/>
      <c r="AH221" s="23" t="n"/>
      <c r="AI221" s="23" t="n"/>
      <c r="AJ221" s="23" t="n"/>
      <c r="AK221" s="23" t="n"/>
      <c r="AL221" s="23" t="n"/>
      <c r="AM221" s="26">
        <f>IF(G221="","",G221&amp;"|"&amp;P221)</f>
        <v/>
      </c>
      <c r="AN221" s="27">
        <f>IF(I221="","",IFERROR(DATE(VALUE(RIGHT(I221,4)),VALUE(MID(I221,4,2)),VALUE(LEFT(I221,2))),""))</f>
        <v/>
      </c>
      <c r="AO221" s="27">
        <f>IF(Y221="","",IFERROR(DATE(VALUE(RIGHT(Y221,4)),VALUE(MID(Y221,4,2)),VALUE(LEFT(Y221,2))),""))</f>
        <v/>
      </c>
      <c r="AP221" s="27">
        <f>IF(AC221="","",IFERROR(DATE(VALUE(RIGHT(AC221,4)),VALUE(MID(AC221,4,2)),VALUE(LEFT(AC221,2))),""))</f>
        <v/>
      </c>
      <c r="AQ221" s="26">
        <f>IF(AI221="","",TRIM(LEFT(AI221,FIND(" ",AI221&amp;" ")-1)))</f>
        <v/>
      </c>
      <c r="AR221" s="27">
        <f>IF(AQ221="","",IFERROR(DATE(VALUE(MID(AQ221,FIND("/",AQ221,FIND("/",AQ221)+1)+1,4)),VALUE(LEFT(AQ221,FIND("/",AQ221)-1)),VALUE(MID(AQ221,FIND("/",AQ221)+1,FIND("/",AQ221,FIND("/",AQ221)+1)-FIND("/",AQ221)-1))),""))</f>
        <v/>
      </c>
      <c r="AS221" s="26">
        <f>IF(G221="","",IF(AND(AG221&lt;&gt;"",AG221&lt;&gt;"Bayi Aracı"),"Evet","Hayır"))</f>
        <v/>
      </c>
      <c r="AT221" s="26">
        <f>IF(G221="","",IF(AND(AS221="Evet",T221="Siparişiniz Teslim Edildi"),"Evet","Hayır"))</f>
        <v/>
      </c>
      <c r="AU221" s="26">
        <f>IF(G221="","",IF(AB221="Siparişinizin Montajı Yapıldı","Evet","Hayır"))</f>
        <v/>
      </c>
      <c r="AV221" s="27">
        <f>IF(G221="","",IF(AT221="Evet",AR221,IF(AU221="Evet",AP221,"")))</f>
        <v/>
      </c>
    </row>
    <row r="222">
      <c r="A222" s="23" t="n"/>
      <c r="B222" s="23" t="n"/>
      <c r="C222" s="23" t="n"/>
      <c r="D222" s="23" t="n"/>
      <c r="E222" s="23" t="n"/>
      <c r="F222" s="23" t="n"/>
      <c r="G222" s="23" t="n"/>
      <c r="H222" s="23" t="n"/>
      <c r="I222" s="23" t="n"/>
      <c r="J222" s="23" t="n"/>
      <c r="K222" s="23" t="n"/>
      <c r="L222" s="23" t="n"/>
      <c r="M222" s="23" t="n"/>
      <c r="N222" s="23" t="n"/>
      <c r="O222" s="23" t="n"/>
      <c r="P222" s="23" t="n"/>
      <c r="Q222" s="23" t="n"/>
      <c r="R222" s="23" t="n"/>
      <c r="S222" s="23" t="n"/>
      <c r="T222" s="23" t="n"/>
      <c r="U222" s="23" t="n"/>
      <c r="V222" s="23" t="n"/>
      <c r="W222" s="23" t="n"/>
      <c r="X222" s="23" t="n"/>
      <c r="Y222" s="23" t="n"/>
      <c r="Z222" s="23" t="n"/>
      <c r="AA222" s="23" t="n"/>
      <c r="AB222" s="23" t="n"/>
      <c r="AC222" s="23" t="n"/>
      <c r="AD222" s="23" t="n"/>
      <c r="AE222" s="23" t="n"/>
      <c r="AF222" s="23" t="n"/>
      <c r="AG222" s="23" t="n"/>
      <c r="AH222" s="23" t="n"/>
      <c r="AI222" s="23" t="n"/>
      <c r="AJ222" s="23" t="n"/>
      <c r="AK222" s="23" t="n"/>
      <c r="AL222" s="23" t="n"/>
      <c r="AM222" s="26">
        <f>IF(G222="","",G222&amp;"|"&amp;P222)</f>
        <v/>
      </c>
      <c r="AN222" s="27">
        <f>IF(I222="","",IFERROR(DATE(VALUE(RIGHT(I222,4)),VALUE(MID(I222,4,2)),VALUE(LEFT(I222,2))),""))</f>
        <v/>
      </c>
      <c r="AO222" s="27">
        <f>IF(Y222="","",IFERROR(DATE(VALUE(RIGHT(Y222,4)),VALUE(MID(Y222,4,2)),VALUE(LEFT(Y222,2))),""))</f>
        <v/>
      </c>
      <c r="AP222" s="27">
        <f>IF(AC222="","",IFERROR(DATE(VALUE(RIGHT(AC222,4)),VALUE(MID(AC222,4,2)),VALUE(LEFT(AC222,2))),""))</f>
        <v/>
      </c>
      <c r="AQ222" s="26">
        <f>IF(AI222="","",TRIM(LEFT(AI222,FIND(" ",AI222&amp;" ")-1)))</f>
        <v/>
      </c>
      <c r="AR222" s="27">
        <f>IF(AQ222="","",IFERROR(DATE(VALUE(MID(AQ222,FIND("/",AQ222,FIND("/",AQ222)+1)+1,4)),VALUE(LEFT(AQ222,FIND("/",AQ222)-1)),VALUE(MID(AQ222,FIND("/",AQ222)+1,FIND("/",AQ222,FIND("/",AQ222)+1)-FIND("/",AQ222)-1))),""))</f>
        <v/>
      </c>
      <c r="AS222" s="26">
        <f>IF(G222="","",IF(AND(AG222&lt;&gt;"",AG222&lt;&gt;"Bayi Aracı"),"Evet","Hayır"))</f>
        <v/>
      </c>
      <c r="AT222" s="26">
        <f>IF(G222="","",IF(AND(AS222="Evet",T222="Siparişiniz Teslim Edildi"),"Evet","Hayır"))</f>
        <v/>
      </c>
      <c r="AU222" s="26">
        <f>IF(G222="","",IF(AB222="Siparişinizin Montajı Yapıldı","Evet","Hayır"))</f>
        <v/>
      </c>
      <c r="AV222" s="27">
        <f>IF(G222="","",IF(AT222="Evet",AR222,IF(AU222="Evet",AP222,"")))</f>
        <v/>
      </c>
    </row>
    <row r="223">
      <c r="A223" s="23" t="n"/>
      <c r="B223" s="23" t="n"/>
      <c r="C223" s="23" t="n"/>
      <c r="D223" s="23" t="n"/>
      <c r="E223" s="23" t="n"/>
      <c r="F223" s="23" t="n"/>
      <c r="G223" s="23" t="n"/>
      <c r="H223" s="23" t="n"/>
      <c r="I223" s="23" t="n"/>
      <c r="J223" s="23" t="n"/>
      <c r="K223" s="23" t="n"/>
      <c r="L223" s="23" t="n"/>
      <c r="M223" s="23" t="n"/>
      <c r="N223" s="23" t="n"/>
      <c r="O223" s="23" t="n"/>
      <c r="P223" s="23" t="n"/>
      <c r="Q223" s="23" t="n"/>
      <c r="R223" s="23" t="n"/>
      <c r="S223" s="23" t="n"/>
      <c r="T223" s="23" t="n"/>
      <c r="U223" s="23" t="n"/>
      <c r="V223" s="23" t="n"/>
      <c r="W223" s="23" t="n"/>
      <c r="X223" s="23" t="n"/>
      <c r="Y223" s="23" t="n"/>
      <c r="Z223" s="23" t="n"/>
      <c r="AA223" s="23" t="n"/>
      <c r="AB223" s="23" t="n"/>
      <c r="AC223" s="23" t="n"/>
      <c r="AD223" s="23" t="n"/>
      <c r="AE223" s="23" t="n"/>
      <c r="AF223" s="23" t="n"/>
      <c r="AG223" s="23" t="n"/>
      <c r="AH223" s="23" t="n"/>
      <c r="AI223" s="23" t="n"/>
      <c r="AJ223" s="23" t="n"/>
      <c r="AK223" s="23" t="n"/>
      <c r="AL223" s="23" t="n"/>
      <c r="AM223" s="26">
        <f>IF(G223="","",G223&amp;"|"&amp;P223)</f>
        <v/>
      </c>
      <c r="AN223" s="27">
        <f>IF(I223="","",IFERROR(DATE(VALUE(RIGHT(I223,4)),VALUE(MID(I223,4,2)),VALUE(LEFT(I223,2))),""))</f>
        <v/>
      </c>
      <c r="AO223" s="27">
        <f>IF(Y223="","",IFERROR(DATE(VALUE(RIGHT(Y223,4)),VALUE(MID(Y223,4,2)),VALUE(LEFT(Y223,2))),""))</f>
        <v/>
      </c>
      <c r="AP223" s="27">
        <f>IF(AC223="","",IFERROR(DATE(VALUE(RIGHT(AC223,4)),VALUE(MID(AC223,4,2)),VALUE(LEFT(AC223,2))),""))</f>
        <v/>
      </c>
      <c r="AQ223" s="26">
        <f>IF(AI223="","",TRIM(LEFT(AI223,FIND(" ",AI223&amp;" ")-1)))</f>
        <v/>
      </c>
      <c r="AR223" s="27">
        <f>IF(AQ223="","",IFERROR(DATE(VALUE(MID(AQ223,FIND("/",AQ223,FIND("/",AQ223)+1)+1,4)),VALUE(LEFT(AQ223,FIND("/",AQ223)-1)),VALUE(MID(AQ223,FIND("/",AQ223)+1,FIND("/",AQ223,FIND("/",AQ223)+1)-FIND("/",AQ223)-1))),""))</f>
        <v/>
      </c>
      <c r="AS223" s="26">
        <f>IF(G223="","",IF(AND(AG223&lt;&gt;"",AG223&lt;&gt;"Bayi Aracı"),"Evet","Hayır"))</f>
        <v/>
      </c>
      <c r="AT223" s="26">
        <f>IF(G223="","",IF(AND(AS223="Evet",T223="Siparişiniz Teslim Edildi"),"Evet","Hayır"))</f>
        <v/>
      </c>
      <c r="AU223" s="26">
        <f>IF(G223="","",IF(AB223="Siparişinizin Montajı Yapıldı","Evet","Hayır"))</f>
        <v/>
      </c>
      <c r="AV223" s="27">
        <f>IF(G223="","",IF(AT223="Evet",AR223,IF(AU223="Evet",AP223,"")))</f>
        <v/>
      </c>
    </row>
    <row r="224">
      <c r="A224" s="23" t="n"/>
      <c r="B224" s="23" t="n"/>
      <c r="C224" s="23" t="n"/>
      <c r="D224" s="23" t="n"/>
      <c r="E224" s="23" t="n"/>
      <c r="F224" s="23" t="n"/>
      <c r="G224" s="23" t="n"/>
      <c r="H224" s="23" t="n"/>
      <c r="I224" s="23" t="n"/>
      <c r="J224" s="23" t="n"/>
      <c r="K224" s="23" t="n"/>
      <c r="L224" s="23" t="n"/>
      <c r="M224" s="23" t="n"/>
      <c r="N224" s="23" t="n"/>
      <c r="O224" s="23" t="n"/>
      <c r="P224" s="23" t="n"/>
      <c r="Q224" s="23" t="n"/>
      <c r="R224" s="23" t="n"/>
      <c r="S224" s="23" t="n"/>
      <c r="T224" s="23" t="n"/>
      <c r="U224" s="23" t="n"/>
      <c r="V224" s="23" t="n"/>
      <c r="W224" s="23" t="n"/>
      <c r="X224" s="23" t="n"/>
      <c r="Y224" s="23" t="n"/>
      <c r="Z224" s="23" t="n"/>
      <c r="AA224" s="23" t="n"/>
      <c r="AB224" s="23" t="n"/>
      <c r="AC224" s="23" t="n"/>
      <c r="AD224" s="23" t="n"/>
      <c r="AE224" s="23" t="n"/>
      <c r="AF224" s="23" t="n"/>
      <c r="AG224" s="23" t="n"/>
      <c r="AH224" s="23" t="n"/>
      <c r="AI224" s="23" t="n"/>
      <c r="AJ224" s="23" t="n"/>
      <c r="AK224" s="23" t="n"/>
      <c r="AL224" s="23" t="n"/>
      <c r="AM224" s="26">
        <f>IF(G224="","",G224&amp;"|"&amp;P224)</f>
        <v/>
      </c>
      <c r="AN224" s="27">
        <f>IF(I224="","",IFERROR(DATE(VALUE(RIGHT(I224,4)),VALUE(MID(I224,4,2)),VALUE(LEFT(I224,2))),""))</f>
        <v/>
      </c>
      <c r="AO224" s="27">
        <f>IF(Y224="","",IFERROR(DATE(VALUE(RIGHT(Y224,4)),VALUE(MID(Y224,4,2)),VALUE(LEFT(Y224,2))),""))</f>
        <v/>
      </c>
      <c r="AP224" s="27">
        <f>IF(AC224="","",IFERROR(DATE(VALUE(RIGHT(AC224,4)),VALUE(MID(AC224,4,2)),VALUE(LEFT(AC224,2))),""))</f>
        <v/>
      </c>
      <c r="AQ224" s="26">
        <f>IF(AI224="","",TRIM(LEFT(AI224,FIND(" ",AI224&amp;" ")-1)))</f>
        <v/>
      </c>
      <c r="AR224" s="27">
        <f>IF(AQ224="","",IFERROR(DATE(VALUE(MID(AQ224,FIND("/",AQ224,FIND("/",AQ224)+1)+1,4)),VALUE(LEFT(AQ224,FIND("/",AQ224)-1)),VALUE(MID(AQ224,FIND("/",AQ224)+1,FIND("/",AQ224,FIND("/",AQ224)+1)-FIND("/",AQ224)-1))),""))</f>
        <v/>
      </c>
      <c r="AS224" s="26">
        <f>IF(G224="","",IF(AND(AG224&lt;&gt;"",AG224&lt;&gt;"Bayi Aracı"),"Evet","Hayır"))</f>
        <v/>
      </c>
      <c r="AT224" s="26">
        <f>IF(G224="","",IF(AND(AS224="Evet",T224="Siparişiniz Teslim Edildi"),"Evet","Hayır"))</f>
        <v/>
      </c>
      <c r="AU224" s="26">
        <f>IF(G224="","",IF(AB224="Siparişinizin Montajı Yapıldı","Evet","Hayır"))</f>
        <v/>
      </c>
      <c r="AV224" s="27">
        <f>IF(G224="","",IF(AT224="Evet",AR224,IF(AU224="Evet",AP224,"")))</f>
        <v/>
      </c>
    </row>
    <row r="225">
      <c r="A225" s="23" t="n"/>
      <c r="B225" s="23" t="n"/>
      <c r="C225" s="23" t="n"/>
      <c r="D225" s="23" t="n"/>
      <c r="E225" s="23" t="n"/>
      <c r="F225" s="23" t="n"/>
      <c r="G225" s="23" t="n"/>
      <c r="H225" s="23" t="n"/>
      <c r="I225" s="23" t="n"/>
      <c r="J225" s="23" t="n"/>
      <c r="K225" s="23" t="n"/>
      <c r="L225" s="23" t="n"/>
      <c r="M225" s="23" t="n"/>
      <c r="N225" s="23" t="n"/>
      <c r="O225" s="23" t="n"/>
      <c r="P225" s="23" t="n"/>
      <c r="Q225" s="23" t="n"/>
      <c r="R225" s="23" t="n"/>
      <c r="S225" s="23" t="n"/>
      <c r="T225" s="23" t="n"/>
      <c r="U225" s="23" t="n"/>
      <c r="V225" s="23" t="n"/>
      <c r="W225" s="23" t="n"/>
      <c r="X225" s="23" t="n"/>
      <c r="Y225" s="23" t="n"/>
      <c r="Z225" s="23" t="n"/>
      <c r="AA225" s="23" t="n"/>
      <c r="AB225" s="23" t="n"/>
      <c r="AC225" s="23" t="n"/>
      <c r="AD225" s="23" t="n"/>
      <c r="AE225" s="23" t="n"/>
      <c r="AF225" s="23" t="n"/>
      <c r="AG225" s="23" t="n"/>
      <c r="AH225" s="23" t="n"/>
      <c r="AI225" s="23" t="n"/>
      <c r="AJ225" s="23" t="n"/>
      <c r="AK225" s="23" t="n"/>
      <c r="AL225" s="23" t="n"/>
      <c r="AM225" s="26">
        <f>IF(G225="","",G225&amp;"|"&amp;P225)</f>
        <v/>
      </c>
      <c r="AN225" s="27">
        <f>IF(I225="","",IFERROR(DATE(VALUE(RIGHT(I225,4)),VALUE(MID(I225,4,2)),VALUE(LEFT(I225,2))),""))</f>
        <v/>
      </c>
      <c r="AO225" s="27">
        <f>IF(Y225="","",IFERROR(DATE(VALUE(RIGHT(Y225,4)),VALUE(MID(Y225,4,2)),VALUE(LEFT(Y225,2))),""))</f>
        <v/>
      </c>
      <c r="AP225" s="27">
        <f>IF(AC225="","",IFERROR(DATE(VALUE(RIGHT(AC225,4)),VALUE(MID(AC225,4,2)),VALUE(LEFT(AC225,2))),""))</f>
        <v/>
      </c>
      <c r="AQ225" s="26">
        <f>IF(AI225="","",TRIM(LEFT(AI225,FIND(" ",AI225&amp;" ")-1)))</f>
        <v/>
      </c>
      <c r="AR225" s="27">
        <f>IF(AQ225="","",IFERROR(DATE(VALUE(MID(AQ225,FIND("/",AQ225,FIND("/",AQ225)+1)+1,4)),VALUE(LEFT(AQ225,FIND("/",AQ225)-1)),VALUE(MID(AQ225,FIND("/",AQ225)+1,FIND("/",AQ225,FIND("/",AQ225)+1)-FIND("/",AQ225)-1))),""))</f>
        <v/>
      </c>
      <c r="AS225" s="26">
        <f>IF(G225="","",IF(AND(AG225&lt;&gt;"",AG225&lt;&gt;"Bayi Aracı"),"Evet","Hayır"))</f>
        <v/>
      </c>
      <c r="AT225" s="26">
        <f>IF(G225="","",IF(AND(AS225="Evet",T225="Siparişiniz Teslim Edildi"),"Evet","Hayır"))</f>
        <v/>
      </c>
      <c r="AU225" s="26">
        <f>IF(G225="","",IF(AB225="Siparişinizin Montajı Yapıldı","Evet","Hayır"))</f>
        <v/>
      </c>
      <c r="AV225" s="27">
        <f>IF(G225="","",IF(AT225="Evet",AR225,IF(AU225="Evet",AP225,"")))</f>
        <v/>
      </c>
    </row>
    <row r="226">
      <c r="A226" s="23" t="n"/>
      <c r="B226" s="23" t="n"/>
      <c r="C226" s="23" t="n"/>
      <c r="D226" s="23" t="n"/>
      <c r="E226" s="23" t="n"/>
      <c r="F226" s="23" t="n"/>
      <c r="G226" s="23" t="n"/>
      <c r="H226" s="23" t="n"/>
      <c r="I226" s="23" t="n"/>
      <c r="J226" s="23" t="n"/>
      <c r="K226" s="23" t="n"/>
      <c r="L226" s="23" t="n"/>
      <c r="M226" s="23" t="n"/>
      <c r="N226" s="23" t="n"/>
      <c r="O226" s="23" t="n"/>
      <c r="P226" s="23" t="n"/>
      <c r="Q226" s="23" t="n"/>
      <c r="R226" s="23" t="n"/>
      <c r="S226" s="23" t="n"/>
      <c r="T226" s="23" t="n"/>
      <c r="U226" s="23" t="n"/>
      <c r="V226" s="23" t="n"/>
      <c r="W226" s="23" t="n"/>
      <c r="X226" s="23" t="n"/>
      <c r="Y226" s="23" t="n"/>
      <c r="Z226" s="23" t="n"/>
      <c r="AA226" s="23" t="n"/>
      <c r="AB226" s="23" t="n"/>
      <c r="AC226" s="23" t="n"/>
      <c r="AD226" s="23" t="n"/>
      <c r="AE226" s="23" t="n"/>
      <c r="AF226" s="23" t="n"/>
      <c r="AG226" s="23" t="n"/>
      <c r="AH226" s="23" t="n"/>
      <c r="AI226" s="23" t="n"/>
      <c r="AJ226" s="23" t="n"/>
      <c r="AK226" s="23" t="n"/>
      <c r="AL226" s="23" t="n"/>
      <c r="AM226" s="26">
        <f>IF(G226="","",G226&amp;"|"&amp;P226)</f>
        <v/>
      </c>
      <c r="AN226" s="27">
        <f>IF(I226="","",IFERROR(DATE(VALUE(RIGHT(I226,4)),VALUE(MID(I226,4,2)),VALUE(LEFT(I226,2))),""))</f>
        <v/>
      </c>
      <c r="AO226" s="27">
        <f>IF(Y226="","",IFERROR(DATE(VALUE(RIGHT(Y226,4)),VALUE(MID(Y226,4,2)),VALUE(LEFT(Y226,2))),""))</f>
        <v/>
      </c>
      <c r="AP226" s="27">
        <f>IF(AC226="","",IFERROR(DATE(VALUE(RIGHT(AC226,4)),VALUE(MID(AC226,4,2)),VALUE(LEFT(AC226,2))),""))</f>
        <v/>
      </c>
      <c r="AQ226" s="26">
        <f>IF(AI226="","",TRIM(LEFT(AI226,FIND(" ",AI226&amp;" ")-1)))</f>
        <v/>
      </c>
      <c r="AR226" s="27">
        <f>IF(AQ226="","",IFERROR(DATE(VALUE(MID(AQ226,FIND("/",AQ226,FIND("/",AQ226)+1)+1,4)),VALUE(LEFT(AQ226,FIND("/",AQ226)-1)),VALUE(MID(AQ226,FIND("/",AQ226)+1,FIND("/",AQ226,FIND("/",AQ226)+1)-FIND("/",AQ226)-1))),""))</f>
        <v/>
      </c>
      <c r="AS226" s="26">
        <f>IF(G226="","",IF(AND(AG226&lt;&gt;"",AG226&lt;&gt;"Bayi Aracı"),"Evet","Hayır"))</f>
        <v/>
      </c>
      <c r="AT226" s="26">
        <f>IF(G226="","",IF(AND(AS226="Evet",T226="Siparişiniz Teslim Edildi"),"Evet","Hayır"))</f>
        <v/>
      </c>
      <c r="AU226" s="26">
        <f>IF(G226="","",IF(AB226="Siparişinizin Montajı Yapıldı","Evet","Hayır"))</f>
        <v/>
      </c>
      <c r="AV226" s="27">
        <f>IF(G226="","",IF(AT226="Evet",AR226,IF(AU226="Evet",AP226,"")))</f>
        <v/>
      </c>
    </row>
    <row r="227">
      <c r="A227" s="23" t="n"/>
      <c r="B227" s="23" t="n"/>
      <c r="C227" s="23" t="n"/>
      <c r="D227" s="23" t="n"/>
      <c r="E227" s="23" t="n"/>
      <c r="F227" s="23" t="n"/>
      <c r="G227" s="23" t="n"/>
      <c r="H227" s="23" t="n"/>
      <c r="I227" s="23" t="n"/>
      <c r="J227" s="23" t="n"/>
      <c r="K227" s="23" t="n"/>
      <c r="L227" s="23" t="n"/>
      <c r="M227" s="23" t="n"/>
      <c r="N227" s="23" t="n"/>
      <c r="O227" s="23" t="n"/>
      <c r="P227" s="23" t="n"/>
      <c r="Q227" s="23" t="n"/>
      <c r="R227" s="23" t="n"/>
      <c r="S227" s="23" t="n"/>
      <c r="T227" s="23" t="n"/>
      <c r="U227" s="23" t="n"/>
      <c r="V227" s="23" t="n"/>
      <c r="W227" s="23" t="n"/>
      <c r="X227" s="23" t="n"/>
      <c r="Y227" s="23" t="n"/>
      <c r="Z227" s="23" t="n"/>
      <c r="AA227" s="23" t="n"/>
      <c r="AB227" s="23" t="n"/>
      <c r="AC227" s="23" t="n"/>
      <c r="AD227" s="23" t="n"/>
      <c r="AE227" s="23" t="n"/>
      <c r="AF227" s="23" t="n"/>
      <c r="AG227" s="23" t="n"/>
      <c r="AH227" s="23" t="n"/>
      <c r="AI227" s="23" t="n"/>
      <c r="AJ227" s="23" t="n"/>
      <c r="AK227" s="23" t="n"/>
      <c r="AL227" s="23" t="n"/>
      <c r="AM227" s="26">
        <f>IF(G227="","",G227&amp;"|"&amp;P227)</f>
        <v/>
      </c>
      <c r="AN227" s="27">
        <f>IF(I227="","",IFERROR(DATE(VALUE(RIGHT(I227,4)),VALUE(MID(I227,4,2)),VALUE(LEFT(I227,2))),""))</f>
        <v/>
      </c>
      <c r="AO227" s="27">
        <f>IF(Y227="","",IFERROR(DATE(VALUE(RIGHT(Y227,4)),VALUE(MID(Y227,4,2)),VALUE(LEFT(Y227,2))),""))</f>
        <v/>
      </c>
      <c r="AP227" s="27">
        <f>IF(AC227="","",IFERROR(DATE(VALUE(RIGHT(AC227,4)),VALUE(MID(AC227,4,2)),VALUE(LEFT(AC227,2))),""))</f>
        <v/>
      </c>
      <c r="AQ227" s="26">
        <f>IF(AI227="","",TRIM(LEFT(AI227,FIND(" ",AI227&amp;" ")-1)))</f>
        <v/>
      </c>
      <c r="AR227" s="27">
        <f>IF(AQ227="","",IFERROR(DATE(VALUE(MID(AQ227,FIND("/",AQ227,FIND("/",AQ227)+1)+1,4)),VALUE(LEFT(AQ227,FIND("/",AQ227)-1)),VALUE(MID(AQ227,FIND("/",AQ227)+1,FIND("/",AQ227,FIND("/",AQ227)+1)-FIND("/",AQ227)-1))),""))</f>
        <v/>
      </c>
      <c r="AS227" s="26">
        <f>IF(G227="","",IF(AND(AG227&lt;&gt;"",AG227&lt;&gt;"Bayi Aracı"),"Evet","Hayır"))</f>
        <v/>
      </c>
      <c r="AT227" s="26">
        <f>IF(G227="","",IF(AND(AS227="Evet",T227="Siparişiniz Teslim Edildi"),"Evet","Hayır"))</f>
        <v/>
      </c>
      <c r="AU227" s="26">
        <f>IF(G227="","",IF(AB227="Siparişinizin Montajı Yapıldı","Evet","Hayır"))</f>
        <v/>
      </c>
      <c r="AV227" s="27">
        <f>IF(G227="","",IF(AT227="Evet",AR227,IF(AU227="Evet",AP227,"")))</f>
        <v/>
      </c>
    </row>
    <row r="228">
      <c r="A228" s="23" t="n"/>
      <c r="B228" s="23" t="n"/>
      <c r="C228" s="23" t="n"/>
      <c r="D228" s="23" t="n"/>
      <c r="E228" s="23" t="n"/>
      <c r="F228" s="23" t="n"/>
      <c r="G228" s="23" t="n"/>
      <c r="H228" s="23" t="n"/>
      <c r="I228" s="23" t="n"/>
      <c r="J228" s="23" t="n"/>
      <c r="K228" s="23" t="n"/>
      <c r="L228" s="23" t="n"/>
      <c r="M228" s="23" t="n"/>
      <c r="N228" s="23" t="n"/>
      <c r="O228" s="23" t="n"/>
      <c r="P228" s="23" t="n"/>
      <c r="Q228" s="23" t="n"/>
      <c r="R228" s="23" t="n"/>
      <c r="S228" s="23" t="n"/>
      <c r="T228" s="23" t="n"/>
      <c r="U228" s="23" t="n"/>
      <c r="V228" s="23" t="n"/>
      <c r="W228" s="23" t="n"/>
      <c r="X228" s="23" t="n"/>
      <c r="Y228" s="23" t="n"/>
      <c r="Z228" s="23" t="n"/>
      <c r="AA228" s="23" t="n"/>
      <c r="AB228" s="23" t="n"/>
      <c r="AC228" s="23" t="n"/>
      <c r="AD228" s="23" t="n"/>
      <c r="AE228" s="23" t="n"/>
      <c r="AF228" s="23" t="n"/>
      <c r="AG228" s="23" t="n"/>
      <c r="AH228" s="23" t="n"/>
      <c r="AI228" s="23" t="n"/>
      <c r="AJ228" s="23" t="n"/>
      <c r="AK228" s="23" t="n"/>
      <c r="AL228" s="23" t="n"/>
      <c r="AM228" s="26">
        <f>IF(G228="","",G228&amp;"|"&amp;P228)</f>
        <v/>
      </c>
      <c r="AN228" s="27">
        <f>IF(I228="","",IFERROR(DATE(VALUE(RIGHT(I228,4)),VALUE(MID(I228,4,2)),VALUE(LEFT(I228,2))),""))</f>
        <v/>
      </c>
      <c r="AO228" s="27">
        <f>IF(Y228="","",IFERROR(DATE(VALUE(RIGHT(Y228,4)),VALUE(MID(Y228,4,2)),VALUE(LEFT(Y228,2))),""))</f>
        <v/>
      </c>
      <c r="AP228" s="27">
        <f>IF(AC228="","",IFERROR(DATE(VALUE(RIGHT(AC228,4)),VALUE(MID(AC228,4,2)),VALUE(LEFT(AC228,2))),""))</f>
        <v/>
      </c>
      <c r="AQ228" s="26">
        <f>IF(AI228="","",TRIM(LEFT(AI228,FIND(" ",AI228&amp;" ")-1)))</f>
        <v/>
      </c>
      <c r="AR228" s="27">
        <f>IF(AQ228="","",IFERROR(DATE(VALUE(MID(AQ228,FIND("/",AQ228,FIND("/",AQ228)+1)+1,4)),VALUE(LEFT(AQ228,FIND("/",AQ228)-1)),VALUE(MID(AQ228,FIND("/",AQ228)+1,FIND("/",AQ228,FIND("/",AQ228)+1)-FIND("/",AQ228)-1))),""))</f>
        <v/>
      </c>
      <c r="AS228" s="26">
        <f>IF(G228="","",IF(AND(AG228&lt;&gt;"",AG228&lt;&gt;"Bayi Aracı"),"Evet","Hayır"))</f>
        <v/>
      </c>
      <c r="AT228" s="26">
        <f>IF(G228="","",IF(AND(AS228="Evet",T228="Siparişiniz Teslim Edildi"),"Evet","Hayır"))</f>
        <v/>
      </c>
      <c r="AU228" s="26">
        <f>IF(G228="","",IF(AB228="Siparişinizin Montajı Yapıldı","Evet","Hayır"))</f>
        <v/>
      </c>
      <c r="AV228" s="27">
        <f>IF(G228="","",IF(AT228="Evet",AR228,IF(AU228="Evet",AP228,"")))</f>
        <v/>
      </c>
    </row>
    <row r="229">
      <c r="A229" s="23" t="n"/>
      <c r="B229" s="23" t="n"/>
      <c r="C229" s="23" t="n"/>
      <c r="D229" s="23" t="n"/>
      <c r="E229" s="23" t="n"/>
      <c r="F229" s="23" t="n"/>
      <c r="G229" s="23" t="n"/>
      <c r="H229" s="23" t="n"/>
      <c r="I229" s="23" t="n"/>
      <c r="J229" s="23" t="n"/>
      <c r="K229" s="23" t="n"/>
      <c r="L229" s="23" t="n"/>
      <c r="M229" s="23" t="n"/>
      <c r="N229" s="23" t="n"/>
      <c r="O229" s="23" t="n"/>
      <c r="P229" s="23" t="n"/>
      <c r="Q229" s="23" t="n"/>
      <c r="R229" s="23" t="n"/>
      <c r="S229" s="23" t="n"/>
      <c r="T229" s="23" t="n"/>
      <c r="U229" s="23" t="n"/>
      <c r="V229" s="23" t="n"/>
      <c r="W229" s="23" t="n"/>
      <c r="X229" s="23" t="n"/>
      <c r="Y229" s="23" t="n"/>
      <c r="Z229" s="23" t="n"/>
      <c r="AA229" s="23" t="n"/>
      <c r="AB229" s="23" t="n"/>
      <c r="AC229" s="23" t="n"/>
      <c r="AD229" s="23" t="n"/>
      <c r="AE229" s="23" t="n"/>
      <c r="AF229" s="23" t="n"/>
      <c r="AG229" s="23" t="n"/>
      <c r="AH229" s="23" t="n"/>
      <c r="AI229" s="23" t="n"/>
      <c r="AJ229" s="23" t="n"/>
      <c r="AK229" s="23" t="n"/>
      <c r="AL229" s="23" t="n"/>
      <c r="AM229" s="26">
        <f>IF(G229="","",G229&amp;"|"&amp;P229)</f>
        <v/>
      </c>
      <c r="AN229" s="27">
        <f>IF(I229="","",IFERROR(DATE(VALUE(RIGHT(I229,4)),VALUE(MID(I229,4,2)),VALUE(LEFT(I229,2))),""))</f>
        <v/>
      </c>
      <c r="AO229" s="27">
        <f>IF(Y229="","",IFERROR(DATE(VALUE(RIGHT(Y229,4)),VALUE(MID(Y229,4,2)),VALUE(LEFT(Y229,2))),""))</f>
        <v/>
      </c>
      <c r="AP229" s="27">
        <f>IF(AC229="","",IFERROR(DATE(VALUE(RIGHT(AC229,4)),VALUE(MID(AC229,4,2)),VALUE(LEFT(AC229,2))),""))</f>
        <v/>
      </c>
      <c r="AQ229" s="26">
        <f>IF(AI229="","",TRIM(LEFT(AI229,FIND(" ",AI229&amp;" ")-1)))</f>
        <v/>
      </c>
      <c r="AR229" s="27">
        <f>IF(AQ229="","",IFERROR(DATE(VALUE(MID(AQ229,FIND("/",AQ229,FIND("/",AQ229)+1)+1,4)),VALUE(LEFT(AQ229,FIND("/",AQ229)-1)),VALUE(MID(AQ229,FIND("/",AQ229)+1,FIND("/",AQ229,FIND("/",AQ229)+1)-FIND("/",AQ229)-1))),""))</f>
        <v/>
      </c>
      <c r="AS229" s="26">
        <f>IF(G229="","",IF(AND(AG229&lt;&gt;"",AG229&lt;&gt;"Bayi Aracı"),"Evet","Hayır"))</f>
        <v/>
      </c>
      <c r="AT229" s="26">
        <f>IF(G229="","",IF(AND(AS229="Evet",T229="Siparişiniz Teslim Edildi"),"Evet","Hayır"))</f>
        <v/>
      </c>
      <c r="AU229" s="26">
        <f>IF(G229="","",IF(AB229="Siparişinizin Montajı Yapıldı","Evet","Hayır"))</f>
        <v/>
      </c>
      <c r="AV229" s="27">
        <f>IF(G229="","",IF(AT229="Evet",AR229,IF(AU229="Evet",AP229,"")))</f>
        <v/>
      </c>
    </row>
    <row r="230">
      <c r="A230" s="23" t="n"/>
      <c r="B230" s="23" t="n"/>
      <c r="C230" s="23" t="n"/>
      <c r="D230" s="23" t="n"/>
      <c r="E230" s="23" t="n"/>
      <c r="F230" s="23" t="n"/>
      <c r="G230" s="23" t="n"/>
      <c r="H230" s="23" t="n"/>
      <c r="I230" s="23" t="n"/>
      <c r="J230" s="23" t="n"/>
      <c r="K230" s="23" t="n"/>
      <c r="L230" s="23" t="n"/>
      <c r="M230" s="23" t="n"/>
      <c r="N230" s="23" t="n"/>
      <c r="O230" s="23" t="n"/>
      <c r="P230" s="23" t="n"/>
      <c r="Q230" s="23" t="n"/>
      <c r="R230" s="23" t="n"/>
      <c r="S230" s="23" t="n"/>
      <c r="T230" s="23" t="n"/>
      <c r="U230" s="23" t="n"/>
      <c r="V230" s="23" t="n"/>
      <c r="W230" s="23" t="n"/>
      <c r="X230" s="23" t="n"/>
      <c r="Y230" s="23" t="n"/>
      <c r="Z230" s="23" t="n"/>
      <c r="AA230" s="23" t="n"/>
      <c r="AB230" s="23" t="n"/>
      <c r="AC230" s="23" t="n"/>
      <c r="AD230" s="23" t="n"/>
      <c r="AE230" s="23" t="n"/>
      <c r="AF230" s="23" t="n"/>
      <c r="AG230" s="23" t="n"/>
      <c r="AH230" s="23" t="n"/>
      <c r="AI230" s="23" t="n"/>
      <c r="AJ230" s="23" t="n"/>
      <c r="AK230" s="23" t="n"/>
      <c r="AL230" s="23" t="n"/>
      <c r="AM230" s="26">
        <f>IF(G230="","",G230&amp;"|"&amp;P230)</f>
        <v/>
      </c>
      <c r="AN230" s="27">
        <f>IF(I230="","",IFERROR(DATE(VALUE(RIGHT(I230,4)),VALUE(MID(I230,4,2)),VALUE(LEFT(I230,2))),""))</f>
        <v/>
      </c>
      <c r="AO230" s="27">
        <f>IF(Y230="","",IFERROR(DATE(VALUE(RIGHT(Y230,4)),VALUE(MID(Y230,4,2)),VALUE(LEFT(Y230,2))),""))</f>
        <v/>
      </c>
      <c r="AP230" s="27">
        <f>IF(AC230="","",IFERROR(DATE(VALUE(RIGHT(AC230,4)),VALUE(MID(AC230,4,2)),VALUE(LEFT(AC230,2))),""))</f>
        <v/>
      </c>
      <c r="AQ230" s="26">
        <f>IF(AI230="","",TRIM(LEFT(AI230,FIND(" ",AI230&amp;" ")-1)))</f>
        <v/>
      </c>
      <c r="AR230" s="27">
        <f>IF(AQ230="","",IFERROR(DATE(VALUE(MID(AQ230,FIND("/",AQ230,FIND("/",AQ230)+1)+1,4)),VALUE(LEFT(AQ230,FIND("/",AQ230)-1)),VALUE(MID(AQ230,FIND("/",AQ230)+1,FIND("/",AQ230,FIND("/",AQ230)+1)-FIND("/",AQ230)-1))),""))</f>
        <v/>
      </c>
      <c r="AS230" s="26">
        <f>IF(G230="","",IF(AND(AG230&lt;&gt;"",AG230&lt;&gt;"Bayi Aracı"),"Evet","Hayır"))</f>
        <v/>
      </c>
      <c r="AT230" s="26">
        <f>IF(G230="","",IF(AND(AS230="Evet",T230="Siparişiniz Teslim Edildi"),"Evet","Hayır"))</f>
        <v/>
      </c>
      <c r="AU230" s="26">
        <f>IF(G230="","",IF(AB230="Siparişinizin Montajı Yapıldı","Evet","Hayır"))</f>
        <v/>
      </c>
      <c r="AV230" s="27">
        <f>IF(G230="","",IF(AT230="Evet",AR230,IF(AU230="Evet",AP230,"")))</f>
        <v/>
      </c>
    </row>
    <row r="231">
      <c r="A231" s="23" t="n"/>
      <c r="B231" s="23" t="n"/>
      <c r="C231" s="23" t="n"/>
      <c r="D231" s="23" t="n"/>
      <c r="E231" s="23" t="n"/>
      <c r="F231" s="23" t="n"/>
      <c r="G231" s="23" t="n"/>
      <c r="H231" s="23" t="n"/>
      <c r="I231" s="23" t="n"/>
      <c r="J231" s="23" t="n"/>
      <c r="K231" s="23" t="n"/>
      <c r="L231" s="23" t="n"/>
      <c r="M231" s="23" t="n"/>
      <c r="N231" s="23" t="n"/>
      <c r="O231" s="23" t="n"/>
      <c r="P231" s="23" t="n"/>
      <c r="Q231" s="23" t="n"/>
      <c r="R231" s="23" t="n"/>
      <c r="S231" s="23" t="n"/>
      <c r="T231" s="23" t="n"/>
      <c r="U231" s="23" t="n"/>
      <c r="V231" s="23" t="n"/>
      <c r="W231" s="23" t="n"/>
      <c r="X231" s="23" t="n"/>
      <c r="Y231" s="23" t="n"/>
      <c r="Z231" s="23" t="n"/>
      <c r="AA231" s="23" t="n"/>
      <c r="AB231" s="23" t="n"/>
      <c r="AC231" s="23" t="n"/>
      <c r="AD231" s="23" t="n"/>
      <c r="AE231" s="23" t="n"/>
      <c r="AF231" s="23" t="n"/>
      <c r="AG231" s="23" t="n"/>
      <c r="AH231" s="23" t="n"/>
      <c r="AI231" s="23" t="n"/>
      <c r="AJ231" s="23" t="n"/>
      <c r="AK231" s="23" t="n"/>
      <c r="AL231" s="23" t="n"/>
      <c r="AM231" s="26">
        <f>IF(G231="","",G231&amp;"|"&amp;P231)</f>
        <v/>
      </c>
      <c r="AN231" s="27">
        <f>IF(I231="","",IFERROR(DATE(VALUE(RIGHT(I231,4)),VALUE(MID(I231,4,2)),VALUE(LEFT(I231,2))),""))</f>
        <v/>
      </c>
      <c r="AO231" s="27">
        <f>IF(Y231="","",IFERROR(DATE(VALUE(RIGHT(Y231,4)),VALUE(MID(Y231,4,2)),VALUE(LEFT(Y231,2))),""))</f>
        <v/>
      </c>
      <c r="AP231" s="27">
        <f>IF(AC231="","",IFERROR(DATE(VALUE(RIGHT(AC231,4)),VALUE(MID(AC231,4,2)),VALUE(LEFT(AC231,2))),""))</f>
        <v/>
      </c>
      <c r="AQ231" s="26">
        <f>IF(AI231="","",TRIM(LEFT(AI231,FIND(" ",AI231&amp;" ")-1)))</f>
        <v/>
      </c>
      <c r="AR231" s="27">
        <f>IF(AQ231="","",IFERROR(DATE(VALUE(MID(AQ231,FIND("/",AQ231,FIND("/",AQ231)+1)+1,4)),VALUE(LEFT(AQ231,FIND("/",AQ231)-1)),VALUE(MID(AQ231,FIND("/",AQ231)+1,FIND("/",AQ231,FIND("/",AQ231)+1)-FIND("/",AQ231)-1))),""))</f>
        <v/>
      </c>
      <c r="AS231" s="26">
        <f>IF(G231="","",IF(AND(AG231&lt;&gt;"",AG231&lt;&gt;"Bayi Aracı"),"Evet","Hayır"))</f>
        <v/>
      </c>
      <c r="AT231" s="26">
        <f>IF(G231="","",IF(AND(AS231="Evet",T231="Siparişiniz Teslim Edildi"),"Evet","Hayır"))</f>
        <v/>
      </c>
      <c r="AU231" s="26">
        <f>IF(G231="","",IF(AB231="Siparişinizin Montajı Yapıldı","Evet","Hayır"))</f>
        <v/>
      </c>
      <c r="AV231" s="27">
        <f>IF(G231="","",IF(AT231="Evet",AR231,IF(AU231="Evet",AP231,"")))</f>
        <v/>
      </c>
    </row>
    <row r="232">
      <c r="A232" s="23" t="n"/>
      <c r="B232" s="23" t="n"/>
      <c r="C232" s="23" t="n"/>
      <c r="D232" s="23" t="n"/>
      <c r="E232" s="23" t="n"/>
      <c r="F232" s="23" t="n"/>
      <c r="G232" s="23" t="n"/>
      <c r="H232" s="23" t="n"/>
      <c r="I232" s="23" t="n"/>
      <c r="J232" s="23" t="n"/>
      <c r="K232" s="23" t="n"/>
      <c r="L232" s="23" t="n"/>
      <c r="M232" s="23" t="n"/>
      <c r="N232" s="23" t="n"/>
      <c r="O232" s="23" t="n"/>
      <c r="P232" s="23" t="n"/>
      <c r="Q232" s="23" t="n"/>
      <c r="R232" s="23" t="n"/>
      <c r="S232" s="23" t="n"/>
      <c r="T232" s="23" t="n"/>
      <c r="U232" s="23" t="n"/>
      <c r="V232" s="23" t="n"/>
      <c r="W232" s="23" t="n"/>
      <c r="X232" s="23" t="n"/>
      <c r="Y232" s="23" t="n"/>
      <c r="Z232" s="23" t="n"/>
      <c r="AA232" s="23" t="n"/>
      <c r="AB232" s="23" t="n"/>
      <c r="AC232" s="23" t="n"/>
      <c r="AD232" s="23" t="n"/>
      <c r="AE232" s="23" t="n"/>
      <c r="AF232" s="23" t="n"/>
      <c r="AG232" s="23" t="n"/>
      <c r="AH232" s="23" t="n"/>
      <c r="AI232" s="23" t="n"/>
      <c r="AJ232" s="23" t="n"/>
      <c r="AK232" s="23" t="n"/>
      <c r="AL232" s="23" t="n"/>
      <c r="AM232" s="26">
        <f>IF(G232="","",G232&amp;"|"&amp;P232)</f>
        <v/>
      </c>
      <c r="AN232" s="27">
        <f>IF(I232="","",IFERROR(DATE(VALUE(RIGHT(I232,4)),VALUE(MID(I232,4,2)),VALUE(LEFT(I232,2))),""))</f>
        <v/>
      </c>
      <c r="AO232" s="27">
        <f>IF(Y232="","",IFERROR(DATE(VALUE(RIGHT(Y232,4)),VALUE(MID(Y232,4,2)),VALUE(LEFT(Y232,2))),""))</f>
        <v/>
      </c>
      <c r="AP232" s="27">
        <f>IF(AC232="","",IFERROR(DATE(VALUE(RIGHT(AC232,4)),VALUE(MID(AC232,4,2)),VALUE(LEFT(AC232,2))),""))</f>
        <v/>
      </c>
      <c r="AQ232" s="26">
        <f>IF(AI232="","",TRIM(LEFT(AI232,FIND(" ",AI232&amp;" ")-1)))</f>
        <v/>
      </c>
      <c r="AR232" s="27">
        <f>IF(AQ232="","",IFERROR(DATE(VALUE(MID(AQ232,FIND("/",AQ232,FIND("/",AQ232)+1)+1,4)),VALUE(LEFT(AQ232,FIND("/",AQ232)-1)),VALUE(MID(AQ232,FIND("/",AQ232)+1,FIND("/",AQ232,FIND("/",AQ232)+1)-FIND("/",AQ232)-1))),""))</f>
        <v/>
      </c>
      <c r="AS232" s="26">
        <f>IF(G232="","",IF(AND(AG232&lt;&gt;"",AG232&lt;&gt;"Bayi Aracı"),"Evet","Hayır"))</f>
        <v/>
      </c>
      <c r="AT232" s="26">
        <f>IF(G232="","",IF(AND(AS232="Evet",T232="Siparişiniz Teslim Edildi"),"Evet","Hayır"))</f>
        <v/>
      </c>
      <c r="AU232" s="26">
        <f>IF(G232="","",IF(AB232="Siparişinizin Montajı Yapıldı","Evet","Hayır"))</f>
        <v/>
      </c>
      <c r="AV232" s="27">
        <f>IF(G232="","",IF(AT232="Evet",AR232,IF(AU232="Evet",AP232,"")))</f>
        <v/>
      </c>
    </row>
    <row r="233">
      <c r="A233" s="23" t="n"/>
      <c r="B233" s="23" t="n"/>
      <c r="C233" s="23" t="n"/>
      <c r="D233" s="23" t="n"/>
      <c r="E233" s="23" t="n"/>
      <c r="F233" s="23" t="n"/>
      <c r="G233" s="23" t="n"/>
      <c r="H233" s="23" t="n"/>
      <c r="I233" s="23" t="n"/>
      <c r="J233" s="23" t="n"/>
      <c r="K233" s="23" t="n"/>
      <c r="L233" s="23" t="n"/>
      <c r="M233" s="23" t="n"/>
      <c r="N233" s="23" t="n"/>
      <c r="O233" s="23" t="n"/>
      <c r="P233" s="23" t="n"/>
      <c r="Q233" s="23" t="n"/>
      <c r="R233" s="23" t="n"/>
      <c r="S233" s="23" t="n"/>
      <c r="T233" s="23" t="n"/>
      <c r="U233" s="23" t="n"/>
      <c r="V233" s="23" t="n"/>
      <c r="W233" s="23" t="n"/>
      <c r="X233" s="23" t="n"/>
      <c r="Y233" s="23" t="n"/>
      <c r="Z233" s="23" t="n"/>
      <c r="AA233" s="23" t="n"/>
      <c r="AB233" s="23" t="n"/>
      <c r="AC233" s="23" t="n"/>
      <c r="AD233" s="23" t="n"/>
      <c r="AE233" s="23" t="n"/>
      <c r="AF233" s="23" t="n"/>
      <c r="AG233" s="23" t="n"/>
      <c r="AH233" s="23" t="n"/>
      <c r="AI233" s="23" t="n"/>
      <c r="AJ233" s="23" t="n"/>
      <c r="AK233" s="23" t="n"/>
      <c r="AL233" s="23" t="n"/>
      <c r="AM233" s="26">
        <f>IF(G233="","",G233&amp;"|"&amp;P233)</f>
        <v/>
      </c>
      <c r="AN233" s="27">
        <f>IF(I233="","",IFERROR(DATE(VALUE(RIGHT(I233,4)),VALUE(MID(I233,4,2)),VALUE(LEFT(I233,2))),""))</f>
        <v/>
      </c>
      <c r="AO233" s="27">
        <f>IF(Y233="","",IFERROR(DATE(VALUE(RIGHT(Y233,4)),VALUE(MID(Y233,4,2)),VALUE(LEFT(Y233,2))),""))</f>
        <v/>
      </c>
      <c r="AP233" s="27">
        <f>IF(AC233="","",IFERROR(DATE(VALUE(RIGHT(AC233,4)),VALUE(MID(AC233,4,2)),VALUE(LEFT(AC233,2))),""))</f>
        <v/>
      </c>
      <c r="AQ233" s="26">
        <f>IF(AI233="","",TRIM(LEFT(AI233,FIND(" ",AI233&amp;" ")-1)))</f>
        <v/>
      </c>
      <c r="AR233" s="27">
        <f>IF(AQ233="","",IFERROR(DATE(VALUE(MID(AQ233,FIND("/",AQ233,FIND("/",AQ233)+1)+1,4)),VALUE(LEFT(AQ233,FIND("/",AQ233)-1)),VALUE(MID(AQ233,FIND("/",AQ233)+1,FIND("/",AQ233,FIND("/",AQ233)+1)-FIND("/",AQ233)-1))),""))</f>
        <v/>
      </c>
      <c r="AS233" s="26">
        <f>IF(G233="","",IF(AND(AG233&lt;&gt;"",AG233&lt;&gt;"Bayi Aracı"),"Evet","Hayır"))</f>
        <v/>
      </c>
      <c r="AT233" s="26">
        <f>IF(G233="","",IF(AND(AS233="Evet",T233="Siparişiniz Teslim Edildi"),"Evet","Hayır"))</f>
        <v/>
      </c>
      <c r="AU233" s="26">
        <f>IF(G233="","",IF(AB233="Siparişinizin Montajı Yapıldı","Evet","Hayır"))</f>
        <v/>
      </c>
      <c r="AV233" s="27">
        <f>IF(G233="","",IF(AT233="Evet",AR233,IF(AU233="Evet",AP233,"")))</f>
        <v/>
      </c>
    </row>
    <row r="234">
      <c r="A234" s="23" t="n"/>
      <c r="B234" s="23" t="n"/>
      <c r="C234" s="23" t="n"/>
      <c r="D234" s="23" t="n"/>
      <c r="E234" s="23" t="n"/>
      <c r="F234" s="23" t="n"/>
      <c r="G234" s="23" t="n"/>
      <c r="H234" s="23" t="n"/>
      <c r="I234" s="23" t="n"/>
      <c r="J234" s="23" t="n"/>
      <c r="K234" s="23" t="n"/>
      <c r="L234" s="23" t="n"/>
      <c r="M234" s="23" t="n"/>
      <c r="N234" s="23" t="n"/>
      <c r="O234" s="23" t="n"/>
      <c r="P234" s="23" t="n"/>
      <c r="Q234" s="23" t="n"/>
      <c r="R234" s="23" t="n"/>
      <c r="S234" s="23" t="n"/>
      <c r="T234" s="23" t="n"/>
      <c r="U234" s="23" t="n"/>
      <c r="V234" s="23" t="n"/>
      <c r="W234" s="23" t="n"/>
      <c r="X234" s="23" t="n"/>
      <c r="Y234" s="23" t="n"/>
      <c r="Z234" s="23" t="n"/>
      <c r="AA234" s="23" t="n"/>
      <c r="AB234" s="23" t="n"/>
      <c r="AC234" s="23" t="n"/>
      <c r="AD234" s="23" t="n"/>
      <c r="AE234" s="23" t="n"/>
      <c r="AF234" s="23" t="n"/>
      <c r="AG234" s="23" t="n"/>
      <c r="AH234" s="23" t="n"/>
      <c r="AI234" s="23" t="n"/>
      <c r="AJ234" s="23" t="n"/>
      <c r="AK234" s="23" t="n"/>
      <c r="AL234" s="23" t="n"/>
      <c r="AM234" s="26">
        <f>IF(G234="","",G234&amp;"|"&amp;P234)</f>
        <v/>
      </c>
      <c r="AN234" s="27">
        <f>IF(I234="","",IFERROR(DATE(VALUE(RIGHT(I234,4)),VALUE(MID(I234,4,2)),VALUE(LEFT(I234,2))),""))</f>
        <v/>
      </c>
      <c r="AO234" s="27">
        <f>IF(Y234="","",IFERROR(DATE(VALUE(RIGHT(Y234,4)),VALUE(MID(Y234,4,2)),VALUE(LEFT(Y234,2))),""))</f>
        <v/>
      </c>
      <c r="AP234" s="27">
        <f>IF(AC234="","",IFERROR(DATE(VALUE(RIGHT(AC234,4)),VALUE(MID(AC234,4,2)),VALUE(LEFT(AC234,2))),""))</f>
        <v/>
      </c>
      <c r="AQ234" s="26">
        <f>IF(AI234="","",TRIM(LEFT(AI234,FIND(" ",AI234&amp;" ")-1)))</f>
        <v/>
      </c>
      <c r="AR234" s="27">
        <f>IF(AQ234="","",IFERROR(DATE(VALUE(MID(AQ234,FIND("/",AQ234,FIND("/",AQ234)+1)+1,4)),VALUE(LEFT(AQ234,FIND("/",AQ234)-1)),VALUE(MID(AQ234,FIND("/",AQ234)+1,FIND("/",AQ234,FIND("/",AQ234)+1)-FIND("/",AQ234)-1))),""))</f>
        <v/>
      </c>
      <c r="AS234" s="26">
        <f>IF(G234="","",IF(AND(AG234&lt;&gt;"",AG234&lt;&gt;"Bayi Aracı"),"Evet","Hayır"))</f>
        <v/>
      </c>
      <c r="AT234" s="26">
        <f>IF(G234="","",IF(AND(AS234="Evet",T234="Siparişiniz Teslim Edildi"),"Evet","Hayır"))</f>
        <v/>
      </c>
      <c r="AU234" s="26">
        <f>IF(G234="","",IF(AB234="Siparişinizin Montajı Yapıldı","Evet","Hayır"))</f>
        <v/>
      </c>
      <c r="AV234" s="27">
        <f>IF(G234="","",IF(AT234="Evet",AR234,IF(AU234="Evet",AP234,"")))</f>
        <v/>
      </c>
    </row>
    <row r="235">
      <c r="A235" s="23" t="n"/>
      <c r="B235" s="23" t="n"/>
      <c r="C235" s="23" t="n"/>
      <c r="D235" s="23" t="n"/>
      <c r="E235" s="23" t="n"/>
      <c r="F235" s="23" t="n"/>
      <c r="G235" s="23" t="n"/>
      <c r="H235" s="23" t="n"/>
      <c r="I235" s="23" t="n"/>
      <c r="J235" s="23" t="n"/>
      <c r="K235" s="23" t="n"/>
      <c r="L235" s="23" t="n"/>
      <c r="M235" s="23" t="n"/>
      <c r="N235" s="23" t="n"/>
      <c r="O235" s="23" t="n"/>
      <c r="P235" s="23" t="n"/>
      <c r="Q235" s="23" t="n"/>
      <c r="R235" s="23" t="n"/>
      <c r="S235" s="23" t="n"/>
      <c r="T235" s="23" t="n"/>
      <c r="U235" s="23" t="n"/>
      <c r="V235" s="23" t="n"/>
      <c r="W235" s="23" t="n"/>
      <c r="X235" s="23" t="n"/>
      <c r="Y235" s="23" t="n"/>
      <c r="Z235" s="23" t="n"/>
      <c r="AA235" s="23" t="n"/>
      <c r="AB235" s="23" t="n"/>
      <c r="AC235" s="23" t="n"/>
      <c r="AD235" s="23" t="n"/>
      <c r="AE235" s="23" t="n"/>
      <c r="AF235" s="23" t="n"/>
      <c r="AG235" s="23" t="n"/>
      <c r="AH235" s="23" t="n"/>
      <c r="AI235" s="23" t="n"/>
      <c r="AJ235" s="23" t="n"/>
      <c r="AK235" s="23" t="n"/>
      <c r="AL235" s="23" t="n"/>
      <c r="AM235" s="26">
        <f>IF(G235="","",G235&amp;"|"&amp;P235)</f>
        <v/>
      </c>
      <c r="AN235" s="27">
        <f>IF(I235="","",IFERROR(DATE(VALUE(RIGHT(I235,4)),VALUE(MID(I235,4,2)),VALUE(LEFT(I235,2))),""))</f>
        <v/>
      </c>
      <c r="AO235" s="27">
        <f>IF(Y235="","",IFERROR(DATE(VALUE(RIGHT(Y235,4)),VALUE(MID(Y235,4,2)),VALUE(LEFT(Y235,2))),""))</f>
        <v/>
      </c>
      <c r="AP235" s="27">
        <f>IF(AC235="","",IFERROR(DATE(VALUE(RIGHT(AC235,4)),VALUE(MID(AC235,4,2)),VALUE(LEFT(AC235,2))),""))</f>
        <v/>
      </c>
      <c r="AQ235" s="26">
        <f>IF(AI235="","",TRIM(LEFT(AI235,FIND(" ",AI235&amp;" ")-1)))</f>
        <v/>
      </c>
      <c r="AR235" s="27">
        <f>IF(AQ235="","",IFERROR(DATE(VALUE(MID(AQ235,FIND("/",AQ235,FIND("/",AQ235)+1)+1,4)),VALUE(LEFT(AQ235,FIND("/",AQ235)-1)),VALUE(MID(AQ235,FIND("/",AQ235)+1,FIND("/",AQ235,FIND("/",AQ235)+1)-FIND("/",AQ235)-1))),""))</f>
        <v/>
      </c>
      <c r="AS235" s="26">
        <f>IF(G235="","",IF(AND(AG235&lt;&gt;"",AG235&lt;&gt;"Bayi Aracı"),"Evet","Hayır"))</f>
        <v/>
      </c>
      <c r="AT235" s="26">
        <f>IF(G235="","",IF(AND(AS235="Evet",T235="Siparişiniz Teslim Edildi"),"Evet","Hayır"))</f>
        <v/>
      </c>
      <c r="AU235" s="26">
        <f>IF(G235="","",IF(AB235="Siparişinizin Montajı Yapıldı","Evet","Hayır"))</f>
        <v/>
      </c>
      <c r="AV235" s="27">
        <f>IF(G235="","",IF(AT235="Evet",AR235,IF(AU235="Evet",AP235,"")))</f>
        <v/>
      </c>
    </row>
    <row r="236">
      <c r="A236" s="23" t="n"/>
      <c r="B236" s="23" t="n"/>
      <c r="C236" s="23" t="n"/>
      <c r="D236" s="23" t="n"/>
      <c r="E236" s="23" t="n"/>
      <c r="F236" s="23" t="n"/>
      <c r="G236" s="23" t="n"/>
      <c r="H236" s="23" t="n"/>
      <c r="I236" s="23" t="n"/>
      <c r="J236" s="23" t="n"/>
      <c r="K236" s="23" t="n"/>
      <c r="L236" s="23" t="n"/>
      <c r="M236" s="23" t="n"/>
      <c r="N236" s="23" t="n"/>
      <c r="O236" s="23" t="n"/>
      <c r="P236" s="23" t="n"/>
      <c r="Q236" s="23" t="n"/>
      <c r="R236" s="23" t="n"/>
      <c r="S236" s="23" t="n"/>
      <c r="T236" s="23" t="n"/>
      <c r="U236" s="23" t="n"/>
      <c r="V236" s="23" t="n"/>
      <c r="W236" s="23" t="n"/>
      <c r="X236" s="23" t="n"/>
      <c r="Y236" s="23" t="n"/>
      <c r="Z236" s="23" t="n"/>
      <c r="AA236" s="23" t="n"/>
      <c r="AB236" s="23" t="n"/>
      <c r="AC236" s="23" t="n"/>
      <c r="AD236" s="23" t="n"/>
      <c r="AE236" s="23" t="n"/>
      <c r="AF236" s="23" t="n"/>
      <c r="AG236" s="23" t="n"/>
      <c r="AH236" s="23" t="n"/>
      <c r="AI236" s="23" t="n"/>
      <c r="AJ236" s="23" t="n"/>
      <c r="AK236" s="23" t="n"/>
      <c r="AL236" s="23" t="n"/>
      <c r="AM236" s="26">
        <f>IF(G236="","",G236&amp;"|"&amp;P236)</f>
        <v/>
      </c>
      <c r="AN236" s="27">
        <f>IF(I236="","",IFERROR(DATE(VALUE(RIGHT(I236,4)),VALUE(MID(I236,4,2)),VALUE(LEFT(I236,2))),""))</f>
        <v/>
      </c>
      <c r="AO236" s="27">
        <f>IF(Y236="","",IFERROR(DATE(VALUE(RIGHT(Y236,4)),VALUE(MID(Y236,4,2)),VALUE(LEFT(Y236,2))),""))</f>
        <v/>
      </c>
      <c r="AP236" s="27">
        <f>IF(AC236="","",IFERROR(DATE(VALUE(RIGHT(AC236,4)),VALUE(MID(AC236,4,2)),VALUE(LEFT(AC236,2))),""))</f>
        <v/>
      </c>
      <c r="AQ236" s="26">
        <f>IF(AI236="","",TRIM(LEFT(AI236,FIND(" ",AI236&amp;" ")-1)))</f>
        <v/>
      </c>
      <c r="AR236" s="27">
        <f>IF(AQ236="","",IFERROR(DATE(VALUE(MID(AQ236,FIND("/",AQ236,FIND("/",AQ236)+1)+1,4)),VALUE(LEFT(AQ236,FIND("/",AQ236)-1)),VALUE(MID(AQ236,FIND("/",AQ236)+1,FIND("/",AQ236,FIND("/",AQ236)+1)-FIND("/",AQ236)-1))),""))</f>
        <v/>
      </c>
      <c r="AS236" s="26">
        <f>IF(G236="","",IF(AND(AG236&lt;&gt;"",AG236&lt;&gt;"Bayi Aracı"),"Evet","Hayır"))</f>
        <v/>
      </c>
      <c r="AT236" s="26">
        <f>IF(G236="","",IF(AND(AS236="Evet",T236="Siparişiniz Teslim Edildi"),"Evet","Hayır"))</f>
        <v/>
      </c>
      <c r="AU236" s="26">
        <f>IF(G236="","",IF(AB236="Siparişinizin Montajı Yapıldı","Evet","Hayır"))</f>
        <v/>
      </c>
      <c r="AV236" s="27">
        <f>IF(G236="","",IF(AT236="Evet",AR236,IF(AU236="Evet",AP236,"")))</f>
        <v/>
      </c>
    </row>
    <row r="237">
      <c r="A237" s="23" t="n"/>
      <c r="B237" s="23" t="n"/>
      <c r="C237" s="23" t="n"/>
      <c r="D237" s="23" t="n"/>
      <c r="E237" s="23" t="n"/>
      <c r="F237" s="23" t="n"/>
      <c r="G237" s="23" t="n"/>
      <c r="H237" s="23" t="n"/>
      <c r="I237" s="23" t="n"/>
      <c r="J237" s="23" t="n"/>
      <c r="K237" s="23" t="n"/>
      <c r="L237" s="23" t="n"/>
      <c r="M237" s="23" t="n"/>
      <c r="N237" s="23" t="n"/>
      <c r="O237" s="23" t="n"/>
      <c r="P237" s="23" t="n"/>
      <c r="Q237" s="23" t="n"/>
      <c r="R237" s="23" t="n"/>
      <c r="S237" s="23" t="n"/>
      <c r="T237" s="23" t="n"/>
      <c r="U237" s="23" t="n"/>
      <c r="V237" s="23" t="n"/>
      <c r="W237" s="23" t="n"/>
      <c r="X237" s="23" t="n"/>
      <c r="Y237" s="23" t="n"/>
      <c r="Z237" s="23" t="n"/>
      <c r="AA237" s="23" t="n"/>
      <c r="AB237" s="23" t="n"/>
      <c r="AC237" s="23" t="n"/>
      <c r="AD237" s="23" t="n"/>
      <c r="AE237" s="23" t="n"/>
      <c r="AF237" s="23" t="n"/>
      <c r="AG237" s="23" t="n"/>
      <c r="AH237" s="23" t="n"/>
      <c r="AI237" s="23" t="n"/>
      <c r="AJ237" s="23" t="n"/>
      <c r="AK237" s="23" t="n"/>
      <c r="AL237" s="23" t="n"/>
      <c r="AM237" s="26">
        <f>IF(G237="","",G237&amp;"|"&amp;P237)</f>
        <v/>
      </c>
      <c r="AN237" s="27">
        <f>IF(I237="","",IFERROR(DATE(VALUE(RIGHT(I237,4)),VALUE(MID(I237,4,2)),VALUE(LEFT(I237,2))),""))</f>
        <v/>
      </c>
      <c r="AO237" s="27">
        <f>IF(Y237="","",IFERROR(DATE(VALUE(RIGHT(Y237,4)),VALUE(MID(Y237,4,2)),VALUE(LEFT(Y237,2))),""))</f>
        <v/>
      </c>
      <c r="AP237" s="27">
        <f>IF(AC237="","",IFERROR(DATE(VALUE(RIGHT(AC237,4)),VALUE(MID(AC237,4,2)),VALUE(LEFT(AC237,2))),""))</f>
        <v/>
      </c>
      <c r="AQ237" s="26">
        <f>IF(AI237="","",TRIM(LEFT(AI237,FIND(" ",AI237&amp;" ")-1)))</f>
        <v/>
      </c>
      <c r="AR237" s="27">
        <f>IF(AQ237="","",IFERROR(DATE(VALUE(MID(AQ237,FIND("/",AQ237,FIND("/",AQ237)+1)+1,4)),VALUE(LEFT(AQ237,FIND("/",AQ237)-1)),VALUE(MID(AQ237,FIND("/",AQ237)+1,FIND("/",AQ237,FIND("/",AQ237)+1)-FIND("/",AQ237)-1))),""))</f>
        <v/>
      </c>
      <c r="AS237" s="26">
        <f>IF(G237="","",IF(AND(AG237&lt;&gt;"",AG237&lt;&gt;"Bayi Aracı"),"Evet","Hayır"))</f>
        <v/>
      </c>
      <c r="AT237" s="26">
        <f>IF(G237="","",IF(AND(AS237="Evet",T237="Siparişiniz Teslim Edildi"),"Evet","Hayır"))</f>
        <v/>
      </c>
      <c r="AU237" s="26">
        <f>IF(G237="","",IF(AB237="Siparişinizin Montajı Yapıldı","Evet","Hayır"))</f>
        <v/>
      </c>
      <c r="AV237" s="27">
        <f>IF(G237="","",IF(AT237="Evet",AR237,IF(AU237="Evet",AP237,"")))</f>
        <v/>
      </c>
    </row>
    <row r="238">
      <c r="A238" s="23" t="n"/>
      <c r="B238" s="23" t="n"/>
      <c r="C238" s="23" t="n"/>
      <c r="D238" s="23" t="n"/>
      <c r="E238" s="23" t="n"/>
      <c r="F238" s="23" t="n"/>
      <c r="G238" s="23" t="n"/>
      <c r="H238" s="23" t="n"/>
      <c r="I238" s="23" t="n"/>
      <c r="J238" s="23" t="n"/>
      <c r="K238" s="23" t="n"/>
      <c r="L238" s="23" t="n"/>
      <c r="M238" s="23" t="n"/>
      <c r="N238" s="23" t="n"/>
      <c r="O238" s="23" t="n"/>
      <c r="P238" s="23" t="n"/>
      <c r="Q238" s="23" t="n"/>
      <c r="R238" s="23" t="n"/>
      <c r="S238" s="23" t="n"/>
      <c r="T238" s="23" t="n"/>
      <c r="U238" s="23" t="n"/>
      <c r="V238" s="23" t="n"/>
      <c r="W238" s="23" t="n"/>
      <c r="X238" s="23" t="n"/>
      <c r="Y238" s="23" t="n"/>
      <c r="Z238" s="23" t="n"/>
      <c r="AA238" s="23" t="n"/>
      <c r="AB238" s="23" t="n"/>
      <c r="AC238" s="23" t="n"/>
      <c r="AD238" s="23" t="n"/>
      <c r="AE238" s="23" t="n"/>
      <c r="AF238" s="23" t="n"/>
      <c r="AG238" s="23" t="n"/>
      <c r="AH238" s="23" t="n"/>
      <c r="AI238" s="23" t="n"/>
      <c r="AJ238" s="23" t="n"/>
      <c r="AK238" s="23" t="n"/>
      <c r="AL238" s="23" t="n"/>
      <c r="AM238" s="26">
        <f>IF(G238="","",G238&amp;"|"&amp;P238)</f>
        <v/>
      </c>
      <c r="AN238" s="27">
        <f>IF(I238="","",IFERROR(DATE(VALUE(RIGHT(I238,4)),VALUE(MID(I238,4,2)),VALUE(LEFT(I238,2))),""))</f>
        <v/>
      </c>
      <c r="AO238" s="27">
        <f>IF(Y238="","",IFERROR(DATE(VALUE(RIGHT(Y238,4)),VALUE(MID(Y238,4,2)),VALUE(LEFT(Y238,2))),""))</f>
        <v/>
      </c>
      <c r="AP238" s="27">
        <f>IF(AC238="","",IFERROR(DATE(VALUE(RIGHT(AC238,4)),VALUE(MID(AC238,4,2)),VALUE(LEFT(AC238,2))),""))</f>
        <v/>
      </c>
      <c r="AQ238" s="26">
        <f>IF(AI238="","",TRIM(LEFT(AI238,FIND(" ",AI238&amp;" ")-1)))</f>
        <v/>
      </c>
      <c r="AR238" s="27">
        <f>IF(AQ238="","",IFERROR(DATE(VALUE(MID(AQ238,FIND("/",AQ238,FIND("/",AQ238)+1)+1,4)),VALUE(LEFT(AQ238,FIND("/",AQ238)-1)),VALUE(MID(AQ238,FIND("/",AQ238)+1,FIND("/",AQ238,FIND("/",AQ238)+1)-FIND("/",AQ238)-1))),""))</f>
        <v/>
      </c>
      <c r="AS238" s="26">
        <f>IF(G238="","",IF(AND(AG238&lt;&gt;"",AG238&lt;&gt;"Bayi Aracı"),"Evet","Hayır"))</f>
        <v/>
      </c>
      <c r="AT238" s="26">
        <f>IF(G238="","",IF(AND(AS238="Evet",T238="Siparişiniz Teslim Edildi"),"Evet","Hayır"))</f>
        <v/>
      </c>
      <c r="AU238" s="26">
        <f>IF(G238="","",IF(AB238="Siparişinizin Montajı Yapıldı","Evet","Hayır"))</f>
        <v/>
      </c>
      <c r="AV238" s="27">
        <f>IF(G238="","",IF(AT238="Evet",AR238,IF(AU238="Evet",AP238,"")))</f>
        <v/>
      </c>
    </row>
    <row r="239">
      <c r="A239" s="23" t="n"/>
      <c r="B239" s="23" t="n"/>
      <c r="C239" s="23" t="n"/>
      <c r="D239" s="23" t="n"/>
      <c r="E239" s="23" t="n"/>
      <c r="F239" s="23" t="n"/>
      <c r="G239" s="23" t="n"/>
      <c r="H239" s="23" t="n"/>
      <c r="I239" s="23" t="n"/>
      <c r="J239" s="23" t="n"/>
      <c r="K239" s="23" t="n"/>
      <c r="L239" s="23" t="n"/>
      <c r="M239" s="23" t="n"/>
      <c r="N239" s="23" t="n"/>
      <c r="O239" s="23" t="n"/>
      <c r="P239" s="23" t="n"/>
      <c r="Q239" s="23" t="n"/>
      <c r="R239" s="23" t="n"/>
      <c r="S239" s="23" t="n"/>
      <c r="T239" s="23" t="n"/>
      <c r="U239" s="23" t="n"/>
      <c r="V239" s="23" t="n"/>
      <c r="W239" s="23" t="n"/>
      <c r="X239" s="23" t="n"/>
      <c r="Y239" s="23" t="n"/>
      <c r="Z239" s="23" t="n"/>
      <c r="AA239" s="23" t="n"/>
      <c r="AB239" s="23" t="n"/>
      <c r="AC239" s="23" t="n"/>
      <c r="AD239" s="23" t="n"/>
      <c r="AE239" s="23" t="n"/>
      <c r="AF239" s="23" t="n"/>
      <c r="AG239" s="23" t="n"/>
      <c r="AH239" s="23" t="n"/>
      <c r="AI239" s="23" t="n"/>
      <c r="AJ239" s="23" t="n"/>
      <c r="AK239" s="23" t="n"/>
      <c r="AL239" s="23" t="n"/>
      <c r="AM239" s="26">
        <f>IF(G239="","",G239&amp;"|"&amp;P239)</f>
        <v/>
      </c>
      <c r="AN239" s="27">
        <f>IF(I239="","",IFERROR(DATE(VALUE(RIGHT(I239,4)),VALUE(MID(I239,4,2)),VALUE(LEFT(I239,2))),""))</f>
        <v/>
      </c>
      <c r="AO239" s="27">
        <f>IF(Y239="","",IFERROR(DATE(VALUE(RIGHT(Y239,4)),VALUE(MID(Y239,4,2)),VALUE(LEFT(Y239,2))),""))</f>
        <v/>
      </c>
      <c r="AP239" s="27">
        <f>IF(AC239="","",IFERROR(DATE(VALUE(RIGHT(AC239,4)),VALUE(MID(AC239,4,2)),VALUE(LEFT(AC239,2))),""))</f>
        <v/>
      </c>
      <c r="AQ239" s="26">
        <f>IF(AI239="","",TRIM(LEFT(AI239,FIND(" ",AI239&amp;" ")-1)))</f>
        <v/>
      </c>
      <c r="AR239" s="27">
        <f>IF(AQ239="","",IFERROR(DATE(VALUE(MID(AQ239,FIND("/",AQ239,FIND("/",AQ239)+1)+1,4)),VALUE(LEFT(AQ239,FIND("/",AQ239)-1)),VALUE(MID(AQ239,FIND("/",AQ239)+1,FIND("/",AQ239,FIND("/",AQ239)+1)-FIND("/",AQ239)-1))),""))</f>
        <v/>
      </c>
      <c r="AS239" s="26">
        <f>IF(G239="","",IF(AND(AG239&lt;&gt;"",AG239&lt;&gt;"Bayi Aracı"),"Evet","Hayır"))</f>
        <v/>
      </c>
      <c r="AT239" s="26">
        <f>IF(G239="","",IF(AND(AS239="Evet",T239="Siparişiniz Teslim Edildi"),"Evet","Hayır"))</f>
        <v/>
      </c>
      <c r="AU239" s="26">
        <f>IF(G239="","",IF(AB239="Siparişinizin Montajı Yapıldı","Evet","Hayır"))</f>
        <v/>
      </c>
      <c r="AV239" s="27">
        <f>IF(G239="","",IF(AT239="Evet",AR239,IF(AU239="Evet",AP239,"")))</f>
        <v/>
      </c>
    </row>
    <row r="240">
      <c r="A240" s="23" t="n"/>
      <c r="B240" s="23" t="n"/>
      <c r="C240" s="23" t="n"/>
      <c r="D240" s="23" t="n"/>
      <c r="E240" s="23" t="n"/>
      <c r="F240" s="23" t="n"/>
      <c r="G240" s="23" t="n"/>
      <c r="H240" s="23" t="n"/>
      <c r="I240" s="23" t="n"/>
      <c r="J240" s="23" t="n"/>
      <c r="K240" s="23" t="n"/>
      <c r="L240" s="23" t="n"/>
      <c r="M240" s="23" t="n"/>
      <c r="N240" s="23" t="n"/>
      <c r="O240" s="23" t="n"/>
      <c r="P240" s="23" t="n"/>
      <c r="Q240" s="23" t="n"/>
      <c r="R240" s="23" t="n"/>
      <c r="S240" s="23" t="n"/>
      <c r="T240" s="23" t="n"/>
      <c r="U240" s="23" t="n"/>
      <c r="V240" s="23" t="n"/>
      <c r="W240" s="23" t="n"/>
      <c r="X240" s="23" t="n"/>
      <c r="Y240" s="23" t="n"/>
      <c r="Z240" s="23" t="n"/>
      <c r="AA240" s="23" t="n"/>
      <c r="AB240" s="23" t="n"/>
      <c r="AC240" s="23" t="n"/>
      <c r="AD240" s="23" t="n"/>
      <c r="AE240" s="23" t="n"/>
      <c r="AF240" s="23" t="n"/>
      <c r="AG240" s="23" t="n"/>
      <c r="AH240" s="23" t="n"/>
      <c r="AI240" s="23" t="n"/>
      <c r="AJ240" s="23" t="n"/>
      <c r="AK240" s="23" t="n"/>
      <c r="AL240" s="23" t="n"/>
      <c r="AM240" s="26">
        <f>IF(G240="","",G240&amp;"|"&amp;P240)</f>
        <v/>
      </c>
      <c r="AN240" s="27">
        <f>IF(I240="","",IFERROR(DATE(VALUE(RIGHT(I240,4)),VALUE(MID(I240,4,2)),VALUE(LEFT(I240,2))),""))</f>
        <v/>
      </c>
      <c r="AO240" s="27">
        <f>IF(Y240="","",IFERROR(DATE(VALUE(RIGHT(Y240,4)),VALUE(MID(Y240,4,2)),VALUE(LEFT(Y240,2))),""))</f>
        <v/>
      </c>
      <c r="AP240" s="27">
        <f>IF(AC240="","",IFERROR(DATE(VALUE(RIGHT(AC240,4)),VALUE(MID(AC240,4,2)),VALUE(LEFT(AC240,2))),""))</f>
        <v/>
      </c>
      <c r="AQ240" s="26">
        <f>IF(AI240="","",TRIM(LEFT(AI240,FIND(" ",AI240&amp;" ")-1)))</f>
        <v/>
      </c>
      <c r="AR240" s="27">
        <f>IF(AQ240="","",IFERROR(DATE(VALUE(MID(AQ240,FIND("/",AQ240,FIND("/",AQ240)+1)+1,4)),VALUE(LEFT(AQ240,FIND("/",AQ240)-1)),VALUE(MID(AQ240,FIND("/",AQ240)+1,FIND("/",AQ240,FIND("/",AQ240)+1)-FIND("/",AQ240)-1))),""))</f>
        <v/>
      </c>
      <c r="AS240" s="26">
        <f>IF(G240="","",IF(AND(AG240&lt;&gt;"",AG240&lt;&gt;"Bayi Aracı"),"Evet","Hayır"))</f>
        <v/>
      </c>
      <c r="AT240" s="26">
        <f>IF(G240="","",IF(AND(AS240="Evet",T240="Siparişiniz Teslim Edildi"),"Evet","Hayır"))</f>
        <v/>
      </c>
      <c r="AU240" s="26">
        <f>IF(G240="","",IF(AB240="Siparişinizin Montajı Yapıldı","Evet","Hayır"))</f>
        <v/>
      </c>
      <c r="AV240" s="27">
        <f>IF(G240="","",IF(AT240="Evet",AR240,IF(AU240="Evet",AP240,"")))</f>
        <v/>
      </c>
    </row>
    <row r="241">
      <c r="A241" s="23" t="n"/>
      <c r="B241" s="23" t="n"/>
      <c r="C241" s="23" t="n"/>
      <c r="D241" s="23" t="n"/>
      <c r="E241" s="23" t="n"/>
      <c r="F241" s="23" t="n"/>
      <c r="G241" s="23" t="n"/>
      <c r="H241" s="23" t="n"/>
      <c r="I241" s="23" t="n"/>
      <c r="J241" s="23" t="n"/>
      <c r="K241" s="23" t="n"/>
      <c r="L241" s="23" t="n"/>
      <c r="M241" s="23" t="n"/>
      <c r="N241" s="23" t="n"/>
      <c r="O241" s="23" t="n"/>
      <c r="P241" s="23" t="n"/>
      <c r="Q241" s="23" t="n"/>
      <c r="R241" s="23" t="n"/>
      <c r="S241" s="23" t="n"/>
      <c r="T241" s="23" t="n"/>
      <c r="U241" s="23" t="n"/>
      <c r="V241" s="23" t="n"/>
      <c r="W241" s="23" t="n"/>
      <c r="X241" s="23" t="n"/>
      <c r="Y241" s="23" t="n"/>
      <c r="Z241" s="23" t="n"/>
      <c r="AA241" s="23" t="n"/>
      <c r="AB241" s="23" t="n"/>
      <c r="AC241" s="23" t="n"/>
      <c r="AD241" s="23" t="n"/>
      <c r="AE241" s="23" t="n"/>
      <c r="AF241" s="23" t="n"/>
      <c r="AG241" s="23" t="n"/>
      <c r="AH241" s="23" t="n"/>
      <c r="AI241" s="23" t="n"/>
      <c r="AJ241" s="23" t="n"/>
      <c r="AK241" s="23" t="n"/>
      <c r="AL241" s="23" t="n"/>
      <c r="AM241" s="26">
        <f>IF(G241="","",G241&amp;"|"&amp;P241)</f>
        <v/>
      </c>
      <c r="AN241" s="27">
        <f>IF(I241="","",IFERROR(DATE(VALUE(RIGHT(I241,4)),VALUE(MID(I241,4,2)),VALUE(LEFT(I241,2))),""))</f>
        <v/>
      </c>
      <c r="AO241" s="27">
        <f>IF(Y241="","",IFERROR(DATE(VALUE(RIGHT(Y241,4)),VALUE(MID(Y241,4,2)),VALUE(LEFT(Y241,2))),""))</f>
        <v/>
      </c>
      <c r="AP241" s="27">
        <f>IF(AC241="","",IFERROR(DATE(VALUE(RIGHT(AC241,4)),VALUE(MID(AC241,4,2)),VALUE(LEFT(AC241,2))),""))</f>
        <v/>
      </c>
      <c r="AQ241" s="26">
        <f>IF(AI241="","",TRIM(LEFT(AI241,FIND(" ",AI241&amp;" ")-1)))</f>
        <v/>
      </c>
      <c r="AR241" s="27">
        <f>IF(AQ241="","",IFERROR(DATE(VALUE(MID(AQ241,FIND("/",AQ241,FIND("/",AQ241)+1)+1,4)),VALUE(LEFT(AQ241,FIND("/",AQ241)-1)),VALUE(MID(AQ241,FIND("/",AQ241)+1,FIND("/",AQ241,FIND("/",AQ241)+1)-FIND("/",AQ241)-1))),""))</f>
        <v/>
      </c>
      <c r="AS241" s="26">
        <f>IF(G241="","",IF(AND(AG241&lt;&gt;"",AG241&lt;&gt;"Bayi Aracı"),"Evet","Hayır"))</f>
        <v/>
      </c>
      <c r="AT241" s="26">
        <f>IF(G241="","",IF(AND(AS241="Evet",T241="Siparişiniz Teslim Edildi"),"Evet","Hayır"))</f>
        <v/>
      </c>
      <c r="AU241" s="26">
        <f>IF(G241="","",IF(AB241="Siparişinizin Montajı Yapıldı","Evet","Hayır"))</f>
        <v/>
      </c>
      <c r="AV241" s="27">
        <f>IF(G241="","",IF(AT241="Evet",AR241,IF(AU241="Evet",AP241,"")))</f>
        <v/>
      </c>
    </row>
    <row r="242">
      <c r="A242" s="23" t="n"/>
      <c r="B242" s="23" t="n"/>
      <c r="C242" s="23" t="n"/>
      <c r="D242" s="23" t="n"/>
      <c r="E242" s="23" t="n"/>
      <c r="F242" s="23" t="n"/>
      <c r="G242" s="23" t="n"/>
      <c r="H242" s="23" t="n"/>
      <c r="I242" s="23" t="n"/>
      <c r="J242" s="23" t="n"/>
      <c r="K242" s="23" t="n"/>
      <c r="L242" s="23" t="n"/>
      <c r="M242" s="23" t="n"/>
      <c r="N242" s="23" t="n"/>
      <c r="O242" s="23" t="n"/>
      <c r="P242" s="23" t="n"/>
      <c r="Q242" s="23" t="n"/>
      <c r="R242" s="23" t="n"/>
      <c r="S242" s="23" t="n"/>
      <c r="T242" s="23" t="n"/>
      <c r="U242" s="23" t="n"/>
      <c r="V242" s="23" t="n"/>
      <c r="W242" s="23" t="n"/>
      <c r="X242" s="23" t="n"/>
      <c r="Y242" s="23" t="n"/>
      <c r="Z242" s="23" t="n"/>
      <c r="AA242" s="23" t="n"/>
      <c r="AB242" s="23" t="n"/>
      <c r="AC242" s="23" t="n"/>
      <c r="AD242" s="23" t="n"/>
      <c r="AE242" s="23" t="n"/>
      <c r="AF242" s="23" t="n"/>
      <c r="AG242" s="23" t="n"/>
      <c r="AH242" s="23" t="n"/>
      <c r="AI242" s="23" t="n"/>
      <c r="AJ242" s="23" t="n"/>
      <c r="AK242" s="23" t="n"/>
      <c r="AL242" s="23" t="n"/>
      <c r="AM242" s="26">
        <f>IF(G242="","",G242&amp;"|"&amp;P242)</f>
        <v/>
      </c>
      <c r="AN242" s="27">
        <f>IF(I242="","",IFERROR(DATE(VALUE(RIGHT(I242,4)),VALUE(MID(I242,4,2)),VALUE(LEFT(I242,2))),""))</f>
        <v/>
      </c>
      <c r="AO242" s="27">
        <f>IF(Y242="","",IFERROR(DATE(VALUE(RIGHT(Y242,4)),VALUE(MID(Y242,4,2)),VALUE(LEFT(Y242,2))),""))</f>
        <v/>
      </c>
      <c r="AP242" s="27">
        <f>IF(AC242="","",IFERROR(DATE(VALUE(RIGHT(AC242,4)),VALUE(MID(AC242,4,2)),VALUE(LEFT(AC242,2))),""))</f>
        <v/>
      </c>
      <c r="AQ242" s="26">
        <f>IF(AI242="","",TRIM(LEFT(AI242,FIND(" ",AI242&amp;" ")-1)))</f>
        <v/>
      </c>
      <c r="AR242" s="27">
        <f>IF(AQ242="","",IFERROR(DATE(VALUE(MID(AQ242,FIND("/",AQ242,FIND("/",AQ242)+1)+1,4)),VALUE(LEFT(AQ242,FIND("/",AQ242)-1)),VALUE(MID(AQ242,FIND("/",AQ242)+1,FIND("/",AQ242,FIND("/",AQ242)+1)-FIND("/",AQ242)-1))),""))</f>
        <v/>
      </c>
      <c r="AS242" s="26">
        <f>IF(G242="","",IF(AND(AG242&lt;&gt;"",AG242&lt;&gt;"Bayi Aracı"),"Evet","Hayır"))</f>
        <v/>
      </c>
      <c r="AT242" s="26">
        <f>IF(G242="","",IF(AND(AS242="Evet",T242="Siparişiniz Teslim Edildi"),"Evet","Hayır"))</f>
        <v/>
      </c>
      <c r="AU242" s="26">
        <f>IF(G242="","",IF(AB242="Siparişinizin Montajı Yapıldı","Evet","Hayır"))</f>
        <v/>
      </c>
      <c r="AV242" s="27">
        <f>IF(G242="","",IF(AT242="Evet",AR242,IF(AU242="Evet",AP242,"")))</f>
        <v/>
      </c>
    </row>
    <row r="243">
      <c r="A243" s="23" t="n"/>
      <c r="B243" s="23" t="n"/>
      <c r="C243" s="23" t="n"/>
      <c r="D243" s="23" t="n"/>
      <c r="E243" s="23" t="n"/>
      <c r="F243" s="23" t="n"/>
      <c r="G243" s="23" t="n"/>
      <c r="H243" s="23" t="n"/>
      <c r="I243" s="23" t="n"/>
      <c r="J243" s="23" t="n"/>
      <c r="K243" s="23" t="n"/>
      <c r="L243" s="23" t="n"/>
      <c r="M243" s="23" t="n"/>
      <c r="N243" s="23" t="n"/>
      <c r="O243" s="23" t="n"/>
      <c r="P243" s="23" t="n"/>
      <c r="Q243" s="23" t="n"/>
      <c r="R243" s="23" t="n"/>
      <c r="S243" s="23" t="n"/>
      <c r="T243" s="23" t="n"/>
      <c r="U243" s="23" t="n"/>
      <c r="V243" s="23" t="n"/>
      <c r="W243" s="23" t="n"/>
      <c r="X243" s="23" t="n"/>
      <c r="Y243" s="23" t="n"/>
      <c r="Z243" s="23" t="n"/>
      <c r="AA243" s="23" t="n"/>
      <c r="AB243" s="23" t="n"/>
      <c r="AC243" s="23" t="n"/>
      <c r="AD243" s="23" t="n"/>
      <c r="AE243" s="23" t="n"/>
      <c r="AF243" s="23" t="n"/>
      <c r="AG243" s="23" t="n"/>
      <c r="AH243" s="23" t="n"/>
      <c r="AI243" s="23" t="n"/>
      <c r="AJ243" s="23" t="n"/>
      <c r="AK243" s="23" t="n"/>
      <c r="AL243" s="23" t="n"/>
      <c r="AM243" s="26">
        <f>IF(G243="","",G243&amp;"|"&amp;P243)</f>
        <v/>
      </c>
      <c r="AN243" s="27">
        <f>IF(I243="","",IFERROR(DATE(VALUE(RIGHT(I243,4)),VALUE(MID(I243,4,2)),VALUE(LEFT(I243,2))),""))</f>
        <v/>
      </c>
      <c r="AO243" s="27">
        <f>IF(Y243="","",IFERROR(DATE(VALUE(RIGHT(Y243,4)),VALUE(MID(Y243,4,2)),VALUE(LEFT(Y243,2))),""))</f>
        <v/>
      </c>
      <c r="AP243" s="27">
        <f>IF(AC243="","",IFERROR(DATE(VALUE(RIGHT(AC243,4)),VALUE(MID(AC243,4,2)),VALUE(LEFT(AC243,2))),""))</f>
        <v/>
      </c>
      <c r="AQ243" s="26">
        <f>IF(AI243="","",TRIM(LEFT(AI243,FIND(" ",AI243&amp;" ")-1)))</f>
        <v/>
      </c>
      <c r="AR243" s="27">
        <f>IF(AQ243="","",IFERROR(DATE(VALUE(MID(AQ243,FIND("/",AQ243,FIND("/",AQ243)+1)+1,4)),VALUE(LEFT(AQ243,FIND("/",AQ243)-1)),VALUE(MID(AQ243,FIND("/",AQ243)+1,FIND("/",AQ243,FIND("/",AQ243)+1)-FIND("/",AQ243)-1))),""))</f>
        <v/>
      </c>
      <c r="AS243" s="26">
        <f>IF(G243="","",IF(AND(AG243&lt;&gt;"",AG243&lt;&gt;"Bayi Aracı"),"Evet","Hayır"))</f>
        <v/>
      </c>
      <c r="AT243" s="26">
        <f>IF(G243="","",IF(AND(AS243="Evet",T243="Siparişiniz Teslim Edildi"),"Evet","Hayır"))</f>
        <v/>
      </c>
      <c r="AU243" s="26">
        <f>IF(G243="","",IF(AB243="Siparişinizin Montajı Yapıldı","Evet","Hayır"))</f>
        <v/>
      </c>
      <c r="AV243" s="27">
        <f>IF(G243="","",IF(AT243="Evet",AR243,IF(AU243="Evet",AP243,"")))</f>
        <v/>
      </c>
    </row>
    <row r="244">
      <c r="A244" s="23" t="n"/>
      <c r="B244" s="23" t="n"/>
      <c r="C244" s="23" t="n"/>
      <c r="D244" s="23" t="n"/>
      <c r="E244" s="23" t="n"/>
      <c r="F244" s="23" t="n"/>
      <c r="G244" s="23" t="n"/>
      <c r="H244" s="23" t="n"/>
      <c r="I244" s="23" t="n"/>
      <c r="J244" s="23" t="n"/>
      <c r="K244" s="23" t="n"/>
      <c r="L244" s="23" t="n"/>
      <c r="M244" s="23" t="n"/>
      <c r="N244" s="23" t="n"/>
      <c r="O244" s="23" t="n"/>
      <c r="P244" s="23" t="n"/>
      <c r="Q244" s="23" t="n"/>
      <c r="R244" s="23" t="n"/>
      <c r="S244" s="23" t="n"/>
      <c r="T244" s="23" t="n"/>
      <c r="U244" s="23" t="n"/>
      <c r="V244" s="23" t="n"/>
      <c r="W244" s="23" t="n"/>
      <c r="X244" s="23" t="n"/>
      <c r="Y244" s="23" t="n"/>
      <c r="Z244" s="23" t="n"/>
      <c r="AA244" s="23" t="n"/>
      <c r="AB244" s="23" t="n"/>
      <c r="AC244" s="23" t="n"/>
      <c r="AD244" s="23" t="n"/>
      <c r="AE244" s="23" t="n"/>
      <c r="AF244" s="23" t="n"/>
      <c r="AG244" s="23" t="n"/>
      <c r="AH244" s="23" t="n"/>
      <c r="AI244" s="23" t="n"/>
      <c r="AJ244" s="23" t="n"/>
      <c r="AK244" s="23" t="n"/>
      <c r="AL244" s="23" t="n"/>
      <c r="AM244" s="26">
        <f>IF(G244="","",G244&amp;"|"&amp;P244)</f>
        <v/>
      </c>
      <c r="AN244" s="27">
        <f>IF(I244="","",IFERROR(DATE(VALUE(RIGHT(I244,4)),VALUE(MID(I244,4,2)),VALUE(LEFT(I244,2))),""))</f>
        <v/>
      </c>
      <c r="AO244" s="27">
        <f>IF(Y244="","",IFERROR(DATE(VALUE(RIGHT(Y244,4)),VALUE(MID(Y244,4,2)),VALUE(LEFT(Y244,2))),""))</f>
        <v/>
      </c>
      <c r="AP244" s="27">
        <f>IF(AC244="","",IFERROR(DATE(VALUE(RIGHT(AC244,4)),VALUE(MID(AC244,4,2)),VALUE(LEFT(AC244,2))),""))</f>
        <v/>
      </c>
      <c r="AQ244" s="26">
        <f>IF(AI244="","",TRIM(LEFT(AI244,FIND(" ",AI244&amp;" ")-1)))</f>
        <v/>
      </c>
      <c r="AR244" s="27">
        <f>IF(AQ244="","",IFERROR(DATE(VALUE(MID(AQ244,FIND("/",AQ244,FIND("/",AQ244)+1)+1,4)),VALUE(LEFT(AQ244,FIND("/",AQ244)-1)),VALUE(MID(AQ244,FIND("/",AQ244)+1,FIND("/",AQ244,FIND("/",AQ244)+1)-FIND("/",AQ244)-1))),""))</f>
        <v/>
      </c>
      <c r="AS244" s="26">
        <f>IF(G244="","",IF(AND(AG244&lt;&gt;"",AG244&lt;&gt;"Bayi Aracı"),"Evet","Hayır"))</f>
        <v/>
      </c>
      <c r="AT244" s="26">
        <f>IF(G244="","",IF(AND(AS244="Evet",T244="Siparişiniz Teslim Edildi"),"Evet","Hayır"))</f>
        <v/>
      </c>
      <c r="AU244" s="26">
        <f>IF(G244="","",IF(AB244="Siparişinizin Montajı Yapıldı","Evet","Hayır"))</f>
        <v/>
      </c>
      <c r="AV244" s="27">
        <f>IF(G244="","",IF(AT244="Evet",AR244,IF(AU244="Evet",AP244,"")))</f>
        <v/>
      </c>
    </row>
    <row r="245">
      <c r="A245" s="23" t="n"/>
      <c r="B245" s="23" t="n"/>
      <c r="C245" s="23" t="n"/>
      <c r="D245" s="23" t="n"/>
      <c r="E245" s="23" t="n"/>
      <c r="F245" s="23" t="n"/>
      <c r="G245" s="23" t="n"/>
      <c r="H245" s="23" t="n"/>
      <c r="I245" s="23" t="n"/>
      <c r="J245" s="23" t="n"/>
      <c r="K245" s="23" t="n"/>
      <c r="L245" s="23" t="n"/>
      <c r="M245" s="23" t="n"/>
      <c r="N245" s="23" t="n"/>
      <c r="O245" s="23" t="n"/>
      <c r="P245" s="23" t="n"/>
      <c r="Q245" s="23" t="n"/>
      <c r="R245" s="23" t="n"/>
      <c r="S245" s="23" t="n"/>
      <c r="T245" s="23" t="n"/>
      <c r="U245" s="23" t="n"/>
      <c r="V245" s="23" t="n"/>
      <c r="W245" s="23" t="n"/>
      <c r="X245" s="23" t="n"/>
      <c r="Y245" s="23" t="n"/>
      <c r="Z245" s="23" t="n"/>
      <c r="AA245" s="23" t="n"/>
      <c r="AB245" s="23" t="n"/>
      <c r="AC245" s="23" t="n"/>
      <c r="AD245" s="23" t="n"/>
      <c r="AE245" s="23" t="n"/>
      <c r="AF245" s="23" t="n"/>
      <c r="AG245" s="23" t="n"/>
      <c r="AH245" s="23" t="n"/>
      <c r="AI245" s="23" t="n"/>
      <c r="AJ245" s="23" t="n"/>
      <c r="AK245" s="23" t="n"/>
      <c r="AL245" s="23" t="n"/>
      <c r="AM245" s="26">
        <f>IF(G245="","",G245&amp;"|"&amp;P245)</f>
        <v/>
      </c>
      <c r="AN245" s="27">
        <f>IF(I245="","",IFERROR(DATE(VALUE(RIGHT(I245,4)),VALUE(MID(I245,4,2)),VALUE(LEFT(I245,2))),""))</f>
        <v/>
      </c>
      <c r="AO245" s="27">
        <f>IF(Y245="","",IFERROR(DATE(VALUE(RIGHT(Y245,4)),VALUE(MID(Y245,4,2)),VALUE(LEFT(Y245,2))),""))</f>
        <v/>
      </c>
      <c r="AP245" s="27">
        <f>IF(AC245="","",IFERROR(DATE(VALUE(RIGHT(AC245,4)),VALUE(MID(AC245,4,2)),VALUE(LEFT(AC245,2))),""))</f>
        <v/>
      </c>
      <c r="AQ245" s="26">
        <f>IF(AI245="","",TRIM(LEFT(AI245,FIND(" ",AI245&amp;" ")-1)))</f>
        <v/>
      </c>
      <c r="AR245" s="27">
        <f>IF(AQ245="","",IFERROR(DATE(VALUE(MID(AQ245,FIND("/",AQ245,FIND("/",AQ245)+1)+1,4)),VALUE(LEFT(AQ245,FIND("/",AQ245)-1)),VALUE(MID(AQ245,FIND("/",AQ245)+1,FIND("/",AQ245,FIND("/",AQ245)+1)-FIND("/",AQ245)-1))),""))</f>
        <v/>
      </c>
      <c r="AS245" s="26">
        <f>IF(G245="","",IF(AND(AG245&lt;&gt;"",AG245&lt;&gt;"Bayi Aracı"),"Evet","Hayır"))</f>
        <v/>
      </c>
      <c r="AT245" s="26">
        <f>IF(G245="","",IF(AND(AS245="Evet",T245="Siparişiniz Teslim Edildi"),"Evet","Hayır"))</f>
        <v/>
      </c>
      <c r="AU245" s="26">
        <f>IF(G245="","",IF(AB245="Siparişinizin Montajı Yapıldı","Evet","Hayır"))</f>
        <v/>
      </c>
      <c r="AV245" s="27">
        <f>IF(G245="","",IF(AT245="Evet",AR245,IF(AU245="Evet",AP245,"")))</f>
        <v/>
      </c>
    </row>
    <row r="246">
      <c r="A246" s="23" t="n"/>
      <c r="B246" s="23" t="n"/>
      <c r="C246" s="23" t="n"/>
      <c r="D246" s="23" t="n"/>
      <c r="E246" s="23" t="n"/>
      <c r="F246" s="23" t="n"/>
      <c r="G246" s="23" t="n"/>
      <c r="H246" s="23" t="n"/>
      <c r="I246" s="23" t="n"/>
      <c r="J246" s="23" t="n"/>
      <c r="K246" s="23" t="n"/>
      <c r="L246" s="23" t="n"/>
      <c r="M246" s="23" t="n"/>
      <c r="N246" s="23" t="n"/>
      <c r="O246" s="23" t="n"/>
      <c r="P246" s="23" t="n"/>
      <c r="Q246" s="23" t="n"/>
      <c r="R246" s="23" t="n"/>
      <c r="S246" s="23" t="n"/>
      <c r="T246" s="23" t="n"/>
      <c r="U246" s="23" t="n"/>
      <c r="V246" s="23" t="n"/>
      <c r="W246" s="23" t="n"/>
      <c r="X246" s="23" t="n"/>
      <c r="Y246" s="23" t="n"/>
      <c r="Z246" s="23" t="n"/>
      <c r="AA246" s="23" t="n"/>
      <c r="AB246" s="23" t="n"/>
      <c r="AC246" s="23" t="n"/>
      <c r="AD246" s="23" t="n"/>
      <c r="AE246" s="23" t="n"/>
      <c r="AF246" s="23" t="n"/>
      <c r="AG246" s="23" t="n"/>
      <c r="AH246" s="23" t="n"/>
      <c r="AI246" s="23" t="n"/>
      <c r="AJ246" s="23" t="n"/>
      <c r="AK246" s="23" t="n"/>
      <c r="AL246" s="23" t="n"/>
      <c r="AM246" s="26">
        <f>IF(G246="","",G246&amp;"|"&amp;P246)</f>
        <v/>
      </c>
      <c r="AN246" s="27">
        <f>IF(I246="","",IFERROR(DATE(VALUE(RIGHT(I246,4)),VALUE(MID(I246,4,2)),VALUE(LEFT(I246,2))),""))</f>
        <v/>
      </c>
      <c r="AO246" s="27">
        <f>IF(Y246="","",IFERROR(DATE(VALUE(RIGHT(Y246,4)),VALUE(MID(Y246,4,2)),VALUE(LEFT(Y246,2))),""))</f>
        <v/>
      </c>
      <c r="AP246" s="27">
        <f>IF(AC246="","",IFERROR(DATE(VALUE(RIGHT(AC246,4)),VALUE(MID(AC246,4,2)),VALUE(LEFT(AC246,2))),""))</f>
        <v/>
      </c>
      <c r="AQ246" s="26">
        <f>IF(AI246="","",TRIM(LEFT(AI246,FIND(" ",AI246&amp;" ")-1)))</f>
        <v/>
      </c>
      <c r="AR246" s="27">
        <f>IF(AQ246="","",IFERROR(DATE(VALUE(MID(AQ246,FIND("/",AQ246,FIND("/",AQ246)+1)+1,4)),VALUE(LEFT(AQ246,FIND("/",AQ246)-1)),VALUE(MID(AQ246,FIND("/",AQ246)+1,FIND("/",AQ246,FIND("/",AQ246)+1)-FIND("/",AQ246)-1))),""))</f>
        <v/>
      </c>
      <c r="AS246" s="26">
        <f>IF(G246="","",IF(AND(AG246&lt;&gt;"",AG246&lt;&gt;"Bayi Aracı"),"Evet","Hayır"))</f>
        <v/>
      </c>
      <c r="AT246" s="26">
        <f>IF(G246="","",IF(AND(AS246="Evet",T246="Siparişiniz Teslim Edildi"),"Evet","Hayır"))</f>
        <v/>
      </c>
      <c r="AU246" s="26">
        <f>IF(G246="","",IF(AB246="Siparişinizin Montajı Yapıldı","Evet","Hayır"))</f>
        <v/>
      </c>
      <c r="AV246" s="27">
        <f>IF(G246="","",IF(AT246="Evet",AR246,IF(AU246="Evet",AP246,"")))</f>
        <v/>
      </c>
    </row>
    <row r="247">
      <c r="A247" s="23" t="n"/>
      <c r="B247" s="23" t="n"/>
      <c r="C247" s="23" t="n"/>
      <c r="D247" s="23" t="n"/>
      <c r="E247" s="23" t="n"/>
      <c r="F247" s="23" t="n"/>
      <c r="G247" s="23" t="n"/>
      <c r="H247" s="23" t="n"/>
      <c r="I247" s="23" t="n"/>
      <c r="J247" s="23" t="n"/>
      <c r="K247" s="23" t="n"/>
      <c r="L247" s="23" t="n"/>
      <c r="M247" s="23" t="n"/>
      <c r="N247" s="23" t="n"/>
      <c r="O247" s="23" t="n"/>
      <c r="P247" s="23" t="n"/>
      <c r="Q247" s="23" t="n"/>
      <c r="R247" s="23" t="n"/>
      <c r="S247" s="23" t="n"/>
      <c r="T247" s="23" t="n"/>
      <c r="U247" s="23" t="n"/>
      <c r="V247" s="23" t="n"/>
      <c r="W247" s="23" t="n"/>
      <c r="X247" s="23" t="n"/>
      <c r="Y247" s="23" t="n"/>
      <c r="Z247" s="23" t="n"/>
      <c r="AA247" s="23" t="n"/>
      <c r="AB247" s="23" t="n"/>
      <c r="AC247" s="23" t="n"/>
      <c r="AD247" s="23" t="n"/>
      <c r="AE247" s="23" t="n"/>
      <c r="AF247" s="23" t="n"/>
      <c r="AG247" s="23" t="n"/>
      <c r="AH247" s="23" t="n"/>
      <c r="AI247" s="23" t="n"/>
      <c r="AJ247" s="23" t="n"/>
      <c r="AK247" s="23" t="n"/>
      <c r="AL247" s="23" t="n"/>
      <c r="AM247" s="26">
        <f>IF(G247="","",G247&amp;"|"&amp;P247)</f>
        <v/>
      </c>
      <c r="AN247" s="27">
        <f>IF(I247="","",IFERROR(DATE(VALUE(RIGHT(I247,4)),VALUE(MID(I247,4,2)),VALUE(LEFT(I247,2))),""))</f>
        <v/>
      </c>
      <c r="AO247" s="27">
        <f>IF(Y247="","",IFERROR(DATE(VALUE(RIGHT(Y247,4)),VALUE(MID(Y247,4,2)),VALUE(LEFT(Y247,2))),""))</f>
        <v/>
      </c>
      <c r="AP247" s="27">
        <f>IF(AC247="","",IFERROR(DATE(VALUE(RIGHT(AC247,4)),VALUE(MID(AC247,4,2)),VALUE(LEFT(AC247,2))),""))</f>
        <v/>
      </c>
      <c r="AQ247" s="26">
        <f>IF(AI247="","",TRIM(LEFT(AI247,FIND(" ",AI247&amp;" ")-1)))</f>
        <v/>
      </c>
      <c r="AR247" s="27">
        <f>IF(AQ247="","",IFERROR(DATE(VALUE(MID(AQ247,FIND("/",AQ247,FIND("/",AQ247)+1)+1,4)),VALUE(LEFT(AQ247,FIND("/",AQ247)-1)),VALUE(MID(AQ247,FIND("/",AQ247)+1,FIND("/",AQ247,FIND("/",AQ247)+1)-FIND("/",AQ247)-1))),""))</f>
        <v/>
      </c>
      <c r="AS247" s="26">
        <f>IF(G247="","",IF(AND(AG247&lt;&gt;"",AG247&lt;&gt;"Bayi Aracı"),"Evet","Hayır"))</f>
        <v/>
      </c>
      <c r="AT247" s="26">
        <f>IF(G247="","",IF(AND(AS247="Evet",T247="Siparişiniz Teslim Edildi"),"Evet","Hayır"))</f>
        <v/>
      </c>
      <c r="AU247" s="26">
        <f>IF(G247="","",IF(AB247="Siparişinizin Montajı Yapıldı","Evet","Hayır"))</f>
        <v/>
      </c>
      <c r="AV247" s="27">
        <f>IF(G247="","",IF(AT247="Evet",AR247,IF(AU247="Evet",AP247,"")))</f>
        <v/>
      </c>
    </row>
    <row r="248">
      <c r="A248" s="23" t="n"/>
      <c r="B248" s="23" t="n"/>
      <c r="C248" s="23" t="n"/>
      <c r="D248" s="23" t="n"/>
      <c r="E248" s="23" t="n"/>
      <c r="F248" s="23" t="n"/>
      <c r="G248" s="23" t="n"/>
      <c r="H248" s="23" t="n"/>
      <c r="I248" s="23" t="n"/>
      <c r="J248" s="23" t="n"/>
      <c r="K248" s="23" t="n"/>
      <c r="L248" s="23" t="n"/>
      <c r="M248" s="23" t="n"/>
      <c r="N248" s="23" t="n"/>
      <c r="O248" s="23" t="n"/>
      <c r="P248" s="23" t="n"/>
      <c r="Q248" s="23" t="n"/>
      <c r="R248" s="23" t="n"/>
      <c r="S248" s="23" t="n"/>
      <c r="T248" s="23" t="n"/>
      <c r="U248" s="23" t="n"/>
      <c r="V248" s="23" t="n"/>
      <c r="W248" s="23" t="n"/>
      <c r="X248" s="23" t="n"/>
      <c r="Y248" s="23" t="n"/>
      <c r="Z248" s="23" t="n"/>
      <c r="AA248" s="23" t="n"/>
      <c r="AB248" s="23" t="n"/>
      <c r="AC248" s="23" t="n"/>
      <c r="AD248" s="23" t="n"/>
      <c r="AE248" s="23" t="n"/>
      <c r="AF248" s="23" t="n"/>
      <c r="AG248" s="23" t="n"/>
      <c r="AH248" s="23" t="n"/>
      <c r="AI248" s="23" t="n"/>
      <c r="AJ248" s="23" t="n"/>
      <c r="AK248" s="23" t="n"/>
      <c r="AL248" s="23" t="n"/>
      <c r="AM248" s="26">
        <f>IF(G248="","",G248&amp;"|"&amp;P248)</f>
        <v/>
      </c>
      <c r="AN248" s="27">
        <f>IF(I248="","",IFERROR(DATE(VALUE(RIGHT(I248,4)),VALUE(MID(I248,4,2)),VALUE(LEFT(I248,2))),""))</f>
        <v/>
      </c>
      <c r="AO248" s="27">
        <f>IF(Y248="","",IFERROR(DATE(VALUE(RIGHT(Y248,4)),VALUE(MID(Y248,4,2)),VALUE(LEFT(Y248,2))),""))</f>
        <v/>
      </c>
      <c r="AP248" s="27">
        <f>IF(AC248="","",IFERROR(DATE(VALUE(RIGHT(AC248,4)),VALUE(MID(AC248,4,2)),VALUE(LEFT(AC248,2))),""))</f>
        <v/>
      </c>
      <c r="AQ248" s="26">
        <f>IF(AI248="","",TRIM(LEFT(AI248,FIND(" ",AI248&amp;" ")-1)))</f>
        <v/>
      </c>
      <c r="AR248" s="27">
        <f>IF(AQ248="","",IFERROR(DATE(VALUE(MID(AQ248,FIND("/",AQ248,FIND("/",AQ248)+1)+1,4)),VALUE(LEFT(AQ248,FIND("/",AQ248)-1)),VALUE(MID(AQ248,FIND("/",AQ248)+1,FIND("/",AQ248,FIND("/",AQ248)+1)-FIND("/",AQ248)-1))),""))</f>
        <v/>
      </c>
      <c r="AS248" s="26">
        <f>IF(G248="","",IF(AND(AG248&lt;&gt;"",AG248&lt;&gt;"Bayi Aracı"),"Evet","Hayır"))</f>
        <v/>
      </c>
      <c r="AT248" s="26">
        <f>IF(G248="","",IF(AND(AS248="Evet",T248="Siparişiniz Teslim Edildi"),"Evet","Hayır"))</f>
        <v/>
      </c>
      <c r="AU248" s="26">
        <f>IF(G248="","",IF(AB248="Siparişinizin Montajı Yapıldı","Evet","Hayır"))</f>
        <v/>
      </c>
      <c r="AV248" s="27">
        <f>IF(G248="","",IF(AT248="Evet",AR248,IF(AU248="Evet",AP248,"")))</f>
        <v/>
      </c>
    </row>
    <row r="249">
      <c r="A249" s="23" t="n"/>
      <c r="B249" s="23" t="n"/>
      <c r="C249" s="23" t="n"/>
      <c r="D249" s="23" t="n"/>
      <c r="E249" s="23" t="n"/>
      <c r="F249" s="23" t="n"/>
      <c r="G249" s="23" t="n"/>
      <c r="H249" s="23" t="n"/>
      <c r="I249" s="23" t="n"/>
      <c r="J249" s="23" t="n"/>
      <c r="K249" s="23" t="n"/>
      <c r="L249" s="23" t="n"/>
      <c r="M249" s="23" t="n"/>
      <c r="N249" s="23" t="n"/>
      <c r="O249" s="23" t="n"/>
      <c r="P249" s="23" t="n"/>
      <c r="Q249" s="23" t="n"/>
      <c r="R249" s="23" t="n"/>
      <c r="S249" s="23" t="n"/>
      <c r="T249" s="23" t="n"/>
      <c r="U249" s="23" t="n"/>
      <c r="V249" s="23" t="n"/>
      <c r="W249" s="23" t="n"/>
      <c r="X249" s="23" t="n"/>
      <c r="Y249" s="23" t="n"/>
      <c r="Z249" s="23" t="n"/>
      <c r="AA249" s="23" t="n"/>
      <c r="AB249" s="23" t="n"/>
      <c r="AC249" s="23" t="n"/>
      <c r="AD249" s="23" t="n"/>
      <c r="AE249" s="23" t="n"/>
      <c r="AF249" s="23" t="n"/>
      <c r="AG249" s="23" t="n"/>
      <c r="AH249" s="23" t="n"/>
      <c r="AI249" s="23" t="n"/>
      <c r="AJ249" s="23" t="n"/>
      <c r="AK249" s="23" t="n"/>
      <c r="AL249" s="23" t="n"/>
      <c r="AM249" s="26">
        <f>IF(G249="","",G249&amp;"|"&amp;P249)</f>
        <v/>
      </c>
      <c r="AN249" s="27">
        <f>IF(I249="","",IFERROR(DATE(VALUE(RIGHT(I249,4)),VALUE(MID(I249,4,2)),VALUE(LEFT(I249,2))),""))</f>
        <v/>
      </c>
      <c r="AO249" s="27">
        <f>IF(Y249="","",IFERROR(DATE(VALUE(RIGHT(Y249,4)),VALUE(MID(Y249,4,2)),VALUE(LEFT(Y249,2))),""))</f>
        <v/>
      </c>
      <c r="AP249" s="27">
        <f>IF(AC249="","",IFERROR(DATE(VALUE(RIGHT(AC249,4)),VALUE(MID(AC249,4,2)),VALUE(LEFT(AC249,2))),""))</f>
        <v/>
      </c>
      <c r="AQ249" s="26">
        <f>IF(AI249="","",TRIM(LEFT(AI249,FIND(" ",AI249&amp;" ")-1)))</f>
        <v/>
      </c>
      <c r="AR249" s="27">
        <f>IF(AQ249="","",IFERROR(DATE(VALUE(MID(AQ249,FIND("/",AQ249,FIND("/",AQ249)+1)+1,4)),VALUE(LEFT(AQ249,FIND("/",AQ249)-1)),VALUE(MID(AQ249,FIND("/",AQ249)+1,FIND("/",AQ249,FIND("/",AQ249)+1)-FIND("/",AQ249)-1))),""))</f>
        <v/>
      </c>
      <c r="AS249" s="26">
        <f>IF(G249="","",IF(AND(AG249&lt;&gt;"",AG249&lt;&gt;"Bayi Aracı"),"Evet","Hayır"))</f>
        <v/>
      </c>
      <c r="AT249" s="26">
        <f>IF(G249="","",IF(AND(AS249="Evet",T249="Siparişiniz Teslim Edildi"),"Evet","Hayır"))</f>
        <v/>
      </c>
      <c r="AU249" s="26">
        <f>IF(G249="","",IF(AB249="Siparişinizin Montajı Yapıldı","Evet","Hayır"))</f>
        <v/>
      </c>
      <c r="AV249" s="27">
        <f>IF(G249="","",IF(AT249="Evet",AR249,IF(AU249="Evet",AP249,"")))</f>
        <v/>
      </c>
    </row>
    <row r="250">
      <c r="A250" s="23" t="n"/>
      <c r="B250" s="23" t="n"/>
      <c r="C250" s="23" t="n"/>
      <c r="D250" s="23" t="n"/>
      <c r="E250" s="23" t="n"/>
      <c r="F250" s="23" t="n"/>
      <c r="G250" s="23" t="n"/>
      <c r="H250" s="23" t="n"/>
      <c r="I250" s="23" t="n"/>
      <c r="J250" s="23" t="n"/>
      <c r="K250" s="23" t="n"/>
      <c r="L250" s="23" t="n"/>
      <c r="M250" s="23" t="n"/>
      <c r="N250" s="23" t="n"/>
      <c r="O250" s="23" t="n"/>
      <c r="P250" s="23" t="n"/>
      <c r="Q250" s="23" t="n"/>
      <c r="R250" s="23" t="n"/>
      <c r="S250" s="23" t="n"/>
      <c r="T250" s="23" t="n"/>
      <c r="U250" s="23" t="n"/>
      <c r="V250" s="23" t="n"/>
      <c r="W250" s="23" t="n"/>
      <c r="X250" s="23" t="n"/>
      <c r="Y250" s="23" t="n"/>
      <c r="Z250" s="23" t="n"/>
      <c r="AA250" s="23" t="n"/>
      <c r="AB250" s="23" t="n"/>
      <c r="AC250" s="23" t="n"/>
      <c r="AD250" s="23" t="n"/>
      <c r="AE250" s="23" t="n"/>
      <c r="AF250" s="23" t="n"/>
      <c r="AG250" s="23" t="n"/>
      <c r="AH250" s="23" t="n"/>
      <c r="AI250" s="23" t="n"/>
      <c r="AJ250" s="23" t="n"/>
      <c r="AK250" s="23" t="n"/>
      <c r="AL250" s="23" t="n"/>
      <c r="AM250" s="26">
        <f>IF(G250="","",G250&amp;"|"&amp;P250)</f>
        <v/>
      </c>
      <c r="AN250" s="27">
        <f>IF(I250="","",IFERROR(DATE(VALUE(RIGHT(I250,4)),VALUE(MID(I250,4,2)),VALUE(LEFT(I250,2))),""))</f>
        <v/>
      </c>
      <c r="AO250" s="27">
        <f>IF(Y250="","",IFERROR(DATE(VALUE(RIGHT(Y250,4)),VALUE(MID(Y250,4,2)),VALUE(LEFT(Y250,2))),""))</f>
        <v/>
      </c>
      <c r="AP250" s="27">
        <f>IF(AC250="","",IFERROR(DATE(VALUE(RIGHT(AC250,4)),VALUE(MID(AC250,4,2)),VALUE(LEFT(AC250,2))),""))</f>
        <v/>
      </c>
      <c r="AQ250" s="26">
        <f>IF(AI250="","",TRIM(LEFT(AI250,FIND(" ",AI250&amp;" ")-1)))</f>
        <v/>
      </c>
      <c r="AR250" s="27">
        <f>IF(AQ250="","",IFERROR(DATE(VALUE(MID(AQ250,FIND("/",AQ250,FIND("/",AQ250)+1)+1,4)),VALUE(LEFT(AQ250,FIND("/",AQ250)-1)),VALUE(MID(AQ250,FIND("/",AQ250)+1,FIND("/",AQ250,FIND("/",AQ250)+1)-FIND("/",AQ250)-1))),""))</f>
        <v/>
      </c>
      <c r="AS250" s="26">
        <f>IF(G250="","",IF(AND(AG250&lt;&gt;"",AG250&lt;&gt;"Bayi Aracı"),"Evet","Hayır"))</f>
        <v/>
      </c>
      <c r="AT250" s="26">
        <f>IF(G250="","",IF(AND(AS250="Evet",T250="Siparişiniz Teslim Edildi"),"Evet","Hayır"))</f>
        <v/>
      </c>
      <c r="AU250" s="26">
        <f>IF(G250="","",IF(AB250="Siparişinizin Montajı Yapıldı","Evet","Hayır"))</f>
        <v/>
      </c>
      <c r="AV250" s="27">
        <f>IF(G250="","",IF(AT250="Evet",AR250,IF(AU250="Evet",AP250,"")))</f>
        <v/>
      </c>
    </row>
    <row r="251">
      <c r="A251" s="23" t="n"/>
      <c r="B251" s="23" t="n"/>
      <c r="C251" s="23" t="n"/>
      <c r="D251" s="23" t="n"/>
      <c r="E251" s="23" t="n"/>
      <c r="F251" s="23" t="n"/>
      <c r="G251" s="23" t="n"/>
      <c r="H251" s="23" t="n"/>
      <c r="I251" s="23" t="n"/>
      <c r="J251" s="23" t="n"/>
      <c r="K251" s="23" t="n"/>
      <c r="L251" s="23" t="n"/>
      <c r="M251" s="23" t="n"/>
      <c r="N251" s="23" t="n"/>
      <c r="O251" s="23" t="n"/>
      <c r="P251" s="23" t="n"/>
      <c r="Q251" s="23" t="n"/>
      <c r="R251" s="23" t="n"/>
      <c r="S251" s="23" t="n"/>
      <c r="T251" s="23" t="n"/>
      <c r="U251" s="23" t="n"/>
      <c r="V251" s="23" t="n"/>
      <c r="W251" s="23" t="n"/>
      <c r="X251" s="23" t="n"/>
      <c r="Y251" s="23" t="n"/>
      <c r="Z251" s="23" t="n"/>
      <c r="AA251" s="23" t="n"/>
      <c r="AB251" s="23" t="n"/>
      <c r="AC251" s="23" t="n"/>
      <c r="AD251" s="23" t="n"/>
      <c r="AE251" s="23" t="n"/>
      <c r="AF251" s="23" t="n"/>
      <c r="AG251" s="23" t="n"/>
      <c r="AH251" s="23" t="n"/>
      <c r="AI251" s="23" t="n"/>
      <c r="AJ251" s="23" t="n"/>
      <c r="AK251" s="23" t="n"/>
      <c r="AL251" s="23" t="n"/>
      <c r="AM251" s="26">
        <f>IF(G251="","",G251&amp;"|"&amp;P251)</f>
        <v/>
      </c>
      <c r="AN251" s="27">
        <f>IF(I251="","",IFERROR(DATE(VALUE(RIGHT(I251,4)),VALUE(MID(I251,4,2)),VALUE(LEFT(I251,2))),""))</f>
        <v/>
      </c>
      <c r="AO251" s="27">
        <f>IF(Y251="","",IFERROR(DATE(VALUE(RIGHT(Y251,4)),VALUE(MID(Y251,4,2)),VALUE(LEFT(Y251,2))),""))</f>
        <v/>
      </c>
      <c r="AP251" s="27">
        <f>IF(AC251="","",IFERROR(DATE(VALUE(RIGHT(AC251,4)),VALUE(MID(AC251,4,2)),VALUE(LEFT(AC251,2))),""))</f>
        <v/>
      </c>
      <c r="AQ251" s="26">
        <f>IF(AI251="","",TRIM(LEFT(AI251,FIND(" ",AI251&amp;" ")-1)))</f>
        <v/>
      </c>
      <c r="AR251" s="27">
        <f>IF(AQ251="","",IFERROR(DATE(VALUE(MID(AQ251,FIND("/",AQ251,FIND("/",AQ251)+1)+1,4)),VALUE(LEFT(AQ251,FIND("/",AQ251)-1)),VALUE(MID(AQ251,FIND("/",AQ251)+1,FIND("/",AQ251,FIND("/",AQ251)+1)-FIND("/",AQ251)-1))),""))</f>
        <v/>
      </c>
      <c r="AS251" s="26">
        <f>IF(G251="","",IF(AND(AG251&lt;&gt;"",AG251&lt;&gt;"Bayi Aracı"),"Evet","Hayır"))</f>
        <v/>
      </c>
      <c r="AT251" s="26">
        <f>IF(G251="","",IF(AND(AS251="Evet",T251="Siparişiniz Teslim Edildi"),"Evet","Hayır"))</f>
        <v/>
      </c>
      <c r="AU251" s="26">
        <f>IF(G251="","",IF(AB251="Siparişinizin Montajı Yapıldı","Evet","Hayır"))</f>
        <v/>
      </c>
      <c r="AV251" s="27">
        <f>IF(G251="","",IF(AT251="Evet",AR251,IF(AU251="Evet",AP251,"")))</f>
        <v/>
      </c>
    </row>
    <row r="252">
      <c r="A252" s="23" t="n"/>
      <c r="B252" s="23" t="n"/>
      <c r="C252" s="23" t="n"/>
      <c r="D252" s="23" t="n"/>
      <c r="E252" s="23" t="n"/>
      <c r="F252" s="23" t="n"/>
      <c r="G252" s="23" t="n"/>
      <c r="H252" s="23" t="n"/>
      <c r="I252" s="23" t="n"/>
      <c r="J252" s="23" t="n"/>
      <c r="K252" s="23" t="n"/>
      <c r="L252" s="23" t="n"/>
      <c r="M252" s="23" t="n"/>
      <c r="N252" s="23" t="n"/>
      <c r="O252" s="23" t="n"/>
      <c r="P252" s="23" t="n"/>
      <c r="Q252" s="23" t="n"/>
      <c r="R252" s="23" t="n"/>
      <c r="S252" s="23" t="n"/>
      <c r="T252" s="23" t="n"/>
      <c r="U252" s="23" t="n"/>
      <c r="V252" s="23" t="n"/>
      <c r="W252" s="23" t="n"/>
      <c r="X252" s="23" t="n"/>
      <c r="Y252" s="23" t="n"/>
      <c r="Z252" s="23" t="n"/>
      <c r="AA252" s="23" t="n"/>
      <c r="AB252" s="23" t="n"/>
      <c r="AC252" s="23" t="n"/>
      <c r="AD252" s="23" t="n"/>
      <c r="AE252" s="23" t="n"/>
      <c r="AF252" s="23" t="n"/>
      <c r="AG252" s="23" t="n"/>
      <c r="AH252" s="23" t="n"/>
      <c r="AI252" s="23" t="n"/>
      <c r="AJ252" s="23" t="n"/>
      <c r="AK252" s="23" t="n"/>
      <c r="AL252" s="23" t="n"/>
      <c r="AM252" s="26">
        <f>IF(G252="","",G252&amp;"|"&amp;P252)</f>
        <v/>
      </c>
      <c r="AN252" s="27">
        <f>IF(I252="","",IFERROR(DATE(VALUE(RIGHT(I252,4)),VALUE(MID(I252,4,2)),VALUE(LEFT(I252,2))),""))</f>
        <v/>
      </c>
      <c r="AO252" s="27">
        <f>IF(Y252="","",IFERROR(DATE(VALUE(RIGHT(Y252,4)),VALUE(MID(Y252,4,2)),VALUE(LEFT(Y252,2))),""))</f>
        <v/>
      </c>
      <c r="AP252" s="27">
        <f>IF(AC252="","",IFERROR(DATE(VALUE(RIGHT(AC252,4)),VALUE(MID(AC252,4,2)),VALUE(LEFT(AC252,2))),""))</f>
        <v/>
      </c>
      <c r="AQ252" s="26">
        <f>IF(AI252="","",TRIM(LEFT(AI252,FIND(" ",AI252&amp;" ")-1)))</f>
        <v/>
      </c>
      <c r="AR252" s="27">
        <f>IF(AQ252="","",IFERROR(DATE(VALUE(MID(AQ252,FIND("/",AQ252,FIND("/",AQ252)+1)+1,4)),VALUE(LEFT(AQ252,FIND("/",AQ252)-1)),VALUE(MID(AQ252,FIND("/",AQ252)+1,FIND("/",AQ252,FIND("/",AQ252)+1)-FIND("/",AQ252)-1))),""))</f>
        <v/>
      </c>
      <c r="AS252" s="26">
        <f>IF(G252="","",IF(AND(AG252&lt;&gt;"",AG252&lt;&gt;"Bayi Aracı"),"Evet","Hayır"))</f>
        <v/>
      </c>
      <c r="AT252" s="26">
        <f>IF(G252="","",IF(AND(AS252="Evet",T252="Siparişiniz Teslim Edildi"),"Evet","Hayır"))</f>
        <v/>
      </c>
      <c r="AU252" s="26">
        <f>IF(G252="","",IF(AB252="Siparişinizin Montajı Yapıldı","Evet","Hayır"))</f>
        <v/>
      </c>
      <c r="AV252" s="27">
        <f>IF(G252="","",IF(AT252="Evet",AR252,IF(AU252="Evet",AP252,"")))</f>
        <v/>
      </c>
    </row>
    <row r="253">
      <c r="A253" s="23" t="n"/>
      <c r="B253" s="23" t="n"/>
      <c r="C253" s="23" t="n"/>
      <c r="D253" s="23" t="n"/>
      <c r="E253" s="23" t="n"/>
      <c r="F253" s="23" t="n"/>
      <c r="G253" s="23" t="n"/>
      <c r="H253" s="23" t="n"/>
      <c r="I253" s="23" t="n"/>
      <c r="J253" s="23" t="n"/>
      <c r="K253" s="23" t="n"/>
      <c r="L253" s="23" t="n"/>
      <c r="M253" s="23" t="n"/>
      <c r="N253" s="23" t="n"/>
      <c r="O253" s="23" t="n"/>
      <c r="P253" s="23" t="n"/>
      <c r="Q253" s="23" t="n"/>
      <c r="R253" s="23" t="n"/>
      <c r="S253" s="23" t="n"/>
      <c r="T253" s="23" t="n"/>
      <c r="U253" s="23" t="n"/>
      <c r="V253" s="23" t="n"/>
      <c r="W253" s="23" t="n"/>
      <c r="X253" s="23" t="n"/>
      <c r="Y253" s="23" t="n"/>
      <c r="Z253" s="23" t="n"/>
      <c r="AA253" s="23" t="n"/>
      <c r="AB253" s="23" t="n"/>
      <c r="AC253" s="23" t="n"/>
      <c r="AD253" s="23" t="n"/>
      <c r="AE253" s="23" t="n"/>
      <c r="AF253" s="23" t="n"/>
      <c r="AG253" s="23" t="n"/>
      <c r="AH253" s="23" t="n"/>
      <c r="AI253" s="23" t="n"/>
      <c r="AJ253" s="23" t="n"/>
      <c r="AK253" s="23" t="n"/>
      <c r="AL253" s="23" t="n"/>
      <c r="AM253" s="26">
        <f>IF(G253="","",G253&amp;"|"&amp;P253)</f>
        <v/>
      </c>
      <c r="AN253" s="27">
        <f>IF(I253="","",IFERROR(DATE(VALUE(RIGHT(I253,4)),VALUE(MID(I253,4,2)),VALUE(LEFT(I253,2))),""))</f>
        <v/>
      </c>
      <c r="AO253" s="27">
        <f>IF(Y253="","",IFERROR(DATE(VALUE(RIGHT(Y253,4)),VALUE(MID(Y253,4,2)),VALUE(LEFT(Y253,2))),""))</f>
        <v/>
      </c>
      <c r="AP253" s="27">
        <f>IF(AC253="","",IFERROR(DATE(VALUE(RIGHT(AC253,4)),VALUE(MID(AC253,4,2)),VALUE(LEFT(AC253,2))),""))</f>
        <v/>
      </c>
      <c r="AQ253" s="26">
        <f>IF(AI253="","",TRIM(LEFT(AI253,FIND(" ",AI253&amp;" ")-1)))</f>
        <v/>
      </c>
      <c r="AR253" s="27">
        <f>IF(AQ253="","",IFERROR(DATE(VALUE(MID(AQ253,FIND("/",AQ253,FIND("/",AQ253)+1)+1,4)),VALUE(LEFT(AQ253,FIND("/",AQ253)-1)),VALUE(MID(AQ253,FIND("/",AQ253)+1,FIND("/",AQ253,FIND("/",AQ253)+1)-FIND("/",AQ253)-1))),""))</f>
        <v/>
      </c>
      <c r="AS253" s="26">
        <f>IF(G253="","",IF(AND(AG253&lt;&gt;"",AG253&lt;&gt;"Bayi Aracı"),"Evet","Hayır"))</f>
        <v/>
      </c>
      <c r="AT253" s="26">
        <f>IF(G253="","",IF(AND(AS253="Evet",T253="Siparişiniz Teslim Edildi"),"Evet","Hayır"))</f>
        <v/>
      </c>
      <c r="AU253" s="26">
        <f>IF(G253="","",IF(AB253="Siparişinizin Montajı Yapıldı","Evet","Hayır"))</f>
        <v/>
      </c>
      <c r="AV253" s="27">
        <f>IF(G253="","",IF(AT253="Evet",AR253,IF(AU253="Evet",AP253,"")))</f>
        <v/>
      </c>
    </row>
    <row r="254">
      <c r="A254" s="23" t="n"/>
      <c r="B254" s="23" t="n"/>
      <c r="C254" s="23" t="n"/>
      <c r="D254" s="23" t="n"/>
      <c r="E254" s="23" t="n"/>
      <c r="F254" s="23" t="n"/>
      <c r="G254" s="23" t="n"/>
      <c r="H254" s="23" t="n"/>
      <c r="I254" s="23" t="n"/>
      <c r="J254" s="23" t="n"/>
      <c r="K254" s="23" t="n"/>
      <c r="L254" s="23" t="n"/>
      <c r="M254" s="23" t="n"/>
      <c r="N254" s="23" t="n"/>
      <c r="O254" s="23" t="n"/>
      <c r="P254" s="23" t="n"/>
      <c r="Q254" s="23" t="n"/>
      <c r="R254" s="23" t="n"/>
      <c r="S254" s="23" t="n"/>
      <c r="T254" s="23" t="n"/>
      <c r="U254" s="23" t="n"/>
      <c r="V254" s="23" t="n"/>
      <c r="W254" s="23" t="n"/>
      <c r="X254" s="23" t="n"/>
      <c r="Y254" s="23" t="n"/>
      <c r="Z254" s="23" t="n"/>
      <c r="AA254" s="23" t="n"/>
      <c r="AB254" s="23" t="n"/>
      <c r="AC254" s="23" t="n"/>
      <c r="AD254" s="23" t="n"/>
      <c r="AE254" s="23" t="n"/>
      <c r="AF254" s="23" t="n"/>
      <c r="AG254" s="23" t="n"/>
      <c r="AH254" s="23" t="n"/>
      <c r="AI254" s="23" t="n"/>
      <c r="AJ254" s="23" t="n"/>
      <c r="AK254" s="23" t="n"/>
      <c r="AL254" s="23" t="n"/>
      <c r="AM254" s="26">
        <f>IF(G254="","",G254&amp;"|"&amp;P254)</f>
        <v/>
      </c>
      <c r="AN254" s="27">
        <f>IF(I254="","",IFERROR(DATE(VALUE(RIGHT(I254,4)),VALUE(MID(I254,4,2)),VALUE(LEFT(I254,2))),""))</f>
        <v/>
      </c>
      <c r="AO254" s="27">
        <f>IF(Y254="","",IFERROR(DATE(VALUE(RIGHT(Y254,4)),VALUE(MID(Y254,4,2)),VALUE(LEFT(Y254,2))),""))</f>
        <v/>
      </c>
      <c r="AP254" s="27">
        <f>IF(AC254="","",IFERROR(DATE(VALUE(RIGHT(AC254,4)),VALUE(MID(AC254,4,2)),VALUE(LEFT(AC254,2))),""))</f>
        <v/>
      </c>
      <c r="AQ254" s="26">
        <f>IF(AI254="","",TRIM(LEFT(AI254,FIND(" ",AI254&amp;" ")-1)))</f>
        <v/>
      </c>
      <c r="AR254" s="27">
        <f>IF(AQ254="","",IFERROR(DATE(VALUE(MID(AQ254,FIND("/",AQ254,FIND("/",AQ254)+1)+1,4)),VALUE(LEFT(AQ254,FIND("/",AQ254)-1)),VALUE(MID(AQ254,FIND("/",AQ254)+1,FIND("/",AQ254,FIND("/",AQ254)+1)-FIND("/",AQ254)-1))),""))</f>
        <v/>
      </c>
      <c r="AS254" s="26">
        <f>IF(G254="","",IF(AND(AG254&lt;&gt;"",AG254&lt;&gt;"Bayi Aracı"),"Evet","Hayır"))</f>
        <v/>
      </c>
      <c r="AT254" s="26">
        <f>IF(G254="","",IF(AND(AS254="Evet",T254="Siparişiniz Teslim Edildi"),"Evet","Hayır"))</f>
        <v/>
      </c>
      <c r="AU254" s="26">
        <f>IF(G254="","",IF(AB254="Siparişinizin Montajı Yapıldı","Evet","Hayır"))</f>
        <v/>
      </c>
      <c r="AV254" s="27">
        <f>IF(G254="","",IF(AT254="Evet",AR254,IF(AU254="Evet",AP254,"")))</f>
        <v/>
      </c>
    </row>
    <row r="255">
      <c r="A255" s="23" t="n"/>
      <c r="B255" s="23" t="n"/>
      <c r="C255" s="23" t="n"/>
      <c r="D255" s="23" t="n"/>
      <c r="E255" s="23" t="n"/>
      <c r="F255" s="23" t="n"/>
      <c r="G255" s="23" t="n"/>
      <c r="H255" s="23" t="n"/>
      <c r="I255" s="23" t="n"/>
      <c r="J255" s="23" t="n"/>
      <c r="K255" s="23" t="n"/>
      <c r="L255" s="23" t="n"/>
      <c r="M255" s="23" t="n"/>
      <c r="N255" s="23" t="n"/>
      <c r="O255" s="23" t="n"/>
      <c r="P255" s="23" t="n"/>
      <c r="Q255" s="23" t="n"/>
      <c r="R255" s="23" t="n"/>
      <c r="S255" s="23" t="n"/>
      <c r="T255" s="23" t="n"/>
      <c r="U255" s="23" t="n"/>
      <c r="V255" s="23" t="n"/>
      <c r="W255" s="23" t="n"/>
      <c r="X255" s="23" t="n"/>
      <c r="Y255" s="23" t="n"/>
      <c r="Z255" s="23" t="n"/>
      <c r="AA255" s="23" t="n"/>
      <c r="AB255" s="23" t="n"/>
      <c r="AC255" s="23" t="n"/>
      <c r="AD255" s="23" t="n"/>
      <c r="AE255" s="23" t="n"/>
      <c r="AF255" s="23" t="n"/>
      <c r="AG255" s="23" t="n"/>
      <c r="AH255" s="23" t="n"/>
      <c r="AI255" s="23" t="n"/>
      <c r="AJ255" s="23" t="n"/>
      <c r="AK255" s="23" t="n"/>
      <c r="AL255" s="23" t="n"/>
      <c r="AM255" s="26">
        <f>IF(G255="","",G255&amp;"|"&amp;P255)</f>
        <v/>
      </c>
      <c r="AN255" s="27">
        <f>IF(I255="","",IFERROR(DATE(VALUE(RIGHT(I255,4)),VALUE(MID(I255,4,2)),VALUE(LEFT(I255,2))),""))</f>
        <v/>
      </c>
      <c r="AO255" s="27">
        <f>IF(Y255="","",IFERROR(DATE(VALUE(RIGHT(Y255,4)),VALUE(MID(Y255,4,2)),VALUE(LEFT(Y255,2))),""))</f>
        <v/>
      </c>
      <c r="AP255" s="27">
        <f>IF(AC255="","",IFERROR(DATE(VALUE(RIGHT(AC255,4)),VALUE(MID(AC255,4,2)),VALUE(LEFT(AC255,2))),""))</f>
        <v/>
      </c>
      <c r="AQ255" s="26">
        <f>IF(AI255="","",TRIM(LEFT(AI255,FIND(" ",AI255&amp;" ")-1)))</f>
        <v/>
      </c>
      <c r="AR255" s="27">
        <f>IF(AQ255="","",IFERROR(DATE(VALUE(MID(AQ255,FIND("/",AQ255,FIND("/",AQ255)+1)+1,4)),VALUE(LEFT(AQ255,FIND("/",AQ255)-1)),VALUE(MID(AQ255,FIND("/",AQ255)+1,FIND("/",AQ255,FIND("/",AQ255)+1)-FIND("/",AQ255)-1))),""))</f>
        <v/>
      </c>
      <c r="AS255" s="26">
        <f>IF(G255="","",IF(AND(AG255&lt;&gt;"",AG255&lt;&gt;"Bayi Aracı"),"Evet","Hayır"))</f>
        <v/>
      </c>
      <c r="AT255" s="26">
        <f>IF(G255="","",IF(AND(AS255="Evet",T255="Siparişiniz Teslim Edildi"),"Evet","Hayır"))</f>
        <v/>
      </c>
      <c r="AU255" s="26">
        <f>IF(G255="","",IF(AB255="Siparişinizin Montajı Yapıldı","Evet","Hayır"))</f>
        <v/>
      </c>
      <c r="AV255" s="27">
        <f>IF(G255="","",IF(AT255="Evet",AR255,IF(AU255="Evet",AP255,"")))</f>
        <v/>
      </c>
    </row>
    <row r="256">
      <c r="A256" s="23" t="n"/>
      <c r="B256" s="23" t="n"/>
      <c r="C256" s="23" t="n"/>
      <c r="D256" s="23" t="n"/>
      <c r="E256" s="23" t="n"/>
      <c r="F256" s="23" t="n"/>
      <c r="G256" s="23" t="n"/>
      <c r="H256" s="23" t="n"/>
      <c r="I256" s="23" t="n"/>
      <c r="J256" s="23" t="n"/>
      <c r="K256" s="23" t="n"/>
      <c r="L256" s="23" t="n"/>
      <c r="M256" s="23" t="n"/>
      <c r="N256" s="23" t="n"/>
      <c r="O256" s="23" t="n"/>
      <c r="P256" s="23" t="n"/>
      <c r="Q256" s="23" t="n"/>
      <c r="R256" s="23" t="n"/>
      <c r="S256" s="23" t="n"/>
      <c r="T256" s="23" t="n"/>
      <c r="U256" s="23" t="n"/>
      <c r="V256" s="23" t="n"/>
      <c r="W256" s="23" t="n"/>
      <c r="X256" s="23" t="n"/>
      <c r="Y256" s="23" t="n"/>
      <c r="Z256" s="23" t="n"/>
      <c r="AA256" s="23" t="n"/>
      <c r="AB256" s="23" t="n"/>
      <c r="AC256" s="23" t="n"/>
      <c r="AD256" s="23" t="n"/>
      <c r="AE256" s="23" t="n"/>
      <c r="AF256" s="23" t="n"/>
      <c r="AG256" s="23" t="n"/>
      <c r="AH256" s="23" t="n"/>
      <c r="AI256" s="23" t="n"/>
      <c r="AJ256" s="23" t="n"/>
      <c r="AK256" s="23" t="n"/>
      <c r="AL256" s="23" t="n"/>
      <c r="AM256" s="26">
        <f>IF(G256="","",G256&amp;"|"&amp;P256)</f>
        <v/>
      </c>
      <c r="AN256" s="27">
        <f>IF(I256="","",IFERROR(DATE(VALUE(RIGHT(I256,4)),VALUE(MID(I256,4,2)),VALUE(LEFT(I256,2))),""))</f>
        <v/>
      </c>
      <c r="AO256" s="27">
        <f>IF(Y256="","",IFERROR(DATE(VALUE(RIGHT(Y256,4)),VALUE(MID(Y256,4,2)),VALUE(LEFT(Y256,2))),""))</f>
        <v/>
      </c>
      <c r="AP256" s="27">
        <f>IF(AC256="","",IFERROR(DATE(VALUE(RIGHT(AC256,4)),VALUE(MID(AC256,4,2)),VALUE(LEFT(AC256,2))),""))</f>
        <v/>
      </c>
      <c r="AQ256" s="26">
        <f>IF(AI256="","",TRIM(LEFT(AI256,FIND(" ",AI256&amp;" ")-1)))</f>
        <v/>
      </c>
      <c r="AR256" s="27">
        <f>IF(AQ256="","",IFERROR(DATE(VALUE(MID(AQ256,FIND("/",AQ256,FIND("/",AQ256)+1)+1,4)),VALUE(LEFT(AQ256,FIND("/",AQ256)-1)),VALUE(MID(AQ256,FIND("/",AQ256)+1,FIND("/",AQ256,FIND("/",AQ256)+1)-FIND("/",AQ256)-1))),""))</f>
        <v/>
      </c>
      <c r="AS256" s="26">
        <f>IF(G256="","",IF(AND(AG256&lt;&gt;"",AG256&lt;&gt;"Bayi Aracı"),"Evet","Hayır"))</f>
        <v/>
      </c>
      <c r="AT256" s="26">
        <f>IF(G256="","",IF(AND(AS256="Evet",T256="Siparişiniz Teslim Edildi"),"Evet","Hayır"))</f>
        <v/>
      </c>
      <c r="AU256" s="26">
        <f>IF(G256="","",IF(AB256="Siparişinizin Montajı Yapıldı","Evet","Hayır"))</f>
        <v/>
      </c>
      <c r="AV256" s="27">
        <f>IF(G256="","",IF(AT256="Evet",AR256,IF(AU256="Evet",AP256,"")))</f>
        <v/>
      </c>
    </row>
    <row r="257">
      <c r="A257" s="23" t="n"/>
      <c r="B257" s="23" t="n"/>
      <c r="C257" s="23" t="n"/>
      <c r="D257" s="23" t="n"/>
      <c r="E257" s="23" t="n"/>
      <c r="F257" s="23" t="n"/>
      <c r="G257" s="23" t="n"/>
      <c r="H257" s="23" t="n"/>
      <c r="I257" s="23" t="n"/>
      <c r="J257" s="23" t="n"/>
      <c r="K257" s="23" t="n"/>
      <c r="L257" s="23" t="n"/>
      <c r="M257" s="23" t="n"/>
      <c r="N257" s="23" t="n"/>
      <c r="O257" s="23" t="n"/>
      <c r="P257" s="23" t="n"/>
      <c r="Q257" s="23" t="n"/>
      <c r="R257" s="23" t="n"/>
      <c r="S257" s="23" t="n"/>
      <c r="T257" s="23" t="n"/>
      <c r="U257" s="23" t="n"/>
      <c r="V257" s="23" t="n"/>
      <c r="W257" s="23" t="n"/>
      <c r="X257" s="23" t="n"/>
      <c r="Y257" s="23" t="n"/>
      <c r="Z257" s="23" t="n"/>
      <c r="AA257" s="23" t="n"/>
      <c r="AB257" s="23" t="n"/>
      <c r="AC257" s="23" t="n"/>
      <c r="AD257" s="23" t="n"/>
      <c r="AE257" s="23" t="n"/>
      <c r="AF257" s="23" t="n"/>
      <c r="AG257" s="23" t="n"/>
      <c r="AH257" s="23" t="n"/>
      <c r="AI257" s="23" t="n"/>
      <c r="AJ257" s="23" t="n"/>
      <c r="AK257" s="23" t="n"/>
      <c r="AL257" s="23" t="n"/>
      <c r="AM257" s="26">
        <f>IF(G257="","",G257&amp;"|"&amp;P257)</f>
        <v/>
      </c>
      <c r="AN257" s="27">
        <f>IF(I257="","",IFERROR(DATE(VALUE(RIGHT(I257,4)),VALUE(MID(I257,4,2)),VALUE(LEFT(I257,2))),""))</f>
        <v/>
      </c>
      <c r="AO257" s="27">
        <f>IF(Y257="","",IFERROR(DATE(VALUE(RIGHT(Y257,4)),VALUE(MID(Y257,4,2)),VALUE(LEFT(Y257,2))),""))</f>
        <v/>
      </c>
      <c r="AP257" s="27">
        <f>IF(AC257="","",IFERROR(DATE(VALUE(RIGHT(AC257,4)),VALUE(MID(AC257,4,2)),VALUE(LEFT(AC257,2))),""))</f>
        <v/>
      </c>
      <c r="AQ257" s="26">
        <f>IF(AI257="","",TRIM(LEFT(AI257,FIND(" ",AI257&amp;" ")-1)))</f>
        <v/>
      </c>
      <c r="AR257" s="27">
        <f>IF(AQ257="","",IFERROR(DATE(VALUE(MID(AQ257,FIND("/",AQ257,FIND("/",AQ257)+1)+1,4)),VALUE(LEFT(AQ257,FIND("/",AQ257)-1)),VALUE(MID(AQ257,FIND("/",AQ257)+1,FIND("/",AQ257,FIND("/",AQ257)+1)-FIND("/",AQ257)-1))),""))</f>
        <v/>
      </c>
      <c r="AS257" s="26">
        <f>IF(G257="","",IF(AND(AG257&lt;&gt;"",AG257&lt;&gt;"Bayi Aracı"),"Evet","Hayır"))</f>
        <v/>
      </c>
      <c r="AT257" s="26">
        <f>IF(G257="","",IF(AND(AS257="Evet",T257="Siparişiniz Teslim Edildi"),"Evet","Hayır"))</f>
        <v/>
      </c>
      <c r="AU257" s="26">
        <f>IF(G257="","",IF(AB257="Siparişinizin Montajı Yapıldı","Evet","Hayır"))</f>
        <v/>
      </c>
      <c r="AV257" s="27">
        <f>IF(G257="","",IF(AT257="Evet",AR257,IF(AU257="Evet",AP257,"")))</f>
        <v/>
      </c>
    </row>
    <row r="258">
      <c r="A258" s="23" t="n"/>
      <c r="B258" s="23" t="n"/>
      <c r="C258" s="23" t="n"/>
      <c r="D258" s="23" t="n"/>
      <c r="E258" s="23" t="n"/>
      <c r="F258" s="23" t="n"/>
      <c r="G258" s="23" t="n"/>
      <c r="H258" s="23" t="n"/>
      <c r="I258" s="23" t="n"/>
      <c r="J258" s="23" t="n"/>
      <c r="K258" s="23" t="n"/>
      <c r="L258" s="23" t="n"/>
      <c r="M258" s="23" t="n"/>
      <c r="N258" s="23" t="n"/>
      <c r="O258" s="23" t="n"/>
      <c r="P258" s="23" t="n"/>
      <c r="Q258" s="23" t="n"/>
      <c r="R258" s="23" t="n"/>
      <c r="S258" s="23" t="n"/>
      <c r="T258" s="23" t="n"/>
      <c r="U258" s="23" t="n"/>
      <c r="V258" s="23" t="n"/>
      <c r="W258" s="23" t="n"/>
      <c r="X258" s="23" t="n"/>
      <c r="Y258" s="23" t="n"/>
      <c r="Z258" s="23" t="n"/>
      <c r="AA258" s="23" t="n"/>
      <c r="AB258" s="23" t="n"/>
      <c r="AC258" s="23" t="n"/>
      <c r="AD258" s="23" t="n"/>
      <c r="AE258" s="23" t="n"/>
      <c r="AF258" s="23" t="n"/>
      <c r="AG258" s="23" t="n"/>
      <c r="AH258" s="23" t="n"/>
      <c r="AI258" s="23" t="n"/>
      <c r="AJ258" s="23" t="n"/>
      <c r="AK258" s="23" t="n"/>
      <c r="AL258" s="23" t="n"/>
      <c r="AM258" s="26">
        <f>IF(G258="","",G258&amp;"|"&amp;P258)</f>
        <v/>
      </c>
      <c r="AN258" s="27">
        <f>IF(I258="","",IFERROR(DATE(VALUE(RIGHT(I258,4)),VALUE(MID(I258,4,2)),VALUE(LEFT(I258,2))),""))</f>
        <v/>
      </c>
      <c r="AO258" s="27">
        <f>IF(Y258="","",IFERROR(DATE(VALUE(RIGHT(Y258,4)),VALUE(MID(Y258,4,2)),VALUE(LEFT(Y258,2))),""))</f>
        <v/>
      </c>
      <c r="AP258" s="27">
        <f>IF(AC258="","",IFERROR(DATE(VALUE(RIGHT(AC258,4)),VALUE(MID(AC258,4,2)),VALUE(LEFT(AC258,2))),""))</f>
        <v/>
      </c>
      <c r="AQ258" s="26">
        <f>IF(AI258="","",TRIM(LEFT(AI258,FIND(" ",AI258&amp;" ")-1)))</f>
        <v/>
      </c>
      <c r="AR258" s="27">
        <f>IF(AQ258="","",IFERROR(DATE(VALUE(MID(AQ258,FIND("/",AQ258,FIND("/",AQ258)+1)+1,4)),VALUE(LEFT(AQ258,FIND("/",AQ258)-1)),VALUE(MID(AQ258,FIND("/",AQ258)+1,FIND("/",AQ258,FIND("/",AQ258)+1)-FIND("/",AQ258)-1))),""))</f>
        <v/>
      </c>
      <c r="AS258" s="26">
        <f>IF(G258="","",IF(AND(AG258&lt;&gt;"",AG258&lt;&gt;"Bayi Aracı"),"Evet","Hayır"))</f>
        <v/>
      </c>
      <c r="AT258" s="26">
        <f>IF(G258="","",IF(AND(AS258="Evet",T258="Siparişiniz Teslim Edildi"),"Evet","Hayır"))</f>
        <v/>
      </c>
      <c r="AU258" s="26">
        <f>IF(G258="","",IF(AB258="Siparişinizin Montajı Yapıldı","Evet","Hayır"))</f>
        <v/>
      </c>
      <c r="AV258" s="27">
        <f>IF(G258="","",IF(AT258="Evet",AR258,IF(AU258="Evet",AP258,"")))</f>
        <v/>
      </c>
    </row>
    <row r="259">
      <c r="A259" s="23" t="n"/>
      <c r="B259" s="23" t="n"/>
      <c r="C259" s="23" t="n"/>
      <c r="D259" s="23" t="n"/>
      <c r="E259" s="23" t="n"/>
      <c r="F259" s="23" t="n"/>
      <c r="G259" s="23" t="n"/>
      <c r="H259" s="23" t="n"/>
      <c r="I259" s="23" t="n"/>
      <c r="J259" s="23" t="n"/>
      <c r="K259" s="23" t="n"/>
      <c r="L259" s="23" t="n"/>
      <c r="M259" s="23" t="n"/>
      <c r="N259" s="23" t="n"/>
      <c r="O259" s="23" t="n"/>
      <c r="P259" s="23" t="n"/>
      <c r="Q259" s="23" t="n"/>
      <c r="R259" s="23" t="n"/>
      <c r="S259" s="23" t="n"/>
      <c r="T259" s="23" t="n"/>
      <c r="U259" s="23" t="n"/>
      <c r="V259" s="23" t="n"/>
      <c r="W259" s="23" t="n"/>
      <c r="X259" s="23" t="n"/>
      <c r="Y259" s="23" t="n"/>
      <c r="Z259" s="23" t="n"/>
      <c r="AA259" s="23" t="n"/>
      <c r="AB259" s="23" t="n"/>
      <c r="AC259" s="23" t="n"/>
      <c r="AD259" s="23" t="n"/>
      <c r="AE259" s="23" t="n"/>
      <c r="AF259" s="23" t="n"/>
      <c r="AG259" s="23" t="n"/>
      <c r="AH259" s="23" t="n"/>
      <c r="AI259" s="23" t="n"/>
      <c r="AJ259" s="23" t="n"/>
      <c r="AK259" s="23" t="n"/>
      <c r="AL259" s="23" t="n"/>
      <c r="AM259" s="26">
        <f>IF(G259="","",G259&amp;"|"&amp;P259)</f>
        <v/>
      </c>
      <c r="AN259" s="27">
        <f>IF(I259="","",IFERROR(DATE(VALUE(RIGHT(I259,4)),VALUE(MID(I259,4,2)),VALUE(LEFT(I259,2))),""))</f>
        <v/>
      </c>
      <c r="AO259" s="27">
        <f>IF(Y259="","",IFERROR(DATE(VALUE(RIGHT(Y259,4)),VALUE(MID(Y259,4,2)),VALUE(LEFT(Y259,2))),""))</f>
        <v/>
      </c>
      <c r="AP259" s="27">
        <f>IF(AC259="","",IFERROR(DATE(VALUE(RIGHT(AC259,4)),VALUE(MID(AC259,4,2)),VALUE(LEFT(AC259,2))),""))</f>
        <v/>
      </c>
      <c r="AQ259" s="26">
        <f>IF(AI259="","",TRIM(LEFT(AI259,FIND(" ",AI259&amp;" ")-1)))</f>
        <v/>
      </c>
      <c r="AR259" s="27">
        <f>IF(AQ259="","",IFERROR(DATE(VALUE(MID(AQ259,FIND("/",AQ259,FIND("/",AQ259)+1)+1,4)),VALUE(LEFT(AQ259,FIND("/",AQ259)-1)),VALUE(MID(AQ259,FIND("/",AQ259)+1,FIND("/",AQ259,FIND("/",AQ259)+1)-FIND("/",AQ259)-1))),""))</f>
        <v/>
      </c>
      <c r="AS259" s="26">
        <f>IF(G259="","",IF(AND(AG259&lt;&gt;"",AG259&lt;&gt;"Bayi Aracı"),"Evet","Hayır"))</f>
        <v/>
      </c>
      <c r="AT259" s="26">
        <f>IF(G259="","",IF(AND(AS259="Evet",T259="Siparişiniz Teslim Edildi"),"Evet","Hayır"))</f>
        <v/>
      </c>
      <c r="AU259" s="26">
        <f>IF(G259="","",IF(AB259="Siparişinizin Montajı Yapıldı","Evet","Hayır"))</f>
        <v/>
      </c>
      <c r="AV259" s="27">
        <f>IF(G259="","",IF(AT259="Evet",AR259,IF(AU259="Evet",AP259,"")))</f>
        <v/>
      </c>
    </row>
    <row r="260">
      <c r="A260" s="23" t="n"/>
      <c r="B260" s="23" t="n"/>
      <c r="C260" s="23" t="n"/>
      <c r="D260" s="23" t="n"/>
      <c r="E260" s="23" t="n"/>
      <c r="F260" s="23" t="n"/>
      <c r="G260" s="23" t="n"/>
      <c r="H260" s="23" t="n"/>
      <c r="I260" s="23" t="n"/>
      <c r="J260" s="23" t="n"/>
      <c r="K260" s="23" t="n"/>
      <c r="L260" s="23" t="n"/>
      <c r="M260" s="23" t="n"/>
      <c r="N260" s="23" t="n"/>
      <c r="O260" s="23" t="n"/>
      <c r="P260" s="23" t="n"/>
      <c r="Q260" s="23" t="n"/>
      <c r="R260" s="23" t="n"/>
      <c r="S260" s="23" t="n"/>
      <c r="T260" s="23" t="n"/>
      <c r="U260" s="23" t="n"/>
      <c r="V260" s="23" t="n"/>
      <c r="W260" s="23" t="n"/>
      <c r="X260" s="23" t="n"/>
      <c r="Y260" s="23" t="n"/>
      <c r="Z260" s="23" t="n"/>
      <c r="AA260" s="23" t="n"/>
      <c r="AB260" s="23" t="n"/>
      <c r="AC260" s="23" t="n"/>
      <c r="AD260" s="23" t="n"/>
      <c r="AE260" s="23" t="n"/>
      <c r="AF260" s="23" t="n"/>
      <c r="AG260" s="23" t="n"/>
      <c r="AH260" s="23" t="n"/>
      <c r="AI260" s="23" t="n"/>
      <c r="AJ260" s="23" t="n"/>
      <c r="AK260" s="23" t="n"/>
      <c r="AL260" s="23" t="n"/>
      <c r="AM260" s="26">
        <f>IF(G260="","",G260&amp;"|"&amp;P260)</f>
        <v/>
      </c>
      <c r="AN260" s="27">
        <f>IF(I260="","",IFERROR(DATE(VALUE(RIGHT(I260,4)),VALUE(MID(I260,4,2)),VALUE(LEFT(I260,2))),""))</f>
        <v/>
      </c>
      <c r="AO260" s="27">
        <f>IF(Y260="","",IFERROR(DATE(VALUE(RIGHT(Y260,4)),VALUE(MID(Y260,4,2)),VALUE(LEFT(Y260,2))),""))</f>
        <v/>
      </c>
      <c r="AP260" s="27">
        <f>IF(AC260="","",IFERROR(DATE(VALUE(RIGHT(AC260,4)),VALUE(MID(AC260,4,2)),VALUE(LEFT(AC260,2))),""))</f>
        <v/>
      </c>
      <c r="AQ260" s="26">
        <f>IF(AI260="","",TRIM(LEFT(AI260,FIND(" ",AI260&amp;" ")-1)))</f>
        <v/>
      </c>
      <c r="AR260" s="27">
        <f>IF(AQ260="","",IFERROR(DATE(VALUE(MID(AQ260,FIND("/",AQ260,FIND("/",AQ260)+1)+1,4)),VALUE(LEFT(AQ260,FIND("/",AQ260)-1)),VALUE(MID(AQ260,FIND("/",AQ260)+1,FIND("/",AQ260,FIND("/",AQ260)+1)-FIND("/",AQ260)-1))),""))</f>
        <v/>
      </c>
      <c r="AS260" s="26">
        <f>IF(G260="","",IF(AND(AG260&lt;&gt;"",AG260&lt;&gt;"Bayi Aracı"),"Evet","Hayır"))</f>
        <v/>
      </c>
      <c r="AT260" s="26">
        <f>IF(G260="","",IF(AND(AS260="Evet",T260="Siparişiniz Teslim Edildi"),"Evet","Hayır"))</f>
        <v/>
      </c>
      <c r="AU260" s="26">
        <f>IF(G260="","",IF(AB260="Siparişinizin Montajı Yapıldı","Evet","Hayır"))</f>
        <v/>
      </c>
      <c r="AV260" s="27">
        <f>IF(G260="","",IF(AT260="Evet",AR260,IF(AU260="Evet",AP260,"")))</f>
        <v/>
      </c>
    </row>
    <row r="261">
      <c r="A261" s="23" t="n"/>
      <c r="B261" s="23" t="n"/>
      <c r="C261" s="23" t="n"/>
      <c r="D261" s="23" t="n"/>
      <c r="E261" s="23" t="n"/>
      <c r="F261" s="23" t="n"/>
      <c r="G261" s="23" t="n"/>
      <c r="H261" s="23" t="n"/>
      <c r="I261" s="23" t="n"/>
      <c r="J261" s="23" t="n"/>
      <c r="K261" s="23" t="n"/>
      <c r="L261" s="23" t="n"/>
      <c r="M261" s="23" t="n"/>
      <c r="N261" s="23" t="n"/>
      <c r="O261" s="23" t="n"/>
      <c r="P261" s="23" t="n"/>
      <c r="Q261" s="23" t="n"/>
      <c r="R261" s="23" t="n"/>
      <c r="S261" s="23" t="n"/>
      <c r="T261" s="23" t="n"/>
      <c r="U261" s="23" t="n"/>
      <c r="V261" s="23" t="n"/>
      <c r="W261" s="23" t="n"/>
      <c r="X261" s="23" t="n"/>
      <c r="Y261" s="23" t="n"/>
      <c r="Z261" s="23" t="n"/>
      <c r="AA261" s="23" t="n"/>
      <c r="AB261" s="23" t="n"/>
      <c r="AC261" s="23" t="n"/>
      <c r="AD261" s="23" t="n"/>
      <c r="AE261" s="23" t="n"/>
      <c r="AF261" s="23" t="n"/>
      <c r="AG261" s="23" t="n"/>
      <c r="AH261" s="23" t="n"/>
      <c r="AI261" s="23" t="n"/>
      <c r="AJ261" s="23" t="n"/>
      <c r="AK261" s="23" t="n"/>
      <c r="AL261" s="23" t="n"/>
      <c r="AM261" s="26">
        <f>IF(G261="","",G261&amp;"|"&amp;P261)</f>
        <v/>
      </c>
      <c r="AN261" s="27">
        <f>IF(I261="","",IFERROR(DATE(VALUE(RIGHT(I261,4)),VALUE(MID(I261,4,2)),VALUE(LEFT(I261,2))),""))</f>
        <v/>
      </c>
      <c r="AO261" s="27">
        <f>IF(Y261="","",IFERROR(DATE(VALUE(RIGHT(Y261,4)),VALUE(MID(Y261,4,2)),VALUE(LEFT(Y261,2))),""))</f>
        <v/>
      </c>
      <c r="AP261" s="27">
        <f>IF(AC261="","",IFERROR(DATE(VALUE(RIGHT(AC261,4)),VALUE(MID(AC261,4,2)),VALUE(LEFT(AC261,2))),""))</f>
        <v/>
      </c>
      <c r="AQ261" s="26">
        <f>IF(AI261="","",TRIM(LEFT(AI261,FIND(" ",AI261&amp;" ")-1)))</f>
        <v/>
      </c>
      <c r="AR261" s="27">
        <f>IF(AQ261="","",IFERROR(DATE(VALUE(MID(AQ261,FIND("/",AQ261,FIND("/",AQ261)+1)+1,4)),VALUE(LEFT(AQ261,FIND("/",AQ261)-1)),VALUE(MID(AQ261,FIND("/",AQ261)+1,FIND("/",AQ261,FIND("/",AQ261)+1)-FIND("/",AQ261)-1))),""))</f>
        <v/>
      </c>
      <c r="AS261" s="26">
        <f>IF(G261="","",IF(AND(AG261&lt;&gt;"",AG261&lt;&gt;"Bayi Aracı"),"Evet","Hayır"))</f>
        <v/>
      </c>
      <c r="AT261" s="26">
        <f>IF(G261="","",IF(AND(AS261="Evet",T261="Siparişiniz Teslim Edildi"),"Evet","Hayır"))</f>
        <v/>
      </c>
      <c r="AU261" s="26">
        <f>IF(G261="","",IF(AB261="Siparişinizin Montajı Yapıldı","Evet","Hayır"))</f>
        <v/>
      </c>
      <c r="AV261" s="27">
        <f>IF(G261="","",IF(AT261="Evet",AR261,IF(AU261="Evet",AP261,"")))</f>
        <v/>
      </c>
    </row>
    <row r="262">
      <c r="A262" s="23" t="n"/>
      <c r="B262" s="23" t="n"/>
      <c r="C262" s="23" t="n"/>
      <c r="D262" s="23" t="n"/>
      <c r="E262" s="23" t="n"/>
      <c r="F262" s="23" t="n"/>
      <c r="G262" s="23" t="n"/>
      <c r="H262" s="23" t="n"/>
      <c r="I262" s="23" t="n"/>
      <c r="J262" s="23" t="n"/>
      <c r="K262" s="23" t="n"/>
      <c r="L262" s="23" t="n"/>
      <c r="M262" s="23" t="n"/>
      <c r="N262" s="23" t="n"/>
      <c r="O262" s="23" t="n"/>
      <c r="P262" s="23" t="n"/>
      <c r="Q262" s="23" t="n"/>
      <c r="R262" s="23" t="n"/>
      <c r="S262" s="23" t="n"/>
      <c r="T262" s="23" t="n"/>
      <c r="U262" s="23" t="n"/>
      <c r="V262" s="23" t="n"/>
      <c r="W262" s="23" t="n"/>
      <c r="X262" s="23" t="n"/>
      <c r="Y262" s="23" t="n"/>
      <c r="Z262" s="23" t="n"/>
      <c r="AA262" s="23" t="n"/>
      <c r="AB262" s="23" t="n"/>
      <c r="AC262" s="23" t="n"/>
      <c r="AD262" s="23" t="n"/>
      <c r="AE262" s="23" t="n"/>
      <c r="AF262" s="23" t="n"/>
      <c r="AG262" s="23" t="n"/>
      <c r="AH262" s="23" t="n"/>
      <c r="AI262" s="23" t="n"/>
      <c r="AJ262" s="23" t="n"/>
      <c r="AK262" s="23" t="n"/>
      <c r="AL262" s="23" t="n"/>
      <c r="AM262" s="26">
        <f>IF(G262="","",G262&amp;"|"&amp;P262)</f>
        <v/>
      </c>
      <c r="AN262" s="27">
        <f>IF(I262="","",IFERROR(DATE(VALUE(RIGHT(I262,4)),VALUE(MID(I262,4,2)),VALUE(LEFT(I262,2))),""))</f>
        <v/>
      </c>
      <c r="AO262" s="27">
        <f>IF(Y262="","",IFERROR(DATE(VALUE(RIGHT(Y262,4)),VALUE(MID(Y262,4,2)),VALUE(LEFT(Y262,2))),""))</f>
        <v/>
      </c>
      <c r="AP262" s="27">
        <f>IF(AC262="","",IFERROR(DATE(VALUE(RIGHT(AC262,4)),VALUE(MID(AC262,4,2)),VALUE(LEFT(AC262,2))),""))</f>
        <v/>
      </c>
      <c r="AQ262" s="26">
        <f>IF(AI262="","",TRIM(LEFT(AI262,FIND(" ",AI262&amp;" ")-1)))</f>
        <v/>
      </c>
      <c r="AR262" s="27">
        <f>IF(AQ262="","",IFERROR(DATE(VALUE(MID(AQ262,FIND("/",AQ262,FIND("/",AQ262)+1)+1,4)),VALUE(LEFT(AQ262,FIND("/",AQ262)-1)),VALUE(MID(AQ262,FIND("/",AQ262)+1,FIND("/",AQ262,FIND("/",AQ262)+1)-FIND("/",AQ262)-1))),""))</f>
        <v/>
      </c>
      <c r="AS262" s="26">
        <f>IF(G262="","",IF(AND(AG262&lt;&gt;"",AG262&lt;&gt;"Bayi Aracı"),"Evet","Hayır"))</f>
        <v/>
      </c>
      <c r="AT262" s="26">
        <f>IF(G262="","",IF(AND(AS262="Evet",T262="Siparişiniz Teslim Edildi"),"Evet","Hayır"))</f>
        <v/>
      </c>
      <c r="AU262" s="26">
        <f>IF(G262="","",IF(AB262="Siparişinizin Montajı Yapıldı","Evet","Hayır"))</f>
        <v/>
      </c>
      <c r="AV262" s="27">
        <f>IF(G262="","",IF(AT262="Evet",AR262,IF(AU262="Evet",AP262,"")))</f>
        <v/>
      </c>
    </row>
    <row r="263">
      <c r="A263" s="23" t="n"/>
      <c r="B263" s="23" t="n"/>
      <c r="C263" s="23" t="n"/>
      <c r="D263" s="23" t="n"/>
      <c r="E263" s="23" t="n"/>
      <c r="F263" s="23" t="n"/>
      <c r="G263" s="23" t="n"/>
      <c r="H263" s="23" t="n"/>
      <c r="I263" s="23" t="n"/>
      <c r="J263" s="23" t="n"/>
      <c r="K263" s="23" t="n"/>
      <c r="L263" s="23" t="n"/>
      <c r="M263" s="23" t="n"/>
      <c r="N263" s="23" t="n"/>
      <c r="O263" s="23" t="n"/>
      <c r="P263" s="23" t="n"/>
      <c r="Q263" s="23" t="n"/>
      <c r="R263" s="23" t="n"/>
      <c r="S263" s="23" t="n"/>
      <c r="T263" s="23" t="n"/>
      <c r="U263" s="23" t="n"/>
      <c r="V263" s="23" t="n"/>
      <c r="W263" s="23" t="n"/>
      <c r="X263" s="23" t="n"/>
      <c r="Y263" s="23" t="n"/>
      <c r="Z263" s="23" t="n"/>
      <c r="AA263" s="23" t="n"/>
      <c r="AB263" s="23" t="n"/>
      <c r="AC263" s="23" t="n"/>
      <c r="AD263" s="23" t="n"/>
      <c r="AE263" s="23" t="n"/>
      <c r="AF263" s="23" t="n"/>
      <c r="AG263" s="23" t="n"/>
      <c r="AH263" s="23" t="n"/>
      <c r="AI263" s="23" t="n"/>
      <c r="AJ263" s="23" t="n"/>
      <c r="AK263" s="23" t="n"/>
      <c r="AL263" s="23" t="n"/>
      <c r="AM263" s="26">
        <f>IF(G263="","",G263&amp;"|"&amp;P263)</f>
        <v/>
      </c>
      <c r="AN263" s="27">
        <f>IF(I263="","",IFERROR(DATE(VALUE(RIGHT(I263,4)),VALUE(MID(I263,4,2)),VALUE(LEFT(I263,2))),""))</f>
        <v/>
      </c>
      <c r="AO263" s="27">
        <f>IF(Y263="","",IFERROR(DATE(VALUE(RIGHT(Y263,4)),VALUE(MID(Y263,4,2)),VALUE(LEFT(Y263,2))),""))</f>
        <v/>
      </c>
      <c r="AP263" s="27">
        <f>IF(AC263="","",IFERROR(DATE(VALUE(RIGHT(AC263,4)),VALUE(MID(AC263,4,2)),VALUE(LEFT(AC263,2))),""))</f>
        <v/>
      </c>
      <c r="AQ263" s="26">
        <f>IF(AI263="","",TRIM(LEFT(AI263,FIND(" ",AI263&amp;" ")-1)))</f>
        <v/>
      </c>
      <c r="AR263" s="27">
        <f>IF(AQ263="","",IFERROR(DATE(VALUE(MID(AQ263,FIND("/",AQ263,FIND("/",AQ263)+1)+1,4)),VALUE(LEFT(AQ263,FIND("/",AQ263)-1)),VALUE(MID(AQ263,FIND("/",AQ263)+1,FIND("/",AQ263,FIND("/",AQ263)+1)-FIND("/",AQ263)-1))),""))</f>
        <v/>
      </c>
      <c r="AS263" s="26">
        <f>IF(G263="","",IF(AND(AG263&lt;&gt;"",AG263&lt;&gt;"Bayi Aracı"),"Evet","Hayır"))</f>
        <v/>
      </c>
      <c r="AT263" s="26">
        <f>IF(G263="","",IF(AND(AS263="Evet",T263="Siparişiniz Teslim Edildi"),"Evet","Hayır"))</f>
        <v/>
      </c>
      <c r="AU263" s="26">
        <f>IF(G263="","",IF(AB263="Siparişinizin Montajı Yapıldı","Evet","Hayır"))</f>
        <v/>
      </c>
      <c r="AV263" s="27">
        <f>IF(G263="","",IF(AT263="Evet",AR263,IF(AU263="Evet",AP263,"")))</f>
        <v/>
      </c>
    </row>
    <row r="264">
      <c r="A264" s="23" t="n"/>
      <c r="B264" s="23" t="n"/>
      <c r="C264" s="23" t="n"/>
      <c r="D264" s="23" t="n"/>
      <c r="E264" s="23" t="n"/>
      <c r="F264" s="23" t="n"/>
      <c r="G264" s="23" t="n"/>
      <c r="H264" s="23" t="n"/>
      <c r="I264" s="23" t="n"/>
      <c r="J264" s="23" t="n"/>
      <c r="K264" s="23" t="n"/>
      <c r="L264" s="23" t="n"/>
      <c r="M264" s="23" t="n"/>
      <c r="N264" s="23" t="n"/>
      <c r="O264" s="23" t="n"/>
      <c r="P264" s="23" t="n"/>
      <c r="Q264" s="23" t="n"/>
      <c r="R264" s="23" t="n"/>
      <c r="S264" s="23" t="n"/>
      <c r="T264" s="23" t="n"/>
      <c r="U264" s="23" t="n"/>
      <c r="V264" s="23" t="n"/>
      <c r="W264" s="23" t="n"/>
      <c r="X264" s="23" t="n"/>
      <c r="Y264" s="23" t="n"/>
      <c r="Z264" s="23" t="n"/>
      <c r="AA264" s="23" t="n"/>
      <c r="AB264" s="23" t="n"/>
      <c r="AC264" s="23" t="n"/>
      <c r="AD264" s="23" t="n"/>
      <c r="AE264" s="23" t="n"/>
      <c r="AF264" s="23" t="n"/>
      <c r="AG264" s="23" t="n"/>
      <c r="AH264" s="23" t="n"/>
      <c r="AI264" s="23" t="n"/>
      <c r="AJ264" s="23" t="n"/>
      <c r="AK264" s="23" t="n"/>
      <c r="AL264" s="23" t="n"/>
      <c r="AM264" s="26">
        <f>IF(G264="","",G264&amp;"|"&amp;P264)</f>
        <v/>
      </c>
      <c r="AN264" s="27">
        <f>IF(I264="","",IFERROR(DATE(VALUE(RIGHT(I264,4)),VALUE(MID(I264,4,2)),VALUE(LEFT(I264,2))),""))</f>
        <v/>
      </c>
      <c r="AO264" s="27">
        <f>IF(Y264="","",IFERROR(DATE(VALUE(RIGHT(Y264,4)),VALUE(MID(Y264,4,2)),VALUE(LEFT(Y264,2))),""))</f>
        <v/>
      </c>
      <c r="AP264" s="27">
        <f>IF(AC264="","",IFERROR(DATE(VALUE(RIGHT(AC264,4)),VALUE(MID(AC264,4,2)),VALUE(LEFT(AC264,2))),""))</f>
        <v/>
      </c>
      <c r="AQ264" s="26">
        <f>IF(AI264="","",TRIM(LEFT(AI264,FIND(" ",AI264&amp;" ")-1)))</f>
        <v/>
      </c>
      <c r="AR264" s="27">
        <f>IF(AQ264="","",IFERROR(DATE(VALUE(MID(AQ264,FIND("/",AQ264,FIND("/",AQ264)+1)+1,4)),VALUE(LEFT(AQ264,FIND("/",AQ264)-1)),VALUE(MID(AQ264,FIND("/",AQ264)+1,FIND("/",AQ264,FIND("/",AQ264)+1)-FIND("/",AQ264)-1))),""))</f>
        <v/>
      </c>
      <c r="AS264" s="26">
        <f>IF(G264="","",IF(AND(AG264&lt;&gt;"",AG264&lt;&gt;"Bayi Aracı"),"Evet","Hayır"))</f>
        <v/>
      </c>
      <c r="AT264" s="26">
        <f>IF(G264="","",IF(AND(AS264="Evet",T264="Siparişiniz Teslim Edildi"),"Evet","Hayır"))</f>
        <v/>
      </c>
      <c r="AU264" s="26">
        <f>IF(G264="","",IF(AB264="Siparişinizin Montajı Yapıldı","Evet","Hayır"))</f>
        <v/>
      </c>
      <c r="AV264" s="27">
        <f>IF(G264="","",IF(AT264="Evet",AR264,IF(AU264="Evet",AP264,"")))</f>
        <v/>
      </c>
    </row>
    <row r="265">
      <c r="A265" s="23" t="n"/>
      <c r="B265" s="23" t="n"/>
      <c r="C265" s="23" t="n"/>
      <c r="D265" s="23" t="n"/>
      <c r="E265" s="23" t="n"/>
      <c r="F265" s="23" t="n"/>
      <c r="G265" s="23" t="n"/>
      <c r="H265" s="23" t="n"/>
      <c r="I265" s="23" t="n"/>
      <c r="J265" s="23" t="n"/>
      <c r="K265" s="23" t="n"/>
      <c r="L265" s="23" t="n"/>
      <c r="M265" s="23" t="n"/>
      <c r="N265" s="23" t="n"/>
      <c r="O265" s="23" t="n"/>
      <c r="P265" s="23" t="n"/>
      <c r="Q265" s="23" t="n"/>
      <c r="R265" s="23" t="n"/>
      <c r="S265" s="23" t="n"/>
      <c r="T265" s="23" t="n"/>
      <c r="U265" s="23" t="n"/>
      <c r="V265" s="23" t="n"/>
      <c r="W265" s="23" t="n"/>
      <c r="X265" s="23" t="n"/>
      <c r="Y265" s="23" t="n"/>
      <c r="Z265" s="23" t="n"/>
      <c r="AA265" s="23" t="n"/>
      <c r="AB265" s="23" t="n"/>
      <c r="AC265" s="23" t="n"/>
      <c r="AD265" s="23" t="n"/>
      <c r="AE265" s="23" t="n"/>
      <c r="AF265" s="23" t="n"/>
      <c r="AG265" s="23" t="n"/>
      <c r="AH265" s="23" t="n"/>
      <c r="AI265" s="23" t="n"/>
      <c r="AJ265" s="23" t="n"/>
      <c r="AK265" s="23" t="n"/>
      <c r="AL265" s="23" t="n"/>
      <c r="AM265" s="26">
        <f>IF(G265="","",G265&amp;"|"&amp;P265)</f>
        <v/>
      </c>
      <c r="AN265" s="27">
        <f>IF(I265="","",IFERROR(DATE(VALUE(RIGHT(I265,4)),VALUE(MID(I265,4,2)),VALUE(LEFT(I265,2))),""))</f>
        <v/>
      </c>
      <c r="AO265" s="27">
        <f>IF(Y265="","",IFERROR(DATE(VALUE(RIGHT(Y265,4)),VALUE(MID(Y265,4,2)),VALUE(LEFT(Y265,2))),""))</f>
        <v/>
      </c>
      <c r="AP265" s="27">
        <f>IF(AC265="","",IFERROR(DATE(VALUE(RIGHT(AC265,4)),VALUE(MID(AC265,4,2)),VALUE(LEFT(AC265,2))),""))</f>
        <v/>
      </c>
      <c r="AQ265" s="26">
        <f>IF(AI265="","",TRIM(LEFT(AI265,FIND(" ",AI265&amp;" ")-1)))</f>
        <v/>
      </c>
      <c r="AR265" s="27">
        <f>IF(AQ265="","",IFERROR(DATE(VALUE(MID(AQ265,FIND("/",AQ265,FIND("/",AQ265)+1)+1,4)),VALUE(LEFT(AQ265,FIND("/",AQ265)-1)),VALUE(MID(AQ265,FIND("/",AQ265)+1,FIND("/",AQ265,FIND("/",AQ265)+1)-FIND("/",AQ265)-1))),""))</f>
        <v/>
      </c>
      <c r="AS265" s="26">
        <f>IF(G265="","",IF(AND(AG265&lt;&gt;"",AG265&lt;&gt;"Bayi Aracı"),"Evet","Hayır"))</f>
        <v/>
      </c>
      <c r="AT265" s="26">
        <f>IF(G265="","",IF(AND(AS265="Evet",T265="Siparişiniz Teslim Edildi"),"Evet","Hayır"))</f>
        <v/>
      </c>
      <c r="AU265" s="26">
        <f>IF(G265="","",IF(AB265="Siparişinizin Montajı Yapıldı","Evet","Hayır"))</f>
        <v/>
      </c>
      <c r="AV265" s="27">
        <f>IF(G265="","",IF(AT265="Evet",AR265,IF(AU265="Evet",AP265,"")))</f>
        <v/>
      </c>
    </row>
    <row r="266">
      <c r="A266" s="23" t="n"/>
      <c r="B266" s="23" t="n"/>
      <c r="C266" s="23" t="n"/>
      <c r="D266" s="23" t="n"/>
      <c r="E266" s="23" t="n"/>
      <c r="F266" s="23" t="n"/>
      <c r="G266" s="23" t="n"/>
      <c r="H266" s="23" t="n"/>
      <c r="I266" s="23" t="n"/>
      <c r="J266" s="23" t="n"/>
      <c r="K266" s="23" t="n"/>
      <c r="L266" s="23" t="n"/>
      <c r="M266" s="23" t="n"/>
      <c r="N266" s="23" t="n"/>
      <c r="O266" s="23" t="n"/>
      <c r="P266" s="23" t="n"/>
      <c r="Q266" s="23" t="n"/>
      <c r="R266" s="23" t="n"/>
      <c r="S266" s="23" t="n"/>
      <c r="T266" s="23" t="n"/>
      <c r="U266" s="23" t="n"/>
      <c r="V266" s="23" t="n"/>
      <c r="W266" s="23" t="n"/>
      <c r="X266" s="23" t="n"/>
      <c r="Y266" s="23" t="n"/>
      <c r="Z266" s="23" t="n"/>
      <c r="AA266" s="23" t="n"/>
      <c r="AB266" s="23" t="n"/>
      <c r="AC266" s="23" t="n"/>
      <c r="AD266" s="23" t="n"/>
      <c r="AE266" s="23" t="n"/>
      <c r="AF266" s="23" t="n"/>
      <c r="AG266" s="23" t="n"/>
      <c r="AH266" s="23" t="n"/>
      <c r="AI266" s="23" t="n"/>
      <c r="AJ266" s="23" t="n"/>
      <c r="AK266" s="23" t="n"/>
      <c r="AL266" s="23" t="n"/>
      <c r="AM266" s="26">
        <f>IF(G266="","",G266&amp;"|"&amp;P266)</f>
        <v/>
      </c>
      <c r="AN266" s="27">
        <f>IF(I266="","",IFERROR(DATE(VALUE(RIGHT(I266,4)),VALUE(MID(I266,4,2)),VALUE(LEFT(I266,2))),""))</f>
        <v/>
      </c>
      <c r="AO266" s="27">
        <f>IF(Y266="","",IFERROR(DATE(VALUE(RIGHT(Y266,4)),VALUE(MID(Y266,4,2)),VALUE(LEFT(Y266,2))),""))</f>
        <v/>
      </c>
      <c r="AP266" s="27">
        <f>IF(AC266="","",IFERROR(DATE(VALUE(RIGHT(AC266,4)),VALUE(MID(AC266,4,2)),VALUE(LEFT(AC266,2))),""))</f>
        <v/>
      </c>
      <c r="AQ266" s="26">
        <f>IF(AI266="","",TRIM(LEFT(AI266,FIND(" ",AI266&amp;" ")-1)))</f>
        <v/>
      </c>
      <c r="AR266" s="27">
        <f>IF(AQ266="","",IFERROR(DATE(VALUE(MID(AQ266,FIND("/",AQ266,FIND("/",AQ266)+1)+1,4)),VALUE(LEFT(AQ266,FIND("/",AQ266)-1)),VALUE(MID(AQ266,FIND("/",AQ266)+1,FIND("/",AQ266,FIND("/",AQ266)+1)-FIND("/",AQ266)-1))),""))</f>
        <v/>
      </c>
      <c r="AS266" s="26">
        <f>IF(G266="","",IF(AND(AG266&lt;&gt;"",AG266&lt;&gt;"Bayi Aracı"),"Evet","Hayır"))</f>
        <v/>
      </c>
      <c r="AT266" s="26">
        <f>IF(G266="","",IF(AND(AS266="Evet",T266="Siparişiniz Teslim Edildi"),"Evet","Hayır"))</f>
        <v/>
      </c>
      <c r="AU266" s="26">
        <f>IF(G266="","",IF(AB266="Siparişinizin Montajı Yapıldı","Evet","Hayır"))</f>
        <v/>
      </c>
      <c r="AV266" s="27">
        <f>IF(G266="","",IF(AT266="Evet",AR266,IF(AU266="Evet",AP266,"")))</f>
        <v/>
      </c>
    </row>
    <row r="267">
      <c r="A267" s="23" t="n"/>
      <c r="B267" s="23" t="n"/>
      <c r="C267" s="23" t="n"/>
      <c r="D267" s="23" t="n"/>
      <c r="E267" s="23" t="n"/>
      <c r="F267" s="23" t="n"/>
      <c r="G267" s="23" t="n"/>
      <c r="H267" s="23" t="n"/>
      <c r="I267" s="23" t="n"/>
      <c r="J267" s="23" t="n"/>
      <c r="K267" s="23" t="n"/>
      <c r="L267" s="23" t="n"/>
      <c r="M267" s="23" t="n"/>
      <c r="N267" s="23" t="n"/>
      <c r="O267" s="23" t="n"/>
      <c r="P267" s="23" t="n"/>
      <c r="Q267" s="23" t="n"/>
      <c r="R267" s="23" t="n"/>
      <c r="S267" s="23" t="n"/>
      <c r="T267" s="23" t="n"/>
      <c r="U267" s="23" t="n"/>
      <c r="V267" s="23" t="n"/>
      <c r="W267" s="23" t="n"/>
      <c r="X267" s="23" t="n"/>
      <c r="Y267" s="23" t="n"/>
      <c r="Z267" s="23" t="n"/>
      <c r="AA267" s="23" t="n"/>
      <c r="AB267" s="23" t="n"/>
      <c r="AC267" s="23" t="n"/>
      <c r="AD267" s="23" t="n"/>
      <c r="AE267" s="23" t="n"/>
      <c r="AF267" s="23" t="n"/>
      <c r="AG267" s="23" t="n"/>
      <c r="AH267" s="23" t="n"/>
      <c r="AI267" s="23" t="n"/>
      <c r="AJ267" s="23" t="n"/>
      <c r="AK267" s="23" t="n"/>
      <c r="AL267" s="23" t="n"/>
      <c r="AM267" s="26">
        <f>IF(G267="","",G267&amp;"|"&amp;P267)</f>
        <v/>
      </c>
      <c r="AN267" s="27">
        <f>IF(I267="","",IFERROR(DATE(VALUE(RIGHT(I267,4)),VALUE(MID(I267,4,2)),VALUE(LEFT(I267,2))),""))</f>
        <v/>
      </c>
      <c r="AO267" s="27">
        <f>IF(Y267="","",IFERROR(DATE(VALUE(RIGHT(Y267,4)),VALUE(MID(Y267,4,2)),VALUE(LEFT(Y267,2))),""))</f>
        <v/>
      </c>
      <c r="AP267" s="27">
        <f>IF(AC267="","",IFERROR(DATE(VALUE(RIGHT(AC267,4)),VALUE(MID(AC267,4,2)),VALUE(LEFT(AC267,2))),""))</f>
        <v/>
      </c>
      <c r="AQ267" s="26">
        <f>IF(AI267="","",TRIM(LEFT(AI267,FIND(" ",AI267&amp;" ")-1)))</f>
        <v/>
      </c>
      <c r="AR267" s="27">
        <f>IF(AQ267="","",IFERROR(DATE(VALUE(MID(AQ267,FIND("/",AQ267,FIND("/",AQ267)+1)+1,4)),VALUE(LEFT(AQ267,FIND("/",AQ267)-1)),VALUE(MID(AQ267,FIND("/",AQ267)+1,FIND("/",AQ267,FIND("/",AQ267)+1)-FIND("/",AQ267)-1))),""))</f>
        <v/>
      </c>
      <c r="AS267" s="26">
        <f>IF(G267="","",IF(AND(AG267&lt;&gt;"",AG267&lt;&gt;"Bayi Aracı"),"Evet","Hayır"))</f>
        <v/>
      </c>
      <c r="AT267" s="26">
        <f>IF(G267="","",IF(AND(AS267="Evet",T267="Siparişiniz Teslim Edildi"),"Evet","Hayır"))</f>
        <v/>
      </c>
      <c r="AU267" s="26">
        <f>IF(G267="","",IF(AB267="Siparişinizin Montajı Yapıldı","Evet","Hayır"))</f>
        <v/>
      </c>
      <c r="AV267" s="27">
        <f>IF(G267="","",IF(AT267="Evet",AR267,IF(AU267="Evet",AP267,"")))</f>
        <v/>
      </c>
    </row>
    <row r="268">
      <c r="A268" s="23" t="n"/>
      <c r="B268" s="23" t="n"/>
      <c r="C268" s="23" t="n"/>
      <c r="D268" s="23" t="n"/>
      <c r="E268" s="23" t="n"/>
      <c r="F268" s="23" t="n"/>
      <c r="G268" s="23" t="n"/>
      <c r="H268" s="23" t="n"/>
      <c r="I268" s="23" t="n"/>
      <c r="J268" s="23" t="n"/>
      <c r="K268" s="23" t="n"/>
      <c r="L268" s="23" t="n"/>
      <c r="M268" s="23" t="n"/>
      <c r="N268" s="23" t="n"/>
      <c r="O268" s="23" t="n"/>
      <c r="P268" s="23" t="n"/>
      <c r="Q268" s="23" t="n"/>
      <c r="R268" s="23" t="n"/>
      <c r="S268" s="23" t="n"/>
      <c r="T268" s="23" t="n"/>
      <c r="U268" s="23" t="n"/>
      <c r="V268" s="23" t="n"/>
      <c r="W268" s="23" t="n"/>
      <c r="X268" s="23" t="n"/>
      <c r="Y268" s="23" t="n"/>
      <c r="Z268" s="23" t="n"/>
      <c r="AA268" s="23" t="n"/>
      <c r="AB268" s="23" t="n"/>
      <c r="AC268" s="23" t="n"/>
      <c r="AD268" s="23" t="n"/>
      <c r="AE268" s="23" t="n"/>
      <c r="AF268" s="23" t="n"/>
      <c r="AG268" s="23" t="n"/>
      <c r="AH268" s="23" t="n"/>
      <c r="AI268" s="23" t="n"/>
      <c r="AJ268" s="23" t="n"/>
      <c r="AK268" s="23" t="n"/>
      <c r="AL268" s="23" t="n"/>
      <c r="AM268" s="26">
        <f>IF(G268="","",G268&amp;"|"&amp;P268)</f>
        <v/>
      </c>
      <c r="AN268" s="27">
        <f>IF(I268="","",IFERROR(DATE(VALUE(RIGHT(I268,4)),VALUE(MID(I268,4,2)),VALUE(LEFT(I268,2))),""))</f>
        <v/>
      </c>
      <c r="AO268" s="27">
        <f>IF(Y268="","",IFERROR(DATE(VALUE(RIGHT(Y268,4)),VALUE(MID(Y268,4,2)),VALUE(LEFT(Y268,2))),""))</f>
        <v/>
      </c>
      <c r="AP268" s="27">
        <f>IF(AC268="","",IFERROR(DATE(VALUE(RIGHT(AC268,4)),VALUE(MID(AC268,4,2)),VALUE(LEFT(AC268,2))),""))</f>
        <v/>
      </c>
      <c r="AQ268" s="26">
        <f>IF(AI268="","",TRIM(LEFT(AI268,FIND(" ",AI268&amp;" ")-1)))</f>
        <v/>
      </c>
      <c r="AR268" s="27">
        <f>IF(AQ268="","",IFERROR(DATE(VALUE(MID(AQ268,FIND("/",AQ268,FIND("/",AQ268)+1)+1,4)),VALUE(LEFT(AQ268,FIND("/",AQ268)-1)),VALUE(MID(AQ268,FIND("/",AQ268)+1,FIND("/",AQ268,FIND("/",AQ268)+1)-FIND("/",AQ268)-1))),""))</f>
        <v/>
      </c>
      <c r="AS268" s="26">
        <f>IF(G268="","",IF(AND(AG268&lt;&gt;"",AG268&lt;&gt;"Bayi Aracı"),"Evet","Hayır"))</f>
        <v/>
      </c>
      <c r="AT268" s="26">
        <f>IF(G268="","",IF(AND(AS268="Evet",T268="Siparişiniz Teslim Edildi"),"Evet","Hayır"))</f>
        <v/>
      </c>
      <c r="AU268" s="26">
        <f>IF(G268="","",IF(AB268="Siparişinizin Montajı Yapıldı","Evet","Hayır"))</f>
        <v/>
      </c>
      <c r="AV268" s="27">
        <f>IF(G268="","",IF(AT268="Evet",AR268,IF(AU268="Evet",AP268,"")))</f>
        <v/>
      </c>
    </row>
    <row r="269">
      <c r="A269" s="23" t="n"/>
      <c r="B269" s="23" t="n"/>
      <c r="C269" s="23" t="n"/>
      <c r="D269" s="23" t="n"/>
      <c r="E269" s="23" t="n"/>
      <c r="F269" s="23" t="n"/>
      <c r="G269" s="23" t="n"/>
      <c r="H269" s="23" t="n"/>
      <c r="I269" s="23" t="n"/>
      <c r="J269" s="23" t="n"/>
      <c r="K269" s="23" t="n"/>
      <c r="L269" s="23" t="n"/>
      <c r="M269" s="23" t="n"/>
      <c r="N269" s="23" t="n"/>
      <c r="O269" s="23" t="n"/>
      <c r="P269" s="23" t="n"/>
      <c r="Q269" s="23" t="n"/>
      <c r="R269" s="23" t="n"/>
      <c r="S269" s="23" t="n"/>
      <c r="T269" s="23" t="n"/>
      <c r="U269" s="23" t="n"/>
      <c r="V269" s="23" t="n"/>
      <c r="W269" s="23" t="n"/>
      <c r="X269" s="23" t="n"/>
      <c r="Y269" s="23" t="n"/>
      <c r="Z269" s="23" t="n"/>
      <c r="AA269" s="23" t="n"/>
      <c r="AB269" s="23" t="n"/>
      <c r="AC269" s="23" t="n"/>
      <c r="AD269" s="23" t="n"/>
      <c r="AE269" s="23" t="n"/>
      <c r="AF269" s="23" t="n"/>
      <c r="AG269" s="23" t="n"/>
      <c r="AH269" s="23" t="n"/>
      <c r="AI269" s="23" t="n"/>
      <c r="AJ269" s="23" t="n"/>
      <c r="AK269" s="23" t="n"/>
      <c r="AL269" s="23" t="n"/>
      <c r="AM269" s="26">
        <f>IF(G269="","",G269&amp;"|"&amp;P269)</f>
        <v/>
      </c>
      <c r="AN269" s="27">
        <f>IF(I269="","",IFERROR(DATE(VALUE(RIGHT(I269,4)),VALUE(MID(I269,4,2)),VALUE(LEFT(I269,2))),""))</f>
        <v/>
      </c>
      <c r="AO269" s="27">
        <f>IF(Y269="","",IFERROR(DATE(VALUE(RIGHT(Y269,4)),VALUE(MID(Y269,4,2)),VALUE(LEFT(Y269,2))),""))</f>
        <v/>
      </c>
      <c r="AP269" s="27">
        <f>IF(AC269="","",IFERROR(DATE(VALUE(RIGHT(AC269,4)),VALUE(MID(AC269,4,2)),VALUE(LEFT(AC269,2))),""))</f>
        <v/>
      </c>
      <c r="AQ269" s="26">
        <f>IF(AI269="","",TRIM(LEFT(AI269,FIND(" ",AI269&amp;" ")-1)))</f>
        <v/>
      </c>
      <c r="AR269" s="27">
        <f>IF(AQ269="","",IFERROR(DATE(VALUE(MID(AQ269,FIND("/",AQ269,FIND("/",AQ269)+1)+1,4)),VALUE(LEFT(AQ269,FIND("/",AQ269)-1)),VALUE(MID(AQ269,FIND("/",AQ269)+1,FIND("/",AQ269,FIND("/",AQ269)+1)-FIND("/",AQ269)-1))),""))</f>
        <v/>
      </c>
      <c r="AS269" s="26">
        <f>IF(G269="","",IF(AND(AG269&lt;&gt;"",AG269&lt;&gt;"Bayi Aracı"),"Evet","Hayır"))</f>
        <v/>
      </c>
      <c r="AT269" s="26">
        <f>IF(G269="","",IF(AND(AS269="Evet",T269="Siparişiniz Teslim Edildi"),"Evet","Hayır"))</f>
        <v/>
      </c>
      <c r="AU269" s="26">
        <f>IF(G269="","",IF(AB269="Siparişinizin Montajı Yapıldı","Evet","Hayır"))</f>
        <v/>
      </c>
      <c r="AV269" s="27">
        <f>IF(G269="","",IF(AT269="Evet",AR269,IF(AU269="Evet",AP269,"")))</f>
        <v/>
      </c>
    </row>
    <row r="270">
      <c r="A270" s="23" t="n"/>
      <c r="B270" s="23" t="n"/>
      <c r="C270" s="23" t="n"/>
      <c r="D270" s="23" t="n"/>
      <c r="E270" s="23" t="n"/>
      <c r="F270" s="23" t="n"/>
      <c r="G270" s="23" t="n"/>
      <c r="H270" s="23" t="n"/>
      <c r="I270" s="23" t="n"/>
      <c r="J270" s="23" t="n"/>
      <c r="K270" s="23" t="n"/>
      <c r="L270" s="23" t="n"/>
      <c r="M270" s="23" t="n"/>
      <c r="N270" s="23" t="n"/>
      <c r="O270" s="23" t="n"/>
      <c r="P270" s="23" t="n"/>
      <c r="Q270" s="23" t="n"/>
      <c r="R270" s="23" t="n"/>
      <c r="S270" s="23" t="n"/>
      <c r="T270" s="23" t="n"/>
      <c r="U270" s="23" t="n"/>
      <c r="V270" s="23" t="n"/>
      <c r="W270" s="23" t="n"/>
      <c r="X270" s="23" t="n"/>
      <c r="Y270" s="23" t="n"/>
      <c r="Z270" s="23" t="n"/>
      <c r="AA270" s="23" t="n"/>
      <c r="AB270" s="23" t="n"/>
      <c r="AC270" s="23" t="n"/>
      <c r="AD270" s="23" t="n"/>
      <c r="AE270" s="23" t="n"/>
      <c r="AF270" s="23" t="n"/>
      <c r="AG270" s="23" t="n"/>
      <c r="AH270" s="23" t="n"/>
      <c r="AI270" s="23" t="n"/>
      <c r="AJ270" s="23" t="n"/>
      <c r="AK270" s="23" t="n"/>
      <c r="AL270" s="23" t="n"/>
      <c r="AM270" s="26">
        <f>IF(G270="","",G270&amp;"|"&amp;P270)</f>
        <v/>
      </c>
      <c r="AN270" s="27">
        <f>IF(I270="","",IFERROR(DATE(VALUE(RIGHT(I270,4)),VALUE(MID(I270,4,2)),VALUE(LEFT(I270,2))),""))</f>
        <v/>
      </c>
      <c r="AO270" s="27">
        <f>IF(Y270="","",IFERROR(DATE(VALUE(RIGHT(Y270,4)),VALUE(MID(Y270,4,2)),VALUE(LEFT(Y270,2))),""))</f>
        <v/>
      </c>
      <c r="AP270" s="27">
        <f>IF(AC270="","",IFERROR(DATE(VALUE(RIGHT(AC270,4)),VALUE(MID(AC270,4,2)),VALUE(LEFT(AC270,2))),""))</f>
        <v/>
      </c>
      <c r="AQ270" s="26">
        <f>IF(AI270="","",TRIM(LEFT(AI270,FIND(" ",AI270&amp;" ")-1)))</f>
        <v/>
      </c>
      <c r="AR270" s="27">
        <f>IF(AQ270="","",IFERROR(DATE(VALUE(MID(AQ270,FIND("/",AQ270,FIND("/",AQ270)+1)+1,4)),VALUE(LEFT(AQ270,FIND("/",AQ270)-1)),VALUE(MID(AQ270,FIND("/",AQ270)+1,FIND("/",AQ270,FIND("/",AQ270)+1)-FIND("/",AQ270)-1))),""))</f>
        <v/>
      </c>
      <c r="AS270" s="26">
        <f>IF(G270="","",IF(AND(AG270&lt;&gt;"",AG270&lt;&gt;"Bayi Aracı"),"Evet","Hayır"))</f>
        <v/>
      </c>
      <c r="AT270" s="26">
        <f>IF(G270="","",IF(AND(AS270="Evet",T270="Siparişiniz Teslim Edildi"),"Evet","Hayır"))</f>
        <v/>
      </c>
      <c r="AU270" s="26">
        <f>IF(G270="","",IF(AB270="Siparişinizin Montajı Yapıldı","Evet","Hayır"))</f>
        <v/>
      </c>
      <c r="AV270" s="27">
        <f>IF(G270="","",IF(AT270="Evet",AR270,IF(AU270="Evet",AP270,"")))</f>
        <v/>
      </c>
    </row>
    <row r="271">
      <c r="A271" s="23" t="n"/>
      <c r="B271" s="23" t="n"/>
      <c r="C271" s="23" t="n"/>
      <c r="D271" s="23" t="n"/>
      <c r="E271" s="23" t="n"/>
      <c r="F271" s="23" t="n"/>
      <c r="G271" s="23" t="n"/>
      <c r="H271" s="23" t="n"/>
      <c r="I271" s="23" t="n"/>
      <c r="J271" s="23" t="n"/>
      <c r="K271" s="23" t="n"/>
      <c r="L271" s="23" t="n"/>
      <c r="M271" s="23" t="n"/>
      <c r="N271" s="23" t="n"/>
      <c r="O271" s="23" t="n"/>
      <c r="P271" s="23" t="n"/>
      <c r="Q271" s="23" t="n"/>
      <c r="R271" s="23" t="n"/>
      <c r="S271" s="23" t="n"/>
      <c r="T271" s="23" t="n"/>
      <c r="U271" s="23" t="n"/>
      <c r="V271" s="23" t="n"/>
      <c r="W271" s="23" t="n"/>
      <c r="X271" s="23" t="n"/>
      <c r="Y271" s="23" t="n"/>
      <c r="Z271" s="23" t="n"/>
      <c r="AA271" s="23" t="n"/>
      <c r="AB271" s="23" t="n"/>
      <c r="AC271" s="23" t="n"/>
      <c r="AD271" s="23" t="n"/>
      <c r="AE271" s="23" t="n"/>
      <c r="AF271" s="23" t="n"/>
      <c r="AG271" s="23" t="n"/>
      <c r="AH271" s="23" t="n"/>
      <c r="AI271" s="23" t="n"/>
      <c r="AJ271" s="23" t="n"/>
      <c r="AK271" s="23" t="n"/>
      <c r="AL271" s="23" t="n"/>
      <c r="AM271" s="26">
        <f>IF(G271="","",G271&amp;"|"&amp;P271)</f>
        <v/>
      </c>
      <c r="AN271" s="27">
        <f>IF(I271="","",IFERROR(DATE(VALUE(RIGHT(I271,4)),VALUE(MID(I271,4,2)),VALUE(LEFT(I271,2))),""))</f>
        <v/>
      </c>
      <c r="AO271" s="27">
        <f>IF(Y271="","",IFERROR(DATE(VALUE(RIGHT(Y271,4)),VALUE(MID(Y271,4,2)),VALUE(LEFT(Y271,2))),""))</f>
        <v/>
      </c>
      <c r="AP271" s="27">
        <f>IF(AC271="","",IFERROR(DATE(VALUE(RIGHT(AC271,4)),VALUE(MID(AC271,4,2)),VALUE(LEFT(AC271,2))),""))</f>
        <v/>
      </c>
      <c r="AQ271" s="26">
        <f>IF(AI271="","",TRIM(LEFT(AI271,FIND(" ",AI271&amp;" ")-1)))</f>
        <v/>
      </c>
      <c r="AR271" s="27">
        <f>IF(AQ271="","",IFERROR(DATE(VALUE(MID(AQ271,FIND("/",AQ271,FIND("/",AQ271)+1)+1,4)),VALUE(LEFT(AQ271,FIND("/",AQ271)-1)),VALUE(MID(AQ271,FIND("/",AQ271)+1,FIND("/",AQ271,FIND("/",AQ271)+1)-FIND("/",AQ271)-1))),""))</f>
        <v/>
      </c>
      <c r="AS271" s="26">
        <f>IF(G271="","",IF(AND(AG271&lt;&gt;"",AG271&lt;&gt;"Bayi Aracı"),"Evet","Hayır"))</f>
        <v/>
      </c>
      <c r="AT271" s="26">
        <f>IF(G271="","",IF(AND(AS271="Evet",T271="Siparişiniz Teslim Edildi"),"Evet","Hayır"))</f>
        <v/>
      </c>
      <c r="AU271" s="26">
        <f>IF(G271="","",IF(AB271="Siparişinizin Montajı Yapıldı","Evet","Hayır"))</f>
        <v/>
      </c>
      <c r="AV271" s="27">
        <f>IF(G271="","",IF(AT271="Evet",AR271,IF(AU271="Evet",AP271,"")))</f>
        <v/>
      </c>
    </row>
    <row r="272">
      <c r="A272" s="23" t="n"/>
      <c r="B272" s="23" t="n"/>
      <c r="C272" s="23" t="n"/>
      <c r="D272" s="23" t="n"/>
      <c r="E272" s="23" t="n"/>
      <c r="F272" s="23" t="n"/>
      <c r="G272" s="23" t="n"/>
      <c r="H272" s="23" t="n"/>
      <c r="I272" s="23" t="n"/>
      <c r="J272" s="23" t="n"/>
      <c r="K272" s="23" t="n"/>
      <c r="L272" s="23" t="n"/>
      <c r="M272" s="23" t="n"/>
      <c r="N272" s="23" t="n"/>
      <c r="O272" s="23" t="n"/>
      <c r="P272" s="23" t="n"/>
      <c r="Q272" s="23" t="n"/>
      <c r="R272" s="23" t="n"/>
      <c r="S272" s="23" t="n"/>
      <c r="T272" s="23" t="n"/>
      <c r="U272" s="23" t="n"/>
      <c r="V272" s="23" t="n"/>
      <c r="W272" s="23" t="n"/>
      <c r="X272" s="23" t="n"/>
      <c r="Y272" s="23" t="n"/>
      <c r="Z272" s="23" t="n"/>
      <c r="AA272" s="23" t="n"/>
      <c r="AB272" s="23" t="n"/>
      <c r="AC272" s="23" t="n"/>
      <c r="AD272" s="23" t="n"/>
      <c r="AE272" s="23" t="n"/>
      <c r="AF272" s="23" t="n"/>
      <c r="AG272" s="23" t="n"/>
      <c r="AH272" s="23" t="n"/>
      <c r="AI272" s="23" t="n"/>
      <c r="AJ272" s="23" t="n"/>
      <c r="AK272" s="23" t="n"/>
      <c r="AL272" s="23" t="n"/>
      <c r="AM272" s="26">
        <f>IF(G272="","",G272&amp;"|"&amp;P272)</f>
        <v/>
      </c>
      <c r="AN272" s="27">
        <f>IF(I272="","",IFERROR(DATE(VALUE(RIGHT(I272,4)),VALUE(MID(I272,4,2)),VALUE(LEFT(I272,2))),""))</f>
        <v/>
      </c>
      <c r="AO272" s="27">
        <f>IF(Y272="","",IFERROR(DATE(VALUE(RIGHT(Y272,4)),VALUE(MID(Y272,4,2)),VALUE(LEFT(Y272,2))),""))</f>
        <v/>
      </c>
      <c r="AP272" s="27">
        <f>IF(AC272="","",IFERROR(DATE(VALUE(RIGHT(AC272,4)),VALUE(MID(AC272,4,2)),VALUE(LEFT(AC272,2))),""))</f>
        <v/>
      </c>
      <c r="AQ272" s="26">
        <f>IF(AI272="","",TRIM(LEFT(AI272,FIND(" ",AI272&amp;" ")-1)))</f>
        <v/>
      </c>
      <c r="AR272" s="27">
        <f>IF(AQ272="","",IFERROR(DATE(VALUE(MID(AQ272,FIND("/",AQ272,FIND("/",AQ272)+1)+1,4)),VALUE(LEFT(AQ272,FIND("/",AQ272)-1)),VALUE(MID(AQ272,FIND("/",AQ272)+1,FIND("/",AQ272,FIND("/",AQ272)+1)-FIND("/",AQ272)-1))),""))</f>
        <v/>
      </c>
      <c r="AS272" s="26">
        <f>IF(G272="","",IF(AND(AG272&lt;&gt;"",AG272&lt;&gt;"Bayi Aracı"),"Evet","Hayır"))</f>
        <v/>
      </c>
      <c r="AT272" s="26">
        <f>IF(G272="","",IF(AND(AS272="Evet",T272="Siparişiniz Teslim Edildi"),"Evet","Hayır"))</f>
        <v/>
      </c>
      <c r="AU272" s="26">
        <f>IF(G272="","",IF(AB272="Siparişinizin Montajı Yapıldı","Evet","Hayır"))</f>
        <v/>
      </c>
      <c r="AV272" s="27">
        <f>IF(G272="","",IF(AT272="Evet",AR272,IF(AU272="Evet",AP272,"")))</f>
        <v/>
      </c>
    </row>
    <row r="273">
      <c r="A273" s="23" t="n"/>
      <c r="B273" s="23" t="n"/>
      <c r="C273" s="23" t="n"/>
      <c r="D273" s="23" t="n"/>
      <c r="E273" s="23" t="n"/>
      <c r="F273" s="23" t="n"/>
      <c r="G273" s="23" t="n"/>
      <c r="H273" s="23" t="n"/>
      <c r="I273" s="23" t="n"/>
      <c r="J273" s="23" t="n"/>
      <c r="K273" s="23" t="n"/>
      <c r="L273" s="23" t="n"/>
      <c r="M273" s="23" t="n"/>
      <c r="N273" s="23" t="n"/>
      <c r="O273" s="23" t="n"/>
      <c r="P273" s="23" t="n"/>
      <c r="Q273" s="23" t="n"/>
      <c r="R273" s="23" t="n"/>
      <c r="S273" s="23" t="n"/>
      <c r="T273" s="23" t="n"/>
      <c r="U273" s="23" t="n"/>
      <c r="V273" s="23" t="n"/>
      <c r="W273" s="23" t="n"/>
      <c r="X273" s="23" t="n"/>
      <c r="Y273" s="23" t="n"/>
      <c r="Z273" s="23" t="n"/>
      <c r="AA273" s="23" t="n"/>
      <c r="AB273" s="23" t="n"/>
      <c r="AC273" s="23" t="n"/>
      <c r="AD273" s="23" t="n"/>
      <c r="AE273" s="23" t="n"/>
      <c r="AF273" s="23" t="n"/>
      <c r="AG273" s="23" t="n"/>
      <c r="AH273" s="23" t="n"/>
      <c r="AI273" s="23" t="n"/>
      <c r="AJ273" s="23" t="n"/>
      <c r="AK273" s="23" t="n"/>
      <c r="AL273" s="23" t="n"/>
      <c r="AM273" s="26">
        <f>IF(G273="","",G273&amp;"|"&amp;P273)</f>
        <v/>
      </c>
      <c r="AN273" s="27">
        <f>IF(I273="","",IFERROR(DATE(VALUE(RIGHT(I273,4)),VALUE(MID(I273,4,2)),VALUE(LEFT(I273,2))),""))</f>
        <v/>
      </c>
      <c r="AO273" s="27">
        <f>IF(Y273="","",IFERROR(DATE(VALUE(RIGHT(Y273,4)),VALUE(MID(Y273,4,2)),VALUE(LEFT(Y273,2))),""))</f>
        <v/>
      </c>
      <c r="AP273" s="27">
        <f>IF(AC273="","",IFERROR(DATE(VALUE(RIGHT(AC273,4)),VALUE(MID(AC273,4,2)),VALUE(LEFT(AC273,2))),""))</f>
        <v/>
      </c>
      <c r="AQ273" s="26">
        <f>IF(AI273="","",TRIM(LEFT(AI273,FIND(" ",AI273&amp;" ")-1)))</f>
        <v/>
      </c>
      <c r="AR273" s="27">
        <f>IF(AQ273="","",IFERROR(DATE(VALUE(MID(AQ273,FIND("/",AQ273,FIND("/",AQ273)+1)+1,4)),VALUE(LEFT(AQ273,FIND("/",AQ273)-1)),VALUE(MID(AQ273,FIND("/",AQ273)+1,FIND("/",AQ273,FIND("/",AQ273)+1)-FIND("/",AQ273)-1))),""))</f>
        <v/>
      </c>
      <c r="AS273" s="26">
        <f>IF(G273="","",IF(AND(AG273&lt;&gt;"",AG273&lt;&gt;"Bayi Aracı"),"Evet","Hayır"))</f>
        <v/>
      </c>
      <c r="AT273" s="26">
        <f>IF(G273="","",IF(AND(AS273="Evet",T273="Siparişiniz Teslim Edildi"),"Evet","Hayır"))</f>
        <v/>
      </c>
      <c r="AU273" s="26">
        <f>IF(G273="","",IF(AB273="Siparişinizin Montajı Yapıldı","Evet","Hayır"))</f>
        <v/>
      </c>
      <c r="AV273" s="27">
        <f>IF(G273="","",IF(AT273="Evet",AR273,IF(AU273="Evet",AP273,"")))</f>
        <v/>
      </c>
    </row>
    <row r="274">
      <c r="A274" s="23" t="n"/>
      <c r="B274" s="23" t="n"/>
      <c r="C274" s="23" t="n"/>
      <c r="D274" s="23" t="n"/>
      <c r="E274" s="23" t="n"/>
      <c r="F274" s="23" t="n"/>
      <c r="G274" s="23" t="n"/>
      <c r="H274" s="23" t="n"/>
      <c r="I274" s="23" t="n"/>
      <c r="J274" s="23" t="n"/>
      <c r="K274" s="23" t="n"/>
      <c r="L274" s="23" t="n"/>
      <c r="M274" s="23" t="n"/>
      <c r="N274" s="23" t="n"/>
      <c r="O274" s="23" t="n"/>
      <c r="P274" s="23" t="n"/>
      <c r="Q274" s="23" t="n"/>
      <c r="R274" s="23" t="n"/>
      <c r="S274" s="23" t="n"/>
      <c r="T274" s="23" t="n"/>
      <c r="U274" s="23" t="n"/>
      <c r="V274" s="23" t="n"/>
      <c r="W274" s="23" t="n"/>
      <c r="X274" s="23" t="n"/>
      <c r="Y274" s="23" t="n"/>
      <c r="Z274" s="23" t="n"/>
      <c r="AA274" s="23" t="n"/>
      <c r="AB274" s="23" t="n"/>
      <c r="AC274" s="23" t="n"/>
      <c r="AD274" s="23" t="n"/>
      <c r="AE274" s="23" t="n"/>
      <c r="AF274" s="23" t="n"/>
      <c r="AG274" s="23" t="n"/>
      <c r="AH274" s="23" t="n"/>
      <c r="AI274" s="23" t="n"/>
      <c r="AJ274" s="23" t="n"/>
      <c r="AK274" s="23" t="n"/>
      <c r="AL274" s="23" t="n"/>
      <c r="AM274" s="26">
        <f>IF(G274="","",G274&amp;"|"&amp;P274)</f>
        <v/>
      </c>
      <c r="AN274" s="27">
        <f>IF(I274="","",IFERROR(DATE(VALUE(RIGHT(I274,4)),VALUE(MID(I274,4,2)),VALUE(LEFT(I274,2))),""))</f>
        <v/>
      </c>
      <c r="AO274" s="27">
        <f>IF(Y274="","",IFERROR(DATE(VALUE(RIGHT(Y274,4)),VALUE(MID(Y274,4,2)),VALUE(LEFT(Y274,2))),""))</f>
        <v/>
      </c>
      <c r="AP274" s="27">
        <f>IF(AC274="","",IFERROR(DATE(VALUE(RIGHT(AC274,4)),VALUE(MID(AC274,4,2)),VALUE(LEFT(AC274,2))),""))</f>
        <v/>
      </c>
      <c r="AQ274" s="26">
        <f>IF(AI274="","",TRIM(LEFT(AI274,FIND(" ",AI274&amp;" ")-1)))</f>
        <v/>
      </c>
      <c r="AR274" s="27">
        <f>IF(AQ274="","",IFERROR(DATE(VALUE(MID(AQ274,FIND("/",AQ274,FIND("/",AQ274)+1)+1,4)),VALUE(LEFT(AQ274,FIND("/",AQ274)-1)),VALUE(MID(AQ274,FIND("/",AQ274)+1,FIND("/",AQ274,FIND("/",AQ274)+1)-FIND("/",AQ274)-1))),""))</f>
        <v/>
      </c>
      <c r="AS274" s="26">
        <f>IF(G274="","",IF(AND(AG274&lt;&gt;"",AG274&lt;&gt;"Bayi Aracı"),"Evet","Hayır"))</f>
        <v/>
      </c>
      <c r="AT274" s="26">
        <f>IF(G274="","",IF(AND(AS274="Evet",T274="Siparişiniz Teslim Edildi"),"Evet","Hayır"))</f>
        <v/>
      </c>
      <c r="AU274" s="26">
        <f>IF(G274="","",IF(AB274="Siparişinizin Montajı Yapıldı","Evet","Hayır"))</f>
        <v/>
      </c>
      <c r="AV274" s="27">
        <f>IF(G274="","",IF(AT274="Evet",AR274,IF(AU274="Evet",AP274,"")))</f>
        <v/>
      </c>
    </row>
    <row r="275">
      <c r="A275" s="23" t="n"/>
      <c r="B275" s="23" t="n"/>
      <c r="C275" s="23" t="n"/>
      <c r="D275" s="23" t="n"/>
      <c r="E275" s="23" t="n"/>
      <c r="F275" s="23" t="n"/>
      <c r="G275" s="23" t="n"/>
      <c r="H275" s="23" t="n"/>
      <c r="I275" s="23" t="n"/>
      <c r="J275" s="23" t="n"/>
      <c r="K275" s="23" t="n"/>
      <c r="L275" s="23" t="n"/>
      <c r="M275" s="23" t="n"/>
      <c r="N275" s="23" t="n"/>
      <c r="O275" s="23" t="n"/>
      <c r="P275" s="23" t="n"/>
      <c r="Q275" s="23" t="n"/>
      <c r="R275" s="23" t="n"/>
      <c r="S275" s="23" t="n"/>
      <c r="T275" s="23" t="n"/>
      <c r="U275" s="23" t="n"/>
      <c r="V275" s="23" t="n"/>
      <c r="W275" s="23" t="n"/>
      <c r="X275" s="23" t="n"/>
      <c r="Y275" s="23" t="n"/>
      <c r="Z275" s="23" t="n"/>
      <c r="AA275" s="23" t="n"/>
      <c r="AB275" s="23" t="n"/>
      <c r="AC275" s="23" t="n"/>
      <c r="AD275" s="23" t="n"/>
      <c r="AE275" s="23" t="n"/>
      <c r="AF275" s="23" t="n"/>
      <c r="AG275" s="23" t="n"/>
      <c r="AH275" s="23" t="n"/>
      <c r="AI275" s="23" t="n"/>
      <c r="AJ275" s="23" t="n"/>
      <c r="AK275" s="23" t="n"/>
      <c r="AL275" s="23" t="n"/>
      <c r="AM275" s="26">
        <f>IF(G275="","",G275&amp;"|"&amp;P275)</f>
        <v/>
      </c>
      <c r="AN275" s="27">
        <f>IF(I275="","",IFERROR(DATE(VALUE(RIGHT(I275,4)),VALUE(MID(I275,4,2)),VALUE(LEFT(I275,2))),""))</f>
        <v/>
      </c>
      <c r="AO275" s="27">
        <f>IF(Y275="","",IFERROR(DATE(VALUE(RIGHT(Y275,4)),VALUE(MID(Y275,4,2)),VALUE(LEFT(Y275,2))),""))</f>
        <v/>
      </c>
      <c r="AP275" s="27">
        <f>IF(AC275="","",IFERROR(DATE(VALUE(RIGHT(AC275,4)),VALUE(MID(AC275,4,2)),VALUE(LEFT(AC275,2))),""))</f>
        <v/>
      </c>
      <c r="AQ275" s="26">
        <f>IF(AI275="","",TRIM(LEFT(AI275,FIND(" ",AI275&amp;" ")-1)))</f>
        <v/>
      </c>
      <c r="AR275" s="27">
        <f>IF(AQ275="","",IFERROR(DATE(VALUE(MID(AQ275,FIND("/",AQ275,FIND("/",AQ275)+1)+1,4)),VALUE(LEFT(AQ275,FIND("/",AQ275)-1)),VALUE(MID(AQ275,FIND("/",AQ275)+1,FIND("/",AQ275,FIND("/",AQ275)+1)-FIND("/",AQ275)-1))),""))</f>
        <v/>
      </c>
      <c r="AS275" s="26">
        <f>IF(G275="","",IF(AND(AG275&lt;&gt;"",AG275&lt;&gt;"Bayi Aracı"),"Evet","Hayır"))</f>
        <v/>
      </c>
      <c r="AT275" s="26">
        <f>IF(G275="","",IF(AND(AS275="Evet",T275="Siparişiniz Teslim Edildi"),"Evet","Hayır"))</f>
        <v/>
      </c>
      <c r="AU275" s="26">
        <f>IF(G275="","",IF(AB275="Siparişinizin Montajı Yapıldı","Evet","Hayır"))</f>
        <v/>
      </c>
      <c r="AV275" s="27">
        <f>IF(G275="","",IF(AT275="Evet",AR275,IF(AU275="Evet",AP275,"")))</f>
        <v/>
      </c>
    </row>
    <row r="276">
      <c r="A276" s="23" t="n"/>
      <c r="B276" s="23" t="n"/>
      <c r="C276" s="23" t="n"/>
      <c r="D276" s="23" t="n"/>
      <c r="E276" s="23" t="n"/>
      <c r="F276" s="23" t="n"/>
      <c r="G276" s="23" t="n"/>
      <c r="H276" s="23" t="n"/>
      <c r="I276" s="23" t="n"/>
      <c r="J276" s="23" t="n"/>
      <c r="K276" s="23" t="n"/>
      <c r="L276" s="23" t="n"/>
      <c r="M276" s="23" t="n"/>
      <c r="N276" s="23" t="n"/>
      <c r="O276" s="23" t="n"/>
      <c r="P276" s="23" t="n"/>
      <c r="Q276" s="23" t="n"/>
      <c r="R276" s="23" t="n"/>
      <c r="S276" s="23" t="n"/>
      <c r="T276" s="23" t="n"/>
      <c r="U276" s="23" t="n"/>
      <c r="V276" s="23" t="n"/>
      <c r="W276" s="23" t="n"/>
      <c r="X276" s="23" t="n"/>
      <c r="Y276" s="23" t="n"/>
      <c r="Z276" s="23" t="n"/>
      <c r="AA276" s="23" t="n"/>
      <c r="AB276" s="23" t="n"/>
      <c r="AC276" s="23" t="n"/>
      <c r="AD276" s="23" t="n"/>
      <c r="AE276" s="23" t="n"/>
      <c r="AF276" s="23" t="n"/>
      <c r="AG276" s="23" t="n"/>
      <c r="AH276" s="23" t="n"/>
      <c r="AI276" s="23" t="n"/>
      <c r="AJ276" s="23" t="n"/>
      <c r="AK276" s="23" t="n"/>
      <c r="AL276" s="23" t="n"/>
      <c r="AM276" s="26">
        <f>IF(G276="","",G276&amp;"|"&amp;P276)</f>
        <v/>
      </c>
      <c r="AN276" s="27">
        <f>IF(I276="","",IFERROR(DATE(VALUE(RIGHT(I276,4)),VALUE(MID(I276,4,2)),VALUE(LEFT(I276,2))),""))</f>
        <v/>
      </c>
      <c r="AO276" s="27">
        <f>IF(Y276="","",IFERROR(DATE(VALUE(RIGHT(Y276,4)),VALUE(MID(Y276,4,2)),VALUE(LEFT(Y276,2))),""))</f>
        <v/>
      </c>
      <c r="AP276" s="27">
        <f>IF(AC276="","",IFERROR(DATE(VALUE(RIGHT(AC276,4)),VALUE(MID(AC276,4,2)),VALUE(LEFT(AC276,2))),""))</f>
        <v/>
      </c>
      <c r="AQ276" s="26">
        <f>IF(AI276="","",TRIM(LEFT(AI276,FIND(" ",AI276&amp;" ")-1)))</f>
        <v/>
      </c>
      <c r="AR276" s="27">
        <f>IF(AQ276="","",IFERROR(DATE(VALUE(MID(AQ276,FIND("/",AQ276,FIND("/",AQ276)+1)+1,4)),VALUE(LEFT(AQ276,FIND("/",AQ276)-1)),VALUE(MID(AQ276,FIND("/",AQ276)+1,FIND("/",AQ276,FIND("/",AQ276)+1)-FIND("/",AQ276)-1))),""))</f>
        <v/>
      </c>
      <c r="AS276" s="26">
        <f>IF(G276="","",IF(AND(AG276&lt;&gt;"",AG276&lt;&gt;"Bayi Aracı"),"Evet","Hayır"))</f>
        <v/>
      </c>
      <c r="AT276" s="26">
        <f>IF(G276="","",IF(AND(AS276="Evet",T276="Siparişiniz Teslim Edildi"),"Evet","Hayır"))</f>
        <v/>
      </c>
      <c r="AU276" s="26">
        <f>IF(G276="","",IF(AB276="Siparişinizin Montajı Yapıldı","Evet","Hayır"))</f>
        <v/>
      </c>
      <c r="AV276" s="27">
        <f>IF(G276="","",IF(AT276="Evet",AR276,IF(AU276="Evet",AP276,"")))</f>
        <v/>
      </c>
    </row>
    <row r="277">
      <c r="A277" s="23" t="n"/>
      <c r="B277" s="23" t="n"/>
      <c r="C277" s="23" t="n"/>
      <c r="D277" s="23" t="n"/>
      <c r="E277" s="23" t="n"/>
      <c r="F277" s="23" t="n"/>
      <c r="G277" s="23" t="n"/>
      <c r="H277" s="23" t="n"/>
      <c r="I277" s="23" t="n"/>
      <c r="J277" s="23" t="n"/>
      <c r="K277" s="23" t="n"/>
      <c r="L277" s="23" t="n"/>
      <c r="M277" s="23" t="n"/>
      <c r="N277" s="23" t="n"/>
      <c r="O277" s="23" t="n"/>
      <c r="P277" s="23" t="n"/>
      <c r="Q277" s="23" t="n"/>
      <c r="R277" s="23" t="n"/>
      <c r="S277" s="23" t="n"/>
      <c r="T277" s="23" t="n"/>
      <c r="U277" s="23" t="n"/>
      <c r="V277" s="23" t="n"/>
      <c r="W277" s="23" t="n"/>
      <c r="X277" s="23" t="n"/>
      <c r="Y277" s="23" t="n"/>
      <c r="Z277" s="23" t="n"/>
      <c r="AA277" s="23" t="n"/>
      <c r="AB277" s="23" t="n"/>
      <c r="AC277" s="23" t="n"/>
      <c r="AD277" s="23" t="n"/>
      <c r="AE277" s="23" t="n"/>
      <c r="AF277" s="23" t="n"/>
      <c r="AG277" s="23" t="n"/>
      <c r="AH277" s="23" t="n"/>
      <c r="AI277" s="23" t="n"/>
      <c r="AJ277" s="23" t="n"/>
      <c r="AK277" s="23" t="n"/>
      <c r="AL277" s="23" t="n"/>
      <c r="AM277" s="26">
        <f>IF(G277="","",G277&amp;"|"&amp;P277)</f>
        <v/>
      </c>
      <c r="AN277" s="27">
        <f>IF(I277="","",IFERROR(DATE(VALUE(RIGHT(I277,4)),VALUE(MID(I277,4,2)),VALUE(LEFT(I277,2))),""))</f>
        <v/>
      </c>
      <c r="AO277" s="27">
        <f>IF(Y277="","",IFERROR(DATE(VALUE(RIGHT(Y277,4)),VALUE(MID(Y277,4,2)),VALUE(LEFT(Y277,2))),""))</f>
        <v/>
      </c>
      <c r="AP277" s="27">
        <f>IF(AC277="","",IFERROR(DATE(VALUE(RIGHT(AC277,4)),VALUE(MID(AC277,4,2)),VALUE(LEFT(AC277,2))),""))</f>
        <v/>
      </c>
      <c r="AQ277" s="26">
        <f>IF(AI277="","",TRIM(LEFT(AI277,FIND(" ",AI277&amp;" ")-1)))</f>
        <v/>
      </c>
      <c r="AR277" s="27">
        <f>IF(AQ277="","",IFERROR(DATE(VALUE(MID(AQ277,FIND("/",AQ277,FIND("/",AQ277)+1)+1,4)),VALUE(LEFT(AQ277,FIND("/",AQ277)-1)),VALUE(MID(AQ277,FIND("/",AQ277)+1,FIND("/",AQ277,FIND("/",AQ277)+1)-FIND("/",AQ277)-1))),""))</f>
        <v/>
      </c>
      <c r="AS277" s="26">
        <f>IF(G277="","",IF(AND(AG277&lt;&gt;"",AG277&lt;&gt;"Bayi Aracı"),"Evet","Hayır"))</f>
        <v/>
      </c>
      <c r="AT277" s="26">
        <f>IF(G277="","",IF(AND(AS277="Evet",T277="Siparişiniz Teslim Edildi"),"Evet","Hayır"))</f>
        <v/>
      </c>
      <c r="AU277" s="26">
        <f>IF(G277="","",IF(AB277="Siparişinizin Montajı Yapıldı","Evet","Hayır"))</f>
        <v/>
      </c>
      <c r="AV277" s="27">
        <f>IF(G277="","",IF(AT277="Evet",AR277,IF(AU277="Evet",AP277,"")))</f>
        <v/>
      </c>
    </row>
    <row r="278">
      <c r="A278" s="23" t="n"/>
      <c r="B278" s="23" t="n"/>
      <c r="C278" s="23" t="n"/>
      <c r="D278" s="23" t="n"/>
      <c r="E278" s="23" t="n"/>
      <c r="F278" s="23" t="n"/>
      <c r="G278" s="23" t="n"/>
      <c r="H278" s="23" t="n"/>
      <c r="I278" s="23" t="n"/>
      <c r="J278" s="23" t="n"/>
      <c r="K278" s="23" t="n"/>
      <c r="L278" s="23" t="n"/>
      <c r="M278" s="23" t="n"/>
      <c r="N278" s="23" t="n"/>
      <c r="O278" s="23" t="n"/>
      <c r="P278" s="23" t="n"/>
      <c r="Q278" s="23" t="n"/>
      <c r="R278" s="23" t="n"/>
      <c r="S278" s="23" t="n"/>
      <c r="T278" s="23" t="n"/>
      <c r="U278" s="23" t="n"/>
      <c r="V278" s="23" t="n"/>
      <c r="W278" s="23" t="n"/>
      <c r="X278" s="23" t="n"/>
      <c r="Y278" s="23" t="n"/>
      <c r="Z278" s="23" t="n"/>
      <c r="AA278" s="23" t="n"/>
      <c r="AB278" s="23" t="n"/>
      <c r="AC278" s="23" t="n"/>
      <c r="AD278" s="23" t="n"/>
      <c r="AE278" s="23" t="n"/>
      <c r="AF278" s="23" t="n"/>
      <c r="AG278" s="23" t="n"/>
      <c r="AH278" s="23" t="n"/>
      <c r="AI278" s="23" t="n"/>
      <c r="AJ278" s="23" t="n"/>
      <c r="AK278" s="23" t="n"/>
      <c r="AL278" s="23" t="n"/>
      <c r="AM278" s="26">
        <f>IF(G278="","",G278&amp;"|"&amp;P278)</f>
        <v/>
      </c>
      <c r="AN278" s="27">
        <f>IF(I278="","",IFERROR(DATE(VALUE(RIGHT(I278,4)),VALUE(MID(I278,4,2)),VALUE(LEFT(I278,2))),""))</f>
        <v/>
      </c>
      <c r="AO278" s="27">
        <f>IF(Y278="","",IFERROR(DATE(VALUE(RIGHT(Y278,4)),VALUE(MID(Y278,4,2)),VALUE(LEFT(Y278,2))),""))</f>
        <v/>
      </c>
      <c r="AP278" s="27">
        <f>IF(AC278="","",IFERROR(DATE(VALUE(RIGHT(AC278,4)),VALUE(MID(AC278,4,2)),VALUE(LEFT(AC278,2))),""))</f>
        <v/>
      </c>
      <c r="AQ278" s="26">
        <f>IF(AI278="","",TRIM(LEFT(AI278,FIND(" ",AI278&amp;" ")-1)))</f>
        <v/>
      </c>
      <c r="AR278" s="27">
        <f>IF(AQ278="","",IFERROR(DATE(VALUE(MID(AQ278,FIND("/",AQ278,FIND("/",AQ278)+1)+1,4)),VALUE(LEFT(AQ278,FIND("/",AQ278)-1)),VALUE(MID(AQ278,FIND("/",AQ278)+1,FIND("/",AQ278,FIND("/",AQ278)+1)-FIND("/",AQ278)-1))),""))</f>
        <v/>
      </c>
      <c r="AS278" s="26">
        <f>IF(G278="","",IF(AND(AG278&lt;&gt;"",AG278&lt;&gt;"Bayi Aracı"),"Evet","Hayır"))</f>
        <v/>
      </c>
      <c r="AT278" s="26">
        <f>IF(G278="","",IF(AND(AS278="Evet",T278="Siparişiniz Teslim Edildi"),"Evet","Hayır"))</f>
        <v/>
      </c>
      <c r="AU278" s="26">
        <f>IF(G278="","",IF(AB278="Siparişinizin Montajı Yapıldı","Evet","Hayır"))</f>
        <v/>
      </c>
      <c r="AV278" s="27">
        <f>IF(G278="","",IF(AT278="Evet",AR278,IF(AU278="Evet",AP278,"")))</f>
        <v/>
      </c>
    </row>
    <row r="279">
      <c r="A279" s="23" t="n"/>
      <c r="B279" s="23" t="n"/>
      <c r="C279" s="23" t="n"/>
      <c r="D279" s="23" t="n"/>
      <c r="E279" s="23" t="n"/>
      <c r="F279" s="23" t="n"/>
      <c r="G279" s="23" t="n"/>
      <c r="H279" s="23" t="n"/>
      <c r="I279" s="23" t="n"/>
      <c r="J279" s="23" t="n"/>
      <c r="K279" s="23" t="n"/>
      <c r="L279" s="23" t="n"/>
      <c r="M279" s="23" t="n"/>
      <c r="N279" s="23" t="n"/>
      <c r="O279" s="23" t="n"/>
      <c r="P279" s="23" t="n"/>
      <c r="Q279" s="23" t="n"/>
      <c r="R279" s="23" t="n"/>
      <c r="S279" s="23" t="n"/>
      <c r="T279" s="23" t="n"/>
      <c r="U279" s="23" t="n"/>
      <c r="V279" s="23" t="n"/>
      <c r="W279" s="23" t="n"/>
      <c r="X279" s="23" t="n"/>
      <c r="Y279" s="23" t="n"/>
      <c r="Z279" s="23" t="n"/>
      <c r="AA279" s="23" t="n"/>
      <c r="AB279" s="23" t="n"/>
      <c r="AC279" s="23" t="n"/>
      <c r="AD279" s="23" t="n"/>
      <c r="AE279" s="23" t="n"/>
      <c r="AF279" s="23" t="n"/>
      <c r="AG279" s="23" t="n"/>
      <c r="AH279" s="23" t="n"/>
      <c r="AI279" s="23" t="n"/>
      <c r="AJ279" s="23" t="n"/>
      <c r="AK279" s="23" t="n"/>
      <c r="AL279" s="23" t="n"/>
      <c r="AM279" s="26">
        <f>IF(G279="","",G279&amp;"|"&amp;P279)</f>
        <v/>
      </c>
      <c r="AN279" s="27">
        <f>IF(I279="","",IFERROR(DATE(VALUE(RIGHT(I279,4)),VALUE(MID(I279,4,2)),VALUE(LEFT(I279,2))),""))</f>
        <v/>
      </c>
      <c r="AO279" s="27">
        <f>IF(Y279="","",IFERROR(DATE(VALUE(RIGHT(Y279,4)),VALUE(MID(Y279,4,2)),VALUE(LEFT(Y279,2))),""))</f>
        <v/>
      </c>
      <c r="AP279" s="27">
        <f>IF(AC279="","",IFERROR(DATE(VALUE(RIGHT(AC279,4)),VALUE(MID(AC279,4,2)),VALUE(LEFT(AC279,2))),""))</f>
        <v/>
      </c>
      <c r="AQ279" s="26">
        <f>IF(AI279="","",TRIM(LEFT(AI279,FIND(" ",AI279&amp;" ")-1)))</f>
        <v/>
      </c>
      <c r="AR279" s="27">
        <f>IF(AQ279="","",IFERROR(DATE(VALUE(MID(AQ279,FIND("/",AQ279,FIND("/",AQ279)+1)+1,4)),VALUE(LEFT(AQ279,FIND("/",AQ279)-1)),VALUE(MID(AQ279,FIND("/",AQ279)+1,FIND("/",AQ279,FIND("/",AQ279)+1)-FIND("/",AQ279)-1))),""))</f>
        <v/>
      </c>
      <c r="AS279" s="26">
        <f>IF(G279="","",IF(AND(AG279&lt;&gt;"",AG279&lt;&gt;"Bayi Aracı"),"Evet","Hayır"))</f>
        <v/>
      </c>
      <c r="AT279" s="26">
        <f>IF(G279="","",IF(AND(AS279="Evet",T279="Siparişiniz Teslim Edildi"),"Evet","Hayır"))</f>
        <v/>
      </c>
      <c r="AU279" s="26">
        <f>IF(G279="","",IF(AB279="Siparişinizin Montajı Yapıldı","Evet","Hayır"))</f>
        <v/>
      </c>
      <c r="AV279" s="27">
        <f>IF(G279="","",IF(AT279="Evet",AR279,IF(AU279="Evet",AP279,"")))</f>
        <v/>
      </c>
    </row>
    <row r="280">
      <c r="A280" s="23" t="n"/>
      <c r="B280" s="23" t="n"/>
      <c r="C280" s="23" t="n"/>
      <c r="D280" s="23" t="n"/>
      <c r="E280" s="23" t="n"/>
      <c r="F280" s="23" t="n"/>
      <c r="G280" s="23" t="n"/>
      <c r="H280" s="23" t="n"/>
      <c r="I280" s="23" t="n"/>
      <c r="J280" s="23" t="n"/>
      <c r="K280" s="23" t="n"/>
      <c r="L280" s="23" t="n"/>
      <c r="M280" s="23" t="n"/>
      <c r="N280" s="23" t="n"/>
      <c r="O280" s="23" t="n"/>
      <c r="P280" s="23" t="n"/>
      <c r="Q280" s="23" t="n"/>
      <c r="R280" s="23" t="n"/>
      <c r="S280" s="23" t="n"/>
      <c r="T280" s="23" t="n"/>
      <c r="U280" s="23" t="n"/>
      <c r="V280" s="23" t="n"/>
      <c r="W280" s="23" t="n"/>
      <c r="X280" s="23" t="n"/>
      <c r="Y280" s="23" t="n"/>
      <c r="Z280" s="23" t="n"/>
      <c r="AA280" s="23" t="n"/>
      <c r="AB280" s="23" t="n"/>
      <c r="AC280" s="23" t="n"/>
      <c r="AD280" s="23" t="n"/>
      <c r="AE280" s="23" t="n"/>
      <c r="AF280" s="23" t="n"/>
      <c r="AG280" s="23" t="n"/>
      <c r="AH280" s="23" t="n"/>
      <c r="AI280" s="23" t="n"/>
      <c r="AJ280" s="23" t="n"/>
      <c r="AK280" s="23" t="n"/>
      <c r="AL280" s="23" t="n"/>
      <c r="AM280" s="26">
        <f>IF(G280="","",G280&amp;"|"&amp;P280)</f>
        <v/>
      </c>
      <c r="AN280" s="27">
        <f>IF(I280="","",IFERROR(DATE(VALUE(RIGHT(I280,4)),VALUE(MID(I280,4,2)),VALUE(LEFT(I280,2))),""))</f>
        <v/>
      </c>
      <c r="AO280" s="27">
        <f>IF(Y280="","",IFERROR(DATE(VALUE(RIGHT(Y280,4)),VALUE(MID(Y280,4,2)),VALUE(LEFT(Y280,2))),""))</f>
        <v/>
      </c>
      <c r="AP280" s="27">
        <f>IF(AC280="","",IFERROR(DATE(VALUE(RIGHT(AC280,4)),VALUE(MID(AC280,4,2)),VALUE(LEFT(AC280,2))),""))</f>
        <v/>
      </c>
      <c r="AQ280" s="26">
        <f>IF(AI280="","",TRIM(LEFT(AI280,FIND(" ",AI280&amp;" ")-1)))</f>
        <v/>
      </c>
      <c r="AR280" s="27">
        <f>IF(AQ280="","",IFERROR(DATE(VALUE(MID(AQ280,FIND("/",AQ280,FIND("/",AQ280)+1)+1,4)),VALUE(LEFT(AQ280,FIND("/",AQ280)-1)),VALUE(MID(AQ280,FIND("/",AQ280)+1,FIND("/",AQ280,FIND("/",AQ280)+1)-FIND("/",AQ280)-1))),""))</f>
        <v/>
      </c>
      <c r="AS280" s="26">
        <f>IF(G280="","",IF(AND(AG280&lt;&gt;"",AG280&lt;&gt;"Bayi Aracı"),"Evet","Hayır"))</f>
        <v/>
      </c>
      <c r="AT280" s="26">
        <f>IF(G280="","",IF(AND(AS280="Evet",T280="Siparişiniz Teslim Edildi"),"Evet","Hayır"))</f>
        <v/>
      </c>
      <c r="AU280" s="26">
        <f>IF(G280="","",IF(AB280="Siparişinizin Montajı Yapıldı","Evet","Hayır"))</f>
        <v/>
      </c>
      <c r="AV280" s="27">
        <f>IF(G280="","",IF(AT280="Evet",AR280,IF(AU280="Evet",AP280,"")))</f>
        <v/>
      </c>
    </row>
    <row r="281">
      <c r="A281" s="23" t="n"/>
      <c r="B281" s="23" t="n"/>
      <c r="C281" s="23" t="n"/>
      <c r="D281" s="23" t="n"/>
      <c r="E281" s="23" t="n"/>
      <c r="F281" s="23" t="n"/>
      <c r="G281" s="23" t="n"/>
      <c r="H281" s="23" t="n"/>
      <c r="I281" s="23" t="n"/>
      <c r="J281" s="23" t="n"/>
      <c r="K281" s="23" t="n"/>
      <c r="L281" s="23" t="n"/>
      <c r="M281" s="23" t="n"/>
      <c r="N281" s="23" t="n"/>
      <c r="O281" s="23" t="n"/>
      <c r="P281" s="23" t="n"/>
      <c r="Q281" s="23" t="n"/>
      <c r="R281" s="23" t="n"/>
      <c r="S281" s="23" t="n"/>
      <c r="T281" s="23" t="n"/>
      <c r="U281" s="23" t="n"/>
      <c r="V281" s="23" t="n"/>
      <c r="W281" s="23" t="n"/>
      <c r="X281" s="23" t="n"/>
      <c r="Y281" s="23" t="n"/>
      <c r="Z281" s="23" t="n"/>
      <c r="AA281" s="23" t="n"/>
      <c r="AB281" s="23" t="n"/>
      <c r="AC281" s="23" t="n"/>
      <c r="AD281" s="23" t="n"/>
      <c r="AE281" s="23" t="n"/>
      <c r="AF281" s="23" t="n"/>
      <c r="AG281" s="23" t="n"/>
      <c r="AH281" s="23" t="n"/>
      <c r="AI281" s="23" t="n"/>
      <c r="AJ281" s="23" t="n"/>
      <c r="AK281" s="23" t="n"/>
      <c r="AL281" s="23" t="n"/>
      <c r="AM281" s="26">
        <f>IF(G281="","",G281&amp;"|"&amp;P281)</f>
        <v/>
      </c>
      <c r="AN281" s="27">
        <f>IF(I281="","",IFERROR(DATE(VALUE(RIGHT(I281,4)),VALUE(MID(I281,4,2)),VALUE(LEFT(I281,2))),""))</f>
        <v/>
      </c>
      <c r="AO281" s="27">
        <f>IF(Y281="","",IFERROR(DATE(VALUE(RIGHT(Y281,4)),VALUE(MID(Y281,4,2)),VALUE(LEFT(Y281,2))),""))</f>
        <v/>
      </c>
      <c r="AP281" s="27">
        <f>IF(AC281="","",IFERROR(DATE(VALUE(RIGHT(AC281,4)),VALUE(MID(AC281,4,2)),VALUE(LEFT(AC281,2))),""))</f>
        <v/>
      </c>
      <c r="AQ281" s="26">
        <f>IF(AI281="","",TRIM(LEFT(AI281,FIND(" ",AI281&amp;" ")-1)))</f>
        <v/>
      </c>
      <c r="AR281" s="27">
        <f>IF(AQ281="","",IFERROR(DATE(VALUE(MID(AQ281,FIND("/",AQ281,FIND("/",AQ281)+1)+1,4)),VALUE(LEFT(AQ281,FIND("/",AQ281)-1)),VALUE(MID(AQ281,FIND("/",AQ281)+1,FIND("/",AQ281,FIND("/",AQ281)+1)-FIND("/",AQ281)-1))),""))</f>
        <v/>
      </c>
      <c r="AS281" s="26">
        <f>IF(G281="","",IF(AND(AG281&lt;&gt;"",AG281&lt;&gt;"Bayi Aracı"),"Evet","Hayır"))</f>
        <v/>
      </c>
      <c r="AT281" s="26">
        <f>IF(G281="","",IF(AND(AS281="Evet",T281="Siparişiniz Teslim Edildi"),"Evet","Hayır"))</f>
        <v/>
      </c>
      <c r="AU281" s="26">
        <f>IF(G281="","",IF(AB281="Siparişinizin Montajı Yapıldı","Evet","Hayır"))</f>
        <v/>
      </c>
      <c r="AV281" s="27">
        <f>IF(G281="","",IF(AT281="Evet",AR281,IF(AU281="Evet",AP281,"")))</f>
        <v/>
      </c>
    </row>
    <row r="282">
      <c r="A282" s="23" t="n"/>
      <c r="B282" s="23" t="n"/>
      <c r="C282" s="23" t="n"/>
      <c r="D282" s="23" t="n"/>
      <c r="E282" s="23" t="n"/>
      <c r="F282" s="23" t="n"/>
      <c r="G282" s="23" t="n"/>
      <c r="H282" s="23" t="n"/>
      <c r="I282" s="23" t="n"/>
      <c r="J282" s="23" t="n"/>
      <c r="K282" s="23" t="n"/>
      <c r="L282" s="23" t="n"/>
      <c r="M282" s="23" t="n"/>
      <c r="N282" s="23" t="n"/>
      <c r="O282" s="23" t="n"/>
      <c r="P282" s="23" t="n"/>
      <c r="Q282" s="23" t="n"/>
      <c r="R282" s="23" t="n"/>
      <c r="S282" s="23" t="n"/>
      <c r="T282" s="23" t="n"/>
      <c r="U282" s="23" t="n"/>
      <c r="V282" s="23" t="n"/>
      <c r="W282" s="23" t="n"/>
      <c r="X282" s="23" t="n"/>
      <c r="Y282" s="23" t="n"/>
      <c r="Z282" s="23" t="n"/>
      <c r="AA282" s="23" t="n"/>
      <c r="AB282" s="23" t="n"/>
      <c r="AC282" s="23" t="n"/>
      <c r="AD282" s="23" t="n"/>
      <c r="AE282" s="23" t="n"/>
      <c r="AF282" s="23" t="n"/>
      <c r="AG282" s="23" t="n"/>
      <c r="AH282" s="23" t="n"/>
      <c r="AI282" s="23" t="n"/>
      <c r="AJ282" s="23" t="n"/>
      <c r="AK282" s="23" t="n"/>
      <c r="AL282" s="23" t="n"/>
      <c r="AM282" s="26">
        <f>IF(G282="","",G282&amp;"|"&amp;P282)</f>
        <v/>
      </c>
      <c r="AN282" s="27">
        <f>IF(I282="","",IFERROR(DATE(VALUE(RIGHT(I282,4)),VALUE(MID(I282,4,2)),VALUE(LEFT(I282,2))),""))</f>
        <v/>
      </c>
      <c r="AO282" s="27">
        <f>IF(Y282="","",IFERROR(DATE(VALUE(RIGHT(Y282,4)),VALUE(MID(Y282,4,2)),VALUE(LEFT(Y282,2))),""))</f>
        <v/>
      </c>
      <c r="AP282" s="27">
        <f>IF(AC282="","",IFERROR(DATE(VALUE(RIGHT(AC282,4)),VALUE(MID(AC282,4,2)),VALUE(LEFT(AC282,2))),""))</f>
        <v/>
      </c>
      <c r="AQ282" s="26">
        <f>IF(AI282="","",TRIM(LEFT(AI282,FIND(" ",AI282&amp;" ")-1)))</f>
        <v/>
      </c>
      <c r="AR282" s="27">
        <f>IF(AQ282="","",IFERROR(DATE(VALUE(MID(AQ282,FIND("/",AQ282,FIND("/",AQ282)+1)+1,4)),VALUE(LEFT(AQ282,FIND("/",AQ282)-1)),VALUE(MID(AQ282,FIND("/",AQ282)+1,FIND("/",AQ282,FIND("/",AQ282)+1)-FIND("/",AQ282)-1))),""))</f>
        <v/>
      </c>
      <c r="AS282" s="26">
        <f>IF(G282="","",IF(AND(AG282&lt;&gt;"",AG282&lt;&gt;"Bayi Aracı"),"Evet","Hayır"))</f>
        <v/>
      </c>
      <c r="AT282" s="26">
        <f>IF(G282="","",IF(AND(AS282="Evet",T282="Siparişiniz Teslim Edildi"),"Evet","Hayır"))</f>
        <v/>
      </c>
      <c r="AU282" s="26">
        <f>IF(G282="","",IF(AB282="Siparişinizin Montajı Yapıldı","Evet","Hayır"))</f>
        <v/>
      </c>
      <c r="AV282" s="27">
        <f>IF(G282="","",IF(AT282="Evet",AR282,IF(AU282="Evet",AP282,"")))</f>
        <v/>
      </c>
    </row>
    <row r="283">
      <c r="A283" s="23" t="n"/>
      <c r="B283" s="23" t="n"/>
      <c r="C283" s="23" t="n"/>
      <c r="D283" s="23" t="n"/>
      <c r="E283" s="23" t="n"/>
      <c r="F283" s="23" t="n"/>
      <c r="G283" s="23" t="n"/>
      <c r="H283" s="23" t="n"/>
      <c r="I283" s="23" t="n"/>
      <c r="J283" s="23" t="n"/>
      <c r="K283" s="23" t="n"/>
      <c r="L283" s="23" t="n"/>
      <c r="M283" s="23" t="n"/>
      <c r="N283" s="23" t="n"/>
      <c r="O283" s="23" t="n"/>
      <c r="P283" s="23" t="n"/>
      <c r="Q283" s="23" t="n"/>
      <c r="R283" s="23" t="n"/>
      <c r="S283" s="23" t="n"/>
      <c r="T283" s="23" t="n"/>
      <c r="U283" s="23" t="n"/>
      <c r="V283" s="23" t="n"/>
      <c r="W283" s="23" t="n"/>
      <c r="X283" s="23" t="n"/>
      <c r="Y283" s="23" t="n"/>
      <c r="Z283" s="23" t="n"/>
      <c r="AA283" s="23" t="n"/>
      <c r="AB283" s="23" t="n"/>
      <c r="AC283" s="23" t="n"/>
      <c r="AD283" s="23" t="n"/>
      <c r="AE283" s="23" t="n"/>
      <c r="AF283" s="23" t="n"/>
      <c r="AG283" s="23" t="n"/>
      <c r="AH283" s="23" t="n"/>
      <c r="AI283" s="23" t="n"/>
      <c r="AJ283" s="23" t="n"/>
      <c r="AK283" s="23" t="n"/>
      <c r="AL283" s="23" t="n"/>
      <c r="AM283" s="26">
        <f>IF(G283="","",G283&amp;"|"&amp;P283)</f>
        <v/>
      </c>
      <c r="AN283" s="27">
        <f>IF(I283="","",IFERROR(DATE(VALUE(RIGHT(I283,4)),VALUE(MID(I283,4,2)),VALUE(LEFT(I283,2))),""))</f>
        <v/>
      </c>
      <c r="AO283" s="27">
        <f>IF(Y283="","",IFERROR(DATE(VALUE(RIGHT(Y283,4)),VALUE(MID(Y283,4,2)),VALUE(LEFT(Y283,2))),""))</f>
        <v/>
      </c>
      <c r="AP283" s="27">
        <f>IF(AC283="","",IFERROR(DATE(VALUE(RIGHT(AC283,4)),VALUE(MID(AC283,4,2)),VALUE(LEFT(AC283,2))),""))</f>
        <v/>
      </c>
      <c r="AQ283" s="26">
        <f>IF(AI283="","",TRIM(LEFT(AI283,FIND(" ",AI283&amp;" ")-1)))</f>
        <v/>
      </c>
      <c r="AR283" s="27">
        <f>IF(AQ283="","",IFERROR(DATE(VALUE(MID(AQ283,FIND("/",AQ283,FIND("/",AQ283)+1)+1,4)),VALUE(LEFT(AQ283,FIND("/",AQ283)-1)),VALUE(MID(AQ283,FIND("/",AQ283)+1,FIND("/",AQ283,FIND("/",AQ283)+1)-FIND("/",AQ283)-1))),""))</f>
        <v/>
      </c>
      <c r="AS283" s="26">
        <f>IF(G283="","",IF(AND(AG283&lt;&gt;"",AG283&lt;&gt;"Bayi Aracı"),"Evet","Hayır"))</f>
        <v/>
      </c>
      <c r="AT283" s="26">
        <f>IF(G283="","",IF(AND(AS283="Evet",T283="Siparişiniz Teslim Edildi"),"Evet","Hayır"))</f>
        <v/>
      </c>
      <c r="AU283" s="26">
        <f>IF(G283="","",IF(AB283="Siparişinizin Montajı Yapıldı","Evet","Hayır"))</f>
        <v/>
      </c>
      <c r="AV283" s="27">
        <f>IF(G283="","",IF(AT283="Evet",AR283,IF(AU283="Evet",AP283,"")))</f>
        <v/>
      </c>
    </row>
    <row r="284">
      <c r="A284" s="23" t="n"/>
      <c r="B284" s="23" t="n"/>
      <c r="C284" s="23" t="n"/>
      <c r="D284" s="23" t="n"/>
      <c r="E284" s="23" t="n"/>
      <c r="F284" s="23" t="n"/>
      <c r="G284" s="23" t="n"/>
      <c r="H284" s="23" t="n"/>
      <c r="I284" s="23" t="n"/>
      <c r="J284" s="23" t="n"/>
      <c r="K284" s="23" t="n"/>
      <c r="L284" s="23" t="n"/>
      <c r="M284" s="23" t="n"/>
      <c r="N284" s="23" t="n"/>
      <c r="O284" s="23" t="n"/>
      <c r="P284" s="23" t="n"/>
      <c r="Q284" s="23" t="n"/>
      <c r="R284" s="23" t="n"/>
      <c r="S284" s="23" t="n"/>
      <c r="T284" s="23" t="n"/>
      <c r="U284" s="23" t="n"/>
      <c r="V284" s="23" t="n"/>
      <c r="W284" s="23" t="n"/>
      <c r="X284" s="23" t="n"/>
      <c r="Y284" s="23" t="n"/>
      <c r="Z284" s="23" t="n"/>
      <c r="AA284" s="23" t="n"/>
      <c r="AB284" s="23" t="n"/>
      <c r="AC284" s="23" t="n"/>
      <c r="AD284" s="23" t="n"/>
      <c r="AE284" s="23" t="n"/>
      <c r="AF284" s="23" t="n"/>
      <c r="AG284" s="23" t="n"/>
      <c r="AH284" s="23" t="n"/>
      <c r="AI284" s="23" t="n"/>
      <c r="AJ284" s="23" t="n"/>
      <c r="AK284" s="23" t="n"/>
      <c r="AL284" s="23" t="n"/>
      <c r="AM284" s="26">
        <f>IF(G284="","",G284&amp;"|"&amp;P284)</f>
        <v/>
      </c>
      <c r="AN284" s="27">
        <f>IF(I284="","",IFERROR(DATE(VALUE(RIGHT(I284,4)),VALUE(MID(I284,4,2)),VALUE(LEFT(I284,2))),""))</f>
        <v/>
      </c>
      <c r="AO284" s="27">
        <f>IF(Y284="","",IFERROR(DATE(VALUE(RIGHT(Y284,4)),VALUE(MID(Y284,4,2)),VALUE(LEFT(Y284,2))),""))</f>
        <v/>
      </c>
      <c r="AP284" s="27">
        <f>IF(AC284="","",IFERROR(DATE(VALUE(RIGHT(AC284,4)),VALUE(MID(AC284,4,2)),VALUE(LEFT(AC284,2))),""))</f>
        <v/>
      </c>
      <c r="AQ284" s="26">
        <f>IF(AI284="","",TRIM(LEFT(AI284,FIND(" ",AI284&amp;" ")-1)))</f>
        <v/>
      </c>
      <c r="AR284" s="27">
        <f>IF(AQ284="","",IFERROR(DATE(VALUE(MID(AQ284,FIND("/",AQ284,FIND("/",AQ284)+1)+1,4)),VALUE(LEFT(AQ284,FIND("/",AQ284)-1)),VALUE(MID(AQ284,FIND("/",AQ284)+1,FIND("/",AQ284,FIND("/",AQ284)+1)-FIND("/",AQ284)-1))),""))</f>
        <v/>
      </c>
      <c r="AS284" s="26">
        <f>IF(G284="","",IF(AND(AG284&lt;&gt;"",AG284&lt;&gt;"Bayi Aracı"),"Evet","Hayır"))</f>
        <v/>
      </c>
      <c r="AT284" s="26">
        <f>IF(G284="","",IF(AND(AS284="Evet",T284="Siparişiniz Teslim Edildi"),"Evet","Hayır"))</f>
        <v/>
      </c>
      <c r="AU284" s="26">
        <f>IF(G284="","",IF(AB284="Siparişinizin Montajı Yapıldı","Evet","Hayır"))</f>
        <v/>
      </c>
      <c r="AV284" s="27">
        <f>IF(G284="","",IF(AT284="Evet",AR284,IF(AU284="Evet",AP284,"")))</f>
        <v/>
      </c>
    </row>
    <row r="285">
      <c r="A285" s="23" t="n"/>
      <c r="B285" s="23" t="n"/>
      <c r="C285" s="23" t="n"/>
      <c r="D285" s="23" t="n"/>
      <c r="E285" s="23" t="n"/>
      <c r="F285" s="23" t="n"/>
      <c r="G285" s="23" t="n"/>
      <c r="H285" s="23" t="n"/>
      <c r="I285" s="23" t="n"/>
      <c r="J285" s="23" t="n"/>
      <c r="K285" s="23" t="n"/>
      <c r="L285" s="23" t="n"/>
      <c r="M285" s="23" t="n"/>
      <c r="N285" s="23" t="n"/>
      <c r="O285" s="23" t="n"/>
      <c r="P285" s="23" t="n"/>
      <c r="Q285" s="23" t="n"/>
      <c r="R285" s="23" t="n"/>
      <c r="S285" s="23" t="n"/>
      <c r="T285" s="23" t="n"/>
      <c r="U285" s="23" t="n"/>
      <c r="V285" s="23" t="n"/>
      <c r="W285" s="23" t="n"/>
      <c r="X285" s="23" t="n"/>
      <c r="Y285" s="23" t="n"/>
      <c r="Z285" s="23" t="n"/>
      <c r="AA285" s="23" t="n"/>
      <c r="AB285" s="23" t="n"/>
      <c r="AC285" s="23" t="n"/>
      <c r="AD285" s="23" t="n"/>
      <c r="AE285" s="23" t="n"/>
      <c r="AF285" s="23" t="n"/>
      <c r="AG285" s="23" t="n"/>
      <c r="AH285" s="23" t="n"/>
      <c r="AI285" s="23" t="n"/>
      <c r="AJ285" s="23" t="n"/>
      <c r="AK285" s="23" t="n"/>
      <c r="AL285" s="23" t="n"/>
      <c r="AM285" s="26">
        <f>IF(G285="","",G285&amp;"|"&amp;P285)</f>
        <v/>
      </c>
      <c r="AN285" s="27">
        <f>IF(I285="","",IFERROR(DATE(VALUE(RIGHT(I285,4)),VALUE(MID(I285,4,2)),VALUE(LEFT(I285,2))),""))</f>
        <v/>
      </c>
      <c r="AO285" s="27">
        <f>IF(Y285="","",IFERROR(DATE(VALUE(RIGHT(Y285,4)),VALUE(MID(Y285,4,2)),VALUE(LEFT(Y285,2))),""))</f>
        <v/>
      </c>
      <c r="AP285" s="27">
        <f>IF(AC285="","",IFERROR(DATE(VALUE(RIGHT(AC285,4)),VALUE(MID(AC285,4,2)),VALUE(LEFT(AC285,2))),""))</f>
        <v/>
      </c>
      <c r="AQ285" s="26">
        <f>IF(AI285="","",TRIM(LEFT(AI285,FIND(" ",AI285&amp;" ")-1)))</f>
        <v/>
      </c>
      <c r="AR285" s="27">
        <f>IF(AQ285="","",IFERROR(DATE(VALUE(MID(AQ285,FIND("/",AQ285,FIND("/",AQ285)+1)+1,4)),VALUE(LEFT(AQ285,FIND("/",AQ285)-1)),VALUE(MID(AQ285,FIND("/",AQ285)+1,FIND("/",AQ285,FIND("/",AQ285)+1)-FIND("/",AQ285)-1))),""))</f>
        <v/>
      </c>
      <c r="AS285" s="26">
        <f>IF(G285="","",IF(AND(AG285&lt;&gt;"",AG285&lt;&gt;"Bayi Aracı"),"Evet","Hayır"))</f>
        <v/>
      </c>
      <c r="AT285" s="26">
        <f>IF(G285="","",IF(AND(AS285="Evet",T285="Siparişiniz Teslim Edildi"),"Evet","Hayır"))</f>
        <v/>
      </c>
      <c r="AU285" s="26">
        <f>IF(G285="","",IF(AB285="Siparişinizin Montajı Yapıldı","Evet","Hayır"))</f>
        <v/>
      </c>
      <c r="AV285" s="27">
        <f>IF(G285="","",IF(AT285="Evet",AR285,IF(AU285="Evet",AP285,"")))</f>
        <v/>
      </c>
    </row>
    <row r="286">
      <c r="A286" s="23" t="n"/>
      <c r="B286" s="23" t="n"/>
      <c r="C286" s="23" t="n"/>
      <c r="D286" s="23" t="n"/>
      <c r="E286" s="23" t="n"/>
      <c r="F286" s="23" t="n"/>
      <c r="G286" s="23" t="n"/>
      <c r="H286" s="23" t="n"/>
      <c r="I286" s="23" t="n"/>
      <c r="J286" s="23" t="n"/>
      <c r="K286" s="23" t="n"/>
      <c r="L286" s="23" t="n"/>
      <c r="M286" s="23" t="n"/>
      <c r="N286" s="23" t="n"/>
      <c r="O286" s="23" t="n"/>
      <c r="P286" s="23" t="n"/>
      <c r="Q286" s="23" t="n"/>
      <c r="R286" s="23" t="n"/>
      <c r="S286" s="23" t="n"/>
      <c r="T286" s="23" t="n"/>
      <c r="U286" s="23" t="n"/>
      <c r="V286" s="23" t="n"/>
      <c r="W286" s="23" t="n"/>
      <c r="X286" s="23" t="n"/>
      <c r="Y286" s="23" t="n"/>
      <c r="Z286" s="23" t="n"/>
      <c r="AA286" s="23" t="n"/>
      <c r="AB286" s="23" t="n"/>
      <c r="AC286" s="23" t="n"/>
      <c r="AD286" s="23" t="n"/>
      <c r="AE286" s="23" t="n"/>
      <c r="AF286" s="23" t="n"/>
      <c r="AG286" s="23" t="n"/>
      <c r="AH286" s="23" t="n"/>
      <c r="AI286" s="23" t="n"/>
      <c r="AJ286" s="23" t="n"/>
      <c r="AK286" s="23" t="n"/>
      <c r="AL286" s="23" t="n"/>
      <c r="AM286" s="26">
        <f>IF(G286="","",G286&amp;"|"&amp;P286)</f>
        <v/>
      </c>
      <c r="AN286" s="27">
        <f>IF(I286="","",IFERROR(DATE(VALUE(RIGHT(I286,4)),VALUE(MID(I286,4,2)),VALUE(LEFT(I286,2))),""))</f>
        <v/>
      </c>
      <c r="AO286" s="27">
        <f>IF(Y286="","",IFERROR(DATE(VALUE(RIGHT(Y286,4)),VALUE(MID(Y286,4,2)),VALUE(LEFT(Y286,2))),""))</f>
        <v/>
      </c>
      <c r="AP286" s="27">
        <f>IF(AC286="","",IFERROR(DATE(VALUE(RIGHT(AC286,4)),VALUE(MID(AC286,4,2)),VALUE(LEFT(AC286,2))),""))</f>
        <v/>
      </c>
      <c r="AQ286" s="26">
        <f>IF(AI286="","",TRIM(LEFT(AI286,FIND(" ",AI286&amp;" ")-1)))</f>
        <v/>
      </c>
      <c r="AR286" s="27">
        <f>IF(AQ286="","",IFERROR(DATE(VALUE(MID(AQ286,FIND("/",AQ286,FIND("/",AQ286)+1)+1,4)),VALUE(LEFT(AQ286,FIND("/",AQ286)-1)),VALUE(MID(AQ286,FIND("/",AQ286)+1,FIND("/",AQ286,FIND("/",AQ286)+1)-FIND("/",AQ286)-1))),""))</f>
        <v/>
      </c>
      <c r="AS286" s="26">
        <f>IF(G286="","",IF(AND(AG286&lt;&gt;"",AG286&lt;&gt;"Bayi Aracı"),"Evet","Hayır"))</f>
        <v/>
      </c>
      <c r="AT286" s="26">
        <f>IF(G286="","",IF(AND(AS286="Evet",T286="Siparişiniz Teslim Edildi"),"Evet","Hayır"))</f>
        <v/>
      </c>
      <c r="AU286" s="26">
        <f>IF(G286="","",IF(AB286="Siparişinizin Montajı Yapıldı","Evet","Hayır"))</f>
        <v/>
      </c>
      <c r="AV286" s="27">
        <f>IF(G286="","",IF(AT286="Evet",AR286,IF(AU286="Evet",AP286,"")))</f>
        <v/>
      </c>
    </row>
    <row r="287">
      <c r="A287" s="23" t="n"/>
      <c r="B287" s="23" t="n"/>
      <c r="C287" s="23" t="n"/>
      <c r="D287" s="23" t="n"/>
      <c r="E287" s="23" t="n"/>
      <c r="F287" s="23" t="n"/>
      <c r="G287" s="23" t="n"/>
      <c r="H287" s="23" t="n"/>
      <c r="I287" s="23" t="n"/>
      <c r="J287" s="23" t="n"/>
      <c r="K287" s="23" t="n"/>
      <c r="L287" s="23" t="n"/>
      <c r="M287" s="23" t="n"/>
      <c r="N287" s="23" t="n"/>
      <c r="O287" s="23" t="n"/>
      <c r="P287" s="23" t="n"/>
      <c r="Q287" s="23" t="n"/>
      <c r="R287" s="23" t="n"/>
      <c r="S287" s="23" t="n"/>
      <c r="T287" s="23" t="n"/>
      <c r="U287" s="23" t="n"/>
      <c r="V287" s="23" t="n"/>
      <c r="W287" s="23" t="n"/>
      <c r="X287" s="23" t="n"/>
      <c r="Y287" s="23" t="n"/>
      <c r="Z287" s="23" t="n"/>
      <c r="AA287" s="23" t="n"/>
      <c r="AB287" s="23" t="n"/>
      <c r="AC287" s="23" t="n"/>
      <c r="AD287" s="23" t="n"/>
      <c r="AE287" s="23" t="n"/>
      <c r="AF287" s="23" t="n"/>
      <c r="AG287" s="23" t="n"/>
      <c r="AH287" s="23" t="n"/>
      <c r="AI287" s="23" t="n"/>
      <c r="AJ287" s="23" t="n"/>
      <c r="AK287" s="23" t="n"/>
      <c r="AL287" s="23" t="n"/>
      <c r="AM287" s="26">
        <f>IF(G287="","",G287&amp;"|"&amp;P287)</f>
        <v/>
      </c>
      <c r="AN287" s="27">
        <f>IF(I287="","",IFERROR(DATE(VALUE(RIGHT(I287,4)),VALUE(MID(I287,4,2)),VALUE(LEFT(I287,2))),""))</f>
        <v/>
      </c>
      <c r="AO287" s="27">
        <f>IF(Y287="","",IFERROR(DATE(VALUE(RIGHT(Y287,4)),VALUE(MID(Y287,4,2)),VALUE(LEFT(Y287,2))),""))</f>
        <v/>
      </c>
      <c r="AP287" s="27">
        <f>IF(AC287="","",IFERROR(DATE(VALUE(RIGHT(AC287,4)),VALUE(MID(AC287,4,2)),VALUE(LEFT(AC287,2))),""))</f>
        <v/>
      </c>
      <c r="AQ287" s="26">
        <f>IF(AI287="","",TRIM(LEFT(AI287,FIND(" ",AI287&amp;" ")-1)))</f>
        <v/>
      </c>
      <c r="AR287" s="27">
        <f>IF(AQ287="","",IFERROR(DATE(VALUE(MID(AQ287,FIND("/",AQ287,FIND("/",AQ287)+1)+1,4)),VALUE(LEFT(AQ287,FIND("/",AQ287)-1)),VALUE(MID(AQ287,FIND("/",AQ287)+1,FIND("/",AQ287,FIND("/",AQ287)+1)-FIND("/",AQ287)-1))),""))</f>
        <v/>
      </c>
      <c r="AS287" s="26">
        <f>IF(G287="","",IF(AND(AG287&lt;&gt;"",AG287&lt;&gt;"Bayi Aracı"),"Evet","Hayır"))</f>
        <v/>
      </c>
      <c r="AT287" s="26">
        <f>IF(G287="","",IF(AND(AS287="Evet",T287="Siparişiniz Teslim Edildi"),"Evet","Hayır"))</f>
        <v/>
      </c>
      <c r="AU287" s="26">
        <f>IF(G287="","",IF(AB287="Siparişinizin Montajı Yapıldı","Evet","Hayır"))</f>
        <v/>
      </c>
      <c r="AV287" s="27">
        <f>IF(G287="","",IF(AT287="Evet",AR287,IF(AU287="Evet",AP287,"")))</f>
        <v/>
      </c>
    </row>
    <row r="288">
      <c r="A288" s="23" t="n"/>
      <c r="B288" s="23" t="n"/>
      <c r="C288" s="23" t="n"/>
      <c r="D288" s="23" t="n"/>
      <c r="E288" s="23" t="n"/>
      <c r="F288" s="23" t="n"/>
      <c r="G288" s="23" t="n"/>
      <c r="H288" s="23" t="n"/>
      <c r="I288" s="23" t="n"/>
      <c r="J288" s="23" t="n"/>
      <c r="K288" s="23" t="n"/>
      <c r="L288" s="23" t="n"/>
      <c r="M288" s="23" t="n"/>
      <c r="N288" s="23" t="n"/>
      <c r="O288" s="23" t="n"/>
      <c r="P288" s="23" t="n"/>
      <c r="Q288" s="23" t="n"/>
      <c r="R288" s="23" t="n"/>
      <c r="S288" s="23" t="n"/>
      <c r="T288" s="23" t="n"/>
      <c r="U288" s="23" t="n"/>
      <c r="V288" s="23" t="n"/>
      <c r="W288" s="23" t="n"/>
      <c r="X288" s="23" t="n"/>
      <c r="Y288" s="23" t="n"/>
      <c r="Z288" s="23" t="n"/>
      <c r="AA288" s="23" t="n"/>
      <c r="AB288" s="23" t="n"/>
      <c r="AC288" s="23" t="n"/>
      <c r="AD288" s="23" t="n"/>
      <c r="AE288" s="23" t="n"/>
      <c r="AF288" s="23" t="n"/>
      <c r="AG288" s="23" t="n"/>
      <c r="AH288" s="23" t="n"/>
      <c r="AI288" s="23" t="n"/>
      <c r="AJ288" s="23" t="n"/>
      <c r="AK288" s="23" t="n"/>
      <c r="AL288" s="23" t="n"/>
      <c r="AM288" s="26">
        <f>IF(G288="","",G288&amp;"|"&amp;P288)</f>
        <v/>
      </c>
      <c r="AN288" s="27">
        <f>IF(I288="","",IFERROR(DATE(VALUE(RIGHT(I288,4)),VALUE(MID(I288,4,2)),VALUE(LEFT(I288,2))),""))</f>
        <v/>
      </c>
      <c r="AO288" s="27">
        <f>IF(Y288="","",IFERROR(DATE(VALUE(RIGHT(Y288,4)),VALUE(MID(Y288,4,2)),VALUE(LEFT(Y288,2))),""))</f>
        <v/>
      </c>
      <c r="AP288" s="27">
        <f>IF(AC288="","",IFERROR(DATE(VALUE(RIGHT(AC288,4)),VALUE(MID(AC288,4,2)),VALUE(LEFT(AC288,2))),""))</f>
        <v/>
      </c>
      <c r="AQ288" s="26">
        <f>IF(AI288="","",TRIM(LEFT(AI288,FIND(" ",AI288&amp;" ")-1)))</f>
        <v/>
      </c>
      <c r="AR288" s="27">
        <f>IF(AQ288="","",IFERROR(DATE(VALUE(MID(AQ288,FIND("/",AQ288,FIND("/",AQ288)+1)+1,4)),VALUE(LEFT(AQ288,FIND("/",AQ288)-1)),VALUE(MID(AQ288,FIND("/",AQ288)+1,FIND("/",AQ288,FIND("/",AQ288)+1)-FIND("/",AQ288)-1))),""))</f>
        <v/>
      </c>
      <c r="AS288" s="26">
        <f>IF(G288="","",IF(AND(AG288&lt;&gt;"",AG288&lt;&gt;"Bayi Aracı"),"Evet","Hayır"))</f>
        <v/>
      </c>
      <c r="AT288" s="26">
        <f>IF(G288="","",IF(AND(AS288="Evet",T288="Siparişiniz Teslim Edildi"),"Evet","Hayır"))</f>
        <v/>
      </c>
      <c r="AU288" s="26">
        <f>IF(G288="","",IF(AB288="Siparişinizin Montajı Yapıldı","Evet","Hayır"))</f>
        <v/>
      </c>
      <c r="AV288" s="27">
        <f>IF(G288="","",IF(AT288="Evet",AR288,IF(AU288="Evet",AP288,"")))</f>
        <v/>
      </c>
    </row>
    <row r="289">
      <c r="A289" s="23" t="n"/>
      <c r="B289" s="23" t="n"/>
      <c r="C289" s="23" t="n"/>
      <c r="D289" s="23" t="n"/>
      <c r="E289" s="23" t="n"/>
      <c r="F289" s="23" t="n"/>
      <c r="G289" s="23" t="n"/>
      <c r="H289" s="23" t="n"/>
      <c r="I289" s="23" t="n"/>
      <c r="J289" s="23" t="n"/>
      <c r="K289" s="23" t="n"/>
      <c r="L289" s="23" t="n"/>
      <c r="M289" s="23" t="n"/>
      <c r="N289" s="23" t="n"/>
      <c r="O289" s="23" t="n"/>
      <c r="P289" s="23" t="n"/>
      <c r="Q289" s="23" t="n"/>
      <c r="R289" s="23" t="n"/>
      <c r="S289" s="23" t="n"/>
      <c r="T289" s="23" t="n"/>
      <c r="U289" s="23" t="n"/>
      <c r="V289" s="23" t="n"/>
      <c r="W289" s="23" t="n"/>
      <c r="X289" s="23" t="n"/>
      <c r="Y289" s="23" t="n"/>
      <c r="Z289" s="23" t="n"/>
      <c r="AA289" s="23" t="n"/>
      <c r="AB289" s="23" t="n"/>
      <c r="AC289" s="23" t="n"/>
      <c r="AD289" s="23" t="n"/>
      <c r="AE289" s="23" t="n"/>
      <c r="AF289" s="23" t="n"/>
      <c r="AG289" s="23" t="n"/>
      <c r="AH289" s="23" t="n"/>
      <c r="AI289" s="23" t="n"/>
      <c r="AJ289" s="23" t="n"/>
      <c r="AK289" s="23" t="n"/>
      <c r="AL289" s="23" t="n"/>
      <c r="AM289" s="26">
        <f>IF(G289="","",G289&amp;"|"&amp;P289)</f>
        <v/>
      </c>
      <c r="AN289" s="27">
        <f>IF(I289="","",IFERROR(DATE(VALUE(RIGHT(I289,4)),VALUE(MID(I289,4,2)),VALUE(LEFT(I289,2))),""))</f>
        <v/>
      </c>
      <c r="AO289" s="27">
        <f>IF(Y289="","",IFERROR(DATE(VALUE(RIGHT(Y289,4)),VALUE(MID(Y289,4,2)),VALUE(LEFT(Y289,2))),""))</f>
        <v/>
      </c>
      <c r="AP289" s="27">
        <f>IF(AC289="","",IFERROR(DATE(VALUE(RIGHT(AC289,4)),VALUE(MID(AC289,4,2)),VALUE(LEFT(AC289,2))),""))</f>
        <v/>
      </c>
      <c r="AQ289" s="26">
        <f>IF(AI289="","",TRIM(LEFT(AI289,FIND(" ",AI289&amp;" ")-1)))</f>
        <v/>
      </c>
      <c r="AR289" s="27">
        <f>IF(AQ289="","",IFERROR(DATE(VALUE(MID(AQ289,FIND("/",AQ289,FIND("/",AQ289)+1)+1,4)),VALUE(LEFT(AQ289,FIND("/",AQ289)-1)),VALUE(MID(AQ289,FIND("/",AQ289)+1,FIND("/",AQ289,FIND("/",AQ289)+1)-FIND("/",AQ289)-1))),""))</f>
        <v/>
      </c>
      <c r="AS289" s="26">
        <f>IF(G289="","",IF(AND(AG289&lt;&gt;"",AG289&lt;&gt;"Bayi Aracı"),"Evet","Hayır"))</f>
        <v/>
      </c>
      <c r="AT289" s="26">
        <f>IF(G289="","",IF(AND(AS289="Evet",T289="Siparişiniz Teslim Edildi"),"Evet","Hayır"))</f>
        <v/>
      </c>
      <c r="AU289" s="26">
        <f>IF(G289="","",IF(AB289="Siparişinizin Montajı Yapıldı","Evet","Hayır"))</f>
        <v/>
      </c>
      <c r="AV289" s="27">
        <f>IF(G289="","",IF(AT289="Evet",AR289,IF(AU289="Evet",AP289,"")))</f>
        <v/>
      </c>
    </row>
    <row r="290">
      <c r="A290" s="23" t="n"/>
      <c r="B290" s="23" t="n"/>
      <c r="C290" s="23" t="n"/>
      <c r="D290" s="23" t="n"/>
      <c r="E290" s="23" t="n"/>
      <c r="F290" s="23" t="n"/>
      <c r="G290" s="23" t="n"/>
      <c r="H290" s="23" t="n"/>
      <c r="I290" s="23" t="n"/>
      <c r="J290" s="23" t="n"/>
      <c r="K290" s="23" t="n"/>
      <c r="L290" s="23" t="n"/>
      <c r="M290" s="23" t="n"/>
      <c r="N290" s="23" t="n"/>
      <c r="O290" s="23" t="n"/>
      <c r="P290" s="23" t="n"/>
      <c r="Q290" s="23" t="n"/>
      <c r="R290" s="23" t="n"/>
      <c r="S290" s="23" t="n"/>
      <c r="T290" s="23" t="n"/>
      <c r="U290" s="23" t="n"/>
      <c r="V290" s="23" t="n"/>
      <c r="W290" s="23" t="n"/>
      <c r="X290" s="23" t="n"/>
      <c r="Y290" s="23" t="n"/>
      <c r="Z290" s="23" t="n"/>
      <c r="AA290" s="23" t="n"/>
      <c r="AB290" s="23" t="n"/>
      <c r="AC290" s="23" t="n"/>
      <c r="AD290" s="23" t="n"/>
      <c r="AE290" s="23" t="n"/>
      <c r="AF290" s="23" t="n"/>
      <c r="AG290" s="23" t="n"/>
      <c r="AH290" s="23" t="n"/>
      <c r="AI290" s="23" t="n"/>
      <c r="AJ290" s="23" t="n"/>
      <c r="AK290" s="23" t="n"/>
      <c r="AL290" s="23" t="n"/>
      <c r="AM290" s="26">
        <f>IF(G290="","",G290&amp;"|"&amp;P290)</f>
        <v/>
      </c>
      <c r="AN290" s="27">
        <f>IF(I290="","",IFERROR(DATE(VALUE(RIGHT(I290,4)),VALUE(MID(I290,4,2)),VALUE(LEFT(I290,2))),""))</f>
        <v/>
      </c>
      <c r="AO290" s="27">
        <f>IF(Y290="","",IFERROR(DATE(VALUE(RIGHT(Y290,4)),VALUE(MID(Y290,4,2)),VALUE(LEFT(Y290,2))),""))</f>
        <v/>
      </c>
      <c r="AP290" s="27">
        <f>IF(AC290="","",IFERROR(DATE(VALUE(RIGHT(AC290,4)),VALUE(MID(AC290,4,2)),VALUE(LEFT(AC290,2))),""))</f>
        <v/>
      </c>
      <c r="AQ290" s="26">
        <f>IF(AI290="","",TRIM(LEFT(AI290,FIND(" ",AI290&amp;" ")-1)))</f>
        <v/>
      </c>
      <c r="AR290" s="27">
        <f>IF(AQ290="","",IFERROR(DATE(VALUE(MID(AQ290,FIND("/",AQ290,FIND("/",AQ290)+1)+1,4)),VALUE(LEFT(AQ290,FIND("/",AQ290)-1)),VALUE(MID(AQ290,FIND("/",AQ290)+1,FIND("/",AQ290,FIND("/",AQ290)+1)-FIND("/",AQ290)-1))),""))</f>
        <v/>
      </c>
      <c r="AS290" s="26">
        <f>IF(G290="","",IF(AND(AG290&lt;&gt;"",AG290&lt;&gt;"Bayi Aracı"),"Evet","Hayır"))</f>
        <v/>
      </c>
      <c r="AT290" s="26">
        <f>IF(G290="","",IF(AND(AS290="Evet",T290="Siparişiniz Teslim Edildi"),"Evet","Hayır"))</f>
        <v/>
      </c>
      <c r="AU290" s="26">
        <f>IF(G290="","",IF(AB290="Siparişinizin Montajı Yapıldı","Evet","Hayır"))</f>
        <v/>
      </c>
      <c r="AV290" s="27">
        <f>IF(G290="","",IF(AT290="Evet",AR290,IF(AU290="Evet",AP290,"")))</f>
        <v/>
      </c>
    </row>
    <row r="291">
      <c r="A291" s="23" t="n"/>
      <c r="B291" s="23" t="n"/>
      <c r="C291" s="23" t="n"/>
      <c r="D291" s="23" t="n"/>
      <c r="E291" s="23" t="n"/>
      <c r="F291" s="23" t="n"/>
      <c r="G291" s="23" t="n"/>
      <c r="H291" s="23" t="n"/>
      <c r="I291" s="23" t="n"/>
      <c r="J291" s="23" t="n"/>
      <c r="K291" s="23" t="n"/>
      <c r="L291" s="23" t="n"/>
      <c r="M291" s="23" t="n"/>
      <c r="N291" s="23" t="n"/>
      <c r="O291" s="23" t="n"/>
      <c r="P291" s="23" t="n"/>
      <c r="Q291" s="23" t="n"/>
      <c r="R291" s="23" t="n"/>
      <c r="S291" s="23" t="n"/>
      <c r="T291" s="23" t="n"/>
      <c r="U291" s="23" t="n"/>
      <c r="V291" s="23" t="n"/>
      <c r="W291" s="23" t="n"/>
      <c r="X291" s="23" t="n"/>
      <c r="Y291" s="23" t="n"/>
      <c r="Z291" s="23" t="n"/>
      <c r="AA291" s="23" t="n"/>
      <c r="AB291" s="23" t="n"/>
      <c r="AC291" s="23" t="n"/>
      <c r="AD291" s="23" t="n"/>
      <c r="AE291" s="23" t="n"/>
      <c r="AF291" s="23" t="n"/>
      <c r="AG291" s="23" t="n"/>
      <c r="AH291" s="23" t="n"/>
      <c r="AI291" s="23" t="n"/>
      <c r="AJ291" s="23" t="n"/>
      <c r="AK291" s="23" t="n"/>
      <c r="AL291" s="23" t="n"/>
      <c r="AM291" s="26">
        <f>IF(G291="","",G291&amp;"|"&amp;P291)</f>
        <v/>
      </c>
      <c r="AN291" s="27">
        <f>IF(I291="","",IFERROR(DATE(VALUE(RIGHT(I291,4)),VALUE(MID(I291,4,2)),VALUE(LEFT(I291,2))),""))</f>
        <v/>
      </c>
      <c r="AO291" s="27">
        <f>IF(Y291="","",IFERROR(DATE(VALUE(RIGHT(Y291,4)),VALUE(MID(Y291,4,2)),VALUE(LEFT(Y291,2))),""))</f>
        <v/>
      </c>
      <c r="AP291" s="27">
        <f>IF(AC291="","",IFERROR(DATE(VALUE(RIGHT(AC291,4)),VALUE(MID(AC291,4,2)),VALUE(LEFT(AC291,2))),""))</f>
        <v/>
      </c>
      <c r="AQ291" s="26">
        <f>IF(AI291="","",TRIM(LEFT(AI291,FIND(" ",AI291&amp;" ")-1)))</f>
        <v/>
      </c>
      <c r="AR291" s="27">
        <f>IF(AQ291="","",IFERROR(DATE(VALUE(MID(AQ291,FIND("/",AQ291,FIND("/",AQ291)+1)+1,4)),VALUE(LEFT(AQ291,FIND("/",AQ291)-1)),VALUE(MID(AQ291,FIND("/",AQ291)+1,FIND("/",AQ291,FIND("/",AQ291)+1)-FIND("/",AQ291)-1))),""))</f>
        <v/>
      </c>
      <c r="AS291" s="26">
        <f>IF(G291="","",IF(AND(AG291&lt;&gt;"",AG291&lt;&gt;"Bayi Aracı"),"Evet","Hayır"))</f>
        <v/>
      </c>
      <c r="AT291" s="26">
        <f>IF(G291="","",IF(AND(AS291="Evet",T291="Siparişiniz Teslim Edildi"),"Evet","Hayır"))</f>
        <v/>
      </c>
      <c r="AU291" s="26">
        <f>IF(G291="","",IF(AB291="Siparişinizin Montajı Yapıldı","Evet","Hayır"))</f>
        <v/>
      </c>
      <c r="AV291" s="27">
        <f>IF(G291="","",IF(AT291="Evet",AR291,IF(AU291="Evet",AP291,"")))</f>
        <v/>
      </c>
    </row>
    <row r="292">
      <c r="A292" s="23" t="n"/>
      <c r="B292" s="23" t="n"/>
      <c r="C292" s="23" t="n"/>
      <c r="D292" s="23" t="n"/>
      <c r="E292" s="23" t="n"/>
      <c r="F292" s="23" t="n"/>
      <c r="G292" s="23" t="n"/>
      <c r="H292" s="23" t="n"/>
      <c r="I292" s="23" t="n"/>
      <c r="J292" s="23" t="n"/>
      <c r="K292" s="23" t="n"/>
      <c r="L292" s="23" t="n"/>
      <c r="M292" s="23" t="n"/>
      <c r="N292" s="23" t="n"/>
      <c r="O292" s="23" t="n"/>
      <c r="P292" s="23" t="n"/>
      <c r="Q292" s="23" t="n"/>
      <c r="R292" s="23" t="n"/>
      <c r="S292" s="23" t="n"/>
      <c r="T292" s="23" t="n"/>
      <c r="U292" s="23" t="n"/>
      <c r="V292" s="23" t="n"/>
      <c r="W292" s="23" t="n"/>
      <c r="X292" s="23" t="n"/>
      <c r="Y292" s="23" t="n"/>
      <c r="Z292" s="23" t="n"/>
      <c r="AA292" s="23" t="n"/>
      <c r="AB292" s="23" t="n"/>
      <c r="AC292" s="23" t="n"/>
      <c r="AD292" s="23" t="n"/>
      <c r="AE292" s="23" t="n"/>
      <c r="AF292" s="23" t="n"/>
      <c r="AG292" s="23" t="n"/>
      <c r="AH292" s="23" t="n"/>
      <c r="AI292" s="23" t="n"/>
      <c r="AJ292" s="23" t="n"/>
      <c r="AK292" s="23" t="n"/>
      <c r="AL292" s="23" t="n"/>
      <c r="AM292" s="26">
        <f>IF(G292="","",G292&amp;"|"&amp;P292)</f>
        <v/>
      </c>
      <c r="AN292" s="27">
        <f>IF(I292="","",IFERROR(DATE(VALUE(RIGHT(I292,4)),VALUE(MID(I292,4,2)),VALUE(LEFT(I292,2))),""))</f>
        <v/>
      </c>
      <c r="AO292" s="27">
        <f>IF(Y292="","",IFERROR(DATE(VALUE(RIGHT(Y292,4)),VALUE(MID(Y292,4,2)),VALUE(LEFT(Y292,2))),""))</f>
        <v/>
      </c>
      <c r="AP292" s="27">
        <f>IF(AC292="","",IFERROR(DATE(VALUE(RIGHT(AC292,4)),VALUE(MID(AC292,4,2)),VALUE(LEFT(AC292,2))),""))</f>
        <v/>
      </c>
      <c r="AQ292" s="26">
        <f>IF(AI292="","",TRIM(LEFT(AI292,FIND(" ",AI292&amp;" ")-1)))</f>
        <v/>
      </c>
      <c r="AR292" s="27">
        <f>IF(AQ292="","",IFERROR(DATE(VALUE(MID(AQ292,FIND("/",AQ292,FIND("/",AQ292)+1)+1,4)),VALUE(LEFT(AQ292,FIND("/",AQ292)-1)),VALUE(MID(AQ292,FIND("/",AQ292)+1,FIND("/",AQ292,FIND("/",AQ292)+1)-FIND("/",AQ292)-1))),""))</f>
        <v/>
      </c>
      <c r="AS292" s="26">
        <f>IF(G292="","",IF(AND(AG292&lt;&gt;"",AG292&lt;&gt;"Bayi Aracı"),"Evet","Hayır"))</f>
        <v/>
      </c>
      <c r="AT292" s="26">
        <f>IF(G292="","",IF(AND(AS292="Evet",T292="Siparişiniz Teslim Edildi"),"Evet","Hayır"))</f>
        <v/>
      </c>
      <c r="AU292" s="26">
        <f>IF(G292="","",IF(AB292="Siparişinizin Montajı Yapıldı","Evet","Hayır"))</f>
        <v/>
      </c>
      <c r="AV292" s="27">
        <f>IF(G292="","",IF(AT292="Evet",AR292,IF(AU292="Evet",AP292,"")))</f>
        <v/>
      </c>
    </row>
    <row r="293">
      <c r="A293" s="23" t="n"/>
      <c r="B293" s="23" t="n"/>
      <c r="C293" s="23" t="n"/>
      <c r="D293" s="23" t="n"/>
      <c r="E293" s="23" t="n"/>
      <c r="F293" s="23" t="n"/>
      <c r="G293" s="23" t="n"/>
      <c r="H293" s="23" t="n"/>
      <c r="I293" s="23" t="n"/>
      <c r="J293" s="23" t="n"/>
      <c r="K293" s="23" t="n"/>
      <c r="L293" s="23" t="n"/>
      <c r="M293" s="23" t="n"/>
      <c r="N293" s="23" t="n"/>
      <c r="O293" s="23" t="n"/>
      <c r="P293" s="23" t="n"/>
      <c r="Q293" s="23" t="n"/>
      <c r="R293" s="23" t="n"/>
      <c r="S293" s="23" t="n"/>
      <c r="T293" s="23" t="n"/>
      <c r="U293" s="23" t="n"/>
      <c r="V293" s="23" t="n"/>
      <c r="W293" s="23" t="n"/>
      <c r="X293" s="23" t="n"/>
      <c r="Y293" s="23" t="n"/>
      <c r="Z293" s="23" t="n"/>
      <c r="AA293" s="23" t="n"/>
      <c r="AB293" s="23" t="n"/>
      <c r="AC293" s="23" t="n"/>
      <c r="AD293" s="23" t="n"/>
      <c r="AE293" s="23" t="n"/>
      <c r="AF293" s="23" t="n"/>
      <c r="AG293" s="23" t="n"/>
      <c r="AH293" s="23" t="n"/>
      <c r="AI293" s="23" t="n"/>
      <c r="AJ293" s="23" t="n"/>
      <c r="AK293" s="23" t="n"/>
      <c r="AL293" s="23" t="n"/>
      <c r="AM293" s="26">
        <f>IF(G293="","",G293&amp;"|"&amp;P293)</f>
        <v/>
      </c>
      <c r="AN293" s="27">
        <f>IF(I293="","",IFERROR(DATE(VALUE(RIGHT(I293,4)),VALUE(MID(I293,4,2)),VALUE(LEFT(I293,2))),""))</f>
        <v/>
      </c>
      <c r="AO293" s="27">
        <f>IF(Y293="","",IFERROR(DATE(VALUE(RIGHT(Y293,4)),VALUE(MID(Y293,4,2)),VALUE(LEFT(Y293,2))),""))</f>
        <v/>
      </c>
      <c r="AP293" s="27">
        <f>IF(AC293="","",IFERROR(DATE(VALUE(RIGHT(AC293,4)),VALUE(MID(AC293,4,2)),VALUE(LEFT(AC293,2))),""))</f>
        <v/>
      </c>
      <c r="AQ293" s="26">
        <f>IF(AI293="","",TRIM(LEFT(AI293,FIND(" ",AI293&amp;" ")-1)))</f>
        <v/>
      </c>
      <c r="AR293" s="27">
        <f>IF(AQ293="","",IFERROR(DATE(VALUE(MID(AQ293,FIND("/",AQ293,FIND("/",AQ293)+1)+1,4)),VALUE(LEFT(AQ293,FIND("/",AQ293)-1)),VALUE(MID(AQ293,FIND("/",AQ293)+1,FIND("/",AQ293,FIND("/",AQ293)+1)-FIND("/",AQ293)-1))),""))</f>
        <v/>
      </c>
      <c r="AS293" s="26">
        <f>IF(G293="","",IF(AND(AG293&lt;&gt;"",AG293&lt;&gt;"Bayi Aracı"),"Evet","Hayır"))</f>
        <v/>
      </c>
      <c r="AT293" s="26">
        <f>IF(G293="","",IF(AND(AS293="Evet",T293="Siparişiniz Teslim Edildi"),"Evet","Hayır"))</f>
        <v/>
      </c>
      <c r="AU293" s="26">
        <f>IF(G293="","",IF(AB293="Siparişinizin Montajı Yapıldı","Evet","Hayır"))</f>
        <v/>
      </c>
      <c r="AV293" s="27">
        <f>IF(G293="","",IF(AT293="Evet",AR293,IF(AU293="Evet",AP293,"")))</f>
        <v/>
      </c>
    </row>
    <row r="294">
      <c r="A294" s="23" t="n"/>
      <c r="B294" s="23" t="n"/>
      <c r="C294" s="23" t="n"/>
      <c r="D294" s="23" t="n"/>
      <c r="E294" s="23" t="n"/>
      <c r="F294" s="23" t="n"/>
      <c r="G294" s="23" t="n"/>
      <c r="H294" s="23" t="n"/>
      <c r="I294" s="23" t="n"/>
      <c r="J294" s="23" t="n"/>
      <c r="K294" s="23" t="n"/>
      <c r="L294" s="23" t="n"/>
      <c r="M294" s="23" t="n"/>
      <c r="N294" s="23" t="n"/>
      <c r="O294" s="23" t="n"/>
      <c r="P294" s="23" t="n"/>
      <c r="Q294" s="23" t="n"/>
      <c r="R294" s="23" t="n"/>
      <c r="S294" s="23" t="n"/>
      <c r="T294" s="23" t="n"/>
      <c r="U294" s="23" t="n"/>
      <c r="V294" s="23" t="n"/>
      <c r="W294" s="23" t="n"/>
      <c r="X294" s="23" t="n"/>
      <c r="Y294" s="23" t="n"/>
      <c r="Z294" s="23" t="n"/>
      <c r="AA294" s="23" t="n"/>
      <c r="AB294" s="23" t="n"/>
      <c r="AC294" s="23" t="n"/>
      <c r="AD294" s="23" t="n"/>
      <c r="AE294" s="23" t="n"/>
      <c r="AF294" s="23" t="n"/>
      <c r="AG294" s="23" t="n"/>
      <c r="AH294" s="23" t="n"/>
      <c r="AI294" s="23" t="n"/>
      <c r="AJ294" s="23" t="n"/>
      <c r="AK294" s="23" t="n"/>
      <c r="AL294" s="23" t="n"/>
      <c r="AM294" s="26">
        <f>IF(G294="","",G294&amp;"|"&amp;P294)</f>
        <v/>
      </c>
      <c r="AN294" s="27">
        <f>IF(I294="","",IFERROR(DATE(VALUE(RIGHT(I294,4)),VALUE(MID(I294,4,2)),VALUE(LEFT(I294,2))),""))</f>
        <v/>
      </c>
      <c r="AO294" s="27">
        <f>IF(Y294="","",IFERROR(DATE(VALUE(RIGHT(Y294,4)),VALUE(MID(Y294,4,2)),VALUE(LEFT(Y294,2))),""))</f>
        <v/>
      </c>
      <c r="AP294" s="27">
        <f>IF(AC294="","",IFERROR(DATE(VALUE(RIGHT(AC294,4)),VALUE(MID(AC294,4,2)),VALUE(LEFT(AC294,2))),""))</f>
        <v/>
      </c>
      <c r="AQ294" s="26">
        <f>IF(AI294="","",TRIM(LEFT(AI294,FIND(" ",AI294&amp;" ")-1)))</f>
        <v/>
      </c>
      <c r="AR294" s="27">
        <f>IF(AQ294="","",IFERROR(DATE(VALUE(MID(AQ294,FIND("/",AQ294,FIND("/",AQ294)+1)+1,4)),VALUE(LEFT(AQ294,FIND("/",AQ294)-1)),VALUE(MID(AQ294,FIND("/",AQ294)+1,FIND("/",AQ294,FIND("/",AQ294)+1)-FIND("/",AQ294)-1))),""))</f>
        <v/>
      </c>
      <c r="AS294" s="26">
        <f>IF(G294="","",IF(AND(AG294&lt;&gt;"",AG294&lt;&gt;"Bayi Aracı"),"Evet","Hayır"))</f>
        <v/>
      </c>
      <c r="AT294" s="26">
        <f>IF(G294="","",IF(AND(AS294="Evet",T294="Siparişiniz Teslim Edildi"),"Evet","Hayır"))</f>
        <v/>
      </c>
      <c r="AU294" s="26">
        <f>IF(G294="","",IF(AB294="Siparişinizin Montajı Yapıldı","Evet","Hayır"))</f>
        <v/>
      </c>
      <c r="AV294" s="27">
        <f>IF(G294="","",IF(AT294="Evet",AR294,IF(AU294="Evet",AP294,"")))</f>
        <v/>
      </c>
    </row>
    <row r="295">
      <c r="A295" s="23" t="n"/>
      <c r="B295" s="23" t="n"/>
      <c r="C295" s="23" t="n"/>
      <c r="D295" s="23" t="n"/>
      <c r="E295" s="23" t="n"/>
      <c r="F295" s="23" t="n"/>
      <c r="G295" s="23" t="n"/>
      <c r="H295" s="23" t="n"/>
      <c r="I295" s="23" t="n"/>
      <c r="J295" s="23" t="n"/>
      <c r="K295" s="23" t="n"/>
      <c r="L295" s="23" t="n"/>
      <c r="M295" s="23" t="n"/>
      <c r="N295" s="23" t="n"/>
      <c r="O295" s="23" t="n"/>
      <c r="P295" s="23" t="n"/>
      <c r="Q295" s="23" t="n"/>
      <c r="R295" s="23" t="n"/>
      <c r="S295" s="23" t="n"/>
      <c r="T295" s="23" t="n"/>
      <c r="U295" s="23" t="n"/>
      <c r="V295" s="23" t="n"/>
      <c r="W295" s="23" t="n"/>
      <c r="X295" s="23" t="n"/>
      <c r="Y295" s="23" t="n"/>
      <c r="Z295" s="23" t="n"/>
      <c r="AA295" s="23" t="n"/>
      <c r="AB295" s="23" t="n"/>
      <c r="AC295" s="23" t="n"/>
      <c r="AD295" s="23" t="n"/>
      <c r="AE295" s="23" t="n"/>
      <c r="AF295" s="23" t="n"/>
      <c r="AG295" s="23" t="n"/>
      <c r="AH295" s="23" t="n"/>
      <c r="AI295" s="23" t="n"/>
      <c r="AJ295" s="23" t="n"/>
      <c r="AK295" s="23" t="n"/>
      <c r="AL295" s="23" t="n"/>
      <c r="AM295" s="26">
        <f>IF(G295="","",G295&amp;"|"&amp;P295)</f>
        <v/>
      </c>
      <c r="AN295" s="27">
        <f>IF(I295="","",IFERROR(DATE(VALUE(RIGHT(I295,4)),VALUE(MID(I295,4,2)),VALUE(LEFT(I295,2))),""))</f>
        <v/>
      </c>
      <c r="AO295" s="27">
        <f>IF(Y295="","",IFERROR(DATE(VALUE(RIGHT(Y295,4)),VALUE(MID(Y295,4,2)),VALUE(LEFT(Y295,2))),""))</f>
        <v/>
      </c>
      <c r="AP295" s="27">
        <f>IF(AC295="","",IFERROR(DATE(VALUE(RIGHT(AC295,4)),VALUE(MID(AC295,4,2)),VALUE(LEFT(AC295,2))),""))</f>
        <v/>
      </c>
      <c r="AQ295" s="26">
        <f>IF(AI295="","",TRIM(LEFT(AI295,FIND(" ",AI295&amp;" ")-1)))</f>
        <v/>
      </c>
      <c r="AR295" s="27">
        <f>IF(AQ295="","",IFERROR(DATE(VALUE(MID(AQ295,FIND("/",AQ295,FIND("/",AQ295)+1)+1,4)),VALUE(LEFT(AQ295,FIND("/",AQ295)-1)),VALUE(MID(AQ295,FIND("/",AQ295)+1,FIND("/",AQ295,FIND("/",AQ295)+1)-FIND("/",AQ295)-1))),""))</f>
        <v/>
      </c>
      <c r="AS295" s="26">
        <f>IF(G295="","",IF(AND(AG295&lt;&gt;"",AG295&lt;&gt;"Bayi Aracı"),"Evet","Hayır"))</f>
        <v/>
      </c>
      <c r="AT295" s="26">
        <f>IF(G295="","",IF(AND(AS295="Evet",T295="Siparişiniz Teslim Edildi"),"Evet","Hayır"))</f>
        <v/>
      </c>
      <c r="AU295" s="26">
        <f>IF(G295="","",IF(AB295="Siparişinizin Montajı Yapıldı","Evet","Hayır"))</f>
        <v/>
      </c>
      <c r="AV295" s="27">
        <f>IF(G295="","",IF(AT295="Evet",AR295,IF(AU295="Evet",AP295,"")))</f>
        <v/>
      </c>
    </row>
    <row r="296">
      <c r="A296" s="23" t="n"/>
      <c r="B296" s="23" t="n"/>
      <c r="C296" s="23" t="n"/>
      <c r="D296" s="23" t="n"/>
      <c r="E296" s="23" t="n"/>
      <c r="F296" s="23" t="n"/>
      <c r="G296" s="23" t="n"/>
      <c r="H296" s="23" t="n"/>
      <c r="I296" s="23" t="n"/>
      <c r="J296" s="23" t="n"/>
      <c r="K296" s="23" t="n"/>
      <c r="L296" s="23" t="n"/>
      <c r="M296" s="23" t="n"/>
      <c r="N296" s="23" t="n"/>
      <c r="O296" s="23" t="n"/>
      <c r="P296" s="23" t="n"/>
      <c r="Q296" s="23" t="n"/>
      <c r="R296" s="23" t="n"/>
      <c r="S296" s="23" t="n"/>
      <c r="T296" s="23" t="n"/>
      <c r="U296" s="23" t="n"/>
      <c r="V296" s="23" t="n"/>
      <c r="W296" s="23" t="n"/>
      <c r="X296" s="23" t="n"/>
      <c r="Y296" s="23" t="n"/>
      <c r="Z296" s="23" t="n"/>
      <c r="AA296" s="23" t="n"/>
      <c r="AB296" s="23" t="n"/>
      <c r="AC296" s="23" t="n"/>
      <c r="AD296" s="23" t="n"/>
      <c r="AE296" s="23" t="n"/>
      <c r="AF296" s="23" t="n"/>
      <c r="AG296" s="23" t="n"/>
      <c r="AH296" s="23" t="n"/>
      <c r="AI296" s="23" t="n"/>
      <c r="AJ296" s="23" t="n"/>
      <c r="AK296" s="23" t="n"/>
      <c r="AL296" s="23" t="n"/>
      <c r="AM296" s="26">
        <f>IF(G296="","",G296&amp;"|"&amp;P296)</f>
        <v/>
      </c>
      <c r="AN296" s="27">
        <f>IF(I296="","",IFERROR(DATE(VALUE(RIGHT(I296,4)),VALUE(MID(I296,4,2)),VALUE(LEFT(I296,2))),""))</f>
        <v/>
      </c>
      <c r="AO296" s="27">
        <f>IF(Y296="","",IFERROR(DATE(VALUE(RIGHT(Y296,4)),VALUE(MID(Y296,4,2)),VALUE(LEFT(Y296,2))),""))</f>
        <v/>
      </c>
      <c r="AP296" s="27">
        <f>IF(AC296="","",IFERROR(DATE(VALUE(RIGHT(AC296,4)),VALUE(MID(AC296,4,2)),VALUE(LEFT(AC296,2))),""))</f>
        <v/>
      </c>
      <c r="AQ296" s="26">
        <f>IF(AI296="","",TRIM(LEFT(AI296,FIND(" ",AI296&amp;" ")-1)))</f>
        <v/>
      </c>
      <c r="AR296" s="27">
        <f>IF(AQ296="","",IFERROR(DATE(VALUE(MID(AQ296,FIND("/",AQ296,FIND("/",AQ296)+1)+1,4)),VALUE(LEFT(AQ296,FIND("/",AQ296)-1)),VALUE(MID(AQ296,FIND("/",AQ296)+1,FIND("/",AQ296,FIND("/",AQ296)+1)-FIND("/",AQ296)-1))),""))</f>
        <v/>
      </c>
      <c r="AS296" s="26">
        <f>IF(G296="","",IF(AND(AG296&lt;&gt;"",AG296&lt;&gt;"Bayi Aracı"),"Evet","Hayır"))</f>
        <v/>
      </c>
      <c r="AT296" s="26">
        <f>IF(G296="","",IF(AND(AS296="Evet",T296="Siparişiniz Teslim Edildi"),"Evet","Hayır"))</f>
        <v/>
      </c>
      <c r="AU296" s="26">
        <f>IF(G296="","",IF(AB296="Siparişinizin Montajı Yapıldı","Evet","Hayır"))</f>
        <v/>
      </c>
      <c r="AV296" s="27">
        <f>IF(G296="","",IF(AT296="Evet",AR296,IF(AU296="Evet",AP296,"")))</f>
        <v/>
      </c>
    </row>
    <row r="297">
      <c r="A297" s="23" t="n"/>
      <c r="B297" s="23" t="n"/>
      <c r="C297" s="23" t="n"/>
      <c r="D297" s="23" t="n"/>
      <c r="E297" s="23" t="n"/>
      <c r="F297" s="23" t="n"/>
      <c r="G297" s="23" t="n"/>
      <c r="H297" s="23" t="n"/>
      <c r="I297" s="23" t="n"/>
      <c r="J297" s="23" t="n"/>
      <c r="K297" s="23" t="n"/>
      <c r="L297" s="23" t="n"/>
      <c r="M297" s="23" t="n"/>
      <c r="N297" s="23" t="n"/>
      <c r="O297" s="23" t="n"/>
      <c r="P297" s="23" t="n"/>
      <c r="Q297" s="23" t="n"/>
      <c r="R297" s="23" t="n"/>
      <c r="S297" s="23" t="n"/>
      <c r="T297" s="23" t="n"/>
      <c r="U297" s="23" t="n"/>
      <c r="V297" s="23" t="n"/>
      <c r="W297" s="23" t="n"/>
      <c r="X297" s="23" t="n"/>
      <c r="Y297" s="23" t="n"/>
      <c r="Z297" s="23" t="n"/>
      <c r="AA297" s="23" t="n"/>
      <c r="AB297" s="23" t="n"/>
      <c r="AC297" s="23" t="n"/>
      <c r="AD297" s="23" t="n"/>
      <c r="AE297" s="23" t="n"/>
      <c r="AF297" s="23" t="n"/>
      <c r="AG297" s="23" t="n"/>
      <c r="AH297" s="23" t="n"/>
      <c r="AI297" s="23" t="n"/>
      <c r="AJ297" s="23" t="n"/>
      <c r="AK297" s="23" t="n"/>
      <c r="AL297" s="23" t="n"/>
      <c r="AM297" s="26">
        <f>IF(G297="","",G297&amp;"|"&amp;P297)</f>
        <v/>
      </c>
      <c r="AN297" s="27">
        <f>IF(I297="","",IFERROR(DATE(VALUE(RIGHT(I297,4)),VALUE(MID(I297,4,2)),VALUE(LEFT(I297,2))),""))</f>
        <v/>
      </c>
      <c r="AO297" s="27">
        <f>IF(Y297="","",IFERROR(DATE(VALUE(RIGHT(Y297,4)),VALUE(MID(Y297,4,2)),VALUE(LEFT(Y297,2))),""))</f>
        <v/>
      </c>
      <c r="AP297" s="27">
        <f>IF(AC297="","",IFERROR(DATE(VALUE(RIGHT(AC297,4)),VALUE(MID(AC297,4,2)),VALUE(LEFT(AC297,2))),""))</f>
        <v/>
      </c>
      <c r="AQ297" s="26">
        <f>IF(AI297="","",TRIM(LEFT(AI297,FIND(" ",AI297&amp;" ")-1)))</f>
        <v/>
      </c>
      <c r="AR297" s="27">
        <f>IF(AQ297="","",IFERROR(DATE(VALUE(MID(AQ297,FIND("/",AQ297,FIND("/",AQ297)+1)+1,4)),VALUE(LEFT(AQ297,FIND("/",AQ297)-1)),VALUE(MID(AQ297,FIND("/",AQ297)+1,FIND("/",AQ297,FIND("/",AQ297)+1)-FIND("/",AQ297)-1))),""))</f>
        <v/>
      </c>
      <c r="AS297" s="26">
        <f>IF(G297="","",IF(AND(AG297&lt;&gt;"",AG297&lt;&gt;"Bayi Aracı"),"Evet","Hayır"))</f>
        <v/>
      </c>
      <c r="AT297" s="26">
        <f>IF(G297="","",IF(AND(AS297="Evet",T297="Siparişiniz Teslim Edildi"),"Evet","Hayır"))</f>
        <v/>
      </c>
      <c r="AU297" s="26">
        <f>IF(G297="","",IF(AB297="Siparişinizin Montajı Yapıldı","Evet","Hayır"))</f>
        <v/>
      </c>
      <c r="AV297" s="27">
        <f>IF(G297="","",IF(AT297="Evet",AR297,IF(AU297="Evet",AP297,"")))</f>
        <v/>
      </c>
    </row>
    <row r="298">
      <c r="A298" s="23" t="n"/>
      <c r="B298" s="23" t="n"/>
      <c r="C298" s="23" t="n"/>
      <c r="D298" s="23" t="n"/>
      <c r="E298" s="23" t="n"/>
      <c r="F298" s="23" t="n"/>
      <c r="G298" s="23" t="n"/>
      <c r="H298" s="23" t="n"/>
      <c r="I298" s="23" t="n"/>
      <c r="J298" s="23" t="n"/>
      <c r="K298" s="23" t="n"/>
      <c r="L298" s="23" t="n"/>
      <c r="M298" s="23" t="n"/>
      <c r="N298" s="23" t="n"/>
      <c r="O298" s="23" t="n"/>
      <c r="P298" s="23" t="n"/>
      <c r="Q298" s="23" t="n"/>
      <c r="R298" s="23" t="n"/>
      <c r="S298" s="23" t="n"/>
      <c r="T298" s="23" t="n"/>
      <c r="U298" s="23" t="n"/>
      <c r="V298" s="23" t="n"/>
      <c r="W298" s="23" t="n"/>
      <c r="X298" s="23" t="n"/>
      <c r="Y298" s="23" t="n"/>
      <c r="Z298" s="23" t="n"/>
      <c r="AA298" s="23" t="n"/>
      <c r="AB298" s="23" t="n"/>
      <c r="AC298" s="23" t="n"/>
      <c r="AD298" s="23" t="n"/>
      <c r="AE298" s="23" t="n"/>
      <c r="AF298" s="23" t="n"/>
      <c r="AG298" s="23" t="n"/>
      <c r="AH298" s="23" t="n"/>
      <c r="AI298" s="23" t="n"/>
      <c r="AJ298" s="23" t="n"/>
      <c r="AK298" s="23" t="n"/>
      <c r="AL298" s="23" t="n"/>
      <c r="AM298" s="26">
        <f>IF(G298="","",G298&amp;"|"&amp;P298)</f>
        <v/>
      </c>
      <c r="AN298" s="27">
        <f>IF(I298="","",IFERROR(DATE(VALUE(RIGHT(I298,4)),VALUE(MID(I298,4,2)),VALUE(LEFT(I298,2))),""))</f>
        <v/>
      </c>
      <c r="AO298" s="27">
        <f>IF(Y298="","",IFERROR(DATE(VALUE(RIGHT(Y298,4)),VALUE(MID(Y298,4,2)),VALUE(LEFT(Y298,2))),""))</f>
        <v/>
      </c>
      <c r="AP298" s="27">
        <f>IF(AC298="","",IFERROR(DATE(VALUE(RIGHT(AC298,4)),VALUE(MID(AC298,4,2)),VALUE(LEFT(AC298,2))),""))</f>
        <v/>
      </c>
      <c r="AQ298" s="26">
        <f>IF(AI298="","",TRIM(LEFT(AI298,FIND(" ",AI298&amp;" ")-1)))</f>
        <v/>
      </c>
      <c r="AR298" s="27">
        <f>IF(AQ298="","",IFERROR(DATE(VALUE(MID(AQ298,FIND("/",AQ298,FIND("/",AQ298)+1)+1,4)),VALUE(LEFT(AQ298,FIND("/",AQ298)-1)),VALUE(MID(AQ298,FIND("/",AQ298)+1,FIND("/",AQ298,FIND("/",AQ298)+1)-FIND("/",AQ298)-1))),""))</f>
        <v/>
      </c>
      <c r="AS298" s="26">
        <f>IF(G298="","",IF(AND(AG298&lt;&gt;"",AG298&lt;&gt;"Bayi Aracı"),"Evet","Hayır"))</f>
        <v/>
      </c>
      <c r="AT298" s="26">
        <f>IF(G298="","",IF(AND(AS298="Evet",T298="Siparişiniz Teslim Edildi"),"Evet","Hayır"))</f>
        <v/>
      </c>
      <c r="AU298" s="26">
        <f>IF(G298="","",IF(AB298="Siparişinizin Montajı Yapıldı","Evet","Hayır"))</f>
        <v/>
      </c>
      <c r="AV298" s="27">
        <f>IF(G298="","",IF(AT298="Evet",AR298,IF(AU298="Evet",AP298,"")))</f>
        <v/>
      </c>
    </row>
    <row r="299">
      <c r="A299" s="23" t="n"/>
      <c r="B299" s="23" t="n"/>
      <c r="C299" s="23" t="n"/>
      <c r="D299" s="23" t="n"/>
      <c r="E299" s="23" t="n"/>
      <c r="F299" s="23" t="n"/>
      <c r="G299" s="23" t="n"/>
      <c r="H299" s="23" t="n"/>
      <c r="I299" s="23" t="n"/>
      <c r="J299" s="23" t="n"/>
      <c r="K299" s="23" t="n"/>
      <c r="L299" s="23" t="n"/>
      <c r="M299" s="23" t="n"/>
      <c r="N299" s="23" t="n"/>
      <c r="O299" s="23" t="n"/>
      <c r="P299" s="23" t="n"/>
      <c r="Q299" s="23" t="n"/>
      <c r="R299" s="23" t="n"/>
      <c r="S299" s="23" t="n"/>
      <c r="T299" s="23" t="n"/>
      <c r="U299" s="23" t="n"/>
      <c r="V299" s="23" t="n"/>
      <c r="W299" s="23" t="n"/>
      <c r="X299" s="23" t="n"/>
      <c r="Y299" s="23" t="n"/>
      <c r="Z299" s="23" t="n"/>
      <c r="AA299" s="23" t="n"/>
      <c r="AB299" s="23" t="n"/>
      <c r="AC299" s="23" t="n"/>
      <c r="AD299" s="23" t="n"/>
      <c r="AE299" s="23" t="n"/>
      <c r="AF299" s="23" t="n"/>
      <c r="AG299" s="23" t="n"/>
      <c r="AH299" s="23" t="n"/>
      <c r="AI299" s="23" t="n"/>
      <c r="AJ299" s="23" t="n"/>
      <c r="AK299" s="23" t="n"/>
      <c r="AL299" s="23" t="n"/>
      <c r="AM299" s="26">
        <f>IF(G299="","",G299&amp;"|"&amp;P299)</f>
        <v/>
      </c>
      <c r="AN299" s="27">
        <f>IF(I299="","",IFERROR(DATE(VALUE(RIGHT(I299,4)),VALUE(MID(I299,4,2)),VALUE(LEFT(I299,2))),""))</f>
        <v/>
      </c>
      <c r="AO299" s="27">
        <f>IF(Y299="","",IFERROR(DATE(VALUE(RIGHT(Y299,4)),VALUE(MID(Y299,4,2)),VALUE(LEFT(Y299,2))),""))</f>
        <v/>
      </c>
      <c r="AP299" s="27">
        <f>IF(AC299="","",IFERROR(DATE(VALUE(RIGHT(AC299,4)),VALUE(MID(AC299,4,2)),VALUE(LEFT(AC299,2))),""))</f>
        <v/>
      </c>
      <c r="AQ299" s="26">
        <f>IF(AI299="","",TRIM(LEFT(AI299,FIND(" ",AI299&amp;" ")-1)))</f>
        <v/>
      </c>
      <c r="AR299" s="27">
        <f>IF(AQ299="","",IFERROR(DATE(VALUE(MID(AQ299,FIND("/",AQ299,FIND("/",AQ299)+1)+1,4)),VALUE(LEFT(AQ299,FIND("/",AQ299)-1)),VALUE(MID(AQ299,FIND("/",AQ299)+1,FIND("/",AQ299,FIND("/",AQ299)+1)-FIND("/",AQ299)-1))),""))</f>
        <v/>
      </c>
      <c r="AS299" s="26">
        <f>IF(G299="","",IF(AND(AG299&lt;&gt;"",AG299&lt;&gt;"Bayi Aracı"),"Evet","Hayır"))</f>
        <v/>
      </c>
      <c r="AT299" s="26">
        <f>IF(G299="","",IF(AND(AS299="Evet",T299="Siparişiniz Teslim Edildi"),"Evet","Hayır"))</f>
        <v/>
      </c>
      <c r="AU299" s="26">
        <f>IF(G299="","",IF(AB299="Siparişinizin Montajı Yapıldı","Evet","Hayır"))</f>
        <v/>
      </c>
      <c r="AV299" s="27">
        <f>IF(G299="","",IF(AT299="Evet",AR299,IF(AU299="Evet",AP299,"")))</f>
        <v/>
      </c>
    </row>
    <row r="300">
      <c r="A300" s="23" t="n"/>
      <c r="B300" s="23" t="n"/>
      <c r="C300" s="23" t="n"/>
      <c r="D300" s="23" t="n"/>
      <c r="E300" s="23" t="n"/>
      <c r="F300" s="23" t="n"/>
      <c r="G300" s="23" t="n"/>
      <c r="H300" s="23" t="n"/>
      <c r="I300" s="23" t="n"/>
      <c r="J300" s="23" t="n"/>
      <c r="K300" s="23" t="n"/>
      <c r="L300" s="23" t="n"/>
      <c r="M300" s="23" t="n"/>
      <c r="N300" s="23" t="n"/>
      <c r="O300" s="23" t="n"/>
      <c r="P300" s="23" t="n"/>
      <c r="Q300" s="23" t="n"/>
      <c r="R300" s="23" t="n"/>
      <c r="S300" s="23" t="n"/>
      <c r="T300" s="23" t="n"/>
      <c r="U300" s="23" t="n"/>
      <c r="V300" s="23" t="n"/>
      <c r="W300" s="23" t="n"/>
      <c r="X300" s="23" t="n"/>
      <c r="Y300" s="23" t="n"/>
      <c r="Z300" s="23" t="n"/>
      <c r="AA300" s="23" t="n"/>
      <c r="AB300" s="23" t="n"/>
      <c r="AC300" s="23" t="n"/>
      <c r="AD300" s="23" t="n"/>
      <c r="AE300" s="23" t="n"/>
      <c r="AF300" s="23" t="n"/>
      <c r="AG300" s="23" t="n"/>
      <c r="AH300" s="23" t="n"/>
      <c r="AI300" s="23" t="n"/>
      <c r="AJ300" s="23" t="n"/>
      <c r="AK300" s="23" t="n"/>
      <c r="AL300" s="23" t="n"/>
      <c r="AM300" s="26">
        <f>IF(G300="","",G300&amp;"|"&amp;P300)</f>
        <v/>
      </c>
      <c r="AN300" s="27">
        <f>IF(I300="","",IFERROR(DATE(VALUE(RIGHT(I300,4)),VALUE(MID(I300,4,2)),VALUE(LEFT(I300,2))),""))</f>
        <v/>
      </c>
      <c r="AO300" s="27">
        <f>IF(Y300="","",IFERROR(DATE(VALUE(RIGHT(Y300,4)),VALUE(MID(Y300,4,2)),VALUE(LEFT(Y300,2))),""))</f>
        <v/>
      </c>
      <c r="AP300" s="27">
        <f>IF(AC300="","",IFERROR(DATE(VALUE(RIGHT(AC300,4)),VALUE(MID(AC300,4,2)),VALUE(LEFT(AC300,2))),""))</f>
        <v/>
      </c>
      <c r="AQ300" s="26">
        <f>IF(AI300="","",TRIM(LEFT(AI300,FIND(" ",AI300&amp;" ")-1)))</f>
        <v/>
      </c>
      <c r="AR300" s="27">
        <f>IF(AQ300="","",IFERROR(DATE(VALUE(MID(AQ300,FIND("/",AQ300,FIND("/",AQ300)+1)+1,4)),VALUE(LEFT(AQ300,FIND("/",AQ300)-1)),VALUE(MID(AQ300,FIND("/",AQ300)+1,FIND("/",AQ300,FIND("/",AQ300)+1)-FIND("/",AQ300)-1))),""))</f>
        <v/>
      </c>
      <c r="AS300" s="26">
        <f>IF(G300="","",IF(AND(AG300&lt;&gt;"",AG300&lt;&gt;"Bayi Aracı"),"Evet","Hayır"))</f>
        <v/>
      </c>
      <c r="AT300" s="26">
        <f>IF(G300="","",IF(AND(AS300="Evet",T300="Siparişiniz Teslim Edildi"),"Evet","Hayır"))</f>
        <v/>
      </c>
      <c r="AU300" s="26">
        <f>IF(G300="","",IF(AB300="Siparişinizin Montajı Yapıldı","Evet","Hayır"))</f>
        <v/>
      </c>
      <c r="AV300" s="27">
        <f>IF(G300="","",IF(AT300="Evet",AR300,IF(AU300="Evet",AP300,"")))</f>
        <v/>
      </c>
    </row>
    <row r="301">
      <c r="A301" s="23" t="n"/>
      <c r="B301" s="23" t="n"/>
      <c r="C301" s="23" t="n"/>
      <c r="D301" s="23" t="n"/>
      <c r="E301" s="23" t="n"/>
      <c r="F301" s="23" t="n"/>
      <c r="G301" s="23" t="n"/>
      <c r="H301" s="23" t="n"/>
      <c r="I301" s="23" t="n"/>
      <c r="J301" s="23" t="n"/>
      <c r="K301" s="23" t="n"/>
      <c r="L301" s="23" t="n"/>
      <c r="M301" s="23" t="n"/>
      <c r="N301" s="23" t="n"/>
      <c r="O301" s="23" t="n"/>
      <c r="P301" s="23" t="n"/>
      <c r="Q301" s="23" t="n"/>
      <c r="R301" s="23" t="n"/>
      <c r="S301" s="23" t="n"/>
      <c r="T301" s="23" t="n"/>
      <c r="U301" s="23" t="n"/>
      <c r="V301" s="23" t="n"/>
      <c r="W301" s="23" t="n"/>
      <c r="X301" s="23" t="n"/>
      <c r="Y301" s="23" t="n"/>
      <c r="Z301" s="23" t="n"/>
      <c r="AA301" s="23" t="n"/>
      <c r="AB301" s="23" t="n"/>
      <c r="AC301" s="23" t="n"/>
      <c r="AD301" s="23" t="n"/>
      <c r="AE301" s="23" t="n"/>
      <c r="AF301" s="23" t="n"/>
      <c r="AG301" s="23" t="n"/>
      <c r="AH301" s="23" t="n"/>
      <c r="AI301" s="23" t="n"/>
      <c r="AJ301" s="23" t="n"/>
      <c r="AK301" s="23" t="n"/>
      <c r="AL301" s="23" t="n"/>
      <c r="AM301" s="26">
        <f>IF(G301="","",G301&amp;"|"&amp;P301)</f>
        <v/>
      </c>
      <c r="AN301" s="27">
        <f>IF(I301="","",IFERROR(DATE(VALUE(RIGHT(I301,4)),VALUE(MID(I301,4,2)),VALUE(LEFT(I301,2))),""))</f>
        <v/>
      </c>
      <c r="AO301" s="27">
        <f>IF(Y301="","",IFERROR(DATE(VALUE(RIGHT(Y301,4)),VALUE(MID(Y301,4,2)),VALUE(LEFT(Y301,2))),""))</f>
        <v/>
      </c>
      <c r="AP301" s="27">
        <f>IF(AC301="","",IFERROR(DATE(VALUE(RIGHT(AC301,4)),VALUE(MID(AC301,4,2)),VALUE(LEFT(AC301,2))),""))</f>
        <v/>
      </c>
      <c r="AQ301" s="26">
        <f>IF(AI301="","",TRIM(LEFT(AI301,FIND(" ",AI301&amp;" ")-1)))</f>
        <v/>
      </c>
      <c r="AR301" s="27">
        <f>IF(AQ301="","",IFERROR(DATE(VALUE(MID(AQ301,FIND("/",AQ301,FIND("/",AQ301)+1)+1,4)),VALUE(LEFT(AQ301,FIND("/",AQ301)-1)),VALUE(MID(AQ301,FIND("/",AQ301)+1,FIND("/",AQ301,FIND("/",AQ301)+1)-FIND("/",AQ301)-1))),""))</f>
        <v/>
      </c>
      <c r="AS301" s="26">
        <f>IF(G301="","",IF(AND(AG301&lt;&gt;"",AG301&lt;&gt;"Bayi Aracı"),"Evet","Hayır"))</f>
        <v/>
      </c>
      <c r="AT301" s="26">
        <f>IF(G301="","",IF(AND(AS301="Evet",T301="Siparişiniz Teslim Edildi"),"Evet","Hayır"))</f>
        <v/>
      </c>
      <c r="AU301" s="26">
        <f>IF(G301="","",IF(AB301="Siparişinizin Montajı Yapıldı","Evet","Hayır"))</f>
        <v/>
      </c>
      <c r="AV301" s="27">
        <f>IF(G301="","",IF(AT301="Evet",AR301,IF(AU301="Evet",AP301,"")))</f>
        <v/>
      </c>
    </row>
    <row r="302">
      <c r="A302" s="23" t="n"/>
      <c r="B302" s="23" t="n"/>
      <c r="C302" s="23" t="n"/>
      <c r="D302" s="23" t="n"/>
      <c r="E302" s="23" t="n"/>
      <c r="F302" s="23" t="n"/>
      <c r="G302" s="23" t="n"/>
      <c r="H302" s="23" t="n"/>
      <c r="I302" s="23" t="n"/>
      <c r="J302" s="23" t="n"/>
      <c r="K302" s="23" t="n"/>
      <c r="L302" s="23" t="n"/>
      <c r="M302" s="23" t="n"/>
      <c r="N302" s="23" t="n"/>
      <c r="O302" s="23" t="n"/>
      <c r="P302" s="23" t="n"/>
      <c r="Q302" s="23" t="n"/>
      <c r="R302" s="23" t="n"/>
      <c r="S302" s="23" t="n"/>
      <c r="T302" s="23" t="n"/>
      <c r="U302" s="23" t="n"/>
      <c r="V302" s="23" t="n"/>
      <c r="W302" s="23" t="n"/>
      <c r="X302" s="23" t="n"/>
      <c r="Y302" s="23" t="n"/>
      <c r="Z302" s="23" t="n"/>
      <c r="AA302" s="23" t="n"/>
      <c r="AB302" s="23" t="n"/>
      <c r="AC302" s="23" t="n"/>
      <c r="AD302" s="23" t="n"/>
      <c r="AE302" s="23" t="n"/>
      <c r="AF302" s="23" t="n"/>
      <c r="AG302" s="23" t="n"/>
      <c r="AH302" s="23" t="n"/>
      <c r="AI302" s="23" t="n"/>
      <c r="AJ302" s="23" t="n"/>
      <c r="AK302" s="23" t="n"/>
      <c r="AL302" s="23" t="n"/>
      <c r="AM302" s="26">
        <f>IF(G302="","",G302&amp;"|"&amp;P302)</f>
        <v/>
      </c>
      <c r="AN302" s="27">
        <f>IF(I302="","",IFERROR(DATE(VALUE(RIGHT(I302,4)),VALUE(MID(I302,4,2)),VALUE(LEFT(I302,2))),""))</f>
        <v/>
      </c>
      <c r="AO302" s="27">
        <f>IF(Y302="","",IFERROR(DATE(VALUE(RIGHT(Y302,4)),VALUE(MID(Y302,4,2)),VALUE(LEFT(Y302,2))),""))</f>
        <v/>
      </c>
      <c r="AP302" s="27">
        <f>IF(AC302="","",IFERROR(DATE(VALUE(RIGHT(AC302,4)),VALUE(MID(AC302,4,2)),VALUE(LEFT(AC302,2))),""))</f>
        <v/>
      </c>
      <c r="AQ302" s="26">
        <f>IF(AI302="","",TRIM(LEFT(AI302,FIND(" ",AI302&amp;" ")-1)))</f>
        <v/>
      </c>
      <c r="AR302" s="27">
        <f>IF(AQ302="","",IFERROR(DATE(VALUE(MID(AQ302,FIND("/",AQ302,FIND("/",AQ302)+1)+1,4)),VALUE(LEFT(AQ302,FIND("/",AQ302)-1)),VALUE(MID(AQ302,FIND("/",AQ302)+1,FIND("/",AQ302,FIND("/",AQ302)+1)-FIND("/",AQ302)-1))),""))</f>
        <v/>
      </c>
      <c r="AS302" s="26">
        <f>IF(G302="","",IF(AND(AG302&lt;&gt;"",AG302&lt;&gt;"Bayi Aracı"),"Evet","Hayır"))</f>
        <v/>
      </c>
      <c r="AT302" s="26">
        <f>IF(G302="","",IF(AND(AS302="Evet",T302="Siparişiniz Teslim Edildi"),"Evet","Hayır"))</f>
        <v/>
      </c>
      <c r="AU302" s="26">
        <f>IF(G302="","",IF(AB302="Siparişinizin Montajı Yapıldı","Evet","Hayır"))</f>
        <v/>
      </c>
      <c r="AV302" s="27">
        <f>IF(G302="","",IF(AT302="Evet",AR302,IF(AU302="Evet",AP302,"")))</f>
        <v/>
      </c>
    </row>
    <row r="303">
      <c r="A303" s="23" t="n"/>
      <c r="B303" s="23" t="n"/>
      <c r="C303" s="23" t="n"/>
      <c r="D303" s="23" t="n"/>
      <c r="E303" s="23" t="n"/>
      <c r="F303" s="23" t="n"/>
      <c r="G303" s="23" t="n"/>
      <c r="H303" s="23" t="n"/>
      <c r="I303" s="23" t="n"/>
      <c r="J303" s="23" t="n"/>
      <c r="K303" s="23" t="n"/>
      <c r="L303" s="23" t="n"/>
      <c r="M303" s="23" t="n"/>
      <c r="N303" s="23" t="n"/>
      <c r="O303" s="23" t="n"/>
      <c r="P303" s="23" t="n"/>
      <c r="Q303" s="23" t="n"/>
      <c r="R303" s="23" t="n"/>
      <c r="S303" s="23" t="n"/>
      <c r="T303" s="23" t="n"/>
      <c r="U303" s="23" t="n"/>
      <c r="V303" s="23" t="n"/>
      <c r="W303" s="23" t="n"/>
      <c r="X303" s="23" t="n"/>
      <c r="Y303" s="23" t="n"/>
      <c r="Z303" s="23" t="n"/>
      <c r="AA303" s="23" t="n"/>
      <c r="AB303" s="23" t="n"/>
      <c r="AC303" s="23" t="n"/>
      <c r="AD303" s="23" t="n"/>
      <c r="AE303" s="23" t="n"/>
      <c r="AF303" s="23" t="n"/>
      <c r="AG303" s="23" t="n"/>
      <c r="AH303" s="23" t="n"/>
      <c r="AI303" s="23" t="n"/>
      <c r="AJ303" s="23" t="n"/>
      <c r="AK303" s="23" t="n"/>
      <c r="AL303" s="23" t="n"/>
      <c r="AM303" s="26">
        <f>IF(G303="","",G303&amp;"|"&amp;P303)</f>
        <v/>
      </c>
      <c r="AN303" s="27">
        <f>IF(I303="","",IFERROR(DATE(VALUE(RIGHT(I303,4)),VALUE(MID(I303,4,2)),VALUE(LEFT(I303,2))),""))</f>
        <v/>
      </c>
      <c r="AO303" s="27">
        <f>IF(Y303="","",IFERROR(DATE(VALUE(RIGHT(Y303,4)),VALUE(MID(Y303,4,2)),VALUE(LEFT(Y303,2))),""))</f>
        <v/>
      </c>
      <c r="AP303" s="27">
        <f>IF(AC303="","",IFERROR(DATE(VALUE(RIGHT(AC303,4)),VALUE(MID(AC303,4,2)),VALUE(LEFT(AC303,2))),""))</f>
        <v/>
      </c>
      <c r="AQ303" s="26">
        <f>IF(AI303="","",TRIM(LEFT(AI303,FIND(" ",AI303&amp;" ")-1)))</f>
        <v/>
      </c>
      <c r="AR303" s="27">
        <f>IF(AQ303="","",IFERROR(DATE(VALUE(MID(AQ303,FIND("/",AQ303,FIND("/",AQ303)+1)+1,4)),VALUE(LEFT(AQ303,FIND("/",AQ303)-1)),VALUE(MID(AQ303,FIND("/",AQ303)+1,FIND("/",AQ303,FIND("/",AQ303)+1)-FIND("/",AQ303)-1))),""))</f>
        <v/>
      </c>
      <c r="AS303" s="26">
        <f>IF(G303="","",IF(AND(AG303&lt;&gt;"",AG303&lt;&gt;"Bayi Aracı"),"Evet","Hayır"))</f>
        <v/>
      </c>
      <c r="AT303" s="26">
        <f>IF(G303="","",IF(AND(AS303="Evet",T303="Siparişiniz Teslim Edildi"),"Evet","Hayır"))</f>
        <v/>
      </c>
      <c r="AU303" s="26">
        <f>IF(G303="","",IF(AB303="Siparişinizin Montajı Yapıldı","Evet","Hayır"))</f>
        <v/>
      </c>
      <c r="AV303" s="27">
        <f>IF(G303="","",IF(AT303="Evet",AR303,IF(AU303="Evet",AP303,"")))</f>
        <v/>
      </c>
    </row>
    <row r="304">
      <c r="A304" s="23" t="n"/>
      <c r="B304" s="23" t="n"/>
      <c r="C304" s="23" t="n"/>
      <c r="D304" s="23" t="n"/>
      <c r="E304" s="23" t="n"/>
      <c r="F304" s="23" t="n"/>
      <c r="G304" s="23" t="n"/>
      <c r="H304" s="23" t="n"/>
      <c r="I304" s="23" t="n"/>
      <c r="J304" s="23" t="n"/>
      <c r="K304" s="23" t="n"/>
      <c r="L304" s="23" t="n"/>
      <c r="M304" s="23" t="n"/>
      <c r="N304" s="23" t="n"/>
      <c r="O304" s="23" t="n"/>
      <c r="P304" s="23" t="n"/>
      <c r="Q304" s="23" t="n"/>
      <c r="R304" s="23" t="n"/>
      <c r="S304" s="23" t="n"/>
      <c r="T304" s="23" t="n"/>
      <c r="U304" s="23" t="n"/>
      <c r="V304" s="23" t="n"/>
      <c r="W304" s="23" t="n"/>
      <c r="X304" s="23" t="n"/>
      <c r="Y304" s="23" t="n"/>
      <c r="Z304" s="23" t="n"/>
      <c r="AA304" s="23" t="n"/>
      <c r="AB304" s="23" t="n"/>
      <c r="AC304" s="23" t="n"/>
      <c r="AD304" s="23" t="n"/>
      <c r="AE304" s="23" t="n"/>
      <c r="AF304" s="23" t="n"/>
      <c r="AG304" s="23" t="n"/>
      <c r="AH304" s="23" t="n"/>
      <c r="AI304" s="23" t="n"/>
      <c r="AJ304" s="23" t="n"/>
      <c r="AK304" s="23" t="n"/>
      <c r="AL304" s="23" t="n"/>
      <c r="AM304" s="26">
        <f>IF(G304="","",G304&amp;"|"&amp;P304)</f>
        <v/>
      </c>
      <c r="AN304" s="27">
        <f>IF(I304="","",IFERROR(DATE(VALUE(RIGHT(I304,4)),VALUE(MID(I304,4,2)),VALUE(LEFT(I304,2))),""))</f>
        <v/>
      </c>
      <c r="AO304" s="27">
        <f>IF(Y304="","",IFERROR(DATE(VALUE(RIGHT(Y304,4)),VALUE(MID(Y304,4,2)),VALUE(LEFT(Y304,2))),""))</f>
        <v/>
      </c>
      <c r="AP304" s="27">
        <f>IF(AC304="","",IFERROR(DATE(VALUE(RIGHT(AC304,4)),VALUE(MID(AC304,4,2)),VALUE(LEFT(AC304,2))),""))</f>
        <v/>
      </c>
      <c r="AQ304" s="26">
        <f>IF(AI304="","",TRIM(LEFT(AI304,FIND(" ",AI304&amp;" ")-1)))</f>
        <v/>
      </c>
      <c r="AR304" s="27">
        <f>IF(AQ304="","",IFERROR(DATE(VALUE(MID(AQ304,FIND("/",AQ304,FIND("/",AQ304)+1)+1,4)),VALUE(LEFT(AQ304,FIND("/",AQ304)-1)),VALUE(MID(AQ304,FIND("/",AQ304)+1,FIND("/",AQ304,FIND("/",AQ304)+1)-FIND("/",AQ304)-1))),""))</f>
        <v/>
      </c>
      <c r="AS304" s="26">
        <f>IF(G304="","",IF(AND(AG304&lt;&gt;"",AG304&lt;&gt;"Bayi Aracı"),"Evet","Hayır"))</f>
        <v/>
      </c>
      <c r="AT304" s="26">
        <f>IF(G304="","",IF(AND(AS304="Evet",T304="Siparişiniz Teslim Edildi"),"Evet","Hayır"))</f>
        <v/>
      </c>
      <c r="AU304" s="26">
        <f>IF(G304="","",IF(AB304="Siparişinizin Montajı Yapıldı","Evet","Hayır"))</f>
        <v/>
      </c>
      <c r="AV304" s="27">
        <f>IF(G304="","",IF(AT304="Evet",AR304,IF(AU304="Evet",AP304,"")))</f>
        <v/>
      </c>
    </row>
    <row r="305">
      <c r="A305" s="23" t="n"/>
      <c r="B305" s="23" t="n"/>
      <c r="C305" s="23" t="n"/>
      <c r="D305" s="23" t="n"/>
      <c r="E305" s="23" t="n"/>
      <c r="F305" s="23" t="n"/>
      <c r="G305" s="23" t="n"/>
      <c r="H305" s="23" t="n"/>
      <c r="I305" s="23" t="n"/>
      <c r="J305" s="23" t="n"/>
      <c r="K305" s="23" t="n"/>
      <c r="L305" s="23" t="n"/>
      <c r="M305" s="23" t="n"/>
      <c r="N305" s="23" t="n"/>
      <c r="O305" s="23" t="n"/>
      <c r="P305" s="23" t="n"/>
      <c r="Q305" s="23" t="n"/>
      <c r="R305" s="23" t="n"/>
      <c r="S305" s="23" t="n"/>
      <c r="T305" s="23" t="n"/>
      <c r="U305" s="23" t="n"/>
      <c r="V305" s="23" t="n"/>
      <c r="W305" s="23" t="n"/>
      <c r="X305" s="23" t="n"/>
      <c r="Y305" s="23" t="n"/>
      <c r="Z305" s="23" t="n"/>
      <c r="AA305" s="23" t="n"/>
      <c r="AB305" s="23" t="n"/>
      <c r="AC305" s="23" t="n"/>
      <c r="AD305" s="23" t="n"/>
      <c r="AE305" s="23" t="n"/>
      <c r="AF305" s="23" t="n"/>
      <c r="AG305" s="23" t="n"/>
      <c r="AH305" s="23" t="n"/>
      <c r="AI305" s="23" t="n"/>
      <c r="AJ305" s="23" t="n"/>
      <c r="AK305" s="23" t="n"/>
      <c r="AL305" s="23" t="n"/>
      <c r="AM305" s="26">
        <f>IF(G305="","",G305&amp;"|"&amp;P305)</f>
        <v/>
      </c>
      <c r="AN305" s="27">
        <f>IF(I305="","",IFERROR(DATE(VALUE(RIGHT(I305,4)),VALUE(MID(I305,4,2)),VALUE(LEFT(I305,2))),""))</f>
        <v/>
      </c>
      <c r="AO305" s="27">
        <f>IF(Y305="","",IFERROR(DATE(VALUE(RIGHT(Y305,4)),VALUE(MID(Y305,4,2)),VALUE(LEFT(Y305,2))),""))</f>
        <v/>
      </c>
      <c r="AP305" s="27">
        <f>IF(AC305="","",IFERROR(DATE(VALUE(RIGHT(AC305,4)),VALUE(MID(AC305,4,2)),VALUE(LEFT(AC305,2))),""))</f>
        <v/>
      </c>
      <c r="AQ305" s="26">
        <f>IF(AI305="","",TRIM(LEFT(AI305,FIND(" ",AI305&amp;" ")-1)))</f>
        <v/>
      </c>
      <c r="AR305" s="27">
        <f>IF(AQ305="","",IFERROR(DATE(VALUE(MID(AQ305,FIND("/",AQ305,FIND("/",AQ305)+1)+1,4)),VALUE(LEFT(AQ305,FIND("/",AQ305)-1)),VALUE(MID(AQ305,FIND("/",AQ305)+1,FIND("/",AQ305,FIND("/",AQ305)+1)-FIND("/",AQ305)-1))),""))</f>
        <v/>
      </c>
      <c r="AS305" s="26">
        <f>IF(G305="","",IF(AND(AG305&lt;&gt;"",AG305&lt;&gt;"Bayi Aracı"),"Evet","Hayır"))</f>
        <v/>
      </c>
      <c r="AT305" s="26">
        <f>IF(G305="","",IF(AND(AS305="Evet",T305="Siparişiniz Teslim Edildi"),"Evet","Hayır"))</f>
        <v/>
      </c>
      <c r="AU305" s="26">
        <f>IF(G305="","",IF(AB305="Siparişinizin Montajı Yapıldı","Evet","Hayır"))</f>
        <v/>
      </c>
      <c r="AV305" s="27">
        <f>IF(G305="","",IF(AT305="Evet",AR305,IF(AU305="Evet",AP305,"")))</f>
        <v/>
      </c>
    </row>
    <row r="306">
      <c r="A306" s="23" t="n"/>
      <c r="B306" s="23" t="n"/>
      <c r="C306" s="23" t="n"/>
      <c r="D306" s="23" t="n"/>
      <c r="E306" s="23" t="n"/>
      <c r="F306" s="23" t="n"/>
      <c r="G306" s="23" t="n"/>
      <c r="H306" s="23" t="n"/>
      <c r="I306" s="23" t="n"/>
      <c r="J306" s="23" t="n"/>
      <c r="K306" s="23" t="n"/>
      <c r="L306" s="23" t="n"/>
      <c r="M306" s="23" t="n"/>
      <c r="N306" s="23" t="n"/>
      <c r="O306" s="23" t="n"/>
      <c r="P306" s="23" t="n"/>
      <c r="Q306" s="23" t="n"/>
      <c r="R306" s="23" t="n"/>
      <c r="S306" s="23" t="n"/>
      <c r="T306" s="23" t="n"/>
      <c r="U306" s="23" t="n"/>
      <c r="V306" s="23" t="n"/>
      <c r="W306" s="23" t="n"/>
      <c r="X306" s="23" t="n"/>
      <c r="Y306" s="23" t="n"/>
      <c r="Z306" s="23" t="n"/>
      <c r="AA306" s="23" t="n"/>
      <c r="AB306" s="23" t="n"/>
      <c r="AC306" s="23" t="n"/>
      <c r="AD306" s="23" t="n"/>
      <c r="AE306" s="23" t="n"/>
      <c r="AF306" s="23" t="n"/>
      <c r="AG306" s="23" t="n"/>
      <c r="AH306" s="23" t="n"/>
      <c r="AI306" s="23" t="n"/>
      <c r="AJ306" s="23" t="n"/>
      <c r="AK306" s="23" t="n"/>
      <c r="AL306" s="23" t="n"/>
      <c r="AM306" s="26">
        <f>IF(G306="","",G306&amp;"|"&amp;P306)</f>
        <v/>
      </c>
      <c r="AN306" s="27">
        <f>IF(I306="","",IFERROR(DATE(VALUE(RIGHT(I306,4)),VALUE(MID(I306,4,2)),VALUE(LEFT(I306,2))),""))</f>
        <v/>
      </c>
      <c r="AO306" s="27">
        <f>IF(Y306="","",IFERROR(DATE(VALUE(RIGHT(Y306,4)),VALUE(MID(Y306,4,2)),VALUE(LEFT(Y306,2))),""))</f>
        <v/>
      </c>
      <c r="AP306" s="27">
        <f>IF(AC306="","",IFERROR(DATE(VALUE(RIGHT(AC306,4)),VALUE(MID(AC306,4,2)),VALUE(LEFT(AC306,2))),""))</f>
        <v/>
      </c>
      <c r="AQ306" s="26">
        <f>IF(AI306="","",TRIM(LEFT(AI306,FIND(" ",AI306&amp;" ")-1)))</f>
        <v/>
      </c>
      <c r="AR306" s="27">
        <f>IF(AQ306="","",IFERROR(DATE(VALUE(MID(AQ306,FIND("/",AQ306,FIND("/",AQ306)+1)+1,4)),VALUE(LEFT(AQ306,FIND("/",AQ306)-1)),VALUE(MID(AQ306,FIND("/",AQ306)+1,FIND("/",AQ306,FIND("/",AQ306)+1)-FIND("/",AQ306)-1))),""))</f>
        <v/>
      </c>
      <c r="AS306" s="26">
        <f>IF(G306="","",IF(AND(AG306&lt;&gt;"",AG306&lt;&gt;"Bayi Aracı"),"Evet","Hayır"))</f>
        <v/>
      </c>
      <c r="AT306" s="26">
        <f>IF(G306="","",IF(AND(AS306="Evet",T306="Siparişiniz Teslim Edildi"),"Evet","Hayır"))</f>
        <v/>
      </c>
      <c r="AU306" s="26">
        <f>IF(G306="","",IF(AB306="Siparişinizin Montajı Yapıldı","Evet","Hayır"))</f>
        <v/>
      </c>
      <c r="AV306" s="27">
        <f>IF(G306="","",IF(AT306="Evet",AR306,IF(AU306="Evet",AP306,"")))</f>
        <v/>
      </c>
    </row>
    <row r="307">
      <c r="A307" s="23" t="n"/>
      <c r="B307" s="23" t="n"/>
      <c r="C307" s="23" t="n"/>
      <c r="D307" s="23" t="n"/>
      <c r="E307" s="23" t="n"/>
      <c r="F307" s="23" t="n"/>
      <c r="G307" s="23" t="n"/>
      <c r="H307" s="23" t="n"/>
      <c r="I307" s="23" t="n"/>
      <c r="J307" s="23" t="n"/>
      <c r="K307" s="23" t="n"/>
      <c r="L307" s="23" t="n"/>
      <c r="M307" s="23" t="n"/>
      <c r="N307" s="23" t="n"/>
      <c r="O307" s="23" t="n"/>
      <c r="P307" s="23" t="n"/>
      <c r="Q307" s="23" t="n"/>
      <c r="R307" s="23" t="n"/>
      <c r="S307" s="23" t="n"/>
      <c r="T307" s="23" t="n"/>
      <c r="U307" s="23" t="n"/>
      <c r="V307" s="23" t="n"/>
      <c r="W307" s="23" t="n"/>
      <c r="X307" s="23" t="n"/>
      <c r="Y307" s="23" t="n"/>
      <c r="Z307" s="23" t="n"/>
      <c r="AA307" s="23" t="n"/>
      <c r="AB307" s="23" t="n"/>
      <c r="AC307" s="23" t="n"/>
      <c r="AD307" s="23" t="n"/>
      <c r="AE307" s="23" t="n"/>
      <c r="AF307" s="23" t="n"/>
      <c r="AG307" s="23" t="n"/>
      <c r="AH307" s="23" t="n"/>
      <c r="AI307" s="23" t="n"/>
      <c r="AJ307" s="23" t="n"/>
      <c r="AK307" s="23" t="n"/>
      <c r="AL307" s="23" t="n"/>
      <c r="AM307" s="26">
        <f>IF(G307="","",G307&amp;"|"&amp;P307)</f>
        <v/>
      </c>
      <c r="AN307" s="27">
        <f>IF(I307="","",IFERROR(DATE(VALUE(RIGHT(I307,4)),VALUE(MID(I307,4,2)),VALUE(LEFT(I307,2))),""))</f>
        <v/>
      </c>
      <c r="AO307" s="27">
        <f>IF(Y307="","",IFERROR(DATE(VALUE(RIGHT(Y307,4)),VALUE(MID(Y307,4,2)),VALUE(LEFT(Y307,2))),""))</f>
        <v/>
      </c>
      <c r="AP307" s="27">
        <f>IF(AC307="","",IFERROR(DATE(VALUE(RIGHT(AC307,4)),VALUE(MID(AC307,4,2)),VALUE(LEFT(AC307,2))),""))</f>
        <v/>
      </c>
      <c r="AQ307" s="26">
        <f>IF(AI307="","",TRIM(LEFT(AI307,FIND(" ",AI307&amp;" ")-1)))</f>
        <v/>
      </c>
      <c r="AR307" s="27">
        <f>IF(AQ307="","",IFERROR(DATE(VALUE(MID(AQ307,FIND("/",AQ307,FIND("/",AQ307)+1)+1,4)),VALUE(LEFT(AQ307,FIND("/",AQ307)-1)),VALUE(MID(AQ307,FIND("/",AQ307)+1,FIND("/",AQ307,FIND("/",AQ307)+1)-FIND("/",AQ307)-1))),""))</f>
        <v/>
      </c>
      <c r="AS307" s="26">
        <f>IF(G307="","",IF(AND(AG307&lt;&gt;"",AG307&lt;&gt;"Bayi Aracı"),"Evet","Hayır"))</f>
        <v/>
      </c>
      <c r="AT307" s="26">
        <f>IF(G307="","",IF(AND(AS307="Evet",T307="Siparişiniz Teslim Edildi"),"Evet","Hayır"))</f>
        <v/>
      </c>
      <c r="AU307" s="26">
        <f>IF(G307="","",IF(AB307="Siparişinizin Montajı Yapıldı","Evet","Hayır"))</f>
        <v/>
      </c>
      <c r="AV307" s="27">
        <f>IF(G307="","",IF(AT307="Evet",AR307,IF(AU307="Evet",AP307,"")))</f>
        <v/>
      </c>
    </row>
    <row r="308">
      <c r="A308" s="23" t="n"/>
      <c r="B308" s="23" t="n"/>
      <c r="C308" s="23" t="n"/>
      <c r="D308" s="23" t="n"/>
      <c r="E308" s="23" t="n"/>
      <c r="F308" s="23" t="n"/>
      <c r="G308" s="23" t="n"/>
      <c r="H308" s="23" t="n"/>
      <c r="I308" s="23" t="n"/>
      <c r="J308" s="23" t="n"/>
      <c r="K308" s="23" t="n"/>
      <c r="L308" s="23" t="n"/>
      <c r="M308" s="23" t="n"/>
      <c r="N308" s="23" t="n"/>
      <c r="O308" s="23" t="n"/>
      <c r="P308" s="23" t="n"/>
      <c r="Q308" s="23" t="n"/>
      <c r="R308" s="23" t="n"/>
      <c r="S308" s="23" t="n"/>
      <c r="T308" s="23" t="n"/>
      <c r="U308" s="23" t="n"/>
      <c r="V308" s="23" t="n"/>
      <c r="W308" s="23" t="n"/>
      <c r="X308" s="23" t="n"/>
      <c r="Y308" s="23" t="n"/>
      <c r="Z308" s="23" t="n"/>
      <c r="AA308" s="23" t="n"/>
      <c r="AB308" s="23" t="n"/>
      <c r="AC308" s="23" t="n"/>
      <c r="AD308" s="23" t="n"/>
      <c r="AE308" s="23" t="n"/>
      <c r="AF308" s="23" t="n"/>
      <c r="AG308" s="23" t="n"/>
      <c r="AH308" s="23" t="n"/>
      <c r="AI308" s="23" t="n"/>
      <c r="AJ308" s="23" t="n"/>
      <c r="AK308" s="23" t="n"/>
      <c r="AL308" s="23" t="n"/>
      <c r="AM308" s="26">
        <f>IF(G308="","",G308&amp;"|"&amp;P308)</f>
        <v/>
      </c>
      <c r="AN308" s="27">
        <f>IF(I308="","",IFERROR(DATE(VALUE(RIGHT(I308,4)),VALUE(MID(I308,4,2)),VALUE(LEFT(I308,2))),""))</f>
        <v/>
      </c>
      <c r="AO308" s="27">
        <f>IF(Y308="","",IFERROR(DATE(VALUE(RIGHT(Y308,4)),VALUE(MID(Y308,4,2)),VALUE(LEFT(Y308,2))),""))</f>
        <v/>
      </c>
      <c r="AP308" s="27">
        <f>IF(AC308="","",IFERROR(DATE(VALUE(RIGHT(AC308,4)),VALUE(MID(AC308,4,2)),VALUE(LEFT(AC308,2))),""))</f>
        <v/>
      </c>
      <c r="AQ308" s="26">
        <f>IF(AI308="","",TRIM(LEFT(AI308,FIND(" ",AI308&amp;" ")-1)))</f>
        <v/>
      </c>
      <c r="AR308" s="27">
        <f>IF(AQ308="","",IFERROR(DATE(VALUE(MID(AQ308,FIND("/",AQ308,FIND("/",AQ308)+1)+1,4)),VALUE(LEFT(AQ308,FIND("/",AQ308)-1)),VALUE(MID(AQ308,FIND("/",AQ308)+1,FIND("/",AQ308,FIND("/",AQ308)+1)-FIND("/",AQ308)-1))),""))</f>
        <v/>
      </c>
      <c r="AS308" s="26">
        <f>IF(G308="","",IF(AND(AG308&lt;&gt;"",AG308&lt;&gt;"Bayi Aracı"),"Evet","Hayır"))</f>
        <v/>
      </c>
      <c r="AT308" s="26">
        <f>IF(G308="","",IF(AND(AS308="Evet",T308="Siparişiniz Teslim Edildi"),"Evet","Hayır"))</f>
        <v/>
      </c>
      <c r="AU308" s="26">
        <f>IF(G308="","",IF(AB308="Siparişinizin Montajı Yapıldı","Evet","Hayır"))</f>
        <v/>
      </c>
      <c r="AV308" s="27">
        <f>IF(G308="","",IF(AT308="Evet",AR308,IF(AU308="Evet",AP308,"")))</f>
        <v/>
      </c>
    </row>
    <row r="309">
      <c r="A309" s="23" t="n"/>
      <c r="B309" s="23" t="n"/>
      <c r="C309" s="23" t="n"/>
      <c r="D309" s="23" t="n"/>
      <c r="E309" s="23" t="n"/>
      <c r="F309" s="23" t="n"/>
      <c r="G309" s="23" t="n"/>
      <c r="H309" s="23" t="n"/>
      <c r="I309" s="23" t="n"/>
      <c r="J309" s="23" t="n"/>
      <c r="K309" s="23" t="n"/>
      <c r="L309" s="23" t="n"/>
      <c r="M309" s="23" t="n"/>
      <c r="N309" s="23" t="n"/>
      <c r="O309" s="23" t="n"/>
      <c r="P309" s="23" t="n"/>
      <c r="Q309" s="23" t="n"/>
      <c r="R309" s="23" t="n"/>
      <c r="S309" s="23" t="n"/>
      <c r="T309" s="23" t="n"/>
      <c r="U309" s="23" t="n"/>
      <c r="V309" s="23" t="n"/>
      <c r="W309" s="23" t="n"/>
      <c r="X309" s="23" t="n"/>
      <c r="Y309" s="23" t="n"/>
      <c r="Z309" s="23" t="n"/>
      <c r="AA309" s="23" t="n"/>
      <c r="AB309" s="23" t="n"/>
      <c r="AC309" s="23" t="n"/>
      <c r="AD309" s="23" t="n"/>
      <c r="AE309" s="23" t="n"/>
      <c r="AF309" s="23" t="n"/>
      <c r="AG309" s="23" t="n"/>
      <c r="AH309" s="23" t="n"/>
      <c r="AI309" s="23" t="n"/>
      <c r="AJ309" s="23" t="n"/>
      <c r="AK309" s="23" t="n"/>
      <c r="AL309" s="23" t="n"/>
      <c r="AM309" s="26">
        <f>IF(G309="","",G309&amp;"|"&amp;P309)</f>
        <v/>
      </c>
      <c r="AN309" s="27">
        <f>IF(I309="","",IFERROR(DATE(VALUE(RIGHT(I309,4)),VALUE(MID(I309,4,2)),VALUE(LEFT(I309,2))),""))</f>
        <v/>
      </c>
      <c r="AO309" s="27">
        <f>IF(Y309="","",IFERROR(DATE(VALUE(RIGHT(Y309,4)),VALUE(MID(Y309,4,2)),VALUE(LEFT(Y309,2))),""))</f>
        <v/>
      </c>
      <c r="AP309" s="27">
        <f>IF(AC309="","",IFERROR(DATE(VALUE(RIGHT(AC309,4)),VALUE(MID(AC309,4,2)),VALUE(LEFT(AC309,2))),""))</f>
        <v/>
      </c>
      <c r="AQ309" s="26">
        <f>IF(AI309="","",TRIM(LEFT(AI309,FIND(" ",AI309&amp;" ")-1)))</f>
        <v/>
      </c>
      <c r="AR309" s="27">
        <f>IF(AQ309="","",IFERROR(DATE(VALUE(MID(AQ309,FIND("/",AQ309,FIND("/",AQ309)+1)+1,4)),VALUE(LEFT(AQ309,FIND("/",AQ309)-1)),VALUE(MID(AQ309,FIND("/",AQ309)+1,FIND("/",AQ309,FIND("/",AQ309)+1)-FIND("/",AQ309)-1))),""))</f>
        <v/>
      </c>
      <c r="AS309" s="26">
        <f>IF(G309="","",IF(AND(AG309&lt;&gt;"",AG309&lt;&gt;"Bayi Aracı"),"Evet","Hayır"))</f>
        <v/>
      </c>
      <c r="AT309" s="26">
        <f>IF(G309="","",IF(AND(AS309="Evet",T309="Siparişiniz Teslim Edildi"),"Evet","Hayır"))</f>
        <v/>
      </c>
      <c r="AU309" s="26">
        <f>IF(G309="","",IF(AB309="Siparişinizin Montajı Yapıldı","Evet","Hayır"))</f>
        <v/>
      </c>
      <c r="AV309" s="27">
        <f>IF(G309="","",IF(AT309="Evet",AR309,IF(AU309="Evet",AP309,"")))</f>
        <v/>
      </c>
    </row>
    <row r="310">
      <c r="A310" s="23" t="n"/>
      <c r="B310" s="23" t="n"/>
      <c r="C310" s="23" t="n"/>
      <c r="D310" s="23" t="n"/>
      <c r="E310" s="23" t="n"/>
      <c r="F310" s="23" t="n"/>
      <c r="G310" s="23" t="n"/>
      <c r="H310" s="23" t="n"/>
      <c r="I310" s="23" t="n"/>
      <c r="J310" s="23" t="n"/>
      <c r="K310" s="23" t="n"/>
      <c r="L310" s="23" t="n"/>
      <c r="M310" s="23" t="n"/>
      <c r="N310" s="23" t="n"/>
      <c r="O310" s="23" t="n"/>
      <c r="P310" s="23" t="n"/>
      <c r="Q310" s="23" t="n"/>
      <c r="R310" s="23" t="n"/>
      <c r="S310" s="23" t="n"/>
      <c r="T310" s="23" t="n"/>
      <c r="U310" s="23" t="n"/>
      <c r="V310" s="23" t="n"/>
      <c r="W310" s="23" t="n"/>
      <c r="X310" s="23" t="n"/>
      <c r="Y310" s="23" t="n"/>
      <c r="Z310" s="23" t="n"/>
      <c r="AA310" s="23" t="n"/>
      <c r="AB310" s="23" t="n"/>
      <c r="AC310" s="23" t="n"/>
      <c r="AD310" s="23" t="n"/>
      <c r="AE310" s="23" t="n"/>
      <c r="AF310" s="23" t="n"/>
      <c r="AG310" s="23" t="n"/>
      <c r="AH310" s="23" t="n"/>
      <c r="AI310" s="23" t="n"/>
      <c r="AJ310" s="23" t="n"/>
      <c r="AK310" s="23" t="n"/>
      <c r="AL310" s="23" t="n"/>
      <c r="AM310" s="26">
        <f>IF(G310="","",G310&amp;"|"&amp;P310)</f>
        <v/>
      </c>
      <c r="AN310" s="27">
        <f>IF(I310="","",IFERROR(DATE(VALUE(RIGHT(I310,4)),VALUE(MID(I310,4,2)),VALUE(LEFT(I310,2))),""))</f>
        <v/>
      </c>
      <c r="AO310" s="27">
        <f>IF(Y310="","",IFERROR(DATE(VALUE(RIGHT(Y310,4)),VALUE(MID(Y310,4,2)),VALUE(LEFT(Y310,2))),""))</f>
        <v/>
      </c>
      <c r="AP310" s="27">
        <f>IF(AC310="","",IFERROR(DATE(VALUE(RIGHT(AC310,4)),VALUE(MID(AC310,4,2)),VALUE(LEFT(AC310,2))),""))</f>
        <v/>
      </c>
      <c r="AQ310" s="26">
        <f>IF(AI310="","",TRIM(LEFT(AI310,FIND(" ",AI310&amp;" ")-1)))</f>
        <v/>
      </c>
      <c r="AR310" s="27">
        <f>IF(AQ310="","",IFERROR(DATE(VALUE(MID(AQ310,FIND("/",AQ310,FIND("/",AQ310)+1)+1,4)),VALUE(LEFT(AQ310,FIND("/",AQ310)-1)),VALUE(MID(AQ310,FIND("/",AQ310)+1,FIND("/",AQ310,FIND("/",AQ310)+1)-FIND("/",AQ310)-1))),""))</f>
        <v/>
      </c>
      <c r="AS310" s="26">
        <f>IF(G310="","",IF(AND(AG310&lt;&gt;"",AG310&lt;&gt;"Bayi Aracı"),"Evet","Hayır"))</f>
        <v/>
      </c>
      <c r="AT310" s="26">
        <f>IF(G310="","",IF(AND(AS310="Evet",T310="Siparişiniz Teslim Edildi"),"Evet","Hayır"))</f>
        <v/>
      </c>
      <c r="AU310" s="26">
        <f>IF(G310="","",IF(AB310="Siparişinizin Montajı Yapıldı","Evet","Hayır"))</f>
        <v/>
      </c>
      <c r="AV310" s="27">
        <f>IF(G310="","",IF(AT310="Evet",AR310,IF(AU310="Evet",AP310,"")))</f>
        <v/>
      </c>
    </row>
    <row r="311">
      <c r="A311" s="23" t="n"/>
      <c r="B311" s="23" t="n"/>
      <c r="C311" s="23" t="n"/>
      <c r="D311" s="23" t="n"/>
      <c r="E311" s="23" t="n"/>
      <c r="F311" s="23" t="n"/>
      <c r="G311" s="23" t="n"/>
      <c r="H311" s="23" t="n"/>
      <c r="I311" s="23" t="n"/>
      <c r="J311" s="23" t="n"/>
      <c r="K311" s="23" t="n"/>
      <c r="L311" s="23" t="n"/>
      <c r="M311" s="23" t="n"/>
      <c r="N311" s="23" t="n"/>
      <c r="O311" s="23" t="n"/>
      <c r="P311" s="23" t="n"/>
      <c r="Q311" s="23" t="n"/>
      <c r="R311" s="23" t="n"/>
      <c r="S311" s="23" t="n"/>
      <c r="T311" s="23" t="n"/>
      <c r="U311" s="23" t="n"/>
      <c r="V311" s="23" t="n"/>
      <c r="W311" s="23" t="n"/>
      <c r="X311" s="23" t="n"/>
      <c r="Y311" s="23" t="n"/>
      <c r="Z311" s="23" t="n"/>
      <c r="AA311" s="23" t="n"/>
      <c r="AB311" s="23" t="n"/>
      <c r="AC311" s="23" t="n"/>
      <c r="AD311" s="23" t="n"/>
      <c r="AE311" s="23" t="n"/>
      <c r="AF311" s="23" t="n"/>
      <c r="AG311" s="23" t="n"/>
      <c r="AH311" s="23" t="n"/>
      <c r="AI311" s="23" t="n"/>
      <c r="AJ311" s="23" t="n"/>
      <c r="AK311" s="23" t="n"/>
      <c r="AL311" s="23" t="n"/>
      <c r="AM311" s="26">
        <f>IF(G311="","",G311&amp;"|"&amp;P311)</f>
        <v/>
      </c>
      <c r="AN311" s="27">
        <f>IF(I311="","",IFERROR(DATE(VALUE(RIGHT(I311,4)),VALUE(MID(I311,4,2)),VALUE(LEFT(I311,2))),""))</f>
        <v/>
      </c>
      <c r="AO311" s="27">
        <f>IF(Y311="","",IFERROR(DATE(VALUE(RIGHT(Y311,4)),VALUE(MID(Y311,4,2)),VALUE(LEFT(Y311,2))),""))</f>
        <v/>
      </c>
      <c r="AP311" s="27">
        <f>IF(AC311="","",IFERROR(DATE(VALUE(RIGHT(AC311,4)),VALUE(MID(AC311,4,2)),VALUE(LEFT(AC311,2))),""))</f>
        <v/>
      </c>
      <c r="AQ311" s="26">
        <f>IF(AI311="","",TRIM(LEFT(AI311,FIND(" ",AI311&amp;" ")-1)))</f>
        <v/>
      </c>
      <c r="AR311" s="27">
        <f>IF(AQ311="","",IFERROR(DATE(VALUE(MID(AQ311,FIND("/",AQ311,FIND("/",AQ311)+1)+1,4)),VALUE(LEFT(AQ311,FIND("/",AQ311)-1)),VALUE(MID(AQ311,FIND("/",AQ311)+1,FIND("/",AQ311,FIND("/",AQ311)+1)-FIND("/",AQ311)-1))),""))</f>
        <v/>
      </c>
      <c r="AS311" s="26">
        <f>IF(G311="","",IF(AND(AG311&lt;&gt;"",AG311&lt;&gt;"Bayi Aracı"),"Evet","Hayır"))</f>
        <v/>
      </c>
      <c r="AT311" s="26">
        <f>IF(G311="","",IF(AND(AS311="Evet",T311="Siparişiniz Teslim Edildi"),"Evet","Hayır"))</f>
        <v/>
      </c>
      <c r="AU311" s="26">
        <f>IF(G311="","",IF(AB311="Siparişinizin Montajı Yapıldı","Evet","Hayır"))</f>
        <v/>
      </c>
      <c r="AV311" s="27">
        <f>IF(G311="","",IF(AT311="Evet",AR311,IF(AU311="Evet",AP311,"")))</f>
        <v/>
      </c>
    </row>
    <row r="312">
      <c r="A312" s="23" t="n"/>
      <c r="B312" s="23" t="n"/>
      <c r="C312" s="23" t="n"/>
      <c r="D312" s="23" t="n"/>
      <c r="E312" s="23" t="n"/>
      <c r="F312" s="23" t="n"/>
      <c r="G312" s="23" t="n"/>
      <c r="H312" s="23" t="n"/>
      <c r="I312" s="23" t="n"/>
      <c r="J312" s="23" t="n"/>
      <c r="K312" s="23" t="n"/>
      <c r="L312" s="23" t="n"/>
      <c r="M312" s="23" t="n"/>
      <c r="N312" s="23" t="n"/>
      <c r="O312" s="23" t="n"/>
      <c r="P312" s="23" t="n"/>
      <c r="Q312" s="23" t="n"/>
      <c r="R312" s="23" t="n"/>
      <c r="S312" s="23" t="n"/>
      <c r="T312" s="23" t="n"/>
      <c r="U312" s="23" t="n"/>
      <c r="V312" s="23" t="n"/>
      <c r="W312" s="23" t="n"/>
      <c r="X312" s="23" t="n"/>
      <c r="Y312" s="23" t="n"/>
      <c r="Z312" s="23" t="n"/>
      <c r="AA312" s="23" t="n"/>
      <c r="AB312" s="23" t="n"/>
      <c r="AC312" s="23" t="n"/>
      <c r="AD312" s="23" t="n"/>
      <c r="AE312" s="23" t="n"/>
      <c r="AF312" s="23" t="n"/>
      <c r="AG312" s="23" t="n"/>
      <c r="AH312" s="23" t="n"/>
      <c r="AI312" s="23" t="n"/>
      <c r="AJ312" s="23" t="n"/>
      <c r="AK312" s="23" t="n"/>
      <c r="AL312" s="23" t="n"/>
      <c r="AM312" s="26">
        <f>IF(G312="","",G312&amp;"|"&amp;P312)</f>
        <v/>
      </c>
      <c r="AN312" s="27">
        <f>IF(I312="","",IFERROR(DATE(VALUE(RIGHT(I312,4)),VALUE(MID(I312,4,2)),VALUE(LEFT(I312,2))),""))</f>
        <v/>
      </c>
      <c r="AO312" s="27">
        <f>IF(Y312="","",IFERROR(DATE(VALUE(RIGHT(Y312,4)),VALUE(MID(Y312,4,2)),VALUE(LEFT(Y312,2))),""))</f>
        <v/>
      </c>
      <c r="AP312" s="27">
        <f>IF(AC312="","",IFERROR(DATE(VALUE(RIGHT(AC312,4)),VALUE(MID(AC312,4,2)),VALUE(LEFT(AC312,2))),""))</f>
        <v/>
      </c>
      <c r="AQ312" s="26">
        <f>IF(AI312="","",TRIM(LEFT(AI312,FIND(" ",AI312&amp;" ")-1)))</f>
        <v/>
      </c>
      <c r="AR312" s="27">
        <f>IF(AQ312="","",IFERROR(DATE(VALUE(MID(AQ312,FIND("/",AQ312,FIND("/",AQ312)+1)+1,4)),VALUE(LEFT(AQ312,FIND("/",AQ312)-1)),VALUE(MID(AQ312,FIND("/",AQ312)+1,FIND("/",AQ312,FIND("/",AQ312)+1)-FIND("/",AQ312)-1))),""))</f>
        <v/>
      </c>
      <c r="AS312" s="26">
        <f>IF(G312="","",IF(AND(AG312&lt;&gt;"",AG312&lt;&gt;"Bayi Aracı"),"Evet","Hayır"))</f>
        <v/>
      </c>
      <c r="AT312" s="26">
        <f>IF(G312="","",IF(AND(AS312="Evet",T312="Siparişiniz Teslim Edildi"),"Evet","Hayır"))</f>
        <v/>
      </c>
      <c r="AU312" s="26">
        <f>IF(G312="","",IF(AB312="Siparişinizin Montajı Yapıldı","Evet","Hayır"))</f>
        <v/>
      </c>
      <c r="AV312" s="27">
        <f>IF(G312="","",IF(AT312="Evet",AR312,IF(AU312="Evet",AP312,"")))</f>
        <v/>
      </c>
    </row>
    <row r="313">
      <c r="A313" s="23" t="n"/>
      <c r="B313" s="23" t="n"/>
      <c r="C313" s="23" t="n"/>
      <c r="D313" s="23" t="n"/>
      <c r="E313" s="23" t="n"/>
      <c r="F313" s="23" t="n"/>
      <c r="G313" s="23" t="n"/>
      <c r="H313" s="23" t="n"/>
      <c r="I313" s="23" t="n"/>
      <c r="J313" s="23" t="n"/>
      <c r="K313" s="23" t="n"/>
      <c r="L313" s="23" t="n"/>
      <c r="M313" s="23" t="n"/>
      <c r="N313" s="23" t="n"/>
      <c r="O313" s="23" t="n"/>
      <c r="P313" s="23" t="n"/>
      <c r="Q313" s="23" t="n"/>
      <c r="R313" s="23" t="n"/>
      <c r="S313" s="23" t="n"/>
      <c r="T313" s="23" t="n"/>
      <c r="U313" s="23" t="n"/>
      <c r="V313" s="23" t="n"/>
      <c r="W313" s="23" t="n"/>
      <c r="X313" s="23" t="n"/>
      <c r="Y313" s="23" t="n"/>
      <c r="Z313" s="23" t="n"/>
      <c r="AA313" s="23" t="n"/>
      <c r="AB313" s="23" t="n"/>
      <c r="AC313" s="23" t="n"/>
      <c r="AD313" s="23" t="n"/>
      <c r="AE313" s="23" t="n"/>
      <c r="AF313" s="23" t="n"/>
      <c r="AG313" s="23" t="n"/>
      <c r="AH313" s="23" t="n"/>
      <c r="AI313" s="23" t="n"/>
      <c r="AJ313" s="23" t="n"/>
      <c r="AK313" s="23" t="n"/>
      <c r="AL313" s="23" t="n"/>
      <c r="AM313" s="26">
        <f>IF(G313="","",G313&amp;"|"&amp;P313)</f>
        <v/>
      </c>
      <c r="AN313" s="27">
        <f>IF(I313="","",IFERROR(DATE(VALUE(RIGHT(I313,4)),VALUE(MID(I313,4,2)),VALUE(LEFT(I313,2))),""))</f>
        <v/>
      </c>
      <c r="AO313" s="27">
        <f>IF(Y313="","",IFERROR(DATE(VALUE(RIGHT(Y313,4)),VALUE(MID(Y313,4,2)),VALUE(LEFT(Y313,2))),""))</f>
        <v/>
      </c>
      <c r="AP313" s="27">
        <f>IF(AC313="","",IFERROR(DATE(VALUE(RIGHT(AC313,4)),VALUE(MID(AC313,4,2)),VALUE(LEFT(AC313,2))),""))</f>
        <v/>
      </c>
      <c r="AQ313" s="26">
        <f>IF(AI313="","",TRIM(LEFT(AI313,FIND(" ",AI313&amp;" ")-1)))</f>
        <v/>
      </c>
      <c r="AR313" s="27">
        <f>IF(AQ313="","",IFERROR(DATE(VALUE(MID(AQ313,FIND("/",AQ313,FIND("/",AQ313)+1)+1,4)),VALUE(LEFT(AQ313,FIND("/",AQ313)-1)),VALUE(MID(AQ313,FIND("/",AQ313)+1,FIND("/",AQ313,FIND("/",AQ313)+1)-FIND("/",AQ313)-1))),""))</f>
        <v/>
      </c>
      <c r="AS313" s="26">
        <f>IF(G313="","",IF(AND(AG313&lt;&gt;"",AG313&lt;&gt;"Bayi Aracı"),"Evet","Hayır"))</f>
        <v/>
      </c>
      <c r="AT313" s="26">
        <f>IF(G313="","",IF(AND(AS313="Evet",T313="Siparişiniz Teslim Edildi"),"Evet","Hayır"))</f>
        <v/>
      </c>
      <c r="AU313" s="26">
        <f>IF(G313="","",IF(AB313="Siparişinizin Montajı Yapıldı","Evet","Hayır"))</f>
        <v/>
      </c>
      <c r="AV313" s="27">
        <f>IF(G313="","",IF(AT313="Evet",AR313,IF(AU313="Evet",AP313,"")))</f>
        <v/>
      </c>
    </row>
    <row r="314">
      <c r="A314" s="23" t="n"/>
      <c r="B314" s="23" t="n"/>
      <c r="C314" s="23" t="n"/>
      <c r="D314" s="23" t="n"/>
      <c r="E314" s="23" t="n"/>
      <c r="F314" s="23" t="n"/>
      <c r="G314" s="23" t="n"/>
      <c r="H314" s="23" t="n"/>
      <c r="I314" s="23" t="n"/>
      <c r="J314" s="23" t="n"/>
      <c r="K314" s="23" t="n"/>
      <c r="L314" s="23" t="n"/>
      <c r="M314" s="23" t="n"/>
      <c r="N314" s="23" t="n"/>
      <c r="O314" s="23" t="n"/>
      <c r="P314" s="23" t="n"/>
      <c r="Q314" s="23" t="n"/>
      <c r="R314" s="23" t="n"/>
      <c r="S314" s="23" t="n"/>
      <c r="T314" s="23" t="n"/>
      <c r="U314" s="23" t="n"/>
      <c r="V314" s="23" t="n"/>
      <c r="W314" s="23" t="n"/>
      <c r="X314" s="23" t="n"/>
      <c r="Y314" s="23" t="n"/>
      <c r="Z314" s="23" t="n"/>
      <c r="AA314" s="23" t="n"/>
      <c r="AB314" s="23" t="n"/>
      <c r="AC314" s="23" t="n"/>
      <c r="AD314" s="23" t="n"/>
      <c r="AE314" s="23" t="n"/>
      <c r="AF314" s="23" t="n"/>
      <c r="AG314" s="23" t="n"/>
      <c r="AH314" s="23" t="n"/>
      <c r="AI314" s="23" t="n"/>
      <c r="AJ314" s="23" t="n"/>
      <c r="AK314" s="23" t="n"/>
      <c r="AL314" s="23" t="n"/>
      <c r="AM314" s="26">
        <f>IF(G314="","",G314&amp;"|"&amp;P314)</f>
        <v/>
      </c>
      <c r="AN314" s="27">
        <f>IF(I314="","",IFERROR(DATE(VALUE(RIGHT(I314,4)),VALUE(MID(I314,4,2)),VALUE(LEFT(I314,2))),""))</f>
        <v/>
      </c>
      <c r="AO314" s="27">
        <f>IF(Y314="","",IFERROR(DATE(VALUE(RIGHT(Y314,4)),VALUE(MID(Y314,4,2)),VALUE(LEFT(Y314,2))),""))</f>
        <v/>
      </c>
      <c r="AP314" s="27">
        <f>IF(AC314="","",IFERROR(DATE(VALUE(RIGHT(AC314,4)),VALUE(MID(AC314,4,2)),VALUE(LEFT(AC314,2))),""))</f>
        <v/>
      </c>
      <c r="AQ314" s="26">
        <f>IF(AI314="","",TRIM(LEFT(AI314,FIND(" ",AI314&amp;" ")-1)))</f>
        <v/>
      </c>
      <c r="AR314" s="27">
        <f>IF(AQ314="","",IFERROR(DATE(VALUE(MID(AQ314,FIND("/",AQ314,FIND("/",AQ314)+1)+1,4)),VALUE(LEFT(AQ314,FIND("/",AQ314)-1)),VALUE(MID(AQ314,FIND("/",AQ314)+1,FIND("/",AQ314,FIND("/",AQ314)+1)-FIND("/",AQ314)-1))),""))</f>
        <v/>
      </c>
      <c r="AS314" s="26">
        <f>IF(G314="","",IF(AND(AG314&lt;&gt;"",AG314&lt;&gt;"Bayi Aracı"),"Evet","Hayır"))</f>
        <v/>
      </c>
      <c r="AT314" s="26">
        <f>IF(G314="","",IF(AND(AS314="Evet",T314="Siparişiniz Teslim Edildi"),"Evet","Hayır"))</f>
        <v/>
      </c>
      <c r="AU314" s="26">
        <f>IF(G314="","",IF(AB314="Siparişinizin Montajı Yapıldı","Evet","Hayır"))</f>
        <v/>
      </c>
      <c r="AV314" s="27">
        <f>IF(G314="","",IF(AT314="Evet",AR314,IF(AU314="Evet",AP314,"")))</f>
        <v/>
      </c>
    </row>
    <row r="315">
      <c r="A315" s="23" t="n"/>
      <c r="B315" s="23" t="n"/>
      <c r="C315" s="23" t="n"/>
      <c r="D315" s="23" t="n"/>
      <c r="E315" s="23" t="n"/>
      <c r="F315" s="23" t="n"/>
      <c r="G315" s="23" t="n"/>
      <c r="H315" s="23" t="n"/>
      <c r="I315" s="23" t="n"/>
      <c r="J315" s="23" t="n"/>
      <c r="K315" s="23" t="n"/>
      <c r="L315" s="23" t="n"/>
      <c r="M315" s="23" t="n"/>
      <c r="N315" s="23" t="n"/>
      <c r="O315" s="23" t="n"/>
      <c r="P315" s="23" t="n"/>
      <c r="Q315" s="23" t="n"/>
      <c r="R315" s="23" t="n"/>
      <c r="S315" s="23" t="n"/>
      <c r="T315" s="23" t="n"/>
      <c r="U315" s="23" t="n"/>
      <c r="V315" s="23" t="n"/>
      <c r="W315" s="23" t="n"/>
      <c r="X315" s="23" t="n"/>
      <c r="Y315" s="23" t="n"/>
      <c r="Z315" s="23" t="n"/>
      <c r="AA315" s="23" t="n"/>
      <c r="AB315" s="23" t="n"/>
      <c r="AC315" s="23" t="n"/>
      <c r="AD315" s="23" t="n"/>
      <c r="AE315" s="23" t="n"/>
      <c r="AF315" s="23" t="n"/>
      <c r="AG315" s="23" t="n"/>
      <c r="AH315" s="23" t="n"/>
      <c r="AI315" s="23" t="n"/>
      <c r="AJ315" s="23" t="n"/>
      <c r="AK315" s="23" t="n"/>
      <c r="AL315" s="23" t="n"/>
      <c r="AM315" s="26">
        <f>IF(G315="","",G315&amp;"|"&amp;P315)</f>
        <v/>
      </c>
      <c r="AN315" s="27">
        <f>IF(I315="","",IFERROR(DATE(VALUE(RIGHT(I315,4)),VALUE(MID(I315,4,2)),VALUE(LEFT(I315,2))),""))</f>
        <v/>
      </c>
      <c r="AO315" s="27">
        <f>IF(Y315="","",IFERROR(DATE(VALUE(RIGHT(Y315,4)),VALUE(MID(Y315,4,2)),VALUE(LEFT(Y315,2))),""))</f>
        <v/>
      </c>
      <c r="AP315" s="27">
        <f>IF(AC315="","",IFERROR(DATE(VALUE(RIGHT(AC315,4)),VALUE(MID(AC315,4,2)),VALUE(LEFT(AC315,2))),""))</f>
        <v/>
      </c>
      <c r="AQ315" s="26">
        <f>IF(AI315="","",TRIM(LEFT(AI315,FIND(" ",AI315&amp;" ")-1)))</f>
        <v/>
      </c>
      <c r="AR315" s="27">
        <f>IF(AQ315="","",IFERROR(DATE(VALUE(MID(AQ315,FIND("/",AQ315,FIND("/",AQ315)+1)+1,4)),VALUE(LEFT(AQ315,FIND("/",AQ315)-1)),VALUE(MID(AQ315,FIND("/",AQ315)+1,FIND("/",AQ315,FIND("/",AQ315)+1)-FIND("/",AQ315)-1))),""))</f>
        <v/>
      </c>
      <c r="AS315" s="26">
        <f>IF(G315="","",IF(AND(AG315&lt;&gt;"",AG315&lt;&gt;"Bayi Aracı"),"Evet","Hayır"))</f>
        <v/>
      </c>
      <c r="AT315" s="26">
        <f>IF(G315="","",IF(AND(AS315="Evet",T315="Siparişiniz Teslim Edildi"),"Evet","Hayır"))</f>
        <v/>
      </c>
      <c r="AU315" s="26">
        <f>IF(G315="","",IF(AB315="Siparişinizin Montajı Yapıldı","Evet","Hayır"))</f>
        <v/>
      </c>
      <c r="AV315" s="27">
        <f>IF(G315="","",IF(AT315="Evet",AR315,IF(AU315="Evet",AP315,"")))</f>
        <v/>
      </c>
    </row>
    <row r="316">
      <c r="A316" s="23" t="n"/>
      <c r="B316" s="23" t="n"/>
      <c r="C316" s="23" t="n"/>
      <c r="D316" s="23" t="n"/>
      <c r="E316" s="23" t="n"/>
      <c r="F316" s="23" t="n"/>
      <c r="G316" s="23" t="n"/>
      <c r="H316" s="23" t="n"/>
      <c r="I316" s="23" t="n"/>
      <c r="J316" s="23" t="n"/>
      <c r="K316" s="23" t="n"/>
      <c r="L316" s="23" t="n"/>
      <c r="M316" s="23" t="n"/>
      <c r="N316" s="23" t="n"/>
      <c r="O316" s="23" t="n"/>
      <c r="P316" s="23" t="n"/>
      <c r="Q316" s="23" t="n"/>
      <c r="R316" s="23" t="n"/>
      <c r="S316" s="23" t="n"/>
      <c r="T316" s="23" t="n"/>
      <c r="U316" s="23" t="n"/>
      <c r="V316" s="23" t="n"/>
      <c r="W316" s="23" t="n"/>
      <c r="X316" s="23" t="n"/>
      <c r="Y316" s="23" t="n"/>
      <c r="Z316" s="23" t="n"/>
      <c r="AA316" s="23" t="n"/>
      <c r="AB316" s="23" t="n"/>
      <c r="AC316" s="23" t="n"/>
      <c r="AD316" s="23" t="n"/>
      <c r="AE316" s="23" t="n"/>
      <c r="AF316" s="23" t="n"/>
      <c r="AG316" s="23" t="n"/>
      <c r="AH316" s="23" t="n"/>
      <c r="AI316" s="23" t="n"/>
      <c r="AJ316" s="23" t="n"/>
      <c r="AK316" s="23" t="n"/>
      <c r="AL316" s="23" t="n"/>
      <c r="AM316" s="26">
        <f>IF(G316="","",G316&amp;"|"&amp;P316)</f>
        <v/>
      </c>
      <c r="AN316" s="27">
        <f>IF(I316="","",IFERROR(DATE(VALUE(RIGHT(I316,4)),VALUE(MID(I316,4,2)),VALUE(LEFT(I316,2))),""))</f>
        <v/>
      </c>
      <c r="AO316" s="27">
        <f>IF(Y316="","",IFERROR(DATE(VALUE(RIGHT(Y316,4)),VALUE(MID(Y316,4,2)),VALUE(LEFT(Y316,2))),""))</f>
        <v/>
      </c>
      <c r="AP316" s="27">
        <f>IF(AC316="","",IFERROR(DATE(VALUE(RIGHT(AC316,4)),VALUE(MID(AC316,4,2)),VALUE(LEFT(AC316,2))),""))</f>
        <v/>
      </c>
      <c r="AQ316" s="26">
        <f>IF(AI316="","",TRIM(LEFT(AI316,FIND(" ",AI316&amp;" ")-1)))</f>
        <v/>
      </c>
      <c r="AR316" s="27">
        <f>IF(AQ316="","",IFERROR(DATE(VALUE(MID(AQ316,FIND("/",AQ316,FIND("/",AQ316)+1)+1,4)),VALUE(LEFT(AQ316,FIND("/",AQ316)-1)),VALUE(MID(AQ316,FIND("/",AQ316)+1,FIND("/",AQ316,FIND("/",AQ316)+1)-FIND("/",AQ316)-1))),""))</f>
        <v/>
      </c>
      <c r="AS316" s="26">
        <f>IF(G316="","",IF(AND(AG316&lt;&gt;"",AG316&lt;&gt;"Bayi Aracı"),"Evet","Hayır"))</f>
        <v/>
      </c>
      <c r="AT316" s="26">
        <f>IF(G316="","",IF(AND(AS316="Evet",T316="Siparişiniz Teslim Edildi"),"Evet","Hayır"))</f>
        <v/>
      </c>
      <c r="AU316" s="26">
        <f>IF(G316="","",IF(AB316="Siparişinizin Montajı Yapıldı","Evet","Hayır"))</f>
        <v/>
      </c>
      <c r="AV316" s="27">
        <f>IF(G316="","",IF(AT316="Evet",AR316,IF(AU316="Evet",AP316,"")))</f>
        <v/>
      </c>
    </row>
    <row r="317">
      <c r="A317" s="23" t="n"/>
      <c r="B317" s="23" t="n"/>
      <c r="C317" s="23" t="n"/>
      <c r="D317" s="23" t="n"/>
      <c r="E317" s="23" t="n"/>
      <c r="F317" s="23" t="n"/>
      <c r="G317" s="23" t="n"/>
      <c r="H317" s="23" t="n"/>
      <c r="I317" s="23" t="n"/>
      <c r="J317" s="23" t="n"/>
      <c r="K317" s="23" t="n"/>
      <c r="L317" s="23" t="n"/>
      <c r="M317" s="23" t="n"/>
      <c r="N317" s="23" t="n"/>
      <c r="O317" s="23" t="n"/>
      <c r="P317" s="23" t="n"/>
      <c r="Q317" s="23" t="n"/>
      <c r="R317" s="23" t="n"/>
      <c r="S317" s="23" t="n"/>
      <c r="T317" s="23" t="n"/>
      <c r="U317" s="23" t="n"/>
      <c r="V317" s="23" t="n"/>
      <c r="W317" s="23" t="n"/>
      <c r="X317" s="23" t="n"/>
      <c r="Y317" s="23" t="n"/>
      <c r="Z317" s="23" t="n"/>
      <c r="AA317" s="23" t="n"/>
      <c r="AB317" s="23" t="n"/>
      <c r="AC317" s="23" t="n"/>
      <c r="AD317" s="23" t="n"/>
      <c r="AE317" s="23" t="n"/>
      <c r="AF317" s="23" t="n"/>
      <c r="AG317" s="23" t="n"/>
      <c r="AH317" s="23" t="n"/>
      <c r="AI317" s="23" t="n"/>
      <c r="AJ317" s="23" t="n"/>
      <c r="AK317" s="23" t="n"/>
      <c r="AL317" s="23" t="n"/>
      <c r="AM317" s="26">
        <f>IF(G317="","",G317&amp;"|"&amp;P317)</f>
        <v/>
      </c>
      <c r="AN317" s="27">
        <f>IF(I317="","",IFERROR(DATE(VALUE(RIGHT(I317,4)),VALUE(MID(I317,4,2)),VALUE(LEFT(I317,2))),""))</f>
        <v/>
      </c>
      <c r="AO317" s="27">
        <f>IF(Y317="","",IFERROR(DATE(VALUE(RIGHT(Y317,4)),VALUE(MID(Y317,4,2)),VALUE(LEFT(Y317,2))),""))</f>
        <v/>
      </c>
      <c r="AP317" s="27">
        <f>IF(AC317="","",IFERROR(DATE(VALUE(RIGHT(AC317,4)),VALUE(MID(AC317,4,2)),VALUE(LEFT(AC317,2))),""))</f>
        <v/>
      </c>
      <c r="AQ317" s="26">
        <f>IF(AI317="","",TRIM(LEFT(AI317,FIND(" ",AI317&amp;" ")-1)))</f>
        <v/>
      </c>
      <c r="AR317" s="27">
        <f>IF(AQ317="","",IFERROR(DATE(VALUE(MID(AQ317,FIND("/",AQ317,FIND("/",AQ317)+1)+1,4)),VALUE(LEFT(AQ317,FIND("/",AQ317)-1)),VALUE(MID(AQ317,FIND("/",AQ317)+1,FIND("/",AQ317,FIND("/",AQ317)+1)-FIND("/",AQ317)-1))),""))</f>
        <v/>
      </c>
      <c r="AS317" s="26">
        <f>IF(G317="","",IF(AND(AG317&lt;&gt;"",AG317&lt;&gt;"Bayi Aracı"),"Evet","Hayır"))</f>
        <v/>
      </c>
      <c r="AT317" s="26">
        <f>IF(G317="","",IF(AND(AS317="Evet",T317="Siparişiniz Teslim Edildi"),"Evet","Hayır"))</f>
        <v/>
      </c>
      <c r="AU317" s="26">
        <f>IF(G317="","",IF(AB317="Siparişinizin Montajı Yapıldı","Evet","Hayır"))</f>
        <v/>
      </c>
      <c r="AV317" s="27">
        <f>IF(G317="","",IF(AT317="Evet",AR317,IF(AU317="Evet",AP317,"")))</f>
        <v/>
      </c>
    </row>
    <row r="318">
      <c r="A318" s="23" t="n"/>
      <c r="B318" s="23" t="n"/>
      <c r="C318" s="23" t="n"/>
      <c r="D318" s="23" t="n"/>
      <c r="E318" s="23" t="n"/>
      <c r="F318" s="23" t="n"/>
      <c r="G318" s="23" t="n"/>
      <c r="H318" s="23" t="n"/>
      <c r="I318" s="23" t="n"/>
      <c r="J318" s="23" t="n"/>
      <c r="K318" s="23" t="n"/>
      <c r="L318" s="23" t="n"/>
      <c r="M318" s="23" t="n"/>
      <c r="N318" s="23" t="n"/>
      <c r="O318" s="23" t="n"/>
      <c r="P318" s="23" t="n"/>
      <c r="Q318" s="23" t="n"/>
      <c r="R318" s="23" t="n"/>
      <c r="S318" s="23" t="n"/>
      <c r="T318" s="23" t="n"/>
      <c r="U318" s="23" t="n"/>
      <c r="V318" s="23" t="n"/>
      <c r="W318" s="23" t="n"/>
      <c r="X318" s="23" t="n"/>
      <c r="Y318" s="23" t="n"/>
      <c r="Z318" s="23" t="n"/>
      <c r="AA318" s="23" t="n"/>
      <c r="AB318" s="23" t="n"/>
      <c r="AC318" s="23" t="n"/>
      <c r="AD318" s="23" t="n"/>
      <c r="AE318" s="23" t="n"/>
      <c r="AF318" s="23" t="n"/>
      <c r="AG318" s="23" t="n"/>
      <c r="AH318" s="23" t="n"/>
      <c r="AI318" s="23" t="n"/>
      <c r="AJ318" s="23" t="n"/>
      <c r="AK318" s="23" t="n"/>
      <c r="AL318" s="23" t="n"/>
      <c r="AM318" s="26">
        <f>IF(G318="","",G318&amp;"|"&amp;P318)</f>
        <v/>
      </c>
      <c r="AN318" s="27">
        <f>IF(I318="","",IFERROR(DATE(VALUE(RIGHT(I318,4)),VALUE(MID(I318,4,2)),VALUE(LEFT(I318,2))),""))</f>
        <v/>
      </c>
      <c r="AO318" s="27">
        <f>IF(Y318="","",IFERROR(DATE(VALUE(RIGHT(Y318,4)),VALUE(MID(Y318,4,2)),VALUE(LEFT(Y318,2))),""))</f>
        <v/>
      </c>
      <c r="AP318" s="27">
        <f>IF(AC318="","",IFERROR(DATE(VALUE(RIGHT(AC318,4)),VALUE(MID(AC318,4,2)),VALUE(LEFT(AC318,2))),""))</f>
        <v/>
      </c>
      <c r="AQ318" s="26">
        <f>IF(AI318="","",TRIM(LEFT(AI318,FIND(" ",AI318&amp;" ")-1)))</f>
        <v/>
      </c>
      <c r="AR318" s="27">
        <f>IF(AQ318="","",IFERROR(DATE(VALUE(MID(AQ318,FIND("/",AQ318,FIND("/",AQ318)+1)+1,4)),VALUE(LEFT(AQ318,FIND("/",AQ318)-1)),VALUE(MID(AQ318,FIND("/",AQ318)+1,FIND("/",AQ318,FIND("/",AQ318)+1)-FIND("/",AQ318)-1))),""))</f>
        <v/>
      </c>
      <c r="AS318" s="26">
        <f>IF(G318="","",IF(AND(AG318&lt;&gt;"",AG318&lt;&gt;"Bayi Aracı"),"Evet","Hayır"))</f>
        <v/>
      </c>
      <c r="AT318" s="26">
        <f>IF(G318="","",IF(AND(AS318="Evet",T318="Siparişiniz Teslim Edildi"),"Evet","Hayır"))</f>
        <v/>
      </c>
      <c r="AU318" s="26">
        <f>IF(G318="","",IF(AB318="Siparişinizin Montajı Yapıldı","Evet","Hayır"))</f>
        <v/>
      </c>
      <c r="AV318" s="27">
        <f>IF(G318="","",IF(AT318="Evet",AR318,IF(AU318="Evet",AP318,"")))</f>
        <v/>
      </c>
    </row>
    <row r="319">
      <c r="A319" s="23" t="n"/>
      <c r="B319" s="23" t="n"/>
      <c r="C319" s="23" t="n"/>
      <c r="D319" s="23" t="n"/>
      <c r="E319" s="23" t="n"/>
      <c r="F319" s="23" t="n"/>
      <c r="G319" s="23" t="n"/>
      <c r="H319" s="23" t="n"/>
      <c r="I319" s="23" t="n"/>
      <c r="J319" s="23" t="n"/>
      <c r="K319" s="23" t="n"/>
      <c r="L319" s="23" t="n"/>
      <c r="M319" s="23" t="n"/>
      <c r="N319" s="23" t="n"/>
      <c r="O319" s="23" t="n"/>
      <c r="P319" s="23" t="n"/>
      <c r="Q319" s="23" t="n"/>
      <c r="R319" s="23" t="n"/>
      <c r="S319" s="23" t="n"/>
      <c r="T319" s="23" t="n"/>
      <c r="U319" s="23" t="n"/>
      <c r="V319" s="23" t="n"/>
      <c r="W319" s="23" t="n"/>
      <c r="X319" s="23" t="n"/>
      <c r="Y319" s="23" t="n"/>
      <c r="Z319" s="23" t="n"/>
      <c r="AA319" s="23" t="n"/>
      <c r="AB319" s="23" t="n"/>
      <c r="AC319" s="23" t="n"/>
      <c r="AD319" s="23" t="n"/>
      <c r="AE319" s="23" t="n"/>
      <c r="AF319" s="23" t="n"/>
      <c r="AG319" s="23" t="n"/>
      <c r="AH319" s="23" t="n"/>
      <c r="AI319" s="23" t="n"/>
      <c r="AJ319" s="23" t="n"/>
      <c r="AK319" s="23" t="n"/>
      <c r="AL319" s="23" t="n"/>
      <c r="AM319" s="26">
        <f>IF(G319="","",G319&amp;"|"&amp;P319)</f>
        <v/>
      </c>
      <c r="AN319" s="27">
        <f>IF(I319="","",IFERROR(DATE(VALUE(RIGHT(I319,4)),VALUE(MID(I319,4,2)),VALUE(LEFT(I319,2))),""))</f>
        <v/>
      </c>
      <c r="AO319" s="27">
        <f>IF(Y319="","",IFERROR(DATE(VALUE(RIGHT(Y319,4)),VALUE(MID(Y319,4,2)),VALUE(LEFT(Y319,2))),""))</f>
        <v/>
      </c>
      <c r="AP319" s="27">
        <f>IF(AC319="","",IFERROR(DATE(VALUE(RIGHT(AC319,4)),VALUE(MID(AC319,4,2)),VALUE(LEFT(AC319,2))),""))</f>
        <v/>
      </c>
      <c r="AQ319" s="26">
        <f>IF(AI319="","",TRIM(LEFT(AI319,FIND(" ",AI319&amp;" ")-1)))</f>
        <v/>
      </c>
      <c r="AR319" s="27">
        <f>IF(AQ319="","",IFERROR(DATE(VALUE(MID(AQ319,FIND("/",AQ319,FIND("/",AQ319)+1)+1,4)),VALUE(LEFT(AQ319,FIND("/",AQ319)-1)),VALUE(MID(AQ319,FIND("/",AQ319)+1,FIND("/",AQ319,FIND("/",AQ319)+1)-FIND("/",AQ319)-1))),""))</f>
        <v/>
      </c>
      <c r="AS319" s="26">
        <f>IF(G319="","",IF(AND(AG319&lt;&gt;"",AG319&lt;&gt;"Bayi Aracı"),"Evet","Hayır"))</f>
        <v/>
      </c>
      <c r="AT319" s="26">
        <f>IF(G319="","",IF(AND(AS319="Evet",T319="Siparişiniz Teslim Edildi"),"Evet","Hayır"))</f>
        <v/>
      </c>
      <c r="AU319" s="26">
        <f>IF(G319="","",IF(AB319="Siparişinizin Montajı Yapıldı","Evet","Hayır"))</f>
        <v/>
      </c>
      <c r="AV319" s="27">
        <f>IF(G319="","",IF(AT319="Evet",AR319,IF(AU319="Evet",AP319,"")))</f>
        <v/>
      </c>
    </row>
    <row r="320">
      <c r="A320" s="23" t="n"/>
      <c r="B320" s="23" t="n"/>
      <c r="C320" s="23" t="n"/>
      <c r="D320" s="23" t="n"/>
      <c r="E320" s="23" t="n"/>
      <c r="F320" s="23" t="n"/>
      <c r="G320" s="23" t="n"/>
      <c r="H320" s="23" t="n"/>
      <c r="I320" s="23" t="n"/>
      <c r="J320" s="23" t="n"/>
      <c r="K320" s="23" t="n"/>
      <c r="L320" s="23" t="n"/>
      <c r="M320" s="23" t="n"/>
      <c r="N320" s="23" t="n"/>
      <c r="O320" s="23" t="n"/>
      <c r="P320" s="23" t="n"/>
      <c r="Q320" s="23" t="n"/>
      <c r="R320" s="23" t="n"/>
      <c r="S320" s="23" t="n"/>
      <c r="T320" s="23" t="n"/>
      <c r="U320" s="23" t="n"/>
      <c r="V320" s="23" t="n"/>
      <c r="W320" s="23" t="n"/>
      <c r="X320" s="23" t="n"/>
      <c r="Y320" s="23" t="n"/>
      <c r="Z320" s="23" t="n"/>
      <c r="AA320" s="23" t="n"/>
      <c r="AB320" s="23" t="n"/>
      <c r="AC320" s="23" t="n"/>
      <c r="AD320" s="23" t="n"/>
      <c r="AE320" s="23" t="n"/>
      <c r="AF320" s="23" t="n"/>
      <c r="AG320" s="23" t="n"/>
      <c r="AH320" s="23" t="n"/>
      <c r="AI320" s="23" t="n"/>
      <c r="AJ320" s="23" t="n"/>
      <c r="AK320" s="23" t="n"/>
      <c r="AL320" s="23" t="n"/>
      <c r="AM320" s="26">
        <f>IF(G320="","",G320&amp;"|"&amp;P320)</f>
        <v/>
      </c>
      <c r="AN320" s="27">
        <f>IF(I320="","",IFERROR(DATE(VALUE(RIGHT(I320,4)),VALUE(MID(I320,4,2)),VALUE(LEFT(I320,2))),""))</f>
        <v/>
      </c>
      <c r="AO320" s="27">
        <f>IF(Y320="","",IFERROR(DATE(VALUE(RIGHT(Y320,4)),VALUE(MID(Y320,4,2)),VALUE(LEFT(Y320,2))),""))</f>
        <v/>
      </c>
      <c r="AP320" s="27">
        <f>IF(AC320="","",IFERROR(DATE(VALUE(RIGHT(AC320,4)),VALUE(MID(AC320,4,2)),VALUE(LEFT(AC320,2))),""))</f>
        <v/>
      </c>
      <c r="AQ320" s="26">
        <f>IF(AI320="","",TRIM(LEFT(AI320,FIND(" ",AI320&amp;" ")-1)))</f>
        <v/>
      </c>
      <c r="AR320" s="27">
        <f>IF(AQ320="","",IFERROR(DATE(VALUE(MID(AQ320,FIND("/",AQ320,FIND("/",AQ320)+1)+1,4)),VALUE(LEFT(AQ320,FIND("/",AQ320)-1)),VALUE(MID(AQ320,FIND("/",AQ320)+1,FIND("/",AQ320,FIND("/",AQ320)+1)-FIND("/",AQ320)-1))),""))</f>
        <v/>
      </c>
      <c r="AS320" s="26">
        <f>IF(G320="","",IF(AND(AG320&lt;&gt;"",AG320&lt;&gt;"Bayi Aracı"),"Evet","Hayır"))</f>
        <v/>
      </c>
      <c r="AT320" s="26">
        <f>IF(G320="","",IF(AND(AS320="Evet",T320="Siparişiniz Teslim Edildi"),"Evet","Hayır"))</f>
        <v/>
      </c>
      <c r="AU320" s="26">
        <f>IF(G320="","",IF(AB320="Siparişinizin Montajı Yapıldı","Evet","Hayır"))</f>
        <v/>
      </c>
      <c r="AV320" s="27">
        <f>IF(G320="","",IF(AT320="Evet",AR320,IF(AU320="Evet",AP320,"")))</f>
        <v/>
      </c>
    </row>
    <row r="321">
      <c r="A321" s="23" t="n"/>
      <c r="B321" s="23" t="n"/>
      <c r="C321" s="23" t="n"/>
      <c r="D321" s="23" t="n"/>
      <c r="E321" s="23" t="n"/>
      <c r="F321" s="23" t="n"/>
      <c r="G321" s="23" t="n"/>
      <c r="H321" s="23" t="n"/>
      <c r="I321" s="23" t="n"/>
      <c r="J321" s="23" t="n"/>
      <c r="K321" s="23" t="n"/>
      <c r="L321" s="23" t="n"/>
      <c r="M321" s="23" t="n"/>
      <c r="N321" s="23" t="n"/>
      <c r="O321" s="23" t="n"/>
      <c r="P321" s="23" t="n"/>
      <c r="Q321" s="23" t="n"/>
      <c r="R321" s="23" t="n"/>
      <c r="S321" s="23" t="n"/>
      <c r="T321" s="23" t="n"/>
      <c r="U321" s="23" t="n"/>
      <c r="V321" s="23" t="n"/>
      <c r="W321" s="23" t="n"/>
      <c r="X321" s="23" t="n"/>
      <c r="Y321" s="23" t="n"/>
      <c r="Z321" s="23" t="n"/>
      <c r="AA321" s="23" t="n"/>
      <c r="AB321" s="23" t="n"/>
      <c r="AC321" s="23" t="n"/>
      <c r="AD321" s="23" t="n"/>
      <c r="AE321" s="23" t="n"/>
      <c r="AF321" s="23" t="n"/>
      <c r="AG321" s="23" t="n"/>
      <c r="AH321" s="23" t="n"/>
      <c r="AI321" s="23" t="n"/>
      <c r="AJ321" s="23" t="n"/>
      <c r="AK321" s="23" t="n"/>
      <c r="AL321" s="23" t="n"/>
      <c r="AM321" s="26">
        <f>IF(G321="","",G321&amp;"|"&amp;P321)</f>
        <v/>
      </c>
      <c r="AN321" s="27">
        <f>IF(I321="","",IFERROR(DATE(VALUE(RIGHT(I321,4)),VALUE(MID(I321,4,2)),VALUE(LEFT(I321,2))),""))</f>
        <v/>
      </c>
      <c r="AO321" s="27">
        <f>IF(Y321="","",IFERROR(DATE(VALUE(RIGHT(Y321,4)),VALUE(MID(Y321,4,2)),VALUE(LEFT(Y321,2))),""))</f>
        <v/>
      </c>
      <c r="AP321" s="27">
        <f>IF(AC321="","",IFERROR(DATE(VALUE(RIGHT(AC321,4)),VALUE(MID(AC321,4,2)),VALUE(LEFT(AC321,2))),""))</f>
        <v/>
      </c>
      <c r="AQ321" s="26">
        <f>IF(AI321="","",TRIM(LEFT(AI321,FIND(" ",AI321&amp;" ")-1)))</f>
        <v/>
      </c>
      <c r="AR321" s="27">
        <f>IF(AQ321="","",IFERROR(DATE(VALUE(MID(AQ321,FIND("/",AQ321,FIND("/",AQ321)+1)+1,4)),VALUE(LEFT(AQ321,FIND("/",AQ321)-1)),VALUE(MID(AQ321,FIND("/",AQ321)+1,FIND("/",AQ321,FIND("/",AQ321)+1)-FIND("/",AQ321)-1))),""))</f>
        <v/>
      </c>
      <c r="AS321" s="26">
        <f>IF(G321="","",IF(AND(AG321&lt;&gt;"",AG321&lt;&gt;"Bayi Aracı"),"Evet","Hayır"))</f>
        <v/>
      </c>
      <c r="AT321" s="26">
        <f>IF(G321="","",IF(AND(AS321="Evet",T321="Siparişiniz Teslim Edildi"),"Evet","Hayır"))</f>
        <v/>
      </c>
      <c r="AU321" s="26">
        <f>IF(G321="","",IF(AB321="Siparişinizin Montajı Yapıldı","Evet","Hayır"))</f>
        <v/>
      </c>
      <c r="AV321" s="27">
        <f>IF(G321="","",IF(AT321="Evet",AR321,IF(AU321="Evet",AP321,"")))</f>
        <v/>
      </c>
    </row>
    <row r="322">
      <c r="A322" s="23" t="n"/>
      <c r="B322" s="23" t="n"/>
      <c r="C322" s="23" t="n"/>
      <c r="D322" s="23" t="n"/>
      <c r="E322" s="23" t="n"/>
      <c r="F322" s="23" t="n"/>
      <c r="G322" s="23" t="n"/>
      <c r="H322" s="23" t="n"/>
      <c r="I322" s="23" t="n"/>
      <c r="J322" s="23" t="n"/>
      <c r="K322" s="23" t="n"/>
      <c r="L322" s="23" t="n"/>
      <c r="M322" s="23" t="n"/>
      <c r="N322" s="23" t="n"/>
      <c r="O322" s="23" t="n"/>
      <c r="P322" s="23" t="n"/>
      <c r="Q322" s="23" t="n"/>
      <c r="R322" s="23" t="n"/>
      <c r="S322" s="23" t="n"/>
      <c r="T322" s="23" t="n"/>
      <c r="U322" s="23" t="n"/>
      <c r="V322" s="23" t="n"/>
      <c r="W322" s="23" t="n"/>
      <c r="X322" s="23" t="n"/>
      <c r="Y322" s="23" t="n"/>
      <c r="Z322" s="23" t="n"/>
      <c r="AA322" s="23" t="n"/>
      <c r="AB322" s="23" t="n"/>
      <c r="AC322" s="23" t="n"/>
      <c r="AD322" s="23" t="n"/>
      <c r="AE322" s="23" t="n"/>
      <c r="AF322" s="23" t="n"/>
      <c r="AG322" s="23" t="n"/>
      <c r="AH322" s="23" t="n"/>
      <c r="AI322" s="23" t="n"/>
      <c r="AJ322" s="23" t="n"/>
      <c r="AK322" s="23" t="n"/>
      <c r="AL322" s="23" t="n"/>
      <c r="AM322" s="26">
        <f>IF(G322="","",G322&amp;"|"&amp;P322)</f>
        <v/>
      </c>
      <c r="AN322" s="27">
        <f>IF(I322="","",IFERROR(DATE(VALUE(RIGHT(I322,4)),VALUE(MID(I322,4,2)),VALUE(LEFT(I322,2))),""))</f>
        <v/>
      </c>
      <c r="AO322" s="27">
        <f>IF(Y322="","",IFERROR(DATE(VALUE(RIGHT(Y322,4)),VALUE(MID(Y322,4,2)),VALUE(LEFT(Y322,2))),""))</f>
        <v/>
      </c>
      <c r="AP322" s="27">
        <f>IF(AC322="","",IFERROR(DATE(VALUE(RIGHT(AC322,4)),VALUE(MID(AC322,4,2)),VALUE(LEFT(AC322,2))),""))</f>
        <v/>
      </c>
      <c r="AQ322" s="26">
        <f>IF(AI322="","",TRIM(LEFT(AI322,FIND(" ",AI322&amp;" ")-1)))</f>
        <v/>
      </c>
      <c r="AR322" s="27">
        <f>IF(AQ322="","",IFERROR(DATE(VALUE(MID(AQ322,FIND("/",AQ322,FIND("/",AQ322)+1)+1,4)),VALUE(LEFT(AQ322,FIND("/",AQ322)-1)),VALUE(MID(AQ322,FIND("/",AQ322)+1,FIND("/",AQ322,FIND("/",AQ322)+1)-FIND("/",AQ322)-1))),""))</f>
        <v/>
      </c>
      <c r="AS322" s="26">
        <f>IF(G322="","",IF(AND(AG322&lt;&gt;"",AG322&lt;&gt;"Bayi Aracı"),"Evet","Hayır"))</f>
        <v/>
      </c>
      <c r="AT322" s="26">
        <f>IF(G322="","",IF(AND(AS322="Evet",T322="Siparişiniz Teslim Edildi"),"Evet","Hayır"))</f>
        <v/>
      </c>
      <c r="AU322" s="26">
        <f>IF(G322="","",IF(AB322="Siparişinizin Montajı Yapıldı","Evet","Hayır"))</f>
        <v/>
      </c>
      <c r="AV322" s="27">
        <f>IF(G322="","",IF(AT322="Evet",AR322,IF(AU322="Evet",AP322,"")))</f>
        <v/>
      </c>
    </row>
    <row r="323">
      <c r="A323" s="23" t="n"/>
      <c r="B323" s="23" t="n"/>
      <c r="C323" s="23" t="n"/>
      <c r="D323" s="23" t="n"/>
      <c r="E323" s="23" t="n"/>
      <c r="F323" s="23" t="n"/>
      <c r="G323" s="23" t="n"/>
      <c r="H323" s="23" t="n"/>
      <c r="I323" s="23" t="n"/>
      <c r="J323" s="23" t="n"/>
      <c r="K323" s="23" t="n"/>
      <c r="L323" s="23" t="n"/>
      <c r="M323" s="23" t="n"/>
      <c r="N323" s="23" t="n"/>
      <c r="O323" s="23" t="n"/>
      <c r="P323" s="23" t="n"/>
      <c r="Q323" s="23" t="n"/>
      <c r="R323" s="23" t="n"/>
      <c r="S323" s="23" t="n"/>
      <c r="T323" s="23" t="n"/>
      <c r="U323" s="23" t="n"/>
      <c r="V323" s="23" t="n"/>
      <c r="W323" s="23" t="n"/>
      <c r="X323" s="23" t="n"/>
      <c r="Y323" s="23" t="n"/>
      <c r="Z323" s="23" t="n"/>
      <c r="AA323" s="23" t="n"/>
      <c r="AB323" s="23" t="n"/>
      <c r="AC323" s="23" t="n"/>
      <c r="AD323" s="23" t="n"/>
      <c r="AE323" s="23" t="n"/>
      <c r="AF323" s="23" t="n"/>
      <c r="AG323" s="23" t="n"/>
      <c r="AH323" s="23" t="n"/>
      <c r="AI323" s="23" t="n"/>
      <c r="AJ323" s="23" t="n"/>
      <c r="AK323" s="23" t="n"/>
      <c r="AL323" s="23" t="n"/>
      <c r="AM323" s="26">
        <f>IF(G323="","",G323&amp;"|"&amp;P323)</f>
        <v/>
      </c>
      <c r="AN323" s="27">
        <f>IF(I323="","",IFERROR(DATE(VALUE(RIGHT(I323,4)),VALUE(MID(I323,4,2)),VALUE(LEFT(I323,2))),""))</f>
        <v/>
      </c>
      <c r="AO323" s="27">
        <f>IF(Y323="","",IFERROR(DATE(VALUE(RIGHT(Y323,4)),VALUE(MID(Y323,4,2)),VALUE(LEFT(Y323,2))),""))</f>
        <v/>
      </c>
      <c r="AP323" s="27">
        <f>IF(AC323="","",IFERROR(DATE(VALUE(RIGHT(AC323,4)),VALUE(MID(AC323,4,2)),VALUE(LEFT(AC323,2))),""))</f>
        <v/>
      </c>
      <c r="AQ323" s="26">
        <f>IF(AI323="","",TRIM(LEFT(AI323,FIND(" ",AI323&amp;" ")-1)))</f>
        <v/>
      </c>
      <c r="AR323" s="27">
        <f>IF(AQ323="","",IFERROR(DATE(VALUE(MID(AQ323,FIND("/",AQ323,FIND("/",AQ323)+1)+1,4)),VALUE(LEFT(AQ323,FIND("/",AQ323)-1)),VALUE(MID(AQ323,FIND("/",AQ323)+1,FIND("/",AQ323,FIND("/",AQ323)+1)-FIND("/",AQ323)-1))),""))</f>
        <v/>
      </c>
      <c r="AS323" s="26">
        <f>IF(G323="","",IF(AND(AG323&lt;&gt;"",AG323&lt;&gt;"Bayi Aracı"),"Evet","Hayır"))</f>
        <v/>
      </c>
      <c r="AT323" s="26">
        <f>IF(G323="","",IF(AND(AS323="Evet",T323="Siparişiniz Teslim Edildi"),"Evet","Hayır"))</f>
        <v/>
      </c>
      <c r="AU323" s="26">
        <f>IF(G323="","",IF(AB323="Siparişinizin Montajı Yapıldı","Evet","Hayır"))</f>
        <v/>
      </c>
      <c r="AV323" s="27">
        <f>IF(G323="","",IF(AT323="Evet",AR323,IF(AU323="Evet",AP323,"")))</f>
        <v/>
      </c>
    </row>
    <row r="324">
      <c r="A324" s="23" t="n"/>
      <c r="B324" s="23" t="n"/>
      <c r="C324" s="23" t="n"/>
      <c r="D324" s="23" t="n"/>
      <c r="E324" s="23" t="n"/>
      <c r="F324" s="23" t="n"/>
      <c r="G324" s="23" t="n"/>
      <c r="H324" s="23" t="n"/>
      <c r="I324" s="23" t="n"/>
      <c r="J324" s="23" t="n"/>
      <c r="K324" s="23" t="n"/>
      <c r="L324" s="23" t="n"/>
      <c r="M324" s="23" t="n"/>
      <c r="N324" s="23" t="n"/>
      <c r="O324" s="23" t="n"/>
      <c r="P324" s="23" t="n"/>
      <c r="Q324" s="23" t="n"/>
      <c r="R324" s="23" t="n"/>
      <c r="S324" s="23" t="n"/>
      <c r="T324" s="23" t="n"/>
      <c r="U324" s="23" t="n"/>
      <c r="V324" s="23" t="n"/>
      <c r="W324" s="23" t="n"/>
      <c r="X324" s="23" t="n"/>
      <c r="Y324" s="23" t="n"/>
      <c r="Z324" s="23" t="n"/>
      <c r="AA324" s="23" t="n"/>
      <c r="AB324" s="23" t="n"/>
      <c r="AC324" s="23" t="n"/>
      <c r="AD324" s="23" t="n"/>
      <c r="AE324" s="23" t="n"/>
      <c r="AF324" s="23" t="n"/>
      <c r="AG324" s="23" t="n"/>
      <c r="AH324" s="23" t="n"/>
      <c r="AI324" s="23" t="n"/>
      <c r="AJ324" s="23" t="n"/>
      <c r="AK324" s="23" t="n"/>
      <c r="AL324" s="23" t="n"/>
      <c r="AM324" s="26">
        <f>IF(G324="","",G324&amp;"|"&amp;P324)</f>
        <v/>
      </c>
      <c r="AN324" s="27">
        <f>IF(I324="","",IFERROR(DATE(VALUE(RIGHT(I324,4)),VALUE(MID(I324,4,2)),VALUE(LEFT(I324,2))),""))</f>
        <v/>
      </c>
      <c r="AO324" s="27">
        <f>IF(Y324="","",IFERROR(DATE(VALUE(RIGHT(Y324,4)),VALUE(MID(Y324,4,2)),VALUE(LEFT(Y324,2))),""))</f>
        <v/>
      </c>
      <c r="AP324" s="27">
        <f>IF(AC324="","",IFERROR(DATE(VALUE(RIGHT(AC324,4)),VALUE(MID(AC324,4,2)),VALUE(LEFT(AC324,2))),""))</f>
        <v/>
      </c>
      <c r="AQ324" s="26">
        <f>IF(AI324="","",TRIM(LEFT(AI324,FIND(" ",AI324&amp;" ")-1)))</f>
        <v/>
      </c>
      <c r="AR324" s="27">
        <f>IF(AQ324="","",IFERROR(DATE(VALUE(MID(AQ324,FIND("/",AQ324,FIND("/",AQ324)+1)+1,4)),VALUE(LEFT(AQ324,FIND("/",AQ324)-1)),VALUE(MID(AQ324,FIND("/",AQ324)+1,FIND("/",AQ324,FIND("/",AQ324)+1)-FIND("/",AQ324)-1))),""))</f>
        <v/>
      </c>
      <c r="AS324" s="26">
        <f>IF(G324="","",IF(AND(AG324&lt;&gt;"",AG324&lt;&gt;"Bayi Aracı"),"Evet","Hayır"))</f>
        <v/>
      </c>
      <c r="AT324" s="26">
        <f>IF(G324="","",IF(AND(AS324="Evet",T324="Siparişiniz Teslim Edildi"),"Evet","Hayır"))</f>
        <v/>
      </c>
      <c r="AU324" s="26">
        <f>IF(G324="","",IF(AB324="Siparişinizin Montajı Yapıldı","Evet","Hayır"))</f>
        <v/>
      </c>
      <c r="AV324" s="27">
        <f>IF(G324="","",IF(AT324="Evet",AR324,IF(AU324="Evet",AP324,"")))</f>
        <v/>
      </c>
    </row>
    <row r="325">
      <c r="A325" s="23" t="n"/>
      <c r="B325" s="23" t="n"/>
      <c r="C325" s="23" t="n"/>
      <c r="D325" s="23" t="n"/>
      <c r="E325" s="23" t="n"/>
      <c r="F325" s="23" t="n"/>
      <c r="G325" s="23" t="n"/>
      <c r="H325" s="23" t="n"/>
      <c r="I325" s="23" t="n"/>
      <c r="J325" s="23" t="n"/>
      <c r="K325" s="23" t="n"/>
      <c r="L325" s="23" t="n"/>
      <c r="M325" s="23" t="n"/>
      <c r="N325" s="23" t="n"/>
      <c r="O325" s="23" t="n"/>
      <c r="P325" s="23" t="n"/>
      <c r="Q325" s="23" t="n"/>
      <c r="R325" s="23" t="n"/>
      <c r="S325" s="23" t="n"/>
      <c r="T325" s="23" t="n"/>
      <c r="U325" s="23" t="n"/>
      <c r="V325" s="23" t="n"/>
      <c r="W325" s="23" t="n"/>
      <c r="X325" s="23" t="n"/>
      <c r="Y325" s="23" t="n"/>
      <c r="Z325" s="23" t="n"/>
      <c r="AA325" s="23" t="n"/>
      <c r="AB325" s="23" t="n"/>
      <c r="AC325" s="23" t="n"/>
      <c r="AD325" s="23" t="n"/>
      <c r="AE325" s="23" t="n"/>
      <c r="AF325" s="23" t="n"/>
      <c r="AG325" s="23" t="n"/>
      <c r="AH325" s="23" t="n"/>
      <c r="AI325" s="23" t="n"/>
      <c r="AJ325" s="23" t="n"/>
      <c r="AK325" s="23" t="n"/>
      <c r="AL325" s="23" t="n"/>
      <c r="AM325" s="26">
        <f>IF(G325="","",G325&amp;"|"&amp;P325)</f>
        <v/>
      </c>
      <c r="AN325" s="27">
        <f>IF(I325="","",IFERROR(DATE(VALUE(RIGHT(I325,4)),VALUE(MID(I325,4,2)),VALUE(LEFT(I325,2))),""))</f>
        <v/>
      </c>
      <c r="AO325" s="27">
        <f>IF(Y325="","",IFERROR(DATE(VALUE(RIGHT(Y325,4)),VALUE(MID(Y325,4,2)),VALUE(LEFT(Y325,2))),""))</f>
        <v/>
      </c>
      <c r="AP325" s="27">
        <f>IF(AC325="","",IFERROR(DATE(VALUE(RIGHT(AC325,4)),VALUE(MID(AC325,4,2)),VALUE(LEFT(AC325,2))),""))</f>
        <v/>
      </c>
      <c r="AQ325" s="26">
        <f>IF(AI325="","",TRIM(LEFT(AI325,FIND(" ",AI325&amp;" ")-1)))</f>
        <v/>
      </c>
      <c r="AR325" s="27">
        <f>IF(AQ325="","",IFERROR(DATE(VALUE(MID(AQ325,FIND("/",AQ325,FIND("/",AQ325)+1)+1,4)),VALUE(LEFT(AQ325,FIND("/",AQ325)-1)),VALUE(MID(AQ325,FIND("/",AQ325)+1,FIND("/",AQ325,FIND("/",AQ325)+1)-FIND("/",AQ325)-1))),""))</f>
        <v/>
      </c>
      <c r="AS325" s="26">
        <f>IF(G325="","",IF(AND(AG325&lt;&gt;"",AG325&lt;&gt;"Bayi Aracı"),"Evet","Hayır"))</f>
        <v/>
      </c>
      <c r="AT325" s="26">
        <f>IF(G325="","",IF(AND(AS325="Evet",T325="Siparişiniz Teslim Edildi"),"Evet","Hayır"))</f>
        <v/>
      </c>
      <c r="AU325" s="26">
        <f>IF(G325="","",IF(AB325="Siparişinizin Montajı Yapıldı","Evet","Hayır"))</f>
        <v/>
      </c>
      <c r="AV325" s="27">
        <f>IF(G325="","",IF(AT325="Evet",AR325,IF(AU325="Evet",AP325,"")))</f>
        <v/>
      </c>
    </row>
    <row r="326">
      <c r="A326" s="23" t="n"/>
      <c r="B326" s="23" t="n"/>
      <c r="C326" s="23" t="n"/>
      <c r="D326" s="23" t="n"/>
      <c r="E326" s="23" t="n"/>
      <c r="F326" s="23" t="n"/>
      <c r="G326" s="23" t="n"/>
      <c r="H326" s="23" t="n"/>
      <c r="I326" s="23" t="n"/>
      <c r="J326" s="23" t="n"/>
      <c r="K326" s="23" t="n"/>
      <c r="L326" s="23" t="n"/>
      <c r="M326" s="23" t="n"/>
      <c r="N326" s="23" t="n"/>
      <c r="O326" s="23" t="n"/>
      <c r="P326" s="23" t="n"/>
      <c r="Q326" s="23" t="n"/>
      <c r="R326" s="23" t="n"/>
      <c r="S326" s="23" t="n"/>
      <c r="T326" s="23" t="n"/>
      <c r="U326" s="23" t="n"/>
      <c r="V326" s="23" t="n"/>
      <c r="W326" s="23" t="n"/>
      <c r="X326" s="23" t="n"/>
      <c r="Y326" s="23" t="n"/>
      <c r="Z326" s="23" t="n"/>
      <c r="AA326" s="23" t="n"/>
      <c r="AB326" s="23" t="n"/>
      <c r="AC326" s="23" t="n"/>
      <c r="AD326" s="23" t="n"/>
      <c r="AE326" s="23" t="n"/>
      <c r="AF326" s="23" t="n"/>
      <c r="AG326" s="23" t="n"/>
      <c r="AH326" s="23" t="n"/>
      <c r="AI326" s="23" t="n"/>
      <c r="AJ326" s="23" t="n"/>
      <c r="AK326" s="23" t="n"/>
      <c r="AL326" s="23" t="n"/>
      <c r="AM326" s="26">
        <f>IF(G326="","",G326&amp;"|"&amp;P326)</f>
        <v/>
      </c>
      <c r="AN326" s="27">
        <f>IF(I326="","",IFERROR(DATE(VALUE(RIGHT(I326,4)),VALUE(MID(I326,4,2)),VALUE(LEFT(I326,2))),""))</f>
        <v/>
      </c>
      <c r="AO326" s="27">
        <f>IF(Y326="","",IFERROR(DATE(VALUE(RIGHT(Y326,4)),VALUE(MID(Y326,4,2)),VALUE(LEFT(Y326,2))),""))</f>
        <v/>
      </c>
      <c r="AP326" s="27">
        <f>IF(AC326="","",IFERROR(DATE(VALUE(RIGHT(AC326,4)),VALUE(MID(AC326,4,2)),VALUE(LEFT(AC326,2))),""))</f>
        <v/>
      </c>
      <c r="AQ326" s="26">
        <f>IF(AI326="","",TRIM(LEFT(AI326,FIND(" ",AI326&amp;" ")-1)))</f>
        <v/>
      </c>
      <c r="AR326" s="27">
        <f>IF(AQ326="","",IFERROR(DATE(VALUE(MID(AQ326,FIND("/",AQ326,FIND("/",AQ326)+1)+1,4)),VALUE(LEFT(AQ326,FIND("/",AQ326)-1)),VALUE(MID(AQ326,FIND("/",AQ326)+1,FIND("/",AQ326,FIND("/",AQ326)+1)-FIND("/",AQ326)-1))),""))</f>
        <v/>
      </c>
      <c r="AS326" s="26">
        <f>IF(G326="","",IF(AND(AG326&lt;&gt;"",AG326&lt;&gt;"Bayi Aracı"),"Evet","Hayır"))</f>
        <v/>
      </c>
      <c r="AT326" s="26">
        <f>IF(G326="","",IF(AND(AS326="Evet",T326="Siparişiniz Teslim Edildi"),"Evet","Hayır"))</f>
        <v/>
      </c>
      <c r="AU326" s="26">
        <f>IF(G326="","",IF(AB326="Siparişinizin Montajı Yapıldı","Evet","Hayır"))</f>
        <v/>
      </c>
      <c r="AV326" s="27">
        <f>IF(G326="","",IF(AT326="Evet",AR326,IF(AU326="Evet",AP326,"")))</f>
        <v/>
      </c>
    </row>
    <row r="327">
      <c r="A327" s="23" t="n"/>
      <c r="B327" s="23" t="n"/>
      <c r="C327" s="23" t="n"/>
      <c r="D327" s="23" t="n"/>
      <c r="E327" s="23" t="n"/>
      <c r="F327" s="23" t="n"/>
      <c r="G327" s="23" t="n"/>
      <c r="H327" s="23" t="n"/>
      <c r="I327" s="23" t="n"/>
      <c r="J327" s="23" t="n"/>
      <c r="K327" s="23" t="n"/>
      <c r="L327" s="23" t="n"/>
      <c r="M327" s="23" t="n"/>
      <c r="N327" s="23" t="n"/>
      <c r="O327" s="23" t="n"/>
      <c r="P327" s="23" t="n"/>
      <c r="Q327" s="23" t="n"/>
      <c r="R327" s="23" t="n"/>
      <c r="S327" s="23" t="n"/>
      <c r="T327" s="23" t="n"/>
      <c r="U327" s="23" t="n"/>
      <c r="V327" s="23" t="n"/>
      <c r="W327" s="23" t="n"/>
      <c r="X327" s="23" t="n"/>
      <c r="Y327" s="23" t="n"/>
      <c r="Z327" s="23" t="n"/>
      <c r="AA327" s="23" t="n"/>
      <c r="AB327" s="23" t="n"/>
      <c r="AC327" s="23" t="n"/>
      <c r="AD327" s="23" t="n"/>
      <c r="AE327" s="23" t="n"/>
      <c r="AF327" s="23" t="n"/>
      <c r="AG327" s="23" t="n"/>
      <c r="AH327" s="23" t="n"/>
      <c r="AI327" s="23" t="n"/>
      <c r="AJ327" s="23" t="n"/>
      <c r="AK327" s="23" t="n"/>
      <c r="AL327" s="23" t="n"/>
      <c r="AM327" s="26">
        <f>IF(G327="","",G327&amp;"|"&amp;P327)</f>
        <v/>
      </c>
      <c r="AN327" s="27">
        <f>IF(I327="","",IFERROR(DATE(VALUE(RIGHT(I327,4)),VALUE(MID(I327,4,2)),VALUE(LEFT(I327,2))),""))</f>
        <v/>
      </c>
      <c r="AO327" s="27">
        <f>IF(Y327="","",IFERROR(DATE(VALUE(RIGHT(Y327,4)),VALUE(MID(Y327,4,2)),VALUE(LEFT(Y327,2))),""))</f>
        <v/>
      </c>
      <c r="AP327" s="27">
        <f>IF(AC327="","",IFERROR(DATE(VALUE(RIGHT(AC327,4)),VALUE(MID(AC327,4,2)),VALUE(LEFT(AC327,2))),""))</f>
        <v/>
      </c>
      <c r="AQ327" s="26">
        <f>IF(AI327="","",TRIM(LEFT(AI327,FIND(" ",AI327&amp;" ")-1)))</f>
        <v/>
      </c>
      <c r="AR327" s="27">
        <f>IF(AQ327="","",IFERROR(DATE(VALUE(MID(AQ327,FIND("/",AQ327,FIND("/",AQ327)+1)+1,4)),VALUE(LEFT(AQ327,FIND("/",AQ327)-1)),VALUE(MID(AQ327,FIND("/",AQ327)+1,FIND("/",AQ327,FIND("/",AQ327)+1)-FIND("/",AQ327)-1))),""))</f>
        <v/>
      </c>
      <c r="AS327" s="26">
        <f>IF(G327="","",IF(AND(AG327&lt;&gt;"",AG327&lt;&gt;"Bayi Aracı"),"Evet","Hayır"))</f>
        <v/>
      </c>
      <c r="AT327" s="26">
        <f>IF(G327="","",IF(AND(AS327="Evet",T327="Siparişiniz Teslim Edildi"),"Evet","Hayır"))</f>
        <v/>
      </c>
      <c r="AU327" s="26">
        <f>IF(G327="","",IF(AB327="Siparişinizin Montajı Yapıldı","Evet","Hayır"))</f>
        <v/>
      </c>
      <c r="AV327" s="27">
        <f>IF(G327="","",IF(AT327="Evet",AR327,IF(AU327="Evet",AP327,"")))</f>
        <v/>
      </c>
    </row>
    <row r="328">
      <c r="A328" s="23" t="n"/>
      <c r="B328" s="23" t="n"/>
      <c r="C328" s="23" t="n"/>
      <c r="D328" s="23" t="n"/>
      <c r="E328" s="23" t="n"/>
      <c r="F328" s="23" t="n"/>
      <c r="G328" s="23" t="n"/>
      <c r="H328" s="23" t="n"/>
      <c r="I328" s="23" t="n"/>
      <c r="J328" s="23" t="n"/>
      <c r="K328" s="23" t="n"/>
      <c r="L328" s="23" t="n"/>
      <c r="M328" s="23" t="n"/>
      <c r="N328" s="23" t="n"/>
      <c r="O328" s="23" t="n"/>
      <c r="P328" s="23" t="n"/>
      <c r="Q328" s="23" t="n"/>
      <c r="R328" s="23" t="n"/>
      <c r="S328" s="23" t="n"/>
      <c r="T328" s="23" t="n"/>
      <c r="U328" s="23" t="n"/>
      <c r="V328" s="23" t="n"/>
      <c r="W328" s="23" t="n"/>
      <c r="X328" s="23" t="n"/>
      <c r="Y328" s="23" t="n"/>
      <c r="Z328" s="23" t="n"/>
      <c r="AA328" s="23" t="n"/>
      <c r="AB328" s="23" t="n"/>
      <c r="AC328" s="23" t="n"/>
      <c r="AD328" s="23" t="n"/>
      <c r="AE328" s="23" t="n"/>
      <c r="AF328" s="23" t="n"/>
      <c r="AG328" s="23" t="n"/>
      <c r="AH328" s="23" t="n"/>
      <c r="AI328" s="23" t="n"/>
      <c r="AJ328" s="23" t="n"/>
      <c r="AK328" s="23" t="n"/>
      <c r="AL328" s="23" t="n"/>
      <c r="AM328" s="26">
        <f>IF(G328="","",G328&amp;"|"&amp;P328)</f>
        <v/>
      </c>
      <c r="AN328" s="27">
        <f>IF(I328="","",IFERROR(DATE(VALUE(RIGHT(I328,4)),VALUE(MID(I328,4,2)),VALUE(LEFT(I328,2))),""))</f>
        <v/>
      </c>
      <c r="AO328" s="27">
        <f>IF(Y328="","",IFERROR(DATE(VALUE(RIGHT(Y328,4)),VALUE(MID(Y328,4,2)),VALUE(LEFT(Y328,2))),""))</f>
        <v/>
      </c>
      <c r="AP328" s="27">
        <f>IF(AC328="","",IFERROR(DATE(VALUE(RIGHT(AC328,4)),VALUE(MID(AC328,4,2)),VALUE(LEFT(AC328,2))),""))</f>
        <v/>
      </c>
      <c r="AQ328" s="26">
        <f>IF(AI328="","",TRIM(LEFT(AI328,FIND(" ",AI328&amp;" ")-1)))</f>
        <v/>
      </c>
      <c r="AR328" s="27">
        <f>IF(AQ328="","",IFERROR(DATE(VALUE(MID(AQ328,FIND("/",AQ328,FIND("/",AQ328)+1)+1,4)),VALUE(LEFT(AQ328,FIND("/",AQ328)-1)),VALUE(MID(AQ328,FIND("/",AQ328)+1,FIND("/",AQ328,FIND("/",AQ328)+1)-FIND("/",AQ328)-1))),""))</f>
        <v/>
      </c>
      <c r="AS328" s="26">
        <f>IF(G328="","",IF(AND(AG328&lt;&gt;"",AG328&lt;&gt;"Bayi Aracı"),"Evet","Hayır"))</f>
        <v/>
      </c>
      <c r="AT328" s="26">
        <f>IF(G328="","",IF(AND(AS328="Evet",T328="Siparişiniz Teslim Edildi"),"Evet","Hayır"))</f>
        <v/>
      </c>
      <c r="AU328" s="26">
        <f>IF(G328="","",IF(AB328="Siparişinizin Montajı Yapıldı","Evet","Hayır"))</f>
        <v/>
      </c>
      <c r="AV328" s="27">
        <f>IF(G328="","",IF(AT328="Evet",AR328,IF(AU328="Evet",AP328,"")))</f>
        <v/>
      </c>
    </row>
    <row r="329">
      <c r="A329" s="23" t="n"/>
      <c r="B329" s="23" t="n"/>
      <c r="C329" s="23" t="n"/>
      <c r="D329" s="23" t="n"/>
      <c r="E329" s="23" t="n"/>
      <c r="F329" s="23" t="n"/>
      <c r="G329" s="23" t="n"/>
      <c r="H329" s="23" t="n"/>
      <c r="I329" s="23" t="n"/>
      <c r="J329" s="23" t="n"/>
      <c r="K329" s="23" t="n"/>
      <c r="L329" s="23" t="n"/>
      <c r="M329" s="23" t="n"/>
      <c r="N329" s="23" t="n"/>
      <c r="O329" s="23" t="n"/>
      <c r="P329" s="23" t="n"/>
      <c r="Q329" s="23" t="n"/>
      <c r="R329" s="23" t="n"/>
      <c r="S329" s="23" t="n"/>
      <c r="T329" s="23" t="n"/>
      <c r="U329" s="23" t="n"/>
      <c r="V329" s="23" t="n"/>
      <c r="W329" s="23" t="n"/>
      <c r="X329" s="23" t="n"/>
      <c r="Y329" s="23" t="n"/>
      <c r="Z329" s="23" t="n"/>
      <c r="AA329" s="23" t="n"/>
      <c r="AB329" s="23" t="n"/>
      <c r="AC329" s="23" t="n"/>
      <c r="AD329" s="23" t="n"/>
      <c r="AE329" s="23" t="n"/>
      <c r="AF329" s="23" t="n"/>
      <c r="AG329" s="23" t="n"/>
      <c r="AH329" s="23" t="n"/>
      <c r="AI329" s="23" t="n"/>
      <c r="AJ329" s="23" t="n"/>
      <c r="AK329" s="23" t="n"/>
      <c r="AL329" s="23" t="n"/>
      <c r="AM329" s="26">
        <f>IF(G329="","",G329&amp;"|"&amp;P329)</f>
        <v/>
      </c>
      <c r="AN329" s="27">
        <f>IF(I329="","",IFERROR(DATE(VALUE(RIGHT(I329,4)),VALUE(MID(I329,4,2)),VALUE(LEFT(I329,2))),""))</f>
        <v/>
      </c>
      <c r="AO329" s="27">
        <f>IF(Y329="","",IFERROR(DATE(VALUE(RIGHT(Y329,4)),VALUE(MID(Y329,4,2)),VALUE(LEFT(Y329,2))),""))</f>
        <v/>
      </c>
      <c r="AP329" s="27">
        <f>IF(AC329="","",IFERROR(DATE(VALUE(RIGHT(AC329,4)),VALUE(MID(AC329,4,2)),VALUE(LEFT(AC329,2))),""))</f>
        <v/>
      </c>
      <c r="AQ329" s="26">
        <f>IF(AI329="","",TRIM(LEFT(AI329,FIND(" ",AI329&amp;" ")-1)))</f>
        <v/>
      </c>
      <c r="AR329" s="27">
        <f>IF(AQ329="","",IFERROR(DATE(VALUE(MID(AQ329,FIND("/",AQ329,FIND("/",AQ329)+1)+1,4)),VALUE(LEFT(AQ329,FIND("/",AQ329)-1)),VALUE(MID(AQ329,FIND("/",AQ329)+1,FIND("/",AQ329,FIND("/",AQ329)+1)-FIND("/",AQ329)-1))),""))</f>
        <v/>
      </c>
      <c r="AS329" s="26">
        <f>IF(G329="","",IF(AND(AG329&lt;&gt;"",AG329&lt;&gt;"Bayi Aracı"),"Evet","Hayır"))</f>
        <v/>
      </c>
      <c r="AT329" s="26">
        <f>IF(G329="","",IF(AND(AS329="Evet",T329="Siparişiniz Teslim Edildi"),"Evet","Hayır"))</f>
        <v/>
      </c>
      <c r="AU329" s="26">
        <f>IF(G329="","",IF(AB329="Siparişinizin Montajı Yapıldı","Evet","Hayır"))</f>
        <v/>
      </c>
      <c r="AV329" s="27">
        <f>IF(G329="","",IF(AT329="Evet",AR329,IF(AU329="Evet",AP329,"")))</f>
        <v/>
      </c>
    </row>
    <row r="330">
      <c r="A330" s="23" t="n"/>
      <c r="B330" s="23" t="n"/>
      <c r="C330" s="23" t="n"/>
      <c r="D330" s="23" t="n"/>
      <c r="E330" s="23" t="n"/>
      <c r="F330" s="23" t="n"/>
      <c r="G330" s="23" t="n"/>
      <c r="H330" s="23" t="n"/>
      <c r="I330" s="23" t="n"/>
      <c r="J330" s="23" t="n"/>
      <c r="K330" s="23" t="n"/>
      <c r="L330" s="23" t="n"/>
      <c r="M330" s="23" t="n"/>
      <c r="N330" s="23" t="n"/>
      <c r="O330" s="23" t="n"/>
      <c r="P330" s="23" t="n"/>
      <c r="Q330" s="23" t="n"/>
      <c r="R330" s="23" t="n"/>
      <c r="S330" s="23" t="n"/>
      <c r="T330" s="23" t="n"/>
      <c r="U330" s="23" t="n"/>
      <c r="V330" s="23" t="n"/>
      <c r="W330" s="23" t="n"/>
      <c r="X330" s="23" t="n"/>
      <c r="Y330" s="23" t="n"/>
      <c r="Z330" s="23" t="n"/>
      <c r="AA330" s="23" t="n"/>
      <c r="AB330" s="23" t="n"/>
      <c r="AC330" s="23" t="n"/>
      <c r="AD330" s="23" t="n"/>
      <c r="AE330" s="23" t="n"/>
      <c r="AF330" s="23" t="n"/>
      <c r="AG330" s="23" t="n"/>
      <c r="AH330" s="23" t="n"/>
      <c r="AI330" s="23" t="n"/>
      <c r="AJ330" s="23" t="n"/>
      <c r="AK330" s="23" t="n"/>
      <c r="AL330" s="23" t="n"/>
      <c r="AM330" s="26">
        <f>IF(G330="","",G330&amp;"|"&amp;P330)</f>
        <v/>
      </c>
      <c r="AN330" s="27">
        <f>IF(I330="","",IFERROR(DATE(VALUE(RIGHT(I330,4)),VALUE(MID(I330,4,2)),VALUE(LEFT(I330,2))),""))</f>
        <v/>
      </c>
      <c r="AO330" s="27">
        <f>IF(Y330="","",IFERROR(DATE(VALUE(RIGHT(Y330,4)),VALUE(MID(Y330,4,2)),VALUE(LEFT(Y330,2))),""))</f>
        <v/>
      </c>
      <c r="AP330" s="27">
        <f>IF(AC330="","",IFERROR(DATE(VALUE(RIGHT(AC330,4)),VALUE(MID(AC330,4,2)),VALUE(LEFT(AC330,2))),""))</f>
        <v/>
      </c>
      <c r="AQ330" s="26">
        <f>IF(AI330="","",TRIM(LEFT(AI330,FIND(" ",AI330&amp;" ")-1)))</f>
        <v/>
      </c>
      <c r="AR330" s="27">
        <f>IF(AQ330="","",IFERROR(DATE(VALUE(MID(AQ330,FIND("/",AQ330,FIND("/",AQ330)+1)+1,4)),VALUE(LEFT(AQ330,FIND("/",AQ330)-1)),VALUE(MID(AQ330,FIND("/",AQ330)+1,FIND("/",AQ330,FIND("/",AQ330)+1)-FIND("/",AQ330)-1))),""))</f>
        <v/>
      </c>
      <c r="AS330" s="26">
        <f>IF(G330="","",IF(AND(AG330&lt;&gt;"",AG330&lt;&gt;"Bayi Aracı"),"Evet","Hayır"))</f>
        <v/>
      </c>
      <c r="AT330" s="26">
        <f>IF(G330="","",IF(AND(AS330="Evet",T330="Siparişiniz Teslim Edildi"),"Evet","Hayır"))</f>
        <v/>
      </c>
      <c r="AU330" s="26">
        <f>IF(G330="","",IF(AB330="Siparişinizin Montajı Yapıldı","Evet","Hayır"))</f>
        <v/>
      </c>
      <c r="AV330" s="27">
        <f>IF(G330="","",IF(AT330="Evet",AR330,IF(AU330="Evet",AP330,"")))</f>
        <v/>
      </c>
    </row>
    <row r="331">
      <c r="A331" s="23" t="n"/>
      <c r="B331" s="23" t="n"/>
      <c r="C331" s="23" t="n"/>
      <c r="D331" s="23" t="n"/>
      <c r="E331" s="23" t="n"/>
      <c r="F331" s="23" t="n"/>
      <c r="G331" s="23" t="n"/>
      <c r="H331" s="23" t="n"/>
      <c r="I331" s="23" t="n"/>
      <c r="J331" s="23" t="n"/>
      <c r="K331" s="23" t="n"/>
      <c r="L331" s="23" t="n"/>
      <c r="M331" s="23" t="n"/>
      <c r="N331" s="23" t="n"/>
      <c r="O331" s="23" t="n"/>
      <c r="P331" s="23" t="n"/>
      <c r="Q331" s="23" t="n"/>
      <c r="R331" s="23" t="n"/>
      <c r="S331" s="23" t="n"/>
      <c r="T331" s="23" t="n"/>
      <c r="U331" s="23" t="n"/>
      <c r="V331" s="23" t="n"/>
      <c r="W331" s="23" t="n"/>
      <c r="X331" s="23" t="n"/>
      <c r="Y331" s="23" t="n"/>
      <c r="Z331" s="23" t="n"/>
      <c r="AA331" s="23" t="n"/>
      <c r="AB331" s="23" t="n"/>
      <c r="AC331" s="23" t="n"/>
      <c r="AD331" s="23" t="n"/>
      <c r="AE331" s="23" t="n"/>
      <c r="AF331" s="23" t="n"/>
      <c r="AG331" s="23" t="n"/>
      <c r="AH331" s="23" t="n"/>
      <c r="AI331" s="23" t="n"/>
      <c r="AJ331" s="23" t="n"/>
      <c r="AK331" s="23" t="n"/>
      <c r="AL331" s="23" t="n"/>
      <c r="AM331" s="26">
        <f>IF(G331="","",G331&amp;"|"&amp;P331)</f>
        <v/>
      </c>
      <c r="AN331" s="27">
        <f>IF(I331="","",IFERROR(DATE(VALUE(RIGHT(I331,4)),VALUE(MID(I331,4,2)),VALUE(LEFT(I331,2))),""))</f>
        <v/>
      </c>
      <c r="AO331" s="27">
        <f>IF(Y331="","",IFERROR(DATE(VALUE(RIGHT(Y331,4)),VALUE(MID(Y331,4,2)),VALUE(LEFT(Y331,2))),""))</f>
        <v/>
      </c>
      <c r="AP331" s="27">
        <f>IF(AC331="","",IFERROR(DATE(VALUE(RIGHT(AC331,4)),VALUE(MID(AC331,4,2)),VALUE(LEFT(AC331,2))),""))</f>
        <v/>
      </c>
      <c r="AQ331" s="26">
        <f>IF(AI331="","",TRIM(LEFT(AI331,FIND(" ",AI331&amp;" ")-1)))</f>
        <v/>
      </c>
      <c r="AR331" s="27">
        <f>IF(AQ331="","",IFERROR(DATE(VALUE(MID(AQ331,FIND("/",AQ331,FIND("/",AQ331)+1)+1,4)),VALUE(LEFT(AQ331,FIND("/",AQ331)-1)),VALUE(MID(AQ331,FIND("/",AQ331)+1,FIND("/",AQ331,FIND("/",AQ331)+1)-FIND("/",AQ331)-1))),""))</f>
        <v/>
      </c>
      <c r="AS331" s="26">
        <f>IF(G331="","",IF(AND(AG331&lt;&gt;"",AG331&lt;&gt;"Bayi Aracı"),"Evet","Hayır"))</f>
        <v/>
      </c>
      <c r="AT331" s="26">
        <f>IF(G331="","",IF(AND(AS331="Evet",T331="Siparişiniz Teslim Edildi"),"Evet","Hayır"))</f>
        <v/>
      </c>
      <c r="AU331" s="26">
        <f>IF(G331="","",IF(AB331="Siparişinizin Montajı Yapıldı","Evet","Hayır"))</f>
        <v/>
      </c>
      <c r="AV331" s="27">
        <f>IF(G331="","",IF(AT331="Evet",AR331,IF(AU331="Evet",AP331,"")))</f>
        <v/>
      </c>
    </row>
    <row r="332">
      <c r="A332" s="23" t="n"/>
      <c r="B332" s="23" t="n"/>
      <c r="C332" s="23" t="n"/>
      <c r="D332" s="23" t="n"/>
      <c r="E332" s="23" t="n"/>
      <c r="F332" s="23" t="n"/>
      <c r="G332" s="23" t="n"/>
      <c r="H332" s="23" t="n"/>
      <c r="I332" s="23" t="n"/>
      <c r="J332" s="23" t="n"/>
      <c r="K332" s="23" t="n"/>
      <c r="L332" s="23" t="n"/>
      <c r="M332" s="23" t="n"/>
      <c r="N332" s="23" t="n"/>
      <c r="O332" s="23" t="n"/>
      <c r="P332" s="23" t="n"/>
      <c r="Q332" s="23" t="n"/>
      <c r="R332" s="23" t="n"/>
      <c r="S332" s="23" t="n"/>
      <c r="T332" s="23" t="n"/>
      <c r="U332" s="23" t="n"/>
      <c r="V332" s="23" t="n"/>
      <c r="W332" s="23" t="n"/>
      <c r="X332" s="23" t="n"/>
      <c r="Y332" s="23" t="n"/>
      <c r="Z332" s="23" t="n"/>
      <c r="AA332" s="23" t="n"/>
      <c r="AB332" s="23" t="n"/>
      <c r="AC332" s="23" t="n"/>
      <c r="AD332" s="23" t="n"/>
      <c r="AE332" s="23" t="n"/>
      <c r="AF332" s="23" t="n"/>
      <c r="AG332" s="23" t="n"/>
      <c r="AH332" s="23" t="n"/>
      <c r="AI332" s="23" t="n"/>
      <c r="AJ332" s="23" t="n"/>
      <c r="AK332" s="23" t="n"/>
      <c r="AL332" s="23" t="n"/>
      <c r="AM332" s="26">
        <f>IF(G332="","",G332&amp;"|"&amp;P332)</f>
        <v/>
      </c>
      <c r="AN332" s="27">
        <f>IF(I332="","",IFERROR(DATE(VALUE(RIGHT(I332,4)),VALUE(MID(I332,4,2)),VALUE(LEFT(I332,2))),""))</f>
        <v/>
      </c>
      <c r="AO332" s="27">
        <f>IF(Y332="","",IFERROR(DATE(VALUE(RIGHT(Y332,4)),VALUE(MID(Y332,4,2)),VALUE(LEFT(Y332,2))),""))</f>
        <v/>
      </c>
      <c r="AP332" s="27">
        <f>IF(AC332="","",IFERROR(DATE(VALUE(RIGHT(AC332,4)),VALUE(MID(AC332,4,2)),VALUE(LEFT(AC332,2))),""))</f>
        <v/>
      </c>
      <c r="AQ332" s="26">
        <f>IF(AI332="","",TRIM(LEFT(AI332,FIND(" ",AI332&amp;" ")-1)))</f>
        <v/>
      </c>
      <c r="AR332" s="27">
        <f>IF(AQ332="","",IFERROR(DATE(VALUE(MID(AQ332,FIND("/",AQ332,FIND("/",AQ332)+1)+1,4)),VALUE(LEFT(AQ332,FIND("/",AQ332)-1)),VALUE(MID(AQ332,FIND("/",AQ332)+1,FIND("/",AQ332,FIND("/",AQ332)+1)-FIND("/",AQ332)-1))),""))</f>
        <v/>
      </c>
      <c r="AS332" s="26">
        <f>IF(G332="","",IF(AND(AG332&lt;&gt;"",AG332&lt;&gt;"Bayi Aracı"),"Evet","Hayır"))</f>
        <v/>
      </c>
      <c r="AT332" s="26">
        <f>IF(G332="","",IF(AND(AS332="Evet",T332="Siparişiniz Teslim Edildi"),"Evet","Hayır"))</f>
        <v/>
      </c>
      <c r="AU332" s="26">
        <f>IF(G332="","",IF(AB332="Siparişinizin Montajı Yapıldı","Evet","Hayır"))</f>
        <v/>
      </c>
      <c r="AV332" s="27">
        <f>IF(G332="","",IF(AT332="Evet",AR332,IF(AU332="Evet",AP332,"")))</f>
        <v/>
      </c>
    </row>
    <row r="333">
      <c r="A333" s="23" t="n"/>
      <c r="B333" s="23" t="n"/>
      <c r="C333" s="23" t="n"/>
      <c r="D333" s="23" t="n"/>
      <c r="E333" s="23" t="n"/>
      <c r="F333" s="23" t="n"/>
      <c r="G333" s="23" t="n"/>
      <c r="H333" s="23" t="n"/>
      <c r="I333" s="23" t="n"/>
      <c r="J333" s="23" t="n"/>
      <c r="K333" s="23" t="n"/>
      <c r="L333" s="23" t="n"/>
      <c r="M333" s="23" t="n"/>
      <c r="N333" s="23" t="n"/>
      <c r="O333" s="23" t="n"/>
      <c r="P333" s="23" t="n"/>
      <c r="Q333" s="23" t="n"/>
      <c r="R333" s="23" t="n"/>
      <c r="S333" s="23" t="n"/>
      <c r="T333" s="23" t="n"/>
      <c r="U333" s="23" t="n"/>
      <c r="V333" s="23" t="n"/>
      <c r="W333" s="23" t="n"/>
      <c r="X333" s="23" t="n"/>
      <c r="Y333" s="23" t="n"/>
      <c r="Z333" s="23" t="n"/>
      <c r="AA333" s="23" t="n"/>
      <c r="AB333" s="23" t="n"/>
      <c r="AC333" s="23" t="n"/>
      <c r="AD333" s="23" t="n"/>
      <c r="AE333" s="23" t="n"/>
      <c r="AF333" s="23" t="n"/>
      <c r="AG333" s="23" t="n"/>
      <c r="AH333" s="23" t="n"/>
      <c r="AI333" s="23" t="n"/>
      <c r="AJ333" s="23" t="n"/>
      <c r="AK333" s="23" t="n"/>
      <c r="AL333" s="23" t="n"/>
      <c r="AM333" s="26">
        <f>IF(G333="","",G333&amp;"|"&amp;P333)</f>
        <v/>
      </c>
      <c r="AN333" s="27">
        <f>IF(I333="","",IFERROR(DATE(VALUE(RIGHT(I333,4)),VALUE(MID(I333,4,2)),VALUE(LEFT(I333,2))),""))</f>
        <v/>
      </c>
      <c r="AO333" s="27">
        <f>IF(Y333="","",IFERROR(DATE(VALUE(RIGHT(Y333,4)),VALUE(MID(Y333,4,2)),VALUE(LEFT(Y333,2))),""))</f>
        <v/>
      </c>
      <c r="AP333" s="27">
        <f>IF(AC333="","",IFERROR(DATE(VALUE(RIGHT(AC333,4)),VALUE(MID(AC333,4,2)),VALUE(LEFT(AC333,2))),""))</f>
        <v/>
      </c>
      <c r="AQ333" s="26">
        <f>IF(AI333="","",TRIM(LEFT(AI333,FIND(" ",AI333&amp;" ")-1)))</f>
        <v/>
      </c>
      <c r="AR333" s="27">
        <f>IF(AQ333="","",IFERROR(DATE(VALUE(MID(AQ333,FIND("/",AQ333,FIND("/",AQ333)+1)+1,4)),VALUE(LEFT(AQ333,FIND("/",AQ333)-1)),VALUE(MID(AQ333,FIND("/",AQ333)+1,FIND("/",AQ333,FIND("/",AQ333)+1)-FIND("/",AQ333)-1))),""))</f>
        <v/>
      </c>
      <c r="AS333" s="26">
        <f>IF(G333="","",IF(AND(AG333&lt;&gt;"",AG333&lt;&gt;"Bayi Aracı"),"Evet","Hayır"))</f>
        <v/>
      </c>
      <c r="AT333" s="26">
        <f>IF(G333="","",IF(AND(AS333="Evet",T333="Siparişiniz Teslim Edildi"),"Evet","Hayır"))</f>
        <v/>
      </c>
      <c r="AU333" s="26">
        <f>IF(G333="","",IF(AB333="Siparişinizin Montajı Yapıldı","Evet","Hayır"))</f>
        <v/>
      </c>
      <c r="AV333" s="27">
        <f>IF(G333="","",IF(AT333="Evet",AR333,IF(AU333="Evet",AP333,"")))</f>
        <v/>
      </c>
    </row>
    <row r="334">
      <c r="A334" s="23" t="n"/>
      <c r="B334" s="23" t="n"/>
      <c r="C334" s="23" t="n"/>
      <c r="D334" s="23" t="n"/>
      <c r="E334" s="23" t="n"/>
      <c r="F334" s="23" t="n"/>
      <c r="G334" s="23" t="n"/>
      <c r="H334" s="23" t="n"/>
      <c r="I334" s="23" t="n"/>
      <c r="J334" s="23" t="n"/>
      <c r="K334" s="23" t="n"/>
      <c r="L334" s="23" t="n"/>
      <c r="M334" s="23" t="n"/>
      <c r="N334" s="23" t="n"/>
      <c r="O334" s="23" t="n"/>
      <c r="P334" s="23" t="n"/>
      <c r="Q334" s="23" t="n"/>
      <c r="R334" s="23" t="n"/>
      <c r="S334" s="23" t="n"/>
      <c r="T334" s="23" t="n"/>
      <c r="U334" s="23" t="n"/>
      <c r="V334" s="23" t="n"/>
      <c r="W334" s="23" t="n"/>
      <c r="X334" s="23" t="n"/>
      <c r="Y334" s="23" t="n"/>
      <c r="Z334" s="23" t="n"/>
      <c r="AA334" s="23" t="n"/>
      <c r="AB334" s="23" t="n"/>
      <c r="AC334" s="23" t="n"/>
      <c r="AD334" s="23" t="n"/>
      <c r="AE334" s="23" t="n"/>
      <c r="AF334" s="23" t="n"/>
      <c r="AG334" s="23" t="n"/>
      <c r="AH334" s="23" t="n"/>
      <c r="AI334" s="23" t="n"/>
      <c r="AJ334" s="23" t="n"/>
      <c r="AK334" s="23" t="n"/>
      <c r="AL334" s="23" t="n"/>
      <c r="AM334" s="26">
        <f>IF(G334="","",G334&amp;"|"&amp;P334)</f>
        <v/>
      </c>
      <c r="AN334" s="27">
        <f>IF(I334="","",IFERROR(DATE(VALUE(RIGHT(I334,4)),VALUE(MID(I334,4,2)),VALUE(LEFT(I334,2))),""))</f>
        <v/>
      </c>
      <c r="AO334" s="27">
        <f>IF(Y334="","",IFERROR(DATE(VALUE(RIGHT(Y334,4)),VALUE(MID(Y334,4,2)),VALUE(LEFT(Y334,2))),""))</f>
        <v/>
      </c>
      <c r="AP334" s="27">
        <f>IF(AC334="","",IFERROR(DATE(VALUE(RIGHT(AC334,4)),VALUE(MID(AC334,4,2)),VALUE(LEFT(AC334,2))),""))</f>
        <v/>
      </c>
      <c r="AQ334" s="26">
        <f>IF(AI334="","",TRIM(LEFT(AI334,FIND(" ",AI334&amp;" ")-1)))</f>
        <v/>
      </c>
      <c r="AR334" s="27">
        <f>IF(AQ334="","",IFERROR(DATE(VALUE(MID(AQ334,FIND("/",AQ334,FIND("/",AQ334)+1)+1,4)),VALUE(LEFT(AQ334,FIND("/",AQ334)-1)),VALUE(MID(AQ334,FIND("/",AQ334)+1,FIND("/",AQ334,FIND("/",AQ334)+1)-FIND("/",AQ334)-1))),""))</f>
        <v/>
      </c>
      <c r="AS334" s="26">
        <f>IF(G334="","",IF(AND(AG334&lt;&gt;"",AG334&lt;&gt;"Bayi Aracı"),"Evet","Hayır"))</f>
        <v/>
      </c>
      <c r="AT334" s="26">
        <f>IF(G334="","",IF(AND(AS334="Evet",T334="Siparişiniz Teslim Edildi"),"Evet","Hayır"))</f>
        <v/>
      </c>
      <c r="AU334" s="26">
        <f>IF(G334="","",IF(AB334="Siparişinizin Montajı Yapıldı","Evet","Hayır"))</f>
        <v/>
      </c>
      <c r="AV334" s="27">
        <f>IF(G334="","",IF(AT334="Evet",AR334,IF(AU334="Evet",AP334,"")))</f>
        <v/>
      </c>
    </row>
    <row r="335">
      <c r="A335" s="23" t="n"/>
      <c r="B335" s="23" t="n"/>
      <c r="C335" s="23" t="n"/>
      <c r="D335" s="23" t="n"/>
      <c r="E335" s="23" t="n"/>
      <c r="F335" s="23" t="n"/>
      <c r="G335" s="23" t="n"/>
      <c r="H335" s="23" t="n"/>
      <c r="I335" s="23" t="n"/>
      <c r="J335" s="23" t="n"/>
      <c r="K335" s="23" t="n"/>
      <c r="L335" s="23" t="n"/>
      <c r="M335" s="23" t="n"/>
      <c r="N335" s="23" t="n"/>
      <c r="O335" s="23" t="n"/>
      <c r="P335" s="23" t="n"/>
      <c r="Q335" s="23" t="n"/>
      <c r="R335" s="23" t="n"/>
      <c r="S335" s="23" t="n"/>
      <c r="T335" s="23" t="n"/>
      <c r="U335" s="23" t="n"/>
      <c r="V335" s="23" t="n"/>
      <c r="W335" s="23" t="n"/>
      <c r="X335" s="23" t="n"/>
      <c r="Y335" s="23" t="n"/>
      <c r="Z335" s="23" t="n"/>
      <c r="AA335" s="23" t="n"/>
      <c r="AB335" s="23" t="n"/>
      <c r="AC335" s="23" t="n"/>
      <c r="AD335" s="23" t="n"/>
      <c r="AE335" s="23" t="n"/>
      <c r="AF335" s="23" t="n"/>
      <c r="AG335" s="23" t="n"/>
      <c r="AH335" s="23" t="n"/>
      <c r="AI335" s="23" t="n"/>
      <c r="AJ335" s="23" t="n"/>
      <c r="AK335" s="23" t="n"/>
      <c r="AL335" s="23" t="n"/>
      <c r="AM335" s="26">
        <f>IF(G335="","",G335&amp;"|"&amp;P335)</f>
        <v/>
      </c>
      <c r="AN335" s="27">
        <f>IF(I335="","",IFERROR(DATE(VALUE(RIGHT(I335,4)),VALUE(MID(I335,4,2)),VALUE(LEFT(I335,2))),""))</f>
        <v/>
      </c>
      <c r="AO335" s="27">
        <f>IF(Y335="","",IFERROR(DATE(VALUE(RIGHT(Y335,4)),VALUE(MID(Y335,4,2)),VALUE(LEFT(Y335,2))),""))</f>
        <v/>
      </c>
      <c r="AP335" s="27">
        <f>IF(AC335="","",IFERROR(DATE(VALUE(RIGHT(AC335,4)),VALUE(MID(AC335,4,2)),VALUE(LEFT(AC335,2))),""))</f>
        <v/>
      </c>
      <c r="AQ335" s="26">
        <f>IF(AI335="","",TRIM(LEFT(AI335,FIND(" ",AI335&amp;" ")-1)))</f>
        <v/>
      </c>
      <c r="AR335" s="27">
        <f>IF(AQ335="","",IFERROR(DATE(VALUE(MID(AQ335,FIND("/",AQ335,FIND("/",AQ335)+1)+1,4)),VALUE(LEFT(AQ335,FIND("/",AQ335)-1)),VALUE(MID(AQ335,FIND("/",AQ335)+1,FIND("/",AQ335,FIND("/",AQ335)+1)-FIND("/",AQ335)-1))),""))</f>
        <v/>
      </c>
      <c r="AS335" s="26">
        <f>IF(G335="","",IF(AND(AG335&lt;&gt;"",AG335&lt;&gt;"Bayi Aracı"),"Evet","Hayır"))</f>
        <v/>
      </c>
      <c r="AT335" s="26">
        <f>IF(G335="","",IF(AND(AS335="Evet",T335="Siparişiniz Teslim Edildi"),"Evet","Hayır"))</f>
        <v/>
      </c>
      <c r="AU335" s="26">
        <f>IF(G335="","",IF(AB335="Siparişinizin Montajı Yapıldı","Evet","Hayır"))</f>
        <v/>
      </c>
      <c r="AV335" s="27">
        <f>IF(G335="","",IF(AT335="Evet",AR335,IF(AU335="Evet",AP335,"")))</f>
        <v/>
      </c>
    </row>
    <row r="336">
      <c r="A336" s="23" t="n"/>
      <c r="B336" s="23" t="n"/>
      <c r="C336" s="23" t="n"/>
      <c r="D336" s="23" t="n"/>
      <c r="E336" s="23" t="n"/>
      <c r="F336" s="23" t="n"/>
      <c r="G336" s="23" t="n"/>
      <c r="H336" s="23" t="n"/>
      <c r="I336" s="23" t="n"/>
      <c r="J336" s="23" t="n"/>
      <c r="K336" s="23" t="n"/>
      <c r="L336" s="23" t="n"/>
      <c r="M336" s="23" t="n"/>
      <c r="N336" s="23" t="n"/>
      <c r="O336" s="23" t="n"/>
      <c r="P336" s="23" t="n"/>
      <c r="Q336" s="23" t="n"/>
      <c r="R336" s="23" t="n"/>
      <c r="S336" s="23" t="n"/>
      <c r="T336" s="23" t="n"/>
      <c r="U336" s="23" t="n"/>
      <c r="V336" s="23" t="n"/>
      <c r="W336" s="23" t="n"/>
      <c r="X336" s="23" t="n"/>
      <c r="Y336" s="23" t="n"/>
      <c r="Z336" s="23" t="n"/>
      <c r="AA336" s="23" t="n"/>
      <c r="AB336" s="23" t="n"/>
      <c r="AC336" s="23" t="n"/>
      <c r="AD336" s="23" t="n"/>
      <c r="AE336" s="23" t="n"/>
      <c r="AF336" s="23" t="n"/>
      <c r="AG336" s="23" t="n"/>
      <c r="AH336" s="23" t="n"/>
      <c r="AI336" s="23" t="n"/>
      <c r="AJ336" s="23" t="n"/>
      <c r="AK336" s="23" t="n"/>
      <c r="AL336" s="23" t="n"/>
      <c r="AM336" s="26">
        <f>IF(G336="","",G336&amp;"|"&amp;P336)</f>
        <v/>
      </c>
      <c r="AN336" s="27">
        <f>IF(I336="","",IFERROR(DATE(VALUE(RIGHT(I336,4)),VALUE(MID(I336,4,2)),VALUE(LEFT(I336,2))),""))</f>
        <v/>
      </c>
      <c r="AO336" s="27">
        <f>IF(Y336="","",IFERROR(DATE(VALUE(RIGHT(Y336,4)),VALUE(MID(Y336,4,2)),VALUE(LEFT(Y336,2))),""))</f>
        <v/>
      </c>
      <c r="AP336" s="27">
        <f>IF(AC336="","",IFERROR(DATE(VALUE(RIGHT(AC336,4)),VALUE(MID(AC336,4,2)),VALUE(LEFT(AC336,2))),""))</f>
        <v/>
      </c>
      <c r="AQ336" s="26">
        <f>IF(AI336="","",TRIM(LEFT(AI336,FIND(" ",AI336&amp;" ")-1)))</f>
        <v/>
      </c>
      <c r="AR336" s="27">
        <f>IF(AQ336="","",IFERROR(DATE(VALUE(MID(AQ336,FIND("/",AQ336,FIND("/",AQ336)+1)+1,4)),VALUE(LEFT(AQ336,FIND("/",AQ336)-1)),VALUE(MID(AQ336,FIND("/",AQ336)+1,FIND("/",AQ336,FIND("/",AQ336)+1)-FIND("/",AQ336)-1))),""))</f>
        <v/>
      </c>
      <c r="AS336" s="26">
        <f>IF(G336="","",IF(AND(AG336&lt;&gt;"",AG336&lt;&gt;"Bayi Aracı"),"Evet","Hayır"))</f>
        <v/>
      </c>
      <c r="AT336" s="26">
        <f>IF(G336="","",IF(AND(AS336="Evet",T336="Siparişiniz Teslim Edildi"),"Evet","Hayır"))</f>
        <v/>
      </c>
      <c r="AU336" s="26">
        <f>IF(G336="","",IF(AB336="Siparişinizin Montajı Yapıldı","Evet","Hayır"))</f>
        <v/>
      </c>
      <c r="AV336" s="27">
        <f>IF(G336="","",IF(AT336="Evet",AR336,IF(AU336="Evet",AP336,"")))</f>
        <v/>
      </c>
    </row>
    <row r="337">
      <c r="A337" s="23" t="n"/>
      <c r="B337" s="23" t="n"/>
      <c r="C337" s="23" t="n"/>
      <c r="D337" s="23" t="n"/>
      <c r="E337" s="23" t="n"/>
      <c r="F337" s="23" t="n"/>
      <c r="G337" s="23" t="n"/>
      <c r="H337" s="23" t="n"/>
      <c r="I337" s="23" t="n"/>
      <c r="J337" s="23" t="n"/>
      <c r="K337" s="23" t="n"/>
      <c r="L337" s="23" t="n"/>
      <c r="M337" s="23" t="n"/>
      <c r="N337" s="23" t="n"/>
      <c r="O337" s="23" t="n"/>
      <c r="P337" s="23" t="n"/>
      <c r="Q337" s="23" t="n"/>
      <c r="R337" s="23" t="n"/>
      <c r="S337" s="23" t="n"/>
      <c r="T337" s="23" t="n"/>
      <c r="U337" s="23" t="n"/>
      <c r="V337" s="23" t="n"/>
      <c r="W337" s="23" t="n"/>
      <c r="X337" s="23" t="n"/>
      <c r="Y337" s="23" t="n"/>
      <c r="Z337" s="23" t="n"/>
      <c r="AA337" s="23" t="n"/>
      <c r="AB337" s="23" t="n"/>
      <c r="AC337" s="23" t="n"/>
      <c r="AD337" s="23" t="n"/>
      <c r="AE337" s="23" t="n"/>
      <c r="AF337" s="23" t="n"/>
      <c r="AG337" s="23" t="n"/>
      <c r="AH337" s="23" t="n"/>
      <c r="AI337" s="23" t="n"/>
      <c r="AJ337" s="23" t="n"/>
      <c r="AK337" s="23" t="n"/>
      <c r="AL337" s="23" t="n"/>
      <c r="AM337" s="26">
        <f>IF(G337="","",G337&amp;"|"&amp;P337)</f>
        <v/>
      </c>
      <c r="AN337" s="27">
        <f>IF(I337="","",IFERROR(DATE(VALUE(RIGHT(I337,4)),VALUE(MID(I337,4,2)),VALUE(LEFT(I337,2))),""))</f>
        <v/>
      </c>
      <c r="AO337" s="27">
        <f>IF(Y337="","",IFERROR(DATE(VALUE(RIGHT(Y337,4)),VALUE(MID(Y337,4,2)),VALUE(LEFT(Y337,2))),""))</f>
        <v/>
      </c>
      <c r="AP337" s="27">
        <f>IF(AC337="","",IFERROR(DATE(VALUE(RIGHT(AC337,4)),VALUE(MID(AC337,4,2)),VALUE(LEFT(AC337,2))),""))</f>
        <v/>
      </c>
      <c r="AQ337" s="26">
        <f>IF(AI337="","",TRIM(LEFT(AI337,FIND(" ",AI337&amp;" ")-1)))</f>
        <v/>
      </c>
      <c r="AR337" s="27">
        <f>IF(AQ337="","",IFERROR(DATE(VALUE(MID(AQ337,FIND("/",AQ337,FIND("/",AQ337)+1)+1,4)),VALUE(LEFT(AQ337,FIND("/",AQ337)-1)),VALUE(MID(AQ337,FIND("/",AQ337)+1,FIND("/",AQ337,FIND("/",AQ337)+1)-FIND("/",AQ337)-1))),""))</f>
        <v/>
      </c>
      <c r="AS337" s="26">
        <f>IF(G337="","",IF(AND(AG337&lt;&gt;"",AG337&lt;&gt;"Bayi Aracı"),"Evet","Hayır"))</f>
        <v/>
      </c>
      <c r="AT337" s="26">
        <f>IF(G337="","",IF(AND(AS337="Evet",T337="Siparişiniz Teslim Edildi"),"Evet","Hayır"))</f>
        <v/>
      </c>
      <c r="AU337" s="26">
        <f>IF(G337="","",IF(AB337="Siparişinizin Montajı Yapıldı","Evet","Hayır"))</f>
        <v/>
      </c>
      <c r="AV337" s="27">
        <f>IF(G337="","",IF(AT337="Evet",AR337,IF(AU337="Evet",AP337,"")))</f>
        <v/>
      </c>
    </row>
    <row r="338">
      <c r="A338" s="23" t="n"/>
      <c r="B338" s="23" t="n"/>
      <c r="C338" s="23" t="n"/>
      <c r="D338" s="23" t="n"/>
      <c r="E338" s="23" t="n"/>
      <c r="F338" s="23" t="n"/>
      <c r="G338" s="23" t="n"/>
      <c r="H338" s="23" t="n"/>
      <c r="I338" s="23" t="n"/>
      <c r="J338" s="23" t="n"/>
      <c r="K338" s="23" t="n"/>
      <c r="L338" s="23" t="n"/>
      <c r="M338" s="23" t="n"/>
      <c r="N338" s="23" t="n"/>
      <c r="O338" s="23" t="n"/>
      <c r="P338" s="23" t="n"/>
      <c r="Q338" s="23" t="n"/>
      <c r="R338" s="23" t="n"/>
      <c r="S338" s="23" t="n"/>
      <c r="T338" s="23" t="n"/>
      <c r="U338" s="23" t="n"/>
      <c r="V338" s="23" t="n"/>
      <c r="W338" s="23" t="n"/>
      <c r="X338" s="23" t="n"/>
      <c r="Y338" s="23" t="n"/>
      <c r="Z338" s="23" t="n"/>
      <c r="AA338" s="23" t="n"/>
      <c r="AB338" s="23" t="n"/>
      <c r="AC338" s="23" t="n"/>
      <c r="AD338" s="23" t="n"/>
      <c r="AE338" s="23" t="n"/>
      <c r="AF338" s="23" t="n"/>
      <c r="AG338" s="23" t="n"/>
      <c r="AH338" s="23" t="n"/>
      <c r="AI338" s="23" t="n"/>
      <c r="AJ338" s="23" t="n"/>
      <c r="AK338" s="23" t="n"/>
      <c r="AL338" s="23" t="n"/>
      <c r="AM338" s="26">
        <f>IF(G338="","",G338&amp;"|"&amp;P338)</f>
        <v/>
      </c>
      <c r="AN338" s="27">
        <f>IF(I338="","",IFERROR(DATE(VALUE(RIGHT(I338,4)),VALUE(MID(I338,4,2)),VALUE(LEFT(I338,2))),""))</f>
        <v/>
      </c>
      <c r="AO338" s="27">
        <f>IF(Y338="","",IFERROR(DATE(VALUE(RIGHT(Y338,4)),VALUE(MID(Y338,4,2)),VALUE(LEFT(Y338,2))),""))</f>
        <v/>
      </c>
      <c r="AP338" s="27">
        <f>IF(AC338="","",IFERROR(DATE(VALUE(RIGHT(AC338,4)),VALUE(MID(AC338,4,2)),VALUE(LEFT(AC338,2))),""))</f>
        <v/>
      </c>
      <c r="AQ338" s="26">
        <f>IF(AI338="","",TRIM(LEFT(AI338,FIND(" ",AI338&amp;" ")-1)))</f>
        <v/>
      </c>
      <c r="AR338" s="27">
        <f>IF(AQ338="","",IFERROR(DATE(VALUE(MID(AQ338,FIND("/",AQ338,FIND("/",AQ338)+1)+1,4)),VALUE(LEFT(AQ338,FIND("/",AQ338)-1)),VALUE(MID(AQ338,FIND("/",AQ338)+1,FIND("/",AQ338,FIND("/",AQ338)+1)-FIND("/",AQ338)-1))),""))</f>
        <v/>
      </c>
      <c r="AS338" s="26">
        <f>IF(G338="","",IF(AND(AG338&lt;&gt;"",AG338&lt;&gt;"Bayi Aracı"),"Evet","Hayır"))</f>
        <v/>
      </c>
      <c r="AT338" s="26">
        <f>IF(G338="","",IF(AND(AS338="Evet",T338="Siparişiniz Teslim Edildi"),"Evet","Hayır"))</f>
        <v/>
      </c>
      <c r="AU338" s="26">
        <f>IF(G338="","",IF(AB338="Siparişinizin Montajı Yapıldı","Evet","Hayır"))</f>
        <v/>
      </c>
      <c r="AV338" s="27">
        <f>IF(G338="","",IF(AT338="Evet",AR338,IF(AU338="Evet",AP338,"")))</f>
        <v/>
      </c>
    </row>
    <row r="339">
      <c r="A339" s="23" t="n"/>
      <c r="B339" s="23" t="n"/>
      <c r="C339" s="23" t="n"/>
      <c r="D339" s="23" t="n"/>
      <c r="E339" s="23" t="n"/>
      <c r="F339" s="23" t="n"/>
      <c r="G339" s="23" t="n"/>
      <c r="H339" s="23" t="n"/>
      <c r="I339" s="23" t="n"/>
      <c r="J339" s="23" t="n"/>
      <c r="K339" s="23" t="n"/>
      <c r="L339" s="23" t="n"/>
      <c r="M339" s="23" t="n"/>
      <c r="N339" s="23" t="n"/>
      <c r="O339" s="23" t="n"/>
      <c r="P339" s="23" t="n"/>
      <c r="Q339" s="23" t="n"/>
      <c r="R339" s="23" t="n"/>
      <c r="S339" s="23" t="n"/>
      <c r="T339" s="23" t="n"/>
      <c r="U339" s="23" t="n"/>
      <c r="V339" s="23" t="n"/>
      <c r="W339" s="23" t="n"/>
      <c r="X339" s="23" t="n"/>
      <c r="Y339" s="23" t="n"/>
      <c r="Z339" s="23" t="n"/>
      <c r="AA339" s="23" t="n"/>
      <c r="AB339" s="23" t="n"/>
      <c r="AC339" s="23" t="n"/>
      <c r="AD339" s="23" t="n"/>
      <c r="AE339" s="23" t="n"/>
      <c r="AF339" s="23" t="n"/>
      <c r="AG339" s="23" t="n"/>
      <c r="AH339" s="23" t="n"/>
      <c r="AI339" s="23" t="n"/>
      <c r="AJ339" s="23" t="n"/>
      <c r="AK339" s="23" t="n"/>
      <c r="AL339" s="23" t="n"/>
      <c r="AM339" s="26">
        <f>IF(G339="","",G339&amp;"|"&amp;P339)</f>
        <v/>
      </c>
      <c r="AN339" s="27">
        <f>IF(I339="","",IFERROR(DATE(VALUE(RIGHT(I339,4)),VALUE(MID(I339,4,2)),VALUE(LEFT(I339,2))),""))</f>
        <v/>
      </c>
      <c r="AO339" s="27">
        <f>IF(Y339="","",IFERROR(DATE(VALUE(RIGHT(Y339,4)),VALUE(MID(Y339,4,2)),VALUE(LEFT(Y339,2))),""))</f>
        <v/>
      </c>
      <c r="AP339" s="27">
        <f>IF(AC339="","",IFERROR(DATE(VALUE(RIGHT(AC339,4)),VALUE(MID(AC339,4,2)),VALUE(LEFT(AC339,2))),""))</f>
        <v/>
      </c>
      <c r="AQ339" s="26">
        <f>IF(AI339="","",TRIM(LEFT(AI339,FIND(" ",AI339&amp;" ")-1)))</f>
        <v/>
      </c>
      <c r="AR339" s="27">
        <f>IF(AQ339="","",IFERROR(DATE(VALUE(MID(AQ339,FIND("/",AQ339,FIND("/",AQ339)+1)+1,4)),VALUE(LEFT(AQ339,FIND("/",AQ339)-1)),VALUE(MID(AQ339,FIND("/",AQ339)+1,FIND("/",AQ339,FIND("/",AQ339)+1)-FIND("/",AQ339)-1))),""))</f>
        <v/>
      </c>
      <c r="AS339" s="26">
        <f>IF(G339="","",IF(AND(AG339&lt;&gt;"",AG339&lt;&gt;"Bayi Aracı"),"Evet","Hayır"))</f>
        <v/>
      </c>
      <c r="AT339" s="26">
        <f>IF(G339="","",IF(AND(AS339="Evet",T339="Siparişiniz Teslim Edildi"),"Evet","Hayır"))</f>
        <v/>
      </c>
      <c r="AU339" s="26">
        <f>IF(G339="","",IF(AB339="Siparişinizin Montajı Yapıldı","Evet","Hayır"))</f>
        <v/>
      </c>
      <c r="AV339" s="27">
        <f>IF(G339="","",IF(AT339="Evet",AR339,IF(AU339="Evet",AP339,"")))</f>
        <v/>
      </c>
    </row>
    <row r="340">
      <c r="A340" s="23" t="n"/>
      <c r="B340" s="23" t="n"/>
      <c r="C340" s="23" t="n"/>
      <c r="D340" s="23" t="n"/>
      <c r="E340" s="23" t="n"/>
      <c r="F340" s="23" t="n"/>
      <c r="G340" s="23" t="n"/>
      <c r="H340" s="23" t="n"/>
      <c r="I340" s="23" t="n"/>
      <c r="J340" s="23" t="n"/>
      <c r="K340" s="23" t="n"/>
      <c r="L340" s="23" t="n"/>
      <c r="M340" s="23" t="n"/>
      <c r="N340" s="23" t="n"/>
      <c r="O340" s="23" t="n"/>
      <c r="P340" s="23" t="n"/>
      <c r="Q340" s="23" t="n"/>
      <c r="R340" s="23" t="n"/>
      <c r="S340" s="23" t="n"/>
      <c r="T340" s="23" t="n"/>
      <c r="U340" s="23" t="n"/>
      <c r="V340" s="23" t="n"/>
      <c r="W340" s="23" t="n"/>
      <c r="X340" s="23" t="n"/>
      <c r="Y340" s="23" t="n"/>
      <c r="Z340" s="23" t="n"/>
      <c r="AA340" s="23" t="n"/>
      <c r="AB340" s="23" t="n"/>
      <c r="AC340" s="23" t="n"/>
      <c r="AD340" s="23" t="n"/>
      <c r="AE340" s="23" t="n"/>
      <c r="AF340" s="23" t="n"/>
      <c r="AG340" s="23" t="n"/>
      <c r="AH340" s="23" t="n"/>
      <c r="AI340" s="23" t="n"/>
      <c r="AJ340" s="23" t="n"/>
      <c r="AK340" s="23" t="n"/>
      <c r="AL340" s="23" t="n"/>
      <c r="AM340" s="26">
        <f>IF(G340="","",G340&amp;"|"&amp;P340)</f>
        <v/>
      </c>
      <c r="AN340" s="27">
        <f>IF(I340="","",IFERROR(DATE(VALUE(RIGHT(I340,4)),VALUE(MID(I340,4,2)),VALUE(LEFT(I340,2))),""))</f>
        <v/>
      </c>
      <c r="AO340" s="27">
        <f>IF(Y340="","",IFERROR(DATE(VALUE(RIGHT(Y340,4)),VALUE(MID(Y340,4,2)),VALUE(LEFT(Y340,2))),""))</f>
        <v/>
      </c>
      <c r="AP340" s="27">
        <f>IF(AC340="","",IFERROR(DATE(VALUE(RIGHT(AC340,4)),VALUE(MID(AC340,4,2)),VALUE(LEFT(AC340,2))),""))</f>
        <v/>
      </c>
      <c r="AQ340" s="26">
        <f>IF(AI340="","",TRIM(LEFT(AI340,FIND(" ",AI340&amp;" ")-1)))</f>
        <v/>
      </c>
      <c r="AR340" s="27">
        <f>IF(AQ340="","",IFERROR(DATE(VALUE(MID(AQ340,FIND("/",AQ340,FIND("/",AQ340)+1)+1,4)),VALUE(LEFT(AQ340,FIND("/",AQ340)-1)),VALUE(MID(AQ340,FIND("/",AQ340)+1,FIND("/",AQ340,FIND("/",AQ340)+1)-FIND("/",AQ340)-1))),""))</f>
        <v/>
      </c>
      <c r="AS340" s="26">
        <f>IF(G340="","",IF(AND(AG340&lt;&gt;"",AG340&lt;&gt;"Bayi Aracı"),"Evet","Hayır"))</f>
        <v/>
      </c>
      <c r="AT340" s="26">
        <f>IF(G340="","",IF(AND(AS340="Evet",T340="Siparişiniz Teslim Edildi"),"Evet","Hayır"))</f>
        <v/>
      </c>
      <c r="AU340" s="26">
        <f>IF(G340="","",IF(AB340="Siparişinizin Montajı Yapıldı","Evet","Hayır"))</f>
        <v/>
      </c>
      <c r="AV340" s="27">
        <f>IF(G340="","",IF(AT340="Evet",AR340,IF(AU340="Evet",AP340,"")))</f>
        <v/>
      </c>
    </row>
    <row r="341">
      <c r="A341" s="23" t="n"/>
      <c r="B341" s="23" t="n"/>
      <c r="C341" s="23" t="n"/>
      <c r="D341" s="23" t="n"/>
      <c r="E341" s="23" t="n"/>
      <c r="F341" s="23" t="n"/>
      <c r="G341" s="23" t="n"/>
      <c r="H341" s="23" t="n"/>
      <c r="I341" s="23" t="n"/>
      <c r="J341" s="23" t="n"/>
      <c r="K341" s="23" t="n"/>
      <c r="L341" s="23" t="n"/>
      <c r="M341" s="23" t="n"/>
      <c r="N341" s="23" t="n"/>
      <c r="O341" s="23" t="n"/>
      <c r="P341" s="23" t="n"/>
      <c r="Q341" s="23" t="n"/>
      <c r="R341" s="23" t="n"/>
      <c r="S341" s="23" t="n"/>
      <c r="T341" s="23" t="n"/>
      <c r="U341" s="23" t="n"/>
      <c r="V341" s="23" t="n"/>
      <c r="W341" s="23" t="n"/>
      <c r="X341" s="23" t="n"/>
      <c r="Y341" s="23" t="n"/>
      <c r="Z341" s="23" t="n"/>
      <c r="AA341" s="23" t="n"/>
      <c r="AB341" s="23" t="n"/>
      <c r="AC341" s="23" t="n"/>
      <c r="AD341" s="23" t="n"/>
      <c r="AE341" s="23" t="n"/>
      <c r="AF341" s="23" t="n"/>
      <c r="AG341" s="23" t="n"/>
      <c r="AH341" s="23" t="n"/>
      <c r="AI341" s="23" t="n"/>
      <c r="AJ341" s="23" t="n"/>
      <c r="AK341" s="23" t="n"/>
      <c r="AL341" s="23" t="n"/>
      <c r="AM341" s="26">
        <f>IF(G341="","",G341&amp;"|"&amp;P341)</f>
        <v/>
      </c>
      <c r="AN341" s="27">
        <f>IF(I341="","",IFERROR(DATE(VALUE(RIGHT(I341,4)),VALUE(MID(I341,4,2)),VALUE(LEFT(I341,2))),""))</f>
        <v/>
      </c>
      <c r="AO341" s="27">
        <f>IF(Y341="","",IFERROR(DATE(VALUE(RIGHT(Y341,4)),VALUE(MID(Y341,4,2)),VALUE(LEFT(Y341,2))),""))</f>
        <v/>
      </c>
      <c r="AP341" s="27">
        <f>IF(AC341="","",IFERROR(DATE(VALUE(RIGHT(AC341,4)),VALUE(MID(AC341,4,2)),VALUE(LEFT(AC341,2))),""))</f>
        <v/>
      </c>
      <c r="AQ341" s="26">
        <f>IF(AI341="","",TRIM(LEFT(AI341,FIND(" ",AI341&amp;" ")-1)))</f>
        <v/>
      </c>
      <c r="AR341" s="27">
        <f>IF(AQ341="","",IFERROR(DATE(VALUE(MID(AQ341,FIND("/",AQ341,FIND("/",AQ341)+1)+1,4)),VALUE(LEFT(AQ341,FIND("/",AQ341)-1)),VALUE(MID(AQ341,FIND("/",AQ341)+1,FIND("/",AQ341,FIND("/",AQ341)+1)-FIND("/",AQ341)-1))),""))</f>
        <v/>
      </c>
      <c r="AS341" s="26">
        <f>IF(G341="","",IF(AND(AG341&lt;&gt;"",AG341&lt;&gt;"Bayi Aracı"),"Evet","Hayır"))</f>
        <v/>
      </c>
      <c r="AT341" s="26">
        <f>IF(G341="","",IF(AND(AS341="Evet",T341="Siparişiniz Teslim Edildi"),"Evet","Hayır"))</f>
        <v/>
      </c>
      <c r="AU341" s="26">
        <f>IF(G341="","",IF(AB341="Siparişinizin Montajı Yapıldı","Evet","Hayır"))</f>
        <v/>
      </c>
      <c r="AV341" s="27">
        <f>IF(G341="","",IF(AT341="Evet",AR341,IF(AU341="Evet",AP341,"")))</f>
        <v/>
      </c>
    </row>
    <row r="342">
      <c r="A342" s="23" t="n"/>
      <c r="B342" s="23" t="n"/>
      <c r="C342" s="23" t="n"/>
      <c r="D342" s="23" t="n"/>
      <c r="E342" s="23" t="n"/>
      <c r="F342" s="23" t="n"/>
      <c r="G342" s="23" t="n"/>
      <c r="H342" s="23" t="n"/>
      <c r="I342" s="23" t="n"/>
      <c r="J342" s="23" t="n"/>
      <c r="K342" s="23" t="n"/>
      <c r="L342" s="23" t="n"/>
      <c r="M342" s="23" t="n"/>
      <c r="N342" s="23" t="n"/>
      <c r="O342" s="23" t="n"/>
      <c r="P342" s="23" t="n"/>
      <c r="Q342" s="23" t="n"/>
      <c r="R342" s="23" t="n"/>
      <c r="S342" s="23" t="n"/>
      <c r="T342" s="23" t="n"/>
      <c r="U342" s="23" t="n"/>
      <c r="V342" s="23" t="n"/>
      <c r="W342" s="23" t="n"/>
      <c r="X342" s="23" t="n"/>
      <c r="Y342" s="23" t="n"/>
      <c r="Z342" s="23" t="n"/>
      <c r="AA342" s="23" t="n"/>
      <c r="AB342" s="23" t="n"/>
      <c r="AC342" s="23" t="n"/>
      <c r="AD342" s="23" t="n"/>
      <c r="AE342" s="23" t="n"/>
      <c r="AF342" s="23" t="n"/>
      <c r="AG342" s="23" t="n"/>
      <c r="AH342" s="23" t="n"/>
      <c r="AI342" s="23" t="n"/>
      <c r="AJ342" s="23" t="n"/>
      <c r="AK342" s="23" t="n"/>
      <c r="AL342" s="23" t="n"/>
      <c r="AM342" s="26">
        <f>IF(G342="","",G342&amp;"|"&amp;P342)</f>
        <v/>
      </c>
      <c r="AN342" s="27">
        <f>IF(I342="","",IFERROR(DATE(VALUE(RIGHT(I342,4)),VALUE(MID(I342,4,2)),VALUE(LEFT(I342,2))),""))</f>
        <v/>
      </c>
      <c r="AO342" s="27">
        <f>IF(Y342="","",IFERROR(DATE(VALUE(RIGHT(Y342,4)),VALUE(MID(Y342,4,2)),VALUE(LEFT(Y342,2))),""))</f>
        <v/>
      </c>
      <c r="AP342" s="27">
        <f>IF(AC342="","",IFERROR(DATE(VALUE(RIGHT(AC342,4)),VALUE(MID(AC342,4,2)),VALUE(LEFT(AC342,2))),""))</f>
        <v/>
      </c>
      <c r="AQ342" s="26">
        <f>IF(AI342="","",TRIM(LEFT(AI342,FIND(" ",AI342&amp;" ")-1)))</f>
        <v/>
      </c>
      <c r="AR342" s="27">
        <f>IF(AQ342="","",IFERROR(DATE(VALUE(MID(AQ342,FIND("/",AQ342,FIND("/",AQ342)+1)+1,4)),VALUE(LEFT(AQ342,FIND("/",AQ342)-1)),VALUE(MID(AQ342,FIND("/",AQ342)+1,FIND("/",AQ342,FIND("/",AQ342)+1)-FIND("/",AQ342)-1))),""))</f>
        <v/>
      </c>
      <c r="AS342" s="26">
        <f>IF(G342="","",IF(AND(AG342&lt;&gt;"",AG342&lt;&gt;"Bayi Aracı"),"Evet","Hayır"))</f>
        <v/>
      </c>
      <c r="AT342" s="26">
        <f>IF(G342="","",IF(AND(AS342="Evet",T342="Siparişiniz Teslim Edildi"),"Evet","Hayır"))</f>
        <v/>
      </c>
      <c r="AU342" s="26">
        <f>IF(G342="","",IF(AB342="Siparişinizin Montajı Yapıldı","Evet","Hayır"))</f>
        <v/>
      </c>
      <c r="AV342" s="27">
        <f>IF(G342="","",IF(AT342="Evet",AR342,IF(AU342="Evet",AP342,"")))</f>
        <v/>
      </c>
    </row>
    <row r="343">
      <c r="A343" s="23" t="n"/>
      <c r="B343" s="23" t="n"/>
      <c r="C343" s="23" t="n"/>
      <c r="D343" s="23" t="n"/>
      <c r="E343" s="23" t="n"/>
      <c r="F343" s="23" t="n"/>
      <c r="G343" s="23" t="n"/>
      <c r="H343" s="23" t="n"/>
      <c r="I343" s="23" t="n"/>
      <c r="J343" s="23" t="n"/>
      <c r="K343" s="23" t="n"/>
      <c r="L343" s="23" t="n"/>
      <c r="M343" s="23" t="n"/>
      <c r="N343" s="23" t="n"/>
      <c r="O343" s="23" t="n"/>
      <c r="P343" s="23" t="n"/>
      <c r="Q343" s="23" t="n"/>
      <c r="R343" s="23" t="n"/>
      <c r="S343" s="23" t="n"/>
      <c r="T343" s="23" t="n"/>
      <c r="U343" s="23" t="n"/>
      <c r="V343" s="23" t="n"/>
      <c r="W343" s="23" t="n"/>
      <c r="X343" s="23" t="n"/>
      <c r="Y343" s="23" t="n"/>
      <c r="Z343" s="23" t="n"/>
      <c r="AA343" s="23" t="n"/>
      <c r="AB343" s="23" t="n"/>
      <c r="AC343" s="23" t="n"/>
      <c r="AD343" s="23" t="n"/>
      <c r="AE343" s="23" t="n"/>
      <c r="AF343" s="23" t="n"/>
      <c r="AG343" s="23" t="n"/>
      <c r="AH343" s="23" t="n"/>
      <c r="AI343" s="23" t="n"/>
      <c r="AJ343" s="23" t="n"/>
      <c r="AK343" s="23" t="n"/>
      <c r="AL343" s="23" t="n"/>
      <c r="AM343" s="26">
        <f>IF(G343="","",G343&amp;"|"&amp;P343)</f>
        <v/>
      </c>
      <c r="AN343" s="27">
        <f>IF(I343="","",IFERROR(DATE(VALUE(RIGHT(I343,4)),VALUE(MID(I343,4,2)),VALUE(LEFT(I343,2))),""))</f>
        <v/>
      </c>
      <c r="AO343" s="27">
        <f>IF(Y343="","",IFERROR(DATE(VALUE(RIGHT(Y343,4)),VALUE(MID(Y343,4,2)),VALUE(LEFT(Y343,2))),""))</f>
        <v/>
      </c>
      <c r="AP343" s="27">
        <f>IF(AC343="","",IFERROR(DATE(VALUE(RIGHT(AC343,4)),VALUE(MID(AC343,4,2)),VALUE(LEFT(AC343,2))),""))</f>
        <v/>
      </c>
      <c r="AQ343" s="26">
        <f>IF(AI343="","",TRIM(LEFT(AI343,FIND(" ",AI343&amp;" ")-1)))</f>
        <v/>
      </c>
      <c r="AR343" s="27">
        <f>IF(AQ343="","",IFERROR(DATE(VALUE(MID(AQ343,FIND("/",AQ343,FIND("/",AQ343)+1)+1,4)),VALUE(LEFT(AQ343,FIND("/",AQ343)-1)),VALUE(MID(AQ343,FIND("/",AQ343)+1,FIND("/",AQ343,FIND("/",AQ343)+1)-FIND("/",AQ343)-1))),""))</f>
        <v/>
      </c>
      <c r="AS343" s="26">
        <f>IF(G343="","",IF(AND(AG343&lt;&gt;"",AG343&lt;&gt;"Bayi Aracı"),"Evet","Hayır"))</f>
        <v/>
      </c>
      <c r="AT343" s="26">
        <f>IF(G343="","",IF(AND(AS343="Evet",T343="Siparişiniz Teslim Edildi"),"Evet","Hayır"))</f>
        <v/>
      </c>
      <c r="AU343" s="26">
        <f>IF(G343="","",IF(AB343="Siparişinizin Montajı Yapıldı","Evet","Hayır"))</f>
        <v/>
      </c>
      <c r="AV343" s="27">
        <f>IF(G343="","",IF(AT343="Evet",AR343,IF(AU343="Evet",AP343,"")))</f>
        <v/>
      </c>
    </row>
    <row r="344">
      <c r="A344" s="23" t="n"/>
      <c r="B344" s="23" t="n"/>
      <c r="C344" s="23" t="n"/>
      <c r="D344" s="23" t="n"/>
      <c r="E344" s="23" t="n"/>
      <c r="F344" s="23" t="n"/>
      <c r="G344" s="23" t="n"/>
      <c r="H344" s="23" t="n"/>
      <c r="I344" s="23" t="n"/>
      <c r="J344" s="23" t="n"/>
      <c r="K344" s="23" t="n"/>
      <c r="L344" s="23" t="n"/>
      <c r="M344" s="23" t="n"/>
      <c r="N344" s="23" t="n"/>
      <c r="O344" s="23" t="n"/>
      <c r="P344" s="23" t="n"/>
      <c r="Q344" s="23" t="n"/>
      <c r="R344" s="23" t="n"/>
      <c r="S344" s="23" t="n"/>
      <c r="T344" s="23" t="n"/>
      <c r="U344" s="23" t="n"/>
      <c r="V344" s="23" t="n"/>
      <c r="W344" s="23" t="n"/>
      <c r="X344" s="23" t="n"/>
      <c r="Y344" s="23" t="n"/>
      <c r="Z344" s="23" t="n"/>
      <c r="AA344" s="23" t="n"/>
      <c r="AB344" s="23" t="n"/>
      <c r="AC344" s="23" t="n"/>
      <c r="AD344" s="23" t="n"/>
      <c r="AE344" s="23" t="n"/>
      <c r="AF344" s="23" t="n"/>
      <c r="AG344" s="23" t="n"/>
      <c r="AH344" s="23" t="n"/>
      <c r="AI344" s="23" t="n"/>
      <c r="AJ344" s="23" t="n"/>
      <c r="AK344" s="23" t="n"/>
      <c r="AL344" s="23" t="n"/>
      <c r="AM344" s="26">
        <f>IF(G344="","",G344&amp;"|"&amp;P344)</f>
        <v/>
      </c>
      <c r="AN344" s="27">
        <f>IF(I344="","",IFERROR(DATE(VALUE(RIGHT(I344,4)),VALUE(MID(I344,4,2)),VALUE(LEFT(I344,2))),""))</f>
        <v/>
      </c>
      <c r="AO344" s="27">
        <f>IF(Y344="","",IFERROR(DATE(VALUE(RIGHT(Y344,4)),VALUE(MID(Y344,4,2)),VALUE(LEFT(Y344,2))),""))</f>
        <v/>
      </c>
      <c r="AP344" s="27">
        <f>IF(AC344="","",IFERROR(DATE(VALUE(RIGHT(AC344,4)),VALUE(MID(AC344,4,2)),VALUE(LEFT(AC344,2))),""))</f>
        <v/>
      </c>
      <c r="AQ344" s="26">
        <f>IF(AI344="","",TRIM(LEFT(AI344,FIND(" ",AI344&amp;" ")-1)))</f>
        <v/>
      </c>
      <c r="AR344" s="27">
        <f>IF(AQ344="","",IFERROR(DATE(VALUE(MID(AQ344,FIND("/",AQ344,FIND("/",AQ344)+1)+1,4)),VALUE(LEFT(AQ344,FIND("/",AQ344)-1)),VALUE(MID(AQ344,FIND("/",AQ344)+1,FIND("/",AQ344,FIND("/",AQ344)+1)-FIND("/",AQ344)-1))),""))</f>
        <v/>
      </c>
      <c r="AS344" s="26">
        <f>IF(G344="","",IF(AND(AG344&lt;&gt;"",AG344&lt;&gt;"Bayi Aracı"),"Evet","Hayır"))</f>
        <v/>
      </c>
      <c r="AT344" s="26">
        <f>IF(G344="","",IF(AND(AS344="Evet",T344="Siparişiniz Teslim Edildi"),"Evet","Hayır"))</f>
        <v/>
      </c>
      <c r="AU344" s="26">
        <f>IF(G344="","",IF(AB344="Siparişinizin Montajı Yapıldı","Evet","Hayır"))</f>
        <v/>
      </c>
      <c r="AV344" s="27">
        <f>IF(G344="","",IF(AT344="Evet",AR344,IF(AU344="Evet",AP344,"")))</f>
        <v/>
      </c>
    </row>
    <row r="345">
      <c r="A345" s="23" t="n"/>
      <c r="B345" s="23" t="n"/>
      <c r="C345" s="23" t="n"/>
      <c r="D345" s="23" t="n"/>
      <c r="E345" s="23" t="n"/>
      <c r="F345" s="23" t="n"/>
      <c r="G345" s="23" t="n"/>
      <c r="H345" s="23" t="n"/>
      <c r="I345" s="23" t="n"/>
      <c r="J345" s="23" t="n"/>
      <c r="K345" s="23" t="n"/>
      <c r="L345" s="23" t="n"/>
      <c r="M345" s="23" t="n"/>
      <c r="N345" s="23" t="n"/>
      <c r="O345" s="23" t="n"/>
      <c r="P345" s="23" t="n"/>
      <c r="Q345" s="23" t="n"/>
      <c r="R345" s="23" t="n"/>
      <c r="S345" s="23" t="n"/>
      <c r="T345" s="23" t="n"/>
      <c r="U345" s="23" t="n"/>
      <c r="V345" s="23" t="n"/>
      <c r="W345" s="23" t="n"/>
      <c r="X345" s="23" t="n"/>
      <c r="Y345" s="23" t="n"/>
      <c r="Z345" s="23" t="n"/>
      <c r="AA345" s="23" t="n"/>
      <c r="AB345" s="23" t="n"/>
      <c r="AC345" s="23" t="n"/>
      <c r="AD345" s="23" t="n"/>
      <c r="AE345" s="23" t="n"/>
      <c r="AF345" s="23" t="n"/>
      <c r="AG345" s="23" t="n"/>
      <c r="AH345" s="23" t="n"/>
      <c r="AI345" s="23" t="n"/>
      <c r="AJ345" s="23" t="n"/>
      <c r="AK345" s="23" t="n"/>
      <c r="AL345" s="23" t="n"/>
      <c r="AM345" s="26">
        <f>IF(G345="","",G345&amp;"|"&amp;P345)</f>
        <v/>
      </c>
      <c r="AN345" s="27">
        <f>IF(I345="","",IFERROR(DATE(VALUE(RIGHT(I345,4)),VALUE(MID(I345,4,2)),VALUE(LEFT(I345,2))),""))</f>
        <v/>
      </c>
      <c r="AO345" s="27">
        <f>IF(Y345="","",IFERROR(DATE(VALUE(RIGHT(Y345,4)),VALUE(MID(Y345,4,2)),VALUE(LEFT(Y345,2))),""))</f>
        <v/>
      </c>
      <c r="AP345" s="27">
        <f>IF(AC345="","",IFERROR(DATE(VALUE(RIGHT(AC345,4)),VALUE(MID(AC345,4,2)),VALUE(LEFT(AC345,2))),""))</f>
        <v/>
      </c>
      <c r="AQ345" s="26">
        <f>IF(AI345="","",TRIM(LEFT(AI345,FIND(" ",AI345&amp;" ")-1)))</f>
        <v/>
      </c>
      <c r="AR345" s="27">
        <f>IF(AQ345="","",IFERROR(DATE(VALUE(MID(AQ345,FIND("/",AQ345,FIND("/",AQ345)+1)+1,4)),VALUE(LEFT(AQ345,FIND("/",AQ345)-1)),VALUE(MID(AQ345,FIND("/",AQ345)+1,FIND("/",AQ345,FIND("/",AQ345)+1)-FIND("/",AQ345)-1))),""))</f>
        <v/>
      </c>
      <c r="AS345" s="26">
        <f>IF(G345="","",IF(AND(AG345&lt;&gt;"",AG345&lt;&gt;"Bayi Aracı"),"Evet","Hayır"))</f>
        <v/>
      </c>
      <c r="AT345" s="26">
        <f>IF(G345="","",IF(AND(AS345="Evet",T345="Siparişiniz Teslim Edildi"),"Evet","Hayır"))</f>
        <v/>
      </c>
      <c r="AU345" s="26">
        <f>IF(G345="","",IF(AB345="Siparişinizin Montajı Yapıldı","Evet","Hayır"))</f>
        <v/>
      </c>
      <c r="AV345" s="27">
        <f>IF(G345="","",IF(AT345="Evet",AR345,IF(AU345="Evet",AP345,"")))</f>
        <v/>
      </c>
    </row>
    <row r="346">
      <c r="A346" s="23" t="n"/>
      <c r="B346" s="23" t="n"/>
      <c r="C346" s="23" t="n"/>
      <c r="D346" s="23" t="n"/>
      <c r="E346" s="23" t="n"/>
      <c r="F346" s="23" t="n"/>
      <c r="G346" s="23" t="n"/>
      <c r="H346" s="23" t="n"/>
      <c r="I346" s="23" t="n"/>
      <c r="J346" s="23" t="n"/>
      <c r="K346" s="23" t="n"/>
      <c r="L346" s="23" t="n"/>
      <c r="M346" s="23" t="n"/>
      <c r="N346" s="23" t="n"/>
      <c r="O346" s="23" t="n"/>
      <c r="P346" s="23" t="n"/>
      <c r="Q346" s="23" t="n"/>
      <c r="R346" s="23" t="n"/>
      <c r="S346" s="23" t="n"/>
      <c r="T346" s="23" t="n"/>
      <c r="U346" s="23" t="n"/>
      <c r="V346" s="23" t="n"/>
      <c r="W346" s="23" t="n"/>
      <c r="X346" s="23" t="n"/>
      <c r="Y346" s="23" t="n"/>
      <c r="Z346" s="23" t="n"/>
      <c r="AA346" s="23" t="n"/>
      <c r="AB346" s="23" t="n"/>
      <c r="AC346" s="23" t="n"/>
      <c r="AD346" s="23" t="n"/>
      <c r="AE346" s="23" t="n"/>
      <c r="AF346" s="23" t="n"/>
      <c r="AG346" s="23" t="n"/>
      <c r="AH346" s="23" t="n"/>
      <c r="AI346" s="23" t="n"/>
      <c r="AJ346" s="23" t="n"/>
      <c r="AK346" s="23" t="n"/>
      <c r="AL346" s="23" t="n"/>
      <c r="AM346" s="26">
        <f>IF(G346="","",G346&amp;"|"&amp;P346)</f>
        <v/>
      </c>
      <c r="AN346" s="27">
        <f>IF(I346="","",IFERROR(DATE(VALUE(RIGHT(I346,4)),VALUE(MID(I346,4,2)),VALUE(LEFT(I346,2))),""))</f>
        <v/>
      </c>
      <c r="AO346" s="27">
        <f>IF(Y346="","",IFERROR(DATE(VALUE(RIGHT(Y346,4)),VALUE(MID(Y346,4,2)),VALUE(LEFT(Y346,2))),""))</f>
        <v/>
      </c>
      <c r="AP346" s="27">
        <f>IF(AC346="","",IFERROR(DATE(VALUE(RIGHT(AC346,4)),VALUE(MID(AC346,4,2)),VALUE(LEFT(AC346,2))),""))</f>
        <v/>
      </c>
      <c r="AQ346" s="26">
        <f>IF(AI346="","",TRIM(LEFT(AI346,FIND(" ",AI346&amp;" ")-1)))</f>
        <v/>
      </c>
      <c r="AR346" s="27">
        <f>IF(AQ346="","",IFERROR(DATE(VALUE(MID(AQ346,FIND("/",AQ346,FIND("/",AQ346)+1)+1,4)),VALUE(LEFT(AQ346,FIND("/",AQ346)-1)),VALUE(MID(AQ346,FIND("/",AQ346)+1,FIND("/",AQ346,FIND("/",AQ346)+1)-FIND("/",AQ346)-1))),""))</f>
        <v/>
      </c>
      <c r="AS346" s="26">
        <f>IF(G346="","",IF(AND(AG346&lt;&gt;"",AG346&lt;&gt;"Bayi Aracı"),"Evet","Hayır"))</f>
        <v/>
      </c>
      <c r="AT346" s="26">
        <f>IF(G346="","",IF(AND(AS346="Evet",T346="Siparişiniz Teslim Edildi"),"Evet","Hayır"))</f>
        <v/>
      </c>
      <c r="AU346" s="26">
        <f>IF(G346="","",IF(AB346="Siparişinizin Montajı Yapıldı","Evet","Hayır"))</f>
        <v/>
      </c>
      <c r="AV346" s="27">
        <f>IF(G346="","",IF(AT346="Evet",AR346,IF(AU346="Evet",AP346,"")))</f>
        <v/>
      </c>
    </row>
    <row r="347">
      <c r="A347" s="23" t="n"/>
      <c r="B347" s="23" t="n"/>
      <c r="C347" s="23" t="n"/>
      <c r="D347" s="23" t="n"/>
      <c r="E347" s="23" t="n"/>
      <c r="F347" s="23" t="n"/>
      <c r="G347" s="23" t="n"/>
      <c r="H347" s="23" t="n"/>
      <c r="I347" s="23" t="n"/>
      <c r="J347" s="23" t="n"/>
      <c r="K347" s="23" t="n"/>
      <c r="L347" s="23" t="n"/>
      <c r="M347" s="23" t="n"/>
      <c r="N347" s="23" t="n"/>
      <c r="O347" s="23" t="n"/>
      <c r="P347" s="23" t="n"/>
      <c r="Q347" s="23" t="n"/>
      <c r="R347" s="23" t="n"/>
      <c r="S347" s="23" t="n"/>
      <c r="T347" s="23" t="n"/>
      <c r="U347" s="23" t="n"/>
      <c r="V347" s="23" t="n"/>
      <c r="W347" s="23" t="n"/>
      <c r="X347" s="23" t="n"/>
      <c r="Y347" s="23" t="n"/>
      <c r="Z347" s="23" t="n"/>
      <c r="AA347" s="23" t="n"/>
      <c r="AB347" s="23" t="n"/>
      <c r="AC347" s="23" t="n"/>
      <c r="AD347" s="23" t="n"/>
      <c r="AE347" s="23" t="n"/>
      <c r="AF347" s="23" t="n"/>
      <c r="AG347" s="23" t="n"/>
      <c r="AH347" s="23" t="n"/>
      <c r="AI347" s="23" t="n"/>
      <c r="AJ347" s="23" t="n"/>
      <c r="AK347" s="23" t="n"/>
      <c r="AL347" s="23" t="n"/>
      <c r="AM347" s="26">
        <f>IF(G347="","",G347&amp;"|"&amp;P347)</f>
        <v/>
      </c>
      <c r="AN347" s="27">
        <f>IF(I347="","",IFERROR(DATE(VALUE(RIGHT(I347,4)),VALUE(MID(I347,4,2)),VALUE(LEFT(I347,2))),""))</f>
        <v/>
      </c>
      <c r="AO347" s="27">
        <f>IF(Y347="","",IFERROR(DATE(VALUE(RIGHT(Y347,4)),VALUE(MID(Y347,4,2)),VALUE(LEFT(Y347,2))),""))</f>
        <v/>
      </c>
      <c r="AP347" s="27">
        <f>IF(AC347="","",IFERROR(DATE(VALUE(RIGHT(AC347,4)),VALUE(MID(AC347,4,2)),VALUE(LEFT(AC347,2))),""))</f>
        <v/>
      </c>
      <c r="AQ347" s="26">
        <f>IF(AI347="","",TRIM(LEFT(AI347,FIND(" ",AI347&amp;" ")-1)))</f>
        <v/>
      </c>
      <c r="AR347" s="27">
        <f>IF(AQ347="","",IFERROR(DATE(VALUE(MID(AQ347,FIND("/",AQ347,FIND("/",AQ347)+1)+1,4)),VALUE(LEFT(AQ347,FIND("/",AQ347)-1)),VALUE(MID(AQ347,FIND("/",AQ347)+1,FIND("/",AQ347,FIND("/",AQ347)+1)-FIND("/",AQ347)-1))),""))</f>
        <v/>
      </c>
      <c r="AS347" s="26">
        <f>IF(G347="","",IF(AND(AG347&lt;&gt;"",AG347&lt;&gt;"Bayi Aracı"),"Evet","Hayır"))</f>
        <v/>
      </c>
      <c r="AT347" s="26">
        <f>IF(G347="","",IF(AND(AS347="Evet",T347="Siparişiniz Teslim Edildi"),"Evet","Hayır"))</f>
        <v/>
      </c>
      <c r="AU347" s="26">
        <f>IF(G347="","",IF(AB347="Siparişinizin Montajı Yapıldı","Evet","Hayır"))</f>
        <v/>
      </c>
      <c r="AV347" s="27">
        <f>IF(G347="","",IF(AT347="Evet",AR347,IF(AU347="Evet",AP347,"")))</f>
        <v/>
      </c>
    </row>
    <row r="348">
      <c r="A348" s="23" t="n"/>
      <c r="B348" s="23" t="n"/>
      <c r="C348" s="23" t="n"/>
      <c r="D348" s="23" t="n"/>
      <c r="E348" s="23" t="n"/>
      <c r="F348" s="23" t="n"/>
      <c r="G348" s="23" t="n"/>
      <c r="H348" s="23" t="n"/>
      <c r="I348" s="23" t="n"/>
      <c r="J348" s="23" t="n"/>
      <c r="K348" s="23" t="n"/>
      <c r="L348" s="23" t="n"/>
      <c r="M348" s="23" t="n"/>
      <c r="N348" s="23" t="n"/>
      <c r="O348" s="23" t="n"/>
      <c r="P348" s="23" t="n"/>
      <c r="Q348" s="23" t="n"/>
      <c r="R348" s="23" t="n"/>
      <c r="S348" s="23" t="n"/>
      <c r="T348" s="23" t="n"/>
      <c r="U348" s="23" t="n"/>
      <c r="V348" s="23" t="n"/>
      <c r="W348" s="23" t="n"/>
      <c r="X348" s="23" t="n"/>
      <c r="Y348" s="23" t="n"/>
      <c r="Z348" s="23" t="n"/>
      <c r="AA348" s="23" t="n"/>
      <c r="AB348" s="23" t="n"/>
      <c r="AC348" s="23" t="n"/>
      <c r="AD348" s="23" t="n"/>
      <c r="AE348" s="23" t="n"/>
      <c r="AF348" s="23" t="n"/>
      <c r="AG348" s="23" t="n"/>
      <c r="AH348" s="23" t="n"/>
      <c r="AI348" s="23" t="n"/>
      <c r="AJ348" s="23" t="n"/>
      <c r="AK348" s="23" t="n"/>
      <c r="AL348" s="23" t="n"/>
      <c r="AM348" s="26">
        <f>IF(G348="","",G348&amp;"|"&amp;P348)</f>
        <v/>
      </c>
      <c r="AN348" s="27">
        <f>IF(I348="","",IFERROR(DATE(VALUE(RIGHT(I348,4)),VALUE(MID(I348,4,2)),VALUE(LEFT(I348,2))),""))</f>
        <v/>
      </c>
      <c r="AO348" s="27">
        <f>IF(Y348="","",IFERROR(DATE(VALUE(RIGHT(Y348,4)),VALUE(MID(Y348,4,2)),VALUE(LEFT(Y348,2))),""))</f>
        <v/>
      </c>
      <c r="AP348" s="27">
        <f>IF(AC348="","",IFERROR(DATE(VALUE(RIGHT(AC348,4)),VALUE(MID(AC348,4,2)),VALUE(LEFT(AC348,2))),""))</f>
        <v/>
      </c>
      <c r="AQ348" s="26">
        <f>IF(AI348="","",TRIM(LEFT(AI348,FIND(" ",AI348&amp;" ")-1)))</f>
        <v/>
      </c>
      <c r="AR348" s="27">
        <f>IF(AQ348="","",IFERROR(DATE(VALUE(MID(AQ348,FIND("/",AQ348,FIND("/",AQ348)+1)+1,4)),VALUE(LEFT(AQ348,FIND("/",AQ348)-1)),VALUE(MID(AQ348,FIND("/",AQ348)+1,FIND("/",AQ348,FIND("/",AQ348)+1)-FIND("/",AQ348)-1))),""))</f>
        <v/>
      </c>
      <c r="AS348" s="26">
        <f>IF(G348="","",IF(AND(AG348&lt;&gt;"",AG348&lt;&gt;"Bayi Aracı"),"Evet","Hayır"))</f>
        <v/>
      </c>
      <c r="AT348" s="26">
        <f>IF(G348="","",IF(AND(AS348="Evet",T348="Siparişiniz Teslim Edildi"),"Evet","Hayır"))</f>
        <v/>
      </c>
      <c r="AU348" s="26">
        <f>IF(G348="","",IF(AB348="Siparişinizin Montajı Yapıldı","Evet","Hayır"))</f>
        <v/>
      </c>
      <c r="AV348" s="27">
        <f>IF(G348="","",IF(AT348="Evet",AR348,IF(AU348="Evet",AP348,"")))</f>
        <v/>
      </c>
    </row>
    <row r="349">
      <c r="A349" s="23" t="n"/>
      <c r="B349" s="23" t="n"/>
      <c r="C349" s="23" t="n"/>
      <c r="D349" s="23" t="n"/>
      <c r="E349" s="23" t="n"/>
      <c r="F349" s="23" t="n"/>
      <c r="G349" s="23" t="n"/>
      <c r="H349" s="23" t="n"/>
      <c r="I349" s="23" t="n"/>
      <c r="J349" s="23" t="n"/>
      <c r="K349" s="23" t="n"/>
      <c r="L349" s="23" t="n"/>
      <c r="M349" s="23" t="n"/>
      <c r="N349" s="23" t="n"/>
      <c r="O349" s="23" t="n"/>
      <c r="P349" s="23" t="n"/>
      <c r="Q349" s="23" t="n"/>
      <c r="R349" s="23" t="n"/>
      <c r="S349" s="23" t="n"/>
      <c r="T349" s="23" t="n"/>
      <c r="U349" s="23" t="n"/>
      <c r="V349" s="23" t="n"/>
      <c r="W349" s="23" t="n"/>
      <c r="X349" s="23" t="n"/>
      <c r="Y349" s="23" t="n"/>
      <c r="Z349" s="23" t="n"/>
      <c r="AA349" s="23" t="n"/>
      <c r="AB349" s="23" t="n"/>
      <c r="AC349" s="23" t="n"/>
      <c r="AD349" s="23" t="n"/>
      <c r="AE349" s="23" t="n"/>
      <c r="AF349" s="23" t="n"/>
      <c r="AG349" s="23" t="n"/>
      <c r="AH349" s="23" t="n"/>
      <c r="AI349" s="23" t="n"/>
      <c r="AJ349" s="23" t="n"/>
      <c r="AK349" s="23" t="n"/>
      <c r="AL349" s="23" t="n"/>
      <c r="AM349" s="26">
        <f>IF(G349="","",G349&amp;"|"&amp;P349)</f>
        <v/>
      </c>
      <c r="AN349" s="27">
        <f>IF(I349="","",IFERROR(DATE(VALUE(RIGHT(I349,4)),VALUE(MID(I349,4,2)),VALUE(LEFT(I349,2))),""))</f>
        <v/>
      </c>
      <c r="AO349" s="27">
        <f>IF(Y349="","",IFERROR(DATE(VALUE(RIGHT(Y349,4)),VALUE(MID(Y349,4,2)),VALUE(LEFT(Y349,2))),""))</f>
        <v/>
      </c>
      <c r="AP349" s="27">
        <f>IF(AC349="","",IFERROR(DATE(VALUE(RIGHT(AC349,4)),VALUE(MID(AC349,4,2)),VALUE(LEFT(AC349,2))),""))</f>
        <v/>
      </c>
      <c r="AQ349" s="26">
        <f>IF(AI349="","",TRIM(LEFT(AI349,FIND(" ",AI349&amp;" ")-1)))</f>
        <v/>
      </c>
      <c r="AR349" s="27">
        <f>IF(AQ349="","",IFERROR(DATE(VALUE(MID(AQ349,FIND("/",AQ349,FIND("/",AQ349)+1)+1,4)),VALUE(LEFT(AQ349,FIND("/",AQ349)-1)),VALUE(MID(AQ349,FIND("/",AQ349)+1,FIND("/",AQ349,FIND("/",AQ349)+1)-FIND("/",AQ349)-1))),""))</f>
        <v/>
      </c>
      <c r="AS349" s="26">
        <f>IF(G349="","",IF(AND(AG349&lt;&gt;"",AG349&lt;&gt;"Bayi Aracı"),"Evet","Hayır"))</f>
        <v/>
      </c>
      <c r="AT349" s="26">
        <f>IF(G349="","",IF(AND(AS349="Evet",T349="Siparişiniz Teslim Edildi"),"Evet","Hayır"))</f>
        <v/>
      </c>
      <c r="AU349" s="26">
        <f>IF(G349="","",IF(AB349="Siparişinizin Montajı Yapıldı","Evet","Hayır"))</f>
        <v/>
      </c>
      <c r="AV349" s="27">
        <f>IF(G349="","",IF(AT349="Evet",AR349,IF(AU349="Evet",AP349,"")))</f>
        <v/>
      </c>
    </row>
    <row r="350">
      <c r="A350" s="23" t="n"/>
      <c r="B350" s="23" t="n"/>
      <c r="C350" s="23" t="n"/>
      <c r="D350" s="23" t="n"/>
      <c r="E350" s="23" t="n"/>
      <c r="F350" s="23" t="n"/>
      <c r="G350" s="23" t="n"/>
      <c r="H350" s="23" t="n"/>
      <c r="I350" s="23" t="n"/>
      <c r="J350" s="23" t="n"/>
      <c r="K350" s="23" t="n"/>
      <c r="L350" s="23" t="n"/>
      <c r="M350" s="23" t="n"/>
      <c r="N350" s="23" t="n"/>
      <c r="O350" s="23" t="n"/>
      <c r="P350" s="23" t="n"/>
      <c r="Q350" s="23" t="n"/>
      <c r="R350" s="23" t="n"/>
      <c r="S350" s="23" t="n"/>
      <c r="T350" s="23" t="n"/>
      <c r="U350" s="23" t="n"/>
      <c r="V350" s="23" t="n"/>
      <c r="W350" s="23" t="n"/>
      <c r="X350" s="23" t="n"/>
      <c r="Y350" s="23" t="n"/>
      <c r="Z350" s="23" t="n"/>
      <c r="AA350" s="23" t="n"/>
      <c r="AB350" s="23" t="n"/>
      <c r="AC350" s="23" t="n"/>
      <c r="AD350" s="23" t="n"/>
      <c r="AE350" s="23" t="n"/>
      <c r="AF350" s="23" t="n"/>
      <c r="AG350" s="23" t="n"/>
      <c r="AH350" s="23" t="n"/>
      <c r="AI350" s="23" t="n"/>
      <c r="AJ350" s="23" t="n"/>
      <c r="AK350" s="23" t="n"/>
      <c r="AL350" s="23" t="n"/>
      <c r="AM350" s="26">
        <f>IF(G350="","",G350&amp;"|"&amp;P350)</f>
        <v/>
      </c>
      <c r="AN350" s="27">
        <f>IF(I350="","",IFERROR(DATE(VALUE(RIGHT(I350,4)),VALUE(MID(I350,4,2)),VALUE(LEFT(I350,2))),""))</f>
        <v/>
      </c>
      <c r="AO350" s="27">
        <f>IF(Y350="","",IFERROR(DATE(VALUE(RIGHT(Y350,4)),VALUE(MID(Y350,4,2)),VALUE(LEFT(Y350,2))),""))</f>
        <v/>
      </c>
      <c r="AP350" s="27">
        <f>IF(AC350="","",IFERROR(DATE(VALUE(RIGHT(AC350,4)),VALUE(MID(AC350,4,2)),VALUE(LEFT(AC350,2))),""))</f>
        <v/>
      </c>
      <c r="AQ350" s="26">
        <f>IF(AI350="","",TRIM(LEFT(AI350,FIND(" ",AI350&amp;" ")-1)))</f>
        <v/>
      </c>
      <c r="AR350" s="27">
        <f>IF(AQ350="","",IFERROR(DATE(VALUE(MID(AQ350,FIND("/",AQ350,FIND("/",AQ350)+1)+1,4)),VALUE(LEFT(AQ350,FIND("/",AQ350)-1)),VALUE(MID(AQ350,FIND("/",AQ350)+1,FIND("/",AQ350,FIND("/",AQ350)+1)-FIND("/",AQ350)-1))),""))</f>
        <v/>
      </c>
      <c r="AS350" s="26">
        <f>IF(G350="","",IF(AND(AG350&lt;&gt;"",AG350&lt;&gt;"Bayi Aracı"),"Evet","Hayır"))</f>
        <v/>
      </c>
      <c r="AT350" s="26">
        <f>IF(G350="","",IF(AND(AS350="Evet",T350="Siparişiniz Teslim Edildi"),"Evet","Hayır"))</f>
        <v/>
      </c>
      <c r="AU350" s="26">
        <f>IF(G350="","",IF(AB350="Siparişinizin Montajı Yapıldı","Evet","Hayır"))</f>
        <v/>
      </c>
      <c r="AV350" s="27">
        <f>IF(G350="","",IF(AT350="Evet",AR350,IF(AU350="Evet",AP350,"")))</f>
        <v/>
      </c>
    </row>
    <row r="351">
      <c r="A351" s="23" t="n"/>
      <c r="B351" s="23" t="n"/>
      <c r="C351" s="23" t="n"/>
      <c r="D351" s="23" t="n"/>
      <c r="E351" s="23" t="n"/>
      <c r="F351" s="23" t="n"/>
      <c r="G351" s="23" t="n"/>
      <c r="H351" s="23" t="n"/>
      <c r="I351" s="23" t="n"/>
      <c r="J351" s="23" t="n"/>
      <c r="K351" s="23" t="n"/>
      <c r="L351" s="23" t="n"/>
      <c r="M351" s="23" t="n"/>
      <c r="N351" s="23" t="n"/>
      <c r="O351" s="23" t="n"/>
      <c r="P351" s="23" t="n"/>
      <c r="Q351" s="23" t="n"/>
      <c r="R351" s="23" t="n"/>
      <c r="S351" s="23" t="n"/>
      <c r="T351" s="23" t="n"/>
      <c r="U351" s="23" t="n"/>
      <c r="V351" s="23" t="n"/>
      <c r="W351" s="23" t="n"/>
      <c r="X351" s="23" t="n"/>
      <c r="Y351" s="23" t="n"/>
      <c r="Z351" s="23" t="n"/>
      <c r="AA351" s="23" t="n"/>
      <c r="AB351" s="23" t="n"/>
      <c r="AC351" s="23" t="n"/>
      <c r="AD351" s="23" t="n"/>
      <c r="AE351" s="23" t="n"/>
      <c r="AF351" s="23" t="n"/>
      <c r="AG351" s="23" t="n"/>
      <c r="AH351" s="23" t="n"/>
      <c r="AI351" s="23" t="n"/>
      <c r="AJ351" s="23" t="n"/>
      <c r="AK351" s="23" t="n"/>
      <c r="AL351" s="23" t="n"/>
      <c r="AM351" s="26">
        <f>IF(G351="","",G351&amp;"|"&amp;P351)</f>
        <v/>
      </c>
      <c r="AN351" s="27">
        <f>IF(I351="","",IFERROR(DATE(VALUE(RIGHT(I351,4)),VALUE(MID(I351,4,2)),VALUE(LEFT(I351,2))),""))</f>
        <v/>
      </c>
      <c r="AO351" s="27">
        <f>IF(Y351="","",IFERROR(DATE(VALUE(RIGHT(Y351,4)),VALUE(MID(Y351,4,2)),VALUE(LEFT(Y351,2))),""))</f>
        <v/>
      </c>
      <c r="AP351" s="27">
        <f>IF(AC351="","",IFERROR(DATE(VALUE(RIGHT(AC351,4)),VALUE(MID(AC351,4,2)),VALUE(LEFT(AC351,2))),""))</f>
        <v/>
      </c>
      <c r="AQ351" s="26">
        <f>IF(AI351="","",TRIM(LEFT(AI351,FIND(" ",AI351&amp;" ")-1)))</f>
        <v/>
      </c>
      <c r="AR351" s="27">
        <f>IF(AQ351="","",IFERROR(DATE(VALUE(MID(AQ351,FIND("/",AQ351,FIND("/",AQ351)+1)+1,4)),VALUE(LEFT(AQ351,FIND("/",AQ351)-1)),VALUE(MID(AQ351,FIND("/",AQ351)+1,FIND("/",AQ351,FIND("/",AQ351)+1)-FIND("/",AQ351)-1))),""))</f>
        <v/>
      </c>
      <c r="AS351" s="26">
        <f>IF(G351="","",IF(AND(AG351&lt;&gt;"",AG351&lt;&gt;"Bayi Aracı"),"Evet","Hayır"))</f>
        <v/>
      </c>
      <c r="AT351" s="26">
        <f>IF(G351="","",IF(AND(AS351="Evet",T351="Siparişiniz Teslim Edildi"),"Evet","Hayır"))</f>
        <v/>
      </c>
      <c r="AU351" s="26">
        <f>IF(G351="","",IF(AB351="Siparişinizin Montajı Yapıldı","Evet","Hayır"))</f>
        <v/>
      </c>
      <c r="AV351" s="27">
        <f>IF(G351="","",IF(AT351="Evet",AR351,IF(AU351="Evet",AP351,"")))</f>
        <v/>
      </c>
    </row>
    <row r="352">
      <c r="A352" s="23" t="n"/>
      <c r="B352" s="23" t="n"/>
      <c r="C352" s="23" t="n"/>
      <c r="D352" s="23" t="n"/>
      <c r="E352" s="23" t="n"/>
      <c r="F352" s="23" t="n"/>
      <c r="G352" s="23" t="n"/>
      <c r="H352" s="23" t="n"/>
      <c r="I352" s="23" t="n"/>
      <c r="J352" s="23" t="n"/>
      <c r="K352" s="23" t="n"/>
      <c r="L352" s="23" t="n"/>
      <c r="M352" s="23" t="n"/>
      <c r="N352" s="23" t="n"/>
      <c r="O352" s="23" t="n"/>
      <c r="P352" s="23" t="n"/>
      <c r="Q352" s="23" t="n"/>
      <c r="R352" s="23" t="n"/>
      <c r="S352" s="23" t="n"/>
      <c r="T352" s="23" t="n"/>
      <c r="U352" s="23" t="n"/>
      <c r="V352" s="23" t="n"/>
      <c r="W352" s="23" t="n"/>
      <c r="X352" s="23" t="n"/>
      <c r="Y352" s="23" t="n"/>
      <c r="Z352" s="23" t="n"/>
      <c r="AA352" s="23" t="n"/>
      <c r="AB352" s="23" t="n"/>
      <c r="AC352" s="23" t="n"/>
      <c r="AD352" s="23" t="n"/>
      <c r="AE352" s="23" t="n"/>
      <c r="AF352" s="23" t="n"/>
      <c r="AG352" s="23" t="n"/>
      <c r="AH352" s="23" t="n"/>
      <c r="AI352" s="23" t="n"/>
      <c r="AJ352" s="23" t="n"/>
      <c r="AK352" s="23" t="n"/>
      <c r="AL352" s="23" t="n"/>
      <c r="AM352" s="26">
        <f>IF(G352="","",G352&amp;"|"&amp;P352)</f>
        <v/>
      </c>
      <c r="AN352" s="27">
        <f>IF(I352="","",IFERROR(DATE(VALUE(RIGHT(I352,4)),VALUE(MID(I352,4,2)),VALUE(LEFT(I352,2))),""))</f>
        <v/>
      </c>
      <c r="AO352" s="27">
        <f>IF(Y352="","",IFERROR(DATE(VALUE(RIGHT(Y352,4)),VALUE(MID(Y352,4,2)),VALUE(LEFT(Y352,2))),""))</f>
        <v/>
      </c>
      <c r="AP352" s="27">
        <f>IF(AC352="","",IFERROR(DATE(VALUE(RIGHT(AC352,4)),VALUE(MID(AC352,4,2)),VALUE(LEFT(AC352,2))),""))</f>
        <v/>
      </c>
      <c r="AQ352" s="26">
        <f>IF(AI352="","",TRIM(LEFT(AI352,FIND(" ",AI352&amp;" ")-1)))</f>
        <v/>
      </c>
      <c r="AR352" s="27">
        <f>IF(AQ352="","",IFERROR(DATE(VALUE(MID(AQ352,FIND("/",AQ352,FIND("/",AQ352)+1)+1,4)),VALUE(LEFT(AQ352,FIND("/",AQ352)-1)),VALUE(MID(AQ352,FIND("/",AQ352)+1,FIND("/",AQ352,FIND("/",AQ352)+1)-FIND("/",AQ352)-1))),""))</f>
        <v/>
      </c>
      <c r="AS352" s="26">
        <f>IF(G352="","",IF(AND(AG352&lt;&gt;"",AG352&lt;&gt;"Bayi Aracı"),"Evet","Hayır"))</f>
        <v/>
      </c>
      <c r="AT352" s="26">
        <f>IF(G352="","",IF(AND(AS352="Evet",T352="Siparişiniz Teslim Edildi"),"Evet","Hayır"))</f>
        <v/>
      </c>
      <c r="AU352" s="26">
        <f>IF(G352="","",IF(AB352="Siparişinizin Montajı Yapıldı","Evet","Hayır"))</f>
        <v/>
      </c>
      <c r="AV352" s="27">
        <f>IF(G352="","",IF(AT352="Evet",AR352,IF(AU352="Evet",AP352,"")))</f>
        <v/>
      </c>
    </row>
    <row r="353">
      <c r="A353" s="23" t="n"/>
      <c r="B353" s="23" t="n"/>
      <c r="C353" s="23" t="n"/>
      <c r="D353" s="23" t="n"/>
      <c r="E353" s="23" t="n"/>
      <c r="F353" s="23" t="n"/>
      <c r="G353" s="23" t="n"/>
      <c r="H353" s="23" t="n"/>
      <c r="I353" s="23" t="n"/>
      <c r="J353" s="23" t="n"/>
      <c r="K353" s="23" t="n"/>
      <c r="L353" s="23" t="n"/>
      <c r="M353" s="23" t="n"/>
      <c r="N353" s="23" t="n"/>
      <c r="O353" s="23" t="n"/>
      <c r="P353" s="23" t="n"/>
      <c r="Q353" s="23" t="n"/>
      <c r="R353" s="23" t="n"/>
      <c r="S353" s="23" t="n"/>
      <c r="T353" s="23" t="n"/>
      <c r="U353" s="23" t="n"/>
      <c r="V353" s="23" t="n"/>
      <c r="W353" s="23" t="n"/>
      <c r="X353" s="23" t="n"/>
      <c r="Y353" s="23" t="n"/>
      <c r="Z353" s="23" t="n"/>
      <c r="AA353" s="23" t="n"/>
      <c r="AB353" s="23" t="n"/>
      <c r="AC353" s="23" t="n"/>
      <c r="AD353" s="23" t="n"/>
      <c r="AE353" s="23" t="n"/>
      <c r="AF353" s="23" t="n"/>
      <c r="AG353" s="23" t="n"/>
      <c r="AH353" s="23" t="n"/>
      <c r="AI353" s="23" t="n"/>
      <c r="AJ353" s="23" t="n"/>
      <c r="AK353" s="23" t="n"/>
      <c r="AL353" s="23" t="n"/>
      <c r="AM353" s="26">
        <f>IF(G353="","",G353&amp;"|"&amp;P353)</f>
        <v/>
      </c>
      <c r="AN353" s="27">
        <f>IF(I353="","",IFERROR(DATE(VALUE(RIGHT(I353,4)),VALUE(MID(I353,4,2)),VALUE(LEFT(I353,2))),""))</f>
        <v/>
      </c>
      <c r="AO353" s="27">
        <f>IF(Y353="","",IFERROR(DATE(VALUE(RIGHT(Y353,4)),VALUE(MID(Y353,4,2)),VALUE(LEFT(Y353,2))),""))</f>
        <v/>
      </c>
      <c r="AP353" s="27">
        <f>IF(AC353="","",IFERROR(DATE(VALUE(RIGHT(AC353,4)),VALUE(MID(AC353,4,2)),VALUE(LEFT(AC353,2))),""))</f>
        <v/>
      </c>
      <c r="AQ353" s="26">
        <f>IF(AI353="","",TRIM(LEFT(AI353,FIND(" ",AI353&amp;" ")-1)))</f>
        <v/>
      </c>
      <c r="AR353" s="27">
        <f>IF(AQ353="","",IFERROR(DATE(VALUE(MID(AQ353,FIND("/",AQ353,FIND("/",AQ353)+1)+1,4)),VALUE(LEFT(AQ353,FIND("/",AQ353)-1)),VALUE(MID(AQ353,FIND("/",AQ353)+1,FIND("/",AQ353,FIND("/",AQ353)+1)-FIND("/",AQ353)-1))),""))</f>
        <v/>
      </c>
      <c r="AS353" s="26">
        <f>IF(G353="","",IF(AND(AG353&lt;&gt;"",AG353&lt;&gt;"Bayi Aracı"),"Evet","Hayır"))</f>
        <v/>
      </c>
      <c r="AT353" s="26">
        <f>IF(G353="","",IF(AND(AS353="Evet",T353="Siparişiniz Teslim Edildi"),"Evet","Hayır"))</f>
        <v/>
      </c>
      <c r="AU353" s="26">
        <f>IF(G353="","",IF(AB353="Siparişinizin Montajı Yapıldı","Evet","Hayır"))</f>
        <v/>
      </c>
      <c r="AV353" s="27">
        <f>IF(G353="","",IF(AT353="Evet",AR353,IF(AU353="Evet",AP353,"")))</f>
        <v/>
      </c>
    </row>
    <row r="354">
      <c r="A354" s="23" t="n"/>
      <c r="B354" s="23" t="n"/>
      <c r="C354" s="23" t="n"/>
      <c r="D354" s="23" t="n"/>
      <c r="E354" s="23" t="n"/>
      <c r="F354" s="23" t="n"/>
      <c r="G354" s="23" t="n"/>
      <c r="H354" s="23" t="n"/>
      <c r="I354" s="23" t="n"/>
      <c r="J354" s="23" t="n"/>
      <c r="K354" s="23" t="n"/>
      <c r="L354" s="23" t="n"/>
      <c r="M354" s="23" t="n"/>
      <c r="N354" s="23" t="n"/>
      <c r="O354" s="23" t="n"/>
      <c r="P354" s="23" t="n"/>
      <c r="Q354" s="23" t="n"/>
      <c r="R354" s="23" t="n"/>
      <c r="S354" s="23" t="n"/>
      <c r="T354" s="23" t="n"/>
      <c r="U354" s="23" t="n"/>
      <c r="V354" s="23" t="n"/>
      <c r="W354" s="23" t="n"/>
      <c r="X354" s="23" t="n"/>
      <c r="Y354" s="23" t="n"/>
      <c r="Z354" s="23" t="n"/>
      <c r="AA354" s="23" t="n"/>
      <c r="AB354" s="23" t="n"/>
      <c r="AC354" s="23" t="n"/>
      <c r="AD354" s="23" t="n"/>
      <c r="AE354" s="23" t="n"/>
      <c r="AF354" s="23" t="n"/>
      <c r="AG354" s="23" t="n"/>
      <c r="AH354" s="23" t="n"/>
      <c r="AI354" s="23" t="n"/>
      <c r="AJ354" s="23" t="n"/>
      <c r="AK354" s="23" t="n"/>
      <c r="AL354" s="23" t="n"/>
      <c r="AM354" s="26">
        <f>IF(G354="","",G354&amp;"|"&amp;P354)</f>
        <v/>
      </c>
      <c r="AN354" s="27">
        <f>IF(I354="","",IFERROR(DATE(VALUE(RIGHT(I354,4)),VALUE(MID(I354,4,2)),VALUE(LEFT(I354,2))),""))</f>
        <v/>
      </c>
      <c r="AO354" s="27">
        <f>IF(Y354="","",IFERROR(DATE(VALUE(RIGHT(Y354,4)),VALUE(MID(Y354,4,2)),VALUE(LEFT(Y354,2))),""))</f>
        <v/>
      </c>
      <c r="AP354" s="27">
        <f>IF(AC354="","",IFERROR(DATE(VALUE(RIGHT(AC354,4)),VALUE(MID(AC354,4,2)),VALUE(LEFT(AC354,2))),""))</f>
        <v/>
      </c>
      <c r="AQ354" s="26">
        <f>IF(AI354="","",TRIM(LEFT(AI354,FIND(" ",AI354&amp;" ")-1)))</f>
        <v/>
      </c>
      <c r="AR354" s="27">
        <f>IF(AQ354="","",IFERROR(DATE(VALUE(MID(AQ354,FIND("/",AQ354,FIND("/",AQ354)+1)+1,4)),VALUE(LEFT(AQ354,FIND("/",AQ354)-1)),VALUE(MID(AQ354,FIND("/",AQ354)+1,FIND("/",AQ354,FIND("/",AQ354)+1)-FIND("/",AQ354)-1))),""))</f>
        <v/>
      </c>
      <c r="AS354" s="26">
        <f>IF(G354="","",IF(AND(AG354&lt;&gt;"",AG354&lt;&gt;"Bayi Aracı"),"Evet","Hayır"))</f>
        <v/>
      </c>
      <c r="AT354" s="26">
        <f>IF(G354="","",IF(AND(AS354="Evet",T354="Siparişiniz Teslim Edildi"),"Evet","Hayır"))</f>
        <v/>
      </c>
      <c r="AU354" s="26">
        <f>IF(G354="","",IF(AB354="Siparişinizin Montajı Yapıldı","Evet","Hayır"))</f>
        <v/>
      </c>
      <c r="AV354" s="27">
        <f>IF(G354="","",IF(AT354="Evet",AR354,IF(AU354="Evet",AP354,"")))</f>
        <v/>
      </c>
    </row>
    <row r="355">
      <c r="A355" s="23" t="n"/>
      <c r="B355" s="23" t="n"/>
      <c r="C355" s="23" t="n"/>
      <c r="D355" s="23" t="n"/>
      <c r="E355" s="23" t="n"/>
      <c r="F355" s="23" t="n"/>
      <c r="G355" s="23" t="n"/>
      <c r="H355" s="23" t="n"/>
      <c r="I355" s="23" t="n"/>
      <c r="J355" s="23" t="n"/>
      <c r="K355" s="23" t="n"/>
      <c r="L355" s="23" t="n"/>
      <c r="M355" s="23" t="n"/>
      <c r="N355" s="23" t="n"/>
      <c r="O355" s="23" t="n"/>
      <c r="P355" s="23" t="n"/>
      <c r="Q355" s="23" t="n"/>
      <c r="R355" s="23" t="n"/>
      <c r="S355" s="23" t="n"/>
      <c r="T355" s="23" t="n"/>
      <c r="U355" s="23" t="n"/>
      <c r="V355" s="23" t="n"/>
      <c r="W355" s="23" t="n"/>
      <c r="X355" s="23" t="n"/>
      <c r="Y355" s="23" t="n"/>
      <c r="Z355" s="23" t="n"/>
      <c r="AA355" s="23" t="n"/>
      <c r="AB355" s="23" t="n"/>
      <c r="AC355" s="23" t="n"/>
      <c r="AD355" s="23" t="n"/>
      <c r="AE355" s="23" t="n"/>
      <c r="AF355" s="23" t="n"/>
      <c r="AG355" s="23" t="n"/>
      <c r="AH355" s="23" t="n"/>
      <c r="AI355" s="23" t="n"/>
      <c r="AJ355" s="23" t="n"/>
      <c r="AK355" s="23" t="n"/>
      <c r="AL355" s="23" t="n"/>
      <c r="AM355" s="26">
        <f>IF(G355="","",G355&amp;"|"&amp;P355)</f>
        <v/>
      </c>
      <c r="AN355" s="27">
        <f>IF(I355="","",IFERROR(DATE(VALUE(RIGHT(I355,4)),VALUE(MID(I355,4,2)),VALUE(LEFT(I355,2))),""))</f>
        <v/>
      </c>
      <c r="AO355" s="27">
        <f>IF(Y355="","",IFERROR(DATE(VALUE(RIGHT(Y355,4)),VALUE(MID(Y355,4,2)),VALUE(LEFT(Y355,2))),""))</f>
        <v/>
      </c>
      <c r="AP355" s="27">
        <f>IF(AC355="","",IFERROR(DATE(VALUE(RIGHT(AC355,4)),VALUE(MID(AC355,4,2)),VALUE(LEFT(AC355,2))),""))</f>
        <v/>
      </c>
      <c r="AQ355" s="26">
        <f>IF(AI355="","",TRIM(LEFT(AI355,FIND(" ",AI355&amp;" ")-1)))</f>
        <v/>
      </c>
      <c r="AR355" s="27">
        <f>IF(AQ355="","",IFERROR(DATE(VALUE(MID(AQ355,FIND("/",AQ355,FIND("/",AQ355)+1)+1,4)),VALUE(LEFT(AQ355,FIND("/",AQ355)-1)),VALUE(MID(AQ355,FIND("/",AQ355)+1,FIND("/",AQ355,FIND("/",AQ355)+1)-FIND("/",AQ355)-1))),""))</f>
        <v/>
      </c>
      <c r="AS355" s="26">
        <f>IF(G355="","",IF(AND(AG355&lt;&gt;"",AG355&lt;&gt;"Bayi Aracı"),"Evet","Hayır"))</f>
        <v/>
      </c>
      <c r="AT355" s="26">
        <f>IF(G355="","",IF(AND(AS355="Evet",T355="Siparişiniz Teslim Edildi"),"Evet","Hayır"))</f>
        <v/>
      </c>
      <c r="AU355" s="26">
        <f>IF(G355="","",IF(AB355="Siparişinizin Montajı Yapıldı","Evet","Hayır"))</f>
        <v/>
      </c>
      <c r="AV355" s="27">
        <f>IF(G355="","",IF(AT355="Evet",AR355,IF(AU355="Evet",AP355,"")))</f>
        <v/>
      </c>
    </row>
    <row r="356">
      <c r="A356" s="23" t="n"/>
      <c r="B356" s="23" t="n"/>
      <c r="C356" s="23" t="n"/>
      <c r="D356" s="23" t="n"/>
      <c r="E356" s="23" t="n"/>
      <c r="F356" s="23" t="n"/>
      <c r="G356" s="23" t="n"/>
      <c r="H356" s="23" t="n"/>
      <c r="I356" s="23" t="n"/>
      <c r="J356" s="23" t="n"/>
      <c r="K356" s="23" t="n"/>
      <c r="L356" s="23" t="n"/>
      <c r="M356" s="23" t="n"/>
      <c r="N356" s="23" t="n"/>
      <c r="O356" s="23" t="n"/>
      <c r="P356" s="23" t="n"/>
      <c r="Q356" s="23" t="n"/>
      <c r="R356" s="23" t="n"/>
      <c r="S356" s="23" t="n"/>
      <c r="T356" s="23" t="n"/>
      <c r="U356" s="23" t="n"/>
      <c r="V356" s="23" t="n"/>
      <c r="W356" s="23" t="n"/>
      <c r="X356" s="23" t="n"/>
      <c r="Y356" s="23" t="n"/>
      <c r="Z356" s="23" t="n"/>
      <c r="AA356" s="23" t="n"/>
      <c r="AB356" s="23" t="n"/>
      <c r="AC356" s="23" t="n"/>
      <c r="AD356" s="23" t="n"/>
      <c r="AE356" s="23" t="n"/>
      <c r="AF356" s="23" t="n"/>
      <c r="AG356" s="23" t="n"/>
      <c r="AH356" s="23" t="n"/>
      <c r="AI356" s="23" t="n"/>
      <c r="AJ356" s="23" t="n"/>
      <c r="AK356" s="23" t="n"/>
      <c r="AL356" s="23" t="n"/>
      <c r="AM356" s="26">
        <f>IF(G356="","",G356&amp;"|"&amp;P356)</f>
        <v/>
      </c>
      <c r="AN356" s="27">
        <f>IF(I356="","",IFERROR(DATE(VALUE(RIGHT(I356,4)),VALUE(MID(I356,4,2)),VALUE(LEFT(I356,2))),""))</f>
        <v/>
      </c>
      <c r="AO356" s="27">
        <f>IF(Y356="","",IFERROR(DATE(VALUE(RIGHT(Y356,4)),VALUE(MID(Y356,4,2)),VALUE(LEFT(Y356,2))),""))</f>
        <v/>
      </c>
      <c r="AP356" s="27">
        <f>IF(AC356="","",IFERROR(DATE(VALUE(RIGHT(AC356,4)),VALUE(MID(AC356,4,2)),VALUE(LEFT(AC356,2))),""))</f>
        <v/>
      </c>
      <c r="AQ356" s="26">
        <f>IF(AI356="","",TRIM(LEFT(AI356,FIND(" ",AI356&amp;" ")-1)))</f>
        <v/>
      </c>
      <c r="AR356" s="27">
        <f>IF(AQ356="","",IFERROR(DATE(VALUE(MID(AQ356,FIND("/",AQ356,FIND("/",AQ356)+1)+1,4)),VALUE(LEFT(AQ356,FIND("/",AQ356)-1)),VALUE(MID(AQ356,FIND("/",AQ356)+1,FIND("/",AQ356,FIND("/",AQ356)+1)-FIND("/",AQ356)-1))),""))</f>
        <v/>
      </c>
      <c r="AS356" s="26">
        <f>IF(G356="","",IF(AND(AG356&lt;&gt;"",AG356&lt;&gt;"Bayi Aracı"),"Evet","Hayır"))</f>
        <v/>
      </c>
      <c r="AT356" s="26">
        <f>IF(G356="","",IF(AND(AS356="Evet",T356="Siparişiniz Teslim Edildi"),"Evet","Hayır"))</f>
        <v/>
      </c>
      <c r="AU356" s="26">
        <f>IF(G356="","",IF(AB356="Siparişinizin Montajı Yapıldı","Evet","Hayır"))</f>
        <v/>
      </c>
      <c r="AV356" s="27">
        <f>IF(G356="","",IF(AT356="Evet",AR356,IF(AU356="Evet",AP356,"")))</f>
        <v/>
      </c>
    </row>
    <row r="357">
      <c r="A357" s="23" t="n"/>
      <c r="B357" s="23" t="n"/>
      <c r="C357" s="23" t="n"/>
      <c r="D357" s="23" t="n"/>
      <c r="E357" s="23" t="n"/>
      <c r="F357" s="23" t="n"/>
      <c r="G357" s="23" t="n"/>
      <c r="H357" s="23" t="n"/>
      <c r="I357" s="23" t="n"/>
      <c r="J357" s="23" t="n"/>
      <c r="K357" s="23" t="n"/>
      <c r="L357" s="23" t="n"/>
      <c r="M357" s="23" t="n"/>
      <c r="N357" s="23" t="n"/>
      <c r="O357" s="23" t="n"/>
      <c r="P357" s="23" t="n"/>
      <c r="Q357" s="23" t="n"/>
      <c r="R357" s="23" t="n"/>
      <c r="S357" s="23" t="n"/>
      <c r="T357" s="23" t="n"/>
      <c r="U357" s="23" t="n"/>
      <c r="V357" s="23" t="n"/>
      <c r="W357" s="23" t="n"/>
      <c r="X357" s="23" t="n"/>
      <c r="Y357" s="23" t="n"/>
      <c r="Z357" s="23" t="n"/>
      <c r="AA357" s="23" t="n"/>
      <c r="AB357" s="23" t="n"/>
      <c r="AC357" s="23" t="n"/>
      <c r="AD357" s="23" t="n"/>
      <c r="AE357" s="23" t="n"/>
      <c r="AF357" s="23" t="n"/>
      <c r="AG357" s="23" t="n"/>
      <c r="AH357" s="23" t="n"/>
      <c r="AI357" s="23" t="n"/>
      <c r="AJ357" s="23" t="n"/>
      <c r="AK357" s="23" t="n"/>
      <c r="AL357" s="23" t="n"/>
      <c r="AM357" s="26">
        <f>IF(G357="","",G357&amp;"|"&amp;P357)</f>
        <v/>
      </c>
      <c r="AN357" s="27">
        <f>IF(I357="","",IFERROR(DATE(VALUE(RIGHT(I357,4)),VALUE(MID(I357,4,2)),VALUE(LEFT(I357,2))),""))</f>
        <v/>
      </c>
      <c r="AO357" s="27">
        <f>IF(Y357="","",IFERROR(DATE(VALUE(RIGHT(Y357,4)),VALUE(MID(Y357,4,2)),VALUE(LEFT(Y357,2))),""))</f>
        <v/>
      </c>
      <c r="AP357" s="27">
        <f>IF(AC357="","",IFERROR(DATE(VALUE(RIGHT(AC357,4)),VALUE(MID(AC357,4,2)),VALUE(LEFT(AC357,2))),""))</f>
        <v/>
      </c>
      <c r="AQ357" s="26">
        <f>IF(AI357="","",TRIM(LEFT(AI357,FIND(" ",AI357&amp;" ")-1)))</f>
        <v/>
      </c>
      <c r="AR357" s="27">
        <f>IF(AQ357="","",IFERROR(DATE(VALUE(MID(AQ357,FIND("/",AQ357,FIND("/",AQ357)+1)+1,4)),VALUE(LEFT(AQ357,FIND("/",AQ357)-1)),VALUE(MID(AQ357,FIND("/",AQ357)+1,FIND("/",AQ357,FIND("/",AQ357)+1)-FIND("/",AQ357)-1))),""))</f>
        <v/>
      </c>
      <c r="AS357" s="26">
        <f>IF(G357="","",IF(AND(AG357&lt;&gt;"",AG357&lt;&gt;"Bayi Aracı"),"Evet","Hayır"))</f>
        <v/>
      </c>
      <c r="AT357" s="26">
        <f>IF(G357="","",IF(AND(AS357="Evet",T357="Siparişiniz Teslim Edildi"),"Evet","Hayır"))</f>
        <v/>
      </c>
      <c r="AU357" s="26">
        <f>IF(G357="","",IF(AB357="Siparişinizin Montajı Yapıldı","Evet","Hayır"))</f>
        <v/>
      </c>
      <c r="AV357" s="27">
        <f>IF(G357="","",IF(AT357="Evet",AR357,IF(AU357="Evet",AP357,"")))</f>
        <v/>
      </c>
    </row>
    <row r="358">
      <c r="A358" s="23" t="n"/>
      <c r="B358" s="23" t="n"/>
      <c r="C358" s="23" t="n"/>
      <c r="D358" s="23" t="n"/>
      <c r="E358" s="23" t="n"/>
      <c r="F358" s="23" t="n"/>
      <c r="G358" s="23" t="n"/>
      <c r="H358" s="23" t="n"/>
      <c r="I358" s="23" t="n"/>
      <c r="J358" s="23" t="n"/>
      <c r="K358" s="23" t="n"/>
      <c r="L358" s="23" t="n"/>
      <c r="M358" s="23" t="n"/>
      <c r="N358" s="23" t="n"/>
      <c r="O358" s="23" t="n"/>
      <c r="P358" s="23" t="n"/>
      <c r="Q358" s="23" t="n"/>
      <c r="R358" s="23" t="n"/>
      <c r="S358" s="23" t="n"/>
      <c r="T358" s="23" t="n"/>
      <c r="U358" s="23" t="n"/>
      <c r="V358" s="23" t="n"/>
      <c r="W358" s="23" t="n"/>
      <c r="X358" s="23" t="n"/>
      <c r="Y358" s="23" t="n"/>
      <c r="Z358" s="23" t="n"/>
      <c r="AA358" s="23" t="n"/>
      <c r="AB358" s="23" t="n"/>
      <c r="AC358" s="23" t="n"/>
      <c r="AD358" s="23" t="n"/>
      <c r="AE358" s="23" t="n"/>
      <c r="AF358" s="23" t="n"/>
      <c r="AG358" s="23" t="n"/>
      <c r="AH358" s="23" t="n"/>
      <c r="AI358" s="23" t="n"/>
      <c r="AJ358" s="23" t="n"/>
      <c r="AK358" s="23" t="n"/>
      <c r="AL358" s="23" t="n"/>
      <c r="AM358" s="26">
        <f>IF(G358="","",G358&amp;"|"&amp;P358)</f>
        <v/>
      </c>
      <c r="AN358" s="27">
        <f>IF(I358="","",IFERROR(DATE(VALUE(RIGHT(I358,4)),VALUE(MID(I358,4,2)),VALUE(LEFT(I358,2))),""))</f>
        <v/>
      </c>
      <c r="AO358" s="27">
        <f>IF(Y358="","",IFERROR(DATE(VALUE(RIGHT(Y358,4)),VALUE(MID(Y358,4,2)),VALUE(LEFT(Y358,2))),""))</f>
        <v/>
      </c>
      <c r="AP358" s="27">
        <f>IF(AC358="","",IFERROR(DATE(VALUE(RIGHT(AC358,4)),VALUE(MID(AC358,4,2)),VALUE(LEFT(AC358,2))),""))</f>
        <v/>
      </c>
      <c r="AQ358" s="26">
        <f>IF(AI358="","",TRIM(LEFT(AI358,FIND(" ",AI358&amp;" ")-1)))</f>
        <v/>
      </c>
      <c r="AR358" s="27">
        <f>IF(AQ358="","",IFERROR(DATE(VALUE(MID(AQ358,FIND("/",AQ358,FIND("/",AQ358)+1)+1,4)),VALUE(LEFT(AQ358,FIND("/",AQ358)-1)),VALUE(MID(AQ358,FIND("/",AQ358)+1,FIND("/",AQ358,FIND("/",AQ358)+1)-FIND("/",AQ358)-1))),""))</f>
        <v/>
      </c>
      <c r="AS358" s="26">
        <f>IF(G358="","",IF(AND(AG358&lt;&gt;"",AG358&lt;&gt;"Bayi Aracı"),"Evet","Hayır"))</f>
        <v/>
      </c>
      <c r="AT358" s="26">
        <f>IF(G358="","",IF(AND(AS358="Evet",T358="Siparişiniz Teslim Edildi"),"Evet","Hayır"))</f>
        <v/>
      </c>
      <c r="AU358" s="26">
        <f>IF(G358="","",IF(AB358="Siparişinizin Montajı Yapıldı","Evet","Hayır"))</f>
        <v/>
      </c>
      <c r="AV358" s="27">
        <f>IF(G358="","",IF(AT358="Evet",AR358,IF(AU358="Evet",AP358,"")))</f>
        <v/>
      </c>
    </row>
    <row r="359">
      <c r="A359" s="23" t="n"/>
      <c r="B359" s="23" t="n"/>
      <c r="C359" s="23" t="n"/>
      <c r="D359" s="23" t="n"/>
      <c r="E359" s="23" t="n"/>
      <c r="F359" s="23" t="n"/>
      <c r="G359" s="23" t="n"/>
      <c r="H359" s="23" t="n"/>
      <c r="I359" s="23" t="n"/>
      <c r="J359" s="23" t="n"/>
      <c r="K359" s="23" t="n"/>
      <c r="L359" s="23" t="n"/>
      <c r="M359" s="23" t="n"/>
      <c r="N359" s="23" t="n"/>
      <c r="O359" s="23" t="n"/>
      <c r="P359" s="23" t="n"/>
      <c r="Q359" s="23" t="n"/>
      <c r="R359" s="23" t="n"/>
      <c r="S359" s="23" t="n"/>
      <c r="T359" s="23" t="n"/>
      <c r="U359" s="23" t="n"/>
      <c r="V359" s="23" t="n"/>
      <c r="W359" s="23" t="n"/>
      <c r="X359" s="23" t="n"/>
      <c r="Y359" s="23" t="n"/>
      <c r="Z359" s="23" t="n"/>
      <c r="AA359" s="23" t="n"/>
      <c r="AB359" s="23" t="n"/>
      <c r="AC359" s="23" t="n"/>
      <c r="AD359" s="23" t="n"/>
      <c r="AE359" s="23" t="n"/>
      <c r="AF359" s="23" t="n"/>
      <c r="AG359" s="23" t="n"/>
      <c r="AH359" s="23" t="n"/>
      <c r="AI359" s="23" t="n"/>
      <c r="AJ359" s="23" t="n"/>
      <c r="AK359" s="23" t="n"/>
      <c r="AL359" s="23" t="n"/>
      <c r="AM359" s="26">
        <f>IF(G359="","",G359&amp;"|"&amp;P359)</f>
        <v/>
      </c>
      <c r="AN359" s="27">
        <f>IF(I359="","",IFERROR(DATE(VALUE(RIGHT(I359,4)),VALUE(MID(I359,4,2)),VALUE(LEFT(I359,2))),""))</f>
        <v/>
      </c>
      <c r="AO359" s="27">
        <f>IF(Y359="","",IFERROR(DATE(VALUE(RIGHT(Y359,4)),VALUE(MID(Y359,4,2)),VALUE(LEFT(Y359,2))),""))</f>
        <v/>
      </c>
      <c r="AP359" s="27">
        <f>IF(AC359="","",IFERROR(DATE(VALUE(RIGHT(AC359,4)),VALUE(MID(AC359,4,2)),VALUE(LEFT(AC359,2))),""))</f>
        <v/>
      </c>
      <c r="AQ359" s="26">
        <f>IF(AI359="","",TRIM(LEFT(AI359,FIND(" ",AI359&amp;" ")-1)))</f>
        <v/>
      </c>
      <c r="AR359" s="27">
        <f>IF(AQ359="","",IFERROR(DATE(VALUE(MID(AQ359,FIND("/",AQ359,FIND("/",AQ359)+1)+1,4)),VALUE(LEFT(AQ359,FIND("/",AQ359)-1)),VALUE(MID(AQ359,FIND("/",AQ359)+1,FIND("/",AQ359,FIND("/",AQ359)+1)-FIND("/",AQ359)-1))),""))</f>
        <v/>
      </c>
      <c r="AS359" s="26">
        <f>IF(G359="","",IF(AND(AG359&lt;&gt;"",AG359&lt;&gt;"Bayi Aracı"),"Evet","Hayır"))</f>
        <v/>
      </c>
      <c r="AT359" s="26">
        <f>IF(G359="","",IF(AND(AS359="Evet",T359="Siparişiniz Teslim Edildi"),"Evet","Hayır"))</f>
        <v/>
      </c>
      <c r="AU359" s="26">
        <f>IF(G359="","",IF(AB359="Siparişinizin Montajı Yapıldı","Evet","Hayır"))</f>
        <v/>
      </c>
      <c r="AV359" s="27">
        <f>IF(G359="","",IF(AT359="Evet",AR359,IF(AU359="Evet",AP359,"")))</f>
        <v/>
      </c>
    </row>
    <row r="360">
      <c r="A360" s="23" t="n"/>
      <c r="B360" s="23" t="n"/>
      <c r="C360" s="23" t="n"/>
      <c r="D360" s="23" t="n"/>
      <c r="E360" s="23" t="n"/>
      <c r="F360" s="23" t="n"/>
      <c r="G360" s="23" t="n"/>
      <c r="H360" s="23" t="n"/>
      <c r="I360" s="23" t="n"/>
      <c r="J360" s="23" t="n"/>
      <c r="K360" s="23" t="n"/>
      <c r="L360" s="23" t="n"/>
      <c r="M360" s="23" t="n"/>
      <c r="N360" s="23" t="n"/>
      <c r="O360" s="23" t="n"/>
      <c r="P360" s="23" t="n"/>
      <c r="Q360" s="23" t="n"/>
      <c r="R360" s="23" t="n"/>
      <c r="S360" s="23" t="n"/>
      <c r="T360" s="23" t="n"/>
      <c r="U360" s="23" t="n"/>
      <c r="V360" s="23" t="n"/>
      <c r="W360" s="23" t="n"/>
      <c r="X360" s="23" t="n"/>
      <c r="Y360" s="23" t="n"/>
      <c r="Z360" s="23" t="n"/>
      <c r="AA360" s="23" t="n"/>
      <c r="AB360" s="23" t="n"/>
      <c r="AC360" s="23" t="n"/>
      <c r="AD360" s="23" t="n"/>
      <c r="AE360" s="23" t="n"/>
      <c r="AF360" s="23" t="n"/>
      <c r="AG360" s="23" t="n"/>
      <c r="AH360" s="23" t="n"/>
      <c r="AI360" s="23" t="n"/>
      <c r="AJ360" s="23" t="n"/>
      <c r="AK360" s="23" t="n"/>
      <c r="AL360" s="23" t="n"/>
      <c r="AM360" s="26">
        <f>IF(G360="","",G360&amp;"|"&amp;P360)</f>
        <v/>
      </c>
      <c r="AN360" s="27">
        <f>IF(I360="","",IFERROR(DATE(VALUE(RIGHT(I360,4)),VALUE(MID(I360,4,2)),VALUE(LEFT(I360,2))),""))</f>
        <v/>
      </c>
      <c r="AO360" s="27">
        <f>IF(Y360="","",IFERROR(DATE(VALUE(RIGHT(Y360,4)),VALUE(MID(Y360,4,2)),VALUE(LEFT(Y360,2))),""))</f>
        <v/>
      </c>
      <c r="AP360" s="27">
        <f>IF(AC360="","",IFERROR(DATE(VALUE(RIGHT(AC360,4)),VALUE(MID(AC360,4,2)),VALUE(LEFT(AC360,2))),""))</f>
        <v/>
      </c>
      <c r="AQ360" s="26">
        <f>IF(AI360="","",TRIM(LEFT(AI360,FIND(" ",AI360&amp;" ")-1)))</f>
        <v/>
      </c>
      <c r="AR360" s="27">
        <f>IF(AQ360="","",IFERROR(DATE(VALUE(MID(AQ360,FIND("/",AQ360,FIND("/",AQ360)+1)+1,4)),VALUE(LEFT(AQ360,FIND("/",AQ360)-1)),VALUE(MID(AQ360,FIND("/",AQ360)+1,FIND("/",AQ360,FIND("/",AQ360)+1)-FIND("/",AQ360)-1))),""))</f>
        <v/>
      </c>
      <c r="AS360" s="26">
        <f>IF(G360="","",IF(AND(AG360&lt;&gt;"",AG360&lt;&gt;"Bayi Aracı"),"Evet","Hayır"))</f>
        <v/>
      </c>
      <c r="AT360" s="26">
        <f>IF(G360="","",IF(AND(AS360="Evet",T360="Siparişiniz Teslim Edildi"),"Evet","Hayır"))</f>
        <v/>
      </c>
      <c r="AU360" s="26">
        <f>IF(G360="","",IF(AB360="Siparişinizin Montajı Yapıldı","Evet","Hayır"))</f>
        <v/>
      </c>
      <c r="AV360" s="27">
        <f>IF(G360="","",IF(AT360="Evet",AR360,IF(AU360="Evet",AP360,"")))</f>
        <v/>
      </c>
    </row>
    <row r="361">
      <c r="A361" s="23" t="n"/>
      <c r="B361" s="23" t="n"/>
      <c r="C361" s="23" t="n"/>
      <c r="D361" s="23" t="n"/>
      <c r="E361" s="23" t="n"/>
      <c r="F361" s="23" t="n"/>
      <c r="G361" s="23" t="n"/>
      <c r="H361" s="23" t="n"/>
      <c r="I361" s="23" t="n"/>
      <c r="J361" s="23" t="n"/>
      <c r="K361" s="23" t="n"/>
      <c r="L361" s="23" t="n"/>
      <c r="M361" s="23" t="n"/>
      <c r="N361" s="23" t="n"/>
      <c r="O361" s="23" t="n"/>
      <c r="P361" s="23" t="n"/>
      <c r="Q361" s="23" t="n"/>
      <c r="R361" s="23" t="n"/>
      <c r="S361" s="23" t="n"/>
      <c r="T361" s="23" t="n"/>
      <c r="U361" s="23" t="n"/>
      <c r="V361" s="23" t="n"/>
      <c r="W361" s="23" t="n"/>
      <c r="X361" s="23" t="n"/>
      <c r="Y361" s="23" t="n"/>
      <c r="Z361" s="23" t="n"/>
      <c r="AA361" s="23" t="n"/>
      <c r="AB361" s="23" t="n"/>
      <c r="AC361" s="23" t="n"/>
      <c r="AD361" s="23" t="n"/>
      <c r="AE361" s="23" t="n"/>
      <c r="AF361" s="23" t="n"/>
      <c r="AG361" s="23" t="n"/>
      <c r="AH361" s="23" t="n"/>
      <c r="AI361" s="23" t="n"/>
      <c r="AJ361" s="23" t="n"/>
      <c r="AK361" s="23" t="n"/>
      <c r="AL361" s="23" t="n"/>
      <c r="AM361" s="26">
        <f>IF(G361="","",G361&amp;"|"&amp;P361)</f>
        <v/>
      </c>
      <c r="AN361" s="27">
        <f>IF(I361="","",IFERROR(DATE(VALUE(RIGHT(I361,4)),VALUE(MID(I361,4,2)),VALUE(LEFT(I361,2))),""))</f>
        <v/>
      </c>
      <c r="AO361" s="27">
        <f>IF(Y361="","",IFERROR(DATE(VALUE(RIGHT(Y361,4)),VALUE(MID(Y361,4,2)),VALUE(LEFT(Y361,2))),""))</f>
        <v/>
      </c>
      <c r="AP361" s="27">
        <f>IF(AC361="","",IFERROR(DATE(VALUE(RIGHT(AC361,4)),VALUE(MID(AC361,4,2)),VALUE(LEFT(AC361,2))),""))</f>
        <v/>
      </c>
      <c r="AQ361" s="26">
        <f>IF(AI361="","",TRIM(LEFT(AI361,FIND(" ",AI361&amp;" ")-1)))</f>
        <v/>
      </c>
      <c r="AR361" s="27">
        <f>IF(AQ361="","",IFERROR(DATE(VALUE(MID(AQ361,FIND("/",AQ361,FIND("/",AQ361)+1)+1,4)),VALUE(LEFT(AQ361,FIND("/",AQ361)-1)),VALUE(MID(AQ361,FIND("/",AQ361)+1,FIND("/",AQ361,FIND("/",AQ361)+1)-FIND("/",AQ361)-1))),""))</f>
        <v/>
      </c>
      <c r="AS361" s="26">
        <f>IF(G361="","",IF(AND(AG361&lt;&gt;"",AG361&lt;&gt;"Bayi Aracı"),"Evet","Hayır"))</f>
        <v/>
      </c>
      <c r="AT361" s="26">
        <f>IF(G361="","",IF(AND(AS361="Evet",T361="Siparişiniz Teslim Edildi"),"Evet","Hayır"))</f>
        <v/>
      </c>
      <c r="AU361" s="26">
        <f>IF(G361="","",IF(AB361="Siparişinizin Montajı Yapıldı","Evet","Hayır"))</f>
        <v/>
      </c>
      <c r="AV361" s="27">
        <f>IF(G361="","",IF(AT361="Evet",AR361,IF(AU361="Evet",AP361,"")))</f>
        <v/>
      </c>
    </row>
    <row r="362">
      <c r="A362" s="23" t="n"/>
      <c r="B362" s="23" t="n"/>
      <c r="C362" s="23" t="n"/>
      <c r="D362" s="23" t="n"/>
      <c r="E362" s="23" t="n"/>
      <c r="F362" s="23" t="n"/>
      <c r="G362" s="23" t="n"/>
      <c r="H362" s="23" t="n"/>
      <c r="I362" s="23" t="n"/>
      <c r="J362" s="23" t="n"/>
      <c r="K362" s="23" t="n"/>
      <c r="L362" s="23" t="n"/>
      <c r="M362" s="23" t="n"/>
      <c r="N362" s="23" t="n"/>
      <c r="O362" s="23" t="n"/>
      <c r="P362" s="23" t="n"/>
      <c r="Q362" s="23" t="n"/>
      <c r="R362" s="23" t="n"/>
      <c r="S362" s="23" t="n"/>
      <c r="T362" s="23" t="n"/>
      <c r="U362" s="23" t="n"/>
      <c r="V362" s="23" t="n"/>
      <c r="W362" s="23" t="n"/>
      <c r="X362" s="23" t="n"/>
      <c r="Y362" s="23" t="n"/>
      <c r="Z362" s="23" t="n"/>
      <c r="AA362" s="23" t="n"/>
      <c r="AB362" s="23" t="n"/>
      <c r="AC362" s="23" t="n"/>
      <c r="AD362" s="23" t="n"/>
      <c r="AE362" s="23" t="n"/>
      <c r="AF362" s="23" t="n"/>
      <c r="AG362" s="23" t="n"/>
      <c r="AH362" s="23" t="n"/>
      <c r="AI362" s="23" t="n"/>
      <c r="AJ362" s="23" t="n"/>
      <c r="AK362" s="23" t="n"/>
      <c r="AL362" s="23" t="n"/>
      <c r="AM362" s="26">
        <f>IF(G362="","",G362&amp;"|"&amp;P362)</f>
        <v/>
      </c>
      <c r="AN362" s="27">
        <f>IF(I362="","",IFERROR(DATE(VALUE(RIGHT(I362,4)),VALUE(MID(I362,4,2)),VALUE(LEFT(I362,2))),""))</f>
        <v/>
      </c>
      <c r="AO362" s="27">
        <f>IF(Y362="","",IFERROR(DATE(VALUE(RIGHT(Y362,4)),VALUE(MID(Y362,4,2)),VALUE(LEFT(Y362,2))),""))</f>
        <v/>
      </c>
      <c r="AP362" s="27">
        <f>IF(AC362="","",IFERROR(DATE(VALUE(RIGHT(AC362,4)),VALUE(MID(AC362,4,2)),VALUE(LEFT(AC362,2))),""))</f>
        <v/>
      </c>
      <c r="AQ362" s="26">
        <f>IF(AI362="","",TRIM(LEFT(AI362,FIND(" ",AI362&amp;" ")-1)))</f>
        <v/>
      </c>
      <c r="AR362" s="27">
        <f>IF(AQ362="","",IFERROR(DATE(VALUE(MID(AQ362,FIND("/",AQ362,FIND("/",AQ362)+1)+1,4)),VALUE(LEFT(AQ362,FIND("/",AQ362)-1)),VALUE(MID(AQ362,FIND("/",AQ362)+1,FIND("/",AQ362,FIND("/",AQ362)+1)-FIND("/",AQ362)-1))),""))</f>
        <v/>
      </c>
      <c r="AS362" s="26">
        <f>IF(G362="","",IF(AND(AG362&lt;&gt;"",AG362&lt;&gt;"Bayi Aracı"),"Evet","Hayır"))</f>
        <v/>
      </c>
      <c r="AT362" s="26">
        <f>IF(G362="","",IF(AND(AS362="Evet",T362="Siparişiniz Teslim Edildi"),"Evet","Hayır"))</f>
        <v/>
      </c>
      <c r="AU362" s="26">
        <f>IF(G362="","",IF(AB362="Siparişinizin Montajı Yapıldı","Evet","Hayır"))</f>
        <v/>
      </c>
      <c r="AV362" s="27">
        <f>IF(G362="","",IF(AT362="Evet",AR362,IF(AU362="Evet",AP362,"")))</f>
        <v/>
      </c>
    </row>
    <row r="363">
      <c r="A363" s="23" t="n"/>
      <c r="B363" s="23" t="n"/>
      <c r="C363" s="23" t="n"/>
      <c r="D363" s="23" t="n"/>
      <c r="E363" s="23" t="n"/>
      <c r="F363" s="23" t="n"/>
      <c r="G363" s="23" t="n"/>
      <c r="H363" s="23" t="n"/>
      <c r="I363" s="23" t="n"/>
      <c r="J363" s="23" t="n"/>
      <c r="K363" s="23" t="n"/>
      <c r="L363" s="23" t="n"/>
      <c r="M363" s="23" t="n"/>
      <c r="N363" s="23" t="n"/>
      <c r="O363" s="23" t="n"/>
      <c r="P363" s="23" t="n"/>
      <c r="Q363" s="23" t="n"/>
      <c r="R363" s="23" t="n"/>
      <c r="S363" s="23" t="n"/>
      <c r="T363" s="23" t="n"/>
      <c r="U363" s="23" t="n"/>
      <c r="V363" s="23" t="n"/>
      <c r="W363" s="23" t="n"/>
      <c r="X363" s="23" t="n"/>
      <c r="Y363" s="23" t="n"/>
      <c r="Z363" s="23" t="n"/>
      <c r="AA363" s="23" t="n"/>
      <c r="AB363" s="23" t="n"/>
      <c r="AC363" s="23" t="n"/>
      <c r="AD363" s="23" t="n"/>
      <c r="AE363" s="23" t="n"/>
      <c r="AF363" s="23" t="n"/>
      <c r="AG363" s="23" t="n"/>
      <c r="AH363" s="23" t="n"/>
      <c r="AI363" s="23" t="n"/>
      <c r="AJ363" s="23" t="n"/>
      <c r="AK363" s="23" t="n"/>
      <c r="AL363" s="23" t="n"/>
      <c r="AM363" s="26">
        <f>IF(G363="","",G363&amp;"|"&amp;P363)</f>
        <v/>
      </c>
      <c r="AN363" s="27">
        <f>IF(I363="","",IFERROR(DATE(VALUE(RIGHT(I363,4)),VALUE(MID(I363,4,2)),VALUE(LEFT(I363,2))),""))</f>
        <v/>
      </c>
      <c r="AO363" s="27">
        <f>IF(Y363="","",IFERROR(DATE(VALUE(RIGHT(Y363,4)),VALUE(MID(Y363,4,2)),VALUE(LEFT(Y363,2))),""))</f>
        <v/>
      </c>
      <c r="AP363" s="27">
        <f>IF(AC363="","",IFERROR(DATE(VALUE(RIGHT(AC363,4)),VALUE(MID(AC363,4,2)),VALUE(LEFT(AC363,2))),""))</f>
        <v/>
      </c>
      <c r="AQ363" s="26">
        <f>IF(AI363="","",TRIM(LEFT(AI363,FIND(" ",AI363&amp;" ")-1)))</f>
        <v/>
      </c>
      <c r="AR363" s="27">
        <f>IF(AQ363="","",IFERROR(DATE(VALUE(MID(AQ363,FIND("/",AQ363,FIND("/",AQ363)+1)+1,4)),VALUE(LEFT(AQ363,FIND("/",AQ363)-1)),VALUE(MID(AQ363,FIND("/",AQ363)+1,FIND("/",AQ363,FIND("/",AQ363)+1)-FIND("/",AQ363)-1))),""))</f>
        <v/>
      </c>
      <c r="AS363" s="26">
        <f>IF(G363="","",IF(AND(AG363&lt;&gt;"",AG363&lt;&gt;"Bayi Aracı"),"Evet","Hayır"))</f>
        <v/>
      </c>
      <c r="AT363" s="26">
        <f>IF(G363="","",IF(AND(AS363="Evet",T363="Siparişiniz Teslim Edildi"),"Evet","Hayır"))</f>
        <v/>
      </c>
      <c r="AU363" s="26">
        <f>IF(G363="","",IF(AB363="Siparişinizin Montajı Yapıldı","Evet","Hayır"))</f>
        <v/>
      </c>
      <c r="AV363" s="27">
        <f>IF(G363="","",IF(AT363="Evet",AR363,IF(AU363="Evet",AP363,"")))</f>
        <v/>
      </c>
    </row>
    <row r="364">
      <c r="A364" s="23" t="n"/>
      <c r="B364" s="23" t="n"/>
      <c r="C364" s="23" t="n"/>
      <c r="D364" s="23" t="n"/>
      <c r="E364" s="23" t="n"/>
      <c r="F364" s="23" t="n"/>
      <c r="G364" s="23" t="n"/>
      <c r="H364" s="23" t="n"/>
      <c r="I364" s="23" t="n"/>
      <c r="J364" s="23" t="n"/>
      <c r="K364" s="23" t="n"/>
      <c r="L364" s="23" t="n"/>
      <c r="M364" s="23" t="n"/>
      <c r="N364" s="23" t="n"/>
      <c r="O364" s="23" t="n"/>
      <c r="P364" s="23" t="n"/>
      <c r="Q364" s="23" t="n"/>
      <c r="R364" s="23" t="n"/>
      <c r="S364" s="23" t="n"/>
      <c r="T364" s="23" t="n"/>
      <c r="U364" s="23" t="n"/>
      <c r="V364" s="23" t="n"/>
      <c r="W364" s="23" t="n"/>
      <c r="X364" s="23" t="n"/>
      <c r="Y364" s="23" t="n"/>
      <c r="Z364" s="23" t="n"/>
      <c r="AA364" s="23" t="n"/>
      <c r="AB364" s="23" t="n"/>
      <c r="AC364" s="23" t="n"/>
      <c r="AD364" s="23" t="n"/>
      <c r="AE364" s="23" t="n"/>
      <c r="AF364" s="23" t="n"/>
      <c r="AG364" s="23" t="n"/>
      <c r="AH364" s="23" t="n"/>
      <c r="AI364" s="23" t="n"/>
      <c r="AJ364" s="23" t="n"/>
      <c r="AK364" s="23" t="n"/>
      <c r="AL364" s="23" t="n"/>
      <c r="AM364" s="26">
        <f>IF(G364="","",G364&amp;"|"&amp;P364)</f>
        <v/>
      </c>
      <c r="AN364" s="27">
        <f>IF(I364="","",IFERROR(DATE(VALUE(RIGHT(I364,4)),VALUE(MID(I364,4,2)),VALUE(LEFT(I364,2))),""))</f>
        <v/>
      </c>
      <c r="AO364" s="27">
        <f>IF(Y364="","",IFERROR(DATE(VALUE(RIGHT(Y364,4)),VALUE(MID(Y364,4,2)),VALUE(LEFT(Y364,2))),""))</f>
        <v/>
      </c>
      <c r="AP364" s="27">
        <f>IF(AC364="","",IFERROR(DATE(VALUE(RIGHT(AC364,4)),VALUE(MID(AC364,4,2)),VALUE(LEFT(AC364,2))),""))</f>
        <v/>
      </c>
      <c r="AQ364" s="26">
        <f>IF(AI364="","",TRIM(LEFT(AI364,FIND(" ",AI364&amp;" ")-1)))</f>
        <v/>
      </c>
      <c r="AR364" s="27">
        <f>IF(AQ364="","",IFERROR(DATE(VALUE(MID(AQ364,FIND("/",AQ364,FIND("/",AQ364)+1)+1,4)),VALUE(LEFT(AQ364,FIND("/",AQ364)-1)),VALUE(MID(AQ364,FIND("/",AQ364)+1,FIND("/",AQ364,FIND("/",AQ364)+1)-FIND("/",AQ364)-1))),""))</f>
        <v/>
      </c>
      <c r="AS364" s="26">
        <f>IF(G364="","",IF(AND(AG364&lt;&gt;"",AG364&lt;&gt;"Bayi Aracı"),"Evet","Hayır"))</f>
        <v/>
      </c>
      <c r="AT364" s="26">
        <f>IF(G364="","",IF(AND(AS364="Evet",T364="Siparişiniz Teslim Edildi"),"Evet","Hayır"))</f>
        <v/>
      </c>
      <c r="AU364" s="26">
        <f>IF(G364="","",IF(AB364="Siparişinizin Montajı Yapıldı","Evet","Hayır"))</f>
        <v/>
      </c>
      <c r="AV364" s="27">
        <f>IF(G364="","",IF(AT364="Evet",AR364,IF(AU364="Evet",AP364,"")))</f>
        <v/>
      </c>
    </row>
    <row r="365">
      <c r="A365" s="23" t="n"/>
      <c r="B365" s="23" t="n"/>
      <c r="C365" s="23" t="n"/>
      <c r="D365" s="23" t="n"/>
      <c r="E365" s="23" t="n"/>
      <c r="F365" s="23" t="n"/>
      <c r="G365" s="23" t="n"/>
      <c r="H365" s="23" t="n"/>
      <c r="I365" s="23" t="n"/>
      <c r="J365" s="23" t="n"/>
      <c r="K365" s="23" t="n"/>
      <c r="L365" s="23" t="n"/>
      <c r="M365" s="23" t="n"/>
      <c r="N365" s="23" t="n"/>
      <c r="O365" s="23" t="n"/>
      <c r="P365" s="23" t="n"/>
      <c r="Q365" s="23" t="n"/>
      <c r="R365" s="23" t="n"/>
      <c r="S365" s="23" t="n"/>
      <c r="T365" s="23" t="n"/>
      <c r="U365" s="23" t="n"/>
      <c r="V365" s="23" t="n"/>
      <c r="W365" s="23" t="n"/>
      <c r="X365" s="23" t="n"/>
      <c r="Y365" s="23" t="n"/>
      <c r="Z365" s="23" t="n"/>
      <c r="AA365" s="23" t="n"/>
      <c r="AB365" s="23" t="n"/>
      <c r="AC365" s="23" t="n"/>
      <c r="AD365" s="23" t="n"/>
      <c r="AE365" s="23" t="n"/>
      <c r="AF365" s="23" t="n"/>
      <c r="AG365" s="23" t="n"/>
      <c r="AH365" s="23" t="n"/>
      <c r="AI365" s="23" t="n"/>
      <c r="AJ365" s="23" t="n"/>
      <c r="AK365" s="23" t="n"/>
      <c r="AL365" s="23" t="n"/>
      <c r="AM365" s="26">
        <f>IF(G365="","",G365&amp;"|"&amp;P365)</f>
        <v/>
      </c>
      <c r="AN365" s="27">
        <f>IF(I365="","",IFERROR(DATE(VALUE(RIGHT(I365,4)),VALUE(MID(I365,4,2)),VALUE(LEFT(I365,2))),""))</f>
        <v/>
      </c>
      <c r="AO365" s="27">
        <f>IF(Y365="","",IFERROR(DATE(VALUE(RIGHT(Y365,4)),VALUE(MID(Y365,4,2)),VALUE(LEFT(Y365,2))),""))</f>
        <v/>
      </c>
      <c r="AP365" s="27">
        <f>IF(AC365="","",IFERROR(DATE(VALUE(RIGHT(AC365,4)),VALUE(MID(AC365,4,2)),VALUE(LEFT(AC365,2))),""))</f>
        <v/>
      </c>
      <c r="AQ365" s="26">
        <f>IF(AI365="","",TRIM(LEFT(AI365,FIND(" ",AI365&amp;" ")-1)))</f>
        <v/>
      </c>
      <c r="AR365" s="27">
        <f>IF(AQ365="","",IFERROR(DATE(VALUE(MID(AQ365,FIND("/",AQ365,FIND("/",AQ365)+1)+1,4)),VALUE(LEFT(AQ365,FIND("/",AQ365)-1)),VALUE(MID(AQ365,FIND("/",AQ365)+1,FIND("/",AQ365,FIND("/",AQ365)+1)-FIND("/",AQ365)-1))),""))</f>
        <v/>
      </c>
      <c r="AS365" s="26">
        <f>IF(G365="","",IF(AND(AG365&lt;&gt;"",AG365&lt;&gt;"Bayi Aracı"),"Evet","Hayır"))</f>
        <v/>
      </c>
      <c r="AT365" s="26">
        <f>IF(G365="","",IF(AND(AS365="Evet",T365="Siparişiniz Teslim Edildi"),"Evet","Hayır"))</f>
        <v/>
      </c>
      <c r="AU365" s="26">
        <f>IF(G365="","",IF(AB365="Siparişinizin Montajı Yapıldı","Evet","Hayır"))</f>
        <v/>
      </c>
      <c r="AV365" s="27">
        <f>IF(G365="","",IF(AT365="Evet",AR365,IF(AU365="Evet",AP365,"")))</f>
        <v/>
      </c>
    </row>
    <row r="366">
      <c r="A366" s="23" t="n"/>
      <c r="B366" s="23" t="n"/>
      <c r="C366" s="23" t="n"/>
      <c r="D366" s="23" t="n"/>
      <c r="E366" s="23" t="n"/>
      <c r="F366" s="23" t="n"/>
      <c r="G366" s="23" t="n"/>
      <c r="H366" s="23" t="n"/>
      <c r="I366" s="23" t="n"/>
      <c r="J366" s="23" t="n"/>
      <c r="K366" s="23" t="n"/>
      <c r="L366" s="23" t="n"/>
      <c r="M366" s="23" t="n"/>
      <c r="N366" s="23" t="n"/>
      <c r="O366" s="23" t="n"/>
      <c r="P366" s="23" t="n"/>
      <c r="Q366" s="23" t="n"/>
      <c r="R366" s="23" t="n"/>
      <c r="S366" s="23" t="n"/>
      <c r="T366" s="23" t="n"/>
      <c r="U366" s="23" t="n"/>
      <c r="V366" s="23" t="n"/>
      <c r="W366" s="23" t="n"/>
      <c r="X366" s="23" t="n"/>
      <c r="Y366" s="23" t="n"/>
      <c r="Z366" s="23" t="n"/>
      <c r="AA366" s="23" t="n"/>
      <c r="AB366" s="23" t="n"/>
      <c r="AC366" s="23" t="n"/>
      <c r="AD366" s="23" t="n"/>
      <c r="AE366" s="23" t="n"/>
      <c r="AF366" s="23" t="n"/>
      <c r="AG366" s="23" t="n"/>
      <c r="AH366" s="23" t="n"/>
      <c r="AI366" s="23" t="n"/>
      <c r="AJ366" s="23" t="n"/>
      <c r="AK366" s="23" t="n"/>
      <c r="AL366" s="23" t="n"/>
      <c r="AM366" s="26">
        <f>IF(G366="","",G366&amp;"|"&amp;P366)</f>
        <v/>
      </c>
      <c r="AN366" s="27">
        <f>IF(I366="","",IFERROR(DATE(VALUE(RIGHT(I366,4)),VALUE(MID(I366,4,2)),VALUE(LEFT(I366,2))),""))</f>
        <v/>
      </c>
      <c r="AO366" s="27">
        <f>IF(Y366="","",IFERROR(DATE(VALUE(RIGHT(Y366,4)),VALUE(MID(Y366,4,2)),VALUE(LEFT(Y366,2))),""))</f>
        <v/>
      </c>
      <c r="AP366" s="27">
        <f>IF(AC366="","",IFERROR(DATE(VALUE(RIGHT(AC366,4)),VALUE(MID(AC366,4,2)),VALUE(LEFT(AC366,2))),""))</f>
        <v/>
      </c>
      <c r="AQ366" s="26">
        <f>IF(AI366="","",TRIM(LEFT(AI366,FIND(" ",AI366&amp;" ")-1)))</f>
        <v/>
      </c>
      <c r="AR366" s="27">
        <f>IF(AQ366="","",IFERROR(DATE(VALUE(MID(AQ366,FIND("/",AQ366,FIND("/",AQ366)+1)+1,4)),VALUE(LEFT(AQ366,FIND("/",AQ366)-1)),VALUE(MID(AQ366,FIND("/",AQ366)+1,FIND("/",AQ366,FIND("/",AQ366)+1)-FIND("/",AQ366)-1))),""))</f>
        <v/>
      </c>
      <c r="AS366" s="26">
        <f>IF(G366="","",IF(AND(AG366&lt;&gt;"",AG366&lt;&gt;"Bayi Aracı"),"Evet","Hayır"))</f>
        <v/>
      </c>
      <c r="AT366" s="26">
        <f>IF(G366="","",IF(AND(AS366="Evet",T366="Siparişiniz Teslim Edildi"),"Evet","Hayır"))</f>
        <v/>
      </c>
      <c r="AU366" s="26">
        <f>IF(G366="","",IF(AB366="Siparişinizin Montajı Yapıldı","Evet","Hayır"))</f>
        <v/>
      </c>
      <c r="AV366" s="27">
        <f>IF(G366="","",IF(AT366="Evet",AR366,IF(AU366="Evet",AP366,"")))</f>
        <v/>
      </c>
    </row>
    <row r="367">
      <c r="A367" s="23" t="n"/>
      <c r="B367" s="23" t="n"/>
      <c r="C367" s="23" t="n"/>
      <c r="D367" s="23" t="n"/>
      <c r="E367" s="23" t="n"/>
      <c r="F367" s="23" t="n"/>
      <c r="G367" s="23" t="n"/>
      <c r="H367" s="23" t="n"/>
      <c r="I367" s="23" t="n"/>
      <c r="J367" s="23" t="n"/>
      <c r="K367" s="23" t="n"/>
      <c r="L367" s="23" t="n"/>
      <c r="M367" s="23" t="n"/>
      <c r="N367" s="23" t="n"/>
      <c r="O367" s="23" t="n"/>
      <c r="P367" s="23" t="n"/>
      <c r="Q367" s="23" t="n"/>
      <c r="R367" s="23" t="n"/>
      <c r="S367" s="23" t="n"/>
      <c r="T367" s="23" t="n"/>
      <c r="U367" s="23" t="n"/>
      <c r="V367" s="23" t="n"/>
      <c r="W367" s="23" t="n"/>
      <c r="X367" s="23" t="n"/>
      <c r="Y367" s="23" t="n"/>
      <c r="Z367" s="23" t="n"/>
      <c r="AA367" s="23" t="n"/>
      <c r="AB367" s="23" t="n"/>
      <c r="AC367" s="23" t="n"/>
      <c r="AD367" s="23" t="n"/>
      <c r="AE367" s="23" t="n"/>
      <c r="AF367" s="23" t="n"/>
      <c r="AG367" s="23" t="n"/>
      <c r="AH367" s="23" t="n"/>
      <c r="AI367" s="23" t="n"/>
      <c r="AJ367" s="23" t="n"/>
      <c r="AK367" s="23" t="n"/>
      <c r="AL367" s="23" t="n"/>
      <c r="AM367" s="26">
        <f>IF(G367="","",G367&amp;"|"&amp;P367)</f>
        <v/>
      </c>
      <c r="AN367" s="27">
        <f>IF(I367="","",IFERROR(DATE(VALUE(RIGHT(I367,4)),VALUE(MID(I367,4,2)),VALUE(LEFT(I367,2))),""))</f>
        <v/>
      </c>
      <c r="AO367" s="27">
        <f>IF(Y367="","",IFERROR(DATE(VALUE(RIGHT(Y367,4)),VALUE(MID(Y367,4,2)),VALUE(LEFT(Y367,2))),""))</f>
        <v/>
      </c>
      <c r="AP367" s="27">
        <f>IF(AC367="","",IFERROR(DATE(VALUE(RIGHT(AC367,4)),VALUE(MID(AC367,4,2)),VALUE(LEFT(AC367,2))),""))</f>
        <v/>
      </c>
      <c r="AQ367" s="26">
        <f>IF(AI367="","",TRIM(LEFT(AI367,FIND(" ",AI367&amp;" ")-1)))</f>
        <v/>
      </c>
      <c r="AR367" s="27">
        <f>IF(AQ367="","",IFERROR(DATE(VALUE(MID(AQ367,FIND("/",AQ367,FIND("/",AQ367)+1)+1,4)),VALUE(LEFT(AQ367,FIND("/",AQ367)-1)),VALUE(MID(AQ367,FIND("/",AQ367)+1,FIND("/",AQ367,FIND("/",AQ367)+1)-FIND("/",AQ367)-1))),""))</f>
        <v/>
      </c>
      <c r="AS367" s="26">
        <f>IF(G367="","",IF(AND(AG367&lt;&gt;"",AG367&lt;&gt;"Bayi Aracı"),"Evet","Hayır"))</f>
        <v/>
      </c>
      <c r="AT367" s="26">
        <f>IF(G367="","",IF(AND(AS367="Evet",T367="Siparişiniz Teslim Edildi"),"Evet","Hayır"))</f>
        <v/>
      </c>
      <c r="AU367" s="26">
        <f>IF(G367="","",IF(AB367="Siparişinizin Montajı Yapıldı","Evet","Hayır"))</f>
        <v/>
      </c>
      <c r="AV367" s="27">
        <f>IF(G367="","",IF(AT367="Evet",AR367,IF(AU367="Evet",AP367,"")))</f>
        <v/>
      </c>
    </row>
    <row r="368">
      <c r="A368" s="23" t="n"/>
      <c r="B368" s="23" t="n"/>
      <c r="C368" s="23" t="n"/>
      <c r="D368" s="23" t="n"/>
      <c r="E368" s="23" t="n"/>
      <c r="F368" s="23" t="n"/>
      <c r="G368" s="23" t="n"/>
      <c r="H368" s="23" t="n"/>
      <c r="I368" s="23" t="n"/>
      <c r="J368" s="23" t="n"/>
      <c r="K368" s="23" t="n"/>
      <c r="L368" s="23" t="n"/>
      <c r="M368" s="23" t="n"/>
      <c r="N368" s="23" t="n"/>
      <c r="O368" s="23" t="n"/>
      <c r="P368" s="23" t="n"/>
      <c r="Q368" s="23" t="n"/>
      <c r="R368" s="23" t="n"/>
      <c r="S368" s="23" t="n"/>
      <c r="T368" s="23" t="n"/>
      <c r="U368" s="23" t="n"/>
      <c r="V368" s="23" t="n"/>
      <c r="W368" s="23" t="n"/>
      <c r="X368" s="23" t="n"/>
      <c r="Y368" s="23" t="n"/>
      <c r="Z368" s="23" t="n"/>
      <c r="AA368" s="23" t="n"/>
      <c r="AB368" s="23" t="n"/>
      <c r="AC368" s="23" t="n"/>
      <c r="AD368" s="23" t="n"/>
      <c r="AE368" s="23" t="n"/>
      <c r="AF368" s="23" t="n"/>
      <c r="AG368" s="23" t="n"/>
      <c r="AH368" s="23" t="n"/>
      <c r="AI368" s="23" t="n"/>
      <c r="AJ368" s="23" t="n"/>
      <c r="AK368" s="23" t="n"/>
      <c r="AL368" s="23" t="n"/>
      <c r="AM368" s="26">
        <f>IF(G368="","",G368&amp;"|"&amp;P368)</f>
        <v/>
      </c>
      <c r="AN368" s="27">
        <f>IF(I368="","",IFERROR(DATE(VALUE(RIGHT(I368,4)),VALUE(MID(I368,4,2)),VALUE(LEFT(I368,2))),""))</f>
        <v/>
      </c>
      <c r="AO368" s="27">
        <f>IF(Y368="","",IFERROR(DATE(VALUE(RIGHT(Y368,4)),VALUE(MID(Y368,4,2)),VALUE(LEFT(Y368,2))),""))</f>
        <v/>
      </c>
      <c r="AP368" s="27">
        <f>IF(AC368="","",IFERROR(DATE(VALUE(RIGHT(AC368,4)),VALUE(MID(AC368,4,2)),VALUE(LEFT(AC368,2))),""))</f>
        <v/>
      </c>
      <c r="AQ368" s="26">
        <f>IF(AI368="","",TRIM(LEFT(AI368,FIND(" ",AI368&amp;" ")-1)))</f>
        <v/>
      </c>
      <c r="AR368" s="27">
        <f>IF(AQ368="","",IFERROR(DATE(VALUE(MID(AQ368,FIND("/",AQ368,FIND("/",AQ368)+1)+1,4)),VALUE(LEFT(AQ368,FIND("/",AQ368)-1)),VALUE(MID(AQ368,FIND("/",AQ368)+1,FIND("/",AQ368,FIND("/",AQ368)+1)-FIND("/",AQ368)-1))),""))</f>
        <v/>
      </c>
      <c r="AS368" s="26">
        <f>IF(G368="","",IF(AND(AG368&lt;&gt;"",AG368&lt;&gt;"Bayi Aracı"),"Evet","Hayır"))</f>
        <v/>
      </c>
      <c r="AT368" s="26">
        <f>IF(G368="","",IF(AND(AS368="Evet",T368="Siparişiniz Teslim Edildi"),"Evet","Hayır"))</f>
        <v/>
      </c>
      <c r="AU368" s="26">
        <f>IF(G368="","",IF(AB368="Siparişinizin Montajı Yapıldı","Evet","Hayır"))</f>
        <v/>
      </c>
      <c r="AV368" s="27">
        <f>IF(G368="","",IF(AT368="Evet",AR368,IF(AU368="Evet",AP368,"")))</f>
        <v/>
      </c>
    </row>
    <row r="369">
      <c r="A369" s="23" t="n"/>
      <c r="B369" s="23" t="n"/>
      <c r="C369" s="23" t="n"/>
      <c r="D369" s="23" t="n"/>
      <c r="E369" s="23" t="n"/>
      <c r="F369" s="23" t="n"/>
      <c r="G369" s="23" t="n"/>
      <c r="H369" s="23" t="n"/>
      <c r="I369" s="23" t="n"/>
      <c r="J369" s="23" t="n"/>
      <c r="K369" s="23" t="n"/>
      <c r="L369" s="23" t="n"/>
      <c r="M369" s="23" t="n"/>
      <c r="N369" s="23" t="n"/>
      <c r="O369" s="23" t="n"/>
      <c r="P369" s="23" t="n"/>
      <c r="Q369" s="23" t="n"/>
      <c r="R369" s="23" t="n"/>
      <c r="S369" s="23" t="n"/>
      <c r="T369" s="23" t="n"/>
      <c r="U369" s="23" t="n"/>
      <c r="V369" s="23" t="n"/>
      <c r="W369" s="23" t="n"/>
      <c r="X369" s="23" t="n"/>
      <c r="Y369" s="23" t="n"/>
      <c r="Z369" s="23" t="n"/>
      <c r="AA369" s="23" t="n"/>
      <c r="AB369" s="23" t="n"/>
      <c r="AC369" s="23" t="n"/>
      <c r="AD369" s="23" t="n"/>
      <c r="AE369" s="23" t="n"/>
      <c r="AF369" s="23" t="n"/>
      <c r="AG369" s="23" t="n"/>
      <c r="AH369" s="23" t="n"/>
      <c r="AI369" s="23" t="n"/>
      <c r="AJ369" s="23" t="n"/>
      <c r="AK369" s="23" t="n"/>
      <c r="AL369" s="23" t="n"/>
      <c r="AM369" s="26">
        <f>IF(G369="","",G369&amp;"|"&amp;P369)</f>
        <v/>
      </c>
      <c r="AN369" s="27">
        <f>IF(I369="","",IFERROR(DATE(VALUE(RIGHT(I369,4)),VALUE(MID(I369,4,2)),VALUE(LEFT(I369,2))),""))</f>
        <v/>
      </c>
      <c r="AO369" s="27">
        <f>IF(Y369="","",IFERROR(DATE(VALUE(RIGHT(Y369,4)),VALUE(MID(Y369,4,2)),VALUE(LEFT(Y369,2))),""))</f>
        <v/>
      </c>
      <c r="AP369" s="27">
        <f>IF(AC369="","",IFERROR(DATE(VALUE(RIGHT(AC369,4)),VALUE(MID(AC369,4,2)),VALUE(LEFT(AC369,2))),""))</f>
        <v/>
      </c>
      <c r="AQ369" s="26">
        <f>IF(AI369="","",TRIM(LEFT(AI369,FIND(" ",AI369&amp;" ")-1)))</f>
        <v/>
      </c>
      <c r="AR369" s="27">
        <f>IF(AQ369="","",IFERROR(DATE(VALUE(MID(AQ369,FIND("/",AQ369,FIND("/",AQ369)+1)+1,4)),VALUE(LEFT(AQ369,FIND("/",AQ369)-1)),VALUE(MID(AQ369,FIND("/",AQ369)+1,FIND("/",AQ369,FIND("/",AQ369)+1)-FIND("/",AQ369)-1))),""))</f>
        <v/>
      </c>
      <c r="AS369" s="26">
        <f>IF(G369="","",IF(AND(AG369&lt;&gt;"",AG369&lt;&gt;"Bayi Aracı"),"Evet","Hayır"))</f>
        <v/>
      </c>
      <c r="AT369" s="26">
        <f>IF(G369="","",IF(AND(AS369="Evet",T369="Siparişiniz Teslim Edildi"),"Evet","Hayır"))</f>
        <v/>
      </c>
      <c r="AU369" s="26">
        <f>IF(G369="","",IF(AB369="Siparişinizin Montajı Yapıldı","Evet","Hayır"))</f>
        <v/>
      </c>
      <c r="AV369" s="27">
        <f>IF(G369="","",IF(AT369="Evet",AR369,IF(AU369="Evet",AP369,"")))</f>
        <v/>
      </c>
    </row>
    <row r="370">
      <c r="A370" s="23" t="n"/>
      <c r="B370" s="23" t="n"/>
      <c r="C370" s="23" t="n"/>
      <c r="D370" s="23" t="n"/>
      <c r="E370" s="23" t="n"/>
      <c r="F370" s="23" t="n"/>
      <c r="G370" s="23" t="n"/>
      <c r="H370" s="23" t="n"/>
      <c r="I370" s="23" t="n"/>
      <c r="J370" s="23" t="n"/>
      <c r="K370" s="23" t="n"/>
      <c r="L370" s="23" t="n"/>
      <c r="M370" s="23" t="n"/>
      <c r="N370" s="23" t="n"/>
      <c r="O370" s="23" t="n"/>
      <c r="P370" s="23" t="n"/>
      <c r="Q370" s="23" t="n"/>
      <c r="R370" s="23" t="n"/>
      <c r="S370" s="23" t="n"/>
      <c r="T370" s="23" t="n"/>
      <c r="U370" s="23" t="n"/>
      <c r="V370" s="23" t="n"/>
      <c r="W370" s="23" t="n"/>
      <c r="X370" s="23" t="n"/>
      <c r="Y370" s="23" t="n"/>
      <c r="Z370" s="23" t="n"/>
      <c r="AA370" s="23" t="n"/>
      <c r="AB370" s="23" t="n"/>
      <c r="AC370" s="23" t="n"/>
      <c r="AD370" s="23" t="n"/>
      <c r="AE370" s="23" t="n"/>
      <c r="AF370" s="23" t="n"/>
      <c r="AG370" s="23" t="n"/>
      <c r="AH370" s="23" t="n"/>
      <c r="AI370" s="23" t="n"/>
      <c r="AJ370" s="23" t="n"/>
      <c r="AK370" s="23" t="n"/>
      <c r="AL370" s="23" t="n"/>
      <c r="AM370" s="26">
        <f>IF(G370="","",G370&amp;"|"&amp;P370)</f>
        <v/>
      </c>
      <c r="AN370" s="27">
        <f>IF(I370="","",IFERROR(DATE(VALUE(RIGHT(I370,4)),VALUE(MID(I370,4,2)),VALUE(LEFT(I370,2))),""))</f>
        <v/>
      </c>
      <c r="AO370" s="27">
        <f>IF(Y370="","",IFERROR(DATE(VALUE(RIGHT(Y370,4)),VALUE(MID(Y370,4,2)),VALUE(LEFT(Y370,2))),""))</f>
        <v/>
      </c>
      <c r="AP370" s="27">
        <f>IF(AC370="","",IFERROR(DATE(VALUE(RIGHT(AC370,4)),VALUE(MID(AC370,4,2)),VALUE(LEFT(AC370,2))),""))</f>
        <v/>
      </c>
      <c r="AQ370" s="26">
        <f>IF(AI370="","",TRIM(LEFT(AI370,FIND(" ",AI370&amp;" ")-1)))</f>
        <v/>
      </c>
      <c r="AR370" s="27">
        <f>IF(AQ370="","",IFERROR(DATE(VALUE(MID(AQ370,FIND("/",AQ370,FIND("/",AQ370)+1)+1,4)),VALUE(LEFT(AQ370,FIND("/",AQ370)-1)),VALUE(MID(AQ370,FIND("/",AQ370)+1,FIND("/",AQ370,FIND("/",AQ370)+1)-FIND("/",AQ370)-1))),""))</f>
        <v/>
      </c>
      <c r="AS370" s="26">
        <f>IF(G370="","",IF(AND(AG370&lt;&gt;"",AG370&lt;&gt;"Bayi Aracı"),"Evet","Hayır"))</f>
        <v/>
      </c>
      <c r="AT370" s="26">
        <f>IF(G370="","",IF(AND(AS370="Evet",T370="Siparişiniz Teslim Edildi"),"Evet","Hayır"))</f>
        <v/>
      </c>
      <c r="AU370" s="26">
        <f>IF(G370="","",IF(AB370="Siparişinizin Montajı Yapıldı","Evet","Hayır"))</f>
        <v/>
      </c>
      <c r="AV370" s="27">
        <f>IF(G370="","",IF(AT370="Evet",AR370,IF(AU370="Evet",AP370,"")))</f>
        <v/>
      </c>
    </row>
    <row r="371">
      <c r="A371" s="23" t="n"/>
      <c r="B371" s="23" t="n"/>
      <c r="C371" s="23" t="n"/>
      <c r="D371" s="23" t="n"/>
      <c r="E371" s="23" t="n"/>
      <c r="F371" s="23" t="n"/>
      <c r="G371" s="23" t="n"/>
      <c r="H371" s="23" t="n"/>
      <c r="I371" s="23" t="n"/>
      <c r="J371" s="23" t="n"/>
      <c r="K371" s="23" t="n"/>
      <c r="L371" s="23" t="n"/>
      <c r="M371" s="23" t="n"/>
      <c r="N371" s="23" t="n"/>
      <c r="O371" s="23" t="n"/>
      <c r="P371" s="23" t="n"/>
      <c r="Q371" s="23" t="n"/>
      <c r="R371" s="23" t="n"/>
      <c r="S371" s="23" t="n"/>
      <c r="T371" s="23" t="n"/>
      <c r="U371" s="23" t="n"/>
      <c r="V371" s="23" t="n"/>
      <c r="W371" s="23" t="n"/>
      <c r="X371" s="23" t="n"/>
      <c r="Y371" s="23" t="n"/>
      <c r="Z371" s="23" t="n"/>
      <c r="AA371" s="23" t="n"/>
      <c r="AB371" s="23" t="n"/>
      <c r="AC371" s="23" t="n"/>
      <c r="AD371" s="23" t="n"/>
      <c r="AE371" s="23" t="n"/>
      <c r="AF371" s="23" t="n"/>
      <c r="AG371" s="23" t="n"/>
      <c r="AH371" s="23" t="n"/>
      <c r="AI371" s="23" t="n"/>
      <c r="AJ371" s="23" t="n"/>
      <c r="AK371" s="23" t="n"/>
      <c r="AL371" s="23" t="n"/>
      <c r="AM371" s="26">
        <f>IF(G371="","",G371&amp;"|"&amp;P371)</f>
        <v/>
      </c>
      <c r="AN371" s="27">
        <f>IF(I371="","",IFERROR(DATE(VALUE(RIGHT(I371,4)),VALUE(MID(I371,4,2)),VALUE(LEFT(I371,2))),""))</f>
        <v/>
      </c>
      <c r="AO371" s="27">
        <f>IF(Y371="","",IFERROR(DATE(VALUE(RIGHT(Y371,4)),VALUE(MID(Y371,4,2)),VALUE(LEFT(Y371,2))),""))</f>
        <v/>
      </c>
      <c r="AP371" s="27">
        <f>IF(AC371="","",IFERROR(DATE(VALUE(RIGHT(AC371,4)),VALUE(MID(AC371,4,2)),VALUE(LEFT(AC371,2))),""))</f>
        <v/>
      </c>
      <c r="AQ371" s="26">
        <f>IF(AI371="","",TRIM(LEFT(AI371,FIND(" ",AI371&amp;" ")-1)))</f>
        <v/>
      </c>
      <c r="AR371" s="27">
        <f>IF(AQ371="","",IFERROR(DATE(VALUE(MID(AQ371,FIND("/",AQ371,FIND("/",AQ371)+1)+1,4)),VALUE(LEFT(AQ371,FIND("/",AQ371)-1)),VALUE(MID(AQ371,FIND("/",AQ371)+1,FIND("/",AQ371,FIND("/",AQ371)+1)-FIND("/",AQ371)-1))),""))</f>
        <v/>
      </c>
      <c r="AS371" s="26">
        <f>IF(G371="","",IF(AND(AG371&lt;&gt;"",AG371&lt;&gt;"Bayi Aracı"),"Evet","Hayır"))</f>
        <v/>
      </c>
      <c r="AT371" s="26">
        <f>IF(G371="","",IF(AND(AS371="Evet",T371="Siparişiniz Teslim Edildi"),"Evet","Hayır"))</f>
        <v/>
      </c>
      <c r="AU371" s="26">
        <f>IF(G371="","",IF(AB371="Siparişinizin Montajı Yapıldı","Evet","Hayır"))</f>
        <v/>
      </c>
      <c r="AV371" s="27">
        <f>IF(G371="","",IF(AT371="Evet",AR371,IF(AU371="Evet",AP371,"")))</f>
        <v/>
      </c>
    </row>
    <row r="372">
      <c r="A372" s="23" t="n"/>
      <c r="B372" s="23" t="n"/>
      <c r="C372" s="23" t="n"/>
      <c r="D372" s="23" t="n"/>
      <c r="E372" s="23" t="n"/>
      <c r="F372" s="23" t="n"/>
      <c r="G372" s="23" t="n"/>
      <c r="H372" s="23" t="n"/>
      <c r="I372" s="23" t="n"/>
      <c r="J372" s="23" t="n"/>
      <c r="K372" s="23" t="n"/>
      <c r="L372" s="23" t="n"/>
      <c r="M372" s="23" t="n"/>
      <c r="N372" s="23" t="n"/>
      <c r="O372" s="23" t="n"/>
      <c r="P372" s="23" t="n"/>
      <c r="Q372" s="23" t="n"/>
      <c r="R372" s="23" t="n"/>
      <c r="S372" s="23" t="n"/>
      <c r="T372" s="23" t="n"/>
      <c r="U372" s="23" t="n"/>
      <c r="V372" s="23" t="n"/>
      <c r="W372" s="23" t="n"/>
      <c r="X372" s="23" t="n"/>
      <c r="Y372" s="23" t="n"/>
      <c r="Z372" s="23" t="n"/>
      <c r="AA372" s="23" t="n"/>
      <c r="AB372" s="23" t="n"/>
      <c r="AC372" s="23" t="n"/>
      <c r="AD372" s="23" t="n"/>
      <c r="AE372" s="23" t="n"/>
      <c r="AF372" s="23" t="n"/>
      <c r="AG372" s="23" t="n"/>
      <c r="AH372" s="23" t="n"/>
      <c r="AI372" s="23" t="n"/>
      <c r="AJ372" s="23" t="n"/>
      <c r="AK372" s="23" t="n"/>
      <c r="AL372" s="23" t="n"/>
      <c r="AM372" s="26">
        <f>IF(G372="","",G372&amp;"|"&amp;P372)</f>
        <v/>
      </c>
      <c r="AN372" s="27">
        <f>IF(I372="","",IFERROR(DATE(VALUE(RIGHT(I372,4)),VALUE(MID(I372,4,2)),VALUE(LEFT(I372,2))),""))</f>
        <v/>
      </c>
      <c r="AO372" s="27">
        <f>IF(Y372="","",IFERROR(DATE(VALUE(RIGHT(Y372,4)),VALUE(MID(Y372,4,2)),VALUE(LEFT(Y372,2))),""))</f>
        <v/>
      </c>
      <c r="AP372" s="27">
        <f>IF(AC372="","",IFERROR(DATE(VALUE(RIGHT(AC372,4)),VALUE(MID(AC372,4,2)),VALUE(LEFT(AC372,2))),""))</f>
        <v/>
      </c>
      <c r="AQ372" s="26">
        <f>IF(AI372="","",TRIM(LEFT(AI372,FIND(" ",AI372&amp;" ")-1)))</f>
        <v/>
      </c>
      <c r="AR372" s="27">
        <f>IF(AQ372="","",IFERROR(DATE(VALUE(MID(AQ372,FIND("/",AQ372,FIND("/",AQ372)+1)+1,4)),VALUE(LEFT(AQ372,FIND("/",AQ372)-1)),VALUE(MID(AQ372,FIND("/",AQ372)+1,FIND("/",AQ372,FIND("/",AQ372)+1)-FIND("/",AQ372)-1))),""))</f>
        <v/>
      </c>
      <c r="AS372" s="26">
        <f>IF(G372="","",IF(AND(AG372&lt;&gt;"",AG372&lt;&gt;"Bayi Aracı"),"Evet","Hayır"))</f>
        <v/>
      </c>
      <c r="AT372" s="26">
        <f>IF(G372="","",IF(AND(AS372="Evet",T372="Siparişiniz Teslim Edildi"),"Evet","Hayır"))</f>
        <v/>
      </c>
      <c r="AU372" s="26">
        <f>IF(G372="","",IF(AB372="Siparişinizin Montajı Yapıldı","Evet","Hayır"))</f>
        <v/>
      </c>
      <c r="AV372" s="27">
        <f>IF(G372="","",IF(AT372="Evet",AR372,IF(AU372="Evet",AP372,"")))</f>
        <v/>
      </c>
    </row>
    <row r="373">
      <c r="A373" s="23" t="n"/>
      <c r="B373" s="23" t="n"/>
      <c r="C373" s="23" t="n"/>
      <c r="D373" s="23" t="n"/>
      <c r="E373" s="23" t="n"/>
      <c r="F373" s="23" t="n"/>
      <c r="G373" s="23" t="n"/>
      <c r="H373" s="23" t="n"/>
      <c r="I373" s="23" t="n"/>
      <c r="J373" s="23" t="n"/>
      <c r="K373" s="23" t="n"/>
      <c r="L373" s="23" t="n"/>
      <c r="M373" s="23" t="n"/>
      <c r="N373" s="23" t="n"/>
      <c r="O373" s="23" t="n"/>
      <c r="P373" s="23" t="n"/>
      <c r="Q373" s="23" t="n"/>
      <c r="R373" s="23" t="n"/>
      <c r="S373" s="23" t="n"/>
      <c r="T373" s="23" t="n"/>
      <c r="U373" s="23" t="n"/>
      <c r="V373" s="23" t="n"/>
      <c r="W373" s="23" t="n"/>
      <c r="X373" s="23" t="n"/>
      <c r="Y373" s="23" t="n"/>
      <c r="Z373" s="23" t="n"/>
      <c r="AA373" s="23" t="n"/>
      <c r="AB373" s="23" t="n"/>
      <c r="AC373" s="23" t="n"/>
      <c r="AD373" s="23" t="n"/>
      <c r="AE373" s="23" t="n"/>
      <c r="AF373" s="23" t="n"/>
      <c r="AG373" s="23" t="n"/>
      <c r="AH373" s="23" t="n"/>
      <c r="AI373" s="23" t="n"/>
      <c r="AJ373" s="23" t="n"/>
      <c r="AK373" s="23" t="n"/>
      <c r="AL373" s="23" t="n"/>
      <c r="AM373" s="26">
        <f>IF(G373="","",G373&amp;"|"&amp;P373)</f>
        <v/>
      </c>
      <c r="AN373" s="27">
        <f>IF(I373="","",IFERROR(DATE(VALUE(RIGHT(I373,4)),VALUE(MID(I373,4,2)),VALUE(LEFT(I373,2))),""))</f>
        <v/>
      </c>
      <c r="AO373" s="27">
        <f>IF(Y373="","",IFERROR(DATE(VALUE(RIGHT(Y373,4)),VALUE(MID(Y373,4,2)),VALUE(LEFT(Y373,2))),""))</f>
        <v/>
      </c>
      <c r="AP373" s="27">
        <f>IF(AC373="","",IFERROR(DATE(VALUE(RIGHT(AC373,4)),VALUE(MID(AC373,4,2)),VALUE(LEFT(AC373,2))),""))</f>
        <v/>
      </c>
      <c r="AQ373" s="26">
        <f>IF(AI373="","",TRIM(LEFT(AI373,FIND(" ",AI373&amp;" ")-1)))</f>
        <v/>
      </c>
      <c r="AR373" s="27">
        <f>IF(AQ373="","",IFERROR(DATE(VALUE(MID(AQ373,FIND("/",AQ373,FIND("/",AQ373)+1)+1,4)),VALUE(LEFT(AQ373,FIND("/",AQ373)-1)),VALUE(MID(AQ373,FIND("/",AQ373)+1,FIND("/",AQ373,FIND("/",AQ373)+1)-FIND("/",AQ373)-1))),""))</f>
        <v/>
      </c>
      <c r="AS373" s="26">
        <f>IF(G373="","",IF(AND(AG373&lt;&gt;"",AG373&lt;&gt;"Bayi Aracı"),"Evet","Hayır"))</f>
        <v/>
      </c>
      <c r="AT373" s="26">
        <f>IF(G373="","",IF(AND(AS373="Evet",T373="Siparişiniz Teslim Edildi"),"Evet","Hayır"))</f>
        <v/>
      </c>
      <c r="AU373" s="26">
        <f>IF(G373="","",IF(AB373="Siparişinizin Montajı Yapıldı","Evet","Hayır"))</f>
        <v/>
      </c>
      <c r="AV373" s="27">
        <f>IF(G373="","",IF(AT373="Evet",AR373,IF(AU373="Evet",AP373,"")))</f>
        <v/>
      </c>
    </row>
    <row r="374">
      <c r="A374" s="23" t="n"/>
      <c r="B374" s="23" t="n"/>
      <c r="C374" s="23" t="n"/>
      <c r="D374" s="23" t="n"/>
      <c r="E374" s="23" t="n"/>
      <c r="F374" s="23" t="n"/>
      <c r="G374" s="23" t="n"/>
      <c r="H374" s="23" t="n"/>
      <c r="I374" s="23" t="n"/>
      <c r="J374" s="23" t="n"/>
      <c r="K374" s="23" t="n"/>
      <c r="L374" s="23" t="n"/>
      <c r="M374" s="23" t="n"/>
      <c r="N374" s="23" t="n"/>
      <c r="O374" s="23" t="n"/>
      <c r="P374" s="23" t="n"/>
      <c r="Q374" s="23" t="n"/>
      <c r="R374" s="23" t="n"/>
      <c r="S374" s="23" t="n"/>
      <c r="T374" s="23" t="n"/>
      <c r="U374" s="23" t="n"/>
      <c r="V374" s="23" t="n"/>
      <c r="W374" s="23" t="n"/>
      <c r="X374" s="23" t="n"/>
      <c r="Y374" s="23" t="n"/>
      <c r="Z374" s="23" t="n"/>
      <c r="AA374" s="23" t="n"/>
      <c r="AB374" s="23" t="n"/>
      <c r="AC374" s="23" t="n"/>
      <c r="AD374" s="23" t="n"/>
      <c r="AE374" s="23" t="n"/>
      <c r="AF374" s="23" t="n"/>
      <c r="AG374" s="23" t="n"/>
      <c r="AH374" s="23" t="n"/>
      <c r="AI374" s="23" t="n"/>
      <c r="AJ374" s="23" t="n"/>
      <c r="AK374" s="23" t="n"/>
      <c r="AL374" s="23" t="n"/>
      <c r="AM374" s="26">
        <f>IF(G374="","",G374&amp;"|"&amp;P374)</f>
        <v/>
      </c>
      <c r="AN374" s="27">
        <f>IF(I374="","",IFERROR(DATE(VALUE(RIGHT(I374,4)),VALUE(MID(I374,4,2)),VALUE(LEFT(I374,2))),""))</f>
        <v/>
      </c>
      <c r="AO374" s="27">
        <f>IF(Y374="","",IFERROR(DATE(VALUE(RIGHT(Y374,4)),VALUE(MID(Y374,4,2)),VALUE(LEFT(Y374,2))),""))</f>
        <v/>
      </c>
      <c r="AP374" s="27">
        <f>IF(AC374="","",IFERROR(DATE(VALUE(RIGHT(AC374,4)),VALUE(MID(AC374,4,2)),VALUE(LEFT(AC374,2))),""))</f>
        <v/>
      </c>
      <c r="AQ374" s="26">
        <f>IF(AI374="","",TRIM(LEFT(AI374,FIND(" ",AI374&amp;" ")-1)))</f>
        <v/>
      </c>
      <c r="AR374" s="27">
        <f>IF(AQ374="","",IFERROR(DATE(VALUE(MID(AQ374,FIND("/",AQ374,FIND("/",AQ374)+1)+1,4)),VALUE(LEFT(AQ374,FIND("/",AQ374)-1)),VALUE(MID(AQ374,FIND("/",AQ374)+1,FIND("/",AQ374,FIND("/",AQ374)+1)-FIND("/",AQ374)-1))),""))</f>
        <v/>
      </c>
      <c r="AS374" s="26">
        <f>IF(G374="","",IF(AND(AG374&lt;&gt;"",AG374&lt;&gt;"Bayi Aracı"),"Evet","Hayır"))</f>
        <v/>
      </c>
      <c r="AT374" s="26">
        <f>IF(G374="","",IF(AND(AS374="Evet",T374="Siparişiniz Teslim Edildi"),"Evet","Hayır"))</f>
        <v/>
      </c>
      <c r="AU374" s="26">
        <f>IF(G374="","",IF(AB374="Siparişinizin Montajı Yapıldı","Evet","Hayır"))</f>
        <v/>
      </c>
      <c r="AV374" s="27">
        <f>IF(G374="","",IF(AT374="Evet",AR374,IF(AU374="Evet",AP374,"")))</f>
        <v/>
      </c>
    </row>
    <row r="375">
      <c r="A375" s="23" t="n"/>
      <c r="B375" s="23" t="n"/>
      <c r="C375" s="23" t="n"/>
      <c r="D375" s="23" t="n"/>
      <c r="E375" s="23" t="n"/>
      <c r="F375" s="23" t="n"/>
      <c r="G375" s="23" t="n"/>
      <c r="H375" s="23" t="n"/>
      <c r="I375" s="23" t="n"/>
      <c r="J375" s="23" t="n"/>
      <c r="K375" s="23" t="n"/>
      <c r="L375" s="23" t="n"/>
      <c r="M375" s="23" t="n"/>
      <c r="N375" s="23" t="n"/>
      <c r="O375" s="23" t="n"/>
      <c r="P375" s="23" t="n"/>
      <c r="Q375" s="23" t="n"/>
      <c r="R375" s="23" t="n"/>
      <c r="S375" s="23" t="n"/>
      <c r="T375" s="23" t="n"/>
      <c r="U375" s="23" t="n"/>
      <c r="V375" s="23" t="n"/>
      <c r="W375" s="23" t="n"/>
      <c r="X375" s="23" t="n"/>
      <c r="Y375" s="23" t="n"/>
      <c r="Z375" s="23" t="n"/>
      <c r="AA375" s="23" t="n"/>
      <c r="AB375" s="23" t="n"/>
      <c r="AC375" s="23" t="n"/>
      <c r="AD375" s="23" t="n"/>
      <c r="AE375" s="23" t="n"/>
      <c r="AF375" s="23" t="n"/>
      <c r="AG375" s="23" t="n"/>
      <c r="AH375" s="23" t="n"/>
      <c r="AI375" s="23" t="n"/>
      <c r="AJ375" s="23" t="n"/>
      <c r="AK375" s="23" t="n"/>
      <c r="AL375" s="23" t="n"/>
      <c r="AM375" s="26">
        <f>IF(G375="","",G375&amp;"|"&amp;P375)</f>
        <v/>
      </c>
      <c r="AN375" s="27">
        <f>IF(I375="","",IFERROR(DATE(VALUE(RIGHT(I375,4)),VALUE(MID(I375,4,2)),VALUE(LEFT(I375,2))),""))</f>
        <v/>
      </c>
      <c r="AO375" s="27">
        <f>IF(Y375="","",IFERROR(DATE(VALUE(RIGHT(Y375,4)),VALUE(MID(Y375,4,2)),VALUE(LEFT(Y375,2))),""))</f>
        <v/>
      </c>
      <c r="AP375" s="27">
        <f>IF(AC375="","",IFERROR(DATE(VALUE(RIGHT(AC375,4)),VALUE(MID(AC375,4,2)),VALUE(LEFT(AC375,2))),""))</f>
        <v/>
      </c>
      <c r="AQ375" s="26">
        <f>IF(AI375="","",TRIM(LEFT(AI375,FIND(" ",AI375&amp;" ")-1)))</f>
        <v/>
      </c>
      <c r="AR375" s="27">
        <f>IF(AQ375="","",IFERROR(DATE(VALUE(MID(AQ375,FIND("/",AQ375,FIND("/",AQ375)+1)+1,4)),VALUE(LEFT(AQ375,FIND("/",AQ375)-1)),VALUE(MID(AQ375,FIND("/",AQ375)+1,FIND("/",AQ375,FIND("/",AQ375)+1)-FIND("/",AQ375)-1))),""))</f>
        <v/>
      </c>
      <c r="AS375" s="26">
        <f>IF(G375="","",IF(AND(AG375&lt;&gt;"",AG375&lt;&gt;"Bayi Aracı"),"Evet","Hayır"))</f>
        <v/>
      </c>
      <c r="AT375" s="26">
        <f>IF(G375="","",IF(AND(AS375="Evet",T375="Siparişiniz Teslim Edildi"),"Evet","Hayır"))</f>
        <v/>
      </c>
      <c r="AU375" s="26">
        <f>IF(G375="","",IF(AB375="Siparişinizin Montajı Yapıldı","Evet","Hayır"))</f>
        <v/>
      </c>
      <c r="AV375" s="27">
        <f>IF(G375="","",IF(AT375="Evet",AR375,IF(AU375="Evet",AP375,"")))</f>
        <v/>
      </c>
    </row>
    <row r="376">
      <c r="A376" s="23" t="n"/>
      <c r="B376" s="23" t="n"/>
      <c r="C376" s="23" t="n"/>
      <c r="D376" s="23" t="n"/>
      <c r="E376" s="23" t="n"/>
      <c r="F376" s="23" t="n"/>
      <c r="G376" s="23" t="n"/>
      <c r="H376" s="23" t="n"/>
      <c r="I376" s="23" t="n"/>
      <c r="J376" s="23" t="n"/>
      <c r="K376" s="23" t="n"/>
      <c r="L376" s="23" t="n"/>
      <c r="M376" s="23" t="n"/>
      <c r="N376" s="23" t="n"/>
      <c r="O376" s="23" t="n"/>
      <c r="P376" s="23" t="n"/>
      <c r="Q376" s="23" t="n"/>
      <c r="R376" s="23" t="n"/>
      <c r="S376" s="23" t="n"/>
      <c r="T376" s="23" t="n"/>
      <c r="U376" s="23" t="n"/>
      <c r="V376" s="23" t="n"/>
      <c r="W376" s="23" t="n"/>
      <c r="X376" s="23" t="n"/>
      <c r="Y376" s="23" t="n"/>
      <c r="Z376" s="23" t="n"/>
      <c r="AA376" s="23" t="n"/>
      <c r="AB376" s="23" t="n"/>
      <c r="AC376" s="23" t="n"/>
      <c r="AD376" s="23" t="n"/>
      <c r="AE376" s="23" t="n"/>
      <c r="AF376" s="23" t="n"/>
      <c r="AG376" s="23" t="n"/>
      <c r="AH376" s="23" t="n"/>
      <c r="AI376" s="23" t="n"/>
      <c r="AJ376" s="23" t="n"/>
      <c r="AK376" s="23" t="n"/>
      <c r="AL376" s="23" t="n"/>
      <c r="AM376" s="26">
        <f>IF(G376="","",G376&amp;"|"&amp;P376)</f>
        <v/>
      </c>
      <c r="AN376" s="27">
        <f>IF(I376="","",IFERROR(DATE(VALUE(RIGHT(I376,4)),VALUE(MID(I376,4,2)),VALUE(LEFT(I376,2))),""))</f>
        <v/>
      </c>
      <c r="AO376" s="27">
        <f>IF(Y376="","",IFERROR(DATE(VALUE(RIGHT(Y376,4)),VALUE(MID(Y376,4,2)),VALUE(LEFT(Y376,2))),""))</f>
        <v/>
      </c>
      <c r="AP376" s="27">
        <f>IF(AC376="","",IFERROR(DATE(VALUE(RIGHT(AC376,4)),VALUE(MID(AC376,4,2)),VALUE(LEFT(AC376,2))),""))</f>
        <v/>
      </c>
      <c r="AQ376" s="26">
        <f>IF(AI376="","",TRIM(LEFT(AI376,FIND(" ",AI376&amp;" ")-1)))</f>
        <v/>
      </c>
      <c r="AR376" s="27">
        <f>IF(AQ376="","",IFERROR(DATE(VALUE(MID(AQ376,FIND("/",AQ376,FIND("/",AQ376)+1)+1,4)),VALUE(LEFT(AQ376,FIND("/",AQ376)-1)),VALUE(MID(AQ376,FIND("/",AQ376)+1,FIND("/",AQ376,FIND("/",AQ376)+1)-FIND("/",AQ376)-1))),""))</f>
        <v/>
      </c>
      <c r="AS376" s="26">
        <f>IF(G376="","",IF(AND(AG376&lt;&gt;"",AG376&lt;&gt;"Bayi Aracı"),"Evet","Hayır"))</f>
        <v/>
      </c>
      <c r="AT376" s="26">
        <f>IF(G376="","",IF(AND(AS376="Evet",T376="Siparişiniz Teslim Edildi"),"Evet","Hayır"))</f>
        <v/>
      </c>
      <c r="AU376" s="26">
        <f>IF(G376="","",IF(AB376="Siparişinizin Montajı Yapıldı","Evet","Hayır"))</f>
        <v/>
      </c>
      <c r="AV376" s="27">
        <f>IF(G376="","",IF(AT376="Evet",AR376,IF(AU376="Evet",AP376,"")))</f>
        <v/>
      </c>
    </row>
    <row r="377">
      <c r="A377" s="23" t="n"/>
      <c r="B377" s="23" t="n"/>
      <c r="C377" s="23" t="n"/>
      <c r="D377" s="23" t="n"/>
      <c r="E377" s="23" t="n"/>
      <c r="F377" s="23" t="n"/>
      <c r="G377" s="23" t="n"/>
      <c r="H377" s="23" t="n"/>
      <c r="I377" s="23" t="n"/>
      <c r="J377" s="23" t="n"/>
      <c r="K377" s="23" t="n"/>
      <c r="L377" s="23" t="n"/>
      <c r="M377" s="23" t="n"/>
      <c r="N377" s="23" t="n"/>
      <c r="O377" s="23" t="n"/>
      <c r="P377" s="23" t="n"/>
      <c r="Q377" s="23" t="n"/>
      <c r="R377" s="23" t="n"/>
      <c r="S377" s="23" t="n"/>
      <c r="T377" s="23" t="n"/>
      <c r="U377" s="23" t="n"/>
      <c r="V377" s="23" t="n"/>
      <c r="W377" s="23" t="n"/>
      <c r="X377" s="23" t="n"/>
      <c r="Y377" s="23" t="n"/>
      <c r="Z377" s="23" t="n"/>
      <c r="AA377" s="23" t="n"/>
      <c r="AB377" s="23" t="n"/>
      <c r="AC377" s="23" t="n"/>
      <c r="AD377" s="23" t="n"/>
      <c r="AE377" s="23" t="n"/>
      <c r="AF377" s="23" t="n"/>
      <c r="AG377" s="23" t="n"/>
      <c r="AH377" s="23" t="n"/>
      <c r="AI377" s="23" t="n"/>
      <c r="AJ377" s="23" t="n"/>
      <c r="AK377" s="23" t="n"/>
      <c r="AL377" s="23" t="n"/>
      <c r="AM377" s="26">
        <f>IF(G377="","",G377&amp;"|"&amp;P377)</f>
        <v/>
      </c>
      <c r="AN377" s="27">
        <f>IF(I377="","",IFERROR(DATE(VALUE(RIGHT(I377,4)),VALUE(MID(I377,4,2)),VALUE(LEFT(I377,2))),""))</f>
        <v/>
      </c>
      <c r="AO377" s="27">
        <f>IF(Y377="","",IFERROR(DATE(VALUE(RIGHT(Y377,4)),VALUE(MID(Y377,4,2)),VALUE(LEFT(Y377,2))),""))</f>
        <v/>
      </c>
      <c r="AP377" s="27">
        <f>IF(AC377="","",IFERROR(DATE(VALUE(RIGHT(AC377,4)),VALUE(MID(AC377,4,2)),VALUE(LEFT(AC377,2))),""))</f>
        <v/>
      </c>
      <c r="AQ377" s="26">
        <f>IF(AI377="","",TRIM(LEFT(AI377,FIND(" ",AI377&amp;" ")-1)))</f>
        <v/>
      </c>
      <c r="AR377" s="27">
        <f>IF(AQ377="","",IFERROR(DATE(VALUE(MID(AQ377,FIND("/",AQ377,FIND("/",AQ377)+1)+1,4)),VALUE(LEFT(AQ377,FIND("/",AQ377)-1)),VALUE(MID(AQ377,FIND("/",AQ377)+1,FIND("/",AQ377,FIND("/",AQ377)+1)-FIND("/",AQ377)-1))),""))</f>
        <v/>
      </c>
      <c r="AS377" s="26">
        <f>IF(G377="","",IF(AND(AG377&lt;&gt;"",AG377&lt;&gt;"Bayi Aracı"),"Evet","Hayır"))</f>
        <v/>
      </c>
      <c r="AT377" s="26">
        <f>IF(G377="","",IF(AND(AS377="Evet",T377="Siparişiniz Teslim Edildi"),"Evet","Hayır"))</f>
        <v/>
      </c>
      <c r="AU377" s="26">
        <f>IF(G377="","",IF(AB377="Siparişinizin Montajı Yapıldı","Evet","Hayır"))</f>
        <v/>
      </c>
      <c r="AV377" s="27">
        <f>IF(G377="","",IF(AT377="Evet",AR377,IF(AU377="Evet",AP377,"")))</f>
        <v/>
      </c>
    </row>
    <row r="378">
      <c r="A378" s="23" t="n"/>
      <c r="B378" s="23" t="n"/>
      <c r="C378" s="23" t="n"/>
      <c r="D378" s="23" t="n"/>
      <c r="E378" s="23" t="n"/>
      <c r="F378" s="23" t="n"/>
      <c r="G378" s="23" t="n"/>
      <c r="H378" s="23" t="n"/>
      <c r="I378" s="23" t="n"/>
      <c r="J378" s="23" t="n"/>
      <c r="K378" s="23" t="n"/>
      <c r="L378" s="23" t="n"/>
      <c r="M378" s="23" t="n"/>
      <c r="N378" s="23" t="n"/>
      <c r="O378" s="23" t="n"/>
      <c r="P378" s="23" t="n"/>
      <c r="Q378" s="23" t="n"/>
      <c r="R378" s="23" t="n"/>
      <c r="S378" s="23" t="n"/>
      <c r="T378" s="23" t="n"/>
      <c r="U378" s="23" t="n"/>
      <c r="V378" s="23" t="n"/>
      <c r="W378" s="23" t="n"/>
      <c r="X378" s="23" t="n"/>
      <c r="Y378" s="23" t="n"/>
      <c r="Z378" s="23" t="n"/>
      <c r="AA378" s="23" t="n"/>
      <c r="AB378" s="23" t="n"/>
      <c r="AC378" s="23" t="n"/>
      <c r="AD378" s="23" t="n"/>
      <c r="AE378" s="23" t="n"/>
      <c r="AF378" s="23" t="n"/>
      <c r="AG378" s="23" t="n"/>
      <c r="AH378" s="23" t="n"/>
      <c r="AI378" s="23" t="n"/>
      <c r="AJ378" s="23" t="n"/>
      <c r="AK378" s="23" t="n"/>
      <c r="AL378" s="23" t="n"/>
      <c r="AM378" s="26">
        <f>IF(G378="","",G378&amp;"|"&amp;P378)</f>
        <v/>
      </c>
      <c r="AN378" s="27">
        <f>IF(I378="","",IFERROR(DATE(VALUE(RIGHT(I378,4)),VALUE(MID(I378,4,2)),VALUE(LEFT(I378,2))),""))</f>
        <v/>
      </c>
      <c r="AO378" s="27">
        <f>IF(Y378="","",IFERROR(DATE(VALUE(RIGHT(Y378,4)),VALUE(MID(Y378,4,2)),VALUE(LEFT(Y378,2))),""))</f>
        <v/>
      </c>
      <c r="AP378" s="27">
        <f>IF(AC378="","",IFERROR(DATE(VALUE(RIGHT(AC378,4)),VALUE(MID(AC378,4,2)),VALUE(LEFT(AC378,2))),""))</f>
        <v/>
      </c>
      <c r="AQ378" s="26">
        <f>IF(AI378="","",TRIM(LEFT(AI378,FIND(" ",AI378&amp;" ")-1)))</f>
        <v/>
      </c>
      <c r="AR378" s="27">
        <f>IF(AQ378="","",IFERROR(DATE(VALUE(MID(AQ378,FIND("/",AQ378,FIND("/",AQ378)+1)+1,4)),VALUE(LEFT(AQ378,FIND("/",AQ378)-1)),VALUE(MID(AQ378,FIND("/",AQ378)+1,FIND("/",AQ378,FIND("/",AQ378)+1)-FIND("/",AQ378)-1))),""))</f>
        <v/>
      </c>
      <c r="AS378" s="26">
        <f>IF(G378="","",IF(AND(AG378&lt;&gt;"",AG378&lt;&gt;"Bayi Aracı"),"Evet","Hayır"))</f>
        <v/>
      </c>
      <c r="AT378" s="26">
        <f>IF(G378="","",IF(AND(AS378="Evet",T378="Siparişiniz Teslim Edildi"),"Evet","Hayır"))</f>
        <v/>
      </c>
      <c r="AU378" s="26">
        <f>IF(G378="","",IF(AB378="Siparişinizin Montajı Yapıldı","Evet","Hayır"))</f>
        <v/>
      </c>
      <c r="AV378" s="27">
        <f>IF(G378="","",IF(AT378="Evet",AR378,IF(AU378="Evet",AP378,"")))</f>
        <v/>
      </c>
    </row>
    <row r="379">
      <c r="A379" s="23" t="n"/>
      <c r="B379" s="23" t="n"/>
      <c r="C379" s="23" t="n"/>
      <c r="D379" s="23" t="n"/>
      <c r="E379" s="23" t="n"/>
      <c r="F379" s="23" t="n"/>
      <c r="G379" s="23" t="n"/>
      <c r="H379" s="23" t="n"/>
      <c r="I379" s="23" t="n"/>
      <c r="J379" s="23" t="n"/>
      <c r="K379" s="23" t="n"/>
      <c r="L379" s="23" t="n"/>
      <c r="M379" s="23" t="n"/>
      <c r="N379" s="23" t="n"/>
      <c r="O379" s="23" t="n"/>
      <c r="P379" s="23" t="n"/>
      <c r="Q379" s="23" t="n"/>
      <c r="R379" s="23" t="n"/>
      <c r="S379" s="23" t="n"/>
      <c r="T379" s="23" t="n"/>
      <c r="U379" s="23" t="n"/>
      <c r="V379" s="23" t="n"/>
      <c r="W379" s="23" t="n"/>
      <c r="X379" s="23" t="n"/>
      <c r="Y379" s="23" t="n"/>
      <c r="Z379" s="23" t="n"/>
      <c r="AA379" s="23" t="n"/>
      <c r="AB379" s="23" t="n"/>
      <c r="AC379" s="23" t="n"/>
      <c r="AD379" s="23" t="n"/>
      <c r="AE379" s="23" t="n"/>
      <c r="AF379" s="23" t="n"/>
      <c r="AG379" s="23" t="n"/>
      <c r="AH379" s="23" t="n"/>
      <c r="AI379" s="23" t="n"/>
      <c r="AJ379" s="23" t="n"/>
      <c r="AK379" s="23" t="n"/>
      <c r="AL379" s="23" t="n"/>
      <c r="AM379" s="26">
        <f>IF(G379="","",G379&amp;"|"&amp;P379)</f>
        <v/>
      </c>
      <c r="AN379" s="27">
        <f>IF(I379="","",IFERROR(DATE(VALUE(RIGHT(I379,4)),VALUE(MID(I379,4,2)),VALUE(LEFT(I379,2))),""))</f>
        <v/>
      </c>
      <c r="AO379" s="27">
        <f>IF(Y379="","",IFERROR(DATE(VALUE(RIGHT(Y379,4)),VALUE(MID(Y379,4,2)),VALUE(LEFT(Y379,2))),""))</f>
        <v/>
      </c>
      <c r="AP379" s="27">
        <f>IF(AC379="","",IFERROR(DATE(VALUE(RIGHT(AC379,4)),VALUE(MID(AC379,4,2)),VALUE(LEFT(AC379,2))),""))</f>
        <v/>
      </c>
      <c r="AQ379" s="26">
        <f>IF(AI379="","",TRIM(LEFT(AI379,FIND(" ",AI379&amp;" ")-1)))</f>
        <v/>
      </c>
      <c r="AR379" s="27">
        <f>IF(AQ379="","",IFERROR(DATE(VALUE(MID(AQ379,FIND("/",AQ379,FIND("/",AQ379)+1)+1,4)),VALUE(LEFT(AQ379,FIND("/",AQ379)-1)),VALUE(MID(AQ379,FIND("/",AQ379)+1,FIND("/",AQ379,FIND("/",AQ379)+1)-FIND("/",AQ379)-1))),""))</f>
        <v/>
      </c>
      <c r="AS379" s="26">
        <f>IF(G379="","",IF(AND(AG379&lt;&gt;"",AG379&lt;&gt;"Bayi Aracı"),"Evet","Hayır"))</f>
        <v/>
      </c>
      <c r="AT379" s="26">
        <f>IF(G379="","",IF(AND(AS379="Evet",T379="Siparişiniz Teslim Edildi"),"Evet","Hayır"))</f>
        <v/>
      </c>
      <c r="AU379" s="26">
        <f>IF(G379="","",IF(AB379="Siparişinizin Montajı Yapıldı","Evet","Hayır"))</f>
        <v/>
      </c>
      <c r="AV379" s="27">
        <f>IF(G379="","",IF(AT379="Evet",AR379,IF(AU379="Evet",AP379,"")))</f>
        <v/>
      </c>
    </row>
    <row r="380">
      <c r="A380" s="23" t="n"/>
      <c r="B380" s="23" t="n"/>
      <c r="C380" s="23" t="n"/>
      <c r="D380" s="23" t="n"/>
      <c r="E380" s="23" t="n"/>
      <c r="F380" s="23" t="n"/>
      <c r="G380" s="23" t="n"/>
      <c r="H380" s="23" t="n"/>
      <c r="I380" s="23" t="n"/>
      <c r="J380" s="23" t="n"/>
      <c r="K380" s="23" t="n"/>
      <c r="L380" s="23" t="n"/>
      <c r="M380" s="23" t="n"/>
      <c r="N380" s="23" t="n"/>
      <c r="O380" s="23" t="n"/>
      <c r="P380" s="23" t="n"/>
      <c r="Q380" s="23" t="n"/>
      <c r="R380" s="23" t="n"/>
      <c r="S380" s="23" t="n"/>
      <c r="T380" s="23" t="n"/>
      <c r="U380" s="23" t="n"/>
      <c r="V380" s="23" t="n"/>
      <c r="W380" s="23" t="n"/>
      <c r="X380" s="23" t="n"/>
      <c r="Y380" s="23" t="n"/>
      <c r="Z380" s="23" t="n"/>
      <c r="AA380" s="23" t="n"/>
      <c r="AB380" s="23" t="n"/>
      <c r="AC380" s="23" t="n"/>
      <c r="AD380" s="23" t="n"/>
      <c r="AE380" s="23" t="n"/>
      <c r="AF380" s="23" t="n"/>
      <c r="AG380" s="23" t="n"/>
      <c r="AH380" s="23" t="n"/>
      <c r="AI380" s="23" t="n"/>
      <c r="AJ380" s="23" t="n"/>
      <c r="AK380" s="23" t="n"/>
      <c r="AL380" s="23" t="n"/>
      <c r="AM380" s="26">
        <f>IF(G380="","",G380&amp;"|"&amp;P380)</f>
        <v/>
      </c>
      <c r="AN380" s="27">
        <f>IF(I380="","",IFERROR(DATE(VALUE(RIGHT(I380,4)),VALUE(MID(I380,4,2)),VALUE(LEFT(I380,2))),""))</f>
        <v/>
      </c>
      <c r="AO380" s="27">
        <f>IF(Y380="","",IFERROR(DATE(VALUE(RIGHT(Y380,4)),VALUE(MID(Y380,4,2)),VALUE(LEFT(Y380,2))),""))</f>
        <v/>
      </c>
      <c r="AP380" s="27">
        <f>IF(AC380="","",IFERROR(DATE(VALUE(RIGHT(AC380,4)),VALUE(MID(AC380,4,2)),VALUE(LEFT(AC380,2))),""))</f>
        <v/>
      </c>
      <c r="AQ380" s="26">
        <f>IF(AI380="","",TRIM(LEFT(AI380,FIND(" ",AI380&amp;" ")-1)))</f>
        <v/>
      </c>
      <c r="AR380" s="27">
        <f>IF(AQ380="","",IFERROR(DATE(VALUE(MID(AQ380,FIND("/",AQ380,FIND("/",AQ380)+1)+1,4)),VALUE(LEFT(AQ380,FIND("/",AQ380)-1)),VALUE(MID(AQ380,FIND("/",AQ380)+1,FIND("/",AQ380,FIND("/",AQ380)+1)-FIND("/",AQ380)-1))),""))</f>
        <v/>
      </c>
      <c r="AS380" s="26">
        <f>IF(G380="","",IF(AND(AG380&lt;&gt;"",AG380&lt;&gt;"Bayi Aracı"),"Evet","Hayır"))</f>
        <v/>
      </c>
      <c r="AT380" s="26">
        <f>IF(G380="","",IF(AND(AS380="Evet",T380="Siparişiniz Teslim Edildi"),"Evet","Hayır"))</f>
        <v/>
      </c>
      <c r="AU380" s="26">
        <f>IF(G380="","",IF(AB380="Siparişinizin Montajı Yapıldı","Evet","Hayır"))</f>
        <v/>
      </c>
      <c r="AV380" s="27">
        <f>IF(G380="","",IF(AT380="Evet",AR380,IF(AU380="Evet",AP380,"")))</f>
        <v/>
      </c>
    </row>
    <row r="381">
      <c r="A381" s="23" t="n"/>
      <c r="B381" s="23" t="n"/>
      <c r="C381" s="23" t="n"/>
      <c r="D381" s="23" t="n"/>
      <c r="E381" s="23" t="n"/>
      <c r="F381" s="23" t="n"/>
      <c r="G381" s="23" t="n"/>
      <c r="H381" s="23" t="n"/>
      <c r="I381" s="23" t="n"/>
      <c r="J381" s="23" t="n"/>
      <c r="K381" s="23" t="n"/>
      <c r="L381" s="23" t="n"/>
      <c r="M381" s="23" t="n"/>
      <c r="N381" s="23" t="n"/>
      <c r="O381" s="23" t="n"/>
      <c r="P381" s="23" t="n"/>
      <c r="Q381" s="23" t="n"/>
      <c r="R381" s="23" t="n"/>
      <c r="S381" s="23" t="n"/>
      <c r="T381" s="23" t="n"/>
      <c r="U381" s="23" t="n"/>
      <c r="V381" s="23" t="n"/>
      <c r="W381" s="23" t="n"/>
      <c r="X381" s="23" t="n"/>
      <c r="Y381" s="23" t="n"/>
      <c r="Z381" s="23" t="n"/>
      <c r="AA381" s="23" t="n"/>
      <c r="AB381" s="23" t="n"/>
      <c r="AC381" s="23" t="n"/>
      <c r="AD381" s="23" t="n"/>
      <c r="AE381" s="23" t="n"/>
      <c r="AF381" s="23" t="n"/>
      <c r="AG381" s="23" t="n"/>
      <c r="AH381" s="23" t="n"/>
      <c r="AI381" s="23" t="n"/>
      <c r="AJ381" s="23" t="n"/>
      <c r="AK381" s="23" t="n"/>
      <c r="AL381" s="23" t="n"/>
      <c r="AM381" s="26">
        <f>IF(G381="","",G381&amp;"|"&amp;P381)</f>
        <v/>
      </c>
      <c r="AN381" s="27">
        <f>IF(I381="","",IFERROR(DATE(VALUE(RIGHT(I381,4)),VALUE(MID(I381,4,2)),VALUE(LEFT(I381,2))),""))</f>
        <v/>
      </c>
      <c r="AO381" s="27">
        <f>IF(Y381="","",IFERROR(DATE(VALUE(RIGHT(Y381,4)),VALUE(MID(Y381,4,2)),VALUE(LEFT(Y381,2))),""))</f>
        <v/>
      </c>
      <c r="AP381" s="27">
        <f>IF(AC381="","",IFERROR(DATE(VALUE(RIGHT(AC381,4)),VALUE(MID(AC381,4,2)),VALUE(LEFT(AC381,2))),""))</f>
        <v/>
      </c>
      <c r="AQ381" s="26">
        <f>IF(AI381="","",TRIM(LEFT(AI381,FIND(" ",AI381&amp;" ")-1)))</f>
        <v/>
      </c>
      <c r="AR381" s="27">
        <f>IF(AQ381="","",IFERROR(DATE(VALUE(MID(AQ381,FIND("/",AQ381,FIND("/",AQ381)+1)+1,4)),VALUE(LEFT(AQ381,FIND("/",AQ381)-1)),VALUE(MID(AQ381,FIND("/",AQ381)+1,FIND("/",AQ381,FIND("/",AQ381)+1)-FIND("/",AQ381)-1))),""))</f>
        <v/>
      </c>
      <c r="AS381" s="26">
        <f>IF(G381="","",IF(AND(AG381&lt;&gt;"",AG381&lt;&gt;"Bayi Aracı"),"Evet","Hayır"))</f>
        <v/>
      </c>
      <c r="AT381" s="26">
        <f>IF(G381="","",IF(AND(AS381="Evet",T381="Siparişiniz Teslim Edildi"),"Evet","Hayır"))</f>
        <v/>
      </c>
      <c r="AU381" s="26">
        <f>IF(G381="","",IF(AB381="Siparişinizin Montajı Yapıldı","Evet","Hayır"))</f>
        <v/>
      </c>
      <c r="AV381" s="27">
        <f>IF(G381="","",IF(AT381="Evet",AR381,IF(AU381="Evet",AP381,"")))</f>
        <v/>
      </c>
    </row>
    <row r="382">
      <c r="A382" s="23" t="n"/>
      <c r="B382" s="23" t="n"/>
      <c r="C382" s="23" t="n"/>
      <c r="D382" s="23" t="n"/>
      <c r="E382" s="23" t="n"/>
      <c r="F382" s="23" t="n"/>
      <c r="G382" s="23" t="n"/>
      <c r="H382" s="23" t="n"/>
      <c r="I382" s="23" t="n"/>
      <c r="J382" s="23" t="n"/>
      <c r="K382" s="23" t="n"/>
      <c r="L382" s="23" t="n"/>
      <c r="M382" s="23" t="n"/>
      <c r="N382" s="23" t="n"/>
      <c r="O382" s="23" t="n"/>
      <c r="P382" s="23" t="n"/>
      <c r="Q382" s="23" t="n"/>
      <c r="R382" s="23" t="n"/>
      <c r="S382" s="23" t="n"/>
      <c r="T382" s="23" t="n"/>
      <c r="U382" s="23" t="n"/>
      <c r="V382" s="23" t="n"/>
      <c r="W382" s="23" t="n"/>
      <c r="X382" s="23" t="n"/>
      <c r="Y382" s="23" t="n"/>
      <c r="Z382" s="23" t="n"/>
      <c r="AA382" s="23" t="n"/>
      <c r="AB382" s="23" t="n"/>
      <c r="AC382" s="23" t="n"/>
      <c r="AD382" s="23" t="n"/>
      <c r="AE382" s="23" t="n"/>
      <c r="AF382" s="23" t="n"/>
      <c r="AG382" s="23" t="n"/>
      <c r="AH382" s="23" t="n"/>
      <c r="AI382" s="23" t="n"/>
      <c r="AJ382" s="23" t="n"/>
      <c r="AK382" s="23" t="n"/>
      <c r="AL382" s="23" t="n"/>
      <c r="AM382" s="26">
        <f>IF(G382="","",G382&amp;"|"&amp;P382)</f>
        <v/>
      </c>
      <c r="AN382" s="27">
        <f>IF(I382="","",IFERROR(DATE(VALUE(RIGHT(I382,4)),VALUE(MID(I382,4,2)),VALUE(LEFT(I382,2))),""))</f>
        <v/>
      </c>
      <c r="AO382" s="27">
        <f>IF(Y382="","",IFERROR(DATE(VALUE(RIGHT(Y382,4)),VALUE(MID(Y382,4,2)),VALUE(LEFT(Y382,2))),""))</f>
        <v/>
      </c>
      <c r="AP382" s="27">
        <f>IF(AC382="","",IFERROR(DATE(VALUE(RIGHT(AC382,4)),VALUE(MID(AC382,4,2)),VALUE(LEFT(AC382,2))),""))</f>
        <v/>
      </c>
      <c r="AQ382" s="26">
        <f>IF(AI382="","",TRIM(LEFT(AI382,FIND(" ",AI382&amp;" ")-1)))</f>
        <v/>
      </c>
      <c r="AR382" s="27">
        <f>IF(AQ382="","",IFERROR(DATE(VALUE(MID(AQ382,FIND("/",AQ382,FIND("/",AQ382)+1)+1,4)),VALUE(LEFT(AQ382,FIND("/",AQ382)-1)),VALUE(MID(AQ382,FIND("/",AQ382)+1,FIND("/",AQ382,FIND("/",AQ382)+1)-FIND("/",AQ382)-1))),""))</f>
        <v/>
      </c>
      <c r="AS382" s="26">
        <f>IF(G382="","",IF(AND(AG382&lt;&gt;"",AG382&lt;&gt;"Bayi Aracı"),"Evet","Hayır"))</f>
        <v/>
      </c>
      <c r="AT382" s="26">
        <f>IF(G382="","",IF(AND(AS382="Evet",T382="Siparişiniz Teslim Edildi"),"Evet","Hayır"))</f>
        <v/>
      </c>
      <c r="AU382" s="26">
        <f>IF(G382="","",IF(AB382="Siparişinizin Montajı Yapıldı","Evet","Hayır"))</f>
        <v/>
      </c>
      <c r="AV382" s="27">
        <f>IF(G382="","",IF(AT382="Evet",AR382,IF(AU382="Evet",AP382,"")))</f>
        <v/>
      </c>
    </row>
    <row r="383">
      <c r="A383" s="23" t="n"/>
      <c r="B383" s="23" t="n"/>
      <c r="C383" s="23" t="n"/>
      <c r="D383" s="23" t="n"/>
      <c r="E383" s="23" t="n"/>
      <c r="F383" s="23" t="n"/>
      <c r="G383" s="23" t="n"/>
      <c r="H383" s="23" t="n"/>
      <c r="I383" s="23" t="n"/>
      <c r="J383" s="23" t="n"/>
      <c r="K383" s="23" t="n"/>
      <c r="L383" s="23" t="n"/>
      <c r="M383" s="23" t="n"/>
      <c r="N383" s="23" t="n"/>
      <c r="O383" s="23" t="n"/>
      <c r="P383" s="23" t="n"/>
      <c r="Q383" s="23" t="n"/>
      <c r="R383" s="23" t="n"/>
      <c r="S383" s="23" t="n"/>
      <c r="T383" s="23" t="n"/>
      <c r="U383" s="23" t="n"/>
      <c r="V383" s="23" t="n"/>
      <c r="W383" s="23" t="n"/>
      <c r="X383" s="23" t="n"/>
      <c r="Y383" s="23" t="n"/>
      <c r="Z383" s="23" t="n"/>
      <c r="AA383" s="23" t="n"/>
      <c r="AB383" s="23" t="n"/>
      <c r="AC383" s="23" t="n"/>
      <c r="AD383" s="23" t="n"/>
      <c r="AE383" s="23" t="n"/>
      <c r="AF383" s="23" t="n"/>
      <c r="AG383" s="23" t="n"/>
      <c r="AH383" s="23" t="n"/>
      <c r="AI383" s="23" t="n"/>
      <c r="AJ383" s="23" t="n"/>
      <c r="AK383" s="23" t="n"/>
      <c r="AL383" s="23" t="n"/>
      <c r="AM383" s="26">
        <f>IF(G383="","",G383&amp;"|"&amp;P383)</f>
        <v/>
      </c>
      <c r="AN383" s="27">
        <f>IF(I383="","",IFERROR(DATE(VALUE(RIGHT(I383,4)),VALUE(MID(I383,4,2)),VALUE(LEFT(I383,2))),""))</f>
        <v/>
      </c>
      <c r="AO383" s="27">
        <f>IF(Y383="","",IFERROR(DATE(VALUE(RIGHT(Y383,4)),VALUE(MID(Y383,4,2)),VALUE(LEFT(Y383,2))),""))</f>
        <v/>
      </c>
      <c r="AP383" s="27">
        <f>IF(AC383="","",IFERROR(DATE(VALUE(RIGHT(AC383,4)),VALUE(MID(AC383,4,2)),VALUE(LEFT(AC383,2))),""))</f>
        <v/>
      </c>
      <c r="AQ383" s="26">
        <f>IF(AI383="","",TRIM(LEFT(AI383,FIND(" ",AI383&amp;" ")-1)))</f>
        <v/>
      </c>
      <c r="AR383" s="27">
        <f>IF(AQ383="","",IFERROR(DATE(VALUE(MID(AQ383,FIND("/",AQ383,FIND("/",AQ383)+1)+1,4)),VALUE(LEFT(AQ383,FIND("/",AQ383)-1)),VALUE(MID(AQ383,FIND("/",AQ383)+1,FIND("/",AQ383,FIND("/",AQ383)+1)-FIND("/",AQ383)-1))),""))</f>
        <v/>
      </c>
      <c r="AS383" s="26">
        <f>IF(G383="","",IF(AND(AG383&lt;&gt;"",AG383&lt;&gt;"Bayi Aracı"),"Evet","Hayır"))</f>
        <v/>
      </c>
      <c r="AT383" s="26">
        <f>IF(G383="","",IF(AND(AS383="Evet",T383="Siparişiniz Teslim Edildi"),"Evet","Hayır"))</f>
        <v/>
      </c>
      <c r="AU383" s="26">
        <f>IF(G383="","",IF(AB383="Siparişinizin Montajı Yapıldı","Evet","Hayır"))</f>
        <v/>
      </c>
      <c r="AV383" s="27">
        <f>IF(G383="","",IF(AT383="Evet",AR383,IF(AU383="Evet",AP383,"")))</f>
        <v/>
      </c>
    </row>
    <row r="384">
      <c r="A384" s="23" t="n"/>
      <c r="B384" s="23" t="n"/>
      <c r="C384" s="23" t="n"/>
      <c r="D384" s="23" t="n"/>
      <c r="E384" s="23" t="n"/>
      <c r="F384" s="23" t="n"/>
      <c r="G384" s="23" t="n"/>
      <c r="H384" s="23" t="n"/>
      <c r="I384" s="23" t="n"/>
      <c r="J384" s="23" t="n"/>
      <c r="K384" s="23" t="n"/>
      <c r="L384" s="23" t="n"/>
      <c r="M384" s="23" t="n"/>
      <c r="N384" s="23" t="n"/>
      <c r="O384" s="23" t="n"/>
      <c r="P384" s="23" t="n"/>
      <c r="Q384" s="23" t="n"/>
      <c r="R384" s="23" t="n"/>
      <c r="S384" s="23" t="n"/>
      <c r="T384" s="23" t="n"/>
      <c r="U384" s="23" t="n"/>
      <c r="V384" s="23" t="n"/>
      <c r="W384" s="23" t="n"/>
      <c r="X384" s="23" t="n"/>
      <c r="Y384" s="23" t="n"/>
      <c r="Z384" s="23" t="n"/>
      <c r="AA384" s="23" t="n"/>
      <c r="AB384" s="23" t="n"/>
      <c r="AC384" s="23" t="n"/>
      <c r="AD384" s="23" t="n"/>
      <c r="AE384" s="23" t="n"/>
      <c r="AF384" s="23" t="n"/>
      <c r="AG384" s="23" t="n"/>
      <c r="AH384" s="23" t="n"/>
      <c r="AI384" s="23" t="n"/>
      <c r="AJ384" s="23" t="n"/>
      <c r="AK384" s="23" t="n"/>
      <c r="AL384" s="23" t="n"/>
      <c r="AM384" s="26">
        <f>IF(G384="","",G384&amp;"|"&amp;P384)</f>
        <v/>
      </c>
      <c r="AN384" s="27">
        <f>IF(I384="","",IFERROR(DATE(VALUE(RIGHT(I384,4)),VALUE(MID(I384,4,2)),VALUE(LEFT(I384,2))),""))</f>
        <v/>
      </c>
      <c r="AO384" s="27">
        <f>IF(Y384="","",IFERROR(DATE(VALUE(RIGHT(Y384,4)),VALUE(MID(Y384,4,2)),VALUE(LEFT(Y384,2))),""))</f>
        <v/>
      </c>
      <c r="AP384" s="27">
        <f>IF(AC384="","",IFERROR(DATE(VALUE(RIGHT(AC384,4)),VALUE(MID(AC384,4,2)),VALUE(LEFT(AC384,2))),""))</f>
        <v/>
      </c>
      <c r="AQ384" s="26">
        <f>IF(AI384="","",TRIM(LEFT(AI384,FIND(" ",AI384&amp;" ")-1)))</f>
        <v/>
      </c>
      <c r="AR384" s="27">
        <f>IF(AQ384="","",IFERROR(DATE(VALUE(MID(AQ384,FIND("/",AQ384,FIND("/",AQ384)+1)+1,4)),VALUE(LEFT(AQ384,FIND("/",AQ384)-1)),VALUE(MID(AQ384,FIND("/",AQ384)+1,FIND("/",AQ384,FIND("/",AQ384)+1)-FIND("/",AQ384)-1))),""))</f>
        <v/>
      </c>
      <c r="AS384" s="26">
        <f>IF(G384="","",IF(AND(AG384&lt;&gt;"",AG384&lt;&gt;"Bayi Aracı"),"Evet","Hayır"))</f>
        <v/>
      </c>
      <c r="AT384" s="26">
        <f>IF(G384="","",IF(AND(AS384="Evet",T384="Siparişiniz Teslim Edildi"),"Evet","Hayır"))</f>
        <v/>
      </c>
      <c r="AU384" s="26">
        <f>IF(G384="","",IF(AB384="Siparişinizin Montajı Yapıldı","Evet","Hayır"))</f>
        <v/>
      </c>
      <c r="AV384" s="27">
        <f>IF(G384="","",IF(AT384="Evet",AR384,IF(AU384="Evet",AP384,"")))</f>
        <v/>
      </c>
    </row>
    <row r="385">
      <c r="A385" s="23" t="n"/>
      <c r="B385" s="23" t="n"/>
      <c r="C385" s="23" t="n"/>
      <c r="D385" s="23" t="n"/>
      <c r="E385" s="23" t="n"/>
      <c r="F385" s="23" t="n"/>
      <c r="G385" s="23" t="n"/>
      <c r="H385" s="23" t="n"/>
      <c r="I385" s="23" t="n"/>
      <c r="J385" s="23" t="n"/>
      <c r="K385" s="23" t="n"/>
      <c r="L385" s="23" t="n"/>
      <c r="M385" s="23" t="n"/>
      <c r="N385" s="23" t="n"/>
      <c r="O385" s="23" t="n"/>
      <c r="P385" s="23" t="n"/>
      <c r="Q385" s="23" t="n"/>
      <c r="R385" s="23" t="n"/>
      <c r="S385" s="23" t="n"/>
      <c r="T385" s="23" t="n"/>
      <c r="U385" s="23" t="n"/>
      <c r="V385" s="23" t="n"/>
      <c r="W385" s="23" t="n"/>
      <c r="X385" s="23" t="n"/>
      <c r="Y385" s="23" t="n"/>
      <c r="Z385" s="23" t="n"/>
      <c r="AA385" s="23" t="n"/>
      <c r="AB385" s="23" t="n"/>
      <c r="AC385" s="23" t="n"/>
      <c r="AD385" s="23" t="n"/>
      <c r="AE385" s="23" t="n"/>
      <c r="AF385" s="23" t="n"/>
      <c r="AG385" s="23" t="n"/>
      <c r="AH385" s="23" t="n"/>
      <c r="AI385" s="23" t="n"/>
      <c r="AJ385" s="23" t="n"/>
      <c r="AK385" s="23" t="n"/>
      <c r="AL385" s="23" t="n"/>
      <c r="AM385" s="26">
        <f>IF(G385="","",G385&amp;"|"&amp;P385)</f>
        <v/>
      </c>
      <c r="AN385" s="27">
        <f>IF(I385="","",IFERROR(DATE(VALUE(RIGHT(I385,4)),VALUE(MID(I385,4,2)),VALUE(LEFT(I385,2))),""))</f>
        <v/>
      </c>
      <c r="AO385" s="27">
        <f>IF(Y385="","",IFERROR(DATE(VALUE(RIGHT(Y385,4)),VALUE(MID(Y385,4,2)),VALUE(LEFT(Y385,2))),""))</f>
        <v/>
      </c>
      <c r="AP385" s="27">
        <f>IF(AC385="","",IFERROR(DATE(VALUE(RIGHT(AC385,4)),VALUE(MID(AC385,4,2)),VALUE(LEFT(AC385,2))),""))</f>
        <v/>
      </c>
      <c r="AQ385" s="26">
        <f>IF(AI385="","",TRIM(LEFT(AI385,FIND(" ",AI385&amp;" ")-1)))</f>
        <v/>
      </c>
      <c r="AR385" s="27">
        <f>IF(AQ385="","",IFERROR(DATE(VALUE(MID(AQ385,FIND("/",AQ385,FIND("/",AQ385)+1)+1,4)),VALUE(LEFT(AQ385,FIND("/",AQ385)-1)),VALUE(MID(AQ385,FIND("/",AQ385)+1,FIND("/",AQ385,FIND("/",AQ385)+1)-FIND("/",AQ385)-1))),""))</f>
        <v/>
      </c>
      <c r="AS385" s="26">
        <f>IF(G385="","",IF(AND(AG385&lt;&gt;"",AG385&lt;&gt;"Bayi Aracı"),"Evet","Hayır"))</f>
        <v/>
      </c>
      <c r="AT385" s="26">
        <f>IF(G385="","",IF(AND(AS385="Evet",T385="Siparişiniz Teslim Edildi"),"Evet","Hayır"))</f>
        <v/>
      </c>
      <c r="AU385" s="26">
        <f>IF(G385="","",IF(AB385="Siparişinizin Montajı Yapıldı","Evet","Hayır"))</f>
        <v/>
      </c>
      <c r="AV385" s="27">
        <f>IF(G385="","",IF(AT385="Evet",AR385,IF(AU385="Evet",AP385,"")))</f>
        <v/>
      </c>
    </row>
    <row r="386">
      <c r="A386" s="23" t="n"/>
      <c r="B386" s="23" t="n"/>
      <c r="C386" s="23" t="n"/>
      <c r="D386" s="23" t="n"/>
      <c r="E386" s="23" t="n"/>
      <c r="F386" s="23" t="n"/>
      <c r="G386" s="23" t="n"/>
      <c r="H386" s="23" t="n"/>
      <c r="I386" s="23" t="n"/>
      <c r="J386" s="23" t="n"/>
      <c r="K386" s="23" t="n"/>
      <c r="L386" s="23" t="n"/>
      <c r="M386" s="23" t="n"/>
      <c r="N386" s="23" t="n"/>
      <c r="O386" s="23" t="n"/>
      <c r="P386" s="23" t="n"/>
      <c r="Q386" s="23" t="n"/>
      <c r="R386" s="23" t="n"/>
      <c r="S386" s="23" t="n"/>
      <c r="T386" s="23" t="n"/>
      <c r="U386" s="23" t="n"/>
      <c r="V386" s="23" t="n"/>
      <c r="W386" s="23" t="n"/>
      <c r="X386" s="23" t="n"/>
      <c r="Y386" s="23" t="n"/>
      <c r="Z386" s="23" t="n"/>
      <c r="AA386" s="23" t="n"/>
      <c r="AB386" s="23" t="n"/>
      <c r="AC386" s="23" t="n"/>
      <c r="AD386" s="23" t="n"/>
      <c r="AE386" s="23" t="n"/>
      <c r="AF386" s="23" t="n"/>
      <c r="AG386" s="23" t="n"/>
      <c r="AH386" s="23" t="n"/>
      <c r="AI386" s="23" t="n"/>
      <c r="AJ386" s="23" t="n"/>
      <c r="AK386" s="23" t="n"/>
      <c r="AL386" s="23" t="n"/>
      <c r="AM386" s="26">
        <f>IF(G386="","",G386&amp;"|"&amp;P386)</f>
        <v/>
      </c>
      <c r="AN386" s="27">
        <f>IF(I386="","",IFERROR(DATE(VALUE(RIGHT(I386,4)),VALUE(MID(I386,4,2)),VALUE(LEFT(I386,2))),""))</f>
        <v/>
      </c>
      <c r="AO386" s="27">
        <f>IF(Y386="","",IFERROR(DATE(VALUE(RIGHT(Y386,4)),VALUE(MID(Y386,4,2)),VALUE(LEFT(Y386,2))),""))</f>
        <v/>
      </c>
      <c r="AP386" s="27">
        <f>IF(AC386="","",IFERROR(DATE(VALUE(RIGHT(AC386,4)),VALUE(MID(AC386,4,2)),VALUE(LEFT(AC386,2))),""))</f>
        <v/>
      </c>
      <c r="AQ386" s="26">
        <f>IF(AI386="","",TRIM(LEFT(AI386,FIND(" ",AI386&amp;" ")-1)))</f>
        <v/>
      </c>
      <c r="AR386" s="27">
        <f>IF(AQ386="","",IFERROR(DATE(VALUE(MID(AQ386,FIND("/",AQ386,FIND("/",AQ386)+1)+1,4)),VALUE(LEFT(AQ386,FIND("/",AQ386)-1)),VALUE(MID(AQ386,FIND("/",AQ386)+1,FIND("/",AQ386,FIND("/",AQ386)+1)-FIND("/",AQ386)-1))),""))</f>
        <v/>
      </c>
      <c r="AS386" s="26">
        <f>IF(G386="","",IF(AND(AG386&lt;&gt;"",AG386&lt;&gt;"Bayi Aracı"),"Evet","Hayır"))</f>
        <v/>
      </c>
      <c r="AT386" s="26">
        <f>IF(G386="","",IF(AND(AS386="Evet",T386="Siparişiniz Teslim Edildi"),"Evet","Hayır"))</f>
        <v/>
      </c>
      <c r="AU386" s="26">
        <f>IF(G386="","",IF(AB386="Siparişinizin Montajı Yapıldı","Evet","Hayır"))</f>
        <v/>
      </c>
      <c r="AV386" s="27">
        <f>IF(G386="","",IF(AT386="Evet",AR386,IF(AU386="Evet",AP386,"")))</f>
        <v/>
      </c>
    </row>
    <row r="387">
      <c r="A387" s="23" t="n"/>
      <c r="B387" s="23" t="n"/>
      <c r="C387" s="23" t="n"/>
      <c r="D387" s="23" t="n"/>
      <c r="E387" s="23" t="n"/>
      <c r="F387" s="23" t="n"/>
      <c r="G387" s="23" t="n"/>
      <c r="H387" s="23" t="n"/>
      <c r="I387" s="23" t="n"/>
      <c r="J387" s="23" t="n"/>
      <c r="K387" s="23" t="n"/>
      <c r="L387" s="23" t="n"/>
      <c r="M387" s="23" t="n"/>
      <c r="N387" s="23" t="n"/>
      <c r="O387" s="23" t="n"/>
      <c r="P387" s="23" t="n"/>
      <c r="Q387" s="23" t="n"/>
      <c r="R387" s="23" t="n"/>
      <c r="S387" s="23" t="n"/>
      <c r="T387" s="23" t="n"/>
      <c r="U387" s="23" t="n"/>
      <c r="V387" s="23" t="n"/>
      <c r="W387" s="23" t="n"/>
      <c r="X387" s="23" t="n"/>
      <c r="Y387" s="23" t="n"/>
      <c r="Z387" s="23" t="n"/>
      <c r="AA387" s="23" t="n"/>
      <c r="AB387" s="23" t="n"/>
      <c r="AC387" s="23" t="n"/>
      <c r="AD387" s="23" t="n"/>
      <c r="AE387" s="23" t="n"/>
      <c r="AF387" s="23" t="n"/>
      <c r="AG387" s="23" t="n"/>
      <c r="AH387" s="23" t="n"/>
      <c r="AI387" s="23" t="n"/>
      <c r="AJ387" s="23" t="n"/>
      <c r="AK387" s="23" t="n"/>
      <c r="AL387" s="23" t="n"/>
      <c r="AM387" s="26">
        <f>IF(G387="","",G387&amp;"|"&amp;P387)</f>
        <v/>
      </c>
      <c r="AN387" s="27">
        <f>IF(I387="","",IFERROR(DATE(VALUE(RIGHT(I387,4)),VALUE(MID(I387,4,2)),VALUE(LEFT(I387,2))),""))</f>
        <v/>
      </c>
      <c r="AO387" s="27">
        <f>IF(Y387="","",IFERROR(DATE(VALUE(RIGHT(Y387,4)),VALUE(MID(Y387,4,2)),VALUE(LEFT(Y387,2))),""))</f>
        <v/>
      </c>
      <c r="AP387" s="27">
        <f>IF(AC387="","",IFERROR(DATE(VALUE(RIGHT(AC387,4)),VALUE(MID(AC387,4,2)),VALUE(LEFT(AC387,2))),""))</f>
        <v/>
      </c>
      <c r="AQ387" s="26">
        <f>IF(AI387="","",TRIM(LEFT(AI387,FIND(" ",AI387&amp;" ")-1)))</f>
        <v/>
      </c>
      <c r="AR387" s="27">
        <f>IF(AQ387="","",IFERROR(DATE(VALUE(MID(AQ387,FIND("/",AQ387,FIND("/",AQ387)+1)+1,4)),VALUE(LEFT(AQ387,FIND("/",AQ387)-1)),VALUE(MID(AQ387,FIND("/",AQ387)+1,FIND("/",AQ387,FIND("/",AQ387)+1)-FIND("/",AQ387)-1))),""))</f>
        <v/>
      </c>
      <c r="AS387" s="26">
        <f>IF(G387="","",IF(AND(AG387&lt;&gt;"",AG387&lt;&gt;"Bayi Aracı"),"Evet","Hayır"))</f>
        <v/>
      </c>
      <c r="AT387" s="26">
        <f>IF(G387="","",IF(AND(AS387="Evet",T387="Siparişiniz Teslim Edildi"),"Evet","Hayır"))</f>
        <v/>
      </c>
      <c r="AU387" s="26">
        <f>IF(G387="","",IF(AB387="Siparişinizin Montajı Yapıldı","Evet","Hayır"))</f>
        <v/>
      </c>
      <c r="AV387" s="27">
        <f>IF(G387="","",IF(AT387="Evet",AR387,IF(AU387="Evet",AP387,"")))</f>
        <v/>
      </c>
    </row>
    <row r="388">
      <c r="A388" s="23" t="n"/>
      <c r="B388" s="23" t="n"/>
      <c r="C388" s="23" t="n"/>
      <c r="D388" s="23" t="n"/>
      <c r="E388" s="23" t="n"/>
      <c r="F388" s="23" t="n"/>
      <c r="G388" s="23" t="n"/>
      <c r="H388" s="23" t="n"/>
      <c r="I388" s="23" t="n"/>
      <c r="J388" s="23" t="n"/>
      <c r="K388" s="23" t="n"/>
      <c r="L388" s="23" t="n"/>
      <c r="M388" s="23" t="n"/>
      <c r="N388" s="23" t="n"/>
      <c r="O388" s="23" t="n"/>
      <c r="P388" s="23" t="n"/>
      <c r="Q388" s="23" t="n"/>
      <c r="R388" s="23" t="n"/>
      <c r="S388" s="23" t="n"/>
      <c r="T388" s="23" t="n"/>
      <c r="U388" s="23" t="n"/>
      <c r="V388" s="23" t="n"/>
      <c r="W388" s="23" t="n"/>
      <c r="X388" s="23" t="n"/>
      <c r="Y388" s="23" t="n"/>
      <c r="Z388" s="23" t="n"/>
      <c r="AA388" s="23" t="n"/>
      <c r="AB388" s="23" t="n"/>
      <c r="AC388" s="23" t="n"/>
      <c r="AD388" s="23" t="n"/>
      <c r="AE388" s="23" t="n"/>
      <c r="AF388" s="23" t="n"/>
      <c r="AG388" s="23" t="n"/>
      <c r="AH388" s="23" t="n"/>
      <c r="AI388" s="23" t="n"/>
      <c r="AJ388" s="23" t="n"/>
      <c r="AK388" s="23" t="n"/>
      <c r="AL388" s="23" t="n"/>
      <c r="AM388" s="26">
        <f>IF(G388="","",G388&amp;"|"&amp;P388)</f>
        <v/>
      </c>
      <c r="AN388" s="27">
        <f>IF(I388="","",IFERROR(DATE(VALUE(RIGHT(I388,4)),VALUE(MID(I388,4,2)),VALUE(LEFT(I388,2))),""))</f>
        <v/>
      </c>
      <c r="AO388" s="27">
        <f>IF(Y388="","",IFERROR(DATE(VALUE(RIGHT(Y388,4)),VALUE(MID(Y388,4,2)),VALUE(LEFT(Y388,2))),""))</f>
        <v/>
      </c>
      <c r="AP388" s="27">
        <f>IF(AC388="","",IFERROR(DATE(VALUE(RIGHT(AC388,4)),VALUE(MID(AC388,4,2)),VALUE(LEFT(AC388,2))),""))</f>
        <v/>
      </c>
      <c r="AQ388" s="26">
        <f>IF(AI388="","",TRIM(LEFT(AI388,FIND(" ",AI388&amp;" ")-1)))</f>
        <v/>
      </c>
      <c r="AR388" s="27">
        <f>IF(AQ388="","",IFERROR(DATE(VALUE(MID(AQ388,FIND("/",AQ388,FIND("/",AQ388)+1)+1,4)),VALUE(LEFT(AQ388,FIND("/",AQ388)-1)),VALUE(MID(AQ388,FIND("/",AQ388)+1,FIND("/",AQ388,FIND("/",AQ388)+1)-FIND("/",AQ388)-1))),""))</f>
        <v/>
      </c>
      <c r="AS388" s="26">
        <f>IF(G388="","",IF(AND(AG388&lt;&gt;"",AG388&lt;&gt;"Bayi Aracı"),"Evet","Hayır"))</f>
        <v/>
      </c>
      <c r="AT388" s="26">
        <f>IF(G388="","",IF(AND(AS388="Evet",T388="Siparişiniz Teslim Edildi"),"Evet","Hayır"))</f>
        <v/>
      </c>
      <c r="AU388" s="26">
        <f>IF(G388="","",IF(AB388="Siparişinizin Montajı Yapıldı","Evet","Hayır"))</f>
        <v/>
      </c>
      <c r="AV388" s="27">
        <f>IF(G388="","",IF(AT388="Evet",AR388,IF(AU388="Evet",AP388,"")))</f>
        <v/>
      </c>
    </row>
    <row r="389">
      <c r="A389" s="23" t="n"/>
      <c r="B389" s="23" t="n"/>
      <c r="C389" s="23" t="n"/>
      <c r="D389" s="23" t="n"/>
      <c r="E389" s="23" t="n"/>
      <c r="F389" s="23" t="n"/>
      <c r="G389" s="23" t="n"/>
      <c r="H389" s="23" t="n"/>
      <c r="I389" s="23" t="n"/>
      <c r="J389" s="23" t="n"/>
      <c r="K389" s="23" t="n"/>
      <c r="L389" s="23" t="n"/>
      <c r="M389" s="23" t="n"/>
      <c r="N389" s="23" t="n"/>
      <c r="O389" s="23" t="n"/>
      <c r="P389" s="23" t="n"/>
      <c r="Q389" s="23" t="n"/>
      <c r="R389" s="23" t="n"/>
      <c r="S389" s="23" t="n"/>
      <c r="T389" s="23" t="n"/>
      <c r="U389" s="23" t="n"/>
      <c r="V389" s="23" t="n"/>
      <c r="W389" s="23" t="n"/>
      <c r="X389" s="23" t="n"/>
      <c r="Y389" s="23" t="n"/>
      <c r="Z389" s="23" t="n"/>
      <c r="AA389" s="23" t="n"/>
      <c r="AB389" s="23" t="n"/>
      <c r="AC389" s="23" t="n"/>
      <c r="AD389" s="23" t="n"/>
      <c r="AE389" s="23" t="n"/>
      <c r="AF389" s="23" t="n"/>
      <c r="AG389" s="23" t="n"/>
      <c r="AH389" s="23" t="n"/>
      <c r="AI389" s="23" t="n"/>
      <c r="AJ389" s="23" t="n"/>
      <c r="AK389" s="23" t="n"/>
      <c r="AL389" s="23" t="n"/>
      <c r="AM389" s="26">
        <f>IF(G389="","",G389&amp;"|"&amp;P389)</f>
        <v/>
      </c>
      <c r="AN389" s="27">
        <f>IF(I389="","",IFERROR(DATE(VALUE(RIGHT(I389,4)),VALUE(MID(I389,4,2)),VALUE(LEFT(I389,2))),""))</f>
        <v/>
      </c>
      <c r="AO389" s="27">
        <f>IF(Y389="","",IFERROR(DATE(VALUE(RIGHT(Y389,4)),VALUE(MID(Y389,4,2)),VALUE(LEFT(Y389,2))),""))</f>
        <v/>
      </c>
      <c r="AP389" s="27">
        <f>IF(AC389="","",IFERROR(DATE(VALUE(RIGHT(AC389,4)),VALUE(MID(AC389,4,2)),VALUE(LEFT(AC389,2))),""))</f>
        <v/>
      </c>
      <c r="AQ389" s="26">
        <f>IF(AI389="","",TRIM(LEFT(AI389,FIND(" ",AI389&amp;" ")-1)))</f>
        <v/>
      </c>
      <c r="AR389" s="27">
        <f>IF(AQ389="","",IFERROR(DATE(VALUE(MID(AQ389,FIND("/",AQ389,FIND("/",AQ389)+1)+1,4)),VALUE(LEFT(AQ389,FIND("/",AQ389)-1)),VALUE(MID(AQ389,FIND("/",AQ389)+1,FIND("/",AQ389,FIND("/",AQ389)+1)-FIND("/",AQ389)-1))),""))</f>
        <v/>
      </c>
      <c r="AS389" s="26">
        <f>IF(G389="","",IF(AND(AG389&lt;&gt;"",AG389&lt;&gt;"Bayi Aracı"),"Evet","Hayır"))</f>
        <v/>
      </c>
      <c r="AT389" s="26">
        <f>IF(G389="","",IF(AND(AS389="Evet",T389="Siparişiniz Teslim Edildi"),"Evet","Hayır"))</f>
        <v/>
      </c>
      <c r="AU389" s="26">
        <f>IF(G389="","",IF(AB389="Siparişinizin Montajı Yapıldı","Evet","Hayır"))</f>
        <v/>
      </c>
      <c r="AV389" s="27">
        <f>IF(G389="","",IF(AT389="Evet",AR389,IF(AU389="Evet",AP389,"")))</f>
        <v/>
      </c>
    </row>
    <row r="390">
      <c r="A390" s="23" t="n"/>
      <c r="B390" s="23" t="n"/>
      <c r="C390" s="23" t="n"/>
      <c r="D390" s="23" t="n"/>
      <c r="E390" s="23" t="n"/>
      <c r="F390" s="23" t="n"/>
      <c r="G390" s="23" t="n"/>
      <c r="H390" s="23" t="n"/>
      <c r="I390" s="23" t="n"/>
      <c r="J390" s="23" t="n"/>
      <c r="K390" s="23" t="n"/>
      <c r="L390" s="23" t="n"/>
      <c r="M390" s="23" t="n"/>
      <c r="N390" s="23" t="n"/>
      <c r="O390" s="23" t="n"/>
      <c r="P390" s="23" t="n"/>
      <c r="Q390" s="23" t="n"/>
      <c r="R390" s="23" t="n"/>
      <c r="S390" s="23" t="n"/>
      <c r="T390" s="23" t="n"/>
      <c r="U390" s="23" t="n"/>
      <c r="V390" s="23" t="n"/>
      <c r="W390" s="23" t="n"/>
      <c r="X390" s="23" t="n"/>
      <c r="Y390" s="23" t="n"/>
      <c r="Z390" s="23" t="n"/>
      <c r="AA390" s="23" t="n"/>
      <c r="AB390" s="23" t="n"/>
      <c r="AC390" s="23" t="n"/>
      <c r="AD390" s="23" t="n"/>
      <c r="AE390" s="23" t="n"/>
      <c r="AF390" s="23" t="n"/>
      <c r="AG390" s="23" t="n"/>
      <c r="AH390" s="23" t="n"/>
      <c r="AI390" s="23" t="n"/>
      <c r="AJ390" s="23" t="n"/>
      <c r="AK390" s="23" t="n"/>
      <c r="AL390" s="23" t="n"/>
      <c r="AM390" s="26">
        <f>IF(G390="","",G390&amp;"|"&amp;P390)</f>
        <v/>
      </c>
      <c r="AN390" s="27">
        <f>IF(I390="","",IFERROR(DATE(VALUE(RIGHT(I390,4)),VALUE(MID(I390,4,2)),VALUE(LEFT(I390,2))),""))</f>
        <v/>
      </c>
      <c r="AO390" s="27">
        <f>IF(Y390="","",IFERROR(DATE(VALUE(RIGHT(Y390,4)),VALUE(MID(Y390,4,2)),VALUE(LEFT(Y390,2))),""))</f>
        <v/>
      </c>
      <c r="AP390" s="27">
        <f>IF(AC390="","",IFERROR(DATE(VALUE(RIGHT(AC390,4)),VALUE(MID(AC390,4,2)),VALUE(LEFT(AC390,2))),""))</f>
        <v/>
      </c>
      <c r="AQ390" s="26">
        <f>IF(AI390="","",TRIM(LEFT(AI390,FIND(" ",AI390&amp;" ")-1)))</f>
        <v/>
      </c>
      <c r="AR390" s="27">
        <f>IF(AQ390="","",IFERROR(DATE(VALUE(MID(AQ390,FIND("/",AQ390,FIND("/",AQ390)+1)+1,4)),VALUE(LEFT(AQ390,FIND("/",AQ390)-1)),VALUE(MID(AQ390,FIND("/",AQ390)+1,FIND("/",AQ390,FIND("/",AQ390)+1)-FIND("/",AQ390)-1))),""))</f>
        <v/>
      </c>
      <c r="AS390" s="26">
        <f>IF(G390="","",IF(AND(AG390&lt;&gt;"",AG390&lt;&gt;"Bayi Aracı"),"Evet","Hayır"))</f>
        <v/>
      </c>
      <c r="AT390" s="26">
        <f>IF(G390="","",IF(AND(AS390="Evet",T390="Siparişiniz Teslim Edildi"),"Evet","Hayır"))</f>
        <v/>
      </c>
      <c r="AU390" s="26">
        <f>IF(G390="","",IF(AB390="Siparişinizin Montajı Yapıldı","Evet","Hayır"))</f>
        <v/>
      </c>
      <c r="AV390" s="27">
        <f>IF(G390="","",IF(AT390="Evet",AR390,IF(AU390="Evet",AP390,"")))</f>
        <v/>
      </c>
    </row>
    <row r="391">
      <c r="A391" s="23" t="n"/>
      <c r="B391" s="23" t="n"/>
      <c r="C391" s="23" t="n"/>
      <c r="D391" s="23" t="n"/>
      <c r="E391" s="23" t="n"/>
      <c r="F391" s="23" t="n"/>
      <c r="G391" s="23" t="n"/>
      <c r="H391" s="23" t="n"/>
      <c r="I391" s="23" t="n"/>
      <c r="J391" s="23" t="n"/>
      <c r="K391" s="23" t="n"/>
      <c r="L391" s="23" t="n"/>
      <c r="M391" s="23" t="n"/>
      <c r="N391" s="23" t="n"/>
      <c r="O391" s="23" t="n"/>
      <c r="P391" s="23" t="n"/>
      <c r="Q391" s="23" t="n"/>
      <c r="R391" s="23" t="n"/>
      <c r="S391" s="23" t="n"/>
      <c r="T391" s="23" t="n"/>
      <c r="U391" s="23" t="n"/>
      <c r="V391" s="23" t="n"/>
      <c r="W391" s="23" t="n"/>
      <c r="X391" s="23" t="n"/>
      <c r="Y391" s="23" t="n"/>
      <c r="Z391" s="23" t="n"/>
      <c r="AA391" s="23" t="n"/>
      <c r="AB391" s="23" t="n"/>
      <c r="AC391" s="23" t="n"/>
      <c r="AD391" s="23" t="n"/>
      <c r="AE391" s="23" t="n"/>
      <c r="AF391" s="23" t="n"/>
      <c r="AG391" s="23" t="n"/>
      <c r="AH391" s="23" t="n"/>
      <c r="AI391" s="23" t="n"/>
      <c r="AJ391" s="23" t="n"/>
      <c r="AK391" s="23" t="n"/>
      <c r="AL391" s="23" t="n"/>
      <c r="AM391" s="26">
        <f>IF(G391="","",G391&amp;"|"&amp;P391)</f>
        <v/>
      </c>
      <c r="AN391" s="27">
        <f>IF(I391="","",IFERROR(DATE(VALUE(RIGHT(I391,4)),VALUE(MID(I391,4,2)),VALUE(LEFT(I391,2))),""))</f>
        <v/>
      </c>
      <c r="AO391" s="27">
        <f>IF(Y391="","",IFERROR(DATE(VALUE(RIGHT(Y391,4)),VALUE(MID(Y391,4,2)),VALUE(LEFT(Y391,2))),""))</f>
        <v/>
      </c>
      <c r="AP391" s="27">
        <f>IF(AC391="","",IFERROR(DATE(VALUE(RIGHT(AC391,4)),VALUE(MID(AC391,4,2)),VALUE(LEFT(AC391,2))),""))</f>
        <v/>
      </c>
      <c r="AQ391" s="26">
        <f>IF(AI391="","",TRIM(LEFT(AI391,FIND(" ",AI391&amp;" ")-1)))</f>
        <v/>
      </c>
      <c r="AR391" s="27">
        <f>IF(AQ391="","",IFERROR(DATE(VALUE(MID(AQ391,FIND("/",AQ391,FIND("/",AQ391)+1)+1,4)),VALUE(LEFT(AQ391,FIND("/",AQ391)-1)),VALUE(MID(AQ391,FIND("/",AQ391)+1,FIND("/",AQ391,FIND("/",AQ391)+1)-FIND("/",AQ391)-1))),""))</f>
        <v/>
      </c>
      <c r="AS391" s="26">
        <f>IF(G391="","",IF(AND(AG391&lt;&gt;"",AG391&lt;&gt;"Bayi Aracı"),"Evet","Hayır"))</f>
        <v/>
      </c>
      <c r="AT391" s="26">
        <f>IF(G391="","",IF(AND(AS391="Evet",T391="Siparişiniz Teslim Edildi"),"Evet","Hayır"))</f>
        <v/>
      </c>
      <c r="AU391" s="26">
        <f>IF(G391="","",IF(AB391="Siparişinizin Montajı Yapıldı","Evet","Hayır"))</f>
        <v/>
      </c>
      <c r="AV391" s="27">
        <f>IF(G391="","",IF(AT391="Evet",AR391,IF(AU391="Evet",AP391,"")))</f>
        <v/>
      </c>
    </row>
    <row r="392">
      <c r="A392" s="23" t="n"/>
      <c r="B392" s="23" t="n"/>
      <c r="C392" s="23" t="n"/>
      <c r="D392" s="23" t="n"/>
      <c r="E392" s="23" t="n"/>
      <c r="F392" s="23" t="n"/>
      <c r="G392" s="23" t="n"/>
      <c r="H392" s="23" t="n"/>
      <c r="I392" s="23" t="n"/>
      <c r="J392" s="23" t="n"/>
      <c r="K392" s="23" t="n"/>
      <c r="L392" s="23" t="n"/>
      <c r="M392" s="23" t="n"/>
      <c r="N392" s="23" t="n"/>
      <c r="O392" s="23" t="n"/>
      <c r="P392" s="23" t="n"/>
      <c r="Q392" s="23" t="n"/>
      <c r="R392" s="23" t="n"/>
      <c r="S392" s="23" t="n"/>
      <c r="T392" s="23" t="n"/>
      <c r="U392" s="23" t="n"/>
      <c r="V392" s="23" t="n"/>
      <c r="W392" s="23" t="n"/>
      <c r="X392" s="23" t="n"/>
      <c r="Y392" s="23" t="n"/>
      <c r="Z392" s="23" t="n"/>
      <c r="AA392" s="23" t="n"/>
      <c r="AB392" s="23" t="n"/>
      <c r="AC392" s="23" t="n"/>
      <c r="AD392" s="23" t="n"/>
      <c r="AE392" s="23" t="n"/>
      <c r="AF392" s="23" t="n"/>
      <c r="AG392" s="23" t="n"/>
      <c r="AH392" s="23" t="n"/>
      <c r="AI392" s="23" t="n"/>
      <c r="AJ392" s="23" t="n"/>
      <c r="AK392" s="23" t="n"/>
      <c r="AL392" s="23" t="n"/>
      <c r="AM392" s="26">
        <f>IF(G392="","",G392&amp;"|"&amp;P392)</f>
        <v/>
      </c>
      <c r="AN392" s="27">
        <f>IF(I392="","",IFERROR(DATE(VALUE(RIGHT(I392,4)),VALUE(MID(I392,4,2)),VALUE(LEFT(I392,2))),""))</f>
        <v/>
      </c>
      <c r="AO392" s="27">
        <f>IF(Y392="","",IFERROR(DATE(VALUE(RIGHT(Y392,4)),VALUE(MID(Y392,4,2)),VALUE(LEFT(Y392,2))),""))</f>
        <v/>
      </c>
      <c r="AP392" s="27">
        <f>IF(AC392="","",IFERROR(DATE(VALUE(RIGHT(AC392,4)),VALUE(MID(AC392,4,2)),VALUE(LEFT(AC392,2))),""))</f>
        <v/>
      </c>
      <c r="AQ392" s="26">
        <f>IF(AI392="","",TRIM(LEFT(AI392,FIND(" ",AI392&amp;" ")-1)))</f>
        <v/>
      </c>
      <c r="AR392" s="27">
        <f>IF(AQ392="","",IFERROR(DATE(VALUE(MID(AQ392,FIND("/",AQ392,FIND("/",AQ392)+1)+1,4)),VALUE(LEFT(AQ392,FIND("/",AQ392)-1)),VALUE(MID(AQ392,FIND("/",AQ392)+1,FIND("/",AQ392,FIND("/",AQ392)+1)-FIND("/",AQ392)-1))),""))</f>
        <v/>
      </c>
      <c r="AS392" s="26">
        <f>IF(G392="","",IF(AND(AG392&lt;&gt;"",AG392&lt;&gt;"Bayi Aracı"),"Evet","Hayır"))</f>
        <v/>
      </c>
      <c r="AT392" s="26">
        <f>IF(G392="","",IF(AND(AS392="Evet",T392="Siparişiniz Teslim Edildi"),"Evet","Hayır"))</f>
        <v/>
      </c>
      <c r="AU392" s="26">
        <f>IF(G392="","",IF(AB392="Siparişinizin Montajı Yapıldı","Evet","Hayır"))</f>
        <v/>
      </c>
      <c r="AV392" s="27">
        <f>IF(G392="","",IF(AT392="Evet",AR392,IF(AU392="Evet",AP392,"")))</f>
        <v/>
      </c>
    </row>
    <row r="393">
      <c r="A393" s="23" t="n"/>
      <c r="B393" s="23" t="n"/>
      <c r="C393" s="23" t="n"/>
      <c r="D393" s="23" t="n"/>
      <c r="E393" s="23" t="n"/>
      <c r="F393" s="23" t="n"/>
      <c r="G393" s="23" t="n"/>
      <c r="H393" s="23" t="n"/>
      <c r="I393" s="23" t="n"/>
      <c r="J393" s="23" t="n"/>
      <c r="K393" s="23" t="n"/>
      <c r="L393" s="23" t="n"/>
      <c r="M393" s="23" t="n"/>
      <c r="N393" s="23" t="n"/>
      <c r="O393" s="23" t="n"/>
      <c r="P393" s="23" t="n"/>
      <c r="Q393" s="23" t="n"/>
      <c r="R393" s="23" t="n"/>
      <c r="S393" s="23" t="n"/>
      <c r="T393" s="23" t="n"/>
      <c r="U393" s="23" t="n"/>
      <c r="V393" s="23" t="n"/>
      <c r="W393" s="23" t="n"/>
      <c r="X393" s="23" t="n"/>
      <c r="Y393" s="23" t="n"/>
      <c r="Z393" s="23" t="n"/>
      <c r="AA393" s="23" t="n"/>
      <c r="AB393" s="23" t="n"/>
      <c r="AC393" s="23" t="n"/>
      <c r="AD393" s="23" t="n"/>
      <c r="AE393" s="23" t="n"/>
      <c r="AF393" s="23" t="n"/>
      <c r="AG393" s="23" t="n"/>
      <c r="AH393" s="23" t="n"/>
      <c r="AI393" s="23" t="n"/>
      <c r="AJ393" s="23" t="n"/>
      <c r="AK393" s="23" t="n"/>
      <c r="AL393" s="23" t="n"/>
      <c r="AM393" s="26">
        <f>IF(G393="","",G393&amp;"|"&amp;P393)</f>
        <v/>
      </c>
      <c r="AN393" s="27">
        <f>IF(I393="","",IFERROR(DATE(VALUE(RIGHT(I393,4)),VALUE(MID(I393,4,2)),VALUE(LEFT(I393,2))),""))</f>
        <v/>
      </c>
      <c r="AO393" s="27">
        <f>IF(Y393="","",IFERROR(DATE(VALUE(RIGHT(Y393,4)),VALUE(MID(Y393,4,2)),VALUE(LEFT(Y393,2))),""))</f>
        <v/>
      </c>
      <c r="AP393" s="27">
        <f>IF(AC393="","",IFERROR(DATE(VALUE(RIGHT(AC393,4)),VALUE(MID(AC393,4,2)),VALUE(LEFT(AC393,2))),""))</f>
        <v/>
      </c>
      <c r="AQ393" s="26">
        <f>IF(AI393="","",TRIM(LEFT(AI393,FIND(" ",AI393&amp;" ")-1)))</f>
        <v/>
      </c>
      <c r="AR393" s="27">
        <f>IF(AQ393="","",IFERROR(DATE(VALUE(MID(AQ393,FIND("/",AQ393,FIND("/",AQ393)+1)+1,4)),VALUE(LEFT(AQ393,FIND("/",AQ393)-1)),VALUE(MID(AQ393,FIND("/",AQ393)+1,FIND("/",AQ393,FIND("/",AQ393)+1)-FIND("/",AQ393)-1))),""))</f>
        <v/>
      </c>
      <c r="AS393" s="26">
        <f>IF(G393="","",IF(AND(AG393&lt;&gt;"",AG393&lt;&gt;"Bayi Aracı"),"Evet","Hayır"))</f>
        <v/>
      </c>
      <c r="AT393" s="26">
        <f>IF(G393="","",IF(AND(AS393="Evet",T393="Siparişiniz Teslim Edildi"),"Evet","Hayır"))</f>
        <v/>
      </c>
      <c r="AU393" s="26">
        <f>IF(G393="","",IF(AB393="Siparişinizin Montajı Yapıldı","Evet","Hayır"))</f>
        <v/>
      </c>
      <c r="AV393" s="27">
        <f>IF(G393="","",IF(AT393="Evet",AR393,IF(AU393="Evet",AP393,"")))</f>
        <v/>
      </c>
    </row>
    <row r="394">
      <c r="A394" s="23" t="n"/>
      <c r="B394" s="23" t="n"/>
      <c r="C394" s="23" t="n"/>
      <c r="D394" s="23" t="n"/>
      <c r="E394" s="23" t="n"/>
      <c r="F394" s="23" t="n"/>
      <c r="G394" s="23" t="n"/>
      <c r="H394" s="23" t="n"/>
      <c r="I394" s="23" t="n"/>
      <c r="J394" s="23" t="n"/>
      <c r="K394" s="23" t="n"/>
      <c r="L394" s="23" t="n"/>
      <c r="M394" s="23" t="n"/>
      <c r="N394" s="23" t="n"/>
      <c r="O394" s="23" t="n"/>
      <c r="P394" s="23" t="n"/>
      <c r="Q394" s="23" t="n"/>
      <c r="R394" s="23" t="n"/>
      <c r="S394" s="23" t="n"/>
      <c r="T394" s="23" t="n"/>
      <c r="U394" s="23" t="n"/>
      <c r="V394" s="23" t="n"/>
      <c r="W394" s="23" t="n"/>
      <c r="X394" s="23" t="n"/>
      <c r="Y394" s="23" t="n"/>
      <c r="Z394" s="23" t="n"/>
      <c r="AA394" s="23" t="n"/>
      <c r="AB394" s="23" t="n"/>
      <c r="AC394" s="23" t="n"/>
      <c r="AD394" s="23" t="n"/>
      <c r="AE394" s="23" t="n"/>
      <c r="AF394" s="23" t="n"/>
      <c r="AG394" s="23" t="n"/>
      <c r="AH394" s="23" t="n"/>
      <c r="AI394" s="23" t="n"/>
      <c r="AJ394" s="23" t="n"/>
      <c r="AK394" s="23" t="n"/>
      <c r="AL394" s="23" t="n"/>
      <c r="AM394" s="26">
        <f>IF(G394="","",G394&amp;"|"&amp;P394)</f>
        <v/>
      </c>
      <c r="AN394" s="27">
        <f>IF(I394="","",IFERROR(DATE(VALUE(RIGHT(I394,4)),VALUE(MID(I394,4,2)),VALUE(LEFT(I394,2))),""))</f>
        <v/>
      </c>
      <c r="AO394" s="27">
        <f>IF(Y394="","",IFERROR(DATE(VALUE(RIGHT(Y394,4)),VALUE(MID(Y394,4,2)),VALUE(LEFT(Y394,2))),""))</f>
        <v/>
      </c>
      <c r="AP394" s="27">
        <f>IF(AC394="","",IFERROR(DATE(VALUE(RIGHT(AC394,4)),VALUE(MID(AC394,4,2)),VALUE(LEFT(AC394,2))),""))</f>
        <v/>
      </c>
      <c r="AQ394" s="26">
        <f>IF(AI394="","",TRIM(LEFT(AI394,FIND(" ",AI394&amp;" ")-1)))</f>
        <v/>
      </c>
      <c r="AR394" s="27">
        <f>IF(AQ394="","",IFERROR(DATE(VALUE(MID(AQ394,FIND("/",AQ394,FIND("/",AQ394)+1)+1,4)),VALUE(LEFT(AQ394,FIND("/",AQ394)-1)),VALUE(MID(AQ394,FIND("/",AQ394)+1,FIND("/",AQ394,FIND("/",AQ394)+1)-FIND("/",AQ394)-1))),""))</f>
        <v/>
      </c>
      <c r="AS394" s="26">
        <f>IF(G394="","",IF(AND(AG394&lt;&gt;"",AG394&lt;&gt;"Bayi Aracı"),"Evet","Hayır"))</f>
        <v/>
      </c>
      <c r="AT394" s="26">
        <f>IF(G394="","",IF(AND(AS394="Evet",T394="Siparişiniz Teslim Edildi"),"Evet","Hayır"))</f>
        <v/>
      </c>
      <c r="AU394" s="26">
        <f>IF(G394="","",IF(AB394="Siparişinizin Montajı Yapıldı","Evet","Hayır"))</f>
        <v/>
      </c>
      <c r="AV394" s="27">
        <f>IF(G394="","",IF(AT394="Evet",AR394,IF(AU394="Evet",AP394,"")))</f>
        <v/>
      </c>
    </row>
    <row r="395">
      <c r="A395" s="23" t="n"/>
      <c r="B395" s="23" t="n"/>
      <c r="C395" s="23" t="n"/>
      <c r="D395" s="23" t="n"/>
      <c r="E395" s="23" t="n"/>
      <c r="F395" s="23" t="n"/>
      <c r="G395" s="23" t="n"/>
      <c r="H395" s="23" t="n"/>
      <c r="I395" s="23" t="n"/>
      <c r="J395" s="23" t="n"/>
      <c r="K395" s="23" t="n"/>
      <c r="L395" s="23" t="n"/>
      <c r="M395" s="23" t="n"/>
      <c r="N395" s="23" t="n"/>
      <c r="O395" s="23" t="n"/>
      <c r="P395" s="23" t="n"/>
      <c r="Q395" s="23" t="n"/>
      <c r="R395" s="23" t="n"/>
      <c r="S395" s="23" t="n"/>
      <c r="T395" s="23" t="n"/>
      <c r="U395" s="23" t="n"/>
      <c r="V395" s="23" t="n"/>
      <c r="W395" s="23" t="n"/>
      <c r="X395" s="23" t="n"/>
      <c r="Y395" s="23" t="n"/>
      <c r="Z395" s="23" t="n"/>
      <c r="AA395" s="23" t="n"/>
      <c r="AB395" s="23" t="n"/>
      <c r="AC395" s="23" t="n"/>
      <c r="AD395" s="23" t="n"/>
      <c r="AE395" s="23" t="n"/>
      <c r="AF395" s="23" t="n"/>
      <c r="AG395" s="23" t="n"/>
      <c r="AH395" s="23" t="n"/>
      <c r="AI395" s="23" t="n"/>
      <c r="AJ395" s="23" t="n"/>
      <c r="AK395" s="23" t="n"/>
      <c r="AL395" s="23" t="n"/>
      <c r="AM395" s="26">
        <f>IF(G395="","",G395&amp;"|"&amp;P395)</f>
        <v/>
      </c>
      <c r="AN395" s="27">
        <f>IF(I395="","",IFERROR(DATE(VALUE(RIGHT(I395,4)),VALUE(MID(I395,4,2)),VALUE(LEFT(I395,2))),""))</f>
        <v/>
      </c>
      <c r="AO395" s="27">
        <f>IF(Y395="","",IFERROR(DATE(VALUE(RIGHT(Y395,4)),VALUE(MID(Y395,4,2)),VALUE(LEFT(Y395,2))),""))</f>
        <v/>
      </c>
      <c r="AP395" s="27">
        <f>IF(AC395="","",IFERROR(DATE(VALUE(RIGHT(AC395,4)),VALUE(MID(AC395,4,2)),VALUE(LEFT(AC395,2))),""))</f>
        <v/>
      </c>
      <c r="AQ395" s="26">
        <f>IF(AI395="","",TRIM(LEFT(AI395,FIND(" ",AI395&amp;" ")-1)))</f>
        <v/>
      </c>
      <c r="AR395" s="27">
        <f>IF(AQ395="","",IFERROR(DATE(VALUE(MID(AQ395,FIND("/",AQ395,FIND("/",AQ395)+1)+1,4)),VALUE(LEFT(AQ395,FIND("/",AQ395)-1)),VALUE(MID(AQ395,FIND("/",AQ395)+1,FIND("/",AQ395,FIND("/",AQ395)+1)-FIND("/",AQ395)-1))),""))</f>
        <v/>
      </c>
      <c r="AS395" s="26">
        <f>IF(G395="","",IF(AND(AG395&lt;&gt;"",AG395&lt;&gt;"Bayi Aracı"),"Evet","Hayır"))</f>
        <v/>
      </c>
      <c r="AT395" s="26">
        <f>IF(G395="","",IF(AND(AS395="Evet",T395="Siparişiniz Teslim Edildi"),"Evet","Hayır"))</f>
        <v/>
      </c>
      <c r="AU395" s="26">
        <f>IF(G395="","",IF(AB395="Siparişinizin Montajı Yapıldı","Evet","Hayır"))</f>
        <v/>
      </c>
      <c r="AV395" s="27">
        <f>IF(G395="","",IF(AT395="Evet",AR395,IF(AU395="Evet",AP395,"")))</f>
        <v/>
      </c>
    </row>
    <row r="396">
      <c r="A396" s="23" t="n"/>
      <c r="B396" s="23" t="n"/>
      <c r="C396" s="23" t="n"/>
      <c r="D396" s="23" t="n"/>
      <c r="E396" s="23" t="n"/>
      <c r="F396" s="23" t="n"/>
      <c r="G396" s="23" t="n"/>
      <c r="H396" s="23" t="n"/>
      <c r="I396" s="23" t="n"/>
      <c r="J396" s="23" t="n"/>
      <c r="K396" s="23" t="n"/>
      <c r="L396" s="23" t="n"/>
      <c r="M396" s="23" t="n"/>
      <c r="N396" s="23" t="n"/>
      <c r="O396" s="23" t="n"/>
      <c r="P396" s="23" t="n"/>
      <c r="Q396" s="23" t="n"/>
      <c r="R396" s="23" t="n"/>
      <c r="S396" s="23" t="n"/>
      <c r="T396" s="23" t="n"/>
      <c r="U396" s="23" t="n"/>
      <c r="V396" s="23" t="n"/>
      <c r="W396" s="23" t="n"/>
      <c r="X396" s="23" t="n"/>
      <c r="Y396" s="23" t="n"/>
      <c r="Z396" s="23" t="n"/>
      <c r="AA396" s="23" t="n"/>
      <c r="AB396" s="23" t="n"/>
      <c r="AC396" s="23" t="n"/>
      <c r="AD396" s="23" t="n"/>
      <c r="AE396" s="23" t="n"/>
      <c r="AF396" s="23" t="n"/>
      <c r="AG396" s="23" t="n"/>
      <c r="AH396" s="23" t="n"/>
      <c r="AI396" s="23" t="n"/>
      <c r="AJ396" s="23" t="n"/>
      <c r="AK396" s="23" t="n"/>
      <c r="AL396" s="23" t="n"/>
      <c r="AM396" s="26">
        <f>IF(G396="","",G396&amp;"|"&amp;P396)</f>
        <v/>
      </c>
      <c r="AN396" s="27">
        <f>IF(I396="","",IFERROR(DATE(VALUE(RIGHT(I396,4)),VALUE(MID(I396,4,2)),VALUE(LEFT(I396,2))),""))</f>
        <v/>
      </c>
      <c r="AO396" s="27">
        <f>IF(Y396="","",IFERROR(DATE(VALUE(RIGHT(Y396,4)),VALUE(MID(Y396,4,2)),VALUE(LEFT(Y396,2))),""))</f>
        <v/>
      </c>
      <c r="AP396" s="27">
        <f>IF(AC396="","",IFERROR(DATE(VALUE(RIGHT(AC396,4)),VALUE(MID(AC396,4,2)),VALUE(LEFT(AC396,2))),""))</f>
        <v/>
      </c>
      <c r="AQ396" s="26">
        <f>IF(AI396="","",TRIM(LEFT(AI396,FIND(" ",AI396&amp;" ")-1)))</f>
        <v/>
      </c>
      <c r="AR396" s="27">
        <f>IF(AQ396="","",IFERROR(DATE(VALUE(MID(AQ396,FIND("/",AQ396,FIND("/",AQ396)+1)+1,4)),VALUE(LEFT(AQ396,FIND("/",AQ396)-1)),VALUE(MID(AQ396,FIND("/",AQ396)+1,FIND("/",AQ396,FIND("/",AQ396)+1)-FIND("/",AQ396)-1))),""))</f>
        <v/>
      </c>
      <c r="AS396" s="26">
        <f>IF(G396="","",IF(AND(AG396&lt;&gt;"",AG396&lt;&gt;"Bayi Aracı"),"Evet","Hayır"))</f>
        <v/>
      </c>
      <c r="AT396" s="26">
        <f>IF(G396="","",IF(AND(AS396="Evet",T396="Siparişiniz Teslim Edildi"),"Evet","Hayır"))</f>
        <v/>
      </c>
      <c r="AU396" s="26">
        <f>IF(G396="","",IF(AB396="Siparişinizin Montajı Yapıldı","Evet","Hayır"))</f>
        <v/>
      </c>
      <c r="AV396" s="27">
        <f>IF(G396="","",IF(AT396="Evet",AR396,IF(AU396="Evet",AP396,"")))</f>
        <v/>
      </c>
    </row>
    <row r="397">
      <c r="A397" s="23" t="n"/>
      <c r="B397" s="23" t="n"/>
      <c r="C397" s="23" t="n"/>
      <c r="D397" s="23" t="n"/>
      <c r="E397" s="23" t="n"/>
      <c r="F397" s="23" t="n"/>
      <c r="G397" s="23" t="n"/>
      <c r="H397" s="23" t="n"/>
      <c r="I397" s="23" t="n"/>
      <c r="J397" s="23" t="n"/>
      <c r="K397" s="23" t="n"/>
      <c r="L397" s="23" t="n"/>
      <c r="M397" s="23" t="n"/>
      <c r="N397" s="23" t="n"/>
      <c r="O397" s="23" t="n"/>
      <c r="P397" s="23" t="n"/>
      <c r="Q397" s="23" t="n"/>
      <c r="R397" s="23" t="n"/>
      <c r="S397" s="23" t="n"/>
      <c r="T397" s="23" t="n"/>
      <c r="U397" s="23" t="n"/>
      <c r="V397" s="23" t="n"/>
      <c r="W397" s="23" t="n"/>
      <c r="X397" s="23" t="n"/>
      <c r="Y397" s="23" t="n"/>
      <c r="Z397" s="23" t="n"/>
      <c r="AA397" s="23" t="n"/>
      <c r="AB397" s="23" t="n"/>
      <c r="AC397" s="23" t="n"/>
      <c r="AD397" s="23" t="n"/>
      <c r="AE397" s="23" t="n"/>
      <c r="AF397" s="23" t="n"/>
      <c r="AG397" s="23" t="n"/>
      <c r="AH397" s="23" t="n"/>
      <c r="AI397" s="23" t="n"/>
      <c r="AJ397" s="23" t="n"/>
      <c r="AK397" s="23" t="n"/>
      <c r="AL397" s="23" t="n"/>
      <c r="AM397" s="26">
        <f>IF(G397="","",G397&amp;"|"&amp;P397)</f>
        <v/>
      </c>
      <c r="AN397" s="27">
        <f>IF(I397="","",IFERROR(DATE(VALUE(RIGHT(I397,4)),VALUE(MID(I397,4,2)),VALUE(LEFT(I397,2))),""))</f>
        <v/>
      </c>
      <c r="AO397" s="27">
        <f>IF(Y397="","",IFERROR(DATE(VALUE(RIGHT(Y397,4)),VALUE(MID(Y397,4,2)),VALUE(LEFT(Y397,2))),""))</f>
        <v/>
      </c>
      <c r="AP397" s="27">
        <f>IF(AC397="","",IFERROR(DATE(VALUE(RIGHT(AC397,4)),VALUE(MID(AC397,4,2)),VALUE(LEFT(AC397,2))),""))</f>
        <v/>
      </c>
      <c r="AQ397" s="26">
        <f>IF(AI397="","",TRIM(LEFT(AI397,FIND(" ",AI397&amp;" ")-1)))</f>
        <v/>
      </c>
      <c r="AR397" s="27">
        <f>IF(AQ397="","",IFERROR(DATE(VALUE(MID(AQ397,FIND("/",AQ397,FIND("/",AQ397)+1)+1,4)),VALUE(LEFT(AQ397,FIND("/",AQ397)-1)),VALUE(MID(AQ397,FIND("/",AQ397)+1,FIND("/",AQ397,FIND("/",AQ397)+1)-FIND("/",AQ397)-1))),""))</f>
        <v/>
      </c>
      <c r="AS397" s="26">
        <f>IF(G397="","",IF(AND(AG397&lt;&gt;"",AG397&lt;&gt;"Bayi Aracı"),"Evet","Hayır"))</f>
        <v/>
      </c>
      <c r="AT397" s="26">
        <f>IF(G397="","",IF(AND(AS397="Evet",T397="Siparişiniz Teslim Edildi"),"Evet","Hayır"))</f>
        <v/>
      </c>
      <c r="AU397" s="26">
        <f>IF(G397="","",IF(AB397="Siparişinizin Montajı Yapıldı","Evet","Hayır"))</f>
        <v/>
      </c>
      <c r="AV397" s="27">
        <f>IF(G397="","",IF(AT397="Evet",AR397,IF(AU397="Evet",AP397,"")))</f>
        <v/>
      </c>
    </row>
    <row r="398">
      <c r="A398" s="23" t="n"/>
      <c r="B398" s="23" t="n"/>
      <c r="C398" s="23" t="n"/>
      <c r="D398" s="23" t="n"/>
      <c r="E398" s="23" t="n"/>
      <c r="F398" s="23" t="n"/>
      <c r="G398" s="23" t="n"/>
      <c r="H398" s="23" t="n"/>
      <c r="I398" s="23" t="n"/>
      <c r="J398" s="23" t="n"/>
      <c r="K398" s="23" t="n"/>
      <c r="L398" s="23" t="n"/>
      <c r="M398" s="23" t="n"/>
      <c r="N398" s="23" t="n"/>
      <c r="O398" s="23" t="n"/>
      <c r="P398" s="23" t="n"/>
      <c r="Q398" s="23" t="n"/>
      <c r="R398" s="23" t="n"/>
      <c r="S398" s="23" t="n"/>
      <c r="T398" s="23" t="n"/>
      <c r="U398" s="23" t="n"/>
      <c r="V398" s="23" t="n"/>
      <c r="W398" s="23" t="n"/>
      <c r="X398" s="23" t="n"/>
      <c r="Y398" s="23" t="n"/>
      <c r="Z398" s="23" t="n"/>
      <c r="AA398" s="23" t="n"/>
      <c r="AB398" s="23" t="n"/>
      <c r="AC398" s="23" t="n"/>
      <c r="AD398" s="23" t="n"/>
      <c r="AE398" s="23" t="n"/>
      <c r="AF398" s="23" t="n"/>
      <c r="AG398" s="23" t="n"/>
      <c r="AH398" s="23" t="n"/>
      <c r="AI398" s="23" t="n"/>
      <c r="AJ398" s="23" t="n"/>
      <c r="AK398" s="23" t="n"/>
      <c r="AL398" s="23" t="n"/>
      <c r="AM398" s="26">
        <f>IF(G398="","",G398&amp;"|"&amp;P398)</f>
        <v/>
      </c>
      <c r="AN398" s="27">
        <f>IF(I398="","",IFERROR(DATE(VALUE(RIGHT(I398,4)),VALUE(MID(I398,4,2)),VALUE(LEFT(I398,2))),""))</f>
        <v/>
      </c>
      <c r="AO398" s="27">
        <f>IF(Y398="","",IFERROR(DATE(VALUE(RIGHT(Y398,4)),VALUE(MID(Y398,4,2)),VALUE(LEFT(Y398,2))),""))</f>
        <v/>
      </c>
      <c r="AP398" s="27">
        <f>IF(AC398="","",IFERROR(DATE(VALUE(RIGHT(AC398,4)),VALUE(MID(AC398,4,2)),VALUE(LEFT(AC398,2))),""))</f>
        <v/>
      </c>
      <c r="AQ398" s="26">
        <f>IF(AI398="","",TRIM(LEFT(AI398,FIND(" ",AI398&amp;" ")-1)))</f>
        <v/>
      </c>
      <c r="AR398" s="27">
        <f>IF(AQ398="","",IFERROR(DATE(VALUE(MID(AQ398,FIND("/",AQ398,FIND("/",AQ398)+1)+1,4)),VALUE(LEFT(AQ398,FIND("/",AQ398)-1)),VALUE(MID(AQ398,FIND("/",AQ398)+1,FIND("/",AQ398,FIND("/",AQ398)+1)-FIND("/",AQ398)-1))),""))</f>
        <v/>
      </c>
      <c r="AS398" s="26">
        <f>IF(G398="","",IF(AND(AG398&lt;&gt;"",AG398&lt;&gt;"Bayi Aracı"),"Evet","Hayır"))</f>
        <v/>
      </c>
      <c r="AT398" s="26">
        <f>IF(G398="","",IF(AND(AS398="Evet",T398="Siparişiniz Teslim Edildi"),"Evet","Hayır"))</f>
        <v/>
      </c>
      <c r="AU398" s="26">
        <f>IF(G398="","",IF(AB398="Siparişinizin Montajı Yapıldı","Evet","Hayır"))</f>
        <v/>
      </c>
      <c r="AV398" s="27">
        <f>IF(G398="","",IF(AT398="Evet",AR398,IF(AU398="Evet",AP398,"")))</f>
        <v/>
      </c>
    </row>
    <row r="399">
      <c r="A399" s="23" t="n"/>
      <c r="B399" s="23" t="n"/>
      <c r="C399" s="23" t="n"/>
      <c r="D399" s="23" t="n"/>
      <c r="E399" s="23" t="n"/>
      <c r="F399" s="23" t="n"/>
      <c r="G399" s="23" t="n"/>
      <c r="H399" s="23" t="n"/>
      <c r="I399" s="23" t="n"/>
      <c r="J399" s="23" t="n"/>
      <c r="K399" s="23" t="n"/>
      <c r="L399" s="23" t="n"/>
      <c r="M399" s="23" t="n"/>
      <c r="N399" s="23" t="n"/>
      <c r="O399" s="23" t="n"/>
      <c r="P399" s="23" t="n"/>
      <c r="Q399" s="23" t="n"/>
      <c r="R399" s="23" t="n"/>
      <c r="S399" s="23" t="n"/>
      <c r="T399" s="23" t="n"/>
      <c r="U399" s="23" t="n"/>
      <c r="V399" s="23" t="n"/>
      <c r="W399" s="23" t="n"/>
      <c r="X399" s="23" t="n"/>
      <c r="Y399" s="23" t="n"/>
      <c r="Z399" s="23" t="n"/>
      <c r="AA399" s="23" t="n"/>
      <c r="AB399" s="23" t="n"/>
      <c r="AC399" s="23" t="n"/>
      <c r="AD399" s="23" t="n"/>
      <c r="AE399" s="23" t="n"/>
      <c r="AF399" s="23" t="n"/>
      <c r="AG399" s="23" t="n"/>
      <c r="AH399" s="23" t="n"/>
      <c r="AI399" s="23" t="n"/>
      <c r="AJ399" s="23" t="n"/>
      <c r="AK399" s="23" t="n"/>
      <c r="AL399" s="23" t="n"/>
      <c r="AM399" s="26">
        <f>IF(G399="","",G399&amp;"|"&amp;P399)</f>
        <v/>
      </c>
      <c r="AN399" s="27">
        <f>IF(I399="","",IFERROR(DATE(VALUE(RIGHT(I399,4)),VALUE(MID(I399,4,2)),VALUE(LEFT(I399,2))),""))</f>
        <v/>
      </c>
      <c r="AO399" s="27">
        <f>IF(Y399="","",IFERROR(DATE(VALUE(RIGHT(Y399,4)),VALUE(MID(Y399,4,2)),VALUE(LEFT(Y399,2))),""))</f>
        <v/>
      </c>
      <c r="AP399" s="27">
        <f>IF(AC399="","",IFERROR(DATE(VALUE(RIGHT(AC399,4)),VALUE(MID(AC399,4,2)),VALUE(LEFT(AC399,2))),""))</f>
        <v/>
      </c>
      <c r="AQ399" s="26">
        <f>IF(AI399="","",TRIM(LEFT(AI399,FIND(" ",AI399&amp;" ")-1)))</f>
        <v/>
      </c>
      <c r="AR399" s="27">
        <f>IF(AQ399="","",IFERROR(DATE(VALUE(MID(AQ399,FIND("/",AQ399,FIND("/",AQ399)+1)+1,4)),VALUE(LEFT(AQ399,FIND("/",AQ399)-1)),VALUE(MID(AQ399,FIND("/",AQ399)+1,FIND("/",AQ399,FIND("/",AQ399)+1)-FIND("/",AQ399)-1))),""))</f>
        <v/>
      </c>
      <c r="AS399" s="26">
        <f>IF(G399="","",IF(AND(AG399&lt;&gt;"",AG399&lt;&gt;"Bayi Aracı"),"Evet","Hayır"))</f>
        <v/>
      </c>
      <c r="AT399" s="26">
        <f>IF(G399="","",IF(AND(AS399="Evet",T399="Siparişiniz Teslim Edildi"),"Evet","Hayır"))</f>
        <v/>
      </c>
      <c r="AU399" s="26">
        <f>IF(G399="","",IF(AB399="Siparişinizin Montajı Yapıldı","Evet","Hayır"))</f>
        <v/>
      </c>
      <c r="AV399" s="27">
        <f>IF(G399="","",IF(AT399="Evet",AR399,IF(AU399="Evet",AP399,"")))</f>
        <v/>
      </c>
    </row>
    <row r="400">
      <c r="A400" s="23" t="n"/>
      <c r="B400" s="23" t="n"/>
      <c r="C400" s="23" t="n"/>
      <c r="D400" s="23" t="n"/>
      <c r="E400" s="23" t="n"/>
      <c r="F400" s="23" t="n"/>
      <c r="G400" s="23" t="n"/>
      <c r="H400" s="23" t="n"/>
      <c r="I400" s="23" t="n"/>
      <c r="J400" s="23" t="n"/>
      <c r="K400" s="23" t="n"/>
      <c r="L400" s="23" t="n"/>
      <c r="M400" s="23" t="n"/>
      <c r="N400" s="23" t="n"/>
      <c r="O400" s="23" t="n"/>
      <c r="P400" s="23" t="n"/>
      <c r="Q400" s="23" t="n"/>
      <c r="R400" s="23" t="n"/>
      <c r="S400" s="23" t="n"/>
      <c r="T400" s="23" t="n"/>
      <c r="U400" s="23" t="n"/>
      <c r="V400" s="23" t="n"/>
      <c r="W400" s="23" t="n"/>
      <c r="X400" s="23" t="n"/>
      <c r="Y400" s="23" t="n"/>
      <c r="Z400" s="23" t="n"/>
      <c r="AA400" s="23" t="n"/>
      <c r="AB400" s="23" t="n"/>
      <c r="AC400" s="23" t="n"/>
      <c r="AD400" s="23" t="n"/>
      <c r="AE400" s="23" t="n"/>
      <c r="AF400" s="23" t="n"/>
      <c r="AG400" s="23" t="n"/>
      <c r="AH400" s="23" t="n"/>
      <c r="AI400" s="23" t="n"/>
      <c r="AJ400" s="23" t="n"/>
      <c r="AK400" s="23" t="n"/>
      <c r="AL400" s="23" t="n"/>
      <c r="AM400" s="26">
        <f>IF(G400="","",G400&amp;"|"&amp;P400)</f>
        <v/>
      </c>
      <c r="AN400" s="27">
        <f>IF(I400="","",IFERROR(DATE(VALUE(RIGHT(I400,4)),VALUE(MID(I400,4,2)),VALUE(LEFT(I400,2))),""))</f>
        <v/>
      </c>
      <c r="AO400" s="27">
        <f>IF(Y400="","",IFERROR(DATE(VALUE(RIGHT(Y400,4)),VALUE(MID(Y400,4,2)),VALUE(LEFT(Y400,2))),""))</f>
        <v/>
      </c>
      <c r="AP400" s="27">
        <f>IF(AC400="","",IFERROR(DATE(VALUE(RIGHT(AC400,4)),VALUE(MID(AC400,4,2)),VALUE(LEFT(AC400,2))),""))</f>
        <v/>
      </c>
      <c r="AQ400" s="26">
        <f>IF(AI400="","",TRIM(LEFT(AI400,FIND(" ",AI400&amp;" ")-1)))</f>
        <v/>
      </c>
      <c r="AR400" s="27">
        <f>IF(AQ400="","",IFERROR(DATE(VALUE(MID(AQ400,FIND("/",AQ400,FIND("/",AQ400)+1)+1,4)),VALUE(LEFT(AQ400,FIND("/",AQ400)-1)),VALUE(MID(AQ400,FIND("/",AQ400)+1,FIND("/",AQ400,FIND("/",AQ400)+1)-FIND("/",AQ400)-1))),""))</f>
        <v/>
      </c>
      <c r="AS400" s="26">
        <f>IF(G400="","",IF(AND(AG400&lt;&gt;"",AG400&lt;&gt;"Bayi Aracı"),"Evet","Hayır"))</f>
        <v/>
      </c>
      <c r="AT400" s="26">
        <f>IF(G400="","",IF(AND(AS400="Evet",T400="Siparişiniz Teslim Edildi"),"Evet","Hayır"))</f>
        <v/>
      </c>
      <c r="AU400" s="26">
        <f>IF(G400="","",IF(AB400="Siparişinizin Montajı Yapıldı","Evet","Hayır"))</f>
        <v/>
      </c>
      <c r="AV400" s="27">
        <f>IF(G400="","",IF(AT400="Evet",AR400,IF(AU400="Evet",AP400,"")))</f>
        <v/>
      </c>
    </row>
    <row r="401">
      <c r="A401" s="23" t="n"/>
      <c r="B401" s="23" t="n"/>
      <c r="C401" s="23" t="n"/>
      <c r="D401" s="23" t="n"/>
      <c r="E401" s="23" t="n"/>
      <c r="F401" s="23" t="n"/>
      <c r="G401" s="23" t="n"/>
      <c r="H401" s="23" t="n"/>
      <c r="I401" s="23" t="n"/>
      <c r="J401" s="23" t="n"/>
      <c r="K401" s="23" t="n"/>
      <c r="L401" s="23" t="n"/>
      <c r="M401" s="23" t="n"/>
      <c r="N401" s="23" t="n"/>
      <c r="O401" s="23" t="n"/>
      <c r="P401" s="23" t="n"/>
      <c r="Q401" s="23" t="n"/>
      <c r="R401" s="23" t="n"/>
      <c r="S401" s="23" t="n"/>
      <c r="T401" s="23" t="n"/>
      <c r="U401" s="23" t="n"/>
      <c r="V401" s="23" t="n"/>
      <c r="W401" s="23" t="n"/>
      <c r="X401" s="23" t="n"/>
      <c r="Y401" s="23" t="n"/>
      <c r="Z401" s="23" t="n"/>
      <c r="AA401" s="23" t="n"/>
      <c r="AB401" s="23" t="n"/>
      <c r="AC401" s="23" t="n"/>
      <c r="AD401" s="23" t="n"/>
      <c r="AE401" s="23" t="n"/>
      <c r="AF401" s="23" t="n"/>
      <c r="AG401" s="23" t="n"/>
      <c r="AH401" s="23" t="n"/>
      <c r="AI401" s="23" t="n"/>
      <c r="AJ401" s="23" t="n"/>
      <c r="AK401" s="23" t="n"/>
      <c r="AL401" s="23" t="n"/>
      <c r="AM401" s="26">
        <f>IF(G401="","",G401&amp;"|"&amp;P401)</f>
        <v/>
      </c>
      <c r="AN401" s="27">
        <f>IF(I401="","",IFERROR(DATE(VALUE(RIGHT(I401,4)),VALUE(MID(I401,4,2)),VALUE(LEFT(I401,2))),""))</f>
        <v/>
      </c>
      <c r="AO401" s="27">
        <f>IF(Y401="","",IFERROR(DATE(VALUE(RIGHT(Y401,4)),VALUE(MID(Y401,4,2)),VALUE(LEFT(Y401,2))),""))</f>
        <v/>
      </c>
      <c r="AP401" s="27">
        <f>IF(AC401="","",IFERROR(DATE(VALUE(RIGHT(AC401,4)),VALUE(MID(AC401,4,2)),VALUE(LEFT(AC401,2))),""))</f>
        <v/>
      </c>
      <c r="AQ401" s="26">
        <f>IF(AI401="","",TRIM(LEFT(AI401,FIND(" ",AI401&amp;" ")-1)))</f>
        <v/>
      </c>
      <c r="AR401" s="27">
        <f>IF(AQ401="","",IFERROR(DATE(VALUE(MID(AQ401,FIND("/",AQ401,FIND("/",AQ401)+1)+1,4)),VALUE(LEFT(AQ401,FIND("/",AQ401)-1)),VALUE(MID(AQ401,FIND("/",AQ401)+1,FIND("/",AQ401,FIND("/",AQ401)+1)-FIND("/",AQ401)-1))),""))</f>
        <v/>
      </c>
      <c r="AS401" s="26">
        <f>IF(G401="","",IF(AND(AG401&lt;&gt;"",AG401&lt;&gt;"Bayi Aracı"),"Evet","Hayır"))</f>
        <v/>
      </c>
      <c r="AT401" s="26">
        <f>IF(G401="","",IF(AND(AS401="Evet",T401="Siparişiniz Teslim Edildi"),"Evet","Hayır"))</f>
        <v/>
      </c>
      <c r="AU401" s="26">
        <f>IF(G401="","",IF(AB401="Siparişinizin Montajı Yapıldı","Evet","Hayır"))</f>
        <v/>
      </c>
      <c r="AV401" s="27">
        <f>IF(G401="","",IF(AT401="Evet",AR401,IF(AU401="Evet",AP401,"")))</f>
        <v/>
      </c>
    </row>
    <row r="402">
      <c r="A402" s="23" t="n"/>
      <c r="B402" s="23" t="n"/>
      <c r="C402" s="23" t="n"/>
      <c r="D402" s="23" t="n"/>
      <c r="E402" s="23" t="n"/>
      <c r="F402" s="23" t="n"/>
      <c r="G402" s="23" t="n"/>
      <c r="H402" s="23" t="n"/>
      <c r="I402" s="23" t="n"/>
      <c r="J402" s="23" t="n"/>
      <c r="K402" s="23" t="n"/>
      <c r="L402" s="23" t="n"/>
      <c r="M402" s="23" t="n"/>
      <c r="N402" s="23" t="n"/>
      <c r="O402" s="23" t="n"/>
      <c r="P402" s="23" t="n"/>
      <c r="Q402" s="23" t="n"/>
      <c r="R402" s="23" t="n"/>
      <c r="S402" s="23" t="n"/>
      <c r="T402" s="23" t="n"/>
      <c r="U402" s="23" t="n"/>
      <c r="V402" s="23" t="n"/>
      <c r="W402" s="23" t="n"/>
      <c r="X402" s="23" t="n"/>
      <c r="Y402" s="23" t="n"/>
      <c r="Z402" s="23" t="n"/>
      <c r="AA402" s="23" t="n"/>
      <c r="AB402" s="23" t="n"/>
      <c r="AC402" s="23" t="n"/>
      <c r="AD402" s="23" t="n"/>
      <c r="AE402" s="23" t="n"/>
      <c r="AF402" s="23" t="n"/>
      <c r="AG402" s="23" t="n"/>
      <c r="AH402" s="23" t="n"/>
      <c r="AI402" s="23" t="n"/>
      <c r="AJ402" s="23" t="n"/>
      <c r="AK402" s="23" t="n"/>
      <c r="AL402" s="23" t="n"/>
      <c r="AM402" s="26">
        <f>IF(G402="","",G402&amp;"|"&amp;P402)</f>
        <v/>
      </c>
      <c r="AN402" s="27">
        <f>IF(I402="","",IFERROR(DATE(VALUE(RIGHT(I402,4)),VALUE(MID(I402,4,2)),VALUE(LEFT(I402,2))),""))</f>
        <v/>
      </c>
      <c r="AO402" s="27">
        <f>IF(Y402="","",IFERROR(DATE(VALUE(RIGHT(Y402,4)),VALUE(MID(Y402,4,2)),VALUE(LEFT(Y402,2))),""))</f>
        <v/>
      </c>
      <c r="AP402" s="27">
        <f>IF(AC402="","",IFERROR(DATE(VALUE(RIGHT(AC402,4)),VALUE(MID(AC402,4,2)),VALUE(LEFT(AC402,2))),""))</f>
        <v/>
      </c>
      <c r="AQ402" s="26">
        <f>IF(AI402="","",TRIM(LEFT(AI402,FIND(" ",AI402&amp;" ")-1)))</f>
        <v/>
      </c>
      <c r="AR402" s="27">
        <f>IF(AQ402="","",IFERROR(DATE(VALUE(MID(AQ402,FIND("/",AQ402,FIND("/",AQ402)+1)+1,4)),VALUE(LEFT(AQ402,FIND("/",AQ402)-1)),VALUE(MID(AQ402,FIND("/",AQ402)+1,FIND("/",AQ402,FIND("/",AQ402)+1)-FIND("/",AQ402)-1))),""))</f>
        <v/>
      </c>
      <c r="AS402" s="26">
        <f>IF(G402="","",IF(AND(AG402&lt;&gt;"",AG402&lt;&gt;"Bayi Aracı"),"Evet","Hayır"))</f>
        <v/>
      </c>
      <c r="AT402" s="26">
        <f>IF(G402="","",IF(AND(AS402="Evet",T402="Siparişiniz Teslim Edildi"),"Evet","Hayır"))</f>
        <v/>
      </c>
      <c r="AU402" s="26">
        <f>IF(G402="","",IF(AB402="Siparişinizin Montajı Yapıldı","Evet","Hayır"))</f>
        <v/>
      </c>
      <c r="AV402" s="27">
        <f>IF(G402="","",IF(AT402="Evet",AR402,IF(AU402="Evet",AP402,"")))</f>
        <v/>
      </c>
    </row>
    <row r="403">
      <c r="A403" s="23" t="n"/>
      <c r="B403" s="23" t="n"/>
      <c r="C403" s="23" t="n"/>
      <c r="D403" s="23" t="n"/>
      <c r="E403" s="23" t="n"/>
      <c r="F403" s="23" t="n"/>
      <c r="G403" s="23" t="n"/>
      <c r="H403" s="23" t="n"/>
      <c r="I403" s="23" t="n"/>
      <c r="J403" s="23" t="n"/>
      <c r="K403" s="23" t="n"/>
      <c r="L403" s="23" t="n"/>
      <c r="M403" s="23" t="n"/>
      <c r="N403" s="23" t="n"/>
      <c r="O403" s="23" t="n"/>
      <c r="P403" s="23" t="n"/>
      <c r="Q403" s="23" t="n"/>
      <c r="R403" s="23" t="n"/>
      <c r="S403" s="23" t="n"/>
      <c r="T403" s="23" t="n"/>
      <c r="U403" s="23" t="n"/>
      <c r="V403" s="23" t="n"/>
      <c r="W403" s="23" t="n"/>
      <c r="X403" s="23" t="n"/>
      <c r="Y403" s="23" t="n"/>
      <c r="Z403" s="23" t="n"/>
      <c r="AA403" s="23" t="n"/>
      <c r="AB403" s="23" t="n"/>
      <c r="AC403" s="23" t="n"/>
      <c r="AD403" s="23" t="n"/>
      <c r="AE403" s="23" t="n"/>
      <c r="AF403" s="23" t="n"/>
      <c r="AG403" s="23" t="n"/>
      <c r="AH403" s="23" t="n"/>
      <c r="AI403" s="23" t="n"/>
      <c r="AJ403" s="23" t="n"/>
      <c r="AK403" s="23" t="n"/>
      <c r="AL403" s="23" t="n"/>
      <c r="AM403" s="26">
        <f>IF(G403="","",G403&amp;"|"&amp;P403)</f>
        <v/>
      </c>
      <c r="AN403" s="27">
        <f>IF(I403="","",IFERROR(DATE(VALUE(RIGHT(I403,4)),VALUE(MID(I403,4,2)),VALUE(LEFT(I403,2))),""))</f>
        <v/>
      </c>
      <c r="AO403" s="27">
        <f>IF(Y403="","",IFERROR(DATE(VALUE(RIGHT(Y403,4)),VALUE(MID(Y403,4,2)),VALUE(LEFT(Y403,2))),""))</f>
        <v/>
      </c>
      <c r="AP403" s="27">
        <f>IF(AC403="","",IFERROR(DATE(VALUE(RIGHT(AC403,4)),VALUE(MID(AC403,4,2)),VALUE(LEFT(AC403,2))),""))</f>
        <v/>
      </c>
      <c r="AQ403" s="26">
        <f>IF(AI403="","",TRIM(LEFT(AI403,FIND(" ",AI403&amp;" ")-1)))</f>
        <v/>
      </c>
      <c r="AR403" s="27">
        <f>IF(AQ403="","",IFERROR(DATE(VALUE(MID(AQ403,FIND("/",AQ403,FIND("/",AQ403)+1)+1,4)),VALUE(LEFT(AQ403,FIND("/",AQ403)-1)),VALUE(MID(AQ403,FIND("/",AQ403)+1,FIND("/",AQ403,FIND("/",AQ403)+1)-FIND("/",AQ403)-1))),""))</f>
        <v/>
      </c>
      <c r="AS403" s="26">
        <f>IF(G403="","",IF(AND(AG403&lt;&gt;"",AG403&lt;&gt;"Bayi Aracı"),"Evet","Hayır"))</f>
        <v/>
      </c>
      <c r="AT403" s="26">
        <f>IF(G403="","",IF(AND(AS403="Evet",T403="Siparişiniz Teslim Edildi"),"Evet","Hayır"))</f>
        <v/>
      </c>
      <c r="AU403" s="26">
        <f>IF(G403="","",IF(AB403="Siparişinizin Montajı Yapıldı","Evet","Hayır"))</f>
        <v/>
      </c>
      <c r="AV403" s="27">
        <f>IF(G403="","",IF(AT403="Evet",AR403,IF(AU403="Evet",AP403,"")))</f>
        <v/>
      </c>
    </row>
    <row r="404">
      <c r="A404" s="23" t="n"/>
      <c r="B404" s="23" t="n"/>
      <c r="C404" s="23" t="n"/>
      <c r="D404" s="23" t="n"/>
      <c r="E404" s="23" t="n"/>
      <c r="F404" s="23" t="n"/>
      <c r="G404" s="23" t="n"/>
      <c r="H404" s="23" t="n"/>
      <c r="I404" s="23" t="n"/>
      <c r="J404" s="23" t="n"/>
      <c r="K404" s="23" t="n"/>
      <c r="L404" s="23" t="n"/>
      <c r="M404" s="23" t="n"/>
      <c r="N404" s="23" t="n"/>
      <c r="O404" s="23" t="n"/>
      <c r="P404" s="23" t="n"/>
      <c r="Q404" s="23" t="n"/>
      <c r="R404" s="23" t="n"/>
      <c r="S404" s="23" t="n"/>
      <c r="T404" s="23" t="n"/>
      <c r="U404" s="23" t="n"/>
      <c r="V404" s="23" t="n"/>
      <c r="W404" s="23" t="n"/>
      <c r="X404" s="23" t="n"/>
      <c r="Y404" s="23" t="n"/>
      <c r="Z404" s="23" t="n"/>
      <c r="AA404" s="23" t="n"/>
      <c r="AB404" s="23" t="n"/>
      <c r="AC404" s="23" t="n"/>
      <c r="AD404" s="23" t="n"/>
      <c r="AE404" s="23" t="n"/>
      <c r="AF404" s="23" t="n"/>
      <c r="AG404" s="23" t="n"/>
      <c r="AH404" s="23" t="n"/>
      <c r="AI404" s="23" t="n"/>
      <c r="AJ404" s="23" t="n"/>
      <c r="AK404" s="23" t="n"/>
      <c r="AL404" s="23" t="n"/>
      <c r="AM404" s="26">
        <f>IF(G404="","",G404&amp;"|"&amp;P404)</f>
        <v/>
      </c>
      <c r="AN404" s="27">
        <f>IF(I404="","",IFERROR(DATE(VALUE(RIGHT(I404,4)),VALUE(MID(I404,4,2)),VALUE(LEFT(I404,2))),""))</f>
        <v/>
      </c>
      <c r="AO404" s="27">
        <f>IF(Y404="","",IFERROR(DATE(VALUE(RIGHT(Y404,4)),VALUE(MID(Y404,4,2)),VALUE(LEFT(Y404,2))),""))</f>
        <v/>
      </c>
      <c r="AP404" s="27">
        <f>IF(AC404="","",IFERROR(DATE(VALUE(RIGHT(AC404,4)),VALUE(MID(AC404,4,2)),VALUE(LEFT(AC404,2))),""))</f>
        <v/>
      </c>
      <c r="AQ404" s="26">
        <f>IF(AI404="","",TRIM(LEFT(AI404,FIND(" ",AI404&amp;" ")-1)))</f>
        <v/>
      </c>
      <c r="AR404" s="27">
        <f>IF(AQ404="","",IFERROR(DATE(VALUE(MID(AQ404,FIND("/",AQ404,FIND("/",AQ404)+1)+1,4)),VALUE(LEFT(AQ404,FIND("/",AQ404)-1)),VALUE(MID(AQ404,FIND("/",AQ404)+1,FIND("/",AQ404,FIND("/",AQ404)+1)-FIND("/",AQ404)-1))),""))</f>
        <v/>
      </c>
      <c r="AS404" s="26">
        <f>IF(G404="","",IF(AND(AG404&lt;&gt;"",AG404&lt;&gt;"Bayi Aracı"),"Evet","Hayır"))</f>
        <v/>
      </c>
      <c r="AT404" s="26">
        <f>IF(G404="","",IF(AND(AS404="Evet",T404="Siparişiniz Teslim Edildi"),"Evet","Hayır"))</f>
        <v/>
      </c>
      <c r="AU404" s="26">
        <f>IF(G404="","",IF(AB404="Siparişinizin Montajı Yapıldı","Evet","Hayır"))</f>
        <v/>
      </c>
      <c r="AV404" s="27">
        <f>IF(G404="","",IF(AT404="Evet",AR404,IF(AU404="Evet",AP404,"")))</f>
        <v/>
      </c>
    </row>
    <row r="405">
      <c r="A405" s="23" t="n"/>
      <c r="B405" s="23" t="n"/>
      <c r="C405" s="23" t="n"/>
      <c r="D405" s="23" t="n"/>
      <c r="E405" s="23" t="n"/>
      <c r="F405" s="23" t="n"/>
      <c r="G405" s="23" t="n"/>
      <c r="H405" s="23" t="n"/>
      <c r="I405" s="23" t="n"/>
      <c r="J405" s="23" t="n"/>
      <c r="K405" s="23" t="n"/>
      <c r="L405" s="23" t="n"/>
      <c r="M405" s="23" t="n"/>
      <c r="N405" s="23" t="n"/>
      <c r="O405" s="23" t="n"/>
      <c r="P405" s="23" t="n"/>
      <c r="Q405" s="23" t="n"/>
      <c r="R405" s="23" t="n"/>
      <c r="S405" s="23" t="n"/>
      <c r="T405" s="23" t="n"/>
      <c r="U405" s="23" t="n"/>
      <c r="V405" s="23" t="n"/>
      <c r="W405" s="23" t="n"/>
      <c r="X405" s="23" t="n"/>
      <c r="Y405" s="23" t="n"/>
      <c r="Z405" s="23" t="n"/>
      <c r="AA405" s="23" t="n"/>
      <c r="AB405" s="23" t="n"/>
      <c r="AC405" s="23" t="n"/>
      <c r="AD405" s="23" t="n"/>
      <c r="AE405" s="23" t="n"/>
      <c r="AF405" s="23" t="n"/>
      <c r="AG405" s="23" t="n"/>
      <c r="AH405" s="23" t="n"/>
      <c r="AI405" s="23" t="n"/>
      <c r="AJ405" s="23" t="n"/>
      <c r="AK405" s="23" t="n"/>
      <c r="AL405" s="23" t="n"/>
      <c r="AM405" s="26">
        <f>IF(G405="","",G405&amp;"|"&amp;P405)</f>
        <v/>
      </c>
      <c r="AN405" s="27">
        <f>IF(I405="","",IFERROR(DATE(VALUE(RIGHT(I405,4)),VALUE(MID(I405,4,2)),VALUE(LEFT(I405,2))),""))</f>
        <v/>
      </c>
      <c r="AO405" s="27">
        <f>IF(Y405="","",IFERROR(DATE(VALUE(RIGHT(Y405,4)),VALUE(MID(Y405,4,2)),VALUE(LEFT(Y405,2))),""))</f>
        <v/>
      </c>
      <c r="AP405" s="27">
        <f>IF(AC405="","",IFERROR(DATE(VALUE(RIGHT(AC405,4)),VALUE(MID(AC405,4,2)),VALUE(LEFT(AC405,2))),""))</f>
        <v/>
      </c>
      <c r="AQ405" s="26">
        <f>IF(AI405="","",TRIM(LEFT(AI405,FIND(" ",AI405&amp;" ")-1)))</f>
        <v/>
      </c>
      <c r="AR405" s="27">
        <f>IF(AQ405="","",IFERROR(DATE(VALUE(MID(AQ405,FIND("/",AQ405,FIND("/",AQ405)+1)+1,4)),VALUE(LEFT(AQ405,FIND("/",AQ405)-1)),VALUE(MID(AQ405,FIND("/",AQ405)+1,FIND("/",AQ405,FIND("/",AQ405)+1)-FIND("/",AQ405)-1))),""))</f>
        <v/>
      </c>
      <c r="AS405" s="26">
        <f>IF(G405="","",IF(AND(AG405&lt;&gt;"",AG405&lt;&gt;"Bayi Aracı"),"Evet","Hayır"))</f>
        <v/>
      </c>
      <c r="AT405" s="26">
        <f>IF(G405="","",IF(AND(AS405="Evet",T405="Siparişiniz Teslim Edildi"),"Evet","Hayır"))</f>
        <v/>
      </c>
      <c r="AU405" s="26">
        <f>IF(G405="","",IF(AB405="Siparişinizin Montajı Yapıldı","Evet","Hayır"))</f>
        <v/>
      </c>
      <c r="AV405" s="27">
        <f>IF(G405="","",IF(AT405="Evet",AR405,IF(AU405="Evet",AP405,"")))</f>
        <v/>
      </c>
    </row>
    <row r="406">
      <c r="A406" s="23" t="n"/>
      <c r="B406" s="23" t="n"/>
      <c r="C406" s="23" t="n"/>
      <c r="D406" s="23" t="n"/>
      <c r="E406" s="23" t="n"/>
      <c r="F406" s="23" t="n"/>
      <c r="G406" s="23" t="n"/>
      <c r="H406" s="23" t="n"/>
      <c r="I406" s="23" t="n"/>
      <c r="J406" s="23" t="n"/>
      <c r="K406" s="23" t="n"/>
      <c r="L406" s="23" t="n"/>
      <c r="M406" s="23" t="n"/>
      <c r="N406" s="23" t="n"/>
      <c r="O406" s="23" t="n"/>
      <c r="P406" s="23" t="n"/>
      <c r="Q406" s="23" t="n"/>
      <c r="R406" s="23" t="n"/>
      <c r="S406" s="23" t="n"/>
      <c r="T406" s="23" t="n"/>
      <c r="U406" s="23" t="n"/>
      <c r="V406" s="23" t="n"/>
      <c r="W406" s="23" t="n"/>
      <c r="X406" s="23" t="n"/>
      <c r="Y406" s="23" t="n"/>
      <c r="Z406" s="23" t="n"/>
      <c r="AA406" s="23" t="n"/>
      <c r="AB406" s="23" t="n"/>
      <c r="AC406" s="23" t="n"/>
      <c r="AD406" s="23" t="n"/>
      <c r="AE406" s="23" t="n"/>
      <c r="AF406" s="23" t="n"/>
      <c r="AG406" s="23" t="n"/>
      <c r="AH406" s="23" t="n"/>
      <c r="AI406" s="23" t="n"/>
      <c r="AJ406" s="23" t="n"/>
      <c r="AK406" s="23" t="n"/>
      <c r="AL406" s="23" t="n"/>
      <c r="AM406" s="26">
        <f>IF(G406="","",G406&amp;"|"&amp;P406)</f>
        <v/>
      </c>
      <c r="AN406" s="27">
        <f>IF(I406="","",IFERROR(DATE(VALUE(RIGHT(I406,4)),VALUE(MID(I406,4,2)),VALUE(LEFT(I406,2))),""))</f>
        <v/>
      </c>
      <c r="AO406" s="27">
        <f>IF(Y406="","",IFERROR(DATE(VALUE(RIGHT(Y406,4)),VALUE(MID(Y406,4,2)),VALUE(LEFT(Y406,2))),""))</f>
        <v/>
      </c>
      <c r="AP406" s="27">
        <f>IF(AC406="","",IFERROR(DATE(VALUE(RIGHT(AC406,4)),VALUE(MID(AC406,4,2)),VALUE(LEFT(AC406,2))),""))</f>
        <v/>
      </c>
      <c r="AQ406" s="26">
        <f>IF(AI406="","",TRIM(LEFT(AI406,FIND(" ",AI406&amp;" ")-1)))</f>
        <v/>
      </c>
      <c r="AR406" s="27">
        <f>IF(AQ406="","",IFERROR(DATE(VALUE(MID(AQ406,FIND("/",AQ406,FIND("/",AQ406)+1)+1,4)),VALUE(LEFT(AQ406,FIND("/",AQ406)-1)),VALUE(MID(AQ406,FIND("/",AQ406)+1,FIND("/",AQ406,FIND("/",AQ406)+1)-FIND("/",AQ406)-1))),""))</f>
        <v/>
      </c>
      <c r="AS406" s="26">
        <f>IF(G406="","",IF(AND(AG406&lt;&gt;"",AG406&lt;&gt;"Bayi Aracı"),"Evet","Hayır"))</f>
        <v/>
      </c>
      <c r="AT406" s="26">
        <f>IF(G406="","",IF(AND(AS406="Evet",T406="Siparişiniz Teslim Edildi"),"Evet","Hayır"))</f>
        <v/>
      </c>
      <c r="AU406" s="26">
        <f>IF(G406="","",IF(AB406="Siparişinizin Montajı Yapıldı","Evet","Hayır"))</f>
        <v/>
      </c>
      <c r="AV406" s="27">
        <f>IF(G406="","",IF(AT406="Evet",AR406,IF(AU406="Evet",AP406,"")))</f>
        <v/>
      </c>
    </row>
    <row r="407">
      <c r="A407" s="23" t="n"/>
      <c r="B407" s="23" t="n"/>
      <c r="C407" s="23" t="n"/>
      <c r="D407" s="23" t="n"/>
      <c r="E407" s="23" t="n"/>
      <c r="F407" s="23" t="n"/>
      <c r="G407" s="23" t="n"/>
      <c r="H407" s="23" t="n"/>
      <c r="I407" s="23" t="n"/>
      <c r="J407" s="23" t="n"/>
      <c r="K407" s="23" t="n"/>
      <c r="L407" s="23" t="n"/>
      <c r="M407" s="23" t="n"/>
      <c r="N407" s="23" t="n"/>
      <c r="O407" s="23" t="n"/>
      <c r="P407" s="23" t="n"/>
      <c r="Q407" s="23" t="n"/>
      <c r="R407" s="23" t="n"/>
      <c r="S407" s="23" t="n"/>
      <c r="T407" s="23" t="n"/>
      <c r="U407" s="23" t="n"/>
      <c r="V407" s="23" t="n"/>
      <c r="W407" s="23" t="n"/>
      <c r="X407" s="23" t="n"/>
      <c r="Y407" s="23" t="n"/>
      <c r="Z407" s="23" t="n"/>
      <c r="AA407" s="23" t="n"/>
      <c r="AB407" s="23" t="n"/>
      <c r="AC407" s="23" t="n"/>
      <c r="AD407" s="23" t="n"/>
      <c r="AE407" s="23" t="n"/>
      <c r="AF407" s="23" t="n"/>
      <c r="AG407" s="23" t="n"/>
      <c r="AH407" s="23" t="n"/>
      <c r="AI407" s="23" t="n"/>
      <c r="AJ407" s="23" t="n"/>
      <c r="AK407" s="23" t="n"/>
      <c r="AL407" s="23" t="n"/>
      <c r="AM407" s="26">
        <f>IF(G407="","",G407&amp;"|"&amp;P407)</f>
        <v/>
      </c>
      <c r="AN407" s="27">
        <f>IF(I407="","",IFERROR(DATE(VALUE(RIGHT(I407,4)),VALUE(MID(I407,4,2)),VALUE(LEFT(I407,2))),""))</f>
        <v/>
      </c>
      <c r="AO407" s="27">
        <f>IF(Y407="","",IFERROR(DATE(VALUE(RIGHT(Y407,4)),VALUE(MID(Y407,4,2)),VALUE(LEFT(Y407,2))),""))</f>
        <v/>
      </c>
      <c r="AP407" s="27">
        <f>IF(AC407="","",IFERROR(DATE(VALUE(RIGHT(AC407,4)),VALUE(MID(AC407,4,2)),VALUE(LEFT(AC407,2))),""))</f>
        <v/>
      </c>
      <c r="AQ407" s="26">
        <f>IF(AI407="","",TRIM(LEFT(AI407,FIND(" ",AI407&amp;" ")-1)))</f>
        <v/>
      </c>
      <c r="AR407" s="27">
        <f>IF(AQ407="","",IFERROR(DATE(VALUE(MID(AQ407,FIND("/",AQ407,FIND("/",AQ407)+1)+1,4)),VALUE(LEFT(AQ407,FIND("/",AQ407)-1)),VALUE(MID(AQ407,FIND("/",AQ407)+1,FIND("/",AQ407,FIND("/",AQ407)+1)-FIND("/",AQ407)-1))),""))</f>
        <v/>
      </c>
      <c r="AS407" s="26">
        <f>IF(G407="","",IF(AND(AG407&lt;&gt;"",AG407&lt;&gt;"Bayi Aracı"),"Evet","Hayır"))</f>
        <v/>
      </c>
      <c r="AT407" s="26">
        <f>IF(G407="","",IF(AND(AS407="Evet",T407="Siparişiniz Teslim Edildi"),"Evet","Hayır"))</f>
        <v/>
      </c>
      <c r="AU407" s="26">
        <f>IF(G407="","",IF(AB407="Siparişinizin Montajı Yapıldı","Evet","Hayır"))</f>
        <v/>
      </c>
      <c r="AV407" s="27">
        <f>IF(G407="","",IF(AT407="Evet",AR407,IF(AU407="Evet",AP407,"")))</f>
        <v/>
      </c>
    </row>
    <row r="408">
      <c r="A408" s="23" t="n"/>
      <c r="B408" s="23" t="n"/>
      <c r="C408" s="23" t="n"/>
      <c r="D408" s="23" t="n"/>
      <c r="E408" s="23" t="n"/>
      <c r="F408" s="23" t="n"/>
      <c r="G408" s="23" t="n"/>
      <c r="H408" s="23" t="n"/>
      <c r="I408" s="23" t="n"/>
      <c r="J408" s="23" t="n"/>
      <c r="K408" s="23" t="n"/>
      <c r="L408" s="23" t="n"/>
      <c r="M408" s="23" t="n"/>
      <c r="N408" s="23" t="n"/>
      <c r="O408" s="23" t="n"/>
      <c r="P408" s="23" t="n"/>
      <c r="Q408" s="23" t="n"/>
      <c r="R408" s="23" t="n"/>
      <c r="S408" s="23" t="n"/>
      <c r="T408" s="23" t="n"/>
      <c r="U408" s="23" t="n"/>
      <c r="V408" s="23" t="n"/>
      <c r="W408" s="23" t="n"/>
      <c r="X408" s="23" t="n"/>
      <c r="Y408" s="23" t="n"/>
      <c r="Z408" s="23" t="n"/>
      <c r="AA408" s="23" t="n"/>
      <c r="AB408" s="23" t="n"/>
      <c r="AC408" s="23" t="n"/>
      <c r="AD408" s="23" t="n"/>
      <c r="AE408" s="23" t="n"/>
      <c r="AF408" s="23" t="n"/>
      <c r="AG408" s="23" t="n"/>
      <c r="AH408" s="23" t="n"/>
      <c r="AI408" s="23" t="n"/>
      <c r="AJ408" s="23" t="n"/>
      <c r="AK408" s="23" t="n"/>
      <c r="AL408" s="23" t="n"/>
      <c r="AM408" s="26">
        <f>IF(G408="","",G408&amp;"|"&amp;P408)</f>
        <v/>
      </c>
      <c r="AN408" s="27">
        <f>IF(I408="","",IFERROR(DATE(VALUE(RIGHT(I408,4)),VALUE(MID(I408,4,2)),VALUE(LEFT(I408,2))),""))</f>
        <v/>
      </c>
      <c r="AO408" s="27">
        <f>IF(Y408="","",IFERROR(DATE(VALUE(RIGHT(Y408,4)),VALUE(MID(Y408,4,2)),VALUE(LEFT(Y408,2))),""))</f>
        <v/>
      </c>
      <c r="AP408" s="27">
        <f>IF(AC408="","",IFERROR(DATE(VALUE(RIGHT(AC408,4)),VALUE(MID(AC408,4,2)),VALUE(LEFT(AC408,2))),""))</f>
        <v/>
      </c>
      <c r="AQ408" s="26">
        <f>IF(AI408="","",TRIM(LEFT(AI408,FIND(" ",AI408&amp;" ")-1)))</f>
        <v/>
      </c>
      <c r="AR408" s="27">
        <f>IF(AQ408="","",IFERROR(DATE(VALUE(MID(AQ408,FIND("/",AQ408,FIND("/",AQ408)+1)+1,4)),VALUE(LEFT(AQ408,FIND("/",AQ408)-1)),VALUE(MID(AQ408,FIND("/",AQ408)+1,FIND("/",AQ408,FIND("/",AQ408)+1)-FIND("/",AQ408)-1))),""))</f>
        <v/>
      </c>
      <c r="AS408" s="26">
        <f>IF(G408="","",IF(AND(AG408&lt;&gt;"",AG408&lt;&gt;"Bayi Aracı"),"Evet","Hayır"))</f>
        <v/>
      </c>
      <c r="AT408" s="26">
        <f>IF(G408="","",IF(AND(AS408="Evet",T408="Siparişiniz Teslim Edildi"),"Evet","Hayır"))</f>
        <v/>
      </c>
      <c r="AU408" s="26">
        <f>IF(G408="","",IF(AB408="Siparişinizin Montajı Yapıldı","Evet","Hayır"))</f>
        <v/>
      </c>
      <c r="AV408" s="27">
        <f>IF(G408="","",IF(AT408="Evet",AR408,IF(AU408="Evet",AP408,"")))</f>
        <v/>
      </c>
    </row>
    <row r="409">
      <c r="A409" s="23" t="n"/>
      <c r="B409" s="23" t="n"/>
      <c r="C409" s="23" t="n"/>
      <c r="D409" s="23" t="n"/>
      <c r="E409" s="23" t="n"/>
      <c r="F409" s="23" t="n"/>
      <c r="G409" s="23" t="n"/>
      <c r="H409" s="23" t="n"/>
      <c r="I409" s="23" t="n"/>
      <c r="J409" s="23" t="n"/>
      <c r="K409" s="23" t="n"/>
      <c r="L409" s="23" t="n"/>
      <c r="M409" s="23" t="n"/>
      <c r="N409" s="23" t="n"/>
      <c r="O409" s="23" t="n"/>
      <c r="P409" s="23" t="n"/>
      <c r="Q409" s="23" t="n"/>
      <c r="R409" s="23" t="n"/>
      <c r="S409" s="23" t="n"/>
      <c r="T409" s="23" t="n"/>
      <c r="U409" s="23" t="n"/>
      <c r="V409" s="23" t="n"/>
      <c r="W409" s="23" t="n"/>
      <c r="X409" s="23" t="n"/>
      <c r="Y409" s="23" t="n"/>
      <c r="Z409" s="23" t="n"/>
      <c r="AA409" s="23" t="n"/>
      <c r="AB409" s="23" t="n"/>
      <c r="AC409" s="23" t="n"/>
      <c r="AD409" s="23" t="n"/>
      <c r="AE409" s="23" t="n"/>
      <c r="AF409" s="23" t="n"/>
      <c r="AG409" s="23" t="n"/>
      <c r="AH409" s="23" t="n"/>
      <c r="AI409" s="23" t="n"/>
      <c r="AJ409" s="23" t="n"/>
      <c r="AK409" s="23" t="n"/>
      <c r="AL409" s="23" t="n"/>
      <c r="AM409" s="26">
        <f>IF(G409="","",G409&amp;"|"&amp;P409)</f>
        <v/>
      </c>
      <c r="AN409" s="27">
        <f>IF(I409="","",IFERROR(DATE(VALUE(RIGHT(I409,4)),VALUE(MID(I409,4,2)),VALUE(LEFT(I409,2))),""))</f>
        <v/>
      </c>
      <c r="AO409" s="27">
        <f>IF(Y409="","",IFERROR(DATE(VALUE(RIGHT(Y409,4)),VALUE(MID(Y409,4,2)),VALUE(LEFT(Y409,2))),""))</f>
        <v/>
      </c>
      <c r="AP409" s="27">
        <f>IF(AC409="","",IFERROR(DATE(VALUE(RIGHT(AC409,4)),VALUE(MID(AC409,4,2)),VALUE(LEFT(AC409,2))),""))</f>
        <v/>
      </c>
      <c r="AQ409" s="26">
        <f>IF(AI409="","",TRIM(LEFT(AI409,FIND(" ",AI409&amp;" ")-1)))</f>
        <v/>
      </c>
      <c r="AR409" s="27">
        <f>IF(AQ409="","",IFERROR(DATE(VALUE(MID(AQ409,FIND("/",AQ409,FIND("/",AQ409)+1)+1,4)),VALUE(LEFT(AQ409,FIND("/",AQ409)-1)),VALUE(MID(AQ409,FIND("/",AQ409)+1,FIND("/",AQ409,FIND("/",AQ409)+1)-FIND("/",AQ409)-1))),""))</f>
        <v/>
      </c>
      <c r="AS409" s="26">
        <f>IF(G409="","",IF(AND(AG409&lt;&gt;"",AG409&lt;&gt;"Bayi Aracı"),"Evet","Hayır"))</f>
        <v/>
      </c>
      <c r="AT409" s="26">
        <f>IF(G409="","",IF(AND(AS409="Evet",T409="Siparişiniz Teslim Edildi"),"Evet","Hayır"))</f>
        <v/>
      </c>
      <c r="AU409" s="26">
        <f>IF(G409="","",IF(AB409="Siparişinizin Montajı Yapıldı","Evet","Hayır"))</f>
        <v/>
      </c>
      <c r="AV409" s="27">
        <f>IF(G409="","",IF(AT409="Evet",AR409,IF(AU409="Evet",AP409,"")))</f>
        <v/>
      </c>
    </row>
    <row r="410">
      <c r="A410" s="23" t="n"/>
      <c r="B410" s="23" t="n"/>
      <c r="C410" s="23" t="n"/>
      <c r="D410" s="23" t="n"/>
      <c r="E410" s="23" t="n"/>
      <c r="F410" s="23" t="n"/>
      <c r="G410" s="23" t="n"/>
      <c r="H410" s="23" t="n"/>
      <c r="I410" s="23" t="n"/>
      <c r="J410" s="23" t="n"/>
      <c r="K410" s="23" t="n"/>
      <c r="L410" s="23" t="n"/>
      <c r="M410" s="23" t="n"/>
      <c r="N410" s="23" t="n"/>
      <c r="O410" s="23" t="n"/>
      <c r="P410" s="23" t="n"/>
      <c r="Q410" s="23" t="n"/>
      <c r="R410" s="23" t="n"/>
      <c r="S410" s="23" t="n"/>
      <c r="T410" s="23" t="n"/>
      <c r="U410" s="23" t="n"/>
      <c r="V410" s="23" t="n"/>
      <c r="W410" s="23" t="n"/>
      <c r="X410" s="23" t="n"/>
      <c r="Y410" s="23" t="n"/>
      <c r="Z410" s="23" t="n"/>
      <c r="AA410" s="23" t="n"/>
      <c r="AB410" s="23" t="n"/>
      <c r="AC410" s="23" t="n"/>
      <c r="AD410" s="23" t="n"/>
      <c r="AE410" s="23" t="n"/>
      <c r="AF410" s="23" t="n"/>
      <c r="AG410" s="23" t="n"/>
      <c r="AH410" s="23" t="n"/>
      <c r="AI410" s="23" t="n"/>
      <c r="AJ410" s="23" t="n"/>
      <c r="AK410" s="23" t="n"/>
      <c r="AL410" s="23" t="n"/>
      <c r="AM410" s="26">
        <f>IF(G410="","",G410&amp;"|"&amp;P410)</f>
        <v/>
      </c>
      <c r="AN410" s="27">
        <f>IF(I410="","",IFERROR(DATE(VALUE(RIGHT(I410,4)),VALUE(MID(I410,4,2)),VALUE(LEFT(I410,2))),""))</f>
        <v/>
      </c>
      <c r="AO410" s="27">
        <f>IF(Y410="","",IFERROR(DATE(VALUE(RIGHT(Y410,4)),VALUE(MID(Y410,4,2)),VALUE(LEFT(Y410,2))),""))</f>
        <v/>
      </c>
      <c r="AP410" s="27">
        <f>IF(AC410="","",IFERROR(DATE(VALUE(RIGHT(AC410,4)),VALUE(MID(AC410,4,2)),VALUE(LEFT(AC410,2))),""))</f>
        <v/>
      </c>
      <c r="AQ410" s="26">
        <f>IF(AI410="","",TRIM(LEFT(AI410,FIND(" ",AI410&amp;" ")-1)))</f>
        <v/>
      </c>
      <c r="AR410" s="27">
        <f>IF(AQ410="","",IFERROR(DATE(VALUE(MID(AQ410,FIND("/",AQ410,FIND("/",AQ410)+1)+1,4)),VALUE(LEFT(AQ410,FIND("/",AQ410)-1)),VALUE(MID(AQ410,FIND("/",AQ410)+1,FIND("/",AQ410,FIND("/",AQ410)+1)-FIND("/",AQ410)-1))),""))</f>
        <v/>
      </c>
      <c r="AS410" s="26">
        <f>IF(G410="","",IF(AND(AG410&lt;&gt;"",AG410&lt;&gt;"Bayi Aracı"),"Evet","Hayır"))</f>
        <v/>
      </c>
      <c r="AT410" s="26">
        <f>IF(G410="","",IF(AND(AS410="Evet",T410="Siparişiniz Teslim Edildi"),"Evet","Hayır"))</f>
        <v/>
      </c>
      <c r="AU410" s="26">
        <f>IF(G410="","",IF(AB410="Siparişinizin Montajı Yapıldı","Evet","Hayır"))</f>
        <v/>
      </c>
      <c r="AV410" s="27">
        <f>IF(G410="","",IF(AT410="Evet",AR410,IF(AU410="Evet",AP410,"")))</f>
        <v/>
      </c>
    </row>
    <row r="411">
      <c r="A411" s="23" t="n"/>
      <c r="B411" s="23" t="n"/>
      <c r="C411" s="23" t="n"/>
      <c r="D411" s="23" t="n"/>
      <c r="E411" s="23" t="n"/>
      <c r="F411" s="23" t="n"/>
      <c r="G411" s="23" t="n"/>
      <c r="H411" s="23" t="n"/>
      <c r="I411" s="23" t="n"/>
      <c r="J411" s="23" t="n"/>
      <c r="K411" s="23" t="n"/>
      <c r="L411" s="23" t="n"/>
      <c r="M411" s="23" t="n"/>
      <c r="N411" s="23" t="n"/>
      <c r="O411" s="23" t="n"/>
      <c r="P411" s="23" t="n"/>
      <c r="Q411" s="23" t="n"/>
      <c r="R411" s="23" t="n"/>
      <c r="S411" s="23" t="n"/>
      <c r="T411" s="23" t="n"/>
      <c r="U411" s="23" t="n"/>
      <c r="V411" s="23" t="n"/>
      <c r="W411" s="23" t="n"/>
      <c r="X411" s="23" t="n"/>
      <c r="Y411" s="23" t="n"/>
      <c r="Z411" s="23" t="n"/>
      <c r="AA411" s="23" t="n"/>
      <c r="AB411" s="23" t="n"/>
      <c r="AC411" s="23" t="n"/>
      <c r="AD411" s="23" t="n"/>
      <c r="AE411" s="23" t="n"/>
      <c r="AF411" s="23" t="n"/>
      <c r="AG411" s="23" t="n"/>
      <c r="AH411" s="23" t="n"/>
      <c r="AI411" s="23" t="n"/>
      <c r="AJ411" s="23" t="n"/>
      <c r="AK411" s="23" t="n"/>
      <c r="AL411" s="23" t="n"/>
      <c r="AM411" s="26">
        <f>IF(G411="","",G411&amp;"|"&amp;P411)</f>
        <v/>
      </c>
      <c r="AN411" s="27">
        <f>IF(I411="","",IFERROR(DATE(VALUE(RIGHT(I411,4)),VALUE(MID(I411,4,2)),VALUE(LEFT(I411,2))),""))</f>
        <v/>
      </c>
      <c r="AO411" s="27">
        <f>IF(Y411="","",IFERROR(DATE(VALUE(RIGHT(Y411,4)),VALUE(MID(Y411,4,2)),VALUE(LEFT(Y411,2))),""))</f>
        <v/>
      </c>
      <c r="AP411" s="27">
        <f>IF(AC411="","",IFERROR(DATE(VALUE(RIGHT(AC411,4)),VALUE(MID(AC411,4,2)),VALUE(LEFT(AC411,2))),""))</f>
        <v/>
      </c>
      <c r="AQ411" s="26">
        <f>IF(AI411="","",TRIM(LEFT(AI411,FIND(" ",AI411&amp;" ")-1)))</f>
        <v/>
      </c>
      <c r="AR411" s="27">
        <f>IF(AQ411="","",IFERROR(DATE(VALUE(MID(AQ411,FIND("/",AQ411,FIND("/",AQ411)+1)+1,4)),VALUE(LEFT(AQ411,FIND("/",AQ411)-1)),VALUE(MID(AQ411,FIND("/",AQ411)+1,FIND("/",AQ411,FIND("/",AQ411)+1)-FIND("/",AQ411)-1))),""))</f>
        <v/>
      </c>
      <c r="AS411" s="26">
        <f>IF(G411="","",IF(AND(AG411&lt;&gt;"",AG411&lt;&gt;"Bayi Aracı"),"Evet","Hayır"))</f>
        <v/>
      </c>
      <c r="AT411" s="26">
        <f>IF(G411="","",IF(AND(AS411="Evet",T411="Siparişiniz Teslim Edildi"),"Evet","Hayır"))</f>
        <v/>
      </c>
      <c r="AU411" s="26">
        <f>IF(G411="","",IF(AB411="Siparişinizin Montajı Yapıldı","Evet","Hayır"))</f>
        <v/>
      </c>
      <c r="AV411" s="27">
        <f>IF(G411="","",IF(AT411="Evet",AR411,IF(AU411="Evet",AP411,"")))</f>
        <v/>
      </c>
    </row>
    <row r="412">
      <c r="A412" s="23" t="n"/>
      <c r="B412" s="23" t="n"/>
      <c r="C412" s="23" t="n"/>
      <c r="D412" s="23" t="n"/>
      <c r="E412" s="23" t="n"/>
      <c r="F412" s="23" t="n"/>
      <c r="G412" s="23" t="n"/>
      <c r="H412" s="23" t="n"/>
      <c r="I412" s="23" t="n"/>
      <c r="J412" s="23" t="n"/>
      <c r="K412" s="23" t="n"/>
      <c r="L412" s="23" t="n"/>
      <c r="M412" s="23" t="n"/>
      <c r="N412" s="23" t="n"/>
      <c r="O412" s="23" t="n"/>
      <c r="P412" s="23" t="n"/>
      <c r="Q412" s="23" t="n"/>
      <c r="R412" s="23" t="n"/>
      <c r="S412" s="23" t="n"/>
      <c r="T412" s="23" t="n"/>
      <c r="U412" s="23" t="n"/>
      <c r="V412" s="23" t="n"/>
      <c r="W412" s="23" t="n"/>
      <c r="X412" s="23" t="n"/>
      <c r="Y412" s="23" t="n"/>
      <c r="Z412" s="23" t="n"/>
      <c r="AA412" s="23" t="n"/>
      <c r="AB412" s="23" t="n"/>
      <c r="AC412" s="23" t="n"/>
      <c r="AD412" s="23" t="n"/>
      <c r="AE412" s="23" t="n"/>
      <c r="AF412" s="23" t="n"/>
      <c r="AG412" s="23" t="n"/>
      <c r="AH412" s="23" t="n"/>
      <c r="AI412" s="23" t="n"/>
      <c r="AJ412" s="23" t="n"/>
      <c r="AK412" s="23" t="n"/>
      <c r="AL412" s="23" t="n"/>
      <c r="AM412" s="26">
        <f>IF(G412="","",G412&amp;"|"&amp;P412)</f>
        <v/>
      </c>
      <c r="AN412" s="27">
        <f>IF(I412="","",IFERROR(DATE(VALUE(RIGHT(I412,4)),VALUE(MID(I412,4,2)),VALUE(LEFT(I412,2))),""))</f>
        <v/>
      </c>
      <c r="AO412" s="27">
        <f>IF(Y412="","",IFERROR(DATE(VALUE(RIGHT(Y412,4)),VALUE(MID(Y412,4,2)),VALUE(LEFT(Y412,2))),""))</f>
        <v/>
      </c>
      <c r="AP412" s="27">
        <f>IF(AC412="","",IFERROR(DATE(VALUE(RIGHT(AC412,4)),VALUE(MID(AC412,4,2)),VALUE(LEFT(AC412,2))),""))</f>
        <v/>
      </c>
      <c r="AQ412" s="26">
        <f>IF(AI412="","",TRIM(LEFT(AI412,FIND(" ",AI412&amp;" ")-1)))</f>
        <v/>
      </c>
      <c r="AR412" s="27">
        <f>IF(AQ412="","",IFERROR(DATE(VALUE(MID(AQ412,FIND("/",AQ412,FIND("/",AQ412)+1)+1,4)),VALUE(LEFT(AQ412,FIND("/",AQ412)-1)),VALUE(MID(AQ412,FIND("/",AQ412)+1,FIND("/",AQ412,FIND("/",AQ412)+1)-FIND("/",AQ412)-1))),""))</f>
        <v/>
      </c>
      <c r="AS412" s="26">
        <f>IF(G412="","",IF(AND(AG412&lt;&gt;"",AG412&lt;&gt;"Bayi Aracı"),"Evet","Hayır"))</f>
        <v/>
      </c>
      <c r="AT412" s="26">
        <f>IF(G412="","",IF(AND(AS412="Evet",T412="Siparişiniz Teslim Edildi"),"Evet","Hayır"))</f>
        <v/>
      </c>
      <c r="AU412" s="26">
        <f>IF(G412="","",IF(AB412="Siparişinizin Montajı Yapıldı","Evet","Hayır"))</f>
        <v/>
      </c>
      <c r="AV412" s="27">
        <f>IF(G412="","",IF(AT412="Evet",AR412,IF(AU412="Evet",AP412,"")))</f>
        <v/>
      </c>
    </row>
    <row r="413">
      <c r="A413" s="23" t="n"/>
      <c r="B413" s="23" t="n"/>
      <c r="C413" s="23" t="n"/>
      <c r="D413" s="23" t="n"/>
      <c r="E413" s="23" t="n"/>
      <c r="F413" s="23" t="n"/>
      <c r="G413" s="23" t="n"/>
      <c r="H413" s="23" t="n"/>
      <c r="I413" s="23" t="n"/>
      <c r="J413" s="23" t="n"/>
      <c r="K413" s="23" t="n"/>
      <c r="L413" s="23" t="n"/>
      <c r="M413" s="23" t="n"/>
      <c r="N413" s="23" t="n"/>
      <c r="O413" s="23" t="n"/>
      <c r="P413" s="23" t="n"/>
      <c r="Q413" s="23" t="n"/>
      <c r="R413" s="23" t="n"/>
      <c r="S413" s="23" t="n"/>
      <c r="T413" s="23" t="n"/>
      <c r="U413" s="23" t="n"/>
      <c r="V413" s="23" t="n"/>
      <c r="W413" s="23" t="n"/>
      <c r="X413" s="23" t="n"/>
      <c r="Y413" s="23" t="n"/>
      <c r="Z413" s="23" t="n"/>
      <c r="AA413" s="23" t="n"/>
      <c r="AB413" s="23" t="n"/>
      <c r="AC413" s="23" t="n"/>
      <c r="AD413" s="23" t="n"/>
      <c r="AE413" s="23" t="n"/>
      <c r="AF413" s="23" t="n"/>
      <c r="AG413" s="23" t="n"/>
      <c r="AH413" s="23" t="n"/>
      <c r="AI413" s="23" t="n"/>
      <c r="AJ413" s="23" t="n"/>
      <c r="AK413" s="23" t="n"/>
      <c r="AL413" s="23" t="n"/>
      <c r="AM413" s="26">
        <f>IF(G413="","",G413&amp;"|"&amp;P413)</f>
        <v/>
      </c>
      <c r="AN413" s="27">
        <f>IF(I413="","",IFERROR(DATE(VALUE(RIGHT(I413,4)),VALUE(MID(I413,4,2)),VALUE(LEFT(I413,2))),""))</f>
        <v/>
      </c>
      <c r="AO413" s="27">
        <f>IF(Y413="","",IFERROR(DATE(VALUE(RIGHT(Y413,4)),VALUE(MID(Y413,4,2)),VALUE(LEFT(Y413,2))),""))</f>
        <v/>
      </c>
      <c r="AP413" s="27">
        <f>IF(AC413="","",IFERROR(DATE(VALUE(RIGHT(AC413,4)),VALUE(MID(AC413,4,2)),VALUE(LEFT(AC413,2))),""))</f>
        <v/>
      </c>
      <c r="AQ413" s="26">
        <f>IF(AI413="","",TRIM(LEFT(AI413,FIND(" ",AI413&amp;" ")-1)))</f>
        <v/>
      </c>
      <c r="AR413" s="27">
        <f>IF(AQ413="","",IFERROR(DATE(VALUE(MID(AQ413,FIND("/",AQ413,FIND("/",AQ413)+1)+1,4)),VALUE(LEFT(AQ413,FIND("/",AQ413)-1)),VALUE(MID(AQ413,FIND("/",AQ413)+1,FIND("/",AQ413,FIND("/",AQ413)+1)-FIND("/",AQ413)-1))),""))</f>
        <v/>
      </c>
      <c r="AS413" s="26">
        <f>IF(G413="","",IF(AND(AG413&lt;&gt;"",AG413&lt;&gt;"Bayi Aracı"),"Evet","Hayır"))</f>
        <v/>
      </c>
      <c r="AT413" s="26">
        <f>IF(G413="","",IF(AND(AS413="Evet",T413="Siparişiniz Teslim Edildi"),"Evet","Hayır"))</f>
        <v/>
      </c>
      <c r="AU413" s="26">
        <f>IF(G413="","",IF(AB413="Siparişinizin Montajı Yapıldı","Evet","Hayır"))</f>
        <v/>
      </c>
      <c r="AV413" s="27">
        <f>IF(G413="","",IF(AT413="Evet",AR413,IF(AU413="Evet",AP413,"")))</f>
        <v/>
      </c>
    </row>
    <row r="414">
      <c r="A414" s="23" t="n"/>
      <c r="B414" s="23" t="n"/>
      <c r="C414" s="23" t="n"/>
      <c r="D414" s="23" t="n"/>
      <c r="E414" s="23" t="n"/>
      <c r="F414" s="23" t="n"/>
      <c r="G414" s="23" t="n"/>
      <c r="H414" s="23" t="n"/>
      <c r="I414" s="23" t="n"/>
      <c r="J414" s="23" t="n"/>
      <c r="K414" s="23" t="n"/>
      <c r="L414" s="23" t="n"/>
      <c r="M414" s="23" t="n"/>
      <c r="N414" s="23" t="n"/>
      <c r="O414" s="23" t="n"/>
      <c r="P414" s="23" t="n"/>
      <c r="Q414" s="23" t="n"/>
      <c r="R414" s="23" t="n"/>
      <c r="S414" s="23" t="n"/>
      <c r="T414" s="23" t="n"/>
      <c r="U414" s="23" t="n"/>
      <c r="V414" s="23" t="n"/>
      <c r="W414" s="23" t="n"/>
      <c r="X414" s="23" t="n"/>
      <c r="Y414" s="23" t="n"/>
      <c r="Z414" s="23" t="n"/>
      <c r="AA414" s="23" t="n"/>
      <c r="AB414" s="23" t="n"/>
      <c r="AC414" s="23" t="n"/>
      <c r="AD414" s="23" t="n"/>
      <c r="AE414" s="23" t="n"/>
      <c r="AF414" s="23" t="n"/>
      <c r="AG414" s="23" t="n"/>
      <c r="AH414" s="23" t="n"/>
      <c r="AI414" s="23" t="n"/>
      <c r="AJ414" s="23" t="n"/>
      <c r="AK414" s="23" t="n"/>
      <c r="AL414" s="23" t="n"/>
      <c r="AM414" s="26">
        <f>IF(G414="","",G414&amp;"|"&amp;P414)</f>
        <v/>
      </c>
      <c r="AN414" s="27">
        <f>IF(I414="","",IFERROR(DATE(VALUE(RIGHT(I414,4)),VALUE(MID(I414,4,2)),VALUE(LEFT(I414,2))),""))</f>
        <v/>
      </c>
      <c r="AO414" s="27">
        <f>IF(Y414="","",IFERROR(DATE(VALUE(RIGHT(Y414,4)),VALUE(MID(Y414,4,2)),VALUE(LEFT(Y414,2))),""))</f>
        <v/>
      </c>
      <c r="AP414" s="27">
        <f>IF(AC414="","",IFERROR(DATE(VALUE(RIGHT(AC414,4)),VALUE(MID(AC414,4,2)),VALUE(LEFT(AC414,2))),""))</f>
        <v/>
      </c>
      <c r="AQ414" s="26">
        <f>IF(AI414="","",TRIM(LEFT(AI414,FIND(" ",AI414&amp;" ")-1)))</f>
        <v/>
      </c>
      <c r="AR414" s="27">
        <f>IF(AQ414="","",IFERROR(DATE(VALUE(MID(AQ414,FIND("/",AQ414,FIND("/",AQ414)+1)+1,4)),VALUE(LEFT(AQ414,FIND("/",AQ414)-1)),VALUE(MID(AQ414,FIND("/",AQ414)+1,FIND("/",AQ414,FIND("/",AQ414)+1)-FIND("/",AQ414)-1))),""))</f>
        <v/>
      </c>
      <c r="AS414" s="26">
        <f>IF(G414="","",IF(AND(AG414&lt;&gt;"",AG414&lt;&gt;"Bayi Aracı"),"Evet","Hayır"))</f>
        <v/>
      </c>
      <c r="AT414" s="26">
        <f>IF(G414="","",IF(AND(AS414="Evet",T414="Siparişiniz Teslim Edildi"),"Evet","Hayır"))</f>
        <v/>
      </c>
      <c r="AU414" s="26">
        <f>IF(G414="","",IF(AB414="Siparişinizin Montajı Yapıldı","Evet","Hayır"))</f>
        <v/>
      </c>
      <c r="AV414" s="27">
        <f>IF(G414="","",IF(AT414="Evet",AR414,IF(AU414="Evet",AP414,"")))</f>
        <v/>
      </c>
    </row>
    <row r="415">
      <c r="A415" s="23" t="n"/>
      <c r="B415" s="23" t="n"/>
      <c r="C415" s="23" t="n"/>
      <c r="D415" s="23" t="n"/>
      <c r="E415" s="23" t="n"/>
      <c r="F415" s="23" t="n"/>
      <c r="G415" s="23" t="n"/>
      <c r="H415" s="23" t="n"/>
      <c r="I415" s="23" t="n"/>
      <c r="J415" s="23" t="n"/>
      <c r="K415" s="23" t="n"/>
      <c r="L415" s="23" t="n"/>
      <c r="M415" s="23" t="n"/>
      <c r="N415" s="23" t="n"/>
      <c r="O415" s="23" t="n"/>
      <c r="P415" s="23" t="n"/>
      <c r="Q415" s="23" t="n"/>
      <c r="R415" s="23" t="n"/>
      <c r="S415" s="23" t="n"/>
      <c r="T415" s="23" t="n"/>
      <c r="U415" s="23" t="n"/>
      <c r="V415" s="23" t="n"/>
      <c r="W415" s="23" t="n"/>
      <c r="X415" s="23" t="n"/>
      <c r="Y415" s="23" t="n"/>
      <c r="Z415" s="23" t="n"/>
      <c r="AA415" s="23" t="n"/>
      <c r="AB415" s="23" t="n"/>
      <c r="AC415" s="23" t="n"/>
      <c r="AD415" s="23" t="n"/>
      <c r="AE415" s="23" t="n"/>
      <c r="AF415" s="23" t="n"/>
      <c r="AG415" s="23" t="n"/>
      <c r="AH415" s="23" t="n"/>
      <c r="AI415" s="23" t="n"/>
      <c r="AJ415" s="23" t="n"/>
      <c r="AK415" s="23" t="n"/>
      <c r="AL415" s="23" t="n"/>
      <c r="AM415" s="26">
        <f>IF(G415="","",G415&amp;"|"&amp;P415)</f>
        <v/>
      </c>
      <c r="AN415" s="27">
        <f>IF(I415="","",IFERROR(DATE(VALUE(RIGHT(I415,4)),VALUE(MID(I415,4,2)),VALUE(LEFT(I415,2))),""))</f>
        <v/>
      </c>
      <c r="AO415" s="27">
        <f>IF(Y415="","",IFERROR(DATE(VALUE(RIGHT(Y415,4)),VALUE(MID(Y415,4,2)),VALUE(LEFT(Y415,2))),""))</f>
        <v/>
      </c>
      <c r="AP415" s="27">
        <f>IF(AC415="","",IFERROR(DATE(VALUE(RIGHT(AC415,4)),VALUE(MID(AC415,4,2)),VALUE(LEFT(AC415,2))),""))</f>
        <v/>
      </c>
      <c r="AQ415" s="26">
        <f>IF(AI415="","",TRIM(LEFT(AI415,FIND(" ",AI415&amp;" ")-1)))</f>
        <v/>
      </c>
      <c r="AR415" s="27">
        <f>IF(AQ415="","",IFERROR(DATE(VALUE(MID(AQ415,FIND("/",AQ415,FIND("/",AQ415)+1)+1,4)),VALUE(LEFT(AQ415,FIND("/",AQ415)-1)),VALUE(MID(AQ415,FIND("/",AQ415)+1,FIND("/",AQ415,FIND("/",AQ415)+1)-FIND("/",AQ415)-1))),""))</f>
        <v/>
      </c>
      <c r="AS415" s="26">
        <f>IF(G415="","",IF(AND(AG415&lt;&gt;"",AG415&lt;&gt;"Bayi Aracı"),"Evet","Hayır"))</f>
        <v/>
      </c>
      <c r="AT415" s="26">
        <f>IF(G415="","",IF(AND(AS415="Evet",T415="Siparişiniz Teslim Edildi"),"Evet","Hayır"))</f>
        <v/>
      </c>
      <c r="AU415" s="26">
        <f>IF(G415="","",IF(AB415="Siparişinizin Montajı Yapıldı","Evet","Hayır"))</f>
        <v/>
      </c>
      <c r="AV415" s="27">
        <f>IF(G415="","",IF(AT415="Evet",AR415,IF(AU415="Evet",AP415,"")))</f>
        <v/>
      </c>
    </row>
    <row r="416">
      <c r="A416" s="23" t="n"/>
      <c r="B416" s="23" t="n"/>
      <c r="C416" s="23" t="n"/>
      <c r="D416" s="23" t="n"/>
      <c r="E416" s="23" t="n"/>
      <c r="F416" s="23" t="n"/>
      <c r="G416" s="23" t="n"/>
      <c r="H416" s="23" t="n"/>
      <c r="I416" s="23" t="n"/>
      <c r="J416" s="23" t="n"/>
      <c r="K416" s="23" t="n"/>
      <c r="L416" s="23" t="n"/>
      <c r="M416" s="23" t="n"/>
      <c r="N416" s="23" t="n"/>
      <c r="O416" s="23" t="n"/>
      <c r="P416" s="23" t="n"/>
      <c r="Q416" s="23" t="n"/>
      <c r="R416" s="23" t="n"/>
      <c r="S416" s="23" t="n"/>
      <c r="T416" s="23" t="n"/>
      <c r="U416" s="23" t="n"/>
      <c r="V416" s="23" t="n"/>
      <c r="W416" s="23" t="n"/>
      <c r="X416" s="23" t="n"/>
      <c r="Y416" s="23" t="n"/>
      <c r="Z416" s="23" t="n"/>
      <c r="AA416" s="23" t="n"/>
      <c r="AB416" s="23" t="n"/>
      <c r="AC416" s="23" t="n"/>
      <c r="AD416" s="23" t="n"/>
      <c r="AE416" s="23" t="n"/>
      <c r="AF416" s="23" t="n"/>
      <c r="AG416" s="23" t="n"/>
      <c r="AH416" s="23" t="n"/>
      <c r="AI416" s="23" t="n"/>
      <c r="AJ416" s="23" t="n"/>
      <c r="AK416" s="23" t="n"/>
      <c r="AL416" s="23" t="n"/>
      <c r="AM416" s="26">
        <f>IF(G416="","",G416&amp;"|"&amp;P416)</f>
        <v/>
      </c>
      <c r="AN416" s="27">
        <f>IF(I416="","",IFERROR(DATE(VALUE(RIGHT(I416,4)),VALUE(MID(I416,4,2)),VALUE(LEFT(I416,2))),""))</f>
        <v/>
      </c>
      <c r="AO416" s="27">
        <f>IF(Y416="","",IFERROR(DATE(VALUE(RIGHT(Y416,4)),VALUE(MID(Y416,4,2)),VALUE(LEFT(Y416,2))),""))</f>
        <v/>
      </c>
      <c r="AP416" s="27">
        <f>IF(AC416="","",IFERROR(DATE(VALUE(RIGHT(AC416,4)),VALUE(MID(AC416,4,2)),VALUE(LEFT(AC416,2))),""))</f>
        <v/>
      </c>
      <c r="AQ416" s="26">
        <f>IF(AI416="","",TRIM(LEFT(AI416,FIND(" ",AI416&amp;" ")-1)))</f>
        <v/>
      </c>
      <c r="AR416" s="27">
        <f>IF(AQ416="","",IFERROR(DATE(VALUE(MID(AQ416,FIND("/",AQ416,FIND("/",AQ416)+1)+1,4)),VALUE(LEFT(AQ416,FIND("/",AQ416)-1)),VALUE(MID(AQ416,FIND("/",AQ416)+1,FIND("/",AQ416,FIND("/",AQ416)+1)-FIND("/",AQ416)-1))),""))</f>
        <v/>
      </c>
      <c r="AS416" s="26">
        <f>IF(G416="","",IF(AND(AG416&lt;&gt;"",AG416&lt;&gt;"Bayi Aracı"),"Evet","Hayır"))</f>
        <v/>
      </c>
      <c r="AT416" s="26">
        <f>IF(G416="","",IF(AND(AS416="Evet",T416="Siparişiniz Teslim Edildi"),"Evet","Hayır"))</f>
        <v/>
      </c>
      <c r="AU416" s="26">
        <f>IF(G416="","",IF(AB416="Siparişinizin Montajı Yapıldı","Evet","Hayır"))</f>
        <v/>
      </c>
      <c r="AV416" s="27">
        <f>IF(G416="","",IF(AT416="Evet",AR416,IF(AU416="Evet",AP416,"")))</f>
        <v/>
      </c>
    </row>
    <row r="417">
      <c r="A417" s="23" t="n"/>
      <c r="B417" s="23" t="n"/>
      <c r="C417" s="23" t="n"/>
      <c r="D417" s="23" t="n"/>
      <c r="E417" s="23" t="n"/>
      <c r="F417" s="23" t="n"/>
      <c r="G417" s="23" t="n"/>
      <c r="H417" s="23" t="n"/>
      <c r="I417" s="23" t="n"/>
      <c r="J417" s="23" t="n"/>
      <c r="K417" s="23" t="n"/>
      <c r="L417" s="23" t="n"/>
      <c r="M417" s="23" t="n"/>
      <c r="N417" s="23" t="n"/>
      <c r="O417" s="23" t="n"/>
      <c r="P417" s="23" t="n"/>
      <c r="Q417" s="23" t="n"/>
      <c r="R417" s="23" t="n"/>
      <c r="S417" s="23" t="n"/>
      <c r="T417" s="23" t="n"/>
      <c r="U417" s="23" t="n"/>
      <c r="V417" s="23" t="n"/>
      <c r="W417" s="23" t="n"/>
      <c r="X417" s="23" t="n"/>
      <c r="Y417" s="23" t="n"/>
      <c r="Z417" s="23" t="n"/>
      <c r="AA417" s="23" t="n"/>
      <c r="AB417" s="23" t="n"/>
      <c r="AC417" s="23" t="n"/>
      <c r="AD417" s="23" t="n"/>
      <c r="AE417" s="23" t="n"/>
      <c r="AF417" s="23" t="n"/>
      <c r="AG417" s="23" t="n"/>
      <c r="AH417" s="23" t="n"/>
      <c r="AI417" s="23" t="n"/>
      <c r="AJ417" s="23" t="n"/>
      <c r="AK417" s="23" t="n"/>
      <c r="AL417" s="23" t="n"/>
      <c r="AM417" s="26">
        <f>IF(G417="","",G417&amp;"|"&amp;P417)</f>
        <v/>
      </c>
      <c r="AN417" s="27">
        <f>IF(I417="","",IFERROR(DATE(VALUE(RIGHT(I417,4)),VALUE(MID(I417,4,2)),VALUE(LEFT(I417,2))),""))</f>
        <v/>
      </c>
      <c r="AO417" s="27">
        <f>IF(Y417="","",IFERROR(DATE(VALUE(RIGHT(Y417,4)),VALUE(MID(Y417,4,2)),VALUE(LEFT(Y417,2))),""))</f>
        <v/>
      </c>
      <c r="AP417" s="27">
        <f>IF(AC417="","",IFERROR(DATE(VALUE(RIGHT(AC417,4)),VALUE(MID(AC417,4,2)),VALUE(LEFT(AC417,2))),""))</f>
        <v/>
      </c>
      <c r="AQ417" s="26">
        <f>IF(AI417="","",TRIM(LEFT(AI417,FIND(" ",AI417&amp;" ")-1)))</f>
        <v/>
      </c>
      <c r="AR417" s="27">
        <f>IF(AQ417="","",IFERROR(DATE(VALUE(MID(AQ417,FIND("/",AQ417,FIND("/",AQ417)+1)+1,4)),VALUE(LEFT(AQ417,FIND("/",AQ417)-1)),VALUE(MID(AQ417,FIND("/",AQ417)+1,FIND("/",AQ417,FIND("/",AQ417)+1)-FIND("/",AQ417)-1))),""))</f>
        <v/>
      </c>
      <c r="AS417" s="26">
        <f>IF(G417="","",IF(AND(AG417&lt;&gt;"",AG417&lt;&gt;"Bayi Aracı"),"Evet","Hayır"))</f>
        <v/>
      </c>
      <c r="AT417" s="26">
        <f>IF(G417="","",IF(AND(AS417="Evet",T417="Siparişiniz Teslim Edildi"),"Evet","Hayır"))</f>
        <v/>
      </c>
      <c r="AU417" s="26">
        <f>IF(G417="","",IF(AB417="Siparişinizin Montajı Yapıldı","Evet","Hayır"))</f>
        <v/>
      </c>
      <c r="AV417" s="27">
        <f>IF(G417="","",IF(AT417="Evet",AR417,IF(AU417="Evet",AP417,"")))</f>
        <v/>
      </c>
    </row>
    <row r="418">
      <c r="A418" s="23" t="n"/>
      <c r="B418" s="23" t="n"/>
      <c r="C418" s="23" t="n"/>
      <c r="D418" s="23" t="n"/>
      <c r="E418" s="23" t="n"/>
      <c r="F418" s="23" t="n"/>
      <c r="G418" s="23" t="n"/>
      <c r="H418" s="23" t="n"/>
      <c r="I418" s="23" t="n"/>
      <c r="J418" s="23" t="n"/>
      <c r="K418" s="23" t="n"/>
      <c r="L418" s="23" t="n"/>
      <c r="M418" s="23" t="n"/>
      <c r="N418" s="23" t="n"/>
      <c r="O418" s="23" t="n"/>
      <c r="P418" s="23" t="n"/>
      <c r="Q418" s="23" t="n"/>
      <c r="R418" s="23" t="n"/>
      <c r="S418" s="23" t="n"/>
      <c r="T418" s="23" t="n"/>
      <c r="U418" s="23" t="n"/>
      <c r="V418" s="23" t="n"/>
      <c r="W418" s="23" t="n"/>
      <c r="X418" s="23" t="n"/>
      <c r="Y418" s="23" t="n"/>
      <c r="Z418" s="23" t="n"/>
      <c r="AA418" s="23" t="n"/>
      <c r="AB418" s="23" t="n"/>
      <c r="AC418" s="23" t="n"/>
      <c r="AD418" s="23" t="n"/>
      <c r="AE418" s="23" t="n"/>
      <c r="AF418" s="23" t="n"/>
      <c r="AG418" s="23" t="n"/>
      <c r="AH418" s="23" t="n"/>
      <c r="AI418" s="23" t="n"/>
      <c r="AJ418" s="23" t="n"/>
      <c r="AK418" s="23" t="n"/>
      <c r="AL418" s="23" t="n"/>
      <c r="AM418" s="26">
        <f>IF(G418="","",G418&amp;"|"&amp;P418)</f>
        <v/>
      </c>
      <c r="AN418" s="27">
        <f>IF(I418="","",IFERROR(DATE(VALUE(RIGHT(I418,4)),VALUE(MID(I418,4,2)),VALUE(LEFT(I418,2))),""))</f>
        <v/>
      </c>
      <c r="AO418" s="27">
        <f>IF(Y418="","",IFERROR(DATE(VALUE(RIGHT(Y418,4)),VALUE(MID(Y418,4,2)),VALUE(LEFT(Y418,2))),""))</f>
        <v/>
      </c>
      <c r="AP418" s="27">
        <f>IF(AC418="","",IFERROR(DATE(VALUE(RIGHT(AC418,4)),VALUE(MID(AC418,4,2)),VALUE(LEFT(AC418,2))),""))</f>
        <v/>
      </c>
      <c r="AQ418" s="26">
        <f>IF(AI418="","",TRIM(LEFT(AI418,FIND(" ",AI418&amp;" ")-1)))</f>
        <v/>
      </c>
      <c r="AR418" s="27">
        <f>IF(AQ418="","",IFERROR(DATE(VALUE(MID(AQ418,FIND("/",AQ418,FIND("/",AQ418)+1)+1,4)),VALUE(LEFT(AQ418,FIND("/",AQ418)-1)),VALUE(MID(AQ418,FIND("/",AQ418)+1,FIND("/",AQ418,FIND("/",AQ418)+1)-FIND("/",AQ418)-1))),""))</f>
        <v/>
      </c>
      <c r="AS418" s="26">
        <f>IF(G418="","",IF(AND(AG418&lt;&gt;"",AG418&lt;&gt;"Bayi Aracı"),"Evet","Hayır"))</f>
        <v/>
      </c>
      <c r="AT418" s="26">
        <f>IF(G418="","",IF(AND(AS418="Evet",T418="Siparişiniz Teslim Edildi"),"Evet","Hayır"))</f>
        <v/>
      </c>
      <c r="AU418" s="26">
        <f>IF(G418="","",IF(AB418="Siparişinizin Montajı Yapıldı","Evet","Hayır"))</f>
        <v/>
      </c>
      <c r="AV418" s="27">
        <f>IF(G418="","",IF(AT418="Evet",AR418,IF(AU418="Evet",AP418,"")))</f>
        <v/>
      </c>
    </row>
    <row r="419">
      <c r="A419" s="23" t="n"/>
      <c r="B419" s="23" t="n"/>
      <c r="C419" s="23" t="n"/>
      <c r="D419" s="23" t="n"/>
      <c r="E419" s="23" t="n"/>
      <c r="F419" s="23" t="n"/>
      <c r="G419" s="23" t="n"/>
      <c r="H419" s="23" t="n"/>
      <c r="I419" s="23" t="n"/>
      <c r="J419" s="23" t="n"/>
      <c r="K419" s="23" t="n"/>
      <c r="L419" s="23" t="n"/>
      <c r="M419" s="23" t="n"/>
      <c r="N419" s="23" t="n"/>
      <c r="O419" s="23" t="n"/>
      <c r="P419" s="23" t="n"/>
      <c r="Q419" s="23" t="n"/>
      <c r="R419" s="23" t="n"/>
      <c r="S419" s="23" t="n"/>
      <c r="T419" s="23" t="n"/>
      <c r="U419" s="23" t="n"/>
      <c r="V419" s="23" t="n"/>
      <c r="W419" s="23" t="n"/>
      <c r="X419" s="23" t="n"/>
      <c r="Y419" s="23" t="n"/>
      <c r="Z419" s="23" t="n"/>
      <c r="AA419" s="23" t="n"/>
      <c r="AB419" s="23" t="n"/>
      <c r="AC419" s="23" t="n"/>
      <c r="AD419" s="23" t="n"/>
      <c r="AE419" s="23" t="n"/>
      <c r="AF419" s="23" t="n"/>
      <c r="AG419" s="23" t="n"/>
      <c r="AH419" s="23" t="n"/>
      <c r="AI419" s="23" t="n"/>
      <c r="AJ419" s="23" t="n"/>
      <c r="AK419" s="23" t="n"/>
      <c r="AL419" s="23" t="n"/>
      <c r="AM419" s="26">
        <f>IF(G419="","",G419&amp;"|"&amp;P419)</f>
        <v/>
      </c>
      <c r="AN419" s="27">
        <f>IF(I419="","",IFERROR(DATE(VALUE(RIGHT(I419,4)),VALUE(MID(I419,4,2)),VALUE(LEFT(I419,2))),""))</f>
        <v/>
      </c>
      <c r="AO419" s="27">
        <f>IF(Y419="","",IFERROR(DATE(VALUE(RIGHT(Y419,4)),VALUE(MID(Y419,4,2)),VALUE(LEFT(Y419,2))),""))</f>
        <v/>
      </c>
      <c r="AP419" s="27">
        <f>IF(AC419="","",IFERROR(DATE(VALUE(RIGHT(AC419,4)),VALUE(MID(AC419,4,2)),VALUE(LEFT(AC419,2))),""))</f>
        <v/>
      </c>
      <c r="AQ419" s="26">
        <f>IF(AI419="","",TRIM(LEFT(AI419,FIND(" ",AI419&amp;" ")-1)))</f>
        <v/>
      </c>
      <c r="AR419" s="27">
        <f>IF(AQ419="","",IFERROR(DATE(VALUE(MID(AQ419,FIND("/",AQ419,FIND("/",AQ419)+1)+1,4)),VALUE(LEFT(AQ419,FIND("/",AQ419)-1)),VALUE(MID(AQ419,FIND("/",AQ419)+1,FIND("/",AQ419,FIND("/",AQ419)+1)-FIND("/",AQ419)-1))),""))</f>
        <v/>
      </c>
      <c r="AS419" s="26">
        <f>IF(G419="","",IF(AND(AG419&lt;&gt;"",AG419&lt;&gt;"Bayi Aracı"),"Evet","Hayır"))</f>
        <v/>
      </c>
      <c r="AT419" s="26">
        <f>IF(G419="","",IF(AND(AS419="Evet",T419="Siparişiniz Teslim Edildi"),"Evet","Hayır"))</f>
        <v/>
      </c>
      <c r="AU419" s="26">
        <f>IF(G419="","",IF(AB419="Siparişinizin Montajı Yapıldı","Evet","Hayır"))</f>
        <v/>
      </c>
      <c r="AV419" s="27">
        <f>IF(G419="","",IF(AT419="Evet",AR419,IF(AU419="Evet",AP419,"")))</f>
        <v/>
      </c>
    </row>
    <row r="420">
      <c r="A420" s="23" t="n"/>
      <c r="B420" s="23" t="n"/>
      <c r="C420" s="23" t="n"/>
      <c r="D420" s="23" t="n"/>
      <c r="E420" s="23" t="n"/>
      <c r="F420" s="23" t="n"/>
      <c r="G420" s="23" t="n"/>
      <c r="H420" s="23" t="n"/>
      <c r="I420" s="23" t="n"/>
      <c r="J420" s="23" t="n"/>
      <c r="K420" s="23" t="n"/>
      <c r="L420" s="23" t="n"/>
      <c r="M420" s="23" t="n"/>
      <c r="N420" s="23" t="n"/>
      <c r="O420" s="23" t="n"/>
      <c r="P420" s="23" t="n"/>
      <c r="Q420" s="23" t="n"/>
      <c r="R420" s="23" t="n"/>
      <c r="S420" s="23" t="n"/>
      <c r="T420" s="23" t="n"/>
      <c r="U420" s="23" t="n"/>
      <c r="V420" s="23" t="n"/>
      <c r="W420" s="23" t="n"/>
      <c r="X420" s="23" t="n"/>
      <c r="Y420" s="23" t="n"/>
      <c r="Z420" s="23" t="n"/>
      <c r="AA420" s="23" t="n"/>
      <c r="AB420" s="23" t="n"/>
      <c r="AC420" s="23" t="n"/>
      <c r="AD420" s="23" t="n"/>
      <c r="AE420" s="23" t="n"/>
      <c r="AF420" s="23" t="n"/>
      <c r="AG420" s="23" t="n"/>
      <c r="AH420" s="23" t="n"/>
      <c r="AI420" s="23" t="n"/>
      <c r="AJ420" s="23" t="n"/>
      <c r="AK420" s="23" t="n"/>
      <c r="AL420" s="23" t="n"/>
      <c r="AM420" s="26">
        <f>IF(G420="","",G420&amp;"|"&amp;P420)</f>
        <v/>
      </c>
      <c r="AN420" s="27">
        <f>IF(I420="","",IFERROR(DATE(VALUE(RIGHT(I420,4)),VALUE(MID(I420,4,2)),VALUE(LEFT(I420,2))),""))</f>
        <v/>
      </c>
      <c r="AO420" s="27">
        <f>IF(Y420="","",IFERROR(DATE(VALUE(RIGHT(Y420,4)),VALUE(MID(Y420,4,2)),VALUE(LEFT(Y420,2))),""))</f>
        <v/>
      </c>
      <c r="AP420" s="27">
        <f>IF(AC420="","",IFERROR(DATE(VALUE(RIGHT(AC420,4)),VALUE(MID(AC420,4,2)),VALUE(LEFT(AC420,2))),""))</f>
        <v/>
      </c>
      <c r="AQ420" s="26">
        <f>IF(AI420="","",TRIM(LEFT(AI420,FIND(" ",AI420&amp;" ")-1)))</f>
        <v/>
      </c>
      <c r="AR420" s="27">
        <f>IF(AQ420="","",IFERROR(DATE(VALUE(MID(AQ420,FIND("/",AQ420,FIND("/",AQ420)+1)+1,4)),VALUE(LEFT(AQ420,FIND("/",AQ420)-1)),VALUE(MID(AQ420,FIND("/",AQ420)+1,FIND("/",AQ420,FIND("/",AQ420)+1)-FIND("/",AQ420)-1))),""))</f>
        <v/>
      </c>
      <c r="AS420" s="26">
        <f>IF(G420="","",IF(AND(AG420&lt;&gt;"",AG420&lt;&gt;"Bayi Aracı"),"Evet","Hayır"))</f>
        <v/>
      </c>
      <c r="AT420" s="26">
        <f>IF(G420="","",IF(AND(AS420="Evet",T420="Siparişiniz Teslim Edildi"),"Evet","Hayır"))</f>
        <v/>
      </c>
      <c r="AU420" s="26">
        <f>IF(G420="","",IF(AB420="Siparişinizin Montajı Yapıldı","Evet","Hayır"))</f>
        <v/>
      </c>
      <c r="AV420" s="27">
        <f>IF(G420="","",IF(AT420="Evet",AR420,IF(AU420="Evet",AP420,"")))</f>
        <v/>
      </c>
    </row>
    <row r="421">
      <c r="A421" s="23" t="n"/>
      <c r="B421" s="23" t="n"/>
      <c r="C421" s="23" t="n"/>
      <c r="D421" s="23" t="n"/>
      <c r="E421" s="23" t="n"/>
      <c r="F421" s="23" t="n"/>
      <c r="G421" s="23" t="n"/>
      <c r="H421" s="23" t="n"/>
      <c r="I421" s="23" t="n"/>
      <c r="J421" s="23" t="n"/>
      <c r="K421" s="23" t="n"/>
      <c r="L421" s="23" t="n"/>
      <c r="M421" s="23" t="n"/>
      <c r="N421" s="23" t="n"/>
      <c r="O421" s="23" t="n"/>
      <c r="P421" s="23" t="n"/>
      <c r="Q421" s="23" t="n"/>
      <c r="R421" s="23" t="n"/>
      <c r="S421" s="23" t="n"/>
      <c r="T421" s="23" t="n"/>
      <c r="U421" s="23" t="n"/>
      <c r="V421" s="23" t="n"/>
      <c r="W421" s="23" t="n"/>
      <c r="X421" s="23" t="n"/>
      <c r="Y421" s="23" t="n"/>
      <c r="Z421" s="23" t="n"/>
      <c r="AA421" s="23" t="n"/>
      <c r="AB421" s="23" t="n"/>
      <c r="AC421" s="23" t="n"/>
      <c r="AD421" s="23" t="n"/>
      <c r="AE421" s="23" t="n"/>
      <c r="AF421" s="23" t="n"/>
      <c r="AG421" s="23" t="n"/>
      <c r="AH421" s="23" t="n"/>
      <c r="AI421" s="23" t="n"/>
      <c r="AJ421" s="23" t="n"/>
      <c r="AK421" s="23" t="n"/>
      <c r="AL421" s="23" t="n"/>
      <c r="AM421" s="26">
        <f>IF(G421="","",G421&amp;"|"&amp;P421)</f>
        <v/>
      </c>
      <c r="AN421" s="27">
        <f>IF(I421="","",IFERROR(DATE(VALUE(RIGHT(I421,4)),VALUE(MID(I421,4,2)),VALUE(LEFT(I421,2))),""))</f>
        <v/>
      </c>
      <c r="AO421" s="27">
        <f>IF(Y421="","",IFERROR(DATE(VALUE(RIGHT(Y421,4)),VALUE(MID(Y421,4,2)),VALUE(LEFT(Y421,2))),""))</f>
        <v/>
      </c>
      <c r="AP421" s="27">
        <f>IF(AC421="","",IFERROR(DATE(VALUE(RIGHT(AC421,4)),VALUE(MID(AC421,4,2)),VALUE(LEFT(AC421,2))),""))</f>
        <v/>
      </c>
      <c r="AQ421" s="26">
        <f>IF(AI421="","",TRIM(LEFT(AI421,FIND(" ",AI421&amp;" ")-1)))</f>
        <v/>
      </c>
      <c r="AR421" s="27">
        <f>IF(AQ421="","",IFERROR(DATE(VALUE(MID(AQ421,FIND("/",AQ421,FIND("/",AQ421)+1)+1,4)),VALUE(LEFT(AQ421,FIND("/",AQ421)-1)),VALUE(MID(AQ421,FIND("/",AQ421)+1,FIND("/",AQ421,FIND("/",AQ421)+1)-FIND("/",AQ421)-1))),""))</f>
        <v/>
      </c>
      <c r="AS421" s="26">
        <f>IF(G421="","",IF(AND(AG421&lt;&gt;"",AG421&lt;&gt;"Bayi Aracı"),"Evet","Hayır"))</f>
        <v/>
      </c>
      <c r="AT421" s="26">
        <f>IF(G421="","",IF(AND(AS421="Evet",T421="Siparişiniz Teslim Edildi"),"Evet","Hayır"))</f>
        <v/>
      </c>
      <c r="AU421" s="26">
        <f>IF(G421="","",IF(AB421="Siparişinizin Montajı Yapıldı","Evet","Hayır"))</f>
        <v/>
      </c>
      <c r="AV421" s="27">
        <f>IF(G421="","",IF(AT421="Evet",AR421,IF(AU421="Evet",AP421,"")))</f>
        <v/>
      </c>
    </row>
    <row r="422">
      <c r="A422" s="23" t="n"/>
      <c r="B422" s="23" t="n"/>
      <c r="C422" s="23" t="n"/>
      <c r="D422" s="23" t="n"/>
      <c r="E422" s="23" t="n"/>
      <c r="F422" s="23" t="n"/>
      <c r="G422" s="23" t="n"/>
      <c r="H422" s="23" t="n"/>
      <c r="I422" s="23" t="n"/>
      <c r="J422" s="23" t="n"/>
      <c r="K422" s="23" t="n"/>
      <c r="L422" s="23" t="n"/>
      <c r="M422" s="23" t="n"/>
      <c r="N422" s="23" t="n"/>
      <c r="O422" s="23" t="n"/>
      <c r="P422" s="23" t="n"/>
      <c r="Q422" s="23" t="n"/>
      <c r="R422" s="23" t="n"/>
      <c r="S422" s="23" t="n"/>
      <c r="T422" s="23" t="n"/>
      <c r="U422" s="23" t="n"/>
      <c r="V422" s="23" t="n"/>
      <c r="W422" s="23" t="n"/>
      <c r="X422" s="23" t="n"/>
      <c r="Y422" s="23" t="n"/>
      <c r="Z422" s="23" t="n"/>
      <c r="AA422" s="23" t="n"/>
      <c r="AB422" s="23" t="n"/>
      <c r="AC422" s="23" t="n"/>
      <c r="AD422" s="23" t="n"/>
      <c r="AE422" s="23" t="n"/>
      <c r="AF422" s="23" t="n"/>
      <c r="AG422" s="23" t="n"/>
      <c r="AH422" s="23" t="n"/>
      <c r="AI422" s="23" t="n"/>
      <c r="AJ422" s="23" t="n"/>
      <c r="AK422" s="23" t="n"/>
      <c r="AL422" s="23" t="n"/>
      <c r="AM422" s="26">
        <f>IF(G422="","",G422&amp;"|"&amp;P422)</f>
        <v/>
      </c>
      <c r="AN422" s="27">
        <f>IF(I422="","",IFERROR(DATE(VALUE(RIGHT(I422,4)),VALUE(MID(I422,4,2)),VALUE(LEFT(I422,2))),""))</f>
        <v/>
      </c>
      <c r="AO422" s="27">
        <f>IF(Y422="","",IFERROR(DATE(VALUE(RIGHT(Y422,4)),VALUE(MID(Y422,4,2)),VALUE(LEFT(Y422,2))),""))</f>
        <v/>
      </c>
      <c r="AP422" s="27">
        <f>IF(AC422="","",IFERROR(DATE(VALUE(RIGHT(AC422,4)),VALUE(MID(AC422,4,2)),VALUE(LEFT(AC422,2))),""))</f>
        <v/>
      </c>
      <c r="AQ422" s="26">
        <f>IF(AI422="","",TRIM(LEFT(AI422,FIND(" ",AI422&amp;" ")-1)))</f>
        <v/>
      </c>
      <c r="AR422" s="27">
        <f>IF(AQ422="","",IFERROR(DATE(VALUE(MID(AQ422,FIND("/",AQ422,FIND("/",AQ422)+1)+1,4)),VALUE(LEFT(AQ422,FIND("/",AQ422)-1)),VALUE(MID(AQ422,FIND("/",AQ422)+1,FIND("/",AQ422,FIND("/",AQ422)+1)-FIND("/",AQ422)-1))),""))</f>
        <v/>
      </c>
      <c r="AS422" s="26">
        <f>IF(G422="","",IF(AND(AG422&lt;&gt;"",AG422&lt;&gt;"Bayi Aracı"),"Evet","Hayır"))</f>
        <v/>
      </c>
      <c r="AT422" s="26">
        <f>IF(G422="","",IF(AND(AS422="Evet",T422="Siparişiniz Teslim Edildi"),"Evet","Hayır"))</f>
        <v/>
      </c>
      <c r="AU422" s="26">
        <f>IF(G422="","",IF(AB422="Siparişinizin Montajı Yapıldı","Evet","Hayır"))</f>
        <v/>
      </c>
      <c r="AV422" s="27">
        <f>IF(G422="","",IF(AT422="Evet",AR422,IF(AU422="Evet",AP422,"")))</f>
        <v/>
      </c>
    </row>
    <row r="423">
      <c r="A423" s="23" t="n"/>
      <c r="B423" s="23" t="n"/>
      <c r="C423" s="23" t="n"/>
      <c r="D423" s="23" t="n"/>
      <c r="E423" s="23" t="n"/>
      <c r="F423" s="23" t="n"/>
      <c r="G423" s="23" t="n"/>
      <c r="H423" s="23" t="n"/>
      <c r="I423" s="23" t="n"/>
      <c r="J423" s="23" t="n"/>
      <c r="K423" s="23" t="n"/>
      <c r="L423" s="23" t="n"/>
      <c r="M423" s="23" t="n"/>
      <c r="N423" s="23" t="n"/>
      <c r="O423" s="23" t="n"/>
      <c r="P423" s="23" t="n"/>
      <c r="Q423" s="23" t="n"/>
      <c r="R423" s="23" t="n"/>
      <c r="S423" s="23" t="n"/>
      <c r="T423" s="23" t="n"/>
      <c r="U423" s="23" t="n"/>
      <c r="V423" s="23" t="n"/>
      <c r="W423" s="23" t="n"/>
      <c r="X423" s="23" t="n"/>
      <c r="Y423" s="23" t="n"/>
      <c r="Z423" s="23" t="n"/>
      <c r="AA423" s="23" t="n"/>
      <c r="AB423" s="23" t="n"/>
      <c r="AC423" s="23" t="n"/>
      <c r="AD423" s="23" t="n"/>
      <c r="AE423" s="23" t="n"/>
      <c r="AF423" s="23" t="n"/>
      <c r="AG423" s="23" t="n"/>
      <c r="AH423" s="23" t="n"/>
      <c r="AI423" s="23" t="n"/>
      <c r="AJ423" s="23" t="n"/>
      <c r="AK423" s="23" t="n"/>
      <c r="AL423" s="23" t="n"/>
      <c r="AM423" s="26">
        <f>IF(G423="","",G423&amp;"|"&amp;P423)</f>
        <v/>
      </c>
      <c r="AN423" s="27">
        <f>IF(I423="","",IFERROR(DATE(VALUE(RIGHT(I423,4)),VALUE(MID(I423,4,2)),VALUE(LEFT(I423,2))),""))</f>
        <v/>
      </c>
      <c r="AO423" s="27">
        <f>IF(Y423="","",IFERROR(DATE(VALUE(RIGHT(Y423,4)),VALUE(MID(Y423,4,2)),VALUE(LEFT(Y423,2))),""))</f>
        <v/>
      </c>
      <c r="AP423" s="27">
        <f>IF(AC423="","",IFERROR(DATE(VALUE(RIGHT(AC423,4)),VALUE(MID(AC423,4,2)),VALUE(LEFT(AC423,2))),""))</f>
        <v/>
      </c>
      <c r="AQ423" s="26">
        <f>IF(AI423="","",TRIM(LEFT(AI423,FIND(" ",AI423&amp;" ")-1)))</f>
        <v/>
      </c>
      <c r="AR423" s="27">
        <f>IF(AQ423="","",IFERROR(DATE(VALUE(MID(AQ423,FIND("/",AQ423,FIND("/",AQ423)+1)+1,4)),VALUE(LEFT(AQ423,FIND("/",AQ423)-1)),VALUE(MID(AQ423,FIND("/",AQ423)+1,FIND("/",AQ423,FIND("/",AQ423)+1)-FIND("/",AQ423)-1))),""))</f>
        <v/>
      </c>
      <c r="AS423" s="26">
        <f>IF(G423="","",IF(AND(AG423&lt;&gt;"",AG423&lt;&gt;"Bayi Aracı"),"Evet","Hayır"))</f>
        <v/>
      </c>
      <c r="AT423" s="26">
        <f>IF(G423="","",IF(AND(AS423="Evet",T423="Siparişiniz Teslim Edildi"),"Evet","Hayır"))</f>
        <v/>
      </c>
      <c r="AU423" s="26">
        <f>IF(G423="","",IF(AB423="Siparişinizin Montajı Yapıldı","Evet","Hayır"))</f>
        <v/>
      </c>
      <c r="AV423" s="27">
        <f>IF(G423="","",IF(AT423="Evet",AR423,IF(AU423="Evet",AP423,"")))</f>
        <v/>
      </c>
    </row>
    <row r="424">
      <c r="A424" s="23" t="n"/>
      <c r="B424" s="23" t="n"/>
      <c r="C424" s="23" t="n"/>
      <c r="D424" s="23" t="n"/>
      <c r="E424" s="23" t="n"/>
      <c r="F424" s="23" t="n"/>
      <c r="G424" s="23" t="n"/>
      <c r="H424" s="23" t="n"/>
      <c r="I424" s="23" t="n"/>
      <c r="J424" s="23" t="n"/>
      <c r="K424" s="23" t="n"/>
      <c r="L424" s="23" t="n"/>
      <c r="M424" s="23" t="n"/>
      <c r="N424" s="23" t="n"/>
      <c r="O424" s="23" t="n"/>
      <c r="P424" s="23" t="n"/>
      <c r="Q424" s="23" t="n"/>
      <c r="R424" s="23" t="n"/>
      <c r="S424" s="23" t="n"/>
      <c r="T424" s="23" t="n"/>
      <c r="U424" s="23" t="n"/>
      <c r="V424" s="23" t="n"/>
      <c r="W424" s="23" t="n"/>
      <c r="X424" s="23" t="n"/>
      <c r="Y424" s="23" t="n"/>
      <c r="Z424" s="23" t="n"/>
      <c r="AA424" s="23" t="n"/>
      <c r="AB424" s="23" t="n"/>
      <c r="AC424" s="23" t="n"/>
      <c r="AD424" s="23" t="n"/>
      <c r="AE424" s="23" t="n"/>
      <c r="AF424" s="23" t="n"/>
      <c r="AG424" s="23" t="n"/>
      <c r="AH424" s="23" t="n"/>
      <c r="AI424" s="23" t="n"/>
      <c r="AJ424" s="23" t="n"/>
      <c r="AK424" s="23" t="n"/>
      <c r="AL424" s="23" t="n"/>
      <c r="AM424" s="26">
        <f>IF(G424="","",G424&amp;"|"&amp;P424)</f>
        <v/>
      </c>
      <c r="AN424" s="27">
        <f>IF(I424="","",IFERROR(DATE(VALUE(RIGHT(I424,4)),VALUE(MID(I424,4,2)),VALUE(LEFT(I424,2))),""))</f>
        <v/>
      </c>
      <c r="AO424" s="27">
        <f>IF(Y424="","",IFERROR(DATE(VALUE(RIGHT(Y424,4)),VALUE(MID(Y424,4,2)),VALUE(LEFT(Y424,2))),""))</f>
        <v/>
      </c>
      <c r="AP424" s="27">
        <f>IF(AC424="","",IFERROR(DATE(VALUE(RIGHT(AC424,4)),VALUE(MID(AC424,4,2)),VALUE(LEFT(AC424,2))),""))</f>
        <v/>
      </c>
      <c r="AQ424" s="26">
        <f>IF(AI424="","",TRIM(LEFT(AI424,FIND(" ",AI424&amp;" ")-1)))</f>
        <v/>
      </c>
      <c r="AR424" s="27">
        <f>IF(AQ424="","",IFERROR(DATE(VALUE(MID(AQ424,FIND("/",AQ424,FIND("/",AQ424)+1)+1,4)),VALUE(LEFT(AQ424,FIND("/",AQ424)-1)),VALUE(MID(AQ424,FIND("/",AQ424)+1,FIND("/",AQ424,FIND("/",AQ424)+1)-FIND("/",AQ424)-1))),""))</f>
        <v/>
      </c>
      <c r="AS424" s="26">
        <f>IF(G424="","",IF(AND(AG424&lt;&gt;"",AG424&lt;&gt;"Bayi Aracı"),"Evet","Hayır"))</f>
        <v/>
      </c>
      <c r="AT424" s="26">
        <f>IF(G424="","",IF(AND(AS424="Evet",T424="Siparişiniz Teslim Edildi"),"Evet","Hayır"))</f>
        <v/>
      </c>
      <c r="AU424" s="26">
        <f>IF(G424="","",IF(AB424="Siparişinizin Montajı Yapıldı","Evet","Hayır"))</f>
        <v/>
      </c>
      <c r="AV424" s="27">
        <f>IF(G424="","",IF(AT424="Evet",AR424,IF(AU424="Evet",AP424,"")))</f>
        <v/>
      </c>
    </row>
    <row r="425">
      <c r="A425" s="23" t="n"/>
      <c r="B425" s="23" t="n"/>
      <c r="C425" s="23" t="n"/>
      <c r="D425" s="23" t="n"/>
      <c r="E425" s="23" t="n"/>
      <c r="F425" s="23" t="n"/>
      <c r="G425" s="23" t="n"/>
      <c r="H425" s="23" t="n"/>
      <c r="I425" s="23" t="n"/>
      <c r="J425" s="23" t="n"/>
      <c r="K425" s="23" t="n"/>
      <c r="L425" s="23" t="n"/>
      <c r="M425" s="23" t="n"/>
      <c r="N425" s="23" t="n"/>
      <c r="O425" s="23" t="n"/>
      <c r="P425" s="23" t="n"/>
      <c r="Q425" s="23" t="n"/>
      <c r="R425" s="23" t="n"/>
      <c r="S425" s="23" t="n"/>
      <c r="T425" s="23" t="n"/>
      <c r="U425" s="23" t="n"/>
      <c r="V425" s="23" t="n"/>
      <c r="W425" s="23" t="n"/>
      <c r="X425" s="23" t="n"/>
      <c r="Y425" s="23" t="n"/>
      <c r="Z425" s="23" t="n"/>
      <c r="AA425" s="23" t="n"/>
      <c r="AB425" s="23" t="n"/>
      <c r="AC425" s="23" t="n"/>
      <c r="AD425" s="23" t="n"/>
      <c r="AE425" s="23" t="n"/>
      <c r="AF425" s="23" t="n"/>
      <c r="AG425" s="23" t="n"/>
      <c r="AH425" s="23" t="n"/>
      <c r="AI425" s="23" t="n"/>
      <c r="AJ425" s="23" t="n"/>
      <c r="AK425" s="23" t="n"/>
      <c r="AL425" s="23" t="n"/>
      <c r="AM425" s="26">
        <f>IF(G425="","",G425&amp;"|"&amp;P425)</f>
        <v/>
      </c>
      <c r="AN425" s="27">
        <f>IF(I425="","",IFERROR(DATE(VALUE(RIGHT(I425,4)),VALUE(MID(I425,4,2)),VALUE(LEFT(I425,2))),""))</f>
        <v/>
      </c>
      <c r="AO425" s="27">
        <f>IF(Y425="","",IFERROR(DATE(VALUE(RIGHT(Y425,4)),VALUE(MID(Y425,4,2)),VALUE(LEFT(Y425,2))),""))</f>
        <v/>
      </c>
      <c r="AP425" s="27">
        <f>IF(AC425="","",IFERROR(DATE(VALUE(RIGHT(AC425,4)),VALUE(MID(AC425,4,2)),VALUE(LEFT(AC425,2))),""))</f>
        <v/>
      </c>
      <c r="AQ425" s="26">
        <f>IF(AI425="","",TRIM(LEFT(AI425,FIND(" ",AI425&amp;" ")-1)))</f>
        <v/>
      </c>
      <c r="AR425" s="27">
        <f>IF(AQ425="","",IFERROR(DATE(VALUE(MID(AQ425,FIND("/",AQ425,FIND("/",AQ425)+1)+1,4)),VALUE(LEFT(AQ425,FIND("/",AQ425)-1)),VALUE(MID(AQ425,FIND("/",AQ425)+1,FIND("/",AQ425,FIND("/",AQ425)+1)-FIND("/",AQ425)-1))),""))</f>
        <v/>
      </c>
      <c r="AS425" s="26">
        <f>IF(G425="","",IF(AND(AG425&lt;&gt;"",AG425&lt;&gt;"Bayi Aracı"),"Evet","Hayır"))</f>
        <v/>
      </c>
      <c r="AT425" s="26">
        <f>IF(G425="","",IF(AND(AS425="Evet",T425="Siparişiniz Teslim Edildi"),"Evet","Hayır"))</f>
        <v/>
      </c>
      <c r="AU425" s="26">
        <f>IF(G425="","",IF(AB425="Siparişinizin Montajı Yapıldı","Evet","Hayır"))</f>
        <v/>
      </c>
      <c r="AV425" s="27">
        <f>IF(G425="","",IF(AT425="Evet",AR425,IF(AU425="Evet",AP425,"")))</f>
        <v/>
      </c>
    </row>
    <row r="426">
      <c r="A426" s="23" t="n"/>
      <c r="B426" s="23" t="n"/>
      <c r="C426" s="23" t="n"/>
      <c r="D426" s="23" t="n"/>
      <c r="E426" s="23" t="n"/>
      <c r="F426" s="23" t="n"/>
      <c r="G426" s="23" t="n"/>
      <c r="H426" s="23" t="n"/>
      <c r="I426" s="23" t="n"/>
      <c r="J426" s="23" t="n"/>
      <c r="K426" s="23" t="n"/>
      <c r="L426" s="23" t="n"/>
      <c r="M426" s="23" t="n"/>
      <c r="N426" s="23" t="n"/>
      <c r="O426" s="23" t="n"/>
      <c r="P426" s="23" t="n"/>
      <c r="Q426" s="23" t="n"/>
      <c r="R426" s="23" t="n"/>
      <c r="S426" s="23" t="n"/>
      <c r="T426" s="23" t="n"/>
      <c r="U426" s="23" t="n"/>
      <c r="V426" s="23" t="n"/>
      <c r="W426" s="23" t="n"/>
      <c r="X426" s="23" t="n"/>
      <c r="Y426" s="23" t="n"/>
      <c r="Z426" s="23" t="n"/>
      <c r="AA426" s="23" t="n"/>
      <c r="AB426" s="23" t="n"/>
      <c r="AC426" s="23" t="n"/>
      <c r="AD426" s="23" t="n"/>
      <c r="AE426" s="23" t="n"/>
      <c r="AF426" s="23" t="n"/>
      <c r="AG426" s="23" t="n"/>
      <c r="AH426" s="23" t="n"/>
      <c r="AI426" s="23" t="n"/>
      <c r="AJ426" s="23" t="n"/>
      <c r="AK426" s="23" t="n"/>
      <c r="AL426" s="23" t="n"/>
      <c r="AM426" s="26">
        <f>IF(G426="","",G426&amp;"|"&amp;P426)</f>
        <v/>
      </c>
      <c r="AN426" s="27">
        <f>IF(I426="","",IFERROR(DATE(VALUE(RIGHT(I426,4)),VALUE(MID(I426,4,2)),VALUE(LEFT(I426,2))),""))</f>
        <v/>
      </c>
      <c r="AO426" s="27">
        <f>IF(Y426="","",IFERROR(DATE(VALUE(RIGHT(Y426,4)),VALUE(MID(Y426,4,2)),VALUE(LEFT(Y426,2))),""))</f>
        <v/>
      </c>
      <c r="AP426" s="27">
        <f>IF(AC426="","",IFERROR(DATE(VALUE(RIGHT(AC426,4)),VALUE(MID(AC426,4,2)),VALUE(LEFT(AC426,2))),""))</f>
        <v/>
      </c>
      <c r="AQ426" s="26">
        <f>IF(AI426="","",TRIM(LEFT(AI426,FIND(" ",AI426&amp;" ")-1)))</f>
        <v/>
      </c>
      <c r="AR426" s="27">
        <f>IF(AQ426="","",IFERROR(DATE(VALUE(MID(AQ426,FIND("/",AQ426,FIND("/",AQ426)+1)+1,4)),VALUE(LEFT(AQ426,FIND("/",AQ426)-1)),VALUE(MID(AQ426,FIND("/",AQ426)+1,FIND("/",AQ426,FIND("/",AQ426)+1)-FIND("/",AQ426)-1))),""))</f>
        <v/>
      </c>
      <c r="AS426" s="26">
        <f>IF(G426="","",IF(AND(AG426&lt;&gt;"",AG426&lt;&gt;"Bayi Aracı"),"Evet","Hayır"))</f>
        <v/>
      </c>
      <c r="AT426" s="26">
        <f>IF(G426="","",IF(AND(AS426="Evet",T426="Siparişiniz Teslim Edildi"),"Evet","Hayır"))</f>
        <v/>
      </c>
      <c r="AU426" s="26">
        <f>IF(G426="","",IF(AB426="Siparişinizin Montajı Yapıldı","Evet","Hayır"))</f>
        <v/>
      </c>
      <c r="AV426" s="27">
        <f>IF(G426="","",IF(AT426="Evet",AR426,IF(AU426="Evet",AP426,"")))</f>
        <v/>
      </c>
    </row>
    <row r="427">
      <c r="A427" s="23" t="n"/>
      <c r="B427" s="23" t="n"/>
      <c r="C427" s="23" t="n"/>
      <c r="D427" s="23" t="n"/>
      <c r="E427" s="23" t="n"/>
      <c r="F427" s="23" t="n"/>
      <c r="G427" s="23" t="n"/>
      <c r="H427" s="23" t="n"/>
      <c r="I427" s="23" t="n"/>
      <c r="J427" s="23" t="n"/>
      <c r="K427" s="23" t="n"/>
      <c r="L427" s="23" t="n"/>
      <c r="M427" s="23" t="n"/>
      <c r="N427" s="23" t="n"/>
      <c r="O427" s="23" t="n"/>
      <c r="P427" s="23" t="n"/>
      <c r="Q427" s="23" t="n"/>
      <c r="R427" s="23" t="n"/>
      <c r="S427" s="23" t="n"/>
      <c r="T427" s="23" t="n"/>
      <c r="U427" s="23" t="n"/>
      <c r="V427" s="23" t="n"/>
      <c r="W427" s="23" t="n"/>
      <c r="X427" s="23" t="n"/>
      <c r="Y427" s="23" t="n"/>
      <c r="Z427" s="23" t="n"/>
      <c r="AA427" s="23" t="n"/>
      <c r="AB427" s="23" t="n"/>
      <c r="AC427" s="23" t="n"/>
      <c r="AD427" s="23" t="n"/>
      <c r="AE427" s="23" t="n"/>
      <c r="AF427" s="23" t="n"/>
      <c r="AG427" s="23" t="n"/>
      <c r="AH427" s="23" t="n"/>
      <c r="AI427" s="23" t="n"/>
      <c r="AJ427" s="23" t="n"/>
      <c r="AK427" s="23" t="n"/>
      <c r="AL427" s="23" t="n"/>
      <c r="AM427" s="26">
        <f>IF(G427="","",G427&amp;"|"&amp;P427)</f>
        <v/>
      </c>
      <c r="AN427" s="27">
        <f>IF(I427="","",IFERROR(DATE(VALUE(RIGHT(I427,4)),VALUE(MID(I427,4,2)),VALUE(LEFT(I427,2))),""))</f>
        <v/>
      </c>
      <c r="AO427" s="27">
        <f>IF(Y427="","",IFERROR(DATE(VALUE(RIGHT(Y427,4)),VALUE(MID(Y427,4,2)),VALUE(LEFT(Y427,2))),""))</f>
        <v/>
      </c>
      <c r="AP427" s="27">
        <f>IF(AC427="","",IFERROR(DATE(VALUE(RIGHT(AC427,4)),VALUE(MID(AC427,4,2)),VALUE(LEFT(AC427,2))),""))</f>
        <v/>
      </c>
      <c r="AQ427" s="26">
        <f>IF(AI427="","",TRIM(LEFT(AI427,FIND(" ",AI427&amp;" ")-1)))</f>
        <v/>
      </c>
      <c r="AR427" s="27">
        <f>IF(AQ427="","",IFERROR(DATE(VALUE(MID(AQ427,FIND("/",AQ427,FIND("/",AQ427)+1)+1,4)),VALUE(LEFT(AQ427,FIND("/",AQ427)-1)),VALUE(MID(AQ427,FIND("/",AQ427)+1,FIND("/",AQ427,FIND("/",AQ427)+1)-FIND("/",AQ427)-1))),""))</f>
        <v/>
      </c>
      <c r="AS427" s="26">
        <f>IF(G427="","",IF(AND(AG427&lt;&gt;"",AG427&lt;&gt;"Bayi Aracı"),"Evet","Hayır"))</f>
        <v/>
      </c>
      <c r="AT427" s="26">
        <f>IF(G427="","",IF(AND(AS427="Evet",T427="Siparişiniz Teslim Edildi"),"Evet","Hayır"))</f>
        <v/>
      </c>
      <c r="AU427" s="26">
        <f>IF(G427="","",IF(AB427="Siparişinizin Montajı Yapıldı","Evet","Hayır"))</f>
        <v/>
      </c>
      <c r="AV427" s="27">
        <f>IF(G427="","",IF(AT427="Evet",AR427,IF(AU427="Evet",AP427,"")))</f>
        <v/>
      </c>
    </row>
    <row r="428">
      <c r="A428" s="23" t="n"/>
      <c r="B428" s="23" t="n"/>
      <c r="C428" s="23" t="n"/>
      <c r="D428" s="23" t="n"/>
      <c r="E428" s="23" t="n"/>
      <c r="F428" s="23" t="n"/>
      <c r="G428" s="23" t="n"/>
      <c r="H428" s="23" t="n"/>
      <c r="I428" s="23" t="n"/>
      <c r="J428" s="23" t="n"/>
      <c r="K428" s="23" t="n"/>
      <c r="L428" s="23" t="n"/>
      <c r="M428" s="23" t="n"/>
      <c r="N428" s="23" t="n"/>
      <c r="O428" s="23" t="n"/>
      <c r="P428" s="23" t="n"/>
      <c r="Q428" s="23" t="n"/>
      <c r="R428" s="23" t="n"/>
      <c r="S428" s="23" t="n"/>
      <c r="T428" s="23" t="n"/>
      <c r="U428" s="23" t="n"/>
      <c r="V428" s="23" t="n"/>
      <c r="W428" s="23" t="n"/>
      <c r="X428" s="23" t="n"/>
      <c r="Y428" s="23" t="n"/>
      <c r="Z428" s="23" t="n"/>
      <c r="AA428" s="23" t="n"/>
      <c r="AB428" s="23" t="n"/>
      <c r="AC428" s="23" t="n"/>
      <c r="AD428" s="23" t="n"/>
      <c r="AE428" s="23" t="n"/>
      <c r="AF428" s="23" t="n"/>
      <c r="AG428" s="23" t="n"/>
      <c r="AH428" s="23" t="n"/>
      <c r="AI428" s="23" t="n"/>
      <c r="AJ428" s="23" t="n"/>
      <c r="AK428" s="23" t="n"/>
      <c r="AL428" s="23" t="n"/>
      <c r="AM428" s="26">
        <f>IF(G428="","",G428&amp;"|"&amp;P428)</f>
        <v/>
      </c>
      <c r="AN428" s="27">
        <f>IF(I428="","",IFERROR(DATE(VALUE(RIGHT(I428,4)),VALUE(MID(I428,4,2)),VALUE(LEFT(I428,2))),""))</f>
        <v/>
      </c>
      <c r="AO428" s="27">
        <f>IF(Y428="","",IFERROR(DATE(VALUE(RIGHT(Y428,4)),VALUE(MID(Y428,4,2)),VALUE(LEFT(Y428,2))),""))</f>
        <v/>
      </c>
      <c r="AP428" s="27">
        <f>IF(AC428="","",IFERROR(DATE(VALUE(RIGHT(AC428,4)),VALUE(MID(AC428,4,2)),VALUE(LEFT(AC428,2))),""))</f>
        <v/>
      </c>
      <c r="AQ428" s="26">
        <f>IF(AI428="","",TRIM(LEFT(AI428,FIND(" ",AI428&amp;" ")-1)))</f>
        <v/>
      </c>
      <c r="AR428" s="27">
        <f>IF(AQ428="","",IFERROR(DATE(VALUE(MID(AQ428,FIND("/",AQ428,FIND("/",AQ428)+1)+1,4)),VALUE(LEFT(AQ428,FIND("/",AQ428)-1)),VALUE(MID(AQ428,FIND("/",AQ428)+1,FIND("/",AQ428,FIND("/",AQ428)+1)-FIND("/",AQ428)-1))),""))</f>
        <v/>
      </c>
      <c r="AS428" s="26">
        <f>IF(G428="","",IF(AND(AG428&lt;&gt;"",AG428&lt;&gt;"Bayi Aracı"),"Evet","Hayır"))</f>
        <v/>
      </c>
      <c r="AT428" s="26">
        <f>IF(G428="","",IF(AND(AS428="Evet",T428="Siparişiniz Teslim Edildi"),"Evet","Hayır"))</f>
        <v/>
      </c>
      <c r="AU428" s="26">
        <f>IF(G428="","",IF(AB428="Siparişinizin Montajı Yapıldı","Evet","Hayır"))</f>
        <v/>
      </c>
      <c r="AV428" s="27">
        <f>IF(G428="","",IF(AT428="Evet",AR428,IF(AU428="Evet",AP428,"")))</f>
        <v/>
      </c>
    </row>
    <row r="429">
      <c r="A429" s="23" t="n"/>
      <c r="B429" s="23" t="n"/>
      <c r="C429" s="23" t="n"/>
      <c r="D429" s="23" t="n"/>
      <c r="E429" s="23" t="n"/>
      <c r="F429" s="23" t="n"/>
      <c r="G429" s="23" t="n"/>
      <c r="H429" s="23" t="n"/>
      <c r="I429" s="23" t="n"/>
      <c r="J429" s="23" t="n"/>
      <c r="K429" s="23" t="n"/>
      <c r="L429" s="23" t="n"/>
      <c r="M429" s="23" t="n"/>
      <c r="N429" s="23" t="n"/>
      <c r="O429" s="23" t="n"/>
      <c r="P429" s="23" t="n"/>
      <c r="Q429" s="23" t="n"/>
      <c r="R429" s="23" t="n"/>
      <c r="S429" s="23" t="n"/>
      <c r="T429" s="23" t="n"/>
      <c r="U429" s="23" t="n"/>
      <c r="V429" s="23" t="n"/>
      <c r="W429" s="23" t="n"/>
      <c r="X429" s="23" t="n"/>
      <c r="Y429" s="23" t="n"/>
      <c r="Z429" s="23" t="n"/>
      <c r="AA429" s="23" t="n"/>
      <c r="AB429" s="23" t="n"/>
      <c r="AC429" s="23" t="n"/>
      <c r="AD429" s="23" t="n"/>
      <c r="AE429" s="23" t="n"/>
      <c r="AF429" s="23" t="n"/>
      <c r="AG429" s="23" t="n"/>
      <c r="AH429" s="23" t="n"/>
      <c r="AI429" s="23" t="n"/>
      <c r="AJ429" s="23" t="n"/>
      <c r="AK429" s="23" t="n"/>
      <c r="AL429" s="23" t="n"/>
      <c r="AM429" s="26">
        <f>IF(G429="","",G429&amp;"|"&amp;P429)</f>
        <v/>
      </c>
      <c r="AN429" s="27">
        <f>IF(I429="","",IFERROR(DATE(VALUE(RIGHT(I429,4)),VALUE(MID(I429,4,2)),VALUE(LEFT(I429,2))),""))</f>
        <v/>
      </c>
      <c r="AO429" s="27">
        <f>IF(Y429="","",IFERROR(DATE(VALUE(RIGHT(Y429,4)),VALUE(MID(Y429,4,2)),VALUE(LEFT(Y429,2))),""))</f>
        <v/>
      </c>
      <c r="AP429" s="27">
        <f>IF(AC429="","",IFERROR(DATE(VALUE(RIGHT(AC429,4)),VALUE(MID(AC429,4,2)),VALUE(LEFT(AC429,2))),""))</f>
        <v/>
      </c>
      <c r="AQ429" s="26">
        <f>IF(AI429="","",TRIM(LEFT(AI429,FIND(" ",AI429&amp;" ")-1)))</f>
        <v/>
      </c>
      <c r="AR429" s="27">
        <f>IF(AQ429="","",IFERROR(DATE(VALUE(MID(AQ429,FIND("/",AQ429,FIND("/",AQ429)+1)+1,4)),VALUE(LEFT(AQ429,FIND("/",AQ429)-1)),VALUE(MID(AQ429,FIND("/",AQ429)+1,FIND("/",AQ429,FIND("/",AQ429)+1)-FIND("/",AQ429)-1))),""))</f>
        <v/>
      </c>
      <c r="AS429" s="26">
        <f>IF(G429="","",IF(AND(AG429&lt;&gt;"",AG429&lt;&gt;"Bayi Aracı"),"Evet","Hayır"))</f>
        <v/>
      </c>
      <c r="AT429" s="26">
        <f>IF(G429="","",IF(AND(AS429="Evet",T429="Siparişiniz Teslim Edildi"),"Evet","Hayır"))</f>
        <v/>
      </c>
      <c r="AU429" s="26">
        <f>IF(G429="","",IF(AB429="Siparişinizin Montajı Yapıldı","Evet","Hayır"))</f>
        <v/>
      </c>
      <c r="AV429" s="27">
        <f>IF(G429="","",IF(AT429="Evet",AR429,IF(AU429="Evet",AP429,"")))</f>
        <v/>
      </c>
    </row>
    <row r="430">
      <c r="A430" s="23" t="n"/>
      <c r="B430" s="23" t="n"/>
      <c r="C430" s="23" t="n"/>
      <c r="D430" s="23" t="n"/>
      <c r="E430" s="23" t="n"/>
      <c r="F430" s="23" t="n"/>
      <c r="G430" s="23" t="n"/>
      <c r="H430" s="23" t="n"/>
      <c r="I430" s="23" t="n"/>
      <c r="J430" s="23" t="n"/>
      <c r="K430" s="23" t="n"/>
      <c r="L430" s="23" t="n"/>
      <c r="M430" s="23" t="n"/>
      <c r="N430" s="23" t="n"/>
      <c r="O430" s="23" t="n"/>
      <c r="P430" s="23" t="n"/>
      <c r="Q430" s="23" t="n"/>
      <c r="R430" s="23" t="n"/>
      <c r="S430" s="23" t="n"/>
      <c r="T430" s="23" t="n"/>
      <c r="U430" s="23" t="n"/>
      <c r="V430" s="23" t="n"/>
      <c r="W430" s="23" t="n"/>
      <c r="X430" s="23" t="n"/>
      <c r="Y430" s="23" t="n"/>
      <c r="Z430" s="23" t="n"/>
      <c r="AA430" s="23" t="n"/>
      <c r="AB430" s="23" t="n"/>
      <c r="AC430" s="23" t="n"/>
      <c r="AD430" s="23" t="n"/>
      <c r="AE430" s="23" t="n"/>
      <c r="AF430" s="23" t="n"/>
      <c r="AG430" s="23" t="n"/>
      <c r="AH430" s="23" t="n"/>
      <c r="AI430" s="23" t="n"/>
      <c r="AJ430" s="23" t="n"/>
      <c r="AK430" s="23" t="n"/>
      <c r="AL430" s="23" t="n"/>
      <c r="AM430" s="26">
        <f>IF(G430="","",G430&amp;"|"&amp;P430)</f>
        <v/>
      </c>
      <c r="AN430" s="27">
        <f>IF(I430="","",IFERROR(DATE(VALUE(RIGHT(I430,4)),VALUE(MID(I430,4,2)),VALUE(LEFT(I430,2))),""))</f>
        <v/>
      </c>
      <c r="AO430" s="27">
        <f>IF(Y430="","",IFERROR(DATE(VALUE(RIGHT(Y430,4)),VALUE(MID(Y430,4,2)),VALUE(LEFT(Y430,2))),""))</f>
        <v/>
      </c>
      <c r="AP430" s="27">
        <f>IF(AC430="","",IFERROR(DATE(VALUE(RIGHT(AC430,4)),VALUE(MID(AC430,4,2)),VALUE(LEFT(AC430,2))),""))</f>
        <v/>
      </c>
      <c r="AQ430" s="26">
        <f>IF(AI430="","",TRIM(LEFT(AI430,FIND(" ",AI430&amp;" ")-1)))</f>
        <v/>
      </c>
      <c r="AR430" s="27">
        <f>IF(AQ430="","",IFERROR(DATE(VALUE(MID(AQ430,FIND("/",AQ430,FIND("/",AQ430)+1)+1,4)),VALUE(LEFT(AQ430,FIND("/",AQ430)-1)),VALUE(MID(AQ430,FIND("/",AQ430)+1,FIND("/",AQ430,FIND("/",AQ430)+1)-FIND("/",AQ430)-1))),""))</f>
        <v/>
      </c>
      <c r="AS430" s="26">
        <f>IF(G430="","",IF(AND(AG430&lt;&gt;"",AG430&lt;&gt;"Bayi Aracı"),"Evet","Hayır"))</f>
        <v/>
      </c>
      <c r="AT430" s="26">
        <f>IF(G430="","",IF(AND(AS430="Evet",T430="Siparişiniz Teslim Edildi"),"Evet","Hayır"))</f>
        <v/>
      </c>
      <c r="AU430" s="26">
        <f>IF(G430="","",IF(AB430="Siparişinizin Montajı Yapıldı","Evet","Hayır"))</f>
        <v/>
      </c>
      <c r="AV430" s="27">
        <f>IF(G430="","",IF(AT430="Evet",AR430,IF(AU430="Evet",AP430,"")))</f>
        <v/>
      </c>
    </row>
    <row r="431">
      <c r="A431" s="23" t="n"/>
      <c r="B431" s="23" t="n"/>
      <c r="C431" s="23" t="n"/>
      <c r="D431" s="23" t="n"/>
      <c r="E431" s="23" t="n"/>
      <c r="F431" s="23" t="n"/>
      <c r="G431" s="23" t="n"/>
      <c r="H431" s="23" t="n"/>
      <c r="I431" s="23" t="n"/>
      <c r="J431" s="23" t="n"/>
      <c r="K431" s="23" t="n"/>
      <c r="L431" s="23" t="n"/>
      <c r="M431" s="23" t="n"/>
      <c r="N431" s="23" t="n"/>
      <c r="O431" s="23" t="n"/>
      <c r="P431" s="23" t="n"/>
      <c r="Q431" s="23" t="n"/>
      <c r="R431" s="23" t="n"/>
      <c r="S431" s="23" t="n"/>
      <c r="T431" s="23" t="n"/>
      <c r="U431" s="23" t="n"/>
      <c r="V431" s="23" t="n"/>
      <c r="W431" s="23" t="n"/>
      <c r="X431" s="23" t="n"/>
      <c r="Y431" s="23" t="n"/>
      <c r="Z431" s="23" t="n"/>
      <c r="AA431" s="23" t="n"/>
      <c r="AB431" s="23" t="n"/>
      <c r="AC431" s="23" t="n"/>
      <c r="AD431" s="23" t="n"/>
      <c r="AE431" s="23" t="n"/>
      <c r="AF431" s="23" t="n"/>
      <c r="AG431" s="23" t="n"/>
      <c r="AH431" s="23" t="n"/>
      <c r="AI431" s="23" t="n"/>
      <c r="AJ431" s="23" t="n"/>
      <c r="AK431" s="23" t="n"/>
      <c r="AL431" s="23" t="n"/>
      <c r="AM431" s="26">
        <f>IF(G431="","",G431&amp;"|"&amp;P431)</f>
        <v/>
      </c>
      <c r="AN431" s="27">
        <f>IF(I431="","",IFERROR(DATE(VALUE(RIGHT(I431,4)),VALUE(MID(I431,4,2)),VALUE(LEFT(I431,2))),""))</f>
        <v/>
      </c>
      <c r="AO431" s="27">
        <f>IF(Y431="","",IFERROR(DATE(VALUE(RIGHT(Y431,4)),VALUE(MID(Y431,4,2)),VALUE(LEFT(Y431,2))),""))</f>
        <v/>
      </c>
      <c r="AP431" s="27">
        <f>IF(AC431="","",IFERROR(DATE(VALUE(RIGHT(AC431,4)),VALUE(MID(AC431,4,2)),VALUE(LEFT(AC431,2))),""))</f>
        <v/>
      </c>
      <c r="AQ431" s="26">
        <f>IF(AI431="","",TRIM(LEFT(AI431,FIND(" ",AI431&amp;" ")-1)))</f>
        <v/>
      </c>
      <c r="AR431" s="27">
        <f>IF(AQ431="","",IFERROR(DATE(VALUE(MID(AQ431,FIND("/",AQ431,FIND("/",AQ431)+1)+1,4)),VALUE(LEFT(AQ431,FIND("/",AQ431)-1)),VALUE(MID(AQ431,FIND("/",AQ431)+1,FIND("/",AQ431,FIND("/",AQ431)+1)-FIND("/",AQ431)-1))),""))</f>
        <v/>
      </c>
      <c r="AS431" s="26">
        <f>IF(G431="","",IF(AND(AG431&lt;&gt;"",AG431&lt;&gt;"Bayi Aracı"),"Evet","Hayır"))</f>
        <v/>
      </c>
      <c r="AT431" s="26">
        <f>IF(G431="","",IF(AND(AS431="Evet",T431="Siparişiniz Teslim Edildi"),"Evet","Hayır"))</f>
        <v/>
      </c>
      <c r="AU431" s="26">
        <f>IF(G431="","",IF(AB431="Siparişinizin Montajı Yapıldı","Evet","Hayır"))</f>
        <v/>
      </c>
      <c r="AV431" s="27">
        <f>IF(G431="","",IF(AT431="Evet",AR431,IF(AU431="Evet",AP431,"")))</f>
        <v/>
      </c>
    </row>
    <row r="432">
      <c r="A432" s="23" t="n"/>
      <c r="B432" s="23" t="n"/>
      <c r="C432" s="23" t="n"/>
      <c r="D432" s="23" t="n"/>
      <c r="E432" s="23" t="n"/>
      <c r="F432" s="23" t="n"/>
      <c r="G432" s="23" t="n"/>
      <c r="H432" s="23" t="n"/>
      <c r="I432" s="23" t="n"/>
      <c r="J432" s="23" t="n"/>
      <c r="K432" s="23" t="n"/>
      <c r="L432" s="23" t="n"/>
      <c r="M432" s="23" t="n"/>
      <c r="N432" s="23" t="n"/>
      <c r="O432" s="23" t="n"/>
      <c r="P432" s="23" t="n"/>
      <c r="Q432" s="23" t="n"/>
      <c r="R432" s="23" t="n"/>
      <c r="S432" s="23" t="n"/>
      <c r="T432" s="23" t="n"/>
      <c r="U432" s="23" t="n"/>
      <c r="V432" s="23" t="n"/>
      <c r="W432" s="23" t="n"/>
      <c r="X432" s="23" t="n"/>
      <c r="Y432" s="23" t="n"/>
      <c r="Z432" s="23" t="n"/>
      <c r="AA432" s="23" t="n"/>
      <c r="AB432" s="23" t="n"/>
      <c r="AC432" s="23" t="n"/>
      <c r="AD432" s="23" t="n"/>
      <c r="AE432" s="23" t="n"/>
      <c r="AF432" s="23" t="n"/>
      <c r="AG432" s="23" t="n"/>
      <c r="AH432" s="23" t="n"/>
      <c r="AI432" s="23" t="n"/>
      <c r="AJ432" s="23" t="n"/>
      <c r="AK432" s="23" t="n"/>
      <c r="AL432" s="23" t="n"/>
      <c r="AM432" s="26">
        <f>IF(G432="","",G432&amp;"|"&amp;P432)</f>
        <v/>
      </c>
      <c r="AN432" s="27">
        <f>IF(I432="","",IFERROR(DATE(VALUE(RIGHT(I432,4)),VALUE(MID(I432,4,2)),VALUE(LEFT(I432,2))),""))</f>
        <v/>
      </c>
      <c r="AO432" s="27">
        <f>IF(Y432="","",IFERROR(DATE(VALUE(RIGHT(Y432,4)),VALUE(MID(Y432,4,2)),VALUE(LEFT(Y432,2))),""))</f>
        <v/>
      </c>
      <c r="AP432" s="27">
        <f>IF(AC432="","",IFERROR(DATE(VALUE(RIGHT(AC432,4)),VALUE(MID(AC432,4,2)),VALUE(LEFT(AC432,2))),""))</f>
        <v/>
      </c>
      <c r="AQ432" s="26">
        <f>IF(AI432="","",TRIM(LEFT(AI432,FIND(" ",AI432&amp;" ")-1)))</f>
        <v/>
      </c>
      <c r="AR432" s="27">
        <f>IF(AQ432="","",IFERROR(DATE(VALUE(MID(AQ432,FIND("/",AQ432,FIND("/",AQ432)+1)+1,4)),VALUE(LEFT(AQ432,FIND("/",AQ432)-1)),VALUE(MID(AQ432,FIND("/",AQ432)+1,FIND("/",AQ432,FIND("/",AQ432)+1)-FIND("/",AQ432)-1))),""))</f>
        <v/>
      </c>
      <c r="AS432" s="26">
        <f>IF(G432="","",IF(AND(AG432&lt;&gt;"",AG432&lt;&gt;"Bayi Aracı"),"Evet","Hayır"))</f>
        <v/>
      </c>
      <c r="AT432" s="26">
        <f>IF(G432="","",IF(AND(AS432="Evet",T432="Siparişiniz Teslim Edildi"),"Evet","Hayır"))</f>
        <v/>
      </c>
      <c r="AU432" s="26">
        <f>IF(G432="","",IF(AB432="Siparişinizin Montajı Yapıldı","Evet","Hayır"))</f>
        <v/>
      </c>
      <c r="AV432" s="27">
        <f>IF(G432="","",IF(AT432="Evet",AR432,IF(AU432="Evet",AP432,"")))</f>
        <v/>
      </c>
    </row>
    <row r="433">
      <c r="A433" s="23" t="n"/>
      <c r="B433" s="23" t="n"/>
      <c r="C433" s="23" t="n"/>
      <c r="D433" s="23" t="n"/>
      <c r="E433" s="23" t="n"/>
      <c r="F433" s="23" t="n"/>
      <c r="G433" s="23" t="n"/>
      <c r="H433" s="23" t="n"/>
      <c r="I433" s="23" t="n"/>
      <c r="J433" s="23" t="n"/>
      <c r="K433" s="23" t="n"/>
      <c r="L433" s="23" t="n"/>
      <c r="M433" s="23" t="n"/>
      <c r="N433" s="23" t="n"/>
      <c r="O433" s="23" t="n"/>
      <c r="P433" s="23" t="n"/>
      <c r="Q433" s="23" t="n"/>
      <c r="R433" s="23" t="n"/>
      <c r="S433" s="23" t="n"/>
      <c r="T433" s="23" t="n"/>
      <c r="U433" s="23" t="n"/>
      <c r="V433" s="23" t="n"/>
      <c r="W433" s="23" t="n"/>
      <c r="X433" s="23" t="n"/>
      <c r="Y433" s="23" t="n"/>
      <c r="Z433" s="23" t="n"/>
      <c r="AA433" s="23" t="n"/>
      <c r="AB433" s="23" t="n"/>
      <c r="AC433" s="23" t="n"/>
      <c r="AD433" s="23" t="n"/>
      <c r="AE433" s="23" t="n"/>
      <c r="AF433" s="23" t="n"/>
      <c r="AG433" s="23" t="n"/>
      <c r="AH433" s="23" t="n"/>
      <c r="AI433" s="23" t="n"/>
      <c r="AJ433" s="23" t="n"/>
      <c r="AK433" s="23" t="n"/>
      <c r="AL433" s="23" t="n"/>
      <c r="AM433" s="26">
        <f>IF(G433="","",G433&amp;"|"&amp;P433)</f>
        <v/>
      </c>
      <c r="AN433" s="27">
        <f>IF(I433="","",IFERROR(DATE(VALUE(RIGHT(I433,4)),VALUE(MID(I433,4,2)),VALUE(LEFT(I433,2))),""))</f>
        <v/>
      </c>
      <c r="AO433" s="27">
        <f>IF(Y433="","",IFERROR(DATE(VALUE(RIGHT(Y433,4)),VALUE(MID(Y433,4,2)),VALUE(LEFT(Y433,2))),""))</f>
        <v/>
      </c>
      <c r="AP433" s="27">
        <f>IF(AC433="","",IFERROR(DATE(VALUE(RIGHT(AC433,4)),VALUE(MID(AC433,4,2)),VALUE(LEFT(AC433,2))),""))</f>
        <v/>
      </c>
      <c r="AQ433" s="26">
        <f>IF(AI433="","",TRIM(LEFT(AI433,FIND(" ",AI433&amp;" ")-1)))</f>
        <v/>
      </c>
      <c r="AR433" s="27">
        <f>IF(AQ433="","",IFERROR(DATE(VALUE(MID(AQ433,FIND("/",AQ433,FIND("/",AQ433)+1)+1,4)),VALUE(LEFT(AQ433,FIND("/",AQ433)-1)),VALUE(MID(AQ433,FIND("/",AQ433)+1,FIND("/",AQ433,FIND("/",AQ433)+1)-FIND("/",AQ433)-1))),""))</f>
        <v/>
      </c>
      <c r="AS433" s="26">
        <f>IF(G433="","",IF(AND(AG433&lt;&gt;"",AG433&lt;&gt;"Bayi Aracı"),"Evet","Hayır"))</f>
        <v/>
      </c>
      <c r="AT433" s="26">
        <f>IF(G433="","",IF(AND(AS433="Evet",T433="Siparişiniz Teslim Edildi"),"Evet","Hayır"))</f>
        <v/>
      </c>
      <c r="AU433" s="26">
        <f>IF(G433="","",IF(AB433="Siparişinizin Montajı Yapıldı","Evet","Hayır"))</f>
        <v/>
      </c>
      <c r="AV433" s="27">
        <f>IF(G433="","",IF(AT433="Evet",AR433,IF(AU433="Evet",AP433,"")))</f>
        <v/>
      </c>
    </row>
    <row r="434">
      <c r="A434" s="23" t="n"/>
      <c r="B434" s="23" t="n"/>
      <c r="C434" s="23" t="n"/>
      <c r="D434" s="23" t="n"/>
      <c r="E434" s="23" t="n"/>
      <c r="F434" s="23" t="n"/>
      <c r="G434" s="23" t="n"/>
      <c r="H434" s="23" t="n"/>
      <c r="I434" s="23" t="n"/>
      <c r="J434" s="23" t="n"/>
      <c r="K434" s="23" t="n"/>
      <c r="L434" s="23" t="n"/>
      <c r="M434" s="23" t="n"/>
      <c r="N434" s="23" t="n"/>
      <c r="O434" s="23" t="n"/>
      <c r="P434" s="23" t="n"/>
      <c r="Q434" s="23" t="n"/>
      <c r="R434" s="23" t="n"/>
      <c r="S434" s="23" t="n"/>
      <c r="T434" s="23" t="n"/>
      <c r="U434" s="23" t="n"/>
      <c r="V434" s="23" t="n"/>
      <c r="W434" s="23" t="n"/>
      <c r="X434" s="23" t="n"/>
      <c r="Y434" s="23" t="n"/>
      <c r="Z434" s="23" t="n"/>
      <c r="AA434" s="23" t="n"/>
      <c r="AB434" s="23" t="n"/>
      <c r="AC434" s="23" t="n"/>
      <c r="AD434" s="23" t="n"/>
      <c r="AE434" s="23" t="n"/>
      <c r="AF434" s="23" t="n"/>
      <c r="AG434" s="23" t="n"/>
      <c r="AH434" s="23" t="n"/>
      <c r="AI434" s="23" t="n"/>
      <c r="AJ434" s="23" t="n"/>
      <c r="AK434" s="23" t="n"/>
      <c r="AL434" s="23" t="n"/>
      <c r="AM434" s="26">
        <f>IF(G434="","",G434&amp;"|"&amp;P434)</f>
        <v/>
      </c>
      <c r="AN434" s="27">
        <f>IF(I434="","",IFERROR(DATE(VALUE(RIGHT(I434,4)),VALUE(MID(I434,4,2)),VALUE(LEFT(I434,2))),""))</f>
        <v/>
      </c>
      <c r="AO434" s="27">
        <f>IF(Y434="","",IFERROR(DATE(VALUE(RIGHT(Y434,4)),VALUE(MID(Y434,4,2)),VALUE(LEFT(Y434,2))),""))</f>
        <v/>
      </c>
      <c r="AP434" s="27">
        <f>IF(AC434="","",IFERROR(DATE(VALUE(RIGHT(AC434,4)),VALUE(MID(AC434,4,2)),VALUE(LEFT(AC434,2))),""))</f>
        <v/>
      </c>
      <c r="AQ434" s="26">
        <f>IF(AI434="","",TRIM(LEFT(AI434,FIND(" ",AI434&amp;" ")-1)))</f>
        <v/>
      </c>
      <c r="AR434" s="27">
        <f>IF(AQ434="","",IFERROR(DATE(VALUE(MID(AQ434,FIND("/",AQ434,FIND("/",AQ434)+1)+1,4)),VALUE(LEFT(AQ434,FIND("/",AQ434)-1)),VALUE(MID(AQ434,FIND("/",AQ434)+1,FIND("/",AQ434,FIND("/",AQ434)+1)-FIND("/",AQ434)-1))),""))</f>
        <v/>
      </c>
      <c r="AS434" s="26">
        <f>IF(G434="","",IF(AND(AG434&lt;&gt;"",AG434&lt;&gt;"Bayi Aracı"),"Evet","Hayır"))</f>
        <v/>
      </c>
      <c r="AT434" s="26">
        <f>IF(G434="","",IF(AND(AS434="Evet",T434="Siparişiniz Teslim Edildi"),"Evet","Hayır"))</f>
        <v/>
      </c>
      <c r="AU434" s="26">
        <f>IF(G434="","",IF(AB434="Siparişinizin Montajı Yapıldı","Evet","Hayır"))</f>
        <v/>
      </c>
      <c r="AV434" s="27">
        <f>IF(G434="","",IF(AT434="Evet",AR434,IF(AU434="Evet",AP434,"")))</f>
        <v/>
      </c>
    </row>
    <row r="435">
      <c r="A435" s="23" t="n"/>
      <c r="B435" s="23" t="n"/>
      <c r="C435" s="23" t="n"/>
      <c r="D435" s="23" t="n"/>
      <c r="E435" s="23" t="n"/>
      <c r="F435" s="23" t="n"/>
      <c r="G435" s="23" t="n"/>
      <c r="H435" s="23" t="n"/>
      <c r="I435" s="23" t="n"/>
      <c r="J435" s="23" t="n"/>
      <c r="K435" s="23" t="n"/>
      <c r="L435" s="23" t="n"/>
      <c r="M435" s="23" t="n"/>
      <c r="N435" s="23" t="n"/>
      <c r="O435" s="23" t="n"/>
      <c r="P435" s="23" t="n"/>
      <c r="Q435" s="23" t="n"/>
      <c r="R435" s="23" t="n"/>
      <c r="S435" s="23" t="n"/>
      <c r="T435" s="23" t="n"/>
      <c r="U435" s="23" t="n"/>
      <c r="V435" s="23" t="n"/>
      <c r="W435" s="23" t="n"/>
      <c r="X435" s="23" t="n"/>
      <c r="Y435" s="23" t="n"/>
      <c r="Z435" s="23" t="n"/>
      <c r="AA435" s="23" t="n"/>
      <c r="AB435" s="23" t="n"/>
      <c r="AC435" s="23" t="n"/>
      <c r="AD435" s="23" t="n"/>
      <c r="AE435" s="23" t="n"/>
      <c r="AF435" s="23" t="n"/>
      <c r="AG435" s="23" t="n"/>
      <c r="AH435" s="23" t="n"/>
      <c r="AI435" s="23" t="n"/>
      <c r="AJ435" s="23" t="n"/>
      <c r="AK435" s="23" t="n"/>
      <c r="AL435" s="23" t="n"/>
      <c r="AM435" s="26">
        <f>IF(G435="","",G435&amp;"|"&amp;P435)</f>
        <v/>
      </c>
      <c r="AN435" s="27">
        <f>IF(I435="","",IFERROR(DATE(VALUE(RIGHT(I435,4)),VALUE(MID(I435,4,2)),VALUE(LEFT(I435,2))),""))</f>
        <v/>
      </c>
      <c r="AO435" s="27">
        <f>IF(Y435="","",IFERROR(DATE(VALUE(RIGHT(Y435,4)),VALUE(MID(Y435,4,2)),VALUE(LEFT(Y435,2))),""))</f>
        <v/>
      </c>
      <c r="AP435" s="27">
        <f>IF(AC435="","",IFERROR(DATE(VALUE(RIGHT(AC435,4)),VALUE(MID(AC435,4,2)),VALUE(LEFT(AC435,2))),""))</f>
        <v/>
      </c>
      <c r="AQ435" s="26">
        <f>IF(AI435="","",TRIM(LEFT(AI435,FIND(" ",AI435&amp;" ")-1)))</f>
        <v/>
      </c>
      <c r="AR435" s="27">
        <f>IF(AQ435="","",IFERROR(DATE(VALUE(MID(AQ435,FIND("/",AQ435,FIND("/",AQ435)+1)+1,4)),VALUE(LEFT(AQ435,FIND("/",AQ435)-1)),VALUE(MID(AQ435,FIND("/",AQ435)+1,FIND("/",AQ435,FIND("/",AQ435)+1)-FIND("/",AQ435)-1))),""))</f>
        <v/>
      </c>
      <c r="AS435" s="26">
        <f>IF(G435="","",IF(AND(AG435&lt;&gt;"",AG435&lt;&gt;"Bayi Aracı"),"Evet","Hayır"))</f>
        <v/>
      </c>
      <c r="AT435" s="26">
        <f>IF(G435="","",IF(AND(AS435="Evet",T435="Siparişiniz Teslim Edildi"),"Evet","Hayır"))</f>
        <v/>
      </c>
      <c r="AU435" s="26">
        <f>IF(G435="","",IF(AB435="Siparişinizin Montajı Yapıldı","Evet","Hayır"))</f>
        <v/>
      </c>
      <c r="AV435" s="27">
        <f>IF(G435="","",IF(AT435="Evet",AR435,IF(AU435="Evet",AP435,"")))</f>
        <v/>
      </c>
    </row>
    <row r="436">
      <c r="A436" s="23" t="n"/>
      <c r="B436" s="23" t="n"/>
      <c r="C436" s="23" t="n"/>
      <c r="D436" s="23" t="n"/>
      <c r="E436" s="23" t="n"/>
      <c r="F436" s="23" t="n"/>
      <c r="G436" s="23" t="n"/>
      <c r="H436" s="23" t="n"/>
      <c r="I436" s="23" t="n"/>
      <c r="J436" s="23" t="n"/>
      <c r="K436" s="23" t="n"/>
      <c r="L436" s="23" t="n"/>
      <c r="M436" s="23" t="n"/>
      <c r="N436" s="23" t="n"/>
      <c r="O436" s="23" t="n"/>
      <c r="P436" s="23" t="n"/>
      <c r="Q436" s="23" t="n"/>
      <c r="R436" s="23" t="n"/>
      <c r="S436" s="23" t="n"/>
      <c r="T436" s="23" t="n"/>
      <c r="U436" s="23" t="n"/>
      <c r="V436" s="23" t="n"/>
      <c r="W436" s="23" t="n"/>
      <c r="X436" s="23" t="n"/>
      <c r="Y436" s="23" t="n"/>
      <c r="Z436" s="23" t="n"/>
      <c r="AA436" s="23" t="n"/>
      <c r="AB436" s="23" t="n"/>
      <c r="AC436" s="23" t="n"/>
      <c r="AD436" s="23" t="n"/>
      <c r="AE436" s="23" t="n"/>
      <c r="AF436" s="23" t="n"/>
      <c r="AG436" s="23" t="n"/>
      <c r="AH436" s="23" t="n"/>
      <c r="AI436" s="23" t="n"/>
      <c r="AJ436" s="23" t="n"/>
      <c r="AK436" s="23" t="n"/>
      <c r="AL436" s="23" t="n"/>
      <c r="AM436" s="26">
        <f>IF(G436="","",G436&amp;"|"&amp;P436)</f>
        <v/>
      </c>
      <c r="AN436" s="27">
        <f>IF(I436="","",IFERROR(DATE(VALUE(RIGHT(I436,4)),VALUE(MID(I436,4,2)),VALUE(LEFT(I436,2))),""))</f>
        <v/>
      </c>
      <c r="AO436" s="27">
        <f>IF(Y436="","",IFERROR(DATE(VALUE(RIGHT(Y436,4)),VALUE(MID(Y436,4,2)),VALUE(LEFT(Y436,2))),""))</f>
        <v/>
      </c>
      <c r="AP436" s="27">
        <f>IF(AC436="","",IFERROR(DATE(VALUE(RIGHT(AC436,4)),VALUE(MID(AC436,4,2)),VALUE(LEFT(AC436,2))),""))</f>
        <v/>
      </c>
      <c r="AQ436" s="26">
        <f>IF(AI436="","",TRIM(LEFT(AI436,FIND(" ",AI436&amp;" ")-1)))</f>
        <v/>
      </c>
      <c r="AR436" s="27">
        <f>IF(AQ436="","",IFERROR(DATE(VALUE(MID(AQ436,FIND("/",AQ436,FIND("/",AQ436)+1)+1,4)),VALUE(LEFT(AQ436,FIND("/",AQ436)-1)),VALUE(MID(AQ436,FIND("/",AQ436)+1,FIND("/",AQ436,FIND("/",AQ436)+1)-FIND("/",AQ436)-1))),""))</f>
        <v/>
      </c>
      <c r="AS436" s="26">
        <f>IF(G436="","",IF(AND(AG436&lt;&gt;"",AG436&lt;&gt;"Bayi Aracı"),"Evet","Hayır"))</f>
        <v/>
      </c>
      <c r="AT436" s="26">
        <f>IF(G436="","",IF(AND(AS436="Evet",T436="Siparişiniz Teslim Edildi"),"Evet","Hayır"))</f>
        <v/>
      </c>
      <c r="AU436" s="26">
        <f>IF(G436="","",IF(AB436="Siparişinizin Montajı Yapıldı","Evet","Hayır"))</f>
        <v/>
      </c>
      <c r="AV436" s="27">
        <f>IF(G436="","",IF(AT436="Evet",AR436,IF(AU436="Evet",AP436,"")))</f>
        <v/>
      </c>
    </row>
    <row r="437">
      <c r="A437" s="23" t="n"/>
      <c r="B437" s="23" t="n"/>
      <c r="C437" s="23" t="n"/>
      <c r="D437" s="23" t="n"/>
      <c r="E437" s="23" t="n"/>
      <c r="F437" s="23" t="n"/>
      <c r="G437" s="23" t="n"/>
      <c r="H437" s="23" t="n"/>
      <c r="I437" s="23" t="n"/>
      <c r="J437" s="23" t="n"/>
      <c r="K437" s="23" t="n"/>
      <c r="L437" s="23" t="n"/>
      <c r="M437" s="23" t="n"/>
      <c r="N437" s="23" t="n"/>
      <c r="O437" s="23" t="n"/>
      <c r="P437" s="23" t="n"/>
      <c r="Q437" s="23" t="n"/>
      <c r="R437" s="23" t="n"/>
      <c r="S437" s="23" t="n"/>
      <c r="T437" s="23" t="n"/>
      <c r="U437" s="23" t="n"/>
      <c r="V437" s="23" t="n"/>
      <c r="W437" s="23" t="n"/>
      <c r="X437" s="23" t="n"/>
      <c r="Y437" s="23" t="n"/>
      <c r="Z437" s="23" t="n"/>
      <c r="AA437" s="23" t="n"/>
      <c r="AB437" s="23" t="n"/>
      <c r="AC437" s="23" t="n"/>
      <c r="AD437" s="23" t="n"/>
      <c r="AE437" s="23" t="n"/>
      <c r="AF437" s="23" t="n"/>
      <c r="AG437" s="23" t="n"/>
      <c r="AH437" s="23" t="n"/>
      <c r="AI437" s="23" t="n"/>
      <c r="AJ437" s="23" t="n"/>
      <c r="AK437" s="23" t="n"/>
      <c r="AL437" s="23" t="n"/>
      <c r="AM437" s="26">
        <f>IF(G437="","",G437&amp;"|"&amp;P437)</f>
        <v/>
      </c>
      <c r="AN437" s="27">
        <f>IF(I437="","",IFERROR(DATE(VALUE(RIGHT(I437,4)),VALUE(MID(I437,4,2)),VALUE(LEFT(I437,2))),""))</f>
        <v/>
      </c>
      <c r="AO437" s="27">
        <f>IF(Y437="","",IFERROR(DATE(VALUE(RIGHT(Y437,4)),VALUE(MID(Y437,4,2)),VALUE(LEFT(Y437,2))),""))</f>
        <v/>
      </c>
      <c r="AP437" s="27">
        <f>IF(AC437="","",IFERROR(DATE(VALUE(RIGHT(AC437,4)),VALUE(MID(AC437,4,2)),VALUE(LEFT(AC437,2))),""))</f>
        <v/>
      </c>
      <c r="AQ437" s="26">
        <f>IF(AI437="","",TRIM(LEFT(AI437,FIND(" ",AI437&amp;" ")-1)))</f>
        <v/>
      </c>
      <c r="AR437" s="27">
        <f>IF(AQ437="","",IFERROR(DATE(VALUE(MID(AQ437,FIND("/",AQ437,FIND("/",AQ437)+1)+1,4)),VALUE(LEFT(AQ437,FIND("/",AQ437)-1)),VALUE(MID(AQ437,FIND("/",AQ437)+1,FIND("/",AQ437,FIND("/",AQ437)+1)-FIND("/",AQ437)-1))),""))</f>
        <v/>
      </c>
      <c r="AS437" s="26">
        <f>IF(G437="","",IF(AND(AG437&lt;&gt;"",AG437&lt;&gt;"Bayi Aracı"),"Evet","Hayır"))</f>
        <v/>
      </c>
      <c r="AT437" s="26">
        <f>IF(G437="","",IF(AND(AS437="Evet",T437="Siparişiniz Teslim Edildi"),"Evet","Hayır"))</f>
        <v/>
      </c>
      <c r="AU437" s="26">
        <f>IF(G437="","",IF(AB437="Siparişinizin Montajı Yapıldı","Evet","Hayır"))</f>
        <v/>
      </c>
      <c r="AV437" s="27">
        <f>IF(G437="","",IF(AT437="Evet",AR437,IF(AU437="Evet",AP437,"")))</f>
        <v/>
      </c>
    </row>
    <row r="438">
      <c r="A438" s="23" t="n"/>
      <c r="B438" s="23" t="n"/>
      <c r="C438" s="23" t="n"/>
      <c r="D438" s="23" t="n"/>
      <c r="E438" s="23" t="n"/>
      <c r="F438" s="23" t="n"/>
      <c r="G438" s="23" t="n"/>
      <c r="H438" s="23" t="n"/>
      <c r="I438" s="23" t="n"/>
      <c r="J438" s="23" t="n"/>
      <c r="K438" s="23" t="n"/>
      <c r="L438" s="23" t="n"/>
      <c r="M438" s="23" t="n"/>
      <c r="N438" s="23" t="n"/>
      <c r="O438" s="23" t="n"/>
      <c r="P438" s="23" t="n"/>
      <c r="Q438" s="23" t="n"/>
      <c r="R438" s="23" t="n"/>
      <c r="S438" s="23" t="n"/>
      <c r="T438" s="23" t="n"/>
      <c r="U438" s="23" t="n"/>
      <c r="V438" s="23" t="n"/>
      <c r="W438" s="23" t="n"/>
      <c r="X438" s="23" t="n"/>
      <c r="Y438" s="23" t="n"/>
      <c r="Z438" s="23" t="n"/>
      <c r="AA438" s="23" t="n"/>
      <c r="AB438" s="23" t="n"/>
      <c r="AC438" s="23" t="n"/>
      <c r="AD438" s="23" t="n"/>
      <c r="AE438" s="23" t="n"/>
      <c r="AF438" s="23" t="n"/>
      <c r="AG438" s="23" t="n"/>
      <c r="AH438" s="23" t="n"/>
      <c r="AI438" s="23" t="n"/>
      <c r="AJ438" s="23" t="n"/>
      <c r="AK438" s="23" t="n"/>
      <c r="AL438" s="23" t="n"/>
      <c r="AM438" s="26">
        <f>IF(G438="","",G438&amp;"|"&amp;P438)</f>
        <v/>
      </c>
      <c r="AN438" s="27">
        <f>IF(I438="","",IFERROR(DATE(VALUE(RIGHT(I438,4)),VALUE(MID(I438,4,2)),VALUE(LEFT(I438,2))),""))</f>
        <v/>
      </c>
      <c r="AO438" s="27">
        <f>IF(Y438="","",IFERROR(DATE(VALUE(RIGHT(Y438,4)),VALUE(MID(Y438,4,2)),VALUE(LEFT(Y438,2))),""))</f>
        <v/>
      </c>
      <c r="AP438" s="27">
        <f>IF(AC438="","",IFERROR(DATE(VALUE(RIGHT(AC438,4)),VALUE(MID(AC438,4,2)),VALUE(LEFT(AC438,2))),""))</f>
        <v/>
      </c>
      <c r="AQ438" s="26">
        <f>IF(AI438="","",TRIM(LEFT(AI438,FIND(" ",AI438&amp;" ")-1)))</f>
        <v/>
      </c>
      <c r="AR438" s="27">
        <f>IF(AQ438="","",IFERROR(DATE(VALUE(MID(AQ438,FIND("/",AQ438,FIND("/",AQ438)+1)+1,4)),VALUE(LEFT(AQ438,FIND("/",AQ438)-1)),VALUE(MID(AQ438,FIND("/",AQ438)+1,FIND("/",AQ438,FIND("/",AQ438)+1)-FIND("/",AQ438)-1))),""))</f>
        <v/>
      </c>
      <c r="AS438" s="26">
        <f>IF(G438="","",IF(AND(AG438&lt;&gt;"",AG438&lt;&gt;"Bayi Aracı"),"Evet","Hayır"))</f>
        <v/>
      </c>
      <c r="AT438" s="26">
        <f>IF(G438="","",IF(AND(AS438="Evet",T438="Siparişiniz Teslim Edildi"),"Evet","Hayır"))</f>
        <v/>
      </c>
      <c r="AU438" s="26">
        <f>IF(G438="","",IF(AB438="Siparişinizin Montajı Yapıldı","Evet","Hayır"))</f>
        <v/>
      </c>
      <c r="AV438" s="27">
        <f>IF(G438="","",IF(AT438="Evet",AR438,IF(AU438="Evet",AP438,"")))</f>
        <v/>
      </c>
    </row>
    <row r="439">
      <c r="A439" s="23" t="n"/>
      <c r="B439" s="23" t="n"/>
      <c r="C439" s="23" t="n"/>
      <c r="D439" s="23" t="n"/>
      <c r="E439" s="23" t="n"/>
      <c r="F439" s="23" t="n"/>
      <c r="G439" s="23" t="n"/>
      <c r="H439" s="23" t="n"/>
      <c r="I439" s="23" t="n"/>
      <c r="J439" s="23" t="n"/>
      <c r="K439" s="23" t="n"/>
      <c r="L439" s="23" t="n"/>
      <c r="M439" s="23" t="n"/>
      <c r="N439" s="23" t="n"/>
      <c r="O439" s="23" t="n"/>
      <c r="P439" s="23" t="n"/>
      <c r="Q439" s="23" t="n"/>
      <c r="R439" s="23" t="n"/>
      <c r="S439" s="23" t="n"/>
      <c r="T439" s="23" t="n"/>
      <c r="U439" s="23" t="n"/>
      <c r="V439" s="23" t="n"/>
      <c r="W439" s="23" t="n"/>
      <c r="X439" s="23" t="n"/>
      <c r="Y439" s="23" t="n"/>
      <c r="Z439" s="23" t="n"/>
      <c r="AA439" s="23" t="n"/>
      <c r="AB439" s="23" t="n"/>
      <c r="AC439" s="23" t="n"/>
      <c r="AD439" s="23" t="n"/>
      <c r="AE439" s="23" t="n"/>
      <c r="AF439" s="23" t="n"/>
      <c r="AG439" s="23" t="n"/>
      <c r="AH439" s="23" t="n"/>
      <c r="AI439" s="23" t="n"/>
      <c r="AJ439" s="23" t="n"/>
      <c r="AK439" s="23" t="n"/>
      <c r="AL439" s="23" t="n"/>
      <c r="AM439" s="26">
        <f>IF(G439="","",G439&amp;"|"&amp;P439)</f>
        <v/>
      </c>
      <c r="AN439" s="27">
        <f>IF(I439="","",IFERROR(DATE(VALUE(RIGHT(I439,4)),VALUE(MID(I439,4,2)),VALUE(LEFT(I439,2))),""))</f>
        <v/>
      </c>
      <c r="AO439" s="27">
        <f>IF(Y439="","",IFERROR(DATE(VALUE(RIGHT(Y439,4)),VALUE(MID(Y439,4,2)),VALUE(LEFT(Y439,2))),""))</f>
        <v/>
      </c>
      <c r="AP439" s="27">
        <f>IF(AC439="","",IFERROR(DATE(VALUE(RIGHT(AC439,4)),VALUE(MID(AC439,4,2)),VALUE(LEFT(AC439,2))),""))</f>
        <v/>
      </c>
      <c r="AQ439" s="26">
        <f>IF(AI439="","",TRIM(LEFT(AI439,FIND(" ",AI439&amp;" ")-1)))</f>
        <v/>
      </c>
      <c r="AR439" s="27">
        <f>IF(AQ439="","",IFERROR(DATE(VALUE(MID(AQ439,FIND("/",AQ439,FIND("/",AQ439)+1)+1,4)),VALUE(LEFT(AQ439,FIND("/",AQ439)-1)),VALUE(MID(AQ439,FIND("/",AQ439)+1,FIND("/",AQ439,FIND("/",AQ439)+1)-FIND("/",AQ439)-1))),""))</f>
        <v/>
      </c>
      <c r="AS439" s="26">
        <f>IF(G439="","",IF(AND(AG439&lt;&gt;"",AG439&lt;&gt;"Bayi Aracı"),"Evet","Hayır"))</f>
        <v/>
      </c>
      <c r="AT439" s="26">
        <f>IF(G439="","",IF(AND(AS439="Evet",T439="Siparişiniz Teslim Edildi"),"Evet","Hayır"))</f>
        <v/>
      </c>
      <c r="AU439" s="26">
        <f>IF(G439="","",IF(AB439="Siparişinizin Montajı Yapıldı","Evet","Hayır"))</f>
        <v/>
      </c>
      <c r="AV439" s="27">
        <f>IF(G439="","",IF(AT439="Evet",AR439,IF(AU439="Evet",AP439,"")))</f>
        <v/>
      </c>
    </row>
    <row r="440">
      <c r="A440" s="23" t="n"/>
      <c r="B440" s="23" t="n"/>
      <c r="C440" s="23" t="n"/>
      <c r="D440" s="23" t="n"/>
      <c r="E440" s="23" t="n"/>
      <c r="F440" s="23" t="n"/>
      <c r="G440" s="23" t="n"/>
      <c r="H440" s="23" t="n"/>
      <c r="I440" s="23" t="n"/>
      <c r="J440" s="23" t="n"/>
      <c r="K440" s="23" t="n"/>
      <c r="L440" s="23" t="n"/>
      <c r="M440" s="23" t="n"/>
      <c r="N440" s="23" t="n"/>
      <c r="O440" s="23" t="n"/>
      <c r="P440" s="23" t="n"/>
      <c r="Q440" s="23" t="n"/>
      <c r="R440" s="23" t="n"/>
      <c r="S440" s="23" t="n"/>
      <c r="T440" s="23" t="n"/>
      <c r="U440" s="23" t="n"/>
      <c r="V440" s="23" t="n"/>
      <c r="W440" s="23" t="n"/>
      <c r="X440" s="23" t="n"/>
      <c r="Y440" s="23" t="n"/>
      <c r="Z440" s="23" t="n"/>
      <c r="AA440" s="23" t="n"/>
      <c r="AB440" s="23" t="n"/>
      <c r="AC440" s="23" t="n"/>
      <c r="AD440" s="23" t="n"/>
      <c r="AE440" s="23" t="n"/>
      <c r="AF440" s="23" t="n"/>
      <c r="AG440" s="23" t="n"/>
      <c r="AH440" s="23" t="n"/>
      <c r="AI440" s="23" t="n"/>
      <c r="AJ440" s="23" t="n"/>
      <c r="AK440" s="23" t="n"/>
      <c r="AL440" s="23" t="n"/>
      <c r="AM440" s="26">
        <f>IF(G440="","",G440&amp;"|"&amp;P440)</f>
        <v/>
      </c>
      <c r="AN440" s="27">
        <f>IF(I440="","",IFERROR(DATE(VALUE(RIGHT(I440,4)),VALUE(MID(I440,4,2)),VALUE(LEFT(I440,2))),""))</f>
        <v/>
      </c>
      <c r="AO440" s="27">
        <f>IF(Y440="","",IFERROR(DATE(VALUE(RIGHT(Y440,4)),VALUE(MID(Y440,4,2)),VALUE(LEFT(Y440,2))),""))</f>
        <v/>
      </c>
      <c r="AP440" s="27">
        <f>IF(AC440="","",IFERROR(DATE(VALUE(RIGHT(AC440,4)),VALUE(MID(AC440,4,2)),VALUE(LEFT(AC440,2))),""))</f>
        <v/>
      </c>
      <c r="AQ440" s="26">
        <f>IF(AI440="","",TRIM(LEFT(AI440,FIND(" ",AI440&amp;" ")-1)))</f>
        <v/>
      </c>
      <c r="AR440" s="27">
        <f>IF(AQ440="","",IFERROR(DATE(VALUE(MID(AQ440,FIND("/",AQ440,FIND("/",AQ440)+1)+1,4)),VALUE(LEFT(AQ440,FIND("/",AQ440)-1)),VALUE(MID(AQ440,FIND("/",AQ440)+1,FIND("/",AQ440,FIND("/",AQ440)+1)-FIND("/",AQ440)-1))),""))</f>
        <v/>
      </c>
      <c r="AS440" s="26">
        <f>IF(G440="","",IF(AND(AG440&lt;&gt;"",AG440&lt;&gt;"Bayi Aracı"),"Evet","Hayır"))</f>
        <v/>
      </c>
      <c r="AT440" s="26">
        <f>IF(G440="","",IF(AND(AS440="Evet",T440="Siparişiniz Teslim Edildi"),"Evet","Hayır"))</f>
        <v/>
      </c>
      <c r="AU440" s="26">
        <f>IF(G440="","",IF(AB440="Siparişinizin Montajı Yapıldı","Evet","Hayır"))</f>
        <v/>
      </c>
      <c r="AV440" s="27">
        <f>IF(G440="","",IF(AT440="Evet",AR440,IF(AU440="Evet",AP440,"")))</f>
        <v/>
      </c>
    </row>
    <row r="441">
      <c r="A441" s="23" t="n"/>
      <c r="B441" s="23" t="n"/>
      <c r="C441" s="23" t="n"/>
      <c r="D441" s="23" t="n"/>
      <c r="E441" s="23" t="n"/>
      <c r="F441" s="23" t="n"/>
      <c r="G441" s="23" t="n"/>
      <c r="H441" s="23" t="n"/>
      <c r="I441" s="23" t="n"/>
      <c r="J441" s="23" t="n"/>
      <c r="K441" s="23" t="n"/>
      <c r="L441" s="23" t="n"/>
      <c r="M441" s="23" t="n"/>
      <c r="N441" s="23" t="n"/>
      <c r="O441" s="23" t="n"/>
      <c r="P441" s="23" t="n"/>
      <c r="Q441" s="23" t="n"/>
      <c r="R441" s="23" t="n"/>
      <c r="S441" s="23" t="n"/>
      <c r="T441" s="23" t="n"/>
      <c r="U441" s="23" t="n"/>
      <c r="V441" s="23" t="n"/>
      <c r="W441" s="23" t="n"/>
      <c r="X441" s="23" t="n"/>
      <c r="Y441" s="23" t="n"/>
      <c r="Z441" s="23" t="n"/>
      <c r="AA441" s="23" t="n"/>
      <c r="AB441" s="23" t="n"/>
      <c r="AC441" s="23" t="n"/>
      <c r="AD441" s="23" t="n"/>
      <c r="AE441" s="23" t="n"/>
      <c r="AF441" s="23" t="n"/>
      <c r="AG441" s="23" t="n"/>
      <c r="AH441" s="23" t="n"/>
      <c r="AI441" s="23" t="n"/>
      <c r="AJ441" s="23" t="n"/>
      <c r="AK441" s="23" t="n"/>
      <c r="AL441" s="23" t="n"/>
      <c r="AM441" s="26">
        <f>IF(G441="","",G441&amp;"|"&amp;P441)</f>
        <v/>
      </c>
      <c r="AN441" s="27">
        <f>IF(I441="","",IFERROR(DATE(VALUE(RIGHT(I441,4)),VALUE(MID(I441,4,2)),VALUE(LEFT(I441,2))),""))</f>
        <v/>
      </c>
      <c r="AO441" s="27">
        <f>IF(Y441="","",IFERROR(DATE(VALUE(RIGHT(Y441,4)),VALUE(MID(Y441,4,2)),VALUE(LEFT(Y441,2))),""))</f>
        <v/>
      </c>
      <c r="AP441" s="27">
        <f>IF(AC441="","",IFERROR(DATE(VALUE(RIGHT(AC441,4)),VALUE(MID(AC441,4,2)),VALUE(LEFT(AC441,2))),""))</f>
        <v/>
      </c>
      <c r="AQ441" s="26">
        <f>IF(AI441="","",TRIM(LEFT(AI441,FIND(" ",AI441&amp;" ")-1)))</f>
        <v/>
      </c>
      <c r="AR441" s="27">
        <f>IF(AQ441="","",IFERROR(DATE(VALUE(MID(AQ441,FIND("/",AQ441,FIND("/",AQ441)+1)+1,4)),VALUE(LEFT(AQ441,FIND("/",AQ441)-1)),VALUE(MID(AQ441,FIND("/",AQ441)+1,FIND("/",AQ441,FIND("/",AQ441)+1)-FIND("/",AQ441)-1))),""))</f>
        <v/>
      </c>
      <c r="AS441" s="26">
        <f>IF(G441="","",IF(AND(AG441&lt;&gt;"",AG441&lt;&gt;"Bayi Aracı"),"Evet","Hayır"))</f>
        <v/>
      </c>
      <c r="AT441" s="26">
        <f>IF(G441="","",IF(AND(AS441="Evet",T441="Siparişiniz Teslim Edildi"),"Evet","Hayır"))</f>
        <v/>
      </c>
      <c r="AU441" s="26">
        <f>IF(G441="","",IF(AB441="Siparişinizin Montajı Yapıldı","Evet","Hayır"))</f>
        <v/>
      </c>
      <c r="AV441" s="27">
        <f>IF(G441="","",IF(AT441="Evet",AR441,IF(AU441="Evet",AP441,"")))</f>
        <v/>
      </c>
    </row>
    <row r="442">
      <c r="A442" s="23" t="n"/>
      <c r="B442" s="23" t="n"/>
      <c r="C442" s="23" t="n"/>
      <c r="D442" s="23" t="n"/>
      <c r="E442" s="23" t="n"/>
      <c r="F442" s="23" t="n"/>
      <c r="G442" s="23" t="n"/>
      <c r="H442" s="23" t="n"/>
      <c r="I442" s="23" t="n"/>
      <c r="J442" s="23" t="n"/>
      <c r="K442" s="23" t="n"/>
      <c r="L442" s="23" t="n"/>
      <c r="M442" s="23" t="n"/>
      <c r="N442" s="23" t="n"/>
      <c r="O442" s="23" t="n"/>
      <c r="P442" s="23" t="n"/>
      <c r="Q442" s="23" t="n"/>
      <c r="R442" s="23" t="n"/>
      <c r="S442" s="23" t="n"/>
      <c r="T442" s="23" t="n"/>
      <c r="U442" s="23" t="n"/>
      <c r="V442" s="23" t="n"/>
      <c r="W442" s="23" t="n"/>
      <c r="X442" s="23" t="n"/>
      <c r="Y442" s="23" t="n"/>
      <c r="Z442" s="23" t="n"/>
      <c r="AA442" s="23" t="n"/>
      <c r="AB442" s="23" t="n"/>
      <c r="AC442" s="23" t="n"/>
      <c r="AD442" s="23" t="n"/>
      <c r="AE442" s="23" t="n"/>
      <c r="AF442" s="23" t="n"/>
      <c r="AG442" s="23" t="n"/>
      <c r="AH442" s="23" t="n"/>
      <c r="AI442" s="23" t="n"/>
      <c r="AJ442" s="23" t="n"/>
      <c r="AK442" s="23" t="n"/>
      <c r="AL442" s="23" t="n"/>
      <c r="AM442" s="26">
        <f>IF(G442="","",G442&amp;"|"&amp;P442)</f>
        <v/>
      </c>
      <c r="AN442" s="27">
        <f>IF(I442="","",IFERROR(DATE(VALUE(RIGHT(I442,4)),VALUE(MID(I442,4,2)),VALUE(LEFT(I442,2))),""))</f>
        <v/>
      </c>
      <c r="AO442" s="27">
        <f>IF(Y442="","",IFERROR(DATE(VALUE(RIGHT(Y442,4)),VALUE(MID(Y442,4,2)),VALUE(LEFT(Y442,2))),""))</f>
        <v/>
      </c>
      <c r="AP442" s="27">
        <f>IF(AC442="","",IFERROR(DATE(VALUE(RIGHT(AC442,4)),VALUE(MID(AC442,4,2)),VALUE(LEFT(AC442,2))),""))</f>
        <v/>
      </c>
      <c r="AQ442" s="26">
        <f>IF(AI442="","",TRIM(LEFT(AI442,FIND(" ",AI442&amp;" ")-1)))</f>
        <v/>
      </c>
      <c r="AR442" s="27">
        <f>IF(AQ442="","",IFERROR(DATE(VALUE(MID(AQ442,FIND("/",AQ442,FIND("/",AQ442)+1)+1,4)),VALUE(LEFT(AQ442,FIND("/",AQ442)-1)),VALUE(MID(AQ442,FIND("/",AQ442)+1,FIND("/",AQ442,FIND("/",AQ442)+1)-FIND("/",AQ442)-1))),""))</f>
        <v/>
      </c>
      <c r="AS442" s="26">
        <f>IF(G442="","",IF(AND(AG442&lt;&gt;"",AG442&lt;&gt;"Bayi Aracı"),"Evet","Hayır"))</f>
        <v/>
      </c>
      <c r="AT442" s="26">
        <f>IF(G442="","",IF(AND(AS442="Evet",T442="Siparişiniz Teslim Edildi"),"Evet","Hayır"))</f>
        <v/>
      </c>
      <c r="AU442" s="26">
        <f>IF(G442="","",IF(AB442="Siparişinizin Montajı Yapıldı","Evet","Hayır"))</f>
        <v/>
      </c>
      <c r="AV442" s="27">
        <f>IF(G442="","",IF(AT442="Evet",AR442,IF(AU442="Evet",AP442,"")))</f>
        <v/>
      </c>
    </row>
    <row r="443">
      <c r="A443" s="23" t="n"/>
      <c r="B443" s="23" t="n"/>
      <c r="C443" s="23" t="n"/>
      <c r="D443" s="23" t="n"/>
      <c r="E443" s="23" t="n"/>
      <c r="F443" s="23" t="n"/>
      <c r="G443" s="23" t="n"/>
      <c r="H443" s="23" t="n"/>
      <c r="I443" s="23" t="n"/>
      <c r="J443" s="23" t="n"/>
      <c r="K443" s="23" t="n"/>
      <c r="L443" s="23" t="n"/>
      <c r="M443" s="23" t="n"/>
      <c r="N443" s="23" t="n"/>
      <c r="O443" s="23" t="n"/>
      <c r="P443" s="23" t="n"/>
      <c r="Q443" s="23" t="n"/>
      <c r="R443" s="23" t="n"/>
      <c r="S443" s="23" t="n"/>
      <c r="T443" s="23" t="n"/>
      <c r="U443" s="23" t="n"/>
      <c r="V443" s="23" t="n"/>
      <c r="W443" s="23" t="n"/>
      <c r="X443" s="23" t="n"/>
      <c r="Y443" s="23" t="n"/>
      <c r="Z443" s="23" t="n"/>
      <c r="AA443" s="23" t="n"/>
      <c r="AB443" s="23" t="n"/>
      <c r="AC443" s="23" t="n"/>
      <c r="AD443" s="23" t="n"/>
      <c r="AE443" s="23" t="n"/>
      <c r="AF443" s="23" t="n"/>
      <c r="AG443" s="23" t="n"/>
      <c r="AH443" s="23" t="n"/>
      <c r="AI443" s="23" t="n"/>
      <c r="AJ443" s="23" t="n"/>
      <c r="AK443" s="23" t="n"/>
      <c r="AL443" s="23" t="n"/>
      <c r="AM443" s="26">
        <f>IF(G443="","",G443&amp;"|"&amp;P443)</f>
        <v/>
      </c>
      <c r="AN443" s="27">
        <f>IF(I443="","",IFERROR(DATE(VALUE(RIGHT(I443,4)),VALUE(MID(I443,4,2)),VALUE(LEFT(I443,2))),""))</f>
        <v/>
      </c>
      <c r="AO443" s="27">
        <f>IF(Y443="","",IFERROR(DATE(VALUE(RIGHT(Y443,4)),VALUE(MID(Y443,4,2)),VALUE(LEFT(Y443,2))),""))</f>
        <v/>
      </c>
      <c r="AP443" s="27">
        <f>IF(AC443="","",IFERROR(DATE(VALUE(RIGHT(AC443,4)),VALUE(MID(AC443,4,2)),VALUE(LEFT(AC443,2))),""))</f>
        <v/>
      </c>
      <c r="AQ443" s="26">
        <f>IF(AI443="","",TRIM(LEFT(AI443,FIND(" ",AI443&amp;" ")-1)))</f>
        <v/>
      </c>
      <c r="AR443" s="27">
        <f>IF(AQ443="","",IFERROR(DATE(VALUE(MID(AQ443,FIND("/",AQ443,FIND("/",AQ443)+1)+1,4)),VALUE(LEFT(AQ443,FIND("/",AQ443)-1)),VALUE(MID(AQ443,FIND("/",AQ443)+1,FIND("/",AQ443,FIND("/",AQ443)+1)-FIND("/",AQ443)-1))),""))</f>
        <v/>
      </c>
      <c r="AS443" s="26">
        <f>IF(G443="","",IF(AND(AG443&lt;&gt;"",AG443&lt;&gt;"Bayi Aracı"),"Evet","Hayır"))</f>
        <v/>
      </c>
      <c r="AT443" s="26">
        <f>IF(G443="","",IF(AND(AS443="Evet",T443="Siparişiniz Teslim Edildi"),"Evet","Hayır"))</f>
        <v/>
      </c>
      <c r="AU443" s="26">
        <f>IF(G443="","",IF(AB443="Siparişinizin Montajı Yapıldı","Evet","Hayır"))</f>
        <v/>
      </c>
      <c r="AV443" s="27">
        <f>IF(G443="","",IF(AT443="Evet",AR443,IF(AU443="Evet",AP443,"")))</f>
        <v/>
      </c>
    </row>
    <row r="444">
      <c r="A444" s="23" t="n"/>
      <c r="B444" s="23" t="n"/>
      <c r="C444" s="23" t="n"/>
      <c r="D444" s="23" t="n"/>
      <c r="E444" s="23" t="n"/>
      <c r="F444" s="23" t="n"/>
      <c r="G444" s="23" t="n"/>
      <c r="H444" s="23" t="n"/>
      <c r="I444" s="23" t="n"/>
      <c r="J444" s="23" t="n"/>
      <c r="K444" s="23" t="n"/>
      <c r="L444" s="23" t="n"/>
      <c r="M444" s="23" t="n"/>
      <c r="N444" s="23" t="n"/>
      <c r="O444" s="23" t="n"/>
      <c r="P444" s="23" t="n"/>
      <c r="Q444" s="23" t="n"/>
      <c r="R444" s="23" t="n"/>
      <c r="S444" s="23" t="n"/>
      <c r="T444" s="23" t="n"/>
      <c r="U444" s="23" t="n"/>
      <c r="V444" s="23" t="n"/>
      <c r="W444" s="23" t="n"/>
      <c r="X444" s="23" t="n"/>
      <c r="Y444" s="23" t="n"/>
      <c r="Z444" s="23" t="n"/>
      <c r="AA444" s="23" t="n"/>
      <c r="AB444" s="23" t="n"/>
      <c r="AC444" s="23" t="n"/>
      <c r="AD444" s="23" t="n"/>
      <c r="AE444" s="23" t="n"/>
      <c r="AF444" s="23" t="n"/>
      <c r="AG444" s="23" t="n"/>
      <c r="AH444" s="23" t="n"/>
      <c r="AI444" s="23" t="n"/>
      <c r="AJ444" s="23" t="n"/>
      <c r="AK444" s="23" t="n"/>
      <c r="AL444" s="23" t="n"/>
      <c r="AM444" s="26">
        <f>IF(G444="","",G444&amp;"|"&amp;P444)</f>
        <v/>
      </c>
      <c r="AN444" s="27">
        <f>IF(I444="","",IFERROR(DATE(VALUE(RIGHT(I444,4)),VALUE(MID(I444,4,2)),VALUE(LEFT(I444,2))),""))</f>
        <v/>
      </c>
      <c r="AO444" s="27">
        <f>IF(Y444="","",IFERROR(DATE(VALUE(RIGHT(Y444,4)),VALUE(MID(Y444,4,2)),VALUE(LEFT(Y444,2))),""))</f>
        <v/>
      </c>
      <c r="AP444" s="27">
        <f>IF(AC444="","",IFERROR(DATE(VALUE(RIGHT(AC444,4)),VALUE(MID(AC444,4,2)),VALUE(LEFT(AC444,2))),""))</f>
        <v/>
      </c>
      <c r="AQ444" s="26">
        <f>IF(AI444="","",TRIM(LEFT(AI444,FIND(" ",AI444&amp;" ")-1)))</f>
        <v/>
      </c>
      <c r="AR444" s="27">
        <f>IF(AQ444="","",IFERROR(DATE(VALUE(MID(AQ444,FIND("/",AQ444,FIND("/",AQ444)+1)+1,4)),VALUE(LEFT(AQ444,FIND("/",AQ444)-1)),VALUE(MID(AQ444,FIND("/",AQ444)+1,FIND("/",AQ444,FIND("/",AQ444)+1)-FIND("/",AQ444)-1))),""))</f>
        <v/>
      </c>
      <c r="AS444" s="26">
        <f>IF(G444="","",IF(AND(AG444&lt;&gt;"",AG444&lt;&gt;"Bayi Aracı"),"Evet","Hayır"))</f>
        <v/>
      </c>
      <c r="AT444" s="26">
        <f>IF(G444="","",IF(AND(AS444="Evet",T444="Siparişiniz Teslim Edildi"),"Evet","Hayır"))</f>
        <v/>
      </c>
      <c r="AU444" s="26">
        <f>IF(G444="","",IF(AB444="Siparişinizin Montajı Yapıldı","Evet","Hayır"))</f>
        <v/>
      </c>
      <c r="AV444" s="27">
        <f>IF(G444="","",IF(AT444="Evet",AR444,IF(AU444="Evet",AP444,"")))</f>
        <v/>
      </c>
    </row>
    <row r="445">
      <c r="A445" s="23" t="n"/>
      <c r="B445" s="23" t="n"/>
      <c r="C445" s="23" t="n"/>
      <c r="D445" s="23" t="n"/>
      <c r="E445" s="23" t="n"/>
      <c r="F445" s="23" t="n"/>
      <c r="G445" s="23" t="n"/>
      <c r="H445" s="23" t="n"/>
      <c r="I445" s="23" t="n"/>
      <c r="J445" s="23" t="n"/>
      <c r="K445" s="23" t="n"/>
      <c r="L445" s="23" t="n"/>
      <c r="M445" s="23" t="n"/>
      <c r="N445" s="23" t="n"/>
      <c r="O445" s="23" t="n"/>
      <c r="P445" s="23" t="n"/>
      <c r="Q445" s="23" t="n"/>
      <c r="R445" s="23" t="n"/>
      <c r="S445" s="23" t="n"/>
      <c r="T445" s="23" t="n"/>
      <c r="U445" s="23" t="n"/>
      <c r="V445" s="23" t="n"/>
      <c r="W445" s="23" t="n"/>
      <c r="X445" s="23" t="n"/>
      <c r="Y445" s="23" t="n"/>
      <c r="Z445" s="23" t="n"/>
      <c r="AA445" s="23" t="n"/>
      <c r="AB445" s="23" t="n"/>
      <c r="AC445" s="23" t="n"/>
      <c r="AD445" s="23" t="n"/>
      <c r="AE445" s="23" t="n"/>
      <c r="AF445" s="23" t="n"/>
      <c r="AG445" s="23" t="n"/>
      <c r="AH445" s="23" t="n"/>
      <c r="AI445" s="23" t="n"/>
      <c r="AJ445" s="23" t="n"/>
      <c r="AK445" s="23" t="n"/>
      <c r="AL445" s="23" t="n"/>
      <c r="AM445" s="26">
        <f>IF(G445="","",G445&amp;"|"&amp;P445)</f>
        <v/>
      </c>
      <c r="AN445" s="27">
        <f>IF(I445="","",IFERROR(DATE(VALUE(RIGHT(I445,4)),VALUE(MID(I445,4,2)),VALUE(LEFT(I445,2))),""))</f>
        <v/>
      </c>
      <c r="AO445" s="27">
        <f>IF(Y445="","",IFERROR(DATE(VALUE(RIGHT(Y445,4)),VALUE(MID(Y445,4,2)),VALUE(LEFT(Y445,2))),""))</f>
        <v/>
      </c>
      <c r="AP445" s="27">
        <f>IF(AC445="","",IFERROR(DATE(VALUE(RIGHT(AC445,4)),VALUE(MID(AC445,4,2)),VALUE(LEFT(AC445,2))),""))</f>
        <v/>
      </c>
      <c r="AQ445" s="26">
        <f>IF(AI445="","",TRIM(LEFT(AI445,FIND(" ",AI445&amp;" ")-1)))</f>
        <v/>
      </c>
      <c r="AR445" s="27">
        <f>IF(AQ445="","",IFERROR(DATE(VALUE(MID(AQ445,FIND("/",AQ445,FIND("/",AQ445)+1)+1,4)),VALUE(LEFT(AQ445,FIND("/",AQ445)-1)),VALUE(MID(AQ445,FIND("/",AQ445)+1,FIND("/",AQ445,FIND("/",AQ445)+1)-FIND("/",AQ445)-1))),""))</f>
        <v/>
      </c>
      <c r="AS445" s="26">
        <f>IF(G445="","",IF(AND(AG445&lt;&gt;"",AG445&lt;&gt;"Bayi Aracı"),"Evet","Hayır"))</f>
        <v/>
      </c>
      <c r="AT445" s="26">
        <f>IF(G445="","",IF(AND(AS445="Evet",T445="Siparişiniz Teslim Edildi"),"Evet","Hayır"))</f>
        <v/>
      </c>
      <c r="AU445" s="26">
        <f>IF(G445="","",IF(AB445="Siparişinizin Montajı Yapıldı","Evet","Hayır"))</f>
        <v/>
      </c>
      <c r="AV445" s="27">
        <f>IF(G445="","",IF(AT445="Evet",AR445,IF(AU445="Evet",AP445,"")))</f>
        <v/>
      </c>
    </row>
    <row r="446">
      <c r="A446" s="23" t="n"/>
      <c r="B446" s="23" t="n"/>
      <c r="C446" s="23" t="n"/>
      <c r="D446" s="23" t="n"/>
      <c r="E446" s="23" t="n"/>
      <c r="F446" s="23" t="n"/>
      <c r="G446" s="23" t="n"/>
      <c r="H446" s="23" t="n"/>
      <c r="I446" s="23" t="n"/>
      <c r="J446" s="23" t="n"/>
      <c r="K446" s="23" t="n"/>
      <c r="L446" s="23" t="n"/>
      <c r="M446" s="23" t="n"/>
      <c r="N446" s="23" t="n"/>
      <c r="O446" s="23" t="n"/>
      <c r="P446" s="23" t="n"/>
      <c r="Q446" s="23" t="n"/>
      <c r="R446" s="23" t="n"/>
      <c r="S446" s="23" t="n"/>
      <c r="T446" s="23" t="n"/>
      <c r="U446" s="23" t="n"/>
      <c r="V446" s="23" t="n"/>
      <c r="W446" s="23" t="n"/>
      <c r="X446" s="23" t="n"/>
      <c r="Y446" s="23" t="n"/>
      <c r="Z446" s="23" t="n"/>
      <c r="AA446" s="23" t="n"/>
      <c r="AB446" s="23" t="n"/>
      <c r="AC446" s="23" t="n"/>
      <c r="AD446" s="23" t="n"/>
      <c r="AE446" s="23" t="n"/>
      <c r="AF446" s="23" t="n"/>
      <c r="AG446" s="23" t="n"/>
      <c r="AH446" s="23" t="n"/>
      <c r="AI446" s="23" t="n"/>
      <c r="AJ446" s="23" t="n"/>
      <c r="AK446" s="23" t="n"/>
      <c r="AL446" s="23" t="n"/>
      <c r="AM446" s="26">
        <f>IF(G446="","",G446&amp;"|"&amp;P446)</f>
        <v/>
      </c>
      <c r="AN446" s="27">
        <f>IF(I446="","",IFERROR(DATE(VALUE(RIGHT(I446,4)),VALUE(MID(I446,4,2)),VALUE(LEFT(I446,2))),""))</f>
        <v/>
      </c>
      <c r="AO446" s="27">
        <f>IF(Y446="","",IFERROR(DATE(VALUE(RIGHT(Y446,4)),VALUE(MID(Y446,4,2)),VALUE(LEFT(Y446,2))),""))</f>
        <v/>
      </c>
      <c r="AP446" s="27">
        <f>IF(AC446="","",IFERROR(DATE(VALUE(RIGHT(AC446,4)),VALUE(MID(AC446,4,2)),VALUE(LEFT(AC446,2))),""))</f>
        <v/>
      </c>
      <c r="AQ446" s="26">
        <f>IF(AI446="","",TRIM(LEFT(AI446,FIND(" ",AI446&amp;" ")-1)))</f>
        <v/>
      </c>
      <c r="AR446" s="27">
        <f>IF(AQ446="","",IFERROR(DATE(VALUE(MID(AQ446,FIND("/",AQ446,FIND("/",AQ446)+1)+1,4)),VALUE(LEFT(AQ446,FIND("/",AQ446)-1)),VALUE(MID(AQ446,FIND("/",AQ446)+1,FIND("/",AQ446,FIND("/",AQ446)+1)-FIND("/",AQ446)-1))),""))</f>
        <v/>
      </c>
      <c r="AS446" s="26">
        <f>IF(G446="","",IF(AND(AG446&lt;&gt;"",AG446&lt;&gt;"Bayi Aracı"),"Evet","Hayır"))</f>
        <v/>
      </c>
      <c r="AT446" s="26">
        <f>IF(G446="","",IF(AND(AS446="Evet",T446="Siparişiniz Teslim Edildi"),"Evet","Hayır"))</f>
        <v/>
      </c>
      <c r="AU446" s="26">
        <f>IF(G446="","",IF(AB446="Siparişinizin Montajı Yapıldı","Evet","Hayır"))</f>
        <v/>
      </c>
      <c r="AV446" s="27">
        <f>IF(G446="","",IF(AT446="Evet",AR446,IF(AU446="Evet",AP446,"")))</f>
        <v/>
      </c>
    </row>
    <row r="447">
      <c r="A447" s="23" t="n"/>
      <c r="B447" s="23" t="n"/>
      <c r="C447" s="23" t="n"/>
      <c r="D447" s="23" t="n"/>
      <c r="E447" s="23" t="n"/>
      <c r="F447" s="23" t="n"/>
      <c r="G447" s="23" t="n"/>
      <c r="H447" s="23" t="n"/>
      <c r="I447" s="23" t="n"/>
      <c r="J447" s="23" t="n"/>
      <c r="K447" s="23" t="n"/>
      <c r="L447" s="23" t="n"/>
      <c r="M447" s="23" t="n"/>
      <c r="N447" s="23" t="n"/>
      <c r="O447" s="23" t="n"/>
      <c r="P447" s="23" t="n"/>
      <c r="Q447" s="23" t="n"/>
      <c r="R447" s="23" t="n"/>
      <c r="S447" s="23" t="n"/>
      <c r="T447" s="23" t="n"/>
      <c r="U447" s="23" t="n"/>
      <c r="V447" s="23" t="n"/>
      <c r="W447" s="23" t="n"/>
      <c r="X447" s="23" t="n"/>
      <c r="Y447" s="23" t="n"/>
      <c r="Z447" s="23" t="n"/>
      <c r="AA447" s="23" t="n"/>
      <c r="AB447" s="23" t="n"/>
      <c r="AC447" s="23" t="n"/>
      <c r="AD447" s="23" t="n"/>
      <c r="AE447" s="23" t="n"/>
      <c r="AF447" s="23" t="n"/>
      <c r="AG447" s="23" t="n"/>
      <c r="AH447" s="23" t="n"/>
      <c r="AI447" s="23" t="n"/>
      <c r="AJ447" s="23" t="n"/>
      <c r="AK447" s="23" t="n"/>
      <c r="AL447" s="23" t="n"/>
      <c r="AM447" s="26">
        <f>IF(G447="","",G447&amp;"|"&amp;P447)</f>
        <v/>
      </c>
      <c r="AN447" s="27">
        <f>IF(I447="","",IFERROR(DATE(VALUE(RIGHT(I447,4)),VALUE(MID(I447,4,2)),VALUE(LEFT(I447,2))),""))</f>
        <v/>
      </c>
      <c r="AO447" s="27">
        <f>IF(Y447="","",IFERROR(DATE(VALUE(RIGHT(Y447,4)),VALUE(MID(Y447,4,2)),VALUE(LEFT(Y447,2))),""))</f>
        <v/>
      </c>
      <c r="AP447" s="27">
        <f>IF(AC447="","",IFERROR(DATE(VALUE(RIGHT(AC447,4)),VALUE(MID(AC447,4,2)),VALUE(LEFT(AC447,2))),""))</f>
        <v/>
      </c>
      <c r="AQ447" s="26">
        <f>IF(AI447="","",TRIM(LEFT(AI447,FIND(" ",AI447&amp;" ")-1)))</f>
        <v/>
      </c>
      <c r="AR447" s="27">
        <f>IF(AQ447="","",IFERROR(DATE(VALUE(MID(AQ447,FIND("/",AQ447,FIND("/",AQ447)+1)+1,4)),VALUE(LEFT(AQ447,FIND("/",AQ447)-1)),VALUE(MID(AQ447,FIND("/",AQ447)+1,FIND("/",AQ447,FIND("/",AQ447)+1)-FIND("/",AQ447)-1))),""))</f>
        <v/>
      </c>
      <c r="AS447" s="26">
        <f>IF(G447="","",IF(AND(AG447&lt;&gt;"",AG447&lt;&gt;"Bayi Aracı"),"Evet","Hayır"))</f>
        <v/>
      </c>
      <c r="AT447" s="26">
        <f>IF(G447="","",IF(AND(AS447="Evet",T447="Siparişiniz Teslim Edildi"),"Evet","Hayır"))</f>
        <v/>
      </c>
      <c r="AU447" s="26">
        <f>IF(G447="","",IF(AB447="Siparişinizin Montajı Yapıldı","Evet","Hayır"))</f>
        <v/>
      </c>
      <c r="AV447" s="27">
        <f>IF(G447="","",IF(AT447="Evet",AR447,IF(AU447="Evet",AP447,"")))</f>
        <v/>
      </c>
    </row>
    <row r="448">
      <c r="A448" s="23" t="n"/>
      <c r="B448" s="23" t="n"/>
      <c r="C448" s="23" t="n"/>
      <c r="D448" s="23" t="n"/>
      <c r="E448" s="23" t="n"/>
      <c r="F448" s="23" t="n"/>
      <c r="G448" s="23" t="n"/>
      <c r="H448" s="23" t="n"/>
      <c r="I448" s="23" t="n"/>
      <c r="J448" s="23" t="n"/>
      <c r="K448" s="23" t="n"/>
      <c r="L448" s="23" t="n"/>
      <c r="M448" s="23" t="n"/>
      <c r="N448" s="23" t="n"/>
      <c r="O448" s="23" t="n"/>
      <c r="P448" s="23" t="n"/>
      <c r="Q448" s="23" t="n"/>
      <c r="R448" s="23" t="n"/>
      <c r="S448" s="23" t="n"/>
      <c r="T448" s="23" t="n"/>
      <c r="U448" s="23" t="n"/>
      <c r="V448" s="23" t="n"/>
      <c r="W448" s="23" t="n"/>
      <c r="X448" s="23" t="n"/>
      <c r="Y448" s="23" t="n"/>
      <c r="Z448" s="23" t="n"/>
      <c r="AA448" s="23" t="n"/>
      <c r="AB448" s="23" t="n"/>
      <c r="AC448" s="23" t="n"/>
      <c r="AD448" s="23" t="n"/>
      <c r="AE448" s="23" t="n"/>
      <c r="AF448" s="23" t="n"/>
      <c r="AG448" s="23" t="n"/>
      <c r="AH448" s="23" t="n"/>
      <c r="AI448" s="23" t="n"/>
      <c r="AJ448" s="23" t="n"/>
      <c r="AK448" s="23" t="n"/>
      <c r="AL448" s="23" t="n"/>
      <c r="AM448" s="26">
        <f>IF(G448="","",G448&amp;"|"&amp;P448)</f>
        <v/>
      </c>
      <c r="AN448" s="27">
        <f>IF(I448="","",IFERROR(DATE(VALUE(RIGHT(I448,4)),VALUE(MID(I448,4,2)),VALUE(LEFT(I448,2))),""))</f>
        <v/>
      </c>
      <c r="AO448" s="27">
        <f>IF(Y448="","",IFERROR(DATE(VALUE(RIGHT(Y448,4)),VALUE(MID(Y448,4,2)),VALUE(LEFT(Y448,2))),""))</f>
        <v/>
      </c>
      <c r="AP448" s="27">
        <f>IF(AC448="","",IFERROR(DATE(VALUE(RIGHT(AC448,4)),VALUE(MID(AC448,4,2)),VALUE(LEFT(AC448,2))),""))</f>
        <v/>
      </c>
      <c r="AQ448" s="26">
        <f>IF(AI448="","",TRIM(LEFT(AI448,FIND(" ",AI448&amp;" ")-1)))</f>
        <v/>
      </c>
      <c r="AR448" s="27">
        <f>IF(AQ448="","",IFERROR(DATE(VALUE(MID(AQ448,FIND("/",AQ448,FIND("/",AQ448)+1)+1,4)),VALUE(LEFT(AQ448,FIND("/",AQ448)-1)),VALUE(MID(AQ448,FIND("/",AQ448)+1,FIND("/",AQ448,FIND("/",AQ448)+1)-FIND("/",AQ448)-1))),""))</f>
        <v/>
      </c>
      <c r="AS448" s="26">
        <f>IF(G448="","",IF(AND(AG448&lt;&gt;"",AG448&lt;&gt;"Bayi Aracı"),"Evet","Hayır"))</f>
        <v/>
      </c>
      <c r="AT448" s="26">
        <f>IF(G448="","",IF(AND(AS448="Evet",T448="Siparişiniz Teslim Edildi"),"Evet","Hayır"))</f>
        <v/>
      </c>
      <c r="AU448" s="26">
        <f>IF(G448="","",IF(AB448="Siparişinizin Montajı Yapıldı","Evet","Hayır"))</f>
        <v/>
      </c>
      <c r="AV448" s="27">
        <f>IF(G448="","",IF(AT448="Evet",AR448,IF(AU448="Evet",AP448,"")))</f>
        <v/>
      </c>
    </row>
    <row r="449">
      <c r="A449" s="23" t="n"/>
      <c r="B449" s="23" t="n"/>
      <c r="C449" s="23" t="n"/>
      <c r="D449" s="23" t="n"/>
      <c r="E449" s="23" t="n"/>
      <c r="F449" s="23" t="n"/>
      <c r="G449" s="23" t="n"/>
      <c r="H449" s="23" t="n"/>
      <c r="I449" s="23" t="n"/>
      <c r="J449" s="23" t="n"/>
      <c r="K449" s="23" t="n"/>
      <c r="L449" s="23" t="n"/>
      <c r="M449" s="23" t="n"/>
      <c r="N449" s="23" t="n"/>
      <c r="O449" s="23" t="n"/>
      <c r="P449" s="23" t="n"/>
      <c r="Q449" s="23" t="n"/>
      <c r="R449" s="23" t="n"/>
      <c r="S449" s="23" t="n"/>
      <c r="T449" s="23" t="n"/>
      <c r="U449" s="23" t="n"/>
      <c r="V449" s="23" t="n"/>
      <c r="W449" s="23" t="n"/>
      <c r="X449" s="23" t="n"/>
      <c r="Y449" s="23" t="n"/>
      <c r="Z449" s="23" t="n"/>
      <c r="AA449" s="23" t="n"/>
      <c r="AB449" s="23" t="n"/>
      <c r="AC449" s="23" t="n"/>
      <c r="AD449" s="23" t="n"/>
      <c r="AE449" s="23" t="n"/>
      <c r="AF449" s="23" t="n"/>
      <c r="AG449" s="23" t="n"/>
      <c r="AH449" s="23" t="n"/>
      <c r="AI449" s="23" t="n"/>
      <c r="AJ449" s="23" t="n"/>
      <c r="AK449" s="23" t="n"/>
      <c r="AL449" s="23" t="n"/>
      <c r="AM449" s="26">
        <f>IF(G449="","",G449&amp;"|"&amp;P449)</f>
        <v/>
      </c>
      <c r="AN449" s="27">
        <f>IF(I449="","",IFERROR(DATE(VALUE(RIGHT(I449,4)),VALUE(MID(I449,4,2)),VALUE(LEFT(I449,2))),""))</f>
        <v/>
      </c>
      <c r="AO449" s="27">
        <f>IF(Y449="","",IFERROR(DATE(VALUE(RIGHT(Y449,4)),VALUE(MID(Y449,4,2)),VALUE(LEFT(Y449,2))),""))</f>
        <v/>
      </c>
      <c r="AP449" s="27">
        <f>IF(AC449="","",IFERROR(DATE(VALUE(RIGHT(AC449,4)),VALUE(MID(AC449,4,2)),VALUE(LEFT(AC449,2))),""))</f>
        <v/>
      </c>
      <c r="AQ449" s="26">
        <f>IF(AI449="","",TRIM(LEFT(AI449,FIND(" ",AI449&amp;" ")-1)))</f>
        <v/>
      </c>
      <c r="AR449" s="27">
        <f>IF(AQ449="","",IFERROR(DATE(VALUE(MID(AQ449,FIND("/",AQ449,FIND("/",AQ449)+1)+1,4)),VALUE(LEFT(AQ449,FIND("/",AQ449)-1)),VALUE(MID(AQ449,FIND("/",AQ449)+1,FIND("/",AQ449,FIND("/",AQ449)+1)-FIND("/",AQ449)-1))),""))</f>
        <v/>
      </c>
      <c r="AS449" s="26">
        <f>IF(G449="","",IF(AND(AG449&lt;&gt;"",AG449&lt;&gt;"Bayi Aracı"),"Evet","Hayır"))</f>
        <v/>
      </c>
      <c r="AT449" s="26">
        <f>IF(G449="","",IF(AND(AS449="Evet",T449="Siparişiniz Teslim Edildi"),"Evet","Hayır"))</f>
        <v/>
      </c>
      <c r="AU449" s="26">
        <f>IF(G449="","",IF(AB449="Siparişinizin Montajı Yapıldı","Evet","Hayır"))</f>
        <v/>
      </c>
      <c r="AV449" s="27">
        <f>IF(G449="","",IF(AT449="Evet",AR449,IF(AU449="Evet",AP449,"")))</f>
        <v/>
      </c>
    </row>
    <row r="450">
      <c r="A450" s="23" t="n"/>
      <c r="B450" s="23" t="n"/>
      <c r="C450" s="23" t="n"/>
      <c r="D450" s="23" t="n"/>
      <c r="E450" s="23" t="n"/>
      <c r="F450" s="23" t="n"/>
      <c r="G450" s="23" t="n"/>
      <c r="H450" s="23" t="n"/>
      <c r="I450" s="23" t="n"/>
      <c r="J450" s="23" t="n"/>
      <c r="K450" s="23" t="n"/>
      <c r="L450" s="23" t="n"/>
      <c r="M450" s="23" t="n"/>
      <c r="N450" s="23" t="n"/>
      <c r="O450" s="23" t="n"/>
      <c r="P450" s="23" t="n"/>
      <c r="Q450" s="23" t="n"/>
      <c r="R450" s="23" t="n"/>
      <c r="S450" s="23" t="n"/>
      <c r="T450" s="23" t="n"/>
      <c r="U450" s="23" t="n"/>
      <c r="V450" s="23" t="n"/>
      <c r="W450" s="23" t="n"/>
      <c r="X450" s="23" t="n"/>
      <c r="Y450" s="23" t="n"/>
      <c r="Z450" s="23" t="n"/>
      <c r="AA450" s="23" t="n"/>
      <c r="AB450" s="23" t="n"/>
      <c r="AC450" s="23" t="n"/>
      <c r="AD450" s="23" t="n"/>
      <c r="AE450" s="23" t="n"/>
      <c r="AF450" s="23" t="n"/>
      <c r="AG450" s="23" t="n"/>
      <c r="AH450" s="23" t="n"/>
      <c r="AI450" s="23" t="n"/>
      <c r="AJ450" s="23" t="n"/>
      <c r="AK450" s="23" t="n"/>
      <c r="AL450" s="23" t="n"/>
      <c r="AM450" s="26">
        <f>IF(G450="","",G450&amp;"|"&amp;P450)</f>
        <v/>
      </c>
      <c r="AN450" s="27">
        <f>IF(I450="","",IFERROR(DATE(VALUE(RIGHT(I450,4)),VALUE(MID(I450,4,2)),VALUE(LEFT(I450,2))),""))</f>
        <v/>
      </c>
      <c r="AO450" s="27">
        <f>IF(Y450="","",IFERROR(DATE(VALUE(RIGHT(Y450,4)),VALUE(MID(Y450,4,2)),VALUE(LEFT(Y450,2))),""))</f>
        <v/>
      </c>
      <c r="AP450" s="27">
        <f>IF(AC450="","",IFERROR(DATE(VALUE(RIGHT(AC450,4)),VALUE(MID(AC450,4,2)),VALUE(LEFT(AC450,2))),""))</f>
        <v/>
      </c>
      <c r="AQ450" s="26">
        <f>IF(AI450="","",TRIM(LEFT(AI450,FIND(" ",AI450&amp;" ")-1)))</f>
        <v/>
      </c>
      <c r="AR450" s="27">
        <f>IF(AQ450="","",IFERROR(DATE(VALUE(MID(AQ450,FIND("/",AQ450,FIND("/",AQ450)+1)+1,4)),VALUE(LEFT(AQ450,FIND("/",AQ450)-1)),VALUE(MID(AQ450,FIND("/",AQ450)+1,FIND("/",AQ450,FIND("/",AQ450)+1)-FIND("/",AQ450)-1))),""))</f>
        <v/>
      </c>
      <c r="AS450" s="26">
        <f>IF(G450="","",IF(AND(AG450&lt;&gt;"",AG450&lt;&gt;"Bayi Aracı"),"Evet","Hayır"))</f>
        <v/>
      </c>
      <c r="AT450" s="26">
        <f>IF(G450="","",IF(AND(AS450="Evet",T450="Siparişiniz Teslim Edildi"),"Evet","Hayır"))</f>
        <v/>
      </c>
      <c r="AU450" s="26">
        <f>IF(G450="","",IF(AB450="Siparişinizin Montajı Yapıldı","Evet","Hayır"))</f>
        <v/>
      </c>
      <c r="AV450" s="27">
        <f>IF(G450="","",IF(AT450="Evet",AR450,IF(AU450="Evet",AP450,"")))</f>
        <v/>
      </c>
    </row>
    <row r="451">
      <c r="A451" s="23" t="n"/>
      <c r="B451" s="23" t="n"/>
      <c r="C451" s="23" t="n"/>
      <c r="D451" s="23" t="n"/>
      <c r="E451" s="23" t="n"/>
      <c r="F451" s="23" t="n"/>
      <c r="G451" s="23" t="n"/>
      <c r="H451" s="23" t="n"/>
      <c r="I451" s="23" t="n"/>
      <c r="J451" s="23" t="n"/>
      <c r="K451" s="23" t="n"/>
      <c r="L451" s="23" t="n"/>
      <c r="M451" s="23" t="n"/>
      <c r="N451" s="23" t="n"/>
      <c r="O451" s="23" t="n"/>
      <c r="P451" s="23" t="n"/>
      <c r="Q451" s="23" t="n"/>
      <c r="R451" s="23" t="n"/>
      <c r="S451" s="23" t="n"/>
      <c r="T451" s="23" t="n"/>
      <c r="U451" s="23" t="n"/>
      <c r="V451" s="23" t="n"/>
      <c r="W451" s="23" t="n"/>
      <c r="X451" s="23" t="n"/>
      <c r="Y451" s="23" t="n"/>
      <c r="Z451" s="23" t="n"/>
      <c r="AA451" s="23" t="n"/>
      <c r="AB451" s="23" t="n"/>
      <c r="AC451" s="23" t="n"/>
      <c r="AD451" s="23" t="n"/>
      <c r="AE451" s="23" t="n"/>
      <c r="AF451" s="23" t="n"/>
      <c r="AG451" s="23" t="n"/>
      <c r="AH451" s="23" t="n"/>
      <c r="AI451" s="23" t="n"/>
      <c r="AJ451" s="23" t="n"/>
      <c r="AK451" s="23" t="n"/>
      <c r="AL451" s="23" t="n"/>
      <c r="AM451" s="26">
        <f>IF(G451="","",G451&amp;"|"&amp;P451)</f>
        <v/>
      </c>
      <c r="AN451" s="27">
        <f>IF(I451="","",IFERROR(DATE(VALUE(RIGHT(I451,4)),VALUE(MID(I451,4,2)),VALUE(LEFT(I451,2))),""))</f>
        <v/>
      </c>
      <c r="AO451" s="27">
        <f>IF(Y451="","",IFERROR(DATE(VALUE(RIGHT(Y451,4)),VALUE(MID(Y451,4,2)),VALUE(LEFT(Y451,2))),""))</f>
        <v/>
      </c>
      <c r="AP451" s="27">
        <f>IF(AC451="","",IFERROR(DATE(VALUE(RIGHT(AC451,4)),VALUE(MID(AC451,4,2)),VALUE(LEFT(AC451,2))),""))</f>
        <v/>
      </c>
      <c r="AQ451" s="26">
        <f>IF(AI451="","",TRIM(LEFT(AI451,FIND(" ",AI451&amp;" ")-1)))</f>
        <v/>
      </c>
      <c r="AR451" s="27">
        <f>IF(AQ451="","",IFERROR(DATE(VALUE(MID(AQ451,FIND("/",AQ451,FIND("/",AQ451)+1)+1,4)),VALUE(LEFT(AQ451,FIND("/",AQ451)-1)),VALUE(MID(AQ451,FIND("/",AQ451)+1,FIND("/",AQ451,FIND("/",AQ451)+1)-FIND("/",AQ451)-1))),""))</f>
        <v/>
      </c>
      <c r="AS451" s="26">
        <f>IF(G451="","",IF(AND(AG451&lt;&gt;"",AG451&lt;&gt;"Bayi Aracı"),"Evet","Hayır"))</f>
        <v/>
      </c>
      <c r="AT451" s="26">
        <f>IF(G451="","",IF(AND(AS451="Evet",T451="Siparişiniz Teslim Edildi"),"Evet","Hayır"))</f>
        <v/>
      </c>
      <c r="AU451" s="26">
        <f>IF(G451="","",IF(AB451="Siparişinizin Montajı Yapıldı","Evet","Hayır"))</f>
        <v/>
      </c>
      <c r="AV451" s="27">
        <f>IF(G451="","",IF(AT451="Evet",AR451,IF(AU451="Evet",AP451,"")))</f>
        <v/>
      </c>
    </row>
    <row r="452">
      <c r="A452" s="23" t="n"/>
      <c r="B452" s="23" t="n"/>
      <c r="C452" s="23" t="n"/>
      <c r="D452" s="23" t="n"/>
      <c r="E452" s="23" t="n"/>
      <c r="F452" s="23" t="n"/>
      <c r="G452" s="23" t="n"/>
      <c r="H452" s="23" t="n"/>
      <c r="I452" s="23" t="n"/>
      <c r="J452" s="23" t="n"/>
      <c r="K452" s="23" t="n"/>
      <c r="L452" s="23" t="n"/>
      <c r="M452" s="23" t="n"/>
      <c r="N452" s="23" t="n"/>
      <c r="O452" s="23" t="n"/>
      <c r="P452" s="23" t="n"/>
      <c r="Q452" s="23" t="n"/>
      <c r="R452" s="23" t="n"/>
      <c r="S452" s="23" t="n"/>
      <c r="T452" s="23" t="n"/>
      <c r="U452" s="23" t="n"/>
      <c r="V452" s="23" t="n"/>
      <c r="W452" s="23" t="n"/>
      <c r="X452" s="23" t="n"/>
      <c r="Y452" s="23" t="n"/>
      <c r="Z452" s="23" t="n"/>
      <c r="AA452" s="23" t="n"/>
      <c r="AB452" s="23" t="n"/>
      <c r="AC452" s="23" t="n"/>
      <c r="AD452" s="23" t="n"/>
      <c r="AE452" s="23" t="n"/>
      <c r="AF452" s="23" t="n"/>
      <c r="AG452" s="23" t="n"/>
      <c r="AH452" s="23" t="n"/>
      <c r="AI452" s="23" t="n"/>
      <c r="AJ452" s="23" t="n"/>
      <c r="AK452" s="23" t="n"/>
      <c r="AL452" s="23" t="n"/>
      <c r="AM452" s="26">
        <f>IF(G452="","",G452&amp;"|"&amp;P452)</f>
        <v/>
      </c>
      <c r="AN452" s="27">
        <f>IF(I452="","",IFERROR(DATE(VALUE(RIGHT(I452,4)),VALUE(MID(I452,4,2)),VALUE(LEFT(I452,2))),""))</f>
        <v/>
      </c>
      <c r="AO452" s="27">
        <f>IF(Y452="","",IFERROR(DATE(VALUE(RIGHT(Y452,4)),VALUE(MID(Y452,4,2)),VALUE(LEFT(Y452,2))),""))</f>
        <v/>
      </c>
      <c r="AP452" s="27">
        <f>IF(AC452="","",IFERROR(DATE(VALUE(RIGHT(AC452,4)),VALUE(MID(AC452,4,2)),VALUE(LEFT(AC452,2))),""))</f>
        <v/>
      </c>
      <c r="AQ452" s="26">
        <f>IF(AI452="","",TRIM(LEFT(AI452,FIND(" ",AI452&amp;" ")-1)))</f>
        <v/>
      </c>
      <c r="AR452" s="27">
        <f>IF(AQ452="","",IFERROR(DATE(VALUE(MID(AQ452,FIND("/",AQ452,FIND("/",AQ452)+1)+1,4)),VALUE(LEFT(AQ452,FIND("/",AQ452)-1)),VALUE(MID(AQ452,FIND("/",AQ452)+1,FIND("/",AQ452,FIND("/",AQ452)+1)-FIND("/",AQ452)-1))),""))</f>
        <v/>
      </c>
      <c r="AS452" s="26">
        <f>IF(G452="","",IF(AND(AG452&lt;&gt;"",AG452&lt;&gt;"Bayi Aracı"),"Evet","Hayır"))</f>
        <v/>
      </c>
      <c r="AT452" s="26">
        <f>IF(G452="","",IF(AND(AS452="Evet",T452="Siparişiniz Teslim Edildi"),"Evet","Hayır"))</f>
        <v/>
      </c>
      <c r="AU452" s="26">
        <f>IF(G452="","",IF(AB452="Siparişinizin Montajı Yapıldı","Evet","Hayır"))</f>
        <v/>
      </c>
      <c r="AV452" s="27">
        <f>IF(G452="","",IF(AT452="Evet",AR452,IF(AU452="Evet",AP452,"")))</f>
        <v/>
      </c>
    </row>
    <row r="453">
      <c r="A453" s="23" t="n"/>
      <c r="B453" s="23" t="n"/>
      <c r="C453" s="23" t="n"/>
      <c r="D453" s="23" t="n"/>
      <c r="E453" s="23" t="n"/>
      <c r="F453" s="23" t="n"/>
      <c r="G453" s="23" t="n"/>
      <c r="H453" s="23" t="n"/>
      <c r="I453" s="23" t="n"/>
      <c r="J453" s="23" t="n"/>
      <c r="K453" s="23" t="n"/>
      <c r="L453" s="23" t="n"/>
      <c r="M453" s="23" t="n"/>
      <c r="N453" s="23" t="n"/>
      <c r="O453" s="23" t="n"/>
      <c r="P453" s="23" t="n"/>
      <c r="Q453" s="23" t="n"/>
      <c r="R453" s="23" t="n"/>
      <c r="S453" s="23" t="n"/>
      <c r="T453" s="23" t="n"/>
      <c r="U453" s="23" t="n"/>
      <c r="V453" s="23" t="n"/>
      <c r="W453" s="23" t="n"/>
      <c r="X453" s="23" t="n"/>
      <c r="Y453" s="23" t="n"/>
      <c r="Z453" s="23" t="n"/>
      <c r="AA453" s="23" t="n"/>
      <c r="AB453" s="23" t="n"/>
      <c r="AC453" s="23" t="n"/>
      <c r="AD453" s="23" t="n"/>
      <c r="AE453" s="23" t="n"/>
      <c r="AF453" s="23" t="n"/>
      <c r="AG453" s="23" t="n"/>
      <c r="AH453" s="23" t="n"/>
      <c r="AI453" s="23" t="n"/>
      <c r="AJ453" s="23" t="n"/>
      <c r="AK453" s="23" t="n"/>
      <c r="AL453" s="23" t="n"/>
      <c r="AM453" s="26">
        <f>IF(G453="","",G453&amp;"|"&amp;P453)</f>
        <v/>
      </c>
      <c r="AN453" s="27">
        <f>IF(I453="","",IFERROR(DATE(VALUE(RIGHT(I453,4)),VALUE(MID(I453,4,2)),VALUE(LEFT(I453,2))),""))</f>
        <v/>
      </c>
      <c r="AO453" s="27">
        <f>IF(Y453="","",IFERROR(DATE(VALUE(RIGHT(Y453,4)),VALUE(MID(Y453,4,2)),VALUE(LEFT(Y453,2))),""))</f>
        <v/>
      </c>
      <c r="AP453" s="27">
        <f>IF(AC453="","",IFERROR(DATE(VALUE(RIGHT(AC453,4)),VALUE(MID(AC453,4,2)),VALUE(LEFT(AC453,2))),""))</f>
        <v/>
      </c>
      <c r="AQ453" s="26">
        <f>IF(AI453="","",TRIM(LEFT(AI453,FIND(" ",AI453&amp;" ")-1)))</f>
        <v/>
      </c>
      <c r="AR453" s="27">
        <f>IF(AQ453="","",IFERROR(DATE(VALUE(MID(AQ453,FIND("/",AQ453,FIND("/",AQ453)+1)+1,4)),VALUE(LEFT(AQ453,FIND("/",AQ453)-1)),VALUE(MID(AQ453,FIND("/",AQ453)+1,FIND("/",AQ453,FIND("/",AQ453)+1)-FIND("/",AQ453)-1))),""))</f>
        <v/>
      </c>
      <c r="AS453" s="26">
        <f>IF(G453="","",IF(AND(AG453&lt;&gt;"",AG453&lt;&gt;"Bayi Aracı"),"Evet","Hayır"))</f>
        <v/>
      </c>
      <c r="AT453" s="26">
        <f>IF(G453="","",IF(AND(AS453="Evet",T453="Siparişiniz Teslim Edildi"),"Evet","Hayır"))</f>
        <v/>
      </c>
      <c r="AU453" s="26">
        <f>IF(G453="","",IF(AB453="Siparişinizin Montajı Yapıldı","Evet","Hayır"))</f>
        <v/>
      </c>
      <c r="AV453" s="27">
        <f>IF(G453="","",IF(AT453="Evet",AR453,IF(AU453="Evet",AP453,"")))</f>
        <v/>
      </c>
    </row>
    <row r="454">
      <c r="A454" s="23" t="n"/>
      <c r="B454" s="23" t="n"/>
      <c r="C454" s="23" t="n"/>
      <c r="D454" s="23" t="n"/>
      <c r="E454" s="23" t="n"/>
      <c r="F454" s="23" t="n"/>
      <c r="G454" s="23" t="n"/>
      <c r="H454" s="23" t="n"/>
      <c r="I454" s="23" t="n"/>
      <c r="J454" s="23" t="n"/>
      <c r="K454" s="23" t="n"/>
      <c r="L454" s="23" t="n"/>
      <c r="M454" s="23" t="n"/>
      <c r="N454" s="23" t="n"/>
      <c r="O454" s="23" t="n"/>
      <c r="P454" s="23" t="n"/>
      <c r="Q454" s="23" t="n"/>
      <c r="R454" s="23" t="n"/>
      <c r="S454" s="23" t="n"/>
      <c r="T454" s="23" t="n"/>
      <c r="U454" s="23" t="n"/>
      <c r="V454" s="23" t="n"/>
      <c r="W454" s="23" t="n"/>
      <c r="X454" s="23" t="n"/>
      <c r="Y454" s="23" t="n"/>
      <c r="Z454" s="23" t="n"/>
      <c r="AA454" s="23" t="n"/>
      <c r="AB454" s="23" t="n"/>
      <c r="AC454" s="23" t="n"/>
      <c r="AD454" s="23" t="n"/>
      <c r="AE454" s="23" t="n"/>
      <c r="AF454" s="23" t="n"/>
      <c r="AG454" s="23" t="n"/>
      <c r="AH454" s="23" t="n"/>
      <c r="AI454" s="23" t="n"/>
      <c r="AJ454" s="23" t="n"/>
      <c r="AK454" s="23" t="n"/>
      <c r="AL454" s="23" t="n"/>
      <c r="AM454" s="26">
        <f>IF(G454="","",G454&amp;"|"&amp;P454)</f>
        <v/>
      </c>
      <c r="AN454" s="27">
        <f>IF(I454="","",IFERROR(DATE(VALUE(RIGHT(I454,4)),VALUE(MID(I454,4,2)),VALUE(LEFT(I454,2))),""))</f>
        <v/>
      </c>
      <c r="AO454" s="27">
        <f>IF(Y454="","",IFERROR(DATE(VALUE(RIGHT(Y454,4)),VALUE(MID(Y454,4,2)),VALUE(LEFT(Y454,2))),""))</f>
        <v/>
      </c>
      <c r="AP454" s="27">
        <f>IF(AC454="","",IFERROR(DATE(VALUE(RIGHT(AC454,4)),VALUE(MID(AC454,4,2)),VALUE(LEFT(AC454,2))),""))</f>
        <v/>
      </c>
      <c r="AQ454" s="26">
        <f>IF(AI454="","",TRIM(LEFT(AI454,FIND(" ",AI454&amp;" ")-1)))</f>
        <v/>
      </c>
      <c r="AR454" s="27">
        <f>IF(AQ454="","",IFERROR(DATE(VALUE(MID(AQ454,FIND("/",AQ454,FIND("/",AQ454)+1)+1,4)),VALUE(LEFT(AQ454,FIND("/",AQ454)-1)),VALUE(MID(AQ454,FIND("/",AQ454)+1,FIND("/",AQ454,FIND("/",AQ454)+1)-FIND("/",AQ454)-1))),""))</f>
        <v/>
      </c>
      <c r="AS454" s="26">
        <f>IF(G454="","",IF(AND(AG454&lt;&gt;"",AG454&lt;&gt;"Bayi Aracı"),"Evet","Hayır"))</f>
        <v/>
      </c>
      <c r="AT454" s="26">
        <f>IF(G454="","",IF(AND(AS454="Evet",T454="Siparişiniz Teslim Edildi"),"Evet","Hayır"))</f>
        <v/>
      </c>
      <c r="AU454" s="26">
        <f>IF(G454="","",IF(AB454="Siparişinizin Montajı Yapıldı","Evet","Hayır"))</f>
        <v/>
      </c>
      <c r="AV454" s="27">
        <f>IF(G454="","",IF(AT454="Evet",AR454,IF(AU454="Evet",AP454,"")))</f>
        <v/>
      </c>
    </row>
    <row r="455">
      <c r="A455" s="23" t="n"/>
      <c r="B455" s="23" t="n"/>
      <c r="C455" s="23" t="n"/>
      <c r="D455" s="23" t="n"/>
      <c r="E455" s="23" t="n"/>
      <c r="F455" s="23" t="n"/>
      <c r="G455" s="23" t="n"/>
      <c r="H455" s="23" t="n"/>
      <c r="I455" s="23" t="n"/>
      <c r="J455" s="23" t="n"/>
      <c r="K455" s="23" t="n"/>
      <c r="L455" s="23" t="n"/>
      <c r="M455" s="23" t="n"/>
      <c r="N455" s="23" t="n"/>
      <c r="O455" s="23" t="n"/>
      <c r="P455" s="23" t="n"/>
      <c r="Q455" s="23" t="n"/>
      <c r="R455" s="23" t="n"/>
      <c r="S455" s="23" t="n"/>
      <c r="T455" s="23" t="n"/>
      <c r="U455" s="23" t="n"/>
      <c r="V455" s="23" t="n"/>
      <c r="W455" s="23" t="n"/>
      <c r="X455" s="23" t="n"/>
      <c r="Y455" s="23" t="n"/>
      <c r="Z455" s="23" t="n"/>
      <c r="AA455" s="23" t="n"/>
      <c r="AB455" s="23" t="n"/>
      <c r="AC455" s="23" t="n"/>
      <c r="AD455" s="23" t="n"/>
      <c r="AE455" s="23" t="n"/>
      <c r="AF455" s="23" t="n"/>
      <c r="AG455" s="23" t="n"/>
      <c r="AH455" s="23" t="n"/>
      <c r="AI455" s="23" t="n"/>
      <c r="AJ455" s="23" t="n"/>
      <c r="AK455" s="23" t="n"/>
      <c r="AL455" s="23" t="n"/>
      <c r="AM455" s="26">
        <f>IF(G455="","",G455&amp;"|"&amp;P455)</f>
        <v/>
      </c>
      <c r="AN455" s="27">
        <f>IF(I455="","",IFERROR(DATE(VALUE(RIGHT(I455,4)),VALUE(MID(I455,4,2)),VALUE(LEFT(I455,2))),""))</f>
        <v/>
      </c>
      <c r="AO455" s="27">
        <f>IF(Y455="","",IFERROR(DATE(VALUE(RIGHT(Y455,4)),VALUE(MID(Y455,4,2)),VALUE(LEFT(Y455,2))),""))</f>
        <v/>
      </c>
      <c r="AP455" s="27">
        <f>IF(AC455="","",IFERROR(DATE(VALUE(RIGHT(AC455,4)),VALUE(MID(AC455,4,2)),VALUE(LEFT(AC455,2))),""))</f>
        <v/>
      </c>
      <c r="AQ455" s="26">
        <f>IF(AI455="","",TRIM(LEFT(AI455,FIND(" ",AI455&amp;" ")-1)))</f>
        <v/>
      </c>
      <c r="AR455" s="27">
        <f>IF(AQ455="","",IFERROR(DATE(VALUE(MID(AQ455,FIND("/",AQ455,FIND("/",AQ455)+1)+1,4)),VALUE(LEFT(AQ455,FIND("/",AQ455)-1)),VALUE(MID(AQ455,FIND("/",AQ455)+1,FIND("/",AQ455,FIND("/",AQ455)+1)-FIND("/",AQ455)-1))),""))</f>
        <v/>
      </c>
      <c r="AS455" s="26">
        <f>IF(G455="","",IF(AND(AG455&lt;&gt;"",AG455&lt;&gt;"Bayi Aracı"),"Evet","Hayır"))</f>
        <v/>
      </c>
      <c r="AT455" s="26">
        <f>IF(G455="","",IF(AND(AS455="Evet",T455="Siparişiniz Teslim Edildi"),"Evet","Hayır"))</f>
        <v/>
      </c>
      <c r="AU455" s="26">
        <f>IF(G455="","",IF(AB455="Siparişinizin Montajı Yapıldı","Evet","Hayır"))</f>
        <v/>
      </c>
      <c r="AV455" s="27">
        <f>IF(G455="","",IF(AT455="Evet",AR455,IF(AU455="Evet",AP455,"")))</f>
        <v/>
      </c>
    </row>
    <row r="456">
      <c r="A456" s="23" t="n"/>
      <c r="B456" s="23" t="n"/>
      <c r="C456" s="23" t="n"/>
      <c r="D456" s="23" t="n"/>
      <c r="E456" s="23" t="n"/>
      <c r="F456" s="23" t="n"/>
      <c r="G456" s="23" t="n"/>
      <c r="H456" s="23" t="n"/>
      <c r="I456" s="23" t="n"/>
      <c r="J456" s="23" t="n"/>
      <c r="K456" s="23" t="n"/>
      <c r="L456" s="23" t="n"/>
      <c r="M456" s="23" t="n"/>
      <c r="N456" s="23" t="n"/>
      <c r="O456" s="23" t="n"/>
      <c r="P456" s="23" t="n"/>
      <c r="Q456" s="23" t="n"/>
      <c r="R456" s="23" t="n"/>
      <c r="S456" s="23" t="n"/>
      <c r="T456" s="23" t="n"/>
      <c r="U456" s="23" t="n"/>
      <c r="V456" s="23" t="n"/>
      <c r="W456" s="23" t="n"/>
      <c r="X456" s="23" t="n"/>
      <c r="Y456" s="23" t="n"/>
      <c r="Z456" s="23" t="n"/>
      <c r="AA456" s="23" t="n"/>
      <c r="AB456" s="23" t="n"/>
      <c r="AC456" s="23" t="n"/>
      <c r="AD456" s="23" t="n"/>
      <c r="AE456" s="23" t="n"/>
      <c r="AF456" s="23" t="n"/>
      <c r="AG456" s="23" t="n"/>
      <c r="AH456" s="23" t="n"/>
      <c r="AI456" s="23" t="n"/>
      <c r="AJ456" s="23" t="n"/>
      <c r="AK456" s="23" t="n"/>
      <c r="AL456" s="23" t="n"/>
      <c r="AM456" s="26">
        <f>IF(G456="","",G456&amp;"|"&amp;P456)</f>
        <v/>
      </c>
      <c r="AN456" s="27">
        <f>IF(I456="","",IFERROR(DATE(VALUE(RIGHT(I456,4)),VALUE(MID(I456,4,2)),VALUE(LEFT(I456,2))),""))</f>
        <v/>
      </c>
      <c r="AO456" s="27">
        <f>IF(Y456="","",IFERROR(DATE(VALUE(RIGHT(Y456,4)),VALUE(MID(Y456,4,2)),VALUE(LEFT(Y456,2))),""))</f>
        <v/>
      </c>
      <c r="AP456" s="27">
        <f>IF(AC456="","",IFERROR(DATE(VALUE(RIGHT(AC456,4)),VALUE(MID(AC456,4,2)),VALUE(LEFT(AC456,2))),""))</f>
        <v/>
      </c>
      <c r="AQ456" s="26">
        <f>IF(AI456="","",TRIM(LEFT(AI456,FIND(" ",AI456&amp;" ")-1)))</f>
        <v/>
      </c>
      <c r="AR456" s="27">
        <f>IF(AQ456="","",IFERROR(DATE(VALUE(MID(AQ456,FIND("/",AQ456,FIND("/",AQ456)+1)+1,4)),VALUE(LEFT(AQ456,FIND("/",AQ456)-1)),VALUE(MID(AQ456,FIND("/",AQ456)+1,FIND("/",AQ456,FIND("/",AQ456)+1)-FIND("/",AQ456)-1))),""))</f>
        <v/>
      </c>
      <c r="AS456" s="26">
        <f>IF(G456="","",IF(AND(AG456&lt;&gt;"",AG456&lt;&gt;"Bayi Aracı"),"Evet","Hayır"))</f>
        <v/>
      </c>
      <c r="AT456" s="26">
        <f>IF(G456="","",IF(AND(AS456="Evet",T456="Siparişiniz Teslim Edildi"),"Evet","Hayır"))</f>
        <v/>
      </c>
      <c r="AU456" s="26">
        <f>IF(G456="","",IF(AB456="Siparişinizin Montajı Yapıldı","Evet","Hayır"))</f>
        <v/>
      </c>
      <c r="AV456" s="27">
        <f>IF(G456="","",IF(AT456="Evet",AR456,IF(AU456="Evet",AP456,"")))</f>
        <v/>
      </c>
    </row>
    <row r="457">
      <c r="A457" s="23" t="n"/>
      <c r="B457" s="23" t="n"/>
      <c r="C457" s="23" t="n"/>
      <c r="D457" s="23" t="n"/>
      <c r="E457" s="23" t="n"/>
      <c r="F457" s="23" t="n"/>
      <c r="G457" s="23" t="n"/>
      <c r="H457" s="23" t="n"/>
      <c r="I457" s="23" t="n"/>
      <c r="J457" s="23" t="n"/>
      <c r="K457" s="23" t="n"/>
      <c r="L457" s="23" t="n"/>
      <c r="M457" s="23" t="n"/>
      <c r="N457" s="23" t="n"/>
      <c r="O457" s="23" t="n"/>
      <c r="P457" s="23" t="n"/>
      <c r="Q457" s="23" t="n"/>
      <c r="R457" s="23" t="n"/>
      <c r="S457" s="23" t="n"/>
      <c r="T457" s="23" t="n"/>
      <c r="U457" s="23" t="n"/>
      <c r="V457" s="23" t="n"/>
      <c r="W457" s="23" t="n"/>
      <c r="X457" s="23" t="n"/>
      <c r="Y457" s="23" t="n"/>
      <c r="Z457" s="23" t="n"/>
      <c r="AA457" s="23" t="n"/>
      <c r="AB457" s="23" t="n"/>
      <c r="AC457" s="23" t="n"/>
      <c r="AD457" s="23" t="n"/>
      <c r="AE457" s="23" t="n"/>
      <c r="AF457" s="23" t="n"/>
      <c r="AG457" s="23" t="n"/>
      <c r="AH457" s="23" t="n"/>
      <c r="AI457" s="23" t="n"/>
      <c r="AJ457" s="23" t="n"/>
      <c r="AK457" s="23" t="n"/>
      <c r="AL457" s="23" t="n"/>
      <c r="AM457" s="26">
        <f>IF(G457="","",G457&amp;"|"&amp;P457)</f>
        <v/>
      </c>
      <c r="AN457" s="27">
        <f>IF(I457="","",IFERROR(DATE(VALUE(RIGHT(I457,4)),VALUE(MID(I457,4,2)),VALUE(LEFT(I457,2))),""))</f>
        <v/>
      </c>
      <c r="AO457" s="27">
        <f>IF(Y457="","",IFERROR(DATE(VALUE(RIGHT(Y457,4)),VALUE(MID(Y457,4,2)),VALUE(LEFT(Y457,2))),""))</f>
        <v/>
      </c>
      <c r="AP457" s="27">
        <f>IF(AC457="","",IFERROR(DATE(VALUE(RIGHT(AC457,4)),VALUE(MID(AC457,4,2)),VALUE(LEFT(AC457,2))),""))</f>
        <v/>
      </c>
      <c r="AQ457" s="26">
        <f>IF(AI457="","",TRIM(LEFT(AI457,FIND(" ",AI457&amp;" ")-1)))</f>
        <v/>
      </c>
      <c r="AR457" s="27">
        <f>IF(AQ457="","",IFERROR(DATE(VALUE(MID(AQ457,FIND("/",AQ457,FIND("/",AQ457)+1)+1,4)),VALUE(LEFT(AQ457,FIND("/",AQ457)-1)),VALUE(MID(AQ457,FIND("/",AQ457)+1,FIND("/",AQ457,FIND("/",AQ457)+1)-FIND("/",AQ457)-1))),""))</f>
        <v/>
      </c>
      <c r="AS457" s="26">
        <f>IF(G457="","",IF(AND(AG457&lt;&gt;"",AG457&lt;&gt;"Bayi Aracı"),"Evet","Hayır"))</f>
        <v/>
      </c>
      <c r="AT457" s="26">
        <f>IF(G457="","",IF(AND(AS457="Evet",T457="Siparişiniz Teslim Edildi"),"Evet","Hayır"))</f>
        <v/>
      </c>
      <c r="AU457" s="26">
        <f>IF(G457="","",IF(AB457="Siparişinizin Montajı Yapıldı","Evet","Hayır"))</f>
        <v/>
      </c>
      <c r="AV457" s="27">
        <f>IF(G457="","",IF(AT457="Evet",AR457,IF(AU457="Evet",AP457,"")))</f>
        <v/>
      </c>
    </row>
    <row r="458">
      <c r="A458" s="23" t="n"/>
      <c r="B458" s="23" t="n"/>
      <c r="C458" s="23" t="n"/>
      <c r="D458" s="23" t="n"/>
      <c r="E458" s="23" t="n"/>
      <c r="F458" s="23" t="n"/>
      <c r="G458" s="23" t="n"/>
      <c r="H458" s="23" t="n"/>
      <c r="I458" s="23" t="n"/>
      <c r="J458" s="23" t="n"/>
      <c r="K458" s="23" t="n"/>
      <c r="L458" s="23" t="n"/>
      <c r="M458" s="23" t="n"/>
      <c r="N458" s="23" t="n"/>
      <c r="O458" s="23" t="n"/>
      <c r="P458" s="23" t="n"/>
      <c r="Q458" s="23" t="n"/>
      <c r="R458" s="23" t="n"/>
      <c r="S458" s="23" t="n"/>
      <c r="T458" s="23" t="n"/>
      <c r="U458" s="23" t="n"/>
      <c r="V458" s="23" t="n"/>
      <c r="W458" s="23" t="n"/>
      <c r="X458" s="23" t="n"/>
      <c r="Y458" s="23" t="n"/>
      <c r="Z458" s="23" t="n"/>
      <c r="AA458" s="23" t="n"/>
      <c r="AB458" s="23" t="n"/>
      <c r="AC458" s="23" t="n"/>
      <c r="AD458" s="23" t="n"/>
      <c r="AE458" s="23" t="n"/>
      <c r="AF458" s="23" t="n"/>
      <c r="AG458" s="23" t="n"/>
      <c r="AH458" s="23" t="n"/>
      <c r="AI458" s="23" t="n"/>
      <c r="AJ458" s="23" t="n"/>
      <c r="AK458" s="23" t="n"/>
      <c r="AL458" s="23" t="n"/>
      <c r="AM458" s="26">
        <f>IF(G458="","",G458&amp;"|"&amp;P458)</f>
        <v/>
      </c>
      <c r="AN458" s="27">
        <f>IF(I458="","",IFERROR(DATE(VALUE(RIGHT(I458,4)),VALUE(MID(I458,4,2)),VALUE(LEFT(I458,2))),""))</f>
        <v/>
      </c>
      <c r="AO458" s="27">
        <f>IF(Y458="","",IFERROR(DATE(VALUE(RIGHT(Y458,4)),VALUE(MID(Y458,4,2)),VALUE(LEFT(Y458,2))),""))</f>
        <v/>
      </c>
      <c r="AP458" s="27">
        <f>IF(AC458="","",IFERROR(DATE(VALUE(RIGHT(AC458,4)),VALUE(MID(AC458,4,2)),VALUE(LEFT(AC458,2))),""))</f>
        <v/>
      </c>
      <c r="AQ458" s="26">
        <f>IF(AI458="","",TRIM(LEFT(AI458,FIND(" ",AI458&amp;" ")-1)))</f>
        <v/>
      </c>
      <c r="AR458" s="27">
        <f>IF(AQ458="","",IFERROR(DATE(VALUE(MID(AQ458,FIND("/",AQ458,FIND("/",AQ458)+1)+1,4)),VALUE(LEFT(AQ458,FIND("/",AQ458)-1)),VALUE(MID(AQ458,FIND("/",AQ458)+1,FIND("/",AQ458,FIND("/",AQ458)+1)-FIND("/",AQ458)-1))),""))</f>
        <v/>
      </c>
      <c r="AS458" s="26">
        <f>IF(G458="","",IF(AND(AG458&lt;&gt;"",AG458&lt;&gt;"Bayi Aracı"),"Evet","Hayır"))</f>
        <v/>
      </c>
      <c r="AT458" s="26">
        <f>IF(G458="","",IF(AND(AS458="Evet",T458="Siparişiniz Teslim Edildi"),"Evet","Hayır"))</f>
        <v/>
      </c>
      <c r="AU458" s="26">
        <f>IF(G458="","",IF(AB458="Siparişinizin Montajı Yapıldı","Evet","Hayır"))</f>
        <v/>
      </c>
      <c r="AV458" s="27">
        <f>IF(G458="","",IF(AT458="Evet",AR458,IF(AU458="Evet",AP458,"")))</f>
        <v/>
      </c>
    </row>
    <row r="459">
      <c r="A459" s="23" t="n"/>
      <c r="B459" s="23" t="n"/>
      <c r="C459" s="23" t="n"/>
      <c r="D459" s="23" t="n"/>
      <c r="E459" s="23" t="n"/>
      <c r="F459" s="23" t="n"/>
      <c r="G459" s="23" t="n"/>
      <c r="H459" s="23" t="n"/>
      <c r="I459" s="23" t="n"/>
      <c r="J459" s="23" t="n"/>
      <c r="K459" s="23" t="n"/>
      <c r="L459" s="23" t="n"/>
      <c r="M459" s="23" t="n"/>
      <c r="N459" s="23" t="n"/>
      <c r="O459" s="23" t="n"/>
      <c r="P459" s="23" t="n"/>
      <c r="Q459" s="23" t="n"/>
      <c r="R459" s="23" t="n"/>
      <c r="S459" s="23" t="n"/>
      <c r="T459" s="23" t="n"/>
      <c r="U459" s="23" t="n"/>
      <c r="V459" s="23" t="n"/>
      <c r="W459" s="23" t="n"/>
      <c r="X459" s="23" t="n"/>
      <c r="Y459" s="23" t="n"/>
      <c r="Z459" s="23" t="n"/>
      <c r="AA459" s="23" t="n"/>
      <c r="AB459" s="23" t="n"/>
      <c r="AC459" s="23" t="n"/>
      <c r="AD459" s="23" t="n"/>
      <c r="AE459" s="23" t="n"/>
      <c r="AF459" s="23" t="n"/>
      <c r="AG459" s="23" t="n"/>
      <c r="AH459" s="23" t="n"/>
      <c r="AI459" s="23" t="n"/>
      <c r="AJ459" s="23" t="n"/>
      <c r="AK459" s="23" t="n"/>
      <c r="AL459" s="23" t="n"/>
      <c r="AM459" s="26">
        <f>IF(G459="","",G459&amp;"|"&amp;P459)</f>
        <v/>
      </c>
      <c r="AN459" s="27">
        <f>IF(I459="","",IFERROR(DATE(VALUE(RIGHT(I459,4)),VALUE(MID(I459,4,2)),VALUE(LEFT(I459,2))),""))</f>
        <v/>
      </c>
      <c r="AO459" s="27">
        <f>IF(Y459="","",IFERROR(DATE(VALUE(RIGHT(Y459,4)),VALUE(MID(Y459,4,2)),VALUE(LEFT(Y459,2))),""))</f>
        <v/>
      </c>
      <c r="AP459" s="27">
        <f>IF(AC459="","",IFERROR(DATE(VALUE(RIGHT(AC459,4)),VALUE(MID(AC459,4,2)),VALUE(LEFT(AC459,2))),""))</f>
        <v/>
      </c>
      <c r="AQ459" s="26">
        <f>IF(AI459="","",TRIM(LEFT(AI459,FIND(" ",AI459&amp;" ")-1)))</f>
        <v/>
      </c>
      <c r="AR459" s="27">
        <f>IF(AQ459="","",IFERROR(DATE(VALUE(MID(AQ459,FIND("/",AQ459,FIND("/",AQ459)+1)+1,4)),VALUE(LEFT(AQ459,FIND("/",AQ459)-1)),VALUE(MID(AQ459,FIND("/",AQ459)+1,FIND("/",AQ459,FIND("/",AQ459)+1)-FIND("/",AQ459)-1))),""))</f>
        <v/>
      </c>
      <c r="AS459" s="26">
        <f>IF(G459="","",IF(AND(AG459&lt;&gt;"",AG459&lt;&gt;"Bayi Aracı"),"Evet","Hayır"))</f>
        <v/>
      </c>
      <c r="AT459" s="26">
        <f>IF(G459="","",IF(AND(AS459="Evet",T459="Siparişiniz Teslim Edildi"),"Evet","Hayır"))</f>
        <v/>
      </c>
      <c r="AU459" s="26">
        <f>IF(G459="","",IF(AB459="Siparişinizin Montajı Yapıldı","Evet","Hayır"))</f>
        <v/>
      </c>
      <c r="AV459" s="27">
        <f>IF(G459="","",IF(AT459="Evet",AR459,IF(AU459="Evet",AP459,"")))</f>
        <v/>
      </c>
    </row>
    <row r="460">
      <c r="A460" s="23" t="n"/>
      <c r="B460" s="23" t="n"/>
      <c r="C460" s="23" t="n"/>
      <c r="D460" s="23" t="n"/>
      <c r="E460" s="23" t="n"/>
      <c r="F460" s="23" t="n"/>
      <c r="G460" s="23" t="n"/>
      <c r="H460" s="23" t="n"/>
      <c r="I460" s="23" t="n"/>
      <c r="J460" s="23" t="n"/>
      <c r="K460" s="23" t="n"/>
      <c r="L460" s="23" t="n"/>
      <c r="M460" s="23" t="n"/>
      <c r="N460" s="23" t="n"/>
      <c r="O460" s="23" t="n"/>
      <c r="P460" s="23" t="n"/>
      <c r="Q460" s="23" t="n"/>
      <c r="R460" s="23" t="n"/>
      <c r="S460" s="23" t="n"/>
      <c r="T460" s="23" t="n"/>
      <c r="U460" s="23" t="n"/>
      <c r="V460" s="23" t="n"/>
      <c r="W460" s="23" t="n"/>
      <c r="X460" s="23" t="n"/>
      <c r="Y460" s="23" t="n"/>
      <c r="Z460" s="23" t="n"/>
      <c r="AA460" s="23" t="n"/>
      <c r="AB460" s="23" t="n"/>
      <c r="AC460" s="23" t="n"/>
      <c r="AD460" s="23" t="n"/>
      <c r="AE460" s="23" t="n"/>
      <c r="AF460" s="23" t="n"/>
      <c r="AG460" s="23" t="n"/>
      <c r="AH460" s="23" t="n"/>
      <c r="AI460" s="23" t="n"/>
      <c r="AJ460" s="23" t="n"/>
      <c r="AK460" s="23" t="n"/>
      <c r="AL460" s="23" t="n"/>
      <c r="AM460" s="26">
        <f>IF(G460="","",G460&amp;"|"&amp;P460)</f>
        <v/>
      </c>
      <c r="AN460" s="27">
        <f>IF(I460="","",IFERROR(DATE(VALUE(RIGHT(I460,4)),VALUE(MID(I460,4,2)),VALUE(LEFT(I460,2))),""))</f>
        <v/>
      </c>
      <c r="AO460" s="27">
        <f>IF(Y460="","",IFERROR(DATE(VALUE(RIGHT(Y460,4)),VALUE(MID(Y460,4,2)),VALUE(LEFT(Y460,2))),""))</f>
        <v/>
      </c>
      <c r="AP460" s="27">
        <f>IF(AC460="","",IFERROR(DATE(VALUE(RIGHT(AC460,4)),VALUE(MID(AC460,4,2)),VALUE(LEFT(AC460,2))),""))</f>
        <v/>
      </c>
      <c r="AQ460" s="26">
        <f>IF(AI460="","",TRIM(LEFT(AI460,FIND(" ",AI460&amp;" ")-1)))</f>
        <v/>
      </c>
      <c r="AR460" s="27">
        <f>IF(AQ460="","",IFERROR(DATE(VALUE(MID(AQ460,FIND("/",AQ460,FIND("/",AQ460)+1)+1,4)),VALUE(LEFT(AQ460,FIND("/",AQ460)-1)),VALUE(MID(AQ460,FIND("/",AQ460)+1,FIND("/",AQ460,FIND("/",AQ460)+1)-FIND("/",AQ460)-1))),""))</f>
        <v/>
      </c>
      <c r="AS460" s="26">
        <f>IF(G460="","",IF(AND(AG460&lt;&gt;"",AG460&lt;&gt;"Bayi Aracı"),"Evet","Hayır"))</f>
        <v/>
      </c>
      <c r="AT460" s="26">
        <f>IF(G460="","",IF(AND(AS460="Evet",T460="Siparişiniz Teslim Edildi"),"Evet","Hayır"))</f>
        <v/>
      </c>
      <c r="AU460" s="26">
        <f>IF(G460="","",IF(AB460="Siparişinizin Montajı Yapıldı","Evet","Hayır"))</f>
        <v/>
      </c>
      <c r="AV460" s="27">
        <f>IF(G460="","",IF(AT460="Evet",AR460,IF(AU460="Evet",AP460,"")))</f>
        <v/>
      </c>
    </row>
    <row r="461">
      <c r="A461" s="23" t="n"/>
      <c r="B461" s="23" t="n"/>
      <c r="C461" s="23" t="n"/>
      <c r="D461" s="23" t="n"/>
      <c r="E461" s="23" t="n"/>
      <c r="F461" s="23" t="n"/>
      <c r="G461" s="23" t="n"/>
      <c r="H461" s="23" t="n"/>
      <c r="I461" s="23" t="n"/>
      <c r="J461" s="23" t="n"/>
      <c r="K461" s="23" t="n"/>
      <c r="L461" s="23" t="n"/>
      <c r="M461" s="23" t="n"/>
      <c r="N461" s="23" t="n"/>
      <c r="O461" s="23" t="n"/>
      <c r="P461" s="23" t="n"/>
      <c r="Q461" s="23" t="n"/>
      <c r="R461" s="23" t="n"/>
      <c r="S461" s="23" t="n"/>
      <c r="T461" s="23" t="n"/>
      <c r="U461" s="23" t="n"/>
      <c r="V461" s="23" t="n"/>
      <c r="W461" s="23" t="n"/>
      <c r="X461" s="23" t="n"/>
      <c r="Y461" s="23" t="n"/>
      <c r="Z461" s="23" t="n"/>
      <c r="AA461" s="23" t="n"/>
      <c r="AB461" s="23" t="n"/>
      <c r="AC461" s="23" t="n"/>
      <c r="AD461" s="23" t="n"/>
      <c r="AE461" s="23" t="n"/>
      <c r="AF461" s="23" t="n"/>
      <c r="AG461" s="23" t="n"/>
      <c r="AH461" s="23" t="n"/>
      <c r="AI461" s="23" t="n"/>
      <c r="AJ461" s="23" t="n"/>
      <c r="AK461" s="23" t="n"/>
      <c r="AL461" s="23" t="n"/>
      <c r="AM461" s="26">
        <f>IF(G461="","",G461&amp;"|"&amp;P461)</f>
        <v/>
      </c>
      <c r="AN461" s="27">
        <f>IF(I461="","",IFERROR(DATE(VALUE(RIGHT(I461,4)),VALUE(MID(I461,4,2)),VALUE(LEFT(I461,2))),""))</f>
        <v/>
      </c>
      <c r="AO461" s="27">
        <f>IF(Y461="","",IFERROR(DATE(VALUE(RIGHT(Y461,4)),VALUE(MID(Y461,4,2)),VALUE(LEFT(Y461,2))),""))</f>
        <v/>
      </c>
      <c r="AP461" s="27">
        <f>IF(AC461="","",IFERROR(DATE(VALUE(RIGHT(AC461,4)),VALUE(MID(AC461,4,2)),VALUE(LEFT(AC461,2))),""))</f>
        <v/>
      </c>
      <c r="AQ461" s="26">
        <f>IF(AI461="","",TRIM(LEFT(AI461,FIND(" ",AI461&amp;" ")-1)))</f>
        <v/>
      </c>
      <c r="AR461" s="27">
        <f>IF(AQ461="","",IFERROR(DATE(VALUE(MID(AQ461,FIND("/",AQ461,FIND("/",AQ461)+1)+1,4)),VALUE(LEFT(AQ461,FIND("/",AQ461)-1)),VALUE(MID(AQ461,FIND("/",AQ461)+1,FIND("/",AQ461,FIND("/",AQ461)+1)-FIND("/",AQ461)-1))),""))</f>
        <v/>
      </c>
      <c r="AS461" s="26">
        <f>IF(G461="","",IF(AND(AG461&lt;&gt;"",AG461&lt;&gt;"Bayi Aracı"),"Evet","Hayır"))</f>
        <v/>
      </c>
      <c r="AT461" s="26">
        <f>IF(G461="","",IF(AND(AS461="Evet",T461="Siparişiniz Teslim Edildi"),"Evet","Hayır"))</f>
        <v/>
      </c>
      <c r="AU461" s="26">
        <f>IF(G461="","",IF(AB461="Siparişinizin Montajı Yapıldı","Evet","Hayır"))</f>
        <v/>
      </c>
      <c r="AV461" s="27">
        <f>IF(G461="","",IF(AT461="Evet",AR461,IF(AU461="Evet",AP461,"")))</f>
        <v/>
      </c>
    </row>
    <row r="462">
      <c r="A462" s="23" t="n"/>
      <c r="B462" s="23" t="n"/>
      <c r="C462" s="23" t="n"/>
      <c r="D462" s="23" t="n"/>
      <c r="E462" s="23" t="n"/>
      <c r="F462" s="23" t="n"/>
      <c r="G462" s="23" t="n"/>
      <c r="H462" s="23" t="n"/>
      <c r="I462" s="23" t="n"/>
      <c r="J462" s="23" t="n"/>
      <c r="K462" s="23" t="n"/>
      <c r="L462" s="23" t="n"/>
      <c r="M462" s="23" t="n"/>
      <c r="N462" s="23" t="n"/>
      <c r="O462" s="23" t="n"/>
      <c r="P462" s="23" t="n"/>
      <c r="Q462" s="23" t="n"/>
      <c r="R462" s="23" t="n"/>
      <c r="S462" s="23" t="n"/>
      <c r="T462" s="23" t="n"/>
      <c r="U462" s="23" t="n"/>
      <c r="V462" s="23" t="n"/>
      <c r="W462" s="23" t="n"/>
      <c r="X462" s="23" t="n"/>
      <c r="Y462" s="23" t="n"/>
      <c r="Z462" s="23" t="n"/>
      <c r="AA462" s="23" t="n"/>
      <c r="AB462" s="23" t="n"/>
      <c r="AC462" s="23" t="n"/>
      <c r="AD462" s="23" t="n"/>
      <c r="AE462" s="23" t="n"/>
      <c r="AF462" s="23" t="n"/>
      <c r="AG462" s="23" t="n"/>
      <c r="AH462" s="23" t="n"/>
      <c r="AI462" s="23" t="n"/>
      <c r="AJ462" s="23" t="n"/>
      <c r="AK462" s="23" t="n"/>
      <c r="AL462" s="23" t="n"/>
      <c r="AM462" s="26">
        <f>IF(G462="","",G462&amp;"|"&amp;P462)</f>
        <v/>
      </c>
      <c r="AN462" s="27">
        <f>IF(I462="","",IFERROR(DATE(VALUE(RIGHT(I462,4)),VALUE(MID(I462,4,2)),VALUE(LEFT(I462,2))),""))</f>
        <v/>
      </c>
      <c r="AO462" s="27">
        <f>IF(Y462="","",IFERROR(DATE(VALUE(RIGHT(Y462,4)),VALUE(MID(Y462,4,2)),VALUE(LEFT(Y462,2))),""))</f>
        <v/>
      </c>
      <c r="AP462" s="27">
        <f>IF(AC462="","",IFERROR(DATE(VALUE(RIGHT(AC462,4)),VALUE(MID(AC462,4,2)),VALUE(LEFT(AC462,2))),""))</f>
        <v/>
      </c>
      <c r="AQ462" s="26">
        <f>IF(AI462="","",TRIM(LEFT(AI462,FIND(" ",AI462&amp;" ")-1)))</f>
        <v/>
      </c>
      <c r="AR462" s="27">
        <f>IF(AQ462="","",IFERROR(DATE(VALUE(MID(AQ462,FIND("/",AQ462,FIND("/",AQ462)+1)+1,4)),VALUE(LEFT(AQ462,FIND("/",AQ462)-1)),VALUE(MID(AQ462,FIND("/",AQ462)+1,FIND("/",AQ462,FIND("/",AQ462)+1)-FIND("/",AQ462)-1))),""))</f>
        <v/>
      </c>
      <c r="AS462" s="26">
        <f>IF(G462="","",IF(AND(AG462&lt;&gt;"",AG462&lt;&gt;"Bayi Aracı"),"Evet","Hayır"))</f>
        <v/>
      </c>
      <c r="AT462" s="26">
        <f>IF(G462="","",IF(AND(AS462="Evet",T462="Siparişiniz Teslim Edildi"),"Evet","Hayır"))</f>
        <v/>
      </c>
      <c r="AU462" s="26">
        <f>IF(G462="","",IF(AB462="Siparişinizin Montajı Yapıldı","Evet","Hayır"))</f>
        <v/>
      </c>
      <c r="AV462" s="27">
        <f>IF(G462="","",IF(AT462="Evet",AR462,IF(AU462="Evet",AP462,"")))</f>
        <v/>
      </c>
    </row>
    <row r="463">
      <c r="A463" s="23" t="n"/>
      <c r="B463" s="23" t="n"/>
      <c r="C463" s="23" t="n"/>
      <c r="D463" s="23" t="n"/>
      <c r="E463" s="23" t="n"/>
      <c r="F463" s="23" t="n"/>
      <c r="G463" s="23" t="n"/>
      <c r="H463" s="23" t="n"/>
      <c r="I463" s="23" t="n"/>
      <c r="J463" s="23" t="n"/>
      <c r="K463" s="23" t="n"/>
      <c r="L463" s="23" t="n"/>
      <c r="M463" s="23" t="n"/>
      <c r="N463" s="23" t="n"/>
      <c r="O463" s="23" t="n"/>
      <c r="P463" s="23" t="n"/>
      <c r="Q463" s="23" t="n"/>
      <c r="R463" s="23" t="n"/>
      <c r="S463" s="23" t="n"/>
      <c r="T463" s="23" t="n"/>
      <c r="U463" s="23" t="n"/>
      <c r="V463" s="23" t="n"/>
      <c r="W463" s="23" t="n"/>
      <c r="X463" s="23" t="n"/>
      <c r="Y463" s="23" t="n"/>
      <c r="Z463" s="23" t="n"/>
      <c r="AA463" s="23" t="n"/>
      <c r="AB463" s="23" t="n"/>
      <c r="AC463" s="23" t="n"/>
      <c r="AD463" s="23" t="n"/>
      <c r="AE463" s="23" t="n"/>
      <c r="AF463" s="23" t="n"/>
      <c r="AG463" s="23" t="n"/>
      <c r="AH463" s="23" t="n"/>
      <c r="AI463" s="23" t="n"/>
      <c r="AJ463" s="23" t="n"/>
      <c r="AK463" s="23" t="n"/>
      <c r="AL463" s="23" t="n"/>
      <c r="AM463" s="26">
        <f>IF(G463="","",G463&amp;"|"&amp;P463)</f>
        <v/>
      </c>
      <c r="AN463" s="27">
        <f>IF(I463="","",IFERROR(DATE(VALUE(RIGHT(I463,4)),VALUE(MID(I463,4,2)),VALUE(LEFT(I463,2))),""))</f>
        <v/>
      </c>
      <c r="AO463" s="27">
        <f>IF(Y463="","",IFERROR(DATE(VALUE(RIGHT(Y463,4)),VALUE(MID(Y463,4,2)),VALUE(LEFT(Y463,2))),""))</f>
        <v/>
      </c>
      <c r="AP463" s="27">
        <f>IF(AC463="","",IFERROR(DATE(VALUE(RIGHT(AC463,4)),VALUE(MID(AC463,4,2)),VALUE(LEFT(AC463,2))),""))</f>
        <v/>
      </c>
      <c r="AQ463" s="26">
        <f>IF(AI463="","",TRIM(LEFT(AI463,FIND(" ",AI463&amp;" ")-1)))</f>
        <v/>
      </c>
      <c r="AR463" s="27">
        <f>IF(AQ463="","",IFERROR(DATE(VALUE(MID(AQ463,FIND("/",AQ463,FIND("/",AQ463)+1)+1,4)),VALUE(LEFT(AQ463,FIND("/",AQ463)-1)),VALUE(MID(AQ463,FIND("/",AQ463)+1,FIND("/",AQ463,FIND("/",AQ463)+1)-FIND("/",AQ463)-1))),""))</f>
        <v/>
      </c>
      <c r="AS463" s="26">
        <f>IF(G463="","",IF(AND(AG463&lt;&gt;"",AG463&lt;&gt;"Bayi Aracı"),"Evet","Hayır"))</f>
        <v/>
      </c>
      <c r="AT463" s="26">
        <f>IF(G463="","",IF(AND(AS463="Evet",T463="Siparişiniz Teslim Edildi"),"Evet","Hayır"))</f>
        <v/>
      </c>
      <c r="AU463" s="26">
        <f>IF(G463="","",IF(AB463="Siparişinizin Montajı Yapıldı","Evet","Hayır"))</f>
        <v/>
      </c>
      <c r="AV463" s="27">
        <f>IF(G463="","",IF(AT463="Evet",AR463,IF(AU463="Evet",AP463,"")))</f>
        <v/>
      </c>
    </row>
    <row r="464">
      <c r="A464" s="23" t="n"/>
      <c r="B464" s="23" t="n"/>
      <c r="C464" s="23" t="n"/>
      <c r="D464" s="23" t="n"/>
      <c r="E464" s="23" t="n"/>
      <c r="F464" s="23" t="n"/>
      <c r="G464" s="23" t="n"/>
      <c r="H464" s="23" t="n"/>
      <c r="I464" s="23" t="n"/>
      <c r="J464" s="23" t="n"/>
      <c r="K464" s="23" t="n"/>
      <c r="L464" s="23" t="n"/>
      <c r="M464" s="23" t="n"/>
      <c r="N464" s="23" t="n"/>
      <c r="O464" s="23" t="n"/>
      <c r="P464" s="23" t="n"/>
      <c r="Q464" s="23" t="n"/>
      <c r="R464" s="23" t="n"/>
      <c r="S464" s="23" t="n"/>
      <c r="T464" s="23" t="n"/>
      <c r="U464" s="23" t="n"/>
      <c r="V464" s="23" t="n"/>
      <c r="W464" s="23" t="n"/>
      <c r="X464" s="23" t="n"/>
      <c r="Y464" s="23" t="n"/>
      <c r="Z464" s="23" t="n"/>
      <c r="AA464" s="23" t="n"/>
      <c r="AB464" s="23" t="n"/>
      <c r="AC464" s="23" t="n"/>
      <c r="AD464" s="23" t="n"/>
      <c r="AE464" s="23" t="n"/>
      <c r="AF464" s="23" t="n"/>
      <c r="AG464" s="23" t="n"/>
      <c r="AH464" s="23" t="n"/>
      <c r="AI464" s="23" t="n"/>
      <c r="AJ464" s="23" t="n"/>
      <c r="AK464" s="23" t="n"/>
      <c r="AL464" s="23" t="n"/>
      <c r="AM464" s="26">
        <f>IF(G464="","",G464&amp;"|"&amp;P464)</f>
        <v/>
      </c>
      <c r="AN464" s="27">
        <f>IF(I464="","",IFERROR(DATE(VALUE(RIGHT(I464,4)),VALUE(MID(I464,4,2)),VALUE(LEFT(I464,2))),""))</f>
        <v/>
      </c>
      <c r="AO464" s="27">
        <f>IF(Y464="","",IFERROR(DATE(VALUE(RIGHT(Y464,4)),VALUE(MID(Y464,4,2)),VALUE(LEFT(Y464,2))),""))</f>
        <v/>
      </c>
      <c r="AP464" s="27">
        <f>IF(AC464="","",IFERROR(DATE(VALUE(RIGHT(AC464,4)),VALUE(MID(AC464,4,2)),VALUE(LEFT(AC464,2))),""))</f>
        <v/>
      </c>
      <c r="AQ464" s="26">
        <f>IF(AI464="","",TRIM(LEFT(AI464,FIND(" ",AI464&amp;" ")-1)))</f>
        <v/>
      </c>
      <c r="AR464" s="27">
        <f>IF(AQ464="","",IFERROR(DATE(VALUE(MID(AQ464,FIND("/",AQ464,FIND("/",AQ464)+1)+1,4)),VALUE(LEFT(AQ464,FIND("/",AQ464)-1)),VALUE(MID(AQ464,FIND("/",AQ464)+1,FIND("/",AQ464,FIND("/",AQ464)+1)-FIND("/",AQ464)-1))),""))</f>
        <v/>
      </c>
      <c r="AS464" s="26">
        <f>IF(G464="","",IF(AND(AG464&lt;&gt;"",AG464&lt;&gt;"Bayi Aracı"),"Evet","Hayır"))</f>
        <v/>
      </c>
      <c r="AT464" s="26">
        <f>IF(G464="","",IF(AND(AS464="Evet",T464="Siparişiniz Teslim Edildi"),"Evet","Hayır"))</f>
        <v/>
      </c>
      <c r="AU464" s="26">
        <f>IF(G464="","",IF(AB464="Siparişinizin Montajı Yapıldı","Evet","Hayır"))</f>
        <v/>
      </c>
      <c r="AV464" s="27">
        <f>IF(G464="","",IF(AT464="Evet",AR464,IF(AU464="Evet",AP464,"")))</f>
        <v/>
      </c>
    </row>
    <row r="465">
      <c r="A465" s="23" t="n"/>
      <c r="B465" s="23" t="n"/>
      <c r="C465" s="23" t="n"/>
      <c r="D465" s="23" t="n"/>
      <c r="E465" s="23" t="n"/>
      <c r="F465" s="23" t="n"/>
      <c r="G465" s="23" t="n"/>
      <c r="H465" s="23" t="n"/>
      <c r="I465" s="23" t="n"/>
      <c r="J465" s="23" t="n"/>
      <c r="K465" s="23" t="n"/>
      <c r="L465" s="23" t="n"/>
      <c r="M465" s="23" t="n"/>
      <c r="N465" s="23" t="n"/>
      <c r="O465" s="23" t="n"/>
      <c r="P465" s="23" t="n"/>
      <c r="Q465" s="23" t="n"/>
      <c r="R465" s="23" t="n"/>
      <c r="S465" s="23" t="n"/>
      <c r="T465" s="23" t="n"/>
      <c r="U465" s="23" t="n"/>
      <c r="V465" s="23" t="n"/>
      <c r="W465" s="23" t="n"/>
      <c r="X465" s="23" t="n"/>
      <c r="Y465" s="23" t="n"/>
      <c r="Z465" s="23" t="n"/>
      <c r="AA465" s="23" t="n"/>
      <c r="AB465" s="23" t="n"/>
      <c r="AC465" s="23" t="n"/>
      <c r="AD465" s="23" t="n"/>
      <c r="AE465" s="23" t="n"/>
      <c r="AF465" s="23" t="n"/>
      <c r="AG465" s="23" t="n"/>
      <c r="AH465" s="23" t="n"/>
      <c r="AI465" s="23" t="n"/>
      <c r="AJ465" s="23" t="n"/>
      <c r="AK465" s="23" t="n"/>
      <c r="AL465" s="23" t="n"/>
      <c r="AM465" s="26">
        <f>IF(G465="","",G465&amp;"|"&amp;P465)</f>
        <v/>
      </c>
      <c r="AN465" s="27">
        <f>IF(I465="","",IFERROR(DATE(VALUE(RIGHT(I465,4)),VALUE(MID(I465,4,2)),VALUE(LEFT(I465,2))),""))</f>
        <v/>
      </c>
      <c r="AO465" s="27">
        <f>IF(Y465="","",IFERROR(DATE(VALUE(RIGHT(Y465,4)),VALUE(MID(Y465,4,2)),VALUE(LEFT(Y465,2))),""))</f>
        <v/>
      </c>
      <c r="AP465" s="27">
        <f>IF(AC465="","",IFERROR(DATE(VALUE(RIGHT(AC465,4)),VALUE(MID(AC465,4,2)),VALUE(LEFT(AC465,2))),""))</f>
        <v/>
      </c>
      <c r="AQ465" s="26">
        <f>IF(AI465="","",TRIM(LEFT(AI465,FIND(" ",AI465&amp;" ")-1)))</f>
        <v/>
      </c>
      <c r="AR465" s="27">
        <f>IF(AQ465="","",IFERROR(DATE(VALUE(MID(AQ465,FIND("/",AQ465,FIND("/",AQ465)+1)+1,4)),VALUE(LEFT(AQ465,FIND("/",AQ465)-1)),VALUE(MID(AQ465,FIND("/",AQ465)+1,FIND("/",AQ465,FIND("/",AQ465)+1)-FIND("/",AQ465)-1))),""))</f>
        <v/>
      </c>
      <c r="AS465" s="26">
        <f>IF(G465="","",IF(AND(AG465&lt;&gt;"",AG465&lt;&gt;"Bayi Aracı"),"Evet","Hayır"))</f>
        <v/>
      </c>
      <c r="AT465" s="26">
        <f>IF(G465="","",IF(AND(AS465="Evet",T465="Siparişiniz Teslim Edildi"),"Evet","Hayır"))</f>
        <v/>
      </c>
      <c r="AU465" s="26">
        <f>IF(G465="","",IF(AB465="Siparişinizin Montajı Yapıldı","Evet","Hayır"))</f>
        <v/>
      </c>
      <c r="AV465" s="27">
        <f>IF(G465="","",IF(AT465="Evet",AR465,IF(AU465="Evet",AP465,"")))</f>
        <v/>
      </c>
    </row>
    <row r="466">
      <c r="A466" s="23" t="n"/>
      <c r="B466" s="23" t="n"/>
      <c r="C466" s="23" t="n"/>
      <c r="D466" s="23" t="n"/>
      <c r="E466" s="23" t="n"/>
      <c r="F466" s="23" t="n"/>
      <c r="G466" s="23" t="n"/>
      <c r="H466" s="23" t="n"/>
      <c r="I466" s="23" t="n"/>
      <c r="J466" s="23" t="n"/>
      <c r="K466" s="23" t="n"/>
      <c r="L466" s="23" t="n"/>
      <c r="M466" s="23" t="n"/>
      <c r="N466" s="23" t="n"/>
      <c r="O466" s="23" t="n"/>
      <c r="P466" s="23" t="n"/>
      <c r="Q466" s="23" t="n"/>
      <c r="R466" s="23" t="n"/>
      <c r="S466" s="23" t="n"/>
      <c r="T466" s="23" t="n"/>
      <c r="U466" s="23" t="n"/>
      <c r="V466" s="23" t="n"/>
      <c r="W466" s="23" t="n"/>
      <c r="X466" s="23" t="n"/>
      <c r="Y466" s="23" t="n"/>
      <c r="Z466" s="23" t="n"/>
      <c r="AA466" s="23" t="n"/>
      <c r="AB466" s="23" t="n"/>
      <c r="AC466" s="23" t="n"/>
      <c r="AD466" s="23" t="n"/>
      <c r="AE466" s="23" t="n"/>
      <c r="AF466" s="23" t="n"/>
      <c r="AG466" s="23" t="n"/>
      <c r="AH466" s="23" t="n"/>
      <c r="AI466" s="23" t="n"/>
      <c r="AJ466" s="23" t="n"/>
      <c r="AK466" s="23" t="n"/>
      <c r="AL466" s="23" t="n"/>
      <c r="AM466" s="26">
        <f>IF(G466="","",G466&amp;"|"&amp;P466)</f>
        <v/>
      </c>
      <c r="AN466" s="27">
        <f>IF(I466="","",IFERROR(DATE(VALUE(RIGHT(I466,4)),VALUE(MID(I466,4,2)),VALUE(LEFT(I466,2))),""))</f>
        <v/>
      </c>
      <c r="AO466" s="27">
        <f>IF(Y466="","",IFERROR(DATE(VALUE(RIGHT(Y466,4)),VALUE(MID(Y466,4,2)),VALUE(LEFT(Y466,2))),""))</f>
        <v/>
      </c>
      <c r="AP466" s="27">
        <f>IF(AC466="","",IFERROR(DATE(VALUE(RIGHT(AC466,4)),VALUE(MID(AC466,4,2)),VALUE(LEFT(AC466,2))),""))</f>
        <v/>
      </c>
      <c r="AQ466" s="26">
        <f>IF(AI466="","",TRIM(LEFT(AI466,FIND(" ",AI466&amp;" ")-1)))</f>
        <v/>
      </c>
      <c r="AR466" s="27">
        <f>IF(AQ466="","",IFERROR(DATE(VALUE(MID(AQ466,FIND("/",AQ466,FIND("/",AQ466)+1)+1,4)),VALUE(LEFT(AQ466,FIND("/",AQ466)-1)),VALUE(MID(AQ466,FIND("/",AQ466)+1,FIND("/",AQ466,FIND("/",AQ466)+1)-FIND("/",AQ466)-1))),""))</f>
        <v/>
      </c>
      <c r="AS466" s="26">
        <f>IF(G466="","",IF(AND(AG466&lt;&gt;"",AG466&lt;&gt;"Bayi Aracı"),"Evet","Hayır"))</f>
        <v/>
      </c>
      <c r="AT466" s="26">
        <f>IF(G466="","",IF(AND(AS466="Evet",T466="Siparişiniz Teslim Edildi"),"Evet","Hayır"))</f>
        <v/>
      </c>
      <c r="AU466" s="26">
        <f>IF(G466="","",IF(AB466="Siparişinizin Montajı Yapıldı","Evet","Hayır"))</f>
        <v/>
      </c>
      <c r="AV466" s="27">
        <f>IF(G466="","",IF(AT466="Evet",AR466,IF(AU466="Evet",AP466,"")))</f>
        <v/>
      </c>
    </row>
    <row r="467">
      <c r="A467" s="23" t="n"/>
      <c r="B467" s="23" t="n"/>
      <c r="C467" s="23" t="n"/>
      <c r="D467" s="23" t="n"/>
      <c r="E467" s="23" t="n"/>
      <c r="F467" s="23" t="n"/>
      <c r="G467" s="23" t="n"/>
      <c r="H467" s="23" t="n"/>
      <c r="I467" s="23" t="n"/>
      <c r="J467" s="23" t="n"/>
      <c r="K467" s="23" t="n"/>
      <c r="L467" s="23" t="n"/>
      <c r="M467" s="23" t="n"/>
      <c r="N467" s="23" t="n"/>
      <c r="O467" s="23" t="n"/>
      <c r="P467" s="23" t="n"/>
      <c r="Q467" s="23" t="n"/>
      <c r="R467" s="23" t="n"/>
      <c r="S467" s="23" t="n"/>
      <c r="T467" s="23" t="n"/>
      <c r="U467" s="23" t="n"/>
      <c r="V467" s="23" t="n"/>
      <c r="W467" s="23" t="n"/>
      <c r="X467" s="23" t="n"/>
      <c r="Y467" s="23" t="n"/>
      <c r="Z467" s="23" t="n"/>
      <c r="AA467" s="23" t="n"/>
      <c r="AB467" s="23" t="n"/>
      <c r="AC467" s="23" t="n"/>
      <c r="AD467" s="23" t="n"/>
      <c r="AE467" s="23" t="n"/>
      <c r="AF467" s="23" t="n"/>
      <c r="AG467" s="23" t="n"/>
      <c r="AH467" s="23" t="n"/>
      <c r="AI467" s="23" t="n"/>
      <c r="AJ467" s="23" t="n"/>
      <c r="AK467" s="23" t="n"/>
      <c r="AL467" s="23" t="n"/>
      <c r="AM467" s="26">
        <f>IF(G467="","",G467&amp;"|"&amp;P467)</f>
        <v/>
      </c>
      <c r="AN467" s="27">
        <f>IF(I467="","",IFERROR(DATE(VALUE(RIGHT(I467,4)),VALUE(MID(I467,4,2)),VALUE(LEFT(I467,2))),""))</f>
        <v/>
      </c>
      <c r="AO467" s="27">
        <f>IF(Y467="","",IFERROR(DATE(VALUE(RIGHT(Y467,4)),VALUE(MID(Y467,4,2)),VALUE(LEFT(Y467,2))),""))</f>
        <v/>
      </c>
      <c r="AP467" s="27">
        <f>IF(AC467="","",IFERROR(DATE(VALUE(RIGHT(AC467,4)),VALUE(MID(AC467,4,2)),VALUE(LEFT(AC467,2))),""))</f>
        <v/>
      </c>
      <c r="AQ467" s="26">
        <f>IF(AI467="","",TRIM(LEFT(AI467,FIND(" ",AI467&amp;" ")-1)))</f>
        <v/>
      </c>
      <c r="AR467" s="27">
        <f>IF(AQ467="","",IFERROR(DATE(VALUE(MID(AQ467,FIND("/",AQ467,FIND("/",AQ467)+1)+1,4)),VALUE(LEFT(AQ467,FIND("/",AQ467)-1)),VALUE(MID(AQ467,FIND("/",AQ467)+1,FIND("/",AQ467,FIND("/",AQ467)+1)-FIND("/",AQ467)-1))),""))</f>
        <v/>
      </c>
      <c r="AS467" s="26">
        <f>IF(G467="","",IF(AND(AG467&lt;&gt;"",AG467&lt;&gt;"Bayi Aracı"),"Evet","Hayır"))</f>
        <v/>
      </c>
      <c r="AT467" s="26">
        <f>IF(G467="","",IF(AND(AS467="Evet",T467="Siparişiniz Teslim Edildi"),"Evet","Hayır"))</f>
        <v/>
      </c>
      <c r="AU467" s="26">
        <f>IF(G467="","",IF(AB467="Siparişinizin Montajı Yapıldı","Evet","Hayır"))</f>
        <v/>
      </c>
      <c r="AV467" s="27">
        <f>IF(G467="","",IF(AT467="Evet",AR467,IF(AU467="Evet",AP467,"")))</f>
        <v/>
      </c>
    </row>
    <row r="468">
      <c r="A468" s="23" t="n"/>
      <c r="B468" s="23" t="n"/>
      <c r="C468" s="23" t="n"/>
      <c r="D468" s="23" t="n"/>
      <c r="E468" s="23" t="n"/>
      <c r="F468" s="23" t="n"/>
      <c r="G468" s="23" t="n"/>
      <c r="H468" s="23" t="n"/>
      <c r="I468" s="23" t="n"/>
      <c r="J468" s="23" t="n"/>
      <c r="K468" s="23" t="n"/>
      <c r="L468" s="23" t="n"/>
      <c r="M468" s="23" t="n"/>
      <c r="N468" s="23" t="n"/>
      <c r="O468" s="23" t="n"/>
      <c r="P468" s="23" t="n"/>
      <c r="Q468" s="23" t="n"/>
      <c r="R468" s="23" t="n"/>
      <c r="S468" s="23" t="n"/>
      <c r="T468" s="23" t="n"/>
      <c r="U468" s="23" t="n"/>
      <c r="V468" s="23" t="n"/>
      <c r="W468" s="23" t="n"/>
      <c r="X468" s="23" t="n"/>
      <c r="Y468" s="23" t="n"/>
      <c r="Z468" s="23" t="n"/>
      <c r="AA468" s="23" t="n"/>
      <c r="AB468" s="23" t="n"/>
      <c r="AC468" s="23" t="n"/>
      <c r="AD468" s="23" t="n"/>
      <c r="AE468" s="23" t="n"/>
      <c r="AF468" s="23" t="n"/>
      <c r="AG468" s="23" t="n"/>
      <c r="AH468" s="23" t="n"/>
      <c r="AI468" s="23" t="n"/>
      <c r="AJ468" s="23" t="n"/>
      <c r="AK468" s="23" t="n"/>
      <c r="AL468" s="23" t="n"/>
      <c r="AM468" s="26">
        <f>IF(G468="","",G468&amp;"|"&amp;P468)</f>
        <v/>
      </c>
      <c r="AN468" s="27">
        <f>IF(I468="","",IFERROR(DATE(VALUE(RIGHT(I468,4)),VALUE(MID(I468,4,2)),VALUE(LEFT(I468,2))),""))</f>
        <v/>
      </c>
      <c r="AO468" s="27">
        <f>IF(Y468="","",IFERROR(DATE(VALUE(RIGHT(Y468,4)),VALUE(MID(Y468,4,2)),VALUE(LEFT(Y468,2))),""))</f>
        <v/>
      </c>
      <c r="AP468" s="27">
        <f>IF(AC468="","",IFERROR(DATE(VALUE(RIGHT(AC468,4)),VALUE(MID(AC468,4,2)),VALUE(LEFT(AC468,2))),""))</f>
        <v/>
      </c>
      <c r="AQ468" s="26">
        <f>IF(AI468="","",TRIM(LEFT(AI468,FIND(" ",AI468&amp;" ")-1)))</f>
        <v/>
      </c>
      <c r="AR468" s="27">
        <f>IF(AQ468="","",IFERROR(DATE(VALUE(MID(AQ468,FIND("/",AQ468,FIND("/",AQ468)+1)+1,4)),VALUE(LEFT(AQ468,FIND("/",AQ468)-1)),VALUE(MID(AQ468,FIND("/",AQ468)+1,FIND("/",AQ468,FIND("/",AQ468)+1)-FIND("/",AQ468)-1))),""))</f>
        <v/>
      </c>
      <c r="AS468" s="26">
        <f>IF(G468="","",IF(AND(AG468&lt;&gt;"",AG468&lt;&gt;"Bayi Aracı"),"Evet","Hayır"))</f>
        <v/>
      </c>
      <c r="AT468" s="26">
        <f>IF(G468="","",IF(AND(AS468="Evet",T468="Siparişiniz Teslim Edildi"),"Evet","Hayır"))</f>
        <v/>
      </c>
      <c r="AU468" s="26">
        <f>IF(G468="","",IF(AB468="Siparişinizin Montajı Yapıldı","Evet","Hayır"))</f>
        <v/>
      </c>
      <c r="AV468" s="27">
        <f>IF(G468="","",IF(AT468="Evet",AR468,IF(AU468="Evet",AP468,"")))</f>
        <v/>
      </c>
    </row>
    <row r="469">
      <c r="A469" s="23" t="n"/>
      <c r="B469" s="23" t="n"/>
      <c r="C469" s="23" t="n"/>
      <c r="D469" s="23" t="n"/>
      <c r="E469" s="23" t="n"/>
      <c r="F469" s="23" t="n"/>
      <c r="G469" s="23" t="n"/>
      <c r="H469" s="23" t="n"/>
      <c r="I469" s="23" t="n"/>
      <c r="J469" s="23" t="n"/>
      <c r="K469" s="23" t="n"/>
      <c r="L469" s="23" t="n"/>
      <c r="M469" s="23" t="n"/>
      <c r="N469" s="23" t="n"/>
      <c r="O469" s="23" t="n"/>
      <c r="P469" s="23" t="n"/>
      <c r="Q469" s="23" t="n"/>
      <c r="R469" s="23" t="n"/>
      <c r="S469" s="23" t="n"/>
      <c r="T469" s="23" t="n"/>
      <c r="U469" s="23" t="n"/>
      <c r="V469" s="23" t="n"/>
      <c r="W469" s="23" t="n"/>
      <c r="X469" s="23" t="n"/>
      <c r="Y469" s="23" t="n"/>
      <c r="Z469" s="23" t="n"/>
      <c r="AA469" s="23" t="n"/>
      <c r="AB469" s="23" t="n"/>
      <c r="AC469" s="23" t="n"/>
      <c r="AD469" s="23" t="n"/>
      <c r="AE469" s="23" t="n"/>
      <c r="AF469" s="23" t="n"/>
      <c r="AG469" s="23" t="n"/>
      <c r="AH469" s="23" t="n"/>
      <c r="AI469" s="23" t="n"/>
      <c r="AJ469" s="23" t="n"/>
      <c r="AK469" s="23" t="n"/>
      <c r="AL469" s="23" t="n"/>
      <c r="AM469" s="26">
        <f>IF(G469="","",G469&amp;"|"&amp;P469)</f>
        <v/>
      </c>
      <c r="AN469" s="27">
        <f>IF(I469="","",IFERROR(DATE(VALUE(RIGHT(I469,4)),VALUE(MID(I469,4,2)),VALUE(LEFT(I469,2))),""))</f>
        <v/>
      </c>
      <c r="AO469" s="27">
        <f>IF(Y469="","",IFERROR(DATE(VALUE(RIGHT(Y469,4)),VALUE(MID(Y469,4,2)),VALUE(LEFT(Y469,2))),""))</f>
        <v/>
      </c>
      <c r="AP469" s="27">
        <f>IF(AC469="","",IFERROR(DATE(VALUE(RIGHT(AC469,4)),VALUE(MID(AC469,4,2)),VALUE(LEFT(AC469,2))),""))</f>
        <v/>
      </c>
      <c r="AQ469" s="26">
        <f>IF(AI469="","",TRIM(LEFT(AI469,FIND(" ",AI469&amp;" ")-1)))</f>
        <v/>
      </c>
      <c r="AR469" s="27">
        <f>IF(AQ469="","",IFERROR(DATE(VALUE(MID(AQ469,FIND("/",AQ469,FIND("/",AQ469)+1)+1,4)),VALUE(LEFT(AQ469,FIND("/",AQ469)-1)),VALUE(MID(AQ469,FIND("/",AQ469)+1,FIND("/",AQ469,FIND("/",AQ469)+1)-FIND("/",AQ469)-1))),""))</f>
        <v/>
      </c>
      <c r="AS469" s="26">
        <f>IF(G469="","",IF(AND(AG469&lt;&gt;"",AG469&lt;&gt;"Bayi Aracı"),"Evet","Hayır"))</f>
        <v/>
      </c>
      <c r="AT469" s="26">
        <f>IF(G469="","",IF(AND(AS469="Evet",T469="Siparişiniz Teslim Edildi"),"Evet","Hayır"))</f>
        <v/>
      </c>
      <c r="AU469" s="26">
        <f>IF(G469="","",IF(AB469="Siparişinizin Montajı Yapıldı","Evet","Hayır"))</f>
        <v/>
      </c>
      <c r="AV469" s="27">
        <f>IF(G469="","",IF(AT469="Evet",AR469,IF(AU469="Evet",AP469,"")))</f>
        <v/>
      </c>
    </row>
    <row r="470">
      <c r="A470" s="23" t="n"/>
      <c r="B470" s="23" t="n"/>
      <c r="C470" s="23" t="n"/>
      <c r="D470" s="23" t="n"/>
      <c r="E470" s="23" t="n"/>
      <c r="F470" s="23" t="n"/>
      <c r="G470" s="23" t="n"/>
      <c r="H470" s="23" t="n"/>
      <c r="I470" s="23" t="n"/>
      <c r="J470" s="23" t="n"/>
      <c r="K470" s="23" t="n"/>
      <c r="L470" s="23" t="n"/>
      <c r="M470" s="23" t="n"/>
      <c r="N470" s="23" t="n"/>
      <c r="O470" s="23" t="n"/>
      <c r="P470" s="23" t="n"/>
      <c r="Q470" s="23" t="n"/>
      <c r="R470" s="23" t="n"/>
      <c r="S470" s="23" t="n"/>
      <c r="T470" s="23" t="n"/>
      <c r="U470" s="23" t="n"/>
      <c r="V470" s="23" t="n"/>
      <c r="W470" s="23" t="n"/>
      <c r="X470" s="23" t="n"/>
      <c r="Y470" s="23" t="n"/>
      <c r="Z470" s="23" t="n"/>
      <c r="AA470" s="23" t="n"/>
      <c r="AB470" s="23" t="n"/>
      <c r="AC470" s="23" t="n"/>
      <c r="AD470" s="23" t="n"/>
      <c r="AE470" s="23" t="n"/>
      <c r="AF470" s="23" t="n"/>
      <c r="AG470" s="23" t="n"/>
      <c r="AH470" s="23" t="n"/>
      <c r="AI470" s="23" t="n"/>
      <c r="AJ470" s="23" t="n"/>
      <c r="AK470" s="23" t="n"/>
      <c r="AL470" s="23" t="n"/>
      <c r="AM470" s="26">
        <f>IF(G470="","",G470&amp;"|"&amp;P470)</f>
        <v/>
      </c>
      <c r="AN470" s="27">
        <f>IF(I470="","",IFERROR(DATE(VALUE(RIGHT(I470,4)),VALUE(MID(I470,4,2)),VALUE(LEFT(I470,2))),""))</f>
        <v/>
      </c>
      <c r="AO470" s="27">
        <f>IF(Y470="","",IFERROR(DATE(VALUE(RIGHT(Y470,4)),VALUE(MID(Y470,4,2)),VALUE(LEFT(Y470,2))),""))</f>
        <v/>
      </c>
      <c r="AP470" s="27">
        <f>IF(AC470="","",IFERROR(DATE(VALUE(RIGHT(AC470,4)),VALUE(MID(AC470,4,2)),VALUE(LEFT(AC470,2))),""))</f>
        <v/>
      </c>
      <c r="AQ470" s="26">
        <f>IF(AI470="","",TRIM(LEFT(AI470,FIND(" ",AI470&amp;" ")-1)))</f>
        <v/>
      </c>
      <c r="AR470" s="27">
        <f>IF(AQ470="","",IFERROR(DATE(VALUE(MID(AQ470,FIND("/",AQ470,FIND("/",AQ470)+1)+1,4)),VALUE(LEFT(AQ470,FIND("/",AQ470)-1)),VALUE(MID(AQ470,FIND("/",AQ470)+1,FIND("/",AQ470,FIND("/",AQ470)+1)-FIND("/",AQ470)-1))),""))</f>
        <v/>
      </c>
      <c r="AS470" s="26">
        <f>IF(G470="","",IF(AND(AG470&lt;&gt;"",AG470&lt;&gt;"Bayi Aracı"),"Evet","Hayır"))</f>
        <v/>
      </c>
      <c r="AT470" s="26">
        <f>IF(G470="","",IF(AND(AS470="Evet",T470="Siparişiniz Teslim Edildi"),"Evet","Hayır"))</f>
        <v/>
      </c>
      <c r="AU470" s="26">
        <f>IF(G470="","",IF(AB470="Siparişinizin Montajı Yapıldı","Evet","Hayır"))</f>
        <v/>
      </c>
      <c r="AV470" s="27">
        <f>IF(G470="","",IF(AT470="Evet",AR470,IF(AU470="Evet",AP470,"")))</f>
        <v/>
      </c>
    </row>
    <row r="471">
      <c r="A471" s="23" t="n"/>
      <c r="B471" s="23" t="n"/>
      <c r="C471" s="23" t="n"/>
      <c r="D471" s="23" t="n"/>
      <c r="E471" s="23" t="n"/>
      <c r="F471" s="23" t="n"/>
      <c r="G471" s="23" t="n"/>
      <c r="H471" s="23" t="n"/>
      <c r="I471" s="23" t="n"/>
      <c r="J471" s="23" t="n"/>
      <c r="K471" s="23" t="n"/>
      <c r="L471" s="23" t="n"/>
      <c r="M471" s="23" t="n"/>
      <c r="N471" s="23" t="n"/>
      <c r="O471" s="23" t="n"/>
      <c r="P471" s="23" t="n"/>
      <c r="Q471" s="23" t="n"/>
      <c r="R471" s="23" t="n"/>
      <c r="S471" s="23" t="n"/>
      <c r="T471" s="23" t="n"/>
      <c r="U471" s="23" t="n"/>
      <c r="V471" s="23" t="n"/>
      <c r="W471" s="23" t="n"/>
      <c r="X471" s="23" t="n"/>
      <c r="Y471" s="23" t="n"/>
      <c r="Z471" s="23" t="n"/>
      <c r="AA471" s="23" t="n"/>
      <c r="AB471" s="23" t="n"/>
      <c r="AC471" s="23" t="n"/>
      <c r="AD471" s="23" t="n"/>
      <c r="AE471" s="23" t="n"/>
      <c r="AF471" s="23" t="n"/>
      <c r="AG471" s="23" t="n"/>
      <c r="AH471" s="23" t="n"/>
      <c r="AI471" s="23" t="n"/>
      <c r="AJ471" s="23" t="n"/>
      <c r="AK471" s="23" t="n"/>
      <c r="AL471" s="23" t="n"/>
      <c r="AM471" s="26">
        <f>IF(G471="","",G471&amp;"|"&amp;P471)</f>
        <v/>
      </c>
      <c r="AN471" s="27">
        <f>IF(I471="","",IFERROR(DATE(VALUE(RIGHT(I471,4)),VALUE(MID(I471,4,2)),VALUE(LEFT(I471,2))),""))</f>
        <v/>
      </c>
      <c r="AO471" s="27">
        <f>IF(Y471="","",IFERROR(DATE(VALUE(RIGHT(Y471,4)),VALUE(MID(Y471,4,2)),VALUE(LEFT(Y471,2))),""))</f>
        <v/>
      </c>
      <c r="AP471" s="27">
        <f>IF(AC471="","",IFERROR(DATE(VALUE(RIGHT(AC471,4)),VALUE(MID(AC471,4,2)),VALUE(LEFT(AC471,2))),""))</f>
        <v/>
      </c>
      <c r="AQ471" s="26">
        <f>IF(AI471="","",TRIM(LEFT(AI471,FIND(" ",AI471&amp;" ")-1)))</f>
        <v/>
      </c>
      <c r="AR471" s="27">
        <f>IF(AQ471="","",IFERROR(DATE(VALUE(MID(AQ471,FIND("/",AQ471,FIND("/",AQ471)+1)+1,4)),VALUE(LEFT(AQ471,FIND("/",AQ471)-1)),VALUE(MID(AQ471,FIND("/",AQ471)+1,FIND("/",AQ471,FIND("/",AQ471)+1)-FIND("/",AQ471)-1))),""))</f>
        <v/>
      </c>
      <c r="AS471" s="26">
        <f>IF(G471="","",IF(AND(AG471&lt;&gt;"",AG471&lt;&gt;"Bayi Aracı"),"Evet","Hayır"))</f>
        <v/>
      </c>
      <c r="AT471" s="26">
        <f>IF(G471="","",IF(AND(AS471="Evet",T471="Siparişiniz Teslim Edildi"),"Evet","Hayır"))</f>
        <v/>
      </c>
      <c r="AU471" s="26">
        <f>IF(G471="","",IF(AB471="Siparişinizin Montajı Yapıldı","Evet","Hayır"))</f>
        <v/>
      </c>
      <c r="AV471" s="27">
        <f>IF(G471="","",IF(AT471="Evet",AR471,IF(AU471="Evet",AP471,"")))</f>
        <v/>
      </c>
    </row>
    <row r="472">
      <c r="A472" s="23" t="n"/>
      <c r="B472" s="23" t="n"/>
      <c r="C472" s="23" t="n"/>
      <c r="D472" s="23" t="n"/>
      <c r="E472" s="23" t="n"/>
      <c r="F472" s="23" t="n"/>
      <c r="G472" s="23" t="n"/>
      <c r="H472" s="23" t="n"/>
      <c r="I472" s="23" t="n"/>
      <c r="J472" s="23" t="n"/>
      <c r="K472" s="23" t="n"/>
      <c r="L472" s="23" t="n"/>
      <c r="M472" s="23" t="n"/>
      <c r="N472" s="23" t="n"/>
      <c r="O472" s="23" t="n"/>
      <c r="P472" s="23" t="n"/>
      <c r="Q472" s="23" t="n"/>
      <c r="R472" s="23" t="n"/>
      <c r="S472" s="23" t="n"/>
      <c r="T472" s="23" t="n"/>
      <c r="U472" s="23" t="n"/>
      <c r="V472" s="23" t="n"/>
      <c r="W472" s="23" t="n"/>
      <c r="X472" s="23" t="n"/>
      <c r="Y472" s="23" t="n"/>
      <c r="Z472" s="23" t="n"/>
      <c r="AA472" s="23" t="n"/>
      <c r="AB472" s="23" t="n"/>
      <c r="AC472" s="23" t="n"/>
      <c r="AD472" s="23" t="n"/>
      <c r="AE472" s="23" t="n"/>
      <c r="AF472" s="23" t="n"/>
      <c r="AG472" s="23" t="n"/>
      <c r="AH472" s="23" t="n"/>
      <c r="AI472" s="23" t="n"/>
      <c r="AJ472" s="23" t="n"/>
      <c r="AK472" s="23" t="n"/>
      <c r="AL472" s="23" t="n"/>
      <c r="AM472" s="26">
        <f>IF(G472="","",G472&amp;"|"&amp;P472)</f>
        <v/>
      </c>
      <c r="AN472" s="27">
        <f>IF(I472="","",IFERROR(DATE(VALUE(RIGHT(I472,4)),VALUE(MID(I472,4,2)),VALUE(LEFT(I472,2))),""))</f>
        <v/>
      </c>
      <c r="AO472" s="27">
        <f>IF(Y472="","",IFERROR(DATE(VALUE(RIGHT(Y472,4)),VALUE(MID(Y472,4,2)),VALUE(LEFT(Y472,2))),""))</f>
        <v/>
      </c>
      <c r="AP472" s="27">
        <f>IF(AC472="","",IFERROR(DATE(VALUE(RIGHT(AC472,4)),VALUE(MID(AC472,4,2)),VALUE(LEFT(AC472,2))),""))</f>
        <v/>
      </c>
      <c r="AQ472" s="26">
        <f>IF(AI472="","",TRIM(LEFT(AI472,FIND(" ",AI472&amp;" ")-1)))</f>
        <v/>
      </c>
      <c r="AR472" s="27">
        <f>IF(AQ472="","",IFERROR(DATE(VALUE(MID(AQ472,FIND("/",AQ472,FIND("/",AQ472)+1)+1,4)),VALUE(LEFT(AQ472,FIND("/",AQ472)-1)),VALUE(MID(AQ472,FIND("/",AQ472)+1,FIND("/",AQ472,FIND("/",AQ472)+1)-FIND("/",AQ472)-1))),""))</f>
        <v/>
      </c>
      <c r="AS472" s="26">
        <f>IF(G472="","",IF(AND(AG472&lt;&gt;"",AG472&lt;&gt;"Bayi Aracı"),"Evet","Hayır"))</f>
        <v/>
      </c>
      <c r="AT472" s="26">
        <f>IF(G472="","",IF(AND(AS472="Evet",T472="Siparişiniz Teslim Edildi"),"Evet","Hayır"))</f>
        <v/>
      </c>
      <c r="AU472" s="26">
        <f>IF(G472="","",IF(AB472="Siparişinizin Montajı Yapıldı","Evet","Hayır"))</f>
        <v/>
      </c>
      <c r="AV472" s="27">
        <f>IF(G472="","",IF(AT472="Evet",AR472,IF(AU472="Evet",AP472,"")))</f>
        <v/>
      </c>
    </row>
    <row r="473">
      <c r="A473" s="23" t="n"/>
      <c r="B473" s="23" t="n"/>
      <c r="C473" s="23" t="n"/>
      <c r="D473" s="23" t="n"/>
      <c r="E473" s="23" t="n"/>
      <c r="F473" s="23" t="n"/>
      <c r="G473" s="23" t="n"/>
      <c r="H473" s="23" t="n"/>
      <c r="I473" s="23" t="n"/>
      <c r="J473" s="23" t="n"/>
      <c r="K473" s="23" t="n"/>
      <c r="L473" s="23" t="n"/>
      <c r="M473" s="23" t="n"/>
      <c r="N473" s="23" t="n"/>
      <c r="O473" s="23" t="n"/>
      <c r="P473" s="23" t="n"/>
      <c r="Q473" s="23" t="n"/>
      <c r="R473" s="23" t="n"/>
      <c r="S473" s="23" t="n"/>
      <c r="T473" s="23" t="n"/>
      <c r="U473" s="23" t="n"/>
      <c r="V473" s="23" t="n"/>
      <c r="W473" s="23" t="n"/>
      <c r="X473" s="23" t="n"/>
      <c r="Y473" s="23" t="n"/>
      <c r="Z473" s="23" t="n"/>
      <c r="AA473" s="23" t="n"/>
      <c r="AB473" s="23" t="n"/>
      <c r="AC473" s="23" t="n"/>
      <c r="AD473" s="23" t="n"/>
      <c r="AE473" s="23" t="n"/>
      <c r="AF473" s="23" t="n"/>
      <c r="AG473" s="23" t="n"/>
      <c r="AH473" s="23" t="n"/>
      <c r="AI473" s="23" t="n"/>
      <c r="AJ473" s="23" t="n"/>
      <c r="AK473" s="23" t="n"/>
      <c r="AL473" s="23" t="n"/>
      <c r="AM473" s="26">
        <f>IF(G473="","",G473&amp;"|"&amp;P473)</f>
        <v/>
      </c>
      <c r="AN473" s="27">
        <f>IF(I473="","",IFERROR(DATE(VALUE(RIGHT(I473,4)),VALUE(MID(I473,4,2)),VALUE(LEFT(I473,2))),""))</f>
        <v/>
      </c>
      <c r="AO473" s="27">
        <f>IF(Y473="","",IFERROR(DATE(VALUE(RIGHT(Y473,4)),VALUE(MID(Y473,4,2)),VALUE(LEFT(Y473,2))),""))</f>
        <v/>
      </c>
      <c r="AP473" s="27">
        <f>IF(AC473="","",IFERROR(DATE(VALUE(RIGHT(AC473,4)),VALUE(MID(AC473,4,2)),VALUE(LEFT(AC473,2))),""))</f>
        <v/>
      </c>
      <c r="AQ473" s="26">
        <f>IF(AI473="","",TRIM(LEFT(AI473,FIND(" ",AI473&amp;" ")-1)))</f>
        <v/>
      </c>
      <c r="AR473" s="27">
        <f>IF(AQ473="","",IFERROR(DATE(VALUE(MID(AQ473,FIND("/",AQ473,FIND("/",AQ473)+1)+1,4)),VALUE(LEFT(AQ473,FIND("/",AQ473)-1)),VALUE(MID(AQ473,FIND("/",AQ473)+1,FIND("/",AQ473,FIND("/",AQ473)+1)-FIND("/",AQ473)-1))),""))</f>
        <v/>
      </c>
      <c r="AS473" s="26">
        <f>IF(G473="","",IF(AND(AG473&lt;&gt;"",AG473&lt;&gt;"Bayi Aracı"),"Evet","Hayır"))</f>
        <v/>
      </c>
      <c r="AT473" s="26">
        <f>IF(G473="","",IF(AND(AS473="Evet",T473="Siparişiniz Teslim Edildi"),"Evet","Hayır"))</f>
        <v/>
      </c>
      <c r="AU473" s="26">
        <f>IF(G473="","",IF(AB473="Siparişinizin Montajı Yapıldı","Evet","Hayır"))</f>
        <v/>
      </c>
      <c r="AV473" s="27">
        <f>IF(G473="","",IF(AT473="Evet",AR473,IF(AU473="Evet",AP473,"")))</f>
        <v/>
      </c>
    </row>
    <row r="474">
      <c r="A474" s="23" t="n"/>
      <c r="B474" s="23" t="n"/>
      <c r="C474" s="23" t="n"/>
      <c r="D474" s="23" t="n"/>
      <c r="E474" s="23" t="n"/>
      <c r="F474" s="23" t="n"/>
      <c r="G474" s="23" t="n"/>
      <c r="H474" s="23" t="n"/>
      <c r="I474" s="23" t="n"/>
      <c r="J474" s="23" t="n"/>
      <c r="K474" s="23" t="n"/>
      <c r="L474" s="23" t="n"/>
      <c r="M474" s="23" t="n"/>
      <c r="N474" s="23" t="n"/>
      <c r="O474" s="23" t="n"/>
      <c r="P474" s="23" t="n"/>
      <c r="Q474" s="23" t="n"/>
      <c r="R474" s="23" t="n"/>
      <c r="S474" s="23" t="n"/>
      <c r="T474" s="23" t="n"/>
      <c r="U474" s="23" t="n"/>
      <c r="V474" s="23" t="n"/>
      <c r="W474" s="23" t="n"/>
      <c r="X474" s="23" t="n"/>
      <c r="Y474" s="23" t="n"/>
      <c r="Z474" s="23" t="n"/>
      <c r="AA474" s="23" t="n"/>
      <c r="AB474" s="23" t="n"/>
      <c r="AC474" s="23" t="n"/>
      <c r="AD474" s="23" t="n"/>
      <c r="AE474" s="23" t="n"/>
      <c r="AF474" s="23" t="n"/>
      <c r="AG474" s="23" t="n"/>
      <c r="AH474" s="23" t="n"/>
      <c r="AI474" s="23" t="n"/>
      <c r="AJ474" s="23" t="n"/>
      <c r="AK474" s="23" t="n"/>
      <c r="AL474" s="23" t="n"/>
      <c r="AM474" s="26">
        <f>IF(G474="","",G474&amp;"|"&amp;P474)</f>
        <v/>
      </c>
      <c r="AN474" s="27">
        <f>IF(I474="","",IFERROR(DATE(VALUE(RIGHT(I474,4)),VALUE(MID(I474,4,2)),VALUE(LEFT(I474,2))),""))</f>
        <v/>
      </c>
      <c r="AO474" s="27">
        <f>IF(Y474="","",IFERROR(DATE(VALUE(RIGHT(Y474,4)),VALUE(MID(Y474,4,2)),VALUE(LEFT(Y474,2))),""))</f>
        <v/>
      </c>
      <c r="AP474" s="27">
        <f>IF(AC474="","",IFERROR(DATE(VALUE(RIGHT(AC474,4)),VALUE(MID(AC474,4,2)),VALUE(LEFT(AC474,2))),""))</f>
        <v/>
      </c>
      <c r="AQ474" s="26">
        <f>IF(AI474="","",TRIM(LEFT(AI474,FIND(" ",AI474&amp;" ")-1)))</f>
        <v/>
      </c>
      <c r="AR474" s="27">
        <f>IF(AQ474="","",IFERROR(DATE(VALUE(MID(AQ474,FIND("/",AQ474,FIND("/",AQ474)+1)+1,4)),VALUE(LEFT(AQ474,FIND("/",AQ474)-1)),VALUE(MID(AQ474,FIND("/",AQ474)+1,FIND("/",AQ474,FIND("/",AQ474)+1)-FIND("/",AQ474)-1))),""))</f>
        <v/>
      </c>
      <c r="AS474" s="26">
        <f>IF(G474="","",IF(AND(AG474&lt;&gt;"",AG474&lt;&gt;"Bayi Aracı"),"Evet","Hayır"))</f>
        <v/>
      </c>
      <c r="AT474" s="26">
        <f>IF(G474="","",IF(AND(AS474="Evet",T474="Siparişiniz Teslim Edildi"),"Evet","Hayır"))</f>
        <v/>
      </c>
      <c r="AU474" s="26">
        <f>IF(G474="","",IF(AB474="Siparişinizin Montajı Yapıldı","Evet","Hayır"))</f>
        <v/>
      </c>
      <c r="AV474" s="27">
        <f>IF(G474="","",IF(AT474="Evet",AR474,IF(AU474="Evet",AP474,"")))</f>
        <v/>
      </c>
    </row>
    <row r="475">
      <c r="A475" s="23" t="n"/>
      <c r="B475" s="23" t="n"/>
      <c r="C475" s="23" t="n"/>
      <c r="D475" s="23" t="n"/>
      <c r="E475" s="23" t="n"/>
      <c r="F475" s="23" t="n"/>
      <c r="G475" s="23" t="n"/>
      <c r="H475" s="23" t="n"/>
      <c r="I475" s="23" t="n"/>
      <c r="J475" s="23" t="n"/>
      <c r="K475" s="23" t="n"/>
      <c r="L475" s="23" t="n"/>
      <c r="M475" s="23" t="n"/>
      <c r="N475" s="23" t="n"/>
      <c r="O475" s="23" t="n"/>
      <c r="P475" s="23" t="n"/>
      <c r="Q475" s="23" t="n"/>
      <c r="R475" s="23" t="n"/>
      <c r="S475" s="23" t="n"/>
      <c r="T475" s="23" t="n"/>
      <c r="U475" s="23" t="n"/>
      <c r="V475" s="23" t="n"/>
      <c r="W475" s="23" t="n"/>
      <c r="X475" s="23" t="n"/>
      <c r="Y475" s="23" t="n"/>
      <c r="Z475" s="23" t="n"/>
      <c r="AA475" s="23" t="n"/>
      <c r="AB475" s="23" t="n"/>
      <c r="AC475" s="23" t="n"/>
      <c r="AD475" s="23" t="n"/>
      <c r="AE475" s="23" t="n"/>
      <c r="AF475" s="23" t="n"/>
      <c r="AG475" s="23" t="n"/>
      <c r="AH475" s="23" t="n"/>
      <c r="AI475" s="23" t="n"/>
      <c r="AJ475" s="23" t="n"/>
      <c r="AK475" s="23" t="n"/>
      <c r="AL475" s="23" t="n"/>
      <c r="AM475" s="26">
        <f>IF(G475="","",G475&amp;"|"&amp;P475)</f>
        <v/>
      </c>
      <c r="AN475" s="27">
        <f>IF(I475="","",IFERROR(DATE(VALUE(RIGHT(I475,4)),VALUE(MID(I475,4,2)),VALUE(LEFT(I475,2))),""))</f>
        <v/>
      </c>
      <c r="AO475" s="27">
        <f>IF(Y475="","",IFERROR(DATE(VALUE(RIGHT(Y475,4)),VALUE(MID(Y475,4,2)),VALUE(LEFT(Y475,2))),""))</f>
        <v/>
      </c>
      <c r="AP475" s="27">
        <f>IF(AC475="","",IFERROR(DATE(VALUE(RIGHT(AC475,4)),VALUE(MID(AC475,4,2)),VALUE(LEFT(AC475,2))),""))</f>
        <v/>
      </c>
      <c r="AQ475" s="26">
        <f>IF(AI475="","",TRIM(LEFT(AI475,FIND(" ",AI475&amp;" ")-1)))</f>
        <v/>
      </c>
      <c r="AR475" s="27">
        <f>IF(AQ475="","",IFERROR(DATE(VALUE(MID(AQ475,FIND("/",AQ475,FIND("/",AQ475)+1)+1,4)),VALUE(LEFT(AQ475,FIND("/",AQ475)-1)),VALUE(MID(AQ475,FIND("/",AQ475)+1,FIND("/",AQ475,FIND("/",AQ475)+1)-FIND("/",AQ475)-1))),""))</f>
        <v/>
      </c>
      <c r="AS475" s="26">
        <f>IF(G475="","",IF(AND(AG475&lt;&gt;"",AG475&lt;&gt;"Bayi Aracı"),"Evet","Hayır"))</f>
        <v/>
      </c>
      <c r="AT475" s="26">
        <f>IF(G475="","",IF(AND(AS475="Evet",T475="Siparişiniz Teslim Edildi"),"Evet","Hayır"))</f>
        <v/>
      </c>
      <c r="AU475" s="26">
        <f>IF(G475="","",IF(AB475="Siparişinizin Montajı Yapıldı","Evet","Hayır"))</f>
        <v/>
      </c>
      <c r="AV475" s="27">
        <f>IF(G475="","",IF(AT475="Evet",AR475,IF(AU475="Evet",AP475,"")))</f>
        <v/>
      </c>
    </row>
    <row r="476">
      <c r="A476" s="23" t="n"/>
      <c r="B476" s="23" t="n"/>
      <c r="C476" s="23" t="n"/>
      <c r="D476" s="23" t="n"/>
      <c r="E476" s="23" t="n"/>
      <c r="F476" s="23" t="n"/>
      <c r="G476" s="23" t="n"/>
      <c r="H476" s="23" t="n"/>
      <c r="I476" s="23" t="n"/>
      <c r="J476" s="23" t="n"/>
      <c r="K476" s="23" t="n"/>
      <c r="L476" s="23" t="n"/>
      <c r="M476" s="23" t="n"/>
      <c r="N476" s="23" t="n"/>
      <c r="O476" s="23" t="n"/>
      <c r="P476" s="23" t="n"/>
      <c r="Q476" s="23" t="n"/>
      <c r="R476" s="23" t="n"/>
      <c r="S476" s="23" t="n"/>
      <c r="T476" s="23" t="n"/>
      <c r="U476" s="23" t="n"/>
      <c r="V476" s="23" t="n"/>
      <c r="W476" s="23" t="n"/>
      <c r="X476" s="23" t="n"/>
      <c r="Y476" s="23" t="n"/>
      <c r="Z476" s="23" t="n"/>
      <c r="AA476" s="23" t="n"/>
      <c r="AB476" s="23" t="n"/>
      <c r="AC476" s="23" t="n"/>
      <c r="AD476" s="23" t="n"/>
      <c r="AE476" s="23" t="n"/>
      <c r="AF476" s="23" t="n"/>
      <c r="AG476" s="23" t="n"/>
      <c r="AH476" s="23" t="n"/>
      <c r="AI476" s="23" t="n"/>
      <c r="AJ476" s="23" t="n"/>
      <c r="AK476" s="23" t="n"/>
      <c r="AL476" s="23" t="n"/>
      <c r="AM476" s="26">
        <f>IF(G476="","",G476&amp;"|"&amp;P476)</f>
        <v/>
      </c>
      <c r="AN476" s="27">
        <f>IF(I476="","",IFERROR(DATE(VALUE(RIGHT(I476,4)),VALUE(MID(I476,4,2)),VALUE(LEFT(I476,2))),""))</f>
        <v/>
      </c>
      <c r="AO476" s="27">
        <f>IF(Y476="","",IFERROR(DATE(VALUE(RIGHT(Y476,4)),VALUE(MID(Y476,4,2)),VALUE(LEFT(Y476,2))),""))</f>
        <v/>
      </c>
      <c r="AP476" s="27">
        <f>IF(AC476="","",IFERROR(DATE(VALUE(RIGHT(AC476,4)),VALUE(MID(AC476,4,2)),VALUE(LEFT(AC476,2))),""))</f>
        <v/>
      </c>
      <c r="AQ476" s="26">
        <f>IF(AI476="","",TRIM(LEFT(AI476,FIND(" ",AI476&amp;" ")-1)))</f>
        <v/>
      </c>
      <c r="AR476" s="27">
        <f>IF(AQ476="","",IFERROR(DATE(VALUE(MID(AQ476,FIND("/",AQ476,FIND("/",AQ476)+1)+1,4)),VALUE(LEFT(AQ476,FIND("/",AQ476)-1)),VALUE(MID(AQ476,FIND("/",AQ476)+1,FIND("/",AQ476,FIND("/",AQ476)+1)-FIND("/",AQ476)-1))),""))</f>
        <v/>
      </c>
      <c r="AS476" s="26">
        <f>IF(G476="","",IF(AND(AG476&lt;&gt;"",AG476&lt;&gt;"Bayi Aracı"),"Evet","Hayır"))</f>
        <v/>
      </c>
      <c r="AT476" s="26">
        <f>IF(G476="","",IF(AND(AS476="Evet",T476="Siparişiniz Teslim Edildi"),"Evet","Hayır"))</f>
        <v/>
      </c>
      <c r="AU476" s="26">
        <f>IF(G476="","",IF(AB476="Siparişinizin Montajı Yapıldı","Evet","Hayır"))</f>
        <v/>
      </c>
      <c r="AV476" s="27">
        <f>IF(G476="","",IF(AT476="Evet",AR476,IF(AU476="Evet",AP476,"")))</f>
        <v/>
      </c>
    </row>
    <row r="477">
      <c r="A477" s="23" t="n"/>
      <c r="B477" s="23" t="n"/>
      <c r="C477" s="23" t="n"/>
      <c r="D477" s="23" t="n"/>
      <c r="E477" s="23" t="n"/>
      <c r="F477" s="23" t="n"/>
      <c r="G477" s="23" t="n"/>
      <c r="H477" s="23" t="n"/>
      <c r="I477" s="23" t="n"/>
      <c r="J477" s="23" t="n"/>
      <c r="K477" s="23" t="n"/>
      <c r="L477" s="23" t="n"/>
      <c r="M477" s="23" t="n"/>
      <c r="N477" s="23" t="n"/>
      <c r="O477" s="23" t="n"/>
      <c r="P477" s="23" t="n"/>
      <c r="Q477" s="23" t="n"/>
      <c r="R477" s="23" t="n"/>
      <c r="S477" s="23" t="n"/>
      <c r="T477" s="23" t="n"/>
      <c r="U477" s="23" t="n"/>
      <c r="V477" s="23" t="n"/>
      <c r="W477" s="23" t="n"/>
      <c r="X477" s="23" t="n"/>
      <c r="Y477" s="23" t="n"/>
      <c r="Z477" s="23" t="n"/>
      <c r="AA477" s="23" t="n"/>
      <c r="AB477" s="23" t="n"/>
      <c r="AC477" s="23" t="n"/>
      <c r="AD477" s="23" t="n"/>
      <c r="AE477" s="23" t="n"/>
      <c r="AF477" s="23" t="n"/>
      <c r="AG477" s="23" t="n"/>
      <c r="AH477" s="23" t="n"/>
      <c r="AI477" s="23" t="n"/>
      <c r="AJ477" s="23" t="n"/>
      <c r="AK477" s="23" t="n"/>
      <c r="AL477" s="23" t="n"/>
      <c r="AM477" s="26">
        <f>IF(G477="","",G477&amp;"|"&amp;P477)</f>
        <v/>
      </c>
      <c r="AN477" s="27">
        <f>IF(I477="","",IFERROR(DATE(VALUE(RIGHT(I477,4)),VALUE(MID(I477,4,2)),VALUE(LEFT(I477,2))),""))</f>
        <v/>
      </c>
      <c r="AO477" s="27">
        <f>IF(Y477="","",IFERROR(DATE(VALUE(RIGHT(Y477,4)),VALUE(MID(Y477,4,2)),VALUE(LEFT(Y477,2))),""))</f>
        <v/>
      </c>
      <c r="AP477" s="27">
        <f>IF(AC477="","",IFERROR(DATE(VALUE(RIGHT(AC477,4)),VALUE(MID(AC477,4,2)),VALUE(LEFT(AC477,2))),""))</f>
        <v/>
      </c>
      <c r="AQ477" s="26">
        <f>IF(AI477="","",TRIM(LEFT(AI477,FIND(" ",AI477&amp;" ")-1)))</f>
        <v/>
      </c>
      <c r="AR477" s="27">
        <f>IF(AQ477="","",IFERROR(DATE(VALUE(MID(AQ477,FIND("/",AQ477,FIND("/",AQ477)+1)+1,4)),VALUE(LEFT(AQ477,FIND("/",AQ477)-1)),VALUE(MID(AQ477,FIND("/",AQ477)+1,FIND("/",AQ477,FIND("/",AQ477)+1)-FIND("/",AQ477)-1))),""))</f>
        <v/>
      </c>
      <c r="AS477" s="26">
        <f>IF(G477="","",IF(AND(AG477&lt;&gt;"",AG477&lt;&gt;"Bayi Aracı"),"Evet","Hayır"))</f>
        <v/>
      </c>
      <c r="AT477" s="26">
        <f>IF(G477="","",IF(AND(AS477="Evet",T477="Siparişiniz Teslim Edildi"),"Evet","Hayır"))</f>
        <v/>
      </c>
      <c r="AU477" s="26">
        <f>IF(G477="","",IF(AB477="Siparişinizin Montajı Yapıldı","Evet","Hayır"))</f>
        <v/>
      </c>
      <c r="AV477" s="27">
        <f>IF(G477="","",IF(AT477="Evet",AR477,IF(AU477="Evet",AP477,"")))</f>
        <v/>
      </c>
    </row>
    <row r="478">
      <c r="A478" s="23" t="n"/>
      <c r="B478" s="23" t="n"/>
      <c r="C478" s="23" t="n"/>
      <c r="D478" s="23" t="n"/>
      <c r="E478" s="23" t="n"/>
      <c r="F478" s="23" t="n"/>
      <c r="G478" s="23" t="n"/>
      <c r="H478" s="23" t="n"/>
      <c r="I478" s="23" t="n"/>
      <c r="J478" s="23" t="n"/>
      <c r="K478" s="23" t="n"/>
      <c r="L478" s="23" t="n"/>
      <c r="M478" s="23" t="n"/>
      <c r="N478" s="23" t="n"/>
      <c r="O478" s="23" t="n"/>
      <c r="P478" s="23" t="n"/>
      <c r="Q478" s="23" t="n"/>
      <c r="R478" s="23" t="n"/>
      <c r="S478" s="23" t="n"/>
      <c r="T478" s="23" t="n"/>
      <c r="U478" s="23" t="n"/>
      <c r="V478" s="23" t="n"/>
      <c r="W478" s="23" t="n"/>
      <c r="X478" s="23" t="n"/>
      <c r="Y478" s="23" t="n"/>
      <c r="Z478" s="23" t="n"/>
      <c r="AA478" s="23" t="n"/>
      <c r="AB478" s="23" t="n"/>
      <c r="AC478" s="23" t="n"/>
      <c r="AD478" s="23" t="n"/>
      <c r="AE478" s="23" t="n"/>
      <c r="AF478" s="23" t="n"/>
      <c r="AG478" s="23" t="n"/>
      <c r="AH478" s="23" t="n"/>
      <c r="AI478" s="23" t="n"/>
      <c r="AJ478" s="23" t="n"/>
      <c r="AK478" s="23" t="n"/>
      <c r="AL478" s="23" t="n"/>
      <c r="AM478" s="26">
        <f>IF(G478="","",G478&amp;"|"&amp;P478)</f>
        <v/>
      </c>
      <c r="AN478" s="27">
        <f>IF(I478="","",IFERROR(DATE(VALUE(RIGHT(I478,4)),VALUE(MID(I478,4,2)),VALUE(LEFT(I478,2))),""))</f>
        <v/>
      </c>
      <c r="AO478" s="27">
        <f>IF(Y478="","",IFERROR(DATE(VALUE(RIGHT(Y478,4)),VALUE(MID(Y478,4,2)),VALUE(LEFT(Y478,2))),""))</f>
        <v/>
      </c>
      <c r="AP478" s="27">
        <f>IF(AC478="","",IFERROR(DATE(VALUE(RIGHT(AC478,4)),VALUE(MID(AC478,4,2)),VALUE(LEFT(AC478,2))),""))</f>
        <v/>
      </c>
      <c r="AQ478" s="26">
        <f>IF(AI478="","",TRIM(LEFT(AI478,FIND(" ",AI478&amp;" ")-1)))</f>
        <v/>
      </c>
      <c r="AR478" s="27">
        <f>IF(AQ478="","",IFERROR(DATE(VALUE(MID(AQ478,FIND("/",AQ478,FIND("/",AQ478)+1)+1,4)),VALUE(LEFT(AQ478,FIND("/",AQ478)-1)),VALUE(MID(AQ478,FIND("/",AQ478)+1,FIND("/",AQ478,FIND("/",AQ478)+1)-FIND("/",AQ478)-1))),""))</f>
        <v/>
      </c>
      <c r="AS478" s="26">
        <f>IF(G478="","",IF(AND(AG478&lt;&gt;"",AG478&lt;&gt;"Bayi Aracı"),"Evet","Hayır"))</f>
        <v/>
      </c>
      <c r="AT478" s="26">
        <f>IF(G478="","",IF(AND(AS478="Evet",T478="Siparişiniz Teslim Edildi"),"Evet","Hayır"))</f>
        <v/>
      </c>
      <c r="AU478" s="26">
        <f>IF(G478="","",IF(AB478="Siparişinizin Montajı Yapıldı","Evet","Hayır"))</f>
        <v/>
      </c>
      <c r="AV478" s="27">
        <f>IF(G478="","",IF(AT478="Evet",AR478,IF(AU478="Evet",AP478,"")))</f>
        <v/>
      </c>
    </row>
    <row r="479">
      <c r="A479" s="23" t="n"/>
      <c r="B479" s="23" t="n"/>
      <c r="C479" s="23" t="n"/>
      <c r="D479" s="23" t="n"/>
      <c r="E479" s="23" t="n"/>
      <c r="F479" s="23" t="n"/>
      <c r="G479" s="23" t="n"/>
      <c r="H479" s="23" t="n"/>
      <c r="I479" s="23" t="n"/>
      <c r="J479" s="23" t="n"/>
      <c r="K479" s="23" t="n"/>
      <c r="L479" s="23" t="n"/>
      <c r="M479" s="23" t="n"/>
      <c r="N479" s="23" t="n"/>
      <c r="O479" s="23" t="n"/>
      <c r="P479" s="23" t="n"/>
      <c r="Q479" s="23" t="n"/>
      <c r="R479" s="23" t="n"/>
      <c r="S479" s="23" t="n"/>
      <c r="T479" s="23" t="n"/>
      <c r="U479" s="23" t="n"/>
      <c r="V479" s="23" t="n"/>
      <c r="W479" s="23" t="n"/>
      <c r="X479" s="23" t="n"/>
      <c r="Y479" s="23" t="n"/>
      <c r="Z479" s="23" t="n"/>
      <c r="AA479" s="23" t="n"/>
      <c r="AB479" s="23" t="n"/>
      <c r="AC479" s="23" t="n"/>
      <c r="AD479" s="23" t="n"/>
      <c r="AE479" s="23" t="n"/>
      <c r="AF479" s="23" t="n"/>
      <c r="AG479" s="23" t="n"/>
      <c r="AH479" s="23" t="n"/>
      <c r="AI479" s="23" t="n"/>
      <c r="AJ479" s="23" t="n"/>
      <c r="AK479" s="23" t="n"/>
      <c r="AL479" s="23" t="n"/>
      <c r="AM479" s="26">
        <f>IF(G479="","",G479&amp;"|"&amp;P479)</f>
        <v/>
      </c>
      <c r="AN479" s="27">
        <f>IF(I479="","",IFERROR(DATE(VALUE(RIGHT(I479,4)),VALUE(MID(I479,4,2)),VALUE(LEFT(I479,2))),""))</f>
        <v/>
      </c>
      <c r="AO479" s="27">
        <f>IF(Y479="","",IFERROR(DATE(VALUE(RIGHT(Y479,4)),VALUE(MID(Y479,4,2)),VALUE(LEFT(Y479,2))),""))</f>
        <v/>
      </c>
      <c r="AP479" s="27">
        <f>IF(AC479="","",IFERROR(DATE(VALUE(RIGHT(AC479,4)),VALUE(MID(AC479,4,2)),VALUE(LEFT(AC479,2))),""))</f>
        <v/>
      </c>
      <c r="AQ479" s="26">
        <f>IF(AI479="","",TRIM(LEFT(AI479,FIND(" ",AI479&amp;" ")-1)))</f>
        <v/>
      </c>
      <c r="AR479" s="27">
        <f>IF(AQ479="","",IFERROR(DATE(VALUE(MID(AQ479,FIND("/",AQ479,FIND("/",AQ479)+1)+1,4)),VALUE(LEFT(AQ479,FIND("/",AQ479)-1)),VALUE(MID(AQ479,FIND("/",AQ479)+1,FIND("/",AQ479,FIND("/",AQ479)+1)-FIND("/",AQ479)-1))),""))</f>
        <v/>
      </c>
      <c r="AS479" s="26">
        <f>IF(G479="","",IF(AND(AG479&lt;&gt;"",AG479&lt;&gt;"Bayi Aracı"),"Evet","Hayır"))</f>
        <v/>
      </c>
      <c r="AT479" s="26">
        <f>IF(G479="","",IF(AND(AS479="Evet",T479="Siparişiniz Teslim Edildi"),"Evet","Hayır"))</f>
        <v/>
      </c>
      <c r="AU479" s="26">
        <f>IF(G479="","",IF(AB479="Siparişinizin Montajı Yapıldı","Evet","Hayır"))</f>
        <v/>
      </c>
      <c r="AV479" s="27">
        <f>IF(G479="","",IF(AT479="Evet",AR479,IF(AU479="Evet",AP479,"")))</f>
        <v/>
      </c>
    </row>
    <row r="480">
      <c r="A480" s="23" t="n"/>
      <c r="B480" s="23" t="n"/>
      <c r="C480" s="23" t="n"/>
      <c r="D480" s="23" t="n"/>
      <c r="E480" s="23" t="n"/>
      <c r="F480" s="23" t="n"/>
      <c r="G480" s="23" t="n"/>
      <c r="H480" s="23" t="n"/>
      <c r="I480" s="23" t="n"/>
      <c r="J480" s="23" t="n"/>
      <c r="K480" s="23" t="n"/>
      <c r="L480" s="23" t="n"/>
      <c r="M480" s="23" t="n"/>
      <c r="N480" s="23" t="n"/>
      <c r="O480" s="23" t="n"/>
      <c r="P480" s="23" t="n"/>
      <c r="Q480" s="23" t="n"/>
      <c r="R480" s="23" t="n"/>
      <c r="S480" s="23" t="n"/>
      <c r="T480" s="23" t="n"/>
      <c r="U480" s="23" t="n"/>
      <c r="V480" s="23" t="n"/>
      <c r="W480" s="23" t="n"/>
      <c r="X480" s="23" t="n"/>
      <c r="Y480" s="23" t="n"/>
      <c r="Z480" s="23" t="n"/>
      <c r="AA480" s="23" t="n"/>
      <c r="AB480" s="23" t="n"/>
      <c r="AC480" s="23" t="n"/>
      <c r="AD480" s="23" t="n"/>
      <c r="AE480" s="23" t="n"/>
      <c r="AF480" s="23" t="n"/>
      <c r="AG480" s="23" t="n"/>
      <c r="AH480" s="23" t="n"/>
      <c r="AI480" s="23" t="n"/>
      <c r="AJ480" s="23" t="n"/>
      <c r="AK480" s="23" t="n"/>
      <c r="AL480" s="23" t="n"/>
      <c r="AM480" s="26">
        <f>IF(G480="","",G480&amp;"|"&amp;P480)</f>
        <v/>
      </c>
      <c r="AN480" s="27">
        <f>IF(I480="","",IFERROR(DATE(VALUE(RIGHT(I480,4)),VALUE(MID(I480,4,2)),VALUE(LEFT(I480,2))),""))</f>
        <v/>
      </c>
      <c r="AO480" s="27">
        <f>IF(Y480="","",IFERROR(DATE(VALUE(RIGHT(Y480,4)),VALUE(MID(Y480,4,2)),VALUE(LEFT(Y480,2))),""))</f>
        <v/>
      </c>
      <c r="AP480" s="27">
        <f>IF(AC480="","",IFERROR(DATE(VALUE(RIGHT(AC480,4)),VALUE(MID(AC480,4,2)),VALUE(LEFT(AC480,2))),""))</f>
        <v/>
      </c>
      <c r="AQ480" s="26">
        <f>IF(AI480="","",TRIM(LEFT(AI480,FIND(" ",AI480&amp;" ")-1)))</f>
        <v/>
      </c>
      <c r="AR480" s="27">
        <f>IF(AQ480="","",IFERROR(DATE(VALUE(MID(AQ480,FIND("/",AQ480,FIND("/",AQ480)+1)+1,4)),VALUE(LEFT(AQ480,FIND("/",AQ480)-1)),VALUE(MID(AQ480,FIND("/",AQ480)+1,FIND("/",AQ480,FIND("/",AQ480)+1)-FIND("/",AQ480)-1))),""))</f>
        <v/>
      </c>
      <c r="AS480" s="26">
        <f>IF(G480="","",IF(AND(AG480&lt;&gt;"",AG480&lt;&gt;"Bayi Aracı"),"Evet","Hayır"))</f>
        <v/>
      </c>
      <c r="AT480" s="26">
        <f>IF(G480="","",IF(AND(AS480="Evet",T480="Siparişiniz Teslim Edildi"),"Evet","Hayır"))</f>
        <v/>
      </c>
      <c r="AU480" s="26">
        <f>IF(G480="","",IF(AB480="Siparişinizin Montajı Yapıldı","Evet","Hayır"))</f>
        <v/>
      </c>
      <c r="AV480" s="27">
        <f>IF(G480="","",IF(AT480="Evet",AR480,IF(AU480="Evet",AP480,"")))</f>
        <v/>
      </c>
    </row>
    <row r="481">
      <c r="A481" s="23" t="n"/>
      <c r="B481" s="23" t="n"/>
      <c r="C481" s="23" t="n"/>
      <c r="D481" s="23" t="n"/>
      <c r="E481" s="23" t="n"/>
      <c r="F481" s="23" t="n"/>
      <c r="G481" s="23" t="n"/>
      <c r="H481" s="23" t="n"/>
      <c r="I481" s="23" t="n"/>
      <c r="J481" s="23" t="n"/>
      <c r="K481" s="23" t="n"/>
      <c r="L481" s="23" t="n"/>
      <c r="M481" s="23" t="n"/>
      <c r="N481" s="23" t="n"/>
      <c r="O481" s="23" t="n"/>
      <c r="P481" s="23" t="n"/>
      <c r="Q481" s="23" t="n"/>
      <c r="R481" s="23" t="n"/>
      <c r="S481" s="23" t="n"/>
      <c r="T481" s="23" t="n"/>
      <c r="U481" s="23" t="n"/>
      <c r="V481" s="23" t="n"/>
      <c r="W481" s="23" t="n"/>
      <c r="X481" s="23" t="n"/>
      <c r="Y481" s="23" t="n"/>
      <c r="Z481" s="23" t="n"/>
      <c r="AA481" s="23" t="n"/>
      <c r="AB481" s="23" t="n"/>
      <c r="AC481" s="23" t="n"/>
      <c r="AD481" s="23" t="n"/>
      <c r="AE481" s="23" t="n"/>
      <c r="AF481" s="23" t="n"/>
      <c r="AG481" s="23" t="n"/>
      <c r="AH481" s="23" t="n"/>
      <c r="AI481" s="23" t="n"/>
      <c r="AJ481" s="23" t="n"/>
      <c r="AK481" s="23" t="n"/>
      <c r="AL481" s="23" t="n"/>
      <c r="AM481" s="26">
        <f>IF(G481="","",G481&amp;"|"&amp;P481)</f>
        <v/>
      </c>
      <c r="AN481" s="27">
        <f>IF(I481="","",IFERROR(DATE(VALUE(RIGHT(I481,4)),VALUE(MID(I481,4,2)),VALUE(LEFT(I481,2))),""))</f>
        <v/>
      </c>
      <c r="AO481" s="27">
        <f>IF(Y481="","",IFERROR(DATE(VALUE(RIGHT(Y481,4)),VALUE(MID(Y481,4,2)),VALUE(LEFT(Y481,2))),""))</f>
        <v/>
      </c>
      <c r="AP481" s="27">
        <f>IF(AC481="","",IFERROR(DATE(VALUE(RIGHT(AC481,4)),VALUE(MID(AC481,4,2)),VALUE(LEFT(AC481,2))),""))</f>
        <v/>
      </c>
      <c r="AQ481" s="26">
        <f>IF(AI481="","",TRIM(LEFT(AI481,FIND(" ",AI481&amp;" ")-1)))</f>
        <v/>
      </c>
      <c r="AR481" s="27">
        <f>IF(AQ481="","",IFERROR(DATE(VALUE(MID(AQ481,FIND("/",AQ481,FIND("/",AQ481)+1)+1,4)),VALUE(LEFT(AQ481,FIND("/",AQ481)-1)),VALUE(MID(AQ481,FIND("/",AQ481)+1,FIND("/",AQ481,FIND("/",AQ481)+1)-FIND("/",AQ481)-1))),""))</f>
        <v/>
      </c>
      <c r="AS481" s="26">
        <f>IF(G481="","",IF(AND(AG481&lt;&gt;"",AG481&lt;&gt;"Bayi Aracı"),"Evet","Hayır"))</f>
        <v/>
      </c>
      <c r="AT481" s="26">
        <f>IF(G481="","",IF(AND(AS481="Evet",T481="Siparişiniz Teslim Edildi"),"Evet","Hayır"))</f>
        <v/>
      </c>
      <c r="AU481" s="26">
        <f>IF(G481="","",IF(AB481="Siparişinizin Montajı Yapıldı","Evet","Hayır"))</f>
        <v/>
      </c>
      <c r="AV481" s="27">
        <f>IF(G481="","",IF(AT481="Evet",AR481,IF(AU481="Evet",AP481,"")))</f>
        <v/>
      </c>
    </row>
    <row r="482">
      <c r="A482" s="23" t="n"/>
      <c r="B482" s="23" t="n"/>
      <c r="C482" s="23" t="n"/>
      <c r="D482" s="23" t="n"/>
      <c r="E482" s="23" t="n"/>
      <c r="F482" s="23" t="n"/>
      <c r="G482" s="23" t="n"/>
      <c r="H482" s="23" t="n"/>
      <c r="I482" s="23" t="n"/>
      <c r="J482" s="23" t="n"/>
      <c r="K482" s="23" t="n"/>
      <c r="L482" s="23" t="n"/>
      <c r="M482" s="23" t="n"/>
      <c r="N482" s="23" t="n"/>
      <c r="O482" s="23" t="n"/>
      <c r="P482" s="23" t="n"/>
      <c r="Q482" s="23" t="n"/>
      <c r="R482" s="23" t="n"/>
      <c r="S482" s="23" t="n"/>
      <c r="T482" s="23" t="n"/>
      <c r="U482" s="23" t="n"/>
      <c r="V482" s="23" t="n"/>
      <c r="W482" s="23" t="n"/>
      <c r="X482" s="23" t="n"/>
      <c r="Y482" s="23" t="n"/>
      <c r="Z482" s="23" t="n"/>
      <c r="AA482" s="23" t="n"/>
      <c r="AB482" s="23" t="n"/>
      <c r="AC482" s="23" t="n"/>
      <c r="AD482" s="23" t="n"/>
      <c r="AE482" s="23" t="n"/>
      <c r="AF482" s="23" t="n"/>
      <c r="AG482" s="23" t="n"/>
      <c r="AH482" s="23" t="n"/>
      <c r="AI482" s="23" t="n"/>
      <c r="AJ482" s="23" t="n"/>
      <c r="AK482" s="23" t="n"/>
      <c r="AL482" s="23" t="n"/>
      <c r="AM482" s="26">
        <f>IF(G482="","",G482&amp;"|"&amp;P482)</f>
        <v/>
      </c>
      <c r="AN482" s="27">
        <f>IF(I482="","",IFERROR(DATE(VALUE(RIGHT(I482,4)),VALUE(MID(I482,4,2)),VALUE(LEFT(I482,2))),""))</f>
        <v/>
      </c>
      <c r="AO482" s="27">
        <f>IF(Y482="","",IFERROR(DATE(VALUE(RIGHT(Y482,4)),VALUE(MID(Y482,4,2)),VALUE(LEFT(Y482,2))),""))</f>
        <v/>
      </c>
      <c r="AP482" s="27">
        <f>IF(AC482="","",IFERROR(DATE(VALUE(RIGHT(AC482,4)),VALUE(MID(AC482,4,2)),VALUE(LEFT(AC482,2))),""))</f>
        <v/>
      </c>
      <c r="AQ482" s="26">
        <f>IF(AI482="","",TRIM(LEFT(AI482,FIND(" ",AI482&amp;" ")-1)))</f>
        <v/>
      </c>
      <c r="AR482" s="27">
        <f>IF(AQ482="","",IFERROR(DATE(VALUE(MID(AQ482,FIND("/",AQ482,FIND("/",AQ482)+1)+1,4)),VALUE(LEFT(AQ482,FIND("/",AQ482)-1)),VALUE(MID(AQ482,FIND("/",AQ482)+1,FIND("/",AQ482,FIND("/",AQ482)+1)-FIND("/",AQ482)-1))),""))</f>
        <v/>
      </c>
      <c r="AS482" s="26">
        <f>IF(G482="","",IF(AND(AG482&lt;&gt;"",AG482&lt;&gt;"Bayi Aracı"),"Evet","Hayır"))</f>
        <v/>
      </c>
      <c r="AT482" s="26">
        <f>IF(G482="","",IF(AND(AS482="Evet",T482="Siparişiniz Teslim Edildi"),"Evet","Hayır"))</f>
        <v/>
      </c>
      <c r="AU482" s="26">
        <f>IF(G482="","",IF(AB482="Siparişinizin Montajı Yapıldı","Evet","Hayır"))</f>
        <v/>
      </c>
      <c r="AV482" s="27">
        <f>IF(G482="","",IF(AT482="Evet",AR482,IF(AU482="Evet",AP482,"")))</f>
        <v/>
      </c>
    </row>
    <row r="483">
      <c r="A483" s="23" t="n"/>
      <c r="B483" s="23" t="n"/>
      <c r="C483" s="23" t="n"/>
      <c r="D483" s="23" t="n"/>
      <c r="E483" s="23" t="n"/>
      <c r="F483" s="23" t="n"/>
      <c r="G483" s="23" t="n"/>
      <c r="H483" s="23" t="n"/>
      <c r="I483" s="23" t="n"/>
      <c r="J483" s="23" t="n"/>
      <c r="K483" s="23" t="n"/>
      <c r="L483" s="23" t="n"/>
      <c r="M483" s="23" t="n"/>
      <c r="N483" s="23" t="n"/>
      <c r="O483" s="23" t="n"/>
      <c r="P483" s="23" t="n"/>
      <c r="Q483" s="23" t="n"/>
      <c r="R483" s="23" t="n"/>
      <c r="S483" s="23" t="n"/>
      <c r="T483" s="23" t="n"/>
      <c r="U483" s="23" t="n"/>
      <c r="V483" s="23" t="n"/>
      <c r="W483" s="23" t="n"/>
      <c r="X483" s="23" t="n"/>
      <c r="Y483" s="23" t="n"/>
      <c r="Z483" s="23" t="n"/>
      <c r="AA483" s="23" t="n"/>
      <c r="AB483" s="23" t="n"/>
      <c r="AC483" s="23" t="n"/>
      <c r="AD483" s="23" t="n"/>
      <c r="AE483" s="23" t="n"/>
      <c r="AF483" s="23" t="n"/>
      <c r="AG483" s="23" t="n"/>
      <c r="AH483" s="23" t="n"/>
      <c r="AI483" s="23" t="n"/>
      <c r="AJ483" s="23" t="n"/>
      <c r="AK483" s="23" t="n"/>
      <c r="AL483" s="23" t="n"/>
      <c r="AM483" s="26">
        <f>IF(G483="","",G483&amp;"|"&amp;P483)</f>
        <v/>
      </c>
      <c r="AN483" s="27">
        <f>IF(I483="","",IFERROR(DATE(VALUE(RIGHT(I483,4)),VALUE(MID(I483,4,2)),VALUE(LEFT(I483,2))),""))</f>
        <v/>
      </c>
      <c r="AO483" s="27">
        <f>IF(Y483="","",IFERROR(DATE(VALUE(RIGHT(Y483,4)),VALUE(MID(Y483,4,2)),VALUE(LEFT(Y483,2))),""))</f>
        <v/>
      </c>
      <c r="AP483" s="27">
        <f>IF(AC483="","",IFERROR(DATE(VALUE(RIGHT(AC483,4)),VALUE(MID(AC483,4,2)),VALUE(LEFT(AC483,2))),""))</f>
        <v/>
      </c>
      <c r="AQ483" s="26">
        <f>IF(AI483="","",TRIM(LEFT(AI483,FIND(" ",AI483&amp;" ")-1)))</f>
        <v/>
      </c>
      <c r="AR483" s="27">
        <f>IF(AQ483="","",IFERROR(DATE(VALUE(MID(AQ483,FIND("/",AQ483,FIND("/",AQ483)+1)+1,4)),VALUE(LEFT(AQ483,FIND("/",AQ483)-1)),VALUE(MID(AQ483,FIND("/",AQ483)+1,FIND("/",AQ483,FIND("/",AQ483)+1)-FIND("/",AQ483)-1))),""))</f>
        <v/>
      </c>
      <c r="AS483" s="26">
        <f>IF(G483="","",IF(AND(AG483&lt;&gt;"",AG483&lt;&gt;"Bayi Aracı"),"Evet","Hayır"))</f>
        <v/>
      </c>
      <c r="AT483" s="26">
        <f>IF(G483="","",IF(AND(AS483="Evet",T483="Siparişiniz Teslim Edildi"),"Evet","Hayır"))</f>
        <v/>
      </c>
      <c r="AU483" s="26">
        <f>IF(G483="","",IF(AB483="Siparişinizin Montajı Yapıldı","Evet","Hayır"))</f>
        <v/>
      </c>
      <c r="AV483" s="27">
        <f>IF(G483="","",IF(AT483="Evet",AR483,IF(AU483="Evet",AP483,"")))</f>
        <v/>
      </c>
    </row>
    <row r="484">
      <c r="A484" s="23" t="n"/>
      <c r="B484" s="23" t="n"/>
      <c r="C484" s="23" t="n"/>
      <c r="D484" s="23" t="n"/>
      <c r="E484" s="23" t="n"/>
      <c r="F484" s="23" t="n"/>
      <c r="G484" s="23" t="n"/>
      <c r="H484" s="23" t="n"/>
      <c r="I484" s="23" t="n"/>
      <c r="J484" s="23" t="n"/>
      <c r="K484" s="23" t="n"/>
      <c r="L484" s="23" t="n"/>
      <c r="M484" s="23" t="n"/>
      <c r="N484" s="23" t="n"/>
      <c r="O484" s="23" t="n"/>
      <c r="P484" s="23" t="n"/>
      <c r="Q484" s="23" t="n"/>
      <c r="R484" s="23" t="n"/>
      <c r="S484" s="23" t="n"/>
      <c r="T484" s="23" t="n"/>
      <c r="U484" s="23" t="n"/>
      <c r="V484" s="23" t="n"/>
      <c r="W484" s="23" t="n"/>
      <c r="X484" s="23" t="n"/>
      <c r="Y484" s="23" t="n"/>
      <c r="Z484" s="23" t="n"/>
      <c r="AA484" s="23" t="n"/>
      <c r="AB484" s="23" t="n"/>
      <c r="AC484" s="23" t="n"/>
      <c r="AD484" s="23" t="n"/>
      <c r="AE484" s="23" t="n"/>
      <c r="AF484" s="23" t="n"/>
      <c r="AG484" s="23" t="n"/>
      <c r="AH484" s="23" t="n"/>
      <c r="AI484" s="23" t="n"/>
      <c r="AJ484" s="23" t="n"/>
      <c r="AK484" s="23" t="n"/>
      <c r="AL484" s="23" t="n"/>
      <c r="AM484" s="26">
        <f>IF(G484="","",G484&amp;"|"&amp;P484)</f>
        <v/>
      </c>
      <c r="AN484" s="27">
        <f>IF(I484="","",IFERROR(DATE(VALUE(RIGHT(I484,4)),VALUE(MID(I484,4,2)),VALUE(LEFT(I484,2))),""))</f>
        <v/>
      </c>
      <c r="AO484" s="27">
        <f>IF(Y484="","",IFERROR(DATE(VALUE(RIGHT(Y484,4)),VALUE(MID(Y484,4,2)),VALUE(LEFT(Y484,2))),""))</f>
        <v/>
      </c>
      <c r="AP484" s="27">
        <f>IF(AC484="","",IFERROR(DATE(VALUE(RIGHT(AC484,4)),VALUE(MID(AC484,4,2)),VALUE(LEFT(AC484,2))),""))</f>
        <v/>
      </c>
      <c r="AQ484" s="26">
        <f>IF(AI484="","",TRIM(LEFT(AI484,FIND(" ",AI484&amp;" ")-1)))</f>
        <v/>
      </c>
      <c r="AR484" s="27">
        <f>IF(AQ484="","",IFERROR(DATE(VALUE(MID(AQ484,FIND("/",AQ484,FIND("/",AQ484)+1)+1,4)),VALUE(LEFT(AQ484,FIND("/",AQ484)-1)),VALUE(MID(AQ484,FIND("/",AQ484)+1,FIND("/",AQ484,FIND("/",AQ484)+1)-FIND("/",AQ484)-1))),""))</f>
        <v/>
      </c>
      <c r="AS484" s="26">
        <f>IF(G484="","",IF(AND(AG484&lt;&gt;"",AG484&lt;&gt;"Bayi Aracı"),"Evet","Hayır"))</f>
        <v/>
      </c>
      <c r="AT484" s="26">
        <f>IF(G484="","",IF(AND(AS484="Evet",T484="Siparişiniz Teslim Edildi"),"Evet","Hayır"))</f>
        <v/>
      </c>
      <c r="AU484" s="26">
        <f>IF(G484="","",IF(AB484="Siparişinizin Montajı Yapıldı","Evet","Hayır"))</f>
        <v/>
      </c>
      <c r="AV484" s="27">
        <f>IF(G484="","",IF(AT484="Evet",AR484,IF(AU484="Evet",AP484,"")))</f>
        <v/>
      </c>
    </row>
    <row r="485">
      <c r="A485" s="23" t="n"/>
      <c r="B485" s="23" t="n"/>
      <c r="C485" s="23" t="n"/>
      <c r="D485" s="23" t="n"/>
      <c r="E485" s="23" t="n"/>
      <c r="F485" s="23" t="n"/>
      <c r="G485" s="23" t="n"/>
      <c r="H485" s="23" t="n"/>
      <c r="I485" s="23" t="n"/>
      <c r="J485" s="23" t="n"/>
      <c r="K485" s="23" t="n"/>
      <c r="L485" s="23" t="n"/>
      <c r="M485" s="23" t="n"/>
      <c r="N485" s="23" t="n"/>
      <c r="O485" s="23" t="n"/>
      <c r="P485" s="23" t="n"/>
      <c r="Q485" s="23" t="n"/>
      <c r="R485" s="23" t="n"/>
      <c r="S485" s="23" t="n"/>
      <c r="T485" s="23" t="n"/>
      <c r="U485" s="23" t="n"/>
      <c r="V485" s="23" t="n"/>
      <c r="W485" s="23" t="n"/>
      <c r="X485" s="23" t="n"/>
      <c r="Y485" s="23" t="n"/>
      <c r="Z485" s="23" t="n"/>
      <c r="AA485" s="23" t="n"/>
      <c r="AB485" s="23" t="n"/>
      <c r="AC485" s="23" t="n"/>
      <c r="AD485" s="23" t="n"/>
      <c r="AE485" s="23" t="n"/>
      <c r="AF485" s="23" t="n"/>
      <c r="AG485" s="23" t="n"/>
      <c r="AH485" s="23" t="n"/>
      <c r="AI485" s="23" t="n"/>
      <c r="AJ485" s="23" t="n"/>
      <c r="AK485" s="23" t="n"/>
      <c r="AL485" s="23" t="n"/>
      <c r="AM485" s="26">
        <f>IF(G485="","",G485&amp;"|"&amp;P485)</f>
        <v/>
      </c>
      <c r="AN485" s="27">
        <f>IF(I485="","",IFERROR(DATE(VALUE(RIGHT(I485,4)),VALUE(MID(I485,4,2)),VALUE(LEFT(I485,2))),""))</f>
        <v/>
      </c>
      <c r="AO485" s="27">
        <f>IF(Y485="","",IFERROR(DATE(VALUE(RIGHT(Y485,4)),VALUE(MID(Y485,4,2)),VALUE(LEFT(Y485,2))),""))</f>
        <v/>
      </c>
      <c r="AP485" s="27">
        <f>IF(AC485="","",IFERROR(DATE(VALUE(RIGHT(AC485,4)),VALUE(MID(AC485,4,2)),VALUE(LEFT(AC485,2))),""))</f>
        <v/>
      </c>
      <c r="AQ485" s="26">
        <f>IF(AI485="","",TRIM(LEFT(AI485,FIND(" ",AI485&amp;" ")-1)))</f>
        <v/>
      </c>
      <c r="AR485" s="27">
        <f>IF(AQ485="","",IFERROR(DATE(VALUE(MID(AQ485,FIND("/",AQ485,FIND("/",AQ485)+1)+1,4)),VALUE(LEFT(AQ485,FIND("/",AQ485)-1)),VALUE(MID(AQ485,FIND("/",AQ485)+1,FIND("/",AQ485,FIND("/",AQ485)+1)-FIND("/",AQ485)-1))),""))</f>
        <v/>
      </c>
      <c r="AS485" s="26">
        <f>IF(G485="","",IF(AND(AG485&lt;&gt;"",AG485&lt;&gt;"Bayi Aracı"),"Evet","Hayır"))</f>
        <v/>
      </c>
      <c r="AT485" s="26">
        <f>IF(G485="","",IF(AND(AS485="Evet",T485="Siparişiniz Teslim Edildi"),"Evet","Hayır"))</f>
        <v/>
      </c>
      <c r="AU485" s="26">
        <f>IF(G485="","",IF(AB485="Siparişinizin Montajı Yapıldı","Evet","Hayır"))</f>
        <v/>
      </c>
      <c r="AV485" s="27">
        <f>IF(G485="","",IF(AT485="Evet",AR485,IF(AU485="Evet",AP485,"")))</f>
        <v/>
      </c>
    </row>
    <row r="486">
      <c r="A486" s="23" t="n"/>
      <c r="B486" s="23" t="n"/>
      <c r="C486" s="23" t="n"/>
      <c r="D486" s="23" t="n"/>
      <c r="E486" s="23" t="n"/>
      <c r="F486" s="23" t="n"/>
      <c r="G486" s="23" t="n"/>
      <c r="H486" s="23" t="n"/>
      <c r="I486" s="23" t="n"/>
      <c r="J486" s="23" t="n"/>
      <c r="K486" s="23" t="n"/>
      <c r="L486" s="23" t="n"/>
      <c r="M486" s="23" t="n"/>
      <c r="N486" s="23" t="n"/>
      <c r="O486" s="23" t="n"/>
      <c r="P486" s="23" t="n"/>
      <c r="Q486" s="23" t="n"/>
      <c r="R486" s="23" t="n"/>
      <c r="S486" s="23" t="n"/>
      <c r="T486" s="23" t="n"/>
      <c r="U486" s="23" t="n"/>
      <c r="V486" s="23" t="n"/>
      <c r="W486" s="23" t="n"/>
      <c r="X486" s="23" t="n"/>
      <c r="Y486" s="23" t="n"/>
      <c r="Z486" s="23" t="n"/>
      <c r="AA486" s="23" t="n"/>
      <c r="AB486" s="23" t="n"/>
      <c r="AC486" s="23" t="n"/>
      <c r="AD486" s="23" t="n"/>
      <c r="AE486" s="23" t="n"/>
      <c r="AF486" s="23" t="n"/>
      <c r="AG486" s="23" t="n"/>
      <c r="AH486" s="23" t="n"/>
      <c r="AI486" s="23" t="n"/>
      <c r="AJ486" s="23" t="n"/>
      <c r="AK486" s="23" t="n"/>
      <c r="AL486" s="23" t="n"/>
      <c r="AM486" s="26">
        <f>IF(G486="","",G486&amp;"|"&amp;P486)</f>
        <v/>
      </c>
      <c r="AN486" s="27">
        <f>IF(I486="","",IFERROR(DATE(VALUE(RIGHT(I486,4)),VALUE(MID(I486,4,2)),VALUE(LEFT(I486,2))),""))</f>
        <v/>
      </c>
      <c r="AO486" s="27">
        <f>IF(Y486="","",IFERROR(DATE(VALUE(RIGHT(Y486,4)),VALUE(MID(Y486,4,2)),VALUE(LEFT(Y486,2))),""))</f>
        <v/>
      </c>
      <c r="AP486" s="27">
        <f>IF(AC486="","",IFERROR(DATE(VALUE(RIGHT(AC486,4)),VALUE(MID(AC486,4,2)),VALUE(LEFT(AC486,2))),""))</f>
        <v/>
      </c>
      <c r="AQ486" s="26">
        <f>IF(AI486="","",TRIM(LEFT(AI486,FIND(" ",AI486&amp;" ")-1)))</f>
        <v/>
      </c>
      <c r="AR486" s="27">
        <f>IF(AQ486="","",IFERROR(DATE(VALUE(MID(AQ486,FIND("/",AQ486,FIND("/",AQ486)+1)+1,4)),VALUE(LEFT(AQ486,FIND("/",AQ486)-1)),VALUE(MID(AQ486,FIND("/",AQ486)+1,FIND("/",AQ486,FIND("/",AQ486)+1)-FIND("/",AQ486)-1))),""))</f>
        <v/>
      </c>
      <c r="AS486" s="26">
        <f>IF(G486="","",IF(AND(AG486&lt;&gt;"",AG486&lt;&gt;"Bayi Aracı"),"Evet","Hayır"))</f>
        <v/>
      </c>
      <c r="AT486" s="26">
        <f>IF(G486="","",IF(AND(AS486="Evet",T486="Siparişiniz Teslim Edildi"),"Evet","Hayır"))</f>
        <v/>
      </c>
      <c r="AU486" s="26">
        <f>IF(G486="","",IF(AB486="Siparişinizin Montajı Yapıldı","Evet","Hayır"))</f>
        <v/>
      </c>
      <c r="AV486" s="27">
        <f>IF(G486="","",IF(AT486="Evet",AR486,IF(AU486="Evet",AP486,"")))</f>
        <v/>
      </c>
    </row>
    <row r="487">
      <c r="A487" s="23" t="n"/>
      <c r="B487" s="23" t="n"/>
      <c r="C487" s="23" t="n"/>
      <c r="D487" s="23" t="n"/>
      <c r="E487" s="23" t="n"/>
      <c r="F487" s="23" t="n"/>
      <c r="G487" s="23" t="n"/>
      <c r="H487" s="23" t="n"/>
      <c r="I487" s="23" t="n"/>
      <c r="J487" s="23" t="n"/>
      <c r="K487" s="23" t="n"/>
      <c r="L487" s="23" t="n"/>
      <c r="M487" s="23" t="n"/>
      <c r="N487" s="23" t="n"/>
      <c r="O487" s="23" t="n"/>
      <c r="P487" s="23" t="n"/>
      <c r="Q487" s="23" t="n"/>
      <c r="R487" s="23" t="n"/>
      <c r="S487" s="23" t="n"/>
      <c r="T487" s="23" t="n"/>
      <c r="U487" s="23" t="n"/>
      <c r="V487" s="23" t="n"/>
      <c r="W487" s="23" t="n"/>
      <c r="X487" s="23" t="n"/>
      <c r="Y487" s="23" t="n"/>
      <c r="Z487" s="23" t="n"/>
      <c r="AA487" s="23" t="n"/>
      <c r="AB487" s="23" t="n"/>
      <c r="AC487" s="23" t="n"/>
      <c r="AD487" s="23" t="n"/>
      <c r="AE487" s="23" t="n"/>
      <c r="AF487" s="23" t="n"/>
      <c r="AG487" s="23" t="n"/>
      <c r="AH487" s="23" t="n"/>
      <c r="AI487" s="23" t="n"/>
      <c r="AJ487" s="23" t="n"/>
      <c r="AK487" s="23" t="n"/>
      <c r="AL487" s="23" t="n"/>
      <c r="AM487" s="26">
        <f>IF(G487="","",G487&amp;"|"&amp;P487)</f>
        <v/>
      </c>
      <c r="AN487" s="27">
        <f>IF(I487="","",IFERROR(DATE(VALUE(RIGHT(I487,4)),VALUE(MID(I487,4,2)),VALUE(LEFT(I487,2))),""))</f>
        <v/>
      </c>
      <c r="AO487" s="27">
        <f>IF(Y487="","",IFERROR(DATE(VALUE(RIGHT(Y487,4)),VALUE(MID(Y487,4,2)),VALUE(LEFT(Y487,2))),""))</f>
        <v/>
      </c>
      <c r="AP487" s="27">
        <f>IF(AC487="","",IFERROR(DATE(VALUE(RIGHT(AC487,4)),VALUE(MID(AC487,4,2)),VALUE(LEFT(AC487,2))),""))</f>
        <v/>
      </c>
      <c r="AQ487" s="26">
        <f>IF(AI487="","",TRIM(LEFT(AI487,FIND(" ",AI487&amp;" ")-1)))</f>
        <v/>
      </c>
      <c r="AR487" s="27">
        <f>IF(AQ487="","",IFERROR(DATE(VALUE(MID(AQ487,FIND("/",AQ487,FIND("/",AQ487)+1)+1,4)),VALUE(LEFT(AQ487,FIND("/",AQ487)-1)),VALUE(MID(AQ487,FIND("/",AQ487)+1,FIND("/",AQ487,FIND("/",AQ487)+1)-FIND("/",AQ487)-1))),""))</f>
        <v/>
      </c>
      <c r="AS487" s="26">
        <f>IF(G487="","",IF(AND(AG487&lt;&gt;"",AG487&lt;&gt;"Bayi Aracı"),"Evet","Hayır"))</f>
        <v/>
      </c>
      <c r="AT487" s="26">
        <f>IF(G487="","",IF(AND(AS487="Evet",T487="Siparişiniz Teslim Edildi"),"Evet","Hayır"))</f>
        <v/>
      </c>
      <c r="AU487" s="26">
        <f>IF(G487="","",IF(AB487="Siparişinizin Montajı Yapıldı","Evet","Hayır"))</f>
        <v/>
      </c>
      <c r="AV487" s="27">
        <f>IF(G487="","",IF(AT487="Evet",AR487,IF(AU487="Evet",AP487,"")))</f>
        <v/>
      </c>
    </row>
    <row r="488">
      <c r="A488" s="23" t="n"/>
      <c r="B488" s="23" t="n"/>
      <c r="C488" s="23" t="n"/>
      <c r="D488" s="23" t="n"/>
      <c r="E488" s="23" t="n"/>
      <c r="F488" s="23" t="n"/>
      <c r="G488" s="23" t="n"/>
      <c r="H488" s="23" t="n"/>
      <c r="I488" s="23" t="n"/>
      <c r="J488" s="23" t="n"/>
      <c r="K488" s="23" t="n"/>
      <c r="L488" s="23" t="n"/>
      <c r="M488" s="23" t="n"/>
      <c r="N488" s="23" t="n"/>
      <c r="O488" s="23" t="n"/>
      <c r="P488" s="23" t="n"/>
      <c r="Q488" s="23" t="n"/>
      <c r="R488" s="23" t="n"/>
      <c r="S488" s="23" t="n"/>
      <c r="T488" s="23" t="n"/>
      <c r="U488" s="23" t="n"/>
      <c r="V488" s="23" t="n"/>
      <c r="W488" s="23" t="n"/>
      <c r="X488" s="23" t="n"/>
      <c r="Y488" s="23" t="n"/>
      <c r="Z488" s="23" t="n"/>
      <c r="AA488" s="23" t="n"/>
      <c r="AB488" s="23" t="n"/>
      <c r="AC488" s="23" t="n"/>
      <c r="AD488" s="23" t="n"/>
      <c r="AE488" s="23" t="n"/>
      <c r="AF488" s="23" t="n"/>
      <c r="AG488" s="23" t="n"/>
      <c r="AH488" s="23" t="n"/>
      <c r="AI488" s="23" t="n"/>
      <c r="AJ488" s="23" t="n"/>
      <c r="AK488" s="23" t="n"/>
      <c r="AL488" s="23" t="n"/>
      <c r="AM488" s="26">
        <f>IF(G488="","",G488&amp;"|"&amp;P488)</f>
        <v/>
      </c>
      <c r="AN488" s="27">
        <f>IF(I488="","",IFERROR(DATE(VALUE(RIGHT(I488,4)),VALUE(MID(I488,4,2)),VALUE(LEFT(I488,2))),""))</f>
        <v/>
      </c>
      <c r="AO488" s="27">
        <f>IF(Y488="","",IFERROR(DATE(VALUE(RIGHT(Y488,4)),VALUE(MID(Y488,4,2)),VALUE(LEFT(Y488,2))),""))</f>
        <v/>
      </c>
      <c r="AP488" s="27">
        <f>IF(AC488="","",IFERROR(DATE(VALUE(RIGHT(AC488,4)),VALUE(MID(AC488,4,2)),VALUE(LEFT(AC488,2))),""))</f>
        <v/>
      </c>
      <c r="AQ488" s="26">
        <f>IF(AI488="","",TRIM(LEFT(AI488,FIND(" ",AI488&amp;" ")-1)))</f>
        <v/>
      </c>
      <c r="AR488" s="27">
        <f>IF(AQ488="","",IFERROR(DATE(VALUE(MID(AQ488,FIND("/",AQ488,FIND("/",AQ488)+1)+1,4)),VALUE(LEFT(AQ488,FIND("/",AQ488)-1)),VALUE(MID(AQ488,FIND("/",AQ488)+1,FIND("/",AQ488,FIND("/",AQ488)+1)-FIND("/",AQ488)-1))),""))</f>
        <v/>
      </c>
      <c r="AS488" s="26">
        <f>IF(G488="","",IF(AND(AG488&lt;&gt;"",AG488&lt;&gt;"Bayi Aracı"),"Evet","Hayır"))</f>
        <v/>
      </c>
      <c r="AT488" s="26">
        <f>IF(G488="","",IF(AND(AS488="Evet",T488="Siparişiniz Teslim Edildi"),"Evet","Hayır"))</f>
        <v/>
      </c>
      <c r="AU488" s="26">
        <f>IF(G488="","",IF(AB488="Siparişinizin Montajı Yapıldı","Evet","Hayır"))</f>
        <v/>
      </c>
      <c r="AV488" s="27">
        <f>IF(G488="","",IF(AT488="Evet",AR488,IF(AU488="Evet",AP488,"")))</f>
        <v/>
      </c>
    </row>
    <row r="489">
      <c r="A489" s="23" t="n"/>
      <c r="B489" s="23" t="n"/>
      <c r="C489" s="23" t="n"/>
      <c r="D489" s="23" t="n"/>
      <c r="E489" s="23" t="n"/>
      <c r="F489" s="23" t="n"/>
      <c r="G489" s="23" t="n"/>
      <c r="H489" s="23" t="n"/>
      <c r="I489" s="23" t="n"/>
      <c r="J489" s="23" t="n"/>
      <c r="K489" s="23" t="n"/>
      <c r="L489" s="23" t="n"/>
      <c r="M489" s="23" t="n"/>
      <c r="N489" s="23" t="n"/>
      <c r="O489" s="23" t="n"/>
      <c r="P489" s="23" t="n"/>
      <c r="Q489" s="23" t="n"/>
      <c r="R489" s="23" t="n"/>
      <c r="S489" s="23" t="n"/>
      <c r="T489" s="23" t="n"/>
      <c r="U489" s="23" t="n"/>
      <c r="V489" s="23" t="n"/>
      <c r="W489" s="23" t="n"/>
      <c r="X489" s="23" t="n"/>
      <c r="Y489" s="23" t="n"/>
      <c r="Z489" s="23" t="n"/>
      <c r="AA489" s="23" t="n"/>
      <c r="AB489" s="23" t="n"/>
      <c r="AC489" s="23" t="n"/>
      <c r="AD489" s="23" t="n"/>
      <c r="AE489" s="23" t="n"/>
      <c r="AF489" s="23" t="n"/>
      <c r="AG489" s="23" t="n"/>
      <c r="AH489" s="23" t="n"/>
      <c r="AI489" s="23" t="n"/>
      <c r="AJ489" s="23" t="n"/>
      <c r="AK489" s="23" t="n"/>
      <c r="AL489" s="23" t="n"/>
      <c r="AM489" s="26">
        <f>IF(G489="","",G489&amp;"|"&amp;P489)</f>
        <v/>
      </c>
      <c r="AN489" s="27">
        <f>IF(I489="","",IFERROR(DATE(VALUE(RIGHT(I489,4)),VALUE(MID(I489,4,2)),VALUE(LEFT(I489,2))),""))</f>
        <v/>
      </c>
      <c r="AO489" s="27">
        <f>IF(Y489="","",IFERROR(DATE(VALUE(RIGHT(Y489,4)),VALUE(MID(Y489,4,2)),VALUE(LEFT(Y489,2))),""))</f>
        <v/>
      </c>
      <c r="AP489" s="27">
        <f>IF(AC489="","",IFERROR(DATE(VALUE(RIGHT(AC489,4)),VALUE(MID(AC489,4,2)),VALUE(LEFT(AC489,2))),""))</f>
        <v/>
      </c>
      <c r="AQ489" s="26">
        <f>IF(AI489="","",TRIM(LEFT(AI489,FIND(" ",AI489&amp;" ")-1)))</f>
        <v/>
      </c>
      <c r="AR489" s="27">
        <f>IF(AQ489="","",IFERROR(DATE(VALUE(MID(AQ489,FIND("/",AQ489,FIND("/",AQ489)+1)+1,4)),VALUE(LEFT(AQ489,FIND("/",AQ489)-1)),VALUE(MID(AQ489,FIND("/",AQ489)+1,FIND("/",AQ489,FIND("/",AQ489)+1)-FIND("/",AQ489)-1))),""))</f>
        <v/>
      </c>
      <c r="AS489" s="26">
        <f>IF(G489="","",IF(AND(AG489&lt;&gt;"",AG489&lt;&gt;"Bayi Aracı"),"Evet","Hayır"))</f>
        <v/>
      </c>
      <c r="AT489" s="26">
        <f>IF(G489="","",IF(AND(AS489="Evet",T489="Siparişiniz Teslim Edildi"),"Evet","Hayır"))</f>
        <v/>
      </c>
      <c r="AU489" s="26">
        <f>IF(G489="","",IF(AB489="Siparişinizin Montajı Yapıldı","Evet","Hayır"))</f>
        <v/>
      </c>
      <c r="AV489" s="27">
        <f>IF(G489="","",IF(AT489="Evet",AR489,IF(AU489="Evet",AP489,"")))</f>
        <v/>
      </c>
    </row>
    <row r="490">
      <c r="A490" s="23" t="n"/>
      <c r="B490" s="23" t="n"/>
      <c r="C490" s="23" t="n"/>
      <c r="D490" s="23" t="n"/>
      <c r="E490" s="23" t="n"/>
      <c r="F490" s="23" t="n"/>
      <c r="G490" s="23" t="n"/>
      <c r="H490" s="23" t="n"/>
      <c r="I490" s="23" t="n"/>
      <c r="J490" s="23" t="n"/>
      <c r="K490" s="23" t="n"/>
      <c r="L490" s="23" t="n"/>
      <c r="M490" s="23" t="n"/>
      <c r="N490" s="23" t="n"/>
      <c r="O490" s="23" t="n"/>
      <c r="P490" s="23" t="n"/>
      <c r="Q490" s="23" t="n"/>
      <c r="R490" s="23" t="n"/>
      <c r="S490" s="23" t="n"/>
      <c r="T490" s="23" t="n"/>
      <c r="U490" s="23" t="n"/>
      <c r="V490" s="23" t="n"/>
      <c r="W490" s="23" t="n"/>
      <c r="X490" s="23" t="n"/>
      <c r="Y490" s="23" t="n"/>
      <c r="Z490" s="23" t="n"/>
      <c r="AA490" s="23" t="n"/>
      <c r="AB490" s="23" t="n"/>
      <c r="AC490" s="23" t="n"/>
      <c r="AD490" s="23" t="n"/>
      <c r="AE490" s="23" t="n"/>
      <c r="AF490" s="23" t="n"/>
      <c r="AG490" s="23" t="n"/>
      <c r="AH490" s="23" t="n"/>
      <c r="AI490" s="23" t="n"/>
      <c r="AJ490" s="23" t="n"/>
      <c r="AK490" s="23" t="n"/>
      <c r="AL490" s="23" t="n"/>
      <c r="AM490" s="26">
        <f>IF(G490="","",G490&amp;"|"&amp;P490)</f>
        <v/>
      </c>
      <c r="AN490" s="27">
        <f>IF(I490="","",IFERROR(DATE(VALUE(RIGHT(I490,4)),VALUE(MID(I490,4,2)),VALUE(LEFT(I490,2))),""))</f>
        <v/>
      </c>
      <c r="AO490" s="27">
        <f>IF(Y490="","",IFERROR(DATE(VALUE(RIGHT(Y490,4)),VALUE(MID(Y490,4,2)),VALUE(LEFT(Y490,2))),""))</f>
        <v/>
      </c>
      <c r="AP490" s="27">
        <f>IF(AC490="","",IFERROR(DATE(VALUE(RIGHT(AC490,4)),VALUE(MID(AC490,4,2)),VALUE(LEFT(AC490,2))),""))</f>
        <v/>
      </c>
      <c r="AQ490" s="26">
        <f>IF(AI490="","",TRIM(LEFT(AI490,FIND(" ",AI490&amp;" ")-1)))</f>
        <v/>
      </c>
      <c r="AR490" s="27">
        <f>IF(AQ490="","",IFERROR(DATE(VALUE(MID(AQ490,FIND("/",AQ490,FIND("/",AQ490)+1)+1,4)),VALUE(LEFT(AQ490,FIND("/",AQ490)-1)),VALUE(MID(AQ490,FIND("/",AQ490)+1,FIND("/",AQ490,FIND("/",AQ490)+1)-FIND("/",AQ490)-1))),""))</f>
        <v/>
      </c>
      <c r="AS490" s="26">
        <f>IF(G490="","",IF(AND(AG490&lt;&gt;"",AG490&lt;&gt;"Bayi Aracı"),"Evet","Hayır"))</f>
        <v/>
      </c>
      <c r="AT490" s="26">
        <f>IF(G490="","",IF(AND(AS490="Evet",T490="Siparişiniz Teslim Edildi"),"Evet","Hayır"))</f>
        <v/>
      </c>
      <c r="AU490" s="26">
        <f>IF(G490="","",IF(AB490="Siparişinizin Montajı Yapıldı","Evet","Hayır"))</f>
        <v/>
      </c>
      <c r="AV490" s="27">
        <f>IF(G490="","",IF(AT490="Evet",AR490,IF(AU490="Evet",AP490,"")))</f>
        <v/>
      </c>
    </row>
    <row r="491">
      <c r="A491" s="23" t="n"/>
      <c r="B491" s="23" t="n"/>
      <c r="C491" s="23" t="n"/>
      <c r="D491" s="23" t="n"/>
      <c r="E491" s="23" t="n"/>
      <c r="F491" s="23" t="n"/>
      <c r="G491" s="23" t="n"/>
      <c r="H491" s="23" t="n"/>
      <c r="I491" s="23" t="n"/>
      <c r="J491" s="23" t="n"/>
      <c r="K491" s="23" t="n"/>
      <c r="L491" s="23" t="n"/>
      <c r="M491" s="23" t="n"/>
      <c r="N491" s="23" t="n"/>
      <c r="O491" s="23" t="n"/>
      <c r="P491" s="23" t="n"/>
      <c r="Q491" s="23" t="n"/>
      <c r="R491" s="23" t="n"/>
      <c r="S491" s="23" t="n"/>
      <c r="T491" s="23" t="n"/>
      <c r="U491" s="23" t="n"/>
      <c r="V491" s="23" t="n"/>
      <c r="W491" s="23" t="n"/>
      <c r="X491" s="23" t="n"/>
      <c r="Y491" s="23" t="n"/>
      <c r="Z491" s="23" t="n"/>
      <c r="AA491" s="23" t="n"/>
      <c r="AB491" s="23" t="n"/>
      <c r="AC491" s="23" t="n"/>
      <c r="AD491" s="23" t="n"/>
      <c r="AE491" s="23" t="n"/>
      <c r="AF491" s="23" t="n"/>
      <c r="AG491" s="23" t="n"/>
      <c r="AH491" s="23" t="n"/>
      <c r="AI491" s="23" t="n"/>
      <c r="AJ491" s="23" t="n"/>
      <c r="AK491" s="23" t="n"/>
      <c r="AL491" s="23" t="n"/>
      <c r="AM491" s="26">
        <f>IF(G491="","",G491&amp;"|"&amp;P491)</f>
        <v/>
      </c>
      <c r="AN491" s="27">
        <f>IF(I491="","",IFERROR(DATE(VALUE(RIGHT(I491,4)),VALUE(MID(I491,4,2)),VALUE(LEFT(I491,2))),""))</f>
        <v/>
      </c>
      <c r="AO491" s="27">
        <f>IF(Y491="","",IFERROR(DATE(VALUE(RIGHT(Y491,4)),VALUE(MID(Y491,4,2)),VALUE(LEFT(Y491,2))),""))</f>
        <v/>
      </c>
      <c r="AP491" s="27">
        <f>IF(AC491="","",IFERROR(DATE(VALUE(RIGHT(AC491,4)),VALUE(MID(AC491,4,2)),VALUE(LEFT(AC491,2))),""))</f>
        <v/>
      </c>
      <c r="AQ491" s="26">
        <f>IF(AI491="","",TRIM(LEFT(AI491,FIND(" ",AI491&amp;" ")-1)))</f>
        <v/>
      </c>
      <c r="AR491" s="27">
        <f>IF(AQ491="","",IFERROR(DATE(VALUE(MID(AQ491,FIND("/",AQ491,FIND("/",AQ491)+1)+1,4)),VALUE(LEFT(AQ491,FIND("/",AQ491)-1)),VALUE(MID(AQ491,FIND("/",AQ491)+1,FIND("/",AQ491,FIND("/",AQ491)+1)-FIND("/",AQ491)-1))),""))</f>
        <v/>
      </c>
      <c r="AS491" s="26">
        <f>IF(G491="","",IF(AND(AG491&lt;&gt;"",AG491&lt;&gt;"Bayi Aracı"),"Evet","Hayır"))</f>
        <v/>
      </c>
      <c r="AT491" s="26">
        <f>IF(G491="","",IF(AND(AS491="Evet",T491="Siparişiniz Teslim Edildi"),"Evet","Hayır"))</f>
        <v/>
      </c>
      <c r="AU491" s="26">
        <f>IF(G491="","",IF(AB491="Siparişinizin Montajı Yapıldı","Evet","Hayır"))</f>
        <v/>
      </c>
      <c r="AV491" s="27">
        <f>IF(G491="","",IF(AT491="Evet",AR491,IF(AU491="Evet",AP491,"")))</f>
        <v/>
      </c>
    </row>
    <row r="492">
      <c r="A492" s="23" t="n"/>
      <c r="B492" s="23" t="n"/>
      <c r="C492" s="23" t="n"/>
      <c r="D492" s="23" t="n"/>
      <c r="E492" s="23" t="n"/>
      <c r="F492" s="23" t="n"/>
      <c r="G492" s="23" t="n"/>
      <c r="H492" s="23" t="n"/>
      <c r="I492" s="23" t="n"/>
      <c r="J492" s="23" t="n"/>
      <c r="K492" s="23" t="n"/>
      <c r="L492" s="23" t="n"/>
      <c r="M492" s="23" t="n"/>
      <c r="N492" s="23" t="n"/>
      <c r="O492" s="23" t="n"/>
      <c r="P492" s="23" t="n"/>
      <c r="Q492" s="23" t="n"/>
      <c r="R492" s="23" t="n"/>
      <c r="S492" s="23" t="n"/>
      <c r="T492" s="23" t="n"/>
      <c r="U492" s="23" t="n"/>
      <c r="V492" s="23" t="n"/>
      <c r="W492" s="23" t="n"/>
      <c r="X492" s="23" t="n"/>
      <c r="Y492" s="23" t="n"/>
      <c r="Z492" s="23" t="n"/>
      <c r="AA492" s="23" t="n"/>
      <c r="AB492" s="23" t="n"/>
      <c r="AC492" s="23" t="n"/>
      <c r="AD492" s="23" t="n"/>
      <c r="AE492" s="23" t="n"/>
      <c r="AF492" s="23" t="n"/>
      <c r="AG492" s="23" t="n"/>
      <c r="AH492" s="23" t="n"/>
      <c r="AI492" s="23" t="n"/>
      <c r="AJ492" s="23" t="n"/>
      <c r="AK492" s="23" t="n"/>
      <c r="AL492" s="23" t="n"/>
      <c r="AM492" s="26">
        <f>IF(G492="","",G492&amp;"|"&amp;P492)</f>
        <v/>
      </c>
      <c r="AN492" s="27">
        <f>IF(I492="","",IFERROR(DATE(VALUE(RIGHT(I492,4)),VALUE(MID(I492,4,2)),VALUE(LEFT(I492,2))),""))</f>
        <v/>
      </c>
      <c r="AO492" s="27">
        <f>IF(Y492="","",IFERROR(DATE(VALUE(RIGHT(Y492,4)),VALUE(MID(Y492,4,2)),VALUE(LEFT(Y492,2))),""))</f>
        <v/>
      </c>
      <c r="AP492" s="27">
        <f>IF(AC492="","",IFERROR(DATE(VALUE(RIGHT(AC492,4)),VALUE(MID(AC492,4,2)),VALUE(LEFT(AC492,2))),""))</f>
        <v/>
      </c>
      <c r="AQ492" s="26">
        <f>IF(AI492="","",TRIM(LEFT(AI492,FIND(" ",AI492&amp;" ")-1)))</f>
        <v/>
      </c>
      <c r="AR492" s="27">
        <f>IF(AQ492="","",IFERROR(DATE(VALUE(MID(AQ492,FIND("/",AQ492,FIND("/",AQ492)+1)+1,4)),VALUE(LEFT(AQ492,FIND("/",AQ492)-1)),VALUE(MID(AQ492,FIND("/",AQ492)+1,FIND("/",AQ492,FIND("/",AQ492)+1)-FIND("/",AQ492)-1))),""))</f>
        <v/>
      </c>
      <c r="AS492" s="26">
        <f>IF(G492="","",IF(AND(AG492&lt;&gt;"",AG492&lt;&gt;"Bayi Aracı"),"Evet","Hayır"))</f>
        <v/>
      </c>
      <c r="AT492" s="26">
        <f>IF(G492="","",IF(AND(AS492="Evet",T492="Siparişiniz Teslim Edildi"),"Evet","Hayır"))</f>
        <v/>
      </c>
      <c r="AU492" s="26">
        <f>IF(G492="","",IF(AB492="Siparişinizin Montajı Yapıldı","Evet","Hayır"))</f>
        <v/>
      </c>
      <c r="AV492" s="27">
        <f>IF(G492="","",IF(AT492="Evet",AR492,IF(AU492="Evet",AP492,"")))</f>
        <v/>
      </c>
    </row>
    <row r="493">
      <c r="A493" s="23" t="n"/>
      <c r="B493" s="23" t="n"/>
      <c r="C493" s="23" t="n"/>
      <c r="D493" s="23" t="n"/>
      <c r="E493" s="23" t="n"/>
      <c r="F493" s="23" t="n"/>
      <c r="G493" s="23" t="n"/>
      <c r="H493" s="23" t="n"/>
      <c r="I493" s="23" t="n"/>
      <c r="J493" s="23" t="n"/>
      <c r="K493" s="23" t="n"/>
      <c r="L493" s="23" t="n"/>
      <c r="M493" s="23" t="n"/>
      <c r="N493" s="23" t="n"/>
      <c r="O493" s="23" t="n"/>
      <c r="P493" s="23" t="n"/>
      <c r="Q493" s="23" t="n"/>
      <c r="R493" s="23" t="n"/>
      <c r="S493" s="23" t="n"/>
      <c r="T493" s="23" t="n"/>
      <c r="U493" s="23" t="n"/>
      <c r="V493" s="23" t="n"/>
      <c r="W493" s="23" t="n"/>
      <c r="X493" s="23" t="n"/>
      <c r="Y493" s="23" t="n"/>
      <c r="Z493" s="23" t="n"/>
      <c r="AA493" s="23" t="n"/>
      <c r="AB493" s="23" t="n"/>
      <c r="AC493" s="23" t="n"/>
      <c r="AD493" s="23" t="n"/>
      <c r="AE493" s="23" t="n"/>
      <c r="AF493" s="23" t="n"/>
      <c r="AG493" s="23" t="n"/>
      <c r="AH493" s="23" t="n"/>
      <c r="AI493" s="23" t="n"/>
      <c r="AJ493" s="23" t="n"/>
      <c r="AK493" s="23" t="n"/>
      <c r="AL493" s="23" t="n"/>
      <c r="AM493" s="26">
        <f>IF(G493="","",G493&amp;"|"&amp;P493)</f>
        <v/>
      </c>
      <c r="AN493" s="27">
        <f>IF(I493="","",IFERROR(DATE(VALUE(RIGHT(I493,4)),VALUE(MID(I493,4,2)),VALUE(LEFT(I493,2))),""))</f>
        <v/>
      </c>
      <c r="AO493" s="27">
        <f>IF(Y493="","",IFERROR(DATE(VALUE(RIGHT(Y493,4)),VALUE(MID(Y493,4,2)),VALUE(LEFT(Y493,2))),""))</f>
        <v/>
      </c>
      <c r="AP493" s="27">
        <f>IF(AC493="","",IFERROR(DATE(VALUE(RIGHT(AC493,4)),VALUE(MID(AC493,4,2)),VALUE(LEFT(AC493,2))),""))</f>
        <v/>
      </c>
      <c r="AQ493" s="26">
        <f>IF(AI493="","",TRIM(LEFT(AI493,FIND(" ",AI493&amp;" ")-1)))</f>
        <v/>
      </c>
      <c r="AR493" s="27">
        <f>IF(AQ493="","",IFERROR(DATE(VALUE(MID(AQ493,FIND("/",AQ493,FIND("/",AQ493)+1)+1,4)),VALUE(LEFT(AQ493,FIND("/",AQ493)-1)),VALUE(MID(AQ493,FIND("/",AQ493)+1,FIND("/",AQ493,FIND("/",AQ493)+1)-FIND("/",AQ493)-1))),""))</f>
        <v/>
      </c>
      <c r="AS493" s="26">
        <f>IF(G493="","",IF(AND(AG493&lt;&gt;"",AG493&lt;&gt;"Bayi Aracı"),"Evet","Hayır"))</f>
        <v/>
      </c>
      <c r="AT493" s="26">
        <f>IF(G493="","",IF(AND(AS493="Evet",T493="Siparişiniz Teslim Edildi"),"Evet","Hayır"))</f>
        <v/>
      </c>
      <c r="AU493" s="26">
        <f>IF(G493="","",IF(AB493="Siparişinizin Montajı Yapıldı","Evet","Hayır"))</f>
        <v/>
      </c>
      <c r="AV493" s="27">
        <f>IF(G493="","",IF(AT493="Evet",AR493,IF(AU493="Evet",AP493,"")))</f>
        <v/>
      </c>
    </row>
    <row r="494">
      <c r="A494" s="23" t="n"/>
      <c r="B494" s="23" t="n"/>
      <c r="C494" s="23" t="n"/>
      <c r="D494" s="23" t="n"/>
      <c r="E494" s="23" t="n"/>
      <c r="F494" s="23" t="n"/>
      <c r="G494" s="23" t="n"/>
      <c r="H494" s="23" t="n"/>
      <c r="I494" s="23" t="n"/>
      <c r="J494" s="23" t="n"/>
      <c r="K494" s="23" t="n"/>
      <c r="L494" s="23" t="n"/>
      <c r="M494" s="23" t="n"/>
      <c r="N494" s="23" t="n"/>
      <c r="O494" s="23" t="n"/>
      <c r="P494" s="23" t="n"/>
      <c r="Q494" s="23" t="n"/>
      <c r="R494" s="23" t="n"/>
      <c r="S494" s="23" t="n"/>
      <c r="T494" s="23" t="n"/>
      <c r="U494" s="23" t="n"/>
      <c r="V494" s="23" t="n"/>
      <c r="W494" s="23" t="n"/>
      <c r="X494" s="23" t="n"/>
      <c r="Y494" s="23" t="n"/>
      <c r="Z494" s="23" t="n"/>
      <c r="AA494" s="23" t="n"/>
      <c r="AB494" s="23" t="n"/>
      <c r="AC494" s="23" t="n"/>
      <c r="AD494" s="23" t="n"/>
      <c r="AE494" s="23" t="n"/>
      <c r="AF494" s="23" t="n"/>
      <c r="AG494" s="23" t="n"/>
      <c r="AH494" s="23" t="n"/>
      <c r="AI494" s="23" t="n"/>
      <c r="AJ494" s="23" t="n"/>
      <c r="AK494" s="23" t="n"/>
      <c r="AL494" s="23" t="n"/>
      <c r="AM494" s="26">
        <f>IF(G494="","",G494&amp;"|"&amp;P494)</f>
        <v/>
      </c>
      <c r="AN494" s="27">
        <f>IF(I494="","",IFERROR(DATE(VALUE(RIGHT(I494,4)),VALUE(MID(I494,4,2)),VALUE(LEFT(I494,2))),""))</f>
        <v/>
      </c>
      <c r="AO494" s="27">
        <f>IF(Y494="","",IFERROR(DATE(VALUE(RIGHT(Y494,4)),VALUE(MID(Y494,4,2)),VALUE(LEFT(Y494,2))),""))</f>
        <v/>
      </c>
      <c r="AP494" s="27">
        <f>IF(AC494="","",IFERROR(DATE(VALUE(RIGHT(AC494,4)),VALUE(MID(AC494,4,2)),VALUE(LEFT(AC494,2))),""))</f>
        <v/>
      </c>
      <c r="AQ494" s="26">
        <f>IF(AI494="","",TRIM(LEFT(AI494,FIND(" ",AI494&amp;" ")-1)))</f>
        <v/>
      </c>
      <c r="AR494" s="27">
        <f>IF(AQ494="","",IFERROR(DATE(VALUE(MID(AQ494,FIND("/",AQ494,FIND("/",AQ494)+1)+1,4)),VALUE(LEFT(AQ494,FIND("/",AQ494)-1)),VALUE(MID(AQ494,FIND("/",AQ494)+1,FIND("/",AQ494,FIND("/",AQ494)+1)-FIND("/",AQ494)-1))),""))</f>
        <v/>
      </c>
      <c r="AS494" s="26">
        <f>IF(G494="","",IF(AND(AG494&lt;&gt;"",AG494&lt;&gt;"Bayi Aracı"),"Evet","Hayır"))</f>
        <v/>
      </c>
      <c r="AT494" s="26">
        <f>IF(G494="","",IF(AND(AS494="Evet",T494="Siparişiniz Teslim Edildi"),"Evet","Hayır"))</f>
        <v/>
      </c>
      <c r="AU494" s="26">
        <f>IF(G494="","",IF(AB494="Siparişinizin Montajı Yapıldı","Evet","Hayır"))</f>
        <v/>
      </c>
      <c r="AV494" s="27">
        <f>IF(G494="","",IF(AT494="Evet",AR494,IF(AU494="Evet",AP494,"")))</f>
        <v/>
      </c>
    </row>
    <row r="495">
      <c r="A495" s="23" t="n"/>
      <c r="B495" s="23" t="n"/>
      <c r="C495" s="23" t="n"/>
      <c r="D495" s="23" t="n"/>
      <c r="E495" s="23" t="n"/>
      <c r="F495" s="23" t="n"/>
      <c r="G495" s="23" t="n"/>
      <c r="H495" s="23" t="n"/>
      <c r="I495" s="23" t="n"/>
      <c r="J495" s="23" t="n"/>
      <c r="K495" s="23" t="n"/>
      <c r="L495" s="23" t="n"/>
      <c r="M495" s="23" t="n"/>
      <c r="N495" s="23" t="n"/>
      <c r="O495" s="23" t="n"/>
      <c r="P495" s="23" t="n"/>
      <c r="Q495" s="23" t="n"/>
      <c r="R495" s="23" t="n"/>
      <c r="S495" s="23" t="n"/>
      <c r="T495" s="23" t="n"/>
      <c r="U495" s="23" t="n"/>
      <c r="V495" s="23" t="n"/>
      <c r="W495" s="23" t="n"/>
      <c r="X495" s="23" t="n"/>
      <c r="Y495" s="23" t="n"/>
      <c r="Z495" s="23" t="n"/>
      <c r="AA495" s="23" t="n"/>
      <c r="AB495" s="23" t="n"/>
      <c r="AC495" s="23" t="n"/>
      <c r="AD495" s="23" t="n"/>
      <c r="AE495" s="23" t="n"/>
      <c r="AF495" s="23" t="n"/>
      <c r="AG495" s="23" t="n"/>
      <c r="AH495" s="23" t="n"/>
      <c r="AI495" s="23" t="n"/>
      <c r="AJ495" s="23" t="n"/>
      <c r="AK495" s="23" t="n"/>
      <c r="AL495" s="23" t="n"/>
      <c r="AM495" s="26">
        <f>IF(G495="","",G495&amp;"|"&amp;P495)</f>
        <v/>
      </c>
      <c r="AN495" s="27">
        <f>IF(I495="","",IFERROR(DATE(VALUE(RIGHT(I495,4)),VALUE(MID(I495,4,2)),VALUE(LEFT(I495,2))),""))</f>
        <v/>
      </c>
      <c r="AO495" s="27">
        <f>IF(Y495="","",IFERROR(DATE(VALUE(RIGHT(Y495,4)),VALUE(MID(Y495,4,2)),VALUE(LEFT(Y495,2))),""))</f>
        <v/>
      </c>
      <c r="AP495" s="27">
        <f>IF(AC495="","",IFERROR(DATE(VALUE(RIGHT(AC495,4)),VALUE(MID(AC495,4,2)),VALUE(LEFT(AC495,2))),""))</f>
        <v/>
      </c>
      <c r="AQ495" s="26">
        <f>IF(AI495="","",TRIM(LEFT(AI495,FIND(" ",AI495&amp;" ")-1)))</f>
        <v/>
      </c>
      <c r="AR495" s="27">
        <f>IF(AQ495="","",IFERROR(DATE(VALUE(MID(AQ495,FIND("/",AQ495,FIND("/",AQ495)+1)+1,4)),VALUE(LEFT(AQ495,FIND("/",AQ495)-1)),VALUE(MID(AQ495,FIND("/",AQ495)+1,FIND("/",AQ495,FIND("/",AQ495)+1)-FIND("/",AQ495)-1))),""))</f>
        <v/>
      </c>
      <c r="AS495" s="26">
        <f>IF(G495="","",IF(AND(AG495&lt;&gt;"",AG495&lt;&gt;"Bayi Aracı"),"Evet","Hayır"))</f>
        <v/>
      </c>
      <c r="AT495" s="26">
        <f>IF(G495="","",IF(AND(AS495="Evet",T495="Siparişiniz Teslim Edildi"),"Evet","Hayır"))</f>
        <v/>
      </c>
      <c r="AU495" s="26">
        <f>IF(G495="","",IF(AB495="Siparişinizin Montajı Yapıldı","Evet","Hayır"))</f>
        <v/>
      </c>
      <c r="AV495" s="27">
        <f>IF(G495="","",IF(AT495="Evet",AR495,IF(AU495="Evet",AP495,"")))</f>
        <v/>
      </c>
    </row>
    <row r="496">
      <c r="A496" s="23" t="n"/>
      <c r="B496" s="23" t="n"/>
      <c r="C496" s="23" t="n"/>
      <c r="D496" s="23" t="n"/>
      <c r="E496" s="23" t="n"/>
      <c r="F496" s="23" t="n"/>
      <c r="G496" s="23" t="n"/>
      <c r="H496" s="23" t="n"/>
      <c r="I496" s="23" t="n"/>
      <c r="J496" s="23" t="n"/>
      <c r="K496" s="23" t="n"/>
      <c r="L496" s="23" t="n"/>
      <c r="M496" s="23" t="n"/>
      <c r="N496" s="23" t="n"/>
      <c r="O496" s="23" t="n"/>
      <c r="P496" s="23" t="n"/>
      <c r="Q496" s="23" t="n"/>
      <c r="R496" s="23" t="n"/>
      <c r="S496" s="23" t="n"/>
      <c r="T496" s="23" t="n"/>
      <c r="U496" s="23" t="n"/>
      <c r="V496" s="23" t="n"/>
      <c r="W496" s="23" t="n"/>
      <c r="X496" s="23" t="n"/>
      <c r="Y496" s="23" t="n"/>
      <c r="Z496" s="23" t="n"/>
      <c r="AA496" s="23" t="n"/>
      <c r="AB496" s="23" t="n"/>
      <c r="AC496" s="23" t="n"/>
      <c r="AD496" s="23" t="n"/>
      <c r="AE496" s="23" t="n"/>
      <c r="AF496" s="23" t="n"/>
      <c r="AG496" s="23" t="n"/>
      <c r="AH496" s="23" t="n"/>
      <c r="AI496" s="23" t="n"/>
      <c r="AJ496" s="23" t="n"/>
      <c r="AK496" s="23" t="n"/>
      <c r="AL496" s="23" t="n"/>
      <c r="AM496" s="26">
        <f>IF(G496="","",G496&amp;"|"&amp;P496)</f>
        <v/>
      </c>
      <c r="AN496" s="27">
        <f>IF(I496="","",IFERROR(DATE(VALUE(RIGHT(I496,4)),VALUE(MID(I496,4,2)),VALUE(LEFT(I496,2))),""))</f>
        <v/>
      </c>
      <c r="AO496" s="27">
        <f>IF(Y496="","",IFERROR(DATE(VALUE(RIGHT(Y496,4)),VALUE(MID(Y496,4,2)),VALUE(LEFT(Y496,2))),""))</f>
        <v/>
      </c>
      <c r="AP496" s="27">
        <f>IF(AC496="","",IFERROR(DATE(VALUE(RIGHT(AC496,4)),VALUE(MID(AC496,4,2)),VALUE(LEFT(AC496,2))),""))</f>
        <v/>
      </c>
      <c r="AQ496" s="26">
        <f>IF(AI496="","",TRIM(LEFT(AI496,FIND(" ",AI496&amp;" ")-1)))</f>
        <v/>
      </c>
      <c r="AR496" s="27">
        <f>IF(AQ496="","",IFERROR(DATE(VALUE(MID(AQ496,FIND("/",AQ496,FIND("/",AQ496)+1)+1,4)),VALUE(LEFT(AQ496,FIND("/",AQ496)-1)),VALUE(MID(AQ496,FIND("/",AQ496)+1,FIND("/",AQ496,FIND("/",AQ496)+1)-FIND("/",AQ496)-1))),""))</f>
        <v/>
      </c>
      <c r="AS496" s="26">
        <f>IF(G496="","",IF(AND(AG496&lt;&gt;"",AG496&lt;&gt;"Bayi Aracı"),"Evet","Hayır"))</f>
        <v/>
      </c>
      <c r="AT496" s="26">
        <f>IF(G496="","",IF(AND(AS496="Evet",T496="Siparişiniz Teslim Edildi"),"Evet","Hayır"))</f>
        <v/>
      </c>
      <c r="AU496" s="26">
        <f>IF(G496="","",IF(AB496="Siparişinizin Montajı Yapıldı","Evet","Hayır"))</f>
        <v/>
      </c>
      <c r="AV496" s="27">
        <f>IF(G496="","",IF(AT496="Evet",AR496,IF(AU496="Evet",AP496,"")))</f>
        <v/>
      </c>
    </row>
    <row r="497">
      <c r="A497" s="23" t="n"/>
      <c r="B497" s="23" t="n"/>
      <c r="C497" s="23" t="n"/>
      <c r="D497" s="23" t="n"/>
      <c r="E497" s="23" t="n"/>
      <c r="F497" s="23" t="n"/>
      <c r="G497" s="23" t="n"/>
      <c r="H497" s="23" t="n"/>
      <c r="I497" s="23" t="n"/>
      <c r="J497" s="23" t="n"/>
      <c r="K497" s="23" t="n"/>
      <c r="L497" s="23" t="n"/>
      <c r="M497" s="23" t="n"/>
      <c r="N497" s="23" t="n"/>
      <c r="O497" s="23" t="n"/>
      <c r="P497" s="23" t="n"/>
      <c r="Q497" s="23" t="n"/>
      <c r="R497" s="23" t="n"/>
      <c r="S497" s="23" t="n"/>
      <c r="T497" s="23" t="n"/>
      <c r="U497" s="23" t="n"/>
      <c r="V497" s="23" t="n"/>
      <c r="W497" s="23" t="n"/>
      <c r="X497" s="23" t="n"/>
      <c r="Y497" s="23" t="n"/>
      <c r="Z497" s="23" t="n"/>
      <c r="AA497" s="23" t="n"/>
      <c r="AB497" s="23" t="n"/>
      <c r="AC497" s="23" t="n"/>
      <c r="AD497" s="23" t="n"/>
      <c r="AE497" s="23" t="n"/>
      <c r="AF497" s="23" t="n"/>
      <c r="AG497" s="23" t="n"/>
      <c r="AH497" s="23" t="n"/>
      <c r="AI497" s="23" t="n"/>
      <c r="AJ497" s="23" t="n"/>
      <c r="AK497" s="23" t="n"/>
      <c r="AL497" s="23" t="n"/>
      <c r="AM497" s="26">
        <f>IF(G497="","",G497&amp;"|"&amp;P497)</f>
        <v/>
      </c>
      <c r="AN497" s="27">
        <f>IF(I497="","",IFERROR(DATE(VALUE(RIGHT(I497,4)),VALUE(MID(I497,4,2)),VALUE(LEFT(I497,2))),""))</f>
        <v/>
      </c>
      <c r="AO497" s="27">
        <f>IF(Y497="","",IFERROR(DATE(VALUE(RIGHT(Y497,4)),VALUE(MID(Y497,4,2)),VALUE(LEFT(Y497,2))),""))</f>
        <v/>
      </c>
      <c r="AP497" s="27">
        <f>IF(AC497="","",IFERROR(DATE(VALUE(RIGHT(AC497,4)),VALUE(MID(AC497,4,2)),VALUE(LEFT(AC497,2))),""))</f>
        <v/>
      </c>
      <c r="AQ497" s="26">
        <f>IF(AI497="","",TRIM(LEFT(AI497,FIND(" ",AI497&amp;" ")-1)))</f>
        <v/>
      </c>
      <c r="AR497" s="27">
        <f>IF(AQ497="","",IFERROR(DATE(VALUE(MID(AQ497,FIND("/",AQ497,FIND("/",AQ497)+1)+1,4)),VALUE(LEFT(AQ497,FIND("/",AQ497)-1)),VALUE(MID(AQ497,FIND("/",AQ497)+1,FIND("/",AQ497,FIND("/",AQ497)+1)-FIND("/",AQ497)-1))),""))</f>
        <v/>
      </c>
      <c r="AS497" s="26">
        <f>IF(G497="","",IF(AND(AG497&lt;&gt;"",AG497&lt;&gt;"Bayi Aracı"),"Evet","Hayır"))</f>
        <v/>
      </c>
      <c r="AT497" s="26">
        <f>IF(G497="","",IF(AND(AS497="Evet",T497="Siparişiniz Teslim Edildi"),"Evet","Hayır"))</f>
        <v/>
      </c>
      <c r="AU497" s="26">
        <f>IF(G497="","",IF(AB497="Siparişinizin Montajı Yapıldı","Evet","Hayır"))</f>
        <v/>
      </c>
      <c r="AV497" s="27">
        <f>IF(G497="","",IF(AT497="Evet",AR497,IF(AU497="Evet",AP497,"")))</f>
        <v/>
      </c>
    </row>
    <row r="498">
      <c r="A498" s="23" t="n"/>
      <c r="B498" s="23" t="n"/>
      <c r="C498" s="23" t="n"/>
      <c r="D498" s="23" t="n"/>
      <c r="E498" s="23" t="n"/>
      <c r="F498" s="23" t="n"/>
      <c r="G498" s="23" t="n"/>
      <c r="H498" s="23" t="n"/>
      <c r="I498" s="23" t="n"/>
      <c r="J498" s="23" t="n"/>
      <c r="K498" s="23" t="n"/>
      <c r="L498" s="23" t="n"/>
      <c r="M498" s="23" t="n"/>
      <c r="N498" s="23" t="n"/>
      <c r="O498" s="23" t="n"/>
      <c r="P498" s="23" t="n"/>
      <c r="Q498" s="23" t="n"/>
      <c r="R498" s="23" t="n"/>
      <c r="S498" s="23" t="n"/>
      <c r="T498" s="23" t="n"/>
      <c r="U498" s="23" t="n"/>
      <c r="V498" s="23" t="n"/>
      <c r="W498" s="23" t="n"/>
      <c r="X498" s="23" t="n"/>
      <c r="Y498" s="23" t="n"/>
      <c r="Z498" s="23" t="n"/>
      <c r="AA498" s="23" t="n"/>
      <c r="AB498" s="23" t="n"/>
      <c r="AC498" s="23" t="n"/>
      <c r="AD498" s="23" t="n"/>
      <c r="AE498" s="23" t="n"/>
      <c r="AF498" s="23" t="n"/>
      <c r="AG498" s="23" t="n"/>
      <c r="AH498" s="23" t="n"/>
      <c r="AI498" s="23" t="n"/>
      <c r="AJ498" s="23" t="n"/>
      <c r="AK498" s="23" t="n"/>
      <c r="AL498" s="23" t="n"/>
      <c r="AM498" s="26">
        <f>IF(G498="","",G498&amp;"|"&amp;P498)</f>
        <v/>
      </c>
      <c r="AN498" s="27">
        <f>IF(I498="","",IFERROR(DATE(VALUE(RIGHT(I498,4)),VALUE(MID(I498,4,2)),VALUE(LEFT(I498,2))),""))</f>
        <v/>
      </c>
      <c r="AO498" s="27">
        <f>IF(Y498="","",IFERROR(DATE(VALUE(RIGHT(Y498,4)),VALUE(MID(Y498,4,2)),VALUE(LEFT(Y498,2))),""))</f>
        <v/>
      </c>
      <c r="AP498" s="27">
        <f>IF(AC498="","",IFERROR(DATE(VALUE(RIGHT(AC498,4)),VALUE(MID(AC498,4,2)),VALUE(LEFT(AC498,2))),""))</f>
        <v/>
      </c>
      <c r="AQ498" s="26">
        <f>IF(AI498="","",TRIM(LEFT(AI498,FIND(" ",AI498&amp;" ")-1)))</f>
        <v/>
      </c>
      <c r="AR498" s="27">
        <f>IF(AQ498="","",IFERROR(DATE(VALUE(MID(AQ498,FIND("/",AQ498,FIND("/",AQ498)+1)+1,4)),VALUE(LEFT(AQ498,FIND("/",AQ498)-1)),VALUE(MID(AQ498,FIND("/",AQ498)+1,FIND("/",AQ498,FIND("/",AQ498)+1)-FIND("/",AQ498)-1))),""))</f>
        <v/>
      </c>
      <c r="AS498" s="26">
        <f>IF(G498="","",IF(AND(AG498&lt;&gt;"",AG498&lt;&gt;"Bayi Aracı"),"Evet","Hayır"))</f>
        <v/>
      </c>
      <c r="AT498" s="26">
        <f>IF(G498="","",IF(AND(AS498="Evet",T498="Siparişiniz Teslim Edildi"),"Evet","Hayır"))</f>
        <v/>
      </c>
      <c r="AU498" s="26">
        <f>IF(G498="","",IF(AB498="Siparişinizin Montajı Yapıldı","Evet","Hayır"))</f>
        <v/>
      </c>
      <c r="AV498" s="27">
        <f>IF(G498="","",IF(AT498="Evet",AR498,IF(AU498="Evet",AP498,"")))</f>
        <v/>
      </c>
    </row>
    <row r="499">
      <c r="A499" s="23" t="n"/>
      <c r="B499" s="23" t="n"/>
      <c r="C499" s="23" t="n"/>
      <c r="D499" s="23" t="n"/>
      <c r="E499" s="23" t="n"/>
      <c r="F499" s="23" t="n"/>
      <c r="G499" s="23" t="n"/>
      <c r="H499" s="23" t="n"/>
      <c r="I499" s="23" t="n"/>
      <c r="J499" s="23" t="n"/>
      <c r="K499" s="23" t="n"/>
      <c r="L499" s="23" t="n"/>
      <c r="M499" s="23" t="n"/>
      <c r="N499" s="23" t="n"/>
      <c r="O499" s="23" t="n"/>
      <c r="P499" s="23" t="n"/>
      <c r="Q499" s="23" t="n"/>
      <c r="R499" s="23" t="n"/>
      <c r="S499" s="23" t="n"/>
      <c r="T499" s="23" t="n"/>
      <c r="U499" s="23" t="n"/>
      <c r="V499" s="23" t="n"/>
      <c r="W499" s="23" t="n"/>
      <c r="X499" s="23" t="n"/>
      <c r="Y499" s="23" t="n"/>
      <c r="Z499" s="23" t="n"/>
      <c r="AA499" s="23" t="n"/>
      <c r="AB499" s="23" t="n"/>
      <c r="AC499" s="23" t="n"/>
      <c r="AD499" s="23" t="n"/>
      <c r="AE499" s="23" t="n"/>
      <c r="AF499" s="23" t="n"/>
      <c r="AG499" s="23" t="n"/>
      <c r="AH499" s="23" t="n"/>
      <c r="AI499" s="23" t="n"/>
      <c r="AJ499" s="23" t="n"/>
      <c r="AK499" s="23" t="n"/>
      <c r="AL499" s="23" t="n"/>
      <c r="AM499" s="26">
        <f>IF(G499="","",G499&amp;"|"&amp;P499)</f>
        <v/>
      </c>
      <c r="AN499" s="27">
        <f>IF(I499="","",IFERROR(DATE(VALUE(RIGHT(I499,4)),VALUE(MID(I499,4,2)),VALUE(LEFT(I499,2))),""))</f>
        <v/>
      </c>
      <c r="AO499" s="27">
        <f>IF(Y499="","",IFERROR(DATE(VALUE(RIGHT(Y499,4)),VALUE(MID(Y499,4,2)),VALUE(LEFT(Y499,2))),""))</f>
        <v/>
      </c>
      <c r="AP499" s="27">
        <f>IF(AC499="","",IFERROR(DATE(VALUE(RIGHT(AC499,4)),VALUE(MID(AC499,4,2)),VALUE(LEFT(AC499,2))),""))</f>
        <v/>
      </c>
      <c r="AQ499" s="26">
        <f>IF(AI499="","",TRIM(LEFT(AI499,FIND(" ",AI499&amp;" ")-1)))</f>
        <v/>
      </c>
      <c r="AR499" s="27">
        <f>IF(AQ499="","",IFERROR(DATE(VALUE(MID(AQ499,FIND("/",AQ499,FIND("/",AQ499)+1)+1,4)),VALUE(LEFT(AQ499,FIND("/",AQ499)-1)),VALUE(MID(AQ499,FIND("/",AQ499)+1,FIND("/",AQ499,FIND("/",AQ499)+1)-FIND("/",AQ499)-1))),""))</f>
        <v/>
      </c>
      <c r="AS499" s="26">
        <f>IF(G499="","",IF(AND(AG499&lt;&gt;"",AG499&lt;&gt;"Bayi Aracı"),"Evet","Hayır"))</f>
        <v/>
      </c>
      <c r="AT499" s="26">
        <f>IF(G499="","",IF(AND(AS499="Evet",T499="Siparişiniz Teslim Edildi"),"Evet","Hayır"))</f>
        <v/>
      </c>
      <c r="AU499" s="26">
        <f>IF(G499="","",IF(AB499="Siparişinizin Montajı Yapıldı","Evet","Hayır"))</f>
        <v/>
      </c>
      <c r="AV499" s="27">
        <f>IF(G499="","",IF(AT499="Evet",AR499,IF(AU499="Evet",AP499,"")))</f>
        <v/>
      </c>
    </row>
    <row r="500">
      <c r="A500" s="23" t="n"/>
      <c r="B500" s="23" t="n"/>
      <c r="C500" s="23" t="n"/>
      <c r="D500" s="23" t="n"/>
      <c r="E500" s="23" t="n"/>
      <c r="F500" s="23" t="n"/>
      <c r="G500" s="23" t="n"/>
      <c r="H500" s="23" t="n"/>
      <c r="I500" s="23" t="n"/>
      <c r="J500" s="23" t="n"/>
      <c r="K500" s="23" t="n"/>
      <c r="L500" s="23" t="n"/>
      <c r="M500" s="23" t="n"/>
      <c r="N500" s="23" t="n"/>
      <c r="O500" s="23" t="n"/>
      <c r="P500" s="23" t="n"/>
      <c r="Q500" s="23" t="n"/>
      <c r="R500" s="23" t="n"/>
      <c r="S500" s="23" t="n"/>
      <c r="T500" s="23" t="n"/>
      <c r="U500" s="23" t="n"/>
      <c r="V500" s="23" t="n"/>
      <c r="W500" s="23" t="n"/>
      <c r="X500" s="23" t="n"/>
      <c r="Y500" s="23" t="n"/>
      <c r="Z500" s="23" t="n"/>
      <c r="AA500" s="23" t="n"/>
      <c r="AB500" s="23" t="n"/>
      <c r="AC500" s="23" t="n"/>
      <c r="AD500" s="23" t="n"/>
      <c r="AE500" s="23" t="n"/>
      <c r="AF500" s="23" t="n"/>
      <c r="AG500" s="23" t="n"/>
      <c r="AH500" s="23" t="n"/>
      <c r="AI500" s="23" t="n"/>
      <c r="AJ500" s="23" t="n"/>
      <c r="AK500" s="23" t="n"/>
      <c r="AL500" s="23" t="n"/>
      <c r="AM500" s="26">
        <f>IF(G500="","",G500&amp;"|"&amp;P500)</f>
        <v/>
      </c>
      <c r="AN500" s="27">
        <f>IF(I500="","",IFERROR(DATE(VALUE(RIGHT(I500,4)),VALUE(MID(I500,4,2)),VALUE(LEFT(I500,2))),""))</f>
        <v/>
      </c>
      <c r="AO500" s="27">
        <f>IF(Y500="","",IFERROR(DATE(VALUE(RIGHT(Y500,4)),VALUE(MID(Y500,4,2)),VALUE(LEFT(Y500,2))),""))</f>
        <v/>
      </c>
      <c r="AP500" s="27">
        <f>IF(AC500="","",IFERROR(DATE(VALUE(RIGHT(AC500,4)),VALUE(MID(AC500,4,2)),VALUE(LEFT(AC500,2))),""))</f>
        <v/>
      </c>
      <c r="AQ500" s="26">
        <f>IF(AI500="","",TRIM(LEFT(AI500,FIND(" ",AI500&amp;" ")-1)))</f>
        <v/>
      </c>
      <c r="AR500" s="27">
        <f>IF(AQ500="","",IFERROR(DATE(VALUE(MID(AQ500,FIND("/",AQ500,FIND("/",AQ500)+1)+1,4)),VALUE(LEFT(AQ500,FIND("/",AQ500)-1)),VALUE(MID(AQ500,FIND("/",AQ500)+1,FIND("/",AQ500,FIND("/",AQ500)+1)-FIND("/",AQ500)-1))),""))</f>
        <v/>
      </c>
      <c r="AS500" s="26">
        <f>IF(G500="","",IF(AND(AG500&lt;&gt;"",AG500&lt;&gt;"Bayi Aracı"),"Evet","Hayır"))</f>
        <v/>
      </c>
      <c r="AT500" s="26">
        <f>IF(G500="","",IF(AND(AS500="Evet",T500="Siparişiniz Teslim Edildi"),"Evet","Hayır"))</f>
        <v/>
      </c>
      <c r="AU500" s="26">
        <f>IF(G500="","",IF(AB500="Siparişinizin Montajı Yapıldı","Evet","Hayır"))</f>
        <v/>
      </c>
      <c r="AV500" s="27">
        <f>IF(G500="","",IF(AT500="Evet",AR500,IF(AU500="Evet",AP500,"")))</f>
        <v/>
      </c>
    </row>
    <row r="501">
      <c r="A501" s="23" t="n"/>
      <c r="B501" s="23" t="n"/>
      <c r="C501" s="23" t="n"/>
      <c r="D501" s="23" t="n"/>
      <c r="E501" s="23" t="n"/>
      <c r="F501" s="23" t="n"/>
      <c r="G501" s="23" t="n"/>
      <c r="H501" s="23" t="n"/>
      <c r="I501" s="23" t="n"/>
      <c r="J501" s="23" t="n"/>
      <c r="K501" s="23" t="n"/>
      <c r="L501" s="23" t="n"/>
      <c r="M501" s="23" t="n"/>
      <c r="N501" s="23" t="n"/>
      <c r="O501" s="23" t="n"/>
      <c r="P501" s="23" t="n"/>
      <c r="Q501" s="23" t="n"/>
      <c r="R501" s="23" t="n"/>
      <c r="S501" s="23" t="n"/>
      <c r="T501" s="23" t="n"/>
      <c r="U501" s="23" t="n"/>
      <c r="V501" s="23" t="n"/>
      <c r="W501" s="23" t="n"/>
      <c r="X501" s="23" t="n"/>
      <c r="Y501" s="23" t="n"/>
      <c r="Z501" s="23" t="n"/>
      <c r="AA501" s="23" t="n"/>
      <c r="AB501" s="23" t="n"/>
      <c r="AC501" s="23" t="n"/>
      <c r="AD501" s="23" t="n"/>
      <c r="AE501" s="23" t="n"/>
      <c r="AF501" s="23" t="n"/>
      <c r="AG501" s="23" t="n"/>
      <c r="AH501" s="23" t="n"/>
      <c r="AI501" s="23" t="n"/>
      <c r="AJ501" s="23" t="n"/>
      <c r="AK501" s="23" t="n"/>
      <c r="AL501" s="23" t="n"/>
      <c r="AM501" s="26">
        <f>IF(G501="","",G501&amp;"|"&amp;P501)</f>
        <v/>
      </c>
      <c r="AN501" s="27">
        <f>IF(I501="","",IFERROR(DATE(VALUE(RIGHT(I501,4)),VALUE(MID(I501,4,2)),VALUE(LEFT(I501,2))),""))</f>
        <v/>
      </c>
      <c r="AO501" s="27">
        <f>IF(Y501="","",IFERROR(DATE(VALUE(RIGHT(Y501,4)),VALUE(MID(Y501,4,2)),VALUE(LEFT(Y501,2))),""))</f>
        <v/>
      </c>
      <c r="AP501" s="27">
        <f>IF(AC501="","",IFERROR(DATE(VALUE(RIGHT(AC501,4)),VALUE(MID(AC501,4,2)),VALUE(LEFT(AC501,2))),""))</f>
        <v/>
      </c>
      <c r="AQ501" s="26">
        <f>IF(AI501="","",TRIM(LEFT(AI501,FIND(" ",AI501&amp;" ")-1)))</f>
        <v/>
      </c>
      <c r="AR501" s="27">
        <f>IF(AQ501="","",IFERROR(DATE(VALUE(MID(AQ501,FIND("/",AQ501,FIND("/",AQ501)+1)+1,4)),VALUE(LEFT(AQ501,FIND("/",AQ501)-1)),VALUE(MID(AQ501,FIND("/",AQ501)+1,FIND("/",AQ501,FIND("/",AQ501)+1)-FIND("/",AQ501)-1))),""))</f>
        <v/>
      </c>
      <c r="AS501" s="26">
        <f>IF(G501="","",IF(AND(AG501&lt;&gt;"",AG501&lt;&gt;"Bayi Aracı"),"Evet","Hayır"))</f>
        <v/>
      </c>
      <c r="AT501" s="26">
        <f>IF(G501="","",IF(AND(AS501="Evet",T501="Siparişiniz Teslim Edildi"),"Evet","Hayır"))</f>
        <v/>
      </c>
      <c r="AU501" s="26">
        <f>IF(G501="","",IF(AB501="Siparişinizin Montajı Yapıldı","Evet","Hayır"))</f>
        <v/>
      </c>
      <c r="AV501" s="27">
        <f>IF(G501="","",IF(AT501="Evet",AR501,IF(AU501="Evet",AP501,"")))</f>
        <v/>
      </c>
    </row>
    <row r="502">
      <c r="A502" s="23" t="n"/>
      <c r="B502" s="23" t="n"/>
      <c r="C502" s="23" t="n"/>
      <c r="D502" s="23" t="n"/>
      <c r="E502" s="23" t="n"/>
      <c r="F502" s="23" t="n"/>
      <c r="G502" s="23" t="n"/>
      <c r="H502" s="23" t="n"/>
      <c r="I502" s="23" t="n"/>
      <c r="J502" s="23" t="n"/>
      <c r="K502" s="23" t="n"/>
      <c r="L502" s="23" t="n"/>
      <c r="M502" s="23" t="n"/>
      <c r="N502" s="23" t="n"/>
      <c r="O502" s="23" t="n"/>
      <c r="P502" s="23" t="n"/>
      <c r="Q502" s="23" t="n"/>
      <c r="R502" s="23" t="n"/>
      <c r="S502" s="23" t="n"/>
      <c r="T502" s="23" t="n"/>
      <c r="U502" s="23" t="n"/>
      <c r="V502" s="23" t="n"/>
      <c r="W502" s="23" t="n"/>
      <c r="X502" s="23" t="n"/>
      <c r="Y502" s="23" t="n"/>
      <c r="Z502" s="23" t="n"/>
      <c r="AA502" s="23" t="n"/>
      <c r="AB502" s="23" t="n"/>
      <c r="AC502" s="23" t="n"/>
      <c r="AD502" s="23" t="n"/>
      <c r="AE502" s="23" t="n"/>
      <c r="AF502" s="23" t="n"/>
      <c r="AG502" s="23" t="n"/>
      <c r="AH502" s="23" t="n"/>
      <c r="AI502" s="23" t="n"/>
      <c r="AJ502" s="23" t="n"/>
      <c r="AK502" s="23" t="n"/>
      <c r="AL502" s="23" t="n"/>
      <c r="AM502" s="26">
        <f>IF(G502="","",G502&amp;"|"&amp;P502)</f>
        <v/>
      </c>
      <c r="AN502" s="27">
        <f>IF(I502="","",IFERROR(DATE(VALUE(RIGHT(I502,4)),VALUE(MID(I502,4,2)),VALUE(LEFT(I502,2))),""))</f>
        <v/>
      </c>
      <c r="AO502" s="27">
        <f>IF(Y502="","",IFERROR(DATE(VALUE(RIGHT(Y502,4)),VALUE(MID(Y502,4,2)),VALUE(LEFT(Y502,2))),""))</f>
        <v/>
      </c>
      <c r="AP502" s="27">
        <f>IF(AC502="","",IFERROR(DATE(VALUE(RIGHT(AC502,4)),VALUE(MID(AC502,4,2)),VALUE(LEFT(AC502,2))),""))</f>
        <v/>
      </c>
      <c r="AQ502" s="26">
        <f>IF(AI502="","",TRIM(LEFT(AI502,FIND(" ",AI502&amp;" ")-1)))</f>
        <v/>
      </c>
      <c r="AR502" s="27">
        <f>IF(AQ502="","",IFERROR(DATE(VALUE(MID(AQ502,FIND("/",AQ502,FIND("/",AQ502)+1)+1,4)),VALUE(LEFT(AQ502,FIND("/",AQ502)-1)),VALUE(MID(AQ502,FIND("/",AQ502)+1,FIND("/",AQ502,FIND("/",AQ502)+1)-FIND("/",AQ502)-1))),""))</f>
        <v/>
      </c>
      <c r="AS502" s="26">
        <f>IF(G502="","",IF(AND(AG502&lt;&gt;"",AG502&lt;&gt;"Bayi Aracı"),"Evet","Hayır"))</f>
        <v/>
      </c>
      <c r="AT502" s="26">
        <f>IF(G502="","",IF(AND(AS502="Evet",T502="Siparişiniz Teslim Edildi"),"Evet","Hayır"))</f>
        <v/>
      </c>
      <c r="AU502" s="26">
        <f>IF(G502="","",IF(AB502="Siparişinizin Montajı Yapıldı","Evet","Hayır"))</f>
        <v/>
      </c>
      <c r="AV502" s="27">
        <f>IF(G502="","",IF(AT502="Evet",AR502,IF(AU502="Evet",AP502,"")))</f>
        <v/>
      </c>
    </row>
    <row r="503">
      <c r="A503" s="23" t="n"/>
      <c r="B503" s="23" t="n"/>
      <c r="C503" s="23" t="n"/>
      <c r="D503" s="23" t="n"/>
      <c r="E503" s="23" t="n"/>
      <c r="F503" s="23" t="n"/>
      <c r="G503" s="23" t="n"/>
      <c r="H503" s="23" t="n"/>
      <c r="I503" s="23" t="n"/>
      <c r="J503" s="23" t="n"/>
      <c r="K503" s="23" t="n"/>
      <c r="L503" s="23" t="n"/>
      <c r="M503" s="23" t="n"/>
      <c r="N503" s="23" t="n"/>
      <c r="O503" s="23" t="n"/>
      <c r="P503" s="23" t="n"/>
      <c r="Q503" s="23" t="n"/>
      <c r="R503" s="23" t="n"/>
      <c r="S503" s="23" t="n"/>
      <c r="T503" s="23" t="n"/>
      <c r="U503" s="23" t="n"/>
      <c r="V503" s="23" t="n"/>
      <c r="W503" s="23" t="n"/>
      <c r="X503" s="23" t="n"/>
      <c r="Y503" s="23" t="n"/>
      <c r="Z503" s="23" t="n"/>
      <c r="AA503" s="23" t="n"/>
      <c r="AB503" s="23" t="n"/>
      <c r="AC503" s="23" t="n"/>
      <c r="AD503" s="23" t="n"/>
      <c r="AE503" s="23" t="n"/>
      <c r="AF503" s="23" t="n"/>
      <c r="AG503" s="23" t="n"/>
      <c r="AH503" s="23" t="n"/>
      <c r="AI503" s="23" t="n"/>
      <c r="AJ503" s="23" t="n"/>
      <c r="AK503" s="23" t="n"/>
      <c r="AL503" s="23" t="n"/>
      <c r="AM503" s="26">
        <f>IF(G503="","",G503&amp;"|"&amp;P503)</f>
        <v/>
      </c>
      <c r="AN503" s="27">
        <f>IF(I503="","",IFERROR(DATE(VALUE(RIGHT(I503,4)),VALUE(MID(I503,4,2)),VALUE(LEFT(I503,2))),""))</f>
        <v/>
      </c>
      <c r="AO503" s="27">
        <f>IF(Y503="","",IFERROR(DATE(VALUE(RIGHT(Y503,4)),VALUE(MID(Y503,4,2)),VALUE(LEFT(Y503,2))),""))</f>
        <v/>
      </c>
      <c r="AP503" s="27">
        <f>IF(AC503="","",IFERROR(DATE(VALUE(RIGHT(AC503,4)),VALUE(MID(AC503,4,2)),VALUE(LEFT(AC503,2))),""))</f>
        <v/>
      </c>
      <c r="AQ503" s="26">
        <f>IF(AI503="","",TRIM(LEFT(AI503,FIND(" ",AI503&amp;" ")-1)))</f>
        <v/>
      </c>
      <c r="AR503" s="27">
        <f>IF(AQ503="","",IFERROR(DATE(VALUE(MID(AQ503,FIND("/",AQ503,FIND("/",AQ503)+1)+1,4)),VALUE(LEFT(AQ503,FIND("/",AQ503)-1)),VALUE(MID(AQ503,FIND("/",AQ503)+1,FIND("/",AQ503,FIND("/",AQ503)+1)-FIND("/",AQ503)-1))),""))</f>
        <v/>
      </c>
      <c r="AS503" s="26">
        <f>IF(G503="","",IF(AND(AG503&lt;&gt;"",AG503&lt;&gt;"Bayi Aracı"),"Evet","Hayır"))</f>
        <v/>
      </c>
      <c r="AT503" s="26">
        <f>IF(G503="","",IF(AND(AS503="Evet",T503="Siparişiniz Teslim Edildi"),"Evet","Hayır"))</f>
        <v/>
      </c>
      <c r="AU503" s="26">
        <f>IF(G503="","",IF(AB503="Siparişinizin Montajı Yapıldı","Evet","Hayır"))</f>
        <v/>
      </c>
      <c r="AV503" s="27">
        <f>IF(G503="","",IF(AT503="Evet",AR503,IF(AU503="Evet",AP503,"")))</f>
        <v/>
      </c>
    </row>
    <row r="504">
      <c r="A504" s="23" t="n"/>
      <c r="B504" s="23" t="n"/>
      <c r="C504" s="23" t="n"/>
      <c r="D504" s="23" t="n"/>
      <c r="E504" s="23" t="n"/>
      <c r="F504" s="23" t="n"/>
      <c r="G504" s="23" t="n"/>
      <c r="H504" s="23" t="n"/>
      <c r="I504" s="23" t="n"/>
      <c r="J504" s="23" t="n"/>
      <c r="K504" s="23" t="n"/>
      <c r="L504" s="23" t="n"/>
      <c r="M504" s="23" t="n"/>
      <c r="N504" s="23" t="n"/>
      <c r="O504" s="23" t="n"/>
      <c r="P504" s="23" t="n"/>
      <c r="Q504" s="23" t="n"/>
      <c r="R504" s="23" t="n"/>
      <c r="S504" s="23" t="n"/>
      <c r="T504" s="23" t="n"/>
      <c r="U504" s="23" t="n"/>
      <c r="V504" s="23" t="n"/>
      <c r="W504" s="23" t="n"/>
      <c r="X504" s="23" t="n"/>
      <c r="Y504" s="23" t="n"/>
      <c r="Z504" s="23" t="n"/>
      <c r="AA504" s="23" t="n"/>
      <c r="AB504" s="23" t="n"/>
      <c r="AC504" s="23" t="n"/>
      <c r="AD504" s="23" t="n"/>
      <c r="AE504" s="23" t="n"/>
      <c r="AF504" s="23" t="n"/>
      <c r="AG504" s="23" t="n"/>
      <c r="AH504" s="23" t="n"/>
      <c r="AI504" s="23" t="n"/>
      <c r="AJ504" s="23" t="n"/>
      <c r="AK504" s="23" t="n"/>
      <c r="AL504" s="23" t="n"/>
      <c r="AM504" s="26">
        <f>IF(G504="","",G504&amp;"|"&amp;P504)</f>
        <v/>
      </c>
      <c r="AN504" s="27">
        <f>IF(I504="","",IFERROR(DATE(VALUE(RIGHT(I504,4)),VALUE(MID(I504,4,2)),VALUE(LEFT(I504,2))),""))</f>
        <v/>
      </c>
      <c r="AO504" s="27">
        <f>IF(Y504="","",IFERROR(DATE(VALUE(RIGHT(Y504,4)),VALUE(MID(Y504,4,2)),VALUE(LEFT(Y504,2))),""))</f>
        <v/>
      </c>
      <c r="AP504" s="27">
        <f>IF(AC504="","",IFERROR(DATE(VALUE(RIGHT(AC504,4)),VALUE(MID(AC504,4,2)),VALUE(LEFT(AC504,2))),""))</f>
        <v/>
      </c>
      <c r="AQ504" s="26">
        <f>IF(AI504="","",TRIM(LEFT(AI504,FIND(" ",AI504&amp;" ")-1)))</f>
        <v/>
      </c>
      <c r="AR504" s="27">
        <f>IF(AQ504="","",IFERROR(DATE(VALUE(MID(AQ504,FIND("/",AQ504,FIND("/",AQ504)+1)+1,4)),VALUE(LEFT(AQ504,FIND("/",AQ504)-1)),VALUE(MID(AQ504,FIND("/",AQ504)+1,FIND("/",AQ504,FIND("/",AQ504)+1)-FIND("/",AQ504)-1))),""))</f>
        <v/>
      </c>
      <c r="AS504" s="26">
        <f>IF(G504="","",IF(AND(AG504&lt;&gt;"",AG504&lt;&gt;"Bayi Aracı"),"Evet","Hayır"))</f>
        <v/>
      </c>
      <c r="AT504" s="26">
        <f>IF(G504="","",IF(AND(AS504="Evet",T504="Siparişiniz Teslim Edildi"),"Evet","Hayır"))</f>
        <v/>
      </c>
      <c r="AU504" s="26">
        <f>IF(G504="","",IF(AB504="Siparişinizin Montajı Yapıldı","Evet","Hayır"))</f>
        <v/>
      </c>
      <c r="AV504" s="27">
        <f>IF(G504="","",IF(AT504="Evet",AR504,IF(AU504="Evet",AP504,"")))</f>
        <v/>
      </c>
    </row>
    <row r="505">
      <c r="A505" s="23" t="n"/>
      <c r="B505" s="23" t="n"/>
      <c r="C505" s="23" t="n"/>
      <c r="D505" s="23" t="n"/>
      <c r="E505" s="23" t="n"/>
      <c r="F505" s="23" t="n"/>
      <c r="G505" s="23" t="n"/>
      <c r="H505" s="23" t="n"/>
      <c r="I505" s="23" t="n"/>
      <c r="J505" s="23" t="n"/>
      <c r="K505" s="23" t="n"/>
      <c r="L505" s="23" t="n"/>
      <c r="M505" s="23" t="n"/>
      <c r="N505" s="23" t="n"/>
      <c r="O505" s="23" t="n"/>
      <c r="P505" s="23" t="n"/>
      <c r="Q505" s="23" t="n"/>
      <c r="R505" s="23" t="n"/>
      <c r="S505" s="23" t="n"/>
      <c r="T505" s="23" t="n"/>
      <c r="U505" s="23" t="n"/>
      <c r="V505" s="23" t="n"/>
      <c r="W505" s="23" t="n"/>
      <c r="X505" s="23" t="n"/>
      <c r="Y505" s="23" t="n"/>
      <c r="Z505" s="23" t="n"/>
      <c r="AA505" s="23" t="n"/>
      <c r="AB505" s="23" t="n"/>
      <c r="AC505" s="23" t="n"/>
      <c r="AD505" s="23" t="n"/>
      <c r="AE505" s="23" t="n"/>
      <c r="AF505" s="23" t="n"/>
      <c r="AG505" s="23" t="n"/>
      <c r="AH505" s="23" t="n"/>
      <c r="AI505" s="23" t="n"/>
      <c r="AJ505" s="23" t="n"/>
      <c r="AK505" s="23" t="n"/>
      <c r="AL505" s="23" t="n"/>
      <c r="AM505" s="26">
        <f>IF(G505="","",G505&amp;"|"&amp;P505)</f>
        <v/>
      </c>
      <c r="AN505" s="27">
        <f>IF(I505="","",IFERROR(DATE(VALUE(RIGHT(I505,4)),VALUE(MID(I505,4,2)),VALUE(LEFT(I505,2))),""))</f>
        <v/>
      </c>
      <c r="AO505" s="27">
        <f>IF(Y505="","",IFERROR(DATE(VALUE(RIGHT(Y505,4)),VALUE(MID(Y505,4,2)),VALUE(LEFT(Y505,2))),""))</f>
        <v/>
      </c>
      <c r="AP505" s="27">
        <f>IF(AC505="","",IFERROR(DATE(VALUE(RIGHT(AC505,4)),VALUE(MID(AC505,4,2)),VALUE(LEFT(AC505,2))),""))</f>
        <v/>
      </c>
      <c r="AQ505" s="26">
        <f>IF(AI505="","",TRIM(LEFT(AI505,FIND(" ",AI505&amp;" ")-1)))</f>
        <v/>
      </c>
      <c r="AR505" s="27">
        <f>IF(AQ505="","",IFERROR(DATE(VALUE(MID(AQ505,FIND("/",AQ505,FIND("/",AQ505)+1)+1,4)),VALUE(LEFT(AQ505,FIND("/",AQ505)-1)),VALUE(MID(AQ505,FIND("/",AQ505)+1,FIND("/",AQ505,FIND("/",AQ505)+1)-FIND("/",AQ505)-1))),""))</f>
        <v/>
      </c>
      <c r="AS505" s="26">
        <f>IF(G505="","",IF(AND(AG505&lt;&gt;"",AG505&lt;&gt;"Bayi Aracı"),"Evet","Hayır"))</f>
        <v/>
      </c>
      <c r="AT505" s="26">
        <f>IF(G505="","",IF(AND(AS505="Evet",T505="Siparişiniz Teslim Edildi"),"Evet","Hayır"))</f>
        <v/>
      </c>
      <c r="AU505" s="26">
        <f>IF(G505="","",IF(AB505="Siparişinizin Montajı Yapıldı","Evet","Hayır"))</f>
        <v/>
      </c>
      <c r="AV505" s="27">
        <f>IF(G505="","",IF(AT505="Evet",AR505,IF(AU505="Evet",AP505,"")))</f>
        <v/>
      </c>
    </row>
    <row r="506">
      <c r="A506" s="23" t="n"/>
      <c r="B506" s="23" t="n"/>
      <c r="C506" s="23" t="n"/>
      <c r="D506" s="23" t="n"/>
      <c r="E506" s="23" t="n"/>
      <c r="F506" s="23" t="n"/>
      <c r="G506" s="23" t="n"/>
      <c r="H506" s="23" t="n"/>
      <c r="I506" s="23" t="n"/>
      <c r="J506" s="23" t="n"/>
      <c r="K506" s="23" t="n"/>
      <c r="L506" s="23" t="n"/>
      <c r="M506" s="23" t="n"/>
      <c r="N506" s="23" t="n"/>
      <c r="O506" s="23" t="n"/>
      <c r="P506" s="23" t="n"/>
      <c r="Q506" s="23" t="n"/>
      <c r="R506" s="23" t="n"/>
      <c r="S506" s="23" t="n"/>
      <c r="T506" s="23" t="n"/>
      <c r="U506" s="23" t="n"/>
      <c r="V506" s="23" t="n"/>
      <c r="W506" s="23" t="n"/>
      <c r="X506" s="23" t="n"/>
      <c r="Y506" s="23" t="n"/>
      <c r="Z506" s="23" t="n"/>
      <c r="AA506" s="23" t="n"/>
      <c r="AB506" s="23" t="n"/>
      <c r="AC506" s="23" t="n"/>
      <c r="AD506" s="23" t="n"/>
      <c r="AE506" s="23" t="n"/>
      <c r="AF506" s="23" t="n"/>
      <c r="AG506" s="23" t="n"/>
      <c r="AH506" s="23" t="n"/>
      <c r="AI506" s="23" t="n"/>
      <c r="AJ506" s="23" t="n"/>
      <c r="AK506" s="23" t="n"/>
      <c r="AL506" s="23" t="n"/>
      <c r="AM506" s="26">
        <f>IF(G506="","",G506&amp;"|"&amp;P506)</f>
        <v/>
      </c>
      <c r="AN506" s="27">
        <f>IF(I506="","",IFERROR(DATE(VALUE(RIGHT(I506,4)),VALUE(MID(I506,4,2)),VALUE(LEFT(I506,2))),""))</f>
        <v/>
      </c>
      <c r="AO506" s="27">
        <f>IF(Y506="","",IFERROR(DATE(VALUE(RIGHT(Y506,4)),VALUE(MID(Y506,4,2)),VALUE(LEFT(Y506,2))),""))</f>
        <v/>
      </c>
      <c r="AP506" s="27">
        <f>IF(AC506="","",IFERROR(DATE(VALUE(RIGHT(AC506,4)),VALUE(MID(AC506,4,2)),VALUE(LEFT(AC506,2))),""))</f>
        <v/>
      </c>
      <c r="AQ506" s="26">
        <f>IF(AI506="","",TRIM(LEFT(AI506,FIND(" ",AI506&amp;" ")-1)))</f>
        <v/>
      </c>
      <c r="AR506" s="27">
        <f>IF(AQ506="","",IFERROR(DATE(VALUE(MID(AQ506,FIND("/",AQ506,FIND("/",AQ506)+1)+1,4)),VALUE(LEFT(AQ506,FIND("/",AQ506)-1)),VALUE(MID(AQ506,FIND("/",AQ506)+1,FIND("/",AQ506,FIND("/",AQ506)+1)-FIND("/",AQ506)-1))),""))</f>
        <v/>
      </c>
      <c r="AS506" s="26">
        <f>IF(G506="","",IF(AND(AG506&lt;&gt;"",AG506&lt;&gt;"Bayi Aracı"),"Evet","Hayır"))</f>
        <v/>
      </c>
      <c r="AT506" s="26">
        <f>IF(G506="","",IF(AND(AS506="Evet",T506="Siparişiniz Teslim Edildi"),"Evet","Hayır"))</f>
        <v/>
      </c>
      <c r="AU506" s="26">
        <f>IF(G506="","",IF(AB506="Siparişinizin Montajı Yapıldı","Evet","Hayır"))</f>
        <v/>
      </c>
      <c r="AV506" s="27">
        <f>IF(G506="","",IF(AT506="Evet",AR506,IF(AU506="Evet",AP506,"")))</f>
        <v/>
      </c>
    </row>
    <row r="507">
      <c r="A507" s="23" t="n"/>
      <c r="B507" s="23" t="n"/>
      <c r="C507" s="23" t="n"/>
      <c r="D507" s="23" t="n"/>
      <c r="E507" s="23" t="n"/>
      <c r="F507" s="23" t="n"/>
      <c r="G507" s="23" t="n"/>
      <c r="H507" s="23" t="n"/>
      <c r="I507" s="23" t="n"/>
      <c r="J507" s="23" t="n"/>
      <c r="K507" s="23" t="n"/>
      <c r="L507" s="23" t="n"/>
      <c r="M507" s="23" t="n"/>
      <c r="N507" s="23" t="n"/>
      <c r="O507" s="23" t="n"/>
      <c r="P507" s="23" t="n"/>
      <c r="Q507" s="23" t="n"/>
      <c r="R507" s="23" t="n"/>
      <c r="S507" s="23" t="n"/>
      <c r="T507" s="23" t="n"/>
      <c r="U507" s="23" t="n"/>
      <c r="V507" s="23" t="n"/>
      <c r="W507" s="23" t="n"/>
      <c r="X507" s="23" t="n"/>
      <c r="Y507" s="23" t="n"/>
      <c r="Z507" s="23" t="n"/>
      <c r="AA507" s="23" t="n"/>
      <c r="AB507" s="23" t="n"/>
      <c r="AC507" s="23" t="n"/>
      <c r="AD507" s="23" t="n"/>
      <c r="AE507" s="23" t="n"/>
      <c r="AF507" s="23" t="n"/>
      <c r="AG507" s="23" t="n"/>
      <c r="AH507" s="23" t="n"/>
      <c r="AI507" s="23" t="n"/>
      <c r="AJ507" s="23" t="n"/>
      <c r="AK507" s="23" t="n"/>
      <c r="AL507" s="23" t="n"/>
      <c r="AM507" s="26">
        <f>IF(G507="","",G507&amp;"|"&amp;P507)</f>
        <v/>
      </c>
      <c r="AN507" s="27">
        <f>IF(I507="","",IFERROR(DATE(VALUE(RIGHT(I507,4)),VALUE(MID(I507,4,2)),VALUE(LEFT(I507,2))),""))</f>
        <v/>
      </c>
      <c r="AO507" s="27">
        <f>IF(Y507="","",IFERROR(DATE(VALUE(RIGHT(Y507,4)),VALUE(MID(Y507,4,2)),VALUE(LEFT(Y507,2))),""))</f>
        <v/>
      </c>
      <c r="AP507" s="27">
        <f>IF(AC507="","",IFERROR(DATE(VALUE(RIGHT(AC507,4)),VALUE(MID(AC507,4,2)),VALUE(LEFT(AC507,2))),""))</f>
        <v/>
      </c>
      <c r="AQ507" s="26">
        <f>IF(AI507="","",TRIM(LEFT(AI507,FIND(" ",AI507&amp;" ")-1)))</f>
        <v/>
      </c>
      <c r="AR507" s="27">
        <f>IF(AQ507="","",IFERROR(DATE(VALUE(MID(AQ507,FIND("/",AQ507,FIND("/",AQ507)+1)+1,4)),VALUE(LEFT(AQ507,FIND("/",AQ507)-1)),VALUE(MID(AQ507,FIND("/",AQ507)+1,FIND("/",AQ507,FIND("/",AQ507)+1)-FIND("/",AQ507)-1))),""))</f>
        <v/>
      </c>
      <c r="AS507" s="26">
        <f>IF(G507="","",IF(AND(AG507&lt;&gt;"",AG507&lt;&gt;"Bayi Aracı"),"Evet","Hayır"))</f>
        <v/>
      </c>
      <c r="AT507" s="26">
        <f>IF(G507="","",IF(AND(AS507="Evet",T507="Siparişiniz Teslim Edildi"),"Evet","Hayır"))</f>
        <v/>
      </c>
      <c r="AU507" s="26">
        <f>IF(G507="","",IF(AB507="Siparişinizin Montajı Yapıldı","Evet","Hayır"))</f>
        <v/>
      </c>
      <c r="AV507" s="27">
        <f>IF(G507="","",IF(AT507="Evet",AR507,IF(AU507="Evet",AP507,"")))</f>
        <v/>
      </c>
    </row>
    <row r="508">
      <c r="A508" s="23" t="n"/>
      <c r="B508" s="23" t="n"/>
      <c r="C508" s="23" t="n"/>
      <c r="D508" s="23" t="n"/>
      <c r="E508" s="23" t="n"/>
      <c r="F508" s="23" t="n"/>
      <c r="G508" s="23" t="n"/>
      <c r="H508" s="23" t="n"/>
      <c r="I508" s="23" t="n"/>
      <c r="J508" s="23" t="n"/>
      <c r="K508" s="23" t="n"/>
      <c r="L508" s="23" t="n"/>
      <c r="M508" s="23" t="n"/>
      <c r="N508" s="23" t="n"/>
      <c r="O508" s="23" t="n"/>
      <c r="P508" s="23" t="n"/>
      <c r="Q508" s="23" t="n"/>
      <c r="R508" s="23" t="n"/>
      <c r="S508" s="23" t="n"/>
      <c r="T508" s="23" t="n"/>
      <c r="U508" s="23" t="n"/>
      <c r="V508" s="23" t="n"/>
      <c r="W508" s="23" t="n"/>
      <c r="X508" s="23" t="n"/>
      <c r="Y508" s="23" t="n"/>
      <c r="Z508" s="23" t="n"/>
      <c r="AA508" s="23" t="n"/>
      <c r="AB508" s="23" t="n"/>
      <c r="AC508" s="23" t="n"/>
      <c r="AD508" s="23" t="n"/>
      <c r="AE508" s="23" t="n"/>
      <c r="AF508" s="23" t="n"/>
      <c r="AG508" s="23" t="n"/>
      <c r="AH508" s="23" t="n"/>
      <c r="AI508" s="23" t="n"/>
      <c r="AJ508" s="23" t="n"/>
      <c r="AK508" s="23" t="n"/>
      <c r="AL508" s="23" t="n"/>
      <c r="AM508" s="26">
        <f>IF(G508="","",G508&amp;"|"&amp;P508)</f>
        <v/>
      </c>
      <c r="AN508" s="27">
        <f>IF(I508="","",IFERROR(DATE(VALUE(RIGHT(I508,4)),VALUE(MID(I508,4,2)),VALUE(LEFT(I508,2))),""))</f>
        <v/>
      </c>
      <c r="AO508" s="27">
        <f>IF(Y508="","",IFERROR(DATE(VALUE(RIGHT(Y508,4)),VALUE(MID(Y508,4,2)),VALUE(LEFT(Y508,2))),""))</f>
        <v/>
      </c>
      <c r="AP508" s="27">
        <f>IF(AC508="","",IFERROR(DATE(VALUE(RIGHT(AC508,4)),VALUE(MID(AC508,4,2)),VALUE(LEFT(AC508,2))),""))</f>
        <v/>
      </c>
      <c r="AQ508" s="26">
        <f>IF(AI508="","",TRIM(LEFT(AI508,FIND(" ",AI508&amp;" ")-1)))</f>
        <v/>
      </c>
      <c r="AR508" s="27">
        <f>IF(AQ508="","",IFERROR(DATE(VALUE(MID(AQ508,FIND("/",AQ508,FIND("/",AQ508)+1)+1,4)),VALUE(LEFT(AQ508,FIND("/",AQ508)-1)),VALUE(MID(AQ508,FIND("/",AQ508)+1,FIND("/",AQ508,FIND("/",AQ508)+1)-FIND("/",AQ508)-1))),""))</f>
        <v/>
      </c>
      <c r="AS508" s="26">
        <f>IF(G508="","",IF(AND(AG508&lt;&gt;"",AG508&lt;&gt;"Bayi Aracı"),"Evet","Hayır"))</f>
        <v/>
      </c>
      <c r="AT508" s="26">
        <f>IF(G508="","",IF(AND(AS508="Evet",T508="Siparişiniz Teslim Edildi"),"Evet","Hayır"))</f>
        <v/>
      </c>
      <c r="AU508" s="26">
        <f>IF(G508="","",IF(AB508="Siparişinizin Montajı Yapıldı","Evet","Hayır"))</f>
        <v/>
      </c>
      <c r="AV508" s="27">
        <f>IF(G508="","",IF(AT508="Evet",AR508,IF(AU508="Evet",AP508,"")))</f>
        <v/>
      </c>
    </row>
    <row r="509">
      <c r="A509" s="23" t="n"/>
      <c r="B509" s="23" t="n"/>
      <c r="C509" s="23" t="n"/>
      <c r="D509" s="23" t="n"/>
      <c r="E509" s="23" t="n"/>
      <c r="F509" s="23" t="n"/>
      <c r="G509" s="23" t="n"/>
      <c r="H509" s="23" t="n"/>
      <c r="I509" s="23" t="n"/>
      <c r="J509" s="23" t="n"/>
      <c r="K509" s="23" t="n"/>
      <c r="L509" s="23" t="n"/>
      <c r="M509" s="23" t="n"/>
      <c r="N509" s="23" t="n"/>
      <c r="O509" s="23" t="n"/>
      <c r="P509" s="23" t="n"/>
      <c r="Q509" s="23" t="n"/>
      <c r="R509" s="23" t="n"/>
      <c r="S509" s="23" t="n"/>
      <c r="T509" s="23" t="n"/>
      <c r="U509" s="23" t="n"/>
      <c r="V509" s="23" t="n"/>
      <c r="W509" s="23" t="n"/>
      <c r="X509" s="23" t="n"/>
      <c r="Y509" s="23" t="n"/>
      <c r="Z509" s="23" t="n"/>
      <c r="AA509" s="23" t="n"/>
      <c r="AB509" s="23" t="n"/>
      <c r="AC509" s="23" t="n"/>
      <c r="AD509" s="23" t="n"/>
      <c r="AE509" s="23" t="n"/>
      <c r="AF509" s="23" t="n"/>
      <c r="AG509" s="23" t="n"/>
      <c r="AH509" s="23" t="n"/>
      <c r="AI509" s="23" t="n"/>
      <c r="AJ509" s="23" t="n"/>
      <c r="AK509" s="23" t="n"/>
      <c r="AL509" s="23" t="n"/>
      <c r="AM509" s="26">
        <f>IF(G509="","",G509&amp;"|"&amp;P509)</f>
        <v/>
      </c>
      <c r="AN509" s="27">
        <f>IF(I509="","",IFERROR(DATE(VALUE(RIGHT(I509,4)),VALUE(MID(I509,4,2)),VALUE(LEFT(I509,2))),""))</f>
        <v/>
      </c>
      <c r="AO509" s="27">
        <f>IF(Y509="","",IFERROR(DATE(VALUE(RIGHT(Y509,4)),VALUE(MID(Y509,4,2)),VALUE(LEFT(Y509,2))),""))</f>
        <v/>
      </c>
      <c r="AP509" s="27">
        <f>IF(AC509="","",IFERROR(DATE(VALUE(RIGHT(AC509,4)),VALUE(MID(AC509,4,2)),VALUE(LEFT(AC509,2))),""))</f>
        <v/>
      </c>
      <c r="AQ509" s="26">
        <f>IF(AI509="","",TRIM(LEFT(AI509,FIND(" ",AI509&amp;" ")-1)))</f>
        <v/>
      </c>
      <c r="AR509" s="27">
        <f>IF(AQ509="","",IFERROR(DATE(VALUE(MID(AQ509,FIND("/",AQ509,FIND("/",AQ509)+1)+1,4)),VALUE(LEFT(AQ509,FIND("/",AQ509)-1)),VALUE(MID(AQ509,FIND("/",AQ509)+1,FIND("/",AQ509,FIND("/",AQ509)+1)-FIND("/",AQ509)-1))),""))</f>
        <v/>
      </c>
      <c r="AS509" s="26">
        <f>IF(G509="","",IF(AND(AG509&lt;&gt;"",AG509&lt;&gt;"Bayi Aracı"),"Evet","Hayır"))</f>
        <v/>
      </c>
      <c r="AT509" s="26">
        <f>IF(G509="","",IF(AND(AS509="Evet",T509="Siparişiniz Teslim Edildi"),"Evet","Hayır"))</f>
        <v/>
      </c>
      <c r="AU509" s="26">
        <f>IF(G509="","",IF(AB509="Siparişinizin Montajı Yapıldı","Evet","Hayır"))</f>
        <v/>
      </c>
      <c r="AV509" s="27">
        <f>IF(G509="","",IF(AT509="Evet",AR509,IF(AU509="Evet",AP509,"")))</f>
        <v/>
      </c>
    </row>
    <row r="510">
      <c r="A510" s="23" t="n"/>
      <c r="B510" s="23" t="n"/>
      <c r="C510" s="23" t="n"/>
      <c r="D510" s="23" t="n"/>
      <c r="E510" s="23" t="n"/>
      <c r="F510" s="23" t="n"/>
      <c r="G510" s="23" t="n"/>
      <c r="H510" s="23" t="n"/>
      <c r="I510" s="23" t="n"/>
      <c r="J510" s="23" t="n"/>
      <c r="K510" s="23" t="n"/>
      <c r="L510" s="23" t="n"/>
      <c r="M510" s="23" t="n"/>
      <c r="N510" s="23" t="n"/>
      <c r="O510" s="23" t="n"/>
      <c r="P510" s="23" t="n"/>
      <c r="Q510" s="23" t="n"/>
      <c r="R510" s="23" t="n"/>
      <c r="S510" s="23" t="n"/>
      <c r="T510" s="23" t="n"/>
      <c r="U510" s="23" t="n"/>
      <c r="V510" s="23" t="n"/>
      <c r="W510" s="23" t="n"/>
      <c r="X510" s="23" t="n"/>
      <c r="Y510" s="23" t="n"/>
      <c r="Z510" s="23" t="n"/>
      <c r="AA510" s="23" t="n"/>
      <c r="AB510" s="23" t="n"/>
      <c r="AC510" s="23" t="n"/>
      <c r="AD510" s="23" t="n"/>
      <c r="AE510" s="23" t="n"/>
      <c r="AF510" s="23" t="n"/>
      <c r="AG510" s="23" t="n"/>
      <c r="AH510" s="23" t="n"/>
      <c r="AI510" s="23" t="n"/>
      <c r="AJ510" s="23" t="n"/>
      <c r="AK510" s="23" t="n"/>
      <c r="AL510" s="23" t="n"/>
      <c r="AM510" s="26">
        <f>IF(G510="","",G510&amp;"|"&amp;P510)</f>
        <v/>
      </c>
      <c r="AN510" s="27">
        <f>IF(I510="","",IFERROR(DATE(VALUE(RIGHT(I510,4)),VALUE(MID(I510,4,2)),VALUE(LEFT(I510,2))),""))</f>
        <v/>
      </c>
      <c r="AO510" s="27">
        <f>IF(Y510="","",IFERROR(DATE(VALUE(RIGHT(Y510,4)),VALUE(MID(Y510,4,2)),VALUE(LEFT(Y510,2))),""))</f>
        <v/>
      </c>
      <c r="AP510" s="27">
        <f>IF(AC510="","",IFERROR(DATE(VALUE(RIGHT(AC510,4)),VALUE(MID(AC510,4,2)),VALUE(LEFT(AC510,2))),""))</f>
        <v/>
      </c>
      <c r="AQ510" s="26">
        <f>IF(AI510="","",TRIM(LEFT(AI510,FIND(" ",AI510&amp;" ")-1)))</f>
        <v/>
      </c>
      <c r="AR510" s="27">
        <f>IF(AQ510="","",IFERROR(DATE(VALUE(MID(AQ510,FIND("/",AQ510,FIND("/",AQ510)+1)+1,4)),VALUE(LEFT(AQ510,FIND("/",AQ510)-1)),VALUE(MID(AQ510,FIND("/",AQ510)+1,FIND("/",AQ510,FIND("/",AQ510)+1)-FIND("/",AQ510)-1))),""))</f>
        <v/>
      </c>
      <c r="AS510" s="26">
        <f>IF(G510="","",IF(AND(AG510&lt;&gt;"",AG510&lt;&gt;"Bayi Aracı"),"Evet","Hayır"))</f>
        <v/>
      </c>
      <c r="AT510" s="26">
        <f>IF(G510="","",IF(AND(AS510="Evet",T510="Siparişiniz Teslim Edildi"),"Evet","Hayır"))</f>
        <v/>
      </c>
      <c r="AU510" s="26">
        <f>IF(G510="","",IF(AB510="Siparişinizin Montajı Yapıldı","Evet","Hayır"))</f>
        <v/>
      </c>
      <c r="AV510" s="27">
        <f>IF(G510="","",IF(AT510="Evet",AR510,IF(AU510="Evet",AP510,"")))</f>
        <v/>
      </c>
    </row>
    <row r="511">
      <c r="A511" s="23" t="n"/>
      <c r="B511" s="23" t="n"/>
      <c r="C511" s="23" t="n"/>
      <c r="D511" s="23" t="n"/>
      <c r="E511" s="23" t="n"/>
      <c r="F511" s="23" t="n"/>
      <c r="G511" s="23" t="n"/>
      <c r="H511" s="23" t="n"/>
      <c r="I511" s="23" t="n"/>
      <c r="J511" s="23" t="n"/>
      <c r="K511" s="23" t="n"/>
      <c r="L511" s="23" t="n"/>
      <c r="M511" s="23" t="n"/>
      <c r="N511" s="23" t="n"/>
      <c r="O511" s="23" t="n"/>
      <c r="P511" s="23" t="n"/>
      <c r="Q511" s="23" t="n"/>
      <c r="R511" s="23" t="n"/>
      <c r="S511" s="23" t="n"/>
      <c r="T511" s="23" t="n"/>
      <c r="U511" s="23" t="n"/>
      <c r="V511" s="23" t="n"/>
      <c r="W511" s="23" t="n"/>
      <c r="X511" s="23" t="n"/>
      <c r="Y511" s="23" t="n"/>
      <c r="Z511" s="23" t="n"/>
      <c r="AA511" s="23" t="n"/>
      <c r="AB511" s="23" t="n"/>
      <c r="AC511" s="23" t="n"/>
      <c r="AD511" s="23" t="n"/>
      <c r="AE511" s="23" t="n"/>
      <c r="AF511" s="23" t="n"/>
      <c r="AG511" s="23" t="n"/>
      <c r="AH511" s="23" t="n"/>
      <c r="AI511" s="23" t="n"/>
      <c r="AJ511" s="23" t="n"/>
      <c r="AK511" s="23" t="n"/>
      <c r="AL511" s="23" t="n"/>
      <c r="AM511" s="26">
        <f>IF(G511="","",G511&amp;"|"&amp;P511)</f>
        <v/>
      </c>
      <c r="AN511" s="27">
        <f>IF(I511="","",IFERROR(DATE(VALUE(RIGHT(I511,4)),VALUE(MID(I511,4,2)),VALUE(LEFT(I511,2))),""))</f>
        <v/>
      </c>
      <c r="AO511" s="27">
        <f>IF(Y511="","",IFERROR(DATE(VALUE(RIGHT(Y511,4)),VALUE(MID(Y511,4,2)),VALUE(LEFT(Y511,2))),""))</f>
        <v/>
      </c>
      <c r="AP511" s="27">
        <f>IF(AC511="","",IFERROR(DATE(VALUE(RIGHT(AC511,4)),VALUE(MID(AC511,4,2)),VALUE(LEFT(AC511,2))),""))</f>
        <v/>
      </c>
      <c r="AQ511" s="26">
        <f>IF(AI511="","",TRIM(LEFT(AI511,FIND(" ",AI511&amp;" ")-1)))</f>
        <v/>
      </c>
      <c r="AR511" s="27">
        <f>IF(AQ511="","",IFERROR(DATE(VALUE(MID(AQ511,FIND("/",AQ511,FIND("/",AQ511)+1)+1,4)),VALUE(LEFT(AQ511,FIND("/",AQ511)-1)),VALUE(MID(AQ511,FIND("/",AQ511)+1,FIND("/",AQ511,FIND("/",AQ511)+1)-FIND("/",AQ511)-1))),""))</f>
        <v/>
      </c>
      <c r="AS511" s="26">
        <f>IF(G511="","",IF(AND(AG511&lt;&gt;"",AG511&lt;&gt;"Bayi Aracı"),"Evet","Hayır"))</f>
        <v/>
      </c>
      <c r="AT511" s="26">
        <f>IF(G511="","",IF(AND(AS511="Evet",T511="Siparişiniz Teslim Edildi"),"Evet","Hayır"))</f>
        <v/>
      </c>
      <c r="AU511" s="26">
        <f>IF(G511="","",IF(AB511="Siparişinizin Montajı Yapıldı","Evet","Hayır"))</f>
        <v/>
      </c>
      <c r="AV511" s="27">
        <f>IF(G511="","",IF(AT511="Evet",AR511,IF(AU511="Evet",AP511,"")))</f>
        <v/>
      </c>
    </row>
    <row r="512">
      <c r="A512" s="23" t="n"/>
      <c r="B512" s="23" t="n"/>
      <c r="C512" s="23" t="n"/>
      <c r="D512" s="23" t="n"/>
      <c r="E512" s="23" t="n"/>
      <c r="F512" s="23" t="n"/>
      <c r="G512" s="23" t="n"/>
      <c r="H512" s="23" t="n"/>
      <c r="I512" s="23" t="n"/>
      <c r="J512" s="23" t="n"/>
      <c r="K512" s="23" t="n"/>
      <c r="L512" s="23" t="n"/>
      <c r="M512" s="23" t="n"/>
      <c r="N512" s="23" t="n"/>
      <c r="O512" s="23" t="n"/>
      <c r="P512" s="23" t="n"/>
      <c r="Q512" s="23" t="n"/>
      <c r="R512" s="23" t="n"/>
      <c r="S512" s="23" t="n"/>
      <c r="T512" s="23" t="n"/>
      <c r="U512" s="23" t="n"/>
      <c r="V512" s="23" t="n"/>
      <c r="W512" s="23" t="n"/>
      <c r="X512" s="23" t="n"/>
      <c r="Y512" s="23" t="n"/>
      <c r="Z512" s="23" t="n"/>
      <c r="AA512" s="23" t="n"/>
      <c r="AB512" s="23" t="n"/>
      <c r="AC512" s="23" t="n"/>
      <c r="AD512" s="23" t="n"/>
      <c r="AE512" s="23" t="n"/>
      <c r="AF512" s="23" t="n"/>
      <c r="AG512" s="23" t="n"/>
      <c r="AH512" s="23" t="n"/>
      <c r="AI512" s="23" t="n"/>
      <c r="AJ512" s="23" t="n"/>
      <c r="AK512" s="23" t="n"/>
      <c r="AL512" s="23" t="n"/>
      <c r="AM512" s="26">
        <f>IF(G512="","",G512&amp;"|"&amp;P512)</f>
        <v/>
      </c>
      <c r="AN512" s="27">
        <f>IF(I512="","",IFERROR(DATE(VALUE(RIGHT(I512,4)),VALUE(MID(I512,4,2)),VALUE(LEFT(I512,2))),""))</f>
        <v/>
      </c>
      <c r="AO512" s="27">
        <f>IF(Y512="","",IFERROR(DATE(VALUE(RIGHT(Y512,4)),VALUE(MID(Y512,4,2)),VALUE(LEFT(Y512,2))),""))</f>
        <v/>
      </c>
      <c r="AP512" s="27">
        <f>IF(AC512="","",IFERROR(DATE(VALUE(RIGHT(AC512,4)),VALUE(MID(AC512,4,2)),VALUE(LEFT(AC512,2))),""))</f>
        <v/>
      </c>
      <c r="AQ512" s="26">
        <f>IF(AI512="","",TRIM(LEFT(AI512,FIND(" ",AI512&amp;" ")-1)))</f>
        <v/>
      </c>
      <c r="AR512" s="27">
        <f>IF(AQ512="","",IFERROR(DATE(VALUE(MID(AQ512,FIND("/",AQ512,FIND("/",AQ512)+1)+1,4)),VALUE(LEFT(AQ512,FIND("/",AQ512)-1)),VALUE(MID(AQ512,FIND("/",AQ512)+1,FIND("/",AQ512,FIND("/",AQ512)+1)-FIND("/",AQ512)-1))),""))</f>
        <v/>
      </c>
      <c r="AS512" s="26">
        <f>IF(G512="","",IF(AND(AG512&lt;&gt;"",AG512&lt;&gt;"Bayi Aracı"),"Evet","Hayır"))</f>
        <v/>
      </c>
      <c r="AT512" s="26">
        <f>IF(G512="","",IF(AND(AS512="Evet",T512="Siparişiniz Teslim Edildi"),"Evet","Hayır"))</f>
        <v/>
      </c>
      <c r="AU512" s="26">
        <f>IF(G512="","",IF(AB512="Siparişinizin Montajı Yapıldı","Evet","Hayır"))</f>
        <v/>
      </c>
      <c r="AV512" s="27">
        <f>IF(G512="","",IF(AT512="Evet",AR512,IF(AU512="Evet",AP512,"")))</f>
        <v/>
      </c>
    </row>
    <row r="513">
      <c r="A513" s="23" t="n"/>
      <c r="B513" s="23" t="n"/>
      <c r="C513" s="23" t="n"/>
      <c r="D513" s="23" t="n"/>
      <c r="E513" s="23" t="n"/>
      <c r="F513" s="23" t="n"/>
      <c r="G513" s="23" t="n"/>
      <c r="H513" s="23" t="n"/>
      <c r="I513" s="23" t="n"/>
      <c r="J513" s="23" t="n"/>
      <c r="K513" s="23" t="n"/>
      <c r="L513" s="23" t="n"/>
      <c r="M513" s="23" t="n"/>
      <c r="N513" s="23" t="n"/>
      <c r="O513" s="23" t="n"/>
      <c r="P513" s="23" t="n"/>
      <c r="Q513" s="23" t="n"/>
      <c r="R513" s="23" t="n"/>
      <c r="S513" s="23" t="n"/>
      <c r="T513" s="23" t="n"/>
      <c r="U513" s="23" t="n"/>
      <c r="V513" s="23" t="n"/>
      <c r="W513" s="23" t="n"/>
      <c r="X513" s="23" t="n"/>
      <c r="Y513" s="23" t="n"/>
      <c r="Z513" s="23" t="n"/>
      <c r="AA513" s="23" t="n"/>
      <c r="AB513" s="23" t="n"/>
      <c r="AC513" s="23" t="n"/>
      <c r="AD513" s="23" t="n"/>
      <c r="AE513" s="23" t="n"/>
      <c r="AF513" s="23" t="n"/>
      <c r="AG513" s="23" t="n"/>
      <c r="AH513" s="23" t="n"/>
      <c r="AI513" s="23" t="n"/>
      <c r="AJ513" s="23" t="n"/>
      <c r="AK513" s="23" t="n"/>
      <c r="AL513" s="23" t="n"/>
      <c r="AM513" s="26">
        <f>IF(G513="","",G513&amp;"|"&amp;P513)</f>
        <v/>
      </c>
      <c r="AN513" s="27">
        <f>IF(I513="","",IFERROR(DATE(VALUE(RIGHT(I513,4)),VALUE(MID(I513,4,2)),VALUE(LEFT(I513,2))),""))</f>
        <v/>
      </c>
      <c r="AO513" s="27">
        <f>IF(Y513="","",IFERROR(DATE(VALUE(RIGHT(Y513,4)),VALUE(MID(Y513,4,2)),VALUE(LEFT(Y513,2))),""))</f>
        <v/>
      </c>
      <c r="AP513" s="27">
        <f>IF(AC513="","",IFERROR(DATE(VALUE(RIGHT(AC513,4)),VALUE(MID(AC513,4,2)),VALUE(LEFT(AC513,2))),""))</f>
        <v/>
      </c>
      <c r="AQ513" s="26">
        <f>IF(AI513="","",TRIM(LEFT(AI513,FIND(" ",AI513&amp;" ")-1)))</f>
        <v/>
      </c>
      <c r="AR513" s="27">
        <f>IF(AQ513="","",IFERROR(DATE(VALUE(MID(AQ513,FIND("/",AQ513,FIND("/",AQ513)+1)+1,4)),VALUE(LEFT(AQ513,FIND("/",AQ513)-1)),VALUE(MID(AQ513,FIND("/",AQ513)+1,FIND("/",AQ513,FIND("/",AQ513)+1)-FIND("/",AQ513)-1))),""))</f>
        <v/>
      </c>
      <c r="AS513" s="26">
        <f>IF(G513="","",IF(AND(AG513&lt;&gt;"",AG513&lt;&gt;"Bayi Aracı"),"Evet","Hayır"))</f>
        <v/>
      </c>
      <c r="AT513" s="26">
        <f>IF(G513="","",IF(AND(AS513="Evet",T513="Siparişiniz Teslim Edildi"),"Evet","Hayır"))</f>
        <v/>
      </c>
      <c r="AU513" s="26">
        <f>IF(G513="","",IF(AB513="Siparişinizin Montajı Yapıldı","Evet","Hayır"))</f>
        <v/>
      </c>
      <c r="AV513" s="27">
        <f>IF(G513="","",IF(AT513="Evet",AR513,IF(AU513="Evet",AP513,"")))</f>
        <v/>
      </c>
    </row>
    <row r="514">
      <c r="A514" s="23" t="n"/>
      <c r="B514" s="23" t="n"/>
      <c r="C514" s="23" t="n"/>
      <c r="D514" s="23" t="n"/>
      <c r="E514" s="23" t="n"/>
      <c r="F514" s="23" t="n"/>
      <c r="G514" s="23" t="n"/>
      <c r="H514" s="23" t="n"/>
      <c r="I514" s="23" t="n"/>
      <c r="J514" s="23" t="n"/>
      <c r="K514" s="23" t="n"/>
      <c r="L514" s="23" t="n"/>
      <c r="M514" s="23" t="n"/>
      <c r="N514" s="23" t="n"/>
      <c r="O514" s="23" t="n"/>
      <c r="P514" s="23" t="n"/>
      <c r="Q514" s="23" t="n"/>
      <c r="R514" s="23" t="n"/>
      <c r="S514" s="23" t="n"/>
      <c r="T514" s="23" t="n"/>
      <c r="U514" s="23" t="n"/>
      <c r="V514" s="23" t="n"/>
      <c r="W514" s="23" t="n"/>
      <c r="X514" s="23" t="n"/>
      <c r="Y514" s="23" t="n"/>
      <c r="Z514" s="23" t="n"/>
      <c r="AA514" s="23" t="n"/>
      <c r="AB514" s="23" t="n"/>
      <c r="AC514" s="23" t="n"/>
      <c r="AD514" s="23" t="n"/>
      <c r="AE514" s="23" t="n"/>
      <c r="AF514" s="23" t="n"/>
      <c r="AG514" s="23" t="n"/>
      <c r="AH514" s="23" t="n"/>
      <c r="AI514" s="23" t="n"/>
      <c r="AJ514" s="23" t="n"/>
      <c r="AK514" s="23" t="n"/>
      <c r="AL514" s="23" t="n"/>
      <c r="AM514" s="26">
        <f>IF(G514="","",G514&amp;"|"&amp;P514)</f>
        <v/>
      </c>
      <c r="AN514" s="27">
        <f>IF(I514="","",IFERROR(DATE(VALUE(RIGHT(I514,4)),VALUE(MID(I514,4,2)),VALUE(LEFT(I514,2))),""))</f>
        <v/>
      </c>
      <c r="AO514" s="27">
        <f>IF(Y514="","",IFERROR(DATE(VALUE(RIGHT(Y514,4)),VALUE(MID(Y514,4,2)),VALUE(LEFT(Y514,2))),""))</f>
        <v/>
      </c>
      <c r="AP514" s="27">
        <f>IF(AC514="","",IFERROR(DATE(VALUE(RIGHT(AC514,4)),VALUE(MID(AC514,4,2)),VALUE(LEFT(AC514,2))),""))</f>
        <v/>
      </c>
      <c r="AQ514" s="26">
        <f>IF(AI514="","",TRIM(LEFT(AI514,FIND(" ",AI514&amp;" ")-1)))</f>
        <v/>
      </c>
      <c r="AR514" s="27">
        <f>IF(AQ514="","",IFERROR(DATE(VALUE(MID(AQ514,FIND("/",AQ514,FIND("/",AQ514)+1)+1,4)),VALUE(LEFT(AQ514,FIND("/",AQ514)-1)),VALUE(MID(AQ514,FIND("/",AQ514)+1,FIND("/",AQ514,FIND("/",AQ514)+1)-FIND("/",AQ514)-1))),""))</f>
        <v/>
      </c>
      <c r="AS514" s="26">
        <f>IF(G514="","",IF(AND(AG514&lt;&gt;"",AG514&lt;&gt;"Bayi Aracı"),"Evet","Hayır"))</f>
        <v/>
      </c>
      <c r="AT514" s="26">
        <f>IF(G514="","",IF(AND(AS514="Evet",T514="Siparişiniz Teslim Edildi"),"Evet","Hayır"))</f>
        <v/>
      </c>
      <c r="AU514" s="26">
        <f>IF(G514="","",IF(AB514="Siparişinizin Montajı Yapıldı","Evet","Hayır"))</f>
        <v/>
      </c>
      <c r="AV514" s="27">
        <f>IF(G514="","",IF(AT514="Evet",AR514,IF(AU514="Evet",AP514,"")))</f>
        <v/>
      </c>
    </row>
    <row r="515">
      <c r="A515" s="23" t="n"/>
      <c r="B515" s="23" t="n"/>
      <c r="C515" s="23" t="n"/>
      <c r="D515" s="23" t="n"/>
      <c r="E515" s="23" t="n"/>
      <c r="F515" s="23" t="n"/>
      <c r="G515" s="23" t="n"/>
      <c r="H515" s="23" t="n"/>
      <c r="I515" s="23" t="n"/>
      <c r="J515" s="23" t="n"/>
      <c r="K515" s="23" t="n"/>
      <c r="L515" s="23" t="n"/>
      <c r="M515" s="23" t="n"/>
      <c r="N515" s="23" t="n"/>
      <c r="O515" s="23" t="n"/>
      <c r="P515" s="23" t="n"/>
      <c r="Q515" s="23" t="n"/>
      <c r="R515" s="23" t="n"/>
      <c r="S515" s="23" t="n"/>
      <c r="T515" s="23" t="n"/>
      <c r="U515" s="23" t="n"/>
      <c r="V515" s="23" t="n"/>
      <c r="W515" s="23" t="n"/>
      <c r="X515" s="23" t="n"/>
      <c r="Y515" s="23" t="n"/>
      <c r="Z515" s="23" t="n"/>
      <c r="AA515" s="23" t="n"/>
      <c r="AB515" s="23" t="n"/>
      <c r="AC515" s="23" t="n"/>
      <c r="AD515" s="23" t="n"/>
      <c r="AE515" s="23" t="n"/>
      <c r="AF515" s="23" t="n"/>
      <c r="AG515" s="23" t="n"/>
      <c r="AH515" s="23" t="n"/>
      <c r="AI515" s="23" t="n"/>
      <c r="AJ515" s="23" t="n"/>
      <c r="AK515" s="23" t="n"/>
      <c r="AL515" s="23" t="n"/>
      <c r="AM515" s="26">
        <f>IF(G515="","",G515&amp;"|"&amp;P515)</f>
        <v/>
      </c>
      <c r="AN515" s="27">
        <f>IF(I515="","",IFERROR(DATE(VALUE(RIGHT(I515,4)),VALUE(MID(I515,4,2)),VALUE(LEFT(I515,2))),""))</f>
        <v/>
      </c>
      <c r="AO515" s="27">
        <f>IF(Y515="","",IFERROR(DATE(VALUE(RIGHT(Y515,4)),VALUE(MID(Y515,4,2)),VALUE(LEFT(Y515,2))),""))</f>
        <v/>
      </c>
      <c r="AP515" s="27">
        <f>IF(AC515="","",IFERROR(DATE(VALUE(RIGHT(AC515,4)),VALUE(MID(AC515,4,2)),VALUE(LEFT(AC515,2))),""))</f>
        <v/>
      </c>
      <c r="AQ515" s="26">
        <f>IF(AI515="","",TRIM(LEFT(AI515,FIND(" ",AI515&amp;" ")-1)))</f>
        <v/>
      </c>
      <c r="AR515" s="27">
        <f>IF(AQ515="","",IFERROR(DATE(VALUE(MID(AQ515,FIND("/",AQ515,FIND("/",AQ515)+1)+1,4)),VALUE(LEFT(AQ515,FIND("/",AQ515)-1)),VALUE(MID(AQ515,FIND("/",AQ515)+1,FIND("/",AQ515,FIND("/",AQ515)+1)-FIND("/",AQ515)-1))),""))</f>
        <v/>
      </c>
      <c r="AS515" s="26">
        <f>IF(G515="","",IF(AND(AG515&lt;&gt;"",AG515&lt;&gt;"Bayi Aracı"),"Evet","Hayır"))</f>
        <v/>
      </c>
      <c r="AT515" s="26">
        <f>IF(G515="","",IF(AND(AS515="Evet",T515="Siparişiniz Teslim Edildi"),"Evet","Hayır"))</f>
        <v/>
      </c>
      <c r="AU515" s="26">
        <f>IF(G515="","",IF(AB515="Siparişinizin Montajı Yapıldı","Evet","Hayır"))</f>
        <v/>
      </c>
      <c r="AV515" s="27">
        <f>IF(G515="","",IF(AT515="Evet",AR515,IF(AU515="Evet",AP515,"")))</f>
        <v/>
      </c>
    </row>
    <row r="516">
      <c r="A516" s="23" t="n"/>
      <c r="B516" s="23" t="n"/>
      <c r="C516" s="23" t="n"/>
      <c r="D516" s="23" t="n"/>
      <c r="E516" s="23" t="n"/>
      <c r="F516" s="23" t="n"/>
      <c r="G516" s="23" t="n"/>
      <c r="H516" s="23" t="n"/>
      <c r="I516" s="23" t="n"/>
      <c r="J516" s="23" t="n"/>
      <c r="K516" s="23" t="n"/>
      <c r="L516" s="23" t="n"/>
      <c r="M516" s="23" t="n"/>
      <c r="N516" s="23" t="n"/>
      <c r="O516" s="23" t="n"/>
      <c r="P516" s="23" t="n"/>
      <c r="Q516" s="23" t="n"/>
      <c r="R516" s="23" t="n"/>
      <c r="S516" s="23" t="n"/>
      <c r="T516" s="23" t="n"/>
      <c r="U516" s="23" t="n"/>
      <c r="V516" s="23" t="n"/>
      <c r="W516" s="23" t="n"/>
      <c r="X516" s="23" t="n"/>
      <c r="Y516" s="23" t="n"/>
      <c r="Z516" s="23" t="n"/>
      <c r="AA516" s="23" t="n"/>
      <c r="AB516" s="23" t="n"/>
      <c r="AC516" s="23" t="n"/>
      <c r="AD516" s="23" t="n"/>
      <c r="AE516" s="23" t="n"/>
      <c r="AF516" s="23" t="n"/>
      <c r="AG516" s="23" t="n"/>
      <c r="AH516" s="23" t="n"/>
      <c r="AI516" s="23" t="n"/>
      <c r="AJ516" s="23" t="n"/>
      <c r="AK516" s="23" t="n"/>
      <c r="AL516" s="23" t="n"/>
      <c r="AM516" s="26">
        <f>IF(G516="","",G516&amp;"|"&amp;P516)</f>
        <v/>
      </c>
      <c r="AN516" s="27">
        <f>IF(I516="","",IFERROR(DATE(VALUE(RIGHT(I516,4)),VALUE(MID(I516,4,2)),VALUE(LEFT(I516,2))),""))</f>
        <v/>
      </c>
      <c r="AO516" s="27">
        <f>IF(Y516="","",IFERROR(DATE(VALUE(RIGHT(Y516,4)),VALUE(MID(Y516,4,2)),VALUE(LEFT(Y516,2))),""))</f>
        <v/>
      </c>
      <c r="AP516" s="27">
        <f>IF(AC516="","",IFERROR(DATE(VALUE(RIGHT(AC516,4)),VALUE(MID(AC516,4,2)),VALUE(LEFT(AC516,2))),""))</f>
        <v/>
      </c>
      <c r="AQ516" s="26">
        <f>IF(AI516="","",TRIM(LEFT(AI516,FIND(" ",AI516&amp;" ")-1)))</f>
        <v/>
      </c>
      <c r="AR516" s="27">
        <f>IF(AQ516="","",IFERROR(DATE(VALUE(MID(AQ516,FIND("/",AQ516,FIND("/",AQ516)+1)+1,4)),VALUE(LEFT(AQ516,FIND("/",AQ516)-1)),VALUE(MID(AQ516,FIND("/",AQ516)+1,FIND("/",AQ516,FIND("/",AQ516)+1)-FIND("/",AQ516)-1))),""))</f>
        <v/>
      </c>
      <c r="AS516" s="26">
        <f>IF(G516="","",IF(AND(AG516&lt;&gt;"",AG516&lt;&gt;"Bayi Aracı"),"Evet","Hayır"))</f>
        <v/>
      </c>
      <c r="AT516" s="26">
        <f>IF(G516="","",IF(AND(AS516="Evet",T516="Siparişiniz Teslim Edildi"),"Evet","Hayır"))</f>
        <v/>
      </c>
      <c r="AU516" s="26">
        <f>IF(G516="","",IF(AB516="Siparişinizin Montajı Yapıldı","Evet","Hayır"))</f>
        <v/>
      </c>
      <c r="AV516" s="27">
        <f>IF(G516="","",IF(AT516="Evet",AR516,IF(AU516="Evet",AP516,"")))</f>
        <v/>
      </c>
    </row>
    <row r="517">
      <c r="A517" s="23" t="n"/>
      <c r="B517" s="23" t="n"/>
      <c r="C517" s="23" t="n"/>
      <c r="D517" s="23" t="n"/>
      <c r="E517" s="23" t="n"/>
      <c r="F517" s="23" t="n"/>
      <c r="G517" s="23" t="n"/>
      <c r="H517" s="23" t="n"/>
      <c r="I517" s="23" t="n"/>
      <c r="J517" s="23" t="n"/>
      <c r="K517" s="23" t="n"/>
      <c r="L517" s="23" t="n"/>
      <c r="M517" s="23" t="n"/>
      <c r="N517" s="23" t="n"/>
      <c r="O517" s="23" t="n"/>
      <c r="P517" s="23" t="n"/>
      <c r="Q517" s="23" t="n"/>
      <c r="R517" s="23" t="n"/>
      <c r="S517" s="23" t="n"/>
      <c r="T517" s="23" t="n"/>
      <c r="U517" s="23" t="n"/>
      <c r="V517" s="23" t="n"/>
      <c r="W517" s="23" t="n"/>
      <c r="X517" s="23" t="n"/>
      <c r="Y517" s="23" t="n"/>
      <c r="Z517" s="23" t="n"/>
      <c r="AA517" s="23" t="n"/>
      <c r="AB517" s="23" t="n"/>
      <c r="AC517" s="23" t="n"/>
      <c r="AD517" s="23" t="n"/>
      <c r="AE517" s="23" t="n"/>
      <c r="AF517" s="23" t="n"/>
      <c r="AG517" s="23" t="n"/>
      <c r="AH517" s="23" t="n"/>
      <c r="AI517" s="23" t="n"/>
      <c r="AJ517" s="23" t="n"/>
      <c r="AK517" s="23" t="n"/>
      <c r="AL517" s="23" t="n"/>
      <c r="AM517" s="26">
        <f>IF(G517="","",G517&amp;"|"&amp;P517)</f>
        <v/>
      </c>
      <c r="AN517" s="27">
        <f>IF(I517="","",IFERROR(DATE(VALUE(RIGHT(I517,4)),VALUE(MID(I517,4,2)),VALUE(LEFT(I517,2))),""))</f>
        <v/>
      </c>
      <c r="AO517" s="27">
        <f>IF(Y517="","",IFERROR(DATE(VALUE(RIGHT(Y517,4)),VALUE(MID(Y517,4,2)),VALUE(LEFT(Y517,2))),""))</f>
        <v/>
      </c>
      <c r="AP517" s="27">
        <f>IF(AC517="","",IFERROR(DATE(VALUE(RIGHT(AC517,4)),VALUE(MID(AC517,4,2)),VALUE(LEFT(AC517,2))),""))</f>
        <v/>
      </c>
      <c r="AQ517" s="26">
        <f>IF(AI517="","",TRIM(LEFT(AI517,FIND(" ",AI517&amp;" ")-1)))</f>
        <v/>
      </c>
      <c r="AR517" s="27">
        <f>IF(AQ517="","",IFERROR(DATE(VALUE(MID(AQ517,FIND("/",AQ517,FIND("/",AQ517)+1)+1,4)),VALUE(LEFT(AQ517,FIND("/",AQ517)-1)),VALUE(MID(AQ517,FIND("/",AQ517)+1,FIND("/",AQ517,FIND("/",AQ517)+1)-FIND("/",AQ517)-1))),""))</f>
        <v/>
      </c>
      <c r="AS517" s="26">
        <f>IF(G517="","",IF(AND(AG517&lt;&gt;"",AG517&lt;&gt;"Bayi Aracı"),"Evet","Hayır"))</f>
        <v/>
      </c>
      <c r="AT517" s="26">
        <f>IF(G517="","",IF(AND(AS517="Evet",T517="Siparişiniz Teslim Edildi"),"Evet","Hayır"))</f>
        <v/>
      </c>
      <c r="AU517" s="26">
        <f>IF(G517="","",IF(AB517="Siparişinizin Montajı Yapıldı","Evet","Hayır"))</f>
        <v/>
      </c>
      <c r="AV517" s="27">
        <f>IF(G517="","",IF(AT517="Evet",AR517,IF(AU517="Evet",AP517,"")))</f>
        <v/>
      </c>
    </row>
    <row r="518">
      <c r="A518" s="23" t="n"/>
      <c r="B518" s="23" t="n"/>
      <c r="C518" s="23" t="n"/>
      <c r="D518" s="23" t="n"/>
      <c r="E518" s="23" t="n"/>
      <c r="F518" s="23" t="n"/>
      <c r="G518" s="23" t="n"/>
      <c r="H518" s="23" t="n"/>
      <c r="I518" s="23" t="n"/>
      <c r="J518" s="23" t="n"/>
      <c r="K518" s="23" t="n"/>
      <c r="L518" s="23" t="n"/>
      <c r="M518" s="23" t="n"/>
      <c r="N518" s="23" t="n"/>
      <c r="O518" s="23" t="n"/>
      <c r="P518" s="23" t="n"/>
      <c r="Q518" s="23" t="n"/>
      <c r="R518" s="23" t="n"/>
      <c r="S518" s="23" t="n"/>
      <c r="T518" s="23" t="n"/>
      <c r="U518" s="23" t="n"/>
      <c r="V518" s="23" t="n"/>
      <c r="W518" s="23" t="n"/>
      <c r="X518" s="23" t="n"/>
      <c r="Y518" s="23" t="n"/>
      <c r="Z518" s="23" t="n"/>
      <c r="AA518" s="23" t="n"/>
      <c r="AB518" s="23" t="n"/>
      <c r="AC518" s="23" t="n"/>
      <c r="AD518" s="23" t="n"/>
      <c r="AE518" s="23" t="n"/>
      <c r="AF518" s="23" t="n"/>
      <c r="AG518" s="23" t="n"/>
      <c r="AH518" s="23" t="n"/>
      <c r="AI518" s="23" t="n"/>
      <c r="AJ518" s="23" t="n"/>
      <c r="AK518" s="23" t="n"/>
      <c r="AL518" s="23" t="n"/>
      <c r="AM518" s="26">
        <f>IF(G518="","",G518&amp;"|"&amp;P518)</f>
        <v/>
      </c>
      <c r="AN518" s="27">
        <f>IF(I518="","",IFERROR(DATE(VALUE(RIGHT(I518,4)),VALUE(MID(I518,4,2)),VALUE(LEFT(I518,2))),""))</f>
        <v/>
      </c>
      <c r="AO518" s="27">
        <f>IF(Y518="","",IFERROR(DATE(VALUE(RIGHT(Y518,4)),VALUE(MID(Y518,4,2)),VALUE(LEFT(Y518,2))),""))</f>
        <v/>
      </c>
      <c r="AP518" s="27">
        <f>IF(AC518="","",IFERROR(DATE(VALUE(RIGHT(AC518,4)),VALUE(MID(AC518,4,2)),VALUE(LEFT(AC518,2))),""))</f>
        <v/>
      </c>
      <c r="AQ518" s="26">
        <f>IF(AI518="","",TRIM(LEFT(AI518,FIND(" ",AI518&amp;" ")-1)))</f>
        <v/>
      </c>
      <c r="AR518" s="27">
        <f>IF(AQ518="","",IFERROR(DATE(VALUE(MID(AQ518,FIND("/",AQ518,FIND("/",AQ518)+1)+1,4)),VALUE(LEFT(AQ518,FIND("/",AQ518)-1)),VALUE(MID(AQ518,FIND("/",AQ518)+1,FIND("/",AQ518,FIND("/",AQ518)+1)-FIND("/",AQ518)-1))),""))</f>
        <v/>
      </c>
      <c r="AS518" s="26">
        <f>IF(G518="","",IF(AND(AG518&lt;&gt;"",AG518&lt;&gt;"Bayi Aracı"),"Evet","Hayır"))</f>
        <v/>
      </c>
      <c r="AT518" s="26">
        <f>IF(G518="","",IF(AND(AS518="Evet",T518="Siparişiniz Teslim Edildi"),"Evet","Hayır"))</f>
        <v/>
      </c>
      <c r="AU518" s="26">
        <f>IF(G518="","",IF(AB518="Siparişinizin Montajı Yapıldı","Evet","Hayır"))</f>
        <v/>
      </c>
      <c r="AV518" s="27">
        <f>IF(G518="","",IF(AT518="Evet",AR518,IF(AU518="Evet",AP518,"")))</f>
        <v/>
      </c>
    </row>
    <row r="519">
      <c r="A519" s="23" t="n"/>
      <c r="B519" s="23" t="n"/>
      <c r="C519" s="23" t="n"/>
      <c r="D519" s="23" t="n"/>
      <c r="E519" s="23" t="n"/>
      <c r="F519" s="23" t="n"/>
      <c r="G519" s="23" t="n"/>
      <c r="H519" s="23" t="n"/>
      <c r="I519" s="23" t="n"/>
      <c r="J519" s="23" t="n"/>
      <c r="K519" s="23" t="n"/>
      <c r="L519" s="23" t="n"/>
      <c r="M519" s="23" t="n"/>
      <c r="N519" s="23" t="n"/>
      <c r="O519" s="23" t="n"/>
      <c r="P519" s="23" t="n"/>
      <c r="Q519" s="23" t="n"/>
      <c r="R519" s="23" t="n"/>
      <c r="S519" s="23" t="n"/>
      <c r="T519" s="23" t="n"/>
      <c r="U519" s="23" t="n"/>
      <c r="V519" s="23" t="n"/>
      <c r="W519" s="23" t="n"/>
      <c r="X519" s="23" t="n"/>
      <c r="Y519" s="23" t="n"/>
      <c r="Z519" s="23" t="n"/>
      <c r="AA519" s="23" t="n"/>
      <c r="AB519" s="23" t="n"/>
      <c r="AC519" s="23" t="n"/>
      <c r="AD519" s="23" t="n"/>
      <c r="AE519" s="23" t="n"/>
      <c r="AF519" s="23" t="n"/>
      <c r="AG519" s="23" t="n"/>
      <c r="AH519" s="23" t="n"/>
      <c r="AI519" s="23" t="n"/>
      <c r="AJ519" s="23" t="n"/>
      <c r="AK519" s="23" t="n"/>
      <c r="AL519" s="23" t="n"/>
      <c r="AM519" s="26">
        <f>IF(G519="","",G519&amp;"|"&amp;P519)</f>
        <v/>
      </c>
      <c r="AN519" s="27">
        <f>IF(I519="","",IFERROR(DATE(VALUE(RIGHT(I519,4)),VALUE(MID(I519,4,2)),VALUE(LEFT(I519,2))),""))</f>
        <v/>
      </c>
      <c r="AO519" s="27">
        <f>IF(Y519="","",IFERROR(DATE(VALUE(RIGHT(Y519,4)),VALUE(MID(Y519,4,2)),VALUE(LEFT(Y519,2))),""))</f>
        <v/>
      </c>
      <c r="AP519" s="27">
        <f>IF(AC519="","",IFERROR(DATE(VALUE(RIGHT(AC519,4)),VALUE(MID(AC519,4,2)),VALUE(LEFT(AC519,2))),""))</f>
        <v/>
      </c>
      <c r="AQ519" s="26">
        <f>IF(AI519="","",TRIM(LEFT(AI519,FIND(" ",AI519&amp;" ")-1)))</f>
        <v/>
      </c>
      <c r="AR519" s="27">
        <f>IF(AQ519="","",IFERROR(DATE(VALUE(MID(AQ519,FIND("/",AQ519,FIND("/",AQ519)+1)+1,4)),VALUE(LEFT(AQ519,FIND("/",AQ519)-1)),VALUE(MID(AQ519,FIND("/",AQ519)+1,FIND("/",AQ519,FIND("/",AQ519)+1)-FIND("/",AQ519)-1))),""))</f>
        <v/>
      </c>
      <c r="AS519" s="26">
        <f>IF(G519="","",IF(AND(AG519&lt;&gt;"",AG519&lt;&gt;"Bayi Aracı"),"Evet","Hayır"))</f>
        <v/>
      </c>
      <c r="AT519" s="26">
        <f>IF(G519="","",IF(AND(AS519="Evet",T519="Siparişiniz Teslim Edildi"),"Evet","Hayır"))</f>
        <v/>
      </c>
      <c r="AU519" s="26">
        <f>IF(G519="","",IF(AB519="Siparişinizin Montajı Yapıldı","Evet","Hayır"))</f>
        <v/>
      </c>
      <c r="AV519" s="27">
        <f>IF(G519="","",IF(AT519="Evet",AR519,IF(AU519="Evet",AP519,"")))</f>
        <v/>
      </c>
    </row>
    <row r="520">
      <c r="A520" s="23" t="n"/>
      <c r="B520" s="23" t="n"/>
      <c r="C520" s="23" t="n"/>
      <c r="D520" s="23" t="n"/>
      <c r="E520" s="23" t="n"/>
      <c r="F520" s="23" t="n"/>
      <c r="G520" s="23" t="n"/>
      <c r="H520" s="23" t="n"/>
      <c r="I520" s="23" t="n"/>
      <c r="J520" s="23" t="n"/>
      <c r="K520" s="23" t="n"/>
      <c r="L520" s="23" t="n"/>
      <c r="M520" s="23" t="n"/>
      <c r="N520" s="23" t="n"/>
      <c r="O520" s="23" t="n"/>
      <c r="P520" s="23" t="n"/>
      <c r="Q520" s="23" t="n"/>
      <c r="R520" s="23" t="n"/>
      <c r="S520" s="23" t="n"/>
      <c r="T520" s="23" t="n"/>
      <c r="U520" s="23" t="n"/>
      <c r="V520" s="23" t="n"/>
      <c r="W520" s="23" t="n"/>
      <c r="X520" s="23" t="n"/>
      <c r="Y520" s="23" t="n"/>
      <c r="Z520" s="23" t="n"/>
      <c r="AA520" s="23" t="n"/>
      <c r="AB520" s="23" t="n"/>
      <c r="AC520" s="23" t="n"/>
      <c r="AD520" s="23" t="n"/>
      <c r="AE520" s="23" t="n"/>
      <c r="AF520" s="23" t="n"/>
      <c r="AG520" s="23" t="n"/>
      <c r="AH520" s="23" t="n"/>
      <c r="AI520" s="23" t="n"/>
      <c r="AJ520" s="23" t="n"/>
      <c r="AK520" s="23" t="n"/>
      <c r="AL520" s="23" t="n"/>
      <c r="AM520" s="26">
        <f>IF(G520="","",G520&amp;"|"&amp;P520)</f>
        <v/>
      </c>
      <c r="AN520" s="27">
        <f>IF(I520="","",IFERROR(DATE(VALUE(RIGHT(I520,4)),VALUE(MID(I520,4,2)),VALUE(LEFT(I520,2))),""))</f>
        <v/>
      </c>
      <c r="AO520" s="27">
        <f>IF(Y520="","",IFERROR(DATE(VALUE(RIGHT(Y520,4)),VALUE(MID(Y520,4,2)),VALUE(LEFT(Y520,2))),""))</f>
        <v/>
      </c>
      <c r="AP520" s="27">
        <f>IF(AC520="","",IFERROR(DATE(VALUE(RIGHT(AC520,4)),VALUE(MID(AC520,4,2)),VALUE(LEFT(AC520,2))),""))</f>
        <v/>
      </c>
      <c r="AQ520" s="26">
        <f>IF(AI520="","",TRIM(LEFT(AI520,FIND(" ",AI520&amp;" ")-1)))</f>
        <v/>
      </c>
      <c r="AR520" s="27">
        <f>IF(AQ520="","",IFERROR(DATE(VALUE(MID(AQ520,FIND("/",AQ520,FIND("/",AQ520)+1)+1,4)),VALUE(LEFT(AQ520,FIND("/",AQ520)-1)),VALUE(MID(AQ520,FIND("/",AQ520)+1,FIND("/",AQ520,FIND("/",AQ520)+1)-FIND("/",AQ520)-1))),""))</f>
        <v/>
      </c>
      <c r="AS520" s="26">
        <f>IF(G520="","",IF(AND(AG520&lt;&gt;"",AG520&lt;&gt;"Bayi Aracı"),"Evet","Hayır"))</f>
        <v/>
      </c>
      <c r="AT520" s="26">
        <f>IF(G520="","",IF(AND(AS520="Evet",T520="Siparişiniz Teslim Edildi"),"Evet","Hayır"))</f>
        <v/>
      </c>
      <c r="AU520" s="26">
        <f>IF(G520="","",IF(AB520="Siparişinizin Montajı Yapıldı","Evet","Hayır"))</f>
        <v/>
      </c>
      <c r="AV520" s="27">
        <f>IF(G520="","",IF(AT520="Evet",AR520,IF(AU520="Evet",AP520,"")))</f>
        <v/>
      </c>
    </row>
    <row r="521">
      <c r="A521" s="23" t="n"/>
      <c r="B521" s="23" t="n"/>
      <c r="C521" s="23" t="n"/>
      <c r="D521" s="23" t="n"/>
      <c r="E521" s="23" t="n"/>
      <c r="F521" s="23" t="n"/>
      <c r="G521" s="23" t="n"/>
      <c r="H521" s="23" t="n"/>
      <c r="I521" s="23" t="n"/>
      <c r="J521" s="23" t="n"/>
      <c r="K521" s="23" t="n"/>
      <c r="L521" s="23" t="n"/>
      <c r="M521" s="23" t="n"/>
      <c r="N521" s="23" t="n"/>
      <c r="O521" s="23" t="n"/>
      <c r="P521" s="23" t="n"/>
      <c r="Q521" s="23" t="n"/>
      <c r="R521" s="23" t="n"/>
      <c r="S521" s="23" t="n"/>
      <c r="T521" s="23" t="n"/>
      <c r="U521" s="23" t="n"/>
      <c r="V521" s="23" t="n"/>
      <c r="W521" s="23" t="n"/>
      <c r="X521" s="23" t="n"/>
      <c r="Y521" s="23" t="n"/>
      <c r="Z521" s="23" t="n"/>
      <c r="AA521" s="23" t="n"/>
      <c r="AB521" s="23" t="n"/>
      <c r="AC521" s="23" t="n"/>
      <c r="AD521" s="23" t="n"/>
      <c r="AE521" s="23" t="n"/>
      <c r="AF521" s="23" t="n"/>
      <c r="AG521" s="23" t="n"/>
      <c r="AH521" s="23" t="n"/>
      <c r="AI521" s="23" t="n"/>
      <c r="AJ521" s="23" t="n"/>
      <c r="AK521" s="23" t="n"/>
      <c r="AL521" s="23" t="n"/>
      <c r="AM521" s="26">
        <f>IF(G521="","",G521&amp;"|"&amp;P521)</f>
        <v/>
      </c>
      <c r="AN521" s="27">
        <f>IF(I521="","",IFERROR(DATE(VALUE(RIGHT(I521,4)),VALUE(MID(I521,4,2)),VALUE(LEFT(I521,2))),""))</f>
        <v/>
      </c>
      <c r="AO521" s="27">
        <f>IF(Y521="","",IFERROR(DATE(VALUE(RIGHT(Y521,4)),VALUE(MID(Y521,4,2)),VALUE(LEFT(Y521,2))),""))</f>
        <v/>
      </c>
      <c r="AP521" s="27">
        <f>IF(AC521="","",IFERROR(DATE(VALUE(RIGHT(AC521,4)),VALUE(MID(AC521,4,2)),VALUE(LEFT(AC521,2))),""))</f>
        <v/>
      </c>
      <c r="AQ521" s="26">
        <f>IF(AI521="","",TRIM(LEFT(AI521,FIND(" ",AI521&amp;" ")-1)))</f>
        <v/>
      </c>
      <c r="AR521" s="27">
        <f>IF(AQ521="","",IFERROR(DATE(VALUE(MID(AQ521,FIND("/",AQ521,FIND("/",AQ521)+1)+1,4)),VALUE(LEFT(AQ521,FIND("/",AQ521)-1)),VALUE(MID(AQ521,FIND("/",AQ521)+1,FIND("/",AQ521,FIND("/",AQ521)+1)-FIND("/",AQ521)-1))),""))</f>
        <v/>
      </c>
      <c r="AS521" s="26">
        <f>IF(G521="","",IF(AND(AG521&lt;&gt;"",AG521&lt;&gt;"Bayi Aracı"),"Evet","Hayır"))</f>
        <v/>
      </c>
      <c r="AT521" s="26">
        <f>IF(G521="","",IF(AND(AS521="Evet",T521="Siparişiniz Teslim Edildi"),"Evet","Hayır"))</f>
        <v/>
      </c>
      <c r="AU521" s="26">
        <f>IF(G521="","",IF(AB521="Siparişinizin Montajı Yapıldı","Evet","Hayır"))</f>
        <v/>
      </c>
      <c r="AV521" s="27">
        <f>IF(G521="","",IF(AT521="Evet",AR521,IF(AU521="Evet",AP521,"")))</f>
        <v/>
      </c>
    </row>
    <row r="522">
      <c r="A522" s="23" t="n"/>
      <c r="B522" s="23" t="n"/>
      <c r="C522" s="23" t="n"/>
      <c r="D522" s="23" t="n"/>
      <c r="E522" s="23" t="n"/>
      <c r="F522" s="23" t="n"/>
      <c r="G522" s="23" t="n"/>
      <c r="H522" s="23" t="n"/>
      <c r="I522" s="23" t="n"/>
      <c r="J522" s="23" t="n"/>
      <c r="K522" s="23" t="n"/>
      <c r="L522" s="23" t="n"/>
      <c r="M522" s="23" t="n"/>
      <c r="N522" s="23" t="n"/>
      <c r="O522" s="23" t="n"/>
      <c r="P522" s="23" t="n"/>
      <c r="Q522" s="23" t="n"/>
      <c r="R522" s="23" t="n"/>
      <c r="S522" s="23" t="n"/>
      <c r="T522" s="23" t="n"/>
      <c r="U522" s="23" t="n"/>
      <c r="V522" s="23" t="n"/>
      <c r="W522" s="23" t="n"/>
      <c r="X522" s="23" t="n"/>
      <c r="Y522" s="23" t="n"/>
      <c r="Z522" s="23" t="n"/>
      <c r="AA522" s="23" t="n"/>
      <c r="AB522" s="23" t="n"/>
      <c r="AC522" s="23" t="n"/>
      <c r="AD522" s="23" t="n"/>
      <c r="AE522" s="23" t="n"/>
      <c r="AF522" s="23" t="n"/>
      <c r="AG522" s="23" t="n"/>
      <c r="AH522" s="23" t="n"/>
      <c r="AI522" s="23" t="n"/>
      <c r="AJ522" s="23" t="n"/>
      <c r="AK522" s="23" t="n"/>
      <c r="AL522" s="23" t="n"/>
      <c r="AM522" s="26">
        <f>IF(G522="","",G522&amp;"|"&amp;P522)</f>
        <v/>
      </c>
      <c r="AN522" s="27">
        <f>IF(I522="","",IFERROR(DATE(VALUE(RIGHT(I522,4)),VALUE(MID(I522,4,2)),VALUE(LEFT(I522,2))),""))</f>
        <v/>
      </c>
      <c r="AO522" s="27">
        <f>IF(Y522="","",IFERROR(DATE(VALUE(RIGHT(Y522,4)),VALUE(MID(Y522,4,2)),VALUE(LEFT(Y522,2))),""))</f>
        <v/>
      </c>
      <c r="AP522" s="27">
        <f>IF(AC522="","",IFERROR(DATE(VALUE(RIGHT(AC522,4)),VALUE(MID(AC522,4,2)),VALUE(LEFT(AC522,2))),""))</f>
        <v/>
      </c>
      <c r="AQ522" s="26">
        <f>IF(AI522="","",TRIM(LEFT(AI522,FIND(" ",AI522&amp;" ")-1)))</f>
        <v/>
      </c>
      <c r="AR522" s="27">
        <f>IF(AQ522="","",IFERROR(DATE(VALUE(MID(AQ522,FIND("/",AQ522,FIND("/",AQ522)+1)+1,4)),VALUE(LEFT(AQ522,FIND("/",AQ522)-1)),VALUE(MID(AQ522,FIND("/",AQ522)+1,FIND("/",AQ522,FIND("/",AQ522)+1)-FIND("/",AQ522)-1))),""))</f>
        <v/>
      </c>
      <c r="AS522" s="26">
        <f>IF(G522="","",IF(AND(AG522&lt;&gt;"",AG522&lt;&gt;"Bayi Aracı"),"Evet","Hayır"))</f>
        <v/>
      </c>
      <c r="AT522" s="26">
        <f>IF(G522="","",IF(AND(AS522="Evet",T522="Siparişiniz Teslim Edildi"),"Evet","Hayır"))</f>
        <v/>
      </c>
      <c r="AU522" s="26">
        <f>IF(G522="","",IF(AB522="Siparişinizin Montajı Yapıldı","Evet","Hayır"))</f>
        <v/>
      </c>
      <c r="AV522" s="27">
        <f>IF(G522="","",IF(AT522="Evet",AR522,IF(AU522="Evet",AP522,"")))</f>
        <v/>
      </c>
    </row>
    <row r="523">
      <c r="A523" s="23" t="n"/>
      <c r="B523" s="23" t="n"/>
      <c r="C523" s="23" t="n"/>
      <c r="D523" s="23" t="n"/>
      <c r="E523" s="23" t="n"/>
      <c r="F523" s="23" t="n"/>
      <c r="G523" s="23" t="n"/>
      <c r="H523" s="23" t="n"/>
      <c r="I523" s="23" t="n"/>
      <c r="J523" s="23" t="n"/>
      <c r="K523" s="23" t="n"/>
      <c r="L523" s="23" t="n"/>
      <c r="M523" s="23" t="n"/>
      <c r="N523" s="23" t="n"/>
      <c r="O523" s="23" t="n"/>
      <c r="P523" s="23" t="n"/>
      <c r="Q523" s="23" t="n"/>
      <c r="R523" s="23" t="n"/>
      <c r="S523" s="23" t="n"/>
      <c r="T523" s="23" t="n"/>
      <c r="U523" s="23" t="n"/>
      <c r="V523" s="23" t="n"/>
      <c r="W523" s="23" t="n"/>
      <c r="X523" s="23" t="n"/>
      <c r="Y523" s="23" t="n"/>
      <c r="Z523" s="23" t="n"/>
      <c r="AA523" s="23" t="n"/>
      <c r="AB523" s="23" t="n"/>
      <c r="AC523" s="23" t="n"/>
      <c r="AD523" s="23" t="n"/>
      <c r="AE523" s="23" t="n"/>
      <c r="AF523" s="23" t="n"/>
      <c r="AG523" s="23" t="n"/>
      <c r="AH523" s="23" t="n"/>
      <c r="AI523" s="23" t="n"/>
      <c r="AJ523" s="23" t="n"/>
      <c r="AK523" s="23" t="n"/>
      <c r="AL523" s="23" t="n"/>
      <c r="AM523" s="26">
        <f>IF(G523="","",G523&amp;"|"&amp;P523)</f>
        <v/>
      </c>
      <c r="AN523" s="27">
        <f>IF(I523="","",IFERROR(DATE(VALUE(RIGHT(I523,4)),VALUE(MID(I523,4,2)),VALUE(LEFT(I523,2))),""))</f>
        <v/>
      </c>
      <c r="AO523" s="27">
        <f>IF(Y523="","",IFERROR(DATE(VALUE(RIGHT(Y523,4)),VALUE(MID(Y523,4,2)),VALUE(LEFT(Y523,2))),""))</f>
        <v/>
      </c>
      <c r="AP523" s="27">
        <f>IF(AC523="","",IFERROR(DATE(VALUE(RIGHT(AC523,4)),VALUE(MID(AC523,4,2)),VALUE(LEFT(AC523,2))),""))</f>
        <v/>
      </c>
      <c r="AQ523" s="26">
        <f>IF(AI523="","",TRIM(LEFT(AI523,FIND(" ",AI523&amp;" ")-1)))</f>
        <v/>
      </c>
      <c r="AR523" s="27">
        <f>IF(AQ523="","",IFERROR(DATE(VALUE(MID(AQ523,FIND("/",AQ523,FIND("/",AQ523)+1)+1,4)),VALUE(LEFT(AQ523,FIND("/",AQ523)-1)),VALUE(MID(AQ523,FIND("/",AQ523)+1,FIND("/",AQ523,FIND("/",AQ523)+1)-FIND("/",AQ523)-1))),""))</f>
        <v/>
      </c>
      <c r="AS523" s="26">
        <f>IF(G523="","",IF(AND(AG523&lt;&gt;"",AG523&lt;&gt;"Bayi Aracı"),"Evet","Hayır"))</f>
        <v/>
      </c>
      <c r="AT523" s="26">
        <f>IF(G523="","",IF(AND(AS523="Evet",T523="Siparişiniz Teslim Edildi"),"Evet","Hayır"))</f>
        <v/>
      </c>
      <c r="AU523" s="26">
        <f>IF(G523="","",IF(AB523="Siparişinizin Montajı Yapıldı","Evet","Hayır"))</f>
        <v/>
      </c>
      <c r="AV523" s="27">
        <f>IF(G523="","",IF(AT523="Evet",AR523,IF(AU523="Evet",AP523,"")))</f>
        <v/>
      </c>
    </row>
    <row r="524">
      <c r="A524" s="23" t="n"/>
      <c r="B524" s="23" t="n"/>
      <c r="C524" s="23" t="n"/>
      <c r="D524" s="23" t="n"/>
      <c r="E524" s="23" t="n"/>
      <c r="F524" s="23" t="n"/>
      <c r="G524" s="23" t="n"/>
      <c r="H524" s="23" t="n"/>
      <c r="I524" s="23" t="n"/>
      <c r="J524" s="23" t="n"/>
      <c r="K524" s="23" t="n"/>
      <c r="L524" s="23" t="n"/>
      <c r="M524" s="23" t="n"/>
      <c r="N524" s="23" t="n"/>
      <c r="O524" s="23" t="n"/>
      <c r="P524" s="23" t="n"/>
      <c r="Q524" s="23" t="n"/>
      <c r="R524" s="23" t="n"/>
      <c r="S524" s="23" t="n"/>
      <c r="T524" s="23" t="n"/>
      <c r="U524" s="23" t="n"/>
      <c r="V524" s="23" t="n"/>
      <c r="W524" s="23" t="n"/>
      <c r="X524" s="23" t="n"/>
      <c r="Y524" s="23" t="n"/>
      <c r="Z524" s="23" t="n"/>
      <c r="AA524" s="23" t="n"/>
      <c r="AB524" s="23" t="n"/>
      <c r="AC524" s="23" t="n"/>
      <c r="AD524" s="23" t="n"/>
      <c r="AE524" s="23" t="n"/>
      <c r="AF524" s="23" t="n"/>
      <c r="AG524" s="23" t="n"/>
      <c r="AH524" s="23" t="n"/>
      <c r="AI524" s="23" t="n"/>
      <c r="AJ524" s="23" t="n"/>
      <c r="AK524" s="23" t="n"/>
      <c r="AL524" s="23" t="n"/>
      <c r="AM524" s="26">
        <f>IF(G524="","",G524&amp;"|"&amp;P524)</f>
        <v/>
      </c>
      <c r="AN524" s="27">
        <f>IF(I524="","",IFERROR(DATE(VALUE(RIGHT(I524,4)),VALUE(MID(I524,4,2)),VALUE(LEFT(I524,2))),""))</f>
        <v/>
      </c>
      <c r="AO524" s="27">
        <f>IF(Y524="","",IFERROR(DATE(VALUE(RIGHT(Y524,4)),VALUE(MID(Y524,4,2)),VALUE(LEFT(Y524,2))),""))</f>
        <v/>
      </c>
      <c r="AP524" s="27">
        <f>IF(AC524="","",IFERROR(DATE(VALUE(RIGHT(AC524,4)),VALUE(MID(AC524,4,2)),VALUE(LEFT(AC524,2))),""))</f>
        <v/>
      </c>
      <c r="AQ524" s="26">
        <f>IF(AI524="","",TRIM(LEFT(AI524,FIND(" ",AI524&amp;" ")-1)))</f>
        <v/>
      </c>
      <c r="AR524" s="27">
        <f>IF(AQ524="","",IFERROR(DATE(VALUE(MID(AQ524,FIND("/",AQ524,FIND("/",AQ524)+1)+1,4)),VALUE(LEFT(AQ524,FIND("/",AQ524)-1)),VALUE(MID(AQ524,FIND("/",AQ524)+1,FIND("/",AQ524,FIND("/",AQ524)+1)-FIND("/",AQ524)-1))),""))</f>
        <v/>
      </c>
      <c r="AS524" s="26">
        <f>IF(G524="","",IF(AND(AG524&lt;&gt;"",AG524&lt;&gt;"Bayi Aracı"),"Evet","Hayır"))</f>
        <v/>
      </c>
      <c r="AT524" s="26">
        <f>IF(G524="","",IF(AND(AS524="Evet",T524="Siparişiniz Teslim Edildi"),"Evet","Hayır"))</f>
        <v/>
      </c>
      <c r="AU524" s="26">
        <f>IF(G524="","",IF(AB524="Siparişinizin Montajı Yapıldı","Evet","Hayır"))</f>
        <v/>
      </c>
      <c r="AV524" s="27">
        <f>IF(G524="","",IF(AT524="Evet",AR524,IF(AU524="Evet",AP524,"")))</f>
        <v/>
      </c>
    </row>
    <row r="525">
      <c r="A525" s="23" t="n"/>
      <c r="B525" s="23" t="n"/>
      <c r="C525" s="23" t="n"/>
      <c r="D525" s="23" t="n"/>
      <c r="E525" s="23" t="n"/>
      <c r="F525" s="23" t="n"/>
      <c r="G525" s="23" t="n"/>
      <c r="H525" s="23" t="n"/>
      <c r="I525" s="23" t="n"/>
      <c r="J525" s="23" t="n"/>
      <c r="K525" s="23" t="n"/>
      <c r="L525" s="23" t="n"/>
      <c r="M525" s="23" t="n"/>
      <c r="N525" s="23" t="n"/>
      <c r="O525" s="23" t="n"/>
      <c r="P525" s="23" t="n"/>
      <c r="Q525" s="23" t="n"/>
      <c r="R525" s="23" t="n"/>
      <c r="S525" s="23" t="n"/>
      <c r="T525" s="23" t="n"/>
      <c r="U525" s="23" t="n"/>
      <c r="V525" s="23" t="n"/>
      <c r="W525" s="23" t="n"/>
      <c r="X525" s="23" t="n"/>
      <c r="Y525" s="23" t="n"/>
      <c r="Z525" s="23" t="n"/>
      <c r="AA525" s="23" t="n"/>
      <c r="AB525" s="23" t="n"/>
      <c r="AC525" s="23" t="n"/>
      <c r="AD525" s="23" t="n"/>
      <c r="AE525" s="23" t="n"/>
      <c r="AF525" s="23" t="n"/>
      <c r="AG525" s="23" t="n"/>
      <c r="AH525" s="23" t="n"/>
      <c r="AI525" s="23" t="n"/>
      <c r="AJ525" s="23" t="n"/>
      <c r="AK525" s="23" t="n"/>
      <c r="AL525" s="23" t="n"/>
      <c r="AM525" s="26">
        <f>IF(G525="","",G525&amp;"|"&amp;P525)</f>
        <v/>
      </c>
      <c r="AN525" s="27">
        <f>IF(I525="","",IFERROR(DATE(VALUE(RIGHT(I525,4)),VALUE(MID(I525,4,2)),VALUE(LEFT(I525,2))),""))</f>
        <v/>
      </c>
      <c r="AO525" s="27">
        <f>IF(Y525="","",IFERROR(DATE(VALUE(RIGHT(Y525,4)),VALUE(MID(Y525,4,2)),VALUE(LEFT(Y525,2))),""))</f>
        <v/>
      </c>
      <c r="AP525" s="27">
        <f>IF(AC525="","",IFERROR(DATE(VALUE(RIGHT(AC525,4)),VALUE(MID(AC525,4,2)),VALUE(LEFT(AC525,2))),""))</f>
        <v/>
      </c>
      <c r="AQ525" s="26">
        <f>IF(AI525="","",TRIM(LEFT(AI525,FIND(" ",AI525&amp;" ")-1)))</f>
        <v/>
      </c>
      <c r="AR525" s="27">
        <f>IF(AQ525="","",IFERROR(DATE(VALUE(MID(AQ525,FIND("/",AQ525,FIND("/",AQ525)+1)+1,4)),VALUE(LEFT(AQ525,FIND("/",AQ525)-1)),VALUE(MID(AQ525,FIND("/",AQ525)+1,FIND("/",AQ525,FIND("/",AQ525)+1)-FIND("/",AQ525)-1))),""))</f>
        <v/>
      </c>
      <c r="AS525" s="26">
        <f>IF(G525="","",IF(AND(AG525&lt;&gt;"",AG525&lt;&gt;"Bayi Aracı"),"Evet","Hayır"))</f>
        <v/>
      </c>
      <c r="AT525" s="26">
        <f>IF(G525="","",IF(AND(AS525="Evet",T525="Siparişiniz Teslim Edildi"),"Evet","Hayır"))</f>
        <v/>
      </c>
      <c r="AU525" s="26">
        <f>IF(G525="","",IF(AB525="Siparişinizin Montajı Yapıldı","Evet","Hayır"))</f>
        <v/>
      </c>
      <c r="AV525" s="27">
        <f>IF(G525="","",IF(AT525="Evet",AR525,IF(AU525="Evet",AP525,"")))</f>
        <v/>
      </c>
    </row>
    <row r="526">
      <c r="A526" s="23" t="n"/>
      <c r="B526" s="23" t="n"/>
      <c r="C526" s="23" t="n"/>
      <c r="D526" s="23" t="n"/>
      <c r="E526" s="23" t="n"/>
      <c r="F526" s="23" t="n"/>
      <c r="G526" s="23" t="n"/>
      <c r="H526" s="23" t="n"/>
      <c r="I526" s="23" t="n"/>
      <c r="J526" s="23" t="n"/>
      <c r="K526" s="23" t="n"/>
      <c r="L526" s="23" t="n"/>
      <c r="M526" s="23" t="n"/>
      <c r="N526" s="23" t="n"/>
      <c r="O526" s="23" t="n"/>
      <c r="P526" s="23" t="n"/>
      <c r="Q526" s="23" t="n"/>
      <c r="R526" s="23" t="n"/>
      <c r="S526" s="23" t="n"/>
      <c r="T526" s="23" t="n"/>
      <c r="U526" s="23" t="n"/>
      <c r="V526" s="23" t="n"/>
      <c r="W526" s="23" t="n"/>
      <c r="X526" s="23" t="n"/>
      <c r="Y526" s="23" t="n"/>
      <c r="Z526" s="23" t="n"/>
      <c r="AA526" s="23" t="n"/>
      <c r="AB526" s="23" t="n"/>
      <c r="AC526" s="23" t="n"/>
      <c r="AD526" s="23" t="n"/>
      <c r="AE526" s="23" t="n"/>
      <c r="AF526" s="23" t="n"/>
      <c r="AG526" s="23" t="n"/>
      <c r="AH526" s="23" t="n"/>
      <c r="AI526" s="23" t="n"/>
      <c r="AJ526" s="23" t="n"/>
      <c r="AK526" s="23" t="n"/>
      <c r="AL526" s="23" t="n"/>
      <c r="AM526" s="26">
        <f>IF(G526="","",G526&amp;"|"&amp;P526)</f>
        <v/>
      </c>
      <c r="AN526" s="27">
        <f>IF(I526="","",IFERROR(DATE(VALUE(RIGHT(I526,4)),VALUE(MID(I526,4,2)),VALUE(LEFT(I526,2))),""))</f>
        <v/>
      </c>
      <c r="AO526" s="27">
        <f>IF(Y526="","",IFERROR(DATE(VALUE(RIGHT(Y526,4)),VALUE(MID(Y526,4,2)),VALUE(LEFT(Y526,2))),""))</f>
        <v/>
      </c>
      <c r="AP526" s="27">
        <f>IF(AC526="","",IFERROR(DATE(VALUE(RIGHT(AC526,4)),VALUE(MID(AC526,4,2)),VALUE(LEFT(AC526,2))),""))</f>
        <v/>
      </c>
      <c r="AQ526" s="26">
        <f>IF(AI526="","",TRIM(LEFT(AI526,FIND(" ",AI526&amp;" ")-1)))</f>
        <v/>
      </c>
      <c r="AR526" s="27">
        <f>IF(AQ526="","",IFERROR(DATE(VALUE(MID(AQ526,FIND("/",AQ526,FIND("/",AQ526)+1)+1,4)),VALUE(LEFT(AQ526,FIND("/",AQ526)-1)),VALUE(MID(AQ526,FIND("/",AQ526)+1,FIND("/",AQ526,FIND("/",AQ526)+1)-FIND("/",AQ526)-1))),""))</f>
        <v/>
      </c>
      <c r="AS526" s="26">
        <f>IF(G526="","",IF(AND(AG526&lt;&gt;"",AG526&lt;&gt;"Bayi Aracı"),"Evet","Hayır"))</f>
        <v/>
      </c>
      <c r="AT526" s="26">
        <f>IF(G526="","",IF(AND(AS526="Evet",T526="Siparişiniz Teslim Edildi"),"Evet","Hayır"))</f>
        <v/>
      </c>
      <c r="AU526" s="26">
        <f>IF(G526="","",IF(AB526="Siparişinizin Montajı Yapıldı","Evet","Hayır"))</f>
        <v/>
      </c>
      <c r="AV526" s="27">
        <f>IF(G526="","",IF(AT526="Evet",AR526,IF(AU526="Evet",AP526,"")))</f>
        <v/>
      </c>
    </row>
    <row r="527">
      <c r="A527" s="23" t="n"/>
      <c r="B527" s="23" t="n"/>
      <c r="C527" s="23" t="n"/>
      <c r="D527" s="23" t="n"/>
      <c r="E527" s="23" t="n"/>
      <c r="F527" s="23" t="n"/>
      <c r="G527" s="23" t="n"/>
      <c r="H527" s="23" t="n"/>
      <c r="I527" s="23" t="n"/>
      <c r="J527" s="23" t="n"/>
      <c r="K527" s="23" t="n"/>
      <c r="L527" s="23" t="n"/>
      <c r="M527" s="23" t="n"/>
      <c r="N527" s="23" t="n"/>
      <c r="O527" s="23" t="n"/>
      <c r="P527" s="23" t="n"/>
      <c r="Q527" s="23" t="n"/>
      <c r="R527" s="23" t="n"/>
      <c r="S527" s="23" t="n"/>
      <c r="T527" s="23" t="n"/>
      <c r="U527" s="23" t="n"/>
      <c r="V527" s="23" t="n"/>
      <c r="W527" s="23" t="n"/>
      <c r="X527" s="23" t="n"/>
      <c r="Y527" s="23" t="n"/>
      <c r="Z527" s="23" t="n"/>
      <c r="AA527" s="23" t="n"/>
      <c r="AB527" s="23" t="n"/>
      <c r="AC527" s="23" t="n"/>
      <c r="AD527" s="23" t="n"/>
      <c r="AE527" s="23" t="n"/>
      <c r="AF527" s="23" t="n"/>
      <c r="AG527" s="23" t="n"/>
      <c r="AH527" s="23" t="n"/>
      <c r="AI527" s="23" t="n"/>
      <c r="AJ527" s="23" t="n"/>
      <c r="AK527" s="23" t="n"/>
      <c r="AL527" s="23" t="n"/>
      <c r="AM527" s="26">
        <f>IF(G527="","",G527&amp;"|"&amp;P527)</f>
        <v/>
      </c>
      <c r="AN527" s="27">
        <f>IF(I527="","",IFERROR(DATE(VALUE(RIGHT(I527,4)),VALUE(MID(I527,4,2)),VALUE(LEFT(I527,2))),""))</f>
        <v/>
      </c>
      <c r="AO527" s="27">
        <f>IF(Y527="","",IFERROR(DATE(VALUE(RIGHT(Y527,4)),VALUE(MID(Y527,4,2)),VALUE(LEFT(Y527,2))),""))</f>
        <v/>
      </c>
      <c r="AP527" s="27">
        <f>IF(AC527="","",IFERROR(DATE(VALUE(RIGHT(AC527,4)),VALUE(MID(AC527,4,2)),VALUE(LEFT(AC527,2))),""))</f>
        <v/>
      </c>
      <c r="AQ527" s="26">
        <f>IF(AI527="","",TRIM(LEFT(AI527,FIND(" ",AI527&amp;" ")-1)))</f>
        <v/>
      </c>
      <c r="AR527" s="27">
        <f>IF(AQ527="","",IFERROR(DATE(VALUE(MID(AQ527,FIND("/",AQ527,FIND("/",AQ527)+1)+1,4)),VALUE(LEFT(AQ527,FIND("/",AQ527)-1)),VALUE(MID(AQ527,FIND("/",AQ527)+1,FIND("/",AQ527,FIND("/",AQ527)+1)-FIND("/",AQ527)-1))),""))</f>
        <v/>
      </c>
      <c r="AS527" s="26">
        <f>IF(G527="","",IF(AND(AG527&lt;&gt;"",AG527&lt;&gt;"Bayi Aracı"),"Evet","Hayır"))</f>
        <v/>
      </c>
      <c r="AT527" s="26">
        <f>IF(G527="","",IF(AND(AS527="Evet",T527="Siparişiniz Teslim Edildi"),"Evet","Hayır"))</f>
        <v/>
      </c>
      <c r="AU527" s="26">
        <f>IF(G527="","",IF(AB527="Siparişinizin Montajı Yapıldı","Evet","Hayır"))</f>
        <v/>
      </c>
      <c r="AV527" s="27">
        <f>IF(G527="","",IF(AT527="Evet",AR527,IF(AU527="Evet",AP527,"")))</f>
        <v/>
      </c>
    </row>
    <row r="528">
      <c r="A528" s="23" t="n"/>
      <c r="B528" s="23" t="n"/>
      <c r="C528" s="23" t="n"/>
      <c r="D528" s="23" t="n"/>
      <c r="E528" s="23" t="n"/>
      <c r="F528" s="23" t="n"/>
      <c r="G528" s="23" t="n"/>
      <c r="H528" s="23" t="n"/>
      <c r="I528" s="23" t="n"/>
      <c r="J528" s="23" t="n"/>
      <c r="K528" s="23" t="n"/>
      <c r="L528" s="23" t="n"/>
      <c r="M528" s="23" t="n"/>
      <c r="N528" s="23" t="n"/>
      <c r="O528" s="23" t="n"/>
      <c r="P528" s="23" t="n"/>
      <c r="Q528" s="23" t="n"/>
      <c r="R528" s="23" t="n"/>
      <c r="S528" s="23" t="n"/>
      <c r="T528" s="23" t="n"/>
      <c r="U528" s="23" t="n"/>
      <c r="V528" s="23" t="n"/>
      <c r="W528" s="23" t="n"/>
      <c r="X528" s="23" t="n"/>
      <c r="Y528" s="23" t="n"/>
      <c r="Z528" s="23" t="n"/>
      <c r="AA528" s="23" t="n"/>
      <c r="AB528" s="23" t="n"/>
      <c r="AC528" s="23" t="n"/>
      <c r="AD528" s="23" t="n"/>
      <c r="AE528" s="23" t="n"/>
      <c r="AF528" s="23" t="n"/>
      <c r="AG528" s="23" t="n"/>
      <c r="AH528" s="23" t="n"/>
      <c r="AI528" s="23" t="n"/>
      <c r="AJ528" s="23" t="n"/>
      <c r="AK528" s="23" t="n"/>
      <c r="AL528" s="23" t="n"/>
      <c r="AM528" s="26">
        <f>IF(G528="","",G528&amp;"|"&amp;P528)</f>
        <v/>
      </c>
      <c r="AN528" s="27">
        <f>IF(I528="","",IFERROR(DATE(VALUE(RIGHT(I528,4)),VALUE(MID(I528,4,2)),VALUE(LEFT(I528,2))),""))</f>
        <v/>
      </c>
      <c r="AO528" s="27">
        <f>IF(Y528="","",IFERROR(DATE(VALUE(RIGHT(Y528,4)),VALUE(MID(Y528,4,2)),VALUE(LEFT(Y528,2))),""))</f>
        <v/>
      </c>
      <c r="AP528" s="27">
        <f>IF(AC528="","",IFERROR(DATE(VALUE(RIGHT(AC528,4)),VALUE(MID(AC528,4,2)),VALUE(LEFT(AC528,2))),""))</f>
        <v/>
      </c>
      <c r="AQ528" s="26">
        <f>IF(AI528="","",TRIM(LEFT(AI528,FIND(" ",AI528&amp;" ")-1)))</f>
        <v/>
      </c>
      <c r="AR528" s="27">
        <f>IF(AQ528="","",IFERROR(DATE(VALUE(MID(AQ528,FIND("/",AQ528,FIND("/",AQ528)+1)+1,4)),VALUE(LEFT(AQ528,FIND("/",AQ528)-1)),VALUE(MID(AQ528,FIND("/",AQ528)+1,FIND("/",AQ528,FIND("/",AQ528)+1)-FIND("/",AQ528)-1))),""))</f>
        <v/>
      </c>
      <c r="AS528" s="26">
        <f>IF(G528="","",IF(AND(AG528&lt;&gt;"",AG528&lt;&gt;"Bayi Aracı"),"Evet","Hayır"))</f>
        <v/>
      </c>
      <c r="AT528" s="26">
        <f>IF(G528="","",IF(AND(AS528="Evet",T528="Siparişiniz Teslim Edildi"),"Evet","Hayır"))</f>
        <v/>
      </c>
      <c r="AU528" s="26">
        <f>IF(G528="","",IF(AB528="Siparişinizin Montajı Yapıldı","Evet","Hayır"))</f>
        <v/>
      </c>
      <c r="AV528" s="27">
        <f>IF(G528="","",IF(AT528="Evet",AR528,IF(AU528="Evet",AP528,"")))</f>
        <v/>
      </c>
    </row>
    <row r="529">
      <c r="A529" s="23" t="n"/>
      <c r="B529" s="23" t="n"/>
      <c r="C529" s="23" t="n"/>
      <c r="D529" s="23" t="n"/>
      <c r="E529" s="23" t="n"/>
      <c r="F529" s="23" t="n"/>
      <c r="G529" s="23" t="n"/>
      <c r="H529" s="23" t="n"/>
      <c r="I529" s="23" t="n"/>
      <c r="J529" s="23" t="n"/>
      <c r="K529" s="23" t="n"/>
      <c r="L529" s="23" t="n"/>
      <c r="M529" s="23" t="n"/>
      <c r="N529" s="23" t="n"/>
      <c r="O529" s="23" t="n"/>
      <c r="P529" s="23" t="n"/>
      <c r="Q529" s="23" t="n"/>
      <c r="R529" s="23" t="n"/>
      <c r="S529" s="23" t="n"/>
      <c r="T529" s="23" t="n"/>
      <c r="U529" s="23" t="n"/>
      <c r="V529" s="23" t="n"/>
      <c r="W529" s="23" t="n"/>
      <c r="X529" s="23" t="n"/>
      <c r="Y529" s="23" t="n"/>
      <c r="Z529" s="23" t="n"/>
      <c r="AA529" s="23" t="n"/>
      <c r="AB529" s="23" t="n"/>
      <c r="AC529" s="23" t="n"/>
      <c r="AD529" s="23" t="n"/>
      <c r="AE529" s="23" t="n"/>
      <c r="AF529" s="23" t="n"/>
      <c r="AG529" s="23" t="n"/>
      <c r="AH529" s="23" t="n"/>
      <c r="AI529" s="23" t="n"/>
      <c r="AJ529" s="23" t="n"/>
      <c r="AK529" s="23" t="n"/>
      <c r="AL529" s="23" t="n"/>
      <c r="AM529" s="26">
        <f>IF(G529="","",G529&amp;"|"&amp;P529)</f>
        <v/>
      </c>
      <c r="AN529" s="27">
        <f>IF(I529="","",IFERROR(DATE(VALUE(RIGHT(I529,4)),VALUE(MID(I529,4,2)),VALUE(LEFT(I529,2))),""))</f>
        <v/>
      </c>
      <c r="AO529" s="27">
        <f>IF(Y529="","",IFERROR(DATE(VALUE(RIGHT(Y529,4)),VALUE(MID(Y529,4,2)),VALUE(LEFT(Y529,2))),""))</f>
        <v/>
      </c>
      <c r="AP529" s="27">
        <f>IF(AC529="","",IFERROR(DATE(VALUE(RIGHT(AC529,4)),VALUE(MID(AC529,4,2)),VALUE(LEFT(AC529,2))),""))</f>
        <v/>
      </c>
      <c r="AQ529" s="26">
        <f>IF(AI529="","",TRIM(LEFT(AI529,FIND(" ",AI529&amp;" ")-1)))</f>
        <v/>
      </c>
      <c r="AR529" s="27">
        <f>IF(AQ529="","",IFERROR(DATE(VALUE(MID(AQ529,FIND("/",AQ529,FIND("/",AQ529)+1)+1,4)),VALUE(LEFT(AQ529,FIND("/",AQ529)-1)),VALUE(MID(AQ529,FIND("/",AQ529)+1,FIND("/",AQ529,FIND("/",AQ529)+1)-FIND("/",AQ529)-1))),""))</f>
        <v/>
      </c>
      <c r="AS529" s="26">
        <f>IF(G529="","",IF(AND(AG529&lt;&gt;"",AG529&lt;&gt;"Bayi Aracı"),"Evet","Hayır"))</f>
        <v/>
      </c>
      <c r="AT529" s="26">
        <f>IF(G529="","",IF(AND(AS529="Evet",T529="Siparişiniz Teslim Edildi"),"Evet","Hayır"))</f>
        <v/>
      </c>
      <c r="AU529" s="26">
        <f>IF(G529="","",IF(AB529="Siparişinizin Montajı Yapıldı","Evet","Hayır"))</f>
        <v/>
      </c>
      <c r="AV529" s="27">
        <f>IF(G529="","",IF(AT529="Evet",AR529,IF(AU529="Evet",AP529,"")))</f>
        <v/>
      </c>
    </row>
    <row r="530">
      <c r="A530" s="23" t="n"/>
      <c r="B530" s="23" t="n"/>
      <c r="C530" s="23" t="n"/>
      <c r="D530" s="23" t="n"/>
      <c r="E530" s="23" t="n"/>
      <c r="F530" s="23" t="n"/>
      <c r="G530" s="23" t="n"/>
      <c r="H530" s="23" t="n"/>
      <c r="I530" s="23" t="n"/>
      <c r="J530" s="23" t="n"/>
      <c r="K530" s="23" t="n"/>
      <c r="L530" s="23" t="n"/>
      <c r="M530" s="23" t="n"/>
      <c r="N530" s="23" t="n"/>
      <c r="O530" s="23" t="n"/>
      <c r="P530" s="23" t="n"/>
      <c r="Q530" s="23" t="n"/>
      <c r="R530" s="23" t="n"/>
      <c r="S530" s="23" t="n"/>
      <c r="T530" s="23" t="n"/>
      <c r="U530" s="23" t="n"/>
      <c r="V530" s="23" t="n"/>
      <c r="W530" s="23" t="n"/>
      <c r="X530" s="23" t="n"/>
      <c r="Y530" s="23" t="n"/>
      <c r="Z530" s="23" t="n"/>
      <c r="AA530" s="23" t="n"/>
      <c r="AB530" s="23" t="n"/>
      <c r="AC530" s="23" t="n"/>
      <c r="AD530" s="23" t="n"/>
      <c r="AE530" s="23" t="n"/>
      <c r="AF530" s="23" t="n"/>
      <c r="AG530" s="23" t="n"/>
      <c r="AH530" s="23" t="n"/>
      <c r="AI530" s="23" t="n"/>
      <c r="AJ530" s="23" t="n"/>
      <c r="AK530" s="23" t="n"/>
      <c r="AL530" s="23" t="n"/>
      <c r="AM530" s="26">
        <f>IF(G530="","",G530&amp;"|"&amp;P530)</f>
        <v/>
      </c>
      <c r="AN530" s="27">
        <f>IF(I530="","",IFERROR(DATE(VALUE(RIGHT(I530,4)),VALUE(MID(I530,4,2)),VALUE(LEFT(I530,2))),""))</f>
        <v/>
      </c>
      <c r="AO530" s="27">
        <f>IF(Y530="","",IFERROR(DATE(VALUE(RIGHT(Y530,4)),VALUE(MID(Y530,4,2)),VALUE(LEFT(Y530,2))),""))</f>
        <v/>
      </c>
      <c r="AP530" s="27">
        <f>IF(AC530="","",IFERROR(DATE(VALUE(RIGHT(AC530,4)),VALUE(MID(AC530,4,2)),VALUE(LEFT(AC530,2))),""))</f>
        <v/>
      </c>
      <c r="AQ530" s="26">
        <f>IF(AI530="","",TRIM(LEFT(AI530,FIND(" ",AI530&amp;" ")-1)))</f>
        <v/>
      </c>
      <c r="AR530" s="27">
        <f>IF(AQ530="","",IFERROR(DATE(VALUE(MID(AQ530,FIND("/",AQ530,FIND("/",AQ530)+1)+1,4)),VALUE(LEFT(AQ530,FIND("/",AQ530)-1)),VALUE(MID(AQ530,FIND("/",AQ530)+1,FIND("/",AQ530,FIND("/",AQ530)+1)-FIND("/",AQ530)-1))),""))</f>
        <v/>
      </c>
      <c r="AS530" s="26">
        <f>IF(G530="","",IF(AND(AG530&lt;&gt;"",AG530&lt;&gt;"Bayi Aracı"),"Evet","Hayır"))</f>
        <v/>
      </c>
      <c r="AT530" s="26">
        <f>IF(G530="","",IF(AND(AS530="Evet",T530="Siparişiniz Teslim Edildi"),"Evet","Hayır"))</f>
        <v/>
      </c>
      <c r="AU530" s="26">
        <f>IF(G530="","",IF(AB530="Siparişinizin Montajı Yapıldı","Evet","Hayır"))</f>
        <v/>
      </c>
      <c r="AV530" s="27">
        <f>IF(G530="","",IF(AT530="Evet",AR530,IF(AU530="Evet",AP530,"")))</f>
        <v/>
      </c>
    </row>
    <row r="531">
      <c r="A531" s="23" t="n"/>
      <c r="B531" s="23" t="n"/>
      <c r="C531" s="23" t="n"/>
      <c r="D531" s="23" t="n"/>
      <c r="E531" s="23" t="n"/>
      <c r="F531" s="23" t="n"/>
      <c r="G531" s="23" t="n"/>
      <c r="H531" s="23" t="n"/>
      <c r="I531" s="23" t="n"/>
      <c r="J531" s="23" t="n"/>
      <c r="K531" s="23" t="n"/>
      <c r="L531" s="23" t="n"/>
      <c r="M531" s="23" t="n"/>
      <c r="N531" s="23" t="n"/>
      <c r="O531" s="23" t="n"/>
      <c r="P531" s="23" t="n"/>
      <c r="Q531" s="23" t="n"/>
      <c r="R531" s="23" t="n"/>
      <c r="S531" s="23" t="n"/>
      <c r="T531" s="23" t="n"/>
      <c r="U531" s="23" t="n"/>
      <c r="V531" s="23" t="n"/>
      <c r="W531" s="23" t="n"/>
      <c r="X531" s="23" t="n"/>
      <c r="Y531" s="23" t="n"/>
      <c r="Z531" s="23" t="n"/>
      <c r="AA531" s="23" t="n"/>
      <c r="AB531" s="23" t="n"/>
      <c r="AC531" s="23" t="n"/>
      <c r="AD531" s="23" t="n"/>
      <c r="AE531" s="23" t="n"/>
      <c r="AF531" s="23" t="n"/>
      <c r="AG531" s="23" t="n"/>
      <c r="AH531" s="23" t="n"/>
      <c r="AI531" s="23" t="n"/>
      <c r="AJ531" s="23" t="n"/>
      <c r="AK531" s="23" t="n"/>
      <c r="AL531" s="23" t="n"/>
      <c r="AM531" s="26">
        <f>IF(G531="","",G531&amp;"|"&amp;P531)</f>
        <v/>
      </c>
      <c r="AN531" s="27">
        <f>IF(I531="","",IFERROR(DATE(VALUE(RIGHT(I531,4)),VALUE(MID(I531,4,2)),VALUE(LEFT(I531,2))),""))</f>
        <v/>
      </c>
      <c r="AO531" s="27">
        <f>IF(Y531="","",IFERROR(DATE(VALUE(RIGHT(Y531,4)),VALUE(MID(Y531,4,2)),VALUE(LEFT(Y531,2))),""))</f>
        <v/>
      </c>
      <c r="AP531" s="27">
        <f>IF(AC531="","",IFERROR(DATE(VALUE(RIGHT(AC531,4)),VALUE(MID(AC531,4,2)),VALUE(LEFT(AC531,2))),""))</f>
        <v/>
      </c>
      <c r="AQ531" s="26">
        <f>IF(AI531="","",TRIM(LEFT(AI531,FIND(" ",AI531&amp;" ")-1)))</f>
        <v/>
      </c>
      <c r="AR531" s="27">
        <f>IF(AQ531="","",IFERROR(DATE(VALUE(MID(AQ531,FIND("/",AQ531,FIND("/",AQ531)+1)+1,4)),VALUE(LEFT(AQ531,FIND("/",AQ531)-1)),VALUE(MID(AQ531,FIND("/",AQ531)+1,FIND("/",AQ531,FIND("/",AQ531)+1)-FIND("/",AQ531)-1))),""))</f>
        <v/>
      </c>
      <c r="AS531" s="26">
        <f>IF(G531="","",IF(AND(AG531&lt;&gt;"",AG531&lt;&gt;"Bayi Aracı"),"Evet","Hayır"))</f>
        <v/>
      </c>
      <c r="AT531" s="26">
        <f>IF(G531="","",IF(AND(AS531="Evet",T531="Siparişiniz Teslim Edildi"),"Evet","Hayır"))</f>
        <v/>
      </c>
      <c r="AU531" s="26">
        <f>IF(G531="","",IF(AB531="Siparişinizin Montajı Yapıldı","Evet","Hayır"))</f>
        <v/>
      </c>
      <c r="AV531" s="27">
        <f>IF(G531="","",IF(AT531="Evet",AR531,IF(AU531="Evet",AP531,"")))</f>
        <v/>
      </c>
    </row>
    <row r="532">
      <c r="A532" s="23" t="n"/>
      <c r="B532" s="23" t="n"/>
      <c r="C532" s="23" t="n"/>
      <c r="D532" s="23" t="n"/>
      <c r="E532" s="23" t="n"/>
      <c r="F532" s="23" t="n"/>
      <c r="G532" s="23" t="n"/>
      <c r="H532" s="23" t="n"/>
      <c r="I532" s="23" t="n"/>
      <c r="J532" s="23" t="n"/>
      <c r="K532" s="23" t="n"/>
      <c r="L532" s="23" t="n"/>
      <c r="M532" s="23" t="n"/>
      <c r="N532" s="23" t="n"/>
      <c r="O532" s="23" t="n"/>
      <c r="P532" s="23" t="n"/>
      <c r="Q532" s="23" t="n"/>
      <c r="R532" s="23" t="n"/>
      <c r="S532" s="23" t="n"/>
      <c r="T532" s="23" t="n"/>
      <c r="U532" s="23" t="n"/>
      <c r="V532" s="23" t="n"/>
      <c r="W532" s="23" t="n"/>
      <c r="X532" s="23" t="n"/>
      <c r="Y532" s="23" t="n"/>
      <c r="Z532" s="23" t="n"/>
      <c r="AA532" s="23" t="n"/>
      <c r="AB532" s="23" t="n"/>
      <c r="AC532" s="23" t="n"/>
      <c r="AD532" s="23" t="n"/>
      <c r="AE532" s="23" t="n"/>
      <c r="AF532" s="23" t="n"/>
      <c r="AG532" s="23" t="n"/>
      <c r="AH532" s="23" t="n"/>
      <c r="AI532" s="23" t="n"/>
      <c r="AJ532" s="23" t="n"/>
      <c r="AK532" s="23" t="n"/>
      <c r="AL532" s="23" t="n"/>
      <c r="AM532" s="26">
        <f>IF(G532="","",G532&amp;"|"&amp;P532)</f>
        <v/>
      </c>
      <c r="AN532" s="27">
        <f>IF(I532="","",IFERROR(DATE(VALUE(RIGHT(I532,4)),VALUE(MID(I532,4,2)),VALUE(LEFT(I532,2))),""))</f>
        <v/>
      </c>
      <c r="AO532" s="27">
        <f>IF(Y532="","",IFERROR(DATE(VALUE(RIGHT(Y532,4)),VALUE(MID(Y532,4,2)),VALUE(LEFT(Y532,2))),""))</f>
        <v/>
      </c>
      <c r="AP532" s="27">
        <f>IF(AC532="","",IFERROR(DATE(VALUE(RIGHT(AC532,4)),VALUE(MID(AC532,4,2)),VALUE(LEFT(AC532,2))),""))</f>
        <v/>
      </c>
      <c r="AQ532" s="26">
        <f>IF(AI532="","",TRIM(LEFT(AI532,FIND(" ",AI532&amp;" ")-1)))</f>
        <v/>
      </c>
      <c r="AR532" s="27">
        <f>IF(AQ532="","",IFERROR(DATE(VALUE(MID(AQ532,FIND("/",AQ532,FIND("/",AQ532)+1)+1,4)),VALUE(LEFT(AQ532,FIND("/",AQ532)-1)),VALUE(MID(AQ532,FIND("/",AQ532)+1,FIND("/",AQ532,FIND("/",AQ532)+1)-FIND("/",AQ532)-1))),""))</f>
        <v/>
      </c>
      <c r="AS532" s="26">
        <f>IF(G532="","",IF(AND(AG532&lt;&gt;"",AG532&lt;&gt;"Bayi Aracı"),"Evet","Hayır"))</f>
        <v/>
      </c>
      <c r="AT532" s="26">
        <f>IF(G532="","",IF(AND(AS532="Evet",T532="Siparişiniz Teslim Edildi"),"Evet","Hayır"))</f>
        <v/>
      </c>
      <c r="AU532" s="26">
        <f>IF(G532="","",IF(AB532="Siparişinizin Montajı Yapıldı","Evet","Hayır"))</f>
        <v/>
      </c>
      <c r="AV532" s="27">
        <f>IF(G532="","",IF(AT532="Evet",AR532,IF(AU532="Evet",AP532,"")))</f>
        <v/>
      </c>
    </row>
    <row r="533">
      <c r="A533" s="23" t="n"/>
      <c r="B533" s="23" t="n"/>
      <c r="C533" s="23" t="n"/>
      <c r="D533" s="23" t="n"/>
      <c r="E533" s="23" t="n"/>
      <c r="F533" s="23" t="n"/>
      <c r="G533" s="23" t="n"/>
      <c r="H533" s="23" t="n"/>
      <c r="I533" s="23" t="n"/>
      <c r="J533" s="23" t="n"/>
      <c r="K533" s="23" t="n"/>
      <c r="L533" s="23" t="n"/>
      <c r="M533" s="23" t="n"/>
      <c r="N533" s="23" t="n"/>
      <c r="O533" s="23" t="n"/>
      <c r="P533" s="23" t="n"/>
      <c r="Q533" s="23" t="n"/>
      <c r="R533" s="23" t="n"/>
      <c r="S533" s="23" t="n"/>
      <c r="T533" s="23" t="n"/>
      <c r="U533" s="23" t="n"/>
      <c r="V533" s="23" t="n"/>
      <c r="W533" s="23" t="n"/>
      <c r="X533" s="23" t="n"/>
      <c r="Y533" s="23" t="n"/>
      <c r="Z533" s="23" t="n"/>
      <c r="AA533" s="23" t="n"/>
      <c r="AB533" s="23" t="n"/>
      <c r="AC533" s="23" t="n"/>
      <c r="AD533" s="23" t="n"/>
      <c r="AE533" s="23" t="n"/>
      <c r="AF533" s="23" t="n"/>
      <c r="AG533" s="23" t="n"/>
      <c r="AH533" s="23" t="n"/>
      <c r="AI533" s="23" t="n"/>
      <c r="AJ533" s="23" t="n"/>
      <c r="AK533" s="23" t="n"/>
      <c r="AL533" s="23" t="n"/>
      <c r="AM533" s="26">
        <f>IF(G533="","",G533&amp;"|"&amp;P533)</f>
        <v/>
      </c>
      <c r="AN533" s="27">
        <f>IF(I533="","",IFERROR(DATE(VALUE(RIGHT(I533,4)),VALUE(MID(I533,4,2)),VALUE(LEFT(I533,2))),""))</f>
        <v/>
      </c>
      <c r="AO533" s="27">
        <f>IF(Y533="","",IFERROR(DATE(VALUE(RIGHT(Y533,4)),VALUE(MID(Y533,4,2)),VALUE(LEFT(Y533,2))),""))</f>
        <v/>
      </c>
      <c r="AP533" s="27">
        <f>IF(AC533="","",IFERROR(DATE(VALUE(RIGHT(AC533,4)),VALUE(MID(AC533,4,2)),VALUE(LEFT(AC533,2))),""))</f>
        <v/>
      </c>
      <c r="AQ533" s="26">
        <f>IF(AI533="","",TRIM(LEFT(AI533,FIND(" ",AI533&amp;" ")-1)))</f>
        <v/>
      </c>
      <c r="AR533" s="27">
        <f>IF(AQ533="","",IFERROR(DATE(VALUE(MID(AQ533,FIND("/",AQ533,FIND("/",AQ533)+1)+1,4)),VALUE(LEFT(AQ533,FIND("/",AQ533)-1)),VALUE(MID(AQ533,FIND("/",AQ533)+1,FIND("/",AQ533,FIND("/",AQ533)+1)-FIND("/",AQ533)-1))),""))</f>
        <v/>
      </c>
      <c r="AS533" s="26">
        <f>IF(G533="","",IF(AND(AG533&lt;&gt;"",AG533&lt;&gt;"Bayi Aracı"),"Evet","Hayır"))</f>
        <v/>
      </c>
      <c r="AT533" s="26">
        <f>IF(G533="","",IF(AND(AS533="Evet",T533="Siparişiniz Teslim Edildi"),"Evet","Hayır"))</f>
        <v/>
      </c>
      <c r="AU533" s="26">
        <f>IF(G533="","",IF(AB533="Siparişinizin Montajı Yapıldı","Evet","Hayır"))</f>
        <v/>
      </c>
      <c r="AV533" s="27">
        <f>IF(G533="","",IF(AT533="Evet",AR533,IF(AU533="Evet",AP533,"")))</f>
        <v/>
      </c>
    </row>
    <row r="534">
      <c r="A534" s="23" t="n"/>
      <c r="B534" s="23" t="n"/>
      <c r="C534" s="23" t="n"/>
      <c r="D534" s="23" t="n"/>
      <c r="E534" s="23" t="n"/>
      <c r="F534" s="23" t="n"/>
      <c r="G534" s="23" t="n"/>
      <c r="H534" s="23" t="n"/>
      <c r="I534" s="23" t="n"/>
      <c r="J534" s="23" t="n"/>
      <c r="K534" s="23" t="n"/>
      <c r="L534" s="23" t="n"/>
      <c r="M534" s="23" t="n"/>
      <c r="N534" s="23" t="n"/>
      <c r="O534" s="23" t="n"/>
      <c r="P534" s="23" t="n"/>
      <c r="Q534" s="23" t="n"/>
      <c r="R534" s="23" t="n"/>
      <c r="S534" s="23" t="n"/>
      <c r="T534" s="23" t="n"/>
      <c r="U534" s="23" t="n"/>
      <c r="V534" s="23" t="n"/>
      <c r="W534" s="23" t="n"/>
      <c r="X534" s="23" t="n"/>
      <c r="Y534" s="23" t="n"/>
      <c r="Z534" s="23" t="n"/>
      <c r="AA534" s="23" t="n"/>
      <c r="AB534" s="23" t="n"/>
      <c r="AC534" s="23" t="n"/>
      <c r="AD534" s="23" t="n"/>
      <c r="AE534" s="23" t="n"/>
      <c r="AF534" s="23" t="n"/>
      <c r="AG534" s="23" t="n"/>
      <c r="AH534" s="23" t="n"/>
      <c r="AI534" s="23" t="n"/>
      <c r="AJ534" s="23" t="n"/>
      <c r="AK534" s="23" t="n"/>
      <c r="AL534" s="23" t="n"/>
      <c r="AM534" s="26">
        <f>IF(G534="","",G534&amp;"|"&amp;P534)</f>
        <v/>
      </c>
      <c r="AN534" s="27">
        <f>IF(I534="","",IFERROR(DATE(VALUE(RIGHT(I534,4)),VALUE(MID(I534,4,2)),VALUE(LEFT(I534,2))),""))</f>
        <v/>
      </c>
      <c r="AO534" s="27">
        <f>IF(Y534="","",IFERROR(DATE(VALUE(RIGHT(Y534,4)),VALUE(MID(Y534,4,2)),VALUE(LEFT(Y534,2))),""))</f>
        <v/>
      </c>
      <c r="AP534" s="27">
        <f>IF(AC534="","",IFERROR(DATE(VALUE(RIGHT(AC534,4)),VALUE(MID(AC534,4,2)),VALUE(LEFT(AC534,2))),""))</f>
        <v/>
      </c>
      <c r="AQ534" s="26">
        <f>IF(AI534="","",TRIM(LEFT(AI534,FIND(" ",AI534&amp;" ")-1)))</f>
        <v/>
      </c>
      <c r="AR534" s="27">
        <f>IF(AQ534="","",IFERROR(DATE(VALUE(MID(AQ534,FIND("/",AQ534,FIND("/",AQ534)+1)+1,4)),VALUE(LEFT(AQ534,FIND("/",AQ534)-1)),VALUE(MID(AQ534,FIND("/",AQ534)+1,FIND("/",AQ534,FIND("/",AQ534)+1)-FIND("/",AQ534)-1))),""))</f>
        <v/>
      </c>
      <c r="AS534" s="26">
        <f>IF(G534="","",IF(AND(AG534&lt;&gt;"",AG534&lt;&gt;"Bayi Aracı"),"Evet","Hayır"))</f>
        <v/>
      </c>
      <c r="AT534" s="26">
        <f>IF(G534="","",IF(AND(AS534="Evet",T534="Siparişiniz Teslim Edildi"),"Evet","Hayır"))</f>
        <v/>
      </c>
      <c r="AU534" s="26">
        <f>IF(G534="","",IF(AB534="Siparişinizin Montajı Yapıldı","Evet","Hayır"))</f>
        <v/>
      </c>
      <c r="AV534" s="27">
        <f>IF(G534="","",IF(AT534="Evet",AR534,IF(AU534="Evet",AP534,"")))</f>
        <v/>
      </c>
    </row>
    <row r="535">
      <c r="A535" s="23" t="n"/>
      <c r="B535" s="23" t="n"/>
      <c r="C535" s="23" t="n"/>
      <c r="D535" s="23" t="n"/>
      <c r="E535" s="23" t="n"/>
      <c r="F535" s="23" t="n"/>
      <c r="G535" s="23" t="n"/>
      <c r="H535" s="23" t="n"/>
      <c r="I535" s="23" t="n"/>
      <c r="J535" s="23" t="n"/>
      <c r="K535" s="23" t="n"/>
      <c r="L535" s="23" t="n"/>
      <c r="M535" s="23" t="n"/>
      <c r="N535" s="23" t="n"/>
      <c r="O535" s="23" t="n"/>
      <c r="P535" s="23" t="n"/>
      <c r="Q535" s="23" t="n"/>
      <c r="R535" s="23" t="n"/>
      <c r="S535" s="23" t="n"/>
      <c r="T535" s="23" t="n"/>
      <c r="U535" s="23" t="n"/>
      <c r="V535" s="23" t="n"/>
      <c r="W535" s="23" t="n"/>
      <c r="X535" s="23" t="n"/>
      <c r="Y535" s="23" t="n"/>
      <c r="Z535" s="23" t="n"/>
      <c r="AA535" s="23" t="n"/>
      <c r="AB535" s="23" t="n"/>
      <c r="AC535" s="23" t="n"/>
      <c r="AD535" s="23" t="n"/>
      <c r="AE535" s="23" t="n"/>
      <c r="AF535" s="23" t="n"/>
      <c r="AG535" s="23" t="n"/>
      <c r="AH535" s="23" t="n"/>
      <c r="AI535" s="23" t="n"/>
      <c r="AJ535" s="23" t="n"/>
      <c r="AK535" s="23" t="n"/>
      <c r="AL535" s="23" t="n"/>
      <c r="AM535" s="26">
        <f>IF(G535="","",G535&amp;"|"&amp;P535)</f>
        <v/>
      </c>
      <c r="AN535" s="27">
        <f>IF(I535="","",IFERROR(DATE(VALUE(RIGHT(I535,4)),VALUE(MID(I535,4,2)),VALUE(LEFT(I535,2))),""))</f>
        <v/>
      </c>
      <c r="AO535" s="27">
        <f>IF(Y535="","",IFERROR(DATE(VALUE(RIGHT(Y535,4)),VALUE(MID(Y535,4,2)),VALUE(LEFT(Y535,2))),""))</f>
        <v/>
      </c>
      <c r="AP535" s="27">
        <f>IF(AC535="","",IFERROR(DATE(VALUE(RIGHT(AC535,4)),VALUE(MID(AC535,4,2)),VALUE(LEFT(AC535,2))),""))</f>
        <v/>
      </c>
      <c r="AQ535" s="26">
        <f>IF(AI535="","",TRIM(LEFT(AI535,FIND(" ",AI535&amp;" ")-1)))</f>
        <v/>
      </c>
      <c r="AR535" s="27">
        <f>IF(AQ535="","",IFERROR(DATE(VALUE(MID(AQ535,FIND("/",AQ535,FIND("/",AQ535)+1)+1,4)),VALUE(LEFT(AQ535,FIND("/",AQ535)-1)),VALUE(MID(AQ535,FIND("/",AQ535)+1,FIND("/",AQ535,FIND("/",AQ535)+1)-FIND("/",AQ535)-1))),""))</f>
        <v/>
      </c>
      <c r="AS535" s="26">
        <f>IF(G535="","",IF(AND(AG535&lt;&gt;"",AG535&lt;&gt;"Bayi Aracı"),"Evet","Hayır"))</f>
        <v/>
      </c>
      <c r="AT535" s="26">
        <f>IF(G535="","",IF(AND(AS535="Evet",T535="Siparişiniz Teslim Edildi"),"Evet","Hayır"))</f>
        <v/>
      </c>
      <c r="AU535" s="26">
        <f>IF(G535="","",IF(AB535="Siparişinizin Montajı Yapıldı","Evet","Hayır"))</f>
        <v/>
      </c>
      <c r="AV535" s="27">
        <f>IF(G535="","",IF(AT535="Evet",AR535,IF(AU535="Evet",AP535,"")))</f>
        <v/>
      </c>
    </row>
    <row r="536">
      <c r="A536" s="23" t="n"/>
      <c r="B536" s="23" t="n"/>
      <c r="C536" s="23" t="n"/>
      <c r="D536" s="23" t="n"/>
      <c r="E536" s="23" t="n"/>
      <c r="F536" s="23" t="n"/>
      <c r="G536" s="23" t="n"/>
      <c r="H536" s="23" t="n"/>
      <c r="I536" s="23" t="n"/>
      <c r="J536" s="23" t="n"/>
      <c r="K536" s="23" t="n"/>
      <c r="L536" s="23" t="n"/>
      <c r="M536" s="23" t="n"/>
      <c r="N536" s="23" t="n"/>
      <c r="O536" s="23" t="n"/>
      <c r="P536" s="23" t="n"/>
      <c r="Q536" s="23" t="n"/>
      <c r="R536" s="23" t="n"/>
      <c r="S536" s="23" t="n"/>
      <c r="T536" s="23" t="n"/>
      <c r="U536" s="23" t="n"/>
      <c r="V536" s="23" t="n"/>
      <c r="W536" s="23" t="n"/>
      <c r="X536" s="23" t="n"/>
      <c r="Y536" s="23" t="n"/>
      <c r="Z536" s="23" t="n"/>
      <c r="AA536" s="23" t="n"/>
      <c r="AB536" s="23" t="n"/>
      <c r="AC536" s="23" t="n"/>
      <c r="AD536" s="23" t="n"/>
      <c r="AE536" s="23" t="n"/>
      <c r="AF536" s="23" t="n"/>
      <c r="AG536" s="23" t="n"/>
      <c r="AH536" s="23" t="n"/>
      <c r="AI536" s="23" t="n"/>
      <c r="AJ536" s="23" t="n"/>
      <c r="AK536" s="23" t="n"/>
      <c r="AL536" s="23" t="n"/>
      <c r="AM536" s="26">
        <f>IF(G536="","",G536&amp;"|"&amp;P536)</f>
        <v/>
      </c>
      <c r="AN536" s="27">
        <f>IF(I536="","",IFERROR(DATE(VALUE(RIGHT(I536,4)),VALUE(MID(I536,4,2)),VALUE(LEFT(I536,2))),""))</f>
        <v/>
      </c>
      <c r="AO536" s="27">
        <f>IF(Y536="","",IFERROR(DATE(VALUE(RIGHT(Y536,4)),VALUE(MID(Y536,4,2)),VALUE(LEFT(Y536,2))),""))</f>
        <v/>
      </c>
      <c r="AP536" s="27">
        <f>IF(AC536="","",IFERROR(DATE(VALUE(RIGHT(AC536,4)),VALUE(MID(AC536,4,2)),VALUE(LEFT(AC536,2))),""))</f>
        <v/>
      </c>
      <c r="AQ536" s="26">
        <f>IF(AI536="","",TRIM(LEFT(AI536,FIND(" ",AI536&amp;" ")-1)))</f>
        <v/>
      </c>
      <c r="AR536" s="27">
        <f>IF(AQ536="","",IFERROR(DATE(VALUE(MID(AQ536,FIND("/",AQ536,FIND("/",AQ536)+1)+1,4)),VALUE(LEFT(AQ536,FIND("/",AQ536)-1)),VALUE(MID(AQ536,FIND("/",AQ536)+1,FIND("/",AQ536,FIND("/",AQ536)+1)-FIND("/",AQ536)-1))),""))</f>
        <v/>
      </c>
      <c r="AS536" s="26">
        <f>IF(G536="","",IF(AND(AG536&lt;&gt;"",AG536&lt;&gt;"Bayi Aracı"),"Evet","Hayır"))</f>
        <v/>
      </c>
      <c r="AT536" s="26">
        <f>IF(G536="","",IF(AND(AS536="Evet",T536="Siparişiniz Teslim Edildi"),"Evet","Hayır"))</f>
        <v/>
      </c>
      <c r="AU536" s="26">
        <f>IF(G536="","",IF(AB536="Siparişinizin Montajı Yapıldı","Evet","Hayır"))</f>
        <v/>
      </c>
      <c r="AV536" s="27">
        <f>IF(G536="","",IF(AT536="Evet",AR536,IF(AU536="Evet",AP536,"")))</f>
        <v/>
      </c>
    </row>
    <row r="537">
      <c r="A537" s="23" t="n"/>
      <c r="B537" s="23" t="n"/>
      <c r="C537" s="23" t="n"/>
      <c r="D537" s="23" t="n"/>
      <c r="E537" s="23" t="n"/>
      <c r="F537" s="23" t="n"/>
      <c r="G537" s="23" t="n"/>
      <c r="H537" s="23" t="n"/>
      <c r="I537" s="23" t="n"/>
      <c r="J537" s="23" t="n"/>
      <c r="K537" s="23" t="n"/>
      <c r="L537" s="23" t="n"/>
      <c r="M537" s="23" t="n"/>
      <c r="N537" s="23" t="n"/>
      <c r="O537" s="23" t="n"/>
      <c r="P537" s="23" t="n"/>
      <c r="Q537" s="23" t="n"/>
      <c r="R537" s="23" t="n"/>
      <c r="S537" s="23" t="n"/>
      <c r="T537" s="23" t="n"/>
      <c r="U537" s="23" t="n"/>
      <c r="V537" s="23" t="n"/>
      <c r="W537" s="23" t="n"/>
      <c r="X537" s="23" t="n"/>
      <c r="Y537" s="23" t="n"/>
      <c r="Z537" s="23" t="n"/>
      <c r="AA537" s="23" t="n"/>
      <c r="AB537" s="23" t="n"/>
      <c r="AC537" s="23" t="n"/>
      <c r="AD537" s="23" t="n"/>
      <c r="AE537" s="23" t="n"/>
      <c r="AF537" s="23" t="n"/>
      <c r="AG537" s="23" t="n"/>
      <c r="AH537" s="23" t="n"/>
      <c r="AI537" s="23" t="n"/>
      <c r="AJ537" s="23" t="n"/>
      <c r="AK537" s="23" t="n"/>
      <c r="AL537" s="23" t="n"/>
      <c r="AM537" s="26">
        <f>IF(G537="","",G537&amp;"|"&amp;P537)</f>
        <v/>
      </c>
      <c r="AN537" s="27">
        <f>IF(I537="","",IFERROR(DATE(VALUE(RIGHT(I537,4)),VALUE(MID(I537,4,2)),VALUE(LEFT(I537,2))),""))</f>
        <v/>
      </c>
      <c r="AO537" s="27">
        <f>IF(Y537="","",IFERROR(DATE(VALUE(RIGHT(Y537,4)),VALUE(MID(Y537,4,2)),VALUE(LEFT(Y537,2))),""))</f>
        <v/>
      </c>
      <c r="AP537" s="27">
        <f>IF(AC537="","",IFERROR(DATE(VALUE(RIGHT(AC537,4)),VALUE(MID(AC537,4,2)),VALUE(LEFT(AC537,2))),""))</f>
        <v/>
      </c>
      <c r="AQ537" s="26">
        <f>IF(AI537="","",TRIM(LEFT(AI537,FIND(" ",AI537&amp;" ")-1)))</f>
        <v/>
      </c>
      <c r="AR537" s="27">
        <f>IF(AQ537="","",IFERROR(DATE(VALUE(MID(AQ537,FIND("/",AQ537,FIND("/",AQ537)+1)+1,4)),VALUE(LEFT(AQ537,FIND("/",AQ537)-1)),VALUE(MID(AQ537,FIND("/",AQ537)+1,FIND("/",AQ537,FIND("/",AQ537)+1)-FIND("/",AQ537)-1))),""))</f>
        <v/>
      </c>
      <c r="AS537" s="26">
        <f>IF(G537="","",IF(AND(AG537&lt;&gt;"",AG537&lt;&gt;"Bayi Aracı"),"Evet","Hayır"))</f>
        <v/>
      </c>
      <c r="AT537" s="26">
        <f>IF(G537="","",IF(AND(AS537="Evet",T537="Siparişiniz Teslim Edildi"),"Evet","Hayır"))</f>
        <v/>
      </c>
      <c r="AU537" s="26">
        <f>IF(G537="","",IF(AB537="Siparişinizin Montajı Yapıldı","Evet","Hayır"))</f>
        <v/>
      </c>
      <c r="AV537" s="27">
        <f>IF(G537="","",IF(AT537="Evet",AR537,IF(AU537="Evet",AP537,"")))</f>
        <v/>
      </c>
    </row>
    <row r="538">
      <c r="A538" s="23" t="n"/>
      <c r="B538" s="23" t="n"/>
      <c r="C538" s="23" t="n"/>
      <c r="D538" s="23" t="n"/>
      <c r="E538" s="23" t="n"/>
      <c r="F538" s="23" t="n"/>
      <c r="G538" s="23" t="n"/>
      <c r="H538" s="23" t="n"/>
      <c r="I538" s="23" t="n"/>
      <c r="J538" s="23" t="n"/>
      <c r="K538" s="23" t="n"/>
      <c r="L538" s="23" t="n"/>
      <c r="M538" s="23" t="n"/>
      <c r="N538" s="23" t="n"/>
      <c r="O538" s="23" t="n"/>
      <c r="P538" s="23" t="n"/>
      <c r="Q538" s="23" t="n"/>
      <c r="R538" s="23" t="n"/>
      <c r="S538" s="23" t="n"/>
      <c r="T538" s="23" t="n"/>
      <c r="U538" s="23" t="n"/>
      <c r="V538" s="23" t="n"/>
      <c r="W538" s="23" t="n"/>
      <c r="X538" s="23" t="n"/>
      <c r="Y538" s="23" t="n"/>
      <c r="Z538" s="23" t="n"/>
      <c r="AA538" s="23" t="n"/>
      <c r="AB538" s="23" t="n"/>
      <c r="AC538" s="23" t="n"/>
      <c r="AD538" s="23" t="n"/>
      <c r="AE538" s="23" t="n"/>
      <c r="AF538" s="23" t="n"/>
      <c r="AG538" s="23" t="n"/>
      <c r="AH538" s="23" t="n"/>
      <c r="AI538" s="23" t="n"/>
      <c r="AJ538" s="23" t="n"/>
      <c r="AK538" s="23" t="n"/>
      <c r="AL538" s="23" t="n"/>
      <c r="AM538" s="26">
        <f>IF(G538="","",G538&amp;"|"&amp;P538)</f>
        <v/>
      </c>
      <c r="AN538" s="27">
        <f>IF(I538="","",IFERROR(DATE(VALUE(RIGHT(I538,4)),VALUE(MID(I538,4,2)),VALUE(LEFT(I538,2))),""))</f>
        <v/>
      </c>
      <c r="AO538" s="27">
        <f>IF(Y538="","",IFERROR(DATE(VALUE(RIGHT(Y538,4)),VALUE(MID(Y538,4,2)),VALUE(LEFT(Y538,2))),""))</f>
        <v/>
      </c>
      <c r="AP538" s="27">
        <f>IF(AC538="","",IFERROR(DATE(VALUE(RIGHT(AC538,4)),VALUE(MID(AC538,4,2)),VALUE(LEFT(AC538,2))),""))</f>
        <v/>
      </c>
      <c r="AQ538" s="26">
        <f>IF(AI538="","",TRIM(LEFT(AI538,FIND(" ",AI538&amp;" ")-1)))</f>
        <v/>
      </c>
      <c r="AR538" s="27">
        <f>IF(AQ538="","",IFERROR(DATE(VALUE(MID(AQ538,FIND("/",AQ538,FIND("/",AQ538)+1)+1,4)),VALUE(LEFT(AQ538,FIND("/",AQ538)-1)),VALUE(MID(AQ538,FIND("/",AQ538)+1,FIND("/",AQ538,FIND("/",AQ538)+1)-FIND("/",AQ538)-1))),""))</f>
        <v/>
      </c>
      <c r="AS538" s="26">
        <f>IF(G538="","",IF(AND(AG538&lt;&gt;"",AG538&lt;&gt;"Bayi Aracı"),"Evet","Hayır"))</f>
        <v/>
      </c>
      <c r="AT538" s="26">
        <f>IF(G538="","",IF(AND(AS538="Evet",T538="Siparişiniz Teslim Edildi"),"Evet","Hayır"))</f>
        <v/>
      </c>
      <c r="AU538" s="26">
        <f>IF(G538="","",IF(AB538="Siparişinizin Montajı Yapıldı","Evet","Hayır"))</f>
        <v/>
      </c>
      <c r="AV538" s="27">
        <f>IF(G538="","",IF(AT538="Evet",AR538,IF(AU538="Evet",AP538,"")))</f>
        <v/>
      </c>
    </row>
    <row r="539">
      <c r="A539" s="23" t="n"/>
      <c r="B539" s="23" t="n"/>
      <c r="C539" s="23" t="n"/>
      <c r="D539" s="23" t="n"/>
      <c r="E539" s="23" t="n"/>
      <c r="F539" s="23" t="n"/>
      <c r="G539" s="23" t="n"/>
      <c r="H539" s="23" t="n"/>
      <c r="I539" s="23" t="n"/>
      <c r="J539" s="23" t="n"/>
      <c r="K539" s="23" t="n"/>
      <c r="L539" s="23" t="n"/>
      <c r="M539" s="23" t="n"/>
      <c r="N539" s="23" t="n"/>
      <c r="O539" s="23" t="n"/>
      <c r="P539" s="23" t="n"/>
      <c r="Q539" s="23" t="n"/>
      <c r="R539" s="23" t="n"/>
      <c r="S539" s="23" t="n"/>
      <c r="T539" s="23" t="n"/>
      <c r="U539" s="23" t="n"/>
      <c r="V539" s="23" t="n"/>
      <c r="W539" s="23" t="n"/>
      <c r="X539" s="23" t="n"/>
      <c r="Y539" s="23" t="n"/>
      <c r="Z539" s="23" t="n"/>
      <c r="AA539" s="23" t="n"/>
      <c r="AB539" s="23" t="n"/>
      <c r="AC539" s="23" t="n"/>
      <c r="AD539" s="23" t="n"/>
      <c r="AE539" s="23" t="n"/>
      <c r="AF539" s="23" t="n"/>
      <c r="AG539" s="23" t="n"/>
      <c r="AH539" s="23" t="n"/>
      <c r="AI539" s="23" t="n"/>
      <c r="AJ539" s="23" t="n"/>
      <c r="AK539" s="23" t="n"/>
      <c r="AL539" s="23" t="n"/>
      <c r="AM539" s="26">
        <f>IF(G539="","",G539&amp;"|"&amp;P539)</f>
        <v/>
      </c>
      <c r="AN539" s="27">
        <f>IF(I539="","",IFERROR(DATE(VALUE(RIGHT(I539,4)),VALUE(MID(I539,4,2)),VALUE(LEFT(I539,2))),""))</f>
        <v/>
      </c>
      <c r="AO539" s="27">
        <f>IF(Y539="","",IFERROR(DATE(VALUE(RIGHT(Y539,4)),VALUE(MID(Y539,4,2)),VALUE(LEFT(Y539,2))),""))</f>
        <v/>
      </c>
      <c r="AP539" s="27">
        <f>IF(AC539="","",IFERROR(DATE(VALUE(RIGHT(AC539,4)),VALUE(MID(AC539,4,2)),VALUE(LEFT(AC539,2))),""))</f>
        <v/>
      </c>
      <c r="AQ539" s="26">
        <f>IF(AI539="","",TRIM(LEFT(AI539,FIND(" ",AI539&amp;" ")-1)))</f>
        <v/>
      </c>
      <c r="AR539" s="27">
        <f>IF(AQ539="","",IFERROR(DATE(VALUE(MID(AQ539,FIND("/",AQ539,FIND("/",AQ539)+1)+1,4)),VALUE(LEFT(AQ539,FIND("/",AQ539)-1)),VALUE(MID(AQ539,FIND("/",AQ539)+1,FIND("/",AQ539,FIND("/",AQ539)+1)-FIND("/",AQ539)-1))),""))</f>
        <v/>
      </c>
      <c r="AS539" s="26">
        <f>IF(G539="","",IF(AND(AG539&lt;&gt;"",AG539&lt;&gt;"Bayi Aracı"),"Evet","Hayır"))</f>
        <v/>
      </c>
      <c r="AT539" s="26">
        <f>IF(G539="","",IF(AND(AS539="Evet",T539="Siparişiniz Teslim Edildi"),"Evet","Hayır"))</f>
        <v/>
      </c>
      <c r="AU539" s="26">
        <f>IF(G539="","",IF(AB539="Siparişinizin Montajı Yapıldı","Evet","Hayır"))</f>
        <v/>
      </c>
      <c r="AV539" s="27">
        <f>IF(G539="","",IF(AT539="Evet",AR539,IF(AU539="Evet",AP539,"")))</f>
        <v/>
      </c>
    </row>
    <row r="540">
      <c r="A540" s="23" t="n"/>
      <c r="B540" s="23" t="n"/>
      <c r="C540" s="23" t="n"/>
      <c r="D540" s="23" t="n"/>
      <c r="E540" s="23" t="n"/>
      <c r="F540" s="23" t="n"/>
      <c r="G540" s="23" t="n"/>
      <c r="H540" s="23" t="n"/>
      <c r="I540" s="23" t="n"/>
      <c r="J540" s="23" t="n"/>
      <c r="K540" s="23" t="n"/>
      <c r="L540" s="23" t="n"/>
      <c r="M540" s="23" t="n"/>
      <c r="N540" s="23" t="n"/>
      <c r="O540" s="23" t="n"/>
      <c r="P540" s="23" t="n"/>
      <c r="Q540" s="23" t="n"/>
      <c r="R540" s="23" t="n"/>
      <c r="S540" s="23" t="n"/>
      <c r="T540" s="23" t="n"/>
      <c r="U540" s="23" t="n"/>
      <c r="V540" s="23" t="n"/>
      <c r="W540" s="23" t="n"/>
      <c r="X540" s="23" t="n"/>
      <c r="Y540" s="23" t="n"/>
      <c r="Z540" s="23" t="n"/>
      <c r="AA540" s="23" t="n"/>
      <c r="AB540" s="23" t="n"/>
      <c r="AC540" s="23" t="n"/>
      <c r="AD540" s="23" t="n"/>
      <c r="AE540" s="23" t="n"/>
      <c r="AF540" s="23" t="n"/>
      <c r="AG540" s="23" t="n"/>
      <c r="AH540" s="23" t="n"/>
      <c r="AI540" s="23" t="n"/>
      <c r="AJ540" s="23" t="n"/>
      <c r="AK540" s="23" t="n"/>
      <c r="AL540" s="23" t="n"/>
      <c r="AM540" s="26">
        <f>IF(G540="","",G540&amp;"|"&amp;P540)</f>
        <v/>
      </c>
      <c r="AN540" s="27">
        <f>IF(I540="","",IFERROR(DATE(VALUE(RIGHT(I540,4)),VALUE(MID(I540,4,2)),VALUE(LEFT(I540,2))),""))</f>
        <v/>
      </c>
      <c r="AO540" s="27">
        <f>IF(Y540="","",IFERROR(DATE(VALUE(RIGHT(Y540,4)),VALUE(MID(Y540,4,2)),VALUE(LEFT(Y540,2))),""))</f>
        <v/>
      </c>
      <c r="AP540" s="27">
        <f>IF(AC540="","",IFERROR(DATE(VALUE(RIGHT(AC540,4)),VALUE(MID(AC540,4,2)),VALUE(LEFT(AC540,2))),""))</f>
        <v/>
      </c>
      <c r="AQ540" s="26">
        <f>IF(AI540="","",TRIM(LEFT(AI540,FIND(" ",AI540&amp;" ")-1)))</f>
        <v/>
      </c>
      <c r="AR540" s="27">
        <f>IF(AQ540="","",IFERROR(DATE(VALUE(MID(AQ540,FIND("/",AQ540,FIND("/",AQ540)+1)+1,4)),VALUE(LEFT(AQ540,FIND("/",AQ540)-1)),VALUE(MID(AQ540,FIND("/",AQ540)+1,FIND("/",AQ540,FIND("/",AQ540)+1)-FIND("/",AQ540)-1))),""))</f>
        <v/>
      </c>
      <c r="AS540" s="26">
        <f>IF(G540="","",IF(AND(AG540&lt;&gt;"",AG540&lt;&gt;"Bayi Aracı"),"Evet","Hayır"))</f>
        <v/>
      </c>
      <c r="AT540" s="26">
        <f>IF(G540="","",IF(AND(AS540="Evet",T540="Siparişiniz Teslim Edildi"),"Evet","Hayır"))</f>
        <v/>
      </c>
      <c r="AU540" s="26">
        <f>IF(G540="","",IF(AB540="Siparişinizin Montajı Yapıldı","Evet","Hayır"))</f>
        <v/>
      </c>
      <c r="AV540" s="27">
        <f>IF(G540="","",IF(AT540="Evet",AR540,IF(AU540="Evet",AP540,"")))</f>
        <v/>
      </c>
    </row>
    <row r="541">
      <c r="A541" s="23" t="n"/>
      <c r="B541" s="23" t="n"/>
      <c r="C541" s="23" t="n"/>
      <c r="D541" s="23" t="n"/>
      <c r="E541" s="23" t="n"/>
      <c r="F541" s="23" t="n"/>
      <c r="G541" s="23" t="n"/>
      <c r="H541" s="23" t="n"/>
      <c r="I541" s="23" t="n"/>
      <c r="J541" s="23" t="n"/>
      <c r="K541" s="23" t="n"/>
      <c r="L541" s="23" t="n"/>
      <c r="M541" s="23" t="n"/>
      <c r="N541" s="23" t="n"/>
      <c r="O541" s="23" t="n"/>
      <c r="P541" s="23" t="n"/>
      <c r="Q541" s="23" t="n"/>
      <c r="R541" s="23" t="n"/>
      <c r="S541" s="23" t="n"/>
      <c r="T541" s="23" t="n"/>
      <c r="U541" s="23" t="n"/>
      <c r="V541" s="23" t="n"/>
      <c r="W541" s="23" t="n"/>
      <c r="X541" s="23" t="n"/>
      <c r="Y541" s="23" t="n"/>
      <c r="Z541" s="23" t="n"/>
      <c r="AA541" s="23" t="n"/>
      <c r="AB541" s="23" t="n"/>
      <c r="AC541" s="23" t="n"/>
      <c r="AD541" s="23" t="n"/>
      <c r="AE541" s="23" t="n"/>
      <c r="AF541" s="23" t="n"/>
      <c r="AG541" s="23" t="n"/>
      <c r="AH541" s="23" t="n"/>
      <c r="AI541" s="23" t="n"/>
      <c r="AJ541" s="23" t="n"/>
      <c r="AK541" s="23" t="n"/>
      <c r="AL541" s="23" t="n"/>
      <c r="AM541" s="26">
        <f>IF(G541="","",G541&amp;"|"&amp;P541)</f>
        <v/>
      </c>
      <c r="AN541" s="27">
        <f>IF(I541="","",IFERROR(DATE(VALUE(RIGHT(I541,4)),VALUE(MID(I541,4,2)),VALUE(LEFT(I541,2))),""))</f>
        <v/>
      </c>
      <c r="AO541" s="27">
        <f>IF(Y541="","",IFERROR(DATE(VALUE(RIGHT(Y541,4)),VALUE(MID(Y541,4,2)),VALUE(LEFT(Y541,2))),""))</f>
        <v/>
      </c>
      <c r="AP541" s="27">
        <f>IF(AC541="","",IFERROR(DATE(VALUE(RIGHT(AC541,4)),VALUE(MID(AC541,4,2)),VALUE(LEFT(AC541,2))),""))</f>
        <v/>
      </c>
      <c r="AQ541" s="26">
        <f>IF(AI541="","",TRIM(LEFT(AI541,FIND(" ",AI541&amp;" ")-1)))</f>
        <v/>
      </c>
      <c r="AR541" s="27">
        <f>IF(AQ541="","",IFERROR(DATE(VALUE(MID(AQ541,FIND("/",AQ541,FIND("/",AQ541)+1)+1,4)),VALUE(LEFT(AQ541,FIND("/",AQ541)-1)),VALUE(MID(AQ541,FIND("/",AQ541)+1,FIND("/",AQ541,FIND("/",AQ541)+1)-FIND("/",AQ541)-1))),""))</f>
        <v/>
      </c>
      <c r="AS541" s="26">
        <f>IF(G541="","",IF(AND(AG541&lt;&gt;"",AG541&lt;&gt;"Bayi Aracı"),"Evet","Hayır"))</f>
        <v/>
      </c>
      <c r="AT541" s="26">
        <f>IF(G541="","",IF(AND(AS541="Evet",T541="Siparişiniz Teslim Edildi"),"Evet","Hayır"))</f>
        <v/>
      </c>
      <c r="AU541" s="26">
        <f>IF(G541="","",IF(AB541="Siparişinizin Montajı Yapıldı","Evet","Hayır"))</f>
        <v/>
      </c>
      <c r="AV541" s="27">
        <f>IF(G541="","",IF(AT541="Evet",AR541,IF(AU541="Evet",AP541,"")))</f>
        <v/>
      </c>
    </row>
    <row r="542">
      <c r="A542" s="23" t="n"/>
      <c r="B542" s="23" t="n"/>
      <c r="C542" s="23" t="n"/>
      <c r="D542" s="23" t="n"/>
      <c r="E542" s="23" t="n"/>
      <c r="F542" s="23" t="n"/>
      <c r="G542" s="23" t="n"/>
      <c r="H542" s="23" t="n"/>
      <c r="I542" s="23" t="n"/>
      <c r="J542" s="23" t="n"/>
      <c r="K542" s="23" t="n"/>
      <c r="L542" s="23" t="n"/>
      <c r="M542" s="23" t="n"/>
      <c r="N542" s="23" t="n"/>
      <c r="O542" s="23" t="n"/>
      <c r="P542" s="23" t="n"/>
      <c r="Q542" s="23" t="n"/>
      <c r="R542" s="23" t="n"/>
      <c r="S542" s="23" t="n"/>
      <c r="T542" s="23" t="n"/>
      <c r="U542" s="23" t="n"/>
      <c r="V542" s="23" t="n"/>
      <c r="W542" s="23" t="n"/>
      <c r="X542" s="23" t="n"/>
      <c r="Y542" s="23" t="n"/>
      <c r="Z542" s="23" t="n"/>
      <c r="AA542" s="23" t="n"/>
      <c r="AB542" s="23" t="n"/>
      <c r="AC542" s="23" t="n"/>
      <c r="AD542" s="23" t="n"/>
      <c r="AE542" s="23" t="n"/>
      <c r="AF542" s="23" t="n"/>
      <c r="AG542" s="23" t="n"/>
      <c r="AH542" s="23" t="n"/>
      <c r="AI542" s="23" t="n"/>
      <c r="AJ542" s="23" t="n"/>
      <c r="AK542" s="23" t="n"/>
      <c r="AL542" s="23" t="n"/>
      <c r="AM542" s="26">
        <f>IF(G542="","",G542&amp;"|"&amp;P542)</f>
        <v/>
      </c>
      <c r="AN542" s="27">
        <f>IF(I542="","",IFERROR(DATE(VALUE(RIGHT(I542,4)),VALUE(MID(I542,4,2)),VALUE(LEFT(I542,2))),""))</f>
        <v/>
      </c>
      <c r="AO542" s="27">
        <f>IF(Y542="","",IFERROR(DATE(VALUE(RIGHT(Y542,4)),VALUE(MID(Y542,4,2)),VALUE(LEFT(Y542,2))),""))</f>
        <v/>
      </c>
      <c r="AP542" s="27">
        <f>IF(AC542="","",IFERROR(DATE(VALUE(RIGHT(AC542,4)),VALUE(MID(AC542,4,2)),VALUE(LEFT(AC542,2))),""))</f>
        <v/>
      </c>
      <c r="AQ542" s="26">
        <f>IF(AI542="","",TRIM(LEFT(AI542,FIND(" ",AI542&amp;" ")-1)))</f>
        <v/>
      </c>
      <c r="AR542" s="27">
        <f>IF(AQ542="","",IFERROR(DATE(VALUE(MID(AQ542,FIND("/",AQ542,FIND("/",AQ542)+1)+1,4)),VALUE(LEFT(AQ542,FIND("/",AQ542)-1)),VALUE(MID(AQ542,FIND("/",AQ542)+1,FIND("/",AQ542,FIND("/",AQ542)+1)-FIND("/",AQ542)-1))),""))</f>
        <v/>
      </c>
      <c r="AS542" s="26">
        <f>IF(G542="","",IF(AND(AG542&lt;&gt;"",AG542&lt;&gt;"Bayi Aracı"),"Evet","Hayır"))</f>
        <v/>
      </c>
      <c r="AT542" s="26">
        <f>IF(G542="","",IF(AND(AS542="Evet",T542="Siparişiniz Teslim Edildi"),"Evet","Hayır"))</f>
        <v/>
      </c>
      <c r="AU542" s="26">
        <f>IF(G542="","",IF(AB542="Siparişinizin Montajı Yapıldı","Evet","Hayır"))</f>
        <v/>
      </c>
      <c r="AV542" s="27">
        <f>IF(G542="","",IF(AT542="Evet",AR542,IF(AU542="Evet",AP542,"")))</f>
        <v/>
      </c>
    </row>
    <row r="543">
      <c r="A543" s="23" t="n"/>
      <c r="B543" s="23" t="n"/>
      <c r="C543" s="23" t="n"/>
      <c r="D543" s="23" t="n"/>
      <c r="E543" s="23" t="n"/>
      <c r="F543" s="23" t="n"/>
      <c r="G543" s="23" t="n"/>
      <c r="H543" s="23" t="n"/>
      <c r="I543" s="23" t="n"/>
      <c r="J543" s="23" t="n"/>
      <c r="K543" s="23" t="n"/>
      <c r="L543" s="23" t="n"/>
      <c r="M543" s="23" t="n"/>
      <c r="N543" s="23" t="n"/>
      <c r="O543" s="23" t="n"/>
      <c r="P543" s="23" t="n"/>
      <c r="Q543" s="23" t="n"/>
      <c r="R543" s="23" t="n"/>
      <c r="S543" s="23" t="n"/>
      <c r="T543" s="23" t="n"/>
      <c r="U543" s="23" t="n"/>
      <c r="V543" s="23" t="n"/>
      <c r="W543" s="23" t="n"/>
      <c r="X543" s="23" t="n"/>
      <c r="Y543" s="23" t="n"/>
      <c r="Z543" s="23" t="n"/>
      <c r="AA543" s="23" t="n"/>
      <c r="AB543" s="23" t="n"/>
      <c r="AC543" s="23" t="n"/>
      <c r="AD543" s="23" t="n"/>
      <c r="AE543" s="23" t="n"/>
      <c r="AF543" s="23" t="n"/>
      <c r="AG543" s="23" t="n"/>
      <c r="AH543" s="23" t="n"/>
      <c r="AI543" s="23" t="n"/>
      <c r="AJ543" s="23" t="n"/>
      <c r="AK543" s="23" t="n"/>
      <c r="AL543" s="23" t="n"/>
      <c r="AM543" s="26">
        <f>IF(G543="","",G543&amp;"|"&amp;P543)</f>
        <v/>
      </c>
      <c r="AN543" s="27">
        <f>IF(I543="","",IFERROR(DATE(VALUE(RIGHT(I543,4)),VALUE(MID(I543,4,2)),VALUE(LEFT(I543,2))),""))</f>
        <v/>
      </c>
      <c r="AO543" s="27">
        <f>IF(Y543="","",IFERROR(DATE(VALUE(RIGHT(Y543,4)),VALUE(MID(Y543,4,2)),VALUE(LEFT(Y543,2))),""))</f>
        <v/>
      </c>
      <c r="AP543" s="27">
        <f>IF(AC543="","",IFERROR(DATE(VALUE(RIGHT(AC543,4)),VALUE(MID(AC543,4,2)),VALUE(LEFT(AC543,2))),""))</f>
        <v/>
      </c>
      <c r="AQ543" s="26">
        <f>IF(AI543="","",TRIM(LEFT(AI543,FIND(" ",AI543&amp;" ")-1)))</f>
        <v/>
      </c>
      <c r="AR543" s="27">
        <f>IF(AQ543="","",IFERROR(DATE(VALUE(MID(AQ543,FIND("/",AQ543,FIND("/",AQ543)+1)+1,4)),VALUE(LEFT(AQ543,FIND("/",AQ543)-1)),VALUE(MID(AQ543,FIND("/",AQ543)+1,FIND("/",AQ543,FIND("/",AQ543)+1)-FIND("/",AQ543)-1))),""))</f>
        <v/>
      </c>
      <c r="AS543" s="26">
        <f>IF(G543="","",IF(AND(AG543&lt;&gt;"",AG543&lt;&gt;"Bayi Aracı"),"Evet","Hayır"))</f>
        <v/>
      </c>
      <c r="AT543" s="26">
        <f>IF(G543="","",IF(AND(AS543="Evet",T543="Siparişiniz Teslim Edildi"),"Evet","Hayır"))</f>
        <v/>
      </c>
      <c r="AU543" s="26">
        <f>IF(G543="","",IF(AB543="Siparişinizin Montajı Yapıldı","Evet","Hayır"))</f>
        <v/>
      </c>
      <c r="AV543" s="27">
        <f>IF(G543="","",IF(AT543="Evet",AR543,IF(AU543="Evet",AP543,"")))</f>
        <v/>
      </c>
    </row>
    <row r="544">
      <c r="A544" s="23" t="n"/>
      <c r="B544" s="23" t="n"/>
      <c r="C544" s="23" t="n"/>
      <c r="D544" s="23" t="n"/>
      <c r="E544" s="23" t="n"/>
      <c r="F544" s="23" t="n"/>
      <c r="G544" s="23" t="n"/>
      <c r="H544" s="23" t="n"/>
      <c r="I544" s="23" t="n"/>
      <c r="J544" s="23" t="n"/>
      <c r="K544" s="23" t="n"/>
      <c r="L544" s="23" t="n"/>
      <c r="M544" s="23" t="n"/>
      <c r="N544" s="23" t="n"/>
      <c r="O544" s="23" t="n"/>
      <c r="P544" s="23" t="n"/>
      <c r="Q544" s="23" t="n"/>
      <c r="R544" s="23" t="n"/>
      <c r="S544" s="23" t="n"/>
      <c r="T544" s="23" t="n"/>
      <c r="U544" s="23" t="n"/>
      <c r="V544" s="23" t="n"/>
      <c r="W544" s="23" t="n"/>
      <c r="X544" s="23" t="n"/>
      <c r="Y544" s="23" t="n"/>
      <c r="Z544" s="23" t="n"/>
      <c r="AA544" s="23" t="n"/>
      <c r="AB544" s="23" t="n"/>
      <c r="AC544" s="23" t="n"/>
      <c r="AD544" s="23" t="n"/>
      <c r="AE544" s="23" t="n"/>
      <c r="AF544" s="23" t="n"/>
      <c r="AG544" s="23" t="n"/>
      <c r="AH544" s="23" t="n"/>
      <c r="AI544" s="23" t="n"/>
      <c r="AJ544" s="23" t="n"/>
      <c r="AK544" s="23" t="n"/>
      <c r="AL544" s="23" t="n"/>
      <c r="AM544" s="26">
        <f>IF(G544="","",G544&amp;"|"&amp;P544)</f>
        <v/>
      </c>
      <c r="AN544" s="27">
        <f>IF(I544="","",IFERROR(DATE(VALUE(RIGHT(I544,4)),VALUE(MID(I544,4,2)),VALUE(LEFT(I544,2))),""))</f>
        <v/>
      </c>
      <c r="AO544" s="27">
        <f>IF(Y544="","",IFERROR(DATE(VALUE(RIGHT(Y544,4)),VALUE(MID(Y544,4,2)),VALUE(LEFT(Y544,2))),""))</f>
        <v/>
      </c>
      <c r="AP544" s="27">
        <f>IF(AC544="","",IFERROR(DATE(VALUE(RIGHT(AC544,4)),VALUE(MID(AC544,4,2)),VALUE(LEFT(AC544,2))),""))</f>
        <v/>
      </c>
      <c r="AQ544" s="26">
        <f>IF(AI544="","",TRIM(LEFT(AI544,FIND(" ",AI544&amp;" ")-1)))</f>
        <v/>
      </c>
      <c r="AR544" s="27">
        <f>IF(AQ544="","",IFERROR(DATE(VALUE(MID(AQ544,FIND("/",AQ544,FIND("/",AQ544)+1)+1,4)),VALUE(LEFT(AQ544,FIND("/",AQ544)-1)),VALUE(MID(AQ544,FIND("/",AQ544)+1,FIND("/",AQ544,FIND("/",AQ544)+1)-FIND("/",AQ544)-1))),""))</f>
        <v/>
      </c>
      <c r="AS544" s="26">
        <f>IF(G544="","",IF(AND(AG544&lt;&gt;"",AG544&lt;&gt;"Bayi Aracı"),"Evet","Hayır"))</f>
        <v/>
      </c>
      <c r="AT544" s="26">
        <f>IF(G544="","",IF(AND(AS544="Evet",T544="Siparişiniz Teslim Edildi"),"Evet","Hayır"))</f>
        <v/>
      </c>
      <c r="AU544" s="26">
        <f>IF(G544="","",IF(AB544="Siparişinizin Montajı Yapıldı","Evet","Hayır"))</f>
        <v/>
      </c>
      <c r="AV544" s="27">
        <f>IF(G544="","",IF(AT544="Evet",AR544,IF(AU544="Evet",AP544,"")))</f>
        <v/>
      </c>
    </row>
    <row r="545">
      <c r="A545" s="23" t="n"/>
      <c r="B545" s="23" t="n"/>
      <c r="C545" s="23" t="n"/>
      <c r="D545" s="23" t="n"/>
      <c r="E545" s="23" t="n"/>
      <c r="F545" s="23" t="n"/>
      <c r="G545" s="23" t="n"/>
      <c r="H545" s="23" t="n"/>
      <c r="I545" s="23" t="n"/>
      <c r="J545" s="23" t="n"/>
      <c r="K545" s="23" t="n"/>
      <c r="L545" s="23" t="n"/>
      <c r="M545" s="23" t="n"/>
      <c r="N545" s="23" t="n"/>
      <c r="O545" s="23" t="n"/>
      <c r="P545" s="23" t="n"/>
      <c r="Q545" s="23" t="n"/>
      <c r="R545" s="23" t="n"/>
      <c r="S545" s="23" t="n"/>
      <c r="T545" s="23" t="n"/>
      <c r="U545" s="23" t="n"/>
      <c r="V545" s="23" t="n"/>
      <c r="W545" s="23" t="n"/>
      <c r="X545" s="23" t="n"/>
      <c r="Y545" s="23" t="n"/>
      <c r="Z545" s="23" t="n"/>
      <c r="AA545" s="23" t="n"/>
      <c r="AB545" s="23" t="n"/>
      <c r="AC545" s="23" t="n"/>
      <c r="AD545" s="23" t="n"/>
      <c r="AE545" s="23" t="n"/>
      <c r="AF545" s="23" t="n"/>
      <c r="AG545" s="23" t="n"/>
      <c r="AH545" s="23" t="n"/>
      <c r="AI545" s="23" t="n"/>
      <c r="AJ545" s="23" t="n"/>
      <c r="AK545" s="23" t="n"/>
      <c r="AL545" s="23" t="n"/>
      <c r="AM545" s="26">
        <f>IF(G545="","",G545&amp;"|"&amp;P545)</f>
        <v/>
      </c>
      <c r="AN545" s="27">
        <f>IF(I545="","",IFERROR(DATE(VALUE(RIGHT(I545,4)),VALUE(MID(I545,4,2)),VALUE(LEFT(I545,2))),""))</f>
        <v/>
      </c>
      <c r="AO545" s="27">
        <f>IF(Y545="","",IFERROR(DATE(VALUE(RIGHT(Y545,4)),VALUE(MID(Y545,4,2)),VALUE(LEFT(Y545,2))),""))</f>
        <v/>
      </c>
      <c r="AP545" s="27">
        <f>IF(AC545="","",IFERROR(DATE(VALUE(RIGHT(AC545,4)),VALUE(MID(AC545,4,2)),VALUE(LEFT(AC545,2))),""))</f>
        <v/>
      </c>
      <c r="AQ545" s="26">
        <f>IF(AI545="","",TRIM(LEFT(AI545,FIND(" ",AI545&amp;" ")-1)))</f>
        <v/>
      </c>
      <c r="AR545" s="27">
        <f>IF(AQ545="","",IFERROR(DATE(VALUE(MID(AQ545,FIND("/",AQ545,FIND("/",AQ545)+1)+1,4)),VALUE(LEFT(AQ545,FIND("/",AQ545)-1)),VALUE(MID(AQ545,FIND("/",AQ545)+1,FIND("/",AQ545,FIND("/",AQ545)+1)-FIND("/",AQ545)-1))),""))</f>
        <v/>
      </c>
      <c r="AS545" s="26">
        <f>IF(G545="","",IF(AND(AG545&lt;&gt;"",AG545&lt;&gt;"Bayi Aracı"),"Evet","Hayır"))</f>
        <v/>
      </c>
      <c r="AT545" s="26">
        <f>IF(G545="","",IF(AND(AS545="Evet",T545="Siparişiniz Teslim Edildi"),"Evet","Hayır"))</f>
        <v/>
      </c>
      <c r="AU545" s="26">
        <f>IF(G545="","",IF(AB545="Siparişinizin Montajı Yapıldı","Evet","Hayır"))</f>
        <v/>
      </c>
      <c r="AV545" s="27">
        <f>IF(G545="","",IF(AT545="Evet",AR545,IF(AU545="Evet",AP545,"")))</f>
        <v/>
      </c>
    </row>
    <row r="546">
      <c r="A546" s="23" t="n"/>
      <c r="B546" s="23" t="n"/>
      <c r="C546" s="23" t="n"/>
      <c r="D546" s="23" t="n"/>
      <c r="E546" s="23" t="n"/>
      <c r="F546" s="23" t="n"/>
      <c r="G546" s="23" t="n"/>
      <c r="H546" s="23" t="n"/>
      <c r="I546" s="23" t="n"/>
      <c r="J546" s="23" t="n"/>
      <c r="K546" s="23" t="n"/>
      <c r="L546" s="23" t="n"/>
      <c r="M546" s="23" t="n"/>
      <c r="N546" s="23" t="n"/>
      <c r="O546" s="23" t="n"/>
      <c r="P546" s="23" t="n"/>
      <c r="Q546" s="23" t="n"/>
      <c r="R546" s="23" t="n"/>
      <c r="S546" s="23" t="n"/>
      <c r="T546" s="23" t="n"/>
      <c r="U546" s="23" t="n"/>
      <c r="V546" s="23" t="n"/>
      <c r="W546" s="23" t="n"/>
      <c r="X546" s="23" t="n"/>
      <c r="Y546" s="23" t="n"/>
      <c r="Z546" s="23" t="n"/>
      <c r="AA546" s="23" t="n"/>
      <c r="AB546" s="23" t="n"/>
      <c r="AC546" s="23" t="n"/>
      <c r="AD546" s="23" t="n"/>
      <c r="AE546" s="23" t="n"/>
      <c r="AF546" s="23" t="n"/>
      <c r="AG546" s="23" t="n"/>
      <c r="AH546" s="23" t="n"/>
      <c r="AI546" s="23" t="n"/>
      <c r="AJ546" s="23" t="n"/>
      <c r="AK546" s="23" t="n"/>
      <c r="AL546" s="23" t="n"/>
      <c r="AM546" s="26">
        <f>IF(G546="","",G546&amp;"|"&amp;P546)</f>
        <v/>
      </c>
      <c r="AN546" s="27">
        <f>IF(I546="","",IFERROR(DATE(VALUE(RIGHT(I546,4)),VALUE(MID(I546,4,2)),VALUE(LEFT(I546,2))),""))</f>
        <v/>
      </c>
      <c r="AO546" s="27">
        <f>IF(Y546="","",IFERROR(DATE(VALUE(RIGHT(Y546,4)),VALUE(MID(Y546,4,2)),VALUE(LEFT(Y546,2))),""))</f>
        <v/>
      </c>
      <c r="AP546" s="27">
        <f>IF(AC546="","",IFERROR(DATE(VALUE(RIGHT(AC546,4)),VALUE(MID(AC546,4,2)),VALUE(LEFT(AC546,2))),""))</f>
        <v/>
      </c>
      <c r="AQ546" s="26">
        <f>IF(AI546="","",TRIM(LEFT(AI546,FIND(" ",AI546&amp;" ")-1)))</f>
        <v/>
      </c>
      <c r="AR546" s="27">
        <f>IF(AQ546="","",IFERROR(DATE(VALUE(MID(AQ546,FIND("/",AQ546,FIND("/",AQ546)+1)+1,4)),VALUE(LEFT(AQ546,FIND("/",AQ546)-1)),VALUE(MID(AQ546,FIND("/",AQ546)+1,FIND("/",AQ546,FIND("/",AQ546)+1)-FIND("/",AQ546)-1))),""))</f>
        <v/>
      </c>
      <c r="AS546" s="26">
        <f>IF(G546="","",IF(AND(AG546&lt;&gt;"",AG546&lt;&gt;"Bayi Aracı"),"Evet","Hayır"))</f>
        <v/>
      </c>
      <c r="AT546" s="26">
        <f>IF(G546="","",IF(AND(AS546="Evet",T546="Siparişiniz Teslim Edildi"),"Evet","Hayır"))</f>
        <v/>
      </c>
      <c r="AU546" s="26">
        <f>IF(G546="","",IF(AB546="Siparişinizin Montajı Yapıldı","Evet","Hayır"))</f>
        <v/>
      </c>
      <c r="AV546" s="27">
        <f>IF(G546="","",IF(AT546="Evet",AR546,IF(AU546="Evet",AP546,"")))</f>
        <v/>
      </c>
    </row>
    <row r="547">
      <c r="A547" s="23" t="n"/>
      <c r="B547" s="23" t="n"/>
      <c r="C547" s="23" t="n"/>
      <c r="D547" s="23" t="n"/>
      <c r="E547" s="23" t="n"/>
      <c r="F547" s="23" t="n"/>
      <c r="G547" s="23" t="n"/>
      <c r="H547" s="23" t="n"/>
      <c r="I547" s="23" t="n"/>
      <c r="J547" s="23" t="n"/>
      <c r="K547" s="23" t="n"/>
      <c r="L547" s="23" t="n"/>
      <c r="M547" s="23" t="n"/>
      <c r="N547" s="23" t="n"/>
      <c r="O547" s="23" t="n"/>
      <c r="P547" s="23" t="n"/>
      <c r="Q547" s="23" t="n"/>
      <c r="R547" s="23" t="n"/>
      <c r="S547" s="23" t="n"/>
      <c r="T547" s="23" t="n"/>
      <c r="U547" s="23" t="n"/>
      <c r="V547" s="23" t="n"/>
      <c r="W547" s="23" t="n"/>
      <c r="X547" s="23" t="n"/>
      <c r="Y547" s="23" t="n"/>
      <c r="Z547" s="23" t="n"/>
      <c r="AA547" s="23" t="n"/>
      <c r="AB547" s="23" t="n"/>
      <c r="AC547" s="23" t="n"/>
      <c r="AD547" s="23" t="n"/>
      <c r="AE547" s="23" t="n"/>
      <c r="AF547" s="23" t="n"/>
      <c r="AG547" s="23" t="n"/>
      <c r="AH547" s="23" t="n"/>
      <c r="AI547" s="23" t="n"/>
      <c r="AJ547" s="23" t="n"/>
      <c r="AK547" s="23" t="n"/>
      <c r="AL547" s="23" t="n"/>
      <c r="AM547" s="26">
        <f>IF(G547="","",G547&amp;"|"&amp;P547)</f>
        <v/>
      </c>
      <c r="AN547" s="27">
        <f>IF(I547="","",IFERROR(DATE(VALUE(RIGHT(I547,4)),VALUE(MID(I547,4,2)),VALUE(LEFT(I547,2))),""))</f>
        <v/>
      </c>
      <c r="AO547" s="27">
        <f>IF(Y547="","",IFERROR(DATE(VALUE(RIGHT(Y547,4)),VALUE(MID(Y547,4,2)),VALUE(LEFT(Y547,2))),""))</f>
        <v/>
      </c>
      <c r="AP547" s="27">
        <f>IF(AC547="","",IFERROR(DATE(VALUE(RIGHT(AC547,4)),VALUE(MID(AC547,4,2)),VALUE(LEFT(AC547,2))),""))</f>
        <v/>
      </c>
      <c r="AQ547" s="26">
        <f>IF(AI547="","",TRIM(LEFT(AI547,FIND(" ",AI547&amp;" ")-1)))</f>
        <v/>
      </c>
      <c r="AR547" s="27">
        <f>IF(AQ547="","",IFERROR(DATE(VALUE(MID(AQ547,FIND("/",AQ547,FIND("/",AQ547)+1)+1,4)),VALUE(LEFT(AQ547,FIND("/",AQ547)-1)),VALUE(MID(AQ547,FIND("/",AQ547)+1,FIND("/",AQ547,FIND("/",AQ547)+1)-FIND("/",AQ547)-1))),""))</f>
        <v/>
      </c>
      <c r="AS547" s="26">
        <f>IF(G547="","",IF(AND(AG547&lt;&gt;"",AG547&lt;&gt;"Bayi Aracı"),"Evet","Hayır"))</f>
        <v/>
      </c>
      <c r="AT547" s="26">
        <f>IF(G547="","",IF(AND(AS547="Evet",T547="Siparişiniz Teslim Edildi"),"Evet","Hayır"))</f>
        <v/>
      </c>
      <c r="AU547" s="26">
        <f>IF(G547="","",IF(AB547="Siparişinizin Montajı Yapıldı","Evet","Hayır"))</f>
        <v/>
      </c>
      <c r="AV547" s="27">
        <f>IF(G547="","",IF(AT547="Evet",AR547,IF(AU547="Evet",AP547,"")))</f>
        <v/>
      </c>
    </row>
    <row r="548">
      <c r="A548" s="23" t="n"/>
      <c r="B548" s="23" t="n"/>
      <c r="C548" s="23" t="n"/>
      <c r="D548" s="23" t="n"/>
      <c r="E548" s="23" t="n"/>
      <c r="F548" s="23" t="n"/>
      <c r="G548" s="23" t="n"/>
      <c r="H548" s="23" t="n"/>
      <c r="I548" s="23" t="n"/>
      <c r="J548" s="23" t="n"/>
      <c r="K548" s="23" t="n"/>
      <c r="L548" s="23" t="n"/>
      <c r="M548" s="23" t="n"/>
      <c r="N548" s="23" t="n"/>
      <c r="O548" s="23" t="n"/>
      <c r="P548" s="23" t="n"/>
      <c r="Q548" s="23" t="n"/>
      <c r="R548" s="23" t="n"/>
      <c r="S548" s="23" t="n"/>
      <c r="T548" s="23" t="n"/>
      <c r="U548" s="23" t="n"/>
      <c r="V548" s="23" t="n"/>
      <c r="W548" s="23" t="n"/>
      <c r="X548" s="23" t="n"/>
      <c r="Y548" s="23" t="n"/>
      <c r="Z548" s="23" t="n"/>
      <c r="AA548" s="23" t="n"/>
      <c r="AB548" s="23" t="n"/>
      <c r="AC548" s="23" t="n"/>
      <c r="AD548" s="23" t="n"/>
      <c r="AE548" s="23" t="n"/>
      <c r="AF548" s="23" t="n"/>
      <c r="AG548" s="23" t="n"/>
      <c r="AH548" s="23" t="n"/>
      <c r="AI548" s="23" t="n"/>
      <c r="AJ548" s="23" t="n"/>
      <c r="AK548" s="23" t="n"/>
      <c r="AL548" s="23" t="n"/>
      <c r="AM548" s="26">
        <f>IF(G548="","",G548&amp;"|"&amp;P548)</f>
        <v/>
      </c>
      <c r="AN548" s="27">
        <f>IF(I548="","",IFERROR(DATE(VALUE(RIGHT(I548,4)),VALUE(MID(I548,4,2)),VALUE(LEFT(I548,2))),""))</f>
        <v/>
      </c>
      <c r="AO548" s="27">
        <f>IF(Y548="","",IFERROR(DATE(VALUE(RIGHT(Y548,4)),VALUE(MID(Y548,4,2)),VALUE(LEFT(Y548,2))),""))</f>
        <v/>
      </c>
      <c r="AP548" s="27">
        <f>IF(AC548="","",IFERROR(DATE(VALUE(RIGHT(AC548,4)),VALUE(MID(AC548,4,2)),VALUE(LEFT(AC548,2))),""))</f>
        <v/>
      </c>
      <c r="AQ548" s="26">
        <f>IF(AI548="","",TRIM(LEFT(AI548,FIND(" ",AI548&amp;" ")-1)))</f>
        <v/>
      </c>
      <c r="AR548" s="27">
        <f>IF(AQ548="","",IFERROR(DATE(VALUE(MID(AQ548,FIND("/",AQ548,FIND("/",AQ548)+1)+1,4)),VALUE(LEFT(AQ548,FIND("/",AQ548)-1)),VALUE(MID(AQ548,FIND("/",AQ548)+1,FIND("/",AQ548,FIND("/",AQ548)+1)-FIND("/",AQ548)-1))),""))</f>
        <v/>
      </c>
      <c r="AS548" s="26">
        <f>IF(G548="","",IF(AND(AG548&lt;&gt;"",AG548&lt;&gt;"Bayi Aracı"),"Evet","Hayır"))</f>
        <v/>
      </c>
      <c r="AT548" s="26">
        <f>IF(G548="","",IF(AND(AS548="Evet",T548="Siparişiniz Teslim Edildi"),"Evet","Hayır"))</f>
        <v/>
      </c>
      <c r="AU548" s="26">
        <f>IF(G548="","",IF(AB548="Siparişinizin Montajı Yapıldı","Evet","Hayır"))</f>
        <v/>
      </c>
      <c r="AV548" s="27">
        <f>IF(G548="","",IF(AT548="Evet",AR548,IF(AU548="Evet",AP548,"")))</f>
        <v/>
      </c>
    </row>
    <row r="549">
      <c r="A549" s="23" t="n"/>
      <c r="B549" s="23" t="n"/>
      <c r="C549" s="23" t="n"/>
      <c r="D549" s="23" t="n"/>
      <c r="E549" s="23" t="n"/>
      <c r="F549" s="23" t="n"/>
      <c r="G549" s="23" t="n"/>
      <c r="H549" s="23" t="n"/>
      <c r="I549" s="23" t="n"/>
      <c r="J549" s="23" t="n"/>
      <c r="K549" s="23" t="n"/>
      <c r="L549" s="23" t="n"/>
      <c r="M549" s="23" t="n"/>
      <c r="N549" s="23" t="n"/>
      <c r="O549" s="23" t="n"/>
      <c r="P549" s="23" t="n"/>
      <c r="Q549" s="23" t="n"/>
      <c r="R549" s="23" t="n"/>
      <c r="S549" s="23" t="n"/>
      <c r="T549" s="23" t="n"/>
      <c r="U549" s="23" t="n"/>
      <c r="V549" s="23" t="n"/>
      <c r="W549" s="23" t="n"/>
      <c r="X549" s="23" t="n"/>
      <c r="Y549" s="23" t="n"/>
      <c r="Z549" s="23" t="n"/>
      <c r="AA549" s="23" t="n"/>
      <c r="AB549" s="23" t="n"/>
      <c r="AC549" s="23" t="n"/>
      <c r="AD549" s="23" t="n"/>
      <c r="AE549" s="23" t="n"/>
      <c r="AF549" s="23" t="n"/>
      <c r="AG549" s="23" t="n"/>
      <c r="AH549" s="23" t="n"/>
      <c r="AI549" s="23" t="n"/>
      <c r="AJ549" s="23" t="n"/>
      <c r="AK549" s="23" t="n"/>
      <c r="AL549" s="23" t="n"/>
      <c r="AM549" s="26">
        <f>IF(G549="","",G549&amp;"|"&amp;P549)</f>
        <v/>
      </c>
      <c r="AN549" s="27">
        <f>IF(I549="","",IFERROR(DATE(VALUE(RIGHT(I549,4)),VALUE(MID(I549,4,2)),VALUE(LEFT(I549,2))),""))</f>
        <v/>
      </c>
      <c r="AO549" s="27">
        <f>IF(Y549="","",IFERROR(DATE(VALUE(RIGHT(Y549,4)),VALUE(MID(Y549,4,2)),VALUE(LEFT(Y549,2))),""))</f>
        <v/>
      </c>
      <c r="AP549" s="27">
        <f>IF(AC549="","",IFERROR(DATE(VALUE(RIGHT(AC549,4)),VALUE(MID(AC549,4,2)),VALUE(LEFT(AC549,2))),""))</f>
        <v/>
      </c>
      <c r="AQ549" s="26">
        <f>IF(AI549="","",TRIM(LEFT(AI549,FIND(" ",AI549&amp;" ")-1)))</f>
        <v/>
      </c>
      <c r="AR549" s="27">
        <f>IF(AQ549="","",IFERROR(DATE(VALUE(MID(AQ549,FIND("/",AQ549,FIND("/",AQ549)+1)+1,4)),VALUE(LEFT(AQ549,FIND("/",AQ549)-1)),VALUE(MID(AQ549,FIND("/",AQ549)+1,FIND("/",AQ549,FIND("/",AQ549)+1)-FIND("/",AQ549)-1))),""))</f>
        <v/>
      </c>
      <c r="AS549" s="26">
        <f>IF(G549="","",IF(AND(AG549&lt;&gt;"",AG549&lt;&gt;"Bayi Aracı"),"Evet","Hayır"))</f>
        <v/>
      </c>
      <c r="AT549" s="26">
        <f>IF(G549="","",IF(AND(AS549="Evet",T549="Siparişiniz Teslim Edildi"),"Evet","Hayır"))</f>
        <v/>
      </c>
      <c r="AU549" s="26">
        <f>IF(G549="","",IF(AB549="Siparişinizin Montajı Yapıldı","Evet","Hayır"))</f>
        <v/>
      </c>
      <c r="AV549" s="27">
        <f>IF(G549="","",IF(AT549="Evet",AR549,IF(AU549="Evet",AP549,"")))</f>
        <v/>
      </c>
    </row>
    <row r="550">
      <c r="A550" s="23" t="n"/>
      <c r="B550" s="23" t="n"/>
      <c r="C550" s="23" t="n"/>
      <c r="D550" s="23" t="n"/>
      <c r="E550" s="23" t="n"/>
      <c r="F550" s="23" t="n"/>
      <c r="G550" s="23" t="n"/>
      <c r="H550" s="23" t="n"/>
      <c r="I550" s="23" t="n"/>
      <c r="J550" s="23" t="n"/>
      <c r="K550" s="23" t="n"/>
      <c r="L550" s="23" t="n"/>
      <c r="M550" s="23" t="n"/>
      <c r="N550" s="23" t="n"/>
      <c r="O550" s="23" t="n"/>
      <c r="P550" s="23" t="n"/>
      <c r="Q550" s="23" t="n"/>
      <c r="R550" s="23" t="n"/>
      <c r="S550" s="23" t="n"/>
      <c r="T550" s="23" t="n"/>
      <c r="U550" s="23" t="n"/>
      <c r="V550" s="23" t="n"/>
      <c r="W550" s="23" t="n"/>
      <c r="X550" s="23" t="n"/>
      <c r="Y550" s="23" t="n"/>
      <c r="Z550" s="23" t="n"/>
      <c r="AA550" s="23" t="n"/>
      <c r="AB550" s="23" t="n"/>
      <c r="AC550" s="23" t="n"/>
      <c r="AD550" s="23" t="n"/>
      <c r="AE550" s="23" t="n"/>
      <c r="AF550" s="23" t="n"/>
      <c r="AG550" s="23" t="n"/>
      <c r="AH550" s="23" t="n"/>
      <c r="AI550" s="23" t="n"/>
      <c r="AJ550" s="23" t="n"/>
      <c r="AK550" s="23" t="n"/>
      <c r="AL550" s="23" t="n"/>
      <c r="AM550" s="26">
        <f>IF(G550="","",G550&amp;"|"&amp;P550)</f>
        <v/>
      </c>
      <c r="AN550" s="27">
        <f>IF(I550="","",IFERROR(DATE(VALUE(RIGHT(I550,4)),VALUE(MID(I550,4,2)),VALUE(LEFT(I550,2))),""))</f>
        <v/>
      </c>
      <c r="AO550" s="27">
        <f>IF(Y550="","",IFERROR(DATE(VALUE(RIGHT(Y550,4)),VALUE(MID(Y550,4,2)),VALUE(LEFT(Y550,2))),""))</f>
        <v/>
      </c>
      <c r="AP550" s="27">
        <f>IF(AC550="","",IFERROR(DATE(VALUE(RIGHT(AC550,4)),VALUE(MID(AC550,4,2)),VALUE(LEFT(AC550,2))),""))</f>
        <v/>
      </c>
      <c r="AQ550" s="26">
        <f>IF(AI550="","",TRIM(LEFT(AI550,FIND(" ",AI550&amp;" ")-1)))</f>
        <v/>
      </c>
      <c r="AR550" s="27">
        <f>IF(AQ550="","",IFERROR(DATE(VALUE(MID(AQ550,FIND("/",AQ550,FIND("/",AQ550)+1)+1,4)),VALUE(LEFT(AQ550,FIND("/",AQ550)-1)),VALUE(MID(AQ550,FIND("/",AQ550)+1,FIND("/",AQ550,FIND("/",AQ550)+1)-FIND("/",AQ550)-1))),""))</f>
        <v/>
      </c>
      <c r="AS550" s="26">
        <f>IF(G550="","",IF(AND(AG550&lt;&gt;"",AG550&lt;&gt;"Bayi Aracı"),"Evet","Hayır"))</f>
        <v/>
      </c>
      <c r="AT550" s="26">
        <f>IF(G550="","",IF(AND(AS550="Evet",T550="Siparişiniz Teslim Edildi"),"Evet","Hayır"))</f>
        <v/>
      </c>
      <c r="AU550" s="26">
        <f>IF(G550="","",IF(AB550="Siparişinizin Montajı Yapıldı","Evet","Hayır"))</f>
        <v/>
      </c>
      <c r="AV550" s="27">
        <f>IF(G550="","",IF(AT550="Evet",AR550,IF(AU550="Evet",AP550,"")))</f>
        <v/>
      </c>
    </row>
    <row r="551">
      <c r="A551" s="23" t="n"/>
      <c r="B551" s="23" t="n"/>
      <c r="C551" s="23" t="n"/>
      <c r="D551" s="23" t="n"/>
      <c r="E551" s="23" t="n"/>
      <c r="F551" s="23" t="n"/>
      <c r="G551" s="23" t="n"/>
      <c r="H551" s="23" t="n"/>
      <c r="I551" s="23" t="n"/>
      <c r="J551" s="23" t="n"/>
      <c r="K551" s="23" t="n"/>
      <c r="L551" s="23" t="n"/>
      <c r="M551" s="23" t="n"/>
      <c r="N551" s="23" t="n"/>
      <c r="O551" s="23" t="n"/>
      <c r="P551" s="23" t="n"/>
      <c r="Q551" s="23" t="n"/>
      <c r="R551" s="23" t="n"/>
      <c r="S551" s="23" t="n"/>
      <c r="T551" s="23" t="n"/>
      <c r="U551" s="23" t="n"/>
      <c r="V551" s="23" t="n"/>
      <c r="W551" s="23" t="n"/>
      <c r="X551" s="23" t="n"/>
      <c r="Y551" s="23" t="n"/>
      <c r="Z551" s="23" t="n"/>
      <c r="AA551" s="23" t="n"/>
      <c r="AB551" s="23" t="n"/>
      <c r="AC551" s="23" t="n"/>
      <c r="AD551" s="23" t="n"/>
      <c r="AE551" s="23" t="n"/>
      <c r="AF551" s="23" t="n"/>
      <c r="AG551" s="23" t="n"/>
      <c r="AH551" s="23" t="n"/>
      <c r="AI551" s="23" t="n"/>
      <c r="AJ551" s="23" t="n"/>
      <c r="AK551" s="23" t="n"/>
      <c r="AL551" s="23" t="n"/>
      <c r="AM551" s="26">
        <f>IF(G551="","",G551&amp;"|"&amp;P551)</f>
        <v/>
      </c>
      <c r="AN551" s="27">
        <f>IF(I551="","",IFERROR(DATE(VALUE(RIGHT(I551,4)),VALUE(MID(I551,4,2)),VALUE(LEFT(I551,2))),""))</f>
        <v/>
      </c>
      <c r="AO551" s="27">
        <f>IF(Y551="","",IFERROR(DATE(VALUE(RIGHT(Y551,4)),VALUE(MID(Y551,4,2)),VALUE(LEFT(Y551,2))),""))</f>
        <v/>
      </c>
      <c r="AP551" s="27">
        <f>IF(AC551="","",IFERROR(DATE(VALUE(RIGHT(AC551,4)),VALUE(MID(AC551,4,2)),VALUE(LEFT(AC551,2))),""))</f>
        <v/>
      </c>
      <c r="AQ551" s="26">
        <f>IF(AI551="","",TRIM(LEFT(AI551,FIND(" ",AI551&amp;" ")-1)))</f>
        <v/>
      </c>
      <c r="AR551" s="27">
        <f>IF(AQ551="","",IFERROR(DATE(VALUE(MID(AQ551,FIND("/",AQ551,FIND("/",AQ551)+1)+1,4)),VALUE(LEFT(AQ551,FIND("/",AQ551)-1)),VALUE(MID(AQ551,FIND("/",AQ551)+1,FIND("/",AQ551,FIND("/",AQ551)+1)-FIND("/",AQ551)-1))),""))</f>
        <v/>
      </c>
      <c r="AS551" s="26">
        <f>IF(G551="","",IF(AND(AG551&lt;&gt;"",AG551&lt;&gt;"Bayi Aracı"),"Evet","Hayır"))</f>
        <v/>
      </c>
      <c r="AT551" s="26">
        <f>IF(G551="","",IF(AND(AS551="Evet",T551="Siparişiniz Teslim Edildi"),"Evet","Hayır"))</f>
        <v/>
      </c>
      <c r="AU551" s="26">
        <f>IF(G551="","",IF(AB551="Siparişinizin Montajı Yapıldı","Evet","Hayır"))</f>
        <v/>
      </c>
      <c r="AV551" s="27">
        <f>IF(G551="","",IF(AT551="Evet",AR551,IF(AU551="Evet",AP551,"")))</f>
        <v/>
      </c>
    </row>
    <row r="552">
      <c r="A552" s="23" t="n"/>
      <c r="B552" s="23" t="n"/>
      <c r="C552" s="23" t="n"/>
      <c r="D552" s="23" t="n"/>
      <c r="E552" s="23" t="n"/>
      <c r="F552" s="23" t="n"/>
      <c r="G552" s="23" t="n"/>
      <c r="H552" s="23" t="n"/>
      <c r="I552" s="23" t="n"/>
      <c r="J552" s="23" t="n"/>
      <c r="K552" s="23" t="n"/>
      <c r="L552" s="23" t="n"/>
      <c r="M552" s="23" t="n"/>
      <c r="N552" s="23" t="n"/>
      <c r="O552" s="23" t="n"/>
      <c r="P552" s="23" t="n"/>
      <c r="Q552" s="23" t="n"/>
      <c r="R552" s="23" t="n"/>
      <c r="S552" s="23" t="n"/>
      <c r="T552" s="23" t="n"/>
      <c r="U552" s="23" t="n"/>
      <c r="V552" s="23" t="n"/>
      <c r="W552" s="23" t="n"/>
      <c r="X552" s="23" t="n"/>
      <c r="Y552" s="23" t="n"/>
      <c r="Z552" s="23" t="n"/>
      <c r="AA552" s="23" t="n"/>
      <c r="AB552" s="23" t="n"/>
      <c r="AC552" s="23" t="n"/>
      <c r="AD552" s="23" t="n"/>
      <c r="AE552" s="23" t="n"/>
      <c r="AF552" s="23" t="n"/>
      <c r="AG552" s="23" t="n"/>
      <c r="AH552" s="23" t="n"/>
      <c r="AI552" s="23" t="n"/>
      <c r="AJ552" s="23" t="n"/>
      <c r="AK552" s="23" t="n"/>
      <c r="AL552" s="23" t="n"/>
      <c r="AM552" s="26">
        <f>IF(G552="","",G552&amp;"|"&amp;P552)</f>
        <v/>
      </c>
      <c r="AN552" s="27">
        <f>IF(I552="","",IFERROR(DATE(VALUE(RIGHT(I552,4)),VALUE(MID(I552,4,2)),VALUE(LEFT(I552,2))),""))</f>
        <v/>
      </c>
      <c r="AO552" s="27">
        <f>IF(Y552="","",IFERROR(DATE(VALUE(RIGHT(Y552,4)),VALUE(MID(Y552,4,2)),VALUE(LEFT(Y552,2))),""))</f>
        <v/>
      </c>
      <c r="AP552" s="27">
        <f>IF(AC552="","",IFERROR(DATE(VALUE(RIGHT(AC552,4)),VALUE(MID(AC552,4,2)),VALUE(LEFT(AC552,2))),""))</f>
        <v/>
      </c>
      <c r="AQ552" s="26">
        <f>IF(AI552="","",TRIM(LEFT(AI552,FIND(" ",AI552&amp;" ")-1)))</f>
        <v/>
      </c>
      <c r="AR552" s="27">
        <f>IF(AQ552="","",IFERROR(DATE(VALUE(MID(AQ552,FIND("/",AQ552,FIND("/",AQ552)+1)+1,4)),VALUE(LEFT(AQ552,FIND("/",AQ552)-1)),VALUE(MID(AQ552,FIND("/",AQ552)+1,FIND("/",AQ552,FIND("/",AQ552)+1)-FIND("/",AQ552)-1))),""))</f>
        <v/>
      </c>
      <c r="AS552" s="26">
        <f>IF(G552="","",IF(AND(AG552&lt;&gt;"",AG552&lt;&gt;"Bayi Aracı"),"Evet","Hayır"))</f>
        <v/>
      </c>
      <c r="AT552" s="26">
        <f>IF(G552="","",IF(AND(AS552="Evet",T552="Siparişiniz Teslim Edildi"),"Evet","Hayır"))</f>
        <v/>
      </c>
      <c r="AU552" s="26">
        <f>IF(G552="","",IF(AB552="Siparişinizin Montajı Yapıldı","Evet","Hayır"))</f>
        <v/>
      </c>
      <c r="AV552" s="27">
        <f>IF(G552="","",IF(AT552="Evet",AR552,IF(AU552="Evet",AP552,"")))</f>
        <v/>
      </c>
    </row>
    <row r="553">
      <c r="A553" s="23" t="n"/>
      <c r="B553" s="23" t="n"/>
      <c r="C553" s="23" t="n"/>
      <c r="D553" s="23" t="n"/>
      <c r="E553" s="23" t="n"/>
      <c r="F553" s="23" t="n"/>
      <c r="G553" s="23" t="n"/>
      <c r="H553" s="23" t="n"/>
      <c r="I553" s="23" t="n"/>
      <c r="J553" s="23" t="n"/>
      <c r="K553" s="23" t="n"/>
      <c r="L553" s="23" t="n"/>
      <c r="M553" s="23" t="n"/>
      <c r="N553" s="23" t="n"/>
      <c r="O553" s="23" t="n"/>
      <c r="P553" s="23" t="n"/>
      <c r="Q553" s="23" t="n"/>
      <c r="R553" s="23" t="n"/>
      <c r="S553" s="23" t="n"/>
      <c r="T553" s="23" t="n"/>
      <c r="U553" s="23" t="n"/>
      <c r="V553" s="23" t="n"/>
      <c r="W553" s="23" t="n"/>
      <c r="X553" s="23" t="n"/>
      <c r="Y553" s="23" t="n"/>
      <c r="Z553" s="23" t="n"/>
      <c r="AA553" s="23" t="n"/>
      <c r="AB553" s="23" t="n"/>
      <c r="AC553" s="23" t="n"/>
      <c r="AD553" s="23" t="n"/>
      <c r="AE553" s="23" t="n"/>
      <c r="AF553" s="23" t="n"/>
      <c r="AG553" s="23" t="n"/>
      <c r="AH553" s="23" t="n"/>
      <c r="AI553" s="23" t="n"/>
      <c r="AJ553" s="23" t="n"/>
      <c r="AK553" s="23" t="n"/>
      <c r="AL553" s="23" t="n"/>
      <c r="AM553" s="26">
        <f>IF(G553="","",G553&amp;"|"&amp;P553)</f>
        <v/>
      </c>
      <c r="AN553" s="27">
        <f>IF(I553="","",IFERROR(DATE(VALUE(RIGHT(I553,4)),VALUE(MID(I553,4,2)),VALUE(LEFT(I553,2))),""))</f>
        <v/>
      </c>
      <c r="AO553" s="27">
        <f>IF(Y553="","",IFERROR(DATE(VALUE(RIGHT(Y553,4)),VALUE(MID(Y553,4,2)),VALUE(LEFT(Y553,2))),""))</f>
        <v/>
      </c>
      <c r="AP553" s="27">
        <f>IF(AC553="","",IFERROR(DATE(VALUE(RIGHT(AC553,4)),VALUE(MID(AC553,4,2)),VALUE(LEFT(AC553,2))),""))</f>
        <v/>
      </c>
      <c r="AQ553" s="26">
        <f>IF(AI553="","",TRIM(LEFT(AI553,FIND(" ",AI553&amp;" ")-1)))</f>
        <v/>
      </c>
      <c r="AR553" s="27">
        <f>IF(AQ553="","",IFERROR(DATE(VALUE(MID(AQ553,FIND("/",AQ553,FIND("/",AQ553)+1)+1,4)),VALUE(LEFT(AQ553,FIND("/",AQ553)-1)),VALUE(MID(AQ553,FIND("/",AQ553)+1,FIND("/",AQ553,FIND("/",AQ553)+1)-FIND("/",AQ553)-1))),""))</f>
        <v/>
      </c>
      <c r="AS553" s="26">
        <f>IF(G553="","",IF(AND(AG553&lt;&gt;"",AG553&lt;&gt;"Bayi Aracı"),"Evet","Hayır"))</f>
        <v/>
      </c>
      <c r="AT553" s="26">
        <f>IF(G553="","",IF(AND(AS553="Evet",T553="Siparişiniz Teslim Edildi"),"Evet","Hayır"))</f>
        <v/>
      </c>
      <c r="AU553" s="26">
        <f>IF(G553="","",IF(AB553="Siparişinizin Montajı Yapıldı","Evet","Hayır"))</f>
        <v/>
      </c>
      <c r="AV553" s="27">
        <f>IF(G553="","",IF(AT553="Evet",AR553,IF(AU553="Evet",AP553,"")))</f>
        <v/>
      </c>
    </row>
    <row r="554">
      <c r="A554" s="23" t="n"/>
      <c r="B554" s="23" t="n"/>
      <c r="C554" s="23" t="n"/>
      <c r="D554" s="23" t="n"/>
      <c r="E554" s="23" t="n"/>
      <c r="F554" s="23" t="n"/>
      <c r="G554" s="23" t="n"/>
      <c r="H554" s="23" t="n"/>
      <c r="I554" s="23" t="n"/>
      <c r="J554" s="23" t="n"/>
      <c r="K554" s="23" t="n"/>
      <c r="L554" s="23" t="n"/>
      <c r="M554" s="23" t="n"/>
      <c r="N554" s="23" t="n"/>
      <c r="O554" s="23" t="n"/>
      <c r="P554" s="23" t="n"/>
      <c r="Q554" s="23" t="n"/>
      <c r="R554" s="23" t="n"/>
      <c r="S554" s="23" t="n"/>
      <c r="T554" s="23" t="n"/>
      <c r="U554" s="23" t="n"/>
      <c r="V554" s="23" t="n"/>
      <c r="W554" s="23" t="n"/>
      <c r="X554" s="23" t="n"/>
      <c r="Y554" s="23" t="n"/>
      <c r="Z554" s="23" t="n"/>
      <c r="AA554" s="23" t="n"/>
      <c r="AB554" s="23" t="n"/>
      <c r="AC554" s="23" t="n"/>
      <c r="AD554" s="23" t="n"/>
      <c r="AE554" s="23" t="n"/>
      <c r="AF554" s="23" t="n"/>
      <c r="AG554" s="23" t="n"/>
      <c r="AH554" s="23" t="n"/>
      <c r="AI554" s="23" t="n"/>
      <c r="AJ554" s="23" t="n"/>
      <c r="AK554" s="23" t="n"/>
      <c r="AL554" s="23" t="n"/>
      <c r="AM554" s="26">
        <f>IF(G554="","",G554&amp;"|"&amp;P554)</f>
        <v/>
      </c>
      <c r="AN554" s="27">
        <f>IF(I554="","",IFERROR(DATE(VALUE(RIGHT(I554,4)),VALUE(MID(I554,4,2)),VALUE(LEFT(I554,2))),""))</f>
        <v/>
      </c>
      <c r="AO554" s="27">
        <f>IF(Y554="","",IFERROR(DATE(VALUE(RIGHT(Y554,4)),VALUE(MID(Y554,4,2)),VALUE(LEFT(Y554,2))),""))</f>
        <v/>
      </c>
      <c r="AP554" s="27">
        <f>IF(AC554="","",IFERROR(DATE(VALUE(RIGHT(AC554,4)),VALUE(MID(AC554,4,2)),VALUE(LEFT(AC554,2))),""))</f>
        <v/>
      </c>
      <c r="AQ554" s="26">
        <f>IF(AI554="","",TRIM(LEFT(AI554,FIND(" ",AI554&amp;" ")-1)))</f>
        <v/>
      </c>
      <c r="AR554" s="27">
        <f>IF(AQ554="","",IFERROR(DATE(VALUE(MID(AQ554,FIND("/",AQ554,FIND("/",AQ554)+1)+1,4)),VALUE(LEFT(AQ554,FIND("/",AQ554)-1)),VALUE(MID(AQ554,FIND("/",AQ554)+1,FIND("/",AQ554,FIND("/",AQ554)+1)-FIND("/",AQ554)-1))),""))</f>
        <v/>
      </c>
      <c r="AS554" s="26">
        <f>IF(G554="","",IF(AND(AG554&lt;&gt;"",AG554&lt;&gt;"Bayi Aracı"),"Evet","Hayır"))</f>
        <v/>
      </c>
      <c r="AT554" s="26">
        <f>IF(G554="","",IF(AND(AS554="Evet",T554="Siparişiniz Teslim Edildi"),"Evet","Hayır"))</f>
        <v/>
      </c>
      <c r="AU554" s="26">
        <f>IF(G554="","",IF(AB554="Siparişinizin Montajı Yapıldı","Evet","Hayır"))</f>
        <v/>
      </c>
      <c r="AV554" s="27">
        <f>IF(G554="","",IF(AT554="Evet",AR554,IF(AU554="Evet",AP554,"")))</f>
        <v/>
      </c>
    </row>
    <row r="555">
      <c r="A555" s="23" t="n"/>
      <c r="B555" s="23" t="n"/>
      <c r="C555" s="23" t="n"/>
      <c r="D555" s="23" t="n"/>
      <c r="E555" s="23" t="n"/>
      <c r="F555" s="23" t="n"/>
      <c r="G555" s="23" t="n"/>
      <c r="H555" s="23" t="n"/>
      <c r="I555" s="23" t="n"/>
      <c r="J555" s="23" t="n"/>
      <c r="K555" s="23" t="n"/>
      <c r="L555" s="23" t="n"/>
      <c r="M555" s="23" t="n"/>
      <c r="N555" s="23" t="n"/>
      <c r="O555" s="23" t="n"/>
      <c r="P555" s="23" t="n"/>
      <c r="Q555" s="23" t="n"/>
      <c r="R555" s="23" t="n"/>
      <c r="S555" s="23" t="n"/>
      <c r="T555" s="23" t="n"/>
      <c r="U555" s="23" t="n"/>
      <c r="V555" s="23" t="n"/>
      <c r="W555" s="23" t="n"/>
      <c r="X555" s="23" t="n"/>
      <c r="Y555" s="23" t="n"/>
      <c r="Z555" s="23" t="n"/>
      <c r="AA555" s="23" t="n"/>
      <c r="AB555" s="23" t="n"/>
      <c r="AC555" s="23" t="n"/>
      <c r="AD555" s="23" t="n"/>
      <c r="AE555" s="23" t="n"/>
      <c r="AF555" s="23" t="n"/>
      <c r="AG555" s="23" t="n"/>
      <c r="AH555" s="23" t="n"/>
      <c r="AI555" s="23" t="n"/>
      <c r="AJ555" s="23" t="n"/>
      <c r="AK555" s="23" t="n"/>
      <c r="AL555" s="23" t="n"/>
      <c r="AM555" s="26">
        <f>IF(G555="","",G555&amp;"|"&amp;P555)</f>
        <v/>
      </c>
      <c r="AN555" s="27">
        <f>IF(I555="","",IFERROR(DATE(VALUE(RIGHT(I555,4)),VALUE(MID(I555,4,2)),VALUE(LEFT(I555,2))),""))</f>
        <v/>
      </c>
      <c r="AO555" s="27">
        <f>IF(Y555="","",IFERROR(DATE(VALUE(RIGHT(Y555,4)),VALUE(MID(Y555,4,2)),VALUE(LEFT(Y555,2))),""))</f>
        <v/>
      </c>
      <c r="AP555" s="27">
        <f>IF(AC555="","",IFERROR(DATE(VALUE(RIGHT(AC555,4)),VALUE(MID(AC555,4,2)),VALUE(LEFT(AC555,2))),""))</f>
        <v/>
      </c>
      <c r="AQ555" s="26">
        <f>IF(AI555="","",TRIM(LEFT(AI555,FIND(" ",AI555&amp;" ")-1)))</f>
        <v/>
      </c>
      <c r="AR555" s="27">
        <f>IF(AQ555="","",IFERROR(DATE(VALUE(MID(AQ555,FIND("/",AQ555,FIND("/",AQ555)+1)+1,4)),VALUE(LEFT(AQ555,FIND("/",AQ555)-1)),VALUE(MID(AQ555,FIND("/",AQ555)+1,FIND("/",AQ555,FIND("/",AQ555)+1)-FIND("/",AQ555)-1))),""))</f>
        <v/>
      </c>
      <c r="AS555" s="26">
        <f>IF(G555="","",IF(AND(AG555&lt;&gt;"",AG555&lt;&gt;"Bayi Aracı"),"Evet","Hayır"))</f>
        <v/>
      </c>
      <c r="AT555" s="26">
        <f>IF(G555="","",IF(AND(AS555="Evet",T555="Siparişiniz Teslim Edildi"),"Evet","Hayır"))</f>
        <v/>
      </c>
      <c r="AU555" s="26">
        <f>IF(G555="","",IF(AB555="Siparişinizin Montajı Yapıldı","Evet","Hayır"))</f>
        <v/>
      </c>
      <c r="AV555" s="27">
        <f>IF(G555="","",IF(AT555="Evet",AR555,IF(AU555="Evet",AP555,"")))</f>
        <v/>
      </c>
    </row>
    <row r="556">
      <c r="A556" s="23" t="n"/>
      <c r="B556" s="23" t="n"/>
      <c r="C556" s="23" t="n"/>
      <c r="D556" s="23" t="n"/>
      <c r="E556" s="23" t="n"/>
      <c r="F556" s="23" t="n"/>
      <c r="G556" s="23" t="n"/>
      <c r="H556" s="23" t="n"/>
      <c r="I556" s="23" t="n"/>
      <c r="J556" s="23" t="n"/>
      <c r="K556" s="23" t="n"/>
      <c r="L556" s="23" t="n"/>
      <c r="M556" s="23" t="n"/>
      <c r="N556" s="23" t="n"/>
      <c r="O556" s="23" t="n"/>
      <c r="P556" s="23" t="n"/>
      <c r="Q556" s="23" t="n"/>
      <c r="R556" s="23" t="n"/>
      <c r="S556" s="23" t="n"/>
      <c r="T556" s="23" t="n"/>
      <c r="U556" s="23" t="n"/>
      <c r="V556" s="23" t="n"/>
      <c r="W556" s="23" t="n"/>
      <c r="X556" s="23" t="n"/>
      <c r="Y556" s="23" t="n"/>
      <c r="Z556" s="23" t="n"/>
      <c r="AA556" s="23" t="n"/>
      <c r="AB556" s="23" t="n"/>
      <c r="AC556" s="23" t="n"/>
      <c r="AD556" s="23" t="n"/>
      <c r="AE556" s="23" t="n"/>
      <c r="AF556" s="23" t="n"/>
      <c r="AG556" s="23" t="n"/>
      <c r="AH556" s="23" t="n"/>
      <c r="AI556" s="23" t="n"/>
      <c r="AJ556" s="23" t="n"/>
      <c r="AK556" s="23" t="n"/>
      <c r="AL556" s="23" t="n"/>
      <c r="AM556" s="26">
        <f>IF(G556="","",G556&amp;"|"&amp;P556)</f>
        <v/>
      </c>
      <c r="AN556" s="27">
        <f>IF(I556="","",IFERROR(DATE(VALUE(RIGHT(I556,4)),VALUE(MID(I556,4,2)),VALUE(LEFT(I556,2))),""))</f>
        <v/>
      </c>
      <c r="AO556" s="27">
        <f>IF(Y556="","",IFERROR(DATE(VALUE(RIGHT(Y556,4)),VALUE(MID(Y556,4,2)),VALUE(LEFT(Y556,2))),""))</f>
        <v/>
      </c>
      <c r="AP556" s="27">
        <f>IF(AC556="","",IFERROR(DATE(VALUE(RIGHT(AC556,4)),VALUE(MID(AC556,4,2)),VALUE(LEFT(AC556,2))),""))</f>
        <v/>
      </c>
      <c r="AQ556" s="26">
        <f>IF(AI556="","",TRIM(LEFT(AI556,FIND(" ",AI556&amp;" ")-1)))</f>
        <v/>
      </c>
      <c r="AR556" s="27">
        <f>IF(AQ556="","",IFERROR(DATE(VALUE(MID(AQ556,FIND("/",AQ556,FIND("/",AQ556)+1)+1,4)),VALUE(LEFT(AQ556,FIND("/",AQ556)-1)),VALUE(MID(AQ556,FIND("/",AQ556)+1,FIND("/",AQ556,FIND("/",AQ556)+1)-FIND("/",AQ556)-1))),""))</f>
        <v/>
      </c>
      <c r="AS556" s="26">
        <f>IF(G556="","",IF(AND(AG556&lt;&gt;"",AG556&lt;&gt;"Bayi Aracı"),"Evet","Hayır"))</f>
        <v/>
      </c>
      <c r="AT556" s="26">
        <f>IF(G556="","",IF(AND(AS556="Evet",T556="Siparişiniz Teslim Edildi"),"Evet","Hayır"))</f>
        <v/>
      </c>
      <c r="AU556" s="26">
        <f>IF(G556="","",IF(AB556="Siparişinizin Montajı Yapıldı","Evet","Hayır"))</f>
        <v/>
      </c>
      <c r="AV556" s="27">
        <f>IF(G556="","",IF(AT556="Evet",AR556,IF(AU556="Evet",AP556,"")))</f>
        <v/>
      </c>
    </row>
    <row r="557">
      <c r="A557" s="23" t="n"/>
      <c r="B557" s="23" t="n"/>
      <c r="C557" s="23" t="n"/>
      <c r="D557" s="23" t="n"/>
      <c r="E557" s="23" t="n"/>
      <c r="F557" s="23" t="n"/>
      <c r="G557" s="23" t="n"/>
      <c r="H557" s="23" t="n"/>
      <c r="I557" s="23" t="n"/>
      <c r="J557" s="23" t="n"/>
      <c r="K557" s="23" t="n"/>
      <c r="L557" s="23" t="n"/>
      <c r="M557" s="23" t="n"/>
      <c r="N557" s="23" t="n"/>
      <c r="O557" s="23" t="n"/>
      <c r="P557" s="23" t="n"/>
      <c r="Q557" s="23" t="n"/>
      <c r="R557" s="23" t="n"/>
      <c r="S557" s="23" t="n"/>
      <c r="T557" s="23" t="n"/>
      <c r="U557" s="23" t="n"/>
      <c r="V557" s="23" t="n"/>
      <c r="W557" s="23" t="n"/>
      <c r="X557" s="23" t="n"/>
      <c r="Y557" s="23" t="n"/>
      <c r="Z557" s="23" t="n"/>
      <c r="AA557" s="23" t="n"/>
      <c r="AB557" s="23" t="n"/>
      <c r="AC557" s="23" t="n"/>
      <c r="AD557" s="23" t="n"/>
      <c r="AE557" s="23" t="n"/>
      <c r="AF557" s="23" t="n"/>
      <c r="AG557" s="23" t="n"/>
      <c r="AH557" s="23" t="n"/>
      <c r="AI557" s="23" t="n"/>
      <c r="AJ557" s="23" t="n"/>
      <c r="AK557" s="23" t="n"/>
      <c r="AL557" s="23" t="n"/>
      <c r="AM557" s="26">
        <f>IF(G557="","",G557&amp;"|"&amp;P557)</f>
        <v/>
      </c>
      <c r="AN557" s="27">
        <f>IF(I557="","",IFERROR(DATE(VALUE(RIGHT(I557,4)),VALUE(MID(I557,4,2)),VALUE(LEFT(I557,2))),""))</f>
        <v/>
      </c>
      <c r="AO557" s="27">
        <f>IF(Y557="","",IFERROR(DATE(VALUE(RIGHT(Y557,4)),VALUE(MID(Y557,4,2)),VALUE(LEFT(Y557,2))),""))</f>
        <v/>
      </c>
      <c r="AP557" s="27">
        <f>IF(AC557="","",IFERROR(DATE(VALUE(RIGHT(AC557,4)),VALUE(MID(AC557,4,2)),VALUE(LEFT(AC557,2))),""))</f>
        <v/>
      </c>
      <c r="AQ557" s="26">
        <f>IF(AI557="","",TRIM(LEFT(AI557,FIND(" ",AI557&amp;" ")-1)))</f>
        <v/>
      </c>
      <c r="AR557" s="27">
        <f>IF(AQ557="","",IFERROR(DATE(VALUE(MID(AQ557,FIND("/",AQ557,FIND("/",AQ557)+1)+1,4)),VALUE(LEFT(AQ557,FIND("/",AQ557)-1)),VALUE(MID(AQ557,FIND("/",AQ557)+1,FIND("/",AQ557,FIND("/",AQ557)+1)-FIND("/",AQ557)-1))),""))</f>
        <v/>
      </c>
      <c r="AS557" s="26">
        <f>IF(G557="","",IF(AND(AG557&lt;&gt;"",AG557&lt;&gt;"Bayi Aracı"),"Evet","Hayır"))</f>
        <v/>
      </c>
      <c r="AT557" s="26">
        <f>IF(G557="","",IF(AND(AS557="Evet",T557="Siparişiniz Teslim Edildi"),"Evet","Hayır"))</f>
        <v/>
      </c>
      <c r="AU557" s="26">
        <f>IF(G557="","",IF(AB557="Siparişinizin Montajı Yapıldı","Evet","Hayır"))</f>
        <v/>
      </c>
      <c r="AV557" s="27">
        <f>IF(G557="","",IF(AT557="Evet",AR557,IF(AU557="Evet",AP557,"")))</f>
        <v/>
      </c>
    </row>
    <row r="558">
      <c r="A558" s="23" t="n"/>
      <c r="B558" s="23" t="n"/>
      <c r="C558" s="23" t="n"/>
      <c r="D558" s="23" t="n"/>
      <c r="E558" s="23" t="n"/>
      <c r="F558" s="23" t="n"/>
      <c r="G558" s="23" t="n"/>
      <c r="H558" s="23" t="n"/>
      <c r="I558" s="23" t="n"/>
      <c r="J558" s="23" t="n"/>
      <c r="K558" s="23" t="n"/>
      <c r="L558" s="23" t="n"/>
      <c r="M558" s="23" t="n"/>
      <c r="N558" s="23" t="n"/>
      <c r="O558" s="23" t="n"/>
      <c r="P558" s="23" t="n"/>
      <c r="Q558" s="23" t="n"/>
      <c r="R558" s="23" t="n"/>
      <c r="S558" s="23" t="n"/>
      <c r="T558" s="23" t="n"/>
      <c r="U558" s="23" t="n"/>
      <c r="V558" s="23" t="n"/>
      <c r="W558" s="23" t="n"/>
      <c r="X558" s="23" t="n"/>
      <c r="Y558" s="23" t="n"/>
      <c r="Z558" s="23" t="n"/>
      <c r="AA558" s="23" t="n"/>
      <c r="AB558" s="23" t="n"/>
      <c r="AC558" s="23" t="n"/>
      <c r="AD558" s="23" t="n"/>
      <c r="AE558" s="23" t="n"/>
      <c r="AF558" s="23" t="n"/>
      <c r="AG558" s="23" t="n"/>
      <c r="AH558" s="23" t="n"/>
      <c r="AI558" s="23" t="n"/>
      <c r="AJ558" s="23" t="n"/>
      <c r="AK558" s="23" t="n"/>
      <c r="AL558" s="23" t="n"/>
      <c r="AM558" s="26">
        <f>IF(G558="","",G558&amp;"|"&amp;P558)</f>
        <v/>
      </c>
      <c r="AN558" s="27">
        <f>IF(I558="","",IFERROR(DATE(VALUE(RIGHT(I558,4)),VALUE(MID(I558,4,2)),VALUE(LEFT(I558,2))),""))</f>
        <v/>
      </c>
      <c r="AO558" s="27">
        <f>IF(Y558="","",IFERROR(DATE(VALUE(RIGHT(Y558,4)),VALUE(MID(Y558,4,2)),VALUE(LEFT(Y558,2))),""))</f>
        <v/>
      </c>
      <c r="AP558" s="27">
        <f>IF(AC558="","",IFERROR(DATE(VALUE(RIGHT(AC558,4)),VALUE(MID(AC558,4,2)),VALUE(LEFT(AC558,2))),""))</f>
        <v/>
      </c>
      <c r="AQ558" s="26">
        <f>IF(AI558="","",TRIM(LEFT(AI558,FIND(" ",AI558&amp;" ")-1)))</f>
        <v/>
      </c>
      <c r="AR558" s="27">
        <f>IF(AQ558="","",IFERROR(DATE(VALUE(MID(AQ558,FIND("/",AQ558,FIND("/",AQ558)+1)+1,4)),VALUE(LEFT(AQ558,FIND("/",AQ558)-1)),VALUE(MID(AQ558,FIND("/",AQ558)+1,FIND("/",AQ558,FIND("/",AQ558)+1)-FIND("/",AQ558)-1))),""))</f>
        <v/>
      </c>
      <c r="AS558" s="26">
        <f>IF(G558="","",IF(AND(AG558&lt;&gt;"",AG558&lt;&gt;"Bayi Aracı"),"Evet","Hayır"))</f>
        <v/>
      </c>
      <c r="AT558" s="26">
        <f>IF(G558="","",IF(AND(AS558="Evet",T558="Siparişiniz Teslim Edildi"),"Evet","Hayır"))</f>
        <v/>
      </c>
      <c r="AU558" s="26">
        <f>IF(G558="","",IF(AB558="Siparişinizin Montajı Yapıldı","Evet","Hayır"))</f>
        <v/>
      </c>
      <c r="AV558" s="27">
        <f>IF(G558="","",IF(AT558="Evet",AR558,IF(AU558="Evet",AP558,"")))</f>
        <v/>
      </c>
    </row>
    <row r="559">
      <c r="A559" s="23" t="n"/>
      <c r="B559" s="23" t="n"/>
      <c r="C559" s="23" t="n"/>
      <c r="D559" s="23" t="n"/>
      <c r="E559" s="23" t="n"/>
      <c r="F559" s="23" t="n"/>
      <c r="G559" s="23" t="n"/>
      <c r="H559" s="23" t="n"/>
      <c r="I559" s="23" t="n"/>
      <c r="J559" s="23" t="n"/>
      <c r="K559" s="23" t="n"/>
      <c r="L559" s="23" t="n"/>
      <c r="M559" s="23" t="n"/>
      <c r="N559" s="23" t="n"/>
      <c r="O559" s="23" t="n"/>
      <c r="P559" s="23" t="n"/>
      <c r="Q559" s="23" t="n"/>
      <c r="R559" s="23" t="n"/>
      <c r="S559" s="23" t="n"/>
      <c r="T559" s="23" t="n"/>
      <c r="U559" s="23" t="n"/>
      <c r="V559" s="23" t="n"/>
      <c r="W559" s="23" t="n"/>
      <c r="X559" s="23" t="n"/>
      <c r="Y559" s="23" t="n"/>
      <c r="Z559" s="23" t="n"/>
      <c r="AA559" s="23" t="n"/>
      <c r="AB559" s="23" t="n"/>
      <c r="AC559" s="23" t="n"/>
      <c r="AD559" s="23" t="n"/>
      <c r="AE559" s="23" t="n"/>
      <c r="AF559" s="23" t="n"/>
      <c r="AG559" s="23" t="n"/>
      <c r="AH559" s="23" t="n"/>
      <c r="AI559" s="23" t="n"/>
      <c r="AJ559" s="23" t="n"/>
      <c r="AK559" s="23" t="n"/>
      <c r="AL559" s="23" t="n"/>
      <c r="AM559" s="26">
        <f>IF(G559="","",G559&amp;"|"&amp;P559)</f>
        <v/>
      </c>
      <c r="AN559" s="27">
        <f>IF(I559="","",IFERROR(DATE(VALUE(RIGHT(I559,4)),VALUE(MID(I559,4,2)),VALUE(LEFT(I559,2))),""))</f>
        <v/>
      </c>
      <c r="AO559" s="27">
        <f>IF(Y559="","",IFERROR(DATE(VALUE(RIGHT(Y559,4)),VALUE(MID(Y559,4,2)),VALUE(LEFT(Y559,2))),""))</f>
        <v/>
      </c>
      <c r="AP559" s="27">
        <f>IF(AC559="","",IFERROR(DATE(VALUE(RIGHT(AC559,4)),VALUE(MID(AC559,4,2)),VALUE(LEFT(AC559,2))),""))</f>
        <v/>
      </c>
      <c r="AQ559" s="26">
        <f>IF(AI559="","",TRIM(LEFT(AI559,FIND(" ",AI559&amp;" ")-1)))</f>
        <v/>
      </c>
      <c r="AR559" s="27">
        <f>IF(AQ559="","",IFERROR(DATE(VALUE(MID(AQ559,FIND("/",AQ559,FIND("/",AQ559)+1)+1,4)),VALUE(LEFT(AQ559,FIND("/",AQ559)-1)),VALUE(MID(AQ559,FIND("/",AQ559)+1,FIND("/",AQ559,FIND("/",AQ559)+1)-FIND("/",AQ559)-1))),""))</f>
        <v/>
      </c>
      <c r="AS559" s="26">
        <f>IF(G559="","",IF(AND(AG559&lt;&gt;"",AG559&lt;&gt;"Bayi Aracı"),"Evet","Hayır"))</f>
        <v/>
      </c>
      <c r="AT559" s="26">
        <f>IF(G559="","",IF(AND(AS559="Evet",T559="Siparişiniz Teslim Edildi"),"Evet","Hayır"))</f>
        <v/>
      </c>
      <c r="AU559" s="26">
        <f>IF(G559="","",IF(AB559="Siparişinizin Montajı Yapıldı","Evet","Hayır"))</f>
        <v/>
      </c>
      <c r="AV559" s="27">
        <f>IF(G559="","",IF(AT559="Evet",AR559,IF(AU559="Evet",AP559,"")))</f>
        <v/>
      </c>
    </row>
    <row r="560">
      <c r="A560" s="23" t="n"/>
      <c r="B560" s="23" t="n"/>
      <c r="C560" s="23" t="n"/>
      <c r="D560" s="23" t="n"/>
      <c r="E560" s="23" t="n"/>
      <c r="F560" s="23" t="n"/>
      <c r="G560" s="23" t="n"/>
      <c r="H560" s="23" t="n"/>
      <c r="I560" s="23" t="n"/>
      <c r="J560" s="23" t="n"/>
      <c r="K560" s="23" t="n"/>
      <c r="L560" s="23" t="n"/>
      <c r="M560" s="23" t="n"/>
      <c r="N560" s="23" t="n"/>
      <c r="O560" s="23" t="n"/>
      <c r="P560" s="23" t="n"/>
      <c r="Q560" s="23" t="n"/>
      <c r="R560" s="23" t="n"/>
      <c r="S560" s="23" t="n"/>
      <c r="T560" s="23" t="n"/>
      <c r="U560" s="23" t="n"/>
      <c r="V560" s="23" t="n"/>
      <c r="W560" s="23" t="n"/>
      <c r="X560" s="23" t="n"/>
      <c r="Y560" s="23" t="n"/>
      <c r="Z560" s="23" t="n"/>
      <c r="AA560" s="23" t="n"/>
      <c r="AB560" s="23" t="n"/>
      <c r="AC560" s="23" t="n"/>
      <c r="AD560" s="23" t="n"/>
      <c r="AE560" s="23" t="n"/>
      <c r="AF560" s="23" t="n"/>
      <c r="AG560" s="23" t="n"/>
      <c r="AH560" s="23" t="n"/>
      <c r="AI560" s="23" t="n"/>
      <c r="AJ560" s="23" t="n"/>
      <c r="AK560" s="23" t="n"/>
      <c r="AL560" s="23" t="n"/>
      <c r="AM560" s="26">
        <f>IF(G560="","",G560&amp;"|"&amp;P560)</f>
        <v/>
      </c>
      <c r="AN560" s="27">
        <f>IF(I560="","",IFERROR(DATE(VALUE(RIGHT(I560,4)),VALUE(MID(I560,4,2)),VALUE(LEFT(I560,2))),""))</f>
        <v/>
      </c>
      <c r="AO560" s="27">
        <f>IF(Y560="","",IFERROR(DATE(VALUE(RIGHT(Y560,4)),VALUE(MID(Y560,4,2)),VALUE(LEFT(Y560,2))),""))</f>
        <v/>
      </c>
      <c r="AP560" s="27">
        <f>IF(AC560="","",IFERROR(DATE(VALUE(RIGHT(AC560,4)),VALUE(MID(AC560,4,2)),VALUE(LEFT(AC560,2))),""))</f>
        <v/>
      </c>
      <c r="AQ560" s="26">
        <f>IF(AI560="","",TRIM(LEFT(AI560,FIND(" ",AI560&amp;" ")-1)))</f>
        <v/>
      </c>
      <c r="AR560" s="27">
        <f>IF(AQ560="","",IFERROR(DATE(VALUE(MID(AQ560,FIND("/",AQ560,FIND("/",AQ560)+1)+1,4)),VALUE(LEFT(AQ560,FIND("/",AQ560)-1)),VALUE(MID(AQ560,FIND("/",AQ560)+1,FIND("/",AQ560,FIND("/",AQ560)+1)-FIND("/",AQ560)-1))),""))</f>
        <v/>
      </c>
      <c r="AS560" s="26">
        <f>IF(G560="","",IF(AND(AG560&lt;&gt;"",AG560&lt;&gt;"Bayi Aracı"),"Evet","Hayır"))</f>
        <v/>
      </c>
      <c r="AT560" s="26">
        <f>IF(G560="","",IF(AND(AS560="Evet",T560="Siparişiniz Teslim Edildi"),"Evet","Hayır"))</f>
        <v/>
      </c>
      <c r="AU560" s="26">
        <f>IF(G560="","",IF(AB560="Siparişinizin Montajı Yapıldı","Evet","Hayır"))</f>
        <v/>
      </c>
      <c r="AV560" s="27">
        <f>IF(G560="","",IF(AT560="Evet",AR560,IF(AU560="Evet",AP560,"")))</f>
        <v/>
      </c>
    </row>
    <row r="561">
      <c r="A561" s="23" t="n"/>
      <c r="B561" s="23" t="n"/>
      <c r="C561" s="23" t="n"/>
      <c r="D561" s="23" t="n"/>
      <c r="E561" s="23" t="n"/>
      <c r="F561" s="23" t="n"/>
      <c r="G561" s="23" t="n"/>
      <c r="H561" s="23" t="n"/>
      <c r="I561" s="23" t="n"/>
      <c r="J561" s="23" t="n"/>
      <c r="K561" s="23" t="n"/>
      <c r="L561" s="23" t="n"/>
      <c r="M561" s="23" t="n"/>
      <c r="N561" s="23" t="n"/>
      <c r="O561" s="23" t="n"/>
      <c r="P561" s="23" t="n"/>
      <c r="Q561" s="23" t="n"/>
      <c r="R561" s="23" t="n"/>
      <c r="S561" s="23" t="n"/>
      <c r="T561" s="23" t="n"/>
      <c r="U561" s="23" t="n"/>
      <c r="V561" s="23" t="n"/>
      <c r="W561" s="23" t="n"/>
      <c r="X561" s="23" t="n"/>
      <c r="Y561" s="23" t="n"/>
      <c r="Z561" s="23" t="n"/>
      <c r="AA561" s="23" t="n"/>
      <c r="AB561" s="23" t="n"/>
      <c r="AC561" s="23" t="n"/>
      <c r="AD561" s="23" t="n"/>
      <c r="AE561" s="23" t="n"/>
      <c r="AF561" s="23" t="n"/>
      <c r="AG561" s="23" t="n"/>
      <c r="AH561" s="23" t="n"/>
      <c r="AI561" s="23" t="n"/>
      <c r="AJ561" s="23" t="n"/>
      <c r="AK561" s="23" t="n"/>
      <c r="AL561" s="23" t="n"/>
      <c r="AM561" s="26">
        <f>IF(G561="","",G561&amp;"|"&amp;P561)</f>
        <v/>
      </c>
      <c r="AN561" s="27">
        <f>IF(I561="","",IFERROR(DATE(VALUE(RIGHT(I561,4)),VALUE(MID(I561,4,2)),VALUE(LEFT(I561,2))),""))</f>
        <v/>
      </c>
      <c r="AO561" s="27">
        <f>IF(Y561="","",IFERROR(DATE(VALUE(RIGHT(Y561,4)),VALUE(MID(Y561,4,2)),VALUE(LEFT(Y561,2))),""))</f>
        <v/>
      </c>
      <c r="AP561" s="27">
        <f>IF(AC561="","",IFERROR(DATE(VALUE(RIGHT(AC561,4)),VALUE(MID(AC561,4,2)),VALUE(LEFT(AC561,2))),""))</f>
        <v/>
      </c>
      <c r="AQ561" s="26">
        <f>IF(AI561="","",TRIM(LEFT(AI561,FIND(" ",AI561&amp;" ")-1)))</f>
        <v/>
      </c>
      <c r="AR561" s="27">
        <f>IF(AQ561="","",IFERROR(DATE(VALUE(MID(AQ561,FIND("/",AQ561,FIND("/",AQ561)+1)+1,4)),VALUE(LEFT(AQ561,FIND("/",AQ561)-1)),VALUE(MID(AQ561,FIND("/",AQ561)+1,FIND("/",AQ561,FIND("/",AQ561)+1)-FIND("/",AQ561)-1))),""))</f>
        <v/>
      </c>
      <c r="AS561" s="26">
        <f>IF(G561="","",IF(AND(AG561&lt;&gt;"",AG561&lt;&gt;"Bayi Aracı"),"Evet","Hayır"))</f>
        <v/>
      </c>
      <c r="AT561" s="26">
        <f>IF(G561="","",IF(AND(AS561="Evet",T561="Siparişiniz Teslim Edildi"),"Evet","Hayır"))</f>
        <v/>
      </c>
      <c r="AU561" s="26">
        <f>IF(G561="","",IF(AB561="Siparişinizin Montajı Yapıldı","Evet","Hayır"))</f>
        <v/>
      </c>
      <c r="AV561" s="27">
        <f>IF(G561="","",IF(AT561="Evet",AR561,IF(AU561="Evet",AP561,"")))</f>
        <v/>
      </c>
    </row>
    <row r="562">
      <c r="A562" s="23" t="n"/>
      <c r="B562" s="23" t="n"/>
      <c r="C562" s="23" t="n"/>
      <c r="D562" s="23" t="n"/>
      <c r="E562" s="23" t="n"/>
      <c r="F562" s="23" t="n"/>
      <c r="G562" s="23" t="n"/>
      <c r="H562" s="23" t="n"/>
      <c r="I562" s="23" t="n"/>
      <c r="J562" s="23" t="n"/>
      <c r="K562" s="23" t="n"/>
      <c r="L562" s="23" t="n"/>
      <c r="M562" s="23" t="n"/>
      <c r="N562" s="23" t="n"/>
      <c r="O562" s="23" t="n"/>
      <c r="P562" s="23" t="n"/>
      <c r="Q562" s="23" t="n"/>
      <c r="R562" s="23" t="n"/>
      <c r="S562" s="23" t="n"/>
      <c r="T562" s="23" t="n"/>
      <c r="U562" s="23" t="n"/>
      <c r="V562" s="23" t="n"/>
      <c r="W562" s="23" t="n"/>
      <c r="X562" s="23" t="n"/>
      <c r="Y562" s="23" t="n"/>
      <c r="Z562" s="23" t="n"/>
      <c r="AA562" s="23" t="n"/>
      <c r="AB562" s="23" t="n"/>
      <c r="AC562" s="23" t="n"/>
      <c r="AD562" s="23" t="n"/>
      <c r="AE562" s="23" t="n"/>
      <c r="AF562" s="23" t="n"/>
      <c r="AG562" s="23" t="n"/>
      <c r="AH562" s="23" t="n"/>
      <c r="AI562" s="23" t="n"/>
      <c r="AJ562" s="23" t="n"/>
      <c r="AK562" s="23" t="n"/>
      <c r="AL562" s="23" t="n"/>
      <c r="AM562" s="26">
        <f>IF(G562="","",G562&amp;"|"&amp;P562)</f>
        <v/>
      </c>
      <c r="AN562" s="27">
        <f>IF(I562="","",IFERROR(DATE(VALUE(RIGHT(I562,4)),VALUE(MID(I562,4,2)),VALUE(LEFT(I562,2))),""))</f>
        <v/>
      </c>
      <c r="AO562" s="27">
        <f>IF(Y562="","",IFERROR(DATE(VALUE(RIGHT(Y562,4)),VALUE(MID(Y562,4,2)),VALUE(LEFT(Y562,2))),""))</f>
        <v/>
      </c>
      <c r="AP562" s="27">
        <f>IF(AC562="","",IFERROR(DATE(VALUE(RIGHT(AC562,4)),VALUE(MID(AC562,4,2)),VALUE(LEFT(AC562,2))),""))</f>
        <v/>
      </c>
      <c r="AQ562" s="26">
        <f>IF(AI562="","",TRIM(LEFT(AI562,FIND(" ",AI562&amp;" ")-1)))</f>
        <v/>
      </c>
      <c r="AR562" s="27">
        <f>IF(AQ562="","",IFERROR(DATE(VALUE(MID(AQ562,FIND("/",AQ562,FIND("/",AQ562)+1)+1,4)),VALUE(LEFT(AQ562,FIND("/",AQ562)-1)),VALUE(MID(AQ562,FIND("/",AQ562)+1,FIND("/",AQ562,FIND("/",AQ562)+1)-FIND("/",AQ562)-1))),""))</f>
        <v/>
      </c>
      <c r="AS562" s="26">
        <f>IF(G562="","",IF(AND(AG562&lt;&gt;"",AG562&lt;&gt;"Bayi Aracı"),"Evet","Hayır"))</f>
        <v/>
      </c>
      <c r="AT562" s="26">
        <f>IF(G562="","",IF(AND(AS562="Evet",T562="Siparişiniz Teslim Edildi"),"Evet","Hayır"))</f>
        <v/>
      </c>
      <c r="AU562" s="26">
        <f>IF(G562="","",IF(AB562="Siparişinizin Montajı Yapıldı","Evet","Hayır"))</f>
        <v/>
      </c>
      <c r="AV562" s="27">
        <f>IF(G562="","",IF(AT562="Evet",AR562,IF(AU562="Evet",AP562,"")))</f>
        <v/>
      </c>
    </row>
    <row r="563">
      <c r="A563" s="23" t="n"/>
      <c r="B563" s="23" t="n"/>
      <c r="C563" s="23" t="n"/>
      <c r="D563" s="23" t="n"/>
      <c r="E563" s="23" t="n"/>
      <c r="F563" s="23" t="n"/>
      <c r="G563" s="23" t="n"/>
      <c r="H563" s="23" t="n"/>
      <c r="I563" s="23" t="n"/>
      <c r="J563" s="23" t="n"/>
      <c r="K563" s="23" t="n"/>
      <c r="L563" s="23" t="n"/>
      <c r="M563" s="23" t="n"/>
      <c r="N563" s="23" t="n"/>
      <c r="O563" s="23" t="n"/>
      <c r="P563" s="23" t="n"/>
      <c r="Q563" s="23" t="n"/>
      <c r="R563" s="23" t="n"/>
      <c r="S563" s="23" t="n"/>
      <c r="T563" s="23" t="n"/>
      <c r="U563" s="23" t="n"/>
      <c r="V563" s="23" t="n"/>
      <c r="W563" s="23" t="n"/>
      <c r="X563" s="23" t="n"/>
      <c r="Y563" s="23" t="n"/>
      <c r="Z563" s="23" t="n"/>
      <c r="AA563" s="23" t="n"/>
      <c r="AB563" s="23" t="n"/>
      <c r="AC563" s="23" t="n"/>
      <c r="AD563" s="23" t="n"/>
      <c r="AE563" s="23" t="n"/>
      <c r="AF563" s="23" t="n"/>
      <c r="AG563" s="23" t="n"/>
      <c r="AH563" s="23" t="n"/>
      <c r="AI563" s="23" t="n"/>
      <c r="AJ563" s="23" t="n"/>
      <c r="AK563" s="23" t="n"/>
      <c r="AL563" s="23" t="n"/>
      <c r="AM563" s="26">
        <f>IF(G563="","",G563&amp;"|"&amp;P563)</f>
        <v/>
      </c>
      <c r="AN563" s="27">
        <f>IF(I563="","",IFERROR(DATE(VALUE(RIGHT(I563,4)),VALUE(MID(I563,4,2)),VALUE(LEFT(I563,2))),""))</f>
        <v/>
      </c>
      <c r="AO563" s="27">
        <f>IF(Y563="","",IFERROR(DATE(VALUE(RIGHT(Y563,4)),VALUE(MID(Y563,4,2)),VALUE(LEFT(Y563,2))),""))</f>
        <v/>
      </c>
      <c r="AP563" s="27">
        <f>IF(AC563="","",IFERROR(DATE(VALUE(RIGHT(AC563,4)),VALUE(MID(AC563,4,2)),VALUE(LEFT(AC563,2))),""))</f>
        <v/>
      </c>
      <c r="AQ563" s="26">
        <f>IF(AI563="","",TRIM(LEFT(AI563,FIND(" ",AI563&amp;" ")-1)))</f>
        <v/>
      </c>
      <c r="AR563" s="27">
        <f>IF(AQ563="","",IFERROR(DATE(VALUE(MID(AQ563,FIND("/",AQ563,FIND("/",AQ563)+1)+1,4)),VALUE(LEFT(AQ563,FIND("/",AQ563)-1)),VALUE(MID(AQ563,FIND("/",AQ563)+1,FIND("/",AQ563,FIND("/",AQ563)+1)-FIND("/",AQ563)-1))),""))</f>
        <v/>
      </c>
      <c r="AS563" s="26">
        <f>IF(G563="","",IF(AND(AG563&lt;&gt;"",AG563&lt;&gt;"Bayi Aracı"),"Evet","Hayır"))</f>
        <v/>
      </c>
      <c r="AT563" s="26">
        <f>IF(G563="","",IF(AND(AS563="Evet",T563="Siparişiniz Teslim Edildi"),"Evet","Hayır"))</f>
        <v/>
      </c>
      <c r="AU563" s="26">
        <f>IF(G563="","",IF(AB563="Siparişinizin Montajı Yapıldı","Evet","Hayır"))</f>
        <v/>
      </c>
      <c r="AV563" s="27">
        <f>IF(G563="","",IF(AT563="Evet",AR563,IF(AU563="Evet",AP563,"")))</f>
        <v/>
      </c>
    </row>
    <row r="564">
      <c r="A564" s="23" t="n"/>
      <c r="B564" s="23" t="n"/>
      <c r="C564" s="23" t="n"/>
      <c r="D564" s="23" t="n"/>
      <c r="E564" s="23" t="n"/>
      <c r="F564" s="23" t="n"/>
      <c r="G564" s="23" t="n"/>
      <c r="H564" s="23" t="n"/>
      <c r="I564" s="23" t="n"/>
      <c r="J564" s="23" t="n"/>
      <c r="K564" s="23" t="n"/>
      <c r="L564" s="23" t="n"/>
      <c r="M564" s="23" t="n"/>
      <c r="N564" s="23" t="n"/>
      <c r="O564" s="23" t="n"/>
      <c r="P564" s="23" t="n"/>
      <c r="Q564" s="23" t="n"/>
      <c r="R564" s="23" t="n"/>
      <c r="S564" s="23" t="n"/>
      <c r="T564" s="23" t="n"/>
      <c r="U564" s="23" t="n"/>
      <c r="V564" s="23" t="n"/>
      <c r="W564" s="23" t="n"/>
      <c r="X564" s="23" t="n"/>
      <c r="Y564" s="23" t="n"/>
      <c r="Z564" s="23" t="n"/>
      <c r="AA564" s="23" t="n"/>
      <c r="AB564" s="23" t="n"/>
      <c r="AC564" s="23" t="n"/>
      <c r="AD564" s="23" t="n"/>
      <c r="AE564" s="23" t="n"/>
      <c r="AF564" s="23" t="n"/>
      <c r="AG564" s="23" t="n"/>
      <c r="AH564" s="23" t="n"/>
      <c r="AI564" s="23" t="n"/>
      <c r="AJ564" s="23" t="n"/>
      <c r="AK564" s="23" t="n"/>
      <c r="AL564" s="23" t="n"/>
      <c r="AM564" s="26">
        <f>IF(G564="","",G564&amp;"|"&amp;P564)</f>
        <v/>
      </c>
      <c r="AN564" s="27">
        <f>IF(I564="","",IFERROR(DATE(VALUE(RIGHT(I564,4)),VALUE(MID(I564,4,2)),VALUE(LEFT(I564,2))),""))</f>
        <v/>
      </c>
      <c r="AO564" s="27">
        <f>IF(Y564="","",IFERROR(DATE(VALUE(RIGHT(Y564,4)),VALUE(MID(Y564,4,2)),VALUE(LEFT(Y564,2))),""))</f>
        <v/>
      </c>
      <c r="AP564" s="27">
        <f>IF(AC564="","",IFERROR(DATE(VALUE(RIGHT(AC564,4)),VALUE(MID(AC564,4,2)),VALUE(LEFT(AC564,2))),""))</f>
        <v/>
      </c>
      <c r="AQ564" s="26">
        <f>IF(AI564="","",TRIM(LEFT(AI564,FIND(" ",AI564&amp;" ")-1)))</f>
        <v/>
      </c>
      <c r="AR564" s="27">
        <f>IF(AQ564="","",IFERROR(DATE(VALUE(MID(AQ564,FIND("/",AQ564,FIND("/",AQ564)+1)+1,4)),VALUE(LEFT(AQ564,FIND("/",AQ564)-1)),VALUE(MID(AQ564,FIND("/",AQ564)+1,FIND("/",AQ564,FIND("/",AQ564)+1)-FIND("/",AQ564)-1))),""))</f>
        <v/>
      </c>
      <c r="AS564" s="26">
        <f>IF(G564="","",IF(AND(AG564&lt;&gt;"",AG564&lt;&gt;"Bayi Aracı"),"Evet","Hayır"))</f>
        <v/>
      </c>
      <c r="AT564" s="26">
        <f>IF(G564="","",IF(AND(AS564="Evet",T564="Siparişiniz Teslim Edildi"),"Evet","Hayır"))</f>
        <v/>
      </c>
      <c r="AU564" s="26">
        <f>IF(G564="","",IF(AB564="Siparişinizin Montajı Yapıldı","Evet","Hayır"))</f>
        <v/>
      </c>
      <c r="AV564" s="27">
        <f>IF(G564="","",IF(AT564="Evet",AR564,IF(AU564="Evet",AP564,"")))</f>
        <v/>
      </c>
    </row>
    <row r="565">
      <c r="A565" s="23" t="n"/>
      <c r="B565" s="23" t="n"/>
      <c r="C565" s="23" t="n"/>
      <c r="D565" s="23" t="n"/>
      <c r="E565" s="23" t="n"/>
      <c r="F565" s="23" t="n"/>
      <c r="G565" s="23" t="n"/>
      <c r="H565" s="23" t="n"/>
      <c r="I565" s="23" t="n"/>
      <c r="J565" s="23" t="n"/>
      <c r="K565" s="23" t="n"/>
      <c r="L565" s="23" t="n"/>
      <c r="M565" s="23" t="n"/>
      <c r="N565" s="23" t="n"/>
      <c r="O565" s="23" t="n"/>
      <c r="P565" s="23" t="n"/>
      <c r="Q565" s="23" t="n"/>
      <c r="R565" s="23" t="n"/>
      <c r="S565" s="23" t="n"/>
      <c r="T565" s="23" t="n"/>
      <c r="U565" s="23" t="n"/>
      <c r="V565" s="23" t="n"/>
      <c r="W565" s="23" t="n"/>
      <c r="X565" s="23" t="n"/>
      <c r="Y565" s="23" t="n"/>
      <c r="Z565" s="23" t="n"/>
      <c r="AA565" s="23" t="n"/>
      <c r="AB565" s="23" t="n"/>
      <c r="AC565" s="23" t="n"/>
      <c r="AD565" s="23" t="n"/>
      <c r="AE565" s="23" t="n"/>
      <c r="AF565" s="23" t="n"/>
      <c r="AG565" s="23" t="n"/>
      <c r="AH565" s="23" t="n"/>
      <c r="AI565" s="23" t="n"/>
      <c r="AJ565" s="23" t="n"/>
      <c r="AK565" s="23" t="n"/>
      <c r="AL565" s="23" t="n"/>
      <c r="AM565" s="26">
        <f>IF(G565="","",G565&amp;"|"&amp;P565)</f>
        <v/>
      </c>
      <c r="AN565" s="27">
        <f>IF(I565="","",IFERROR(DATE(VALUE(RIGHT(I565,4)),VALUE(MID(I565,4,2)),VALUE(LEFT(I565,2))),""))</f>
        <v/>
      </c>
      <c r="AO565" s="27">
        <f>IF(Y565="","",IFERROR(DATE(VALUE(RIGHT(Y565,4)),VALUE(MID(Y565,4,2)),VALUE(LEFT(Y565,2))),""))</f>
        <v/>
      </c>
      <c r="AP565" s="27">
        <f>IF(AC565="","",IFERROR(DATE(VALUE(RIGHT(AC565,4)),VALUE(MID(AC565,4,2)),VALUE(LEFT(AC565,2))),""))</f>
        <v/>
      </c>
      <c r="AQ565" s="26">
        <f>IF(AI565="","",TRIM(LEFT(AI565,FIND(" ",AI565&amp;" ")-1)))</f>
        <v/>
      </c>
      <c r="AR565" s="27">
        <f>IF(AQ565="","",IFERROR(DATE(VALUE(MID(AQ565,FIND("/",AQ565,FIND("/",AQ565)+1)+1,4)),VALUE(LEFT(AQ565,FIND("/",AQ565)-1)),VALUE(MID(AQ565,FIND("/",AQ565)+1,FIND("/",AQ565,FIND("/",AQ565)+1)-FIND("/",AQ565)-1))),""))</f>
        <v/>
      </c>
      <c r="AS565" s="26">
        <f>IF(G565="","",IF(AND(AG565&lt;&gt;"",AG565&lt;&gt;"Bayi Aracı"),"Evet","Hayır"))</f>
        <v/>
      </c>
      <c r="AT565" s="26">
        <f>IF(G565="","",IF(AND(AS565="Evet",T565="Siparişiniz Teslim Edildi"),"Evet","Hayır"))</f>
        <v/>
      </c>
      <c r="AU565" s="26">
        <f>IF(G565="","",IF(AB565="Siparişinizin Montajı Yapıldı","Evet","Hayır"))</f>
        <v/>
      </c>
      <c r="AV565" s="27">
        <f>IF(G565="","",IF(AT565="Evet",AR565,IF(AU565="Evet",AP565,"")))</f>
        <v/>
      </c>
    </row>
    <row r="566">
      <c r="A566" s="23" t="n"/>
      <c r="B566" s="23" t="n"/>
      <c r="C566" s="23" t="n"/>
      <c r="D566" s="23" t="n"/>
      <c r="E566" s="23" t="n"/>
      <c r="F566" s="23" t="n"/>
      <c r="G566" s="23" t="n"/>
      <c r="H566" s="23" t="n"/>
      <c r="I566" s="23" t="n"/>
      <c r="J566" s="23" t="n"/>
      <c r="K566" s="23" t="n"/>
      <c r="L566" s="23" t="n"/>
      <c r="M566" s="23" t="n"/>
      <c r="N566" s="23" t="n"/>
      <c r="O566" s="23" t="n"/>
      <c r="P566" s="23" t="n"/>
      <c r="Q566" s="23" t="n"/>
      <c r="R566" s="23" t="n"/>
      <c r="S566" s="23" t="n"/>
      <c r="T566" s="23" t="n"/>
      <c r="U566" s="23" t="n"/>
      <c r="V566" s="23" t="n"/>
      <c r="W566" s="23" t="n"/>
      <c r="X566" s="23" t="n"/>
      <c r="Y566" s="23" t="n"/>
      <c r="Z566" s="23" t="n"/>
      <c r="AA566" s="23" t="n"/>
      <c r="AB566" s="23" t="n"/>
      <c r="AC566" s="23" t="n"/>
      <c r="AD566" s="23" t="n"/>
      <c r="AE566" s="23" t="n"/>
      <c r="AF566" s="23" t="n"/>
      <c r="AG566" s="23" t="n"/>
      <c r="AH566" s="23" t="n"/>
      <c r="AI566" s="23" t="n"/>
      <c r="AJ566" s="23" t="n"/>
      <c r="AK566" s="23" t="n"/>
      <c r="AL566" s="23" t="n"/>
      <c r="AM566" s="26">
        <f>IF(G566="","",G566&amp;"|"&amp;P566)</f>
        <v/>
      </c>
      <c r="AN566" s="27">
        <f>IF(I566="","",IFERROR(DATE(VALUE(RIGHT(I566,4)),VALUE(MID(I566,4,2)),VALUE(LEFT(I566,2))),""))</f>
        <v/>
      </c>
      <c r="AO566" s="27">
        <f>IF(Y566="","",IFERROR(DATE(VALUE(RIGHT(Y566,4)),VALUE(MID(Y566,4,2)),VALUE(LEFT(Y566,2))),""))</f>
        <v/>
      </c>
      <c r="AP566" s="27">
        <f>IF(AC566="","",IFERROR(DATE(VALUE(RIGHT(AC566,4)),VALUE(MID(AC566,4,2)),VALUE(LEFT(AC566,2))),""))</f>
        <v/>
      </c>
      <c r="AQ566" s="26">
        <f>IF(AI566="","",TRIM(LEFT(AI566,FIND(" ",AI566&amp;" ")-1)))</f>
        <v/>
      </c>
      <c r="AR566" s="27">
        <f>IF(AQ566="","",IFERROR(DATE(VALUE(MID(AQ566,FIND("/",AQ566,FIND("/",AQ566)+1)+1,4)),VALUE(LEFT(AQ566,FIND("/",AQ566)-1)),VALUE(MID(AQ566,FIND("/",AQ566)+1,FIND("/",AQ566,FIND("/",AQ566)+1)-FIND("/",AQ566)-1))),""))</f>
        <v/>
      </c>
      <c r="AS566" s="26">
        <f>IF(G566="","",IF(AND(AG566&lt;&gt;"",AG566&lt;&gt;"Bayi Aracı"),"Evet","Hayır"))</f>
        <v/>
      </c>
      <c r="AT566" s="26">
        <f>IF(G566="","",IF(AND(AS566="Evet",T566="Siparişiniz Teslim Edildi"),"Evet","Hayır"))</f>
        <v/>
      </c>
      <c r="AU566" s="26">
        <f>IF(G566="","",IF(AB566="Siparişinizin Montajı Yapıldı","Evet","Hayır"))</f>
        <v/>
      </c>
      <c r="AV566" s="27">
        <f>IF(G566="","",IF(AT566="Evet",AR566,IF(AU566="Evet",AP566,"")))</f>
        <v/>
      </c>
    </row>
    <row r="567">
      <c r="A567" s="23" t="n"/>
      <c r="B567" s="23" t="n"/>
      <c r="C567" s="23" t="n"/>
      <c r="D567" s="23" t="n"/>
      <c r="E567" s="23" t="n"/>
      <c r="F567" s="23" t="n"/>
      <c r="G567" s="23" t="n"/>
      <c r="H567" s="23" t="n"/>
      <c r="I567" s="23" t="n"/>
      <c r="J567" s="23" t="n"/>
      <c r="K567" s="23" t="n"/>
      <c r="L567" s="23" t="n"/>
      <c r="M567" s="23" t="n"/>
      <c r="N567" s="23" t="n"/>
      <c r="O567" s="23" t="n"/>
      <c r="P567" s="23" t="n"/>
      <c r="Q567" s="23" t="n"/>
      <c r="R567" s="23" t="n"/>
      <c r="S567" s="23" t="n"/>
      <c r="T567" s="23" t="n"/>
      <c r="U567" s="23" t="n"/>
      <c r="V567" s="23" t="n"/>
      <c r="W567" s="23" t="n"/>
      <c r="X567" s="23" t="n"/>
      <c r="Y567" s="23" t="n"/>
      <c r="Z567" s="23" t="n"/>
      <c r="AA567" s="23" t="n"/>
      <c r="AB567" s="23" t="n"/>
      <c r="AC567" s="23" t="n"/>
      <c r="AD567" s="23" t="n"/>
      <c r="AE567" s="23" t="n"/>
      <c r="AF567" s="23" t="n"/>
      <c r="AG567" s="23" t="n"/>
      <c r="AH567" s="23" t="n"/>
      <c r="AI567" s="23" t="n"/>
      <c r="AJ567" s="23" t="n"/>
      <c r="AK567" s="23" t="n"/>
      <c r="AL567" s="23" t="n"/>
      <c r="AM567" s="26">
        <f>IF(G567="","",G567&amp;"|"&amp;P567)</f>
        <v/>
      </c>
      <c r="AN567" s="27">
        <f>IF(I567="","",IFERROR(DATE(VALUE(RIGHT(I567,4)),VALUE(MID(I567,4,2)),VALUE(LEFT(I567,2))),""))</f>
        <v/>
      </c>
      <c r="AO567" s="27">
        <f>IF(Y567="","",IFERROR(DATE(VALUE(RIGHT(Y567,4)),VALUE(MID(Y567,4,2)),VALUE(LEFT(Y567,2))),""))</f>
        <v/>
      </c>
      <c r="AP567" s="27">
        <f>IF(AC567="","",IFERROR(DATE(VALUE(RIGHT(AC567,4)),VALUE(MID(AC567,4,2)),VALUE(LEFT(AC567,2))),""))</f>
        <v/>
      </c>
      <c r="AQ567" s="26">
        <f>IF(AI567="","",TRIM(LEFT(AI567,FIND(" ",AI567&amp;" ")-1)))</f>
        <v/>
      </c>
      <c r="AR567" s="27">
        <f>IF(AQ567="","",IFERROR(DATE(VALUE(MID(AQ567,FIND("/",AQ567,FIND("/",AQ567)+1)+1,4)),VALUE(LEFT(AQ567,FIND("/",AQ567)-1)),VALUE(MID(AQ567,FIND("/",AQ567)+1,FIND("/",AQ567,FIND("/",AQ567)+1)-FIND("/",AQ567)-1))),""))</f>
        <v/>
      </c>
      <c r="AS567" s="26">
        <f>IF(G567="","",IF(AND(AG567&lt;&gt;"",AG567&lt;&gt;"Bayi Aracı"),"Evet","Hayır"))</f>
        <v/>
      </c>
      <c r="AT567" s="26">
        <f>IF(G567="","",IF(AND(AS567="Evet",T567="Siparişiniz Teslim Edildi"),"Evet","Hayır"))</f>
        <v/>
      </c>
      <c r="AU567" s="26">
        <f>IF(G567="","",IF(AB567="Siparişinizin Montajı Yapıldı","Evet","Hayır"))</f>
        <v/>
      </c>
      <c r="AV567" s="27">
        <f>IF(G567="","",IF(AT567="Evet",AR567,IF(AU567="Evet",AP567,"")))</f>
        <v/>
      </c>
    </row>
    <row r="568">
      <c r="A568" s="23" t="n"/>
      <c r="B568" s="23" t="n"/>
      <c r="C568" s="23" t="n"/>
      <c r="D568" s="23" t="n"/>
      <c r="E568" s="23" t="n"/>
      <c r="F568" s="23" t="n"/>
      <c r="G568" s="23" t="n"/>
      <c r="H568" s="23" t="n"/>
      <c r="I568" s="23" t="n"/>
      <c r="J568" s="23" t="n"/>
      <c r="K568" s="23" t="n"/>
      <c r="L568" s="23" t="n"/>
      <c r="M568" s="23" t="n"/>
      <c r="N568" s="23" t="n"/>
      <c r="O568" s="23" t="n"/>
      <c r="P568" s="23" t="n"/>
      <c r="Q568" s="23" t="n"/>
      <c r="R568" s="23" t="n"/>
      <c r="S568" s="23" t="n"/>
      <c r="T568" s="23" t="n"/>
      <c r="U568" s="23" t="n"/>
      <c r="V568" s="23" t="n"/>
      <c r="W568" s="23" t="n"/>
      <c r="X568" s="23" t="n"/>
      <c r="Y568" s="23" t="n"/>
      <c r="Z568" s="23" t="n"/>
      <c r="AA568" s="23" t="n"/>
      <c r="AB568" s="23" t="n"/>
      <c r="AC568" s="23" t="n"/>
      <c r="AD568" s="23" t="n"/>
      <c r="AE568" s="23" t="n"/>
      <c r="AF568" s="23" t="n"/>
      <c r="AG568" s="23" t="n"/>
      <c r="AH568" s="23" t="n"/>
      <c r="AI568" s="23" t="n"/>
      <c r="AJ568" s="23" t="n"/>
      <c r="AK568" s="23" t="n"/>
      <c r="AL568" s="23" t="n"/>
      <c r="AM568" s="26">
        <f>IF(G568="","",G568&amp;"|"&amp;P568)</f>
        <v/>
      </c>
      <c r="AN568" s="27">
        <f>IF(I568="","",IFERROR(DATE(VALUE(RIGHT(I568,4)),VALUE(MID(I568,4,2)),VALUE(LEFT(I568,2))),""))</f>
        <v/>
      </c>
      <c r="AO568" s="27">
        <f>IF(Y568="","",IFERROR(DATE(VALUE(RIGHT(Y568,4)),VALUE(MID(Y568,4,2)),VALUE(LEFT(Y568,2))),""))</f>
        <v/>
      </c>
      <c r="AP568" s="27">
        <f>IF(AC568="","",IFERROR(DATE(VALUE(RIGHT(AC568,4)),VALUE(MID(AC568,4,2)),VALUE(LEFT(AC568,2))),""))</f>
        <v/>
      </c>
      <c r="AQ568" s="26">
        <f>IF(AI568="","",TRIM(LEFT(AI568,FIND(" ",AI568&amp;" ")-1)))</f>
        <v/>
      </c>
      <c r="AR568" s="27">
        <f>IF(AQ568="","",IFERROR(DATE(VALUE(MID(AQ568,FIND("/",AQ568,FIND("/",AQ568)+1)+1,4)),VALUE(LEFT(AQ568,FIND("/",AQ568)-1)),VALUE(MID(AQ568,FIND("/",AQ568)+1,FIND("/",AQ568,FIND("/",AQ568)+1)-FIND("/",AQ568)-1))),""))</f>
        <v/>
      </c>
      <c r="AS568" s="26">
        <f>IF(G568="","",IF(AND(AG568&lt;&gt;"",AG568&lt;&gt;"Bayi Aracı"),"Evet","Hayır"))</f>
        <v/>
      </c>
      <c r="AT568" s="26">
        <f>IF(G568="","",IF(AND(AS568="Evet",T568="Siparişiniz Teslim Edildi"),"Evet","Hayır"))</f>
        <v/>
      </c>
      <c r="AU568" s="26">
        <f>IF(G568="","",IF(AB568="Siparişinizin Montajı Yapıldı","Evet","Hayır"))</f>
        <v/>
      </c>
      <c r="AV568" s="27">
        <f>IF(G568="","",IF(AT568="Evet",AR568,IF(AU568="Evet",AP568,"")))</f>
        <v/>
      </c>
    </row>
    <row r="569">
      <c r="A569" s="23" t="n"/>
      <c r="B569" s="23" t="n"/>
      <c r="C569" s="23" t="n"/>
      <c r="D569" s="23" t="n"/>
      <c r="E569" s="23" t="n"/>
      <c r="F569" s="23" t="n"/>
      <c r="G569" s="23" t="n"/>
      <c r="H569" s="23" t="n"/>
      <c r="I569" s="23" t="n"/>
      <c r="J569" s="23" t="n"/>
      <c r="K569" s="23" t="n"/>
      <c r="L569" s="23" t="n"/>
      <c r="M569" s="23" t="n"/>
      <c r="N569" s="23" t="n"/>
      <c r="O569" s="23" t="n"/>
      <c r="P569" s="23" t="n"/>
      <c r="Q569" s="23" t="n"/>
      <c r="R569" s="23" t="n"/>
      <c r="S569" s="23" t="n"/>
      <c r="T569" s="23" t="n"/>
      <c r="U569" s="23" t="n"/>
      <c r="V569" s="23" t="n"/>
      <c r="W569" s="23" t="n"/>
      <c r="X569" s="23" t="n"/>
      <c r="Y569" s="23" t="n"/>
      <c r="Z569" s="23" t="n"/>
      <c r="AA569" s="23" t="n"/>
      <c r="AB569" s="23" t="n"/>
      <c r="AC569" s="23" t="n"/>
      <c r="AD569" s="23" t="n"/>
      <c r="AE569" s="23" t="n"/>
      <c r="AF569" s="23" t="n"/>
      <c r="AG569" s="23" t="n"/>
      <c r="AH569" s="23" t="n"/>
      <c r="AI569" s="23" t="n"/>
      <c r="AJ569" s="23" t="n"/>
      <c r="AK569" s="23" t="n"/>
      <c r="AL569" s="23" t="n"/>
      <c r="AM569" s="26">
        <f>IF(G569="","",G569&amp;"|"&amp;P569)</f>
        <v/>
      </c>
      <c r="AN569" s="27">
        <f>IF(I569="","",IFERROR(DATE(VALUE(RIGHT(I569,4)),VALUE(MID(I569,4,2)),VALUE(LEFT(I569,2))),""))</f>
        <v/>
      </c>
      <c r="AO569" s="27">
        <f>IF(Y569="","",IFERROR(DATE(VALUE(RIGHT(Y569,4)),VALUE(MID(Y569,4,2)),VALUE(LEFT(Y569,2))),""))</f>
        <v/>
      </c>
      <c r="AP569" s="27">
        <f>IF(AC569="","",IFERROR(DATE(VALUE(RIGHT(AC569,4)),VALUE(MID(AC569,4,2)),VALUE(LEFT(AC569,2))),""))</f>
        <v/>
      </c>
      <c r="AQ569" s="26">
        <f>IF(AI569="","",TRIM(LEFT(AI569,FIND(" ",AI569&amp;" ")-1)))</f>
        <v/>
      </c>
      <c r="AR569" s="27">
        <f>IF(AQ569="","",IFERROR(DATE(VALUE(MID(AQ569,FIND("/",AQ569,FIND("/",AQ569)+1)+1,4)),VALUE(LEFT(AQ569,FIND("/",AQ569)-1)),VALUE(MID(AQ569,FIND("/",AQ569)+1,FIND("/",AQ569,FIND("/",AQ569)+1)-FIND("/",AQ569)-1))),""))</f>
        <v/>
      </c>
      <c r="AS569" s="26">
        <f>IF(G569="","",IF(AND(AG569&lt;&gt;"",AG569&lt;&gt;"Bayi Aracı"),"Evet","Hayır"))</f>
        <v/>
      </c>
      <c r="AT569" s="26">
        <f>IF(G569="","",IF(AND(AS569="Evet",T569="Siparişiniz Teslim Edildi"),"Evet","Hayır"))</f>
        <v/>
      </c>
      <c r="AU569" s="26">
        <f>IF(G569="","",IF(AB569="Siparişinizin Montajı Yapıldı","Evet","Hayır"))</f>
        <v/>
      </c>
      <c r="AV569" s="27">
        <f>IF(G569="","",IF(AT569="Evet",AR569,IF(AU569="Evet",AP569,"")))</f>
        <v/>
      </c>
    </row>
    <row r="570">
      <c r="A570" s="23" t="n"/>
      <c r="B570" s="23" t="n"/>
      <c r="C570" s="23" t="n"/>
      <c r="D570" s="23" t="n"/>
      <c r="E570" s="23" t="n"/>
      <c r="F570" s="23" t="n"/>
      <c r="G570" s="23" t="n"/>
      <c r="H570" s="23" t="n"/>
      <c r="I570" s="23" t="n"/>
      <c r="J570" s="23" t="n"/>
      <c r="K570" s="23" t="n"/>
      <c r="L570" s="23" t="n"/>
      <c r="M570" s="23" t="n"/>
      <c r="N570" s="23" t="n"/>
      <c r="O570" s="23" t="n"/>
      <c r="P570" s="23" t="n"/>
      <c r="Q570" s="23" t="n"/>
      <c r="R570" s="23" t="n"/>
      <c r="S570" s="23" t="n"/>
      <c r="T570" s="23" t="n"/>
      <c r="U570" s="23" t="n"/>
      <c r="V570" s="23" t="n"/>
      <c r="W570" s="23" t="n"/>
      <c r="X570" s="23" t="n"/>
      <c r="Y570" s="23" t="n"/>
      <c r="Z570" s="23" t="n"/>
      <c r="AA570" s="23" t="n"/>
      <c r="AB570" s="23" t="n"/>
      <c r="AC570" s="23" t="n"/>
      <c r="AD570" s="23" t="n"/>
      <c r="AE570" s="23" t="n"/>
      <c r="AF570" s="23" t="n"/>
      <c r="AG570" s="23" t="n"/>
      <c r="AH570" s="23" t="n"/>
      <c r="AI570" s="23" t="n"/>
      <c r="AJ570" s="23" t="n"/>
      <c r="AK570" s="23" t="n"/>
      <c r="AL570" s="23" t="n"/>
      <c r="AM570" s="26">
        <f>IF(G570="","",G570&amp;"|"&amp;P570)</f>
        <v/>
      </c>
      <c r="AN570" s="27">
        <f>IF(I570="","",IFERROR(DATE(VALUE(RIGHT(I570,4)),VALUE(MID(I570,4,2)),VALUE(LEFT(I570,2))),""))</f>
        <v/>
      </c>
      <c r="AO570" s="27">
        <f>IF(Y570="","",IFERROR(DATE(VALUE(RIGHT(Y570,4)),VALUE(MID(Y570,4,2)),VALUE(LEFT(Y570,2))),""))</f>
        <v/>
      </c>
      <c r="AP570" s="27">
        <f>IF(AC570="","",IFERROR(DATE(VALUE(RIGHT(AC570,4)),VALUE(MID(AC570,4,2)),VALUE(LEFT(AC570,2))),""))</f>
        <v/>
      </c>
      <c r="AQ570" s="26">
        <f>IF(AI570="","",TRIM(LEFT(AI570,FIND(" ",AI570&amp;" ")-1)))</f>
        <v/>
      </c>
      <c r="AR570" s="27">
        <f>IF(AQ570="","",IFERROR(DATE(VALUE(MID(AQ570,FIND("/",AQ570,FIND("/",AQ570)+1)+1,4)),VALUE(LEFT(AQ570,FIND("/",AQ570)-1)),VALUE(MID(AQ570,FIND("/",AQ570)+1,FIND("/",AQ570,FIND("/",AQ570)+1)-FIND("/",AQ570)-1))),""))</f>
        <v/>
      </c>
      <c r="AS570" s="26">
        <f>IF(G570="","",IF(AND(AG570&lt;&gt;"",AG570&lt;&gt;"Bayi Aracı"),"Evet","Hayır"))</f>
        <v/>
      </c>
      <c r="AT570" s="26">
        <f>IF(G570="","",IF(AND(AS570="Evet",T570="Siparişiniz Teslim Edildi"),"Evet","Hayır"))</f>
        <v/>
      </c>
      <c r="AU570" s="26">
        <f>IF(G570="","",IF(AB570="Siparişinizin Montajı Yapıldı","Evet","Hayır"))</f>
        <v/>
      </c>
      <c r="AV570" s="27">
        <f>IF(G570="","",IF(AT570="Evet",AR570,IF(AU570="Evet",AP570,"")))</f>
        <v/>
      </c>
    </row>
    <row r="571">
      <c r="A571" s="23" t="n"/>
      <c r="B571" s="23" t="n"/>
      <c r="C571" s="23" t="n"/>
      <c r="D571" s="23" t="n"/>
      <c r="E571" s="23" t="n"/>
      <c r="F571" s="23" t="n"/>
      <c r="G571" s="23" t="n"/>
      <c r="H571" s="23" t="n"/>
      <c r="I571" s="23" t="n"/>
      <c r="J571" s="23" t="n"/>
      <c r="K571" s="23" t="n"/>
      <c r="L571" s="23" t="n"/>
      <c r="M571" s="23" t="n"/>
      <c r="N571" s="23" t="n"/>
      <c r="O571" s="23" t="n"/>
      <c r="P571" s="23" t="n"/>
      <c r="Q571" s="23" t="n"/>
      <c r="R571" s="23" t="n"/>
      <c r="S571" s="23" t="n"/>
      <c r="T571" s="23" t="n"/>
      <c r="U571" s="23" t="n"/>
      <c r="V571" s="23" t="n"/>
      <c r="W571" s="23" t="n"/>
      <c r="X571" s="23" t="n"/>
      <c r="Y571" s="23" t="n"/>
      <c r="Z571" s="23" t="n"/>
      <c r="AA571" s="23" t="n"/>
      <c r="AB571" s="23" t="n"/>
      <c r="AC571" s="23" t="n"/>
      <c r="AD571" s="23" t="n"/>
      <c r="AE571" s="23" t="n"/>
      <c r="AF571" s="23" t="n"/>
      <c r="AG571" s="23" t="n"/>
      <c r="AH571" s="23" t="n"/>
      <c r="AI571" s="23" t="n"/>
      <c r="AJ571" s="23" t="n"/>
      <c r="AK571" s="23" t="n"/>
      <c r="AL571" s="23" t="n"/>
      <c r="AM571" s="26">
        <f>IF(G571="","",G571&amp;"|"&amp;P571)</f>
        <v/>
      </c>
      <c r="AN571" s="27">
        <f>IF(I571="","",IFERROR(DATE(VALUE(RIGHT(I571,4)),VALUE(MID(I571,4,2)),VALUE(LEFT(I571,2))),""))</f>
        <v/>
      </c>
      <c r="AO571" s="27">
        <f>IF(Y571="","",IFERROR(DATE(VALUE(RIGHT(Y571,4)),VALUE(MID(Y571,4,2)),VALUE(LEFT(Y571,2))),""))</f>
        <v/>
      </c>
      <c r="AP571" s="27">
        <f>IF(AC571="","",IFERROR(DATE(VALUE(RIGHT(AC571,4)),VALUE(MID(AC571,4,2)),VALUE(LEFT(AC571,2))),""))</f>
        <v/>
      </c>
      <c r="AQ571" s="26">
        <f>IF(AI571="","",TRIM(LEFT(AI571,FIND(" ",AI571&amp;" ")-1)))</f>
        <v/>
      </c>
      <c r="AR571" s="27">
        <f>IF(AQ571="","",IFERROR(DATE(VALUE(MID(AQ571,FIND("/",AQ571,FIND("/",AQ571)+1)+1,4)),VALUE(LEFT(AQ571,FIND("/",AQ571)-1)),VALUE(MID(AQ571,FIND("/",AQ571)+1,FIND("/",AQ571,FIND("/",AQ571)+1)-FIND("/",AQ571)-1))),""))</f>
        <v/>
      </c>
      <c r="AS571" s="26">
        <f>IF(G571="","",IF(AND(AG571&lt;&gt;"",AG571&lt;&gt;"Bayi Aracı"),"Evet","Hayır"))</f>
        <v/>
      </c>
      <c r="AT571" s="26">
        <f>IF(G571="","",IF(AND(AS571="Evet",T571="Siparişiniz Teslim Edildi"),"Evet","Hayır"))</f>
        <v/>
      </c>
      <c r="AU571" s="26">
        <f>IF(G571="","",IF(AB571="Siparişinizin Montajı Yapıldı","Evet","Hayır"))</f>
        <v/>
      </c>
      <c r="AV571" s="27">
        <f>IF(G571="","",IF(AT571="Evet",AR571,IF(AU571="Evet",AP571,"")))</f>
        <v/>
      </c>
    </row>
    <row r="572">
      <c r="A572" s="23" t="n"/>
      <c r="B572" s="23" t="n"/>
      <c r="C572" s="23" t="n"/>
      <c r="D572" s="23" t="n"/>
      <c r="E572" s="23" t="n"/>
      <c r="F572" s="23" t="n"/>
      <c r="G572" s="23" t="n"/>
      <c r="H572" s="23" t="n"/>
      <c r="I572" s="23" t="n"/>
      <c r="J572" s="23" t="n"/>
      <c r="K572" s="23" t="n"/>
      <c r="L572" s="23" t="n"/>
      <c r="M572" s="23" t="n"/>
      <c r="N572" s="23" t="n"/>
      <c r="O572" s="23" t="n"/>
      <c r="P572" s="23" t="n"/>
      <c r="Q572" s="23" t="n"/>
      <c r="R572" s="23" t="n"/>
      <c r="S572" s="23" t="n"/>
      <c r="T572" s="23" t="n"/>
      <c r="U572" s="23" t="n"/>
      <c r="V572" s="23" t="n"/>
      <c r="W572" s="23" t="n"/>
      <c r="X572" s="23" t="n"/>
      <c r="Y572" s="23" t="n"/>
      <c r="Z572" s="23" t="n"/>
      <c r="AA572" s="23" t="n"/>
      <c r="AB572" s="23" t="n"/>
      <c r="AC572" s="23" t="n"/>
      <c r="AD572" s="23" t="n"/>
      <c r="AE572" s="23" t="n"/>
      <c r="AF572" s="23" t="n"/>
      <c r="AG572" s="23" t="n"/>
      <c r="AH572" s="23" t="n"/>
      <c r="AI572" s="23" t="n"/>
      <c r="AJ572" s="23" t="n"/>
      <c r="AK572" s="23" t="n"/>
      <c r="AL572" s="23" t="n"/>
      <c r="AM572" s="26">
        <f>IF(G572="","",G572&amp;"|"&amp;P572)</f>
        <v/>
      </c>
      <c r="AN572" s="27">
        <f>IF(I572="","",IFERROR(DATE(VALUE(RIGHT(I572,4)),VALUE(MID(I572,4,2)),VALUE(LEFT(I572,2))),""))</f>
        <v/>
      </c>
      <c r="AO572" s="27">
        <f>IF(Y572="","",IFERROR(DATE(VALUE(RIGHT(Y572,4)),VALUE(MID(Y572,4,2)),VALUE(LEFT(Y572,2))),""))</f>
        <v/>
      </c>
      <c r="AP572" s="27">
        <f>IF(AC572="","",IFERROR(DATE(VALUE(RIGHT(AC572,4)),VALUE(MID(AC572,4,2)),VALUE(LEFT(AC572,2))),""))</f>
        <v/>
      </c>
      <c r="AQ572" s="26">
        <f>IF(AI572="","",TRIM(LEFT(AI572,FIND(" ",AI572&amp;" ")-1)))</f>
        <v/>
      </c>
      <c r="AR572" s="27">
        <f>IF(AQ572="","",IFERROR(DATE(VALUE(MID(AQ572,FIND("/",AQ572,FIND("/",AQ572)+1)+1,4)),VALUE(LEFT(AQ572,FIND("/",AQ572)-1)),VALUE(MID(AQ572,FIND("/",AQ572)+1,FIND("/",AQ572,FIND("/",AQ572)+1)-FIND("/",AQ572)-1))),""))</f>
        <v/>
      </c>
      <c r="AS572" s="26">
        <f>IF(G572="","",IF(AND(AG572&lt;&gt;"",AG572&lt;&gt;"Bayi Aracı"),"Evet","Hayır"))</f>
        <v/>
      </c>
      <c r="AT572" s="26">
        <f>IF(G572="","",IF(AND(AS572="Evet",T572="Siparişiniz Teslim Edildi"),"Evet","Hayır"))</f>
        <v/>
      </c>
      <c r="AU572" s="26">
        <f>IF(G572="","",IF(AB572="Siparişinizin Montajı Yapıldı","Evet","Hayır"))</f>
        <v/>
      </c>
      <c r="AV572" s="27">
        <f>IF(G572="","",IF(AT572="Evet",AR572,IF(AU572="Evet",AP572,"")))</f>
        <v/>
      </c>
    </row>
    <row r="573">
      <c r="A573" s="23" t="n"/>
      <c r="B573" s="23" t="n"/>
      <c r="C573" s="23" t="n"/>
      <c r="D573" s="23" t="n"/>
      <c r="E573" s="23" t="n"/>
      <c r="F573" s="23" t="n"/>
      <c r="G573" s="23" t="n"/>
      <c r="H573" s="23" t="n"/>
      <c r="I573" s="23" t="n"/>
      <c r="J573" s="23" t="n"/>
      <c r="K573" s="23" t="n"/>
      <c r="L573" s="23" t="n"/>
      <c r="M573" s="23" t="n"/>
      <c r="N573" s="23" t="n"/>
      <c r="O573" s="23" t="n"/>
      <c r="P573" s="23" t="n"/>
      <c r="Q573" s="23" t="n"/>
      <c r="R573" s="23" t="n"/>
      <c r="S573" s="23" t="n"/>
      <c r="T573" s="23" t="n"/>
      <c r="U573" s="23" t="n"/>
      <c r="V573" s="23" t="n"/>
      <c r="W573" s="23" t="n"/>
      <c r="X573" s="23" t="n"/>
      <c r="Y573" s="23" t="n"/>
      <c r="Z573" s="23" t="n"/>
      <c r="AA573" s="23" t="n"/>
      <c r="AB573" s="23" t="n"/>
      <c r="AC573" s="23" t="n"/>
      <c r="AD573" s="23" t="n"/>
      <c r="AE573" s="23" t="n"/>
      <c r="AF573" s="23" t="n"/>
      <c r="AG573" s="23" t="n"/>
      <c r="AH573" s="23" t="n"/>
      <c r="AI573" s="23" t="n"/>
      <c r="AJ573" s="23" t="n"/>
      <c r="AK573" s="23" t="n"/>
      <c r="AL573" s="23" t="n"/>
      <c r="AM573" s="26">
        <f>IF(G573="","",G573&amp;"|"&amp;P573)</f>
        <v/>
      </c>
      <c r="AN573" s="27">
        <f>IF(I573="","",IFERROR(DATE(VALUE(RIGHT(I573,4)),VALUE(MID(I573,4,2)),VALUE(LEFT(I573,2))),""))</f>
        <v/>
      </c>
      <c r="AO573" s="27">
        <f>IF(Y573="","",IFERROR(DATE(VALUE(RIGHT(Y573,4)),VALUE(MID(Y573,4,2)),VALUE(LEFT(Y573,2))),""))</f>
        <v/>
      </c>
      <c r="AP573" s="27">
        <f>IF(AC573="","",IFERROR(DATE(VALUE(RIGHT(AC573,4)),VALUE(MID(AC573,4,2)),VALUE(LEFT(AC573,2))),""))</f>
        <v/>
      </c>
      <c r="AQ573" s="26">
        <f>IF(AI573="","",TRIM(LEFT(AI573,FIND(" ",AI573&amp;" ")-1)))</f>
        <v/>
      </c>
      <c r="AR573" s="27">
        <f>IF(AQ573="","",IFERROR(DATE(VALUE(MID(AQ573,FIND("/",AQ573,FIND("/",AQ573)+1)+1,4)),VALUE(LEFT(AQ573,FIND("/",AQ573)-1)),VALUE(MID(AQ573,FIND("/",AQ573)+1,FIND("/",AQ573,FIND("/",AQ573)+1)-FIND("/",AQ573)-1))),""))</f>
        <v/>
      </c>
      <c r="AS573" s="26">
        <f>IF(G573="","",IF(AND(AG573&lt;&gt;"",AG573&lt;&gt;"Bayi Aracı"),"Evet","Hayır"))</f>
        <v/>
      </c>
      <c r="AT573" s="26">
        <f>IF(G573="","",IF(AND(AS573="Evet",T573="Siparişiniz Teslim Edildi"),"Evet","Hayır"))</f>
        <v/>
      </c>
      <c r="AU573" s="26">
        <f>IF(G573="","",IF(AB573="Siparişinizin Montajı Yapıldı","Evet","Hayır"))</f>
        <v/>
      </c>
      <c r="AV573" s="27">
        <f>IF(G573="","",IF(AT573="Evet",AR573,IF(AU573="Evet",AP573,"")))</f>
        <v/>
      </c>
    </row>
    <row r="574">
      <c r="A574" s="23" t="n"/>
      <c r="B574" s="23" t="n"/>
      <c r="C574" s="23" t="n"/>
      <c r="D574" s="23" t="n"/>
      <c r="E574" s="23" t="n"/>
      <c r="F574" s="23" t="n"/>
      <c r="G574" s="23" t="n"/>
      <c r="H574" s="23" t="n"/>
      <c r="I574" s="23" t="n"/>
      <c r="J574" s="23" t="n"/>
      <c r="K574" s="23" t="n"/>
      <c r="L574" s="23" t="n"/>
      <c r="M574" s="23" t="n"/>
      <c r="N574" s="23" t="n"/>
      <c r="O574" s="23" t="n"/>
      <c r="P574" s="23" t="n"/>
      <c r="Q574" s="23" t="n"/>
      <c r="R574" s="23" t="n"/>
      <c r="S574" s="23" t="n"/>
      <c r="T574" s="23" t="n"/>
      <c r="U574" s="23" t="n"/>
      <c r="V574" s="23" t="n"/>
      <c r="W574" s="23" t="n"/>
      <c r="X574" s="23" t="n"/>
      <c r="Y574" s="23" t="n"/>
      <c r="Z574" s="23" t="n"/>
      <c r="AA574" s="23" t="n"/>
      <c r="AB574" s="23" t="n"/>
      <c r="AC574" s="23" t="n"/>
      <c r="AD574" s="23" t="n"/>
      <c r="AE574" s="23" t="n"/>
      <c r="AF574" s="23" t="n"/>
      <c r="AG574" s="23" t="n"/>
      <c r="AH574" s="23" t="n"/>
      <c r="AI574" s="23" t="n"/>
      <c r="AJ574" s="23" t="n"/>
      <c r="AK574" s="23" t="n"/>
      <c r="AL574" s="23" t="n"/>
      <c r="AM574" s="26">
        <f>IF(G574="","",G574&amp;"|"&amp;P574)</f>
        <v/>
      </c>
      <c r="AN574" s="27">
        <f>IF(I574="","",IFERROR(DATE(VALUE(RIGHT(I574,4)),VALUE(MID(I574,4,2)),VALUE(LEFT(I574,2))),""))</f>
        <v/>
      </c>
      <c r="AO574" s="27">
        <f>IF(Y574="","",IFERROR(DATE(VALUE(RIGHT(Y574,4)),VALUE(MID(Y574,4,2)),VALUE(LEFT(Y574,2))),""))</f>
        <v/>
      </c>
      <c r="AP574" s="27">
        <f>IF(AC574="","",IFERROR(DATE(VALUE(RIGHT(AC574,4)),VALUE(MID(AC574,4,2)),VALUE(LEFT(AC574,2))),""))</f>
        <v/>
      </c>
      <c r="AQ574" s="26">
        <f>IF(AI574="","",TRIM(LEFT(AI574,FIND(" ",AI574&amp;" ")-1)))</f>
        <v/>
      </c>
      <c r="AR574" s="27">
        <f>IF(AQ574="","",IFERROR(DATE(VALUE(MID(AQ574,FIND("/",AQ574,FIND("/",AQ574)+1)+1,4)),VALUE(LEFT(AQ574,FIND("/",AQ574)-1)),VALUE(MID(AQ574,FIND("/",AQ574)+1,FIND("/",AQ574,FIND("/",AQ574)+1)-FIND("/",AQ574)-1))),""))</f>
        <v/>
      </c>
      <c r="AS574" s="26">
        <f>IF(G574="","",IF(AND(AG574&lt;&gt;"",AG574&lt;&gt;"Bayi Aracı"),"Evet","Hayır"))</f>
        <v/>
      </c>
      <c r="AT574" s="26">
        <f>IF(G574="","",IF(AND(AS574="Evet",T574="Siparişiniz Teslim Edildi"),"Evet","Hayır"))</f>
        <v/>
      </c>
      <c r="AU574" s="26">
        <f>IF(G574="","",IF(AB574="Siparişinizin Montajı Yapıldı","Evet","Hayır"))</f>
        <v/>
      </c>
      <c r="AV574" s="27">
        <f>IF(G574="","",IF(AT574="Evet",AR574,IF(AU574="Evet",AP574,"")))</f>
        <v/>
      </c>
    </row>
    <row r="575">
      <c r="A575" s="23" t="n"/>
      <c r="B575" s="23" t="n"/>
      <c r="C575" s="23" t="n"/>
      <c r="D575" s="23" t="n"/>
      <c r="E575" s="23" t="n"/>
      <c r="F575" s="23" t="n"/>
      <c r="G575" s="23" t="n"/>
      <c r="H575" s="23" t="n"/>
      <c r="I575" s="23" t="n"/>
      <c r="J575" s="23" t="n"/>
      <c r="K575" s="23" t="n"/>
      <c r="L575" s="23" t="n"/>
      <c r="M575" s="23" t="n"/>
      <c r="N575" s="23" t="n"/>
      <c r="O575" s="23" t="n"/>
      <c r="P575" s="23" t="n"/>
      <c r="Q575" s="23" t="n"/>
      <c r="R575" s="23" t="n"/>
      <c r="S575" s="23" t="n"/>
      <c r="T575" s="23" t="n"/>
      <c r="U575" s="23" t="n"/>
      <c r="V575" s="23" t="n"/>
      <c r="W575" s="23" t="n"/>
      <c r="X575" s="23" t="n"/>
      <c r="Y575" s="23" t="n"/>
      <c r="Z575" s="23" t="n"/>
      <c r="AA575" s="23" t="n"/>
      <c r="AB575" s="23" t="n"/>
      <c r="AC575" s="23" t="n"/>
      <c r="AD575" s="23" t="n"/>
      <c r="AE575" s="23" t="n"/>
      <c r="AF575" s="23" t="n"/>
      <c r="AG575" s="23" t="n"/>
      <c r="AH575" s="23" t="n"/>
      <c r="AI575" s="23" t="n"/>
      <c r="AJ575" s="23" t="n"/>
      <c r="AK575" s="23" t="n"/>
      <c r="AL575" s="23" t="n"/>
      <c r="AM575" s="26">
        <f>IF(G575="","",G575&amp;"|"&amp;P575)</f>
        <v/>
      </c>
      <c r="AN575" s="27">
        <f>IF(I575="","",IFERROR(DATE(VALUE(RIGHT(I575,4)),VALUE(MID(I575,4,2)),VALUE(LEFT(I575,2))),""))</f>
        <v/>
      </c>
      <c r="AO575" s="27">
        <f>IF(Y575="","",IFERROR(DATE(VALUE(RIGHT(Y575,4)),VALUE(MID(Y575,4,2)),VALUE(LEFT(Y575,2))),""))</f>
        <v/>
      </c>
      <c r="AP575" s="27">
        <f>IF(AC575="","",IFERROR(DATE(VALUE(RIGHT(AC575,4)),VALUE(MID(AC575,4,2)),VALUE(LEFT(AC575,2))),""))</f>
        <v/>
      </c>
      <c r="AQ575" s="26">
        <f>IF(AI575="","",TRIM(LEFT(AI575,FIND(" ",AI575&amp;" ")-1)))</f>
        <v/>
      </c>
      <c r="AR575" s="27">
        <f>IF(AQ575="","",IFERROR(DATE(VALUE(MID(AQ575,FIND("/",AQ575,FIND("/",AQ575)+1)+1,4)),VALUE(LEFT(AQ575,FIND("/",AQ575)-1)),VALUE(MID(AQ575,FIND("/",AQ575)+1,FIND("/",AQ575,FIND("/",AQ575)+1)-FIND("/",AQ575)-1))),""))</f>
        <v/>
      </c>
      <c r="AS575" s="26">
        <f>IF(G575="","",IF(AND(AG575&lt;&gt;"",AG575&lt;&gt;"Bayi Aracı"),"Evet","Hayır"))</f>
        <v/>
      </c>
      <c r="AT575" s="26">
        <f>IF(G575="","",IF(AND(AS575="Evet",T575="Siparişiniz Teslim Edildi"),"Evet","Hayır"))</f>
        <v/>
      </c>
      <c r="AU575" s="26">
        <f>IF(G575="","",IF(AB575="Siparişinizin Montajı Yapıldı","Evet","Hayır"))</f>
        <v/>
      </c>
      <c r="AV575" s="27">
        <f>IF(G575="","",IF(AT575="Evet",AR575,IF(AU575="Evet",AP575,"")))</f>
        <v/>
      </c>
    </row>
    <row r="576">
      <c r="A576" s="23" t="n"/>
      <c r="B576" s="23" t="n"/>
      <c r="C576" s="23" t="n"/>
      <c r="D576" s="23" t="n"/>
      <c r="E576" s="23" t="n"/>
      <c r="F576" s="23" t="n"/>
      <c r="G576" s="23" t="n"/>
      <c r="H576" s="23" t="n"/>
      <c r="I576" s="23" t="n"/>
      <c r="J576" s="23" t="n"/>
      <c r="K576" s="23" t="n"/>
      <c r="L576" s="23" t="n"/>
      <c r="M576" s="23" t="n"/>
      <c r="N576" s="23" t="n"/>
      <c r="O576" s="23" t="n"/>
      <c r="P576" s="23" t="n"/>
      <c r="Q576" s="23" t="n"/>
      <c r="R576" s="23" t="n"/>
      <c r="S576" s="23" t="n"/>
      <c r="T576" s="23" t="n"/>
      <c r="U576" s="23" t="n"/>
      <c r="V576" s="23" t="n"/>
      <c r="W576" s="23" t="n"/>
      <c r="X576" s="23" t="n"/>
      <c r="Y576" s="23" t="n"/>
      <c r="Z576" s="23" t="n"/>
      <c r="AA576" s="23" t="n"/>
      <c r="AB576" s="23" t="n"/>
      <c r="AC576" s="23" t="n"/>
      <c r="AD576" s="23" t="n"/>
      <c r="AE576" s="23" t="n"/>
      <c r="AF576" s="23" t="n"/>
      <c r="AG576" s="23" t="n"/>
      <c r="AH576" s="23" t="n"/>
      <c r="AI576" s="23" t="n"/>
      <c r="AJ576" s="23" t="n"/>
      <c r="AK576" s="23" t="n"/>
      <c r="AL576" s="23" t="n"/>
      <c r="AM576" s="26">
        <f>IF(G576="","",G576&amp;"|"&amp;P576)</f>
        <v/>
      </c>
      <c r="AN576" s="27">
        <f>IF(I576="","",IFERROR(DATE(VALUE(RIGHT(I576,4)),VALUE(MID(I576,4,2)),VALUE(LEFT(I576,2))),""))</f>
        <v/>
      </c>
      <c r="AO576" s="27">
        <f>IF(Y576="","",IFERROR(DATE(VALUE(RIGHT(Y576,4)),VALUE(MID(Y576,4,2)),VALUE(LEFT(Y576,2))),""))</f>
        <v/>
      </c>
      <c r="AP576" s="27">
        <f>IF(AC576="","",IFERROR(DATE(VALUE(RIGHT(AC576,4)),VALUE(MID(AC576,4,2)),VALUE(LEFT(AC576,2))),""))</f>
        <v/>
      </c>
      <c r="AQ576" s="26">
        <f>IF(AI576="","",TRIM(LEFT(AI576,FIND(" ",AI576&amp;" ")-1)))</f>
        <v/>
      </c>
      <c r="AR576" s="27">
        <f>IF(AQ576="","",IFERROR(DATE(VALUE(MID(AQ576,FIND("/",AQ576,FIND("/",AQ576)+1)+1,4)),VALUE(LEFT(AQ576,FIND("/",AQ576)-1)),VALUE(MID(AQ576,FIND("/",AQ576)+1,FIND("/",AQ576,FIND("/",AQ576)+1)-FIND("/",AQ576)-1))),""))</f>
        <v/>
      </c>
      <c r="AS576" s="26">
        <f>IF(G576="","",IF(AND(AG576&lt;&gt;"",AG576&lt;&gt;"Bayi Aracı"),"Evet","Hayır"))</f>
        <v/>
      </c>
      <c r="AT576" s="26">
        <f>IF(G576="","",IF(AND(AS576="Evet",T576="Siparişiniz Teslim Edildi"),"Evet","Hayır"))</f>
        <v/>
      </c>
      <c r="AU576" s="26">
        <f>IF(G576="","",IF(AB576="Siparişinizin Montajı Yapıldı","Evet","Hayır"))</f>
        <v/>
      </c>
      <c r="AV576" s="27">
        <f>IF(G576="","",IF(AT576="Evet",AR576,IF(AU576="Evet",AP576,"")))</f>
        <v/>
      </c>
    </row>
    <row r="577">
      <c r="A577" s="23" t="n"/>
      <c r="B577" s="23" t="n"/>
      <c r="C577" s="23" t="n"/>
      <c r="D577" s="23" t="n"/>
      <c r="E577" s="23" t="n"/>
      <c r="F577" s="23" t="n"/>
      <c r="G577" s="23" t="n"/>
      <c r="H577" s="23" t="n"/>
      <c r="I577" s="23" t="n"/>
      <c r="J577" s="23" t="n"/>
      <c r="K577" s="23" t="n"/>
      <c r="L577" s="23" t="n"/>
      <c r="M577" s="23" t="n"/>
      <c r="N577" s="23" t="n"/>
      <c r="O577" s="23" t="n"/>
      <c r="P577" s="23" t="n"/>
      <c r="Q577" s="23" t="n"/>
      <c r="R577" s="23" t="n"/>
      <c r="S577" s="23" t="n"/>
      <c r="T577" s="23" t="n"/>
      <c r="U577" s="23" t="n"/>
      <c r="V577" s="23" t="n"/>
      <c r="W577" s="23" t="n"/>
      <c r="X577" s="23" t="n"/>
      <c r="Y577" s="23" t="n"/>
      <c r="Z577" s="23" t="n"/>
      <c r="AA577" s="23" t="n"/>
      <c r="AB577" s="23" t="n"/>
      <c r="AC577" s="23" t="n"/>
      <c r="AD577" s="23" t="n"/>
      <c r="AE577" s="23" t="n"/>
      <c r="AF577" s="23" t="n"/>
      <c r="AG577" s="23" t="n"/>
      <c r="AH577" s="23" t="n"/>
      <c r="AI577" s="23" t="n"/>
      <c r="AJ577" s="23" t="n"/>
      <c r="AK577" s="23" t="n"/>
      <c r="AL577" s="23" t="n"/>
      <c r="AM577" s="26">
        <f>IF(G577="","",G577&amp;"|"&amp;P577)</f>
        <v/>
      </c>
      <c r="AN577" s="27">
        <f>IF(I577="","",IFERROR(DATE(VALUE(RIGHT(I577,4)),VALUE(MID(I577,4,2)),VALUE(LEFT(I577,2))),""))</f>
        <v/>
      </c>
      <c r="AO577" s="27">
        <f>IF(Y577="","",IFERROR(DATE(VALUE(RIGHT(Y577,4)),VALUE(MID(Y577,4,2)),VALUE(LEFT(Y577,2))),""))</f>
        <v/>
      </c>
      <c r="AP577" s="27">
        <f>IF(AC577="","",IFERROR(DATE(VALUE(RIGHT(AC577,4)),VALUE(MID(AC577,4,2)),VALUE(LEFT(AC577,2))),""))</f>
        <v/>
      </c>
      <c r="AQ577" s="26">
        <f>IF(AI577="","",TRIM(LEFT(AI577,FIND(" ",AI577&amp;" ")-1)))</f>
        <v/>
      </c>
      <c r="AR577" s="27">
        <f>IF(AQ577="","",IFERROR(DATE(VALUE(MID(AQ577,FIND("/",AQ577,FIND("/",AQ577)+1)+1,4)),VALUE(LEFT(AQ577,FIND("/",AQ577)-1)),VALUE(MID(AQ577,FIND("/",AQ577)+1,FIND("/",AQ577,FIND("/",AQ577)+1)-FIND("/",AQ577)-1))),""))</f>
        <v/>
      </c>
      <c r="AS577" s="26">
        <f>IF(G577="","",IF(AND(AG577&lt;&gt;"",AG577&lt;&gt;"Bayi Aracı"),"Evet","Hayır"))</f>
        <v/>
      </c>
      <c r="AT577" s="26">
        <f>IF(G577="","",IF(AND(AS577="Evet",T577="Siparişiniz Teslim Edildi"),"Evet","Hayır"))</f>
        <v/>
      </c>
      <c r="AU577" s="26">
        <f>IF(G577="","",IF(AB577="Siparişinizin Montajı Yapıldı","Evet","Hayır"))</f>
        <v/>
      </c>
      <c r="AV577" s="27">
        <f>IF(G577="","",IF(AT577="Evet",AR577,IF(AU577="Evet",AP577,"")))</f>
        <v/>
      </c>
    </row>
    <row r="578">
      <c r="A578" s="23" t="n"/>
      <c r="B578" s="23" t="n"/>
      <c r="C578" s="23" t="n"/>
      <c r="D578" s="23" t="n"/>
      <c r="E578" s="23" t="n"/>
      <c r="F578" s="23" t="n"/>
      <c r="G578" s="23" t="n"/>
      <c r="H578" s="23" t="n"/>
      <c r="I578" s="23" t="n"/>
      <c r="J578" s="23" t="n"/>
      <c r="K578" s="23" t="n"/>
      <c r="L578" s="23" t="n"/>
      <c r="M578" s="23" t="n"/>
      <c r="N578" s="23" t="n"/>
      <c r="O578" s="23" t="n"/>
      <c r="P578" s="23" t="n"/>
      <c r="Q578" s="23" t="n"/>
      <c r="R578" s="23" t="n"/>
      <c r="S578" s="23" t="n"/>
      <c r="T578" s="23" t="n"/>
      <c r="U578" s="23" t="n"/>
      <c r="V578" s="23" t="n"/>
      <c r="W578" s="23" t="n"/>
      <c r="X578" s="23" t="n"/>
      <c r="Y578" s="23" t="n"/>
      <c r="Z578" s="23" t="n"/>
      <c r="AA578" s="23" t="n"/>
      <c r="AB578" s="23" t="n"/>
      <c r="AC578" s="23" t="n"/>
      <c r="AD578" s="23" t="n"/>
      <c r="AE578" s="23" t="n"/>
      <c r="AF578" s="23" t="n"/>
      <c r="AG578" s="23" t="n"/>
      <c r="AH578" s="23" t="n"/>
      <c r="AI578" s="23" t="n"/>
      <c r="AJ578" s="23" t="n"/>
      <c r="AK578" s="23" t="n"/>
      <c r="AL578" s="23" t="n"/>
      <c r="AM578" s="26">
        <f>IF(G578="","",G578&amp;"|"&amp;P578)</f>
        <v/>
      </c>
      <c r="AN578" s="27">
        <f>IF(I578="","",IFERROR(DATE(VALUE(RIGHT(I578,4)),VALUE(MID(I578,4,2)),VALUE(LEFT(I578,2))),""))</f>
        <v/>
      </c>
      <c r="AO578" s="27">
        <f>IF(Y578="","",IFERROR(DATE(VALUE(RIGHT(Y578,4)),VALUE(MID(Y578,4,2)),VALUE(LEFT(Y578,2))),""))</f>
        <v/>
      </c>
      <c r="AP578" s="27">
        <f>IF(AC578="","",IFERROR(DATE(VALUE(RIGHT(AC578,4)),VALUE(MID(AC578,4,2)),VALUE(LEFT(AC578,2))),""))</f>
        <v/>
      </c>
      <c r="AQ578" s="26">
        <f>IF(AI578="","",TRIM(LEFT(AI578,FIND(" ",AI578&amp;" ")-1)))</f>
        <v/>
      </c>
      <c r="AR578" s="27">
        <f>IF(AQ578="","",IFERROR(DATE(VALUE(MID(AQ578,FIND("/",AQ578,FIND("/",AQ578)+1)+1,4)),VALUE(LEFT(AQ578,FIND("/",AQ578)-1)),VALUE(MID(AQ578,FIND("/",AQ578)+1,FIND("/",AQ578,FIND("/",AQ578)+1)-FIND("/",AQ578)-1))),""))</f>
        <v/>
      </c>
      <c r="AS578" s="26">
        <f>IF(G578="","",IF(AND(AG578&lt;&gt;"",AG578&lt;&gt;"Bayi Aracı"),"Evet","Hayır"))</f>
        <v/>
      </c>
      <c r="AT578" s="26">
        <f>IF(G578="","",IF(AND(AS578="Evet",T578="Siparişiniz Teslim Edildi"),"Evet","Hayır"))</f>
        <v/>
      </c>
      <c r="AU578" s="26">
        <f>IF(G578="","",IF(AB578="Siparişinizin Montajı Yapıldı","Evet","Hayır"))</f>
        <v/>
      </c>
      <c r="AV578" s="27">
        <f>IF(G578="","",IF(AT578="Evet",AR578,IF(AU578="Evet",AP578,"")))</f>
        <v/>
      </c>
    </row>
    <row r="579">
      <c r="A579" s="23" t="n"/>
      <c r="B579" s="23" t="n"/>
      <c r="C579" s="23" t="n"/>
      <c r="D579" s="23" t="n"/>
      <c r="E579" s="23" t="n"/>
      <c r="F579" s="23" t="n"/>
      <c r="G579" s="23" t="n"/>
      <c r="H579" s="23" t="n"/>
      <c r="I579" s="23" t="n"/>
      <c r="J579" s="23" t="n"/>
      <c r="K579" s="23" t="n"/>
      <c r="L579" s="23" t="n"/>
      <c r="M579" s="23" t="n"/>
      <c r="N579" s="23" t="n"/>
      <c r="O579" s="23" t="n"/>
      <c r="P579" s="23" t="n"/>
      <c r="Q579" s="23" t="n"/>
      <c r="R579" s="23" t="n"/>
      <c r="S579" s="23" t="n"/>
      <c r="T579" s="23" t="n"/>
      <c r="U579" s="23" t="n"/>
      <c r="V579" s="23" t="n"/>
      <c r="W579" s="23" t="n"/>
      <c r="X579" s="23" t="n"/>
      <c r="Y579" s="23" t="n"/>
      <c r="Z579" s="23" t="n"/>
      <c r="AA579" s="23" t="n"/>
      <c r="AB579" s="23" t="n"/>
      <c r="AC579" s="23" t="n"/>
      <c r="AD579" s="23" t="n"/>
      <c r="AE579" s="23" t="n"/>
      <c r="AF579" s="23" t="n"/>
      <c r="AG579" s="23" t="n"/>
      <c r="AH579" s="23" t="n"/>
      <c r="AI579" s="23" t="n"/>
      <c r="AJ579" s="23" t="n"/>
      <c r="AK579" s="23" t="n"/>
      <c r="AL579" s="23" t="n"/>
      <c r="AM579" s="26">
        <f>IF(G579="","",G579&amp;"|"&amp;P579)</f>
        <v/>
      </c>
      <c r="AN579" s="27">
        <f>IF(I579="","",IFERROR(DATE(VALUE(RIGHT(I579,4)),VALUE(MID(I579,4,2)),VALUE(LEFT(I579,2))),""))</f>
        <v/>
      </c>
      <c r="AO579" s="27">
        <f>IF(Y579="","",IFERROR(DATE(VALUE(RIGHT(Y579,4)),VALUE(MID(Y579,4,2)),VALUE(LEFT(Y579,2))),""))</f>
        <v/>
      </c>
      <c r="AP579" s="27">
        <f>IF(AC579="","",IFERROR(DATE(VALUE(RIGHT(AC579,4)),VALUE(MID(AC579,4,2)),VALUE(LEFT(AC579,2))),""))</f>
        <v/>
      </c>
      <c r="AQ579" s="26">
        <f>IF(AI579="","",TRIM(LEFT(AI579,FIND(" ",AI579&amp;" ")-1)))</f>
        <v/>
      </c>
      <c r="AR579" s="27">
        <f>IF(AQ579="","",IFERROR(DATE(VALUE(MID(AQ579,FIND("/",AQ579,FIND("/",AQ579)+1)+1,4)),VALUE(LEFT(AQ579,FIND("/",AQ579)-1)),VALUE(MID(AQ579,FIND("/",AQ579)+1,FIND("/",AQ579,FIND("/",AQ579)+1)-FIND("/",AQ579)-1))),""))</f>
        <v/>
      </c>
      <c r="AS579" s="26">
        <f>IF(G579="","",IF(AND(AG579&lt;&gt;"",AG579&lt;&gt;"Bayi Aracı"),"Evet","Hayır"))</f>
        <v/>
      </c>
      <c r="AT579" s="26">
        <f>IF(G579="","",IF(AND(AS579="Evet",T579="Siparişiniz Teslim Edildi"),"Evet","Hayır"))</f>
        <v/>
      </c>
      <c r="AU579" s="26">
        <f>IF(G579="","",IF(AB579="Siparişinizin Montajı Yapıldı","Evet","Hayır"))</f>
        <v/>
      </c>
      <c r="AV579" s="27">
        <f>IF(G579="","",IF(AT579="Evet",AR579,IF(AU579="Evet",AP579,"")))</f>
        <v/>
      </c>
    </row>
    <row r="580">
      <c r="A580" s="23" t="n"/>
      <c r="B580" s="23" t="n"/>
      <c r="C580" s="23" t="n"/>
      <c r="D580" s="23" t="n"/>
      <c r="E580" s="23" t="n"/>
      <c r="F580" s="23" t="n"/>
      <c r="G580" s="23" t="n"/>
      <c r="H580" s="23" t="n"/>
      <c r="I580" s="23" t="n"/>
      <c r="J580" s="23" t="n"/>
      <c r="K580" s="23" t="n"/>
      <c r="L580" s="23" t="n"/>
      <c r="M580" s="23" t="n"/>
      <c r="N580" s="23" t="n"/>
      <c r="O580" s="23" t="n"/>
      <c r="P580" s="23" t="n"/>
      <c r="Q580" s="23" t="n"/>
      <c r="R580" s="23" t="n"/>
      <c r="S580" s="23" t="n"/>
      <c r="T580" s="23" t="n"/>
      <c r="U580" s="23" t="n"/>
      <c r="V580" s="23" t="n"/>
      <c r="W580" s="23" t="n"/>
      <c r="X580" s="23" t="n"/>
      <c r="Y580" s="23" t="n"/>
      <c r="Z580" s="23" t="n"/>
      <c r="AA580" s="23" t="n"/>
      <c r="AB580" s="23" t="n"/>
      <c r="AC580" s="23" t="n"/>
      <c r="AD580" s="23" t="n"/>
      <c r="AE580" s="23" t="n"/>
      <c r="AF580" s="23" t="n"/>
      <c r="AG580" s="23" t="n"/>
      <c r="AH580" s="23" t="n"/>
      <c r="AI580" s="23" t="n"/>
      <c r="AJ580" s="23" t="n"/>
      <c r="AK580" s="23" t="n"/>
      <c r="AL580" s="23" t="n"/>
      <c r="AM580" s="26">
        <f>IF(G580="","",G580&amp;"|"&amp;P580)</f>
        <v/>
      </c>
      <c r="AN580" s="27">
        <f>IF(I580="","",IFERROR(DATE(VALUE(RIGHT(I580,4)),VALUE(MID(I580,4,2)),VALUE(LEFT(I580,2))),""))</f>
        <v/>
      </c>
      <c r="AO580" s="27">
        <f>IF(Y580="","",IFERROR(DATE(VALUE(RIGHT(Y580,4)),VALUE(MID(Y580,4,2)),VALUE(LEFT(Y580,2))),""))</f>
        <v/>
      </c>
      <c r="AP580" s="27">
        <f>IF(AC580="","",IFERROR(DATE(VALUE(RIGHT(AC580,4)),VALUE(MID(AC580,4,2)),VALUE(LEFT(AC580,2))),""))</f>
        <v/>
      </c>
      <c r="AQ580" s="26">
        <f>IF(AI580="","",TRIM(LEFT(AI580,FIND(" ",AI580&amp;" ")-1)))</f>
        <v/>
      </c>
      <c r="AR580" s="27">
        <f>IF(AQ580="","",IFERROR(DATE(VALUE(MID(AQ580,FIND("/",AQ580,FIND("/",AQ580)+1)+1,4)),VALUE(LEFT(AQ580,FIND("/",AQ580)-1)),VALUE(MID(AQ580,FIND("/",AQ580)+1,FIND("/",AQ580,FIND("/",AQ580)+1)-FIND("/",AQ580)-1))),""))</f>
        <v/>
      </c>
      <c r="AS580" s="26">
        <f>IF(G580="","",IF(AND(AG580&lt;&gt;"",AG580&lt;&gt;"Bayi Aracı"),"Evet","Hayır"))</f>
        <v/>
      </c>
      <c r="AT580" s="26">
        <f>IF(G580="","",IF(AND(AS580="Evet",T580="Siparişiniz Teslim Edildi"),"Evet","Hayır"))</f>
        <v/>
      </c>
      <c r="AU580" s="26">
        <f>IF(G580="","",IF(AB580="Siparişinizin Montajı Yapıldı","Evet","Hayır"))</f>
        <v/>
      </c>
      <c r="AV580" s="27">
        <f>IF(G580="","",IF(AT580="Evet",AR580,IF(AU580="Evet",AP580,"")))</f>
        <v/>
      </c>
    </row>
    <row r="581">
      <c r="A581" s="23" t="n"/>
      <c r="B581" s="23" t="n"/>
      <c r="C581" s="23" t="n"/>
      <c r="D581" s="23" t="n"/>
      <c r="E581" s="23" t="n"/>
      <c r="F581" s="23" t="n"/>
      <c r="G581" s="23" t="n"/>
      <c r="H581" s="23" t="n"/>
      <c r="I581" s="23" t="n"/>
      <c r="J581" s="23" t="n"/>
      <c r="K581" s="23" t="n"/>
      <c r="L581" s="23" t="n"/>
      <c r="M581" s="23" t="n"/>
      <c r="N581" s="23" t="n"/>
      <c r="O581" s="23" t="n"/>
      <c r="P581" s="23" t="n"/>
      <c r="Q581" s="23" t="n"/>
      <c r="R581" s="23" t="n"/>
      <c r="S581" s="23" t="n"/>
      <c r="T581" s="23" t="n"/>
      <c r="U581" s="23" t="n"/>
      <c r="V581" s="23" t="n"/>
      <c r="W581" s="23" t="n"/>
      <c r="X581" s="23" t="n"/>
      <c r="Y581" s="23" t="n"/>
      <c r="Z581" s="23" t="n"/>
      <c r="AA581" s="23" t="n"/>
      <c r="AB581" s="23" t="n"/>
      <c r="AC581" s="23" t="n"/>
      <c r="AD581" s="23" t="n"/>
      <c r="AE581" s="23" t="n"/>
      <c r="AF581" s="23" t="n"/>
      <c r="AG581" s="23" t="n"/>
      <c r="AH581" s="23" t="n"/>
      <c r="AI581" s="23" t="n"/>
      <c r="AJ581" s="23" t="n"/>
      <c r="AK581" s="23" t="n"/>
      <c r="AL581" s="23" t="n"/>
      <c r="AM581" s="26">
        <f>IF(G581="","",G581&amp;"|"&amp;P581)</f>
        <v/>
      </c>
      <c r="AN581" s="27">
        <f>IF(I581="","",IFERROR(DATE(VALUE(RIGHT(I581,4)),VALUE(MID(I581,4,2)),VALUE(LEFT(I581,2))),""))</f>
        <v/>
      </c>
      <c r="AO581" s="27">
        <f>IF(Y581="","",IFERROR(DATE(VALUE(RIGHT(Y581,4)),VALUE(MID(Y581,4,2)),VALUE(LEFT(Y581,2))),""))</f>
        <v/>
      </c>
      <c r="AP581" s="27">
        <f>IF(AC581="","",IFERROR(DATE(VALUE(RIGHT(AC581,4)),VALUE(MID(AC581,4,2)),VALUE(LEFT(AC581,2))),""))</f>
        <v/>
      </c>
      <c r="AQ581" s="26">
        <f>IF(AI581="","",TRIM(LEFT(AI581,FIND(" ",AI581&amp;" ")-1)))</f>
        <v/>
      </c>
      <c r="AR581" s="27">
        <f>IF(AQ581="","",IFERROR(DATE(VALUE(MID(AQ581,FIND("/",AQ581,FIND("/",AQ581)+1)+1,4)),VALUE(LEFT(AQ581,FIND("/",AQ581)-1)),VALUE(MID(AQ581,FIND("/",AQ581)+1,FIND("/",AQ581,FIND("/",AQ581)+1)-FIND("/",AQ581)-1))),""))</f>
        <v/>
      </c>
      <c r="AS581" s="26">
        <f>IF(G581="","",IF(AND(AG581&lt;&gt;"",AG581&lt;&gt;"Bayi Aracı"),"Evet","Hayır"))</f>
        <v/>
      </c>
      <c r="AT581" s="26">
        <f>IF(G581="","",IF(AND(AS581="Evet",T581="Siparişiniz Teslim Edildi"),"Evet","Hayır"))</f>
        <v/>
      </c>
      <c r="AU581" s="26">
        <f>IF(G581="","",IF(AB581="Siparişinizin Montajı Yapıldı","Evet","Hayır"))</f>
        <v/>
      </c>
      <c r="AV581" s="27">
        <f>IF(G581="","",IF(AT581="Evet",AR581,IF(AU581="Evet",AP581,"")))</f>
        <v/>
      </c>
    </row>
    <row r="582">
      <c r="A582" s="23" t="n"/>
      <c r="B582" s="23" t="n"/>
      <c r="C582" s="23" t="n"/>
      <c r="D582" s="23" t="n"/>
      <c r="E582" s="23" t="n"/>
      <c r="F582" s="23" t="n"/>
      <c r="G582" s="23" t="n"/>
      <c r="H582" s="23" t="n"/>
      <c r="I582" s="23" t="n"/>
      <c r="J582" s="23" t="n"/>
      <c r="K582" s="23" t="n"/>
      <c r="L582" s="23" t="n"/>
      <c r="M582" s="23" t="n"/>
      <c r="N582" s="23" t="n"/>
      <c r="O582" s="23" t="n"/>
      <c r="P582" s="23" t="n"/>
      <c r="Q582" s="23" t="n"/>
      <c r="R582" s="23" t="n"/>
      <c r="S582" s="23" t="n"/>
      <c r="T582" s="23" t="n"/>
      <c r="U582" s="23" t="n"/>
      <c r="V582" s="23" t="n"/>
      <c r="W582" s="23" t="n"/>
      <c r="X582" s="23" t="n"/>
      <c r="Y582" s="23" t="n"/>
      <c r="Z582" s="23" t="n"/>
      <c r="AA582" s="23" t="n"/>
      <c r="AB582" s="23" t="n"/>
      <c r="AC582" s="23" t="n"/>
      <c r="AD582" s="23" t="n"/>
      <c r="AE582" s="23" t="n"/>
      <c r="AF582" s="23" t="n"/>
      <c r="AG582" s="23" t="n"/>
      <c r="AH582" s="23" t="n"/>
      <c r="AI582" s="23" t="n"/>
      <c r="AJ582" s="23" t="n"/>
      <c r="AK582" s="23" t="n"/>
      <c r="AL582" s="23" t="n"/>
      <c r="AM582" s="26">
        <f>IF(G582="","",G582&amp;"|"&amp;P582)</f>
        <v/>
      </c>
      <c r="AN582" s="27">
        <f>IF(I582="","",IFERROR(DATE(VALUE(RIGHT(I582,4)),VALUE(MID(I582,4,2)),VALUE(LEFT(I582,2))),""))</f>
        <v/>
      </c>
      <c r="AO582" s="27">
        <f>IF(Y582="","",IFERROR(DATE(VALUE(RIGHT(Y582,4)),VALUE(MID(Y582,4,2)),VALUE(LEFT(Y582,2))),""))</f>
        <v/>
      </c>
      <c r="AP582" s="27">
        <f>IF(AC582="","",IFERROR(DATE(VALUE(RIGHT(AC582,4)),VALUE(MID(AC582,4,2)),VALUE(LEFT(AC582,2))),""))</f>
        <v/>
      </c>
      <c r="AQ582" s="26">
        <f>IF(AI582="","",TRIM(LEFT(AI582,FIND(" ",AI582&amp;" ")-1)))</f>
        <v/>
      </c>
      <c r="AR582" s="27">
        <f>IF(AQ582="","",IFERROR(DATE(VALUE(MID(AQ582,FIND("/",AQ582,FIND("/",AQ582)+1)+1,4)),VALUE(LEFT(AQ582,FIND("/",AQ582)-1)),VALUE(MID(AQ582,FIND("/",AQ582)+1,FIND("/",AQ582,FIND("/",AQ582)+1)-FIND("/",AQ582)-1))),""))</f>
        <v/>
      </c>
      <c r="AS582" s="26">
        <f>IF(G582="","",IF(AND(AG582&lt;&gt;"",AG582&lt;&gt;"Bayi Aracı"),"Evet","Hayır"))</f>
        <v/>
      </c>
      <c r="AT582" s="26">
        <f>IF(G582="","",IF(AND(AS582="Evet",T582="Siparişiniz Teslim Edildi"),"Evet","Hayır"))</f>
        <v/>
      </c>
      <c r="AU582" s="26">
        <f>IF(G582="","",IF(AB582="Siparişinizin Montajı Yapıldı","Evet","Hayır"))</f>
        <v/>
      </c>
      <c r="AV582" s="27">
        <f>IF(G582="","",IF(AT582="Evet",AR582,IF(AU582="Evet",AP582,"")))</f>
        <v/>
      </c>
    </row>
    <row r="583">
      <c r="A583" s="23" t="n"/>
      <c r="B583" s="23" t="n"/>
      <c r="C583" s="23" t="n"/>
      <c r="D583" s="23" t="n"/>
      <c r="E583" s="23" t="n"/>
      <c r="F583" s="23" t="n"/>
      <c r="G583" s="23" t="n"/>
      <c r="H583" s="23" t="n"/>
      <c r="I583" s="23" t="n"/>
      <c r="J583" s="23" t="n"/>
      <c r="K583" s="23" t="n"/>
      <c r="L583" s="23" t="n"/>
      <c r="M583" s="23" t="n"/>
      <c r="N583" s="23" t="n"/>
      <c r="O583" s="23" t="n"/>
      <c r="P583" s="23" t="n"/>
      <c r="Q583" s="23" t="n"/>
      <c r="R583" s="23" t="n"/>
      <c r="S583" s="23" t="n"/>
      <c r="T583" s="23" t="n"/>
      <c r="U583" s="23" t="n"/>
      <c r="V583" s="23" t="n"/>
      <c r="W583" s="23" t="n"/>
      <c r="X583" s="23" t="n"/>
      <c r="Y583" s="23" t="n"/>
      <c r="Z583" s="23" t="n"/>
      <c r="AA583" s="23" t="n"/>
      <c r="AB583" s="23" t="n"/>
      <c r="AC583" s="23" t="n"/>
      <c r="AD583" s="23" t="n"/>
      <c r="AE583" s="23" t="n"/>
      <c r="AF583" s="23" t="n"/>
      <c r="AG583" s="23" t="n"/>
      <c r="AH583" s="23" t="n"/>
      <c r="AI583" s="23" t="n"/>
      <c r="AJ583" s="23" t="n"/>
      <c r="AK583" s="23" t="n"/>
      <c r="AL583" s="23" t="n"/>
      <c r="AM583" s="26">
        <f>IF(G583="","",G583&amp;"|"&amp;P583)</f>
        <v/>
      </c>
      <c r="AN583" s="27">
        <f>IF(I583="","",IFERROR(DATE(VALUE(RIGHT(I583,4)),VALUE(MID(I583,4,2)),VALUE(LEFT(I583,2))),""))</f>
        <v/>
      </c>
      <c r="AO583" s="27">
        <f>IF(Y583="","",IFERROR(DATE(VALUE(RIGHT(Y583,4)),VALUE(MID(Y583,4,2)),VALUE(LEFT(Y583,2))),""))</f>
        <v/>
      </c>
      <c r="AP583" s="27">
        <f>IF(AC583="","",IFERROR(DATE(VALUE(RIGHT(AC583,4)),VALUE(MID(AC583,4,2)),VALUE(LEFT(AC583,2))),""))</f>
        <v/>
      </c>
      <c r="AQ583" s="26">
        <f>IF(AI583="","",TRIM(LEFT(AI583,FIND(" ",AI583&amp;" ")-1)))</f>
        <v/>
      </c>
      <c r="AR583" s="27">
        <f>IF(AQ583="","",IFERROR(DATE(VALUE(MID(AQ583,FIND("/",AQ583,FIND("/",AQ583)+1)+1,4)),VALUE(LEFT(AQ583,FIND("/",AQ583)-1)),VALUE(MID(AQ583,FIND("/",AQ583)+1,FIND("/",AQ583,FIND("/",AQ583)+1)-FIND("/",AQ583)-1))),""))</f>
        <v/>
      </c>
      <c r="AS583" s="26">
        <f>IF(G583="","",IF(AND(AG583&lt;&gt;"",AG583&lt;&gt;"Bayi Aracı"),"Evet","Hayır"))</f>
        <v/>
      </c>
      <c r="AT583" s="26">
        <f>IF(G583="","",IF(AND(AS583="Evet",T583="Siparişiniz Teslim Edildi"),"Evet","Hayır"))</f>
        <v/>
      </c>
      <c r="AU583" s="26">
        <f>IF(G583="","",IF(AB583="Siparişinizin Montajı Yapıldı","Evet","Hayır"))</f>
        <v/>
      </c>
      <c r="AV583" s="27">
        <f>IF(G583="","",IF(AT583="Evet",AR583,IF(AU583="Evet",AP583,"")))</f>
        <v/>
      </c>
    </row>
    <row r="584">
      <c r="A584" s="23" t="n"/>
      <c r="B584" s="23" t="n"/>
      <c r="C584" s="23" t="n"/>
      <c r="D584" s="23" t="n"/>
      <c r="E584" s="23" t="n"/>
      <c r="F584" s="23" t="n"/>
      <c r="G584" s="23" t="n"/>
      <c r="H584" s="23" t="n"/>
      <c r="I584" s="23" t="n"/>
      <c r="J584" s="23" t="n"/>
      <c r="K584" s="23" t="n"/>
      <c r="L584" s="23" t="n"/>
      <c r="M584" s="23" t="n"/>
      <c r="N584" s="23" t="n"/>
      <c r="O584" s="23" t="n"/>
      <c r="P584" s="23" t="n"/>
      <c r="Q584" s="23" t="n"/>
      <c r="R584" s="23" t="n"/>
      <c r="S584" s="23" t="n"/>
      <c r="T584" s="23" t="n"/>
      <c r="U584" s="23" t="n"/>
      <c r="V584" s="23" t="n"/>
      <c r="W584" s="23" t="n"/>
      <c r="X584" s="23" t="n"/>
      <c r="Y584" s="23" t="n"/>
      <c r="Z584" s="23" t="n"/>
      <c r="AA584" s="23" t="n"/>
      <c r="AB584" s="23" t="n"/>
      <c r="AC584" s="23" t="n"/>
      <c r="AD584" s="23" t="n"/>
      <c r="AE584" s="23" t="n"/>
      <c r="AF584" s="23" t="n"/>
      <c r="AG584" s="23" t="n"/>
      <c r="AH584" s="23" t="n"/>
      <c r="AI584" s="23" t="n"/>
      <c r="AJ584" s="23" t="n"/>
      <c r="AK584" s="23" t="n"/>
      <c r="AL584" s="23" t="n"/>
      <c r="AM584" s="26">
        <f>IF(G584="","",G584&amp;"|"&amp;P584)</f>
        <v/>
      </c>
      <c r="AN584" s="27">
        <f>IF(I584="","",IFERROR(DATE(VALUE(RIGHT(I584,4)),VALUE(MID(I584,4,2)),VALUE(LEFT(I584,2))),""))</f>
        <v/>
      </c>
      <c r="AO584" s="27">
        <f>IF(Y584="","",IFERROR(DATE(VALUE(RIGHT(Y584,4)),VALUE(MID(Y584,4,2)),VALUE(LEFT(Y584,2))),""))</f>
        <v/>
      </c>
      <c r="AP584" s="27">
        <f>IF(AC584="","",IFERROR(DATE(VALUE(RIGHT(AC584,4)),VALUE(MID(AC584,4,2)),VALUE(LEFT(AC584,2))),""))</f>
        <v/>
      </c>
      <c r="AQ584" s="26">
        <f>IF(AI584="","",TRIM(LEFT(AI584,FIND(" ",AI584&amp;" ")-1)))</f>
        <v/>
      </c>
      <c r="AR584" s="27">
        <f>IF(AQ584="","",IFERROR(DATE(VALUE(MID(AQ584,FIND("/",AQ584,FIND("/",AQ584)+1)+1,4)),VALUE(LEFT(AQ584,FIND("/",AQ584)-1)),VALUE(MID(AQ584,FIND("/",AQ584)+1,FIND("/",AQ584,FIND("/",AQ584)+1)-FIND("/",AQ584)-1))),""))</f>
        <v/>
      </c>
      <c r="AS584" s="26">
        <f>IF(G584="","",IF(AND(AG584&lt;&gt;"",AG584&lt;&gt;"Bayi Aracı"),"Evet","Hayır"))</f>
        <v/>
      </c>
      <c r="AT584" s="26">
        <f>IF(G584="","",IF(AND(AS584="Evet",T584="Siparişiniz Teslim Edildi"),"Evet","Hayır"))</f>
        <v/>
      </c>
      <c r="AU584" s="26">
        <f>IF(G584="","",IF(AB584="Siparişinizin Montajı Yapıldı","Evet","Hayır"))</f>
        <v/>
      </c>
      <c r="AV584" s="27">
        <f>IF(G584="","",IF(AT584="Evet",AR584,IF(AU584="Evet",AP584,"")))</f>
        <v/>
      </c>
    </row>
    <row r="585">
      <c r="A585" s="23" t="n"/>
      <c r="B585" s="23" t="n"/>
      <c r="C585" s="23" t="n"/>
      <c r="D585" s="23" t="n"/>
      <c r="E585" s="23" t="n"/>
      <c r="F585" s="23" t="n"/>
      <c r="G585" s="23" t="n"/>
      <c r="H585" s="23" t="n"/>
      <c r="I585" s="23" t="n"/>
      <c r="J585" s="23" t="n"/>
      <c r="K585" s="23" t="n"/>
      <c r="L585" s="23" t="n"/>
      <c r="M585" s="23" t="n"/>
      <c r="N585" s="23" t="n"/>
      <c r="O585" s="23" t="n"/>
      <c r="P585" s="23" t="n"/>
      <c r="Q585" s="23" t="n"/>
      <c r="R585" s="23" t="n"/>
      <c r="S585" s="23" t="n"/>
      <c r="T585" s="23" t="n"/>
      <c r="U585" s="23" t="n"/>
      <c r="V585" s="23" t="n"/>
      <c r="W585" s="23" t="n"/>
      <c r="X585" s="23" t="n"/>
      <c r="Y585" s="23" t="n"/>
      <c r="Z585" s="23" t="n"/>
      <c r="AA585" s="23" t="n"/>
      <c r="AB585" s="23" t="n"/>
      <c r="AC585" s="23" t="n"/>
      <c r="AD585" s="23" t="n"/>
      <c r="AE585" s="23" t="n"/>
      <c r="AF585" s="23" t="n"/>
      <c r="AG585" s="23" t="n"/>
      <c r="AH585" s="23" t="n"/>
      <c r="AI585" s="23" t="n"/>
      <c r="AJ585" s="23" t="n"/>
      <c r="AK585" s="23" t="n"/>
      <c r="AL585" s="23" t="n"/>
      <c r="AM585" s="26">
        <f>IF(G585="","",G585&amp;"|"&amp;P585)</f>
        <v/>
      </c>
      <c r="AN585" s="27">
        <f>IF(I585="","",IFERROR(DATE(VALUE(RIGHT(I585,4)),VALUE(MID(I585,4,2)),VALUE(LEFT(I585,2))),""))</f>
        <v/>
      </c>
      <c r="AO585" s="27">
        <f>IF(Y585="","",IFERROR(DATE(VALUE(RIGHT(Y585,4)),VALUE(MID(Y585,4,2)),VALUE(LEFT(Y585,2))),""))</f>
        <v/>
      </c>
      <c r="AP585" s="27">
        <f>IF(AC585="","",IFERROR(DATE(VALUE(RIGHT(AC585,4)),VALUE(MID(AC585,4,2)),VALUE(LEFT(AC585,2))),""))</f>
        <v/>
      </c>
      <c r="AQ585" s="26">
        <f>IF(AI585="","",TRIM(LEFT(AI585,FIND(" ",AI585&amp;" ")-1)))</f>
        <v/>
      </c>
      <c r="AR585" s="27">
        <f>IF(AQ585="","",IFERROR(DATE(VALUE(MID(AQ585,FIND("/",AQ585,FIND("/",AQ585)+1)+1,4)),VALUE(LEFT(AQ585,FIND("/",AQ585)-1)),VALUE(MID(AQ585,FIND("/",AQ585)+1,FIND("/",AQ585,FIND("/",AQ585)+1)-FIND("/",AQ585)-1))),""))</f>
        <v/>
      </c>
      <c r="AS585" s="26">
        <f>IF(G585="","",IF(AND(AG585&lt;&gt;"",AG585&lt;&gt;"Bayi Aracı"),"Evet","Hayır"))</f>
        <v/>
      </c>
      <c r="AT585" s="26">
        <f>IF(G585="","",IF(AND(AS585="Evet",T585="Siparişiniz Teslim Edildi"),"Evet","Hayır"))</f>
        <v/>
      </c>
      <c r="AU585" s="26">
        <f>IF(G585="","",IF(AB585="Siparişinizin Montajı Yapıldı","Evet","Hayır"))</f>
        <v/>
      </c>
      <c r="AV585" s="27">
        <f>IF(G585="","",IF(AT585="Evet",AR585,IF(AU585="Evet",AP585,"")))</f>
        <v/>
      </c>
    </row>
    <row r="586">
      <c r="A586" s="23" t="n"/>
      <c r="B586" s="23" t="n"/>
      <c r="C586" s="23" t="n"/>
      <c r="D586" s="23" t="n"/>
      <c r="E586" s="23" t="n"/>
      <c r="F586" s="23" t="n"/>
      <c r="G586" s="23" t="n"/>
      <c r="H586" s="23" t="n"/>
      <c r="I586" s="23" t="n"/>
      <c r="J586" s="23" t="n"/>
      <c r="K586" s="23" t="n"/>
      <c r="L586" s="23" t="n"/>
      <c r="M586" s="23" t="n"/>
      <c r="N586" s="23" t="n"/>
      <c r="O586" s="23" t="n"/>
      <c r="P586" s="23" t="n"/>
      <c r="Q586" s="23" t="n"/>
      <c r="R586" s="23" t="n"/>
      <c r="S586" s="23" t="n"/>
      <c r="T586" s="23" t="n"/>
      <c r="U586" s="23" t="n"/>
      <c r="V586" s="23" t="n"/>
      <c r="W586" s="23" t="n"/>
      <c r="X586" s="23" t="n"/>
      <c r="Y586" s="23" t="n"/>
      <c r="Z586" s="23" t="n"/>
      <c r="AA586" s="23" t="n"/>
      <c r="AB586" s="23" t="n"/>
      <c r="AC586" s="23" t="n"/>
      <c r="AD586" s="23" t="n"/>
      <c r="AE586" s="23" t="n"/>
      <c r="AF586" s="23" t="n"/>
      <c r="AG586" s="23" t="n"/>
      <c r="AH586" s="23" t="n"/>
      <c r="AI586" s="23" t="n"/>
      <c r="AJ586" s="23" t="n"/>
      <c r="AK586" s="23" t="n"/>
      <c r="AL586" s="23" t="n"/>
      <c r="AM586" s="26">
        <f>IF(G586="","",G586&amp;"|"&amp;P586)</f>
        <v/>
      </c>
      <c r="AN586" s="27">
        <f>IF(I586="","",IFERROR(DATE(VALUE(RIGHT(I586,4)),VALUE(MID(I586,4,2)),VALUE(LEFT(I586,2))),""))</f>
        <v/>
      </c>
      <c r="AO586" s="27">
        <f>IF(Y586="","",IFERROR(DATE(VALUE(RIGHT(Y586,4)),VALUE(MID(Y586,4,2)),VALUE(LEFT(Y586,2))),""))</f>
        <v/>
      </c>
      <c r="AP586" s="27">
        <f>IF(AC586="","",IFERROR(DATE(VALUE(RIGHT(AC586,4)),VALUE(MID(AC586,4,2)),VALUE(LEFT(AC586,2))),""))</f>
        <v/>
      </c>
      <c r="AQ586" s="26">
        <f>IF(AI586="","",TRIM(LEFT(AI586,FIND(" ",AI586&amp;" ")-1)))</f>
        <v/>
      </c>
      <c r="AR586" s="27">
        <f>IF(AQ586="","",IFERROR(DATE(VALUE(MID(AQ586,FIND("/",AQ586,FIND("/",AQ586)+1)+1,4)),VALUE(LEFT(AQ586,FIND("/",AQ586)-1)),VALUE(MID(AQ586,FIND("/",AQ586)+1,FIND("/",AQ586,FIND("/",AQ586)+1)-FIND("/",AQ586)-1))),""))</f>
        <v/>
      </c>
      <c r="AS586" s="26">
        <f>IF(G586="","",IF(AND(AG586&lt;&gt;"",AG586&lt;&gt;"Bayi Aracı"),"Evet","Hayır"))</f>
        <v/>
      </c>
      <c r="AT586" s="26">
        <f>IF(G586="","",IF(AND(AS586="Evet",T586="Siparişiniz Teslim Edildi"),"Evet","Hayır"))</f>
        <v/>
      </c>
      <c r="AU586" s="26">
        <f>IF(G586="","",IF(AB586="Siparişinizin Montajı Yapıldı","Evet","Hayır"))</f>
        <v/>
      </c>
      <c r="AV586" s="27">
        <f>IF(G586="","",IF(AT586="Evet",AR586,IF(AU586="Evet",AP586,"")))</f>
        <v/>
      </c>
    </row>
    <row r="587">
      <c r="A587" s="23" t="n"/>
      <c r="B587" s="23" t="n"/>
      <c r="C587" s="23" t="n"/>
      <c r="D587" s="23" t="n"/>
      <c r="E587" s="23" t="n"/>
      <c r="F587" s="23" t="n"/>
      <c r="G587" s="23" t="n"/>
      <c r="H587" s="23" t="n"/>
      <c r="I587" s="23" t="n"/>
      <c r="J587" s="23" t="n"/>
      <c r="K587" s="23" t="n"/>
      <c r="L587" s="23" t="n"/>
      <c r="M587" s="23" t="n"/>
      <c r="N587" s="23" t="n"/>
      <c r="O587" s="23" t="n"/>
      <c r="P587" s="23" t="n"/>
      <c r="Q587" s="23" t="n"/>
      <c r="R587" s="23" t="n"/>
      <c r="S587" s="23" t="n"/>
      <c r="T587" s="23" t="n"/>
      <c r="U587" s="23" t="n"/>
      <c r="V587" s="23" t="n"/>
      <c r="W587" s="23" t="n"/>
      <c r="X587" s="23" t="n"/>
      <c r="Y587" s="23" t="n"/>
      <c r="Z587" s="23" t="n"/>
      <c r="AA587" s="23" t="n"/>
      <c r="AB587" s="23" t="n"/>
      <c r="AC587" s="23" t="n"/>
      <c r="AD587" s="23" t="n"/>
      <c r="AE587" s="23" t="n"/>
      <c r="AF587" s="23" t="n"/>
      <c r="AG587" s="23" t="n"/>
      <c r="AH587" s="23" t="n"/>
      <c r="AI587" s="23" t="n"/>
      <c r="AJ587" s="23" t="n"/>
      <c r="AK587" s="23" t="n"/>
      <c r="AL587" s="23" t="n"/>
      <c r="AM587" s="26">
        <f>IF(G587="","",G587&amp;"|"&amp;P587)</f>
        <v/>
      </c>
      <c r="AN587" s="27">
        <f>IF(I587="","",IFERROR(DATE(VALUE(RIGHT(I587,4)),VALUE(MID(I587,4,2)),VALUE(LEFT(I587,2))),""))</f>
        <v/>
      </c>
      <c r="AO587" s="27">
        <f>IF(Y587="","",IFERROR(DATE(VALUE(RIGHT(Y587,4)),VALUE(MID(Y587,4,2)),VALUE(LEFT(Y587,2))),""))</f>
        <v/>
      </c>
      <c r="AP587" s="27">
        <f>IF(AC587="","",IFERROR(DATE(VALUE(RIGHT(AC587,4)),VALUE(MID(AC587,4,2)),VALUE(LEFT(AC587,2))),""))</f>
        <v/>
      </c>
      <c r="AQ587" s="26">
        <f>IF(AI587="","",TRIM(LEFT(AI587,FIND(" ",AI587&amp;" ")-1)))</f>
        <v/>
      </c>
      <c r="AR587" s="27">
        <f>IF(AQ587="","",IFERROR(DATE(VALUE(MID(AQ587,FIND("/",AQ587,FIND("/",AQ587)+1)+1,4)),VALUE(LEFT(AQ587,FIND("/",AQ587)-1)),VALUE(MID(AQ587,FIND("/",AQ587)+1,FIND("/",AQ587,FIND("/",AQ587)+1)-FIND("/",AQ587)-1))),""))</f>
        <v/>
      </c>
      <c r="AS587" s="26">
        <f>IF(G587="","",IF(AND(AG587&lt;&gt;"",AG587&lt;&gt;"Bayi Aracı"),"Evet","Hayır"))</f>
        <v/>
      </c>
      <c r="AT587" s="26">
        <f>IF(G587="","",IF(AND(AS587="Evet",T587="Siparişiniz Teslim Edildi"),"Evet","Hayır"))</f>
        <v/>
      </c>
      <c r="AU587" s="26">
        <f>IF(G587="","",IF(AB587="Siparişinizin Montajı Yapıldı","Evet","Hayır"))</f>
        <v/>
      </c>
      <c r="AV587" s="27">
        <f>IF(G587="","",IF(AT587="Evet",AR587,IF(AU587="Evet",AP587,"")))</f>
        <v/>
      </c>
    </row>
    <row r="588">
      <c r="A588" s="23" t="n"/>
      <c r="B588" s="23" t="n"/>
      <c r="C588" s="23" t="n"/>
      <c r="D588" s="23" t="n"/>
      <c r="E588" s="23" t="n"/>
      <c r="F588" s="23" t="n"/>
      <c r="G588" s="23" t="n"/>
      <c r="H588" s="23" t="n"/>
      <c r="I588" s="23" t="n"/>
      <c r="J588" s="23" t="n"/>
      <c r="K588" s="23" t="n"/>
      <c r="L588" s="23" t="n"/>
      <c r="M588" s="23" t="n"/>
      <c r="N588" s="23" t="n"/>
      <c r="O588" s="23" t="n"/>
      <c r="P588" s="23" t="n"/>
      <c r="Q588" s="23" t="n"/>
      <c r="R588" s="23" t="n"/>
      <c r="S588" s="23" t="n"/>
      <c r="T588" s="23" t="n"/>
      <c r="U588" s="23" t="n"/>
      <c r="V588" s="23" t="n"/>
      <c r="W588" s="23" t="n"/>
      <c r="X588" s="23" t="n"/>
      <c r="Y588" s="23" t="n"/>
      <c r="Z588" s="23" t="n"/>
      <c r="AA588" s="23" t="n"/>
      <c r="AB588" s="23" t="n"/>
      <c r="AC588" s="23" t="n"/>
      <c r="AD588" s="23" t="n"/>
      <c r="AE588" s="23" t="n"/>
      <c r="AF588" s="23" t="n"/>
      <c r="AG588" s="23" t="n"/>
      <c r="AH588" s="23" t="n"/>
      <c r="AI588" s="23" t="n"/>
      <c r="AJ588" s="23" t="n"/>
      <c r="AK588" s="23" t="n"/>
      <c r="AL588" s="23" t="n"/>
      <c r="AM588" s="26">
        <f>IF(G588="","",G588&amp;"|"&amp;P588)</f>
        <v/>
      </c>
      <c r="AN588" s="27">
        <f>IF(I588="","",IFERROR(DATE(VALUE(RIGHT(I588,4)),VALUE(MID(I588,4,2)),VALUE(LEFT(I588,2))),""))</f>
        <v/>
      </c>
      <c r="AO588" s="27">
        <f>IF(Y588="","",IFERROR(DATE(VALUE(RIGHT(Y588,4)),VALUE(MID(Y588,4,2)),VALUE(LEFT(Y588,2))),""))</f>
        <v/>
      </c>
      <c r="AP588" s="27">
        <f>IF(AC588="","",IFERROR(DATE(VALUE(RIGHT(AC588,4)),VALUE(MID(AC588,4,2)),VALUE(LEFT(AC588,2))),""))</f>
        <v/>
      </c>
      <c r="AQ588" s="26">
        <f>IF(AI588="","",TRIM(LEFT(AI588,FIND(" ",AI588&amp;" ")-1)))</f>
        <v/>
      </c>
      <c r="AR588" s="27">
        <f>IF(AQ588="","",IFERROR(DATE(VALUE(MID(AQ588,FIND("/",AQ588,FIND("/",AQ588)+1)+1,4)),VALUE(LEFT(AQ588,FIND("/",AQ588)-1)),VALUE(MID(AQ588,FIND("/",AQ588)+1,FIND("/",AQ588,FIND("/",AQ588)+1)-FIND("/",AQ588)-1))),""))</f>
        <v/>
      </c>
      <c r="AS588" s="26">
        <f>IF(G588="","",IF(AND(AG588&lt;&gt;"",AG588&lt;&gt;"Bayi Aracı"),"Evet","Hayır"))</f>
        <v/>
      </c>
      <c r="AT588" s="26">
        <f>IF(G588="","",IF(AND(AS588="Evet",T588="Siparişiniz Teslim Edildi"),"Evet","Hayır"))</f>
        <v/>
      </c>
      <c r="AU588" s="26">
        <f>IF(G588="","",IF(AB588="Siparişinizin Montajı Yapıldı","Evet","Hayır"))</f>
        <v/>
      </c>
      <c r="AV588" s="27">
        <f>IF(G588="","",IF(AT588="Evet",AR588,IF(AU588="Evet",AP588,"")))</f>
        <v/>
      </c>
    </row>
    <row r="589">
      <c r="A589" s="23" t="n"/>
      <c r="B589" s="23" t="n"/>
      <c r="C589" s="23" t="n"/>
      <c r="D589" s="23" t="n"/>
      <c r="E589" s="23" t="n"/>
      <c r="F589" s="23" t="n"/>
      <c r="G589" s="23" t="n"/>
      <c r="H589" s="23" t="n"/>
      <c r="I589" s="23" t="n"/>
      <c r="J589" s="23" t="n"/>
      <c r="K589" s="23" t="n"/>
      <c r="L589" s="23" t="n"/>
      <c r="M589" s="23" t="n"/>
      <c r="N589" s="23" t="n"/>
      <c r="O589" s="23" t="n"/>
      <c r="P589" s="23" t="n"/>
      <c r="Q589" s="23" t="n"/>
      <c r="R589" s="23" t="n"/>
      <c r="S589" s="23" t="n"/>
      <c r="T589" s="23" t="n"/>
      <c r="U589" s="23" t="n"/>
      <c r="V589" s="23" t="n"/>
      <c r="W589" s="23" t="n"/>
      <c r="X589" s="23" t="n"/>
      <c r="Y589" s="23" t="n"/>
      <c r="Z589" s="23" t="n"/>
      <c r="AA589" s="23" t="n"/>
      <c r="AB589" s="23" t="n"/>
      <c r="AC589" s="23" t="n"/>
      <c r="AD589" s="23" t="n"/>
      <c r="AE589" s="23" t="n"/>
      <c r="AF589" s="23" t="n"/>
      <c r="AG589" s="23" t="n"/>
      <c r="AH589" s="23" t="n"/>
      <c r="AI589" s="23" t="n"/>
      <c r="AJ589" s="23" t="n"/>
      <c r="AK589" s="23" t="n"/>
      <c r="AL589" s="23" t="n"/>
      <c r="AM589" s="26">
        <f>IF(G589="","",G589&amp;"|"&amp;P589)</f>
        <v/>
      </c>
      <c r="AN589" s="27">
        <f>IF(I589="","",IFERROR(DATE(VALUE(RIGHT(I589,4)),VALUE(MID(I589,4,2)),VALUE(LEFT(I589,2))),""))</f>
        <v/>
      </c>
      <c r="AO589" s="27">
        <f>IF(Y589="","",IFERROR(DATE(VALUE(RIGHT(Y589,4)),VALUE(MID(Y589,4,2)),VALUE(LEFT(Y589,2))),""))</f>
        <v/>
      </c>
      <c r="AP589" s="27">
        <f>IF(AC589="","",IFERROR(DATE(VALUE(RIGHT(AC589,4)),VALUE(MID(AC589,4,2)),VALUE(LEFT(AC589,2))),""))</f>
        <v/>
      </c>
      <c r="AQ589" s="26">
        <f>IF(AI589="","",TRIM(LEFT(AI589,FIND(" ",AI589&amp;" ")-1)))</f>
        <v/>
      </c>
      <c r="AR589" s="27">
        <f>IF(AQ589="","",IFERROR(DATE(VALUE(MID(AQ589,FIND("/",AQ589,FIND("/",AQ589)+1)+1,4)),VALUE(LEFT(AQ589,FIND("/",AQ589)-1)),VALUE(MID(AQ589,FIND("/",AQ589)+1,FIND("/",AQ589,FIND("/",AQ589)+1)-FIND("/",AQ589)-1))),""))</f>
        <v/>
      </c>
      <c r="AS589" s="26">
        <f>IF(G589="","",IF(AND(AG589&lt;&gt;"",AG589&lt;&gt;"Bayi Aracı"),"Evet","Hayır"))</f>
        <v/>
      </c>
      <c r="AT589" s="26">
        <f>IF(G589="","",IF(AND(AS589="Evet",T589="Siparişiniz Teslim Edildi"),"Evet","Hayır"))</f>
        <v/>
      </c>
      <c r="AU589" s="26">
        <f>IF(G589="","",IF(AB589="Siparişinizin Montajı Yapıldı","Evet","Hayır"))</f>
        <v/>
      </c>
      <c r="AV589" s="27">
        <f>IF(G589="","",IF(AT589="Evet",AR589,IF(AU589="Evet",AP589,"")))</f>
        <v/>
      </c>
    </row>
    <row r="590">
      <c r="A590" s="23" t="n"/>
      <c r="B590" s="23" t="n"/>
      <c r="C590" s="23" t="n"/>
      <c r="D590" s="23" t="n"/>
      <c r="E590" s="23" t="n"/>
      <c r="F590" s="23" t="n"/>
      <c r="G590" s="23" t="n"/>
      <c r="H590" s="23" t="n"/>
      <c r="I590" s="23" t="n"/>
      <c r="J590" s="23" t="n"/>
      <c r="K590" s="23" t="n"/>
      <c r="L590" s="23" t="n"/>
      <c r="M590" s="23" t="n"/>
      <c r="N590" s="23" t="n"/>
      <c r="O590" s="23" t="n"/>
      <c r="P590" s="23" t="n"/>
      <c r="Q590" s="23" t="n"/>
      <c r="R590" s="23" t="n"/>
      <c r="S590" s="23" t="n"/>
      <c r="T590" s="23" t="n"/>
      <c r="U590" s="23" t="n"/>
      <c r="V590" s="23" t="n"/>
      <c r="W590" s="23" t="n"/>
      <c r="X590" s="23" t="n"/>
      <c r="Y590" s="23" t="n"/>
      <c r="Z590" s="23" t="n"/>
      <c r="AA590" s="23" t="n"/>
      <c r="AB590" s="23" t="n"/>
      <c r="AC590" s="23" t="n"/>
      <c r="AD590" s="23" t="n"/>
      <c r="AE590" s="23" t="n"/>
      <c r="AF590" s="23" t="n"/>
      <c r="AG590" s="23" t="n"/>
      <c r="AH590" s="23" t="n"/>
      <c r="AI590" s="23" t="n"/>
      <c r="AJ590" s="23" t="n"/>
      <c r="AK590" s="23" t="n"/>
      <c r="AL590" s="23" t="n"/>
      <c r="AM590" s="26">
        <f>IF(G590="","",G590&amp;"|"&amp;P590)</f>
        <v/>
      </c>
      <c r="AN590" s="27">
        <f>IF(I590="","",IFERROR(DATE(VALUE(RIGHT(I590,4)),VALUE(MID(I590,4,2)),VALUE(LEFT(I590,2))),""))</f>
        <v/>
      </c>
      <c r="AO590" s="27">
        <f>IF(Y590="","",IFERROR(DATE(VALUE(RIGHT(Y590,4)),VALUE(MID(Y590,4,2)),VALUE(LEFT(Y590,2))),""))</f>
        <v/>
      </c>
      <c r="AP590" s="27">
        <f>IF(AC590="","",IFERROR(DATE(VALUE(RIGHT(AC590,4)),VALUE(MID(AC590,4,2)),VALUE(LEFT(AC590,2))),""))</f>
        <v/>
      </c>
      <c r="AQ590" s="26">
        <f>IF(AI590="","",TRIM(LEFT(AI590,FIND(" ",AI590&amp;" ")-1)))</f>
        <v/>
      </c>
      <c r="AR590" s="27">
        <f>IF(AQ590="","",IFERROR(DATE(VALUE(MID(AQ590,FIND("/",AQ590,FIND("/",AQ590)+1)+1,4)),VALUE(LEFT(AQ590,FIND("/",AQ590)-1)),VALUE(MID(AQ590,FIND("/",AQ590)+1,FIND("/",AQ590,FIND("/",AQ590)+1)-FIND("/",AQ590)-1))),""))</f>
        <v/>
      </c>
      <c r="AS590" s="26">
        <f>IF(G590="","",IF(AND(AG590&lt;&gt;"",AG590&lt;&gt;"Bayi Aracı"),"Evet","Hayır"))</f>
        <v/>
      </c>
      <c r="AT590" s="26">
        <f>IF(G590="","",IF(AND(AS590="Evet",T590="Siparişiniz Teslim Edildi"),"Evet","Hayır"))</f>
        <v/>
      </c>
      <c r="AU590" s="26">
        <f>IF(G590="","",IF(AB590="Siparişinizin Montajı Yapıldı","Evet","Hayır"))</f>
        <v/>
      </c>
      <c r="AV590" s="27">
        <f>IF(G590="","",IF(AT590="Evet",AR590,IF(AU590="Evet",AP590,"")))</f>
        <v/>
      </c>
    </row>
    <row r="591">
      <c r="A591" s="23" t="n"/>
      <c r="B591" s="23" t="n"/>
      <c r="C591" s="23" t="n"/>
      <c r="D591" s="23" t="n"/>
      <c r="E591" s="23" t="n"/>
      <c r="F591" s="23" t="n"/>
      <c r="G591" s="23" t="n"/>
      <c r="H591" s="23" t="n"/>
      <c r="I591" s="23" t="n"/>
      <c r="J591" s="23" t="n"/>
      <c r="K591" s="23" t="n"/>
      <c r="L591" s="23" t="n"/>
      <c r="M591" s="23" t="n"/>
      <c r="N591" s="23" t="n"/>
      <c r="O591" s="23" t="n"/>
      <c r="P591" s="23" t="n"/>
      <c r="Q591" s="23" t="n"/>
      <c r="R591" s="23" t="n"/>
      <c r="S591" s="23" t="n"/>
      <c r="T591" s="23" t="n"/>
      <c r="U591" s="23" t="n"/>
      <c r="V591" s="23" t="n"/>
      <c r="W591" s="23" t="n"/>
      <c r="X591" s="23" t="n"/>
      <c r="Y591" s="23" t="n"/>
      <c r="Z591" s="23" t="n"/>
      <c r="AA591" s="23" t="n"/>
      <c r="AB591" s="23" t="n"/>
      <c r="AC591" s="23" t="n"/>
      <c r="AD591" s="23" t="n"/>
      <c r="AE591" s="23" t="n"/>
      <c r="AF591" s="23" t="n"/>
      <c r="AG591" s="23" t="n"/>
      <c r="AH591" s="23" t="n"/>
      <c r="AI591" s="23" t="n"/>
      <c r="AJ591" s="23" t="n"/>
      <c r="AK591" s="23" t="n"/>
      <c r="AL591" s="23" t="n"/>
      <c r="AM591" s="26">
        <f>IF(G591="","",G591&amp;"|"&amp;P591)</f>
        <v/>
      </c>
      <c r="AN591" s="27">
        <f>IF(I591="","",IFERROR(DATE(VALUE(RIGHT(I591,4)),VALUE(MID(I591,4,2)),VALUE(LEFT(I591,2))),""))</f>
        <v/>
      </c>
      <c r="AO591" s="27">
        <f>IF(Y591="","",IFERROR(DATE(VALUE(RIGHT(Y591,4)),VALUE(MID(Y591,4,2)),VALUE(LEFT(Y591,2))),""))</f>
        <v/>
      </c>
      <c r="AP591" s="27">
        <f>IF(AC591="","",IFERROR(DATE(VALUE(RIGHT(AC591,4)),VALUE(MID(AC591,4,2)),VALUE(LEFT(AC591,2))),""))</f>
        <v/>
      </c>
      <c r="AQ591" s="26">
        <f>IF(AI591="","",TRIM(LEFT(AI591,FIND(" ",AI591&amp;" ")-1)))</f>
        <v/>
      </c>
      <c r="AR591" s="27">
        <f>IF(AQ591="","",IFERROR(DATE(VALUE(MID(AQ591,FIND("/",AQ591,FIND("/",AQ591)+1)+1,4)),VALUE(LEFT(AQ591,FIND("/",AQ591)-1)),VALUE(MID(AQ591,FIND("/",AQ591)+1,FIND("/",AQ591,FIND("/",AQ591)+1)-FIND("/",AQ591)-1))),""))</f>
        <v/>
      </c>
      <c r="AS591" s="26">
        <f>IF(G591="","",IF(AND(AG591&lt;&gt;"",AG591&lt;&gt;"Bayi Aracı"),"Evet","Hayır"))</f>
        <v/>
      </c>
      <c r="AT591" s="26">
        <f>IF(G591="","",IF(AND(AS591="Evet",T591="Siparişiniz Teslim Edildi"),"Evet","Hayır"))</f>
        <v/>
      </c>
      <c r="AU591" s="26">
        <f>IF(G591="","",IF(AB591="Siparişinizin Montajı Yapıldı","Evet","Hayır"))</f>
        <v/>
      </c>
      <c r="AV591" s="27">
        <f>IF(G591="","",IF(AT591="Evet",AR591,IF(AU591="Evet",AP591,"")))</f>
        <v/>
      </c>
    </row>
    <row r="592">
      <c r="A592" s="23" t="n"/>
      <c r="B592" s="23" t="n"/>
      <c r="C592" s="23" t="n"/>
      <c r="D592" s="23" t="n"/>
      <c r="E592" s="23" t="n"/>
      <c r="F592" s="23" t="n"/>
      <c r="G592" s="23" t="n"/>
      <c r="H592" s="23" t="n"/>
      <c r="I592" s="23" t="n"/>
      <c r="J592" s="23" t="n"/>
      <c r="K592" s="23" t="n"/>
      <c r="L592" s="23" t="n"/>
      <c r="M592" s="23" t="n"/>
      <c r="N592" s="23" t="n"/>
      <c r="O592" s="23" t="n"/>
      <c r="P592" s="23" t="n"/>
      <c r="Q592" s="23" t="n"/>
      <c r="R592" s="23" t="n"/>
      <c r="S592" s="23" t="n"/>
      <c r="T592" s="23" t="n"/>
      <c r="U592" s="23" t="n"/>
      <c r="V592" s="23" t="n"/>
      <c r="W592" s="23" t="n"/>
      <c r="X592" s="23" t="n"/>
      <c r="Y592" s="23" t="n"/>
      <c r="Z592" s="23" t="n"/>
      <c r="AA592" s="23" t="n"/>
      <c r="AB592" s="23" t="n"/>
      <c r="AC592" s="23" t="n"/>
      <c r="AD592" s="23" t="n"/>
      <c r="AE592" s="23" t="n"/>
      <c r="AF592" s="23" t="n"/>
      <c r="AG592" s="23" t="n"/>
      <c r="AH592" s="23" t="n"/>
      <c r="AI592" s="23" t="n"/>
      <c r="AJ592" s="23" t="n"/>
      <c r="AK592" s="23" t="n"/>
      <c r="AL592" s="23" t="n"/>
      <c r="AM592" s="26">
        <f>IF(G592="","",G592&amp;"|"&amp;P592)</f>
        <v/>
      </c>
      <c r="AN592" s="27">
        <f>IF(I592="","",IFERROR(DATE(VALUE(RIGHT(I592,4)),VALUE(MID(I592,4,2)),VALUE(LEFT(I592,2))),""))</f>
        <v/>
      </c>
      <c r="AO592" s="27">
        <f>IF(Y592="","",IFERROR(DATE(VALUE(RIGHT(Y592,4)),VALUE(MID(Y592,4,2)),VALUE(LEFT(Y592,2))),""))</f>
        <v/>
      </c>
      <c r="AP592" s="27">
        <f>IF(AC592="","",IFERROR(DATE(VALUE(RIGHT(AC592,4)),VALUE(MID(AC592,4,2)),VALUE(LEFT(AC592,2))),""))</f>
        <v/>
      </c>
      <c r="AQ592" s="26">
        <f>IF(AI592="","",TRIM(LEFT(AI592,FIND(" ",AI592&amp;" ")-1)))</f>
        <v/>
      </c>
      <c r="AR592" s="27">
        <f>IF(AQ592="","",IFERROR(DATE(VALUE(MID(AQ592,FIND("/",AQ592,FIND("/",AQ592)+1)+1,4)),VALUE(LEFT(AQ592,FIND("/",AQ592)-1)),VALUE(MID(AQ592,FIND("/",AQ592)+1,FIND("/",AQ592,FIND("/",AQ592)+1)-FIND("/",AQ592)-1))),""))</f>
        <v/>
      </c>
      <c r="AS592" s="26">
        <f>IF(G592="","",IF(AND(AG592&lt;&gt;"",AG592&lt;&gt;"Bayi Aracı"),"Evet","Hayır"))</f>
        <v/>
      </c>
      <c r="AT592" s="26">
        <f>IF(G592="","",IF(AND(AS592="Evet",T592="Siparişiniz Teslim Edildi"),"Evet","Hayır"))</f>
        <v/>
      </c>
      <c r="AU592" s="26">
        <f>IF(G592="","",IF(AB592="Siparişinizin Montajı Yapıldı","Evet","Hayır"))</f>
        <v/>
      </c>
      <c r="AV592" s="27">
        <f>IF(G592="","",IF(AT592="Evet",AR592,IF(AU592="Evet",AP592,"")))</f>
        <v/>
      </c>
    </row>
    <row r="593">
      <c r="A593" s="23" t="n"/>
      <c r="B593" s="23" t="n"/>
      <c r="C593" s="23" t="n"/>
      <c r="D593" s="23" t="n"/>
      <c r="E593" s="23" t="n"/>
      <c r="F593" s="23" t="n"/>
      <c r="G593" s="23" t="n"/>
      <c r="H593" s="23" t="n"/>
      <c r="I593" s="23" t="n"/>
      <c r="J593" s="23" t="n"/>
      <c r="K593" s="23" t="n"/>
      <c r="L593" s="23" t="n"/>
      <c r="M593" s="23" t="n"/>
      <c r="N593" s="23" t="n"/>
      <c r="O593" s="23" t="n"/>
      <c r="P593" s="23" t="n"/>
      <c r="Q593" s="23" t="n"/>
      <c r="R593" s="23" t="n"/>
      <c r="S593" s="23" t="n"/>
      <c r="T593" s="23" t="n"/>
      <c r="U593" s="23" t="n"/>
      <c r="V593" s="23" t="n"/>
      <c r="W593" s="23" t="n"/>
      <c r="X593" s="23" t="n"/>
      <c r="Y593" s="23" t="n"/>
      <c r="Z593" s="23" t="n"/>
      <c r="AA593" s="23" t="n"/>
      <c r="AB593" s="23" t="n"/>
      <c r="AC593" s="23" t="n"/>
      <c r="AD593" s="23" t="n"/>
      <c r="AE593" s="23" t="n"/>
      <c r="AF593" s="23" t="n"/>
      <c r="AG593" s="23" t="n"/>
      <c r="AH593" s="23" t="n"/>
      <c r="AI593" s="23" t="n"/>
      <c r="AJ593" s="23" t="n"/>
      <c r="AK593" s="23" t="n"/>
      <c r="AL593" s="23" t="n"/>
      <c r="AM593" s="26">
        <f>IF(G593="","",G593&amp;"|"&amp;P593)</f>
        <v/>
      </c>
      <c r="AN593" s="27">
        <f>IF(I593="","",IFERROR(DATE(VALUE(RIGHT(I593,4)),VALUE(MID(I593,4,2)),VALUE(LEFT(I593,2))),""))</f>
        <v/>
      </c>
      <c r="AO593" s="27">
        <f>IF(Y593="","",IFERROR(DATE(VALUE(RIGHT(Y593,4)),VALUE(MID(Y593,4,2)),VALUE(LEFT(Y593,2))),""))</f>
        <v/>
      </c>
      <c r="AP593" s="27">
        <f>IF(AC593="","",IFERROR(DATE(VALUE(RIGHT(AC593,4)),VALUE(MID(AC593,4,2)),VALUE(LEFT(AC593,2))),""))</f>
        <v/>
      </c>
      <c r="AQ593" s="26">
        <f>IF(AI593="","",TRIM(LEFT(AI593,FIND(" ",AI593&amp;" ")-1)))</f>
        <v/>
      </c>
      <c r="AR593" s="27">
        <f>IF(AQ593="","",IFERROR(DATE(VALUE(MID(AQ593,FIND("/",AQ593,FIND("/",AQ593)+1)+1,4)),VALUE(LEFT(AQ593,FIND("/",AQ593)-1)),VALUE(MID(AQ593,FIND("/",AQ593)+1,FIND("/",AQ593,FIND("/",AQ593)+1)-FIND("/",AQ593)-1))),""))</f>
        <v/>
      </c>
      <c r="AS593" s="26">
        <f>IF(G593="","",IF(AND(AG593&lt;&gt;"",AG593&lt;&gt;"Bayi Aracı"),"Evet","Hayır"))</f>
        <v/>
      </c>
      <c r="AT593" s="26">
        <f>IF(G593="","",IF(AND(AS593="Evet",T593="Siparişiniz Teslim Edildi"),"Evet","Hayır"))</f>
        <v/>
      </c>
      <c r="AU593" s="26">
        <f>IF(G593="","",IF(AB593="Siparişinizin Montajı Yapıldı","Evet","Hayır"))</f>
        <v/>
      </c>
      <c r="AV593" s="27">
        <f>IF(G593="","",IF(AT593="Evet",AR593,IF(AU593="Evet",AP593,"")))</f>
        <v/>
      </c>
    </row>
    <row r="594">
      <c r="A594" s="23" t="n"/>
      <c r="B594" s="23" t="n"/>
      <c r="C594" s="23" t="n"/>
      <c r="D594" s="23" t="n"/>
      <c r="E594" s="23" t="n"/>
      <c r="F594" s="23" t="n"/>
      <c r="G594" s="23" t="n"/>
      <c r="H594" s="23" t="n"/>
      <c r="I594" s="23" t="n"/>
      <c r="J594" s="23" t="n"/>
      <c r="K594" s="23" t="n"/>
      <c r="L594" s="23" t="n"/>
      <c r="M594" s="23" t="n"/>
      <c r="N594" s="23" t="n"/>
      <c r="O594" s="23" t="n"/>
      <c r="P594" s="23" t="n"/>
      <c r="Q594" s="23" t="n"/>
      <c r="R594" s="23" t="n"/>
      <c r="S594" s="23" t="n"/>
      <c r="T594" s="23" t="n"/>
      <c r="U594" s="23" t="n"/>
      <c r="V594" s="23" t="n"/>
      <c r="W594" s="23" t="n"/>
      <c r="X594" s="23" t="n"/>
      <c r="Y594" s="23" t="n"/>
      <c r="Z594" s="23" t="n"/>
      <c r="AA594" s="23" t="n"/>
      <c r="AB594" s="23" t="n"/>
      <c r="AC594" s="23" t="n"/>
      <c r="AD594" s="23" t="n"/>
      <c r="AE594" s="23" t="n"/>
      <c r="AF594" s="23" t="n"/>
      <c r="AG594" s="23" t="n"/>
      <c r="AH594" s="23" t="n"/>
      <c r="AI594" s="23" t="n"/>
      <c r="AJ594" s="23" t="n"/>
      <c r="AK594" s="23" t="n"/>
      <c r="AL594" s="23" t="n"/>
      <c r="AM594" s="26">
        <f>IF(G594="","",G594&amp;"|"&amp;P594)</f>
        <v/>
      </c>
      <c r="AN594" s="27">
        <f>IF(I594="","",IFERROR(DATE(VALUE(RIGHT(I594,4)),VALUE(MID(I594,4,2)),VALUE(LEFT(I594,2))),""))</f>
        <v/>
      </c>
      <c r="AO594" s="27">
        <f>IF(Y594="","",IFERROR(DATE(VALUE(RIGHT(Y594,4)),VALUE(MID(Y594,4,2)),VALUE(LEFT(Y594,2))),""))</f>
        <v/>
      </c>
      <c r="AP594" s="27">
        <f>IF(AC594="","",IFERROR(DATE(VALUE(RIGHT(AC594,4)),VALUE(MID(AC594,4,2)),VALUE(LEFT(AC594,2))),""))</f>
        <v/>
      </c>
      <c r="AQ594" s="26">
        <f>IF(AI594="","",TRIM(LEFT(AI594,FIND(" ",AI594&amp;" ")-1)))</f>
        <v/>
      </c>
      <c r="AR594" s="27">
        <f>IF(AQ594="","",IFERROR(DATE(VALUE(MID(AQ594,FIND("/",AQ594,FIND("/",AQ594)+1)+1,4)),VALUE(LEFT(AQ594,FIND("/",AQ594)-1)),VALUE(MID(AQ594,FIND("/",AQ594)+1,FIND("/",AQ594,FIND("/",AQ594)+1)-FIND("/",AQ594)-1))),""))</f>
        <v/>
      </c>
      <c r="AS594" s="26">
        <f>IF(G594="","",IF(AND(AG594&lt;&gt;"",AG594&lt;&gt;"Bayi Aracı"),"Evet","Hayır"))</f>
        <v/>
      </c>
      <c r="AT594" s="26">
        <f>IF(G594="","",IF(AND(AS594="Evet",T594="Siparişiniz Teslim Edildi"),"Evet","Hayır"))</f>
        <v/>
      </c>
      <c r="AU594" s="26">
        <f>IF(G594="","",IF(AB594="Siparişinizin Montajı Yapıldı","Evet","Hayır"))</f>
        <v/>
      </c>
      <c r="AV594" s="27">
        <f>IF(G594="","",IF(AT594="Evet",AR594,IF(AU594="Evet",AP594,"")))</f>
        <v/>
      </c>
    </row>
    <row r="595">
      <c r="A595" s="23" t="n"/>
      <c r="B595" s="23" t="n"/>
      <c r="C595" s="23" t="n"/>
      <c r="D595" s="23" t="n"/>
      <c r="E595" s="23" t="n"/>
      <c r="F595" s="23" t="n"/>
      <c r="G595" s="23" t="n"/>
      <c r="H595" s="23" t="n"/>
      <c r="I595" s="23" t="n"/>
      <c r="J595" s="23" t="n"/>
      <c r="K595" s="23" t="n"/>
      <c r="L595" s="23" t="n"/>
      <c r="M595" s="23" t="n"/>
      <c r="N595" s="23" t="n"/>
      <c r="O595" s="23" t="n"/>
      <c r="P595" s="23" t="n"/>
      <c r="Q595" s="23" t="n"/>
      <c r="R595" s="23" t="n"/>
      <c r="S595" s="23" t="n"/>
      <c r="T595" s="23" t="n"/>
      <c r="U595" s="23" t="n"/>
      <c r="V595" s="23" t="n"/>
      <c r="W595" s="23" t="n"/>
      <c r="X595" s="23" t="n"/>
      <c r="Y595" s="23" t="n"/>
      <c r="Z595" s="23" t="n"/>
      <c r="AA595" s="23" t="n"/>
      <c r="AB595" s="23" t="n"/>
      <c r="AC595" s="23" t="n"/>
      <c r="AD595" s="23" t="n"/>
      <c r="AE595" s="23" t="n"/>
      <c r="AF595" s="23" t="n"/>
      <c r="AG595" s="23" t="n"/>
      <c r="AH595" s="23" t="n"/>
      <c r="AI595" s="23" t="n"/>
      <c r="AJ595" s="23" t="n"/>
      <c r="AK595" s="23" t="n"/>
      <c r="AL595" s="23" t="n"/>
      <c r="AM595" s="26">
        <f>IF(G595="","",G595&amp;"|"&amp;P595)</f>
        <v/>
      </c>
      <c r="AN595" s="27">
        <f>IF(I595="","",IFERROR(DATE(VALUE(RIGHT(I595,4)),VALUE(MID(I595,4,2)),VALUE(LEFT(I595,2))),""))</f>
        <v/>
      </c>
      <c r="AO595" s="27">
        <f>IF(Y595="","",IFERROR(DATE(VALUE(RIGHT(Y595,4)),VALUE(MID(Y595,4,2)),VALUE(LEFT(Y595,2))),""))</f>
        <v/>
      </c>
      <c r="AP595" s="27">
        <f>IF(AC595="","",IFERROR(DATE(VALUE(RIGHT(AC595,4)),VALUE(MID(AC595,4,2)),VALUE(LEFT(AC595,2))),""))</f>
        <v/>
      </c>
      <c r="AQ595" s="26">
        <f>IF(AI595="","",TRIM(LEFT(AI595,FIND(" ",AI595&amp;" ")-1)))</f>
        <v/>
      </c>
      <c r="AR595" s="27">
        <f>IF(AQ595="","",IFERROR(DATE(VALUE(MID(AQ595,FIND("/",AQ595,FIND("/",AQ595)+1)+1,4)),VALUE(LEFT(AQ595,FIND("/",AQ595)-1)),VALUE(MID(AQ595,FIND("/",AQ595)+1,FIND("/",AQ595,FIND("/",AQ595)+1)-FIND("/",AQ595)-1))),""))</f>
        <v/>
      </c>
      <c r="AS595" s="26">
        <f>IF(G595="","",IF(AND(AG595&lt;&gt;"",AG595&lt;&gt;"Bayi Aracı"),"Evet","Hayır"))</f>
        <v/>
      </c>
      <c r="AT595" s="26">
        <f>IF(G595="","",IF(AND(AS595="Evet",T595="Siparişiniz Teslim Edildi"),"Evet","Hayır"))</f>
        <v/>
      </c>
      <c r="AU595" s="26">
        <f>IF(G595="","",IF(AB595="Siparişinizin Montajı Yapıldı","Evet","Hayır"))</f>
        <v/>
      </c>
      <c r="AV595" s="27">
        <f>IF(G595="","",IF(AT595="Evet",AR595,IF(AU595="Evet",AP595,"")))</f>
        <v/>
      </c>
    </row>
    <row r="596">
      <c r="A596" s="23" t="n"/>
      <c r="B596" s="23" t="n"/>
      <c r="C596" s="23" t="n"/>
      <c r="D596" s="23" t="n"/>
      <c r="E596" s="23" t="n"/>
      <c r="F596" s="23" t="n"/>
      <c r="G596" s="23" t="n"/>
      <c r="H596" s="23" t="n"/>
      <c r="I596" s="23" t="n"/>
      <c r="J596" s="23" t="n"/>
      <c r="K596" s="23" t="n"/>
      <c r="L596" s="23" t="n"/>
      <c r="M596" s="23" t="n"/>
      <c r="N596" s="23" t="n"/>
      <c r="O596" s="23" t="n"/>
      <c r="P596" s="23" t="n"/>
      <c r="Q596" s="23" t="n"/>
      <c r="R596" s="23" t="n"/>
      <c r="S596" s="23" t="n"/>
      <c r="T596" s="23" t="n"/>
      <c r="U596" s="23" t="n"/>
      <c r="V596" s="23" t="n"/>
      <c r="W596" s="23" t="n"/>
      <c r="X596" s="23" t="n"/>
      <c r="Y596" s="23" t="n"/>
      <c r="Z596" s="23" t="n"/>
      <c r="AA596" s="23" t="n"/>
      <c r="AB596" s="23" t="n"/>
      <c r="AC596" s="23" t="n"/>
      <c r="AD596" s="23" t="n"/>
      <c r="AE596" s="23" t="n"/>
      <c r="AF596" s="23" t="n"/>
      <c r="AG596" s="23" t="n"/>
      <c r="AH596" s="23" t="n"/>
      <c r="AI596" s="23" t="n"/>
      <c r="AJ596" s="23" t="n"/>
      <c r="AK596" s="23" t="n"/>
      <c r="AL596" s="23" t="n"/>
      <c r="AM596" s="26">
        <f>IF(G596="","",G596&amp;"|"&amp;P596)</f>
        <v/>
      </c>
      <c r="AN596" s="27">
        <f>IF(I596="","",IFERROR(DATE(VALUE(RIGHT(I596,4)),VALUE(MID(I596,4,2)),VALUE(LEFT(I596,2))),""))</f>
        <v/>
      </c>
      <c r="AO596" s="27">
        <f>IF(Y596="","",IFERROR(DATE(VALUE(RIGHT(Y596,4)),VALUE(MID(Y596,4,2)),VALUE(LEFT(Y596,2))),""))</f>
        <v/>
      </c>
      <c r="AP596" s="27">
        <f>IF(AC596="","",IFERROR(DATE(VALUE(RIGHT(AC596,4)),VALUE(MID(AC596,4,2)),VALUE(LEFT(AC596,2))),""))</f>
        <v/>
      </c>
      <c r="AQ596" s="26">
        <f>IF(AI596="","",TRIM(LEFT(AI596,FIND(" ",AI596&amp;" ")-1)))</f>
        <v/>
      </c>
      <c r="AR596" s="27">
        <f>IF(AQ596="","",IFERROR(DATE(VALUE(MID(AQ596,FIND("/",AQ596,FIND("/",AQ596)+1)+1,4)),VALUE(LEFT(AQ596,FIND("/",AQ596)-1)),VALUE(MID(AQ596,FIND("/",AQ596)+1,FIND("/",AQ596,FIND("/",AQ596)+1)-FIND("/",AQ596)-1))),""))</f>
        <v/>
      </c>
      <c r="AS596" s="26">
        <f>IF(G596="","",IF(AND(AG596&lt;&gt;"",AG596&lt;&gt;"Bayi Aracı"),"Evet","Hayır"))</f>
        <v/>
      </c>
      <c r="AT596" s="26">
        <f>IF(G596="","",IF(AND(AS596="Evet",T596="Siparişiniz Teslim Edildi"),"Evet","Hayır"))</f>
        <v/>
      </c>
      <c r="AU596" s="26">
        <f>IF(G596="","",IF(AB596="Siparişinizin Montajı Yapıldı","Evet","Hayır"))</f>
        <v/>
      </c>
      <c r="AV596" s="27">
        <f>IF(G596="","",IF(AT596="Evet",AR596,IF(AU596="Evet",AP596,"")))</f>
        <v/>
      </c>
    </row>
    <row r="597">
      <c r="A597" s="23" t="n"/>
      <c r="B597" s="23" t="n"/>
      <c r="C597" s="23" t="n"/>
      <c r="D597" s="23" t="n"/>
      <c r="E597" s="23" t="n"/>
      <c r="F597" s="23" t="n"/>
      <c r="G597" s="23" t="n"/>
      <c r="H597" s="23" t="n"/>
      <c r="I597" s="23" t="n"/>
      <c r="J597" s="23" t="n"/>
      <c r="K597" s="23" t="n"/>
      <c r="L597" s="23" t="n"/>
      <c r="M597" s="23" t="n"/>
      <c r="N597" s="23" t="n"/>
      <c r="O597" s="23" t="n"/>
      <c r="P597" s="23" t="n"/>
      <c r="Q597" s="23" t="n"/>
      <c r="R597" s="23" t="n"/>
      <c r="S597" s="23" t="n"/>
      <c r="T597" s="23" t="n"/>
      <c r="U597" s="23" t="n"/>
      <c r="V597" s="23" t="n"/>
      <c r="W597" s="23" t="n"/>
      <c r="X597" s="23" t="n"/>
      <c r="Y597" s="23" t="n"/>
      <c r="Z597" s="23" t="n"/>
      <c r="AA597" s="23" t="n"/>
      <c r="AB597" s="23" t="n"/>
      <c r="AC597" s="23" t="n"/>
      <c r="AD597" s="23" t="n"/>
      <c r="AE597" s="23" t="n"/>
      <c r="AF597" s="23" t="n"/>
      <c r="AG597" s="23" t="n"/>
      <c r="AH597" s="23" t="n"/>
      <c r="AI597" s="23" t="n"/>
      <c r="AJ597" s="23" t="n"/>
      <c r="AK597" s="23" t="n"/>
      <c r="AL597" s="23" t="n"/>
      <c r="AM597" s="26">
        <f>IF(G597="","",G597&amp;"|"&amp;P597)</f>
        <v/>
      </c>
      <c r="AN597" s="27">
        <f>IF(I597="","",IFERROR(DATE(VALUE(RIGHT(I597,4)),VALUE(MID(I597,4,2)),VALUE(LEFT(I597,2))),""))</f>
        <v/>
      </c>
      <c r="AO597" s="27">
        <f>IF(Y597="","",IFERROR(DATE(VALUE(RIGHT(Y597,4)),VALUE(MID(Y597,4,2)),VALUE(LEFT(Y597,2))),""))</f>
        <v/>
      </c>
      <c r="AP597" s="27">
        <f>IF(AC597="","",IFERROR(DATE(VALUE(RIGHT(AC597,4)),VALUE(MID(AC597,4,2)),VALUE(LEFT(AC597,2))),""))</f>
        <v/>
      </c>
      <c r="AQ597" s="26">
        <f>IF(AI597="","",TRIM(LEFT(AI597,FIND(" ",AI597&amp;" ")-1)))</f>
        <v/>
      </c>
      <c r="AR597" s="27">
        <f>IF(AQ597="","",IFERROR(DATE(VALUE(MID(AQ597,FIND("/",AQ597,FIND("/",AQ597)+1)+1,4)),VALUE(LEFT(AQ597,FIND("/",AQ597)-1)),VALUE(MID(AQ597,FIND("/",AQ597)+1,FIND("/",AQ597,FIND("/",AQ597)+1)-FIND("/",AQ597)-1))),""))</f>
        <v/>
      </c>
      <c r="AS597" s="26">
        <f>IF(G597="","",IF(AND(AG597&lt;&gt;"",AG597&lt;&gt;"Bayi Aracı"),"Evet","Hayır"))</f>
        <v/>
      </c>
      <c r="AT597" s="26">
        <f>IF(G597="","",IF(AND(AS597="Evet",T597="Siparişiniz Teslim Edildi"),"Evet","Hayır"))</f>
        <v/>
      </c>
      <c r="AU597" s="26">
        <f>IF(G597="","",IF(AB597="Siparişinizin Montajı Yapıldı","Evet","Hayır"))</f>
        <v/>
      </c>
      <c r="AV597" s="27">
        <f>IF(G597="","",IF(AT597="Evet",AR597,IF(AU597="Evet",AP597,"")))</f>
        <v/>
      </c>
    </row>
    <row r="598">
      <c r="A598" s="23" t="n"/>
      <c r="B598" s="23" t="n"/>
      <c r="C598" s="23" t="n"/>
      <c r="D598" s="23" t="n"/>
      <c r="E598" s="23" t="n"/>
      <c r="F598" s="23" t="n"/>
      <c r="G598" s="23" t="n"/>
      <c r="H598" s="23" t="n"/>
      <c r="I598" s="23" t="n"/>
      <c r="J598" s="23" t="n"/>
      <c r="K598" s="23" t="n"/>
      <c r="L598" s="23" t="n"/>
      <c r="M598" s="23" t="n"/>
      <c r="N598" s="23" t="n"/>
      <c r="O598" s="23" t="n"/>
      <c r="P598" s="23" t="n"/>
      <c r="Q598" s="23" t="n"/>
      <c r="R598" s="23" t="n"/>
      <c r="S598" s="23" t="n"/>
      <c r="T598" s="23" t="n"/>
      <c r="U598" s="23" t="n"/>
      <c r="V598" s="23" t="n"/>
      <c r="W598" s="23" t="n"/>
      <c r="X598" s="23" t="n"/>
      <c r="Y598" s="23" t="n"/>
      <c r="Z598" s="23" t="n"/>
      <c r="AA598" s="23" t="n"/>
      <c r="AB598" s="23" t="n"/>
      <c r="AC598" s="23" t="n"/>
      <c r="AD598" s="23" t="n"/>
      <c r="AE598" s="23" t="n"/>
      <c r="AF598" s="23" t="n"/>
      <c r="AG598" s="23" t="n"/>
      <c r="AH598" s="23" t="n"/>
      <c r="AI598" s="23" t="n"/>
      <c r="AJ598" s="23" t="n"/>
      <c r="AK598" s="23" t="n"/>
      <c r="AL598" s="23" t="n"/>
      <c r="AM598" s="26">
        <f>IF(G598="","",G598&amp;"|"&amp;P598)</f>
        <v/>
      </c>
      <c r="AN598" s="27">
        <f>IF(I598="","",IFERROR(DATE(VALUE(RIGHT(I598,4)),VALUE(MID(I598,4,2)),VALUE(LEFT(I598,2))),""))</f>
        <v/>
      </c>
      <c r="AO598" s="27">
        <f>IF(Y598="","",IFERROR(DATE(VALUE(RIGHT(Y598,4)),VALUE(MID(Y598,4,2)),VALUE(LEFT(Y598,2))),""))</f>
        <v/>
      </c>
      <c r="AP598" s="27">
        <f>IF(AC598="","",IFERROR(DATE(VALUE(RIGHT(AC598,4)),VALUE(MID(AC598,4,2)),VALUE(LEFT(AC598,2))),""))</f>
        <v/>
      </c>
      <c r="AQ598" s="26">
        <f>IF(AI598="","",TRIM(LEFT(AI598,FIND(" ",AI598&amp;" ")-1)))</f>
        <v/>
      </c>
      <c r="AR598" s="27">
        <f>IF(AQ598="","",IFERROR(DATE(VALUE(MID(AQ598,FIND("/",AQ598,FIND("/",AQ598)+1)+1,4)),VALUE(LEFT(AQ598,FIND("/",AQ598)-1)),VALUE(MID(AQ598,FIND("/",AQ598)+1,FIND("/",AQ598,FIND("/",AQ598)+1)-FIND("/",AQ598)-1))),""))</f>
        <v/>
      </c>
      <c r="AS598" s="26">
        <f>IF(G598="","",IF(AND(AG598&lt;&gt;"",AG598&lt;&gt;"Bayi Aracı"),"Evet","Hayır"))</f>
        <v/>
      </c>
      <c r="AT598" s="26">
        <f>IF(G598="","",IF(AND(AS598="Evet",T598="Siparişiniz Teslim Edildi"),"Evet","Hayır"))</f>
        <v/>
      </c>
      <c r="AU598" s="26">
        <f>IF(G598="","",IF(AB598="Siparişinizin Montajı Yapıldı","Evet","Hayır"))</f>
        <v/>
      </c>
      <c r="AV598" s="27">
        <f>IF(G598="","",IF(AT598="Evet",AR598,IF(AU598="Evet",AP598,"")))</f>
        <v/>
      </c>
    </row>
    <row r="599">
      <c r="A599" s="23" t="n"/>
      <c r="B599" s="23" t="n"/>
      <c r="C599" s="23" t="n"/>
      <c r="D599" s="23" t="n"/>
      <c r="E599" s="23" t="n"/>
      <c r="F599" s="23" t="n"/>
      <c r="G599" s="23" t="n"/>
      <c r="H599" s="23" t="n"/>
      <c r="I599" s="23" t="n"/>
      <c r="J599" s="23" t="n"/>
      <c r="K599" s="23" t="n"/>
      <c r="L599" s="23" t="n"/>
      <c r="M599" s="23" t="n"/>
      <c r="N599" s="23" t="n"/>
      <c r="O599" s="23" t="n"/>
      <c r="P599" s="23" t="n"/>
      <c r="Q599" s="23" t="n"/>
      <c r="R599" s="23" t="n"/>
      <c r="S599" s="23" t="n"/>
      <c r="T599" s="23" t="n"/>
      <c r="U599" s="23" t="n"/>
      <c r="V599" s="23" t="n"/>
      <c r="W599" s="23" t="n"/>
      <c r="X599" s="23" t="n"/>
      <c r="Y599" s="23" t="n"/>
      <c r="Z599" s="23" t="n"/>
      <c r="AA599" s="23" t="n"/>
      <c r="AB599" s="23" t="n"/>
      <c r="AC599" s="23" t="n"/>
      <c r="AD599" s="23" t="n"/>
      <c r="AE599" s="23" t="n"/>
      <c r="AF599" s="23" t="n"/>
      <c r="AG599" s="23" t="n"/>
      <c r="AH599" s="23" t="n"/>
      <c r="AI599" s="23" t="n"/>
      <c r="AJ599" s="23" t="n"/>
      <c r="AK599" s="23" t="n"/>
      <c r="AL599" s="23" t="n"/>
      <c r="AM599" s="26">
        <f>IF(G599="","",G599&amp;"|"&amp;P599)</f>
        <v/>
      </c>
      <c r="AN599" s="27">
        <f>IF(I599="","",IFERROR(DATE(VALUE(RIGHT(I599,4)),VALUE(MID(I599,4,2)),VALUE(LEFT(I599,2))),""))</f>
        <v/>
      </c>
      <c r="AO599" s="27">
        <f>IF(Y599="","",IFERROR(DATE(VALUE(RIGHT(Y599,4)),VALUE(MID(Y599,4,2)),VALUE(LEFT(Y599,2))),""))</f>
        <v/>
      </c>
      <c r="AP599" s="27">
        <f>IF(AC599="","",IFERROR(DATE(VALUE(RIGHT(AC599,4)),VALUE(MID(AC599,4,2)),VALUE(LEFT(AC599,2))),""))</f>
        <v/>
      </c>
      <c r="AQ599" s="26">
        <f>IF(AI599="","",TRIM(LEFT(AI599,FIND(" ",AI599&amp;" ")-1)))</f>
        <v/>
      </c>
      <c r="AR599" s="27">
        <f>IF(AQ599="","",IFERROR(DATE(VALUE(MID(AQ599,FIND("/",AQ599,FIND("/",AQ599)+1)+1,4)),VALUE(LEFT(AQ599,FIND("/",AQ599)-1)),VALUE(MID(AQ599,FIND("/",AQ599)+1,FIND("/",AQ599,FIND("/",AQ599)+1)-FIND("/",AQ599)-1))),""))</f>
        <v/>
      </c>
      <c r="AS599" s="26">
        <f>IF(G599="","",IF(AND(AG599&lt;&gt;"",AG599&lt;&gt;"Bayi Aracı"),"Evet","Hayır"))</f>
        <v/>
      </c>
      <c r="AT599" s="26">
        <f>IF(G599="","",IF(AND(AS599="Evet",T599="Siparişiniz Teslim Edildi"),"Evet","Hayır"))</f>
        <v/>
      </c>
      <c r="AU599" s="26">
        <f>IF(G599="","",IF(AB599="Siparişinizin Montajı Yapıldı","Evet","Hayır"))</f>
        <v/>
      </c>
      <c r="AV599" s="27">
        <f>IF(G599="","",IF(AT599="Evet",AR599,IF(AU599="Evet",AP599,"")))</f>
        <v/>
      </c>
    </row>
    <row r="600">
      <c r="A600" s="23" t="n"/>
      <c r="B600" s="23" t="n"/>
      <c r="C600" s="23" t="n"/>
      <c r="D600" s="23" t="n"/>
      <c r="E600" s="23" t="n"/>
      <c r="F600" s="23" t="n"/>
      <c r="G600" s="23" t="n"/>
      <c r="H600" s="23" t="n"/>
      <c r="I600" s="23" t="n"/>
      <c r="J600" s="23" t="n"/>
      <c r="K600" s="23" t="n"/>
      <c r="L600" s="23" t="n"/>
      <c r="M600" s="23" t="n"/>
      <c r="N600" s="23" t="n"/>
      <c r="O600" s="23" t="n"/>
      <c r="P600" s="23" t="n"/>
      <c r="Q600" s="23" t="n"/>
      <c r="R600" s="23" t="n"/>
      <c r="S600" s="23" t="n"/>
      <c r="T600" s="23" t="n"/>
      <c r="U600" s="23" t="n"/>
      <c r="V600" s="23" t="n"/>
      <c r="W600" s="23" t="n"/>
      <c r="X600" s="23" t="n"/>
      <c r="Y600" s="23" t="n"/>
      <c r="Z600" s="23" t="n"/>
      <c r="AA600" s="23" t="n"/>
      <c r="AB600" s="23" t="n"/>
      <c r="AC600" s="23" t="n"/>
      <c r="AD600" s="23" t="n"/>
      <c r="AE600" s="23" t="n"/>
      <c r="AF600" s="23" t="n"/>
      <c r="AG600" s="23" t="n"/>
      <c r="AH600" s="23" t="n"/>
      <c r="AI600" s="23" t="n"/>
      <c r="AJ600" s="23" t="n"/>
      <c r="AK600" s="23" t="n"/>
      <c r="AL600" s="23" t="n"/>
      <c r="AM600" s="26">
        <f>IF(G600="","",G600&amp;"|"&amp;P600)</f>
        <v/>
      </c>
      <c r="AN600" s="27">
        <f>IF(I600="","",IFERROR(DATE(VALUE(RIGHT(I600,4)),VALUE(MID(I600,4,2)),VALUE(LEFT(I600,2))),""))</f>
        <v/>
      </c>
      <c r="AO600" s="27">
        <f>IF(Y600="","",IFERROR(DATE(VALUE(RIGHT(Y600,4)),VALUE(MID(Y600,4,2)),VALUE(LEFT(Y600,2))),""))</f>
        <v/>
      </c>
      <c r="AP600" s="27">
        <f>IF(AC600="","",IFERROR(DATE(VALUE(RIGHT(AC600,4)),VALUE(MID(AC600,4,2)),VALUE(LEFT(AC600,2))),""))</f>
        <v/>
      </c>
      <c r="AQ600" s="26">
        <f>IF(AI600="","",TRIM(LEFT(AI600,FIND(" ",AI600&amp;" ")-1)))</f>
        <v/>
      </c>
      <c r="AR600" s="27">
        <f>IF(AQ600="","",IFERROR(DATE(VALUE(MID(AQ600,FIND("/",AQ600,FIND("/",AQ600)+1)+1,4)),VALUE(LEFT(AQ600,FIND("/",AQ600)-1)),VALUE(MID(AQ600,FIND("/",AQ600)+1,FIND("/",AQ600,FIND("/",AQ600)+1)-FIND("/",AQ600)-1))),""))</f>
        <v/>
      </c>
      <c r="AS600" s="26">
        <f>IF(G600="","",IF(AND(AG600&lt;&gt;"",AG600&lt;&gt;"Bayi Aracı"),"Evet","Hayır"))</f>
        <v/>
      </c>
      <c r="AT600" s="26">
        <f>IF(G600="","",IF(AND(AS600="Evet",T600="Siparişiniz Teslim Edildi"),"Evet","Hayır"))</f>
        <v/>
      </c>
      <c r="AU600" s="26">
        <f>IF(G600="","",IF(AB600="Siparişinizin Montajı Yapıldı","Evet","Hayır"))</f>
        <v/>
      </c>
      <c r="AV600" s="27">
        <f>IF(G600="","",IF(AT600="Evet",AR600,IF(AU600="Evet",AP600,"")))</f>
        <v/>
      </c>
    </row>
    <row r="601">
      <c r="A601" s="23" t="n"/>
      <c r="B601" s="23" t="n"/>
      <c r="C601" s="23" t="n"/>
      <c r="D601" s="23" t="n"/>
      <c r="E601" s="23" t="n"/>
      <c r="F601" s="23" t="n"/>
      <c r="G601" s="23" t="n"/>
      <c r="H601" s="23" t="n"/>
      <c r="I601" s="23" t="n"/>
      <c r="J601" s="23" t="n"/>
      <c r="K601" s="23" t="n"/>
      <c r="L601" s="23" t="n"/>
      <c r="M601" s="23" t="n"/>
      <c r="N601" s="23" t="n"/>
      <c r="O601" s="23" t="n"/>
      <c r="P601" s="23" t="n"/>
      <c r="Q601" s="23" t="n"/>
      <c r="R601" s="23" t="n"/>
      <c r="S601" s="23" t="n"/>
      <c r="T601" s="23" t="n"/>
      <c r="U601" s="23" t="n"/>
      <c r="V601" s="23" t="n"/>
      <c r="W601" s="23" t="n"/>
      <c r="X601" s="23" t="n"/>
      <c r="Y601" s="23" t="n"/>
      <c r="Z601" s="23" t="n"/>
      <c r="AA601" s="23" t="n"/>
      <c r="AB601" s="23" t="n"/>
      <c r="AC601" s="23" t="n"/>
      <c r="AD601" s="23" t="n"/>
      <c r="AE601" s="23" t="n"/>
      <c r="AF601" s="23" t="n"/>
      <c r="AG601" s="23" t="n"/>
      <c r="AH601" s="23" t="n"/>
      <c r="AI601" s="23" t="n"/>
      <c r="AJ601" s="23" t="n"/>
      <c r="AK601" s="23" t="n"/>
      <c r="AL601" s="23" t="n"/>
      <c r="AM601" s="26">
        <f>IF(G601="","",G601&amp;"|"&amp;P601)</f>
        <v/>
      </c>
      <c r="AN601" s="27">
        <f>IF(I601="","",IFERROR(DATE(VALUE(RIGHT(I601,4)),VALUE(MID(I601,4,2)),VALUE(LEFT(I601,2))),""))</f>
        <v/>
      </c>
      <c r="AO601" s="27">
        <f>IF(Y601="","",IFERROR(DATE(VALUE(RIGHT(Y601,4)),VALUE(MID(Y601,4,2)),VALUE(LEFT(Y601,2))),""))</f>
        <v/>
      </c>
      <c r="AP601" s="27">
        <f>IF(AC601="","",IFERROR(DATE(VALUE(RIGHT(AC601,4)),VALUE(MID(AC601,4,2)),VALUE(LEFT(AC601,2))),""))</f>
        <v/>
      </c>
      <c r="AQ601" s="26">
        <f>IF(AI601="","",TRIM(LEFT(AI601,FIND(" ",AI601&amp;" ")-1)))</f>
        <v/>
      </c>
      <c r="AR601" s="27">
        <f>IF(AQ601="","",IFERROR(DATE(VALUE(MID(AQ601,FIND("/",AQ601,FIND("/",AQ601)+1)+1,4)),VALUE(LEFT(AQ601,FIND("/",AQ601)-1)),VALUE(MID(AQ601,FIND("/",AQ601)+1,FIND("/",AQ601,FIND("/",AQ601)+1)-FIND("/",AQ601)-1))),""))</f>
        <v/>
      </c>
      <c r="AS601" s="26">
        <f>IF(G601="","",IF(AND(AG601&lt;&gt;"",AG601&lt;&gt;"Bayi Aracı"),"Evet","Hayır"))</f>
        <v/>
      </c>
      <c r="AT601" s="26">
        <f>IF(G601="","",IF(AND(AS601="Evet",T601="Siparişiniz Teslim Edildi"),"Evet","Hayır"))</f>
        <v/>
      </c>
      <c r="AU601" s="26">
        <f>IF(G601="","",IF(AB601="Siparişinizin Montajı Yapıldı","Evet","Hayır"))</f>
        <v/>
      </c>
      <c r="AV601" s="27">
        <f>IF(G601="","",IF(AT601="Evet",AR601,IF(AU601="Evet",AP601,"")))</f>
        <v/>
      </c>
    </row>
    <row r="602">
      <c r="A602" s="23" t="n"/>
      <c r="B602" s="23" t="n"/>
      <c r="C602" s="23" t="n"/>
      <c r="D602" s="23" t="n"/>
      <c r="E602" s="23" t="n"/>
      <c r="F602" s="23" t="n"/>
      <c r="G602" s="23" t="n"/>
      <c r="H602" s="23" t="n"/>
      <c r="I602" s="23" t="n"/>
      <c r="J602" s="23" t="n"/>
      <c r="K602" s="23" t="n"/>
      <c r="L602" s="23" t="n"/>
      <c r="M602" s="23" t="n"/>
      <c r="N602" s="23" t="n"/>
      <c r="O602" s="23" t="n"/>
      <c r="P602" s="23" t="n"/>
      <c r="Q602" s="23" t="n"/>
      <c r="R602" s="23" t="n"/>
      <c r="S602" s="23" t="n"/>
      <c r="T602" s="23" t="n"/>
      <c r="U602" s="23" t="n"/>
      <c r="V602" s="23" t="n"/>
      <c r="W602" s="23" t="n"/>
      <c r="X602" s="23" t="n"/>
      <c r="Y602" s="23" t="n"/>
      <c r="Z602" s="23" t="n"/>
      <c r="AA602" s="23" t="n"/>
      <c r="AB602" s="23" t="n"/>
      <c r="AC602" s="23" t="n"/>
      <c r="AD602" s="23" t="n"/>
      <c r="AE602" s="23" t="n"/>
      <c r="AF602" s="23" t="n"/>
      <c r="AG602" s="23" t="n"/>
      <c r="AH602" s="23" t="n"/>
      <c r="AI602" s="23" t="n"/>
      <c r="AJ602" s="23" t="n"/>
      <c r="AK602" s="23" t="n"/>
      <c r="AL602" s="23" t="n"/>
      <c r="AM602" s="26">
        <f>IF(G602="","",G602&amp;"|"&amp;P602)</f>
        <v/>
      </c>
      <c r="AN602" s="27">
        <f>IF(I602="","",IFERROR(DATE(VALUE(RIGHT(I602,4)),VALUE(MID(I602,4,2)),VALUE(LEFT(I602,2))),""))</f>
        <v/>
      </c>
      <c r="AO602" s="27">
        <f>IF(Y602="","",IFERROR(DATE(VALUE(RIGHT(Y602,4)),VALUE(MID(Y602,4,2)),VALUE(LEFT(Y602,2))),""))</f>
        <v/>
      </c>
      <c r="AP602" s="27">
        <f>IF(AC602="","",IFERROR(DATE(VALUE(RIGHT(AC602,4)),VALUE(MID(AC602,4,2)),VALUE(LEFT(AC602,2))),""))</f>
        <v/>
      </c>
      <c r="AQ602" s="26">
        <f>IF(AI602="","",TRIM(LEFT(AI602,FIND(" ",AI602&amp;" ")-1)))</f>
        <v/>
      </c>
      <c r="AR602" s="27">
        <f>IF(AQ602="","",IFERROR(DATE(VALUE(MID(AQ602,FIND("/",AQ602,FIND("/",AQ602)+1)+1,4)),VALUE(LEFT(AQ602,FIND("/",AQ602)-1)),VALUE(MID(AQ602,FIND("/",AQ602)+1,FIND("/",AQ602,FIND("/",AQ602)+1)-FIND("/",AQ602)-1))),""))</f>
        <v/>
      </c>
      <c r="AS602" s="26">
        <f>IF(G602="","",IF(AND(AG602&lt;&gt;"",AG602&lt;&gt;"Bayi Aracı"),"Evet","Hayır"))</f>
        <v/>
      </c>
      <c r="AT602" s="26">
        <f>IF(G602="","",IF(AND(AS602="Evet",T602="Siparişiniz Teslim Edildi"),"Evet","Hayır"))</f>
        <v/>
      </c>
      <c r="AU602" s="26">
        <f>IF(G602="","",IF(AB602="Siparişinizin Montajı Yapıldı","Evet","Hayır"))</f>
        <v/>
      </c>
      <c r="AV602" s="27">
        <f>IF(G602="","",IF(AT602="Evet",AR602,IF(AU602="Evet",AP602,"")))</f>
        <v/>
      </c>
    </row>
    <row r="603">
      <c r="A603" s="23" t="n"/>
      <c r="B603" s="23" t="n"/>
      <c r="C603" s="23" t="n"/>
      <c r="D603" s="23" t="n"/>
      <c r="E603" s="23" t="n"/>
      <c r="F603" s="23" t="n"/>
      <c r="G603" s="23" t="n"/>
      <c r="H603" s="23" t="n"/>
      <c r="I603" s="23" t="n"/>
      <c r="J603" s="23" t="n"/>
      <c r="K603" s="23" t="n"/>
      <c r="L603" s="23" t="n"/>
      <c r="M603" s="23" t="n"/>
      <c r="N603" s="23" t="n"/>
      <c r="O603" s="23" t="n"/>
      <c r="P603" s="23" t="n"/>
      <c r="Q603" s="23" t="n"/>
      <c r="R603" s="23" t="n"/>
      <c r="S603" s="23" t="n"/>
      <c r="T603" s="23" t="n"/>
      <c r="U603" s="23" t="n"/>
      <c r="V603" s="23" t="n"/>
      <c r="W603" s="23" t="n"/>
      <c r="X603" s="23" t="n"/>
      <c r="Y603" s="23" t="n"/>
      <c r="Z603" s="23" t="n"/>
      <c r="AA603" s="23" t="n"/>
      <c r="AB603" s="23" t="n"/>
      <c r="AC603" s="23" t="n"/>
      <c r="AD603" s="23" t="n"/>
      <c r="AE603" s="23" t="n"/>
      <c r="AF603" s="23" t="n"/>
      <c r="AG603" s="23" t="n"/>
      <c r="AH603" s="23" t="n"/>
      <c r="AI603" s="23" t="n"/>
      <c r="AJ603" s="23" t="n"/>
      <c r="AK603" s="23" t="n"/>
      <c r="AL603" s="23" t="n"/>
      <c r="AM603" s="26">
        <f>IF(G603="","",G603&amp;"|"&amp;P603)</f>
        <v/>
      </c>
      <c r="AN603" s="27">
        <f>IF(I603="","",IFERROR(DATE(VALUE(RIGHT(I603,4)),VALUE(MID(I603,4,2)),VALUE(LEFT(I603,2))),""))</f>
        <v/>
      </c>
      <c r="AO603" s="27">
        <f>IF(Y603="","",IFERROR(DATE(VALUE(RIGHT(Y603,4)),VALUE(MID(Y603,4,2)),VALUE(LEFT(Y603,2))),""))</f>
        <v/>
      </c>
      <c r="AP603" s="27">
        <f>IF(AC603="","",IFERROR(DATE(VALUE(RIGHT(AC603,4)),VALUE(MID(AC603,4,2)),VALUE(LEFT(AC603,2))),""))</f>
        <v/>
      </c>
      <c r="AQ603" s="26">
        <f>IF(AI603="","",TRIM(LEFT(AI603,FIND(" ",AI603&amp;" ")-1)))</f>
        <v/>
      </c>
      <c r="AR603" s="27">
        <f>IF(AQ603="","",IFERROR(DATE(VALUE(MID(AQ603,FIND("/",AQ603,FIND("/",AQ603)+1)+1,4)),VALUE(LEFT(AQ603,FIND("/",AQ603)-1)),VALUE(MID(AQ603,FIND("/",AQ603)+1,FIND("/",AQ603,FIND("/",AQ603)+1)-FIND("/",AQ603)-1))),""))</f>
        <v/>
      </c>
      <c r="AS603" s="26">
        <f>IF(G603="","",IF(AND(AG603&lt;&gt;"",AG603&lt;&gt;"Bayi Aracı"),"Evet","Hayır"))</f>
        <v/>
      </c>
      <c r="AT603" s="26">
        <f>IF(G603="","",IF(AND(AS603="Evet",T603="Siparişiniz Teslim Edildi"),"Evet","Hayır"))</f>
        <v/>
      </c>
      <c r="AU603" s="26">
        <f>IF(G603="","",IF(AB603="Siparişinizin Montajı Yapıldı","Evet","Hayır"))</f>
        <v/>
      </c>
      <c r="AV603" s="27">
        <f>IF(G603="","",IF(AT603="Evet",AR603,IF(AU603="Evet",AP603,"")))</f>
        <v/>
      </c>
    </row>
    <row r="604">
      <c r="A604" s="23" t="n"/>
      <c r="B604" s="23" t="n"/>
      <c r="C604" s="23" t="n"/>
      <c r="D604" s="23" t="n"/>
      <c r="E604" s="23" t="n"/>
      <c r="F604" s="23" t="n"/>
      <c r="G604" s="23" t="n"/>
      <c r="H604" s="23" t="n"/>
      <c r="I604" s="23" t="n"/>
      <c r="J604" s="23" t="n"/>
      <c r="K604" s="23" t="n"/>
      <c r="L604" s="23" t="n"/>
      <c r="M604" s="23" t="n"/>
      <c r="N604" s="23" t="n"/>
      <c r="O604" s="23" t="n"/>
      <c r="P604" s="23" t="n"/>
      <c r="Q604" s="23" t="n"/>
      <c r="R604" s="23" t="n"/>
      <c r="S604" s="23" t="n"/>
      <c r="T604" s="23" t="n"/>
      <c r="U604" s="23" t="n"/>
      <c r="V604" s="23" t="n"/>
      <c r="W604" s="23" t="n"/>
      <c r="X604" s="23" t="n"/>
      <c r="Y604" s="23" t="n"/>
      <c r="Z604" s="23" t="n"/>
      <c r="AA604" s="23" t="n"/>
      <c r="AB604" s="23" t="n"/>
      <c r="AC604" s="23" t="n"/>
      <c r="AD604" s="23" t="n"/>
      <c r="AE604" s="23" t="n"/>
      <c r="AF604" s="23" t="n"/>
      <c r="AG604" s="23" t="n"/>
      <c r="AH604" s="23" t="n"/>
      <c r="AI604" s="23" t="n"/>
      <c r="AJ604" s="23" t="n"/>
      <c r="AK604" s="23" t="n"/>
      <c r="AL604" s="23" t="n"/>
      <c r="AM604" s="26">
        <f>IF(G604="","",G604&amp;"|"&amp;P604)</f>
        <v/>
      </c>
      <c r="AN604" s="27">
        <f>IF(I604="","",IFERROR(DATE(VALUE(RIGHT(I604,4)),VALUE(MID(I604,4,2)),VALUE(LEFT(I604,2))),""))</f>
        <v/>
      </c>
      <c r="AO604" s="27">
        <f>IF(Y604="","",IFERROR(DATE(VALUE(RIGHT(Y604,4)),VALUE(MID(Y604,4,2)),VALUE(LEFT(Y604,2))),""))</f>
        <v/>
      </c>
      <c r="AP604" s="27">
        <f>IF(AC604="","",IFERROR(DATE(VALUE(RIGHT(AC604,4)),VALUE(MID(AC604,4,2)),VALUE(LEFT(AC604,2))),""))</f>
        <v/>
      </c>
      <c r="AQ604" s="26">
        <f>IF(AI604="","",TRIM(LEFT(AI604,FIND(" ",AI604&amp;" ")-1)))</f>
        <v/>
      </c>
      <c r="AR604" s="27">
        <f>IF(AQ604="","",IFERROR(DATE(VALUE(MID(AQ604,FIND("/",AQ604,FIND("/",AQ604)+1)+1,4)),VALUE(LEFT(AQ604,FIND("/",AQ604)-1)),VALUE(MID(AQ604,FIND("/",AQ604)+1,FIND("/",AQ604,FIND("/",AQ604)+1)-FIND("/",AQ604)-1))),""))</f>
        <v/>
      </c>
      <c r="AS604" s="26">
        <f>IF(G604="","",IF(AND(AG604&lt;&gt;"",AG604&lt;&gt;"Bayi Aracı"),"Evet","Hayır"))</f>
        <v/>
      </c>
      <c r="AT604" s="26">
        <f>IF(G604="","",IF(AND(AS604="Evet",T604="Siparişiniz Teslim Edildi"),"Evet","Hayır"))</f>
        <v/>
      </c>
      <c r="AU604" s="26">
        <f>IF(G604="","",IF(AB604="Siparişinizin Montajı Yapıldı","Evet","Hayır"))</f>
        <v/>
      </c>
      <c r="AV604" s="27">
        <f>IF(G604="","",IF(AT604="Evet",AR604,IF(AU604="Evet",AP604,"")))</f>
        <v/>
      </c>
    </row>
    <row r="605">
      <c r="A605" s="23" t="n"/>
      <c r="B605" s="23" t="n"/>
      <c r="C605" s="23" t="n"/>
      <c r="D605" s="23" t="n"/>
      <c r="E605" s="23" t="n"/>
      <c r="F605" s="23" t="n"/>
      <c r="G605" s="23" t="n"/>
      <c r="H605" s="23" t="n"/>
      <c r="I605" s="23" t="n"/>
      <c r="J605" s="23" t="n"/>
      <c r="K605" s="23" t="n"/>
      <c r="L605" s="23" t="n"/>
      <c r="M605" s="23" t="n"/>
      <c r="N605" s="23" t="n"/>
      <c r="O605" s="23" t="n"/>
      <c r="P605" s="23" t="n"/>
      <c r="Q605" s="23" t="n"/>
      <c r="R605" s="23" t="n"/>
      <c r="S605" s="23" t="n"/>
      <c r="T605" s="23" t="n"/>
      <c r="U605" s="23" t="n"/>
      <c r="V605" s="23" t="n"/>
      <c r="W605" s="23" t="n"/>
      <c r="X605" s="23" t="n"/>
      <c r="Y605" s="23" t="n"/>
      <c r="Z605" s="23" t="n"/>
      <c r="AA605" s="23" t="n"/>
      <c r="AB605" s="23" t="n"/>
      <c r="AC605" s="23" t="n"/>
      <c r="AD605" s="23" t="n"/>
      <c r="AE605" s="23" t="n"/>
      <c r="AF605" s="23" t="n"/>
      <c r="AG605" s="23" t="n"/>
      <c r="AH605" s="23" t="n"/>
      <c r="AI605" s="23" t="n"/>
      <c r="AJ605" s="23" t="n"/>
      <c r="AK605" s="23" t="n"/>
      <c r="AL605" s="23" t="n"/>
      <c r="AM605" s="26">
        <f>IF(G605="","",G605&amp;"|"&amp;P605)</f>
        <v/>
      </c>
      <c r="AN605" s="27">
        <f>IF(I605="","",IFERROR(DATE(VALUE(RIGHT(I605,4)),VALUE(MID(I605,4,2)),VALUE(LEFT(I605,2))),""))</f>
        <v/>
      </c>
      <c r="AO605" s="27">
        <f>IF(Y605="","",IFERROR(DATE(VALUE(RIGHT(Y605,4)),VALUE(MID(Y605,4,2)),VALUE(LEFT(Y605,2))),""))</f>
        <v/>
      </c>
      <c r="AP605" s="27">
        <f>IF(AC605="","",IFERROR(DATE(VALUE(RIGHT(AC605,4)),VALUE(MID(AC605,4,2)),VALUE(LEFT(AC605,2))),""))</f>
        <v/>
      </c>
      <c r="AQ605" s="26">
        <f>IF(AI605="","",TRIM(LEFT(AI605,FIND(" ",AI605&amp;" ")-1)))</f>
        <v/>
      </c>
      <c r="AR605" s="27">
        <f>IF(AQ605="","",IFERROR(DATE(VALUE(MID(AQ605,FIND("/",AQ605,FIND("/",AQ605)+1)+1,4)),VALUE(LEFT(AQ605,FIND("/",AQ605)-1)),VALUE(MID(AQ605,FIND("/",AQ605)+1,FIND("/",AQ605,FIND("/",AQ605)+1)-FIND("/",AQ605)-1))),""))</f>
        <v/>
      </c>
      <c r="AS605" s="26">
        <f>IF(G605="","",IF(AND(AG605&lt;&gt;"",AG605&lt;&gt;"Bayi Aracı"),"Evet","Hayır"))</f>
        <v/>
      </c>
      <c r="AT605" s="26">
        <f>IF(G605="","",IF(AND(AS605="Evet",T605="Siparişiniz Teslim Edildi"),"Evet","Hayır"))</f>
        <v/>
      </c>
      <c r="AU605" s="26">
        <f>IF(G605="","",IF(AB605="Siparişinizin Montajı Yapıldı","Evet","Hayır"))</f>
        <v/>
      </c>
      <c r="AV605" s="27">
        <f>IF(G605="","",IF(AT605="Evet",AR605,IF(AU605="Evet",AP605,"")))</f>
        <v/>
      </c>
    </row>
    <row r="606">
      <c r="A606" s="23" t="n"/>
      <c r="B606" s="23" t="n"/>
      <c r="C606" s="23" t="n"/>
      <c r="D606" s="23" t="n"/>
      <c r="E606" s="23" t="n"/>
      <c r="F606" s="23" t="n"/>
      <c r="G606" s="23" t="n"/>
      <c r="H606" s="23" t="n"/>
      <c r="I606" s="23" t="n"/>
      <c r="J606" s="23" t="n"/>
      <c r="K606" s="23" t="n"/>
      <c r="L606" s="23" t="n"/>
      <c r="M606" s="23" t="n"/>
      <c r="N606" s="23" t="n"/>
      <c r="O606" s="23" t="n"/>
      <c r="P606" s="23" t="n"/>
      <c r="Q606" s="23" t="n"/>
      <c r="R606" s="23" t="n"/>
      <c r="S606" s="23" t="n"/>
      <c r="T606" s="23" t="n"/>
      <c r="U606" s="23" t="n"/>
      <c r="V606" s="23" t="n"/>
      <c r="W606" s="23" t="n"/>
      <c r="X606" s="23" t="n"/>
      <c r="Y606" s="23" t="n"/>
      <c r="Z606" s="23" t="n"/>
      <c r="AA606" s="23" t="n"/>
      <c r="AB606" s="23" t="n"/>
      <c r="AC606" s="23" t="n"/>
      <c r="AD606" s="23" t="n"/>
      <c r="AE606" s="23" t="n"/>
      <c r="AF606" s="23" t="n"/>
      <c r="AG606" s="23" t="n"/>
      <c r="AH606" s="23" t="n"/>
      <c r="AI606" s="23" t="n"/>
      <c r="AJ606" s="23" t="n"/>
      <c r="AK606" s="23" t="n"/>
      <c r="AL606" s="23" t="n"/>
      <c r="AM606" s="26">
        <f>IF(G606="","",G606&amp;"|"&amp;P606)</f>
        <v/>
      </c>
      <c r="AN606" s="27">
        <f>IF(I606="","",IFERROR(DATE(VALUE(RIGHT(I606,4)),VALUE(MID(I606,4,2)),VALUE(LEFT(I606,2))),""))</f>
        <v/>
      </c>
      <c r="AO606" s="27">
        <f>IF(Y606="","",IFERROR(DATE(VALUE(RIGHT(Y606,4)),VALUE(MID(Y606,4,2)),VALUE(LEFT(Y606,2))),""))</f>
        <v/>
      </c>
      <c r="AP606" s="27">
        <f>IF(AC606="","",IFERROR(DATE(VALUE(RIGHT(AC606,4)),VALUE(MID(AC606,4,2)),VALUE(LEFT(AC606,2))),""))</f>
        <v/>
      </c>
      <c r="AQ606" s="26">
        <f>IF(AI606="","",TRIM(LEFT(AI606,FIND(" ",AI606&amp;" ")-1)))</f>
        <v/>
      </c>
      <c r="AR606" s="27">
        <f>IF(AQ606="","",IFERROR(DATE(VALUE(MID(AQ606,FIND("/",AQ606,FIND("/",AQ606)+1)+1,4)),VALUE(LEFT(AQ606,FIND("/",AQ606)-1)),VALUE(MID(AQ606,FIND("/",AQ606)+1,FIND("/",AQ606,FIND("/",AQ606)+1)-FIND("/",AQ606)-1))),""))</f>
        <v/>
      </c>
      <c r="AS606" s="26">
        <f>IF(G606="","",IF(AND(AG606&lt;&gt;"",AG606&lt;&gt;"Bayi Aracı"),"Evet","Hayır"))</f>
        <v/>
      </c>
      <c r="AT606" s="26">
        <f>IF(G606="","",IF(AND(AS606="Evet",T606="Siparişiniz Teslim Edildi"),"Evet","Hayır"))</f>
        <v/>
      </c>
      <c r="AU606" s="26">
        <f>IF(G606="","",IF(AB606="Siparişinizin Montajı Yapıldı","Evet","Hayır"))</f>
        <v/>
      </c>
      <c r="AV606" s="27">
        <f>IF(G606="","",IF(AT606="Evet",AR606,IF(AU606="Evet",AP606,"")))</f>
        <v/>
      </c>
    </row>
    <row r="607">
      <c r="A607" s="23" t="n"/>
      <c r="B607" s="23" t="n"/>
      <c r="C607" s="23" t="n"/>
      <c r="D607" s="23" t="n"/>
      <c r="E607" s="23" t="n"/>
      <c r="F607" s="23" t="n"/>
      <c r="G607" s="23" t="n"/>
      <c r="H607" s="23" t="n"/>
      <c r="I607" s="23" t="n"/>
      <c r="J607" s="23" t="n"/>
      <c r="K607" s="23" t="n"/>
      <c r="L607" s="23" t="n"/>
      <c r="M607" s="23" t="n"/>
      <c r="N607" s="23" t="n"/>
      <c r="O607" s="23" t="n"/>
      <c r="P607" s="23" t="n"/>
      <c r="Q607" s="23" t="n"/>
      <c r="R607" s="23" t="n"/>
      <c r="S607" s="23" t="n"/>
      <c r="T607" s="23" t="n"/>
      <c r="U607" s="23" t="n"/>
      <c r="V607" s="23" t="n"/>
      <c r="W607" s="23" t="n"/>
      <c r="X607" s="23" t="n"/>
      <c r="Y607" s="23" t="n"/>
      <c r="Z607" s="23" t="n"/>
      <c r="AA607" s="23" t="n"/>
      <c r="AB607" s="23" t="n"/>
      <c r="AC607" s="23" t="n"/>
      <c r="AD607" s="23" t="n"/>
      <c r="AE607" s="23" t="n"/>
      <c r="AF607" s="23" t="n"/>
      <c r="AG607" s="23" t="n"/>
      <c r="AH607" s="23" t="n"/>
      <c r="AI607" s="23" t="n"/>
      <c r="AJ607" s="23" t="n"/>
      <c r="AK607" s="23" t="n"/>
      <c r="AL607" s="23" t="n"/>
      <c r="AM607" s="26">
        <f>IF(G607="","",G607&amp;"|"&amp;P607)</f>
        <v/>
      </c>
      <c r="AN607" s="27">
        <f>IF(I607="","",IFERROR(DATE(VALUE(RIGHT(I607,4)),VALUE(MID(I607,4,2)),VALUE(LEFT(I607,2))),""))</f>
        <v/>
      </c>
      <c r="AO607" s="27">
        <f>IF(Y607="","",IFERROR(DATE(VALUE(RIGHT(Y607,4)),VALUE(MID(Y607,4,2)),VALUE(LEFT(Y607,2))),""))</f>
        <v/>
      </c>
      <c r="AP607" s="27">
        <f>IF(AC607="","",IFERROR(DATE(VALUE(RIGHT(AC607,4)),VALUE(MID(AC607,4,2)),VALUE(LEFT(AC607,2))),""))</f>
        <v/>
      </c>
      <c r="AQ607" s="26">
        <f>IF(AI607="","",TRIM(LEFT(AI607,FIND(" ",AI607&amp;" ")-1)))</f>
        <v/>
      </c>
      <c r="AR607" s="27">
        <f>IF(AQ607="","",IFERROR(DATE(VALUE(MID(AQ607,FIND("/",AQ607,FIND("/",AQ607)+1)+1,4)),VALUE(LEFT(AQ607,FIND("/",AQ607)-1)),VALUE(MID(AQ607,FIND("/",AQ607)+1,FIND("/",AQ607,FIND("/",AQ607)+1)-FIND("/",AQ607)-1))),""))</f>
        <v/>
      </c>
      <c r="AS607" s="26">
        <f>IF(G607="","",IF(AND(AG607&lt;&gt;"",AG607&lt;&gt;"Bayi Aracı"),"Evet","Hayır"))</f>
        <v/>
      </c>
      <c r="AT607" s="26">
        <f>IF(G607="","",IF(AND(AS607="Evet",T607="Siparişiniz Teslim Edildi"),"Evet","Hayır"))</f>
        <v/>
      </c>
      <c r="AU607" s="26">
        <f>IF(G607="","",IF(AB607="Siparişinizin Montajı Yapıldı","Evet","Hayır"))</f>
        <v/>
      </c>
      <c r="AV607" s="27">
        <f>IF(G607="","",IF(AT607="Evet",AR607,IF(AU607="Evet",AP607,"")))</f>
        <v/>
      </c>
    </row>
    <row r="608">
      <c r="A608" s="23" t="n"/>
      <c r="B608" s="23" t="n"/>
      <c r="C608" s="23" t="n"/>
      <c r="D608" s="23" t="n"/>
      <c r="E608" s="23" t="n"/>
      <c r="F608" s="23" t="n"/>
      <c r="G608" s="23" t="n"/>
      <c r="H608" s="23" t="n"/>
      <c r="I608" s="23" t="n"/>
      <c r="J608" s="23" t="n"/>
      <c r="K608" s="23" t="n"/>
      <c r="L608" s="23" t="n"/>
      <c r="M608" s="23" t="n"/>
      <c r="N608" s="23" t="n"/>
      <c r="O608" s="23" t="n"/>
      <c r="P608" s="23" t="n"/>
      <c r="Q608" s="23" t="n"/>
      <c r="R608" s="23" t="n"/>
      <c r="S608" s="23" t="n"/>
      <c r="T608" s="23" t="n"/>
      <c r="U608" s="23" t="n"/>
      <c r="V608" s="23" t="n"/>
      <c r="W608" s="23" t="n"/>
      <c r="X608" s="23" t="n"/>
      <c r="Y608" s="23" t="n"/>
      <c r="Z608" s="23" t="n"/>
      <c r="AA608" s="23" t="n"/>
      <c r="AB608" s="23" t="n"/>
      <c r="AC608" s="23" t="n"/>
      <c r="AD608" s="23" t="n"/>
      <c r="AE608" s="23" t="n"/>
      <c r="AF608" s="23" t="n"/>
      <c r="AG608" s="23" t="n"/>
      <c r="AH608" s="23" t="n"/>
      <c r="AI608" s="23" t="n"/>
      <c r="AJ608" s="23" t="n"/>
      <c r="AK608" s="23" t="n"/>
      <c r="AL608" s="23" t="n"/>
      <c r="AM608" s="26">
        <f>IF(G608="","",G608&amp;"|"&amp;P608)</f>
        <v/>
      </c>
      <c r="AN608" s="27">
        <f>IF(I608="","",IFERROR(DATE(VALUE(RIGHT(I608,4)),VALUE(MID(I608,4,2)),VALUE(LEFT(I608,2))),""))</f>
        <v/>
      </c>
      <c r="AO608" s="27">
        <f>IF(Y608="","",IFERROR(DATE(VALUE(RIGHT(Y608,4)),VALUE(MID(Y608,4,2)),VALUE(LEFT(Y608,2))),""))</f>
        <v/>
      </c>
      <c r="AP608" s="27">
        <f>IF(AC608="","",IFERROR(DATE(VALUE(RIGHT(AC608,4)),VALUE(MID(AC608,4,2)),VALUE(LEFT(AC608,2))),""))</f>
        <v/>
      </c>
      <c r="AQ608" s="26">
        <f>IF(AI608="","",TRIM(LEFT(AI608,FIND(" ",AI608&amp;" ")-1)))</f>
        <v/>
      </c>
      <c r="AR608" s="27">
        <f>IF(AQ608="","",IFERROR(DATE(VALUE(MID(AQ608,FIND("/",AQ608,FIND("/",AQ608)+1)+1,4)),VALUE(LEFT(AQ608,FIND("/",AQ608)-1)),VALUE(MID(AQ608,FIND("/",AQ608)+1,FIND("/",AQ608,FIND("/",AQ608)+1)-FIND("/",AQ608)-1))),""))</f>
        <v/>
      </c>
      <c r="AS608" s="26">
        <f>IF(G608="","",IF(AND(AG608&lt;&gt;"",AG608&lt;&gt;"Bayi Aracı"),"Evet","Hayır"))</f>
        <v/>
      </c>
      <c r="AT608" s="26">
        <f>IF(G608="","",IF(AND(AS608="Evet",T608="Siparişiniz Teslim Edildi"),"Evet","Hayır"))</f>
        <v/>
      </c>
      <c r="AU608" s="26">
        <f>IF(G608="","",IF(AB608="Siparişinizin Montajı Yapıldı","Evet","Hayır"))</f>
        <v/>
      </c>
      <c r="AV608" s="27">
        <f>IF(G608="","",IF(AT608="Evet",AR608,IF(AU608="Evet",AP608,"")))</f>
        <v/>
      </c>
    </row>
    <row r="609">
      <c r="A609" s="23" t="n"/>
      <c r="B609" s="23" t="n"/>
      <c r="C609" s="23" t="n"/>
      <c r="D609" s="23" t="n"/>
      <c r="E609" s="23" t="n"/>
      <c r="F609" s="23" t="n"/>
      <c r="G609" s="23" t="n"/>
      <c r="H609" s="23" t="n"/>
      <c r="I609" s="23" t="n"/>
      <c r="J609" s="23" t="n"/>
      <c r="K609" s="23" t="n"/>
      <c r="L609" s="23" t="n"/>
      <c r="M609" s="23" t="n"/>
      <c r="N609" s="23" t="n"/>
      <c r="O609" s="23" t="n"/>
      <c r="P609" s="23" t="n"/>
      <c r="Q609" s="23" t="n"/>
      <c r="R609" s="23" t="n"/>
      <c r="S609" s="23" t="n"/>
      <c r="T609" s="23" t="n"/>
      <c r="U609" s="23" t="n"/>
      <c r="V609" s="23" t="n"/>
      <c r="W609" s="23" t="n"/>
      <c r="X609" s="23" t="n"/>
      <c r="Y609" s="23" t="n"/>
      <c r="Z609" s="23" t="n"/>
      <c r="AA609" s="23" t="n"/>
      <c r="AB609" s="23" t="n"/>
      <c r="AC609" s="23" t="n"/>
      <c r="AD609" s="23" t="n"/>
      <c r="AE609" s="23" t="n"/>
      <c r="AF609" s="23" t="n"/>
      <c r="AG609" s="23" t="n"/>
      <c r="AH609" s="23" t="n"/>
      <c r="AI609" s="23" t="n"/>
      <c r="AJ609" s="23" t="n"/>
      <c r="AK609" s="23" t="n"/>
      <c r="AL609" s="23" t="n"/>
      <c r="AM609" s="26">
        <f>IF(G609="","",G609&amp;"|"&amp;P609)</f>
        <v/>
      </c>
      <c r="AN609" s="27">
        <f>IF(I609="","",IFERROR(DATE(VALUE(RIGHT(I609,4)),VALUE(MID(I609,4,2)),VALUE(LEFT(I609,2))),""))</f>
        <v/>
      </c>
      <c r="AO609" s="27">
        <f>IF(Y609="","",IFERROR(DATE(VALUE(RIGHT(Y609,4)),VALUE(MID(Y609,4,2)),VALUE(LEFT(Y609,2))),""))</f>
        <v/>
      </c>
      <c r="AP609" s="27">
        <f>IF(AC609="","",IFERROR(DATE(VALUE(RIGHT(AC609,4)),VALUE(MID(AC609,4,2)),VALUE(LEFT(AC609,2))),""))</f>
        <v/>
      </c>
      <c r="AQ609" s="26">
        <f>IF(AI609="","",TRIM(LEFT(AI609,FIND(" ",AI609&amp;" ")-1)))</f>
        <v/>
      </c>
      <c r="AR609" s="27">
        <f>IF(AQ609="","",IFERROR(DATE(VALUE(MID(AQ609,FIND("/",AQ609,FIND("/",AQ609)+1)+1,4)),VALUE(LEFT(AQ609,FIND("/",AQ609)-1)),VALUE(MID(AQ609,FIND("/",AQ609)+1,FIND("/",AQ609,FIND("/",AQ609)+1)-FIND("/",AQ609)-1))),""))</f>
        <v/>
      </c>
      <c r="AS609" s="26">
        <f>IF(G609="","",IF(AND(AG609&lt;&gt;"",AG609&lt;&gt;"Bayi Aracı"),"Evet","Hayır"))</f>
        <v/>
      </c>
      <c r="AT609" s="26">
        <f>IF(G609="","",IF(AND(AS609="Evet",T609="Siparişiniz Teslim Edildi"),"Evet","Hayır"))</f>
        <v/>
      </c>
      <c r="AU609" s="26">
        <f>IF(G609="","",IF(AB609="Siparişinizin Montajı Yapıldı","Evet","Hayır"))</f>
        <v/>
      </c>
      <c r="AV609" s="27">
        <f>IF(G609="","",IF(AT609="Evet",AR609,IF(AU609="Evet",AP609,"")))</f>
        <v/>
      </c>
    </row>
    <row r="610">
      <c r="A610" s="23" t="n"/>
      <c r="B610" s="23" t="n"/>
      <c r="C610" s="23" t="n"/>
      <c r="D610" s="23" t="n"/>
      <c r="E610" s="23" t="n"/>
      <c r="F610" s="23" t="n"/>
      <c r="G610" s="23" t="n"/>
      <c r="H610" s="23" t="n"/>
      <c r="I610" s="23" t="n"/>
      <c r="J610" s="23" t="n"/>
      <c r="K610" s="23" t="n"/>
      <c r="L610" s="23" t="n"/>
      <c r="M610" s="23" t="n"/>
      <c r="N610" s="23" t="n"/>
      <c r="O610" s="23" t="n"/>
      <c r="P610" s="23" t="n"/>
      <c r="Q610" s="23" t="n"/>
      <c r="R610" s="23" t="n"/>
      <c r="S610" s="23" t="n"/>
      <c r="T610" s="23" t="n"/>
      <c r="U610" s="23" t="n"/>
      <c r="V610" s="23" t="n"/>
      <c r="W610" s="23" t="n"/>
      <c r="X610" s="23" t="n"/>
      <c r="Y610" s="23" t="n"/>
      <c r="Z610" s="23" t="n"/>
      <c r="AA610" s="23" t="n"/>
      <c r="AB610" s="23" t="n"/>
      <c r="AC610" s="23" t="n"/>
      <c r="AD610" s="23" t="n"/>
      <c r="AE610" s="23" t="n"/>
      <c r="AF610" s="23" t="n"/>
      <c r="AG610" s="23" t="n"/>
      <c r="AH610" s="23" t="n"/>
      <c r="AI610" s="23" t="n"/>
      <c r="AJ610" s="23" t="n"/>
      <c r="AK610" s="23" t="n"/>
      <c r="AL610" s="23" t="n"/>
      <c r="AM610" s="26">
        <f>IF(G610="","",G610&amp;"|"&amp;P610)</f>
        <v/>
      </c>
      <c r="AN610" s="27">
        <f>IF(I610="","",IFERROR(DATE(VALUE(RIGHT(I610,4)),VALUE(MID(I610,4,2)),VALUE(LEFT(I610,2))),""))</f>
        <v/>
      </c>
      <c r="AO610" s="27">
        <f>IF(Y610="","",IFERROR(DATE(VALUE(RIGHT(Y610,4)),VALUE(MID(Y610,4,2)),VALUE(LEFT(Y610,2))),""))</f>
        <v/>
      </c>
      <c r="AP610" s="27">
        <f>IF(AC610="","",IFERROR(DATE(VALUE(RIGHT(AC610,4)),VALUE(MID(AC610,4,2)),VALUE(LEFT(AC610,2))),""))</f>
        <v/>
      </c>
      <c r="AQ610" s="26">
        <f>IF(AI610="","",TRIM(LEFT(AI610,FIND(" ",AI610&amp;" ")-1)))</f>
        <v/>
      </c>
      <c r="AR610" s="27">
        <f>IF(AQ610="","",IFERROR(DATE(VALUE(MID(AQ610,FIND("/",AQ610,FIND("/",AQ610)+1)+1,4)),VALUE(LEFT(AQ610,FIND("/",AQ610)-1)),VALUE(MID(AQ610,FIND("/",AQ610)+1,FIND("/",AQ610,FIND("/",AQ610)+1)-FIND("/",AQ610)-1))),""))</f>
        <v/>
      </c>
      <c r="AS610" s="26">
        <f>IF(G610="","",IF(AND(AG610&lt;&gt;"",AG610&lt;&gt;"Bayi Aracı"),"Evet","Hayır"))</f>
        <v/>
      </c>
      <c r="AT610" s="26">
        <f>IF(G610="","",IF(AND(AS610="Evet",T610="Siparişiniz Teslim Edildi"),"Evet","Hayır"))</f>
        <v/>
      </c>
      <c r="AU610" s="26">
        <f>IF(G610="","",IF(AB610="Siparişinizin Montajı Yapıldı","Evet","Hayır"))</f>
        <v/>
      </c>
      <c r="AV610" s="27">
        <f>IF(G610="","",IF(AT610="Evet",AR610,IF(AU610="Evet",AP610,"")))</f>
        <v/>
      </c>
    </row>
    <row r="611">
      <c r="A611" s="23" t="n"/>
      <c r="B611" s="23" t="n"/>
      <c r="C611" s="23" t="n"/>
      <c r="D611" s="23" t="n"/>
      <c r="E611" s="23" t="n"/>
      <c r="F611" s="23" t="n"/>
      <c r="G611" s="23" t="n"/>
      <c r="H611" s="23" t="n"/>
      <c r="I611" s="23" t="n"/>
      <c r="J611" s="23" t="n"/>
      <c r="K611" s="23" t="n"/>
      <c r="L611" s="23" t="n"/>
      <c r="M611" s="23" t="n"/>
      <c r="N611" s="23" t="n"/>
      <c r="O611" s="23" t="n"/>
      <c r="P611" s="23" t="n"/>
      <c r="Q611" s="23" t="n"/>
      <c r="R611" s="23" t="n"/>
      <c r="S611" s="23" t="n"/>
      <c r="T611" s="23" t="n"/>
      <c r="U611" s="23" t="n"/>
      <c r="V611" s="23" t="n"/>
      <c r="W611" s="23" t="n"/>
      <c r="X611" s="23" t="n"/>
      <c r="Y611" s="23" t="n"/>
      <c r="Z611" s="23" t="n"/>
      <c r="AA611" s="23" t="n"/>
      <c r="AB611" s="23" t="n"/>
      <c r="AC611" s="23" t="n"/>
      <c r="AD611" s="23" t="n"/>
      <c r="AE611" s="23" t="n"/>
      <c r="AF611" s="23" t="n"/>
      <c r="AG611" s="23" t="n"/>
      <c r="AH611" s="23" t="n"/>
      <c r="AI611" s="23" t="n"/>
      <c r="AJ611" s="23" t="n"/>
      <c r="AK611" s="23" t="n"/>
      <c r="AL611" s="23" t="n"/>
      <c r="AM611" s="26">
        <f>IF(G611="","",G611&amp;"|"&amp;P611)</f>
        <v/>
      </c>
      <c r="AN611" s="27">
        <f>IF(I611="","",IFERROR(DATE(VALUE(RIGHT(I611,4)),VALUE(MID(I611,4,2)),VALUE(LEFT(I611,2))),""))</f>
        <v/>
      </c>
      <c r="AO611" s="27">
        <f>IF(Y611="","",IFERROR(DATE(VALUE(RIGHT(Y611,4)),VALUE(MID(Y611,4,2)),VALUE(LEFT(Y611,2))),""))</f>
        <v/>
      </c>
      <c r="AP611" s="27">
        <f>IF(AC611="","",IFERROR(DATE(VALUE(RIGHT(AC611,4)),VALUE(MID(AC611,4,2)),VALUE(LEFT(AC611,2))),""))</f>
        <v/>
      </c>
      <c r="AQ611" s="26">
        <f>IF(AI611="","",TRIM(LEFT(AI611,FIND(" ",AI611&amp;" ")-1)))</f>
        <v/>
      </c>
      <c r="AR611" s="27">
        <f>IF(AQ611="","",IFERROR(DATE(VALUE(MID(AQ611,FIND("/",AQ611,FIND("/",AQ611)+1)+1,4)),VALUE(LEFT(AQ611,FIND("/",AQ611)-1)),VALUE(MID(AQ611,FIND("/",AQ611)+1,FIND("/",AQ611,FIND("/",AQ611)+1)-FIND("/",AQ611)-1))),""))</f>
        <v/>
      </c>
      <c r="AS611" s="26">
        <f>IF(G611="","",IF(AND(AG611&lt;&gt;"",AG611&lt;&gt;"Bayi Aracı"),"Evet","Hayır"))</f>
        <v/>
      </c>
      <c r="AT611" s="26">
        <f>IF(G611="","",IF(AND(AS611="Evet",T611="Siparişiniz Teslim Edildi"),"Evet","Hayır"))</f>
        <v/>
      </c>
      <c r="AU611" s="26">
        <f>IF(G611="","",IF(AB611="Siparişinizin Montajı Yapıldı","Evet","Hayır"))</f>
        <v/>
      </c>
      <c r="AV611" s="27">
        <f>IF(G611="","",IF(AT611="Evet",AR611,IF(AU611="Evet",AP611,"")))</f>
        <v/>
      </c>
    </row>
    <row r="612">
      <c r="A612" s="23" t="n"/>
      <c r="B612" s="23" t="n"/>
      <c r="C612" s="23" t="n"/>
      <c r="D612" s="23" t="n"/>
      <c r="E612" s="23" t="n"/>
      <c r="F612" s="23" t="n"/>
      <c r="G612" s="23" t="n"/>
      <c r="H612" s="23" t="n"/>
      <c r="I612" s="23" t="n"/>
      <c r="J612" s="23" t="n"/>
      <c r="K612" s="23" t="n"/>
      <c r="L612" s="23" t="n"/>
      <c r="M612" s="23" t="n"/>
      <c r="N612" s="23" t="n"/>
      <c r="O612" s="23" t="n"/>
      <c r="P612" s="23" t="n"/>
      <c r="Q612" s="23" t="n"/>
      <c r="R612" s="23" t="n"/>
      <c r="S612" s="23" t="n"/>
      <c r="T612" s="23" t="n"/>
      <c r="U612" s="23" t="n"/>
      <c r="V612" s="23" t="n"/>
      <c r="W612" s="23" t="n"/>
      <c r="X612" s="23" t="n"/>
      <c r="Y612" s="23" t="n"/>
      <c r="Z612" s="23" t="n"/>
      <c r="AA612" s="23" t="n"/>
      <c r="AB612" s="23" t="n"/>
      <c r="AC612" s="23" t="n"/>
      <c r="AD612" s="23" t="n"/>
      <c r="AE612" s="23" t="n"/>
      <c r="AF612" s="23" t="n"/>
      <c r="AG612" s="23" t="n"/>
      <c r="AH612" s="23" t="n"/>
      <c r="AI612" s="23" t="n"/>
      <c r="AJ612" s="23" t="n"/>
      <c r="AK612" s="23" t="n"/>
      <c r="AL612" s="23" t="n"/>
      <c r="AM612" s="26">
        <f>IF(G612="","",G612&amp;"|"&amp;P612)</f>
        <v/>
      </c>
      <c r="AN612" s="27">
        <f>IF(I612="","",IFERROR(DATE(VALUE(RIGHT(I612,4)),VALUE(MID(I612,4,2)),VALUE(LEFT(I612,2))),""))</f>
        <v/>
      </c>
      <c r="AO612" s="27">
        <f>IF(Y612="","",IFERROR(DATE(VALUE(RIGHT(Y612,4)),VALUE(MID(Y612,4,2)),VALUE(LEFT(Y612,2))),""))</f>
        <v/>
      </c>
      <c r="AP612" s="27">
        <f>IF(AC612="","",IFERROR(DATE(VALUE(RIGHT(AC612,4)),VALUE(MID(AC612,4,2)),VALUE(LEFT(AC612,2))),""))</f>
        <v/>
      </c>
      <c r="AQ612" s="26">
        <f>IF(AI612="","",TRIM(LEFT(AI612,FIND(" ",AI612&amp;" ")-1)))</f>
        <v/>
      </c>
      <c r="AR612" s="27">
        <f>IF(AQ612="","",IFERROR(DATE(VALUE(MID(AQ612,FIND("/",AQ612,FIND("/",AQ612)+1)+1,4)),VALUE(LEFT(AQ612,FIND("/",AQ612)-1)),VALUE(MID(AQ612,FIND("/",AQ612)+1,FIND("/",AQ612,FIND("/",AQ612)+1)-FIND("/",AQ612)-1))),""))</f>
        <v/>
      </c>
      <c r="AS612" s="26">
        <f>IF(G612="","",IF(AND(AG612&lt;&gt;"",AG612&lt;&gt;"Bayi Aracı"),"Evet","Hayır"))</f>
        <v/>
      </c>
      <c r="AT612" s="26">
        <f>IF(G612="","",IF(AND(AS612="Evet",T612="Siparişiniz Teslim Edildi"),"Evet","Hayır"))</f>
        <v/>
      </c>
      <c r="AU612" s="26">
        <f>IF(G612="","",IF(AB612="Siparişinizin Montajı Yapıldı","Evet","Hayır"))</f>
        <v/>
      </c>
      <c r="AV612" s="27">
        <f>IF(G612="","",IF(AT612="Evet",AR612,IF(AU612="Evet",AP612,"")))</f>
        <v/>
      </c>
    </row>
    <row r="613">
      <c r="A613" s="23" t="n"/>
      <c r="B613" s="23" t="n"/>
      <c r="C613" s="23" t="n"/>
      <c r="D613" s="23" t="n"/>
      <c r="E613" s="23" t="n"/>
      <c r="F613" s="23" t="n"/>
      <c r="G613" s="23" t="n"/>
      <c r="H613" s="23" t="n"/>
      <c r="I613" s="23" t="n"/>
      <c r="J613" s="23" t="n"/>
      <c r="K613" s="23" t="n"/>
      <c r="L613" s="23" t="n"/>
      <c r="M613" s="23" t="n"/>
      <c r="N613" s="23" t="n"/>
      <c r="O613" s="23" t="n"/>
      <c r="P613" s="23" t="n"/>
      <c r="Q613" s="23" t="n"/>
      <c r="R613" s="23" t="n"/>
      <c r="S613" s="23" t="n"/>
      <c r="T613" s="23" t="n"/>
      <c r="U613" s="23" t="n"/>
      <c r="V613" s="23" t="n"/>
      <c r="W613" s="23" t="n"/>
      <c r="X613" s="23" t="n"/>
      <c r="Y613" s="23" t="n"/>
      <c r="Z613" s="23" t="n"/>
      <c r="AA613" s="23" t="n"/>
      <c r="AB613" s="23" t="n"/>
      <c r="AC613" s="23" t="n"/>
      <c r="AD613" s="23" t="n"/>
      <c r="AE613" s="23" t="n"/>
      <c r="AF613" s="23" t="n"/>
      <c r="AG613" s="23" t="n"/>
      <c r="AH613" s="23" t="n"/>
      <c r="AI613" s="23" t="n"/>
      <c r="AJ613" s="23" t="n"/>
      <c r="AK613" s="23" t="n"/>
      <c r="AL613" s="23" t="n"/>
      <c r="AM613" s="26">
        <f>IF(G613="","",G613&amp;"|"&amp;P613)</f>
        <v/>
      </c>
      <c r="AN613" s="27">
        <f>IF(I613="","",IFERROR(DATE(VALUE(RIGHT(I613,4)),VALUE(MID(I613,4,2)),VALUE(LEFT(I613,2))),""))</f>
        <v/>
      </c>
      <c r="AO613" s="27">
        <f>IF(Y613="","",IFERROR(DATE(VALUE(RIGHT(Y613,4)),VALUE(MID(Y613,4,2)),VALUE(LEFT(Y613,2))),""))</f>
        <v/>
      </c>
      <c r="AP613" s="27">
        <f>IF(AC613="","",IFERROR(DATE(VALUE(RIGHT(AC613,4)),VALUE(MID(AC613,4,2)),VALUE(LEFT(AC613,2))),""))</f>
        <v/>
      </c>
      <c r="AQ613" s="26">
        <f>IF(AI613="","",TRIM(LEFT(AI613,FIND(" ",AI613&amp;" ")-1)))</f>
        <v/>
      </c>
      <c r="AR613" s="27">
        <f>IF(AQ613="","",IFERROR(DATE(VALUE(MID(AQ613,FIND("/",AQ613,FIND("/",AQ613)+1)+1,4)),VALUE(LEFT(AQ613,FIND("/",AQ613)-1)),VALUE(MID(AQ613,FIND("/",AQ613)+1,FIND("/",AQ613,FIND("/",AQ613)+1)-FIND("/",AQ613)-1))),""))</f>
        <v/>
      </c>
      <c r="AS613" s="26">
        <f>IF(G613="","",IF(AND(AG613&lt;&gt;"",AG613&lt;&gt;"Bayi Aracı"),"Evet","Hayır"))</f>
        <v/>
      </c>
      <c r="AT613" s="26">
        <f>IF(G613="","",IF(AND(AS613="Evet",T613="Siparişiniz Teslim Edildi"),"Evet","Hayır"))</f>
        <v/>
      </c>
      <c r="AU613" s="26">
        <f>IF(G613="","",IF(AB613="Siparişinizin Montajı Yapıldı","Evet","Hayır"))</f>
        <v/>
      </c>
      <c r="AV613" s="27">
        <f>IF(G613="","",IF(AT613="Evet",AR613,IF(AU613="Evet",AP613,"")))</f>
        <v/>
      </c>
    </row>
    <row r="614">
      <c r="A614" s="23" t="n"/>
      <c r="B614" s="23" t="n"/>
      <c r="C614" s="23" t="n"/>
      <c r="D614" s="23" t="n"/>
      <c r="E614" s="23" t="n"/>
      <c r="F614" s="23" t="n"/>
      <c r="G614" s="23" t="n"/>
      <c r="H614" s="23" t="n"/>
      <c r="I614" s="23" t="n"/>
      <c r="J614" s="23" t="n"/>
      <c r="K614" s="23" t="n"/>
      <c r="L614" s="23" t="n"/>
      <c r="M614" s="23" t="n"/>
      <c r="N614" s="23" t="n"/>
      <c r="O614" s="23" t="n"/>
      <c r="P614" s="23" t="n"/>
      <c r="Q614" s="23" t="n"/>
      <c r="R614" s="23" t="n"/>
      <c r="S614" s="23" t="n"/>
      <c r="T614" s="23" t="n"/>
      <c r="U614" s="23" t="n"/>
      <c r="V614" s="23" t="n"/>
      <c r="W614" s="23" t="n"/>
      <c r="X614" s="23" t="n"/>
      <c r="Y614" s="23" t="n"/>
      <c r="Z614" s="23" t="n"/>
      <c r="AA614" s="23" t="n"/>
      <c r="AB614" s="23" t="n"/>
      <c r="AC614" s="23" t="n"/>
      <c r="AD614" s="23" t="n"/>
      <c r="AE614" s="23" t="n"/>
      <c r="AF614" s="23" t="n"/>
      <c r="AG614" s="23" t="n"/>
      <c r="AH614" s="23" t="n"/>
      <c r="AI614" s="23" t="n"/>
      <c r="AJ614" s="23" t="n"/>
      <c r="AK614" s="23" t="n"/>
      <c r="AL614" s="23" t="n"/>
      <c r="AM614" s="26">
        <f>IF(G614="","",G614&amp;"|"&amp;P614)</f>
        <v/>
      </c>
      <c r="AN614" s="27">
        <f>IF(I614="","",IFERROR(DATE(VALUE(RIGHT(I614,4)),VALUE(MID(I614,4,2)),VALUE(LEFT(I614,2))),""))</f>
        <v/>
      </c>
      <c r="AO614" s="27">
        <f>IF(Y614="","",IFERROR(DATE(VALUE(RIGHT(Y614,4)),VALUE(MID(Y614,4,2)),VALUE(LEFT(Y614,2))),""))</f>
        <v/>
      </c>
      <c r="AP614" s="27">
        <f>IF(AC614="","",IFERROR(DATE(VALUE(RIGHT(AC614,4)),VALUE(MID(AC614,4,2)),VALUE(LEFT(AC614,2))),""))</f>
        <v/>
      </c>
      <c r="AQ614" s="26">
        <f>IF(AI614="","",TRIM(LEFT(AI614,FIND(" ",AI614&amp;" ")-1)))</f>
        <v/>
      </c>
      <c r="AR614" s="27">
        <f>IF(AQ614="","",IFERROR(DATE(VALUE(MID(AQ614,FIND("/",AQ614,FIND("/",AQ614)+1)+1,4)),VALUE(LEFT(AQ614,FIND("/",AQ614)-1)),VALUE(MID(AQ614,FIND("/",AQ614)+1,FIND("/",AQ614,FIND("/",AQ614)+1)-FIND("/",AQ614)-1))),""))</f>
        <v/>
      </c>
      <c r="AS614" s="26">
        <f>IF(G614="","",IF(AND(AG614&lt;&gt;"",AG614&lt;&gt;"Bayi Aracı"),"Evet","Hayır"))</f>
        <v/>
      </c>
      <c r="AT614" s="26">
        <f>IF(G614="","",IF(AND(AS614="Evet",T614="Siparişiniz Teslim Edildi"),"Evet","Hayır"))</f>
        <v/>
      </c>
      <c r="AU614" s="26">
        <f>IF(G614="","",IF(AB614="Siparişinizin Montajı Yapıldı","Evet","Hayır"))</f>
        <v/>
      </c>
      <c r="AV614" s="27">
        <f>IF(G614="","",IF(AT614="Evet",AR614,IF(AU614="Evet",AP614,"")))</f>
        <v/>
      </c>
    </row>
    <row r="615">
      <c r="A615" s="23" t="n"/>
      <c r="B615" s="23" t="n"/>
      <c r="C615" s="23" t="n"/>
      <c r="D615" s="23" t="n"/>
      <c r="E615" s="23" t="n"/>
      <c r="F615" s="23" t="n"/>
      <c r="G615" s="23" t="n"/>
      <c r="H615" s="23" t="n"/>
      <c r="I615" s="23" t="n"/>
      <c r="J615" s="23" t="n"/>
      <c r="K615" s="23" t="n"/>
      <c r="L615" s="23" t="n"/>
      <c r="M615" s="23" t="n"/>
      <c r="N615" s="23" t="n"/>
      <c r="O615" s="23" t="n"/>
      <c r="P615" s="23" t="n"/>
      <c r="Q615" s="23" t="n"/>
      <c r="R615" s="23" t="n"/>
      <c r="S615" s="23" t="n"/>
      <c r="T615" s="23" t="n"/>
      <c r="U615" s="23" t="n"/>
      <c r="V615" s="23" t="n"/>
      <c r="W615" s="23" t="n"/>
      <c r="X615" s="23" t="n"/>
      <c r="Y615" s="23" t="n"/>
      <c r="Z615" s="23" t="n"/>
      <c r="AA615" s="23" t="n"/>
      <c r="AB615" s="23" t="n"/>
      <c r="AC615" s="23" t="n"/>
      <c r="AD615" s="23" t="n"/>
      <c r="AE615" s="23" t="n"/>
      <c r="AF615" s="23" t="n"/>
      <c r="AG615" s="23" t="n"/>
      <c r="AH615" s="23" t="n"/>
      <c r="AI615" s="23" t="n"/>
      <c r="AJ615" s="23" t="n"/>
      <c r="AK615" s="23" t="n"/>
      <c r="AL615" s="23" t="n"/>
      <c r="AM615" s="26">
        <f>IF(G615="","",G615&amp;"|"&amp;P615)</f>
        <v/>
      </c>
      <c r="AN615" s="27">
        <f>IF(I615="","",IFERROR(DATE(VALUE(RIGHT(I615,4)),VALUE(MID(I615,4,2)),VALUE(LEFT(I615,2))),""))</f>
        <v/>
      </c>
      <c r="AO615" s="27">
        <f>IF(Y615="","",IFERROR(DATE(VALUE(RIGHT(Y615,4)),VALUE(MID(Y615,4,2)),VALUE(LEFT(Y615,2))),""))</f>
        <v/>
      </c>
      <c r="AP615" s="27">
        <f>IF(AC615="","",IFERROR(DATE(VALUE(RIGHT(AC615,4)),VALUE(MID(AC615,4,2)),VALUE(LEFT(AC615,2))),""))</f>
        <v/>
      </c>
      <c r="AQ615" s="26">
        <f>IF(AI615="","",TRIM(LEFT(AI615,FIND(" ",AI615&amp;" ")-1)))</f>
        <v/>
      </c>
      <c r="AR615" s="27">
        <f>IF(AQ615="","",IFERROR(DATE(VALUE(MID(AQ615,FIND("/",AQ615,FIND("/",AQ615)+1)+1,4)),VALUE(LEFT(AQ615,FIND("/",AQ615)-1)),VALUE(MID(AQ615,FIND("/",AQ615)+1,FIND("/",AQ615,FIND("/",AQ615)+1)-FIND("/",AQ615)-1))),""))</f>
        <v/>
      </c>
      <c r="AS615" s="26">
        <f>IF(G615="","",IF(AND(AG615&lt;&gt;"",AG615&lt;&gt;"Bayi Aracı"),"Evet","Hayır"))</f>
        <v/>
      </c>
      <c r="AT615" s="26">
        <f>IF(G615="","",IF(AND(AS615="Evet",T615="Siparişiniz Teslim Edildi"),"Evet","Hayır"))</f>
        <v/>
      </c>
      <c r="AU615" s="26">
        <f>IF(G615="","",IF(AB615="Siparişinizin Montajı Yapıldı","Evet","Hayır"))</f>
        <v/>
      </c>
      <c r="AV615" s="27">
        <f>IF(G615="","",IF(AT615="Evet",AR615,IF(AU615="Evet",AP615,"")))</f>
        <v/>
      </c>
    </row>
    <row r="616">
      <c r="A616" s="23" t="n"/>
      <c r="B616" s="23" t="n"/>
      <c r="C616" s="23" t="n"/>
      <c r="D616" s="23" t="n"/>
      <c r="E616" s="23" t="n"/>
      <c r="F616" s="23" t="n"/>
      <c r="G616" s="23" t="n"/>
      <c r="H616" s="23" t="n"/>
      <c r="I616" s="23" t="n"/>
      <c r="J616" s="23" t="n"/>
      <c r="K616" s="23" t="n"/>
      <c r="L616" s="23" t="n"/>
      <c r="M616" s="23" t="n"/>
      <c r="N616" s="23" t="n"/>
      <c r="O616" s="23" t="n"/>
      <c r="P616" s="23" t="n"/>
      <c r="Q616" s="23" t="n"/>
      <c r="R616" s="23" t="n"/>
      <c r="S616" s="23" t="n"/>
      <c r="T616" s="23" t="n"/>
      <c r="U616" s="23" t="n"/>
      <c r="V616" s="23" t="n"/>
      <c r="W616" s="23" t="n"/>
      <c r="X616" s="23" t="n"/>
      <c r="Y616" s="23" t="n"/>
      <c r="Z616" s="23" t="n"/>
      <c r="AA616" s="23" t="n"/>
      <c r="AB616" s="23" t="n"/>
      <c r="AC616" s="23" t="n"/>
      <c r="AD616" s="23" t="n"/>
      <c r="AE616" s="23" t="n"/>
      <c r="AF616" s="23" t="n"/>
      <c r="AG616" s="23" t="n"/>
      <c r="AH616" s="23" t="n"/>
      <c r="AI616" s="23" t="n"/>
      <c r="AJ616" s="23" t="n"/>
      <c r="AK616" s="23" t="n"/>
      <c r="AL616" s="23" t="n"/>
      <c r="AM616" s="26">
        <f>IF(G616="","",G616&amp;"|"&amp;P616)</f>
        <v/>
      </c>
      <c r="AN616" s="27">
        <f>IF(I616="","",IFERROR(DATE(VALUE(RIGHT(I616,4)),VALUE(MID(I616,4,2)),VALUE(LEFT(I616,2))),""))</f>
        <v/>
      </c>
      <c r="AO616" s="27">
        <f>IF(Y616="","",IFERROR(DATE(VALUE(RIGHT(Y616,4)),VALUE(MID(Y616,4,2)),VALUE(LEFT(Y616,2))),""))</f>
        <v/>
      </c>
      <c r="AP616" s="27">
        <f>IF(AC616="","",IFERROR(DATE(VALUE(RIGHT(AC616,4)),VALUE(MID(AC616,4,2)),VALUE(LEFT(AC616,2))),""))</f>
        <v/>
      </c>
      <c r="AQ616" s="26">
        <f>IF(AI616="","",TRIM(LEFT(AI616,FIND(" ",AI616&amp;" ")-1)))</f>
        <v/>
      </c>
      <c r="AR616" s="27">
        <f>IF(AQ616="","",IFERROR(DATE(VALUE(MID(AQ616,FIND("/",AQ616,FIND("/",AQ616)+1)+1,4)),VALUE(LEFT(AQ616,FIND("/",AQ616)-1)),VALUE(MID(AQ616,FIND("/",AQ616)+1,FIND("/",AQ616,FIND("/",AQ616)+1)-FIND("/",AQ616)-1))),""))</f>
        <v/>
      </c>
      <c r="AS616" s="26">
        <f>IF(G616="","",IF(AND(AG616&lt;&gt;"",AG616&lt;&gt;"Bayi Aracı"),"Evet","Hayır"))</f>
        <v/>
      </c>
      <c r="AT616" s="26">
        <f>IF(G616="","",IF(AND(AS616="Evet",T616="Siparişiniz Teslim Edildi"),"Evet","Hayır"))</f>
        <v/>
      </c>
      <c r="AU616" s="26">
        <f>IF(G616="","",IF(AB616="Siparişinizin Montajı Yapıldı","Evet","Hayır"))</f>
        <v/>
      </c>
      <c r="AV616" s="27">
        <f>IF(G616="","",IF(AT616="Evet",AR616,IF(AU616="Evet",AP616,"")))</f>
        <v/>
      </c>
    </row>
    <row r="617">
      <c r="A617" s="23" t="n"/>
      <c r="B617" s="23" t="n"/>
      <c r="C617" s="23" t="n"/>
      <c r="D617" s="23" t="n"/>
      <c r="E617" s="23" t="n"/>
      <c r="F617" s="23" t="n"/>
      <c r="G617" s="23" t="n"/>
      <c r="H617" s="23" t="n"/>
      <c r="I617" s="23" t="n"/>
      <c r="J617" s="23" t="n"/>
      <c r="K617" s="23" t="n"/>
      <c r="L617" s="23" t="n"/>
      <c r="M617" s="23" t="n"/>
      <c r="N617" s="23" t="n"/>
      <c r="O617" s="23" t="n"/>
      <c r="P617" s="23" t="n"/>
      <c r="Q617" s="23" t="n"/>
      <c r="R617" s="23" t="n"/>
      <c r="S617" s="23" t="n"/>
      <c r="T617" s="23" t="n"/>
      <c r="U617" s="23" t="n"/>
      <c r="V617" s="23" t="n"/>
      <c r="W617" s="23" t="n"/>
      <c r="X617" s="23" t="n"/>
      <c r="Y617" s="23" t="n"/>
      <c r="Z617" s="23" t="n"/>
      <c r="AA617" s="23" t="n"/>
      <c r="AB617" s="23" t="n"/>
      <c r="AC617" s="23" t="n"/>
      <c r="AD617" s="23" t="n"/>
      <c r="AE617" s="23" t="n"/>
      <c r="AF617" s="23" t="n"/>
      <c r="AG617" s="23" t="n"/>
      <c r="AH617" s="23" t="n"/>
      <c r="AI617" s="23" t="n"/>
      <c r="AJ617" s="23" t="n"/>
      <c r="AK617" s="23" t="n"/>
      <c r="AL617" s="23" t="n"/>
      <c r="AM617" s="26">
        <f>IF(G617="","",G617&amp;"|"&amp;P617)</f>
        <v/>
      </c>
      <c r="AN617" s="27">
        <f>IF(I617="","",IFERROR(DATE(VALUE(RIGHT(I617,4)),VALUE(MID(I617,4,2)),VALUE(LEFT(I617,2))),""))</f>
        <v/>
      </c>
      <c r="AO617" s="27">
        <f>IF(Y617="","",IFERROR(DATE(VALUE(RIGHT(Y617,4)),VALUE(MID(Y617,4,2)),VALUE(LEFT(Y617,2))),""))</f>
        <v/>
      </c>
      <c r="AP617" s="27">
        <f>IF(AC617="","",IFERROR(DATE(VALUE(RIGHT(AC617,4)),VALUE(MID(AC617,4,2)),VALUE(LEFT(AC617,2))),""))</f>
        <v/>
      </c>
      <c r="AQ617" s="26">
        <f>IF(AI617="","",TRIM(LEFT(AI617,FIND(" ",AI617&amp;" ")-1)))</f>
        <v/>
      </c>
      <c r="AR617" s="27">
        <f>IF(AQ617="","",IFERROR(DATE(VALUE(MID(AQ617,FIND("/",AQ617,FIND("/",AQ617)+1)+1,4)),VALUE(LEFT(AQ617,FIND("/",AQ617)-1)),VALUE(MID(AQ617,FIND("/",AQ617)+1,FIND("/",AQ617,FIND("/",AQ617)+1)-FIND("/",AQ617)-1))),""))</f>
        <v/>
      </c>
      <c r="AS617" s="26">
        <f>IF(G617="","",IF(AND(AG617&lt;&gt;"",AG617&lt;&gt;"Bayi Aracı"),"Evet","Hayır"))</f>
        <v/>
      </c>
      <c r="AT617" s="26">
        <f>IF(G617="","",IF(AND(AS617="Evet",T617="Siparişiniz Teslim Edildi"),"Evet","Hayır"))</f>
        <v/>
      </c>
      <c r="AU617" s="26">
        <f>IF(G617="","",IF(AB617="Siparişinizin Montajı Yapıldı","Evet","Hayır"))</f>
        <v/>
      </c>
      <c r="AV617" s="27">
        <f>IF(G617="","",IF(AT617="Evet",AR617,IF(AU617="Evet",AP617,"")))</f>
        <v/>
      </c>
    </row>
    <row r="618">
      <c r="A618" s="23" t="n"/>
      <c r="B618" s="23" t="n"/>
      <c r="C618" s="23" t="n"/>
      <c r="D618" s="23" t="n"/>
      <c r="E618" s="23" t="n"/>
      <c r="F618" s="23" t="n"/>
      <c r="G618" s="23" t="n"/>
      <c r="H618" s="23" t="n"/>
      <c r="I618" s="23" t="n"/>
      <c r="J618" s="23" t="n"/>
      <c r="K618" s="23" t="n"/>
      <c r="L618" s="23" t="n"/>
      <c r="M618" s="23" t="n"/>
      <c r="N618" s="23" t="n"/>
      <c r="O618" s="23" t="n"/>
      <c r="P618" s="23" t="n"/>
      <c r="Q618" s="23" t="n"/>
      <c r="R618" s="23" t="n"/>
      <c r="S618" s="23" t="n"/>
      <c r="T618" s="23" t="n"/>
      <c r="U618" s="23" t="n"/>
      <c r="V618" s="23" t="n"/>
      <c r="W618" s="23" t="n"/>
      <c r="X618" s="23" t="n"/>
      <c r="Y618" s="23" t="n"/>
      <c r="Z618" s="23" t="n"/>
      <c r="AA618" s="23" t="n"/>
      <c r="AB618" s="23" t="n"/>
      <c r="AC618" s="23" t="n"/>
      <c r="AD618" s="23" t="n"/>
      <c r="AE618" s="23" t="n"/>
      <c r="AF618" s="23" t="n"/>
      <c r="AG618" s="23" t="n"/>
      <c r="AH618" s="23" t="n"/>
      <c r="AI618" s="23" t="n"/>
      <c r="AJ618" s="23" t="n"/>
      <c r="AK618" s="23" t="n"/>
      <c r="AL618" s="23" t="n"/>
      <c r="AM618" s="26">
        <f>IF(G618="","",G618&amp;"|"&amp;P618)</f>
        <v/>
      </c>
      <c r="AN618" s="27">
        <f>IF(I618="","",IFERROR(DATE(VALUE(RIGHT(I618,4)),VALUE(MID(I618,4,2)),VALUE(LEFT(I618,2))),""))</f>
        <v/>
      </c>
      <c r="AO618" s="27">
        <f>IF(Y618="","",IFERROR(DATE(VALUE(RIGHT(Y618,4)),VALUE(MID(Y618,4,2)),VALUE(LEFT(Y618,2))),""))</f>
        <v/>
      </c>
      <c r="AP618" s="27">
        <f>IF(AC618="","",IFERROR(DATE(VALUE(RIGHT(AC618,4)),VALUE(MID(AC618,4,2)),VALUE(LEFT(AC618,2))),""))</f>
        <v/>
      </c>
      <c r="AQ618" s="26">
        <f>IF(AI618="","",TRIM(LEFT(AI618,FIND(" ",AI618&amp;" ")-1)))</f>
        <v/>
      </c>
      <c r="AR618" s="27">
        <f>IF(AQ618="","",IFERROR(DATE(VALUE(MID(AQ618,FIND("/",AQ618,FIND("/",AQ618)+1)+1,4)),VALUE(LEFT(AQ618,FIND("/",AQ618)-1)),VALUE(MID(AQ618,FIND("/",AQ618)+1,FIND("/",AQ618,FIND("/",AQ618)+1)-FIND("/",AQ618)-1))),""))</f>
        <v/>
      </c>
      <c r="AS618" s="26">
        <f>IF(G618="","",IF(AND(AG618&lt;&gt;"",AG618&lt;&gt;"Bayi Aracı"),"Evet","Hayır"))</f>
        <v/>
      </c>
      <c r="AT618" s="26">
        <f>IF(G618="","",IF(AND(AS618="Evet",T618="Siparişiniz Teslim Edildi"),"Evet","Hayır"))</f>
        <v/>
      </c>
      <c r="AU618" s="26">
        <f>IF(G618="","",IF(AB618="Siparişinizin Montajı Yapıldı","Evet","Hayır"))</f>
        <v/>
      </c>
      <c r="AV618" s="27">
        <f>IF(G618="","",IF(AT618="Evet",AR618,IF(AU618="Evet",AP618,"")))</f>
        <v/>
      </c>
    </row>
    <row r="619">
      <c r="A619" s="23" t="n"/>
      <c r="B619" s="23" t="n"/>
      <c r="C619" s="23" t="n"/>
      <c r="D619" s="23" t="n"/>
      <c r="E619" s="23" t="n"/>
      <c r="F619" s="23" t="n"/>
      <c r="G619" s="23" t="n"/>
      <c r="H619" s="23" t="n"/>
      <c r="I619" s="23" t="n"/>
      <c r="J619" s="23" t="n"/>
      <c r="K619" s="23" t="n"/>
      <c r="L619" s="23" t="n"/>
      <c r="M619" s="23" t="n"/>
      <c r="N619" s="23" t="n"/>
      <c r="O619" s="23" t="n"/>
      <c r="P619" s="23" t="n"/>
      <c r="Q619" s="23" t="n"/>
      <c r="R619" s="23" t="n"/>
      <c r="S619" s="23" t="n"/>
      <c r="T619" s="23" t="n"/>
      <c r="U619" s="23" t="n"/>
      <c r="V619" s="23" t="n"/>
      <c r="W619" s="23" t="n"/>
      <c r="X619" s="23" t="n"/>
      <c r="Y619" s="23" t="n"/>
      <c r="Z619" s="23" t="n"/>
      <c r="AA619" s="23" t="n"/>
      <c r="AB619" s="23" t="n"/>
      <c r="AC619" s="23" t="n"/>
      <c r="AD619" s="23" t="n"/>
      <c r="AE619" s="23" t="n"/>
      <c r="AF619" s="23" t="n"/>
      <c r="AG619" s="23" t="n"/>
      <c r="AH619" s="23" t="n"/>
      <c r="AI619" s="23" t="n"/>
      <c r="AJ619" s="23" t="n"/>
      <c r="AK619" s="23" t="n"/>
      <c r="AL619" s="23" t="n"/>
      <c r="AM619" s="26">
        <f>IF(G619="","",G619&amp;"|"&amp;P619)</f>
        <v/>
      </c>
      <c r="AN619" s="27">
        <f>IF(I619="","",IFERROR(DATE(VALUE(RIGHT(I619,4)),VALUE(MID(I619,4,2)),VALUE(LEFT(I619,2))),""))</f>
        <v/>
      </c>
      <c r="AO619" s="27">
        <f>IF(Y619="","",IFERROR(DATE(VALUE(RIGHT(Y619,4)),VALUE(MID(Y619,4,2)),VALUE(LEFT(Y619,2))),""))</f>
        <v/>
      </c>
      <c r="AP619" s="27">
        <f>IF(AC619="","",IFERROR(DATE(VALUE(RIGHT(AC619,4)),VALUE(MID(AC619,4,2)),VALUE(LEFT(AC619,2))),""))</f>
        <v/>
      </c>
      <c r="AQ619" s="26">
        <f>IF(AI619="","",TRIM(LEFT(AI619,FIND(" ",AI619&amp;" ")-1)))</f>
        <v/>
      </c>
      <c r="AR619" s="27">
        <f>IF(AQ619="","",IFERROR(DATE(VALUE(MID(AQ619,FIND("/",AQ619,FIND("/",AQ619)+1)+1,4)),VALUE(LEFT(AQ619,FIND("/",AQ619)-1)),VALUE(MID(AQ619,FIND("/",AQ619)+1,FIND("/",AQ619,FIND("/",AQ619)+1)-FIND("/",AQ619)-1))),""))</f>
        <v/>
      </c>
      <c r="AS619" s="26">
        <f>IF(G619="","",IF(AND(AG619&lt;&gt;"",AG619&lt;&gt;"Bayi Aracı"),"Evet","Hayır"))</f>
        <v/>
      </c>
      <c r="AT619" s="26">
        <f>IF(G619="","",IF(AND(AS619="Evet",T619="Siparişiniz Teslim Edildi"),"Evet","Hayır"))</f>
        <v/>
      </c>
      <c r="AU619" s="26">
        <f>IF(G619="","",IF(AB619="Siparişinizin Montajı Yapıldı","Evet","Hayır"))</f>
        <v/>
      </c>
      <c r="AV619" s="27">
        <f>IF(G619="","",IF(AT619="Evet",AR619,IF(AU619="Evet",AP619,"")))</f>
        <v/>
      </c>
    </row>
    <row r="620">
      <c r="A620" s="23" t="n"/>
      <c r="B620" s="23" t="n"/>
      <c r="C620" s="23" t="n"/>
      <c r="D620" s="23" t="n"/>
      <c r="E620" s="23" t="n"/>
      <c r="F620" s="23" t="n"/>
      <c r="G620" s="23" t="n"/>
      <c r="H620" s="23" t="n"/>
      <c r="I620" s="23" t="n"/>
      <c r="J620" s="23" t="n"/>
      <c r="K620" s="23" t="n"/>
      <c r="L620" s="23" t="n"/>
      <c r="M620" s="23" t="n"/>
      <c r="N620" s="23" t="n"/>
      <c r="O620" s="23" t="n"/>
      <c r="P620" s="23" t="n"/>
      <c r="Q620" s="23" t="n"/>
      <c r="R620" s="23" t="n"/>
      <c r="S620" s="23" t="n"/>
      <c r="T620" s="23" t="n"/>
      <c r="U620" s="23" t="n"/>
      <c r="V620" s="23" t="n"/>
      <c r="W620" s="23" t="n"/>
      <c r="X620" s="23" t="n"/>
      <c r="Y620" s="23" t="n"/>
      <c r="Z620" s="23" t="n"/>
      <c r="AA620" s="23" t="n"/>
      <c r="AB620" s="23" t="n"/>
      <c r="AC620" s="23" t="n"/>
      <c r="AD620" s="23" t="n"/>
      <c r="AE620" s="23" t="n"/>
      <c r="AF620" s="23" t="n"/>
      <c r="AG620" s="23" t="n"/>
      <c r="AH620" s="23" t="n"/>
      <c r="AI620" s="23" t="n"/>
      <c r="AJ620" s="23" t="n"/>
      <c r="AK620" s="23" t="n"/>
      <c r="AL620" s="23" t="n"/>
      <c r="AM620" s="26">
        <f>IF(G620="","",G620&amp;"|"&amp;P620)</f>
        <v/>
      </c>
      <c r="AN620" s="27">
        <f>IF(I620="","",IFERROR(DATE(VALUE(RIGHT(I620,4)),VALUE(MID(I620,4,2)),VALUE(LEFT(I620,2))),""))</f>
        <v/>
      </c>
      <c r="AO620" s="27">
        <f>IF(Y620="","",IFERROR(DATE(VALUE(RIGHT(Y620,4)),VALUE(MID(Y620,4,2)),VALUE(LEFT(Y620,2))),""))</f>
        <v/>
      </c>
      <c r="AP620" s="27">
        <f>IF(AC620="","",IFERROR(DATE(VALUE(RIGHT(AC620,4)),VALUE(MID(AC620,4,2)),VALUE(LEFT(AC620,2))),""))</f>
        <v/>
      </c>
      <c r="AQ620" s="26">
        <f>IF(AI620="","",TRIM(LEFT(AI620,FIND(" ",AI620&amp;" ")-1)))</f>
        <v/>
      </c>
      <c r="AR620" s="27">
        <f>IF(AQ620="","",IFERROR(DATE(VALUE(MID(AQ620,FIND("/",AQ620,FIND("/",AQ620)+1)+1,4)),VALUE(LEFT(AQ620,FIND("/",AQ620)-1)),VALUE(MID(AQ620,FIND("/",AQ620)+1,FIND("/",AQ620,FIND("/",AQ620)+1)-FIND("/",AQ620)-1))),""))</f>
        <v/>
      </c>
      <c r="AS620" s="26">
        <f>IF(G620="","",IF(AND(AG620&lt;&gt;"",AG620&lt;&gt;"Bayi Aracı"),"Evet","Hayır"))</f>
        <v/>
      </c>
      <c r="AT620" s="26">
        <f>IF(G620="","",IF(AND(AS620="Evet",T620="Siparişiniz Teslim Edildi"),"Evet","Hayır"))</f>
        <v/>
      </c>
      <c r="AU620" s="26">
        <f>IF(G620="","",IF(AB620="Siparişinizin Montajı Yapıldı","Evet","Hayır"))</f>
        <v/>
      </c>
      <c r="AV620" s="27">
        <f>IF(G620="","",IF(AT620="Evet",AR620,IF(AU620="Evet",AP620,"")))</f>
        <v/>
      </c>
    </row>
    <row r="621">
      <c r="A621" s="23" t="n"/>
      <c r="B621" s="23" t="n"/>
      <c r="C621" s="23" t="n"/>
      <c r="D621" s="23" t="n"/>
      <c r="E621" s="23" t="n"/>
      <c r="F621" s="23" t="n"/>
      <c r="G621" s="23" t="n"/>
      <c r="H621" s="23" t="n"/>
      <c r="I621" s="23" t="n"/>
      <c r="J621" s="23" t="n"/>
      <c r="K621" s="23" t="n"/>
      <c r="L621" s="23" t="n"/>
      <c r="M621" s="23" t="n"/>
      <c r="N621" s="23" t="n"/>
      <c r="O621" s="23" t="n"/>
      <c r="P621" s="23" t="n"/>
      <c r="Q621" s="23" t="n"/>
      <c r="R621" s="23" t="n"/>
      <c r="S621" s="23" t="n"/>
      <c r="T621" s="23" t="n"/>
      <c r="U621" s="23" t="n"/>
      <c r="V621" s="23" t="n"/>
      <c r="W621" s="23" t="n"/>
      <c r="X621" s="23" t="n"/>
      <c r="Y621" s="23" t="n"/>
      <c r="Z621" s="23" t="n"/>
      <c r="AA621" s="23" t="n"/>
      <c r="AB621" s="23" t="n"/>
      <c r="AC621" s="23" t="n"/>
      <c r="AD621" s="23" t="n"/>
      <c r="AE621" s="23" t="n"/>
      <c r="AF621" s="23" t="n"/>
      <c r="AG621" s="23" t="n"/>
      <c r="AH621" s="23" t="n"/>
      <c r="AI621" s="23" t="n"/>
      <c r="AJ621" s="23" t="n"/>
      <c r="AK621" s="23" t="n"/>
      <c r="AL621" s="23" t="n"/>
      <c r="AM621" s="26">
        <f>IF(G621="","",G621&amp;"|"&amp;P621)</f>
        <v/>
      </c>
      <c r="AN621" s="27">
        <f>IF(I621="","",IFERROR(DATE(VALUE(RIGHT(I621,4)),VALUE(MID(I621,4,2)),VALUE(LEFT(I621,2))),""))</f>
        <v/>
      </c>
      <c r="AO621" s="27">
        <f>IF(Y621="","",IFERROR(DATE(VALUE(RIGHT(Y621,4)),VALUE(MID(Y621,4,2)),VALUE(LEFT(Y621,2))),""))</f>
        <v/>
      </c>
      <c r="AP621" s="27">
        <f>IF(AC621="","",IFERROR(DATE(VALUE(RIGHT(AC621,4)),VALUE(MID(AC621,4,2)),VALUE(LEFT(AC621,2))),""))</f>
        <v/>
      </c>
      <c r="AQ621" s="26">
        <f>IF(AI621="","",TRIM(LEFT(AI621,FIND(" ",AI621&amp;" ")-1)))</f>
        <v/>
      </c>
      <c r="AR621" s="27">
        <f>IF(AQ621="","",IFERROR(DATE(VALUE(MID(AQ621,FIND("/",AQ621,FIND("/",AQ621)+1)+1,4)),VALUE(LEFT(AQ621,FIND("/",AQ621)-1)),VALUE(MID(AQ621,FIND("/",AQ621)+1,FIND("/",AQ621,FIND("/",AQ621)+1)-FIND("/",AQ621)-1))),""))</f>
        <v/>
      </c>
      <c r="AS621" s="26">
        <f>IF(G621="","",IF(AND(AG621&lt;&gt;"",AG621&lt;&gt;"Bayi Aracı"),"Evet","Hayır"))</f>
        <v/>
      </c>
      <c r="AT621" s="26">
        <f>IF(G621="","",IF(AND(AS621="Evet",T621="Siparişiniz Teslim Edildi"),"Evet","Hayır"))</f>
        <v/>
      </c>
      <c r="AU621" s="26">
        <f>IF(G621="","",IF(AB621="Siparişinizin Montajı Yapıldı","Evet","Hayır"))</f>
        <v/>
      </c>
      <c r="AV621" s="27">
        <f>IF(G621="","",IF(AT621="Evet",AR621,IF(AU621="Evet",AP621,"")))</f>
        <v/>
      </c>
    </row>
    <row r="622">
      <c r="A622" s="23" t="n"/>
      <c r="B622" s="23" t="n"/>
      <c r="C622" s="23" t="n"/>
      <c r="D622" s="23" t="n"/>
      <c r="E622" s="23" t="n"/>
      <c r="F622" s="23" t="n"/>
      <c r="G622" s="23" t="n"/>
      <c r="H622" s="23" t="n"/>
      <c r="I622" s="23" t="n"/>
      <c r="J622" s="23" t="n"/>
      <c r="K622" s="23" t="n"/>
      <c r="L622" s="23" t="n"/>
      <c r="M622" s="23" t="n"/>
      <c r="N622" s="23" t="n"/>
      <c r="O622" s="23" t="n"/>
      <c r="P622" s="23" t="n"/>
      <c r="Q622" s="23" t="n"/>
      <c r="R622" s="23" t="n"/>
      <c r="S622" s="23" t="n"/>
      <c r="T622" s="23" t="n"/>
      <c r="U622" s="23" t="n"/>
      <c r="V622" s="23" t="n"/>
      <c r="W622" s="23" t="n"/>
      <c r="X622" s="23" t="n"/>
      <c r="Y622" s="23" t="n"/>
      <c r="Z622" s="23" t="n"/>
      <c r="AA622" s="23" t="n"/>
      <c r="AB622" s="23" t="n"/>
      <c r="AC622" s="23" t="n"/>
      <c r="AD622" s="23" t="n"/>
      <c r="AE622" s="23" t="n"/>
      <c r="AF622" s="23" t="n"/>
      <c r="AG622" s="23" t="n"/>
      <c r="AH622" s="23" t="n"/>
      <c r="AI622" s="23" t="n"/>
      <c r="AJ622" s="23" t="n"/>
      <c r="AK622" s="23" t="n"/>
      <c r="AL622" s="23" t="n"/>
      <c r="AM622" s="26">
        <f>IF(G622="","",G622&amp;"|"&amp;P622)</f>
        <v/>
      </c>
      <c r="AN622" s="27">
        <f>IF(I622="","",IFERROR(DATE(VALUE(RIGHT(I622,4)),VALUE(MID(I622,4,2)),VALUE(LEFT(I622,2))),""))</f>
        <v/>
      </c>
      <c r="AO622" s="27">
        <f>IF(Y622="","",IFERROR(DATE(VALUE(RIGHT(Y622,4)),VALUE(MID(Y622,4,2)),VALUE(LEFT(Y622,2))),""))</f>
        <v/>
      </c>
      <c r="AP622" s="27">
        <f>IF(AC622="","",IFERROR(DATE(VALUE(RIGHT(AC622,4)),VALUE(MID(AC622,4,2)),VALUE(LEFT(AC622,2))),""))</f>
        <v/>
      </c>
      <c r="AQ622" s="26">
        <f>IF(AI622="","",TRIM(LEFT(AI622,FIND(" ",AI622&amp;" ")-1)))</f>
        <v/>
      </c>
      <c r="AR622" s="27">
        <f>IF(AQ622="","",IFERROR(DATE(VALUE(MID(AQ622,FIND("/",AQ622,FIND("/",AQ622)+1)+1,4)),VALUE(LEFT(AQ622,FIND("/",AQ622)-1)),VALUE(MID(AQ622,FIND("/",AQ622)+1,FIND("/",AQ622,FIND("/",AQ622)+1)-FIND("/",AQ622)-1))),""))</f>
        <v/>
      </c>
      <c r="AS622" s="26">
        <f>IF(G622="","",IF(AND(AG622&lt;&gt;"",AG622&lt;&gt;"Bayi Aracı"),"Evet","Hayır"))</f>
        <v/>
      </c>
      <c r="AT622" s="26">
        <f>IF(G622="","",IF(AND(AS622="Evet",T622="Siparişiniz Teslim Edildi"),"Evet","Hayır"))</f>
        <v/>
      </c>
      <c r="AU622" s="26">
        <f>IF(G622="","",IF(AB622="Siparişinizin Montajı Yapıldı","Evet","Hayır"))</f>
        <v/>
      </c>
      <c r="AV622" s="27">
        <f>IF(G622="","",IF(AT622="Evet",AR622,IF(AU622="Evet",AP622,"")))</f>
        <v/>
      </c>
    </row>
    <row r="623">
      <c r="A623" s="23" t="n"/>
      <c r="B623" s="23" t="n"/>
      <c r="C623" s="23" t="n"/>
      <c r="D623" s="23" t="n"/>
      <c r="E623" s="23" t="n"/>
      <c r="F623" s="23" t="n"/>
      <c r="G623" s="23" t="n"/>
      <c r="H623" s="23" t="n"/>
      <c r="I623" s="23" t="n"/>
      <c r="J623" s="23" t="n"/>
      <c r="K623" s="23" t="n"/>
      <c r="L623" s="23" t="n"/>
      <c r="M623" s="23" t="n"/>
      <c r="N623" s="23" t="n"/>
      <c r="O623" s="23" t="n"/>
      <c r="P623" s="23" t="n"/>
      <c r="Q623" s="23" t="n"/>
      <c r="R623" s="23" t="n"/>
      <c r="S623" s="23" t="n"/>
      <c r="T623" s="23" t="n"/>
      <c r="U623" s="23" t="n"/>
      <c r="V623" s="23" t="n"/>
      <c r="W623" s="23" t="n"/>
      <c r="X623" s="23" t="n"/>
      <c r="Y623" s="23" t="n"/>
      <c r="Z623" s="23" t="n"/>
      <c r="AA623" s="23" t="n"/>
      <c r="AB623" s="23" t="n"/>
      <c r="AC623" s="23" t="n"/>
      <c r="AD623" s="23" t="n"/>
      <c r="AE623" s="23" t="n"/>
      <c r="AF623" s="23" t="n"/>
      <c r="AG623" s="23" t="n"/>
      <c r="AH623" s="23" t="n"/>
      <c r="AI623" s="23" t="n"/>
      <c r="AJ623" s="23" t="n"/>
      <c r="AK623" s="23" t="n"/>
      <c r="AL623" s="23" t="n"/>
      <c r="AM623" s="26">
        <f>IF(G623="","",G623&amp;"|"&amp;P623)</f>
        <v/>
      </c>
      <c r="AN623" s="27">
        <f>IF(I623="","",IFERROR(DATE(VALUE(RIGHT(I623,4)),VALUE(MID(I623,4,2)),VALUE(LEFT(I623,2))),""))</f>
        <v/>
      </c>
      <c r="AO623" s="27">
        <f>IF(Y623="","",IFERROR(DATE(VALUE(RIGHT(Y623,4)),VALUE(MID(Y623,4,2)),VALUE(LEFT(Y623,2))),""))</f>
        <v/>
      </c>
      <c r="AP623" s="27">
        <f>IF(AC623="","",IFERROR(DATE(VALUE(RIGHT(AC623,4)),VALUE(MID(AC623,4,2)),VALUE(LEFT(AC623,2))),""))</f>
        <v/>
      </c>
      <c r="AQ623" s="26">
        <f>IF(AI623="","",TRIM(LEFT(AI623,FIND(" ",AI623&amp;" ")-1)))</f>
        <v/>
      </c>
      <c r="AR623" s="27">
        <f>IF(AQ623="","",IFERROR(DATE(VALUE(MID(AQ623,FIND("/",AQ623,FIND("/",AQ623)+1)+1,4)),VALUE(LEFT(AQ623,FIND("/",AQ623)-1)),VALUE(MID(AQ623,FIND("/",AQ623)+1,FIND("/",AQ623,FIND("/",AQ623)+1)-FIND("/",AQ623)-1))),""))</f>
        <v/>
      </c>
      <c r="AS623" s="26">
        <f>IF(G623="","",IF(AND(AG623&lt;&gt;"",AG623&lt;&gt;"Bayi Aracı"),"Evet","Hayır"))</f>
        <v/>
      </c>
      <c r="AT623" s="26">
        <f>IF(G623="","",IF(AND(AS623="Evet",T623="Siparişiniz Teslim Edildi"),"Evet","Hayır"))</f>
        <v/>
      </c>
      <c r="AU623" s="26">
        <f>IF(G623="","",IF(AB623="Siparişinizin Montajı Yapıldı","Evet","Hayır"))</f>
        <v/>
      </c>
      <c r="AV623" s="27">
        <f>IF(G623="","",IF(AT623="Evet",AR623,IF(AU623="Evet",AP623,"")))</f>
        <v/>
      </c>
    </row>
    <row r="624">
      <c r="A624" s="23" t="n"/>
      <c r="B624" s="23" t="n"/>
      <c r="C624" s="23" t="n"/>
      <c r="D624" s="23" t="n"/>
      <c r="E624" s="23" t="n"/>
      <c r="F624" s="23" t="n"/>
      <c r="G624" s="23" t="n"/>
      <c r="H624" s="23" t="n"/>
      <c r="I624" s="23" t="n"/>
      <c r="J624" s="23" t="n"/>
      <c r="K624" s="23" t="n"/>
      <c r="L624" s="23" t="n"/>
      <c r="M624" s="23" t="n"/>
      <c r="N624" s="23" t="n"/>
      <c r="O624" s="23" t="n"/>
      <c r="P624" s="23" t="n"/>
      <c r="Q624" s="23" t="n"/>
      <c r="R624" s="23" t="n"/>
      <c r="S624" s="23" t="n"/>
      <c r="T624" s="23" t="n"/>
      <c r="U624" s="23" t="n"/>
      <c r="V624" s="23" t="n"/>
      <c r="W624" s="23" t="n"/>
      <c r="X624" s="23" t="n"/>
      <c r="Y624" s="23" t="n"/>
      <c r="Z624" s="23" t="n"/>
      <c r="AA624" s="23" t="n"/>
      <c r="AB624" s="23" t="n"/>
      <c r="AC624" s="23" t="n"/>
      <c r="AD624" s="23" t="n"/>
      <c r="AE624" s="23" t="n"/>
      <c r="AF624" s="23" t="n"/>
      <c r="AG624" s="23" t="n"/>
      <c r="AH624" s="23" t="n"/>
      <c r="AI624" s="23" t="n"/>
      <c r="AJ624" s="23" t="n"/>
      <c r="AK624" s="23" t="n"/>
      <c r="AL624" s="23" t="n"/>
      <c r="AM624" s="26">
        <f>IF(G624="","",G624&amp;"|"&amp;P624)</f>
        <v/>
      </c>
      <c r="AN624" s="27">
        <f>IF(I624="","",IFERROR(DATE(VALUE(RIGHT(I624,4)),VALUE(MID(I624,4,2)),VALUE(LEFT(I624,2))),""))</f>
        <v/>
      </c>
      <c r="AO624" s="27">
        <f>IF(Y624="","",IFERROR(DATE(VALUE(RIGHT(Y624,4)),VALUE(MID(Y624,4,2)),VALUE(LEFT(Y624,2))),""))</f>
        <v/>
      </c>
      <c r="AP624" s="27">
        <f>IF(AC624="","",IFERROR(DATE(VALUE(RIGHT(AC624,4)),VALUE(MID(AC624,4,2)),VALUE(LEFT(AC624,2))),""))</f>
        <v/>
      </c>
      <c r="AQ624" s="26">
        <f>IF(AI624="","",TRIM(LEFT(AI624,FIND(" ",AI624&amp;" ")-1)))</f>
        <v/>
      </c>
      <c r="AR624" s="27">
        <f>IF(AQ624="","",IFERROR(DATE(VALUE(MID(AQ624,FIND("/",AQ624,FIND("/",AQ624)+1)+1,4)),VALUE(LEFT(AQ624,FIND("/",AQ624)-1)),VALUE(MID(AQ624,FIND("/",AQ624)+1,FIND("/",AQ624,FIND("/",AQ624)+1)-FIND("/",AQ624)-1))),""))</f>
        <v/>
      </c>
      <c r="AS624" s="26">
        <f>IF(G624="","",IF(AND(AG624&lt;&gt;"",AG624&lt;&gt;"Bayi Aracı"),"Evet","Hayır"))</f>
        <v/>
      </c>
      <c r="AT624" s="26">
        <f>IF(G624="","",IF(AND(AS624="Evet",T624="Siparişiniz Teslim Edildi"),"Evet","Hayır"))</f>
        <v/>
      </c>
      <c r="AU624" s="26">
        <f>IF(G624="","",IF(AB624="Siparişinizin Montajı Yapıldı","Evet","Hayır"))</f>
        <v/>
      </c>
      <c r="AV624" s="27">
        <f>IF(G624="","",IF(AT624="Evet",AR624,IF(AU624="Evet",AP624,"")))</f>
        <v/>
      </c>
    </row>
    <row r="625">
      <c r="A625" s="23" t="n"/>
      <c r="B625" s="23" t="n"/>
      <c r="C625" s="23" t="n"/>
      <c r="D625" s="23" t="n"/>
      <c r="E625" s="23" t="n"/>
      <c r="F625" s="23" t="n"/>
      <c r="G625" s="23" t="n"/>
      <c r="H625" s="23" t="n"/>
      <c r="I625" s="23" t="n"/>
      <c r="J625" s="23" t="n"/>
      <c r="K625" s="23" t="n"/>
      <c r="L625" s="23" t="n"/>
      <c r="M625" s="23" t="n"/>
      <c r="N625" s="23" t="n"/>
      <c r="O625" s="23" t="n"/>
      <c r="P625" s="23" t="n"/>
      <c r="Q625" s="23" t="n"/>
      <c r="R625" s="23" t="n"/>
      <c r="S625" s="23" t="n"/>
      <c r="T625" s="23" t="n"/>
      <c r="U625" s="23" t="n"/>
      <c r="V625" s="23" t="n"/>
      <c r="W625" s="23" t="n"/>
      <c r="X625" s="23" t="n"/>
      <c r="Y625" s="23" t="n"/>
      <c r="Z625" s="23" t="n"/>
      <c r="AA625" s="23" t="n"/>
      <c r="AB625" s="23" t="n"/>
      <c r="AC625" s="23" t="n"/>
      <c r="AD625" s="23" t="n"/>
      <c r="AE625" s="23" t="n"/>
      <c r="AF625" s="23" t="n"/>
      <c r="AG625" s="23" t="n"/>
      <c r="AH625" s="23" t="n"/>
      <c r="AI625" s="23" t="n"/>
      <c r="AJ625" s="23" t="n"/>
      <c r="AK625" s="23" t="n"/>
      <c r="AL625" s="23" t="n"/>
      <c r="AM625" s="26">
        <f>IF(G625="","",G625&amp;"|"&amp;P625)</f>
        <v/>
      </c>
      <c r="AN625" s="27">
        <f>IF(I625="","",IFERROR(DATE(VALUE(RIGHT(I625,4)),VALUE(MID(I625,4,2)),VALUE(LEFT(I625,2))),""))</f>
        <v/>
      </c>
      <c r="AO625" s="27">
        <f>IF(Y625="","",IFERROR(DATE(VALUE(RIGHT(Y625,4)),VALUE(MID(Y625,4,2)),VALUE(LEFT(Y625,2))),""))</f>
        <v/>
      </c>
      <c r="AP625" s="27">
        <f>IF(AC625="","",IFERROR(DATE(VALUE(RIGHT(AC625,4)),VALUE(MID(AC625,4,2)),VALUE(LEFT(AC625,2))),""))</f>
        <v/>
      </c>
      <c r="AQ625" s="26">
        <f>IF(AI625="","",TRIM(LEFT(AI625,FIND(" ",AI625&amp;" ")-1)))</f>
        <v/>
      </c>
      <c r="AR625" s="27">
        <f>IF(AQ625="","",IFERROR(DATE(VALUE(MID(AQ625,FIND("/",AQ625,FIND("/",AQ625)+1)+1,4)),VALUE(LEFT(AQ625,FIND("/",AQ625)-1)),VALUE(MID(AQ625,FIND("/",AQ625)+1,FIND("/",AQ625,FIND("/",AQ625)+1)-FIND("/",AQ625)-1))),""))</f>
        <v/>
      </c>
      <c r="AS625" s="26">
        <f>IF(G625="","",IF(AND(AG625&lt;&gt;"",AG625&lt;&gt;"Bayi Aracı"),"Evet","Hayır"))</f>
        <v/>
      </c>
      <c r="AT625" s="26">
        <f>IF(G625="","",IF(AND(AS625="Evet",T625="Siparişiniz Teslim Edildi"),"Evet","Hayır"))</f>
        <v/>
      </c>
      <c r="AU625" s="26">
        <f>IF(G625="","",IF(AB625="Siparişinizin Montajı Yapıldı","Evet","Hayır"))</f>
        <v/>
      </c>
      <c r="AV625" s="27">
        <f>IF(G625="","",IF(AT625="Evet",AR625,IF(AU625="Evet",AP625,"")))</f>
        <v/>
      </c>
    </row>
    <row r="626">
      <c r="A626" s="23" t="n"/>
      <c r="B626" s="23" t="n"/>
      <c r="C626" s="23" t="n"/>
      <c r="D626" s="23" t="n"/>
      <c r="E626" s="23" t="n"/>
      <c r="F626" s="23" t="n"/>
      <c r="G626" s="23" t="n"/>
      <c r="H626" s="23" t="n"/>
      <c r="I626" s="23" t="n"/>
      <c r="J626" s="23" t="n"/>
      <c r="K626" s="23" t="n"/>
      <c r="L626" s="23" t="n"/>
      <c r="M626" s="23" t="n"/>
      <c r="N626" s="23" t="n"/>
      <c r="O626" s="23" t="n"/>
      <c r="P626" s="23" t="n"/>
      <c r="Q626" s="23" t="n"/>
      <c r="R626" s="23" t="n"/>
      <c r="S626" s="23" t="n"/>
      <c r="T626" s="23" t="n"/>
      <c r="U626" s="23" t="n"/>
      <c r="V626" s="23" t="n"/>
      <c r="W626" s="23" t="n"/>
      <c r="X626" s="23" t="n"/>
      <c r="Y626" s="23" t="n"/>
      <c r="Z626" s="23" t="n"/>
      <c r="AA626" s="23" t="n"/>
      <c r="AB626" s="23" t="n"/>
      <c r="AC626" s="23" t="n"/>
      <c r="AD626" s="23" t="n"/>
      <c r="AE626" s="23" t="n"/>
      <c r="AF626" s="23" t="n"/>
      <c r="AG626" s="23" t="n"/>
      <c r="AH626" s="23" t="n"/>
      <c r="AI626" s="23" t="n"/>
      <c r="AJ626" s="23" t="n"/>
      <c r="AK626" s="23" t="n"/>
      <c r="AL626" s="23" t="n"/>
      <c r="AM626" s="26">
        <f>IF(G626="","",G626&amp;"|"&amp;P626)</f>
        <v/>
      </c>
      <c r="AN626" s="27">
        <f>IF(I626="","",IFERROR(DATE(VALUE(RIGHT(I626,4)),VALUE(MID(I626,4,2)),VALUE(LEFT(I626,2))),""))</f>
        <v/>
      </c>
      <c r="AO626" s="27">
        <f>IF(Y626="","",IFERROR(DATE(VALUE(RIGHT(Y626,4)),VALUE(MID(Y626,4,2)),VALUE(LEFT(Y626,2))),""))</f>
        <v/>
      </c>
      <c r="AP626" s="27">
        <f>IF(AC626="","",IFERROR(DATE(VALUE(RIGHT(AC626,4)),VALUE(MID(AC626,4,2)),VALUE(LEFT(AC626,2))),""))</f>
        <v/>
      </c>
      <c r="AQ626" s="26">
        <f>IF(AI626="","",TRIM(LEFT(AI626,FIND(" ",AI626&amp;" ")-1)))</f>
        <v/>
      </c>
      <c r="AR626" s="27">
        <f>IF(AQ626="","",IFERROR(DATE(VALUE(MID(AQ626,FIND("/",AQ626,FIND("/",AQ626)+1)+1,4)),VALUE(LEFT(AQ626,FIND("/",AQ626)-1)),VALUE(MID(AQ626,FIND("/",AQ626)+1,FIND("/",AQ626,FIND("/",AQ626)+1)-FIND("/",AQ626)-1))),""))</f>
        <v/>
      </c>
      <c r="AS626" s="26">
        <f>IF(G626="","",IF(AND(AG626&lt;&gt;"",AG626&lt;&gt;"Bayi Aracı"),"Evet","Hayır"))</f>
        <v/>
      </c>
      <c r="AT626" s="26">
        <f>IF(G626="","",IF(AND(AS626="Evet",T626="Siparişiniz Teslim Edildi"),"Evet","Hayır"))</f>
        <v/>
      </c>
      <c r="AU626" s="26">
        <f>IF(G626="","",IF(AB626="Siparişinizin Montajı Yapıldı","Evet","Hayır"))</f>
        <v/>
      </c>
      <c r="AV626" s="27">
        <f>IF(G626="","",IF(AT626="Evet",AR626,IF(AU626="Evet",AP626,"")))</f>
        <v/>
      </c>
    </row>
    <row r="627">
      <c r="A627" s="23" t="n"/>
      <c r="B627" s="23" t="n"/>
      <c r="C627" s="23" t="n"/>
      <c r="D627" s="23" t="n"/>
      <c r="E627" s="23" t="n"/>
      <c r="F627" s="23" t="n"/>
      <c r="G627" s="23" t="n"/>
      <c r="H627" s="23" t="n"/>
      <c r="I627" s="23" t="n"/>
      <c r="J627" s="23" t="n"/>
      <c r="K627" s="23" t="n"/>
      <c r="L627" s="23" t="n"/>
      <c r="M627" s="23" t="n"/>
      <c r="N627" s="23" t="n"/>
      <c r="O627" s="23" t="n"/>
      <c r="P627" s="23" t="n"/>
      <c r="Q627" s="23" t="n"/>
      <c r="R627" s="23" t="n"/>
      <c r="S627" s="23" t="n"/>
      <c r="T627" s="23" t="n"/>
      <c r="U627" s="23" t="n"/>
      <c r="V627" s="23" t="n"/>
      <c r="W627" s="23" t="n"/>
      <c r="X627" s="23" t="n"/>
      <c r="Y627" s="23" t="n"/>
      <c r="Z627" s="23" t="n"/>
      <c r="AA627" s="23" t="n"/>
      <c r="AB627" s="23" t="n"/>
      <c r="AC627" s="23" t="n"/>
      <c r="AD627" s="23" t="n"/>
      <c r="AE627" s="23" t="n"/>
      <c r="AF627" s="23" t="n"/>
      <c r="AG627" s="23" t="n"/>
      <c r="AH627" s="23" t="n"/>
      <c r="AI627" s="23" t="n"/>
      <c r="AJ627" s="23" t="n"/>
      <c r="AK627" s="23" t="n"/>
      <c r="AL627" s="23" t="n"/>
      <c r="AM627" s="26">
        <f>IF(G627="","",G627&amp;"|"&amp;P627)</f>
        <v/>
      </c>
      <c r="AN627" s="27">
        <f>IF(I627="","",IFERROR(DATE(VALUE(RIGHT(I627,4)),VALUE(MID(I627,4,2)),VALUE(LEFT(I627,2))),""))</f>
        <v/>
      </c>
      <c r="AO627" s="27">
        <f>IF(Y627="","",IFERROR(DATE(VALUE(RIGHT(Y627,4)),VALUE(MID(Y627,4,2)),VALUE(LEFT(Y627,2))),""))</f>
        <v/>
      </c>
      <c r="AP627" s="27">
        <f>IF(AC627="","",IFERROR(DATE(VALUE(RIGHT(AC627,4)),VALUE(MID(AC627,4,2)),VALUE(LEFT(AC627,2))),""))</f>
        <v/>
      </c>
      <c r="AQ627" s="26">
        <f>IF(AI627="","",TRIM(LEFT(AI627,FIND(" ",AI627&amp;" ")-1)))</f>
        <v/>
      </c>
      <c r="AR627" s="27">
        <f>IF(AQ627="","",IFERROR(DATE(VALUE(MID(AQ627,FIND("/",AQ627,FIND("/",AQ627)+1)+1,4)),VALUE(LEFT(AQ627,FIND("/",AQ627)-1)),VALUE(MID(AQ627,FIND("/",AQ627)+1,FIND("/",AQ627,FIND("/",AQ627)+1)-FIND("/",AQ627)-1))),""))</f>
        <v/>
      </c>
      <c r="AS627" s="26">
        <f>IF(G627="","",IF(AND(AG627&lt;&gt;"",AG627&lt;&gt;"Bayi Aracı"),"Evet","Hayır"))</f>
        <v/>
      </c>
      <c r="AT627" s="26">
        <f>IF(G627="","",IF(AND(AS627="Evet",T627="Siparişiniz Teslim Edildi"),"Evet","Hayır"))</f>
        <v/>
      </c>
      <c r="AU627" s="26">
        <f>IF(G627="","",IF(AB627="Siparişinizin Montajı Yapıldı","Evet","Hayır"))</f>
        <v/>
      </c>
      <c r="AV627" s="27">
        <f>IF(G627="","",IF(AT627="Evet",AR627,IF(AU627="Evet",AP627,"")))</f>
        <v/>
      </c>
    </row>
    <row r="628">
      <c r="A628" s="23" t="n"/>
      <c r="B628" s="23" t="n"/>
      <c r="C628" s="23" t="n"/>
      <c r="D628" s="23" t="n"/>
      <c r="E628" s="23" t="n"/>
      <c r="F628" s="23" t="n"/>
      <c r="G628" s="23" t="n"/>
      <c r="H628" s="23" t="n"/>
      <c r="I628" s="23" t="n"/>
      <c r="J628" s="23" t="n"/>
      <c r="K628" s="23" t="n"/>
      <c r="L628" s="23" t="n"/>
      <c r="M628" s="23" t="n"/>
      <c r="N628" s="23" t="n"/>
      <c r="O628" s="23" t="n"/>
      <c r="P628" s="23" t="n"/>
      <c r="Q628" s="23" t="n"/>
      <c r="R628" s="23" t="n"/>
      <c r="S628" s="23" t="n"/>
      <c r="T628" s="23" t="n"/>
      <c r="U628" s="23" t="n"/>
      <c r="V628" s="23" t="n"/>
      <c r="W628" s="23" t="n"/>
      <c r="X628" s="23" t="n"/>
      <c r="Y628" s="23" t="n"/>
      <c r="Z628" s="23" t="n"/>
      <c r="AA628" s="23" t="n"/>
      <c r="AB628" s="23" t="n"/>
      <c r="AC628" s="23" t="n"/>
      <c r="AD628" s="23" t="n"/>
      <c r="AE628" s="23" t="n"/>
      <c r="AF628" s="23" t="n"/>
      <c r="AG628" s="23" t="n"/>
      <c r="AH628" s="23" t="n"/>
      <c r="AI628" s="23" t="n"/>
      <c r="AJ628" s="23" t="n"/>
      <c r="AK628" s="23" t="n"/>
      <c r="AL628" s="23" t="n"/>
      <c r="AM628" s="26">
        <f>IF(G628="","",G628&amp;"|"&amp;P628)</f>
        <v/>
      </c>
      <c r="AN628" s="27">
        <f>IF(I628="","",IFERROR(DATE(VALUE(RIGHT(I628,4)),VALUE(MID(I628,4,2)),VALUE(LEFT(I628,2))),""))</f>
        <v/>
      </c>
      <c r="AO628" s="27">
        <f>IF(Y628="","",IFERROR(DATE(VALUE(RIGHT(Y628,4)),VALUE(MID(Y628,4,2)),VALUE(LEFT(Y628,2))),""))</f>
        <v/>
      </c>
      <c r="AP628" s="27">
        <f>IF(AC628="","",IFERROR(DATE(VALUE(RIGHT(AC628,4)),VALUE(MID(AC628,4,2)),VALUE(LEFT(AC628,2))),""))</f>
        <v/>
      </c>
      <c r="AQ628" s="26">
        <f>IF(AI628="","",TRIM(LEFT(AI628,FIND(" ",AI628&amp;" ")-1)))</f>
        <v/>
      </c>
      <c r="AR628" s="27">
        <f>IF(AQ628="","",IFERROR(DATE(VALUE(MID(AQ628,FIND("/",AQ628,FIND("/",AQ628)+1)+1,4)),VALUE(LEFT(AQ628,FIND("/",AQ628)-1)),VALUE(MID(AQ628,FIND("/",AQ628)+1,FIND("/",AQ628,FIND("/",AQ628)+1)-FIND("/",AQ628)-1))),""))</f>
        <v/>
      </c>
      <c r="AS628" s="26">
        <f>IF(G628="","",IF(AND(AG628&lt;&gt;"",AG628&lt;&gt;"Bayi Aracı"),"Evet","Hayır"))</f>
        <v/>
      </c>
      <c r="AT628" s="26">
        <f>IF(G628="","",IF(AND(AS628="Evet",T628="Siparişiniz Teslim Edildi"),"Evet","Hayır"))</f>
        <v/>
      </c>
      <c r="AU628" s="26">
        <f>IF(G628="","",IF(AB628="Siparişinizin Montajı Yapıldı","Evet","Hayır"))</f>
        <v/>
      </c>
      <c r="AV628" s="27">
        <f>IF(G628="","",IF(AT628="Evet",AR628,IF(AU628="Evet",AP628,"")))</f>
        <v/>
      </c>
    </row>
    <row r="629">
      <c r="A629" s="23" t="n"/>
      <c r="B629" s="23" t="n"/>
      <c r="C629" s="23" t="n"/>
      <c r="D629" s="23" t="n"/>
      <c r="E629" s="23" t="n"/>
      <c r="F629" s="23" t="n"/>
      <c r="G629" s="23" t="n"/>
      <c r="H629" s="23" t="n"/>
      <c r="I629" s="23" t="n"/>
      <c r="J629" s="23" t="n"/>
      <c r="K629" s="23" t="n"/>
      <c r="L629" s="23" t="n"/>
      <c r="M629" s="23" t="n"/>
      <c r="N629" s="23" t="n"/>
      <c r="O629" s="23" t="n"/>
      <c r="P629" s="23" t="n"/>
      <c r="Q629" s="23" t="n"/>
      <c r="R629" s="23" t="n"/>
      <c r="S629" s="23" t="n"/>
      <c r="T629" s="23" t="n"/>
      <c r="U629" s="23" t="n"/>
      <c r="V629" s="23" t="n"/>
      <c r="W629" s="23" t="n"/>
      <c r="X629" s="23" t="n"/>
      <c r="Y629" s="23" t="n"/>
      <c r="Z629" s="23" t="n"/>
      <c r="AA629" s="23" t="n"/>
      <c r="AB629" s="23" t="n"/>
      <c r="AC629" s="23" t="n"/>
      <c r="AD629" s="23" t="n"/>
      <c r="AE629" s="23" t="n"/>
      <c r="AF629" s="23" t="n"/>
      <c r="AG629" s="23" t="n"/>
      <c r="AH629" s="23" t="n"/>
      <c r="AI629" s="23" t="n"/>
      <c r="AJ629" s="23" t="n"/>
      <c r="AK629" s="23" t="n"/>
      <c r="AL629" s="23" t="n"/>
      <c r="AM629" s="26">
        <f>IF(G629="","",G629&amp;"|"&amp;P629)</f>
        <v/>
      </c>
      <c r="AN629" s="27">
        <f>IF(I629="","",IFERROR(DATE(VALUE(RIGHT(I629,4)),VALUE(MID(I629,4,2)),VALUE(LEFT(I629,2))),""))</f>
        <v/>
      </c>
      <c r="AO629" s="27">
        <f>IF(Y629="","",IFERROR(DATE(VALUE(RIGHT(Y629,4)),VALUE(MID(Y629,4,2)),VALUE(LEFT(Y629,2))),""))</f>
        <v/>
      </c>
      <c r="AP629" s="27">
        <f>IF(AC629="","",IFERROR(DATE(VALUE(RIGHT(AC629,4)),VALUE(MID(AC629,4,2)),VALUE(LEFT(AC629,2))),""))</f>
        <v/>
      </c>
      <c r="AQ629" s="26">
        <f>IF(AI629="","",TRIM(LEFT(AI629,FIND(" ",AI629&amp;" ")-1)))</f>
        <v/>
      </c>
      <c r="AR629" s="27">
        <f>IF(AQ629="","",IFERROR(DATE(VALUE(MID(AQ629,FIND("/",AQ629,FIND("/",AQ629)+1)+1,4)),VALUE(LEFT(AQ629,FIND("/",AQ629)-1)),VALUE(MID(AQ629,FIND("/",AQ629)+1,FIND("/",AQ629,FIND("/",AQ629)+1)-FIND("/",AQ629)-1))),""))</f>
        <v/>
      </c>
      <c r="AS629" s="26">
        <f>IF(G629="","",IF(AND(AG629&lt;&gt;"",AG629&lt;&gt;"Bayi Aracı"),"Evet","Hayır"))</f>
        <v/>
      </c>
      <c r="AT629" s="26">
        <f>IF(G629="","",IF(AND(AS629="Evet",T629="Siparişiniz Teslim Edildi"),"Evet","Hayır"))</f>
        <v/>
      </c>
      <c r="AU629" s="26">
        <f>IF(G629="","",IF(AB629="Siparişinizin Montajı Yapıldı","Evet","Hayır"))</f>
        <v/>
      </c>
      <c r="AV629" s="27">
        <f>IF(G629="","",IF(AT629="Evet",AR629,IF(AU629="Evet",AP629,"")))</f>
        <v/>
      </c>
    </row>
    <row r="630">
      <c r="A630" s="23" t="n"/>
      <c r="B630" s="23" t="n"/>
      <c r="C630" s="23" t="n"/>
      <c r="D630" s="23" t="n"/>
      <c r="E630" s="23" t="n"/>
      <c r="F630" s="23" t="n"/>
      <c r="G630" s="23" t="n"/>
      <c r="H630" s="23" t="n"/>
      <c r="I630" s="23" t="n"/>
      <c r="J630" s="23" t="n"/>
      <c r="K630" s="23" t="n"/>
      <c r="L630" s="23" t="n"/>
      <c r="M630" s="23" t="n"/>
      <c r="N630" s="23" t="n"/>
      <c r="O630" s="23" t="n"/>
      <c r="P630" s="23" t="n"/>
      <c r="Q630" s="23" t="n"/>
      <c r="R630" s="23" t="n"/>
      <c r="S630" s="23" t="n"/>
      <c r="T630" s="23" t="n"/>
      <c r="U630" s="23" t="n"/>
      <c r="V630" s="23" t="n"/>
      <c r="W630" s="23" t="n"/>
      <c r="X630" s="23" t="n"/>
      <c r="Y630" s="23" t="n"/>
      <c r="Z630" s="23" t="n"/>
      <c r="AA630" s="23" t="n"/>
      <c r="AB630" s="23" t="n"/>
      <c r="AC630" s="23" t="n"/>
      <c r="AD630" s="23" t="n"/>
      <c r="AE630" s="23" t="n"/>
      <c r="AF630" s="23" t="n"/>
      <c r="AG630" s="23" t="n"/>
      <c r="AH630" s="23" t="n"/>
      <c r="AI630" s="23" t="n"/>
      <c r="AJ630" s="23" t="n"/>
      <c r="AK630" s="23" t="n"/>
      <c r="AL630" s="23" t="n"/>
      <c r="AM630" s="26">
        <f>IF(G630="","",G630&amp;"|"&amp;P630)</f>
        <v/>
      </c>
      <c r="AN630" s="27">
        <f>IF(I630="","",IFERROR(DATE(VALUE(RIGHT(I630,4)),VALUE(MID(I630,4,2)),VALUE(LEFT(I630,2))),""))</f>
        <v/>
      </c>
      <c r="AO630" s="27">
        <f>IF(Y630="","",IFERROR(DATE(VALUE(RIGHT(Y630,4)),VALUE(MID(Y630,4,2)),VALUE(LEFT(Y630,2))),""))</f>
        <v/>
      </c>
      <c r="AP630" s="27">
        <f>IF(AC630="","",IFERROR(DATE(VALUE(RIGHT(AC630,4)),VALUE(MID(AC630,4,2)),VALUE(LEFT(AC630,2))),""))</f>
        <v/>
      </c>
      <c r="AQ630" s="26">
        <f>IF(AI630="","",TRIM(LEFT(AI630,FIND(" ",AI630&amp;" ")-1)))</f>
        <v/>
      </c>
      <c r="AR630" s="27">
        <f>IF(AQ630="","",IFERROR(DATE(VALUE(MID(AQ630,FIND("/",AQ630,FIND("/",AQ630)+1)+1,4)),VALUE(LEFT(AQ630,FIND("/",AQ630)-1)),VALUE(MID(AQ630,FIND("/",AQ630)+1,FIND("/",AQ630,FIND("/",AQ630)+1)-FIND("/",AQ630)-1))),""))</f>
        <v/>
      </c>
      <c r="AS630" s="26">
        <f>IF(G630="","",IF(AND(AG630&lt;&gt;"",AG630&lt;&gt;"Bayi Aracı"),"Evet","Hayır"))</f>
        <v/>
      </c>
      <c r="AT630" s="26">
        <f>IF(G630="","",IF(AND(AS630="Evet",T630="Siparişiniz Teslim Edildi"),"Evet","Hayır"))</f>
        <v/>
      </c>
      <c r="AU630" s="26">
        <f>IF(G630="","",IF(AB630="Siparişinizin Montajı Yapıldı","Evet","Hayır"))</f>
        <v/>
      </c>
      <c r="AV630" s="27">
        <f>IF(G630="","",IF(AT630="Evet",AR630,IF(AU630="Evet",AP630,"")))</f>
        <v/>
      </c>
    </row>
    <row r="631">
      <c r="A631" s="23" t="n"/>
      <c r="B631" s="23" t="n"/>
      <c r="C631" s="23" t="n"/>
      <c r="D631" s="23" t="n"/>
      <c r="E631" s="23" t="n"/>
      <c r="F631" s="23" t="n"/>
      <c r="G631" s="23" t="n"/>
      <c r="H631" s="23" t="n"/>
      <c r="I631" s="23" t="n"/>
      <c r="J631" s="23" t="n"/>
      <c r="K631" s="23" t="n"/>
      <c r="L631" s="23" t="n"/>
      <c r="M631" s="23" t="n"/>
      <c r="N631" s="23" t="n"/>
      <c r="O631" s="23" t="n"/>
      <c r="P631" s="23" t="n"/>
      <c r="Q631" s="23" t="n"/>
      <c r="R631" s="23" t="n"/>
      <c r="S631" s="23" t="n"/>
      <c r="T631" s="23" t="n"/>
      <c r="U631" s="23" t="n"/>
      <c r="V631" s="23" t="n"/>
      <c r="W631" s="23" t="n"/>
      <c r="X631" s="23" t="n"/>
      <c r="Y631" s="23" t="n"/>
      <c r="Z631" s="23" t="n"/>
      <c r="AA631" s="23" t="n"/>
      <c r="AB631" s="23" t="n"/>
      <c r="AC631" s="23" t="n"/>
      <c r="AD631" s="23" t="n"/>
      <c r="AE631" s="23" t="n"/>
      <c r="AF631" s="23" t="n"/>
      <c r="AG631" s="23" t="n"/>
      <c r="AH631" s="23" t="n"/>
      <c r="AI631" s="23" t="n"/>
      <c r="AJ631" s="23" t="n"/>
      <c r="AK631" s="23" t="n"/>
      <c r="AL631" s="23" t="n"/>
      <c r="AM631" s="26">
        <f>IF(G631="","",G631&amp;"|"&amp;P631)</f>
        <v/>
      </c>
      <c r="AN631" s="27">
        <f>IF(I631="","",IFERROR(DATE(VALUE(RIGHT(I631,4)),VALUE(MID(I631,4,2)),VALUE(LEFT(I631,2))),""))</f>
        <v/>
      </c>
      <c r="AO631" s="27">
        <f>IF(Y631="","",IFERROR(DATE(VALUE(RIGHT(Y631,4)),VALUE(MID(Y631,4,2)),VALUE(LEFT(Y631,2))),""))</f>
        <v/>
      </c>
      <c r="AP631" s="27">
        <f>IF(AC631="","",IFERROR(DATE(VALUE(RIGHT(AC631,4)),VALUE(MID(AC631,4,2)),VALUE(LEFT(AC631,2))),""))</f>
        <v/>
      </c>
      <c r="AQ631" s="26">
        <f>IF(AI631="","",TRIM(LEFT(AI631,FIND(" ",AI631&amp;" ")-1)))</f>
        <v/>
      </c>
      <c r="AR631" s="27">
        <f>IF(AQ631="","",IFERROR(DATE(VALUE(MID(AQ631,FIND("/",AQ631,FIND("/",AQ631)+1)+1,4)),VALUE(LEFT(AQ631,FIND("/",AQ631)-1)),VALUE(MID(AQ631,FIND("/",AQ631)+1,FIND("/",AQ631,FIND("/",AQ631)+1)-FIND("/",AQ631)-1))),""))</f>
        <v/>
      </c>
      <c r="AS631" s="26">
        <f>IF(G631="","",IF(AND(AG631&lt;&gt;"",AG631&lt;&gt;"Bayi Aracı"),"Evet","Hayır"))</f>
        <v/>
      </c>
      <c r="AT631" s="26">
        <f>IF(G631="","",IF(AND(AS631="Evet",T631="Siparişiniz Teslim Edildi"),"Evet","Hayır"))</f>
        <v/>
      </c>
      <c r="AU631" s="26">
        <f>IF(G631="","",IF(AB631="Siparişinizin Montajı Yapıldı","Evet","Hayır"))</f>
        <v/>
      </c>
      <c r="AV631" s="27">
        <f>IF(G631="","",IF(AT631="Evet",AR631,IF(AU631="Evet",AP631,"")))</f>
        <v/>
      </c>
    </row>
    <row r="632">
      <c r="A632" s="23" t="n"/>
      <c r="B632" s="23" t="n"/>
      <c r="C632" s="23" t="n"/>
      <c r="D632" s="23" t="n"/>
      <c r="E632" s="23" t="n"/>
      <c r="F632" s="23" t="n"/>
      <c r="G632" s="23" t="n"/>
      <c r="H632" s="23" t="n"/>
      <c r="I632" s="23" t="n"/>
      <c r="J632" s="23" t="n"/>
      <c r="K632" s="23" t="n"/>
      <c r="L632" s="23" t="n"/>
      <c r="M632" s="23" t="n"/>
      <c r="N632" s="23" t="n"/>
      <c r="O632" s="23" t="n"/>
      <c r="P632" s="23" t="n"/>
      <c r="Q632" s="23" t="n"/>
      <c r="R632" s="23" t="n"/>
      <c r="S632" s="23" t="n"/>
      <c r="T632" s="23" t="n"/>
      <c r="U632" s="23" t="n"/>
      <c r="V632" s="23" t="n"/>
      <c r="W632" s="23" t="n"/>
      <c r="X632" s="23" t="n"/>
      <c r="Y632" s="23" t="n"/>
      <c r="Z632" s="23" t="n"/>
      <c r="AA632" s="23" t="n"/>
      <c r="AB632" s="23" t="n"/>
      <c r="AC632" s="23" t="n"/>
      <c r="AD632" s="23" t="n"/>
      <c r="AE632" s="23" t="n"/>
      <c r="AF632" s="23" t="n"/>
      <c r="AG632" s="23" t="n"/>
      <c r="AH632" s="23" t="n"/>
      <c r="AI632" s="23" t="n"/>
      <c r="AJ632" s="23" t="n"/>
      <c r="AK632" s="23" t="n"/>
      <c r="AL632" s="23" t="n"/>
      <c r="AM632" s="26">
        <f>IF(G632="","",G632&amp;"|"&amp;P632)</f>
        <v/>
      </c>
      <c r="AN632" s="27">
        <f>IF(I632="","",IFERROR(DATE(VALUE(RIGHT(I632,4)),VALUE(MID(I632,4,2)),VALUE(LEFT(I632,2))),""))</f>
        <v/>
      </c>
      <c r="AO632" s="27">
        <f>IF(Y632="","",IFERROR(DATE(VALUE(RIGHT(Y632,4)),VALUE(MID(Y632,4,2)),VALUE(LEFT(Y632,2))),""))</f>
        <v/>
      </c>
      <c r="AP632" s="27">
        <f>IF(AC632="","",IFERROR(DATE(VALUE(RIGHT(AC632,4)),VALUE(MID(AC632,4,2)),VALUE(LEFT(AC632,2))),""))</f>
        <v/>
      </c>
      <c r="AQ632" s="26">
        <f>IF(AI632="","",TRIM(LEFT(AI632,FIND(" ",AI632&amp;" ")-1)))</f>
        <v/>
      </c>
      <c r="AR632" s="27">
        <f>IF(AQ632="","",IFERROR(DATE(VALUE(MID(AQ632,FIND("/",AQ632,FIND("/",AQ632)+1)+1,4)),VALUE(LEFT(AQ632,FIND("/",AQ632)-1)),VALUE(MID(AQ632,FIND("/",AQ632)+1,FIND("/",AQ632,FIND("/",AQ632)+1)-FIND("/",AQ632)-1))),""))</f>
        <v/>
      </c>
      <c r="AS632" s="26">
        <f>IF(G632="","",IF(AND(AG632&lt;&gt;"",AG632&lt;&gt;"Bayi Aracı"),"Evet","Hayır"))</f>
        <v/>
      </c>
      <c r="AT632" s="26">
        <f>IF(G632="","",IF(AND(AS632="Evet",T632="Siparişiniz Teslim Edildi"),"Evet","Hayır"))</f>
        <v/>
      </c>
      <c r="AU632" s="26">
        <f>IF(G632="","",IF(AB632="Siparişinizin Montajı Yapıldı","Evet","Hayır"))</f>
        <v/>
      </c>
      <c r="AV632" s="27">
        <f>IF(G632="","",IF(AT632="Evet",AR632,IF(AU632="Evet",AP632,"")))</f>
        <v/>
      </c>
    </row>
    <row r="633">
      <c r="A633" s="23" t="n"/>
      <c r="B633" s="23" t="n"/>
      <c r="C633" s="23" t="n"/>
      <c r="D633" s="23" t="n"/>
      <c r="E633" s="23" t="n"/>
      <c r="F633" s="23" t="n"/>
      <c r="G633" s="23" t="n"/>
      <c r="H633" s="23" t="n"/>
      <c r="I633" s="23" t="n"/>
      <c r="J633" s="23" t="n"/>
      <c r="K633" s="23" t="n"/>
      <c r="L633" s="23" t="n"/>
      <c r="M633" s="23" t="n"/>
      <c r="N633" s="23" t="n"/>
      <c r="O633" s="23" t="n"/>
      <c r="P633" s="23" t="n"/>
      <c r="Q633" s="23" t="n"/>
      <c r="R633" s="23" t="n"/>
      <c r="S633" s="23" t="n"/>
      <c r="T633" s="23" t="n"/>
      <c r="U633" s="23" t="n"/>
      <c r="V633" s="23" t="n"/>
      <c r="W633" s="23" t="n"/>
      <c r="X633" s="23" t="n"/>
      <c r="Y633" s="23" t="n"/>
      <c r="Z633" s="23" t="n"/>
      <c r="AA633" s="23" t="n"/>
      <c r="AB633" s="23" t="n"/>
      <c r="AC633" s="23" t="n"/>
      <c r="AD633" s="23" t="n"/>
      <c r="AE633" s="23" t="n"/>
      <c r="AF633" s="23" t="n"/>
      <c r="AG633" s="23" t="n"/>
      <c r="AH633" s="23" t="n"/>
      <c r="AI633" s="23" t="n"/>
      <c r="AJ633" s="23" t="n"/>
      <c r="AK633" s="23" t="n"/>
      <c r="AL633" s="23" t="n"/>
      <c r="AM633" s="26">
        <f>IF(G633="","",G633&amp;"|"&amp;P633)</f>
        <v/>
      </c>
      <c r="AN633" s="27">
        <f>IF(I633="","",IFERROR(DATE(VALUE(RIGHT(I633,4)),VALUE(MID(I633,4,2)),VALUE(LEFT(I633,2))),""))</f>
        <v/>
      </c>
      <c r="AO633" s="27">
        <f>IF(Y633="","",IFERROR(DATE(VALUE(RIGHT(Y633,4)),VALUE(MID(Y633,4,2)),VALUE(LEFT(Y633,2))),""))</f>
        <v/>
      </c>
      <c r="AP633" s="27">
        <f>IF(AC633="","",IFERROR(DATE(VALUE(RIGHT(AC633,4)),VALUE(MID(AC633,4,2)),VALUE(LEFT(AC633,2))),""))</f>
        <v/>
      </c>
      <c r="AQ633" s="26">
        <f>IF(AI633="","",TRIM(LEFT(AI633,FIND(" ",AI633&amp;" ")-1)))</f>
        <v/>
      </c>
      <c r="AR633" s="27">
        <f>IF(AQ633="","",IFERROR(DATE(VALUE(MID(AQ633,FIND("/",AQ633,FIND("/",AQ633)+1)+1,4)),VALUE(LEFT(AQ633,FIND("/",AQ633)-1)),VALUE(MID(AQ633,FIND("/",AQ633)+1,FIND("/",AQ633,FIND("/",AQ633)+1)-FIND("/",AQ633)-1))),""))</f>
        <v/>
      </c>
      <c r="AS633" s="26">
        <f>IF(G633="","",IF(AND(AG633&lt;&gt;"",AG633&lt;&gt;"Bayi Aracı"),"Evet","Hayır"))</f>
        <v/>
      </c>
      <c r="AT633" s="26">
        <f>IF(G633="","",IF(AND(AS633="Evet",T633="Siparişiniz Teslim Edildi"),"Evet","Hayır"))</f>
        <v/>
      </c>
      <c r="AU633" s="26">
        <f>IF(G633="","",IF(AB633="Siparişinizin Montajı Yapıldı","Evet","Hayır"))</f>
        <v/>
      </c>
      <c r="AV633" s="27">
        <f>IF(G633="","",IF(AT633="Evet",AR633,IF(AU633="Evet",AP633,"")))</f>
        <v/>
      </c>
    </row>
    <row r="634">
      <c r="A634" s="23" t="n"/>
      <c r="B634" s="23" t="n"/>
      <c r="C634" s="23" t="n"/>
      <c r="D634" s="23" t="n"/>
      <c r="E634" s="23" t="n"/>
      <c r="F634" s="23" t="n"/>
      <c r="G634" s="23" t="n"/>
      <c r="H634" s="23" t="n"/>
      <c r="I634" s="23" t="n"/>
      <c r="J634" s="23" t="n"/>
      <c r="K634" s="23" t="n"/>
      <c r="L634" s="23" t="n"/>
      <c r="M634" s="23" t="n"/>
      <c r="N634" s="23" t="n"/>
      <c r="O634" s="23" t="n"/>
      <c r="P634" s="23" t="n"/>
      <c r="Q634" s="23" t="n"/>
      <c r="R634" s="23" t="n"/>
      <c r="S634" s="23" t="n"/>
      <c r="T634" s="23" t="n"/>
      <c r="U634" s="23" t="n"/>
      <c r="V634" s="23" t="n"/>
      <c r="W634" s="23" t="n"/>
      <c r="X634" s="23" t="n"/>
      <c r="Y634" s="23" t="n"/>
      <c r="Z634" s="23" t="n"/>
      <c r="AA634" s="23" t="n"/>
      <c r="AB634" s="23" t="n"/>
      <c r="AC634" s="23" t="n"/>
      <c r="AD634" s="23" t="n"/>
      <c r="AE634" s="23" t="n"/>
      <c r="AF634" s="23" t="n"/>
      <c r="AG634" s="23" t="n"/>
      <c r="AH634" s="23" t="n"/>
      <c r="AI634" s="23" t="n"/>
      <c r="AJ634" s="23" t="n"/>
      <c r="AK634" s="23" t="n"/>
      <c r="AL634" s="23" t="n"/>
      <c r="AM634" s="26">
        <f>IF(G634="","",G634&amp;"|"&amp;P634)</f>
        <v/>
      </c>
      <c r="AN634" s="27">
        <f>IF(I634="","",IFERROR(DATE(VALUE(RIGHT(I634,4)),VALUE(MID(I634,4,2)),VALUE(LEFT(I634,2))),""))</f>
        <v/>
      </c>
      <c r="AO634" s="27">
        <f>IF(Y634="","",IFERROR(DATE(VALUE(RIGHT(Y634,4)),VALUE(MID(Y634,4,2)),VALUE(LEFT(Y634,2))),""))</f>
        <v/>
      </c>
      <c r="AP634" s="27">
        <f>IF(AC634="","",IFERROR(DATE(VALUE(RIGHT(AC634,4)),VALUE(MID(AC634,4,2)),VALUE(LEFT(AC634,2))),""))</f>
        <v/>
      </c>
      <c r="AQ634" s="26">
        <f>IF(AI634="","",TRIM(LEFT(AI634,FIND(" ",AI634&amp;" ")-1)))</f>
        <v/>
      </c>
      <c r="AR634" s="27">
        <f>IF(AQ634="","",IFERROR(DATE(VALUE(MID(AQ634,FIND("/",AQ634,FIND("/",AQ634)+1)+1,4)),VALUE(LEFT(AQ634,FIND("/",AQ634)-1)),VALUE(MID(AQ634,FIND("/",AQ634)+1,FIND("/",AQ634,FIND("/",AQ634)+1)-FIND("/",AQ634)-1))),""))</f>
        <v/>
      </c>
      <c r="AS634" s="26">
        <f>IF(G634="","",IF(AND(AG634&lt;&gt;"",AG634&lt;&gt;"Bayi Aracı"),"Evet","Hayır"))</f>
        <v/>
      </c>
      <c r="AT634" s="26">
        <f>IF(G634="","",IF(AND(AS634="Evet",T634="Siparişiniz Teslim Edildi"),"Evet","Hayır"))</f>
        <v/>
      </c>
      <c r="AU634" s="26">
        <f>IF(G634="","",IF(AB634="Siparişinizin Montajı Yapıldı","Evet","Hayır"))</f>
        <v/>
      </c>
      <c r="AV634" s="27">
        <f>IF(G634="","",IF(AT634="Evet",AR634,IF(AU634="Evet",AP634,"")))</f>
        <v/>
      </c>
    </row>
    <row r="635">
      <c r="A635" s="23" t="n"/>
      <c r="B635" s="23" t="n"/>
      <c r="C635" s="23" t="n"/>
      <c r="D635" s="23" t="n"/>
      <c r="E635" s="23" t="n"/>
      <c r="F635" s="23" t="n"/>
      <c r="G635" s="23" t="n"/>
      <c r="H635" s="23" t="n"/>
      <c r="I635" s="23" t="n"/>
      <c r="J635" s="23" t="n"/>
      <c r="K635" s="23" t="n"/>
      <c r="L635" s="23" t="n"/>
      <c r="M635" s="23" t="n"/>
      <c r="N635" s="23" t="n"/>
      <c r="O635" s="23" t="n"/>
      <c r="P635" s="23" t="n"/>
      <c r="Q635" s="23" t="n"/>
      <c r="R635" s="23" t="n"/>
      <c r="S635" s="23" t="n"/>
      <c r="T635" s="23" t="n"/>
      <c r="U635" s="23" t="n"/>
      <c r="V635" s="23" t="n"/>
      <c r="W635" s="23" t="n"/>
      <c r="X635" s="23" t="n"/>
      <c r="Y635" s="23" t="n"/>
      <c r="Z635" s="23" t="n"/>
      <c r="AA635" s="23" t="n"/>
      <c r="AB635" s="23" t="n"/>
      <c r="AC635" s="23" t="n"/>
      <c r="AD635" s="23" t="n"/>
      <c r="AE635" s="23" t="n"/>
      <c r="AF635" s="23" t="n"/>
      <c r="AG635" s="23" t="n"/>
      <c r="AH635" s="23" t="n"/>
      <c r="AI635" s="23" t="n"/>
      <c r="AJ635" s="23" t="n"/>
      <c r="AK635" s="23" t="n"/>
      <c r="AL635" s="23" t="n"/>
      <c r="AM635" s="26">
        <f>IF(G635="","",G635&amp;"|"&amp;P635)</f>
        <v/>
      </c>
      <c r="AN635" s="27">
        <f>IF(I635="","",IFERROR(DATE(VALUE(RIGHT(I635,4)),VALUE(MID(I635,4,2)),VALUE(LEFT(I635,2))),""))</f>
        <v/>
      </c>
      <c r="AO635" s="27">
        <f>IF(Y635="","",IFERROR(DATE(VALUE(RIGHT(Y635,4)),VALUE(MID(Y635,4,2)),VALUE(LEFT(Y635,2))),""))</f>
        <v/>
      </c>
      <c r="AP635" s="27">
        <f>IF(AC635="","",IFERROR(DATE(VALUE(RIGHT(AC635,4)),VALUE(MID(AC635,4,2)),VALUE(LEFT(AC635,2))),""))</f>
        <v/>
      </c>
      <c r="AQ635" s="26">
        <f>IF(AI635="","",TRIM(LEFT(AI635,FIND(" ",AI635&amp;" ")-1)))</f>
        <v/>
      </c>
      <c r="AR635" s="27">
        <f>IF(AQ635="","",IFERROR(DATE(VALUE(MID(AQ635,FIND("/",AQ635,FIND("/",AQ635)+1)+1,4)),VALUE(LEFT(AQ635,FIND("/",AQ635)-1)),VALUE(MID(AQ635,FIND("/",AQ635)+1,FIND("/",AQ635,FIND("/",AQ635)+1)-FIND("/",AQ635)-1))),""))</f>
        <v/>
      </c>
      <c r="AS635" s="26">
        <f>IF(G635="","",IF(AND(AG635&lt;&gt;"",AG635&lt;&gt;"Bayi Aracı"),"Evet","Hayır"))</f>
        <v/>
      </c>
      <c r="AT635" s="26">
        <f>IF(G635="","",IF(AND(AS635="Evet",T635="Siparişiniz Teslim Edildi"),"Evet","Hayır"))</f>
        <v/>
      </c>
      <c r="AU635" s="26">
        <f>IF(G635="","",IF(AB635="Siparişinizin Montajı Yapıldı","Evet","Hayır"))</f>
        <v/>
      </c>
      <c r="AV635" s="27">
        <f>IF(G635="","",IF(AT635="Evet",AR635,IF(AU635="Evet",AP635,"")))</f>
        <v/>
      </c>
    </row>
    <row r="636">
      <c r="A636" s="23" t="n"/>
      <c r="B636" s="23" t="n"/>
      <c r="C636" s="23" t="n"/>
      <c r="D636" s="23" t="n"/>
      <c r="E636" s="23" t="n"/>
      <c r="F636" s="23" t="n"/>
      <c r="G636" s="23" t="n"/>
      <c r="H636" s="23" t="n"/>
      <c r="I636" s="23" t="n"/>
      <c r="J636" s="23" t="n"/>
      <c r="K636" s="23" t="n"/>
      <c r="L636" s="23" t="n"/>
      <c r="M636" s="23" t="n"/>
      <c r="N636" s="23" t="n"/>
      <c r="O636" s="23" t="n"/>
      <c r="P636" s="23" t="n"/>
      <c r="Q636" s="23" t="n"/>
      <c r="R636" s="23" t="n"/>
      <c r="S636" s="23" t="n"/>
      <c r="T636" s="23" t="n"/>
      <c r="U636" s="23" t="n"/>
      <c r="V636" s="23" t="n"/>
      <c r="W636" s="23" t="n"/>
      <c r="X636" s="23" t="n"/>
      <c r="Y636" s="23" t="n"/>
      <c r="Z636" s="23" t="n"/>
      <c r="AA636" s="23" t="n"/>
      <c r="AB636" s="23" t="n"/>
      <c r="AC636" s="23" t="n"/>
      <c r="AD636" s="23" t="n"/>
      <c r="AE636" s="23" t="n"/>
      <c r="AF636" s="23" t="n"/>
      <c r="AG636" s="23" t="n"/>
      <c r="AH636" s="23" t="n"/>
      <c r="AI636" s="23" t="n"/>
      <c r="AJ636" s="23" t="n"/>
      <c r="AK636" s="23" t="n"/>
      <c r="AL636" s="23" t="n"/>
      <c r="AM636" s="26">
        <f>IF(G636="","",G636&amp;"|"&amp;P636)</f>
        <v/>
      </c>
      <c r="AN636" s="27">
        <f>IF(I636="","",IFERROR(DATE(VALUE(RIGHT(I636,4)),VALUE(MID(I636,4,2)),VALUE(LEFT(I636,2))),""))</f>
        <v/>
      </c>
      <c r="AO636" s="27">
        <f>IF(Y636="","",IFERROR(DATE(VALUE(RIGHT(Y636,4)),VALUE(MID(Y636,4,2)),VALUE(LEFT(Y636,2))),""))</f>
        <v/>
      </c>
      <c r="AP636" s="27">
        <f>IF(AC636="","",IFERROR(DATE(VALUE(RIGHT(AC636,4)),VALUE(MID(AC636,4,2)),VALUE(LEFT(AC636,2))),""))</f>
        <v/>
      </c>
      <c r="AQ636" s="26">
        <f>IF(AI636="","",TRIM(LEFT(AI636,FIND(" ",AI636&amp;" ")-1)))</f>
        <v/>
      </c>
      <c r="AR636" s="27">
        <f>IF(AQ636="","",IFERROR(DATE(VALUE(MID(AQ636,FIND("/",AQ636,FIND("/",AQ636)+1)+1,4)),VALUE(LEFT(AQ636,FIND("/",AQ636)-1)),VALUE(MID(AQ636,FIND("/",AQ636)+1,FIND("/",AQ636,FIND("/",AQ636)+1)-FIND("/",AQ636)-1))),""))</f>
        <v/>
      </c>
      <c r="AS636" s="26">
        <f>IF(G636="","",IF(AND(AG636&lt;&gt;"",AG636&lt;&gt;"Bayi Aracı"),"Evet","Hayır"))</f>
        <v/>
      </c>
      <c r="AT636" s="26">
        <f>IF(G636="","",IF(AND(AS636="Evet",T636="Siparişiniz Teslim Edildi"),"Evet","Hayır"))</f>
        <v/>
      </c>
      <c r="AU636" s="26">
        <f>IF(G636="","",IF(AB636="Siparişinizin Montajı Yapıldı","Evet","Hayır"))</f>
        <v/>
      </c>
      <c r="AV636" s="27">
        <f>IF(G636="","",IF(AT636="Evet",AR636,IF(AU636="Evet",AP636,"")))</f>
        <v/>
      </c>
    </row>
    <row r="637">
      <c r="A637" s="23" t="n"/>
      <c r="B637" s="23" t="n"/>
      <c r="C637" s="23" t="n"/>
      <c r="D637" s="23" t="n"/>
      <c r="E637" s="23" t="n"/>
      <c r="F637" s="23" t="n"/>
      <c r="G637" s="23" t="n"/>
      <c r="H637" s="23" t="n"/>
      <c r="I637" s="23" t="n"/>
      <c r="J637" s="23" t="n"/>
      <c r="K637" s="23" t="n"/>
      <c r="L637" s="23" t="n"/>
      <c r="M637" s="23" t="n"/>
      <c r="N637" s="23" t="n"/>
      <c r="O637" s="23" t="n"/>
      <c r="P637" s="23" t="n"/>
      <c r="Q637" s="23" t="n"/>
      <c r="R637" s="23" t="n"/>
      <c r="S637" s="23" t="n"/>
      <c r="T637" s="23" t="n"/>
      <c r="U637" s="23" t="n"/>
      <c r="V637" s="23" t="n"/>
      <c r="W637" s="23" t="n"/>
      <c r="X637" s="23" t="n"/>
      <c r="Y637" s="23" t="n"/>
      <c r="Z637" s="23" t="n"/>
      <c r="AA637" s="23" t="n"/>
      <c r="AB637" s="23" t="n"/>
      <c r="AC637" s="23" t="n"/>
      <c r="AD637" s="23" t="n"/>
      <c r="AE637" s="23" t="n"/>
      <c r="AF637" s="23" t="n"/>
      <c r="AG637" s="23" t="n"/>
      <c r="AH637" s="23" t="n"/>
      <c r="AI637" s="23" t="n"/>
      <c r="AJ637" s="23" t="n"/>
      <c r="AK637" s="23" t="n"/>
      <c r="AL637" s="23" t="n"/>
      <c r="AM637" s="26">
        <f>IF(G637="","",G637&amp;"|"&amp;P637)</f>
        <v/>
      </c>
      <c r="AN637" s="27">
        <f>IF(I637="","",IFERROR(DATE(VALUE(RIGHT(I637,4)),VALUE(MID(I637,4,2)),VALUE(LEFT(I637,2))),""))</f>
        <v/>
      </c>
      <c r="AO637" s="27">
        <f>IF(Y637="","",IFERROR(DATE(VALUE(RIGHT(Y637,4)),VALUE(MID(Y637,4,2)),VALUE(LEFT(Y637,2))),""))</f>
        <v/>
      </c>
      <c r="AP637" s="27">
        <f>IF(AC637="","",IFERROR(DATE(VALUE(RIGHT(AC637,4)),VALUE(MID(AC637,4,2)),VALUE(LEFT(AC637,2))),""))</f>
        <v/>
      </c>
      <c r="AQ637" s="26">
        <f>IF(AI637="","",TRIM(LEFT(AI637,FIND(" ",AI637&amp;" ")-1)))</f>
        <v/>
      </c>
      <c r="AR637" s="27">
        <f>IF(AQ637="","",IFERROR(DATE(VALUE(MID(AQ637,FIND("/",AQ637,FIND("/",AQ637)+1)+1,4)),VALUE(LEFT(AQ637,FIND("/",AQ637)-1)),VALUE(MID(AQ637,FIND("/",AQ637)+1,FIND("/",AQ637,FIND("/",AQ637)+1)-FIND("/",AQ637)-1))),""))</f>
        <v/>
      </c>
      <c r="AS637" s="26">
        <f>IF(G637="","",IF(AND(AG637&lt;&gt;"",AG637&lt;&gt;"Bayi Aracı"),"Evet","Hayır"))</f>
        <v/>
      </c>
      <c r="AT637" s="26">
        <f>IF(G637="","",IF(AND(AS637="Evet",T637="Siparişiniz Teslim Edildi"),"Evet","Hayır"))</f>
        <v/>
      </c>
      <c r="AU637" s="26">
        <f>IF(G637="","",IF(AB637="Siparişinizin Montajı Yapıldı","Evet","Hayır"))</f>
        <v/>
      </c>
      <c r="AV637" s="27">
        <f>IF(G637="","",IF(AT637="Evet",AR637,IF(AU637="Evet",AP637,"")))</f>
        <v/>
      </c>
    </row>
    <row r="638">
      <c r="A638" s="23" t="n"/>
      <c r="B638" s="23" t="n"/>
      <c r="C638" s="23" t="n"/>
      <c r="D638" s="23" t="n"/>
      <c r="E638" s="23" t="n"/>
      <c r="F638" s="23" t="n"/>
      <c r="G638" s="23" t="n"/>
      <c r="H638" s="23" t="n"/>
      <c r="I638" s="23" t="n"/>
      <c r="J638" s="23" t="n"/>
      <c r="K638" s="23" t="n"/>
      <c r="L638" s="23" t="n"/>
      <c r="M638" s="23" t="n"/>
      <c r="N638" s="23" t="n"/>
      <c r="O638" s="23" t="n"/>
      <c r="P638" s="23" t="n"/>
      <c r="Q638" s="23" t="n"/>
      <c r="R638" s="23" t="n"/>
      <c r="S638" s="23" t="n"/>
      <c r="T638" s="23" t="n"/>
      <c r="U638" s="23" t="n"/>
      <c r="V638" s="23" t="n"/>
      <c r="W638" s="23" t="n"/>
      <c r="X638" s="23" t="n"/>
      <c r="Y638" s="23" t="n"/>
      <c r="Z638" s="23" t="n"/>
      <c r="AA638" s="23" t="n"/>
      <c r="AB638" s="23" t="n"/>
      <c r="AC638" s="23" t="n"/>
      <c r="AD638" s="23" t="n"/>
      <c r="AE638" s="23" t="n"/>
      <c r="AF638" s="23" t="n"/>
      <c r="AG638" s="23" t="n"/>
      <c r="AH638" s="23" t="n"/>
      <c r="AI638" s="23" t="n"/>
      <c r="AJ638" s="23" t="n"/>
      <c r="AK638" s="23" t="n"/>
      <c r="AL638" s="23" t="n"/>
      <c r="AM638" s="26">
        <f>IF(G638="","",G638&amp;"|"&amp;P638)</f>
        <v/>
      </c>
      <c r="AN638" s="27">
        <f>IF(I638="","",IFERROR(DATE(VALUE(RIGHT(I638,4)),VALUE(MID(I638,4,2)),VALUE(LEFT(I638,2))),""))</f>
        <v/>
      </c>
      <c r="AO638" s="27">
        <f>IF(Y638="","",IFERROR(DATE(VALUE(RIGHT(Y638,4)),VALUE(MID(Y638,4,2)),VALUE(LEFT(Y638,2))),""))</f>
        <v/>
      </c>
      <c r="AP638" s="27">
        <f>IF(AC638="","",IFERROR(DATE(VALUE(RIGHT(AC638,4)),VALUE(MID(AC638,4,2)),VALUE(LEFT(AC638,2))),""))</f>
        <v/>
      </c>
      <c r="AQ638" s="26">
        <f>IF(AI638="","",TRIM(LEFT(AI638,FIND(" ",AI638&amp;" ")-1)))</f>
        <v/>
      </c>
      <c r="AR638" s="27">
        <f>IF(AQ638="","",IFERROR(DATE(VALUE(MID(AQ638,FIND("/",AQ638,FIND("/",AQ638)+1)+1,4)),VALUE(LEFT(AQ638,FIND("/",AQ638)-1)),VALUE(MID(AQ638,FIND("/",AQ638)+1,FIND("/",AQ638,FIND("/",AQ638)+1)-FIND("/",AQ638)-1))),""))</f>
        <v/>
      </c>
      <c r="AS638" s="26">
        <f>IF(G638="","",IF(AND(AG638&lt;&gt;"",AG638&lt;&gt;"Bayi Aracı"),"Evet","Hayır"))</f>
        <v/>
      </c>
      <c r="AT638" s="26">
        <f>IF(G638="","",IF(AND(AS638="Evet",T638="Siparişiniz Teslim Edildi"),"Evet","Hayır"))</f>
        <v/>
      </c>
      <c r="AU638" s="26">
        <f>IF(G638="","",IF(AB638="Siparişinizin Montajı Yapıldı","Evet","Hayır"))</f>
        <v/>
      </c>
      <c r="AV638" s="27">
        <f>IF(G638="","",IF(AT638="Evet",AR638,IF(AU638="Evet",AP638,"")))</f>
        <v/>
      </c>
    </row>
    <row r="639">
      <c r="A639" s="23" t="n"/>
      <c r="B639" s="23" t="n"/>
      <c r="C639" s="23" t="n"/>
      <c r="D639" s="23" t="n"/>
      <c r="E639" s="23" t="n"/>
      <c r="F639" s="23" t="n"/>
      <c r="G639" s="23" t="n"/>
      <c r="H639" s="23" t="n"/>
      <c r="I639" s="23" t="n"/>
      <c r="J639" s="23" t="n"/>
      <c r="K639" s="23" t="n"/>
      <c r="L639" s="23" t="n"/>
      <c r="M639" s="23" t="n"/>
      <c r="N639" s="23" t="n"/>
      <c r="O639" s="23" t="n"/>
      <c r="P639" s="23" t="n"/>
      <c r="Q639" s="23" t="n"/>
      <c r="R639" s="23" t="n"/>
      <c r="S639" s="23" t="n"/>
      <c r="T639" s="23" t="n"/>
      <c r="U639" s="23" t="n"/>
      <c r="V639" s="23" t="n"/>
      <c r="W639" s="23" t="n"/>
      <c r="X639" s="23" t="n"/>
      <c r="Y639" s="23" t="n"/>
      <c r="Z639" s="23" t="n"/>
      <c r="AA639" s="23" t="n"/>
      <c r="AB639" s="23" t="n"/>
      <c r="AC639" s="23" t="n"/>
      <c r="AD639" s="23" t="n"/>
      <c r="AE639" s="23" t="n"/>
      <c r="AF639" s="23" t="n"/>
      <c r="AG639" s="23" t="n"/>
      <c r="AH639" s="23" t="n"/>
      <c r="AI639" s="23" t="n"/>
      <c r="AJ639" s="23" t="n"/>
      <c r="AK639" s="23" t="n"/>
      <c r="AL639" s="23" t="n"/>
      <c r="AM639" s="26">
        <f>IF(G639="","",G639&amp;"|"&amp;P639)</f>
        <v/>
      </c>
      <c r="AN639" s="27">
        <f>IF(I639="","",IFERROR(DATE(VALUE(RIGHT(I639,4)),VALUE(MID(I639,4,2)),VALUE(LEFT(I639,2))),""))</f>
        <v/>
      </c>
      <c r="AO639" s="27">
        <f>IF(Y639="","",IFERROR(DATE(VALUE(RIGHT(Y639,4)),VALUE(MID(Y639,4,2)),VALUE(LEFT(Y639,2))),""))</f>
        <v/>
      </c>
      <c r="AP639" s="27">
        <f>IF(AC639="","",IFERROR(DATE(VALUE(RIGHT(AC639,4)),VALUE(MID(AC639,4,2)),VALUE(LEFT(AC639,2))),""))</f>
        <v/>
      </c>
      <c r="AQ639" s="26">
        <f>IF(AI639="","",TRIM(LEFT(AI639,FIND(" ",AI639&amp;" ")-1)))</f>
        <v/>
      </c>
      <c r="AR639" s="27">
        <f>IF(AQ639="","",IFERROR(DATE(VALUE(MID(AQ639,FIND("/",AQ639,FIND("/",AQ639)+1)+1,4)),VALUE(LEFT(AQ639,FIND("/",AQ639)-1)),VALUE(MID(AQ639,FIND("/",AQ639)+1,FIND("/",AQ639,FIND("/",AQ639)+1)-FIND("/",AQ639)-1))),""))</f>
        <v/>
      </c>
      <c r="AS639" s="26">
        <f>IF(G639="","",IF(AND(AG639&lt;&gt;"",AG639&lt;&gt;"Bayi Aracı"),"Evet","Hayır"))</f>
        <v/>
      </c>
      <c r="AT639" s="26">
        <f>IF(G639="","",IF(AND(AS639="Evet",T639="Siparişiniz Teslim Edildi"),"Evet","Hayır"))</f>
        <v/>
      </c>
      <c r="AU639" s="26">
        <f>IF(G639="","",IF(AB639="Siparişinizin Montajı Yapıldı","Evet","Hayır"))</f>
        <v/>
      </c>
      <c r="AV639" s="27">
        <f>IF(G639="","",IF(AT639="Evet",AR639,IF(AU639="Evet",AP639,"")))</f>
        <v/>
      </c>
    </row>
    <row r="640">
      <c r="A640" s="23" t="n"/>
      <c r="B640" s="23" t="n"/>
      <c r="C640" s="23" t="n"/>
      <c r="D640" s="23" t="n"/>
      <c r="E640" s="23" t="n"/>
      <c r="F640" s="23" t="n"/>
      <c r="G640" s="23" t="n"/>
      <c r="H640" s="23" t="n"/>
      <c r="I640" s="23" t="n"/>
      <c r="J640" s="23" t="n"/>
      <c r="K640" s="23" t="n"/>
      <c r="L640" s="23" t="n"/>
      <c r="M640" s="23" t="n"/>
      <c r="N640" s="23" t="n"/>
      <c r="O640" s="23" t="n"/>
      <c r="P640" s="23" t="n"/>
      <c r="Q640" s="23" t="n"/>
      <c r="R640" s="23" t="n"/>
      <c r="S640" s="23" t="n"/>
      <c r="T640" s="23" t="n"/>
      <c r="U640" s="23" t="n"/>
      <c r="V640" s="23" t="n"/>
      <c r="W640" s="23" t="n"/>
      <c r="X640" s="23" t="n"/>
      <c r="Y640" s="23" t="n"/>
      <c r="Z640" s="23" t="n"/>
      <c r="AA640" s="23" t="n"/>
      <c r="AB640" s="23" t="n"/>
      <c r="AC640" s="23" t="n"/>
      <c r="AD640" s="23" t="n"/>
      <c r="AE640" s="23" t="n"/>
      <c r="AF640" s="23" t="n"/>
      <c r="AG640" s="23" t="n"/>
      <c r="AH640" s="23" t="n"/>
      <c r="AI640" s="23" t="n"/>
      <c r="AJ640" s="23" t="n"/>
      <c r="AK640" s="23" t="n"/>
      <c r="AL640" s="23" t="n"/>
      <c r="AM640" s="26">
        <f>IF(G640="","",G640&amp;"|"&amp;P640)</f>
        <v/>
      </c>
      <c r="AN640" s="27">
        <f>IF(I640="","",IFERROR(DATE(VALUE(RIGHT(I640,4)),VALUE(MID(I640,4,2)),VALUE(LEFT(I640,2))),""))</f>
        <v/>
      </c>
      <c r="AO640" s="27">
        <f>IF(Y640="","",IFERROR(DATE(VALUE(RIGHT(Y640,4)),VALUE(MID(Y640,4,2)),VALUE(LEFT(Y640,2))),""))</f>
        <v/>
      </c>
      <c r="AP640" s="27">
        <f>IF(AC640="","",IFERROR(DATE(VALUE(RIGHT(AC640,4)),VALUE(MID(AC640,4,2)),VALUE(LEFT(AC640,2))),""))</f>
        <v/>
      </c>
      <c r="AQ640" s="26">
        <f>IF(AI640="","",TRIM(LEFT(AI640,FIND(" ",AI640&amp;" ")-1)))</f>
        <v/>
      </c>
      <c r="AR640" s="27">
        <f>IF(AQ640="","",IFERROR(DATE(VALUE(MID(AQ640,FIND("/",AQ640,FIND("/",AQ640)+1)+1,4)),VALUE(LEFT(AQ640,FIND("/",AQ640)-1)),VALUE(MID(AQ640,FIND("/",AQ640)+1,FIND("/",AQ640,FIND("/",AQ640)+1)-FIND("/",AQ640)-1))),""))</f>
        <v/>
      </c>
      <c r="AS640" s="26">
        <f>IF(G640="","",IF(AND(AG640&lt;&gt;"",AG640&lt;&gt;"Bayi Aracı"),"Evet","Hayır"))</f>
        <v/>
      </c>
      <c r="AT640" s="26">
        <f>IF(G640="","",IF(AND(AS640="Evet",T640="Siparişiniz Teslim Edildi"),"Evet","Hayır"))</f>
        <v/>
      </c>
      <c r="AU640" s="26">
        <f>IF(G640="","",IF(AB640="Siparişinizin Montajı Yapıldı","Evet","Hayır"))</f>
        <v/>
      </c>
      <c r="AV640" s="27">
        <f>IF(G640="","",IF(AT640="Evet",AR640,IF(AU640="Evet",AP640,"")))</f>
        <v/>
      </c>
    </row>
    <row r="641">
      <c r="A641" s="23" t="n"/>
      <c r="B641" s="23" t="n"/>
      <c r="C641" s="23" t="n"/>
      <c r="D641" s="23" t="n"/>
      <c r="E641" s="23" t="n"/>
      <c r="F641" s="23" t="n"/>
      <c r="G641" s="23" t="n"/>
      <c r="H641" s="23" t="n"/>
      <c r="I641" s="23" t="n"/>
      <c r="J641" s="23" t="n"/>
      <c r="K641" s="23" t="n"/>
      <c r="L641" s="23" t="n"/>
      <c r="M641" s="23" t="n"/>
      <c r="N641" s="23" t="n"/>
      <c r="O641" s="23" t="n"/>
      <c r="P641" s="23" t="n"/>
      <c r="Q641" s="23" t="n"/>
      <c r="R641" s="23" t="n"/>
      <c r="S641" s="23" t="n"/>
      <c r="T641" s="23" t="n"/>
      <c r="U641" s="23" t="n"/>
      <c r="V641" s="23" t="n"/>
      <c r="W641" s="23" t="n"/>
      <c r="X641" s="23" t="n"/>
      <c r="Y641" s="23" t="n"/>
      <c r="Z641" s="23" t="n"/>
      <c r="AA641" s="23" t="n"/>
      <c r="AB641" s="23" t="n"/>
      <c r="AC641" s="23" t="n"/>
      <c r="AD641" s="23" t="n"/>
      <c r="AE641" s="23" t="n"/>
      <c r="AF641" s="23" t="n"/>
      <c r="AG641" s="23" t="n"/>
      <c r="AH641" s="23" t="n"/>
      <c r="AI641" s="23" t="n"/>
      <c r="AJ641" s="23" t="n"/>
      <c r="AK641" s="23" t="n"/>
      <c r="AL641" s="23" t="n"/>
      <c r="AM641" s="26">
        <f>IF(G641="","",G641&amp;"|"&amp;P641)</f>
        <v/>
      </c>
      <c r="AN641" s="27">
        <f>IF(I641="","",IFERROR(DATE(VALUE(RIGHT(I641,4)),VALUE(MID(I641,4,2)),VALUE(LEFT(I641,2))),""))</f>
        <v/>
      </c>
      <c r="AO641" s="27">
        <f>IF(Y641="","",IFERROR(DATE(VALUE(RIGHT(Y641,4)),VALUE(MID(Y641,4,2)),VALUE(LEFT(Y641,2))),""))</f>
        <v/>
      </c>
      <c r="AP641" s="27">
        <f>IF(AC641="","",IFERROR(DATE(VALUE(RIGHT(AC641,4)),VALUE(MID(AC641,4,2)),VALUE(LEFT(AC641,2))),""))</f>
        <v/>
      </c>
      <c r="AQ641" s="26">
        <f>IF(AI641="","",TRIM(LEFT(AI641,FIND(" ",AI641&amp;" ")-1)))</f>
        <v/>
      </c>
      <c r="AR641" s="27">
        <f>IF(AQ641="","",IFERROR(DATE(VALUE(MID(AQ641,FIND("/",AQ641,FIND("/",AQ641)+1)+1,4)),VALUE(LEFT(AQ641,FIND("/",AQ641)-1)),VALUE(MID(AQ641,FIND("/",AQ641)+1,FIND("/",AQ641,FIND("/",AQ641)+1)-FIND("/",AQ641)-1))),""))</f>
        <v/>
      </c>
      <c r="AS641" s="26">
        <f>IF(G641="","",IF(AND(AG641&lt;&gt;"",AG641&lt;&gt;"Bayi Aracı"),"Evet","Hayır"))</f>
        <v/>
      </c>
      <c r="AT641" s="26">
        <f>IF(G641="","",IF(AND(AS641="Evet",T641="Siparişiniz Teslim Edildi"),"Evet","Hayır"))</f>
        <v/>
      </c>
      <c r="AU641" s="26">
        <f>IF(G641="","",IF(AB641="Siparişinizin Montajı Yapıldı","Evet","Hayır"))</f>
        <v/>
      </c>
      <c r="AV641" s="27">
        <f>IF(G641="","",IF(AT641="Evet",AR641,IF(AU641="Evet",AP641,"")))</f>
        <v/>
      </c>
    </row>
    <row r="642">
      <c r="A642" s="23" t="n"/>
      <c r="B642" s="23" t="n"/>
      <c r="C642" s="23" t="n"/>
      <c r="D642" s="23" t="n"/>
      <c r="E642" s="23" t="n"/>
      <c r="F642" s="23" t="n"/>
      <c r="G642" s="23" t="n"/>
      <c r="H642" s="23" t="n"/>
      <c r="I642" s="23" t="n"/>
      <c r="J642" s="23" t="n"/>
      <c r="K642" s="23" t="n"/>
      <c r="L642" s="23" t="n"/>
      <c r="M642" s="23" t="n"/>
      <c r="N642" s="23" t="n"/>
      <c r="O642" s="23" t="n"/>
      <c r="P642" s="23" t="n"/>
      <c r="Q642" s="23" t="n"/>
      <c r="R642" s="23" t="n"/>
      <c r="S642" s="23" t="n"/>
      <c r="T642" s="23" t="n"/>
      <c r="U642" s="23" t="n"/>
      <c r="V642" s="23" t="n"/>
      <c r="W642" s="23" t="n"/>
      <c r="X642" s="23" t="n"/>
      <c r="Y642" s="23" t="n"/>
      <c r="Z642" s="23" t="n"/>
      <c r="AA642" s="23" t="n"/>
      <c r="AB642" s="23" t="n"/>
      <c r="AC642" s="23" t="n"/>
      <c r="AD642" s="23" t="n"/>
      <c r="AE642" s="23" t="n"/>
      <c r="AF642" s="23" t="n"/>
      <c r="AG642" s="23" t="n"/>
      <c r="AH642" s="23" t="n"/>
      <c r="AI642" s="23" t="n"/>
      <c r="AJ642" s="23" t="n"/>
      <c r="AK642" s="23" t="n"/>
      <c r="AL642" s="23" t="n"/>
      <c r="AM642" s="26">
        <f>IF(G642="","",G642&amp;"|"&amp;P642)</f>
        <v/>
      </c>
      <c r="AN642" s="27">
        <f>IF(I642="","",IFERROR(DATE(VALUE(RIGHT(I642,4)),VALUE(MID(I642,4,2)),VALUE(LEFT(I642,2))),""))</f>
        <v/>
      </c>
      <c r="AO642" s="27">
        <f>IF(Y642="","",IFERROR(DATE(VALUE(RIGHT(Y642,4)),VALUE(MID(Y642,4,2)),VALUE(LEFT(Y642,2))),""))</f>
        <v/>
      </c>
      <c r="AP642" s="27">
        <f>IF(AC642="","",IFERROR(DATE(VALUE(RIGHT(AC642,4)),VALUE(MID(AC642,4,2)),VALUE(LEFT(AC642,2))),""))</f>
        <v/>
      </c>
      <c r="AQ642" s="26">
        <f>IF(AI642="","",TRIM(LEFT(AI642,FIND(" ",AI642&amp;" ")-1)))</f>
        <v/>
      </c>
      <c r="AR642" s="27">
        <f>IF(AQ642="","",IFERROR(DATE(VALUE(MID(AQ642,FIND("/",AQ642,FIND("/",AQ642)+1)+1,4)),VALUE(LEFT(AQ642,FIND("/",AQ642)-1)),VALUE(MID(AQ642,FIND("/",AQ642)+1,FIND("/",AQ642,FIND("/",AQ642)+1)-FIND("/",AQ642)-1))),""))</f>
        <v/>
      </c>
      <c r="AS642" s="26">
        <f>IF(G642="","",IF(AND(AG642&lt;&gt;"",AG642&lt;&gt;"Bayi Aracı"),"Evet","Hayır"))</f>
        <v/>
      </c>
      <c r="AT642" s="26">
        <f>IF(G642="","",IF(AND(AS642="Evet",T642="Siparişiniz Teslim Edildi"),"Evet","Hayır"))</f>
        <v/>
      </c>
      <c r="AU642" s="26">
        <f>IF(G642="","",IF(AB642="Siparişinizin Montajı Yapıldı","Evet","Hayır"))</f>
        <v/>
      </c>
      <c r="AV642" s="27">
        <f>IF(G642="","",IF(AT642="Evet",AR642,IF(AU642="Evet",AP642,"")))</f>
        <v/>
      </c>
    </row>
    <row r="643">
      <c r="A643" s="23" t="n"/>
      <c r="B643" s="23" t="n"/>
      <c r="C643" s="23" t="n"/>
      <c r="D643" s="23" t="n"/>
      <c r="E643" s="23" t="n"/>
      <c r="F643" s="23" t="n"/>
      <c r="G643" s="23" t="n"/>
      <c r="H643" s="23" t="n"/>
      <c r="I643" s="23" t="n"/>
      <c r="J643" s="23" t="n"/>
      <c r="K643" s="23" t="n"/>
      <c r="L643" s="23" t="n"/>
      <c r="M643" s="23" t="n"/>
      <c r="N643" s="23" t="n"/>
      <c r="O643" s="23" t="n"/>
      <c r="P643" s="23" t="n"/>
      <c r="Q643" s="23" t="n"/>
      <c r="R643" s="23" t="n"/>
      <c r="S643" s="23" t="n"/>
      <c r="T643" s="23" t="n"/>
      <c r="U643" s="23" t="n"/>
      <c r="V643" s="23" t="n"/>
      <c r="W643" s="23" t="n"/>
      <c r="X643" s="23" t="n"/>
      <c r="Y643" s="23" t="n"/>
      <c r="Z643" s="23" t="n"/>
      <c r="AA643" s="23" t="n"/>
      <c r="AB643" s="23" t="n"/>
      <c r="AC643" s="23" t="n"/>
      <c r="AD643" s="23" t="n"/>
      <c r="AE643" s="23" t="n"/>
      <c r="AF643" s="23" t="n"/>
      <c r="AG643" s="23" t="n"/>
      <c r="AH643" s="23" t="n"/>
      <c r="AI643" s="23" t="n"/>
      <c r="AJ643" s="23" t="n"/>
      <c r="AK643" s="23" t="n"/>
      <c r="AL643" s="23" t="n"/>
      <c r="AM643" s="26">
        <f>IF(G643="","",G643&amp;"|"&amp;P643)</f>
        <v/>
      </c>
      <c r="AN643" s="27">
        <f>IF(I643="","",IFERROR(DATE(VALUE(RIGHT(I643,4)),VALUE(MID(I643,4,2)),VALUE(LEFT(I643,2))),""))</f>
        <v/>
      </c>
      <c r="AO643" s="27">
        <f>IF(Y643="","",IFERROR(DATE(VALUE(RIGHT(Y643,4)),VALUE(MID(Y643,4,2)),VALUE(LEFT(Y643,2))),""))</f>
        <v/>
      </c>
      <c r="AP643" s="27">
        <f>IF(AC643="","",IFERROR(DATE(VALUE(RIGHT(AC643,4)),VALUE(MID(AC643,4,2)),VALUE(LEFT(AC643,2))),""))</f>
        <v/>
      </c>
      <c r="AQ643" s="26">
        <f>IF(AI643="","",TRIM(LEFT(AI643,FIND(" ",AI643&amp;" ")-1)))</f>
        <v/>
      </c>
      <c r="AR643" s="27">
        <f>IF(AQ643="","",IFERROR(DATE(VALUE(MID(AQ643,FIND("/",AQ643,FIND("/",AQ643)+1)+1,4)),VALUE(LEFT(AQ643,FIND("/",AQ643)-1)),VALUE(MID(AQ643,FIND("/",AQ643)+1,FIND("/",AQ643,FIND("/",AQ643)+1)-FIND("/",AQ643)-1))),""))</f>
        <v/>
      </c>
      <c r="AS643" s="26">
        <f>IF(G643="","",IF(AND(AG643&lt;&gt;"",AG643&lt;&gt;"Bayi Aracı"),"Evet","Hayır"))</f>
        <v/>
      </c>
      <c r="AT643" s="26">
        <f>IF(G643="","",IF(AND(AS643="Evet",T643="Siparişiniz Teslim Edildi"),"Evet","Hayır"))</f>
        <v/>
      </c>
      <c r="AU643" s="26">
        <f>IF(G643="","",IF(AB643="Siparişinizin Montajı Yapıldı","Evet","Hayır"))</f>
        <v/>
      </c>
      <c r="AV643" s="27">
        <f>IF(G643="","",IF(AT643="Evet",AR643,IF(AU643="Evet",AP643,"")))</f>
        <v/>
      </c>
    </row>
    <row r="644">
      <c r="A644" s="23" t="n"/>
      <c r="B644" s="23" t="n"/>
      <c r="C644" s="23" t="n"/>
      <c r="D644" s="23" t="n"/>
      <c r="E644" s="23" t="n"/>
      <c r="F644" s="23" t="n"/>
      <c r="G644" s="23" t="n"/>
      <c r="H644" s="23" t="n"/>
      <c r="I644" s="23" t="n"/>
      <c r="J644" s="23" t="n"/>
      <c r="K644" s="23" t="n"/>
      <c r="L644" s="23" t="n"/>
      <c r="M644" s="23" t="n"/>
      <c r="N644" s="23" t="n"/>
      <c r="O644" s="23" t="n"/>
      <c r="P644" s="23" t="n"/>
      <c r="Q644" s="23" t="n"/>
      <c r="R644" s="23" t="n"/>
      <c r="S644" s="23" t="n"/>
      <c r="T644" s="23" t="n"/>
      <c r="U644" s="23" t="n"/>
      <c r="V644" s="23" t="n"/>
      <c r="W644" s="23" t="n"/>
      <c r="X644" s="23" t="n"/>
      <c r="Y644" s="23" t="n"/>
      <c r="Z644" s="23" t="n"/>
      <c r="AA644" s="23" t="n"/>
      <c r="AB644" s="23" t="n"/>
      <c r="AC644" s="23" t="n"/>
      <c r="AD644" s="23" t="n"/>
      <c r="AE644" s="23" t="n"/>
      <c r="AF644" s="23" t="n"/>
      <c r="AG644" s="23" t="n"/>
      <c r="AH644" s="23" t="n"/>
      <c r="AI644" s="23" t="n"/>
      <c r="AJ644" s="23" t="n"/>
      <c r="AK644" s="23" t="n"/>
      <c r="AL644" s="23" t="n"/>
      <c r="AM644" s="26">
        <f>IF(G644="","",G644&amp;"|"&amp;P644)</f>
        <v/>
      </c>
      <c r="AN644" s="27">
        <f>IF(I644="","",IFERROR(DATE(VALUE(RIGHT(I644,4)),VALUE(MID(I644,4,2)),VALUE(LEFT(I644,2))),""))</f>
        <v/>
      </c>
      <c r="AO644" s="27">
        <f>IF(Y644="","",IFERROR(DATE(VALUE(RIGHT(Y644,4)),VALUE(MID(Y644,4,2)),VALUE(LEFT(Y644,2))),""))</f>
        <v/>
      </c>
      <c r="AP644" s="27">
        <f>IF(AC644="","",IFERROR(DATE(VALUE(RIGHT(AC644,4)),VALUE(MID(AC644,4,2)),VALUE(LEFT(AC644,2))),""))</f>
        <v/>
      </c>
      <c r="AQ644" s="26">
        <f>IF(AI644="","",TRIM(LEFT(AI644,FIND(" ",AI644&amp;" ")-1)))</f>
        <v/>
      </c>
      <c r="AR644" s="27">
        <f>IF(AQ644="","",IFERROR(DATE(VALUE(MID(AQ644,FIND("/",AQ644,FIND("/",AQ644)+1)+1,4)),VALUE(LEFT(AQ644,FIND("/",AQ644)-1)),VALUE(MID(AQ644,FIND("/",AQ644)+1,FIND("/",AQ644,FIND("/",AQ644)+1)-FIND("/",AQ644)-1))),""))</f>
        <v/>
      </c>
      <c r="AS644" s="26">
        <f>IF(G644="","",IF(AND(AG644&lt;&gt;"",AG644&lt;&gt;"Bayi Aracı"),"Evet","Hayır"))</f>
        <v/>
      </c>
      <c r="AT644" s="26">
        <f>IF(G644="","",IF(AND(AS644="Evet",T644="Siparişiniz Teslim Edildi"),"Evet","Hayır"))</f>
        <v/>
      </c>
      <c r="AU644" s="26">
        <f>IF(G644="","",IF(AB644="Siparişinizin Montajı Yapıldı","Evet","Hayır"))</f>
        <v/>
      </c>
      <c r="AV644" s="27">
        <f>IF(G644="","",IF(AT644="Evet",AR644,IF(AU644="Evet",AP644,"")))</f>
        <v/>
      </c>
    </row>
    <row r="645">
      <c r="A645" s="23" t="n"/>
      <c r="B645" s="23" t="n"/>
      <c r="C645" s="23" t="n"/>
      <c r="D645" s="23" t="n"/>
      <c r="E645" s="23" t="n"/>
      <c r="F645" s="23" t="n"/>
      <c r="G645" s="23" t="n"/>
      <c r="H645" s="23" t="n"/>
      <c r="I645" s="23" t="n"/>
      <c r="J645" s="23" t="n"/>
      <c r="K645" s="23" t="n"/>
      <c r="L645" s="23" t="n"/>
      <c r="M645" s="23" t="n"/>
      <c r="N645" s="23" t="n"/>
      <c r="O645" s="23" t="n"/>
      <c r="P645" s="23" t="n"/>
      <c r="Q645" s="23" t="n"/>
      <c r="R645" s="23" t="n"/>
      <c r="S645" s="23" t="n"/>
      <c r="T645" s="23" t="n"/>
      <c r="U645" s="23" t="n"/>
      <c r="V645" s="23" t="n"/>
      <c r="W645" s="23" t="n"/>
      <c r="X645" s="23" t="n"/>
      <c r="Y645" s="23" t="n"/>
      <c r="Z645" s="23" t="n"/>
      <c r="AA645" s="23" t="n"/>
      <c r="AB645" s="23" t="n"/>
      <c r="AC645" s="23" t="n"/>
      <c r="AD645" s="23" t="n"/>
      <c r="AE645" s="23" t="n"/>
      <c r="AF645" s="23" t="n"/>
      <c r="AG645" s="23" t="n"/>
      <c r="AH645" s="23" t="n"/>
      <c r="AI645" s="23" t="n"/>
      <c r="AJ645" s="23" t="n"/>
      <c r="AK645" s="23" t="n"/>
      <c r="AL645" s="23" t="n"/>
      <c r="AM645" s="26">
        <f>IF(G645="","",G645&amp;"|"&amp;P645)</f>
        <v/>
      </c>
      <c r="AN645" s="27">
        <f>IF(I645="","",IFERROR(DATE(VALUE(RIGHT(I645,4)),VALUE(MID(I645,4,2)),VALUE(LEFT(I645,2))),""))</f>
        <v/>
      </c>
      <c r="AO645" s="27">
        <f>IF(Y645="","",IFERROR(DATE(VALUE(RIGHT(Y645,4)),VALUE(MID(Y645,4,2)),VALUE(LEFT(Y645,2))),""))</f>
        <v/>
      </c>
      <c r="AP645" s="27">
        <f>IF(AC645="","",IFERROR(DATE(VALUE(RIGHT(AC645,4)),VALUE(MID(AC645,4,2)),VALUE(LEFT(AC645,2))),""))</f>
        <v/>
      </c>
      <c r="AQ645" s="26">
        <f>IF(AI645="","",TRIM(LEFT(AI645,FIND(" ",AI645&amp;" ")-1)))</f>
        <v/>
      </c>
      <c r="AR645" s="27">
        <f>IF(AQ645="","",IFERROR(DATE(VALUE(MID(AQ645,FIND("/",AQ645,FIND("/",AQ645)+1)+1,4)),VALUE(LEFT(AQ645,FIND("/",AQ645)-1)),VALUE(MID(AQ645,FIND("/",AQ645)+1,FIND("/",AQ645,FIND("/",AQ645)+1)-FIND("/",AQ645)-1))),""))</f>
        <v/>
      </c>
      <c r="AS645" s="26">
        <f>IF(G645="","",IF(AND(AG645&lt;&gt;"",AG645&lt;&gt;"Bayi Aracı"),"Evet","Hayır"))</f>
        <v/>
      </c>
      <c r="AT645" s="26">
        <f>IF(G645="","",IF(AND(AS645="Evet",T645="Siparişiniz Teslim Edildi"),"Evet","Hayır"))</f>
        <v/>
      </c>
      <c r="AU645" s="26">
        <f>IF(G645="","",IF(AB645="Siparişinizin Montajı Yapıldı","Evet","Hayır"))</f>
        <v/>
      </c>
      <c r="AV645" s="27">
        <f>IF(G645="","",IF(AT645="Evet",AR645,IF(AU645="Evet",AP645,"")))</f>
        <v/>
      </c>
    </row>
    <row r="646">
      <c r="A646" s="23" t="n"/>
      <c r="B646" s="23" t="n"/>
      <c r="C646" s="23" t="n"/>
      <c r="D646" s="23" t="n"/>
      <c r="E646" s="23" t="n"/>
      <c r="F646" s="23" t="n"/>
      <c r="G646" s="23" t="n"/>
      <c r="H646" s="23" t="n"/>
      <c r="I646" s="23" t="n"/>
      <c r="J646" s="23" t="n"/>
      <c r="K646" s="23" t="n"/>
      <c r="L646" s="23" t="n"/>
      <c r="M646" s="23" t="n"/>
      <c r="N646" s="23" t="n"/>
      <c r="O646" s="23" t="n"/>
      <c r="P646" s="23" t="n"/>
      <c r="Q646" s="23" t="n"/>
      <c r="R646" s="23" t="n"/>
      <c r="S646" s="23" t="n"/>
      <c r="T646" s="23" t="n"/>
      <c r="U646" s="23" t="n"/>
      <c r="V646" s="23" t="n"/>
      <c r="W646" s="23" t="n"/>
      <c r="X646" s="23" t="n"/>
      <c r="Y646" s="23" t="n"/>
      <c r="Z646" s="23" t="n"/>
      <c r="AA646" s="23" t="n"/>
      <c r="AB646" s="23" t="n"/>
      <c r="AC646" s="23" t="n"/>
      <c r="AD646" s="23" t="n"/>
      <c r="AE646" s="23" t="n"/>
      <c r="AF646" s="23" t="n"/>
      <c r="AG646" s="23" t="n"/>
      <c r="AH646" s="23" t="n"/>
      <c r="AI646" s="23" t="n"/>
      <c r="AJ646" s="23" t="n"/>
      <c r="AK646" s="23" t="n"/>
      <c r="AL646" s="23" t="n"/>
      <c r="AM646" s="26">
        <f>IF(G646="","",G646&amp;"|"&amp;P646)</f>
        <v/>
      </c>
      <c r="AN646" s="27">
        <f>IF(I646="","",IFERROR(DATE(VALUE(RIGHT(I646,4)),VALUE(MID(I646,4,2)),VALUE(LEFT(I646,2))),""))</f>
        <v/>
      </c>
      <c r="AO646" s="27">
        <f>IF(Y646="","",IFERROR(DATE(VALUE(RIGHT(Y646,4)),VALUE(MID(Y646,4,2)),VALUE(LEFT(Y646,2))),""))</f>
        <v/>
      </c>
      <c r="AP646" s="27">
        <f>IF(AC646="","",IFERROR(DATE(VALUE(RIGHT(AC646,4)),VALUE(MID(AC646,4,2)),VALUE(LEFT(AC646,2))),""))</f>
        <v/>
      </c>
      <c r="AQ646" s="26">
        <f>IF(AI646="","",TRIM(LEFT(AI646,FIND(" ",AI646&amp;" ")-1)))</f>
        <v/>
      </c>
      <c r="AR646" s="27">
        <f>IF(AQ646="","",IFERROR(DATE(VALUE(MID(AQ646,FIND("/",AQ646,FIND("/",AQ646)+1)+1,4)),VALUE(LEFT(AQ646,FIND("/",AQ646)-1)),VALUE(MID(AQ646,FIND("/",AQ646)+1,FIND("/",AQ646,FIND("/",AQ646)+1)-FIND("/",AQ646)-1))),""))</f>
        <v/>
      </c>
      <c r="AS646" s="26">
        <f>IF(G646="","",IF(AND(AG646&lt;&gt;"",AG646&lt;&gt;"Bayi Aracı"),"Evet","Hayır"))</f>
        <v/>
      </c>
      <c r="AT646" s="26">
        <f>IF(G646="","",IF(AND(AS646="Evet",T646="Siparişiniz Teslim Edildi"),"Evet","Hayır"))</f>
        <v/>
      </c>
      <c r="AU646" s="26">
        <f>IF(G646="","",IF(AB646="Siparişinizin Montajı Yapıldı","Evet","Hayır"))</f>
        <v/>
      </c>
      <c r="AV646" s="27">
        <f>IF(G646="","",IF(AT646="Evet",AR646,IF(AU646="Evet",AP646,"")))</f>
        <v/>
      </c>
    </row>
    <row r="647">
      <c r="A647" s="23" t="n"/>
      <c r="B647" s="23" t="n"/>
      <c r="C647" s="23" t="n"/>
      <c r="D647" s="23" t="n"/>
      <c r="E647" s="23" t="n"/>
      <c r="F647" s="23" t="n"/>
      <c r="G647" s="23" t="n"/>
      <c r="H647" s="23" t="n"/>
      <c r="I647" s="23" t="n"/>
      <c r="J647" s="23" t="n"/>
      <c r="K647" s="23" t="n"/>
      <c r="L647" s="23" t="n"/>
      <c r="M647" s="23" t="n"/>
      <c r="N647" s="23" t="n"/>
      <c r="O647" s="23" t="n"/>
      <c r="P647" s="23" t="n"/>
      <c r="Q647" s="23" t="n"/>
      <c r="R647" s="23" t="n"/>
      <c r="S647" s="23" t="n"/>
      <c r="T647" s="23" t="n"/>
      <c r="U647" s="23" t="n"/>
      <c r="V647" s="23" t="n"/>
      <c r="W647" s="23" t="n"/>
      <c r="X647" s="23" t="n"/>
      <c r="Y647" s="23" t="n"/>
      <c r="Z647" s="23" t="n"/>
      <c r="AA647" s="23" t="n"/>
      <c r="AB647" s="23" t="n"/>
      <c r="AC647" s="23" t="n"/>
      <c r="AD647" s="23" t="n"/>
      <c r="AE647" s="23" t="n"/>
      <c r="AF647" s="23" t="n"/>
      <c r="AG647" s="23" t="n"/>
      <c r="AH647" s="23" t="n"/>
      <c r="AI647" s="23" t="n"/>
      <c r="AJ647" s="23" t="n"/>
      <c r="AK647" s="23" t="n"/>
      <c r="AL647" s="23" t="n"/>
      <c r="AM647" s="26">
        <f>IF(G647="","",G647&amp;"|"&amp;P647)</f>
        <v/>
      </c>
      <c r="AN647" s="27">
        <f>IF(I647="","",IFERROR(DATE(VALUE(RIGHT(I647,4)),VALUE(MID(I647,4,2)),VALUE(LEFT(I647,2))),""))</f>
        <v/>
      </c>
      <c r="AO647" s="27">
        <f>IF(Y647="","",IFERROR(DATE(VALUE(RIGHT(Y647,4)),VALUE(MID(Y647,4,2)),VALUE(LEFT(Y647,2))),""))</f>
        <v/>
      </c>
      <c r="AP647" s="27">
        <f>IF(AC647="","",IFERROR(DATE(VALUE(RIGHT(AC647,4)),VALUE(MID(AC647,4,2)),VALUE(LEFT(AC647,2))),""))</f>
        <v/>
      </c>
      <c r="AQ647" s="26">
        <f>IF(AI647="","",TRIM(LEFT(AI647,FIND(" ",AI647&amp;" ")-1)))</f>
        <v/>
      </c>
      <c r="AR647" s="27">
        <f>IF(AQ647="","",IFERROR(DATE(VALUE(MID(AQ647,FIND("/",AQ647,FIND("/",AQ647)+1)+1,4)),VALUE(LEFT(AQ647,FIND("/",AQ647)-1)),VALUE(MID(AQ647,FIND("/",AQ647)+1,FIND("/",AQ647,FIND("/",AQ647)+1)-FIND("/",AQ647)-1))),""))</f>
        <v/>
      </c>
      <c r="AS647" s="26">
        <f>IF(G647="","",IF(AND(AG647&lt;&gt;"",AG647&lt;&gt;"Bayi Aracı"),"Evet","Hayır"))</f>
        <v/>
      </c>
      <c r="AT647" s="26">
        <f>IF(G647="","",IF(AND(AS647="Evet",T647="Siparişiniz Teslim Edildi"),"Evet","Hayır"))</f>
        <v/>
      </c>
      <c r="AU647" s="26">
        <f>IF(G647="","",IF(AB647="Siparişinizin Montajı Yapıldı","Evet","Hayır"))</f>
        <v/>
      </c>
      <c r="AV647" s="27">
        <f>IF(G647="","",IF(AT647="Evet",AR647,IF(AU647="Evet",AP647,"")))</f>
        <v/>
      </c>
    </row>
    <row r="648">
      <c r="A648" s="23" t="n"/>
      <c r="B648" s="23" t="n"/>
      <c r="C648" s="23" t="n"/>
      <c r="D648" s="23" t="n"/>
      <c r="E648" s="23" t="n"/>
      <c r="F648" s="23" t="n"/>
      <c r="G648" s="23" t="n"/>
      <c r="H648" s="23" t="n"/>
      <c r="I648" s="23" t="n"/>
      <c r="J648" s="23" t="n"/>
      <c r="K648" s="23" t="n"/>
      <c r="L648" s="23" t="n"/>
      <c r="M648" s="23" t="n"/>
      <c r="N648" s="23" t="n"/>
      <c r="O648" s="23" t="n"/>
      <c r="P648" s="23" t="n"/>
      <c r="Q648" s="23" t="n"/>
      <c r="R648" s="23" t="n"/>
      <c r="S648" s="23" t="n"/>
      <c r="T648" s="23" t="n"/>
      <c r="U648" s="23" t="n"/>
      <c r="V648" s="23" t="n"/>
      <c r="W648" s="23" t="n"/>
      <c r="X648" s="23" t="n"/>
      <c r="Y648" s="23" t="n"/>
      <c r="Z648" s="23" t="n"/>
      <c r="AA648" s="23" t="n"/>
      <c r="AB648" s="23" t="n"/>
      <c r="AC648" s="23" t="n"/>
      <c r="AD648" s="23" t="n"/>
      <c r="AE648" s="23" t="n"/>
      <c r="AF648" s="23" t="n"/>
      <c r="AG648" s="23" t="n"/>
      <c r="AH648" s="23" t="n"/>
      <c r="AI648" s="23" t="n"/>
      <c r="AJ648" s="23" t="n"/>
      <c r="AK648" s="23" t="n"/>
      <c r="AL648" s="23" t="n"/>
      <c r="AM648" s="26">
        <f>IF(G648="","",G648&amp;"|"&amp;P648)</f>
        <v/>
      </c>
      <c r="AN648" s="27">
        <f>IF(I648="","",IFERROR(DATE(VALUE(RIGHT(I648,4)),VALUE(MID(I648,4,2)),VALUE(LEFT(I648,2))),""))</f>
        <v/>
      </c>
      <c r="AO648" s="27">
        <f>IF(Y648="","",IFERROR(DATE(VALUE(RIGHT(Y648,4)),VALUE(MID(Y648,4,2)),VALUE(LEFT(Y648,2))),""))</f>
        <v/>
      </c>
      <c r="AP648" s="27">
        <f>IF(AC648="","",IFERROR(DATE(VALUE(RIGHT(AC648,4)),VALUE(MID(AC648,4,2)),VALUE(LEFT(AC648,2))),""))</f>
        <v/>
      </c>
      <c r="AQ648" s="26">
        <f>IF(AI648="","",TRIM(LEFT(AI648,FIND(" ",AI648&amp;" ")-1)))</f>
        <v/>
      </c>
      <c r="AR648" s="27">
        <f>IF(AQ648="","",IFERROR(DATE(VALUE(MID(AQ648,FIND("/",AQ648,FIND("/",AQ648)+1)+1,4)),VALUE(LEFT(AQ648,FIND("/",AQ648)-1)),VALUE(MID(AQ648,FIND("/",AQ648)+1,FIND("/",AQ648,FIND("/",AQ648)+1)-FIND("/",AQ648)-1))),""))</f>
        <v/>
      </c>
      <c r="AS648" s="26">
        <f>IF(G648="","",IF(AND(AG648&lt;&gt;"",AG648&lt;&gt;"Bayi Aracı"),"Evet","Hayır"))</f>
        <v/>
      </c>
      <c r="AT648" s="26">
        <f>IF(G648="","",IF(AND(AS648="Evet",T648="Siparişiniz Teslim Edildi"),"Evet","Hayır"))</f>
        <v/>
      </c>
      <c r="AU648" s="26">
        <f>IF(G648="","",IF(AB648="Siparişinizin Montajı Yapıldı","Evet","Hayır"))</f>
        <v/>
      </c>
      <c r="AV648" s="27">
        <f>IF(G648="","",IF(AT648="Evet",AR648,IF(AU648="Evet",AP648,"")))</f>
        <v/>
      </c>
    </row>
    <row r="649">
      <c r="A649" s="23" t="n"/>
      <c r="B649" s="23" t="n"/>
      <c r="C649" s="23" t="n"/>
      <c r="D649" s="23" t="n"/>
      <c r="E649" s="23" t="n"/>
      <c r="F649" s="23" t="n"/>
      <c r="G649" s="23" t="n"/>
      <c r="H649" s="23" t="n"/>
      <c r="I649" s="23" t="n"/>
      <c r="J649" s="23" t="n"/>
      <c r="K649" s="23" t="n"/>
      <c r="L649" s="23" t="n"/>
      <c r="M649" s="23" t="n"/>
      <c r="N649" s="23" t="n"/>
      <c r="O649" s="23" t="n"/>
      <c r="P649" s="23" t="n"/>
      <c r="Q649" s="23" t="n"/>
      <c r="R649" s="23" t="n"/>
      <c r="S649" s="23" t="n"/>
      <c r="T649" s="23" t="n"/>
      <c r="U649" s="23" t="n"/>
      <c r="V649" s="23" t="n"/>
      <c r="W649" s="23" t="n"/>
      <c r="X649" s="23" t="n"/>
      <c r="Y649" s="23" t="n"/>
      <c r="Z649" s="23" t="n"/>
      <c r="AA649" s="23" t="n"/>
      <c r="AB649" s="23" t="n"/>
      <c r="AC649" s="23" t="n"/>
      <c r="AD649" s="23" t="n"/>
      <c r="AE649" s="23" t="n"/>
      <c r="AF649" s="23" t="n"/>
      <c r="AG649" s="23" t="n"/>
      <c r="AH649" s="23" t="n"/>
      <c r="AI649" s="23" t="n"/>
      <c r="AJ649" s="23" t="n"/>
      <c r="AK649" s="23" t="n"/>
      <c r="AL649" s="23" t="n"/>
      <c r="AM649" s="26">
        <f>IF(G649="","",G649&amp;"|"&amp;P649)</f>
        <v/>
      </c>
      <c r="AN649" s="27">
        <f>IF(I649="","",IFERROR(DATE(VALUE(RIGHT(I649,4)),VALUE(MID(I649,4,2)),VALUE(LEFT(I649,2))),""))</f>
        <v/>
      </c>
      <c r="AO649" s="27">
        <f>IF(Y649="","",IFERROR(DATE(VALUE(RIGHT(Y649,4)),VALUE(MID(Y649,4,2)),VALUE(LEFT(Y649,2))),""))</f>
        <v/>
      </c>
      <c r="AP649" s="27">
        <f>IF(AC649="","",IFERROR(DATE(VALUE(RIGHT(AC649,4)),VALUE(MID(AC649,4,2)),VALUE(LEFT(AC649,2))),""))</f>
        <v/>
      </c>
      <c r="AQ649" s="26">
        <f>IF(AI649="","",TRIM(LEFT(AI649,FIND(" ",AI649&amp;" ")-1)))</f>
        <v/>
      </c>
      <c r="AR649" s="27">
        <f>IF(AQ649="","",IFERROR(DATE(VALUE(MID(AQ649,FIND("/",AQ649,FIND("/",AQ649)+1)+1,4)),VALUE(LEFT(AQ649,FIND("/",AQ649)-1)),VALUE(MID(AQ649,FIND("/",AQ649)+1,FIND("/",AQ649,FIND("/",AQ649)+1)-FIND("/",AQ649)-1))),""))</f>
        <v/>
      </c>
      <c r="AS649" s="26">
        <f>IF(G649="","",IF(AND(AG649&lt;&gt;"",AG649&lt;&gt;"Bayi Aracı"),"Evet","Hayır"))</f>
        <v/>
      </c>
      <c r="AT649" s="26">
        <f>IF(G649="","",IF(AND(AS649="Evet",T649="Siparişiniz Teslim Edildi"),"Evet","Hayır"))</f>
        <v/>
      </c>
      <c r="AU649" s="26">
        <f>IF(G649="","",IF(AB649="Siparişinizin Montajı Yapıldı","Evet","Hayır"))</f>
        <v/>
      </c>
      <c r="AV649" s="27">
        <f>IF(G649="","",IF(AT649="Evet",AR649,IF(AU649="Evet",AP649,"")))</f>
        <v/>
      </c>
    </row>
    <row r="650">
      <c r="A650" s="23" t="n"/>
      <c r="B650" s="23" t="n"/>
      <c r="C650" s="23" t="n"/>
      <c r="D650" s="23" t="n"/>
      <c r="E650" s="23" t="n"/>
      <c r="F650" s="23" t="n"/>
      <c r="G650" s="23" t="n"/>
      <c r="H650" s="23" t="n"/>
      <c r="I650" s="23" t="n"/>
      <c r="J650" s="23" t="n"/>
      <c r="K650" s="23" t="n"/>
      <c r="L650" s="23" t="n"/>
      <c r="M650" s="23" t="n"/>
      <c r="N650" s="23" t="n"/>
      <c r="O650" s="23" t="n"/>
      <c r="P650" s="23" t="n"/>
      <c r="Q650" s="23" t="n"/>
      <c r="R650" s="23" t="n"/>
      <c r="S650" s="23" t="n"/>
      <c r="T650" s="23" t="n"/>
      <c r="U650" s="23" t="n"/>
      <c r="V650" s="23" t="n"/>
      <c r="W650" s="23" t="n"/>
      <c r="X650" s="23" t="n"/>
      <c r="Y650" s="23" t="n"/>
      <c r="Z650" s="23" t="n"/>
      <c r="AA650" s="23" t="n"/>
      <c r="AB650" s="23" t="n"/>
      <c r="AC650" s="23" t="n"/>
      <c r="AD650" s="23" t="n"/>
      <c r="AE650" s="23" t="n"/>
      <c r="AF650" s="23" t="n"/>
      <c r="AG650" s="23" t="n"/>
      <c r="AH650" s="23" t="n"/>
      <c r="AI650" s="23" t="n"/>
      <c r="AJ650" s="23" t="n"/>
      <c r="AK650" s="23" t="n"/>
      <c r="AL650" s="23" t="n"/>
      <c r="AM650" s="26">
        <f>IF(G650="","",G650&amp;"|"&amp;P650)</f>
        <v/>
      </c>
      <c r="AN650" s="27">
        <f>IF(I650="","",IFERROR(DATE(VALUE(RIGHT(I650,4)),VALUE(MID(I650,4,2)),VALUE(LEFT(I650,2))),""))</f>
        <v/>
      </c>
      <c r="AO650" s="27">
        <f>IF(Y650="","",IFERROR(DATE(VALUE(RIGHT(Y650,4)),VALUE(MID(Y650,4,2)),VALUE(LEFT(Y650,2))),""))</f>
        <v/>
      </c>
      <c r="AP650" s="27">
        <f>IF(AC650="","",IFERROR(DATE(VALUE(RIGHT(AC650,4)),VALUE(MID(AC650,4,2)),VALUE(LEFT(AC650,2))),""))</f>
        <v/>
      </c>
      <c r="AQ650" s="26">
        <f>IF(AI650="","",TRIM(LEFT(AI650,FIND(" ",AI650&amp;" ")-1)))</f>
        <v/>
      </c>
      <c r="AR650" s="27">
        <f>IF(AQ650="","",IFERROR(DATE(VALUE(MID(AQ650,FIND("/",AQ650,FIND("/",AQ650)+1)+1,4)),VALUE(LEFT(AQ650,FIND("/",AQ650)-1)),VALUE(MID(AQ650,FIND("/",AQ650)+1,FIND("/",AQ650,FIND("/",AQ650)+1)-FIND("/",AQ650)-1))),""))</f>
        <v/>
      </c>
      <c r="AS650" s="26">
        <f>IF(G650="","",IF(AND(AG650&lt;&gt;"",AG650&lt;&gt;"Bayi Aracı"),"Evet","Hayır"))</f>
        <v/>
      </c>
      <c r="AT650" s="26">
        <f>IF(G650="","",IF(AND(AS650="Evet",T650="Siparişiniz Teslim Edildi"),"Evet","Hayır"))</f>
        <v/>
      </c>
      <c r="AU650" s="26">
        <f>IF(G650="","",IF(AB650="Siparişinizin Montajı Yapıldı","Evet","Hayır"))</f>
        <v/>
      </c>
      <c r="AV650" s="27">
        <f>IF(G650="","",IF(AT650="Evet",AR650,IF(AU650="Evet",AP650,"")))</f>
        <v/>
      </c>
    </row>
    <row r="651">
      <c r="A651" s="23" t="n"/>
      <c r="B651" s="23" t="n"/>
      <c r="C651" s="23" t="n"/>
      <c r="D651" s="23" t="n"/>
      <c r="E651" s="23" t="n"/>
      <c r="F651" s="23" t="n"/>
      <c r="G651" s="23" t="n"/>
      <c r="H651" s="23" t="n"/>
      <c r="I651" s="23" t="n"/>
      <c r="J651" s="23" t="n"/>
      <c r="K651" s="23" t="n"/>
      <c r="L651" s="23" t="n"/>
      <c r="M651" s="23" t="n"/>
      <c r="N651" s="23" t="n"/>
      <c r="O651" s="23" t="n"/>
      <c r="P651" s="23" t="n"/>
      <c r="Q651" s="23" t="n"/>
      <c r="R651" s="23" t="n"/>
      <c r="S651" s="23" t="n"/>
      <c r="T651" s="23" t="n"/>
      <c r="U651" s="23" t="n"/>
      <c r="V651" s="23" t="n"/>
      <c r="W651" s="23" t="n"/>
      <c r="X651" s="23" t="n"/>
      <c r="Y651" s="23" t="n"/>
      <c r="Z651" s="23" t="n"/>
      <c r="AA651" s="23" t="n"/>
      <c r="AB651" s="23" t="n"/>
      <c r="AC651" s="23" t="n"/>
      <c r="AD651" s="23" t="n"/>
      <c r="AE651" s="23" t="n"/>
      <c r="AF651" s="23" t="n"/>
      <c r="AG651" s="23" t="n"/>
      <c r="AH651" s="23" t="n"/>
      <c r="AI651" s="23" t="n"/>
      <c r="AJ651" s="23" t="n"/>
      <c r="AK651" s="23" t="n"/>
      <c r="AL651" s="23" t="n"/>
      <c r="AM651" s="26">
        <f>IF(G651="","",G651&amp;"|"&amp;P651)</f>
        <v/>
      </c>
      <c r="AN651" s="27">
        <f>IF(I651="","",IFERROR(DATE(VALUE(RIGHT(I651,4)),VALUE(MID(I651,4,2)),VALUE(LEFT(I651,2))),""))</f>
        <v/>
      </c>
      <c r="AO651" s="27">
        <f>IF(Y651="","",IFERROR(DATE(VALUE(RIGHT(Y651,4)),VALUE(MID(Y651,4,2)),VALUE(LEFT(Y651,2))),""))</f>
        <v/>
      </c>
      <c r="AP651" s="27">
        <f>IF(AC651="","",IFERROR(DATE(VALUE(RIGHT(AC651,4)),VALUE(MID(AC651,4,2)),VALUE(LEFT(AC651,2))),""))</f>
        <v/>
      </c>
      <c r="AQ651" s="26">
        <f>IF(AI651="","",TRIM(LEFT(AI651,FIND(" ",AI651&amp;" ")-1)))</f>
        <v/>
      </c>
      <c r="AR651" s="27">
        <f>IF(AQ651="","",IFERROR(DATE(VALUE(MID(AQ651,FIND("/",AQ651,FIND("/",AQ651)+1)+1,4)),VALUE(LEFT(AQ651,FIND("/",AQ651)-1)),VALUE(MID(AQ651,FIND("/",AQ651)+1,FIND("/",AQ651,FIND("/",AQ651)+1)-FIND("/",AQ651)-1))),""))</f>
        <v/>
      </c>
      <c r="AS651" s="26">
        <f>IF(G651="","",IF(AND(AG651&lt;&gt;"",AG651&lt;&gt;"Bayi Aracı"),"Evet","Hayır"))</f>
        <v/>
      </c>
      <c r="AT651" s="26">
        <f>IF(G651="","",IF(AND(AS651="Evet",T651="Siparişiniz Teslim Edildi"),"Evet","Hayır"))</f>
        <v/>
      </c>
      <c r="AU651" s="26">
        <f>IF(G651="","",IF(AB651="Siparişinizin Montajı Yapıldı","Evet","Hayır"))</f>
        <v/>
      </c>
      <c r="AV651" s="27">
        <f>IF(G651="","",IF(AT651="Evet",AR651,IF(AU651="Evet",AP651,"")))</f>
        <v/>
      </c>
    </row>
    <row r="652">
      <c r="A652" s="23" t="n"/>
      <c r="B652" s="23" t="n"/>
      <c r="C652" s="23" t="n"/>
      <c r="D652" s="23" t="n"/>
      <c r="E652" s="23" t="n"/>
      <c r="F652" s="23" t="n"/>
      <c r="G652" s="23" t="n"/>
      <c r="H652" s="23" t="n"/>
      <c r="I652" s="23" t="n"/>
      <c r="J652" s="23" t="n"/>
      <c r="K652" s="23" t="n"/>
      <c r="L652" s="23" t="n"/>
      <c r="M652" s="23" t="n"/>
      <c r="N652" s="23" t="n"/>
      <c r="O652" s="23" t="n"/>
      <c r="P652" s="23" t="n"/>
      <c r="Q652" s="23" t="n"/>
      <c r="R652" s="23" t="n"/>
      <c r="S652" s="23" t="n"/>
      <c r="T652" s="23" t="n"/>
      <c r="U652" s="23" t="n"/>
      <c r="V652" s="23" t="n"/>
      <c r="W652" s="23" t="n"/>
      <c r="X652" s="23" t="n"/>
      <c r="Y652" s="23" t="n"/>
      <c r="Z652" s="23" t="n"/>
      <c r="AA652" s="23" t="n"/>
      <c r="AB652" s="23" t="n"/>
      <c r="AC652" s="23" t="n"/>
      <c r="AD652" s="23" t="n"/>
      <c r="AE652" s="23" t="n"/>
      <c r="AF652" s="23" t="n"/>
      <c r="AG652" s="23" t="n"/>
      <c r="AH652" s="23" t="n"/>
      <c r="AI652" s="23" t="n"/>
      <c r="AJ652" s="23" t="n"/>
      <c r="AK652" s="23" t="n"/>
      <c r="AL652" s="23" t="n"/>
      <c r="AM652" s="26">
        <f>IF(G652="","",G652&amp;"|"&amp;P652)</f>
        <v/>
      </c>
      <c r="AN652" s="27">
        <f>IF(I652="","",IFERROR(DATE(VALUE(RIGHT(I652,4)),VALUE(MID(I652,4,2)),VALUE(LEFT(I652,2))),""))</f>
        <v/>
      </c>
      <c r="AO652" s="27">
        <f>IF(Y652="","",IFERROR(DATE(VALUE(RIGHT(Y652,4)),VALUE(MID(Y652,4,2)),VALUE(LEFT(Y652,2))),""))</f>
        <v/>
      </c>
      <c r="AP652" s="27">
        <f>IF(AC652="","",IFERROR(DATE(VALUE(RIGHT(AC652,4)),VALUE(MID(AC652,4,2)),VALUE(LEFT(AC652,2))),""))</f>
        <v/>
      </c>
      <c r="AQ652" s="26">
        <f>IF(AI652="","",TRIM(LEFT(AI652,FIND(" ",AI652&amp;" ")-1)))</f>
        <v/>
      </c>
      <c r="AR652" s="27">
        <f>IF(AQ652="","",IFERROR(DATE(VALUE(MID(AQ652,FIND("/",AQ652,FIND("/",AQ652)+1)+1,4)),VALUE(LEFT(AQ652,FIND("/",AQ652)-1)),VALUE(MID(AQ652,FIND("/",AQ652)+1,FIND("/",AQ652,FIND("/",AQ652)+1)-FIND("/",AQ652)-1))),""))</f>
        <v/>
      </c>
      <c r="AS652" s="26">
        <f>IF(G652="","",IF(AND(AG652&lt;&gt;"",AG652&lt;&gt;"Bayi Aracı"),"Evet","Hayır"))</f>
        <v/>
      </c>
      <c r="AT652" s="26">
        <f>IF(G652="","",IF(AND(AS652="Evet",T652="Siparişiniz Teslim Edildi"),"Evet","Hayır"))</f>
        <v/>
      </c>
      <c r="AU652" s="26">
        <f>IF(G652="","",IF(AB652="Siparişinizin Montajı Yapıldı","Evet","Hayır"))</f>
        <v/>
      </c>
      <c r="AV652" s="27">
        <f>IF(G652="","",IF(AT652="Evet",AR652,IF(AU652="Evet",AP652,"")))</f>
        <v/>
      </c>
    </row>
    <row r="653">
      <c r="A653" s="23" t="n"/>
      <c r="B653" s="23" t="n"/>
      <c r="C653" s="23" t="n"/>
      <c r="D653" s="23" t="n"/>
      <c r="E653" s="23" t="n"/>
      <c r="F653" s="23" t="n"/>
      <c r="G653" s="23" t="n"/>
      <c r="H653" s="23" t="n"/>
      <c r="I653" s="23" t="n"/>
      <c r="J653" s="23" t="n"/>
      <c r="K653" s="23" t="n"/>
      <c r="L653" s="23" t="n"/>
      <c r="M653" s="23" t="n"/>
      <c r="N653" s="23" t="n"/>
      <c r="O653" s="23" t="n"/>
      <c r="P653" s="23" t="n"/>
      <c r="Q653" s="23" t="n"/>
      <c r="R653" s="23" t="n"/>
      <c r="S653" s="23" t="n"/>
      <c r="T653" s="23" t="n"/>
      <c r="U653" s="23" t="n"/>
      <c r="V653" s="23" t="n"/>
      <c r="W653" s="23" t="n"/>
      <c r="X653" s="23" t="n"/>
      <c r="Y653" s="23" t="n"/>
      <c r="Z653" s="23" t="n"/>
      <c r="AA653" s="23" t="n"/>
      <c r="AB653" s="23" t="n"/>
      <c r="AC653" s="23" t="n"/>
      <c r="AD653" s="23" t="n"/>
      <c r="AE653" s="23" t="n"/>
      <c r="AF653" s="23" t="n"/>
      <c r="AG653" s="23" t="n"/>
      <c r="AH653" s="23" t="n"/>
      <c r="AI653" s="23" t="n"/>
      <c r="AJ653" s="23" t="n"/>
      <c r="AK653" s="23" t="n"/>
      <c r="AL653" s="23" t="n"/>
      <c r="AM653" s="26">
        <f>IF(G653="","",G653&amp;"|"&amp;P653)</f>
        <v/>
      </c>
      <c r="AN653" s="27">
        <f>IF(I653="","",IFERROR(DATE(VALUE(RIGHT(I653,4)),VALUE(MID(I653,4,2)),VALUE(LEFT(I653,2))),""))</f>
        <v/>
      </c>
      <c r="AO653" s="27">
        <f>IF(Y653="","",IFERROR(DATE(VALUE(RIGHT(Y653,4)),VALUE(MID(Y653,4,2)),VALUE(LEFT(Y653,2))),""))</f>
        <v/>
      </c>
      <c r="AP653" s="27">
        <f>IF(AC653="","",IFERROR(DATE(VALUE(RIGHT(AC653,4)),VALUE(MID(AC653,4,2)),VALUE(LEFT(AC653,2))),""))</f>
        <v/>
      </c>
      <c r="AQ653" s="26">
        <f>IF(AI653="","",TRIM(LEFT(AI653,FIND(" ",AI653&amp;" ")-1)))</f>
        <v/>
      </c>
      <c r="AR653" s="27">
        <f>IF(AQ653="","",IFERROR(DATE(VALUE(MID(AQ653,FIND("/",AQ653,FIND("/",AQ653)+1)+1,4)),VALUE(LEFT(AQ653,FIND("/",AQ653)-1)),VALUE(MID(AQ653,FIND("/",AQ653)+1,FIND("/",AQ653,FIND("/",AQ653)+1)-FIND("/",AQ653)-1))),""))</f>
        <v/>
      </c>
      <c r="AS653" s="26">
        <f>IF(G653="","",IF(AND(AG653&lt;&gt;"",AG653&lt;&gt;"Bayi Aracı"),"Evet","Hayır"))</f>
        <v/>
      </c>
      <c r="AT653" s="26">
        <f>IF(G653="","",IF(AND(AS653="Evet",T653="Siparişiniz Teslim Edildi"),"Evet","Hayır"))</f>
        <v/>
      </c>
      <c r="AU653" s="26">
        <f>IF(G653="","",IF(AB653="Siparişinizin Montajı Yapıldı","Evet","Hayır"))</f>
        <v/>
      </c>
      <c r="AV653" s="27">
        <f>IF(G653="","",IF(AT653="Evet",AR653,IF(AU653="Evet",AP653,"")))</f>
        <v/>
      </c>
    </row>
    <row r="654">
      <c r="A654" s="23" t="n"/>
      <c r="B654" s="23" t="n"/>
      <c r="C654" s="23" t="n"/>
      <c r="D654" s="23" t="n"/>
      <c r="E654" s="23" t="n"/>
      <c r="F654" s="23" t="n"/>
      <c r="G654" s="23" t="n"/>
      <c r="H654" s="23" t="n"/>
      <c r="I654" s="23" t="n"/>
      <c r="J654" s="23" t="n"/>
      <c r="K654" s="23" t="n"/>
      <c r="L654" s="23" t="n"/>
      <c r="M654" s="23" t="n"/>
      <c r="N654" s="23" t="n"/>
      <c r="O654" s="23" t="n"/>
      <c r="P654" s="23" t="n"/>
      <c r="Q654" s="23" t="n"/>
      <c r="R654" s="23" t="n"/>
      <c r="S654" s="23" t="n"/>
      <c r="T654" s="23" t="n"/>
      <c r="U654" s="23" t="n"/>
      <c r="V654" s="23" t="n"/>
      <c r="W654" s="23" t="n"/>
      <c r="X654" s="23" t="n"/>
      <c r="Y654" s="23" t="n"/>
      <c r="Z654" s="23" t="n"/>
      <c r="AA654" s="23" t="n"/>
      <c r="AB654" s="23" t="n"/>
      <c r="AC654" s="23" t="n"/>
      <c r="AD654" s="23" t="n"/>
      <c r="AE654" s="23" t="n"/>
      <c r="AF654" s="23" t="n"/>
      <c r="AG654" s="23" t="n"/>
      <c r="AH654" s="23" t="n"/>
      <c r="AI654" s="23" t="n"/>
      <c r="AJ654" s="23" t="n"/>
      <c r="AK654" s="23" t="n"/>
      <c r="AL654" s="23" t="n"/>
      <c r="AM654" s="26">
        <f>IF(G654="","",G654&amp;"|"&amp;P654)</f>
        <v/>
      </c>
      <c r="AN654" s="27">
        <f>IF(I654="","",IFERROR(DATE(VALUE(RIGHT(I654,4)),VALUE(MID(I654,4,2)),VALUE(LEFT(I654,2))),""))</f>
        <v/>
      </c>
      <c r="AO654" s="27">
        <f>IF(Y654="","",IFERROR(DATE(VALUE(RIGHT(Y654,4)),VALUE(MID(Y654,4,2)),VALUE(LEFT(Y654,2))),""))</f>
        <v/>
      </c>
      <c r="AP654" s="27">
        <f>IF(AC654="","",IFERROR(DATE(VALUE(RIGHT(AC654,4)),VALUE(MID(AC654,4,2)),VALUE(LEFT(AC654,2))),""))</f>
        <v/>
      </c>
      <c r="AQ654" s="26">
        <f>IF(AI654="","",TRIM(LEFT(AI654,FIND(" ",AI654&amp;" ")-1)))</f>
        <v/>
      </c>
      <c r="AR654" s="27">
        <f>IF(AQ654="","",IFERROR(DATE(VALUE(MID(AQ654,FIND("/",AQ654,FIND("/",AQ654)+1)+1,4)),VALUE(LEFT(AQ654,FIND("/",AQ654)-1)),VALUE(MID(AQ654,FIND("/",AQ654)+1,FIND("/",AQ654,FIND("/",AQ654)+1)-FIND("/",AQ654)-1))),""))</f>
        <v/>
      </c>
      <c r="AS654" s="26">
        <f>IF(G654="","",IF(AND(AG654&lt;&gt;"",AG654&lt;&gt;"Bayi Aracı"),"Evet","Hayır"))</f>
        <v/>
      </c>
      <c r="AT654" s="26">
        <f>IF(G654="","",IF(AND(AS654="Evet",T654="Siparişiniz Teslim Edildi"),"Evet","Hayır"))</f>
        <v/>
      </c>
      <c r="AU654" s="26">
        <f>IF(G654="","",IF(AB654="Siparişinizin Montajı Yapıldı","Evet","Hayır"))</f>
        <v/>
      </c>
      <c r="AV654" s="27">
        <f>IF(G654="","",IF(AT654="Evet",AR654,IF(AU654="Evet",AP654,"")))</f>
        <v/>
      </c>
    </row>
    <row r="655">
      <c r="A655" s="23" t="n"/>
      <c r="B655" s="23" t="n"/>
      <c r="C655" s="23" t="n"/>
      <c r="D655" s="23" t="n"/>
      <c r="E655" s="23" t="n"/>
      <c r="F655" s="23" t="n"/>
      <c r="G655" s="23" t="n"/>
      <c r="H655" s="23" t="n"/>
      <c r="I655" s="23" t="n"/>
      <c r="J655" s="23" t="n"/>
      <c r="K655" s="23" t="n"/>
      <c r="L655" s="23" t="n"/>
      <c r="M655" s="23" t="n"/>
      <c r="N655" s="23" t="n"/>
      <c r="O655" s="23" t="n"/>
      <c r="P655" s="23" t="n"/>
      <c r="Q655" s="23" t="n"/>
      <c r="R655" s="23" t="n"/>
      <c r="S655" s="23" t="n"/>
      <c r="T655" s="23" t="n"/>
      <c r="U655" s="23" t="n"/>
      <c r="V655" s="23" t="n"/>
      <c r="W655" s="23" t="n"/>
      <c r="X655" s="23" t="n"/>
      <c r="Y655" s="23" t="n"/>
      <c r="Z655" s="23" t="n"/>
      <c r="AA655" s="23" t="n"/>
      <c r="AB655" s="23" t="n"/>
      <c r="AC655" s="23" t="n"/>
      <c r="AD655" s="23" t="n"/>
      <c r="AE655" s="23" t="n"/>
      <c r="AF655" s="23" t="n"/>
      <c r="AG655" s="23" t="n"/>
      <c r="AH655" s="23" t="n"/>
      <c r="AI655" s="23" t="n"/>
      <c r="AJ655" s="23" t="n"/>
      <c r="AK655" s="23" t="n"/>
      <c r="AL655" s="23" t="n"/>
      <c r="AM655" s="26">
        <f>IF(G655="","",G655&amp;"|"&amp;P655)</f>
        <v/>
      </c>
      <c r="AN655" s="27">
        <f>IF(I655="","",IFERROR(DATE(VALUE(RIGHT(I655,4)),VALUE(MID(I655,4,2)),VALUE(LEFT(I655,2))),""))</f>
        <v/>
      </c>
      <c r="AO655" s="27">
        <f>IF(Y655="","",IFERROR(DATE(VALUE(RIGHT(Y655,4)),VALUE(MID(Y655,4,2)),VALUE(LEFT(Y655,2))),""))</f>
        <v/>
      </c>
      <c r="AP655" s="27">
        <f>IF(AC655="","",IFERROR(DATE(VALUE(RIGHT(AC655,4)),VALUE(MID(AC655,4,2)),VALUE(LEFT(AC655,2))),""))</f>
        <v/>
      </c>
      <c r="AQ655" s="26">
        <f>IF(AI655="","",TRIM(LEFT(AI655,FIND(" ",AI655&amp;" ")-1)))</f>
        <v/>
      </c>
      <c r="AR655" s="27">
        <f>IF(AQ655="","",IFERROR(DATE(VALUE(MID(AQ655,FIND("/",AQ655,FIND("/",AQ655)+1)+1,4)),VALUE(LEFT(AQ655,FIND("/",AQ655)-1)),VALUE(MID(AQ655,FIND("/",AQ655)+1,FIND("/",AQ655,FIND("/",AQ655)+1)-FIND("/",AQ655)-1))),""))</f>
        <v/>
      </c>
      <c r="AS655" s="26">
        <f>IF(G655="","",IF(AND(AG655&lt;&gt;"",AG655&lt;&gt;"Bayi Aracı"),"Evet","Hayır"))</f>
        <v/>
      </c>
      <c r="AT655" s="26">
        <f>IF(G655="","",IF(AND(AS655="Evet",T655="Siparişiniz Teslim Edildi"),"Evet","Hayır"))</f>
        <v/>
      </c>
      <c r="AU655" s="26">
        <f>IF(G655="","",IF(AB655="Siparişinizin Montajı Yapıldı","Evet","Hayır"))</f>
        <v/>
      </c>
      <c r="AV655" s="27">
        <f>IF(G655="","",IF(AT655="Evet",AR655,IF(AU655="Evet",AP655,"")))</f>
        <v/>
      </c>
    </row>
    <row r="656">
      <c r="A656" s="23" t="n"/>
      <c r="B656" s="23" t="n"/>
      <c r="C656" s="23" t="n"/>
      <c r="D656" s="23" t="n"/>
      <c r="E656" s="23" t="n"/>
      <c r="F656" s="23" t="n"/>
      <c r="G656" s="23" t="n"/>
      <c r="H656" s="23" t="n"/>
      <c r="I656" s="23" t="n"/>
      <c r="J656" s="23" t="n"/>
      <c r="K656" s="23" t="n"/>
      <c r="L656" s="23" t="n"/>
      <c r="M656" s="23" t="n"/>
      <c r="N656" s="23" t="n"/>
      <c r="O656" s="23" t="n"/>
      <c r="P656" s="23" t="n"/>
      <c r="Q656" s="23" t="n"/>
      <c r="R656" s="23" t="n"/>
      <c r="S656" s="23" t="n"/>
      <c r="T656" s="23" t="n"/>
      <c r="U656" s="23" t="n"/>
      <c r="V656" s="23" t="n"/>
      <c r="W656" s="23" t="n"/>
      <c r="X656" s="23" t="n"/>
      <c r="Y656" s="23" t="n"/>
      <c r="Z656" s="23" t="n"/>
      <c r="AA656" s="23" t="n"/>
      <c r="AB656" s="23" t="n"/>
      <c r="AC656" s="23" t="n"/>
      <c r="AD656" s="23" t="n"/>
      <c r="AE656" s="23" t="n"/>
      <c r="AF656" s="23" t="n"/>
      <c r="AG656" s="23" t="n"/>
      <c r="AH656" s="23" t="n"/>
      <c r="AI656" s="23" t="n"/>
      <c r="AJ656" s="23" t="n"/>
      <c r="AK656" s="23" t="n"/>
      <c r="AL656" s="23" t="n"/>
      <c r="AM656" s="26">
        <f>IF(G656="","",G656&amp;"|"&amp;P656)</f>
        <v/>
      </c>
      <c r="AN656" s="27">
        <f>IF(I656="","",IFERROR(DATE(VALUE(RIGHT(I656,4)),VALUE(MID(I656,4,2)),VALUE(LEFT(I656,2))),""))</f>
        <v/>
      </c>
      <c r="AO656" s="27">
        <f>IF(Y656="","",IFERROR(DATE(VALUE(RIGHT(Y656,4)),VALUE(MID(Y656,4,2)),VALUE(LEFT(Y656,2))),""))</f>
        <v/>
      </c>
      <c r="AP656" s="27">
        <f>IF(AC656="","",IFERROR(DATE(VALUE(RIGHT(AC656,4)),VALUE(MID(AC656,4,2)),VALUE(LEFT(AC656,2))),""))</f>
        <v/>
      </c>
      <c r="AQ656" s="26">
        <f>IF(AI656="","",TRIM(LEFT(AI656,FIND(" ",AI656&amp;" ")-1)))</f>
        <v/>
      </c>
      <c r="AR656" s="27">
        <f>IF(AQ656="","",IFERROR(DATE(VALUE(MID(AQ656,FIND("/",AQ656,FIND("/",AQ656)+1)+1,4)),VALUE(LEFT(AQ656,FIND("/",AQ656)-1)),VALUE(MID(AQ656,FIND("/",AQ656)+1,FIND("/",AQ656,FIND("/",AQ656)+1)-FIND("/",AQ656)-1))),""))</f>
        <v/>
      </c>
      <c r="AS656" s="26">
        <f>IF(G656="","",IF(AND(AG656&lt;&gt;"",AG656&lt;&gt;"Bayi Aracı"),"Evet","Hayır"))</f>
        <v/>
      </c>
      <c r="AT656" s="26">
        <f>IF(G656="","",IF(AND(AS656="Evet",T656="Siparişiniz Teslim Edildi"),"Evet","Hayır"))</f>
        <v/>
      </c>
      <c r="AU656" s="26">
        <f>IF(G656="","",IF(AB656="Siparişinizin Montajı Yapıldı","Evet","Hayır"))</f>
        <v/>
      </c>
      <c r="AV656" s="27">
        <f>IF(G656="","",IF(AT656="Evet",AR656,IF(AU656="Evet",AP656,"")))</f>
        <v/>
      </c>
    </row>
    <row r="657">
      <c r="A657" s="23" t="n"/>
      <c r="B657" s="23" t="n"/>
      <c r="C657" s="23" t="n"/>
      <c r="D657" s="23" t="n"/>
      <c r="E657" s="23" t="n"/>
      <c r="F657" s="23" t="n"/>
      <c r="G657" s="23" t="n"/>
      <c r="H657" s="23" t="n"/>
      <c r="I657" s="23" t="n"/>
      <c r="J657" s="23" t="n"/>
      <c r="K657" s="23" t="n"/>
      <c r="L657" s="23" t="n"/>
      <c r="M657" s="23" t="n"/>
      <c r="N657" s="23" t="n"/>
      <c r="O657" s="23" t="n"/>
      <c r="P657" s="23" t="n"/>
      <c r="Q657" s="23" t="n"/>
      <c r="R657" s="23" t="n"/>
      <c r="S657" s="23" t="n"/>
      <c r="T657" s="23" t="n"/>
      <c r="U657" s="23" t="n"/>
      <c r="V657" s="23" t="n"/>
      <c r="W657" s="23" t="n"/>
      <c r="X657" s="23" t="n"/>
      <c r="Y657" s="23" t="n"/>
      <c r="Z657" s="23" t="n"/>
      <c r="AA657" s="23" t="n"/>
      <c r="AB657" s="23" t="n"/>
      <c r="AC657" s="23" t="n"/>
      <c r="AD657" s="23" t="n"/>
      <c r="AE657" s="23" t="n"/>
      <c r="AF657" s="23" t="n"/>
      <c r="AG657" s="23" t="n"/>
      <c r="AH657" s="23" t="n"/>
      <c r="AI657" s="23" t="n"/>
      <c r="AJ657" s="23" t="n"/>
      <c r="AK657" s="23" t="n"/>
      <c r="AL657" s="23" t="n"/>
      <c r="AM657" s="26">
        <f>IF(G657="","",G657&amp;"|"&amp;P657)</f>
        <v/>
      </c>
      <c r="AN657" s="27">
        <f>IF(I657="","",IFERROR(DATE(VALUE(RIGHT(I657,4)),VALUE(MID(I657,4,2)),VALUE(LEFT(I657,2))),""))</f>
        <v/>
      </c>
      <c r="AO657" s="27">
        <f>IF(Y657="","",IFERROR(DATE(VALUE(RIGHT(Y657,4)),VALUE(MID(Y657,4,2)),VALUE(LEFT(Y657,2))),""))</f>
        <v/>
      </c>
      <c r="AP657" s="27">
        <f>IF(AC657="","",IFERROR(DATE(VALUE(RIGHT(AC657,4)),VALUE(MID(AC657,4,2)),VALUE(LEFT(AC657,2))),""))</f>
        <v/>
      </c>
      <c r="AQ657" s="26">
        <f>IF(AI657="","",TRIM(LEFT(AI657,FIND(" ",AI657&amp;" ")-1)))</f>
        <v/>
      </c>
      <c r="AR657" s="27">
        <f>IF(AQ657="","",IFERROR(DATE(VALUE(MID(AQ657,FIND("/",AQ657,FIND("/",AQ657)+1)+1,4)),VALUE(LEFT(AQ657,FIND("/",AQ657)-1)),VALUE(MID(AQ657,FIND("/",AQ657)+1,FIND("/",AQ657,FIND("/",AQ657)+1)-FIND("/",AQ657)-1))),""))</f>
        <v/>
      </c>
      <c r="AS657" s="26">
        <f>IF(G657="","",IF(AND(AG657&lt;&gt;"",AG657&lt;&gt;"Bayi Aracı"),"Evet","Hayır"))</f>
        <v/>
      </c>
      <c r="AT657" s="26">
        <f>IF(G657="","",IF(AND(AS657="Evet",T657="Siparişiniz Teslim Edildi"),"Evet","Hayır"))</f>
        <v/>
      </c>
      <c r="AU657" s="26">
        <f>IF(G657="","",IF(AB657="Siparişinizin Montajı Yapıldı","Evet","Hayır"))</f>
        <v/>
      </c>
      <c r="AV657" s="27">
        <f>IF(G657="","",IF(AT657="Evet",AR657,IF(AU657="Evet",AP657,"")))</f>
        <v/>
      </c>
    </row>
    <row r="658">
      <c r="A658" s="23" t="n"/>
      <c r="B658" s="23" t="n"/>
      <c r="C658" s="23" t="n"/>
      <c r="D658" s="23" t="n"/>
      <c r="E658" s="23" t="n"/>
      <c r="F658" s="23" t="n"/>
      <c r="G658" s="23" t="n"/>
      <c r="H658" s="23" t="n"/>
      <c r="I658" s="23" t="n"/>
      <c r="J658" s="23" t="n"/>
      <c r="K658" s="23" t="n"/>
      <c r="L658" s="23" t="n"/>
      <c r="M658" s="23" t="n"/>
      <c r="N658" s="23" t="n"/>
      <c r="O658" s="23" t="n"/>
      <c r="P658" s="23" t="n"/>
      <c r="Q658" s="23" t="n"/>
      <c r="R658" s="23" t="n"/>
      <c r="S658" s="23" t="n"/>
      <c r="T658" s="23" t="n"/>
      <c r="U658" s="23" t="n"/>
      <c r="V658" s="23" t="n"/>
      <c r="W658" s="23" t="n"/>
      <c r="X658" s="23" t="n"/>
      <c r="Y658" s="23" t="n"/>
      <c r="Z658" s="23" t="n"/>
      <c r="AA658" s="23" t="n"/>
      <c r="AB658" s="23" t="n"/>
      <c r="AC658" s="23" t="n"/>
      <c r="AD658" s="23" t="n"/>
      <c r="AE658" s="23" t="n"/>
      <c r="AF658" s="23" t="n"/>
      <c r="AG658" s="23" t="n"/>
      <c r="AH658" s="23" t="n"/>
      <c r="AI658" s="23" t="n"/>
      <c r="AJ658" s="23" t="n"/>
      <c r="AK658" s="23" t="n"/>
      <c r="AL658" s="23" t="n"/>
      <c r="AM658" s="26">
        <f>IF(G658="","",G658&amp;"|"&amp;P658)</f>
        <v/>
      </c>
      <c r="AN658" s="27">
        <f>IF(I658="","",IFERROR(DATE(VALUE(RIGHT(I658,4)),VALUE(MID(I658,4,2)),VALUE(LEFT(I658,2))),""))</f>
        <v/>
      </c>
      <c r="AO658" s="27">
        <f>IF(Y658="","",IFERROR(DATE(VALUE(RIGHT(Y658,4)),VALUE(MID(Y658,4,2)),VALUE(LEFT(Y658,2))),""))</f>
        <v/>
      </c>
      <c r="AP658" s="27">
        <f>IF(AC658="","",IFERROR(DATE(VALUE(RIGHT(AC658,4)),VALUE(MID(AC658,4,2)),VALUE(LEFT(AC658,2))),""))</f>
        <v/>
      </c>
      <c r="AQ658" s="26">
        <f>IF(AI658="","",TRIM(LEFT(AI658,FIND(" ",AI658&amp;" ")-1)))</f>
        <v/>
      </c>
      <c r="AR658" s="27">
        <f>IF(AQ658="","",IFERROR(DATE(VALUE(MID(AQ658,FIND("/",AQ658,FIND("/",AQ658)+1)+1,4)),VALUE(LEFT(AQ658,FIND("/",AQ658)-1)),VALUE(MID(AQ658,FIND("/",AQ658)+1,FIND("/",AQ658,FIND("/",AQ658)+1)-FIND("/",AQ658)-1))),""))</f>
        <v/>
      </c>
      <c r="AS658" s="26">
        <f>IF(G658="","",IF(AND(AG658&lt;&gt;"",AG658&lt;&gt;"Bayi Aracı"),"Evet","Hayır"))</f>
        <v/>
      </c>
      <c r="AT658" s="26">
        <f>IF(G658="","",IF(AND(AS658="Evet",T658="Siparişiniz Teslim Edildi"),"Evet","Hayır"))</f>
        <v/>
      </c>
      <c r="AU658" s="26">
        <f>IF(G658="","",IF(AB658="Siparişinizin Montajı Yapıldı","Evet","Hayır"))</f>
        <v/>
      </c>
      <c r="AV658" s="27">
        <f>IF(G658="","",IF(AT658="Evet",AR658,IF(AU658="Evet",AP658,"")))</f>
        <v/>
      </c>
    </row>
    <row r="659">
      <c r="A659" s="23" t="n"/>
      <c r="B659" s="23" t="n"/>
      <c r="C659" s="23" t="n"/>
      <c r="D659" s="23" t="n"/>
      <c r="E659" s="23" t="n"/>
      <c r="F659" s="23" t="n"/>
      <c r="G659" s="23" t="n"/>
      <c r="H659" s="23" t="n"/>
      <c r="I659" s="23" t="n"/>
      <c r="J659" s="23" t="n"/>
      <c r="K659" s="23" t="n"/>
      <c r="L659" s="23" t="n"/>
      <c r="M659" s="23" t="n"/>
      <c r="N659" s="23" t="n"/>
      <c r="O659" s="23" t="n"/>
      <c r="P659" s="23" t="n"/>
      <c r="Q659" s="23" t="n"/>
      <c r="R659" s="23" t="n"/>
      <c r="S659" s="23" t="n"/>
      <c r="T659" s="23" t="n"/>
      <c r="U659" s="23" t="n"/>
      <c r="V659" s="23" t="n"/>
      <c r="W659" s="23" t="n"/>
      <c r="X659" s="23" t="n"/>
      <c r="Y659" s="23" t="n"/>
      <c r="Z659" s="23" t="n"/>
      <c r="AA659" s="23" t="n"/>
      <c r="AB659" s="23" t="n"/>
      <c r="AC659" s="23" t="n"/>
      <c r="AD659" s="23" t="n"/>
      <c r="AE659" s="23" t="n"/>
      <c r="AF659" s="23" t="n"/>
      <c r="AG659" s="23" t="n"/>
      <c r="AH659" s="23" t="n"/>
      <c r="AI659" s="23" t="n"/>
      <c r="AJ659" s="23" t="n"/>
      <c r="AK659" s="23" t="n"/>
      <c r="AL659" s="23" t="n"/>
      <c r="AM659" s="26">
        <f>IF(G659="","",G659&amp;"|"&amp;P659)</f>
        <v/>
      </c>
      <c r="AN659" s="27">
        <f>IF(I659="","",IFERROR(DATE(VALUE(RIGHT(I659,4)),VALUE(MID(I659,4,2)),VALUE(LEFT(I659,2))),""))</f>
        <v/>
      </c>
      <c r="AO659" s="27">
        <f>IF(Y659="","",IFERROR(DATE(VALUE(RIGHT(Y659,4)),VALUE(MID(Y659,4,2)),VALUE(LEFT(Y659,2))),""))</f>
        <v/>
      </c>
      <c r="AP659" s="27">
        <f>IF(AC659="","",IFERROR(DATE(VALUE(RIGHT(AC659,4)),VALUE(MID(AC659,4,2)),VALUE(LEFT(AC659,2))),""))</f>
        <v/>
      </c>
      <c r="AQ659" s="26">
        <f>IF(AI659="","",TRIM(LEFT(AI659,FIND(" ",AI659&amp;" ")-1)))</f>
        <v/>
      </c>
      <c r="AR659" s="27">
        <f>IF(AQ659="","",IFERROR(DATE(VALUE(MID(AQ659,FIND("/",AQ659,FIND("/",AQ659)+1)+1,4)),VALUE(LEFT(AQ659,FIND("/",AQ659)-1)),VALUE(MID(AQ659,FIND("/",AQ659)+1,FIND("/",AQ659,FIND("/",AQ659)+1)-FIND("/",AQ659)-1))),""))</f>
        <v/>
      </c>
      <c r="AS659" s="26">
        <f>IF(G659="","",IF(AND(AG659&lt;&gt;"",AG659&lt;&gt;"Bayi Aracı"),"Evet","Hayır"))</f>
        <v/>
      </c>
      <c r="AT659" s="26">
        <f>IF(G659="","",IF(AND(AS659="Evet",T659="Siparişiniz Teslim Edildi"),"Evet","Hayır"))</f>
        <v/>
      </c>
      <c r="AU659" s="26">
        <f>IF(G659="","",IF(AB659="Siparişinizin Montajı Yapıldı","Evet","Hayır"))</f>
        <v/>
      </c>
      <c r="AV659" s="27">
        <f>IF(G659="","",IF(AT659="Evet",AR659,IF(AU659="Evet",AP659,"")))</f>
        <v/>
      </c>
    </row>
    <row r="660">
      <c r="A660" s="23" t="n"/>
      <c r="B660" s="23" t="n"/>
      <c r="C660" s="23" t="n"/>
      <c r="D660" s="23" t="n"/>
      <c r="E660" s="23" t="n"/>
      <c r="F660" s="23" t="n"/>
      <c r="G660" s="23" t="n"/>
      <c r="H660" s="23" t="n"/>
      <c r="I660" s="23" t="n"/>
      <c r="J660" s="23" t="n"/>
      <c r="K660" s="23" t="n"/>
      <c r="L660" s="23" t="n"/>
      <c r="M660" s="23" t="n"/>
      <c r="N660" s="23" t="n"/>
      <c r="O660" s="23" t="n"/>
      <c r="P660" s="23" t="n"/>
      <c r="Q660" s="23" t="n"/>
      <c r="R660" s="23" t="n"/>
      <c r="S660" s="23" t="n"/>
      <c r="T660" s="23" t="n"/>
      <c r="U660" s="23" t="n"/>
      <c r="V660" s="23" t="n"/>
      <c r="W660" s="23" t="n"/>
      <c r="X660" s="23" t="n"/>
      <c r="Y660" s="23" t="n"/>
      <c r="Z660" s="23" t="n"/>
      <c r="AA660" s="23" t="n"/>
      <c r="AB660" s="23" t="n"/>
      <c r="AC660" s="23" t="n"/>
      <c r="AD660" s="23" t="n"/>
      <c r="AE660" s="23" t="n"/>
      <c r="AF660" s="23" t="n"/>
      <c r="AG660" s="23" t="n"/>
      <c r="AH660" s="23" t="n"/>
      <c r="AI660" s="23" t="n"/>
      <c r="AJ660" s="23" t="n"/>
      <c r="AK660" s="23" t="n"/>
      <c r="AL660" s="23" t="n"/>
      <c r="AM660" s="26">
        <f>IF(G660="","",G660&amp;"|"&amp;P660)</f>
        <v/>
      </c>
      <c r="AN660" s="27">
        <f>IF(I660="","",IFERROR(DATE(VALUE(RIGHT(I660,4)),VALUE(MID(I660,4,2)),VALUE(LEFT(I660,2))),""))</f>
        <v/>
      </c>
      <c r="AO660" s="27">
        <f>IF(Y660="","",IFERROR(DATE(VALUE(RIGHT(Y660,4)),VALUE(MID(Y660,4,2)),VALUE(LEFT(Y660,2))),""))</f>
        <v/>
      </c>
      <c r="AP660" s="27">
        <f>IF(AC660="","",IFERROR(DATE(VALUE(RIGHT(AC660,4)),VALUE(MID(AC660,4,2)),VALUE(LEFT(AC660,2))),""))</f>
        <v/>
      </c>
      <c r="AQ660" s="26">
        <f>IF(AI660="","",TRIM(LEFT(AI660,FIND(" ",AI660&amp;" ")-1)))</f>
        <v/>
      </c>
      <c r="AR660" s="27">
        <f>IF(AQ660="","",IFERROR(DATE(VALUE(MID(AQ660,FIND("/",AQ660,FIND("/",AQ660)+1)+1,4)),VALUE(LEFT(AQ660,FIND("/",AQ660)-1)),VALUE(MID(AQ660,FIND("/",AQ660)+1,FIND("/",AQ660,FIND("/",AQ660)+1)-FIND("/",AQ660)-1))),""))</f>
        <v/>
      </c>
      <c r="AS660" s="26">
        <f>IF(G660="","",IF(AND(AG660&lt;&gt;"",AG660&lt;&gt;"Bayi Aracı"),"Evet","Hayır"))</f>
        <v/>
      </c>
      <c r="AT660" s="26">
        <f>IF(G660="","",IF(AND(AS660="Evet",T660="Siparişiniz Teslim Edildi"),"Evet","Hayır"))</f>
        <v/>
      </c>
      <c r="AU660" s="26">
        <f>IF(G660="","",IF(AB660="Siparişinizin Montajı Yapıldı","Evet","Hayır"))</f>
        <v/>
      </c>
      <c r="AV660" s="27">
        <f>IF(G660="","",IF(AT660="Evet",AR660,IF(AU660="Evet",AP660,"")))</f>
        <v/>
      </c>
    </row>
    <row r="661">
      <c r="A661" s="23" t="n"/>
      <c r="B661" s="23" t="n"/>
      <c r="C661" s="23" t="n"/>
      <c r="D661" s="23" t="n"/>
      <c r="E661" s="23" t="n"/>
      <c r="F661" s="23" t="n"/>
      <c r="G661" s="23" t="n"/>
      <c r="H661" s="23" t="n"/>
      <c r="I661" s="23" t="n"/>
      <c r="J661" s="23" t="n"/>
      <c r="K661" s="23" t="n"/>
      <c r="L661" s="23" t="n"/>
      <c r="M661" s="23" t="n"/>
      <c r="N661" s="23" t="n"/>
      <c r="O661" s="23" t="n"/>
      <c r="P661" s="23" t="n"/>
      <c r="Q661" s="23" t="n"/>
      <c r="R661" s="23" t="n"/>
      <c r="S661" s="23" t="n"/>
      <c r="T661" s="23" t="n"/>
      <c r="U661" s="23" t="n"/>
      <c r="V661" s="23" t="n"/>
      <c r="W661" s="23" t="n"/>
      <c r="X661" s="23" t="n"/>
      <c r="Y661" s="23" t="n"/>
      <c r="Z661" s="23" t="n"/>
      <c r="AA661" s="23" t="n"/>
      <c r="AB661" s="23" t="n"/>
      <c r="AC661" s="23" t="n"/>
      <c r="AD661" s="23" t="n"/>
      <c r="AE661" s="23" t="n"/>
      <c r="AF661" s="23" t="n"/>
      <c r="AG661" s="23" t="n"/>
      <c r="AH661" s="23" t="n"/>
      <c r="AI661" s="23" t="n"/>
      <c r="AJ661" s="23" t="n"/>
      <c r="AK661" s="23" t="n"/>
      <c r="AL661" s="23" t="n"/>
      <c r="AM661" s="26">
        <f>IF(G661="","",G661&amp;"|"&amp;P661)</f>
        <v/>
      </c>
      <c r="AN661" s="27">
        <f>IF(I661="","",IFERROR(DATE(VALUE(RIGHT(I661,4)),VALUE(MID(I661,4,2)),VALUE(LEFT(I661,2))),""))</f>
        <v/>
      </c>
      <c r="AO661" s="27">
        <f>IF(Y661="","",IFERROR(DATE(VALUE(RIGHT(Y661,4)),VALUE(MID(Y661,4,2)),VALUE(LEFT(Y661,2))),""))</f>
        <v/>
      </c>
      <c r="AP661" s="27">
        <f>IF(AC661="","",IFERROR(DATE(VALUE(RIGHT(AC661,4)),VALUE(MID(AC661,4,2)),VALUE(LEFT(AC661,2))),""))</f>
        <v/>
      </c>
      <c r="AQ661" s="26">
        <f>IF(AI661="","",TRIM(LEFT(AI661,FIND(" ",AI661&amp;" ")-1)))</f>
        <v/>
      </c>
      <c r="AR661" s="27">
        <f>IF(AQ661="","",IFERROR(DATE(VALUE(MID(AQ661,FIND("/",AQ661,FIND("/",AQ661)+1)+1,4)),VALUE(LEFT(AQ661,FIND("/",AQ661)-1)),VALUE(MID(AQ661,FIND("/",AQ661)+1,FIND("/",AQ661,FIND("/",AQ661)+1)-FIND("/",AQ661)-1))),""))</f>
        <v/>
      </c>
      <c r="AS661" s="26">
        <f>IF(G661="","",IF(AND(AG661&lt;&gt;"",AG661&lt;&gt;"Bayi Aracı"),"Evet","Hayır"))</f>
        <v/>
      </c>
      <c r="AT661" s="26">
        <f>IF(G661="","",IF(AND(AS661="Evet",T661="Siparişiniz Teslim Edildi"),"Evet","Hayır"))</f>
        <v/>
      </c>
      <c r="AU661" s="26">
        <f>IF(G661="","",IF(AB661="Siparişinizin Montajı Yapıldı","Evet","Hayır"))</f>
        <v/>
      </c>
      <c r="AV661" s="27">
        <f>IF(G661="","",IF(AT661="Evet",AR661,IF(AU661="Evet",AP661,"")))</f>
        <v/>
      </c>
    </row>
    <row r="662">
      <c r="A662" s="23" t="n"/>
      <c r="B662" s="23" t="n"/>
      <c r="C662" s="23" t="n"/>
      <c r="D662" s="23" t="n"/>
      <c r="E662" s="23" t="n"/>
      <c r="F662" s="23" t="n"/>
      <c r="G662" s="23" t="n"/>
      <c r="H662" s="23" t="n"/>
      <c r="I662" s="23" t="n"/>
      <c r="J662" s="23" t="n"/>
      <c r="K662" s="23" t="n"/>
      <c r="L662" s="23" t="n"/>
      <c r="M662" s="23" t="n"/>
      <c r="N662" s="23" t="n"/>
      <c r="O662" s="23" t="n"/>
      <c r="P662" s="23" t="n"/>
      <c r="Q662" s="23" t="n"/>
      <c r="R662" s="23" t="n"/>
      <c r="S662" s="23" t="n"/>
      <c r="T662" s="23" t="n"/>
      <c r="U662" s="23" t="n"/>
      <c r="V662" s="23" t="n"/>
      <c r="W662" s="23" t="n"/>
      <c r="X662" s="23" t="n"/>
      <c r="Y662" s="23" t="n"/>
      <c r="Z662" s="23" t="n"/>
      <c r="AA662" s="23" t="n"/>
      <c r="AB662" s="23" t="n"/>
      <c r="AC662" s="23" t="n"/>
      <c r="AD662" s="23" t="n"/>
      <c r="AE662" s="23" t="n"/>
      <c r="AF662" s="23" t="n"/>
      <c r="AG662" s="23" t="n"/>
      <c r="AH662" s="23" t="n"/>
      <c r="AI662" s="23" t="n"/>
      <c r="AJ662" s="23" t="n"/>
      <c r="AK662" s="23" t="n"/>
      <c r="AL662" s="23" t="n"/>
      <c r="AM662" s="26">
        <f>IF(G662="","",G662&amp;"|"&amp;P662)</f>
        <v/>
      </c>
      <c r="AN662" s="27">
        <f>IF(I662="","",IFERROR(DATE(VALUE(RIGHT(I662,4)),VALUE(MID(I662,4,2)),VALUE(LEFT(I662,2))),""))</f>
        <v/>
      </c>
      <c r="AO662" s="27">
        <f>IF(Y662="","",IFERROR(DATE(VALUE(RIGHT(Y662,4)),VALUE(MID(Y662,4,2)),VALUE(LEFT(Y662,2))),""))</f>
        <v/>
      </c>
      <c r="AP662" s="27">
        <f>IF(AC662="","",IFERROR(DATE(VALUE(RIGHT(AC662,4)),VALUE(MID(AC662,4,2)),VALUE(LEFT(AC662,2))),""))</f>
        <v/>
      </c>
      <c r="AQ662" s="26">
        <f>IF(AI662="","",TRIM(LEFT(AI662,FIND(" ",AI662&amp;" ")-1)))</f>
        <v/>
      </c>
      <c r="AR662" s="27">
        <f>IF(AQ662="","",IFERROR(DATE(VALUE(MID(AQ662,FIND("/",AQ662,FIND("/",AQ662)+1)+1,4)),VALUE(LEFT(AQ662,FIND("/",AQ662)-1)),VALUE(MID(AQ662,FIND("/",AQ662)+1,FIND("/",AQ662,FIND("/",AQ662)+1)-FIND("/",AQ662)-1))),""))</f>
        <v/>
      </c>
      <c r="AS662" s="26">
        <f>IF(G662="","",IF(AND(AG662&lt;&gt;"",AG662&lt;&gt;"Bayi Aracı"),"Evet","Hayır"))</f>
        <v/>
      </c>
      <c r="AT662" s="26">
        <f>IF(G662="","",IF(AND(AS662="Evet",T662="Siparişiniz Teslim Edildi"),"Evet","Hayır"))</f>
        <v/>
      </c>
      <c r="AU662" s="26">
        <f>IF(G662="","",IF(AB662="Siparişinizin Montajı Yapıldı","Evet","Hayır"))</f>
        <v/>
      </c>
      <c r="AV662" s="27">
        <f>IF(G662="","",IF(AT662="Evet",AR662,IF(AU662="Evet",AP662,"")))</f>
        <v/>
      </c>
    </row>
    <row r="663">
      <c r="A663" s="23" t="n"/>
      <c r="B663" s="23" t="n"/>
      <c r="C663" s="23" t="n"/>
      <c r="D663" s="23" t="n"/>
      <c r="E663" s="23" t="n"/>
      <c r="F663" s="23" t="n"/>
      <c r="G663" s="23" t="n"/>
      <c r="H663" s="23" t="n"/>
      <c r="I663" s="23" t="n"/>
      <c r="J663" s="23" t="n"/>
      <c r="K663" s="23" t="n"/>
      <c r="L663" s="23" t="n"/>
      <c r="M663" s="23" t="n"/>
      <c r="N663" s="23" t="n"/>
      <c r="O663" s="23" t="n"/>
      <c r="P663" s="23" t="n"/>
      <c r="Q663" s="23" t="n"/>
      <c r="R663" s="23" t="n"/>
      <c r="S663" s="23" t="n"/>
      <c r="T663" s="23" t="n"/>
      <c r="U663" s="23" t="n"/>
      <c r="V663" s="23" t="n"/>
      <c r="W663" s="23" t="n"/>
      <c r="X663" s="23" t="n"/>
      <c r="Y663" s="23" t="n"/>
      <c r="Z663" s="23" t="n"/>
      <c r="AA663" s="23" t="n"/>
      <c r="AB663" s="23" t="n"/>
      <c r="AC663" s="23" t="n"/>
      <c r="AD663" s="23" t="n"/>
      <c r="AE663" s="23" t="n"/>
      <c r="AF663" s="23" t="n"/>
      <c r="AG663" s="23" t="n"/>
      <c r="AH663" s="23" t="n"/>
      <c r="AI663" s="23" t="n"/>
      <c r="AJ663" s="23" t="n"/>
      <c r="AK663" s="23" t="n"/>
      <c r="AL663" s="23" t="n"/>
      <c r="AM663" s="26">
        <f>IF(G663="","",G663&amp;"|"&amp;P663)</f>
        <v/>
      </c>
      <c r="AN663" s="27">
        <f>IF(I663="","",IFERROR(DATE(VALUE(RIGHT(I663,4)),VALUE(MID(I663,4,2)),VALUE(LEFT(I663,2))),""))</f>
        <v/>
      </c>
      <c r="AO663" s="27">
        <f>IF(Y663="","",IFERROR(DATE(VALUE(RIGHT(Y663,4)),VALUE(MID(Y663,4,2)),VALUE(LEFT(Y663,2))),""))</f>
        <v/>
      </c>
      <c r="AP663" s="27">
        <f>IF(AC663="","",IFERROR(DATE(VALUE(RIGHT(AC663,4)),VALUE(MID(AC663,4,2)),VALUE(LEFT(AC663,2))),""))</f>
        <v/>
      </c>
      <c r="AQ663" s="26">
        <f>IF(AI663="","",TRIM(LEFT(AI663,FIND(" ",AI663&amp;" ")-1)))</f>
        <v/>
      </c>
      <c r="AR663" s="27">
        <f>IF(AQ663="","",IFERROR(DATE(VALUE(MID(AQ663,FIND("/",AQ663,FIND("/",AQ663)+1)+1,4)),VALUE(LEFT(AQ663,FIND("/",AQ663)-1)),VALUE(MID(AQ663,FIND("/",AQ663)+1,FIND("/",AQ663,FIND("/",AQ663)+1)-FIND("/",AQ663)-1))),""))</f>
        <v/>
      </c>
      <c r="AS663" s="26">
        <f>IF(G663="","",IF(AND(AG663&lt;&gt;"",AG663&lt;&gt;"Bayi Aracı"),"Evet","Hayır"))</f>
        <v/>
      </c>
      <c r="AT663" s="26">
        <f>IF(G663="","",IF(AND(AS663="Evet",T663="Siparişiniz Teslim Edildi"),"Evet","Hayır"))</f>
        <v/>
      </c>
      <c r="AU663" s="26">
        <f>IF(G663="","",IF(AB663="Siparişinizin Montajı Yapıldı","Evet","Hayır"))</f>
        <v/>
      </c>
      <c r="AV663" s="27">
        <f>IF(G663="","",IF(AT663="Evet",AR663,IF(AU663="Evet",AP663,"")))</f>
        <v/>
      </c>
    </row>
    <row r="664">
      <c r="A664" s="23" t="n"/>
      <c r="B664" s="23" t="n"/>
      <c r="C664" s="23" t="n"/>
      <c r="D664" s="23" t="n"/>
      <c r="E664" s="23" t="n"/>
      <c r="F664" s="23" t="n"/>
      <c r="G664" s="23" t="n"/>
      <c r="H664" s="23" t="n"/>
      <c r="I664" s="23" t="n"/>
      <c r="J664" s="23" t="n"/>
      <c r="K664" s="23" t="n"/>
      <c r="L664" s="23" t="n"/>
      <c r="M664" s="23" t="n"/>
      <c r="N664" s="23" t="n"/>
      <c r="O664" s="23" t="n"/>
      <c r="P664" s="23" t="n"/>
      <c r="Q664" s="23" t="n"/>
      <c r="R664" s="23" t="n"/>
      <c r="S664" s="23" t="n"/>
      <c r="T664" s="23" t="n"/>
      <c r="U664" s="23" t="n"/>
      <c r="V664" s="23" t="n"/>
      <c r="W664" s="23" t="n"/>
      <c r="X664" s="23" t="n"/>
      <c r="Y664" s="23" t="n"/>
      <c r="Z664" s="23" t="n"/>
      <c r="AA664" s="23" t="n"/>
      <c r="AB664" s="23" t="n"/>
      <c r="AC664" s="23" t="n"/>
      <c r="AD664" s="23" t="n"/>
      <c r="AE664" s="23" t="n"/>
      <c r="AF664" s="23" t="n"/>
      <c r="AG664" s="23" t="n"/>
      <c r="AH664" s="23" t="n"/>
      <c r="AI664" s="23" t="n"/>
      <c r="AJ664" s="23" t="n"/>
      <c r="AK664" s="23" t="n"/>
      <c r="AL664" s="23" t="n"/>
      <c r="AM664" s="26">
        <f>IF(G664="","",G664&amp;"|"&amp;P664)</f>
        <v/>
      </c>
      <c r="AN664" s="27">
        <f>IF(I664="","",IFERROR(DATE(VALUE(RIGHT(I664,4)),VALUE(MID(I664,4,2)),VALUE(LEFT(I664,2))),""))</f>
        <v/>
      </c>
      <c r="AO664" s="27">
        <f>IF(Y664="","",IFERROR(DATE(VALUE(RIGHT(Y664,4)),VALUE(MID(Y664,4,2)),VALUE(LEFT(Y664,2))),""))</f>
        <v/>
      </c>
      <c r="AP664" s="27">
        <f>IF(AC664="","",IFERROR(DATE(VALUE(RIGHT(AC664,4)),VALUE(MID(AC664,4,2)),VALUE(LEFT(AC664,2))),""))</f>
        <v/>
      </c>
      <c r="AQ664" s="26">
        <f>IF(AI664="","",TRIM(LEFT(AI664,FIND(" ",AI664&amp;" ")-1)))</f>
        <v/>
      </c>
      <c r="AR664" s="27">
        <f>IF(AQ664="","",IFERROR(DATE(VALUE(MID(AQ664,FIND("/",AQ664,FIND("/",AQ664)+1)+1,4)),VALUE(LEFT(AQ664,FIND("/",AQ664)-1)),VALUE(MID(AQ664,FIND("/",AQ664)+1,FIND("/",AQ664,FIND("/",AQ664)+1)-FIND("/",AQ664)-1))),""))</f>
        <v/>
      </c>
      <c r="AS664" s="26">
        <f>IF(G664="","",IF(AND(AG664&lt;&gt;"",AG664&lt;&gt;"Bayi Aracı"),"Evet","Hayır"))</f>
        <v/>
      </c>
      <c r="AT664" s="26">
        <f>IF(G664="","",IF(AND(AS664="Evet",T664="Siparişiniz Teslim Edildi"),"Evet","Hayır"))</f>
        <v/>
      </c>
      <c r="AU664" s="26">
        <f>IF(G664="","",IF(AB664="Siparişinizin Montajı Yapıldı","Evet","Hayır"))</f>
        <v/>
      </c>
      <c r="AV664" s="27">
        <f>IF(G664="","",IF(AT664="Evet",AR664,IF(AU664="Evet",AP664,"")))</f>
        <v/>
      </c>
    </row>
    <row r="665">
      <c r="A665" s="23" t="n"/>
      <c r="B665" s="23" t="n"/>
      <c r="C665" s="23" t="n"/>
      <c r="D665" s="23" t="n"/>
      <c r="E665" s="23" t="n"/>
      <c r="F665" s="23" t="n"/>
      <c r="G665" s="23" t="n"/>
      <c r="H665" s="23" t="n"/>
      <c r="I665" s="23" t="n"/>
      <c r="J665" s="23" t="n"/>
      <c r="K665" s="23" t="n"/>
      <c r="L665" s="23" t="n"/>
      <c r="M665" s="23" t="n"/>
      <c r="N665" s="23" t="n"/>
      <c r="O665" s="23" t="n"/>
      <c r="P665" s="23" t="n"/>
      <c r="Q665" s="23" t="n"/>
      <c r="R665" s="23" t="n"/>
      <c r="S665" s="23" t="n"/>
      <c r="T665" s="23" t="n"/>
      <c r="U665" s="23" t="n"/>
      <c r="V665" s="23" t="n"/>
      <c r="W665" s="23" t="n"/>
      <c r="X665" s="23" t="n"/>
      <c r="Y665" s="23" t="n"/>
      <c r="Z665" s="23" t="n"/>
      <c r="AA665" s="23" t="n"/>
      <c r="AB665" s="23" t="n"/>
      <c r="AC665" s="23" t="n"/>
      <c r="AD665" s="23" t="n"/>
      <c r="AE665" s="23" t="n"/>
      <c r="AF665" s="23" t="n"/>
      <c r="AG665" s="23" t="n"/>
      <c r="AH665" s="23" t="n"/>
      <c r="AI665" s="23" t="n"/>
      <c r="AJ665" s="23" t="n"/>
      <c r="AK665" s="23" t="n"/>
      <c r="AL665" s="23" t="n"/>
      <c r="AM665" s="26">
        <f>IF(G665="","",G665&amp;"|"&amp;P665)</f>
        <v/>
      </c>
      <c r="AN665" s="27">
        <f>IF(I665="","",IFERROR(DATE(VALUE(RIGHT(I665,4)),VALUE(MID(I665,4,2)),VALUE(LEFT(I665,2))),""))</f>
        <v/>
      </c>
      <c r="AO665" s="27">
        <f>IF(Y665="","",IFERROR(DATE(VALUE(RIGHT(Y665,4)),VALUE(MID(Y665,4,2)),VALUE(LEFT(Y665,2))),""))</f>
        <v/>
      </c>
      <c r="AP665" s="27">
        <f>IF(AC665="","",IFERROR(DATE(VALUE(RIGHT(AC665,4)),VALUE(MID(AC665,4,2)),VALUE(LEFT(AC665,2))),""))</f>
        <v/>
      </c>
      <c r="AQ665" s="26">
        <f>IF(AI665="","",TRIM(LEFT(AI665,FIND(" ",AI665&amp;" ")-1)))</f>
        <v/>
      </c>
      <c r="AR665" s="27">
        <f>IF(AQ665="","",IFERROR(DATE(VALUE(MID(AQ665,FIND("/",AQ665,FIND("/",AQ665)+1)+1,4)),VALUE(LEFT(AQ665,FIND("/",AQ665)-1)),VALUE(MID(AQ665,FIND("/",AQ665)+1,FIND("/",AQ665,FIND("/",AQ665)+1)-FIND("/",AQ665)-1))),""))</f>
        <v/>
      </c>
      <c r="AS665" s="26">
        <f>IF(G665="","",IF(AND(AG665&lt;&gt;"",AG665&lt;&gt;"Bayi Aracı"),"Evet","Hayır"))</f>
        <v/>
      </c>
      <c r="AT665" s="26">
        <f>IF(G665="","",IF(AND(AS665="Evet",T665="Siparişiniz Teslim Edildi"),"Evet","Hayır"))</f>
        <v/>
      </c>
      <c r="AU665" s="26">
        <f>IF(G665="","",IF(AB665="Siparişinizin Montajı Yapıldı","Evet","Hayır"))</f>
        <v/>
      </c>
      <c r="AV665" s="27">
        <f>IF(G665="","",IF(AT665="Evet",AR665,IF(AU665="Evet",AP665,"")))</f>
        <v/>
      </c>
    </row>
    <row r="666">
      <c r="A666" s="23" t="n"/>
      <c r="B666" s="23" t="n"/>
      <c r="C666" s="23" t="n"/>
      <c r="D666" s="23" t="n"/>
      <c r="E666" s="23" t="n"/>
      <c r="F666" s="23" t="n"/>
      <c r="G666" s="23" t="n"/>
      <c r="H666" s="23" t="n"/>
      <c r="I666" s="23" t="n"/>
      <c r="J666" s="23" t="n"/>
      <c r="K666" s="23" t="n"/>
      <c r="L666" s="23" t="n"/>
      <c r="M666" s="23" t="n"/>
      <c r="N666" s="23" t="n"/>
      <c r="O666" s="23" t="n"/>
      <c r="P666" s="23" t="n"/>
      <c r="Q666" s="23" t="n"/>
      <c r="R666" s="23" t="n"/>
      <c r="S666" s="23" t="n"/>
      <c r="T666" s="23" t="n"/>
      <c r="U666" s="23" t="n"/>
      <c r="V666" s="23" t="n"/>
      <c r="W666" s="23" t="n"/>
      <c r="X666" s="23" t="n"/>
      <c r="Y666" s="23" t="n"/>
      <c r="Z666" s="23" t="n"/>
      <c r="AA666" s="23" t="n"/>
      <c r="AB666" s="23" t="n"/>
      <c r="AC666" s="23" t="n"/>
      <c r="AD666" s="23" t="n"/>
      <c r="AE666" s="23" t="n"/>
      <c r="AF666" s="23" t="n"/>
      <c r="AG666" s="23" t="n"/>
      <c r="AH666" s="23" t="n"/>
      <c r="AI666" s="23" t="n"/>
      <c r="AJ666" s="23" t="n"/>
      <c r="AK666" s="23" t="n"/>
      <c r="AL666" s="23" t="n"/>
      <c r="AM666" s="26">
        <f>IF(G666="","",G666&amp;"|"&amp;P666)</f>
        <v/>
      </c>
      <c r="AN666" s="27">
        <f>IF(I666="","",IFERROR(DATE(VALUE(RIGHT(I666,4)),VALUE(MID(I666,4,2)),VALUE(LEFT(I666,2))),""))</f>
        <v/>
      </c>
      <c r="AO666" s="27">
        <f>IF(Y666="","",IFERROR(DATE(VALUE(RIGHT(Y666,4)),VALUE(MID(Y666,4,2)),VALUE(LEFT(Y666,2))),""))</f>
        <v/>
      </c>
      <c r="AP666" s="27">
        <f>IF(AC666="","",IFERROR(DATE(VALUE(RIGHT(AC666,4)),VALUE(MID(AC666,4,2)),VALUE(LEFT(AC666,2))),""))</f>
        <v/>
      </c>
      <c r="AQ666" s="26">
        <f>IF(AI666="","",TRIM(LEFT(AI666,FIND(" ",AI666&amp;" ")-1)))</f>
        <v/>
      </c>
      <c r="AR666" s="27">
        <f>IF(AQ666="","",IFERROR(DATE(VALUE(MID(AQ666,FIND("/",AQ666,FIND("/",AQ666)+1)+1,4)),VALUE(LEFT(AQ666,FIND("/",AQ666)-1)),VALUE(MID(AQ666,FIND("/",AQ666)+1,FIND("/",AQ666,FIND("/",AQ666)+1)-FIND("/",AQ666)-1))),""))</f>
        <v/>
      </c>
      <c r="AS666" s="26">
        <f>IF(G666="","",IF(AND(AG666&lt;&gt;"",AG666&lt;&gt;"Bayi Aracı"),"Evet","Hayır"))</f>
        <v/>
      </c>
      <c r="AT666" s="26">
        <f>IF(G666="","",IF(AND(AS666="Evet",T666="Siparişiniz Teslim Edildi"),"Evet","Hayır"))</f>
        <v/>
      </c>
      <c r="AU666" s="26">
        <f>IF(G666="","",IF(AB666="Siparişinizin Montajı Yapıldı","Evet","Hayır"))</f>
        <v/>
      </c>
      <c r="AV666" s="27">
        <f>IF(G666="","",IF(AT666="Evet",AR666,IF(AU666="Evet",AP666,"")))</f>
        <v/>
      </c>
    </row>
    <row r="667">
      <c r="A667" s="23" t="n"/>
      <c r="B667" s="23" t="n"/>
      <c r="C667" s="23" t="n"/>
      <c r="D667" s="23" t="n"/>
      <c r="E667" s="23" t="n"/>
      <c r="F667" s="23" t="n"/>
      <c r="G667" s="23" t="n"/>
      <c r="H667" s="23" t="n"/>
      <c r="I667" s="23" t="n"/>
      <c r="J667" s="23" t="n"/>
      <c r="K667" s="23" t="n"/>
      <c r="L667" s="23" t="n"/>
      <c r="M667" s="23" t="n"/>
      <c r="N667" s="23" t="n"/>
      <c r="O667" s="23" t="n"/>
      <c r="P667" s="23" t="n"/>
      <c r="Q667" s="23" t="n"/>
      <c r="R667" s="23" t="n"/>
      <c r="S667" s="23" t="n"/>
      <c r="T667" s="23" t="n"/>
      <c r="U667" s="23" t="n"/>
      <c r="V667" s="23" t="n"/>
      <c r="W667" s="23" t="n"/>
      <c r="X667" s="23" t="n"/>
      <c r="Y667" s="23" t="n"/>
      <c r="Z667" s="23" t="n"/>
      <c r="AA667" s="23" t="n"/>
      <c r="AB667" s="23" t="n"/>
      <c r="AC667" s="23" t="n"/>
      <c r="AD667" s="23" t="n"/>
      <c r="AE667" s="23" t="n"/>
      <c r="AF667" s="23" t="n"/>
      <c r="AG667" s="23" t="n"/>
      <c r="AH667" s="23" t="n"/>
      <c r="AI667" s="23" t="n"/>
      <c r="AJ667" s="23" t="n"/>
      <c r="AK667" s="23" t="n"/>
      <c r="AL667" s="23" t="n"/>
      <c r="AM667" s="26">
        <f>IF(G667="","",G667&amp;"|"&amp;P667)</f>
        <v/>
      </c>
      <c r="AN667" s="27">
        <f>IF(I667="","",IFERROR(DATE(VALUE(RIGHT(I667,4)),VALUE(MID(I667,4,2)),VALUE(LEFT(I667,2))),""))</f>
        <v/>
      </c>
      <c r="AO667" s="27">
        <f>IF(Y667="","",IFERROR(DATE(VALUE(RIGHT(Y667,4)),VALUE(MID(Y667,4,2)),VALUE(LEFT(Y667,2))),""))</f>
        <v/>
      </c>
      <c r="AP667" s="27">
        <f>IF(AC667="","",IFERROR(DATE(VALUE(RIGHT(AC667,4)),VALUE(MID(AC667,4,2)),VALUE(LEFT(AC667,2))),""))</f>
        <v/>
      </c>
      <c r="AQ667" s="26">
        <f>IF(AI667="","",TRIM(LEFT(AI667,FIND(" ",AI667&amp;" ")-1)))</f>
        <v/>
      </c>
      <c r="AR667" s="27">
        <f>IF(AQ667="","",IFERROR(DATE(VALUE(MID(AQ667,FIND("/",AQ667,FIND("/",AQ667)+1)+1,4)),VALUE(LEFT(AQ667,FIND("/",AQ667)-1)),VALUE(MID(AQ667,FIND("/",AQ667)+1,FIND("/",AQ667,FIND("/",AQ667)+1)-FIND("/",AQ667)-1))),""))</f>
        <v/>
      </c>
      <c r="AS667" s="26">
        <f>IF(G667="","",IF(AND(AG667&lt;&gt;"",AG667&lt;&gt;"Bayi Aracı"),"Evet","Hayır"))</f>
        <v/>
      </c>
      <c r="AT667" s="26">
        <f>IF(G667="","",IF(AND(AS667="Evet",T667="Siparişiniz Teslim Edildi"),"Evet","Hayır"))</f>
        <v/>
      </c>
      <c r="AU667" s="26">
        <f>IF(G667="","",IF(AB667="Siparişinizin Montajı Yapıldı","Evet","Hayır"))</f>
        <v/>
      </c>
      <c r="AV667" s="27">
        <f>IF(G667="","",IF(AT667="Evet",AR667,IF(AU667="Evet",AP667,"")))</f>
        <v/>
      </c>
    </row>
    <row r="668">
      <c r="A668" s="23" t="n"/>
      <c r="B668" s="23" t="n"/>
      <c r="C668" s="23" t="n"/>
      <c r="D668" s="23" t="n"/>
      <c r="E668" s="23" t="n"/>
      <c r="F668" s="23" t="n"/>
      <c r="G668" s="23" t="n"/>
      <c r="H668" s="23" t="n"/>
      <c r="I668" s="23" t="n"/>
      <c r="J668" s="23" t="n"/>
      <c r="K668" s="23" t="n"/>
      <c r="L668" s="23" t="n"/>
      <c r="M668" s="23" t="n"/>
      <c r="N668" s="23" t="n"/>
      <c r="O668" s="23" t="n"/>
      <c r="P668" s="23" t="n"/>
      <c r="Q668" s="23" t="n"/>
      <c r="R668" s="23" t="n"/>
      <c r="S668" s="23" t="n"/>
      <c r="T668" s="23" t="n"/>
      <c r="U668" s="23" t="n"/>
      <c r="V668" s="23" t="n"/>
      <c r="W668" s="23" t="n"/>
      <c r="X668" s="23" t="n"/>
      <c r="Y668" s="23" t="n"/>
      <c r="Z668" s="23" t="n"/>
      <c r="AA668" s="23" t="n"/>
      <c r="AB668" s="23" t="n"/>
      <c r="AC668" s="23" t="n"/>
      <c r="AD668" s="23" t="n"/>
      <c r="AE668" s="23" t="n"/>
      <c r="AF668" s="23" t="n"/>
      <c r="AG668" s="23" t="n"/>
      <c r="AH668" s="23" t="n"/>
      <c r="AI668" s="23" t="n"/>
      <c r="AJ668" s="23" t="n"/>
      <c r="AK668" s="23" t="n"/>
      <c r="AL668" s="23" t="n"/>
      <c r="AM668" s="26">
        <f>IF(G668="","",G668&amp;"|"&amp;P668)</f>
        <v/>
      </c>
      <c r="AN668" s="27">
        <f>IF(I668="","",IFERROR(DATE(VALUE(RIGHT(I668,4)),VALUE(MID(I668,4,2)),VALUE(LEFT(I668,2))),""))</f>
        <v/>
      </c>
      <c r="AO668" s="27">
        <f>IF(Y668="","",IFERROR(DATE(VALUE(RIGHT(Y668,4)),VALUE(MID(Y668,4,2)),VALUE(LEFT(Y668,2))),""))</f>
        <v/>
      </c>
      <c r="AP668" s="27">
        <f>IF(AC668="","",IFERROR(DATE(VALUE(RIGHT(AC668,4)),VALUE(MID(AC668,4,2)),VALUE(LEFT(AC668,2))),""))</f>
        <v/>
      </c>
      <c r="AQ668" s="26">
        <f>IF(AI668="","",TRIM(LEFT(AI668,FIND(" ",AI668&amp;" ")-1)))</f>
        <v/>
      </c>
      <c r="AR668" s="27">
        <f>IF(AQ668="","",IFERROR(DATE(VALUE(MID(AQ668,FIND("/",AQ668,FIND("/",AQ668)+1)+1,4)),VALUE(LEFT(AQ668,FIND("/",AQ668)-1)),VALUE(MID(AQ668,FIND("/",AQ668)+1,FIND("/",AQ668,FIND("/",AQ668)+1)-FIND("/",AQ668)-1))),""))</f>
        <v/>
      </c>
      <c r="AS668" s="26">
        <f>IF(G668="","",IF(AND(AG668&lt;&gt;"",AG668&lt;&gt;"Bayi Aracı"),"Evet","Hayır"))</f>
        <v/>
      </c>
      <c r="AT668" s="26">
        <f>IF(G668="","",IF(AND(AS668="Evet",T668="Siparişiniz Teslim Edildi"),"Evet","Hayır"))</f>
        <v/>
      </c>
      <c r="AU668" s="26">
        <f>IF(G668="","",IF(AB668="Siparişinizin Montajı Yapıldı","Evet","Hayır"))</f>
        <v/>
      </c>
      <c r="AV668" s="27">
        <f>IF(G668="","",IF(AT668="Evet",AR668,IF(AU668="Evet",AP668,"")))</f>
        <v/>
      </c>
    </row>
    <row r="669">
      <c r="A669" s="23" t="n"/>
      <c r="B669" s="23" t="n"/>
      <c r="C669" s="23" t="n"/>
      <c r="D669" s="23" t="n"/>
      <c r="E669" s="23" t="n"/>
      <c r="F669" s="23" t="n"/>
      <c r="G669" s="23" t="n"/>
      <c r="H669" s="23" t="n"/>
      <c r="I669" s="23" t="n"/>
      <c r="J669" s="23" t="n"/>
      <c r="K669" s="23" t="n"/>
      <c r="L669" s="23" t="n"/>
      <c r="M669" s="23" t="n"/>
      <c r="N669" s="23" t="n"/>
      <c r="O669" s="23" t="n"/>
      <c r="P669" s="23" t="n"/>
      <c r="Q669" s="23" t="n"/>
      <c r="R669" s="23" t="n"/>
      <c r="S669" s="23" t="n"/>
      <c r="T669" s="23" t="n"/>
      <c r="U669" s="23" t="n"/>
      <c r="V669" s="23" t="n"/>
      <c r="W669" s="23" t="n"/>
      <c r="X669" s="23" t="n"/>
      <c r="Y669" s="23" t="n"/>
      <c r="Z669" s="23" t="n"/>
      <c r="AA669" s="23" t="n"/>
      <c r="AB669" s="23" t="n"/>
      <c r="AC669" s="23" t="n"/>
      <c r="AD669" s="23" t="n"/>
      <c r="AE669" s="23" t="n"/>
      <c r="AF669" s="23" t="n"/>
      <c r="AG669" s="23" t="n"/>
      <c r="AH669" s="23" t="n"/>
      <c r="AI669" s="23" t="n"/>
      <c r="AJ669" s="23" t="n"/>
      <c r="AK669" s="23" t="n"/>
      <c r="AL669" s="23" t="n"/>
      <c r="AM669" s="26">
        <f>IF(G669="","",G669&amp;"|"&amp;P669)</f>
        <v/>
      </c>
      <c r="AN669" s="27">
        <f>IF(I669="","",IFERROR(DATE(VALUE(RIGHT(I669,4)),VALUE(MID(I669,4,2)),VALUE(LEFT(I669,2))),""))</f>
        <v/>
      </c>
      <c r="AO669" s="27">
        <f>IF(Y669="","",IFERROR(DATE(VALUE(RIGHT(Y669,4)),VALUE(MID(Y669,4,2)),VALUE(LEFT(Y669,2))),""))</f>
        <v/>
      </c>
      <c r="AP669" s="27">
        <f>IF(AC669="","",IFERROR(DATE(VALUE(RIGHT(AC669,4)),VALUE(MID(AC669,4,2)),VALUE(LEFT(AC669,2))),""))</f>
        <v/>
      </c>
      <c r="AQ669" s="26">
        <f>IF(AI669="","",TRIM(LEFT(AI669,FIND(" ",AI669&amp;" ")-1)))</f>
        <v/>
      </c>
      <c r="AR669" s="27">
        <f>IF(AQ669="","",IFERROR(DATE(VALUE(MID(AQ669,FIND("/",AQ669,FIND("/",AQ669)+1)+1,4)),VALUE(LEFT(AQ669,FIND("/",AQ669)-1)),VALUE(MID(AQ669,FIND("/",AQ669)+1,FIND("/",AQ669,FIND("/",AQ669)+1)-FIND("/",AQ669)-1))),""))</f>
        <v/>
      </c>
      <c r="AS669" s="26">
        <f>IF(G669="","",IF(AND(AG669&lt;&gt;"",AG669&lt;&gt;"Bayi Aracı"),"Evet","Hayır"))</f>
        <v/>
      </c>
      <c r="AT669" s="26">
        <f>IF(G669="","",IF(AND(AS669="Evet",T669="Siparişiniz Teslim Edildi"),"Evet","Hayır"))</f>
        <v/>
      </c>
      <c r="AU669" s="26">
        <f>IF(G669="","",IF(AB669="Siparişinizin Montajı Yapıldı","Evet","Hayır"))</f>
        <v/>
      </c>
      <c r="AV669" s="27">
        <f>IF(G669="","",IF(AT669="Evet",AR669,IF(AU669="Evet",AP669,"")))</f>
        <v/>
      </c>
    </row>
    <row r="670">
      <c r="A670" s="23" t="n"/>
      <c r="B670" s="23" t="n"/>
      <c r="C670" s="23" t="n"/>
      <c r="D670" s="23" t="n"/>
      <c r="E670" s="23" t="n"/>
      <c r="F670" s="23" t="n"/>
      <c r="G670" s="23" t="n"/>
      <c r="H670" s="23" t="n"/>
      <c r="I670" s="23" t="n"/>
      <c r="J670" s="23" t="n"/>
      <c r="K670" s="23" t="n"/>
      <c r="L670" s="23" t="n"/>
      <c r="M670" s="23" t="n"/>
      <c r="N670" s="23" t="n"/>
      <c r="O670" s="23" t="n"/>
      <c r="P670" s="23" t="n"/>
      <c r="Q670" s="23" t="n"/>
      <c r="R670" s="23" t="n"/>
      <c r="S670" s="23" t="n"/>
      <c r="T670" s="23" t="n"/>
      <c r="U670" s="23" t="n"/>
      <c r="V670" s="23" t="n"/>
      <c r="W670" s="23" t="n"/>
      <c r="X670" s="23" t="n"/>
      <c r="Y670" s="23" t="n"/>
      <c r="Z670" s="23" t="n"/>
      <c r="AA670" s="23" t="n"/>
      <c r="AB670" s="23" t="n"/>
      <c r="AC670" s="23" t="n"/>
      <c r="AD670" s="23" t="n"/>
      <c r="AE670" s="23" t="n"/>
      <c r="AF670" s="23" t="n"/>
      <c r="AG670" s="23" t="n"/>
      <c r="AH670" s="23" t="n"/>
      <c r="AI670" s="23" t="n"/>
      <c r="AJ670" s="23" t="n"/>
      <c r="AK670" s="23" t="n"/>
      <c r="AL670" s="23" t="n"/>
      <c r="AM670" s="26">
        <f>IF(G670="","",G670&amp;"|"&amp;P670)</f>
        <v/>
      </c>
      <c r="AN670" s="27">
        <f>IF(I670="","",IFERROR(DATE(VALUE(RIGHT(I670,4)),VALUE(MID(I670,4,2)),VALUE(LEFT(I670,2))),""))</f>
        <v/>
      </c>
      <c r="AO670" s="27">
        <f>IF(Y670="","",IFERROR(DATE(VALUE(RIGHT(Y670,4)),VALUE(MID(Y670,4,2)),VALUE(LEFT(Y670,2))),""))</f>
        <v/>
      </c>
      <c r="AP670" s="27">
        <f>IF(AC670="","",IFERROR(DATE(VALUE(RIGHT(AC670,4)),VALUE(MID(AC670,4,2)),VALUE(LEFT(AC670,2))),""))</f>
        <v/>
      </c>
      <c r="AQ670" s="26">
        <f>IF(AI670="","",TRIM(LEFT(AI670,FIND(" ",AI670&amp;" ")-1)))</f>
        <v/>
      </c>
      <c r="AR670" s="27">
        <f>IF(AQ670="","",IFERROR(DATE(VALUE(MID(AQ670,FIND("/",AQ670,FIND("/",AQ670)+1)+1,4)),VALUE(LEFT(AQ670,FIND("/",AQ670)-1)),VALUE(MID(AQ670,FIND("/",AQ670)+1,FIND("/",AQ670,FIND("/",AQ670)+1)-FIND("/",AQ670)-1))),""))</f>
        <v/>
      </c>
      <c r="AS670" s="26">
        <f>IF(G670="","",IF(AND(AG670&lt;&gt;"",AG670&lt;&gt;"Bayi Aracı"),"Evet","Hayır"))</f>
        <v/>
      </c>
      <c r="AT670" s="26">
        <f>IF(G670="","",IF(AND(AS670="Evet",T670="Siparişiniz Teslim Edildi"),"Evet","Hayır"))</f>
        <v/>
      </c>
      <c r="AU670" s="26">
        <f>IF(G670="","",IF(AB670="Siparişinizin Montajı Yapıldı","Evet","Hayır"))</f>
        <v/>
      </c>
      <c r="AV670" s="27">
        <f>IF(G670="","",IF(AT670="Evet",AR670,IF(AU670="Evet",AP670,"")))</f>
        <v/>
      </c>
    </row>
    <row r="671">
      <c r="A671" s="23" t="n"/>
      <c r="B671" s="23" t="n"/>
      <c r="C671" s="23" t="n"/>
      <c r="D671" s="23" t="n"/>
      <c r="E671" s="23" t="n"/>
      <c r="F671" s="23" t="n"/>
      <c r="G671" s="23" t="n"/>
      <c r="H671" s="23" t="n"/>
      <c r="I671" s="23" t="n"/>
      <c r="J671" s="23" t="n"/>
      <c r="K671" s="23" t="n"/>
      <c r="L671" s="23" t="n"/>
      <c r="M671" s="23" t="n"/>
      <c r="N671" s="23" t="n"/>
      <c r="O671" s="23" t="n"/>
      <c r="P671" s="23" t="n"/>
      <c r="Q671" s="23" t="n"/>
      <c r="R671" s="23" t="n"/>
      <c r="S671" s="23" t="n"/>
      <c r="T671" s="23" t="n"/>
      <c r="U671" s="23" t="n"/>
      <c r="V671" s="23" t="n"/>
      <c r="W671" s="23" t="n"/>
      <c r="X671" s="23" t="n"/>
      <c r="Y671" s="23" t="n"/>
      <c r="Z671" s="23" t="n"/>
      <c r="AA671" s="23" t="n"/>
      <c r="AB671" s="23" t="n"/>
      <c r="AC671" s="23" t="n"/>
      <c r="AD671" s="23" t="n"/>
      <c r="AE671" s="23" t="n"/>
      <c r="AF671" s="23" t="n"/>
      <c r="AG671" s="23" t="n"/>
      <c r="AH671" s="23" t="n"/>
      <c r="AI671" s="23" t="n"/>
      <c r="AJ671" s="23" t="n"/>
      <c r="AK671" s="23" t="n"/>
      <c r="AL671" s="23" t="n"/>
      <c r="AM671" s="26">
        <f>IF(G671="","",G671&amp;"|"&amp;P671)</f>
        <v/>
      </c>
      <c r="AN671" s="27">
        <f>IF(I671="","",IFERROR(DATE(VALUE(RIGHT(I671,4)),VALUE(MID(I671,4,2)),VALUE(LEFT(I671,2))),""))</f>
        <v/>
      </c>
      <c r="AO671" s="27">
        <f>IF(Y671="","",IFERROR(DATE(VALUE(RIGHT(Y671,4)),VALUE(MID(Y671,4,2)),VALUE(LEFT(Y671,2))),""))</f>
        <v/>
      </c>
      <c r="AP671" s="27">
        <f>IF(AC671="","",IFERROR(DATE(VALUE(RIGHT(AC671,4)),VALUE(MID(AC671,4,2)),VALUE(LEFT(AC671,2))),""))</f>
        <v/>
      </c>
      <c r="AQ671" s="26">
        <f>IF(AI671="","",TRIM(LEFT(AI671,FIND(" ",AI671&amp;" ")-1)))</f>
        <v/>
      </c>
      <c r="AR671" s="27">
        <f>IF(AQ671="","",IFERROR(DATE(VALUE(MID(AQ671,FIND("/",AQ671,FIND("/",AQ671)+1)+1,4)),VALUE(LEFT(AQ671,FIND("/",AQ671)-1)),VALUE(MID(AQ671,FIND("/",AQ671)+1,FIND("/",AQ671,FIND("/",AQ671)+1)-FIND("/",AQ671)-1))),""))</f>
        <v/>
      </c>
      <c r="AS671" s="26">
        <f>IF(G671="","",IF(AND(AG671&lt;&gt;"",AG671&lt;&gt;"Bayi Aracı"),"Evet","Hayır"))</f>
        <v/>
      </c>
      <c r="AT671" s="26">
        <f>IF(G671="","",IF(AND(AS671="Evet",T671="Siparişiniz Teslim Edildi"),"Evet","Hayır"))</f>
        <v/>
      </c>
      <c r="AU671" s="26">
        <f>IF(G671="","",IF(AB671="Siparişinizin Montajı Yapıldı","Evet","Hayır"))</f>
        <v/>
      </c>
      <c r="AV671" s="27">
        <f>IF(G671="","",IF(AT671="Evet",AR671,IF(AU671="Evet",AP671,"")))</f>
        <v/>
      </c>
    </row>
    <row r="672">
      <c r="A672" s="23" t="n"/>
      <c r="B672" s="23" t="n"/>
      <c r="C672" s="23" t="n"/>
      <c r="D672" s="23" t="n"/>
      <c r="E672" s="23" t="n"/>
      <c r="F672" s="23" t="n"/>
      <c r="G672" s="23" t="n"/>
      <c r="H672" s="23" t="n"/>
      <c r="I672" s="23" t="n"/>
      <c r="J672" s="23" t="n"/>
      <c r="K672" s="23" t="n"/>
      <c r="L672" s="23" t="n"/>
      <c r="M672" s="23" t="n"/>
      <c r="N672" s="23" t="n"/>
      <c r="O672" s="23" t="n"/>
      <c r="P672" s="23" t="n"/>
      <c r="Q672" s="23" t="n"/>
      <c r="R672" s="23" t="n"/>
      <c r="S672" s="23" t="n"/>
      <c r="T672" s="23" t="n"/>
      <c r="U672" s="23" t="n"/>
      <c r="V672" s="23" t="n"/>
      <c r="W672" s="23" t="n"/>
      <c r="X672" s="23" t="n"/>
      <c r="Y672" s="23" t="n"/>
      <c r="Z672" s="23" t="n"/>
      <c r="AA672" s="23" t="n"/>
      <c r="AB672" s="23" t="n"/>
      <c r="AC672" s="23" t="n"/>
      <c r="AD672" s="23" t="n"/>
      <c r="AE672" s="23" t="n"/>
      <c r="AF672" s="23" t="n"/>
      <c r="AG672" s="23" t="n"/>
      <c r="AH672" s="23" t="n"/>
      <c r="AI672" s="23" t="n"/>
      <c r="AJ672" s="23" t="n"/>
      <c r="AK672" s="23" t="n"/>
      <c r="AL672" s="23" t="n"/>
      <c r="AM672" s="26">
        <f>IF(G672="","",G672&amp;"|"&amp;P672)</f>
        <v/>
      </c>
      <c r="AN672" s="27">
        <f>IF(I672="","",IFERROR(DATE(VALUE(RIGHT(I672,4)),VALUE(MID(I672,4,2)),VALUE(LEFT(I672,2))),""))</f>
        <v/>
      </c>
      <c r="AO672" s="27">
        <f>IF(Y672="","",IFERROR(DATE(VALUE(RIGHT(Y672,4)),VALUE(MID(Y672,4,2)),VALUE(LEFT(Y672,2))),""))</f>
        <v/>
      </c>
      <c r="AP672" s="27">
        <f>IF(AC672="","",IFERROR(DATE(VALUE(RIGHT(AC672,4)),VALUE(MID(AC672,4,2)),VALUE(LEFT(AC672,2))),""))</f>
        <v/>
      </c>
      <c r="AQ672" s="26">
        <f>IF(AI672="","",TRIM(LEFT(AI672,FIND(" ",AI672&amp;" ")-1)))</f>
        <v/>
      </c>
      <c r="AR672" s="27">
        <f>IF(AQ672="","",IFERROR(DATE(VALUE(MID(AQ672,FIND("/",AQ672,FIND("/",AQ672)+1)+1,4)),VALUE(LEFT(AQ672,FIND("/",AQ672)-1)),VALUE(MID(AQ672,FIND("/",AQ672)+1,FIND("/",AQ672,FIND("/",AQ672)+1)-FIND("/",AQ672)-1))),""))</f>
        <v/>
      </c>
      <c r="AS672" s="26">
        <f>IF(G672="","",IF(AND(AG672&lt;&gt;"",AG672&lt;&gt;"Bayi Aracı"),"Evet","Hayır"))</f>
        <v/>
      </c>
      <c r="AT672" s="26">
        <f>IF(G672="","",IF(AND(AS672="Evet",T672="Siparişiniz Teslim Edildi"),"Evet","Hayır"))</f>
        <v/>
      </c>
      <c r="AU672" s="26">
        <f>IF(G672="","",IF(AB672="Siparişinizin Montajı Yapıldı","Evet","Hayır"))</f>
        <v/>
      </c>
      <c r="AV672" s="27">
        <f>IF(G672="","",IF(AT672="Evet",AR672,IF(AU672="Evet",AP672,"")))</f>
        <v/>
      </c>
    </row>
    <row r="673">
      <c r="A673" s="23" t="n"/>
      <c r="B673" s="23" t="n"/>
      <c r="C673" s="23" t="n"/>
      <c r="D673" s="23" t="n"/>
      <c r="E673" s="23" t="n"/>
      <c r="F673" s="23" t="n"/>
      <c r="G673" s="23" t="n"/>
      <c r="H673" s="23" t="n"/>
      <c r="I673" s="23" t="n"/>
      <c r="J673" s="23" t="n"/>
      <c r="K673" s="23" t="n"/>
      <c r="L673" s="23" t="n"/>
      <c r="M673" s="23" t="n"/>
      <c r="N673" s="23" t="n"/>
      <c r="O673" s="23" t="n"/>
      <c r="P673" s="23" t="n"/>
      <c r="Q673" s="23" t="n"/>
      <c r="R673" s="23" t="n"/>
      <c r="S673" s="23" t="n"/>
      <c r="T673" s="23" t="n"/>
      <c r="U673" s="23" t="n"/>
      <c r="V673" s="23" t="n"/>
      <c r="W673" s="23" t="n"/>
      <c r="X673" s="23" t="n"/>
      <c r="Y673" s="23" t="n"/>
      <c r="Z673" s="23" t="n"/>
      <c r="AA673" s="23" t="n"/>
      <c r="AB673" s="23" t="n"/>
      <c r="AC673" s="23" t="n"/>
      <c r="AD673" s="23" t="n"/>
      <c r="AE673" s="23" t="n"/>
      <c r="AF673" s="23" t="n"/>
      <c r="AG673" s="23" t="n"/>
      <c r="AH673" s="23" t="n"/>
      <c r="AI673" s="23" t="n"/>
      <c r="AJ673" s="23" t="n"/>
      <c r="AK673" s="23" t="n"/>
      <c r="AL673" s="23" t="n"/>
      <c r="AM673" s="26">
        <f>IF(G673="","",G673&amp;"|"&amp;P673)</f>
        <v/>
      </c>
      <c r="AN673" s="27">
        <f>IF(I673="","",IFERROR(DATE(VALUE(RIGHT(I673,4)),VALUE(MID(I673,4,2)),VALUE(LEFT(I673,2))),""))</f>
        <v/>
      </c>
      <c r="AO673" s="27">
        <f>IF(Y673="","",IFERROR(DATE(VALUE(RIGHT(Y673,4)),VALUE(MID(Y673,4,2)),VALUE(LEFT(Y673,2))),""))</f>
        <v/>
      </c>
      <c r="AP673" s="27">
        <f>IF(AC673="","",IFERROR(DATE(VALUE(RIGHT(AC673,4)),VALUE(MID(AC673,4,2)),VALUE(LEFT(AC673,2))),""))</f>
        <v/>
      </c>
      <c r="AQ673" s="26">
        <f>IF(AI673="","",TRIM(LEFT(AI673,FIND(" ",AI673&amp;" ")-1)))</f>
        <v/>
      </c>
      <c r="AR673" s="27">
        <f>IF(AQ673="","",IFERROR(DATE(VALUE(MID(AQ673,FIND("/",AQ673,FIND("/",AQ673)+1)+1,4)),VALUE(LEFT(AQ673,FIND("/",AQ673)-1)),VALUE(MID(AQ673,FIND("/",AQ673)+1,FIND("/",AQ673,FIND("/",AQ673)+1)-FIND("/",AQ673)-1))),""))</f>
        <v/>
      </c>
      <c r="AS673" s="26">
        <f>IF(G673="","",IF(AND(AG673&lt;&gt;"",AG673&lt;&gt;"Bayi Aracı"),"Evet","Hayır"))</f>
        <v/>
      </c>
      <c r="AT673" s="26">
        <f>IF(G673="","",IF(AND(AS673="Evet",T673="Siparişiniz Teslim Edildi"),"Evet","Hayır"))</f>
        <v/>
      </c>
      <c r="AU673" s="26">
        <f>IF(G673="","",IF(AB673="Siparişinizin Montajı Yapıldı","Evet","Hayır"))</f>
        <v/>
      </c>
      <c r="AV673" s="27">
        <f>IF(G673="","",IF(AT673="Evet",AR673,IF(AU673="Evet",AP673,"")))</f>
        <v/>
      </c>
    </row>
    <row r="674">
      <c r="A674" s="23" t="n"/>
      <c r="B674" s="23" t="n"/>
      <c r="C674" s="23" t="n"/>
      <c r="D674" s="23" t="n"/>
      <c r="E674" s="23" t="n"/>
      <c r="F674" s="23" t="n"/>
      <c r="G674" s="23" t="n"/>
      <c r="H674" s="23" t="n"/>
      <c r="I674" s="23" t="n"/>
      <c r="J674" s="23" t="n"/>
      <c r="K674" s="23" t="n"/>
      <c r="L674" s="23" t="n"/>
      <c r="M674" s="23" t="n"/>
      <c r="N674" s="23" t="n"/>
      <c r="O674" s="23" t="n"/>
      <c r="P674" s="23" t="n"/>
      <c r="Q674" s="23" t="n"/>
      <c r="R674" s="23" t="n"/>
      <c r="S674" s="23" t="n"/>
      <c r="T674" s="23" t="n"/>
      <c r="U674" s="23" t="n"/>
      <c r="V674" s="23" t="n"/>
      <c r="W674" s="23" t="n"/>
      <c r="X674" s="23" t="n"/>
      <c r="Y674" s="23" t="n"/>
      <c r="Z674" s="23" t="n"/>
      <c r="AA674" s="23" t="n"/>
      <c r="AB674" s="23" t="n"/>
      <c r="AC674" s="23" t="n"/>
      <c r="AD674" s="23" t="n"/>
      <c r="AE674" s="23" t="n"/>
      <c r="AF674" s="23" t="n"/>
      <c r="AG674" s="23" t="n"/>
      <c r="AH674" s="23" t="n"/>
      <c r="AI674" s="23" t="n"/>
      <c r="AJ674" s="23" t="n"/>
      <c r="AK674" s="23" t="n"/>
      <c r="AL674" s="23" t="n"/>
      <c r="AM674" s="26">
        <f>IF(G674="","",G674&amp;"|"&amp;P674)</f>
        <v/>
      </c>
      <c r="AN674" s="27">
        <f>IF(I674="","",IFERROR(DATE(VALUE(RIGHT(I674,4)),VALUE(MID(I674,4,2)),VALUE(LEFT(I674,2))),""))</f>
        <v/>
      </c>
      <c r="AO674" s="27">
        <f>IF(Y674="","",IFERROR(DATE(VALUE(RIGHT(Y674,4)),VALUE(MID(Y674,4,2)),VALUE(LEFT(Y674,2))),""))</f>
        <v/>
      </c>
      <c r="AP674" s="27">
        <f>IF(AC674="","",IFERROR(DATE(VALUE(RIGHT(AC674,4)),VALUE(MID(AC674,4,2)),VALUE(LEFT(AC674,2))),""))</f>
        <v/>
      </c>
      <c r="AQ674" s="26">
        <f>IF(AI674="","",TRIM(LEFT(AI674,FIND(" ",AI674&amp;" ")-1)))</f>
        <v/>
      </c>
      <c r="AR674" s="27">
        <f>IF(AQ674="","",IFERROR(DATE(VALUE(MID(AQ674,FIND("/",AQ674,FIND("/",AQ674)+1)+1,4)),VALUE(LEFT(AQ674,FIND("/",AQ674)-1)),VALUE(MID(AQ674,FIND("/",AQ674)+1,FIND("/",AQ674,FIND("/",AQ674)+1)-FIND("/",AQ674)-1))),""))</f>
        <v/>
      </c>
      <c r="AS674" s="26">
        <f>IF(G674="","",IF(AND(AG674&lt;&gt;"",AG674&lt;&gt;"Bayi Aracı"),"Evet","Hayır"))</f>
        <v/>
      </c>
      <c r="AT674" s="26">
        <f>IF(G674="","",IF(AND(AS674="Evet",T674="Siparişiniz Teslim Edildi"),"Evet","Hayır"))</f>
        <v/>
      </c>
      <c r="AU674" s="26">
        <f>IF(G674="","",IF(AB674="Siparişinizin Montajı Yapıldı","Evet","Hayır"))</f>
        <v/>
      </c>
      <c r="AV674" s="27">
        <f>IF(G674="","",IF(AT674="Evet",AR674,IF(AU674="Evet",AP674,"")))</f>
        <v/>
      </c>
    </row>
    <row r="675">
      <c r="A675" s="23" t="n"/>
      <c r="B675" s="23" t="n"/>
      <c r="C675" s="23" t="n"/>
      <c r="D675" s="23" t="n"/>
      <c r="E675" s="23" t="n"/>
      <c r="F675" s="23" t="n"/>
      <c r="G675" s="23" t="n"/>
      <c r="H675" s="23" t="n"/>
      <c r="I675" s="23" t="n"/>
      <c r="J675" s="23" t="n"/>
      <c r="K675" s="23" t="n"/>
      <c r="L675" s="23" t="n"/>
      <c r="M675" s="23" t="n"/>
      <c r="N675" s="23" t="n"/>
      <c r="O675" s="23" t="n"/>
      <c r="P675" s="23" t="n"/>
      <c r="Q675" s="23" t="n"/>
      <c r="R675" s="23" t="n"/>
      <c r="S675" s="23" t="n"/>
      <c r="T675" s="23" t="n"/>
      <c r="U675" s="23" t="n"/>
      <c r="V675" s="23" t="n"/>
      <c r="W675" s="23" t="n"/>
      <c r="X675" s="23" t="n"/>
      <c r="Y675" s="23" t="n"/>
      <c r="Z675" s="23" t="n"/>
      <c r="AA675" s="23" t="n"/>
      <c r="AB675" s="23" t="n"/>
      <c r="AC675" s="23" t="n"/>
      <c r="AD675" s="23" t="n"/>
      <c r="AE675" s="23" t="n"/>
      <c r="AF675" s="23" t="n"/>
      <c r="AG675" s="23" t="n"/>
      <c r="AH675" s="23" t="n"/>
      <c r="AI675" s="23" t="n"/>
      <c r="AJ675" s="23" t="n"/>
      <c r="AK675" s="23" t="n"/>
      <c r="AL675" s="23" t="n"/>
      <c r="AM675" s="26">
        <f>IF(G675="","",G675&amp;"|"&amp;P675)</f>
        <v/>
      </c>
      <c r="AN675" s="27">
        <f>IF(I675="","",IFERROR(DATE(VALUE(RIGHT(I675,4)),VALUE(MID(I675,4,2)),VALUE(LEFT(I675,2))),""))</f>
        <v/>
      </c>
      <c r="AO675" s="27">
        <f>IF(Y675="","",IFERROR(DATE(VALUE(RIGHT(Y675,4)),VALUE(MID(Y675,4,2)),VALUE(LEFT(Y675,2))),""))</f>
        <v/>
      </c>
      <c r="AP675" s="27">
        <f>IF(AC675="","",IFERROR(DATE(VALUE(RIGHT(AC675,4)),VALUE(MID(AC675,4,2)),VALUE(LEFT(AC675,2))),""))</f>
        <v/>
      </c>
      <c r="AQ675" s="26">
        <f>IF(AI675="","",TRIM(LEFT(AI675,FIND(" ",AI675&amp;" ")-1)))</f>
        <v/>
      </c>
      <c r="AR675" s="27">
        <f>IF(AQ675="","",IFERROR(DATE(VALUE(MID(AQ675,FIND("/",AQ675,FIND("/",AQ675)+1)+1,4)),VALUE(LEFT(AQ675,FIND("/",AQ675)-1)),VALUE(MID(AQ675,FIND("/",AQ675)+1,FIND("/",AQ675,FIND("/",AQ675)+1)-FIND("/",AQ675)-1))),""))</f>
        <v/>
      </c>
      <c r="AS675" s="26">
        <f>IF(G675="","",IF(AND(AG675&lt;&gt;"",AG675&lt;&gt;"Bayi Aracı"),"Evet","Hayır"))</f>
        <v/>
      </c>
      <c r="AT675" s="26">
        <f>IF(G675="","",IF(AND(AS675="Evet",T675="Siparişiniz Teslim Edildi"),"Evet","Hayır"))</f>
        <v/>
      </c>
      <c r="AU675" s="26">
        <f>IF(G675="","",IF(AB675="Siparişinizin Montajı Yapıldı","Evet","Hayır"))</f>
        <v/>
      </c>
      <c r="AV675" s="27">
        <f>IF(G675="","",IF(AT675="Evet",AR675,IF(AU675="Evet",AP675,"")))</f>
        <v/>
      </c>
    </row>
    <row r="676">
      <c r="A676" s="23" t="n"/>
      <c r="B676" s="23" t="n"/>
      <c r="C676" s="23" t="n"/>
      <c r="D676" s="23" t="n"/>
      <c r="E676" s="23" t="n"/>
      <c r="F676" s="23" t="n"/>
      <c r="G676" s="23" t="n"/>
      <c r="H676" s="23" t="n"/>
      <c r="I676" s="23" t="n"/>
      <c r="J676" s="23" t="n"/>
      <c r="K676" s="23" t="n"/>
      <c r="L676" s="23" t="n"/>
      <c r="M676" s="23" t="n"/>
      <c r="N676" s="23" t="n"/>
      <c r="O676" s="23" t="n"/>
      <c r="P676" s="23" t="n"/>
      <c r="Q676" s="23" t="n"/>
      <c r="R676" s="23" t="n"/>
      <c r="S676" s="23" t="n"/>
      <c r="T676" s="23" t="n"/>
      <c r="U676" s="23" t="n"/>
      <c r="V676" s="23" t="n"/>
      <c r="W676" s="23" t="n"/>
      <c r="X676" s="23" t="n"/>
      <c r="Y676" s="23" t="n"/>
      <c r="Z676" s="23" t="n"/>
      <c r="AA676" s="23" t="n"/>
      <c r="AB676" s="23" t="n"/>
      <c r="AC676" s="23" t="n"/>
      <c r="AD676" s="23" t="n"/>
      <c r="AE676" s="23" t="n"/>
      <c r="AF676" s="23" t="n"/>
      <c r="AG676" s="23" t="n"/>
      <c r="AH676" s="23" t="n"/>
      <c r="AI676" s="23" t="n"/>
      <c r="AJ676" s="23" t="n"/>
      <c r="AK676" s="23" t="n"/>
      <c r="AL676" s="23" t="n"/>
      <c r="AM676" s="26">
        <f>IF(G676="","",G676&amp;"|"&amp;P676)</f>
        <v/>
      </c>
      <c r="AN676" s="27">
        <f>IF(I676="","",IFERROR(DATE(VALUE(RIGHT(I676,4)),VALUE(MID(I676,4,2)),VALUE(LEFT(I676,2))),""))</f>
        <v/>
      </c>
      <c r="AO676" s="27">
        <f>IF(Y676="","",IFERROR(DATE(VALUE(RIGHT(Y676,4)),VALUE(MID(Y676,4,2)),VALUE(LEFT(Y676,2))),""))</f>
        <v/>
      </c>
      <c r="AP676" s="27">
        <f>IF(AC676="","",IFERROR(DATE(VALUE(RIGHT(AC676,4)),VALUE(MID(AC676,4,2)),VALUE(LEFT(AC676,2))),""))</f>
        <v/>
      </c>
      <c r="AQ676" s="26">
        <f>IF(AI676="","",TRIM(LEFT(AI676,FIND(" ",AI676&amp;" ")-1)))</f>
        <v/>
      </c>
      <c r="AR676" s="27">
        <f>IF(AQ676="","",IFERROR(DATE(VALUE(MID(AQ676,FIND("/",AQ676,FIND("/",AQ676)+1)+1,4)),VALUE(LEFT(AQ676,FIND("/",AQ676)-1)),VALUE(MID(AQ676,FIND("/",AQ676)+1,FIND("/",AQ676,FIND("/",AQ676)+1)-FIND("/",AQ676)-1))),""))</f>
        <v/>
      </c>
      <c r="AS676" s="26">
        <f>IF(G676="","",IF(AND(AG676&lt;&gt;"",AG676&lt;&gt;"Bayi Aracı"),"Evet","Hayır"))</f>
        <v/>
      </c>
      <c r="AT676" s="26">
        <f>IF(G676="","",IF(AND(AS676="Evet",T676="Siparişiniz Teslim Edildi"),"Evet","Hayır"))</f>
        <v/>
      </c>
      <c r="AU676" s="26">
        <f>IF(G676="","",IF(AB676="Siparişinizin Montajı Yapıldı","Evet","Hayır"))</f>
        <v/>
      </c>
      <c r="AV676" s="27">
        <f>IF(G676="","",IF(AT676="Evet",AR676,IF(AU676="Evet",AP676,"")))</f>
        <v/>
      </c>
    </row>
    <row r="677">
      <c r="A677" s="23" t="n"/>
      <c r="B677" s="23" t="n"/>
      <c r="C677" s="23" t="n"/>
      <c r="D677" s="23" t="n"/>
      <c r="E677" s="23" t="n"/>
      <c r="F677" s="23" t="n"/>
      <c r="G677" s="23" t="n"/>
      <c r="H677" s="23" t="n"/>
      <c r="I677" s="23" t="n"/>
      <c r="J677" s="23" t="n"/>
      <c r="K677" s="23" t="n"/>
      <c r="L677" s="23" t="n"/>
      <c r="M677" s="23" t="n"/>
      <c r="N677" s="23" t="n"/>
      <c r="O677" s="23" t="n"/>
      <c r="P677" s="23" t="n"/>
      <c r="Q677" s="23" t="n"/>
      <c r="R677" s="23" t="n"/>
      <c r="S677" s="23" t="n"/>
      <c r="T677" s="23" t="n"/>
      <c r="U677" s="23" t="n"/>
      <c r="V677" s="23" t="n"/>
      <c r="W677" s="23" t="n"/>
      <c r="X677" s="23" t="n"/>
      <c r="Y677" s="23" t="n"/>
      <c r="Z677" s="23" t="n"/>
      <c r="AA677" s="23" t="n"/>
      <c r="AB677" s="23" t="n"/>
      <c r="AC677" s="23" t="n"/>
      <c r="AD677" s="23" t="n"/>
      <c r="AE677" s="23" t="n"/>
      <c r="AF677" s="23" t="n"/>
      <c r="AG677" s="23" t="n"/>
      <c r="AH677" s="23" t="n"/>
      <c r="AI677" s="23" t="n"/>
      <c r="AJ677" s="23" t="n"/>
      <c r="AK677" s="23" t="n"/>
      <c r="AL677" s="23" t="n"/>
      <c r="AM677" s="26">
        <f>IF(G677="","",G677&amp;"|"&amp;P677)</f>
        <v/>
      </c>
      <c r="AN677" s="27">
        <f>IF(I677="","",IFERROR(DATE(VALUE(RIGHT(I677,4)),VALUE(MID(I677,4,2)),VALUE(LEFT(I677,2))),""))</f>
        <v/>
      </c>
      <c r="AO677" s="27">
        <f>IF(Y677="","",IFERROR(DATE(VALUE(RIGHT(Y677,4)),VALUE(MID(Y677,4,2)),VALUE(LEFT(Y677,2))),""))</f>
        <v/>
      </c>
      <c r="AP677" s="27">
        <f>IF(AC677="","",IFERROR(DATE(VALUE(RIGHT(AC677,4)),VALUE(MID(AC677,4,2)),VALUE(LEFT(AC677,2))),""))</f>
        <v/>
      </c>
      <c r="AQ677" s="26">
        <f>IF(AI677="","",TRIM(LEFT(AI677,FIND(" ",AI677&amp;" ")-1)))</f>
        <v/>
      </c>
      <c r="AR677" s="27">
        <f>IF(AQ677="","",IFERROR(DATE(VALUE(MID(AQ677,FIND("/",AQ677,FIND("/",AQ677)+1)+1,4)),VALUE(LEFT(AQ677,FIND("/",AQ677)-1)),VALUE(MID(AQ677,FIND("/",AQ677)+1,FIND("/",AQ677,FIND("/",AQ677)+1)-FIND("/",AQ677)-1))),""))</f>
        <v/>
      </c>
      <c r="AS677" s="26">
        <f>IF(G677="","",IF(AND(AG677&lt;&gt;"",AG677&lt;&gt;"Bayi Aracı"),"Evet","Hayır"))</f>
        <v/>
      </c>
      <c r="AT677" s="26">
        <f>IF(G677="","",IF(AND(AS677="Evet",T677="Siparişiniz Teslim Edildi"),"Evet","Hayır"))</f>
        <v/>
      </c>
      <c r="AU677" s="26">
        <f>IF(G677="","",IF(AB677="Siparişinizin Montajı Yapıldı","Evet","Hayır"))</f>
        <v/>
      </c>
      <c r="AV677" s="27">
        <f>IF(G677="","",IF(AT677="Evet",AR677,IF(AU677="Evet",AP677,"")))</f>
        <v/>
      </c>
    </row>
    <row r="678">
      <c r="A678" s="23" t="n"/>
      <c r="B678" s="23" t="n"/>
      <c r="C678" s="23" t="n"/>
      <c r="D678" s="23" t="n"/>
      <c r="E678" s="23" t="n"/>
      <c r="F678" s="23" t="n"/>
      <c r="G678" s="23" t="n"/>
      <c r="H678" s="23" t="n"/>
      <c r="I678" s="23" t="n"/>
      <c r="J678" s="23" t="n"/>
      <c r="K678" s="23" t="n"/>
      <c r="L678" s="23" t="n"/>
      <c r="M678" s="23" t="n"/>
      <c r="N678" s="23" t="n"/>
      <c r="O678" s="23" t="n"/>
      <c r="P678" s="23" t="n"/>
      <c r="Q678" s="23" t="n"/>
      <c r="R678" s="23" t="n"/>
      <c r="S678" s="23" t="n"/>
      <c r="T678" s="23" t="n"/>
      <c r="U678" s="23" t="n"/>
      <c r="V678" s="23" t="n"/>
      <c r="W678" s="23" t="n"/>
      <c r="X678" s="23" t="n"/>
      <c r="Y678" s="23" t="n"/>
      <c r="Z678" s="23" t="n"/>
      <c r="AA678" s="23" t="n"/>
      <c r="AB678" s="23" t="n"/>
      <c r="AC678" s="23" t="n"/>
      <c r="AD678" s="23" t="n"/>
      <c r="AE678" s="23" t="n"/>
      <c r="AF678" s="23" t="n"/>
      <c r="AG678" s="23" t="n"/>
      <c r="AH678" s="23" t="n"/>
      <c r="AI678" s="23" t="n"/>
      <c r="AJ678" s="23" t="n"/>
      <c r="AK678" s="23" t="n"/>
      <c r="AL678" s="23" t="n"/>
      <c r="AM678" s="26">
        <f>IF(G678="","",G678&amp;"|"&amp;P678)</f>
        <v/>
      </c>
      <c r="AN678" s="27">
        <f>IF(I678="","",IFERROR(DATE(VALUE(RIGHT(I678,4)),VALUE(MID(I678,4,2)),VALUE(LEFT(I678,2))),""))</f>
        <v/>
      </c>
      <c r="AO678" s="27">
        <f>IF(Y678="","",IFERROR(DATE(VALUE(RIGHT(Y678,4)),VALUE(MID(Y678,4,2)),VALUE(LEFT(Y678,2))),""))</f>
        <v/>
      </c>
      <c r="AP678" s="27">
        <f>IF(AC678="","",IFERROR(DATE(VALUE(RIGHT(AC678,4)),VALUE(MID(AC678,4,2)),VALUE(LEFT(AC678,2))),""))</f>
        <v/>
      </c>
      <c r="AQ678" s="26">
        <f>IF(AI678="","",TRIM(LEFT(AI678,FIND(" ",AI678&amp;" ")-1)))</f>
        <v/>
      </c>
      <c r="AR678" s="27">
        <f>IF(AQ678="","",IFERROR(DATE(VALUE(MID(AQ678,FIND("/",AQ678,FIND("/",AQ678)+1)+1,4)),VALUE(LEFT(AQ678,FIND("/",AQ678)-1)),VALUE(MID(AQ678,FIND("/",AQ678)+1,FIND("/",AQ678,FIND("/",AQ678)+1)-FIND("/",AQ678)-1))),""))</f>
        <v/>
      </c>
      <c r="AS678" s="26">
        <f>IF(G678="","",IF(AND(AG678&lt;&gt;"",AG678&lt;&gt;"Bayi Aracı"),"Evet","Hayır"))</f>
        <v/>
      </c>
      <c r="AT678" s="26">
        <f>IF(G678="","",IF(AND(AS678="Evet",T678="Siparişiniz Teslim Edildi"),"Evet","Hayır"))</f>
        <v/>
      </c>
      <c r="AU678" s="26">
        <f>IF(G678="","",IF(AB678="Siparişinizin Montajı Yapıldı","Evet","Hayır"))</f>
        <v/>
      </c>
      <c r="AV678" s="27">
        <f>IF(G678="","",IF(AT678="Evet",AR678,IF(AU678="Evet",AP678,"")))</f>
        <v/>
      </c>
    </row>
    <row r="679">
      <c r="A679" s="23" t="n"/>
      <c r="B679" s="23" t="n"/>
      <c r="C679" s="23" t="n"/>
      <c r="D679" s="23" t="n"/>
      <c r="E679" s="23" t="n"/>
      <c r="F679" s="23" t="n"/>
      <c r="G679" s="23" t="n"/>
      <c r="H679" s="23" t="n"/>
      <c r="I679" s="23" t="n"/>
      <c r="J679" s="23" t="n"/>
      <c r="K679" s="23" t="n"/>
      <c r="L679" s="23" t="n"/>
      <c r="M679" s="23" t="n"/>
      <c r="N679" s="23" t="n"/>
      <c r="O679" s="23" t="n"/>
      <c r="P679" s="23" t="n"/>
      <c r="Q679" s="23" t="n"/>
      <c r="R679" s="23" t="n"/>
      <c r="S679" s="23" t="n"/>
      <c r="T679" s="23" t="n"/>
      <c r="U679" s="23" t="n"/>
      <c r="V679" s="23" t="n"/>
      <c r="W679" s="23" t="n"/>
      <c r="X679" s="23" t="n"/>
      <c r="Y679" s="23" t="n"/>
      <c r="Z679" s="23" t="n"/>
      <c r="AA679" s="23" t="n"/>
      <c r="AB679" s="23" t="n"/>
      <c r="AC679" s="23" t="n"/>
      <c r="AD679" s="23" t="n"/>
      <c r="AE679" s="23" t="n"/>
      <c r="AF679" s="23" t="n"/>
      <c r="AG679" s="23" t="n"/>
      <c r="AH679" s="23" t="n"/>
      <c r="AI679" s="23" t="n"/>
      <c r="AJ679" s="23" t="n"/>
      <c r="AK679" s="23" t="n"/>
      <c r="AL679" s="23" t="n"/>
      <c r="AM679" s="26">
        <f>IF(G679="","",G679&amp;"|"&amp;P679)</f>
        <v/>
      </c>
      <c r="AN679" s="27">
        <f>IF(I679="","",IFERROR(DATE(VALUE(RIGHT(I679,4)),VALUE(MID(I679,4,2)),VALUE(LEFT(I679,2))),""))</f>
        <v/>
      </c>
      <c r="AO679" s="27">
        <f>IF(Y679="","",IFERROR(DATE(VALUE(RIGHT(Y679,4)),VALUE(MID(Y679,4,2)),VALUE(LEFT(Y679,2))),""))</f>
        <v/>
      </c>
      <c r="AP679" s="27">
        <f>IF(AC679="","",IFERROR(DATE(VALUE(RIGHT(AC679,4)),VALUE(MID(AC679,4,2)),VALUE(LEFT(AC679,2))),""))</f>
        <v/>
      </c>
      <c r="AQ679" s="26">
        <f>IF(AI679="","",TRIM(LEFT(AI679,FIND(" ",AI679&amp;" ")-1)))</f>
        <v/>
      </c>
      <c r="AR679" s="27">
        <f>IF(AQ679="","",IFERROR(DATE(VALUE(MID(AQ679,FIND("/",AQ679,FIND("/",AQ679)+1)+1,4)),VALUE(LEFT(AQ679,FIND("/",AQ679)-1)),VALUE(MID(AQ679,FIND("/",AQ679)+1,FIND("/",AQ679,FIND("/",AQ679)+1)-FIND("/",AQ679)-1))),""))</f>
        <v/>
      </c>
      <c r="AS679" s="26">
        <f>IF(G679="","",IF(AND(AG679&lt;&gt;"",AG679&lt;&gt;"Bayi Aracı"),"Evet","Hayır"))</f>
        <v/>
      </c>
      <c r="AT679" s="26">
        <f>IF(G679="","",IF(AND(AS679="Evet",T679="Siparişiniz Teslim Edildi"),"Evet","Hayır"))</f>
        <v/>
      </c>
      <c r="AU679" s="26">
        <f>IF(G679="","",IF(AB679="Siparişinizin Montajı Yapıldı","Evet","Hayır"))</f>
        <v/>
      </c>
      <c r="AV679" s="27">
        <f>IF(G679="","",IF(AT679="Evet",AR679,IF(AU679="Evet",AP679,"")))</f>
        <v/>
      </c>
    </row>
    <row r="680">
      <c r="A680" s="23" t="n"/>
      <c r="B680" s="23" t="n"/>
      <c r="C680" s="23" t="n"/>
      <c r="D680" s="23" t="n"/>
      <c r="E680" s="23" t="n"/>
      <c r="F680" s="23" t="n"/>
      <c r="G680" s="23" t="n"/>
      <c r="H680" s="23" t="n"/>
      <c r="I680" s="23" t="n"/>
      <c r="J680" s="23" t="n"/>
      <c r="K680" s="23" t="n"/>
      <c r="L680" s="23" t="n"/>
      <c r="M680" s="23" t="n"/>
      <c r="N680" s="23" t="n"/>
      <c r="O680" s="23" t="n"/>
      <c r="P680" s="23" t="n"/>
      <c r="Q680" s="23" t="n"/>
      <c r="R680" s="23" t="n"/>
      <c r="S680" s="23" t="n"/>
      <c r="T680" s="23" t="n"/>
      <c r="U680" s="23" t="n"/>
      <c r="V680" s="23" t="n"/>
      <c r="W680" s="23" t="n"/>
      <c r="X680" s="23" t="n"/>
      <c r="Y680" s="23" t="n"/>
      <c r="Z680" s="23" t="n"/>
      <c r="AA680" s="23" t="n"/>
      <c r="AB680" s="23" t="n"/>
      <c r="AC680" s="23" t="n"/>
      <c r="AD680" s="23" t="n"/>
      <c r="AE680" s="23" t="n"/>
      <c r="AF680" s="23" t="n"/>
      <c r="AG680" s="23" t="n"/>
      <c r="AH680" s="23" t="n"/>
      <c r="AI680" s="23" t="n"/>
      <c r="AJ680" s="23" t="n"/>
      <c r="AK680" s="23" t="n"/>
      <c r="AL680" s="23" t="n"/>
      <c r="AM680" s="26">
        <f>IF(G680="","",G680&amp;"|"&amp;P680)</f>
        <v/>
      </c>
      <c r="AN680" s="27">
        <f>IF(I680="","",IFERROR(DATE(VALUE(RIGHT(I680,4)),VALUE(MID(I680,4,2)),VALUE(LEFT(I680,2))),""))</f>
        <v/>
      </c>
      <c r="AO680" s="27">
        <f>IF(Y680="","",IFERROR(DATE(VALUE(RIGHT(Y680,4)),VALUE(MID(Y680,4,2)),VALUE(LEFT(Y680,2))),""))</f>
        <v/>
      </c>
      <c r="AP680" s="27">
        <f>IF(AC680="","",IFERROR(DATE(VALUE(RIGHT(AC680,4)),VALUE(MID(AC680,4,2)),VALUE(LEFT(AC680,2))),""))</f>
        <v/>
      </c>
      <c r="AQ680" s="26">
        <f>IF(AI680="","",TRIM(LEFT(AI680,FIND(" ",AI680&amp;" ")-1)))</f>
        <v/>
      </c>
      <c r="AR680" s="27">
        <f>IF(AQ680="","",IFERROR(DATE(VALUE(MID(AQ680,FIND("/",AQ680,FIND("/",AQ680)+1)+1,4)),VALUE(LEFT(AQ680,FIND("/",AQ680)-1)),VALUE(MID(AQ680,FIND("/",AQ680)+1,FIND("/",AQ680,FIND("/",AQ680)+1)-FIND("/",AQ680)-1))),""))</f>
        <v/>
      </c>
      <c r="AS680" s="26">
        <f>IF(G680="","",IF(AND(AG680&lt;&gt;"",AG680&lt;&gt;"Bayi Aracı"),"Evet","Hayır"))</f>
        <v/>
      </c>
      <c r="AT680" s="26">
        <f>IF(G680="","",IF(AND(AS680="Evet",T680="Siparişiniz Teslim Edildi"),"Evet","Hayır"))</f>
        <v/>
      </c>
      <c r="AU680" s="26">
        <f>IF(G680="","",IF(AB680="Siparişinizin Montajı Yapıldı","Evet","Hayır"))</f>
        <v/>
      </c>
      <c r="AV680" s="27">
        <f>IF(G680="","",IF(AT680="Evet",AR680,IF(AU680="Evet",AP680,"")))</f>
        <v/>
      </c>
    </row>
    <row r="681">
      <c r="A681" s="23" t="n"/>
      <c r="B681" s="23" t="n"/>
      <c r="C681" s="23" t="n"/>
      <c r="D681" s="23" t="n"/>
      <c r="E681" s="23" t="n"/>
      <c r="F681" s="23" t="n"/>
      <c r="G681" s="23" t="n"/>
      <c r="H681" s="23" t="n"/>
      <c r="I681" s="23" t="n"/>
      <c r="J681" s="23" t="n"/>
      <c r="K681" s="23" t="n"/>
      <c r="L681" s="23" t="n"/>
      <c r="M681" s="23" t="n"/>
      <c r="N681" s="23" t="n"/>
      <c r="O681" s="23" t="n"/>
      <c r="P681" s="23" t="n"/>
      <c r="Q681" s="23" t="n"/>
      <c r="R681" s="23" t="n"/>
      <c r="S681" s="23" t="n"/>
      <c r="T681" s="23" t="n"/>
      <c r="U681" s="23" t="n"/>
      <c r="V681" s="23" t="n"/>
      <c r="W681" s="23" t="n"/>
      <c r="X681" s="23" t="n"/>
      <c r="Y681" s="23" t="n"/>
      <c r="Z681" s="23" t="n"/>
      <c r="AA681" s="23" t="n"/>
      <c r="AB681" s="23" t="n"/>
      <c r="AC681" s="23" t="n"/>
      <c r="AD681" s="23" t="n"/>
      <c r="AE681" s="23" t="n"/>
      <c r="AF681" s="23" t="n"/>
      <c r="AG681" s="23" t="n"/>
      <c r="AH681" s="23" t="n"/>
      <c r="AI681" s="23" t="n"/>
      <c r="AJ681" s="23" t="n"/>
      <c r="AK681" s="23" t="n"/>
      <c r="AL681" s="23" t="n"/>
      <c r="AM681" s="26">
        <f>IF(G681="","",G681&amp;"|"&amp;P681)</f>
        <v/>
      </c>
      <c r="AN681" s="27">
        <f>IF(I681="","",IFERROR(DATE(VALUE(RIGHT(I681,4)),VALUE(MID(I681,4,2)),VALUE(LEFT(I681,2))),""))</f>
        <v/>
      </c>
      <c r="AO681" s="27">
        <f>IF(Y681="","",IFERROR(DATE(VALUE(RIGHT(Y681,4)),VALUE(MID(Y681,4,2)),VALUE(LEFT(Y681,2))),""))</f>
        <v/>
      </c>
      <c r="AP681" s="27">
        <f>IF(AC681="","",IFERROR(DATE(VALUE(RIGHT(AC681,4)),VALUE(MID(AC681,4,2)),VALUE(LEFT(AC681,2))),""))</f>
        <v/>
      </c>
      <c r="AQ681" s="26">
        <f>IF(AI681="","",TRIM(LEFT(AI681,FIND(" ",AI681&amp;" ")-1)))</f>
        <v/>
      </c>
      <c r="AR681" s="27">
        <f>IF(AQ681="","",IFERROR(DATE(VALUE(MID(AQ681,FIND("/",AQ681,FIND("/",AQ681)+1)+1,4)),VALUE(LEFT(AQ681,FIND("/",AQ681)-1)),VALUE(MID(AQ681,FIND("/",AQ681)+1,FIND("/",AQ681,FIND("/",AQ681)+1)-FIND("/",AQ681)-1))),""))</f>
        <v/>
      </c>
      <c r="AS681" s="26">
        <f>IF(G681="","",IF(AND(AG681&lt;&gt;"",AG681&lt;&gt;"Bayi Aracı"),"Evet","Hayır"))</f>
        <v/>
      </c>
      <c r="AT681" s="26">
        <f>IF(G681="","",IF(AND(AS681="Evet",T681="Siparişiniz Teslim Edildi"),"Evet","Hayır"))</f>
        <v/>
      </c>
      <c r="AU681" s="26">
        <f>IF(G681="","",IF(AB681="Siparişinizin Montajı Yapıldı","Evet","Hayır"))</f>
        <v/>
      </c>
      <c r="AV681" s="27">
        <f>IF(G681="","",IF(AT681="Evet",AR681,IF(AU681="Evet",AP681,"")))</f>
        <v/>
      </c>
    </row>
    <row r="682">
      <c r="A682" s="23" t="n"/>
      <c r="B682" s="23" t="n"/>
      <c r="C682" s="23" t="n"/>
      <c r="D682" s="23" t="n"/>
      <c r="E682" s="23" t="n"/>
      <c r="F682" s="23" t="n"/>
      <c r="G682" s="23" t="n"/>
      <c r="H682" s="23" t="n"/>
      <c r="I682" s="23" t="n"/>
      <c r="J682" s="23" t="n"/>
      <c r="K682" s="23" t="n"/>
      <c r="L682" s="23" t="n"/>
      <c r="M682" s="23" t="n"/>
      <c r="N682" s="23" t="n"/>
      <c r="O682" s="23" t="n"/>
      <c r="P682" s="23" t="n"/>
      <c r="Q682" s="23" t="n"/>
      <c r="R682" s="23" t="n"/>
      <c r="S682" s="23" t="n"/>
      <c r="T682" s="23" t="n"/>
      <c r="U682" s="23" t="n"/>
      <c r="V682" s="23" t="n"/>
      <c r="W682" s="23" t="n"/>
      <c r="X682" s="23" t="n"/>
      <c r="Y682" s="23" t="n"/>
      <c r="Z682" s="23" t="n"/>
      <c r="AA682" s="23" t="n"/>
      <c r="AB682" s="23" t="n"/>
      <c r="AC682" s="23" t="n"/>
      <c r="AD682" s="23" t="n"/>
      <c r="AE682" s="23" t="n"/>
      <c r="AF682" s="23" t="n"/>
      <c r="AG682" s="23" t="n"/>
      <c r="AH682" s="23" t="n"/>
      <c r="AI682" s="23" t="n"/>
      <c r="AJ682" s="23" t="n"/>
      <c r="AK682" s="23" t="n"/>
      <c r="AL682" s="23" t="n"/>
      <c r="AM682" s="26">
        <f>IF(G682="","",G682&amp;"|"&amp;P682)</f>
        <v/>
      </c>
      <c r="AN682" s="27">
        <f>IF(I682="","",IFERROR(DATE(VALUE(RIGHT(I682,4)),VALUE(MID(I682,4,2)),VALUE(LEFT(I682,2))),""))</f>
        <v/>
      </c>
      <c r="AO682" s="27">
        <f>IF(Y682="","",IFERROR(DATE(VALUE(RIGHT(Y682,4)),VALUE(MID(Y682,4,2)),VALUE(LEFT(Y682,2))),""))</f>
        <v/>
      </c>
      <c r="AP682" s="27">
        <f>IF(AC682="","",IFERROR(DATE(VALUE(RIGHT(AC682,4)),VALUE(MID(AC682,4,2)),VALUE(LEFT(AC682,2))),""))</f>
        <v/>
      </c>
      <c r="AQ682" s="26">
        <f>IF(AI682="","",TRIM(LEFT(AI682,FIND(" ",AI682&amp;" ")-1)))</f>
        <v/>
      </c>
      <c r="AR682" s="27">
        <f>IF(AQ682="","",IFERROR(DATE(VALUE(MID(AQ682,FIND("/",AQ682,FIND("/",AQ682)+1)+1,4)),VALUE(LEFT(AQ682,FIND("/",AQ682)-1)),VALUE(MID(AQ682,FIND("/",AQ682)+1,FIND("/",AQ682,FIND("/",AQ682)+1)-FIND("/",AQ682)-1))),""))</f>
        <v/>
      </c>
      <c r="AS682" s="26">
        <f>IF(G682="","",IF(AND(AG682&lt;&gt;"",AG682&lt;&gt;"Bayi Aracı"),"Evet","Hayır"))</f>
        <v/>
      </c>
      <c r="AT682" s="26">
        <f>IF(G682="","",IF(AND(AS682="Evet",T682="Siparişiniz Teslim Edildi"),"Evet","Hayır"))</f>
        <v/>
      </c>
      <c r="AU682" s="26">
        <f>IF(G682="","",IF(AB682="Siparişinizin Montajı Yapıldı","Evet","Hayır"))</f>
        <v/>
      </c>
      <c r="AV682" s="27">
        <f>IF(G682="","",IF(AT682="Evet",AR682,IF(AU682="Evet",AP682,"")))</f>
        <v/>
      </c>
    </row>
    <row r="683">
      <c r="A683" s="23" t="n"/>
      <c r="B683" s="23" t="n"/>
      <c r="C683" s="23" t="n"/>
      <c r="D683" s="23" t="n"/>
      <c r="E683" s="23" t="n"/>
      <c r="F683" s="23" t="n"/>
      <c r="G683" s="23" t="n"/>
      <c r="H683" s="23" t="n"/>
      <c r="I683" s="23" t="n"/>
      <c r="J683" s="23" t="n"/>
      <c r="K683" s="23" t="n"/>
      <c r="L683" s="23" t="n"/>
      <c r="M683" s="23" t="n"/>
      <c r="N683" s="23" t="n"/>
      <c r="O683" s="23" t="n"/>
      <c r="P683" s="23" t="n"/>
      <c r="Q683" s="23" t="n"/>
      <c r="R683" s="23" t="n"/>
      <c r="S683" s="23" t="n"/>
      <c r="T683" s="23" t="n"/>
      <c r="U683" s="23" t="n"/>
      <c r="V683" s="23" t="n"/>
      <c r="W683" s="23" t="n"/>
      <c r="X683" s="23" t="n"/>
      <c r="Y683" s="23" t="n"/>
      <c r="Z683" s="23" t="n"/>
      <c r="AA683" s="23" t="n"/>
      <c r="AB683" s="23" t="n"/>
      <c r="AC683" s="23" t="n"/>
      <c r="AD683" s="23" t="n"/>
      <c r="AE683" s="23" t="n"/>
      <c r="AF683" s="23" t="n"/>
      <c r="AG683" s="23" t="n"/>
      <c r="AH683" s="23" t="n"/>
      <c r="AI683" s="23" t="n"/>
      <c r="AJ683" s="23" t="n"/>
      <c r="AK683" s="23" t="n"/>
      <c r="AL683" s="23" t="n"/>
      <c r="AM683" s="26">
        <f>IF(G683="","",G683&amp;"|"&amp;P683)</f>
        <v/>
      </c>
      <c r="AN683" s="27">
        <f>IF(I683="","",IFERROR(DATE(VALUE(RIGHT(I683,4)),VALUE(MID(I683,4,2)),VALUE(LEFT(I683,2))),""))</f>
        <v/>
      </c>
      <c r="AO683" s="27">
        <f>IF(Y683="","",IFERROR(DATE(VALUE(RIGHT(Y683,4)),VALUE(MID(Y683,4,2)),VALUE(LEFT(Y683,2))),""))</f>
        <v/>
      </c>
      <c r="AP683" s="27">
        <f>IF(AC683="","",IFERROR(DATE(VALUE(RIGHT(AC683,4)),VALUE(MID(AC683,4,2)),VALUE(LEFT(AC683,2))),""))</f>
        <v/>
      </c>
      <c r="AQ683" s="26">
        <f>IF(AI683="","",TRIM(LEFT(AI683,FIND(" ",AI683&amp;" ")-1)))</f>
        <v/>
      </c>
      <c r="AR683" s="27">
        <f>IF(AQ683="","",IFERROR(DATE(VALUE(MID(AQ683,FIND("/",AQ683,FIND("/",AQ683)+1)+1,4)),VALUE(LEFT(AQ683,FIND("/",AQ683)-1)),VALUE(MID(AQ683,FIND("/",AQ683)+1,FIND("/",AQ683,FIND("/",AQ683)+1)-FIND("/",AQ683)-1))),""))</f>
        <v/>
      </c>
      <c r="AS683" s="26">
        <f>IF(G683="","",IF(AND(AG683&lt;&gt;"",AG683&lt;&gt;"Bayi Aracı"),"Evet","Hayır"))</f>
        <v/>
      </c>
      <c r="AT683" s="26">
        <f>IF(G683="","",IF(AND(AS683="Evet",T683="Siparişiniz Teslim Edildi"),"Evet","Hayır"))</f>
        <v/>
      </c>
      <c r="AU683" s="26">
        <f>IF(G683="","",IF(AB683="Siparişinizin Montajı Yapıldı","Evet","Hayır"))</f>
        <v/>
      </c>
      <c r="AV683" s="27">
        <f>IF(G683="","",IF(AT683="Evet",AR683,IF(AU683="Evet",AP683,"")))</f>
        <v/>
      </c>
    </row>
    <row r="684">
      <c r="A684" s="23" t="n"/>
      <c r="B684" s="23" t="n"/>
      <c r="C684" s="23" t="n"/>
      <c r="D684" s="23" t="n"/>
      <c r="E684" s="23" t="n"/>
      <c r="F684" s="23" t="n"/>
      <c r="G684" s="23" t="n"/>
      <c r="H684" s="23" t="n"/>
      <c r="I684" s="23" t="n"/>
      <c r="J684" s="23" t="n"/>
      <c r="K684" s="23" t="n"/>
      <c r="L684" s="23" t="n"/>
      <c r="M684" s="23" t="n"/>
      <c r="N684" s="23" t="n"/>
      <c r="O684" s="23" t="n"/>
      <c r="P684" s="23" t="n"/>
      <c r="Q684" s="23" t="n"/>
      <c r="R684" s="23" t="n"/>
      <c r="S684" s="23" t="n"/>
      <c r="T684" s="23" t="n"/>
      <c r="U684" s="23" t="n"/>
      <c r="V684" s="23" t="n"/>
      <c r="W684" s="23" t="n"/>
      <c r="X684" s="23" t="n"/>
      <c r="Y684" s="23" t="n"/>
      <c r="Z684" s="23" t="n"/>
      <c r="AA684" s="23" t="n"/>
      <c r="AB684" s="23" t="n"/>
      <c r="AC684" s="23" t="n"/>
      <c r="AD684" s="23" t="n"/>
      <c r="AE684" s="23" t="n"/>
      <c r="AF684" s="23" t="n"/>
      <c r="AG684" s="23" t="n"/>
      <c r="AH684" s="23" t="n"/>
      <c r="AI684" s="23" t="n"/>
      <c r="AJ684" s="23" t="n"/>
      <c r="AK684" s="23" t="n"/>
      <c r="AL684" s="23" t="n"/>
      <c r="AM684" s="26">
        <f>IF(G684="","",G684&amp;"|"&amp;P684)</f>
        <v/>
      </c>
      <c r="AN684" s="27">
        <f>IF(I684="","",IFERROR(DATE(VALUE(RIGHT(I684,4)),VALUE(MID(I684,4,2)),VALUE(LEFT(I684,2))),""))</f>
        <v/>
      </c>
      <c r="AO684" s="27">
        <f>IF(Y684="","",IFERROR(DATE(VALUE(RIGHT(Y684,4)),VALUE(MID(Y684,4,2)),VALUE(LEFT(Y684,2))),""))</f>
        <v/>
      </c>
      <c r="AP684" s="27">
        <f>IF(AC684="","",IFERROR(DATE(VALUE(RIGHT(AC684,4)),VALUE(MID(AC684,4,2)),VALUE(LEFT(AC684,2))),""))</f>
        <v/>
      </c>
      <c r="AQ684" s="26">
        <f>IF(AI684="","",TRIM(LEFT(AI684,FIND(" ",AI684&amp;" ")-1)))</f>
        <v/>
      </c>
      <c r="AR684" s="27">
        <f>IF(AQ684="","",IFERROR(DATE(VALUE(MID(AQ684,FIND("/",AQ684,FIND("/",AQ684)+1)+1,4)),VALUE(LEFT(AQ684,FIND("/",AQ684)-1)),VALUE(MID(AQ684,FIND("/",AQ684)+1,FIND("/",AQ684,FIND("/",AQ684)+1)-FIND("/",AQ684)-1))),""))</f>
        <v/>
      </c>
      <c r="AS684" s="26">
        <f>IF(G684="","",IF(AND(AG684&lt;&gt;"",AG684&lt;&gt;"Bayi Aracı"),"Evet","Hayır"))</f>
        <v/>
      </c>
      <c r="AT684" s="26">
        <f>IF(G684="","",IF(AND(AS684="Evet",T684="Siparişiniz Teslim Edildi"),"Evet","Hayır"))</f>
        <v/>
      </c>
      <c r="AU684" s="26">
        <f>IF(G684="","",IF(AB684="Siparişinizin Montajı Yapıldı","Evet","Hayır"))</f>
        <v/>
      </c>
      <c r="AV684" s="27">
        <f>IF(G684="","",IF(AT684="Evet",AR684,IF(AU684="Evet",AP684,"")))</f>
        <v/>
      </c>
    </row>
    <row r="685">
      <c r="A685" s="23" t="n"/>
      <c r="B685" s="23" t="n"/>
      <c r="C685" s="23" t="n"/>
      <c r="D685" s="23" t="n"/>
      <c r="E685" s="23" t="n"/>
      <c r="F685" s="23" t="n"/>
      <c r="G685" s="23" t="n"/>
      <c r="H685" s="23" t="n"/>
      <c r="I685" s="23" t="n"/>
      <c r="J685" s="23" t="n"/>
      <c r="K685" s="23" t="n"/>
      <c r="L685" s="23" t="n"/>
      <c r="M685" s="23" t="n"/>
      <c r="N685" s="23" t="n"/>
      <c r="O685" s="23" t="n"/>
      <c r="P685" s="23" t="n"/>
      <c r="Q685" s="23" t="n"/>
      <c r="R685" s="23" t="n"/>
      <c r="S685" s="23" t="n"/>
      <c r="T685" s="23" t="n"/>
      <c r="U685" s="23" t="n"/>
      <c r="V685" s="23" t="n"/>
      <c r="W685" s="23" t="n"/>
      <c r="X685" s="23" t="n"/>
      <c r="Y685" s="23" t="n"/>
      <c r="Z685" s="23" t="n"/>
      <c r="AA685" s="23" t="n"/>
      <c r="AB685" s="23" t="n"/>
      <c r="AC685" s="23" t="n"/>
      <c r="AD685" s="23" t="n"/>
      <c r="AE685" s="23" t="n"/>
      <c r="AF685" s="23" t="n"/>
      <c r="AG685" s="23" t="n"/>
      <c r="AH685" s="23" t="n"/>
      <c r="AI685" s="23" t="n"/>
      <c r="AJ685" s="23" t="n"/>
      <c r="AK685" s="23" t="n"/>
      <c r="AL685" s="23" t="n"/>
      <c r="AM685" s="26">
        <f>IF(G685="","",G685&amp;"|"&amp;P685)</f>
        <v/>
      </c>
      <c r="AN685" s="27">
        <f>IF(I685="","",IFERROR(DATE(VALUE(RIGHT(I685,4)),VALUE(MID(I685,4,2)),VALUE(LEFT(I685,2))),""))</f>
        <v/>
      </c>
      <c r="AO685" s="27">
        <f>IF(Y685="","",IFERROR(DATE(VALUE(RIGHT(Y685,4)),VALUE(MID(Y685,4,2)),VALUE(LEFT(Y685,2))),""))</f>
        <v/>
      </c>
      <c r="AP685" s="27">
        <f>IF(AC685="","",IFERROR(DATE(VALUE(RIGHT(AC685,4)),VALUE(MID(AC685,4,2)),VALUE(LEFT(AC685,2))),""))</f>
        <v/>
      </c>
      <c r="AQ685" s="26">
        <f>IF(AI685="","",TRIM(LEFT(AI685,FIND(" ",AI685&amp;" ")-1)))</f>
        <v/>
      </c>
      <c r="AR685" s="27">
        <f>IF(AQ685="","",IFERROR(DATE(VALUE(MID(AQ685,FIND("/",AQ685,FIND("/",AQ685)+1)+1,4)),VALUE(LEFT(AQ685,FIND("/",AQ685)-1)),VALUE(MID(AQ685,FIND("/",AQ685)+1,FIND("/",AQ685,FIND("/",AQ685)+1)-FIND("/",AQ685)-1))),""))</f>
        <v/>
      </c>
      <c r="AS685" s="26">
        <f>IF(G685="","",IF(AND(AG685&lt;&gt;"",AG685&lt;&gt;"Bayi Aracı"),"Evet","Hayır"))</f>
        <v/>
      </c>
      <c r="AT685" s="26">
        <f>IF(G685="","",IF(AND(AS685="Evet",T685="Siparişiniz Teslim Edildi"),"Evet","Hayır"))</f>
        <v/>
      </c>
      <c r="AU685" s="26">
        <f>IF(G685="","",IF(AB685="Siparişinizin Montajı Yapıldı","Evet","Hayır"))</f>
        <v/>
      </c>
      <c r="AV685" s="27">
        <f>IF(G685="","",IF(AT685="Evet",AR685,IF(AU685="Evet",AP685,"")))</f>
        <v/>
      </c>
    </row>
    <row r="686">
      <c r="A686" s="23" t="n"/>
      <c r="B686" s="23" t="n"/>
      <c r="C686" s="23" t="n"/>
      <c r="D686" s="23" t="n"/>
      <c r="E686" s="23" t="n"/>
      <c r="F686" s="23" t="n"/>
      <c r="G686" s="23" t="n"/>
      <c r="H686" s="23" t="n"/>
      <c r="I686" s="23" t="n"/>
      <c r="J686" s="23" t="n"/>
      <c r="K686" s="23" t="n"/>
      <c r="L686" s="23" t="n"/>
      <c r="M686" s="23" t="n"/>
      <c r="N686" s="23" t="n"/>
      <c r="O686" s="23" t="n"/>
      <c r="P686" s="23" t="n"/>
      <c r="Q686" s="23" t="n"/>
      <c r="R686" s="23" t="n"/>
      <c r="S686" s="23" t="n"/>
      <c r="T686" s="23" t="n"/>
      <c r="U686" s="23" t="n"/>
      <c r="V686" s="23" t="n"/>
      <c r="W686" s="23" t="n"/>
      <c r="X686" s="23" t="n"/>
      <c r="Y686" s="23" t="n"/>
      <c r="Z686" s="23" t="n"/>
      <c r="AA686" s="23" t="n"/>
      <c r="AB686" s="23" t="n"/>
      <c r="AC686" s="23" t="n"/>
      <c r="AD686" s="23" t="n"/>
      <c r="AE686" s="23" t="n"/>
      <c r="AF686" s="23" t="n"/>
      <c r="AG686" s="23" t="n"/>
      <c r="AH686" s="23" t="n"/>
      <c r="AI686" s="23" t="n"/>
      <c r="AJ686" s="23" t="n"/>
      <c r="AK686" s="23" t="n"/>
      <c r="AL686" s="23" t="n"/>
      <c r="AM686" s="26">
        <f>IF(G686="","",G686&amp;"|"&amp;P686)</f>
        <v/>
      </c>
      <c r="AN686" s="27">
        <f>IF(I686="","",IFERROR(DATE(VALUE(RIGHT(I686,4)),VALUE(MID(I686,4,2)),VALUE(LEFT(I686,2))),""))</f>
        <v/>
      </c>
      <c r="AO686" s="27">
        <f>IF(Y686="","",IFERROR(DATE(VALUE(RIGHT(Y686,4)),VALUE(MID(Y686,4,2)),VALUE(LEFT(Y686,2))),""))</f>
        <v/>
      </c>
      <c r="AP686" s="27">
        <f>IF(AC686="","",IFERROR(DATE(VALUE(RIGHT(AC686,4)),VALUE(MID(AC686,4,2)),VALUE(LEFT(AC686,2))),""))</f>
        <v/>
      </c>
      <c r="AQ686" s="26">
        <f>IF(AI686="","",TRIM(LEFT(AI686,FIND(" ",AI686&amp;" ")-1)))</f>
        <v/>
      </c>
      <c r="AR686" s="27">
        <f>IF(AQ686="","",IFERROR(DATE(VALUE(MID(AQ686,FIND("/",AQ686,FIND("/",AQ686)+1)+1,4)),VALUE(LEFT(AQ686,FIND("/",AQ686)-1)),VALUE(MID(AQ686,FIND("/",AQ686)+1,FIND("/",AQ686,FIND("/",AQ686)+1)-FIND("/",AQ686)-1))),""))</f>
        <v/>
      </c>
      <c r="AS686" s="26">
        <f>IF(G686="","",IF(AND(AG686&lt;&gt;"",AG686&lt;&gt;"Bayi Aracı"),"Evet","Hayır"))</f>
        <v/>
      </c>
      <c r="AT686" s="26">
        <f>IF(G686="","",IF(AND(AS686="Evet",T686="Siparişiniz Teslim Edildi"),"Evet","Hayır"))</f>
        <v/>
      </c>
      <c r="AU686" s="26">
        <f>IF(G686="","",IF(AB686="Siparişinizin Montajı Yapıldı","Evet","Hayır"))</f>
        <v/>
      </c>
      <c r="AV686" s="27">
        <f>IF(G686="","",IF(AT686="Evet",AR686,IF(AU686="Evet",AP686,"")))</f>
        <v/>
      </c>
    </row>
    <row r="687">
      <c r="A687" s="23" t="n"/>
      <c r="B687" s="23" t="n"/>
      <c r="C687" s="23" t="n"/>
      <c r="D687" s="23" t="n"/>
      <c r="E687" s="23" t="n"/>
      <c r="F687" s="23" t="n"/>
      <c r="G687" s="23" t="n"/>
      <c r="H687" s="23" t="n"/>
      <c r="I687" s="23" t="n"/>
      <c r="J687" s="23" t="n"/>
      <c r="K687" s="23" t="n"/>
      <c r="L687" s="23" t="n"/>
      <c r="M687" s="23" t="n"/>
      <c r="N687" s="23" t="n"/>
      <c r="O687" s="23" t="n"/>
      <c r="P687" s="23" t="n"/>
      <c r="Q687" s="23" t="n"/>
      <c r="R687" s="23" t="n"/>
      <c r="S687" s="23" t="n"/>
      <c r="T687" s="23" t="n"/>
      <c r="U687" s="23" t="n"/>
      <c r="V687" s="23" t="n"/>
      <c r="W687" s="23" t="n"/>
      <c r="X687" s="23" t="n"/>
      <c r="Y687" s="23" t="n"/>
      <c r="Z687" s="23" t="n"/>
      <c r="AA687" s="23" t="n"/>
      <c r="AB687" s="23" t="n"/>
      <c r="AC687" s="23" t="n"/>
      <c r="AD687" s="23" t="n"/>
      <c r="AE687" s="23" t="n"/>
      <c r="AF687" s="23" t="n"/>
      <c r="AG687" s="23" t="n"/>
      <c r="AH687" s="23" t="n"/>
      <c r="AI687" s="23" t="n"/>
      <c r="AJ687" s="23" t="n"/>
      <c r="AK687" s="23" t="n"/>
      <c r="AL687" s="23" t="n"/>
      <c r="AM687" s="26">
        <f>IF(G687="","",G687&amp;"|"&amp;P687)</f>
        <v/>
      </c>
      <c r="AN687" s="27">
        <f>IF(I687="","",IFERROR(DATE(VALUE(RIGHT(I687,4)),VALUE(MID(I687,4,2)),VALUE(LEFT(I687,2))),""))</f>
        <v/>
      </c>
      <c r="AO687" s="27">
        <f>IF(Y687="","",IFERROR(DATE(VALUE(RIGHT(Y687,4)),VALUE(MID(Y687,4,2)),VALUE(LEFT(Y687,2))),""))</f>
        <v/>
      </c>
      <c r="AP687" s="27">
        <f>IF(AC687="","",IFERROR(DATE(VALUE(RIGHT(AC687,4)),VALUE(MID(AC687,4,2)),VALUE(LEFT(AC687,2))),""))</f>
        <v/>
      </c>
      <c r="AQ687" s="26">
        <f>IF(AI687="","",TRIM(LEFT(AI687,FIND(" ",AI687&amp;" ")-1)))</f>
        <v/>
      </c>
      <c r="AR687" s="27">
        <f>IF(AQ687="","",IFERROR(DATE(VALUE(MID(AQ687,FIND("/",AQ687,FIND("/",AQ687)+1)+1,4)),VALUE(LEFT(AQ687,FIND("/",AQ687)-1)),VALUE(MID(AQ687,FIND("/",AQ687)+1,FIND("/",AQ687,FIND("/",AQ687)+1)-FIND("/",AQ687)-1))),""))</f>
        <v/>
      </c>
      <c r="AS687" s="26">
        <f>IF(G687="","",IF(AND(AG687&lt;&gt;"",AG687&lt;&gt;"Bayi Aracı"),"Evet","Hayır"))</f>
        <v/>
      </c>
      <c r="AT687" s="26">
        <f>IF(G687="","",IF(AND(AS687="Evet",T687="Siparişiniz Teslim Edildi"),"Evet","Hayır"))</f>
        <v/>
      </c>
      <c r="AU687" s="26">
        <f>IF(G687="","",IF(AB687="Siparişinizin Montajı Yapıldı","Evet","Hayır"))</f>
        <v/>
      </c>
      <c r="AV687" s="27">
        <f>IF(G687="","",IF(AT687="Evet",AR687,IF(AU687="Evet",AP687,"")))</f>
        <v/>
      </c>
    </row>
    <row r="688">
      <c r="A688" s="23" t="n"/>
      <c r="B688" s="23" t="n"/>
      <c r="C688" s="23" t="n"/>
      <c r="D688" s="23" t="n"/>
      <c r="E688" s="23" t="n"/>
      <c r="F688" s="23" t="n"/>
      <c r="G688" s="23" t="n"/>
      <c r="H688" s="23" t="n"/>
      <c r="I688" s="23" t="n"/>
      <c r="J688" s="23" t="n"/>
      <c r="K688" s="23" t="n"/>
      <c r="L688" s="23" t="n"/>
      <c r="M688" s="23" t="n"/>
      <c r="N688" s="23" t="n"/>
      <c r="O688" s="23" t="n"/>
      <c r="P688" s="23" t="n"/>
      <c r="Q688" s="23" t="n"/>
      <c r="R688" s="23" t="n"/>
      <c r="S688" s="23" t="n"/>
      <c r="T688" s="23" t="n"/>
      <c r="U688" s="23" t="n"/>
      <c r="V688" s="23" t="n"/>
      <c r="W688" s="23" t="n"/>
      <c r="X688" s="23" t="n"/>
      <c r="Y688" s="23" t="n"/>
      <c r="Z688" s="23" t="n"/>
      <c r="AA688" s="23" t="n"/>
      <c r="AB688" s="23" t="n"/>
      <c r="AC688" s="23" t="n"/>
      <c r="AD688" s="23" t="n"/>
      <c r="AE688" s="23" t="n"/>
      <c r="AF688" s="23" t="n"/>
      <c r="AG688" s="23" t="n"/>
      <c r="AH688" s="23" t="n"/>
      <c r="AI688" s="23" t="n"/>
      <c r="AJ688" s="23" t="n"/>
      <c r="AK688" s="23" t="n"/>
      <c r="AL688" s="23" t="n"/>
      <c r="AM688" s="26">
        <f>IF(G688="","",G688&amp;"|"&amp;P688)</f>
        <v/>
      </c>
      <c r="AN688" s="27">
        <f>IF(I688="","",IFERROR(DATE(VALUE(RIGHT(I688,4)),VALUE(MID(I688,4,2)),VALUE(LEFT(I688,2))),""))</f>
        <v/>
      </c>
      <c r="AO688" s="27">
        <f>IF(Y688="","",IFERROR(DATE(VALUE(RIGHT(Y688,4)),VALUE(MID(Y688,4,2)),VALUE(LEFT(Y688,2))),""))</f>
        <v/>
      </c>
      <c r="AP688" s="27">
        <f>IF(AC688="","",IFERROR(DATE(VALUE(RIGHT(AC688,4)),VALUE(MID(AC688,4,2)),VALUE(LEFT(AC688,2))),""))</f>
        <v/>
      </c>
      <c r="AQ688" s="26">
        <f>IF(AI688="","",TRIM(LEFT(AI688,FIND(" ",AI688&amp;" ")-1)))</f>
        <v/>
      </c>
      <c r="AR688" s="27">
        <f>IF(AQ688="","",IFERROR(DATE(VALUE(MID(AQ688,FIND("/",AQ688,FIND("/",AQ688)+1)+1,4)),VALUE(LEFT(AQ688,FIND("/",AQ688)-1)),VALUE(MID(AQ688,FIND("/",AQ688)+1,FIND("/",AQ688,FIND("/",AQ688)+1)-FIND("/",AQ688)-1))),""))</f>
        <v/>
      </c>
      <c r="AS688" s="26">
        <f>IF(G688="","",IF(AND(AG688&lt;&gt;"",AG688&lt;&gt;"Bayi Aracı"),"Evet","Hayır"))</f>
        <v/>
      </c>
      <c r="AT688" s="26">
        <f>IF(G688="","",IF(AND(AS688="Evet",T688="Siparişiniz Teslim Edildi"),"Evet","Hayır"))</f>
        <v/>
      </c>
      <c r="AU688" s="26">
        <f>IF(G688="","",IF(AB688="Siparişinizin Montajı Yapıldı","Evet","Hayır"))</f>
        <v/>
      </c>
      <c r="AV688" s="27">
        <f>IF(G688="","",IF(AT688="Evet",AR688,IF(AU688="Evet",AP688,"")))</f>
        <v/>
      </c>
    </row>
    <row r="689">
      <c r="A689" s="23" t="n"/>
      <c r="B689" s="23" t="n"/>
      <c r="C689" s="23" t="n"/>
      <c r="D689" s="23" t="n"/>
      <c r="E689" s="23" t="n"/>
      <c r="F689" s="23" t="n"/>
      <c r="G689" s="23" t="n"/>
      <c r="H689" s="23" t="n"/>
      <c r="I689" s="23" t="n"/>
      <c r="J689" s="23" t="n"/>
      <c r="K689" s="23" t="n"/>
      <c r="L689" s="23" t="n"/>
      <c r="M689" s="23" t="n"/>
      <c r="N689" s="23" t="n"/>
      <c r="O689" s="23" t="n"/>
      <c r="P689" s="23" t="n"/>
      <c r="Q689" s="23" t="n"/>
      <c r="R689" s="23" t="n"/>
      <c r="S689" s="23" t="n"/>
      <c r="T689" s="23" t="n"/>
      <c r="U689" s="23" t="n"/>
      <c r="V689" s="23" t="n"/>
      <c r="W689" s="23" t="n"/>
      <c r="X689" s="23" t="n"/>
      <c r="Y689" s="23" t="n"/>
      <c r="Z689" s="23" t="n"/>
      <c r="AA689" s="23" t="n"/>
      <c r="AB689" s="23" t="n"/>
      <c r="AC689" s="23" t="n"/>
      <c r="AD689" s="23" t="n"/>
      <c r="AE689" s="23" t="n"/>
      <c r="AF689" s="23" t="n"/>
      <c r="AG689" s="23" t="n"/>
      <c r="AH689" s="23" t="n"/>
      <c r="AI689" s="23" t="n"/>
      <c r="AJ689" s="23" t="n"/>
      <c r="AK689" s="23" t="n"/>
      <c r="AL689" s="23" t="n"/>
      <c r="AM689" s="26">
        <f>IF(G689="","",G689&amp;"|"&amp;P689)</f>
        <v/>
      </c>
      <c r="AN689" s="27">
        <f>IF(I689="","",IFERROR(DATE(VALUE(RIGHT(I689,4)),VALUE(MID(I689,4,2)),VALUE(LEFT(I689,2))),""))</f>
        <v/>
      </c>
      <c r="AO689" s="27">
        <f>IF(Y689="","",IFERROR(DATE(VALUE(RIGHT(Y689,4)),VALUE(MID(Y689,4,2)),VALUE(LEFT(Y689,2))),""))</f>
        <v/>
      </c>
      <c r="AP689" s="27">
        <f>IF(AC689="","",IFERROR(DATE(VALUE(RIGHT(AC689,4)),VALUE(MID(AC689,4,2)),VALUE(LEFT(AC689,2))),""))</f>
        <v/>
      </c>
      <c r="AQ689" s="26">
        <f>IF(AI689="","",TRIM(LEFT(AI689,FIND(" ",AI689&amp;" ")-1)))</f>
        <v/>
      </c>
      <c r="AR689" s="27">
        <f>IF(AQ689="","",IFERROR(DATE(VALUE(MID(AQ689,FIND("/",AQ689,FIND("/",AQ689)+1)+1,4)),VALUE(LEFT(AQ689,FIND("/",AQ689)-1)),VALUE(MID(AQ689,FIND("/",AQ689)+1,FIND("/",AQ689,FIND("/",AQ689)+1)-FIND("/",AQ689)-1))),""))</f>
        <v/>
      </c>
      <c r="AS689" s="26">
        <f>IF(G689="","",IF(AND(AG689&lt;&gt;"",AG689&lt;&gt;"Bayi Aracı"),"Evet","Hayır"))</f>
        <v/>
      </c>
      <c r="AT689" s="26">
        <f>IF(G689="","",IF(AND(AS689="Evet",T689="Siparişiniz Teslim Edildi"),"Evet","Hayır"))</f>
        <v/>
      </c>
      <c r="AU689" s="26">
        <f>IF(G689="","",IF(AB689="Siparişinizin Montajı Yapıldı","Evet","Hayır"))</f>
        <v/>
      </c>
      <c r="AV689" s="27">
        <f>IF(G689="","",IF(AT689="Evet",AR689,IF(AU689="Evet",AP689,"")))</f>
        <v/>
      </c>
    </row>
    <row r="690">
      <c r="A690" s="23" t="n"/>
      <c r="B690" s="23" t="n"/>
      <c r="C690" s="23" t="n"/>
      <c r="D690" s="23" t="n"/>
      <c r="E690" s="23" t="n"/>
      <c r="F690" s="23" t="n"/>
      <c r="G690" s="23" t="n"/>
      <c r="H690" s="23" t="n"/>
      <c r="I690" s="23" t="n"/>
      <c r="J690" s="23" t="n"/>
      <c r="K690" s="23" t="n"/>
      <c r="L690" s="23" t="n"/>
      <c r="M690" s="23" t="n"/>
      <c r="N690" s="23" t="n"/>
      <c r="O690" s="23" t="n"/>
      <c r="P690" s="23" t="n"/>
      <c r="Q690" s="23" t="n"/>
      <c r="R690" s="23" t="n"/>
      <c r="S690" s="23" t="n"/>
      <c r="T690" s="23" t="n"/>
      <c r="U690" s="23" t="n"/>
      <c r="V690" s="23" t="n"/>
      <c r="W690" s="23" t="n"/>
      <c r="X690" s="23" t="n"/>
      <c r="Y690" s="23" t="n"/>
      <c r="Z690" s="23" t="n"/>
      <c r="AA690" s="23" t="n"/>
      <c r="AB690" s="23" t="n"/>
      <c r="AC690" s="23" t="n"/>
      <c r="AD690" s="23" t="n"/>
      <c r="AE690" s="23" t="n"/>
      <c r="AF690" s="23" t="n"/>
      <c r="AG690" s="23" t="n"/>
      <c r="AH690" s="23" t="n"/>
      <c r="AI690" s="23" t="n"/>
      <c r="AJ690" s="23" t="n"/>
      <c r="AK690" s="23" t="n"/>
      <c r="AL690" s="23" t="n"/>
      <c r="AM690" s="26">
        <f>IF(G690="","",G690&amp;"|"&amp;P690)</f>
        <v/>
      </c>
      <c r="AN690" s="27">
        <f>IF(I690="","",IFERROR(DATE(VALUE(RIGHT(I690,4)),VALUE(MID(I690,4,2)),VALUE(LEFT(I690,2))),""))</f>
        <v/>
      </c>
      <c r="AO690" s="27">
        <f>IF(Y690="","",IFERROR(DATE(VALUE(RIGHT(Y690,4)),VALUE(MID(Y690,4,2)),VALUE(LEFT(Y690,2))),""))</f>
        <v/>
      </c>
      <c r="AP690" s="27">
        <f>IF(AC690="","",IFERROR(DATE(VALUE(RIGHT(AC690,4)),VALUE(MID(AC690,4,2)),VALUE(LEFT(AC690,2))),""))</f>
        <v/>
      </c>
      <c r="AQ690" s="26">
        <f>IF(AI690="","",TRIM(LEFT(AI690,FIND(" ",AI690&amp;" ")-1)))</f>
        <v/>
      </c>
      <c r="AR690" s="27">
        <f>IF(AQ690="","",IFERROR(DATE(VALUE(MID(AQ690,FIND("/",AQ690,FIND("/",AQ690)+1)+1,4)),VALUE(LEFT(AQ690,FIND("/",AQ690)-1)),VALUE(MID(AQ690,FIND("/",AQ690)+1,FIND("/",AQ690,FIND("/",AQ690)+1)-FIND("/",AQ690)-1))),""))</f>
        <v/>
      </c>
      <c r="AS690" s="26">
        <f>IF(G690="","",IF(AND(AG690&lt;&gt;"",AG690&lt;&gt;"Bayi Aracı"),"Evet","Hayır"))</f>
        <v/>
      </c>
      <c r="AT690" s="26">
        <f>IF(G690="","",IF(AND(AS690="Evet",T690="Siparişiniz Teslim Edildi"),"Evet","Hayır"))</f>
        <v/>
      </c>
      <c r="AU690" s="26">
        <f>IF(G690="","",IF(AB690="Siparişinizin Montajı Yapıldı","Evet","Hayır"))</f>
        <v/>
      </c>
      <c r="AV690" s="27">
        <f>IF(G690="","",IF(AT690="Evet",AR690,IF(AU690="Evet",AP690,"")))</f>
        <v/>
      </c>
    </row>
    <row r="691">
      <c r="A691" s="23" t="n"/>
      <c r="B691" s="23" t="n"/>
      <c r="C691" s="23" t="n"/>
      <c r="D691" s="23" t="n"/>
      <c r="E691" s="23" t="n"/>
      <c r="F691" s="23" t="n"/>
      <c r="G691" s="23" t="n"/>
      <c r="H691" s="23" t="n"/>
      <c r="I691" s="23" t="n"/>
      <c r="J691" s="23" t="n"/>
      <c r="K691" s="23" t="n"/>
      <c r="L691" s="23" t="n"/>
      <c r="M691" s="23" t="n"/>
      <c r="N691" s="23" t="n"/>
      <c r="O691" s="23" t="n"/>
      <c r="P691" s="23" t="n"/>
      <c r="Q691" s="23" t="n"/>
      <c r="R691" s="23" t="n"/>
      <c r="S691" s="23" t="n"/>
      <c r="T691" s="23" t="n"/>
      <c r="U691" s="23" t="n"/>
      <c r="V691" s="23" t="n"/>
      <c r="W691" s="23" t="n"/>
      <c r="X691" s="23" t="n"/>
      <c r="Y691" s="23" t="n"/>
      <c r="Z691" s="23" t="n"/>
      <c r="AA691" s="23" t="n"/>
      <c r="AB691" s="23" t="n"/>
      <c r="AC691" s="23" t="n"/>
      <c r="AD691" s="23" t="n"/>
      <c r="AE691" s="23" t="n"/>
      <c r="AF691" s="23" t="n"/>
      <c r="AG691" s="23" t="n"/>
      <c r="AH691" s="23" t="n"/>
      <c r="AI691" s="23" t="n"/>
      <c r="AJ691" s="23" t="n"/>
      <c r="AK691" s="23" t="n"/>
      <c r="AL691" s="23" t="n"/>
      <c r="AM691" s="26">
        <f>IF(G691="","",G691&amp;"|"&amp;P691)</f>
        <v/>
      </c>
      <c r="AN691" s="27">
        <f>IF(I691="","",IFERROR(DATE(VALUE(RIGHT(I691,4)),VALUE(MID(I691,4,2)),VALUE(LEFT(I691,2))),""))</f>
        <v/>
      </c>
      <c r="AO691" s="27">
        <f>IF(Y691="","",IFERROR(DATE(VALUE(RIGHT(Y691,4)),VALUE(MID(Y691,4,2)),VALUE(LEFT(Y691,2))),""))</f>
        <v/>
      </c>
      <c r="AP691" s="27">
        <f>IF(AC691="","",IFERROR(DATE(VALUE(RIGHT(AC691,4)),VALUE(MID(AC691,4,2)),VALUE(LEFT(AC691,2))),""))</f>
        <v/>
      </c>
      <c r="AQ691" s="26">
        <f>IF(AI691="","",TRIM(LEFT(AI691,FIND(" ",AI691&amp;" ")-1)))</f>
        <v/>
      </c>
      <c r="AR691" s="27">
        <f>IF(AQ691="","",IFERROR(DATE(VALUE(MID(AQ691,FIND("/",AQ691,FIND("/",AQ691)+1)+1,4)),VALUE(LEFT(AQ691,FIND("/",AQ691)-1)),VALUE(MID(AQ691,FIND("/",AQ691)+1,FIND("/",AQ691,FIND("/",AQ691)+1)-FIND("/",AQ691)-1))),""))</f>
        <v/>
      </c>
      <c r="AS691" s="26">
        <f>IF(G691="","",IF(AND(AG691&lt;&gt;"",AG691&lt;&gt;"Bayi Aracı"),"Evet","Hayır"))</f>
        <v/>
      </c>
      <c r="AT691" s="26">
        <f>IF(G691="","",IF(AND(AS691="Evet",T691="Siparişiniz Teslim Edildi"),"Evet","Hayır"))</f>
        <v/>
      </c>
      <c r="AU691" s="26">
        <f>IF(G691="","",IF(AB691="Siparişinizin Montajı Yapıldı","Evet","Hayır"))</f>
        <v/>
      </c>
      <c r="AV691" s="27">
        <f>IF(G691="","",IF(AT691="Evet",AR691,IF(AU691="Evet",AP691,"")))</f>
        <v/>
      </c>
    </row>
    <row r="692">
      <c r="A692" s="23" t="n"/>
      <c r="B692" s="23" t="n"/>
      <c r="C692" s="23" t="n"/>
      <c r="D692" s="23" t="n"/>
      <c r="E692" s="23" t="n"/>
      <c r="F692" s="23" t="n"/>
      <c r="G692" s="23" t="n"/>
      <c r="H692" s="23" t="n"/>
      <c r="I692" s="23" t="n"/>
      <c r="J692" s="23" t="n"/>
      <c r="K692" s="23" t="n"/>
      <c r="L692" s="23" t="n"/>
      <c r="M692" s="23" t="n"/>
      <c r="N692" s="23" t="n"/>
      <c r="O692" s="23" t="n"/>
      <c r="P692" s="23" t="n"/>
      <c r="Q692" s="23" t="n"/>
      <c r="R692" s="23" t="n"/>
      <c r="S692" s="23" t="n"/>
      <c r="T692" s="23" t="n"/>
      <c r="U692" s="23" t="n"/>
      <c r="V692" s="23" t="n"/>
      <c r="W692" s="23" t="n"/>
      <c r="X692" s="23" t="n"/>
      <c r="Y692" s="23" t="n"/>
      <c r="Z692" s="23" t="n"/>
      <c r="AA692" s="23" t="n"/>
      <c r="AB692" s="23" t="n"/>
      <c r="AC692" s="23" t="n"/>
      <c r="AD692" s="23" t="n"/>
      <c r="AE692" s="23" t="n"/>
      <c r="AF692" s="23" t="n"/>
      <c r="AG692" s="23" t="n"/>
      <c r="AH692" s="23" t="n"/>
      <c r="AI692" s="23" t="n"/>
      <c r="AJ692" s="23" t="n"/>
      <c r="AK692" s="23" t="n"/>
      <c r="AL692" s="23" t="n"/>
      <c r="AM692" s="26">
        <f>IF(G692="","",G692&amp;"|"&amp;P692)</f>
        <v/>
      </c>
      <c r="AN692" s="27">
        <f>IF(I692="","",IFERROR(DATE(VALUE(RIGHT(I692,4)),VALUE(MID(I692,4,2)),VALUE(LEFT(I692,2))),""))</f>
        <v/>
      </c>
      <c r="AO692" s="27">
        <f>IF(Y692="","",IFERROR(DATE(VALUE(RIGHT(Y692,4)),VALUE(MID(Y692,4,2)),VALUE(LEFT(Y692,2))),""))</f>
        <v/>
      </c>
      <c r="AP692" s="27">
        <f>IF(AC692="","",IFERROR(DATE(VALUE(RIGHT(AC692,4)),VALUE(MID(AC692,4,2)),VALUE(LEFT(AC692,2))),""))</f>
        <v/>
      </c>
      <c r="AQ692" s="26">
        <f>IF(AI692="","",TRIM(LEFT(AI692,FIND(" ",AI692&amp;" ")-1)))</f>
        <v/>
      </c>
      <c r="AR692" s="27">
        <f>IF(AQ692="","",IFERROR(DATE(VALUE(MID(AQ692,FIND("/",AQ692,FIND("/",AQ692)+1)+1,4)),VALUE(LEFT(AQ692,FIND("/",AQ692)-1)),VALUE(MID(AQ692,FIND("/",AQ692)+1,FIND("/",AQ692,FIND("/",AQ692)+1)-FIND("/",AQ692)-1))),""))</f>
        <v/>
      </c>
      <c r="AS692" s="26">
        <f>IF(G692="","",IF(AND(AG692&lt;&gt;"",AG692&lt;&gt;"Bayi Aracı"),"Evet","Hayır"))</f>
        <v/>
      </c>
      <c r="AT692" s="26">
        <f>IF(G692="","",IF(AND(AS692="Evet",T692="Siparişiniz Teslim Edildi"),"Evet","Hayır"))</f>
        <v/>
      </c>
      <c r="AU692" s="26">
        <f>IF(G692="","",IF(AB692="Siparişinizin Montajı Yapıldı","Evet","Hayır"))</f>
        <v/>
      </c>
      <c r="AV692" s="27">
        <f>IF(G692="","",IF(AT692="Evet",AR692,IF(AU692="Evet",AP692,"")))</f>
        <v/>
      </c>
    </row>
    <row r="693">
      <c r="A693" s="23" t="n"/>
      <c r="B693" s="23" t="n"/>
      <c r="C693" s="23" t="n"/>
      <c r="D693" s="23" t="n"/>
      <c r="E693" s="23" t="n"/>
      <c r="F693" s="23" t="n"/>
      <c r="G693" s="23" t="n"/>
      <c r="H693" s="23" t="n"/>
      <c r="I693" s="23" t="n"/>
      <c r="J693" s="23" t="n"/>
      <c r="K693" s="23" t="n"/>
      <c r="L693" s="23" t="n"/>
      <c r="M693" s="23" t="n"/>
      <c r="N693" s="23" t="n"/>
      <c r="O693" s="23" t="n"/>
      <c r="P693" s="23" t="n"/>
      <c r="Q693" s="23" t="n"/>
      <c r="R693" s="23" t="n"/>
      <c r="S693" s="23" t="n"/>
      <c r="T693" s="23" t="n"/>
      <c r="U693" s="23" t="n"/>
      <c r="V693" s="23" t="n"/>
      <c r="W693" s="23" t="n"/>
      <c r="X693" s="23" t="n"/>
      <c r="Y693" s="23" t="n"/>
      <c r="Z693" s="23" t="n"/>
      <c r="AA693" s="23" t="n"/>
      <c r="AB693" s="23" t="n"/>
      <c r="AC693" s="23" t="n"/>
      <c r="AD693" s="23" t="n"/>
      <c r="AE693" s="23" t="n"/>
      <c r="AF693" s="23" t="n"/>
      <c r="AG693" s="23" t="n"/>
      <c r="AH693" s="23" t="n"/>
      <c r="AI693" s="23" t="n"/>
      <c r="AJ693" s="23" t="n"/>
      <c r="AK693" s="23" t="n"/>
      <c r="AL693" s="23" t="n"/>
      <c r="AM693" s="26">
        <f>IF(G693="","",G693&amp;"|"&amp;P693)</f>
        <v/>
      </c>
      <c r="AN693" s="27">
        <f>IF(I693="","",IFERROR(DATE(VALUE(RIGHT(I693,4)),VALUE(MID(I693,4,2)),VALUE(LEFT(I693,2))),""))</f>
        <v/>
      </c>
      <c r="AO693" s="27">
        <f>IF(Y693="","",IFERROR(DATE(VALUE(RIGHT(Y693,4)),VALUE(MID(Y693,4,2)),VALUE(LEFT(Y693,2))),""))</f>
        <v/>
      </c>
      <c r="AP693" s="27">
        <f>IF(AC693="","",IFERROR(DATE(VALUE(RIGHT(AC693,4)),VALUE(MID(AC693,4,2)),VALUE(LEFT(AC693,2))),""))</f>
        <v/>
      </c>
      <c r="AQ693" s="26">
        <f>IF(AI693="","",TRIM(LEFT(AI693,FIND(" ",AI693&amp;" ")-1)))</f>
        <v/>
      </c>
      <c r="AR693" s="27">
        <f>IF(AQ693="","",IFERROR(DATE(VALUE(MID(AQ693,FIND("/",AQ693,FIND("/",AQ693)+1)+1,4)),VALUE(LEFT(AQ693,FIND("/",AQ693)-1)),VALUE(MID(AQ693,FIND("/",AQ693)+1,FIND("/",AQ693,FIND("/",AQ693)+1)-FIND("/",AQ693)-1))),""))</f>
        <v/>
      </c>
      <c r="AS693" s="26">
        <f>IF(G693="","",IF(AND(AG693&lt;&gt;"",AG693&lt;&gt;"Bayi Aracı"),"Evet","Hayır"))</f>
        <v/>
      </c>
      <c r="AT693" s="26">
        <f>IF(G693="","",IF(AND(AS693="Evet",T693="Siparişiniz Teslim Edildi"),"Evet","Hayır"))</f>
        <v/>
      </c>
      <c r="AU693" s="26">
        <f>IF(G693="","",IF(AB693="Siparişinizin Montajı Yapıldı","Evet","Hayır"))</f>
        <v/>
      </c>
      <c r="AV693" s="27">
        <f>IF(G693="","",IF(AT693="Evet",AR693,IF(AU693="Evet",AP693,"")))</f>
        <v/>
      </c>
    </row>
    <row r="694">
      <c r="A694" s="23" t="n"/>
      <c r="B694" s="23" t="n"/>
      <c r="C694" s="23" t="n"/>
      <c r="D694" s="23" t="n"/>
      <c r="E694" s="23" t="n"/>
      <c r="F694" s="23" t="n"/>
      <c r="G694" s="23" t="n"/>
      <c r="H694" s="23" t="n"/>
      <c r="I694" s="23" t="n"/>
      <c r="J694" s="23" t="n"/>
      <c r="K694" s="23" t="n"/>
      <c r="L694" s="23" t="n"/>
      <c r="M694" s="23" t="n"/>
      <c r="N694" s="23" t="n"/>
      <c r="O694" s="23" t="n"/>
      <c r="P694" s="23" t="n"/>
      <c r="Q694" s="23" t="n"/>
      <c r="R694" s="23" t="n"/>
      <c r="S694" s="23" t="n"/>
      <c r="T694" s="23" t="n"/>
      <c r="U694" s="23" t="n"/>
      <c r="V694" s="23" t="n"/>
      <c r="W694" s="23" t="n"/>
      <c r="X694" s="23" t="n"/>
      <c r="Y694" s="23" t="n"/>
      <c r="Z694" s="23" t="n"/>
      <c r="AA694" s="23" t="n"/>
      <c r="AB694" s="23" t="n"/>
      <c r="AC694" s="23" t="n"/>
      <c r="AD694" s="23" t="n"/>
      <c r="AE694" s="23" t="n"/>
      <c r="AF694" s="23" t="n"/>
      <c r="AG694" s="23" t="n"/>
      <c r="AH694" s="23" t="n"/>
      <c r="AI694" s="23" t="n"/>
      <c r="AJ694" s="23" t="n"/>
      <c r="AK694" s="23" t="n"/>
      <c r="AL694" s="23" t="n"/>
      <c r="AM694" s="26">
        <f>IF(G694="","",G694&amp;"|"&amp;P694)</f>
        <v/>
      </c>
      <c r="AN694" s="27">
        <f>IF(I694="","",IFERROR(DATE(VALUE(RIGHT(I694,4)),VALUE(MID(I694,4,2)),VALUE(LEFT(I694,2))),""))</f>
        <v/>
      </c>
      <c r="AO694" s="27">
        <f>IF(Y694="","",IFERROR(DATE(VALUE(RIGHT(Y694,4)),VALUE(MID(Y694,4,2)),VALUE(LEFT(Y694,2))),""))</f>
        <v/>
      </c>
      <c r="AP694" s="27">
        <f>IF(AC694="","",IFERROR(DATE(VALUE(RIGHT(AC694,4)),VALUE(MID(AC694,4,2)),VALUE(LEFT(AC694,2))),""))</f>
        <v/>
      </c>
      <c r="AQ694" s="26">
        <f>IF(AI694="","",TRIM(LEFT(AI694,FIND(" ",AI694&amp;" ")-1)))</f>
        <v/>
      </c>
      <c r="AR694" s="27">
        <f>IF(AQ694="","",IFERROR(DATE(VALUE(MID(AQ694,FIND("/",AQ694,FIND("/",AQ694)+1)+1,4)),VALUE(LEFT(AQ694,FIND("/",AQ694)-1)),VALUE(MID(AQ694,FIND("/",AQ694)+1,FIND("/",AQ694,FIND("/",AQ694)+1)-FIND("/",AQ694)-1))),""))</f>
        <v/>
      </c>
      <c r="AS694" s="26">
        <f>IF(G694="","",IF(AND(AG694&lt;&gt;"",AG694&lt;&gt;"Bayi Aracı"),"Evet","Hayır"))</f>
        <v/>
      </c>
      <c r="AT694" s="26">
        <f>IF(G694="","",IF(AND(AS694="Evet",T694="Siparişiniz Teslim Edildi"),"Evet","Hayır"))</f>
        <v/>
      </c>
      <c r="AU694" s="26">
        <f>IF(G694="","",IF(AB694="Siparişinizin Montajı Yapıldı","Evet","Hayır"))</f>
        <v/>
      </c>
      <c r="AV694" s="27">
        <f>IF(G694="","",IF(AT694="Evet",AR694,IF(AU694="Evet",AP694,"")))</f>
        <v/>
      </c>
    </row>
    <row r="695">
      <c r="A695" s="23" t="n"/>
      <c r="B695" s="23" t="n"/>
      <c r="C695" s="23" t="n"/>
      <c r="D695" s="23" t="n"/>
      <c r="E695" s="23" t="n"/>
      <c r="F695" s="23" t="n"/>
      <c r="G695" s="23" t="n"/>
      <c r="H695" s="23" t="n"/>
      <c r="I695" s="23" t="n"/>
      <c r="J695" s="23" t="n"/>
      <c r="K695" s="23" t="n"/>
      <c r="L695" s="23" t="n"/>
      <c r="M695" s="23" t="n"/>
      <c r="N695" s="23" t="n"/>
      <c r="O695" s="23" t="n"/>
      <c r="P695" s="23" t="n"/>
      <c r="Q695" s="23" t="n"/>
      <c r="R695" s="23" t="n"/>
      <c r="S695" s="23" t="n"/>
      <c r="T695" s="23" t="n"/>
      <c r="U695" s="23" t="n"/>
      <c r="V695" s="23" t="n"/>
      <c r="W695" s="23" t="n"/>
      <c r="X695" s="23" t="n"/>
      <c r="Y695" s="23" t="n"/>
      <c r="Z695" s="23" t="n"/>
      <c r="AA695" s="23" t="n"/>
      <c r="AB695" s="23" t="n"/>
      <c r="AC695" s="23" t="n"/>
      <c r="AD695" s="23" t="n"/>
      <c r="AE695" s="23" t="n"/>
      <c r="AF695" s="23" t="n"/>
      <c r="AG695" s="23" t="n"/>
      <c r="AH695" s="23" t="n"/>
      <c r="AI695" s="23" t="n"/>
      <c r="AJ695" s="23" t="n"/>
      <c r="AK695" s="23" t="n"/>
      <c r="AL695" s="23" t="n"/>
      <c r="AM695" s="26">
        <f>IF(G695="","",G695&amp;"|"&amp;P695)</f>
        <v/>
      </c>
      <c r="AN695" s="27">
        <f>IF(I695="","",IFERROR(DATE(VALUE(RIGHT(I695,4)),VALUE(MID(I695,4,2)),VALUE(LEFT(I695,2))),""))</f>
        <v/>
      </c>
      <c r="AO695" s="27">
        <f>IF(Y695="","",IFERROR(DATE(VALUE(RIGHT(Y695,4)),VALUE(MID(Y695,4,2)),VALUE(LEFT(Y695,2))),""))</f>
        <v/>
      </c>
      <c r="AP695" s="27">
        <f>IF(AC695="","",IFERROR(DATE(VALUE(RIGHT(AC695,4)),VALUE(MID(AC695,4,2)),VALUE(LEFT(AC695,2))),""))</f>
        <v/>
      </c>
      <c r="AQ695" s="26">
        <f>IF(AI695="","",TRIM(LEFT(AI695,FIND(" ",AI695&amp;" ")-1)))</f>
        <v/>
      </c>
      <c r="AR695" s="27">
        <f>IF(AQ695="","",IFERROR(DATE(VALUE(MID(AQ695,FIND("/",AQ695,FIND("/",AQ695)+1)+1,4)),VALUE(LEFT(AQ695,FIND("/",AQ695)-1)),VALUE(MID(AQ695,FIND("/",AQ695)+1,FIND("/",AQ695,FIND("/",AQ695)+1)-FIND("/",AQ695)-1))),""))</f>
        <v/>
      </c>
      <c r="AS695" s="26">
        <f>IF(G695="","",IF(AND(AG695&lt;&gt;"",AG695&lt;&gt;"Bayi Aracı"),"Evet","Hayır"))</f>
        <v/>
      </c>
      <c r="AT695" s="26">
        <f>IF(G695="","",IF(AND(AS695="Evet",T695="Siparişiniz Teslim Edildi"),"Evet","Hayır"))</f>
        <v/>
      </c>
      <c r="AU695" s="26">
        <f>IF(G695="","",IF(AB695="Siparişinizin Montajı Yapıldı","Evet","Hayır"))</f>
        <v/>
      </c>
      <c r="AV695" s="27">
        <f>IF(G695="","",IF(AT695="Evet",AR695,IF(AU695="Evet",AP695,"")))</f>
        <v/>
      </c>
    </row>
    <row r="696">
      <c r="A696" s="23" t="n"/>
      <c r="B696" s="23" t="n"/>
      <c r="C696" s="23" t="n"/>
      <c r="D696" s="23" t="n"/>
      <c r="E696" s="23" t="n"/>
      <c r="F696" s="23" t="n"/>
      <c r="G696" s="23" t="n"/>
      <c r="H696" s="23" t="n"/>
      <c r="I696" s="23" t="n"/>
      <c r="J696" s="23" t="n"/>
      <c r="K696" s="23" t="n"/>
      <c r="L696" s="23" t="n"/>
      <c r="M696" s="23" t="n"/>
      <c r="N696" s="23" t="n"/>
      <c r="O696" s="23" t="n"/>
      <c r="P696" s="23" t="n"/>
      <c r="Q696" s="23" t="n"/>
      <c r="R696" s="23" t="n"/>
      <c r="S696" s="23" t="n"/>
      <c r="T696" s="23" t="n"/>
      <c r="U696" s="23" t="n"/>
      <c r="V696" s="23" t="n"/>
      <c r="W696" s="23" t="n"/>
      <c r="X696" s="23" t="n"/>
      <c r="Y696" s="23" t="n"/>
      <c r="Z696" s="23" t="n"/>
      <c r="AA696" s="23" t="n"/>
      <c r="AB696" s="23" t="n"/>
      <c r="AC696" s="23" t="n"/>
      <c r="AD696" s="23" t="n"/>
      <c r="AE696" s="23" t="n"/>
      <c r="AF696" s="23" t="n"/>
      <c r="AG696" s="23" t="n"/>
      <c r="AH696" s="23" t="n"/>
      <c r="AI696" s="23" t="n"/>
      <c r="AJ696" s="23" t="n"/>
      <c r="AK696" s="23" t="n"/>
      <c r="AL696" s="23" t="n"/>
      <c r="AM696" s="26">
        <f>IF(G696="","",G696&amp;"|"&amp;P696)</f>
        <v/>
      </c>
      <c r="AN696" s="27">
        <f>IF(I696="","",IFERROR(DATE(VALUE(RIGHT(I696,4)),VALUE(MID(I696,4,2)),VALUE(LEFT(I696,2))),""))</f>
        <v/>
      </c>
      <c r="AO696" s="27">
        <f>IF(Y696="","",IFERROR(DATE(VALUE(RIGHT(Y696,4)),VALUE(MID(Y696,4,2)),VALUE(LEFT(Y696,2))),""))</f>
        <v/>
      </c>
      <c r="AP696" s="27">
        <f>IF(AC696="","",IFERROR(DATE(VALUE(RIGHT(AC696,4)),VALUE(MID(AC696,4,2)),VALUE(LEFT(AC696,2))),""))</f>
        <v/>
      </c>
      <c r="AQ696" s="26">
        <f>IF(AI696="","",TRIM(LEFT(AI696,FIND(" ",AI696&amp;" ")-1)))</f>
        <v/>
      </c>
      <c r="AR696" s="27">
        <f>IF(AQ696="","",IFERROR(DATE(VALUE(MID(AQ696,FIND("/",AQ696,FIND("/",AQ696)+1)+1,4)),VALUE(LEFT(AQ696,FIND("/",AQ696)-1)),VALUE(MID(AQ696,FIND("/",AQ696)+1,FIND("/",AQ696,FIND("/",AQ696)+1)-FIND("/",AQ696)-1))),""))</f>
        <v/>
      </c>
      <c r="AS696" s="26">
        <f>IF(G696="","",IF(AND(AG696&lt;&gt;"",AG696&lt;&gt;"Bayi Aracı"),"Evet","Hayır"))</f>
        <v/>
      </c>
      <c r="AT696" s="26">
        <f>IF(G696="","",IF(AND(AS696="Evet",T696="Siparişiniz Teslim Edildi"),"Evet","Hayır"))</f>
        <v/>
      </c>
      <c r="AU696" s="26">
        <f>IF(G696="","",IF(AB696="Siparişinizin Montajı Yapıldı","Evet","Hayır"))</f>
        <v/>
      </c>
      <c r="AV696" s="27">
        <f>IF(G696="","",IF(AT696="Evet",AR696,IF(AU696="Evet",AP696,"")))</f>
        <v/>
      </c>
    </row>
    <row r="697">
      <c r="A697" s="23" t="n"/>
      <c r="B697" s="23" t="n"/>
      <c r="C697" s="23" t="n"/>
      <c r="D697" s="23" t="n"/>
      <c r="E697" s="23" t="n"/>
      <c r="F697" s="23" t="n"/>
      <c r="G697" s="23" t="n"/>
      <c r="H697" s="23" t="n"/>
      <c r="I697" s="23" t="n"/>
      <c r="J697" s="23" t="n"/>
      <c r="K697" s="23" t="n"/>
      <c r="L697" s="23" t="n"/>
      <c r="M697" s="23" t="n"/>
      <c r="N697" s="23" t="n"/>
      <c r="O697" s="23" t="n"/>
      <c r="P697" s="23" t="n"/>
      <c r="Q697" s="23" t="n"/>
      <c r="R697" s="23" t="n"/>
      <c r="S697" s="23" t="n"/>
      <c r="T697" s="23" t="n"/>
      <c r="U697" s="23" t="n"/>
      <c r="V697" s="23" t="n"/>
      <c r="W697" s="23" t="n"/>
      <c r="X697" s="23" t="n"/>
      <c r="Y697" s="23" t="n"/>
      <c r="Z697" s="23" t="n"/>
      <c r="AA697" s="23" t="n"/>
      <c r="AB697" s="23" t="n"/>
      <c r="AC697" s="23" t="n"/>
      <c r="AD697" s="23" t="n"/>
      <c r="AE697" s="23" t="n"/>
      <c r="AF697" s="23" t="n"/>
      <c r="AG697" s="23" t="n"/>
      <c r="AH697" s="23" t="n"/>
      <c r="AI697" s="23" t="n"/>
      <c r="AJ697" s="23" t="n"/>
      <c r="AK697" s="23" t="n"/>
      <c r="AL697" s="23" t="n"/>
      <c r="AM697" s="26">
        <f>IF(G697="","",G697&amp;"|"&amp;P697)</f>
        <v/>
      </c>
      <c r="AN697" s="27">
        <f>IF(I697="","",IFERROR(DATE(VALUE(RIGHT(I697,4)),VALUE(MID(I697,4,2)),VALUE(LEFT(I697,2))),""))</f>
        <v/>
      </c>
      <c r="AO697" s="27">
        <f>IF(Y697="","",IFERROR(DATE(VALUE(RIGHT(Y697,4)),VALUE(MID(Y697,4,2)),VALUE(LEFT(Y697,2))),""))</f>
        <v/>
      </c>
      <c r="AP697" s="27">
        <f>IF(AC697="","",IFERROR(DATE(VALUE(RIGHT(AC697,4)),VALUE(MID(AC697,4,2)),VALUE(LEFT(AC697,2))),""))</f>
        <v/>
      </c>
      <c r="AQ697" s="26">
        <f>IF(AI697="","",TRIM(LEFT(AI697,FIND(" ",AI697&amp;" ")-1)))</f>
        <v/>
      </c>
      <c r="AR697" s="27">
        <f>IF(AQ697="","",IFERROR(DATE(VALUE(MID(AQ697,FIND("/",AQ697,FIND("/",AQ697)+1)+1,4)),VALUE(LEFT(AQ697,FIND("/",AQ697)-1)),VALUE(MID(AQ697,FIND("/",AQ697)+1,FIND("/",AQ697,FIND("/",AQ697)+1)-FIND("/",AQ697)-1))),""))</f>
        <v/>
      </c>
      <c r="AS697" s="26">
        <f>IF(G697="","",IF(AND(AG697&lt;&gt;"",AG697&lt;&gt;"Bayi Aracı"),"Evet","Hayır"))</f>
        <v/>
      </c>
      <c r="AT697" s="26">
        <f>IF(G697="","",IF(AND(AS697="Evet",T697="Siparişiniz Teslim Edildi"),"Evet","Hayır"))</f>
        <v/>
      </c>
      <c r="AU697" s="26">
        <f>IF(G697="","",IF(AB697="Siparişinizin Montajı Yapıldı","Evet","Hayır"))</f>
        <v/>
      </c>
      <c r="AV697" s="27">
        <f>IF(G697="","",IF(AT697="Evet",AR697,IF(AU697="Evet",AP697,"")))</f>
        <v/>
      </c>
    </row>
    <row r="698">
      <c r="A698" s="23" t="n"/>
      <c r="B698" s="23" t="n"/>
      <c r="C698" s="23" t="n"/>
      <c r="D698" s="23" t="n"/>
      <c r="E698" s="23" t="n"/>
      <c r="F698" s="23" t="n"/>
      <c r="G698" s="23" t="n"/>
      <c r="H698" s="23" t="n"/>
      <c r="I698" s="23" t="n"/>
      <c r="J698" s="23" t="n"/>
      <c r="K698" s="23" t="n"/>
      <c r="L698" s="23" t="n"/>
      <c r="M698" s="23" t="n"/>
      <c r="N698" s="23" t="n"/>
      <c r="O698" s="23" t="n"/>
      <c r="P698" s="23" t="n"/>
      <c r="Q698" s="23" t="n"/>
      <c r="R698" s="23" t="n"/>
      <c r="S698" s="23" t="n"/>
      <c r="T698" s="23" t="n"/>
      <c r="U698" s="23" t="n"/>
      <c r="V698" s="23" t="n"/>
      <c r="W698" s="23" t="n"/>
      <c r="X698" s="23" t="n"/>
      <c r="Y698" s="23" t="n"/>
      <c r="Z698" s="23" t="n"/>
      <c r="AA698" s="23" t="n"/>
      <c r="AB698" s="23" t="n"/>
      <c r="AC698" s="23" t="n"/>
      <c r="AD698" s="23" t="n"/>
      <c r="AE698" s="23" t="n"/>
      <c r="AF698" s="23" t="n"/>
      <c r="AG698" s="23" t="n"/>
      <c r="AH698" s="23" t="n"/>
      <c r="AI698" s="23" t="n"/>
      <c r="AJ698" s="23" t="n"/>
      <c r="AK698" s="23" t="n"/>
      <c r="AL698" s="23" t="n"/>
      <c r="AM698" s="26">
        <f>IF(G698="","",G698&amp;"|"&amp;P698)</f>
        <v/>
      </c>
      <c r="AN698" s="27">
        <f>IF(I698="","",IFERROR(DATE(VALUE(RIGHT(I698,4)),VALUE(MID(I698,4,2)),VALUE(LEFT(I698,2))),""))</f>
        <v/>
      </c>
      <c r="AO698" s="27">
        <f>IF(Y698="","",IFERROR(DATE(VALUE(RIGHT(Y698,4)),VALUE(MID(Y698,4,2)),VALUE(LEFT(Y698,2))),""))</f>
        <v/>
      </c>
      <c r="AP698" s="27">
        <f>IF(AC698="","",IFERROR(DATE(VALUE(RIGHT(AC698,4)),VALUE(MID(AC698,4,2)),VALUE(LEFT(AC698,2))),""))</f>
        <v/>
      </c>
      <c r="AQ698" s="26">
        <f>IF(AI698="","",TRIM(LEFT(AI698,FIND(" ",AI698&amp;" ")-1)))</f>
        <v/>
      </c>
      <c r="AR698" s="27">
        <f>IF(AQ698="","",IFERROR(DATE(VALUE(MID(AQ698,FIND("/",AQ698,FIND("/",AQ698)+1)+1,4)),VALUE(LEFT(AQ698,FIND("/",AQ698)-1)),VALUE(MID(AQ698,FIND("/",AQ698)+1,FIND("/",AQ698,FIND("/",AQ698)+1)-FIND("/",AQ698)-1))),""))</f>
        <v/>
      </c>
      <c r="AS698" s="26">
        <f>IF(G698="","",IF(AND(AG698&lt;&gt;"",AG698&lt;&gt;"Bayi Aracı"),"Evet","Hayır"))</f>
        <v/>
      </c>
      <c r="AT698" s="26">
        <f>IF(G698="","",IF(AND(AS698="Evet",T698="Siparişiniz Teslim Edildi"),"Evet","Hayır"))</f>
        <v/>
      </c>
      <c r="AU698" s="26">
        <f>IF(G698="","",IF(AB698="Siparişinizin Montajı Yapıldı","Evet","Hayır"))</f>
        <v/>
      </c>
      <c r="AV698" s="27">
        <f>IF(G698="","",IF(AT698="Evet",AR698,IF(AU698="Evet",AP698,"")))</f>
        <v/>
      </c>
    </row>
    <row r="699">
      <c r="A699" s="23" t="n"/>
      <c r="B699" s="23" t="n"/>
      <c r="C699" s="23" t="n"/>
      <c r="D699" s="23" t="n"/>
      <c r="E699" s="23" t="n"/>
      <c r="F699" s="23" t="n"/>
      <c r="G699" s="23" t="n"/>
      <c r="H699" s="23" t="n"/>
      <c r="I699" s="23" t="n"/>
      <c r="J699" s="23" t="n"/>
      <c r="K699" s="23" t="n"/>
      <c r="L699" s="23" t="n"/>
      <c r="M699" s="23" t="n"/>
      <c r="N699" s="23" t="n"/>
      <c r="O699" s="23" t="n"/>
      <c r="P699" s="23" t="n"/>
      <c r="Q699" s="23" t="n"/>
      <c r="R699" s="23" t="n"/>
      <c r="S699" s="23" t="n"/>
      <c r="T699" s="23" t="n"/>
      <c r="U699" s="23" t="n"/>
      <c r="V699" s="23" t="n"/>
      <c r="W699" s="23" t="n"/>
      <c r="X699" s="23" t="n"/>
      <c r="Y699" s="23" t="n"/>
      <c r="Z699" s="23" t="n"/>
      <c r="AA699" s="23" t="n"/>
      <c r="AB699" s="23" t="n"/>
      <c r="AC699" s="23" t="n"/>
      <c r="AD699" s="23" t="n"/>
      <c r="AE699" s="23" t="n"/>
      <c r="AF699" s="23" t="n"/>
      <c r="AG699" s="23" t="n"/>
      <c r="AH699" s="23" t="n"/>
      <c r="AI699" s="23" t="n"/>
      <c r="AJ699" s="23" t="n"/>
      <c r="AK699" s="23" t="n"/>
      <c r="AL699" s="23" t="n"/>
      <c r="AM699" s="26">
        <f>IF(G699="","",G699&amp;"|"&amp;P699)</f>
        <v/>
      </c>
      <c r="AN699" s="27">
        <f>IF(I699="","",IFERROR(DATE(VALUE(RIGHT(I699,4)),VALUE(MID(I699,4,2)),VALUE(LEFT(I699,2))),""))</f>
        <v/>
      </c>
      <c r="AO699" s="27">
        <f>IF(Y699="","",IFERROR(DATE(VALUE(RIGHT(Y699,4)),VALUE(MID(Y699,4,2)),VALUE(LEFT(Y699,2))),""))</f>
        <v/>
      </c>
      <c r="AP699" s="27">
        <f>IF(AC699="","",IFERROR(DATE(VALUE(RIGHT(AC699,4)),VALUE(MID(AC699,4,2)),VALUE(LEFT(AC699,2))),""))</f>
        <v/>
      </c>
      <c r="AQ699" s="26">
        <f>IF(AI699="","",TRIM(LEFT(AI699,FIND(" ",AI699&amp;" ")-1)))</f>
        <v/>
      </c>
      <c r="AR699" s="27">
        <f>IF(AQ699="","",IFERROR(DATE(VALUE(MID(AQ699,FIND("/",AQ699,FIND("/",AQ699)+1)+1,4)),VALUE(LEFT(AQ699,FIND("/",AQ699)-1)),VALUE(MID(AQ699,FIND("/",AQ699)+1,FIND("/",AQ699,FIND("/",AQ699)+1)-FIND("/",AQ699)-1))),""))</f>
        <v/>
      </c>
      <c r="AS699" s="26">
        <f>IF(G699="","",IF(AND(AG699&lt;&gt;"",AG699&lt;&gt;"Bayi Aracı"),"Evet","Hayır"))</f>
        <v/>
      </c>
      <c r="AT699" s="26">
        <f>IF(G699="","",IF(AND(AS699="Evet",T699="Siparişiniz Teslim Edildi"),"Evet","Hayır"))</f>
        <v/>
      </c>
      <c r="AU699" s="26">
        <f>IF(G699="","",IF(AB699="Siparişinizin Montajı Yapıldı","Evet","Hayır"))</f>
        <v/>
      </c>
      <c r="AV699" s="27">
        <f>IF(G699="","",IF(AT699="Evet",AR699,IF(AU699="Evet",AP699,"")))</f>
        <v/>
      </c>
    </row>
    <row r="700">
      <c r="A700" s="23" t="n"/>
      <c r="B700" s="23" t="n"/>
      <c r="C700" s="23" t="n"/>
      <c r="D700" s="23" t="n"/>
      <c r="E700" s="23" t="n"/>
      <c r="F700" s="23" t="n"/>
      <c r="G700" s="23" t="n"/>
      <c r="H700" s="23" t="n"/>
      <c r="I700" s="23" t="n"/>
      <c r="J700" s="23" t="n"/>
      <c r="K700" s="23" t="n"/>
      <c r="L700" s="23" t="n"/>
      <c r="M700" s="23" t="n"/>
      <c r="N700" s="23" t="n"/>
      <c r="O700" s="23" t="n"/>
      <c r="P700" s="23" t="n"/>
      <c r="Q700" s="23" t="n"/>
      <c r="R700" s="23" t="n"/>
      <c r="S700" s="23" t="n"/>
      <c r="T700" s="23" t="n"/>
      <c r="U700" s="23" t="n"/>
      <c r="V700" s="23" t="n"/>
      <c r="W700" s="23" t="n"/>
      <c r="X700" s="23" t="n"/>
      <c r="Y700" s="23" t="n"/>
      <c r="Z700" s="23" t="n"/>
      <c r="AA700" s="23" t="n"/>
      <c r="AB700" s="23" t="n"/>
      <c r="AC700" s="23" t="n"/>
      <c r="AD700" s="23" t="n"/>
      <c r="AE700" s="23" t="n"/>
      <c r="AF700" s="23" t="n"/>
      <c r="AG700" s="23" t="n"/>
      <c r="AH700" s="23" t="n"/>
      <c r="AI700" s="23" t="n"/>
      <c r="AJ700" s="23" t="n"/>
      <c r="AK700" s="23" t="n"/>
      <c r="AL700" s="23" t="n"/>
      <c r="AM700" s="26">
        <f>IF(G700="","",G700&amp;"|"&amp;P700)</f>
        <v/>
      </c>
      <c r="AN700" s="27">
        <f>IF(I700="","",IFERROR(DATE(VALUE(RIGHT(I700,4)),VALUE(MID(I700,4,2)),VALUE(LEFT(I700,2))),""))</f>
        <v/>
      </c>
      <c r="AO700" s="27">
        <f>IF(Y700="","",IFERROR(DATE(VALUE(RIGHT(Y700,4)),VALUE(MID(Y700,4,2)),VALUE(LEFT(Y700,2))),""))</f>
        <v/>
      </c>
      <c r="AP700" s="27">
        <f>IF(AC700="","",IFERROR(DATE(VALUE(RIGHT(AC700,4)),VALUE(MID(AC700,4,2)),VALUE(LEFT(AC700,2))),""))</f>
        <v/>
      </c>
      <c r="AQ700" s="26">
        <f>IF(AI700="","",TRIM(LEFT(AI700,FIND(" ",AI700&amp;" ")-1)))</f>
        <v/>
      </c>
      <c r="AR700" s="27">
        <f>IF(AQ700="","",IFERROR(DATE(VALUE(MID(AQ700,FIND("/",AQ700,FIND("/",AQ700)+1)+1,4)),VALUE(LEFT(AQ700,FIND("/",AQ700)-1)),VALUE(MID(AQ700,FIND("/",AQ700)+1,FIND("/",AQ700,FIND("/",AQ700)+1)-FIND("/",AQ700)-1))),""))</f>
        <v/>
      </c>
      <c r="AS700" s="26">
        <f>IF(G700="","",IF(AND(AG700&lt;&gt;"",AG700&lt;&gt;"Bayi Aracı"),"Evet","Hayır"))</f>
        <v/>
      </c>
      <c r="AT700" s="26">
        <f>IF(G700="","",IF(AND(AS700="Evet",T700="Siparişiniz Teslim Edildi"),"Evet","Hayır"))</f>
        <v/>
      </c>
      <c r="AU700" s="26">
        <f>IF(G700="","",IF(AB700="Siparişinizin Montajı Yapıldı","Evet","Hayır"))</f>
        <v/>
      </c>
      <c r="AV700" s="27">
        <f>IF(G700="","",IF(AT700="Evet",AR700,IF(AU700="Evet",AP700,"")))</f>
        <v/>
      </c>
    </row>
    <row r="701">
      <c r="A701" s="23" t="n"/>
      <c r="B701" s="23" t="n"/>
      <c r="C701" s="23" t="n"/>
      <c r="D701" s="23" t="n"/>
      <c r="E701" s="23" t="n"/>
      <c r="F701" s="23" t="n"/>
      <c r="G701" s="23" t="n"/>
      <c r="H701" s="23" t="n"/>
      <c r="I701" s="23" t="n"/>
      <c r="J701" s="23" t="n"/>
      <c r="K701" s="23" t="n"/>
      <c r="L701" s="23" t="n"/>
      <c r="M701" s="23" t="n"/>
      <c r="N701" s="23" t="n"/>
      <c r="O701" s="23" t="n"/>
      <c r="P701" s="23" t="n"/>
      <c r="Q701" s="23" t="n"/>
      <c r="R701" s="23" t="n"/>
      <c r="S701" s="23" t="n"/>
      <c r="T701" s="23" t="n"/>
      <c r="U701" s="23" t="n"/>
      <c r="V701" s="23" t="n"/>
      <c r="W701" s="23" t="n"/>
      <c r="X701" s="23" t="n"/>
      <c r="Y701" s="23" t="n"/>
      <c r="Z701" s="23" t="n"/>
      <c r="AA701" s="23" t="n"/>
      <c r="AB701" s="23" t="n"/>
      <c r="AC701" s="23" t="n"/>
      <c r="AD701" s="23" t="n"/>
      <c r="AE701" s="23" t="n"/>
      <c r="AF701" s="23" t="n"/>
      <c r="AG701" s="23" t="n"/>
      <c r="AH701" s="23" t="n"/>
      <c r="AI701" s="23" t="n"/>
      <c r="AJ701" s="23" t="n"/>
      <c r="AK701" s="23" t="n"/>
      <c r="AL701" s="23" t="n"/>
      <c r="AM701" s="26">
        <f>IF(G701="","",G701&amp;"|"&amp;P701)</f>
        <v/>
      </c>
      <c r="AN701" s="27">
        <f>IF(I701="","",IFERROR(DATE(VALUE(RIGHT(I701,4)),VALUE(MID(I701,4,2)),VALUE(LEFT(I701,2))),""))</f>
        <v/>
      </c>
      <c r="AO701" s="27">
        <f>IF(Y701="","",IFERROR(DATE(VALUE(RIGHT(Y701,4)),VALUE(MID(Y701,4,2)),VALUE(LEFT(Y701,2))),""))</f>
        <v/>
      </c>
      <c r="AP701" s="27">
        <f>IF(AC701="","",IFERROR(DATE(VALUE(RIGHT(AC701,4)),VALUE(MID(AC701,4,2)),VALUE(LEFT(AC701,2))),""))</f>
        <v/>
      </c>
      <c r="AQ701" s="26">
        <f>IF(AI701="","",TRIM(LEFT(AI701,FIND(" ",AI701&amp;" ")-1)))</f>
        <v/>
      </c>
      <c r="AR701" s="27">
        <f>IF(AQ701="","",IFERROR(DATE(VALUE(MID(AQ701,FIND("/",AQ701,FIND("/",AQ701)+1)+1,4)),VALUE(LEFT(AQ701,FIND("/",AQ701)-1)),VALUE(MID(AQ701,FIND("/",AQ701)+1,FIND("/",AQ701,FIND("/",AQ701)+1)-FIND("/",AQ701)-1))),""))</f>
        <v/>
      </c>
      <c r="AS701" s="26">
        <f>IF(G701="","",IF(AND(AG701&lt;&gt;"",AG701&lt;&gt;"Bayi Aracı"),"Evet","Hayır"))</f>
        <v/>
      </c>
      <c r="AT701" s="26">
        <f>IF(G701="","",IF(AND(AS701="Evet",T701="Siparişiniz Teslim Edildi"),"Evet","Hayır"))</f>
        <v/>
      </c>
      <c r="AU701" s="26">
        <f>IF(G701="","",IF(AB701="Siparişinizin Montajı Yapıldı","Evet","Hayır"))</f>
        <v/>
      </c>
      <c r="AV701" s="27">
        <f>IF(G701="","",IF(AT701="Evet",AR701,IF(AU701="Evet",AP701,"")))</f>
        <v/>
      </c>
    </row>
    <row r="702">
      <c r="A702" s="23" t="n"/>
      <c r="B702" s="23" t="n"/>
      <c r="C702" s="23" t="n"/>
      <c r="D702" s="23" t="n"/>
      <c r="E702" s="23" t="n"/>
      <c r="F702" s="23" t="n"/>
      <c r="G702" s="23" t="n"/>
      <c r="H702" s="23" t="n"/>
      <c r="I702" s="23" t="n"/>
      <c r="J702" s="23" t="n"/>
      <c r="K702" s="23" t="n"/>
      <c r="L702" s="23" t="n"/>
      <c r="M702" s="23" t="n"/>
      <c r="N702" s="23" t="n"/>
      <c r="O702" s="23" t="n"/>
      <c r="P702" s="23" t="n"/>
      <c r="Q702" s="23" t="n"/>
      <c r="R702" s="23" t="n"/>
      <c r="S702" s="23" t="n"/>
      <c r="T702" s="23" t="n"/>
      <c r="U702" s="23" t="n"/>
      <c r="V702" s="23" t="n"/>
      <c r="W702" s="23" t="n"/>
      <c r="X702" s="23" t="n"/>
      <c r="Y702" s="23" t="n"/>
      <c r="Z702" s="23" t="n"/>
      <c r="AA702" s="23" t="n"/>
      <c r="AB702" s="23" t="n"/>
      <c r="AC702" s="23" t="n"/>
      <c r="AD702" s="23" t="n"/>
      <c r="AE702" s="23" t="n"/>
      <c r="AF702" s="23" t="n"/>
      <c r="AG702" s="23" t="n"/>
      <c r="AH702" s="23" t="n"/>
      <c r="AI702" s="23" t="n"/>
      <c r="AJ702" s="23" t="n"/>
      <c r="AK702" s="23" t="n"/>
      <c r="AL702" s="23" t="n"/>
      <c r="AM702" s="26">
        <f>IF(G702="","",G702&amp;"|"&amp;P702)</f>
        <v/>
      </c>
      <c r="AN702" s="27">
        <f>IF(I702="","",IFERROR(DATE(VALUE(RIGHT(I702,4)),VALUE(MID(I702,4,2)),VALUE(LEFT(I702,2))),""))</f>
        <v/>
      </c>
      <c r="AO702" s="27">
        <f>IF(Y702="","",IFERROR(DATE(VALUE(RIGHT(Y702,4)),VALUE(MID(Y702,4,2)),VALUE(LEFT(Y702,2))),""))</f>
        <v/>
      </c>
      <c r="AP702" s="27">
        <f>IF(AC702="","",IFERROR(DATE(VALUE(RIGHT(AC702,4)),VALUE(MID(AC702,4,2)),VALUE(LEFT(AC702,2))),""))</f>
        <v/>
      </c>
      <c r="AQ702" s="26">
        <f>IF(AI702="","",TRIM(LEFT(AI702,FIND(" ",AI702&amp;" ")-1)))</f>
        <v/>
      </c>
      <c r="AR702" s="27">
        <f>IF(AQ702="","",IFERROR(DATE(VALUE(MID(AQ702,FIND("/",AQ702,FIND("/",AQ702)+1)+1,4)),VALUE(LEFT(AQ702,FIND("/",AQ702)-1)),VALUE(MID(AQ702,FIND("/",AQ702)+1,FIND("/",AQ702,FIND("/",AQ702)+1)-FIND("/",AQ702)-1))),""))</f>
        <v/>
      </c>
      <c r="AS702" s="26">
        <f>IF(G702="","",IF(AND(AG702&lt;&gt;"",AG702&lt;&gt;"Bayi Aracı"),"Evet","Hayır"))</f>
        <v/>
      </c>
      <c r="AT702" s="26">
        <f>IF(G702="","",IF(AND(AS702="Evet",T702="Siparişiniz Teslim Edildi"),"Evet","Hayır"))</f>
        <v/>
      </c>
      <c r="AU702" s="26">
        <f>IF(G702="","",IF(AB702="Siparişinizin Montajı Yapıldı","Evet","Hayır"))</f>
        <v/>
      </c>
      <c r="AV702" s="27">
        <f>IF(G702="","",IF(AT702="Evet",AR702,IF(AU702="Evet",AP702,"")))</f>
        <v/>
      </c>
    </row>
    <row r="703">
      <c r="A703" s="23" t="n"/>
      <c r="B703" s="23" t="n"/>
      <c r="C703" s="23" t="n"/>
      <c r="D703" s="23" t="n"/>
      <c r="E703" s="23" t="n"/>
      <c r="F703" s="23" t="n"/>
      <c r="G703" s="23" t="n"/>
      <c r="H703" s="23" t="n"/>
      <c r="I703" s="23" t="n"/>
      <c r="J703" s="23" t="n"/>
      <c r="K703" s="23" t="n"/>
      <c r="L703" s="23" t="n"/>
      <c r="M703" s="23" t="n"/>
      <c r="N703" s="23" t="n"/>
      <c r="O703" s="23" t="n"/>
      <c r="P703" s="23" t="n"/>
      <c r="Q703" s="23" t="n"/>
      <c r="R703" s="23" t="n"/>
      <c r="S703" s="23" t="n"/>
      <c r="T703" s="23" t="n"/>
      <c r="U703" s="23" t="n"/>
      <c r="V703" s="23" t="n"/>
      <c r="W703" s="23" t="n"/>
      <c r="X703" s="23" t="n"/>
      <c r="Y703" s="23" t="n"/>
      <c r="Z703" s="23" t="n"/>
      <c r="AA703" s="23" t="n"/>
      <c r="AB703" s="23" t="n"/>
      <c r="AC703" s="23" t="n"/>
      <c r="AD703" s="23" t="n"/>
      <c r="AE703" s="23" t="n"/>
      <c r="AF703" s="23" t="n"/>
      <c r="AG703" s="23" t="n"/>
      <c r="AH703" s="23" t="n"/>
      <c r="AI703" s="23" t="n"/>
      <c r="AJ703" s="23" t="n"/>
      <c r="AK703" s="23" t="n"/>
      <c r="AL703" s="23" t="n"/>
      <c r="AM703" s="26">
        <f>IF(G703="","",G703&amp;"|"&amp;P703)</f>
        <v/>
      </c>
      <c r="AN703" s="27">
        <f>IF(I703="","",IFERROR(DATE(VALUE(RIGHT(I703,4)),VALUE(MID(I703,4,2)),VALUE(LEFT(I703,2))),""))</f>
        <v/>
      </c>
      <c r="AO703" s="27">
        <f>IF(Y703="","",IFERROR(DATE(VALUE(RIGHT(Y703,4)),VALUE(MID(Y703,4,2)),VALUE(LEFT(Y703,2))),""))</f>
        <v/>
      </c>
      <c r="AP703" s="27">
        <f>IF(AC703="","",IFERROR(DATE(VALUE(RIGHT(AC703,4)),VALUE(MID(AC703,4,2)),VALUE(LEFT(AC703,2))),""))</f>
        <v/>
      </c>
      <c r="AQ703" s="26">
        <f>IF(AI703="","",TRIM(LEFT(AI703,FIND(" ",AI703&amp;" ")-1)))</f>
        <v/>
      </c>
      <c r="AR703" s="27">
        <f>IF(AQ703="","",IFERROR(DATE(VALUE(MID(AQ703,FIND("/",AQ703,FIND("/",AQ703)+1)+1,4)),VALUE(LEFT(AQ703,FIND("/",AQ703)-1)),VALUE(MID(AQ703,FIND("/",AQ703)+1,FIND("/",AQ703,FIND("/",AQ703)+1)-FIND("/",AQ703)-1))),""))</f>
        <v/>
      </c>
      <c r="AS703" s="26">
        <f>IF(G703="","",IF(AND(AG703&lt;&gt;"",AG703&lt;&gt;"Bayi Aracı"),"Evet","Hayır"))</f>
        <v/>
      </c>
      <c r="AT703" s="26">
        <f>IF(G703="","",IF(AND(AS703="Evet",T703="Siparişiniz Teslim Edildi"),"Evet","Hayır"))</f>
        <v/>
      </c>
      <c r="AU703" s="26">
        <f>IF(G703="","",IF(AB703="Siparişinizin Montajı Yapıldı","Evet","Hayır"))</f>
        <v/>
      </c>
      <c r="AV703" s="27">
        <f>IF(G703="","",IF(AT703="Evet",AR703,IF(AU703="Evet",AP703,"")))</f>
        <v/>
      </c>
    </row>
    <row r="704">
      <c r="A704" s="23" t="n"/>
      <c r="B704" s="23" t="n"/>
      <c r="C704" s="23" t="n"/>
      <c r="D704" s="23" t="n"/>
      <c r="E704" s="23" t="n"/>
      <c r="F704" s="23" t="n"/>
      <c r="G704" s="23" t="n"/>
      <c r="H704" s="23" t="n"/>
      <c r="I704" s="23" t="n"/>
      <c r="J704" s="23" t="n"/>
      <c r="K704" s="23" t="n"/>
      <c r="L704" s="23" t="n"/>
      <c r="M704" s="23" t="n"/>
      <c r="N704" s="23" t="n"/>
      <c r="O704" s="23" t="n"/>
      <c r="P704" s="23" t="n"/>
      <c r="Q704" s="23" t="n"/>
      <c r="R704" s="23" t="n"/>
      <c r="S704" s="23" t="n"/>
      <c r="T704" s="23" t="n"/>
      <c r="U704" s="23" t="n"/>
      <c r="V704" s="23" t="n"/>
      <c r="W704" s="23" t="n"/>
      <c r="X704" s="23" t="n"/>
      <c r="Y704" s="23" t="n"/>
      <c r="Z704" s="23" t="n"/>
      <c r="AA704" s="23" t="n"/>
      <c r="AB704" s="23" t="n"/>
      <c r="AC704" s="23" t="n"/>
      <c r="AD704" s="23" t="n"/>
      <c r="AE704" s="23" t="n"/>
      <c r="AF704" s="23" t="n"/>
      <c r="AG704" s="23" t="n"/>
      <c r="AH704" s="23" t="n"/>
      <c r="AI704" s="23" t="n"/>
      <c r="AJ704" s="23" t="n"/>
      <c r="AK704" s="23" t="n"/>
      <c r="AL704" s="23" t="n"/>
      <c r="AM704" s="26">
        <f>IF(G704="","",G704&amp;"|"&amp;P704)</f>
        <v/>
      </c>
      <c r="AN704" s="27">
        <f>IF(I704="","",IFERROR(DATE(VALUE(RIGHT(I704,4)),VALUE(MID(I704,4,2)),VALUE(LEFT(I704,2))),""))</f>
        <v/>
      </c>
      <c r="AO704" s="27">
        <f>IF(Y704="","",IFERROR(DATE(VALUE(RIGHT(Y704,4)),VALUE(MID(Y704,4,2)),VALUE(LEFT(Y704,2))),""))</f>
        <v/>
      </c>
      <c r="AP704" s="27">
        <f>IF(AC704="","",IFERROR(DATE(VALUE(RIGHT(AC704,4)),VALUE(MID(AC704,4,2)),VALUE(LEFT(AC704,2))),""))</f>
        <v/>
      </c>
      <c r="AQ704" s="26">
        <f>IF(AI704="","",TRIM(LEFT(AI704,FIND(" ",AI704&amp;" ")-1)))</f>
        <v/>
      </c>
      <c r="AR704" s="27">
        <f>IF(AQ704="","",IFERROR(DATE(VALUE(MID(AQ704,FIND("/",AQ704,FIND("/",AQ704)+1)+1,4)),VALUE(LEFT(AQ704,FIND("/",AQ704)-1)),VALUE(MID(AQ704,FIND("/",AQ704)+1,FIND("/",AQ704,FIND("/",AQ704)+1)-FIND("/",AQ704)-1))),""))</f>
        <v/>
      </c>
      <c r="AS704" s="26">
        <f>IF(G704="","",IF(AND(AG704&lt;&gt;"",AG704&lt;&gt;"Bayi Aracı"),"Evet","Hayır"))</f>
        <v/>
      </c>
      <c r="AT704" s="26">
        <f>IF(G704="","",IF(AND(AS704="Evet",T704="Siparişiniz Teslim Edildi"),"Evet","Hayır"))</f>
        <v/>
      </c>
      <c r="AU704" s="26">
        <f>IF(G704="","",IF(AB704="Siparişinizin Montajı Yapıldı","Evet","Hayır"))</f>
        <v/>
      </c>
      <c r="AV704" s="27">
        <f>IF(G704="","",IF(AT704="Evet",AR704,IF(AU704="Evet",AP704,"")))</f>
        <v/>
      </c>
    </row>
    <row r="705">
      <c r="A705" s="23" t="n"/>
      <c r="B705" s="23" t="n"/>
      <c r="C705" s="23" t="n"/>
      <c r="D705" s="23" t="n"/>
      <c r="E705" s="23" t="n"/>
      <c r="F705" s="23" t="n"/>
      <c r="G705" s="23" t="n"/>
      <c r="H705" s="23" t="n"/>
      <c r="I705" s="23" t="n"/>
      <c r="J705" s="23" t="n"/>
      <c r="K705" s="23" t="n"/>
      <c r="L705" s="23" t="n"/>
      <c r="M705" s="23" t="n"/>
      <c r="N705" s="23" t="n"/>
      <c r="O705" s="23" t="n"/>
      <c r="P705" s="23" t="n"/>
      <c r="Q705" s="23" t="n"/>
      <c r="R705" s="23" t="n"/>
      <c r="S705" s="23" t="n"/>
      <c r="T705" s="23" t="n"/>
      <c r="U705" s="23" t="n"/>
      <c r="V705" s="23" t="n"/>
      <c r="W705" s="23" t="n"/>
      <c r="X705" s="23" t="n"/>
      <c r="Y705" s="23" t="n"/>
      <c r="Z705" s="23" t="n"/>
      <c r="AA705" s="23" t="n"/>
      <c r="AB705" s="23" t="n"/>
      <c r="AC705" s="23" t="n"/>
      <c r="AD705" s="23" t="n"/>
      <c r="AE705" s="23" t="n"/>
      <c r="AF705" s="23" t="n"/>
      <c r="AG705" s="23" t="n"/>
      <c r="AH705" s="23" t="n"/>
      <c r="AI705" s="23" t="n"/>
      <c r="AJ705" s="23" t="n"/>
      <c r="AK705" s="23" t="n"/>
      <c r="AL705" s="23" t="n"/>
      <c r="AM705" s="26">
        <f>IF(G705="","",G705&amp;"|"&amp;P705)</f>
        <v/>
      </c>
      <c r="AN705" s="27">
        <f>IF(I705="","",IFERROR(DATE(VALUE(RIGHT(I705,4)),VALUE(MID(I705,4,2)),VALUE(LEFT(I705,2))),""))</f>
        <v/>
      </c>
      <c r="AO705" s="27">
        <f>IF(Y705="","",IFERROR(DATE(VALUE(RIGHT(Y705,4)),VALUE(MID(Y705,4,2)),VALUE(LEFT(Y705,2))),""))</f>
        <v/>
      </c>
      <c r="AP705" s="27">
        <f>IF(AC705="","",IFERROR(DATE(VALUE(RIGHT(AC705,4)),VALUE(MID(AC705,4,2)),VALUE(LEFT(AC705,2))),""))</f>
        <v/>
      </c>
      <c r="AQ705" s="26">
        <f>IF(AI705="","",TRIM(LEFT(AI705,FIND(" ",AI705&amp;" ")-1)))</f>
        <v/>
      </c>
      <c r="AR705" s="27">
        <f>IF(AQ705="","",IFERROR(DATE(VALUE(MID(AQ705,FIND("/",AQ705,FIND("/",AQ705)+1)+1,4)),VALUE(LEFT(AQ705,FIND("/",AQ705)-1)),VALUE(MID(AQ705,FIND("/",AQ705)+1,FIND("/",AQ705,FIND("/",AQ705)+1)-FIND("/",AQ705)-1))),""))</f>
        <v/>
      </c>
      <c r="AS705" s="26">
        <f>IF(G705="","",IF(AND(AG705&lt;&gt;"",AG705&lt;&gt;"Bayi Aracı"),"Evet","Hayır"))</f>
        <v/>
      </c>
      <c r="AT705" s="26">
        <f>IF(G705="","",IF(AND(AS705="Evet",T705="Siparişiniz Teslim Edildi"),"Evet","Hayır"))</f>
        <v/>
      </c>
      <c r="AU705" s="26">
        <f>IF(G705="","",IF(AB705="Siparişinizin Montajı Yapıldı","Evet","Hayır"))</f>
        <v/>
      </c>
      <c r="AV705" s="27">
        <f>IF(G705="","",IF(AT705="Evet",AR705,IF(AU705="Evet",AP705,"")))</f>
        <v/>
      </c>
    </row>
    <row r="706">
      <c r="A706" s="23" t="n"/>
      <c r="B706" s="23" t="n"/>
      <c r="C706" s="23" t="n"/>
      <c r="D706" s="23" t="n"/>
      <c r="E706" s="23" t="n"/>
      <c r="F706" s="23" t="n"/>
      <c r="G706" s="23" t="n"/>
      <c r="H706" s="23" t="n"/>
      <c r="I706" s="23" t="n"/>
      <c r="J706" s="23" t="n"/>
      <c r="K706" s="23" t="n"/>
      <c r="L706" s="23" t="n"/>
      <c r="M706" s="23" t="n"/>
      <c r="N706" s="23" t="n"/>
      <c r="O706" s="23" t="n"/>
      <c r="P706" s="23" t="n"/>
      <c r="Q706" s="23" t="n"/>
      <c r="R706" s="23" t="n"/>
      <c r="S706" s="23" t="n"/>
      <c r="T706" s="23" t="n"/>
      <c r="U706" s="23" t="n"/>
      <c r="V706" s="23" t="n"/>
      <c r="W706" s="23" t="n"/>
      <c r="X706" s="23" t="n"/>
      <c r="Y706" s="23" t="n"/>
      <c r="Z706" s="23" t="n"/>
      <c r="AA706" s="23" t="n"/>
      <c r="AB706" s="23" t="n"/>
      <c r="AC706" s="23" t="n"/>
      <c r="AD706" s="23" t="n"/>
      <c r="AE706" s="23" t="n"/>
      <c r="AF706" s="23" t="n"/>
      <c r="AG706" s="23" t="n"/>
      <c r="AH706" s="23" t="n"/>
      <c r="AI706" s="23" t="n"/>
      <c r="AJ706" s="23" t="n"/>
      <c r="AK706" s="23" t="n"/>
      <c r="AL706" s="23" t="n"/>
      <c r="AM706" s="26">
        <f>IF(G706="","",G706&amp;"|"&amp;P706)</f>
        <v/>
      </c>
      <c r="AN706" s="27">
        <f>IF(I706="","",IFERROR(DATE(VALUE(RIGHT(I706,4)),VALUE(MID(I706,4,2)),VALUE(LEFT(I706,2))),""))</f>
        <v/>
      </c>
      <c r="AO706" s="27">
        <f>IF(Y706="","",IFERROR(DATE(VALUE(RIGHT(Y706,4)),VALUE(MID(Y706,4,2)),VALUE(LEFT(Y706,2))),""))</f>
        <v/>
      </c>
      <c r="AP706" s="27">
        <f>IF(AC706="","",IFERROR(DATE(VALUE(RIGHT(AC706,4)),VALUE(MID(AC706,4,2)),VALUE(LEFT(AC706,2))),""))</f>
        <v/>
      </c>
      <c r="AQ706" s="26">
        <f>IF(AI706="","",TRIM(LEFT(AI706,FIND(" ",AI706&amp;" ")-1)))</f>
        <v/>
      </c>
      <c r="AR706" s="27">
        <f>IF(AQ706="","",IFERROR(DATE(VALUE(MID(AQ706,FIND("/",AQ706,FIND("/",AQ706)+1)+1,4)),VALUE(LEFT(AQ706,FIND("/",AQ706)-1)),VALUE(MID(AQ706,FIND("/",AQ706)+1,FIND("/",AQ706,FIND("/",AQ706)+1)-FIND("/",AQ706)-1))),""))</f>
        <v/>
      </c>
      <c r="AS706" s="26">
        <f>IF(G706="","",IF(AND(AG706&lt;&gt;"",AG706&lt;&gt;"Bayi Aracı"),"Evet","Hayır"))</f>
        <v/>
      </c>
      <c r="AT706" s="26">
        <f>IF(G706="","",IF(AND(AS706="Evet",T706="Siparişiniz Teslim Edildi"),"Evet","Hayır"))</f>
        <v/>
      </c>
      <c r="AU706" s="26">
        <f>IF(G706="","",IF(AB706="Siparişinizin Montajı Yapıldı","Evet","Hayır"))</f>
        <v/>
      </c>
      <c r="AV706" s="27">
        <f>IF(G706="","",IF(AT706="Evet",AR706,IF(AU706="Evet",AP706,"")))</f>
        <v/>
      </c>
    </row>
    <row r="707">
      <c r="A707" s="23" t="n"/>
      <c r="B707" s="23" t="n"/>
      <c r="C707" s="23" t="n"/>
      <c r="D707" s="23" t="n"/>
      <c r="E707" s="23" t="n"/>
      <c r="F707" s="23" t="n"/>
      <c r="G707" s="23" t="n"/>
      <c r="H707" s="23" t="n"/>
      <c r="I707" s="23" t="n"/>
      <c r="J707" s="23" t="n"/>
      <c r="K707" s="23" t="n"/>
      <c r="L707" s="23" t="n"/>
      <c r="M707" s="23" t="n"/>
      <c r="N707" s="23" t="n"/>
      <c r="O707" s="23" t="n"/>
      <c r="P707" s="23" t="n"/>
      <c r="Q707" s="23" t="n"/>
      <c r="R707" s="23" t="n"/>
      <c r="S707" s="23" t="n"/>
      <c r="T707" s="23" t="n"/>
      <c r="U707" s="23" t="n"/>
      <c r="V707" s="23" t="n"/>
      <c r="W707" s="23" t="n"/>
      <c r="X707" s="23" t="n"/>
      <c r="Y707" s="23" t="n"/>
      <c r="Z707" s="23" t="n"/>
      <c r="AA707" s="23" t="n"/>
      <c r="AB707" s="23" t="n"/>
      <c r="AC707" s="23" t="n"/>
      <c r="AD707" s="23" t="n"/>
      <c r="AE707" s="23" t="n"/>
      <c r="AF707" s="23" t="n"/>
      <c r="AG707" s="23" t="n"/>
      <c r="AH707" s="23" t="n"/>
      <c r="AI707" s="23" t="n"/>
      <c r="AJ707" s="23" t="n"/>
      <c r="AK707" s="23" t="n"/>
      <c r="AL707" s="23" t="n"/>
      <c r="AM707" s="26">
        <f>IF(G707="","",G707&amp;"|"&amp;P707)</f>
        <v/>
      </c>
      <c r="AN707" s="27">
        <f>IF(I707="","",IFERROR(DATE(VALUE(RIGHT(I707,4)),VALUE(MID(I707,4,2)),VALUE(LEFT(I707,2))),""))</f>
        <v/>
      </c>
      <c r="AO707" s="27">
        <f>IF(Y707="","",IFERROR(DATE(VALUE(RIGHT(Y707,4)),VALUE(MID(Y707,4,2)),VALUE(LEFT(Y707,2))),""))</f>
        <v/>
      </c>
      <c r="AP707" s="27">
        <f>IF(AC707="","",IFERROR(DATE(VALUE(RIGHT(AC707,4)),VALUE(MID(AC707,4,2)),VALUE(LEFT(AC707,2))),""))</f>
        <v/>
      </c>
      <c r="AQ707" s="26">
        <f>IF(AI707="","",TRIM(LEFT(AI707,FIND(" ",AI707&amp;" ")-1)))</f>
        <v/>
      </c>
      <c r="AR707" s="27">
        <f>IF(AQ707="","",IFERROR(DATE(VALUE(MID(AQ707,FIND("/",AQ707,FIND("/",AQ707)+1)+1,4)),VALUE(LEFT(AQ707,FIND("/",AQ707)-1)),VALUE(MID(AQ707,FIND("/",AQ707)+1,FIND("/",AQ707,FIND("/",AQ707)+1)-FIND("/",AQ707)-1))),""))</f>
        <v/>
      </c>
      <c r="AS707" s="26">
        <f>IF(G707="","",IF(AND(AG707&lt;&gt;"",AG707&lt;&gt;"Bayi Aracı"),"Evet","Hayır"))</f>
        <v/>
      </c>
      <c r="AT707" s="26">
        <f>IF(G707="","",IF(AND(AS707="Evet",T707="Siparişiniz Teslim Edildi"),"Evet","Hayır"))</f>
        <v/>
      </c>
      <c r="AU707" s="26">
        <f>IF(G707="","",IF(AB707="Siparişinizin Montajı Yapıldı","Evet","Hayır"))</f>
        <v/>
      </c>
      <c r="AV707" s="27">
        <f>IF(G707="","",IF(AT707="Evet",AR707,IF(AU707="Evet",AP707,"")))</f>
        <v/>
      </c>
    </row>
    <row r="708">
      <c r="A708" s="23" t="n"/>
      <c r="B708" s="23" t="n"/>
      <c r="C708" s="23" t="n"/>
      <c r="D708" s="23" t="n"/>
      <c r="E708" s="23" t="n"/>
      <c r="F708" s="23" t="n"/>
      <c r="G708" s="23" t="n"/>
      <c r="H708" s="23" t="n"/>
      <c r="I708" s="23" t="n"/>
      <c r="J708" s="23" t="n"/>
      <c r="K708" s="23" t="n"/>
      <c r="L708" s="23" t="n"/>
      <c r="M708" s="23" t="n"/>
      <c r="N708" s="23" t="n"/>
      <c r="O708" s="23" t="n"/>
      <c r="P708" s="23" t="n"/>
      <c r="Q708" s="23" t="n"/>
      <c r="R708" s="23" t="n"/>
      <c r="S708" s="23" t="n"/>
      <c r="T708" s="23" t="n"/>
      <c r="U708" s="23" t="n"/>
      <c r="V708" s="23" t="n"/>
      <c r="W708" s="23" t="n"/>
      <c r="X708" s="23" t="n"/>
      <c r="Y708" s="23" t="n"/>
      <c r="Z708" s="23" t="n"/>
      <c r="AA708" s="23" t="n"/>
      <c r="AB708" s="23" t="n"/>
      <c r="AC708" s="23" t="n"/>
      <c r="AD708" s="23" t="n"/>
      <c r="AE708" s="23" t="n"/>
      <c r="AF708" s="23" t="n"/>
      <c r="AG708" s="23" t="n"/>
      <c r="AH708" s="23" t="n"/>
      <c r="AI708" s="23" t="n"/>
      <c r="AJ708" s="23" t="n"/>
      <c r="AK708" s="23" t="n"/>
      <c r="AL708" s="23" t="n"/>
      <c r="AM708" s="26">
        <f>IF(G708="","",G708&amp;"|"&amp;P708)</f>
        <v/>
      </c>
      <c r="AN708" s="27">
        <f>IF(I708="","",IFERROR(DATE(VALUE(RIGHT(I708,4)),VALUE(MID(I708,4,2)),VALUE(LEFT(I708,2))),""))</f>
        <v/>
      </c>
      <c r="AO708" s="27">
        <f>IF(Y708="","",IFERROR(DATE(VALUE(RIGHT(Y708,4)),VALUE(MID(Y708,4,2)),VALUE(LEFT(Y708,2))),""))</f>
        <v/>
      </c>
      <c r="AP708" s="27">
        <f>IF(AC708="","",IFERROR(DATE(VALUE(RIGHT(AC708,4)),VALUE(MID(AC708,4,2)),VALUE(LEFT(AC708,2))),""))</f>
        <v/>
      </c>
      <c r="AQ708" s="26">
        <f>IF(AI708="","",TRIM(LEFT(AI708,FIND(" ",AI708&amp;" ")-1)))</f>
        <v/>
      </c>
      <c r="AR708" s="27">
        <f>IF(AQ708="","",IFERROR(DATE(VALUE(MID(AQ708,FIND("/",AQ708,FIND("/",AQ708)+1)+1,4)),VALUE(LEFT(AQ708,FIND("/",AQ708)-1)),VALUE(MID(AQ708,FIND("/",AQ708)+1,FIND("/",AQ708,FIND("/",AQ708)+1)-FIND("/",AQ708)-1))),""))</f>
        <v/>
      </c>
      <c r="AS708" s="26">
        <f>IF(G708="","",IF(AND(AG708&lt;&gt;"",AG708&lt;&gt;"Bayi Aracı"),"Evet","Hayır"))</f>
        <v/>
      </c>
      <c r="AT708" s="26">
        <f>IF(G708="","",IF(AND(AS708="Evet",T708="Siparişiniz Teslim Edildi"),"Evet","Hayır"))</f>
        <v/>
      </c>
      <c r="AU708" s="26">
        <f>IF(G708="","",IF(AB708="Siparişinizin Montajı Yapıldı","Evet","Hayır"))</f>
        <v/>
      </c>
      <c r="AV708" s="27">
        <f>IF(G708="","",IF(AT708="Evet",AR708,IF(AU708="Evet",AP708,"")))</f>
        <v/>
      </c>
    </row>
    <row r="709">
      <c r="A709" s="23" t="n"/>
      <c r="B709" s="23" t="n"/>
      <c r="C709" s="23" t="n"/>
      <c r="D709" s="23" t="n"/>
      <c r="E709" s="23" t="n"/>
      <c r="F709" s="23" t="n"/>
      <c r="G709" s="23" t="n"/>
      <c r="H709" s="23" t="n"/>
      <c r="I709" s="23" t="n"/>
      <c r="J709" s="23" t="n"/>
      <c r="K709" s="23" t="n"/>
      <c r="L709" s="23" t="n"/>
      <c r="M709" s="23" t="n"/>
      <c r="N709" s="23" t="n"/>
      <c r="O709" s="23" t="n"/>
      <c r="P709" s="23" t="n"/>
      <c r="Q709" s="23" t="n"/>
      <c r="R709" s="23" t="n"/>
      <c r="S709" s="23" t="n"/>
      <c r="T709" s="23" t="n"/>
      <c r="U709" s="23" t="n"/>
      <c r="V709" s="23" t="n"/>
      <c r="W709" s="23" t="n"/>
      <c r="X709" s="23" t="n"/>
      <c r="Y709" s="23" t="n"/>
      <c r="Z709" s="23" t="n"/>
      <c r="AA709" s="23" t="n"/>
      <c r="AB709" s="23" t="n"/>
      <c r="AC709" s="23" t="n"/>
      <c r="AD709" s="23" t="n"/>
      <c r="AE709" s="23" t="n"/>
      <c r="AF709" s="23" t="n"/>
      <c r="AG709" s="23" t="n"/>
      <c r="AH709" s="23" t="n"/>
      <c r="AI709" s="23" t="n"/>
      <c r="AJ709" s="23" t="n"/>
      <c r="AK709" s="23" t="n"/>
      <c r="AL709" s="23" t="n"/>
      <c r="AM709" s="26">
        <f>IF(G709="","",G709&amp;"|"&amp;P709)</f>
        <v/>
      </c>
      <c r="AN709" s="27">
        <f>IF(I709="","",IFERROR(DATE(VALUE(RIGHT(I709,4)),VALUE(MID(I709,4,2)),VALUE(LEFT(I709,2))),""))</f>
        <v/>
      </c>
      <c r="AO709" s="27">
        <f>IF(Y709="","",IFERROR(DATE(VALUE(RIGHT(Y709,4)),VALUE(MID(Y709,4,2)),VALUE(LEFT(Y709,2))),""))</f>
        <v/>
      </c>
      <c r="AP709" s="27">
        <f>IF(AC709="","",IFERROR(DATE(VALUE(RIGHT(AC709,4)),VALUE(MID(AC709,4,2)),VALUE(LEFT(AC709,2))),""))</f>
        <v/>
      </c>
      <c r="AQ709" s="26">
        <f>IF(AI709="","",TRIM(LEFT(AI709,FIND(" ",AI709&amp;" ")-1)))</f>
        <v/>
      </c>
      <c r="AR709" s="27">
        <f>IF(AQ709="","",IFERROR(DATE(VALUE(MID(AQ709,FIND("/",AQ709,FIND("/",AQ709)+1)+1,4)),VALUE(LEFT(AQ709,FIND("/",AQ709)-1)),VALUE(MID(AQ709,FIND("/",AQ709)+1,FIND("/",AQ709,FIND("/",AQ709)+1)-FIND("/",AQ709)-1))),""))</f>
        <v/>
      </c>
      <c r="AS709" s="26">
        <f>IF(G709="","",IF(AND(AG709&lt;&gt;"",AG709&lt;&gt;"Bayi Aracı"),"Evet","Hayır"))</f>
        <v/>
      </c>
      <c r="AT709" s="26">
        <f>IF(G709="","",IF(AND(AS709="Evet",T709="Siparişiniz Teslim Edildi"),"Evet","Hayır"))</f>
        <v/>
      </c>
      <c r="AU709" s="26">
        <f>IF(G709="","",IF(AB709="Siparişinizin Montajı Yapıldı","Evet","Hayır"))</f>
        <v/>
      </c>
      <c r="AV709" s="27">
        <f>IF(G709="","",IF(AT709="Evet",AR709,IF(AU709="Evet",AP709,"")))</f>
        <v/>
      </c>
    </row>
    <row r="710">
      <c r="A710" s="23" t="n"/>
      <c r="B710" s="23" t="n"/>
      <c r="C710" s="23" t="n"/>
      <c r="D710" s="23" t="n"/>
      <c r="E710" s="23" t="n"/>
      <c r="F710" s="23" t="n"/>
      <c r="G710" s="23" t="n"/>
      <c r="H710" s="23" t="n"/>
      <c r="I710" s="23" t="n"/>
      <c r="J710" s="23" t="n"/>
      <c r="K710" s="23" t="n"/>
      <c r="L710" s="23" t="n"/>
      <c r="M710" s="23" t="n"/>
      <c r="N710" s="23" t="n"/>
      <c r="O710" s="23" t="n"/>
      <c r="P710" s="23" t="n"/>
      <c r="Q710" s="23" t="n"/>
      <c r="R710" s="23" t="n"/>
      <c r="S710" s="23" t="n"/>
      <c r="T710" s="23" t="n"/>
      <c r="U710" s="23" t="n"/>
      <c r="V710" s="23" t="n"/>
      <c r="W710" s="23" t="n"/>
      <c r="X710" s="23" t="n"/>
      <c r="Y710" s="23" t="n"/>
      <c r="Z710" s="23" t="n"/>
      <c r="AA710" s="23" t="n"/>
      <c r="AB710" s="23" t="n"/>
      <c r="AC710" s="23" t="n"/>
      <c r="AD710" s="23" t="n"/>
      <c r="AE710" s="23" t="n"/>
      <c r="AF710" s="23" t="n"/>
      <c r="AG710" s="23" t="n"/>
      <c r="AH710" s="23" t="n"/>
      <c r="AI710" s="23" t="n"/>
      <c r="AJ710" s="23" t="n"/>
      <c r="AK710" s="23" t="n"/>
      <c r="AL710" s="23" t="n"/>
      <c r="AM710" s="26">
        <f>IF(G710="","",G710&amp;"|"&amp;P710)</f>
        <v/>
      </c>
      <c r="AN710" s="27">
        <f>IF(I710="","",IFERROR(DATE(VALUE(RIGHT(I710,4)),VALUE(MID(I710,4,2)),VALUE(LEFT(I710,2))),""))</f>
        <v/>
      </c>
      <c r="AO710" s="27">
        <f>IF(Y710="","",IFERROR(DATE(VALUE(RIGHT(Y710,4)),VALUE(MID(Y710,4,2)),VALUE(LEFT(Y710,2))),""))</f>
        <v/>
      </c>
      <c r="AP710" s="27">
        <f>IF(AC710="","",IFERROR(DATE(VALUE(RIGHT(AC710,4)),VALUE(MID(AC710,4,2)),VALUE(LEFT(AC710,2))),""))</f>
        <v/>
      </c>
      <c r="AQ710" s="26">
        <f>IF(AI710="","",TRIM(LEFT(AI710,FIND(" ",AI710&amp;" ")-1)))</f>
        <v/>
      </c>
      <c r="AR710" s="27">
        <f>IF(AQ710="","",IFERROR(DATE(VALUE(MID(AQ710,FIND("/",AQ710,FIND("/",AQ710)+1)+1,4)),VALUE(LEFT(AQ710,FIND("/",AQ710)-1)),VALUE(MID(AQ710,FIND("/",AQ710)+1,FIND("/",AQ710,FIND("/",AQ710)+1)-FIND("/",AQ710)-1))),""))</f>
        <v/>
      </c>
      <c r="AS710" s="26">
        <f>IF(G710="","",IF(AND(AG710&lt;&gt;"",AG710&lt;&gt;"Bayi Aracı"),"Evet","Hayır"))</f>
        <v/>
      </c>
      <c r="AT710" s="26">
        <f>IF(G710="","",IF(AND(AS710="Evet",T710="Siparişiniz Teslim Edildi"),"Evet","Hayır"))</f>
        <v/>
      </c>
      <c r="AU710" s="26">
        <f>IF(G710="","",IF(AB710="Siparişinizin Montajı Yapıldı","Evet","Hayır"))</f>
        <v/>
      </c>
      <c r="AV710" s="27">
        <f>IF(G710="","",IF(AT710="Evet",AR710,IF(AU710="Evet",AP710,"")))</f>
        <v/>
      </c>
    </row>
    <row r="711">
      <c r="A711" s="23" t="n"/>
      <c r="B711" s="23" t="n"/>
      <c r="C711" s="23" t="n"/>
      <c r="D711" s="23" t="n"/>
      <c r="E711" s="23" t="n"/>
      <c r="F711" s="23" t="n"/>
      <c r="G711" s="23" t="n"/>
      <c r="H711" s="23" t="n"/>
      <c r="I711" s="23" t="n"/>
      <c r="J711" s="23" t="n"/>
      <c r="K711" s="23" t="n"/>
      <c r="L711" s="23" t="n"/>
      <c r="M711" s="23" t="n"/>
      <c r="N711" s="23" t="n"/>
      <c r="O711" s="23" t="n"/>
      <c r="P711" s="23" t="n"/>
      <c r="Q711" s="23" t="n"/>
      <c r="R711" s="23" t="n"/>
      <c r="S711" s="23" t="n"/>
      <c r="T711" s="23" t="n"/>
      <c r="U711" s="23" t="n"/>
      <c r="V711" s="23" t="n"/>
      <c r="W711" s="23" t="n"/>
      <c r="X711" s="23" t="n"/>
      <c r="Y711" s="23" t="n"/>
      <c r="Z711" s="23" t="n"/>
      <c r="AA711" s="23" t="n"/>
      <c r="AB711" s="23" t="n"/>
      <c r="AC711" s="23" t="n"/>
      <c r="AD711" s="23" t="n"/>
      <c r="AE711" s="23" t="n"/>
      <c r="AF711" s="23" t="n"/>
      <c r="AG711" s="23" t="n"/>
      <c r="AH711" s="23" t="n"/>
      <c r="AI711" s="23" t="n"/>
      <c r="AJ711" s="23" t="n"/>
      <c r="AK711" s="23" t="n"/>
      <c r="AL711" s="23" t="n"/>
      <c r="AM711" s="26">
        <f>IF(G711="","",G711&amp;"|"&amp;P711)</f>
        <v/>
      </c>
      <c r="AN711" s="27">
        <f>IF(I711="","",IFERROR(DATE(VALUE(RIGHT(I711,4)),VALUE(MID(I711,4,2)),VALUE(LEFT(I711,2))),""))</f>
        <v/>
      </c>
      <c r="AO711" s="27">
        <f>IF(Y711="","",IFERROR(DATE(VALUE(RIGHT(Y711,4)),VALUE(MID(Y711,4,2)),VALUE(LEFT(Y711,2))),""))</f>
        <v/>
      </c>
      <c r="AP711" s="27">
        <f>IF(AC711="","",IFERROR(DATE(VALUE(RIGHT(AC711,4)),VALUE(MID(AC711,4,2)),VALUE(LEFT(AC711,2))),""))</f>
        <v/>
      </c>
      <c r="AQ711" s="26">
        <f>IF(AI711="","",TRIM(LEFT(AI711,FIND(" ",AI711&amp;" ")-1)))</f>
        <v/>
      </c>
      <c r="AR711" s="27">
        <f>IF(AQ711="","",IFERROR(DATE(VALUE(MID(AQ711,FIND("/",AQ711,FIND("/",AQ711)+1)+1,4)),VALUE(LEFT(AQ711,FIND("/",AQ711)-1)),VALUE(MID(AQ711,FIND("/",AQ711)+1,FIND("/",AQ711,FIND("/",AQ711)+1)-FIND("/",AQ711)-1))),""))</f>
        <v/>
      </c>
      <c r="AS711" s="26">
        <f>IF(G711="","",IF(AND(AG711&lt;&gt;"",AG711&lt;&gt;"Bayi Aracı"),"Evet","Hayır"))</f>
        <v/>
      </c>
      <c r="AT711" s="26">
        <f>IF(G711="","",IF(AND(AS711="Evet",T711="Siparişiniz Teslim Edildi"),"Evet","Hayır"))</f>
        <v/>
      </c>
      <c r="AU711" s="26">
        <f>IF(G711="","",IF(AB711="Siparişinizin Montajı Yapıldı","Evet","Hayır"))</f>
        <v/>
      </c>
      <c r="AV711" s="27">
        <f>IF(G711="","",IF(AT711="Evet",AR711,IF(AU711="Evet",AP711,"")))</f>
        <v/>
      </c>
    </row>
    <row r="712">
      <c r="A712" s="23" t="n"/>
      <c r="B712" s="23" t="n"/>
      <c r="C712" s="23" t="n"/>
      <c r="D712" s="23" t="n"/>
      <c r="E712" s="23" t="n"/>
      <c r="F712" s="23" t="n"/>
      <c r="G712" s="23" t="n"/>
      <c r="H712" s="23" t="n"/>
      <c r="I712" s="23" t="n"/>
      <c r="J712" s="23" t="n"/>
      <c r="K712" s="23" t="n"/>
      <c r="L712" s="23" t="n"/>
      <c r="M712" s="23" t="n"/>
      <c r="N712" s="23" t="n"/>
      <c r="O712" s="23" t="n"/>
      <c r="P712" s="23" t="n"/>
      <c r="Q712" s="23" t="n"/>
      <c r="R712" s="23" t="n"/>
      <c r="S712" s="23" t="n"/>
      <c r="T712" s="23" t="n"/>
      <c r="U712" s="23" t="n"/>
      <c r="V712" s="23" t="n"/>
      <c r="W712" s="23" t="n"/>
      <c r="X712" s="23" t="n"/>
      <c r="Y712" s="23" t="n"/>
      <c r="Z712" s="23" t="n"/>
      <c r="AA712" s="23" t="n"/>
      <c r="AB712" s="23" t="n"/>
      <c r="AC712" s="23" t="n"/>
      <c r="AD712" s="23" t="n"/>
      <c r="AE712" s="23" t="n"/>
      <c r="AF712" s="23" t="n"/>
      <c r="AG712" s="23" t="n"/>
      <c r="AH712" s="23" t="n"/>
      <c r="AI712" s="23" t="n"/>
      <c r="AJ712" s="23" t="n"/>
      <c r="AK712" s="23" t="n"/>
      <c r="AL712" s="23" t="n"/>
      <c r="AM712" s="26">
        <f>IF(G712="","",G712&amp;"|"&amp;P712)</f>
        <v/>
      </c>
      <c r="AN712" s="27">
        <f>IF(I712="","",IFERROR(DATE(VALUE(RIGHT(I712,4)),VALUE(MID(I712,4,2)),VALUE(LEFT(I712,2))),""))</f>
        <v/>
      </c>
      <c r="AO712" s="27">
        <f>IF(Y712="","",IFERROR(DATE(VALUE(RIGHT(Y712,4)),VALUE(MID(Y712,4,2)),VALUE(LEFT(Y712,2))),""))</f>
        <v/>
      </c>
      <c r="AP712" s="27">
        <f>IF(AC712="","",IFERROR(DATE(VALUE(RIGHT(AC712,4)),VALUE(MID(AC712,4,2)),VALUE(LEFT(AC712,2))),""))</f>
        <v/>
      </c>
      <c r="AQ712" s="26">
        <f>IF(AI712="","",TRIM(LEFT(AI712,FIND(" ",AI712&amp;" ")-1)))</f>
        <v/>
      </c>
      <c r="AR712" s="27">
        <f>IF(AQ712="","",IFERROR(DATE(VALUE(MID(AQ712,FIND("/",AQ712,FIND("/",AQ712)+1)+1,4)),VALUE(LEFT(AQ712,FIND("/",AQ712)-1)),VALUE(MID(AQ712,FIND("/",AQ712)+1,FIND("/",AQ712,FIND("/",AQ712)+1)-FIND("/",AQ712)-1))),""))</f>
        <v/>
      </c>
      <c r="AS712" s="26">
        <f>IF(G712="","",IF(AND(AG712&lt;&gt;"",AG712&lt;&gt;"Bayi Aracı"),"Evet","Hayır"))</f>
        <v/>
      </c>
      <c r="AT712" s="26">
        <f>IF(G712="","",IF(AND(AS712="Evet",T712="Siparişiniz Teslim Edildi"),"Evet","Hayır"))</f>
        <v/>
      </c>
      <c r="AU712" s="26">
        <f>IF(G712="","",IF(AB712="Siparişinizin Montajı Yapıldı","Evet","Hayır"))</f>
        <v/>
      </c>
      <c r="AV712" s="27">
        <f>IF(G712="","",IF(AT712="Evet",AR712,IF(AU712="Evet",AP712,"")))</f>
        <v/>
      </c>
    </row>
    <row r="713">
      <c r="A713" s="23" t="n"/>
      <c r="B713" s="23" t="n"/>
      <c r="C713" s="23" t="n"/>
      <c r="D713" s="23" t="n"/>
      <c r="E713" s="23" t="n"/>
      <c r="F713" s="23" t="n"/>
      <c r="G713" s="23" t="n"/>
      <c r="H713" s="23" t="n"/>
      <c r="I713" s="23" t="n"/>
      <c r="J713" s="23" t="n"/>
      <c r="K713" s="23" t="n"/>
      <c r="L713" s="23" t="n"/>
      <c r="M713" s="23" t="n"/>
      <c r="N713" s="23" t="n"/>
      <c r="O713" s="23" t="n"/>
      <c r="P713" s="23" t="n"/>
      <c r="Q713" s="23" t="n"/>
      <c r="R713" s="23" t="n"/>
      <c r="S713" s="23" t="n"/>
      <c r="T713" s="23" t="n"/>
      <c r="U713" s="23" t="n"/>
      <c r="V713" s="23" t="n"/>
      <c r="W713" s="23" t="n"/>
      <c r="X713" s="23" t="n"/>
      <c r="Y713" s="23" t="n"/>
      <c r="Z713" s="23" t="n"/>
      <c r="AA713" s="23" t="n"/>
      <c r="AB713" s="23" t="n"/>
      <c r="AC713" s="23" t="n"/>
      <c r="AD713" s="23" t="n"/>
      <c r="AE713" s="23" t="n"/>
      <c r="AF713" s="23" t="n"/>
      <c r="AG713" s="23" t="n"/>
      <c r="AH713" s="23" t="n"/>
      <c r="AI713" s="23" t="n"/>
      <c r="AJ713" s="23" t="n"/>
      <c r="AK713" s="23" t="n"/>
      <c r="AL713" s="23" t="n"/>
      <c r="AM713" s="26">
        <f>IF(G713="","",G713&amp;"|"&amp;P713)</f>
        <v/>
      </c>
      <c r="AN713" s="27">
        <f>IF(I713="","",IFERROR(DATE(VALUE(RIGHT(I713,4)),VALUE(MID(I713,4,2)),VALUE(LEFT(I713,2))),""))</f>
        <v/>
      </c>
      <c r="AO713" s="27">
        <f>IF(Y713="","",IFERROR(DATE(VALUE(RIGHT(Y713,4)),VALUE(MID(Y713,4,2)),VALUE(LEFT(Y713,2))),""))</f>
        <v/>
      </c>
      <c r="AP713" s="27">
        <f>IF(AC713="","",IFERROR(DATE(VALUE(RIGHT(AC713,4)),VALUE(MID(AC713,4,2)),VALUE(LEFT(AC713,2))),""))</f>
        <v/>
      </c>
      <c r="AQ713" s="26">
        <f>IF(AI713="","",TRIM(LEFT(AI713,FIND(" ",AI713&amp;" ")-1)))</f>
        <v/>
      </c>
      <c r="AR713" s="27">
        <f>IF(AQ713="","",IFERROR(DATE(VALUE(MID(AQ713,FIND("/",AQ713,FIND("/",AQ713)+1)+1,4)),VALUE(LEFT(AQ713,FIND("/",AQ713)-1)),VALUE(MID(AQ713,FIND("/",AQ713)+1,FIND("/",AQ713,FIND("/",AQ713)+1)-FIND("/",AQ713)-1))),""))</f>
        <v/>
      </c>
      <c r="AS713" s="26">
        <f>IF(G713="","",IF(AND(AG713&lt;&gt;"",AG713&lt;&gt;"Bayi Aracı"),"Evet","Hayır"))</f>
        <v/>
      </c>
      <c r="AT713" s="26">
        <f>IF(G713="","",IF(AND(AS713="Evet",T713="Siparişiniz Teslim Edildi"),"Evet","Hayır"))</f>
        <v/>
      </c>
      <c r="AU713" s="26">
        <f>IF(G713="","",IF(AB713="Siparişinizin Montajı Yapıldı","Evet","Hayır"))</f>
        <v/>
      </c>
      <c r="AV713" s="27">
        <f>IF(G713="","",IF(AT713="Evet",AR713,IF(AU713="Evet",AP713,"")))</f>
        <v/>
      </c>
    </row>
    <row r="714">
      <c r="A714" s="23" t="n"/>
      <c r="B714" s="23" t="n"/>
      <c r="C714" s="23" t="n"/>
      <c r="D714" s="23" t="n"/>
      <c r="E714" s="23" t="n"/>
      <c r="F714" s="23" t="n"/>
      <c r="G714" s="23" t="n"/>
      <c r="H714" s="23" t="n"/>
      <c r="I714" s="23" t="n"/>
      <c r="J714" s="23" t="n"/>
      <c r="K714" s="23" t="n"/>
      <c r="L714" s="23" t="n"/>
      <c r="M714" s="23" t="n"/>
      <c r="N714" s="23" t="n"/>
      <c r="O714" s="23" t="n"/>
      <c r="P714" s="23" t="n"/>
      <c r="Q714" s="23" t="n"/>
      <c r="R714" s="23" t="n"/>
      <c r="S714" s="23" t="n"/>
      <c r="T714" s="23" t="n"/>
      <c r="U714" s="23" t="n"/>
      <c r="V714" s="23" t="n"/>
      <c r="W714" s="23" t="n"/>
      <c r="X714" s="23" t="n"/>
      <c r="Y714" s="23" t="n"/>
      <c r="Z714" s="23" t="n"/>
      <c r="AA714" s="23" t="n"/>
      <c r="AB714" s="23" t="n"/>
      <c r="AC714" s="23" t="n"/>
      <c r="AD714" s="23" t="n"/>
      <c r="AE714" s="23" t="n"/>
      <c r="AF714" s="23" t="n"/>
      <c r="AG714" s="23" t="n"/>
      <c r="AH714" s="23" t="n"/>
      <c r="AI714" s="23" t="n"/>
      <c r="AJ714" s="23" t="n"/>
      <c r="AK714" s="23" t="n"/>
      <c r="AL714" s="23" t="n"/>
      <c r="AM714" s="26">
        <f>IF(G714="","",G714&amp;"|"&amp;P714)</f>
        <v/>
      </c>
      <c r="AN714" s="27">
        <f>IF(I714="","",IFERROR(DATE(VALUE(RIGHT(I714,4)),VALUE(MID(I714,4,2)),VALUE(LEFT(I714,2))),""))</f>
        <v/>
      </c>
      <c r="AO714" s="27">
        <f>IF(Y714="","",IFERROR(DATE(VALUE(RIGHT(Y714,4)),VALUE(MID(Y714,4,2)),VALUE(LEFT(Y714,2))),""))</f>
        <v/>
      </c>
      <c r="AP714" s="27">
        <f>IF(AC714="","",IFERROR(DATE(VALUE(RIGHT(AC714,4)),VALUE(MID(AC714,4,2)),VALUE(LEFT(AC714,2))),""))</f>
        <v/>
      </c>
      <c r="AQ714" s="26">
        <f>IF(AI714="","",TRIM(LEFT(AI714,FIND(" ",AI714&amp;" ")-1)))</f>
        <v/>
      </c>
      <c r="AR714" s="27">
        <f>IF(AQ714="","",IFERROR(DATE(VALUE(MID(AQ714,FIND("/",AQ714,FIND("/",AQ714)+1)+1,4)),VALUE(LEFT(AQ714,FIND("/",AQ714)-1)),VALUE(MID(AQ714,FIND("/",AQ714)+1,FIND("/",AQ714,FIND("/",AQ714)+1)-FIND("/",AQ714)-1))),""))</f>
        <v/>
      </c>
      <c r="AS714" s="26">
        <f>IF(G714="","",IF(AND(AG714&lt;&gt;"",AG714&lt;&gt;"Bayi Aracı"),"Evet","Hayır"))</f>
        <v/>
      </c>
      <c r="AT714" s="26">
        <f>IF(G714="","",IF(AND(AS714="Evet",T714="Siparişiniz Teslim Edildi"),"Evet","Hayır"))</f>
        <v/>
      </c>
      <c r="AU714" s="26">
        <f>IF(G714="","",IF(AB714="Siparişinizin Montajı Yapıldı","Evet","Hayır"))</f>
        <v/>
      </c>
      <c r="AV714" s="27">
        <f>IF(G714="","",IF(AT714="Evet",AR714,IF(AU714="Evet",AP714,"")))</f>
        <v/>
      </c>
    </row>
    <row r="715">
      <c r="A715" s="23" t="n"/>
      <c r="B715" s="23" t="n"/>
      <c r="C715" s="23" t="n"/>
      <c r="D715" s="23" t="n"/>
      <c r="E715" s="23" t="n"/>
      <c r="F715" s="23" t="n"/>
      <c r="G715" s="23" t="n"/>
      <c r="H715" s="23" t="n"/>
      <c r="I715" s="23" t="n"/>
      <c r="J715" s="23" t="n"/>
      <c r="K715" s="23" t="n"/>
      <c r="L715" s="23" t="n"/>
      <c r="M715" s="23" t="n"/>
      <c r="N715" s="23" t="n"/>
      <c r="O715" s="23" t="n"/>
      <c r="P715" s="23" t="n"/>
      <c r="Q715" s="23" t="n"/>
      <c r="R715" s="23" t="n"/>
      <c r="S715" s="23" t="n"/>
      <c r="T715" s="23" t="n"/>
      <c r="U715" s="23" t="n"/>
      <c r="V715" s="23" t="n"/>
      <c r="W715" s="23" t="n"/>
      <c r="X715" s="23" t="n"/>
      <c r="Y715" s="23" t="n"/>
      <c r="Z715" s="23" t="n"/>
      <c r="AA715" s="23" t="n"/>
      <c r="AB715" s="23" t="n"/>
      <c r="AC715" s="23" t="n"/>
      <c r="AD715" s="23" t="n"/>
      <c r="AE715" s="23" t="n"/>
      <c r="AF715" s="23" t="n"/>
      <c r="AG715" s="23" t="n"/>
      <c r="AH715" s="23" t="n"/>
      <c r="AI715" s="23" t="n"/>
      <c r="AJ715" s="23" t="n"/>
      <c r="AK715" s="23" t="n"/>
      <c r="AL715" s="23" t="n"/>
      <c r="AM715" s="26">
        <f>IF(G715="","",G715&amp;"|"&amp;P715)</f>
        <v/>
      </c>
      <c r="AN715" s="27">
        <f>IF(I715="","",IFERROR(DATE(VALUE(RIGHT(I715,4)),VALUE(MID(I715,4,2)),VALUE(LEFT(I715,2))),""))</f>
        <v/>
      </c>
      <c r="AO715" s="27">
        <f>IF(Y715="","",IFERROR(DATE(VALUE(RIGHT(Y715,4)),VALUE(MID(Y715,4,2)),VALUE(LEFT(Y715,2))),""))</f>
        <v/>
      </c>
      <c r="AP715" s="27">
        <f>IF(AC715="","",IFERROR(DATE(VALUE(RIGHT(AC715,4)),VALUE(MID(AC715,4,2)),VALUE(LEFT(AC715,2))),""))</f>
        <v/>
      </c>
      <c r="AQ715" s="26">
        <f>IF(AI715="","",TRIM(LEFT(AI715,FIND(" ",AI715&amp;" ")-1)))</f>
        <v/>
      </c>
      <c r="AR715" s="27">
        <f>IF(AQ715="","",IFERROR(DATE(VALUE(MID(AQ715,FIND("/",AQ715,FIND("/",AQ715)+1)+1,4)),VALUE(LEFT(AQ715,FIND("/",AQ715)-1)),VALUE(MID(AQ715,FIND("/",AQ715)+1,FIND("/",AQ715,FIND("/",AQ715)+1)-FIND("/",AQ715)-1))),""))</f>
        <v/>
      </c>
      <c r="AS715" s="26">
        <f>IF(G715="","",IF(AND(AG715&lt;&gt;"",AG715&lt;&gt;"Bayi Aracı"),"Evet","Hayır"))</f>
        <v/>
      </c>
      <c r="AT715" s="26">
        <f>IF(G715="","",IF(AND(AS715="Evet",T715="Siparişiniz Teslim Edildi"),"Evet","Hayır"))</f>
        <v/>
      </c>
      <c r="AU715" s="26">
        <f>IF(G715="","",IF(AB715="Siparişinizin Montajı Yapıldı","Evet","Hayır"))</f>
        <v/>
      </c>
      <c r="AV715" s="27">
        <f>IF(G715="","",IF(AT715="Evet",AR715,IF(AU715="Evet",AP715,"")))</f>
        <v/>
      </c>
    </row>
    <row r="716">
      <c r="A716" s="23" t="n"/>
      <c r="B716" s="23" t="n"/>
      <c r="C716" s="23" t="n"/>
      <c r="D716" s="23" t="n"/>
      <c r="E716" s="23" t="n"/>
      <c r="F716" s="23" t="n"/>
      <c r="G716" s="23" t="n"/>
      <c r="H716" s="23" t="n"/>
      <c r="I716" s="23" t="n"/>
      <c r="J716" s="23" t="n"/>
      <c r="K716" s="23" t="n"/>
      <c r="L716" s="23" t="n"/>
      <c r="M716" s="23" t="n"/>
      <c r="N716" s="23" t="n"/>
      <c r="O716" s="23" t="n"/>
      <c r="P716" s="23" t="n"/>
      <c r="Q716" s="23" t="n"/>
      <c r="R716" s="23" t="n"/>
      <c r="S716" s="23" t="n"/>
      <c r="T716" s="23" t="n"/>
      <c r="U716" s="23" t="n"/>
      <c r="V716" s="23" t="n"/>
      <c r="W716" s="23" t="n"/>
      <c r="X716" s="23" t="n"/>
      <c r="Y716" s="23" t="n"/>
      <c r="Z716" s="23" t="n"/>
      <c r="AA716" s="23" t="n"/>
      <c r="AB716" s="23" t="n"/>
      <c r="AC716" s="23" t="n"/>
      <c r="AD716" s="23" t="n"/>
      <c r="AE716" s="23" t="n"/>
      <c r="AF716" s="23" t="n"/>
      <c r="AG716" s="23" t="n"/>
      <c r="AH716" s="23" t="n"/>
      <c r="AI716" s="23" t="n"/>
      <c r="AJ716" s="23" t="n"/>
      <c r="AK716" s="23" t="n"/>
      <c r="AL716" s="23" t="n"/>
      <c r="AM716" s="26">
        <f>IF(G716="","",G716&amp;"|"&amp;P716)</f>
        <v/>
      </c>
      <c r="AN716" s="27">
        <f>IF(I716="","",IFERROR(DATE(VALUE(RIGHT(I716,4)),VALUE(MID(I716,4,2)),VALUE(LEFT(I716,2))),""))</f>
        <v/>
      </c>
      <c r="AO716" s="27">
        <f>IF(Y716="","",IFERROR(DATE(VALUE(RIGHT(Y716,4)),VALUE(MID(Y716,4,2)),VALUE(LEFT(Y716,2))),""))</f>
        <v/>
      </c>
      <c r="AP716" s="27">
        <f>IF(AC716="","",IFERROR(DATE(VALUE(RIGHT(AC716,4)),VALUE(MID(AC716,4,2)),VALUE(LEFT(AC716,2))),""))</f>
        <v/>
      </c>
      <c r="AQ716" s="26">
        <f>IF(AI716="","",TRIM(LEFT(AI716,FIND(" ",AI716&amp;" ")-1)))</f>
        <v/>
      </c>
      <c r="AR716" s="27">
        <f>IF(AQ716="","",IFERROR(DATE(VALUE(MID(AQ716,FIND("/",AQ716,FIND("/",AQ716)+1)+1,4)),VALUE(LEFT(AQ716,FIND("/",AQ716)-1)),VALUE(MID(AQ716,FIND("/",AQ716)+1,FIND("/",AQ716,FIND("/",AQ716)+1)-FIND("/",AQ716)-1))),""))</f>
        <v/>
      </c>
      <c r="AS716" s="26">
        <f>IF(G716="","",IF(AND(AG716&lt;&gt;"",AG716&lt;&gt;"Bayi Aracı"),"Evet","Hayır"))</f>
        <v/>
      </c>
      <c r="AT716" s="26">
        <f>IF(G716="","",IF(AND(AS716="Evet",T716="Siparişiniz Teslim Edildi"),"Evet","Hayır"))</f>
        <v/>
      </c>
      <c r="AU716" s="26">
        <f>IF(G716="","",IF(AB716="Siparişinizin Montajı Yapıldı","Evet","Hayır"))</f>
        <v/>
      </c>
      <c r="AV716" s="27">
        <f>IF(G716="","",IF(AT716="Evet",AR716,IF(AU716="Evet",AP716,"")))</f>
        <v/>
      </c>
    </row>
    <row r="717">
      <c r="A717" s="23" t="n"/>
      <c r="B717" s="23" t="n"/>
      <c r="C717" s="23" t="n"/>
      <c r="D717" s="23" t="n"/>
      <c r="E717" s="23" t="n"/>
      <c r="F717" s="23" t="n"/>
      <c r="G717" s="23" t="n"/>
      <c r="H717" s="23" t="n"/>
      <c r="I717" s="23" t="n"/>
      <c r="J717" s="23" t="n"/>
      <c r="K717" s="23" t="n"/>
      <c r="L717" s="23" t="n"/>
      <c r="M717" s="23" t="n"/>
      <c r="N717" s="23" t="n"/>
      <c r="O717" s="23" t="n"/>
      <c r="P717" s="23" t="n"/>
      <c r="Q717" s="23" t="n"/>
      <c r="R717" s="23" t="n"/>
      <c r="S717" s="23" t="n"/>
      <c r="T717" s="23" t="n"/>
      <c r="U717" s="23" t="n"/>
      <c r="V717" s="23" t="n"/>
      <c r="W717" s="23" t="n"/>
      <c r="X717" s="23" t="n"/>
      <c r="Y717" s="23" t="n"/>
      <c r="Z717" s="23" t="n"/>
      <c r="AA717" s="23" t="n"/>
      <c r="AB717" s="23" t="n"/>
      <c r="AC717" s="23" t="n"/>
      <c r="AD717" s="23" t="n"/>
      <c r="AE717" s="23" t="n"/>
      <c r="AF717" s="23" t="n"/>
      <c r="AG717" s="23" t="n"/>
      <c r="AH717" s="23" t="n"/>
      <c r="AI717" s="23" t="n"/>
      <c r="AJ717" s="23" t="n"/>
      <c r="AK717" s="23" t="n"/>
      <c r="AL717" s="23" t="n"/>
      <c r="AM717" s="26">
        <f>IF(G717="","",G717&amp;"|"&amp;P717)</f>
        <v/>
      </c>
      <c r="AN717" s="27">
        <f>IF(I717="","",IFERROR(DATE(VALUE(RIGHT(I717,4)),VALUE(MID(I717,4,2)),VALUE(LEFT(I717,2))),""))</f>
        <v/>
      </c>
      <c r="AO717" s="27">
        <f>IF(Y717="","",IFERROR(DATE(VALUE(RIGHT(Y717,4)),VALUE(MID(Y717,4,2)),VALUE(LEFT(Y717,2))),""))</f>
        <v/>
      </c>
      <c r="AP717" s="27">
        <f>IF(AC717="","",IFERROR(DATE(VALUE(RIGHT(AC717,4)),VALUE(MID(AC717,4,2)),VALUE(LEFT(AC717,2))),""))</f>
        <v/>
      </c>
      <c r="AQ717" s="26">
        <f>IF(AI717="","",TRIM(LEFT(AI717,FIND(" ",AI717&amp;" ")-1)))</f>
        <v/>
      </c>
      <c r="AR717" s="27">
        <f>IF(AQ717="","",IFERROR(DATE(VALUE(MID(AQ717,FIND("/",AQ717,FIND("/",AQ717)+1)+1,4)),VALUE(LEFT(AQ717,FIND("/",AQ717)-1)),VALUE(MID(AQ717,FIND("/",AQ717)+1,FIND("/",AQ717,FIND("/",AQ717)+1)-FIND("/",AQ717)-1))),""))</f>
        <v/>
      </c>
      <c r="AS717" s="26">
        <f>IF(G717="","",IF(AND(AG717&lt;&gt;"",AG717&lt;&gt;"Bayi Aracı"),"Evet","Hayır"))</f>
        <v/>
      </c>
      <c r="AT717" s="26">
        <f>IF(G717="","",IF(AND(AS717="Evet",T717="Siparişiniz Teslim Edildi"),"Evet","Hayır"))</f>
        <v/>
      </c>
      <c r="AU717" s="26">
        <f>IF(G717="","",IF(AB717="Siparişinizin Montajı Yapıldı","Evet","Hayır"))</f>
        <v/>
      </c>
      <c r="AV717" s="27">
        <f>IF(G717="","",IF(AT717="Evet",AR717,IF(AU717="Evet",AP717,"")))</f>
        <v/>
      </c>
    </row>
    <row r="718">
      <c r="A718" s="23" t="n"/>
      <c r="B718" s="23" t="n"/>
      <c r="C718" s="23" t="n"/>
      <c r="D718" s="23" t="n"/>
      <c r="E718" s="23" t="n"/>
      <c r="F718" s="23" t="n"/>
      <c r="G718" s="23" t="n"/>
      <c r="H718" s="23" t="n"/>
      <c r="I718" s="23" t="n"/>
      <c r="J718" s="23" t="n"/>
      <c r="K718" s="23" t="n"/>
      <c r="L718" s="23" t="n"/>
      <c r="M718" s="23" t="n"/>
      <c r="N718" s="23" t="n"/>
      <c r="O718" s="23" t="n"/>
      <c r="P718" s="23" t="n"/>
      <c r="Q718" s="23" t="n"/>
      <c r="R718" s="23" t="n"/>
      <c r="S718" s="23" t="n"/>
      <c r="T718" s="23" t="n"/>
      <c r="U718" s="23" t="n"/>
      <c r="V718" s="23" t="n"/>
      <c r="W718" s="23" t="n"/>
      <c r="X718" s="23" t="n"/>
      <c r="Y718" s="23" t="n"/>
      <c r="Z718" s="23" t="n"/>
      <c r="AA718" s="23" t="n"/>
      <c r="AB718" s="23" t="n"/>
      <c r="AC718" s="23" t="n"/>
      <c r="AD718" s="23" t="n"/>
      <c r="AE718" s="23" t="n"/>
      <c r="AF718" s="23" t="n"/>
      <c r="AG718" s="23" t="n"/>
      <c r="AH718" s="23" t="n"/>
      <c r="AI718" s="23" t="n"/>
      <c r="AJ718" s="23" t="n"/>
      <c r="AK718" s="23" t="n"/>
      <c r="AL718" s="23" t="n"/>
      <c r="AM718" s="26">
        <f>IF(G718="","",G718&amp;"|"&amp;P718)</f>
        <v/>
      </c>
      <c r="AN718" s="27">
        <f>IF(I718="","",IFERROR(DATE(VALUE(RIGHT(I718,4)),VALUE(MID(I718,4,2)),VALUE(LEFT(I718,2))),""))</f>
        <v/>
      </c>
      <c r="AO718" s="27">
        <f>IF(Y718="","",IFERROR(DATE(VALUE(RIGHT(Y718,4)),VALUE(MID(Y718,4,2)),VALUE(LEFT(Y718,2))),""))</f>
        <v/>
      </c>
      <c r="AP718" s="27">
        <f>IF(AC718="","",IFERROR(DATE(VALUE(RIGHT(AC718,4)),VALUE(MID(AC718,4,2)),VALUE(LEFT(AC718,2))),""))</f>
        <v/>
      </c>
      <c r="AQ718" s="26">
        <f>IF(AI718="","",TRIM(LEFT(AI718,FIND(" ",AI718&amp;" ")-1)))</f>
        <v/>
      </c>
      <c r="AR718" s="27">
        <f>IF(AQ718="","",IFERROR(DATE(VALUE(MID(AQ718,FIND("/",AQ718,FIND("/",AQ718)+1)+1,4)),VALUE(LEFT(AQ718,FIND("/",AQ718)-1)),VALUE(MID(AQ718,FIND("/",AQ718)+1,FIND("/",AQ718,FIND("/",AQ718)+1)-FIND("/",AQ718)-1))),""))</f>
        <v/>
      </c>
      <c r="AS718" s="26">
        <f>IF(G718="","",IF(AND(AG718&lt;&gt;"",AG718&lt;&gt;"Bayi Aracı"),"Evet","Hayır"))</f>
        <v/>
      </c>
      <c r="AT718" s="26">
        <f>IF(G718="","",IF(AND(AS718="Evet",T718="Siparişiniz Teslim Edildi"),"Evet","Hayır"))</f>
        <v/>
      </c>
      <c r="AU718" s="26">
        <f>IF(G718="","",IF(AB718="Siparişinizin Montajı Yapıldı","Evet","Hayır"))</f>
        <v/>
      </c>
      <c r="AV718" s="27">
        <f>IF(G718="","",IF(AT718="Evet",AR718,IF(AU718="Evet",AP718,"")))</f>
        <v/>
      </c>
    </row>
    <row r="719">
      <c r="A719" s="23" t="n"/>
      <c r="B719" s="23" t="n"/>
      <c r="C719" s="23" t="n"/>
      <c r="D719" s="23" t="n"/>
      <c r="E719" s="23" t="n"/>
      <c r="F719" s="23" t="n"/>
      <c r="G719" s="23" t="n"/>
      <c r="H719" s="23" t="n"/>
      <c r="I719" s="23" t="n"/>
      <c r="J719" s="23" t="n"/>
      <c r="K719" s="23" t="n"/>
      <c r="L719" s="23" t="n"/>
      <c r="M719" s="23" t="n"/>
      <c r="N719" s="23" t="n"/>
      <c r="O719" s="23" t="n"/>
      <c r="P719" s="23" t="n"/>
      <c r="Q719" s="23" t="n"/>
      <c r="R719" s="23" t="n"/>
      <c r="S719" s="23" t="n"/>
      <c r="T719" s="23" t="n"/>
      <c r="U719" s="23" t="n"/>
      <c r="V719" s="23" t="n"/>
      <c r="W719" s="23" t="n"/>
      <c r="X719" s="23" t="n"/>
      <c r="Y719" s="23" t="n"/>
      <c r="Z719" s="23" t="n"/>
      <c r="AA719" s="23" t="n"/>
      <c r="AB719" s="23" t="n"/>
      <c r="AC719" s="23" t="n"/>
      <c r="AD719" s="23" t="n"/>
      <c r="AE719" s="23" t="n"/>
      <c r="AF719" s="23" t="n"/>
      <c r="AG719" s="23" t="n"/>
      <c r="AH719" s="23" t="n"/>
      <c r="AI719" s="23" t="n"/>
      <c r="AJ719" s="23" t="n"/>
      <c r="AK719" s="23" t="n"/>
      <c r="AL719" s="23" t="n"/>
      <c r="AM719" s="26">
        <f>IF(G719="","",G719&amp;"|"&amp;P719)</f>
        <v/>
      </c>
      <c r="AN719" s="27">
        <f>IF(I719="","",IFERROR(DATE(VALUE(RIGHT(I719,4)),VALUE(MID(I719,4,2)),VALUE(LEFT(I719,2))),""))</f>
        <v/>
      </c>
      <c r="AO719" s="27">
        <f>IF(Y719="","",IFERROR(DATE(VALUE(RIGHT(Y719,4)),VALUE(MID(Y719,4,2)),VALUE(LEFT(Y719,2))),""))</f>
        <v/>
      </c>
      <c r="AP719" s="27">
        <f>IF(AC719="","",IFERROR(DATE(VALUE(RIGHT(AC719,4)),VALUE(MID(AC719,4,2)),VALUE(LEFT(AC719,2))),""))</f>
        <v/>
      </c>
      <c r="AQ719" s="26">
        <f>IF(AI719="","",TRIM(LEFT(AI719,FIND(" ",AI719&amp;" ")-1)))</f>
        <v/>
      </c>
      <c r="AR719" s="27">
        <f>IF(AQ719="","",IFERROR(DATE(VALUE(MID(AQ719,FIND("/",AQ719,FIND("/",AQ719)+1)+1,4)),VALUE(LEFT(AQ719,FIND("/",AQ719)-1)),VALUE(MID(AQ719,FIND("/",AQ719)+1,FIND("/",AQ719,FIND("/",AQ719)+1)-FIND("/",AQ719)-1))),""))</f>
        <v/>
      </c>
      <c r="AS719" s="26">
        <f>IF(G719="","",IF(AND(AG719&lt;&gt;"",AG719&lt;&gt;"Bayi Aracı"),"Evet","Hayır"))</f>
        <v/>
      </c>
      <c r="AT719" s="26">
        <f>IF(G719="","",IF(AND(AS719="Evet",T719="Siparişiniz Teslim Edildi"),"Evet","Hayır"))</f>
        <v/>
      </c>
      <c r="AU719" s="26">
        <f>IF(G719="","",IF(AB719="Siparişinizin Montajı Yapıldı","Evet","Hayır"))</f>
        <v/>
      </c>
      <c r="AV719" s="27">
        <f>IF(G719="","",IF(AT719="Evet",AR719,IF(AU719="Evet",AP719,"")))</f>
        <v/>
      </c>
    </row>
    <row r="720">
      <c r="A720" s="23" t="n"/>
      <c r="B720" s="23" t="n"/>
      <c r="C720" s="23" t="n"/>
      <c r="D720" s="23" t="n"/>
      <c r="E720" s="23" t="n"/>
      <c r="F720" s="23" t="n"/>
      <c r="G720" s="23" t="n"/>
      <c r="H720" s="23" t="n"/>
      <c r="I720" s="23" t="n"/>
      <c r="J720" s="23" t="n"/>
      <c r="K720" s="23" t="n"/>
      <c r="L720" s="23" t="n"/>
      <c r="M720" s="23" t="n"/>
      <c r="N720" s="23" t="n"/>
      <c r="O720" s="23" t="n"/>
      <c r="P720" s="23" t="n"/>
      <c r="Q720" s="23" t="n"/>
      <c r="R720" s="23" t="n"/>
      <c r="S720" s="23" t="n"/>
      <c r="T720" s="23" t="n"/>
      <c r="U720" s="23" t="n"/>
      <c r="V720" s="23" t="n"/>
      <c r="W720" s="23" t="n"/>
      <c r="X720" s="23" t="n"/>
      <c r="Y720" s="23" t="n"/>
      <c r="Z720" s="23" t="n"/>
      <c r="AA720" s="23" t="n"/>
      <c r="AB720" s="23" t="n"/>
      <c r="AC720" s="23" t="n"/>
      <c r="AD720" s="23" t="n"/>
      <c r="AE720" s="23" t="n"/>
      <c r="AF720" s="23" t="n"/>
      <c r="AG720" s="23" t="n"/>
      <c r="AH720" s="23" t="n"/>
      <c r="AI720" s="23" t="n"/>
      <c r="AJ720" s="23" t="n"/>
      <c r="AK720" s="23" t="n"/>
      <c r="AL720" s="23" t="n"/>
      <c r="AM720" s="26">
        <f>IF(G720="","",G720&amp;"|"&amp;P720)</f>
        <v/>
      </c>
      <c r="AN720" s="27">
        <f>IF(I720="","",IFERROR(DATE(VALUE(RIGHT(I720,4)),VALUE(MID(I720,4,2)),VALUE(LEFT(I720,2))),""))</f>
        <v/>
      </c>
      <c r="AO720" s="27">
        <f>IF(Y720="","",IFERROR(DATE(VALUE(RIGHT(Y720,4)),VALUE(MID(Y720,4,2)),VALUE(LEFT(Y720,2))),""))</f>
        <v/>
      </c>
      <c r="AP720" s="27">
        <f>IF(AC720="","",IFERROR(DATE(VALUE(RIGHT(AC720,4)),VALUE(MID(AC720,4,2)),VALUE(LEFT(AC720,2))),""))</f>
        <v/>
      </c>
      <c r="AQ720" s="26">
        <f>IF(AI720="","",TRIM(LEFT(AI720,FIND(" ",AI720&amp;" ")-1)))</f>
        <v/>
      </c>
      <c r="AR720" s="27">
        <f>IF(AQ720="","",IFERROR(DATE(VALUE(MID(AQ720,FIND("/",AQ720,FIND("/",AQ720)+1)+1,4)),VALUE(LEFT(AQ720,FIND("/",AQ720)-1)),VALUE(MID(AQ720,FIND("/",AQ720)+1,FIND("/",AQ720,FIND("/",AQ720)+1)-FIND("/",AQ720)-1))),""))</f>
        <v/>
      </c>
      <c r="AS720" s="26">
        <f>IF(G720="","",IF(AND(AG720&lt;&gt;"",AG720&lt;&gt;"Bayi Aracı"),"Evet","Hayır"))</f>
        <v/>
      </c>
      <c r="AT720" s="26">
        <f>IF(G720="","",IF(AND(AS720="Evet",T720="Siparişiniz Teslim Edildi"),"Evet","Hayır"))</f>
        <v/>
      </c>
      <c r="AU720" s="26">
        <f>IF(G720="","",IF(AB720="Siparişinizin Montajı Yapıldı","Evet","Hayır"))</f>
        <v/>
      </c>
      <c r="AV720" s="27">
        <f>IF(G720="","",IF(AT720="Evet",AR720,IF(AU720="Evet",AP720,"")))</f>
        <v/>
      </c>
    </row>
    <row r="721">
      <c r="A721" s="23" t="n"/>
      <c r="B721" s="23" t="n"/>
      <c r="C721" s="23" t="n"/>
      <c r="D721" s="23" t="n"/>
      <c r="E721" s="23" t="n"/>
      <c r="F721" s="23" t="n"/>
      <c r="G721" s="23" t="n"/>
      <c r="H721" s="23" t="n"/>
      <c r="I721" s="23" t="n"/>
      <c r="J721" s="23" t="n"/>
      <c r="K721" s="23" t="n"/>
      <c r="L721" s="23" t="n"/>
      <c r="M721" s="23" t="n"/>
      <c r="N721" s="23" t="n"/>
      <c r="O721" s="23" t="n"/>
      <c r="P721" s="23" t="n"/>
      <c r="Q721" s="23" t="n"/>
      <c r="R721" s="23" t="n"/>
      <c r="S721" s="23" t="n"/>
      <c r="T721" s="23" t="n"/>
      <c r="U721" s="23" t="n"/>
      <c r="V721" s="23" t="n"/>
      <c r="W721" s="23" t="n"/>
      <c r="X721" s="23" t="n"/>
      <c r="Y721" s="23" t="n"/>
      <c r="Z721" s="23" t="n"/>
      <c r="AA721" s="23" t="n"/>
      <c r="AB721" s="23" t="n"/>
      <c r="AC721" s="23" t="n"/>
      <c r="AD721" s="23" t="n"/>
      <c r="AE721" s="23" t="n"/>
      <c r="AF721" s="23" t="n"/>
      <c r="AG721" s="23" t="n"/>
      <c r="AH721" s="23" t="n"/>
      <c r="AI721" s="23" t="n"/>
      <c r="AJ721" s="23" t="n"/>
      <c r="AK721" s="23" t="n"/>
      <c r="AL721" s="23" t="n"/>
      <c r="AM721" s="26">
        <f>IF(G721="","",G721&amp;"|"&amp;P721)</f>
        <v/>
      </c>
      <c r="AN721" s="27">
        <f>IF(I721="","",IFERROR(DATE(VALUE(RIGHT(I721,4)),VALUE(MID(I721,4,2)),VALUE(LEFT(I721,2))),""))</f>
        <v/>
      </c>
      <c r="AO721" s="27">
        <f>IF(Y721="","",IFERROR(DATE(VALUE(RIGHT(Y721,4)),VALUE(MID(Y721,4,2)),VALUE(LEFT(Y721,2))),""))</f>
        <v/>
      </c>
      <c r="AP721" s="27">
        <f>IF(AC721="","",IFERROR(DATE(VALUE(RIGHT(AC721,4)),VALUE(MID(AC721,4,2)),VALUE(LEFT(AC721,2))),""))</f>
        <v/>
      </c>
      <c r="AQ721" s="26">
        <f>IF(AI721="","",TRIM(LEFT(AI721,FIND(" ",AI721&amp;" ")-1)))</f>
        <v/>
      </c>
      <c r="AR721" s="27">
        <f>IF(AQ721="","",IFERROR(DATE(VALUE(MID(AQ721,FIND("/",AQ721,FIND("/",AQ721)+1)+1,4)),VALUE(LEFT(AQ721,FIND("/",AQ721)-1)),VALUE(MID(AQ721,FIND("/",AQ721)+1,FIND("/",AQ721,FIND("/",AQ721)+1)-FIND("/",AQ721)-1))),""))</f>
        <v/>
      </c>
      <c r="AS721" s="26">
        <f>IF(G721="","",IF(AND(AG721&lt;&gt;"",AG721&lt;&gt;"Bayi Aracı"),"Evet","Hayır"))</f>
        <v/>
      </c>
      <c r="AT721" s="26">
        <f>IF(G721="","",IF(AND(AS721="Evet",T721="Siparişiniz Teslim Edildi"),"Evet","Hayır"))</f>
        <v/>
      </c>
      <c r="AU721" s="26">
        <f>IF(G721="","",IF(AB721="Siparişinizin Montajı Yapıldı","Evet","Hayır"))</f>
        <v/>
      </c>
      <c r="AV721" s="27">
        <f>IF(G721="","",IF(AT721="Evet",AR721,IF(AU721="Evet",AP721,"")))</f>
        <v/>
      </c>
    </row>
    <row r="722">
      <c r="A722" s="23" t="n"/>
      <c r="B722" s="23" t="n"/>
      <c r="C722" s="23" t="n"/>
      <c r="D722" s="23" t="n"/>
      <c r="E722" s="23" t="n"/>
      <c r="F722" s="23" t="n"/>
      <c r="G722" s="23" t="n"/>
      <c r="H722" s="23" t="n"/>
      <c r="I722" s="23" t="n"/>
      <c r="J722" s="23" t="n"/>
      <c r="K722" s="23" t="n"/>
      <c r="L722" s="23" t="n"/>
      <c r="M722" s="23" t="n"/>
      <c r="N722" s="23" t="n"/>
      <c r="O722" s="23" t="n"/>
      <c r="P722" s="23" t="n"/>
      <c r="Q722" s="23" t="n"/>
      <c r="R722" s="23" t="n"/>
      <c r="S722" s="23" t="n"/>
      <c r="T722" s="23" t="n"/>
      <c r="U722" s="23" t="n"/>
      <c r="V722" s="23" t="n"/>
      <c r="W722" s="23" t="n"/>
      <c r="X722" s="23" t="n"/>
      <c r="Y722" s="23" t="n"/>
      <c r="Z722" s="23" t="n"/>
      <c r="AA722" s="23" t="n"/>
      <c r="AB722" s="23" t="n"/>
      <c r="AC722" s="23" t="n"/>
      <c r="AD722" s="23" t="n"/>
      <c r="AE722" s="23" t="n"/>
      <c r="AF722" s="23" t="n"/>
      <c r="AG722" s="23" t="n"/>
      <c r="AH722" s="23" t="n"/>
      <c r="AI722" s="23" t="n"/>
      <c r="AJ722" s="23" t="n"/>
      <c r="AK722" s="23" t="n"/>
      <c r="AL722" s="23" t="n"/>
      <c r="AM722" s="26">
        <f>IF(G722="","",G722&amp;"|"&amp;P722)</f>
        <v/>
      </c>
      <c r="AN722" s="27">
        <f>IF(I722="","",IFERROR(DATE(VALUE(RIGHT(I722,4)),VALUE(MID(I722,4,2)),VALUE(LEFT(I722,2))),""))</f>
        <v/>
      </c>
      <c r="AO722" s="27">
        <f>IF(Y722="","",IFERROR(DATE(VALUE(RIGHT(Y722,4)),VALUE(MID(Y722,4,2)),VALUE(LEFT(Y722,2))),""))</f>
        <v/>
      </c>
      <c r="AP722" s="27">
        <f>IF(AC722="","",IFERROR(DATE(VALUE(RIGHT(AC722,4)),VALUE(MID(AC722,4,2)),VALUE(LEFT(AC722,2))),""))</f>
        <v/>
      </c>
      <c r="AQ722" s="26">
        <f>IF(AI722="","",TRIM(LEFT(AI722,FIND(" ",AI722&amp;" ")-1)))</f>
        <v/>
      </c>
      <c r="AR722" s="27">
        <f>IF(AQ722="","",IFERROR(DATE(VALUE(MID(AQ722,FIND("/",AQ722,FIND("/",AQ722)+1)+1,4)),VALUE(LEFT(AQ722,FIND("/",AQ722)-1)),VALUE(MID(AQ722,FIND("/",AQ722)+1,FIND("/",AQ722,FIND("/",AQ722)+1)-FIND("/",AQ722)-1))),""))</f>
        <v/>
      </c>
      <c r="AS722" s="26">
        <f>IF(G722="","",IF(AND(AG722&lt;&gt;"",AG722&lt;&gt;"Bayi Aracı"),"Evet","Hayır"))</f>
        <v/>
      </c>
      <c r="AT722" s="26">
        <f>IF(G722="","",IF(AND(AS722="Evet",T722="Siparişiniz Teslim Edildi"),"Evet","Hayır"))</f>
        <v/>
      </c>
      <c r="AU722" s="26">
        <f>IF(G722="","",IF(AB722="Siparişinizin Montajı Yapıldı","Evet","Hayır"))</f>
        <v/>
      </c>
      <c r="AV722" s="27">
        <f>IF(G722="","",IF(AT722="Evet",AR722,IF(AU722="Evet",AP722,"")))</f>
        <v/>
      </c>
    </row>
    <row r="723">
      <c r="A723" s="23" t="n"/>
      <c r="B723" s="23" t="n"/>
      <c r="C723" s="23" t="n"/>
      <c r="D723" s="23" t="n"/>
      <c r="E723" s="23" t="n"/>
      <c r="F723" s="23" t="n"/>
      <c r="G723" s="23" t="n"/>
      <c r="H723" s="23" t="n"/>
      <c r="I723" s="23" t="n"/>
      <c r="J723" s="23" t="n"/>
      <c r="K723" s="23" t="n"/>
      <c r="L723" s="23" t="n"/>
      <c r="M723" s="23" t="n"/>
      <c r="N723" s="23" t="n"/>
      <c r="O723" s="23" t="n"/>
      <c r="P723" s="23" t="n"/>
      <c r="Q723" s="23" t="n"/>
      <c r="R723" s="23" t="n"/>
      <c r="S723" s="23" t="n"/>
      <c r="T723" s="23" t="n"/>
      <c r="U723" s="23" t="n"/>
      <c r="V723" s="23" t="n"/>
      <c r="W723" s="23" t="n"/>
      <c r="X723" s="23" t="n"/>
      <c r="Y723" s="23" t="n"/>
      <c r="Z723" s="23" t="n"/>
      <c r="AA723" s="23" t="n"/>
      <c r="AB723" s="23" t="n"/>
      <c r="AC723" s="23" t="n"/>
      <c r="AD723" s="23" t="n"/>
      <c r="AE723" s="23" t="n"/>
      <c r="AF723" s="23" t="n"/>
      <c r="AG723" s="23" t="n"/>
      <c r="AH723" s="23" t="n"/>
      <c r="AI723" s="23" t="n"/>
      <c r="AJ723" s="23" t="n"/>
      <c r="AK723" s="23" t="n"/>
      <c r="AL723" s="23" t="n"/>
      <c r="AM723" s="26">
        <f>IF(G723="","",G723&amp;"|"&amp;P723)</f>
        <v/>
      </c>
      <c r="AN723" s="27">
        <f>IF(I723="","",IFERROR(DATE(VALUE(RIGHT(I723,4)),VALUE(MID(I723,4,2)),VALUE(LEFT(I723,2))),""))</f>
        <v/>
      </c>
      <c r="AO723" s="27">
        <f>IF(Y723="","",IFERROR(DATE(VALUE(RIGHT(Y723,4)),VALUE(MID(Y723,4,2)),VALUE(LEFT(Y723,2))),""))</f>
        <v/>
      </c>
      <c r="AP723" s="27">
        <f>IF(AC723="","",IFERROR(DATE(VALUE(RIGHT(AC723,4)),VALUE(MID(AC723,4,2)),VALUE(LEFT(AC723,2))),""))</f>
        <v/>
      </c>
      <c r="AQ723" s="26">
        <f>IF(AI723="","",TRIM(LEFT(AI723,FIND(" ",AI723&amp;" ")-1)))</f>
        <v/>
      </c>
      <c r="AR723" s="27">
        <f>IF(AQ723="","",IFERROR(DATE(VALUE(MID(AQ723,FIND("/",AQ723,FIND("/",AQ723)+1)+1,4)),VALUE(LEFT(AQ723,FIND("/",AQ723)-1)),VALUE(MID(AQ723,FIND("/",AQ723)+1,FIND("/",AQ723,FIND("/",AQ723)+1)-FIND("/",AQ723)-1))),""))</f>
        <v/>
      </c>
      <c r="AS723" s="26">
        <f>IF(G723="","",IF(AND(AG723&lt;&gt;"",AG723&lt;&gt;"Bayi Aracı"),"Evet","Hayır"))</f>
        <v/>
      </c>
      <c r="AT723" s="26">
        <f>IF(G723="","",IF(AND(AS723="Evet",T723="Siparişiniz Teslim Edildi"),"Evet","Hayır"))</f>
        <v/>
      </c>
      <c r="AU723" s="26">
        <f>IF(G723="","",IF(AB723="Siparişinizin Montajı Yapıldı","Evet","Hayır"))</f>
        <v/>
      </c>
      <c r="AV723" s="27">
        <f>IF(G723="","",IF(AT723="Evet",AR723,IF(AU723="Evet",AP723,"")))</f>
        <v/>
      </c>
    </row>
    <row r="724">
      <c r="A724" s="23" t="n"/>
      <c r="B724" s="23" t="n"/>
      <c r="C724" s="23" t="n"/>
      <c r="D724" s="23" t="n"/>
      <c r="E724" s="23" t="n"/>
      <c r="F724" s="23" t="n"/>
      <c r="G724" s="23" t="n"/>
      <c r="H724" s="23" t="n"/>
      <c r="I724" s="23" t="n"/>
      <c r="J724" s="23" t="n"/>
      <c r="K724" s="23" t="n"/>
      <c r="L724" s="23" t="n"/>
      <c r="M724" s="23" t="n"/>
      <c r="N724" s="23" t="n"/>
      <c r="O724" s="23" t="n"/>
      <c r="P724" s="23" t="n"/>
      <c r="Q724" s="23" t="n"/>
      <c r="R724" s="23" t="n"/>
      <c r="S724" s="23" t="n"/>
      <c r="T724" s="23" t="n"/>
      <c r="U724" s="23" t="n"/>
      <c r="V724" s="23" t="n"/>
      <c r="W724" s="23" t="n"/>
      <c r="X724" s="23" t="n"/>
      <c r="Y724" s="23" t="n"/>
      <c r="Z724" s="23" t="n"/>
      <c r="AA724" s="23" t="n"/>
      <c r="AB724" s="23" t="n"/>
      <c r="AC724" s="23" t="n"/>
      <c r="AD724" s="23" t="n"/>
      <c r="AE724" s="23" t="n"/>
      <c r="AF724" s="23" t="n"/>
      <c r="AG724" s="23" t="n"/>
      <c r="AH724" s="23" t="n"/>
      <c r="AI724" s="23" t="n"/>
      <c r="AJ724" s="23" t="n"/>
      <c r="AK724" s="23" t="n"/>
      <c r="AL724" s="23" t="n"/>
      <c r="AM724" s="26">
        <f>IF(G724="","",G724&amp;"|"&amp;P724)</f>
        <v/>
      </c>
      <c r="AN724" s="27">
        <f>IF(I724="","",IFERROR(DATE(VALUE(RIGHT(I724,4)),VALUE(MID(I724,4,2)),VALUE(LEFT(I724,2))),""))</f>
        <v/>
      </c>
      <c r="AO724" s="27">
        <f>IF(Y724="","",IFERROR(DATE(VALUE(RIGHT(Y724,4)),VALUE(MID(Y724,4,2)),VALUE(LEFT(Y724,2))),""))</f>
        <v/>
      </c>
      <c r="AP724" s="27">
        <f>IF(AC724="","",IFERROR(DATE(VALUE(RIGHT(AC724,4)),VALUE(MID(AC724,4,2)),VALUE(LEFT(AC724,2))),""))</f>
        <v/>
      </c>
      <c r="AQ724" s="26">
        <f>IF(AI724="","",TRIM(LEFT(AI724,FIND(" ",AI724&amp;" ")-1)))</f>
        <v/>
      </c>
      <c r="AR724" s="27">
        <f>IF(AQ724="","",IFERROR(DATE(VALUE(MID(AQ724,FIND("/",AQ724,FIND("/",AQ724)+1)+1,4)),VALUE(LEFT(AQ724,FIND("/",AQ724)-1)),VALUE(MID(AQ724,FIND("/",AQ724)+1,FIND("/",AQ724,FIND("/",AQ724)+1)-FIND("/",AQ724)-1))),""))</f>
        <v/>
      </c>
      <c r="AS724" s="26">
        <f>IF(G724="","",IF(AND(AG724&lt;&gt;"",AG724&lt;&gt;"Bayi Aracı"),"Evet","Hayır"))</f>
        <v/>
      </c>
      <c r="AT724" s="26">
        <f>IF(G724="","",IF(AND(AS724="Evet",T724="Siparişiniz Teslim Edildi"),"Evet","Hayır"))</f>
        <v/>
      </c>
      <c r="AU724" s="26">
        <f>IF(G724="","",IF(AB724="Siparişinizin Montajı Yapıldı","Evet","Hayır"))</f>
        <v/>
      </c>
      <c r="AV724" s="27">
        <f>IF(G724="","",IF(AT724="Evet",AR724,IF(AU724="Evet",AP724,"")))</f>
        <v/>
      </c>
    </row>
    <row r="725">
      <c r="A725" s="23" t="n"/>
      <c r="B725" s="23" t="n"/>
      <c r="C725" s="23" t="n"/>
      <c r="D725" s="23" t="n"/>
      <c r="E725" s="23" t="n"/>
      <c r="F725" s="23" t="n"/>
      <c r="G725" s="23" t="n"/>
      <c r="H725" s="23" t="n"/>
      <c r="I725" s="23" t="n"/>
      <c r="J725" s="23" t="n"/>
      <c r="K725" s="23" t="n"/>
      <c r="L725" s="23" t="n"/>
      <c r="M725" s="23" t="n"/>
      <c r="N725" s="23" t="n"/>
      <c r="O725" s="23" t="n"/>
      <c r="P725" s="23" t="n"/>
      <c r="Q725" s="23" t="n"/>
      <c r="R725" s="23" t="n"/>
      <c r="S725" s="23" t="n"/>
      <c r="T725" s="23" t="n"/>
      <c r="U725" s="23" t="n"/>
      <c r="V725" s="23" t="n"/>
      <c r="W725" s="23" t="n"/>
      <c r="X725" s="23" t="n"/>
      <c r="Y725" s="23" t="n"/>
      <c r="Z725" s="23" t="n"/>
      <c r="AA725" s="23" t="n"/>
      <c r="AB725" s="23" t="n"/>
      <c r="AC725" s="23" t="n"/>
      <c r="AD725" s="23" t="n"/>
      <c r="AE725" s="23" t="n"/>
      <c r="AF725" s="23" t="n"/>
      <c r="AG725" s="23" t="n"/>
      <c r="AH725" s="23" t="n"/>
      <c r="AI725" s="23" t="n"/>
      <c r="AJ725" s="23" t="n"/>
      <c r="AK725" s="23" t="n"/>
      <c r="AL725" s="23" t="n"/>
      <c r="AM725" s="26">
        <f>IF(G725="","",G725&amp;"|"&amp;P725)</f>
        <v/>
      </c>
      <c r="AN725" s="27">
        <f>IF(I725="","",IFERROR(DATE(VALUE(RIGHT(I725,4)),VALUE(MID(I725,4,2)),VALUE(LEFT(I725,2))),""))</f>
        <v/>
      </c>
      <c r="AO725" s="27">
        <f>IF(Y725="","",IFERROR(DATE(VALUE(RIGHT(Y725,4)),VALUE(MID(Y725,4,2)),VALUE(LEFT(Y725,2))),""))</f>
        <v/>
      </c>
      <c r="AP725" s="27">
        <f>IF(AC725="","",IFERROR(DATE(VALUE(RIGHT(AC725,4)),VALUE(MID(AC725,4,2)),VALUE(LEFT(AC725,2))),""))</f>
        <v/>
      </c>
      <c r="AQ725" s="26">
        <f>IF(AI725="","",TRIM(LEFT(AI725,FIND(" ",AI725&amp;" ")-1)))</f>
        <v/>
      </c>
      <c r="AR725" s="27">
        <f>IF(AQ725="","",IFERROR(DATE(VALUE(MID(AQ725,FIND("/",AQ725,FIND("/",AQ725)+1)+1,4)),VALUE(LEFT(AQ725,FIND("/",AQ725)-1)),VALUE(MID(AQ725,FIND("/",AQ725)+1,FIND("/",AQ725,FIND("/",AQ725)+1)-FIND("/",AQ725)-1))),""))</f>
        <v/>
      </c>
      <c r="AS725" s="26">
        <f>IF(G725="","",IF(AND(AG725&lt;&gt;"",AG725&lt;&gt;"Bayi Aracı"),"Evet","Hayır"))</f>
        <v/>
      </c>
      <c r="AT725" s="26">
        <f>IF(G725="","",IF(AND(AS725="Evet",T725="Siparişiniz Teslim Edildi"),"Evet","Hayır"))</f>
        <v/>
      </c>
      <c r="AU725" s="26">
        <f>IF(G725="","",IF(AB725="Siparişinizin Montajı Yapıldı","Evet","Hayır"))</f>
        <v/>
      </c>
      <c r="AV725" s="27">
        <f>IF(G725="","",IF(AT725="Evet",AR725,IF(AU725="Evet",AP725,"")))</f>
        <v/>
      </c>
    </row>
    <row r="726">
      <c r="A726" s="23" t="n"/>
      <c r="B726" s="23" t="n"/>
      <c r="C726" s="23" t="n"/>
      <c r="D726" s="23" t="n"/>
      <c r="E726" s="23" t="n"/>
      <c r="F726" s="23" t="n"/>
      <c r="G726" s="23" t="n"/>
      <c r="H726" s="23" t="n"/>
      <c r="I726" s="23" t="n"/>
      <c r="J726" s="23" t="n"/>
      <c r="K726" s="23" t="n"/>
      <c r="L726" s="23" t="n"/>
      <c r="M726" s="23" t="n"/>
      <c r="N726" s="23" t="n"/>
      <c r="O726" s="23" t="n"/>
      <c r="P726" s="23" t="n"/>
      <c r="Q726" s="23" t="n"/>
      <c r="R726" s="23" t="n"/>
      <c r="S726" s="23" t="n"/>
      <c r="T726" s="23" t="n"/>
      <c r="U726" s="23" t="n"/>
      <c r="V726" s="23" t="n"/>
      <c r="W726" s="23" t="n"/>
      <c r="X726" s="23" t="n"/>
      <c r="Y726" s="23" t="n"/>
      <c r="Z726" s="23" t="n"/>
      <c r="AA726" s="23" t="n"/>
      <c r="AB726" s="23" t="n"/>
      <c r="AC726" s="23" t="n"/>
      <c r="AD726" s="23" t="n"/>
      <c r="AE726" s="23" t="n"/>
      <c r="AF726" s="23" t="n"/>
      <c r="AG726" s="23" t="n"/>
      <c r="AH726" s="23" t="n"/>
      <c r="AI726" s="23" t="n"/>
      <c r="AJ726" s="23" t="n"/>
      <c r="AK726" s="23" t="n"/>
      <c r="AL726" s="23" t="n"/>
      <c r="AM726" s="26">
        <f>IF(G726="","",G726&amp;"|"&amp;P726)</f>
        <v/>
      </c>
      <c r="AN726" s="27">
        <f>IF(I726="","",IFERROR(DATE(VALUE(RIGHT(I726,4)),VALUE(MID(I726,4,2)),VALUE(LEFT(I726,2))),""))</f>
        <v/>
      </c>
      <c r="AO726" s="27">
        <f>IF(Y726="","",IFERROR(DATE(VALUE(RIGHT(Y726,4)),VALUE(MID(Y726,4,2)),VALUE(LEFT(Y726,2))),""))</f>
        <v/>
      </c>
      <c r="AP726" s="27">
        <f>IF(AC726="","",IFERROR(DATE(VALUE(RIGHT(AC726,4)),VALUE(MID(AC726,4,2)),VALUE(LEFT(AC726,2))),""))</f>
        <v/>
      </c>
      <c r="AQ726" s="26">
        <f>IF(AI726="","",TRIM(LEFT(AI726,FIND(" ",AI726&amp;" ")-1)))</f>
        <v/>
      </c>
      <c r="AR726" s="27">
        <f>IF(AQ726="","",IFERROR(DATE(VALUE(MID(AQ726,FIND("/",AQ726,FIND("/",AQ726)+1)+1,4)),VALUE(LEFT(AQ726,FIND("/",AQ726)-1)),VALUE(MID(AQ726,FIND("/",AQ726)+1,FIND("/",AQ726,FIND("/",AQ726)+1)-FIND("/",AQ726)-1))),""))</f>
        <v/>
      </c>
      <c r="AS726" s="26">
        <f>IF(G726="","",IF(AND(AG726&lt;&gt;"",AG726&lt;&gt;"Bayi Aracı"),"Evet","Hayır"))</f>
        <v/>
      </c>
      <c r="AT726" s="26">
        <f>IF(G726="","",IF(AND(AS726="Evet",T726="Siparişiniz Teslim Edildi"),"Evet","Hayır"))</f>
        <v/>
      </c>
      <c r="AU726" s="26">
        <f>IF(G726="","",IF(AB726="Siparişinizin Montajı Yapıldı","Evet","Hayır"))</f>
        <v/>
      </c>
      <c r="AV726" s="27">
        <f>IF(G726="","",IF(AT726="Evet",AR726,IF(AU726="Evet",AP726,"")))</f>
        <v/>
      </c>
    </row>
    <row r="727">
      <c r="A727" s="23" t="n"/>
      <c r="B727" s="23" t="n"/>
      <c r="C727" s="23" t="n"/>
      <c r="D727" s="23" t="n"/>
      <c r="E727" s="23" t="n"/>
      <c r="F727" s="23" t="n"/>
      <c r="G727" s="23" t="n"/>
      <c r="H727" s="23" t="n"/>
      <c r="I727" s="23" t="n"/>
      <c r="J727" s="23" t="n"/>
      <c r="K727" s="23" t="n"/>
      <c r="L727" s="23" t="n"/>
      <c r="M727" s="23" t="n"/>
      <c r="N727" s="23" t="n"/>
      <c r="O727" s="23" t="n"/>
      <c r="P727" s="23" t="n"/>
      <c r="Q727" s="23" t="n"/>
      <c r="R727" s="23" t="n"/>
      <c r="S727" s="23" t="n"/>
      <c r="T727" s="23" t="n"/>
      <c r="U727" s="23" t="n"/>
      <c r="V727" s="23" t="n"/>
      <c r="W727" s="23" t="n"/>
      <c r="X727" s="23" t="n"/>
      <c r="Y727" s="23" t="n"/>
      <c r="Z727" s="23" t="n"/>
      <c r="AA727" s="23" t="n"/>
      <c r="AB727" s="23" t="n"/>
      <c r="AC727" s="23" t="n"/>
      <c r="AD727" s="23" t="n"/>
      <c r="AE727" s="23" t="n"/>
      <c r="AF727" s="23" t="n"/>
      <c r="AG727" s="23" t="n"/>
      <c r="AH727" s="23" t="n"/>
      <c r="AI727" s="23" t="n"/>
      <c r="AJ727" s="23" t="n"/>
      <c r="AK727" s="23" t="n"/>
      <c r="AL727" s="23" t="n"/>
      <c r="AM727" s="26">
        <f>IF(G727="","",G727&amp;"|"&amp;P727)</f>
        <v/>
      </c>
      <c r="AN727" s="27">
        <f>IF(I727="","",IFERROR(DATE(VALUE(RIGHT(I727,4)),VALUE(MID(I727,4,2)),VALUE(LEFT(I727,2))),""))</f>
        <v/>
      </c>
      <c r="AO727" s="27">
        <f>IF(Y727="","",IFERROR(DATE(VALUE(RIGHT(Y727,4)),VALUE(MID(Y727,4,2)),VALUE(LEFT(Y727,2))),""))</f>
        <v/>
      </c>
      <c r="AP727" s="27">
        <f>IF(AC727="","",IFERROR(DATE(VALUE(RIGHT(AC727,4)),VALUE(MID(AC727,4,2)),VALUE(LEFT(AC727,2))),""))</f>
        <v/>
      </c>
      <c r="AQ727" s="26">
        <f>IF(AI727="","",TRIM(LEFT(AI727,FIND(" ",AI727&amp;" ")-1)))</f>
        <v/>
      </c>
      <c r="AR727" s="27">
        <f>IF(AQ727="","",IFERROR(DATE(VALUE(MID(AQ727,FIND("/",AQ727,FIND("/",AQ727)+1)+1,4)),VALUE(LEFT(AQ727,FIND("/",AQ727)-1)),VALUE(MID(AQ727,FIND("/",AQ727)+1,FIND("/",AQ727,FIND("/",AQ727)+1)-FIND("/",AQ727)-1))),""))</f>
        <v/>
      </c>
      <c r="AS727" s="26">
        <f>IF(G727="","",IF(AND(AG727&lt;&gt;"",AG727&lt;&gt;"Bayi Aracı"),"Evet","Hayır"))</f>
        <v/>
      </c>
      <c r="AT727" s="26">
        <f>IF(G727="","",IF(AND(AS727="Evet",T727="Siparişiniz Teslim Edildi"),"Evet","Hayır"))</f>
        <v/>
      </c>
      <c r="AU727" s="26">
        <f>IF(G727="","",IF(AB727="Siparişinizin Montajı Yapıldı","Evet","Hayır"))</f>
        <v/>
      </c>
      <c r="AV727" s="27">
        <f>IF(G727="","",IF(AT727="Evet",AR727,IF(AU727="Evet",AP727,"")))</f>
        <v/>
      </c>
    </row>
    <row r="728">
      <c r="A728" s="23" t="n"/>
      <c r="B728" s="23" t="n"/>
      <c r="C728" s="23" t="n"/>
      <c r="D728" s="23" t="n"/>
      <c r="E728" s="23" t="n"/>
      <c r="F728" s="23" t="n"/>
      <c r="G728" s="23" t="n"/>
      <c r="H728" s="23" t="n"/>
      <c r="I728" s="23" t="n"/>
      <c r="J728" s="23" t="n"/>
      <c r="K728" s="23" t="n"/>
      <c r="L728" s="23" t="n"/>
      <c r="M728" s="23" t="n"/>
      <c r="N728" s="23" t="n"/>
      <c r="O728" s="23" t="n"/>
      <c r="P728" s="23" t="n"/>
      <c r="Q728" s="23" t="n"/>
      <c r="R728" s="23" t="n"/>
      <c r="S728" s="23" t="n"/>
      <c r="T728" s="23" t="n"/>
      <c r="U728" s="23" t="n"/>
      <c r="V728" s="23" t="n"/>
      <c r="W728" s="23" t="n"/>
      <c r="X728" s="23" t="n"/>
      <c r="Y728" s="23" t="n"/>
      <c r="Z728" s="23" t="n"/>
      <c r="AA728" s="23" t="n"/>
      <c r="AB728" s="23" t="n"/>
      <c r="AC728" s="23" t="n"/>
      <c r="AD728" s="23" t="n"/>
      <c r="AE728" s="23" t="n"/>
      <c r="AF728" s="23" t="n"/>
      <c r="AG728" s="23" t="n"/>
      <c r="AH728" s="23" t="n"/>
      <c r="AI728" s="23" t="n"/>
      <c r="AJ728" s="23" t="n"/>
      <c r="AK728" s="23" t="n"/>
      <c r="AL728" s="23" t="n"/>
      <c r="AM728" s="26">
        <f>IF(G728="","",G728&amp;"|"&amp;P728)</f>
        <v/>
      </c>
      <c r="AN728" s="27">
        <f>IF(I728="","",IFERROR(DATE(VALUE(RIGHT(I728,4)),VALUE(MID(I728,4,2)),VALUE(LEFT(I728,2))),""))</f>
        <v/>
      </c>
      <c r="AO728" s="27">
        <f>IF(Y728="","",IFERROR(DATE(VALUE(RIGHT(Y728,4)),VALUE(MID(Y728,4,2)),VALUE(LEFT(Y728,2))),""))</f>
        <v/>
      </c>
      <c r="AP728" s="27">
        <f>IF(AC728="","",IFERROR(DATE(VALUE(RIGHT(AC728,4)),VALUE(MID(AC728,4,2)),VALUE(LEFT(AC728,2))),""))</f>
        <v/>
      </c>
      <c r="AQ728" s="26">
        <f>IF(AI728="","",TRIM(LEFT(AI728,FIND(" ",AI728&amp;" ")-1)))</f>
        <v/>
      </c>
      <c r="AR728" s="27">
        <f>IF(AQ728="","",IFERROR(DATE(VALUE(MID(AQ728,FIND("/",AQ728,FIND("/",AQ728)+1)+1,4)),VALUE(LEFT(AQ728,FIND("/",AQ728)-1)),VALUE(MID(AQ728,FIND("/",AQ728)+1,FIND("/",AQ728,FIND("/",AQ728)+1)-FIND("/",AQ728)-1))),""))</f>
        <v/>
      </c>
      <c r="AS728" s="26">
        <f>IF(G728="","",IF(AND(AG728&lt;&gt;"",AG728&lt;&gt;"Bayi Aracı"),"Evet","Hayır"))</f>
        <v/>
      </c>
      <c r="AT728" s="26">
        <f>IF(G728="","",IF(AND(AS728="Evet",T728="Siparişiniz Teslim Edildi"),"Evet","Hayır"))</f>
        <v/>
      </c>
      <c r="AU728" s="26">
        <f>IF(G728="","",IF(AB728="Siparişinizin Montajı Yapıldı","Evet","Hayır"))</f>
        <v/>
      </c>
      <c r="AV728" s="27">
        <f>IF(G728="","",IF(AT728="Evet",AR728,IF(AU728="Evet",AP728,"")))</f>
        <v/>
      </c>
    </row>
    <row r="729">
      <c r="A729" s="23" t="n"/>
      <c r="B729" s="23" t="n"/>
      <c r="C729" s="23" t="n"/>
      <c r="D729" s="23" t="n"/>
      <c r="E729" s="23" t="n"/>
      <c r="F729" s="23" t="n"/>
      <c r="G729" s="23" t="n"/>
      <c r="H729" s="23" t="n"/>
      <c r="I729" s="23" t="n"/>
      <c r="J729" s="23" t="n"/>
      <c r="K729" s="23" t="n"/>
      <c r="L729" s="23" t="n"/>
      <c r="M729" s="23" t="n"/>
      <c r="N729" s="23" t="n"/>
      <c r="O729" s="23" t="n"/>
      <c r="P729" s="23" t="n"/>
      <c r="Q729" s="23" t="n"/>
      <c r="R729" s="23" t="n"/>
      <c r="S729" s="23" t="n"/>
      <c r="T729" s="23" t="n"/>
      <c r="U729" s="23" t="n"/>
      <c r="V729" s="23" t="n"/>
      <c r="W729" s="23" t="n"/>
      <c r="X729" s="23" t="n"/>
      <c r="Y729" s="23" t="n"/>
      <c r="Z729" s="23" t="n"/>
      <c r="AA729" s="23" t="n"/>
      <c r="AB729" s="23" t="n"/>
      <c r="AC729" s="23" t="n"/>
      <c r="AD729" s="23" t="n"/>
      <c r="AE729" s="23" t="n"/>
      <c r="AF729" s="23" t="n"/>
      <c r="AG729" s="23" t="n"/>
      <c r="AH729" s="23" t="n"/>
      <c r="AI729" s="23" t="n"/>
      <c r="AJ729" s="23" t="n"/>
      <c r="AK729" s="23" t="n"/>
      <c r="AL729" s="23" t="n"/>
      <c r="AM729" s="26">
        <f>IF(G729="","",G729&amp;"|"&amp;P729)</f>
        <v/>
      </c>
      <c r="AN729" s="27">
        <f>IF(I729="","",IFERROR(DATE(VALUE(RIGHT(I729,4)),VALUE(MID(I729,4,2)),VALUE(LEFT(I729,2))),""))</f>
        <v/>
      </c>
      <c r="AO729" s="27">
        <f>IF(Y729="","",IFERROR(DATE(VALUE(RIGHT(Y729,4)),VALUE(MID(Y729,4,2)),VALUE(LEFT(Y729,2))),""))</f>
        <v/>
      </c>
      <c r="AP729" s="27">
        <f>IF(AC729="","",IFERROR(DATE(VALUE(RIGHT(AC729,4)),VALUE(MID(AC729,4,2)),VALUE(LEFT(AC729,2))),""))</f>
        <v/>
      </c>
      <c r="AQ729" s="26">
        <f>IF(AI729="","",TRIM(LEFT(AI729,FIND(" ",AI729&amp;" ")-1)))</f>
        <v/>
      </c>
      <c r="AR729" s="27">
        <f>IF(AQ729="","",IFERROR(DATE(VALUE(MID(AQ729,FIND("/",AQ729,FIND("/",AQ729)+1)+1,4)),VALUE(LEFT(AQ729,FIND("/",AQ729)-1)),VALUE(MID(AQ729,FIND("/",AQ729)+1,FIND("/",AQ729,FIND("/",AQ729)+1)-FIND("/",AQ729)-1))),""))</f>
        <v/>
      </c>
      <c r="AS729" s="26">
        <f>IF(G729="","",IF(AND(AG729&lt;&gt;"",AG729&lt;&gt;"Bayi Aracı"),"Evet","Hayır"))</f>
        <v/>
      </c>
      <c r="AT729" s="26">
        <f>IF(G729="","",IF(AND(AS729="Evet",T729="Siparişiniz Teslim Edildi"),"Evet","Hayır"))</f>
        <v/>
      </c>
      <c r="AU729" s="26">
        <f>IF(G729="","",IF(AB729="Siparişinizin Montajı Yapıldı","Evet","Hayır"))</f>
        <v/>
      </c>
      <c r="AV729" s="27">
        <f>IF(G729="","",IF(AT729="Evet",AR729,IF(AU729="Evet",AP729,"")))</f>
        <v/>
      </c>
    </row>
    <row r="730">
      <c r="A730" s="23" t="n"/>
      <c r="B730" s="23" t="n"/>
      <c r="C730" s="23" t="n"/>
      <c r="D730" s="23" t="n"/>
      <c r="E730" s="23" t="n"/>
      <c r="F730" s="23" t="n"/>
      <c r="G730" s="23" t="n"/>
      <c r="H730" s="23" t="n"/>
      <c r="I730" s="23" t="n"/>
      <c r="J730" s="23" t="n"/>
      <c r="K730" s="23" t="n"/>
      <c r="L730" s="23" t="n"/>
      <c r="M730" s="23" t="n"/>
      <c r="N730" s="23" t="n"/>
      <c r="O730" s="23" t="n"/>
      <c r="P730" s="23" t="n"/>
      <c r="Q730" s="23" t="n"/>
      <c r="R730" s="23" t="n"/>
      <c r="S730" s="23" t="n"/>
      <c r="T730" s="23" t="n"/>
      <c r="U730" s="23" t="n"/>
      <c r="V730" s="23" t="n"/>
      <c r="W730" s="23" t="n"/>
      <c r="X730" s="23" t="n"/>
      <c r="Y730" s="23" t="n"/>
      <c r="Z730" s="23" t="n"/>
      <c r="AA730" s="23" t="n"/>
      <c r="AB730" s="23" t="n"/>
      <c r="AC730" s="23" t="n"/>
      <c r="AD730" s="23" t="n"/>
      <c r="AE730" s="23" t="n"/>
      <c r="AF730" s="23" t="n"/>
      <c r="AG730" s="23" t="n"/>
      <c r="AH730" s="23" t="n"/>
      <c r="AI730" s="23" t="n"/>
      <c r="AJ730" s="23" t="n"/>
      <c r="AK730" s="23" t="n"/>
      <c r="AL730" s="23" t="n"/>
      <c r="AM730" s="26">
        <f>IF(G730="","",G730&amp;"|"&amp;P730)</f>
        <v/>
      </c>
      <c r="AN730" s="27">
        <f>IF(I730="","",IFERROR(DATE(VALUE(RIGHT(I730,4)),VALUE(MID(I730,4,2)),VALUE(LEFT(I730,2))),""))</f>
        <v/>
      </c>
      <c r="AO730" s="27">
        <f>IF(Y730="","",IFERROR(DATE(VALUE(RIGHT(Y730,4)),VALUE(MID(Y730,4,2)),VALUE(LEFT(Y730,2))),""))</f>
        <v/>
      </c>
      <c r="AP730" s="27">
        <f>IF(AC730="","",IFERROR(DATE(VALUE(RIGHT(AC730,4)),VALUE(MID(AC730,4,2)),VALUE(LEFT(AC730,2))),""))</f>
        <v/>
      </c>
      <c r="AQ730" s="26">
        <f>IF(AI730="","",TRIM(LEFT(AI730,FIND(" ",AI730&amp;" ")-1)))</f>
        <v/>
      </c>
      <c r="AR730" s="27">
        <f>IF(AQ730="","",IFERROR(DATE(VALUE(MID(AQ730,FIND("/",AQ730,FIND("/",AQ730)+1)+1,4)),VALUE(LEFT(AQ730,FIND("/",AQ730)-1)),VALUE(MID(AQ730,FIND("/",AQ730)+1,FIND("/",AQ730,FIND("/",AQ730)+1)-FIND("/",AQ730)-1))),""))</f>
        <v/>
      </c>
      <c r="AS730" s="26">
        <f>IF(G730="","",IF(AND(AG730&lt;&gt;"",AG730&lt;&gt;"Bayi Aracı"),"Evet","Hayır"))</f>
        <v/>
      </c>
      <c r="AT730" s="26">
        <f>IF(G730="","",IF(AND(AS730="Evet",T730="Siparişiniz Teslim Edildi"),"Evet","Hayır"))</f>
        <v/>
      </c>
      <c r="AU730" s="26">
        <f>IF(G730="","",IF(AB730="Siparişinizin Montajı Yapıldı","Evet","Hayır"))</f>
        <v/>
      </c>
      <c r="AV730" s="27">
        <f>IF(G730="","",IF(AT730="Evet",AR730,IF(AU730="Evet",AP730,"")))</f>
        <v/>
      </c>
    </row>
    <row r="731">
      <c r="A731" s="23" t="n"/>
      <c r="B731" s="23" t="n"/>
      <c r="C731" s="23" t="n"/>
      <c r="D731" s="23" t="n"/>
      <c r="E731" s="23" t="n"/>
      <c r="F731" s="23" t="n"/>
      <c r="G731" s="23" t="n"/>
      <c r="H731" s="23" t="n"/>
      <c r="I731" s="23" t="n"/>
      <c r="J731" s="23" t="n"/>
      <c r="K731" s="23" t="n"/>
      <c r="L731" s="23" t="n"/>
      <c r="M731" s="23" t="n"/>
      <c r="N731" s="23" t="n"/>
      <c r="O731" s="23" t="n"/>
      <c r="P731" s="23" t="n"/>
      <c r="Q731" s="23" t="n"/>
      <c r="R731" s="23" t="n"/>
      <c r="S731" s="23" t="n"/>
      <c r="T731" s="23" t="n"/>
      <c r="U731" s="23" t="n"/>
      <c r="V731" s="23" t="n"/>
      <c r="W731" s="23" t="n"/>
      <c r="X731" s="23" t="n"/>
      <c r="Y731" s="23" t="n"/>
      <c r="Z731" s="23" t="n"/>
      <c r="AA731" s="23" t="n"/>
      <c r="AB731" s="23" t="n"/>
      <c r="AC731" s="23" t="n"/>
      <c r="AD731" s="23" t="n"/>
      <c r="AE731" s="23" t="n"/>
      <c r="AF731" s="23" t="n"/>
      <c r="AG731" s="23" t="n"/>
      <c r="AH731" s="23" t="n"/>
      <c r="AI731" s="23" t="n"/>
      <c r="AJ731" s="23" t="n"/>
      <c r="AK731" s="23" t="n"/>
      <c r="AL731" s="23" t="n"/>
      <c r="AM731" s="26">
        <f>IF(G731="","",G731&amp;"|"&amp;P731)</f>
        <v/>
      </c>
      <c r="AN731" s="27">
        <f>IF(I731="","",IFERROR(DATE(VALUE(RIGHT(I731,4)),VALUE(MID(I731,4,2)),VALUE(LEFT(I731,2))),""))</f>
        <v/>
      </c>
      <c r="AO731" s="27">
        <f>IF(Y731="","",IFERROR(DATE(VALUE(RIGHT(Y731,4)),VALUE(MID(Y731,4,2)),VALUE(LEFT(Y731,2))),""))</f>
        <v/>
      </c>
      <c r="AP731" s="27">
        <f>IF(AC731="","",IFERROR(DATE(VALUE(RIGHT(AC731,4)),VALUE(MID(AC731,4,2)),VALUE(LEFT(AC731,2))),""))</f>
        <v/>
      </c>
      <c r="AQ731" s="26">
        <f>IF(AI731="","",TRIM(LEFT(AI731,FIND(" ",AI731&amp;" ")-1)))</f>
        <v/>
      </c>
      <c r="AR731" s="27">
        <f>IF(AQ731="","",IFERROR(DATE(VALUE(MID(AQ731,FIND("/",AQ731,FIND("/",AQ731)+1)+1,4)),VALUE(LEFT(AQ731,FIND("/",AQ731)-1)),VALUE(MID(AQ731,FIND("/",AQ731)+1,FIND("/",AQ731,FIND("/",AQ731)+1)-FIND("/",AQ731)-1))),""))</f>
        <v/>
      </c>
      <c r="AS731" s="26">
        <f>IF(G731="","",IF(AND(AG731&lt;&gt;"",AG731&lt;&gt;"Bayi Aracı"),"Evet","Hayır"))</f>
        <v/>
      </c>
      <c r="AT731" s="26">
        <f>IF(G731="","",IF(AND(AS731="Evet",T731="Siparişiniz Teslim Edildi"),"Evet","Hayır"))</f>
        <v/>
      </c>
      <c r="AU731" s="26">
        <f>IF(G731="","",IF(AB731="Siparişinizin Montajı Yapıldı","Evet","Hayır"))</f>
        <v/>
      </c>
      <c r="AV731" s="27">
        <f>IF(G731="","",IF(AT731="Evet",AR731,IF(AU731="Evet",AP731,"")))</f>
        <v/>
      </c>
    </row>
    <row r="732">
      <c r="A732" s="23" t="n"/>
      <c r="B732" s="23" t="n"/>
      <c r="C732" s="23" t="n"/>
      <c r="D732" s="23" t="n"/>
      <c r="E732" s="23" t="n"/>
      <c r="F732" s="23" t="n"/>
      <c r="G732" s="23" t="n"/>
      <c r="H732" s="23" t="n"/>
      <c r="I732" s="23" t="n"/>
      <c r="J732" s="23" t="n"/>
      <c r="K732" s="23" t="n"/>
      <c r="L732" s="23" t="n"/>
      <c r="M732" s="23" t="n"/>
      <c r="N732" s="23" t="n"/>
      <c r="O732" s="23" t="n"/>
      <c r="P732" s="23" t="n"/>
      <c r="Q732" s="23" t="n"/>
      <c r="R732" s="23" t="n"/>
      <c r="S732" s="23" t="n"/>
      <c r="T732" s="23" t="n"/>
      <c r="U732" s="23" t="n"/>
      <c r="V732" s="23" t="n"/>
      <c r="W732" s="23" t="n"/>
      <c r="X732" s="23" t="n"/>
      <c r="Y732" s="23" t="n"/>
      <c r="Z732" s="23" t="n"/>
      <c r="AA732" s="23" t="n"/>
      <c r="AB732" s="23" t="n"/>
      <c r="AC732" s="23" t="n"/>
      <c r="AD732" s="23" t="n"/>
      <c r="AE732" s="23" t="n"/>
      <c r="AF732" s="23" t="n"/>
      <c r="AG732" s="23" t="n"/>
      <c r="AH732" s="23" t="n"/>
      <c r="AI732" s="23" t="n"/>
      <c r="AJ732" s="23" t="n"/>
      <c r="AK732" s="23" t="n"/>
      <c r="AL732" s="23" t="n"/>
      <c r="AM732" s="26">
        <f>IF(G732="","",G732&amp;"|"&amp;P732)</f>
        <v/>
      </c>
      <c r="AN732" s="27">
        <f>IF(I732="","",IFERROR(DATE(VALUE(RIGHT(I732,4)),VALUE(MID(I732,4,2)),VALUE(LEFT(I732,2))),""))</f>
        <v/>
      </c>
      <c r="AO732" s="27">
        <f>IF(Y732="","",IFERROR(DATE(VALUE(RIGHT(Y732,4)),VALUE(MID(Y732,4,2)),VALUE(LEFT(Y732,2))),""))</f>
        <v/>
      </c>
      <c r="AP732" s="27">
        <f>IF(AC732="","",IFERROR(DATE(VALUE(RIGHT(AC732,4)),VALUE(MID(AC732,4,2)),VALUE(LEFT(AC732,2))),""))</f>
        <v/>
      </c>
      <c r="AQ732" s="26">
        <f>IF(AI732="","",TRIM(LEFT(AI732,FIND(" ",AI732&amp;" ")-1)))</f>
        <v/>
      </c>
      <c r="AR732" s="27">
        <f>IF(AQ732="","",IFERROR(DATE(VALUE(MID(AQ732,FIND("/",AQ732,FIND("/",AQ732)+1)+1,4)),VALUE(LEFT(AQ732,FIND("/",AQ732)-1)),VALUE(MID(AQ732,FIND("/",AQ732)+1,FIND("/",AQ732,FIND("/",AQ732)+1)-FIND("/",AQ732)-1))),""))</f>
        <v/>
      </c>
      <c r="AS732" s="26">
        <f>IF(G732="","",IF(AND(AG732&lt;&gt;"",AG732&lt;&gt;"Bayi Aracı"),"Evet","Hayır"))</f>
        <v/>
      </c>
      <c r="AT732" s="26">
        <f>IF(G732="","",IF(AND(AS732="Evet",T732="Siparişiniz Teslim Edildi"),"Evet","Hayır"))</f>
        <v/>
      </c>
      <c r="AU732" s="26">
        <f>IF(G732="","",IF(AB732="Siparişinizin Montajı Yapıldı","Evet","Hayır"))</f>
        <v/>
      </c>
      <c r="AV732" s="27">
        <f>IF(G732="","",IF(AT732="Evet",AR732,IF(AU732="Evet",AP732,"")))</f>
        <v/>
      </c>
    </row>
    <row r="733">
      <c r="A733" s="23" t="n"/>
      <c r="B733" s="23" t="n"/>
      <c r="C733" s="23" t="n"/>
      <c r="D733" s="23" t="n"/>
      <c r="E733" s="23" t="n"/>
      <c r="F733" s="23" t="n"/>
      <c r="G733" s="23" t="n"/>
      <c r="H733" s="23" t="n"/>
      <c r="I733" s="23" t="n"/>
      <c r="J733" s="23" t="n"/>
      <c r="K733" s="23" t="n"/>
      <c r="L733" s="23" t="n"/>
      <c r="M733" s="23" t="n"/>
      <c r="N733" s="23" t="n"/>
      <c r="O733" s="23" t="n"/>
      <c r="P733" s="23" t="n"/>
      <c r="Q733" s="23" t="n"/>
      <c r="R733" s="23" t="n"/>
      <c r="S733" s="23" t="n"/>
      <c r="T733" s="23" t="n"/>
      <c r="U733" s="23" t="n"/>
      <c r="V733" s="23" t="n"/>
      <c r="W733" s="23" t="n"/>
      <c r="X733" s="23" t="n"/>
      <c r="Y733" s="23" t="n"/>
      <c r="Z733" s="23" t="n"/>
      <c r="AA733" s="23" t="n"/>
      <c r="AB733" s="23" t="n"/>
      <c r="AC733" s="23" t="n"/>
      <c r="AD733" s="23" t="n"/>
      <c r="AE733" s="23" t="n"/>
      <c r="AF733" s="23" t="n"/>
      <c r="AG733" s="23" t="n"/>
      <c r="AH733" s="23" t="n"/>
      <c r="AI733" s="23" t="n"/>
      <c r="AJ733" s="23" t="n"/>
      <c r="AK733" s="23" t="n"/>
      <c r="AL733" s="23" t="n"/>
      <c r="AM733" s="26">
        <f>IF(G733="","",G733&amp;"|"&amp;P733)</f>
        <v/>
      </c>
      <c r="AN733" s="27">
        <f>IF(I733="","",IFERROR(DATE(VALUE(RIGHT(I733,4)),VALUE(MID(I733,4,2)),VALUE(LEFT(I733,2))),""))</f>
        <v/>
      </c>
      <c r="AO733" s="27">
        <f>IF(Y733="","",IFERROR(DATE(VALUE(RIGHT(Y733,4)),VALUE(MID(Y733,4,2)),VALUE(LEFT(Y733,2))),""))</f>
        <v/>
      </c>
      <c r="AP733" s="27">
        <f>IF(AC733="","",IFERROR(DATE(VALUE(RIGHT(AC733,4)),VALUE(MID(AC733,4,2)),VALUE(LEFT(AC733,2))),""))</f>
        <v/>
      </c>
      <c r="AQ733" s="26">
        <f>IF(AI733="","",TRIM(LEFT(AI733,FIND(" ",AI733&amp;" ")-1)))</f>
        <v/>
      </c>
      <c r="AR733" s="27">
        <f>IF(AQ733="","",IFERROR(DATE(VALUE(MID(AQ733,FIND("/",AQ733,FIND("/",AQ733)+1)+1,4)),VALUE(LEFT(AQ733,FIND("/",AQ733)-1)),VALUE(MID(AQ733,FIND("/",AQ733)+1,FIND("/",AQ733,FIND("/",AQ733)+1)-FIND("/",AQ733)-1))),""))</f>
        <v/>
      </c>
      <c r="AS733" s="26">
        <f>IF(G733="","",IF(AND(AG733&lt;&gt;"",AG733&lt;&gt;"Bayi Aracı"),"Evet","Hayır"))</f>
        <v/>
      </c>
      <c r="AT733" s="26">
        <f>IF(G733="","",IF(AND(AS733="Evet",T733="Siparişiniz Teslim Edildi"),"Evet","Hayır"))</f>
        <v/>
      </c>
      <c r="AU733" s="26">
        <f>IF(G733="","",IF(AB733="Siparişinizin Montajı Yapıldı","Evet","Hayır"))</f>
        <v/>
      </c>
      <c r="AV733" s="27">
        <f>IF(G733="","",IF(AT733="Evet",AR733,IF(AU733="Evet",AP733,"")))</f>
        <v/>
      </c>
    </row>
    <row r="734">
      <c r="A734" s="23" t="n"/>
      <c r="B734" s="23" t="n"/>
      <c r="C734" s="23" t="n"/>
      <c r="D734" s="23" t="n"/>
      <c r="E734" s="23" t="n"/>
      <c r="F734" s="23" t="n"/>
      <c r="G734" s="23" t="n"/>
      <c r="H734" s="23" t="n"/>
      <c r="I734" s="23" t="n"/>
      <c r="J734" s="23" t="n"/>
      <c r="K734" s="23" t="n"/>
      <c r="L734" s="23" t="n"/>
      <c r="M734" s="23" t="n"/>
      <c r="N734" s="23" t="n"/>
      <c r="O734" s="23" t="n"/>
      <c r="P734" s="23" t="n"/>
      <c r="Q734" s="23" t="n"/>
      <c r="R734" s="23" t="n"/>
      <c r="S734" s="23" t="n"/>
      <c r="T734" s="23" t="n"/>
      <c r="U734" s="23" t="n"/>
      <c r="V734" s="23" t="n"/>
      <c r="W734" s="23" t="n"/>
      <c r="X734" s="23" t="n"/>
      <c r="Y734" s="23" t="n"/>
      <c r="Z734" s="23" t="n"/>
      <c r="AA734" s="23" t="n"/>
      <c r="AB734" s="23" t="n"/>
      <c r="AC734" s="23" t="n"/>
      <c r="AD734" s="23" t="n"/>
      <c r="AE734" s="23" t="n"/>
      <c r="AF734" s="23" t="n"/>
      <c r="AG734" s="23" t="n"/>
      <c r="AH734" s="23" t="n"/>
      <c r="AI734" s="23" t="n"/>
      <c r="AJ734" s="23" t="n"/>
      <c r="AK734" s="23" t="n"/>
      <c r="AL734" s="23" t="n"/>
      <c r="AM734" s="26">
        <f>IF(G734="","",G734&amp;"|"&amp;P734)</f>
        <v/>
      </c>
      <c r="AN734" s="27">
        <f>IF(I734="","",IFERROR(DATE(VALUE(RIGHT(I734,4)),VALUE(MID(I734,4,2)),VALUE(LEFT(I734,2))),""))</f>
        <v/>
      </c>
      <c r="AO734" s="27">
        <f>IF(Y734="","",IFERROR(DATE(VALUE(RIGHT(Y734,4)),VALUE(MID(Y734,4,2)),VALUE(LEFT(Y734,2))),""))</f>
        <v/>
      </c>
      <c r="AP734" s="27">
        <f>IF(AC734="","",IFERROR(DATE(VALUE(RIGHT(AC734,4)),VALUE(MID(AC734,4,2)),VALUE(LEFT(AC734,2))),""))</f>
        <v/>
      </c>
      <c r="AQ734" s="26">
        <f>IF(AI734="","",TRIM(LEFT(AI734,FIND(" ",AI734&amp;" ")-1)))</f>
        <v/>
      </c>
      <c r="AR734" s="27">
        <f>IF(AQ734="","",IFERROR(DATE(VALUE(MID(AQ734,FIND("/",AQ734,FIND("/",AQ734)+1)+1,4)),VALUE(LEFT(AQ734,FIND("/",AQ734)-1)),VALUE(MID(AQ734,FIND("/",AQ734)+1,FIND("/",AQ734,FIND("/",AQ734)+1)-FIND("/",AQ734)-1))),""))</f>
        <v/>
      </c>
      <c r="AS734" s="26">
        <f>IF(G734="","",IF(AND(AG734&lt;&gt;"",AG734&lt;&gt;"Bayi Aracı"),"Evet","Hayır"))</f>
        <v/>
      </c>
      <c r="AT734" s="26">
        <f>IF(G734="","",IF(AND(AS734="Evet",T734="Siparişiniz Teslim Edildi"),"Evet","Hayır"))</f>
        <v/>
      </c>
      <c r="AU734" s="26">
        <f>IF(G734="","",IF(AB734="Siparişinizin Montajı Yapıldı","Evet","Hayır"))</f>
        <v/>
      </c>
      <c r="AV734" s="27">
        <f>IF(G734="","",IF(AT734="Evet",AR734,IF(AU734="Evet",AP734,"")))</f>
        <v/>
      </c>
    </row>
    <row r="735">
      <c r="A735" s="23" t="n"/>
      <c r="B735" s="23" t="n"/>
      <c r="C735" s="23" t="n"/>
      <c r="D735" s="23" t="n"/>
      <c r="E735" s="23" t="n"/>
      <c r="F735" s="23" t="n"/>
      <c r="G735" s="23" t="n"/>
      <c r="H735" s="23" t="n"/>
      <c r="I735" s="23" t="n"/>
      <c r="J735" s="23" t="n"/>
      <c r="K735" s="23" t="n"/>
      <c r="L735" s="23" t="n"/>
      <c r="M735" s="23" t="n"/>
      <c r="N735" s="23" t="n"/>
      <c r="O735" s="23" t="n"/>
      <c r="P735" s="23" t="n"/>
      <c r="Q735" s="23" t="n"/>
      <c r="R735" s="23" t="n"/>
      <c r="S735" s="23" t="n"/>
      <c r="T735" s="23" t="n"/>
      <c r="U735" s="23" t="n"/>
      <c r="V735" s="23" t="n"/>
      <c r="W735" s="23" t="n"/>
      <c r="X735" s="23" t="n"/>
      <c r="Y735" s="23" t="n"/>
      <c r="Z735" s="23" t="n"/>
      <c r="AA735" s="23" t="n"/>
      <c r="AB735" s="23" t="n"/>
      <c r="AC735" s="23" t="n"/>
      <c r="AD735" s="23" t="n"/>
      <c r="AE735" s="23" t="n"/>
      <c r="AF735" s="23" t="n"/>
      <c r="AG735" s="23" t="n"/>
      <c r="AH735" s="23" t="n"/>
      <c r="AI735" s="23" t="n"/>
      <c r="AJ735" s="23" t="n"/>
      <c r="AK735" s="23" t="n"/>
      <c r="AL735" s="23" t="n"/>
      <c r="AM735" s="26">
        <f>IF(G735="","",G735&amp;"|"&amp;P735)</f>
        <v/>
      </c>
      <c r="AN735" s="27">
        <f>IF(I735="","",IFERROR(DATE(VALUE(RIGHT(I735,4)),VALUE(MID(I735,4,2)),VALUE(LEFT(I735,2))),""))</f>
        <v/>
      </c>
      <c r="AO735" s="27">
        <f>IF(Y735="","",IFERROR(DATE(VALUE(RIGHT(Y735,4)),VALUE(MID(Y735,4,2)),VALUE(LEFT(Y735,2))),""))</f>
        <v/>
      </c>
      <c r="AP735" s="27">
        <f>IF(AC735="","",IFERROR(DATE(VALUE(RIGHT(AC735,4)),VALUE(MID(AC735,4,2)),VALUE(LEFT(AC735,2))),""))</f>
        <v/>
      </c>
      <c r="AQ735" s="26">
        <f>IF(AI735="","",TRIM(LEFT(AI735,FIND(" ",AI735&amp;" ")-1)))</f>
        <v/>
      </c>
      <c r="AR735" s="27">
        <f>IF(AQ735="","",IFERROR(DATE(VALUE(MID(AQ735,FIND("/",AQ735,FIND("/",AQ735)+1)+1,4)),VALUE(LEFT(AQ735,FIND("/",AQ735)-1)),VALUE(MID(AQ735,FIND("/",AQ735)+1,FIND("/",AQ735,FIND("/",AQ735)+1)-FIND("/",AQ735)-1))),""))</f>
        <v/>
      </c>
      <c r="AS735" s="26">
        <f>IF(G735="","",IF(AND(AG735&lt;&gt;"",AG735&lt;&gt;"Bayi Aracı"),"Evet","Hayır"))</f>
        <v/>
      </c>
      <c r="AT735" s="26">
        <f>IF(G735="","",IF(AND(AS735="Evet",T735="Siparişiniz Teslim Edildi"),"Evet","Hayır"))</f>
        <v/>
      </c>
      <c r="AU735" s="26">
        <f>IF(G735="","",IF(AB735="Siparişinizin Montajı Yapıldı","Evet","Hayır"))</f>
        <v/>
      </c>
      <c r="AV735" s="27">
        <f>IF(G735="","",IF(AT735="Evet",AR735,IF(AU735="Evet",AP735,"")))</f>
        <v/>
      </c>
    </row>
    <row r="736">
      <c r="A736" s="23" t="n"/>
      <c r="B736" s="23" t="n"/>
      <c r="C736" s="23" t="n"/>
      <c r="D736" s="23" t="n"/>
      <c r="E736" s="23" t="n"/>
      <c r="F736" s="23" t="n"/>
      <c r="G736" s="23" t="n"/>
      <c r="H736" s="23" t="n"/>
      <c r="I736" s="23" t="n"/>
      <c r="J736" s="23" t="n"/>
      <c r="K736" s="23" t="n"/>
      <c r="L736" s="23" t="n"/>
      <c r="M736" s="23" t="n"/>
      <c r="N736" s="23" t="n"/>
      <c r="O736" s="23" t="n"/>
      <c r="P736" s="23" t="n"/>
      <c r="Q736" s="23" t="n"/>
      <c r="R736" s="23" t="n"/>
      <c r="S736" s="23" t="n"/>
      <c r="T736" s="23" t="n"/>
      <c r="U736" s="23" t="n"/>
      <c r="V736" s="23" t="n"/>
      <c r="W736" s="23" t="n"/>
      <c r="X736" s="23" t="n"/>
      <c r="Y736" s="23" t="n"/>
      <c r="Z736" s="23" t="n"/>
      <c r="AA736" s="23" t="n"/>
      <c r="AB736" s="23" t="n"/>
      <c r="AC736" s="23" t="n"/>
      <c r="AD736" s="23" t="n"/>
      <c r="AE736" s="23" t="n"/>
      <c r="AF736" s="23" t="n"/>
      <c r="AG736" s="23" t="n"/>
      <c r="AH736" s="23" t="n"/>
      <c r="AI736" s="23" t="n"/>
      <c r="AJ736" s="23" t="n"/>
      <c r="AK736" s="23" t="n"/>
      <c r="AL736" s="23" t="n"/>
      <c r="AM736" s="26">
        <f>IF(G736="","",G736&amp;"|"&amp;P736)</f>
        <v/>
      </c>
      <c r="AN736" s="27">
        <f>IF(I736="","",IFERROR(DATE(VALUE(RIGHT(I736,4)),VALUE(MID(I736,4,2)),VALUE(LEFT(I736,2))),""))</f>
        <v/>
      </c>
      <c r="AO736" s="27">
        <f>IF(Y736="","",IFERROR(DATE(VALUE(RIGHT(Y736,4)),VALUE(MID(Y736,4,2)),VALUE(LEFT(Y736,2))),""))</f>
        <v/>
      </c>
      <c r="AP736" s="27">
        <f>IF(AC736="","",IFERROR(DATE(VALUE(RIGHT(AC736,4)),VALUE(MID(AC736,4,2)),VALUE(LEFT(AC736,2))),""))</f>
        <v/>
      </c>
      <c r="AQ736" s="26">
        <f>IF(AI736="","",TRIM(LEFT(AI736,FIND(" ",AI736&amp;" ")-1)))</f>
        <v/>
      </c>
      <c r="AR736" s="27">
        <f>IF(AQ736="","",IFERROR(DATE(VALUE(MID(AQ736,FIND("/",AQ736,FIND("/",AQ736)+1)+1,4)),VALUE(LEFT(AQ736,FIND("/",AQ736)-1)),VALUE(MID(AQ736,FIND("/",AQ736)+1,FIND("/",AQ736,FIND("/",AQ736)+1)-FIND("/",AQ736)-1))),""))</f>
        <v/>
      </c>
      <c r="AS736" s="26">
        <f>IF(G736="","",IF(AND(AG736&lt;&gt;"",AG736&lt;&gt;"Bayi Aracı"),"Evet","Hayır"))</f>
        <v/>
      </c>
      <c r="AT736" s="26">
        <f>IF(G736="","",IF(AND(AS736="Evet",T736="Siparişiniz Teslim Edildi"),"Evet","Hayır"))</f>
        <v/>
      </c>
      <c r="AU736" s="26">
        <f>IF(G736="","",IF(AB736="Siparişinizin Montajı Yapıldı","Evet","Hayır"))</f>
        <v/>
      </c>
      <c r="AV736" s="27">
        <f>IF(G736="","",IF(AT736="Evet",AR736,IF(AU736="Evet",AP736,"")))</f>
        <v/>
      </c>
    </row>
    <row r="737">
      <c r="A737" s="23" t="n"/>
      <c r="B737" s="23" t="n"/>
      <c r="C737" s="23" t="n"/>
      <c r="D737" s="23" t="n"/>
      <c r="E737" s="23" t="n"/>
      <c r="F737" s="23" t="n"/>
      <c r="G737" s="23" t="n"/>
      <c r="H737" s="23" t="n"/>
      <c r="I737" s="23" t="n"/>
      <c r="J737" s="23" t="n"/>
      <c r="K737" s="23" t="n"/>
      <c r="L737" s="23" t="n"/>
      <c r="M737" s="23" t="n"/>
      <c r="N737" s="23" t="n"/>
      <c r="O737" s="23" t="n"/>
      <c r="P737" s="23" t="n"/>
      <c r="Q737" s="23" t="n"/>
      <c r="R737" s="23" t="n"/>
      <c r="S737" s="23" t="n"/>
      <c r="T737" s="23" t="n"/>
      <c r="U737" s="23" t="n"/>
      <c r="V737" s="23" t="n"/>
      <c r="W737" s="23" t="n"/>
      <c r="X737" s="23" t="n"/>
      <c r="Y737" s="23" t="n"/>
      <c r="Z737" s="23" t="n"/>
      <c r="AA737" s="23" t="n"/>
      <c r="AB737" s="23" t="n"/>
      <c r="AC737" s="23" t="n"/>
      <c r="AD737" s="23" t="n"/>
      <c r="AE737" s="23" t="n"/>
      <c r="AF737" s="23" t="n"/>
      <c r="AG737" s="23" t="n"/>
      <c r="AH737" s="23" t="n"/>
      <c r="AI737" s="23" t="n"/>
      <c r="AJ737" s="23" t="n"/>
      <c r="AK737" s="23" t="n"/>
      <c r="AL737" s="23" t="n"/>
      <c r="AM737" s="26">
        <f>IF(G737="","",G737&amp;"|"&amp;P737)</f>
        <v/>
      </c>
      <c r="AN737" s="27">
        <f>IF(I737="","",IFERROR(DATE(VALUE(RIGHT(I737,4)),VALUE(MID(I737,4,2)),VALUE(LEFT(I737,2))),""))</f>
        <v/>
      </c>
      <c r="AO737" s="27">
        <f>IF(Y737="","",IFERROR(DATE(VALUE(RIGHT(Y737,4)),VALUE(MID(Y737,4,2)),VALUE(LEFT(Y737,2))),""))</f>
        <v/>
      </c>
      <c r="AP737" s="27">
        <f>IF(AC737="","",IFERROR(DATE(VALUE(RIGHT(AC737,4)),VALUE(MID(AC737,4,2)),VALUE(LEFT(AC737,2))),""))</f>
        <v/>
      </c>
      <c r="AQ737" s="26">
        <f>IF(AI737="","",TRIM(LEFT(AI737,FIND(" ",AI737&amp;" ")-1)))</f>
        <v/>
      </c>
      <c r="AR737" s="27">
        <f>IF(AQ737="","",IFERROR(DATE(VALUE(MID(AQ737,FIND("/",AQ737,FIND("/",AQ737)+1)+1,4)),VALUE(LEFT(AQ737,FIND("/",AQ737)-1)),VALUE(MID(AQ737,FIND("/",AQ737)+1,FIND("/",AQ737,FIND("/",AQ737)+1)-FIND("/",AQ737)-1))),""))</f>
        <v/>
      </c>
      <c r="AS737" s="26">
        <f>IF(G737="","",IF(AND(AG737&lt;&gt;"",AG737&lt;&gt;"Bayi Aracı"),"Evet","Hayır"))</f>
        <v/>
      </c>
      <c r="AT737" s="26">
        <f>IF(G737="","",IF(AND(AS737="Evet",T737="Siparişiniz Teslim Edildi"),"Evet","Hayır"))</f>
        <v/>
      </c>
      <c r="AU737" s="26">
        <f>IF(G737="","",IF(AB737="Siparişinizin Montajı Yapıldı","Evet","Hayır"))</f>
        <v/>
      </c>
      <c r="AV737" s="27">
        <f>IF(G737="","",IF(AT737="Evet",AR737,IF(AU737="Evet",AP737,"")))</f>
        <v/>
      </c>
    </row>
    <row r="738">
      <c r="A738" s="23" t="n"/>
      <c r="B738" s="23" t="n"/>
      <c r="C738" s="23" t="n"/>
      <c r="D738" s="23" t="n"/>
      <c r="E738" s="23" t="n"/>
      <c r="F738" s="23" t="n"/>
      <c r="G738" s="23" t="n"/>
      <c r="H738" s="23" t="n"/>
      <c r="I738" s="23" t="n"/>
      <c r="J738" s="23" t="n"/>
      <c r="K738" s="23" t="n"/>
      <c r="L738" s="23" t="n"/>
      <c r="M738" s="23" t="n"/>
      <c r="N738" s="23" t="n"/>
      <c r="O738" s="23" t="n"/>
      <c r="P738" s="23" t="n"/>
      <c r="Q738" s="23" t="n"/>
      <c r="R738" s="23" t="n"/>
      <c r="S738" s="23" t="n"/>
      <c r="T738" s="23" t="n"/>
      <c r="U738" s="23" t="n"/>
      <c r="V738" s="23" t="n"/>
      <c r="W738" s="23" t="n"/>
      <c r="X738" s="23" t="n"/>
      <c r="Y738" s="23" t="n"/>
      <c r="Z738" s="23" t="n"/>
      <c r="AA738" s="23" t="n"/>
      <c r="AB738" s="23" t="n"/>
      <c r="AC738" s="23" t="n"/>
      <c r="AD738" s="23" t="n"/>
      <c r="AE738" s="23" t="n"/>
      <c r="AF738" s="23" t="n"/>
      <c r="AG738" s="23" t="n"/>
      <c r="AH738" s="23" t="n"/>
      <c r="AI738" s="23" t="n"/>
      <c r="AJ738" s="23" t="n"/>
      <c r="AK738" s="23" t="n"/>
      <c r="AL738" s="23" t="n"/>
      <c r="AM738" s="26">
        <f>IF(G738="","",G738&amp;"|"&amp;P738)</f>
        <v/>
      </c>
      <c r="AN738" s="27">
        <f>IF(I738="","",IFERROR(DATE(VALUE(RIGHT(I738,4)),VALUE(MID(I738,4,2)),VALUE(LEFT(I738,2))),""))</f>
        <v/>
      </c>
      <c r="AO738" s="27">
        <f>IF(Y738="","",IFERROR(DATE(VALUE(RIGHT(Y738,4)),VALUE(MID(Y738,4,2)),VALUE(LEFT(Y738,2))),""))</f>
        <v/>
      </c>
      <c r="AP738" s="27">
        <f>IF(AC738="","",IFERROR(DATE(VALUE(RIGHT(AC738,4)),VALUE(MID(AC738,4,2)),VALUE(LEFT(AC738,2))),""))</f>
        <v/>
      </c>
      <c r="AQ738" s="26">
        <f>IF(AI738="","",TRIM(LEFT(AI738,FIND(" ",AI738&amp;" ")-1)))</f>
        <v/>
      </c>
      <c r="AR738" s="27">
        <f>IF(AQ738="","",IFERROR(DATE(VALUE(MID(AQ738,FIND("/",AQ738,FIND("/",AQ738)+1)+1,4)),VALUE(LEFT(AQ738,FIND("/",AQ738)-1)),VALUE(MID(AQ738,FIND("/",AQ738)+1,FIND("/",AQ738,FIND("/",AQ738)+1)-FIND("/",AQ738)-1))),""))</f>
        <v/>
      </c>
      <c r="AS738" s="26">
        <f>IF(G738="","",IF(AND(AG738&lt;&gt;"",AG738&lt;&gt;"Bayi Aracı"),"Evet","Hayır"))</f>
        <v/>
      </c>
      <c r="AT738" s="26">
        <f>IF(G738="","",IF(AND(AS738="Evet",T738="Siparişiniz Teslim Edildi"),"Evet","Hayır"))</f>
        <v/>
      </c>
      <c r="AU738" s="26">
        <f>IF(G738="","",IF(AB738="Siparişinizin Montajı Yapıldı","Evet","Hayır"))</f>
        <v/>
      </c>
      <c r="AV738" s="27">
        <f>IF(G738="","",IF(AT738="Evet",AR738,IF(AU738="Evet",AP738,"")))</f>
        <v/>
      </c>
    </row>
    <row r="739">
      <c r="A739" s="23" t="n"/>
      <c r="B739" s="23" t="n"/>
      <c r="C739" s="23" t="n"/>
      <c r="D739" s="23" t="n"/>
      <c r="E739" s="23" t="n"/>
      <c r="F739" s="23" t="n"/>
      <c r="G739" s="23" t="n"/>
      <c r="H739" s="23" t="n"/>
      <c r="I739" s="23" t="n"/>
      <c r="J739" s="23" t="n"/>
      <c r="K739" s="23" t="n"/>
      <c r="L739" s="23" t="n"/>
      <c r="M739" s="23" t="n"/>
      <c r="N739" s="23" t="n"/>
      <c r="O739" s="23" t="n"/>
      <c r="P739" s="23" t="n"/>
      <c r="Q739" s="23" t="n"/>
      <c r="R739" s="23" t="n"/>
      <c r="S739" s="23" t="n"/>
      <c r="T739" s="23" t="n"/>
      <c r="U739" s="23" t="n"/>
      <c r="V739" s="23" t="n"/>
      <c r="W739" s="23" t="n"/>
      <c r="X739" s="23" t="n"/>
      <c r="Y739" s="23" t="n"/>
      <c r="Z739" s="23" t="n"/>
      <c r="AA739" s="23" t="n"/>
      <c r="AB739" s="23" t="n"/>
      <c r="AC739" s="23" t="n"/>
      <c r="AD739" s="23" t="n"/>
      <c r="AE739" s="23" t="n"/>
      <c r="AF739" s="23" t="n"/>
      <c r="AG739" s="23" t="n"/>
      <c r="AH739" s="23" t="n"/>
      <c r="AI739" s="23" t="n"/>
      <c r="AJ739" s="23" t="n"/>
      <c r="AK739" s="23" t="n"/>
      <c r="AL739" s="23" t="n"/>
      <c r="AM739" s="26">
        <f>IF(G739="","",G739&amp;"|"&amp;P739)</f>
        <v/>
      </c>
      <c r="AN739" s="27">
        <f>IF(I739="","",IFERROR(DATE(VALUE(RIGHT(I739,4)),VALUE(MID(I739,4,2)),VALUE(LEFT(I739,2))),""))</f>
        <v/>
      </c>
      <c r="AO739" s="27">
        <f>IF(Y739="","",IFERROR(DATE(VALUE(RIGHT(Y739,4)),VALUE(MID(Y739,4,2)),VALUE(LEFT(Y739,2))),""))</f>
        <v/>
      </c>
      <c r="AP739" s="27">
        <f>IF(AC739="","",IFERROR(DATE(VALUE(RIGHT(AC739,4)),VALUE(MID(AC739,4,2)),VALUE(LEFT(AC739,2))),""))</f>
        <v/>
      </c>
      <c r="AQ739" s="26">
        <f>IF(AI739="","",TRIM(LEFT(AI739,FIND(" ",AI739&amp;" ")-1)))</f>
        <v/>
      </c>
      <c r="AR739" s="27">
        <f>IF(AQ739="","",IFERROR(DATE(VALUE(MID(AQ739,FIND("/",AQ739,FIND("/",AQ739)+1)+1,4)),VALUE(LEFT(AQ739,FIND("/",AQ739)-1)),VALUE(MID(AQ739,FIND("/",AQ739)+1,FIND("/",AQ739,FIND("/",AQ739)+1)-FIND("/",AQ739)-1))),""))</f>
        <v/>
      </c>
      <c r="AS739" s="26">
        <f>IF(G739="","",IF(AND(AG739&lt;&gt;"",AG739&lt;&gt;"Bayi Aracı"),"Evet","Hayır"))</f>
        <v/>
      </c>
      <c r="AT739" s="26">
        <f>IF(G739="","",IF(AND(AS739="Evet",T739="Siparişiniz Teslim Edildi"),"Evet","Hayır"))</f>
        <v/>
      </c>
      <c r="AU739" s="26">
        <f>IF(G739="","",IF(AB739="Siparişinizin Montajı Yapıldı","Evet","Hayır"))</f>
        <v/>
      </c>
      <c r="AV739" s="27">
        <f>IF(G739="","",IF(AT739="Evet",AR739,IF(AU739="Evet",AP739,"")))</f>
        <v/>
      </c>
    </row>
    <row r="740">
      <c r="A740" s="23" t="n"/>
      <c r="B740" s="23" t="n"/>
      <c r="C740" s="23" t="n"/>
      <c r="D740" s="23" t="n"/>
      <c r="E740" s="23" t="n"/>
      <c r="F740" s="23" t="n"/>
      <c r="G740" s="23" t="n"/>
      <c r="H740" s="23" t="n"/>
      <c r="I740" s="23" t="n"/>
      <c r="J740" s="23" t="n"/>
      <c r="K740" s="23" t="n"/>
      <c r="L740" s="23" t="n"/>
      <c r="M740" s="23" t="n"/>
      <c r="N740" s="23" t="n"/>
      <c r="O740" s="23" t="n"/>
      <c r="P740" s="23" t="n"/>
      <c r="Q740" s="23" t="n"/>
      <c r="R740" s="23" t="n"/>
      <c r="S740" s="23" t="n"/>
      <c r="T740" s="23" t="n"/>
      <c r="U740" s="23" t="n"/>
      <c r="V740" s="23" t="n"/>
      <c r="W740" s="23" t="n"/>
      <c r="X740" s="23" t="n"/>
      <c r="Y740" s="23" t="n"/>
      <c r="Z740" s="23" t="n"/>
      <c r="AA740" s="23" t="n"/>
      <c r="AB740" s="23" t="n"/>
      <c r="AC740" s="23" t="n"/>
      <c r="AD740" s="23" t="n"/>
      <c r="AE740" s="23" t="n"/>
      <c r="AF740" s="23" t="n"/>
      <c r="AG740" s="23" t="n"/>
      <c r="AH740" s="23" t="n"/>
      <c r="AI740" s="23" t="n"/>
      <c r="AJ740" s="23" t="n"/>
      <c r="AK740" s="23" t="n"/>
      <c r="AL740" s="23" t="n"/>
      <c r="AM740" s="26">
        <f>IF(G740="","",G740&amp;"|"&amp;P740)</f>
        <v/>
      </c>
      <c r="AN740" s="27">
        <f>IF(I740="","",IFERROR(DATE(VALUE(RIGHT(I740,4)),VALUE(MID(I740,4,2)),VALUE(LEFT(I740,2))),""))</f>
        <v/>
      </c>
      <c r="AO740" s="27">
        <f>IF(Y740="","",IFERROR(DATE(VALUE(RIGHT(Y740,4)),VALUE(MID(Y740,4,2)),VALUE(LEFT(Y740,2))),""))</f>
        <v/>
      </c>
      <c r="AP740" s="27">
        <f>IF(AC740="","",IFERROR(DATE(VALUE(RIGHT(AC740,4)),VALUE(MID(AC740,4,2)),VALUE(LEFT(AC740,2))),""))</f>
        <v/>
      </c>
      <c r="AQ740" s="26">
        <f>IF(AI740="","",TRIM(LEFT(AI740,FIND(" ",AI740&amp;" ")-1)))</f>
        <v/>
      </c>
      <c r="AR740" s="27">
        <f>IF(AQ740="","",IFERROR(DATE(VALUE(MID(AQ740,FIND("/",AQ740,FIND("/",AQ740)+1)+1,4)),VALUE(LEFT(AQ740,FIND("/",AQ740)-1)),VALUE(MID(AQ740,FIND("/",AQ740)+1,FIND("/",AQ740,FIND("/",AQ740)+1)-FIND("/",AQ740)-1))),""))</f>
        <v/>
      </c>
      <c r="AS740" s="26">
        <f>IF(G740="","",IF(AND(AG740&lt;&gt;"",AG740&lt;&gt;"Bayi Aracı"),"Evet","Hayır"))</f>
        <v/>
      </c>
      <c r="AT740" s="26">
        <f>IF(G740="","",IF(AND(AS740="Evet",T740="Siparişiniz Teslim Edildi"),"Evet","Hayır"))</f>
        <v/>
      </c>
      <c r="AU740" s="26">
        <f>IF(G740="","",IF(AB740="Siparişinizin Montajı Yapıldı","Evet","Hayır"))</f>
        <v/>
      </c>
      <c r="AV740" s="27">
        <f>IF(G740="","",IF(AT740="Evet",AR740,IF(AU740="Evet",AP740,"")))</f>
        <v/>
      </c>
    </row>
    <row r="741">
      <c r="A741" s="23" t="n"/>
      <c r="B741" s="23" t="n"/>
      <c r="C741" s="23" t="n"/>
      <c r="D741" s="23" t="n"/>
      <c r="E741" s="23" t="n"/>
      <c r="F741" s="23" t="n"/>
      <c r="G741" s="23" t="n"/>
      <c r="H741" s="23" t="n"/>
      <c r="I741" s="23" t="n"/>
      <c r="J741" s="23" t="n"/>
      <c r="K741" s="23" t="n"/>
      <c r="L741" s="23" t="n"/>
      <c r="M741" s="23" t="n"/>
      <c r="N741" s="23" t="n"/>
      <c r="O741" s="23" t="n"/>
      <c r="P741" s="23" t="n"/>
      <c r="Q741" s="23" t="n"/>
      <c r="R741" s="23" t="n"/>
      <c r="S741" s="23" t="n"/>
      <c r="T741" s="23" t="n"/>
      <c r="U741" s="23" t="n"/>
      <c r="V741" s="23" t="n"/>
      <c r="W741" s="23" t="n"/>
      <c r="X741" s="23" t="n"/>
      <c r="Y741" s="23" t="n"/>
      <c r="Z741" s="23" t="n"/>
      <c r="AA741" s="23" t="n"/>
      <c r="AB741" s="23" t="n"/>
      <c r="AC741" s="23" t="n"/>
      <c r="AD741" s="23" t="n"/>
      <c r="AE741" s="23" t="n"/>
      <c r="AF741" s="23" t="n"/>
      <c r="AG741" s="23" t="n"/>
      <c r="AH741" s="23" t="n"/>
      <c r="AI741" s="23" t="n"/>
      <c r="AJ741" s="23" t="n"/>
      <c r="AK741" s="23" t="n"/>
      <c r="AL741" s="23" t="n"/>
      <c r="AM741" s="26">
        <f>IF(G741="","",G741&amp;"|"&amp;P741)</f>
        <v/>
      </c>
      <c r="AN741" s="27">
        <f>IF(I741="","",IFERROR(DATE(VALUE(RIGHT(I741,4)),VALUE(MID(I741,4,2)),VALUE(LEFT(I741,2))),""))</f>
        <v/>
      </c>
      <c r="AO741" s="27">
        <f>IF(Y741="","",IFERROR(DATE(VALUE(RIGHT(Y741,4)),VALUE(MID(Y741,4,2)),VALUE(LEFT(Y741,2))),""))</f>
        <v/>
      </c>
      <c r="AP741" s="27">
        <f>IF(AC741="","",IFERROR(DATE(VALUE(RIGHT(AC741,4)),VALUE(MID(AC741,4,2)),VALUE(LEFT(AC741,2))),""))</f>
        <v/>
      </c>
      <c r="AQ741" s="26">
        <f>IF(AI741="","",TRIM(LEFT(AI741,FIND(" ",AI741&amp;" ")-1)))</f>
        <v/>
      </c>
      <c r="AR741" s="27">
        <f>IF(AQ741="","",IFERROR(DATE(VALUE(MID(AQ741,FIND("/",AQ741,FIND("/",AQ741)+1)+1,4)),VALUE(LEFT(AQ741,FIND("/",AQ741)-1)),VALUE(MID(AQ741,FIND("/",AQ741)+1,FIND("/",AQ741,FIND("/",AQ741)+1)-FIND("/",AQ741)-1))),""))</f>
        <v/>
      </c>
      <c r="AS741" s="26">
        <f>IF(G741="","",IF(AND(AG741&lt;&gt;"",AG741&lt;&gt;"Bayi Aracı"),"Evet","Hayır"))</f>
        <v/>
      </c>
      <c r="AT741" s="26">
        <f>IF(G741="","",IF(AND(AS741="Evet",T741="Siparişiniz Teslim Edildi"),"Evet","Hayır"))</f>
        <v/>
      </c>
      <c r="AU741" s="26">
        <f>IF(G741="","",IF(AB741="Siparişinizin Montajı Yapıldı","Evet","Hayır"))</f>
        <v/>
      </c>
      <c r="AV741" s="27">
        <f>IF(G741="","",IF(AT741="Evet",AR741,IF(AU741="Evet",AP741,"")))</f>
        <v/>
      </c>
    </row>
    <row r="742">
      <c r="A742" s="23" t="n"/>
      <c r="B742" s="23" t="n"/>
      <c r="C742" s="23" t="n"/>
      <c r="D742" s="23" t="n"/>
      <c r="E742" s="23" t="n"/>
      <c r="F742" s="23" t="n"/>
      <c r="G742" s="23" t="n"/>
      <c r="H742" s="23" t="n"/>
      <c r="I742" s="23" t="n"/>
      <c r="J742" s="23" t="n"/>
      <c r="K742" s="23" t="n"/>
      <c r="L742" s="23" t="n"/>
      <c r="M742" s="23" t="n"/>
      <c r="N742" s="23" t="n"/>
      <c r="O742" s="23" t="n"/>
      <c r="P742" s="23" t="n"/>
      <c r="Q742" s="23" t="n"/>
      <c r="R742" s="23" t="n"/>
      <c r="S742" s="23" t="n"/>
      <c r="T742" s="23" t="n"/>
      <c r="U742" s="23" t="n"/>
      <c r="V742" s="23" t="n"/>
      <c r="W742" s="23" t="n"/>
      <c r="X742" s="23" t="n"/>
      <c r="Y742" s="23" t="n"/>
      <c r="Z742" s="23" t="n"/>
      <c r="AA742" s="23" t="n"/>
      <c r="AB742" s="23" t="n"/>
      <c r="AC742" s="23" t="n"/>
      <c r="AD742" s="23" t="n"/>
      <c r="AE742" s="23" t="n"/>
      <c r="AF742" s="23" t="n"/>
      <c r="AG742" s="23" t="n"/>
      <c r="AH742" s="23" t="n"/>
      <c r="AI742" s="23" t="n"/>
      <c r="AJ742" s="23" t="n"/>
      <c r="AK742" s="23" t="n"/>
      <c r="AL742" s="23" t="n"/>
      <c r="AM742" s="26">
        <f>IF(G742="","",G742&amp;"|"&amp;P742)</f>
        <v/>
      </c>
      <c r="AN742" s="27">
        <f>IF(I742="","",IFERROR(DATE(VALUE(RIGHT(I742,4)),VALUE(MID(I742,4,2)),VALUE(LEFT(I742,2))),""))</f>
        <v/>
      </c>
      <c r="AO742" s="27">
        <f>IF(Y742="","",IFERROR(DATE(VALUE(RIGHT(Y742,4)),VALUE(MID(Y742,4,2)),VALUE(LEFT(Y742,2))),""))</f>
        <v/>
      </c>
      <c r="AP742" s="27">
        <f>IF(AC742="","",IFERROR(DATE(VALUE(RIGHT(AC742,4)),VALUE(MID(AC742,4,2)),VALUE(LEFT(AC742,2))),""))</f>
        <v/>
      </c>
      <c r="AQ742" s="26">
        <f>IF(AI742="","",TRIM(LEFT(AI742,FIND(" ",AI742&amp;" ")-1)))</f>
        <v/>
      </c>
      <c r="AR742" s="27">
        <f>IF(AQ742="","",IFERROR(DATE(VALUE(MID(AQ742,FIND("/",AQ742,FIND("/",AQ742)+1)+1,4)),VALUE(LEFT(AQ742,FIND("/",AQ742)-1)),VALUE(MID(AQ742,FIND("/",AQ742)+1,FIND("/",AQ742,FIND("/",AQ742)+1)-FIND("/",AQ742)-1))),""))</f>
        <v/>
      </c>
      <c r="AS742" s="26">
        <f>IF(G742="","",IF(AND(AG742&lt;&gt;"",AG742&lt;&gt;"Bayi Aracı"),"Evet","Hayır"))</f>
        <v/>
      </c>
      <c r="AT742" s="26">
        <f>IF(G742="","",IF(AND(AS742="Evet",T742="Siparişiniz Teslim Edildi"),"Evet","Hayır"))</f>
        <v/>
      </c>
      <c r="AU742" s="26">
        <f>IF(G742="","",IF(AB742="Siparişinizin Montajı Yapıldı","Evet","Hayır"))</f>
        <v/>
      </c>
      <c r="AV742" s="27">
        <f>IF(G742="","",IF(AT742="Evet",AR742,IF(AU742="Evet",AP742,"")))</f>
        <v/>
      </c>
    </row>
    <row r="743">
      <c r="A743" s="23" t="n"/>
      <c r="B743" s="23" t="n"/>
      <c r="C743" s="23" t="n"/>
      <c r="D743" s="23" t="n"/>
      <c r="E743" s="23" t="n"/>
      <c r="F743" s="23" t="n"/>
      <c r="G743" s="23" t="n"/>
      <c r="H743" s="23" t="n"/>
      <c r="I743" s="23" t="n"/>
      <c r="J743" s="23" t="n"/>
      <c r="K743" s="23" t="n"/>
      <c r="L743" s="23" t="n"/>
      <c r="M743" s="23" t="n"/>
      <c r="N743" s="23" t="n"/>
      <c r="O743" s="23" t="n"/>
      <c r="P743" s="23" t="n"/>
      <c r="Q743" s="23" t="n"/>
      <c r="R743" s="23" t="n"/>
      <c r="S743" s="23" t="n"/>
      <c r="T743" s="23" t="n"/>
      <c r="U743" s="23" t="n"/>
      <c r="V743" s="23" t="n"/>
      <c r="W743" s="23" t="n"/>
      <c r="X743" s="23" t="n"/>
      <c r="Y743" s="23" t="n"/>
      <c r="Z743" s="23" t="n"/>
      <c r="AA743" s="23" t="n"/>
      <c r="AB743" s="23" t="n"/>
      <c r="AC743" s="23" t="n"/>
      <c r="AD743" s="23" t="n"/>
      <c r="AE743" s="23" t="n"/>
      <c r="AF743" s="23" t="n"/>
      <c r="AG743" s="23" t="n"/>
      <c r="AH743" s="23" t="n"/>
      <c r="AI743" s="23" t="n"/>
      <c r="AJ743" s="23" t="n"/>
      <c r="AK743" s="23" t="n"/>
      <c r="AL743" s="23" t="n"/>
      <c r="AM743" s="26">
        <f>IF(G743="","",G743&amp;"|"&amp;P743)</f>
        <v/>
      </c>
      <c r="AN743" s="27">
        <f>IF(I743="","",IFERROR(DATE(VALUE(RIGHT(I743,4)),VALUE(MID(I743,4,2)),VALUE(LEFT(I743,2))),""))</f>
        <v/>
      </c>
      <c r="AO743" s="27">
        <f>IF(Y743="","",IFERROR(DATE(VALUE(RIGHT(Y743,4)),VALUE(MID(Y743,4,2)),VALUE(LEFT(Y743,2))),""))</f>
        <v/>
      </c>
      <c r="AP743" s="27">
        <f>IF(AC743="","",IFERROR(DATE(VALUE(RIGHT(AC743,4)),VALUE(MID(AC743,4,2)),VALUE(LEFT(AC743,2))),""))</f>
        <v/>
      </c>
      <c r="AQ743" s="26">
        <f>IF(AI743="","",TRIM(LEFT(AI743,FIND(" ",AI743&amp;" ")-1)))</f>
        <v/>
      </c>
      <c r="AR743" s="27">
        <f>IF(AQ743="","",IFERROR(DATE(VALUE(MID(AQ743,FIND("/",AQ743,FIND("/",AQ743)+1)+1,4)),VALUE(LEFT(AQ743,FIND("/",AQ743)-1)),VALUE(MID(AQ743,FIND("/",AQ743)+1,FIND("/",AQ743,FIND("/",AQ743)+1)-FIND("/",AQ743)-1))),""))</f>
        <v/>
      </c>
      <c r="AS743" s="26">
        <f>IF(G743="","",IF(AND(AG743&lt;&gt;"",AG743&lt;&gt;"Bayi Aracı"),"Evet","Hayır"))</f>
        <v/>
      </c>
      <c r="AT743" s="26">
        <f>IF(G743="","",IF(AND(AS743="Evet",T743="Siparişiniz Teslim Edildi"),"Evet","Hayır"))</f>
        <v/>
      </c>
      <c r="AU743" s="26">
        <f>IF(G743="","",IF(AB743="Siparişinizin Montajı Yapıldı","Evet","Hayır"))</f>
        <v/>
      </c>
      <c r="AV743" s="27">
        <f>IF(G743="","",IF(AT743="Evet",AR743,IF(AU743="Evet",AP743,"")))</f>
        <v/>
      </c>
    </row>
    <row r="744">
      <c r="A744" s="23" t="n"/>
      <c r="B744" s="23" t="n"/>
      <c r="C744" s="23" t="n"/>
      <c r="D744" s="23" t="n"/>
      <c r="E744" s="23" t="n"/>
      <c r="F744" s="23" t="n"/>
      <c r="G744" s="23" t="n"/>
      <c r="H744" s="23" t="n"/>
      <c r="I744" s="23" t="n"/>
      <c r="J744" s="23" t="n"/>
      <c r="K744" s="23" t="n"/>
      <c r="L744" s="23" t="n"/>
      <c r="M744" s="23" t="n"/>
      <c r="N744" s="23" t="n"/>
      <c r="O744" s="23" t="n"/>
      <c r="P744" s="23" t="n"/>
      <c r="Q744" s="23" t="n"/>
      <c r="R744" s="23" t="n"/>
      <c r="S744" s="23" t="n"/>
      <c r="T744" s="23" t="n"/>
      <c r="U744" s="23" t="n"/>
      <c r="V744" s="23" t="n"/>
      <c r="W744" s="23" t="n"/>
      <c r="X744" s="23" t="n"/>
      <c r="Y744" s="23" t="n"/>
      <c r="Z744" s="23" t="n"/>
      <c r="AA744" s="23" t="n"/>
      <c r="AB744" s="23" t="n"/>
      <c r="AC744" s="23" t="n"/>
      <c r="AD744" s="23" t="n"/>
      <c r="AE744" s="23" t="n"/>
      <c r="AF744" s="23" t="n"/>
      <c r="AG744" s="23" t="n"/>
      <c r="AH744" s="23" t="n"/>
      <c r="AI744" s="23" t="n"/>
      <c r="AJ744" s="23" t="n"/>
      <c r="AK744" s="23" t="n"/>
      <c r="AL744" s="23" t="n"/>
      <c r="AM744" s="26">
        <f>IF(G744="","",G744&amp;"|"&amp;P744)</f>
        <v/>
      </c>
      <c r="AN744" s="27">
        <f>IF(I744="","",IFERROR(DATE(VALUE(RIGHT(I744,4)),VALUE(MID(I744,4,2)),VALUE(LEFT(I744,2))),""))</f>
        <v/>
      </c>
      <c r="AO744" s="27">
        <f>IF(Y744="","",IFERROR(DATE(VALUE(RIGHT(Y744,4)),VALUE(MID(Y744,4,2)),VALUE(LEFT(Y744,2))),""))</f>
        <v/>
      </c>
      <c r="AP744" s="27">
        <f>IF(AC744="","",IFERROR(DATE(VALUE(RIGHT(AC744,4)),VALUE(MID(AC744,4,2)),VALUE(LEFT(AC744,2))),""))</f>
        <v/>
      </c>
      <c r="AQ744" s="26">
        <f>IF(AI744="","",TRIM(LEFT(AI744,FIND(" ",AI744&amp;" ")-1)))</f>
        <v/>
      </c>
      <c r="AR744" s="27">
        <f>IF(AQ744="","",IFERROR(DATE(VALUE(MID(AQ744,FIND("/",AQ744,FIND("/",AQ744)+1)+1,4)),VALUE(LEFT(AQ744,FIND("/",AQ744)-1)),VALUE(MID(AQ744,FIND("/",AQ744)+1,FIND("/",AQ744,FIND("/",AQ744)+1)-FIND("/",AQ744)-1))),""))</f>
        <v/>
      </c>
      <c r="AS744" s="26">
        <f>IF(G744="","",IF(AND(AG744&lt;&gt;"",AG744&lt;&gt;"Bayi Aracı"),"Evet","Hayır"))</f>
        <v/>
      </c>
      <c r="AT744" s="26">
        <f>IF(G744="","",IF(AND(AS744="Evet",T744="Siparişiniz Teslim Edildi"),"Evet","Hayır"))</f>
        <v/>
      </c>
      <c r="AU744" s="26">
        <f>IF(G744="","",IF(AB744="Siparişinizin Montajı Yapıldı","Evet","Hayır"))</f>
        <v/>
      </c>
      <c r="AV744" s="27">
        <f>IF(G744="","",IF(AT744="Evet",AR744,IF(AU744="Evet",AP744,"")))</f>
        <v/>
      </c>
    </row>
    <row r="745">
      <c r="A745" s="23" t="n"/>
      <c r="B745" s="23" t="n"/>
      <c r="C745" s="23" t="n"/>
      <c r="D745" s="23" t="n"/>
      <c r="E745" s="23" t="n"/>
      <c r="F745" s="23" t="n"/>
      <c r="G745" s="23" t="n"/>
      <c r="H745" s="23" t="n"/>
      <c r="I745" s="23" t="n"/>
      <c r="J745" s="23" t="n"/>
      <c r="K745" s="23" t="n"/>
      <c r="L745" s="23" t="n"/>
      <c r="M745" s="23" t="n"/>
      <c r="N745" s="23" t="n"/>
      <c r="O745" s="23" t="n"/>
      <c r="P745" s="23" t="n"/>
      <c r="Q745" s="23" t="n"/>
      <c r="R745" s="23" t="n"/>
      <c r="S745" s="23" t="n"/>
      <c r="T745" s="23" t="n"/>
      <c r="U745" s="23" t="n"/>
      <c r="V745" s="23" t="n"/>
      <c r="W745" s="23" t="n"/>
      <c r="X745" s="23" t="n"/>
      <c r="Y745" s="23" t="n"/>
      <c r="Z745" s="23" t="n"/>
      <c r="AA745" s="23" t="n"/>
      <c r="AB745" s="23" t="n"/>
      <c r="AC745" s="23" t="n"/>
      <c r="AD745" s="23" t="n"/>
      <c r="AE745" s="23" t="n"/>
      <c r="AF745" s="23" t="n"/>
      <c r="AG745" s="23" t="n"/>
      <c r="AH745" s="23" t="n"/>
      <c r="AI745" s="23" t="n"/>
      <c r="AJ745" s="23" t="n"/>
      <c r="AK745" s="23" t="n"/>
      <c r="AL745" s="23" t="n"/>
      <c r="AM745" s="26">
        <f>IF(G745="","",G745&amp;"|"&amp;P745)</f>
        <v/>
      </c>
      <c r="AN745" s="27">
        <f>IF(I745="","",IFERROR(DATE(VALUE(RIGHT(I745,4)),VALUE(MID(I745,4,2)),VALUE(LEFT(I745,2))),""))</f>
        <v/>
      </c>
      <c r="AO745" s="27">
        <f>IF(Y745="","",IFERROR(DATE(VALUE(RIGHT(Y745,4)),VALUE(MID(Y745,4,2)),VALUE(LEFT(Y745,2))),""))</f>
        <v/>
      </c>
      <c r="AP745" s="27">
        <f>IF(AC745="","",IFERROR(DATE(VALUE(RIGHT(AC745,4)),VALUE(MID(AC745,4,2)),VALUE(LEFT(AC745,2))),""))</f>
        <v/>
      </c>
      <c r="AQ745" s="26">
        <f>IF(AI745="","",TRIM(LEFT(AI745,FIND(" ",AI745&amp;" ")-1)))</f>
        <v/>
      </c>
      <c r="AR745" s="27">
        <f>IF(AQ745="","",IFERROR(DATE(VALUE(MID(AQ745,FIND("/",AQ745,FIND("/",AQ745)+1)+1,4)),VALUE(LEFT(AQ745,FIND("/",AQ745)-1)),VALUE(MID(AQ745,FIND("/",AQ745)+1,FIND("/",AQ745,FIND("/",AQ745)+1)-FIND("/",AQ745)-1))),""))</f>
        <v/>
      </c>
      <c r="AS745" s="26">
        <f>IF(G745="","",IF(AND(AG745&lt;&gt;"",AG745&lt;&gt;"Bayi Aracı"),"Evet","Hayır"))</f>
        <v/>
      </c>
      <c r="AT745" s="26">
        <f>IF(G745="","",IF(AND(AS745="Evet",T745="Siparişiniz Teslim Edildi"),"Evet","Hayır"))</f>
        <v/>
      </c>
      <c r="AU745" s="26">
        <f>IF(G745="","",IF(AB745="Siparişinizin Montajı Yapıldı","Evet","Hayır"))</f>
        <v/>
      </c>
      <c r="AV745" s="27">
        <f>IF(G745="","",IF(AT745="Evet",AR745,IF(AU745="Evet",AP745,"")))</f>
        <v/>
      </c>
    </row>
    <row r="746">
      <c r="A746" s="23" t="n"/>
      <c r="B746" s="23" t="n"/>
      <c r="C746" s="23" t="n"/>
      <c r="D746" s="23" t="n"/>
      <c r="E746" s="23" t="n"/>
      <c r="F746" s="23" t="n"/>
      <c r="G746" s="23" t="n"/>
      <c r="H746" s="23" t="n"/>
      <c r="I746" s="23" t="n"/>
      <c r="J746" s="23" t="n"/>
      <c r="K746" s="23" t="n"/>
      <c r="L746" s="23" t="n"/>
      <c r="M746" s="23" t="n"/>
      <c r="N746" s="23" t="n"/>
      <c r="O746" s="23" t="n"/>
      <c r="P746" s="23" t="n"/>
      <c r="Q746" s="23" t="n"/>
      <c r="R746" s="23" t="n"/>
      <c r="S746" s="23" t="n"/>
      <c r="T746" s="23" t="n"/>
      <c r="U746" s="23" t="n"/>
      <c r="V746" s="23" t="n"/>
      <c r="W746" s="23" t="n"/>
      <c r="X746" s="23" t="n"/>
      <c r="Y746" s="23" t="n"/>
      <c r="Z746" s="23" t="n"/>
      <c r="AA746" s="23" t="n"/>
      <c r="AB746" s="23" t="n"/>
      <c r="AC746" s="23" t="n"/>
      <c r="AD746" s="23" t="n"/>
      <c r="AE746" s="23" t="n"/>
      <c r="AF746" s="23" t="n"/>
      <c r="AG746" s="23" t="n"/>
      <c r="AH746" s="23" t="n"/>
      <c r="AI746" s="23" t="n"/>
      <c r="AJ746" s="23" t="n"/>
      <c r="AK746" s="23" t="n"/>
      <c r="AL746" s="23" t="n"/>
      <c r="AM746" s="26">
        <f>IF(G746="","",G746&amp;"|"&amp;P746)</f>
        <v/>
      </c>
      <c r="AN746" s="27">
        <f>IF(I746="","",IFERROR(DATE(VALUE(RIGHT(I746,4)),VALUE(MID(I746,4,2)),VALUE(LEFT(I746,2))),""))</f>
        <v/>
      </c>
      <c r="AO746" s="27">
        <f>IF(Y746="","",IFERROR(DATE(VALUE(RIGHT(Y746,4)),VALUE(MID(Y746,4,2)),VALUE(LEFT(Y746,2))),""))</f>
        <v/>
      </c>
      <c r="AP746" s="27">
        <f>IF(AC746="","",IFERROR(DATE(VALUE(RIGHT(AC746,4)),VALUE(MID(AC746,4,2)),VALUE(LEFT(AC746,2))),""))</f>
        <v/>
      </c>
      <c r="AQ746" s="26">
        <f>IF(AI746="","",TRIM(LEFT(AI746,FIND(" ",AI746&amp;" ")-1)))</f>
        <v/>
      </c>
      <c r="AR746" s="27">
        <f>IF(AQ746="","",IFERROR(DATE(VALUE(MID(AQ746,FIND("/",AQ746,FIND("/",AQ746)+1)+1,4)),VALUE(LEFT(AQ746,FIND("/",AQ746)-1)),VALUE(MID(AQ746,FIND("/",AQ746)+1,FIND("/",AQ746,FIND("/",AQ746)+1)-FIND("/",AQ746)-1))),""))</f>
        <v/>
      </c>
      <c r="AS746" s="26">
        <f>IF(G746="","",IF(AND(AG746&lt;&gt;"",AG746&lt;&gt;"Bayi Aracı"),"Evet","Hayır"))</f>
        <v/>
      </c>
      <c r="AT746" s="26">
        <f>IF(G746="","",IF(AND(AS746="Evet",T746="Siparişiniz Teslim Edildi"),"Evet","Hayır"))</f>
        <v/>
      </c>
      <c r="AU746" s="26">
        <f>IF(G746="","",IF(AB746="Siparişinizin Montajı Yapıldı","Evet","Hayır"))</f>
        <v/>
      </c>
      <c r="AV746" s="27">
        <f>IF(G746="","",IF(AT746="Evet",AR746,IF(AU746="Evet",AP746,"")))</f>
        <v/>
      </c>
    </row>
    <row r="747">
      <c r="A747" s="23" t="n"/>
      <c r="B747" s="23" t="n"/>
      <c r="C747" s="23" t="n"/>
      <c r="D747" s="23" t="n"/>
      <c r="E747" s="23" t="n"/>
      <c r="F747" s="23" t="n"/>
      <c r="G747" s="23" t="n"/>
      <c r="H747" s="23" t="n"/>
      <c r="I747" s="23" t="n"/>
      <c r="J747" s="23" t="n"/>
      <c r="K747" s="23" t="n"/>
      <c r="L747" s="23" t="n"/>
      <c r="M747" s="23" t="n"/>
      <c r="N747" s="23" t="n"/>
      <c r="O747" s="23" t="n"/>
      <c r="P747" s="23" t="n"/>
      <c r="Q747" s="23" t="n"/>
      <c r="R747" s="23" t="n"/>
      <c r="S747" s="23" t="n"/>
      <c r="T747" s="23" t="n"/>
      <c r="U747" s="23" t="n"/>
      <c r="V747" s="23" t="n"/>
      <c r="W747" s="23" t="n"/>
      <c r="X747" s="23" t="n"/>
      <c r="Y747" s="23" t="n"/>
      <c r="Z747" s="23" t="n"/>
      <c r="AA747" s="23" t="n"/>
      <c r="AB747" s="23" t="n"/>
      <c r="AC747" s="23" t="n"/>
      <c r="AD747" s="23" t="n"/>
      <c r="AE747" s="23" t="n"/>
      <c r="AF747" s="23" t="n"/>
      <c r="AG747" s="23" t="n"/>
      <c r="AH747" s="23" t="n"/>
      <c r="AI747" s="23" t="n"/>
      <c r="AJ747" s="23" t="n"/>
      <c r="AK747" s="23" t="n"/>
      <c r="AL747" s="23" t="n"/>
      <c r="AM747" s="26">
        <f>IF(G747="","",G747&amp;"|"&amp;P747)</f>
        <v/>
      </c>
      <c r="AN747" s="27">
        <f>IF(I747="","",IFERROR(DATE(VALUE(RIGHT(I747,4)),VALUE(MID(I747,4,2)),VALUE(LEFT(I747,2))),""))</f>
        <v/>
      </c>
      <c r="AO747" s="27">
        <f>IF(Y747="","",IFERROR(DATE(VALUE(RIGHT(Y747,4)),VALUE(MID(Y747,4,2)),VALUE(LEFT(Y747,2))),""))</f>
        <v/>
      </c>
      <c r="AP747" s="27">
        <f>IF(AC747="","",IFERROR(DATE(VALUE(RIGHT(AC747,4)),VALUE(MID(AC747,4,2)),VALUE(LEFT(AC747,2))),""))</f>
        <v/>
      </c>
      <c r="AQ747" s="26">
        <f>IF(AI747="","",TRIM(LEFT(AI747,FIND(" ",AI747&amp;" ")-1)))</f>
        <v/>
      </c>
      <c r="AR747" s="27">
        <f>IF(AQ747="","",IFERROR(DATE(VALUE(MID(AQ747,FIND("/",AQ747,FIND("/",AQ747)+1)+1,4)),VALUE(LEFT(AQ747,FIND("/",AQ747)-1)),VALUE(MID(AQ747,FIND("/",AQ747)+1,FIND("/",AQ747,FIND("/",AQ747)+1)-FIND("/",AQ747)-1))),""))</f>
        <v/>
      </c>
      <c r="AS747" s="26">
        <f>IF(G747="","",IF(AND(AG747&lt;&gt;"",AG747&lt;&gt;"Bayi Aracı"),"Evet","Hayır"))</f>
        <v/>
      </c>
      <c r="AT747" s="26">
        <f>IF(G747="","",IF(AND(AS747="Evet",T747="Siparişiniz Teslim Edildi"),"Evet","Hayır"))</f>
        <v/>
      </c>
      <c r="AU747" s="26">
        <f>IF(G747="","",IF(AB747="Siparişinizin Montajı Yapıldı","Evet","Hayır"))</f>
        <v/>
      </c>
      <c r="AV747" s="27">
        <f>IF(G747="","",IF(AT747="Evet",AR747,IF(AU747="Evet",AP747,"")))</f>
        <v/>
      </c>
    </row>
    <row r="748">
      <c r="A748" s="23" t="n"/>
      <c r="B748" s="23" t="n"/>
      <c r="C748" s="23" t="n"/>
      <c r="D748" s="23" t="n"/>
      <c r="E748" s="23" t="n"/>
      <c r="F748" s="23" t="n"/>
      <c r="G748" s="23" t="n"/>
      <c r="H748" s="23" t="n"/>
      <c r="I748" s="23" t="n"/>
      <c r="J748" s="23" t="n"/>
      <c r="K748" s="23" t="n"/>
      <c r="L748" s="23" t="n"/>
      <c r="M748" s="23" t="n"/>
      <c r="N748" s="23" t="n"/>
      <c r="O748" s="23" t="n"/>
      <c r="P748" s="23" t="n"/>
      <c r="Q748" s="23" t="n"/>
      <c r="R748" s="23" t="n"/>
      <c r="S748" s="23" t="n"/>
      <c r="T748" s="23" t="n"/>
      <c r="U748" s="23" t="n"/>
      <c r="V748" s="23" t="n"/>
      <c r="W748" s="23" t="n"/>
      <c r="X748" s="23" t="n"/>
      <c r="Y748" s="23" t="n"/>
      <c r="Z748" s="23" t="n"/>
      <c r="AA748" s="23" t="n"/>
      <c r="AB748" s="23" t="n"/>
      <c r="AC748" s="23" t="n"/>
      <c r="AD748" s="23" t="n"/>
      <c r="AE748" s="23" t="n"/>
      <c r="AF748" s="23" t="n"/>
      <c r="AG748" s="23" t="n"/>
      <c r="AH748" s="23" t="n"/>
      <c r="AI748" s="23" t="n"/>
      <c r="AJ748" s="23" t="n"/>
      <c r="AK748" s="23" t="n"/>
      <c r="AL748" s="23" t="n"/>
      <c r="AM748" s="26">
        <f>IF(G748="","",G748&amp;"|"&amp;P748)</f>
        <v/>
      </c>
      <c r="AN748" s="27">
        <f>IF(I748="","",IFERROR(DATE(VALUE(RIGHT(I748,4)),VALUE(MID(I748,4,2)),VALUE(LEFT(I748,2))),""))</f>
        <v/>
      </c>
      <c r="AO748" s="27">
        <f>IF(Y748="","",IFERROR(DATE(VALUE(RIGHT(Y748,4)),VALUE(MID(Y748,4,2)),VALUE(LEFT(Y748,2))),""))</f>
        <v/>
      </c>
      <c r="AP748" s="27">
        <f>IF(AC748="","",IFERROR(DATE(VALUE(RIGHT(AC748,4)),VALUE(MID(AC748,4,2)),VALUE(LEFT(AC748,2))),""))</f>
        <v/>
      </c>
      <c r="AQ748" s="26">
        <f>IF(AI748="","",TRIM(LEFT(AI748,FIND(" ",AI748&amp;" ")-1)))</f>
        <v/>
      </c>
      <c r="AR748" s="27">
        <f>IF(AQ748="","",IFERROR(DATE(VALUE(MID(AQ748,FIND("/",AQ748,FIND("/",AQ748)+1)+1,4)),VALUE(LEFT(AQ748,FIND("/",AQ748)-1)),VALUE(MID(AQ748,FIND("/",AQ748)+1,FIND("/",AQ748,FIND("/",AQ748)+1)-FIND("/",AQ748)-1))),""))</f>
        <v/>
      </c>
      <c r="AS748" s="26">
        <f>IF(G748="","",IF(AND(AG748&lt;&gt;"",AG748&lt;&gt;"Bayi Aracı"),"Evet","Hayır"))</f>
        <v/>
      </c>
      <c r="AT748" s="26">
        <f>IF(G748="","",IF(AND(AS748="Evet",T748="Siparişiniz Teslim Edildi"),"Evet","Hayır"))</f>
        <v/>
      </c>
      <c r="AU748" s="26">
        <f>IF(G748="","",IF(AB748="Siparişinizin Montajı Yapıldı","Evet","Hayır"))</f>
        <v/>
      </c>
      <c r="AV748" s="27">
        <f>IF(G748="","",IF(AT748="Evet",AR748,IF(AU748="Evet",AP748,"")))</f>
        <v/>
      </c>
    </row>
    <row r="749">
      <c r="A749" s="23" t="n"/>
      <c r="B749" s="23" t="n"/>
      <c r="C749" s="23" t="n"/>
      <c r="D749" s="23" t="n"/>
      <c r="E749" s="23" t="n"/>
      <c r="F749" s="23" t="n"/>
      <c r="G749" s="23" t="n"/>
      <c r="H749" s="23" t="n"/>
      <c r="I749" s="23" t="n"/>
      <c r="J749" s="23" t="n"/>
      <c r="K749" s="23" t="n"/>
      <c r="L749" s="23" t="n"/>
      <c r="M749" s="23" t="n"/>
      <c r="N749" s="23" t="n"/>
      <c r="O749" s="23" t="n"/>
      <c r="P749" s="23" t="n"/>
      <c r="Q749" s="23" t="n"/>
      <c r="R749" s="23" t="n"/>
      <c r="S749" s="23" t="n"/>
      <c r="T749" s="23" t="n"/>
      <c r="U749" s="23" t="n"/>
      <c r="V749" s="23" t="n"/>
      <c r="W749" s="23" t="n"/>
      <c r="X749" s="23" t="n"/>
      <c r="Y749" s="23" t="n"/>
      <c r="Z749" s="23" t="n"/>
      <c r="AA749" s="23" t="n"/>
      <c r="AB749" s="23" t="n"/>
      <c r="AC749" s="23" t="n"/>
      <c r="AD749" s="23" t="n"/>
      <c r="AE749" s="23" t="n"/>
      <c r="AF749" s="23" t="n"/>
      <c r="AG749" s="23" t="n"/>
      <c r="AH749" s="23" t="n"/>
      <c r="AI749" s="23" t="n"/>
      <c r="AJ749" s="23" t="n"/>
      <c r="AK749" s="23" t="n"/>
      <c r="AL749" s="23" t="n"/>
      <c r="AM749" s="26">
        <f>IF(G749="","",G749&amp;"|"&amp;P749)</f>
        <v/>
      </c>
      <c r="AN749" s="27">
        <f>IF(I749="","",IFERROR(DATE(VALUE(RIGHT(I749,4)),VALUE(MID(I749,4,2)),VALUE(LEFT(I749,2))),""))</f>
        <v/>
      </c>
      <c r="AO749" s="27">
        <f>IF(Y749="","",IFERROR(DATE(VALUE(RIGHT(Y749,4)),VALUE(MID(Y749,4,2)),VALUE(LEFT(Y749,2))),""))</f>
        <v/>
      </c>
      <c r="AP749" s="27">
        <f>IF(AC749="","",IFERROR(DATE(VALUE(RIGHT(AC749,4)),VALUE(MID(AC749,4,2)),VALUE(LEFT(AC749,2))),""))</f>
        <v/>
      </c>
      <c r="AQ749" s="26">
        <f>IF(AI749="","",TRIM(LEFT(AI749,FIND(" ",AI749&amp;" ")-1)))</f>
        <v/>
      </c>
      <c r="AR749" s="27">
        <f>IF(AQ749="","",IFERROR(DATE(VALUE(MID(AQ749,FIND("/",AQ749,FIND("/",AQ749)+1)+1,4)),VALUE(LEFT(AQ749,FIND("/",AQ749)-1)),VALUE(MID(AQ749,FIND("/",AQ749)+1,FIND("/",AQ749,FIND("/",AQ749)+1)-FIND("/",AQ749)-1))),""))</f>
        <v/>
      </c>
      <c r="AS749" s="26">
        <f>IF(G749="","",IF(AND(AG749&lt;&gt;"",AG749&lt;&gt;"Bayi Aracı"),"Evet","Hayır"))</f>
        <v/>
      </c>
      <c r="AT749" s="26">
        <f>IF(G749="","",IF(AND(AS749="Evet",T749="Siparişiniz Teslim Edildi"),"Evet","Hayır"))</f>
        <v/>
      </c>
      <c r="AU749" s="26">
        <f>IF(G749="","",IF(AB749="Siparişinizin Montajı Yapıldı","Evet","Hayır"))</f>
        <v/>
      </c>
      <c r="AV749" s="27">
        <f>IF(G749="","",IF(AT749="Evet",AR749,IF(AU749="Evet",AP749,"")))</f>
        <v/>
      </c>
    </row>
    <row r="750">
      <c r="A750" s="23" t="n"/>
      <c r="B750" s="23" t="n"/>
      <c r="C750" s="23" t="n"/>
      <c r="D750" s="23" t="n"/>
      <c r="E750" s="23" t="n"/>
      <c r="F750" s="23" t="n"/>
      <c r="G750" s="23" t="n"/>
      <c r="H750" s="23" t="n"/>
      <c r="I750" s="23" t="n"/>
      <c r="J750" s="23" t="n"/>
      <c r="K750" s="23" t="n"/>
      <c r="L750" s="23" t="n"/>
      <c r="M750" s="23" t="n"/>
      <c r="N750" s="23" t="n"/>
      <c r="O750" s="23" t="n"/>
      <c r="P750" s="23" t="n"/>
      <c r="Q750" s="23" t="n"/>
      <c r="R750" s="23" t="n"/>
      <c r="S750" s="23" t="n"/>
      <c r="T750" s="23" t="n"/>
      <c r="U750" s="23" t="n"/>
      <c r="V750" s="23" t="n"/>
      <c r="W750" s="23" t="n"/>
      <c r="X750" s="23" t="n"/>
      <c r="Y750" s="23" t="n"/>
      <c r="Z750" s="23" t="n"/>
      <c r="AA750" s="23" t="n"/>
      <c r="AB750" s="23" t="n"/>
      <c r="AC750" s="23" t="n"/>
      <c r="AD750" s="23" t="n"/>
      <c r="AE750" s="23" t="n"/>
      <c r="AF750" s="23" t="n"/>
      <c r="AG750" s="23" t="n"/>
      <c r="AH750" s="23" t="n"/>
      <c r="AI750" s="23" t="n"/>
      <c r="AJ750" s="23" t="n"/>
      <c r="AK750" s="23" t="n"/>
      <c r="AL750" s="23" t="n"/>
      <c r="AM750" s="26">
        <f>IF(G750="","",G750&amp;"|"&amp;P750)</f>
        <v/>
      </c>
      <c r="AN750" s="27">
        <f>IF(I750="","",IFERROR(DATE(VALUE(RIGHT(I750,4)),VALUE(MID(I750,4,2)),VALUE(LEFT(I750,2))),""))</f>
        <v/>
      </c>
      <c r="AO750" s="27">
        <f>IF(Y750="","",IFERROR(DATE(VALUE(RIGHT(Y750,4)),VALUE(MID(Y750,4,2)),VALUE(LEFT(Y750,2))),""))</f>
        <v/>
      </c>
      <c r="AP750" s="27">
        <f>IF(AC750="","",IFERROR(DATE(VALUE(RIGHT(AC750,4)),VALUE(MID(AC750,4,2)),VALUE(LEFT(AC750,2))),""))</f>
        <v/>
      </c>
      <c r="AQ750" s="26">
        <f>IF(AI750="","",TRIM(LEFT(AI750,FIND(" ",AI750&amp;" ")-1)))</f>
        <v/>
      </c>
      <c r="AR750" s="27">
        <f>IF(AQ750="","",IFERROR(DATE(VALUE(MID(AQ750,FIND("/",AQ750,FIND("/",AQ750)+1)+1,4)),VALUE(LEFT(AQ750,FIND("/",AQ750)-1)),VALUE(MID(AQ750,FIND("/",AQ750)+1,FIND("/",AQ750,FIND("/",AQ750)+1)-FIND("/",AQ750)-1))),""))</f>
        <v/>
      </c>
      <c r="AS750" s="26">
        <f>IF(G750="","",IF(AND(AG750&lt;&gt;"",AG750&lt;&gt;"Bayi Aracı"),"Evet","Hayır"))</f>
        <v/>
      </c>
      <c r="AT750" s="26">
        <f>IF(G750="","",IF(AND(AS750="Evet",T750="Siparişiniz Teslim Edildi"),"Evet","Hayır"))</f>
        <v/>
      </c>
      <c r="AU750" s="26">
        <f>IF(G750="","",IF(AB750="Siparişinizin Montajı Yapıldı","Evet","Hayır"))</f>
        <v/>
      </c>
      <c r="AV750" s="27">
        <f>IF(G750="","",IF(AT750="Evet",AR750,IF(AU750="Evet",AP750,"")))</f>
        <v/>
      </c>
    </row>
    <row r="751">
      <c r="A751" s="23" t="n"/>
      <c r="B751" s="23" t="n"/>
      <c r="C751" s="23" t="n"/>
      <c r="D751" s="23" t="n"/>
      <c r="E751" s="23" t="n"/>
      <c r="F751" s="23" t="n"/>
      <c r="G751" s="23" t="n"/>
      <c r="H751" s="23" t="n"/>
      <c r="I751" s="23" t="n"/>
      <c r="J751" s="23" t="n"/>
      <c r="K751" s="23" t="n"/>
      <c r="L751" s="23" t="n"/>
      <c r="M751" s="23" t="n"/>
      <c r="N751" s="23" t="n"/>
      <c r="O751" s="23" t="n"/>
      <c r="P751" s="23" t="n"/>
      <c r="Q751" s="23" t="n"/>
      <c r="R751" s="23" t="n"/>
      <c r="S751" s="23" t="n"/>
      <c r="T751" s="23" t="n"/>
      <c r="U751" s="23" t="n"/>
      <c r="V751" s="23" t="n"/>
      <c r="W751" s="23" t="n"/>
      <c r="X751" s="23" t="n"/>
      <c r="Y751" s="23" t="n"/>
      <c r="Z751" s="23" t="n"/>
      <c r="AA751" s="23" t="n"/>
      <c r="AB751" s="23" t="n"/>
      <c r="AC751" s="23" t="n"/>
      <c r="AD751" s="23" t="n"/>
      <c r="AE751" s="23" t="n"/>
      <c r="AF751" s="23" t="n"/>
      <c r="AG751" s="23" t="n"/>
      <c r="AH751" s="23" t="n"/>
      <c r="AI751" s="23" t="n"/>
      <c r="AJ751" s="23" t="n"/>
      <c r="AK751" s="23" t="n"/>
      <c r="AL751" s="23" t="n"/>
      <c r="AM751" s="26">
        <f>IF(G751="","",G751&amp;"|"&amp;P751)</f>
        <v/>
      </c>
      <c r="AN751" s="27">
        <f>IF(I751="","",IFERROR(DATE(VALUE(RIGHT(I751,4)),VALUE(MID(I751,4,2)),VALUE(LEFT(I751,2))),""))</f>
        <v/>
      </c>
      <c r="AO751" s="27">
        <f>IF(Y751="","",IFERROR(DATE(VALUE(RIGHT(Y751,4)),VALUE(MID(Y751,4,2)),VALUE(LEFT(Y751,2))),""))</f>
        <v/>
      </c>
      <c r="AP751" s="27">
        <f>IF(AC751="","",IFERROR(DATE(VALUE(RIGHT(AC751,4)),VALUE(MID(AC751,4,2)),VALUE(LEFT(AC751,2))),""))</f>
        <v/>
      </c>
      <c r="AQ751" s="26">
        <f>IF(AI751="","",TRIM(LEFT(AI751,FIND(" ",AI751&amp;" ")-1)))</f>
        <v/>
      </c>
      <c r="AR751" s="27">
        <f>IF(AQ751="","",IFERROR(DATE(VALUE(MID(AQ751,FIND("/",AQ751,FIND("/",AQ751)+1)+1,4)),VALUE(LEFT(AQ751,FIND("/",AQ751)-1)),VALUE(MID(AQ751,FIND("/",AQ751)+1,FIND("/",AQ751,FIND("/",AQ751)+1)-FIND("/",AQ751)-1))),""))</f>
        <v/>
      </c>
      <c r="AS751" s="26">
        <f>IF(G751="","",IF(AND(AG751&lt;&gt;"",AG751&lt;&gt;"Bayi Aracı"),"Evet","Hayır"))</f>
        <v/>
      </c>
      <c r="AT751" s="26">
        <f>IF(G751="","",IF(AND(AS751="Evet",T751="Siparişiniz Teslim Edildi"),"Evet","Hayır"))</f>
        <v/>
      </c>
      <c r="AU751" s="26">
        <f>IF(G751="","",IF(AB751="Siparişinizin Montajı Yapıldı","Evet","Hayır"))</f>
        <v/>
      </c>
      <c r="AV751" s="27">
        <f>IF(G751="","",IF(AT751="Evet",AR751,IF(AU751="Evet",AP751,"")))</f>
        <v/>
      </c>
    </row>
    <row r="752">
      <c r="A752" s="23" t="n"/>
      <c r="B752" s="23" t="n"/>
      <c r="C752" s="23" t="n"/>
      <c r="D752" s="23" t="n"/>
      <c r="E752" s="23" t="n"/>
      <c r="F752" s="23" t="n"/>
      <c r="G752" s="23" t="n"/>
      <c r="H752" s="23" t="n"/>
      <c r="I752" s="23" t="n"/>
      <c r="J752" s="23" t="n"/>
      <c r="K752" s="23" t="n"/>
      <c r="L752" s="23" t="n"/>
      <c r="M752" s="23" t="n"/>
      <c r="N752" s="23" t="n"/>
      <c r="O752" s="23" t="n"/>
      <c r="P752" s="23" t="n"/>
      <c r="Q752" s="23" t="n"/>
      <c r="R752" s="23" t="n"/>
      <c r="S752" s="23" t="n"/>
      <c r="T752" s="23" t="n"/>
      <c r="U752" s="23" t="n"/>
      <c r="V752" s="23" t="n"/>
      <c r="W752" s="23" t="n"/>
      <c r="X752" s="23" t="n"/>
      <c r="Y752" s="23" t="n"/>
      <c r="Z752" s="23" t="n"/>
      <c r="AA752" s="23" t="n"/>
      <c r="AB752" s="23" t="n"/>
      <c r="AC752" s="23" t="n"/>
      <c r="AD752" s="23" t="n"/>
      <c r="AE752" s="23" t="n"/>
      <c r="AF752" s="23" t="n"/>
      <c r="AG752" s="23" t="n"/>
      <c r="AH752" s="23" t="n"/>
      <c r="AI752" s="23" t="n"/>
      <c r="AJ752" s="23" t="n"/>
      <c r="AK752" s="23" t="n"/>
      <c r="AL752" s="23" t="n"/>
      <c r="AM752" s="26">
        <f>IF(G752="","",G752&amp;"|"&amp;P752)</f>
        <v/>
      </c>
      <c r="AN752" s="27">
        <f>IF(I752="","",IFERROR(DATE(VALUE(RIGHT(I752,4)),VALUE(MID(I752,4,2)),VALUE(LEFT(I752,2))),""))</f>
        <v/>
      </c>
      <c r="AO752" s="27">
        <f>IF(Y752="","",IFERROR(DATE(VALUE(RIGHT(Y752,4)),VALUE(MID(Y752,4,2)),VALUE(LEFT(Y752,2))),""))</f>
        <v/>
      </c>
      <c r="AP752" s="27">
        <f>IF(AC752="","",IFERROR(DATE(VALUE(RIGHT(AC752,4)),VALUE(MID(AC752,4,2)),VALUE(LEFT(AC752,2))),""))</f>
        <v/>
      </c>
      <c r="AQ752" s="26">
        <f>IF(AI752="","",TRIM(LEFT(AI752,FIND(" ",AI752&amp;" ")-1)))</f>
        <v/>
      </c>
      <c r="AR752" s="27">
        <f>IF(AQ752="","",IFERROR(DATE(VALUE(MID(AQ752,FIND("/",AQ752,FIND("/",AQ752)+1)+1,4)),VALUE(LEFT(AQ752,FIND("/",AQ752)-1)),VALUE(MID(AQ752,FIND("/",AQ752)+1,FIND("/",AQ752,FIND("/",AQ752)+1)-FIND("/",AQ752)-1))),""))</f>
        <v/>
      </c>
      <c r="AS752" s="26">
        <f>IF(G752="","",IF(AND(AG752&lt;&gt;"",AG752&lt;&gt;"Bayi Aracı"),"Evet","Hayır"))</f>
        <v/>
      </c>
      <c r="AT752" s="26">
        <f>IF(G752="","",IF(AND(AS752="Evet",T752="Siparişiniz Teslim Edildi"),"Evet","Hayır"))</f>
        <v/>
      </c>
      <c r="AU752" s="26">
        <f>IF(G752="","",IF(AB752="Siparişinizin Montajı Yapıldı","Evet","Hayır"))</f>
        <v/>
      </c>
      <c r="AV752" s="27">
        <f>IF(G752="","",IF(AT752="Evet",AR752,IF(AU752="Evet",AP752,"")))</f>
        <v/>
      </c>
    </row>
    <row r="753">
      <c r="A753" s="23" t="n"/>
      <c r="B753" s="23" t="n"/>
      <c r="C753" s="23" t="n"/>
      <c r="D753" s="23" t="n"/>
      <c r="E753" s="23" t="n"/>
      <c r="F753" s="23" t="n"/>
      <c r="G753" s="23" t="n"/>
      <c r="H753" s="23" t="n"/>
      <c r="I753" s="23" t="n"/>
      <c r="J753" s="23" t="n"/>
      <c r="K753" s="23" t="n"/>
      <c r="L753" s="23" t="n"/>
      <c r="M753" s="23" t="n"/>
      <c r="N753" s="23" t="n"/>
      <c r="O753" s="23" t="n"/>
      <c r="P753" s="23" t="n"/>
      <c r="Q753" s="23" t="n"/>
      <c r="R753" s="23" t="n"/>
      <c r="S753" s="23" t="n"/>
      <c r="T753" s="23" t="n"/>
      <c r="U753" s="23" t="n"/>
      <c r="V753" s="23" t="n"/>
      <c r="W753" s="23" t="n"/>
      <c r="X753" s="23" t="n"/>
      <c r="Y753" s="23" t="n"/>
      <c r="Z753" s="23" t="n"/>
      <c r="AA753" s="23" t="n"/>
      <c r="AB753" s="23" t="n"/>
      <c r="AC753" s="23" t="n"/>
      <c r="AD753" s="23" t="n"/>
      <c r="AE753" s="23" t="n"/>
      <c r="AF753" s="23" t="n"/>
      <c r="AG753" s="23" t="n"/>
      <c r="AH753" s="23" t="n"/>
      <c r="AI753" s="23" t="n"/>
      <c r="AJ753" s="23" t="n"/>
      <c r="AK753" s="23" t="n"/>
      <c r="AL753" s="23" t="n"/>
      <c r="AM753" s="26">
        <f>IF(G753="","",G753&amp;"|"&amp;P753)</f>
        <v/>
      </c>
      <c r="AN753" s="27">
        <f>IF(I753="","",IFERROR(DATE(VALUE(RIGHT(I753,4)),VALUE(MID(I753,4,2)),VALUE(LEFT(I753,2))),""))</f>
        <v/>
      </c>
      <c r="AO753" s="27">
        <f>IF(Y753="","",IFERROR(DATE(VALUE(RIGHT(Y753,4)),VALUE(MID(Y753,4,2)),VALUE(LEFT(Y753,2))),""))</f>
        <v/>
      </c>
      <c r="AP753" s="27">
        <f>IF(AC753="","",IFERROR(DATE(VALUE(RIGHT(AC753,4)),VALUE(MID(AC753,4,2)),VALUE(LEFT(AC753,2))),""))</f>
        <v/>
      </c>
      <c r="AQ753" s="26">
        <f>IF(AI753="","",TRIM(LEFT(AI753,FIND(" ",AI753&amp;" ")-1)))</f>
        <v/>
      </c>
      <c r="AR753" s="27">
        <f>IF(AQ753="","",IFERROR(DATE(VALUE(MID(AQ753,FIND("/",AQ753,FIND("/",AQ753)+1)+1,4)),VALUE(LEFT(AQ753,FIND("/",AQ753)-1)),VALUE(MID(AQ753,FIND("/",AQ753)+1,FIND("/",AQ753,FIND("/",AQ753)+1)-FIND("/",AQ753)-1))),""))</f>
        <v/>
      </c>
      <c r="AS753" s="26">
        <f>IF(G753="","",IF(AND(AG753&lt;&gt;"",AG753&lt;&gt;"Bayi Aracı"),"Evet","Hayır"))</f>
        <v/>
      </c>
      <c r="AT753" s="26">
        <f>IF(G753="","",IF(AND(AS753="Evet",T753="Siparişiniz Teslim Edildi"),"Evet","Hayır"))</f>
        <v/>
      </c>
      <c r="AU753" s="26">
        <f>IF(G753="","",IF(AB753="Siparişinizin Montajı Yapıldı","Evet","Hayır"))</f>
        <v/>
      </c>
      <c r="AV753" s="27">
        <f>IF(G753="","",IF(AT753="Evet",AR753,IF(AU753="Evet",AP753,"")))</f>
        <v/>
      </c>
    </row>
    <row r="754">
      <c r="A754" s="23" t="n"/>
      <c r="B754" s="23" t="n"/>
      <c r="C754" s="23" t="n"/>
      <c r="D754" s="23" t="n"/>
      <c r="E754" s="23" t="n"/>
      <c r="F754" s="23" t="n"/>
      <c r="G754" s="23" t="n"/>
      <c r="H754" s="23" t="n"/>
      <c r="I754" s="23" t="n"/>
      <c r="J754" s="23" t="n"/>
      <c r="K754" s="23" t="n"/>
      <c r="L754" s="23" t="n"/>
      <c r="M754" s="23" t="n"/>
      <c r="N754" s="23" t="n"/>
      <c r="O754" s="23" t="n"/>
      <c r="P754" s="23" t="n"/>
      <c r="Q754" s="23" t="n"/>
      <c r="R754" s="23" t="n"/>
      <c r="S754" s="23" t="n"/>
      <c r="T754" s="23" t="n"/>
      <c r="U754" s="23" t="n"/>
      <c r="V754" s="23" t="n"/>
      <c r="W754" s="23" t="n"/>
      <c r="X754" s="23" t="n"/>
      <c r="Y754" s="23" t="n"/>
      <c r="Z754" s="23" t="n"/>
      <c r="AA754" s="23" t="n"/>
      <c r="AB754" s="23" t="n"/>
      <c r="AC754" s="23" t="n"/>
      <c r="AD754" s="23" t="n"/>
      <c r="AE754" s="23" t="n"/>
      <c r="AF754" s="23" t="n"/>
      <c r="AG754" s="23" t="n"/>
      <c r="AH754" s="23" t="n"/>
      <c r="AI754" s="23" t="n"/>
      <c r="AJ754" s="23" t="n"/>
      <c r="AK754" s="23" t="n"/>
      <c r="AL754" s="23" t="n"/>
      <c r="AM754" s="26">
        <f>IF(G754="","",G754&amp;"|"&amp;P754)</f>
        <v/>
      </c>
      <c r="AN754" s="27">
        <f>IF(I754="","",IFERROR(DATE(VALUE(RIGHT(I754,4)),VALUE(MID(I754,4,2)),VALUE(LEFT(I754,2))),""))</f>
        <v/>
      </c>
      <c r="AO754" s="27">
        <f>IF(Y754="","",IFERROR(DATE(VALUE(RIGHT(Y754,4)),VALUE(MID(Y754,4,2)),VALUE(LEFT(Y754,2))),""))</f>
        <v/>
      </c>
      <c r="AP754" s="27">
        <f>IF(AC754="","",IFERROR(DATE(VALUE(RIGHT(AC754,4)),VALUE(MID(AC754,4,2)),VALUE(LEFT(AC754,2))),""))</f>
        <v/>
      </c>
      <c r="AQ754" s="26">
        <f>IF(AI754="","",TRIM(LEFT(AI754,FIND(" ",AI754&amp;" ")-1)))</f>
        <v/>
      </c>
      <c r="AR754" s="27">
        <f>IF(AQ754="","",IFERROR(DATE(VALUE(MID(AQ754,FIND("/",AQ754,FIND("/",AQ754)+1)+1,4)),VALUE(LEFT(AQ754,FIND("/",AQ754)-1)),VALUE(MID(AQ754,FIND("/",AQ754)+1,FIND("/",AQ754,FIND("/",AQ754)+1)-FIND("/",AQ754)-1))),""))</f>
        <v/>
      </c>
      <c r="AS754" s="26">
        <f>IF(G754="","",IF(AND(AG754&lt;&gt;"",AG754&lt;&gt;"Bayi Aracı"),"Evet","Hayır"))</f>
        <v/>
      </c>
      <c r="AT754" s="26">
        <f>IF(G754="","",IF(AND(AS754="Evet",T754="Siparişiniz Teslim Edildi"),"Evet","Hayır"))</f>
        <v/>
      </c>
      <c r="AU754" s="26">
        <f>IF(G754="","",IF(AB754="Siparişinizin Montajı Yapıldı","Evet","Hayır"))</f>
        <v/>
      </c>
      <c r="AV754" s="27">
        <f>IF(G754="","",IF(AT754="Evet",AR754,IF(AU754="Evet",AP754,"")))</f>
        <v/>
      </c>
    </row>
    <row r="755">
      <c r="A755" s="23" t="n"/>
      <c r="B755" s="23" t="n"/>
      <c r="C755" s="23" t="n"/>
      <c r="D755" s="23" t="n"/>
      <c r="E755" s="23" t="n"/>
      <c r="F755" s="23" t="n"/>
      <c r="G755" s="23" t="n"/>
      <c r="H755" s="23" t="n"/>
      <c r="I755" s="23" t="n"/>
      <c r="J755" s="23" t="n"/>
      <c r="K755" s="23" t="n"/>
      <c r="L755" s="23" t="n"/>
      <c r="M755" s="23" t="n"/>
      <c r="N755" s="23" t="n"/>
      <c r="O755" s="23" t="n"/>
      <c r="P755" s="23" t="n"/>
      <c r="Q755" s="23" t="n"/>
      <c r="R755" s="23" t="n"/>
      <c r="S755" s="23" t="n"/>
      <c r="T755" s="23" t="n"/>
      <c r="U755" s="23" t="n"/>
      <c r="V755" s="23" t="n"/>
      <c r="W755" s="23" t="n"/>
      <c r="X755" s="23" t="n"/>
      <c r="Y755" s="23" t="n"/>
      <c r="Z755" s="23" t="n"/>
      <c r="AA755" s="23" t="n"/>
      <c r="AB755" s="23" t="n"/>
      <c r="AC755" s="23" t="n"/>
      <c r="AD755" s="23" t="n"/>
      <c r="AE755" s="23" t="n"/>
      <c r="AF755" s="23" t="n"/>
      <c r="AG755" s="23" t="n"/>
      <c r="AH755" s="23" t="n"/>
      <c r="AI755" s="23" t="n"/>
      <c r="AJ755" s="23" t="n"/>
      <c r="AK755" s="23" t="n"/>
      <c r="AL755" s="23" t="n"/>
      <c r="AM755" s="26">
        <f>IF(G755="","",G755&amp;"|"&amp;P755)</f>
        <v/>
      </c>
      <c r="AN755" s="27">
        <f>IF(I755="","",IFERROR(DATE(VALUE(RIGHT(I755,4)),VALUE(MID(I755,4,2)),VALUE(LEFT(I755,2))),""))</f>
        <v/>
      </c>
      <c r="AO755" s="27">
        <f>IF(Y755="","",IFERROR(DATE(VALUE(RIGHT(Y755,4)),VALUE(MID(Y755,4,2)),VALUE(LEFT(Y755,2))),""))</f>
        <v/>
      </c>
      <c r="AP755" s="27">
        <f>IF(AC755="","",IFERROR(DATE(VALUE(RIGHT(AC755,4)),VALUE(MID(AC755,4,2)),VALUE(LEFT(AC755,2))),""))</f>
        <v/>
      </c>
      <c r="AQ755" s="26">
        <f>IF(AI755="","",TRIM(LEFT(AI755,FIND(" ",AI755&amp;" ")-1)))</f>
        <v/>
      </c>
      <c r="AR755" s="27">
        <f>IF(AQ755="","",IFERROR(DATE(VALUE(MID(AQ755,FIND("/",AQ755,FIND("/",AQ755)+1)+1,4)),VALUE(LEFT(AQ755,FIND("/",AQ755)-1)),VALUE(MID(AQ755,FIND("/",AQ755)+1,FIND("/",AQ755,FIND("/",AQ755)+1)-FIND("/",AQ755)-1))),""))</f>
        <v/>
      </c>
      <c r="AS755" s="26">
        <f>IF(G755="","",IF(AND(AG755&lt;&gt;"",AG755&lt;&gt;"Bayi Aracı"),"Evet","Hayır"))</f>
        <v/>
      </c>
      <c r="AT755" s="26">
        <f>IF(G755="","",IF(AND(AS755="Evet",T755="Siparişiniz Teslim Edildi"),"Evet","Hayır"))</f>
        <v/>
      </c>
      <c r="AU755" s="26">
        <f>IF(G755="","",IF(AB755="Siparişinizin Montajı Yapıldı","Evet","Hayır"))</f>
        <v/>
      </c>
      <c r="AV755" s="27">
        <f>IF(G755="","",IF(AT755="Evet",AR755,IF(AU755="Evet",AP755,"")))</f>
        <v/>
      </c>
    </row>
    <row r="756">
      <c r="A756" s="23" t="n"/>
      <c r="B756" s="23" t="n"/>
      <c r="C756" s="23" t="n"/>
      <c r="D756" s="23" t="n"/>
      <c r="E756" s="23" t="n"/>
      <c r="F756" s="23" t="n"/>
      <c r="G756" s="23" t="n"/>
      <c r="H756" s="23" t="n"/>
      <c r="I756" s="23" t="n"/>
      <c r="J756" s="23" t="n"/>
      <c r="K756" s="23" t="n"/>
      <c r="L756" s="23" t="n"/>
      <c r="M756" s="23" t="n"/>
      <c r="N756" s="23" t="n"/>
      <c r="O756" s="23" t="n"/>
      <c r="P756" s="23" t="n"/>
      <c r="Q756" s="23" t="n"/>
      <c r="R756" s="23" t="n"/>
      <c r="S756" s="23" t="n"/>
      <c r="T756" s="23" t="n"/>
      <c r="U756" s="23" t="n"/>
      <c r="V756" s="23" t="n"/>
      <c r="W756" s="23" t="n"/>
      <c r="X756" s="23" t="n"/>
      <c r="Y756" s="23" t="n"/>
      <c r="Z756" s="23" t="n"/>
      <c r="AA756" s="23" t="n"/>
      <c r="AB756" s="23" t="n"/>
      <c r="AC756" s="23" t="n"/>
      <c r="AD756" s="23" t="n"/>
      <c r="AE756" s="23" t="n"/>
      <c r="AF756" s="23" t="n"/>
      <c r="AG756" s="23" t="n"/>
      <c r="AH756" s="23" t="n"/>
      <c r="AI756" s="23" t="n"/>
      <c r="AJ756" s="23" t="n"/>
      <c r="AK756" s="23" t="n"/>
      <c r="AL756" s="23" t="n"/>
      <c r="AM756" s="26">
        <f>IF(G756="","",G756&amp;"|"&amp;P756)</f>
        <v/>
      </c>
      <c r="AN756" s="27">
        <f>IF(I756="","",IFERROR(DATE(VALUE(RIGHT(I756,4)),VALUE(MID(I756,4,2)),VALUE(LEFT(I756,2))),""))</f>
        <v/>
      </c>
      <c r="AO756" s="27">
        <f>IF(Y756="","",IFERROR(DATE(VALUE(RIGHT(Y756,4)),VALUE(MID(Y756,4,2)),VALUE(LEFT(Y756,2))),""))</f>
        <v/>
      </c>
      <c r="AP756" s="27">
        <f>IF(AC756="","",IFERROR(DATE(VALUE(RIGHT(AC756,4)),VALUE(MID(AC756,4,2)),VALUE(LEFT(AC756,2))),""))</f>
        <v/>
      </c>
      <c r="AQ756" s="26">
        <f>IF(AI756="","",TRIM(LEFT(AI756,FIND(" ",AI756&amp;" ")-1)))</f>
        <v/>
      </c>
      <c r="AR756" s="27">
        <f>IF(AQ756="","",IFERROR(DATE(VALUE(MID(AQ756,FIND("/",AQ756,FIND("/",AQ756)+1)+1,4)),VALUE(LEFT(AQ756,FIND("/",AQ756)-1)),VALUE(MID(AQ756,FIND("/",AQ756)+1,FIND("/",AQ756,FIND("/",AQ756)+1)-FIND("/",AQ756)-1))),""))</f>
        <v/>
      </c>
      <c r="AS756" s="26">
        <f>IF(G756="","",IF(AND(AG756&lt;&gt;"",AG756&lt;&gt;"Bayi Aracı"),"Evet","Hayır"))</f>
        <v/>
      </c>
      <c r="AT756" s="26">
        <f>IF(G756="","",IF(AND(AS756="Evet",T756="Siparişiniz Teslim Edildi"),"Evet","Hayır"))</f>
        <v/>
      </c>
      <c r="AU756" s="26">
        <f>IF(G756="","",IF(AB756="Siparişinizin Montajı Yapıldı","Evet","Hayır"))</f>
        <v/>
      </c>
      <c r="AV756" s="27">
        <f>IF(G756="","",IF(AT756="Evet",AR756,IF(AU756="Evet",AP756,"")))</f>
        <v/>
      </c>
    </row>
    <row r="757">
      <c r="A757" s="23" t="n"/>
      <c r="B757" s="23" t="n"/>
      <c r="C757" s="23" t="n"/>
      <c r="D757" s="23" t="n"/>
      <c r="E757" s="23" t="n"/>
      <c r="F757" s="23" t="n"/>
      <c r="G757" s="23" t="n"/>
      <c r="H757" s="23" t="n"/>
      <c r="I757" s="23" t="n"/>
      <c r="J757" s="23" t="n"/>
      <c r="K757" s="23" t="n"/>
      <c r="L757" s="23" t="n"/>
      <c r="M757" s="23" t="n"/>
      <c r="N757" s="23" t="n"/>
      <c r="O757" s="23" t="n"/>
      <c r="P757" s="23" t="n"/>
      <c r="Q757" s="23" t="n"/>
      <c r="R757" s="23" t="n"/>
      <c r="S757" s="23" t="n"/>
      <c r="T757" s="23" t="n"/>
      <c r="U757" s="23" t="n"/>
      <c r="V757" s="23" t="n"/>
      <c r="W757" s="23" t="n"/>
      <c r="X757" s="23" t="n"/>
      <c r="Y757" s="23" t="n"/>
      <c r="Z757" s="23" t="n"/>
      <c r="AA757" s="23" t="n"/>
      <c r="AB757" s="23" t="n"/>
      <c r="AC757" s="23" t="n"/>
      <c r="AD757" s="23" t="n"/>
      <c r="AE757" s="23" t="n"/>
      <c r="AF757" s="23" t="n"/>
      <c r="AG757" s="23" t="n"/>
      <c r="AH757" s="23" t="n"/>
      <c r="AI757" s="23" t="n"/>
      <c r="AJ757" s="23" t="n"/>
      <c r="AK757" s="23" t="n"/>
      <c r="AL757" s="23" t="n"/>
      <c r="AM757" s="26">
        <f>IF(G757="","",G757&amp;"|"&amp;P757)</f>
        <v/>
      </c>
      <c r="AN757" s="27">
        <f>IF(I757="","",IFERROR(DATE(VALUE(RIGHT(I757,4)),VALUE(MID(I757,4,2)),VALUE(LEFT(I757,2))),""))</f>
        <v/>
      </c>
      <c r="AO757" s="27">
        <f>IF(Y757="","",IFERROR(DATE(VALUE(RIGHT(Y757,4)),VALUE(MID(Y757,4,2)),VALUE(LEFT(Y757,2))),""))</f>
        <v/>
      </c>
      <c r="AP757" s="27">
        <f>IF(AC757="","",IFERROR(DATE(VALUE(RIGHT(AC757,4)),VALUE(MID(AC757,4,2)),VALUE(LEFT(AC757,2))),""))</f>
        <v/>
      </c>
      <c r="AQ757" s="26">
        <f>IF(AI757="","",TRIM(LEFT(AI757,FIND(" ",AI757&amp;" ")-1)))</f>
        <v/>
      </c>
      <c r="AR757" s="27">
        <f>IF(AQ757="","",IFERROR(DATE(VALUE(MID(AQ757,FIND("/",AQ757,FIND("/",AQ757)+1)+1,4)),VALUE(LEFT(AQ757,FIND("/",AQ757)-1)),VALUE(MID(AQ757,FIND("/",AQ757)+1,FIND("/",AQ757,FIND("/",AQ757)+1)-FIND("/",AQ757)-1))),""))</f>
        <v/>
      </c>
      <c r="AS757" s="26">
        <f>IF(G757="","",IF(AND(AG757&lt;&gt;"",AG757&lt;&gt;"Bayi Aracı"),"Evet","Hayır"))</f>
        <v/>
      </c>
      <c r="AT757" s="26">
        <f>IF(G757="","",IF(AND(AS757="Evet",T757="Siparişiniz Teslim Edildi"),"Evet","Hayır"))</f>
        <v/>
      </c>
      <c r="AU757" s="26">
        <f>IF(G757="","",IF(AB757="Siparişinizin Montajı Yapıldı","Evet","Hayır"))</f>
        <v/>
      </c>
      <c r="AV757" s="27">
        <f>IF(G757="","",IF(AT757="Evet",AR757,IF(AU757="Evet",AP757,"")))</f>
        <v/>
      </c>
    </row>
    <row r="758">
      <c r="A758" s="23" t="n"/>
      <c r="B758" s="23" t="n"/>
      <c r="C758" s="23" t="n"/>
      <c r="D758" s="23" t="n"/>
      <c r="E758" s="23" t="n"/>
      <c r="F758" s="23" t="n"/>
      <c r="G758" s="23" t="n"/>
      <c r="H758" s="23" t="n"/>
      <c r="I758" s="23" t="n"/>
      <c r="J758" s="23" t="n"/>
      <c r="K758" s="23" t="n"/>
      <c r="L758" s="23" t="n"/>
      <c r="M758" s="23" t="n"/>
      <c r="N758" s="23" t="n"/>
      <c r="O758" s="23" t="n"/>
      <c r="P758" s="23" t="n"/>
      <c r="Q758" s="23" t="n"/>
      <c r="R758" s="23" t="n"/>
      <c r="S758" s="23" t="n"/>
      <c r="T758" s="23" t="n"/>
      <c r="U758" s="23" t="n"/>
      <c r="V758" s="23" t="n"/>
      <c r="W758" s="23" t="n"/>
      <c r="X758" s="23" t="n"/>
      <c r="Y758" s="23" t="n"/>
      <c r="Z758" s="23" t="n"/>
      <c r="AA758" s="23" t="n"/>
      <c r="AB758" s="23" t="n"/>
      <c r="AC758" s="23" t="n"/>
      <c r="AD758" s="23" t="n"/>
      <c r="AE758" s="23" t="n"/>
      <c r="AF758" s="23" t="n"/>
      <c r="AG758" s="23" t="n"/>
      <c r="AH758" s="23" t="n"/>
      <c r="AI758" s="23" t="n"/>
      <c r="AJ758" s="23" t="n"/>
      <c r="AK758" s="23" t="n"/>
      <c r="AL758" s="23" t="n"/>
      <c r="AM758" s="26">
        <f>IF(G758="","",G758&amp;"|"&amp;P758)</f>
        <v/>
      </c>
      <c r="AN758" s="27">
        <f>IF(I758="","",IFERROR(DATE(VALUE(RIGHT(I758,4)),VALUE(MID(I758,4,2)),VALUE(LEFT(I758,2))),""))</f>
        <v/>
      </c>
      <c r="AO758" s="27">
        <f>IF(Y758="","",IFERROR(DATE(VALUE(RIGHT(Y758,4)),VALUE(MID(Y758,4,2)),VALUE(LEFT(Y758,2))),""))</f>
        <v/>
      </c>
      <c r="AP758" s="27">
        <f>IF(AC758="","",IFERROR(DATE(VALUE(RIGHT(AC758,4)),VALUE(MID(AC758,4,2)),VALUE(LEFT(AC758,2))),""))</f>
        <v/>
      </c>
      <c r="AQ758" s="26">
        <f>IF(AI758="","",TRIM(LEFT(AI758,FIND(" ",AI758&amp;" ")-1)))</f>
        <v/>
      </c>
      <c r="AR758" s="27">
        <f>IF(AQ758="","",IFERROR(DATE(VALUE(MID(AQ758,FIND("/",AQ758,FIND("/",AQ758)+1)+1,4)),VALUE(LEFT(AQ758,FIND("/",AQ758)-1)),VALUE(MID(AQ758,FIND("/",AQ758)+1,FIND("/",AQ758,FIND("/",AQ758)+1)-FIND("/",AQ758)-1))),""))</f>
        <v/>
      </c>
      <c r="AS758" s="26">
        <f>IF(G758="","",IF(AND(AG758&lt;&gt;"",AG758&lt;&gt;"Bayi Aracı"),"Evet","Hayır"))</f>
        <v/>
      </c>
      <c r="AT758" s="26">
        <f>IF(G758="","",IF(AND(AS758="Evet",T758="Siparişiniz Teslim Edildi"),"Evet","Hayır"))</f>
        <v/>
      </c>
      <c r="AU758" s="26">
        <f>IF(G758="","",IF(AB758="Siparişinizin Montajı Yapıldı","Evet","Hayır"))</f>
        <v/>
      </c>
      <c r="AV758" s="27">
        <f>IF(G758="","",IF(AT758="Evet",AR758,IF(AU758="Evet",AP758,"")))</f>
        <v/>
      </c>
    </row>
    <row r="759">
      <c r="A759" s="23" t="n"/>
      <c r="B759" s="23" t="n"/>
      <c r="C759" s="23" t="n"/>
      <c r="D759" s="23" t="n"/>
      <c r="E759" s="23" t="n"/>
      <c r="F759" s="23" t="n"/>
      <c r="G759" s="23" t="n"/>
      <c r="H759" s="23" t="n"/>
      <c r="I759" s="23" t="n"/>
      <c r="J759" s="23" t="n"/>
      <c r="K759" s="23" t="n"/>
      <c r="L759" s="23" t="n"/>
      <c r="M759" s="23" t="n"/>
      <c r="N759" s="23" t="n"/>
      <c r="O759" s="23" t="n"/>
      <c r="P759" s="23" t="n"/>
      <c r="Q759" s="23" t="n"/>
      <c r="R759" s="23" t="n"/>
      <c r="S759" s="23" t="n"/>
      <c r="T759" s="23" t="n"/>
      <c r="U759" s="23" t="n"/>
      <c r="V759" s="23" t="n"/>
      <c r="W759" s="23" t="n"/>
      <c r="X759" s="23" t="n"/>
      <c r="Y759" s="23" t="n"/>
      <c r="Z759" s="23" t="n"/>
      <c r="AA759" s="23" t="n"/>
      <c r="AB759" s="23" t="n"/>
      <c r="AC759" s="23" t="n"/>
      <c r="AD759" s="23" t="n"/>
      <c r="AE759" s="23" t="n"/>
      <c r="AF759" s="23" t="n"/>
      <c r="AG759" s="23" t="n"/>
      <c r="AH759" s="23" t="n"/>
      <c r="AI759" s="23" t="n"/>
      <c r="AJ759" s="23" t="n"/>
      <c r="AK759" s="23" t="n"/>
      <c r="AL759" s="23" t="n"/>
      <c r="AM759" s="26">
        <f>IF(G759="","",G759&amp;"|"&amp;P759)</f>
        <v/>
      </c>
      <c r="AN759" s="27">
        <f>IF(I759="","",IFERROR(DATE(VALUE(RIGHT(I759,4)),VALUE(MID(I759,4,2)),VALUE(LEFT(I759,2))),""))</f>
        <v/>
      </c>
      <c r="AO759" s="27">
        <f>IF(Y759="","",IFERROR(DATE(VALUE(RIGHT(Y759,4)),VALUE(MID(Y759,4,2)),VALUE(LEFT(Y759,2))),""))</f>
        <v/>
      </c>
      <c r="AP759" s="27">
        <f>IF(AC759="","",IFERROR(DATE(VALUE(RIGHT(AC759,4)),VALUE(MID(AC759,4,2)),VALUE(LEFT(AC759,2))),""))</f>
        <v/>
      </c>
      <c r="AQ759" s="26">
        <f>IF(AI759="","",TRIM(LEFT(AI759,FIND(" ",AI759&amp;" ")-1)))</f>
        <v/>
      </c>
      <c r="AR759" s="27">
        <f>IF(AQ759="","",IFERROR(DATE(VALUE(MID(AQ759,FIND("/",AQ759,FIND("/",AQ759)+1)+1,4)),VALUE(LEFT(AQ759,FIND("/",AQ759)-1)),VALUE(MID(AQ759,FIND("/",AQ759)+1,FIND("/",AQ759,FIND("/",AQ759)+1)-FIND("/",AQ759)-1))),""))</f>
        <v/>
      </c>
      <c r="AS759" s="26">
        <f>IF(G759="","",IF(AND(AG759&lt;&gt;"",AG759&lt;&gt;"Bayi Aracı"),"Evet","Hayır"))</f>
        <v/>
      </c>
      <c r="AT759" s="26">
        <f>IF(G759="","",IF(AND(AS759="Evet",T759="Siparişiniz Teslim Edildi"),"Evet","Hayır"))</f>
        <v/>
      </c>
      <c r="AU759" s="26">
        <f>IF(G759="","",IF(AB759="Siparişinizin Montajı Yapıldı","Evet","Hayır"))</f>
        <v/>
      </c>
      <c r="AV759" s="27">
        <f>IF(G759="","",IF(AT759="Evet",AR759,IF(AU759="Evet",AP759,"")))</f>
        <v/>
      </c>
    </row>
    <row r="760">
      <c r="A760" s="23" t="n"/>
      <c r="B760" s="23" t="n"/>
      <c r="C760" s="23" t="n"/>
      <c r="D760" s="23" t="n"/>
      <c r="E760" s="23" t="n"/>
      <c r="F760" s="23" t="n"/>
      <c r="G760" s="23" t="n"/>
      <c r="H760" s="23" t="n"/>
      <c r="I760" s="23" t="n"/>
      <c r="J760" s="23" t="n"/>
      <c r="K760" s="23" t="n"/>
      <c r="L760" s="23" t="n"/>
      <c r="M760" s="23" t="n"/>
      <c r="N760" s="23" t="n"/>
      <c r="O760" s="23" t="n"/>
      <c r="P760" s="23" t="n"/>
      <c r="Q760" s="23" t="n"/>
      <c r="R760" s="23" t="n"/>
      <c r="S760" s="23" t="n"/>
      <c r="T760" s="23" t="n"/>
      <c r="U760" s="23" t="n"/>
      <c r="V760" s="23" t="n"/>
      <c r="W760" s="23" t="n"/>
      <c r="X760" s="23" t="n"/>
      <c r="Y760" s="23" t="n"/>
      <c r="Z760" s="23" t="n"/>
      <c r="AA760" s="23" t="n"/>
      <c r="AB760" s="23" t="n"/>
      <c r="AC760" s="23" t="n"/>
      <c r="AD760" s="23" t="n"/>
      <c r="AE760" s="23" t="n"/>
      <c r="AF760" s="23" t="n"/>
      <c r="AG760" s="23" t="n"/>
      <c r="AH760" s="23" t="n"/>
      <c r="AI760" s="23" t="n"/>
      <c r="AJ760" s="23" t="n"/>
      <c r="AK760" s="23" t="n"/>
      <c r="AL760" s="23" t="n"/>
      <c r="AM760" s="26">
        <f>IF(G760="","",G760&amp;"|"&amp;P760)</f>
        <v/>
      </c>
      <c r="AN760" s="27">
        <f>IF(I760="","",IFERROR(DATE(VALUE(RIGHT(I760,4)),VALUE(MID(I760,4,2)),VALUE(LEFT(I760,2))),""))</f>
        <v/>
      </c>
      <c r="AO760" s="27">
        <f>IF(Y760="","",IFERROR(DATE(VALUE(RIGHT(Y760,4)),VALUE(MID(Y760,4,2)),VALUE(LEFT(Y760,2))),""))</f>
        <v/>
      </c>
      <c r="AP760" s="27">
        <f>IF(AC760="","",IFERROR(DATE(VALUE(RIGHT(AC760,4)),VALUE(MID(AC760,4,2)),VALUE(LEFT(AC760,2))),""))</f>
        <v/>
      </c>
      <c r="AQ760" s="26">
        <f>IF(AI760="","",TRIM(LEFT(AI760,FIND(" ",AI760&amp;" ")-1)))</f>
        <v/>
      </c>
      <c r="AR760" s="27">
        <f>IF(AQ760="","",IFERROR(DATE(VALUE(MID(AQ760,FIND("/",AQ760,FIND("/",AQ760)+1)+1,4)),VALUE(LEFT(AQ760,FIND("/",AQ760)-1)),VALUE(MID(AQ760,FIND("/",AQ760)+1,FIND("/",AQ760,FIND("/",AQ760)+1)-FIND("/",AQ760)-1))),""))</f>
        <v/>
      </c>
      <c r="AS760" s="26">
        <f>IF(G760="","",IF(AND(AG760&lt;&gt;"",AG760&lt;&gt;"Bayi Aracı"),"Evet","Hayır"))</f>
        <v/>
      </c>
      <c r="AT760" s="26">
        <f>IF(G760="","",IF(AND(AS760="Evet",T760="Siparişiniz Teslim Edildi"),"Evet","Hayır"))</f>
        <v/>
      </c>
      <c r="AU760" s="26">
        <f>IF(G760="","",IF(AB760="Siparişinizin Montajı Yapıldı","Evet","Hayır"))</f>
        <v/>
      </c>
      <c r="AV760" s="27">
        <f>IF(G760="","",IF(AT760="Evet",AR760,IF(AU760="Evet",AP760,"")))</f>
        <v/>
      </c>
    </row>
    <row r="761">
      <c r="A761" s="23" t="n"/>
      <c r="B761" s="23" t="n"/>
      <c r="C761" s="23" t="n"/>
      <c r="D761" s="23" t="n"/>
      <c r="E761" s="23" t="n"/>
      <c r="F761" s="23" t="n"/>
      <c r="G761" s="23" t="n"/>
      <c r="H761" s="23" t="n"/>
      <c r="I761" s="23" t="n"/>
      <c r="J761" s="23" t="n"/>
      <c r="K761" s="23" t="n"/>
      <c r="L761" s="23" t="n"/>
      <c r="M761" s="23" t="n"/>
      <c r="N761" s="23" t="n"/>
      <c r="O761" s="23" t="n"/>
      <c r="P761" s="23" t="n"/>
      <c r="Q761" s="23" t="n"/>
      <c r="R761" s="23" t="n"/>
      <c r="S761" s="23" t="n"/>
      <c r="T761" s="23" t="n"/>
      <c r="U761" s="23" t="n"/>
      <c r="V761" s="23" t="n"/>
      <c r="W761" s="23" t="n"/>
      <c r="X761" s="23" t="n"/>
      <c r="Y761" s="23" t="n"/>
      <c r="Z761" s="23" t="n"/>
      <c r="AA761" s="23" t="n"/>
      <c r="AB761" s="23" t="n"/>
      <c r="AC761" s="23" t="n"/>
      <c r="AD761" s="23" t="n"/>
      <c r="AE761" s="23" t="n"/>
      <c r="AF761" s="23" t="n"/>
      <c r="AG761" s="23" t="n"/>
      <c r="AH761" s="23" t="n"/>
      <c r="AI761" s="23" t="n"/>
      <c r="AJ761" s="23" t="n"/>
      <c r="AK761" s="23" t="n"/>
      <c r="AL761" s="23" t="n"/>
      <c r="AM761" s="26">
        <f>IF(G761="","",G761&amp;"|"&amp;P761)</f>
        <v/>
      </c>
      <c r="AN761" s="27">
        <f>IF(I761="","",IFERROR(DATE(VALUE(RIGHT(I761,4)),VALUE(MID(I761,4,2)),VALUE(LEFT(I761,2))),""))</f>
        <v/>
      </c>
      <c r="AO761" s="27">
        <f>IF(Y761="","",IFERROR(DATE(VALUE(RIGHT(Y761,4)),VALUE(MID(Y761,4,2)),VALUE(LEFT(Y761,2))),""))</f>
        <v/>
      </c>
      <c r="AP761" s="27">
        <f>IF(AC761="","",IFERROR(DATE(VALUE(RIGHT(AC761,4)),VALUE(MID(AC761,4,2)),VALUE(LEFT(AC761,2))),""))</f>
        <v/>
      </c>
      <c r="AQ761" s="26">
        <f>IF(AI761="","",TRIM(LEFT(AI761,FIND(" ",AI761&amp;" ")-1)))</f>
        <v/>
      </c>
      <c r="AR761" s="27">
        <f>IF(AQ761="","",IFERROR(DATE(VALUE(MID(AQ761,FIND("/",AQ761,FIND("/",AQ761)+1)+1,4)),VALUE(LEFT(AQ761,FIND("/",AQ761)-1)),VALUE(MID(AQ761,FIND("/",AQ761)+1,FIND("/",AQ761,FIND("/",AQ761)+1)-FIND("/",AQ761)-1))),""))</f>
        <v/>
      </c>
      <c r="AS761" s="26">
        <f>IF(G761="","",IF(AND(AG761&lt;&gt;"",AG761&lt;&gt;"Bayi Aracı"),"Evet","Hayır"))</f>
        <v/>
      </c>
      <c r="AT761" s="26">
        <f>IF(G761="","",IF(AND(AS761="Evet",T761="Siparişiniz Teslim Edildi"),"Evet","Hayır"))</f>
        <v/>
      </c>
      <c r="AU761" s="26">
        <f>IF(G761="","",IF(AB761="Siparişinizin Montajı Yapıldı","Evet","Hayır"))</f>
        <v/>
      </c>
      <c r="AV761" s="27">
        <f>IF(G761="","",IF(AT761="Evet",AR761,IF(AU761="Evet",AP761,"")))</f>
        <v/>
      </c>
    </row>
    <row r="762">
      <c r="A762" s="23" t="n"/>
      <c r="B762" s="23" t="n"/>
      <c r="C762" s="23" t="n"/>
      <c r="D762" s="23" t="n"/>
      <c r="E762" s="23" t="n"/>
      <c r="F762" s="23" t="n"/>
      <c r="G762" s="23" t="n"/>
      <c r="H762" s="23" t="n"/>
      <c r="I762" s="23" t="n"/>
      <c r="J762" s="23" t="n"/>
      <c r="K762" s="23" t="n"/>
      <c r="L762" s="23" t="n"/>
      <c r="M762" s="23" t="n"/>
      <c r="N762" s="23" t="n"/>
      <c r="O762" s="23" t="n"/>
      <c r="P762" s="23" t="n"/>
      <c r="Q762" s="23" t="n"/>
      <c r="R762" s="23" t="n"/>
      <c r="S762" s="23" t="n"/>
      <c r="T762" s="23" t="n"/>
      <c r="U762" s="23" t="n"/>
      <c r="V762" s="23" t="n"/>
      <c r="W762" s="23" t="n"/>
      <c r="X762" s="23" t="n"/>
      <c r="Y762" s="23" t="n"/>
      <c r="Z762" s="23" t="n"/>
      <c r="AA762" s="23" t="n"/>
      <c r="AB762" s="23" t="n"/>
      <c r="AC762" s="23" t="n"/>
      <c r="AD762" s="23" t="n"/>
      <c r="AE762" s="23" t="n"/>
      <c r="AF762" s="23" t="n"/>
      <c r="AG762" s="23" t="n"/>
      <c r="AH762" s="23" t="n"/>
      <c r="AI762" s="23" t="n"/>
      <c r="AJ762" s="23" t="n"/>
      <c r="AK762" s="23" t="n"/>
      <c r="AL762" s="23" t="n"/>
      <c r="AM762" s="26">
        <f>IF(G762="","",G762&amp;"|"&amp;P762)</f>
        <v/>
      </c>
      <c r="AN762" s="27">
        <f>IF(I762="","",IFERROR(DATE(VALUE(RIGHT(I762,4)),VALUE(MID(I762,4,2)),VALUE(LEFT(I762,2))),""))</f>
        <v/>
      </c>
      <c r="AO762" s="27">
        <f>IF(Y762="","",IFERROR(DATE(VALUE(RIGHT(Y762,4)),VALUE(MID(Y762,4,2)),VALUE(LEFT(Y762,2))),""))</f>
        <v/>
      </c>
      <c r="AP762" s="27">
        <f>IF(AC762="","",IFERROR(DATE(VALUE(RIGHT(AC762,4)),VALUE(MID(AC762,4,2)),VALUE(LEFT(AC762,2))),""))</f>
        <v/>
      </c>
      <c r="AQ762" s="26">
        <f>IF(AI762="","",TRIM(LEFT(AI762,FIND(" ",AI762&amp;" ")-1)))</f>
        <v/>
      </c>
      <c r="AR762" s="27">
        <f>IF(AQ762="","",IFERROR(DATE(VALUE(MID(AQ762,FIND("/",AQ762,FIND("/",AQ762)+1)+1,4)),VALUE(LEFT(AQ762,FIND("/",AQ762)-1)),VALUE(MID(AQ762,FIND("/",AQ762)+1,FIND("/",AQ762,FIND("/",AQ762)+1)-FIND("/",AQ762)-1))),""))</f>
        <v/>
      </c>
      <c r="AS762" s="26">
        <f>IF(G762="","",IF(AND(AG762&lt;&gt;"",AG762&lt;&gt;"Bayi Aracı"),"Evet","Hayır"))</f>
        <v/>
      </c>
      <c r="AT762" s="26">
        <f>IF(G762="","",IF(AND(AS762="Evet",T762="Siparişiniz Teslim Edildi"),"Evet","Hayır"))</f>
        <v/>
      </c>
      <c r="AU762" s="26">
        <f>IF(G762="","",IF(AB762="Siparişinizin Montajı Yapıldı","Evet","Hayır"))</f>
        <v/>
      </c>
      <c r="AV762" s="27">
        <f>IF(G762="","",IF(AT762="Evet",AR762,IF(AU762="Evet",AP762,"")))</f>
        <v/>
      </c>
    </row>
    <row r="763">
      <c r="A763" s="23" t="n"/>
      <c r="B763" s="23" t="n"/>
      <c r="C763" s="23" t="n"/>
      <c r="D763" s="23" t="n"/>
      <c r="E763" s="23" t="n"/>
      <c r="F763" s="23" t="n"/>
      <c r="G763" s="23" t="n"/>
      <c r="H763" s="23" t="n"/>
      <c r="I763" s="23" t="n"/>
      <c r="J763" s="23" t="n"/>
      <c r="K763" s="23" t="n"/>
      <c r="L763" s="23" t="n"/>
      <c r="M763" s="23" t="n"/>
      <c r="N763" s="23" t="n"/>
      <c r="O763" s="23" t="n"/>
      <c r="P763" s="23" t="n"/>
      <c r="Q763" s="23" t="n"/>
      <c r="R763" s="23" t="n"/>
      <c r="S763" s="23" t="n"/>
      <c r="T763" s="23" t="n"/>
      <c r="U763" s="23" t="n"/>
      <c r="V763" s="23" t="n"/>
      <c r="W763" s="23" t="n"/>
      <c r="X763" s="23" t="n"/>
      <c r="Y763" s="23" t="n"/>
      <c r="Z763" s="23" t="n"/>
      <c r="AA763" s="23" t="n"/>
      <c r="AB763" s="23" t="n"/>
      <c r="AC763" s="23" t="n"/>
      <c r="AD763" s="23" t="n"/>
      <c r="AE763" s="23" t="n"/>
      <c r="AF763" s="23" t="n"/>
      <c r="AG763" s="23" t="n"/>
      <c r="AH763" s="23" t="n"/>
      <c r="AI763" s="23" t="n"/>
      <c r="AJ763" s="23" t="n"/>
      <c r="AK763" s="23" t="n"/>
      <c r="AL763" s="23" t="n"/>
      <c r="AM763" s="26">
        <f>IF(G763="","",G763&amp;"|"&amp;P763)</f>
        <v/>
      </c>
      <c r="AN763" s="27">
        <f>IF(I763="","",IFERROR(DATE(VALUE(RIGHT(I763,4)),VALUE(MID(I763,4,2)),VALUE(LEFT(I763,2))),""))</f>
        <v/>
      </c>
      <c r="AO763" s="27">
        <f>IF(Y763="","",IFERROR(DATE(VALUE(RIGHT(Y763,4)),VALUE(MID(Y763,4,2)),VALUE(LEFT(Y763,2))),""))</f>
        <v/>
      </c>
      <c r="AP763" s="27">
        <f>IF(AC763="","",IFERROR(DATE(VALUE(RIGHT(AC763,4)),VALUE(MID(AC763,4,2)),VALUE(LEFT(AC763,2))),""))</f>
        <v/>
      </c>
      <c r="AQ763" s="26">
        <f>IF(AI763="","",TRIM(LEFT(AI763,FIND(" ",AI763&amp;" ")-1)))</f>
        <v/>
      </c>
      <c r="AR763" s="27">
        <f>IF(AQ763="","",IFERROR(DATE(VALUE(MID(AQ763,FIND("/",AQ763,FIND("/",AQ763)+1)+1,4)),VALUE(LEFT(AQ763,FIND("/",AQ763)-1)),VALUE(MID(AQ763,FIND("/",AQ763)+1,FIND("/",AQ763,FIND("/",AQ763)+1)-FIND("/",AQ763)-1))),""))</f>
        <v/>
      </c>
      <c r="AS763" s="26">
        <f>IF(G763="","",IF(AND(AG763&lt;&gt;"",AG763&lt;&gt;"Bayi Aracı"),"Evet","Hayır"))</f>
        <v/>
      </c>
      <c r="AT763" s="26">
        <f>IF(G763="","",IF(AND(AS763="Evet",T763="Siparişiniz Teslim Edildi"),"Evet","Hayır"))</f>
        <v/>
      </c>
      <c r="AU763" s="26">
        <f>IF(G763="","",IF(AB763="Siparişinizin Montajı Yapıldı","Evet","Hayır"))</f>
        <v/>
      </c>
      <c r="AV763" s="27">
        <f>IF(G763="","",IF(AT763="Evet",AR763,IF(AU763="Evet",AP763,"")))</f>
        <v/>
      </c>
    </row>
    <row r="764">
      <c r="A764" s="23" t="n"/>
      <c r="B764" s="23" t="n"/>
      <c r="C764" s="23" t="n"/>
      <c r="D764" s="23" t="n"/>
      <c r="E764" s="23" t="n"/>
      <c r="F764" s="23" t="n"/>
      <c r="G764" s="23" t="n"/>
      <c r="H764" s="23" t="n"/>
      <c r="I764" s="23" t="n"/>
      <c r="J764" s="23" t="n"/>
      <c r="K764" s="23" t="n"/>
      <c r="L764" s="23" t="n"/>
      <c r="M764" s="23" t="n"/>
      <c r="N764" s="23" t="n"/>
      <c r="O764" s="23" t="n"/>
      <c r="P764" s="23" t="n"/>
      <c r="Q764" s="23" t="n"/>
      <c r="R764" s="23" t="n"/>
      <c r="S764" s="23" t="n"/>
      <c r="T764" s="23" t="n"/>
      <c r="U764" s="23" t="n"/>
      <c r="V764" s="23" t="n"/>
      <c r="W764" s="23" t="n"/>
      <c r="X764" s="23" t="n"/>
      <c r="Y764" s="23" t="n"/>
      <c r="Z764" s="23" t="n"/>
      <c r="AA764" s="23" t="n"/>
      <c r="AB764" s="23" t="n"/>
      <c r="AC764" s="23" t="n"/>
      <c r="AD764" s="23" t="n"/>
      <c r="AE764" s="23" t="n"/>
      <c r="AF764" s="23" t="n"/>
      <c r="AG764" s="23" t="n"/>
      <c r="AH764" s="23" t="n"/>
      <c r="AI764" s="23" t="n"/>
      <c r="AJ764" s="23" t="n"/>
      <c r="AK764" s="23" t="n"/>
      <c r="AL764" s="23" t="n"/>
      <c r="AM764" s="26">
        <f>IF(G764="","",G764&amp;"|"&amp;P764)</f>
        <v/>
      </c>
      <c r="AN764" s="27">
        <f>IF(I764="","",IFERROR(DATE(VALUE(RIGHT(I764,4)),VALUE(MID(I764,4,2)),VALUE(LEFT(I764,2))),""))</f>
        <v/>
      </c>
      <c r="AO764" s="27">
        <f>IF(Y764="","",IFERROR(DATE(VALUE(RIGHT(Y764,4)),VALUE(MID(Y764,4,2)),VALUE(LEFT(Y764,2))),""))</f>
        <v/>
      </c>
      <c r="AP764" s="27">
        <f>IF(AC764="","",IFERROR(DATE(VALUE(RIGHT(AC764,4)),VALUE(MID(AC764,4,2)),VALUE(LEFT(AC764,2))),""))</f>
        <v/>
      </c>
      <c r="AQ764" s="26">
        <f>IF(AI764="","",TRIM(LEFT(AI764,FIND(" ",AI764&amp;" ")-1)))</f>
        <v/>
      </c>
      <c r="AR764" s="27">
        <f>IF(AQ764="","",IFERROR(DATE(VALUE(MID(AQ764,FIND("/",AQ764,FIND("/",AQ764)+1)+1,4)),VALUE(LEFT(AQ764,FIND("/",AQ764)-1)),VALUE(MID(AQ764,FIND("/",AQ764)+1,FIND("/",AQ764,FIND("/",AQ764)+1)-FIND("/",AQ764)-1))),""))</f>
        <v/>
      </c>
      <c r="AS764" s="26">
        <f>IF(G764="","",IF(AND(AG764&lt;&gt;"",AG764&lt;&gt;"Bayi Aracı"),"Evet","Hayır"))</f>
        <v/>
      </c>
      <c r="AT764" s="26">
        <f>IF(G764="","",IF(AND(AS764="Evet",T764="Siparişiniz Teslim Edildi"),"Evet","Hayır"))</f>
        <v/>
      </c>
      <c r="AU764" s="26">
        <f>IF(G764="","",IF(AB764="Siparişinizin Montajı Yapıldı","Evet","Hayır"))</f>
        <v/>
      </c>
      <c r="AV764" s="27">
        <f>IF(G764="","",IF(AT764="Evet",AR764,IF(AU764="Evet",AP764,"")))</f>
        <v/>
      </c>
    </row>
    <row r="765">
      <c r="A765" s="23" t="n"/>
      <c r="B765" s="23" t="n"/>
      <c r="C765" s="23" t="n"/>
      <c r="D765" s="23" t="n"/>
      <c r="E765" s="23" t="n"/>
      <c r="F765" s="23" t="n"/>
      <c r="G765" s="23" t="n"/>
      <c r="H765" s="23" t="n"/>
      <c r="I765" s="23" t="n"/>
      <c r="J765" s="23" t="n"/>
      <c r="K765" s="23" t="n"/>
      <c r="L765" s="23" t="n"/>
      <c r="M765" s="23" t="n"/>
      <c r="N765" s="23" t="n"/>
      <c r="O765" s="23" t="n"/>
      <c r="P765" s="23" t="n"/>
      <c r="Q765" s="23" t="n"/>
      <c r="R765" s="23" t="n"/>
      <c r="S765" s="23" t="n"/>
      <c r="T765" s="23" t="n"/>
      <c r="U765" s="23" t="n"/>
      <c r="V765" s="23" t="n"/>
      <c r="W765" s="23" t="n"/>
      <c r="X765" s="23" t="n"/>
      <c r="Y765" s="23" t="n"/>
      <c r="Z765" s="23" t="n"/>
      <c r="AA765" s="23" t="n"/>
      <c r="AB765" s="23" t="n"/>
      <c r="AC765" s="23" t="n"/>
      <c r="AD765" s="23" t="n"/>
      <c r="AE765" s="23" t="n"/>
      <c r="AF765" s="23" t="n"/>
      <c r="AG765" s="23" t="n"/>
      <c r="AH765" s="23" t="n"/>
      <c r="AI765" s="23" t="n"/>
      <c r="AJ765" s="23" t="n"/>
      <c r="AK765" s="23" t="n"/>
      <c r="AL765" s="23" t="n"/>
      <c r="AM765" s="26">
        <f>IF(G765="","",G765&amp;"|"&amp;P765)</f>
        <v/>
      </c>
      <c r="AN765" s="27">
        <f>IF(I765="","",IFERROR(DATE(VALUE(RIGHT(I765,4)),VALUE(MID(I765,4,2)),VALUE(LEFT(I765,2))),""))</f>
        <v/>
      </c>
      <c r="AO765" s="27">
        <f>IF(Y765="","",IFERROR(DATE(VALUE(RIGHT(Y765,4)),VALUE(MID(Y765,4,2)),VALUE(LEFT(Y765,2))),""))</f>
        <v/>
      </c>
      <c r="AP765" s="27">
        <f>IF(AC765="","",IFERROR(DATE(VALUE(RIGHT(AC765,4)),VALUE(MID(AC765,4,2)),VALUE(LEFT(AC765,2))),""))</f>
        <v/>
      </c>
      <c r="AQ765" s="26">
        <f>IF(AI765="","",TRIM(LEFT(AI765,FIND(" ",AI765&amp;" ")-1)))</f>
        <v/>
      </c>
      <c r="AR765" s="27">
        <f>IF(AQ765="","",IFERROR(DATE(VALUE(MID(AQ765,FIND("/",AQ765,FIND("/",AQ765)+1)+1,4)),VALUE(LEFT(AQ765,FIND("/",AQ765)-1)),VALUE(MID(AQ765,FIND("/",AQ765)+1,FIND("/",AQ765,FIND("/",AQ765)+1)-FIND("/",AQ765)-1))),""))</f>
        <v/>
      </c>
      <c r="AS765" s="26">
        <f>IF(G765="","",IF(AND(AG765&lt;&gt;"",AG765&lt;&gt;"Bayi Aracı"),"Evet","Hayır"))</f>
        <v/>
      </c>
      <c r="AT765" s="26">
        <f>IF(G765="","",IF(AND(AS765="Evet",T765="Siparişiniz Teslim Edildi"),"Evet","Hayır"))</f>
        <v/>
      </c>
      <c r="AU765" s="26">
        <f>IF(G765="","",IF(AB765="Siparişinizin Montajı Yapıldı","Evet","Hayır"))</f>
        <v/>
      </c>
      <c r="AV765" s="27">
        <f>IF(G765="","",IF(AT765="Evet",AR765,IF(AU765="Evet",AP765,"")))</f>
        <v/>
      </c>
    </row>
    <row r="766">
      <c r="A766" s="23" t="n"/>
      <c r="B766" s="23" t="n"/>
      <c r="C766" s="23" t="n"/>
      <c r="D766" s="23" t="n"/>
      <c r="E766" s="23" t="n"/>
      <c r="F766" s="23" t="n"/>
      <c r="G766" s="23" t="n"/>
      <c r="H766" s="23" t="n"/>
      <c r="I766" s="23" t="n"/>
      <c r="J766" s="23" t="n"/>
      <c r="K766" s="23" t="n"/>
      <c r="L766" s="23" t="n"/>
      <c r="M766" s="23" t="n"/>
      <c r="N766" s="23" t="n"/>
      <c r="O766" s="23" t="n"/>
      <c r="P766" s="23" t="n"/>
      <c r="Q766" s="23" t="n"/>
      <c r="R766" s="23" t="n"/>
      <c r="S766" s="23" t="n"/>
      <c r="T766" s="23" t="n"/>
      <c r="U766" s="23" t="n"/>
      <c r="V766" s="23" t="n"/>
      <c r="W766" s="23" t="n"/>
      <c r="X766" s="23" t="n"/>
      <c r="Y766" s="23" t="n"/>
      <c r="Z766" s="23" t="n"/>
      <c r="AA766" s="23" t="n"/>
      <c r="AB766" s="23" t="n"/>
      <c r="AC766" s="23" t="n"/>
      <c r="AD766" s="23" t="n"/>
      <c r="AE766" s="23" t="n"/>
      <c r="AF766" s="23" t="n"/>
      <c r="AG766" s="23" t="n"/>
      <c r="AH766" s="23" t="n"/>
      <c r="AI766" s="23" t="n"/>
      <c r="AJ766" s="23" t="n"/>
      <c r="AK766" s="23" t="n"/>
      <c r="AL766" s="23" t="n"/>
      <c r="AM766" s="26">
        <f>IF(G766="","",G766&amp;"|"&amp;P766)</f>
        <v/>
      </c>
      <c r="AN766" s="27">
        <f>IF(I766="","",IFERROR(DATE(VALUE(RIGHT(I766,4)),VALUE(MID(I766,4,2)),VALUE(LEFT(I766,2))),""))</f>
        <v/>
      </c>
      <c r="AO766" s="27">
        <f>IF(Y766="","",IFERROR(DATE(VALUE(RIGHT(Y766,4)),VALUE(MID(Y766,4,2)),VALUE(LEFT(Y766,2))),""))</f>
        <v/>
      </c>
      <c r="AP766" s="27">
        <f>IF(AC766="","",IFERROR(DATE(VALUE(RIGHT(AC766,4)),VALUE(MID(AC766,4,2)),VALUE(LEFT(AC766,2))),""))</f>
        <v/>
      </c>
      <c r="AQ766" s="26">
        <f>IF(AI766="","",TRIM(LEFT(AI766,FIND(" ",AI766&amp;" ")-1)))</f>
        <v/>
      </c>
      <c r="AR766" s="27">
        <f>IF(AQ766="","",IFERROR(DATE(VALUE(MID(AQ766,FIND("/",AQ766,FIND("/",AQ766)+1)+1,4)),VALUE(LEFT(AQ766,FIND("/",AQ766)-1)),VALUE(MID(AQ766,FIND("/",AQ766)+1,FIND("/",AQ766,FIND("/",AQ766)+1)-FIND("/",AQ766)-1))),""))</f>
        <v/>
      </c>
      <c r="AS766" s="26">
        <f>IF(G766="","",IF(AND(AG766&lt;&gt;"",AG766&lt;&gt;"Bayi Aracı"),"Evet","Hayır"))</f>
        <v/>
      </c>
      <c r="AT766" s="26">
        <f>IF(G766="","",IF(AND(AS766="Evet",T766="Siparişiniz Teslim Edildi"),"Evet","Hayır"))</f>
        <v/>
      </c>
      <c r="AU766" s="26">
        <f>IF(G766="","",IF(AB766="Siparişinizin Montajı Yapıldı","Evet","Hayır"))</f>
        <v/>
      </c>
      <c r="AV766" s="27">
        <f>IF(G766="","",IF(AT766="Evet",AR766,IF(AU766="Evet",AP766,"")))</f>
        <v/>
      </c>
    </row>
    <row r="767">
      <c r="A767" s="23" t="n"/>
      <c r="B767" s="23" t="n"/>
      <c r="C767" s="23" t="n"/>
      <c r="D767" s="23" t="n"/>
      <c r="E767" s="23" t="n"/>
      <c r="F767" s="23" t="n"/>
      <c r="G767" s="23" t="n"/>
      <c r="H767" s="23" t="n"/>
      <c r="I767" s="23" t="n"/>
      <c r="J767" s="23" t="n"/>
      <c r="K767" s="23" t="n"/>
      <c r="L767" s="23" t="n"/>
      <c r="M767" s="23" t="n"/>
      <c r="N767" s="23" t="n"/>
      <c r="O767" s="23" t="n"/>
      <c r="P767" s="23" t="n"/>
      <c r="Q767" s="23" t="n"/>
      <c r="R767" s="23" t="n"/>
      <c r="S767" s="23" t="n"/>
      <c r="T767" s="23" t="n"/>
      <c r="U767" s="23" t="n"/>
      <c r="V767" s="23" t="n"/>
      <c r="W767" s="23" t="n"/>
      <c r="X767" s="23" t="n"/>
      <c r="Y767" s="23" t="n"/>
      <c r="Z767" s="23" t="n"/>
      <c r="AA767" s="23" t="n"/>
      <c r="AB767" s="23" t="n"/>
      <c r="AC767" s="23" t="n"/>
      <c r="AD767" s="23" t="n"/>
      <c r="AE767" s="23" t="n"/>
      <c r="AF767" s="23" t="n"/>
      <c r="AG767" s="23" t="n"/>
      <c r="AH767" s="23" t="n"/>
      <c r="AI767" s="23" t="n"/>
      <c r="AJ767" s="23" t="n"/>
      <c r="AK767" s="23" t="n"/>
      <c r="AL767" s="23" t="n"/>
      <c r="AM767" s="26">
        <f>IF(G767="","",G767&amp;"|"&amp;P767)</f>
        <v/>
      </c>
      <c r="AN767" s="27">
        <f>IF(I767="","",IFERROR(DATE(VALUE(RIGHT(I767,4)),VALUE(MID(I767,4,2)),VALUE(LEFT(I767,2))),""))</f>
        <v/>
      </c>
      <c r="AO767" s="27">
        <f>IF(Y767="","",IFERROR(DATE(VALUE(RIGHT(Y767,4)),VALUE(MID(Y767,4,2)),VALUE(LEFT(Y767,2))),""))</f>
        <v/>
      </c>
      <c r="AP767" s="27">
        <f>IF(AC767="","",IFERROR(DATE(VALUE(RIGHT(AC767,4)),VALUE(MID(AC767,4,2)),VALUE(LEFT(AC767,2))),""))</f>
        <v/>
      </c>
      <c r="AQ767" s="26">
        <f>IF(AI767="","",TRIM(LEFT(AI767,FIND(" ",AI767&amp;" ")-1)))</f>
        <v/>
      </c>
      <c r="AR767" s="27">
        <f>IF(AQ767="","",IFERROR(DATE(VALUE(MID(AQ767,FIND("/",AQ767,FIND("/",AQ767)+1)+1,4)),VALUE(LEFT(AQ767,FIND("/",AQ767)-1)),VALUE(MID(AQ767,FIND("/",AQ767)+1,FIND("/",AQ767,FIND("/",AQ767)+1)-FIND("/",AQ767)-1))),""))</f>
        <v/>
      </c>
      <c r="AS767" s="26">
        <f>IF(G767="","",IF(AND(AG767&lt;&gt;"",AG767&lt;&gt;"Bayi Aracı"),"Evet","Hayır"))</f>
        <v/>
      </c>
      <c r="AT767" s="26">
        <f>IF(G767="","",IF(AND(AS767="Evet",T767="Siparişiniz Teslim Edildi"),"Evet","Hayır"))</f>
        <v/>
      </c>
      <c r="AU767" s="26">
        <f>IF(G767="","",IF(AB767="Siparişinizin Montajı Yapıldı","Evet","Hayır"))</f>
        <v/>
      </c>
      <c r="AV767" s="27">
        <f>IF(G767="","",IF(AT767="Evet",AR767,IF(AU767="Evet",AP767,"")))</f>
        <v/>
      </c>
    </row>
    <row r="768">
      <c r="A768" s="23" t="n"/>
      <c r="B768" s="23" t="n"/>
      <c r="C768" s="23" t="n"/>
      <c r="D768" s="23" t="n"/>
      <c r="E768" s="23" t="n"/>
      <c r="F768" s="23" t="n"/>
      <c r="G768" s="23" t="n"/>
      <c r="H768" s="23" t="n"/>
      <c r="I768" s="23" t="n"/>
      <c r="J768" s="23" t="n"/>
      <c r="K768" s="23" t="n"/>
      <c r="L768" s="23" t="n"/>
      <c r="M768" s="23" t="n"/>
      <c r="N768" s="23" t="n"/>
      <c r="O768" s="23" t="n"/>
      <c r="P768" s="23" t="n"/>
      <c r="Q768" s="23" t="n"/>
      <c r="R768" s="23" t="n"/>
      <c r="S768" s="23" t="n"/>
      <c r="T768" s="23" t="n"/>
      <c r="U768" s="23" t="n"/>
      <c r="V768" s="23" t="n"/>
      <c r="W768" s="23" t="n"/>
      <c r="X768" s="23" t="n"/>
      <c r="Y768" s="23" t="n"/>
      <c r="Z768" s="23" t="n"/>
      <c r="AA768" s="23" t="n"/>
      <c r="AB768" s="23" t="n"/>
      <c r="AC768" s="23" t="n"/>
      <c r="AD768" s="23" t="n"/>
      <c r="AE768" s="23" t="n"/>
      <c r="AF768" s="23" t="n"/>
      <c r="AG768" s="23" t="n"/>
      <c r="AH768" s="23" t="n"/>
      <c r="AI768" s="23" t="n"/>
      <c r="AJ768" s="23" t="n"/>
      <c r="AK768" s="23" t="n"/>
      <c r="AL768" s="23" t="n"/>
      <c r="AM768" s="26">
        <f>IF(G768="","",G768&amp;"|"&amp;P768)</f>
        <v/>
      </c>
      <c r="AN768" s="27">
        <f>IF(I768="","",IFERROR(DATE(VALUE(RIGHT(I768,4)),VALUE(MID(I768,4,2)),VALUE(LEFT(I768,2))),""))</f>
        <v/>
      </c>
      <c r="AO768" s="27">
        <f>IF(Y768="","",IFERROR(DATE(VALUE(RIGHT(Y768,4)),VALUE(MID(Y768,4,2)),VALUE(LEFT(Y768,2))),""))</f>
        <v/>
      </c>
      <c r="AP768" s="27">
        <f>IF(AC768="","",IFERROR(DATE(VALUE(RIGHT(AC768,4)),VALUE(MID(AC768,4,2)),VALUE(LEFT(AC768,2))),""))</f>
        <v/>
      </c>
      <c r="AQ768" s="26">
        <f>IF(AI768="","",TRIM(LEFT(AI768,FIND(" ",AI768&amp;" ")-1)))</f>
        <v/>
      </c>
      <c r="AR768" s="27">
        <f>IF(AQ768="","",IFERROR(DATE(VALUE(MID(AQ768,FIND("/",AQ768,FIND("/",AQ768)+1)+1,4)),VALUE(LEFT(AQ768,FIND("/",AQ768)-1)),VALUE(MID(AQ768,FIND("/",AQ768)+1,FIND("/",AQ768,FIND("/",AQ768)+1)-FIND("/",AQ768)-1))),""))</f>
        <v/>
      </c>
      <c r="AS768" s="26">
        <f>IF(G768="","",IF(AND(AG768&lt;&gt;"",AG768&lt;&gt;"Bayi Aracı"),"Evet","Hayır"))</f>
        <v/>
      </c>
      <c r="AT768" s="26">
        <f>IF(G768="","",IF(AND(AS768="Evet",T768="Siparişiniz Teslim Edildi"),"Evet","Hayır"))</f>
        <v/>
      </c>
      <c r="AU768" s="26">
        <f>IF(G768="","",IF(AB768="Siparişinizin Montajı Yapıldı","Evet","Hayır"))</f>
        <v/>
      </c>
      <c r="AV768" s="27">
        <f>IF(G768="","",IF(AT768="Evet",AR768,IF(AU768="Evet",AP768,"")))</f>
        <v/>
      </c>
    </row>
    <row r="769">
      <c r="A769" s="23" t="n"/>
      <c r="B769" s="23" t="n"/>
      <c r="C769" s="23" t="n"/>
      <c r="D769" s="23" t="n"/>
      <c r="E769" s="23" t="n"/>
      <c r="F769" s="23" t="n"/>
      <c r="G769" s="23" t="n"/>
      <c r="H769" s="23" t="n"/>
      <c r="I769" s="23" t="n"/>
      <c r="J769" s="23" t="n"/>
      <c r="K769" s="23" t="n"/>
      <c r="L769" s="23" t="n"/>
      <c r="M769" s="23" t="n"/>
      <c r="N769" s="23" t="n"/>
      <c r="O769" s="23" t="n"/>
      <c r="P769" s="23" t="n"/>
      <c r="Q769" s="23" t="n"/>
      <c r="R769" s="23" t="n"/>
      <c r="S769" s="23" t="n"/>
      <c r="T769" s="23" t="n"/>
      <c r="U769" s="23" t="n"/>
      <c r="V769" s="23" t="n"/>
      <c r="W769" s="23" t="n"/>
      <c r="X769" s="23" t="n"/>
      <c r="Y769" s="23" t="n"/>
      <c r="Z769" s="23" t="n"/>
      <c r="AA769" s="23" t="n"/>
      <c r="AB769" s="23" t="n"/>
      <c r="AC769" s="23" t="n"/>
      <c r="AD769" s="23" t="n"/>
      <c r="AE769" s="23" t="n"/>
      <c r="AF769" s="23" t="n"/>
      <c r="AG769" s="23" t="n"/>
      <c r="AH769" s="23" t="n"/>
      <c r="AI769" s="23" t="n"/>
      <c r="AJ769" s="23" t="n"/>
      <c r="AK769" s="23" t="n"/>
      <c r="AL769" s="23" t="n"/>
      <c r="AM769" s="26">
        <f>IF(G769="","",G769&amp;"|"&amp;P769)</f>
        <v/>
      </c>
      <c r="AN769" s="27">
        <f>IF(I769="","",IFERROR(DATE(VALUE(RIGHT(I769,4)),VALUE(MID(I769,4,2)),VALUE(LEFT(I769,2))),""))</f>
        <v/>
      </c>
      <c r="AO769" s="27">
        <f>IF(Y769="","",IFERROR(DATE(VALUE(RIGHT(Y769,4)),VALUE(MID(Y769,4,2)),VALUE(LEFT(Y769,2))),""))</f>
        <v/>
      </c>
      <c r="AP769" s="27">
        <f>IF(AC769="","",IFERROR(DATE(VALUE(RIGHT(AC769,4)),VALUE(MID(AC769,4,2)),VALUE(LEFT(AC769,2))),""))</f>
        <v/>
      </c>
      <c r="AQ769" s="26">
        <f>IF(AI769="","",TRIM(LEFT(AI769,FIND(" ",AI769&amp;" ")-1)))</f>
        <v/>
      </c>
      <c r="AR769" s="27">
        <f>IF(AQ769="","",IFERROR(DATE(VALUE(MID(AQ769,FIND("/",AQ769,FIND("/",AQ769)+1)+1,4)),VALUE(LEFT(AQ769,FIND("/",AQ769)-1)),VALUE(MID(AQ769,FIND("/",AQ769)+1,FIND("/",AQ769,FIND("/",AQ769)+1)-FIND("/",AQ769)-1))),""))</f>
        <v/>
      </c>
      <c r="AS769" s="26">
        <f>IF(G769="","",IF(AND(AG769&lt;&gt;"",AG769&lt;&gt;"Bayi Aracı"),"Evet","Hayır"))</f>
        <v/>
      </c>
      <c r="AT769" s="26">
        <f>IF(G769="","",IF(AND(AS769="Evet",T769="Siparişiniz Teslim Edildi"),"Evet","Hayır"))</f>
        <v/>
      </c>
      <c r="AU769" s="26">
        <f>IF(G769="","",IF(AB769="Siparişinizin Montajı Yapıldı","Evet","Hayır"))</f>
        <v/>
      </c>
      <c r="AV769" s="27">
        <f>IF(G769="","",IF(AT769="Evet",AR769,IF(AU769="Evet",AP769,"")))</f>
        <v/>
      </c>
    </row>
    <row r="770">
      <c r="A770" s="23" t="n"/>
      <c r="B770" s="23" t="n"/>
      <c r="C770" s="23" t="n"/>
      <c r="D770" s="23" t="n"/>
      <c r="E770" s="23" t="n"/>
      <c r="F770" s="23" t="n"/>
      <c r="G770" s="23" t="n"/>
      <c r="H770" s="23" t="n"/>
      <c r="I770" s="23" t="n"/>
      <c r="J770" s="23" t="n"/>
      <c r="K770" s="23" t="n"/>
      <c r="L770" s="23" t="n"/>
      <c r="M770" s="23" t="n"/>
      <c r="N770" s="23" t="n"/>
      <c r="O770" s="23" t="n"/>
      <c r="P770" s="23" t="n"/>
      <c r="Q770" s="23" t="n"/>
      <c r="R770" s="23" t="n"/>
      <c r="S770" s="23" t="n"/>
      <c r="T770" s="23" t="n"/>
      <c r="U770" s="23" t="n"/>
      <c r="V770" s="23" t="n"/>
      <c r="W770" s="23" t="n"/>
      <c r="X770" s="23" t="n"/>
      <c r="Y770" s="23" t="n"/>
      <c r="Z770" s="23" t="n"/>
      <c r="AA770" s="23" t="n"/>
      <c r="AB770" s="23" t="n"/>
      <c r="AC770" s="23" t="n"/>
      <c r="AD770" s="23" t="n"/>
      <c r="AE770" s="23" t="n"/>
      <c r="AF770" s="23" t="n"/>
      <c r="AG770" s="23" t="n"/>
      <c r="AH770" s="23" t="n"/>
      <c r="AI770" s="23" t="n"/>
      <c r="AJ770" s="23" t="n"/>
      <c r="AK770" s="23" t="n"/>
      <c r="AL770" s="23" t="n"/>
      <c r="AM770" s="26">
        <f>IF(G770="","",G770&amp;"|"&amp;P770)</f>
        <v/>
      </c>
      <c r="AN770" s="27">
        <f>IF(I770="","",IFERROR(DATE(VALUE(RIGHT(I770,4)),VALUE(MID(I770,4,2)),VALUE(LEFT(I770,2))),""))</f>
        <v/>
      </c>
      <c r="AO770" s="27">
        <f>IF(Y770="","",IFERROR(DATE(VALUE(RIGHT(Y770,4)),VALUE(MID(Y770,4,2)),VALUE(LEFT(Y770,2))),""))</f>
        <v/>
      </c>
      <c r="AP770" s="27">
        <f>IF(AC770="","",IFERROR(DATE(VALUE(RIGHT(AC770,4)),VALUE(MID(AC770,4,2)),VALUE(LEFT(AC770,2))),""))</f>
        <v/>
      </c>
      <c r="AQ770" s="26">
        <f>IF(AI770="","",TRIM(LEFT(AI770,FIND(" ",AI770&amp;" ")-1)))</f>
        <v/>
      </c>
      <c r="AR770" s="27">
        <f>IF(AQ770="","",IFERROR(DATE(VALUE(MID(AQ770,FIND("/",AQ770,FIND("/",AQ770)+1)+1,4)),VALUE(LEFT(AQ770,FIND("/",AQ770)-1)),VALUE(MID(AQ770,FIND("/",AQ770)+1,FIND("/",AQ770,FIND("/",AQ770)+1)-FIND("/",AQ770)-1))),""))</f>
        <v/>
      </c>
      <c r="AS770" s="26">
        <f>IF(G770="","",IF(AND(AG770&lt;&gt;"",AG770&lt;&gt;"Bayi Aracı"),"Evet","Hayır"))</f>
        <v/>
      </c>
      <c r="AT770" s="26">
        <f>IF(G770="","",IF(AND(AS770="Evet",T770="Siparişiniz Teslim Edildi"),"Evet","Hayır"))</f>
        <v/>
      </c>
      <c r="AU770" s="26">
        <f>IF(G770="","",IF(AB770="Siparişinizin Montajı Yapıldı","Evet","Hayır"))</f>
        <v/>
      </c>
      <c r="AV770" s="27">
        <f>IF(G770="","",IF(AT770="Evet",AR770,IF(AU770="Evet",AP770,"")))</f>
        <v/>
      </c>
    </row>
    <row r="771">
      <c r="A771" s="23" t="n"/>
      <c r="B771" s="23" t="n"/>
      <c r="C771" s="23" t="n"/>
      <c r="D771" s="23" t="n"/>
      <c r="E771" s="23" t="n"/>
      <c r="F771" s="23" t="n"/>
      <c r="G771" s="23" t="n"/>
      <c r="H771" s="23" t="n"/>
      <c r="I771" s="23" t="n"/>
      <c r="J771" s="23" t="n"/>
      <c r="K771" s="23" t="n"/>
      <c r="L771" s="23" t="n"/>
      <c r="M771" s="23" t="n"/>
      <c r="N771" s="23" t="n"/>
      <c r="O771" s="23" t="n"/>
      <c r="P771" s="23" t="n"/>
      <c r="Q771" s="23" t="n"/>
      <c r="R771" s="23" t="n"/>
      <c r="S771" s="23" t="n"/>
      <c r="T771" s="23" t="n"/>
      <c r="U771" s="23" t="n"/>
      <c r="V771" s="23" t="n"/>
      <c r="W771" s="23" t="n"/>
      <c r="X771" s="23" t="n"/>
      <c r="Y771" s="23" t="n"/>
      <c r="Z771" s="23" t="n"/>
      <c r="AA771" s="23" t="n"/>
      <c r="AB771" s="23" t="n"/>
      <c r="AC771" s="23" t="n"/>
      <c r="AD771" s="23" t="n"/>
      <c r="AE771" s="23" t="n"/>
      <c r="AF771" s="23" t="n"/>
      <c r="AG771" s="23" t="n"/>
      <c r="AH771" s="23" t="n"/>
      <c r="AI771" s="23" t="n"/>
      <c r="AJ771" s="23" t="n"/>
      <c r="AK771" s="23" t="n"/>
      <c r="AL771" s="23" t="n"/>
      <c r="AM771" s="26">
        <f>IF(G771="","",G771&amp;"|"&amp;P771)</f>
        <v/>
      </c>
      <c r="AN771" s="27">
        <f>IF(I771="","",IFERROR(DATE(VALUE(RIGHT(I771,4)),VALUE(MID(I771,4,2)),VALUE(LEFT(I771,2))),""))</f>
        <v/>
      </c>
      <c r="AO771" s="27">
        <f>IF(Y771="","",IFERROR(DATE(VALUE(RIGHT(Y771,4)),VALUE(MID(Y771,4,2)),VALUE(LEFT(Y771,2))),""))</f>
        <v/>
      </c>
      <c r="AP771" s="27">
        <f>IF(AC771="","",IFERROR(DATE(VALUE(RIGHT(AC771,4)),VALUE(MID(AC771,4,2)),VALUE(LEFT(AC771,2))),""))</f>
        <v/>
      </c>
      <c r="AQ771" s="26">
        <f>IF(AI771="","",TRIM(LEFT(AI771,FIND(" ",AI771&amp;" ")-1)))</f>
        <v/>
      </c>
      <c r="AR771" s="27">
        <f>IF(AQ771="","",IFERROR(DATE(VALUE(MID(AQ771,FIND("/",AQ771,FIND("/",AQ771)+1)+1,4)),VALUE(LEFT(AQ771,FIND("/",AQ771)-1)),VALUE(MID(AQ771,FIND("/",AQ771)+1,FIND("/",AQ771,FIND("/",AQ771)+1)-FIND("/",AQ771)-1))),""))</f>
        <v/>
      </c>
      <c r="AS771" s="26">
        <f>IF(G771="","",IF(AND(AG771&lt;&gt;"",AG771&lt;&gt;"Bayi Aracı"),"Evet","Hayır"))</f>
        <v/>
      </c>
      <c r="AT771" s="26">
        <f>IF(G771="","",IF(AND(AS771="Evet",T771="Siparişiniz Teslim Edildi"),"Evet","Hayır"))</f>
        <v/>
      </c>
      <c r="AU771" s="26">
        <f>IF(G771="","",IF(AB771="Siparişinizin Montajı Yapıldı","Evet","Hayır"))</f>
        <v/>
      </c>
      <c r="AV771" s="27">
        <f>IF(G771="","",IF(AT771="Evet",AR771,IF(AU771="Evet",AP771,"")))</f>
        <v/>
      </c>
    </row>
    <row r="772">
      <c r="A772" s="23" t="n"/>
      <c r="B772" s="23" t="n"/>
      <c r="C772" s="23" t="n"/>
      <c r="D772" s="23" t="n"/>
      <c r="E772" s="23" t="n"/>
      <c r="F772" s="23" t="n"/>
      <c r="G772" s="23" t="n"/>
      <c r="H772" s="23" t="n"/>
      <c r="I772" s="23" t="n"/>
      <c r="J772" s="23" t="n"/>
      <c r="K772" s="23" t="n"/>
      <c r="L772" s="23" t="n"/>
      <c r="M772" s="23" t="n"/>
      <c r="N772" s="23" t="n"/>
      <c r="O772" s="23" t="n"/>
      <c r="P772" s="23" t="n"/>
      <c r="Q772" s="23" t="n"/>
      <c r="R772" s="23" t="n"/>
      <c r="S772" s="23" t="n"/>
      <c r="T772" s="23" t="n"/>
      <c r="U772" s="23" t="n"/>
      <c r="V772" s="23" t="n"/>
      <c r="W772" s="23" t="n"/>
      <c r="X772" s="23" t="n"/>
      <c r="Y772" s="23" t="n"/>
      <c r="Z772" s="23" t="n"/>
      <c r="AA772" s="23" t="n"/>
      <c r="AB772" s="23" t="n"/>
      <c r="AC772" s="23" t="n"/>
      <c r="AD772" s="23" t="n"/>
      <c r="AE772" s="23" t="n"/>
      <c r="AF772" s="23" t="n"/>
      <c r="AG772" s="23" t="n"/>
      <c r="AH772" s="23" t="n"/>
      <c r="AI772" s="23" t="n"/>
      <c r="AJ772" s="23" t="n"/>
      <c r="AK772" s="23" t="n"/>
      <c r="AL772" s="23" t="n"/>
      <c r="AM772" s="26">
        <f>IF(G772="","",G772&amp;"|"&amp;P772)</f>
        <v/>
      </c>
      <c r="AN772" s="27">
        <f>IF(I772="","",IFERROR(DATE(VALUE(RIGHT(I772,4)),VALUE(MID(I772,4,2)),VALUE(LEFT(I772,2))),""))</f>
        <v/>
      </c>
      <c r="AO772" s="27">
        <f>IF(Y772="","",IFERROR(DATE(VALUE(RIGHT(Y772,4)),VALUE(MID(Y772,4,2)),VALUE(LEFT(Y772,2))),""))</f>
        <v/>
      </c>
      <c r="AP772" s="27">
        <f>IF(AC772="","",IFERROR(DATE(VALUE(RIGHT(AC772,4)),VALUE(MID(AC772,4,2)),VALUE(LEFT(AC772,2))),""))</f>
        <v/>
      </c>
      <c r="AQ772" s="26">
        <f>IF(AI772="","",TRIM(LEFT(AI772,FIND(" ",AI772&amp;" ")-1)))</f>
        <v/>
      </c>
      <c r="AR772" s="27">
        <f>IF(AQ772="","",IFERROR(DATE(VALUE(MID(AQ772,FIND("/",AQ772,FIND("/",AQ772)+1)+1,4)),VALUE(LEFT(AQ772,FIND("/",AQ772)-1)),VALUE(MID(AQ772,FIND("/",AQ772)+1,FIND("/",AQ772,FIND("/",AQ772)+1)-FIND("/",AQ772)-1))),""))</f>
        <v/>
      </c>
      <c r="AS772" s="26">
        <f>IF(G772="","",IF(AND(AG772&lt;&gt;"",AG772&lt;&gt;"Bayi Aracı"),"Evet","Hayır"))</f>
        <v/>
      </c>
      <c r="AT772" s="26">
        <f>IF(G772="","",IF(AND(AS772="Evet",T772="Siparişiniz Teslim Edildi"),"Evet","Hayır"))</f>
        <v/>
      </c>
      <c r="AU772" s="26">
        <f>IF(G772="","",IF(AB772="Siparişinizin Montajı Yapıldı","Evet","Hayır"))</f>
        <v/>
      </c>
      <c r="AV772" s="27">
        <f>IF(G772="","",IF(AT772="Evet",AR772,IF(AU772="Evet",AP772,"")))</f>
        <v/>
      </c>
    </row>
    <row r="773">
      <c r="A773" s="23" t="n"/>
      <c r="B773" s="23" t="n"/>
      <c r="C773" s="23" t="n"/>
      <c r="D773" s="23" t="n"/>
      <c r="E773" s="23" t="n"/>
      <c r="F773" s="23" t="n"/>
      <c r="G773" s="23" t="n"/>
      <c r="H773" s="23" t="n"/>
      <c r="I773" s="23" t="n"/>
      <c r="J773" s="23" t="n"/>
      <c r="K773" s="23" t="n"/>
      <c r="L773" s="23" t="n"/>
      <c r="M773" s="23" t="n"/>
      <c r="N773" s="23" t="n"/>
      <c r="O773" s="23" t="n"/>
      <c r="P773" s="23" t="n"/>
      <c r="Q773" s="23" t="n"/>
      <c r="R773" s="23" t="n"/>
      <c r="S773" s="23" t="n"/>
      <c r="T773" s="23" t="n"/>
      <c r="U773" s="23" t="n"/>
      <c r="V773" s="23" t="n"/>
      <c r="W773" s="23" t="n"/>
      <c r="X773" s="23" t="n"/>
      <c r="Y773" s="23" t="n"/>
      <c r="Z773" s="23" t="n"/>
      <c r="AA773" s="23" t="n"/>
      <c r="AB773" s="23" t="n"/>
      <c r="AC773" s="23" t="n"/>
      <c r="AD773" s="23" t="n"/>
      <c r="AE773" s="23" t="n"/>
      <c r="AF773" s="23" t="n"/>
      <c r="AG773" s="23" t="n"/>
      <c r="AH773" s="23" t="n"/>
      <c r="AI773" s="23" t="n"/>
      <c r="AJ773" s="23" t="n"/>
      <c r="AK773" s="23" t="n"/>
      <c r="AL773" s="23" t="n"/>
      <c r="AM773" s="26">
        <f>IF(G773="","",G773&amp;"|"&amp;P773)</f>
        <v/>
      </c>
      <c r="AN773" s="27">
        <f>IF(I773="","",IFERROR(DATE(VALUE(RIGHT(I773,4)),VALUE(MID(I773,4,2)),VALUE(LEFT(I773,2))),""))</f>
        <v/>
      </c>
      <c r="AO773" s="27">
        <f>IF(Y773="","",IFERROR(DATE(VALUE(RIGHT(Y773,4)),VALUE(MID(Y773,4,2)),VALUE(LEFT(Y773,2))),""))</f>
        <v/>
      </c>
      <c r="AP773" s="27">
        <f>IF(AC773="","",IFERROR(DATE(VALUE(RIGHT(AC773,4)),VALUE(MID(AC773,4,2)),VALUE(LEFT(AC773,2))),""))</f>
        <v/>
      </c>
      <c r="AQ773" s="26">
        <f>IF(AI773="","",TRIM(LEFT(AI773,FIND(" ",AI773&amp;" ")-1)))</f>
        <v/>
      </c>
      <c r="AR773" s="27">
        <f>IF(AQ773="","",IFERROR(DATE(VALUE(MID(AQ773,FIND("/",AQ773,FIND("/",AQ773)+1)+1,4)),VALUE(LEFT(AQ773,FIND("/",AQ773)-1)),VALUE(MID(AQ773,FIND("/",AQ773)+1,FIND("/",AQ773,FIND("/",AQ773)+1)-FIND("/",AQ773)-1))),""))</f>
        <v/>
      </c>
      <c r="AS773" s="26">
        <f>IF(G773="","",IF(AND(AG773&lt;&gt;"",AG773&lt;&gt;"Bayi Aracı"),"Evet","Hayır"))</f>
        <v/>
      </c>
      <c r="AT773" s="26">
        <f>IF(G773="","",IF(AND(AS773="Evet",T773="Siparişiniz Teslim Edildi"),"Evet","Hayır"))</f>
        <v/>
      </c>
      <c r="AU773" s="26">
        <f>IF(G773="","",IF(AB773="Siparişinizin Montajı Yapıldı","Evet","Hayır"))</f>
        <v/>
      </c>
      <c r="AV773" s="27">
        <f>IF(G773="","",IF(AT773="Evet",AR773,IF(AU773="Evet",AP773,"")))</f>
        <v/>
      </c>
    </row>
    <row r="774">
      <c r="A774" s="23" t="n"/>
      <c r="B774" s="23" t="n"/>
      <c r="C774" s="23" t="n"/>
      <c r="D774" s="23" t="n"/>
      <c r="E774" s="23" t="n"/>
      <c r="F774" s="23" t="n"/>
      <c r="G774" s="23" t="n"/>
      <c r="H774" s="23" t="n"/>
      <c r="I774" s="23" t="n"/>
      <c r="J774" s="23" t="n"/>
      <c r="K774" s="23" t="n"/>
      <c r="L774" s="23" t="n"/>
      <c r="M774" s="23" t="n"/>
      <c r="N774" s="23" t="n"/>
      <c r="O774" s="23" t="n"/>
      <c r="P774" s="23" t="n"/>
      <c r="Q774" s="23" t="n"/>
      <c r="R774" s="23" t="n"/>
      <c r="S774" s="23" t="n"/>
      <c r="T774" s="23" t="n"/>
      <c r="U774" s="23" t="n"/>
      <c r="V774" s="23" t="n"/>
      <c r="W774" s="23" t="n"/>
      <c r="X774" s="23" t="n"/>
      <c r="Y774" s="23" t="n"/>
      <c r="Z774" s="23" t="n"/>
      <c r="AA774" s="23" t="n"/>
      <c r="AB774" s="23" t="n"/>
      <c r="AC774" s="23" t="n"/>
      <c r="AD774" s="23" t="n"/>
      <c r="AE774" s="23" t="n"/>
      <c r="AF774" s="23" t="n"/>
      <c r="AG774" s="23" t="n"/>
      <c r="AH774" s="23" t="n"/>
      <c r="AI774" s="23" t="n"/>
      <c r="AJ774" s="23" t="n"/>
      <c r="AK774" s="23" t="n"/>
      <c r="AL774" s="23" t="n"/>
      <c r="AM774" s="26">
        <f>IF(G774="","",G774&amp;"|"&amp;P774)</f>
        <v/>
      </c>
      <c r="AN774" s="27">
        <f>IF(I774="","",IFERROR(DATE(VALUE(RIGHT(I774,4)),VALUE(MID(I774,4,2)),VALUE(LEFT(I774,2))),""))</f>
        <v/>
      </c>
      <c r="AO774" s="27">
        <f>IF(Y774="","",IFERROR(DATE(VALUE(RIGHT(Y774,4)),VALUE(MID(Y774,4,2)),VALUE(LEFT(Y774,2))),""))</f>
        <v/>
      </c>
      <c r="AP774" s="27">
        <f>IF(AC774="","",IFERROR(DATE(VALUE(RIGHT(AC774,4)),VALUE(MID(AC774,4,2)),VALUE(LEFT(AC774,2))),""))</f>
        <v/>
      </c>
      <c r="AQ774" s="26">
        <f>IF(AI774="","",TRIM(LEFT(AI774,FIND(" ",AI774&amp;" ")-1)))</f>
        <v/>
      </c>
      <c r="AR774" s="27">
        <f>IF(AQ774="","",IFERROR(DATE(VALUE(MID(AQ774,FIND("/",AQ774,FIND("/",AQ774)+1)+1,4)),VALUE(LEFT(AQ774,FIND("/",AQ774)-1)),VALUE(MID(AQ774,FIND("/",AQ774)+1,FIND("/",AQ774,FIND("/",AQ774)+1)-FIND("/",AQ774)-1))),""))</f>
        <v/>
      </c>
      <c r="AS774" s="26">
        <f>IF(G774="","",IF(AND(AG774&lt;&gt;"",AG774&lt;&gt;"Bayi Aracı"),"Evet","Hayır"))</f>
        <v/>
      </c>
      <c r="AT774" s="26">
        <f>IF(G774="","",IF(AND(AS774="Evet",T774="Siparişiniz Teslim Edildi"),"Evet","Hayır"))</f>
        <v/>
      </c>
      <c r="AU774" s="26">
        <f>IF(G774="","",IF(AB774="Siparişinizin Montajı Yapıldı","Evet","Hayır"))</f>
        <v/>
      </c>
      <c r="AV774" s="27">
        <f>IF(G774="","",IF(AT774="Evet",AR774,IF(AU774="Evet",AP774,"")))</f>
        <v/>
      </c>
    </row>
    <row r="775">
      <c r="A775" s="23" t="n"/>
      <c r="B775" s="23" t="n"/>
      <c r="C775" s="23" t="n"/>
      <c r="D775" s="23" t="n"/>
      <c r="E775" s="23" t="n"/>
      <c r="F775" s="23" t="n"/>
      <c r="G775" s="23" t="n"/>
      <c r="H775" s="23" t="n"/>
      <c r="I775" s="23" t="n"/>
      <c r="J775" s="23" t="n"/>
      <c r="K775" s="23" t="n"/>
      <c r="L775" s="23" t="n"/>
      <c r="M775" s="23" t="n"/>
      <c r="N775" s="23" t="n"/>
      <c r="O775" s="23" t="n"/>
      <c r="P775" s="23" t="n"/>
      <c r="Q775" s="23" t="n"/>
      <c r="R775" s="23" t="n"/>
      <c r="S775" s="23" t="n"/>
      <c r="T775" s="23" t="n"/>
      <c r="U775" s="23" t="n"/>
      <c r="V775" s="23" t="n"/>
      <c r="W775" s="23" t="n"/>
      <c r="X775" s="23" t="n"/>
      <c r="Y775" s="23" t="n"/>
      <c r="Z775" s="23" t="n"/>
      <c r="AA775" s="23" t="n"/>
      <c r="AB775" s="23" t="n"/>
      <c r="AC775" s="23" t="n"/>
      <c r="AD775" s="23" t="n"/>
      <c r="AE775" s="23" t="n"/>
      <c r="AF775" s="23" t="n"/>
      <c r="AG775" s="23" t="n"/>
      <c r="AH775" s="23" t="n"/>
      <c r="AI775" s="23" t="n"/>
      <c r="AJ775" s="23" t="n"/>
      <c r="AK775" s="23" t="n"/>
      <c r="AL775" s="23" t="n"/>
      <c r="AM775" s="26">
        <f>IF(G775="","",G775&amp;"|"&amp;P775)</f>
        <v/>
      </c>
      <c r="AN775" s="27">
        <f>IF(I775="","",IFERROR(DATE(VALUE(RIGHT(I775,4)),VALUE(MID(I775,4,2)),VALUE(LEFT(I775,2))),""))</f>
        <v/>
      </c>
      <c r="AO775" s="27">
        <f>IF(Y775="","",IFERROR(DATE(VALUE(RIGHT(Y775,4)),VALUE(MID(Y775,4,2)),VALUE(LEFT(Y775,2))),""))</f>
        <v/>
      </c>
      <c r="AP775" s="27">
        <f>IF(AC775="","",IFERROR(DATE(VALUE(RIGHT(AC775,4)),VALUE(MID(AC775,4,2)),VALUE(LEFT(AC775,2))),""))</f>
        <v/>
      </c>
      <c r="AQ775" s="26">
        <f>IF(AI775="","",TRIM(LEFT(AI775,FIND(" ",AI775&amp;" ")-1)))</f>
        <v/>
      </c>
      <c r="AR775" s="27">
        <f>IF(AQ775="","",IFERROR(DATE(VALUE(MID(AQ775,FIND("/",AQ775,FIND("/",AQ775)+1)+1,4)),VALUE(LEFT(AQ775,FIND("/",AQ775)-1)),VALUE(MID(AQ775,FIND("/",AQ775)+1,FIND("/",AQ775,FIND("/",AQ775)+1)-FIND("/",AQ775)-1))),""))</f>
        <v/>
      </c>
      <c r="AS775" s="26">
        <f>IF(G775="","",IF(AND(AG775&lt;&gt;"",AG775&lt;&gt;"Bayi Aracı"),"Evet","Hayır"))</f>
        <v/>
      </c>
      <c r="AT775" s="26">
        <f>IF(G775="","",IF(AND(AS775="Evet",T775="Siparişiniz Teslim Edildi"),"Evet","Hayır"))</f>
        <v/>
      </c>
      <c r="AU775" s="26">
        <f>IF(G775="","",IF(AB775="Siparişinizin Montajı Yapıldı","Evet","Hayır"))</f>
        <v/>
      </c>
      <c r="AV775" s="27">
        <f>IF(G775="","",IF(AT775="Evet",AR775,IF(AU775="Evet",AP775,"")))</f>
        <v/>
      </c>
    </row>
    <row r="776">
      <c r="A776" s="23" t="n"/>
      <c r="B776" s="23" t="n"/>
      <c r="C776" s="23" t="n"/>
      <c r="D776" s="23" t="n"/>
      <c r="E776" s="23" t="n"/>
      <c r="F776" s="23" t="n"/>
      <c r="G776" s="23" t="n"/>
      <c r="H776" s="23" t="n"/>
      <c r="I776" s="23" t="n"/>
      <c r="J776" s="23" t="n"/>
      <c r="K776" s="23" t="n"/>
      <c r="L776" s="23" t="n"/>
      <c r="M776" s="23" t="n"/>
      <c r="N776" s="23" t="n"/>
      <c r="O776" s="23" t="n"/>
      <c r="P776" s="23" t="n"/>
      <c r="Q776" s="23" t="n"/>
      <c r="R776" s="23" t="n"/>
      <c r="S776" s="23" t="n"/>
      <c r="T776" s="23" t="n"/>
      <c r="U776" s="23" t="n"/>
      <c r="V776" s="23" t="n"/>
      <c r="W776" s="23" t="n"/>
      <c r="X776" s="23" t="n"/>
      <c r="Y776" s="23" t="n"/>
      <c r="Z776" s="23" t="n"/>
      <c r="AA776" s="23" t="n"/>
      <c r="AB776" s="23" t="n"/>
      <c r="AC776" s="23" t="n"/>
      <c r="AD776" s="23" t="n"/>
      <c r="AE776" s="23" t="n"/>
      <c r="AF776" s="23" t="n"/>
      <c r="AG776" s="23" t="n"/>
      <c r="AH776" s="23" t="n"/>
      <c r="AI776" s="23" t="n"/>
      <c r="AJ776" s="23" t="n"/>
      <c r="AK776" s="23" t="n"/>
      <c r="AL776" s="23" t="n"/>
      <c r="AM776" s="26">
        <f>IF(G776="","",G776&amp;"|"&amp;P776)</f>
        <v/>
      </c>
      <c r="AN776" s="27">
        <f>IF(I776="","",IFERROR(DATE(VALUE(RIGHT(I776,4)),VALUE(MID(I776,4,2)),VALUE(LEFT(I776,2))),""))</f>
        <v/>
      </c>
      <c r="AO776" s="27">
        <f>IF(Y776="","",IFERROR(DATE(VALUE(RIGHT(Y776,4)),VALUE(MID(Y776,4,2)),VALUE(LEFT(Y776,2))),""))</f>
        <v/>
      </c>
      <c r="AP776" s="27">
        <f>IF(AC776="","",IFERROR(DATE(VALUE(RIGHT(AC776,4)),VALUE(MID(AC776,4,2)),VALUE(LEFT(AC776,2))),""))</f>
        <v/>
      </c>
      <c r="AQ776" s="26">
        <f>IF(AI776="","",TRIM(LEFT(AI776,FIND(" ",AI776&amp;" ")-1)))</f>
        <v/>
      </c>
      <c r="AR776" s="27">
        <f>IF(AQ776="","",IFERROR(DATE(VALUE(MID(AQ776,FIND("/",AQ776,FIND("/",AQ776)+1)+1,4)),VALUE(LEFT(AQ776,FIND("/",AQ776)-1)),VALUE(MID(AQ776,FIND("/",AQ776)+1,FIND("/",AQ776,FIND("/",AQ776)+1)-FIND("/",AQ776)-1))),""))</f>
        <v/>
      </c>
      <c r="AS776" s="26">
        <f>IF(G776="","",IF(AND(AG776&lt;&gt;"",AG776&lt;&gt;"Bayi Aracı"),"Evet","Hayır"))</f>
        <v/>
      </c>
      <c r="AT776" s="26">
        <f>IF(G776="","",IF(AND(AS776="Evet",T776="Siparişiniz Teslim Edildi"),"Evet","Hayır"))</f>
        <v/>
      </c>
      <c r="AU776" s="26">
        <f>IF(G776="","",IF(AB776="Siparişinizin Montajı Yapıldı","Evet","Hayır"))</f>
        <v/>
      </c>
      <c r="AV776" s="27">
        <f>IF(G776="","",IF(AT776="Evet",AR776,IF(AU776="Evet",AP776,"")))</f>
        <v/>
      </c>
    </row>
    <row r="777">
      <c r="A777" s="23" t="n"/>
      <c r="B777" s="23" t="n"/>
      <c r="C777" s="23" t="n"/>
      <c r="D777" s="23" t="n"/>
      <c r="E777" s="23" t="n"/>
      <c r="F777" s="23" t="n"/>
      <c r="G777" s="23" t="n"/>
      <c r="H777" s="23" t="n"/>
      <c r="I777" s="23" t="n"/>
      <c r="J777" s="23" t="n"/>
      <c r="K777" s="23" t="n"/>
      <c r="L777" s="23" t="n"/>
      <c r="M777" s="23" t="n"/>
      <c r="N777" s="23" t="n"/>
      <c r="O777" s="23" t="n"/>
      <c r="P777" s="23" t="n"/>
      <c r="Q777" s="23" t="n"/>
      <c r="R777" s="23" t="n"/>
      <c r="S777" s="23" t="n"/>
      <c r="T777" s="23" t="n"/>
      <c r="U777" s="23" t="n"/>
      <c r="V777" s="23" t="n"/>
      <c r="W777" s="23" t="n"/>
      <c r="X777" s="23" t="n"/>
      <c r="Y777" s="23" t="n"/>
      <c r="Z777" s="23" t="n"/>
      <c r="AA777" s="23" t="n"/>
      <c r="AB777" s="23" t="n"/>
      <c r="AC777" s="23" t="n"/>
      <c r="AD777" s="23" t="n"/>
      <c r="AE777" s="23" t="n"/>
      <c r="AF777" s="23" t="n"/>
      <c r="AG777" s="23" t="n"/>
      <c r="AH777" s="23" t="n"/>
      <c r="AI777" s="23" t="n"/>
      <c r="AJ777" s="23" t="n"/>
      <c r="AK777" s="23" t="n"/>
      <c r="AL777" s="23" t="n"/>
      <c r="AM777" s="26">
        <f>IF(G777="","",G777&amp;"|"&amp;P777)</f>
        <v/>
      </c>
      <c r="AN777" s="27">
        <f>IF(I777="","",IFERROR(DATE(VALUE(RIGHT(I777,4)),VALUE(MID(I777,4,2)),VALUE(LEFT(I777,2))),""))</f>
        <v/>
      </c>
      <c r="AO777" s="27">
        <f>IF(Y777="","",IFERROR(DATE(VALUE(RIGHT(Y777,4)),VALUE(MID(Y777,4,2)),VALUE(LEFT(Y777,2))),""))</f>
        <v/>
      </c>
      <c r="AP777" s="27">
        <f>IF(AC777="","",IFERROR(DATE(VALUE(RIGHT(AC777,4)),VALUE(MID(AC777,4,2)),VALUE(LEFT(AC777,2))),""))</f>
        <v/>
      </c>
      <c r="AQ777" s="26">
        <f>IF(AI777="","",TRIM(LEFT(AI777,FIND(" ",AI777&amp;" ")-1)))</f>
        <v/>
      </c>
      <c r="AR777" s="27">
        <f>IF(AQ777="","",IFERROR(DATE(VALUE(MID(AQ777,FIND("/",AQ777,FIND("/",AQ777)+1)+1,4)),VALUE(LEFT(AQ777,FIND("/",AQ777)-1)),VALUE(MID(AQ777,FIND("/",AQ777)+1,FIND("/",AQ777,FIND("/",AQ777)+1)-FIND("/",AQ777)-1))),""))</f>
        <v/>
      </c>
      <c r="AS777" s="26">
        <f>IF(G777="","",IF(AND(AG777&lt;&gt;"",AG777&lt;&gt;"Bayi Aracı"),"Evet","Hayır"))</f>
        <v/>
      </c>
      <c r="AT777" s="26">
        <f>IF(G777="","",IF(AND(AS777="Evet",T777="Siparişiniz Teslim Edildi"),"Evet","Hayır"))</f>
        <v/>
      </c>
      <c r="AU777" s="26">
        <f>IF(G777="","",IF(AB777="Siparişinizin Montajı Yapıldı","Evet","Hayır"))</f>
        <v/>
      </c>
      <c r="AV777" s="27">
        <f>IF(G777="","",IF(AT777="Evet",AR777,IF(AU777="Evet",AP777,"")))</f>
        <v/>
      </c>
    </row>
    <row r="778">
      <c r="A778" s="23" t="n"/>
      <c r="B778" s="23" t="n"/>
      <c r="C778" s="23" t="n"/>
      <c r="D778" s="23" t="n"/>
      <c r="E778" s="23" t="n"/>
      <c r="F778" s="23" t="n"/>
      <c r="G778" s="23" t="n"/>
      <c r="H778" s="23" t="n"/>
      <c r="I778" s="23" t="n"/>
      <c r="J778" s="23" t="n"/>
      <c r="K778" s="23" t="n"/>
      <c r="L778" s="23" t="n"/>
      <c r="M778" s="23" t="n"/>
      <c r="N778" s="23" t="n"/>
      <c r="O778" s="23" t="n"/>
      <c r="P778" s="23" t="n"/>
      <c r="Q778" s="23" t="n"/>
      <c r="R778" s="23" t="n"/>
      <c r="S778" s="23" t="n"/>
      <c r="T778" s="23" t="n"/>
      <c r="U778" s="23" t="n"/>
      <c r="V778" s="23" t="n"/>
      <c r="W778" s="23" t="n"/>
      <c r="X778" s="23" t="n"/>
      <c r="Y778" s="23" t="n"/>
      <c r="Z778" s="23" t="n"/>
      <c r="AA778" s="23" t="n"/>
      <c r="AB778" s="23" t="n"/>
      <c r="AC778" s="23" t="n"/>
      <c r="AD778" s="23" t="n"/>
      <c r="AE778" s="23" t="n"/>
      <c r="AF778" s="23" t="n"/>
      <c r="AG778" s="23" t="n"/>
      <c r="AH778" s="23" t="n"/>
      <c r="AI778" s="23" t="n"/>
      <c r="AJ778" s="23" t="n"/>
      <c r="AK778" s="23" t="n"/>
      <c r="AL778" s="23" t="n"/>
      <c r="AM778" s="26">
        <f>IF(G778="","",G778&amp;"|"&amp;P778)</f>
        <v/>
      </c>
      <c r="AN778" s="27">
        <f>IF(I778="","",IFERROR(DATE(VALUE(RIGHT(I778,4)),VALUE(MID(I778,4,2)),VALUE(LEFT(I778,2))),""))</f>
        <v/>
      </c>
      <c r="AO778" s="27">
        <f>IF(Y778="","",IFERROR(DATE(VALUE(RIGHT(Y778,4)),VALUE(MID(Y778,4,2)),VALUE(LEFT(Y778,2))),""))</f>
        <v/>
      </c>
      <c r="AP778" s="27">
        <f>IF(AC778="","",IFERROR(DATE(VALUE(RIGHT(AC778,4)),VALUE(MID(AC778,4,2)),VALUE(LEFT(AC778,2))),""))</f>
        <v/>
      </c>
      <c r="AQ778" s="26">
        <f>IF(AI778="","",TRIM(LEFT(AI778,FIND(" ",AI778&amp;" ")-1)))</f>
        <v/>
      </c>
      <c r="AR778" s="27">
        <f>IF(AQ778="","",IFERROR(DATE(VALUE(MID(AQ778,FIND("/",AQ778,FIND("/",AQ778)+1)+1,4)),VALUE(LEFT(AQ778,FIND("/",AQ778)-1)),VALUE(MID(AQ778,FIND("/",AQ778)+1,FIND("/",AQ778,FIND("/",AQ778)+1)-FIND("/",AQ778)-1))),""))</f>
        <v/>
      </c>
      <c r="AS778" s="26">
        <f>IF(G778="","",IF(AND(AG778&lt;&gt;"",AG778&lt;&gt;"Bayi Aracı"),"Evet","Hayır"))</f>
        <v/>
      </c>
      <c r="AT778" s="26">
        <f>IF(G778="","",IF(AND(AS778="Evet",T778="Siparişiniz Teslim Edildi"),"Evet","Hayır"))</f>
        <v/>
      </c>
      <c r="AU778" s="26">
        <f>IF(G778="","",IF(AB778="Siparişinizin Montajı Yapıldı","Evet","Hayır"))</f>
        <v/>
      </c>
      <c r="AV778" s="27">
        <f>IF(G778="","",IF(AT778="Evet",AR778,IF(AU778="Evet",AP778,"")))</f>
        <v/>
      </c>
    </row>
    <row r="779">
      <c r="A779" s="23" t="n"/>
      <c r="B779" s="23" t="n"/>
      <c r="C779" s="23" t="n"/>
      <c r="D779" s="23" t="n"/>
      <c r="E779" s="23" t="n"/>
      <c r="F779" s="23" t="n"/>
      <c r="G779" s="23" t="n"/>
      <c r="H779" s="23" t="n"/>
      <c r="I779" s="23" t="n"/>
      <c r="J779" s="23" t="n"/>
      <c r="K779" s="23" t="n"/>
      <c r="L779" s="23" t="n"/>
      <c r="M779" s="23" t="n"/>
      <c r="N779" s="23" t="n"/>
      <c r="O779" s="23" t="n"/>
      <c r="P779" s="23" t="n"/>
      <c r="Q779" s="23" t="n"/>
      <c r="R779" s="23" t="n"/>
      <c r="S779" s="23" t="n"/>
      <c r="T779" s="23" t="n"/>
      <c r="U779" s="23" t="n"/>
      <c r="V779" s="23" t="n"/>
      <c r="W779" s="23" t="n"/>
      <c r="X779" s="23" t="n"/>
      <c r="Y779" s="23" t="n"/>
      <c r="Z779" s="23" t="n"/>
      <c r="AA779" s="23" t="n"/>
      <c r="AB779" s="23" t="n"/>
      <c r="AC779" s="23" t="n"/>
      <c r="AD779" s="23" t="n"/>
      <c r="AE779" s="23" t="n"/>
      <c r="AF779" s="23" t="n"/>
      <c r="AG779" s="23" t="n"/>
      <c r="AH779" s="23" t="n"/>
      <c r="AI779" s="23" t="n"/>
      <c r="AJ779" s="23" t="n"/>
      <c r="AK779" s="23" t="n"/>
      <c r="AL779" s="23" t="n"/>
      <c r="AM779" s="26">
        <f>IF(G779="","",G779&amp;"|"&amp;P779)</f>
        <v/>
      </c>
      <c r="AN779" s="27">
        <f>IF(I779="","",IFERROR(DATE(VALUE(RIGHT(I779,4)),VALUE(MID(I779,4,2)),VALUE(LEFT(I779,2))),""))</f>
        <v/>
      </c>
      <c r="AO779" s="27">
        <f>IF(Y779="","",IFERROR(DATE(VALUE(RIGHT(Y779,4)),VALUE(MID(Y779,4,2)),VALUE(LEFT(Y779,2))),""))</f>
        <v/>
      </c>
      <c r="AP779" s="27">
        <f>IF(AC779="","",IFERROR(DATE(VALUE(RIGHT(AC779,4)),VALUE(MID(AC779,4,2)),VALUE(LEFT(AC779,2))),""))</f>
        <v/>
      </c>
      <c r="AQ779" s="26">
        <f>IF(AI779="","",TRIM(LEFT(AI779,FIND(" ",AI779&amp;" ")-1)))</f>
        <v/>
      </c>
      <c r="AR779" s="27">
        <f>IF(AQ779="","",IFERROR(DATE(VALUE(MID(AQ779,FIND("/",AQ779,FIND("/",AQ779)+1)+1,4)),VALUE(LEFT(AQ779,FIND("/",AQ779)-1)),VALUE(MID(AQ779,FIND("/",AQ779)+1,FIND("/",AQ779,FIND("/",AQ779)+1)-FIND("/",AQ779)-1))),""))</f>
        <v/>
      </c>
      <c r="AS779" s="26">
        <f>IF(G779="","",IF(AND(AG779&lt;&gt;"",AG779&lt;&gt;"Bayi Aracı"),"Evet","Hayır"))</f>
        <v/>
      </c>
      <c r="AT779" s="26">
        <f>IF(G779="","",IF(AND(AS779="Evet",T779="Siparişiniz Teslim Edildi"),"Evet","Hayır"))</f>
        <v/>
      </c>
      <c r="AU779" s="26">
        <f>IF(G779="","",IF(AB779="Siparişinizin Montajı Yapıldı","Evet","Hayır"))</f>
        <v/>
      </c>
      <c r="AV779" s="27">
        <f>IF(G779="","",IF(AT779="Evet",AR779,IF(AU779="Evet",AP779,"")))</f>
        <v/>
      </c>
    </row>
    <row r="780">
      <c r="A780" s="23" t="n"/>
      <c r="B780" s="23" t="n"/>
      <c r="C780" s="23" t="n"/>
      <c r="D780" s="23" t="n"/>
      <c r="E780" s="23" t="n"/>
      <c r="F780" s="23" t="n"/>
      <c r="G780" s="23" t="n"/>
      <c r="H780" s="23" t="n"/>
      <c r="I780" s="23" t="n"/>
      <c r="J780" s="23" t="n"/>
      <c r="K780" s="23" t="n"/>
      <c r="L780" s="23" t="n"/>
      <c r="M780" s="23" t="n"/>
      <c r="N780" s="23" t="n"/>
      <c r="O780" s="23" t="n"/>
      <c r="P780" s="23" t="n"/>
      <c r="Q780" s="23" t="n"/>
      <c r="R780" s="23" t="n"/>
      <c r="S780" s="23" t="n"/>
      <c r="T780" s="23" t="n"/>
      <c r="U780" s="23" t="n"/>
      <c r="V780" s="23" t="n"/>
      <c r="W780" s="23" t="n"/>
      <c r="X780" s="23" t="n"/>
      <c r="Y780" s="23" t="n"/>
      <c r="Z780" s="23" t="n"/>
      <c r="AA780" s="23" t="n"/>
      <c r="AB780" s="23" t="n"/>
      <c r="AC780" s="23" t="n"/>
      <c r="AD780" s="23" t="n"/>
      <c r="AE780" s="23" t="n"/>
      <c r="AF780" s="23" t="n"/>
      <c r="AG780" s="23" t="n"/>
      <c r="AH780" s="23" t="n"/>
      <c r="AI780" s="23" t="n"/>
      <c r="AJ780" s="23" t="n"/>
      <c r="AK780" s="23" t="n"/>
      <c r="AL780" s="23" t="n"/>
      <c r="AM780" s="26">
        <f>IF(G780="","",G780&amp;"|"&amp;P780)</f>
        <v/>
      </c>
      <c r="AN780" s="27">
        <f>IF(I780="","",IFERROR(DATE(VALUE(RIGHT(I780,4)),VALUE(MID(I780,4,2)),VALUE(LEFT(I780,2))),""))</f>
        <v/>
      </c>
      <c r="AO780" s="27">
        <f>IF(Y780="","",IFERROR(DATE(VALUE(RIGHT(Y780,4)),VALUE(MID(Y780,4,2)),VALUE(LEFT(Y780,2))),""))</f>
        <v/>
      </c>
      <c r="AP780" s="27">
        <f>IF(AC780="","",IFERROR(DATE(VALUE(RIGHT(AC780,4)),VALUE(MID(AC780,4,2)),VALUE(LEFT(AC780,2))),""))</f>
        <v/>
      </c>
      <c r="AQ780" s="26">
        <f>IF(AI780="","",TRIM(LEFT(AI780,FIND(" ",AI780&amp;" ")-1)))</f>
        <v/>
      </c>
      <c r="AR780" s="27">
        <f>IF(AQ780="","",IFERROR(DATE(VALUE(MID(AQ780,FIND("/",AQ780,FIND("/",AQ780)+1)+1,4)),VALUE(LEFT(AQ780,FIND("/",AQ780)-1)),VALUE(MID(AQ780,FIND("/",AQ780)+1,FIND("/",AQ780,FIND("/",AQ780)+1)-FIND("/",AQ780)-1))),""))</f>
        <v/>
      </c>
      <c r="AS780" s="26">
        <f>IF(G780="","",IF(AND(AG780&lt;&gt;"",AG780&lt;&gt;"Bayi Aracı"),"Evet","Hayır"))</f>
        <v/>
      </c>
      <c r="AT780" s="26">
        <f>IF(G780="","",IF(AND(AS780="Evet",T780="Siparişiniz Teslim Edildi"),"Evet","Hayır"))</f>
        <v/>
      </c>
      <c r="AU780" s="26">
        <f>IF(G780="","",IF(AB780="Siparişinizin Montajı Yapıldı","Evet","Hayır"))</f>
        <v/>
      </c>
      <c r="AV780" s="27">
        <f>IF(G780="","",IF(AT780="Evet",AR780,IF(AU780="Evet",AP780,"")))</f>
        <v/>
      </c>
    </row>
    <row r="781">
      <c r="A781" s="23" t="n"/>
      <c r="B781" s="23" t="n"/>
      <c r="C781" s="23" t="n"/>
      <c r="D781" s="23" t="n"/>
      <c r="E781" s="23" t="n"/>
      <c r="F781" s="23" t="n"/>
      <c r="G781" s="23" t="n"/>
      <c r="H781" s="23" t="n"/>
      <c r="I781" s="23" t="n"/>
      <c r="J781" s="23" t="n"/>
      <c r="K781" s="23" t="n"/>
      <c r="L781" s="23" t="n"/>
      <c r="M781" s="23" t="n"/>
      <c r="N781" s="23" t="n"/>
      <c r="O781" s="23" t="n"/>
      <c r="P781" s="23" t="n"/>
      <c r="Q781" s="23" t="n"/>
      <c r="R781" s="23" t="n"/>
      <c r="S781" s="23" t="n"/>
      <c r="T781" s="23" t="n"/>
      <c r="U781" s="23" t="n"/>
      <c r="V781" s="23" t="n"/>
      <c r="W781" s="23" t="n"/>
      <c r="X781" s="23" t="n"/>
      <c r="Y781" s="23" t="n"/>
      <c r="Z781" s="23" t="n"/>
      <c r="AA781" s="23" t="n"/>
      <c r="AB781" s="23" t="n"/>
      <c r="AC781" s="23" t="n"/>
      <c r="AD781" s="23" t="n"/>
      <c r="AE781" s="23" t="n"/>
      <c r="AF781" s="23" t="n"/>
      <c r="AG781" s="23" t="n"/>
      <c r="AH781" s="23" t="n"/>
      <c r="AI781" s="23" t="n"/>
      <c r="AJ781" s="23" t="n"/>
      <c r="AK781" s="23" t="n"/>
      <c r="AL781" s="23" t="n"/>
      <c r="AM781" s="26">
        <f>IF(G781="","",G781&amp;"|"&amp;P781)</f>
        <v/>
      </c>
      <c r="AN781" s="27">
        <f>IF(I781="","",IFERROR(DATE(VALUE(RIGHT(I781,4)),VALUE(MID(I781,4,2)),VALUE(LEFT(I781,2))),""))</f>
        <v/>
      </c>
      <c r="AO781" s="27">
        <f>IF(Y781="","",IFERROR(DATE(VALUE(RIGHT(Y781,4)),VALUE(MID(Y781,4,2)),VALUE(LEFT(Y781,2))),""))</f>
        <v/>
      </c>
      <c r="AP781" s="27">
        <f>IF(AC781="","",IFERROR(DATE(VALUE(RIGHT(AC781,4)),VALUE(MID(AC781,4,2)),VALUE(LEFT(AC781,2))),""))</f>
        <v/>
      </c>
      <c r="AQ781" s="26">
        <f>IF(AI781="","",TRIM(LEFT(AI781,FIND(" ",AI781&amp;" ")-1)))</f>
        <v/>
      </c>
      <c r="AR781" s="27">
        <f>IF(AQ781="","",IFERROR(DATE(VALUE(MID(AQ781,FIND("/",AQ781,FIND("/",AQ781)+1)+1,4)),VALUE(LEFT(AQ781,FIND("/",AQ781)-1)),VALUE(MID(AQ781,FIND("/",AQ781)+1,FIND("/",AQ781,FIND("/",AQ781)+1)-FIND("/",AQ781)-1))),""))</f>
        <v/>
      </c>
      <c r="AS781" s="26">
        <f>IF(G781="","",IF(AND(AG781&lt;&gt;"",AG781&lt;&gt;"Bayi Aracı"),"Evet","Hayır"))</f>
        <v/>
      </c>
      <c r="AT781" s="26">
        <f>IF(G781="","",IF(AND(AS781="Evet",T781="Siparişiniz Teslim Edildi"),"Evet","Hayır"))</f>
        <v/>
      </c>
      <c r="AU781" s="26">
        <f>IF(G781="","",IF(AB781="Siparişinizin Montajı Yapıldı","Evet","Hayır"))</f>
        <v/>
      </c>
      <c r="AV781" s="27">
        <f>IF(G781="","",IF(AT781="Evet",AR781,IF(AU781="Evet",AP781,"")))</f>
        <v/>
      </c>
    </row>
    <row r="782">
      <c r="A782" s="23" t="n"/>
      <c r="B782" s="23" t="n"/>
      <c r="C782" s="23" t="n"/>
      <c r="D782" s="23" t="n"/>
      <c r="E782" s="23" t="n"/>
      <c r="F782" s="23" t="n"/>
      <c r="G782" s="23" t="n"/>
      <c r="H782" s="23" t="n"/>
      <c r="I782" s="23" t="n"/>
      <c r="J782" s="23" t="n"/>
      <c r="K782" s="23" t="n"/>
      <c r="L782" s="23" t="n"/>
      <c r="M782" s="23" t="n"/>
      <c r="N782" s="23" t="n"/>
      <c r="O782" s="23" t="n"/>
      <c r="P782" s="23" t="n"/>
      <c r="Q782" s="23" t="n"/>
      <c r="R782" s="23" t="n"/>
      <c r="S782" s="23" t="n"/>
      <c r="T782" s="23" t="n"/>
      <c r="U782" s="23" t="n"/>
      <c r="V782" s="23" t="n"/>
      <c r="W782" s="23" t="n"/>
      <c r="X782" s="23" t="n"/>
      <c r="Y782" s="23" t="n"/>
      <c r="Z782" s="23" t="n"/>
      <c r="AA782" s="23" t="n"/>
      <c r="AB782" s="23" t="n"/>
      <c r="AC782" s="23" t="n"/>
      <c r="AD782" s="23" t="n"/>
      <c r="AE782" s="23" t="n"/>
      <c r="AF782" s="23" t="n"/>
      <c r="AG782" s="23" t="n"/>
      <c r="AH782" s="23" t="n"/>
      <c r="AI782" s="23" t="n"/>
      <c r="AJ782" s="23" t="n"/>
      <c r="AK782" s="23" t="n"/>
      <c r="AL782" s="23" t="n"/>
      <c r="AM782" s="26">
        <f>IF(G782="","",G782&amp;"|"&amp;P782)</f>
        <v/>
      </c>
      <c r="AN782" s="27">
        <f>IF(I782="","",IFERROR(DATE(VALUE(RIGHT(I782,4)),VALUE(MID(I782,4,2)),VALUE(LEFT(I782,2))),""))</f>
        <v/>
      </c>
      <c r="AO782" s="27">
        <f>IF(Y782="","",IFERROR(DATE(VALUE(RIGHT(Y782,4)),VALUE(MID(Y782,4,2)),VALUE(LEFT(Y782,2))),""))</f>
        <v/>
      </c>
      <c r="AP782" s="27">
        <f>IF(AC782="","",IFERROR(DATE(VALUE(RIGHT(AC782,4)),VALUE(MID(AC782,4,2)),VALUE(LEFT(AC782,2))),""))</f>
        <v/>
      </c>
      <c r="AQ782" s="26">
        <f>IF(AI782="","",TRIM(LEFT(AI782,FIND(" ",AI782&amp;" ")-1)))</f>
        <v/>
      </c>
      <c r="AR782" s="27">
        <f>IF(AQ782="","",IFERROR(DATE(VALUE(MID(AQ782,FIND("/",AQ782,FIND("/",AQ782)+1)+1,4)),VALUE(LEFT(AQ782,FIND("/",AQ782)-1)),VALUE(MID(AQ782,FIND("/",AQ782)+1,FIND("/",AQ782,FIND("/",AQ782)+1)-FIND("/",AQ782)-1))),""))</f>
        <v/>
      </c>
      <c r="AS782" s="26">
        <f>IF(G782="","",IF(AND(AG782&lt;&gt;"",AG782&lt;&gt;"Bayi Aracı"),"Evet","Hayır"))</f>
        <v/>
      </c>
      <c r="AT782" s="26">
        <f>IF(G782="","",IF(AND(AS782="Evet",T782="Siparişiniz Teslim Edildi"),"Evet","Hayır"))</f>
        <v/>
      </c>
      <c r="AU782" s="26">
        <f>IF(G782="","",IF(AB782="Siparişinizin Montajı Yapıldı","Evet","Hayır"))</f>
        <v/>
      </c>
      <c r="AV782" s="27">
        <f>IF(G782="","",IF(AT782="Evet",AR782,IF(AU782="Evet",AP782,"")))</f>
        <v/>
      </c>
    </row>
    <row r="783">
      <c r="A783" s="23" t="n"/>
      <c r="B783" s="23" t="n"/>
      <c r="C783" s="23" t="n"/>
      <c r="D783" s="23" t="n"/>
      <c r="E783" s="23" t="n"/>
      <c r="F783" s="23" t="n"/>
      <c r="G783" s="23" t="n"/>
      <c r="H783" s="23" t="n"/>
      <c r="I783" s="23" t="n"/>
      <c r="J783" s="23" t="n"/>
      <c r="K783" s="23" t="n"/>
      <c r="L783" s="23" t="n"/>
      <c r="M783" s="23" t="n"/>
      <c r="N783" s="23" t="n"/>
      <c r="O783" s="23" t="n"/>
      <c r="P783" s="23" t="n"/>
      <c r="Q783" s="23" t="n"/>
      <c r="R783" s="23" t="n"/>
      <c r="S783" s="23" t="n"/>
      <c r="T783" s="23" t="n"/>
      <c r="U783" s="23" t="n"/>
      <c r="V783" s="23" t="n"/>
      <c r="W783" s="23" t="n"/>
      <c r="X783" s="23" t="n"/>
      <c r="Y783" s="23" t="n"/>
      <c r="Z783" s="23" t="n"/>
      <c r="AA783" s="23" t="n"/>
      <c r="AB783" s="23" t="n"/>
      <c r="AC783" s="23" t="n"/>
      <c r="AD783" s="23" t="n"/>
      <c r="AE783" s="23" t="n"/>
      <c r="AF783" s="23" t="n"/>
      <c r="AG783" s="23" t="n"/>
      <c r="AH783" s="23" t="n"/>
      <c r="AI783" s="23" t="n"/>
      <c r="AJ783" s="23" t="n"/>
      <c r="AK783" s="23" t="n"/>
      <c r="AL783" s="23" t="n"/>
      <c r="AM783" s="26">
        <f>IF(G783="","",G783&amp;"|"&amp;P783)</f>
        <v/>
      </c>
      <c r="AN783" s="27">
        <f>IF(I783="","",IFERROR(DATE(VALUE(RIGHT(I783,4)),VALUE(MID(I783,4,2)),VALUE(LEFT(I783,2))),""))</f>
        <v/>
      </c>
      <c r="AO783" s="27">
        <f>IF(Y783="","",IFERROR(DATE(VALUE(RIGHT(Y783,4)),VALUE(MID(Y783,4,2)),VALUE(LEFT(Y783,2))),""))</f>
        <v/>
      </c>
      <c r="AP783" s="27">
        <f>IF(AC783="","",IFERROR(DATE(VALUE(RIGHT(AC783,4)),VALUE(MID(AC783,4,2)),VALUE(LEFT(AC783,2))),""))</f>
        <v/>
      </c>
      <c r="AQ783" s="26">
        <f>IF(AI783="","",TRIM(LEFT(AI783,FIND(" ",AI783&amp;" ")-1)))</f>
        <v/>
      </c>
      <c r="AR783" s="27">
        <f>IF(AQ783="","",IFERROR(DATE(VALUE(MID(AQ783,FIND("/",AQ783,FIND("/",AQ783)+1)+1,4)),VALUE(LEFT(AQ783,FIND("/",AQ783)-1)),VALUE(MID(AQ783,FIND("/",AQ783)+1,FIND("/",AQ783,FIND("/",AQ783)+1)-FIND("/",AQ783)-1))),""))</f>
        <v/>
      </c>
      <c r="AS783" s="26">
        <f>IF(G783="","",IF(AND(AG783&lt;&gt;"",AG783&lt;&gt;"Bayi Aracı"),"Evet","Hayır"))</f>
        <v/>
      </c>
      <c r="AT783" s="26">
        <f>IF(G783="","",IF(AND(AS783="Evet",T783="Siparişiniz Teslim Edildi"),"Evet","Hayır"))</f>
        <v/>
      </c>
      <c r="AU783" s="26">
        <f>IF(G783="","",IF(AB783="Siparişinizin Montajı Yapıldı","Evet","Hayır"))</f>
        <v/>
      </c>
      <c r="AV783" s="27">
        <f>IF(G783="","",IF(AT783="Evet",AR783,IF(AU783="Evet",AP783,"")))</f>
        <v/>
      </c>
    </row>
    <row r="784">
      <c r="A784" s="23" t="n"/>
      <c r="B784" s="23" t="n"/>
      <c r="C784" s="23" t="n"/>
      <c r="D784" s="23" t="n"/>
      <c r="E784" s="23" t="n"/>
      <c r="F784" s="23" t="n"/>
      <c r="G784" s="23" t="n"/>
      <c r="H784" s="23" t="n"/>
      <c r="I784" s="23" t="n"/>
      <c r="J784" s="23" t="n"/>
      <c r="K784" s="23" t="n"/>
      <c r="L784" s="23" t="n"/>
      <c r="M784" s="23" t="n"/>
      <c r="N784" s="23" t="n"/>
      <c r="O784" s="23" t="n"/>
      <c r="P784" s="23" t="n"/>
      <c r="Q784" s="23" t="n"/>
      <c r="R784" s="23" t="n"/>
      <c r="S784" s="23" t="n"/>
      <c r="T784" s="23" t="n"/>
      <c r="U784" s="23" t="n"/>
      <c r="V784" s="23" t="n"/>
      <c r="W784" s="23" t="n"/>
      <c r="X784" s="23" t="n"/>
      <c r="Y784" s="23" t="n"/>
      <c r="Z784" s="23" t="n"/>
      <c r="AA784" s="23" t="n"/>
      <c r="AB784" s="23" t="n"/>
      <c r="AC784" s="23" t="n"/>
      <c r="AD784" s="23" t="n"/>
      <c r="AE784" s="23" t="n"/>
      <c r="AF784" s="23" t="n"/>
      <c r="AG784" s="23" t="n"/>
      <c r="AH784" s="23" t="n"/>
      <c r="AI784" s="23" t="n"/>
      <c r="AJ784" s="23" t="n"/>
      <c r="AK784" s="23" t="n"/>
      <c r="AL784" s="23" t="n"/>
      <c r="AM784" s="26">
        <f>IF(G784="","",G784&amp;"|"&amp;P784)</f>
        <v/>
      </c>
      <c r="AN784" s="27">
        <f>IF(I784="","",IFERROR(DATE(VALUE(RIGHT(I784,4)),VALUE(MID(I784,4,2)),VALUE(LEFT(I784,2))),""))</f>
        <v/>
      </c>
      <c r="AO784" s="27">
        <f>IF(Y784="","",IFERROR(DATE(VALUE(RIGHT(Y784,4)),VALUE(MID(Y784,4,2)),VALUE(LEFT(Y784,2))),""))</f>
        <v/>
      </c>
      <c r="AP784" s="27">
        <f>IF(AC784="","",IFERROR(DATE(VALUE(RIGHT(AC784,4)),VALUE(MID(AC784,4,2)),VALUE(LEFT(AC784,2))),""))</f>
        <v/>
      </c>
      <c r="AQ784" s="26">
        <f>IF(AI784="","",TRIM(LEFT(AI784,FIND(" ",AI784&amp;" ")-1)))</f>
        <v/>
      </c>
      <c r="AR784" s="27">
        <f>IF(AQ784="","",IFERROR(DATE(VALUE(MID(AQ784,FIND("/",AQ784,FIND("/",AQ784)+1)+1,4)),VALUE(LEFT(AQ784,FIND("/",AQ784)-1)),VALUE(MID(AQ784,FIND("/",AQ784)+1,FIND("/",AQ784,FIND("/",AQ784)+1)-FIND("/",AQ784)-1))),""))</f>
        <v/>
      </c>
      <c r="AS784" s="26">
        <f>IF(G784="","",IF(AND(AG784&lt;&gt;"",AG784&lt;&gt;"Bayi Aracı"),"Evet","Hayır"))</f>
        <v/>
      </c>
      <c r="AT784" s="26">
        <f>IF(G784="","",IF(AND(AS784="Evet",T784="Siparişiniz Teslim Edildi"),"Evet","Hayır"))</f>
        <v/>
      </c>
      <c r="AU784" s="26">
        <f>IF(G784="","",IF(AB784="Siparişinizin Montajı Yapıldı","Evet","Hayır"))</f>
        <v/>
      </c>
      <c r="AV784" s="27">
        <f>IF(G784="","",IF(AT784="Evet",AR784,IF(AU784="Evet",AP784,"")))</f>
        <v/>
      </c>
    </row>
    <row r="785">
      <c r="A785" s="23" t="n"/>
      <c r="B785" s="23" t="n"/>
      <c r="C785" s="23" t="n"/>
      <c r="D785" s="23" t="n"/>
      <c r="E785" s="23" t="n"/>
      <c r="F785" s="23" t="n"/>
      <c r="G785" s="23" t="n"/>
      <c r="H785" s="23" t="n"/>
      <c r="I785" s="23" t="n"/>
      <c r="J785" s="23" t="n"/>
      <c r="K785" s="23" t="n"/>
      <c r="L785" s="23" t="n"/>
      <c r="M785" s="23" t="n"/>
      <c r="N785" s="23" t="n"/>
      <c r="O785" s="23" t="n"/>
      <c r="P785" s="23" t="n"/>
      <c r="Q785" s="23" t="n"/>
      <c r="R785" s="23" t="n"/>
      <c r="S785" s="23" t="n"/>
      <c r="T785" s="23" t="n"/>
      <c r="U785" s="23" t="n"/>
      <c r="V785" s="23" t="n"/>
      <c r="W785" s="23" t="n"/>
      <c r="X785" s="23" t="n"/>
      <c r="Y785" s="23" t="n"/>
      <c r="Z785" s="23" t="n"/>
      <c r="AA785" s="23" t="n"/>
      <c r="AB785" s="23" t="n"/>
      <c r="AC785" s="23" t="n"/>
      <c r="AD785" s="23" t="n"/>
      <c r="AE785" s="23" t="n"/>
      <c r="AF785" s="23" t="n"/>
      <c r="AG785" s="23" t="n"/>
      <c r="AH785" s="23" t="n"/>
      <c r="AI785" s="23" t="n"/>
      <c r="AJ785" s="23" t="n"/>
      <c r="AK785" s="23" t="n"/>
      <c r="AL785" s="23" t="n"/>
      <c r="AM785" s="26">
        <f>IF(G785="","",G785&amp;"|"&amp;P785)</f>
        <v/>
      </c>
      <c r="AN785" s="27">
        <f>IF(I785="","",IFERROR(DATE(VALUE(RIGHT(I785,4)),VALUE(MID(I785,4,2)),VALUE(LEFT(I785,2))),""))</f>
        <v/>
      </c>
      <c r="AO785" s="27">
        <f>IF(Y785="","",IFERROR(DATE(VALUE(RIGHT(Y785,4)),VALUE(MID(Y785,4,2)),VALUE(LEFT(Y785,2))),""))</f>
        <v/>
      </c>
      <c r="AP785" s="27">
        <f>IF(AC785="","",IFERROR(DATE(VALUE(RIGHT(AC785,4)),VALUE(MID(AC785,4,2)),VALUE(LEFT(AC785,2))),""))</f>
        <v/>
      </c>
      <c r="AQ785" s="26">
        <f>IF(AI785="","",TRIM(LEFT(AI785,FIND(" ",AI785&amp;" ")-1)))</f>
        <v/>
      </c>
      <c r="AR785" s="27">
        <f>IF(AQ785="","",IFERROR(DATE(VALUE(MID(AQ785,FIND("/",AQ785,FIND("/",AQ785)+1)+1,4)),VALUE(LEFT(AQ785,FIND("/",AQ785)-1)),VALUE(MID(AQ785,FIND("/",AQ785)+1,FIND("/",AQ785,FIND("/",AQ785)+1)-FIND("/",AQ785)-1))),""))</f>
        <v/>
      </c>
      <c r="AS785" s="26">
        <f>IF(G785="","",IF(AND(AG785&lt;&gt;"",AG785&lt;&gt;"Bayi Aracı"),"Evet","Hayır"))</f>
        <v/>
      </c>
      <c r="AT785" s="26">
        <f>IF(G785="","",IF(AND(AS785="Evet",T785="Siparişiniz Teslim Edildi"),"Evet","Hayır"))</f>
        <v/>
      </c>
      <c r="AU785" s="26">
        <f>IF(G785="","",IF(AB785="Siparişinizin Montajı Yapıldı","Evet","Hayır"))</f>
        <v/>
      </c>
      <c r="AV785" s="27">
        <f>IF(G785="","",IF(AT785="Evet",AR785,IF(AU785="Evet",AP785,"")))</f>
        <v/>
      </c>
    </row>
    <row r="786">
      <c r="A786" s="23" t="n"/>
      <c r="B786" s="23" t="n"/>
      <c r="C786" s="23" t="n"/>
      <c r="D786" s="23" t="n"/>
      <c r="E786" s="23" t="n"/>
      <c r="F786" s="23" t="n"/>
      <c r="G786" s="23" t="n"/>
      <c r="H786" s="23" t="n"/>
      <c r="I786" s="23" t="n"/>
      <c r="J786" s="23" t="n"/>
      <c r="K786" s="23" t="n"/>
      <c r="L786" s="23" t="n"/>
      <c r="M786" s="23" t="n"/>
      <c r="N786" s="23" t="n"/>
      <c r="O786" s="23" t="n"/>
      <c r="P786" s="23" t="n"/>
      <c r="Q786" s="23" t="n"/>
      <c r="R786" s="23" t="n"/>
      <c r="S786" s="23" t="n"/>
      <c r="T786" s="23" t="n"/>
      <c r="U786" s="23" t="n"/>
      <c r="V786" s="23" t="n"/>
      <c r="W786" s="23" t="n"/>
      <c r="X786" s="23" t="n"/>
      <c r="Y786" s="23" t="n"/>
      <c r="Z786" s="23" t="n"/>
      <c r="AA786" s="23" t="n"/>
      <c r="AB786" s="23" t="n"/>
      <c r="AC786" s="23" t="n"/>
      <c r="AD786" s="23" t="n"/>
      <c r="AE786" s="23" t="n"/>
      <c r="AF786" s="23" t="n"/>
      <c r="AG786" s="23" t="n"/>
      <c r="AH786" s="23" t="n"/>
      <c r="AI786" s="23" t="n"/>
      <c r="AJ786" s="23" t="n"/>
      <c r="AK786" s="23" t="n"/>
      <c r="AL786" s="23" t="n"/>
      <c r="AM786" s="26">
        <f>IF(G786="","",G786&amp;"|"&amp;P786)</f>
        <v/>
      </c>
      <c r="AN786" s="27">
        <f>IF(I786="","",IFERROR(DATE(VALUE(RIGHT(I786,4)),VALUE(MID(I786,4,2)),VALUE(LEFT(I786,2))),""))</f>
        <v/>
      </c>
      <c r="AO786" s="27">
        <f>IF(Y786="","",IFERROR(DATE(VALUE(RIGHT(Y786,4)),VALUE(MID(Y786,4,2)),VALUE(LEFT(Y786,2))),""))</f>
        <v/>
      </c>
      <c r="AP786" s="27">
        <f>IF(AC786="","",IFERROR(DATE(VALUE(RIGHT(AC786,4)),VALUE(MID(AC786,4,2)),VALUE(LEFT(AC786,2))),""))</f>
        <v/>
      </c>
      <c r="AQ786" s="26">
        <f>IF(AI786="","",TRIM(LEFT(AI786,FIND(" ",AI786&amp;" ")-1)))</f>
        <v/>
      </c>
      <c r="AR786" s="27">
        <f>IF(AQ786="","",IFERROR(DATE(VALUE(MID(AQ786,FIND("/",AQ786,FIND("/",AQ786)+1)+1,4)),VALUE(LEFT(AQ786,FIND("/",AQ786)-1)),VALUE(MID(AQ786,FIND("/",AQ786)+1,FIND("/",AQ786,FIND("/",AQ786)+1)-FIND("/",AQ786)-1))),""))</f>
        <v/>
      </c>
      <c r="AS786" s="26">
        <f>IF(G786="","",IF(AND(AG786&lt;&gt;"",AG786&lt;&gt;"Bayi Aracı"),"Evet","Hayır"))</f>
        <v/>
      </c>
      <c r="AT786" s="26">
        <f>IF(G786="","",IF(AND(AS786="Evet",T786="Siparişiniz Teslim Edildi"),"Evet","Hayır"))</f>
        <v/>
      </c>
      <c r="AU786" s="26">
        <f>IF(G786="","",IF(AB786="Siparişinizin Montajı Yapıldı","Evet","Hayır"))</f>
        <v/>
      </c>
      <c r="AV786" s="27">
        <f>IF(G786="","",IF(AT786="Evet",AR786,IF(AU786="Evet",AP786,"")))</f>
        <v/>
      </c>
    </row>
    <row r="787">
      <c r="A787" s="23" t="n"/>
      <c r="B787" s="23" t="n"/>
      <c r="C787" s="23" t="n"/>
      <c r="D787" s="23" t="n"/>
      <c r="E787" s="23" t="n"/>
      <c r="F787" s="23" t="n"/>
      <c r="G787" s="23" t="n"/>
      <c r="H787" s="23" t="n"/>
      <c r="I787" s="23" t="n"/>
      <c r="J787" s="23" t="n"/>
      <c r="K787" s="23" t="n"/>
      <c r="L787" s="23" t="n"/>
      <c r="M787" s="23" t="n"/>
      <c r="N787" s="23" t="n"/>
      <c r="O787" s="23" t="n"/>
      <c r="P787" s="23" t="n"/>
      <c r="Q787" s="23" t="n"/>
      <c r="R787" s="23" t="n"/>
      <c r="S787" s="23" t="n"/>
      <c r="T787" s="23" t="n"/>
      <c r="U787" s="23" t="n"/>
      <c r="V787" s="23" t="n"/>
      <c r="W787" s="23" t="n"/>
      <c r="X787" s="23" t="n"/>
      <c r="Y787" s="23" t="n"/>
      <c r="Z787" s="23" t="n"/>
      <c r="AA787" s="23" t="n"/>
      <c r="AB787" s="23" t="n"/>
      <c r="AC787" s="23" t="n"/>
      <c r="AD787" s="23" t="n"/>
      <c r="AE787" s="23" t="n"/>
      <c r="AF787" s="23" t="n"/>
      <c r="AG787" s="23" t="n"/>
      <c r="AH787" s="23" t="n"/>
      <c r="AI787" s="23" t="n"/>
      <c r="AJ787" s="23" t="n"/>
      <c r="AK787" s="23" t="n"/>
      <c r="AL787" s="23" t="n"/>
      <c r="AM787" s="26">
        <f>IF(G787="","",G787&amp;"|"&amp;P787)</f>
        <v/>
      </c>
      <c r="AN787" s="27">
        <f>IF(I787="","",IFERROR(DATE(VALUE(RIGHT(I787,4)),VALUE(MID(I787,4,2)),VALUE(LEFT(I787,2))),""))</f>
        <v/>
      </c>
      <c r="AO787" s="27">
        <f>IF(Y787="","",IFERROR(DATE(VALUE(RIGHT(Y787,4)),VALUE(MID(Y787,4,2)),VALUE(LEFT(Y787,2))),""))</f>
        <v/>
      </c>
      <c r="AP787" s="27">
        <f>IF(AC787="","",IFERROR(DATE(VALUE(RIGHT(AC787,4)),VALUE(MID(AC787,4,2)),VALUE(LEFT(AC787,2))),""))</f>
        <v/>
      </c>
      <c r="AQ787" s="26">
        <f>IF(AI787="","",TRIM(LEFT(AI787,FIND(" ",AI787&amp;" ")-1)))</f>
        <v/>
      </c>
      <c r="AR787" s="27">
        <f>IF(AQ787="","",IFERROR(DATE(VALUE(MID(AQ787,FIND("/",AQ787,FIND("/",AQ787)+1)+1,4)),VALUE(LEFT(AQ787,FIND("/",AQ787)-1)),VALUE(MID(AQ787,FIND("/",AQ787)+1,FIND("/",AQ787,FIND("/",AQ787)+1)-FIND("/",AQ787)-1))),""))</f>
        <v/>
      </c>
      <c r="AS787" s="26">
        <f>IF(G787="","",IF(AND(AG787&lt;&gt;"",AG787&lt;&gt;"Bayi Aracı"),"Evet","Hayır"))</f>
        <v/>
      </c>
      <c r="AT787" s="26">
        <f>IF(G787="","",IF(AND(AS787="Evet",T787="Siparişiniz Teslim Edildi"),"Evet","Hayır"))</f>
        <v/>
      </c>
      <c r="AU787" s="26">
        <f>IF(G787="","",IF(AB787="Siparişinizin Montajı Yapıldı","Evet","Hayır"))</f>
        <v/>
      </c>
      <c r="AV787" s="27">
        <f>IF(G787="","",IF(AT787="Evet",AR787,IF(AU787="Evet",AP787,"")))</f>
        <v/>
      </c>
    </row>
    <row r="788">
      <c r="A788" s="23" t="n"/>
      <c r="B788" s="23" t="n"/>
      <c r="C788" s="23" t="n"/>
      <c r="D788" s="23" t="n"/>
      <c r="E788" s="23" t="n"/>
      <c r="F788" s="23" t="n"/>
      <c r="G788" s="23" t="n"/>
      <c r="H788" s="23" t="n"/>
      <c r="I788" s="23" t="n"/>
      <c r="J788" s="23" t="n"/>
      <c r="K788" s="23" t="n"/>
      <c r="L788" s="23" t="n"/>
      <c r="M788" s="23" t="n"/>
      <c r="N788" s="23" t="n"/>
      <c r="O788" s="23" t="n"/>
      <c r="P788" s="23" t="n"/>
      <c r="Q788" s="23" t="n"/>
      <c r="R788" s="23" t="n"/>
      <c r="S788" s="23" t="n"/>
      <c r="T788" s="23" t="n"/>
      <c r="U788" s="23" t="n"/>
      <c r="V788" s="23" t="n"/>
      <c r="W788" s="23" t="n"/>
      <c r="X788" s="23" t="n"/>
      <c r="Y788" s="23" t="n"/>
      <c r="Z788" s="23" t="n"/>
      <c r="AA788" s="23" t="n"/>
      <c r="AB788" s="23" t="n"/>
      <c r="AC788" s="23" t="n"/>
      <c r="AD788" s="23" t="n"/>
      <c r="AE788" s="23" t="n"/>
      <c r="AF788" s="23" t="n"/>
      <c r="AG788" s="23" t="n"/>
      <c r="AH788" s="23" t="n"/>
      <c r="AI788" s="23" t="n"/>
      <c r="AJ788" s="23" t="n"/>
      <c r="AK788" s="23" t="n"/>
      <c r="AL788" s="23" t="n"/>
      <c r="AM788" s="26">
        <f>IF(G788="","",G788&amp;"|"&amp;P788)</f>
        <v/>
      </c>
      <c r="AN788" s="27">
        <f>IF(I788="","",IFERROR(DATE(VALUE(RIGHT(I788,4)),VALUE(MID(I788,4,2)),VALUE(LEFT(I788,2))),""))</f>
        <v/>
      </c>
      <c r="AO788" s="27">
        <f>IF(Y788="","",IFERROR(DATE(VALUE(RIGHT(Y788,4)),VALUE(MID(Y788,4,2)),VALUE(LEFT(Y788,2))),""))</f>
        <v/>
      </c>
      <c r="AP788" s="27">
        <f>IF(AC788="","",IFERROR(DATE(VALUE(RIGHT(AC788,4)),VALUE(MID(AC788,4,2)),VALUE(LEFT(AC788,2))),""))</f>
        <v/>
      </c>
      <c r="AQ788" s="26">
        <f>IF(AI788="","",TRIM(LEFT(AI788,FIND(" ",AI788&amp;" ")-1)))</f>
        <v/>
      </c>
      <c r="AR788" s="27">
        <f>IF(AQ788="","",IFERROR(DATE(VALUE(MID(AQ788,FIND("/",AQ788,FIND("/",AQ788)+1)+1,4)),VALUE(LEFT(AQ788,FIND("/",AQ788)-1)),VALUE(MID(AQ788,FIND("/",AQ788)+1,FIND("/",AQ788,FIND("/",AQ788)+1)-FIND("/",AQ788)-1))),""))</f>
        <v/>
      </c>
      <c r="AS788" s="26">
        <f>IF(G788="","",IF(AND(AG788&lt;&gt;"",AG788&lt;&gt;"Bayi Aracı"),"Evet","Hayır"))</f>
        <v/>
      </c>
      <c r="AT788" s="26">
        <f>IF(G788="","",IF(AND(AS788="Evet",T788="Siparişiniz Teslim Edildi"),"Evet","Hayır"))</f>
        <v/>
      </c>
      <c r="AU788" s="26">
        <f>IF(G788="","",IF(AB788="Siparişinizin Montajı Yapıldı","Evet","Hayır"))</f>
        <v/>
      </c>
      <c r="AV788" s="27">
        <f>IF(G788="","",IF(AT788="Evet",AR788,IF(AU788="Evet",AP788,"")))</f>
        <v/>
      </c>
    </row>
    <row r="789">
      <c r="A789" s="23" t="n"/>
      <c r="B789" s="23" t="n"/>
      <c r="C789" s="23" t="n"/>
      <c r="D789" s="23" t="n"/>
      <c r="E789" s="23" t="n"/>
      <c r="F789" s="23" t="n"/>
      <c r="G789" s="23" t="n"/>
      <c r="H789" s="23" t="n"/>
      <c r="I789" s="23" t="n"/>
      <c r="J789" s="23" t="n"/>
      <c r="K789" s="23" t="n"/>
      <c r="L789" s="23" t="n"/>
      <c r="M789" s="23" t="n"/>
      <c r="N789" s="23" t="n"/>
      <c r="O789" s="23" t="n"/>
      <c r="P789" s="23" t="n"/>
      <c r="Q789" s="23" t="n"/>
      <c r="R789" s="23" t="n"/>
      <c r="S789" s="23" t="n"/>
      <c r="T789" s="23" t="n"/>
      <c r="U789" s="23" t="n"/>
      <c r="V789" s="23" t="n"/>
      <c r="W789" s="23" t="n"/>
      <c r="X789" s="23" t="n"/>
      <c r="Y789" s="23" t="n"/>
      <c r="Z789" s="23" t="n"/>
      <c r="AA789" s="23" t="n"/>
      <c r="AB789" s="23" t="n"/>
      <c r="AC789" s="23" t="n"/>
      <c r="AD789" s="23" t="n"/>
      <c r="AE789" s="23" t="n"/>
      <c r="AF789" s="23" t="n"/>
      <c r="AG789" s="23" t="n"/>
      <c r="AH789" s="23" t="n"/>
      <c r="AI789" s="23" t="n"/>
      <c r="AJ789" s="23" t="n"/>
      <c r="AK789" s="23" t="n"/>
      <c r="AL789" s="23" t="n"/>
      <c r="AM789" s="26">
        <f>IF(G789="","",G789&amp;"|"&amp;P789)</f>
        <v/>
      </c>
      <c r="AN789" s="27">
        <f>IF(I789="","",IFERROR(DATE(VALUE(RIGHT(I789,4)),VALUE(MID(I789,4,2)),VALUE(LEFT(I789,2))),""))</f>
        <v/>
      </c>
      <c r="AO789" s="27">
        <f>IF(Y789="","",IFERROR(DATE(VALUE(RIGHT(Y789,4)),VALUE(MID(Y789,4,2)),VALUE(LEFT(Y789,2))),""))</f>
        <v/>
      </c>
      <c r="AP789" s="27">
        <f>IF(AC789="","",IFERROR(DATE(VALUE(RIGHT(AC789,4)),VALUE(MID(AC789,4,2)),VALUE(LEFT(AC789,2))),""))</f>
        <v/>
      </c>
      <c r="AQ789" s="26">
        <f>IF(AI789="","",TRIM(LEFT(AI789,FIND(" ",AI789&amp;" ")-1)))</f>
        <v/>
      </c>
      <c r="AR789" s="27">
        <f>IF(AQ789="","",IFERROR(DATE(VALUE(MID(AQ789,FIND("/",AQ789,FIND("/",AQ789)+1)+1,4)),VALUE(LEFT(AQ789,FIND("/",AQ789)-1)),VALUE(MID(AQ789,FIND("/",AQ789)+1,FIND("/",AQ789,FIND("/",AQ789)+1)-FIND("/",AQ789)-1))),""))</f>
        <v/>
      </c>
      <c r="AS789" s="26">
        <f>IF(G789="","",IF(AND(AG789&lt;&gt;"",AG789&lt;&gt;"Bayi Aracı"),"Evet","Hayır"))</f>
        <v/>
      </c>
      <c r="AT789" s="26">
        <f>IF(G789="","",IF(AND(AS789="Evet",T789="Siparişiniz Teslim Edildi"),"Evet","Hayır"))</f>
        <v/>
      </c>
      <c r="AU789" s="26">
        <f>IF(G789="","",IF(AB789="Siparişinizin Montajı Yapıldı","Evet","Hayır"))</f>
        <v/>
      </c>
      <c r="AV789" s="27">
        <f>IF(G789="","",IF(AT789="Evet",AR789,IF(AU789="Evet",AP789,"")))</f>
        <v/>
      </c>
    </row>
    <row r="790">
      <c r="A790" s="23" t="n"/>
      <c r="B790" s="23" t="n"/>
      <c r="C790" s="23" t="n"/>
      <c r="D790" s="23" t="n"/>
      <c r="E790" s="23" t="n"/>
      <c r="F790" s="23" t="n"/>
      <c r="G790" s="23" t="n"/>
      <c r="H790" s="23" t="n"/>
      <c r="I790" s="23" t="n"/>
      <c r="J790" s="23" t="n"/>
      <c r="K790" s="23" t="n"/>
      <c r="L790" s="23" t="n"/>
      <c r="M790" s="23" t="n"/>
      <c r="N790" s="23" t="n"/>
      <c r="O790" s="23" t="n"/>
      <c r="P790" s="23" t="n"/>
      <c r="Q790" s="23" t="n"/>
      <c r="R790" s="23" t="n"/>
      <c r="S790" s="23" t="n"/>
      <c r="T790" s="23" t="n"/>
      <c r="U790" s="23" t="n"/>
      <c r="V790" s="23" t="n"/>
      <c r="W790" s="23" t="n"/>
      <c r="X790" s="23" t="n"/>
      <c r="Y790" s="23" t="n"/>
      <c r="Z790" s="23" t="n"/>
      <c r="AA790" s="23" t="n"/>
      <c r="AB790" s="23" t="n"/>
      <c r="AC790" s="23" t="n"/>
      <c r="AD790" s="23" t="n"/>
      <c r="AE790" s="23" t="n"/>
      <c r="AF790" s="23" t="n"/>
      <c r="AG790" s="23" t="n"/>
      <c r="AH790" s="23" t="n"/>
      <c r="AI790" s="23" t="n"/>
      <c r="AJ790" s="23" t="n"/>
      <c r="AK790" s="23" t="n"/>
      <c r="AL790" s="23" t="n"/>
      <c r="AM790" s="26">
        <f>IF(G790="","",G790&amp;"|"&amp;P790)</f>
        <v/>
      </c>
      <c r="AN790" s="27">
        <f>IF(I790="","",IFERROR(DATE(VALUE(RIGHT(I790,4)),VALUE(MID(I790,4,2)),VALUE(LEFT(I790,2))),""))</f>
        <v/>
      </c>
      <c r="AO790" s="27">
        <f>IF(Y790="","",IFERROR(DATE(VALUE(RIGHT(Y790,4)),VALUE(MID(Y790,4,2)),VALUE(LEFT(Y790,2))),""))</f>
        <v/>
      </c>
      <c r="AP790" s="27">
        <f>IF(AC790="","",IFERROR(DATE(VALUE(RIGHT(AC790,4)),VALUE(MID(AC790,4,2)),VALUE(LEFT(AC790,2))),""))</f>
        <v/>
      </c>
      <c r="AQ790" s="26">
        <f>IF(AI790="","",TRIM(LEFT(AI790,FIND(" ",AI790&amp;" ")-1)))</f>
        <v/>
      </c>
      <c r="AR790" s="27">
        <f>IF(AQ790="","",IFERROR(DATE(VALUE(MID(AQ790,FIND("/",AQ790,FIND("/",AQ790)+1)+1,4)),VALUE(LEFT(AQ790,FIND("/",AQ790)-1)),VALUE(MID(AQ790,FIND("/",AQ790)+1,FIND("/",AQ790,FIND("/",AQ790)+1)-FIND("/",AQ790)-1))),""))</f>
        <v/>
      </c>
      <c r="AS790" s="26">
        <f>IF(G790="","",IF(AND(AG790&lt;&gt;"",AG790&lt;&gt;"Bayi Aracı"),"Evet","Hayır"))</f>
        <v/>
      </c>
      <c r="AT790" s="26">
        <f>IF(G790="","",IF(AND(AS790="Evet",T790="Siparişiniz Teslim Edildi"),"Evet","Hayır"))</f>
        <v/>
      </c>
      <c r="AU790" s="26">
        <f>IF(G790="","",IF(AB790="Siparişinizin Montajı Yapıldı","Evet","Hayır"))</f>
        <v/>
      </c>
      <c r="AV790" s="27">
        <f>IF(G790="","",IF(AT790="Evet",AR790,IF(AU790="Evet",AP790,"")))</f>
        <v/>
      </c>
    </row>
    <row r="791">
      <c r="A791" s="23" t="n"/>
      <c r="B791" s="23" t="n"/>
      <c r="C791" s="23" t="n"/>
      <c r="D791" s="23" t="n"/>
      <c r="E791" s="23" t="n"/>
      <c r="F791" s="23" t="n"/>
      <c r="G791" s="23" t="n"/>
      <c r="H791" s="23" t="n"/>
      <c r="I791" s="23" t="n"/>
      <c r="J791" s="23" t="n"/>
      <c r="K791" s="23" t="n"/>
      <c r="L791" s="23" t="n"/>
      <c r="M791" s="23" t="n"/>
      <c r="N791" s="23" t="n"/>
      <c r="O791" s="23" t="n"/>
      <c r="P791" s="23" t="n"/>
      <c r="Q791" s="23" t="n"/>
      <c r="R791" s="23" t="n"/>
      <c r="S791" s="23" t="n"/>
      <c r="T791" s="23" t="n"/>
      <c r="U791" s="23" t="n"/>
      <c r="V791" s="23" t="n"/>
      <c r="W791" s="23" t="n"/>
      <c r="X791" s="23" t="n"/>
      <c r="Y791" s="23" t="n"/>
      <c r="Z791" s="23" t="n"/>
      <c r="AA791" s="23" t="n"/>
      <c r="AB791" s="23" t="n"/>
      <c r="AC791" s="23" t="n"/>
      <c r="AD791" s="23" t="n"/>
      <c r="AE791" s="23" t="n"/>
      <c r="AF791" s="23" t="n"/>
      <c r="AG791" s="23" t="n"/>
      <c r="AH791" s="23" t="n"/>
      <c r="AI791" s="23" t="n"/>
      <c r="AJ791" s="23" t="n"/>
      <c r="AK791" s="23" t="n"/>
      <c r="AL791" s="23" t="n"/>
      <c r="AM791" s="26">
        <f>IF(G791="","",G791&amp;"|"&amp;P791)</f>
        <v/>
      </c>
      <c r="AN791" s="27">
        <f>IF(I791="","",IFERROR(DATE(VALUE(RIGHT(I791,4)),VALUE(MID(I791,4,2)),VALUE(LEFT(I791,2))),""))</f>
        <v/>
      </c>
      <c r="AO791" s="27">
        <f>IF(Y791="","",IFERROR(DATE(VALUE(RIGHT(Y791,4)),VALUE(MID(Y791,4,2)),VALUE(LEFT(Y791,2))),""))</f>
        <v/>
      </c>
      <c r="AP791" s="27">
        <f>IF(AC791="","",IFERROR(DATE(VALUE(RIGHT(AC791,4)),VALUE(MID(AC791,4,2)),VALUE(LEFT(AC791,2))),""))</f>
        <v/>
      </c>
      <c r="AQ791" s="26">
        <f>IF(AI791="","",TRIM(LEFT(AI791,FIND(" ",AI791&amp;" ")-1)))</f>
        <v/>
      </c>
      <c r="AR791" s="27">
        <f>IF(AQ791="","",IFERROR(DATE(VALUE(MID(AQ791,FIND("/",AQ791,FIND("/",AQ791)+1)+1,4)),VALUE(LEFT(AQ791,FIND("/",AQ791)-1)),VALUE(MID(AQ791,FIND("/",AQ791)+1,FIND("/",AQ791,FIND("/",AQ791)+1)-FIND("/",AQ791)-1))),""))</f>
        <v/>
      </c>
      <c r="AS791" s="26">
        <f>IF(G791="","",IF(AND(AG791&lt;&gt;"",AG791&lt;&gt;"Bayi Aracı"),"Evet","Hayır"))</f>
        <v/>
      </c>
      <c r="AT791" s="26">
        <f>IF(G791="","",IF(AND(AS791="Evet",T791="Siparişiniz Teslim Edildi"),"Evet","Hayır"))</f>
        <v/>
      </c>
      <c r="AU791" s="26">
        <f>IF(G791="","",IF(AB791="Siparişinizin Montajı Yapıldı","Evet","Hayır"))</f>
        <v/>
      </c>
      <c r="AV791" s="27">
        <f>IF(G791="","",IF(AT791="Evet",AR791,IF(AU791="Evet",AP791,"")))</f>
        <v/>
      </c>
    </row>
    <row r="792">
      <c r="A792" s="23" t="n"/>
      <c r="B792" s="23" t="n"/>
      <c r="C792" s="23" t="n"/>
      <c r="D792" s="23" t="n"/>
      <c r="E792" s="23" t="n"/>
      <c r="F792" s="23" t="n"/>
      <c r="G792" s="23" t="n"/>
      <c r="H792" s="23" t="n"/>
      <c r="I792" s="23" t="n"/>
      <c r="J792" s="23" t="n"/>
      <c r="K792" s="23" t="n"/>
      <c r="L792" s="23" t="n"/>
      <c r="M792" s="23" t="n"/>
      <c r="N792" s="23" t="n"/>
      <c r="O792" s="23" t="n"/>
      <c r="P792" s="23" t="n"/>
      <c r="Q792" s="23" t="n"/>
      <c r="R792" s="23" t="n"/>
      <c r="S792" s="23" t="n"/>
      <c r="T792" s="23" t="n"/>
      <c r="U792" s="23" t="n"/>
      <c r="V792" s="23" t="n"/>
      <c r="W792" s="23" t="n"/>
      <c r="X792" s="23" t="n"/>
      <c r="Y792" s="23" t="n"/>
      <c r="Z792" s="23" t="n"/>
      <c r="AA792" s="23" t="n"/>
      <c r="AB792" s="23" t="n"/>
      <c r="AC792" s="23" t="n"/>
      <c r="AD792" s="23" t="n"/>
      <c r="AE792" s="23" t="n"/>
      <c r="AF792" s="23" t="n"/>
      <c r="AG792" s="23" t="n"/>
      <c r="AH792" s="23" t="n"/>
      <c r="AI792" s="23" t="n"/>
      <c r="AJ792" s="23" t="n"/>
      <c r="AK792" s="23" t="n"/>
      <c r="AL792" s="23" t="n"/>
      <c r="AM792" s="26">
        <f>IF(G792="","",G792&amp;"|"&amp;P792)</f>
        <v/>
      </c>
      <c r="AN792" s="27">
        <f>IF(I792="","",IFERROR(DATE(VALUE(RIGHT(I792,4)),VALUE(MID(I792,4,2)),VALUE(LEFT(I792,2))),""))</f>
        <v/>
      </c>
      <c r="AO792" s="27">
        <f>IF(Y792="","",IFERROR(DATE(VALUE(RIGHT(Y792,4)),VALUE(MID(Y792,4,2)),VALUE(LEFT(Y792,2))),""))</f>
        <v/>
      </c>
      <c r="AP792" s="27">
        <f>IF(AC792="","",IFERROR(DATE(VALUE(RIGHT(AC792,4)),VALUE(MID(AC792,4,2)),VALUE(LEFT(AC792,2))),""))</f>
        <v/>
      </c>
      <c r="AQ792" s="26">
        <f>IF(AI792="","",TRIM(LEFT(AI792,FIND(" ",AI792&amp;" ")-1)))</f>
        <v/>
      </c>
      <c r="AR792" s="27">
        <f>IF(AQ792="","",IFERROR(DATE(VALUE(MID(AQ792,FIND("/",AQ792,FIND("/",AQ792)+1)+1,4)),VALUE(LEFT(AQ792,FIND("/",AQ792)-1)),VALUE(MID(AQ792,FIND("/",AQ792)+1,FIND("/",AQ792,FIND("/",AQ792)+1)-FIND("/",AQ792)-1))),""))</f>
        <v/>
      </c>
      <c r="AS792" s="26">
        <f>IF(G792="","",IF(AND(AG792&lt;&gt;"",AG792&lt;&gt;"Bayi Aracı"),"Evet","Hayır"))</f>
        <v/>
      </c>
      <c r="AT792" s="26">
        <f>IF(G792="","",IF(AND(AS792="Evet",T792="Siparişiniz Teslim Edildi"),"Evet","Hayır"))</f>
        <v/>
      </c>
      <c r="AU792" s="26">
        <f>IF(G792="","",IF(AB792="Siparişinizin Montajı Yapıldı","Evet","Hayır"))</f>
        <v/>
      </c>
      <c r="AV792" s="27">
        <f>IF(G792="","",IF(AT792="Evet",AR792,IF(AU792="Evet",AP792,"")))</f>
        <v/>
      </c>
    </row>
    <row r="793">
      <c r="A793" s="23" t="n"/>
      <c r="B793" s="23" t="n"/>
      <c r="C793" s="23" t="n"/>
      <c r="D793" s="23" t="n"/>
      <c r="E793" s="23" t="n"/>
      <c r="F793" s="23" t="n"/>
      <c r="G793" s="23" t="n"/>
      <c r="H793" s="23" t="n"/>
      <c r="I793" s="23" t="n"/>
      <c r="J793" s="23" t="n"/>
      <c r="K793" s="23" t="n"/>
      <c r="L793" s="23" t="n"/>
      <c r="M793" s="23" t="n"/>
      <c r="N793" s="23" t="n"/>
      <c r="O793" s="23" t="n"/>
      <c r="P793" s="23" t="n"/>
      <c r="Q793" s="23" t="n"/>
      <c r="R793" s="23" t="n"/>
      <c r="S793" s="23" t="n"/>
      <c r="T793" s="23" t="n"/>
      <c r="U793" s="23" t="n"/>
      <c r="V793" s="23" t="n"/>
      <c r="W793" s="23" t="n"/>
      <c r="X793" s="23" t="n"/>
      <c r="Y793" s="23" t="n"/>
      <c r="Z793" s="23" t="n"/>
      <c r="AA793" s="23" t="n"/>
      <c r="AB793" s="23" t="n"/>
      <c r="AC793" s="23" t="n"/>
      <c r="AD793" s="23" t="n"/>
      <c r="AE793" s="23" t="n"/>
      <c r="AF793" s="23" t="n"/>
      <c r="AG793" s="23" t="n"/>
      <c r="AH793" s="23" t="n"/>
      <c r="AI793" s="23" t="n"/>
      <c r="AJ793" s="23" t="n"/>
      <c r="AK793" s="23" t="n"/>
      <c r="AL793" s="23" t="n"/>
      <c r="AM793" s="26">
        <f>IF(G793="","",G793&amp;"|"&amp;P793)</f>
        <v/>
      </c>
      <c r="AN793" s="27">
        <f>IF(I793="","",IFERROR(DATE(VALUE(RIGHT(I793,4)),VALUE(MID(I793,4,2)),VALUE(LEFT(I793,2))),""))</f>
        <v/>
      </c>
      <c r="AO793" s="27">
        <f>IF(Y793="","",IFERROR(DATE(VALUE(RIGHT(Y793,4)),VALUE(MID(Y793,4,2)),VALUE(LEFT(Y793,2))),""))</f>
        <v/>
      </c>
      <c r="AP793" s="27">
        <f>IF(AC793="","",IFERROR(DATE(VALUE(RIGHT(AC793,4)),VALUE(MID(AC793,4,2)),VALUE(LEFT(AC793,2))),""))</f>
        <v/>
      </c>
      <c r="AQ793" s="26">
        <f>IF(AI793="","",TRIM(LEFT(AI793,FIND(" ",AI793&amp;" ")-1)))</f>
        <v/>
      </c>
      <c r="AR793" s="27">
        <f>IF(AQ793="","",IFERROR(DATE(VALUE(MID(AQ793,FIND("/",AQ793,FIND("/",AQ793)+1)+1,4)),VALUE(LEFT(AQ793,FIND("/",AQ793)-1)),VALUE(MID(AQ793,FIND("/",AQ793)+1,FIND("/",AQ793,FIND("/",AQ793)+1)-FIND("/",AQ793)-1))),""))</f>
        <v/>
      </c>
      <c r="AS793" s="26">
        <f>IF(G793="","",IF(AND(AG793&lt;&gt;"",AG793&lt;&gt;"Bayi Aracı"),"Evet","Hayır"))</f>
        <v/>
      </c>
      <c r="AT793" s="26">
        <f>IF(G793="","",IF(AND(AS793="Evet",T793="Siparişiniz Teslim Edildi"),"Evet","Hayır"))</f>
        <v/>
      </c>
      <c r="AU793" s="26">
        <f>IF(G793="","",IF(AB793="Siparişinizin Montajı Yapıldı","Evet","Hayır"))</f>
        <v/>
      </c>
      <c r="AV793" s="27">
        <f>IF(G793="","",IF(AT793="Evet",AR793,IF(AU793="Evet",AP793,"")))</f>
        <v/>
      </c>
    </row>
    <row r="794">
      <c r="A794" s="23" t="n"/>
      <c r="B794" s="23" t="n"/>
      <c r="C794" s="23" t="n"/>
      <c r="D794" s="23" t="n"/>
      <c r="E794" s="23" t="n"/>
      <c r="F794" s="23" t="n"/>
      <c r="G794" s="23" t="n"/>
      <c r="H794" s="23" t="n"/>
      <c r="I794" s="23" t="n"/>
      <c r="J794" s="23" t="n"/>
      <c r="K794" s="23" t="n"/>
      <c r="L794" s="23" t="n"/>
      <c r="M794" s="23" t="n"/>
      <c r="N794" s="23" t="n"/>
      <c r="O794" s="23" t="n"/>
      <c r="P794" s="23" t="n"/>
      <c r="Q794" s="23" t="n"/>
      <c r="R794" s="23" t="n"/>
      <c r="S794" s="23" t="n"/>
      <c r="T794" s="23" t="n"/>
      <c r="U794" s="23" t="n"/>
      <c r="V794" s="23" t="n"/>
      <c r="W794" s="23" t="n"/>
      <c r="X794" s="23" t="n"/>
      <c r="Y794" s="23" t="n"/>
      <c r="Z794" s="23" t="n"/>
      <c r="AA794" s="23" t="n"/>
      <c r="AB794" s="23" t="n"/>
      <c r="AC794" s="23" t="n"/>
      <c r="AD794" s="23" t="n"/>
      <c r="AE794" s="23" t="n"/>
      <c r="AF794" s="23" t="n"/>
      <c r="AG794" s="23" t="n"/>
      <c r="AH794" s="23" t="n"/>
      <c r="AI794" s="23" t="n"/>
      <c r="AJ794" s="23" t="n"/>
      <c r="AK794" s="23" t="n"/>
      <c r="AL794" s="23" t="n"/>
      <c r="AM794" s="26">
        <f>IF(G794="","",G794&amp;"|"&amp;P794)</f>
        <v/>
      </c>
      <c r="AN794" s="27">
        <f>IF(I794="","",IFERROR(DATE(VALUE(RIGHT(I794,4)),VALUE(MID(I794,4,2)),VALUE(LEFT(I794,2))),""))</f>
        <v/>
      </c>
      <c r="AO794" s="27">
        <f>IF(Y794="","",IFERROR(DATE(VALUE(RIGHT(Y794,4)),VALUE(MID(Y794,4,2)),VALUE(LEFT(Y794,2))),""))</f>
        <v/>
      </c>
      <c r="AP794" s="27">
        <f>IF(AC794="","",IFERROR(DATE(VALUE(RIGHT(AC794,4)),VALUE(MID(AC794,4,2)),VALUE(LEFT(AC794,2))),""))</f>
        <v/>
      </c>
      <c r="AQ794" s="26">
        <f>IF(AI794="","",TRIM(LEFT(AI794,FIND(" ",AI794&amp;" ")-1)))</f>
        <v/>
      </c>
      <c r="AR794" s="27">
        <f>IF(AQ794="","",IFERROR(DATE(VALUE(MID(AQ794,FIND("/",AQ794,FIND("/",AQ794)+1)+1,4)),VALUE(LEFT(AQ794,FIND("/",AQ794)-1)),VALUE(MID(AQ794,FIND("/",AQ794)+1,FIND("/",AQ794,FIND("/",AQ794)+1)-FIND("/",AQ794)-1))),""))</f>
        <v/>
      </c>
      <c r="AS794" s="26">
        <f>IF(G794="","",IF(AND(AG794&lt;&gt;"",AG794&lt;&gt;"Bayi Aracı"),"Evet","Hayır"))</f>
        <v/>
      </c>
      <c r="AT794" s="26">
        <f>IF(G794="","",IF(AND(AS794="Evet",T794="Siparişiniz Teslim Edildi"),"Evet","Hayır"))</f>
        <v/>
      </c>
      <c r="AU794" s="26">
        <f>IF(G794="","",IF(AB794="Siparişinizin Montajı Yapıldı","Evet","Hayır"))</f>
        <v/>
      </c>
      <c r="AV794" s="27">
        <f>IF(G794="","",IF(AT794="Evet",AR794,IF(AU794="Evet",AP794,"")))</f>
        <v/>
      </c>
    </row>
    <row r="795">
      <c r="A795" s="23" t="n"/>
      <c r="B795" s="23" t="n"/>
      <c r="C795" s="23" t="n"/>
      <c r="D795" s="23" t="n"/>
      <c r="E795" s="23" t="n"/>
      <c r="F795" s="23" t="n"/>
      <c r="G795" s="23" t="n"/>
      <c r="H795" s="23" t="n"/>
      <c r="I795" s="23" t="n"/>
      <c r="J795" s="23" t="n"/>
      <c r="K795" s="23" t="n"/>
      <c r="L795" s="23" t="n"/>
      <c r="M795" s="23" t="n"/>
      <c r="N795" s="23" t="n"/>
      <c r="O795" s="23" t="n"/>
      <c r="P795" s="23" t="n"/>
      <c r="Q795" s="23" t="n"/>
      <c r="R795" s="23" t="n"/>
      <c r="S795" s="23" t="n"/>
      <c r="T795" s="23" t="n"/>
      <c r="U795" s="23" t="n"/>
      <c r="V795" s="23" t="n"/>
      <c r="W795" s="23" t="n"/>
      <c r="X795" s="23" t="n"/>
      <c r="Y795" s="23" t="n"/>
      <c r="Z795" s="23" t="n"/>
      <c r="AA795" s="23" t="n"/>
      <c r="AB795" s="23" t="n"/>
      <c r="AC795" s="23" t="n"/>
      <c r="AD795" s="23" t="n"/>
      <c r="AE795" s="23" t="n"/>
      <c r="AF795" s="23" t="n"/>
      <c r="AG795" s="23" t="n"/>
      <c r="AH795" s="23" t="n"/>
      <c r="AI795" s="23" t="n"/>
      <c r="AJ795" s="23" t="n"/>
      <c r="AK795" s="23" t="n"/>
      <c r="AL795" s="23" t="n"/>
      <c r="AM795" s="26">
        <f>IF(G795="","",G795&amp;"|"&amp;P795)</f>
        <v/>
      </c>
      <c r="AN795" s="27">
        <f>IF(I795="","",IFERROR(DATE(VALUE(RIGHT(I795,4)),VALUE(MID(I795,4,2)),VALUE(LEFT(I795,2))),""))</f>
        <v/>
      </c>
      <c r="AO795" s="27">
        <f>IF(Y795="","",IFERROR(DATE(VALUE(RIGHT(Y795,4)),VALUE(MID(Y795,4,2)),VALUE(LEFT(Y795,2))),""))</f>
        <v/>
      </c>
      <c r="AP795" s="27">
        <f>IF(AC795="","",IFERROR(DATE(VALUE(RIGHT(AC795,4)),VALUE(MID(AC795,4,2)),VALUE(LEFT(AC795,2))),""))</f>
        <v/>
      </c>
      <c r="AQ795" s="26">
        <f>IF(AI795="","",TRIM(LEFT(AI795,FIND(" ",AI795&amp;" ")-1)))</f>
        <v/>
      </c>
      <c r="AR795" s="27">
        <f>IF(AQ795="","",IFERROR(DATE(VALUE(MID(AQ795,FIND("/",AQ795,FIND("/",AQ795)+1)+1,4)),VALUE(LEFT(AQ795,FIND("/",AQ795)-1)),VALUE(MID(AQ795,FIND("/",AQ795)+1,FIND("/",AQ795,FIND("/",AQ795)+1)-FIND("/",AQ795)-1))),""))</f>
        <v/>
      </c>
      <c r="AS795" s="26">
        <f>IF(G795="","",IF(AND(AG795&lt;&gt;"",AG795&lt;&gt;"Bayi Aracı"),"Evet","Hayır"))</f>
        <v/>
      </c>
      <c r="AT795" s="26">
        <f>IF(G795="","",IF(AND(AS795="Evet",T795="Siparişiniz Teslim Edildi"),"Evet","Hayır"))</f>
        <v/>
      </c>
      <c r="AU795" s="26">
        <f>IF(G795="","",IF(AB795="Siparişinizin Montajı Yapıldı","Evet","Hayır"))</f>
        <v/>
      </c>
      <c r="AV795" s="27">
        <f>IF(G795="","",IF(AT795="Evet",AR795,IF(AU795="Evet",AP795,"")))</f>
        <v/>
      </c>
    </row>
    <row r="796">
      <c r="A796" s="23" t="n"/>
      <c r="B796" s="23" t="n"/>
      <c r="C796" s="23" t="n"/>
      <c r="D796" s="23" t="n"/>
      <c r="E796" s="23" t="n"/>
      <c r="F796" s="23" t="n"/>
      <c r="G796" s="23" t="n"/>
      <c r="H796" s="23" t="n"/>
      <c r="I796" s="23" t="n"/>
      <c r="J796" s="23" t="n"/>
      <c r="K796" s="23" t="n"/>
      <c r="L796" s="23" t="n"/>
      <c r="M796" s="23" t="n"/>
      <c r="N796" s="23" t="n"/>
      <c r="O796" s="23" t="n"/>
      <c r="P796" s="23" t="n"/>
      <c r="Q796" s="23" t="n"/>
      <c r="R796" s="23" t="n"/>
      <c r="S796" s="23" t="n"/>
      <c r="T796" s="23" t="n"/>
      <c r="U796" s="23" t="n"/>
      <c r="V796" s="23" t="n"/>
      <c r="W796" s="23" t="n"/>
      <c r="X796" s="23" t="n"/>
      <c r="Y796" s="23" t="n"/>
      <c r="Z796" s="23" t="n"/>
      <c r="AA796" s="23" t="n"/>
      <c r="AB796" s="23" t="n"/>
      <c r="AC796" s="23" t="n"/>
      <c r="AD796" s="23" t="n"/>
      <c r="AE796" s="23" t="n"/>
      <c r="AF796" s="23" t="n"/>
      <c r="AG796" s="23" t="n"/>
      <c r="AH796" s="23" t="n"/>
      <c r="AI796" s="23" t="n"/>
      <c r="AJ796" s="23" t="n"/>
      <c r="AK796" s="23" t="n"/>
      <c r="AL796" s="23" t="n"/>
      <c r="AM796" s="26">
        <f>IF(G796="","",G796&amp;"|"&amp;P796)</f>
        <v/>
      </c>
      <c r="AN796" s="27">
        <f>IF(I796="","",IFERROR(DATE(VALUE(RIGHT(I796,4)),VALUE(MID(I796,4,2)),VALUE(LEFT(I796,2))),""))</f>
        <v/>
      </c>
      <c r="AO796" s="27">
        <f>IF(Y796="","",IFERROR(DATE(VALUE(RIGHT(Y796,4)),VALUE(MID(Y796,4,2)),VALUE(LEFT(Y796,2))),""))</f>
        <v/>
      </c>
      <c r="AP796" s="27">
        <f>IF(AC796="","",IFERROR(DATE(VALUE(RIGHT(AC796,4)),VALUE(MID(AC796,4,2)),VALUE(LEFT(AC796,2))),""))</f>
        <v/>
      </c>
      <c r="AQ796" s="26">
        <f>IF(AI796="","",TRIM(LEFT(AI796,FIND(" ",AI796&amp;" ")-1)))</f>
        <v/>
      </c>
      <c r="AR796" s="27">
        <f>IF(AQ796="","",IFERROR(DATE(VALUE(MID(AQ796,FIND("/",AQ796,FIND("/",AQ796)+1)+1,4)),VALUE(LEFT(AQ796,FIND("/",AQ796)-1)),VALUE(MID(AQ796,FIND("/",AQ796)+1,FIND("/",AQ796,FIND("/",AQ796)+1)-FIND("/",AQ796)-1))),""))</f>
        <v/>
      </c>
      <c r="AS796" s="26">
        <f>IF(G796="","",IF(AND(AG796&lt;&gt;"",AG796&lt;&gt;"Bayi Aracı"),"Evet","Hayır"))</f>
        <v/>
      </c>
      <c r="AT796" s="26">
        <f>IF(G796="","",IF(AND(AS796="Evet",T796="Siparişiniz Teslim Edildi"),"Evet","Hayır"))</f>
        <v/>
      </c>
      <c r="AU796" s="26">
        <f>IF(G796="","",IF(AB796="Siparişinizin Montajı Yapıldı","Evet","Hayır"))</f>
        <v/>
      </c>
      <c r="AV796" s="27">
        <f>IF(G796="","",IF(AT796="Evet",AR796,IF(AU796="Evet",AP796,"")))</f>
        <v/>
      </c>
    </row>
    <row r="797">
      <c r="A797" s="23" t="n"/>
      <c r="B797" s="23" t="n"/>
      <c r="C797" s="23" t="n"/>
      <c r="D797" s="23" t="n"/>
      <c r="E797" s="23" t="n"/>
      <c r="F797" s="23" t="n"/>
      <c r="G797" s="23" t="n"/>
      <c r="H797" s="23" t="n"/>
      <c r="I797" s="23" t="n"/>
      <c r="J797" s="23" t="n"/>
      <c r="K797" s="23" t="n"/>
      <c r="L797" s="23" t="n"/>
      <c r="M797" s="23" t="n"/>
      <c r="N797" s="23" t="n"/>
      <c r="O797" s="23" t="n"/>
      <c r="P797" s="23" t="n"/>
      <c r="Q797" s="23" t="n"/>
      <c r="R797" s="23" t="n"/>
      <c r="S797" s="23" t="n"/>
      <c r="T797" s="23" t="n"/>
      <c r="U797" s="23" t="n"/>
      <c r="V797" s="23" t="n"/>
      <c r="W797" s="23" t="n"/>
      <c r="X797" s="23" t="n"/>
      <c r="Y797" s="23" t="n"/>
      <c r="Z797" s="23" t="n"/>
      <c r="AA797" s="23" t="n"/>
      <c r="AB797" s="23" t="n"/>
      <c r="AC797" s="23" t="n"/>
      <c r="AD797" s="23" t="n"/>
      <c r="AE797" s="23" t="n"/>
      <c r="AF797" s="23" t="n"/>
      <c r="AG797" s="23" t="n"/>
      <c r="AH797" s="23" t="n"/>
      <c r="AI797" s="23" t="n"/>
      <c r="AJ797" s="23" t="n"/>
      <c r="AK797" s="23" t="n"/>
      <c r="AL797" s="23" t="n"/>
      <c r="AM797" s="26">
        <f>IF(G797="","",G797&amp;"|"&amp;P797)</f>
        <v/>
      </c>
      <c r="AN797" s="27">
        <f>IF(I797="","",IFERROR(DATE(VALUE(RIGHT(I797,4)),VALUE(MID(I797,4,2)),VALUE(LEFT(I797,2))),""))</f>
        <v/>
      </c>
      <c r="AO797" s="27">
        <f>IF(Y797="","",IFERROR(DATE(VALUE(RIGHT(Y797,4)),VALUE(MID(Y797,4,2)),VALUE(LEFT(Y797,2))),""))</f>
        <v/>
      </c>
      <c r="AP797" s="27">
        <f>IF(AC797="","",IFERROR(DATE(VALUE(RIGHT(AC797,4)),VALUE(MID(AC797,4,2)),VALUE(LEFT(AC797,2))),""))</f>
        <v/>
      </c>
      <c r="AQ797" s="26">
        <f>IF(AI797="","",TRIM(LEFT(AI797,FIND(" ",AI797&amp;" ")-1)))</f>
        <v/>
      </c>
      <c r="AR797" s="27">
        <f>IF(AQ797="","",IFERROR(DATE(VALUE(MID(AQ797,FIND("/",AQ797,FIND("/",AQ797)+1)+1,4)),VALUE(LEFT(AQ797,FIND("/",AQ797)-1)),VALUE(MID(AQ797,FIND("/",AQ797)+1,FIND("/",AQ797,FIND("/",AQ797)+1)-FIND("/",AQ797)-1))),""))</f>
        <v/>
      </c>
      <c r="AS797" s="26">
        <f>IF(G797="","",IF(AND(AG797&lt;&gt;"",AG797&lt;&gt;"Bayi Aracı"),"Evet","Hayır"))</f>
        <v/>
      </c>
      <c r="AT797" s="26">
        <f>IF(G797="","",IF(AND(AS797="Evet",T797="Siparişiniz Teslim Edildi"),"Evet","Hayır"))</f>
        <v/>
      </c>
      <c r="AU797" s="26">
        <f>IF(G797="","",IF(AB797="Siparişinizin Montajı Yapıldı","Evet","Hayır"))</f>
        <v/>
      </c>
      <c r="AV797" s="27">
        <f>IF(G797="","",IF(AT797="Evet",AR797,IF(AU797="Evet",AP797,"")))</f>
        <v/>
      </c>
    </row>
    <row r="798">
      <c r="A798" s="23" t="n"/>
      <c r="B798" s="23" t="n"/>
      <c r="C798" s="23" t="n"/>
      <c r="D798" s="23" t="n"/>
      <c r="E798" s="23" t="n"/>
      <c r="F798" s="23" t="n"/>
      <c r="G798" s="23" t="n"/>
      <c r="H798" s="23" t="n"/>
      <c r="I798" s="23" t="n"/>
      <c r="J798" s="23" t="n"/>
      <c r="K798" s="23" t="n"/>
      <c r="L798" s="23" t="n"/>
      <c r="M798" s="23" t="n"/>
      <c r="N798" s="23" t="n"/>
      <c r="O798" s="23" t="n"/>
      <c r="P798" s="23" t="n"/>
      <c r="Q798" s="23" t="n"/>
      <c r="R798" s="23" t="n"/>
      <c r="S798" s="23" t="n"/>
      <c r="T798" s="23" t="n"/>
      <c r="U798" s="23" t="n"/>
      <c r="V798" s="23" t="n"/>
      <c r="W798" s="23" t="n"/>
      <c r="X798" s="23" t="n"/>
      <c r="Y798" s="23" t="n"/>
      <c r="Z798" s="23" t="n"/>
      <c r="AA798" s="23" t="n"/>
      <c r="AB798" s="23" t="n"/>
      <c r="AC798" s="23" t="n"/>
      <c r="AD798" s="23" t="n"/>
      <c r="AE798" s="23" t="n"/>
      <c r="AF798" s="23" t="n"/>
      <c r="AG798" s="23" t="n"/>
      <c r="AH798" s="23" t="n"/>
      <c r="AI798" s="23" t="n"/>
      <c r="AJ798" s="23" t="n"/>
      <c r="AK798" s="23" t="n"/>
      <c r="AL798" s="23" t="n"/>
      <c r="AM798" s="26">
        <f>IF(G798="","",G798&amp;"|"&amp;P798)</f>
        <v/>
      </c>
      <c r="AN798" s="27">
        <f>IF(I798="","",IFERROR(DATE(VALUE(RIGHT(I798,4)),VALUE(MID(I798,4,2)),VALUE(LEFT(I798,2))),""))</f>
        <v/>
      </c>
      <c r="AO798" s="27">
        <f>IF(Y798="","",IFERROR(DATE(VALUE(RIGHT(Y798,4)),VALUE(MID(Y798,4,2)),VALUE(LEFT(Y798,2))),""))</f>
        <v/>
      </c>
      <c r="AP798" s="27">
        <f>IF(AC798="","",IFERROR(DATE(VALUE(RIGHT(AC798,4)),VALUE(MID(AC798,4,2)),VALUE(LEFT(AC798,2))),""))</f>
        <v/>
      </c>
      <c r="AQ798" s="26">
        <f>IF(AI798="","",TRIM(LEFT(AI798,FIND(" ",AI798&amp;" ")-1)))</f>
        <v/>
      </c>
      <c r="AR798" s="27">
        <f>IF(AQ798="","",IFERROR(DATE(VALUE(MID(AQ798,FIND("/",AQ798,FIND("/",AQ798)+1)+1,4)),VALUE(LEFT(AQ798,FIND("/",AQ798)-1)),VALUE(MID(AQ798,FIND("/",AQ798)+1,FIND("/",AQ798,FIND("/",AQ798)+1)-FIND("/",AQ798)-1))),""))</f>
        <v/>
      </c>
      <c r="AS798" s="26">
        <f>IF(G798="","",IF(AND(AG798&lt;&gt;"",AG798&lt;&gt;"Bayi Aracı"),"Evet","Hayır"))</f>
        <v/>
      </c>
      <c r="AT798" s="26">
        <f>IF(G798="","",IF(AND(AS798="Evet",T798="Siparişiniz Teslim Edildi"),"Evet","Hayır"))</f>
        <v/>
      </c>
      <c r="AU798" s="26">
        <f>IF(G798="","",IF(AB798="Siparişinizin Montajı Yapıldı","Evet","Hayır"))</f>
        <v/>
      </c>
      <c r="AV798" s="27">
        <f>IF(G798="","",IF(AT798="Evet",AR798,IF(AU798="Evet",AP798,"")))</f>
        <v/>
      </c>
    </row>
    <row r="799">
      <c r="A799" s="23" t="n"/>
      <c r="B799" s="23" t="n"/>
      <c r="C799" s="23" t="n"/>
      <c r="D799" s="23" t="n"/>
      <c r="E799" s="23" t="n"/>
      <c r="F799" s="23" t="n"/>
      <c r="G799" s="23" t="n"/>
      <c r="H799" s="23" t="n"/>
      <c r="I799" s="23" t="n"/>
      <c r="J799" s="23" t="n"/>
      <c r="K799" s="23" t="n"/>
      <c r="L799" s="23" t="n"/>
      <c r="M799" s="23" t="n"/>
      <c r="N799" s="23" t="n"/>
      <c r="O799" s="23" t="n"/>
      <c r="P799" s="23" t="n"/>
      <c r="Q799" s="23" t="n"/>
      <c r="R799" s="23" t="n"/>
      <c r="S799" s="23" t="n"/>
      <c r="T799" s="23" t="n"/>
      <c r="U799" s="23" t="n"/>
      <c r="V799" s="23" t="n"/>
      <c r="W799" s="23" t="n"/>
      <c r="X799" s="23" t="n"/>
      <c r="Y799" s="23" t="n"/>
      <c r="Z799" s="23" t="n"/>
      <c r="AA799" s="23" t="n"/>
      <c r="AB799" s="23" t="n"/>
      <c r="AC799" s="23" t="n"/>
      <c r="AD799" s="23" t="n"/>
      <c r="AE799" s="23" t="n"/>
      <c r="AF799" s="23" t="n"/>
      <c r="AG799" s="23" t="n"/>
      <c r="AH799" s="23" t="n"/>
      <c r="AI799" s="23" t="n"/>
      <c r="AJ799" s="23" t="n"/>
      <c r="AK799" s="23" t="n"/>
      <c r="AL799" s="23" t="n"/>
      <c r="AM799" s="26">
        <f>IF(G799="","",G799&amp;"|"&amp;P799)</f>
        <v/>
      </c>
      <c r="AN799" s="27">
        <f>IF(I799="","",IFERROR(DATE(VALUE(RIGHT(I799,4)),VALUE(MID(I799,4,2)),VALUE(LEFT(I799,2))),""))</f>
        <v/>
      </c>
      <c r="AO799" s="27">
        <f>IF(Y799="","",IFERROR(DATE(VALUE(RIGHT(Y799,4)),VALUE(MID(Y799,4,2)),VALUE(LEFT(Y799,2))),""))</f>
        <v/>
      </c>
      <c r="AP799" s="27">
        <f>IF(AC799="","",IFERROR(DATE(VALUE(RIGHT(AC799,4)),VALUE(MID(AC799,4,2)),VALUE(LEFT(AC799,2))),""))</f>
        <v/>
      </c>
      <c r="AQ799" s="26">
        <f>IF(AI799="","",TRIM(LEFT(AI799,FIND(" ",AI799&amp;" ")-1)))</f>
        <v/>
      </c>
      <c r="AR799" s="27">
        <f>IF(AQ799="","",IFERROR(DATE(VALUE(MID(AQ799,FIND("/",AQ799,FIND("/",AQ799)+1)+1,4)),VALUE(LEFT(AQ799,FIND("/",AQ799)-1)),VALUE(MID(AQ799,FIND("/",AQ799)+1,FIND("/",AQ799,FIND("/",AQ799)+1)-FIND("/",AQ799)-1))),""))</f>
        <v/>
      </c>
      <c r="AS799" s="26">
        <f>IF(G799="","",IF(AND(AG799&lt;&gt;"",AG799&lt;&gt;"Bayi Aracı"),"Evet","Hayır"))</f>
        <v/>
      </c>
      <c r="AT799" s="26">
        <f>IF(G799="","",IF(AND(AS799="Evet",T799="Siparişiniz Teslim Edildi"),"Evet","Hayır"))</f>
        <v/>
      </c>
      <c r="AU799" s="26">
        <f>IF(G799="","",IF(AB799="Siparişinizin Montajı Yapıldı","Evet","Hayır"))</f>
        <v/>
      </c>
      <c r="AV799" s="27">
        <f>IF(G799="","",IF(AT799="Evet",AR799,IF(AU799="Evet",AP799,"")))</f>
        <v/>
      </c>
    </row>
    <row r="800">
      <c r="A800" s="23" t="n"/>
      <c r="B800" s="23" t="n"/>
      <c r="C800" s="23" t="n"/>
      <c r="D800" s="23" t="n"/>
      <c r="E800" s="23" t="n"/>
      <c r="F800" s="23" t="n"/>
      <c r="G800" s="23" t="n"/>
      <c r="H800" s="23" t="n"/>
      <c r="I800" s="23" t="n"/>
      <c r="J800" s="23" t="n"/>
      <c r="K800" s="23" t="n"/>
      <c r="L800" s="23" t="n"/>
      <c r="M800" s="23" t="n"/>
      <c r="N800" s="23" t="n"/>
      <c r="O800" s="23" t="n"/>
      <c r="P800" s="23" t="n"/>
      <c r="Q800" s="23" t="n"/>
      <c r="R800" s="23" t="n"/>
      <c r="S800" s="23" t="n"/>
      <c r="T800" s="23" t="n"/>
      <c r="U800" s="23" t="n"/>
      <c r="V800" s="23" t="n"/>
      <c r="W800" s="23" t="n"/>
      <c r="X800" s="23" t="n"/>
      <c r="Y800" s="23" t="n"/>
      <c r="Z800" s="23" t="n"/>
      <c r="AA800" s="23" t="n"/>
      <c r="AB800" s="23" t="n"/>
      <c r="AC800" s="23" t="n"/>
      <c r="AD800" s="23" t="n"/>
      <c r="AE800" s="23" t="n"/>
      <c r="AF800" s="23" t="n"/>
      <c r="AG800" s="23" t="n"/>
      <c r="AH800" s="23" t="n"/>
      <c r="AI800" s="23" t="n"/>
      <c r="AJ800" s="23" t="n"/>
      <c r="AK800" s="23" t="n"/>
      <c r="AL800" s="23" t="n"/>
      <c r="AM800" s="26">
        <f>IF(G800="","",G800&amp;"|"&amp;P800)</f>
        <v/>
      </c>
      <c r="AN800" s="27">
        <f>IF(I800="","",IFERROR(DATE(VALUE(RIGHT(I800,4)),VALUE(MID(I800,4,2)),VALUE(LEFT(I800,2))),""))</f>
        <v/>
      </c>
      <c r="AO800" s="27">
        <f>IF(Y800="","",IFERROR(DATE(VALUE(RIGHT(Y800,4)),VALUE(MID(Y800,4,2)),VALUE(LEFT(Y800,2))),""))</f>
        <v/>
      </c>
      <c r="AP800" s="27">
        <f>IF(AC800="","",IFERROR(DATE(VALUE(RIGHT(AC800,4)),VALUE(MID(AC800,4,2)),VALUE(LEFT(AC800,2))),""))</f>
        <v/>
      </c>
      <c r="AQ800" s="26">
        <f>IF(AI800="","",TRIM(LEFT(AI800,FIND(" ",AI800&amp;" ")-1)))</f>
        <v/>
      </c>
      <c r="AR800" s="27">
        <f>IF(AQ800="","",IFERROR(DATE(VALUE(MID(AQ800,FIND("/",AQ800,FIND("/",AQ800)+1)+1,4)),VALUE(LEFT(AQ800,FIND("/",AQ800)-1)),VALUE(MID(AQ800,FIND("/",AQ800)+1,FIND("/",AQ800,FIND("/",AQ800)+1)-FIND("/",AQ800)-1))),""))</f>
        <v/>
      </c>
      <c r="AS800" s="26">
        <f>IF(G800="","",IF(AND(AG800&lt;&gt;"",AG800&lt;&gt;"Bayi Aracı"),"Evet","Hayır"))</f>
        <v/>
      </c>
      <c r="AT800" s="26">
        <f>IF(G800="","",IF(AND(AS800="Evet",T800="Siparişiniz Teslim Edildi"),"Evet","Hayır"))</f>
        <v/>
      </c>
      <c r="AU800" s="26">
        <f>IF(G800="","",IF(AB800="Siparişinizin Montajı Yapıldı","Evet","Hayır"))</f>
        <v/>
      </c>
      <c r="AV800" s="27">
        <f>IF(G800="","",IF(AT800="Evet",AR800,IF(AU800="Evet",AP800,"")))</f>
        <v/>
      </c>
    </row>
    <row r="801">
      <c r="A801" s="23" t="n"/>
      <c r="B801" s="23" t="n"/>
      <c r="C801" s="23" t="n"/>
      <c r="D801" s="23" t="n"/>
      <c r="E801" s="23" t="n"/>
      <c r="F801" s="23" t="n"/>
      <c r="G801" s="23" t="n"/>
      <c r="H801" s="23" t="n"/>
      <c r="I801" s="23" t="n"/>
      <c r="J801" s="23" t="n"/>
      <c r="K801" s="23" t="n"/>
      <c r="L801" s="23" t="n"/>
      <c r="M801" s="23" t="n"/>
      <c r="N801" s="23" t="n"/>
      <c r="O801" s="23" t="n"/>
      <c r="P801" s="23" t="n"/>
      <c r="Q801" s="23" t="n"/>
      <c r="R801" s="23" t="n"/>
      <c r="S801" s="23" t="n"/>
      <c r="T801" s="23" t="n"/>
      <c r="U801" s="23" t="n"/>
      <c r="V801" s="23" t="n"/>
      <c r="W801" s="23" t="n"/>
      <c r="X801" s="23" t="n"/>
      <c r="Y801" s="23" t="n"/>
      <c r="Z801" s="23" t="n"/>
      <c r="AA801" s="23" t="n"/>
      <c r="AB801" s="23" t="n"/>
      <c r="AC801" s="23" t="n"/>
      <c r="AD801" s="23" t="n"/>
      <c r="AE801" s="23" t="n"/>
      <c r="AF801" s="23" t="n"/>
      <c r="AG801" s="23" t="n"/>
      <c r="AH801" s="23" t="n"/>
      <c r="AI801" s="23" t="n"/>
      <c r="AJ801" s="23" t="n"/>
      <c r="AK801" s="23" t="n"/>
      <c r="AL801" s="23" t="n"/>
      <c r="AM801" s="26">
        <f>IF(G801="","",G801&amp;"|"&amp;P801)</f>
        <v/>
      </c>
      <c r="AN801" s="27">
        <f>IF(I801="","",IFERROR(DATE(VALUE(RIGHT(I801,4)),VALUE(MID(I801,4,2)),VALUE(LEFT(I801,2))),""))</f>
        <v/>
      </c>
      <c r="AO801" s="27">
        <f>IF(Y801="","",IFERROR(DATE(VALUE(RIGHT(Y801,4)),VALUE(MID(Y801,4,2)),VALUE(LEFT(Y801,2))),""))</f>
        <v/>
      </c>
      <c r="AP801" s="27">
        <f>IF(AC801="","",IFERROR(DATE(VALUE(RIGHT(AC801,4)),VALUE(MID(AC801,4,2)),VALUE(LEFT(AC801,2))),""))</f>
        <v/>
      </c>
      <c r="AQ801" s="26">
        <f>IF(AI801="","",TRIM(LEFT(AI801,FIND(" ",AI801&amp;" ")-1)))</f>
        <v/>
      </c>
      <c r="AR801" s="27">
        <f>IF(AQ801="","",IFERROR(DATE(VALUE(MID(AQ801,FIND("/",AQ801,FIND("/",AQ801)+1)+1,4)),VALUE(LEFT(AQ801,FIND("/",AQ801)-1)),VALUE(MID(AQ801,FIND("/",AQ801)+1,FIND("/",AQ801,FIND("/",AQ801)+1)-FIND("/",AQ801)-1))),""))</f>
        <v/>
      </c>
      <c r="AS801" s="26">
        <f>IF(G801="","",IF(AND(AG801&lt;&gt;"",AG801&lt;&gt;"Bayi Aracı"),"Evet","Hayır"))</f>
        <v/>
      </c>
      <c r="AT801" s="26">
        <f>IF(G801="","",IF(AND(AS801="Evet",T801="Siparişiniz Teslim Edildi"),"Evet","Hayır"))</f>
        <v/>
      </c>
      <c r="AU801" s="26">
        <f>IF(G801="","",IF(AB801="Siparişinizin Montajı Yapıldı","Evet","Hayır"))</f>
        <v/>
      </c>
      <c r="AV801" s="27">
        <f>IF(G801="","",IF(AT801="Evet",AR801,IF(AU801="Evet",AP801,"")))</f>
        <v/>
      </c>
    </row>
    <row r="802">
      <c r="A802" s="23" t="n"/>
      <c r="B802" s="23" t="n"/>
      <c r="C802" s="23" t="n"/>
      <c r="D802" s="23" t="n"/>
      <c r="E802" s="23" t="n"/>
      <c r="F802" s="23" t="n"/>
      <c r="G802" s="23" t="n"/>
      <c r="H802" s="23" t="n"/>
      <c r="I802" s="23" t="n"/>
      <c r="J802" s="23" t="n"/>
      <c r="K802" s="23" t="n"/>
      <c r="L802" s="23" t="n"/>
      <c r="M802" s="23" t="n"/>
      <c r="N802" s="23" t="n"/>
      <c r="O802" s="23" t="n"/>
      <c r="P802" s="23" t="n"/>
      <c r="Q802" s="23" t="n"/>
      <c r="R802" s="23" t="n"/>
      <c r="S802" s="23" t="n"/>
      <c r="T802" s="23" t="n"/>
      <c r="U802" s="23" t="n"/>
      <c r="V802" s="23" t="n"/>
      <c r="W802" s="23" t="n"/>
      <c r="X802" s="23" t="n"/>
      <c r="Y802" s="23" t="n"/>
      <c r="Z802" s="23" t="n"/>
      <c r="AA802" s="23" t="n"/>
      <c r="AB802" s="23" t="n"/>
      <c r="AC802" s="23" t="n"/>
      <c r="AD802" s="23" t="n"/>
      <c r="AE802" s="23" t="n"/>
      <c r="AF802" s="23" t="n"/>
      <c r="AG802" s="23" t="n"/>
      <c r="AH802" s="23" t="n"/>
      <c r="AI802" s="23" t="n"/>
      <c r="AJ802" s="23" t="n"/>
      <c r="AK802" s="23" t="n"/>
      <c r="AL802" s="23" t="n"/>
      <c r="AM802" s="26">
        <f>IF(G802="","",G802&amp;"|"&amp;P802)</f>
        <v/>
      </c>
      <c r="AN802" s="27">
        <f>IF(I802="","",IFERROR(DATE(VALUE(RIGHT(I802,4)),VALUE(MID(I802,4,2)),VALUE(LEFT(I802,2))),""))</f>
        <v/>
      </c>
      <c r="AO802" s="27">
        <f>IF(Y802="","",IFERROR(DATE(VALUE(RIGHT(Y802,4)),VALUE(MID(Y802,4,2)),VALUE(LEFT(Y802,2))),""))</f>
        <v/>
      </c>
      <c r="AP802" s="27">
        <f>IF(AC802="","",IFERROR(DATE(VALUE(RIGHT(AC802,4)),VALUE(MID(AC802,4,2)),VALUE(LEFT(AC802,2))),""))</f>
        <v/>
      </c>
      <c r="AQ802" s="26">
        <f>IF(AI802="","",TRIM(LEFT(AI802,FIND(" ",AI802&amp;" ")-1)))</f>
        <v/>
      </c>
      <c r="AR802" s="27">
        <f>IF(AQ802="","",IFERROR(DATE(VALUE(MID(AQ802,FIND("/",AQ802,FIND("/",AQ802)+1)+1,4)),VALUE(LEFT(AQ802,FIND("/",AQ802)-1)),VALUE(MID(AQ802,FIND("/",AQ802)+1,FIND("/",AQ802,FIND("/",AQ802)+1)-FIND("/",AQ802)-1))),""))</f>
        <v/>
      </c>
      <c r="AS802" s="26">
        <f>IF(G802="","",IF(AND(AG802&lt;&gt;"",AG802&lt;&gt;"Bayi Aracı"),"Evet","Hayır"))</f>
        <v/>
      </c>
      <c r="AT802" s="26">
        <f>IF(G802="","",IF(AND(AS802="Evet",T802="Siparişiniz Teslim Edildi"),"Evet","Hayır"))</f>
        <v/>
      </c>
      <c r="AU802" s="26">
        <f>IF(G802="","",IF(AB802="Siparişinizin Montajı Yapıldı","Evet","Hayır"))</f>
        <v/>
      </c>
      <c r="AV802" s="27">
        <f>IF(G802="","",IF(AT802="Evet",AR802,IF(AU802="Evet",AP802,"")))</f>
        <v/>
      </c>
    </row>
    <row r="803">
      <c r="A803" s="23" t="n"/>
      <c r="B803" s="23" t="n"/>
      <c r="C803" s="23" t="n"/>
      <c r="D803" s="23" t="n"/>
      <c r="E803" s="23" t="n"/>
      <c r="F803" s="23" t="n"/>
      <c r="G803" s="23" t="n"/>
      <c r="H803" s="23" t="n"/>
      <c r="I803" s="23" t="n"/>
      <c r="J803" s="23" t="n"/>
      <c r="K803" s="23" t="n"/>
      <c r="L803" s="23" t="n"/>
      <c r="M803" s="23" t="n"/>
      <c r="N803" s="23" t="n"/>
      <c r="O803" s="23" t="n"/>
      <c r="P803" s="23" t="n"/>
      <c r="Q803" s="23" t="n"/>
      <c r="R803" s="23" t="n"/>
      <c r="S803" s="23" t="n"/>
      <c r="T803" s="23" t="n"/>
      <c r="U803" s="23" t="n"/>
      <c r="V803" s="23" t="n"/>
      <c r="W803" s="23" t="n"/>
      <c r="X803" s="23" t="n"/>
      <c r="Y803" s="23" t="n"/>
      <c r="Z803" s="23" t="n"/>
      <c r="AA803" s="23" t="n"/>
      <c r="AB803" s="23" t="n"/>
      <c r="AC803" s="23" t="n"/>
      <c r="AD803" s="23" t="n"/>
      <c r="AE803" s="23" t="n"/>
      <c r="AF803" s="23" t="n"/>
      <c r="AG803" s="23" t="n"/>
      <c r="AH803" s="23" t="n"/>
      <c r="AI803" s="23" t="n"/>
      <c r="AJ803" s="23" t="n"/>
      <c r="AK803" s="23" t="n"/>
      <c r="AL803" s="23" t="n"/>
      <c r="AM803" s="26">
        <f>IF(G803="","",G803&amp;"|"&amp;P803)</f>
        <v/>
      </c>
      <c r="AN803" s="27">
        <f>IF(I803="","",IFERROR(DATE(VALUE(RIGHT(I803,4)),VALUE(MID(I803,4,2)),VALUE(LEFT(I803,2))),""))</f>
        <v/>
      </c>
      <c r="AO803" s="27">
        <f>IF(Y803="","",IFERROR(DATE(VALUE(RIGHT(Y803,4)),VALUE(MID(Y803,4,2)),VALUE(LEFT(Y803,2))),""))</f>
        <v/>
      </c>
      <c r="AP803" s="27">
        <f>IF(AC803="","",IFERROR(DATE(VALUE(RIGHT(AC803,4)),VALUE(MID(AC803,4,2)),VALUE(LEFT(AC803,2))),""))</f>
        <v/>
      </c>
      <c r="AQ803" s="26">
        <f>IF(AI803="","",TRIM(LEFT(AI803,FIND(" ",AI803&amp;" ")-1)))</f>
        <v/>
      </c>
      <c r="AR803" s="27">
        <f>IF(AQ803="","",IFERROR(DATE(VALUE(MID(AQ803,FIND("/",AQ803,FIND("/",AQ803)+1)+1,4)),VALUE(LEFT(AQ803,FIND("/",AQ803)-1)),VALUE(MID(AQ803,FIND("/",AQ803)+1,FIND("/",AQ803,FIND("/",AQ803)+1)-FIND("/",AQ803)-1))),""))</f>
        <v/>
      </c>
      <c r="AS803" s="26">
        <f>IF(G803="","",IF(AND(AG803&lt;&gt;"",AG803&lt;&gt;"Bayi Aracı"),"Evet","Hayır"))</f>
        <v/>
      </c>
      <c r="AT803" s="26">
        <f>IF(G803="","",IF(AND(AS803="Evet",T803="Siparişiniz Teslim Edildi"),"Evet","Hayır"))</f>
        <v/>
      </c>
      <c r="AU803" s="26">
        <f>IF(G803="","",IF(AB803="Siparişinizin Montajı Yapıldı","Evet","Hayır"))</f>
        <v/>
      </c>
      <c r="AV803" s="27">
        <f>IF(G803="","",IF(AT803="Evet",AR803,IF(AU803="Evet",AP803,"")))</f>
        <v/>
      </c>
    </row>
    <row r="804">
      <c r="A804" s="23" t="n"/>
      <c r="B804" s="23" t="n"/>
      <c r="C804" s="23" t="n"/>
      <c r="D804" s="23" t="n"/>
      <c r="E804" s="23" t="n"/>
      <c r="F804" s="23" t="n"/>
      <c r="G804" s="23" t="n"/>
      <c r="H804" s="23" t="n"/>
      <c r="I804" s="23" t="n"/>
      <c r="J804" s="23" t="n"/>
      <c r="K804" s="23" t="n"/>
      <c r="L804" s="23" t="n"/>
      <c r="M804" s="23" t="n"/>
      <c r="N804" s="23" t="n"/>
      <c r="O804" s="23" t="n"/>
      <c r="P804" s="23" t="n"/>
      <c r="Q804" s="23" t="n"/>
      <c r="R804" s="23" t="n"/>
      <c r="S804" s="23" t="n"/>
      <c r="T804" s="23" t="n"/>
      <c r="U804" s="23" t="n"/>
      <c r="V804" s="23" t="n"/>
      <c r="W804" s="23" t="n"/>
      <c r="X804" s="23" t="n"/>
      <c r="Y804" s="23" t="n"/>
      <c r="Z804" s="23" t="n"/>
      <c r="AA804" s="23" t="n"/>
      <c r="AB804" s="23" t="n"/>
      <c r="AC804" s="23" t="n"/>
      <c r="AD804" s="23" t="n"/>
      <c r="AE804" s="23" t="n"/>
      <c r="AF804" s="23" t="n"/>
      <c r="AG804" s="23" t="n"/>
      <c r="AH804" s="23" t="n"/>
      <c r="AI804" s="23" t="n"/>
      <c r="AJ804" s="23" t="n"/>
      <c r="AK804" s="23" t="n"/>
      <c r="AL804" s="23" t="n"/>
      <c r="AM804" s="26">
        <f>IF(G804="","",G804&amp;"|"&amp;P804)</f>
        <v/>
      </c>
      <c r="AN804" s="27">
        <f>IF(I804="","",IFERROR(DATE(VALUE(RIGHT(I804,4)),VALUE(MID(I804,4,2)),VALUE(LEFT(I804,2))),""))</f>
        <v/>
      </c>
      <c r="AO804" s="27">
        <f>IF(Y804="","",IFERROR(DATE(VALUE(RIGHT(Y804,4)),VALUE(MID(Y804,4,2)),VALUE(LEFT(Y804,2))),""))</f>
        <v/>
      </c>
      <c r="AP804" s="27">
        <f>IF(AC804="","",IFERROR(DATE(VALUE(RIGHT(AC804,4)),VALUE(MID(AC804,4,2)),VALUE(LEFT(AC804,2))),""))</f>
        <v/>
      </c>
      <c r="AQ804" s="26">
        <f>IF(AI804="","",TRIM(LEFT(AI804,FIND(" ",AI804&amp;" ")-1)))</f>
        <v/>
      </c>
      <c r="AR804" s="27">
        <f>IF(AQ804="","",IFERROR(DATE(VALUE(MID(AQ804,FIND("/",AQ804,FIND("/",AQ804)+1)+1,4)),VALUE(LEFT(AQ804,FIND("/",AQ804)-1)),VALUE(MID(AQ804,FIND("/",AQ804)+1,FIND("/",AQ804,FIND("/",AQ804)+1)-FIND("/",AQ804)-1))),""))</f>
        <v/>
      </c>
      <c r="AS804" s="26">
        <f>IF(G804="","",IF(AND(AG804&lt;&gt;"",AG804&lt;&gt;"Bayi Aracı"),"Evet","Hayır"))</f>
        <v/>
      </c>
      <c r="AT804" s="26">
        <f>IF(G804="","",IF(AND(AS804="Evet",T804="Siparişiniz Teslim Edildi"),"Evet","Hayır"))</f>
        <v/>
      </c>
      <c r="AU804" s="26">
        <f>IF(G804="","",IF(AB804="Siparişinizin Montajı Yapıldı","Evet","Hayır"))</f>
        <v/>
      </c>
      <c r="AV804" s="27">
        <f>IF(G804="","",IF(AT804="Evet",AR804,IF(AU804="Evet",AP804,"")))</f>
        <v/>
      </c>
    </row>
    <row r="805">
      <c r="A805" s="23" t="n"/>
      <c r="B805" s="23" t="n"/>
      <c r="C805" s="23" t="n"/>
      <c r="D805" s="23" t="n"/>
      <c r="E805" s="23" t="n"/>
      <c r="F805" s="23" t="n"/>
      <c r="G805" s="23" t="n"/>
      <c r="H805" s="23" t="n"/>
      <c r="I805" s="23" t="n"/>
      <c r="J805" s="23" t="n"/>
      <c r="K805" s="23" t="n"/>
      <c r="L805" s="23" t="n"/>
      <c r="M805" s="23" t="n"/>
      <c r="N805" s="23" t="n"/>
      <c r="O805" s="23" t="n"/>
      <c r="P805" s="23" t="n"/>
      <c r="Q805" s="23" t="n"/>
      <c r="R805" s="23" t="n"/>
      <c r="S805" s="23" t="n"/>
      <c r="T805" s="23" t="n"/>
      <c r="U805" s="23" t="n"/>
      <c r="V805" s="23" t="n"/>
      <c r="W805" s="23" t="n"/>
      <c r="X805" s="23" t="n"/>
      <c r="Y805" s="23" t="n"/>
      <c r="Z805" s="23" t="n"/>
      <c r="AA805" s="23" t="n"/>
      <c r="AB805" s="23" t="n"/>
      <c r="AC805" s="23" t="n"/>
      <c r="AD805" s="23" t="n"/>
      <c r="AE805" s="23" t="n"/>
      <c r="AF805" s="23" t="n"/>
      <c r="AG805" s="23" t="n"/>
      <c r="AH805" s="23" t="n"/>
      <c r="AI805" s="23" t="n"/>
      <c r="AJ805" s="23" t="n"/>
      <c r="AK805" s="23" t="n"/>
      <c r="AL805" s="23" t="n"/>
      <c r="AM805" s="26">
        <f>IF(G805="","",G805&amp;"|"&amp;P805)</f>
        <v/>
      </c>
      <c r="AN805" s="27">
        <f>IF(I805="","",IFERROR(DATE(VALUE(RIGHT(I805,4)),VALUE(MID(I805,4,2)),VALUE(LEFT(I805,2))),""))</f>
        <v/>
      </c>
      <c r="AO805" s="27">
        <f>IF(Y805="","",IFERROR(DATE(VALUE(RIGHT(Y805,4)),VALUE(MID(Y805,4,2)),VALUE(LEFT(Y805,2))),""))</f>
        <v/>
      </c>
      <c r="AP805" s="27">
        <f>IF(AC805="","",IFERROR(DATE(VALUE(RIGHT(AC805,4)),VALUE(MID(AC805,4,2)),VALUE(LEFT(AC805,2))),""))</f>
        <v/>
      </c>
      <c r="AQ805" s="26">
        <f>IF(AI805="","",TRIM(LEFT(AI805,FIND(" ",AI805&amp;" ")-1)))</f>
        <v/>
      </c>
      <c r="AR805" s="27">
        <f>IF(AQ805="","",IFERROR(DATE(VALUE(MID(AQ805,FIND("/",AQ805,FIND("/",AQ805)+1)+1,4)),VALUE(LEFT(AQ805,FIND("/",AQ805)-1)),VALUE(MID(AQ805,FIND("/",AQ805)+1,FIND("/",AQ805,FIND("/",AQ805)+1)-FIND("/",AQ805)-1))),""))</f>
        <v/>
      </c>
      <c r="AS805" s="26">
        <f>IF(G805="","",IF(AND(AG805&lt;&gt;"",AG805&lt;&gt;"Bayi Aracı"),"Evet","Hayır"))</f>
        <v/>
      </c>
      <c r="AT805" s="26">
        <f>IF(G805="","",IF(AND(AS805="Evet",T805="Siparişiniz Teslim Edildi"),"Evet","Hayır"))</f>
        <v/>
      </c>
      <c r="AU805" s="26">
        <f>IF(G805="","",IF(AB805="Siparişinizin Montajı Yapıldı","Evet","Hayır"))</f>
        <v/>
      </c>
      <c r="AV805" s="27">
        <f>IF(G805="","",IF(AT805="Evet",AR805,IF(AU805="Evet",AP805,"")))</f>
        <v/>
      </c>
    </row>
    <row r="806">
      <c r="A806" s="23" t="n"/>
      <c r="B806" s="23" t="n"/>
      <c r="C806" s="23" t="n"/>
      <c r="D806" s="23" t="n"/>
      <c r="E806" s="23" t="n"/>
      <c r="F806" s="23" t="n"/>
      <c r="G806" s="23" t="n"/>
      <c r="H806" s="23" t="n"/>
      <c r="I806" s="23" t="n"/>
      <c r="J806" s="23" t="n"/>
      <c r="K806" s="23" t="n"/>
      <c r="L806" s="23" t="n"/>
      <c r="M806" s="23" t="n"/>
      <c r="N806" s="23" t="n"/>
      <c r="O806" s="23" t="n"/>
      <c r="P806" s="23" t="n"/>
      <c r="Q806" s="23" t="n"/>
      <c r="R806" s="23" t="n"/>
      <c r="S806" s="23" t="n"/>
      <c r="T806" s="23" t="n"/>
      <c r="U806" s="23" t="n"/>
      <c r="V806" s="23" t="n"/>
      <c r="W806" s="23" t="n"/>
      <c r="X806" s="23" t="n"/>
      <c r="Y806" s="23" t="n"/>
      <c r="Z806" s="23" t="n"/>
      <c r="AA806" s="23" t="n"/>
      <c r="AB806" s="23" t="n"/>
      <c r="AC806" s="23" t="n"/>
      <c r="AD806" s="23" t="n"/>
      <c r="AE806" s="23" t="n"/>
      <c r="AF806" s="23" t="n"/>
      <c r="AG806" s="23" t="n"/>
      <c r="AH806" s="23" t="n"/>
      <c r="AI806" s="23" t="n"/>
      <c r="AJ806" s="23" t="n"/>
      <c r="AK806" s="23" t="n"/>
      <c r="AL806" s="23" t="n"/>
      <c r="AM806" s="26">
        <f>IF(G806="","",G806&amp;"|"&amp;P806)</f>
        <v/>
      </c>
      <c r="AN806" s="27">
        <f>IF(I806="","",IFERROR(DATE(VALUE(RIGHT(I806,4)),VALUE(MID(I806,4,2)),VALUE(LEFT(I806,2))),""))</f>
        <v/>
      </c>
      <c r="AO806" s="27">
        <f>IF(Y806="","",IFERROR(DATE(VALUE(RIGHT(Y806,4)),VALUE(MID(Y806,4,2)),VALUE(LEFT(Y806,2))),""))</f>
        <v/>
      </c>
      <c r="AP806" s="27">
        <f>IF(AC806="","",IFERROR(DATE(VALUE(RIGHT(AC806,4)),VALUE(MID(AC806,4,2)),VALUE(LEFT(AC806,2))),""))</f>
        <v/>
      </c>
      <c r="AQ806" s="26">
        <f>IF(AI806="","",TRIM(LEFT(AI806,FIND(" ",AI806&amp;" ")-1)))</f>
        <v/>
      </c>
      <c r="AR806" s="27">
        <f>IF(AQ806="","",IFERROR(DATE(VALUE(MID(AQ806,FIND("/",AQ806,FIND("/",AQ806)+1)+1,4)),VALUE(LEFT(AQ806,FIND("/",AQ806)-1)),VALUE(MID(AQ806,FIND("/",AQ806)+1,FIND("/",AQ806,FIND("/",AQ806)+1)-FIND("/",AQ806)-1))),""))</f>
        <v/>
      </c>
      <c r="AS806" s="26">
        <f>IF(G806="","",IF(AND(AG806&lt;&gt;"",AG806&lt;&gt;"Bayi Aracı"),"Evet","Hayır"))</f>
        <v/>
      </c>
      <c r="AT806" s="26">
        <f>IF(G806="","",IF(AND(AS806="Evet",T806="Siparişiniz Teslim Edildi"),"Evet","Hayır"))</f>
        <v/>
      </c>
      <c r="AU806" s="26">
        <f>IF(G806="","",IF(AB806="Siparişinizin Montajı Yapıldı","Evet","Hayır"))</f>
        <v/>
      </c>
      <c r="AV806" s="27">
        <f>IF(G806="","",IF(AT806="Evet",AR806,IF(AU806="Evet",AP806,"")))</f>
        <v/>
      </c>
    </row>
    <row r="807">
      <c r="A807" s="23" t="n"/>
      <c r="B807" s="23" t="n"/>
      <c r="C807" s="23" t="n"/>
      <c r="D807" s="23" t="n"/>
      <c r="E807" s="23" t="n"/>
      <c r="F807" s="23" t="n"/>
      <c r="G807" s="23" t="n"/>
      <c r="H807" s="23" t="n"/>
      <c r="I807" s="23" t="n"/>
      <c r="J807" s="23" t="n"/>
      <c r="K807" s="23" t="n"/>
      <c r="L807" s="23" t="n"/>
      <c r="M807" s="23" t="n"/>
      <c r="N807" s="23" t="n"/>
      <c r="O807" s="23" t="n"/>
      <c r="P807" s="23" t="n"/>
      <c r="Q807" s="23" t="n"/>
      <c r="R807" s="23" t="n"/>
      <c r="S807" s="23" t="n"/>
      <c r="T807" s="23" t="n"/>
      <c r="U807" s="23" t="n"/>
      <c r="V807" s="23" t="n"/>
      <c r="W807" s="23" t="n"/>
      <c r="X807" s="23" t="n"/>
      <c r="Y807" s="23" t="n"/>
      <c r="Z807" s="23" t="n"/>
      <c r="AA807" s="23" t="n"/>
      <c r="AB807" s="23" t="n"/>
      <c r="AC807" s="23" t="n"/>
      <c r="AD807" s="23" t="n"/>
      <c r="AE807" s="23" t="n"/>
      <c r="AF807" s="23" t="n"/>
      <c r="AG807" s="23" t="n"/>
      <c r="AH807" s="23" t="n"/>
      <c r="AI807" s="23" t="n"/>
      <c r="AJ807" s="23" t="n"/>
      <c r="AK807" s="23" t="n"/>
      <c r="AL807" s="23" t="n"/>
      <c r="AM807" s="26">
        <f>IF(G807="","",G807&amp;"|"&amp;P807)</f>
        <v/>
      </c>
      <c r="AN807" s="27">
        <f>IF(I807="","",IFERROR(DATE(VALUE(RIGHT(I807,4)),VALUE(MID(I807,4,2)),VALUE(LEFT(I807,2))),""))</f>
        <v/>
      </c>
      <c r="AO807" s="27">
        <f>IF(Y807="","",IFERROR(DATE(VALUE(RIGHT(Y807,4)),VALUE(MID(Y807,4,2)),VALUE(LEFT(Y807,2))),""))</f>
        <v/>
      </c>
      <c r="AP807" s="27">
        <f>IF(AC807="","",IFERROR(DATE(VALUE(RIGHT(AC807,4)),VALUE(MID(AC807,4,2)),VALUE(LEFT(AC807,2))),""))</f>
        <v/>
      </c>
      <c r="AQ807" s="26">
        <f>IF(AI807="","",TRIM(LEFT(AI807,FIND(" ",AI807&amp;" ")-1)))</f>
        <v/>
      </c>
      <c r="AR807" s="27">
        <f>IF(AQ807="","",IFERROR(DATE(VALUE(MID(AQ807,FIND("/",AQ807,FIND("/",AQ807)+1)+1,4)),VALUE(LEFT(AQ807,FIND("/",AQ807)-1)),VALUE(MID(AQ807,FIND("/",AQ807)+1,FIND("/",AQ807,FIND("/",AQ807)+1)-FIND("/",AQ807)-1))),""))</f>
        <v/>
      </c>
      <c r="AS807" s="26">
        <f>IF(G807="","",IF(AND(AG807&lt;&gt;"",AG807&lt;&gt;"Bayi Aracı"),"Evet","Hayır"))</f>
        <v/>
      </c>
      <c r="AT807" s="26">
        <f>IF(G807="","",IF(AND(AS807="Evet",T807="Siparişiniz Teslim Edildi"),"Evet","Hayır"))</f>
        <v/>
      </c>
      <c r="AU807" s="26">
        <f>IF(G807="","",IF(AB807="Siparişinizin Montajı Yapıldı","Evet","Hayır"))</f>
        <v/>
      </c>
      <c r="AV807" s="27">
        <f>IF(G807="","",IF(AT807="Evet",AR807,IF(AU807="Evet",AP807,"")))</f>
        <v/>
      </c>
    </row>
    <row r="808">
      <c r="A808" s="23" t="n"/>
      <c r="B808" s="23" t="n"/>
      <c r="C808" s="23" t="n"/>
      <c r="D808" s="23" t="n"/>
      <c r="E808" s="23" t="n"/>
      <c r="F808" s="23" t="n"/>
      <c r="G808" s="23" t="n"/>
      <c r="H808" s="23" t="n"/>
      <c r="I808" s="23" t="n"/>
      <c r="J808" s="23" t="n"/>
      <c r="K808" s="23" t="n"/>
      <c r="L808" s="23" t="n"/>
      <c r="M808" s="23" t="n"/>
      <c r="N808" s="23" t="n"/>
      <c r="O808" s="23" t="n"/>
      <c r="P808" s="23" t="n"/>
      <c r="Q808" s="23" t="n"/>
      <c r="R808" s="23" t="n"/>
      <c r="S808" s="23" t="n"/>
      <c r="T808" s="23" t="n"/>
      <c r="U808" s="23" t="n"/>
      <c r="V808" s="23" t="n"/>
      <c r="W808" s="23" t="n"/>
      <c r="X808" s="23" t="n"/>
      <c r="Y808" s="23" t="n"/>
      <c r="Z808" s="23" t="n"/>
      <c r="AA808" s="23" t="n"/>
      <c r="AB808" s="23" t="n"/>
      <c r="AC808" s="23" t="n"/>
      <c r="AD808" s="23" t="n"/>
      <c r="AE808" s="23" t="n"/>
      <c r="AF808" s="23" t="n"/>
      <c r="AG808" s="23" t="n"/>
      <c r="AH808" s="23" t="n"/>
      <c r="AI808" s="23" t="n"/>
      <c r="AJ808" s="23" t="n"/>
      <c r="AK808" s="23" t="n"/>
      <c r="AL808" s="23" t="n"/>
      <c r="AM808" s="26">
        <f>IF(G808="","",G808&amp;"|"&amp;P808)</f>
        <v/>
      </c>
      <c r="AN808" s="27">
        <f>IF(I808="","",IFERROR(DATE(VALUE(RIGHT(I808,4)),VALUE(MID(I808,4,2)),VALUE(LEFT(I808,2))),""))</f>
        <v/>
      </c>
      <c r="AO808" s="27">
        <f>IF(Y808="","",IFERROR(DATE(VALUE(RIGHT(Y808,4)),VALUE(MID(Y808,4,2)),VALUE(LEFT(Y808,2))),""))</f>
        <v/>
      </c>
      <c r="AP808" s="27">
        <f>IF(AC808="","",IFERROR(DATE(VALUE(RIGHT(AC808,4)),VALUE(MID(AC808,4,2)),VALUE(LEFT(AC808,2))),""))</f>
        <v/>
      </c>
      <c r="AQ808" s="26">
        <f>IF(AI808="","",TRIM(LEFT(AI808,FIND(" ",AI808&amp;" ")-1)))</f>
        <v/>
      </c>
      <c r="AR808" s="27">
        <f>IF(AQ808="","",IFERROR(DATE(VALUE(MID(AQ808,FIND("/",AQ808,FIND("/",AQ808)+1)+1,4)),VALUE(LEFT(AQ808,FIND("/",AQ808)-1)),VALUE(MID(AQ808,FIND("/",AQ808)+1,FIND("/",AQ808,FIND("/",AQ808)+1)-FIND("/",AQ808)-1))),""))</f>
        <v/>
      </c>
      <c r="AS808" s="26">
        <f>IF(G808="","",IF(AND(AG808&lt;&gt;"",AG808&lt;&gt;"Bayi Aracı"),"Evet","Hayır"))</f>
        <v/>
      </c>
      <c r="AT808" s="26">
        <f>IF(G808="","",IF(AND(AS808="Evet",T808="Siparişiniz Teslim Edildi"),"Evet","Hayır"))</f>
        <v/>
      </c>
      <c r="AU808" s="26">
        <f>IF(G808="","",IF(AB808="Siparişinizin Montajı Yapıldı","Evet","Hayır"))</f>
        <v/>
      </c>
      <c r="AV808" s="27">
        <f>IF(G808="","",IF(AT808="Evet",AR808,IF(AU808="Evet",AP808,"")))</f>
        <v/>
      </c>
    </row>
    <row r="809">
      <c r="A809" s="23" t="n"/>
      <c r="B809" s="23" t="n"/>
      <c r="C809" s="23" t="n"/>
      <c r="D809" s="23" t="n"/>
      <c r="E809" s="23" t="n"/>
      <c r="F809" s="23" t="n"/>
      <c r="G809" s="23" t="n"/>
      <c r="H809" s="23" t="n"/>
      <c r="I809" s="23" t="n"/>
      <c r="J809" s="23" t="n"/>
      <c r="K809" s="23" t="n"/>
      <c r="L809" s="23" t="n"/>
      <c r="M809" s="23" t="n"/>
      <c r="N809" s="23" t="n"/>
      <c r="O809" s="23" t="n"/>
      <c r="P809" s="23" t="n"/>
      <c r="Q809" s="23" t="n"/>
      <c r="R809" s="23" t="n"/>
      <c r="S809" s="23" t="n"/>
      <c r="T809" s="23" t="n"/>
      <c r="U809" s="23" t="n"/>
      <c r="V809" s="23" t="n"/>
      <c r="W809" s="23" t="n"/>
      <c r="X809" s="23" t="n"/>
      <c r="Y809" s="23" t="n"/>
      <c r="Z809" s="23" t="n"/>
      <c r="AA809" s="23" t="n"/>
      <c r="AB809" s="23" t="n"/>
      <c r="AC809" s="23" t="n"/>
      <c r="AD809" s="23" t="n"/>
      <c r="AE809" s="23" t="n"/>
      <c r="AF809" s="23" t="n"/>
      <c r="AG809" s="23" t="n"/>
      <c r="AH809" s="23" t="n"/>
      <c r="AI809" s="23" t="n"/>
      <c r="AJ809" s="23" t="n"/>
      <c r="AK809" s="23" t="n"/>
      <c r="AL809" s="23" t="n"/>
      <c r="AM809" s="26">
        <f>IF(G809="","",G809&amp;"|"&amp;P809)</f>
        <v/>
      </c>
      <c r="AN809" s="27">
        <f>IF(I809="","",IFERROR(DATE(VALUE(RIGHT(I809,4)),VALUE(MID(I809,4,2)),VALUE(LEFT(I809,2))),""))</f>
        <v/>
      </c>
      <c r="AO809" s="27">
        <f>IF(Y809="","",IFERROR(DATE(VALUE(RIGHT(Y809,4)),VALUE(MID(Y809,4,2)),VALUE(LEFT(Y809,2))),""))</f>
        <v/>
      </c>
      <c r="AP809" s="27">
        <f>IF(AC809="","",IFERROR(DATE(VALUE(RIGHT(AC809,4)),VALUE(MID(AC809,4,2)),VALUE(LEFT(AC809,2))),""))</f>
        <v/>
      </c>
      <c r="AQ809" s="26">
        <f>IF(AI809="","",TRIM(LEFT(AI809,FIND(" ",AI809&amp;" ")-1)))</f>
        <v/>
      </c>
      <c r="AR809" s="27">
        <f>IF(AQ809="","",IFERROR(DATE(VALUE(MID(AQ809,FIND("/",AQ809,FIND("/",AQ809)+1)+1,4)),VALUE(LEFT(AQ809,FIND("/",AQ809)-1)),VALUE(MID(AQ809,FIND("/",AQ809)+1,FIND("/",AQ809,FIND("/",AQ809)+1)-FIND("/",AQ809)-1))),""))</f>
        <v/>
      </c>
      <c r="AS809" s="26">
        <f>IF(G809="","",IF(AND(AG809&lt;&gt;"",AG809&lt;&gt;"Bayi Aracı"),"Evet","Hayır"))</f>
        <v/>
      </c>
      <c r="AT809" s="26">
        <f>IF(G809="","",IF(AND(AS809="Evet",T809="Siparişiniz Teslim Edildi"),"Evet","Hayır"))</f>
        <v/>
      </c>
      <c r="AU809" s="26">
        <f>IF(G809="","",IF(AB809="Siparişinizin Montajı Yapıldı","Evet","Hayır"))</f>
        <v/>
      </c>
      <c r="AV809" s="27">
        <f>IF(G809="","",IF(AT809="Evet",AR809,IF(AU809="Evet",AP809,"")))</f>
        <v/>
      </c>
    </row>
    <row r="810">
      <c r="A810" s="23" t="n"/>
      <c r="B810" s="23" t="n"/>
      <c r="C810" s="23" t="n"/>
      <c r="D810" s="23" t="n"/>
      <c r="E810" s="23" t="n"/>
      <c r="F810" s="23" t="n"/>
      <c r="G810" s="23" t="n"/>
      <c r="H810" s="23" t="n"/>
      <c r="I810" s="23" t="n"/>
      <c r="J810" s="23" t="n"/>
      <c r="K810" s="23" t="n"/>
      <c r="L810" s="23" t="n"/>
      <c r="M810" s="23" t="n"/>
      <c r="N810" s="23" t="n"/>
      <c r="O810" s="23" t="n"/>
      <c r="P810" s="23" t="n"/>
      <c r="Q810" s="23" t="n"/>
      <c r="R810" s="23" t="n"/>
      <c r="S810" s="23" t="n"/>
      <c r="T810" s="23" t="n"/>
      <c r="U810" s="23" t="n"/>
      <c r="V810" s="23" t="n"/>
      <c r="W810" s="23" t="n"/>
      <c r="X810" s="23" t="n"/>
      <c r="Y810" s="23" t="n"/>
      <c r="Z810" s="23" t="n"/>
      <c r="AA810" s="23" t="n"/>
      <c r="AB810" s="23" t="n"/>
      <c r="AC810" s="23" t="n"/>
      <c r="AD810" s="23" t="n"/>
      <c r="AE810" s="23" t="n"/>
      <c r="AF810" s="23" t="n"/>
      <c r="AG810" s="23" t="n"/>
      <c r="AH810" s="23" t="n"/>
      <c r="AI810" s="23" t="n"/>
      <c r="AJ810" s="23" t="n"/>
      <c r="AK810" s="23" t="n"/>
      <c r="AL810" s="23" t="n"/>
      <c r="AM810" s="26">
        <f>IF(G810="","",G810&amp;"|"&amp;P810)</f>
        <v/>
      </c>
      <c r="AN810" s="27">
        <f>IF(I810="","",IFERROR(DATE(VALUE(RIGHT(I810,4)),VALUE(MID(I810,4,2)),VALUE(LEFT(I810,2))),""))</f>
        <v/>
      </c>
      <c r="AO810" s="27">
        <f>IF(Y810="","",IFERROR(DATE(VALUE(RIGHT(Y810,4)),VALUE(MID(Y810,4,2)),VALUE(LEFT(Y810,2))),""))</f>
        <v/>
      </c>
      <c r="AP810" s="27">
        <f>IF(AC810="","",IFERROR(DATE(VALUE(RIGHT(AC810,4)),VALUE(MID(AC810,4,2)),VALUE(LEFT(AC810,2))),""))</f>
        <v/>
      </c>
      <c r="AQ810" s="26">
        <f>IF(AI810="","",TRIM(LEFT(AI810,FIND(" ",AI810&amp;" ")-1)))</f>
        <v/>
      </c>
      <c r="AR810" s="27">
        <f>IF(AQ810="","",IFERROR(DATE(VALUE(MID(AQ810,FIND("/",AQ810,FIND("/",AQ810)+1)+1,4)),VALUE(LEFT(AQ810,FIND("/",AQ810)-1)),VALUE(MID(AQ810,FIND("/",AQ810)+1,FIND("/",AQ810,FIND("/",AQ810)+1)-FIND("/",AQ810)-1))),""))</f>
        <v/>
      </c>
      <c r="AS810" s="26">
        <f>IF(G810="","",IF(AND(AG810&lt;&gt;"",AG810&lt;&gt;"Bayi Aracı"),"Evet","Hayır"))</f>
        <v/>
      </c>
      <c r="AT810" s="26">
        <f>IF(G810="","",IF(AND(AS810="Evet",T810="Siparişiniz Teslim Edildi"),"Evet","Hayır"))</f>
        <v/>
      </c>
      <c r="AU810" s="26">
        <f>IF(G810="","",IF(AB810="Siparişinizin Montajı Yapıldı","Evet","Hayır"))</f>
        <v/>
      </c>
      <c r="AV810" s="27">
        <f>IF(G810="","",IF(AT810="Evet",AR810,IF(AU810="Evet",AP810,"")))</f>
        <v/>
      </c>
    </row>
    <row r="811">
      <c r="A811" s="23" t="n"/>
      <c r="B811" s="23" t="n"/>
      <c r="C811" s="23" t="n"/>
      <c r="D811" s="23" t="n"/>
      <c r="E811" s="23" t="n"/>
      <c r="F811" s="23" t="n"/>
      <c r="G811" s="23" t="n"/>
      <c r="H811" s="23" t="n"/>
      <c r="I811" s="23" t="n"/>
      <c r="J811" s="23" t="n"/>
      <c r="K811" s="23" t="n"/>
      <c r="L811" s="23" t="n"/>
      <c r="M811" s="23" t="n"/>
      <c r="N811" s="23" t="n"/>
      <c r="O811" s="23" t="n"/>
      <c r="P811" s="23" t="n"/>
      <c r="Q811" s="23" t="n"/>
      <c r="R811" s="23" t="n"/>
      <c r="S811" s="23" t="n"/>
      <c r="T811" s="23" t="n"/>
      <c r="U811" s="23" t="n"/>
      <c r="V811" s="23" t="n"/>
      <c r="W811" s="23" t="n"/>
      <c r="X811" s="23" t="n"/>
      <c r="Y811" s="23" t="n"/>
      <c r="Z811" s="23" t="n"/>
      <c r="AA811" s="23" t="n"/>
      <c r="AB811" s="23" t="n"/>
      <c r="AC811" s="23" t="n"/>
      <c r="AD811" s="23" t="n"/>
      <c r="AE811" s="23" t="n"/>
      <c r="AF811" s="23" t="n"/>
      <c r="AG811" s="23" t="n"/>
      <c r="AH811" s="23" t="n"/>
      <c r="AI811" s="23" t="n"/>
      <c r="AJ811" s="23" t="n"/>
      <c r="AK811" s="23" t="n"/>
      <c r="AL811" s="23" t="n"/>
      <c r="AM811" s="26">
        <f>IF(G811="","",G811&amp;"|"&amp;P811)</f>
        <v/>
      </c>
      <c r="AN811" s="27">
        <f>IF(I811="","",IFERROR(DATE(VALUE(RIGHT(I811,4)),VALUE(MID(I811,4,2)),VALUE(LEFT(I811,2))),""))</f>
        <v/>
      </c>
      <c r="AO811" s="27">
        <f>IF(Y811="","",IFERROR(DATE(VALUE(RIGHT(Y811,4)),VALUE(MID(Y811,4,2)),VALUE(LEFT(Y811,2))),""))</f>
        <v/>
      </c>
      <c r="AP811" s="27">
        <f>IF(AC811="","",IFERROR(DATE(VALUE(RIGHT(AC811,4)),VALUE(MID(AC811,4,2)),VALUE(LEFT(AC811,2))),""))</f>
        <v/>
      </c>
      <c r="AQ811" s="26">
        <f>IF(AI811="","",TRIM(LEFT(AI811,FIND(" ",AI811&amp;" ")-1)))</f>
        <v/>
      </c>
      <c r="AR811" s="27">
        <f>IF(AQ811="","",IFERROR(DATE(VALUE(MID(AQ811,FIND("/",AQ811,FIND("/",AQ811)+1)+1,4)),VALUE(LEFT(AQ811,FIND("/",AQ811)-1)),VALUE(MID(AQ811,FIND("/",AQ811)+1,FIND("/",AQ811,FIND("/",AQ811)+1)-FIND("/",AQ811)-1))),""))</f>
        <v/>
      </c>
      <c r="AS811" s="26">
        <f>IF(G811="","",IF(AND(AG811&lt;&gt;"",AG811&lt;&gt;"Bayi Aracı"),"Evet","Hayır"))</f>
        <v/>
      </c>
      <c r="AT811" s="26">
        <f>IF(G811="","",IF(AND(AS811="Evet",T811="Siparişiniz Teslim Edildi"),"Evet","Hayır"))</f>
        <v/>
      </c>
      <c r="AU811" s="26">
        <f>IF(G811="","",IF(AB811="Siparişinizin Montajı Yapıldı","Evet","Hayır"))</f>
        <v/>
      </c>
      <c r="AV811" s="27">
        <f>IF(G811="","",IF(AT811="Evet",AR811,IF(AU811="Evet",AP811,"")))</f>
        <v/>
      </c>
    </row>
    <row r="812">
      <c r="A812" s="23" t="n"/>
      <c r="B812" s="23" t="n"/>
      <c r="C812" s="23" t="n"/>
      <c r="D812" s="23" t="n"/>
      <c r="E812" s="23" t="n"/>
      <c r="F812" s="23" t="n"/>
      <c r="G812" s="23" t="n"/>
      <c r="H812" s="23" t="n"/>
      <c r="I812" s="23" t="n"/>
      <c r="J812" s="23" t="n"/>
      <c r="K812" s="23" t="n"/>
      <c r="L812" s="23" t="n"/>
      <c r="M812" s="23" t="n"/>
      <c r="N812" s="23" t="n"/>
      <c r="O812" s="23" t="n"/>
      <c r="P812" s="23" t="n"/>
      <c r="Q812" s="23" t="n"/>
      <c r="R812" s="23" t="n"/>
      <c r="S812" s="23" t="n"/>
      <c r="T812" s="23" t="n"/>
      <c r="U812" s="23" t="n"/>
      <c r="V812" s="23" t="n"/>
      <c r="W812" s="23" t="n"/>
      <c r="X812" s="23" t="n"/>
      <c r="Y812" s="23" t="n"/>
      <c r="Z812" s="23" t="n"/>
      <c r="AA812" s="23" t="n"/>
      <c r="AB812" s="23" t="n"/>
      <c r="AC812" s="23" t="n"/>
      <c r="AD812" s="23" t="n"/>
      <c r="AE812" s="23" t="n"/>
      <c r="AF812" s="23" t="n"/>
      <c r="AG812" s="23" t="n"/>
      <c r="AH812" s="23" t="n"/>
      <c r="AI812" s="23" t="n"/>
      <c r="AJ812" s="23" t="n"/>
      <c r="AK812" s="23" t="n"/>
      <c r="AL812" s="23" t="n"/>
      <c r="AM812" s="26">
        <f>IF(G812="","",G812&amp;"|"&amp;P812)</f>
        <v/>
      </c>
      <c r="AN812" s="27">
        <f>IF(I812="","",IFERROR(DATE(VALUE(RIGHT(I812,4)),VALUE(MID(I812,4,2)),VALUE(LEFT(I812,2))),""))</f>
        <v/>
      </c>
      <c r="AO812" s="27">
        <f>IF(Y812="","",IFERROR(DATE(VALUE(RIGHT(Y812,4)),VALUE(MID(Y812,4,2)),VALUE(LEFT(Y812,2))),""))</f>
        <v/>
      </c>
      <c r="AP812" s="27">
        <f>IF(AC812="","",IFERROR(DATE(VALUE(RIGHT(AC812,4)),VALUE(MID(AC812,4,2)),VALUE(LEFT(AC812,2))),""))</f>
        <v/>
      </c>
      <c r="AQ812" s="26">
        <f>IF(AI812="","",TRIM(LEFT(AI812,FIND(" ",AI812&amp;" ")-1)))</f>
        <v/>
      </c>
      <c r="AR812" s="27">
        <f>IF(AQ812="","",IFERROR(DATE(VALUE(MID(AQ812,FIND("/",AQ812,FIND("/",AQ812)+1)+1,4)),VALUE(LEFT(AQ812,FIND("/",AQ812)-1)),VALUE(MID(AQ812,FIND("/",AQ812)+1,FIND("/",AQ812,FIND("/",AQ812)+1)-FIND("/",AQ812)-1))),""))</f>
        <v/>
      </c>
      <c r="AS812" s="26">
        <f>IF(G812="","",IF(AND(AG812&lt;&gt;"",AG812&lt;&gt;"Bayi Aracı"),"Evet","Hayır"))</f>
        <v/>
      </c>
      <c r="AT812" s="26">
        <f>IF(G812="","",IF(AND(AS812="Evet",T812="Siparişiniz Teslim Edildi"),"Evet","Hayır"))</f>
        <v/>
      </c>
      <c r="AU812" s="26">
        <f>IF(G812="","",IF(AB812="Siparişinizin Montajı Yapıldı","Evet","Hayır"))</f>
        <v/>
      </c>
      <c r="AV812" s="27">
        <f>IF(G812="","",IF(AT812="Evet",AR812,IF(AU812="Evet",AP812,"")))</f>
        <v/>
      </c>
    </row>
    <row r="813">
      <c r="A813" s="23" t="n"/>
      <c r="B813" s="23" t="n"/>
      <c r="C813" s="23" t="n"/>
      <c r="D813" s="23" t="n"/>
      <c r="E813" s="23" t="n"/>
      <c r="F813" s="23" t="n"/>
      <c r="G813" s="23" t="n"/>
      <c r="H813" s="23" t="n"/>
      <c r="I813" s="23" t="n"/>
      <c r="J813" s="23" t="n"/>
      <c r="K813" s="23" t="n"/>
      <c r="L813" s="23" t="n"/>
      <c r="M813" s="23" t="n"/>
      <c r="N813" s="23" t="n"/>
      <c r="O813" s="23" t="n"/>
      <c r="P813" s="23" t="n"/>
      <c r="Q813" s="23" t="n"/>
      <c r="R813" s="23" t="n"/>
      <c r="S813" s="23" t="n"/>
      <c r="T813" s="23" t="n"/>
      <c r="U813" s="23" t="n"/>
      <c r="V813" s="23" t="n"/>
      <c r="W813" s="23" t="n"/>
      <c r="X813" s="23" t="n"/>
      <c r="Y813" s="23" t="n"/>
      <c r="Z813" s="23" t="n"/>
      <c r="AA813" s="23" t="n"/>
      <c r="AB813" s="23" t="n"/>
      <c r="AC813" s="23" t="n"/>
      <c r="AD813" s="23" t="n"/>
      <c r="AE813" s="23" t="n"/>
      <c r="AF813" s="23" t="n"/>
      <c r="AG813" s="23" t="n"/>
      <c r="AH813" s="23" t="n"/>
      <c r="AI813" s="23" t="n"/>
      <c r="AJ813" s="23" t="n"/>
      <c r="AK813" s="23" t="n"/>
      <c r="AL813" s="23" t="n"/>
      <c r="AM813" s="26">
        <f>IF(G813="","",G813&amp;"|"&amp;P813)</f>
        <v/>
      </c>
      <c r="AN813" s="27">
        <f>IF(I813="","",IFERROR(DATE(VALUE(RIGHT(I813,4)),VALUE(MID(I813,4,2)),VALUE(LEFT(I813,2))),""))</f>
        <v/>
      </c>
      <c r="AO813" s="27">
        <f>IF(Y813="","",IFERROR(DATE(VALUE(RIGHT(Y813,4)),VALUE(MID(Y813,4,2)),VALUE(LEFT(Y813,2))),""))</f>
        <v/>
      </c>
      <c r="AP813" s="27">
        <f>IF(AC813="","",IFERROR(DATE(VALUE(RIGHT(AC813,4)),VALUE(MID(AC813,4,2)),VALUE(LEFT(AC813,2))),""))</f>
        <v/>
      </c>
      <c r="AQ813" s="26">
        <f>IF(AI813="","",TRIM(LEFT(AI813,FIND(" ",AI813&amp;" ")-1)))</f>
        <v/>
      </c>
      <c r="AR813" s="27">
        <f>IF(AQ813="","",IFERROR(DATE(VALUE(MID(AQ813,FIND("/",AQ813,FIND("/",AQ813)+1)+1,4)),VALUE(LEFT(AQ813,FIND("/",AQ813)-1)),VALUE(MID(AQ813,FIND("/",AQ813)+1,FIND("/",AQ813,FIND("/",AQ813)+1)-FIND("/",AQ813)-1))),""))</f>
        <v/>
      </c>
      <c r="AS813" s="26">
        <f>IF(G813="","",IF(AND(AG813&lt;&gt;"",AG813&lt;&gt;"Bayi Aracı"),"Evet","Hayır"))</f>
        <v/>
      </c>
      <c r="AT813" s="26">
        <f>IF(G813="","",IF(AND(AS813="Evet",T813="Siparişiniz Teslim Edildi"),"Evet","Hayır"))</f>
        <v/>
      </c>
      <c r="AU813" s="26">
        <f>IF(G813="","",IF(AB813="Siparişinizin Montajı Yapıldı","Evet","Hayır"))</f>
        <v/>
      </c>
      <c r="AV813" s="27">
        <f>IF(G813="","",IF(AT813="Evet",AR813,IF(AU813="Evet",AP813,"")))</f>
        <v/>
      </c>
    </row>
    <row r="814">
      <c r="A814" s="23" t="n"/>
      <c r="B814" s="23" t="n"/>
      <c r="C814" s="23" t="n"/>
      <c r="D814" s="23" t="n"/>
      <c r="E814" s="23" t="n"/>
      <c r="F814" s="23" t="n"/>
      <c r="G814" s="23" t="n"/>
      <c r="H814" s="23" t="n"/>
      <c r="I814" s="23" t="n"/>
      <c r="J814" s="23" t="n"/>
      <c r="K814" s="23" t="n"/>
      <c r="L814" s="23" t="n"/>
      <c r="M814" s="23" t="n"/>
      <c r="N814" s="23" t="n"/>
      <c r="O814" s="23" t="n"/>
      <c r="P814" s="23" t="n"/>
      <c r="Q814" s="23" t="n"/>
      <c r="R814" s="23" t="n"/>
      <c r="S814" s="23" t="n"/>
      <c r="T814" s="23" t="n"/>
      <c r="U814" s="23" t="n"/>
      <c r="V814" s="23" t="n"/>
      <c r="W814" s="23" t="n"/>
      <c r="X814" s="23" t="n"/>
      <c r="Y814" s="23" t="n"/>
      <c r="Z814" s="23" t="n"/>
      <c r="AA814" s="23" t="n"/>
      <c r="AB814" s="23" t="n"/>
      <c r="AC814" s="23" t="n"/>
      <c r="AD814" s="23" t="n"/>
      <c r="AE814" s="23" t="n"/>
      <c r="AF814" s="23" t="n"/>
      <c r="AG814" s="23" t="n"/>
      <c r="AH814" s="23" t="n"/>
      <c r="AI814" s="23" t="n"/>
      <c r="AJ814" s="23" t="n"/>
      <c r="AK814" s="23" t="n"/>
      <c r="AL814" s="23" t="n"/>
      <c r="AM814" s="26">
        <f>IF(G814="","",G814&amp;"|"&amp;P814)</f>
        <v/>
      </c>
      <c r="AN814" s="27">
        <f>IF(I814="","",IFERROR(DATE(VALUE(RIGHT(I814,4)),VALUE(MID(I814,4,2)),VALUE(LEFT(I814,2))),""))</f>
        <v/>
      </c>
      <c r="AO814" s="27">
        <f>IF(Y814="","",IFERROR(DATE(VALUE(RIGHT(Y814,4)),VALUE(MID(Y814,4,2)),VALUE(LEFT(Y814,2))),""))</f>
        <v/>
      </c>
      <c r="AP814" s="27">
        <f>IF(AC814="","",IFERROR(DATE(VALUE(RIGHT(AC814,4)),VALUE(MID(AC814,4,2)),VALUE(LEFT(AC814,2))),""))</f>
        <v/>
      </c>
      <c r="AQ814" s="26">
        <f>IF(AI814="","",TRIM(LEFT(AI814,FIND(" ",AI814&amp;" ")-1)))</f>
        <v/>
      </c>
      <c r="AR814" s="27">
        <f>IF(AQ814="","",IFERROR(DATE(VALUE(MID(AQ814,FIND("/",AQ814,FIND("/",AQ814)+1)+1,4)),VALUE(LEFT(AQ814,FIND("/",AQ814)-1)),VALUE(MID(AQ814,FIND("/",AQ814)+1,FIND("/",AQ814,FIND("/",AQ814)+1)-FIND("/",AQ814)-1))),""))</f>
        <v/>
      </c>
      <c r="AS814" s="26">
        <f>IF(G814="","",IF(AND(AG814&lt;&gt;"",AG814&lt;&gt;"Bayi Aracı"),"Evet","Hayır"))</f>
        <v/>
      </c>
      <c r="AT814" s="26">
        <f>IF(G814="","",IF(AND(AS814="Evet",T814="Siparişiniz Teslim Edildi"),"Evet","Hayır"))</f>
        <v/>
      </c>
      <c r="AU814" s="26">
        <f>IF(G814="","",IF(AB814="Siparişinizin Montajı Yapıldı","Evet","Hayır"))</f>
        <v/>
      </c>
      <c r="AV814" s="27">
        <f>IF(G814="","",IF(AT814="Evet",AR814,IF(AU814="Evet",AP814,"")))</f>
        <v/>
      </c>
    </row>
    <row r="815">
      <c r="A815" s="23" t="n"/>
      <c r="B815" s="23" t="n"/>
      <c r="C815" s="23" t="n"/>
      <c r="D815" s="23" t="n"/>
      <c r="E815" s="23" t="n"/>
      <c r="F815" s="23" t="n"/>
      <c r="G815" s="23" t="n"/>
      <c r="H815" s="23" t="n"/>
      <c r="I815" s="23" t="n"/>
      <c r="J815" s="23" t="n"/>
      <c r="K815" s="23" t="n"/>
      <c r="L815" s="23" t="n"/>
      <c r="M815" s="23" t="n"/>
      <c r="N815" s="23" t="n"/>
      <c r="O815" s="23" t="n"/>
      <c r="P815" s="23" t="n"/>
      <c r="Q815" s="23" t="n"/>
      <c r="R815" s="23" t="n"/>
      <c r="S815" s="23" t="n"/>
      <c r="T815" s="23" t="n"/>
      <c r="U815" s="23" t="n"/>
      <c r="V815" s="23" t="n"/>
      <c r="W815" s="23" t="n"/>
      <c r="X815" s="23" t="n"/>
      <c r="Y815" s="23" t="n"/>
      <c r="Z815" s="23" t="n"/>
      <c r="AA815" s="23" t="n"/>
      <c r="AB815" s="23" t="n"/>
      <c r="AC815" s="23" t="n"/>
      <c r="AD815" s="23" t="n"/>
      <c r="AE815" s="23" t="n"/>
      <c r="AF815" s="23" t="n"/>
      <c r="AG815" s="23" t="n"/>
      <c r="AH815" s="23" t="n"/>
      <c r="AI815" s="23" t="n"/>
      <c r="AJ815" s="23" t="n"/>
      <c r="AK815" s="23" t="n"/>
      <c r="AL815" s="23" t="n"/>
      <c r="AM815" s="26">
        <f>IF(G815="","",G815&amp;"|"&amp;P815)</f>
        <v/>
      </c>
      <c r="AN815" s="27">
        <f>IF(I815="","",IFERROR(DATE(VALUE(RIGHT(I815,4)),VALUE(MID(I815,4,2)),VALUE(LEFT(I815,2))),""))</f>
        <v/>
      </c>
      <c r="AO815" s="27">
        <f>IF(Y815="","",IFERROR(DATE(VALUE(RIGHT(Y815,4)),VALUE(MID(Y815,4,2)),VALUE(LEFT(Y815,2))),""))</f>
        <v/>
      </c>
      <c r="AP815" s="27">
        <f>IF(AC815="","",IFERROR(DATE(VALUE(RIGHT(AC815,4)),VALUE(MID(AC815,4,2)),VALUE(LEFT(AC815,2))),""))</f>
        <v/>
      </c>
      <c r="AQ815" s="26">
        <f>IF(AI815="","",TRIM(LEFT(AI815,FIND(" ",AI815&amp;" ")-1)))</f>
        <v/>
      </c>
      <c r="AR815" s="27">
        <f>IF(AQ815="","",IFERROR(DATE(VALUE(MID(AQ815,FIND("/",AQ815,FIND("/",AQ815)+1)+1,4)),VALUE(LEFT(AQ815,FIND("/",AQ815)-1)),VALUE(MID(AQ815,FIND("/",AQ815)+1,FIND("/",AQ815,FIND("/",AQ815)+1)-FIND("/",AQ815)-1))),""))</f>
        <v/>
      </c>
      <c r="AS815" s="26">
        <f>IF(G815="","",IF(AND(AG815&lt;&gt;"",AG815&lt;&gt;"Bayi Aracı"),"Evet","Hayır"))</f>
        <v/>
      </c>
      <c r="AT815" s="26">
        <f>IF(G815="","",IF(AND(AS815="Evet",T815="Siparişiniz Teslim Edildi"),"Evet","Hayır"))</f>
        <v/>
      </c>
      <c r="AU815" s="26">
        <f>IF(G815="","",IF(AB815="Siparişinizin Montajı Yapıldı","Evet","Hayır"))</f>
        <v/>
      </c>
      <c r="AV815" s="27">
        <f>IF(G815="","",IF(AT815="Evet",AR815,IF(AU815="Evet",AP815,"")))</f>
        <v/>
      </c>
    </row>
    <row r="816">
      <c r="A816" s="23" t="n"/>
      <c r="B816" s="23" t="n"/>
      <c r="C816" s="23" t="n"/>
      <c r="D816" s="23" t="n"/>
      <c r="E816" s="23" t="n"/>
      <c r="F816" s="23" t="n"/>
      <c r="G816" s="23" t="n"/>
      <c r="H816" s="23" t="n"/>
      <c r="I816" s="23" t="n"/>
      <c r="J816" s="23" t="n"/>
      <c r="K816" s="23" t="n"/>
      <c r="L816" s="23" t="n"/>
      <c r="M816" s="23" t="n"/>
      <c r="N816" s="23" t="n"/>
      <c r="O816" s="23" t="n"/>
      <c r="P816" s="23" t="n"/>
      <c r="Q816" s="23" t="n"/>
      <c r="R816" s="23" t="n"/>
      <c r="S816" s="23" t="n"/>
      <c r="T816" s="23" t="n"/>
      <c r="U816" s="23" t="n"/>
      <c r="V816" s="23" t="n"/>
      <c r="W816" s="23" t="n"/>
      <c r="X816" s="23" t="n"/>
      <c r="Y816" s="23" t="n"/>
      <c r="Z816" s="23" t="n"/>
      <c r="AA816" s="23" t="n"/>
      <c r="AB816" s="23" t="n"/>
      <c r="AC816" s="23" t="n"/>
      <c r="AD816" s="23" t="n"/>
      <c r="AE816" s="23" t="n"/>
      <c r="AF816" s="23" t="n"/>
      <c r="AG816" s="23" t="n"/>
      <c r="AH816" s="23" t="n"/>
      <c r="AI816" s="23" t="n"/>
      <c r="AJ816" s="23" t="n"/>
      <c r="AK816" s="23" t="n"/>
      <c r="AL816" s="23" t="n"/>
      <c r="AM816" s="26">
        <f>IF(G816="","",G816&amp;"|"&amp;P816)</f>
        <v/>
      </c>
      <c r="AN816" s="27">
        <f>IF(I816="","",IFERROR(DATE(VALUE(RIGHT(I816,4)),VALUE(MID(I816,4,2)),VALUE(LEFT(I816,2))),""))</f>
        <v/>
      </c>
      <c r="AO816" s="27">
        <f>IF(Y816="","",IFERROR(DATE(VALUE(RIGHT(Y816,4)),VALUE(MID(Y816,4,2)),VALUE(LEFT(Y816,2))),""))</f>
        <v/>
      </c>
      <c r="AP816" s="27">
        <f>IF(AC816="","",IFERROR(DATE(VALUE(RIGHT(AC816,4)),VALUE(MID(AC816,4,2)),VALUE(LEFT(AC816,2))),""))</f>
        <v/>
      </c>
      <c r="AQ816" s="26">
        <f>IF(AI816="","",TRIM(LEFT(AI816,FIND(" ",AI816&amp;" ")-1)))</f>
        <v/>
      </c>
      <c r="AR816" s="27">
        <f>IF(AQ816="","",IFERROR(DATE(VALUE(MID(AQ816,FIND("/",AQ816,FIND("/",AQ816)+1)+1,4)),VALUE(LEFT(AQ816,FIND("/",AQ816)-1)),VALUE(MID(AQ816,FIND("/",AQ816)+1,FIND("/",AQ816,FIND("/",AQ816)+1)-FIND("/",AQ816)-1))),""))</f>
        <v/>
      </c>
      <c r="AS816" s="26">
        <f>IF(G816="","",IF(AND(AG816&lt;&gt;"",AG816&lt;&gt;"Bayi Aracı"),"Evet","Hayır"))</f>
        <v/>
      </c>
      <c r="AT816" s="26">
        <f>IF(G816="","",IF(AND(AS816="Evet",T816="Siparişiniz Teslim Edildi"),"Evet","Hayır"))</f>
        <v/>
      </c>
      <c r="AU816" s="26">
        <f>IF(G816="","",IF(AB816="Siparişinizin Montajı Yapıldı","Evet","Hayır"))</f>
        <v/>
      </c>
      <c r="AV816" s="27">
        <f>IF(G816="","",IF(AT816="Evet",AR816,IF(AU816="Evet",AP816,"")))</f>
        <v/>
      </c>
    </row>
    <row r="817">
      <c r="A817" s="23" t="n"/>
      <c r="B817" s="23" t="n"/>
      <c r="C817" s="23" t="n"/>
      <c r="D817" s="23" t="n"/>
      <c r="E817" s="23" t="n"/>
      <c r="F817" s="23" t="n"/>
      <c r="G817" s="23" t="n"/>
      <c r="H817" s="23" t="n"/>
      <c r="I817" s="23" t="n"/>
      <c r="J817" s="23" t="n"/>
      <c r="K817" s="23" t="n"/>
      <c r="L817" s="23" t="n"/>
      <c r="M817" s="23" t="n"/>
      <c r="N817" s="23" t="n"/>
      <c r="O817" s="23" t="n"/>
      <c r="P817" s="23" t="n"/>
      <c r="Q817" s="23" t="n"/>
      <c r="R817" s="23" t="n"/>
      <c r="S817" s="23" t="n"/>
      <c r="T817" s="23" t="n"/>
      <c r="U817" s="23" t="n"/>
      <c r="V817" s="23" t="n"/>
      <c r="W817" s="23" t="n"/>
      <c r="X817" s="23" t="n"/>
      <c r="Y817" s="23" t="n"/>
      <c r="Z817" s="23" t="n"/>
      <c r="AA817" s="23" t="n"/>
      <c r="AB817" s="23" t="n"/>
      <c r="AC817" s="23" t="n"/>
      <c r="AD817" s="23" t="n"/>
      <c r="AE817" s="23" t="n"/>
      <c r="AF817" s="23" t="n"/>
      <c r="AG817" s="23" t="n"/>
      <c r="AH817" s="23" t="n"/>
      <c r="AI817" s="23" t="n"/>
      <c r="AJ817" s="23" t="n"/>
      <c r="AK817" s="23" t="n"/>
      <c r="AL817" s="23" t="n"/>
      <c r="AM817" s="26">
        <f>IF(G817="","",G817&amp;"|"&amp;P817)</f>
        <v/>
      </c>
      <c r="AN817" s="27">
        <f>IF(I817="","",IFERROR(DATE(VALUE(RIGHT(I817,4)),VALUE(MID(I817,4,2)),VALUE(LEFT(I817,2))),""))</f>
        <v/>
      </c>
      <c r="AO817" s="27">
        <f>IF(Y817="","",IFERROR(DATE(VALUE(RIGHT(Y817,4)),VALUE(MID(Y817,4,2)),VALUE(LEFT(Y817,2))),""))</f>
        <v/>
      </c>
      <c r="AP817" s="27">
        <f>IF(AC817="","",IFERROR(DATE(VALUE(RIGHT(AC817,4)),VALUE(MID(AC817,4,2)),VALUE(LEFT(AC817,2))),""))</f>
        <v/>
      </c>
      <c r="AQ817" s="26">
        <f>IF(AI817="","",TRIM(LEFT(AI817,FIND(" ",AI817&amp;" ")-1)))</f>
        <v/>
      </c>
      <c r="AR817" s="27">
        <f>IF(AQ817="","",IFERROR(DATE(VALUE(MID(AQ817,FIND("/",AQ817,FIND("/",AQ817)+1)+1,4)),VALUE(LEFT(AQ817,FIND("/",AQ817)-1)),VALUE(MID(AQ817,FIND("/",AQ817)+1,FIND("/",AQ817,FIND("/",AQ817)+1)-FIND("/",AQ817)-1))),""))</f>
        <v/>
      </c>
      <c r="AS817" s="26">
        <f>IF(G817="","",IF(AND(AG817&lt;&gt;"",AG817&lt;&gt;"Bayi Aracı"),"Evet","Hayır"))</f>
        <v/>
      </c>
      <c r="AT817" s="26">
        <f>IF(G817="","",IF(AND(AS817="Evet",T817="Siparişiniz Teslim Edildi"),"Evet","Hayır"))</f>
        <v/>
      </c>
      <c r="AU817" s="26">
        <f>IF(G817="","",IF(AB817="Siparişinizin Montajı Yapıldı","Evet","Hayır"))</f>
        <v/>
      </c>
      <c r="AV817" s="27">
        <f>IF(G817="","",IF(AT817="Evet",AR817,IF(AU817="Evet",AP817,"")))</f>
        <v/>
      </c>
    </row>
    <row r="818">
      <c r="A818" s="23" t="n"/>
      <c r="B818" s="23" t="n"/>
      <c r="C818" s="23" t="n"/>
      <c r="D818" s="23" t="n"/>
      <c r="E818" s="23" t="n"/>
      <c r="F818" s="23" t="n"/>
      <c r="G818" s="23" t="n"/>
      <c r="H818" s="23" t="n"/>
      <c r="I818" s="23" t="n"/>
      <c r="J818" s="23" t="n"/>
      <c r="K818" s="23" t="n"/>
      <c r="L818" s="23" t="n"/>
      <c r="M818" s="23" t="n"/>
      <c r="N818" s="23" t="n"/>
      <c r="O818" s="23" t="n"/>
      <c r="P818" s="23" t="n"/>
      <c r="Q818" s="23" t="n"/>
      <c r="R818" s="23" t="n"/>
      <c r="S818" s="23" t="n"/>
      <c r="T818" s="23" t="n"/>
      <c r="U818" s="23" t="n"/>
      <c r="V818" s="23" t="n"/>
      <c r="W818" s="23" t="n"/>
      <c r="X818" s="23" t="n"/>
      <c r="Y818" s="23" t="n"/>
      <c r="Z818" s="23" t="n"/>
      <c r="AA818" s="23" t="n"/>
      <c r="AB818" s="23" t="n"/>
      <c r="AC818" s="23" t="n"/>
      <c r="AD818" s="23" t="n"/>
      <c r="AE818" s="23" t="n"/>
      <c r="AF818" s="23" t="n"/>
      <c r="AG818" s="23" t="n"/>
      <c r="AH818" s="23" t="n"/>
      <c r="AI818" s="23" t="n"/>
      <c r="AJ818" s="23" t="n"/>
      <c r="AK818" s="23" t="n"/>
      <c r="AL818" s="23" t="n"/>
      <c r="AM818" s="26">
        <f>IF(G818="","",G818&amp;"|"&amp;P818)</f>
        <v/>
      </c>
      <c r="AN818" s="27">
        <f>IF(I818="","",IFERROR(DATE(VALUE(RIGHT(I818,4)),VALUE(MID(I818,4,2)),VALUE(LEFT(I818,2))),""))</f>
        <v/>
      </c>
      <c r="AO818" s="27">
        <f>IF(Y818="","",IFERROR(DATE(VALUE(RIGHT(Y818,4)),VALUE(MID(Y818,4,2)),VALUE(LEFT(Y818,2))),""))</f>
        <v/>
      </c>
      <c r="AP818" s="27">
        <f>IF(AC818="","",IFERROR(DATE(VALUE(RIGHT(AC818,4)),VALUE(MID(AC818,4,2)),VALUE(LEFT(AC818,2))),""))</f>
        <v/>
      </c>
      <c r="AQ818" s="26">
        <f>IF(AI818="","",TRIM(LEFT(AI818,FIND(" ",AI818&amp;" ")-1)))</f>
        <v/>
      </c>
      <c r="AR818" s="27">
        <f>IF(AQ818="","",IFERROR(DATE(VALUE(MID(AQ818,FIND("/",AQ818,FIND("/",AQ818)+1)+1,4)),VALUE(LEFT(AQ818,FIND("/",AQ818)-1)),VALUE(MID(AQ818,FIND("/",AQ818)+1,FIND("/",AQ818,FIND("/",AQ818)+1)-FIND("/",AQ818)-1))),""))</f>
        <v/>
      </c>
      <c r="AS818" s="26">
        <f>IF(G818="","",IF(AND(AG818&lt;&gt;"",AG818&lt;&gt;"Bayi Aracı"),"Evet","Hayır"))</f>
        <v/>
      </c>
      <c r="AT818" s="26">
        <f>IF(G818="","",IF(AND(AS818="Evet",T818="Siparişiniz Teslim Edildi"),"Evet","Hayır"))</f>
        <v/>
      </c>
      <c r="AU818" s="26">
        <f>IF(G818="","",IF(AB818="Siparişinizin Montajı Yapıldı","Evet","Hayır"))</f>
        <v/>
      </c>
      <c r="AV818" s="27">
        <f>IF(G818="","",IF(AT818="Evet",AR818,IF(AU818="Evet",AP818,"")))</f>
        <v/>
      </c>
    </row>
    <row r="819">
      <c r="A819" s="23" t="n"/>
      <c r="B819" s="23" t="n"/>
      <c r="C819" s="23" t="n"/>
      <c r="D819" s="23" t="n"/>
      <c r="E819" s="23" t="n"/>
      <c r="F819" s="23" t="n"/>
      <c r="G819" s="23" t="n"/>
      <c r="H819" s="23" t="n"/>
      <c r="I819" s="23" t="n"/>
      <c r="J819" s="23" t="n"/>
      <c r="K819" s="23" t="n"/>
      <c r="L819" s="23" t="n"/>
      <c r="M819" s="23" t="n"/>
      <c r="N819" s="23" t="n"/>
      <c r="O819" s="23" t="n"/>
      <c r="P819" s="23" t="n"/>
      <c r="Q819" s="23" t="n"/>
      <c r="R819" s="23" t="n"/>
      <c r="S819" s="23" t="n"/>
      <c r="T819" s="23" t="n"/>
      <c r="U819" s="23" t="n"/>
      <c r="V819" s="23" t="n"/>
      <c r="W819" s="23" t="n"/>
      <c r="X819" s="23" t="n"/>
      <c r="Y819" s="23" t="n"/>
      <c r="Z819" s="23" t="n"/>
      <c r="AA819" s="23" t="n"/>
      <c r="AB819" s="23" t="n"/>
      <c r="AC819" s="23" t="n"/>
      <c r="AD819" s="23" t="n"/>
      <c r="AE819" s="23" t="n"/>
      <c r="AF819" s="23" t="n"/>
      <c r="AG819" s="23" t="n"/>
      <c r="AH819" s="23" t="n"/>
      <c r="AI819" s="23" t="n"/>
      <c r="AJ819" s="23" t="n"/>
      <c r="AK819" s="23" t="n"/>
      <c r="AL819" s="23" t="n"/>
      <c r="AM819" s="26">
        <f>IF(G819="","",G819&amp;"|"&amp;P819)</f>
        <v/>
      </c>
      <c r="AN819" s="27">
        <f>IF(I819="","",IFERROR(DATE(VALUE(RIGHT(I819,4)),VALUE(MID(I819,4,2)),VALUE(LEFT(I819,2))),""))</f>
        <v/>
      </c>
      <c r="AO819" s="27">
        <f>IF(Y819="","",IFERROR(DATE(VALUE(RIGHT(Y819,4)),VALUE(MID(Y819,4,2)),VALUE(LEFT(Y819,2))),""))</f>
        <v/>
      </c>
      <c r="AP819" s="27">
        <f>IF(AC819="","",IFERROR(DATE(VALUE(RIGHT(AC819,4)),VALUE(MID(AC819,4,2)),VALUE(LEFT(AC819,2))),""))</f>
        <v/>
      </c>
      <c r="AQ819" s="26">
        <f>IF(AI819="","",TRIM(LEFT(AI819,FIND(" ",AI819&amp;" ")-1)))</f>
        <v/>
      </c>
      <c r="AR819" s="27">
        <f>IF(AQ819="","",IFERROR(DATE(VALUE(MID(AQ819,FIND("/",AQ819,FIND("/",AQ819)+1)+1,4)),VALUE(LEFT(AQ819,FIND("/",AQ819)-1)),VALUE(MID(AQ819,FIND("/",AQ819)+1,FIND("/",AQ819,FIND("/",AQ819)+1)-FIND("/",AQ819)-1))),""))</f>
        <v/>
      </c>
      <c r="AS819" s="26">
        <f>IF(G819="","",IF(AND(AG819&lt;&gt;"",AG819&lt;&gt;"Bayi Aracı"),"Evet","Hayır"))</f>
        <v/>
      </c>
      <c r="AT819" s="26">
        <f>IF(G819="","",IF(AND(AS819="Evet",T819="Siparişiniz Teslim Edildi"),"Evet","Hayır"))</f>
        <v/>
      </c>
      <c r="AU819" s="26">
        <f>IF(G819="","",IF(AB819="Siparişinizin Montajı Yapıldı","Evet","Hayır"))</f>
        <v/>
      </c>
      <c r="AV819" s="27">
        <f>IF(G819="","",IF(AT819="Evet",AR819,IF(AU819="Evet",AP819,"")))</f>
        <v/>
      </c>
    </row>
    <row r="820">
      <c r="A820" s="23" t="n"/>
      <c r="B820" s="23" t="n"/>
      <c r="C820" s="23" t="n"/>
      <c r="D820" s="23" t="n"/>
      <c r="E820" s="23" t="n"/>
      <c r="F820" s="23" t="n"/>
      <c r="G820" s="23" t="n"/>
      <c r="H820" s="23" t="n"/>
      <c r="I820" s="23" t="n"/>
      <c r="J820" s="23" t="n"/>
      <c r="K820" s="23" t="n"/>
      <c r="L820" s="23" t="n"/>
      <c r="M820" s="23" t="n"/>
      <c r="N820" s="23" t="n"/>
      <c r="O820" s="23" t="n"/>
      <c r="P820" s="23" t="n"/>
      <c r="Q820" s="23" t="n"/>
      <c r="R820" s="23" t="n"/>
      <c r="S820" s="23" t="n"/>
      <c r="T820" s="23" t="n"/>
      <c r="U820" s="23" t="n"/>
      <c r="V820" s="23" t="n"/>
      <c r="W820" s="23" t="n"/>
      <c r="X820" s="23" t="n"/>
      <c r="Y820" s="23" t="n"/>
      <c r="Z820" s="23" t="n"/>
      <c r="AA820" s="23" t="n"/>
      <c r="AB820" s="23" t="n"/>
      <c r="AC820" s="23" t="n"/>
      <c r="AD820" s="23" t="n"/>
      <c r="AE820" s="23" t="n"/>
      <c r="AF820" s="23" t="n"/>
      <c r="AG820" s="23" t="n"/>
      <c r="AH820" s="23" t="n"/>
      <c r="AI820" s="23" t="n"/>
      <c r="AJ820" s="23" t="n"/>
      <c r="AK820" s="23" t="n"/>
      <c r="AL820" s="23" t="n"/>
      <c r="AM820" s="26">
        <f>IF(G820="","",G820&amp;"|"&amp;P820)</f>
        <v/>
      </c>
      <c r="AN820" s="27">
        <f>IF(I820="","",IFERROR(DATE(VALUE(RIGHT(I820,4)),VALUE(MID(I820,4,2)),VALUE(LEFT(I820,2))),""))</f>
        <v/>
      </c>
      <c r="AO820" s="27">
        <f>IF(Y820="","",IFERROR(DATE(VALUE(RIGHT(Y820,4)),VALUE(MID(Y820,4,2)),VALUE(LEFT(Y820,2))),""))</f>
        <v/>
      </c>
      <c r="AP820" s="27">
        <f>IF(AC820="","",IFERROR(DATE(VALUE(RIGHT(AC820,4)),VALUE(MID(AC820,4,2)),VALUE(LEFT(AC820,2))),""))</f>
        <v/>
      </c>
      <c r="AQ820" s="26">
        <f>IF(AI820="","",TRIM(LEFT(AI820,FIND(" ",AI820&amp;" ")-1)))</f>
        <v/>
      </c>
      <c r="AR820" s="27">
        <f>IF(AQ820="","",IFERROR(DATE(VALUE(MID(AQ820,FIND("/",AQ820,FIND("/",AQ820)+1)+1,4)),VALUE(LEFT(AQ820,FIND("/",AQ820)-1)),VALUE(MID(AQ820,FIND("/",AQ820)+1,FIND("/",AQ820,FIND("/",AQ820)+1)-FIND("/",AQ820)-1))),""))</f>
        <v/>
      </c>
      <c r="AS820" s="26">
        <f>IF(G820="","",IF(AND(AG820&lt;&gt;"",AG820&lt;&gt;"Bayi Aracı"),"Evet","Hayır"))</f>
        <v/>
      </c>
      <c r="AT820" s="26">
        <f>IF(G820="","",IF(AND(AS820="Evet",T820="Siparişiniz Teslim Edildi"),"Evet","Hayır"))</f>
        <v/>
      </c>
      <c r="AU820" s="26">
        <f>IF(G820="","",IF(AB820="Siparişinizin Montajı Yapıldı","Evet","Hayır"))</f>
        <v/>
      </c>
      <c r="AV820" s="27">
        <f>IF(G820="","",IF(AT820="Evet",AR820,IF(AU820="Evet",AP820,"")))</f>
        <v/>
      </c>
    </row>
    <row r="821">
      <c r="A821" s="23" t="n"/>
      <c r="B821" s="23" t="n"/>
      <c r="C821" s="23" t="n"/>
      <c r="D821" s="23" t="n"/>
      <c r="E821" s="23" t="n"/>
      <c r="F821" s="23" t="n"/>
      <c r="G821" s="23" t="n"/>
      <c r="H821" s="23" t="n"/>
      <c r="I821" s="23" t="n"/>
      <c r="J821" s="23" t="n"/>
      <c r="K821" s="23" t="n"/>
      <c r="L821" s="23" t="n"/>
      <c r="M821" s="23" t="n"/>
      <c r="N821" s="23" t="n"/>
      <c r="O821" s="23" t="n"/>
      <c r="P821" s="23" t="n"/>
      <c r="Q821" s="23" t="n"/>
      <c r="R821" s="23" t="n"/>
      <c r="S821" s="23" t="n"/>
      <c r="T821" s="23" t="n"/>
      <c r="U821" s="23" t="n"/>
      <c r="V821" s="23" t="n"/>
      <c r="W821" s="23" t="n"/>
      <c r="X821" s="23" t="n"/>
      <c r="Y821" s="23" t="n"/>
      <c r="Z821" s="23" t="n"/>
      <c r="AA821" s="23" t="n"/>
      <c r="AB821" s="23" t="n"/>
      <c r="AC821" s="23" t="n"/>
      <c r="AD821" s="23" t="n"/>
      <c r="AE821" s="23" t="n"/>
      <c r="AF821" s="23" t="n"/>
      <c r="AG821" s="23" t="n"/>
      <c r="AH821" s="23" t="n"/>
      <c r="AI821" s="23" t="n"/>
      <c r="AJ821" s="23" t="n"/>
      <c r="AK821" s="23" t="n"/>
      <c r="AL821" s="23" t="n"/>
      <c r="AM821" s="26">
        <f>IF(G821="","",G821&amp;"|"&amp;P821)</f>
        <v/>
      </c>
      <c r="AN821" s="27">
        <f>IF(I821="","",IFERROR(DATE(VALUE(RIGHT(I821,4)),VALUE(MID(I821,4,2)),VALUE(LEFT(I821,2))),""))</f>
        <v/>
      </c>
      <c r="AO821" s="27">
        <f>IF(Y821="","",IFERROR(DATE(VALUE(RIGHT(Y821,4)),VALUE(MID(Y821,4,2)),VALUE(LEFT(Y821,2))),""))</f>
        <v/>
      </c>
      <c r="AP821" s="27">
        <f>IF(AC821="","",IFERROR(DATE(VALUE(RIGHT(AC821,4)),VALUE(MID(AC821,4,2)),VALUE(LEFT(AC821,2))),""))</f>
        <v/>
      </c>
      <c r="AQ821" s="26">
        <f>IF(AI821="","",TRIM(LEFT(AI821,FIND(" ",AI821&amp;" ")-1)))</f>
        <v/>
      </c>
      <c r="AR821" s="27">
        <f>IF(AQ821="","",IFERROR(DATE(VALUE(MID(AQ821,FIND("/",AQ821,FIND("/",AQ821)+1)+1,4)),VALUE(LEFT(AQ821,FIND("/",AQ821)-1)),VALUE(MID(AQ821,FIND("/",AQ821)+1,FIND("/",AQ821,FIND("/",AQ821)+1)-FIND("/",AQ821)-1))),""))</f>
        <v/>
      </c>
      <c r="AS821" s="26">
        <f>IF(G821="","",IF(AND(AG821&lt;&gt;"",AG821&lt;&gt;"Bayi Aracı"),"Evet","Hayır"))</f>
        <v/>
      </c>
      <c r="AT821" s="26">
        <f>IF(G821="","",IF(AND(AS821="Evet",T821="Siparişiniz Teslim Edildi"),"Evet","Hayır"))</f>
        <v/>
      </c>
      <c r="AU821" s="26">
        <f>IF(G821="","",IF(AB821="Siparişinizin Montajı Yapıldı","Evet","Hayır"))</f>
        <v/>
      </c>
      <c r="AV821" s="27">
        <f>IF(G821="","",IF(AT821="Evet",AR821,IF(AU821="Evet",AP821,"")))</f>
        <v/>
      </c>
    </row>
    <row r="822">
      <c r="A822" s="23" t="n"/>
      <c r="B822" s="23" t="n"/>
      <c r="C822" s="23" t="n"/>
      <c r="D822" s="23" t="n"/>
      <c r="E822" s="23" t="n"/>
      <c r="F822" s="23" t="n"/>
      <c r="G822" s="23" t="n"/>
      <c r="H822" s="23" t="n"/>
      <c r="I822" s="23" t="n"/>
      <c r="J822" s="23" t="n"/>
      <c r="K822" s="23" t="n"/>
      <c r="L822" s="23" t="n"/>
      <c r="M822" s="23" t="n"/>
      <c r="N822" s="23" t="n"/>
      <c r="O822" s="23" t="n"/>
      <c r="P822" s="23" t="n"/>
      <c r="Q822" s="23" t="n"/>
      <c r="R822" s="23" t="n"/>
      <c r="S822" s="23" t="n"/>
      <c r="T822" s="23" t="n"/>
      <c r="U822" s="23" t="n"/>
      <c r="V822" s="23" t="n"/>
      <c r="W822" s="23" t="n"/>
      <c r="X822" s="23" t="n"/>
      <c r="Y822" s="23" t="n"/>
      <c r="Z822" s="23" t="n"/>
      <c r="AA822" s="23" t="n"/>
      <c r="AB822" s="23" t="n"/>
      <c r="AC822" s="23" t="n"/>
      <c r="AD822" s="23" t="n"/>
      <c r="AE822" s="23" t="n"/>
      <c r="AF822" s="23" t="n"/>
      <c r="AG822" s="23" t="n"/>
      <c r="AH822" s="23" t="n"/>
      <c r="AI822" s="23" t="n"/>
      <c r="AJ822" s="23" t="n"/>
      <c r="AK822" s="23" t="n"/>
      <c r="AL822" s="23" t="n"/>
      <c r="AM822" s="26">
        <f>IF(G822="","",G822&amp;"|"&amp;P822)</f>
        <v/>
      </c>
      <c r="AN822" s="27">
        <f>IF(I822="","",IFERROR(DATE(VALUE(RIGHT(I822,4)),VALUE(MID(I822,4,2)),VALUE(LEFT(I822,2))),""))</f>
        <v/>
      </c>
      <c r="AO822" s="27">
        <f>IF(Y822="","",IFERROR(DATE(VALUE(RIGHT(Y822,4)),VALUE(MID(Y822,4,2)),VALUE(LEFT(Y822,2))),""))</f>
        <v/>
      </c>
      <c r="AP822" s="27">
        <f>IF(AC822="","",IFERROR(DATE(VALUE(RIGHT(AC822,4)),VALUE(MID(AC822,4,2)),VALUE(LEFT(AC822,2))),""))</f>
        <v/>
      </c>
      <c r="AQ822" s="26">
        <f>IF(AI822="","",TRIM(LEFT(AI822,FIND(" ",AI822&amp;" ")-1)))</f>
        <v/>
      </c>
      <c r="AR822" s="27">
        <f>IF(AQ822="","",IFERROR(DATE(VALUE(MID(AQ822,FIND("/",AQ822,FIND("/",AQ822)+1)+1,4)),VALUE(LEFT(AQ822,FIND("/",AQ822)-1)),VALUE(MID(AQ822,FIND("/",AQ822)+1,FIND("/",AQ822,FIND("/",AQ822)+1)-FIND("/",AQ822)-1))),""))</f>
        <v/>
      </c>
      <c r="AS822" s="26">
        <f>IF(G822="","",IF(AND(AG822&lt;&gt;"",AG822&lt;&gt;"Bayi Aracı"),"Evet","Hayır"))</f>
        <v/>
      </c>
      <c r="AT822" s="26">
        <f>IF(G822="","",IF(AND(AS822="Evet",T822="Siparişiniz Teslim Edildi"),"Evet","Hayır"))</f>
        <v/>
      </c>
      <c r="AU822" s="26">
        <f>IF(G822="","",IF(AB822="Siparişinizin Montajı Yapıldı","Evet","Hayır"))</f>
        <v/>
      </c>
      <c r="AV822" s="27">
        <f>IF(G822="","",IF(AT822="Evet",AR822,IF(AU822="Evet",AP822,"")))</f>
        <v/>
      </c>
    </row>
    <row r="823">
      <c r="A823" s="23" t="n"/>
      <c r="B823" s="23" t="n"/>
      <c r="C823" s="23" t="n"/>
      <c r="D823" s="23" t="n"/>
      <c r="E823" s="23" t="n"/>
      <c r="F823" s="23" t="n"/>
      <c r="G823" s="23" t="n"/>
      <c r="H823" s="23" t="n"/>
      <c r="I823" s="23" t="n"/>
      <c r="J823" s="23" t="n"/>
      <c r="K823" s="23" t="n"/>
      <c r="L823" s="23" t="n"/>
      <c r="M823" s="23" t="n"/>
      <c r="N823" s="23" t="n"/>
      <c r="O823" s="23" t="n"/>
      <c r="P823" s="23" t="n"/>
      <c r="Q823" s="23" t="n"/>
      <c r="R823" s="23" t="n"/>
      <c r="S823" s="23" t="n"/>
      <c r="T823" s="23" t="n"/>
      <c r="U823" s="23" t="n"/>
      <c r="V823" s="23" t="n"/>
      <c r="W823" s="23" t="n"/>
      <c r="X823" s="23" t="n"/>
      <c r="Y823" s="23" t="n"/>
      <c r="Z823" s="23" t="n"/>
      <c r="AA823" s="23" t="n"/>
      <c r="AB823" s="23" t="n"/>
      <c r="AC823" s="23" t="n"/>
      <c r="AD823" s="23" t="n"/>
      <c r="AE823" s="23" t="n"/>
      <c r="AF823" s="23" t="n"/>
      <c r="AG823" s="23" t="n"/>
      <c r="AH823" s="23" t="n"/>
      <c r="AI823" s="23" t="n"/>
      <c r="AJ823" s="23" t="n"/>
      <c r="AK823" s="23" t="n"/>
      <c r="AL823" s="23" t="n"/>
      <c r="AM823" s="26">
        <f>IF(G823="","",G823&amp;"|"&amp;P823)</f>
        <v/>
      </c>
      <c r="AN823" s="27">
        <f>IF(I823="","",IFERROR(DATE(VALUE(RIGHT(I823,4)),VALUE(MID(I823,4,2)),VALUE(LEFT(I823,2))),""))</f>
        <v/>
      </c>
      <c r="AO823" s="27">
        <f>IF(Y823="","",IFERROR(DATE(VALUE(RIGHT(Y823,4)),VALUE(MID(Y823,4,2)),VALUE(LEFT(Y823,2))),""))</f>
        <v/>
      </c>
      <c r="AP823" s="27">
        <f>IF(AC823="","",IFERROR(DATE(VALUE(RIGHT(AC823,4)),VALUE(MID(AC823,4,2)),VALUE(LEFT(AC823,2))),""))</f>
        <v/>
      </c>
      <c r="AQ823" s="26">
        <f>IF(AI823="","",TRIM(LEFT(AI823,FIND(" ",AI823&amp;" ")-1)))</f>
        <v/>
      </c>
      <c r="AR823" s="27">
        <f>IF(AQ823="","",IFERROR(DATE(VALUE(MID(AQ823,FIND("/",AQ823,FIND("/",AQ823)+1)+1,4)),VALUE(LEFT(AQ823,FIND("/",AQ823)-1)),VALUE(MID(AQ823,FIND("/",AQ823)+1,FIND("/",AQ823,FIND("/",AQ823)+1)-FIND("/",AQ823)-1))),""))</f>
        <v/>
      </c>
      <c r="AS823" s="26">
        <f>IF(G823="","",IF(AND(AG823&lt;&gt;"",AG823&lt;&gt;"Bayi Aracı"),"Evet","Hayır"))</f>
        <v/>
      </c>
      <c r="AT823" s="26">
        <f>IF(G823="","",IF(AND(AS823="Evet",T823="Siparişiniz Teslim Edildi"),"Evet","Hayır"))</f>
        <v/>
      </c>
      <c r="AU823" s="26">
        <f>IF(G823="","",IF(AB823="Siparişinizin Montajı Yapıldı","Evet","Hayır"))</f>
        <v/>
      </c>
      <c r="AV823" s="27">
        <f>IF(G823="","",IF(AT823="Evet",AR823,IF(AU823="Evet",AP823,"")))</f>
        <v/>
      </c>
    </row>
    <row r="824">
      <c r="A824" s="23" t="n"/>
      <c r="B824" s="23" t="n"/>
      <c r="C824" s="23" t="n"/>
      <c r="D824" s="23" t="n"/>
      <c r="E824" s="23" t="n"/>
      <c r="F824" s="23" t="n"/>
      <c r="G824" s="23" t="n"/>
      <c r="H824" s="23" t="n"/>
      <c r="I824" s="23" t="n"/>
      <c r="J824" s="23" t="n"/>
      <c r="K824" s="23" t="n"/>
      <c r="L824" s="23" t="n"/>
      <c r="M824" s="23" t="n"/>
      <c r="N824" s="23" t="n"/>
      <c r="O824" s="23" t="n"/>
      <c r="P824" s="23" t="n"/>
      <c r="Q824" s="23" t="n"/>
      <c r="R824" s="23" t="n"/>
      <c r="S824" s="23" t="n"/>
      <c r="T824" s="23" t="n"/>
      <c r="U824" s="23" t="n"/>
      <c r="V824" s="23" t="n"/>
      <c r="W824" s="23" t="n"/>
      <c r="X824" s="23" t="n"/>
      <c r="Y824" s="23" t="n"/>
      <c r="Z824" s="23" t="n"/>
      <c r="AA824" s="23" t="n"/>
      <c r="AB824" s="23" t="n"/>
      <c r="AC824" s="23" t="n"/>
      <c r="AD824" s="23" t="n"/>
      <c r="AE824" s="23" t="n"/>
      <c r="AF824" s="23" t="n"/>
      <c r="AG824" s="23" t="n"/>
      <c r="AH824" s="23" t="n"/>
      <c r="AI824" s="23" t="n"/>
      <c r="AJ824" s="23" t="n"/>
      <c r="AK824" s="23" t="n"/>
      <c r="AL824" s="23" t="n"/>
      <c r="AM824" s="26">
        <f>IF(G824="","",G824&amp;"|"&amp;P824)</f>
        <v/>
      </c>
      <c r="AN824" s="27">
        <f>IF(I824="","",IFERROR(DATE(VALUE(RIGHT(I824,4)),VALUE(MID(I824,4,2)),VALUE(LEFT(I824,2))),""))</f>
        <v/>
      </c>
      <c r="AO824" s="27">
        <f>IF(Y824="","",IFERROR(DATE(VALUE(RIGHT(Y824,4)),VALUE(MID(Y824,4,2)),VALUE(LEFT(Y824,2))),""))</f>
        <v/>
      </c>
      <c r="AP824" s="27">
        <f>IF(AC824="","",IFERROR(DATE(VALUE(RIGHT(AC824,4)),VALUE(MID(AC824,4,2)),VALUE(LEFT(AC824,2))),""))</f>
        <v/>
      </c>
      <c r="AQ824" s="26">
        <f>IF(AI824="","",TRIM(LEFT(AI824,FIND(" ",AI824&amp;" ")-1)))</f>
        <v/>
      </c>
      <c r="AR824" s="27">
        <f>IF(AQ824="","",IFERROR(DATE(VALUE(MID(AQ824,FIND("/",AQ824,FIND("/",AQ824)+1)+1,4)),VALUE(LEFT(AQ824,FIND("/",AQ824)-1)),VALUE(MID(AQ824,FIND("/",AQ824)+1,FIND("/",AQ824,FIND("/",AQ824)+1)-FIND("/",AQ824)-1))),""))</f>
        <v/>
      </c>
      <c r="AS824" s="26">
        <f>IF(G824="","",IF(AND(AG824&lt;&gt;"",AG824&lt;&gt;"Bayi Aracı"),"Evet","Hayır"))</f>
        <v/>
      </c>
      <c r="AT824" s="26">
        <f>IF(G824="","",IF(AND(AS824="Evet",T824="Siparişiniz Teslim Edildi"),"Evet","Hayır"))</f>
        <v/>
      </c>
      <c r="AU824" s="26">
        <f>IF(G824="","",IF(AB824="Siparişinizin Montajı Yapıldı","Evet","Hayır"))</f>
        <v/>
      </c>
      <c r="AV824" s="27">
        <f>IF(G824="","",IF(AT824="Evet",AR824,IF(AU824="Evet",AP824,"")))</f>
        <v/>
      </c>
    </row>
    <row r="825">
      <c r="A825" s="23" t="n"/>
      <c r="B825" s="23" t="n"/>
      <c r="C825" s="23" t="n"/>
      <c r="D825" s="23" t="n"/>
      <c r="E825" s="23" t="n"/>
      <c r="F825" s="23" t="n"/>
      <c r="G825" s="23" t="n"/>
      <c r="H825" s="23" t="n"/>
      <c r="I825" s="23" t="n"/>
      <c r="J825" s="23" t="n"/>
      <c r="K825" s="23" t="n"/>
      <c r="L825" s="23" t="n"/>
      <c r="M825" s="23" t="n"/>
      <c r="N825" s="23" t="n"/>
      <c r="O825" s="23" t="n"/>
      <c r="P825" s="23" t="n"/>
      <c r="Q825" s="23" t="n"/>
      <c r="R825" s="23" t="n"/>
      <c r="S825" s="23" t="n"/>
      <c r="T825" s="23" t="n"/>
      <c r="U825" s="23" t="n"/>
      <c r="V825" s="23" t="n"/>
      <c r="W825" s="23" t="n"/>
      <c r="X825" s="23" t="n"/>
      <c r="Y825" s="23" t="n"/>
      <c r="Z825" s="23" t="n"/>
      <c r="AA825" s="23" t="n"/>
      <c r="AB825" s="23" t="n"/>
      <c r="AC825" s="23" t="n"/>
      <c r="AD825" s="23" t="n"/>
      <c r="AE825" s="23" t="n"/>
      <c r="AF825" s="23" t="n"/>
      <c r="AG825" s="23" t="n"/>
      <c r="AH825" s="23" t="n"/>
      <c r="AI825" s="23" t="n"/>
      <c r="AJ825" s="23" t="n"/>
      <c r="AK825" s="23" t="n"/>
      <c r="AL825" s="23" t="n"/>
      <c r="AM825" s="26">
        <f>IF(G825="","",G825&amp;"|"&amp;P825)</f>
        <v/>
      </c>
      <c r="AN825" s="27">
        <f>IF(I825="","",IFERROR(DATE(VALUE(RIGHT(I825,4)),VALUE(MID(I825,4,2)),VALUE(LEFT(I825,2))),""))</f>
        <v/>
      </c>
      <c r="AO825" s="27">
        <f>IF(Y825="","",IFERROR(DATE(VALUE(RIGHT(Y825,4)),VALUE(MID(Y825,4,2)),VALUE(LEFT(Y825,2))),""))</f>
        <v/>
      </c>
      <c r="AP825" s="27">
        <f>IF(AC825="","",IFERROR(DATE(VALUE(RIGHT(AC825,4)),VALUE(MID(AC825,4,2)),VALUE(LEFT(AC825,2))),""))</f>
        <v/>
      </c>
      <c r="AQ825" s="26">
        <f>IF(AI825="","",TRIM(LEFT(AI825,FIND(" ",AI825&amp;" ")-1)))</f>
        <v/>
      </c>
      <c r="AR825" s="27">
        <f>IF(AQ825="","",IFERROR(DATE(VALUE(MID(AQ825,FIND("/",AQ825,FIND("/",AQ825)+1)+1,4)),VALUE(LEFT(AQ825,FIND("/",AQ825)-1)),VALUE(MID(AQ825,FIND("/",AQ825)+1,FIND("/",AQ825,FIND("/",AQ825)+1)-FIND("/",AQ825)-1))),""))</f>
        <v/>
      </c>
      <c r="AS825" s="26">
        <f>IF(G825="","",IF(AND(AG825&lt;&gt;"",AG825&lt;&gt;"Bayi Aracı"),"Evet","Hayır"))</f>
        <v/>
      </c>
      <c r="AT825" s="26">
        <f>IF(G825="","",IF(AND(AS825="Evet",T825="Siparişiniz Teslim Edildi"),"Evet","Hayır"))</f>
        <v/>
      </c>
      <c r="AU825" s="26">
        <f>IF(G825="","",IF(AB825="Siparişinizin Montajı Yapıldı","Evet","Hayır"))</f>
        <v/>
      </c>
      <c r="AV825" s="27">
        <f>IF(G825="","",IF(AT825="Evet",AR825,IF(AU825="Evet",AP825,"")))</f>
        <v/>
      </c>
    </row>
    <row r="826">
      <c r="A826" s="23" t="n"/>
      <c r="B826" s="23" t="n"/>
      <c r="C826" s="23" t="n"/>
      <c r="D826" s="23" t="n"/>
      <c r="E826" s="23" t="n"/>
      <c r="F826" s="23" t="n"/>
      <c r="G826" s="23" t="n"/>
      <c r="H826" s="23" t="n"/>
      <c r="I826" s="23" t="n"/>
      <c r="J826" s="23" t="n"/>
      <c r="K826" s="23" t="n"/>
      <c r="L826" s="23" t="n"/>
      <c r="M826" s="23" t="n"/>
      <c r="N826" s="23" t="n"/>
      <c r="O826" s="23" t="n"/>
      <c r="P826" s="23" t="n"/>
      <c r="Q826" s="23" t="n"/>
      <c r="R826" s="23" t="n"/>
      <c r="S826" s="23" t="n"/>
      <c r="T826" s="23" t="n"/>
      <c r="U826" s="23" t="n"/>
      <c r="V826" s="23" t="n"/>
      <c r="W826" s="23" t="n"/>
      <c r="X826" s="23" t="n"/>
      <c r="Y826" s="23" t="n"/>
      <c r="Z826" s="23" t="n"/>
      <c r="AA826" s="23" t="n"/>
      <c r="AB826" s="23" t="n"/>
      <c r="AC826" s="23" t="n"/>
      <c r="AD826" s="23" t="n"/>
      <c r="AE826" s="23" t="n"/>
      <c r="AF826" s="23" t="n"/>
      <c r="AG826" s="23" t="n"/>
      <c r="AH826" s="23" t="n"/>
      <c r="AI826" s="23" t="n"/>
      <c r="AJ826" s="23" t="n"/>
      <c r="AK826" s="23" t="n"/>
      <c r="AL826" s="23" t="n"/>
      <c r="AM826" s="26">
        <f>IF(G826="","",G826&amp;"|"&amp;P826)</f>
        <v/>
      </c>
      <c r="AN826" s="27">
        <f>IF(I826="","",IFERROR(DATE(VALUE(RIGHT(I826,4)),VALUE(MID(I826,4,2)),VALUE(LEFT(I826,2))),""))</f>
        <v/>
      </c>
      <c r="AO826" s="27">
        <f>IF(Y826="","",IFERROR(DATE(VALUE(RIGHT(Y826,4)),VALUE(MID(Y826,4,2)),VALUE(LEFT(Y826,2))),""))</f>
        <v/>
      </c>
      <c r="AP826" s="27">
        <f>IF(AC826="","",IFERROR(DATE(VALUE(RIGHT(AC826,4)),VALUE(MID(AC826,4,2)),VALUE(LEFT(AC826,2))),""))</f>
        <v/>
      </c>
      <c r="AQ826" s="26">
        <f>IF(AI826="","",TRIM(LEFT(AI826,FIND(" ",AI826&amp;" ")-1)))</f>
        <v/>
      </c>
      <c r="AR826" s="27">
        <f>IF(AQ826="","",IFERROR(DATE(VALUE(MID(AQ826,FIND("/",AQ826,FIND("/",AQ826)+1)+1,4)),VALUE(LEFT(AQ826,FIND("/",AQ826)-1)),VALUE(MID(AQ826,FIND("/",AQ826)+1,FIND("/",AQ826,FIND("/",AQ826)+1)-FIND("/",AQ826)-1))),""))</f>
        <v/>
      </c>
      <c r="AS826" s="26">
        <f>IF(G826="","",IF(AND(AG826&lt;&gt;"",AG826&lt;&gt;"Bayi Aracı"),"Evet","Hayır"))</f>
        <v/>
      </c>
      <c r="AT826" s="26">
        <f>IF(G826="","",IF(AND(AS826="Evet",T826="Siparişiniz Teslim Edildi"),"Evet","Hayır"))</f>
        <v/>
      </c>
      <c r="AU826" s="26">
        <f>IF(G826="","",IF(AB826="Siparişinizin Montajı Yapıldı","Evet","Hayır"))</f>
        <v/>
      </c>
      <c r="AV826" s="27">
        <f>IF(G826="","",IF(AT826="Evet",AR826,IF(AU826="Evet",AP826,"")))</f>
        <v/>
      </c>
    </row>
    <row r="827">
      <c r="A827" s="23" t="n"/>
      <c r="B827" s="23" t="n"/>
      <c r="C827" s="23" t="n"/>
      <c r="D827" s="23" t="n"/>
      <c r="E827" s="23" t="n"/>
      <c r="F827" s="23" t="n"/>
      <c r="G827" s="23" t="n"/>
      <c r="H827" s="23" t="n"/>
      <c r="I827" s="23" t="n"/>
      <c r="J827" s="23" t="n"/>
      <c r="K827" s="23" t="n"/>
      <c r="L827" s="23" t="n"/>
      <c r="M827" s="23" t="n"/>
      <c r="N827" s="23" t="n"/>
      <c r="O827" s="23" t="n"/>
      <c r="P827" s="23" t="n"/>
      <c r="Q827" s="23" t="n"/>
      <c r="R827" s="23" t="n"/>
      <c r="S827" s="23" t="n"/>
      <c r="T827" s="23" t="n"/>
      <c r="U827" s="23" t="n"/>
      <c r="V827" s="23" t="n"/>
      <c r="W827" s="23" t="n"/>
      <c r="X827" s="23" t="n"/>
      <c r="Y827" s="23" t="n"/>
      <c r="Z827" s="23" t="n"/>
      <c r="AA827" s="23" t="n"/>
      <c r="AB827" s="23" t="n"/>
      <c r="AC827" s="23" t="n"/>
      <c r="AD827" s="23" t="n"/>
      <c r="AE827" s="23" t="n"/>
      <c r="AF827" s="23" t="n"/>
      <c r="AG827" s="23" t="n"/>
      <c r="AH827" s="23" t="n"/>
      <c r="AI827" s="23" t="n"/>
      <c r="AJ827" s="23" t="n"/>
      <c r="AK827" s="23" t="n"/>
      <c r="AL827" s="23" t="n"/>
      <c r="AM827" s="26">
        <f>IF(G827="","",G827&amp;"|"&amp;P827)</f>
        <v/>
      </c>
      <c r="AN827" s="27">
        <f>IF(I827="","",IFERROR(DATE(VALUE(RIGHT(I827,4)),VALUE(MID(I827,4,2)),VALUE(LEFT(I827,2))),""))</f>
        <v/>
      </c>
      <c r="AO827" s="27">
        <f>IF(Y827="","",IFERROR(DATE(VALUE(RIGHT(Y827,4)),VALUE(MID(Y827,4,2)),VALUE(LEFT(Y827,2))),""))</f>
        <v/>
      </c>
      <c r="AP827" s="27">
        <f>IF(AC827="","",IFERROR(DATE(VALUE(RIGHT(AC827,4)),VALUE(MID(AC827,4,2)),VALUE(LEFT(AC827,2))),""))</f>
        <v/>
      </c>
      <c r="AQ827" s="26">
        <f>IF(AI827="","",TRIM(LEFT(AI827,FIND(" ",AI827&amp;" ")-1)))</f>
        <v/>
      </c>
      <c r="AR827" s="27">
        <f>IF(AQ827="","",IFERROR(DATE(VALUE(MID(AQ827,FIND("/",AQ827,FIND("/",AQ827)+1)+1,4)),VALUE(LEFT(AQ827,FIND("/",AQ827)-1)),VALUE(MID(AQ827,FIND("/",AQ827)+1,FIND("/",AQ827,FIND("/",AQ827)+1)-FIND("/",AQ827)-1))),""))</f>
        <v/>
      </c>
      <c r="AS827" s="26">
        <f>IF(G827="","",IF(AND(AG827&lt;&gt;"",AG827&lt;&gt;"Bayi Aracı"),"Evet","Hayır"))</f>
        <v/>
      </c>
      <c r="AT827" s="26">
        <f>IF(G827="","",IF(AND(AS827="Evet",T827="Siparişiniz Teslim Edildi"),"Evet","Hayır"))</f>
        <v/>
      </c>
      <c r="AU827" s="26">
        <f>IF(G827="","",IF(AB827="Siparişinizin Montajı Yapıldı","Evet","Hayır"))</f>
        <v/>
      </c>
      <c r="AV827" s="27">
        <f>IF(G827="","",IF(AT827="Evet",AR827,IF(AU827="Evet",AP827,"")))</f>
        <v/>
      </c>
    </row>
    <row r="828">
      <c r="A828" s="23" t="n"/>
      <c r="B828" s="23" t="n"/>
      <c r="C828" s="23" t="n"/>
      <c r="D828" s="23" t="n"/>
      <c r="E828" s="23" t="n"/>
      <c r="F828" s="23" t="n"/>
      <c r="G828" s="23" t="n"/>
      <c r="H828" s="23" t="n"/>
      <c r="I828" s="23" t="n"/>
      <c r="J828" s="23" t="n"/>
      <c r="K828" s="23" t="n"/>
      <c r="L828" s="23" t="n"/>
      <c r="M828" s="23" t="n"/>
      <c r="N828" s="23" t="n"/>
      <c r="O828" s="23" t="n"/>
      <c r="P828" s="23" t="n"/>
      <c r="Q828" s="23" t="n"/>
      <c r="R828" s="23" t="n"/>
      <c r="S828" s="23" t="n"/>
      <c r="T828" s="23" t="n"/>
      <c r="U828" s="23" t="n"/>
      <c r="V828" s="23" t="n"/>
      <c r="W828" s="23" t="n"/>
      <c r="X828" s="23" t="n"/>
      <c r="Y828" s="23" t="n"/>
      <c r="Z828" s="23" t="n"/>
      <c r="AA828" s="23" t="n"/>
      <c r="AB828" s="23" t="n"/>
      <c r="AC828" s="23" t="n"/>
      <c r="AD828" s="23" t="n"/>
      <c r="AE828" s="23" t="n"/>
      <c r="AF828" s="23" t="n"/>
      <c r="AG828" s="23" t="n"/>
      <c r="AH828" s="23" t="n"/>
      <c r="AI828" s="23" t="n"/>
      <c r="AJ828" s="23" t="n"/>
      <c r="AK828" s="23" t="n"/>
      <c r="AL828" s="23" t="n"/>
      <c r="AM828" s="26">
        <f>IF(G828="","",G828&amp;"|"&amp;P828)</f>
        <v/>
      </c>
      <c r="AN828" s="27">
        <f>IF(I828="","",IFERROR(DATE(VALUE(RIGHT(I828,4)),VALUE(MID(I828,4,2)),VALUE(LEFT(I828,2))),""))</f>
        <v/>
      </c>
      <c r="AO828" s="27">
        <f>IF(Y828="","",IFERROR(DATE(VALUE(RIGHT(Y828,4)),VALUE(MID(Y828,4,2)),VALUE(LEFT(Y828,2))),""))</f>
        <v/>
      </c>
      <c r="AP828" s="27">
        <f>IF(AC828="","",IFERROR(DATE(VALUE(RIGHT(AC828,4)),VALUE(MID(AC828,4,2)),VALUE(LEFT(AC828,2))),""))</f>
        <v/>
      </c>
      <c r="AQ828" s="26">
        <f>IF(AI828="","",TRIM(LEFT(AI828,FIND(" ",AI828&amp;" ")-1)))</f>
        <v/>
      </c>
      <c r="AR828" s="27">
        <f>IF(AQ828="","",IFERROR(DATE(VALUE(MID(AQ828,FIND("/",AQ828,FIND("/",AQ828)+1)+1,4)),VALUE(LEFT(AQ828,FIND("/",AQ828)-1)),VALUE(MID(AQ828,FIND("/",AQ828)+1,FIND("/",AQ828,FIND("/",AQ828)+1)-FIND("/",AQ828)-1))),""))</f>
        <v/>
      </c>
      <c r="AS828" s="26">
        <f>IF(G828="","",IF(AND(AG828&lt;&gt;"",AG828&lt;&gt;"Bayi Aracı"),"Evet","Hayır"))</f>
        <v/>
      </c>
      <c r="AT828" s="26">
        <f>IF(G828="","",IF(AND(AS828="Evet",T828="Siparişiniz Teslim Edildi"),"Evet","Hayır"))</f>
        <v/>
      </c>
      <c r="AU828" s="26">
        <f>IF(G828="","",IF(AB828="Siparişinizin Montajı Yapıldı","Evet","Hayır"))</f>
        <v/>
      </c>
      <c r="AV828" s="27">
        <f>IF(G828="","",IF(AT828="Evet",AR828,IF(AU828="Evet",AP828,"")))</f>
        <v/>
      </c>
    </row>
    <row r="829">
      <c r="A829" s="23" t="n"/>
      <c r="B829" s="23" t="n"/>
      <c r="C829" s="23" t="n"/>
      <c r="D829" s="23" t="n"/>
      <c r="E829" s="23" t="n"/>
      <c r="F829" s="23" t="n"/>
      <c r="G829" s="23" t="n"/>
      <c r="H829" s="23" t="n"/>
      <c r="I829" s="23" t="n"/>
      <c r="J829" s="23" t="n"/>
      <c r="K829" s="23" t="n"/>
      <c r="L829" s="23" t="n"/>
      <c r="M829" s="23" t="n"/>
      <c r="N829" s="23" t="n"/>
      <c r="O829" s="23" t="n"/>
      <c r="P829" s="23" t="n"/>
      <c r="Q829" s="23" t="n"/>
      <c r="R829" s="23" t="n"/>
      <c r="S829" s="23" t="n"/>
      <c r="T829" s="23" t="n"/>
      <c r="U829" s="23" t="n"/>
      <c r="V829" s="23" t="n"/>
      <c r="W829" s="23" t="n"/>
      <c r="X829" s="23" t="n"/>
      <c r="Y829" s="23" t="n"/>
      <c r="Z829" s="23" t="n"/>
      <c r="AA829" s="23" t="n"/>
      <c r="AB829" s="23" t="n"/>
      <c r="AC829" s="23" t="n"/>
      <c r="AD829" s="23" t="n"/>
      <c r="AE829" s="23" t="n"/>
      <c r="AF829" s="23" t="n"/>
      <c r="AG829" s="23" t="n"/>
      <c r="AH829" s="23" t="n"/>
      <c r="AI829" s="23" t="n"/>
      <c r="AJ829" s="23" t="n"/>
      <c r="AK829" s="23" t="n"/>
      <c r="AL829" s="23" t="n"/>
      <c r="AM829" s="26">
        <f>IF(G829="","",G829&amp;"|"&amp;P829)</f>
        <v/>
      </c>
      <c r="AN829" s="27">
        <f>IF(I829="","",IFERROR(DATE(VALUE(RIGHT(I829,4)),VALUE(MID(I829,4,2)),VALUE(LEFT(I829,2))),""))</f>
        <v/>
      </c>
      <c r="AO829" s="27">
        <f>IF(Y829="","",IFERROR(DATE(VALUE(RIGHT(Y829,4)),VALUE(MID(Y829,4,2)),VALUE(LEFT(Y829,2))),""))</f>
        <v/>
      </c>
      <c r="AP829" s="27">
        <f>IF(AC829="","",IFERROR(DATE(VALUE(RIGHT(AC829,4)),VALUE(MID(AC829,4,2)),VALUE(LEFT(AC829,2))),""))</f>
        <v/>
      </c>
      <c r="AQ829" s="26">
        <f>IF(AI829="","",TRIM(LEFT(AI829,FIND(" ",AI829&amp;" ")-1)))</f>
        <v/>
      </c>
      <c r="AR829" s="27">
        <f>IF(AQ829="","",IFERROR(DATE(VALUE(MID(AQ829,FIND("/",AQ829,FIND("/",AQ829)+1)+1,4)),VALUE(LEFT(AQ829,FIND("/",AQ829)-1)),VALUE(MID(AQ829,FIND("/",AQ829)+1,FIND("/",AQ829,FIND("/",AQ829)+1)-FIND("/",AQ829)-1))),""))</f>
        <v/>
      </c>
      <c r="AS829" s="26">
        <f>IF(G829="","",IF(AND(AG829&lt;&gt;"",AG829&lt;&gt;"Bayi Aracı"),"Evet","Hayır"))</f>
        <v/>
      </c>
      <c r="AT829" s="26">
        <f>IF(G829="","",IF(AND(AS829="Evet",T829="Siparişiniz Teslim Edildi"),"Evet","Hayır"))</f>
        <v/>
      </c>
      <c r="AU829" s="26">
        <f>IF(G829="","",IF(AB829="Siparişinizin Montajı Yapıldı","Evet","Hayır"))</f>
        <v/>
      </c>
      <c r="AV829" s="27">
        <f>IF(G829="","",IF(AT829="Evet",AR829,IF(AU829="Evet",AP829,"")))</f>
        <v/>
      </c>
    </row>
    <row r="830">
      <c r="A830" s="23" t="n"/>
      <c r="B830" s="23" t="n"/>
      <c r="C830" s="23" t="n"/>
      <c r="D830" s="23" t="n"/>
      <c r="E830" s="23" t="n"/>
      <c r="F830" s="23" t="n"/>
      <c r="G830" s="23" t="n"/>
      <c r="H830" s="23" t="n"/>
      <c r="I830" s="23" t="n"/>
      <c r="J830" s="23" t="n"/>
      <c r="K830" s="23" t="n"/>
      <c r="L830" s="23" t="n"/>
      <c r="M830" s="23" t="n"/>
      <c r="N830" s="23" t="n"/>
      <c r="O830" s="23" t="n"/>
      <c r="P830" s="23" t="n"/>
      <c r="Q830" s="23" t="n"/>
      <c r="R830" s="23" t="n"/>
      <c r="S830" s="23" t="n"/>
      <c r="T830" s="23" t="n"/>
      <c r="U830" s="23" t="n"/>
      <c r="V830" s="23" t="n"/>
      <c r="W830" s="23" t="n"/>
      <c r="X830" s="23" t="n"/>
      <c r="Y830" s="23" t="n"/>
      <c r="Z830" s="23" t="n"/>
      <c r="AA830" s="23" t="n"/>
      <c r="AB830" s="23" t="n"/>
      <c r="AC830" s="23" t="n"/>
      <c r="AD830" s="23" t="n"/>
      <c r="AE830" s="23" t="n"/>
      <c r="AF830" s="23" t="n"/>
      <c r="AG830" s="23" t="n"/>
      <c r="AH830" s="23" t="n"/>
      <c r="AI830" s="23" t="n"/>
      <c r="AJ830" s="23" t="n"/>
      <c r="AK830" s="23" t="n"/>
      <c r="AL830" s="23" t="n"/>
      <c r="AM830" s="26">
        <f>IF(G830="","",G830&amp;"|"&amp;P830)</f>
        <v/>
      </c>
      <c r="AN830" s="27">
        <f>IF(I830="","",IFERROR(DATE(VALUE(RIGHT(I830,4)),VALUE(MID(I830,4,2)),VALUE(LEFT(I830,2))),""))</f>
        <v/>
      </c>
      <c r="AO830" s="27">
        <f>IF(Y830="","",IFERROR(DATE(VALUE(RIGHT(Y830,4)),VALUE(MID(Y830,4,2)),VALUE(LEFT(Y830,2))),""))</f>
        <v/>
      </c>
      <c r="AP830" s="27">
        <f>IF(AC830="","",IFERROR(DATE(VALUE(RIGHT(AC830,4)),VALUE(MID(AC830,4,2)),VALUE(LEFT(AC830,2))),""))</f>
        <v/>
      </c>
      <c r="AQ830" s="26">
        <f>IF(AI830="","",TRIM(LEFT(AI830,FIND(" ",AI830&amp;" ")-1)))</f>
        <v/>
      </c>
      <c r="AR830" s="27">
        <f>IF(AQ830="","",IFERROR(DATE(VALUE(MID(AQ830,FIND("/",AQ830,FIND("/",AQ830)+1)+1,4)),VALUE(LEFT(AQ830,FIND("/",AQ830)-1)),VALUE(MID(AQ830,FIND("/",AQ830)+1,FIND("/",AQ830,FIND("/",AQ830)+1)-FIND("/",AQ830)-1))),""))</f>
        <v/>
      </c>
      <c r="AS830" s="26">
        <f>IF(G830="","",IF(AND(AG830&lt;&gt;"",AG830&lt;&gt;"Bayi Aracı"),"Evet","Hayır"))</f>
        <v/>
      </c>
      <c r="AT830" s="26">
        <f>IF(G830="","",IF(AND(AS830="Evet",T830="Siparişiniz Teslim Edildi"),"Evet","Hayır"))</f>
        <v/>
      </c>
      <c r="AU830" s="26">
        <f>IF(G830="","",IF(AB830="Siparişinizin Montajı Yapıldı","Evet","Hayır"))</f>
        <v/>
      </c>
      <c r="AV830" s="27">
        <f>IF(G830="","",IF(AT830="Evet",AR830,IF(AU830="Evet",AP830,"")))</f>
        <v/>
      </c>
    </row>
    <row r="831">
      <c r="A831" s="23" t="n"/>
      <c r="B831" s="23" t="n"/>
      <c r="C831" s="23" t="n"/>
      <c r="D831" s="23" t="n"/>
      <c r="E831" s="23" t="n"/>
      <c r="F831" s="23" t="n"/>
      <c r="G831" s="23" t="n"/>
      <c r="H831" s="23" t="n"/>
      <c r="I831" s="23" t="n"/>
      <c r="J831" s="23" t="n"/>
      <c r="K831" s="23" t="n"/>
      <c r="L831" s="23" t="n"/>
      <c r="M831" s="23" t="n"/>
      <c r="N831" s="23" t="n"/>
      <c r="O831" s="23" t="n"/>
      <c r="P831" s="23" t="n"/>
      <c r="Q831" s="23" t="n"/>
      <c r="R831" s="23" t="n"/>
      <c r="S831" s="23" t="n"/>
      <c r="T831" s="23" t="n"/>
      <c r="U831" s="23" t="n"/>
      <c r="V831" s="23" t="n"/>
      <c r="W831" s="23" t="n"/>
      <c r="X831" s="23" t="n"/>
      <c r="Y831" s="23" t="n"/>
      <c r="Z831" s="23" t="n"/>
      <c r="AA831" s="23" t="n"/>
      <c r="AB831" s="23" t="n"/>
      <c r="AC831" s="23" t="n"/>
      <c r="AD831" s="23" t="n"/>
      <c r="AE831" s="23" t="n"/>
      <c r="AF831" s="23" t="n"/>
      <c r="AG831" s="23" t="n"/>
      <c r="AH831" s="23" t="n"/>
      <c r="AI831" s="23" t="n"/>
      <c r="AJ831" s="23" t="n"/>
      <c r="AK831" s="23" t="n"/>
      <c r="AL831" s="23" t="n"/>
      <c r="AM831" s="26">
        <f>IF(G831="","",G831&amp;"|"&amp;P831)</f>
        <v/>
      </c>
      <c r="AN831" s="27">
        <f>IF(I831="","",IFERROR(DATE(VALUE(RIGHT(I831,4)),VALUE(MID(I831,4,2)),VALUE(LEFT(I831,2))),""))</f>
        <v/>
      </c>
      <c r="AO831" s="27">
        <f>IF(Y831="","",IFERROR(DATE(VALUE(RIGHT(Y831,4)),VALUE(MID(Y831,4,2)),VALUE(LEFT(Y831,2))),""))</f>
        <v/>
      </c>
      <c r="AP831" s="27">
        <f>IF(AC831="","",IFERROR(DATE(VALUE(RIGHT(AC831,4)),VALUE(MID(AC831,4,2)),VALUE(LEFT(AC831,2))),""))</f>
        <v/>
      </c>
      <c r="AQ831" s="26">
        <f>IF(AI831="","",TRIM(LEFT(AI831,FIND(" ",AI831&amp;" ")-1)))</f>
        <v/>
      </c>
      <c r="AR831" s="27">
        <f>IF(AQ831="","",IFERROR(DATE(VALUE(MID(AQ831,FIND("/",AQ831,FIND("/",AQ831)+1)+1,4)),VALUE(LEFT(AQ831,FIND("/",AQ831)-1)),VALUE(MID(AQ831,FIND("/",AQ831)+1,FIND("/",AQ831,FIND("/",AQ831)+1)-FIND("/",AQ831)-1))),""))</f>
        <v/>
      </c>
      <c r="AS831" s="26">
        <f>IF(G831="","",IF(AND(AG831&lt;&gt;"",AG831&lt;&gt;"Bayi Aracı"),"Evet","Hayır"))</f>
        <v/>
      </c>
      <c r="AT831" s="26">
        <f>IF(G831="","",IF(AND(AS831="Evet",T831="Siparişiniz Teslim Edildi"),"Evet","Hayır"))</f>
        <v/>
      </c>
      <c r="AU831" s="26">
        <f>IF(G831="","",IF(AB831="Siparişinizin Montajı Yapıldı","Evet","Hayır"))</f>
        <v/>
      </c>
      <c r="AV831" s="27">
        <f>IF(G831="","",IF(AT831="Evet",AR831,IF(AU831="Evet",AP831,"")))</f>
        <v/>
      </c>
    </row>
    <row r="832">
      <c r="A832" s="23" t="n"/>
      <c r="B832" s="23" t="n"/>
      <c r="C832" s="23" t="n"/>
      <c r="D832" s="23" t="n"/>
      <c r="E832" s="23" t="n"/>
      <c r="F832" s="23" t="n"/>
      <c r="G832" s="23" t="n"/>
      <c r="H832" s="23" t="n"/>
      <c r="I832" s="23" t="n"/>
      <c r="J832" s="23" t="n"/>
      <c r="K832" s="23" t="n"/>
      <c r="L832" s="23" t="n"/>
      <c r="M832" s="23" t="n"/>
      <c r="N832" s="23" t="n"/>
      <c r="O832" s="23" t="n"/>
      <c r="P832" s="23" t="n"/>
      <c r="Q832" s="23" t="n"/>
      <c r="R832" s="23" t="n"/>
      <c r="S832" s="23" t="n"/>
      <c r="T832" s="23" t="n"/>
      <c r="U832" s="23" t="n"/>
      <c r="V832" s="23" t="n"/>
      <c r="W832" s="23" t="n"/>
      <c r="X832" s="23" t="n"/>
      <c r="Y832" s="23" t="n"/>
      <c r="Z832" s="23" t="n"/>
      <c r="AA832" s="23" t="n"/>
      <c r="AB832" s="23" t="n"/>
      <c r="AC832" s="23" t="n"/>
      <c r="AD832" s="23" t="n"/>
      <c r="AE832" s="23" t="n"/>
      <c r="AF832" s="23" t="n"/>
      <c r="AG832" s="23" t="n"/>
      <c r="AH832" s="23" t="n"/>
      <c r="AI832" s="23" t="n"/>
      <c r="AJ832" s="23" t="n"/>
      <c r="AK832" s="23" t="n"/>
      <c r="AL832" s="23" t="n"/>
      <c r="AM832" s="26">
        <f>IF(G832="","",G832&amp;"|"&amp;P832)</f>
        <v/>
      </c>
      <c r="AN832" s="27">
        <f>IF(I832="","",IFERROR(DATE(VALUE(RIGHT(I832,4)),VALUE(MID(I832,4,2)),VALUE(LEFT(I832,2))),""))</f>
        <v/>
      </c>
      <c r="AO832" s="27">
        <f>IF(Y832="","",IFERROR(DATE(VALUE(RIGHT(Y832,4)),VALUE(MID(Y832,4,2)),VALUE(LEFT(Y832,2))),""))</f>
        <v/>
      </c>
      <c r="AP832" s="27">
        <f>IF(AC832="","",IFERROR(DATE(VALUE(RIGHT(AC832,4)),VALUE(MID(AC832,4,2)),VALUE(LEFT(AC832,2))),""))</f>
        <v/>
      </c>
      <c r="AQ832" s="26">
        <f>IF(AI832="","",TRIM(LEFT(AI832,FIND(" ",AI832&amp;" ")-1)))</f>
        <v/>
      </c>
      <c r="AR832" s="27">
        <f>IF(AQ832="","",IFERROR(DATE(VALUE(MID(AQ832,FIND("/",AQ832,FIND("/",AQ832)+1)+1,4)),VALUE(LEFT(AQ832,FIND("/",AQ832)-1)),VALUE(MID(AQ832,FIND("/",AQ832)+1,FIND("/",AQ832,FIND("/",AQ832)+1)-FIND("/",AQ832)-1))),""))</f>
        <v/>
      </c>
      <c r="AS832" s="26">
        <f>IF(G832="","",IF(AND(AG832&lt;&gt;"",AG832&lt;&gt;"Bayi Aracı"),"Evet","Hayır"))</f>
        <v/>
      </c>
      <c r="AT832" s="26">
        <f>IF(G832="","",IF(AND(AS832="Evet",T832="Siparişiniz Teslim Edildi"),"Evet","Hayır"))</f>
        <v/>
      </c>
      <c r="AU832" s="26">
        <f>IF(G832="","",IF(AB832="Siparişinizin Montajı Yapıldı","Evet","Hayır"))</f>
        <v/>
      </c>
      <c r="AV832" s="27">
        <f>IF(G832="","",IF(AT832="Evet",AR832,IF(AU832="Evet",AP832,"")))</f>
        <v/>
      </c>
    </row>
    <row r="833">
      <c r="A833" s="23" t="n"/>
      <c r="B833" s="23" t="n"/>
      <c r="C833" s="23" t="n"/>
      <c r="D833" s="23" t="n"/>
      <c r="E833" s="23" t="n"/>
      <c r="F833" s="23" t="n"/>
      <c r="G833" s="23" t="n"/>
      <c r="H833" s="23" t="n"/>
      <c r="I833" s="23" t="n"/>
      <c r="J833" s="23" t="n"/>
      <c r="K833" s="23" t="n"/>
      <c r="L833" s="23" t="n"/>
      <c r="M833" s="23" t="n"/>
      <c r="N833" s="23" t="n"/>
      <c r="O833" s="23" t="n"/>
      <c r="P833" s="23" t="n"/>
      <c r="Q833" s="23" t="n"/>
      <c r="R833" s="23" t="n"/>
      <c r="S833" s="23" t="n"/>
      <c r="T833" s="23" t="n"/>
      <c r="U833" s="23" t="n"/>
      <c r="V833" s="23" t="n"/>
      <c r="W833" s="23" t="n"/>
      <c r="X833" s="23" t="n"/>
      <c r="Y833" s="23" t="n"/>
      <c r="Z833" s="23" t="n"/>
      <c r="AA833" s="23" t="n"/>
      <c r="AB833" s="23" t="n"/>
      <c r="AC833" s="23" t="n"/>
      <c r="AD833" s="23" t="n"/>
      <c r="AE833" s="23" t="n"/>
      <c r="AF833" s="23" t="n"/>
      <c r="AG833" s="23" t="n"/>
      <c r="AH833" s="23" t="n"/>
      <c r="AI833" s="23" t="n"/>
      <c r="AJ833" s="23" t="n"/>
      <c r="AK833" s="23" t="n"/>
      <c r="AL833" s="23" t="n"/>
      <c r="AM833" s="26">
        <f>IF(G833="","",G833&amp;"|"&amp;P833)</f>
        <v/>
      </c>
      <c r="AN833" s="27">
        <f>IF(I833="","",IFERROR(DATE(VALUE(RIGHT(I833,4)),VALUE(MID(I833,4,2)),VALUE(LEFT(I833,2))),""))</f>
        <v/>
      </c>
      <c r="AO833" s="27">
        <f>IF(Y833="","",IFERROR(DATE(VALUE(RIGHT(Y833,4)),VALUE(MID(Y833,4,2)),VALUE(LEFT(Y833,2))),""))</f>
        <v/>
      </c>
      <c r="AP833" s="27">
        <f>IF(AC833="","",IFERROR(DATE(VALUE(RIGHT(AC833,4)),VALUE(MID(AC833,4,2)),VALUE(LEFT(AC833,2))),""))</f>
        <v/>
      </c>
      <c r="AQ833" s="26">
        <f>IF(AI833="","",TRIM(LEFT(AI833,FIND(" ",AI833&amp;" ")-1)))</f>
        <v/>
      </c>
      <c r="AR833" s="27">
        <f>IF(AQ833="","",IFERROR(DATE(VALUE(MID(AQ833,FIND("/",AQ833,FIND("/",AQ833)+1)+1,4)),VALUE(LEFT(AQ833,FIND("/",AQ833)-1)),VALUE(MID(AQ833,FIND("/",AQ833)+1,FIND("/",AQ833,FIND("/",AQ833)+1)-FIND("/",AQ833)-1))),""))</f>
        <v/>
      </c>
      <c r="AS833" s="26">
        <f>IF(G833="","",IF(AND(AG833&lt;&gt;"",AG833&lt;&gt;"Bayi Aracı"),"Evet","Hayır"))</f>
        <v/>
      </c>
      <c r="AT833" s="26">
        <f>IF(G833="","",IF(AND(AS833="Evet",T833="Siparişiniz Teslim Edildi"),"Evet","Hayır"))</f>
        <v/>
      </c>
      <c r="AU833" s="26">
        <f>IF(G833="","",IF(AB833="Siparişinizin Montajı Yapıldı","Evet","Hayır"))</f>
        <v/>
      </c>
      <c r="AV833" s="27">
        <f>IF(G833="","",IF(AT833="Evet",AR833,IF(AU833="Evet",AP833,"")))</f>
        <v/>
      </c>
    </row>
    <row r="834">
      <c r="A834" s="23" t="n"/>
      <c r="B834" s="23" t="n"/>
      <c r="C834" s="23" t="n"/>
      <c r="D834" s="23" t="n"/>
      <c r="E834" s="23" t="n"/>
      <c r="F834" s="23" t="n"/>
      <c r="G834" s="23" t="n"/>
      <c r="H834" s="23" t="n"/>
      <c r="I834" s="23" t="n"/>
      <c r="J834" s="23" t="n"/>
      <c r="K834" s="23" t="n"/>
      <c r="L834" s="23" t="n"/>
      <c r="M834" s="23" t="n"/>
      <c r="N834" s="23" t="n"/>
      <c r="O834" s="23" t="n"/>
      <c r="P834" s="23" t="n"/>
      <c r="Q834" s="23" t="n"/>
      <c r="R834" s="23" t="n"/>
      <c r="S834" s="23" t="n"/>
      <c r="T834" s="23" t="n"/>
      <c r="U834" s="23" t="n"/>
      <c r="V834" s="23" t="n"/>
      <c r="W834" s="23" t="n"/>
      <c r="X834" s="23" t="n"/>
      <c r="Y834" s="23" t="n"/>
      <c r="Z834" s="23" t="n"/>
      <c r="AA834" s="23" t="n"/>
      <c r="AB834" s="23" t="n"/>
      <c r="AC834" s="23" t="n"/>
      <c r="AD834" s="23" t="n"/>
      <c r="AE834" s="23" t="n"/>
      <c r="AF834" s="23" t="n"/>
      <c r="AG834" s="23" t="n"/>
      <c r="AH834" s="23" t="n"/>
      <c r="AI834" s="23" t="n"/>
      <c r="AJ834" s="23" t="n"/>
      <c r="AK834" s="23" t="n"/>
      <c r="AL834" s="23" t="n"/>
      <c r="AM834" s="26">
        <f>IF(G834="","",G834&amp;"|"&amp;P834)</f>
        <v/>
      </c>
      <c r="AN834" s="27">
        <f>IF(I834="","",IFERROR(DATE(VALUE(RIGHT(I834,4)),VALUE(MID(I834,4,2)),VALUE(LEFT(I834,2))),""))</f>
        <v/>
      </c>
      <c r="AO834" s="27">
        <f>IF(Y834="","",IFERROR(DATE(VALUE(RIGHT(Y834,4)),VALUE(MID(Y834,4,2)),VALUE(LEFT(Y834,2))),""))</f>
        <v/>
      </c>
      <c r="AP834" s="27">
        <f>IF(AC834="","",IFERROR(DATE(VALUE(RIGHT(AC834,4)),VALUE(MID(AC834,4,2)),VALUE(LEFT(AC834,2))),""))</f>
        <v/>
      </c>
      <c r="AQ834" s="26">
        <f>IF(AI834="","",TRIM(LEFT(AI834,FIND(" ",AI834&amp;" ")-1)))</f>
        <v/>
      </c>
      <c r="AR834" s="27">
        <f>IF(AQ834="","",IFERROR(DATE(VALUE(MID(AQ834,FIND("/",AQ834,FIND("/",AQ834)+1)+1,4)),VALUE(LEFT(AQ834,FIND("/",AQ834)-1)),VALUE(MID(AQ834,FIND("/",AQ834)+1,FIND("/",AQ834,FIND("/",AQ834)+1)-FIND("/",AQ834)-1))),""))</f>
        <v/>
      </c>
      <c r="AS834" s="26">
        <f>IF(G834="","",IF(AND(AG834&lt;&gt;"",AG834&lt;&gt;"Bayi Aracı"),"Evet","Hayır"))</f>
        <v/>
      </c>
      <c r="AT834" s="26">
        <f>IF(G834="","",IF(AND(AS834="Evet",T834="Siparişiniz Teslim Edildi"),"Evet","Hayır"))</f>
        <v/>
      </c>
      <c r="AU834" s="26">
        <f>IF(G834="","",IF(AB834="Siparişinizin Montajı Yapıldı","Evet","Hayır"))</f>
        <v/>
      </c>
      <c r="AV834" s="27">
        <f>IF(G834="","",IF(AT834="Evet",AR834,IF(AU834="Evet",AP834,"")))</f>
        <v/>
      </c>
    </row>
    <row r="835">
      <c r="A835" s="23" t="n"/>
      <c r="B835" s="23" t="n"/>
      <c r="C835" s="23" t="n"/>
      <c r="D835" s="23" t="n"/>
      <c r="E835" s="23" t="n"/>
      <c r="F835" s="23" t="n"/>
      <c r="G835" s="23" t="n"/>
      <c r="H835" s="23" t="n"/>
      <c r="I835" s="23" t="n"/>
      <c r="J835" s="23" t="n"/>
      <c r="K835" s="23" t="n"/>
      <c r="L835" s="23" t="n"/>
      <c r="M835" s="23" t="n"/>
      <c r="N835" s="23" t="n"/>
      <c r="O835" s="23" t="n"/>
      <c r="P835" s="23" t="n"/>
      <c r="Q835" s="23" t="n"/>
      <c r="R835" s="23" t="n"/>
      <c r="S835" s="23" t="n"/>
      <c r="T835" s="23" t="n"/>
      <c r="U835" s="23" t="n"/>
      <c r="V835" s="23" t="n"/>
      <c r="W835" s="23" t="n"/>
      <c r="X835" s="23" t="n"/>
      <c r="Y835" s="23" t="n"/>
      <c r="Z835" s="23" t="n"/>
      <c r="AA835" s="23" t="n"/>
      <c r="AB835" s="23" t="n"/>
      <c r="AC835" s="23" t="n"/>
      <c r="AD835" s="23" t="n"/>
      <c r="AE835" s="23" t="n"/>
      <c r="AF835" s="23" t="n"/>
      <c r="AG835" s="23" t="n"/>
      <c r="AH835" s="23" t="n"/>
      <c r="AI835" s="23" t="n"/>
      <c r="AJ835" s="23" t="n"/>
      <c r="AK835" s="23" t="n"/>
      <c r="AL835" s="23" t="n"/>
      <c r="AM835" s="26">
        <f>IF(G835="","",G835&amp;"|"&amp;P835)</f>
        <v/>
      </c>
      <c r="AN835" s="27">
        <f>IF(I835="","",IFERROR(DATE(VALUE(RIGHT(I835,4)),VALUE(MID(I835,4,2)),VALUE(LEFT(I835,2))),""))</f>
        <v/>
      </c>
      <c r="AO835" s="27">
        <f>IF(Y835="","",IFERROR(DATE(VALUE(RIGHT(Y835,4)),VALUE(MID(Y835,4,2)),VALUE(LEFT(Y835,2))),""))</f>
        <v/>
      </c>
      <c r="AP835" s="27">
        <f>IF(AC835="","",IFERROR(DATE(VALUE(RIGHT(AC835,4)),VALUE(MID(AC835,4,2)),VALUE(LEFT(AC835,2))),""))</f>
        <v/>
      </c>
      <c r="AQ835" s="26">
        <f>IF(AI835="","",TRIM(LEFT(AI835,FIND(" ",AI835&amp;" ")-1)))</f>
        <v/>
      </c>
      <c r="AR835" s="27">
        <f>IF(AQ835="","",IFERROR(DATE(VALUE(MID(AQ835,FIND("/",AQ835,FIND("/",AQ835)+1)+1,4)),VALUE(LEFT(AQ835,FIND("/",AQ835)-1)),VALUE(MID(AQ835,FIND("/",AQ835)+1,FIND("/",AQ835,FIND("/",AQ835)+1)-FIND("/",AQ835)-1))),""))</f>
        <v/>
      </c>
      <c r="AS835" s="26">
        <f>IF(G835="","",IF(AND(AG835&lt;&gt;"",AG835&lt;&gt;"Bayi Aracı"),"Evet","Hayır"))</f>
        <v/>
      </c>
      <c r="AT835" s="26">
        <f>IF(G835="","",IF(AND(AS835="Evet",T835="Siparişiniz Teslim Edildi"),"Evet","Hayır"))</f>
        <v/>
      </c>
      <c r="AU835" s="26">
        <f>IF(G835="","",IF(AB835="Siparişinizin Montajı Yapıldı","Evet","Hayır"))</f>
        <v/>
      </c>
      <c r="AV835" s="27">
        <f>IF(G835="","",IF(AT835="Evet",AR835,IF(AU835="Evet",AP835,"")))</f>
        <v/>
      </c>
    </row>
    <row r="836">
      <c r="A836" s="23" t="n"/>
      <c r="B836" s="23" t="n"/>
      <c r="C836" s="23" t="n"/>
      <c r="D836" s="23" t="n"/>
      <c r="E836" s="23" t="n"/>
      <c r="F836" s="23" t="n"/>
      <c r="G836" s="23" t="n"/>
      <c r="H836" s="23" t="n"/>
      <c r="I836" s="23" t="n"/>
      <c r="J836" s="23" t="n"/>
      <c r="K836" s="23" t="n"/>
      <c r="L836" s="23" t="n"/>
      <c r="M836" s="23" t="n"/>
      <c r="N836" s="23" t="n"/>
      <c r="O836" s="23" t="n"/>
      <c r="P836" s="23" t="n"/>
      <c r="Q836" s="23" t="n"/>
      <c r="R836" s="23" t="n"/>
      <c r="S836" s="23" t="n"/>
      <c r="T836" s="23" t="n"/>
      <c r="U836" s="23" t="n"/>
      <c r="V836" s="23" t="n"/>
      <c r="W836" s="23" t="n"/>
      <c r="X836" s="23" t="n"/>
      <c r="Y836" s="23" t="n"/>
      <c r="Z836" s="23" t="n"/>
      <c r="AA836" s="23" t="n"/>
      <c r="AB836" s="23" t="n"/>
      <c r="AC836" s="23" t="n"/>
      <c r="AD836" s="23" t="n"/>
      <c r="AE836" s="23" t="n"/>
      <c r="AF836" s="23" t="n"/>
      <c r="AG836" s="23" t="n"/>
      <c r="AH836" s="23" t="n"/>
      <c r="AI836" s="23" t="n"/>
      <c r="AJ836" s="23" t="n"/>
      <c r="AK836" s="23" t="n"/>
      <c r="AL836" s="23" t="n"/>
      <c r="AM836" s="26">
        <f>IF(G836="","",G836&amp;"|"&amp;P836)</f>
        <v/>
      </c>
      <c r="AN836" s="27">
        <f>IF(I836="","",IFERROR(DATE(VALUE(RIGHT(I836,4)),VALUE(MID(I836,4,2)),VALUE(LEFT(I836,2))),""))</f>
        <v/>
      </c>
      <c r="AO836" s="27">
        <f>IF(Y836="","",IFERROR(DATE(VALUE(RIGHT(Y836,4)),VALUE(MID(Y836,4,2)),VALUE(LEFT(Y836,2))),""))</f>
        <v/>
      </c>
      <c r="AP836" s="27">
        <f>IF(AC836="","",IFERROR(DATE(VALUE(RIGHT(AC836,4)),VALUE(MID(AC836,4,2)),VALUE(LEFT(AC836,2))),""))</f>
        <v/>
      </c>
      <c r="AQ836" s="26">
        <f>IF(AI836="","",TRIM(LEFT(AI836,FIND(" ",AI836&amp;" ")-1)))</f>
        <v/>
      </c>
      <c r="AR836" s="27">
        <f>IF(AQ836="","",IFERROR(DATE(VALUE(MID(AQ836,FIND("/",AQ836,FIND("/",AQ836)+1)+1,4)),VALUE(LEFT(AQ836,FIND("/",AQ836)-1)),VALUE(MID(AQ836,FIND("/",AQ836)+1,FIND("/",AQ836,FIND("/",AQ836)+1)-FIND("/",AQ836)-1))),""))</f>
        <v/>
      </c>
      <c r="AS836" s="26">
        <f>IF(G836="","",IF(AND(AG836&lt;&gt;"",AG836&lt;&gt;"Bayi Aracı"),"Evet","Hayır"))</f>
        <v/>
      </c>
      <c r="AT836" s="26">
        <f>IF(G836="","",IF(AND(AS836="Evet",T836="Siparişiniz Teslim Edildi"),"Evet","Hayır"))</f>
        <v/>
      </c>
      <c r="AU836" s="26">
        <f>IF(G836="","",IF(AB836="Siparişinizin Montajı Yapıldı","Evet","Hayır"))</f>
        <v/>
      </c>
      <c r="AV836" s="27">
        <f>IF(G836="","",IF(AT836="Evet",AR836,IF(AU836="Evet",AP836,"")))</f>
        <v/>
      </c>
    </row>
    <row r="837">
      <c r="A837" s="23" t="n"/>
      <c r="B837" s="23" t="n"/>
      <c r="C837" s="23" t="n"/>
      <c r="D837" s="23" t="n"/>
      <c r="E837" s="23" t="n"/>
      <c r="F837" s="23" t="n"/>
      <c r="G837" s="23" t="n"/>
      <c r="H837" s="23" t="n"/>
      <c r="I837" s="23" t="n"/>
      <c r="J837" s="23" t="n"/>
      <c r="K837" s="23" t="n"/>
      <c r="L837" s="23" t="n"/>
      <c r="M837" s="23" t="n"/>
      <c r="N837" s="23" t="n"/>
      <c r="O837" s="23" t="n"/>
      <c r="P837" s="23" t="n"/>
      <c r="Q837" s="23" t="n"/>
      <c r="R837" s="23" t="n"/>
      <c r="S837" s="23" t="n"/>
      <c r="T837" s="23" t="n"/>
      <c r="U837" s="23" t="n"/>
      <c r="V837" s="23" t="n"/>
      <c r="W837" s="23" t="n"/>
      <c r="X837" s="23" t="n"/>
      <c r="Y837" s="23" t="n"/>
      <c r="Z837" s="23" t="n"/>
      <c r="AA837" s="23" t="n"/>
      <c r="AB837" s="23" t="n"/>
      <c r="AC837" s="23" t="n"/>
      <c r="AD837" s="23" t="n"/>
      <c r="AE837" s="23" t="n"/>
      <c r="AF837" s="23" t="n"/>
      <c r="AG837" s="23" t="n"/>
      <c r="AH837" s="23" t="n"/>
      <c r="AI837" s="23" t="n"/>
      <c r="AJ837" s="23" t="n"/>
      <c r="AK837" s="23" t="n"/>
      <c r="AL837" s="23" t="n"/>
      <c r="AM837" s="26">
        <f>IF(G837="","",G837&amp;"|"&amp;P837)</f>
        <v/>
      </c>
      <c r="AN837" s="27">
        <f>IF(I837="","",IFERROR(DATE(VALUE(RIGHT(I837,4)),VALUE(MID(I837,4,2)),VALUE(LEFT(I837,2))),""))</f>
        <v/>
      </c>
      <c r="AO837" s="27">
        <f>IF(Y837="","",IFERROR(DATE(VALUE(RIGHT(Y837,4)),VALUE(MID(Y837,4,2)),VALUE(LEFT(Y837,2))),""))</f>
        <v/>
      </c>
      <c r="AP837" s="27">
        <f>IF(AC837="","",IFERROR(DATE(VALUE(RIGHT(AC837,4)),VALUE(MID(AC837,4,2)),VALUE(LEFT(AC837,2))),""))</f>
        <v/>
      </c>
      <c r="AQ837" s="26">
        <f>IF(AI837="","",TRIM(LEFT(AI837,FIND(" ",AI837&amp;" ")-1)))</f>
        <v/>
      </c>
      <c r="AR837" s="27">
        <f>IF(AQ837="","",IFERROR(DATE(VALUE(MID(AQ837,FIND("/",AQ837,FIND("/",AQ837)+1)+1,4)),VALUE(LEFT(AQ837,FIND("/",AQ837)-1)),VALUE(MID(AQ837,FIND("/",AQ837)+1,FIND("/",AQ837,FIND("/",AQ837)+1)-FIND("/",AQ837)-1))),""))</f>
        <v/>
      </c>
      <c r="AS837" s="26">
        <f>IF(G837="","",IF(AND(AG837&lt;&gt;"",AG837&lt;&gt;"Bayi Aracı"),"Evet","Hayır"))</f>
        <v/>
      </c>
      <c r="AT837" s="26">
        <f>IF(G837="","",IF(AND(AS837="Evet",T837="Siparişiniz Teslim Edildi"),"Evet","Hayır"))</f>
        <v/>
      </c>
      <c r="AU837" s="26">
        <f>IF(G837="","",IF(AB837="Siparişinizin Montajı Yapıldı","Evet","Hayır"))</f>
        <v/>
      </c>
      <c r="AV837" s="27">
        <f>IF(G837="","",IF(AT837="Evet",AR837,IF(AU837="Evet",AP837,"")))</f>
        <v/>
      </c>
    </row>
    <row r="838">
      <c r="A838" s="23" t="n"/>
      <c r="B838" s="23" t="n"/>
      <c r="C838" s="23" t="n"/>
      <c r="D838" s="23" t="n"/>
      <c r="E838" s="23" t="n"/>
      <c r="F838" s="23" t="n"/>
      <c r="G838" s="23" t="n"/>
      <c r="H838" s="23" t="n"/>
      <c r="I838" s="23" t="n"/>
      <c r="J838" s="23" t="n"/>
      <c r="K838" s="23" t="n"/>
      <c r="L838" s="23" t="n"/>
      <c r="M838" s="23" t="n"/>
      <c r="N838" s="23" t="n"/>
      <c r="O838" s="23" t="n"/>
      <c r="P838" s="23" t="n"/>
      <c r="Q838" s="23" t="n"/>
      <c r="R838" s="23" t="n"/>
      <c r="S838" s="23" t="n"/>
      <c r="T838" s="23" t="n"/>
      <c r="U838" s="23" t="n"/>
      <c r="V838" s="23" t="n"/>
      <c r="W838" s="23" t="n"/>
      <c r="X838" s="23" t="n"/>
      <c r="Y838" s="23" t="n"/>
      <c r="Z838" s="23" t="n"/>
      <c r="AA838" s="23" t="n"/>
      <c r="AB838" s="23" t="n"/>
      <c r="AC838" s="23" t="n"/>
      <c r="AD838" s="23" t="n"/>
      <c r="AE838" s="23" t="n"/>
      <c r="AF838" s="23" t="n"/>
      <c r="AG838" s="23" t="n"/>
      <c r="AH838" s="23" t="n"/>
      <c r="AI838" s="23" t="n"/>
      <c r="AJ838" s="23" t="n"/>
      <c r="AK838" s="23" t="n"/>
      <c r="AL838" s="23" t="n"/>
      <c r="AM838" s="26">
        <f>IF(G838="","",G838&amp;"|"&amp;P838)</f>
        <v/>
      </c>
      <c r="AN838" s="27">
        <f>IF(I838="","",IFERROR(DATE(VALUE(RIGHT(I838,4)),VALUE(MID(I838,4,2)),VALUE(LEFT(I838,2))),""))</f>
        <v/>
      </c>
      <c r="AO838" s="27">
        <f>IF(Y838="","",IFERROR(DATE(VALUE(RIGHT(Y838,4)),VALUE(MID(Y838,4,2)),VALUE(LEFT(Y838,2))),""))</f>
        <v/>
      </c>
      <c r="AP838" s="27">
        <f>IF(AC838="","",IFERROR(DATE(VALUE(RIGHT(AC838,4)),VALUE(MID(AC838,4,2)),VALUE(LEFT(AC838,2))),""))</f>
        <v/>
      </c>
      <c r="AQ838" s="26">
        <f>IF(AI838="","",TRIM(LEFT(AI838,FIND(" ",AI838&amp;" ")-1)))</f>
        <v/>
      </c>
      <c r="AR838" s="27">
        <f>IF(AQ838="","",IFERROR(DATE(VALUE(MID(AQ838,FIND("/",AQ838,FIND("/",AQ838)+1)+1,4)),VALUE(LEFT(AQ838,FIND("/",AQ838)-1)),VALUE(MID(AQ838,FIND("/",AQ838)+1,FIND("/",AQ838,FIND("/",AQ838)+1)-FIND("/",AQ838)-1))),""))</f>
        <v/>
      </c>
      <c r="AS838" s="26">
        <f>IF(G838="","",IF(AND(AG838&lt;&gt;"",AG838&lt;&gt;"Bayi Aracı"),"Evet","Hayır"))</f>
        <v/>
      </c>
      <c r="AT838" s="26">
        <f>IF(G838="","",IF(AND(AS838="Evet",T838="Siparişiniz Teslim Edildi"),"Evet","Hayır"))</f>
        <v/>
      </c>
      <c r="AU838" s="26">
        <f>IF(G838="","",IF(AB838="Siparişinizin Montajı Yapıldı","Evet","Hayır"))</f>
        <v/>
      </c>
      <c r="AV838" s="27">
        <f>IF(G838="","",IF(AT838="Evet",AR838,IF(AU838="Evet",AP838,"")))</f>
        <v/>
      </c>
    </row>
    <row r="839">
      <c r="A839" s="23" t="n"/>
      <c r="B839" s="23" t="n"/>
      <c r="C839" s="23" t="n"/>
      <c r="D839" s="23" t="n"/>
      <c r="E839" s="23" t="n"/>
      <c r="F839" s="23" t="n"/>
      <c r="G839" s="23" t="n"/>
      <c r="H839" s="23" t="n"/>
      <c r="I839" s="23" t="n"/>
      <c r="J839" s="23" t="n"/>
      <c r="K839" s="23" t="n"/>
      <c r="L839" s="23" t="n"/>
      <c r="M839" s="23" t="n"/>
      <c r="N839" s="23" t="n"/>
      <c r="O839" s="23" t="n"/>
      <c r="P839" s="23" t="n"/>
      <c r="Q839" s="23" t="n"/>
      <c r="R839" s="23" t="n"/>
      <c r="S839" s="23" t="n"/>
      <c r="T839" s="23" t="n"/>
      <c r="U839" s="23" t="n"/>
      <c r="V839" s="23" t="n"/>
      <c r="W839" s="23" t="n"/>
      <c r="X839" s="23" t="n"/>
      <c r="Y839" s="23" t="n"/>
      <c r="Z839" s="23" t="n"/>
      <c r="AA839" s="23" t="n"/>
      <c r="AB839" s="23" t="n"/>
      <c r="AC839" s="23" t="n"/>
      <c r="AD839" s="23" t="n"/>
      <c r="AE839" s="23" t="n"/>
      <c r="AF839" s="23" t="n"/>
      <c r="AG839" s="23" t="n"/>
      <c r="AH839" s="23" t="n"/>
      <c r="AI839" s="23" t="n"/>
      <c r="AJ839" s="23" t="n"/>
      <c r="AK839" s="23" t="n"/>
      <c r="AL839" s="23" t="n"/>
      <c r="AM839" s="26">
        <f>IF(G839="","",G839&amp;"|"&amp;P839)</f>
        <v/>
      </c>
      <c r="AN839" s="27">
        <f>IF(I839="","",IFERROR(DATE(VALUE(RIGHT(I839,4)),VALUE(MID(I839,4,2)),VALUE(LEFT(I839,2))),""))</f>
        <v/>
      </c>
      <c r="AO839" s="27">
        <f>IF(Y839="","",IFERROR(DATE(VALUE(RIGHT(Y839,4)),VALUE(MID(Y839,4,2)),VALUE(LEFT(Y839,2))),""))</f>
        <v/>
      </c>
      <c r="AP839" s="27">
        <f>IF(AC839="","",IFERROR(DATE(VALUE(RIGHT(AC839,4)),VALUE(MID(AC839,4,2)),VALUE(LEFT(AC839,2))),""))</f>
        <v/>
      </c>
      <c r="AQ839" s="26">
        <f>IF(AI839="","",TRIM(LEFT(AI839,FIND(" ",AI839&amp;" ")-1)))</f>
        <v/>
      </c>
      <c r="AR839" s="27">
        <f>IF(AQ839="","",IFERROR(DATE(VALUE(MID(AQ839,FIND("/",AQ839,FIND("/",AQ839)+1)+1,4)),VALUE(LEFT(AQ839,FIND("/",AQ839)-1)),VALUE(MID(AQ839,FIND("/",AQ839)+1,FIND("/",AQ839,FIND("/",AQ839)+1)-FIND("/",AQ839)-1))),""))</f>
        <v/>
      </c>
      <c r="AS839" s="26">
        <f>IF(G839="","",IF(AND(AG839&lt;&gt;"",AG839&lt;&gt;"Bayi Aracı"),"Evet","Hayır"))</f>
        <v/>
      </c>
      <c r="AT839" s="26">
        <f>IF(G839="","",IF(AND(AS839="Evet",T839="Siparişiniz Teslim Edildi"),"Evet","Hayır"))</f>
        <v/>
      </c>
      <c r="AU839" s="26">
        <f>IF(G839="","",IF(AB839="Siparişinizin Montajı Yapıldı","Evet","Hayır"))</f>
        <v/>
      </c>
      <c r="AV839" s="27">
        <f>IF(G839="","",IF(AT839="Evet",AR839,IF(AU839="Evet",AP839,"")))</f>
        <v/>
      </c>
    </row>
    <row r="840">
      <c r="A840" s="23" t="n"/>
      <c r="B840" s="23" t="n"/>
      <c r="C840" s="23" t="n"/>
      <c r="D840" s="23" t="n"/>
      <c r="E840" s="23" t="n"/>
      <c r="F840" s="23" t="n"/>
      <c r="G840" s="23" t="n"/>
      <c r="H840" s="23" t="n"/>
      <c r="I840" s="23" t="n"/>
      <c r="J840" s="23" t="n"/>
      <c r="K840" s="23" t="n"/>
      <c r="L840" s="23" t="n"/>
      <c r="M840" s="23" t="n"/>
      <c r="N840" s="23" t="n"/>
      <c r="O840" s="23" t="n"/>
      <c r="P840" s="23" t="n"/>
      <c r="Q840" s="23" t="n"/>
      <c r="R840" s="23" t="n"/>
      <c r="S840" s="23" t="n"/>
      <c r="T840" s="23" t="n"/>
      <c r="U840" s="23" t="n"/>
      <c r="V840" s="23" t="n"/>
      <c r="W840" s="23" t="n"/>
      <c r="X840" s="23" t="n"/>
      <c r="Y840" s="23" t="n"/>
      <c r="Z840" s="23" t="n"/>
      <c r="AA840" s="23" t="n"/>
      <c r="AB840" s="23" t="n"/>
      <c r="AC840" s="23" t="n"/>
      <c r="AD840" s="23" t="n"/>
      <c r="AE840" s="23" t="n"/>
      <c r="AF840" s="23" t="n"/>
      <c r="AG840" s="23" t="n"/>
      <c r="AH840" s="23" t="n"/>
      <c r="AI840" s="23" t="n"/>
      <c r="AJ840" s="23" t="n"/>
      <c r="AK840" s="23" t="n"/>
      <c r="AL840" s="23" t="n"/>
      <c r="AM840" s="26">
        <f>IF(G840="","",G840&amp;"|"&amp;P840)</f>
        <v/>
      </c>
      <c r="AN840" s="27">
        <f>IF(I840="","",IFERROR(DATE(VALUE(RIGHT(I840,4)),VALUE(MID(I840,4,2)),VALUE(LEFT(I840,2))),""))</f>
        <v/>
      </c>
      <c r="AO840" s="27">
        <f>IF(Y840="","",IFERROR(DATE(VALUE(RIGHT(Y840,4)),VALUE(MID(Y840,4,2)),VALUE(LEFT(Y840,2))),""))</f>
        <v/>
      </c>
      <c r="AP840" s="27">
        <f>IF(AC840="","",IFERROR(DATE(VALUE(RIGHT(AC840,4)),VALUE(MID(AC840,4,2)),VALUE(LEFT(AC840,2))),""))</f>
        <v/>
      </c>
      <c r="AQ840" s="26">
        <f>IF(AI840="","",TRIM(LEFT(AI840,FIND(" ",AI840&amp;" ")-1)))</f>
        <v/>
      </c>
      <c r="AR840" s="27">
        <f>IF(AQ840="","",IFERROR(DATE(VALUE(MID(AQ840,FIND("/",AQ840,FIND("/",AQ840)+1)+1,4)),VALUE(LEFT(AQ840,FIND("/",AQ840)-1)),VALUE(MID(AQ840,FIND("/",AQ840)+1,FIND("/",AQ840,FIND("/",AQ840)+1)-FIND("/",AQ840)-1))),""))</f>
        <v/>
      </c>
      <c r="AS840" s="26">
        <f>IF(G840="","",IF(AND(AG840&lt;&gt;"",AG840&lt;&gt;"Bayi Aracı"),"Evet","Hayır"))</f>
        <v/>
      </c>
      <c r="AT840" s="26">
        <f>IF(G840="","",IF(AND(AS840="Evet",T840="Siparişiniz Teslim Edildi"),"Evet","Hayır"))</f>
        <v/>
      </c>
      <c r="AU840" s="26">
        <f>IF(G840="","",IF(AB840="Siparişinizin Montajı Yapıldı","Evet","Hayır"))</f>
        <v/>
      </c>
      <c r="AV840" s="27">
        <f>IF(G840="","",IF(AT840="Evet",AR840,IF(AU840="Evet",AP840,"")))</f>
        <v/>
      </c>
    </row>
    <row r="841">
      <c r="A841" s="23" t="n"/>
      <c r="B841" s="23" t="n"/>
      <c r="C841" s="23" t="n"/>
      <c r="D841" s="23" t="n"/>
      <c r="E841" s="23" t="n"/>
      <c r="F841" s="23" t="n"/>
      <c r="G841" s="23" t="n"/>
      <c r="H841" s="23" t="n"/>
      <c r="I841" s="23" t="n"/>
      <c r="J841" s="23" t="n"/>
      <c r="K841" s="23" t="n"/>
      <c r="L841" s="23" t="n"/>
      <c r="M841" s="23" t="n"/>
      <c r="N841" s="23" t="n"/>
      <c r="O841" s="23" t="n"/>
      <c r="P841" s="23" t="n"/>
      <c r="Q841" s="23" t="n"/>
      <c r="R841" s="23" t="n"/>
      <c r="S841" s="23" t="n"/>
      <c r="T841" s="23" t="n"/>
      <c r="U841" s="23" t="n"/>
      <c r="V841" s="23" t="n"/>
      <c r="W841" s="23" t="n"/>
      <c r="X841" s="23" t="n"/>
      <c r="Y841" s="23" t="n"/>
      <c r="Z841" s="23" t="n"/>
      <c r="AA841" s="23" t="n"/>
      <c r="AB841" s="23" t="n"/>
      <c r="AC841" s="23" t="n"/>
      <c r="AD841" s="23" t="n"/>
      <c r="AE841" s="23" t="n"/>
      <c r="AF841" s="23" t="n"/>
      <c r="AG841" s="23" t="n"/>
      <c r="AH841" s="23" t="n"/>
      <c r="AI841" s="23" t="n"/>
      <c r="AJ841" s="23" t="n"/>
      <c r="AK841" s="23" t="n"/>
      <c r="AL841" s="23" t="n"/>
      <c r="AM841" s="26">
        <f>IF(G841="","",G841&amp;"|"&amp;P841)</f>
        <v/>
      </c>
      <c r="AN841" s="27">
        <f>IF(I841="","",IFERROR(DATE(VALUE(RIGHT(I841,4)),VALUE(MID(I841,4,2)),VALUE(LEFT(I841,2))),""))</f>
        <v/>
      </c>
      <c r="AO841" s="27">
        <f>IF(Y841="","",IFERROR(DATE(VALUE(RIGHT(Y841,4)),VALUE(MID(Y841,4,2)),VALUE(LEFT(Y841,2))),""))</f>
        <v/>
      </c>
      <c r="AP841" s="27">
        <f>IF(AC841="","",IFERROR(DATE(VALUE(RIGHT(AC841,4)),VALUE(MID(AC841,4,2)),VALUE(LEFT(AC841,2))),""))</f>
        <v/>
      </c>
      <c r="AQ841" s="26">
        <f>IF(AI841="","",TRIM(LEFT(AI841,FIND(" ",AI841&amp;" ")-1)))</f>
        <v/>
      </c>
      <c r="AR841" s="27">
        <f>IF(AQ841="","",IFERROR(DATE(VALUE(MID(AQ841,FIND("/",AQ841,FIND("/",AQ841)+1)+1,4)),VALUE(LEFT(AQ841,FIND("/",AQ841)-1)),VALUE(MID(AQ841,FIND("/",AQ841)+1,FIND("/",AQ841,FIND("/",AQ841)+1)-FIND("/",AQ841)-1))),""))</f>
        <v/>
      </c>
      <c r="AS841" s="26">
        <f>IF(G841="","",IF(AND(AG841&lt;&gt;"",AG841&lt;&gt;"Bayi Aracı"),"Evet","Hayır"))</f>
        <v/>
      </c>
      <c r="AT841" s="26">
        <f>IF(G841="","",IF(AND(AS841="Evet",T841="Siparişiniz Teslim Edildi"),"Evet","Hayır"))</f>
        <v/>
      </c>
      <c r="AU841" s="26">
        <f>IF(G841="","",IF(AB841="Siparişinizin Montajı Yapıldı","Evet","Hayır"))</f>
        <v/>
      </c>
      <c r="AV841" s="27">
        <f>IF(G841="","",IF(AT841="Evet",AR841,IF(AU841="Evet",AP841,"")))</f>
        <v/>
      </c>
    </row>
    <row r="842">
      <c r="A842" s="23" t="n"/>
      <c r="B842" s="23" t="n"/>
      <c r="C842" s="23" t="n"/>
      <c r="D842" s="23" t="n"/>
      <c r="E842" s="23" t="n"/>
      <c r="F842" s="23" t="n"/>
      <c r="G842" s="23" t="n"/>
      <c r="H842" s="23" t="n"/>
      <c r="I842" s="23" t="n"/>
      <c r="J842" s="23" t="n"/>
      <c r="K842" s="23" t="n"/>
      <c r="L842" s="23" t="n"/>
      <c r="M842" s="23" t="n"/>
      <c r="N842" s="23" t="n"/>
      <c r="O842" s="23" t="n"/>
      <c r="P842" s="23" t="n"/>
      <c r="Q842" s="23" t="n"/>
      <c r="R842" s="23" t="n"/>
      <c r="S842" s="23" t="n"/>
      <c r="T842" s="23" t="n"/>
      <c r="U842" s="23" t="n"/>
      <c r="V842" s="23" t="n"/>
      <c r="W842" s="23" t="n"/>
      <c r="X842" s="23" t="n"/>
      <c r="Y842" s="23" t="n"/>
      <c r="Z842" s="23" t="n"/>
      <c r="AA842" s="23" t="n"/>
      <c r="AB842" s="23" t="n"/>
      <c r="AC842" s="23" t="n"/>
      <c r="AD842" s="23" t="n"/>
      <c r="AE842" s="23" t="n"/>
      <c r="AF842" s="23" t="n"/>
      <c r="AG842" s="23" t="n"/>
      <c r="AH842" s="23" t="n"/>
      <c r="AI842" s="23" t="n"/>
      <c r="AJ842" s="23" t="n"/>
      <c r="AK842" s="23" t="n"/>
      <c r="AL842" s="23" t="n"/>
      <c r="AM842" s="26">
        <f>IF(G842="","",G842&amp;"|"&amp;P842)</f>
        <v/>
      </c>
      <c r="AN842" s="27">
        <f>IF(I842="","",IFERROR(DATE(VALUE(RIGHT(I842,4)),VALUE(MID(I842,4,2)),VALUE(LEFT(I842,2))),""))</f>
        <v/>
      </c>
      <c r="AO842" s="27">
        <f>IF(Y842="","",IFERROR(DATE(VALUE(RIGHT(Y842,4)),VALUE(MID(Y842,4,2)),VALUE(LEFT(Y842,2))),""))</f>
        <v/>
      </c>
      <c r="AP842" s="27">
        <f>IF(AC842="","",IFERROR(DATE(VALUE(RIGHT(AC842,4)),VALUE(MID(AC842,4,2)),VALUE(LEFT(AC842,2))),""))</f>
        <v/>
      </c>
      <c r="AQ842" s="26">
        <f>IF(AI842="","",TRIM(LEFT(AI842,FIND(" ",AI842&amp;" ")-1)))</f>
        <v/>
      </c>
      <c r="AR842" s="27">
        <f>IF(AQ842="","",IFERROR(DATE(VALUE(MID(AQ842,FIND("/",AQ842,FIND("/",AQ842)+1)+1,4)),VALUE(LEFT(AQ842,FIND("/",AQ842)-1)),VALUE(MID(AQ842,FIND("/",AQ842)+1,FIND("/",AQ842,FIND("/",AQ842)+1)-FIND("/",AQ842)-1))),""))</f>
        <v/>
      </c>
      <c r="AS842" s="26">
        <f>IF(G842="","",IF(AND(AG842&lt;&gt;"",AG842&lt;&gt;"Bayi Aracı"),"Evet","Hayır"))</f>
        <v/>
      </c>
      <c r="AT842" s="26">
        <f>IF(G842="","",IF(AND(AS842="Evet",T842="Siparişiniz Teslim Edildi"),"Evet","Hayır"))</f>
        <v/>
      </c>
      <c r="AU842" s="26">
        <f>IF(G842="","",IF(AB842="Siparişinizin Montajı Yapıldı","Evet","Hayır"))</f>
        <v/>
      </c>
      <c r="AV842" s="27">
        <f>IF(G842="","",IF(AT842="Evet",AR842,IF(AU842="Evet",AP842,"")))</f>
        <v/>
      </c>
    </row>
    <row r="843">
      <c r="A843" s="23" t="n"/>
      <c r="B843" s="23" t="n"/>
      <c r="C843" s="23" t="n"/>
      <c r="D843" s="23" t="n"/>
      <c r="E843" s="23" t="n"/>
      <c r="F843" s="23" t="n"/>
      <c r="G843" s="23" t="n"/>
      <c r="H843" s="23" t="n"/>
      <c r="I843" s="23" t="n"/>
      <c r="J843" s="23" t="n"/>
      <c r="K843" s="23" t="n"/>
      <c r="L843" s="23" t="n"/>
      <c r="M843" s="23" t="n"/>
      <c r="N843" s="23" t="n"/>
      <c r="O843" s="23" t="n"/>
      <c r="P843" s="23" t="n"/>
      <c r="Q843" s="23" t="n"/>
      <c r="R843" s="23" t="n"/>
      <c r="S843" s="23" t="n"/>
      <c r="T843" s="23" t="n"/>
      <c r="U843" s="23" t="n"/>
      <c r="V843" s="23" t="n"/>
      <c r="W843" s="23" t="n"/>
      <c r="X843" s="23" t="n"/>
      <c r="Y843" s="23" t="n"/>
      <c r="Z843" s="23" t="n"/>
      <c r="AA843" s="23" t="n"/>
      <c r="AB843" s="23" t="n"/>
      <c r="AC843" s="23" t="n"/>
      <c r="AD843" s="23" t="n"/>
      <c r="AE843" s="23" t="n"/>
      <c r="AF843" s="23" t="n"/>
      <c r="AG843" s="23" t="n"/>
      <c r="AH843" s="23" t="n"/>
      <c r="AI843" s="23" t="n"/>
      <c r="AJ843" s="23" t="n"/>
      <c r="AK843" s="23" t="n"/>
      <c r="AL843" s="23" t="n"/>
      <c r="AM843" s="26">
        <f>IF(G843="","",G843&amp;"|"&amp;P843)</f>
        <v/>
      </c>
      <c r="AN843" s="27">
        <f>IF(I843="","",IFERROR(DATE(VALUE(RIGHT(I843,4)),VALUE(MID(I843,4,2)),VALUE(LEFT(I843,2))),""))</f>
        <v/>
      </c>
      <c r="AO843" s="27">
        <f>IF(Y843="","",IFERROR(DATE(VALUE(RIGHT(Y843,4)),VALUE(MID(Y843,4,2)),VALUE(LEFT(Y843,2))),""))</f>
        <v/>
      </c>
      <c r="AP843" s="27">
        <f>IF(AC843="","",IFERROR(DATE(VALUE(RIGHT(AC843,4)),VALUE(MID(AC843,4,2)),VALUE(LEFT(AC843,2))),""))</f>
        <v/>
      </c>
      <c r="AQ843" s="26">
        <f>IF(AI843="","",TRIM(LEFT(AI843,FIND(" ",AI843&amp;" ")-1)))</f>
        <v/>
      </c>
      <c r="AR843" s="27">
        <f>IF(AQ843="","",IFERROR(DATE(VALUE(MID(AQ843,FIND("/",AQ843,FIND("/",AQ843)+1)+1,4)),VALUE(LEFT(AQ843,FIND("/",AQ843)-1)),VALUE(MID(AQ843,FIND("/",AQ843)+1,FIND("/",AQ843,FIND("/",AQ843)+1)-FIND("/",AQ843)-1))),""))</f>
        <v/>
      </c>
      <c r="AS843" s="26">
        <f>IF(G843="","",IF(AND(AG843&lt;&gt;"",AG843&lt;&gt;"Bayi Aracı"),"Evet","Hayır"))</f>
        <v/>
      </c>
      <c r="AT843" s="26">
        <f>IF(G843="","",IF(AND(AS843="Evet",T843="Siparişiniz Teslim Edildi"),"Evet","Hayır"))</f>
        <v/>
      </c>
      <c r="AU843" s="26">
        <f>IF(G843="","",IF(AB843="Siparişinizin Montajı Yapıldı","Evet","Hayır"))</f>
        <v/>
      </c>
      <c r="AV843" s="27">
        <f>IF(G843="","",IF(AT843="Evet",AR843,IF(AU843="Evet",AP843,"")))</f>
        <v/>
      </c>
    </row>
    <row r="844">
      <c r="A844" s="23" t="n"/>
      <c r="B844" s="23" t="n"/>
      <c r="C844" s="23" t="n"/>
      <c r="D844" s="23" t="n"/>
      <c r="E844" s="23" t="n"/>
      <c r="F844" s="23" t="n"/>
      <c r="G844" s="23" t="n"/>
      <c r="H844" s="23" t="n"/>
      <c r="I844" s="23" t="n"/>
      <c r="J844" s="23" t="n"/>
      <c r="K844" s="23" t="n"/>
      <c r="L844" s="23" t="n"/>
      <c r="M844" s="23" t="n"/>
      <c r="N844" s="23" t="n"/>
      <c r="O844" s="23" t="n"/>
      <c r="P844" s="23" t="n"/>
      <c r="Q844" s="23" t="n"/>
      <c r="R844" s="23" t="n"/>
      <c r="S844" s="23" t="n"/>
      <c r="T844" s="23" t="n"/>
      <c r="U844" s="23" t="n"/>
      <c r="V844" s="23" t="n"/>
      <c r="W844" s="23" t="n"/>
      <c r="X844" s="23" t="n"/>
      <c r="Y844" s="23" t="n"/>
      <c r="Z844" s="23" t="n"/>
      <c r="AA844" s="23" t="n"/>
      <c r="AB844" s="23" t="n"/>
      <c r="AC844" s="23" t="n"/>
      <c r="AD844" s="23" t="n"/>
      <c r="AE844" s="23" t="n"/>
      <c r="AF844" s="23" t="n"/>
      <c r="AG844" s="23" t="n"/>
      <c r="AH844" s="23" t="n"/>
      <c r="AI844" s="23" t="n"/>
      <c r="AJ844" s="23" t="n"/>
      <c r="AK844" s="23" t="n"/>
      <c r="AL844" s="23" t="n"/>
      <c r="AM844" s="26">
        <f>IF(G844="","",G844&amp;"|"&amp;P844)</f>
        <v/>
      </c>
      <c r="AN844" s="27">
        <f>IF(I844="","",IFERROR(DATE(VALUE(RIGHT(I844,4)),VALUE(MID(I844,4,2)),VALUE(LEFT(I844,2))),""))</f>
        <v/>
      </c>
      <c r="AO844" s="27">
        <f>IF(Y844="","",IFERROR(DATE(VALUE(RIGHT(Y844,4)),VALUE(MID(Y844,4,2)),VALUE(LEFT(Y844,2))),""))</f>
        <v/>
      </c>
      <c r="AP844" s="27">
        <f>IF(AC844="","",IFERROR(DATE(VALUE(RIGHT(AC844,4)),VALUE(MID(AC844,4,2)),VALUE(LEFT(AC844,2))),""))</f>
        <v/>
      </c>
      <c r="AQ844" s="26">
        <f>IF(AI844="","",TRIM(LEFT(AI844,FIND(" ",AI844&amp;" ")-1)))</f>
        <v/>
      </c>
      <c r="AR844" s="27">
        <f>IF(AQ844="","",IFERROR(DATE(VALUE(MID(AQ844,FIND("/",AQ844,FIND("/",AQ844)+1)+1,4)),VALUE(LEFT(AQ844,FIND("/",AQ844)-1)),VALUE(MID(AQ844,FIND("/",AQ844)+1,FIND("/",AQ844,FIND("/",AQ844)+1)-FIND("/",AQ844)-1))),""))</f>
        <v/>
      </c>
      <c r="AS844" s="26">
        <f>IF(G844="","",IF(AND(AG844&lt;&gt;"",AG844&lt;&gt;"Bayi Aracı"),"Evet","Hayır"))</f>
        <v/>
      </c>
      <c r="AT844" s="26">
        <f>IF(G844="","",IF(AND(AS844="Evet",T844="Siparişiniz Teslim Edildi"),"Evet","Hayır"))</f>
        <v/>
      </c>
      <c r="AU844" s="26">
        <f>IF(G844="","",IF(AB844="Siparişinizin Montajı Yapıldı","Evet","Hayır"))</f>
        <v/>
      </c>
      <c r="AV844" s="27">
        <f>IF(G844="","",IF(AT844="Evet",AR844,IF(AU844="Evet",AP844,"")))</f>
        <v/>
      </c>
    </row>
    <row r="845">
      <c r="A845" s="23" t="n"/>
      <c r="B845" s="23" t="n"/>
      <c r="C845" s="23" t="n"/>
      <c r="D845" s="23" t="n"/>
      <c r="E845" s="23" t="n"/>
      <c r="F845" s="23" t="n"/>
      <c r="G845" s="23" t="n"/>
      <c r="H845" s="23" t="n"/>
      <c r="I845" s="23" t="n"/>
      <c r="J845" s="23" t="n"/>
      <c r="K845" s="23" t="n"/>
      <c r="L845" s="23" t="n"/>
      <c r="M845" s="23" t="n"/>
      <c r="N845" s="23" t="n"/>
      <c r="O845" s="23" t="n"/>
      <c r="P845" s="23" t="n"/>
      <c r="Q845" s="23" t="n"/>
      <c r="R845" s="23" t="n"/>
      <c r="S845" s="23" t="n"/>
      <c r="T845" s="23" t="n"/>
      <c r="U845" s="23" t="n"/>
      <c r="V845" s="23" t="n"/>
      <c r="W845" s="23" t="n"/>
      <c r="X845" s="23" t="n"/>
      <c r="Y845" s="23" t="n"/>
      <c r="Z845" s="23" t="n"/>
      <c r="AA845" s="23" t="n"/>
      <c r="AB845" s="23" t="n"/>
      <c r="AC845" s="23" t="n"/>
      <c r="AD845" s="23" t="n"/>
      <c r="AE845" s="23" t="n"/>
      <c r="AF845" s="23" t="n"/>
      <c r="AG845" s="23" t="n"/>
      <c r="AH845" s="23" t="n"/>
      <c r="AI845" s="23" t="n"/>
      <c r="AJ845" s="23" t="n"/>
      <c r="AK845" s="23" t="n"/>
      <c r="AL845" s="23" t="n"/>
      <c r="AM845" s="26">
        <f>IF(G845="","",G845&amp;"|"&amp;P845)</f>
        <v/>
      </c>
      <c r="AN845" s="27">
        <f>IF(I845="","",IFERROR(DATE(VALUE(RIGHT(I845,4)),VALUE(MID(I845,4,2)),VALUE(LEFT(I845,2))),""))</f>
        <v/>
      </c>
      <c r="AO845" s="27">
        <f>IF(Y845="","",IFERROR(DATE(VALUE(RIGHT(Y845,4)),VALUE(MID(Y845,4,2)),VALUE(LEFT(Y845,2))),""))</f>
        <v/>
      </c>
      <c r="AP845" s="27">
        <f>IF(AC845="","",IFERROR(DATE(VALUE(RIGHT(AC845,4)),VALUE(MID(AC845,4,2)),VALUE(LEFT(AC845,2))),""))</f>
        <v/>
      </c>
      <c r="AQ845" s="26">
        <f>IF(AI845="","",TRIM(LEFT(AI845,FIND(" ",AI845&amp;" ")-1)))</f>
        <v/>
      </c>
      <c r="AR845" s="27">
        <f>IF(AQ845="","",IFERROR(DATE(VALUE(MID(AQ845,FIND("/",AQ845,FIND("/",AQ845)+1)+1,4)),VALUE(LEFT(AQ845,FIND("/",AQ845)-1)),VALUE(MID(AQ845,FIND("/",AQ845)+1,FIND("/",AQ845,FIND("/",AQ845)+1)-FIND("/",AQ845)-1))),""))</f>
        <v/>
      </c>
      <c r="AS845" s="26">
        <f>IF(G845="","",IF(AND(AG845&lt;&gt;"",AG845&lt;&gt;"Bayi Aracı"),"Evet","Hayır"))</f>
        <v/>
      </c>
      <c r="AT845" s="26">
        <f>IF(G845="","",IF(AND(AS845="Evet",T845="Siparişiniz Teslim Edildi"),"Evet","Hayır"))</f>
        <v/>
      </c>
      <c r="AU845" s="26">
        <f>IF(G845="","",IF(AB845="Siparişinizin Montajı Yapıldı","Evet","Hayır"))</f>
        <v/>
      </c>
      <c r="AV845" s="27">
        <f>IF(G845="","",IF(AT845="Evet",AR845,IF(AU845="Evet",AP845,"")))</f>
        <v/>
      </c>
    </row>
    <row r="846">
      <c r="A846" s="23" t="n"/>
      <c r="B846" s="23" t="n"/>
      <c r="C846" s="23" t="n"/>
      <c r="D846" s="23" t="n"/>
      <c r="E846" s="23" t="n"/>
      <c r="F846" s="23" t="n"/>
      <c r="G846" s="23" t="n"/>
      <c r="H846" s="23" t="n"/>
      <c r="I846" s="23" t="n"/>
      <c r="J846" s="23" t="n"/>
      <c r="K846" s="23" t="n"/>
      <c r="L846" s="23" t="n"/>
      <c r="M846" s="23" t="n"/>
      <c r="N846" s="23" t="n"/>
      <c r="O846" s="23" t="n"/>
      <c r="P846" s="23" t="n"/>
      <c r="Q846" s="23" t="n"/>
      <c r="R846" s="23" t="n"/>
      <c r="S846" s="23" t="n"/>
      <c r="T846" s="23" t="n"/>
      <c r="U846" s="23" t="n"/>
      <c r="V846" s="23" t="n"/>
      <c r="W846" s="23" t="n"/>
      <c r="X846" s="23" t="n"/>
      <c r="Y846" s="23" t="n"/>
      <c r="Z846" s="23" t="n"/>
      <c r="AA846" s="23" t="n"/>
      <c r="AB846" s="23" t="n"/>
      <c r="AC846" s="23" t="n"/>
      <c r="AD846" s="23" t="n"/>
      <c r="AE846" s="23" t="n"/>
      <c r="AF846" s="23" t="n"/>
      <c r="AG846" s="23" t="n"/>
      <c r="AH846" s="23" t="n"/>
      <c r="AI846" s="23" t="n"/>
      <c r="AJ846" s="23" t="n"/>
      <c r="AK846" s="23" t="n"/>
      <c r="AL846" s="23" t="n"/>
      <c r="AM846" s="26">
        <f>IF(G846="","",G846&amp;"|"&amp;P846)</f>
        <v/>
      </c>
      <c r="AN846" s="27">
        <f>IF(I846="","",IFERROR(DATE(VALUE(RIGHT(I846,4)),VALUE(MID(I846,4,2)),VALUE(LEFT(I846,2))),""))</f>
        <v/>
      </c>
      <c r="AO846" s="27">
        <f>IF(Y846="","",IFERROR(DATE(VALUE(RIGHT(Y846,4)),VALUE(MID(Y846,4,2)),VALUE(LEFT(Y846,2))),""))</f>
        <v/>
      </c>
      <c r="AP846" s="27">
        <f>IF(AC846="","",IFERROR(DATE(VALUE(RIGHT(AC846,4)),VALUE(MID(AC846,4,2)),VALUE(LEFT(AC846,2))),""))</f>
        <v/>
      </c>
      <c r="AQ846" s="26">
        <f>IF(AI846="","",TRIM(LEFT(AI846,FIND(" ",AI846&amp;" ")-1)))</f>
        <v/>
      </c>
      <c r="AR846" s="27">
        <f>IF(AQ846="","",IFERROR(DATE(VALUE(MID(AQ846,FIND("/",AQ846,FIND("/",AQ846)+1)+1,4)),VALUE(LEFT(AQ846,FIND("/",AQ846)-1)),VALUE(MID(AQ846,FIND("/",AQ846)+1,FIND("/",AQ846,FIND("/",AQ846)+1)-FIND("/",AQ846)-1))),""))</f>
        <v/>
      </c>
      <c r="AS846" s="26">
        <f>IF(G846="","",IF(AND(AG846&lt;&gt;"",AG846&lt;&gt;"Bayi Aracı"),"Evet","Hayır"))</f>
        <v/>
      </c>
      <c r="AT846" s="26">
        <f>IF(G846="","",IF(AND(AS846="Evet",T846="Siparişiniz Teslim Edildi"),"Evet","Hayır"))</f>
        <v/>
      </c>
      <c r="AU846" s="26">
        <f>IF(G846="","",IF(AB846="Siparişinizin Montajı Yapıldı","Evet","Hayır"))</f>
        <v/>
      </c>
      <c r="AV846" s="27">
        <f>IF(G846="","",IF(AT846="Evet",AR846,IF(AU846="Evet",AP846,"")))</f>
        <v/>
      </c>
    </row>
    <row r="847">
      <c r="A847" s="23" t="n"/>
      <c r="B847" s="23" t="n"/>
      <c r="C847" s="23" t="n"/>
      <c r="D847" s="23" t="n"/>
      <c r="E847" s="23" t="n"/>
      <c r="F847" s="23" t="n"/>
      <c r="G847" s="23" t="n"/>
      <c r="H847" s="23" t="n"/>
      <c r="I847" s="23" t="n"/>
      <c r="J847" s="23" t="n"/>
      <c r="K847" s="23" t="n"/>
      <c r="L847" s="23" t="n"/>
      <c r="M847" s="23" t="n"/>
      <c r="N847" s="23" t="n"/>
      <c r="O847" s="23" t="n"/>
      <c r="P847" s="23" t="n"/>
      <c r="Q847" s="23" t="n"/>
      <c r="R847" s="23" t="n"/>
      <c r="S847" s="23" t="n"/>
      <c r="T847" s="23" t="n"/>
      <c r="U847" s="23" t="n"/>
      <c r="V847" s="23" t="n"/>
      <c r="W847" s="23" t="n"/>
      <c r="X847" s="23" t="n"/>
      <c r="Y847" s="23" t="n"/>
      <c r="Z847" s="23" t="n"/>
      <c r="AA847" s="23" t="n"/>
      <c r="AB847" s="23" t="n"/>
      <c r="AC847" s="23" t="n"/>
      <c r="AD847" s="23" t="n"/>
      <c r="AE847" s="23" t="n"/>
      <c r="AF847" s="23" t="n"/>
      <c r="AG847" s="23" t="n"/>
      <c r="AH847" s="23" t="n"/>
      <c r="AI847" s="23" t="n"/>
      <c r="AJ847" s="23" t="n"/>
      <c r="AK847" s="23" t="n"/>
      <c r="AL847" s="23" t="n"/>
      <c r="AM847" s="26">
        <f>IF(G847="","",G847&amp;"|"&amp;P847)</f>
        <v/>
      </c>
      <c r="AN847" s="27">
        <f>IF(I847="","",IFERROR(DATE(VALUE(RIGHT(I847,4)),VALUE(MID(I847,4,2)),VALUE(LEFT(I847,2))),""))</f>
        <v/>
      </c>
      <c r="AO847" s="27">
        <f>IF(Y847="","",IFERROR(DATE(VALUE(RIGHT(Y847,4)),VALUE(MID(Y847,4,2)),VALUE(LEFT(Y847,2))),""))</f>
        <v/>
      </c>
      <c r="AP847" s="27">
        <f>IF(AC847="","",IFERROR(DATE(VALUE(RIGHT(AC847,4)),VALUE(MID(AC847,4,2)),VALUE(LEFT(AC847,2))),""))</f>
        <v/>
      </c>
      <c r="AQ847" s="26">
        <f>IF(AI847="","",TRIM(LEFT(AI847,FIND(" ",AI847&amp;" ")-1)))</f>
        <v/>
      </c>
      <c r="AR847" s="27">
        <f>IF(AQ847="","",IFERROR(DATE(VALUE(MID(AQ847,FIND("/",AQ847,FIND("/",AQ847)+1)+1,4)),VALUE(LEFT(AQ847,FIND("/",AQ847)-1)),VALUE(MID(AQ847,FIND("/",AQ847)+1,FIND("/",AQ847,FIND("/",AQ847)+1)-FIND("/",AQ847)-1))),""))</f>
        <v/>
      </c>
      <c r="AS847" s="26">
        <f>IF(G847="","",IF(AND(AG847&lt;&gt;"",AG847&lt;&gt;"Bayi Aracı"),"Evet","Hayır"))</f>
        <v/>
      </c>
      <c r="AT847" s="26">
        <f>IF(G847="","",IF(AND(AS847="Evet",T847="Siparişiniz Teslim Edildi"),"Evet","Hayır"))</f>
        <v/>
      </c>
      <c r="AU847" s="26">
        <f>IF(G847="","",IF(AB847="Siparişinizin Montajı Yapıldı","Evet","Hayır"))</f>
        <v/>
      </c>
      <c r="AV847" s="27">
        <f>IF(G847="","",IF(AT847="Evet",AR847,IF(AU847="Evet",AP847,"")))</f>
        <v/>
      </c>
    </row>
    <row r="848">
      <c r="A848" s="23" t="n"/>
      <c r="B848" s="23" t="n"/>
      <c r="C848" s="23" t="n"/>
      <c r="D848" s="23" t="n"/>
      <c r="E848" s="23" t="n"/>
      <c r="F848" s="23" t="n"/>
      <c r="G848" s="23" t="n"/>
      <c r="H848" s="23" t="n"/>
      <c r="I848" s="23" t="n"/>
      <c r="J848" s="23" t="n"/>
      <c r="K848" s="23" t="n"/>
      <c r="L848" s="23" t="n"/>
      <c r="M848" s="23" t="n"/>
      <c r="N848" s="23" t="n"/>
      <c r="O848" s="23" t="n"/>
      <c r="P848" s="23" t="n"/>
      <c r="Q848" s="23" t="n"/>
      <c r="R848" s="23" t="n"/>
      <c r="S848" s="23" t="n"/>
      <c r="T848" s="23" t="n"/>
      <c r="U848" s="23" t="n"/>
      <c r="V848" s="23" t="n"/>
      <c r="W848" s="23" t="n"/>
      <c r="X848" s="23" t="n"/>
      <c r="Y848" s="23" t="n"/>
      <c r="Z848" s="23" t="n"/>
      <c r="AA848" s="23" t="n"/>
      <c r="AB848" s="23" t="n"/>
      <c r="AC848" s="23" t="n"/>
      <c r="AD848" s="23" t="n"/>
      <c r="AE848" s="23" t="n"/>
      <c r="AF848" s="23" t="n"/>
      <c r="AG848" s="23" t="n"/>
      <c r="AH848" s="23" t="n"/>
      <c r="AI848" s="23" t="n"/>
      <c r="AJ848" s="23" t="n"/>
      <c r="AK848" s="23" t="n"/>
      <c r="AL848" s="23" t="n"/>
      <c r="AM848" s="26">
        <f>IF(G848="","",G848&amp;"|"&amp;P848)</f>
        <v/>
      </c>
      <c r="AN848" s="27">
        <f>IF(I848="","",IFERROR(DATE(VALUE(RIGHT(I848,4)),VALUE(MID(I848,4,2)),VALUE(LEFT(I848,2))),""))</f>
        <v/>
      </c>
      <c r="AO848" s="27">
        <f>IF(Y848="","",IFERROR(DATE(VALUE(RIGHT(Y848,4)),VALUE(MID(Y848,4,2)),VALUE(LEFT(Y848,2))),""))</f>
        <v/>
      </c>
      <c r="AP848" s="27">
        <f>IF(AC848="","",IFERROR(DATE(VALUE(RIGHT(AC848,4)),VALUE(MID(AC848,4,2)),VALUE(LEFT(AC848,2))),""))</f>
        <v/>
      </c>
      <c r="AQ848" s="26">
        <f>IF(AI848="","",TRIM(LEFT(AI848,FIND(" ",AI848&amp;" ")-1)))</f>
        <v/>
      </c>
      <c r="AR848" s="27">
        <f>IF(AQ848="","",IFERROR(DATE(VALUE(MID(AQ848,FIND("/",AQ848,FIND("/",AQ848)+1)+1,4)),VALUE(LEFT(AQ848,FIND("/",AQ848)-1)),VALUE(MID(AQ848,FIND("/",AQ848)+1,FIND("/",AQ848,FIND("/",AQ848)+1)-FIND("/",AQ848)-1))),""))</f>
        <v/>
      </c>
      <c r="AS848" s="26">
        <f>IF(G848="","",IF(AND(AG848&lt;&gt;"",AG848&lt;&gt;"Bayi Aracı"),"Evet","Hayır"))</f>
        <v/>
      </c>
      <c r="AT848" s="26">
        <f>IF(G848="","",IF(AND(AS848="Evet",T848="Siparişiniz Teslim Edildi"),"Evet","Hayır"))</f>
        <v/>
      </c>
      <c r="AU848" s="26">
        <f>IF(G848="","",IF(AB848="Siparişinizin Montajı Yapıldı","Evet","Hayır"))</f>
        <v/>
      </c>
      <c r="AV848" s="27">
        <f>IF(G848="","",IF(AT848="Evet",AR848,IF(AU848="Evet",AP848,"")))</f>
        <v/>
      </c>
    </row>
    <row r="849">
      <c r="A849" s="23" t="n"/>
      <c r="B849" s="23" t="n"/>
      <c r="C849" s="23" t="n"/>
      <c r="D849" s="23" t="n"/>
      <c r="E849" s="23" t="n"/>
      <c r="F849" s="23" t="n"/>
      <c r="G849" s="23" t="n"/>
      <c r="H849" s="23" t="n"/>
      <c r="I849" s="23" t="n"/>
      <c r="J849" s="23" t="n"/>
      <c r="K849" s="23" t="n"/>
      <c r="L849" s="23" t="n"/>
      <c r="M849" s="23" t="n"/>
      <c r="N849" s="23" t="n"/>
      <c r="O849" s="23" t="n"/>
      <c r="P849" s="23" t="n"/>
      <c r="Q849" s="23" t="n"/>
      <c r="R849" s="23" t="n"/>
      <c r="S849" s="23" t="n"/>
      <c r="T849" s="23" t="n"/>
      <c r="U849" s="23" t="n"/>
      <c r="V849" s="23" t="n"/>
      <c r="W849" s="23" t="n"/>
      <c r="X849" s="23" t="n"/>
      <c r="Y849" s="23" t="n"/>
      <c r="Z849" s="23" t="n"/>
      <c r="AA849" s="23" t="n"/>
      <c r="AB849" s="23" t="n"/>
      <c r="AC849" s="23" t="n"/>
      <c r="AD849" s="23" t="n"/>
      <c r="AE849" s="23" t="n"/>
      <c r="AF849" s="23" t="n"/>
      <c r="AG849" s="23" t="n"/>
      <c r="AH849" s="23" t="n"/>
      <c r="AI849" s="23" t="n"/>
      <c r="AJ849" s="23" t="n"/>
      <c r="AK849" s="23" t="n"/>
      <c r="AL849" s="23" t="n"/>
      <c r="AM849" s="26">
        <f>IF(G849="","",G849&amp;"|"&amp;P849)</f>
        <v/>
      </c>
      <c r="AN849" s="27">
        <f>IF(I849="","",IFERROR(DATE(VALUE(RIGHT(I849,4)),VALUE(MID(I849,4,2)),VALUE(LEFT(I849,2))),""))</f>
        <v/>
      </c>
      <c r="AO849" s="27">
        <f>IF(Y849="","",IFERROR(DATE(VALUE(RIGHT(Y849,4)),VALUE(MID(Y849,4,2)),VALUE(LEFT(Y849,2))),""))</f>
        <v/>
      </c>
      <c r="AP849" s="27">
        <f>IF(AC849="","",IFERROR(DATE(VALUE(RIGHT(AC849,4)),VALUE(MID(AC849,4,2)),VALUE(LEFT(AC849,2))),""))</f>
        <v/>
      </c>
      <c r="AQ849" s="26">
        <f>IF(AI849="","",TRIM(LEFT(AI849,FIND(" ",AI849&amp;" ")-1)))</f>
        <v/>
      </c>
      <c r="AR849" s="27">
        <f>IF(AQ849="","",IFERROR(DATE(VALUE(MID(AQ849,FIND("/",AQ849,FIND("/",AQ849)+1)+1,4)),VALUE(LEFT(AQ849,FIND("/",AQ849)-1)),VALUE(MID(AQ849,FIND("/",AQ849)+1,FIND("/",AQ849,FIND("/",AQ849)+1)-FIND("/",AQ849)-1))),""))</f>
        <v/>
      </c>
      <c r="AS849" s="26">
        <f>IF(G849="","",IF(AND(AG849&lt;&gt;"",AG849&lt;&gt;"Bayi Aracı"),"Evet","Hayır"))</f>
        <v/>
      </c>
      <c r="AT849" s="26">
        <f>IF(G849="","",IF(AND(AS849="Evet",T849="Siparişiniz Teslim Edildi"),"Evet","Hayır"))</f>
        <v/>
      </c>
      <c r="AU849" s="26">
        <f>IF(G849="","",IF(AB849="Siparişinizin Montajı Yapıldı","Evet","Hayır"))</f>
        <v/>
      </c>
      <c r="AV849" s="27">
        <f>IF(G849="","",IF(AT849="Evet",AR849,IF(AU849="Evet",AP849,"")))</f>
        <v/>
      </c>
    </row>
    <row r="850">
      <c r="A850" s="23" t="n"/>
      <c r="B850" s="23" t="n"/>
      <c r="C850" s="23" t="n"/>
      <c r="D850" s="23" t="n"/>
      <c r="E850" s="23" t="n"/>
      <c r="F850" s="23" t="n"/>
      <c r="G850" s="23" t="n"/>
      <c r="H850" s="23" t="n"/>
      <c r="I850" s="23" t="n"/>
      <c r="J850" s="23" t="n"/>
      <c r="K850" s="23" t="n"/>
      <c r="L850" s="23" t="n"/>
      <c r="M850" s="23" t="n"/>
      <c r="N850" s="23" t="n"/>
      <c r="O850" s="23" t="n"/>
      <c r="P850" s="23" t="n"/>
      <c r="Q850" s="23" t="n"/>
      <c r="R850" s="23" t="n"/>
      <c r="S850" s="23" t="n"/>
      <c r="T850" s="23" t="n"/>
      <c r="U850" s="23" t="n"/>
      <c r="V850" s="23" t="n"/>
      <c r="W850" s="23" t="n"/>
      <c r="X850" s="23" t="n"/>
      <c r="Y850" s="23" t="n"/>
      <c r="Z850" s="23" t="n"/>
      <c r="AA850" s="23" t="n"/>
      <c r="AB850" s="23" t="n"/>
      <c r="AC850" s="23" t="n"/>
      <c r="AD850" s="23" t="n"/>
      <c r="AE850" s="23" t="n"/>
      <c r="AF850" s="23" t="n"/>
      <c r="AG850" s="23" t="n"/>
      <c r="AH850" s="23" t="n"/>
      <c r="AI850" s="23" t="n"/>
      <c r="AJ850" s="23" t="n"/>
      <c r="AK850" s="23" t="n"/>
      <c r="AL850" s="23" t="n"/>
      <c r="AM850" s="26">
        <f>IF(G850="","",G850&amp;"|"&amp;P850)</f>
        <v/>
      </c>
      <c r="AN850" s="27">
        <f>IF(I850="","",IFERROR(DATE(VALUE(RIGHT(I850,4)),VALUE(MID(I850,4,2)),VALUE(LEFT(I850,2))),""))</f>
        <v/>
      </c>
      <c r="AO850" s="27">
        <f>IF(Y850="","",IFERROR(DATE(VALUE(RIGHT(Y850,4)),VALUE(MID(Y850,4,2)),VALUE(LEFT(Y850,2))),""))</f>
        <v/>
      </c>
      <c r="AP850" s="27">
        <f>IF(AC850="","",IFERROR(DATE(VALUE(RIGHT(AC850,4)),VALUE(MID(AC850,4,2)),VALUE(LEFT(AC850,2))),""))</f>
        <v/>
      </c>
      <c r="AQ850" s="26">
        <f>IF(AI850="","",TRIM(LEFT(AI850,FIND(" ",AI850&amp;" ")-1)))</f>
        <v/>
      </c>
      <c r="AR850" s="27">
        <f>IF(AQ850="","",IFERROR(DATE(VALUE(MID(AQ850,FIND("/",AQ850,FIND("/",AQ850)+1)+1,4)),VALUE(LEFT(AQ850,FIND("/",AQ850)-1)),VALUE(MID(AQ850,FIND("/",AQ850)+1,FIND("/",AQ850,FIND("/",AQ850)+1)-FIND("/",AQ850)-1))),""))</f>
        <v/>
      </c>
      <c r="AS850" s="26">
        <f>IF(G850="","",IF(AND(AG850&lt;&gt;"",AG850&lt;&gt;"Bayi Aracı"),"Evet","Hayır"))</f>
        <v/>
      </c>
      <c r="AT850" s="26">
        <f>IF(G850="","",IF(AND(AS850="Evet",T850="Siparişiniz Teslim Edildi"),"Evet","Hayır"))</f>
        <v/>
      </c>
      <c r="AU850" s="26">
        <f>IF(G850="","",IF(AB850="Siparişinizin Montajı Yapıldı","Evet","Hayır"))</f>
        <v/>
      </c>
      <c r="AV850" s="27">
        <f>IF(G850="","",IF(AT850="Evet",AR850,IF(AU850="Evet",AP850,"")))</f>
        <v/>
      </c>
    </row>
    <row r="851">
      <c r="A851" s="23" t="n"/>
      <c r="B851" s="23" t="n"/>
      <c r="C851" s="23" t="n"/>
      <c r="D851" s="23" t="n"/>
      <c r="E851" s="23" t="n"/>
      <c r="F851" s="23" t="n"/>
      <c r="G851" s="23" t="n"/>
      <c r="H851" s="23" t="n"/>
      <c r="I851" s="23" t="n"/>
      <c r="J851" s="23" t="n"/>
      <c r="K851" s="23" t="n"/>
      <c r="L851" s="23" t="n"/>
      <c r="M851" s="23" t="n"/>
      <c r="N851" s="23" t="n"/>
      <c r="O851" s="23" t="n"/>
      <c r="P851" s="23" t="n"/>
      <c r="Q851" s="23" t="n"/>
      <c r="R851" s="23" t="n"/>
      <c r="S851" s="23" t="n"/>
      <c r="T851" s="23" t="n"/>
      <c r="U851" s="23" t="n"/>
      <c r="V851" s="23" t="n"/>
      <c r="W851" s="23" t="n"/>
      <c r="X851" s="23" t="n"/>
      <c r="Y851" s="23" t="n"/>
      <c r="Z851" s="23" t="n"/>
      <c r="AA851" s="23" t="n"/>
      <c r="AB851" s="23" t="n"/>
      <c r="AC851" s="23" t="n"/>
      <c r="AD851" s="23" t="n"/>
      <c r="AE851" s="23" t="n"/>
      <c r="AF851" s="23" t="n"/>
      <c r="AG851" s="23" t="n"/>
      <c r="AH851" s="23" t="n"/>
      <c r="AI851" s="23" t="n"/>
      <c r="AJ851" s="23" t="n"/>
      <c r="AK851" s="23" t="n"/>
      <c r="AL851" s="23" t="n"/>
      <c r="AM851" s="26">
        <f>IF(G851="","",G851&amp;"|"&amp;P851)</f>
        <v/>
      </c>
      <c r="AN851" s="27">
        <f>IF(I851="","",IFERROR(DATE(VALUE(RIGHT(I851,4)),VALUE(MID(I851,4,2)),VALUE(LEFT(I851,2))),""))</f>
        <v/>
      </c>
      <c r="AO851" s="27">
        <f>IF(Y851="","",IFERROR(DATE(VALUE(RIGHT(Y851,4)),VALUE(MID(Y851,4,2)),VALUE(LEFT(Y851,2))),""))</f>
        <v/>
      </c>
      <c r="AP851" s="27">
        <f>IF(AC851="","",IFERROR(DATE(VALUE(RIGHT(AC851,4)),VALUE(MID(AC851,4,2)),VALUE(LEFT(AC851,2))),""))</f>
        <v/>
      </c>
      <c r="AQ851" s="26">
        <f>IF(AI851="","",TRIM(LEFT(AI851,FIND(" ",AI851&amp;" ")-1)))</f>
        <v/>
      </c>
      <c r="AR851" s="27">
        <f>IF(AQ851="","",IFERROR(DATE(VALUE(MID(AQ851,FIND("/",AQ851,FIND("/",AQ851)+1)+1,4)),VALUE(LEFT(AQ851,FIND("/",AQ851)-1)),VALUE(MID(AQ851,FIND("/",AQ851)+1,FIND("/",AQ851,FIND("/",AQ851)+1)-FIND("/",AQ851)-1))),""))</f>
        <v/>
      </c>
      <c r="AS851" s="26">
        <f>IF(G851="","",IF(AND(AG851&lt;&gt;"",AG851&lt;&gt;"Bayi Aracı"),"Evet","Hayır"))</f>
        <v/>
      </c>
      <c r="AT851" s="26">
        <f>IF(G851="","",IF(AND(AS851="Evet",T851="Siparişiniz Teslim Edildi"),"Evet","Hayır"))</f>
        <v/>
      </c>
      <c r="AU851" s="26">
        <f>IF(G851="","",IF(AB851="Siparişinizin Montajı Yapıldı","Evet","Hayır"))</f>
        <v/>
      </c>
      <c r="AV851" s="27">
        <f>IF(G851="","",IF(AT851="Evet",AR851,IF(AU851="Evet",AP851,"")))</f>
        <v/>
      </c>
    </row>
    <row r="852">
      <c r="A852" s="23" t="n"/>
      <c r="B852" s="23" t="n"/>
      <c r="C852" s="23" t="n"/>
      <c r="D852" s="23" t="n"/>
      <c r="E852" s="23" t="n"/>
      <c r="F852" s="23" t="n"/>
      <c r="G852" s="23" t="n"/>
      <c r="H852" s="23" t="n"/>
      <c r="I852" s="23" t="n"/>
      <c r="J852" s="23" t="n"/>
      <c r="K852" s="23" t="n"/>
      <c r="L852" s="23" t="n"/>
      <c r="M852" s="23" t="n"/>
      <c r="N852" s="23" t="n"/>
      <c r="O852" s="23" t="n"/>
      <c r="P852" s="23" t="n"/>
      <c r="Q852" s="23" t="n"/>
      <c r="R852" s="23" t="n"/>
      <c r="S852" s="23" t="n"/>
      <c r="T852" s="23" t="n"/>
      <c r="U852" s="23" t="n"/>
      <c r="V852" s="23" t="n"/>
      <c r="W852" s="23" t="n"/>
      <c r="X852" s="23" t="n"/>
      <c r="Y852" s="23" t="n"/>
      <c r="Z852" s="23" t="n"/>
      <c r="AA852" s="23" t="n"/>
      <c r="AB852" s="23" t="n"/>
      <c r="AC852" s="23" t="n"/>
      <c r="AD852" s="23" t="n"/>
      <c r="AE852" s="23" t="n"/>
      <c r="AF852" s="23" t="n"/>
      <c r="AG852" s="23" t="n"/>
      <c r="AH852" s="23" t="n"/>
      <c r="AI852" s="23" t="n"/>
      <c r="AJ852" s="23" t="n"/>
      <c r="AK852" s="23" t="n"/>
      <c r="AL852" s="23" t="n"/>
      <c r="AM852" s="26">
        <f>IF(G852="","",G852&amp;"|"&amp;P852)</f>
        <v/>
      </c>
      <c r="AN852" s="27">
        <f>IF(I852="","",IFERROR(DATE(VALUE(RIGHT(I852,4)),VALUE(MID(I852,4,2)),VALUE(LEFT(I852,2))),""))</f>
        <v/>
      </c>
      <c r="AO852" s="27">
        <f>IF(Y852="","",IFERROR(DATE(VALUE(RIGHT(Y852,4)),VALUE(MID(Y852,4,2)),VALUE(LEFT(Y852,2))),""))</f>
        <v/>
      </c>
      <c r="AP852" s="27">
        <f>IF(AC852="","",IFERROR(DATE(VALUE(RIGHT(AC852,4)),VALUE(MID(AC852,4,2)),VALUE(LEFT(AC852,2))),""))</f>
        <v/>
      </c>
      <c r="AQ852" s="26">
        <f>IF(AI852="","",TRIM(LEFT(AI852,FIND(" ",AI852&amp;" ")-1)))</f>
        <v/>
      </c>
      <c r="AR852" s="27">
        <f>IF(AQ852="","",IFERROR(DATE(VALUE(MID(AQ852,FIND("/",AQ852,FIND("/",AQ852)+1)+1,4)),VALUE(LEFT(AQ852,FIND("/",AQ852)-1)),VALUE(MID(AQ852,FIND("/",AQ852)+1,FIND("/",AQ852,FIND("/",AQ852)+1)-FIND("/",AQ852)-1))),""))</f>
        <v/>
      </c>
      <c r="AS852" s="26">
        <f>IF(G852="","",IF(AND(AG852&lt;&gt;"",AG852&lt;&gt;"Bayi Aracı"),"Evet","Hayır"))</f>
        <v/>
      </c>
      <c r="AT852" s="26">
        <f>IF(G852="","",IF(AND(AS852="Evet",T852="Siparişiniz Teslim Edildi"),"Evet","Hayır"))</f>
        <v/>
      </c>
      <c r="AU852" s="26">
        <f>IF(G852="","",IF(AB852="Siparişinizin Montajı Yapıldı","Evet","Hayır"))</f>
        <v/>
      </c>
      <c r="AV852" s="27">
        <f>IF(G852="","",IF(AT852="Evet",AR852,IF(AU852="Evet",AP852,"")))</f>
        <v/>
      </c>
    </row>
    <row r="853">
      <c r="A853" s="23" t="n"/>
      <c r="B853" s="23" t="n"/>
      <c r="C853" s="23" t="n"/>
      <c r="D853" s="23" t="n"/>
      <c r="E853" s="23" t="n"/>
      <c r="F853" s="23" t="n"/>
      <c r="G853" s="23" t="n"/>
      <c r="H853" s="23" t="n"/>
      <c r="I853" s="23" t="n"/>
      <c r="J853" s="23" t="n"/>
      <c r="K853" s="23" t="n"/>
      <c r="L853" s="23" t="n"/>
      <c r="M853" s="23" t="n"/>
      <c r="N853" s="23" t="n"/>
      <c r="O853" s="23" t="n"/>
      <c r="P853" s="23" t="n"/>
      <c r="Q853" s="23" t="n"/>
      <c r="R853" s="23" t="n"/>
      <c r="S853" s="23" t="n"/>
      <c r="T853" s="23" t="n"/>
      <c r="U853" s="23" t="n"/>
      <c r="V853" s="23" t="n"/>
      <c r="W853" s="23" t="n"/>
      <c r="X853" s="23" t="n"/>
      <c r="Y853" s="23" t="n"/>
      <c r="Z853" s="23" t="n"/>
      <c r="AA853" s="23" t="n"/>
      <c r="AB853" s="23" t="n"/>
      <c r="AC853" s="23" t="n"/>
      <c r="AD853" s="23" t="n"/>
      <c r="AE853" s="23" t="n"/>
      <c r="AF853" s="23" t="n"/>
      <c r="AG853" s="23" t="n"/>
      <c r="AH853" s="23" t="n"/>
      <c r="AI853" s="23" t="n"/>
      <c r="AJ853" s="23" t="n"/>
      <c r="AK853" s="23" t="n"/>
      <c r="AL853" s="23" t="n"/>
      <c r="AM853" s="26">
        <f>IF(G853="","",G853&amp;"|"&amp;P853)</f>
        <v/>
      </c>
      <c r="AN853" s="27">
        <f>IF(I853="","",IFERROR(DATE(VALUE(RIGHT(I853,4)),VALUE(MID(I853,4,2)),VALUE(LEFT(I853,2))),""))</f>
        <v/>
      </c>
      <c r="AO853" s="27">
        <f>IF(Y853="","",IFERROR(DATE(VALUE(RIGHT(Y853,4)),VALUE(MID(Y853,4,2)),VALUE(LEFT(Y853,2))),""))</f>
        <v/>
      </c>
      <c r="AP853" s="27">
        <f>IF(AC853="","",IFERROR(DATE(VALUE(RIGHT(AC853,4)),VALUE(MID(AC853,4,2)),VALUE(LEFT(AC853,2))),""))</f>
        <v/>
      </c>
      <c r="AQ853" s="26">
        <f>IF(AI853="","",TRIM(LEFT(AI853,FIND(" ",AI853&amp;" ")-1)))</f>
        <v/>
      </c>
      <c r="AR853" s="27">
        <f>IF(AQ853="","",IFERROR(DATE(VALUE(MID(AQ853,FIND("/",AQ853,FIND("/",AQ853)+1)+1,4)),VALUE(LEFT(AQ853,FIND("/",AQ853)-1)),VALUE(MID(AQ853,FIND("/",AQ853)+1,FIND("/",AQ853,FIND("/",AQ853)+1)-FIND("/",AQ853)-1))),""))</f>
        <v/>
      </c>
      <c r="AS853" s="26">
        <f>IF(G853="","",IF(AND(AG853&lt;&gt;"",AG853&lt;&gt;"Bayi Aracı"),"Evet","Hayır"))</f>
        <v/>
      </c>
      <c r="AT853" s="26">
        <f>IF(G853="","",IF(AND(AS853="Evet",T853="Siparişiniz Teslim Edildi"),"Evet","Hayır"))</f>
        <v/>
      </c>
      <c r="AU853" s="26">
        <f>IF(G853="","",IF(AB853="Siparişinizin Montajı Yapıldı","Evet","Hayır"))</f>
        <v/>
      </c>
      <c r="AV853" s="27">
        <f>IF(G853="","",IF(AT853="Evet",AR853,IF(AU853="Evet",AP853,"")))</f>
        <v/>
      </c>
    </row>
    <row r="854">
      <c r="A854" s="23" t="n"/>
      <c r="B854" s="23" t="n"/>
      <c r="C854" s="23" t="n"/>
      <c r="D854" s="23" t="n"/>
      <c r="E854" s="23" t="n"/>
      <c r="F854" s="23" t="n"/>
      <c r="G854" s="23" t="n"/>
      <c r="H854" s="23" t="n"/>
      <c r="I854" s="23" t="n"/>
      <c r="J854" s="23" t="n"/>
      <c r="K854" s="23" t="n"/>
      <c r="L854" s="23" t="n"/>
      <c r="M854" s="23" t="n"/>
      <c r="N854" s="23" t="n"/>
      <c r="O854" s="23" t="n"/>
      <c r="P854" s="23" t="n"/>
      <c r="Q854" s="23" t="n"/>
      <c r="R854" s="23" t="n"/>
      <c r="S854" s="23" t="n"/>
      <c r="T854" s="23" t="n"/>
      <c r="U854" s="23" t="n"/>
      <c r="V854" s="23" t="n"/>
      <c r="W854" s="23" t="n"/>
      <c r="X854" s="23" t="n"/>
      <c r="Y854" s="23" t="n"/>
      <c r="Z854" s="23" t="n"/>
      <c r="AA854" s="23" t="n"/>
      <c r="AB854" s="23" t="n"/>
      <c r="AC854" s="23" t="n"/>
      <c r="AD854" s="23" t="n"/>
      <c r="AE854" s="23" t="n"/>
      <c r="AF854" s="23" t="n"/>
      <c r="AG854" s="23" t="n"/>
      <c r="AH854" s="23" t="n"/>
      <c r="AI854" s="23" t="n"/>
      <c r="AJ854" s="23" t="n"/>
      <c r="AK854" s="23" t="n"/>
      <c r="AL854" s="23" t="n"/>
      <c r="AM854" s="26">
        <f>IF(G854="","",G854&amp;"|"&amp;P854)</f>
        <v/>
      </c>
      <c r="AN854" s="27">
        <f>IF(I854="","",IFERROR(DATE(VALUE(RIGHT(I854,4)),VALUE(MID(I854,4,2)),VALUE(LEFT(I854,2))),""))</f>
        <v/>
      </c>
      <c r="AO854" s="27">
        <f>IF(Y854="","",IFERROR(DATE(VALUE(RIGHT(Y854,4)),VALUE(MID(Y854,4,2)),VALUE(LEFT(Y854,2))),""))</f>
        <v/>
      </c>
      <c r="AP854" s="27">
        <f>IF(AC854="","",IFERROR(DATE(VALUE(RIGHT(AC854,4)),VALUE(MID(AC854,4,2)),VALUE(LEFT(AC854,2))),""))</f>
        <v/>
      </c>
      <c r="AQ854" s="26">
        <f>IF(AI854="","",TRIM(LEFT(AI854,FIND(" ",AI854&amp;" ")-1)))</f>
        <v/>
      </c>
      <c r="AR854" s="27">
        <f>IF(AQ854="","",IFERROR(DATE(VALUE(MID(AQ854,FIND("/",AQ854,FIND("/",AQ854)+1)+1,4)),VALUE(LEFT(AQ854,FIND("/",AQ854)-1)),VALUE(MID(AQ854,FIND("/",AQ854)+1,FIND("/",AQ854,FIND("/",AQ854)+1)-FIND("/",AQ854)-1))),""))</f>
        <v/>
      </c>
      <c r="AS854" s="26">
        <f>IF(G854="","",IF(AND(AG854&lt;&gt;"",AG854&lt;&gt;"Bayi Aracı"),"Evet","Hayır"))</f>
        <v/>
      </c>
      <c r="AT854" s="26">
        <f>IF(G854="","",IF(AND(AS854="Evet",T854="Siparişiniz Teslim Edildi"),"Evet","Hayır"))</f>
        <v/>
      </c>
      <c r="AU854" s="26">
        <f>IF(G854="","",IF(AB854="Siparişinizin Montajı Yapıldı","Evet","Hayır"))</f>
        <v/>
      </c>
      <c r="AV854" s="27">
        <f>IF(G854="","",IF(AT854="Evet",AR854,IF(AU854="Evet",AP854,"")))</f>
        <v/>
      </c>
    </row>
    <row r="855">
      <c r="A855" s="23" t="n"/>
      <c r="B855" s="23" t="n"/>
      <c r="C855" s="23" t="n"/>
      <c r="D855" s="23" t="n"/>
      <c r="E855" s="23" t="n"/>
      <c r="F855" s="23" t="n"/>
      <c r="G855" s="23" t="n"/>
      <c r="H855" s="23" t="n"/>
      <c r="I855" s="23" t="n"/>
      <c r="J855" s="23" t="n"/>
      <c r="K855" s="23" t="n"/>
      <c r="L855" s="23" t="n"/>
      <c r="M855" s="23" t="n"/>
      <c r="N855" s="23" t="n"/>
      <c r="O855" s="23" t="n"/>
      <c r="P855" s="23" t="n"/>
      <c r="Q855" s="23" t="n"/>
      <c r="R855" s="23" t="n"/>
      <c r="S855" s="23" t="n"/>
      <c r="T855" s="23" t="n"/>
      <c r="U855" s="23" t="n"/>
      <c r="V855" s="23" t="n"/>
      <c r="W855" s="23" t="n"/>
      <c r="X855" s="23" t="n"/>
      <c r="Y855" s="23" t="n"/>
      <c r="Z855" s="23" t="n"/>
      <c r="AA855" s="23" t="n"/>
      <c r="AB855" s="23" t="n"/>
      <c r="AC855" s="23" t="n"/>
      <c r="AD855" s="23" t="n"/>
      <c r="AE855" s="23" t="n"/>
      <c r="AF855" s="23" t="n"/>
      <c r="AG855" s="23" t="n"/>
      <c r="AH855" s="23" t="n"/>
      <c r="AI855" s="23" t="n"/>
      <c r="AJ855" s="23" t="n"/>
      <c r="AK855" s="23" t="n"/>
      <c r="AL855" s="23" t="n"/>
      <c r="AM855" s="26">
        <f>IF(G855="","",G855&amp;"|"&amp;P855)</f>
        <v/>
      </c>
      <c r="AN855" s="27">
        <f>IF(I855="","",IFERROR(DATE(VALUE(RIGHT(I855,4)),VALUE(MID(I855,4,2)),VALUE(LEFT(I855,2))),""))</f>
        <v/>
      </c>
      <c r="AO855" s="27">
        <f>IF(Y855="","",IFERROR(DATE(VALUE(RIGHT(Y855,4)),VALUE(MID(Y855,4,2)),VALUE(LEFT(Y855,2))),""))</f>
        <v/>
      </c>
      <c r="AP855" s="27">
        <f>IF(AC855="","",IFERROR(DATE(VALUE(RIGHT(AC855,4)),VALUE(MID(AC855,4,2)),VALUE(LEFT(AC855,2))),""))</f>
        <v/>
      </c>
      <c r="AQ855" s="26">
        <f>IF(AI855="","",TRIM(LEFT(AI855,FIND(" ",AI855&amp;" ")-1)))</f>
        <v/>
      </c>
      <c r="AR855" s="27">
        <f>IF(AQ855="","",IFERROR(DATE(VALUE(MID(AQ855,FIND("/",AQ855,FIND("/",AQ855)+1)+1,4)),VALUE(LEFT(AQ855,FIND("/",AQ855)-1)),VALUE(MID(AQ855,FIND("/",AQ855)+1,FIND("/",AQ855,FIND("/",AQ855)+1)-FIND("/",AQ855)-1))),""))</f>
        <v/>
      </c>
      <c r="AS855" s="26">
        <f>IF(G855="","",IF(AND(AG855&lt;&gt;"",AG855&lt;&gt;"Bayi Aracı"),"Evet","Hayır"))</f>
        <v/>
      </c>
      <c r="AT855" s="26">
        <f>IF(G855="","",IF(AND(AS855="Evet",T855="Siparişiniz Teslim Edildi"),"Evet","Hayır"))</f>
        <v/>
      </c>
      <c r="AU855" s="26">
        <f>IF(G855="","",IF(AB855="Siparişinizin Montajı Yapıldı","Evet","Hayır"))</f>
        <v/>
      </c>
      <c r="AV855" s="27">
        <f>IF(G855="","",IF(AT855="Evet",AR855,IF(AU855="Evet",AP855,"")))</f>
        <v/>
      </c>
    </row>
    <row r="856">
      <c r="A856" s="23" t="n"/>
      <c r="B856" s="23" t="n"/>
      <c r="C856" s="23" t="n"/>
      <c r="D856" s="23" t="n"/>
      <c r="E856" s="23" t="n"/>
      <c r="F856" s="23" t="n"/>
      <c r="G856" s="23" t="n"/>
      <c r="H856" s="23" t="n"/>
      <c r="I856" s="23" t="n"/>
      <c r="J856" s="23" t="n"/>
      <c r="K856" s="23" t="n"/>
      <c r="L856" s="23" t="n"/>
      <c r="M856" s="23" t="n"/>
      <c r="N856" s="23" t="n"/>
      <c r="O856" s="23" t="n"/>
      <c r="P856" s="23" t="n"/>
      <c r="Q856" s="23" t="n"/>
      <c r="R856" s="23" t="n"/>
      <c r="S856" s="23" t="n"/>
      <c r="T856" s="23" t="n"/>
      <c r="U856" s="23" t="n"/>
      <c r="V856" s="23" t="n"/>
      <c r="W856" s="23" t="n"/>
      <c r="X856" s="23" t="n"/>
      <c r="Y856" s="23" t="n"/>
      <c r="Z856" s="23" t="n"/>
      <c r="AA856" s="23" t="n"/>
      <c r="AB856" s="23" t="n"/>
      <c r="AC856" s="23" t="n"/>
      <c r="AD856" s="23" t="n"/>
      <c r="AE856" s="23" t="n"/>
      <c r="AF856" s="23" t="n"/>
      <c r="AG856" s="23" t="n"/>
      <c r="AH856" s="23" t="n"/>
      <c r="AI856" s="23" t="n"/>
      <c r="AJ856" s="23" t="n"/>
      <c r="AK856" s="23" t="n"/>
      <c r="AL856" s="23" t="n"/>
      <c r="AM856" s="26">
        <f>IF(G856="","",G856&amp;"|"&amp;P856)</f>
        <v/>
      </c>
      <c r="AN856" s="27">
        <f>IF(I856="","",IFERROR(DATE(VALUE(RIGHT(I856,4)),VALUE(MID(I856,4,2)),VALUE(LEFT(I856,2))),""))</f>
        <v/>
      </c>
      <c r="AO856" s="27">
        <f>IF(Y856="","",IFERROR(DATE(VALUE(RIGHT(Y856,4)),VALUE(MID(Y856,4,2)),VALUE(LEFT(Y856,2))),""))</f>
        <v/>
      </c>
      <c r="AP856" s="27">
        <f>IF(AC856="","",IFERROR(DATE(VALUE(RIGHT(AC856,4)),VALUE(MID(AC856,4,2)),VALUE(LEFT(AC856,2))),""))</f>
        <v/>
      </c>
      <c r="AQ856" s="26">
        <f>IF(AI856="","",TRIM(LEFT(AI856,FIND(" ",AI856&amp;" ")-1)))</f>
        <v/>
      </c>
      <c r="AR856" s="27">
        <f>IF(AQ856="","",IFERROR(DATE(VALUE(MID(AQ856,FIND("/",AQ856,FIND("/",AQ856)+1)+1,4)),VALUE(LEFT(AQ856,FIND("/",AQ856)-1)),VALUE(MID(AQ856,FIND("/",AQ856)+1,FIND("/",AQ856,FIND("/",AQ856)+1)-FIND("/",AQ856)-1))),""))</f>
        <v/>
      </c>
      <c r="AS856" s="26">
        <f>IF(G856="","",IF(AND(AG856&lt;&gt;"",AG856&lt;&gt;"Bayi Aracı"),"Evet","Hayır"))</f>
        <v/>
      </c>
      <c r="AT856" s="26">
        <f>IF(G856="","",IF(AND(AS856="Evet",T856="Siparişiniz Teslim Edildi"),"Evet","Hayır"))</f>
        <v/>
      </c>
      <c r="AU856" s="26">
        <f>IF(G856="","",IF(AB856="Siparişinizin Montajı Yapıldı","Evet","Hayır"))</f>
        <v/>
      </c>
      <c r="AV856" s="27">
        <f>IF(G856="","",IF(AT856="Evet",AR856,IF(AU856="Evet",AP856,"")))</f>
        <v/>
      </c>
    </row>
    <row r="857">
      <c r="A857" s="23" t="n"/>
      <c r="B857" s="23" t="n"/>
      <c r="C857" s="23" t="n"/>
      <c r="D857" s="23" t="n"/>
      <c r="E857" s="23" t="n"/>
      <c r="F857" s="23" t="n"/>
      <c r="G857" s="23" t="n"/>
      <c r="H857" s="23" t="n"/>
      <c r="I857" s="23" t="n"/>
      <c r="J857" s="23" t="n"/>
      <c r="K857" s="23" t="n"/>
      <c r="L857" s="23" t="n"/>
      <c r="M857" s="23" t="n"/>
      <c r="N857" s="23" t="n"/>
      <c r="O857" s="23" t="n"/>
      <c r="P857" s="23" t="n"/>
      <c r="Q857" s="23" t="n"/>
      <c r="R857" s="23" t="n"/>
      <c r="S857" s="23" t="n"/>
      <c r="T857" s="23" t="n"/>
      <c r="U857" s="23" t="n"/>
      <c r="V857" s="23" t="n"/>
      <c r="W857" s="23" t="n"/>
      <c r="X857" s="23" t="n"/>
      <c r="Y857" s="23" t="n"/>
      <c r="Z857" s="23" t="n"/>
      <c r="AA857" s="23" t="n"/>
      <c r="AB857" s="23" t="n"/>
      <c r="AC857" s="23" t="n"/>
      <c r="AD857" s="23" t="n"/>
      <c r="AE857" s="23" t="n"/>
      <c r="AF857" s="23" t="n"/>
      <c r="AG857" s="23" t="n"/>
      <c r="AH857" s="23" t="n"/>
      <c r="AI857" s="23" t="n"/>
      <c r="AJ857" s="23" t="n"/>
      <c r="AK857" s="23" t="n"/>
      <c r="AL857" s="23" t="n"/>
      <c r="AM857" s="26">
        <f>IF(G857="","",G857&amp;"|"&amp;P857)</f>
        <v/>
      </c>
      <c r="AN857" s="27">
        <f>IF(I857="","",IFERROR(DATE(VALUE(RIGHT(I857,4)),VALUE(MID(I857,4,2)),VALUE(LEFT(I857,2))),""))</f>
        <v/>
      </c>
      <c r="AO857" s="27">
        <f>IF(Y857="","",IFERROR(DATE(VALUE(RIGHT(Y857,4)),VALUE(MID(Y857,4,2)),VALUE(LEFT(Y857,2))),""))</f>
        <v/>
      </c>
      <c r="AP857" s="27">
        <f>IF(AC857="","",IFERROR(DATE(VALUE(RIGHT(AC857,4)),VALUE(MID(AC857,4,2)),VALUE(LEFT(AC857,2))),""))</f>
        <v/>
      </c>
      <c r="AQ857" s="26">
        <f>IF(AI857="","",TRIM(LEFT(AI857,FIND(" ",AI857&amp;" ")-1)))</f>
        <v/>
      </c>
      <c r="AR857" s="27">
        <f>IF(AQ857="","",IFERROR(DATE(VALUE(MID(AQ857,FIND("/",AQ857,FIND("/",AQ857)+1)+1,4)),VALUE(LEFT(AQ857,FIND("/",AQ857)-1)),VALUE(MID(AQ857,FIND("/",AQ857)+1,FIND("/",AQ857,FIND("/",AQ857)+1)-FIND("/",AQ857)-1))),""))</f>
        <v/>
      </c>
      <c r="AS857" s="26">
        <f>IF(G857="","",IF(AND(AG857&lt;&gt;"",AG857&lt;&gt;"Bayi Aracı"),"Evet","Hayır"))</f>
        <v/>
      </c>
      <c r="AT857" s="26">
        <f>IF(G857="","",IF(AND(AS857="Evet",T857="Siparişiniz Teslim Edildi"),"Evet","Hayır"))</f>
        <v/>
      </c>
      <c r="AU857" s="26">
        <f>IF(G857="","",IF(AB857="Siparişinizin Montajı Yapıldı","Evet","Hayır"))</f>
        <v/>
      </c>
      <c r="AV857" s="27">
        <f>IF(G857="","",IF(AT857="Evet",AR857,IF(AU857="Evet",AP857,"")))</f>
        <v/>
      </c>
    </row>
    <row r="858">
      <c r="A858" s="23" t="n"/>
      <c r="B858" s="23" t="n"/>
      <c r="C858" s="23" t="n"/>
      <c r="D858" s="23" t="n"/>
      <c r="E858" s="23" t="n"/>
      <c r="F858" s="23" t="n"/>
      <c r="G858" s="23" t="n"/>
      <c r="H858" s="23" t="n"/>
      <c r="I858" s="23" t="n"/>
      <c r="J858" s="23" t="n"/>
      <c r="K858" s="23" t="n"/>
      <c r="L858" s="23" t="n"/>
      <c r="M858" s="23" t="n"/>
      <c r="N858" s="23" t="n"/>
      <c r="O858" s="23" t="n"/>
      <c r="P858" s="23" t="n"/>
      <c r="Q858" s="23" t="n"/>
      <c r="R858" s="23" t="n"/>
      <c r="S858" s="23" t="n"/>
      <c r="T858" s="23" t="n"/>
      <c r="U858" s="23" t="n"/>
      <c r="V858" s="23" t="n"/>
      <c r="W858" s="23" t="n"/>
      <c r="X858" s="23" t="n"/>
      <c r="Y858" s="23" t="n"/>
      <c r="Z858" s="23" t="n"/>
      <c r="AA858" s="23" t="n"/>
      <c r="AB858" s="23" t="n"/>
      <c r="AC858" s="23" t="n"/>
      <c r="AD858" s="23" t="n"/>
      <c r="AE858" s="23" t="n"/>
      <c r="AF858" s="23" t="n"/>
      <c r="AG858" s="23" t="n"/>
      <c r="AH858" s="23" t="n"/>
      <c r="AI858" s="23" t="n"/>
      <c r="AJ858" s="23" t="n"/>
      <c r="AK858" s="23" t="n"/>
      <c r="AL858" s="23" t="n"/>
      <c r="AM858" s="26">
        <f>IF(G858="","",G858&amp;"|"&amp;P858)</f>
        <v/>
      </c>
      <c r="AN858" s="27">
        <f>IF(I858="","",IFERROR(DATE(VALUE(RIGHT(I858,4)),VALUE(MID(I858,4,2)),VALUE(LEFT(I858,2))),""))</f>
        <v/>
      </c>
      <c r="AO858" s="27">
        <f>IF(Y858="","",IFERROR(DATE(VALUE(RIGHT(Y858,4)),VALUE(MID(Y858,4,2)),VALUE(LEFT(Y858,2))),""))</f>
        <v/>
      </c>
      <c r="AP858" s="27">
        <f>IF(AC858="","",IFERROR(DATE(VALUE(RIGHT(AC858,4)),VALUE(MID(AC858,4,2)),VALUE(LEFT(AC858,2))),""))</f>
        <v/>
      </c>
      <c r="AQ858" s="26">
        <f>IF(AI858="","",TRIM(LEFT(AI858,FIND(" ",AI858&amp;" ")-1)))</f>
        <v/>
      </c>
      <c r="AR858" s="27">
        <f>IF(AQ858="","",IFERROR(DATE(VALUE(MID(AQ858,FIND("/",AQ858,FIND("/",AQ858)+1)+1,4)),VALUE(LEFT(AQ858,FIND("/",AQ858)-1)),VALUE(MID(AQ858,FIND("/",AQ858)+1,FIND("/",AQ858,FIND("/",AQ858)+1)-FIND("/",AQ858)-1))),""))</f>
        <v/>
      </c>
      <c r="AS858" s="26">
        <f>IF(G858="","",IF(AND(AG858&lt;&gt;"",AG858&lt;&gt;"Bayi Aracı"),"Evet","Hayır"))</f>
        <v/>
      </c>
      <c r="AT858" s="26">
        <f>IF(G858="","",IF(AND(AS858="Evet",T858="Siparişiniz Teslim Edildi"),"Evet","Hayır"))</f>
        <v/>
      </c>
      <c r="AU858" s="26">
        <f>IF(G858="","",IF(AB858="Siparişinizin Montajı Yapıldı","Evet","Hayır"))</f>
        <v/>
      </c>
      <c r="AV858" s="27">
        <f>IF(G858="","",IF(AT858="Evet",AR858,IF(AU858="Evet",AP858,"")))</f>
        <v/>
      </c>
    </row>
    <row r="859">
      <c r="A859" s="23" t="n"/>
      <c r="B859" s="23" t="n"/>
      <c r="C859" s="23" t="n"/>
      <c r="D859" s="23" t="n"/>
      <c r="E859" s="23" t="n"/>
      <c r="F859" s="23" t="n"/>
      <c r="G859" s="23" t="n"/>
      <c r="H859" s="23" t="n"/>
      <c r="I859" s="23" t="n"/>
      <c r="J859" s="23" t="n"/>
      <c r="K859" s="23" t="n"/>
      <c r="L859" s="23" t="n"/>
      <c r="M859" s="23" t="n"/>
      <c r="N859" s="23" t="n"/>
      <c r="O859" s="23" t="n"/>
      <c r="P859" s="23" t="n"/>
      <c r="Q859" s="23" t="n"/>
      <c r="R859" s="23" t="n"/>
      <c r="S859" s="23" t="n"/>
      <c r="T859" s="23" t="n"/>
      <c r="U859" s="23" t="n"/>
      <c r="V859" s="23" t="n"/>
      <c r="W859" s="23" t="n"/>
      <c r="X859" s="23" t="n"/>
      <c r="Y859" s="23" t="n"/>
      <c r="Z859" s="23" t="n"/>
      <c r="AA859" s="23" t="n"/>
      <c r="AB859" s="23" t="n"/>
      <c r="AC859" s="23" t="n"/>
      <c r="AD859" s="23" t="n"/>
      <c r="AE859" s="23" t="n"/>
      <c r="AF859" s="23" t="n"/>
      <c r="AG859" s="23" t="n"/>
      <c r="AH859" s="23" t="n"/>
      <c r="AI859" s="23" t="n"/>
      <c r="AJ859" s="23" t="n"/>
      <c r="AK859" s="23" t="n"/>
      <c r="AL859" s="23" t="n"/>
      <c r="AM859" s="26">
        <f>IF(G859="","",G859&amp;"|"&amp;P859)</f>
        <v/>
      </c>
      <c r="AN859" s="27">
        <f>IF(I859="","",IFERROR(DATE(VALUE(RIGHT(I859,4)),VALUE(MID(I859,4,2)),VALUE(LEFT(I859,2))),""))</f>
        <v/>
      </c>
      <c r="AO859" s="27">
        <f>IF(Y859="","",IFERROR(DATE(VALUE(RIGHT(Y859,4)),VALUE(MID(Y859,4,2)),VALUE(LEFT(Y859,2))),""))</f>
        <v/>
      </c>
      <c r="AP859" s="27">
        <f>IF(AC859="","",IFERROR(DATE(VALUE(RIGHT(AC859,4)),VALUE(MID(AC859,4,2)),VALUE(LEFT(AC859,2))),""))</f>
        <v/>
      </c>
      <c r="AQ859" s="26">
        <f>IF(AI859="","",TRIM(LEFT(AI859,FIND(" ",AI859&amp;" ")-1)))</f>
        <v/>
      </c>
      <c r="AR859" s="27">
        <f>IF(AQ859="","",IFERROR(DATE(VALUE(MID(AQ859,FIND("/",AQ859,FIND("/",AQ859)+1)+1,4)),VALUE(LEFT(AQ859,FIND("/",AQ859)-1)),VALUE(MID(AQ859,FIND("/",AQ859)+1,FIND("/",AQ859,FIND("/",AQ859)+1)-FIND("/",AQ859)-1))),""))</f>
        <v/>
      </c>
      <c r="AS859" s="26">
        <f>IF(G859="","",IF(AND(AG859&lt;&gt;"",AG859&lt;&gt;"Bayi Aracı"),"Evet","Hayır"))</f>
        <v/>
      </c>
      <c r="AT859" s="26">
        <f>IF(G859="","",IF(AND(AS859="Evet",T859="Siparişiniz Teslim Edildi"),"Evet","Hayır"))</f>
        <v/>
      </c>
      <c r="AU859" s="26">
        <f>IF(G859="","",IF(AB859="Siparişinizin Montajı Yapıldı","Evet","Hayır"))</f>
        <v/>
      </c>
      <c r="AV859" s="27">
        <f>IF(G859="","",IF(AT859="Evet",AR859,IF(AU859="Evet",AP859,"")))</f>
        <v/>
      </c>
    </row>
    <row r="860">
      <c r="A860" s="23" t="n"/>
      <c r="B860" s="23" t="n"/>
      <c r="C860" s="23" t="n"/>
      <c r="D860" s="23" t="n"/>
      <c r="E860" s="23" t="n"/>
      <c r="F860" s="23" t="n"/>
      <c r="G860" s="23" t="n"/>
      <c r="H860" s="23" t="n"/>
      <c r="I860" s="23" t="n"/>
      <c r="J860" s="23" t="n"/>
      <c r="K860" s="23" t="n"/>
      <c r="L860" s="23" t="n"/>
      <c r="M860" s="23" t="n"/>
      <c r="N860" s="23" t="n"/>
      <c r="O860" s="23" t="n"/>
      <c r="P860" s="23" t="n"/>
      <c r="Q860" s="23" t="n"/>
      <c r="R860" s="23" t="n"/>
      <c r="S860" s="23" t="n"/>
      <c r="T860" s="23" t="n"/>
      <c r="U860" s="23" t="n"/>
      <c r="V860" s="23" t="n"/>
      <c r="W860" s="23" t="n"/>
      <c r="X860" s="23" t="n"/>
      <c r="Y860" s="23" t="n"/>
      <c r="Z860" s="23" t="n"/>
      <c r="AA860" s="23" t="n"/>
      <c r="AB860" s="23" t="n"/>
      <c r="AC860" s="23" t="n"/>
      <c r="AD860" s="23" t="n"/>
      <c r="AE860" s="23" t="n"/>
      <c r="AF860" s="23" t="n"/>
      <c r="AG860" s="23" t="n"/>
      <c r="AH860" s="23" t="n"/>
      <c r="AI860" s="23" t="n"/>
      <c r="AJ860" s="23" t="n"/>
      <c r="AK860" s="23" t="n"/>
      <c r="AL860" s="23" t="n"/>
      <c r="AM860" s="26">
        <f>IF(G860="","",G860&amp;"|"&amp;P860)</f>
        <v/>
      </c>
      <c r="AN860" s="27">
        <f>IF(I860="","",IFERROR(DATE(VALUE(RIGHT(I860,4)),VALUE(MID(I860,4,2)),VALUE(LEFT(I860,2))),""))</f>
        <v/>
      </c>
      <c r="AO860" s="27">
        <f>IF(Y860="","",IFERROR(DATE(VALUE(RIGHT(Y860,4)),VALUE(MID(Y860,4,2)),VALUE(LEFT(Y860,2))),""))</f>
        <v/>
      </c>
      <c r="AP860" s="27">
        <f>IF(AC860="","",IFERROR(DATE(VALUE(RIGHT(AC860,4)),VALUE(MID(AC860,4,2)),VALUE(LEFT(AC860,2))),""))</f>
        <v/>
      </c>
      <c r="AQ860" s="26">
        <f>IF(AI860="","",TRIM(LEFT(AI860,FIND(" ",AI860&amp;" ")-1)))</f>
        <v/>
      </c>
      <c r="AR860" s="27">
        <f>IF(AQ860="","",IFERROR(DATE(VALUE(MID(AQ860,FIND("/",AQ860,FIND("/",AQ860)+1)+1,4)),VALUE(LEFT(AQ860,FIND("/",AQ860)-1)),VALUE(MID(AQ860,FIND("/",AQ860)+1,FIND("/",AQ860,FIND("/",AQ860)+1)-FIND("/",AQ860)-1))),""))</f>
        <v/>
      </c>
      <c r="AS860" s="26">
        <f>IF(G860="","",IF(AND(AG860&lt;&gt;"",AG860&lt;&gt;"Bayi Aracı"),"Evet","Hayır"))</f>
        <v/>
      </c>
      <c r="AT860" s="26">
        <f>IF(G860="","",IF(AND(AS860="Evet",T860="Siparişiniz Teslim Edildi"),"Evet","Hayır"))</f>
        <v/>
      </c>
      <c r="AU860" s="26">
        <f>IF(G860="","",IF(AB860="Siparişinizin Montajı Yapıldı","Evet","Hayır"))</f>
        <v/>
      </c>
      <c r="AV860" s="27">
        <f>IF(G860="","",IF(AT860="Evet",AR860,IF(AU860="Evet",AP860,"")))</f>
        <v/>
      </c>
    </row>
    <row r="861">
      <c r="A861" s="23" t="n"/>
      <c r="B861" s="23" t="n"/>
      <c r="C861" s="23" t="n"/>
      <c r="D861" s="23" t="n"/>
      <c r="E861" s="23" t="n"/>
      <c r="F861" s="23" t="n"/>
      <c r="G861" s="23" t="n"/>
      <c r="H861" s="23" t="n"/>
      <c r="I861" s="23" t="n"/>
      <c r="J861" s="23" t="n"/>
      <c r="K861" s="23" t="n"/>
      <c r="L861" s="23" t="n"/>
      <c r="M861" s="23" t="n"/>
      <c r="N861" s="23" t="n"/>
      <c r="O861" s="23" t="n"/>
      <c r="P861" s="23" t="n"/>
      <c r="Q861" s="23" t="n"/>
      <c r="R861" s="23" t="n"/>
      <c r="S861" s="23" t="n"/>
      <c r="T861" s="23" t="n"/>
      <c r="U861" s="23" t="n"/>
      <c r="V861" s="23" t="n"/>
      <c r="W861" s="23" t="n"/>
      <c r="X861" s="23" t="n"/>
      <c r="Y861" s="23" t="n"/>
      <c r="Z861" s="23" t="n"/>
      <c r="AA861" s="23" t="n"/>
      <c r="AB861" s="23" t="n"/>
      <c r="AC861" s="23" t="n"/>
      <c r="AD861" s="23" t="n"/>
      <c r="AE861" s="23" t="n"/>
      <c r="AF861" s="23" t="n"/>
      <c r="AG861" s="23" t="n"/>
      <c r="AH861" s="23" t="n"/>
      <c r="AI861" s="23" t="n"/>
      <c r="AJ861" s="23" t="n"/>
      <c r="AK861" s="23" t="n"/>
      <c r="AL861" s="23" t="n"/>
      <c r="AM861" s="26">
        <f>IF(G861="","",G861&amp;"|"&amp;P861)</f>
        <v/>
      </c>
      <c r="AN861" s="27">
        <f>IF(I861="","",IFERROR(DATE(VALUE(RIGHT(I861,4)),VALUE(MID(I861,4,2)),VALUE(LEFT(I861,2))),""))</f>
        <v/>
      </c>
      <c r="AO861" s="27">
        <f>IF(Y861="","",IFERROR(DATE(VALUE(RIGHT(Y861,4)),VALUE(MID(Y861,4,2)),VALUE(LEFT(Y861,2))),""))</f>
        <v/>
      </c>
      <c r="AP861" s="27">
        <f>IF(AC861="","",IFERROR(DATE(VALUE(RIGHT(AC861,4)),VALUE(MID(AC861,4,2)),VALUE(LEFT(AC861,2))),""))</f>
        <v/>
      </c>
      <c r="AQ861" s="26">
        <f>IF(AI861="","",TRIM(LEFT(AI861,FIND(" ",AI861&amp;" ")-1)))</f>
        <v/>
      </c>
      <c r="AR861" s="27">
        <f>IF(AQ861="","",IFERROR(DATE(VALUE(MID(AQ861,FIND("/",AQ861,FIND("/",AQ861)+1)+1,4)),VALUE(LEFT(AQ861,FIND("/",AQ861)-1)),VALUE(MID(AQ861,FIND("/",AQ861)+1,FIND("/",AQ861,FIND("/",AQ861)+1)-FIND("/",AQ861)-1))),""))</f>
        <v/>
      </c>
      <c r="AS861" s="26">
        <f>IF(G861="","",IF(AND(AG861&lt;&gt;"",AG861&lt;&gt;"Bayi Aracı"),"Evet","Hayır"))</f>
        <v/>
      </c>
      <c r="AT861" s="26">
        <f>IF(G861="","",IF(AND(AS861="Evet",T861="Siparişiniz Teslim Edildi"),"Evet","Hayır"))</f>
        <v/>
      </c>
      <c r="AU861" s="26">
        <f>IF(G861="","",IF(AB861="Siparişinizin Montajı Yapıldı","Evet","Hayır"))</f>
        <v/>
      </c>
      <c r="AV861" s="27">
        <f>IF(G861="","",IF(AT861="Evet",AR861,IF(AU861="Evet",AP861,"")))</f>
        <v/>
      </c>
    </row>
    <row r="862">
      <c r="A862" s="23" t="n"/>
      <c r="B862" s="23" t="n"/>
      <c r="C862" s="23" t="n"/>
      <c r="D862" s="23" t="n"/>
      <c r="E862" s="23" t="n"/>
      <c r="F862" s="23" t="n"/>
      <c r="G862" s="23" t="n"/>
      <c r="H862" s="23" t="n"/>
      <c r="I862" s="23" t="n"/>
      <c r="J862" s="23" t="n"/>
      <c r="K862" s="23" t="n"/>
      <c r="L862" s="23" t="n"/>
      <c r="M862" s="23" t="n"/>
      <c r="N862" s="23" t="n"/>
      <c r="O862" s="23" t="n"/>
      <c r="P862" s="23" t="n"/>
      <c r="Q862" s="23" t="n"/>
      <c r="R862" s="23" t="n"/>
      <c r="S862" s="23" t="n"/>
      <c r="T862" s="23" t="n"/>
      <c r="U862" s="23" t="n"/>
      <c r="V862" s="23" t="n"/>
      <c r="W862" s="23" t="n"/>
      <c r="X862" s="23" t="n"/>
      <c r="Y862" s="23" t="n"/>
      <c r="Z862" s="23" t="n"/>
      <c r="AA862" s="23" t="n"/>
      <c r="AB862" s="23" t="n"/>
      <c r="AC862" s="23" t="n"/>
      <c r="AD862" s="23" t="n"/>
      <c r="AE862" s="23" t="n"/>
      <c r="AF862" s="23" t="n"/>
      <c r="AG862" s="23" t="n"/>
      <c r="AH862" s="23" t="n"/>
      <c r="AI862" s="23" t="n"/>
      <c r="AJ862" s="23" t="n"/>
      <c r="AK862" s="23" t="n"/>
      <c r="AL862" s="23" t="n"/>
      <c r="AM862" s="26">
        <f>IF(G862="","",G862&amp;"|"&amp;P862)</f>
        <v/>
      </c>
      <c r="AN862" s="27">
        <f>IF(I862="","",IFERROR(DATE(VALUE(RIGHT(I862,4)),VALUE(MID(I862,4,2)),VALUE(LEFT(I862,2))),""))</f>
        <v/>
      </c>
      <c r="AO862" s="27">
        <f>IF(Y862="","",IFERROR(DATE(VALUE(RIGHT(Y862,4)),VALUE(MID(Y862,4,2)),VALUE(LEFT(Y862,2))),""))</f>
        <v/>
      </c>
      <c r="AP862" s="27">
        <f>IF(AC862="","",IFERROR(DATE(VALUE(RIGHT(AC862,4)),VALUE(MID(AC862,4,2)),VALUE(LEFT(AC862,2))),""))</f>
        <v/>
      </c>
      <c r="AQ862" s="26">
        <f>IF(AI862="","",TRIM(LEFT(AI862,FIND(" ",AI862&amp;" ")-1)))</f>
        <v/>
      </c>
      <c r="AR862" s="27">
        <f>IF(AQ862="","",IFERROR(DATE(VALUE(MID(AQ862,FIND("/",AQ862,FIND("/",AQ862)+1)+1,4)),VALUE(LEFT(AQ862,FIND("/",AQ862)-1)),VALUE(MID(AQ862,FIND("/",AQ862)+1,FIND("/",AQ862,FIND("/",AQ862)+1)-FIND("/",AQ862)-1))),""))</f>
        <v/>
      </c>
      <c r="AS862" s="26">
        <f>IF(G862="","",IF(AND(AG862&lt;&gt;"",AG862&lt;&gt;"Bayi Aracı"),"Evet","Hayır"))</f>
        <v/>
      </c>
      <c r="AT862" s="26">
        <f>IF(G862="","",IF(AND(AS862="Evet",T862="Siparişiniz Teslim Edildi"),"Evet","Hayır"))</f>
        <v/>
      </c>
      <c r="AU862" s="26">
        <f>IF(G862="","",IF(AB862="Siparişinizin Montajı Yapıldı","Evet","Hayır"))</f>
        <v/>
      </c>
      <c r="AV862" s="27">
        <f>IF(G862="","",IF(AT862="Evet",AR862,IF(AU862="Evet",AP862,"")))</f>
        <v/>
      </c>
    </row>
    <row r="863">
      <c r="A863" s="23" t="n"/>
      <c r="B863" s="23" t="n"/>
      <c r="C863" s="23" t="n"/>
      <c r="D863" s="23" t="n"/>
      <c r="E863" s="23" t="n"/>
      <c r="F863" s="23" t="n"/>
      <c r="G863" s="23" t="n"/>
      <c r="H863" s="23" t="n"/>
      <c r="I863" s="23" t="n"/>
      <c r="J863" s="23" t="n"/>
      <c r="K863" s="23" t="n"/>
      <c r="L863" s="23" t="n"/>
      <c r="M863" s="23" t="n"/>
      <c r="N863" s="23" t="n"/>
      <c r="O863" s="23" t="n"/>
      <c r="P863" s="23" t="n"/>
      <c r="Q863" s="23" t="n"/>
      <c r="R863" s="23" t="n"/>
      <c r="S863" s="23" t="n"/>
      <c r="T863" s="23" t="n"/>
      <c r="U863" s="23" t="n"/>
      <c r="V863" s="23" t="n"/>
      <c r="W863" s="23" t="n"/>
      <c r="X863" s="23" t="n"/>
      <c r="Y863" s="23" t="n"/>
      <c r="Z863" s="23" t="n"/>
      <c r="AA863" s="23" t="n"/>
      <c r="AB863" s="23" t="n"/>
      <c r="AC863" s="23" t="n"/>
      <c r="AD863" s="23" t="n"/>
      <c r="AE863" s="23" t="n"/>
      <c r="AF863" s="23" t="n"/>
      <c r="AG863" s="23" t="n"/>
      <c r="AH863" s="23" t="n"/>
      <c r="AI863" s="23" t="n"/>
      <c r="AJ863" s="23" t="n"/>
      <c r="AK863" s="23" t="n"/>
      <c r="AL863" s="23" t="n"/>
      <c r="AM863" s="26">
        <f>IF(G863="","",G863&amp;"|"&amp;P863)</f>
        <v/>
      </c>
      <c r="AN863" s="27">
        <f>IF(I863="","",IFERROR(DATE(VALUE(RIGHT(I863,4)),VALUE(MID(I863,4,2)),VALUE(LEFT(I863,2))),""))</f>
        <v/>
      </c>
      <c r="AO863" s="27">
        <f>IF(Y863="","",IFERROR(DATE(VALUE(RIGHT(Y863,4)),VALUE(MID(Y863,4,2)),VALUE(LEFT(Y863,2))),""))</f>
        <v/>
      </c>
      <c r="AP863" s="27">
        <f>IF(AC863="","",IFERROR(DATE(VALUE(RIGHT(AC863,4)),VALUE(MID(AC863,4,2)),VALUE(LEFT(AC863,2))),""))</f>
        <v/>
      </c>
      <c r="AQ863" s="26">
        <f>IF(AI863="","",TRIM(LEFT(AI863,FIND(" ",AI863&amp;" ")-1)))</f>
        <v/>
      </c>
      <c r="AR863" s="27">
        <f>IF(AQ863="","",IFERROR(DATE(VALUE(MID(AQ863,FIND("/",AQ863,FIND("/",AQ863)+1)+1,4)),VALUE(LEFT(AQ863,FIND("/",AQ863)-1)),VALUE(MID(AQ863,FIND("/",AQ863)+1,FIND("/",AQ863,FIND("/",AQ863)+1)-FIND("/",AQ863)-1))),""))</f>
        <v/>
      </c>
      <c r="AS863" s="26">
        <f>IF(G863="","",IF(AND(AG863&lt;&gt;"",AG863&lt;&gt;"Bayi Aracı"),"Evet","Hayır"))</f>
        <v/>
      </c>
      <c r="AT863" s="26">
        <f>IF(G863="","",IF(AND(AS863="Evet",T863="Siparişiniz Teslim Edildi"),"Evet","Hayır"))</f>
        <v/>
      </c>
      <c r="AU863" s="26">
        <f>IF(G863="","",IF(AB863="Siparişinizin Montajı Yapıldı","Evet","Hayır"))</f>
        <v/>
      </c>
      <c r="AV863" s="27">
        <f>IF(G863="","",IF(AT863="Evet",AR863,IF(AU863="Evet",AP863,"")))</f>
        <v/>
      </c>
    </row>
    <row r="864">
      <c r="A864" s="23" t="n"/>
      <c r="B864" s="23" t="n"/>
      <c r="C864" s="23" t="n"/>
      <c r="D864" s="23" t="n"/>
      <c r="E864" s="23" t="n"/>
      <c r="F864" s="23" t="n"/>
      <c r="G864" s="23" t="n"/>
      <c r="H864" s="23" t="n"/>
      <c r="I864" s="23" t="n"/>
      <c r="J864" s="23" t="n"/>
      <c r="K864" s="23" t="n"/>
      <c r="L864" s="23" t="n"/>
      <c r="M864" s="23" t="n"/>
      <c r="N864" s="23" t="n"/>
      <c r="O864" s="23" t="n"/>
      <c r="P864" s="23" t="n"/>
      <c r="Q864" s="23" t="n"/>
      <c r="R864" s="23" t="n"/>
      <c r="S864" s="23" t="n"/>
      <c r="T864" s="23" t="n"/>
      <c r="U864" s="23" t="n"/>
      <c r="V864" s="23" t="n"/>
      <c r="W864" s="23" t="n"/>
      <c r="X864" s="23" t="n"/>
      <c r="Y864" s="23" t="n"/>
      <c r="Z864" s="23" t="n"/>
      <c r="AA864" s="23" t="n"/>
      <c r="AB864" s="23" t="n"/>
      <c r="AC864" s="23" t="n"/>
      <c r="AD864" s="23" t="n"/>
      <c r="AE864" s="23" t="n"/>
      <c r="AF864" s="23" t="n"/>
      <c r="AG864" s="23" t="n"/>
      <c r="AH864" s="23" t="n"/>
      <c r="AI864" s="23" t="n"/>
      <c r="AJ864" s="23" t="n"/>
      <c r="AK864" s="23" t="n"/>
      <c r="AL864" s="23" t="n"/>
      <c r="AM864" s="26">
        <f>IF(G864="","",G864&amp;"|"&amp;P864)</f>
        <v/>
      </c>
      <c r="AN864" s="27">
        <f>IF(I864="","",IFERROR(DATE(VALUE(RIGHT(I864,4)),VALUE(MID(I864,4,2)),VALUE(LEFT(I864,2))),""))</f>
        <v/>
      </c>
      <c r="AO864" s="27">
        <f>IF(Y864="","",IFERROR(DATE(VALUE(RIGHT(Y864,4)),VALUE(MID(Y864,4,2)),VALUE(LEFT(Y864,2))),""))</f>
        <v/>
      </c>
      <c r="AP864" s="27">
        <f>IF(AC864="","",IFERROR(DATE(VALUE(RIGHT(AC864,4)),VALUE(MID(AC864,4,2)),VALUE(LEFT(AC864,2))),""))</f>
        <v/>
      </c>
      <c r="AQ864" s="26">
        <f>IF(AI864="","",TRIM(LEFT(AI864,FIND(" ",AI864&amp;" ")-1)))</f>
        <v/>
      </c>
      <c r="AR864" s="27">
        <f>IF(AQ864="","",IFERROR(DATE(VALUE(MID(AQ864,FIND("/",AQ864,FIND("/",AQ864)+1)+1,4)),VALUE(LEFT(AQ864,FIND("/",AQ864)-1)),VALUE(MID(AQ864,FIND("/",AQ864)+1,FIND("/",AQ864,FIND("/",AQ864)+1)-FIND("/",AQ864)-1))),""))</f>
        <v/>
      </c>
      <c r="AS864" s="26">
        <f>IF(G864="","",IF(AND(AG864&lt;&gt;"",AG864&lt;&gt;"Bayi Aracı"),"Evet","Hayır"))</f>
        <v/>
      </c>
      <c r="AT864" s="26">
        <f>IF(G864="","",IF(AND(AS864="Evet",T864="Siparişiniz Teslim Edildi"),"Evet","Hayır"))</f>
        <v/>
      </c>
      <c r="AU864" s="26">
        <f>IF(G864="","",IF(AB864="Siparişinizin Montajı Yapıldı","Evet","Hayır"))</f>
        <v/>
      </c>
      <c r="AV864" s="27">
        <f>IF(G864="","",IF(AT864="Evet",AR864,IF(AU864="Evet",AP864,"")))</f>
        <v/>
      </c>
    </row>
    <row r="865">
      <c r="A865" s="23" t="n"/>
      <c r="B865" s="23" t="n"/>
      <c r="C865" s="23" t="n"/>
      <c r="D865" s="23" t="n"/>
      <c r="E865" s="23" t="n"/>
      <c r="F865" s="23" t="n"/>
      <c r="G865" s="23" t="n"/>
      <c r="H865" s="23" t="n"/>
      <c r="I865" s="23" t="n"/>
      <c r="J865" s="23" t="n"/>
      <c r="K865" s="23" t="n"/>
      <c r="L865" s="23" t="n"/>
      <c r="M865" s="23" t="n"/>
      <c r="N865" s="23" t="n"/>
      <c r="O865" s="23" t="n"/>
      <c r="P865" s="23" t="n"/>
      <c r="Q865" s="23" t="n"/>
      <c r="R865" s="23" t="n"/>
      <c r="S865" s="23" t="n"/>
      <c r="T865" s="23" t="n"/>
      <c r="U865" s="23" t="n"/>
      <c r="V865" s="23" t="n"/>
      <c r="W865" s="23" t="n"/>
      <c r="X865" s="23" t="n"/>
      <c r="Y865" s="23" t="n"/>
      <c r="Z865" s="23" t="n"/>
      <c r="AA865" s="23" t="n"/>
      <c r="AB865" s="23" t="n"/>
      <c r="AC865" s="23" t="n"/>
      <c r="AD865" s="23" t="n"/>
      <c r="AE865" s="23" t="n"/>
      <c r="AF865" s="23" t="n"/>
      <c r="AG865" s="23" t="n"/>
      <c r="AH865" s="23" t="n"/>
      <c r="AI865" s="23" t="n"/>
      <c r="AJ865" s="23" t="n"/>
      <c r="AK865" s="23" t="n"/>
      <c r="AL865" s="23" t="n"/>
      <c r="AM865" s="26">
        <f>IF(G865="","",G865&amp;"|"&amp;P865)</f>
        <v/>
      </c>
      <c r="AN865" s="27">
        <f>IF(I865="","",IFERROR(DATE(VALUE(RIGHT(I865,4)),VALUE(MID(I865,4,2)),VALUE(LEFT(I865,2))),""))</f>
        <v/>
      </c>
      <c r="AO865" s="27">
        <f>IF(Y865="","",IFERROR(DATE(VALUE(RIGHT(Y865,4)),VALUE(MID(Y865,4,2)),VALUE(LEFT(Y865,2))),""))</f>
        <v/>
      </c>
      <c r="AP865" s="27">
        <f>IF(AC865="","",IFERROR(DATE(VALUE(RIGHT(AC865,4)),VALUE(MID(AC865,4,2)),VALUE(LEFT(AC865,2))),""))</f>
        <v/>
      </c>
      <c r="AQ865" s="26">
        <f>IF(AI865="","",TRIM(LEFT(AI865,FIND(" ",AI865&amp;" ")-1)))</f>
        <v/>
      </c>
      <c r="AR865" s="27">
        <f>IF(AQ865="","",IFERROR(DATE(VALUE(MID(AQ865,FIND("/",AQ865,FIND("/",AQ865)+1)+1,4)),VALUE(LEFT(AQ865,FIND("/",AQ865)-1)),VALUE(MID(AQ865,FIND("/",AQ865)+1,FIND("/",AQ865,FIND("/",AQ865)+1)-FIND("/",AQ865)-1))),""))</f>
        <v/>
      </c>
      <c r="AS865" s="26">
        <f>IF(G865="","",IF(AND(AG865&lt;&gt;"",AG865&lt;&gt;"Bayi Aracı"),"Evet","Hayır"))</f>
        <v/>
      </c>
      <c r="AT865" s="26">
        <f>IF(G865="","",IF(AND(AS865="Evet",T865="Siparişiniz Teslim Edildi"),"Evet","Hayır"))</f>
        <v/>
      </c>
      <c r="AU865" s="26">
        <f>IF(G865="","",IF(AB865="Siparişinizin Montajı Yapıldı","Evet","Hayır"))</f>
        <v/>
      </c>
      <c r="AV865" s="27">
        <f>IF(G865="","",IF(AT865="Evet",AR865,IF(AU865="Evet",AP865,"")))</f>
        <v/>
      </c>
    </row>
    <row r="866">
      <c r="A866" s="23" t="n"/>
      <c r="B866" s="23" t="n"/>
      <c r="C866" s="23" t="n"/>
      <c r="D866" s="23" t="n"/>
      <c r="E866" s="23" t="n"/>
      <c r="F866" s="23" t="n"/>
      <c r="G866" s="23" t="n"/>
      <c r="H866" s="23" t="n"/>
      <c r="I866" s="23" t="n"/>
      <c r="J866" s="23" t="n"/>
      <c r="K866" s="23" t="n"/>
      <c r="L866" s="23" t="n"/>
      <c r="M866" s="23" t="n"/>
      <c r="N866" s="23" t="n"/>
      <c r="O866" s="23" t="n"/>
      <c r="P866" s="23" t="n"/>
      <c r="Q866" s="23" t="n"/>
      <c r="R866" s="23" t="n"/>
      <c r="S866" s="23" t="n"/>
      <c r="T866" s="23" t="n"/>
      <c r="U866" s="23" t="n"/>
      <c r="V866" s="23" t="n"/>
      <c r="W866" s="23" t="n"/>
      <c r="X866" s="23" t="n"/>
      <c r="Y866" s="23" t="n"/>
      <c r="Z866" s="23" t="n"/>
      <c r="AA866" s="23" t="n"/>
      <c r="AB866" s="23" t="n"/>
      <c r="AC866" s="23" t="n"/>
      <c r="AD866" s="23" t="n"/>
      <c r="AE866" s="23" t="n"/>
      <c r="AF866" s="23" t="n"/>
      <c r="AG866" s="23" t="n"/>
      <c r="AH866" s="23" t="n"/>
      <c r="AI866" s="23" t="n"/>
      <c r="AJ866" s="23" t="n"/>
      <c r="AK866" s="23" t="n"/>
      <c r="AL866" s="23" t="n"/>
      <c r="AM866" s="26">
        <f>IF(G866="","",G866&amp;"|"&amp;P866)</f>
        <v/>
      </c>
      <c r="AN866" s="27">
        <f>IF(I866="","",IFERROR(DATE(VALUE(RIGHT(I866,4)),VALUE(MID(I866,4,2)),VALUE(LEFT(I866,2))),""))</f>
        <v/>
      </c>
      <c r="AO866" s="27">
        <f>IF(Y866="","",IFERROR(DATE(VALUE(RIGHT(Y866,4)),VALUE(MID(Y866,4,2)),VALUE(LEFT(Y866,2))),""))</f>
        <v/>
      </c>
      <c r="AP866" s="27">
        <f>IF(AC866="","",IFERROR(DATE(VALUE(RIGHT(AC866,4)),VALUE(MID(AC866,4,2)),VALUE(LEFT(AC866,2))),""))</f>
        <v/>
      </c>
      <c r="AQ866" s="26">
        <f>IF(AI866="","",TRIM(LEFT(AI866,FIND(" ",AI866&amp;" ")-1)))</f>
        <v/>
      </c>
      <c r="AR866" s="27">
        <f>IF(AQ866="","",IFERROR(DATE(VALUE(MID(AQ866,FIND("/",AQ866,FIND("/",AQ866)+1)+1,4)),VALUE(LEFT(AQ866,FIND("/",AQ866)-1)),VALUE(MID(AQ866,FIND("/",AQ866)+1,FIND("/",AQ866,FIND("/",AQ866)+1)-FIND("/",AQ866)-1))),""))</f>
        <v/>
      </c>
      <c r="AS866" s="26">
        <f>IF(G866="","",IF(AND(AG866&lt;&gt;"",AG866&lt;&gt;"Bayi Aracı"),"Evet","Hayır"))</f>
        <v/>
      </c>
      <c r="AT866" s="26">
        <f>IF(G866="","",IF(AND(AS866="Evet",T866="Siparişiniz Teslim Edildi"),"Evet","Hayır"))</f>
        <v/>
      </c>
      <c r="AU866" s="26">
        <f>IF(G866="","",IF(AB866="Siparişinizin Montajı Yapıldı","Evet","Hayır"))</f>
        <v/>
      </c>
      <c r="AV866" s="27">
        <f>IF(G866="","",IF(AT866="Evet",AR866,IF(AU866="Evet",AP866,"")))</f>
        <v/>
      </c>
    </row>
    <row r="867">
      <c r="A867" s="23" t="n"/>
      <c r="B867" s="23" t="n"/>
      <c r="C867" s="23" t="n"/>
      <c r="D867" s="23" t="n"/>
      <c r="E867" s="23" t="n"/>
      <c r="F867" s="23" t="n"/>
      <c r="G867" s="23" t="n"/>
      <c r="H867" s="23" t="n"/>
      <c r="I867" s="23" t="n"/>
      <c r="J867" s="23" t="n"/>
      <c r="K867" s="23" t="n"/>
      <c r="L867" s="23" t="n"/>
      <c r="M867" s="23" t="n"/>
      <c r="N867" s="23" t="n"/>
      <c r="O867" s="23" t="n"/>
      <c r="P867" s="23" t="n"/>
      <c r="Q867" s="23" t="n"/>
      <c r="R867" s="23" t="n"/>
      <c r="S867" s="23" t="n"/>
      <c r="T867" s="23" t="n"/>
      <c r="U867" s="23" t="n"/>
      <c r="V867" s="23" t="n"/>
      <c r="W867" s="23" t="n"/>
      <c r="X867" s="23" t="n"/>
      <c r="Y867" s="23" t="n"/>
      <c r="Z867" s="23" t="n"/>
      <c r="AA867" s="23" t="n"/>
      <c r="AB867" s="23" t="n"/>
      <c r="AC867" s="23" t="n"/>
      <c r="AD867" s="23" t="n"/>
      <c r="AE867" s="23" t="n"/>
      <c r="AF867" s="23" t="n"/>
      <c r="AG867" s="23" t="n"/>
      <c r="AH867" s="23" t="n"/>
      <c r="AI867" s="23" t="n"/>
      <c r="AJ867" s="23" t="n"/>
      <c r="AK867" s="23" t="n"/>
      <c r="AL867" s="23" t="n"/>
      <c r="AM867" s="26">
        <f>IF(G867="","",G867&amp;"|"&amp;P867)</f>
        <v/>
      </c>
      <c r="AN867" s="27">
        <f>IF(I867="","",IFERROR(DATE(VALUE(RIGHT(I867,4)),VALUE(MID(I867,4,2)),VALUE(LEFT(I867,2))),""))</f>
        <v/>
      </c>
      <c r="AO867" s="27">
        <f>IF(Y867="","",IFERROR(DATE(VALUE(RIGHT(Y867,4)),VALUE(MID(Y867,4,2)),VALUE(LEFT(Y867,2))),""))</f>
        <v/>
      </c>
      <c r="AP867" s="27">
        <f>IF(AC867="","",IFERROR(DATE(VALUE(RIGHT(AC867,4)),VALUE(MID(AC867,4,2)),VALUE(LEFT(AC867,2))),""))</f>
        <v/>
      </c>
      <c r="AQ867" s="26">
        <f>IF(AI867="","",TRIM(LEFT(AI867,FIND(" ",AI867&amp;" ")-1)))</f>
        <v/>
      </c>
      <c r="AR867" s="27">
        <f>IF(AQ867="","",IFERROR(DATE(VALUE(MID(AQ867,FIND("/",AQ867,FIND("/",AQ867)+1)+1,4)),VALUE(LEFT(AQ867,FIND("/",AQ867)-1)),VALUE(MID(AQ867,FIND("/",AQ867)+1,FIND("/",AQ867,FIND("/",AQ867)+1)-FIND("/",AQ867)-1))),""))</f>
        <v/>
      </c>
      <c r="AS867" s="26">
        <f>IF(G867="","",IF(AND(AG867&lt;&gt;"",AG867&lt;&gt;"Bayi Aracı"),"Evet","Hayır"))</f>
        <v/>
      </c>
      <c r="AT867" s="26">
        <f>IF(G867="","",IF(AND(AS867="Evet",T867="Siparişiniz Teslim Edildi"),"Evet","Hayır"))</f>
        <v/>
      </c>
      <c r="AU867" s="26">
        <f>IF(G867="","",IF(AB867="Siparişinizin Montajı Yapıldı","Evet","Hayır"))</f>
        <v/>
      </c>
      <c r="AV867" s="27">
        <f>IF(G867="","",IF(AT867="Evet",AR867,IF(AU867="Evet",AP867,"")))</f>
        <v/>
      </c>
    </row>
    <row r="868">
      <c r="A868" s="23" t="n"/>
      <c r="B868" s="23" t="n"/>
      <c r="C868" s="23" t="n"/>
      <c r="D868" s="23" t="n"/>
      <c r="E868" s="23" t="n"/>
      <c r="F868" s="23" t="n"/>
      <c r="G868" s="23" t="n"/>
      <c r="H868" s="23" t="n"/>
      <c r="I868" s="23" t="n"/>
      <c r="J868" s="23" t="n"/>
      <c r="K868" s="23" t="n"/>
      <c r="L868" s="23" t="n"/>
      <c r="M868" s="23" t="n"/>
      <c r="N868" s="23" t="n"/>
      <c r="O868" s="23" t="n"/>
      <c r="P868" s="23" t="n"/>
      <c r="Q868" s="23" t="n"/>
      <c r="R868" s="23" t="n"/>
      <c r="S868" s="23" t="n"/>
      <c r="T868" s="23" t="n"/>
      <c r="U868" s="23" t="n"/>
      <c r="V868" s="23" t="n"/>
      <c r="W868" s="23" t="n"/>
      <c r="X868" s="23" t="n"/>
      <c r="Y868" s="23" t="n"/>
      <c r="Z868" s="23" t="n"/>
      <c r="AA868" s="23" t="n"/>
      <c r="AB868" s="23" t="n"/>
      <c r="AC868" s="23" t="n"/>
      <c r="AD868" s="23" t="n"/>
      <c r="AE868" s="23" t="n"/>
      <c r="AF868" s="23" t="n"/>
      <c r="AG868" s="23" t="n"/>
      <c r="AH868" s="23" t="n"/>
      <c r="AI868" s="23" t="n"/>
      <c r="AJ868" s="23" t="n"/>
      <c r="AK868" s="23" t="n"/>
      <c r="AL868" s="23" t="n"/>
      <c r="AM868" s="26">
        <f>IF(G868="","",G868&amp;"|"&amp;P868)</f>
        <v/>
      </c>
      <c r="AN868" s="27">
        <f>IF(I868="","",IFERROR(DATE(VALUE(RIGHT(I868,4)),VALUE(MID(I868,4,2)),VALUE(LEFT(I868,2))),""))</f>
        <v/>
      </c>
      <c r="AO868" s="27">
        <f>IF(Y868="","",IFERROR(DATE(VALUE(RIGHT(Y868,4)),VALUE(MID(Y868,4,2)),VALUE(LEFT(Y868,2))),""))</f>
        <v/>
      </c>
      <c r="AP868" s="27">
        <f>IF(AC868="","",IFERROR(DATE(VALUE(RIGHT(AC868,4)),VALUE(MID(AC868,4,2)),VALUE(LEFT(AC868,2))),""))</f>
        <v/>
      </c>
      <c r="AQ868" s="26">
        <f>IF(AI868="","",TRIM(LEFT(AI868,FIND(" ",AI868&amp;" ")-1)))</f>
        <v/>
      </c>
      <c r="AR868" s="27">
        <f>IF(AQ868="","",IFERROR(DATE(VALUE(MID(AQ868,FIND("/",AQ868,FIND("/",AQ868)+1)+1,4)),VALUE(LEFT(AQ868,FIND("/",AQ868)-1)),VALUE(MID(AQ868,FIND("/",AQ868)+1,FIND("/",AQ868,FIND("/",AQ868)+1)-FIND("/",AQ868)-1))),""))</f>
        <v/>
      </c>
      <c r="AS868" s="26">
        <f>IF(G868="","",IF(AND(AG868&lt;&gt;"",AG868&lt;&gt;"Bayi Aracı"),"Evet","Hayır"))</f>
        <v/>
      </c>
      <c r="AT868" s="26">
        <f>IF(G868="","",IF(AND(AS868="Evet",T868="Siparişiniz Teslim Edildi"),"Evet","Hayır"))</f>
        <v/>
      </c>
      <c r="AU868" s="26">
        <f>IF(G868="","",IF(AB868="Siparişinizin Montajı Yapıldı","Evet","Hayır"))</f>
        <v/>
      </c>
      <c r="AV868" s="27">
        <f>IF(G868="","",IF(AT868="Evet",AR868,IF(AU868="Evet",AP868,"")))</f>
        <v/>
      </c>
    </row>
    <row r="869">
      <c r="A869" s="23" t="n"/>
      <c r="B869" s="23" t="n"/>
      <c r="C869" s="23" t="n"/>
      <c r="D869" s="23" t="n"/>
      <c r="E869" s="23" t="n"/>
      <c r="F869" s="23" t="n"/>
      <c r="G869" s="23" t="n"/>
      <c r="H869" s="23" t="n"/>
      <c r="I869" s="23" t="n"/>
      <c r="J869" s="23" t="n"/>
      <c r="K869" s="23" t="n"/>
      <c r="L869" s="23" t="n"/>
      <c r="M869" s="23" t="n"/>
      <c r="N869" s="23" t="n"/>
      <c r="O869" s="23" t="n"/>
      <c r="P869" s="23" t="n"/>
      <c r="Q869" s="23" t="n"/>
      <c r="R869" s="23" t="n"/>
      <c r="S869" s="23" t="n"/>
      <c r="T869" s="23" t="n"/>
      <c r="U869" s="23" t="n"/>
      <c r="V869" s="23" t="n"/>
      <c r="W869" s="23" t="n"/>
      <c r="X869" s="23" t="n"/>
      <c r="Y869" s="23" t="n"/>
      <c r="Z869" s="23" t="n"/>
      <c r="AA869" s="23" t="n"/>
      <c r="AB869" s="23" t="n"/>
      <c r="AC869" s="23" t="n"/>
      <c r="AD869" s="23" t="n"/>
      <c r="AE869" s="23" t="n"/>
      <c r="AF869" s="23" t="n"/>
      <c r="AG869" s="23" t="n"/>
      <c r="AH869" s="23" t="n"/>
      <c r="AI869" s="23" t="n"/>
      <c r="AJ869" s="23" t="n"/>
      <c r="AK869" s="23" t="n"/>
      <c r="AL869" s="23" t="n"/>
      <c r="AM869" s="26">
        <f>IF(G869="","",G869&amp;"|"&amp;P869)</f>
        <v/>
      </c>
      <c r="AN869" s="27">
        <f>IF(I869="","",IFERROR(DATE(VALUE(RIGHT(I869,4)),VALUE(MID(I869,4,2)),VALUE(LEFT(I869,2))),""))</f>
        <v/>
      </c>
      <c r="AO869" s="27">
        <f>IF(Y869="","",IFERROR(DATE(VALUE(RIGHT(Y869,4)),VALUE(MID(Y869,4,2)),VALUE(LEFT(Y869,2))),""))</f>
        <v/>
      </c>
      <c r="AP869" s="27">
        <f>IF(AC869="","",IFERROR(DATE(VALUE(RIGHT(AC869,4)),VALUE(MID(AC869,4,2)),VALUE(LEFT(AC869,2))),""))</f>
        <v/>
      </c>
      <c r="AQ869" s="26">
        <f>IF(AI869="","",TRIM(LEFT(AI869,FIND(" ",AI869&amp;" ")-1)))</f>
        <v/>
      </c>
      <c r="AR869" s="27">
        <f>IF(AQ869="","",IFERROR(DATE(VALUE(MID(AQ869,FIND("/",AQ869,FIND("/",AQ869)+1)+1,4)),VALUE(LEFT(AQ869,FIND("/",AQ869)-1)),VALUE(MID(AQ869,FIND("/",AQ869)+1,FIND("/",AQ869,FIND("/",AQ869)+1)-FIND("/",AQ869)-1))),""))</f>
        <v/>
      </c>
      <c r="AS869" s="26">
        <f>IF(G869="","",IF(AND(AG869&lt;&gt;"",AG869&lt;&gt;"Bayi Aracı"),"Evet","Hayır"))</f>
        <v/>
      </c>
      <c r="AT869" s="26">
        <f>IF(G869="","",IF(AND(AS869="Evet",T869="Siparişiniz Teslim Edildi"),"Evet","Hayır"))</f>
        <v/>
      </c>
      <c r="AU869" s="26">
        <f>IF(G869="","",IF(AB869="Siparişinizin Montajı Yapıldı","Evet","Hayır"))</f>
        <v/>
      </c>
      <c r="AV869" s="27">
        <f>IF(G869="","",IF(AT869="Evet",AR869,IF(AU869="Evet",AP869,"")))</f>
        <v/>
      </c>
    </row>
    <row r="870">
      <c r="A870" s="23" t="n"/>
      <c r="B870" s="23" t="n"/>
      <c r="C870" s="23" t="n"/>
      <c r="D870" s="23" t="n"/>
      <c r="E870" s="23" t="n"/>
      <c r="F870" s="23" t="n"/>
      <c r="G870" s="23" t="n"/>
      <c r="H870" s="23" t="n"/>
      <c r="I870" s="23" t="n"/>
      <c r="J870" s="23" t="n"/>
      <c r="K870" s="23" t="n"/>
      <c r="L870" s="23" t="n"/>
      <c r="M870" s="23" t="n"/>
      <c r="N870" s="23" t="n"/>
      <c r="O870" s="23" t="n"/>
      <c r="P870" s="23" t="n"/>
      <c r="Q870" s="23" t="n"/>
      <c r="R870" s="23" t="n"/>
      <c r="S870" s="23" t="n"/>
      <c r="T870" s="23" t="n"/>
      <c r="U870" s="23" t="n"/>
      <c r="V870" s="23" t="n"/>
      <c r="W870" s="23" t="n"/>
      <c r="X870" s="23" t="n"/>
      <c r="Y870" s="23" t="n"/>
      <c r="Z870" s="23" t="n"/>
      <c r="AA870" s="23" t="n"/>
      <c r="AB870" s="23" t="n"/>
      <c r="AC870" s="23" t="n"/>
      <c r="AD870" s="23" t="n"/>
      <c r="AE870" s="23" t="n"/>
      <c r="AF870" s="23" t="n"/>
      <c r="AG870" s="23" t="n"/>
      <c r="AH870" s="23" t="n"/>
      <c r="AI870" s="23" t="n"/>
      <c r="AJ870" s="23" t="n"/>
      <c r="AK870" s="23" t="n"/>
      <c r="AL870" s="23" t="n"/>
      <c r="AM870" s="26">
        <f>IF(G870="","",G870&amp;"|"&amp;P870)</f>
        <v/>
      </c>
      <c r="AN870" s="27">
        <f>IF(I870="","",IFERROR(DATE(VALUE(RIGHT(I870,4)),VALUE(MID(I870,4,2)),VALUE(LEFT(I870,2))),""))</f>
        <v/>
      </c>
      <c r="AO870" s="27">
        <f>IF(Y870="","",IFERROR(DATE(VALUE(RIGHT(Y870,4)),VALUE(MID(Y870,4,2)),VALUE(LEFT(Y870,2))),""))</f>
        <v/>
      </c>
      <c r="AP870" s="27">
        <f>IF(AC870="","",IFERROR(DATE(VALUE(RIGHT(AC870,4)),VALUE(MID(AC870,4,2)),VALUE(LEFT(AC870,2))),""))</f>
        <v/>
      </c>
      <c r="AQ870" s="26">
        <f>IF(AI870="","",TRIM(LEFT(AI870,FIND(" ",AI870&amp;" ")-1)))</f>
        <v/>
      </c>
      <c r="AR870" s="27">
        <f>IF(AQ870="","",IFERROR(DATE(VALUE(MID(AQ870,FIND("/",AQ870,FIND("/",AQ870)+1)+1,4)),VALUE(LEFT(AQ870,FIND("/",AQ870)-1)),VALUE(MID(AQ870,FIND("/",AQ870)+1,FIND("/",AQ870,FIND("/",AQ870)+1)-FIND("/",AQ870)-1))),""))</f>
        <v/>
      </c>
      <c r="AS870" s="26">
        <f>IF(G870="","",IF(AND(AG870&lt;&gt;"",AG870&lt;&gt;"Bayi Aracı"),"Evet","Hayır"))</f>
        <v/>
      </c>
      <c r="AT870" s="26">
        <f>IF(G870="","",IF(AND(AS870="Evet",T870="Siparişiniz Teslim Edildi"),"Evet","Hayır"))</f>
        <v/>
      </c>
      <c r="AU870" s="26">
        <f>IF(G870="","",IF(AB870="Siparişinizin Montajı Yapıldı","Evet","Hayır"))</f>
        <v/>
      </c>
      <c r="AV870" s="27">
        <f>IF(G870="","",IF(AT870="Evet",AR870,IF(AU870="Evet",AP870,"")))</f>
        <v/>
      </c>
    </row>
    <row r="871">
      <c r="A871" s="23" t="n"/>
      <c r="B871" s="23" t="n"/>
      <c r="C871" s="23" t="n"/>
      <c r="D871" s="23" t="n"/>
      <c r="E871" s="23" t="n"/>
      <c r="F871" s="23" t="n"/>
      <c r="G871" s="23" t="n"/>
      <c r="H871" s="23" t="n"/>
      <c r="I871" s="23" t="n"/>
      <c r="J871" s="23" t="n"/>
      <c r="K871" s="23" t="n"/>
      <c r="L871" s="23" t="n"/>
      <c r="M871" s="23" t="n"/>
      <c r="N871" s="23" t="n"/>
      <c r="O871" s="23" t="n"/>
      <c r="P871" s="23" t="n"/>
      <c r="Q871" s="23" t="n"/>
      <c r="R871" s="23" t="n"/>
      <c r="S871" s="23" t="n"/>
      <c r="T871" s="23" t="n"/>
      <c r="U871" s="23" t="n"/>
      <c r="V871" s="23" t="n"/>
      <c r="W871" s="23" t="n"/>
      <c r="X871" s="23" t="n"/>
      <c r="Y871" s="23" t="n"/>
      <c r="Z871" s="23" t="n"/>
      <c r="AA871" s="23" t="n"/>
      <c r="AB871" s="23" t="n"/>
      <c r="AC871" s="23" t="n"/>
      <c r="AD871" s="23" t="n"/>
      <c r="AE871" s="23" t="n"/>
      <c r="AF871" s="23" t="n"/>
      <c r="AG871" s="23" t="n"/>
      <c r="AH871" s="23" t="n"/>
      <c r="AI871" s="23" t="n"/>
      <c r="AJ871" s="23" t="n"/>
      <c r="AK871" s="23" t="n"/>
      <c r="AL871" s="23" t="n"/>
      <c r="AM871" s="26">
        <f>IF(G871="","",G871&amp;"|"&amp;P871)</f>
        <v/>
      </c>
      <c r="AN871" s="27">
        <f>IF(I871="","",IFERROR(DATE(VALUE(RIGHT(I871,4)),VALUE(MID(I871,4,2)),VALUE(LEFT(I871,2))),""))</f>
        <v/>
      </c>
      <c r="AO871" s="27">
        <f>IF(Y871="","",IFERROR(DATE(VALUE(RIGHT(Y871,4)),VALUE(MID(Y871,4,2)),VALUE(LEFT(Y871,2))),""))</f>
        <v/>
      </c>
      <c r="AP871" s="27">
        <f>IF(AC871="","",IFERROR(DATE(VALUE(RIGHT(AC871,4)),VALUE(MID(AC871,4,2)),VALUE(LEFT(AC871,2))),""))</f>
        <v/>
      </c>
      <c r="AQ871" s="26">
        <f>IF(AI871="","",TRIM(LEFT(AI871,FIND(" ",AI871&amp;" ")-1)))</f>
        <v/>
      </c>
      <c r="AR871" s="27">
        <f>IF(AQ871="","",IFERROR(DATE(VALUE(MID(AQ871,FIND("/",AQ871,FIND("/",AQ871)+1)+1,4)),VALUE(LEFT(AQ871,FIND("/",AQ871)-1)),VALUE(MID(AQ871,FIND("/",AQ871)+1,FIND("/",AQ871,FIND("/",AQ871)+1)-FIND("/",AQ871)-1))),""))</f>
        <v/>
      </c>
      <c r="AS871" s="26">
        <f>IF(G871="","",IF(AND(AG871&lt;&gt;"",AG871&lt;&gt;"Bayi Aracı"),"Evet","Hayır"))</f>
        <v/>
      </c>
      <c r="AT871" s="26">
        <f>IF(G871="","",IF(AND(AS871="Evet",T871="Siparişiniz Teslim Edildi"),"Evet","Hayır"))</f>
        <v/>
      </c>
      <c r="AU871" s="26">
        <f>IF(G871="","",IF(AB871="Siparişinizin Montajı Yapıldı","Evet","Hayır"))</f>
        <v/>
      </c>
      <c r="AV871" s="27">
        <f>IF(G871="","",IF(AT871="Evet",AR871,IF(AU871="Evet",AP871,"")))</f>
        <v/>
      </c>
    </row>
    <row r="872">
      <c r="A872" s="23" t="n"/>
      <c r="B872" s="23" t="n"/>
      <c r="C872" s="23" t="n"/>
      <c r="D872" s="23" t="n"/>
      <c r="E872" s="23" t="n"/>
      <c r="F872" s="23" t="n"/>
      <c r="G872" s="23" t="n"/>
      <c r="H872" s="23" t="n"/>
      <c r="I872" s="23" t="n"/>
      <c r="J872" s="23" t="n"/>
      <c r="K872" s="23" t="n"/>
      <c r="L872" s="23" t="n"/>
      <c r="M872" s="23" t="n"/>
      <c r="N872" s="23" t="n"/>
      <c r="O872" s="23" t="n"/>
      <c r="P872" s="23" t="n"/>
      <c r="Q872" s="23" t="n"/>
      <c r="R872" s="23" t="n"/>
      <c r="S872" s="23" t="n"/>
      <c r="T872" s="23" t="n"/>
      <c r="U872" s="23" t="n"/>
      <c r="V872" s="23" t="n"/>
      <c r="W872" s="23" t="n"/>
      <c r="X872" s="23" t="n"/>
      <c r="Y872" s="23" t="n"/>
      <c r="Z872" s="23" t="n"/>
      <c r="AA872" s="23" t="n"/>
      <c r="AB872" s="23" t="n"/>
      <c r="AC872" s="23" t="n"/>
      <c r="AD872" s="23" t="n"/>
      <c r="AE872" s="23" t="n"/>
      <c r="AF872" s="23" t="n"/>
      <c r="AG872" s="23" t="n"/>
      <c r="AH872" s="23" t="n"/>
      <c r="AI872" s="23" t="n"/>
      <c r="AJ872" s="23" t="n"/>
      <c r="AK872" s="23" t="n"/>
      <c r="AL872" s="23" t="n"/>
      <c r="AM872" s="26">
        <f>IF(G872="","",G872&amp;"|"&amp;P872)</f>
        <v/>
      </c>
      <c r="AN872" s="27">
        <f>IF(I872="","",IFERROR(DATE(VALUE(RIGHT(I872,4)),VALUE(MID(I872,4,2)),VALUE(LEFT(I872,2))),""))</f>
        <v/>
      </c>
      <c r="AO872" s="27">
        <f>IF(Y872="","",IFERROR(DATE(VALUE(RIGHT(Y872,4)),VALUE(MID(Y872,4,2)),VALUE(LEFT(Y872,2))),""))</f>
        <v/>
      </c>
      <c r="AP872" s="27">
        <f>IF(AC872="","",IFERROR(DATE(VALUE(RIGHT(AC872,4)),VALUE(MID(AC872,4,2)),VALUE(LEFT(AC872,2))),""))</f>
        <v/>
      </c>
      <c r="AQ872" s="26">
        <f>IF(AI872="","",TRIM(LEFT(AI872,FIND(" ",AI872&amp;" ")-1)))</f>
        <v/>
      </c>
      <c r="AR872" s="27">
        <f>IF(AQ872="","",IFERROR(DATE(VALUE(MID(AQ872,FIND("/",AQ872,FIND("/",AQ872)+1)+1,4)),VALUE(LEFT(AQ872,FIND("/",AQ872)-1)),VALUE(MID(AQ872,FIND("/",AQ872)+1,FIND("/",AQ872,FIND("/",AQ872)+1)-FIND("/",AQ872)-1))),""))</f>
        <v/>
      </c>
      <c r="AS872" s="26">
        <f>IF(G872="","",IF(AND(AG872&lt;&gt;"",AG872&lt;&gt;"Bayi Aracı"),"Evet","Hayır"))</f>
        <v/>
      </c>
      <c r="AT872" s="26">
        <f>IF(G872="","",IF(AND(AS872="Evet",T872="Siparişiniz Teslim Edildi"),"Evet","Hayır"))</f>
        <v/>
      </c>
      <c r="AU872" s="26">
        <f>IF(G872="","",IF(AB872="Siparişinizin Montajı Yapıldı","Evet","Hayır"))</f>
        <v/>
      </c>
      <c r="AV872" s="27">
        <f>IF(G872="","",IF(AT872="Evet",AR872,IF(AU872="Evet",AP872,"")))</f>
        <v/>
      </c>
    </row>
    <row r="873">
      <c r="A873" s="23" t="n"/>
      <c r="B873" s="23" t="n"/>
      <c r="C873" s="23" t="n"/>
      <c r="D873" s="23" t="n"/>
      <c r="E873" s="23" t="n"/>
      <c r="F873" s="23" t="n"/>
      <c r="G873" s="23" t="n"/>
      <c r="H873" s="23" t="n"/>
      <c r="I873" s="23" t="n"/>
      <c r="J873" s="23" t="n"/>
      <c r="K873" s="23" t="n"/>
      <c r="L873" s="23" t="n"/>
      <c r="M873" s="23" t="n"/>
      <c r="N873" s="23" t="n"/>
      <c r="O873" s="23" t="n"/>
      <c r="P873" s="23" t="n"/>
      <c r="Q873" s="23" t="n"/>
      <c r="R873" s="23" t="n"/>
      <c r="S873" s="23" t="n"/>
      <c r="T873" s="23" t="n"/>
      <c r="U873" s="23" t="n"/>
      <c r="V873" s="23" t="n"/>
      <c r="W873" s="23" t="n"/>
      <c r="X873" s="23" t="n"/>
      <c r="Y873" s="23" t="n"/>
      <c r="Z873" s="23" t="n"/>
      <c r="AA873" s="23" t="n"/>
      <c r="AB873" s="23" t="n"/>
      <c r="AC873" s="23" t="n"/>
      <c r="AD873" s="23" t="n"/>
      <c r="AE873" s="23" t="n"/>
      <c r="AF873" s="23" t="n"/>
      <c r="AG873" s="23" t="n"/>
      <c r="AH873" s="23" t="n"/>
      <c r="AI873" s="23" t="n"/>
      <c r="AJ873" s="23" t="n"/>
      <c r="AK873" s="23" t="n"/>
      <c r="AL873" s="23" t="n"/>
      <c r="AM873" s="26">
        <f>IF(G873="","",G873&amp;"|"&amp;P873)</f>
        <v/>
      </c>
      <c r="AN873" s="27">
        <f>IF(I873="","",IFERROR(DATE(VALUE(RIGHT(I873,4)),VALUE(MID(I873,4,2)),VALUE(LEFT(I873,2))),""))</f>
        <v/>
      </c>
      <c r="AO873" s="27">
        <f>IF(Y873="","",IFERROR(DATE(VALUE(RIGHT(Y873,4)),VALUE(MID(Y873,4,2)),VALUE(LEFT(Y873,2))),""))</f>
        <v/>
      </c>
      <c r="AP873" s="27">
        <f>IF(AC873="","",IFERROR(DATE(VALUE(RIGHT(AC873,4)),VALUE(MID(AC873,4,2)),VALUE(LEFT(AC873,2))),""))</f>
        <v/>
      </c>
      <c r="AQ873" s="26">
        <f>IF(AI873="","",TRIM(LEFT(AI873,FIND(" ",AI873&amp;" ")-1)))</f>
        <v/>
      </c>
      <c r="AR873" s="27">
        <f>IF(AQ873="","",IFERROR(DATE(VALUE(MID(AQ873,FIND("/",AQ873,FIND("/",AQ873)+1)+1,4)),VALUE(LEFT(AQ873,FIND("/",AQ873)-1)),VALUE(MID(AQ873,FIND("/",AQ873)+1,FIND("/",AQ873,FIND("/",AQ873)+1)-FIND("/",AQ873)-1))),""))</f>
        <v/>
      </c>
      <c r="AS873" s="26">
        <f>IF(G873="","",IF(AND(AG873&lt;&gt;"",AG873&lt;&gt;"Bayi Aracı"),"Evet","Hayır"))</f>
        <v/>
      </c>
      <c r="AT873" s="26">
        <f>IF(G873="","",IF(AND(AS873="Evet",T873="Siparişiniz Teslim Edildi"),"Evet","Hayır"))</f>
        <v/>
      </c>
      <c r="AU873" s="26">
        <f>IF(G873="","",IF(AB873="Siparişinizin Montajı Yapıldı","Evet","Hayır"))</f>
        <v/>
      </c>
      <c r="AV873" s="27">
        <f>IF(G873="","",IF(AT873="Evet",AR873,IF(AU873="Evet",AP873,"")))</f>
        <v/>
      </c>
    </row>
    <row r="874">
      <c r="A874" s="23" t="n"/>
      <c r="B874" s="23" t="n"/>
      <c r="C874" s="23" t="n"/>
      <c r="D874" s="23" t="n"/>
      <c r="E874" s="23" t="n"/>
      <c r="F874" s="23" t="n"/>
      <c r="G874" s="23" t="n"/>
      <c r="H874" s="23" t="n"/>
      <c r="I874" s="23" t="n"/>
      <c r="J874" s="23" t="n"/>
      <c r="K874" s="23" t="n"/>
      <c r="L874" s="23" t="n"/>
      <c r="M874" s="23" t="n"/>
      <c r="N874" s="23" t="n"/>
      <c r="O874" s="23" t="n"/>
      <c r="P874" s="23" t="n"/>
      <c r="Q874" s="23" t="n"/>
      <c r="R874" s="23" t="n"/>
      <c r="S874" s="23" t="n"/>
      <c r="T874" s="23" t="n"/>
      <c r="U874" s="23" t="n"/>
      <c r="V874" s="23" t="n"/>
      <c r="W874" s="23" t="n"/>
      <c r="X874" s="23" t="n"/>
      <c r="Y874" s="23" t="n"/>
      <c r="Z874" s="23" t="n"/>
      <c r="AA874" s="23" t="n"/>
      <c r="AB874" s="23" t="n"/>
      <c r="AC874" s="23" t="n"/>
      <c r="AD874" s="23" t="n"/>
      <c r="AE874" s="23" t="n"/>
      <c r="AF874" s="23" t="n"/>
      <c r="AG874" s="23" t="n"/>
      <c r="AH874" s="23" t="n"/>
      <c r="AI874" s="23" t="n"/>
      <c r="AJ874" s="23" t="n"/>
      <c r="AK874" s="23" t="n"/>
      <c r="AL874" s="23" t="n"/>
      <c r="AM874" s="26">
        <f>IF(G874="","",G874&amp;"|"&amp;P874)</f>
        <v/>
      </c>
      <c r="AN874" s="27">
        <f>IF(I874="","",IFERROR(DATE(VALUE(RIGHT(I874,4)),VALUE(MID(I874,4,2)),VALUE(LEFT(I874,2))),""))</f>
        <v/>
      </c>
      <c r="AO874" s="27">
        <f>IF(Y874="","",IFERROR(DATE(VALUE(RIGHT(Y874,4)),VALUE(MID(Y874,4,2)),VALUE(LEFT(Y874,2))),""))</f>
        <v/>
      </c>
      <c r="AP874" s="27">
        <f>IF(AC874="","",IFERROR(DATE(VALUE(RIGHT(AC874,4)),VALUE(MID(AC874,4,2)),VALUE(LEFT(AC874,2))),""))</f>
        <v/>
      </c>
      <c r="AQ874" s="26">
        <f>IF(AI874="","",TRIM(LEFT(AI874,FIND(" ",AI874&amp;" ")-1)))</f>
        <v/>
      </c>
      <c r="AR874" s="27">
        <f>IF(AQ874="","",IFERROR(DATE(VALUE(MID(AQ874,FIND("/",AQ874,FIND("/",AQ874)+1)+1,4)),VALUE(LEFT(AQ874,FIND("/",AQ874)-1)),VALUE(MID(AQ874,FIND("/",AQ874)+1,FIND("/",AQ874,FIND("/",AQ874)+1)-FIND("/",AQ874)-1))),""))</f>
        <v/>
      </c>
      <c r="AS874" s="26">
        <f>IF(G874="","",IF(AND(AG874&lt;&gt;"",AG874&lt;&gt;"Bayi Aracı"),"Evet","Hayır"))</f>
        <v/>
      </c>
      <c r="AT874" s="26">
        <f>IF(G874="","",IF(AND(AS874="Evet",T874="Siparişiniz Teslim Edildi"),"Evet","Hayır"))</f>
        <v/>
      </c>
      <c r="AU874" s="26">
        <f>IF(G874="","",IF(AB874="Siparişinizin Montajı Yapıldı","Evet","Hayır"))</f>
        <v/>
      </c>
      <c r="AV874" s="27">
        <f>IF(G874="","",IF(AT874="Evet",AR874,IF(AU874="Evet",AP874,"")))</f>
        <v/>
      </c>
    </row>
    <row r="875">
      <c r="A875" s="23" t="n"/>
      <c r="B875" s="23" t="n"/>
      <c r="C875" s="23" t="n"/>
      <c r="D875" s="23" t="n"/>
      <c r="E875" s="23" t="n"/>
      <c r="F875" s="23" t="n"/>
      <c r="G875" s="23" t="n"/>
      <c r="H875" s="23" t="n"/>
      <c r="I875" s="23" t="n"/>
      <c r="J875" s="23" t="n"/>
      <c r="K875" s="23" t="n"/>
      <c r="L875" s="23" t="n"/>
      <c r="M875" s="23" t="n"/>
      <c r="N875" s="23" t="n"/>
      <c r="O875" s="23" t="n"/>
      <c r="P875" s="23" t="n"/>
      <c r="Q875" s="23" t="n"/>
      <c r="R875" s="23" t="n"/>
      <c r="S875" s="23" t="n"/>
      <c r="T875" s="23" t="n"/>
      <c r="U875" s="23" t="n"/>
      <c r="V875" s="23" t="n"/>
      <c r="W875" s="23" t="n"/>
      <c r="X875" s="23" t="n"/>
      <c r="Y875" s="23" t="n"/>
      <c r="Z875" s="23" t="n"/>
      <c r="AA875" s="23" t="n"/>
      <c r="AB875" s="23" t="n"/>
      <c r="AC875" s="23" t="n"/>
      <c r="AD875" s="23" t="n"/>
      <c r="AE875" s="23" t="n"/>
      <c r="AF875" s="23" t="n"/>
      <c r="AG875" s="23" t="n"/>
      <c r="AH875" s="23" t="n"/>
      <c r="AI875" s="23" t="n"/>
      <c r="AJ875" s="23" t="n"/>
      <c r="AK875" s="23" t="n"/>
      <c r="AL875" s="23" t="n"/>
      <c r="AM875" s="26">
        <f>IF(G875="","",G875&amp;"|"&amp;P875)</f>
        <v/>
      </c>
      <c r="AN875" s="27">
        <f>IF(I875="","",IFERROR(DATE(VALUE(RIGHT(I875,4)),VALUE(MID(I875,4,2)),VALUE(LEFT(I875,2))),""))</f>
        <v/>
      </c>
      <c r="AO875" s="27">
        <f>IF(Y875="","",IFERROR(DATE(VALUE(RIGHT(Y875,4)),VALUE(MID(Y875,4,2)),VALUE(LEFT(Y875,2))),""))</f>
        <v/>
      </c>
      <c r="AP875" s="27">
        <f>IF(AC875="","",IFERROR(DATE(VALUE(RIGHT(AC875,4)),VALUE(MID(AC875,4,2)),VALUE(LEFT(AC875,2))),""))</f>
        <v/>
      </c>
      <c r="AQ875" s="26">
        <f>IF(AI875="","",TRIM(LEFT(AI875,FIND(" ",AI875&amp;" ")-1)))</f>
        <v/>
      </c>
      <c r="AR875" s="27">
        <f>IF(AQ875="","",IFERROR(DATE(VALUE(MID(AQ875,FIND("/",AQ875,FIND("/",AQ875)+1)+1,4)),VALUE(LEFT(AQ875,FIND("/",AQ875)-1)),VALUE(MID(AQ875,FIND("/",AQ875)+1,FIND("/",AQ875,FIND("/",AQ875)+1)-FIND("/",AQ875)-1))),""))</f>
        <v/>
      </c>
      <c r="AS875" s="26">
        <f>IF(G875="","",IF(AND(AG875&lt;&gt;"",AG875&lt;&gt;"Bayi Aracı"),"Evet","Hayır"))</f>
        <v/>
      </c>
      <c r="AT875" s="26">
        <f>IF(G875="","",IF(AND(AS875="Evet",T875="Siparişiniz Teslim Edildi"),"Evet","Hayır"))</f>
        <v/>
      </c>
      <c r="AU875" s="26">
        <f>IF(G875="","",IF(AB875="Siparişinizin Montajı Yapıldı","Evet","Hayır"))</f>
        <v/>
      </c>
      <c r="AV875" s="27">
        <f>IF(G875="","",IF(AT875="Evet",AR875,IF(AU875="Evet",AP875,"")))</f>
        <v/>
      </c>
    </row>
    <row r="876">
      <c r="A876" s="23" t="n"/>
      <c r="B876" s="23" t="n"/>
      <c r="C876" s="23" t="n"/>
      <c r="D876" s="23" t="n"/>
      <c r="E876" s="23" t="n"/>
      <c r="F876" s="23" t="n"/>
      <c r="G876" s="23" t="n"/>
      <c r="H876" s="23" t="n"/>
      <c r="I876" s="23" t="n"/>
      <c r="J876" s="23" t="n"/>
      <c r="K876" s="23" t="n"/>
      <c r="L876" s="23" t="n"/>
      <c r="M876" s="23" t="n"/>
      <c r="N876" s="23" t="n"/>
      <c r="O876" s="23" t="n"/>
      <c r="P876" s="23" t="n"/>
      <c r="Q876" s="23" t="n"/>
      <c r="R876" s="23" t="n"/>
      <c r="S876" s="23" t="n"/>
      <c r="T876" s="23" t="n"/>
      <c r="U876" s="23" t="n"/>
      <c r="V876" s="23" t="n"/>
      <c r="W876" s="23" t="n"/>
      <c r="X876" s="23" t="n"/>
      <c r="Y876" s="23" t="n"/>
      <c r="Z876" s="23" t="n"/>
      <c r="AA876" s="23" t="n"/>
      <c r="AB876" s="23" t="n"/>
      <c r="AC876" s="23" t="n"/>
      <c r="AD876" s="23" t="n"/>
      <c r="AE876" s="23" t="n"/>
      <c r="AF876" s="23" t="n"/>
      <c r="AG876" s="23" t="n"/>
      <c r="AH876" s="23" t="n"/>
      <c r="AI876" s="23" t="n"/>
      <c r="AJ876" s="23" t="n"/>
      <c r="AK876" s="23" t="n"/>
      <c r="AL876" s="23" t="n"/>
      <c r="AM876" s="26">
        <f>IF(G876="","",G876&amp;"|"&amp;P876)</f>
        <v/>
      </c>
      <c r="AN876" s="27">
        <f>IF(I876="","",IFERROR(DATE(VALUE(RIGHT(I876,4)),VALUE(MID(I876,4,2)),VALUE(LEFT(I876,2))),""))</f>
        <v/>
      </c>
      <c r="AO876" s="27">
        <f>IF(Y876="","",IFERROR(DATE(VALUE(RIGHT(Y876,4)),VALUE(MID(Y876,4,2)),VALUE(LEFT(Y876,2))),""))</f>
        <v/>
      </c>
      <c r="AP876" s="27">
        <f>IF(AC876="","",IFERROR(DATE(VALUE(RIGHT(AC876,4)),VALUE(MID(AC876,4,2)),VALUE(LEFT(AC876,2))),""))</f>
        <v/>
      </c>
      <c r="AQ876" s="26">
        <f>IF(AI876="","",TRIM(LEFT(AI876,FIND(" ",AI876&amp;" ")-1)))</f>
        <v/>
      </c>
      <c r="AR876" s="27">
        <f>IF(AQ876="","",IFERROR(DATE(VALUE(MID(AQ876,FIND("/",AQ876,FIND("/",AQ876)+1)+1,4)),VALUE(LEFT(AQ876,FIND("/",AQ876)-1)),VALUE(MID(AQ876,FIND("/",AQ876)+1,FIND("/",AQ876,FIND("/",AQ876)+1)-FIND("/",AQ876)-1))),""))</f>
        <v/>
      </c>
      <c r="AS876" s="26">
        <f>IF(G876="","",IF(AND(AG876&lt;&gt;"",AG876&lt;&gt;"Bayi Aracı"),"Evet","Hayır"))</f>
        <v/>
      </c>
      <c r="AT876" s="26">
        <f>IF(G876="","",IF(AND(AS876="Evet",T876="Siparişiniz Teslim Edildi"),"Evet","Hayır"))</f>
        <v/>
      </c>
      <c r="AU876" s="26">
        <f>IF(G876="","",IF(AB876="Siparişinizin Montajı Yapıldı","Evet","Hayır"))</f>
        <v/>
      </c>
      <c r="AV876" s="27">
        <f>IF(G876="","",IF(AT876="Evet",AR876,IF(AU876="Evet",AP876,"")))</f>
        <v/>
      </c>
    </row>
    <row r="877">
      <c r="A877" s="23" t="n"/>
      <c r="B877" s="23" t="n"/>
      <c r="C877" s="23" t="n"/>
      <c r="D877" s="23" t="n"/>
      <c r="E877" s="23" t="n"/>
      <c r="F877" s="23" t="n"/>
      <c r="G877" s="23" t="n"/>
      <c r="H877" s="23" t="n"/>
      <c r="I877" s="23" t="n"/>
      <c r="J877" s="23" t="n"/>
      <c r="K877" s="23" t="n"/>
      <c r="L877" s="23" t="n"/>
      <c r="M877" s="23" t="n"/>
      <c r="N877" s="23" t="n"/>
      <c r="O877" s="23" t="n"/>
      <c r="P877" s="23" t="n"/>
      <c r="Q877" s="23" t="n"/>
      <c r="R877" s="23" t="n"/>
      <c r="S877" s="23" t="n"/>
      <c r="T877" s="23" t="n"/>
      <c r="U877" s="23" t="n"/>
      <c r="V877" s="23" t="n"/>
      <c r="W877" s="23" t="n"/>
      <c r="X877" s="23" t="n"/>
      <c r="Y877" s="23" t="n"/>
      <c r="Z877" s="23" t="n"/>
      <c r="AA877" s="23" t="n"/>
      <c r="AB877" s="23" t="n"/>
      <c r="AC877" s="23" t="n"/>
      <c r="AD877" s="23" t="n"/>
      <c r="AE877" s="23" t="n"/>
      <c r="AF877" s="23" t="n"/>
      <c r="AG877" s="23" t="n"/>
      <c r="AH877" s="23" t="n"/>
      <c r="AI877" s="23" t="n"/>
      <c r="AJ877" s="23" t="n"/>
      <c r="AK877" s="23" t="n"/>
      <c r="AL877" s="23" t="n"/>
      <c r="AM877" s="26">
        <f>IF(G877="","",G877&amp;"|"&amp;P877)</f>
        <v/>
      </c>
      <c r="AN877" s="27">
        <f>IF(I877="","",IFERROR(DATE(VALUE(RIGHT(I877,4)),VALUE(MID(I877,4,2)),VALUE(LEFT(I877,2))),""))</f>
        <v/>
      </c>
      <c r="AO877" s="27">
        <f>IF(Y877="","",IFERROR(DATE(VALUE(RIGHT(Y877,4)),VALUE(MID(Y877,4,2)),VALUE(LEFT(Y877,2))),""))</f>
        <v/>
      </c>
      <c r="AP877" s="27">
        <f>IF(AC877="","",IFERROR(DATE(VALUE(RIGHT(AC877,4)),VALUE(MID(AC877,4,2)),VALUE(LEFT(AC877,2))),""))</f>
        <v/>
      </c>
      <c r="AQ877" s="26">
        <f>IF(AI877="","",TRIM(LEFT(AI877,FIND(" ",AI877&amp;" ")-1)))</f>
        <v/>
      </c>
      <c r="AR877" s="27">
        <f>IF(AQ877="","",IFERROR(DATE(VALUE(MID(AQ877,FIND("/",AQ877,FIND("/",AQ877)+1)+1,4)),VALUE(LEFT(AQ877,FIND("/",AQ877)-1)),VALUE(MID(AQ877,FIND("/",AQ877)+1,FIND("/",AQ877,FIND("/",AQ877)+1)-FIND("/",AQ877)-1))),""))</f>
        <v/>
      </c>
      <c r="AS877" s="26">
        <f>IF(G877="","",IF(AND(AG877&lt;&gt;"",AG877&lt;&gt;"Bayi Aracı"),"Evet","Hayır"))</f>
        <v/>
      </c>
      <c r="AT877" s="26">
        <f>IF(G877="","",IF(AND(AS877="Evet",T877="Siparişiniz Teslim Edildi"),"Evet","Hayır"))</f>
        <v/>
      </c>
      <c r="AU877" s="26">
        <f>IF(G877="","",IF(AB877="Siparişinizin Montajı Yapıldı","Evet","Hayır"))</f>
        <v/>
      </c>
      <c r="AV877" s="27">
        <f>IF(G877="","",IF(AT877="Evet",AR877,IF(AU877="Evet",AP877,"")))</f>
        <v/>
      </c>
    </row>
    <row r="878">
      <c r="A878" s="23" t="n"/>
      <c r="B878" s="23" t="n"/>
      <c r="C878" s="23" t="n"/>
      <c r="D878" s="23" t="n"/>
      <c r="E878" s="23" t="n"/>
      <c r="F878" s="23" t="n"/>
      <c r="G878" s="23" t="n"/>
      <c r="H878" s="23" t="n"/>
      <c r="I878" s="23" t="n"/>
      <c r="J878" s="23" t="n"/>
      <c r="K878" s="23" t="n"/>
      <c r="L878" s="23" t="n"/>
      <c r="M878" s="23" t="n"/>
      <c r="N878" s="23" t="n"/>
      <c r="O878" s="23" t="n"/>
      <c r="P878" s="23" t="n"/>
      <c r="Q878" s="23" t="n"/>
      <c r="R878" s="23" t="n"/>
      <c r="S878" s="23" t="n"/>
      <c r="T878" s="23" t="n"/>
      <c r="U878" s="23" t="n"/>
      <c r="V878" s="23" t="n"/>
      <c r="W878" s="23" t="n"/>
      <c r="X878" s="23" t="n"/>
      <c r="Y878" s="23" t="n"/>
      <c r="Z878" s="23" t="n"/>
      <c r="AA878" s="23" t="n"/>
      <c r="AB878" s="23" t="n"/>
      <c r="AC878" s="23" t="n"/>
      <c r="AD878" s="23" t="n"/>
      <c r="AE878" s="23" t="n"/>
      <c r="AF878" s="23" t="n"/>
      <c r="AG878" s="23" t="n"/>
      <c r="AH878" s="23" t="n"/>
      <c r="AI878" s="23" t="n"/>
      <c r="AJ878" s="23" t="n"/>
      <c r="AK878" s="23" t="n"/>
      <c r="AL878" s="23" t="n"/>
      <c r="AM878" s="26">
        <f>IF(G878="","",G878&amp;"|"&amp;P878)</f>
        <v/>
      </c>
      <c r="AN878" s="27">
        <f>IF(I878="","",IFERROR(DATE(VALUE(RIGHT(I878,4)),VALUE(MID(I878,4,2)),VALUE(LEFT(I878,2))),""))</f>
        <v/>
      </c>
      <c r="AO878" s="27">
        <f>IF(Y878="","",IFERROR(DATE(VALUE(RIGHT(Y878,4)),VALUE(MID(Y878,4,2)),VALUE(LEFT(Y878,2))),""))</f>
        <v/>
      </c>
      <c r="AP878" s="27">
        <f>IF(AC878="","",IFERROR(DATE(VALUE(RIGHT(AC878,4)),VALUE(MID(AC878,4,2)),VALUE(LEFT(AC878,2))),""))</f>
        <v/>
      </c>
      <c r="AQ878" s="26">
        <f>IF(AI878="","",TRIM(LEFT(AI878,FIND(" ",AI878&amp;" ")-1)))</f>
        <v/>
      </c>
      <c r="AR878" s="27">
        <f>IF(AQ878="","",IFERROR(DATE(VALUE(MID(AQ878,FIND("/",AQ878,FIND("/",AQ878)+1)+1,4)),VALUE(LEFT(AQ878,FIND("/",AQ878)-1)),VALUE(MID(AQ878,FIND("/",AQ878)+1,FIND("/",AQ878,FIND("/",AQ878)+1)-FIND("/",AQ878)-1))),""))</f>
        <v/>
      </c>
      <c r="AS878" s="26">
        <f>IF(G878="","",IF(AND(AG878&lt;&gt;"",AG878&lt;&gt;"Bayi Aracı"),"Evet","Hayır"))</f>
        <v/>
      </c>
      <c r="AT878" s="26">
        <f>IF(G878="","",IF(AND(AS878="Evet",T878="Siparişiniz Teslim Edildi"),"Evet","Hayır"))</f>
        <v/>
      </c>
      <c r="AU878" s="26">
        <f>IF(G878="","",IF(AB878="Siparişinizin Montajı Yapıldı","Evet","Hayır"))</f>
        <v/>
      </c>
      <c r="AV878" s="27">
        <f>IF(G878="","",IF(AT878="Evet",AR878,IF(AU878="Evet",AP878,"")))</f>
        <v/>
      </c>
    </row>
    <row r="879">
      <c r="A879" s="23" t="n"/>
      <c r="B879" s="23" t="n"/>
      <c r="C879" s="23" t="n"/>
      <c r="D879" s="23" t="n"/>
      <c r="E879" s="23" t="n"/>
      <c r="F879" s="23" t="n"/>
      <c r="G879" s="23" t="n"/>
      <c r="H879" s="23" t="n"/>
      <c r="I879" s="23" t="n"/>
      <c r="J879" s="23" t="n"/>
      <c r="K879" s="23" t="n"/>
      <c r="L879" s="23" t="n"/>
      <c r="M879" s="23" t="n"/>
      <c r="N879" s="23" t="n"/>
      <c r="O879" s="23" t="n"/>
      <c r="P879" s="23" t="n"/>
      <c r="Q879" s="23" t="n"/>
      <c r="R879" s="23" t="n"/>
      <c r="S879" s="23" t="n"/>
      <c r="T879" s="23" t="n"/>
      <c r="U879" s="23" t="n"/>
      <c r="V879" s="23" t="n"/>
      <c r="W879" s="23" t="n"/>
      <c r="X879" s="23" t="n"/>
      <c r="Y879" s="23" t="n"/>
      <c r="Z879" s="23" t="n"/>
      <c r="AA879" s="23" t="n"/>
      <c r="AB879" s="23" t="n"/>
      <c r="AC879" s="23" t="n"/>
      <c r="AD879" s="23" t="n"/>
      <c r="AE879" s="23" t="n"/>
      <c r="AF879" s="23" t="n"/>
      <c r="AG879" s="23" t="n"/>
      <c r="AH879" s="23" t="n"/>
      <c r="AI879" s="23" t="n"/>
      <c r="AJ879" s="23" t="n"/>
      <c r="AK879" s="23" t="n"/>
      <c r="AL879" s="23" t="n"/>
      <c r="AM879" s="26">
        <f>IF(G879="","",G879&amp;"|"&amp;P879)</f>
        <v/>
      </c>
      <c r="AN879" s="27">
        <f>IF(I879="","",IFERROR(DATE(VALUE(RIGHT(I879,4)),VALUE(MID(I879,4,2)),VALUE(LEFT(I879,2))),""))</f>
        <v/>
      </c>
      <c r="AO879" s="27">
        <f>IF(Y879="","",IFERROR(DATE(VALUE(RIGHT(Y879,4)),VALUE(MID(Y879,4,2)),VALUE(LEFT(Y879,2))),""))</f>
        <v/>
      </c>
      <c r="AP879" s="27">
        <f>IF(AC879="","",IFERROR(DATE(VALUE(RIGHT(AC879,4)),VALUE(MID(AC879,4,2)),VALUE(LEFT(AC879,2))),""))</f>
        <v/>
      </c>
      <c r="AQ879" s="26">
        <f>IF(AI879="","",TRIM(LEFT(AI879,FIND(" ",AI879&amp;" ")-1)))</f>
        <v/>
      </c>
      <c r="AR879" s="27">
        <f>IF(AQ879="","",IFERROR(DATE(VALUE(MID(AQ879,FIND("/",AQ879,FIND("/",AQ879)+1)+1,4)),VALUE(LEFT(AQ879,FIND("/",AQ879)-1)),VALUE(MID(AQ879,FIND("/",AQ879)+1,FIND("/",AQ879,FIND("/",AQ879)+1)-FIND("/",AQ879)-1))),""))</f>
        <v/>
      </c>
      <c r="AS879" s="26">
        <f>IF(G879="","",IF(AND(AG879&lt;&gt;"",AG879&lt;&gt;"Bayi Aracı"),"Evet","Hayır"))</f>
        <v/>
      </c>
      <c r="AT879" s="26">
        <f>IF(G879="","",IF(AND(AS879="Evet",T879="Siparişiniz Teslim Edildi"),"Evet","Hayır"))</f>
        <v/>
      </c>
      <c r="AU879" s="26">
        <f>IF(G879="","",IF(AB879="Siparişinizin Montajı Yapıldı","Evet","Hayır"))</f>
        <v/>
      </c>
      <c r="AV879" s="27">
        <f>IF(G879="","",IF(AT879="Evet",AR879,IF(AU879="Evet",AP879,"")))</f>
        <v/>
      </c>
    </row>
    <row r="880">
      <c r="A880" s="23" t="n"/>
      <c r="B880" s="23" t="n"/>
      <c r="C880" s="23" t="n"/>
      <c r="D880" s="23" t="n"/>
      <c r="E880" s="23" t="n"/>
      <c r="F880" s="23" t="n"/>
      <c r="G880" s="23" t="n"/>
      <c r="H880" s="23" t="n"/>
      <c r="I880" s="23" t="n"/>
      <c r="J880" s="23" t="n"/>
      <c r="K880" s="23" t="n"/>
      <c r="L880" s="23" t="n"/>
      <c r="M880" s="23" t="n"/>
      <c r="N880" s="23" t="n"/>
      <c r="O880" s="23" t="n"/>
      <c r="P880" s="23" t="n"/>
      <c r="Q880" s="23" t="n"/>
      <c r="R880" s="23" t="n"/>
      <c r="S880" s="23" t="n"/>
      <c r="T880" s="23" t="n"/>
      <c r="U880" s="23" t="n"/>
      <c r="V880" s="23" t="n"/>
      <c r="W880" s="23" t="n"/>
      <c r="X880" s="23" t="n"/>
      <c r="Y880" s="23" t="n"/>
      <c r="Z880" s="23" t="n"/>
      <c r="AA880" s="23" t="n"/>
      <c r="AB880" s="23" t="n"/>
      <c r="AC880" s="23" t="n"/>
      <c r="AD880" s="23" t="n"/>
      <c r="AE880" s="23" t="n"/>
      <c r="AF880" s="23" t="n"/>
      <c r="AG880" s="23" t="n"/>
      <c r="AH880" s="23" t="n"/>
      <c r="AI880" s="23" t="n"/>
      <c r="AJ880" s="23" t="n"/>
      <c r="AK880" s="23" t="n"/>
      <c r="AL880" s="23" t="n"/>
      <c r="AM880" s="26">
        <f>IF(G880="","",G880&amp;"|"&amp;P880)</f>
        <v/>
      </c>
      <c r="AN880" s="27">
        <f>IF(I880="","",IFERROR(DATE(VALUE(RIGHT(I880,4)),VALUE(MID(I880,4,2)),VALUE(LEFT(I880,2))),""))</f>
        <v/>
      </c>
      <c r="AO880" s="27">
        <f>IF(Y880="","",IFERROR(DATE(VALUE(RIGHT(Y880,4)),VALUE(MID(Y880,4,2)),VALUE(LEFT(Y880,2))),""))</f>
        <v/>
      </c>
      <c r="AP880" s="27">
        <f>IF(AC880="","",IFERROR(DATE(VALUE(RIGHT(AC880,4)),VALUE(MID(AC880,4,2)),VALUE(LEFT(AC880,2))),""))</f>
        <v/>
      </c>
      <c r="AQ880" s="26">
        <f>IF(AI880="","",TRIM(LEFT(AI880,FIND(" ",AI880&amp;" ")-1)))</f>
        <v/>
      </c>
      <c r="AR880" s="27">
        <f>IF(AQ880="","",IFERROR(DATE(VALUE(MID(AQ880,FIND("/",AQ880,FIND("/",AQ880)+1)+1,4)),VALUE(LEFT(AQ880,FIND("/",AQ880)-1)),VALUE(MID(AQ880,FIND("/",AQ880)+1,FIND("/",AQ880,FIND("/",AQ880)+1)-FIND("/",AQ880)-1))),""))</f>
        <v/>
      </c>
      <c r="AS880" s="26">
        <f>IF(G880="","",IF(AND(AG880&lt;&gt;"",AG880&lt;&gt;"Bayi Aracı"),"Evet","Hayır"))</f>
        <v/>
      </c>
      <c r="AT880" s="26">
        <f>IF(G880="","",IF(AND(AS880="Evet",T880="Siparişiniz Teslim Edildi"),"Evet","Hayır"))</f>
        <v/>
      </c>
      <c r="AU880" s="26">
        <f>IF(G880="","",IF(AB880="Siparişinizin Montajı Yapıldı","Evet","Hayır"))</f>
        <v/>
      </c>
      <c r="AV880" s="27">
        <f>IF(G880="","",IF(AT880="Evet",AR880,IF(AU880="Evet",AP880,"")))</f>
        <v/>
      </c>
    </row>
    <row r="881">
      <c r="A881" s="23" t="n"/>
      <c r="B881" s="23" t="n"/>
      <c r="C881" s="23" t="n"/>
      <c r="D881" s="23" t="n"/>
      <c r="E881" s="23" t="n"/>
      <c r="F881" s="23" t="n"/>
      <c r="G881" s="23" t="n"/>
      <c r="H881" s="23" t="n"/>
      <c r="I881" s="23" t="n"/>
      <c r="J881" s="23" t="n"/>
      <c r="K881" s="23" t="n"/>
      <c r="L881" s="23" t="n"/>
      <c r="M881" s="23" t="n"/>
      <c r="N881" s="23" t="n"/>
      <c r="O881" s="23" t="n"/>
      <c r="P881" s="23" t="n"/>
      <c r="Q881" s="23" t="n"/>
      <c r="R881" s="23" t="n"/>
      <c r="S881" s="23" t="n"/>
      <c r="T881" s="23" t="n"/>
      <c r="U881" s="23" t="n"/>
      <c r="V881" s="23" t="n"/>
      <c r="W881" s="23" t="n"/>
      <c r="X881" s="23" t="n"/>
      <c r="Y881" s="23" t="n"/>
      <c r="Z881" s="23" t="n"/>
      <c r="AA881" s="23" t="n"/>
      <c r="AB881" s="23" t="n"/>
      <c r="AC881" s="23" t="n"/>
      <c r="AD881" s="23" t="n"/>
      <c r="AE881" s="23" t="n"/>
      <c r="AF881" s="23" t="n"/>
      <c r="AG881" s="23" t="n"/>
      <c r="AH881" s="23" t="n"/>
      <c r="AI881" s="23" t="n"/>
      <c r="AJ881" s="23" t="n"/>
      <c r="AK881" s="23" t="n"/>
      <c r="AL881" s="23" t="n"/>
      <c r="AM881" s="26">
        <f>IF(G881="","",G881&amp;"|"&amp;P881)</f>
        <v/>
      </c>
      <c r="AN881" s="27">
        <f>IF(I881="","",IFERROR(DATE(VALUE(RIGHT(I881,4)),VALUE(MID(I881,4,2)),VALUE(LEFT(I881,2))),""))</f>
        <v/>
      </c>
      <c r="AO881" s="27">
        <f>IF(Y881="","",IFERROR(DATE(VALUE(RIGHT(Y881,4)),VALUE(MID(Y881,4,2)),VALUE(LEFT(Y881,2))),""))</f>
        <v/>
      </c>
      <c r="AP881" s="27">
        <f>IF(AC881="","",IFERROR(DATE(VALUE(RIGHT(AC881,4)),VALUE(MID(AC881,4,2)),VALUE(LEFT(AC881,2))),""))</f>
        <v/>
      </c>
      <c r="AQ881" s="26">
        <f>IF(AI881="","",TRIM(LEFT(AI881,FIND(" ",AI881&amp;" ")-1)))</f>
        <v/>
      </c>
      <c r="AR881" s="27">
        <f>IF(AQ881="","",IFERROR(DATE(VALUE(MID(AQ881,FIND("/",AQ881,FIND("/",AQ881)+1)+1,4)),VALUE(LEFT(AQ881,FIND("/",AQ881)-1)),VALUE(MID(AQ881,FIND("/",AQ881)+1,FIND("/",AQ881,FIND("/",AQ881)+1)-FIND("/",AQ881)-1))),""))</f>
        <v/>
      </c>
      <c r="AS881" s="26">
        <f>IF(G881="","",IF(AND(AG881&lt;&gt;"",AG881&lt;&gt;"Bayi Aracı"),"Evet","Hayır"))</f>
        <v/>
      </c>
      <c r="AT881" s="26">
        <f>IF(G881="","",IF(AND(AS881="Evet",T881="Siparişiniz Teslim Edildi"),"Evet","Hayır"))</f>
        <v/>
      </c>
      <c r="AU881" s="26">
        <f>IF(G881="","",IF(AB881="Siparişinizin Montajı Yapıldı","Evet","Hayır"))</f>
        <v/>
      </c>
      <c r="AV881" s="27">
        <f>IF(G881="","",IF(AT881="Evet",AR881,IF(AU881="Evet",AP881,"")))</f>
        <v/>
      </c>
    </row>
    <row r="882">
      <c r="A882" s="23" t="n"/>
      <c r="B882" s="23" t="n"/>
      <c r="C882" s="23" t="n"/>
      <c r="D882" s="23" t="n"/>
      <c r="E882" s="23" t="n"/>
      <c r="F882" s="23" t="n"/>
      <c r="G882" s="23" t="n"/>
      <c r="H882" s="23" t="n"/>
      <c r="I882" s="23" t="n"/>
      <c r="J882" s="23" t="n"/>
      <c r="K882" s="23" t="n"/>
      <c r="L882" s="23" t="n"/>
      <c r="M882" s="23" t="n"/>
      <c r="N882" s="23" t="n"/>
      <c r="O882" s="23" t="n"/>
      <c r="P882" s="23" t="n"/>
      <c r="Q882" s="23" t="n"/>
      <c r="R882" s="23" t="n"/>
      <c r="S882" s="23" t="n"/>
      <c r="T882" s="23" t="n"/>
      <c r="U882" s="23" t="n"/>
      <c r="V882" s="23" t="n"/>
      <c r="W882" s="23" t="n"/>
      <c r="X882" s="23" t="n"/>
      <c r="Y882" s="23" t="n"/>
      <c r="Z882" s="23" t="n"/>
      <c r="AA882" s="23" t="n"/>
      <c r="AB882" s="23" t="n"/>
      <c r="AC882" s="23" t="n"/>
      <c r="AD882" s="23" t="n"/>
      <c r="AE882" s="23" t="n"/>
      <c r="AF882" s="23" t="n"/>
      <c r="AG882" s="23" t="n"/>
      <c r="AH882" s="23" t="n"/>
      <c r="AI882" s="23" t="n"/>
      <c r="AJ882" s="23" t="n"/>
      <c r="AK882" s="23" t="n"/>
      <c r="AL882" s="23" t="n"/>
      <c r="AM882" s="26">
        <f>IF(G882="","",G882&amp;"|"&amp;P882)</f>
        <v/>
      </c>
      <c r="AN882" s="27">
        <f>IF(I882="","",IFERROR(DATE(VALUE(RIGHT(I882,4)),VALUE(MID(I882,4,2)),VALUE(LEFT(I882,2))),""))</f>
        <v/>
      </c>
      <c r="AO882" s="27">
        <f>IF(Y882="","",IFERROR(DATE(VALUE(RIGHT(Y882,4)),VALUE(MID(Y882,4,2)),VALUE(LEFT(Y882,2))),""))</f>
        <v/>
      </c>
      <c r="AP882" s="27">
        <f>IF(AC882="","",IFERROR(DATE(VALUE(RIGHT(AC882,4)),VALUE(MID(AC882,4,2)),VALUE(LEFT(AC882,2))),""))</f>
        <v/>
      </c>
      <c r="AQ882" s="26">
        <f>IF(AI882="","",TRIM(LEFT(AI882,FIND(" ",AI882&amp;" ")-1)))</f>
        <v/>
      </c>
      <c r="AR882" s="27">
        <f>IF(AQ882="","",IFERROR(DATE(VALUE(MID(AQ882,FIND("/",AQ882,FIND("/",AQ882)+1)+1,4)),VALUE(LEFT(AQ882,FIND("/",AQ882)-1)),VALUE(MID(AQ882,FIND("/",AQ882)+1,FIND("/",AQ882,FIND("/",AQ882)+1)-FIND("/",AQ882)-1))),""))</f>
        <v/>
      </c>
      <c r="AS882" s="26">
        <f>IF(G882="","",IF(AND(AG882&lt;&gt;"",AG882&lt;&gt;"Bayi Aracı"),"Evet","Hayır"))</f>
        <v/>
      </c>
      <c r="AT882" s="26">
        <f>IF(G882="","",IF(AND(AS882="Evet",T882="Siparişiniz Teslim Edildi"),"Evet","Hayır"))</f>
        <v/>
      </c>
      <c r="AU882" s="26">
        <f>IF(G882="","",IF(AB882="Siparişinizin Montajı Yapıldı","Evet","Hayır"))</f>
        <v/>
      </c>
      <c r="AV882" s="27">
        <f>IF(G882="","",IF(AT882="Evet",AR882,IF(AU882="Evet",AP882,"")))</f>
        <v/>
      </c>
    </row>
    <row r="883">
      <c r="A883" s="23" t="n"/>
      <c r="B883" s="23" t="n"/>
      <c r="C883" s="23" t="n"/>
      <c r="D883" s="23" t="n"/>
      <c r="E883" s="23" t="n"/>
      <c r="F883" s="23" t="n"/>
      <c r="G883" s="23" t="n"/>
      <c r="H883" s="23" t="n"/>
      <c r="I883" s="23" t="n"/>
      <c r="J883" s="23" t="n"/>
      <c r="K883" s="23" t="n"/>
      <c r="L883" s="23" t="n"/>
      <c r="M883" s="23" t="n"/>
      <c r="N883" s="23" t="n"/>
      <c r="O883" s="23" t="n"/>
      <c r="P883" s="23" t="n"/>
      <c r="Q883" s="23" t="n"/>
      <c r="R883" s="23" t="n"/>
      <c r="S883" s="23" t="n"/>
      <c r="T883" s="23" t="n"/>
      <c r="U883" s="23" t="n"/>
      <c r="V883" s="23" t="n"/>
      <c r="W883" s="23" t="n"/>
      <c r="X883" s="23" t="n"/>
      <c r="Y883" s="23" t="n"/>
      <c r="Z883" s="23" t="n"/>
      <c r="AA883" s="23" t="n"/>
      <c r="AB883" s="23" t="n"/>
      <c r="AC883" s="23" t="n"/>
      <c r="AD883" s="23" t="n"/>
      <c r="AE883" s="23" t="n"/>
      <c r="AF883" s="23" t="n"/>
      <c r="AG883" s="23" t="n"/>
      <c r="AH883" s="23" t="n"/>
      <c r="AI883" s="23" t="n"/>
      <c r="AJ883" s="23" t="n"/>
      <c r="AK883" s="23" t="n"/>
      <c r="AL883" s="23" t="n"/>
      <c r="AM883" s="26">
        <f>IF(G883="","",G883&amp;"|"&amp;P883)</f>
        <v/>
      </c>
      <c r="AN883" s="27">
        <f>IF(I883="","",IFERROR(DATE(VALUE(RIGHT(I883,4)),VALUE(MID(I883,4,2)),VALUE(LEFT(I883,2))),""))</f>
        <v/>
      </c>
      <c r="AO883" s="27">
        <f>IF(Y883="","",IFERROR(DATE(VALUE(RIGHT(Y883,4)),VALUE(MID(Y883,4,2)),VALUE(LEFT(Y883,2))),""))</f>
        <v/>
      </c>
      <c r="AP883" s="27">
        <f>IF(AC883="","",IFERROR(DATE(VALUE(RIGHT(AC883,4)),VALUE(MID(AC883,4,2)),VALUE(LEFT(AC883,2))),""))</f>
        <v/>
      </c>
      <c r="AQ883" s="26">
        <f>IF(AI883="","",TRIM(LEFT(AI883,FIND(" ",AI883&amp;" ")-1)))</f>
        <v/>
      </c>
      <c r="AR883" s="27">
        <f>IF(AQ883="","",IFERROR(DATE(VALUE(MID(AQ883,FIND("/",AQ883,FIND("/",AQ883)+1)+1,4)),VALUE(LEFT(AQ883,FIND("/",AQ883)-1)),VALUE(MID(AQ883,FIND("/",AQ883)+1,FIND("/",AQ883,FIND("/",AQ883)+1)-FIND("/",AQ883)-1))),""))</f>
        <v/>
      </c>
      <c r="AS883" s="26">
        <f>IF(G883="","",IF(AND(AG883&lt;&gt;"",AG883&lt;&gt;"Bayi Aracı"),"Evet","Hayır"))</f>
        <v/>
      </c>
      <c r="AT883" s="26">
        <f>IF(G883="","",IF(AND(AS883="Evet",T883="Siparişiniz Teslim Edildi"),"Evet","Hayır"))</f>
        <v/>
      </c>
      <c r="AU883" s="26">
        <f>IF(G883="","",IF(AB883="Siparişinizin Montajı Yapıldı","Evet","Hayır"))</f>
        <v/>
      </c>
      <c r="AV883" s="27">
        <f>IF(G883="","",IF(AT883="Evet",AR883,IF(AU883="Evet",AP883,"")))</f>
        <v/>
      </c>
    </row>
    <row r="884">
      <c r="A884" s="23" t="n"/>
      <c r="B884" s="23" t="n"/>
      <c r="C884" s="23" t="n"/>
      <c r="D884" s="23" t="n"/>
      <c r="E884" s="23" t="n"/>
      <c r="F884" s="23" t="n"/>
      <c r="G884" s="23" t="n"/>
      <c r="H884" s="23" t="n"/>
      <c r="I884" s="23" t="n"/>
      <c r="J884" s="23" t="n"/>
      <c r="K884" s="23" t="n"/>
      <c r="L884" s="23" t="n"/>
      <c r="M884" s="23" t="n"/>
      <c r="N884" s="23" t="n"/>
      <c r="O884" s="23" t="n"/>
      <c r="P884" s="23" t="n"/>
      <c r="Q884" s="23" t="n"/>
      <c r="R884" s="23" t="n"/>
      <c r="S884" s="23" t="n"/>
      <c r="T884" s="23" t="n"/>
      <c r="U884" s="23" t="n"/>
      <c r="V884" s="23" t="n"/>
      <c r="W884" s="23" t="n"/>
      <c r="X884" s="23" t="n"/>
      <c r="Y884" s="23" t="n"/>
      <c r="Z884" s="23" t="n"/>
      <c r="AA884" s="23" t="n"/>
      <c r="AB884" s="23" t="n"/>
      <c r="AC884" s="23" t="n"/>
      <c r="AD884" s="23" t="n"/>
      <c r="AE884" s="23" t="n"/>
      <c r="AF884" s="23" t="n"/>
      <c r="AG884" s="23" t="n"/>
      <c r="AH884" s="23" t="n"/>
      <c r="AI884" s="23" t="n"/>
      <c r="AJ884" s="23" t="n"/>
      <c r="AK884" s="23" t="n"/>
      <c r="AL884" s="23" t="n"/>
      <c r="AM884" s="26">
        <f>IF(G884="","",G884&amp;"|"&amp;P884)</f>
        <v/>
      </c>
      <c r="AN884" s="27">
        <f>IF(I884="","",IFERROR(DATE(VALUE(RIGHT(I884,4)),VALUE(MID(I884,4,2)),VALUE(LEFT(I884,2))),""))</f>
        <v/>
      </c>
      <c r="AO884" s="27">
        <f>IF(Y884="","",IFERROR(DATE(VALUE(RIGHT(Y884,4)),VALUE(MID(Y884,4,2)),VALUE(LEFT(Y884,2))),""))</f>
        <v/>
      </c>
      <c r="AP884" s="27">
        <f>IF(AC884="","",IFERROR(DATE(VALUE(RIGHT(AC884,4)),VALUE(MID(AC884,4,2)),VALUE(LEFT(AC884,2))),""))</f>
        <v/>
      </c>
      <c r="AQ884" s="26">
        <f>IF(AI884="","",TRIM(LEFT(AI884,FIND(" ",AI884&amp;" ")-1)))</f>
        <v/>
      </c>
      <c r="AR884" s="27">
        <f>IF(AQ884="","",IFERROR(DATE(VALUE(MID(AQ884,FIND("/",AQ884,FIND("/",AQ884)+1)+1,4)),VALUE(LEFT(AQ884,FIND("/",AQ884)-1)),VALUE(MID(AQ884,FIND("/",AQ884)+1,FIND("/",AQ884,FIND("/",AQ884)+1)-FIND("/",AQ884)-1))),""))</f>
        <v/>
      </c>
      <c r="AS884" s="26">
        <f>IF(G884="","",IF(AND(AG884&lt;&gt;"",AG884&lt;&gt;"Bayi Aracı"),"Evet","Hayır"))</f>
        <v/>
      </c>
      <c r="AT884" s="26">
        <f>IF(G884="","",IF(AND(AS884="Evet",T884="Siparişiniz Teslim Edildi"),"Evet","Hayır"))</f>
        <v/>
      </c>
      <c r="AU884" s="26">
        <f>IF(G884="","",IF(AB884="Siparişinizin Montajı Yapıldı","Evet","Hayır"))</f>
        <v/>
      </c>
      <c r="AV884" s="27">
        <f>IF(G884="","",IF(AT884="Evet",AR884,IF(AU884="Evet",AP884,"")))</f>
        <v/>
      </c>
    </row>
    <row r="885">
      <c r="A885" s="23" t="n"/>
      <c r="B885" s="23" t="n"/>
      <c r="C885" s="23" t="n"/>
      <c r="D885" s="23" t="n"/>
      <c r="E885" s="23" t="n"/>
      <c r="F885" s="23" t="n"/>
      <c r="G885" s="23" t="n"/>
      <c r="H885" s="23" t="n"/>
      <c r="I885" s="23" t="n"/>
      <c r="J885" s="23" t="n"/>
      <c r="K885" s="23" t="n"/>
      <c r="L885" s="23" t="n"/>
      <c r="M885" s="23" t="n"/>
      <c r="N885" s="23" t="n"/>
      <c r="O885" s="23" t="n"/>
      <c r="P885" s="23" t="n"/>
      <c r="Q885" s="23" t="n"/>
      <c r="R885" s="23" t="n"/>
      <c r="S885" s="23" t="n"/>
      <c r="T885" s="23" t="n"/>
      <c r="U885" s="23" t="n"/>
      <c r="V885" s="23" t="n"/>
      <c r="W885" s="23" t="n"/>
      <c r="X885" s="23" t="n"/>
      <c r="Y885" s="23" t="n"/>
      <c r="Z885" s="23" t="n"/>
      <c r="AA885" s="23" t="n"/>
      <c r="AB885" s="23" t="n"/>
      <c r="AC885" s="23" t="n"/>
      <c r="AD885" s="23" t="n"/>
      <c r="AE885" s="23" t="n"/>
      <c r="AF885" s="23" t="n"/>
      <c r="AG885" s="23" t="n"/>
      <c r="AH885" s="23" t="n"/>
      <c r="AI885" s="23" t="n"/>
      <c r="AJ885" s="23" t="n"/>
      <c r="AK885" s="23" t="n"/>
      <c r="AL885" s="23" t="n"/>
      <c r="AM885" s="26">
        <f>IF(G885="","",G885&amp;"|"&amp;P885)</f>
        <v/>
      </c>
      <c r="AN885" s="27">
        <f>IF(I885="","",IFERROR(DATE(VALUE(RIGHT(I885,4)),VALUE(MID(I885,4,2)),VALUE(LEFT(I885,2))),""))</f>
        <v/>
      </c>
      <c r="AO885" s="27">
        <f>IF(Y885="","",IFERROR(DATE(VALUE(RIGHT(Y885,4)),VALUE(MID(Y885,4,2)),VALUE(LEFT(Y885,2))),""))</f>
        <v/>
      </c>
      <c r="AP885" s="27">
        <f>IF(AC885="","",IFERROR(DATE(VALUE(RIGHT(AC885,4)),VALUE(MID(AC885,4,2)),VALUE(LEFT(AC885,2))),""))</f>
        <v/>
      </c>
      <c r="AQ885" s="26">
        <f>IF(AI885="","",TRIM(LEFT(AI885,FIND(" ",AI885&amp;" ")-1)))</f>
        <v/>
      </c>
      <c r="AR885" s="27">
        <f>IF(AQ885="","",IFERROR(DATE(VALUE(MID(AQ885,FIND("/",AQ885,FIND("/",AQ885)+1)+1,4)),VALUE(LEFT(AQ885,FIND("/",AQ885)-1)),VALUE(MID(AQ885,FIND("/",AQ885)+1,FIND("/",AQ885,FIND("/",AQ885)+1)-FIND("/",AQ885)-1))),""))</f>
        <v/>
      </c>
      <c r="AS885" s="26">
        <f>IF(G885="","",IF(AND(AG885&lt;&gt;"",AG885&lt;&gt;"Bayi Aracı"),"Evet","Hayır"))</f>
        <v/>
      </c>
      <c r="AT885" s="26">
        <f>IF(G885="","",IF(AND(AS885="Evet",T885="Siparişiniz Teslim Edildi"),"Evet","Hayır"))</f>
        <v/>
      </c>
      <c r="AU885" s="26">
        <f>IF(G885="","",IF(AB885="Siparişinizin Montajı Yapıldı","Evet","Hayır"))</f>
        <v/>
      </c>
      <c r="AV885" s="27">
        <f>IF(G885="","",IF(AT885="Evet",AR885,IF(AU885="Evet",AP885,"")))</f>
        <v/>
      </c>
    </row>
    <row r="886">
      <c r="A886" s="23" t="n"/>
      <c r="B886" s="23" t="n"/>
      <c r="C886" s="23" t="n"/>
      <c r="D886" s="23" t="n"/>
      <c r="E886" s="23" t="n"/>
      <c r="F886" s="23" t="n"/>
      <c r="G886" s="23" t="n"/>
      <c r="H886" s="23" t="n"/>
      <c r="I886" s="23" t="n"/>
      <c r="J886" s="23" t="n"/>
      <c r="K886" s="23" t="n"/>
      <c r="L886" s="23" t="n"/>
      <c r="M886" s="23" t="n"/>
      <c r="N886" s="23" t="n"/>
      <c r="O886" s="23" t="n"/>
      <c r="P886" s="23" t="n"/>
      <c r="Q886" s="23" t="n"/>
      <c r="R886" s="23" t="n"/>
      <c r="S886" s="23" t="n"/>
      <c r="T886" s="23" t="n"/>
      <c r="U886" s="23" t="n"/>
      <c r="V886" s="23" t="n"/>
      <c r="W886" s="23" t="n"/>
      <c r="X886" s="23" t="n"/>
      <c r="Y886" s="23" t="n"/>
      <c r="Z886" s="23" t="n"/>
      <c r="AA886" s="23" t="n"/>
      <c r="AB886" s="23" t="n"/>
      <c r="AC886" s="23" t="n"/>
      <c r="AD886" s="23" t="n"/>
      <c r="AE886" s="23" t="n"/>
      <c r="AF886" s="23" t="n"/>
      <c r="AG886" s="23" t="n"/>
      <c r="AH886" s="23" t="n"/>
      <c r="AI886" s="23" t="n"/>
      <c r="AJ886" s="23" t="n"/>
      <c r="AK886" s="23" t="n"/>
      <c r="AL886" s="23" t="n"/>
      <c r="AM886" s="26">
        <f>IF(G886="","",G886&amp;"|"&amp;P886)</f>
        <v/>
      </c>
      <c r="AN886" s="27">
        <f>IF(I886="","",IFERROR(DATE(VALUE(RIGHT(I886,4)),VALUE(MID(I886,4,2)),VALUE(LEFT(I886,2))),""))</f>
        <v/>
      </c>
      <c r="AO886" s="27">
        <f>IF(Y886="","",IFERROR(DATE(VALUE(RIGHT(Y886,4)),VALUE(MID(Y886,4,2)),VALUE(LEFT(Y886,2))),""))</f>
        <v/>
      </c>
      <c r="AP886" s="27">
        <f>IF(AC886="","",IFERROR(DATE(VALUE(RIGHT(AC886,4)),VALUE(MID(AC886,4,2)),VALUE(LEFT(AC886,2))),""))</f>
        <v/>
      </c>
      <c r="AQ886" s="26">
        <f>IF(AI886="","",TRIM(LEFT(AI886,FIND(" ",AI886&amp;" ")-1)))</f>
        <v/>
      </c>
      <c r="AR886" s="27">
        <f>IF(AQ886="","",IFERROR(DATE(VALUE(MID(AQ886,FIND("/",AQ886,FIND("/",AQ886)+1)+1,4)),VALUE(LEFT(AQ886,FIND("/",AQ886)-1)),VALUE(MID(AQ886,FIND("/",AQ886)+1,FIND("/",AQ886,FIND("/",AQ886)+1)-FIND("/",AQ886)-1))),""))</f>
        <v/>
      </c>
      <c r="AS886" s="26">
        <f>IF(G886="","",IF(AND(AG886&lt;&gt;"",AG886&lt;&gt;"Bayi Aracı"),"Evet","Hayır"))</f>
        <v/>
      </c>
      <c r="AT886" s="26">
        <f>IF(G886="","",IF(AND(AS886="Evet",T886="Siparişiniz Teslim Edildi"),"Evet","Hayır"))</f>
        <v/>
      </c>
      <c r="AU886" s="26">
        <f>IF(G886="","",IF(AB886="Siparişinizin Montajı Yapıldı","Evet","Hayır"))</f>
        <v/>
      </c>
      <c r="AV886" s="27">
        <f>IF(G886="","",IF(AT886="Evet",AR886,IF(AU886="Evet",AP886,"")))</f>
        <v/>
      </c>
    </row>
    <row r="887">
      <c r="A887" s="23" t="n"/>
      <c r="B887" s="23" t="n"/>
      <c r="C887" s="23" t="n"/>
      <c r="D887" s="23" t="n"/>
      <c r="E887" s="23" t="n"/>
      <c r="F887" s="23" t="n"/>
      <c r="G887" s="23" t="n"/>
      <c r="H887" s="23" t="n"/>
      <c r="I887" s="23" t="n"/>
      <c r="J887" s="23" t="n"/>
      <c r="K887" s="23" t="n"/>
      <c r="L887" s="23" t="n"/>
      <c r="M887" s="23" t="n"/>
      <c r="N887" s="23" t="n"/>
      <c r="O887" s="23" t="n"/>
      <c r="P887" s="23" t="n"/>
      <c r="Q887" s="23" t="n"/>
      <c r="R887" s="23" t="n"/>
      <c r="S887" s="23" t="n"/>
      <c r="T887" s="23" t="n"/>
      <c r="U887" s="23" t="n"/>
      <c r="V887" s="23" t="n"/>
      <c r="W887" s="23" t="n"/>
      <c r="X887" s="23" t="n"/>
      <c r="Y887" s="23" t="n"/>
      <c r="Z887" s="23" t="n"/>
      <c r="AA887" s="23" t="n"/>
      <c r="AB887" s="23" t="n"/>
      <c r="AC887" s="23" t="n"/>
      <c r="AD887" s="23" t="n"/>
      <c r="AE887" s="23" t="n"/>
      <c r="AF887" s="23" t="n"/>
      <c r="AG887" s="23" t="n"/>
      <c r="AH887" s="23" t="n"/>
      <c r="AI887" s="23" t="n"/>
      <c r="AJ887" s="23" t="n"/>
      <c r="AK887" s="23" t="n"/>
      <c r="AL887" s="23" t="n"/>
      <c r="AM887" s="26">
        <f>IF(G887="","",G887&amp;"|"&amp;P887)</f>
        <v/>
      </c>
      <c r="AN887" s="27">
        <f>IF(I887="","",IFERROR(DATE(VALUE(RIGHT(I887,4)),VALUE(MID(I887,4,2)),VALUE(LEFT(I887,2))),""))</f>
        <v/>
      </c>
      <c r="AO887" s="27">
        <f>IF(Y887="","",IFERROR(DATE(VALUE(RIGHT(Y887,4)),VALUE(MID(Y887,4,2)),VALUE(LEFT(Y887,2))),""))</f>
        <v/>
      </c>
      <c r="AP887" s="27">
        <f>IF(AC887="","",IFERROR(DATE(VALUE(RIGHT(AC887,4)),VALUE(MID(AC887,4,2)),VALUE(LEFT(AC887,2))),""))</f>
        <v/>
      </c>
      <c r="AQ887" s="26">
        <f>IF(AI887="","",TRIM(LEFT(AI887,FIND(" ",AI887&amp;" ")-1)))</f>
        <v/>
      </c>
      <c r="AR887" s="27">
        <f>IF(AQ887="","",IFERROR(DATE(VALUE(MID(AQ887,FIND("/",AQ887,FIND("/",AQ887)+1)+1,4)),VALUE(LEFT(AQ887,FIND("/",AQ887)-1)),VALUE(MID(AQ887,FIND("/",AQ887)+1,FIND("/",AQ887,FIND("/",AQ887)+1)-FIND("/",AQ887)-1))),""))</f>
        <v/>
      </c>
      <c r="AS887" s="26">
        <f>IF(G887="","",IF(AND(AG887&lt;&gt;"",AG887&lt;&gt;"Bayi Aracı"),"Evet","Hayır"))</f>
        <v/>
      </c>
      <c r="AT887" s="26">
        <f>IF(G887="","",IF(AND(AS887="Evet",T887="Siparişiniz Teslim Edildi"),"Evet","Hayır"))</f>
        <v/>
      </c>
      <c r="AU887" s="26">
        <f>IF(G887="","",IF(AB887="Siparişinizin Montajı Yapıldı","Evet","Hayır"))</f>
        <v/>
      </c>
      <c r="AV887" s="27">
        <f>IF(G887="","",IF(AT887="Evet",AR887,IF(AU887="Evet",AP887,"")))</f>
        <v/>
      </c>
    </row>
    <row r="888">
      <c r="A888" s="23" t="n"/>
      <c r="B888" s="23" t="n"/>
      <c r="C888" s="23" t="n"/>
      <c r="D888" s="23" t="n"/>
      <c r="E888" s="23" t="n"/>
      <c r="F888" s="23" t="n"/>
      <c r="G888" s="23" t="n"/>
      <c r="H888" s="23" t="n"/>
      <c r="I888" s="23" t="n"/>
      <c r="J888" s="23" t="n"/>
      <c r="K888" s="23" t="n"/>
      <c r="L888" s="23" t="n"/>
      <c r="M888" s="23" t="n"/>
      <c r="N888" s="23" t="n"/>
      <c r="O888" s="23" t="n"/>
      <c r="P888" s="23" t="n"/>
      <c r="Q888" s="23" t="n"/>
      <c r="R888" s="23" t="n"/>
      <c r="S888" s="23" t="n"/>
      <c r="T888" s="23" t="n"/>
      <c r="U888" s="23" t="n"/>
      <c r="V888" s="23" t="n"/>
      <c r="W888" s="23" t="n"/>
      <c r="X888" s="23" t="n"/>
      <c r="Y888" s="23" t="n"/>
      <c r="Z888" s="23" t="n"/>
      <c r="AA888" s="23" t="n"/>
      <c r="AB888" s="23" t="n"/>
      <c r="AC888" s="23" t="n"/>
      <c r="AD888" s="23" t="n"/>
      <c r="AE888" s="23" t="n"/>
      <c r="AF888" s="23" t="n"/>
      <c r="AG888" s="23" t="n"/>
      <c r="AH888" s="23" t="n"/>
      <c r="AI888" s="23" t="n"/>
      <c r="AJ888" s="23" t="n"/>
      <c r="AK888" s="23" t="n"/>
      <c r="AL888" s="23" t="n"/>
      <c r="AM888" s="26">
        <f>IF(G888="","",G888&amp;"|"&amp;P888)</f>
        <v/>
      </c>
      <c r="AN888" s="27">
        <f>IF(I888="","",IFERROR(DATE(VALUE(RIGHT(I888,4)),VALUE(MID(I888,4,2)),VALUE(LEFT(I888,2))),""))</f>
        <v/>
      </c>
      <c r="AO888" s="27">
        <f>IF(Y888="","",IFERROR(DATE(VALUE(RIGHT(Y888,4)),VALUE(MID(Y888,4,2)),VALUE(LEFT(Y888,2))),""))</f>
        <v/>
      </c>
      <c r="AP888" s="27">
        <f>IF(AC888="","",IFERROR(DATE(VALUE(RIGHT(AC888,4)),VALUE(MID(AC888,4,2)),VALUE(LEFT(AC888,2))),""))</f>
        <v/>
      </c>
      <c r="AQ888" s="26">
        <f>IF(AI888="","",TRIM(LEFT(AI888,FIND(" ",AI888&amp;" ")-1)))</f>
        <v/>
      </c>
      <c r="AR888" s="27">
        <f>IF(AQ888="","",IFERROR(DATE(VALUE(MID(AQ888,FIND("/",AQ888,FIND("/",AQ888)+1)+1,4)),VALUE(LEFT(AQ888,FIND("/",AQ888)-1)),VALUE(MID(AQ888,FIND("/",AQ888)+1,FIND("/",AQ888,FIND("/",AQ888)+1)-FIND("/",AQ888)-1))),""))</f>
        <v/>
      </c>
      <c r="AS888" s="26">
        <f>IF(G888="","",IF(AND(AG888&lt;&gt;"",AG888&lt;&gt;"Bayi Aracı"),"Evet","Hayır"))</f>
        <v/>
      </c>
      <c r="AT888" s="26">
        <f>IF(G888="","",IF(AND(AS888="Evet",T888="Siparişiniz Teslim Edildi"),"Evet","Hayır"))</f>
        <v/>
      </c>
      <c r="AU888" s="26">
        <f>IF(G888="","",IF(AB888="Siparişinizin Montajı Yapıldı","Evet","Hayır"))</f>
        <v/>
      </c>
      <c r="AV888" s="27">
        <f>IF(G888="","",IF(AT888="Evet",AR888,IF(AU888="Evet",AP888,"")))</f>
        <v/>
      </c>
    </row>
    <row r="889">
      <c r="A889" s="23" t="n"/>
      <c r="B889" s="23" t="n"/>
      <c r="C889" s="23" t="n"/>
      <c r="D889" s="23" t="n"/>
      <c r="E889" s="23" t="n"/>
      <c r="F889" s="23" t="n"/>
      <c r="G889" s="23" t="n"/>
      <c r="H889" s="23" t="n"/>
      <c r="I889" s="23" t="n"/>
      <c r="J889" s="23" t="n"/>
      <c r="K889" s="23" t="n"/>
      <c r="L889" s="23" t="n"/>
      <c r="M889" s="23" t="n"/>
      <c r="N889" s="23" t="n"/>
      <c r="O889" s="23" t="n"/>
      <c r="P889" s="23" t="n"/>
      <c r="Q889" s="23" t="n"/>
      <c r="R889" s="23" t="n"/>
      <c r="S889" s="23" t="n"/>
      <c r="T889" s="23" t="n"/>
      <c r="U889" s="23" t="n"/>
      <c r="V889" s="23" t="n"/>
      <c r="W889" s="23" t="n"/>
      <c r="X889" s="23" t="n"/>
      <c r="Y889" s="23" t="n"/>
      <c r="Z889" s="23" t="n"/>
      <c r="AA889" s="23" t="n"/>
      <c r="AB889" s="23" t="n"/>
      <c r="AC889" s="23" t="n"/>
      <c r="AD889" s="23" t="n"/>
      <c r="AE889" s="23" t="n"/>
      <c r="AF889" s="23" t="n"/>
      <c r="AG889" s="23" t="n"/>
      <c r="AH889" s="23" t="n"/>
      <c r="AI889" s="23" t="n"/>
      <c r="AJ889" s="23" t="n"/>
      <c r="AK889" s="23" t="n"/>
      <c r="AL889" s="23" t="n"/>
      <c r="AM889" s="26">
        <f>IF(G889="","",G889&amp;"|"&amp;P889)</f>
        <v/>
      </c>
      <c r="AN889" s="27">
        <f>IF(I889="","",IFERROR(DATE(VALUE(RIGHT(I889,4)),VALUE(MID(I889,4,2)),VALUE(LEFT(I889,2))),""))</f>
        <v/>
      </c>
      <c r="AO889" s="27">
        <f>IF(Y889="","",IFERROR(DATE(VALUE(RIGHT(Y889,4)),VALUE(MID(Y889,4,2)),VALUE(LEFT(Y889,2))),""))</f>
        <v/>
      </c>
      <c r="AP889" s="27">
        <f>IF(AC889="","",IFERROR(DATE(VALUE(RIGHT(AC889,4)),VALUE(MID(AC889,4,2)),VALUE(LEFT(AC889,2))),""))</f>
        <v/>
      </c>
      <c r="AQ889" s="26">
        <f>IF(AI889="","",TRIM(LEFT(AI889,FIND(" ",AI889&amp;" ")-1)))</f>
        <v/>
      </c>
      <c r="AR889" s="27">
        <f>IF(AQ889="","",IFERROR(DATE(VALUE(MID(AQ889,FIND("/",AQ889,FIND("/",AQ889)+1)+1,4)),VALUE(LEFT(AQ889,FIND("/",AQ889)-1)),VALUE(MID(AQ889,FIND("/",AQ889)+1,FIND("/",AQ889,FIND("/",AQ889)+1)-FIND("/",AQ889)-1))),""))</f>
        <v/>
      </c>
      <c r="AS889" s="26">
        <f>IF(G889="","",IF(AND(AG889&lt;&gt;"",AG889&lt;&gt;"Bayi Aracı"),"Evet","Hayır"))</f>
        <v/>
      </c>
      <c r="AT889" s="26">
        <f>IF(G889="","",IF(AND(AS889="Evet",T889="Siparişiniz Teslim Edildi"),"Evet","Hayır"))</f>
        <v/>
      </c>
      <c r="AU889" s="26">
        <f>IF(G889="","",IF(AB889="Siparişinizin Montajı Yapıldı","Evet","Hayır"))</f>
        <v/>
      </c>
      <c r="AV889" s="27">
        <f>IF(G889="","",IF(AT889="Evet",AR889,IF(AU889="Evet",AP889,"")))</f>
        <v/>
      </c>
    </row>
    <row r="890">
      <c r="A890" s="23" t="n"/>
      <c r="B890" s="23" t="n"/>
      <c r="C890" s="23" t="n"/>
      <c r="D890" s="23" t="n"/>
      <c r="E890" s="23" t="n"/>
      <c r="F890" s="23" t="n"/>
      <c r="G890" s="23" t="n"/>
      <c r="H890" s="23" t="n"/>
      <c r="I890" s="23" t="n"/>
      <c r="J890" s="23" t="n"/>
      <c r="K890" s="23" t="n"/>
      <c r="L890" s="23" t="n"/>
      <c r="M890" s="23" t="n"/>
      <c r="N890" s="23" t="n"/>
      <c r="O890" s="23" t="n"/>
      <c r="P890" s="23" t="n"/>
      <c r="Q890" s="23" t="n"/>
      <c r="R890" s="23" t="n"/>
      <c r="S890" s="23" t="n"/>
      <c r="T890" s="23" t="n"/>
      <c r="U890" s="23" t="n"/>
      <c r="V890" s="23" t="n"/>
      <c r="W890" s="23" t="n"/>
      <c r="X890" s="23" t="n"/>
      <c r="Y890" s="23" t="n"/>
      <c r="Z890" s="23" t="n"/>
      <c r="AA890" s="23" t="n"/>
      <c r="AB890" s="23" t="n"/>
      <c r="AC890" s="23" t="n"/>
      <c r="AD890" s="23" t="n"/>
      <c r="AE890" s="23" t="n"/>
      <c r="AF890" s="23" t="n"/>
      <c r="AG890" s="23" t="n"/>
      <c r="AH890" s="23" t="n"/>
      <c r="AI890" s="23" t="n"/>
      <c r="AJ890" s="23" t="n"/>
      <c r="AK890" s="23" t="n"/>
      <c r="AL890" s="23" t="n"/>
      <c r="AM890" s="26">
        <f>IF(G890="","",G890&amp;"|"&amp;P890)</f>
        <v/>
      </c>
      <c r="AN890" s="27">
        <f>IF(I890="","",IFERROR(DATE(VALUE(RIGHT(I890,4)),VALUE(MID(I890,4,2)),VALUE(LEFT(I890,2))),""))</f>
        <v/>
      </c>
      <c r="AO890" s="27">
        <f>IF(Y890="","",IFERROR(DATE(VALUE(RIGHT(Y890,4)),VALUE(MID(Y890,4,2)),VALUE(LEFT(Y890,2))),""))</f>
        <v/>
      </c>
      <c r="AP890" s="27">
        <f>IF(AC890="","",IFERROR(DATE(VALUE(RIGHT(AC890,4)),VALUE(MID(AC890,4,2)),VALUE(LEFT(AC890,2))),""))</f>
        <v/>
      </c>
      <c r="AQ890" s="26">
        <f>IF(AI890="","",TRIM(LEFT(AI890,FIND(" ",AI890&amp;" ")-1)))</f>
        <v/>
      </c>
      <c r="AR890" s="27">
        <f>IF(AQ890="","",IFERROR(DATE(VALUE(MID(AQ890,FIND("/",AQ890,FIND("/",AQ890)+1)+1,4)),VALUE(LEFT(AQ890,FIND("/",AQ890)-1)),VALUE(MID(AQ890,FIND("/",AQ890)+1,FIND("/",AQ890,FIND("/",AQ890)+1)-FIND("/",AQ890)-1))),""))</f>
        <v/>
      </c>
      <c r="AS890" s="26">
        <f>IF(G890="","",IF(AND(AG890&lt;&gt;"",AG890&lt;&gt;"Bayi Aracı"),"Evet","Hayır"))</f>
        <v/>
      </c>
      <c r="AT890" s="26">
        <f>IF(G890="","",IF(AND(AS890="Evet",T890="Siparişiniz Teslim Edildi"),"Evet","Hayır"))</f>
        <v/>
      </c>
      <c r="AU890" s="26">
        <f>IF(G890="","",IF(AB890="Siparişinizin Montajı Yapıldı","Evet","Hayır"))</f>
        <v/>
      </c>
      <c r="AV890" s="27">
        <f>IF(G890="","",IF(AT890="Evet",AR890,IF(AU890="Evet",AP890,"")))</f>
        <v/>
      </c>
    </row>
    <row r="891">
      <c r="A891" s="23" t="n"/>
      <c r="B891" s="23" t="n"/>
      <c r="C891" s="23" t="n"/>
      <c r="D891" s="23" t="n"/>
      <c r="E891" s="23" t="n"/>
      <c r="F891" s="23" t="n"/>
      <c r="G891" s="23" t="n"/>
      <c r="H891" s="23" t="n"/>
      <c r="I891" s="23" t="n"/>
      <c r="J891" s="23" t="n"/>
      <c r="K891" s="23" t="n"/>
      <c r="L891" s="23" t="n"/>
      <c r="M891" s="23" t="n"/>
      <c r="N891" s="23" t="n"/>
      <c r="O891" s="23" t="n"/>
      <c r="P891" s="23" t="n"/>
      <c r="Q891" s="23" t="n"/>
      <c r="R891" s="23" t="n"/>
      <c r="S891" s="23" t="n"/>
      <c r="T891" s="23" t="n"/>
      <c r="U891" s="23" t="n"/>
      <c r="V891" s="23" t="n"/>
      <c r="W891" s="23" t="n"/>
      <c r="X891" s="23" t="n"/>
      <c r="Y891" s="23" t="n"/>
      <c r="Z891" s="23" t="n"/>
      <c r="AA891" s="23" t="n"/>
      <c r="AB891" s="23" t="n"/>
      <c r="AC891" s="23" t="n"/>
      <c r="AD891" s="23" t="n"/>
      <c r="AE891" s="23" t="n"/>
      <c r="AF891" s="23" t="n"/>
      <c r="AG891" s="23" t="n"/>
      <c r="AH891" s="23" t="n"/>
      <c r="AI891" s="23" t="n"/>
      <c r="AJ891" s="23" t="n"/>
      <c r="AK891" s="23" t="n"/>
      <c r="AL891" s="23" t="n"/>
      <c r="AM891" s="26">
        <f>IF(G891="","",G891&amp;"|"&amp;P891)</f>
        <v/>
      </c>
      <c r="AN891" s="27">
        <f>IF(I891="","",IFERROR(DATE(VALUE(RIGHT(I891,4)),VALUE(MID(I891,4,2)),VALUE(LEFT(I891,2))),""))</f>
        <v/>
      </c>
      <c r="AO891" s="27">
        <f>IF(Y891="","",IFERROR(DATE(VALUE(RIGHT(Y891,4)),VALUE(MID(Y891,4,2)),VALUE(LEFT(Y891,2))),""))</f>
        <v/>
      </c>
      <c r="AP891" s="27">
        <f>IF(AC891="","",IFERROR(DATE(VALUE(RIGHT(AC891,4)),VALUE(MID(AC891,4,2)),VALUE(LEFT(AC891,2))),""))</f>
        <v/>
      </c>
      <c r="AQ891" s="26">
        <f>IF(AI891="","",TRIM(LEFT(AI891,FIND(" ",AI891&amp;" ")-1)))</f>
        <v/>
      </c>
      <c r="AR891" s="27">
        <f>IF(AQ891="","",IFERROR(DATE(VALUE(MID(AQ891,FIND("/",AQ891,FIND("/",AQ891)+1)+1,4)),VALUE(LEFT(AQ891,FIND("/",AQ891)-1)),VALUE(MID(AQ891,FIND("/",AQ891)+1,FIND("/",AQ891,FIND("/",AQ891)+1)-FIND("/",AQ891)-1))),""))</f>
        <v/>
      </c>
      <c r="AS891" s="26">
        <f>IF(G891="","",IF(AND(AG891&lt;&gt;"",AG891&lt;&gt;"Bayi Aracı"),"Evet","Hayır"))</f>
        <v/>
      </c>
      <c r="AT891" s="26">
        <f>IF(G891="","",IF(AND(AS891="Evet",T891="Siparişiniz Teslim Edildi"),"Evet","Hayır"))</f>
        <v/>
      </c>
      <c r="AU891" s="26">
        <f>IF(G891="","",IF(AB891="Siparişinizin Montajı Yapıldı","Evet","Hayır"))</f>
        <v/>
      </c>
      <c r="AV891" s="27">
        <f>IF(G891="","",IF(AT891="Evet",AR891,IF(AU891="Evet",AP891,"")))</f>
        <v/>
      </c>
    </row>
    <row r="892">
      <c r="A892" s="23" t="n"/>
      <c r="B892" s="23" t="n"/>
      <c r="C892" s="23" t="n"/>
      <c r="D892" s="23" t="n"/>
      <c r="E892" s="23" t="n"/>
      <c r="F892" s="23" t="n"/>
      <c r="G892" s="23" t="n"/>
      <c r="H892" s="23" t="n"/>
      <c r="I892" s="23" t="n"/>
      <c r="J892" s="23" t="n"/>
      <c r="K892" s="23" t="n"/>
      <c r="L892" s="23" t="n"/>
      <c r="M892" s="23" t="n"/>
      <c r="N892" s="23" t="n"/>
      <c r="O892" s="23" t="n"/>
      <c r="P892" s="23" t="n"/>
      <c r="Q892" s="23" t="n"/>
      <c r="R892" s="23" t="n"/>
      <c r="S892" s="23" t="n"/>
      <c r="T892" s="23" t="n"/>
      <c r="U892" s="23" t="n"/>
      <c r="V892" s="23" t="n"/>
      <c r="W892" s="23" t="n"/>
      <c r="X892" s="23" t="n"/>
      <c r="Y892" s="23" t="n"/>
      <c r="Z892" s="23" t="n"/>
      <c r="AA892" s="23" t="n"/>
      <c r="AB892" s="23" t="n"/>
      <c r="AC892" s="23" t="n"/>
      <c r="AD892" s="23" t="n"/>
      <c r="AE892" s="23" t="n"/>
      <c r="AF892" s="23" t="n"/>
      <c r="AG892" s="23" t="n"/>
      <c r="AH892" s="23" t="n"/>
      <c r="AI892" s="23" t="n"/>
      <c r="AJ892" s="23" t="n"/>
      <c r="AK892" s="23" t="n"/>
      <c r="AL892" s="23" t="n"/>
      <c r="AM892" s="26">
        <f>IF(G892="","",G892&amp;"|"&amp;P892)</f>
        <v/>
      </c>
      <c r="AN892" s="27">
        <f>IF(I892="","",IFERROR(DATE(VALUE(RIGHT(I892,4)),VALUE(MID(I892,4,2)),VALUE(LEFT(I892,2))),""))</f>
        <v/>
      </c>
      <c r="AO892" s="27">
        <f>IF(Y892="","",IFERROR(DATE(VALUE(RIGHT(Y892,4)),VALUE(MID(Y892,4,2)),VALUE(LEFT(Y892,2))),""))</f>
        <v/>
      </c>
      <c r="AP892" s="27">
        <f>IF(AC892="","",IFERROR(DATE(VALUE(RIGHT(AC892,4)),VALUE(MID(AC892,4,2)),VALUE(LEFT(AC892,2))),""))</f>
        <v/>
      </c>
      <c r="AQ892" s="26">
        <f>IF(AI892="","",TRIM(LEFT(AI892,FIND(" ",AI892&amp;" ")-1)))</f>
        <v/>
      </c>
      <c r="AR892" s="27">
        <f>IF(AQ892="","",IFERROR(DATE(VALUE(MID(AQ892,FIND("/",AQ892,FIND("/",AQ892)+1)+1,4)),VALUE(LEFT(AQ892,FIND("/",AQ892)-1)),VALUE(MID(AQ892,FIND("/",AQ892)+1,FIND("/",AQ892,FIND("/",AQ892)+1)-FIND("/",AQ892)-1))),""))</f>
        <v/>
      </c>
      <c r="AS892" s="26">
        <f>IF(G892="","",IF(AND(AG892&lt;&gt;"",AG892&lt;&gt;"Bayi Aracı"),"Evet","Hayır"))</f>
        <v/>
      </c>
      <c r="AT892" s="26">
        <f>IF(G892="","",IF(AND(AS892="Evet",T892="Siparişiniz Teslim Edildi"),"Evet","Hayır"))</f>
        <v/>
      </c>
      <c r="AU892" s="26">
        <f>IF(G892="","",IF(AB892="Siparişinizin Montajı Yapıldı","Evet","Hayır"))</f>
        <v/>
      </c>
      <c r="AV892" s="27">
        <f>IF(G892="","",IF(AT892="Evet",AR892,IF(AU892="Evet",AP892,"")))</f>
        <v/>
      </c>
    </row>
    <row r="893">
      <c r="A893" s="23" t="n"/>
      <c r="B893" s="23" t="n"/>
      <c r="C893" s="23" t="n"/>
      <c r="D893" s="23" t="n"/>
      <c r="E893" s="23" t="n"/>
      <c r="F893" s="23" t="n"/>
      <c r="G893" s="23" t="n"/>
      <c r="H893" s="23" t="n"/>
      <c r="I893" s="23" t="n"/>
      <c r="J893" s="23" t="n"/>
      <c r="K893" s="23" t="n"/>
      <c r="L893" s="23" t="n"/>
      <c r="M893" s="23" t="n"/>
      <c r="N893" s="23" t="n"/>
      <c r="O893" s="23" t="n"/>
      <c r="P893" s="23" t="n"/>
      <c r="Q893" s="23" t="n"/>
      <c r="R893" s="23" t="n"/>
      <c r="S893" s="23" t="n"/>
      <c r="T893" s="23" t="n"/>
      <c r="U893" s="23" t="n"/>
      <c r="V893" s="23" t="n"/>
      <c r="W893" s="23" t="n"/>
      <c r="X893" s="23" t="n"/>
      <c r="Y893" s="23" t="n"/>
      <c r="Z893" s="23" t="n"/>
      <c r="AA893" s="23" t="n"/>
      <c r="AB893" s="23" t="n"/>
      <c r="AC893" s="23" t="n"/>
      <c r="AD893" s="23" t="n"/>
      <c r="AE893" s="23" t="n"/>
      <c r="AF893" s="23" t="n"/>
      <c r="AG893" s="23" t="n"/>
      <c r="AH893" s="23" t="n"/>
      <c r="AI893" s="23" t="n"/>
      <c r="AJ893" s="23" t="n"/>
      <c r="AK893" s="23" t="n"/>
      <c r="AL893" s="23" t="n"/>
      <c r="AM893" s="26">
        <f>IF(G893="","",G893&amp;"|"&amp;P893)</f>
        <v/>
      </c>
      <c r="AN893" s="27">
        <f>IF(I893="","",IFERROR(DATE(VALUE(RIGHT(I893,4)),VALUE(MID(I893,4,2)),VALUE(LEFT(I893,2))),""))</f>
        <v/>
      </c>
      <c r="AO893" s="27">
        <f>IF(Y893="","",IFERROR(DATE(VALUE(RIGHT(Y893,4)),VALUE(MID(Y893,4,2)),VALUE(LEFT(Y893,2))),""))</f>
        <v/>
      </c>
      <c r="AP893" s="27">
        <f>IF(AC893="","",IFERROR(DATE(VALUE(RIGHT(AC893,4)),VALUE(MID(AC893,4,2)),VALUE(LEFT(AC893,2))),""))</f>
        <v/>
      </c>
      <c r="AQ893" s="26">
        <f>IF(AI893="","",TRIM(LEFT(AI893,FIND(" ",AI893&amp;" ")-1)))</f>
        <v/>
      </c>
      <c r="AR893" s="27">
        <f>IF(AQ893="","",IFERROR(DATE(VALUE(MID(AQ893,FIND("/",AQ893,FIND("/",AQ893)+1)+1,4)),VALUE(LEFT(AQ893,FIND("/",AQ893)-1)),VALUE(MID(AQ893,FIND("/",AQ893)+1,FIND("/",AQ893,FIND("/",AQ893)+1)-FIND("/",AQ893)-1))),""))</f>
        <v/>
      </c>
      <c r="AS893" s="26">
        <f>IF(G893="","",IF(AND(AG893&lt;&gt;"",AG893&lt;&gt;"Bayi Aracı"),"Evet","Hayır"))</f>
        <v/>
      </c>
      <c r="AT893" s="26">
        <f>IF(G893="","",IF(AND(AS893="Evet",T893="Siparişiniz Teslim Edildi"),"Evet","Hayır"))</f>
        <v/>
      </c>
      <c r="AU893" s="26">
        <f>IF(G893="","",IF(AB893="Siparişinizin Montajı Yapıldı","Evet","Hayır"))</f>
        <v/>
      </c>
      <c r="AV893" s="27">
        <f>IF(G893="","",IF(AT893="Evet",AR893,IF(AU893="Evet",AP893,"")))</f>
        <v/>
      </c>
    </row>
    <row r="894">
      <c r="A894" s="23" t="n"/>
      <c r="B894" s="23" t="n"/>
      <c r="C894" s="23" t="n"/>
      <c r="D894" s="23" t="n"/>
      <c r="E894" s="23" t="n"/>
      <c r="F894" s="23" t="n"/>
      <c r="G894" s="23" t="n"/>
      <c r="H894" s="23" t="n"/>
      <c r="I894" s="23" t="n"/>
      <c r="J894" s="23" t="n"/>
      <c r="K894" s="23" t="n"/>
      <c r="L894" s="23" t="n"/>
      <c r="M894" s="23" t="n"/>
      <c r="N894" s="23" t="n"/>
      <c r="O894" s="23" t="n"/>
      <c r="P894" s="23" t="n"/>
      <c r="Q894" s="23" t="n"/>
      <c r="R894" s="23" t="n"/>
      <c r="S894" s="23" t="n"/>
      <c r="T894" s="23" t="n"/>
      <c r="U894" s="23" t="n"/>
      <c r="V894" s="23" t="n"/>
      <c r="W894" s="23" t="n"/>
      <c r="X894" s="23" t="n"/>
      <c r="Y894" s="23" t="n"/>
      <c r="Z894" s="23" t="n"/>
      <c r="AA894" s="23" t="n"/>
      <c r="AB894" s="23" t="n"/>
      <c r="AC894" s="23" t="n"/>
      <c r="AD894" s="23" t="n"/>
      <c r="AE894" s="23" t="n"/>
      <c r="AF894" s="23" t="n"/>
      <c r="AG894" s="23" t="n"/>
      <c r="AH894" s="23" t="n"/>
      <c r="AI894" s="23" t="n"/>
      <c r="AJ894" s="23" t="n"/>
      <c r="AK894" s="23" t="n"/>
      <c r="AL894" s="23" t="n"/>
      <c r="AM894" s="26">
        <f>IF(G894="","",G894&amp;"|"&amp;P894)</f>
        <v/>
      </c>
      <c r="AN894" s="27">
        <f>IF(I894="","",IFERROR(DATE(VALUE(RIGHT(I894,4)),VALUE(MID(I894,4,2)),VALUE(LEFT(I894,2))),""))</f>
        <v/>
      </c>
      <c r="AO894" s="27">
        <f>IF(Y894="","",IFERROR(DATE(VALUE(RIGHT(Y894,4)),VALUE(MID(Y894,4,2)),VALUE(LEFT(Y894,2))),""))</f>
        <v/>
      </c>
      <c r="AP894" s="27">
        <f>IF(AC894="","",IFERROR(DATE(VALUE(RIGHT(AC894,4)),VALUE(MID(AC894,4,2)),VALUE(LEFT(AC894,2))),""))</f>
        <v/>
      </c>
      <c r="AQ894" s="26">
        <f>IF(AI894="","",TRIM(LEFT(AI894,FIND(" ",AI894&amp;" ")-1)))</f>
        <v/>
      </c>
      <c r="AR894" s="27">
        <f>IF(AQ894="","",IFERROR(DATE(VALUE(MID(AQ894,FIND("/",AQ894,FIND("/",AQ894)+1)+1,4)),VALUE(LEFT(AQ894,FIND("/",AQ894)-1)),VALUE(MID(AQ894,FIND("/",AQ894)+1,FIND("/",AQ894,FIND("/",AQ894)+1)-FIND("/",AQ894)-1))),""))</f>
        <v/>
      </c>
      <c r="AS894" s="26">
        <f>IF(G894="","",IF(AND(AG894&lt;&gt;"",AG894&lt;&gt;"Bayi Aracı"),"Evet","Hayır"))</f>
        <v/>
      </c>
      <c r="AT894" s="26">
        <f>IF(G894="","",IF(AND(AS894="Evet",T894="Siparişiniz Teslim Edildi"),"Evet","Hayır"))</f>
        <v/>
      </c>
      <c r="AU894" s="26">
        <f>IF(G894="","",IF(AB894="Siparişinizin Montajı Yapıldı","Evet","Hayır"))</f>
        <v/>
      </c>
      <c r="AV894" s="27">
        <f>IF(G894="","",IF(AT894="Evet",AR894,IF(AU894="Evet",AP894,"")))</f>
        <v/>
      </c>
    </row>
    <row r="895">
      <c r="A895" s="23" t="n"/>
      <c r="B895" s="23" t="n"/>
      <c r="C895" s="23" t="n"/>
      <c r="D895" s="23" t="n"/>
      <c r="E895" s="23" t="n"/>
      <c r="F895" s="23" t="n"/>
      <c r="G895" s="23" t="n"/>
      <c r="H895" s="23" t="n"/>
      <c r="I895" s="23" t="n"/>
      <c r="J895" s="23" t="n"/>
      <c r="K895" s="23" t="n"/>
      <c r="L895" s="23" t="n"/>
      <c r="M895" s="23" t="n"/>
      <c r="N895" s="23" t="n"/>
      <c r="O895" s="23" t="n"/>
      <c r="P895" s="23" t="n"/>
      <c r="Q895" s="23" t="n"/>
      <c r="R895" s="23" t="n"/>
      <c r="S895" s="23" t="n"/>
      <c r="T895" s="23" t="n"/>
      <c r="U895" s="23" t="n"/>
      <c r="V895" s="23" t="n"/>
      <c r="W895" s="23" t="n"/>
      <c r="X895" s="23" t="n"/>
      <c r="Y895" s="23" t="n"/>
      <c r="Z895" s="23" t="n"/>
      <c r="AA895" s="23" t="n"/>
      <c r="AB895" s="23" t="n"/>
      <c r="AC895" s="23" t="n"/>
      <c r="AD895" s="23" t="n"/>
      <c r="AE895" s="23" t="n"/>
      <c r="AF895" s="23" t="n"/>
      <c r="AG895" s="23" t="n"/>
      <c r="AH895" s="23" t="n"/>
      <c r="AI895" s="23" t="n"/>
      <c r="AJ895" s="23" t="n"/>
      <c r="AK895" s="23" t="n"/>
      <c r="AL895" s="23" t="n"/>
      <c r="AM895" s="26">
        <f>IF(G895="","",G895&amp;"|"&amp;P895)</f>
        <v/>
      </c>
      <c r="AN895" s="27">
        <f>IF(I895="","",IFERROR(DATE(VALUE(RIGHT(I895,4)),VALUE(MID(I895,4,2)),VALUE(LEFT(I895,2))),""))</f>
        <v/>
      </c>
      <c r="AO895" s="27">
        <f>IF(Y895="","",IFERROR(DATE(VALUE(RIGHT(Y895,4)),VALUE(MID(Y895,4,2)),VALUE(LEFT(Y895,2))),""))</f>
        <v/>
      </c>
      <c r="AP895" s="27">
        <f>IF(AC895="","",IFERROR(DATE(VALUE(RIGHT(AC895,4)),VALUE(MID(AC895,4,2)),VALUE(LEFT(AC895,2))),""))</f>
        <v/>
      </c>
      <c r="AQ895" s="26">
        <f>IF(AI895="","",TRIM(LEFT(AI895,FIND(" ",AI895&amp;" ")-1)))</f>
        <v/>
      </c>
      <c r="AR895" s="27">
        <f>IF(AQ895="","",IFERROR(DATE(VALUE(MID(AQ895,FIND("/",AQ895,FIND("/",AQ895)+1)+1,4)),VALUE(LEFT(AQ895,FIND("/",AQ895)-1)),VALUE(MID(AQ895,FIND("/",AQ895)+1,FIND("/",AQ895,FIND("/",AQ895)+1)-FIND("/",AQ895)-1))),""))</f>
        <v/>
      </c>
      <c r="AS895" s="26">
        <f>IF(G895="","",IF(AND(AG895&lt;&gt;"",AG895&lt;&gt;"Bayi Aracı"),"Evet","Hayır"))</f>
        <v/>
      </c>
      <c r="AT895" s="26">
        <f>IF(G895="","",IF(AND(AS895="Evet",T895="Siparişiniz Teslim Edildi"),"Evet","Hayır"))</f>
        <v/>
      </c>
      <c r="AU895" s="26">
        <f>IF(G895="","",IF(AB895="Siparişinizin Montajı Yapıldı","Evet","Hayır"))</f>
        <v/>
      </c>
      <c r="AV895" s="27">
        <f>IF(G895="","",IF(AT895="Evet",AR895,IF(AU895="Evet",AP895,"")))</f>
        <v/>
      </c>
    </row>
    <row r="896">
      <c r="A896" s="23" t="n"/>
      <c r="B896" s="23" t="n"/>
      <c r="C896" s="23" t="n"/>
      <c r="D896" s="23" t="n"/>
      <c r="E896" s="23" t="n"/>
      <c r="F896" s="23" t="n"/>
      <c r="G896" s="23" t="n"/>
      <c r="H896" s="23" t="n"/>
      <c r="I896" s="23" t="n"/>
      <c r="J896" s="23" t="n"/>
      <c r="K896" s="23" t="n"/>
      <c r="L896" s="23" t="n"/>
      <c r="M896" s="23" t="n"/>
      <c r="N896" s="23" t="n"/>
      <c r="O896" s="23" t="n"/>
      <c r="P896" s="23" t="n"/>
      <c r="Q896" s="23" t="n"/>
      <c r="R896" s="23" t="n"/>
      <c r="S896" s="23" t="n"/>
      <c r="T896" s="23" t="n"/>
      <c r="U896" s="23" t="n"/>
      <c r="V896" s="23" t="n"/>
      <c r="W896" s="23" t="n"/>
      <c r="X896" s="23" t="n"/>
      <c r="Y896" s="23" t="n"/>
      <c r="Z896" s="23" t="n"/>
      <c r="AA896" s="23" t="n"/>
      <c r="AB896" s="23" t="n"/>
      <c r="AC896" s="23" t="n"/>
      <c r="AD896" s="23" t="n"/>
      <c r="AE896" s="23" t="n"/>
      <c r="AF896" s="23" t="n"/>
      <c r="AG896" s="23" t="n"/>
      <c r="AH896" s="23" t="n"/>
      <c r="AI896" s="23" t="n"/>
      <c r="AJ896" s="23" t="n"/>
      <c r="AK896" s="23" t="n"/>
      <c r="AL896" s="23" t="n"/>
      <c r="AM896" s="26">
        <f>IF(G896="","",G896&amp;"|"&amp;P896)</f>
        <v/>
      </c>
      <c r="AN896" s="27">
        <f>IF(I896="","",IFERROR(DATE(VALUE(RIGHT(I896,4)),VALUE(MID(I896,4,2)),VALUE(LEFT(I896,2))),""))</f>
        <v/>
      </c>
      <c r="AO896" s="27">
        <f>IF(Y896="","",IFERROR(DATE(VALUE(RIGHT(Y896,4)),VALUE(MID(Y896,4,2)),VALUE(LEFT(Y896,2))),""))</f>
        <v/>
      </c>
      <c r="AP896" s="27">
        <f>IF(AC896="","",IFERROR(DATE(VALUE(RIGHT(AC896,4)),VALUE(MID(AC896,4,2)),VALUE(LEFT(AC896,2))),""))</f>
        <v/>
      </c>
      <c r="AQ896" s="26">
        <f>IF(AI896="","",TRIM(LEFT(AI896,FIND(" ",AI896&amp;" ")-1)))</f>
        <v/>
      </c>
      <c r="AR896" s="27">
        <f>IF(AQ896="","",IFERROR(DATE(VALUE(MID(AQ896,FIND("/",AQ896,FIND("/",AQ896)+1)+1,4)),VALUE(LEFT(AQ896,FIND("/",AQ896)-1)),VALUE(MID(AQ896,FIND("/",AQ896)+1,FIND("/",AQ896,FIND("/",AQ896)+1)-FIND("/",AQ896)-1))),""))</f>
        <v/>
      </c>
      <c r="AS896" s="26">
        <f>IF(G896="","",IF(AND(AG896&lt;&gt;"",AG896&lt;&gt;"Bayi Aracı"),"Evet","Hayır"))</f>
        <v/>
      </c>
      <c r="AT896" s="26">
        <f>IF(G896="","",IF(AND(AS896="Evet",T896="Siparişiniz Teslim Edildi"),"Evet","Hayır"))</f>
        <v/>
      </c>
      <c r="AU896" s="26">
        <f>IF(G896="","",IF(AB896="Siparişinizin Montajı Yapıldı","Evet","Hayır"))</f>
        <v/>
      </c>
      <c r="AV896" s="27">
        <f>IF(G896="","",IF(AT896="Evet",AR896,IF(AU896="Evet",AP896,"")))</f>
        <v/>
      </c>
    </row>
    <row r="897">
      <c r="A897" s="23" t="n"/>
      <c r="B897" s="23" t="n"/>
      <c r="C897" s="23" t="n"/>
      <c r="D897" s="23" t="n"/>
      <c r="E897" s="23" t="n"/>
      <c r="F897" s="23" t="n"/>
      <c r="G897" s="23" t="n"/>
      <c r="H897" s="23" t="n"/>
      <c r="I897" s="23" t="n"/>
      <c r="J897" s="23" t="n"/>
      <c r="K897" s="23" t="n"/>
      <c r="L897" s="23" t="n"/>
      <c r="M897" s="23" t="n"/>
      <c r="N897" s="23" t="n"/>
      <c r="O897" s="23" t="n"/>
      <c r="P897" s="23" t="n"/>
      <c r="Q897" s="23" t="n"/>
      <c r="R897" s="23" t="n"/>
      <c r="S897" s="23" t="n"/>
      <c r="T897" s="23" t="n"/>
      <c r="U897" s="23" t="n"/>
      <c r="V897" s="23" t="n"/>
      <c r="W897" s="23" t="n"/>
      <c r="X897" s="23" t="n"/>
      <c r="Y897" s="23" t="n"/>
      <c r="Z897" s="23" t="n"/>
      <c r="AA897" s="23" t="n"/>
      <c r="AB897" s="23" t="n"/>
      <c r="AC897" s="23" t="n"/>
      <c r="AD897" s="23" t="n"/>
      <c r="AE897" s="23" t="n"/>
      <c r="AF897" s="23" t="n"/>
      <c r="AG897" s="23" t="n"/>
      <c r="AH897" s="23" t="n"/>
      <c r="AI897" s="23" t="n"/>
      <c r="AJ897" s="23" t="n"/>
      <c r="AK897" s="23" t="n"/>
      <c r="AL897" s="23" t="n"/>
      <c r="AM897" s="26">
        <f>IF(G897="","",G897&amp;"|"&amp;P897)</f>
        <v/>
      </c>
      <c r="AN897" s="27">
        <f>IF(I897="","",IFERROR(DATE(VALUE(RIGHT(I897,4)),VALUE(MID(I897,4,2)),VALUE(LEFT(I897,2))),""))</f>
        <v/>
      </c>
      <c r="AO897" s="27">
        <f>IF(Y897="","",IFERROR(DATE(VALUE(RIGHT(Y897,4)),VALUE(MID(Y897,4,2)),VALUE(LEFT(Y897,2))),""))</f>
        <v/>
      </c>
      <c r="AP897" s="27">
        <f>IF(AC897="","",IFERROR(DATE(VALUE(RIGHT(AC897,4)),VALUE(MID(AC897,4,2)),VALUE(LEFT(AC897,2))),""))</f>
        <v/>
      </c>
      <c r="AQ897" s="26">
        <f>IF(AI897="","",TRIM(LEFT(AI897,FIND(" ",AI897&amp;" ")-1)))</f>
        <v/>
      </c>
      <c r="AR897" s="27">
        <f>IF(AQ897="","",IFERROR(DATE(VALUE(MID(AQ897,FIND("/",AQ897,FIND("/",AQ897)+1)+1,4)),VALUE(LEFT(AQ897,FIND("/",AQ897)-1)),VALUE(MID(AQ897,FIND("/",AQ897)+1,FIND("/",AQ897,FIND("/",AQ897)+1)-FIND("/",AQ897)-1))),""))</f>
        <v/>
      </c>
      <c r="AS897" s="26">
        <f>IF(G897="","",IF(AND(AG897&lt;&gt;"",AG897&lt;&gt;"Bayi Aracı"),"Evet","Hayır"))</f>
        <v/>
      </c>
      <c r="AT897" s="26">
        <f>IF(G897="","",IF(AND(AS897="Evet",T897="Siparişiniz Teslim Edildi"),"Evet","Hayır"))</f>
        <v/>
      </c>
      <c r="AU897" s="26">
        <f>IF(G897="","",IF(AB897="Siparişinizin Montajı Yapıldı","Evet","Hayır"))</f>
        <v/>
      </c>
      <c r="AV897" s="27">
        <f>IF(G897="","",IF(AT897="Evet",AR897,IF(AU897="Evet",AP897,"")))</f>
        <v/>
      </c>
    </row>
    <row r="898">
      <c r="A898" s="23" t="n"/>
      <c r="B898" s="23" t="n"/>
      <c r="C898" s="23" t="n"/>
      <c r="D898" s="23" t="n"/>
      <c r="E898" s="23" t="n"/>
      <c r="F898" s="23" t="n"/>
      <c r="G898" s="23" t="n"/>
      <c r="H898" s="23" t="n"/>
      <c r="I898" s="23" t="n"/>
      <c r="J898" s="23" t="n"/>
      <c r="K898" s="23" t="n"/>
      <c r="L898" s="23" t="n"/>
      <c r="M898" s="23" t="n"/>
      <c r="N898" s="23" t="n"/>
      <c r="O898" s="23" t="n"/>
      <c r="P898" s="23" t="n"/>
      <c r="Q898" s="23" t="n"/>
      <c r="R898" s="23" t="n"/>
      <c r="S898" s="23" t="n"/>
      <c r="T898" s="23" t="n"/>
      <c r="U898" s="23" t="n"/>
      <c r="V898" s="23" t="n"/>
      <c r="W898" s="23" t="n"/>
      <c r="X898" s="23" t="n"/>
      <c r="Y898" s="23" t="n"/>
      <c r="Z898" s="23" t="n"/>
      <c r="AA898" s="23" t="n"/>
      <c r="AB898" s="23" t="n"/>
      <c r="AC898" s="23" t="n"/>
      <c r="AD898" s="23" t="n"/>
      <c r="AE898" s="23" t="n"/>
      <c r="AF898" s="23" t="n"/>
      <c r="AG898" s="23" t="n"/>
      <c r="AH898" s="23" t="n"/>
      <c r="AI898" s="23" t="n"/>
      <c r="AJ898" s="23" t="n"/>
      <c r="AK898" s="23" t="n"/>
      <c r="AL898" s="23" t="n"/>
      <c r="AM898" s="26">
        <f>IF(G898="","",G898&amp;"|"&amp;P898)</f>
        <v/>
      </c>
      <c r="AN898" s="27">
        <f>IF(I898="","",IFERROR(DATE(VALUE(RIGHT(I898,4)),VALUE(MID(I898,4,2)),VALUE(LEFT(I898,2))),""))</f>
        <v/>
      </c>
      <c r="AO898" s="27">
        <f>IF(Y898="","",IFERROR(DATE(VALUE(RIGHT(Y898,4)),VALUE(MID(Y898,4,2)),VALUE(LEFT(Y898,2))),""))</f>
        <v/>
      </c>
      <c r="AP898" s="27">
        <f>IF(AC898="","",IFERROR(DATE(VALUE(RIGHT(AC898,4)),VALUE(MID(AC898,4,2)),VALUE(LEFT(AC898,2))),""))</f>
        <v/>
      </c>
      <c r="AQ898" s="26">
        <f>IF(AI898="","",TRIM(LEFT(AI898,FIND(" ",AI898&amp;" ")-1)))</f>
        <v/>
      </c>
      <c r="AR898" s="27">
        <f>IF(AQ898="","",IFERROR(DATE(VALUE(MID(AQ898,FIND("/",AQ898,FIND("/",AQ898)+1)+1,4)),VALUE(LEFT(AQ898,FIND("/",AQ898)-1)),VALUE(MID(AQ898,FIND("/",AQ898)+1,FIND("/",AQ898,FIND("/",AQ898)+1)-FIND("/",AQ898)-1))),""))</f>
        <v/>
      </c>
      <c r="AS898" s="26">
        <f>IF(G898="","",IF(AND(AG898&lt;&gt;"",AG898&lt;&gt;"Bayi Aracı"),"Evet","Hayır"))</f>
        <v/>
      </c>
      <c r="AT898" s="26">
        <f>IF(G898="","",IF(AND(AS898="Evet",T898="Siparişiniz Teslim Edildi"),"Evet","Hayır"))</f>
        <v/>
      </c>
      <c r="AU898" s="26">
        <f>IF(G898="","",IF(AB898="Siparişinizin Montajı Yapıldı","Evet","Hayır"))</f>
        <v/>
      </c>
      <c r="AV898" s="27">
        <f>IF(G898="","",IF(AT898="Evet",AR898,IF(AU898="Evet",AP898,"")))</f>
        <v/>
      </c>
    </row>
    <row r="899">
      <c r="A899" s="23" t="n"/>
      <c r="B899" s="23" t="n"/>
      <c r="C899" s="23" t="n"/>
      <c r="D899" s="23" t="n"/>
      <c r="E899" s="23" t="n"/>
      <c r="F899" s="23" t="n"/>
      <c r="G899" s="23" t="n"/>
      <c r="H899" s="23" t="n"/>
      <c r="I899" s="23" t="n"/>
      <c r="J899" s="23" t="n"/>
      <c r="K899" s="23" t="n"/>
      <c r="L899" s="23" t="n"/>
      <c r="M899" s="23" t="n"/>
      <c r="N899" s="23" t="n"/>
      <c r="O899" s="23" t="n"/>
      <c r="P899" s="23" t="n"/>
      <c r="Q899" s="23" t="n"/>
      <c r="R899" s="23" t="n"/>
      <c r="S899" s="23" t="n"/>
      <c r="T899" s="23" t="n"/>
      <c r="U899" s="23" t="n"/>
      <c r="V899" s="23" t="n"/>
      <c r="W899" s="23" t="n"/>
      <c r="X899" s="23" t="n"/>
      <c r="Y899" s="23" t="n"/>
      <c r="Z899" s="23" t="n"/>
      <c r="AA899" s="23" t="n"/>
      <c r="AB899" s="23" t="n"/>
      <c r="AC899" s="23" t="n"/>
      <c r="AD899" s="23" t="n"/>
      <c r="AE899" s="23" t="n"/>
      <c r="AF899" s="23" t="n"/>
      <c r="AG899" s="23" t="n"/>
      <c r="AH899" s="23" t="n"/>
      <c r="AI899" s="23" t="n"/>
      <c r="AJ899" s="23" t="n"/>
      <c r="AK899" s="23" t="n"/>
      <c r="AL899" s="23" t="n"/>
      <c r="AM899" s="26">
        <f>IF(G899="","",G899&amp;"|"&amp;P899)</f>
        <v/>
      </c>
      <c r="AN899" s="27">
        <f>IF(I899="","",IFERROR(DATE(VALUE(RIGHT(I899,4)),VALUE(MID(I899,4,2)),VALUE(LEFT(I899,2))),""))</f>
        <v/>
      </c>
      <c r="AO899" s="27">
        <f>IF(Y899="","",IFERROR(DATE(VALUE(RIGHT(Y899,4)),VALUE(MID(Y899,4,2)),VALUE(LEFT(Y899,2))),""))</f>
        <v/>
      </c>
      <c r="AP899" s="27">
        <f>IF(AC899="","",IFERROR(DATE(VALUE(RIGHT(AC899,4)),VALUE(MID(AC899,4,2)),VALUE(LEFT(AC899,2))),""))</f>
        <v/>
      </c>
      <c r="AQ899" s="26">
        <f>IF(AI899="","",TRIM(LEFT(AI899,FIND(" ",AI899&amp;" ")-1)))</f>
        <v/>
      </c>
      <c r="AR899" s="27">
        <f>IF(AQ899="","",IFERROR(DATE(VALUE(MID(AQ899,FIND("/",AQ899,FIND("/",AQ899)+1)+1,4)),VALUE(LEFT(AQ899,FIND("/",AQ899)-1)),VALUE(MID(AQ899,FIND("/",AQ899)+1,FIND("/",AQ899,FIND("/",AQ899)+1)-FIND("/",AQ899)-1))),""))</f>
        <v/>
      </c>
      <c r="AS899" s="26">
        <f>IF(G899="","",IF(AND(AG899&lt;&gt;"",AG899&lt;&gt;"Bayi Aracı"),"Evet","Hayır"))</f>
        <v/>
      </c>
      <c r="AT899" s="26">
        <f>IF(G899="","",IF(AND(AS899="Evet",T899="Siparişiniz Teslim Edildi"),"Evet","Hayır"))</f>
        <v/>
      </c>
      <c r="AU899" s="26">
        <f>IF(G899="","",IF(AB899="Siparişinizin Montajı Yapıldı","Evet","Hayır"))</f>
        <v/>
      </c>
      <c r="AV899" s="27">
        <f>IF(G899="","",IF(AT899="Evet",AR899,IF(AU899="Evet",AP899,"")))</f>
        <v/>
      </c>
    </row>
    <row r="900">
      <c r="A900" s="23" t="n"/>
      <c r="B900" s="23" t="n"/>
      <c r="C900" s="23" t="n"/>
      <c r="D900" s="23" t="n"/>
      <c r="E900" s="23" t="n"/>
      <c r="F900" s="23" t="n"/>
      <c r="G900" s="23" t="n"/>
      <c r="H900" s="23" t="n"/>
      <c r="I900" s="23" t="n"/>
      <c r="J900" s="23" t="n"/>
      <c r="K900" s="23" t="n"/>
      <c r="L900" s="23" t="n"/>
      <c r="M900" s="23" t="n"/>
      <c r="N900" s="23" t="n"/>
      <c r="O900" s="23" t="n"/>
      <c r="P900" s="23" t="n"/>
      <c r="Q900" s="23" t="n"/>
      <c r="R900" s="23" t="n"/>
      <c r="S900" s="23" t="n"/>
      <c r="T900" s="23" t="n"/>
      <c r="U900" s="23" t="n"/>
      <c r="V900" s="23" t="n"/>
      <c r="W900" s="23" t="n"/>
      <c r="X900" s="23" t="n"/>
      <c r="Y900" s="23" t="n"/>
      <c r="Z900" s="23" t="n"/>
      <c r="AA900" s="23" t="n"/>
      <c r="AB900" s="23" t="n"/>
      <c r="AC900" s="23" t="n"/>
      <c r="AD900" s="23" t="n"/>
      <c r="AE900" s="23" t="n"/>
      <c r="AF900" s="23" t="n"/>
      <c r="AG900" s="23" t="n"/>
      <c r="AH900" s="23" t="n"/>
      <c r="AI900" s="23" t="n"/>
      <c r="AJ900" s="23" t="n"/>
      <c r="AK900" s="23" t="n"/>
      <c r="AL900" s="23" t="n"/>
      <c r="AM900" s="26">
        <f>IF(G900="","",G900&amp;"|"&amp;P900)</f>
        <v/>
      </c>
      <c r="AN900" s="27">
        <f>IF(I900="","",IFERROR(DATE(VALUE(RIGHT(I900,4)),VALUE(MID(I900,4,2)),VALUE(LEFT(I900,2))),""))</f>
        <v/>
      </c>
      <c r="AO900" s="27">
        <f>IF(Y900="","",IFERROR(DATE(VALUE(RIGHT(Y900,4)),VALUE(MID(Y900,4,2)),VALUE(LEFT(Y900,2))),""))</f>
        <v/>
      </c>
      <c r="AP900" s="27">
        <f>IF(AC900="","",IFERROR(DATE(VALUE(RIGHT(AC900,4)),VALUE(MID(AC900,4,2)),VALUE(LEFT(AC900,2))),""))</f>
        <v/>
      </c>
      <c r="AQ900" s="26">
        <f>IF(AI900="","",TRIM(LEFT(AI900,FIND(" ",AI900&amp;" ")-1)))</f>
        <v/>
      </c>
      <c r="AR900" s="27">
        <f>IF(AQ900="","",IFERROR(DATE(VALUE(MID(AQ900,FIND("/",AQ900,FIND("/",AQ900)+1)+1,4)),VALUE(LEFT(AQ900,FIND("/",AQ900)-1)),VALUE(MID(AQ900,FIND("/",AQ900)+1,FIND("/",AQ900,FIND("/",AQ900)+1)-FIND("/",AQ900)-1))),""))</f>
        <v/>
      </c>
      <c r="AS900" s="26">
        <f>IF(G900="","",IF(AND(AG900&lt;&gt;"",AG900&lt;&gt;"Bayi Aracı"),"Evet","Hayır"))</f>
        <v/>
      </c>
      <c r="AT900" s="26">
        <f>IF(G900="","",IF(AND(AS900="Evet",T900="Siparişiniz Teslim Edildi"),"Evet","Hayır"))</f>
        <v/>
      </c>
      <c r="AU900" s="26">
        <f>IF(G900="","",IF(AB900="Siparişinizin Montajı Yapıldı","Evet","Hayır"))</f>
        <v/>
      </c>
      <c r="AV900" s="27">
        <f>IF(G900="","",IF(AT900="Evet",AR900,IF(AU900="Evet",AP900,"")))</f>
        <v/>
      </c>
    </row>
    <row r="901">
      <c r="A901" s="23" t="n"/>
      <c r="B901" s="23" t="n"/>
      <c r="C901" s="23" t="n"/>
      <c r="D901" s="23" t="n"/>
      <c r="E901" s="23" t="n"/>
      <c r="F901" s="23" t="n"/>
      <c r="G901" s="23" t="n"/>
      <c r="H901" s="23" t="n"/>
      <c r="I901" s="23" t="n"/>
      <c r="J901" s="23" t="n"/>
      <c r="K901" s="23" t="n"/>
      <c r="L901" s="23" t="n"/>
      <c r="M901" s="23" t="n"/>
      <c r="N901" s="23" t="n"/>
      <c r="O901" s="23" t="n"/>
      <c r="P901" s="23" t="n"/>
      <c r="Q901" s="23" t="n"/>
      <c r="R901" s="23" t="n"/>
      <c r="S901" s="23" t="n"/>
      <c r="T901" s="23" t="n"/>
      <c r="U901" s="23" t="n"/>
      <c r="V901" s="23" t="n"/>
      <c r="W901" s="23" t="n"/>
      <c r="X901" s="23" t="n"/>
      <c r="Y901" s="23" t="n"/>
      <c r="Z901" s="23" t="n"/>
      <c r="AA901" s="23" t="n"/>
      <c r="AB901" s="23" t="n"/>
      <c r="AC901" s="23" t="n"/>
      <c r="AD901" s="23" t="n"/>
      <c r="AE901" s="23" t="n"/>
      <c r="AF901" s="23" t="n"/>
      <c r="AG901" s="23" t="n"/>
      <c r="AH901" s="23" t="n"/>
      <c r="AI901" s="23" t="n"/>
      <c r="AJ901" s="23" t="n"/>
      <c r="AK901" s="23" t="n"/>
      <c r="AL901" s="23" t="n"/>
      <c r="AM901" s="26">
        <f>IF(G901="","",G901&amp;"|"&amp;P901)</f>
        <v/>
      </c>
      <c r="AN901" s="27">
        <f>IF(I901="","",IFERROR(DATE(VALUE(RIGHT(I901,4)),VALUE(MID(I901,4,2)),VALUE(LEFT(I901,2))),""))</f>
        <v/>
      </c>
      <c r="AO901" s="27">
        <f>IF(Y901="","",IFERROR(DATE(VALUE(RIGHT(Y901,4)),VALUE(MID(Y901,4,2)),VALUE(LEFT(Y901,2))),""))</f>
        <v/>
      </c>
      <c r="AP901" s="27">
        <f>IF(AC901="","",IFERROR(DATE(VALUE(RIGHT(AC901,4)),VALUE(MID(AC901,4,2)),VALUE(LEFT(AC901,2))),""))</f>
        <v/>
      </c>
      <c r="AQ901" s="26">
        <f>IF(AI901="","",TRIM(LEFT(AI901,FIND(" ",AI901&amp;" ")-1)))</f>
        <v/>
      </c>
      <c r="AR901" s="27">
        <f>IF(AQ901="","",IFERROR(DATE(VALUE(MID(AQ901,FIND("/",AQ901,FIND("/",AQ901)+1)+1,4)),VALUE(LEFT(AQ901,FIND("/",AQ901)-1)),VALUE(MID(AQ901,FIND("/",AQ901)+1,FIND("/",AQ901,FIND("/",AQ901)+1)-FIND("/",AQ901)-1))),""))</f>
        <v/>
      </c>
      <c r="AS901" s="26">
        <f>IF(G901="","",IF(AND(AG901&lt;&gt;"",AG901&lt;&gt;"Bayi Aracı"),"Evet","Hayır"))</f>
        <v/>
      </c>
      <c r="AT901" s="26">
        <f>IF(G901="","",IF(AND(AS901="Evet",T901="Siparişiniz Teslim Edildi"),"Evet","Hayır"))</f>
        <v/>
      </c>
      <c r="AU901" s="26">
        <f>IF(G901="","",IF(AB901="Siparişinizin Montajı Yapıldı","Evet","Hayır"))</f>
        <v/>
      </c>
      <c r="AV901" s="27">
        <f>IF(G901="","",IF(AT901="Evet",AR901,IF(AU901="Evet",AP901,"")))</f>
        <v/>
      </c>
    </row>
    <row r="902">
      <c r="A902" s="23" t="n"/>
      <c r="B902" s="23" t="n"/>
      <c r="C902" s="23" t="n"/>
      <c r="D902" s="23" t="n"/>
      <c r="E902" s="23" t="n"/>
      <c r="F902" s="23" t="n"/>
      <c r="G902" s="23" t="n"/>
      <c r="H902" s="23" t="n"/>
      <c r="I902" s="23" t="n"/>
      <c r="J902" s="23" t="n"/>
      <c r="K902" s="23" t="n"/>
      <c r="L902" s="23" t="n"/>
      <c r="M902" s="23" t="n"/>
      <c r="N902" s="23" t="n"/>
      <c r="O902" s="23" t="n"/>
      <c r="P902" s="23" t="n"/>
      <c r="Q902" s="23" t="n"/>
      <c r="R902" s="23" t="n"/>
      <c r="S902" s="23" t="n"/>
      <c r="T902" s="23" t="n"/>
      <c r="U902" s="23" t="n"/>
      <c r="V902" s="23" t="n"/>
      <c r="W902" s="23" t="n"/>
      <c r="X902" s="23" t="n"/>
      <c r="Y902" s="23" t="n"/>
      <c r="Z902" s="23" t="n"/>
      <c r="AA902" s="23" t="n"/>
      <c r="AB902" s="23" t="n"/>
      <c r="AC902" s="23" t="n"/>
      <c r="AD902" s="23" t="n"/>
      <c r="AE902" s="23" t="n"/>
      <c r="AF902" s="23" t="n"/>
      <c r="AG902" s="23" t="n"/>
      <c r="AH902" s="23" t="n"/>
      <c r="AI902" s="23" t="n"/>
      <c r="AJ902" s="23" t="n"/>
      <c r="AK902" s="23" t="n"/>
      <c r="AL902" s="23" t="n"/>
      <c r="AM902" s="26">
        <f>IF(G902="","",G902&amp;"|"&amp;P902)</f>
        <v/>
      </c>
      <c r="AN902" s="27">
        <f>IF(I902="","",IFERROR(DATE(VALUE(RIGHT(I902,4)),VALUE(MID(I902,4,2)),VALUE(LEFT(I902,2))),""))</f>
        <v/>
      </c>
      <c r="AO902" s="27">
        <f>IF(Y902="","",IFERROR(DATE(VALUE(RIGHT(Y902,4)),VALUE(MID(Y902,4,2)),VALUE(LEFT(Y902,2))),""))</f>
        <v/>
      </c>
      <c r="AP902" s="27">
        <f>IF(AC902="","",IFERROR(DATE(VALUE(RIGHT(AC902,4)),VALUE(MID(AC902,4,2)),VALUE(LEFT(AC902,2))),""))</f>
        <v/>
      </c>
      <c r="AQ902" s="26">
        <f>IF(AI902="","",TRIM(LEFT(AI902,FIND(" ",AI902&amp;" ")-1)))</f>
        <v/>
      </c>
      <c r="AR902" s="27">
        <f>IF(AQ902="","",IFERROR(DATE(VALUE(MID(AQ902,FIND("/",AQ902,FIND("/",AQ902)+1)+1,4)),VALUE(LEFT(AQ902,FIND("/",AQ902)-1)),VALUE(MID(AQ902,FIND("/",AQ902)+1,FIND("/",AQ902,FIND("/",AQ902)+1)-FIND("/",AQ902)-1))),""))</f>
        <v/>
      </c>
      <c r="AS902" s="26">
        <f>IF(G902="","",IF(AND(AG902&lt;&gt;"",AG902&lt;&gt;"Bayi Aracı"),"Evet","Hayır"))</f>
        <v/>
      </c>
      <c r="AT902" s="26">
        <f>IF(G902="","",IF(AND(AS902="Evet",T902="Siparişiniz Teslim Edildi"),"Evet","Hayır"))</f>
        <v/>
      </c>
      <c r="AU902" s="26">
        <f>IF(G902="","",IF(AB902="Siparişinizin Montajı Yapıldı","Evet","Hayır"))</f>
        <v/>
      </c>
      <c r="AV902" s="27">
        <f>IF(G902="","",IF(AT902="Evet",AR902,IF(AU902="Evet",AP902,"")))</f>
        <v/>
      </c>
    </row>
    <row r="903">
      <c r="A903" s="23" t="n"/>
      <c r="B903" s="23" t="n"/>
      <c r="C903" s="23" t="n"/>
      <c r="D903" s="23" t="n"/>
      <c r="E903" s="23" t="n"/>
      <c r="F903" s="23" t="n"/>
      <c r="G903" s="23" t="n"/>
      <c r="H903" s="23" t="n"/>
      <c r="I903" s="23" t="n"/>
      <c r="J903" s="23" t="n"/>
      <c r="K903" s="23" t="n"/>
      <c r="L903" s="23" t="n"/>
      <c r="M903" s="23" t="n"/>
      <c r="N903" s="23" t="n"/>
      <c r="O903" s="23" t="n"/>
      <c r="P903" s="23" t="n"/>
      <c r="Q903" s="23" t="n"/>
      <c r="R903" s="23" t="n"/>
      <c r="S903" s="23" t="n"/>
      <c r="T903" s="23" t="n"/>
      <c r="U903" s="23" t="n"/>
      <c r="V903" s="23" t="n"/>
      <c r="W903" s="23" t="n"/>
      <c r="X903" s="23" t="n"/>
      <c r="Y903" s="23" t="n"/>
      <c r="Z903" s="23" t="n"/>
      <c r="AA903" s="23" t="n"/>
      <c r="AB903" s="23" t="n"/>
      <c r="AC903" s="23" t="n"/>
      <c r="AD903" s="23" t="n"/>
      <c r="AE903" s="23" t="n"/>
      <c r="AF903" s="23" t="n"/>
      <c r="AG903" s="23" t="n"/>
      <c r="AH903" s="23" t="n"/>
      <c r="AI903" s="23" t="n"/>
      <c r="AJ903" s="23" t="n"/>
      <c r="AK903" s="23" t="n"/>
      <c r="AL903" s="23" t="n"/>
      <c r="AM903" s="26">
        <f>IF(G903="","",G903&amp;"|"&amp;P903)</f>
        <v/>
      </c>
      <c r="AN903" s="27">
        <f>IF(I903="","",IFERROR(DATE(VALUE(RIGHT(I903,4)),VALUE(MID(I903,4,2)),VALUE(LEFT(I903,2))),""))</f>
        <v/>
      </c>
      <c r="AO903" s="27">
        <f>IF(Y903="","",IFERROR(DATE(VALUE(RIGHT(Y903,4)),VALUE(MID(Y903,4,2)),VALUE(LEFT(Y903,2))),""))</f>
        <v/>
      </c>
      <c r="AP903" s="27">
        <f>IF(AC903="","",IFERROR(DATE(VALUE(RIGHT(AC903,4)),VALUE(MID(AC903,4,2)),VALUE(LEFT(AC903,2))),""))</f>
        <v/>
      </c>
      <c r="AQ903" s="26">
        <f>IF(AI903="","",TRIM(LEFT(AI903,FIND(" ",AI903&amp;" ")-1)))</f>
        <v/>
      </c>
      <c r="AR903" s="27">
        <f>IF(AQ903="","",IFERROR(DATE(VALUE(MID(AQ903,FIND("/",AQ903,FIND("/",AQ903)+1)+1,4)),VALUE(LEFT(AQ903,FIND("/",AQ903)-1)),VALUE(MID(AQ903,FIND("/",AQ903)+1,FIND("/",AQ903,FIND("/",AQ903)+1)-FIND("/",AQ903)-1))),""))</f>
        <v/>
      </c>
      <c r="AS903" s="26">
        <f>IF(G903="","",IF(AND(AG903&lt;&gt;"",AG903&lt;&gt;"Bayi Aracı"),"Evet","Hayır"))</f>
        <v/>
      </c>
      <c r="AT903" s="26">
        <f>IF(G903="","",IF(AND(AS903="Evet",T903="Siparişiniz Teslim Edildi"),"Evet","Hayır"))</f>
        <v/>
      </c>
      <c r="AU903" s="26">
        <f>IF(G903="","",IF(AB903="Siparişinizin Montajı Yapıldı","Evet","Hayır"))</f>
        <v/>
      </c>
      <c r="AV903" s="27">
        <f>IF(G903="","",IF(AT903="Evet",AR903,IF(AU903="Evet",AP903,"")))</f>
        <v/>
      </c>
    </row>
    <row r="904">
      <c r="A904" s="23" t="n"/>
      <c r="B904" s="23" t="n"/>
      <c r="C904" s="23" t="n"/>
      <c r="D904" s="23" t="n"/>
      <c r="E904" s="23" t="n"/>
      <c r="F904" s="23" t="n"/>
      <c r="G904" s="23" t="n"/>
      <c r="H904" s="23" t="n"/>
      <c r="I904" s="23" t="n"/>
      <c r="J904" s="23" t="n"/>
      <c r="K904" s="23" t="n"/>
      <c r="L904" s="23" t="n"/>
      <c r="M904" s="23" t="n"/>
      <c r="N904" s="23" t="n"/>
      <c r="O904" s="23" t="n"/>
      <c r="P904" s="23" t="n"/>
      <c r="Q904" s="23" t="n"/>
      <c r="R904" s="23" t="n"/>
      <c r="S904" s="23" t="n"/>
      <c r="T904" s="23" t="n"/>
      <c r="U904" s="23" t="n"/>
      <c r="V904" s="23" t="n"/>
      <c r="W904" s="23" t="n"/>
      <c r="X904" s="23" t="n"/>
      <c r="Y904" s="23" t="n"/>
      <c r="Z904" s="23" t="n"/>
      <c r="AA904" s="23" t="n"/>
      <c r="AB904" s="23" t="n"/>
      <c r="AC904" s="23" t="n"/>
      <c r="AD904" s="23" t="n"/>
      <c r="AE904" s="23" t="n"/>
      <c r="AF904" s="23" t="n"/>
      <c r="AG904" s="23" t="n"/>
      <c r="AH904" s="23" t="n"/>
      <c r="AI904" s="23" t="n"/>
      <c r="AJ904" s="23" t="n"/>
      <c r="AK904" s="23" t="n"/>
      <c r="AL904" s="23" t="n"/>
      <c r="AM904" s="26">
        <f>IF(G904="","",G904&amp;"|"&amp;P904)</f>
        <v/>
      </c>
      <c r="AN904" s="27">
        <f>IF(I904="","",IFERROR(DATE(VALUE(RIGHT(I904,4)),VALUE(MID(I904,4,2)),VALUE(LEFT(I904,2))),""))</f>
        <v/>
      </c>
      <c r="AO904" s="27">
        <f>IF(Y904="","",IFERROR(DATE(VALUE(RIGHT(Y904,4)),VALUE(MID(Y904,4,2)),VALUE(LEFT(Y904,2))),""))</f>
        <v/>
      </c>
      <c r="AP904" s="27">
        <f>IF(AC904="","",IFERROR(DATE(VALUE(RIGHT(AC904,4)),VALUE(MID(AC904,4,2)),VALUE(LEFT(AC904,2))),""))</f>
        <v/>
      </c>
      <c r="AQ904" s="26">
        <f>IF(AI904="","",TRIM(LEFT(AI904,FIND(" ",AI904&amp;" ")-1)))</f>
        <v/>
      </c>
      <c r="AR904" s="27">
        <f>IF(AQ904="","",IFERROR(DATE(VALUE(MID(AQ904,FIND("/",AQ904,FIND("/",AQ904)+1)+1,4)),VALUE(LEFT(AQ904,FIND("/",AQ904)-1)),VALUE(MID(AQ904,FIND("/",AQ904)+1,FIND("/",AQ904,FIND("/",AQ904)+1)-FIND("/",AQ904)-1))),""))</f>
        <v/>
      </c>
      <c r="AS904" s="26">
        <f>IF(G904="","",IF(AND(AG904&lt;&gt;"",AG904&lt;&gt;"Bayi Aracı"),"Evet","Hayır"))</f>
        <v/>
      </c>
      <c r="AT904" s="26">
        <f>IF(G904="","",IF(AND(AS904="Evet",T904="Siparişiniz Teslim Edildi"),"Evet","Hayır"))</f>
        <v/>
      </c>
      <c r="AU904" s="26">
        <f>IF(G904="","",IF(AB904="Siparişinizin Montajı Yapıldı","Evet","Hayır"))</f>
        <v/>
      </c>
      <c r="AV904" s="27">
        <f>IF(G904="","",IF(AT904="Evet",AR904,IF(AU904="Evet",AP904,"")))</f>
        <v/>
      </c>
    </row>
    <row r="905">
      <c r="A905" s="23" t="n"/>
      <c r="B905" s="23" t="n"/>
      <c r="C905" s="23" t="n"/>
      <c r="D905" s="23" t="n"/>
      <c r="E905" s="23" t="n"/>
      <c r="F905" s="23" t="n"/>
      <c r="G905" s="23" t="n"/>
      <c r="H905" s="23" t="n"/>
      <c r="I905" s="23" t="n"/>
      <c r="J905" s="23" t="n"/>
      <c r="K905" s="23" t="n"/>
      <c r="L905" s="23" t="n"/>
      <c r="M905" s="23" t="n"/>
      <c r="N905" s="23" t="n"/>
      <c r="O905" s="23" t="n"/>
      <c r="P905" s="23" t="n"/>
      <c r="Q905" s="23" t="n"/>
      <c r="R905" s="23" t="n"/>
      <c r="S905" s="23" t="n"/>
      <c r="T905" s="23" t="n"/>
      <c r="U905" s="23" t="n"/>
      <c r="V905" s="23" t="n"/>
      <c r="W905" s="23" t="n"/>
      <c r="X905" s="23" t="n"/>
      <c r="Y905" s="23" t="n"/>
      <c r="Z905" s="23" t="n"/>
      <c r="AA905" s="23" t="n"/>
      <c r="AB905" s="23" t="n"/>
      <c r="AC905" s="23" t="n"/>
      <c r="AD905" s="23" t="n"/>
      <c r="AE905" s="23" t="n"/>
      <c r="AF905" s="23" t="n"/>
      <c r="AG905" s="23" t="n"/>
      <c r="AH905" s="23" t="n"/>
      <c r="AI905" s="23" t="n"/>
      <c r="AJ905" s="23" t="n"/>
      <c r="AK905" s="23" t="n"/>
      <c r="AL905" s="23" t="n"/>
      <c r="AM905" s="26">
        <f>IF(G905="","",G905&amp;"|"&amp;P905)</f>
        <v/>
      </c>
      <c r="AN905" s="27">
        <f>IF(I905="","",IFERROR(DATE(VALUE(RIGHT(I905,4)),VALUE(MID(I905,4,2)),VALUE(LEFT(I905,2))),""))</f>
        <v/>
      </c>
      <c r="AO905" s="27">
        <f>IF(Y905="","",IFERROR(DATE(VALUE(RIGHT(Y905,4)),VALUE(MID(Y905,4,2)),VALUE(LEFT(Y905,2))),""))</f>
        <v/>
      </c>
      <c r="AP905" s="27">
        <f>IF(AC905="","",IFERROR(DATE(VALUE(RIGHT(AC905,4)),VALUE(MID(AC905,4,2)),VALUE(LEFT(AC905,2))),""))</f>
        <v/>
      </c>
      <c r="AQ905" s="26">
        <f>IF(AI905="","",TRIM(LEFT(AI905,FIND(" ",AI905&amp;" ")-1)))</f>
        <v/>
      </c>
      <c r="AR905" s="27">
        <f>IF(AQ905="","",IFERROR(DATE(VALUE(MID(AQ905,FIND("/",AQ905,FIND("/",AQ905)+1)+1,4)),VALUE(LEFT(AQ905,FIND("/",AQ905)-1)),VALUE(MID(AQ905,FIND("/",AQ905)+1,FIND("/",AQ905,FIND("/",AQ905)+1)-FIND("/",AQ905)-1))),""))</f>
        <v/>
      </c>
      <c r="AS905" s="26">
        <f>IF(G905="","",IF(AND(AG905&lt;&gt;"",AG905&lt;&gt;"Bayi Aracı"),"Evet","Hayır"))</f>
        <v/>
      </c>
      <c r="AT905" s="26">
        <f>IF(G905="","",IF(AND(AS905="Evet",T905="Siparişiniz Teslim Edildi"),"Evet","Hayır"))</f>
        <v/>
      </c>
      <c r="AU905" s="26">
        <f>IF(G905="","",IF(AB905="Siparişinizin Montajı Yapıldı","Evet","Hayır"))</f>
        <v/>
      </c>
      <c r="AV905" s="27">
        <f>IF(G905="","",IF(AT905="Evet",AR905,IF(AU905="Evet",AP905,"")))</f>
        <v/>
      </c>
    </row>
    <row r="906">
      <c r="A906" s="23" t="n"/>
      <c r="B906" s="23" t="n"/>
      <c r="C906" s="23" t="n"/>
      <c r="D906" s="23" t="n"/>
      <c r="E906" s="23" t="n"/>
      <c r="F906" s="23" t="n"/>
      <c r="G906" s="23" t="n"/>
      <c r="H906" s="23" t="n"/>
      <c r="I906" s="23" t="n"/>
      <c r="J906" s="23" t="n"/>
      <c r="K906" s="23" t="n"/>
      <c r="L906" s="23" t="n"/>
      <c r="M906" s="23" t="n"/>
      <c r="N906" s="23" t="n"/>
      <c r="O906" s="23" t="n"/>
      <c r="P906" s="23" t="n"/>
      <c r="Q906" s="23" t="n"/>
      <c r="R906" s="23" t="n"/>
      <c r="S906" s="23" t="n"/>
      <c r="T906" s="23" t="n"/>
      <c r="U906" s="23" t="n"/>
      <c r="V906" s="23" t="n"/>
      <c r="W906" s="23" t="n"/>
      <c r="X906" s="23" t="n"/>
      <c r="Y906" s="23" t="n"/>
      <c r="Z906" s="23" t="n"/>
      <c r="AA906" s="23" t="n"/>
      <c r="AB906" s="23" t="n"/>
      <c r="AC906" s="23" t="n"/>
      <c r="AD906" s="23" t="n"/>
      <c r="AE906" s="23" t="n"/>
      <c r="AF906" s="23" t="n"/>
      <c r="AG906" s="23" t="n"/>
      <c r="AH906" s="23" t="n"/>
      <c r="AI906" s="23" t="n"/>
      <c r="AJ906" s="23" t="n"/>
      <c r="AK906" s="23" t="n"/>
      <c r="AL906" s="23" t="n"/>
      <c r="AM906" s="26">
        <f>IF(G906="","",G906&amp;"|"&amp;P906)</f>
        <v/>
      </c>
      <c r="AN906" s="27">
        <f>IF(I906="","",IFERROR(DATE(VALUE(RIGHT(I906,4)),VALUE(MID(I906,4,2)),VALUE(LEFT(I906,2))),""))</f>
        <v/>
      </c>
      <c r="AO906" s="27">
        <f>IF(Y906="","",IFERROR(DATE(VALUE(RIGHT(Y906,4)),VALUE(MID(Y906,4,2)),VALUE(LEFT(Y906,2))),""))</f>
        <v/>
      </c>
      <c r="AP906" s="27">
        <f>IF(AC906="","",IFERROR(DATE(VALUE(RIGHT(AC906,4)),VALUE(MID(AC906,4,2)),VALUE(LEFT(AC906,2))),""))</f>
        <v/>
      </c>
      <c r="AQ906" s="26">
        <f>IF(AI906="","",TRIM(LEFT(AI906,FIND(" ",AI906&amp;" ")-1)))</f>
        <v/>
      </c>
      <c r="AR906" s="27">
        <f>IF(AQ906="","",IFERROR(DATE(VALUE(MID(AQ906,FIND("/",AQ906,FIND("/",AQ906)+1)+1,4)),VALUE(LEFT(AQ906,FIND("/",AQ906)-1)),VALUE(MID(AQ906,FIND("/",AQ906)+1,FIND("/",AQ906,FIND("/",AQ906)+1)-FIND("/",AQ906)-1))),""))</f>
        <v/>
      </c>
      <c r="AS906" s="26">
        <f>IF(G906="","",IF(AND(AG906&lt;&gt;"",AG906&lt;&gt;"Bayi Aracı"),"Evet","Hayır"))</f>
        <v/>
      </c>
      <c r="AT906" s="26">
        <f>IF(G906="","",IF(AND(AS906="Evet",T906="Siparişiniz Teslim Edildi"),"Evet","Hayır"))</f>
        <v/>
      </c>
      <c r="AU906" s="26">
        <f>IF(G906="","",IF(AB906="Siparişinizin Montajı Yapıldı","Evet","Hayır"))</f>
        <v/>
      </c>
      <c r="AV906" s="27">
        <f>IF(G906="","",IF(AT906="Evet",AR906,IF(AU906="Evet",AP906,"")))</f>
        <v/>
      </c>
    </row>
    <row r="907">
      <c r="A907" s="23" t="n"/>
      <c r="B907" s="23" t="n"/>
      <c r="C907" s="23" t="n"/>
      <c r="D907" s="23" t="n"/>
      <c r="E907" s="23" t="n"/>
      <c r="F907" s="23" t="n"/>
      <c r="G907" s="23" t="n"/>
      <c r="H907" s="23" t="n"/>
      <c r="I907" s="23" t="n"/>
      <c r="J907" s="23" t="n"/>
      <c r="K907" s="23" t="n"/>
      <c r="L907" s="23" t="n"/>
      <c r="M907" s="23" t="n"/>
      <c r="N907" s="23" t="n"/>
      <c r="O907" s="23" t="n"/>
      <c r="P907" s="23" t="n"/>
      <c r="Q907" s="23" t="n"/>
      <c r="R907" s="23" t="n"/>
      <c r="S907" s="23" t="n"/>
      <c r="T907" s="23" t="n"/>
      <c r="U907" s="23" t="n"/>
      <c r="V907" s="23" t="n"/>
      <c r="W907" s="23" t="n"/>
      <c r="X907" s="23" t="n"/>
      <c r="Y907" s="23" t="n"/>
      <c r="Z907" s="23" t="n"/>
      <c r="AA907" s="23" t="n"/>
      <c r="AB907" s="23" t="n"/>
      <c r="AC907" s="23" t="n"/>
      <c r="AD907" s="23" t="n"/>
      <c r="AE907" s="23" t="n"/>
      <c r="AF907" s="23" t="n"/>
      <c r="AG907" s="23" t="n"/>
      <c r="AH907" s="23" t="n"/>
      <c r="AI907" s="23" t="n"/>
      <c r="AJ907" s="23" t="n"/>
      <c r="AK907" s="23" t="n"/>
      <c r="AL907" s="23" t="n"/>
      <c r="AM907" s="26">
        <f>IF(G907="","",G907&amp;"|"&amp;P907)</f>
        <v/>
      </c>
      <c r="AN907" s="27">
        <f>IF(I907="","",IFERROR(DATE(VALUE(RIGHT(I907,4)),VALUE(MID(I907,4,2)),VALUE(LEFT(I907,2))),""))</f>
        <v/>
      </c>
      <c r="AO907" s="27">
        <f>IF(Y907="","",IFERROR(DATE(VALUE(RIGHT(Y907,4)),VALUE(MID(Y907,4,2)),VALUE(LEFT(Y907,2))),""))</f>
        <v/>
      </c>
      <c r="AP907" s="27">
        <f>IF(AC907="","",IFERROR(DATE(VALUE(RIGHT(AC907,4)),VALUE(MID(AC907,4,2)),VALUE(LEFT(AC907,2))),""))</f>
        <v/>
      </c>
      <c r="AQ907" s="26">
        <f>IF(AI907="","",TRIM(LEFT(AI907,FIND(" ",AI907&amp;" ")-1)))</f>
        <v/>
      </c>
      <c r="AR907" s="27">
        <f>IF(AQ907="","",IFERROR(DATE(VALUE(MID(AQ907,FIND("/",AQ907,FIND("/",AQ907)+1)+1,4)),VALUE(LEFT(AQ907,FIND("/",AQ907)-1)),VALUE(MID(AQ907,FIND("/",AQ907)+1,FIND("/",AQ907,FIND("/",AQ907)+1)-FIND("/",AQ907)-1))),""))</f>
        <v/>
      </c>
      <c r="AS907" s="26">
        <f>IF(G907="","",IF(AND(AG907&lt;&gt;"",AG907&lt;&gt;"Bayi Aracı"),"Evet","Hayır"))</f>
        <v/>
      </c>
      <c r="AT907" s="26">
        <f>IF(G907="","",IF(AND(AS907="Evet",T907="Siparişiniz Teslim Edildi"),"Evet","Hayır"))</f>
        <v/>
      </c>
      <c r="AU907" s="26">
        <f>IF(G907="","",IF(AB907="Siparişinizin Montajı Yapıldı","Evet","Hayır"))</f>
        <v/>
      </c>
      <c r="AV907" s="27">
        <f>IF(G907="","",IF(AT907="Evet",AR907,IF(AU907="Evet",AP907,"")))</f>
        <v/>
      </c>
    </row>
    <row r="908">
      <c r="A908" s="23" t="n"/>
      <c r="B908" s="23" t="n"/>
      <c r="C908" s="23" t="n"/>
      <c r="D908" s="23" t="n"/>
      <c r="E908" s="23" t="n"/>
      <c r="F908" s="23" t="n"/>
      <c r="G908" s="23" t="n"/>
      <c r="H908" s="23" t="n"/>
      <c r="I908" s="23" t="n"/>
      <c r="J908" s="23" t="n"/>
      <c r="K908" s="23" t="n"/>
      <c r="L908" s="23" t="n"/>
      <c r="M908" s="23" t="n"/>
      <c r="N908" s="23" t="n"/>
      <c r="O908" s="23" t="n"/>
      <c r="P908" s="23" t="n"/>
      <c r="Q908" s="23" t="n"/>
      <c r="R908" s="23" t="n"/>
      <c r="S908" s="23" t="n"/>
      <c r="T908" s="23" t="n"/>
      <c r="U908" s="23" t="n"/>
      <c r="V908" s="23" t="n"/>
      <c r="W908" s="23" t="n"/>
      <c r="X908" s="23" t="n"/>
      <c r="Y908" s="23" t="n"/>
      <c r="Z908" s="23" t="n"/>
      <c r="AA908" s="23" t="n"/>
      <c r="AB908" s="23" t="n"/>
      <c r="AC908" s="23" t="n"/>
      <c r="AD908" s="23" t="n"/>
      <c r="AE908" s="23" t="n"/>
      <c r="AF908" s="23" t="n"/>
      <c r="AG908" s="23" t="n"/>
      <c r="AH908" s="23" t="n"/>
      <c r="AI908" s="23" t="n"/>
      <c r="AJ908" s="23" t="n"/>
      <c r="AK908" s="23" t="n"/>
      <c r="AL908" s="23" t="n"/>
      <c r="AM908" s="26">
        <f>IF(G908="","",G908&amp;"|"&amp;P908)</f>
        <v/>
      </c>
      <c r="AN908" s="27">
        <f>IF(I908="","",IFERROR(DATE(VALUE(RIGHT(I908,4)),VALUE(MID(I908,4,2)),VALUE(LEFT(I908,2))),""))</f>
        <v/>
      </c>
      <c r="AO908" s="27">
        <f>IF(Y908="","",IFERROR(DATE(VALUE(RIGHT(Y908,4)),VALUE(MID(Y908,4,2)),VALUE(LEFT(Y908,2))),""))</f>
        <v/>
      </c>
      <c r="AP908" s="27">
        <f>IF(AC908="","",IFERROR(DATE(VALUE(RIGHT(AC908,4)),VALUE(MID(AC908,4,2)),VALUE(LEFT(AC908,2))),""))</f>
        <v/>
      </c>
      <c r="AQ908" s="26">
        <f>IF(AI908="","",TRIM(LEFT(AI908,FIND(" ",AI908&amp;" ")-1)))</f>
        <v/>
      </c>
      <c r="AR908" s="27">
        <f>IF(AQ908="","",IFERROR(DATE(VALUE(MID(AQ908,FIND("/",AQ908,FIND("/",AQ908)+1)+1,4)),VALUE(LEFT(AQ908,FIND("/",AQ908)-1)),VALUE(MID(AQ908,FIND("/",AQ908)+1,FIND("/",AQ908,FIND("/",AQ908)+1)-FIND("/",AQ908)-1))),""))</f>
        <v/>
      </c>
      <c r="AS908" s="26">
        <f>IF(G908="","",IF(AND(AG908&lt;&gt;"",AG908&lt;&gt;"Bayi Aracı"),"Evet","Hayır"))</f>
        <v/>
      </c>
      <c r="AT908" s="26">
        <f>IF(G908="","",IF(AND(AS908="Evet",T908="Siparişiniz Teslim Edildi"),"Evet","Hayır"))</f>
        <v/>
      </c>
      <c r="AU908" s="26">
        <f>IF(G908="","",IF(AB908="Siparişinizin Montajı Yapıldı","Evet","Hayır"))</f>
        <v/>
      </c>
      <c r="AV908" s="27">
        <f>IF(G908="","",IF(AT908="Evet",AR908,IF(AU908="Evet",AP908,"")))</f>
        <v/>
      </c>
    </row>
    <row r="909">
      <c r="A909" s="23" t="n"/>
      <c r="B909" s="23" t="n"/>
      <c r="C909" s="23" t="n"/>
      <c r="D909" s="23" t="n"/>
      <c r="E909" s="23" t="n"/>
      <c r="F909" s="23" t="n"/>
      <c r="G909" s="23" t="n"/>
      <c r="H909" s="23" t="n"/>
      <c r="I909" s="23" t="n"/>
      <c r="J909" s="23" t="n"/>
      <c r="K909" s="23" t="n"/>
      <c r="L909" s="23" t="n"/>
      <c r="M909" s="23" t="n"/>
      <c r="N909" s="23" t="n"/>
      <c r="O909" s="23" t="n"/>
      <c r="P909" s="23" t="n"/>
      <c r="Q909" s="23" t="n"/>
      <c r="R909" s="23" t="n"/>
      <c r="S909" s="23" t="n"/>
      <c r="T909" s="23" t="n"/>
      <c r="U909" s="23" t="n"/>
      <c r="V909" s="23" t="n"/>
      <c r="W909" s="23" t="n"/>
      <c r="X909" s="23" t="n"/>
      <c r="Y909" s="23" t="n"/>
      <c r="Z909" s="23" t="n"/>
      <c r="AA909" s="23" t="n"/>
      <c r="AB909" s="23" t="n"/>
      <c r="AC909" s="23" t="n"/>
      <c r="AD909" s="23" t="n"/>
      <c r="AE909" s="23" t="n"/>
      <c r="AF909" s="23" t="n"/>
      <c r="AG909" s="23" t="n"/>
      <c r="AH909" s="23" t="n"/>
      <c r="AI909" s="23" t="n"/>
      <c r="AJ909" s="23" t="n"/>
      <c r="AK909" s="23" t="n"/>
      <c r="AL909" s="23" t="n"/>
      <c r="AM909" s="26">
        <f>IF(G909="","",G909&amp;"|"&amp;P909)</f>
        <v/>
      </c>
      <c r="AN909" s="27">
        <f>IF(I909="","",IFERROR(DATE(VALUE(RIGHT(I909,4)),VALUE(MID(I909,4,2)),VALUE(LEFT(I909,2))),""))</f>
        <v/>
      </c>
      <c r="AO909" s="27">
        <f>IF(Y909="","",IFERROR(DATE(VALUE(RIGHT(Y909,4)),VALUE(MID(Y909,4,2)),VALUE(LEFT(Y909,2))),""))</f>
        <v/>
      </c>
      <c r="AP909" s="27">
        <f>IF(AC909="","",IFERROR(DATE(VALUE(RIGHT(AC909,4)),VALUE(MID(AC909,4,2)),VALUE(LEFT(AC909,2))),""))</f>
        <v/>
      </c>
      <c r="AQ909" s="26">
        <f>IF(AI909="","",TRIM(LEFT(AI909,FIND(" ",AI909&amp;" ")-1)))</f>
        <v/>
      </c>
      <c r="AR909" s="27">
        <f>IF(AQ909="","",IFERROR(DATE(VALUE(MID(AQ909,FIND("/",AQ909,FIND("/",AQ909)+1)+1,4)),VALUE(LEFT(AQ909,FIND("/",AQ909)-1)),VALUE(MID(AQ909,FIND("/",AQ909)+1,FIND("/",AQ909,FIND("/",AQ909)+1)-FIND("/",AQ909)-1))),""))</f>
        <v/>
      </c>
      <c r="AS909" s="26">
        <f>IF(G909="","",IF(AND(AG909&lt;&gt;"",AG909&lt;&gt;"Bayi Aracı"),"Evet","Hayır"))</f>
        <v/>
      </c>
      <c r="AT909" s="26">
        <f>IF(G909="","",IF(AND(AS909="Evet",T909="Siparişiniz Teslim Edildi"),"Evet","Hayır"))</f>
        <v/>
      </c>
      <c r="AU909" s="26">
        <f>IF(G909="","",IF(AB909="Siparişinizin Montajı Yapıldı","Evet","Hayır"))</f>
        <v/>
      </c>
      <c r="AV909" s="27">
        <f>IF(G909="","",IF(AT909="Evet",AR909,IF(AU909="Evet",AP909,"")))</f>
        <v/>
      </c>
    </row>
    <row r="910">
      <c r="A910" s="23" t="n"/>
      <c r="B910" s="23" t="n"/>
      <c r="C910" s="23" t="n"/>
      <c r="D910" s="23" t="n"/>
      <c r="E910" s="23" t="n"/>
      <c r="F910" s="23" t="n"/>
      <c r="G910" s="23" t="n"/>
      <c r="H910" s="23" t="n"/>
      <c r="I910" s="23" t="n"/>
      <c r="J910" s="23" t="n"/>
      <c r="K910" s="23" t="n"/>
      <c r="L910" s="23" t="n"/>
      <c r="M910" s="23" t="n"/>
      <c r="N910" s="23" t="n"/>
      <c r="O910" s="23" t="n"/>
      <c r="P910" s="23" t="n"/>
      <c r="Q910" s="23" t="n"/>
      <c r="R910" s="23" t="n"/>
      <c r="S910" s="23" t="n"/>
      <c r="T910" s="23" t="n"/>
      <c r="U910" s="23" t="n"/>
      <c r="V910" s="23" t="n"/>
      <c r="W910" s="23" t="n"/>
      <c r="X910" s="23" t="n"/>
      <c r="Y910" s="23" t="n"/>
      <c r="Z910" s="23" t="n"/>
      <c r="AA910" s="23" t="n"/>
      <c r="AB910" s="23" t="n"/>
      <c r="AC910" s="23" t="n"/>
      <c r="AD910" s="23" t="n"/>
      <c r="AE910" s="23" t="n"/>
      <c r="AF910" s="23" t="n"/>
      <c r="AG910" s="23" t="n"/>
      <c r="AH910" s="23" t="n"/>
      <c r="AI910" s="23" t="n"/>
      <c r="AJ910" s="23" t="n"/>
      <c r="AK910" s="23" t="n"/>
      <c r="AL910" s="23" t="n"/>
      <c r="AM910" s="26">
        <f>IF(G910="","",G910&amp;"|"&amp;P910)</f>
        <v/>
      </c>
      <c r="AN910" s="27">
        <f>IF(I910="","",IFERROR(DATE(VALUE(RIGHT(I910,4)),VALUE(MID(I910,4,2)),VALUE(LEFT(I910,2))),""))</f>
        <v/>
      </c>
      <c r="AO910" s="27">
        <f>IF(Y910="","",IFERROR(DATE(VALUE(RIGHT(Y910,4)),VALUE(MID(Y910,4,2)),VALUE(LEFT(Y910,2))),""))</f>
        <v/>
      </c>
      <c r="AP910" s="27">
        <f>IF(AC910="","",IFERROR(DATE(VALUE(RIGHT(AC910,4)),VALUE(MID(AC910,4,2)),VALUE(LEFT(AC910,2))),""))</f>
        <v/>
      </c>
      <c r="AQ910" s="26">
        <f>IF(AI910="","",TRIM(LEFT(AI910,FIND(" ",AI910&amp;" ")-1)))</f>
        <v/>
      </c>
      <c r="AR910" s="27">
        <f>IF(AQ910="","",IFERROR(DATE(VALUE(MID(AQ910,FIND("/",AQ910,FIND("/",AQ910)+1)+1,4)),VALUE(LEFT(AQ910,FIND("/",AQ910)-1)),VALUE(MID(AQ910,FIND("/",AQ910)+1,FIND("/",AQ910,FIND("/",AQ910)+1)-FIND("/",AQ910)-1))),""))</f>
        <v/>
      </c>
      <c r="AS910" s="26">
        <f>IF(G910="","",IF(AND(AG910&lt;&gt;"",AG910&lt;&gt;"Bayi Aracı"),"Evet","Hayır"))</f>
        <v/>
      </c>
      <c r="AT910" s="26">
        <f>IF(G910="","",IF(AND(AS910="Evet",T910="Siparişiniz Teslim Edildi"),"Evet","Hayır"))</f>
        <v/>
      </c>
      <c r="AU910" s="26">
        <f>IF(G910="","",IF(AB910="Siparişinizin Montajı Yapıldı","Evet","Hayır"))</f>
        <v/>
      </c>
      <c r="AV910" s="27">
        <f>IF(G910="","",IF(AT910="Evet",AR910,IF(AU910="Evet",AP910,"")))</f>
        <v/>
      </c>
    </row>
    <row r="911">
      <c r="A911" s="23" t="n"/>
      <c r="B911" s="23" t="n"/>
      <c r="C911" s="23" t="n"/>
      <c r="D911" s="23" t="n"/>
      <c r="E911" s="23" t="n"/>
      <c r="F911" s="23" t="n"/>
      <c r="G911" s="23" t="n"/>
      <c r="H911" s="23" t="n"/>
      <c r="I911" s="23" t="n"/>
      <c r="J911" s="23" t="n"/>
      <c r="K911" s="23" t="n"/>
      <c r="L911" s="23" t="n"/>
      <c r="M911" s="23" t="n"/>
      <c r="N911" s="23" t="n"/>
      <c r="O911" s="23" t="n"/>
      <c r="P911" s="23" t="n"/>
      <c r="Q911" s="23" t="n"/>
      <c r="R911" s="23" t="n"/>
      <c r="S911" s="23" t="n"/>
      <c r="T911" s="23" t="n"/>
      <c r="U911" s="23" t="n"/>
      <c r="V911" s="23" t="n"/>
      <c r="W911" s="23" t="n"/>
      <c r="X911" s="23" t="n"/>
      <c r="Y911" s="23" t="n"/>
      <c r="Z911" s="23" t="n"/>
      <c r="AA911" s="23" t="n"/>
      <c r="AB911" s="23" t="n"/>
      <c r="AC911" s="23" t="n"/>
      <c r="AD911" s="23" t="n"/>
      <c r="AE911" s="23" t="n"/>
      <c r="AF911" s="23" t="n"/>
      <c r="AG911" s="23" t="n"/>
      <c r="AH911" s="23" t="n"/>
      <c r="AI911" s="23" t="n"/>
      <c r="AJ911" s="23" t="n"/>
      <c r="AK911" s="23" t="n"/>
      <c r="AL911" s="23" t="n"/>
      <c r="AM911" s="26">
        <f>IF(G911="","",G911&amp;"|"&amp;P911)</f>
        <v/>
      </c>
      <c r="AN911" s="27">
        <f>IF(I911="","",IFERROR(DATE(VALUE(RIGHT(I911,4)),VALUE(MID(I911,4,2)),VALUE(LEFT(I911,2))),""))</f>
        <v/>
      </c>
      <c r="AO911" s="27">
        <f>IF(Y911="","",IFERROR(DATE(VALUE(RIGHT(Y911,4)),VALUE(MID(Y911,4,2)),VALUE(LEFT(Y911,2))),""))</f>
        <v/>
      </c>
      <c r="AP911" s="27">
        <f>IF(AC911="","",IFERROR(DATE(VALUE(RIGHT(AC911,4)),VALUE(MID(AC911,4,2)),VALUE(LEFT(AC911,2))),""))</f>
        <v/>
      </c>
      <c r="AQ911" s="26">
        <f>IF(AI911="","",TRIM(LEFT(AI911,FIND(" ",AI911&amp;" ")-1)))</f>
        <v/>
      </c>
      <c r="AR911" s="27">
        <f>IF(AQ911="","",IFERROR(DATE(VALUE(MID(AQ911,FIND("/",AQ911,FIND("/",AQ911)+1)+1,4)),VALUE(LEFT(AQ911,FIND("/",AQ911)-1)),VALUE(MID(AQ911,FIND("/",AQ911)+1,FIND("/",AQ911,FIND("/",AQ911)+1)-FIND("/",AQ911)-1))),""))</f>
        <v/>
      </c>
      <c r="AS911" s="26">
        <f>IF(G911="","",IF(AND(AG911&lt;&gt;"",AG911&lt;&gt;"Bayi Aracı"),"Evet","Hayır"))</f>
        <v/>
      </c>
      <c r="AT911" s="26">
        <f>IF(G911="","",IF(AND(AS911="Evet",T911="Siparişiniz Teslim Edildi"),"Evet","Hayır"))</f>
        <v/>
      </c>
      <c r="AU911" s="26">
        <f>IF(G911="","",IF(AB911="Siparişinizin Montajı Yapıldı","Evet","Hayır"))</f>
        <v/>
      </c>
      <c r="AV911" s="27">
        <f>IF(G911="","",IF(AT911="Evet",AR911,IF(AU911="Evet",AP911,"")))</f>
        <v/>
      </c>
    </row>
    <row r="912">
      <c r="A912" s="23" t="n"/>
      <c r="B912" s="23" t="n"/>
      <c r="C912" s="23" t="n"/>
      <c r="D912" s="23" t="n"/>
      <c r="E912" s="23" t="n"/>
      <c r="F912" s="23" t="n"/>
      <c r="G912" s="23" t="n"/>
      <c r="H912" s="23" t="n"/>
      <c r="I912" s="23" t="n"/>
      <c r="J912" s="23" t="n"/>
      <c r="K912" s="23" t="n"/>
      <c r="L912" s="23" t="n"/>
      <c r="M912" s="23" t="n"/>
      <c r="N912" s="23" t="n"/>
      <c r="O912" s="23" t="n"/>
      <c r="P912" s="23" t="n"/>
      <c r="Q912" s="23" t="n"/>
      <c r="R912" s="23" t="n"/>
      <c r="S912" s="23" t="n"/>
      <c r="T912" s="23" t="n"/>
      <c r="U912" s="23" t="n"/>
      <c r="V912" s="23" t="n"/>
      <c r="W912" s="23" t="n"/>
      <c r="X912" s="23" t="n"/>
      <c r="Y912" s="23" t="n"/>
      <c r="Z912" s="23" t="n"/>
      <c r="AA912" s="23" t="n"/>
      <c r="AB912" s="23" t="n"/>
      <c r="AC912" s="23" t="n"/>
      <c r="AD912" s="23" t="n"/>
      <c r="AE912" s="23" t="n"/>
      <c r="AF912" s="23" t="n"/>
      <c r="AG912" s="23" t="n"/>
      <c r="AH912" s="23" t="n"/>
      <c r="AI912" s="23" t="n"/>
      <c r="AJ912" s="23" t="n"/>
      <c r="AK912" s="23" t="n"/>
      <c r="AL912" s="23" t="n"/>
      <c r="AM912" s="26">
        <f>IF(G912="","",G912&amp;"|"&amp;P912)</f>
        <v/>
      </c>
      <c r="AN912" s="27">
        <f>IF(I912="","",IFERROR(DATE(VALUE(RIGHT(I912,4)),VALUE(MID(I912,4,2)),VALUE(LEFT(I912,2))),""))</f>
        <v/>
      </c>
      <c r="AO912" s="27">
        <f>IF(Y912="","",IFERROR(DATE(VALUE(RIGHT(Y912,4)),VALUE(MID(Y912,4,2)),VALUE(LEFT(Y912,2))),""))</f>
        <v/>
      </c>
      <c r="AP912" s="27">
        <f>IF(AC912="","",IFERROR(DATE(VALUE(RIGHT(AC912,4)),VALUE(MID(AC912,4,2)),VALUE(LEFT(AC912,2))),""))</f>
        <v/>
      </c>
      <c r="AQ912" s="26">
        <f>IF(AI912="","",TRIM(LEFT(AI912,FIND(" ",AI912&amp;" ")-1)))</f>
        <v/>
      </c>
      <c r="AR912" s="27">
        <f>IF(AQ912="","",IFERROR(DATE(VALUE(MID(AQ912,FIND("/",AQ912,FIND("/",AQ912)+1)+1,4)),VALUE(LEFT(AQ912,FIND("/",AQ912)-1)),VALUE(MID(AQ912,FIND("/",AQ912)+1,FIND("/",AQ912,FIND("/",AQ912)+1)-FIND("/",AQ912)-1))),""))</f>
        <v/>
      </c>
      <c r="AS912" s="26">
        <f>IF(G912="","",IF(AND(AG912&lt;&gt;"",AG912&lt;&gt;"Bayi Aracı"),"Evet","Hayır"))</f>
        <v/>
      </c>
      <c r="AT912" s="26">
        <f>IF(G912="","",IF(AND(AS912="Evet",T912="Siparişiniz Teslim Edildi"),"Evet","Hayır"))</f>
        <v/>
      </c>
      <c r="AU912" s="26">
        <f>IF(G912="","",IF(AB912="Siparişinizin Montajı Yapıldı","Evet","Hayır"))</f>
        <v/>
      </c>
      <c r="AV912" s="27">
        <f>IF(G912="","",IF(AT912="Evet",AR912,IF(AU912="Evet",AP912,"")))</f>
        <v/>
      </c>
    </row>
    <row r="913">
      <c r="A913" s="23" t="n"/>
      <c r="B913" s="23" t="n"/>
      <c r="C913" s="23" t="n"/>
      <c r="D913" s="23" t="n"/>
      <c r="E913" s="23" t="n"/>
      <c r="F913" s="23" t="n"/>
      <c r="G913" s="23" t="n"/>
      <c r="H913" s="23" t="n"/>
      <c r="I913" s="23" t="n"/>
      <c r="J913" s="23" t="n"/>
      <c r="K913" s="23" t="n"/>
      <c r="L913" s="23" t="n"/>
      <c r="M913" s="23" t="n"/>
      <c r="N913" s="23" t="n"/>
      <c r="O913" s="23" t="n"/>
      <c r="P913" s="23" t="n"/>
      <c r="Q913" s="23" t="n"/>
      <c r="R913" s="23" t="n"/>
      <c r="S913" s="23" t="n"/>
      <c r="T913" s="23" t="n"/>
      <c r="U913" s="23" t="n"/>
      <c r="V913" s="23" t="n"/>
      <c r="W913" s="23" t="n"/>
      <c r="X913" s="23" t="n"/>
      <c r="Y913" s="23" t="n"/>
      <c r="Z913" s="23" t="n"/>
      <c r="AA913" s="23" t="n"/>
      <c r="AB913" s="23" t="n"/>
      <c r="AC913" s="23" t="n"/>
      <c r="AD913" s="23" t="n"/>
      <c r="AE913" s="23" t="n"/>
      <c r="AF913" s="23" t="n"/>
      <c r="AG913" s="23" t="n"/>
      <c r="AH913" s="23" t="n"/>
      <c r="AI913" s="23" t="n"/>
      <c r="AJ913" s="23" t="n"/>
      <c r="AK913" s="23" t="n"/>
      <c r="AL913" s="23" t="n"/>
      <c r="AM913" s="26">
        <f>IF(G913="","",G913&amp;"|"&amp;P913)</f>
        <v/>
      </c>
      <c r="AN913" s="27">
        <f>IF(I913="","",IFERROR(DATE(VALUE(RIGHT(I913,4)),VALUE(MID(I913,4,2)),VALUE(LEFT(I913,2))),""))</f>
        <v/>
      </c>
      <c r="AO913" s="27">
        <f>IF(Y913="","",IFERROR(DATE(VALUE(RIGHT(Y913,4)),VALUE(MID(Y913,4,2)),VALUE(LEFT(Y913,2))),""))</f>
        <v/>
      </c>
      <c r="AP913" s="27">
        <f>IF(AC913="","",IFERROR(DATE(VALUE(RIGHT(AC913,4)),VALUE(MID(AC913,4,2)),VALUE(LEFT(AC913,2))),""))</f>
        <v/>
      </c>
      <c r="AQ913" s="26">
        <f>IF(AI913="","",TRIM(LEFT(AI913,FIND(" ",AI913&amp;" ")-1)))</f>
        <v/>
      </c>
      <c r="AR913" s="27">
        <f>IF(AQ913="","",IFERROR(DATE(VALUE(MID(AQ913,FIND("/",AQ913,FIND("/",AQ913)+1)+1,4)),VALUE(LEFT(AQ913,FIND("/",AQ913)-1)),VALUE(MID(AQ913,FIND("/",AQ913)+1,FIND("/",AQ913,FIND("/",AQ913)+1)-FIND("/",AQ913)-1))),""))</f>
        <v/>
      </c>
      <c r="AS913" s="26">
        <f>IF(G913="","",IF(AND(AG913&lt;&gt;"",AG913&lt;&gt;"Bayi Aracı"),"Evet","Hayır"))</f>
        <v/>
      </c>
      <c r="AT913" s="26">
        <f>IF(G913="","",IF(AND(AS913="Evet",T913="Siparişiniz Teslim Edildi"),"Evet","Hayır"))</f>
        <v/>
      </c>
      <c r="AU913" s="26">
        <f>IF(G913="","",IF(AB913="Siparişinizin Montajı Yapıldı","Evet","Hayır"))</f>
        <v/>
      </c>
      <c r="AV913" s="27">
        <f>IF(G913="","",IF(AT913="Evet",AR913,IF(AU913="Evet",AP913,"")))</f>
        <v/>
      </c>
    </row>
    <row r="914">
      <c r="A914" s="23" t="n"/>
      <c r="B914" s="23" t="n"/>
      <c r="C914" s="23" t="n"/>
      <c r="D914" s="23" t="n"/>
      <c r="E914" s="23" t="n"/>
      <c r="F914" s="23" t="n"/>
      <c r="G914" s="23" t="n"/>
      <c r="H914" s="23" t="n"/>
      <c r="I914" s="23" t="n"/>
      <c r="J914" s="23" t="n"/>
      <c r="K914" s="23" t="n"/>
      <c r="L914" s="23" t="n"/>
      <c r="M914" s="23" t="n"/>
      <c r="N914" s="23" t="n"/>
      <c r="O914" s="23" t="n"/>
      <c r="P914" s="23" t="n"/>
      <c r="Q914" s="23" t="n"/>
      <c r="R914" s="23" t="n"/>
      <c r="S914" s="23" t="n"/>
      <c r="T914" s="23" t="n"/>
      <c r="U914" s="23" t="n"/>
      <c r="V914" s="23" t="n"/>
      <c r="W914" s="23" t="n"/>
      <c r="X914" s="23" t="n"/>
      <c r="Y914" s="23" t="n"/>
      <c r="Z914" s="23" t="n"/>
      <c r="AA914" s="23" t="n"/>
      <c r="AB914" s="23" t="n"/>
      <c r="AC914" s="23" t="n"/>
      <c r="AD914" s="23" t="n"/>
      <c r="AE914" s="23" t="n"/>
      <c r="AF914" s="23" t="n"/>
      <c r="AG914" s="23" t="n"/>
      <c r="AH914" s="23" t="n"/>
      <c r="AI914" s="23" t="n"/>
      <c r="AJ914" s="23" t="n"/>
      <c r="AK914" s="23" t="n"/>
      <c r="AL914" s="23" t="n"/>
      <c r="AM914" s="26">
        <f>IF(G914="","",G914&amp;"|"&amp;P914)</f>
        <v/>
      </c>
      <c r="AN914" s="27">
        <f>IF(I914="","",IFERROR(DATE(VALUE(RIGHT(I914,4)),VALUE(MID(I914,4,2)),VALUE(LEFT(I914,2))),""))</f>
        <v/>
      </c>
      <c r="AO914" s="27">
        <f>IF(Y914="","",IFERROR(DATE(VALUE(RIGHT(Y914,4)),VALUE(MID(Y914,4,2)),VALUE(LEFT(Y914,2))),""))</f>
        <v/>
      </c>
      <c r="AP914" s="27">
        <f>IF(AC914="","",IFERROR(DATE(VALUE(RIGHT(AC914,4)),VALUE(MID(AC914,4,2)),VALUE(LEFT(AC914,2))),""))</f>
        <v/>
      </c>
      <c r="AQ914" s="26">
        <f>IF(AI914="","",TRIM(LEFT(AI914,FIND(" ",AI914&amp;" ")-1)))</f>
        <v/>
      </c>
      <c r="AR914" s="27">
        <f>IF(AQ914="","",IFERROR(DATE(VALUE(MID(AQ914,FIND("/",AQ914,FIND("/",AQ914)+1)+1,4)),VALUE(LEFT(AQ914,FIND("/",AQ914)-1)),VALUE(MID(AQ914,FIND("/",AQ914)+1,FIND("/",AQ914,FIND("/",AQ914)+1)-FIND("/",AQ914)-1))),""))</f>
        <v/>
      </c>
      <c r="AS914" s="26">
        <f>IF(G914="","",IF(AND(AG914&lt;&gt;"",AG914&lt;&gt;"Bayi Aracı"),"Evet","Hayır"))</f>
        <v/>
      </c>
      <c r="AT914" s="26">
        <f>IF(G914="","",IF(AND(AS914="Evet",T914="Siparişiniz Teslim Edildi"),"Evet","Hayır"))</f>
        <v/>
      </c>
      <c r="AU914" s="26">
        <f>IF(G914="","",IF(AB914="Siparişinizin Montajı Yapıldı","Evet","Hayır"))</f>
        <v/>
      </c>
      <c r="AV914" s="27">
        <f>IF(G914="","",IF(AT914="Evet",AR914,IF(AU914="Evet",AP914,"")))</f>
        <v/>
      </c>
    </row>
    <row r="915">
      <c r="A915" s="23" t="n"/>
      <c r="B915" s="23" t="n"/>
      <c r="C915" s="23" t="n"/>
      <c r="D915" s="23" t="n"/>
      <c r="E915" s="23" t="n"/>
      <c r="F915" s="23" t="n"/>
      <c r="G915" s="23" t="n"/>
      <c r="H915" s="23" t="n"/>
      <c r="I915" s="23" t="n"/>
      <c r="J915" s="23" t="n"/>
      <c r="K915" s="23" t="n"/>
      <c r="L915" s="23" t="n"/>
      <c r="M915" s="23" t="n"/>
      <c r="N915" s="23" t="n"/>
      <c r="O915" s="23" t="n"/>
      <c r="P915" s="23" t="n"/>
      <c r="Q915" s="23" t="n"/>
      <c r="R915" s="23" t="n"/>
      <c r="S915" s="23" t="n"/>
      <c r="T915" s="23" t="n"/>
      <c r="U915" s="23" t="n"/>
      <c r="V915" s="23" t="n"/>
      <c r="W915" s="23" t="n"/>
      <c r="X915" s="23" t="n"/>
      <c r="Y915" s="23" t="n"/>
      <c r="Z915" s="23" t="n"/>
      <c r="AA915" s="23" t="n"/>
      <c r="AB915" s="23" t="n"/>
      <c r="AC915" s="23" t="n"/>
      <c r="AD915" s="23" t="n"/>
      <c r="AE915" s="23" t="n"/>
      <c r="AF915" s="23" t="n"/>
      <c r="AG915" s="23" t="n"/>
      <c r="AH915" s="23" t="n"/>
      <c r="AI915" s="23" t="n"/>
      <c r="AJ915" s="23" t="n"/>
      <c r="AK915" s="23" t="n"/>
      <c r="AL915" s="23" t="n"/>
      <c r="AM915" s="26">
        <f>IF(G915="","",G915&amp;"|"&amp;P915)</f>
        <v/>
      </c>
      <c r="AN915" s="27">
        <f>IF(I915="","",IFERROR(DATE(VALUE(RIGHT(I915,4)),VALUE(MID(I915,4,2)),VALUE(LEFT(I915,2))),""))</f>
        <v/>
      </c>
      <c r="AO915" s="27">
        <f>IF(Y915="","",IFERROR(DATE(VALUE(RIGHT(Y915,4)),VALUE(MID(Y915,4,2)),VALUE(LEFT(Y915,2))),""))</f>
        <v/>
      </c>
      <c r="AP915" s="27">
        <f>IF(AC915="","",IFERROR(DATE(VALUE(RIGHT(AC915,4)),VALUE(MID(AC915,4,2)),VALUE(LEFT(AC915,2))),""))</f>
        <v/>
      </c>
      <c r="AQ915" s="26">
        <f>IF(AI915="","",TRIM(LEFT(AI915,FIND(" ",AI915&amp;" ")-1)))</f>
        <v/>
      </c>
      <c r="AR915" s="27">
        <f>IF(AQ915="","",IFERROR(DATE(VALUE(MID(AQ915,FIND("/",AQ915,FIND("/",AQ915)+1)+1,4)),VALUE(LEFT(AQ915,FIND("/",AQ915)-1)),VALUE(MID(AQ915,FIND("/",AQ915)+1,FIND("/",AQ915,FIND("/",AQ915)+1)-FIND("/",AQ915)-1))),""))</f>
        <v/>
      </c>
      <c r="AS915" s="26">
        <f>IF(G915="","",IF(AND(AG915&lt;&gt;"",AG915&lt;&gt;"Bayi Aracı"),"Evet","Hayır"))</f>
        <v/>
      </c>
      <c r="AT915" s="26">
        <f>IF(G915="","",IF(AND(AS915="Evet",T915="Siparişiniz Teslim Edildi"),"Evet","Hayır"))</f>
        <v/>
      </c>
      <c r="AU915" s="26">
        <f>IF(G915="","",IF(AB915="Siparişinizin Montajı Yapıldı","Evet","Hayır"))</f>
        <v/>
      </c>
      <c r="AV915" s="27">
        <f>IF(G915="","",IF(AT915="Evet",AR915,IF(AU915="Evet",AP915,"")))</f>
        <v/>
      </c>
    </row>
    <row r="916">
      <c r="A916" s="23" t="n"/>
      <c r="B916" s="23" t="n"/>
      <c r="C916" s="23" t="n"/>
      <c r="D916" s="23" t="n"/>
      <c r="E916" s="23" t="n"/>
      <c r="F916" s="23" t="n"/>
      <c r="G916" s="23" t="n"/>
      <c r="H916" s="23" t="n"/>
      <c r="I916" s="23" t="n"/>
      <c r="J916" s="23" t="n"/>
      <c r="K916" s="23" t="n"/>
      <c r="L916" s="23" t="n"/>
      <c r="M916" s="23" t="n"/>
      <c r="N916" s="23" t="n"/>
      <c r="O916" s="23" t="n"/>
      <c r="P916" s="23" t="n"/>
      <c r="Q916" s="23" t="n"/>
      <c r="R916" s="23" t="n"/>
      <c r="S916" s="23" t="n"/>
      <c r="T916" s="23" t="n"/>
      <c r="U916" s="23" t="n"/>
      <c r="V916" s="23" t="n"/>
      <c r="W916" s="23" t="n"/>
      <c r="X916" s="23" t="n"/>
      <c r="Y916" s="23" t="n"/>
      <c r="Z916" s="23" t="n"/>
      <c r="AA916" s="23" t="n"/>
      <c r="AB916" s="23" t="n"/>
      <c r="AC916" s="23" t="n"/>
      <c r="AD916" s="23" t="n"/>
      <c r="AE916" s="23" t="n"/>
      <c r="AF916" s="23" t="n"/>
      <c r="AG916" s="23" t="n"/>
      <c r="AH916" s="23" t="n"/>
      <c r="AI916" s="23" t="n"/>
      <c r="AJ916" s="23" t="n"/>
      <c r="AK916" s="23" t="n"/>
      <c r="AL916" s="23" t="n"/>
      <c r="AM916" s="26">
        <f>IF(G916="","",G916&amp;"|"&amp;P916)</f>
        <v/>
      </c>
      <c r="AN916" s="27">
        <f>IF(I916="","",IFERROR(DATE(VALUE(RIGHT(I916,4)),VALUE(MID(I916,4,2)),VALUE(LEFT(I916,2))),""))</f>
        <v/>
      </c>
      <c r="AO916" s="27">
        <f>IF(Y916="","",IFERROR(DATE(VALUE(RIGHT(Y916,4)),VALUE(MID(Y916,4,2)),VALUE(LEFT(Y916,2))),""))</f>
        <v/>
      </c>
      <c r="AP916" s="27">
        <f>IF(AC916="","",IFERROR(DATE(VALUE(RIGHT(AC916,4)),VALUE(MID(AC916,4,2)),VALUE(LEFT(AC916,2))),""))</f>
        <v/>
      </c>
      <c r="AQ916" s="26">
        <f>IF(AI916="","",TRIM(LEFT(AI916,FIND(" ",AI916&amp;" ")-1)))</f>
        <v/>
      </c>
      <c r="AR916" s="27">
        <f>IF(AQ916="","",IFERROR(DATE(VALUE(MID(AQ916,FIND("/",AQ916,FIND("/",AQ916)+1)+1,4)),VALUE(LEFT(AQ916,FIND("/",AQ916)-1)),VALUE(MID(AQ916,FIND("/",AQ916)+1,FIND("/",AQ916,FIND("/",AQ916)+1)-FIND("/",AQ916)-1))),""))</f>
        <v/>
      </c>
      <c r="AS916" s="26">
        <f>IF(G916="","",IF(AND(AG916&lt;&gt;"",AG916&lt;&gt;"Bayi Aracı"),"Evet","Hayır"))</f>
        <v/>
      </c>
      <c r="AT916" s="26">
        <f>IF(G916="","",IF(AND(AS916="Evet",T916="Siparişiniz Teslim Edildi"),"Evet","Hayır"))</f>
        <v/>
      </c>
      <c r="AU916" s="26">
        <f>IF(G916="","",IF(AB916="Siparişinizin Montajı Yapıldı","Evet","Hayır"))</f>
        <v/>
      </c>
      <c r="AV916" s="27">
        <f>IF(G916="","",IF(AT916="Evet",AR916,IF(AU916="Evet",AP916,"")))</f>
        <v/>
      </c>
    </row>
    <row r="917">
      <c r="A917" s="23" t="n"/>
      <c r="B917" s="23" t="n"/>
      <c r="C917" s="23" t="n"/>
      <c r="D917" s="23" t="n"/>
      <c r="E917" s="23" t="n"/>
      <c r="F917" s="23" t="n"/>
      <c r="G917" s="23" t="n"/>
      <c r="H917" s="23" t="n"/>
      <c r="I917" s="23" t="n"/>
      <c r="J917" s="23" t="n"/>
      <c r="K917" s="23" t="n"/>
      <c r="L917" s="23" t="n"/>
      <c r="M917" s="23" t="n"/>
      <c r="N917" s="23" t="n"/>
      <c r="O917" s="23" t="n"/>
      <c r="P917" s="23" t="n"/>
      <c r="Q917" s="23" t="n"/>
      <c r="R917" s="23" t="n"/>
      <c r="S917" s="23" t="n"/>
      <c r="T917" s="23" t="n"/>
      <c r="U917" s="23" t="n"/>
      <c r="V917" s="23" t="n"/>
      <c r="W917" s="23" t="n"/>
      <c r="X917" s="23" t="n"/>
      <c r="Y917" s="23" t="n"/>
      <c r="Z917" s="23" t="n"/>
      <c r="AA917" s="23" t="n"/>
      <c r="AB917" s="23" t="n"/>
      <c r="AC917" s="23" t="n"/>
      <c r="AD917" s="23" t="n"/>
      <c r="AE917" s="23" t="n"/>
      <c r="AF917" s="23" t="n"/>
      <c r="AG917" s="23" t="n"/>
      <c r="AH917" s="23" t="n"/>
      <c r="AI917" s="23" t="n"/>
      <c r="AJ917" s="23" t="n"/>
      <c r="AK917" s="23" t="n"/>
      <c r="AL917" s="23" t="n"/>
      <c r="AM917" s="26">
        <f>IF(G917="","",G917&amp;"|"&amp;P917)</f>
        <v/>
      </c>
      <c r="AN917" s="27">
        <f>IF(I917="","",IFERROR(DATE(VALUE(RIGHT(I917,4)),VALUE(MID(I917,4,2)),VALUE(LEFT(I917,2))),""))</f>
        <v/>
      </c>
      <c r="AO917" s="27">
        <f>IF(Y917="","",IFERROR(DATE(VALUE(RIGHT(Y917,4)),VALUE(MID(Y917,4,2)),VALUE(LEFT(Y917,2))),""))</f>
        <v/>
      </c>
      <c r="AP917" s="27">
        <f>IF(AC917="","",IFERROR(DATE(VALUE(RIGHT(AC917,4)),VALUE(MID(AC917,4,2)),VALUE(LEFT(AC917,2))),""))</f>
        <v/>
      </c>
      <c r="AQ917" s="26">
        <f>IF(AI917="","",TRIM(LEFT(AI917,FIND(" ",AI917&amp;" ")-1)))</f>
        <v/>
      </c>
      <c r="AR917" s="27">
        <f>IF(AQ917="","",IFERROR(DATE(VALUE(MID(AQ917,FIND("/",AQ917,FIND("/",AQ917)+1)+1,4)),VALUE(LEFT(AQ917,FIND("/",AQ917)-1)),VALUE(MID(AQ917,FIND("/",AQ917)+1,FIND("/",AQ917,FIND("/",AQ917)+1)-FIND("/",AQ917)-1))),""))</f>
        <v/>
      </c>
      <c r="AS917" s="26">
        <f>IF(G917="","",IF(AND(AG917&lt;&gt;"",AG917&lt;&gt;"Bayi Aracı"),"Evet","Hayır"))</f>
        <v/>
      </c>
      <c r="AT917" s="26">
        <f>IF(G917="","",IF(AND(AS917="Evet",T917="Siparişiniz Teslim Edildi"),"Evet","Hayır"))</f>
        <v/>
      </c>
      <c r="AU917" s="26">
        <f>IF(G917="","",IF(AB917="Siparişinizin Montajı Yapıldı","Evet","Hayır"))</f>
        <v/>
      </c>
      <c r="AV917" s="27">
        <f>IF(G917="","",IF(AT917="Evet",AR917,IF(AU917="Evet",AP917,"")))</f>
        <v/>
      </c>
    </row>
    <row r="918">
      <c r="A918" s="23" t="n"/>
      <c r="B918" s="23" t="n"/>
      <c r="C918" s="23" t="n"/>
      <c r="D918" s="23" t="n"/>
      <c r="E918" s="23" t="n"/>
      <c r="F918" s="23" t="n"/>
      <c r="G918" s="23" t="n"/>
      <c r="H918" s="23" t="n"/>
      <c r="I918" s="23" t="n"/>
      <c r="J918" s="23" t="n"/>
      <c r="K918" s="23" t="n"/>
      <c r="L918" s="23" t="n"/>
      <c r="M918" s="23" t="n"/>
      <c r="N918" s="23" t="n"/>
      <c r="O918" s="23" t="n"/>
      <c r="P918" s="23" t="n"/>
      <c r="Q918" s="23" t="n"/>
      <c r="R918" s="23" t="n"/>
      <c r="S918" s="23" t="n"/>
      <c r="T918" s="23" t="n"/>
      <c r="U918" s="23" t="n"/>
      <c r="V918" s="23" t="n"/>
      <c r="W918" s="23" t="n"/>
      <c r="X918" s="23" t="n"/>
      <c r="Y918" s="23" t="n"/>
      <c r="Z918" s="23" t="n"/>
      <c r="AA918" s="23" t="n"/>
      <c r="AB918" s="23" t="n"/>
      <c r="AC918" s="23" t="n"/>
      <c r="AD918" s="23" t="n"/>
      <c r="AE918" s="23" t="n"/>
      <c r="AF918" s="23" t="n"/>
      <c r="AG918" s="23" t="n"/>
      <c r="AH918" s="23" t="n"/>
      <c r="AI918" s="23" t="n"/>
      <c r="AJ918" s="23" t="n"/>
      <c r="AK918" s="23" t="n"/>
      <c r="AL918" s="23" t="n"/>
      <c r="AM918" s="26">
        <f>IF(G918="","",G918&amp;"|"&amp;P918)</f>
        <v/>
      </c>
      <c r="AN918" s="27">
        <f>IF(I918="","",IFERROR(DATE(VALUE(RIGHT(I918,4)),VALUE(MID(I918,4,2)),VALUE(LEFT(I918,2))),""))</f>
        <v/>
      </c>
      <c r="AO918" s="27">
        <f>IF(Y918="","",IFERROR(DATE(VALUE(RIGHT(Y918,4)),VALUE(MID(Y918,4,2)),VALUE(LEFT(Y918,2))),""))</f>
        <v/>
      </c>
      <c r="AP918" s="27">
        <f>IF(AC918="","",IFERROR(DATE(VALUE(RIGHT(AC918,4)),VALUE(MID(AC918,4,2)),VALUE(LEFT(AC918,2))),""))</f>
        <v/>
      </c>
      <c r="AQ918" s="26">
        <f>IF(AI918="","",TRIM(LEFT(AI918,FIND(" ",AI918&amp;" ")-1)))</f>
        <v/>
      </c>
      <c r="AR918" s="27">
        <f>IF(AQ918="","",IFERROR(DATE(VALUE(MID(AQ918,FIND("/",AQ918,FIND("/",AQ918)+1)+1,4)),VALUE(LEFT(AQ918,FIND("/",AQ918)-1)),VALUE(MID(AQ918,FIND("/",AQ918)+1,FIND("/",AQ918,FIND("/",AQ918)+1)-FIND("/",AQ918)-1))),""))</f>
        <v/>
      </c>
      <c r="AS918" s="26">
        <f>IF(G918="","",IF(AND(AG918&lt;&gt;"",AG918&lt;&gt;"Bayi Aracı"),"Evet","Hayır"))</f>
        <v/>
      </c>
      <c r="AT918" s="26">
        <f>IF(G918="","",IF(AND(AS918="Evet",T918="Siparişiniz Teslim Edildi"),"Evet","Hayır"))</f>
        <v/>
      </c>
      <c r="AU918" s="26">
        <f>IF(G918="","",IF(AB918="Siparişinizin Montajı Yapıldı","Evet","Hayır"))</f>
        <v/>
      </c>
      <c r="AV918" s="27">
        <f>IF(G918="","",IF(AT918="Evet",AR918,IF(AU918="Evet",AP918,"")))</f>
        <v/>
      </c>
    </row>
    <row r="919">
      <c r="A919" s="23" t="n"/>
      <c r="B919" s="23" t="n"/>
      <c r="C919" s="23" t="n"/>
      <c r="D919" s="23" t="n"/>
      <c r="E919" s="23" t="n"/>
      <c r="F919" s="23" t="n"/>
      <c r="G919" s="23" t="n"/>
      <c r="H919" s="23" t="n"/>
      <c r="I919" s="23" t="n"/>
      <c r="J919" s="23" t="n"/>
      <c r="K919" s="23" t="n"/>
      <c r="L919" s="23" t="n"/>
      <c r="M919" s="23" t="n"/>
      <c r="N919" s="23" t="n"/>
      <c r="O919" s="23" t="n"/>
      <c r="P919" s="23" t="n"/>
      <c r="Q919" s="23" t="n"/>
      <c r="R919" s="23" t="n"/>
      <c r="S919" s="23" t="n"/>
      <c r="T919" s="23" t="n"/>
      <c r="U919" s="23" t="n"/>
      <c r="V919" s="23" t="n"/>
      <c r="W919" s="23" t="n"/>
      <c r="X919" s="23" t="n"/>
      <c r="Y919" s="23" t="n"/>
      <c r="Z919" s="23" t="n"/>
      <c r="AA919" s="23" t="n"/>
      <c r="AB919" s="23" t="n"/>
      <c r="AC919" s="23" t="n"/>
      <c r="AD919" s="23" t="n"/>
      <c r="AE919" s="23" t="n"/>
      <c r="AF919" s="23" t="n"/>
      <c r="AG919" s="23" t="n"/>
      <c r="AH919" s="23" t="n"/>
      <c r="AI919" s="23" t="n"/>
      <c r="AJ919" s="23" t="n"/>
      <c r="AK919" s="23" t="n"/>
      <c r="AL919" s="23" t="n"/>
      <c r="AM919" s="26">
        <f>IF(G919="","",G919&amp;"|"&amp;P919)</f>
        <v/>
      </c>
      <c r="AN919" s="27">
        <f>IF(I919="","",IFERROR(DATE(VALUE(RIGHT(I919,4)),VALUE(MID(I919,4,2)),VALUE(LEFT(I919,2))),""))</f>
        <v/>
      </c>
      <c r="AO919" s="27">
        <f>IF(Y919="","",IFERROR(DATE(VALUE(RIGHT(Y919,4)),VALUE(MID(Y919,4,2)),VALUE(LEFT(Y919,2))),""))</f>
        <v/>
      </c>
      <c r="AP919" s="27">
        <f>IF(AC919="","",IFERROR(DATE(VALUE(RIGHT(AC919,4)),VALUE(MID(AC919,4,2)),VALUE(LEFT(AC919,2))),""))</f>
        <v/>
      </c>
      <c r="AQ919" s="26">
        <f>IF(AI919="","",TRIM(LEFT(AI919,FIND(" ",AI919&amp;" ")-1)))</f>
        <v/>
      </c>
      <c r="AR919" s="27">
        <f>IF(AQ919="","",IFERROR(DATE(VALUE(MID(AQ919,FIND("/",AQ919,FIND("/",AQ919)+1)+1,4)),VALUE(LEFT(AQ919,FIND("/",AQ919)-1)),VALUE(MID(AQ919,FIND("/",AQ919)+1,FIND("/",AQ919,FIND("/",AQ919)+1)-FIND("/",AQ919)-1))),""))</f>
        <v/>
      </c>
      <c r="AS919" s="26">
        <f>IF(G919="","",IF(AND(AG919&lt;&gt;"",AG919&lt;&gt;"Bayi Aracı"),"Evet","Hayır"))</f>
        <v/>
      </c>
      <c r="AT919" s="26">
        <f>IF(G919="","",IF(AND(AS919="Evet",T919="Siparişiniz Teslim Edildi"),"Evet","Hayır"))</f>
        <v/>
      </c>
      <c r="AU919" s="26">
        <f>IF(G919="","",IF(AB919="Siparişinizin Montajı Yapıldı","Evet","Hayır"))</f>
        <v/>
      </c>
      <c r="AV919" s="27">
        <f>IF(G919="","",IF(AT919="Evet",AR919,IF(AU919="Evet",AP919,"")))</f>
        <v/>
      </c>
    </row>
    <row r="920">
      <c r="A920" s="23" t="n"/>
      <c r="B920" s="23" t="n"/>
      <c r="C920" s="23" t="n"/>
      <c r="D920" s="23" t="n"/>
      <c r="E920" s="23" t="n"/>
      <c r="F920" s="23" t="n"/>
      <c r="G920" s="23" t="n"/>
      <c r="H920" s="23" t="n"/>
      <c r="I920" s="23" t="n"/>
      <c r="J920" s="23" t="n"/>
      <c r="K920" s="23" t="n"/>
      <c r="L920" s="23" t="n"/>
      <c r="M920" s="23" t="n"/>
      <c r="N920" s="23" t="n"/>
      <c r="O920" s="23" t="n"/>
      <c r="P920" s="23" t="n"/>
      <c r="Q920" s="23" t="n"/>
      <c r="R920" s="23" t="n"/>
      <c r="S920" s="23" t="n"/>
      <c r="T920" s="23" t="n"/>
      <c r="U920" s="23" t="n"/>
      <c r="V920" s="23" t="n"/>
      <c r="W920" s="23" t="n"/>
      <c r="X920" s="23" t="n"/>
      <c r="Y920" s="23" t="n"/>
      <c r="Z920" s="23" t="n"/>
      <c r="AA920" s="23" t="n"/>
      <c r="AB920" s="23" t="n"/>
      <c r="AC920" s="23" t="n"/>
      <c r="AD920" s="23" t="n"/>
      <c r="AE920" s="23" t="n"/>
      <c r="AF920" s="23" t="n"/>
      <c r="AG920" s="23" t="n"/>
      <c r="AH920" s="23" t="n"/>
      <c r="AI920" s="23" t="n"/>
      <c r="AJ920" s="23" t="n"/>
      <c r="AK920" s="23" t="n"/>
      <c r="AL920" s="23" t="n"/>
      <c r="AM920" s="26">
        <f>IF(G920="","",G920&amp;"|"&amp;P920)</f>
        <v/>
      </c>
      <c r="AN920" s="27">
        <f>IF(I920="","",IFERROR(DATE(VALUE(RIGHT(I920,4)),VALUE(MID(I920,4,2)),VALUE(LEFT(I920,2))),""))</f>
        <v/>
      </c>
      <c r="AO920" s="27">
        <f>IF(Y920="","",IFERROR(DATE(VALUE(RIGHT(Y920,4)),VALUE(MID(Y920,4,2)),VALUE(LEFT(Y920,2))),""))</f>
        <v/>
      </c>
      <c r="AP920" s="27">
        <f>IF(AC920="","",IFERROR(DATE(VALUE(RIGHT(AC920,4)),VALUE(MID(AC920,4,2)),VALUE(LEFT(AC920,2))),""))</f>
        <v/>
      </c>
      <c r="AQ920" s="26">
        <f>IF(AI920="","",TRIM(LEFT(AI920,FIND(" ",AI920&amp;" ")-1)))</f>
        <v/>
      </c>
      <c r="AR920" s="27">
        <f>IF(AQ920="","",IFERROR(DATE(VALUE(MID(AQ920,FIND("/",AQ920,FIND("/",AQ920)+1)+1,4)),VALUE(LEFT(AQ920,FIND("/",AQ920)-1)),VALUE(MID(AQ920,FIND("/",AQ920)+1,FIND("/",AQ920,FIND("/",AQ920)+1)-FIND("/",AQ920)-1))),""))</f>
        <v/>
      </c>
      <c r="AS920" s="26">
        <f>IF(G920="","",IF(AND(AG920&lt;&gt;"",AG920&lt;&gt;"Bayi Aracı"),"Evet","Hayır"))</f>
        <v/>
      </c>
      <c r="AT920" s="26">
        <f>IF(G920="","",IF(AND(AS920="Evet",T920="Siparişiniz Teslim Edildi"),"Evet","Hayır"))</f>
        <v/>
      </c>
      <c r="AU920" s="26">
        <f>IF(G920="","",IF(AB920="Siparişinizin Montajı Yapıldı","Evet","Hayır"))</f>
        <v/>
      </c>
      <c r="AV920" s="27">
        <f>IF(G920="","",IF(AT920="Evet",AR920,IF(AU920="Evet",AP920,"")))</f>
        <v/>
      </c>
    </row>
    <row r="921">
      <c r="A921" s="23" t="n"/>
      <c r="B921" s="23" t="n"/>
      <c r="C921" s="23" t="n"/>
      <c r="D921" s="23" t="n"/>
      <c r="E921" s="23" t="n"/>
      <c r="F921" s="23" t="n"/>
      <c r="G921" s="23" t="n"/>
      <c r="H921" s="23" t="n"/>
      <c r="I921" s="23" t="n"/>
      <c r="J921" s="23" t="n"/>
      <c r="K921" s="23" t="n"/>
      <c r="L921" s="23" t="n"/>
      <c r="M921" s="23" t="n"/>
      <c r="N921" s="23" t="n"/>
      <c r="O921" s="23" t="n"/>
      <c r="P921" s="23" t="n"/>
      <c r="Q921" s="23" t="n"/>
      <c r="R921" s="23" t="n"/>
      <c r="S921" s="23" t="n"/>
      <c r="T921" s="23" t="n"/>
      <c r="U921" s="23" t="n"/>
      <c r="V921" s="23" t="n"/>
      <c r="W921" s="23" t="n"/>
      <c r="X921" s="23" t="n"/>
      <c r="Y921" s="23" t="n"/>
      <c r="Z921" s="23" t="n"/>
      <c r="AA921" s="23" t="n"/>
      <c r="AB921" s="23" t="n"/>
      <c r="AC921" s="23" t="n"/>
      <c r="AD921" s="23" t="n"/>
      <c r="AE921" s="23" t="n"/>
      <c r="AF921" s="23" t="n"/>
      <c r="AG921" s="23" t="n"/>
      <c r="AH921" s="23" t="n"/>
      <c r="AI921" s="23" t="n"/>
      <c r="AJ921" s="23" t="n"/>
      <c r="AK921" s="23" t="n"/>
      <c r="AL921" s="23" t="n"/>
      <c r="AM921" s="26">
        <f>IF(G921="","",G921&amp;"|"&amp;P921)</f>
        <v/>
      </c>
      <c r="AN921" s="27">
        <f>IF(I921="","",IFERROR(DATE(VALUE(RIGHT(I921,4)),VALUE(MID(I921,4,2)),VALUE(LEFT(I921,2))),""))</f>
        <v/>
      </c>
      <c r="AO921" s="27">
        <f>IF(Y921="","",IFERROR(DATE(VALUE(RIGHT(Y921,4)),VALUE(MID(Y921,4,2)),VALUE(LEFT(Y921,2))),""))</f>
        <v/>
      </c>
      <c r="AP921" s="27">
        <f>IF(AC921="","",IFERROR(DATE(VALUE(RIGHT(AC921,4)),VALUE(MID(AC921,4,2)),VALUE(LEFT(AC921,2))),""))</f>
        <v/>
      </c>
      <c r="AQ921" s="26">
        <f>IF(AI921="","",TRIM(LEFT(AI921,FIND(" ",AI921&amp;" ")-1)))</f>
        <v/>
      </c>
      <c r="AR921" s="27">
        <f>IF(AQ921="","",IFERROR(DATE(VALUE(MID(AQ921,FIND("/",AQ921,FIND("/",AQ921)+1)+1,4)),VALUE(LEFT(AQ921,FIND("/",AQ921)-1)),VALUE(MID(AQ921,FIND("/",AQ921)+1,FIND("/",AQ921,FIND("/",AQ921)+1)-FIND("/",AQ921)-1))),""))</f>
        <v/>
      </c>
      <c r="AS921" s="26">
        <f>IF(G921="","",IF(AND(AG921&lt;&gt;"",AG921&lt;&gt;"Bayi Aracı"),"Evet","Hayır"))</f>
        <v/>
      </c>
      <c r="AT921" s="26">
        <f>IF(G921="","",IF(AND(AS921="Evet",T921="Siparişiniz Teslim Edildi"),"Evet","Hayır"))</f>
        <v/>
      </c>
      <c r="AU921" s="26">
        <f>IF(G921="","",IF(AB921="Siparişinizin Montajı Yapıldı","Evet","Hayır"))</f>
        <v/>
      </c>
      <c r="AV921" s="27">
        <f>IF(G921="","",IF(AT921="Evet",AR921,IF(AU921="Evet",AP921,"")))</f>
        <v/>
      </c>
    </row>
    <row r="922">
      <c r="A922" s="23" t="n"/>
      <c r="B922" s="23" t="n"/>
      <c r="C922" s="23" t="n"/>
      <c r="D922" s="23" t="n"/>
      <c r="E922" s="23" t="n"/>
      <c r="F922" s="23" t="n"/>
      <c r="G922" s="23" t="n"/>
      <c r="H922" s="23" t="n"/>
      <c r="I922" s="23" t="n"/>
      <c r="J922" s="23" t="n"/>
      <c r="K922" s="23" t="n"/>
      <c r="L922" s="23" t="n"/>
      <c r="M922" s="23" t="n"/>
      <c r="N922" s="23" t="n"/>
      <c r="O922" s="23" t="n"/>
      <c r="P922" s="23" t="n"/>
      <c r="Q922" s="23" t="n"/>
      <c r="R922" s="23" t="n"/>
      <c r="S922" s="23" t="n"/>
      <c r="T922" s="23" t="n"/>
      <c r="U922" s="23" t="n"/>
      <c r="V922" s="23" t="n"/>
      <c r="W922" s="23" t="n"/>
      <c r="X922" s="23" t="n"/>
      <c r="Y922" s="23" t="n"/>
      <c r="Z922" s="23" t="n"/>
      <c r="AA922" s="23" t="n"/>
      <c r="AB922" s="23" t="n"/>
      <c r="AC922" s="23" t="n"/>
      <c r="AD922" s="23" t="n"/>
      <c r="AE922" s="23" t="n"/>
      <c r="AF922" s="23" t="n"/>
      <c r="AG922" s="23" t="n"/>
      <c r="AH922" s="23" t="n"/>
      <c r="AI922" s="23" t="n"/>
      <c r="AJ922" s="23" t="n"/>
      <c r="AK922" s="23" t="n"/>
      <c r="AL922" s="23" t="n"/>
      <c r="AM922" s="26">
        <f>IF(G922="","",G922&amp;"|"&amp;P922)</f>
        <v/>
      </c>
      <c r="AN922" s="27">
        <f>IF(I922="","",IFERROR(DATE(VALUE(RIGHT(I922,4)),VALUE(MID(I922,4,2)),VALUE(LEFT(I922,2))),""))</f>
        <v/>
      </c>
      <c r="AO922" s="27">
        <f>IF(Y922="","",IFERROR(DATE(VALUE(RIGHT(Y922,4)),VALUE(MID(Y922,4,2)),VALUE(LEFT(Y922,2))),""))</f>
        <v/>
      </c>
      <c r="AP922" s="27">
        <f>IF(AC922="","",IFERROR(DATE(VALUE(RIGHT(AC922,4)),VALUE(MID(AC922,4,2)),VALUE(LEFT(AC922,2))),""))</f>
        <v/>
      </c>
      <c r="AQ922" s="26">
        <f>IF(AI922="","",TRIM(LEFT(AI922,FIND(" ",AI922&amp;" ")-1)))</f>
        <v/>
      </c>
      <c r="AR922" s="27">
        <f>IF(AQ922="","",IFERROR(DATE(VALUE(MID(AQ922,FIND("/",AQ922,FIND("/",AQ922)+1)+1,4)),VALUE(LEFT(AQ922,FIND("/",AQ922)-1)),VALUE(MID(AQ922,FIND("/",AQ922)+1,FIND("/",AQ922,FIND("/",AQ922)+1)-FIND("/",AQ922)-1))),""))</f>
        <v/>
      </c>
      <c r="AS922" s="26">
        <f>IF(G922="","",IF(AND(AG922&lt;&gt;"",AG922&lt;&gt;"Bayi Aracı"),"Evet","Hayır"))</f>
        <v/>
      </c>
      <c r="AT922" s="26">
        <f>IF(G922="","",IF(AND(AS922="Evet",T922="Siparişiniz Teslim Edildi"),"Evet","Hayır"))</f>
        <v/>
      </c>
      <c r="AU922" s="26">
        <f>IF(G922="","",IF(AB922="Siparişinizin Montajı Yapıldı","Evet","Hayır"))</f>
        <v/>
      </c>
      <c r="AV922" s="27">
        <f>IF(G922="","",IF(AT922="Evet",AR922,IF(AU922="Evet",AP922,"")))</f>
        <v/>
      </c>
    </row>
    <row r="923">
      <c r="A923" s="23" t="n"/>
      <c r="B923" s="23" t="n"/>
      <c r="C923" s="23" t="n"/>
      <c r="D923" s="23" t="n"/>
      <c r="E923" s="23" t="n"/>
      <c r="F923" s="23" t="n"/>
      <c r="G923" s="23" t="n"/>
      <c r="H923" s="23" t="n"/>
      <c r="I923" s="23" t="n"/>
      <c r="J923" s="23" t="n"/>
      <c r="K923" s="23" t="n"/>
      <c r="L923" s="23" t="n"/>
      <c r="M923" s="23" t="n"/>
      <c r="N923" s="23" t="n"/>
      <c r="O923" s="23" t="n"/>
      <c r="P923" s="23" t="n"/>
      <c r="Q923" s="23" t="n"/>
      <c r="R923" s="23" t="n"/>
      <c r="S923" s="23" t="n"/>
      <c r="T923" s="23" t="n"/>
      <c r="U923" s="23" t="n"/>
      <c r="V923" s="23" t="n"/>
      <c r="W923" s="23" t="n"/>
      <c r="X923" s="23" t="n"/>
      <c r="Y923" s="23" t="n"/>
      <c r="Z923" s="23" t="n"/>
      <c r="AA923" s="23" t="n"/>
      <c r="AB923" s="23" t="n"/>
      <c r="AC923" s="23" t="n"/>
      <c r="AD923" s="23" t="n"/>
      <c r="AE923" s="23" t="n"/>
      <c r="AF923" s="23" t="n"/>
      <c r="AG923" s="23" t="n"/>
      <c r="AH923" s="23" t="n"/>
      <c r="AI923" s="23" t="n"/>
      <c r="AJ923" s="23" t="n"/>
      <c r="AK923" s="23" t="n"/>
      <c r="AL923" s="23" t="n"/>
      <c r="AM923" s="26">
        <f>IF(G923="","",G923&amp;"|"&amp;P923)</f>
        <v/>
      </c>
      <c r="AN923" s="27">
        <f>IF(I923="","",IFERROR(DATE(VALUE(RIGHT(I923,4)),VALUE(MID(I923,4,2)),VALUE(LEFT(I923,2))),""))</f>
        <v/>
      </c>
      <c r="AO923" s="27">
        <f>IF(Y923="","",IFERROR(DATE(VALUE(RIGHT(Y923,4)),VALUE(MID(Y923,4,2)),VALUE(LEFT(Y923,2))),""))</f>
        <v/>
      </c>
      <c r="AP923" s="27">
        <f>IF(AC923="","",IFERROR(DATE(VALUE(RIGHT(AC923,4)),VALUE(MID(AC923,4,2)),VALUE(LEFT(AC923,2))),""))</f>
        <v/>
      </c>
      <c r="AQ923" s="26">
        <f>IF(AI923="","",TRIM(LEFT(AI923,FIND(" ",AI923&amp;" ")-1)))</f>
        <v/>
      </c>
      <c r="AR923" s="27">
        <f>IF(AQ923="","",IFERROR(DATE(VALUE(MID(AQ923,FIND("/",AQ923,FIND("/",AQ923)+1)+1,4)),VALUE(LEFT(AQ923,FIND("/",AQ923)-1)),VALUE(MID(AQ923,FIND("/",AQ923)+1,FIND("/",AQ923,FIND("/",AQ923)+1)-FIND("/",AQ923)-1))),""))</f>
        <v/>
      </c>
      <c r="AS923" s="26">
        <f>IF(G923="","",IF(AND(AG923&lt;&gt;"",AG923&lt;&gt;"Bayi Aracı"),"Evet","Hayır"))</f>
        <v/>
      </c>
      <c r="AT923" s="26">
        <f>IF(G923="","",IF(AND(AS923="Evet",T923="Siparişiniz Teslim Edildi"),"Evet","Hayır"))</f>
        <v/>
      </c>
      <c r="AU923" s="26">
        <f>IF(G923="","",IF(AB923="Siparişinizin Montajı Yapıldı","Evet","Hayır"))</f>
        <v/>
      </c>
      <c r="AV923" s="27">
        <f>IF(G923="","",IF(AT923="Evet",AR923,IF(AU923="Evet",AP923,"")))</f>
        <v/>
      </c>
    </row>
    <row r="924">
      <c r="A924" s="23" t="n"/>
      <c r="B924" s="23" t="n"/>
      <c r="C924" s="23" t="n"/>
      <c r="D924" s="23" t="n"/>
      <c r="E924" s="23" t="n"/>
      <c r="F924" s="23" t="n"/>
      <c r="G924" s="23" t="n"/>
      <c r="H924" s="23" t="n"/>
      <c r="I924" s="23" t="n"/>
      <c r="J924" s="23" t="n"/>
      <c r="K924" s="23" t="n"/>
      <c r="L924" s="23" t="n"/>
      <c r="M924" s="23" t="n"/>
      <c r="N924" s="23" t="n"/>
      <c r="O924" s="23" t="n"/>
      <c r="P924" s="23" t="n"/>
      <c r="Q924" s="23" t="n"/>
      <c r="R924" s="23" t="n"/>
      <c r="S924" s="23" t="n"/>
      <c r="T924" s="23" t="n"/>
      <c r="U924" s="23" t="n"/>
      <c r="V924" s="23" t="n"/>
      <c r="W924" s="23" t="n"/>
      <c r="X924" s="23" t="n"/>
      <c r="Y924" s="23" t="n"/>
      <c r="Z924" s="23" t="n"/>
      <c r="AA924" s="23" t="n"/>
      <c r="AB924" s="23" t="n"/>
      <c r="AC924" s="23" t="n"/>
      <c r="AD924" s="23" t="n"/>
      <c r="AE924" s="23" t="n"/>
      <c r="AF924" s="23" t="n"/>
      <c r="AG924" s="23" t="n"/>
      <c r="AH924" s="23" t="n"/>
      <c r="AI924" s="23" t="n"/>
      <c r="AJ924" s="23" t="n"/>
      <c r="AK924" s="23" t="n"/>
      <c r="AL924" s="23" t="n"/>
      <c r="AM924" s="26">
        <f>IF(G924="","",G924&amp;"|"&amp;P924)</f>
        <v/>
      </c>
      <c r="AN924" s="27">
        <f>IF(I924="","",IFERROR(DATE(VALUE(RIGHT(I924,4)),VALUE(MID(I924,4,2)),VALUE(LEFT(I924,2))),""))</f>
        <v/>
      </c>
      <c r="AO924" s="27">
        <f>IF(Y924="","",IFERROR(DATE(VALUE(RIGHT(Y924,4)),VALUE(MID(Y924,4,2)),VALUE(LEFT(Y924,2))),""))</f>
        <v/>
      </c>
      <c r="AP924" s="27">
        <f>IF(AC924="","",IFERROR(DATE(VALUE(RIGHT(AC924,4)),VALUE(MID(AC924,4,2)),VALUE(LEFT(AC924,2))),""))</f>
        <v/>
      </c>
      <c r="AQ924" s="26">
        <f>IF(AI924="","",TRIM(LEFT(AI924,FIND(" ",AI924&amp;" ")-1)))</f>
        <v/>
      </c>
      <c r="AR924" s="27">
        <f>IF(AQ924="","",IFERROR(DATE(VALUE(MID(AQ924,FIND("/",AQ924,FIND("/",AQ924)+1)+1,4)),VALUE(LEFT(AQ924,FIND("/",AQ924)-1)),VALUE(MID(AQ924,FIND("/",AQ924)+1,FIND("/",AQ924,FIND("/",AQ924)+1)-FIND("/",AQ924)-1))),""))</f>
        <v/>
      </c>
      <c r="AS924" s="26">
        <f>IF(G924="","",IF(AND(AG924&lt;&gt;"",AG924&lt;&gt;"Bayi Aracı"),"Evet","Hayır"))</f>
        <v/>
      </c>
      <c r="AT924" s="26">
        <f>IF(G924="","",IF(AND(AS924="Evet",T924="Siparişiniz Teslim Edildi"),"Evet","Hayır"))</f>
        <v/>
      </c>
      <c r="AU924" s="26">
        <f>IF(G924="","",IF(AB924="Siparişinizin Montajı Yapıldı","Evet","Hayır"))</f>
        <v/>
      </c>
      <c r="AV924" s="27">
        <f>IF(G924="","",IF(AT924="Evet",AR924,IF(AU924="Evet",AP924,"")))</f>
        <v/>
      </c>
    </row>
    <row r="925">
      <c r="A925" s="23" t="n"/>
      <c r="B925" s="23" t="n"/>
      <c r="C925" s="23" t="n"/>
      <c r="D925" s="23" t="n"/>
      <c r="E925" s="23" t="n"/>
      <c r="F925" s="23" t="n"/>
      <c r="G925" s="23" t="n"/>
      <c r="H925" s="23" t="n"/>
      <c r="I925" s="23" t="n"/>
      <c r="J925" s="23" t="n"/>
      <c r="K925" s="23" t="n"/>
      <c r="L925" s="23" t="n"/>
      <c r="M925" s="23" t="n"/>
      <c r="N925" s="23" t="n"/>
      <c r="O925" s="23" t="n"/>
      <c r="P925" s="23" t="n"/>
      <c r="Q925" s="23" t="n"/>
      <c r="R925" s="23" t="n"/>
      <c r="S925" s="23" t="n"/>
      <c r="T925" s="23" t="n"/>
      <c r="U925" s="23" t="n"/>
      <c r="V925" s="23" t="n"/>
      <c r="W925" s="23" t="n"/>
      <c r="X925" s="23" t="n"/>
      <c r="Y925" s="23" t="n"/>
      <c r="Z925" s="23" t="n"/>
      <c r="AA925" s="23" t="n"/>
      <c r="AB925" s="23" t="n"/>
      <c r="AC925" s="23" t="n"/>
      <c r="AD925" s="23" t="n"/>
      <c r="AE925" s="23" t="n"/>
      <c r="AF925" s="23" t="n"/>
      <c r="AG925" s="23" t="n"/>
      <c r="AH925" s="23" t="n"/>
      <c r="AI925" s="23" t="n"/>
      <c r="AJ925" s="23" t="n"/>
      <c r="AK925" s="23" t="n"/>
      <c r="AL925" s="23" t="n"/>
      <c r="AM925" s="26">
        <f>IF(G925="","",G925&amp;"|"&amp;P925)</f>
        <v/>
      </c>
      <c r="AN925" s="27">
        <f>IF(I925="","",IFERROR(DATE(VALUE(RIGHT(I925,4)),VALUE(MID(I925,4,2)),VALUE(LEFT(I925,2))),""))</f>
        <v/>
      </c>
      <c r="AO925" s="27">
        <f>IF(Y925="","",IFERROR(DATE(VALUE(RIGHT(Y925,4)),VALUE(MID(Y925,4,2)),VALUE(LEFT(Y925,2))),""))</f>
        <v/>
      </c>
      <c r="AP925" s="27">
        <f>IF(AC925="","",IFERROR(DATE(VALUE(RIGHT(AC925,4)),VALUE(MID(AC925,4,2)),VALUE(LEFT(AC925,2))),""))</f>
        <v/>
      </c>
      <c r="AQ925" s="26">
        <f>IF(AI925="","",TRIM(LEFT(AI925,FIND(" ",AI925&amp;" ")-1)))</f>
        <v/>
      </c>
      <c r="AR925" s="27">
        <f>IF(AQ925="","",IFERROR(DATE(VALUE(MID(AQ925,FIND("/",AQ925,FIND("/",AQ925)+1)+1,4)),VALUE(LEFT(AQ925,FIND("/",AQ925)-1)),VALUE(MID(AQ925,FIND("/",AQ925)+1,FIND("/",AQ925,FIND("/",AQ925)+1)-FIND("/",AQ925)-1))),""))</f>
        <v/>
      </c>
      <c r="AS925" s="26">
        <f>IF(G925="","",IF(AND(AG925&lt;&gt;"",AG925&lt;&gt;"Bayi Aracı"),"Evet","Hayır"))</f>
        <v/>
      </c>
      <c r="AT925" s="26">
        <f>IF(G925="","",IF(AND(AS925="Evet",T925="Siparişiniz Teslim Edildi"),"Evet","Hayır"))</f>
        <v/>
      </c>
      <c r="AU925" s="26">
        <f>IF(G925="","",IF(AB925="Siparişinizin Montajı Yapıldı","Evet","Hayır"))</f>
        <v/>
      </c>
      <c r="AV925" s="27">
        <f>IF(G925="","",IF(AT925="Evet",AR925,IF(AU925="Evet",AP925,"")))</f>
        <v/>
      </c>
    </row>
    <row r="926">
      <c r="A926" s="23" t="n"/>
      <c r="B926" s="23" t="n"/>
      <c r="C926" s="23" t="n"/>
      <c r="D926" s="23" t="n"/>
      <c r="E926" s="23" t="n"/>
      <c r="F926" s="23" t="n"/>
      <c r="G926" s="23" t="n"/>
      <c r="H926" s="23" t="n"/>
      <c r="I926" s="23" t="n"/>
      <c r="J926" s="23" t="n"/>
      <c r="K926" s="23" t="n"/>
      <c r="L926" s="23" t="n"/>
      <c r="M926" s="23" t="n"/>
      <c r="N926" s="23" t="n"/>
      <c r="O926" s="23" t="n"/>
      <c r="P926" s="23" t="n"/>
      <c r="Q926" s="23" t="n"/>
      <c r="R926" s="23" t="n"/>
      <c r="S926" s="23" t="n"/>
      <c r="T926" s="23" t="n"/>
      <c r="U926" s="23" t="n"/>
      <c r="V926" s="23" t="n"/>
      <c r="W926" s="23" t="n"/>
      <c r="X926" s="23" t="n"/>
      <c r="Y926" s="23" t="n"/>
      <c r="Z926" s="23" t="n"/>
      <c r="AA926" s="23" t="n"/>
      <c r="AB926" s="23" t="n"/>
      <c r="AC926" s="23" t="n"/>
      <c r="AD926" s="23" t="n"/>
      <c r="AE926" s="23" t="n"/>
      <c r="AF926" s="23" t="n"/>
      <c r="AG926" s="23" t="n"/>
      <c r="AH926" s="23" t="n"/>
      <c r="AI926" s="23" t="n"/>
      <c r="AJ926" s="23" t="n"/>
      <c r="AK926" s="23" t="n"/>
      <c r="AL926" s="23" t="n"/>
      <c r="AM926" s="26">
        <f>IF(G926="","",G926&amp;"|"&amp;P926)</f>
        <v/>
      </c>
      <c r="AN926" s="27">
        <f>IF(I926="","",IFERROR(DATE(VALUE(RIGHT(I926,4)),VALUE(MID(I926,4,2)),VALUE(LEFT(I926,2))),""))</f>
        <v/>
      </c>
      <c r="AO926" s="27">
        <f>IF(Y926="","",IFERROR(DATE(VALUE(RIGHT(Y926,4)),VALUE(MID(Y926,4,2)),VALUE(LEFT(Y926,2))),""))</f>
        <v/>
      </c>
      <c r="AP926" s="27">
        <f>IF(AC926="","",IFERROR(DATE(VALUE(RIGHT(AC926,4)),VALUE(MID(AC926,4,2)),VALUE(LEFT(AC926,2))),""))</f>
        <v/>
      </c>
      <c r="AQ926" s="26">
        <f>IF(AI926="","",TRIM(LEFT(AI926,FIND(" ",AI926&amp;" ")-1)))</f>
        <v/>
      </c>
      <c r="AR926" s="27">
        <f>IF(AQ926="","",IFERROR(DATE(VALUE(MID(AQ926,FIND("/",AQ926,FIND("/",AQ926)+1)+1,4)),VALUE(LEFT(AQ926,FIND("/",AQ926)-1)),VALUE(MID(AQ926,FIND("/",AQ926)+1,FIND("/",AQ926,FIND("/",AQ926)+1)-FIND("/",AQ926)-1))),""))</f>
        <v/>
      </c>
      <c r="AS926" s="26">
        <f>IF(G926="","",IF(AND(AG926&lt;&gt;"",AG926&lt;&gt;"Bayi Aracı"),"Evet","Hayır"))</f>
        <v/>
      </c>
      <c r="AT926" s="26">
        <f>IF(G926="","",IF(AND(AS926="Evet",T926="Siparişiniz Teslim Edildi"),"Evet","Hayır"))</f>
        <v/>
      </c>
      <c r="AU926" s="26">
        <f>IF(G926="","",IF(AB926="Siparişinizin Montajı Yapıldı","Evet","Hayır"))</f>
        <v/>
      </c>
      <c r="AV926" s="27">
        <f>IF(G926="","",IF(AT926="Evet",AR926,IF(AU926="Evet",AP926,"")))</f>
        <v/>
      </c>
    </row>
    <row r="927">
      <c r="A927" s="23" t="n"/>
      <c r="B927" s="23" t="n"/>
      <c r="C927" s="23" t="n"/>
      <c r="D927" s="23" t="n"/>
      <c r="E927" s="23" t="n"/>
      <c r="F927" s="23" t="n"/>
      <c r="G927" s="23" t="n"/>
      <c r="H927" s="23" t="n"/>
      <c r="I927" s="23" t="n"/>
      <c r="J927" s="23" t="n"/>
      <c r="K927" s="23" t="n"/>
      <c r="L927" s="23" t="n"/>
      <c r="M927" s="23" t="n"/>
      <c r="N927" s="23" t="n"/>
      <c r="O927" s="23" t="n"/>
      <c r="P927" s="23" t="n"/>
      <c r="Q927" s="23" t="n"/>
      <c r="R927" s="23" t="n"/>
      <c r="S927" s="23" t="n"/>
      <c r="T927" s="23" t="n"/>
      <c r="U927" s="23" t="n"/>
      <c r="V927" s="23" t="n"/>
      <c r="W927" s="23" t="n"/>
      <c r="X927" s="23" t="n"/>
      <c r="Y927" s="23" t="n"/>
      <c r="Z927" s="23" t="n"/>
      <c r="AA927" s="23" t="n"/>
      <c r="AB927" s="23" t="n"/>
      <c r="AC927" s="23" t="n"/>
      <c r="AD927" s="23" t="n"/>
      <c r="AE927" s="23" t="n"/>
      <c r="AF927" s="23" t="n"/>
      <c r="AG927" s="23" t="n"/>
      <c r="AH927" s="23" t="n"/>
      <c r="AI927" s="23" t="n"/>
      <c r="AJ927" s="23" t="n"/>
      <c r="AK927" s="23" t="n"/>
      <c r="AL927" s="23" t="n"/>
      <c r="AM927" s="26">
        <f>IF(G927="","",G927&amp;"|"&amp;P927)</f>
        <v/>
      </c>
      <c r="AN927" s="27">
        <f>IF(I927="","",IFERROR(DATE(VALUE(RIGHT(I927,4)),VALUE(MID(I927,4,2)),VALUE(LEFT(I927,2))),""))</f>
        <v/>
      </c>
      <c r="AO927" s="27">
        <f>IF(Y927="","",IFERROR(DATE(VALUE(RIGHT(Y927,4)),VALUE(MID(Y927,4,2)),VALUE(LEFT(Y927,2))),""))</f>
        <v/>
      </c>
      <c r="AP927" s="27">
        <f>IF(AC927="","",IFERROR(DATE(VALUE(RIGHT(AC927,4)),VALUE(MID(AC927,4,2)),VALUE(LEFT(AC927,2))),""))</f>
        <v/>
      </c>
      <c r="AQ927" s="26">
        <f>IF(AI927="","",TRIM(LEFT(AI927,FIND(" ",AI927&amp;" ")-1)))</f>
        <v/>
      </c>
      <c r="AR927" s="27">
        <f>IF(AQ927="","",IFERROR(DATE(VALUE(MID(AQ927,FIND("/",AQ927,FIND("/",AQ927)+1)+1,4)),VALUE(LEFT(AQ927,FIND("/",AQ927)-1)),VALUE(MID(AQ927,FIND("/",AQ927)+1,FIND("/",AQ927,FIND("/",AQ927)+1)-FIND("/",AQ927)-1))),""))</f>
        <v/>
      </c>
      <c r="AS927" s="26">
        <f>IF(G927="","",IF(AND(AG927&lt;&gt;"",AG927&lt;&gt;"Bayi Aracı"),"Evet","Hayır"))</f>
        <v/>
      </c>
      <c r="AT927" s="26">
        <f>IF(G927="","",IF(AND(AS927="Evet",T927="Siparişiniz Teslim Edildi"),"Evet","Hayır"))</f>
        <v/>
      </c>
      <c r="AU927" s="26">
        <f>IF(G927="","",IF(AB927="Siparişinizin Montajı Yapıldı","Evet","Hayır"))</f>
        <v/>
      </c>
      <c r="AV927" s="27">
        <f>IF(G927="","",IF(AT927="Evet",AR927,IF(AU927="Evet",AP927,"")))</f>
        <v/>
      </c>
    </row>
    <row r="928">
      <c r="A928" s="23" t="n"/>
      <c r="B928" s="23" t="n"/>
      <c r="C928" s="23" t="n"/>
      <c r="D928" s="23" t="n"/>
      <c r="E928" s="23" t="n"/>
      <c r="F928" s="23" t="n"/>
      <c r="G928" s="23" t="n"/>
      <c r="H928" s="23" t="n"/>
      <c r="I928" s="23" t="n"/>
      <c r="J928" s="23" t="n"/>
      <c r="K928" s="23" t="n"/>
      <c r="L928" s="23" t="n"/>
      <c r="M928" s="23" t="n"/>
      <c r="N928" s="23" t="n"/>
      <c r="O928" s="23" t="n"/>
      <c r="P928" s="23" t="n"/>
      <c r="Q928" s="23" t="n"/>
      <c r="R928" s="23" t="n"/>
      <c r="S928" s="23" t="n"/>
      <c r="T928" s="23" t="n"/>
      <c r="U928" s="23" t="n"/>
      <c r="V928" s="23" t="n"/>
      <c r="W928" s="23" t="n"/>
      <c r="X928" s="23" t="n"/>
      <c r="Y928" s="23" t="n"/>
      <c r="Z928" s="23" t="n"/>
      <c r="AA928" s="23" t="n"/>
      <c r="AB928" s="23" t="n"/>
      <c r="AC928" s="23" t="n"/>
      <c r="AD928" s="23" t="n"/>
      <c r="AE928" s="23" t="n"/>
      <c r="AF928" s="23" t="n"/>
      <c r="AG928" s="23" t="n"/>
      <c r="AH928" s="23" t="n"/>
      <c r="AI928" s="23" t="n"/>
      <c r="AJ928" s="23" t="n"/>
      <c r="AK928" s="23" t="n"/>
      <c r="AL928" s="23" t="n"/>
      <c r="AM928" s="26">
        <f>IF(G928="","",G928&amp;"|"&amp;P928)</f>
        <v/>
      </c>
      <c r="AN928" s="27">
        <f>IF(I928="","",IFERROR(DATE(VALUE(RIGHT(I928,4)),VALUE(MID(I928,4,2)),VALUE(LEFT(I928,2))),""))</f>
        <v/>
      </c>
      <c r="AO928" s="27">
        <f>IF(Y928="","",IFERROR(DATE(VALUE(RIGHT(Y928,4)),VALUE(MID(Y928,4,2)),VALUE(LEFT(Y928,2))),""))</f>
        <v/>
      </c>
      <c r="AP928" s="27">
        <f>IF(AC928="","",IFERROR(DATE(VALUE(RIGHT(AC928,4)),VALUE(MID(AC928,4,2)),VALUE(LEFT(AC928,2))),""))</f>
        <v/>
      </c>
      <c r="AQ928" s="26">
        <f>IF(AI928="","",TRIM(LEFT(AI928,FIND(" ",AI928&amp;" ")-1)))</f>
        <v/>
      </c>
      <c r="AR928" s="27">
        <f>IF(AQ928="","",IFERROR(DATE(VALUE(MID(AQ928,FIND("/",AQ928,FIND("/",AQ928)+1)+1,4)),VALUE(LEFT(AQ928,FIND("/",AQ928)-1)),VALUE(MID(AQ928,FIND("/",AQ928)+1,FIND("/",AQ928,FIND("/",AQ928)+1)-FIND("/",AQ928)-1))),""))</f>
        <v/>
      </c>
      <c r="AS928" s="26">
        <f>IF(G928="","",IF(AND(AG928&lt;&gt;"",AG928&lt;&gt;"Bayi Aracı"),"Evet","Hayır"))</f>
        <v/>
      </c>
      <c r="AT928" s="26">
        <f>IF(G928="","",IF(AND(AS928="Evet",T928="Siparişiniz Teslim Edildi"),"Evet","Hayır"))</f>
        <v/>
      </c>
      <c r="AU928" s="26">
        <f>IF(G928="","",IF(AB928="Siparişinizin Montajı Yapıldı","Evet","Hayır"))</f>
        <v/>
      </c>
      <c r="AV928" s="27">
        <f>IF(G928="","",IF(AT928="Evet",AR928,IF(AU928="Evet",AP928,"")))</f>
        <v/>
      </c>
    </row>
    <row r="929">
      <c r="A929" s="23" t="n"/>
      <c r="B929" s="23" t="n"/>
      <c r="C929" s="23" t="n"/>
      <c r="D929" s="23" t="n"/>
      <c r="E929" s="23" t="n"/>
      <c r="F929" s="23" t="n"/>
      <c r="G929" s="23" t="n"/>
      <c r="H929" s="23" t="n"/>
      <c r="I929" s="23" t="n"/>
      <c r="J929" s="23" t="n"/>
      <c r="K929" s="23" t="n"/>
      <c r="L929" s="23" t="n"/>
      <c r="M929" s="23" t="n"/>
      <c r="N929" s="23" t="n"/>
      <c r="O929" s="23" t="n"/>
      <c r="P929" s="23" t="n"/>
      <c r="Q929" s="23" t="n"/>
      <c r="R929" s="23" t="n"/>
      <c r="S929" s="23" t="n"/>
      <c r="T929" s="23" t="n"/>
      <c r="U929" s="23" t="n"/>
      <c r="V929" s="23" t="n"/>
      <c r="W929" s="23" t="n"/>
      <c r="X929" s="23" t="n"/>
      <c r="Y929" s="23" t="n"/>
      <c r="Z929" s="23" t="n"/>
      <c r="AA929" s="23" t="n"/>
      <c r="AB929" s="23" t="n"/>
      <c r="AC929" s="23" t="n"/>
      <c r="AD929" s="23" t="n"/>
      <c r="AE929" s="23" t="n"/>
      <c r="AF929" s="23" t="n"/>
      <c r="AG929" s="23" t="n"/>
      <c r="AH929" s="23" t="n"/>
      <c r="AI929" s="23" t="n"/>
      <c r="AJ929" s="23" t="n"/>
      <c r="AK929" s="23" t="n"/>
      <c r="AL929" s="23" t="n"/>
      <c r="AM929" s="26">
        <f>IF(G929="","",G929&amp;"|"&amp;P929)</f>
        <v/>
      </c>
      <c r="AN929" s="27">
        <f>IF(I929="","",IFERROR(DATE(VALUE(RIGHT(I929,4)),VALUE(MID(I929,4,2)),VALUE(LEFT(I929,2))),""))</f>
        <v/>
      </c>
      <c r="AO929" s="27">
        <f>IF(Y929="","",IFERROR(DATE(VALUE(RIGHT(Y929,4)),VALUE(MID(Y929,4,2)),VALUE(LEFT(Y929,2))),""))</f>
        <v/>
      </c>
      <c r="AP929" s="27">
        <f>IF(AC929="","",IFERROR(DATE(VALUE(RIGHT(AC929,4)),VALUE(MID(AC929,4,2)),VALUE(LEFT(AC929,2))),""))</f>
        <v/>
      </c>
      <c r="AQ929" s="26">
        <f>IF(AI929="","",TRIM(LEFT(AI929,FIND(" ",AI929&amp;" ")-1)))</f>
        <v/>
      </c>
      <c r="AR929" s="27">
        <f>IF(AQ929="","",IFERROR(DATE(VALUE(MID(AQ929,FIND("/",AQ929,FIND("/",AQ929)+1)+1,4)),VALUE(LEFT(AQ929,FIND("/",AQ929)-1)),VALUE(MID(AQ929,FIND("/",AQ929)+1,FIND("/",AQ929,FIND("/",AQ929)+1)-FIND("/",AQ929)-1))),""))</f>
        <v/>
      </c>
      <c r="AS929" s="26">
        <f>IF(G929="","",IF(AND(AG929&lt;&gt;"",AG929&lt;&gt;"Bayi Aracı"),"Evet","Hayır"))</f>
        <v/>
      </c>
      <c r="AT929" s="26">
        <f>IF(G929="","",IF(AND(AS929="Evet",T929="Siparişiniz Teslim Edildi"),"Evet","Hayır"))</f>
        <v/>
      </c>
      <c r="AU929" s="26">
        <f>IF(G929="","",IF(AB929="Siparişinizin Montajı Yapıldı","Evet","Hayır"))</f>
        <v/>
      </c>
      <c r="AV929" s="27">
        <f>IF(G929="","",IF(AT929="Evet",AR929,IF(AU929="Evet",AP929,"")))</f>
        <v/>
      </c>
    </row>
    <row r="930">
      <c r="A930" s="23" t="n"/>
      <c r="B930" s="23" t="n"/>
      <c r="C930" s="23" t="n"/>
      <c r="D930" s="23" t="n"/>
      <c r="E930" s="23" t="n"/>
      <c r="F930" s="23" t="n"/>
      <c r="G930" s="23" t="n"/>
      <c r="H930" s="23" t="n"/>
      <c r="I930" s="23" t="n"/>
      <c r="J930" s="23" t="n"/>
      <c r="K930" s="23" t="n"/>
      <c r="L930" s="23" t="n"/>
      <c r="M930" s="23" t="n"/>
      <c r="N930" s="23" t="n"/>
      <c r="O930" s="23" t="n"/>
      <c r="P930" s="23" t="n"/>
      <c r="Q930" s="23" t="n"/>
      <c r="R930" s="23" t="n"/>
      <c r="S930" s="23" t="n"/>
      <c r="T930" s="23" t="n"/>
      <c r="U930" s="23" t="n"/>
      <c r="V930" s="23" t="n"/>
      <c r="W930" s="23" t="n"/>
      <c r="X930" s="23" t="n"/>
      <c r="Y930" s="23" t="n"/>
      <c r="Z930" s="23" t="n"/>
      <c r="AA930" s="23" t="n"/>
      <c r="AB930" s="23" t="n"/>
      <c r="AC930" s="23" t="n"/>
      <c r="AD930" s="23" t="n"/>
      <c r="AE930" s="23" t="n"/>
      <c r="AF930" s="23" t="n"/>
      <c r="AG930" s="23" t="n"/>
      <c r="AH930" s="23" t="n"/>
      <c r="AI930" s="23" t="n"/>
      <c r="AJ930" s="23" t="n"/>
      <c r="AK930" s="23" t="n"/>
      <c r="AL930" s="23" t="n"/>
      <c r="AM930" s="26">
        <f>IF(G930="","",G930&amp;"|"&amp;P930)</f>
        <v/>
      </c>
      <c r="AN930" s="27">
        <f>IF(I930="","",IFERROR(DATE(VALUE(RIGHT(I930,4)),VALUE(MID(I930,4,2)),VALUE(LEFT(I930,2))),""))</f>
        <v/>
      </c>
      <c r="AO930" s="27">
        <f>IF(Y930="","",IFERROR(DATE(VALUE(RIGHT(Y930,4)),VALUE(MID(Y930,4,2)),VALUE(LEFT(Y930,2))),""))</f>
        <v/>
      </c>
      <c r="AP930" s="27">
        <f>IF(AC930="","",IFERROR(DATE(VALUE(RIGHT(AC930,4)),VALUE(MID(AC930,4,2)),VALUE(LEFT(AC930,2))),""))</f>
        <v/>
      </c>
      <c r="AQ930" s="26">
        <f>IF(AI930="","",TRIM(LEFT(AI930,FIND(" ",AI930&amp;" ")-1)))</f>
        <v/>
      </c>
      <c r="AR930" s="27">
        <f>IF(AQ930="","",IFERROR(DATE(VALUE(MID(AQ930,FIND("/",AQ930,FIND("/",AQ930)+1)+1,4)),VALUE(LEFT(AQ930,FIND("/",AQ930)-1)),VALUE(MID(AQ930,FIND("/",AQ930)+1,FIND("/",AQ930,FIND("/",AQ930)+1)-FIND("/",AQ930)-1))),""))</f>
        <v/>
      </c>
      <c r="AS930" s="26">
        <f>IF(G930="","",IF(AND(AG930&lt;&gt;"",AG930&lt;&gt;"Bayi Aracı"),"Evet","Hayır"))</f>
        <v/>
      </c>
      <c r="AT930" s="26">
        <f>IF(G930="","",IF(AND(AS930="Evet",T930="Siparişiniz Teslim Edildi"),"Evet","Hayır"))</f>
        <v/>
      </c>
      <c r="AU930" s="26">
        <f>IF(G930="","",IF(AB930="Siparişinizin Montajı Yapıldı","Evet","Hayır"))</f>
        <v/>
      </c>
      <c r="AV930" s="27">
        <f>IF(G930="","",IF(AT930="Evet",AR930,IF(AU930="Evet",AP930,"")))</f>
        <v/>
      </c>
    </row>
    <row r="931">
      <c r="A931" s="23" t="n"/>
      <c r="B931" s="23" t="n"/>
      <c r="C931" s="23" t="n"/>
      <c r="D931" s="23" t="n"/>
      <c r="E931" s="23" t="n"/>
      <c r="F931" s="23" t="n"/>
      <c r="G931" s="23" t="n"/>
      <c r="H931" s="23" t="n"/>
      <c r="I931" s="23" t="n"/>
      <c r="J931" s="23" t="n"/>
      <c r="K931" s="23" t="n"/>
      <c r="L931" s="23" t="n"/>
      <c r="M931" s="23" t="n"/>
      <c r="N931" s="23" t="n"/>
      <c r="O931" s="23" t="n"/>
      <c r="P931" s="23" t="n"/>
      <c r="Q931" s="23" t="n"/>
      <c r="R931" s="23" t="n"/>
      <c r="S931" s="23" t="n"/>
      <c r="T931" s="23" t="n"/>
      <c r="U931" s="23" t="n"/>
      <c r="V931" s="23" t="n"/>
      <c r="W931" s="23" t="n"/>
      <c r="X931" s="23" t="n"/>
      <c r="Y931" s="23" t="n"/>
      <c r="Z931" s="23" t="n"/>
      <c r="AA931" s="23" t="n"/>
      <c r="AB931" s="23" t="n"/>
      <c r="AC931" s="23" t="n"/>
      <c r="AD931" s="23" t="n"/>
      <c r="AE931" s="23" t="n"/>
      <c r="AF931" s="23" t="n"/>
      <c r="AG931" s="23" t="n"/>
      <c r="AH931" s="23" t="n"/>
      <c r="AI931" s="23" t="n"/>
      <c r="AJ931" s="23" t="n"/>
      <c r="AK931" s="23" t="n"/>
      <c r="AL931" s="23" t="n"/>
      <c r="AM931" s="26">
        <f>IF(G931="","",G931&amp;"|"&amp;P931)</f>
        <v/>
      </c>
      <c r="AN931" s="27">
        <f>IF(I931="","",IFERROR(DATE(VALUE(RIGHT(I931,4)),VALUE(MID(I931,4,2)),VALUE(LEFT(I931,2))),""))</f>
        <v/>
      </c>
      <c r="AO931" s="27">
        <f>IF(Y931="","",IFERROR(DATE(VALUE(RIGHT(Y931,4)),VALUE(MID(Y931,4,2)),VALUE(LEFT(Y931,2))),""))</f>
        <v/>
      </c>
      <c r="AP931" s="27">
        <f>IF(AC931="","",IFERROR(DATE(VALUE(RIGHT(AC931,4)),VALUE(MID(AC931,4,2)),VALUE(LEFT(AC931,2))),""))</f>
        <v/>
      </c>
      <c r="AQ931" s="26">
        <f>IF(AI931="","",TRIM(LEFT(AI931,FIND(" ",AI931&amp;" ")-1)))</f>
        <v/>
      </c>
      <c r="AR931" s="27">
        <f>IF(AQ931="","",IFERROR(DATE(VALUE(MID(AQ931,FIND("/",AQ931,FIND("/",AQ931)+1)+1,4)),VALUE(LEFT(AQ931,FIND("/",AQ931)-1)),VALUE(MID(AQ931,FIND("/",AQ931)+1,FIND("/",AQ931,FIND("/",AQ931)+1)-FIND("/",AQ931)-1))),""))</f>
        <v/>
      </c>
      <c r="AS931" s="26">
        <f>IF(G931="","",IF(AND(AG931&lt;&gt;"",AG931&lt;&gt;"Bayi Aracı"),"Evet","Hayır"))</f>
        <v/>
      </c>
      <c r="AT931" s="26">
        <f>IF(G931="","",IF(AND(AS931="Evet",T931="Siparişiniz Teslim Edildi"),"Evet","Hayır"))</f>
        <v/>
      </c>
      <c r="AU931" s="26">
        <f>IF(G931="","",IF(AB931="Siparişinizin Montajı Yapıldı","Evet","Hayır"))</f>
        <v/>
      </c>
      <c r="AV931" s="27">
        <f>IF(G931="","",IF(AT931="Evet",AR931,IF(AU931="Evet",AP931,"")))</f>
        <v/>
      </c>
    </row>
    <row r="932">
      <c r="A932" s="23" t="n"/>
      <c r="B932" s="23" t="n"/>
      <c r="C932" s="23" t="n"/>
      <c r="D932" s="23" t="n"/>
      <c r="E932" s="23" t="n"/>
      <c r="F932" s="23" t="n"/>
      <c r="G932" s="23" t="n"/>
      <c r="H932" s="23" t="n"/>
      <c r="I932" s="23" t="n"/>
      <c r="J932" s="23" t="n"/>
      <c r="K932" s="23" t="n"/>
      <c r="L932" s="23" t="n"/>
      <c r="M932" s="23" t="n"/>
      <c r="N932" s="23" t="n"/>
      <c r="O932" s="23" t="n"/>
      <c r="P932" s="23" t="n"/>
      <c r="Q932" s="23" t="n"/>
      <c r="R932" s="23" t="n"/>
      <c r="S932" s="23" t="n"/>
      <c r="T932" s="23" t="n"/>
      <c r="U932" s="23" t="n"/>
      <c r="V932" s="23" t="n"/>
      <c r="W932" s="23" t="n"/>
      <c r="X932" s="23" t="n"/>
      <c r="Y932" s="23" t="n"/>
      <c r="Z932" s="23" t="n"/>
      <c r="AA932" s="23" t="n"/>
      <c r="AB932" s="23" t="n"/>
      <c r="AC932" s="23" t="n"/>
      <c r="AD932" s="23" t="n"/>
      <c r="AE932" s="23" t="n"/>
      <c r="AF932" s="23" t="n"/>
      <c r="AG932" s="23" t="n"/>
      <c r="AH932" s="23" t="n"/>
      <c r="AI932" s="23" t="n"/>
      <c r="AJ932" s="23" t="n"/>
      <c r="AK932" s="23" t="n"/>
      <c r="AL932" s="23" t="n"/>
      <c r="AM932" s="26">
        <f>IF(G932="","",G932&amp;"|"&amp;P932)</f>
        <v/>
      </c>
      <c r="AN932" s="27">
        <f>IF(I932="","",IFERROR(DATE(VALUE(RIGHT(I932,4)),VALUE(MID(I932,4,2)),VALUE(LEFT(I932,2))),""))</f>
        <v/>
      </c>
      <c r="AO932" s="27">
        <f>IF(Y932="","",IFERROR(DATE(VALUE(RIGHT(Y932,4)),VALUE(MID(Y932,4,2)),VALUE(LEFT(Y932,2))),""))</f>
        <v/>
      </c>
      <c r="AP932" s="27">
        <f>IF(AC932="","",IFERROR(DATE(VALUE(RIGHT(AC932,4)),VALUE(MID(AC932,4,2)),VALUE(LEFT(AC932,2))),""))</f>
        <v/>
      </c>
      <c r="AQ932" s="26">
        <f>IF(AI932="","",TRIM(LEFT(AI932,FIND(" ",AI932&amp;" ")-1)))</f>
        <v/>
      </c>
      <c r="AR932" s="27">
        <f>IF(AQ932="","",IFERROR(DATE(VALUE(MID(AQ932,FIND("/",AQ932,FIND("/",AQ932)+1)+1,4)),VALUE(LEFT(AQ932,FIND("/",AQ932)-1)),VALUE(MID(AQ932,FIND("/",AQ932)+1,FIND("/",AQ932,FIND("/",AQ932)+1)-FIND("/",AQ932)-1))),""))</f>
        <v/>
      </c>
      <c r="AS932" s="26">
        <f>IF(G932="","",IF(AND(AG932&lt;&gt;"",AG932&lt;&gt;"Bayi Aracı"),"Evet","Hayır"))</f>
        <v/>
      </c>
      <c r="AT932" s="26">
        <f>IF(G932="","",IF(AND(AS932="Evet",T932="Siparişiniz Teslim Edildi"),"Evet","Hayır"))</f>
        <v/>
      </c>
      <c r="AU932" s="26">
        <f>IF(G932="","",IF(AB932="Siparişinizin Montajı Yapıldı","Evet","Hayır"))</f>
        <v/>
      </c>
      <c r="AV932" s="27">
        <f>IF(G932="","",IF(AT932="Evet",AR932,IF(AU932="Evet",AP932,"")))</f>
        <v/>
      </c>
    </row>
    <row r="933">
      <c r="A933" s="23" t="n"/>
      <c r="B933" s="23" t="n"/>
      <c r="C933" s="23" t="n"/>
      <c r="D933" s="23" t="n"/>
      <c r="E933" s="23" t="n"/>
      <c r="F933" s="23" t="n"/>
      <c r="G933" s="23" t="n"/>
      <c r="H933" s="23" t="n"/>
      <c r="I933" s="23" t="n"/>
      <c r="J933" s="23" t="n"/>
      <c r="K933" s="23" t="n"/>
      <c r="L933" s="23" t="n"/>
      <c r="M933" s="23" t="n"/>
      <c r="N933" s="23" t="n"/>
      <c r="O933" s="23" t="n"/>
      <c r="P933" s="23" t="n"/>
      <c r="Q933" s="23" t="n"/>
      <c r="R933" s="23" t="n"/>
      <c r="S933" s="23" t="n"/>
      <c r="T933" s="23" t="n"/>
      <c r="U933" s="23" t="n"/>
      <c r="V933" s="23" t="n"/>
      <c r="W933" s="23" t="n"/>
      <c r="X933" s="23" t="n"/>
      <c r="Y933" s="23" t="n"/>
      <c r="Z933" s="23" t="n"/>
      <c r="AA933" s="23" t="n"/>
      <c r="AB933" s="23" t="n"/>
      <c r="AC933" s="23" t="n"/>
      <c r="AD933" s="23" t="n"/>
      <c r="AE933" s="23" t="n"/>
      <c r="AF933" s="23" t="n"/>
      <c r="AG933" s="23" t="n"/>
      <c r="AH933" s="23" t="n"/>
      <c r="AI933" s="23" t="n"/>
      <c r="AJ933" s="23" t="n"/>
      <c r="AK933" s="23" t="n"/>
      <c r="AL933" s="23" t="n"/>
      <c r="AM933" s="26">
        <f>IF(G933="","",G933&amp;"|"&amp;P933)</f>
        <v/>
      </c>
      <c r="AN933" s="27">
        <f>IF(I933="","",IFERROR(DATE(VALUE(RIGHT(I933,4)),VALUE(MID(I933,4,2)),VALUE(LEFT(I933,2))),""))</f>
        <v/>
      </c>
      <c r="AO933" s="27">
        <f>IF(Y933="","",IFERROR(DATE(VALUE(RIGHT(Y933,4)),VALUE(MID(Y933,4,2)),VALUE(LEFT(Y933,2))),""))</f>
        <v/>
      </c>
      <c r="AP933" s="27">
        <f>IF(AC933="","",IFERROR(DATE(VALUE(RIGHT(AC933,4)),VALUE(MID(AC933,4,2)),VALUE(LEFT(AC933,2))),""))</f>
        <v/>
      </c>
      <c r="AQ933" s="26">
        <f>IF(AI933="","",TRIM(LEFT(AI933,FIND(" ",AI933&amp;" ")-1)))</f>
        <v/>
      </c>
      <c r="AR933" s="27">
        <f>IF(AQ933="","",IFERROR(DATE(VALUE(MID(AQ933,FIND("/",AQ933,FIND("/",AQ933)+1)+1,4)),VALUE(LEFT(AQ933,FIND("/",AQ933)-1)),VALUE(MID(AQ933,FIND("/",AQ933)+1,FIND("/",AQ933,FIND("/",AQ933)+1)-FIND("/",AQ933)-1))),""))</f>
        <v/>
      </c>
      <c r="AS933" s="26">
        <f>IF(G933="","",IF(AND(AG933&lt;&gt;"",AG933&lt;&gt;"Bayi Aracı"),"Evet","Hayır"))</f>
        <v/>
      </c>
      <c r="AT933" s="26">
        <f>IF(G933="","",IF(AND(AS933="Evet",T933="Siparişiniz Teslim Edildi"),"Evet","Hayır"))</f>
        <v/>
      </c>
      <c r="AU933" s="26">
        <f>IF(G933="","",IF(AB933="Siparişinizin Montajı Yapıldı","Evet","Hayır"))</f>
        <v/>
      </c>
      <c r="AV933" s="27">
        <f>IF(G933="","",IF(AT933="Evet",AR933,IF(AU933="Evet",AP933,"")))</f>
        <v/>
      </c>
    </row>
    <row r="934">
      <c r="A934" s="23" t="n"/>
      <c r="B934" s="23" t="n"/>
      <c r="C934" s="23" t="n"/>
      <c r="D934" s="23" t="n"/>
      <c r="E934" s="23" t="n"/>
      <c r="F934" s="23" t="n"/>
      <c r="G934" s="23" t="n"/>
      <c r="H934" s="23" t="n"/>
      <c r="I934" s="23" t="n"/>
      <c r="J934" s="23" t="n"/>
      <c r="K934" s="23" t="n"/>
      <c r="L934" s="23" t="n"/>
      <c r="M934" s="23" t="n"/>
      <c r="N934" s="23" t="n"/>
      <c r="O934" s="23" t="n"/>
      <c r="P934" s="23" t="n"/>
      <c r="Q934" s="23" t="n"/>
      <c r="R934" s="23" t="n"/>
      <c r="S934" s="23" t="n"/>
      <c r="T934" s="23" t="n"/>
      <c r="U934" s="23" t="n"/>
      <c r="V934" s="23" t="n"/>
      <c r="W934" s="23" t="n"/>
      <c r="X934" s="23" t="n"/>
      <c r="Y934" s="23" t="n"/>
      <c r="Z934" s="23" t="n"/>
      <c r="AA934" s="23" t="n"/>
      <c r="AB934" s="23" t="n"/>
      <c r="AC934" s="23" t="n"/>
      <c r="AD934" s="23" t="n"/>
      <c r="AE934" s="23" t="n"/>
      <c r="AF934" s="23" t="n"/>
      <c r="AG934" s="23" t="n"/>
      <c r="AH934" s="23" t="n"/>
      <c r="AI934" s="23" t="n"/>
      <c r="AJ934" s="23" t="n"/>
      <c r="AK934" s="23" t="n"/>
      <c r="AL934" s="23" t="n"/>
      <c r="AM934" s="26">
        <f>IF(G934="","",G934&amp;"|"&amp;P934)</f>
        <v/>
      </c>
      <c r="AN934" s="27">
        <f>IF(I934="","",IFERROR(DATE(VALUE(RIGHT(I934,4)),VALUE(MID(I934,4,2)),VALUE(LEFT(I934,2))),""))</f>
        <v/>
      </c>
      <c r="AO934" s="27">
        <f>IF(Y934="","",IFERROR(DATE(VALUE(RIGHT(Y934,4)),VALUE(MID(Y934,4,2)),VALUE(LEFT(Y934,2))),""))</f>
        <v/>
      </c>
      <c r="AP934" s="27">
        <f>IF(AC934="","",IFERROR(DATE(VALUE(RIGHT(AC934,4)),VALUE(MID(AC934,4,2)),VALUE(LEFT(AC934,2))),""))</f>
        <v/>
      </c>
      <c r="AQ934" s="26">
        <f>IF(AI934="","",TRIM(LEFT(AI934,FIND(" ",AI934&amp;" ")-1)))</f>
        <v/>
      </c>
      <c r="AR934" s="27">
        <f>IF(AQ934="","",IFERROR(DATE(VALUE(MID(AQ934,FIND("/",AQ934,FIND("/",AQ934)+1)+1,4)),VALUE(LEFT(AQ934,FIND("/",AQ934)-1)),VALUE(MID(AQ934,FIND("/",AQ934)+1,FIND("/",AQ934,FIND("/",AQ934)+1)-FIND("/",AQ934)-1))),""))</f>
        <v/>
      </c>
      <c r="AS934" s="26">
        <f>IF(G934="","",IF(AND(AG934&lt;&gt;"",AG934&lt;&gt;"Bayi Aracı"),"Evet","Hayır"))</f>
        <v/>
      </c>
      <c r="AT934" s="26">
        <f>IF(G934="","",IF(AND(AS934="Evet",T934="Siparişiniz Teslim Edildi"),"Evet","Hayır"))</f>
        <v/>
      </c>
      <c r="AU934" s="26">
        <f>IF(G934="","",IF(AB934="Siparişinizin Montajı Yapıldı","Evet","Hayır"))</f>
        <v/>
      </c>
      <c r="AV934" s="27">
        <f>IF(G934="","",IF(AT934="Evet",AR934,IF(AU934="Evet",AP934,"")))</f>
        <v/>
      </c>
    </row>
    <row r="935">
      <c r="A935" s="23" t="n"/>
      <c r="B935" s="23" t="n"/>
      <c r="C935" s="23" t="n"/>
      <c r="D935" s="23" t="n"/>
      <c r="E935" s="23" t="n"/>
      <c r="F935" s="23" t="n"/>
      <c r="G935" s="23" t="n"/>
      <c r="H935" s="23" t="n"/>
      <c r="I935" s="23" t="n"/>
      <c r="J935" s="23" t="n"/>
      <c r="K935" s="23" t="n"/>
      <c r="L935" s="23" t="n"/>
      <c r="M935" s="23" t="n"/>
      <c r="N935" s="23" t="n"/>
      <c r="O935" s="23" t="n"/>
      <c r="P935" s="23" t="n"/>
      <c r="Q935" s="23" t="n"/>
      <c r="R935" s="23" t="n"/>
      <c r="S935" s="23" t="n"/>
      <c r="T935" s="23" t="n"/>
      <c r="U935" s="23" t="n"/>
      <c r="V935" s="23" t="n"/>
      <c r="W935" s="23" t="n"/>
      <c r="X935" s="23" t="n"/>
      <c r="Y935" s="23" t="n"/>
      <c r="Z935" s="23" t="n"/>
      <c r="AA935" s="23" t="n"/>
      <c r="AB935" s="23" t="n"/>
      <c r="AC935" s="23" t="n"/>
      <c r="AD935" s="23" t="n"/>
      <c r="AE935" s="23" t="n"/>
      <c r="AF935" s="23" t="n"/>
      <c r="AG935" s="23" t="n"/>
      <c r="AH935" s="23" t="n"/>
      <c r="AI935" s="23" t="n"/>
      <c r="AJ935" s="23" t="n"/>
      <c r="AK935" s="23" t="n"/>
      <c r="AL935" s="23" t="n"/>
      <c r="AM935" s="26">
        <f>IF(G935="","",G935&amp;"|"&amp;P935)</f>
        <v/>
      </c>
      <c r="AN935" s="27">
        <f>IF(I935="","",IFERROR(DATE(VALUE(RIGHT(I935,4)),VALUE(MID(I935,4,2)),VALUE(LEFT(I935,2))),""))</f>
        <v/>
      </c>
      <c r="AO935" s="27">
        <f>IF(Y935="","",IFERROR(DATE(VALUE(RIGHT(Y935,4)),VALUE(MID(Y935,4,2)),VALUE(LEFT(Y935,2))),""))</f>
        <v/>
      </c>
      <c r="AP935" s="27">
        <f>IF(AC935="","",IFERROR(DATE(VALUE(RIGHT(AC935,4)),VALUE(MID(AC935,4,2)),VALUE(LEFT(AC935,2))),""))</f>
        <v/>
      </c>
      <c r="AQ935" s="26">
        <f>IF(AI935="","",TRIM(LEFT(AI935,FIND(" ",AI935&amp;" ")-1)))</f>
        <v/>
      </c>
      <c r="AR935" s="27">
        <f>IF(AQ935="","",IFERROR(DATE(VALUE(MID(AQ935,FIND("/",AQ935,FIND("/",AQ935)+1)+1,4)),VALUE(LEFT(AQ935,FIND("/",AQ935)-1)),VALUE(MID(AQ935,FIND("/",AQ935)+1,FIND("/",AQ935,FIND("/",AQ935)+1)-FIND("/",AQ935)-1))),""))</f>
        <v/>
      </c>
      <c r="AS935" s="26">
        <f>IF(G935="","",IF(AND(AG935&lt;&gt;"",AG935&lt;&gt;"Bayi Aracı"),"Evet","Hayır"))</f>
        <v/>
      </c>
      <c r="AT935" s="26">
        <f>IF(G935="","",IF(AND(AS935="Evet",T935="Siparişiniz Teslim Edildi"),"Evet","Hayır"))</f>
        <v/>
      </c>
      <c r="AU935" s="26">
        <f>IF(G935="","",IF(AB935="Siparişinizin Montajı Yapıldı","Evet","Hayır"))</f>
        <v/>
      </c>
      <c r="AV935" s="27">
        <f>IF(G935="","",IF(AT935="Evet",AR935,IF(AU935="Evet",AP935,"")))</f>
        <v/>
      </c>
    </row>
    <row r="936">
      <c r="A936" s="23" t="n"/>
      <c r="B936" s="23" t="n"/>
      <c r="C936" s="23" t="n"/>
      <c r="D936" s="23" t="n"/>
      <c r="E936" s="23" t="n"/>
      <c r="F936" s="23" t="n"/>
      <c r="G936" s="23" t="n"/>
      <c r="H936" s="23" t="n"/>
      <c r="I936" s="23" t="n"/>
      <c r="J936" s="23" t="n"/>
      <c r="K936" s="23" t="n"/>
      <c r="L936" s="23" t="n"/>
      <c r="M936" s="23" t="n"/>
      <c r="N936" s="23" t="n"/>
      <c r="O936" s="23" t="n"/>
      <c r="P936" s="23" t="n"/>
      <c r="Q936" s="23" t="n"/>
      <c r="R936" s="23" t="n"/>
      <c r="S936" s="23" t="n"/>
      <c r="T936" s="23" t="n"/>
      <c r="U936" s="23" t="n"/>
      <c r="V936" s="23" t="n"/>
      <c r="W936" s="23" t="n"/>
      <c r="X936" s="23" t="n"/>
      <c r="Y936" s="23" t="n"/>
      <c r="Z936" s="23" t="n"/>
      <c r="AA936" s="23" t="n"/>
      <c r="AB936" s="23" t="n"/>
      <c r="AC936" s="23" t="n"/>
      <c r="AD936" s="23" t="n"/>
      <c r="AE936" s="23" t="n"/>
      <c r="AF936" s="23" t="n"/>
      <c r="AG936" s="23" t="n"/>
      <c r="AH936" s="23" t="n"/>
      <c r="AI936" s="23" t="n"/>
      <c r="AJ936" s="23" t="n"/>
      <c r="AK936" s="23" t="n"/>
      <c r="AL936" s="23" t="n"/>
      <c r="AM936" s="26">
        <f>IF(G936="","",G936&amp;"|"&amp;P936)</f>
        <v/>
      </c>
      <c r="AN936" s="27">
        <f>IF(I936="","",IFERROR(DATE(VALUE(RIGHT(I936,4)),VALUE(MID(I936,4,2)),VALUE(LEFT(I936,2))),""))</f>
        <v/>
      </c>
      <c r="AO936" s="27">
        <f>IF(Y936="","",IFERROR(DATE(VALUE(RIGHT(Y936,4)),VALUE(MID(Y936,4,2)),VALUE(LEFT(Y936,2))),""))</f>
        <v/>
      </c>
      <c r="AP936" s="27">
        <f>IF(AC936="","",IFERROR(DATE(VALUE(RIGHT(AC936,4)),VALUE(MID(AC936,4,2)),VALUE(LEFT(AC936,2))),""))</f>
        <v/>
      </c>
      <c r="AQ936" s="26">
        <f>IF(AI936="","",TRIM(LEFT(AI936,FIND(" ",AI936&amp;" ")-1)))</f>
        <v/>
      </c>
      <c r="AR936" s="27">
        <f>IF(AQ936="","",IFERROR(DATE(VALUE(MID(AQ936,FIND("/",AQ936,FIND("/",AQ936)+1)+1,4)),VALUE(LEFT(AQ936,FIND("/",AQ936)-1)),VALUE(MID(AQ936,FIND("/",AQ936)+1,FIND("/",AQ936,FIND("/",AQ936)+1)-FIND("/",AQ936)-1))),""))</f>
        <v/>
      </c>
      <c r="AS936" s="26">
        <f>IF(G936="","",IF(AND(AG936&lt;&gt;"",AG936&lt;&gt;"Bayi Aracı"),"Evet","Hayır"))</f>
        <v/>
      </c>
      <c r="AT936" s="26">
        <f>IF(G936="","",IF(AND(AS936="Evet",T936="Siparişiniz Teslim Edildi"),"Evet","Hayır"))</f>
        <v/>
      </c>
      <c r="AU936" s="26">
        <f>IF(G936="","",IF(AB936="Siparişinizin Montajı Yapıldı","Evet","Hayır"))</f>
        <v/>
      </c>
      <c r="AV936" s="27">
        <f>IF(G936="","",IF(AT936="Evet",AR936,IF(AU936="Evet",AP936,"")))</f>
        <v/>
      </c>
    </row>
    <row r="937">
      <c r="A937" s="23" t="n"/>
      <c r="B937" s="23" t="n"/>
      <c r="C937" s="23" t="n"/>
      <c r="D937" s="23" t="n"/>
      <c r="E937" s="23" t="n"/>
      <c r="F937" s="23" t="n"/>
      <c r="G937" s="23" t="n"/>
      <c r="H937" s="23" t="n"/>
      <c r="I937" s="23" t="n"/>
      <c r="J937" s="23" t="n"/>
      <c r="K937" s="23" t="n"/>
      <c r="L937" s="23" t="n"/>
      <c r="M937" s="23" t="n"/>
      <c r="N937" s="23" t="n"/>
      <c r="O937" s="23" t="n"/>
      <c r="P937" s="23" t="n"/>
      <c r="Q937" s="23" t="n"/>
      <c r="R937" s="23" t="n"/>
      <c r="S937" s="23" t="n"/>
      <c r="T937" s="23" t="n"/>
      <c r="U937" s="23" t="n"/>
      <c r="V937" s="23" t="n"/>
      <c r="W937" s="23" t="n"/>
      <c r="X937" s="23" t="n"/>
      <c r="Y937" s="23" t="n"/>
      <c r="Z937" s="23" t="n"/>
      <c r="AA937" s="23" t="n"/>
      <c r="AB937" s="23" t="n"/>
      <c r="AC937" s="23" t="n"/>
      <c r="AD937" s="23" t="n"/>
      <c r="AE937" s="23" t="n"/>
      <c r="AF937" s="23" t="n"/>
      <c r="AG937" s="23" t="n"/>
      <c r="AH937" s="23" t="n"/>
      <c r="AI937" s="23" t="n"/>
      <c r="AJ937" s="23" t="n"/>
      <c r="AK937" s="23" t="n"/>
      <c r="AL937" s="23" t="n"/>
      <c r="AM937" s="26">
        <f>IF(G937="","",G937&amp;"|"&amp;P937)</f>
        <v/>
      </c>
      <c r="AN937" s="27">
        <f>IF(I937="","",IFERROR(DATE(VALUE(RIGHT(I937,4)),VALUE(MID(I937,4,2)),VALUE(LEFT(I937,2))),""))</f>
        <v/>
      </c>
      <c r="AO937" s="27">
        <f>IF(Y937="","",IFERROR(DATE(VALUE(RIGHT(Y937,4)),VALUE(MID(Y937,4,2)),VALUE(LEFT(Y937,2))),""))</f>
        <v/>
      </c>
      <c r="AP937" s="27">
        <f>IF(AC937="","",IFERROR(DATE(VALUE(RIGHT(AC937,4)),VALUE(MID(AC937,4,2)),VALUE(LEFT(AC937,2))),""))</f>
        <v/>
      </c>
      <c r="AQ937" s="26">
        <f>IF(AI937="","",TRIM(LEFT(AI937,FIND(" ",AI937&amp;" ")-1)))</f>
        <v/>
      </c>
      <c r="AR937" s="27">
        <f>IF(AQ937="","",IFERROR(DATE(VALUE(MID(AQ937,FIND("/",AQ937,FIND("/",AQ937)+1)+1,4)),VALUE(LEFT(AQ937,FIND("/",AQ937)-1)),VALUE(MID(AQ937,FIND("/",AQ937)+1,FIND("/",AQ937,FIND("/",AQ937)+1)-FIND("/",AQ937)-1))),""))</f>
        <v/>
      </c>
      <c r="AS937" s="26">
        <f>IF(G937="","",IF(AND(AG937&lt;&gt;"",AG937&lt;&gt;"Bayi Aracı"),"Evet","Hayır"))</f>
        <v/>
      </c>
      <c r="AT937" s="26">
        <f>IF(G937="","",IF(AND(AS937="Evet",T937="Siparişiniz Teslim Edildi"),"Evet","Hayır"))</f>
        <v/>
      </c>
      <c r="AU937" s="26">
        <f>IF(G937="","",IF(AB937="Siparişinizin Montajı Yapıldı","Evet","Hayır"))</f>
        <v/>
      </c>
      <c r="AV937" s="27">
        <f>IF(G937="","",IF(AT937="Evet",AR937,IF(AU937="Evet",AP937,"")))</f>
        <v/>
      </c>
    </row>
    <row r="938">
      <c r="A938" s="23" t="n"/>
      <c r="B938" s="23" t="n"/>
      <c r="C938" s="23" t="n"/>
      <c r="D938" s="23" t="n"/>
      <c r="E938" s="23" t="n"/>
      <c r="F938" s="23" t="n"/>
      <c r="G938" s="23" t="n"/>
      <c r="H938" s="23" t="n"/>
      <c r="I938" s="23" t="n"/>
      <c r="J938" s="23" t="n"/>
      <c r="K938" s="23" t="n"/>
      <c r="L938" s="23" t="n"/>
      <c r="M938" s="23" t="n"/>
      <c r="N938" s="23" t="n"/>
      <c r="O938" s="23" t="n"/>
      <c r="P938" s="23" t="n"/>
      <c r="Q938" s="23" t="n"/>
      <c r="R938" s="23" t="n"/>
      <c r="S938" s="23" t="n"/>
      <c r="T938" s="23" t="n"/>
      <c r="U938" s="23" t="n"/>
      <c r="V938" s="23" t="n"/>
      <c r="W938" s="23" t="n"/>
      <c r="X938" s="23" t="n"/>
      <c r="Y938" s="23" t="n"/>
      <c r="Z938" s="23" t="n"/>
      <c r="AA938" s="23" t="n"/>
      <c r="AB938" s="23" t="n"/>
      <c r="AC938" s="23" t="n"/>
      <c r="AD938" s="23" t="n"/>
      <c r="AE938" s="23" t="n"/>
      <c r="AF938" s="23" t="n"/>
      <c r="AG938" s="23" t="n"/>
      <c r="AH938" s="23" t="n"/>
      <c r="AI938" s="23" t="n"/>
      <c r="AJ938" s="23" t="n"/>
      <c r="AK938" s="23" t="n"/>
      <c r="AL938" s="23" t="n"/>
      <c r="AM938" s="26">
        <f>IF(G938="","",G938&amp;"|"&amp;P938)</f>
        <v/>
      </c>
      <c r="AN938" s="27">
        <f>IF(I938="","",IFERROR(DATE(VALUE(RIGHT(I938,4)),VALUE(MID(I938,4,2)),VALUE(LEFT(I938,2))),""))</f>
        <v/>
      </c>
      <c r="AO938" s="27">
        <f>IF(Y938="","",IFERROR(DATE(VALUE(RIGHT(Y938,4)),VALUE(MID(Y938,4,2)),VALUE(LEFT(Y938,2))),""))</f>
        <v/>
      </c>
      <c r="AP938" s="27">
        <f>IF(AC938="","",IFERROR(DATE(VALUE(RIGHT(AC938,4)),VALUE(MID(AC938,4,2)),VALUE(LEFT(AC938,2))),""))</f>
        <v/>
      </c>
      <c r="AQ938" s="26">
        <f>IF(AI938="","",TRIM(LEFT(AI938,FIND(" ",AI938&amp;" ")-1)))</f>
        <v/>
      </c>
      <c r="AR938" s="27">
        <f>IF(AQ938="","",IFERROR(DATE(VALUE(MID(AQ938,FIND("/",AQ938,FIND("/",AQ938)+1)+1,4)),VALUE(LEFT(AQ938,FIND("/",AQ938)-1)),VALUE(MID(AQ938,FIND("/",AQ938)+1,FIND("/",AQ938,FIND("/",AQ938)+1)-FIND("/",AQ938)-1))),""))</f>
        <v/>
      </c>
      <c r="AS938" s="26">
        <f>IF(G938="","",IF(AND(AG938&lt;&gt;"",AG938&lt;&gt;"Bayi Aracı"),"Evet","Hayır"))</f>
        <v/>
      </c>
      <c r="AT938" s="26">
        <f>IF(G938="","",IF(AND(AS938="Evet",T938="Siparişiniz Teslim Edildi"),"Evet","Hayır"))</f>
        <v/>
      </c>
      <c r="AU938" s="26">
        <f>IF(G938="","",IF(AB938="Siparişinizin Montajı Yapıldı","Evet","Hayır"))</f>
        <v/>
      </c>
      <c r="AV938" s="27">
        <f>IF(G938="","",IF(AT938="Evet",AR938,IF(AU938="Evet",AP938,"")))</f>
        <v/>
      </c>
    </row>
    <row r="939">
      <c r="A939" s="23" t="n"/>
      <c r="B939" s="23" t="n"/>
      <c r="C939" s="23" t="n"/>
      <c r="D939" s="23" t="n"/>
      <c r="E939" s="23" t="n"/>
      <c r="F939" s="23" t="n"/>
      <c r="G939" s="23" t="n"/>
      <c r="H939" s="23" t="n"/>
      <c r="I939" s="23" t="n"/>
      <c r="J939" s="23" t="n"/>
      <c r="K939" s="23" t="n"/>
      <c r="L939" s="23" t="n"/>
      <c r="M939" s="23" t="n"/>
      <c r="N939" s="23" t="n"/>
      <c r="O939" s="23" t="n"/>
      <c r="P939" s="23" t="n"/>
      <c r="Q939" s="23" t="n"/>
      <c r="R939" s="23" t="n"/>
      <c r="S939" s="23" t="n"/>
      <c r="T939" s="23" t="n"/>
      <c r="U939" s="23" t="n"/>
      <c r="V939" s="23" t="n"/>
      <c r="W939" s="23" t="n"/>
      <c r="X939" s="23" t="n"/>
      <c r="Y939" s="23" t="n"/>
      <c r="Z939" s="23" t="n"/>
      <c r="AA939" s="23" t="n"/>
      <c r="AB939" s="23" t="n"/>
      <c r="AC939" s="23" t="n"/>
      <c r="AD939" s="23" t="n"/>
      <c r="AE939" s="23" t="n"/>
      <c r="AF939" s="23" t="n"/>
      <c r="AG939" s="23" t="n"/>
      <c r="AH939" s="23" t="n"/>
      <c r="AI939" s="23" t="n"/>
      <c r="AJ939" s="23" t="n"/>
      <c r="AK939" s="23" t="n"/>
      <c r="AL939" s="23" t="n"/>
      <c r="AM939" s="26">
        <f>IF(G939="","",G939&amp;"|"&amp;P939)</f>
        <v/>
      </c>
      <c r="AN939" s="27">
        <f>IF(I939="","",IFERROR(DATE(VALUE(RIGHT(I939,4)),VALUE(MID(I939,4,2)),VALUE(LEFT(I939,2))),""))</f>
        <v/>
      </c>
      <c r="AO939" s="27">
        <f>IF(Y939="","",IFERROR(DATE(VALUE(RIGHT(Y939,4)),VALUE(MID(Y939,4,2)),VALUE(LEFT(Y939,2))),""))</f>
        <v/>
      </c>
      <c r="AP939" s="27">
        <f>IF(AC939="","",IFERROR(DATE(VALUE(RIGHT(AC939,4)),VALUE(MID(AC939,4,2)),VALUE(LEFT(AC939,2))),""))</f>
        <v/>
      </c>
      <c r="AQ939" s="26">
        <f>IF(AI939="","",TRIM(LEFT(AI939,FIND(" ",AI939&amp;" ")-1)))</f>
        <v/>
      </c>
      <c r="AR939" s="27">
        <f>IF(AQ939="","",IFERROR(DATE(VALUE(MID(AQ939,FIND("/",AQ939,FIND("/",AQ939)+1)+1,4)),VALUE(LEFT(AQ939,FIND("/",AQ939)-1)),VALUE(MID(AQ939,FIND("/",AQ939)+1,FIND("/",AQ939,FIND("/",AQ939)+1)-FIND("/",AQ939)-1))),""))</f>
        <v/>
      </c>
      <c r="AS939" s="26">
        <f>IF(G939="","",IF(AND(AG939&lt;&gt;"",AG939&lt;&gt;"Bayi Aracı"),"Evet","Hayır"))</f>
        <v/>
      </c>
      <c r="AT939" s="26">
        <f>IF(G939="","",IF(AND(AS939="Evet",T939="Siparişiniz Teslim Edildi"),"Evet","Hayır"))</f>
        <v/>
      </c>
      <c r="AU939" s="26">
        <f>IF(G939="","",IF(AB939="Siparişinizin Montajı Yapıldı","Evet","Hayır"))</f>
        <v/>
      </c>
      <c r="AV939" s="27">
        <f>IF(G939="","",IF(AT939="Evet",AR939,IF(AU939="Evet",AP939,"")))</f>
        <v/>
      </c>
    </row>
    <row r="940">
      <c r="A940" s="23" t="n"/>
      <c r="B940" s="23" t="n"/>
      <c r="C940" s="23" t="n"/>
      <c r="D940" s="23" t="n"/>
      <c r="E940" s="23" t="n"/>
      <c r="F940" s="23" t="n"/>
      <c r="G940" s="23" t="n"/>
      <c r="H940" s="23" t="n"/>
      <c r="I940" s="23" t="n"/>
      <c r="J940" s="23" t="n"/>
      <c r="K940" s="23" t="n"/>
      <c r="L940" s="23" t="n"/>
      <c r="M940" s="23" t="n"/>
      <c r="N940" s="23" t="n"/>
      <c r="O940" s="23" t="n"/>
      <c r="P940" s="23" t="n"/>
      <c r="Q940" s="23" t="n"/>
      <c r="R940" s="23" t="n"/>
      <c r="S940" s="23" t="n"/>
      <c r="T940" s="23" t="n"/>
      <c r="U940" s="23" t="n"/>
      <c r="V940" s="23" t="n"/>
      <c r="W940" s="23" t="n"/>
      <c r="X940" s="23" t="n"/>
      <c r="Y940" s="23" t="n"/>
      <c r="Z940" s="23" t="n"/>
      <c r="AA940" s="23" t="n"/>
      <c r="AB940" s="23" t="n"/>
      <c r="AC940" s="23" t="n"/>
      <c r="AD940" s="23" t="n"/>
      <c r="AE940" s="23" t="n"/>
      <c r="AF940" s="23" t="n"/>
      <c r="AG940" s="23" t="n"/>
      <c r="AH940" s="23" t="n"/>
      <c r="AI940" s="23" t="n"/>
      <c r="AJ940" s="23" t="n"/>
      <c r="AK940" s="23" t="n"/>
      <c r="AL940" s="23" t="n"/>
      <c r="AM940" s="26">
        <f>IF(G940="","",G940&amp;"|"&amp;P940)</f>
        <v/>
      </c>
      <c r="AN940" s="27">
        <f>IF(I940="","",IFERROR(DATE(VALUE(RIGHT(I940,4)),VALUE(MID(I940,4,2)),VALUE(LEFT(I940,2))),""))</f>
        <v/>
      </c>
      <c r="AO940" s="27">
        <f>IF(Y940="","",IFERROR(DATE(VALUE(RIGHT(Y940,4)),VALUE(MID(Y940,4,2)),VALUE(LEFT(Y940,2))),""))</f>
        <v/>
      </c>
      <c r="AP940" s="27">
        <f>IF(AC940="","",IFERROR(DATE(VALUE(RIGHT(AC940,4)),VALUE(MID(AC940,4,2)),VALUE(LEFT(AC940,2))),""))</f>
        <v/>
      </c>
      <c r="AQ940" s="26">
        <f>IF(AI940="","",TRIM(LEFT(AI940,FIND(" ",AI940&amp;" ")-1)))</f>
        <v/>
      </c>
      <c r="AR940" s="27">
        <f>IF(AQ940="","",IFERROR(DATE(VALUE(MID(AQ940,FIND("/",AQ940,FIND("/",AQ940)+1)+1,4)),VALUE(LEFT(AQ940,FIND("/",AQ940)-1)),VALUE(MID(AQ940,FIND("/",AQ940)+1,FIND("/",AQ940,FIND("/",AQ940)+1)-FIND("/",AQ940)-1))),""))</f>
        <v/>
      </c>
      <c r="AS940" s="26">
        <f>IF(G940="","",IF(AND(AG940&lt;&gt;"",AG940&lt;&gt;"Bayi Aracı"),"Evet","Hayır"))</f>
        <v/>
      </c>
      <c r="AT940" s="26">
        <f>IF(G940="","",IF(AND(AS940="Evet",T940="Siparişiniz Teslim Edildi"),"Evet","Hayır"))</f>
        <v/>
      </c>
      <c r="AU940" s="26">
        <f>IF(G940="","",IF(AB940="Siparişinizin Montajı Yapıldı","Evet","Hayır"))</f>
        <v/>
      </c>
      <c r="AV940" s="27">
        <f>IF(G940="","",IF(AT940="Evet",AR940,IF(AU940="Evet",AP940,"")))</f>
        <v/>
      </c>
    </row>
    <row r="941">
      <c r="A941" s="23" t="n"/>
      <c r="B941" s="23" t="n"/>
      <c r="C941" s="23" t="n"/>
      <c r="D941" s="23" t="n"/>
      <c r="E941" s="23" t="n"/>
      <c r="F941" s="23" t="n"/>
      <c r="G941" s="23" t="n"/>
      <c r="H941" s="23" t="n"/>
      <c r="I941" s="23" t="n"/>
      <c r="J941" s="23" t="n"/>
      <c r="K941" s="23" t="n"/>
      <c r="L941" s="23" t="n"/>
      <c r="M941" s="23" t="n"/>
      <c r="N941" s="23" t="n"/>
      <c r="O941" s="23" t="n"/>
      <c r="P941" s="23" t="n"/>
      <c r="Q941" s="23" t="n"/>
      <c r="R941" s="23" t="n"/>
      <c r="S941" s="23" t="n"/>
      <c r="T941" s="23" t="n"/>
      <c r="U941" s="23" t="n"/>
      <c r="V941" s="23" t="n"/>
      <c r="W941" s="23" t="n"/>
      <c r="X941" s="23" t="n"/>
      <c r="Y941" s="23" t="n"/>
      <c r="Z941" s="23" t="n"/>
      <c r="AA941" s="23" t="n"/>
      <c r="AB941" s="23" t="n"/>
      <c r="AC941" s="23" t="n"/>
      <c r="AD941" s="23" t="n"/>
      <c r="AE941" s="23" t="n"/>
      <c r="AF941" s="23" t="n"/>
      <c r="AG941" s="23" t="n"/>
      <c r="AH941" s="23" t="n"/>
      <c r="AI941" s="23" t="n"/>
      <c r="AJ941" s="23" t="n"/>
      <c r="AK941" s="23" t="n"/>
      <c r="AL941" s="23" t="n"/>
      <c r="AM941" s="26">
        <f>IF(G941="","",G941&amp;"|"&amp;P941)</f>
        <v/>
      </c>
      <c r="AN941" s="27">
        <f>IF(I941="","",IFERROR(DATE(VALUE(RIGHT(I941,4)),VALUE(MID(I941,4,2)),VALUE(LEFT(I941,2))),""))</f>
        <v/>
      </c>
      <c r="AO941" s="27">
        <f>IF(Y941="","",IFERROR(DATE(VALUE(RIGHT(Y941,4)),VALUE(MID(Y941,4,2)),VALUE(LEFT(Y941,2))),""))</f>
        <v/>
      </c>
      <c r="AP941" s="27">
        <f>IF(AC941="","",IFERROR(DATE(VALUE(RIGHT(AC941,4)),VALUE(MID(AC941,4,2)),VALUE(LEFT(AC941,2))),""))</f>
        <v/>
      </c>
      <c r="AQ941" s="26">
        <f>IF(AI941="","",TRIM(LEFT(AI941,FIND(" ",AI941&amp;" ")-1)))</f>
        <v/>
      </c>
      <c r="AR941" s="27">
        <f>IF(AQ941="","",IFERROR(DATE(VALUE(MID(AQ941,FIND("/",AQ941,FIND("/",AQ941)+1)+1,4)),VALUE(LEFT(AQ941,FIND("/",AQ941)-1)),VALUE(MID(AQ941,FIND("/",AQ941)+1,FIND("/",AQ941,FIND("/",AQ941)+1)-FIND("/",AQ941)-1))),""))</f>
        <v/>
      </c>
      <c r="AS941" s="26">
        <f>IF(G941="","",IF(AND(AG941&lt;&gt;"",AG941&lt;&gt;"Bayi Aracı"),"Evet","Hayır"))</f>
        <v/>
      </c>
      <c r="AT941" s="26">
        <f>IF(G941="","",IF(AND(AS941="Evet",T941="Siparişiniz Teslim Edildi"),"Evet","Hayır"))</f>
        <v/>
      </c>
      <c r="AU941" s="26">
        <f>IF(G941="","",IF(AB941="Siparişinizin Montajı Yapıldı","Evet","Hayır"))</f>
        <v/>
      </c>
      <c r="AV941" s="27">
        <f>IF(G941="","",IF(AT941="Evet",AR941,IF(AU941="Evet",AP941,"")))</f>
        <v/>
      </c>
    </row>
    <row r="942">
      <c r="A942" s="23" t="n"/>
      <c r="B942" s="23" t="n"/>
      <c r="C942" s="23" t="n"/>
      <c r="D942" s="23" t="n"/>
      <c r="E942" s="23" t="n"/>
      <c r="F942" s="23" t="n"/>
      <c r="G942" s="23" t="n"/>
      <c r="H942" s="23" t="n"/>
      <c r="I942" s="23" t="n"/>
      <c r="J942" s="23" t="n"/>
      <c r="K942" s="23" t="n"/>
      <c r="L942" s="23" t="n"/>
      <c r="M942" s="23" t="n"/>
      <c r="N942" s="23" t="n"/>
      <c r="O942" s="23" t="n"/>
      <c r="P942" s="23" t="n"/>
      <c r="Q942" s="23" t="n"/>
      <c r="R942" s="23" t="n"/>
      <c r="S942" s="23" t="n"/>
      <c r="T942" s="23" t="n"/>
      <c r="U942" s="23" t="n"/>
      <c r="V942" s="23" t="n"/>
      <c r="W942" s="23" t="n"/>
      <c r="X942" s="23" t="n"/>
      <c r="Y942" s="23" t="n"/>
      <c r="Z942" s="23" t="n"/>
      <c r="AA942" s="23" t="n"/>
      <c r="AB942" s="23" t="n"/>
      <c r="AC942" s="23" t="n"/>
      <c r="AD942" s="23" t="n"/>
      <c r="AE942" s="23" t="n"/>
      <c r="AF942" s="23" t="n"/>
      <c r="AG942" s="23" t="n"/>
      <c r="AH942" s="23" t="n"/>
      <c r="AI942" s="23" t="n"/>
      <c r="AJ942" s="23" t="n"/>
      <c r="AK942" s="23" t="n"/>
      <c r="AL942" s="23" t="n"/>
      <c r="AM942" s="26">
        <f>IF(G942="","",G942&amp;"|"&amp;P942)</f>
        <v/>
      </c>
      <c r="AN942" s="27">
        <f>IF(I942="","",IFERROR(DATE(VALUE(RIGHT(I942,4)),VALUE(MID(I942,4,2)),VALUE(LEFT(I942,2))),""))</f>
        <v/>
      </c>
      <c r="AO942" s="27">
        <f>IF(Y942="","",IFERROR(DATE(VALUE(RIGHT(Y942,4)),VALUE(MID(Y942,4,2)),VALUE(LEFT(Y942,2))),""))</f>
        <v/>
      </c>
      <c r="AP942" s="27">
        <f>IF(AC942="","",IFERROR(DATE(VALUE(RIGHT(AC942,4)),VALUE(MID(AC942,4,2)),VALUE(LEFT(AC942,2))),""))</f>
        <v/>
      </c>
      <c r="AQ942" s="26">
        <f>IF(AI942="","",TRIM(LEFT(AI942,FIND(" ",AI942&amp;" ")-1)))</f>
        <v/>
      </c>
      <c r="AR942" s="27">
        <f>IF(AQ942="","",IFERROR(DATE(VALUE(MID(AQ942,FIND("/",AQ942,FIND("/",AQ942)+1)+1,4)),VALUE(LEFT(AQ942,FIND("/",AQ942)-1)),VALUE(MID(AQ942,FIND("/",AQ942)+1,FIND("/",AQ942,FIND("/",AQ942)+1)-FIND("/",AQ942)-1))),""))</f>
        <v/>
      </c>
      <c r="AS942" s="26">
        <f>IF(G942="","",IF(AND(AG942&lt;&gt;"",AG942&lt;&gt;"Bayi Aracı"),"Evet","Hayır"))</f>
        <v/>
      </c>
      <c r="AT942" s="26">
        <f>IF(G942="","",IF(AND(AS942="Evet",T942="Siparişiniz Teslim Edildi"),"Evet","Hayır"))</f>
        <v/>
      </c>
      <c r="AU942" s="26">
        <f>IF(G942="","",IF(AB942="Siparişinizin Montajı Yapıldı","Evet","Hayır"))</f>
        <v/>
      </c>
      <c r="AV942" s="27">
        <f>IF(G942="","",IF(AT942="Evet",AR942,IF(AU942="Evet",AP942,"")))</f>
        <v/>
      </c>
    </row>
    <row r="943">
      <c r="A943" s="23" t="n"/>
      <c r="B943" s="23" t="n"/>
      <c r="C943" s="23" t="n"/>
      <c r="D943" s="23" t="n"/>
      <c r="E943" s="23" t="n"/>
      <c r="F943" s="23" t="n"/>
      <c r="G943" s="23" t="n"/>
      <c r="H943" s="23" t="n"/>
      <c r="I943" s="23" t="n"/>
      <c r="J943" s="23" t="n"/>
      <c r="K943" s="23" t="n"/>
      <c r="L943" s="23" t="n"/>
      <c r="M943" s="23" t="n"/>
      <c r="N943" s="23" t="n"/>
      <c r="O943" s="23" t="n"/>
      <c r="P943" s="23" t="n"/>
      <c r="Q943" s="23" t="n"/>
      <c r="R943" s="23" t="n"/>
      <c r="S943" s="23" t="n"/>
      <c r="T943" s="23" t="n"/>
      <c r="U943" s="23" t="n"/>
      <c r="V943" s="23" t="n"/>
      <c r="W943" s="23" t="n"/>
      <c r="X943" s="23" t="n"/>
      <c r="Y943" s="23" t="n"/>
      <c r="Z943" s="23" t="n"/>
      <c r="AA943" s="23" t="n"/>
      <c r="AB943" s="23" t="n"/>
      <c r="AC943" s="23" t="n"/>
      <c r="AD943" s="23" t="n"/>
      <c r="AE943" s="23" t="n"/>
      <c r="AF943" s="23" t="n"/>
      <c r="AG943" s="23" t="n"/>
      <c r="AH943" s="23" t="n"/>
      <c r="AI943" s="23" t="n"/>
      <c r="AJ943" s="23" t="n"/>
      <c r="AK943" s="23" t="n"/>
      <c r="AL943" s="23" t="n"/>
      <c r="AM943" s="26">
        <f>IF(G943="","",G943&amp;"|"&amp;P943)</f>
        <v/>
      </c>
      <c r="AN943" s="27">
        <f>IF(I943="","",IFERROR(DATE(VALUE(RIGHT(I943,4)),VALUE(MID(I943,4,2)),VALUE(LEFT(I943,2))),""))</f>
        <v/>
      </c>
      <c r="AO943" s="27">
        <f>IF(Y943="","",IFERROR(DATE(VALUE(RIGHT(Y943,4)),VALUE(MID(Y943,4,2)),VALUE(LEFT(Y943,2))),""))</f>
        <v/>
      </c>
      <c r="AP943" s="27">
        <f>IF(AC943="","",IFERROR(DATE(VALUE(RIGHT(AC943,4)),VALUE(MID(AC943,4,2)),VALUE(LEFT(AC943,2))),""))</f>
        <v/>
      </c>
      <c r="AQ943" s="26">
        <f>IF(AI943="","",TRIM(LEFT(AI943,FIND(" ",AI943&amp;" ")-1)))</f>
        <v/>
      </c>
      <c r="AR943" s="27">
        <f>IF(AQ943="","",IFERROR(DATE(VALUE(MID(AQ943,FIND("/",AQ943,FIND("/",AQ943)+1)+1,4)),VALUE(LEFT(AQ943,FIND("/",AQ943)-1)),VALUE(MID(AQ943,FIND("/",AQ943)+1,FIND("/",AQ943,FIND("/",AQ943)+1)-FIND("/",AQ943)-1))),""))</f>
        <v/>
      </c>
      <c r="AS943" s="26">
        <f>IF(G943="","",IF(AND(AG943&lt;&gt;"",AG943&lt;&gt;"Bayi Aracı"),"Evet","Hayır"))</f>
        <v/>
      </c>
      <c r="AT943" s="26">
        <f>IF(G943="","",IF(AND(AS943="Evet",T943="Siparişiniz Teslim Edildi"),"Evet","Hayır"))</f>
        <v/>
      </c>
      <c r="AU943" s="26">
        <f>IF(G943="","",IF(AB943="Siparişinizin Montajı Yapıldı","Evet","Hayır"))</f>
        <v/>
      </c>
      <c r="AV943" s="27">
        <f>IF(G943="","",IF(AT943="Evet",AR943,IF(AU943="Evet",AP943,"")))</f>
        <v/>
      </c>
    </row>
    <row r="944">
      <c r="A944" s="23" t="n"/>
      <c r="B944" s="23" t="n"/>
      <c r="C944" s="23" t="n"/>
      <c r="D944" s="23" t="n"/>
      <c r="E944" s="23" t="n"/>
      <c r="F944" s="23" t="n"/>
      <c r="G944" s="23" t="n"/>
      <c r="H944" s="23" t="n"/>
      <c r="I944" s="23" t="n"/>
      <c r="J944" s="23" t="n"/>
      <c r="K944" s="23" t="n"/>
      <c r="L944" s="23" t="n"/>
      <c r="M944" s="23" t="n"/>
      <c r="N944" s="23" t="n"/>
      <c r="O944" s="23" t="n"/>
      <c r="P944" s="23" t="n"/>
      <c r="Q944" s="23" t="n"/>
      <c r="R944" s="23" t="n"/>
      <c r="S944" s="23" t="n"/>
      <c r="T944" s="23" t="n"/>
      <c r="U944" s="23" t="n"/>
      <c r="V944" s="23" t="n"/>
      <c r="W944" s="23" t="n"/>
      <c r="X944" s="23" t="n"/>
      <c r="Y944" s="23" t="n"/>
      <c r="Z944" s="23" t="n"/>
      <c r="AA944" s="23" t="n"/>
      <c r="AB944" s="23" t="n"/>
      <c r="AC944" s="23" t="n"/>
      <c r="AD944" s="23" t="n"/>
      <c r="AE944" s="23" t="n"/>
      <c r="AF944" s="23" t="n"/>
      <c r="AG944" s="23" t="n"/>
      <c r="AH944" s="23" t="n"/>
      <c r="AI944" s="23" t="n"/>
      <c r="AJ944" s="23" t="n"/>
      <c r="AK944" s="23" t="n"/>
      <c r="AL944" s="23" t="n"/>
      <c r="AM944" s="26">
        <f>IF(G944="","",G944&amp;"|"&amp;P944)</f>
        <v/>
      </c>
      <c r="AN944" s="27">
        <f>IF(I944="","",IFERROR(DATE(VALUE(RIGHT(I944,4)),VALUE(MID(I944,4,2)),VALUE(LEFT(I944,2))),""))</f>
        <v/>
      </c>
      <c r="AO944" s="27">
        <f>IF(Y944="","",IFERROR(DATE(VALUE(RIGHT(Y944,4)),VALUE(MID(Y944,4,2)),VALUE(LEFT(Y944,2))),""))</f>
        <v/>
      </c>
      <c r="AP944" s="27">
        <f>IF(AC944="","",IFERROR(DATE(VALUE(RIGHT(AC944,4)),VALUE(MID(AC944,4,2)),VALUE(LEFT(AC944,2))),""))</f>
        <v/>
      </c>
      <c r="AQ944" s="26">
        <f>IF(AI944="","",TRIM(LEFT(AI944,FIND(" ",AI944&amp;" ")-1)))</f>
        <v/>
      </c>
      <c r="AR944" s="27">
        <f>IF(AQ944="","",IFERROR(DATE(VALUE(MID(AQ944,FIND("/",AQ944,FIND("/",AQ944)+1)+1,4)),VALUE(LEFT(AQ944,FIND("/",AQ944)-1)),VALUE(MID(AQ944,FIND("/",AQ944)+1,FIND("/",AQ944,FIND("/",AQ944)+1)-FIND("/",AQ944)-1))),""))</f>
        <v/>
      </c>
      <c r="AS944" s="26">
        <f>IF(G944="","",IF(AND(AG944&lt;&gt;"",AG944&lt;&gt;"Bayi Aracı"),"Evet","Hayır"))</f>
        <v/>
      </c>
      <c r="AT944" s="26">
        <f>IF(G944="","",IF(AND(AS944="Evet",T944="Siparişiniz Teslim Edildi"),"Evet","Hayır"))</f>
        <v/>
      </c>
      <c r="AU944" s="26">
        <f>IF(G944="","",IF(AB944="Siparişinizin Montajı Yapıldı","Evet","Hayır"))</f>
        <v/>
      </c>
      <c r="AV944" s="27">
        <f>IF(G944="","",IF(AT944="Evet",AR944,IF(AU944="Evet",AP944,"")))</f>
        <v/>
      </c>
    </row>
    <row r="945">
      <c r="A945" s="23" t="n"/>
      <c r="B945" s="23" t="n"/>
      <c r="C945" s="23" t="n"/>
      <c r="D945" s="23" t="n"/>
      <c r="E945" s="23" t="n"/>
      <c r="F945" s="23" t="n"/>
      <c r="G945" s="23" t="n"/>
      <c r="H945" s="23" t="n"/>
      <c r="I945" s="23" t="n"/>
      <c r="J945" s="23" t="n"/>
      <c r="K945" s="23" t="n"/>
      <c r="L945" s="23" t="n"/>
      <c r="M945" s="23" t="n"/>
      <c r="N945" s="23" t="n"/>
      <c r="O945" s="23" t="n"/>
      <c r="P945" s="23" t="n"/>
      <c r="Q945" s="23" t="n"/>
      <c r="R945" s="23" t="n"/>
      <c r="S945" s="23" t="n"/>
      <c r="T945" s="23" t="n"/>
      <c r="U945" s="23" t="n"/>
      <c r="V945" s="23" t="n"/>
      <c r="W945" s="23" t="n"/>
      <c r="X945" s="23" t="n"/>
      <c r="Y945" s="23" t="n"/>
      <c r="Z945" s="23" t="n"/>
      <c r="AA945" s="23" t="n"/>
      <c r="AB945" s="23" t="n"/>
      <c r="AC945" s="23" t="n"/>
      <c r="AD945" s="23" t="n"/>
      <c r="AE945" s="23" t="n"/>
      <c r="AF945" s="23" t="n"/>
      <c r="AG945" s="23" t="n"/>
      <c r="AH945" s="23" t="n"/>
      <c r="AI945" s="23" t="n"/>
      <c r="AJ945" s="23" t="n"/>
      <c r="AK945" s="23" t="n"/>
      <c r="AL945" s="23" t="n"/>
      <c r="AM945" s="26">
        <f>IF(G945="","",G945&amp;"|"&amp;P945)</f>
        <v/>
      </c>
      <c r="AN945" s="27">
        <f>IF(I945="","",IFERROR(DATE(VALUE(RIGHT(I945,4)),VALUE(MID(I945,4,2)),VALUE(LEFT(I945,2))),""))</f>
        <v/>
      </c>
      <c r="AO945" s="27">
        <f>IF(Y945="","",IFERROR(DATE(VALUE(RIGHT(Y945,4)),VALUE(MID(Y945,4,2)),VALUE(LEFT(Y945,2))),""))</f>
        <v/>
      </c>
      <c r="AP945" s="27">
        <f>IF(AC945="","",IFERROR(DATE(VALUE(RIGHT(AC945,4)),VALUE(MID(AC945,4,2)),VALUE(LEFT(AC945,2))),""))</f>
        <v/>
      </c>
      <c r="AQ945" s="26">
        <f>IF(AI945="","",TRIM(LEFT(AI945,FIND(" ",AI945&amp;" ")-1)))</f>
        <v/>
      </c>
      <c r="AR945" s="27">
        <f>IF(AQ945="","",IFERROR(DATE(VALUE(MID(AQ945,FIND("/",AQ945,FIND("/",AQ945)+1)+1,4)),VALUE(LEFT(AQ945,FIND("/",AQ945)-1)),VALUE(MID(AQ945,FIND("/",AQ945)+1,FIND("/",AQ945,FIND("/",AQ945)+1)-FIND("/",AQ945)-1))),""))</f>
        <v/>
      </c>
      <c r="AS945" s="26">
        <f>IF(G945="","",IF(AND(AG945&lt;&gt;"",AG945&lt;&gt;"Bayi Aracı"),"Evet","Hayır"))</f>
        <v/>
      </c>
      <c r="AT945" s="26">
        <f>IF(G945="","",IF(AND(AS945="Evet",T945="Siparişiniz Teslim Edildi"),"Evet","Hayır"))</f>
        <v/>
      </c>
      <c r="AU945" s="26">
        <f>IF(G945="","",IF(AB945="Siparişinizin Montajı Yapıldı","Evet","Hayır"))</f>
        <v/>
      </c>
      <c r="AV945" s="27">
        <f>IF(G945="","",IF(AT945="Evet",AR945,IF(AU945="Evet",AP945,"")))</f>
        <v/>
      </c>
    </row>
    <row r="946">
      <c r="A946" s="23" t="n"/>
      <c r="B946" s="23" t="n"/>
      <c r="C946" s="23" t="n"/>
      <c r="D946" s="23" t="n"/>
      <c r="E946" s="23" t="n"/>
      <c r="F946" s="23" t="n"/>
      <c r="G946" s="23" t="n"/>
      <c r="H946" s="23" t="n"/>
      <c r="I946" s="23" t="n"/>
      <c r="J946" s="23" t="n"/>
      <c r="K946" s="23" t="n"/>
      <c r="L946" s="23" t="n"/>
      <c r="M946" s="23" t="n"/>
      <c r="N946" s="23" t="n"/>
      <c r="O946" s="23" t="n"/>
      <c r="P946" s="23" t="n"/>
      <c r="Q946" s="23" t="n"/>
      <c r="R946" s="23" t="n"/>
      <c r="S946" s="23" t="n"/>
      <c r="T946" s="23" t="n"/>
      <c r="U946" s="23" t="n"/>
      <c r="V946" s="23" t="n"/>
      <c r="W946" s="23" t="n"/>
      <c r="X946" s="23" t="n"/>
      <c r="Y946" s="23" t="n"/>
      <c r="Z946" s="23" t="n"/>
      <c r="AA946" s="23" t="n"/>
      <c r="AB946" s="23" t="n"/>
      <c r="AC946" s="23" t="n"/>
      <c r="AD946" s="23" t="n"/>
      <c r="AE946" s="23" t="n"/>
      <c r="AF946" s="23" t="n"/>
      <c r="AG946" s="23" t="n"/>
      <c r="AH946" s="23" t="n"/>
      <c r="AI946" s="23" t="n"/>
      <c r="AJ946" s="23" t="n"/>
      <c r="AK946" s="23" t="n"/>
      <c r="AL946" s="23" t="n"/>
      <c r="AM946" s="26">
        <f>IF(G946="","",G946&amp;"|"&amp;P946)</f>
        <v/>
      </c>
      <c r="AN946" s="27">
        <f>IF(I946="","",IFERROR(DATE(VALUE(RIGHT(I946,4)),VALUE(MID(I946,4,2)),VALUE(LEFT(I946,2))),""))</f>
        <v/>
      </c>
      <c r="AO946" s="27">
        <f>IF(Y946="","",IFERROR(DATE(VALUE(RIGHT(Y946,4)),VALUE(MID(Y946,4,2)),VALUE(LEFT(Y946,2))),""))</f>
        <v/>
      </c>
      <c r="AP946" s="27">
        <f>IF(AC946="","",IFERROR(DATE(VALUE(RIGHT(AC946,4)),VALUE(MID(AC946,4,2)),VALUE(LEFT(AC946,2))),""))</f>
        <v/>
      </c>
      <c r="AQ946" s="26">
        <f>IF(AI946="","",TRIM(LEFT(AI946,FIND(" ",AI946&amp;" ")-1)))</f>
        <v/>
      </c>
      <c r="AR946" s="27">
        <f>IF(AQ946="","",IFERROR(DATE(VALUE(MID(AQ946,FIND("/",AQ946,FIND("/",AQ946)+1)+1,4)),VALUE(LEFT(AQ946,FIND("/",AQ946)-1)),VALUE(MID(AQ946,FIND("/",AQ946)+1,FIND("/",AQ946,FIND("/",AQ946)+1)-FIND("/",AQ946)-1))),""))</f>
        <v/>
      </c>
      <c r="AS946" s="26">
        <f>IF(G946="","",IF(AND(AG946&lt;&gt;"",AG946&lt;&gt;"Bayi Aracı"),"Evet","Hayır"))</f>
        <v/>
      </c>
      <c r="AT946" s="26">
        <f>IF(G946="","",IF(AND(AS946="Evet",T946="Siparişiniz Teslim Edildi"),"Evet","Hayır"))</f>
        <v/>
      </c>
      <c r="AU946" s="26">
        <f>IF(G946="","",IF(AB946="Siparişinizin Montajı Yapıldı","Evet","Hayır"))</f>
        <v/>
      </c>
      <c r="AV946" s="27">
        <f>IF(G946="","",IF(AT946="Evet",AR946,IF(AU946="Evet",AP946,"")))</f>
        <v/>
      </c>
    </row>
    <row r="947">
      <c r="A947" s="23" t="n"/>
      <c r="B947" s="23" t="n"/>
      <c r="C947" s="23" t="n"/>
      <c r="D947" s="23" t="n"/>
      <c r="E947" s="23" t="n"/>
      <c r="F947" s="23" t="n"/>
      <c r="G947" s="23" t="n"/>
      <c r="H947" s="23" t="n"/>
      <c r="I947" s="23" t="n"/>
      <c r="J947" s="23" t="n"/>
      <c r="K947" s="23" t="n"/>
      <c r="L947" s="23" t="n"/>
      <c r="M947" s="23" t="n"/>
      <c r="N947" s="23" t="n"/>
      <c r="O947" s="23" t="n"/>
      <c r="P947" s="23" t="n"/>
      <c r="Q947" s="23" t="n"/>
      <c r="R947" s="23" t="n"/>
      <c r="S947" s="23" t="n"/>
      <c r="T947" s="23" t="n"/>
      <c r="U947" s="23" t="n"/>
      <c r="V947" s="23" t="n"/>
      <c r="W947" s="23" t="n"/>
      <c r="X947" s="23" t="n"/>
      <c r="Y947" s="23" t="n"/>
      <c r="Z947" s="23" t="n"/>
      <c r="AA947" s="23" t="n"/>
      <c r="AB947" s="23" t="n"/>
      <c r="AC947" s="23" t="n"/>
      <c r="AD947" s="23" t="n"/>
      <c r="AE947" s="23" t="n"/>
      <c r="AF947" s="23" t="n"/>
      <c r="AG947" s="23" t="n"/>
      <c r="AH947" s="23" t="n"/>
      <c r="AI947" s="23" t="n"/>
      <c r="AJ947" s="23" t="n"/>
      <c r="AK947" s="23" t="n"/>
      <c r="AL947" s="23" t="n"/>
      <c r="AM947" s="26">
        <f>IF(G947="","",G947&amp;"|"&amp;P947)</f>
        <v/>
      </c>
      <c r="AN947" s="27">
        <f>IF(I947="","",IFERROR(DATE(VALUE(RIGHT(I947,4)),VALUE(MID(I947,4,2)),VALUE(LEFT(I947,2))),""))</f>
        <v/>
      </c>
      <c r="AO947" s="27">
        <f>IF(Y947="","",IFERROR(DATE(VALUE(RIGHT(Y947,4)),VALUE(MID(Y947,4,2)),VALUE(LEFT(Y947,2))),""))</f>
        <v/>
      </c>
      <c r="AP947" s="27">
        <f>IF(AC947="","",IFERROR(DATE(VALUE(RIGHT(AC947,4)),VALUE(MID(AC947,4,2)),VALUE(LEFT(AC947,2))),""))</f>
        <v/>
      </c>
      <c r="AQ947" s="26">
        <f>IF(AI947="","",TRIM(LEFT(AI947,FIND(" ",AI947&amp;" ")-1)))</f>
        <v/>
      </c>
      <c r="AR947" s="27">
        <f>IF(AQ947="","",IFERROR(DATE(VALUE(MID(AQ947,FIND("/",AQ947,FIND("/",AQ947)+1)+1,4)),VALUE(LEFT(AQ947,FIND("/",AQ947)-1)),VALUE(MID(AQ947,FIND("/",AQ947)+1,FIND("/",AQ947,FIND("/",AQ947)+1)-FIND("/",AQ947)-1))),""))</f>
        <v/>
      </c>
      <c r="AS947" s="26">
        <f>IF(G947="","",IF(AND(AG947&lt;&gt;"",AG947&lt;&gt;"Bayi Aracı"),"Evet","Hayır"))</f>
        <v/>
      </c>
      <c r="AT947" s="26">
        <f>IF(G947="","",IF(AND(AS947="Evet",T947="Siparişiniz Teslim Edildi"),"Evet","Hayır"))</f>
        <v/>
      </c>
      <c r="AU947" s="26">
        <f>IF(G947="","",IF(AB947="Siparişinizin Montajı Yapıldı","Evet","Hayır"))</f>
        <v/>
      </c>
      <c r="AV947" s="27">
        <f>IF(G947="","",IF(AT947="Evet",AR947,IF(AU947="Evet",AP947,"")))</f>
        <v/>
      </c>
    </row>
    <row r="948">
      <c r="A948" s="23" t="n"/>
      <c r="B948" s="23" t="n"/>
      <c r="C948" s="23" t="n"/>
      <c r="D948" s="23" t="n"/>
      <c r="E948" s="23" t="n"/>
      <c r="F948" s="23" t="n"/>
      <c r="G948" s="23" t="n"/>
      <c r="H948" s="23" t="n"/>
      <c r="I948" s="23" t="n"/>
      <c r="J948" s="23" t="n"/>
      <c r="K948" s="23" t="n"/>
      <c r="L948" s="23" t="n"/>
      <c r="M948" s="23" t="n"/>
      <c r="N948" s="23" t="n"/>
      <c r="O948" s="23" t="n"/>
      <c r="P948" s="23" t="n"/>
      <c r="Q948" s="23" t="n"/>
      <c r="R948" s="23" t="n"/>
      <c r="S948" s="23" t="n"/>
      <c r="T948" s="23" t="n"/>
      <c r="U948" s="23" t="n"/>
      <c r="V948" s="23" t="n"/>
      <c r="W948" s="23" t="n"/>
      <c r="X948" s="23" t="n"/>
      <c r="Y948" s="23" t="n"/>
      <c r="Z948" s="23" t="n"/>
      <c r="AA948" s="23" t="n"/>
      <c r="AB948" s="23" t="n"/>
      <c r="AC948" s="23" t="n"/>
      <c r="AD948" s="23" t="n"/>
      <c r="AE948" s="23" t="n"/>
      <c r="AF948" s="23" t="n"/>
      <c r="AG948" s="23" t="n"/>
      <c r="AH948" s="23" t="n"/>
      <c r="AI948" s="23" t="n"/>
      <c r="AJ948" s="23" t="n"/>
      <c r="AK948" s="23" t="n"/>
      <c r="AL948" s="23" t="n"/>
      <c r="AM948" s="26">
        <f>IF(G948="","",G948&amp;"|"&amp;P948)</f>
        <v/>
      </c>
      <c r="AN948" s="27">
        <f>IF(I948="","",IFERROR(DATE(VALUE(RIGHT(I948,4)),VALUE(MID(I948,4,2)),VALUE(LEFT(I948,2))),""))</f>
        <v/>
      </c>
      <c r="AO948" s="27">
        <f>IF(Y948="","",IFERROR(DATE(VALUE(RIGHT(Y948,4)),VALUE(MID(Y948,4,2)),VALUE(LEFT(Y948,2))),""))</f>
        <v/>
      </c>
      <c r="AP948" s="27">
        <f>IF(AC948="","",IFERROR(DATE(VALUE(RIGHT(AC948,4)),VALUE(MID(AC948,4,2)),VALUE(LEFT(AC948,2))),""))</f>
        <v/>
      </c>
      <c r="AQ948" s="26">
        <f>IF(AI948="","",TRIM(LEFT(AI948,FIND(" ",AI948&amp;" ")-1)))</f>
        <v/>
      </c>
      <c r="AR948" s="27">
        <f>IF(AQ948="","",IFERROR(DATE(VALUE(MID(AQ948,FIND("/",AQ948,FIND("/",AQ948)+1)+1,4)),VALUE(LEFT(AQ948,FIND("/",AQ948)-1)),VALUE(MID(AQ948,FIND("/",AQ948)+1,FIND("/",AQ948,FIND("/",AQ948)+1)-FIND("/",AQ948)-1))),""))</f>
        <v/>
      </c>
      <c r="AS948" s="26">
        <f>IF(G948="","",IF(AND(AG948&lt;&gt;"",AG948&lt;&gt;"Bayi Aracı"),"Evet","Hayır"))</f>
        <v/>
      </c>
      <c r="AT948" s="26">
        <f>IF(G948="","",IF(AND(AS948="Evet",T948="Siparişiniz Teslim Edildi"),"Evet","Hayır"))</f>
        <v/>
      </c>
      <c r="AU948" s="26">
        <f>IF(G948="","",IF(AB948="Siparişinizin Montajı Yapıldı","Evet","Hayır"))</f>
        <v/>
      </c>
      <c r="AV948" s="27">
        <f>IF(G948="","",IF(AT948="Evet",AR948,IF(AU948="Evet",AP948,"")))</f>
        <v/>
      </c>
    </row>
    <row r="949">
      <c r="A949" s="23" t="n"/>
      <c r="B949" s="23" t="n"/>
      <c r="C949" s="23" t="n"/>
      <c r="D949" s="23" t="n"/>
      <c r="E949" s="23" t="n"/>
      <c r="F949" s="23" t="n"/>
      <c r="G949" s="23" t="n"/>
      <c r="H949" s="23" t="n"/>
      <c r="I949" s="23" t="n"/>
      <c r="J949" s="23" t="n"/>
      <c r="K949" s="23" t="n"/>
      <c r="L949" s="23" t="n"/>
      <c r="M949" s="23" t="n"/>
      <c r="N949" s="23" t="n"/>
      <c r="O949" s="23" t="n"/>
      <c r="P949" s="23" t="n"/>
      <c r="Q949" s="23" t="n"/>
      <c r="R949" s="23" t="n"/>
      <c r="S949" s="23" t="n"/>
      <c r="T949" s="23" t="n"/>
      <c r="U949" s="23" t="n"/>
      <c r="V949" s="23" t="n"/>
      <c r="W949" s="23" t="n"/>
      <c r="X949" s="23" t="n"/>
      <c r="Y949" s="23" t="n"/>
      <c r="Z949" s="23" t="n"/>
      <c r="AA949" s="23" t="n"/>
      <c r="AB949" s="23" t="n"/>
      <c r="AC949" s="23" t="n"/>
      <c r="AD949" s="23" t="n"/>
      <c r="AE949" s="23" t="n"/>
      <c r="AF949" s="23" t="n"/>
      <c r="AG949" s="23" t="n"/>
      <c r="AH949" s="23" t="n"/>
      <c r="AI949" s="23" t="n"/>
      <c r="AJ949" s="23" t="n"/>
      <c r="AK949" s="23" t="n"/>
      <c r="AL949" s="23" t="n"/>
      <c r="AM949" s="26">
        <f>IF(G949="","",G949&amp;"|"&amp;P949)</f>
        <v/>
      </c>
      <c r="AN949" s="27">
        <f>IF(I949="","",IFERROR(DATE(VALUE(RIGHT(I949,4)),VALUE(MID(I949,4,2)),VALUE(LEFT(I949,2))),""))</f>
        <v/>
      </c>
      <c r="AO949" s="27">
        <f>IF(Y949="","",IFERROR(DATE(VALUE(RIGHT(Y949,4)),VALUE(MID(Y949,4,2)),VALUE(LEFT(Y949,2))),""))</f>
        <v/>
      </c>
      <c r="AP949" s="27">
        <f>IF(AC949="","",IFERROR(DATE(VALUE(RIGHT(AC949,4)),VALUE(MID(AC949,4,2)),VALUE(LEFT(AC949,2))),""))</f>
        <v/>
      </c>
      <c r="AQ949" s="26">
        <f>IF(AI949="","",TRIM(LEFT(AI949,FIND(" ",AI949&amp;" ")-1)))</f>
        <v/>
      </c>
      <c r="AR949" s="27">
        <f>IF(AQ949="","",IFERROR(DATE(VALUE(MID(AQ949,FIND("/",AQ949,FIND("/",AQ949)+1)+1,4)),VALUE(LEFT(AQ949,FIND("/",AQ949)-1)),VALUE(MID(AQ949,FIND("/",AQ949)+1,FIND("/",AQ949,FIND("/",AQ949)+1)-FIND("/",AQ949)-1))),""))</f>
        <v/>
      </c>
      <c r="AS949" s="26">
        <f>IF(G949="","",IF(AND(AG949&lt;&gt;"",AG949&lt;&gt;"Bayi Aracı"),"Evet","Hayır"))</f>
        <v/>
      </c>
      <c r="AT949" s="26">
        <f>IF(G949="","",IF(AND(AS949="Evet",T949="Siparişiniz Teslim Edildi"),"Evet","Hayır"))</f>
        <v/>
      </c>
      <c r="AU949" s="26">
        <f>IF(G949="","",IF(AB949="Siparişinizin Montajı Yapıldı","Evet","Hayır"))</f>
        <v/>
      </c>
      <c r="AV949" s="27">
        <f>IF(G949="","",IF(AT949="Evet",AR949,IF(AU949="Evet",AP949,"")))</f>
        <v/>
      </c>
    </row>
    <row r="950">
      <c r="A950" s="23" t="n"/>
      <c r="B950" s="23" t="n"/>
      <c r="C950" s="23" t="n"/>
      <c r="D950" s="23" t="n"/>
      <c r="E950" s="23" t="n"/>
      <c r="F950" s="23" t="n"/>
      <c r="G950" s="23" t="n"/>
      <c r="H950" s="23" t="n"/>
      <c r="I950" s="23" t="n"/>
      <c r="J950" s="23" t="n"/>
      <c r="K950" s="23" t="n"/>
      <c r="L950" s="23" t="n"/>
      <c r="M950" s="23" t="n"/>
      <c r="N950" s="23" t="n"/>
      <c r="O950" s="23" t="n"/>
      <c r="P950" s="23" t="n"/>
      <c r="Q950" s="23" t="n"/>
      <c r="R950" s="23" t="n"/>
      <c r="S950" s="23" t="n"/>
      <c r="T950" s="23" t="n"/>
      <c r="U950" s="23" t="n"/>
      <c r="V950" s="23" t="n"/>
      <c r="W950" s="23" t="n"/>
      <c r="X950" s="23" t="n"/>
      <c r="Y950" s="23" t="n"/>
      <c r="Z950" s="23" t="n"/>
      <c r="AA950" s="23" t="n"/>
      <c r="AB950" s="23" t="n"/>
      <c r="AC950" s="23" t="n"/>
      <c r="AD950" s="23" t="n"/>
      <c r="AE950" s="23" t="n"/>
      <c r="AF950" s="23" t="n"/>
      <c r="AG950" s="23" t="n"/>
      <c r="AH950" s="23" t="n"/>
      <c r="AI950" s="23" t="n"/>
      <c r="AJ950" s="23" t="n"/>
      <c r="AK950" s="23" t="n"/>
      <c r="AL950" s="23" t="n"/>
      <c r="AM950" s="26">
        <f>IF(G950="","",G950&amp;"|"&amp;P950)</f>
        <v/>
      </c>
      <c r="AN950" s="27">
        <f>IF(I950="","",IFERROR(DATE(VALUE(RIGHT(I950,4)),VALUE(MID(I950,4,2)),VALUE(LEFT(I950,2))),""))</f>
        <v/>
      </c>
      <c r="AO950" s="27">
        <f>IF(Y950="","",IFERROR(DATE(VALUE(RIGHT(Y950,4)),VALUE(MID(Y950,4,2)),VALUE(LEFT(Y950,2))),""))</f>
        <v/>
      </c>
      <c r="AP950" s="27">
        <f>IF(AC950="","",IFERROR(DATE(VALUE(RIGHT(AC950,4)),VALUE(MID(AC950,4,2)),VALUE(LEFT(AC950,2))),""))</f>
        <v/>
      </c>
      <c r="AQ950" s="26">
        <f>IF(AI950="","",TRIM(LEFT(AI950,FIND(" ",AI950&amp;" ")-1)))</f>
        <v/>
      </c>
      <c r="AR950" s="27">
        <f>IF(AQ950="","",IFERROR(DATE(VALUE(MID(AQ950,FIND("/",AQ950,FIND("/",AQ950)+1)+1,4)),VALUE(LEFT(AQ950,FIND("/",AQ950)-1)),VALUE(MID(AQ950,FIND("/",AQ950)+1,FIND("/",AQ950,FIND("/",AQ950)+1)-FIND("/",AQ950)-1))),""))</f>
        <v/>
      </c>
      <c r="AS950" s="26">
        <f>IF(G950="","",IF(AND(AG950&lt;&gt;"",AG950&lt;&gt;"Bayi Aracı"),"Evet","Hayır"))</f>
        <v/>
      </c>
      <c r="AT950" s="26">
        <f>IF(G950="","",IF(AND(AS950="Evet",T950="Siparişiniz Teslim Edildi"),"Evet","Hayır"))</f>
        <v/>
      </c>
      <c r="AU950" s="26">
        <f>IF(G950="","",IF(AB950="Siparişinizin Montajı Yapıldı","Evet","Hayır"))</f>
        <v/>
      </c>
      <c r="AV950" s="27">
        <f>IF(G950="","",IF(AT950="Evet",AR950,IF(AU950="Evet",AP950,"")))</f>
        <v/>
      </c>
    </row>
    <row r="951">
      <c r="A951" s="23" t="n"/>
      <c r="B951" s="23" t="n"/>
      <c r="C951" s="23" t="n"/>
      <c r="D951" s="23" t="n"/>
      <c r="E951" s="23" t="n"/>
      <c r="F951" s="23" t="n"/>
      <c r="G951" s="23" t="n"/>
      <c r="H951" s="23" t="n"/>
      <c r="I951" s="23" t="n"/>
      <c r="J951" s="23" t="n"/>
      <c r="K951" s="23" t="n"/>
      <c r="L951" s="23" t="n"/>
      <c r="M951" s="23" t="n"/>
      <c r="N951" s="23" t="n"/>
      <c r="O951" s="23" t="n"/>
      <c r="P951" s="23" t="n"/>
      <c r="Q951" s="23" t="n"/>
      <c r="R951" s="23" t="n"/>
      <c r="S951" s="23" t="n"/>
      <c r="T951" s="23" t="n"/>
      <c r="U951" s="23" t="n"/>
      <c r="V951" s="23" t="n"/>
      <c r="W951" s="23" t="n"/>
      <c r="X951" s="23" t="n"/>
      <c r="Y951" s="23" t="n"/>
      <c r="Z951" s="23" t="n"/>
      <c r="AA951" s="23" t="n"/>
      <c r="AB951" s="23" t="n"/>
      <c r="AC951" s="23" t="n"/>
      <c r="AD951" s="23" t="n"/>
      <c r="AE951" s="23" t="n"/>
      <c r="AF951" s="23" t="n"/>
      <c r="AG951" s="23" t="n"/>
      <c r="AH951" s="23" t="n"/>
      <c r="AI951" s="23" t="n"/>
      <c r="AJ951" s="23" t="n"/>
      <c r="AK951" s="23" t="n"/>
      <c r="AL951" s="23" t="n"/>
      <c r="AM951" s="26">
        <f>IF(G951="","",G951&amp;"|"&amp;P951)</f>
        <v/>
      </c>
      <c r="AN951" s="27">
        <f>IF(I951="","",IFERROR(DATE(VALUE(RIGHT(I951,4)),VALUE(MID(I951,4,2)),VALUE(LEFT(I951,2))),""))</f>
        <v/>
      </c>
      <c r="AO951" s="27">
        <f>IF(Y951="","",IFERROR(DATE(VALUE(RIGHT(Y951,4)),VALUE(MID(Y951,4,2)),VALUE(LEFT(Y951,2))),""))</f>
        <v/>
      </c>
      <c r="AP951" s="27">
        <f>IF(AC951="","",IFERROR(DATE(VALUE(RIGHT(AC951,4)),VALUE(MID(AC951,4,2)),VALUE(LEFT(AC951,2))),""))</f>
        <v/>
      </c>
      <c r="AQ951" s="26">
        <f>IF(AI951="","",TRIM(LEFT(AI951,FIND(" ",AI951&amp;" ")-1)))</f>
        <v/>
      </c>
      <c r="AR951" s="27">
        <f>IF(AQ951="","",IFERROR(DATE(VALUE(MID(AQ951,FIND("/",AQ951,FIND("/",AQ951)+1)+1,4)),VALUE(LEFT(AQ951,FIND("/",AQ951)-1)),VALUE(MID(AQ951,FIND("/",AQ951)+1,FIND("/",AQ951,FIND("/",AQ951)+1)-FIND("/",AQ951)-1))),""))</f>
        <v/>
      </c>
      <c r="AS951" s="26">
        <f>IF(G951="","",IF(AND(AG951&lt;&gt;"",AG951&lt;&gt;"Bayi Aracı"),"Evet","Hayır"))</f>
        <v/>
      </c>
      <c r="AT951" s="26">
        <f>IF(G951="","",IF(AND(AS951="Evet",T951="Siparişiniz Teslim Edildi"),"Evet","Hayır"))</f>
        <v/>
      </c>
      <c r="AU951" s="26">
        <f>IF(G951="","",IF(AB951="Siparişinizin Montajı Yapıldı","Evet","Hayır"))</f>
        <v/>
      </c>
      <c r="AV951" s="27">
        <f>IF(G951="","",IF(AT951="Evet",AR951,IF(AU951="Evet",AP951,"")))</f>
        <v/>
      </c>
    </row>
    <row r="952">
      <c r="A952" s="23" t="n"/>
      <c r="B952" s="23" t="n"/>
      <c r="C952" s="23" t="n"/>
      <c r="D952" s="23" t="n"/>
      <c r="E952" s="23" t="n"/>
      <c r="F952" s="23" t="n"/>
      <c r="G952" s="23" t="n"/>
      <c r="H952" s="23" t="n"/>
      <c r="I952" s="23" t="n"/>
      <c r="J952" s="23" t="n"/>
      <c r="K952" s="23" t="n"/>
      <c r="L952" s="23" t="n"/>
      <c r="M952" s="23" t="n"/>
      <c r="N952" s="23" t="n"/>
      <c r="O952" s="23" t="n"/>
      <c r="P952" s="23" t="n"/>
      <c r="Q952" s="23" t="n"/>
      <c r="R952" s="23" t="n"/>
      <c r="S952" s="23" t="n"/>
      <c r="T952" s="23" t="n"/>
      <c r="U952" s="23" t="n"/>
      <c r="V952" s="23" t="n"/>
      <c r="W952" s="23" t="n"/>
      <c r="X952" s="23" t="n"/>
      <c r="Y952" s="23" t="n"/>
      <c r="Z952" s="23" t="n"/>
      <c r="AA952" s="23" t="n"/>
      <c r="AB952" s="23" t="n"/>
      <c r="AC952" s="23" t="n"/>
      <c r="AD952" s="23" t="n"/>
      <c r="AE952" s="23" t="n"/>
      <c r="AF952" s="23" t="n"/>
      <c r="AG952" s="23" t="n"/>
      <c r="AH952" s="23" t="n"/>
      <c r="AI952" s="23" t="n"/>
      <c r="AJ952" s="23" t="n"/>
      <c r="AK952" s="23" t="n"/>
      <c r="AL952" s="23" t="n"/>
      <c r="AM952" s="26">
        <f>IF(G952="","",G952&amp;"|"&amp;P952)</f>
        <v/>
      </c>
      <c r="AN952" s="27">
        <f>IF(I952="","",IFERROR(DATE(VALUE(RIGHT(I952,4)),VALUE(MID(I952,4,2)),VALUE(LEFT(I952,2))),""))</f>
        <v/>
      </c>
      <c r="AO952" s="27">
        <f>IF(Y952="","",IFERROR(DATE(VALUE(RIGHT(Y952,4)),VALUE(MID(Y952,4,2)),VALUE(LEFT(Y952,2))),""))</f>
        <v/>
      </c>
      <c r="AP952" s="27">
        <f>IF(AC952="","",IFERROR(DATE(VALUE(RIGHT(AC952,4)),VALUE(MID(AC952,4,2)),VALUE(LEFT(AC952,2))),""))</f>
        <v/>
      </c>
      <c r="AQ952" s="26">
        <f>IF(AI952="","",TRIM(LEFT(AI952,FIND(" ",AI952&amp;" ")-1)))</f>
        <v/>
      </c>
      <c r="AR952" s="27">
        <f>IF(AQ952="","",IFERROR(DATE(VALUE(MID(AQ952,FIND("/",AQ952,FIND("/",AQ952)+1)+1,4)),VALUE(LEFT(AQ952,FIND("/",AQ952)-1)),VALUE(MID(AQ952,FIND("/",AQ952)+1,FIND("/",AQ952,FIND("/",AQ952)+1)-FIND("/",AQ952)-1))),""))</f>
        <v/>
      </c>
      <c r="AS952" s="26">
        <f>IF(G952="","",IF(AND(AG952&lt;&gt;"",AG952&lt;&gt;"Bayi Aracı"),"Evet","Hayır"))</f>
        <v/>
      </c>
      <c r="AT952" s="26">
        <f>IF(G952="","",IF(AND(AS952="Evet",T952="Siparişiniz Teslim Edildi"),"Evet","Hayır"))</f>
        <v/>
      </c>
      <c r="AU952" s="26">
        <f>IF(G952="","",IF(AB952="Siparişinizin Montajı Yapıldı","Evet","Hayır"))</f>
        <v/>
      </c>
      <c r="AV952" s="27">
        <f>IF(G952="","",IF(AT952="Evet",AR952,IF(AU952="Evet",AP952,"")))</f>
        <v/>
      </c>
    </row>
    <row r="953">
      <c r="A953" s="23" t="n"/>
      <c r="B953" s="23" t="n"/>
      <c r="C953" s="23" t="n"/>
      <c r="D953" s="23" t="n"/>
      <c r="E953" s="23" t="n"/>
      <c r="F953" s="23" t="n"/>
      <c r="G953" s="23" t="n"/>
      <c r="H953" s="23" t="n"/>
      <c r="I953" s="23" t="n"/>
      <c r="J953" s="23" t="n"/>
      <c r="K953" s="23" t="n"/>
      <c r="L953" s="23" t="n"/>
      <c r="M953" s="23" t="n"/>
      <c r="N953" s="23" t="n"/>
      <c r="O953" s="23" t="n"/>
      <c r="P953" s="23" t="n"/>
      <c r="Q953" s="23" t="n"/>
      <c r="R953" s="23" t="n"/>
      <c r="S953" s="23" t="n"/>
      <c r="T953" s="23" t="n"/>
      <c r="U953" s="23" t="n"/>
      <c r="V953" s="23" t="n"/>
      <c r="W953" s="23" t="n"/>
      <c r="X953" s="23" t="n"/>
      <c r="Y953" s="23" t="n"/>
      <c r="Z953" s="23" t="n"/>
      <c r="AA953" s="23" t="n"/>
      <c r="AB953" s="23" t="n"/>
      <c r="AC953" s="23" t="n"/>
      <c r="AD953" s="23" t="n"/>
      <c r="AE953" s="23" t="n"/>
      <c r="AF953" s="23" t="n"/>
      <c r="AG953" s="23" t="n"/>
      <c r="AH953" s="23" t="n"/>
      <c r="AI953" s="23" t="n"/>
      <c r="AJ953" s="23" t="n"/>
      <c r="AK953" s="23" t="n"/>
      <c r="AL953" s="23" t="n"/>
      <c r="AM953" s="26">
        <f>IF(G953="","",G953&amp;"|"&amp;P953)</f>
        <v/>
      </c>
      <c r="AN953" s="27">
        <f>IF(I953="","",IFERROR(DATE(VALUE(RIGHT(I953,4)),VALUE(MID(I953,4,2)),VALUE(LEFT(I953,2))),""))</f>
        <v/>
      </c>
      <c r="AO953" s="27">
        <f>IF(Y953="","",IFERROR(DATE(VALUE(RIGHT(Y953,4)),VALUE(MID(Y953,4,2)),VALUE(LEFT(Y953,2))),""))</f>
        <v/>
      </c>
      <c r="AP953" s="27">
        <f>IF(AC953="","",IFERROR(DATE(VALUE(RIGHT(AC953,4)),VALUE(MID(AC953,4,2)),VALUE(LEFT(AC953,2))),""))</f>
        <v/>
      </c>
      <c r="AQ953" s="26">
        <f>IF(AI953="","",TRIM(LEFT(AI953,FIND(" ",AI953&amp;" ")-1)))</f>
        <v/>
      </c>
      <c r="AR953" s="27">
        <f>IF(AQ953="","",IFERROR(DATE(VALUE(MID(AQ953,FIND("/",AQ953,FIND("/",AQ953)+1)+1,4)),VALUE(LEFT(AQ953,FIND("/",AQ953)-1)),VALUE(MID(AQ953,FIND("/",AQ953)+1,FIND("/",AQ953,FIND("/",AQ953)+1)-FIND("/",AQ953)-1))),""))</f>
        <v/>
      </c>
      <c r="AS953" s="26">
        <f>IF(G953="","",IF(AND(AG953&lt;&gt;"",AG953&lt;&gt;"Bayi Aracı"),"Evet","Hayır"))</f>
        <v/>
      </c>
      <c r="AT953" s="26">
        <f>IF(G953="","",IF(AND(AS953="Evet",T953="Siparişiniz Teslim Edildi"),"Evet","Hayır"))</f>
        <v/>
      </c>
      <c r="AU953" s="26">
        <f>IF(G953="","",IF(AB953="Siparişinizin Montajı Yapıldı","Evet","Hayır"))</f>
        <v/>
      </c>
      <c r="AV953" s="27">
        <f>IF(G953="","",IF(AT953="Evet",AR953,IF(AU953="Evet",AP953,"")))</f>
        <v/>
      </c>
    </row>
    <row r="954">
      <c r="A954" s="23" t="n"/>
      <c r="B954" s="23" t="n"/>
      <c r="C954" s="23" t="n"/>
      <c r="D954" s="23" t="n"/>
      <c r="E954" s="23" t="n"/>
      <c r="F954" s="23" t="n"/>
      <c r="G954" s="23" t="n"/>
      <c r="H954" s="23" t="n"/>
      <c r="I954" s="23" t="n"/>
      <c r="J954" s="23" t="n"/>
      <c r="K954" s="23" t="n"/>
      <c r="L954" s="23" t="n"/>
      <c r="M954" s="23" t="n"/>
      <c r="N954" s="23" t="n"/>
      <c r="O954" s="23" t="n"/>
      <c r="P954" s="23" t="n"/>
      <c r="Q954" s="23" t="n"/>
      <c r="R954" s="23" t="n"/>
      <c r="S954" s="23" t="n"/>
      <c r="T954" s="23" t="n"/>
      <c r="U954" s="23" t="n"/>
      <c r="V954" s="23" t="n"/>
      <c r="W954" s="23" t="n"/>
      <c r="X954" s="23" t="n"/>
      <c r="Y954" s="23" t="n"/>
      <c r="Z954" s="23" t="n"/>
      <c r="AA954" s="23" t="n"/>
      <c r="AB954" s="23" t="n"/>
      <c r="AC954" s="23" t="n"/>
      <c r="AD954" s="23" t="n"/>
      <c r="AE954" s="23" t="n"/>
      <c r="AF954" s="23" t="n"/>
      <c r="AG954" s="23" t="n"/>
      <c r="AH954" s="23" t="n"/>
      <c r="AI954" s="23" t="n"/>
      <c r="AJ954" s="23" t="n"/>
      <c r="AK954" s="23" t="n"/>
      <c r="AL954" s="23" t="n"/>
      <c r="AM954" s="26">
        <f>IF(G954="","",G954&amp;"|"&amp;P954)</f>
        <v/>
      </c>
      <c r="AN954" s="27">
        <f>IF(I954="","",IFERROR(DATE(VALUE(RIGHT(I954,4)),VALUE(MID(I954,4,2)),VALUE(LEFT(I954,2))),""))</f>
        <v/>
      </c>
      <c r="AO954" s="27">
        <f>IF(Y954="","",IFERROR(DATE(VALUE(RIGHT(Y954,4)),VALUE(MID(Y954,4,2)),VALUE(LEFT(Y954,2))),""))</f>
        <v/>
      </c>
      <c r="AP954" s="27">
        <f>IF(AC954="","",IFERROR(DATE(VALUE(RIGHT(AC954,4)),VALUE(MID(AC954,4,2)),VALUE(LEFT(AC954,2))),""))</f>
        <v/>
      </c>
      <c r="AQ954" s="26">
        <f>IF(AI954="","",TRIM(LEFT(AI954,FIND(" ",AI954&amp;" ")-1)))</f>
        <v/>
      </c>
      <c r="AR954" s="27">
        <f>IF(AQ954="","",IFERROR(DATE(VALUE(MID(AQ954,FIND("/",AQ954,FIND("/",AQ954)+1)+1,4)),VALUE(LEFT(AQ954,FIND("/",AQ954)-1)),VALUE(MID(AQ954,FIND("/",AQ954)+1,FIND("/",AQ954,FIND("/",AQ954)+1)-FIND("/",AQ954)-1))),""))</f>
        <v/>
      </c>
      <c r="AS954" s="26">
        <f>IF(G954="","",IF(AND(AG954&lt;&gt;"",AG954&lt;&gt;"Bayi Aracı"),"Evet","Hayır"))</f>
        <v/>
      </c>
      <c r="AT954" s="26">
        <f>IF(G954="","",IF(AND(AS954="Evet",T954="Siparişiniz Teslim Edildi"),"Evet","Hayır"))</f>
        <v/>
      </c>
      <c r="AU954" s="26">
        <f>IF(G954="","",IF(AB954="Siparişinizin Montajı Yapıldı","Evet","Hayır"))</f>
        <v/>
      </c>
      <c r="AV954" s="27">
        <f>IF(G954="","",IF(AT954="Evet",AR954,IF(AU954="Evet",AP954,"")))</f>
        <v/>
      </c>
    </row>
    <row r="955">
      <c r="A955" s="23" t="n"/>
      <c r="B955" s="23" t="n"/>
      <c r="C955" s="23" t="n"/>
      <c r="D955" s="23" t="n"/>
      <c r="E955" s="23" t="n"/>
      <c r="F955" s="23" t="n"/>
      <c r="G955" s="23" t="n"/>
      <c r="H955" s="23" t="n"/>
      <c r="I955" s="23" t="n"/>
      <c r="J955" s="23" t="n"/>
      <c r="K955" s="23" t="n"/>
      <c r="L955" s="23" t="n"/>
      <c r="M955" s="23" t="n"/>
      <c r="N955" s="23" t="n"/>
      <c r="O955" s="23" t="n"/>
      <c r="P955" s="23" t="n"/>
      <c r="Q955" s="23" t="n"/>
      <c r="R955" s="23" t="n"/>
      <c r="S955" s="23" t="n"/>
      <c r="T955" s="23" t="n"/>
      <c r="U955" s="23" t="n"/>
      <c r="V955" s="23" t="n"/>
      <c r="W955" s="23" t="n"/>
      <c r="X955" s="23" t="n"/>
      <c r="Y955" s="23" t="n"/>
      <c r="Z955" s="23" t="n"/>
      <c r="AA955" s="23" t="n"/>
      <c r="AB955" s="23" t="n"/>
      <c r="AC955" s="23" t="n"/>
      <c r="AD955" s="23" t="n"/>
      <c r="AE955" s="23" t="n"/>
      <c r="AF955" s="23" t="n"/>
      <c r="AG955" s="23" t="n"/>
      <c r="AH955" s="23" t="n"/>
      <c r="AI955" s="23" t="n"/>
      <c r="AJ955" s="23" t="n"/>
      <c r="AK955" s="23" t="n"/>
      <c r="AL955" s="23" t="n"/>
      <c r="AM955" s="26">
        <f>IF(G955="","",G955&amp;"|"&amp;P955)</f>
        <v/>
      </c>
      <c r="AN955" s="27">
        <f>IF(I955="","",IFERROR(DATE(VALUE(RIGHT(I955,4)),VALUE(MID(I955,4,2)),VALUE(LEFT(I955,2))),""))</f>
        <v/>
      </c>
      <c r="AO955" s="27">
        <f>IF(Y955="","",IFERROR(DATE(VALUE(RIGHT(Y955,4)),VALUE(MID(Y955,4,2)),VALUE(LEFT(Y955,2))),""))</f>
        <v/>
      </c>
      <c r="AP955" s="27">
        <f>IF(AC955="","",IFERROR(DATE(VALUE(RIGHT(AC955,4)),VALUE(MID(AC955,4,2)),VALUE(LEFT(AC955,2))),""))</f>
        <v/>
      </c>
      <c r="AQ955" s="26">
        <f>IF(AI955="","",TRIM(LEFT(AI955,FIND(" ",AI955&amp;" ")-1)))</f>
        <v/>
      </c>
      <c r="AR955" s="27">
        <f>IF(AQ955="","",IFERROR(DATE(VALUE(MID(AQ955,FIND("/",AQ955,FIND("/",AQ955)+1)+1,4)),VALUE(LEFT(AQ955,FIND("/",AQ955)-1)),VALUE(MID(AQ955,FIND("/",AQ955)+1,FIND("/",AQ955,FIND("/",AQ955)+1)-FIND("/",AQ955)-1))),""))</f>
        <v/>
      </c>
      <c r="AS955" s="26">
        <f>IF(G955="","",IF(AND(AG955&lt;&gt;"",AG955&lt;&gt;"Bayi Aracı"),"Evet","Hayır"))</f>
        <v/>
      </c>
      <c r="AT955" s="26">
        <f>IF(G955="","",IF(AND(AS955="Evet",T955="Siparişiniz Teslim Edildi"),"Evet","Hayır"))</f>
        <v/>
      </c>
      <c r="AU955" s="26">
        <f>IF(G955="","",IF(AB955="Siparişinizin Montajı Yapıldı","Evet","Hayır"))</f>
        <v/>
      </c>
      <c r="AV955" s="27">
        <f>IF(G955="","",IF(AT955="Evet",AR955,IF(AU955="Evet",AP955,"")))</f>
        <v/>
      </c>
    </row>
    <row r="956">
      <c r="A956" s="23" t="n"/>
      <c r="B956" s="23" t="n"/>
      <c r="C956" s="23" t="n"/>
      <c r="D956" s="23" t="n"/>
      <c r="E956" s="23" t="n"/>
      <c r="F956" s="23" t="n"/>
      <c r="G956" s="23" t="n"/>
      <c r="H956" s="23" t="n"/>
      <c r="I956" s="23" t="n"/>
      <c r="J956" s="23" t="n"/>
      <c r="K956" s="23" t="n"/>
      <c r="L956" s="23" t="n"/>
      <c r="M956" s="23" t="n"/>
      <c r="N956" s="23" t="n"/>
      <c r="O956" s="23" t="n"/>
      <c r="P956" s="23" t="n"/>
      <c r="Q956" s="23" t="n"/>
      <c r="R956" s="23" t="n"/>
      <c r="S956" s="23" t="n"/>
      <c r="T956" s="23" t="n"/>
      <c r="U956" s="23" t="n"/>
      <c r="V956" s="23" t="n"/>
      <c r="W956" s="23" t="n"/>
      <c r="X956" s="23" t="n"/>
      <c r="Y956" s="23" t="n"/>
      <c r="Z956" s="23" t="n"/>
      <c r="AA956" s="23" t="n"/>
      <c r="AB956" s="23" t="n"/>
      <c r="AC956" s="23" t="n"/>
      <c r="AD956" s="23" t="n"/>
      <c r="AE956" s="23" t="n"/>
      <c r="AF956" s="23" t="n"/>
      <c r="AG956" s="23" t="n"/>
      <c r="AH956" s="23" t="n"/>
      <c r="AI956" s="23" t="n"/>
      <c r="AJ956" s="23" t="n"/>
      <c r="AK956" s="23" t="n"/>
      <c r="AL956" s="23" t="n"/>
      <c r="AM956" s="26">
        <f>IF(G956="","",G956&amp;"|"&amp;P956)</f>
        <v/>
      </c>
      <c r="AN956" s="27">
        <f>IF(I956="","",IFERROR(DATE(VALUE(RIGHT(I956,4)),VALUE(MID(I956,4,2)),VALUE(LEFT(I956,2))),""))</f>
        <v/>
      </c>
      <c r="AO956" s="27">
        <f>IF(Y956="","",IFERROR(DATE(VALUE(RIGHT(Y956,4)),VALUE(MID(Y956,4,2)),VALUE(LEFT(Y956,2))),""))</f>
        <v/>
      </c>
      <c r="AP956" s="27">
        <f>IF(AC956="","",IFERROR(DATE(VALUE(RIGHT(AC956,4)),VALUE(MID(AC956,4,2)),VALUE(LEFT(AC956,2))),""))</f>
        <v/>
      </c>
      <c r="AQ956" s="26">
        <f>IF(AI956="","",TRIM(LEFT(AI956,FIND(" ",AI956&amp;" ")-1)))</f>
        <v/>
      </c>
      <c r="AR956" s="27">
        <f>IF(AQ956="","",IFERROR(DATE(VALUE(MID(AQ956,FIND("/",AQ956,FIND("/",AQ956)+1)+1,4)),VALUE(LEFT(AQ956,FIND("/",AQ956)-1)),VALUE(MID(AQ956,FIND("/",AQ956)+1,FIND("/",AQ956,FIND("/",AQ956)+1)-FIND("/",AQ956)-1))),""))</f>
        <v/>
      </c>
      <c r="AS956" s="26">
        <f>IF(G956="","",IF(AND(AG956&lt;&gt;"",AG956&lt;&gt;"Bayi Aracı"),"Evet","Hayır"))</f>
        <v/>
      </c>
      <c r="AT956" s="26">
        <f>IF(G956="","",IF(AND(AS956="Evet",T956="Siparişiniz Teslim Edildi"),"Evet","Hayır"))</f>
        <v/>
      </c>
      <c r="AU956" s="26">
        <f>IF(G956="","",IF(AB956="Siparişinizin Montajı Yapıldı","Evet","Hayır"))</f>
        <v/>
      </c>
      <c r="AV956" s="27">
        <f>IF(G956="","",IF(AT956="Evet",AR956,IF(AU956="Evet",AP956,"")))</f>
        <v/>
      </c>
    </row>
    <row r="957">
      <c r="A957" s="23" t="n"/>
      <c r="B957" s="23" t="n"/>
      <c r="C957" s="23" t="n"/>
      <c r="D957" s="23" t="n"/>
      <c r="E957" s="23" t="n"/>
      <c r="F957" s="23" t="n"/>
      <c r="G957" s="23" t="n"/>
      <c r="H957" s="23" t="n"/>
      <c r="I957" s="23" t="n"/>
      <c r="J957" s="23" t="n"/>
      <c r="K957" s="23" t="n"/>
      <c r="L957" s="23" t="n"/>
      <c r="M957" s="23" t="n"/>
      <c r="N957" s="23" t="n"/>
      <c r="O957" s="23" t="n"/>
      <c r="P957" s="23" t="n"/>
      <c r="Q957" s="23" t="n"/>
      <c r="R957" s="23" t="n"/>
      <c r="S957" s="23" t="n"/>
      <c r="T957" s="23" t="n"/>
      <c r="U957" s="23" t="n"/>
      <c r="V957" s="23" t="n"/>
      <c r="W957" s="23" t="n"/>
      <c r="X957" s="23" t="n"/>
      <c r="Y957" s="23" t="n"/>
      <c r="Z957" s="23" t="n"/>
      <c r="AA957" s="23" t="n"/>
      <c r="AB957" s="23" t="n"/>
      <c r="AC957" s="23" t="n"/>
      <c r="AD957" s="23" t="n"/>
      <c r="AE957" s="23" t="n"/>
      <c r="AF957" s="23" t="n"/>
      <c r="AG957" s="23" t="n"/>
      <c r="AH957" s="23" t="n"/>
      <c r="AI957" s="23" t="n"/>
      <c r="AJ957" s="23" t="n"/>
      <c r="AK957" s="23" t="n"/>
      <c r="AL957" s="23" t="n"/>
      <c r="AM957" s="26">
        <f>IF(G957="","",G957&amp;"|"&amp;P957)</f>
        <v/>
      </c>
      <c r="AN957" s="27">
        <f>IF(I957="","",IFERROR(DATE(VALUE(RIGHT(I957,4)),VALUE(MID(I957,4,2)),VALUE(LEFT(I957,2))),""))</f>
        <v/>
      </c>
      <c r="AO957" s="27">
        <f>IF(Y957="","",IFERROR(DATE(VALUE(RIGHT(Y957,4)),VALUE(MID(Y957,4,2)),VALUE(LEFT(Y957,2))),""))</f>
        <v/>
      </c>
      <c r="AP957" s="27">
        <f>IF(AC957="","",IFERROR(DATE(VALUE(RIGHT(AC957,4)),VALUE(MID(AC957,4,2)),VALUE(LEFT(AC957,2))),""))</f>
        <v/>
      </c>
      <c r="AQ957" s="26">
        <f>IF(AI957="","",TRIM(LEFT(AI957,FIND(" ",AI957&amp;" ")-1)))</f>
        <v/>
      </c>
      <c r="AR957" s="27">
        <f>IF(AQ957="","",IFERROR(DATE(VALUE(MID(AQ957,FIND("/",AQ957,FIND("/",AQ957)+1)+1,4)),VALUE(LEFT(AQ957,FIND("/",AQ957)-1)),VALUE(MID(AQ957,FIND("/",AQ957)+1,FIND("/",AQ957,FIND("/",AQ957)+1)-FIND("/",AQ957)-1))),""))</f>
        <v/>
      </c>
      <c r="AS957" s="26">
        <f>IF(G957="","",IF(AND(AG957&lt;&gt;"",AG957&lt;&gt;"Bayi Aracı"),"Evet","Hayır"))</f>
        <v/>
      </c>
      <c r="AT957" s="26">
        <f>IF(G957="","",IF(AND(AS957="Evet",T957="Siparişiniz Teslim Edildi"),"Evet","Hayır"))</f>
        <v/>
      </c>
      <c r="AU957" s="26">
        <f>IF(G957="","",IF(AB957="Siparişinizin Montajı Yapıldı","Evet","Hayır"))</f>
        <v/>
      </c>
      <c r="AV957" s="27">
        <f>IF(G957="","",IF(AT957="Evet",AR957,IF(AU957="Evet",AP957,"")))</f>
        <v/>
      </c>
    </row>
    <row r="958">
      <c r="A958" s="23" t="n"/>
      <c r="B958" s="23" t="n"/>
      <c r="C958" s="23" t="n"/>
      <c r="D958" s="23" t="n"/>
      <c r="E958" s="23" t="n"/>
      <c r="F958" s="23" t="n"/>
      <c r="G958" s="23" t="n"/>
      <c r="H958" s="23" t="n"/>
      <c r="I958" s="23" t="n"/>
      <c r="J958" s="23" t="n"/>
      <c r="K958" s="23" t="n"/>
      <c r="L958" s="23" t="n"/>
      <c r="M958" s="23" t="n"/>
      <c r="N958" s="23" t="n"/>
      <c r="O958" s="23" t="n"/>
      <c r="P958" s="23" t="n"/>
      <c r="Q958" s="23" t="n"/>
      <c r="R958" s="23" t="n"/>
      <c r="S958" s="23" t="n"/>
      <c r="T958" s="23" t="n"/>
      <c r="U958" s="23" t="n"/>
      <c r="V958" s="23" t="n"/>
      <c r="W958" s="23" t="n"/>
      <c r="X958" s="23" t="n"/>
      <c r="Y958" s="23" t="n"/>
      <c r="Z958" s="23" t="n"/>
      <c r="AA958" s="23" t="n"/>
      <c r="AB958" s="23" t="n"/>
      <c r="AC958" s="23" t="n"/>
      <c r="AD958" s="23" t="n"/>
      <c r="AE958" s="23" t="n"/>
      <c r="AF958" s="23" t="n"/>
      <c r="AG958" s="23" t="n"/>
      <c r="AH958" s="23" t="n"/>
      <c r="AI958" s="23" t="n"/>
      <c r="AJ958" s="23" t="n"/>
      <c r="AK958" s="23" t="n"/>
      <c r="AL958" s="23" t="n"/>
      <c r="AM958" s="26">
        <f>IF(G958="","",G958&amp;"|"&amp;P958)</f>
        <v/>
      </c>
      <c r="AN958" s="27">
        <f>IF(I958="","",IFERROR(DATE(VALUE(RIGHT(I958,4)),VALUE(MID(I958,4,2)),VALUE(LEFT(I958,2))),""))</f>
        <v/>
      </c>
      <c r="AO958" s="27">
        <f>IF(Y958="","",IFERROR(DATE(VALUE(RIGHT(Y958,4)),VALUE(MID(Y958,4,2)),VALUE(LEFT(Y958,2))),""))</f>
        <v/>
      </c>
      <c r="AP958" s="27">
        <f>IF(AC958="","",IFERROR(DATE(VALUE(RIGHT(AC958,4)),VALUE(MID(AC958,4,2)),VALUE(LEFT(AC958,2))),""))</f>
        <v/>
      </c>
      <c r="AQ958" s="26">
        <f>IF(AI958="","",TRIM(LEFT(AI958,FIND(" ",AI958&amp;" ")-1)))</f>
        <v/>
      </c>
      <c r="AR958" s="27">
        <f>IF(AQ958="","",IFERROR(DATE(VALUE(MID(AQ958,FIND("/",AQ958,FIND("/",AQ958)+1)+1,4)),VALUE(LEFT(AQ958,FIND("/",AQ958)-1)),VALUE(MID(AQ958,FIND("/",AQ958)+1,FIND("/",AQ958,FIND("/",AQ958)+1)-FIND("/",AQ958)-1))),""))</f>
        <v/>
      </c>
      <c r="AS958" s="26">
        <f>IF(G958="","",IF(AND(AG958&lt;&gt;"",AG958&lt;&gt;"Bayi Aracı"),"Evet","Hayır"))</f>
        <v/>
      </c>
      <c r="AT958" s="26">
        <f>IF(G958="","",IF(AND(AS958="Evet",T958="Siparişiniz Teslim Edildi"),"Evet","Hayır"))</f>
        <v/>
      </c>
      <c r="AU958" s="26">
        <f>IF(G958="","",IF(AB958="Siparişinizin Montajı Yapıldı","Evet","Hayır"))</f>
        <v/>
      </c>
      <c r="AV958" s="27">
        <f>IF(G958="","",IF(AT958="Evet",AR958,IF(AU958="Evet",AP958,"")))</f>
        <v/>
      </c>
    </row>
    <row r="959">
      <c r="A959" s="23" t="n"/>
      <c r="B959" s="23" t="n"/>
      <c r="C959" s="23" t="n"/>
      <c r="D959" s="23" t="n"/>
      <c r="E959" s="23" t="n"/>
      <c r="F959" s="23" t="n"/>
      <c r="G959" s="23" t="n"/>
      <c r="H959" s="23" t="n"/>
      <c r="I959" s="23" t="n"/>
      <c r="J959" s="23" t="n"/>
      <c r="K959" s="23" t="n"/>
      <c r="L959" s="23" t="n"/>
      <c r="M959" s="23" t="n"/>
      <c r="N959" s="23" t="n"/>
      <c r="O959" s="23" t="n"/>
      <c r="P959" s="23" t="n"/>
      <c r="Q959" s="23" t="n"/>
      <c r="R959" s="23" t="n"/>
      <c r="S959" s="23" t="n"/>
      <c r="T959" s="23" t="n"/>
      <c r="U959" s="23" t="n"/>
      <c r="V959" s="23" t="n"/>
      <c r="W959" s="23" t="n"/>
      <c r="X959" s="23" t="n"/>
      <c r="Y959" s="23" t="n"/>
      <c r="Z959" s="23" t="n"/>
      <c r="AA959" s="23" t="n"/>
      <c r="AB959" s="23" t="n"/>
      <c r="AC959" s="23" t="n"/>
      <c r="AD959" s="23" t="n"/>
      <c r="AE959" s="23" t="n"/>
      <c r="AF959" s="23" t="n"/>
      <c r="AG959" s="23" t="n"/>
      <c r="AH959" s="23" t="n"/>
      <c r="AI959" s="23" t="n"/>
      <c r="AJ959" s="23" t="n"/>
      <c r="AK959" s="23" t="n"/>
      <c r="AL959" s="23" t="n"/>
      <c r="AM959" s="26">
        <f>IF(G959="","",G959&amp;"|"&amp;P959)</f>
        <v/>
      </c>
      <c r="AN959" s="27">
        <f>IF(I959="","",IFERROR(DATE(VALUE(RIGHT(I959,4)),VALUE(MID(I959,4,2)),VALUE(LEFT(I959,2))),""))</f>
        <v/>
      </c>
      <c r="AO959" s="27">
        <f>IF(Y959="","",IFERROR(DATE(VALUE(RIGHT(Y959,4)),VALUE(MID(Y959,4,2)),VALUE(LEFT(Y959,2))),""))</f>
        <v/>
      </c>
      <c r="AP959" s="27">
        <f>IF(AC959="","",IFERROR(DATE(VALUE(RIGHT(AC959,4)),VALUE(MID(AC959,4,2)),VALUE(LEFT(AC959,2))),""))</f>
        <v/>
      </c>
      <c r="AQ959" s="26">
        <f>IF(AI959="","",TRIM(LEFT(AI959,FIND(" ",AI959&amp;" ")-1)))</f>
        <v/>
      </c>
      <c r="AR959" s="27">
        <f>IF(AQ959="","",IFERROR(DATE(VALUE(MID(AQ959,FIND("/",AQ959,FIND("/",AQ959)+1)+1,4)),VALUE(LEFT(AQ959,FIND("/",AQ959)-1)),VALUE(MID(AQ959,FIND("/",AQ959)+1,FIND("/",AQ959,FIND("/",AQ959)+1)-FIND("/",AQ959)-1))),""))</f>
        <v/>
      </c>
      <c r="AS959" s="26">
        <f>IF(G959="","",IF(AND(AG959&lt;&gt;"",AG959&lt;&gt;"Bayi Aracı"),"Evet","Hayır"))</f>
        <v/>
      </c>
      <c r="AT959" s="26">
        <f>IF(G959="","",IF(AND(AS959="Evet",T959="Siparişiniz Teslim Edildi"),"Evet","Hayır"))</f>
        <v/>
      </c>
      <c r="AU959" s="26">
        <f>IF(G959="","",IF(AB959="Siparişinizin Montajı Yapıldı","Evet","Hayır"))</f>
        <v/>
      </c>
      <c r="AV959" s="27">
        <f>IF(G959="","",IF(AT959="Evet",AR959,IF(AU959="Evet",AP959,"")))</f>
        <v/>
      </c>
    </row>
    <row r="960">
      <c r="A960" s="23" t="n"/>
      <c r="B960" s="23" t="n"/>
      <c r="C960" s="23" t="n"/>
      <c r="D960" s="23" t="n"/>
      <c r="E960" s="23" t="n"/>
      <c r="F960" s="23" t="n"/>
      <c r="G960" s="23" t="n"/>
      <c r="H960" s="23" t="n"/>
      <c r="I960" s="23" t="n"/>
      <c r="J960" s="23" t="n"/>
      <c r="K960" s="23" t="n"/>
      <c r="L960" s="23" t="n"/>
      <c r="M960" s="23" t="n"/>
      <c r="N960" s="23" t="n"/>
      <c r="O960" s="23" t="n"/>
      <c r="P960" s="23" t="n"/>
      <c r="Q960" s="23" t="n"/>
      <c r="R960" s="23" t="n"/>
      <c r="S960" s="23" t="n"/>
      <c r="T960" s="23" t="n"/>
      <c r="U960" s="23" t="n"/>
      <c r="V960" s="23" t="n"/>
      <c r="W960" s="23" t="n"/>
      <c r="X960" s="23" t="n"/>
      <c r="Y960" s="23" t="n"/>
      <c r="Z960" s="23" t="n"/>
      <c r="AA960" s="23" t="n"/>
      <c r="AB960" s="23" t="n"/>
      <c r="AC960" s="23" t="n"/>
      <c r="AD960" s="23" t="n"/>
      <c r="AE960" s="23" t="n"/>
      <c r="AF960" s="23" t="n"/>
      <c r="AG960" s="23" t="n"/>
      <c r="AH960" s="23" t="n"/>
      <c r="AI960" s="23" t="n"/>
      <c r="AJ960" s="23" t="n"/>
      <c r="AK960" s="23" t="n"/>
      <c r="AL960" s="23" t="n"/>
      <c r="AM960" s="26">
        <f>IF(G960="","",G960&amp;"|"&amp;P960)</f>
        <v/>
      </c>
      <c r="AN960" s="27">
        <f>IF(I960="","",IFERROR(DATE(VALUE(RIGHT(I960,4)),VALUE(MID(I960,4,2)),VALUE(LEFT(I960,2))),""))</f>
        <v/>
      </c>
      <c r="AO960" s="27">
        <f>IF(Y960="","",IFERROR(DATE(VALUE(RIGHT(Y960,4)),VALUE(MID(Y960,4,2)),VALUE(LEFT(Y960,2))),""))</f>
        <v/>
      </c>
      <c r="AP960" s="27">
        <f>IF(AC960="","",IFERROR(DATE(VALUE(RIGHT(AC960,4)),VALUE(MID(AC960,4,2)),VALUE(LEFT(AC960,2))),""))</f>
        <v/>
      </c>
      <c r="AQ960" s="26">
        <f>IF(AI960="","",TRIM(LEFT(AI960,FIND(" ",AI960&amp;" ")-1)))</f>
        <v/>
      </c>
      <c r="AR960" s="27">
        <f>IF(AQ960="","",IFERROR(DATE(VALUE(MID(AQ960,FIND("/",AQ960,FIND("/",AQ960)+1)+1,4)),VALUE(LEFT(AQ960,FIND("/",AQ960)-1)),VALUE(MID(AQ960,FIND("/",AQ960)+1,FIND("/",AQ960,FIND("/",AQ960)+1)-FIND("/",AQ960)-1))),""))</f>
        <v/>
      </c>
      <c r="AS960" s="26">
        <f>IF(G960="","",IF(AND(AG960&lt;&gt;"",AG960&lt;&gt;"Bayi Aracı"),"Evet","Hayır"))</f>
        <v/>
      </c>
      <c r="AT960" s="26">
        <f>IF(G960="","",IF(AND(AS960="Evet",T960="Siparişiniz Teslim Edildi"),"Evet","Hayır"))</f>
        <v/>
      </c>
      <c r="AU960" s="26">
        <f>IF(G960="","",IF(AB960="Siparişinizin Montajı Yapıldı","Evet","Hayır"))</f>
        <v/>
      </c>
      <c r="AV960" s="27">
        <f>IF(G960="","",IF(AT960="Evet",AR960,IF(AU960="Evet",AP960,"")))</f>
        <v/>
      </c>
    </row>
    <row r="961">
      <c r="A961" s="23" t="n"/>
      <c r="B961" s="23" t="n"/>
      <c r="C961" s="23" t="n"/>
      <c r="D961" s="23" t="n"/>
      <c r="E961" s="23" t="n"/>
      <c r="F961" s="23" t="n"/>
      <c r="G961" s="23" t="n"/>
      <c r="H961" s="23" t="n"/>
      <c r="I961" s="23" t="n"/>
      <c r="J961" s="23" t="n"/>
      <c r="K961" s="23" t="n"/>
      <c r="L961" s="23" t="n"/>
      <c r="M961" s="23" t="n"/>
      <c r="N961" s="23" t="n"/>
      <c r="O961" s="23" t="n"/>
      <c r="P961" s="23" t="n"/>
      <c r="Q961" s="23" t="n"/>
      <c r="R961" s="23" t="n"/>
      <c r="S961" s="23" t="n"/>
      <c r="T961" s="23" t="n"/>
      <c r="U961" s="23" t="n"/>
      <c r="V961" s="23" t="n"/>
      <c r="W961" s="23" t="n"/>
      <c r="X961" s="23" t="n"/>
      <c r="Y961" s="23" t="n"/>
      <c r="Z961" s="23" t="n"/>
      <c r="AA961" s="23" t="n"/>
      <c r="AB961" s="23" t="n"/>
      <c r="AC961" s="23" t="n"/>
      <c r="AD961" s="23" t="n"/>
      <c r="AE961" s="23" t="n"/>
      <c r="AF961" s="23" t="n"/>
      <c r="AG961" s="23" t="n"/>
      <c r="AH961" s="23" t="n"/>
      <c r="AI961" s="23" t="n"/>
      <c r="AJ961" s="23" t="n"/>
      <c r="AK961" s="23" t="n"/>
      <c r="AL961" s="23" t="n"/>
      <c r="AM961" s="26">
        <f>IF(G961="","",G961&amp;"|"&amp;P961)</f>
        <v/>
      </c>
      <c r="AN961" s="27">
        <f>IF(I961="","",IFERROR(DATE(VALUE(RIGHT(I961,4)),VALUE(MID(I961,4,2)),VALUE(LEFT(I961,2))),""))</f>
        <v/>
      </c>
      <c r="AO961" s="27">
        <f>IF(Y961="","",IFERROR(DATE(VALUE(RIGHT(Y961,4)),VALUE(MID(Y961,4,2)),VALUE(LEFT(Y961,2))),""))</f>
        <v/>
      </c>
      <c r="AP961" s="27">
        <f>IF(AC961="","",IFERROR(DATE(VALUE(RIGHT(AC961,4)),VALUE(MID(AC961,4,2)),VALUE(LEFT(AC961,2))),""))</f>
        <v/>
      </c>
      <c r="AQ961" s="26">
        <f>IF(AI961="","",TRIM(LEFT(AI961,FIND(" ",AI961&amp;" ")-1)))</f>
        <v/>
      </c>
      <c r="AR961" s="27">
        <f>IF(AQ961="","",IFERROR(DATE(VALUE(MID(AQ961,FIND("/",AQ961,FIND("/",AQ961)+1)+1,4)),VALUE(LEFT(AQ961,FIND("/",AQ961)-1)),VALUE(MID(AQ961,FIND("/",AQ961)+1,FIND("/",AQ961,FIND("/",AQ961)+1)-FIND("/",AQ961)-1))),""))</f>
        <v/>
      </c>
      <c r="AS961" s="26">
        <f>IF(G961="","",IF(AND(AG961&lt;&gt;"",AG961&lt;&gt;"Bayi Aracı"),"Evet","Hayır"))</f>
        <v/>
      </c>
      <c r="AT961" s="26">
        <f>IF(G961="","",IF(AND(AS961="Evet",T961="Siparişiniz Teslim Edildi"),"Evet","Hayır"))</f>
        <v/>
      </c>
      <c r="AU961" s="26">
        <f>IF(G961="","",IF(AB961="Siparişinizin Montajı Yapıldı","Evet","Hayır"))</f>
        <v/>
      </c>
      <c r="AV961" s="27">
        <f>IF(G961="","",IF(AT961="Evet",AR961,IF(AU961="Evet",AP961,"")))</f>
        <v/>
      </c>
    </row>
    <row r="962">
      <c r="A962" s="23" t="n"/>
      <c r="B962" s="23" t="n"/>
      <c r="C962" s="23" t="n"/>
      <c r="D962" s="23" t="n"/>
      <c r="E962" s="23" t="n"/>
      <c r="F962" s="23" t="n"/>
      <c r="G962" s="23" t="n"/>
      <c r="H962" s="23" t="n"/>
      <c r="I962" s="23" t="n"/>
      <c r="J962" s="23" t="n"/>
      <c r="K962" s="23" t="n"/>
      <c r="L962" s="23" t="n"/>
      <c r="M962" s="23" t="n"/>
      <c r="N962" s="23" t="n"/>
      <c r="O962" s="23" t="n"/>
      <c r="P962" s="23" t="n"/>
      <c r="Q962" s="23" t="n"/>
      <c r="R962" s="23" t="n"/>
      <c r="S962" s="23" t="n"/>
      <c r="T962" s="23" t="n"/>
      <c r="U962" s="23" t="n"/>
      <c r="V962" s="23" t="n"/>
      <c r="W962" s="23" t="n"/>
      <c r="X962" s="23" t="n"/>
      <c r="Y962" s="23" t="n"/>
      <c r="Z962" s="23" t="n"/>
      <c r="AA962" s="23" t="n"/>
      <c r="AB962" s="23" t="n"/>
      <c r="AC962" s="23" t="n"/>
      <c r="AD962" s="23" t="n"/>
      <c r="AE962" s="23" t="n"/>
      <c r="AF962" s="23" t="n"/>
      <c r="AG962" s="23" t="n"/>
      <c r="AH962" s="23" t="n"/>
      <c r="AI962" s="23" t="n"/>
      <c r="AJ962" s="23" t="n"/>
      <c r="AK962" s="23" t="n"/>
      <c r="AL962" s="23" t="n"/>
      <c r="AM962" s="26">
        <f>IF(G962="","",G962&amp;"|"&amp;P962)</f>
        <v/>
      </c>
      <c r="AN962" s="27">
        <f>IF(I962="","",IFERROR(DATE(VALUE(RIGHT(I962,4)),VALUE(MID(I962,4,2)),VALUE(LEFT(I962,2))),""))</f>
        <v/>
      </c>
      <c r="AO962" s="27">
        <f>IF(Y962="","",IFERROR(DATE(VALUE(RIGHT(Y962,4)),VALUE(MID(Y962,4,2)),VALUE(LEFT(Y962,2))),""))</f>
        <v/>
      </c>
      <c r="AP962" s="27">
        <f>IF(AC962="","",IFERROR(DATE(VALUE(RIGHT(AC962,4)),VALUE(MID(AC962,4,2)),VALUE(LEFT(AC962,2))),""))</f>
        <v/>
      </c>
      <c r="AQ962" s="26">
        <f>IF(AI962="","",TRIM(LEFT(AI962,FIND(" ",AI962&amp;" ")-1)))</f>
        <v/>
      </c>
      <c r="AR962" s="27">
        <f>IF(AQ962="","",IFERROR(DATE(VALUE(MID(AQ962,FIND("/",AQ962,FIND("/",AQ962)+1)+1,4)),VALUE(LEFT(AQ962,FIND("/",AQ962)-1)),VALUE(MID(AQ962,FIND("/",AQ962)+1,FIND("/",AQ962,FIND("/",AQ962)+1)-FIND("/",AQ962)-1))),""))</f>
        <v/>
      </c>
      <c r="AS962" s="26">
        <f>IF(G962="","",IF(AND(AG962&lt;&gt;"",AG962&lt;&gt;"Bayi Aracı"),"Evet","Hayır"))</f>
        <v/>
      </c>
      <c r="AT962" s="26">
        <f>IF(G962="","",IF(AND(AS962="Evet",T962="Siparişiniz Teslim Edildi"),"Evet","Hayır"))</f>
        <v/>
      </c>
      <c r="AU962" s="26">
        <f>IF(G962="","",IF(AB962="Siparişinizin Montajı Yapıldı","Evet","Hayır"))</f>
        <v/>
      </c>
      <c r="AV962" s="27">
        <f>IF(G962="","",IF(AT962="Evet",AR962,IF(AU962="Evet",AP962,"")))</f>
        <v/>
      </c>
    </row>
    <row r="963">
      <c r="A963" s="23" t="n"/>
      <c r="B963" s="23" t="n"/>
      <c r="C963" s="23" t="n"/>
      <c r="D963" s="23" t="n"/>
      <c r="E963" s="23" t="n"/>
      <c r="F963" s="23" t="n"/>
      <c r="G963" s="23" t="n"/>
      <c r="H963" s="23" t="n"/>
      <c r="I963" s="23" t="n"/>
      <c r="J963" s="23" t="n"/>
      <c r="K963" s="23" t="n"/>
      <c r="L963" s="23" t="n"/>
      <c r="M963" s="23" t="n"/>
      <c r="N963" s="23" t="n"/>
      <c r="O963" s="23" t="n"/>
      <c r="P963" s="23" t="n"/>
      <c r="Q963" s="23" t="n"/>
      <c r="R963" s="23" t="n"/>
      <c r="S963" s="23" t="n"/>
      <c r="T963" s="23" t="n"/>
      <c r="U963" s="23" t="n"/>
      <c r="V963" s="23" t="n"/>
      <c r="W963" s="23" t="n"/>
      <c r="X963" s="23" t="n"/>
      <c r="Y963" s="23" t="n"/>
      <c r="Z963" s="23" t="n"/>
      <c r="AA963" s="23" t="n"/>
      <c r="AB963" s="23" t="n"/>
      <c r="AC963" s="23" t="n"/>
      <c r="AD963" s="23" t="n"/>
      <c r="AE963" s="23" t="n"/>
      <c r="AF963" s="23" t="n"/>
      <c r="AG963" s="23" t="n"/>
      <c r="AH963" s="23" t="n"/>
      <c r="AI963" s="23" t="n"/>
      <c r="AJ963" s="23" t="n"/>
      <c r="AK963" s="23" t="n"/>
      <c r="AL963" s="23" t="n"/>
      <c r="AM963" s="26">
        <f>IF(G963="","",G963&amp;"|"&amp;P963)</f>
        <v/>
      </c>
      <c r="AN963" s="27">
        <f>IF(I963="","",IFERROR(DATE(VALUE(RIGHT(I963,4)),VALUE(MID(I963,4,2)),VALUE(LEFT(I963,2))),""))</f>
        <v/>
      </c>
      <c r="AO963" s="27">
        <f>IF(Y963="","",IFERROR(DATE(VALUE(RIGHT(Y963,4)),VALUE(MID(Y963,4,2)),VALUE(LEFT(Y963,2))),""))</f>
        <v/>
      </c>
      <c r="AP963" s="27">
        <f>IF(AC963="","",IFERROR(DATE(VALUE(RIGHT(AC963,4)),VALUE(MID(AC963,4,2)),VALUE(LEFT(AC963,2))),""))</f>
        <v/>
      </c>
      <c r="AQ963" s="26">
        <f>IF(AI963="","",TRIM(LEFT(AI963,FIND(" ",AI963&amp;" ")-1)))</f>
        <v/>
      </c>
      <c r="AR963" s="27">
        <f>IF(AQ963="","",IFERROR(DATE(VALUE(MID(AQ963,FIND("/",AQ963,FIND("/",AQ963)+1)+1,4)),VALUE(LEFT(AQ963,FIND("/",AQ963)-1)),VALUE(MID(AQ963,FIND("/",AQ963)+1,FIND("/",AQ963,FIND("/",AQ963)+1)-FIND("/",AQ963)-1))),""))</f>
        <v/>
      </c>
      <c r="AS963" s="26">
        <f>IF(G963="","",IF(AND(AG963&lt;&gt;"",AG963&lt;&gt;"Bayi Aracı"),"Evet","Hayır"))</f>
        <v/>
      </c>
      <c r="AT963" s="26">
        <f>IF(G963="","",IF(AND(AS963="Evet",T963="Siparişiniz Teslim Edildi"),"Evet","Hayır"))</f>
        <v/>
      </c>
      <c r="AU963" s="26">
        <f>IF(G963="","",IF(AB963="Siparişinizin Montajı Yapıldı","Evet","Hayır"))</f>
        <v/>
      </c>
      <c r="AV963" s="27">
        <f>IF(G963="","",IF(AT963="Evet",AR963,IF(AU963="Evet",AP963,"")))</f>
        <v/>
      </c>
    </row>
    <row r="964">
      <c r="A964" s="23" t="n"/>
      <c r="B964" s="23" t="n"/>
      <c r="C964" s="23" t="n"/>
      <c r="D964" s="23" t="n"/>
      <c r="E964" s="23" t="n"/>
      <c r="F964" s="23" t="n"/>
      <c r="G964" s="23" t="n"/>
      <c r="H964" s="23" t="n"/>
      <c r="I964" s="23" t="n"/>
      <c r="J964" s="23" t="n"/>
      <c r="K964" s="23" t="n"/>
      <c r="L964" s="23" t="n"/>
      <c r="M964" s="23" t="n"/>
      <c r="N964" s="23" t="n"/>
      <c r="O964" s="23" t="n"/>
      <c r="P964" s="23" t="n"/>
      <c r="Q964" s="23" t="n"/>
      <c r="R964" s="23" t="n"/>
      <c r="S964" s="23" t="n"/>
      <c r="T964" s="23" t="n"/>
      <c r="U964" s="23" t="n"/>
      <c r="V964" s="23" t="n"/>
      <c r="W964" s="23" t="n"/>
      <c r="X964" s="23" t="n"/>
      <c r="Y964" s="23" t="n"/>
      <c r="Z964" s="23" t="n"/>
      <c r="AA964" s="23" t="n"/>
      <c r="AB964" s="23" t="n"/>
      <c r="AC964" s="23" t="n"/>
      <c r="AD964" s="23" t="n"/>
      <c r="AE964" s="23" t="n"/>
      <c r="AF964" s="23" t="n"/>
      <c r="AG964" s="23" t="n"/>
      <c r="AH964" s="23" t="n"/>
      <c r="AI964" s="23" t="n"/>
      <c r="AJ964" s="23" t="n"/>
      <c r="AK964" s="23" t="n"/>
      <c r="AL964" s="23" t="n"/>
      <c r="AM964" s="26">
        <f>IF(G964="","",G964&amp;"|"&amp;P964)</f>
        <v/>
      </c>
      <c r="AN964" s="27">
        <f>IF(I964="","",IFERROR(DATE(VALUE(RIGHT(I964,4)),VALUE(MID(I964,4,2)),VALUE(LEFT(I964,2))),""))</f>
        <v/>
      </c>
      <c r="AO964" s="27">
        <f>IF(Y964="","",IFERROR(DATE(VALUE(RIGHT(Y964,4)),VALUE(MID(Y964,4,2)),VALUE(LEFT(Y964,2))),""))</f>
        <v/>
      </c>
      <c r="AP964" s="27">
        <f>IF(AC964="","",IFERROR(DATE(VALUE(RIGHT(AC964,4)),VALUE(MID(AC964,4,2)),VALUE(LEFT(AC964,2))),""))</f>
        <v/>
      </c>
      <c r="AQ964" s="26">
        <f>IF(AI964="","",TRIM(LEFT(AI964,FIND(" ",AI964&amp;" ")-1)))</f>
        <v/>
      </c>
      <c r="AR964" s="27">
        <f>IF(AQ964="","",IFERROR(DATE(VALUE(MID(AQ964,FIND("/",AQ964,FIND("/",AQ964)+1)+1,4)),VALUE(LEFT(AQ964,FIND("/",AQ964)-1)),VALUE(MID(AQ964,FIND("/",AQ964)+1,FIND("/",AQ964,FIND("/",AQ964)+1)-FIND("/",AQ964)-1))),""))</f>
        <v/>
      </c>
      <c r="AS964" s="26">
        <f>IF(G964="","",IF(AND(AG964&lt;&gt;"",AG964&lt;&gt;"Bayi Aracı"),"Evet","Hayır"))</f>
        <v/>
      </c>
      <c r="AT964" s="26">
        <f>IF(G964="","",IF(AND(AS964="Evet",T964="Siparişiniz Teslim Edildi"),"Evet","Hayır"))</f>
        <v/>
      </c>
      <c r="AU964" s="26">
        <f>IF(G964="","",IF(AB964="Siparişinizin Montajı Yapıldı","Evet","Hayır"))</f>
        <v/>
      </c>
      <c r="AV964" s="27">
        <f>IF(G964="","",IF(AT964="Evet",AR964,IF(AU964="Evet",AP964,"")))</f>
        <v/>
      </c>
    </row>
    <row r="965">
      <c r="A965" s="23" t="n"/>
      <c r="B965" s="23" t="n"/>
      <c r="C965" s="23" t="n"/>
      <c r="D965" s="23" t="n"/>
      <c r="E965" s="23" t="n"/>
      <c r="F965" s="23" t="n"/>
      <c r="G965" s="23" t="n"/>
      <c r="H965" s="23" t="n"/>
      <c r="I965" s="23" t="n"/>
      <c r="J965" s="23" t="n"/>
      <c r="K965" s="23" t="n"/>
      <c r="L965" s="23" t="n"/>
      <c r="M965" s="23" t="n"/>
      <c r="N965" s="23" t="n"/>
      <c r="O965" s="23" t="n"/>
      <c r="P965" s="23" t="n"/>
      <c r="Q965" s="23" t="n"/>
      <c r="R965" s="23" t="n"/>
      <c r="S965" s="23" t="n"/>
      <c r="T965" s="23" t="n"/>
      <c r="U965" s="23" t="n"/>
      <c r="V965" s="23" t="n"/>
      <c r="W965" s="23" t="n"/>
      <c r="X965" s="23" t="n"/>
      <c r="Y965" s="23" t="n"/>
      <c r="Z965" s="23" t="n"/>
      <c r="AA965" s="23" t="n"/>
      <c r="AB965" s="23" t="n"/>
      <c r="AC965" s="23" t="n"/>
      <c r="AD965" s="23" t="n"/>
      <c r="AE965" s="23" t="n"/>
      <c r="AF965" s="23" t="n"/>
      <c r="AG965" s="23" t="n"/>
      <c r="AH965" s="23" t="n"/>
      <c r="AI965" s="23" t="n"/>
      <c r="AJ965" s="23" t="n"/>
      <c r="AK965" s="23" t="n"/>
      <c r="AL965" s="23" t="n"/>
      <c r="AM965" s="26">
        <f>IF(G965="","",G965&amp;"|"&amp;P965)</f>
        <v/>
      </c>
      <c r="AN965" s="27">
        <f>IF(I965="","",IFERROR(DATE(VALUE(RIGHT(I965,4)),VALUE(MID(I965,4,2)),VALUE(LEFT(I965,2))),""))</f>
        <v/>
      </c>
      <c r="AO965" s="27">
        <f>IF(Y965="","",IFERROR(DATE(VALUE(RIGHT(Y965,4)),VALUE(MID(Y965,4,2)),VALUE(LEFT(Y965,2))),""))</f>
        <v/>
      </c>
      <c r="AP965" s="27">
        <f>IF(AC965="","",IFERROR(DATE(VALUE(RIGHT(AC965,4)),VALUE(MID(AC965,4,2)),VALUE(LEFT(AC965,2))),""))</f>
        <v/>
      </c>
      <c r="AQ965" s="26">
        <f>IF(AI965="","",TRIM(LEFT(AI965,FIND(" ",AI965&amp;" ")-1)))</f>
        <v/>
      </c>
      <c r="AR965" s="27">
        <f>IF(AQ965="","",IFERROR(DATE(VALUE(MID(AQ965,FIND("/",AQ965,FIND("/",AQ965)+1)+1,4)),VALUE(LEFT(AQ965,FIND("/",AQ965)-1)),VALUE(MID(AQ965,FIND("/",AQ965)+1,FIND("/",AQ965,FIND("/",AQ965)+1)-FIND("/",AQ965)-1))),""))</f>
        <v/>
      </c>
      <c r="AS965" s="26">
        <f>IF(G965="","",IF(AND(AG965&lt;&gt;"",AG965&lt;&gt;"Bayi Aracı"),"Evet","Hayır"))</f>
        <v/>
      </c>
      <c r="AT965" s="26">
        <f>IF(G965="","",IF(AND(AS965="Evet",T965="Siparişiniz Teslim Edildi"),"Evet","Hayır"))</f>
        <v/>
      </c>
      <c r="AU965" s="26">
        <f>IF(G965="","",IF(AB965="Siparişinizin Montajı Yapıldı","Evet","Hayır"))</f>
        <v/>
      </c>
      <c r="AV965" s="27">
        <f>IF(G965="","",IF(AT965="Evet",AR965,IF(AU965="Evet",AP965,"")))</f>
        <v/>
      </c>
    </row>
    <row r="966">
      <c r="A966" s="23" t="n"/>
      <c r="B966" s="23" t="n"/>
      <c r="C966" s="23" t="n"/>
      <c r="D966" s="23" t="n"/>
      <c r="E966" s="23" t="n"/>
      <c r="F966" s="23" t="n"/>
      <c r="G966" s="23" t="n"/>
      <c r="H966" s="23" t="n"/>
      <c r="I966" s="23" t="n"/>
      <c r="J966" s="23" t="n"/>
      <c r="K966" s="23" t="n"/>
      <c r="L966" s="23" t="n"/>
      <c r="M966" s="23" t="n"/>
      <c r="N966" s="23" t="n"/>
      <c r="O966" s="23" t="n"/>
      <c r="P966" s="23" t="n"/>
      <c r="Q966" s="23" t="n"/>
      <c r="R966" s="23" t="n"/>
      <c r="S966" s="23" t="n"/>
      <c r="T966" s="23" t="n"/>
      <c r="U966" s="23" t="n"/>
      <c r="V966" s="23" t="n"/>
      <c r="W966" s="23" t="n"/>
      <c r="X966" s="23" t="n"/>
      <c r="Y966" s="23" t="n"/>
      <c r="Z966" s="23" t="n"/>
      <c r="AA966" s="23" t="n"/>
      <c r="AB966" s="23" t="n"/>
      <c r="AC966" s="23" t="n"/>
      <c r="AD966" s="23" t="n"/>
      <c r="AE966" s="23" t="n"/>
      <c r="AF966" s="23" t="n"/>
      <c r="AG966" s="23" t="n"/>
      <c r="AH966" s="23" t="n"/>
      <c r="AI966" s="23" t="n"/>
      <c r="AJ966" s="23" t="n"/>
      <c r="AK966" s="23" t="n"/>
      <c r="AL966" s="23" t="n"/>
      <c r="AM966" s="26">
        <f>IF(G966="","",G966&amp;"|"&amp;P966)</f>
        <v/>
      </c>
      <c r="AN966" s="27">
        <f>IF(I966="","",IFERROR(DATE(VALUE(RIGHT(I966,4)),VALUE(MID(I966,4,2)),VALUE(LEFT(I966,2))),""))</f>
        <v/>
      </c>
      <c r="AO966" s="27">
        <f>IF(Y966="","",IFERROR(DATE(VALUE(RIGHT(Y966,4)),VALUE(MID(Y966,4,2)),VALUE(LEFT(Y966,2))),""))</f>
        <v/>
      </c>
      <c r="AP966" s="27">
        <f>IF(AC966="","",IFERROR(DATE(VALUE(RIGHT(AC966,4)),VALUE(MID(AC966,4,2)),VALUE(LEFT(AC966,2))),""))</f>
        <v/>
      </c>
      <c r="AQ966" s="26">
        <f>IF(AI966="","",TRIM(LEFT(AI966,FIND(" ",AI966&amp;" ")-1)))</f>
        <v/>
      </c>
      <c r="AR966" s="27">
        <f>IF(AQ966="","",IFERROR(DATE(VALUE(MID(AQ966,FIND("/",AQ966,FIND("/",AQ966)+1)+1,4)),VALUE(LEFT(AQ966,FIND("/",AQ966)-1)),VALUE(MID(AQ966,FIND("/",AQ966)+1,FIND("/",AQ966,FIND("/",AQ966)+1)-FIND("/",AQ966)-1))),""))</f>
        <v/>
      </c>
      <c r="AS966" s="26">
        <f>IF(G966="","",IF(AND(AG966&lt;&gt;"",AG966&lt;&gt;"Bayi Aracı"),"Evet","Hayır"))</f>
        <v/>
      </c>
      <c r="AT966" s="26">
        <f>IF(G966="","",IF(AND(AS966="Evet",T966="Siparişiniz Teslim Edildi"),"Evet","Hayır"))</f>
        <v/>
      </c>
      <c r="AU966" s="26">
        <f>IF(G966="","",IF(AB966="Siparişinizin Montajı Yapıldı","Evet","Hayır"))</f>
        <v/>
      </c>
      <c r="AV966" s="27">
        <f>IF(G966="","",IF(AT966="Evet",AR966,IF(AU966="Evet",AP966,"")))</f>
        <v/>
      </c>
    </row>
    <row r="967">
      <c r="A967" s="23" t="n"/>
      <c r="B967" s="23" t="n"/>
      <c r="C967" s="23" t="n"/>
      <c r="D967" s="23" t="n"/>
      <c r="E967" s="23" t="n"/>
      <c r="F967" s="23" t="n"/>
      <c r="G967" s="23" t="n"/>
      <c r="H967" s="23" t="n"/>
      <c r="I967" s="23" t="n"/>
      <c r="J967" s="23" t="n"/>
      <c r="K967" s="23" t="n"/>
      <c r="L967" s="23" t="n"/>
      <c r="M967" s="23" t="n"/>
      <c r="N967" s="23" t="n"/>
      <c r="O967" s="23" t="n"/>
      <c r="P967" s="23" t="n"/>
      <c r="Q967" s="23" t="n"/>
      <c r="R967" s="23" t="n"/>
      <c r="S967" s="23" t="n"/>
      <c r="T967" s="23" t="n"/>
      <c r="U967" s="23" t="n"/>
      <c r="V967" s="23" t="n"/>
      <c r="W967" s="23" t="n"/>
      <c r="X967" s="23" t="n"/>
      <c r="Y967" s="23" t="n"/>
      <c r="Z967" s="23" t="n"/>
      <c r="AA967" s="23" t="n"/>
      <c r="AB967" s="23" t="n"/>
      <c r="AC967" s="23" t="n"/>
      <c r="AD967" s="23" t="n"/>
      <c r="AE967" s="23" t="n"/>
      <c r="AF967" s="23" t="n"/>
      <c r="AG967" s="23" t="n"/>
      <c r="AH967" s="23" t="n"/>
      <c r="AI967" s="23" t="n"/>
      <c r="AJ967" s="23" t="n"/>
      <c r="AK967" s="23" t="n"/>
      <c r="AL967" s="23" t="n"/>
      <c r="AM967" s="26">
        <f>IF(G967="","",G967&amp;"|"&amp;P967)</f>
        <v/>
      </c>
      <c r="AN967" s="27">
        <f>IF(I967="","",IFERROR(DATE(VALUE(RIGHT(I967,4)),VALUE(MID(I967,4,2)),VALUE(LEFT(I967,2))),""))</f>
        <v/>
      </c>
      <c r="AO967" s="27">
        <f>IF(Y967="","",IFERROR(DATE(VALUE(RIGHT(Y967,4)),VALUE(MID(Y967,4,2)),VALUE(LEFT(Y967,2))),""))</f>
        <v/>
      </c>
      <c r="AP967" s="27">
        <f>IF(AC967="","",IFERROR(DATE(VALUE(RIGHT(AC967,4)),VALUE(MID(AC967,4,2)),VALUE(LEFT(AC967,2))),""))</f>
        <v/>
      </c>
      <c r="AQ967" s="26">
        <f>IF(AI967="","",TRIM(LEFT(AI967,FIND(" ",AI967&amp;" ")-1)))</f>
        <v/>
      </c>
      <c r="AR967" s="27">
        <f>IF(AQ967="","",IFERROR(DATE(VALUE(MID(AQ967,FIND("/",AQ967,FIND("/",AQ967)+1)+1,4)),VALUE(LEFT(AQ967,FIND("/",AQ967)-1)),VALUE(MID(AQ967,FIND("/",AQ967)+1,FIND("/",AQ967,FIND("/",AQ967)+1)-FIND("/",AQ967)-1))),""))</f>
        <v/>
      </c>
      <c r="AS967" s="26">
        <f>IF(G967="","",IF(AND(AG967&lt;&gt;"",AG967&lt;&gt;"Bayi Aracı"),"Evet","Hayır"))</f>
        <v/>
      </c>
      <c r="AT967" s="26">
        <f>IF(G967="","",IF(AND(AS967="Evet",T967="Siparişiniz Teslim Edildi"),"Evet","Hayır"))</f>
        <v/>
      </c>
      <c r="AU967" s="26">
        <f>IF(G967="","",IF(AB967="Siparişinizin Montajı Yapıldı","Evet","Hayır"))</f>
        <v/>
      </c>
      <c r="AV967" s="27">
        <f>IF(G967="","",IF(AT967="Evet",AR967,IF(AU967="Evet",AP967,"")))</f>
        <v/>
      </c>
    </row>
    <row r="968">
      <c r="A968" s="23" t="n"/>
      <c r="B968" s="23" t="n"/>
      <c r="C968" s="23" t="n"/>
      <c r="D968" s="23" t="n"/>
      <c r="E968" s="23" t="n"/>
      <c r="F968" s="23" t="n"/>
      <c r="G968" s="23" t="n"/>
      <c r="H968" s="23" t="n"/>
      <c r="I968" s="23" t="n"/>
      <c r="J968" s="23" t="n"/>
      <c r="K968" s="23" t="n"/>
      <c r="L968" s="23" t="n"/>
      <c r="M968" s="23" t="n"/>
      <c r="N968" s="23" t="n"/>
      <c r="O968" s="23" t="n"/>
      <c r="P968" s="23" t="n"/>
      <c r="Q968" s="23" t="n"/>
      <c r="R968" s="23" t="n"/>
      <c r="S968" s="23" t="n"/>
      <c r="T968" s="23" t="n"/>
      <c r="U968" s="23" t="n"/>
      <c r="V968" s="23" t="n"/>
      <c r="W968" s="23" t="n"/>
      <c r="X968" s="23" t="n"/>
      <c r="Y968" s="23" t="n"/>
      <c r="Z968" s="23" t="n"/>
      <c r="AA968" s="23" t="n"/>
      <c r="AB968" s="23" t="n"/>
      <c r="AC968" s="23" t="n"/>
      <c r="AD968" s="23" t="n"/>
      <c r="AE968" s="23" t="n"/>
      <c r="AF968" s="23" t="n"/>
      <c r="AG968" s="23" t="n"/>
      <c r="AH968" s="23" t="n"/>
      <c r="AI968" s="23" t="n"/>
      <c r="AJ968" s="23" t="n"/>
      <c r="AK968" s="23" t="n"/>
      <c r="AL968" s="23" t="n"/>
      <c r="AM968" s="26">
        <f>IF(G968="","",G968&amp;"|"&amp;P968)</f>
        <v/>
      </c>
      <c r="AN968" s="27">
        <f>IF(I968="","",IFERROR(DATE(VALUE(RIGHT(I968,4)),VALUE(MID(I968,4,2)),VALUE(LEFT(I968,2))),""))</f>
        <v/>
      </c>
      <c r="AO968" s="27">
        <f>IF(Y968="","",IFERROR(DATE(VALUE(RIGHT(Y968,4)),VALUE(MID(Y968,4,2)),VALUE(LEFT(Y968,2))),""))</f>
        <v/>
      </c>
      <c r="AP968" s="27">
        <f>IF(AC968="","",IFERROR(DATE(VALUE(RIGHT(AC968,4)),VALUE(MID(AC968,4,2)),VALUE(LEFT(AC968,2))),""))</f>
        <v/>
      </c>
      <c r="AQ968" s="26">
        <f>IF(AI968="","",TRIM(LEFT(AI968,FIND(" ",AI968&amp;" ")-1)))</f>
        <v/>
      </c>
      <c r="AR968" s="27">
        <f>IF(AQ968="","",IFERROR(DATE(VALUE(MID(AQ968,FIND("/",AQ968,FIND("/",AQ968)+1)+1,4)),VALUE(LEFT(AQ968,FIND("/",AQ968)-1)),VALUE(MID(AQ968,FIND("/",AQ968)+1,FIND("/",AQ968,FIND("/",AQ968)+1)-FIND("/",AQ968)-1))),""))</f>
        <v/>
      </c>
      <c r="AS968" s="26">
        <f>IF(G968="","",IF(AND(AG968&lt;&gt;"",AG968&lt;&gt;"Bayi Aracı"),"Evet","Hayır"))</f>
        <v/>
      </c>
      <c r="AT968" s="26">
        <f>IF(G968="","",IF(AND(AS968="Evet",T968="Siparişiniz Teslim Edildi"),"Evet","Hayır"))</f>
        <v/>
      </c>
      <c r="AU968" s="26">
        <f>IF(G968="","",IF(AB968="Siparişinizin Montajı Yapıldı","Evet","Hayır"))</f>
        <v/>
      </c>
      <c r="AV968" s="27">
        <f>IF(G968="","",IF(AT968="Evet",AR968,IF(AU968="Evet",AP968,"")))</f>
        <v/>
      </c>
    </row>
    <row r="969">
      <c r="A969" s="23" t="n"/>
      <c r="B969" s="23" t="n"/>
      <c r="C969" s="23" t="n"/>
      <c r="D969" s="23" t="n"/>
      <c r="E969" s="23" t="n"/>
      <c r="F969" s="23" t="n"/>
      <c r="G969" s="23" t="n"/>
      <c r="H969" s="23" t="n"/>
      <c r="I969" s="23" t="n"/>
      <c r="J969" s="23" t="n"/>
      <c r="K969" s="23" t="n"/>
      <c r="L969" s="23" t="n"/>
      <c r="M969" s="23" t="n"/>
      <c r="N969" s="23" t="n"/>
      <c r="O969" s="23" t="n"/>
      <c r="P969" s="23" t="n"/>
      <c r="Q969" s="23" t="n"/>
      <c r="R969" s="23" t="n"/>
      <c r="S969" s="23" t="n"/>
      <c r="T969" s="23" t="n"/>
      <c r="U969" s="23" t="n"/>
      <c r="V969" s="23" t="n"/>
      <c r="W969" s="23" t="n"/>
      <c r="X969" s="23" t="n"/>
      <c r="Y969" s="23" t="n"/>
      <c r="Z969" s="23" t="n"/>
      <c r="AA969" s="23" t="n"/>
      <c r="AB969" s="23" t="n"/>
      <c r="AC969" s="23" t="n"/>
      <c r="AD969" s="23" t="n"/>
      <c r="AE969" s="23" t="n"/>
      <c r="AF969" s="23" t="n"/>
      <c r="AG969" s="23" t="n"/>
      <c r="AH969" s="23" t="n"/>
      <c r="AI969" s="23" t="n"/>
      <c r="AJ969" s="23" t="n"/>
      <c r="AK969" s="23" t="n"/>
      <c r="AL969" s="23" t="n"/>
      <c r="AM969" s="26">
        <f>IF(G969="","",G969&amp;"|"&amp;P969)</f>
        <v/>
      </c>
      <c r="AN969" s="27">
        <f>IF(I969="","",IFERROR(DATE(VALUE(RIGHT(I969,4)),VALUE(MID(I969,4,2)),VALUE(LEFT(I969,2))),""))</f>
        <v/>
      </c>
      <c r="AO969" s="27">
        <f>IF(Y969="","",IFERROR(DATE(VALUE(RIGHT(Y969,4)),VALUE(MID(Y969,4,2)),VALUE(LEFT(Y969,2))),""))</f>
        <v/>
      </c>
      <c r="AP969" s="27">
        <f>IF(AC969="","",IFERROR(DATE(VALUE(RIGHT(AC969,4)),VALUE(MID(AC969,4,2)),VALUE(LEFT(AC969,2))),""))</f>
        <v/>
      </c>
      <c r="AQ969" s="26">
        <f>IF(AI969="","",TRIM(LEFT(AI969,FIND(" ",AI969&amp;" ")-1)))</f>
        <v/>
      </c>
      <c r="AR969" s="27">
        <f>IF(AQ969="","",IFERROR(DATE(VALUE(MID(AQ969,FIND("/",AQ969,FIND("/",AQ969)+1)+1,4)),VALUE(LEFT(AQ969,FIND("/",AQ969)-1)),VALUE(MID(AQ969,FIND("/",AQ969)+1,FIND("/",AQ969,FIND("/",AQ969)+1)-FIND("/",AQ969)-1))),""))</f>
        <v/>
      </c>
      <c r="AS969" s="26">
        <f>IF(G969="","",IF(AND(AG969&lt;&gt;"",AG969&lt;&gt;"Bayi Aracı"),"Evet","Hayır"))</f>
        <v/>
      </c>
      <c r="AT969" s="26">
        <f>IF(G969="","",IF(AND(AS969="Evet",T969="Siparişiniz Teslim Edildi"),"Evet","Hayır"))</f>
        <v/>
      </c>
      <c r="AU969" s="26">
        <f>IF(G969="","",IF(AB969="Siparişinizin Montajı Yapıldı","Evet","Hayır"))</f>
        <v/>
      </c>
      <c r="AV969" s="27">
        <f>IF(G969="","",IF(AT969="Evet",AR969,IF(AU969="Evet",AP969,"")))</f>
        <v/>
      </c>
    </row>
    <row r="970">
      <c r="A970" s="23" t="n"/>
      <c r="B970" s="23" t="n"/>
      <c r="C970" s="23" t="n"/>
      <c r="D970" s="23" t="n"/>
      <c r="E970" s="23" t="n"/>
      <c r="F970" s="23" t="n"/>
      <c r="G970" s="23" t="n"/>
      <c r="H970" s="23" t="n"/>
      <c r="I970" s="23" t="n"/>
      <c r="J970" s="23" t="n"/>
      <c r="K970" s="23" t="n"/>
      <c r="L970" s="23" t="n"/>
      <c r="M970" s="23" t="n"/>
      <c r="N970" s="23" t="n"/>
      <c r="O970" s="23" t="n"/>
      <c r="P970" s="23" t="n"/>
      <c r="Q970" s="23" t="n"/>
      <c r="R970" s="23" t="n"/>
      <c r="S970" s="23" t="n"/>
      <c r="T970" s="23" t="n"/>
      <c r="U970" s="23" t="n"/>
      <c r="V970" s="23" t="n"/>
      <c r="W970" s="23" t="n"/>
      <c r="X970" s="23" t="n"/>
      <c r="Y970" s="23" t="n"/>
      <c r="Z970" s="23" t="n"/>
      <c r="AA970" s="23" t="n"/>
      <c r="AB970" s="23" t="n"/>
      <c r="AC970" s="23" t="n"/>
      <c r="AD970" s="23" t="n"/>
      <c r="AE970" s="23" t="n"/>
      <c r="AF970" s="23" t="n"/>
      <c r="AG970" s="23" t="n"/>
      <c r="AH970" s="23" t="n"/>
      <c r="AI970" s="23" t="n"/>
      <c r="AJ970" s="23" t="n"/>
      <c r="AK970" s="23" t="n"/>
      <c r="AL970" s="23" t="n"/>
      <c r="AM970" s="26">
        <f>IF(G970="","",G970&amp;"|"&amp;P970)</f>
        <v/>
      </c>
      <c r="AN970" s="27">
        <f>IF(I970="","",IFERROR(DATE(VALUE(RIGHT(I970,4)),VALUE(MID(I970,4,2)),VALUE(LEFT(I970,2))),""))</f>
        <v/>
      </c>
      <c r="AO970" s="27">
        <f>IF(Y970="","",IFERROR(DATE(VALUE(RIGHT(Y970,4)),VALUE(MID(Y970,4,2)),VALUE(LEFT(Y970,2))),""))</f>
        <v/>
      </c>
      <c r="AP970" s="27">
        <f>IF(AC970="","",IFERROR(DATE(VALUE(RIGHT(AC970,4)),VALUE(MID(AC970,4,2)),VALUE(LEFT(AC970,2))),""))</f>
        <v/>
      </c>
      <c r="AQ970" s="26">
        <f>IF(AI970="","",TRIM(LEFT(AI970,FIND(" ",AI970&amp;" ")-1)))</f>
        <v/>
      </c>
      <c r="AR970" s="27">
        <f>IF(AQ970="","",IFERROR(DATE(VALUE(MID(AQ970,FIND("/",AQ970,FIND("/",AQ970)+1)+1,4)),VALUE(LEFT(AQ970,FIND("/",AQ970)-1)),VALUE(MID(AQ970,FIND("/",AQ970)+1,FIND("/",AQ970,FIND("/",AQ970)+1)-FIND("/",AQ970)-1))),""))</f>
        <v/>
      </c>
      <c r="AS970" s="26">
        <f>IF(G970="","",IF(AND(AG970&lt;&gt;"",AG970&lt;&gt;"Bayi Aracı"),"Evet","Hayır"))</f>
        <v/>
      </c>
      <c r="AT970" s="26">
        <f>IF(G970="","",IF(AND(AS970="Evet",T970="Siparişiniz Teslim Edildi"),"Evet","Hayır"))</f>
        <v/>
      </c>
      <c r="AU970" s="26">
        <f>IF(G970="","",IF(AB970="Siparişinizin Montajı Yapıldı","Evet","Hayır"))</f>
        <v/>
      </c>
      <c r="AV970" s="27">
        <f>IF(G970="","",IF(AT970="Evet",AR970,IF(AU970="Evet",AP970,"")))</f>
        <v/>
      </c>
    </row>
    <row r="971">
      <c r="A971" s="23" t="n"/>
      <c r="B971" s="23" t="n"/>
      <c r="C971" s="23" t="n"/>
      <c r="D971" s="23" t="n"/>
      <c r="E971" s="23" t="n"/>
      <c r="F971" s="23" t="n"/>
      <c r="G971" s="23" t="n"/>
      <c r="H971" s="23" t="n"/>
      <c r="I971" s="23" t="n"/>
      <c r="J971" s="23" t="n"/>
      <c r="K971" s="23" t="n"/>
      <c r="L971" s="23" t="n"/>
      <c r="M971" s="23" t="n"/>
      <c r="N971" s="23" t="n"/>
      <c r="O971" s="23" t="n"/>
      <c r="P971" s="23" t="n"/>
      <c r="Q971" s="23" t="n"/>
      <c r="R971" s="23" t="n"/>
      <c r="S971" s="23" t="n"/>
      <c r="T971" s="23" t="n"/>
      <c r="U971" s="23" t="n"/>
      <c r="V971" s="23" t="n"/>
      <c r="W971" s="23" t="n"/>
      <c r="X971" s="23" t="n"/>
      <c r="Y971" s="23" t="n"/>
      <c r="Z971" s="23" t="n"/>
      <c r="AA971" s="23" t="n"/>
      <c r="AB971" s="23" t="n"/>
      <c r="AC971" s="23" t="n"/>
      <c r="AD971" s="23" t="n"/>
      <c r="AE971" s="23" t="n"/>
      <c r="AF971" s="23" t="n"/>
      <c r="AG971" s="23" t="n"/>
      <c r="AH971" s="23" t="n"/>
      <c r="AI971" s="23" t="n"/>
      <c r="AJ971" s="23" t="n"/>
      <c r="AK971" s="23" t="n"/>
      <c r="AL971" s="23" t="n"/>
      <c r="AM971" s="26">
        <f>IF(G971="","",G971&amp;"|"&amp;P971)</f>
        <v/>
      </c>
      <c r="AN971" s="27">
        <f>IF(I971="","",IFERROR(DATE(VALUE(RIGHT(I971,4)),VALUE(MID(I971,4,2)),VALUE(LEFT(I971,2))),""))</f>
        <v/>
      </c>
      <c r="AO971" s="27">
        <f>IF(Y971="","",IFERROR(DATE(VALUE(RIGHT(Y971,4)),VALUE(MID(Y971,4,2)),VALUE(LEFT(Y971,2))),""))</f>
        <v/>
      </c>
      <c r="AP971" s="27">
        <f>IF(AC971="","",IFERROR(DATE(VALUE(RIGHT(AC971,4)),VALUE(MID(AC971,4,2)),VALUE(LEFT(AC971,2))),""))</f>
        <v/>
      </c>
      <c r="AQ971" s="26">
        <f>IF(AI971="","",TRIM(LEFT(AI971,FIND(" ",AI971&amp;" ")-1)))</f>
        <v/>
      </c>
      <c r="AR971" s="27">
        <f>IF(AQ971="","",IFERROR(DATE(VALUE(MID(AQ971,FIND("/",AQ971,FIND("/",AQ971)+1)+1,4)),VALUE(LEFT(AQ971,FIND("/",AQ971)-1)),VALUE(MID(AQ971,FIND("/",AQ971)+1,FIND("/",AQ971,FIND("/",AQ971)+1)-FIND("/",AQ971)-1))),""))</f>
        <v/>
      </c>
      <c r="AS971" s="26">
        <f>IF(G971="","",IF(AND(AG971&lt;&gt;"",AG971&lt;&gt;"Bayi Aracı"),"Evet","Hayır"))</f>
        <v/>
      </c>
      <c r="AT971" s="26">
        <f>IF(G971="","",IF(AND(AS971="Evet",T971="Siparişiniz Teslim Edildi"),"Evet","Hayır"))</f>
        <v/>
      </c>
      <c r="AU971" s="26">
        <f>IF(G971="","",IF(AB971="Siparişinizin Montajı Yapıldı","Evet","Hayır"))</f>
        <v/>
      </c>
      <c r="AV971" s="27">
        <f>IF(G971="","",IF(AT971="Evet",AR971,IF(AU971="Evet",AP971,"")))</f>
        <v/>
      </c>
    </row>
    <row r="972">
      <c r="A972" s="23" t="n"/>
      <c r="B972" s="23" t="n"/>
      <c r="C972" s="23" t="n"/>
      <c r="D972" s="23" t="n"/>
      <c r="E972" s="23" t="n"/>
      <c r="F972" s="23" t="n"/>
      <c r="G972" s="23" t="n"/>
      <c r="H972" s="23" t="n"/>
      <c r="I972" s="23" t="n"/>
      <c r="J972" s="23" t="n"/>
      <c r="K972" s="23" t="n"/>
      <c r="L972" s="23" t="n"/>
      <c r="M972" s="23" t="n"/>
      <c r="N972" s="23" t="n"/>
      <c r="O972" s="23" t="n"/>
      <c r="P972" s="23" t="n"/>
      <c r="Q972" s="23" t="n"/>
      <c r="R972" s="23" t="n"/>
      <c r="S972" s="23" t="n"/>
      <c r="T972" s="23" t="n"/>
      <c r="U972" s="23" t="n"/>
      <c r="V972" s="23" t="n"/>
      <c r="W972" s="23" t="n"/>
      <c r="X972" s="23" t="n"/>
      <c r="Y972" s="23" t="n"/>
      <c r="Z972" s="23" t="n"/>
      <c r="AA972" s="23" t="n"/>
      <c r="AB972" s="23" t="n"/>
      <c r="AC972" s="23" t="n"/>
      <c r="AD972" s="23" t="n"/>
      <c r="AE972" s="23" t="n"/>
      <c r="AF972" s="23" t="n"/>
      <c r="AG972" s="23" t="n"/>
      <c r="AH972" s="23" t="n"/>
      <c r="AI972" s="23" t="n"/>
      <c r="AJ972" s="23" t="n"/>
      <c r="AK972" s="23" t="n"/>
      <c r="AL972" s="23" t="n"/>
      <c r="AM972" s="26">
        <f>IF(G972="","",G972&amp;"|"&amp;P972)</f>
        <v/>
      </c>
      <c r="AN972" s="27">
        <f>IF(I972="","",IFERROR(DATE(VALUE(RIGHT(I972,4)),VALUE(MID(I972,4,2)),VALUE(LEFT(I972,2))),""))</f>
        <v/>
      </c>
      <c r="AO972" s="27">
        <f>IF(Y972="","",IFERROR(DATE(VALUE(RIGHT(Y972,4)),VALUE(MID(Y972,4,2)),VALUE(LEFT(Y972,2))),""))</f>
        <v/>
      </c>
      <c r="AP972" s="27">
        <f>IF(AC972="","",IFERROR(DATE(VALUE(RIGHT(AC972,4)),VALUE(MID(AC972,4,2)),VALUE(LEFT(AC972,2))),""))</f>
        <v/>
      </c>
      <c r="AQ972" s="26">
        <f>IF(AI972="","",TRIM(LEFT(AI972,FIND(" ",AI972&amp;" ")-1)))</f>
        <v/>
      </c>
      <c r="AR972" s="27">
        <f>IF(AQ972="","",IFERROR(DATE(VALUE(MID(AQ972,FIND("/",AQ972,FIND("/",AQ972)+1)+1,4)),VALUE(LEFT(AQ972,FIND("/",AQ972)-1)),VALUE(MID(AQ972,FIND("/",AQ972)+1,FIND("/",AQ972,FIND("/",AQ972)+1)-FIND("/",AQ972)-1))),""))</f>
        <v/>
      </c>
      <c r="AS972" s="26">
        <f>IF(G972="","",IF(AND(AG972&lt;&gt;"",AG972&lt;&gt;"Bayi Aracı"),"Evet","Hayır"))</f>
        <v/>
      </c>
      <c r="AT972" s="26">
        <f>IF(G972="","",IF(AND(AS972="Evet",T972="Siparişiniz Teslim Edildi"),"Evet","Hayır"))</f>
        <v/>
      </c>
      <c r="AU972" s="26">
        <f>IF(G972="","",IF(AB972="Siparişinizin Montajı Yapıldı","Evet","Hayır"))</f>
        <v/>
      </c>
      <c r="AV972" s="27">
        <f>IF(G972="","",IF(AT972="Evet",AR972,IF(AU972="Evet",AP972,"")))</f>
        <v/>
      </c>
    </row>
    <row r="973">
      <c r="A973" s="23" t="n"/>
      <c r="B973" s="23" t="n"/>
      <c r="C973" s="23" t="n"/>
      <c r="D973" s="23" t="n"/>
      <c r="E973" s="23" t="n"/>
      <c r="F973" s="23" t="n"/>
      <c r="G973" s="23" t="n"/>
      <c r="H973" s="23" t="n"/>
      <c r="I973" s="23" t="n"/>
      <c r="J973" s="23" t="n"/>
      <c r="K973" s="23" t="n"/>
      <c r="L973" s="23" t="n"/>
      <c r="M973" s="23" t="n"/>
      <c r="N973" s="23" t="n"/>
      <c r="O973" s="23" t="n"/>
      <c r="P973" s="23" t="n"/>
      <c r="Q973" s="23" t="n"/>
      <c r="R973" s="23" t="n"/>
      <c r="S973" s="23" t="n"/>
      <c r="T973" s="23" t="n"/>
      <c r="U973" s="23" t="n"/>
      <c r="V973" s="23" t="n"/>
      <c r="W973" s="23" t="n"/>
      <c r="X973" s="23" t="n"/>
      <c r="Y973" s="23" t="n"/>
      <c r="Z973" s="23" t="n"/>
      <c r="AA973" s="23" t="n"/>
      <c r="AB973" s="23" t="n"/>
      <c r="AC973" s="23" t="n"/>
      <c r="AD973" s="23" t="n"/>
      <c r="AE973" s="23" t="n"/>
      <c r="AF973" s="23" t="n"/>
      <c r="AG973" s="23" t="n"/>
      <c r="AH973" s="23" t="n"/>
      <c r="AI973" s="23" t="n"/>
      <c r="AJ973" s="23" t="n"/>
      <c r="AK973" s="23" t="n"/>
      <c r="AL973" s="23" t="n"/>
      <c r="AM973" s="26">
        <f>IF(G973="","",G973&amp;"|"&amp;P973)</f>
        <v/>
      </c>
      <c r="AN973" s="27">
        <f>IF(I973="","",IFERROR(DATE(VALUE(RIGHT(I973,4)),VALUE(MID(I973,4,2)),VALUE(LEFT(I973,2))),""))</f>
        <v/>
      </c>
      <c r="AO973" s="27">
        <f>IF(Y973="","",IFERROR(DATE(VALUE(RIGHT(Y973,4)),VALUE(MID(Y973,4,2)),VALUE(LEFT(Y973,2))),""))</f>
        <v/>
      </c>
      <c r="AP973" s="27">
        <f>IF(AC973="","",IFERROR(DATE(VALUE(RIGHT(AC973,4)),VALUE(MID(AC973,4,2)),VALUE(LEFT(AC973,2))),""))</f>
        <v/>
      </c>
      <c r="AQ973" s="26">
        <f>IF(AI973="","",TRIM(LEFT(AI973,FIND(" ",AI973&amp;" ")-1)))</f>
        <v/>
      </c>
      <c r="AR973" s="27">
        <f>IF(AQ973="","",IFERROR(DATE(VALUE(MID(AQ973,FIND("/",AQ973,FIND("/",AQ973)+1)+1,4)),VALUE(LEFT(AQ973,FIND("/",AQ973)-1)),VALUE(MID(AQ973,FIND("/",AQ973)+1,FIND("/",AQ973,FIND("/",AQ973)+1)-FIND("/",AQ973)-1))),""))</f>
        <v/>
      </c>
      <c r="AS973" s="26">
        <f>IF(G973="","",IF(AND(AG973&lt;&gt;"",AG973&lt;&gt;"Bayi Aracı"),"Evet","Hayır"))</f>
        <v/>
      </c>
      <c r="AT973" s="26">
        <f>IF(G973="","",IF(AND(AS973="Evet",T973="Siparişiniz Teslim Edildi"),"Evet","Hayır"))</f>
        <v/>
      </c>
      <c r="AU973" s="26">
        <f>IF(G973="","",IF(AB973="Siparişinizin Montajı Yapıldı","Evet","Hayır"))</f>
        <v/>
      </c>
      <c r="AV973" s="27">
        <f>IF(G973="","",IF(AT973="Evet",AR973,IF(AU973="Evet",AP973,"")))</f>
        <v/>
      </c>
    </row>
    <row r="974">
      <c r="A974" s="23" t="n"/>
      <c r="B974" s="23" t="n"/>
      <c r="C974" s="23" t="n"/>
      <c r="D974" s="23" t="n"/>
      <c r="E974" s="23" t="n"/>
      <c r="F974" s="23" t="n"/>
      <c r="G974" s="23" t="n"/>
      <c r="H974" s="23" t="n"/>
      <c r="I974" s="23" t="n"/>
      <c r="J974" s="23" t="n"/>
      <c r="K974" s="23" t="n"/>
      <c r="L974" s="23" t="n"/>
      <c r="M974" s="23" t="n"/>
      <c r="N974" s="23" t="n"/>
      <c r="O974" s="23" t="n"/>
      <c r="P974" s="23" t="n"/>
      <c r="Q974" s="23" t="n"/>
      <c r="R974" s="23" t="n"/>
      <c r="S974" s="23" t="n"/>
      <c r="T974" s="23" t="n"/>
      <c r="U974" s="23" t="n"/>
      <c r="V974" s="23" t="n"/>
      <c r="W974" s="23" t="n"/>
      <c r="X974" s="23" t="n"/>
      <c r="Y974" s="23" t="n"/>
      <c r="Z974" s="23" t="n"/>
      <c r="AA974" s="23" t="n"/>
      <c r="AB974" s="23" t="n"/>
      <c r="AC974" s="23" t="n"/>
      <c r="AD974" s="23" t="n"/>
      <c r="AE974" s="23" t="n"/>
      <c r="AF974" s="23" t="n"/>
      <c r="AG974" s="23" t="n"/>
      <c r="AH974" s="23" t="n"/>
      <c r="AI974" s="23" t="n"/>
      <c r="AJ974" s="23" t="n"/>
      <c r="AK974" s="23" t="n"/>
      <c r="AL974" s="23" t="n"/>
      <c r="AM974" s="26">
        <f>IF(G974="","",G974&amp;"|"&amp;P974)</f>
        <v/>
      </c>
      <c r="AN974" s="27">
        <f>IF(I974="","",IFERROR(DATE(VALUE(RIGHT(I974,4)),VALUE(MID(I974,4,2)),VALUE(LEFT(I974,2))),""))</f>
        <v/>
      </c>
      <c r="AO974" s="27">
        <f>IF(Y974="","",IFERROR(DATE(VALUE(RIGHT(Y974,4)),VALUE(MID(Y974,4,2)),VALUE(LEFT(Y974,2))),""))</f>
        <v/>
      </c>
      <c r="AP974" s="27">
        <f>IF(AC974="","",IFERROR(DATE(VALUE(RIGHT(AC974,4)),VALUE(MID(AC974,4,2)),VALUE(LEFT(AC974,2))),""))</f>
        <v/>
      </c>
      <c r="AQ974" s="26">
        <f>IF(AI974="","",TRIM(LEFT(AI974,FIND(" ",AI974&amp;" ")-1)))</f>
        <v/>
      </c>
      <c r="AR974" s="27">
        <f>IF(AQ974="","",IFERROR(DATE(VALUE(MID(AQ974,FIND("/",AQ974,FIND("/",AQ974)+1)+1,4)),VALUE(LEFT(AQ974,FIND("/",AQ974)-1)),VALUE(MID(AQ974,FIND("/",AQ974)+1,FIND("/",AQ974,FIND("/",AQ974)+1)-FIND("/",AQ974)-1))),""))</f>
        <v/>
      </c>
      <c r="AS974" s="26">
        <f>IF(G974="","",IF(AND(AG974&lt;&gt;"",AG974&lt;&gt;"Bayi Aracı"),"Evet","Hayır"))</f>
        <v/>
      </c>
      <c r="AT974" s="26">
        <f>IF(G974="","",IF(AND(AS974="Evet",T974="Siparişiniz Teslim Edildi"),"Evet","Hayır"))</f>
        <v/>
      </c>
      <c r="AU974" s="26">
        <f>IF(G974="","",IF(AB974="Siparişinizin Montajı Yapıldı","Evet","Hayır"))</f>
        <v/>
      </c>
      <c r="AV974" s="27">
        <f>IF(G974="","",IF(AT974="Evet",AR974,IF(AU974="Evet",AP974,"")))</f>
        <v/>
      </c>
    </row>
    <row r="975">
      <c r="A975" s="23" t="n"/>
      <c r="B975" s="23" t="n"/>
      <c r="C975" s="23" t="n"/>
      <c r="D975" s="23" t="n"/>
      <c r="E975" s="23" t="n"/>
      <c r="F975" s="23" t="n"/>
      <c r="G975" s="23" t="n"/>
      <c r="H975" s="23" t="n"/>
      <c r="I975" s="23" t="n"/>
      <c r="J975" s="23" t="n"/>
      <c r="K975" s="23" t="n"/>
      <c r="L975" s="23" t="n"/>
      <c r="M975" s="23" t="n"/>
      <c r="N975" s="23" t="n"/>
      <c r="O975" s="23" t="n"/>
      <c r="P975" s="23" t="n"/>
      <c r="Q975" s="23" t="n"/>
      <c r="R975" s="23" t="n"/>
      <c r="S975" s="23" t="n"/>
      <c r="T975" s="23" t="n"/>
      <c r="U975" s="23" t="n"/>
      <c r="V975" s="23" t="n"/>
      <c r="W975" s="23" t="n"/>
      <c r="X975" s="23" t="n"/>
      <c r="Y975" s="23" t="n"/>
      <c r="Z975" s="23" t="n"/>
      <c r="AA975" s="23" t="n"/>
      <c r="AB975" s="23" t="n"/>
      <c r="AC975" s="23" t="n"/>
      <c r="AD975" s="23" t="n"/>
      <c r="AE975" s="23" t="n"/>
      <c r="AF975" s="23" t="n"/>
      <c r="AG975" s="23" t="n"/>
      <c r="AH975" s="23" t="n"/>
      <c r="AI975" s="23" t="n"/>
      <c r="AJ975" s="23" t="n"/>
      <c r="AK975" s="23" t="n"/>
      <c r="AL975" s="23" t="n"/>
      <c r="AM975" s="26">
        <f>IF(G975="","",G975&amp;"|"&amp;P975)</f>
        <v/>
      </c>
      <c r="AN975" s="27">
        <f>IF(I975="","",IFERROR(DATE(VALUE(RIGHT(I975,4)),VALUE(MID(I975,4,2)),VALUE(LEFT(I975,2))),""))</f>
        <v/>
      </c>
      <c r="AO975" s="27">
        <f>IF(Y975="","",IFERROR(DATE(VALUE(RIGHT(Y975,4)),VALUE(MID(Y975,4,2)),VALUE(LEFT(Y975,2))),""))</f>
        <v/>
      </c>
      <c r="AP975" s="27">
        <f>IF(AC975="","",IFERROR(DATE(VALUE(RIGHT(AC975,4)),VALUE(MID(AC975,4,2)),VALUE(LEFT(AC975,2))),""))</f>
        <v/>
      </c>
      <c r="AQ975" s="26">
        <f>IF(AI975="","",TRIM(LEFT(AI975,FIND(" ",AI975&amp;" ")-1)))</f>
        <v/>
      </c>
      <c r="AR975" s="27">
        <f>IF(AQ975="","",IFERROR(DATE(VALUE(MID(AQ975,FIND("/",AQ975,FIND("/",AQ975)+1)+1,4)),VALUE(LEFT(AQ975,FIND("/",AQ975)-1)),VALUE(MID(AQ975,FIND("/",AQ975)+1,FIND("/",AQ975,FIND("/",AQ975)+1)-FIND("/",AQ975)-1))),""))</f>
        <v/>
      </c>
      <c r="AS975" s="26">
        <f>IF(G975="","",IF(AND(AG975&lt;&gt;"",AG975&lt;&gt;"Bayi Aracı"),"Evet","Hayır"))</f>
        <v/>
      </c>
      <c r="AT975" s="26">
        <f>IF(G975="","",IF(AND(AS975="Evet",T975="Siparişiniz Teslim Edildi"),"Evet","Hayır"))</f>
        <v/>
      </c>
      <c r="AU975" s="26">
        <f>IF(G975="","",IF(AB975="Siparişinizin Montajı Yapıldı","Evet","Hayır"))</f>
        <v/>
      </c>
      <c r="AV975" s="27">
        <f>IF(G975="","",IF(AT975="Evet",AR975,IF(AU975="Evet",AP975,"")))</f>
        <v/>
      </c>
    </row>
    <row r="976">
      <c r="A976" s="23" t="n"/>
      <c r="B976" s="23" t="n"/>
      <c r="C976" s="23" t="n"/>
      <c r="D976" s="23" t="n"/>
      <c r="E976" s="23" t="n"/>
      <c r="F976" s="23" t="n"/>
      <c r="G976" s="23" t="n"/>
      <c r="H976" s="23" t="n"/>
      <c r="I976" s="23" t="n"/>
      <c r="J976" s="23" t="n"/>
      <c r="K976" s="23" t="n"/>
      <c r="L976" s="23" t="n"/>
      <c r="M976" s="23" t="n"/>
      <c r="N976" s="23" t="n"/>
      <c r="O976" s="23" t="n"/>
      <c r="P976" s="23" t="n"/>
      <c r="Q976" s="23" t="n"/>
      <c r="R976" s="23" t="n"/>
      <c r="S976" s="23" t="n"/>
      <c r="T976" s="23" t="n"/>
      <c r="U976" s="23" t="n"/>
      <c r="V976" s="23" t="n"/>
      <c r="W976" s="23" t="n"/>
      <c r="X976" s="23" t="n"/>
      <c r="Y976" s="23" t="n"/>
      <c r="Z976" s="23" t="n"/>
      <c r="AA976" s="23" t="n"/>
      <c r="AB976" s="23" t="n"/>
      <c r="AC976" s="23" t="n"/>
      <c r="AD976" s="23" t="n"/>
      <c r="AE976" s="23" t="n"/>
      <c r="AF976" s="23" t="n"/>
      <c r="AG976" s="23" t="n"/>
      <c r="AH976" s="23" t="n"/>
      <c r="AI976" s="23" t="n"/>
      <c r="AJ976" s="23" t="n"/>
      <c r="AK976" s="23" t="n"/>
      <c r="AL976" s="23" t="n"/>
      <c r="AM976" s="26">
        <f>IF(G976="","",G976&amp;"|"&amp;P976)</f>
        <v/>
      </c>
      <c r="AN976" s="27">
        <f>IF(I976="","",IFERROR(DATE(VALUE(RIGHT(I976,4)),VALUE(MID(I976,4,2)),VALUE(LEFT(I976,2))),""))</f>
        <v/>
      </c>
      <c r="AO976" s="27">
        <f>IF(Y976="","",IFERROR(DATE(VALUE(RIGHT(Y976,4)),VALUE(MID(Y976,4,2)),VALUE(LEFT(Y976,2))),""))</f>
        <v/>
      </c>
      <c r="AP976" s="27">
        <f>IF(AC976="","",IFERROR(DATE(VALUE(RIGHT(AC976,4)),VALUE(MID(AC976,4,2)),VALUE(LEFT(AC976,2))),""))</f>
        <v/>
      </c>
      <c r="AQ976" s="26">
        <f>IF(AI976="","",TRIM(LEFT(AI976,FIND(" ",AI976&amp;" ")-1)))</f>
        <v/>
      </c>
      <c r="AR976" s="27">
        <f>IF(AQ976="","",IFERROR(DATE(VALUE(MID(AQ976,FIND("/",AQ976,FIND("/",AQ976)+1)+1,4)),VALUE(LEFT(AQ976,FIND("/",AQ976)-1)),VALUE(MID(AQ976,FIND("/",AQ976)+1,FIND("/",AQ976,FIND("/",AQ976)+1)-FIND("/",AQ976)-1))),""))</f>
        <v/>
      </c>
      <c r="AS976" s="26">
        <f>IF(G976="","",IF(AND(AG976&lt;&gt;"",AG976&lt;&gt;"Bayi Aracı"),"Evet","Hayır"))</f>
        <v/>
      </c>
      <c r="AT976" s="26">
        <f>IF(G976="","",IF(AND(AS976="Evet",T976="Siparişiniz Teslim Edildi"),"Evet","Hayır"))</f>
        <v/>
      </c>
      <c r="AU976" s="26">
        <f>IF(G976="","",IF(AB976="Siparişinizin Montajı Yapıldı","Evet","Hayır"))</f>
        <v/>
      </c>
      <c r="AV976" s="27">
        <f>IF(G976="","",IF(AT976="Evet",AR976,IF(AU976="Evet",AP976,"")))</f>
        <v/>
      </c>
    </row>
    <row r="977">
      <c r="A977" s="23" t="n"/>
      <c r="B977" s="23" t="n"/>
      <c r="C977" s="23" t="n"/>
      <c r="D977" s="23" t="n"/>
      <c r="E977" s="23" t="n"/>
      <c r="F977" s="23" t="n"/>
      <c r="G977" s="23" t="n"/>
      <c r="H977" s="23" t="n"/>
      <c r="I977" s="23" t="n"/>
      <c r="J977" s="23" t="n"/>
      <c r="K977" s="23" t="n"/>
      <c r="L977" s="23" t="n"/>
      <c r="M977" s="23" t="n"/>
      <c r="N977" s="23" t="n"/>
      <c r="O977" s="23" t="n"/>
      <c r="P977" s="23" t="n"/>
      <c r="Q977" s="23" t="n"/>
      <c r="R977" s="23" t="n"/>
      <c r="S977" s="23" t="n"/>
      <c r="T977" s="23" t="n"/>
      <c r="U977" s="23" t="n"/>
      <c r="V977" s="23" t="n"/>
      <c r="W977" s="23" t="n"/>
      <c r="X977" s="23" t="n"/>
      <c r="Y977" s="23" t="n"/>
      <c r="Z977" s="23" t="n"/>
      <c r="AA977" s="23" t="n"/>
      <c r="AB977" s="23" t="n"/>
      <c r="AC977" s="23" t="n"/>
      <c r="AD977" s="23" t="n"/>
      <c r="AE977" s="23" t="n"/>
      <c r="AF977" s="23" t="n"/>
      <c r="AG977" s="23" t="n"/>
      <c r="AH977" s="23" t="n"/>
      <c r="AI977" s="23" t="n"/>
      <c r="AJ977" s="23" t="n"/>
      <c r="AK977" s="23" t="n"/>
      <c r="AL977" s="23" t="n"/>
      <c r="AM977" s="26">
        <f>IF(G977="","",G977&amp;"|"&amp;P977)</f>
        <v/>
      </c>
      <c r="AN977" s="27">
        <f>IF(I977="","",IFERROR(DATE(VALUE(RIGHT(I977,4)),VALUE(MID(I977,4,2)),VALUE(LEFT(I977,2))),""))</f>
        <v/>
      </c>
      <c r="AO977" s="27">
        <f>IF(Y977="","",IFERROR(DATE(VALUE(RIGHT(Y977,4)),VALUE(MID(Y977,4,2)),VALUE(LEFT(Y977,2))),""))</f>
        <v/>
      </c>
      <c r="AP977" s="27">
        <f>IF(AC977="","",IFERROR(DATE(VALUE(RIGHT(AC977,4)),VALUE(MID(AC977,4,2)),VALUE(LEFT(AC977,2))),""))</f>
        <v/>
      </c>
      <c r="AQ977" s="26">
        <f>IF(AI977="","",TRIM(LEFT(AI977,FIND(" ",AI977&amp;" ")-1)))</f>
        <v/>
      </c>
      <c r="AR977" s="27">
        <f>IF(AQ977="","",IFERROR(DATE(VALUE(MID(AQ977,FIND("/",AQ977,FIND("/",AQ977)+1)+1,4)),VALUE(LEFT(AQ977,FIND("/",AQ977)-1)),VALUE(MID(AQ977,FIND("/",AQ977)+1,FIND("/",AQ977,FIND("/",AQ977)+1)-FIND("/",AQ977)-1))),""))</f>
        <v/>
      </c>
      <c r="AS977" s="26">
        <f>IF(G977="","",IF(AND(AG977&lt;&gt;"",AG977&lt;&gt;"Bayi Aracı"),"Evet","Hayır"))</f>
        <v/>
      </c>
      <c r="AT977" s="26">
        <f>IF(G977="","",IF(AND(AS977="Evet",T977="Siparişiniz Teslim Edildi"),"Evet","Hayır"))</f>
        <v/>
      </c>
      <c r="AU977" s="26">
        <f>IF(G977="","",IF(AB977="Siparişinizin Montajı Yapıldı","Evet","Hayır"))</f>
        <v/>
      </c>
      <c r="AV977" s="27">
        <f>IF(G977="","",IF(AT977="Evet",AR977,IF(AU977="Evet",AP977,"")))</f>
        <v/>
      </c>
    </row>
    <row r="978">
      <c r="A978" s="23" t="n"/>
      <c r="B978" s="23" t="n"/>
      <c r="C978" s="23" t="n"/>
      <c r="D978" s="23" t="n"/>
      <c r="E978" s="23" t="n"/>
      <c r="F978" s="23" t="n"/>
      <c r="G978" s="23" t="n"/>
      <c r="H978" s="23" t="n"/>
      <c r="I978" s="23" t="n"/>
      <c r="J978" s="23" t="n"/>
      <c r="K978" s="23" t="n"/>
      <c r="L978" s="23" t="n"/>
      <c r="M978" s="23" t="n"/>
      <c r="N978" s="23" t="n"/>
      <c r="O978" s="23" t="n"/>
      <c r="P978" s="23" t="n"/>
      <c r="Q978" s="23" t="n"/>
      <c r="R978" s="23" t="n"/>
      <c r="S978" s="23" t="n"/>
      <c r="T978" s="23" t="n"/>
      <c r="U978" s="23" t="n"/>
      <c r="V978" s="23" t="n"/>
      <c r="W978" s="23" t="n"/>
      <c r="X978" s="23" t="n"/>
      <c r="Y978" s="23" t="n"/>
      <c r="Z978" s="23" t="n"/>
      <c r="AA978" s="23" t="n"/>
      <c r="AB978" s="23" t="n"/>
      <c r="AC978" s="23" t="n"/>
      <c r="AD978" s="23" t="n"/>
      <c r="AE978" s="23" t="n"/>
      <c r="AF978" s="23" t="n"/>
      <c r="AG978" s="23" t="n"/>
      <c r="AH978" s="23" t="n"/>
      <c r="AI978" s="23" t="n"/>
      <c r="AJ978" s="23" t="n"/>
      <c r="AK978" s="23" t="n"/>
      <c r="AL978" s="23" t="n"/>
      <c r="AM978" s="26">
        <f>IF(G978="","",G978&amp;"|"&amp;P978)</f>
        <v/>
      </c>
      <c r="AN978" s="27">
        <f>IF(I978="","",IFERROR(DATE(VALUE(RIGHT(I978,4)),VALUE(MID(I978,4,2)),VALUE(LEFT(I978,2))),""))</f>
        <v/>
      </c>
      <c r="AO978" s="27">
        <f>IF(Y978="","",IFERROR(DATE(VALUE(RIGHT(Y978,4)),VALUE(MID(Y978,4,2)),VALUE(LEFT(Y978,2))),""))</f>
        <v/>
      </c>
      <c r="AP978" s="27">
        <f>IF(AC978="","",IFERROR(DATE(VALUE(RIGHT(AC978,4)),VALUE(MID(AC978,4,2)),VALUE(LEFT(AC978,2))),""))</f>
        <v/>
      </c>
      <c r="AQ978" s="26">
        <f>IF(AI978="","",TRIM(LEFT(AI978,FIND(" ",AI978&amp;" ")-1)))</f>
        <v/>
      </c>
      <c r="AR978" s="27">
        <f>IF(AQ978="","",IFERROR(DATE(VALUE(MID(AQ978,FIND("/",AQ978,FIND("/",AQ978)+1)+1,4)),VALUE(LEFT(AQ978,FIND("/",AQ978)-1)),VALUE(MID(AQ978,FIND("/",AQ978)+1,FIND("/",AQ978,FIND("/",AQ978)+1)-FIND("/",AQ978)-1))),""))</f>
        <v/>
      </c>
      <c r="AS978" s="26">
        <f>IF(G978="","",IF(AND(AG978&lt;&gt;"",AG978&lt;&gt;"Bayi Aracı"),"Evet","Hayır"))</f>
        <v/>
      </c>
      <c r="AT978" s="26">
        <f>IF(G978="","",IF(AND(AS978="Evet",T978="Siparişiniz Teslim Edildi"),"Evet","Hayır"))</f>
        <v/>
      </c>
      <c r="AU978" s="26">
        <f>IF(G978="","",IF(AB978="Siparişinizin Montajı Yapıldı","Evet","Hayır"))</f>
        <v/>
      </c>
      <c r="AV978" s="27">
        <f>IF(G978="","",IF(AT978="Evet",AR978,IF(AU978="Evet",AP978,"")))</f>
        <v/>
      </c>
    </row>
    <row r="979">
      <c r="A979" s="23" t="n"/>
      <c r="B979" s="23" t="n"/>
      <c r="C979" s="23" t="n"/>
      <c r="D979" s="23" t="n"/>
      <c r="E979" s="23" t="n"/>
      <c r="F979" s="23" t="n"/>
      <c r="G979" s="23" t="n"/>
      <c r="H979" s="23" t="n"/>
      <c r="I979" s="23" t="n"/>
      <c r="J979" s="23" t="n"/>
      <c r="K979" s="23" t="n"/>
      <c r="L979" s="23" t="n"/>
      <c r="M979" s="23" t="n"/>
      <c r="N979" s="23" t="n"/>
      <c r="O979" s="23" t="n"/>
      <c r="P979" s="23" t="n"/>
      <c r="Q979" s="23" t="n"/>
      <c r="R979" s="23" t="n"/>
      <c r="S979" s="23" t="n"/>
      <c r="T979" s="23" t="n"/>
      <c r="U979" s="23" t="n"/>
      <c r="V979" s="23" t="n"/>
      <c r="W979" s="23" t="n"/>
      <c r="X979" s="23" t="n"/>
      <c r="Y979" s="23" t="n"/>
      <c r="Z979" s="23" t="n"/>
      <c r="AA979" s="23" t="n"/>
      <c r="AB979" s="23" t="n"/>
      <c r="AC979" s="23" t="n"/>
      <c r="AD979" s="23" t="n"/>
      <c r="AE979" s="23" t="n"/>
      <c r="AF979" s="23" t="n"/>
      <c r="AG979" s="23" t="n"/>
      <c r="AH979" s="23" t="n"/>
      <c r="AI979" s="23" t="n"/>
      <c r="AJ979" s="23" t="n"/>
      <c r="AK979" s="23" t="n"/>
      <c r="AL979" s="23" t="n"/>
      <c r="AM979" s="26">
        <f>IF(G979="","",G979&amp;"|"&amp;P979)</f>
        <v/>
      </c>
      <c r="AN979" s="27">
        <f>IF(I979="","",IFERROR(DATE(VALUE(RIGHT(I979,4)),VALUE(MID(I979,4,2)),VALUE(LEFT(I979,2))),""))</f>
        <v/>
      </c>
      <c r="AO979" s="27">
        <f>IF(Y979="","",IFERROR(DATE(VALUE(RIGHT(Y979,4)),VALUE(MID(Y979,4,2)),VALUE(LEFT(Y979,2))),""))</f>
        <v/>
      </c>
      <c r="AP979" s="27">
        <f>IF(AC979="","",IFERROR(DATE(VALUE(RIGHT(AC979,4)),VALUE(MID(AC979,4,2)),VALUE(LEFT(AC979,2))),""))</f>
        <v/>
      </c>
      <c r="AQ979" s="26">
        <f>IF(AI979="","",TRIM(LEFT(AI979,FIND(" ",AI979&amp;" ")-1)))</f>
        <v/>
      </c>
      <c r="AR979" s="27">
        <f>IF(AQ979="","",IFERROR(DATE(VALUE(MID(AQ979,FIND("/",AQ979,FIND("/",AQ979)+1)+1,4)),VALUE(LEFT(AQ979,FIND("/",AQ979)-1)),VALUE(MID(AQ979,FIND("/",AQ979)+1,FIND("/",AQ979,FIND("/",AQ979)+1)-FIND("/",AQ979)-1))),""))</f>
        <v/>
      </c>
      <c r="AS979" s="26">
        <f>IF(G979="","",IF(AND(AG979&lt;&gt;"",AG979&lt;&gt;"Bayi Aracı"),"Evet","Hayır"))</f>
        <v/>
      </c>
      <c r="AT979" s="26">
        <f>IF(G979="","",IF(AND(AS979="Evet",T979="Siparişiniz Teslim Edildi"),"Evet","Hayır"))</f>
        <v/>
      </c>
      <c r="AU979" s="26">
        <f>IF(G979="","",IF(AB979="Siparişinizin Montajı Yapıldı","Evet","Hayır"))</f>
        <v/>
      </c>
      <c r="AV979" s="27">
        <f>IF(G979="","",IF(AT979="Evet",AR979,IF(AU979="Evet",AP979,"")))</f>
        <v/>
      </c>
    </row>
    <row r="980">
      <c r="A980" s="23" t="n"/>
      <c r="B980" s="23" t="n"/>
      <c r="C980" s="23" t="n"/>
      <c r="D980" s="23" t="n"/>
      <c r="E980" s="23" t="n"/>
      <c r="F980" s="23" t="n"/>
      <c r="G980" s="23" t="n"/>
      <c r="H980" s="23" t="n"/>
      <c r="I980" s="23" t="n"/>
      <c r="J980" s="23" t="n"/>
      <c r="K980" s="23" t="n"/>
      <c r="L980" s="23" t="n"/>
      <c r="M980" s="23" t="n"/>
      <c r="N980" s="23" t="n"/>
      <c r="O980" s="23" t="n"/>
      <c r="P980" s="23" t="n"/>
      <c r="Q980" s="23" t="n"/>
      <c r="R980" s="23" t="n"/>
      <c r="S980" s="23" t="n"/>
      <c r="T980" s="23" t="n"/>
      <c r="U980" s="23" t="n"/>
      <c r="V980" s="23" t="n"/>
      <c r="W980" s="23" t="n"/>
      <c r="X980" s="23" t="n"/>
      <c r="Y980" s="23" t="n"/>
      <c r="Z980" s="23" t="n"/>
      <c r="AA980" s="23" t="n"/>
      <c r="AB980" s="23" t="n"/>
      <c r="AC980" s="23" t="n"/>
      <c r="AD980" s="23" t="n"/>
      <c r="AE980" s="23" t="n"/>
      <c r="AF980" s="23" t="n"/>
      <c r="AG980" s="23" t="n"/>
      <c r="AH980" s="23" t="n"/>
      <c r="AI980" s="23" t="n"/>
      <c r="AJ980" s="23" t="n"/>
      <c r="AK980" s="23" t="n"/>
      <c r="AL980" s="23" t="n"/>
      <c r="AM980" s="26">
        <f>IF(G980="","",G980&amp;"|"&amp;P980)</f>
        <v/>
      </c>
      <c r="AN980" s="27">
        <f>IF(I980="","",IFERROR(DATE(VALUE(RIGHT(I980,4)),VALUE(MID(I980,4,2)),VALUE(LEFT(I980,2))),""))</f>
        <v/>
      </c>
      <c r="AO980" s="27">
        <f>IF(Y980="","",IFERROR(DATE(VALUE(RIGHT(Y980,4)),VALUE(MID(Y980,4,2)),VALUE(LEFT(Y980,2))),""))</f>
        <v/>
      </c>
      <c r="AP980" s="27">
        <f>IF(AC980="","",IFERROR(DATE(VALUE(RIGHT(AC980,4)),VALUE(MID(AC980,4,2)),VALUE(LEFT(AC980,2))),""))</f>
        <v/>
      </c>
      <c r="AQ980" s="26">
        <f>IF(AI980="","",TRIM(LEFT(AI980,FIND(" ",AI980&amp;" ")-1)))</f>
        <v/>
      </c>
      <c r="AR980" s="27">
        <f>IF(AQ980="","",IFERROR(DATE(VALUE(MID(AQ980,FIND("/",AQ980,FIND("/",AQ980)+1)+1,4)),VALUE(LEFT(AQ980,FIND("/",AQ980)-1)),VALUE(MID(AQ980,FIND("/",AQ980)+1,FIND("/",AQ980,FIND("/",AQ980)+1)-FIND("/",AQ980)-1))),""))</f>
        <v/>
      </c>
      <c r="AS980" s="26">
        <f>IF(G980="","",IF(AND(AG980&lt;&gt;"",AG980&lt;&gt;"Bayi Aracı"),"Evet","Hayır"))</f>
        <v/>
      </c>
      <c r="AT980" s="26">
        <f>IF(G980="","",IF(AND(AS980="Evet",T980="Siparişiniz Teslim Edildi"),"Evet","Hayır"))</f>
        <v/>
      </c>
      <c r="AU980" s="26">
        <f>IF(G980="","",IF(AB980="Siparişinizin Montajı Yapıldı","Evet","Hayır"))</f>
        <v/>
      </c>
      <c r="AV980" s="27">
        <f>IF(G980="","",IF(AT980="Evet",AR980,IF(AU980="Evet",AP980,"")))</f>
        <v/>
      </c>
    </row>
    <row r="981">
      <c r="A981" s="23" t="n"/>
      <c r="B981" s="23" t="n"/>
      <c r="C981" s="23" t="n"/>
      <c r="D981" s="23" t="n"/>
      <c r="E981" s="23" t="n"/>
      <c r="F981" s="23" t="n"/>
      <c r="G981" s="23" t="n"/>
      <c r="H981" s="23" t="n"/>
      <c r="I981" s="23" t="n"/>
      <c r="J981" s="23" t="n"/>
      <c r="K981" s="23" t="n"/>
      <c r="L981" s="23" t="n"/>
      <c r="M981" s="23" t="n"/>
      <c r="N981" s="23" t="n"/>
      <c r="O981" s="23" t="n"/>
      <c r="P981" s="23" t="n"/>
      <c r="Q981" s="23" t="n"/>
      <c r="R981" s="23" t="n"/>
      <c r="S981" s="23" t="n"/>
      <c r="T981" s="23" t="n"/>
      <c r="U981" s="23" t="n"/>
      <c r="V981" s="23" t="n"/>
      <c r="W981" s="23" t="n"/>
      <c r="X981" s="23" t="n"/>
      <c r="Y981" s="23" t="n"/>
      <c r="Z981" s="23" t="n"/>
      <c r="AA981" s="23" t="n"/>
      <c r="AB981" s="23" t="n"/>
      <c r="AC981" s="23" t="n"/>
      <c r="AD981" s="23" t="n"/>
      <c r="AE981" s="23" t="n"/>
      <c r="AF981" s="23" t="n"/>
      <c r="AG981" s="23" t="n"/>
      <c r="AH981" s="23" t="n"/>
      <c r="AI981" s="23" t="n"/>
      <c r="AJ981" s="23" t="n"/>
      <c r="AK981" s="23" t="n"/>
      <c r="AL981" s="23" t="n"/>
      <c r="AM981" s="26">
        <f>IF(G981="","",G981&amp;"|"&amp;P981)</f>
        <v/>
      </c>
      <c r="AN981" s="27">
        <f>IF(I981="","",IFERROR(DATE(VALUE(RIGHT(I981,4)),VALUE(MID(I981,4,2)),VALUE(LEFT(I981,2))),""))</f>
        <v/>
      </c>
      <c r="AO981" s="27">
        <f>IF(Y981="","",IFERROR(DATE(VALUE(RIGHT(Y981,4)),VALUE(MID(Y981,4,2)),VALUE(LEFT(Y981,2))),""))</f>
        <v/>
      </c>
      <c r="AP981" s="27">
        <f>IF(AC981="","",IFERROR(DATE(VALUE(RIGHT(AC981,4)),VALUE(MID(AC981,4,2)),VALUE(LEFT(AC981,2))),""))</f>
        <v/>
      </c>
      <c r="AQ981" s="26">
        <f>IF(AI981="","",TRIM(LEFT(AI981,FIND(" ",AI981&amp;" ")-1)))</f>
        <v/>
      </c>
      <c r="AR981" s="27">
        <f>IF(AQ981="","",IFERROR(DATE(VALUE(MID(AQ981,FIND("/",AQ981,FIND("/",AQ981)+1)+1,4)),VALUE(LEFT(AQ981,FIND("/",AQ981)-1)),VALUE(MID(AQ981,FIND("/",AQ981)+1,FIND("/",AQ981,FIND("/",AQ981)+1)-FIND("/",AQ981)-1))),""))</f>
        <v/>
      </c>
      <c r="AS981" s="26">
        <f>IF(G981="","",IF(AND(AG981&lt;&gt;"",AG981&lt;&gt;"Bayi Aracı"),"Evet","Hayır"))</f>
        <v/>
      </c>
      <c r="AT981" s="26">
        <f>IF(G981="","",IF(AND(AS981="Evet",T981="Siparişiniz Teslim Edildi"),"Evet","Hayır"))</f>
        <v/>
      </c>
      <c r="AU981" s="26">
        <f>IF(G981="","",IF(AB981="Siparişinizin Montajı Yapıldı","Evet","Hayır"))</f>
        <v/>
      </c>
      <c r="AV981" s="27">
        <f>IF(G981="","",IF(AT981="Evet",AR981,IF(AU981="Evet",AP981,"")))</f>
        <v/>
      </c>
    </row>
    <row r="982">
      <c r="A982" s="23" t="n"/>
      <c r="B982" s="23" t="n"/>
      <c r="C982" s="23" t="n"/>
      <c r="D982" s="23" t="n"/>
      <c r="E982" s="23" t="n"/>
      <c r="F982" s="23" t="n"/>
      <c r="G982" s="23" t="n"/>
      <c r="H982" s="23" t="n"/>
      <c r="I982" s="23" t="n"/>
      <c r="J982" s="23" t="n"/>
      <c r="K982" s="23" t="n"/>
      <c r="L982" s="23" t="n"/>
      <c r="M982" s="23" t="n"/>
      <c r="N982" s="23" t="n"/>
      <c r="O982" s="23" t="n"/>
      <c r="P982" s="23" t="n"/>
      <c r="Q982" s="23" t="n"/>
      <c r="R982" s="23" t="n"/>
      <c r="S982" s="23" t="n"/>
      <c r="T982" s="23" t="n"/>
      <c r="U982" s="23" t="n"/>
      <c r="V982" s="23" t="n"/>
      <c r="W982" s="23" t="n"/>
      <c r="X982" s="23" t="n"/>
      <c r="Y982" s="23" t="n"/>
      <c r="Z982" s="23" t="n"/>
      <c r="AA982" s="23" t="n"/>
      <c r="AB982" s="23" t="n"/>
      <c r="AC982" s="23" t="n"/>
      <c r="AD982" s="23" t="n"/>
      <c r="AE982" s="23" t="n"/>
      <c r="AF982" s="23" t="n"/>
      <c r="AG982" s="23" t="n"/>
      <c r="AH982" s="23" t="n"/>
      <c r="AI982" s="23" t="n"/>
      <c r="AJ982" s="23" t="n"/>
      <c r="AK982" s="23" t="n"/>
      <c r="AL982" s="23" t="n"/>
      <c r="AM982" s="26">
        <f>IF(G982="","",G982&amp;"|"&amp;P982)</f>
        <v/>
      </c>
      <c r="AN982" s="27">
        <f>IF(I982="","",IFERROR(DATE(VALUE(RIGHT(I982,4)),VALUE(MID(I982,4,2)),VALUE(LEFT(I982,2))),""))</f>
        <v/>
      </c>
      <c r="AO982" s="27">
        <f>IF(Y982="","",IFERROR(DATE(VALUE(RIGHT(Y982,4)),VALUE(MID(Y982,4,2)),VALUE(LEFT(Y982,2))),""))</f>
        <v/>
      </c>
      <c r="AP982" s="27">
        <f>IF(AC982="","",IFERROR(DATE(VALUE(RIGHT(AC982,4)),VALUE(MID(AC982,4,2)),VALUE(LEFT(AC982,2))),""))</f>
        <v/>
      </c>
      <c r="AQ982" s="26">
        <f>IF(AI982="","",TRIM(LEFT(AI982,FIND(" ",AI982&amp;" ")-1)))</f>
        <v/>
      </c>
      <c r="AR982" s="27">
        <f>IF(AQ982="","",IFERROR(DATE(VALUE(MID(AQ982,FIND("/",AQ982,FIND("/",AQ982)+1)+1,4)),VALUE(LEFT(AQ982,FIND("/",AQ982)-1)),VALUE(MID(AQ982,FIND("/",AQ982)+1,FIND("/",AQ982,FIND("/",AQ982)+1)-FIND("/",AQ982)-1))),""))</f>
        <v/>
      </c>
      <c r="AS982" s="26">
        <f>IF(G982="","",IF(AND(AG982&lt;&gt;"",AG982&lt;&gt;"Bayi Aracı"),"Evet","Hayır"))</f>
        <v/>
      </c>
      <c r="AT982" s="26">
        <f>IF(G982="","",IF(AND(AS982="Evet",T982="Siparişiniz Teslim Edildi"),"Evet","Hayır"))</f>
        <v/>
      </c>
      <c r="AU982" s="26">
        <f>IF(G982="","",IF(AB982="Siparişinizin Montajı Yapıldı","Evet","Hayır"))</f>
        <v/>
      </c>
      <c r="AV982" s="27">
        <f>IF(G982="","",IF(AT982="Evet",AR982,IF(AU982="Evet",AP982,"")))</f>
        <v/>
      </c>
    </row>
    <row r="983">
      <c r="A983" s="23" t="n"/>
      <c r="B983" s="23" t="n"/>
      <c r="C983" s="23" t="n"/>
      <c r="D983" s="23" t="n"/>
      <c r="E983" s="23" t="n"/>
      <c r="F983" s="23" t="n"/>
      <c r="G983" s="23" t="n"/>
      <c r="H983" s="23" t="n"/>
      <c r="I983" s="23" t="n"/>
      <c r="J983" s="23" t="n"/>
      <c r="K983" s="23" t="n"/>
      <c r="L983" s="23" t="n"/>
      <c r="M983" s="23" t="n"/>
      <c r="N983" s="23" t="n"/>
      <c r="O983" s="23" t="n"/>
      <c r="P983" s="23" t="n"/>
      <c r="Q983" s="23" t="n"/>
      <c r="R983" s="23" t="n"/>
      <c r="S983" s="23" t="n"/>
      <c r="T983" s="23" t="n"/>
      <c r="U983" s="23" t="n"/>
      <c r="V983" s="23" t="n"/>
      <c r="W983" s="23" t="n"/>
      <c r="X983" s="23" t="n"/>
      <c r="Y983" s="23" t="n"/>
      <c r="Z983" s="23" t="n"/>
      <c r="AA983" s="23" t="n"/>
      <c r="AB983" s="23" t="n"/>
      <c r="AC983" s="23" t="n"/>
      <c r="AD983" s="23" t="n"/>
      <c r="AE983" s="23" t="n"/>
      <c r="AF983" s="23" t="n"/>
      <c r="AG983" s="23" t="n"/>
      <c r="AH983" s="23" t="n"/>
      <c r="AI983" s="23" t="n"/>
      <c r="AJ983" s="23" t="n"/>
      <c r="AK983" s="23" t="n"/>
      <c r="AL983" s="23" t="n"/>
      <c r="AM983" s="26">
        <f>IF(G983="","",G983&amp;"|"&amp;P983)</f>
        <v/>
      </c>
      <c r="AN983" s="27">
        <f>IF(I983="","",IFERROR(DATE(VALUE(RIGHT(I983,4)),VALUE(MID(I983,4,2)),VALUE(LEFT(I983,2))),""))</f>
        <v/>
      </c>
      <c r="AO983" s="27">
        <f>IF(Y983="","",IFERROR(DATE(VALUE(RIGHT(Y983,4)),VALUE(MID(Y983,4,2)),VALUE(LEFT(Y983,2))),""))</f>
        <v/>
      </c>
      <c r="AP983" s="27">
        <f>IF(AC983="","",IFERROR(DATE(VALUE(RIGHT(AC983,4)),VALUE(MID(AC983,4,2)),VALUE(LEFT(AC983,2))),""))</f>
        <v/>
      </c>
      <c r="AQ983" s="26">
        <f>IF(AI983="","",TRIM(LEFT(AI983,FIND(" ",AI983&amp;" ")-1)))</f>
        <v/>
      </c>
      <c r="AR983" s="27">
        <f>IF(AQ983="","",IFERROR(DATE(VALUE(MID(AQ983,FIND("/",AQ983,FIND("/",AQ983)+1)+1,4)),VALUE(LEFT(AQ983,FIND("/",AQ983)-1)),VALUE(MID(AQ983,FIND("/",AQ983)+1,FIND("/",AQ983,FIND("/",AQ983)+1)-FIND("/",AQ983)-1))),""))</f>
        <v/>
      </c>
      <c r="AS983" s="26">
        <f>IF(G983="","",IF(AND(AG983&lt;&gt;"",AG983&lt;&gt;"Bayi Aracı"),"Evet","Hayır"))</f>
        <v/>
      </c>
      <c r="AT983" s="26">
        <f>IF(G983="","",IF(AND(AS983="Evet",T983="Siparişiniz Teslim Edildi"),"Evet","Hayır"))</f>
        <v/>
      </c>
      <c r="AU983" s="26">
        <f>IF(G983="","",IF(AB983="Siparişinizin Montajı Yapıldı","Evet","Hayır"))</f>
        <v/>
      </c>
      <c r="AV983" s="27">
        <f>IF(G983="","",IF(AT983="Evet",AR983,IF(AU983="Evet",AP983,"")))</f>
        <v/>
      </c>
    </row>
    <row r="984">
      <c r="A984" s="23" t="n"/>
      <c r="B984" s="23" t="n"/>
      <c r="C984" s="23" t="n"/>
      <c r="D984" s="23" t="n"/>
      <c r="E984" s="23" t="n"/>
      <c r="F984" s="23" t="n"/>
      <c r="G984" s="23" t="n"/>
      <c r="H984" s="23" t="n"/>
      <c r="I984" s="23" t="n"/>
      <c r="J984" s="23" t="n"/>
      <c r="K984" s="23" t="n"/>
      <c r="L984" s="23" t="n"/>
      <c r="M984" s="23" t="n"/>
      <c r="N984" s="23" t="n"/>
      <c r="O984" s="23" t="n"/>
      <c r="P984" s="23" t="n"/>
      <c r="Q984" s="23" t="n"/>
      <c r="R984" s="23" t="n"/>
      <c r="S984" s="23" t="n"/>
      <c r="T984" s="23" t="n"/>
      <c r="U984" s="23" t="n"/>
      <c r="V984" s="23" t="n"/>
      <c r="W984" s="23" t="n"/>
      <c r="X984" s="23" t="n"/>
      <c r="Y984" s="23" t="n"/>
      <c r="Z984" s="23" t="n"/>
      <c r="AA984" s="23" t="n"/>
      <c r="AB984" s="23" t="n"/>
      <c r="AC984" s="23" t="n"/>
      <c r="AD984" s="23" t="n"/>
      <c r="AE984" s="23" t="n"/>
      <c r="AF984" s="23" t="n"/>
      <c r="AG984" s="23" t="n"/>
      <c r="AH984" s="23" t="n"/>
      <c r="AI984" s="23" t="n"/>
      <c r="AJ984" s="23" t="n"/>
      <c r="AK984" s="23" t="n"/>
      <c r="AL984" s="23" t="n"/>
      <c r="AM984" s="26">
        <f>IF(G984="","",G984&amp;"|"&amp;P984)</f>
        <v/>
      </c>
      <c r="AN984" s="27">
        <f>IF(I984="","",IFERROR(DATE(VALUE(RIGHT(I984,4)),VALUE(MID(I984,4,2)),VALUE(LEFT(I984,2))),""))</f>
        <v/>
      </c>
      <c r="AO984" s="27">
        <f>IF(Y984="","",IFERROR(DATE(VALUE(RIGHT(Y984,4)),VALUE(MID(Y984,4,2)),VALUE(LEFT(Y984,2))),""))</f>
        <v/>
      </c>
      <c r="AP984" s="27">
        <f>IF(AC984="","",IFERROR(DATE(VALUE(RIGHT(AC984,4)),VALUE(MID(AC984,4,2)),VALUE(LEFT(AC984,2))),""))</f>
        <v/>
      </c>
      <c r="AQ984" s="26">
        <f>IF(AI984="","",TRIM(LEFT(AI984,FIND(" ",AI984&amp;" ")-1)))</f>
        <v/>
      </c>
      <c r="AR984" s="27">
        <f>IF(AQ984="","",IFERROR(DATE(VALUE(MID(AQ984,FIND("/",AQ984,FIND("/",AQ984)+1)+1,4)),VALUE(LEFT(AQ984,FIND("/",AQ984)-1)),VALUE(MID(AQ984,FIND("/",AQ984)+1,FIND("/",AQ984,FIND("/",AQ984)+1)-FIND("/",AQ984)-1))),""))</f>
        <v/>
      </c>
      <c r="AS984" s="26">
        <f>IF(G984="","",IF(AND(AG984&lt;&gt;"",AG984&lt;&gt;"Bayi Aracı"),"Evet","Hayır"))</f>
        <v/>
      </c>
      <c r="AT984" s="26">
        <f>IF(G984="","",IF(AND(AS984="Evet",T984="Siparişiniz Teslim Edildi"),"Evet","Hayır"))</f>
        <v/>
      </c>
      <c r="AU984" s="26">
        <f>IF(G984="","",IF(AB984="Siparişinizin Montajı Yapıldı","Evet","Hayır"))</f>
        <v/>
      </c>
      <c r="AV984" s="27">
        <f>IF(G984="","",IF(AT984="Evet",AR984,IF(AU984="Evet",AP984,"")))</f>
        <v/>
      </c>
    </row>
    <row r="985">
      <c r="A985" s="23" t="n"/>
      <c r="B985" s="23" t="n"/>
      <c r="C985" s="23" t="n"/>
      <c r="D985" s="23" t="n"/>
      <c r="E985" s="23" t="n"/>
      <c r="F985" s="23" t="n"/>
      <c r="G985" s="23" t="n"/>
      <c r="H985" s="23" t="n"/>
      <c r="I985" s="23" t="n"/>
      <c r="J985" s="23" t="n"/>
      <c r="K985" s="23" t="n"/>
      <c r="L985" s="23" t="n"/>
      <c r="M985" s="23" t="n"/>
      <c r="N985" s="23" t="n"/>
      <c r="O985" s="23" t="n"/>
      <c r="P985" s="23" t="n"/>
      <c r="Q985" s="23" t="n"/>
      <c r="R985" s="23" t="n"/>
      <c r="S985" s="23" t="n"/>
      <c r="T985" s="23" t="n"/>
      <c r="U985" s="23" t="n"/>
      <c r="V985" s="23" t="n"/>
      <c r="W985" s="23" t="n"/>
      <c r="X985" s="23" t="n"/>
      <c r="Y985" s="23" t="n"/>
      <c r="Z985" s="23" t="n"/>
      <c r="AA985" s="23" t="n"/>
      <c r="AB985" s="23" t="n"/>
      <c r="AC985" s="23" t="n"/>
      <c r="AD985" s="23" t="n"/>
      <c r="AE985" s="23" t="n"/>
      <c r="AF985" s="23" t="n"/>
      <c r="AG985" s="23" t="n"/>
      <c r="AH985" s="23" t="n"/>
      <c r="AI985" s="23" t="n"/>
      <c r="AJ985" s="23" t="n"/>
      <c r="AK985" s="23" t="n"/>
      <c r="AL985" s="23" t="n"/>
      <c r="AM985" s="26">
        <f>IF(G985="","",G985&amp;"|"&amp;P985)</f>
        <v/>
      </c>
      <c r="AN985" s="27">
        <f>IF(I985="","",IFERROR(DATE(VALUE(RIGHT(I985,4)),VALUE(MID(I985,4,2)),VALUE(LEFT(I985,2))),""))</f>
        <v/>
      </c>
      <c r="AO985" s="27">
        <f>IF(Y985="","",IFERROR(DATE(VALUE(RIGHT(Y985,4)),VALUE(MID(Y985,4,2)),VALUE(LEFT(Y985,2))),""))</f>
        <v/>
      </c>
      <c r="AP985" s="27">
        <f>IF(AC985="","",IFERROR(DATE(VALUE(RIGHT(AC985,4)),VALUE(MID(AC985,4,2)),VALUE(LEFT(AC985,2))),""))</f>
        <v/>
      </c>
      <c r="AQ985" s="26">
        <f>IF(AI985="","",TRIM(LEFT(AI985,FIND(" ",AI985&amp;" ")-1)))</f>
        <v/>
      </c>
      <c r="AR985" s="27">
        <f>IF(AQ985="","",IFERROR(DATE(VALUE(MID(AQ985,FIND("/",AQ985,FIND("/",AQ985)+1)+1,4)),VALUE(LEFT(AQ985,FIND("/",AQ985)-1)),VALUE(MID(AQ985,FIND("/",AQ985)+1,FIND("/",AQ985,FIND("/",AQ985)+1)-FIND("/",AQ985)-1))),""))</f>
        <v/>
      </c>
      <c r="AS985" s="26">
        <f>IF(G985="","",IF(AND(AG985&lt;&gt;"",AG985&lt;&gt;"Bayi Aracı"),"Evet","Hayır"))</f>
        <v/>
      </c>
      <c r="AT985" s="26">
        <f>IF(G985="","",IF(AND(AS985="Evet",T985="Siparişiniz Teslim Edildi"),"Evet","Hayır"))</f>
        <v/>
      </c>
      <c r="AU985" s="26">
        <f>IF(G985="","",IF(AB985="Siparişinizin Montajı Yapıldı","Evet","Hayır"))</f>
        <v/>
      </c>
      <c r="AV985" s="27">
        <f>IF(G985="","",IF(AT985="Evet",AR985,IF(AU985="Evet",AP985,"")))</f>
        <v/>
      </c>
    </row>
    <row r="986">
      <c r="A986" s="23" t="n"/>
      <c r="B986" s="23" t="n"/>
      <c r="C986" s="23" t="n"/>
      <c r="D986" s="23" t="n"/>
      <c r="E986" s="23" t="n"/>
      <c r="F986" s="23" t="n"/>
      <c r="G986" s="23" t="n"/>
      <c r="H986" s="23" t="n"/>
      <c r="I986" s="23" t="n"/>
      <c r="J986" s="23" t="n"/>
      <c r="K986" s="23" t="n"/>
      <c r="L986" s="23" t="n"/>
      <c r="M986" s="23" t="n"/>
      <c r="N986" s="23" t="n"/>
      <c r="O986" s="23" t="n"/>
      <c r="P986" s="23" t="n"/>
      <c r="Q986" s="23" t="n"/>
      <c r="R986" s="23" t="n"/>
      <c r="S986" s="23" t="n"/>
      <c r="T986" s="23" t="n"/>
      <c r="U986" s="23" t="n"/>
      <c r="V986" s="23" t="n"/>
      <c r="W986" s="23" t="n"/>
      <c r="X986" s="23" t="n"/>
      <c r="Y986" s="23" t="n"/>
      <c r="Z986" s="23" t="n"/>
      <c r="AA986" s="23" t="n"/>
      <c r="AB986" s="23" t="n"/>
      <c r="AC986" s="23" t="n"/>
      <c r="AD986" s="23" t="n"/>
      <c r="AE986" s="23" t="n"/>
      <c r="AF986" s="23" t="n"/>
      <c r="AG986" s="23" t="n"/>
      <c r="AH986" s="23" t="n"/>
      <c r="AI986" s="23" t="n"/>
      <c r="AJ986" s="23" t="n"/>
      <c r="AK986" s="23" t="n"/>
      <c r="AL986" s="23" t="n"/>
      <c r="AM986" s="26">
        <f>IF(G986="","",G986&amp;"|"&amp;P986)</f>
        <v/>
      </c>
      <c r="AN986" s="27">
        <f>IF(I986="","",IFERROR(DATE(VALUE(RIGHT(I986,4)),VALUE(MID(I986,4,2)),VALUE(LEFT(I986,2))),""))</f>
        <v/>
      </c>
      <c r="AO986" s="27">
        <f>IF(Y986="","",IFERROR(DATE(VALUE(RIGHT(Y986,4)),VALUE(MID(Y986,4,2)),VALUE(LEFT(Y986,2))),""))</f>
        <v/>
      </c>
      <c r="AP986" s="27">
        <f>IF(AC986="","",IFERROR(DATE(VALUE(RIGHT(AC986,4)),VALUE(MID(AC986,4,2)),VALUE(LEFT(AC986,2))),""))</f>
        <v/>
      </c>
      <c r="AQ986" s="26">
        <f>IF(AI986="","",TRIM(LEFT(AI986,FIND(" ",AI986&amp;" ")-1)))</f>
        <v/>
      </c>
      <c r="AR986" s="27">
        <f>IF(AQ986="","",IFERROR(DATE(VALUE(MID(AQ986,FIND("/",AQ986,FIND("/",AQ986)+1)+1,4)),VALUE(LEFT(AQ986,FIND("/",AQ986)-1)),VALUE(MID(AQ986,FIND("/",AQ986)+1,FIND("/",AQ986,FIND("/",AQ986)+1)-FIND("/",AQ986)-1))),""))</f>
        <v/>
      </c>
      <c r="AS986" s="26">
        <f>IF(G986="","",IF(AND(AG986&lt;&gt;"",AG986&lt;&gt;"Bayi Aracı"),"Evet","Hayır"))</f>
        <v/>
      </c>
      <c r="AT986" s="26">
        <f>IF(G986="","",IF(AND(AS986="Evet",T986="Siparişiniz Teslim Edildi"),"Evet","Hayır"))</f>
        <v/>
      </c>
      <c r="AU986" s="26">
        <f>IF(G986="","",IF(AB986="Siparişinizin Montajı Yapıldı","Evet","Hayır"))</f>
        <v/>
      </c>
      <c r="AV986" s="27">
        <f>IF(G986="","",IF(AT986="Evet",AR986,IF(AU986="Evet",AP986,"")))</f>
        <v/>
      </c>
    </row>
    <row r="987">
      <c r="A987" s="23" t="n"/>
      <c r="B987" s="23" t="n"/>
      <c r="C987" s="23" t="n"/>
      <c r="D987" s="23" t="n"/>
      <c r="E987" s="23" t="n"/>
      <c r="F987" s="23" t="n"/>
      <c r="G987" s="23" t="n"/>
      <c r="H987" s="23" t="n"/>
      <c r="I987" s="23" t="n"/>
      <c r="J987" s="23" t="n"/>
      <c r="K987" s="23" t="n"/>
      <c r="L987" s="23" t="n"/>
      <c r="M987" s="23" t="n"/>
      <c r="N987" s="23" t="n"/>
      <c r="O987" s="23" t="n"/>
      <c r="P987" s="23" t="n"/>
      <c r="Q987" s="23" t="n"/>
      <c r="R987" s="23" t="n"/>
      <c r="S987" s="23" t="n"/>
      <c r="T987" s="23" t="n"/>
      <c r="U987" s="23" t="n"/>
      <c r="V987" s="23" t="n"/>
      <c r="W987" s="23" t="n"/>
      <c r="X987" s="23" t="n"/>
      <c r="Y987" s="23" t="n"/>
      <c r="Z987" s="23" t="n"/>
      <c r="AA987" s="23" t="n"/>
      <c r="AB987" s="23" t="n"/>
      <c r="AC987" s="23" t="n"/>
      <c r="AD987" s="23" t="n"/>
      <c r="AE987" s="23" t="n"/>
      <c r="AF987" s="23" t="n"/>
      <c r="AG987" s="23" t="n"/>
      <c r="AH987" s="23" t="n"/>
      <c r="AI987" s="23" t="n"/>
      <c r="AJ987" s="23" t="n"/>
      <c r="AK987" s="23" t="n"/>
      <c r="AL987" s="23" t="n"/>
      <c r="AM987" s="26">
        <f>IF(G987="","",G987&amp;"|"&amp;P987)</f>
        <v/>
      </c>
      <c r="AN987" s="27">
        <f>IF(I987="","",IFERROR(DATE(VALUE(RIGHT(I987,4)),VALUE(MID(I987,4,2)),VALUE(LEFT(I987,2))),""))</f>
        <v/>
      </c>
      <c r="AO987" s="27">
        <f>IF(Y987="","",IFERROR(DATE(VALUE(RIGHT(Y987,4)),VALUE(MID(Y987,4,2)),VALUE(LEFT(Y987,2))),""))</f>
        <v/>
      </c>
      <c r="AP987" s="27">
        <f>IF(AC987="","",IFERROR(DATE(VALUE(RIGHT(AC987,4)),VALUE(MID(AC987,4,2)),VALUE(LEFT(AC987,2))),""))</f>
        <v/>
      </c>
      <c r="AQ987" s="26">
        <f>IF(AI987="","",TRIM(LEFT(AI987,FIND(" ",AI987&amp;" ")-1)))</f>
        <v/>
      </c>
      <c r="AR987" s="27">
        <f>IF(AQ987="","",IFERROR(DATE(VALUE(MID(AQ987,FIND("/",AQ987,FIND("/",AQ987)+1)+1,4)),VALUE(LEFT(AQ987,FIND("/",AQ987)-1)),VALUE(MID(AQ987,FIND("/",AQ987)+1,FIND("/",AQ987,FIND("/",AQ987)+1)-FIND("/",AQ987)-1))),""))</f>
        <v/>
      </c>
      <c r="AS987" s="26">
        <f>IF(G987="","",IF(AND(AG987&lt;&gt;"",AG987&lt;&gt;"Bayi Aracı"),"Evet","Hayır"))</f>
        <v/>
      </c>
      <c r="AT987" s="26">
        <f>IF(G987="","",IF(AND(AS987="Evet",T987="Siparişiniz Teslim Edildi"),"Evet","Hayır"))</f>
        <v/>
      </c>
      <c r="AU987" s="26">
        <f>IF(G987="","",IF(AB987="Siparişinizin Montajı Yapıldı","Evet","Hayır"))</f>
        <v/>
      </c>
      <c r="AV987" s="27">
        <f>IF(G987="","",IF(AT987="Evet",AR987,IF(AU987="Evet",AP987,"")))</f>
        <v/>
      </c>
    </row>
    <row r="988">
      <c r="A988" s="23" t="n"/>
      <c r="B988" s="23" t="n"/>
      <c r="C988" s="23" t="n"/>
      <c r="D988" s="23" t="n"/>
      <c r="E988" s="23" t="n"/>
      <c r="F988" s="23" t="n"/>
      <c r="G988" s="23" t="n"/>
      <c r="H988" s="23" t="n"/>
      <c r="I988" s="23" t="n"/>
      <c r="J988" s="23" t="n"/>
      <c r="K988" s="23" t="n"/>
      <c r="L988" s="23" t="n"/>
      <c r="M988" s="23" t="n"/>
      <c r="N988" s="23" t="n"/>
      <c r="O988" s="23" t="n"/>
      <c r="P988" s="23" t="n"/>
      <c r="Q988" s="23" t="n"/>
      <c r="R988" s="23" t="n"/>
      <c r="S988" s="23" t="n"/>
      <c r="T988" s="23" t="n"/>
      <c r="U988" s="23" t="n"/>
      <c r="V988" s="23" t="n"/>
      <c r="W988" s="23" t="n"/>
      <c r="X988" s="23" t="n"/>
      <c r="Y988" s="23" t="n"/>
      <c r="Z988" s="23" t="n"/>
      <c r="AA988" s="23" t="n"/>
      <c r="AB988" s="23" t="n"/>
      <c r="AC988" s="23" t="n"/>
      <c r="AD988" s="23" t="n"/>
      <c r="AE988" s="23" t="n"/>
      <c r="AF988" s="23" t="n"/>
      <c r="AG988" s="23" t="n"/>
      <c r="AH988" s="23" t="n"/>
      <c r="AI988" s="23" t="n"/>
      <c r="AJ988" s="23" t="n"/>
      <c r="AK988" s="23" t="n"/>
      <c r="AL988" s="23" t="n"/>
      <c r="AM988" s="26">
        <f>IF(G988="","",G988&amp;"|"&amp;P988)</f>
        <v/>
      </c>
      <c r="AN988" s="27">
        <f>IF(I988="","",IFERROR(DATE(VALUE(RIGHT(I988,4)),VALUE(MID(I988,4,2)),VALUE(LEFT(I988,2))),""))</f>
        <v/>
      </c>
      <c r="AO988" s="27">
        <f>IF(Y988="","",IFERROR(DATE(VALUE(RIGHT(Y988,4)),VALUE(MID(Y988,4,2)),VALUE(LEFT(Y988,2))),""))</f>
        <v/>
      </c>
      <c r="AP988" s="27">
        <f>IF(AC988="","",IFERROR(DATE(VALUE(RIGHT(AC988,4)),VALUE(MID(AC988,4,2)),VALUE(LEFT(AC988,2))),""))</f>
        <v/>
      </c>
      <c r="AQ988" s="26">
        <f>IF(AI988="","",TRIM(LEFT(AI988,FIND(" ",AI988&amp;" ")-1)))</f>
        <v/>
      </c>
      <c r="AR988" s="27">
        <f>IF(AQ988="","",IFERROR(DATE(VALUE(MID(AQ988,FIND("/",AQ988,FIND("/",AQ988)+1)+1,4)),VALUE(LEFT(AQ988,FIND("/",AQ988)-1)),VALUE(MID(AQ988,FIND("/",AQ988)+1,FIND("/",AQ988,FIND("/",AQ988)+1)-FIND("/",AQ988)-1))),""))</f>
        <v/>
      </c>
      <c r="AS988" s="26">
        <f>IF(G988="","",IF(AND(AG988&lt;&gt;"",AG988&lt;&gt;"Bayi Aracı"),"Evet","Hayır"))</f>
        <v/>
      </c>
      <c r="AT988" s="26">
        <f>IF(G988="","",IF(AND(AS988="Evet",T988="Siparişiniz Teslim Edildi"),"Evet","Hayır"))</f>
        <v/>
      </c>
      <c r="AU988" s="26">
        <f>IF(G988="","",IF(AB988="Siparişinizin Montajı Yapıldı","Evet","Hayır"))</f>
        <v/>
      </c>
      <c r="AV988" s="27">
        <f>IF(G988="","",IF(AT988="Evet",AR988,IF(AU988="Evet",AP988,"")))</f>
        <v/>
      </c>
    </row>
    <row r="989">
      <c r="A989" s="23" t="n"/>
      <c r="B989" s="23" t="n"/>
      <c r="C989" s="23" t="n"/>
      <c r="D989" s="23" t="n"/>
      <c r="E989" s="23" t="n"/>
      <c r="F989" s="23" t="n"/>
      <c r="G989" s="23" t="n"/>
      <c r="H989" s="23" t="n"/>
      <c r="I989" s="23" t="n"/>
      <c r="J989" s="23" t="n"/>
      <c r="K989" s="23" t="n"/>
      <c r="L989" s="23" t="n"/>
      <c r="M989" s="23" t="n"/>
      <c r="N989" s="23" t="n"/>
      <c r="O989" s="23" t="n"/>
      <c r="P989" s="23" t="n"/>
      <c r="Q989" s="23" t="n"/>
      <c r="R989" s="23" t="n"/>
      <c r="S989" s="23" t="n"/>
      <c r="T989" s="23" t="n"/>
      <c r="U989" s="23" t="n"/>
      <c r="V989" s="23" t="n"/>
      <c r="W989" s="23" t="n"/>
      <c r="X989" s="23" t="n"/>
      <c r="Y989" s="23" t="n"/>
      <c r="Z989" s="23" t="n"/>
      <c r="AA989" s="23" t="n"/>
      <c r="AB989" s="23" t="n"/>
      <c r="AC989" s="23" t="n"/>
      <c r="AD989" s="23" t="n"/>
      <c r="AE989" s="23" t="n"/>
      <c r="AF989" s="23" t="n"/>
      <c r="AG989" s="23" t="n"/>
      <c r="AH989" s="23" t="n"/>
      <c r="AI989" s="23" t="n"/>
      <c r="AJ989" s="23" t="n"/>
      <c r="AK989" s="23" t="n"/>
      <c r="AL989" s="23" t="n"/>
      <c r="AM989" s="26">
        <f>IF(G989="","",G989&amp;"|"&amp;P989)</f>
        <v/>
      </c>
      <c r="AN989" s="27">
        <f>IF(I989="","",IFERROR(DATE(VALUE(RIGHT(I989,4)),VALUE(MID(I989,4,2)),VALUE(LEFT(I989,2))),""))</f>
        <v/>
      </c>
      <c r="AO989" s="27">
        <f>IF(Y989="","",IFERROR(DATE(VALUE(RIGHT(Y989,4)),VALUE(MID(Y989,4,2)),VALUE(LEFT(Y989,2))),""))</f>
        <v/>
      </c>
      <c r="AP989" s="27">
        <f>IF(AC989="","",IFERROR(DATE(VALUE(RIGHT(AC989,4)),VALUE(MID(AC989,4,2)),VALUE(LEFT(AC989,2))),""))</f>
        <v/>
      </c>
      <c r="AQ989" s="26">
        <f>IF(AI989="","",TRIM(LEFT(AI989,FIND(" ",AI989&amp;" ")-1)))</f>
        <v/>
      </c>
      <c r="AR989" s="27">
        <f>IF(AQ989="","",IFERROR(DATE(VALUE(MID(AQ989,FIND("/",AQ989,FIND("/",AQ989)+1)+1,4)),VALUE(LEFT(AQ989,FIND("/",AQ989)-1)),VALUE(MID(AQ989,FIND("/",AQ989)+1,FIND("/",AQ989,FIND("/",AQ989)+1)-FIND("/",AQ989)-1))),""))</f>
        <v/>
      </c>
      <c r="AS989" s="26">
        <f>IF(G989="","",IF(AND(AG989&lt;&gt;"",AG989&lt;&gt;"Bayi Aracı"),"Evet","Hayır"))</f>
        <v/>
      </c>
      <c r="AT989" s="26">
        <f>IF(G989="","",IF(AND(AS989="Evet",T989="Siparişiniz Teslim Edildi"),"Evet","Hayır"))</f>
        <v/>
      </c>
      <c r="AU989" s="26">
        <f>IF(G989="","",IF(AB989="Siparişinizin Montajı Yapıldı","Evet","Hayır"))</f>
        <v/>
      </c>
      <c r="AV989" s="27">
        <f>IF(G989="","",IF(AT989="Evet",AR989,IF(AU989="Evet",AP989,"")))</f>
        <v/>
      </c>
    </row>
    <row r="990">
      <c r="A990" s="23" t="n"/>
      <c r="B990" s="23" t="n"/>
      <c r="C990" s="23" t="n"/>
      <c r="D990" s="23" t="n"/>
      <c r="E990" s="23" t="n"/>
      <c r="F990" s="23" t="n"/>
      <c r="G990" s="23" t="n"/>
      <c r="H990" s="23" t="n"/>
      <c r="I990" s="23" t="n"/>
      <c r="J990" s="23" t="n"/>
      <c r="K990" s="23" t="n"/>
      <c r="L990" s="23" t="n"/>
      <c r="M990" s="23" t="n"/>
      <c r="N990" s="23" t="n"/>
      <c r="O990" s="23" t="n"/>
      <c r="P990" s="23" t="n"/>
      <c r="Q990" s="23" t="n"/>
      <c r="R990" s="23" t="n"/>
      <c r="S990" s="23" t="n"/>
      <c r="T990" s="23" t="n"/>
      <c r="U990" s="23" t="n"/>
      <c r="V990" s="23" t="n"/>
      <c r="W990" s="23" t="n"/>
      <c r="X990" s="23" t="n"/>
      <c r="Y990" s="23" t="n"/>
      <c r="Z990" s="23" t="n"/>
      <c r="AA990" s="23" t="n"/>
      <c r="AB990" s="23" t="n"/>
      <c r="AC990" s="23" t="n"/>
      <c r="AD990" s="23" t="n"/>
      <c r="AE990" s="23" t="n"/>
      <c r="AF990" s="23" t="n"/>
      <c r="AG990" s="23" t="n"/>
      <c r="AH990" s="23" t="n"/>
      <c r="AI990" s="23" t="n"/>
      <c r="AJ990" s="23" t="n"/>
      <c r="AK990" s="23" t="n"/>
      <c r="AL990" s="23" t="n"/>
      <c r="AM990" s="26">
        <f>IF(G990="","",G990&amp;"|"&amp;P990)</f>
        <v/>
      </c>
      <c r="AN990" s="27">
        <f>IF(I990="","",IFERROR(DATE(VALUE(RIGHT(I990,4)),VALUE(MID(I990,4,2)),VALUE(LEFT(I990,2))),""))</f>
        <v/>
      </c>
      <c r="AO990" s="27">
        <f>IF(Y990="","",IFERROR(DATE(VALUE(RIGHT(Y990,4)),VALUE(MID(Y990,4,2)),VALUE(LEFT(Y990,2))),""))</f>
        <v/>
      </c>
      <c r="AP990" s="27">
        <f>IF(AC990="","",IFERROR(DATE(VALUE(RIGHT(AC990,4)),VALUE(MID(AC990,4,2)),VALUE(LEFT(AC990,2))),""))</f>
        <v/>
      </c>
      <c r="AQ990" s="26">
        <f>IF(AI990="","",TRIM(LEFT(AI990,FIND(" ",AI990&amp;" ")-1)))</f>
        <v/>
      </c>
      <c r="AR990" s="27">
        <f>IF(AQ990="","",IFERROR(DATE(VALUE(MID(AQ990,FIND("/",AQ990,FIND("/",AQ990)+1)+1,4)),VALUE(LEFT(AQ990,FIND("/",AQ990)-1)),VALUE(MID(AQ990,FIND("/",AQ990)+1,FIND("/",AQ990,FIND("/",AQ990)+1)-FIND("/",AQ990)-1))),""))</f>
        <v/>
      </c>
      <c r="AS990" s="26">
        <f>IF(G990="","",IF(AND(AG990&lt;&gt;"",AG990&lt;&gt;"Bayi Aracı"),"Evet","Hayır"))</f>
        <v/>
      </c>
      <c r="AT990" s="26">
        <f>IF(G990="","",IF(AND(AS990="Evet",T990="Siparişiniz Teslim Edildi"),"Evet","Hayır"))</f>
        <v/>
      </c>
      <c r="AU990" s="26">
        <f>IF(G990="","",IF(AB990="Siparişinizin Montajı Yapıldı","Evet","Hayır"))</f>
        <v/>
      </c>
      <c r="AV990" s="27">
        <f>IF(G990="","",IF(AT990="Evet",AR990,IF(AU990="Evet",AP990,"")))</f>
        <v/>
      </c>
    </row>
    <row r="991">
      <c r="A991" s="23" t="n"/>
      <c r="B991" s="23" t="n"/>
      <c r="C991" s="23" t="n"/>
      <c r="D991" s="23" t="n"/>
      <c r="E991" s="23" t="n"/>
      <c r="F991" s="23" t="n"/>
      <c r="G991" s="23" t="n"/>
      <c r="H991" s="23" t="n"/>
      <c r="I991" s="23" t="n"/>
      <c r="J991" s="23" t="n"/>
      <c r="K991" s="23" t="n"/>
      <c r="L991" s="23" t="n"/>
      <c r="M991" s="23" t="n"/>
      <c r="N991" s="23" t="n"/>
      <c r="O991" s="23" t="n"/>
      <c r="P991" s="23" t="n"/>
      <c r="Q991" s="23" t="n"/>
      <c r="R991" s="23" t="n"/>
      <c r="S991" s="23" t="n"/>
      <c r="T991" s="23" t="n"/>
      <c r="U991" s="23" t="n"/>
      <c r="V991" s="23" t="n"/>
      <c r="W991" s="23" t="n"/>
      <c r="X991" s="23" t="n"/>
      <c r="Y991" s="23" t="n"/>
      <c r="Z991" s="23" t="n"/>
      <c r="AA991" s="23" t="n"/>
      <c r="AB991" s="23" t="n"/>
      <c r="AC991" s="23" t="n"/>
      <c r="AD991" s="23" t="n"/>
      <c r="AE991" s="23" t="n"/>
      <c r="AF991" s="23" t="n"/>
      <c r="AG991" s="23" t="n"/>
      <c r="AH991" s="23" t="n"/>
      <c r="AI991" s="23" t="n"/>
      <c r="AJ991" s="23" t="n"/>
      <c r="AK991" s="23" t="n"/>
      <c r="AL991" s="23" t="n"/>
      <c r="AM991" s="26">
        <f>IF(G991="","",G991&amp;"|"&amp;P991)</f>
        <v/>
      </c>
      <c r="AN991" s="27">
        <f>IF(I991="","",IFERROR(DATE(VALUE(RIGHT(I991,4)),VALUE(MID(I991,4,2)),VALUE(LEFT(I991,2))),""))</f>
        <v/>
      </c>
      <c r="AO991" s="27">
        <f>IF(Y991="","",IFERROR(DATE(VALUE(RIGHT(Y991,4)),VALUE(MID(Y991,4,2)),VALUE(LEFT(Y991,2))),""))</f>
        <v/>
      </c>
      <c r="AP991" s="27">
        <f>IF(AC991="","",IFERROR(DATE(VALUE(RIGHT(AC991,4)),VALUE(MID(AC991,4,2)),VALUE(LEFT(AC991,2))),""))</f>
        <v/>
      </c>
      <c r="AQ991" s="26">
        <f>IF(AI991="","",TRIM(LEFT(AI991,FIND(" ",AI991&amp;" ")-1)))</f>
        <v/>
      </c>
      <c r="AR991" s="27">
        <f>IF(AQ991="","",IFERROR(DATE(VALUE(MID(AQ991,FIND("/",AQ991,FIND("/",AQ991)+1)+1,4)),VALUE(LEFT(AQ991,FIND("/",AQ991)-1)),VALUE(MID(AQ991,FIND("/",AQ991)+1,FIND("/",AQ991,FIND("/",AQ991)+1)-FIND("/",AQ991)-1))),""))</f>
        <v/>
      </c>
      <c r="AS991" s="26">
        <f>IF(G991="","",IF(AND(AG991&lt;&gt;"",AG991&lt;&gt;"Bayi Aracı"),"Evet","Hayır"))</f>
        <v/>
      </c>
      <c r="AT991" s="26">
        <f>IF(G991="","",IF(AND(AS991="Evet",T991="Siparişiniz Teslim Edildi"),"Evet","Hayır"))</f>
        <v/>
      </c>
      <c r="AU991" s="26">
        <f>IF(G991="","",IF(AB991="Siparişinizin Montajı Yapıldı","Evet","Hayır"))</f>
        <v/>
      </c>
      <c r="AV991" s="27">
        <f>IF(G991="","",IF(AT991="Evet",AR991,IF(AU991="Evet",AP991,"")))</f>
        <v/>
      </c>
    </row>
    <row r="992">
      <c r="A992" s="23" t="n"/>
      <c r="B992" s="23" t="n"/>
      <c r="C992" s="23" t="n"/>
      <c r="D992" s="23" t="n"/>
      <c r="E992" s="23" t="n"/>
      <c r="F992" s="23" t="n"/>
      <c r="G992" s="23" t="n"/>
      <c r="H992" s="23" t="n"/>
      <c r="I992" s="23" t="n"/>
      <c r="J992" s="23" t="n"/>
      <c r="K992" s="23" t="n"/>
      <c r="L992" s="23" t="n"/>
      <c r="M992" s="23" t="n"/>
      <c r="N992" s="23" t="n"/>
      <c r="O992" s="23" t="n"/>
      <c r="P992" s="23" t="n"/>
      <c r="Q992" s="23" t="n"/>
      <c r="R992" s="23" t="n"/>
      <c r="S992" s="23" t="n"/>
      <c r="T992" s="23" t="n"/>
      <c r="U992" s="23" t="n"/>
      <c r="V992" s="23" t="n"/>
      <c r="W992" s="23" t="n"/>
      <c r="X992" s="23" t="n"/>
      <c r="Y992" s="23" t="n"/>
      <c r="Z992" s="23" t="n"/>
      <c r="AA992" s="23" t="n"/>
      <c r="AB992" s="23" t="n"/>
      <c r="AC992" s="23" t="n"/>
      <c r="AD992" s="23" t="n"/>
      <c r="AE992" s="23" t="n"/>
      <c r="AF992" s="23" t="n"/>
      <c r="AG992" s="23" t="n"/>
      <c r="AH992" s="23" t="n"/>
      <c r="AI992" s="23" t="n"/>
      <c r="AJ992" s="23" t="n"/>
      <c r="AK992" s="23" t="n"/>
      <c r="AL992" s="23" t="n"/>
      <c r="AM992" s="26">
        <f>IF(G992="","",G992&amp;"|"&amp;P992)</f>
        <v/>
      </c>
      <c r="AN992" s="27">
        <f>IF(I992="","",IFERROR(DATE(VALUE(RIGHT(I992,4)),VALUE(MID(I992,4,2)),VALUE(LEFT(I992,2))),""))</f>
        <v/>
      </c>
      <c r="AO992" s="27">
        <f>IF(Y992="","",IFERROR(DATE(VALUE(RIGHT(Y992,4)),VALUE(MID(Y992,4,2)),VALUE(LEFT(Y992,2))),""))</f>
        <v/>
      </c>
      <c r="AP992" s="27">
        <f>IF(AC992="","",IFERROR(DATE(VALUE(RIGHT(AC992,4)),VALUE(MID(AC992,4,2)),VALUE(LEFT(AC992,2))),""))</f>
        <v/>
      </c>
      <c r="AQ992" s="26">
        <f>IF(AI992="","",TRIM(LEFT(AI992,FIND(" ",AI992&amp;" ")-1)))</f>
        <v/>
      </c>
      <c r="AR992" s="27">
        <f>IF(AQ992="","",IFERROR(DATE(VALUE(MID(AQ992,FIND("/",AQ992,FIND("/",AQ992)+1)+1,4)),VALUE(LEFT(AQ992,FIND("/",AQ992)-1)),VALUE(MID(AQ992,FIND("/",AQ992)+1,FIND("/",AQ992,FIND("/",AQ992)+1)-FIND("/",AQ992)-1))),""))</f>
        <v/>
      </c>
      <c r="AS992" s="26">
        <f>IF(G992="","",IF(AND(AG992&lt;&gt;"",AG992&lt;&gt;"Bayi Aracı"),"Evet","Hayır"))</f>
        <v/>
      </c>
      <c r="AT992" s="26">
        <f>IF(G992="","",IF(AND(AS992="Evet",T992="Siparişiniz Teslim Edildi"),"Evet","Hayır"))</f>
        <v/>
      </c>
      <c r="AU992" s="26">
        <f>IF(G992="","",IF(AB992="Siparişinizin Montajı Yapıldı","Evet","Hayır"))</f>
        <v/>
      </c>
      <c r="AV992" s="27">
        <f>IF(G992="","",IF(AT992="Evet",AR992,IF(AU992="Evet",AP992,"")))</f>
        <v/>
      </c>
    </row>
    <row r="993">
      <c r="A993" s="23" t="n"/>
      <c r="B993" s="23" t="n"/>
      <c r="C993" s="23" t="n"/>
      <c r="D993" s="23" t="n"/>
      <c r="E993" s="23" t="n"/>
      <c r="F993" s="23" t="n"/>
      <c r="G993" s="23" t="n"/>
      <c r="H993" s="23" t="n"/>
      <c r="I993" s="23" t="n"/>
      <c r="J993" s="23" t="n"/>
      <c r="K993" s="23" t="n"/>
      <c r="L993" s="23" t="n"/>
      <c r="M993" s="23" t="n"/>
      <c r="N993" s="23" t="n"/>
      <c r="O993" s="23" t="n"/>
      <c r="P993" s="23" t="n"/>
      <c r="Q993" s="23" t="n"/>
      <c r="R993" s="23" t="n"/>
      <c r="S993" s="23" t="n"/>
      <c r="T993" s="23" t="n"/>
      <c r="U993" s="23" t="n"/>
      <c r="V993" s="23" t="n"/>
      <c r="W993" s="23" t="n"/>
      <c r="X993" s="23" t="n"/>
      <c r="Y993" s="23" t="n"/>
      <c r="Z993" s="23" t="n"/>
      <c r="AA993" s="23" t="n"/>
      <c r="AB993" s="23" t="n"/>
      <c r="AC993" s="23" t="n"/>
      <c r="AD993" s="23" t="n"/>
      <c r="AE993" s="23" t="n"/>
      <c r="AF993" s="23" t="n"/>
      <c r="AG993" s="23" t="n"/>
      <c r="AH993" s="23" t="n"/>
      <c r="AI993" s="23" t="n"/>
      <c r="AJ993" s="23" t="n"/>
      <c r="AK993" s="23" t="n"/>
      <c r="AL993" s="23" t="n"/>
      <c r="AM993" s="26">
        <f>IF(G993="","",G993&amp;"|"&amp;P993)</f>
        <v/>
      </c>
      <c r="AN993" s="27">
        <f>IF(I993="","",IFERROR(DATE(VALUE(RIGHT(I993,4)),VALUE(MID(I993,4,2)),VALUE(LEFT(I993,2))),""))</f>
        <v/>
      </c>
      <c r="AO993" s="27">
        <f>IF(Y993="","",IFERROR(DATE(VALUE(RIGHT(Y993,4)),VALUE(MID(Y993,4,2)),VALUE(LEFT(Y993,2))),""))</f>
        <v/>
      </c>
      <c r="AP993" s="27">
        <f>IF(AC993="","",IFERROR(DATE(VALUE(RIGHT(AC993,4)),VALUE(MID(AC993,4,2)),VALUE(LEFT(AC993,2))),""))</f>
        <v/>
      </c>
      <c r="AQ993" s="26">
        <f>IF(AI993="","",TRIM(LEFT(AI993,FIND(" ",AI993&amp;" ")-1)))</f>
        <v/>
      </c>
      <c r="AR993" s="27">
        <f>IF(AQ993="","",IFERROR(DATE(VALUE(MID(AQ993,FIND("/",AQ993,FIND("/",AQ993)+1)+1,4)),VALUE(LEFT(AQ993,FIND("/",AQ993)-1)),VALUE(MID(AQ993,FIND("/",AQ993)+1,FIND("/",AQ993,FIND("/",AQ993)+1)-FIND("/",AQ993)-1))),""))</f>
        <v/>
      </c>
      <c r="AS993" s="26">
        <f>IF(G993="","",IF(AND(AG993&lt;&gt;"",AG993&lt;&gt;"Bayi Aracı"),"Evet","Hayır"))</f>
        <v/>
      </c>
      <c r="AT993" s="26">
        <f>IF(G993="","",IF(AND(AS993="Evet",T993="Siparişiniz Teslim Edildi"),"Evet","Hayır"))</f>
        <v/>
      </c>
      <c r="AU993" s="26">
        <f>IF(G993="","",IF(AB993="Siparişinizin Montajı Yapıldı","Evet","Hayır"))</f>
        <v/>
      </c>
      <c r="AV993" s="27">
        <f>IF(G993="","",IF(AT993="Evet",AR993,IF(AU993="Evet",AP993,"")))</f>
        <v/>
      </c>
    </row>
    <row r="994">
      <c r="A994" s="23" t="n"/>
      <c r="B994" s="23" t="n"/>
      <c r="C994" s="23" t="n"/>
      <c r="D994" s="23" t="n"/>
      <c r="E994" s="23" t="n"/>
      <c r="F994" s="23" t="n"/>
      <c r="G994" s="23" t="n"/>
      <c r="H994" s="23" t="n"/>
      <c r="I994" s="23" t="n"/>
      <c r="J994" s="23" t="n"/>
      <c r="K994" s="23" t="n"/>
      <c r="L994" s="23" t="n"/>
      <c r="M994" s="23" t="n"/>
      <c r="N994" s="23" t="n"/>
      <c r="O994" s="23" t="n"/>
      <c r="P994" s="23" t="n"/>
      <c r="Q994" s="23" t="n"/>
      <c r="R994" s="23" t="n"/>
      <c r="S994" s="23" t="n"/>
      <c r="T994" s="23" t="n"/>
      <c r="U994" s="23" t="n"/>
      <c r="V994" s="23" t="n"/>
      <c r="W994" s="23" t="n"/>
      <c r="X994" s="23" t="n"/>
      <c r="Y994" s="23" t="n"/>
      <c r="Z994" s="23" t="n"/>
      <c r="AA994" s="23" t="n"/>
      <c r="AB994" s="23" t="n"/>
      <c r="AC994" s="23" t="n"/>
      <c r="AD994" s="23" t="n"/>
      <c r="AE994" s="23" t="n"/>
      <c r="AF994" s="23" t="n"/>
      <c r="AG994" s="23" t="n"/>
      <c r="AH994" s="23" t="n"/>
      <c r="AI994" s="23" t="n"/>
      <c r="AJ994" s="23" t="n"/>
      <c r="AK994" s="23" t="n"/>
      <c r="AL994" s="23" t="n"/>
      <c r="AM994" s="26">
        <f>IF(G994="","",G994&amp;"|"&amp;P994)</f>
        <v/>
      </c>
      <c r="AN994" s="27">
        <f>IF(I994="","",IFERROR(DATE(VALUE(RIGHT(I994,4)),VALUE(MID(I994,4,2)),VALUE(LEFT(I994,2))),""))</f>
        <v/>
      </c>
      <c r="AO994" s="27">
        <f>IF(Y994="","",IFERROR(DATE(VALUE(RIGHT(Y994,4)),VALUE(MID(Y994,4,2)),VALUE(LEFT(Y994,2))),""))</f>
        <v/>
      </c>
      <c r="AP994" s="27">
        <f>IF(AC994="","",IFERROR(DATE(VALUE(RIGHT(AC994,4)),VALUE(MID(AC994,4,2)),VALUE(LEFT(AC994,2))),""))</f>
        <v/>
      </c>
      <c r="AQ994" s="26">
        <f>IF(AI994="","",TRIM(LEFT(AI994,FIND(" ",AI994&amp;" ")-1)))</f>
        <v/>
      </c>
      <c r="AR994" s="27">
        <f>IF(AQ994="","",IFERROR(DATE(VALUE(MID(AQ994,FIND("/",AQ994,FIND("/",AQ994)+1)+1,4)),VALUE(LEFT(AQ994,FIND("/",AQ994)-1)),VALUE(MID(AQ994,FIND("/",AQ994)+1,FIND("/",AQ994,FIND("/",AQ994)+1)-FIND("/",AQ994)-1))),""))</f>
        <v/>
      </c>
      <c r="AS994" s="26">
        <f>IF(G994="","",IF(AND(AG994&lt;&gt;"",AG994&lt;&gt;"Bayi Aracı"),"Evet","Hayır"))</f>
        <v/>
      </c>
      <c r="AT994" s="26">
        <f>IF(G994="","",IF(AND(AS994="Evet",T994="Siparişiniz Teslim Edildi"),"Evet","Hayır"))</f>
        <v/>
      </c>
      <c r="AU994" s="26">
        <f>IF(G994="","",IF(AB994="Siparişinizin Montajı Yapıldı","Evet","Hayır"))</f>
        <v/>
      </c>
      <c r="AV994" s="27">
        <f>IF(G994="","",IF(AT994="Evet",AR994,IF(AU994="Evet",AP994,"")))</f>
        <v/>
      </c>
    </row>
    <row r="995">
      <c r="A995" s="23" t="n"/>
      <c r="B995" s="23" t="n"/>
      <c r="C995" s="23" t="n"/>
      <c r="D995" s="23" t="n"/>
      <c r="E995" s="23" t="n"/>
      <c r="F995" s="23" t="n"/>
      <c r="G995" s="23" t="n"/>
      <c r="H995" s="23" t="n"/>
      <c r="I995" s="23" t="n"/>
      <c r="J995" s="23" t="n"/>
      <c r="K995" s="23" t="n"/>
      <c r="L995" s="23" t="n"/>
      <c r="M995" s="23" t="n"/>
      <c r="N995" s="23" t="n"/>
      <c r="O995" s="23" t="n"/>
      <c r="P995" s="23" t="n"/>
      <c r="Q995" s="23" t="n"/>
      <c r="R995" s="23" t="n"/>
      <c r="S995" s="23" t="n"/>
      <c r="T995" s="23" t="n"/>
      <c r="U995" s="23" t="n"/>
      <c r="V995" s="23" t="n"/>
      <c r="W995" s="23" t="n"/>
      <c r="X995" s="23" t="n"/>
      <c r="Y995" s="23" t="n"/>
      <c r="Z995" s="23" t="n"/>
      <c r="AA995" s="23" t="n"/>
      <c r="AB995" s="23" t="n"/>
      <c r="AC995" s="23" t="n"/>
      <c r="AD995" s="23" t="n"/>
      <c r="AE995" s="23" t="n"/>
      <c r="AF995" s="23" t="n"/>
      <c r="AG995" s="23" t="n"/>
      <c r="AH995" s="23" t="n"/>
      <c r="AI995" s="23" t="n"/>
      <c r="AJ995" s="23" t="n"/>
      <c r="AK995" s="23" t="n"/>
      <c r="AL995" s="23" t="n"/>
      <c r="AM995" s="26">
        <f>IF(G995="","",G995&amp;"|"&amp;P995)</f>
        <v/>
      </c>
      <c r="AN995" s="27">
        <f>IF(I995="","",IFERROR(DATE(VALUE(RIGHT(I995,4)),VALUE(MID(I995,4,2)),VALUE(LEFT(I995,2))),""))</f>
        <v/>
      </c>
      <c r="AO995" s="27">
        <f>IF(Y995="","",IFERROR(DATE(VALUE(RIGHT(Y995,4)),VALUE(MID(Y995,4,2)),VALUE(LEFT(Y995,2))),""))</f>
        <v/>
      </c>
      <c r="AP995" s="27">
        <f>IF(AC995="","",IFERROR(DATE(VALUE(RIGHT(AC995,4)),VALUE(MID(AC995,4,2)),VALUE(LEFT(AC995,2))),""))</f>
        <v/>
      </c>
      <c r="AQ995" s="26">
        <f>IF(AI995="","",TRIM(LEFT(AI995,FIND(" ",AI995&amp;" ")-1)))</f>
        <v/>
      </c>
      <c r="AR995" s="27">
        <f>IF(AQ995="","",IFERROR(DATE(VALUE(MID(AQ995,FIND("/",AQ995,FIND("/",AQ995)+1)+1,4)),VALUE(LEFT(AQ995,FIND("/",AQ995)-1)),VALUE(MID(AQ995,FIND("/",AQ995)+1,FIND("/",AQ995,FIND("/",AQ995)+1)-FIND("/",AQ995)-1))),""))</f>
        <v/>
      </c>
      <c r="AS995" s="26">
        <f>IF(G995="","",IF(AND(AG995&lt;&gt;"",AG995&lt;&gt;"Bayi Aracı"),"Evet","Hayır"))</f>
        <v/>
      </c>
      <c r="AT995" s="26">
        <f>IF(G995="","",IF(AND(AS995="Evet",T995="Siparişiniz Teslim Edildi"),"Evet","Hayır"))</f>
        <v/>
      </c>
      <c r="AU995" s="26">
        <f>IF(G995="","",IF(AB995="Siparişinizin Montajı Yapıldı","Evet","Hayır"))</f>
        <v/>
      </c>
      <c r="AV995" s="27">
        <f>IF(G995="","",IF(AT995="Evet",AR995,IF(AU995="Evet",AP995,"")))</f>
        <v/>
      </c>
    </row>
    <row r="996">
      <c r="A996" s="23" t="n"/>
      <c r="B996" s="23" t="n"/>
      <c r="C996" s="23" t="n"/>
      <c r="D996" s="23" t="n"/>
      <c r="E996" s="23" t="n"/>
      <c r="F996" s="23" t="n"/>
      <c r="G996" s="23" t="n"/>
      <c r="H996" s="23" t="n"/>
      <c r="I996" s="23" t="n"/>
      <c r="J996" s="23" t="n"/>
      <c r="K996" s="23" t="n"/>
      <c r="L996" s="23" t="n"/>
      <c r="M996" s="23" t="n"/>
      <c r="N996" s="23" t="n"/>
      <c r="O996" s="23" t="n"/>
      <c r="P996" s="23" t="n"/>
      <c r="Q996" s="23" t="n"/>
      <c r="R996" s="23" t="n"/>
      <c r="S996" s="23" t="n"/>
      <c r="T996" s="23" t="n"/>
      <c r="U996" s="23" t="n"/>
      <c r="V996" s="23" t="n"/>
      <c r="W996" s="23" t="n"/>
      <c r="X996" s="23" t="n"/>
      <c r="Y996" s="23" t="n"/>
      <c r="Z996" s="23" t="n"/>
      <c r="AA996" s="23" t="n"/>
      <c r="AB996" s="23" t="n"/>
      <c r="AC996" s="23" t="n"/>
      <c r="AD996" s="23" t="n"/>
      <c r="AE996" s="23" t="n"/>
      <c r="AF996" s="23" t="n"/>
      <c r="AG996" s="23" t="n"/>
      <c r="AH996" s="23" t="n"/>
      <c r="AI996" s="23" t="n"/>
      <c r="AJ996" s="23" t="n"/>
      <c r="AK996" s="23" t="n"/>
      <c r="AL996" s="23" t="n"/>
      <c r="AM996" s="26">
        <f>IF(G996="","",G996&amp;"|"&amp;P996)</f>
        <v/>
      </c>
      <c r="AN996" s="27">
        <f>IF(I996="","",IFERROR(DATE(VALUE(RIGHT(I996,4)),VALUE(MID(I996,4,2)),VALUE(LEFT(I996,2))),""))</f>
        <v/>
      </c>
      <c r="AO996" s="27">
        <f>IF(Y996="","",IFERROR(DATE(VALUE(RIGHT(Y996,4)),VALUE(MID(Y996,4,2)),VALUE(LEFT(Y996,2))),""))</f>
        <v/>
      </c>
      <c r="AP996" s="27">
        <f>IF(AC996="","",IFERROR(DATE(VALUE(RIGHT(AC996,4)),VALUE(MID(AC996,4,2)),VALUE(LEFT(AC996,2))),""))</f>
        <v/>
      </c>
      <c r="AQ996" s="26">
        <f>IF(AI996="","",TRIM(LEFT(AI996,FIND(" ",AI996&amp;" ")-1)))</f>
        <v/>
      </c>
      <c r="AR996" s="27">
        <f>IF(AQ996="","",IFERROR(DATE(VALUE(MID(AQ996,FIND("/",AQ996,FIND("/",AQ996)+1)+1,4)),VALUE(LEFT(AQ996,FIND("/",AQ996)-1)),VALUE(MID(AQ996,FIND("/",AQ996)+1,FIND("/",AQ996,FIND("/",AQ996)+1)-FIND("/",AQ996)-1))),""))</f>
        <v/>
      </c>
      <c r="AS996" s="26">
        <f>IF(G996="","",IF(AND(AG996&lt;&gt;"",AG996&lt;&gt;"Bayi Aracı"),"Evet","Hayır"))</f>
        <v/>
      </c>
      <c r="AT996" s="26">
        <f>IF(G996="","",IF(AND(AS996="Evet",T996="Siparişiniz Teslim Edildi"),"Evet","Hayır"))</f>
        <v/>
      </c>
      <c r="AU996" s="26">
        <f>IF(G996="","",IF(AB996="Siparişinizin Montajı Yapıldı","Evet","Hayır"))</f>
        <v/>
      </c>
      <c r="AV996" s="27">
        <f>IF(G996="","",IF(AT996="Evet",AR996,IF(AU996="Evet",AP996,"")))</f>
        <v/>
      </c>
    </row>
    <row r="997">
      <c r="A997" s="23" t="n"/>
      <c r="B997" s="23" t="n"/>
      <c r="C997" s="23" t="n"/>
      <c r="D997" s="23" t="n"/>
      <c r="E997" s="23" t="n"/>
      <c r="F997" s="23" t="n"/>
      <c r="G997" s="23" t="n"/>
      <c r="H997" s="23" t="n"/>
      <c r="I997" s="23" t="n"/>
      <c r="J997" s="23" t="n"/>
      <c r="K997" s="23" t="n"/>
      <c r="L997" s="23" t="n"/>
      <c r="M997" s="23" t="n"/>
      <c r="N997" s="23" t="n"/>
      <c r="O997" s="23" t="n"/>
      <c r="P997" s="23" t="n"/>
      <c r="Q997" s="23" t="n"/>
      <c r="R997" s="23" t="n"/>
      <c r="S997" s="23" t="n"/>
      <c r="T997" s="23" t="n"/>
      <c r="U997" s="23" t="n"/>
      <c r="V997" s="23" t="n"/>
      <c r="W997" s="23" t="n"/>
      <c r="X997" s="23" t="n"/>
      <c r="Y997" s="23" t="n"/>
      <c r="Z997" s="23" t="n"/>
      <c r="AA997" s="23" t="n"/>
      <c r="AB997" s="23" t="n"/>
      <c r="AC997" s="23" t="n"/>
      <c r="AD997" s="23" t="n"/>
      <c r="AE997" s="23" t="n"/>
      <c r="AF997" s="23" t="n"/>
      <c r="AG997" s="23" t="n"/>
      <c r="AH997" s="23" t="n"/>
      <c r="AI997" s="23" t="n"/>
      <c r="AJ997" s="23" t="n"/>
      <c r="AK997" s="23" t="n"/>
      <c r="AL997" s="23" t="n"/>
      <c r="AM997" s="26">
        <f>IF(G997="","",G997&amp;"|"&amp;P997)</f>
        <v/>
      </c>
      <c r="AN997" s="27">
        <f>IF(I997="","",IFERROR(DATE(VALUE(RIGHT(I997,4)),VALUE(MID(I997,4,2)),VALUE(LEFT(I997,2))),""))</f>
        <v/>
      </c>
      <c r="AO997" s="27">
        <f>IF(Y997="","",IFERROR(DATE(VALUE(RIGHT(Y997,4)),VALUE(MID(Y997,4,2)),VALUE(LEFT(Y997,2))),""))</f>
        <v/>
      </c>
      <c r="AP997" s="27">
        <f>IF(AC997="","",IFERROR(DATE(VALUE(RIGHT(AC997,4)),VALUE(MID(AC997,4,2)),VALUE(LEFT(AC997,2))),""))</f>
        <v/>
      </c>
      <c r="AQ997" s="26">
        <f>IF(AI997="","",TRIM(LEFT(AI997,FIND(" ",AI997&amp;" ")-1)))</f>
        <v/>
      </c>
      <c r="AR997" s="27">
        <f>IF(AQ997="","",IFERROR(DATE(VALUE(MID(AQ997,FIND("/",AQ997,FIND("/",AQ997)+1)+1,4)),VALUE(LEFT(AQ997,FIND("/",AQ997)-1)),VALUE(MID(AQ997,FIND("/",AQ997)+1,FIND("/",AQ997,FIND("/",AQ997)+1)-FIND("/",AQ997)-1))),""))</f>
        <v/>
      </c>
      <c r="AS997" s="26">
        <f>IF(G997="","",IF(AND(AG997&lt;&gt;"",AG997&lt;&gt;"Bayi Aracı"),"Evet","Hayır"))</f>
        <v/>
      </c>
      <c r="AT997" s="26">
        <f>IF(G997="","",IF(AND(AS997="Evet",T997="Siparişiniz Teslim Edildi"),"Evet","Hayır"))</f>
        <v/>
      </c>
      <c r="AU997" s="26">
        <f>IF(G997="","",IF(AB997="Siparişinizin Montajı Yapıldı","Evet","Hayır"))</f>
        <v/>
      </c>
      <c r="AV997" s="27">
        <f>IF(G997="","",IF(AT997="Evet",AR997,IF(AU997="Evet",AP997,"")))</f>
        <v/>
      </c>
    </row>
    <row r="998">
      <c r="A998" s="23" t="n"/>
      <c r="B998" s="23" t="n"/>
      <c r="C998" s="23" t="n"/>
      <c r="D998" s="23" t="n"/>
      <c r="E998" s="23" t="n"/>
      <c r="F998" s="23" t="n"/>
      <c r="G998" s="23" t="n"/>
      <c r="H998" s="23" t="n"/>
      <c r="I998" s="23" t="n"/>
      <c r="J998" s="23" t="n"/>
      <c r="K998" s="23" t="n"/>
      <c r="L998" s="23" t="n"/>
      <c r="M998" s="23" t="n"/>
      <c r="N998" s="23" t="n"/>
      <c r="O998" s="23" t="n"/>
      <c r="P998" s="23" t="n"/>
      <c r="Q998" s="23" t="n"/>
      <c r="R998" s="23" t="n"/>
      <c r="S998" s="23" t="n"/>
      <c r="T998" s="23" t="n"/>
      <c r="U998" s="23" t="n"/>
      <c r="V998" s="23" t="n"/>
      <c r="W998" s="23" t="n"/>
      <c r="X998" s="23" t="n"/>
      <c r="Y998" s="23" t="n"/>
      <c r="Z998" s="23" t="n"/>
      <c r="AA998" s="23" t="n"/>
      <c r="AB998" s="23" t="n"/>
      <c r="AC998" s="23" t="n"/>
      <c r="AD998" s="23" t="n"/>
      <c r="AE998" s="23" t="n"/>
      <c r="AF998" s="23" t="n"/>
      <c r="AG998" s="23" t="n"/>
      <c r="AH998" s="23" t="n"/>
      <c r="AI998" s="23" t="n"/>
      <c r="AJ998" s="23" t="n"/>
      <c r="AK998" s="23" t="n"/>
      <c r="AL998" s="23" t="n"/>
      <c r="AM998" s="26">
        <f>IF(G998="","",G998&amp;"|"&amp;P998)</f>
        <v/>
      </c>
      <c r="AN998" s="27">
        <f>IF(I998="","",IFERROR(DATE(VALUE(RIGHT(I998,4)),VALUE(MID(I998,4,2)),VALUE(LEFT(I998,2))),""))</f>
        <v/>
      </c>
      <c r="AO998" s="27">
        <f>IF(Y998="","",IFERROR(DATE(VALUE(RIGHT(Y998,4)),VALUE(MID(Y998,4,2)),VALUE(LEFT(Y998,2))),""))</f>
        <v/>
      </c>
      <c r="AP998" s="27">
        <f>IF(AC998="","",IFERROR(DATE(VALUE(RIGHT(AC998,4)),VALUE(MID(AC998,4,2)),VALUE(LEFT(AC998,2))),""))</f>
        <v/>
      </c>
      <c r="AQ998" s="26">
        <f>IF(AI998="","",TRIM(LEFT(AI998,FIND(" ",AI998&amp;" ")-1)))</f>
        <v/>
      </c>
      <c r="AR998" s="27">
        <f>IF(AQ998="","",IFERROR(DATE(VALUE(MID(AQ998,FIND("/",AQ998,FIND("/",AQ998)+1)+1,4)),VALUE(LEFT(AQ998,FIND("/",AQ998)-1)),VALUE(MID(AQ998,FIND("/",AQ998)+1,FIND("/",AQ998,FIND("/",AQ998)+1)-FIND("/",AQ998)-1))),""))</f>
        <v/>
      </c>
      <c r="AS998" s="26">
        <f>IF(G998="","",IF(AND(AG998&lt;&gt;"",AG998&lt;&gt;"Bayi Aracı"),"Evet","Hayır"))</f>
        <v/>
      </c>
      <c r="AT998" s="26">
        <f>IF(G998="","",IF(AND(AS998="Evet",T998="Siparişiniz Teslim Edildi"),"Evet","Hayır"))</f>
        <v/>
      </c>
      <c r="AU998" s="26">
        <f>IF(G998="","",IF(AB998="Siparişinizin Montajı Yapıldı","Evet","Hayır"))</f>
        <v/>
      </c>
      <c r="AV998" s="27">
        <f>IF(G998="","",IF(AT998="Evet",AR998,IF(AU998="Evet",AP998,"")))</f>
        <v/>
      </c>
    </row>
    <row r="999">
      <c r="A999" s="23" t="n"/>
      <c r="B999" s="23" t="n"/>
      <c r="C999" s="23" t="n"/>
      <c r="D999" s="23" t="n"/>
      <c r="E999" s="23" t="n"/>
      <c r="F999" s="23" t="n"/>
      <c r="G999" s="23" t="n"/>
      <c r="H999" s="23" t="n"/>
      <c r="I999" s="23" t="n"/>
      <c r="J999" s="23" t="n"/>
      <c r="K999" s="23" t="n"/>
      <c r="L999" s="23" t="n"/>
      <c r="M999" s="23" t="n"/>
      <c r="N999" s="23" t="n"/>
      <c r="O999" s="23" t="n"/>
      <c r="P999" s="23" t="n"/>
      <c r="Q999" s="23" t="n"/>
      <c r="R999" s="23" t="n"/>
      <c r="S999" s="23" t="n"/>
      <c r="T999" s="23" t="n"/>
      <c r="U999" s="23" t="n"/>
      <c r="V999" s="23" t="n"/>
      <c r="W999" s="23" t="n"/>
      <c r="X999" s="23" t="n"/>
      <c r="Y999" s="23" t="n"/>
      <c r="Z999" s="23" t="n"/>
      <c r="AA999" s="23" t="n"/>
      <c r="AB999" s="23" t="n"/>
      <c r="AC999" s="23" t="n"/>
      <c r="AD999" s="23" t="n"/>
      <c r="AE999" s="23" t="n"/>
      <c r="AF999" s="23" t="n"/>
      <c r="AG999" s="23" t="n"/>
      <c r="AH999" s="23" t="n"/>
      <c r="AI999" s="23" t="n"/>
      <c r="AJ999" s="23" t="n"/>
      <c r="AK999" s="23" t="n"/>
      <c r="AL999" s="23" t="n"/>
      <c r="AM999" s="26">
        <f>IF(G999="","",G999&amp;"|"&amp;P999)</f>
        <v/>
      </c>
      <c r="AN999" s="27">
        <f>IF(I999="","",IFERROR(DATE(VALUE(RIGHT(I999,4)),VALUE(MID(I999,4,2)),VALUE(LEFT(I999,2))),""))</f>
        <v/>
      </c>
      <c r="AO999" s="27">
        <f>IF(Y999="","",IFERROR(DATE(VALUE(RIGHT(Y999,4)),VALUE(MID(Y999,4,2)),VALUE(LEFT(Y999,2))),""))</f>
        <v/>
      </c>
      <c r="AP999" s="27">
        <f>IF(AC999="","",IFERROR(DATE(VALUE(RIGHT(AC999,4)),VALUE(MID(AC999,4,2)),VALUE(LEFT(AC999,2))),""))</f>
        <v/>
      </c>
      <c r="AQ999" s="26">
        <f>IF(AI999="","",TRIM(LEFT(AI999,FIND(" ",AI999&amp;" ")-1)))</f>
        <v/>
      </c>
      <c r="AR999" s="27">
        <f>IF(AQ999="","",IFERROR(DATE(VALUE(MID(AQ999,FIND("/",AQ999,FIND("/",AQ999)+1)+1,4)),VALUE(LEFT(AQ999,FIND("/",AQ999)-1)),VALUE(MID(AQ999,FIND("/",AQ999)+1,FIND("/",AQ999,FIND("/",AQ999)+1)-FIND("/",AQ999)-1))),""))</f>
        <v/>
      </c>
      <c r="AS999" s="26">
        <f>IF(G999="","",IF(AND(AG999&lt;&gt;"",AG999&lt;&gt;"Bayi Aracı"),"Evet","Hayır"))</f>
        <v/>
      </c>
      <c r="AT999" s="26">
        <f>IF(G999="","",IF(AND(AS999="Evet",T999="Siparişiniz Teslim Edildi"),"Evet","Hayır"))</f>
        <v/>
      </c>
      <c r="AU999" s="26">
        <f>IF(G999="","",IF(AB999="Siparişinizin Montajı Yapıldı","Evet","Hayır"))</f>
        <v/>
      </c>
      <c r="AV999" s="27">
        <f>IF(G999="","",IF(AT999="Evet",AR999,IF(AU999="Evet",AP999,"")))</f>
        <v/>
      </c>
    </row>
    <row r="1000">
      <c r="A1000" s="23" t="n"/>
      <c r="B1000" s="23" t="n"/>
      <c r="C1000" s="23" t="n"/>
      <c r="D1000" s="23" t="n"/>
      <c r="E1000" s="23" t="n"/>
      <c r="F1000" s="23" t="n"/>
      <c r="G1000" s="23" t="n"/>
      <c r="H1000" s="23" t="n"/>
      <c r="I1000" s="23" t="n"/>
      <c r="J1000" s="23" t="n"/>
      <c r="K1000" s="23" t="n"/>
      <c r="L1000" s="23" t="n"/>
      <c r="M1000" s="23" t="n"/>
      <c r="N1000" s="23" t="n"/>
      <c r="O1000" s="23" t="n"/>
      <c r="P1000" s="23" t="n"/>
      <c r="Q1000" s="23" t="n"/>
      <c r="R1000" s="23" t="n"/>
      <c r="S1000" s="23" t="n"/>
      <c r="T1000" s="23" t="n"/>
      <c r="U1000" s="23" t="n"/>
      <c r="V1000" s="23" t="n"/>
      <c r="W1000" s="23" t="n"/>
      <c r="X1000" s="23" t="n"/>
      <c r="Y1000" s="23" t="n"/>
      <c r="Z1000" s="23" t="n"/>
      <c r="AA1000" s="23" t="n"/>
      <c r="AB1000" s="23" t="n"/>
      <c r="AC1000" s="23" t="n"/>
      <c r="AD1000" s="23" t="n"/>
      <c r="AE1000" s="23" t="n"/>
      <c r="AF1000" s="23" t="n"/>
      <c r="AG1000" s="23" t="n"/>
      <c r="AH1000" s="23" t="n"/>
      <c r="AI1000" s="23" t="n"/>
      <c r="AJ1000" s="23" t="n"/>
      <c r="AK1000" s="23" t="n"/>
      <c r="AL1000" s="23" t="n"/>
      <c r="AM1000" s="26">
        <f>IF(G1000="","",G1000&amp;"|"&amp;P1000)</f>
        <v/>
      </c>
      <c r="AN1000" s="27">
        <f>IF(I1000="","",IFERROR(DATE(VALUE(RIGHT(I1000,4)),VALUE(MID(I1000,4,2)),VALUE(LEFT(I1000,2))),""))</f>
        <v/>
      </c>
      <c r="AO1000" s="27">
        <f>IF(Y1000="","",IFERROR(DATE(VALUE(RIGHT(Y1000,4)),VALUE(MID(Y1000,4,2)),VALUE(LEFT(Y1000,2))),""))</f>
        <v/>
      </c>
      <c r="AP1000" s="27">
        <f>IF(AC1000="","",IFERROR(DATE(VALUE(RIGHT(AC1000,4)),VALUE(MID(AC1000,4,2)),VALUE(LEFT(AC1000,2))),""))</f>
        <v/>
      </c>
      <c r="AQ1000" s="26">
        <f>IF(AI1000="","",TRIM(LEFT(AI1000,FIND(" ",AI1000&amp;" ")-1)))</f>
        <v/>
      </c>
      <c r="AR1000" s="27">
        <f>IF(AQ1000="","",IFERROR(DATE(VALUE(MID(AQ1000,FIND("/",AQ1000,FIND("/",AQ1000)+1)+1,4)),VALUE(LEFT(AQ1000,FIND("/",AQ1000)-1)),VALUE(MID(AQ1000,FIND("/",AQ1000)+1,FIND("/",AQ1000,FIND("/",AQ1000)+1)-FIND("/",AQ1000)-1))),""))</f>
        <v/>
      </c>
      <c r="AS1000" s="26">
        <f>IF(G1000="","",IF(AND(AG1000&lt;&gt;"",AG1000&lt;&gt;"Bayi Aracı"),"Evet","Hayır"))</f>
        <v/>
      </c>
      <c r="AT1000" s="26">
        <f>IF(G1000="","",IF(AND(AS1000="Evet",T1000="Siparişiniz Teslim Edildi"),"Evet","Hayır"))</f>
        <v/>
      </c>
      <c r="AU1000" s="26">
        <f>IF(G1000="","",IF(AB1000="Siparişinizin Montajı Yapıldı","Evet","Hayır"))</f>
        <v/>
      </c>
      <c r="AV1000" s="27">
        <f>IF(G1000="","",IF(AT1000="Evet",AR1000,IF(AU1000="Evet",AP1000,"")))</f>
        <v/>
      </c>
    </row>
    <row r="1001">
      <c r="A1001" s="23" t="n"/>
      <c r="B1001" s="23" t="n"/>
      <c r="C1001" s="23" t="n"/>
      <c r="D1001" s="23" t="n"/>
      <c r="E1001" s="23" t="n"/>
      <c r="F1001" s="23" t="n"/>
      <c r="G1001" s="23" t="n"/>
      <c r="H1001" s="23" t="n"/>
      <c r="I1001" s="23" t="n"/>
      <c r="J1001" s="23" t="n"/>
      <c r="K1001" s="23" t="n"/>
      <c r="L1001" s="23" t="n"/>
      <c r="M1001" s="23" t="n"/>
      <c r="N1001" s="23" t="n"/>
      <c r="O1001" s="23" t="n"/>
      <c r="P1001" s="23" t="n"/>
      <c r="Q1001" s="23" t="n"/>
      <c r="R1001" s="23" t="n"/>
      <c r="S1001" s="23" t="n"/>
      <c r="T1001" s="23" t="n"/>
      <c r="U1001" s="23" t="n"/>
      <c r="V1001" s="23" t="n"/>
      <c r="W1001" s="23" t="n"/>
      <c r="X1001" s="23" t="n"/>
      <c r="Y1001" s="23" t="n"/>
      <c r="Z1001" s="23" t="n"/>
      <c r="AA1001" s="23" t="n"/>
      <c r="AB1001" s="23" t="n"/>
      <c r="AC1001" s="23" t="n"/>
      <c r="AD1001" s="23" t="n"/>
      <c r="AE1001" s="23" t="n"/>
      <c r="AF1001" s="23" t="n"/>
      <c r="AG1001" s="23" t="n"/>
      <c r="AH1001" s="23" t="n"/>
      <c r="AI1001" s="23" t="n"/>
      <c r="AJ1001" s="23" t="n"/>
      <c r="AK1001" s="23" t="n"/>
      <c r="AL1001" s="23" t="n"/>
      <c r="AM1001" s="26">
        <f>IF(G1001="","",G1001&amp;"|"&amp;P1001)</f>
        <v/>
      </c>
      <c r="AN1001" s="27">
        <f>IF(I1001="","",IFERROR(DATE(VALUE(RIGHT(I1001,4)),VALUE(MID(I1001,4,2)),VALUE(LEFT(I1001,2))),""))</f>
        <v/>
      </c>
      <c r="AO1001" s="27">
        <f>IF(Y1001="","",IFERROR(DATE(VALUE(RIGHT(Y1001,4)),VALUE(MID(Y1001,4,2)),VALUE(LEFT(Y1001,2))),""))</f>
        <v/>
      </c>
      <c r="AP1001" s="27">
        <f>IF(AC1001="","",IFERROR(DATE(VALUE(RIGHT(AC1001,4)),VALUE(MID(AC1001,4,2)),VALUE(LEFT(AC1001,2))),""))</f>
        <v/>
      </c>
      <c r="AQ1001" s="26">
        <f>IF(AI1001="","",TRIM(LEFT(AI1001,FIND(" ",AI1001&amp;" ")-1)))</f>
        <v/>
      </c>
      <c r="AR1001" s="27">
        <f>IF(AQ1001="","",IFERROR(DATE(VALUE(MID(AQ1001,FIND("/",AQ1001,FIND("/",AQ1001)+1)+1,4)),VALUE(LEFT(AQ1001,FIND("/",AQ1001)-1)),VALUE(MID(AQ1001,FIND("/",AQ1001)+1,FIND("/",AQ1001,FIND("/",AQ1001)+1)-FIND("/",AQ1001)-1))),""))</f>
        <v/>
      </c>
      <c r="AS1001" s="26">
        <f>IF(G1001="","",IF(AND(AG1001&lt;&gt;"",AG1001&lt;&gt;"Bayi Aracı"),"Evet","Hayır"))</f>
        <v/>
      </c>
      <c r="AT1001" s="26">
        <f>IF(G1001="","",IF(AND(AS1001="Evet",T1001="Siparişiniz Teslim Edildi"),"Evet","Hayır"))</f>
        <v/>
      </c>
      <c r="AU1001" s="26">
        <f>IF(G1001="","",IF(AB1001="Siparişinizin Montajı Yapıldı","Evet","Hayır"))</f>
        <v/>
      </c>
      <c r="AV1001" s="27">
        <f>IF(G1001="","",IF(AT1001="Evet",AR1001,IF(AU1001="Evet",AP1001,"")))</f>
        <v/>
      </c>
    </row>
    <row r="1002">
      <c r="A1002" s="23" t="n"/>
      <c r="B1002" s="23" t="n"/>
      <c r="C1002" s="23" t="n"/>
      <c r="D1002" s="23" t="n"/>
      <c r="E1002" s="23" t="n"/>
      <c r="F1002" s="23" t="n"/>
      <c r="G1002" s="23" t="n"/>
      <c r="H1002" s="23" t="n"/>
      <c r="I1002" s="23" t="n"/>
      <c r="J1002" s="23" t="n"/>
      <c r="K1002" s="23" t="n"/>
      <c r="L1002" s="23" t="n"/>
      <c r="M1002" s="23" t="n"/>
      <c r="N1002" s="23" t="n"/>
      <c r="O1002" s="23" t="n"/>
      <c r="P1002" s="23" t="n"/>
      <c r="Q1002" s="23" t="n"/>
      <c r="R1002" s="23" t="n"/>
      <c r="S1002" s="23" t="n"/>
      <c r="T1002" s="23" t="n"/>
      <c r="U1002" s="23" t="n"/>
      <c r="V1002" s="23" t="n"/>
      <c r="W1002" s="23" t="n"/>
      <c r="X1002" s="23" t="n"/>
      <c r="Y1002" s="23" t="n"/>
      <c r="Z1002" s="23" t="n"/>
      <c r="AA1002" s="23" t="n"/>
      <c r="AB1002" s="23" t="n"/>
      <c r="AC1002" s="23" t="n"/>
      <c r="AD1002" s="23" t="n"/>
      <c r="AE1002" s="23" t="n"/>
      <c r="AF1002" s="23" t="n"/>
      <c r="AG1002" s="23" t="n"/>
      <c r="AH1002" s="23" t="n"/>
      <c r="AI1002" s="23" t="n"/>
      <c r="AJ1002" s="23" t="n"/>
      <c r="AK1002" s="23" t="n"/>
      <c r="AL1002" s="23" t="n"/>
      <c r="AM1002" s="26">
        <f>IF(G1002="","",G1002&amp;"|"&amp;P1002)</f>
        <v/>
      </c>
      <c r="AN1002" s="27">
        <f>IF(I1002="","",IFERROR(DATE(VALUE(RIGHT(I1002,4)),VALUE(MID(I1002,4,2)),VALUE(LEFT(I1002,2))),""))</f>
        <v/>
      </c>
      <c r="AO1002" s="27">
        <f>IF(Y1002="","",IFERROR(DATE(VALUE(RIGHT(Y1002,4)),VALUE(MID(Y1002,4,2)),VALUE(LEFT(Y1002,2))),""))</f>
        <v/>
      </c>
      <c r="AP1002" s="27">
        <f>IF(AC1002="","",IFERROR(DATE(VALUE(RIGHT(AC1002,4)),VALUE(MID(AC1002,4,2)),VALUE(LEFT(AC1002,2))),""))</f>
        <v/>
      </c>
      <c r="AQ1002" s="26">
        <f>IF(AI1002="","",TRIM(LEFT(AI1002,FIND(" ",AI1002&amp;" ")-1)))</f>
        <v/>
      </c>
      <c r="AR1002" s="27">
        <f>IF(AQ1002="","",IFERROR(DATE(VALUE(MID(AQ1002,FIND("/",AQ1002,FIND("/",AQ1002)+1)+1,4)),VALUE(LEFT(AQ1002,FIND("/",AQ1002)-1)),VALUE(MID(AQ1002,FIND("/",AQ1002)+1,FIND("/",AQ1002,FIND("/",AQ1002)+1)-FIND("/",AQ1002)-1))),""))</f>
        <v/>
      </c>
      <c r="AS1002" s="26">
        <f>IF(G1002="","",IF(AND(AG1002&lt;&gt;"",AG1002&lt;&gt;"Bayi Aracı"),"Evet","Hayır"))</f>
        <v/>
      </c>
      <c r="AT1002" s="26">
        <f>IF(G1002="","",IF(AND(AS1002="Evet",T1002="Siparişiniz Teslim Edildi"),"Evet","Hayır"))</f>
        <v/>
      </c>
      <c r="AU1002" s="26">
        <f>IF(G1002="","",IF(AB1002="Siparişinizin Montajı Yapıldı","Evet","Hayır"))</f>
        <v/>
      </c>
      <c r="AV1002" s="27">
        <f>IF(G1002="","",IF(AT1002="Evet",AR1002,IF(AU1002="Evet",AP1002,"")))</f>
        <v/>
      </c>
    </row>
  </sheetData>
  <sheetProtection selectLockedCells="0" selectUnlockedCells="0" sheet="1" objects="0" insertRows="0" insertHyperlinks="1" autoFilter="1" scenarios="0" formatColumns="1" deleteColumns="1" insertColumns="1" pivotTables="1" deleteRows="0" formatCells="1" formatRows="1" sort="1" password="D6F9"/>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J1200"/>
  <sheetViews>
    <sheetView showGridLines="0" workbookViewId="0">
      <pane ySplit="2" topLeftCell="A3" activePane="bottomLeft" state="frozen"/>
      <selection pane="bottomLeft" activeCell="A1" sqref="A1"/>
    </sheetView>
  </sheetViews>
  <sheetFormatPr baseColWidth="8" defaultRowHeight="15"/>
  <cols>
    <col width="16" customWidth="1" min="1" max="1"/>
    <col width="13" customWidth="1" min="2" max="2"/>
    <col width="14" customWidth="1" min="3" max="3"/>
    <col width="12" customWidth="1" min="4" max="4"/>
    <col width="26" customWidth="1" min="5" max="5"/>
    <col width="14" customWidth="1" min="6" max="6"/>
    <col width="13" customWidth="1" min="7" max="7"/>
    <col width="16" customWidth="1" min="8" max="8"/>
  </cols>
  <sheetData>
    <row r="1" ht="36" customHeight="1">
      <c r="A1" s="18" t="inlineStr">
        <is>
          <t>Hakediş Fatura No</t>
        </is>
      </c>
      <c r="B1" s="18" t="inlineStr">
        <is>
          <t>Fatura Tarihi</t>
        </is>
      </c>
      <c r="C1" s="18" t="inlineStr">
        <is>
          <t>DİVA Fatura No
(26...)</t>
        </is>
      </c>
      <c r="D1" s="18" t="inlineStr">
        <is>
          <t>Ürün Kodu</t>
        </is>
      </c>
      <c r="E1" s="18" t="inlineStr">
        <is>
          <t>Kampanya / Paket Adı
(bilgi amaçlı)</t>
        </is>
      </c>
      <c r="F1" s="18" t="inlineStr">
        <is>
          <t>Kalem Türü</t>
        </is>
      </c>
      <c r="G1" s="18" t="inlineStr">
        <is>
          <t>Tutar</t>
        </is>
      </c>
      <c r="H1" s="19" t="inlineStr">
        <is>
          <t>Eşleştirme
Anahtarı</t>
        </is>
      </c>
      <c r="J1" s="29" t="inlineStr">
        <is>
          <t>GEÇİCİ YAPI: Bu sekmenin sütunları, Temmuz 2026 hakediş detay excel örneği incelendikten sonra gerçek yapıya göre güncellenecektir. Şimdilik eşleştirme için gereken asgari alanlar (DİVA Fatura No + Ürün Kodu + Kalem Türü + Tutar) kullanılmıştır.</t>
        </is>
      </c>
    </row>
    <row r="2">
      <c r="A2" s="20" t="inlineStr">
        <is>
          <t>HFT-2026-000123</t>
        </is>
      </c>
      <c r="B2" s="21" t="inlineStr">
        <is>
          <t>05.09.2026</t>
        </is>
      </c>
      <c r="C2" s="20" t="inlineStr">
        <is>
          <t>2600000453</t>
        </is>
      </c>
      <c r="D2" s="20" t="inlineStr">
        <is>
          <t>SMS26DW00T</t>
        </is>
      </c>
      <c r="E2" s="20" t="inlineStr">
        <is>
          <t>Mayıs-Tekil Bulaşık Makinesi Kampanyası-202605</t>
        </is>
      </c>
      <c r="F2" s="20" t="inlineStr">
        <is>
          <t>Fiyat Farkı</t>
        </is>
      </c>
      <c r="G2" s="22" t="n">
        <v>3777.92</v>
      </c>
    </row>
    <row r="3">
      <c r="A3" s="23" t="n"/>
      <c r="B3" s="24" t="n"/>
      <c r="C3" s="23" t="n"/>
      <c r="D3" s="23" t="n"/>
      <c r="E3" s="23" t="n"/>
      <c r="F3" s="23" t="n"/>
      <c r="G3" s="25" t="n"/>
      <c r="H3" s="26">
        <f>IF(C3="","",C3&amp;"|"&amp;D3)</f>
        <v/>
      </c>
    </row>
    <row r="4">
      <c r="A4" s="23" t="n"/>
      <c r="B4" s="24" t="n"/>
      <c r="C4" s="23" t="n"/>
      <c r="D4" s="23" t="n"/>
      <c r="E4" s="23" t="n"/>
      <c r="F4" s="23" t="n"/>
      <c r="G4" s="25" t="n"/>
      <c r="H4" s="26">
        <f>IF(C4="","",C4&amp;"|"&amp;D4)</f>
        <v/>
      </c>
    </row>
    <row r="5">
      <c r="A5" s="23" t="n"/>
      <c r="B5" s="24" t="n"/>
      <c r="C5" s="23" t="n"/>
      <c r="D5" s="23" t="n"/>
      <c r="E5" s="23" t="n"/>
      <c r="F5" s="23" t="n"/>
      <c r="G5" s="25" t="n"/>
      <c r="H5" s="26">
        <f>IF(C5="","",C5&amp;"|"&amp;D5)</f>
        <v/>
      </c>
    </row>
    <row r="6">
      <c r="A6" s="23" t="n"/>
      <c r="B6" s="24" t="n"/>
      <c r="C6" s="23" t="n"/>
      <c r="D6" s="23" t="n"/>
      <c r="E6" s="23" t="n"/>
      <c r="F6" s="23" t="n"/>
      <c r="G6" s="25" t="n"/>
      <c r="H6" s="26">
        <f>IF(C6="","",C6&amp;"|"&amp;D6)</f>
        <v/>
      </c>
    </row>
    <row r="7">
      <c r="A7" s="23" t="n"/>
      <c r="B7" s="24" t="n"/>
      <c r="C7" s="23" t="n"/>
      <c r="D7" s="23" t="n"/>
      <c r="E7" s="23" t="n"/>
      <c r="F7" s="23" t="n"/>
      <c r="G7" s="25" t="n"/>
      <c r="H7" s="26">
        <f>IF(C7="","",C7&amp;"|"&amp;D7)</f>
        <v/>
      </c>
    </row>
    <row r="8">
      <c r="A8" s="23" t="n"/>
      <c r="B8" s="24" t="n"/>
      <c r="C8" s="23" t="n"/>
      <c r="D8" s="23" t="n"/>
      <c r="E8" s="23" t="n"/>
      <c r="F8" s="23" t="n"/>
      <c r="G8" s="25" t="n"/>
      <c r="H8" s="26">
        <f>IF(C8="","",C8&amp;"|"&amp;D8)</f>
        <v/>
      </c>
    </row>
    <row r="9">
      <c r="A9" s="23" t="n"/>
      <c r="B9" s="24" t="n"/>
      <c r="C9" s="23" t="n"/>
      <c r="D9" s="23" t="n"/>
      <c r="E9" s="23" t="n"/>
      <c r="F9" s="23" t="n"/>
      <c r="G9" s="25" t="n"/>
      <c r="H9" s="26">
        <f>IF(C9="","",C9&amp;"|"&amp;D9)</f>
        <v/>
      </c>
    </row>
    <row r="10">
      <c r="A10" s="23" t="n"/>
      <c r="B10" s="24" t="n"/>
      <c r="C10" s="23" t="n"/>
      <c r="D10" s="23" t="n"/>
      <c r="E10" s="23" t="n"/>
      <c r="F10" s="23" t="n"/>
      <c r="G10" s="25" t="n"/>
      <c r="H10" s="26">
        <f>IF(C10="","",C10&amp;"|"&amp;D10)</f>
        <v/>
      </c>
    </row>
    <row r="11">
      <c r="A11" s="23" t="n"/>
      <c r="B11" s="24" t="n"/>
      <c r="C11" s="23" t="n"/>
      <c r="D11" s="23" t="n"/>
      <c r="E11" s="23" t="n"/>
      <c r="F11" s="23" t="n"/>
      <c r="G11" s="25" t="n"/>
      <c r="H11" s="26">
        <f>IF(C11="","",C11&amp;"|"&amp;D11)</f>
        <v/>
      </c>
    </row>
    <row r="12">
      <c r="A12" s="23" t="n"/>
      <c r="B12" s="24" t="n"/>
      <c r="C12" s="23" t="n"/>
      <c r="D12" s="23" t="n"/>
      <c r="E12" s="23" t="n"/>
      <c r="F12" s="23" t="n"/>
      <c r="G12" s="25" t="n"/>
      <c r="H12" s="26">
        <f>IF(C12="","",C12&amp;"|"&amp;D12)</f>
        <v/>
      </c>
    </row>
    <row r="13">
      <c r="A13" s="23" t="n"/>
      <c r="B13" s="24" t="n"/>
      <c r="C13" s="23" t="n"/>
      <c r="D13" s="23" t="n"/>
      <c r="E13" s="23" t="n"/>
      <c r="F13" s="23" t="n"/>
      <c r="G13" s="25" t="n"/>
      <c r="H13" s="26">
        <f>IF(C13="","",C13&amp;"|"&amp;D13)</f>
        <v/>
      </c>
    </row>
    <row r="14">
      <c r="A14" s="23" t="n"/>
      <c r="B14" s="24" t="n"/>
      <c r="C14" s="23" t="n"/>
      <c r="D14" s="23" t="n"/>
      <c r="E14" s="23" t="n"/>
      <c r="F14" s="23" t="n"/>
      <c r="G14" s="25" t="n"/>
      <c r="H14" s="26">
        <f>IF(C14="","",C14&amp;"|"&amp;D14)</f>
        <v/>
      </c>
    </row>
    <row r="15">
      <c r="A15" s="23" t="n"/>
      <c r="B15" s="24" t="n"/>
      <c r="C15" s="23" t="n"/>
      <c r="D15" s="23" t="n"/>
      <c r="E15" s="23" t="n"/>
      <c r="F15" s="23" t="n"/>
      <c r="G15" s="25" t="n"/>
      <c r="H15" s="26">
        <f>IF(C15="","",C15&amp;"|"&amp;D15)</f>
        <v/>
      </c>
    </row>
    <row r="16">
      <c r="A16" s="23" t="n"/>
      <c r="B16" s="24" t="n"/>
      <c r="C16" s="23" t="n"/>
      <c r="D16" s="23" t="n"/>
      <c r="E16" s="23" t="n"/>
      <c r="F16" s="23" t="n"/>
      <c r="G16" s="25" t="n"/>
      <c r="H16" s="26">
        <f>IF(C16="","",C16&amp;"|"&amp;D16)</f>
        <v/>
      </c>
    </row>
    <row r="17">
      <c r="A17" s="23" t="n"/>
      <c r="B17" s="24" t="n"/>
      <c r="C17" s="23" t="n"/>
      <c r="D17" s="23" t="n"/>
      <c r="E17" s="23" t="n"/>
      <c r="F17" s="23" t="n"/>
      <c r="G17" s="25" t="n"/>
      <c r="H17" s="26">
        <f>IF(C17="","",C17&amp;"|"&amp;D17)</f>
        <v/>
      </c>
    </row>
    <row r="18">
      <c r="A18" s="23" t="n"/>
      <c r="B18" s="24" t="n"/>
      <c r="C18" s="23" t="n"/>
      <c r="D18" s="23" t="n"/>
      <c r="E18" s="23" t="n"/>
      <c r="F18" s="23" t="n"/>
      <c r="G18" s="25" t="n"/>
      <c r="H18" s="26">
        <f>IF(C18="","",C18&amp;"|"&amp;D18)</f>
        <v/>
      </c>
    </row>
    <row r="19">
      <c r="A19" s="23" t="n"/>
      <c r="B19" s="24" t="n"/>
      <c r="C19" s="23" t="n"/>
      <c r="D19" s="23" t="n"/>
      <c r="E19" s="23" t="n"/>
      <c r="F19" s="23" t="n"/>
      <c r="G19" s="25" t="n"/>
      <c r="H19" s="26">
        <f>IF(C19="","",C19&amp;"|"&amp;D19)</f>
        <v/>
      </c>
    </row>
    <row r="20">
      <c r="A20" s="23" t="n"/>
      <c r="B20" s="24" t="n"/>
      <c r="C20" s="23" t="n"/>
      <c r="D20" s="23" t="n"/>
      <c r="E20" s="23" t="n"/>
      <c r="F20" s="23" t="n"/>
      <c r="G20" s="25" t="n"/>
      <c r="H20" s="26">
        <f>IF(C20="","",C20&amp;"|"&amp;D20)</f>
        <v/>
      </c>
    </row>
    <row r="21">
      <c r="A21" s="23" t="n"/>
      <c r="B21" s="24" t="n"/>
      <c r="C21" s="23" t="n"/>
      <c r="D21" s="23" t="n"/>
      <c r="E21" s="23" t="n"/>
      <c r="F21" s="23" t="n"/>
      <c r="G21" s="25" t="n"/>
      <c r="H21" s="26">
        <f>IF(C21="","",C21&amp;"|"&amp;D21)</f>
        <v/>
      </c>
    </row>
    <row r="22">
      <c r="A22" s="23" t="n"/>
      <c r="B22" s="24" t="n"/>
      <c r="C22" s="23" t="n"/>
      <c r="D22" s="23" t="n"/>
      <c r="E22" s="23" t="n"/>
      <c r="F22" s="23" t="n"/>
      <c r="G22" s="25" t="n"/>
      <c r="H22" s="26">
        <f>IF(C22="","",C22&amp;"|"&amp;D22)</f>
        <v/>
      </c>
    </row>
    <row r="23">
      <c r="A23" s="23" t="n"/>
      <c r="B23" s="24" t="n"/>
      <c r="C23" s="23" t="n"/>
      <c r="D23" s="23" t="n"/>
      <c r="E23" s="23" t="n"/>
      <c r="F23" s="23" t="n"/>
      <c r="G23" s="25" t="n"/>
      <c r="H23" s="26">
        <f>IF(C23="","",C23&amp;"|"&amp;D23)</f>
        <v/>
      </c>
    </row>
    <row r="24">
      <c r="A24" s="23" t="n"/>
      <c r="B24" s="24" t="n"/>
      <c r="C24" s="23" t="n"/>
      <c r="D24" s="23" t="n"/>
      <c r="E24" s="23" t="n"/>
      <c r="F24" s="23" t="n"/>
      <c r="G24" s="25" t="n"/>
      <c r="H24" s="26">
        <f>IF(C24="","",C24&amp;"|"&amp;D24)</f>
        <v/>
      </c>
    </row>
    <row r="25">
      <c r="A25" s="23" t="n"/>
      <c r="B25" s="24" t="n"/>
      <c r="C25" s="23" t="n"/>
      <c r="D25" s="23" t="n"/>
      <c r="E25" s="23" t="n"/>
      <c r="F25" s="23" t="n"/>
      <c r="G25" s="25" t="n"/>
      <c r="H25" s="26">
        <f>IF(C25="","",C25&amp;"|"&amp;D25)</f>
        <v/>
      </c>
    </row>
    <row r="26">
      <c r="A26" s="23" t="n"/>
      <c r="B26" s="24" t="n"/>
      <c r="C26" s="23" t="n"/>
      <c r="D26" s="23" t="n"/>
      <c r="E26" s="23" t="n"/>
      <c r="F26" s="23" t="n"/>
      <c r="G26" s="25" t="n"/>
      <c r="H26" s="26">
        <f>IF(C26="","",C26&amp;"|"&amp;D26)</f>
        <v/>
      </c>
    </row>
    <row r="27">
      <c r="A27" s="23" t="n"/>
      <c r="B27" s="24" t="n"/>
      <c r="C27" s="23" t="n"/>
      <c r="D27" s="23" t="n"/>
      <c r="E27" s="23" t="n"/>
      <c r="F27" s="23" t="n"/>
      <c r="G27" s="25" t="n"/>
      <c r="H27" s="26">
        <f>IF(C27="","",C27&amp;"|"&amp;D27)</f>
        <v/>
      </c>
    </row>
    <row r="28">
      <c r="A28" s="23" t="n"/>
      <c r="B28" s="24" t="n"/>
      <c r="C28" s="23" t="n"/>
      <c r="D28" s="23" t="n"/>
      <c r="E28" s="23" t="n"/>
      <c r="F28" s="23" t="n"/>
      <c r="G28" s="25" t="n"/>
      <c r="H28" s="26">
        <f>IF(C28="","",C28&amp;"|"&amp;D28)</f>
        <v/>
      </c>
    </row>
    <row r="29">
      <c r="A29" s="23" t="n"/>
      <c r="B29" s="24" t="n"/>
      <c r="C29" s="23" t="n"/>
      <c r="D29" s="23" t="n"/>
      <c r="E29" s="23" t="n"/>
      <c r="F29" s="23" t="n"/>
      <c r="G29" s="25" t="n"/>
      <c r="H29" s="26">
        <f>IF(C29="","",C29&amp;"|"&amp;D29)</f>
        <v/>
      </c>
    </row>
    <row r="30">
      <c r="A30" s="23" t="n"/>
      <c r="B30" s="24" t="n"/>
      <c r="C30" s="23" t="n"/>
      <c r="D30" s="23" t="n"/>
      <c r="E30" s="23" t="n"/>
      <c r="F30" s="23" t="n"/>
      <c r="G30" s="25" t="n"/>
      <c r="H30" s="26">
        <f>IF(C30="","",C30&amp;"|"&amp;D30)</f>
        <v/>
      </c>
    </row>
    <row r="31">
      <c r="A31" s="23" t="n"/>
      <c r="B31" s="24" t="n"/>
      <c r="C31" s="23" t="n"/>
      <c r="D31" s="23" t="n"/>
      <c r="E31" s="23" t="n"/>
      <c r="F31" s="23" t="n"/>
      <c r="G31" s="25" t="n"/>
      <c r="H31" s="26">
        <f>IF(C31="","",C31&amp;"|"&amp;D31)</f>
        <v/>
      </c>
    </row>
    <row r="32">
      <c r="A32" s="23" t="n"/>
      <c r="B32" s="24" t="n"/>
      <c r="C32" s="23" t="n"/>
      <c r="D32" s="23" t="n"/>
      <c r="E32" s="23" t="n"/>
      <c r="F32" s="23" t="n"/>
      <c r="G32" s="25" t="n"/>
      <c r="H32" s="26">
        <f>IF(C32="","",C32&amp;"|"&amp;D32)</f>
        <v/>
      </c>
    </row>
    <row r="33">
      <c r="A33" s="23" t="n"/>
      <c r="B33" s="24" t="n"/>
      <c r="C33" s="23" t="n"/>
      <c r="D33" s="23" t="n"/>
      <c r="E33" s="23" t="n"/>
      <c r="F33" s="23" t="n"/>
      <c r="G33" s="25" t="n"/>
      <c r="H33" s="26">
        <f>IF(C33="","",C33&amp;"|"&amp;D33)</f>
        <v/>
      </c>
    </row>
    <row r="34">
      <c r="A34" s="23" t="n"/>
      <c r="B34" s="24" t="n"/>
      <c r="C34" s="23" t="n"/>
      <c r="D34" s="23" t="n"/>
      <c r="E34" s="23" t="n"/>
      <c r="F34" s="23" t="n"/>
      <c r="G34" s="25" t="n"/>
      <c r="H34" s="26">
        <f>IF(C34="","",C34&amp;"|"&amp;D34)</f>
        <v/>
      </c>
    </row>
    <row r="35">
      <c r="A35" s="23" t="n"/>
      <c r="B35" s="24" t="n"/>
      <c r="C35" s="23" t="n"/>
      <c r="D35" s="23" t="n"/>
      <c r="E35" s="23" t="n"/>
      <c r="F35" s="23" t="n"/>
      <c r="G35" s="25" t="n"/>
      <c r="H35" s="26">
        <f>IF(C35="","",C35&amp;"|"&amp;D35)</f>
        <v/>
      </c>
    </row>
    <row r="36">
      <c r="A36" s="23" t="n"/>
      <c r="B36" s="24" t="n"/>
      <c r="C36" s="23" t="n"/>
      <c r="D36" s="23" t="n"/>
      <c r="E36" s="23" t="n"/>
      <c r="F36" s="23" t="n"/>
      <c r="G36" s="25" t="n"/>
      <c r="H36" s="26">
        <f>IF(C36="","",C36&amp;"|"&amp;D36)</f>
        <v/>
      </c>
    </row>
    <row r="37">
      <c r="A37" s="23" t="n"/>
      <c r="B37" s="24" t="n"/>
      <c r="C37" s="23" t="n"/>
      <c r="D37" s="23" t="n"/>
      <c r="E37" s="23" t="n"/>
      <c r="F37" s="23" t="n"/>
      <c r="G37" s="25" t="n"/>
      <c r="H37" s="26">
        <f>IF(C37="","",C37&amp;"|"&amp;D37)</f>
        <v/>
      </c>
    </row>
    <row r="38">
      <c r="A38" s="23" t="n"/>
      <c r="B38" s="24" t="n"/>
      <c r="C38" s="23" t="n"/>
      <c r="D38" s="23" t="n"/>
      <c r="E38" s="23" t="n"/>
      <c r="F38" s="23" t="n"/>
      <c r="G38" s="25" t="n"/>
      <c r="H38" s="26">
        <f>IF(C38="","",C38&amp;"|"&amp;D38)</f>
        <v/>
      </c>
    </row>
    <row r="39">
      <c r="A39" s="23" t="n"/>
      <c r="B39" s="24" t="n"/>
      <c r="C39" s="23" t="n"/>
      <c r="D39" s="23" t="n"/>
      <c r="E39" s="23" t="n"/>
      <c r="F39" s="23" t="n"/>
      <c r="G39" s="25" t="n"/>
      <c r="H39" s="26">
        <f>IF(C39="","",C39&amp;"|"&amp;D39)</f>
        <v/>
      </c>
    </row>
    <row r="40">
      <c r="A40" s="23" t="n"/>
      <c r="B40" s="24" t="n"/>
      <c r="C40" s="23" t="n"/>
      <c r="D40" s="23" t="n"/>
      <c r="E40" s="23" t="n"/>
      <c r="F40" s="23" t="n"/>
      <c r="G40" s="25" t="n"/>
      <c r="H40" s="26">
        <f>IF(C40="","",C40&amp;"|"&amp;D40)</f>
        <v/>
      </c>
    </row>
    <row r="41">
      <c r="A41" s="23" t="n"/>
      <c r="B41" s="24" t="n"/>
      <c r="C41" s="23" t="n"/>
      <c r="D41" s="23" t="n"/>
      <c r="E41" s="23" t="n"/>
      <c r="F41" s="23" t="n"/>
      <c r="G41" s="25" t="n"/>
      <c r="H41" s="26">
        <f>IF(C41="","",C41&amp;"|"&amp;D41)</f>
        <v/>
      </c>
    </row>
    <row r="42">
      <c r="A42" s="23" t="n"/>
      <c r="B42" s="24" t="n"/>
      <c r="C42" s="23" t="n"/>
      <c r="D42" s="23" t="n"/>
      <c r="E42" s="23" t="n"/>
      <c r="F42" s="23" t="n"/>
      <c r="G42" s="25" t="n"/>
      <c r="H42" s="26">
        <f>IF(C42="","",C42&amp;"|"&amp;D42)</f>
        <v/>
      </c>
    </row>
    <row r="43">
      <c r="A43" s="23" t="n"/>
      <c r="B43" s="24" t="n"/>
      <c r="C43" s="23" t="n"/>
      <c r="D43" s="23" t="n"/>
      <c r="E43" s="23" t="n"/>
      <c r="F43" s="23" t="n"/>
      <c r="G43" s="25" t="n"/>
      <c r="H43" s="26">
        <f>IF(C43="","",C43&amp;"|"&amp;D43)</f>
        <v/>
      </c>
    </row>
    <row r="44">
      <c r="A44" s="23" t="n"/>
      <c r="B44" s="24" t="n"/>
      <c r="C44" s="23" t="n"/>
      <c r="D44" s="23" t="n"/>
      <c r="E44" s="23" t="n"/>
      <c r="F44" s="23" t="n"/>
      <c r="G44" s="25" t="n"/>
      <c r="H44" s="26">
        <f>IF(C44="","",C44&amp;"|"&amp;D44)</f>
        <v/>
      </c>
    </row>
    <row r="45">
      <c r="A45" s="23" t="n"/>
      <c r="B45" s="24" t="n"/>
      <c r="C45" s="23" t="n"/>
      <c r="D45" s="23" t="n"/>
      <c r="E45" s="23" t="n"/>
      <c r="F45" s="23" t="n"/>
      <c r="G45" s="25" t="n"/>
      <c r="H45" s="26">
        <f>IF(C45="","",C45&amp;"|"&amp;D45)</f>
        <v/>
      </c>
    </row>
    <row r="46">
      <c r="A46" s="23" t="n"/>
      <c r="B46" s="24" t="n"/>
      <c r="C46" s="23" t="n"/>
      <c r="D46" s="23" t="n"/>
      <c r="E46" s="23" t="n"/>
      <c r="F46" s="23" t="n"/>
      <c r="G46" s="25" t="n"/>
      <c r="H46" s="26">
        <f>IF(C46="","",C46&amp;"|"&amp;D46)</f>
        <v/>
      </c>
    </row>
    <row r="47">
      <c r="A47" s="23" t="n"/>
      <c r="B47" s="24" t="n"/>
      <c r="C47" s="23" t="n"/>
      <c r="D47" s="23" t="n"/>
      <c r="E47" s="23" t="n"/>
      <c r="F47" s="23" t="n"/>
      <c r="G47" s="25" t="n"/>
      <c r="H47" s="26">
        <f>IF(C47="","",C47&amp;"|"&amp;D47)</f>
        <v/>
      </c>
    </row>
    <row r="48">
      <c r="A48" s="23" t="n"/>
      <c r="B48" s="24" t="n"/>
      <c r="C48" s="23" t="n"/>
      <c r="D48" s="23" t="n"/>
      <c r="E48" s="23" t="n"/>
      <c r="F48" s="23" t="n"/>
      <c r="G48" s="25" t="n"/>
      <c r="H48" s="26">
        <f>IF(C48="","",C48&amp;"|"&amp;D48)</f>
        <v/>
      </c>
    </row>
    <row r="49">
      <c r="A49" s="23" t="n"/>
      <c r="B49" s="24" t="n"/>
      <c r="C49" s="23" t="n"/>
      <c r="D49" s="23" t="n"/>
      <c r="E49" s="23" t="n"/>
      <c r="F49" s="23" t="n"/>
      <c r="G49" s="25" t="n"/>
      <c r="H49" s="26">
        <f>IF(C49="","",C49&amp;"|"&amp;D49)</f>
        <v/>
      </c>
    </row>
    <row r="50">
      <c r="A50" s="23" t="n"/>
      <c r="B50" s="24" t="n"/>
      <c r="C50" s="23" t="n"/>
      <c r="D50" s="23" t="n"/>
      <c r="E50" s="23" t="n"/>
      <c r="F50" s="23" t="n"/>
      <c r="G50" s="25" t="n"/>
      <c r="H50" s="26">
        <f>IF(C50="","",C50&amp;"|"&amp;D50)</f>
        <v/>
      </c>
    </row>
    <row r="51">
      <c r="A51" s="23" t="n"/>
      <c r="B51" s="24" t="n"/>
      <c r="C51" s="23" t="n"/>
      <c r="D51" s="23" t="n"/>
      <c r="E51" s="23" t="n"/>
      <c r="F51" s="23" t="n"/>
      <c r="G51" s="25" t="n"/>
      <c r="H51" s="26">
        <f>IF(C51="","",C51&amp;"|"&amp;D51)</f>
        <v/>
      </c>
    </row>
    <row r="52">
      <c r="A52" s="23" t="n"/>
      <c r="B52" s="24" t="n"/>
      <c r="C52" s="23" t="n"/>
      <c r="D52" s="23" t="n"/>
      <c r="E52" s="23" t="n"/>
      <c r="F52" s="23" t="n"/>
      <c r="G52" s="25" t="n"/>
      <c r="H52" s="26">
        <f>IF(C52="","",C52&amp;"|"&amp;D52)</f>
        <v/>
      </c>
    </row>
    <row r="53">
      <c r="A53" s="23" t="n"/>
      <c r="B53" s="24" t="n"/>
      <c r="C53" s="23" t="n"/>
      <c r="D53" s="23" t="n"/>
      <c r="E53" s="23" t="n"/>
      <c r="F53" s="23" t="n"/>
      <c r="G53" s="25" t="n"/>
      <c r="H53" s="26">
        <f>IF(C53="","",C53&amp;"|"&amp;D53)</f>
        <v/>
      </c>
    </row>
    <row r="54">
      <c r="A54" s="23" t="n"/>
      <c r="B54" s="24" t="n"/>
      <c r="C54" s="23" t="n"/>
      <c r="D54" s="23" t="n"/>
      <c r="E54" s="23" t="n"/>
      <c r="F54" s="23" t="n"/>
      <c r="G54" s="25" t="n"/>
      <c r="H54" s="26">
        <f>IF(C54="","",C54&amp;"|"&amp;D54)</f>
        <v/>
      </c>
    </row>
    <row r="55">
      <c r="A55" s="23" t="n"/>
      <c r="B55" s="24" t="n"/>
      <c r="C55" s="23" t="n"/>
      <c r="D55" s="23" t="n"/>
      <c r="E55" s="23" t="n"/>
      <c r="F55" s="23" t="n"/>
      <c r="G55" s="25" t="n"/>
      <c r="H55" s="26">
        <f>IF(C55="","",C55&amp;"|"&amp;D55)</f>
        <v/>
      </c>
    </row>
    <row r="56">
      <c r="A56" s="23" t="n"/>
      <c r="B56" s="24" t="n"/>
      <c r="C56" s="23" t="n"/>
      <c r="D56" s="23" t="n"/>
      <c r="E56" s="23" t="n"/>
      <c r="F56" s="23" t="n"/>
      <c r="G56" s="25" t="n"/>
      <c r="H56" s="26">
        <f>IF(C56="","",C56&amp;"|"&amp;D56)</f>
        <v/>
      </c>
    </row>
    <row r="57">
      <c r="A57" s="23" t="n"/>
      <c r="B57" s="24" t="n"/>
      <c r="C57" s="23" t="n"/>
      <c r="D57" s="23" t="n"/>
      <c r="E57" s="23" t="n"/>
      <c r="F57" s="23" t="n"/>
      <c r="G57" s="25" t="n"/>
      <c r="H57" s="26">
        <f>IF(C57="","",C57&amp;"|"&amp;D57)</f>
        <v/>
      </c>
    </row>
    <row r="58">
      <c r="A58" s="23" t="n"/>
      <c r="B58" s="24" t="n"/>
      <c r="C58" s="23" t="n"/>
      <c r="D58" s="23" t="n"/>
      <c r="E58" s="23" t="n"/>
      <c r="F58" s="23" t="n"/>
      <c r="G58" s="25" t="n"/>
      <c r="H58" s="26">
        <f>IF(C58="","",C58&amp;"|"&amp;D58)</f>
        <v/>
      </c>
    </row>
    <row r="59">
      <c r="A59" s="23" t="n"/>
      <c r="B59" s="24" t="n"/>
      <c r="C59" s="23" t="n"/>
      <c r="D59" s="23" t="n"/>
      <c r="E59" s="23" t="n"/>
      <c r="F59" s="23" t="n"/>
      <c r="G59" s="25" t="n"/>
      <c r="H59" s="26">
        <f>IF(C59="","",C59&amp;"|"&amp;D59)</f>
        <v/>
      </c>
    </row>
    <row r="60">
      <c r="A60" s="23" t="n"/>
      <c r="B60" s="24" t="n"/>
      <c r="C60" s="23" t="n"/>
      <c r="D60" s="23" t="n"/>
      <c r="E60" s="23" t="n"/>
      <c r="F60" s="23" t="n"/>
      <c r="G60" s="25" t="n"/>
      <c r="H60" s="26">
        <f>IF(C60="","",C60&amp;"|"&amp;D60)</f>
        <v/>
      </c>
    </row>
    <row r="61">
      <c r="A61" s="23" t="n"/>
      <c r="B61" s="24" t="n"/>
      <c r="C61" s="23" t="n"/>
      <c r="D61" s="23" t="n"/>
      <c r="E61" s="23" t="n"/>
      <c r="F61" s="23" t="n"/>
      <c r="G61" s="25" t="n"/>
      <c r="H61" s="26">
        <f>IF(C61="","",C61&amp;"|"&amp;D61)</f>
        <v/>
      </c>
    </row>
    <row r="62">
      <c r="A62" s="23" t="n"/>
      <c r="B62" s="24" t="n"/>
      <c r="C62" s="23" t="n"/>
      <c r="D62" s="23" t="n"/>
      <c r="E62" s="23" t="n"/>
      <c r="F62" s="23" t="n"/>
      <c r="G62" s="25" t="n"/>
      <c r="H62" s="26">
        <f>IF(C62="","",C62&amp;"|"&amp;D62)</f>
        <v/>
      </c>
    </row>
    <row r="63">
      <c r="A63" s="23" t="n"/>
      <c r="B63" s="24" t="n"/>
      <c r="C63" s="23" t="n"/>
      <c r="D63" s="23" t="n"/>
      <c r="E63" s="23" t="n"/>
      <c r="F63" s="23" t="n"/>
      <c r="G63" s="25" t="n"/>
      <c r="H63" s="26">
        <f>IF(C63="","",C63&amp;"|"&amp;D63)</f>
        <v/>
      </c>
    </row>
    <row r="64">
      <c r="A64" s="23" t="n"/>
      <c r="B64" s="24" t="n"/>
      <c r="C64" s="23" t="n"/>
      <c r="D64" s="23" t="n"/>
      <c r="E64" s="23" t="n"/>
      <c r="F64" s="23" t="n"/>
      <c r="G64" s="25" t="n"/>
      <c r="H64" s="26">
        <f>IF(C64="","",C64&amp;"|"&amp;D64)</f>
        <v/>
      </c>
    </row>
    <row r="65">
      <c r="A65" s="23" t="n"/>
      <c r="B65" s="24" t="n"/>
      <c r="C65" s="23" t="n"/>
      <c r="D65" s="23" t="n"/>
      <c r="E65" s="23" t="n"/>
      <c r="F65" s="23" t="n"/>
      <c r="G65" s="25" t="n"/>
      <c r="H65" s="26">
        <f>IF(C65="","",C65&amp;"|"&amp;D65)</f>
        <v/>
      </c>
    </row>
    <row r="66">
      <c r="A66" s="23" t="n"/>
      <c r="B66" s="24" t="n"/>
      <c r="C66" s="23" t="n"/>
      <c r="D66" s="23" t="n"/>
      <c r="E66" s="23" t="n"/>
      <c r="F66" s="23" t="n"/>
      <c r="G66" s="25" t="n"/>
      <c r="H66" s="26">
        <f>IF(C66="","",C66&amp;"|"&amp;D66)</f>
        <v/>
      </c>
    </row>
    <row r="67">
      <c r="A67" s="23" t="n"/>
      <c r="B67" s="24" t="n"/>
      <c r="C67" s="23" t="n"/>
      <c r="D67" s="23" t="n"/>
      <c r="E67" s="23" t="n"/>
      <c r="F67" s="23" t="n"/>
      <c r="G67" s="25" t="n"/>
      <c r="H67" s="26">
        <f>IF(C67="","",C67&amp;"|"&amp;D67)</f>
        <v/>
      </c>
    </row>
    <row r="68">
      <c r="A68" s="23" t="n"/>
      <c r="B68" s="24" t="n"/>
      <c r="C68" s="23" t="n"/>
      <c r="D68" s="23" t="n"/>
      <c r="E68" s="23" t="n"/>
      <c r="F68" s="23" t="n"/>
      <c r="G68" s="25" t="n"/>
      <c r="H68" s="26">
        <f>IF(C68="","",C68&amp;"|"&amp;D68)</f>
        <v/>
      </c>
    </row>
    <row r="69">
      <c r="A69" s="23" t="n"/>
      <c r="B69" s="24" t="n"/>
      <c r="C69" s="23" t="n"/>
      <c r="D69" s="23" t="n"/>
      <c r="E69" s="23" t="n"/>
      <c r="F69" s="23" t="n"/>
      <c r="G69" s="25" t="n"/>
      <c r="H69" s="26">
        <f>IF(C69="","",C69&amp;"|"&amp;D69)</f>
        <v/>
      </c>
    </row>
    <row r="70">
      <c r="A70" s="23" t="n"/>
      <c r="B70" s="24" t="n"/>
      <c r="C70" s="23" t="n"/>
      <c r="D70" s="23" t="n"/>
      <c r="E70" s="23" t="n"/>
      <c r="F70" s="23" t="n"/>
      <c r="G70" s="25" t="n"/>
      <c r="H70" s="26">
        <f>IF(C70="","",C70&amp;"|"&amp;D70)</f>
        <v/>
      </c>
    </row>
    <row r="71">
      <c r="A71" s="23" t="n"/>
      <c r="B71" s="24" t="n"/>
      <c r="C71" s="23" t="n"/>
      <c r="D71" s="23" t="n"/>
      <c r="E71" s="23" t="n"/>
      <c r="F71" s="23" t="n"/>
      <c r="G71" s="25" t="n"/>
      <c r="H71" s="26">
        <f>IF(C71="","",C71&amp;"|"&amp;D71)</f>
        <v/>
      </c>
    </row>
    <row r="72">
      <c r="A72" s="23" t="n"/>
      <c r="B72" s="24" t="n"/>
      <c r="C72" s="23" t="n"/>
      <c r="D72" s="23" t="n"/>
      <c r="E72" s="23" t="n"/>
      <c r="F72" s="23" t="n"/>
      <c r="G72" s="25" t="n"/>
      <c r="H72" s="26">
        <f>IF(C72="","",C72&amp;"|"&amp;D72)</f>
        <v/>
      </c>
    </row>
    <row r="73">
      <c r="A73" s="23" t="n"/>
      <c r="B73" s="24" t="n"/>
      <c r="C73" s="23" t="n"/>
      <c r="D73" s="23" t="n"/>
      <c r="E73" s="23" t="n"/>
      <c r="F73" s="23" t="n"/>
      <c r="G73" s="25" t="n"/>
      <c r="H73" s="26">
        <f>IF(C73="","",C73&amp;"|"&amp;D73)</f>
        <v/>
      </c>
    </row>
    <row r="74">
      <c r="A74" s="23" t="n"/>
      <c r="B74" s="24" t="n"/>
      <c r="C74" s="23" t="n"/>
      <c r="D74" s="23" t="n"/>
      <c r="E74" s="23" t="n"/>
      <c r="F74" s="23" t="n"/>
      <c r="G74" s="25" t="n"/>
      <c r="H74" s="26">
        <f>IF(C74="","",C74&amp;"|"&amp;D74)</f>
        <v/>
      </c>
    </row>
    <row r="75">
      <c r="A75" s="23" t="n"/>
      <c r="B75" s="24" t="n"/>
      <c r="C75" s="23" t="n"/>
      <c r="D75" s="23" t="n"/>
      <c r="E75" s="23" t="n"/>
      <c r="F75" s="23" t="n"/>
      <c r="G75" s="25" t="n"/>
      <c r="H75" s="26">
        <f>IF(C75="","",C75&amp;"|"&amp;D75)</f>
        <v/>
      </c>
    </row>
    <row r="76">
      <c r="A76" s="23" t="n"/>
      <c r="B76" s="24" t="n"/>
      <c r="C76" s="23" t="n"/>
      <c r="D76" s="23" t="n"/>
      <c r="E76" s="23" t="n"/>
      <c r="F76" s="23" t="n"/>
      <c r="G76" s="25" t="n"/>
      <c r="H76" s="26">
        <f>IF(C76="","",C76&amp;"|"&amp;D76)</f>
        <v/>
      </c>
    </row>
    <row r="77">
      <c r="A77" s="23" t="n"/>
      <c r="B77" s="24" t="n"/>
      <c r="C77" s="23" t="n"/>
      <c r="D77" s="23" t="n"/>
      <c r="E77" s="23" t="n"/>
      <c r="F77" s="23" t="n"/>
      <c r="G77" s="25" t="n"/>
      <c r="H77" s="26">
        <f>IF(C77="","",C77&amp;"|"&amp;D77)</f>
        <v/>
      </c>
    </row>
    <row r="78">
      <c r="A78" s="23" t="n"/>
      <c r="B78" s="24" t="n"/>
      <c r="C78" s="23" t="n"/>
      <c r="D78" s="23" t="n"/>
      <c r="E78" s="23" t="n"/>
      <c r="F78" s="23" t="n"/>
      <c r="G78" s="25" t="n"/>
      <c r="H78" s="26">
        <f>IF(C78="","",C78&amp;"|"&amp;D78)</f>
        <v/>
      </c>
    </row>
    <row r="79">
      <c r="A79" s="23" t="n"/>
      <c r="B79" s="24" t="n"/>
      <c r="C79" s="23" t="n"/>
      <c r="D79" s="23" t="n"/>
      <c r="E79" s="23" t="n"/>
      <c r="F79" s="23" t="n"/>
      <c r="G79" s="25" t="n"/>
      <c r="H79" s="26">
        <f>IF(C79="","",C79&amp;"|"&amp;D79)</f>
        <v/>
      </c>
    </row>
    <row r="80">
      <c r="A80" s="23" t="n"/>
      <c r="B80" s="24" t="n"/>
      <c r="C80" s="23" t="n"/>
      <c r="D80" s="23" t="n"/>
      <c r="E80" s="23" t="n"/>
      <c r="F80" s="23" t="n"/>
      <c r="G80" s="25" t="n"/>
      <c r="H80" s="26">
        <f>IF(C80="","",C80&amp;"|"&amp;D80)</f>
        <v/>
      </c>
    </row>
    <row r="81">
      <c r="A81" s="23" t="n"/>
      <c r="B81" s="24" t="n"/>
      <c r="C81" s="23" t="n"/>
      <c r="D81" s="23" t="n"/>
      <c r="E81" s="23" t="n"/>
      <c r="F81" s="23" t="n"/>
      <c r="G81" s="25" t="n"/>
      <c r="H81" s="26">
        <f>IF(C81="","",C81&amp;"|"&amp;D81)</f>
        <v/>
      </c>
    </row>
    <row r="82">
      <c r="A82" s="23" t="n"/>
      <c r="B82" s="24" t="n"/>
      <c r="C82" s="23" t="n"/>
      <c r="D82" s="23" t="n"/>
      <c r="E82" s="23" t="n"/>
      <c r="F82" s="23" t="n"/>
      <c r="G82" s="25" t="n"/>
      <c r="H82" s="26">
        <f>IF(C82="","",C82&amp;"|"&amp;D82)</f>
        <v/>
      </c>
    </row>
    <row r="83">
      <c r="A83" s="23" t="n"/>
      <c r="B83" s="24" t="n"/>
      <c r="C83" s="23" t="n"/>
      <c r="D83" s="23" t="n"/>
      <c r="E83" s="23" t="n"/>
      <c r="F83" s="23" t="n"/>
      <c r="G83" s="25" t="n"/>
      <c r="H83" s="26">
        <f>IF(C83="","",C83&amp;"|"&amp;D83)</f>
        <v/>
      </c>
    </row>
    <row r="84">
      <c r="A84" s="23" t="n"/>
      <c r="B84" s="24" t="n"/>
      <c r="C84" s="23" t="n"/>
      <c r="D84" s="23" t="n"/>
      <c r="E84" s="23" t="n"/>
      <c r="F84" s="23" t="n"/>
      <c r="G84" s="25" t="n"/>
      <c r="H84" s="26">
        <f>IF(C84="","",C84&amp;"|"&amp;D84)</f>
        <v/>
      </c>
    </row>
    <row r="85">
      <c r="A85" s="23" t="n"/>
      <c r="B85" s="24" t="n"/>
      <c r="C85" s="23" t="n"/>
      <c r="D85" s="23" t="n"/>
      <c r="E85" s="23" t="n"/>
      <c r="F85" s="23" t="n"/>
      <c r="G85" s="25" t="n"/>
      <c r="H85" s="26">
        <f>IF(C85="","",C85&amp;"|"&amp;D85)</f>
        <v/>
      </c>
    </row>
    <row r="86">
      <c r="A86" s="23" t="n"/>
      <c r="B86" s="24" t="n"/>
      <c r="C86" s="23" t="n"/>
      <c r="D86" s="23" t="n"/>
      <c r="E86" s="23" t="n"/>
      <c r="F86" s="23" t="n"/>
      <c r="G86" s="25" t="n"/>
      <c r="H86" s="26">
        <f>IF(C86="","",C86&amp;"|"&amp;D86)</f>
        <v/>
      </c>
    </row>
    <row r="87">
      <c r="A87" s="23" t="n"/>
      <c r="B87" s="24" t="n"/>
      <c r="C87" s="23" t="n"/>
      <c r="D87" s="23" t="n"/>
      <c r="E87" s="23" t="n"/>
      <c r="F87" s="23" t="n"/>
      <c r="G87" s="25" t="n"/>
      <c r="H87" s="26">
        <f>IF(C87="","",C87&amp;"|"&amp;D87)</f>
        <v/>
      </c>
    </row>
    <row r="88">
      <c r="A88" s="23" t="n"/>
      <c r="B88" s="24" t="n"/>
      <c r="C88" s="23" t="n"/>
      <c r="D88" s="23" t="n"/>
      <c r="E88" s="23" t="n"/>
      <c r="F88" s="23" t="n"/>
      <c r="G88" s="25" t="n"/>
      <c r="H88" s="26">
        <f>IF(C88="","",C88&amp;"|"&amp;D88)</f>
        <v/>
      </c>
    </row>
    <row r="89">
      <c r="A89" s="23" t="n"/>
      <c r="B89" s="24" t="n"/>
      <c r="C89" s="23" t="n"/>
      <c r="D89" s="23" t="n"/>
      <c r="E89" s="23" t="n"/>
      <c r="F89" s="23" t="n"/>
      <c r="G89" s="25" t="n"/>
      <c r="H89" s="26">
        <f>IF(C89="","",C89&amp;"|"&amp;D89)</f>
        <v/>
      </c>
    </row>
    <row r="90">
      <c r="A90" s="23" t="n"/>
      <c r="B90" s="24" t="n"/>
      <c r="C90" s="23" t="n"/>
      <c r="D90" s="23" t="n"/>
      <c r="E90" s="23" t="n"/>
      <c r="F90" s="23" t="n"/>
      <c r="G90" s="25" t="n"/>
      <c r="H90" s="26">
        <f>IF(C90="","",C90&amp;"|"&amp;D90)</f>
        <v/>
      </c>
    </row>
    <row r="91">
      <c r="A91" s="23" t="n"/>
      <c r="B91" s="24" t="n"/>
      <c r="C91" s="23" t="n"/>
      <c r="D91" s="23" t="n"/>
      <c r="E91" s="23" t="n"/>
      <c r="F91" s="23" t="n"/>
      <c r="G91" s="25" t="n"/>
      <c r="H91" s="26">
        <f>IF(C91="","",C91&amp;"|"&amp;D91)</f>
        <v/>
      </c>
    </row>
    <row r="92">
      <c r="A92" s="23" t="n"/>
      <c r="B92" s="24" t="n"/>
      <c r="C92" s="23" t="n"/>
      <c r="D92" s="23" t="n"/>
      <c r="E92" s="23" t="n"/>
      <c r="F92" s="23" t="n"/>
      <c r="G92" s="25" t="n"/>
      <c r="H92" s="26">
        <f>IF(C92="","",C92&amp;"|"&amp;D92)</f>
        <v/>
      </c>
    </row>
    <row r="93">
      <c r="A93" s="23" t="n"/>
      <c r="B93" s="24" t="n"/>
      <c r="C93" s="23" t="n"/>
      <c r="D93" s="23" t="n"/>
      <c r="E93" s="23" t="n"/>
      <c r="F93" s="23" t="n"/>
      <c r="G93" s="25" t="n"/>
      <c r="H93" s="26">
        <f>IF(C93="","",C93&amp;"|"&amp;D93)</f>
        <v/>
      </c>
    </row>
    <row r="94">
      <c r="A94" s="23" t="n"/>
      <c r="B94" s="24" t="n"/>
      <c r="C94" s="23" t="n"/>
      <c r="D94" s="23" t="n"/>
      <c r="E94" s="23" t="n"/>
      <c r="F94" s="23" t="n"/>
      <c r="G94" s="25" t="n"/>
      <c r="H94" s="26">
        <f>IF(C94="","",C94&amp;"|"&amp;D94)</f>
        <v/>
      </c>
    </row>
    <row r="95">
      <c r="A95" s="23" t="n"/>
      <c r="B95" s="24" t="n"/>
      <c r="C95" s="23" t="n"/>
      <c r="D95" s="23" t="n"/>
      <c r="E95" s="23" t="n"/>
      <c r="F95" s="23" t="n"/>
      <c r="G95" s="25" t="n"/>
      <c r="H95" s="26">
        <f>IF(C95="","",C95&amp;"|"&amp;D95)</f>
        <v/>
      </c>
    </row>
    <row r="96">
      <c r="A96" s="23" t="n"/>
      <c r="B96" s="24" t="n"/>
      <c r="C96" s="23" t="n"/>
      <c r="D96" s="23" t="n"/>
      <c r="E96" s="23" t="n"/>
      <c r="F96" s="23" t="n"/>
      <c r="G96" s="25" t="n"/>
      <c r="H96" s="26">
        <f>IF(C96="","",C96&amp;"|"&amp;D96)</f>
        <v/>
      </c>
    </row>
    <row r="97">
      <c r="A97" s="23" t="n"/>
      <c r="B97" s="24" t="n"/>
      <c r="C97" s="23" t="n"/>
      <c r="D97" s="23" t="n"/>
      <c r="E97" s="23" t="n"/>
      <c r="F97" s="23" t="n"/>
      <c r="G97" s="25" t="n"/>
      <c r="H97" s="26">
        <f>IF(C97="","",C97&amp;"|"&amp;D97)</f>
        <v/>
      </c>
    </row>
    <row r="98">
      <c r="A98" s="23" t="n"/>
      <c r="B98" s="24" t="n"/>
      <c r="C98" s="23" t="n"/>
      <c r="D98" s="23" t="n"/>
      <c r="E98" s="23" t="n"/>
      <c r="F98" s="23" t="n"/>
      <c r="G98" s="25" t="n"/>
      <c r="H98" s="26">
        <f>IF(C98="","",C98&amp;"|"&amp;D98)</f>
        <v/>
      </c>
    </row>
    <row r="99">
      <c r="A99" s="23" t="n"/>
      <c r="B99" s="24" t="n"/>
      <c r="C99" s="23" t="n"/>
      <c r="D99" s="23" t="n"/>
      <c r="E99" s="23" t="n"/>
      <c r="F99" s="23" t="n"/>
      <c r="G99" s="25" t="n"/>
      <c r="H99" s="26">
        <f>IF(C99="","",C99&amp;"|"&amp;D99)</f>
        <v/>
      </c>
    </row>
    <row r="100">
      <c r="A100" s="23" t="n"/>
      <c r="B100" s="24" t="n"/>
      <c r="C100" s="23" t="n"/>
      <c r="D100" s="23" t="n"/>
      <c r="E100" s="23" t="n"/>
      <c r="F100" s="23" t="n"/>
      <c r="G100" s="25" t="n"/>
      <c r="H100" s="26">
        <f>IF(C100="","",C100&amp;"|"&amp;D100)</f>
        <v/>
      </c>
    </row>
    <row r="101">
      <c r="A101" s="23" t="n"/>
      <c r="B101" s="24" t="n"/>
      <c r="C101" s="23" t="n"/>
      <c r="D101" s="23" t="n"/>
      <c r="E101" s="23" t="n"/>
      <c r="F101" s="23" t="n"/>
      <c r="G101" s="25" t="n"/>
      <c r="H101" s="26">
        <f>IF(C101="","",C101&amp;"|"&amp;D101)</f>
        <v/>
      </c>
    </row>
    <row r="102">
      <c r="A102" s="23" t="n"/>
      <c r="B102" s="24" t="n"/>
      <c r="C102" s="23" t="n"/>
      <c r="D102" s="23" t="n"/>
      <c r="E102" s="23" t="n"/>
      <c r="F102" s="23" t="n"/>
      <c r="G102" s="25" t="n"/>
      <c r="H102" s="26">
        <f>IF(C102="","",C102&amp;"|"&amp;D102)</f>
        <v/>
      </c>
    </row>
    <row r="103">
      <c r="A103" s="23" t="n"/>
      <c r="B103" s="24" t="n"/>
      <c r="C103" s="23" t="n"/>
      <c r="D103" s="23" t="n"/>
      <c r="E103" s="23" t="n"/>
      <c r="F103" s="23" t="n"/>
      <c r="G103" s="25" t="n"/>
      <c r="H103" s="26">
        <f>IF(C103="","",C103&amp;"|"&amp;D103)</f>
        <v/>
      </c>
    </row>
    <row r="104">
      <c r="A104" s="23" t="n"/>
      <c r="B104" s="24" t="n"/>
      <c r="C104" s="23" t="n"/>
      <c r="D104" s="23" t="n"/>
      <c r="E104" s="23" t="n"/>
      <c r="F104" s="23" t="n"/>
      <c r="G104" s="25" t="n"/>
      <c r="H104" s="26">
        <f>IF(C104="","",C104&amp;"|"&amp;D104)</f>
        <v/>
      </c>
    </row>
    <row r="105">
      <c r="A105" s="23" t="n"/>
      <c r="B105" s="24" t="n"/>
      <c r="C105" s="23" t="n"/>
      <c r="D105" s="23" t="n"/>
      <c r="E105" s="23" t="n"/>
      <c r="F105" s="23" t="n"/>
      <c r="G105" s="25" t="n"/>
      <c r="H105" s="26">
        <f>IF(C105="","",C105&amp;"|"&amp;D105)</f>
        <v/>
      </c>
    </row>
    <row r="106">
      <c r="A106" s="23" t="n"/>
      <c r="B106" s="24" t="n"/>
      <c r="C106" s="23" t="n"/>
      <c r="D106" s="23" t="n"/>
      <c r="E106" s="23" t="n"/>
      <c r="F106" s="23" t="n"/>
      <c r="G106" s="25" t="n"/>
      <c r="H106" s="26">
        <f>IF(C106="","",C106&amp;"|"&amp;D106)</f>
        <v/>
      </c>
    </row>
    <row r="107">
      <c r="A107" s="23" t="n"/>
      <c r="B107" s="24" t="n"/>
      <c r="C107" s="23" t="n"/>
      <c r="D107" s="23" t="n"/>
      <c r="E107" s="23" t="n"/>
      <c r="F107" s="23" t="n"/>
      <c r="G107" s="25" t="n"/>
      <c r="H107" s="26">
        <f>IF(C107="","",C107&amp;"|"&amp;D107)</f>
        <v/>
      </c>
    </row>
    <row r="108">
      <c r="A108" s="23" t="n"/>
      <c r="B108" s="24" t="n"/>
      <c r="C108" s="23" t="n"/>
      <c r="D108" s="23" t="n"/>
      <c r="E108" s="23" t="n"/>
      <c r="F108" s="23" t="n"/>
      <c r="G108" s="25" t="n"/>
      <c r="H108" s="26">
        <f>IF(C108="","",C108&amp;"|"&amp;D108)</f>
        <v/>
      </c>
    </row>
    <row r="109">
      <c r="A109" s="23" t="n"/>
      <c r="B109" s="24" t="n"/>
      <c r="C109" s="23" t="n"/>
      <c r="D109" s="23" t="n"/>
      <c r="E109" s="23" t="n"/>
      <c r="F109" s="23" t="n"/>
      <c r="G109" s="25" t="n"/>
      <c r="H109" s="26">
        <f>IF(C109="","",C109&amp;"|"&amp;D109)</f>
        <v/>
      </c>
    </row>
    <row r="110">
      <c r="A110" s="23" t="n"/>
      <c r="B110" s="24" t="n"/>
      <c r="C110" s="23" t="n"/>
      <c r="D110" s="23" t="n"/>
      <c r="E110" s="23" t="n"/>
      <c r="F110" s="23" t="n"/>
      <c r="G110" s="25" t="n"/>
      <c r="H110" s="26">
        <f>IF(C110="","",C110&amp;"|"&amp;D110)</f>
        <v/>
      </c>
    </row>
    <row r="111">
      <c r="A111" s="23" t="n"/>
      <c r="B111" s="24" t="n"/>
      <c r="C111" s="23" t="n"/>
      <c r="D111" s="23" t="n"/>
      <c r="E111" s="23" t="n"/>
      <c r="F111" s="23" t="n"/>
      <c r="G111" s="25" t="n"/>
      <c r="H111" s="26">
        <f>IF(C111="","",C111&amp;"|"&amp;D111)</f>
        <v/>
      </c>
    </row>
    <row r="112">
      <c r="A112" s="23" t="n"/>
      <c r="B112" s="24" t="n"/>
      <c r="C112" s="23" t="n"/>
      <c r="D112" s="23" t="n"/>
      <c r="E112" s="23" t="n"/>
      <c r="F112" s="23" t="n"/>
      <c r="G112" s="25" t="n"/>
      <c r="H112" s="26">
        <f>IF(C112="","",C112&amp;"|"&amp;D112)</f>
        <v/>
      </c>
    </row>
    <row r="113">
      <c r="A113" s="23" t="n"/>
      <c r="B113" s="24" t="n"/>
      <c r="C113" s="23" t="n"/>
      <c r="D113" s="23" t="n"/>
      <c r="E113" s="23" t="n"/>
      <c r="F113" s="23" t="n"/>
      <c r="G113" s="25" t="n"/>
      <c r="H113" s="26">
        <f>IF(C113="","",C113&amp;"|"&amp;D113)</f>
        <v/>
      </c>
    </row>
    <row r="114">
      <c r="A114" s="23" t="n"/>
      <c r="B114" s="24" t="n"/>
      <c r="C114" s="23" t="n"/>
      <c r="D114" s="23" t="n"/>
      <c r="E114" s="23" t="n"/>
      <c r="F114" s="23" t="n"/>
      <c r="G114" s="25" t="n"/>
      <c r="H114" s="26">
        <f>IF(C114="","",C114&amp;"|"&amp;D114)</f>
        <v/>
      </c>
    </row>
    <row r="115">
      <c r="A115" s="23" t="n"/>
      <c r="B115" s="24" t="n"/>
      <c r="C115" s="23" t="n"/>
      <c r="D115" s="23" t="n"/>
      <c r="E115" s="23" t="n"/>
      <c r="F115" s="23" t="n"/>
      <c r="G115" s="25" t="n"/>
      <c r="H115" s="26">
        <f>IF(C115="","",C115&amp;"|"&amp;D115)</f>
        <v/>
      </c>
    </row>
    <row r="116">
      <c r="A116" s="23" t="n"/>
      <c r="B116" s="24" t="n"/>
      <c r="C116" s="23" t="n"/>
      <c r="D116" s="23" t="n"/>
      <c r="E116" s="23" t="n"/>
      <c r="F116" s="23" t="n"/>
      <c r="G116" s="25" t="n"/>
      <c r="H116" s="26">
        <f>IF(C116="","",C116&amp;"|"&amp;D116)</f>
        <v/>
      </c>
    </row>
    <row r="117">
      <c r="A117" s="23" t="n"/>
      <c r="B117" s="24" t="n"/>
      <c r="C117" s="23" t="n"/>
      <c r="D117" s="23" t="n"/>
      <c r="E117" s="23" t="n"/>
      <c r="F117" s="23" t="n"/>
      <c r="G117" s="25" t="n"/>
      <c r="H117" s="26">
        <f>IF(C117="","",C117&amp;"|"&amp;D117)</f>
        <v/>
      </c>
    </row>
    <row r="118">
      <c r="A118" s="23" t="n"/>
      <c r="B118" s="24" t="n"/>
      <c r="C118" s="23" t="n"/>
      <c r="D118" s="23" t="n"/>
      <c r="E118" s="23" t="n"/>
      <c r="F118" s="23" t="n"/>
      <c r="G118" s="25" t="n"/>
      <c r="H118" s="26">
        <f>IF(C118="","",C118&amp;"|"&amp;D118)</f>
        <v/>
      </c>
    </row>
    <row r="119">
      <c r="A119" s="23" t="n"/>
      <c r="B119" s="24" t="n"/>
      <c r="C119" s="23" t="n"/>
      <c r="D119" s="23" t="n"/>
      <c r="E119" s="23" t="n"/>
      <c r="F119" s="23" t="n"/>
      <c r="G119" s="25" t="n"/>
      <c r="H119" s="26">
        <f>IF(C119="","",C119&amp;"|"&amp;D119)</f>
        <v/>
      </c>
    </row>
    <row r="120">
      <c r="A120" s="23" t="n"/>
      <c r="B120" s="24" t="n"/>
      <c r="C120" s="23" t="n"/>
      <c r="D120" s="23" t="n"/>
      <c r="E120" s="23" t="n"/>
      <c r="F120" s="23" t="n"/>
      <c r="G120" s="25" t="n"/>
      <c r="H120" s="26">
        <f>IF(C120="","",C120&amp;"|"&amp;D120)</f>
        <v/>
      </c>
    </row>
    <row r="121">
      <c r="A121" s="23" t="n"/>
      <c r="B121" s="24" t="n"/>
      <c r="C121" s="23" t="n"/>
      <c r="D121" s="23" t="n"/>
      <c r="E121" s="23" t="n"/>
      <c r="F121" s="23" t="n"/>
      <c r="G121" s="25" t="n"/>
      <c r="H121" s="26">
        <f>IF(C121="","",C121&amp;"|"&amp;D121)</f>
        <v/>
      </c>
    </row>
    <row r="122">
      <c r="A122" s="23" t="n"/>
      <c r="B122" s="24" t="n"/>
      <c r="C122" s="23" t="n"/>
      <c r="D122" s="23" t="n"/>
      <c r="E122" s="23" t="n"/>
      <c r="F122" s="23" t="n"/>
      <c r="G122" s="25" t="n"/>
      <c r="H122" s="26">
        <f>IF(C122="","",C122&amp;"|"&amp;D122)</f>
        <v/>
      </c>
    </row>
    <row r="123">
      <c r="A123" s="23" t="n"/>
      <c r="B123" s="24" t="n"/>
      <c r="C123" s="23" t="n"/>
      <c r="D123" s="23" t="n"/>
      <c r="E123" s="23" t="n"/>
      <c r="F123" s="23" t="n"/>
      <c r="G123" s="25" t="n"/>
      <c r="H123" s="26">
        <f>IF(C123="","",C123&amp;"|"&amp;D123)</f>
        <v/>
      </c>
    </row>
    <row r="124">
      <c r="A124" s="23" t="n"/>
      <c r="B124" s="24" t="n"/>
      <c r="C124" s="23" t="n"/>
      <c r="D124" s="23" t="n"/>
      <c r="E124" s="23" t="n"/>
      <c r="F124" s="23" t="n"/>
      <c r="G124" s="25" t="n"/>
      <c r="H124" s="26">
        <f>IF(C124="","",C124&amp;"|"&amp;D124)</f>
        <v/>
      </c>
    </row>
    <row r="125">
      <c r="A125" s="23" t="n"/>
      <c r="B125" s="24" t="n"/>
      <c r="C125" s="23" t="n"/>
      <c r="D125" s="23" t="n"/>
      <c r="E125" s="23" t="n"/>
      <c r="F125" s="23" t="n"/>
      <c r="G125" s="25" t="n"/>
      <c r="H125" s="26">
        <f>IF(C125="","",C125&amp;"|"&amp;D125)</f>
        <v/>
      </c>
    </row>
    <row r="126">
      <c r="A126" s="23" t="n"/>
      <c r="B126" s="24" t="n"/>
      <c r="C126" s="23" t="n"/>
      <c r="D126" s="23" t="n"/>
      <c r="E126" s="23" t="n"/>
      <c r="F126" s="23" t="n"/>
      <c r="G126" s="25" t="n"/>
      <c r="H126" s="26">
        <f>IF(C126="","",C126&amp;"|"&amp;D126)</f>
        <v/>
      </c>
    </row>
    <row r="127">
      <c r="A127" s="23" t="n"/>
      <c r="B127" s="24" t="n"/>
      <c r="C127" s="23" t="n"/>
      <c r="D127" s="23" t="n"/>
      <c r="E127" s="23" t="n"/>
      <c r="F127" s="23" t="n"/>
      <c r="G127" s="25" t="n"/>
      <c r="H127" s="26">
        <f>IF(C127="","",C127&amp;"|"&amp;D127)</f>
        <v/>
      </c>
    </row>
    <row r="128">
      <c r="A128" s="23" t="n"/>
      <c r="B128" s="24" t="n"/>
      <c r="C128" s="23" t="n"/>
      <c r="D128" s="23" t="n"/>
      <c r="E128" s="23" t="n"/>
      <c r="F128" s="23" t="n"/>
      <c r="G128" s="25" t="n"/>
      <c r="H128" s="26">
        <f>IF(C128="","",C128&amp;"|"&amp;D128)</f>
        <v/>
      </c>
    </row>
    <row r="129">
      <c r="A129" s="23" t="n"/>
      <c r="B129" s="24" t="n"/>
      <c r="C129" s="23" t="n"/>
      <c r="D129" s="23" t="n"/>
      <c r="E129" s="23" t="n"/>
      <c r="F129" s="23" t="n"/>
      <c r="G129" s="25" t="n"/>
      <c r="H129" s="26">
        <f>IF(C129="","",C129&amp;"|"&amp;D129)</f>
        <v/>
      </c>
    </row>
    <row r="130">
      <c r="A130" s="23" t="n"/>
      <c r="B130" s="24" t="n"/>
      <c r="C130" s="23" t="n"/>
      <c r="D130" s="23" t="n"/>
      <c r="E130" s="23" t="n"/>
      <c r="F130" s="23" t="n"/>
      <c r="G130" s="25" t="n"/>
      <c r="H130" s="26">
        <f>IF(C130="","",C130&amp;"|"&amp;D130)</f>
        <v/>
      </c>
    </row>
    <row r="131">
      <c r="A131" s="23" t="n"/>
      <c r="B131" s="24" t="n"/>
      <c r="C131" s="23" t="n"/>
      <c r="D131" s="23" t="n"/>
      <c r="E131" s="23" t="n"/>
      <c r="F131" s="23" t="n"/>
      <c r="G131" s="25" t="n"/>
      <c r="H131" s="26">
        <f>IF(C131="","",C131&amp;"|"&amp;D131)</f>
        <v/>
      </c>
    </row>
    <row r="132">
      <c r="A132" s="23" t="n"/>
      <c r="B132" s="24" t="n"/>
      <c r="C132" s="23" t="n"/>
      <c r="D132" s="23" t="n"/>
      <c r="E132" s="23" t="n"/>
      <c r="F132" s="23" t="n"/>
      <c r="G132" s="25" t="n"/>
      <c r="H132" s="26">
        <f>IF(C132="","",C132&amp;"|"&amp;D132)</f>
        <v/>
      </c>
    </row>
    <row r="133">
      <c r="A133" s="23" t="n"/>
      <c r="B133" s="24" t="n"/>
      <c r="C133" s="23" t="n"/>
      <c r="D133" s="23" t="n"/>
      <c r="E133" s="23" t="n"/>
      <c r="F133" s="23" t="n"/>
      <c r="G133" s="25" t="n"/>
      <c r="H133" s="26">
        <f>IF(C133="","",C133&amp;"|"&amp;D133)</f>
        <v/>
      </c>
    </row>
    <row r="134">
      <c r="A134" s="23" t="n"/>
      <c r="B134" s="24" t="n"/>
      <c r="C134" s="23" t="n"/>
      <c r="D134" s="23" t="n"/>
      <c r="E134" s="23" t="n"/>
      <c r="F134" s="23" t="n"/>
      <c r="G134" s="25" t="n"/>
      <c r="H134" s="26">
        <f>IF(C134="","",C134&amp;"|"&amp;D134)</f>
        <v/>
      </c>
    </row>
    <row r="135">
      <c r="A135" s="23" t="n"/>
      <c r="B135" s="24" t="n"/>
      <c r="C135" s="23" t="n"/>
      <c r="D135" s="23" t="n"/>
      <c r="E135" s="23" t="n"/>
      <c r="F135" s="23" t="n"/>
      <c r="G135" s="25" t="n"/>
      <c r="H135" s="26">
        <f>IF(C135="","",C135&amp;"|"&amp;D135)</f>
        <v/>
      </c>
    </row>
    <row r="136">
      <c r="A136" s="23" t="n"/>
      <c r="B136" s="24" t="n"/>
      <c r="C136" s="23" t="n"/>
      <c r="D136" s="23" t="n"/>
      <c r="E136" s="23" t="n"/>
      <c r="F136" s="23" t="n"/>
      <c r="G136" s="25" t="n"/>
      <c r="H136" s="26">
        <f>IF(C136="","",C136&amp;"|"&amp;D136)</f>
        <v/>
      </c>
    </row>
    <row r="137">
      <c r="A137" s="23" t="n"/>
      <c r="B137" s="24" t="n"/>
      <c r="C137" s="23" t="n"/>
      <c r="D137" s="23" t="n"/>
      <c r="E137" s="23" t="n"/>
      <c r="F137" s="23" t="n"/>
      <c r="G137" s="25" t="n"/>
      <c r="H137" s="26">
        <f>IF(C137="","",C137&amp;"|"&amp;D137)</f>
        <v/>
      </c>
    </row>
    <row r="138">
      <c r="A138" s="23" t="n"/>
      <c r="B138" s="24" t="n"/>
      <c r="C138" s="23" t="n"/>
      <c r="D138" s="23" t="n"/>
      <c r="E138" s="23" t="n"/>
      <c r="F138" s="23" t="n"/>
      <c r="G138" s="25" t="n"/>
      <c r="H138" s="26">
        <f>IF(C138="","",C138&amp;"|"&amp;D138)</f>
        <v/>
      </c>
    </row>
    <row r="139">
      <c r="A139" s="23" t="n"/>
      <c r="B139" s="24" t="n"/>
      <c r="C139" s="23" t="n"/>
      <c r="D139" s="23" t="n"/>
      <c r="E139" s="23" t="n"/>
      <c r="F139" s="23" t="n"/>
      <c r="G139" s="25" t="n"/>
      <c r="H139" s="26">
        <f>IF(C139="","",C139&amp;"|"&amp;D139)</f>
        <v/>
      </c>
    </row>
    <row r="140">
      <c r="A140" s="23" t="n"/>
      <c r="B140" s="24" t="n"/>
      <c r="C140" s="23" t="n"/>
      <c r="D140" s="23" t="n"/>
      <c r="E140" s="23" t="n"/>
      <c r="F140" s="23" t="n"/>
      <c r="G140" s="25" t="n"/>
      <c r="H140" s="26">
        <f>IF(C140="","",C140&amp;"|"&amp;D140)</f>
        <v/>
      </c>
    </row>
    <row r="141">
      <c r="A141" s="23" t="n"/>
      <c r="B141" s="24" t="n"/>
      <c r="C141" s="23" t="n"/>
      <c r="D141" s="23" t="n"/>
      <c r="E141" s="23" t="n"/>
      <c r="F141" s="23" t="n"/>
      <c r="G141" s="25" t="n"/>
      <c r="H141" s="26">
        <f>IF(C141="","",C141&amp;"|"&amp;D141)</f>
        <v/>
      </c>
    </row>
    <row r="142">
      <c r="A142" s="23" t="n"/>
      <c r="B142" s="24" t="n"/>
      <c r="C142" s="23" t="n"/>
      <c r="D142" s="23" t="n"/>
      <c r="E142" s="23" t="n"/>
      <c r="F142" s="23" t="n"/>
      <c r="G142" s="25" t="n"/>
      <c r="H142" s="26">
        <f>IF(C142="","",C142&amp;"|"&amp;D142)</f>
        <v/>
      </c>
    </row>
    <row r="143">
      <c r="A143" s="23" t="n"/>
      <c r="B143" s="24" t="n"/>
      <c r="C143" s="23" t="n"/>
      <c r="D143" s="23" t="n"/>
      <c r="E143" s="23" t="n"/>
      <c r="F143" s="23" t="n"/>
      <c r="G143" s="25" t="n"/>
      <c r="H143" s="26">
        <f>IF(C143="","",C143&amp;"|"&amp;D143)</f>
        <v/>
      </c>
    </row>
    <row r="144">
      <c r="A144" s="23" t="n"/>
      <c r="B144" s="24" t="n"/>
      <c r="C144" s="23" t="n"/>
      <c r="D144" s="23" t="n"/>
      <c r="E144" s="23" t="n"/>
      <c r="F144" s="23" t="n"/>
      <c r="G144" s="25" t="n"/>
      <c r="H144" s="26">
        <f>IF(C144="","",C144&amp;"|"&amp;D144)</f>
        <v/>
      </c>
    </row>
    <row r="145">
      <c r="A145" s="23" t="n"/>
      <c r="B145" s="24" t="n"/>
      <c r="C145" s="23" t="n"/>
      <c r="D145" s="23" t="n"/>
      <c r="E145" s="23" t="n"/>
      <c r="F145" s="23" t="n"/>
      <c r="G145" s="25" t="n"/>
      <c r="H145" s="26">
        <f>IF(C145="","",C145&amp;"|"&amp;D145)</f>
        <v/>
      </c>
    </row>
    <row r="146">
      <c r="A146" s="23" t="n"/>
      <c r="B146" s="24" t="n"/>
      <c r="C146" s="23" t="n"/>
      <c r="D146" s="23" t="n"/>
      <c r="E146" s="23" t="n"/>
      <c r="F146" s="23" t="n"/>
      <c r="G146" s="25" t="n"/>
      <c r="H146" s="26">
        <f>IF(C146="","",C146&amp;"|"&amp;D146)</f>
        <v/>
      </c>
    </row>
    <row r="147">
      <c r="A147" s="23" t="n"/>
      <c r="B147" s="24" t="n"/>
      <c r="C147" s="23" t="n"/>
      <c r="D147" s="23" t="n"/>
      <c r="E147" s="23" t="n"/>
      <c r="F147" s="23" t="n"/>
      <c r="G147" s="25" t="n"/>
      <c r="H147" s="26">
        <f>IF(C147="","",C147&amp;"|"&amp;D147)</f>
        <v/>
      </c>
    </row>
    <row r="148">
      <c r="A148" s="23" t="n"/>
      <c r="B148" s="24" t="n"/>
      <c r="C148" s="23" t="n"/>
      <c r="D148" s="23" t="n"/>
      <c r="E148" s="23" t="n"/>
      <c r="F148" s="23" t="n"/>
      <c r="G148" s="25" t="n"/>
      <c r="H148" s="26">
        <f>IF(C148="","",C148&amp;"|"&amp;D148)</f>
        <v/>
      </c>
    </row>
    <row r="149">
      <c r="A149" s="23" t="n"/>
      <c r="B149" s="24" t="n"/>
      <c r="C149" s="23" t="n"/>
      <c r="D149" s="23" t="n"/>
      <c r="E149" s="23" t="n"/>
      <c r="F149" s="23" t="n"/>
      <c r="G149" s="25" t="n"/>
      <c r="H149" s="26">
        <f>IF(C149="","",C149&amp;"|"&amp;D149)</f>
        <v/>
      </c>
    </row>
    <row r="150">
      <c r="A150" s="23" t="n"/>
      <c r="B150" s="24" t="n"/>
      <c r="C150" s="23" t="n"/>
      <c r="D150" s="23" t="n"/>
      <c r="E150" s="23" t="n"/>
      <c r="F150" s="23" t="n"/>
      <c r="G150" s="25" t="n"/>
      <c r="H150" s="26">
        <f>IF(C150="","",C150&amp;"|"&amp;D150)</f>
        <v/>
      </c>
    </row>
    <row r="151">
      <c r="A151" s="23" t="n"/>
      <c r="B151" s="24" t="n"/>
      <c r="C151" s="23" t="n"/>
      <c r="D151" s="23" t="n"/>
      <c r="E151" s="23" t="n"/>
      <c r="F151" s="23" t="n"/>
      <c r="G151" s="25" t="n"/>
      <c r="H151" s="26">
        <f>IF(C151="","",C151&amp;"|"&amp;D151)</f>
        <v/>
      </c>
    </row>
    <row r="152">
      <c r="A152" s="23" t="n"/>
      <c r="B152" s="24" t="n"/>
      <c r="C152" s="23" t="n"/>
      <c r="D152" s="23" t="n"/>
      <c r="E152" s="23" t="n"/>
      <c r="F152" s="23" t="n"/>
      <c r="G152" s="25" t="n"/>
      <c r="H152" s="26">
        <f>IF(C152="","",C152&amp;"|"&amp;D152)</f>
        <v/>
      </c>
    </row>
    <row r="153">
      <c r="A153" s="23" t="n"/>
      <c r="B153" s="24" t="n"/>
      <c r="C153" s="23" t="n"/>
      <c r="D153" s="23" t="n"/>
      <c r="E153" s="23" t="n"/>
      <c r="F153" s="23" t="n"/>
      <c r="G153" s="25" t="n"/>
      <c r="H153" s="26">
        <f>IF(C153="","",C153&amp;"|"&amp;D153)</f>
        <v/>
      </c>
    </row>
    <row r="154">
      <c r="A154" s="23" t="n"/>
      <c r="B154" s="24" t="n"/>
      <c r="C154" s="23" t="n"/>
      <c r="D154" s="23" t="n"/>
      <c r="E154" s="23" t="n"/>
      <c r="F154" s="23" t="n"/>
      <c r="G154" s="25" t="n"/>
      <c r="H154" s="26">
        <f>IF(C154="","",C154&amp;"|"&amp;D154)</f>
        <v/>
      </c>
    </row>
    <row r="155">
      <c r="A155" s="23" t="n"/>
      <c r="B155" s="24" t="n"/>
      <c r="C155" s="23" t="n"/>
      <c r="D155" s="23" t="n"/>
      <c r="E155" s="23" t="n"/>
      <c r="F155" s="23" t="n"/>
      <c r="G155" s="25" t="n"/>
      <c r="H155" s="26">
        <f>IF(C155="","",C155&amp;"|"&amp;D155)</f>
        <v/>
      </c>
    </row>
    <row r="156">
      <c r="A156" s="23" t="n"/>
      <c r="B156" s="24" t="n"/>
      <c r="C156" s="23" t="n"/>
      <c r="D156" s="23" t="n"/>
      <c r="E156" s="23" t="n"/>
      <c r="F156" s="23" t="n"/>
      <c r="G156" s="25" t="n"/>
      <c r="H156" s="26">
        <f>IF(C156="","",C156&amp;"|"&amp;D156)</f>
        <v/>
      </c>
    </row>
    <row r="157">
      <c r="A157" s="23" t="n"/>
      <c r="B157" s="24" t="n"/>
      <c r="C157" s="23" t="n"/>
      <c r="D157" s="23" t="n"/>
      <c r="E157" s="23" t="n"/>
      <c r="F157" s="23" t="n"/>
      <c r="G157" s="25" t="n"/>
      <c r="H157" s="26">
        <f>IF(C157="","",C157&amp;"|"&amp;D157)</f>
        <v/>
      </c>
    </row>
    <row r="158">
      <c r="A158" s="23" t="n"/>
      <c r="B158" s="24" t="n"/>
      <c r="C158" s="23" t="n"/>
      <c r="D158" s="23" t="n"/>
      <c r="E158" s="23" t="n"/>
      <c r="F158" s="23" t="n"/>
      <c r="G158" s="25" t="n"/>
      <c r="H158" s="26">
        <f>IF(C158="","",C158&amp;"|"&amp;D158)</f>
        <v/>
      </c>
    </row>
    <row r="159">
      <c r="A159" s="23" t="n"/>
      <c r="B159" s="24" t="n"/>
      <c r="C159" s="23" t="n"/>
      <c r="D159" s="23" t="n"/>
      <c r="E159" s="23" t="n"/>
      <c r="F159" s="23" t="n"/>
      <c r="G159" s="25" t="n"/>
      <c r="H159" s="26">
        <f>IF(C159="","",C159&amp;"|"&amp;D159)</f>
        <v/>
      </c>
    </row>
    <row r="160">
      <c r="A160" s="23" t="n"/>
      <c r="B160" s="24" t="n"/>
      <c r="C160" s="23" t="n"/>
      <c r="D160" s="23" t="n"/>
      <c r="E160" s="23" t="n"/>
      <c r="F160" s="23" t="n"/>
      <c r="G160" s="25" t="n"/>
      <c r="H160" s="26">
        <f>IF(C160="","",C160&amp;"|"&amp;D160)</f>
        <v/>
      </c>
    </row>
    <row r="161">
      <c r="A161" s="23" t="n"/>
      <c r="B161" s="24" t="n"/>
      <c r="C161" s="23" t="n"/>
      <c r="D161" s="23" t="n"/>
      <c r="E161" s="23" t="n"/>
      <c r="F161" s="23" t="n"/>
      <c r="G161" s="25" t="n"/>
      <c r="H161" s="26">
        <f>IF(C161="","",C161&amp;"|"&amp;D161)</f>
        <v/>
      </c>
    </row>
    <row r="162">
      <c r="A162" s="23" t="n"/>
      <c r="B162" s="24" t="n"/>
      <c r="C162" s="23" t="n"/>
      <c r="D162" s="23" t="n"/>
      <c r="E162" s="23" t="n"/>
      <c r="F162" s="23" t="n"/>
      <c r="G162" s="25" t="n"/>
      <c r="H162" s="26">
        <f>IF(C162="","",C162&amp;"|"&amp;D162)</f>
        <v/>
      </c>
    </row>
    <row r="163">
      <c r="A163" s="23" t="n"/>
      <c r="B163" s="24" t="n"/>
      <c r="C163" s="23" t="n"/>
      <c r="D163" s="23" t="n"/>
      <c r="E163" s="23" t="n"/>
      <c r="F163" s="23" t="n"/>
      <c r="G163" s="25" t="n"/>
      <c r="H163" s="26">
        <f>IF(C163="","",C163&amp;"|"&amp;D163)</f>
        <v/>
      </c>
    </row>
    <row r="164">
      <c r="A164" s="23" t="n"/>
      <c r="B164" s="24" t="n"/>
      <c r="C164" s="23" t="n"/>
      <c r="D164" s="23" t="n"/>
      <c r="E164" s="23" t="n"/>
      <c r="F164" s="23" t="n"/>
      <c r="G164" s="25" t="n"/>
      <c r="H164" s="26">
        <f>IF(C164="","",C164&amp;"|"&amp;D164)</f>
        <v/>
      </c>
    </row>
    <row r="165">
      <c r="A165" s="23" t="n"/>
      <c r="B165" s="24" t="n"/>
      <c r="C165" s="23" t="n"/>
      <c r="D165" s="23" t="n"/>
      <c r="E165" s="23" t="n"/>
      <c r="F165" s="23" t="n"/>
      <c r="G165" s="25" t="n"/>
      <c r="H165" s="26">
        <f>IF(C165="","",C165&amp;"|"&amp;D165)</f>
        <v/>
      </c>
    </row>
    <row r="166">
      <c r="A166" s="23" t="n"/>
      <c r="B166" s="24" t="n"/>
      <c r="C166" s="23" t="n"/>
      <c r="D166" s="23" t="n"/>
      <c r="E166" s="23" t="n"/>
      <c r="F166" s="23" t="n"/>
      <c r="G166" s="25" t="n"/>
      <c r="H166" s="26">
        <f>IF(C166="","",C166&amp;"|"&amp;D166)</f>
        <v/>
      </c>
    </row>
    <row r="167">
      <c r="A167" s="23" t="n"/>
      <c r="B167" s="24" t="n"/>
      <c r="C167" s="23" t="n"/>
      <c r="D167" s="23" t="n"/>
      <c r="E167" s="23" t="n"/>
      <c r="F167" s="23" t="n"/>
      <c r="G167" s="25" t="n"/>
      <c r="H167" s="26">
        <f>IF(C167="","",C167&amp;"|"&amp;D167)</f>
        <v/>
      </c>
    </row>
    <row r="168">
      <c r="A168" s="23" t="n"/>
      <c r="B168" s="24" t="n"/>
      <c r="C168" s="23" t="n"/>
      <c r="D168" s="23" t="n"/>
      <c r="E168" s="23" t="n"/>
      <c r="F168" s="23" t="n"/>
      <c r="G168" s="25" t="n"/>
      <c r="H168" s="26">
        <f>IF(C168="","",C168&amp;"|"&amp;D168)</f>
        <v/>
      </c>
    </row>
    <row r="169">
      <c r="A169" s="23" t="n"/>
      <c r="B169" s="24" t="n"/>
      <c r="C169" s="23" t="n"/>
      <c r="D169" s="23" t="n"/>
      <c r="E169" s="23" t="n"/>
      <c r="F169" s="23" t="n"/>
      <c r="G169" s="25" t="n"/>
      <c r="H169" s="26">
        <f>IF(C169="","",C169&amp;"|"&amp;D169)</f>
        <v/>
      </c>
    </row>
    <row r="170">
      <c r="A170" s="23" t="n"/>
      <c r="B170" s="24" t="n"/>
      <c r="C170" s="23" t="n"/>
      <c r="D170" s="23" t="n"/>
      <c r="E170" s="23" t="n"/>
      <c r="F170" s="23" t="n"/>
      <c r="G170" s="25" t="n"/>
      <c r="H170" s="26">
        <f>IF(C170="","",C170&amp;"|"&amp;D170)</f>
        <v/>
      </c>
    </row>
    <row r="171">
      <c r="A171" s="23" t="n"/>
      <c r="B171" s="24" t="n"/>
      <c r="C171" s="23" t="n"/>
      <c r="D171" s="23" t="n"/>
      <c r="E171" s="23" t="n"/>
      <c r="F171" s="23" t="n"/>
      <c r="G171" s="25" t="n"/>
      <c r="H171" s="26">
        <f>IF(C171="","",C171&amp;"|"&amp;D171)</f>
        <v/>
      </c>
    </row>
    <row r="172">
      <c r="A172" s="23" t="n"/>
      <c r="B172" s="24" t="n"/>
      <c r="C172" s="23" t="n"/>
      <c r="D172" s="23" t="n"/>
      <c r="E172" s="23" t="n"/>
      <c r="F172" s="23" t="n"/>
      <c r="G172" s="25" t="n"/>
      <c r="H172" s="26">
        <f>IF(C172="","",C172&amp;"|"&amp;D172)</f>
        <v/>
      </c>
    </row>
    <row r="173">
      <c r="A173" s="23" t="n"/>
      <c r="B173" s="24" t="n"/>
      <c r="C173" s="23" t="n"/>
      <c r="D173" s="23" t="n"/>
      <c r="E173" s="23" t="n"/>
      <c r="F173" s="23" t="n"/>
      <c r="G173" s="25" t="n"/>
      <c r="H173" s="26">
        <f>IF(C173="","",C173&amp;"|"&amp;D173)</f>
        <v/>
      </c>
    </row>
    <row r="174">
      <c r="A174" s="23" t="n"/>
      <c r="B174" s="24" t="n"/>
      <c r="C174" s="23" t="n"/>
      <c r="D174" s="23" t="n"/>
      <c r="E174" s="23" t="n"/>
      <c r="F174" s="23" t="n"/>
      <c r="G174" s="25" t="n"/>
      <c r="H174" s="26">
        <f>IF(C174="","",C174&amp;"|"&amp;D174)</f>
        <v/>
      </c>
    </row>
    <row r="175">
      <c r="A175" s="23" t="n"/>
      <c r="B175" s="24" t="n"/>
      <c r="C175" s="23" t="n"/>
      <c r="D175" s="23" t="n"/>
      <c r="E175" s="23" t="n"/>
      <c r="F175" s="23" t="n"/>
      <c r="G175" s="25" t="n"/>
      <c r="H175" s="26">
        <f>IF(C175="","",C175&amp;"|"&amp;D175)</f>
        <v/>
      </c>
    </row>
    <row r="176">
      <c r="A176" s="23" t="n"/>
      <c r="B176" s="24" t="n"/>
      <c r="C176" s="23" t="n"/>
      <c r="D176" s="23" t="n"/>
      <c r="E176" s="23" t="n"/>
      <c r="F176" s="23" t="n"/>
      <c r="G176" s="25" t="n"/>
      <c r="H176" s="26">
        <f>IF(C176="","",C176&amp;"|"&amp;D176)</f>
        <v/>
      </c>
    </row>
    <row r="177">
      <c r="A177" s="23" t="n"/>
      <c r="B177" s="24" t="n"/>
      <c r="C177" s="23" t="n"/>
      <c r="D177" s="23" t="n"/>
      <c r="E177" s="23" t="n"/>
      <c r="F177" s="23" t="n"/>
      <c r="G177" s="25" t="n"/>
      <c r="H177" s="26">
        <f>IF(C177="","",C177&amp;"|"&amp;D177)</f>
        <v/>
      </c>
    </row>
    <row r="178">
      <c r="A178" s="23" t="n"/>
      <c r="B178" s="24" t="n"/>
      <c r="C178" s="23" t="n"/>
      <c r="D178" s="23" t="n"/>
      <c r="E178" s="23" t="n"/>
      <c r="F178" s="23" t="n"/>
      <c r="G178" s="25" t="n"/>
      <c r="H178" s="26">
        <f>IF(C178="","",C178&amp;"|"&amp;D178)</f>
        <v/>
      </c>
    </row>
    <row r="179">
      <c r="A179" s="23" t="n"/>
      <c r="B179" s="24" t="n"/>
      <c r="C179" s="23" t="n"/>
      <c r="D179" s="23" t="n"/>
      <c r="E179" s="23" t="n"/>
      <c r="F179" s="23" t="n"/>
      <c r="G179" s="25" t="n"/>
      <c r="H179" s="26">
        <f>IF(C179="","",C179&amp;"|"&amp;D179)</f>
        <v/>
      </c>
    </row>
    <row r="180">
      <c r="A180" s="23" t="n"/>
      <c r="B180" s="24" t="n"/>
      <c r="C180" s="23" t="n"/>
      <c r="D180" s="23" t="n"/>
      <c r="E180" s="23" t="n"/>
      <c r="F180" s="23" t="n"/>
      <c r="G180" s="25" t="n"/>
      <c r="H180" s="26">
        <f>IF(C180="","",C180&amp;"|"&amp;D180)</f>
        <v/>
      </c>
    </row>
    <row r="181">
      <c r="A181" s="23" t="n"/>
      <c r="B181" s="24" t="n"/>
      <c r="C181" s="23" t="n"/>
      <c r="D181" s="23" t="n"/>
      <c r="E181" s="23" t="n"/>
      <c r="F181" s="23" t="n"/>
      <c r="G181" s="25" t="n"/>
      <c r="H181" s="26">
        <f>IF(C181="","",C181&amp;"|"&amp;D181)</f>
        <v/>
      </c>
    </row>
    <row r="182">
      <c r="A182" s="23" t="n"/>
      <c r="B182" s="24" t="n"/>
      <c r="C182" s="23" t="n"/>
      <c r="D182" s="23" t="n"/>
      <c r="E182" s="23" t="n"/>
      <c r="F182" s="23" t="n"/>
      <c r="G182" s="25" t="n"/>
      <c r="H182" s="26">
        <f>IF(C182="","",C182&amp;"|"&amp;D182)</f>
        <v/>
      </c>
    </row>
    <row r="183">
      <c r="A183" s="23" t="n"/>
      <c r="B183" s="24" t="n"/>
      <c r="C183" s="23" t="n"/>
      <c r="D183" s="23" t="n"/>
      <c r="E183" s="23" t="n"/>
      <c r="F183" s="23" t="n"/>
      <c r="G183" s="25" t="n"/>
      <c r="H183" s="26">
        <f>IF(C183="","",C183&amp;"|"&amp;D183)</f>
        <v/>
      </c>
    </row>
    <row r="184">
      <c r="A184" s="23" t="n"/>
      <c r="B184" s="24" t="n"/>
      <c r="C184" s="23" t="n"/>
      <c r="D184" s="23" t="n"/>
      <c r="E184" s="23" t="n"/>
      <c r="F184" s="23" t="n"/>
      <c r="G184" s="25" t="n"/>
      <c r="H184" s="26">
        <f>IF(C184="","",C184&amp;"|"&amp;D184)</f>
        <v/>
      </c>
    </row>
    <row r="185">
      <c r="A185" s="23" t="n"/>
      <c r="B185" s="24" t="n"/>
      <c r="C185" s="23" t="n"/>
      <c r="D185" s="23" t="n"/>
      <c r="E185" s="23" t="n"/>
      <c r="F185" s="23" t="n"/>
      <c r="G185" s="25" t="n"/>
      <c r="H185" s="26">
        <f>IF(C185="","",C185&amp;"|"&amp;D185)</f>
        <v/>
      </c>
    </row>
    <row r="186">
      <c r="A186" s="23" t="n"/>
      <c r="B186" s="24" t="n"/>
      <c r="C186" s="23" t="n"/>
      <c r="D186" s="23" t="n"/>
      <c r="E186" s="23" t="n"/>
      <c r="F186" s="23" t="n"/>
      <c r="G186" s="25" t="n"/>
      <c r="H186" s="26">
        <f>IF(C186="","",C186&amp;"|"&amp;D186)</f>
        <v/>
      </c>
    </row>
    <row r="187">
      <c r="A187" s="23" t="n"/>
      <c r="B187" s="24" t="n"/>
      <c r="C187" s="23" t="n"/>
      <c r="D187" s="23" t="n"/>
      <c r="E187" s="23" t="n"/>
      <c r="F187" s="23" t="n"/>
      <c r="G187" s="25" t="n"/>
      <c r="H187" s="26">
        <f>IF(C187="","",C187&amp;"|"&amp;D187)</f>
        <v/>
      </c>
    </row>
    <row r="188">
      <c r="A188" s="23" t="n"/>
      <c r="B188" s="24" t="n"/>
      <c r="C188" s="23" t="n"/>
      <c r="D188" s="23" t="n"/>
      <c r="E188" s="23" t="n"/>
      <c r="F188" s="23" t="n"/>
      <c r="G188" s="25" t="n"/>
      <c r="H188" s="26">
        <f>IF(C188="","",C188&amp;"|"&amp;D188)</f>
        <v/>
      </c>
    </row>
    <row r="189">
      <c r="A189" s="23" t="n"/>
      <c r="B189" s="24" t="n"/>
      <c r="C189" s="23" t="n"/>
      <c r="D189" s="23" t="n"/>
      <c r="E189" s="23" t="n"/>
      <c r="F189" s="23" t="n"/>
      <c r="G189" s="25" t="n"/>
      <c r="H189" s="26">
        <f>IF(C189="","",C189&amp;"|"&amp;D189)</f>
        <v/>
      </c>
    </row>
    <row r="190">
      <c r="A190" s="23" t="n"/>
      <c r="B190" s="24" t="n"/>
      <c r="C190" s="23" t="n"/>
      <c r="D190" s="23" t="n"/>
      <c r="E190" s="23" t="n"/>
      <c r="F190" s="23" t="n"/>
      <c r="G190" s="25" t="n"/>
      <c r="H190" s="26">
        <f>IF(C190="","",C190&amp;"|"&amp;D190)</f>
        <v/>
      </c>
    </row>
    <row r="191">
      <c r="A191" s="23" t="n"/>
      <c r="B191" s="24" t="n"/>
      <c r="C191" s="23" t="n"/>
      <c r="D191" s="23" t="n"/>
      <c r="E191" s="23" t="n"/>
      <c r="F191" s="23" t="n"/>
      <c r="G191" s="25" t="n"/>
      <c r="H191" s="26">
        <f>IF(C191="","",C191&amp;"|"&amp;D191)</f>
        <v/>
      </c>
    </row>
    <row r="192">
      <c r="A192" s="23" t="n"/>
      <c r="B192" s="24" t="n"/>
      <c r="C192" s="23" t="n"/>
      <c r="D192" s="23" t="n"/>
      <c r="E192" s="23" t="n"/>
      <c r="F192" s="23" t="n"/>
      <c r="G192" s="25" t="n"/>
      <c r="H192" s="26">
        <f>IF(C192="","",C192&amp;"|"&amp;D192)</f>
        <v/>
      </c>
    </row>
    <row r="193">
      <c r="A193" s="23" t="n"/>
      <c r="B193" s="24" t="n"/>
      <c r="C193" s="23" t="n"/>
      <c r="D193" s="23" t="n"/>
      <c r="E193" s="23" t="n"/>
      <c r="F193" s="23" t="n"/>
      <c r="G193" s="25" t="n"/>
      <c r="H193" s="26">
        <f>IF(C193="","",C193&amp;"|"&amp;D193)</f>
        <v/>
      </c>
    </row>
    <row r="194">
      <c r="A194" s="23" t="n"/>
      <c r="B194" s="24" t="n"/>
      <c r="C194" s="23" t="n"/>
      <c r="D194" s="23" t="n"/>
      <c r="E194" s="23" t="n"/>
      <c r="F194" s="23" t="n"/>
      <c r="G194" s="25" t="n"/>
      <c r="H194" s="26">
        <f>IF(C194="","",C194&amp;"|"&amp;D194)</f>
        <v/>
      </c>
    </row>
    <row r="195">
      <c r="A195" s="23" t="n"/>
      <c r="B195" s="24" t="n"/>
      <c r="C195" s="23" t="n"/>
      <c r="D195" s="23" t="n"/>
      <c r="E195" s="23" t="n"/>
      <c r="F195" s="23" t="n"/>
      <c r="G195" s="25" t="n"/>
      <c r="H195" s="26">
        <f>IF(C195="","",C195&amp;"|"&amp;D195)</f>
        <v/>
      </c>
    </row>
    <row r="196">
      <c r="A196" s="23" t="n"/>
      <c r="B196" s="24" t="n"/>
      <c r="C196" s="23" t="n"/>
      <c r="D196" s="23" t="n"/>
      <c r="E196" s="23" t="n"/>
      <c r="F196" s="23" t="n"/>
      <c r="G196" s="25" t="n"/>
      <c r="H196" s="26">
        <f>IF(C196="","",C196&amp;"|"&amp;D196)</f>
        <v/>
      </c>
    </row>
    <row r="197">
      <c r="A197" s="23" t="n"/>
      <c r="B197" s="24" t="n"/>
      <c r="C197" s="23" t="n"/>
      <c r="D197" s="23" t="n"/>
      <c r="E197" s="23" t="n"/>
      <c r="F197" s="23" t="n"/>
      <c r="G197" s="25" t="n"/>
      <c r="H197" s="26">
        <f>IF(C197="","",C197&amp;"|"&amp;D197)</f>
        <v/>
      </c>
    </row>
    <row r="198">
      <c r="A198" s="23" t="n"/>
      <c r="B198" s="24" t="n"/>
      <c r="C198" s="23" t="n"/>
      <c r="D198" s="23" t="n"/>
      <c r="E198" s="23" t="n"/>
      <c r="F198" s="23" t="n"/>
      <c r="G198" s="25" t="n"/>
      <c r="H198" s="26">
        <f>IF(C198="","",C198&amp;"|"&amp;D198)</f>
        <v/>
      </c>
    </row>
    <row r="199">
      <c r="A199" s="23" t="n"/>
      <c r="B199" s="24" t="n"/>
      <c r="C199" s="23" t="n"/>
      <c r="D199" s="23" t="n"/>
      <c r="E199" s="23" t="n"/>
      <c r="F199" s="23" t="n"/>
      <c r="G199" s="25" t="n"/>
      <c r="H199" s="26">
        <f>IF(C199="","",C199&amp;"|"&amp;D199)</f>
        <v/>
      </c>
    </row>
    <row r="200">
      <c r="A200" s="23" t="n"/>
      <c r="B200" s="24" t="n"/>
      <c r="C200" s="23" t="n"/>
      <c r="D200" s="23" t="n"/>
      <c r="E200" s="23" t="n"/>
      <c r="F200" s="23" t="n"/>
      <c r="G200" s="25" t="n"/>
      <c r="H200" s="26">
        <f>IF(C200="","",C200&amp;"|"&amp;D200)</f>
        <v/>
      </c>
    </row>
    <row r="201">
      <c r="A201" s="23" t="n"/>
      <c r="B201" s="24" t="n"/>
      <c r="C201" s="23" t="n"/>
      <c r="D201" s="23" t="n"/>
      <c r="E201" s="23" t="n"/>
      <c r="F201" s="23" t="n"/>
      <c r="G201" s="25" t="n"/>
      <c r="H201" s="26">
        <f>IF(C201="","",C201&amp;"|"&amp;D201)</f>
        <v/>
      </c>
    </row>
    <row r="202">
      <c r="A202" s="23" t="n"/>
      <c r="B202" s="24" t="n"/>
      <c r="C202" s="23" t="n"/>
      <c r="D202" s="23" t="n"/>
      <c r="E202" s="23" t="n"/>
      <c r="F202" s="23" t="n"/>
      <c r="G202" s="25" t="n"/>
      <c r="H202" s="26">
        <f>IF(C202="","",C202&amp;"|"&amp;D202)</f>
        <v/>
      </c>
    </row>
    <row r="203">
      <c r="A203" s="23" t="n"/>
      <c r="B203" s="24" t="n"/>
      <c r="C203" s="23" t="n"/>
      <c r="D203" s="23" t="n"/>
      <c r="E203" s="23" t="n"/>
      <c r="F203" s="23" t="n"/>
      <c r="G203" s="25" t="n"/>
      <c r="H203" s="26">
        <f>IF(C203="","",C203&amp;"|"&amp;D203)</f>
        <v/>
      </c>
    </row>
    <row r="204">
      <c r="A204" s="23" t="n"/>
      <c r="B204" s="24" t="n"/>
      <c r="C204" s="23" t="n"/>
      <c r="D204" s="23" t="n"/>
      <c r="E204" s="23" t="n"/>
      <c r="F204" s="23" t="n"/>
      <c r="G204" s="25" t="n"/>
      <c r="H204" s="26">
        <f>IF(C204="","",C204&amp;"|"&amp;D204)</f>
        <v/>
      </c>
    </row>
    <row r="205">
      <c r="A205" s="23" t="n"/>
      <c r="B205" s="24" t="n"/>
      <c r="C205" s="23" t="n"/>
      <c r="D205" s="23" t="n"/>
      <c r="E205" s="23" t="n"/>
      <c r="F205" s="23" t="n"/>
      <c r="G205" s="25" t="n"/>
      <c r="H205" s="26">
        <f>IF(C205="","",C205&amp;"|"&amp;D205)</f>
        <v/>
      </c>
    </row>
    <row r="206">
      <c r="A206" s="23" t="n"/>
      <c r="B206" s="24" t="n"/>
      <c r="C206" s="23" t="n"/>
      <c r="D206" s="23" t="n"/>
      <c r="E206" s="23" t="n"/>
      <c r="F206" s="23" t="n"/>
      <c r="G206" s="25" t="n"/>
      <c r="H206" s="26">
        <f>IF(C206="","",C206&amp;"|"&amp;D206)</f>
        <v/>
      </c>
    </row>
    <row r="207">
      <c r="A207" s="23" t="n"/>
      <c r="B207" s="24" t="n"/>
      <c r="C207" s="23" t="n"/>
      <c r="D207" s="23" t="n"/>
      <c r="E207" s="23" t="n"/>
      <c r="F207" s="23" t="n"/>
      <c r="G207" s="25" t="n"/>
      <c r="H207" s="26">
        <f>IF(C207="","",C207&amp;"|"&amp;D207)</f>
        <v/>
      </c>
    </row>
    <row r="208">
      <c r="A208" s="23" t="n"/>
      <c r="B208" s="24" t="n"/>
      <c r="C208" s="23" t="n"/>
      <c r="D208" s="23" t="n"/>
      <c r="E208" s="23" t="n"/>
      <c r="F208" s="23" t="n"/>
      <c r="G208" s="25" t="n"/>
      <c r="H208" s="26">
        <f>IF(C208="","",C208&amp;"|"&amp;D208)</f>
        <v/>
      </c>
    </row>
    <row r="209">
      <c r="A209" s="23" t="n"/>
      <c r="B209" s="24" t="n"/>
      <c r="C209" s="23" t="n"/>
      <c r="D209" s="23" t="n"/>
      <c r="E209" s="23" t="n"/>
      <c r="F209" s="23" t="n"/>
      <c r="G209" s="25" t="n"/>
      <c r="H209" s="26">
        <f>IF(C209="","",C209&amp;"|"&amp;D209)</f>
        <v/>
      </c>
    </row>
    <row r="210">
      <c r="A210" s="23" t="n"/>
      <c r="B210" s="24" t="n"/>
      <c r="C210" s="23" t="n"/>
      <c r="D210" s="23" t="n"/>
      <c r="E210" s="23" t="n"/>
      <c r="F210" s="23" t="n"/>
      <c r="G210" s="25" t="n"/>
      <c r="H210" s="26">
        <f>IF(C210="","",C210&amp;"|"&amp;D210)</f>
        <v/>
      </c>
    </row>
    <row r="211">
      <c r="A211" s="23" t="n"/>
      <c r="B211" s="24" t="n"/>
      <c r="C211" s="23" t="n"/>
      <c r="D211" s="23" t="n"/>
      <c r="E211" s="23" t="n"/>
      <c r="F211" s="23" t="n"/>
      <c r="G211" s="25" t="n"/>
      <c r="H211" s="26">
        <f>IF(C211="","",C211&amp;"|"&amp;D211)</f>
        <v/>
      </c>
    </row>
    <row r="212">
      <c r="A212" s="23" t="n"/>
      <c r="B212" s="24" t="n"/>
      <c r="C212" s="23" t="n"/>
      <c r="D212" s="23" t="n"/>
      <c r="E212" s="23" t="n"/>
      <c r="F212" s="23" t="n"/>
      <c r="G212" s="25" t="n"/>
      <c r="H212" s="26">
        <f>IF(C212="","",C212&amp;"|"&amp;D212)</f>
        <v/>
      </c>
    </row>
    <row r="213">
      <c r="A213" s="23" t="n"/>
      <c r="B213" s="24" t="n"/>
      <c r="C213" s="23" t="n"/>
      <c r="D213" s="23" t="n"/>
      <c r="E213" s="23" t="n"/>
      <c r="F213" s="23" t="n"/>
      <c r="G213" s="25" t="n"/>
      <c r="H213" s="26">
        <f>IF(C213="","",C213&amp;"|"&amp;D213)</f>
        <v/>
      </c>
    </row>
    <row r="214">
      <c r="A214" s="23" t="n"/>
      <c r="B214" s="24" t="n"/>
      <c r="C214" s="23" t="n"/>
      <c r="D214" s="23" t="n"/>
      <c r="E214" s="23" t="n"/>
      <c r="F214" s="23" t="n"/>
      <c r="G214" s="25" t="n"/>
      <c r="H214" s="26">
        <f>IF(C214="","",C214&amp;"|"&amp;D214)</f>
        <v/>
      </c>
    </row>
    <row r="215">
      <c r="A215" s="23" t="n"/>
      <c r="B215" s="24" t="n"/>
      <c r="C215" s="23" t="n"/>
      <c r="D215" s="23" t="n"/>
      <c r="E215" s="23" t="n"/>
      <c r="F215" s="23" t="n"/>
      <c r="G215" s="25" t="n"/>
      <c r="H215" s="26">
        <f>IF(C215="","",C215&amp;"|"&amp;D215)</f>
        <v/>
      </c>
    </row>
    <row r="216">
      <c r="A216" s="23" t="n"/>
      <c r="B216" s="24" t="n"/>
      <c r="C216" s="23" t="n"/>
      <c r="D216" s="23" t="n"/>
      <c r="E216" s="23" t="n"/>
      <c r="F216" s="23" t="n"/>
      <c r="G216" s="25" t="n"/>
      <c r="H216" s="26">
        <f>IF(C216="","",C216&amp;"|"&amp;D216)</f>
        <v/>
      </c>
    </row>
    <row r="217">
      <c r="A217" s="23" t="n"/>
      <c r="B217" s="24" t="n"/>
      <c r="C217" s="23" t="n"/>
      <c r="D217" s="23" t="n"/>
      <c r="E217" s="23" t="n"/>
      <c r="F217" s="23" t="n"/>
      <c r="G217" s="25" t="n"/>
      <c r="H217" s="26">
        <f>IF(C217="","",C217&amp;"|"&amp;D217)</f>
        <v/>
      </c>
    </row>
    <row r="218">
      <c r="A218" s="23" t="n"/>
      <c r="B218" s="24" t="n"/>
      <c r="C218" s="23" t="n"/>
      <c r="D218" s="23" t="n"/>
      <c r="E218" s="23" t="n"/>
      <c r="F218" s="23" t="n"/>
      <c r="G218" s="25" t="n"/>
      <c r="H218" s="26">
        <f>IF(C218="","",C218&amp;"|"&amp;D218)</f>
        <v/>
      </c>
    </row>
    <row r="219">
      <c r="A219" s="23" t="n"/>
      <c r="B219" s="24" t="n"/>
      <c r="C219" s="23" t="n"/>
      <c r="D219" s="23" t="n"/>
      <c r="E219" s="23" t="n"/>
      <c r="F219" s="23" t="n"/>
      <c r="G219" s="25" t="n"/>
      <c r="H219" s="26">
        <f>IF(C219="","",C219&amp;"|"&amp;D219)</f>
        <v/>
      </c>
    </row>
    <row r="220">
      <c r="A220" s="23" t="n"/>
      <c r="B220" s="24" t="n"/>
      <c r="C220" s="23" t="n"/>
      <c r="D220" s="23" t="n"/>
      <c r="E220" s="23" t="n"/>
      <c r="F220" s="23" t="n"/>
      <c r="G220" s="25" t="n"/>
      <c r="H220" s="26">
        <f>IF(C220="","",C220&amp;"|"&amp;D220)</f>
        <v/>
      </c>
    </row>
    <row r="221">
      <c r="A221" s="23" t="n"/>
      <c r="B221" s="24" t="n"/>
      <c r="C221" s="23" t="n"/>
      <c r="D221" s="23" t="n"/>
      <c r="E221" s="23" t="n"/>
      <c r="F221" s="23" t="n"/>
      <c r="G221" s="25" t="n"/>
      <c r="H221" s="26">
        <f>IF(C221="","",C221&amp;"|"&amp;D221)</f>
        <v/>
      </c>
    </row>
    <row r="222">
      <c r="A222" s="23" t="n"/>
      <c r="B222" s="24" t="n"/>
      <c r="C222" s="23" t="n"/>
      <c r="D222" s="23" t="n"/>
      <c r="E222" s="23" t="n"/>
      <c r="F222" s="23" t="n"/>
      <c r="G222" s="25" t="n"/>
      <c r="H222" s="26">
        <f>IF(C222="","",C222&amp;"|"&amp;D222)</f>
        <v/>
      </c>
    </row>
    <row r="223">
      <c r="A223" s="23" t="n"/>
      <c r="B223" s="24" t="n"/>
      <c r="C223" s="23" t="n"/>
      <c r="D223" s="23" t="n"/>
      <c r="E223" s="23" t="n"/>
      <c r="F223" s="23" t="n"/>
      <c r="G223" s="25" t="n"/>
      <c r="H223" s="26">
        <f>IF(C223="","",C223&amp;"|"&amp;D223)</f>
        <v/>
      </c>
    </row>
    <row r="224">
      <c r="A224" s="23" t="n"/>
      <c r="B224" s="24" t="n"/>
      <c r="C224" s="23" t="n"/>
      <c r="D224" s="23" t="n"/>
      <c r="E224" s="23" t="n"/>
      <c r="F224" s="23" t="n"/>
      <c r="G224" s="25" t="n"/>
      <c r="H224" s="26">
        <f>IF(C224="","",C224&amp;"|"&amp;D224)</f>
        <v/>
      </c>
    </row>
    <row r="225">
      <c r="A225" s="23" t="n"/>
      <c r="B225" s="24" t="n"/>
      <c r="C225" s="23" t="n"/>
      <c r="D225" s="23" t="n"/>
      <c r="E225" s="23" t="n"/>
      <c r="F225" s="23" t="n"/>
      <c r="G225" s="25" t="n"/>
      <c r="H225" s="26">
        <f>IF(C225="","",C225&amp;"|"&amp;D225)</f>
        <v/>
      </c>
    </row>
    <row r="226">
      <c r="A226" s="23" t="n"/>
      <c r="B226" s="24" t="n"/>
      <c r="C226" s="23" t="n"/>
      <c r="D226" s="23" t="n"/>
      <c r="E226" s="23" t="n"/>
      <c r="F226" s="23" t="n"/>
      <c r="G226" s="25" t="n"/>
      <c r="H226" s="26">
        <f>IF(C226="","",C226&amp;"|"&amp;D226)</f>
        <v/>
      </c>
    </row>
    <row r="227">
      <c r="A227" s="23" t="n"/>
      <c r="B227" s="24" t="n"/>
      <c r="C227" s="23" t="n"/>
      <c r="D227" s="23" t="n"/>
      <c r="E227" s="23" t="n"/>
      <c r="F227" s="23" t="n"/>
      <c r="G227" s="25" t="n"/>
      <c r="H227" s="26">
        <f>IF(C227="","",C227&amp;"|"&amp;D227)</f>
        <v/>
      </c>
    </row>
    <row r="228">
      <c r="A228" s="23" t="n"/>
      <c r="B228" s="24" t="n"/>
      <c r="C228" s="23" t="n"/>
      <c r="D228" s="23" t="n"/>
      <c r="E228" s="23" t="n"/>
      <c r="F228" s="23" t="n"/>
      <c r="G228" s="25" t="n"/>
      <c r="H228" s="26">
        <f>IF(C228="","",C228&amp;"|"&amp;D228)</f>
        <v/>
      </c>
    </row>
    <row r="229">
      <c r="A229" s="23" t="n"/>
      <c r="B229" s="24" t="n"/>
      <c r="C229" s="23" t="n"/>
      <c r="D229" s="23" t="n"/>
      <c r="E229" s="23" t="n"/>
      <c r="F229" s="23" t="n"/>
      <c r="G229" s="25" t="n"/>
      <c r="H229" s="26">
        <f>IF(C229="","",C229&amp;"|"&amp;D229)</f>
        <v/>
      </c>
    </row>
    <row r="230">
      <c r="A230" s="23" t="n"/>
      <c r="B230" s="24" t="n"/>
      <c r="C230" s="23" t="n"/>
      <c r="D230" s="23" t="n"/>
      <c r="E230" s="23" t="n"/>
      <c r="F230" s="23" t="n"/>
      <c r="G230" s="25" t="n"/>
      <c r="H230" s="26">
        <f>IF(C230="","",C230&amp;"|"&amp;D230)</f>
        <v/>
      </c>
    </row>
    <row r="231">
      <c r="A231" s="23" t="n"/>
      <c r="B231" s="24" t="n"/>
      <c r="C231" s="23" t="n"/>
      <c r="D231" s="23" t="n"/>
      <c r="E231" s="23" t="n"/>
      <c r="F231" s="23" t="n"/>
      <c r="G231" s="25" t="n"/>
      <c r="H231" s="26">
        <f>IF(C231="","",C231&amp;"|"&amp;D231)</f>
        <v/>
      </c>
    </row>
    <row r="232">
      <c r="A232" s="23" t="n"/>
      <c r="B232" s="24" t="n"/>
      <c r="C232" s="23" t="n"/>
      <c r="D232" s="23" t="n"/>
      <c r="E232" s="23" t="n"/>
      <c r="F232" s="23" t="n"/>
      <c r="G232" s="25" t="n"/>
      <c r="H232" s="26">
        <f>IF(C232="","",C232&amp;"|"&amp;D232)</f>
        <v/>
      </c>
    </row>
    <row r="233">
      <c r="A233" s="23" t="n"/>
      <c r="B233" s="24" t="n"/>
      <c r="C233" s="23" t="n"/>
      <c r="D233" s="23" t="n"/>
      <c r="E233" s="23" t="n"/>
      <c r="F233" s="23" t="n"/>
      <c r="G233" s="25" t="n"/>
      <c r="H233" s="26">
        <f>IF(C233="","",C233&amp;"|"&amp;D233)</f>
        <v/>
      </c>
    </row>
    <row r="234">
      <c r="A234" s="23" t="n"/>
      <c r="B234" s="24" t="n"/>
      <c r="C234" s="23" t="n"/>
      <c r="D234" s="23" t="n"/>
      <c r="E234" s="23" t="n"/>
      <c r="F234" s="23" t="n"/>
      <c r="G234" s="25" t="n"/>
      <c r="H234" s="26">
        <f>IF(C234="","",C234&amp;"|"&amp;D234)</f>
        <v/>
      </c>
    </row>
    <row r="235">
      <c r="A235" s="23" t="n"/>
      <c r="B235" s="24" t="n"/>
      <c r="C235" s="23" t="n"/>
      <c r="D235" s="23" t="n"/>
      <c r="E235" s="23" t="n"/>
      <c r="F235" s="23" t="n"/>
      <c r="G235" s="25" t="n"/>
      <c r="H235" s="26">
        <f>IF(C235="","",C235&amp;"|"&amp;D235)</f>
        <v/>
      </c>
    </row>
    <row r="236">
      <c r="A236" s="23" t="n"/>
      <c r="B236" s="24" t="n"/>
      <c r="C236" s="23" t="n"/>
      <c r="D236" s="23" t="n"/>
      <c r="E236" s="23" t="n"/>
      <c r="F236" s="23" t="n"/>
      <c r="G236" s="25" t="n"/>
      <c r="H236" s="26">
        <f>IF(C236="","",C236&amp;"|"&amp;D236)</f>
        <v/>
      </c>
    </row>
    <row r="237">
      <c r="A237" s="23" t="n"/>
      <c r="B237" s="24" t="n"/>
      <c r="C237" s="23" t="n"/>
      <c r="D237" s="23" t="n"/>
      <c r="E237" s="23" t="n"/>
      <c r="F237" s="23" t="n"/>
      <c r="G237" s="25" t="n"/>
      <c r="H237" s="26">
        <f>IF(C237="","",C237&amp;"|"&amp;D237)</f>
        <v/>
      </c>
    </row>
    <row r="238">
      <c r="A238" s="23" t="n"/>
      <c r="B238" s="24" t="n"/>
      <c r="C238" s="23" t="n"/>
      <c r="D238" s="23" t="n"/>
      <c r="E238" s="23" t="n"/>
      <c r="F238" s="23" t="n"/>
      <c r="G238" s="25" t="n"/>
      <c r="H238" s="26">
        <f>IF(C238="","",C238&amp;"|"&amp;D238)</f>
        <v/>
      </c>
    </row>
    <row r="239">
      <c r="A239" s="23" t="n"/>
      <c r="B239" s="24" t="n"/>
      <c r="C239" s="23" t="n"/>
      <c r="D239" s="23" t="n"/>
      <c r="E239" s="23" t="n"/>
      <c r="F239" s="23" t="n"/>
      <c r="G239" s="25" t="n"/>
      <c r="H239" s="26">
        <f>IF(C239="","",C239&amp;"|"&amp;D239)</f>
        <v/>
      </c>
    </row>
    <row r="240">
      <c r="A240" s="23" t="n"/>
      <c r="B240" s="24" t="n"/>
      <c r="C240" s="23" t="n"/>
      <c r="D240" s="23" t="n"/>
      <c r="E240" s="23" t="n"/>
      <c r="F240" s="23" t="n"/>
      <c r="G240" s="25" t="n"/>
      <c r="H240" s="26">
        <f>IF(C240="","",C240&amp;"|"&amp;D240)</f>
        <v/>
      </c>
    </row>
    <row r="241">
      <c r="A241" s="23" t="n"/>
      <c r="B241" s="24" t="n"/>
      <c r="C241" s="23" t="n"/>
      <c r="D241" s="23" t="n"/>
      <c r="E241" s="23" t="n"/>
      <c r="F241" s="23" t="n"/>
      <c r="G241" s="25" t="n"/>
      <c r="H241" s="26">
        <f>IF(C241="","",C241&amp;"|"&amp;D241)</f>
        <v/>
      </c>
    </row>
    <row r="242">
      <c r="A242" s="23" t="n"/>
      <c r="B242" s="24" t="n"/>
      <c r="C242" s="23" t="n"/>
      <c r="D242" s="23" t="n"/>
      <c r="E242" s="23" t="n"/>
      <c r="F242" s="23" t="n"/>
      <c r="G242" s="25" t="n"/>
      <c r="H242" s="26">
        <f>IF(C242="","",C242&amp;"|"&amp;D242)</f>
        <v/>
      </c>
    </row>
    <row r="243">
      <c r="A243" s="23" t="n"/>
      <c r="B243" s="24" t="n"/>
      <c r="C243" s="23" t="n"/>
      <c r="D243" s="23" t="n"/>
      <c r="E243" s="23" t="n"/>
      <c r="F243" s="23" t="n"/>
      <c r="G243" s="25" t="n"/>
      <c r="H243" s="26">
        <f>IF(C243="","",C243&amp;"|"&amp;D243)</f>
        <v/>
      </c>
    </row>
    <row r="244">
      <c r="A244" s="23" t="n"/>
      <c r="B244" s="24" t="n"/>
      <c r="C244" s="23" t="n"/>
      <c r="D244" s="23" t="n"/>
      <c r="E244" s="23" t="n"/>
      <c r="F244" s="23" t="n"/>
      <c r="G244" s="25" t="n"/>
      <c r="H244" s="26">
        <f>IF(C244="","",C244&amp;"|"&amp;D244)</f>
        <v/>
      </c>
    </row>
    <row r="245">
      <c r="A245" s="23" t="n"/>
      <c r="B245" s="24" t="n"/>
      <c r="C245" s="23" t="n"/>
      <c r="D245" s="23" t="n"/>
      <c r="E245" s="23" t="n"/>
      <c r="F245" s="23" t="n"/>
      <c r="G245" s="25" t="n"/>
      <c r="H245" s="26">
        <f>IF(C245="","",C245&amp;"|"&amp;D245)</f>
        <v/>
      </c>
    </row>
    <row r="246">
      <c r="A246" s="23" t="n"/>
      <c r="B246" s="24" t="n"/>
      <c r="C246" s="23" t="n"/>
      <c r="D246" s="23" t="n"/>
      <c r="E246" s="23" t="n"/>
      <c r="F246" s="23" t="n"/>
      <c r="G246" s="25" t="n"/>
      <c r="H246" s="26">
        <f>IF(C246="","",C246&amp;"|"&amp;D246)</f>
        <v/>
      </c>
    </row>
    <row r="247">
      <c r="A247" s="23" t="n"/>
      <c r="B247" s="24" t="n"/>
      <c r="C247" s="23" t="n"/>
      <c r="D247" s="23" t="n"/>
      <c r="E247" s="23" t="n"/>
      <c r="F247" s="23" t="n"/>
      <c r="G247" s="25" t="n"/>
      <c r="H247" s="26">
        <f>IF(C247="","",C247&amp;"|"&amp;D247)</f>
        <v/>
      </c>
    </row>
    <row r="248">
      <c r="A248" s="23" t="n"/>
      <c r="B248" s="24" t="n"/>
      <c r="C248" s="23" t="n"/>
      <c r="D248" s="23" t="n"/>
      <c r="E248" s="23" t="n"/>
      <c r="F248" s="23" t="n"/>
      <c r="G248" s="25" t="n"/>
      <c r="H248" s="26">
        <f>IF(C248="","",C248&amp;"|"&amp;D248)</f>
        <v/>
      </c>
    </row>
    <row r="249">
      <c r="A249" s="23" t="n"/>
      <c r="B249" s="24" t="n"/>
      <c r="C249" s="23" t="n"/>
      <c r="D249" s="23" t="n"/>
      <c r="E249" s="23" t="n"/>
      <c r="F249" s="23" t="n"/>
      <c r="G249" s="25" t="n"/>
      <c r="H249" s="26">
        <f>IF(C249="","",C249&amp;"|"&amp;D249)</f>
        <v/>
      </c>
    </row>
    <row r="250">
      <c r="A250" s="23" t="n"/>
      <c r="B250" s="24" t="n"/>
      <c r="C250" s="23" t="n"/>
      <c r="D250" s="23" t="n"/>
      <c r="E250" s="23" t="n"/>
      <c r="F250" s="23" t="n"/>
      <c r="G250" s="25" t="n"/>
      <c r="H250" s="26">
        <f>IF(C250="","",C250&amp;"|"&amp;D250)</f>
        <v/>
      </c>
    </row>
    <row r="251">
      <c r="A251" s="23" t="n"/>
      <c r="B251" s="24" t="n"/>
      <c r="C251" s="23" t="n"/>
      <c r="D251" s="23" t="n"/>
      <c r="E251" s="23" t="n"/>
      <c r="F251" s="23" t="n"/>
      <c r="G251" s="25" t="n"/>
      <c r="H251" s="26">
        <f>IF(C251="","",C251&amp;"|"&amp;D251)</f>
        <v/>
      </c>
    </row>
    <row r="252">
      <c r="A252" s="23" t="n"/>
      <c r="B252" s="24" t="n"/>
      <c r="C252" s="23" t="n"/>
      <c r="D252" s="23" t="n"/>
      <c r="E252" s="23" t="n"/>
      <c r="F252" s="23" t="n"/>
      <c r="G252" s="25" t="n"/>
      <c r="H252" s="26">
        <f>IF(C252="","",C252&amp;"|"&amp;D252)</f>
        <v/>
      </c>
    </row>
    <row r="253">
      <c r="A253" s="23" t="n"/>
      <c r="B253" s="24" t="n"/>
      <c r="C253" s="23" t="n"/>
      <c r="D253" s="23" t="n"/>
      <c r="E253" s="23" t="n"/>
      <c r="F253" s="23" t="n"/>
      <c r="G253" s="25" t="n"/>
      <c r="H253" s="26">
        <f>IF(C253="","",C253&amp;"|"&amp;D253)</f>
        <v/>
      </c>
    </row>
    <row r="254">
      <c r="A254" s="23" t="n"/>
      <c r="B254" s="24" t="n"/>
      <c r="C254" s="23" t="n"/>
      <c r="D254" s="23" t="n"/>
      <c r="E254" s="23" t="n"/>
      <c r="F254" s="23" t="n"/>
      <c r="G254" s="25" t="n"/>
      <c r="H254" s="26">
        <f>IF(C254="","",C254&amp;"|"&amp;D254)</f>
        <v/>
      </c>
    </row>
    <row r="255">
      <c r="A255" s="23" t="n"/>
      <c r="B255" s="24" t="n"/>
      <c r="C255" s="23" t="n"/>
      <c r="D255" s="23" t="n"/>
      <c r="E255" s="23" t="n"/>
      <c r="F255" s="23" t="n"/>
      <c r="G255" s="25" t="n"/>
      <c r="H255" s="26">
        <f>IF(C255="","",C255&amp;"|"&amp;D255)</f>
        <v/>
      </c>
    </row>
    <row r="256">
      <c r="A256" s="23" t="n"/>
      <c r="B256" s="24" t="n"/>
      <c r="C256" s="23" t="n"/>
      <c r="D256" s="23" t="n"/>
      <c r="E256" s="23" t="n"/>
      <c r="F256" s="23" t="n"/>
      <c r="G256" s="25" t="n"/>
      <c r="H256" s="26">
        <f>IF(C256="","",C256&amp;"|"&amp;D256)</f>
        <v/>
      </c>
    </row>
    <row r="257">
      <c r="A257" s="23" t="n"/>
      <c r="B257" s="24" t="n"/>
      <c r="C257" s="23" t="n"/>
      <c r="D257" s="23" t="n"/>
      <c r="E257" s="23" t="n"/>
      <c r="F257" s="23" t="n"/>
      <c r="G257" s="25" t="n"/>
      <c r="H257" s="26">
        <f>IF(C257="","",C257&amp;"|"&amp;D257)</f>
        <v/>
      </c>
    </row>
    <row r="258">
      <c r="A258" s="23" t="n"/>
      <c r="B258" s="24" t="n"/>
      <c r="C258" s="23" t="n"/>
      <c r="D258" s="23" t="n"/>
      <c r="E258" s="23" t="n"/>
      <c r="F258" s="23" t="n"/>
      <c r="G258" s="25" t="n"/>
      <c r="H258" s="26">
        <f>IF(C258="","",C258&amp;"|"&amp;D258)</f>
        <v/>
      </c>
    </row>
    <row r="259">
      <c r="A259" s="23" t="n"/>
      <c r="B259" s="24" t="n"/>
      <c r="C259" s="23" t="n"/>
      <c r="D259" s="23" t="n"/>
      <c r="E259" s="23" t="n"/>
      <c r="F259" s="23" t="n"/>
      <c r="G259" s="25" t="n"/>
      <c r="H259" s="26">
        <f>IF(C259="","",C259&amp;"|"&amp;D259)</f>
        <v/>
      </c>
    </row>
    <row r="260">
      <c r="A260" s="23" t="n"/>
      <c r="B260" s="24" t="n"/>
      <c r="C260" s="23" t="n"/>
      <c r="D260" s="23" t="n"/>
      <c r="E260" s="23" t="n"/>
      <c r="F260" s="23" t="n"/>
      <c r="G260" s="25" t="n"/>
      <c r="H260" s="26">
        <f>IF(C260="","",C260&amp;"|"&amp;D260)</f>
        <v/>
      </c>
    </row>
    <row r="261">
      <c r="A261" s="23" t="n"/>
      <c r="B261" s="24" t="n"/>
      <c r="C261" s="23" t="n"/>
      <c r="D261" s="23" t="n"/>
      <c r="E261" s="23" t="n"/>
      <c r="F261" s="23" t="n"/>
      <c r="G261" s="25" t="n"/>
      <c r="H261" s="26">
        <f>IF(C261="","",C261&amp;"|"&amp;D261)</f>
        <v/>
      </c>
    </row>
    <row r="262">
      <c r="A262" s="23" t="n"/>
      <c r="B262" s="24" t="n"/>
      <c r="C262" s="23" t="n"/>
      <c r="D262" s="23" t="n"/>
      <c r="E262" s="23" t="n"/>
      <c r="F262" s="23" t="n"/>
      <c r="G262" s="25" t="n"/>
      <c r="H262" s="26">
        <f>IF(C262="","",C262&amp;"|"&amp;D262)</f>
        <v/>
      </c>
    </row>
    <row r="263">
      <c r="A263" s="23" t="n"/>
      <c r="B263" s="24" t="n"/>
      <c r="C263" s="23" t="n"/>
      <c r="D263" s="23" t="n"/>
      <c r="E263" s="23" t="n"/>
      <c r="F263" s="23" t="n"/>
      <c r="G263" s="25" t="n"/>
      <c r="H263" s="26">
        <f>IF(C263="","",C263&amp;"|"&amp;D263)</f>
        <v/>
      </c>
    </row>
    <row r="264">
      <c r="A264" s="23" t="n"/>
      <c r="B264" s="24" t="n"/>
      <c r="C264" s="23" t="n"/>
      <c r="D264" s="23" t="n"/>
      <c r="E264" s="23" t="n"/>
      <c r="F264" s="23" t="n"/>
      <c r="G264" s="25" t="n"/>
      <c r="H264" s="26">
        <f>IF(C264="","",C264&amp;"|"&amp;D264)</f>
        <v/>
      </c>
    </row>
    <row r="265">
      <c r="A265" s="23" t="n"/>
      <c r="B265" s="24" t="n"/>
      <c r="C265" s="23" t="n"/>
      <c r="D265" s="23" t="n"/>
      <c r="E265" s="23" t="n"/>
      <c r="F265" s="23" t="n"/>
      <c r="G265" s="25" t="n"/>
      <c r="H265" s="26">
        <f>IF(C265="","",C265&amp;"|"&amp;D265)</f>
        <v/>
      </c>
    </row>
    <row r="266">
      <c r="A266" s="23" t="n"/>
      <c r="B266" s="24" t="n"/>
      <c r="C266" s="23" t="n"/>
      <c r="D266" s="23" t="n"/>
      <c r="E266" s="23" t="n"/>
      <c r="F266" s="23" t="n"/>
      <c r="G266" s="25" t="n"/>
      <c r="H266" s="26">
        <f>IF(C266="","",C266&amp;"|"&amp;D266)</f>
        <v/>
      </c>
    </row>
    <row r="267">
      <c r="A267" s="23" t="n"/>
      <c r="B267" s="24" t="n"/>
      <c r="C267" s="23" t="n"/>
      <c r="D267" s="23" t="n"/>
      <c r="E267" s="23" t="n"/>
      <c r="F267" s="23" t="n"/>
      <c r="G267" s="25" t="n"/>
      <c r="H267" s="26">
        <f>IF(C267="","",C267&amp;"|"&amp;D267)</f>
        <v/>
      </c>
    </row>
    <row r="268">
      <c r="A268" s="23" t="n"/>
      <c r="B268" s="24" t="n"/>
      <c r="C268" s="23" t="n"/>
      <c r="D268" s="23" t="n"/>
      <c r="E268" s="23" t="n"/>
      <c r="F268" s="23" t="n"/>
      <c r="G268" s="25" t="n"/>
      <c r="H268" s="26">
        <f>IF(C268="","",C268&amp;"|"&amp;D268)</f>
        <v/>
      </c>
    </row>
    <row r="269">
      <c r="A269" s="23" t="n"/>
      <c r="B269" s="24" t="n"/>
      <c r="C269" s="23" t="n"/>
      <c r="D269" s="23" t="n"/>
      <c r="E269" s="23" t="n"/>
      <c r="F269" s="23" t="n"/>
      <c r="G269" s="25" t="n"/>
      <c r="H269" s="26">
        <f>IF(C269="","",C269&amp;"|"&amp;D269)</f>
        <v/>
      </c>
    </row>
    <row r="270">
      <c r="A270" s="23" t="n"/>
      <c r="B270" s="24" t="n"/>
      <c r="C270" s="23" t="n"/>
      <c r="D270" s="23" t="n"/>
      <c r="E270" s="23" t="n"/>
      <c r="F270" s="23" t="n"/>
      <c r="G270" s="25" t="n"/>
      <c r="H270" s="26">
        <f>IF(C270="","",C270&amp;"|"&amp;D270)</f>
        <v/>
      </c>
    </row>
    <row r="271">
      <c r="A271" s="23" t="n"/>
      <c r="B271" s="24" t="n"/>
      <c r="C271" s="23" t="n"/>
      <c r="D271" s="23" t="n"/>
      <c r="E271" s="23" t="n"/>
      <c r="F271" s="23" t="n"/>
      <c r="G271" s="25" t="n"/>
      <c r="H271" s="26">
        <f>IF(C271="","",C271&amp;"|"&amp;D271)</f>
        <v/>
      </c>
    </row>
    <row r="272">
      <c r="A272" s="23" t="n"/>
      <c r="B272" s="24" t="n"/>
      <c r="C272" s="23" t="n"/>
      <c r="D272" s="23" t="n"/>
      <c r="E272" s="23" t="n"/>
      <c r="F272" s="23" t="n"/>
      <c r="G272" s="25" t="n"/>
      <c r="H272" s="26">
        <f>IF(C272="","",C272&amp;"|"&amp;D272)</f>
        <v/>
      </c>
    </row>
    <row r="273">
      <c r="A273" s="23" t="n"/>
      <c r="B273" s="24" t="n"/>
      <c r="C273" s="23" t="n"/>
      <c r="D273" s="23" t="n"/>
      <c r="E273" s="23" t="n"/>
      <c r="F273" s="23" t="n"/>
      <c r="G273" s="25" t="n"/>
      <c r="H273" s="26">
        <f>IF(C273="","",C273&amp;"|"&amp;D273)</f>
        <v/>
      </c>
    </row>
    <row r="274">
      <c r="A274" s="23" t="n"/>
      <c r="B274" s="24" t="n"/>
      <c r="C274" s="23" t="n"/>
      <c r="D274" s="23" t="n"/>
      <c r="E274" s="23" t="n"/>
      <c r="F274" s="23" t="n"/>
      <c r="G274" s="25" t="n"/>
      <c r="H274" s="26">
        <f>IF(C274="","",C274&amp;"|"&amp;D274)</f>
        <v/>
      </c>
    </row>
    <row r="275">
      <c r="A275" s="23" t="n"/>
      <c r="B275" s="24" t="n"/>
      <c r="C275" s="23" t="n"/>
      <c r="D275" s="23" t="n"/>
      <c r="E275" s="23" t="n"/>
      <c r="F275" s="23" t="n"/>
      <c r="G275" s="25" t="n"/>
      <c r="H275" s="26">
        <f>IF(C275="","",C275&amp;"|"&amp;D275)</f>
        <v/>
      </c>
    </row>
    <row r="276">
      <c r="A276" s="23" t="n"/>
      <c r="B276" s="24" t="n"/>
      <c r="C276" s="23" t="n"/>
      <c r="D276" s="23" t="n"/>
      <c r="E276" s="23" t="n"/>
      <c r="F276" s="23" t="n"/>
      <c r="G276" s="25" t="n"/>
      <c r="H276" s="26">
        <f>IF(C276="","",C276&amp;"|"&amp;D276)</f>
        <v/>
      </c>
    </row>
    <row r="277">
      <c r="A277" s="23" t="n"/>
      <c r="B277" s="24" t="n"/>
      <c r="C277" s="23" t="n"/>
      <c r="D277" s="23" t="n"/>
      <c r="E277" s="23" t="n"/>
      <c r="F277" s="23" t="n"/>
      <c r="G277" s="25" t="n"/>
      <c r="H277" s="26">
        <f>IF(C277="","",C277&amp;"|"&amp;D277)</f>
        <v/>
      </c>
    </row>
    <row r="278">
      <c r="A278" s="23" t="n"/>
      <c r="B278" s="24" t="n"/>
      <c r="C278" s="23" t="n"/>
      <c r="D278" s="23" t="n"/>
      <c r="E278" s="23" t="n"/>
      <c r="F278" s="23" t="n"/>
      <c r="G278" s="25" t="n"/>
      <c r="H278" s="26">
        <f>IF(C278="","",C278&amp;"|"&amp;D278)</f>
        <v/>
      </c>
    </row>
    <row r="279">
      <c r="A279" s="23" t="n"/>
      <c r="B279" s="24" t="n"/>
      <c r="C279" s="23" t="n"/>
      <c r="D279" s="23" t="n"/>
      <c r="E279" s="23" t="n"/>
      <c r="F279" s="23" t="n"/>
      <c r="G279" s="25" t="n"/>
      <c r="H279" s="26">
        <f>IF(C279="","",C279&amp;"|"&amp;D279)</f>
        <v/>
      </c>
    </row>
    <row r="280">
      <c r="A280" s="23" t="n"/>
      <c r="B280" s="24" t="n"/>
      <c r="C280" s="23" t="n"/>
      <c r="D280" s="23" t="n"/>
      <c r="E280" s="23" t="n"/>
      <c r="F280" s="23" t="n"/>
      <c r="G280" s="25" t="n"/>
      <c r="H280" s="26">
        <f>IF(C280="","",C280&amp;"|"&amp;D280)</f>
        <v/>
      </c>
    </row>
    <row r="281">
      <c r="A281" s="23" t="n"/>
      <c r="B281" s="24" t="n"/>
      <c r="C281" s="23" t="n"/>
      <c r="D281" s="23" t="n"/>
      <c r="E281" s="23" t="n"/>
      <c r="F281" s="23" t="n"/>
      <c r="G281" s="25" t="n"/>
      <c r="H281" s="26">
        <f>IF(C281="","",C281&amp;"|"&amp;D281)</f>
        <v/>
      </c>
    </row>
    <row r="282">
      <c r="A282" s="23" t="n"/>
      <c r="B282" s="24" t="n"/>
      <c r="C282" s="23" t="n"/>
      <c r="D282" s="23" t="n"/>
      <c r="E282" s="23" t="n"/>
      <c r="F282" s="23" t="n"/>
      <c r="G282" s="25" t="n"/>
      <c r="H282" s="26">
        <f>IF(C282="","",C282&amp;"|"&amp;D282)</f>
        <v/>
      </c>
    </row>
    <row r="283">
      <c r="A283" s="23" t="n"/>
      <c r="B283" s="24" t="n"/>
      <c r="C283" s="23" t="n"/>
      <c r="D283" s="23" t="n"/>
      <c r="E283" s="23" t="n"/>
      <c r="F283" s="23" t="n"/>
      <c r="G283" s="25" t="n"/>
      <c r="H283" s="26">
        <f>IF(C283="","",C283&amp;"|"&amp;D283)</f>
        <v/>
      </c>
    </row>
    <row r="284">
      <c r="A284" s="23" t="n"/>
      <c r="B284" s="24" t="n"/>
      <c r="C284" s="23" t="n"/>
      <c r="D284" s="23" t="n"/>
      <c r="E284" s="23" t="n"/>
      <c r="F284" s="23" t="n"/>
      <c r="G284" s="25" t="n"/>
      <c r="H284" s="26">
        <f>IF(C284="","",C284&amp;"|"&amp;D284)</f>
        <v/>
      </c>
    </row>
    <row r="285">
      <c r="A285" s="23" t="n"/>
      <c r="B285" s="24" t="n"/>
      <c r="C285" s="23" t="n"/>
      <c r="D285" s="23" t="n"/>
      <c r="E285" s="23" t="n"/>
      <c r="F285" s="23" t="n"/>
      <c r="G285" s="25" t="n"/>
      <c r="H285" s="26">
        <f>IF(C285="","",C285&amp;"|"&amp;D285)</f>
        <v/>
      </c>
    </row>
    <row r="286">
      <c r="A286" s="23" t="n"/>
      <c r="B286" s="24" t="n"/>
      <c r="C286" s="23" t="n"/>
      <c r="D286" s="23" t="n"/>
      <c r="E286" s="23" t="n"/>
      <c r="F286" s="23" t="n"/>
      <c r="G286" s="25" t="n"/>
      <c r="H286" s="26">
        <f>IF(C286="","",C286&amp;"|"&amp;D286)</f>
        <v/>
      </c>
    </row>
    <row r="287">
      <c r="A287" s="23" t="n"/>
      <c r="B287" s="24" t="n"/>
      <c r="C287" s="23" t="n"/>
      <c r="D287" s="23" t="n"/>
      <c r="E287" s="23" t="n"/>
      <c r="F287" s="23" t="n"/>
      <c r="G287" s="25" t="n"/>
      <c r="H287" s="26">
        <f>IF(C287="","",C287&amp;"|"&amp;D287)</f>
        <v/>
      </c>
    </row>
    <row r="288">
      <c r="A288" s="23" t="n"/>
      <c r="B288" s="24" t="n"/>
      <c r="C288" s="23" t="n"/>
      <c r="D288" s="23" t="n"/>
      <c r="E288" s="23" t="n"/>
      <c r="F288" s="23" t="n"/>
      <c r="G288" s="25" t="n"/>
      <c r="H288" s="26">
        <f>IF(C288="","",C288&amp;"|"&amp;D288)</f>
        <v/>
      </c>
    </row>
    <row r="289">
      <c r="A289" s="23" t="n"/>
      <c r="B289" s="24" t="n"/>
      <c r="C289" s="23" t="n"/>
      <c r="D289" s="23" t="n"/>
      <c r="E289" s="23" t="n"/>
      <c r="F289" s="23" t="n"/>
      <c r="G289" s="25" t="n"/>
      <c r="H289" s="26">
        <f>IF(C289="","",C289&amp;"|"&amp;D289)</f>
        <v/>
      </c>
    </row>
    <row r="290">
      <c r="A290" s="23" t="n"/>
      <c r="B290" s="24" t="n"/>
      <c r="C290" s="23" t="n"/>
      <c r="D290" s="23" t="n"/>
      <c r="E290" s="23" t="n"/>
      <c r="F290" s="23" t="n"/>
      <c r="G290" s="25" t="n"/>
      <c r="H290" s="26">
        <f>IF(C290="","",C290&amp;"|"&amp;D290)</f>
        <v/>
      </c>
    </row>
    <row r="291">
      <c r="A291" s="23" t="n"/>
      <c r="B291" s="24" t="n"/>
      <c r="C291" s="23" t="n"/>
      <c r="D291" s="23" t="n"/>
      <c r="E291" s="23" t="n"/>
      <c r="F291" s="23" t="n"/>
      <c r="G291" s="25" t="n"/>
      <c r="H291" s="26">
        <f>IF(C291="","",C291&amp;"|"&amp;D291)</f>
        <v/>
      </c>
    </row>
    <row r="292">
      <c r="A292" s="23" t="n"/>
      <c r="B292" s="24" t="n"/>
      <c r="C292" s="23" t="n"/>
      <c r="D292" s="23" t="n"/>
      <c r="E292" s="23" t="n"/>
      <c r="F292" s="23" t="n"/>
      <c r="G292" s="25" t="n"/>
      <c r="H292" s="26">
        <f>IF(C292="","",C292&amp;"|"&amp;D292)</f>
        <v/>
      </c>
    </row>
    <row r="293">
      <c r="A293" s="23" t="n"/>
      <c r="B293" s="24" t="n"/>
      <c r="C293" s="23" t="n"/>
      <c r="D293" s="23" t="n"/>
      <c r="E293" s="23" t="n"/>
      <c r="F293" s="23" t="n"/>
      <c r="G293" s="25" t="n"/>
      <c r="H293" s="26">
        <f>IF(C293="","",C293&amp;"|"&amp;D293)</f>
        <v/>
      </c>
    </row>
    <row r="294">
      <c r="A294" s="23" t="n"/>
      <c r="B294" s="24" t="n"/>
      <c r="C294" s="23" t="n"/>
      <c r="D294" s="23" t="n"/>
      <c r="E294" s="23" t="n"/>
      <c r="F294" s="23" t="n"/>
      <c r="G294" s="25" t="n"/>
      <c r="H294" s="26">
        <f>IF(C294="","",C294&amp;"|"&amp;D294)</f>
        <v/>
      </c>
    </row>
    <row r="295">
      <c r="A295" s="23" t="n"/>
      <c r="B295" s="24" t="n"/>
      <c r="C295" s="23" t="n"/>
      <c r="D295" s="23" t="n"/>
      <c r="E295" s="23" t="n"/>
      <c r="F295" s="23" t="n"/>
      <c r="G295" s="25" t="n"/>
      <c r="H295" s="26">
        <f>IF(C295="","",C295&amp;"|"&amp;D295)</f>
        <v/>
      </c>
    </row>
    <row r="296">
      <c r="A296" s="23" t="n"/>
      <c r="B296" s="24" t="n"/>
      <c r="C296" s="23" t="n"/>
      <c r="D296" s="23" t="n"/>
      <c r="E296" s="23" t="n"/>
      <c r="F296" s="23" t="n"/>
      <c r="G296" s="25" t="n"/>
      <c r="H296" s="26">
        <f>IF(C296="","",C296&amp;"|"&amp;D296)</f>
        <v/>
      </c>
    </row>
    <row r="297">
      <c r="A297" s="23" t="n"/>
      <c r="B297" s="24" t="n"/>
      <c r="C297" s="23" t="n"/>
      <c r="D297" s="23" t="n"/>
      <c r="E297" s="23" t="n"/>
      <c r="F297" s="23" t="n"/>
      <c r="G297" s="25" t="n"/>
      <c r="H297" s="26">
        <f>IF(C297="","",C297&amp;"|"&amp;D297)</f>
        <v/>
      </c>
    </row>
    <row r="298">
      <c r="A298" s="23" t="n"/>
      <c r="B298" s="24" t="n"/>
      <c r="C298" s="23" t="n"/>
      <c r="D298" s="23" t="n"/>
      <c r="E298" s="23" t="n"/>
      <c r="F298" s="23" t="n"/>
      <c r="G298" s="25" t="n"/>
      <c r="H298" s="26">
        <f>IF(C298="","",C298&amp;"|"&amp;D298)</f>
        <v/>
      </c>
    </row>
    <row r="299">
      <c r="A299" s="23" t="n"/>
      <c r="B299" s="24" t="n"/>
      <c r="C299" s="23" t="n"/>
      <c r="D299" s="23" t="n"/>
      <c r="E299" s="23" t="n"/>
      <c r="F299" s="23" t="n"/>
      <c r="G299" s="25" t="n"/>
      <c r="H299" s="26">
        <f>IF(C299="","",C299&amp;"|"&amp;D299)</f>
        <v/>
      </c>
    </row>
    <row r="300">
      <c r="A300" s="23" t="n"/>
      <c r="B300" s="24" t="n"/>
      <c r="C300" s="23" t="n"/>
      <c r="D300" s="23" t="n"/>
      <c r="E300" s="23" t="n"/>
      <c r="F300" s="23" t="n"/>
      <c r="G300" s="25" t="n"/>
      <c r="H300" s="26">
        <f>IF(C300="","",C300&amp;"|"&amp;D300)</f>
        <v/>
      </c>
    </row>
    <row r="301">
      <c r="A301" s="23" t="n"/>
      <c r="B301" s="24" t="n"/>
      <c r="C301" s="23" t="n"/>
      <c r="D301" s="23" t="n"/>
      <c r="E301" s="23" t="n"/>
      <c r="F301" s="23" t="n"/>
      <c r="G301" s="25" t="n"/>
      <c r="H301" s="26">
        <f>IF(C301="","",C301&amp;"|"&amp;D301)</f>
        <v/>
      </c>
    </row>
    <row r="302">
      <c r="A302" s="23" t="n"/>
      <c r="B302" s="24" t="n"/>
      <c r="C302" s="23" t="n"/>
      <c r="D302" s="23" t="n"/>
      <c r="E302" s="23" t="n"/>
      <c r="F302" s="23" t="n"/>
      <c r="G302" s="25" t="n"/>
      <c r="H302" s="26">
        <f>IF(C302="","",C302&amp;"|"&amp;D302)</f>
        <v/>
      </c>
    </row>
    <row r="303">
      <c r="A303" s="23" t="n"/>
      <c r="B303" s="24" t="n"/>
      <c r="C303" s="23" t="n"/>
      <c r="D303" s="23" t="n"/>
      <c r="E303" s="23" t="n"/>
      <c r="F303" s="23" t="n"/>
      <c r="G303" s="25" t="n"/>
      <c r="H303" s="26">
        <f>IF(C303="","",C303&amp;"|"&amp;D303)</f>
        <v/>
      </c>
    </row>
    <row r="304">
      <c r="A304" s="23" t="n"/>
      <c r="B304" s="24" t="n"/>
      <c r="C304" s="23" t="n"/>
      <c r="D304" s="23" t="n"/>
      <c r="E304" s="23" t="n"/>
      <c r="F304" s="23" t="n"/>
      <c r="G304" s="25" t="n"/>
      <c r="H304" s="26">
        <f>IF(C304="","",C304&amp;"|"&amp;D304)</f>
        <v/>
      </c>
    </row>
    <row r="305">
      <c r="A305" s="23" t="n"/>
      <c r="B305" s="24" t="n"/>
      <c r="C305" s="23" t="n"/>
      <c r="D305" s="23" t="n"/>
      <c r="E305" s="23" t="n"/>
      <c r="F305" s="23" t="n"/>
      <c r="G305" s="25" t="n"/>
      <c r="H305" s="26">
        <f>IF(C305="","",C305&amp;"|"&amp;D305)</f>
        <v/>
      </c>
    </row>
    <row r="306">
      <c r="A306" s="23" t="n"/>
      <c r="B306" s="24" t="n"/>
      <c r="C306" s="23" t="n"/>
      <c r="D306" s="23" t="n"/>
      <c r="E306" s="23" t="n"/>
      <c r="F306" s="23" t="n"/>
      <c r="G306" s="25" t="n"/>
      <c r="H306" s="26">
        <f>IF(C306="","",C306&amp;"|"&amp;D306)</f>
        <v/>
      </c>
    </row>
    <row r="307">
      <c r="A307" s="23" t="n"/>
      <c r="B307" s="24" t="n"/>
      <c r="C307" s="23" t="n"/>
      <c r="D307" s="23" t="n"/>
      <c r="E307" s="23" t="n"/>
      <c r="F307" s="23" t="n"/>
      <c r="G307" s="25" t="n"/>
      <c r="H307" s="26">
        <f>IF(C307="","",C307&amp;"|"&amp;D307)</f>
        <v/>
      </c>
    </row>
    <row r="308">
      <c r="A308" s="23" t="n"/>
      <c r="B308" s="24" t="n"/>
      <c r="C308" s="23" t="n"/>
      <c r="D308" s="23" t="n"/>
      <c r="E308" s="23" t="n"/>
      <c r="F308" s="23" t="n"/>
      <c r="G308" s="25" t="n"/>
      <c r="H308" s="26">
        <f>IF(C308="","",C308&amp;"|"&amp;D308)</f>
        <v/>
      </c>
    </row>
    <row r="309">
      <c r="A309" s="23" t="n"/>
      <c r="B309" s="24" t="n"/>
      <c r="C309" s="23" t="n"/>
      <c r="D309" s="23" t="n"/>
      <c r="E309" s="23" t="n"/>
      <c r="F309" s="23" t="n"/>
      <c r="G309" s="25" t="n"/>
      <c r="H309" s="26">
        <f>IF(C309="","",C309&amp;"|"&amp;D309)</f>
        <v/>
      </c>
    </row>
    <row r="310">
      <c r="A310" s="23" t="n"/>
      <c r="B310" s="24" t="n"/>
      <c r="C310" s="23" t="n"/>
      <c r="D310" s="23" t="n"/>
      <c r="E310" s="23" t="n"/>
      <c r="F310" s="23" t="n"/>
      <c r="G310" s="25" t="n"/>
      <c r="H310" s="26">
        <f>IF(C310="","",C310&amp;"|"&amp;D310)</f>
        <v/>
      </c>
    </row>
    <row r="311">
      <c r="A311" s="23" t="n"/>
      <c r="B311" s="24" t="n"/>
      <c r="C311" s="23" t="n"/>
      <c r="D311" s="23" t="n"/>
      <c r="E311" s="23" t="n"/>
      <c r="F311" s="23" t="n"/>
      <c r="G311" s="25" t="n"/>
      <c r="H311" s="26">
        <f>IF(C311="","",C311&amp;"|"&amp;D311)</f>
        <v/>
      </c>
    </row>
    <row r="312">
      <c r="A312" s="23" t="n"/>
      <c r="B312" s="24" t="n"/>
      <c r="C312" s="23" t="n"/>
      <c r="D312" s="23" t="n"/>
      <c r="E312" s="23" t="n"/>
      <c r="F312" s="23" t="n"/>
      <c r="G312" s="25" t="n"/>
      <c r="H312" s="26">
        <f>IF(C312="","",C312&amp;"|"&amp;D312)</f>
        <v/>
      </c>
    </row>
    <row r="313">
      <c r="A313" s="23" t="n"/>
      <c r="B313" s="24" t="n"/>
      <c r="C313" s="23" t="n"/>
      <c r="D313" s="23" t="n"/>
      <c r="E313" s="23" t="n"/>
      <c r="F313" s="23" t="n"/>
      <c r="G313" s="25" t="n"/>
      <c r="H313" s="26">
        <f>IF(C313="","",C313&amp;"|"&amp;D313)</f>
        <v/>
      </c>
    </row>
    <row r="314">
      <c r="A314" s="23" t="n"/>
      <c r="B314" s="24" t="n"/>
      <c r="C314" s="23" t="n"/>
      <c r="D314" s="23" t="n"/>
      <c r="E314" s="23" t="n"/>
      <c r="F314" s="23" t="n"/>
      <c r="G314" s="25" t="n"/>
      <c r="H314" s="26">
        <f>IF(C314="","",C314&amp;"|"&amp;D314)</f>
        <v/>
      </c>
    </row>
    <row r="315">
      <c r="A315" s="23" t="n"/>
      <c r="B315" s="24" t="n"/>
      <c r="C315" s="23" t="n"/>
      <c r="D315" s="23" t="n"/>
      <c r="E315" s="23" t="n"/>
      <c r="F315" s="23" t="n"/>
      <c r="G315" s="25" t="n"/>
      <c r="H315" s="26">
        <f>IF(C315="","",C315&amp;"|"&amp;D315)</f>
        <v/>
      </c>
    </row>
    <row r="316">
      <c r="A316" s="23" t="n"/>
      <c r="B316" s="24" t="n"/>
      <c r="C316" s="23" t="n"/>
      <c r="D316" s="23" t="n"/>
      <c r="E316" s="23" t="n"/>
      <c r="F316" s="23" t="n"/>
      <c r="G316" s="25" t="n"/>
      <c r="H316" s="26">
        <f>IF(C316="","",C316&amp;"|"&amp;D316)</f>
        <v/>
      </c>
    </row>
    <row r="317">
      <c r="A317" s="23" t="n"/>
      <c r="B317" s="24" t="n"/>
      <c r="C317" s="23" t="n"/>
      <c r="D317" s="23" t="n"/>
      <c r="E317" s="23" t="n"/>
      <c r="F317" s="23" t="n"/>
      <c r="G317" s="25" t="n"/>
      <c r="H317" s="26">
        <f>IF(C317="","",C317&amp;"|"&amp;D317)</f>
        <v/>
      </c>
    </row>
    <row r="318">
      <c r="A318" s="23" t="n"/>
      <c r="B318" s="24" t="n"/>
      <c r="C318" s="23" t="n"/>
      <c r="D318" s="23" t="n"/>
      <c r="E318" s="23" t="n"/>
      <c r="F318" s="23" t="n"/>
      <c r="G318" s="25" t="n"/>
      <c r="H318" s="26">
        <f>IF(C318="","",C318&amp;"|"&amp;D318)</f>
        <v/>
      </c>
    </row>
    <row r="319">
      <c r="A319" s="23" t="n"/>
      <c r="B319" s="24" t="n"/>
      <c r="C319" s="23" t="n"/>
      <c r="D319" s="23" t="n"/>
      <c r="E319" s="23" t="n"/>
      <c r="F319" s="23" t="n"/>
      <c r="G319" s="25" t="n"/>
      <c r="H319" s="26">
        <f>IF(C319="","",C319&amp;"|"&amp;D319)</f>
        <v/>
      </c>
    </row>
    <row r="320">
      <c r="A320" s="23" t="n"/>
      <c r="B320" s="24" t="n"/>
      <c r="C320" s="23" t="n"/>
      <c r="D320" s="23" t="n"/>
      <c r="E320" s="23" t="n"/>
      <c r="F320" s="23" t="n"/>
      <c r="G320" s="25" t="n"/>
      <c r="H320" s="26">
        <f>IF(C320="","",C320&amp;"|"&amp;D320)</f>
        <v/>
      </c>
    </row>
    <row r="321">
      <c r="A321" s="23" t="n"/>
      <c r="B321" s="24" t="n"/>
      <c r="C321" s="23" t="n"/>
      <c r="D321" s="23" t="n"/>
      <c r="E321" s="23" t="n"/>
      <c r="F321" s="23" t="n"/>
      <c r="G321" s="25" t="n"/>
      <c r="H321" s="26">
        <f>IF(C321="","",C321&amp;"|"&amp;D321)</f>
        <v/>
      </c>
    </row>
    <row r="322">
      <c r="A322" s="23" t="n"/>
      <c r="B322" s="24" t="n"/>
      <c r="C322" s="23" t="n"/>
      <c r="D322" s="23" t="n"/>
      <c r="E322" s="23" t="n"/>
      <c r="F322" s="23" t="n"/>
      <c r="G322" s="25" t="n"/>
      <c r="H322" s="26">
        <f>IF(C322="","",C322&amp;"|"&amp;D322)</f>
        <v/>
      </c>
    </row>
    <row r="323">
      <c r="A323" s="23" t="n"/>
      <c r="B323" s="24" t="n"/>
      <c r="C323" s="23" t="n"/>
      <c r="D323" s="23" t="n"/>
      <c r="E323" s="23" t="n"/>
      <c r="F323" s="23" t="n"/>
      <c r="G323" s="25" t="n"/>
      <c r="H323" s="26">
        <f>IF(C323="","",C323&amp;"|"&amp;D323)</f>
        <v/>
      </c>
    </row>
    <row r="324">
      <c r="A324" s="23" t="n"/>
      <c r="B324" s="24" t="n"/>
      <c r="C324" s="23" t="n"/>
      <c r="D324" s="23" t="n"/>
      <c r="E324" s="23" t="n"/>
      <c r="F324" s="23" t="n"/>
      <c r="G324" s="25" t="n"/>
      <c r="H324" s="26">
        <f>IF(C324="","",C324&amp;"|"&amp;D324)</f>
        <v/>
      </c>
    </row>
    <row r="325">
      <c r="A325" s="23" t="n"/>
      <c r="B325" s="24" t="n"/>
      <c r="C325" s="23" t="n"/>
      <c r="D325" s="23" t="n"/>
      <c r="E325" s="23" t="n"/>
      <c r="F325" s="23" t="n"/>
      <c r="G325" s="25" t="n"/>
      <c r="H325" s="26">
        <f>IF(C325="","",C325&amp;"|"&amp;D325)</f>
        <v/>
      </c>
    </row>
    <row r="326">
      <c r="A326" s="23" t="n"/>
      <c r="B326" s="24" t="n"/>
      <c r="C326" s="23" t="n"/>
      <c r="D326" s="23" t="n"/>
      <c r="E326" s="23" t="n"/>
      <c r="F326" s="23" t="n"/>
      <c r="G326" s="25" t="n"/>
      <c r="H326" s="26">
        <f>IF(C326="","",C326&amp;"|"&amp;D326)</f>
        <v/>
      </c>
    </row>
    <row r="327">
      <c r="A327" s="23" t="n"/>
      <c r="B327" s="24" t="n"/>
      <c r="C327" s="23" t="n"/>
      <c r="D327" s="23" t="n"/>
      <c r="E327" s="23" t="n"/>
      <c r="F327" s="23" t="n"/>
      <c r="G327" s="25" t="n"/>
      <c r="H327" s="26">
        <f>IF(C327="","",C327&amp;"|"&amp;D327)</f>
        <v/>
      </c>
    </row>
    <row r="328">
      <c r="A328" s="23" t="n"/>
      <c r="B328" s="24" t="n"/>
      <c r="C328" s="23" t="n"/>
      <c r="D328" s="23" t="n"/>
      <c r="E328" s="23" t="n"/>
      <c r="F328" s="23" t="n"/>
      <c r="G328" s="25" t="n"/>
      <c r="H328" s="26">
        <f>IF(C328="","",C328&amp;"|"&amp;D328)</f>
        <v/>
      </c>
    </row>
    <row r="329">
      <c r="A329" s="23" t="n"/>
      <c r="B329" s="24" t="n"/>
      <c r="C329" s="23" t="n"/>
      <c r="D329" s="23" t="n"/>
      <c r="E329" s="23" t="n"/>
      <c r="F329" s="23" t="n"/>
      <c r="G329" s="25" t="n"/>
      <c r="H329" s="26">
        <f>IF(C329="","",C329&amp;"|"&amp;D329)</f>
        <v/>
      </c>
    </row>
    <row r="330">
      <c r="A330" s="23" t="n"/>
      <c r="B330" s="24" t="n"/>
      <c r="C330" s="23" t="n"/>
      <c r="D330" s="23" t="n"/>
      <c r="E330" s="23" t="n"/>
      <c r="F330" s="23" t="n"/>
      <c r="G330" s="25" t="n"/>
      <c r="H330" s="26">
        <f>IF(C330="","",C330&amp;"|"&amp;D330)</f>
        <v/>
      </c>
    </row>
    <row r="331">
      <c r="A331" s="23" t="n"/>
      <c r="B331" s="24" t="n"/>
      <c r="C331" s="23" t="n"/>
      <c r="D331" s="23" t="n"/>
      <c r="E331" s="23" t="n"/>
      <c r="F331" s="23" t="n"/>
      <c r="G331" s="25" t="n"/>
      <c r="H331" s="26">
        <f>IF(C331="","",C331&amp;"|"&amp;D331)</f>
        <v/>
      </c>
    </row>
    <row r="332">
      <c r="A332" s="23" t="n"/>
      <c r="B332" s="24" t="n"/>
      <c r="C332" s="23" t="n"/>
      <c r="D332" s="23" t="n"/>
      <c r="E332" s="23" t="n"/>
      <c r="F332" s="23" t="n"/>
      <c r="G332" s="25" t="n"/>
      <c r="H332" s="26">
        <f>IF(C332="","",C332&amp;"|"&amp;D332)</f>
        <v/>
      </c>
    </row>
    <row r="333">
      <c r="A333" s="23" t="n"/>
      <c r="B333" s="24" t="n"/>
      <c r="C333" s="23" t="n"/>
      <c r="D333" s="23" t="n"/>
      <c r="E333" s="23" t="n"/>
      <c r="F333" s="23" t="n"/>
      <c r="G333" s="25" t="n"/>
      <c r="H333" s="26">
        <f>IF(C333="","",C333&amp;"|"&amp;D333)</f>
        <v/>
      </c>
    </row>
    <row r="334">
      <c r="A334" s="23" t="n"/>
      <c r="B334" s="24" t="n"/>
      <c r="C334" s="23" t="n"/>
      <c r="D334" s="23" t="n"/>
      <c r="E334" s="23" t="n"/>
      <c r="F334" s="23" t="n"/>
      <c r="G334" s="25" t="n"/>
      <c r="H334" s="26">
        <f>IF(C334="","",C334&amp;"|"&amp;D334)</f>
        <v/>
      </c>
    </row>
    <row r="335">
      <c r="A335" s="23" t="n"/>
      <c r="B335" s="24" t="n"/>
      <c r="C335" s="23" t="n"/>
      <c r="D335" s="23" t="n"/>
      <c r="E335" s="23" t="n"/>
      <c r="F335" s="23" t="n"/>
      <c r="G335" s="25" t="n"/>
      <c r="H335" s="26">
        <f>IF(C335="","",C335&amp;"|"&amp;D335)</f>
        <v/>
      </c>
    </row>
    <row r="336">
      <c r="A336" s="23" t="n"/>
      <c r="B336" s="24" t="n"/>
      <c r="C336" s="23" t="n"/>
      <c r="D336" s="23" t="n"/>
      <c r="E336" s="23" t="n"/>
      <c r="F336" s="23" t="n"/>
      <c r="G336" s="25" t="n"/>
      <c r="H336" s="26">
        <f>IF(C336="","",C336&amp;"|"&amp;D336)</f>
        <v/>
      </c>
    </row>
    <row r="337">
      <c r="A337" s="23" t="n"/>
      <c r="B337" s="24" t="n"/>
      <c r="C337" s="23" t="n"/>
      <c r="D337" s="23" t="n"/>
      <c r="E337" s="23" t="n"/>
      <c r="F337" s="23" t="n"/>
      <c r="G337" s="25" t="n"/>
      <c r="H337" s="26">
        <f>IF(C337="","",C337&amp;"|"&amp;D337)</f>
        <v/>
      </c>
    </row>
    <row r="338">
      <c r="A338" s="23" t="n"/>
      <c r="B338" s="24" t="n"/>
      <c r="C338" s="23" t="n"/>
      <c r="D338" s="23" t="n"/>
      <c r="E338" s="23" t="n"/>
      <c r="F338" s="23" t="n"/>
      <c r="G338" s="25" t="n"/>
      <c r="H338" s="26">
        <f>IF(C338="","",C338&amp;"|"&amp;D338)</f>
        <v/>
      </c>
    </row>
    <row r="339">
      <c r="A339" s="23" t="n"/>
      <c r="B339" s="24" t="n"/>
      <c r="C339" s="23" t="n"/>
      <c r="D339" s="23" t="n"/>
      <c r="E339" s="23" t="n"/>
      <c r="F339" s="23" t="n"/>
      <c r="G339" s="25" t="n"/>
      <c r="H339" s="26">
        <f>IF(C339="","",C339&amp;"|"&amp;D339)</f>
        <v/>
      </c>
    </row>
    <row r="340">
      <c r="A340" s="23" t="n"/>
      <c r="B340" s="24" t="n"/>
      <c r="C340" s="23" t="n"/>
      <c r="D340" s="23" t="n"/>
      <c r="E340" s="23" t="n"/>
      <c r="F340" s="23" t="n"/>
      <c r="G340" s="25" t="n"/>
      <c r="H340" s="26">
        <f>IF(C340="","",C340&amp;"|"&amp;D340)</f>
        <v/>
      </c>
    </row>
    <row r="341">
      <c r="A341" s="23" t="n"/>
      <c r="B341" s="24" t="n"/>
      <c r="C341" s="23" t="n"/>
      <c r="D341" s="23" t="n"/>
      <c r="E341" s="23" t="n"/>
      <c r="F341" s="23" t="n"/>
      <c r="G341" s="25" t="n"/>
      <c r="H341" s="26">
        <f>IF(C341="","",C341&amp;"|"&amp;D341)</f>
        <v/>
      </c>
    </row>
    <row r="342">
      <c r="A342" s="23" t="n"/>
      <c r="B342" s="24" t="n"/>
      <c r="C342" s="23" t="n"/>
      <c r="D342" s="23" t="n"/>
      <c r="E342" s="23" t="n"/>
      <c r="F342" s="23" t="n"/>
      <c r="G342" s="25" t="n"/>
      <c r="H342" s="26">
        <f>IF(C342="","",C342&amp;"|"&amp;D342)</f>
        <v/>
      </c>
    </row>
    <row r="343">
      <c r="A343" s="23" t="n"/>
      <c r="B343" s="24" t="n"/>
      <c r="C343" s="23" t="n"/>
      <c r="D343" s="23" t="n"/>
      <c r="E343" s="23" t="n"/>
      <c r="F343" s="23" t="n"/>
      <c r="G343" s="25" t="n"/>
      <c r="H343" s="26">
        <f>IF(C343="","",C343&amp;"|"&amp;D343)</f>
        <v/>
      </c>
    </row>
    <row r="344">
      <c r="A344" s="23" t="n"/>
      <c r="B344" s="24" t="n"/>
      <c r="C344" s="23" t="n"/>
      <c r="D344" s="23" t="n"/>
      <c r="E344" s="23" t="n"/>
      <c r="F344" s="23" t="n"/>
      <c r="G344" s="25" t="n"/>
      <c r="H344" s="26">
        <f>IF(C344="","",C344&amp;"|"&amp;D344)</f>
        <v/>
      </c>
    </row>
    <row r="345">
      <c r="A345" s="23" t="n"/>
      <c r="B345" s="24" t="n"/>
      <c r="C345" s="23" t="n"/>
      <c r="D345" s="23" t="n"/>
      <c r="E345" s="23" t="n"/>
      <c r="F345" s="23" t="n"/>
      <c r="G345" s="25" t="n"/>
      <c r="H345" s="26">
        <f>IF(C345="","",C345&amp;"|"&amp;D345)</f>
        <v/>
      </c>
    </row>
    <row r="346">
      <c r="A346" s="23" t="n"/>
      <c r="B346" s="24" t="n"/>
      <c r="C346" s="23" t="n"/>
      <c r="D346" s="23" t="n"/>
      <c r="E346" s="23" t="n"/>
      <c r="F346" s="23" t="n"/>
      <c r="G346" s="25" t="n"/>
      <c r="H346" s="26">
        <f>IF(C346="","",C346&amp;"|"&amp;D346)</f>
        <v/>
      </c>
    </row>
    <row r="347">
      <c r="A347" s="23" t="n"/>
      <c r="B347" s="24" t="n"/>
      <c r="C347" s="23" t="n"/>
      <c r="D347" s="23" t="n"/>
      <c r="E347" s="23" t="n"/>
      <c r="F347" s="23" t="n"/>
      <c r="G347" s="25" t="n"/>
      <c r="H347" s="26">
        <f>IF(C347="","",C347&amp;"|"&amp;D347)</f>
        <v/>
      </c>
    </row>
    <row r="348">
      <c r="A348" s="23" t="n"/>
      <c r="B348" s="24" t="n"/>
      <c r="C348" s="23" t="n"/>
      <c r="D348" s="23" t="n"/>
      <c r="E348" s="23" t="n"/>
      <c r="F348" s="23" t="n"/>
      <c r="G348" s="25" t="n"/>
      <c r="H348" s="26">
        <f>IF(C348="","",C348&amp;"|"&amp;D348)</f>
        <v/>
      </c>
    </row>
    <row r="349">
      <c r="A349" s="23" t="n"/>
      <c r="B349" s="24" t="n"/>
      <c r="C349" s="23" t="n"/>
      <c r="D349" s="23" t="n"/>
      <c r="E349" s="23" t="n"/>
      <c r="F349" s="23" t="n"/>
      <c r="G349" s="25" t="n"/>
      <c r="H349" s="26">
        <f>IF(C349="","",C349&amp;"|"&amp;D349)</f>
        <v/>
      </c>
    </row>
    <row r="350">
      <c r="A350" s="23" t="n"/>
      <c r="B350" s="24" t="n"/>
      <c r="C350" s="23" t="n"/>
      <c r="D350" s="23" t="n"/>
      <c r="E350" s="23" t="n"/>
      <c r="F350" s="23" t="n"/>
      <c r="G350" s="25" t="n"/>
      <c r="H350" s="26">
        <f>IF(C350="","",C350&amp;"|"&amp;D350)</f>
        <v/>
      </c>
    </row>
    <row r="351">
      <c r="A351" s="23" t="n"/>
      <c r="B351" s="24" t="n"/>
      <c r="C351" s="23" t="n"/>
      <c r="D351" s="23" t="n"/>
      <c r="E351" s="23" t="n"/>
      <c r="F351" s="23" t="n"/>
      <c r="G351" s="25" t="n"/>
      <c r="H351" s="26">
        <f>IF(C351="","",C351&amp;"|"&amp;D351)</f>
        <v/>
      </c>
    </row>
    <row r="352">
      <c r="A352" s="23" t="n"/>
      <c r="B352" s="24" t="n"/>
      <c r="C352" s="23" t="n"/>
      <c r="D352" s="23" t="n"/>
      <c r="E352" s="23" t="n"/>
      <c r="F352" s="23" t="n"/>
      <c r="G352" s="25" t="n"/>
      <c r="H352" s="26">
        <f>IF(C352="","",C352&amp;"|"&amp;D352)</f>
        <v/>
      </c>
    </row>
    <row r="353">
      <c r="A353" s="23" t="n"/>
      <c r="B353" s="24" t="n"/>
      <c r="C353" s="23" t="n"/>
      <c r="D353" s="23" t="n"/>
      <c r="E353" s="23" t="n"/>
      <c r="F353" s="23" t="n"/>
      <c r="G353" s="25" t="n"/>
      <c r="H353" s="26">
        <f>IF(C353="","",C353&amp;"|"&amp;D353)</f>
        <v/>
      </c>
    </row>
    <row r="354">
      <c r="A354" s="23" t="n"/>
      <c r="B354" s="24" t="n"/>
      <c r="C354" s="23" t="n"/>
      <c r="D354" s="23" t="n"/>
      <c r="E354" s="23" t="n"/>
      <c r="F354" s="23" t="n"/>
      <c r="G354" s="25" t="n"/>
      <c r="H354" s="26">
        <f>IF(C354="","",C354&amp;"|"&amp;D354)</f>
        <v/>
      </c>
    </row>
    <row r="355">
      <c r="A355" s="23" t="n"/>
      <c r="B355" s="24" t="n"/>
      <c r="C355" s="23" t="n"/>
      <c r="D355" s="23" t="n"/>
      <c r="E355" s="23" t="n"/>
      <c r="F355" s="23" t="n"/>
      <c r="G355" s="25" t="n"/>
      <c r="H355" s="26">
        <f>IF(C355="","",C355&amp;"|"&amp;D355)</f>
        <v/>
      </c>
    </row>
    <row r="356">
      <c r="A356" s="23" t="n"/>
      <c r="B356" s="24" t="n"/>
      <c r="C356" s="23" t="n"/>
      <c r="D356" s="23" t="n"/>
      <c r="E356" s="23" t="n"/>
      <c r="F356" s="23" t="n"/>
      <c r="G356" s="25" t="n"/>
      <c r="H356" s="26">
        <f>IF(C356="","",C356&amp;"|"&amp;D356)</f>
        <v/>
      </c>
    </row>
    <row r="357">
      <c r="A357" s="23" t="n"/>
      <c r="B357" s="24" t="n"/>
      <c r="C357" s="23" t="n"/>
      <c r="D357" s="23" t="n"/>
      <c r="E357" s="23" t="n"/>
      <c r="F357" s="23" t="n"/>
      <c r="G357" s="25" t="n"/>
      <c r="H357" s="26">
        <f>IF(C357="","",C357&amp;"|"&amp;D357)</f>
        <v/>
      </c>
    </row>
    <row r="358">
      <c r="A358" s="23" t="n"/>
      <c r="B358" s="24" t="n"/>
      <c r="C358" s="23" t="n"/>
      <c r="D358" s="23" t="n"/>
      <c r="E358" s="23" t="n"/>
      <c r="F358" s="23" t="n"/>
      <c r="G358" s="25" t="n"/>
      <c r="H358" s="26">
        <f>IF(C358="","",C358&amp;"|"&amp;D358)</f>
        <v/>
      </c>
    </row>
    <row r="359">
      <c r="A359" s="23" t="n"/>
      <c r="B359" s="24" t="n"/>
      <c r="C359" s="23" t="n"/>
      <c r="D359" s="23" t="n"/>
      <c r="E359" s="23" t="n"/>
      <c r="F359" s="23" t="n"/>
      <c r="G359" s="25" t="n"/>
      <c r="H359" s="26">
        <f>IF(C359="","",C359&amp;"|"&amp;D359)</f>
        <v/>
      </c>
    </row>
    <row r="360">
      <c r="A360" s="23" t="n"/>
      <c r="B360" s="24" t="n"/>
      <c r="C360" s="23" t="n"/>
      <c r="D360" s="23" t="n"/>
      <c r="E360" s="23" t="n"/>
      <c r="F360" s="23" t="n"/>
      <c r="G360" s="25" t="n"/>
      <c r="H360" s="26">
        <f>IF(C360="","",C360&amp;"|"&amp;D360)</f>
        <v/>
      </c>
    </row>
    <row r="361">
      <c r="A361" s="23" t="n"/>
      <c r="B361" s="24" t="n"/>
      <c r="C361" s="23" t="n"/>
      <c r="D361" s="23" t="n"/>
      <c r="E361" s="23" t="n"/>
      <c r="F361" s="23" t="n"/>
      <c r="G361" s="25" t="n"/>
      <c r="H361" s="26">
        <f>IF(C361="","",C361&amp;"|"&amp;D361)</f>
        <v/>
      </c>
    </row>
    <row r="362">
      <c r="A362" s="23" t="n"/>
      <c r="B362" s="24" t="n"/>
      <c r="C362" s="23" t="n"/>
      <c r="D362" s="23" t="n"/>
      <c r="E362" s="23" t="n"/>
      <c r="F362" s="23" t="n"/>
      <c r="G362" s="25" t="n"/>
      <c r="H362" s="26">
        <f>IF(C362="","",C362&amp;"|"&amp;D362)</f>
        <v/>
      </c>
    </row>
    <row r="363">
      <c r="A363" s="23" t="n"/>
      <c r="B363" s="24" t="n"/>
      <c r="C363" s="23" t="n"/>
      <c r="D363" s="23" t="n"/>
      <c r="E363" s="23" t="n"/>
      <c r="F363" s="23" t="n"/>
      <c r="G363" s="25" t="n"/>
      <c r="H363" s="26">
        <f>IF(C363="","",C363&amp;"|"&amp;D363)</f>
        <v/>
      </c>
    </row>
    <row r="364">
      <c r="A364" s="23" t="n"/>
      <c r="B364" s="24" t="n"/>
      <c r="C364" s="23" t="n"/>
      <c r="D364" s="23" t="n"/>
      <c r="E364" s="23" t="n"/>
      <c r="F364" s="23" t="n"/>
      <c r="G364" s="25" t="n"/>
      <c r="H364" s="26">
        <f>IF(C364="","",C364&amp;"|"&amp;D364)</f>
        <v/>
      </c>
    </row>
    <row r="365">
      <c r="A365" s="23" t="n"/>
      <c r="B365" s="24" t="n"/>
      <c r="C365" s="23" t="n"/>
      <c r="D365" s="23" t="n"/>
      <c r="E365" s="23" t="n"/>
      <c r="F365" s="23" t="n"/>
      <c r="G365" s="25" t="n"/>
      <c r="H365" s="26">
        <f>IF(C365="","",C365&amp;"|"&amp;D365)</f>
        <v/>
      </c>
    </row>
    <row r="366">
      <c r="A366" s="23" t="n"/>
      <c r="B366" s="24" t="n"/>
      <c r="C366" s="23" t="n"/>
      <c r="D366" s="23" t="n"/>
      <c r="E366" s="23" t="n"/>
      <c r="F366" s="23" t="n"/>
      <c r="G366" s="25" t="n"/>
      <c r="H366" s="26">
        <f>IF(C366="","",C366&amp;"|"&amp;D366)</f>
        <v/>
      </c>
    </row>
    <row r="367">
      <c r="A367" s="23" t="n"/>
      <c r="B367" s="24" t="n"/>
      <c r="C367" s="23" t="n"/>
      <c r="D367" s="23" t="n"/>
      <c r="E367" s="23" t="n"/>
      <c r="F367" s="23" t="n"/>
      <c r="G367" s="25" t="n"/>
      <c r="H367" s="26">
        <f>IF(C367="","",C367&amp;"|"&amp;D367)</f>
        <v/>
      </c>
    </row>
    <row r="368">
      <c r="A368" s="23" t="n"/>
      <c r="B368" s="24" t="n"/>
      <c r="C368" s="23" t="n"/>
      <c r="D368" s="23" t="n"/>
      <c r="E368" s="23" t="n"/>
      <c r="F368" s="23" t="n"/>
      <c r="G368" s="25" t="n"/>
      <c r="H368" s="26">
        <f>IF(C368="","",C368&amp;"|"&amp;D368)</f>
        <v/>
      </c>
    </row>
    <row r="369">
      <c r="A369" s="23" t="n"/>
      <c r="B369" s="24" t="n"/>
      <c r="C369" s="23" t="n"/>
      <c r="D369" s="23" t="n"/>
      <c r="E369" s="23" t="n"/>
      <c r="F369" s="23" t="n"/>
      <c r="G369" s="25" t="n"/>
      <c r="H369" s="26">
        <f>IF(C369="","",C369&amp;"|"&amp;D369)</f>
        <v/>
      </c>
    </row>
    <row r="370">
      <c r="A370" s="23" t="n"/>
      <c r="B370" s="24" t="n"/>
      <c r="C370" s="23" t="n"/>
      <c r="D370" s="23" t="n"/>
      <c r="E370" s="23" t="n"/>
      <c r="F370" s="23" t="n"/>
      <c r="G370" s="25" t="n"/>
      <c r="H370" s="26">
        <f>IF(C370="","",C370&amp;"|"&amp;D370)</f>
        <v/>
      </c>
    </row>
    <row r="371">
      <c r="A371" s="23" t="n"/>
      <c r="B371" s="24" t="n"/>
      <c r="C371" s="23" t="n"/>
      <c r="D371" s="23" t="n"/>
      <c r="E371" s="23" t="n"/>
      <c r="F371" s="23" t="n"/>
      <c r="G371" s="25" t="n"/>
      <c r="H371" s="26">
        <f>IF(C371="","",C371&amp;"|"&amp;D371)</f>
        <v/>
      </c>
    </row>
    <row r="372">
      <c r="A372" s="23" t="n"/>
      <c r="B372" s="24" t="n"/>
      <c r="C372" s="23" t="n"/>
      <c r="D372" s="23" t="n"/>
      <c r="E372" s="23" t="n"/>
      <c r="F372" s="23" t="n"/>
      <c r="G372" s="25" t="n"/>
      <c r="H372" s="26">
        <f>IF(C372="","",C372&amp;"|"&amp;D372)</f>
        <v/>
      </c>
    </row>
    <row r="373">
      <c r="A373" s="23" t="n"/>
      <c r="B373" s="24" t="n"/>
      <c r="C373" s="23" t="n"/>
      <c r="D373" s="23" t="n"/>
      <c r="E373" s="23" t="n"/>
      <c r="F373" s="23" t="n"/>
      <c r="G373" s="25" t="n"/>
      <c r="H373" s="26">
        <f>IF(C373="","",C373&amp;"|"&amp;D373)</f>
        <v/>
      </c>
    </row>
    <row r="374">
      <c r="A374" s="23" t="n"/>
      <c r="B374" s="24" t="n"/>
      <c r="C374" s="23" t="n"/>
      <c r="D374" s="23" t="n"/>
      <c r="E374" s="23" t="n"/>
      <c r="F374" s="23" t="n"/>
      <c r="G374" s="25" t="n"/>
      <c r="H374" s="26">
        <f>IF(C374="","",C374&amp;"|"&amp;D374)</f>
        <v/>
      </c>
    </row>
    <row r="375">
      <c r="A375" s="23" t="n"/>
      <c r="B375" s="24" t="n"/>
      <c r="C375" s="23" t="n"/>
      <c r="D375" s="23" t="n"/>
      <c r="E375" s="23" t="n"/>
      <c r="F375" s="23" t="n"/>
      <c r="G375" s="25" t="n"/>
      <c r="H375" s="26">
        <f>IF(C375="","",C375&amp;"|"&amp;D375)</f>
        <v/>
      </c>
    </row>
    <row r="376">
      <c r="A376" s="23" t="n"/>
      <c r="B376" s="24" t="n"/>
      <c r="C376" s="23" t="n"/>
      <c r="D376" s="23" t="n"/>
      <c r="E376" s="23" t="n"/>
      <c r="F376" s="23" t="n"/>
      <c r="G376" s="25" t="n"/>
      <c r="H376" s="26">
        <f>IF(C376="","",C376&amp;"|"&amp;D376)</f>
        <v/>
      </c>
    </row>
    <row r="377">
      <c r="A377" s="23" t="n"/>
      <c r="B377" s="24" t="n"/>
      <c r="C377" s="23" t="n"/>
      <c r="D377" s="23" t="n"/>
      <c r="E377" s="23" t="n"/>
      <c r="F377" s="23" t="n"/>
      <c r="G377" s="25" t="n"/>
      <c r="H377" s="26">
        <f>IF(C377="","",C377&amp;"|"&amp;D377)</f>
        <v/>
      </c>
    </row>
    <row r="378">
      <c r="A378" s="23" t="n"/>
      <c r="B378" s="24" t="n"/>
      <c r="C378" s="23" t="n"/>
      <c r="D378" s="23" t="n"/>
      <c r="E378" s="23" t="n"/>
      <c r="F378" s="23" t="n"/>
      <c r="G378" s="25" t="n"/>
      <c r="H378" s="26">
        <f>IF(C378="","",C378&amp;"|"&amp;D378)</f>
        <v/>
      </c>
    </row>
    <row r="379">
      <c r="A379" s="23" t="n"/>
      <c r="B379" s="24" t="n"/>
      <c r="C379" s="23" t="n"/>
      <c r="D379" s="23" t="n"/>
      <c r="E379" s="23" t="n"/>
      <c r="F379" s="23" t="n"/>
      <c r="G379" s="25" t="n"/>
      <c r="H379" s="26">
        <f>IF(C379="","",C379&amp;"|"&amp;D379)</f>
        <v/>
      </c>
    </row>
    <row r="380">
      <c r="A380" s="23" t="n"/>
      <c r="B380" s="24" t="n"/>
      <c r="C380" s="23" t="n"/>
      <c r="D380" s="23" t="n"/>
      <c r="E380" s="23" t="n"/>
      <c r="F380" s="23" t="n"/>
      <c r="G380" s="25" t="n"/>
      <c r="H380" s="26">
        <f>IF(C380="","",C380&amp;"|"&amp;D380)</f>
        <v/>
      </c>
    </row>
    <row r="381">
      <c r="A381" s="23" t="n"/>
      <c r="B381" s="24" t="n"/>
      <c r="C381" s="23" t="n"/>
      <c r="D381" s="23" t="n"/>
      <c r="E381" s="23" t="n"/>
      <c r="F381" s="23" t="n"/>
      <c r="G381" s="25" t="n"/>
      <c r="H381" s="26">
        <f>IF(C381="","",C381&amp;"|"&amp;D381)</f>
        <v/>
      </c>
    </row>
    <row r="382">
      <c r="A382" s="23" t="n"/>
      <c r="B382" s="24" t="n"/>
      <c r="C382" s="23" t="n"/>
      <c r="D382" s="23" t="n"/>
      <c r="E382" s="23" t="n"/>
      <c r="F382" s="23" t="n"/>
      <c r="G382" s="25" t="n"/>
      <c r="H382" s="26">
        <f>IF(C382="","",C382&amp;"|"&amp;D382)</f>
        <v/>
      </c>
    </row>
    <row r="383">
      <c r="A383" s="23" t="n"/>
      <c r="B383" s="24" t="n"/>
      <c r="C383" s="23" t="n"/>
      <c r="D383" s="23" t="n"/>
      <c r="E383" s="23" t="n"/>
      <c r="F383" s="23" t="n"/>
      <c r="G383" s="25" t="n"/>
      <c r="H383" s="26">
        <f>IF(C383="","",C383&amp;"|"&amp;D383)</f>
        <v/>
      </c>
    </row>
    <row r="384">
      <c r="A384" s="23" t="n"/>
      <c r="B384" s="24" t="n"/>
      <c r="C384" s="23" t="n"/>
      <c r="D384" s="23" t="n"/>
      <c r="E384" s="23" t="n"/>
      <c r="F384" s="23" t="n"/>
      <c r="G384" s="25" t="n"/>
      <c r="H384" s="26">
        <f>IF(C384="","",C384&amp;"|"&amp;D384)</f>
        <v/>
      </c>
    </row>
    <row r="385">
      <c r="A385" s="23" t="n"/>
      <c r="B385" s="24" t="n"/>
      <c r="C385" s="23" t="n"/>
      <c r="D385" s="23" t="n"/>
      <c r="E385" s="23" t="n"/>
      <c r="F385" s="23" t="n"/>
      <c r="G385" s="25" t="n"/>
      <c r="H385" s="26">
        <f>IF(C385="","",C385&amp;"|"&amp;D385)</f>
        <v/>
      </c>
    </row>
    <row r="386">
      <c r="A386" s="23" t="n"/>
      <c r="B386" s="24" t="n"/>
      <c r="C386" s="23" t="n"/>
      <c r="D386" s="23" t="n"/>
      <c r="E386" s="23" t="n"/>
      <c r="F386" s="23" t="n"/>
      <c r="G386" s="25" t="n"/>
      <c r="H386" s="26">
        <f>IF(C386="","",C386&amp;"|"&amp;D386)</f>
        <v/>
      </c>
    </row>
    <row r="387">
      <c r="A387" s="23" t="n"/>
      <c r="B387" s="24" t="n"/>
      <c r="C387" s="23" t="n"/>
      <c r="D387" s="23" t="n"/>
      <c r="E387" s="23" t="n"/>
      <c r="F387" s="23" t="n"/>
      <c r="G387" s="25" t="n"/>
      <c r="H387" s="26">
        <f>IF(C387="","",C387&amp;"|"&amp;D387)</f>
        <v/>
      </c>
    </row>
    <row r="388">
      <c r="A388" s="23" t="n"/>
      <c r="B388" s="24" t="n"/>
      <c r="C388" s="23" t="n"/>
      <c r="D388" s="23" t="n"/>
      <c r="E388" s="23" t="n"/>
      <c r="F388" s="23" t="n"/>
      <c r="G388" s="25" t="n"/>
      <c r="H388" s="26">
        <f>IF(C388="","",C388&amp;"|"&amp;D388)</f>
        <v/>
      </c>
    </row>
    <row r="389">
      <c r="A389" s="23" t="n"/>
      <c r="B389" s="24" t="n"/>
      <c r="C389" s="23" t="n"/>
      <c r="D389" s="23" t="n"/>
      <c r="E389" s="23" t="n"/>
      <c r="F389" s="23" t="n"/>
      <c r="G389" s="25" t="n"/>
      <c r="H389" s="26">
        <f>IF(C389="","",C389&amp;"|"&amp;D389)</f>
        <v/>
      </c>
    </row>
    <row r="390">
      <c r="A390" s="23" t="n"/>
      <c r="B390" s="24" t="n"/>
      <c r="C390" s="23" t="n"/>
      <c r="D390" s="23" t="n"/>
      <c r="E390" s="23" t="n"/>
      <c r="F390" s="23" t="n"/>
      <c r="G390" s="25" t="n"/>
      <c r="H390" s="26">
        <f>IF(C390="","",C390&amp;"|"&amp;D390)</f>
        <v/>
      </c>
    </row>
    <row r="391">
      <c r="A391" s="23" t="n"/>
      <c r="B391" s="24" t="n"/>
      <c r="C391" s="23" t="n"/>
      <c r="D391" s="23" t="n"/>
      <c r="E391" s="23" t="n"/>
      <c r="F391" s="23" t="n"/>
      <c r="G391" s="25" t="n"/>
      <c r="H391" s="26">
        <f>IF(C391="","",C391&amp;"|"&amp;D391)</f>
        <v/>
      </c>
    </row>
    <row r="392">
      <c r="A392" s="23" t="n"/>
      <c r="B392" s="24" t="n"/>
      <c r="C392" s="23" t="n"/>
      <c r="D392" s="23" t="n"/>
      <c r="E392" s="23" t="n"/>
      <c r="F392" s="23" t="n"/>
      <c r="G392" s="25" t="n"/>
      <c r="H392" s="26">
        <f>IF(C392="","",C392&amp;"|"&amp;D392)</f>
        <v/>
      </c>
    </row>
    <row r="393">
      <c r="A393" s="23" t="n"/>
      <c r="B393" s="24" t="n"/>
      <c r="C393" s="23" t="n"/>
      <c r="D393" s="23" t="n"/>
      <c r="E393" s="23" t="n"/>
      <c r="F393" s="23" t="n"/>
      <c r="G393" s="25" t="n"/>
      <c r="H393" s="26">
        <f>IF(C393="","",C393&amp;"|"&amp;D393)</f>
        <v/>
      </c>
    </row>
    <row r="394">
      <c r="A394" s="23" t="n"/>
      <c r="B394" s="24" t="n"/>
      <c r="C394" s="23" t="n"/>
      <c r="D394" s="23" t="n"/>
      <c r="E394" s="23" t="n"/>
      <c r="F394" s="23" t="n"/>
      <c r="G394" s="25" t="n"/>
      <c r="H394" s="26">
        <f>IF(C394="","",C394&amp;"|"&amp;D394)</f>
        <v/>
      </c>
    </row>
    <row r="395">
      <c r="A395" s="23" t="n"/>
      <c r="B395" s="24" t="n"/>
      <c r="C395" s="23" t="n"/>
      <c r="D395" s="23" t="n"/>
      <c r="E395" s="23" t="n"/>
      <c r="F395" s="23" t="n"/>
      <c r="G395" s="25" t="n"/>
      <c r="H395" s="26">
        <f>IF(C395="","",C395&amp;"|"&amp;D395)</f>
        <v/>
      </c>
    </row>
    <row r="396">
      <c r="A396" s="23" t="n"/>
      <c r="B396" s="24" t="n"/>
      <c r="C396" s="23" t="n"/>
      <c r="D396" s="23" t="n"/>
      <c r="E396" s="23" t="n"/>
      <c r="F396" s="23" t="n"/>
      <c r="G396" s="25" t="n"/>
      <c r="H396" s="26">
        <f>IF(C396="","",C396&amp;"|"&amp;D396)</f>
        <v/>
      </c>
    </row>
    <row r="397">
      <c r="A397" s="23" t="n"/>
      <c r="B397" s="24" t="n"/>
      <c r="C397" s="23" t="n"/>
      <c r="D397" s="23" t="n"/>
      <c r="E397" s="23" t="n"/>
      <c r="F397" s="23" t="n"/>
      <c r="G397" s="25" t="n"/>
      <c r="H397" s="26">
        <f>IF(C397="","",C397&amp;"|"&amp;D397)</f>
        <v/>
      </c>
    </row>
    <row r="398">
      <c r="A398" s="23" t="n"/>
      <c r="B398" s="24" t="n"/>
      <c r="C398" s="23" t="n"/>
      <c r="D398" s="23" t="n"/>
      <c r="E398" s="23" t="n"/>
      <c r="F398" s="23" t="n"/>
      <c r="G398" s="25" t="n"/>
      <c r="H398" s="26">
        <f>IF(C398="","",C398&amp;"|"&amp;D398)</f>
        <v/>
      </c>
    </row>
    <row r="399">
      <c r="A399" s="23" t="n"/>
      <c r="B399" s="24" t="n"/>
      <c r="C399" s="23" t="n"/>
      <c r="D399" s="23" t="n"/>
      <c r="E399" s="23" t="n"/>
      <c r="F399" s="23" t="n"/>
      <c r="G399" s="25" t="n"/>
      <c r="H399" s="26">
        <f>IF(C399="","",C399&amp;"|"&amp;D399)</f>
        <v/>
      </c>
    </row>
    <row r="400">
      <c r="A400" s="23" t="n"/>
      <c r="B400" s="24" t="n"/>
      <c r="C400" s="23" t="n"/>
      <c r="D400" s="23" t="n"/>
      <c r="E400" s="23" t="n"/>
      <c r="F400" s="23" t="n"/>
      <c r="G400" s="25" t="n"/>
      <c r="H400" s="26">
        <f>IF(C400="","",C400&amp;"|"&amp;D400)</f>
        <v/>
      </c>
    </row>
    <row r="401">
      <c r="A401" s="23" t="n"/>
      <c r="B401" s="24" t="n"/>
      <c r="C401" s="23" t="n"/>
      <c r="D401" s="23" t="n"/>
      <c r="E401" s="23" t="n"/>
      <c r="F401" s="23" t="n"/>
      <c r="G401" s="25" t="n"/>
      <c r="H401" s="26">
        <f>IF(C401="","",C401&amp;"|"&amp;D401)</f>
        <v/>
      </c>
    </row>
    <row r="402">
      <c r="A402" s="23" t="n"/>
      <c r="B402" s="24" t="n"/>
      <c r="C402" s="23" t="n"/>
      <c r="D402" s="23" t="n"/>
      <c r="E402" s="23" t="n"/>
      <c r="F402" s="23" t="n"/>
      <c r="G402" s="25" t="n"/>
      <c r="H402" s="26">
        <f>IF(C402="","",C402&amp;"|"&amp;D402)</f>
        <v/>
      </c>
    </row>
    <row r="403">
      <c r="A403" s="23" t="n"/>
      <c r="B403" s="24" t="n"/>
      <c r="C403" s="23" t="n"/>
      <c r="D403" s="23" t="n"/>
      <c r="E403" s="23" t="n"/>
      <c r="F403" s="23" t="n"/>
      <c r="G403" s="25" t="n"/>
      <c r="H403" s="26">
        <f>IF(C403="","",C403&amp;"|"&amp;D403)</f>
        <v/>
      </c>
    </row>
    <row r="404">
      <c r="A404" s="23" t="n"/>
      <c r="B404" s="24" t="n"/>
      <c r="C404" s="23" t="n"/>
      <c r="D404" s="23" t="n"/>
      <c r="E404" s="23" t="n"/>
      <c r="F404" s="23" t="n"/>
      <c r="G404" s="25" t="n"/>
      <c r="H404" s="26">
        <f>IF(C404="","",C404&amp;"|"&amp;D404)</f>
        <v/>
      </c>
    </row>
    <row r="405">
      <c r="A405" s="23" t="n"/>
      <c r="B405" s="24" t="n"/>
      <c r="C405" s="23" t="n"/>
      <c r="D405" s="23" t="n"/>
      <c r="E405" s="23" t="n"/>
      <c r="F405" s="23" t="n"/>
      <c r="G405" s="25" t="n"/>
      <c r="H405" s="26">
        <f>IF(C405="","",C405&amp;"|"&amp;D405)</f>
        <v/>
      </c>
    </row>
    <row r="406">
      <c r="A406" s="23" t="n"/>
      <c r="B406" s="24" t="n"/>
      <c r="C406" s="23" t="n"/>
      <c r="D406" s="23" t="n"/>
      <c r="E406" s="23" t="n"/>
      <c r="F406" s="23" t="n"/>
      <c r="G406" s="25" t="n"/>
      <c r="H406" s="26">
        <f>IF(C406="","",C406&amp;"|"&amp;D406)</f>
        <v/>
      </c>
    </row>
    <row r="407">
      <c r="A407" s="23" t="n"/>
      <c r="B407" s="24" t="n"/>
      <c r="C407" s="23" t="n"/>
      <c r="D407" s="23" t="n"/>
      <c r="E407" s="23" t="n"/>
      <c r="F407" s="23" t="n"/>
      <c r="G407" s="25" t="n"/>
      <c r="H407" s="26">
        <f>IF(C407="","",C407&amp;"|"&amp;D407)</f>
        <v/>
      </c>
    </row>
    <row r="408">
      <c r="A408" s="23" t="n"/>
      <c r="B408" s="24" t="n"/>
      <c r="C408" s="23" t="n"/>
      <c r="D408" s="23" t="n"/>
      <c r="E408" s="23" t="n"/>
      <c r="F408" s="23" t="n"/>
      <c r="G408" s="25" t="n"/>
      <c r="H408" s="26">
        <f>IF(C408="","",C408&amp;"|"&amp;D408)</f>
        <v/>
      </c>
    </row>
    <row r="409">
      <c r="A409" s="23" t="n"/>
      <c r="B409" s="24" t="n"/>
      <c r="C409" s="23" t="n"/>
      <c r="D409" s="23" t="n"/>
      <c r="E409" s="23" t="n"/>
      <c r="F409" s="23" t="n"/>
      <c r="G409" s="25" t="n"/>
      <c r="H409" s="26">
        <f>IF(C409="","",C409&amp;"|"&amp;D409)</f>
        <v/>
      </c>
    </row>
    <row r="410">
      <c r="A410" s="23" t="n"/>
      <c r="B410" s="24" t="n"/>
      <c r="C410" s="23" t="n"/>
      <c r="D410" s="23" t="n"/>
      <c r="E410" s="23" t="n"/>
      <c r="F410" s="23" t="n"/>
      <c r="G410" s="25" t="n"/>
      <c r="H410" s="26">
        <f>IF(C410="","",C410&amp;"|"&amp;D410)</f>
        <v/>
      </c>
    </row>
    <row r="411">
      <c r="A411" s="23" t="n"/>
      <c r="B411" s="24" t="n"/>
      <c r="C411" s="23" t="n"/>
      <c r="D411" s="23" t="n"/>
      <c r="E411" s="23" t="n"/>
      <c r="F411" s="23" t="n"/>
      <c r="G411" s="25" t="n"/>
      <c r="H411" s="26">
        <f>IF(C411="","",C411&amp;"|"&amp;D411)</f>
        <v/>
      </c>
    </row>
    <row r="412">
      <c r="A412" s="23" t="n"/>
      <c r="B412" s="24" t="n"/>
      <c r="C412" s="23" t="n"/>
      <c r="D412" s="23" t="n"/>
      <c r="E412" s="23" t="n"/>
      <c r="F412" s="23" t="n"/>
      <c r="G412" s="25" t="n"/>
      <c r="H412" s="26">
        <f>IF(C412="","",C412&amp;"|"&amp;D412)</f>
        <v/>
      </c>
    </row>
    <row r="413">
      <c r="A413" s="23" t="n"/>
      <c r="B413" s="24" t="n"/>
      <c r="C413" s="23" t="n"/>
      <c r="D413" s="23" t="n"/>
      <c r="E413" s="23" t="n"/>
      <c r="F413" s="23" t="n"/>
      <c r="G413" s="25" t="n"/>
      <c r="H413" s="26">
        <f>IF(C413="","",C413&amp;"|"&amp;D413)</f>
        <v/>
      </c>
    </row>
    <row r="414">
      <c r="A414" s="23" t="n"/>
      <c r="B414" s="24" t="n"/>
      <c r="C414" s="23" t="n"/>
      <c r="D414" s="23" t="n"/>
      <c r="E414" s="23" t="n"/>
      <c r="F414" s="23" t="n"/>
      <c r="G414" s="25" t="n"/>
      <c r="H414" s="26">
        <f>IF(C414="","",C414&amp;"|"&amp;D414)</f>
        <v/>
      </c>
    </row>
    <row r="415">
      <c r="A415" s="23" t="n"/>
      <c r="B415" s="24" t="n"/>
      <c r="C415" s="23" t="n"/>
      <c r="D415" s="23" t="n"/>
      <c r="E415" s="23" t="n"/>
      <c r="F415" s="23" t="n"/>
      <c r="G415" s="25" t="n"/>
      <c r="H415" s="26">
        <f>IF(C415="","",C415&amp;"|"&amp;D415)</f>
        <v/>
      </c>
    </row>
    <row r="416">
      <c r="A416" s="23" t="n"/>
      <c r="B416" s="24" t="n"/>
      <c r="C416" s="23" t="n"/>
      <c r="D416" s="23" t="n"/>
      <c r="E416" s="23" t="n"/>
      <c r="F416" s="23" t="n"/>
      <c r="G416" s="25" t="n"/>
      <c r="H416" s="26">
        <f>IF(C416="","",C416&amp;"|"&amp;D416)</f>
        <v/>
      </c>
    </row>
    <row r="417">
      <c r="A417" s="23" t="n"/>
      <c r="B417" s="24" t="n"/>
      <c r="C417" s="23" t="n"/>
      <c r="D417" s="23" t="n"/>
      <c r="E417" s="23" t="n"/>
      <c r="F417" s="23" t="n"/>
      <c r="G417" s="25" t="n"/>
      <c r="H417" s="26">
        <f>IF(C417="","",C417&amp;"|"&amp;D417)</f>
        <v/>
      </c>
    </row>
    <row r="418">
      <c r="A418" s="23" t="n"/>
      <c r="B418" s="24" t="n"/>
      <c r="C418" s="23" t="n"/>
      <c r="D418" s="23" t="n"/>
      <c r="E418" s="23" t="n"/>
      <c r="F418" s="23" t="n"/>
      <c r="G418" s="25" t="n"/>
      <c r="H418" s="26">
        <f>IF(C418="","",C418&amp;"|"&amp;D418)</f>
        <v/>
      </c>
    </row>
    <row r="419">
      <c r="A419" s="23" t="n"/>
      <c r="B419" s="24" t="n"/>
      <c r="C419" s="23" t="n"/>
      <c r="D419" s="23" t="n"/>
      <c r="E419" s="23" t="n"/>
      <c r="F419" s="23" t="n"/>
      <c r="G419" s="25" t="n"/>
      <c r="H419" s="26">
        <f>IF(C419="","",C419&amp;"|"&amp;D419)</f>
        <v/>
      </c>
    </row>
    <row r="420">
      <c r="A420" s="23" t="n"/>
      <c r="B420" s="24" t="n"/>
      <c r="C420" s="23" t="n"/>
      <c r="D420" s="23" t="n"/>
      <c r="E420" s="23" t="n"/>
      <c r="F420" s="23" t="n"/>
      <c r="G420" s="25" t="n"/>
      <c r="H420" s="26">
        <f>IF(C420="","",C420&amp;"|"&amp;D420)</f>
        <v/>
      </c>
    </row>
    <row r="421">
      <c r="A421" s="23" t="n"/>
      <c r="B421" s="24" t="n"/>
      <c r="C421" s="23" t="n"/>
      <c r="D421" s="23" t="n"/>
      <c r="E421" s="23" t="n"/>
      <c r="F421" s="23" t="n"/>
      <c r="G421" s="25" t="n"/>
      <c r="H421" s="26">
        <f>IF(C421="","",C421&amp;"|"&amp;D421)</f>
        <v/>
      </c>
    </row>
    <row r="422">
      <c r="A422" s="23" t="n"/>
      <c r="B422" s="24" t="n"/>
      <c r="C422" s="23" t="n"/>
      <c r="D422" s="23" t="n"/>
      <c r="E422" s="23" t="n"/>
      <c r="F422" s="23" t="n"/>
      <c r="G422" s="25" t="n"/>
      <c r="H422" s="26">
        <f>IF(C422="","",C422&amp;"|"&amp;D422)</f>
        <v/>
      </c>
    </row>
    <row r="423">
      <c r="A423" s="23" t="n"/>
      <c r="B423" s="24" t="n"/>
      <c r="C423" s="23" t="n"/>
      <c r="D423" s="23" t="n"/>
      <c r="E423" s="23" t="n"/>
      <c r="F423" s="23" t="n"/>
      <c r="G423" s="25" t="n"/>
      <c r="H423" s="26">
        <f>IF(C423="","",C423&amp;"|"&amp;D423)</f>
        <v/>
      </c>
    </row>
    <row r="424">
      <c r="A424" s="23" t="n"/>
      <c r="B424" s="24" t="n"/>
      <c r="C424" s="23" t="n"/>
      <c r="D424" s="23" t="n"/>
      <c r="E424" s="23" t="n"/>
      <c r="F424" s="23" t="n"/>
      <c r="G424" s="25" t="n"/>
      <c r="H424" s="26">
        <f>IF(C424="","",C424&amp;"|"&amp;D424)</f>
        <v/>
      </c>
    </row>
    <row r="425">
      <c r="A425" s="23" t="n"/>
      <c r="B425" s="24" t="n"/>
      <c r="C425" s="23" t="n"/>
      <c r="D425" s="23" t="n"/>
      <c r="E425" s="23" t="n"/>
      <c r="F425" s="23" t="n"/>
      <c r="G425" s="25" t="n"/>
      <c r="H425" s="26">
        <f>IF(C425="","",C425&amp;"|"&amp;D425)</f>
        <v/>
      </c>
    </row>
    <row r="426">
      <c r="A426" s="23" t="n"/>
      <c r="B426" s="24" t="n"/>
      <c r="C426" s="23" t="n"/>
      <c r="D426" s="23" t="n"/>
      <c r="E426" s="23" t="n"/>
      <c r="F426" s="23" t="n"/>
      <c r="G426" s="25" t="n"/>
      <c r="H426" s="26">
        <f>IF(C426="","",C426&amp;"|"&amp;D426)</f>
        <v/>
      </c>
    </row>
    <row r="427">
      <c r="A427" s="23" t="n"/>
      <c r="B427" s="24" t="n"/>
      <c r="C427" s="23" t="n"/>
      <c r="D427" s="23" t="n"/>
      <c r="E427" s="23" t="n"/>
      <c r="F427" s="23" t="n"/>
      <c r="G427" s="25" t="n"/>
      <c r="H427" s="26">
        <f>IF(C427="","",C427&amp;"|"&amp;D427)</f>
        <v/>
      </c>
    </row>
    <row r="428">
      <c r="A428" s="23" t="n"/>
      <c r="B428" s="24" t="n"/>
      <c r="C428" s="23" t="n"/>
      <c r="D428" s="23" t="n"/>
      <c r="E428" s="23" t="n"/>
      <c r="F428" s="23" t="n"/>
      <c r="G428" s="25" t="n"/>
      <c r="H428" s="26">
        <f>IF(C428="","",C428&amp;"|"&amp;D428)</f>
        <v/>
      </c>
    </row>
    <row r="429">
      <c r="A429" s="23" t="n"/>
      <c r="B429" s="24" t="n"/>
      <c r="C429" s="23" t="n"/>
      <c r="D429" s="23" t="n"/>
      <c r="E429" s="23" t="n"/>
      <c r="F429" s="23" t="n"/>
      <c r="G429" s="25" t="n"/>
      <c r="H429" s="26">
        <f>IF(C429="","",C429&amp;"|"&amp;D429)</f>
        <v/>
      </c>
    </row>
    <row r="430">
      <c r="A430" s="23" t="n"/>
      <c r="B430" s="24" t="n"/>
      <c r="C430" s="23" t="n"/>
      <c r="D430" s="23" t="n"/>
      <c r="E430" s="23" t="n"/>
      <c r="F430" s="23" t="n"/>
      <c r="G430" s="25" t="n"/>
      <c r="H430" s="26">
        <f>IF(C430="","",C430&amp;"|"&amp;D430)</f>
        <v/>
      </c>
    </row>
    <row r="431">
      <c r="A431" s="23" t="n"/>
      <c r="B431" s="24" t="n"/>
      <c r="C431" s="23" t="n"/>
      <c r="D431" s="23" t="n"/>
      <c r="E431" s="23" t="n"/>
      <c r="F431" s="23" t="n"/>
      <c r="G431" s="25" t="n"/>
      <c r="H431" s="26">
        <f>IF(C431="","",C431&amp;"|"&amp;D431)</f>
        <v/>
      </c>
    </row>
    <row r="432">
      <c r="A432" s="23" t="n"/>
      <c r="B432" s="24" t="n"/>
      <c r="C432" s="23" t="n"/>
      <c r="D432" s="23" t="n"/>
      <c r="E432" s="23" t="n"/>
      <c r="F432" s="23" t="n"/>
      <c r="G432" s="25" t="n"/>
      <c r="H432" s="26">
        <f>IF(C432="","",C432&amp;"|"&amp;D432)</f>
        <v/>
      </c>
    </row>
    <row r="433">
      <c r="A433" s="23" t="n"/>
      <c r="B433" s="24" t="n"/>
      <c r="C433" s="23" t="n"/>
      <c r="D433" s="23" t="n"/>
      <c r="E433" s="23" t="n"/>
      <c r="F433" s="23" t="n"/>
      <c r="G433" s="25" t="n"/>
      <c r="H433" s="26">
        <f>IF(C433="","",C433&amp;"|"&amp;D433)</f>
        <v/>
      </c>
    </row>
    <row r="434">
      <c r="A434" s="23" t="n"/>
      <c r="B434" s="24" t="n"/>
      <c r="C434" s="23" t="n"/>
      <c r="D434" s="23" t="n"/>
      <c r="E434" s="23" t="n"/>
      <c r="F434" s="23" t="n"/>
      <c r="G434" s="25" t="n"/>
      <c r="H434" s="26">
        <f>IF(C434="","",C434&amp;"|"&amp;D434)</f>
        <v/>
      </c>
    </row>
    <row r="435">
      <c r="A435" s="23" t="n"/>
      <c r="B435" s="24" t="n"/>
      <c r="C435" s="23" t="n"/>
      <c r="D435" s="23" t="n"/>
      <c r="E435" s="23" t="n"/>
      <c r="F435" s="23" t="n"/>
      <c r="G435" s="25" t="n"/>
      <c r="H435" s="26">
        <f>IF(C435="","",C435&amp;"|"&amp;D435)</f>
        <v/>
      </c>
    </row>
    <row r="436">
      <c r="A436" s="23" t="n"/>
      <c r="B436" s="24" t="n"/>
      <c r="C436" s="23" t="n"/>
      <c r="D436" s="23" t="n"/>
      <c r="E436" s="23" t="n"/>
      <c r="F436" s="23" t="n"/>
      <c r="G436" s="25" t="n"/>
      <c r="H436" s="26">
        <f>IF(C436="","",C436&amp;"|"&amp;D436)</f>
        <v/>
      </c>
    </row>
    <row r="437">
      <c r="A437" s="23" t="n"/>
      <c r="B437" s="24" t="n"/>
      <c r="C437" s="23" t="n"/>
      <c r="D437" s="23" t="n"/>
      <c r="E437" s="23" t="n"/>
      <c r="F437" s="23" t="n"/>
      <c r="G437" s="25" t="n"/>
      <c r="H437" s="26">
        <f>IF(C437="","",C437&amp;"|"&amp;D437)</f>
        <v/>
      </c>
    </row>
    <row r="438">
      <c r="A438" s="23" t="n"/>
      <c r="B438" s="24" t="n"/>
      <c r="C438" s="23" t="n"/>
      <c r="D438" s="23" t="n"/>
      <c r="E438" s="23" t="n"/>
      <c r="F438" s="23" t="n"/>
      <c r="G438" s="25" t="n"/>
      <c r="H438" s="26">
        <f>IF(C438="","",C438&amp;"|"&amp;D438)</f>
        <v/>
      </c>
    </row>
    <row r="439">
      <c r="A439" s="23" t="n"/>
      <c r="B439" s="24" t="n"/>
      <c r="C439" s="23" t="n"/>
      <c r="D439" s="23" t="n"/>
      <c r="E439" s="23" t="n"/>
      <c r="F439" s="23" t="n"/>
      <c r="G439" s="25" t="n"/>
      <c r="H439" s="26">
        <f>IF(C439="","",C439&amp;"|"&amp;D439)</f>
        <v/>
      </c>
    </row>
    <row r="440">
      <c r="A440" s="23" t="n"/>
      <c r="B440" s="24" t="n"/>
      <c r="C440" s="23" t="n"/>
      <c r="D440" s="23" t="n"/>
      <c r="E440" s="23" t="n"/>
      <c r="F440" s="23" t="n"/>
      <c r="G440" s="25" t="n"/>
      <c r="H440" s="26">
        <f>IF(C440="","",C440&amp;"|"&amp;D440)</f>
        <v/>
      </c>
    </row>
    <row r="441">
      <c r="A441" s="23" t="n"/>
      <c r="B441" s="24" t="n"/>
      <c r="C441" s="23" t="n"/>
      <c r="D441" s="23" t="n"/>
      <c r="E441" s="23" t="n"/>
      <c r="F441" s="23" t="n"/>
      <c r="G441" s="25" t="n"/>
      <c r="H441" s="26">
        <f>IF(C441="","",C441&amp;"|"&amp;D441)</f>
        <v/>
      </c>
    </row>
    <row r="442">
      <c r="A442" s="23" t="n"/>
      <c r="B442" s="24" t="n"/>
      <c r="C442" s="23" t="n"/>
      <c r="D442" s="23" t="n"/>
      <c r="E442" s="23" t="n"/>
      <c r="F442" s="23" t="n"/>
      <c r="G442" s="25" t="n"/>
      <c r="H442" s="26">
        <f>IF(C442="","",C442&amp;"|"&amp;D442)</f>
        <v/>
      </c>
    </row>
    <row r="443">
      <c r="A443" s="23" t="n"/>
      <c r="B443" s="24" t="n"/>
      <c r="C443" s="23" t="n"/>
      <c r="D443" s="23" t="n"/>
      <c r="E443" s="23" t="n"/>
      <c r="F443" s="23" t="n"/>
      <c r="G443" s="25" t="n"/>
      <c r="H443" s="26">
        <f>IF(C443="","",C443&amp;"|"&amp;D443)</f>
        <v/>
      </c>
    </row>
    <row r="444">
      <c r="A444" s="23" t="n"/>
      <c r="B444" s="24" t="n"/>
      <c r="C444" s="23" t="n"/>
      <c r="D444" s="23" t="n"/>
      <c r="E444" s="23" t="n"/>
      <c r="F444" s="23" t="n"/>
      <c r="G444" s="25" t="n"/>
      <c r="H444" s="26">
        <f>IF(C444="","",C444&amp;"|"&amp;D444)</f>
        <v/>
      </c>
    </row>
    <row r="445">
      <c r="A445" s="23" t="n"/>
      <c r="B445" s="24" t="n"/>
      <c r="C445" s="23" t="n"/>
      <c r="D445" s="23" t="n"/>
      <c r="E445" s="23" t="n"/>
      <c r="F445" s="23" t="n"/>
      <c r="G445" s="25" t="n"/>
      <c r="H445" s="26">
        <f>IF(C445="","",C445&amp;"|"&amp;D445)</f>
        <v/>
      </c>
    </row>
    <row r="446">
      <c r="A446" s="23" t="n"/>
      <c r="B446" s="24" t="n"/>
      <c r="C446" s="23" t="n"/>
      <c r="D446" s="23" t="n"/>
      <c r="E446" s="23" t="n"/>
      <c r="F446" s="23" t="n"/>
      <c r="G446" s="25" t="n"/>
      <c r="H446" s="26">
        <f>IF(C446="","",C446&amp;"|"&amp;D446)</f>
        <v/>
      </c>
    </row>
    <row r="447">
      <c r="A447" s="23" t="n"/>
      <c r="B447" s="24" t="n"/>
      <c r="C447" s="23" t="n"/>
      <c r="D447" s="23" t="n"/>
      <c r="E447" s="23" t="n"/>
      <c r="F447" s="23" t="n"/>
      <c r="G447" s="25" t="n"/>
      <c r="H447" s="26">
        <f>IF(C447="","",C447&amp;"|"&amp;D447)</f>
        <v/>
      </c>
    </row>
    <row r="448">
      <c r="A448" s="23" t="n"/>
      <c r="B448" s="24" t="n"/>
      <c r="C448" s="23" t="n"/>
      <c r="D448" s="23" t="n"/>
      <c r="E448" s="23" t="n"/>
      <c r="F448" s="23" t="n"/>
      <c r="G448" s="25" t="n"/>
      <c r="H448" s="26">
        <f>IF(C448="","",C448&amp;"|"&amp;D448)</f>
        <v/>
      </c>
    </row>
    <row r="449">
      <c r="A449" s="23" t="n"/>
      <c r="B449" s="24" t="n"/>
      <c r="C449" s="23" t="n"/>
      <c r="D449" s="23" t="n"/>
      <c r="E449" s="23" t="n"/>
      <c r="F449" s="23" t="n"/>
      <c r="G449" s="25" t="n"/>
      <c r="H449" s="26">
        <f>IF(C449="","",C449&amp;"|"&amp;D449)</f>
        <v/>
      </c>
    </row>
    <row r="450">
      <c r="A450" s="23" t="n"/>
      <c r="B450" s="24" t="n"/>
      <c r="C450" s="23" t="n"/>
      <c r="D450" s="23" t="n"/>
      <c r="E450" s="23" t="n"/>
      <c r="F450" s="23" t="n"/>
      <c r="G450" s="25" t="n"/>
      <c r="H450" s="26">
        <f>IF(C450="","",C450&amp;"|"&amp;D450)</f>
        <v/>
      </c>
    </row>
    <row r="451">
      <c r="A451" s="23" t="n"/>
      <c r="B451" s="24" t="n"/>
      <c r="C451" s="23" t="n"/>
      <c r="D451" s="23" t="n"/>
      <c r="E451" s="23" t="n"/>
      <c r="F451" s="23" t="n"/>
      <c r="G451" s="25" t="n"/>
      <c r="H451" s="26">
        <f>IF(C451="","",C451&amp;"|"&amp;D451)</f>
        <v/>
      </c>
    </row>
    <row r="452">
      <c r="A452" s="23" t="n"/>
      <c r="B452" s="24" t="n"/>
      <c r="C452" s="23" t="n"/>
      <c r="D452" s="23" t="n"/>
      <c r="E452" s="23" t="n"/>
      <c r="F452" s="23" t="n"/>
      <c r="G452" s="25" t="n"/>
      <c r="H452" s="26">
        <f>IF(C452="","",C452&amp;"|"&amp;D452)</f>
        <v/>
      </c>
    </row>
    <row r="453">
      <c r="A453" s="23" t="n"/>
      <c r="B453" s="24" t="n"/>
      <c r="C453" s="23" t="n"/>
      <c r="D453" s="23" t="n"/>
      <c r="E453" s="23" t="n"/>
      <c r="F453" s="23" t="n"/>
      <c r="G453" s="25" t="n"/>
      <c r="H453" s="26">
        <f>IF(C453="","",C453&amp;"|"&amp;D453)</f>
        <v/>
      </c>
    </row>
    <row r="454">
      <c r="A454" s="23" t="n"/>
      <c r="B454" s="24" t="n"/>
      <c r="C454" s="23" t="n"/>
      <c r="D454" s="23" t="n"/>
      <c r="E454" s="23" t="n"/>
      <c r="F454" s="23" t="n"/>
      <c r="G454" s="25" t="n"/>
      <c r="H454" s="26">
        <f>IF(C454="","",C454&amp;"|"&amp;D454)</f>
        <v/>
      </c>
    </row>
    <row r="455">
      <c r="A455" s="23" t="n"/>
      <c r="B455" s="24" t="n"/>
      <c r="C455" s="23" t="n"/>
      <c r="D455" s="23" t="n"/>
      <c r="E455" s="23" t="n"/>
      <c r="F455" s="23" t="n"/>
      <c r="G455" s="25" t="n"/>
      <c r="H455" s="26">
        <f>IF(C455="","",C455&amp;"|"&amp;D455)</f>
        <v/>
      </c>
    </row>
    <row r="456">
      <c r="A456" s="23" t="n"/>
      <c r="B456" s="24" t="n"/>
      <c r="C456" s="23" t="n"/>
      <c r="D456" s="23" t="n"/>
      <c r="E456" s="23" t="n"/>
      <c r="F456" s="23" t="n"/>
      <c r="G456" s="25" t="n"/>
      <c r="H456" s="26">
        <f>IF(C456="","",C456&amp;"|"&amp;D456)</f>
        <v/>
      </c>
    </row>
    <row r="457">
      <c r="A457" s="23" t="n"/>
      <c r="B457" s="24" t="n"/>
      <c r="C457" s="23" t="n"/>
      <c r="D457" s="23" t="n"/>
      <c r="E457" s="23" t="n"/>
      <c r="F457" s="23" t="n"/>
      <c r="G457" s="25" t="n"/>
      <c r="H457" s="26">
        <f>IF(C457="","",C457&amp;"|"&amp;D457)</f>
        <v/>
      </c>
    </row>
    <row r="458">
      <c r="A458" s="23" t="n"/>
      <c r="B458" s="24" t="n"/>
      <c r="C458" s="23" t="n"/>
      <c r="D458" s="23" t="n"/>
      <c r="E458" s="23" t="n"/>
      <c r="F458" s="23" t="n"/>
      <c r="G458" s="25" t="n"/>
      <c r="H458" s="26">
        <f>IF(C458="","",C458&amp;"|"&amp;D458)</f>
        <v/>
      </c>
    </row>
    <row r="459">
      <c r="A459" s="23" t="n"/>
      <c r="B459" s="24" t="n"/>
      <c r="C459" s="23" t="n"/>
      <c r="D459" s="23" t="n"/>
      <c r="E459" s="23" t="n"/>
      <c r="F459" s="23" t="n"/>
      <c r="G459" s="25" t="n"/>
      <c r="H459" s="26">
        <f>IF(C459="","",C459&amp;"|"&amp;D459)</f>
        <v/>
      </c>
    </row>
    <row r="460">
      <c r="A460" s="23" t="n"/>
      <c r="B460" s="24" t="n"/>
      <c r="C460" s="23" t="n"/>
      <c r="D460" s="23" t="n"/>
      <c r="E460" s="23" t="n"/>
      <c r="F460" s="23" t="n"/>
      <c r="G460" s="25" t="n"/>
      <c r="H460" s="26">
        <f>IF(C460="","",C460&amp;"|"&amp;D460)</f>
        <v/>
      </c>
    </row>
    <row r="461">
      <c r="A461" s="23" t="n"/>
      <c r="B461" s="24" t="n"/>
      <c r="C461" s="23" t="n"/>
      <c r="D461" s="23" t="n"/>
      <c r="E461" s="23" t="n"/>
      <c r="F461" s="23" t="n"/>
      <c r="G461" s="25" t="n"/>
      <c r="H461" s="26">
        <f>IF(C461="","",C461&amp;"|"&amp;D461)</f>
        <v/>
      </c>
    </row>
    <row r="462">
      <c r="A462" s="23" t="n"/>
      <c r="B462" s="24" t="n"/>
      <c r="C462" s="23" t="n"/>
      <c r="D462" s="23" t="n"/>
      <c r="E462" s="23" t="n"/>
      <c r="F462" s="23" t="n"/>
      <c r="G462" s="25" t="n"/>
      <c r="H462" s="26">
        <f>IF(C462="","",C462&amp;"|"&amp;D462)</f>
        <v/>
      </c>
    </row>
    <row r="463">
      <c r="A463" s="23" t="n"/>
      <c r="B463" s="24" t="n"/>
      <c r="C463" s="23" t="n"/>
      <c r="D463" s="23" t="n"/>
      <c r="E463" s="23" t="n"/>
      <c r="F463" s="23" t="n"/>
      <c r="G463" s="25" t="n"/>
      <c r="H463" s="26">
        <f>IF(C463="","",C463&amp;"|"&amp;D463)</f>
        <v/>
      </c>
    </row>
    <row r="464">
      <c r="A464" s="23" t="n"/>
      <c r="B464" s="24" t="n"/>
      <c r="C464" s="23" t="n"/>
      <c r="D464" s="23" t="n"/>
      <c r="E464" s="23" t="n"/>
      <c r="F464" s="23" t="n"/>
      <c r="G464" s="25" t="n"/>
      <c r="H464" s="26">
        <f>IF(C464="","",C464&amp;"|"&amp;D464)</f>
        <v/>
      </c>
    </row>
    <row r="465">
      <c r="A465" s="23" t="n"/>
      <c r="B465" s="24" t="n"/>
      <c r="C465" s="23" t="n"/>
      <c r="D465" s="23" t="n"/>
      <c r="E465" s="23" t="n"/>
      <c r="F465" s="23" t="n"/>
      <c r="G465" s="25" t="n"/>
      <c r="H465" s="26">
        <f>IF(C465="","",C465&amp;"|"&amp;D465)</f>
        <v/>
      </c>
    </row>
    <row r="466">
      <c r="A466" s="23" t="n"/>
      <c r="B466" s="24" t="n"/>
      <c r="C466" s="23" t="n"/>
      <c r="D466" s="23" t="n"/>
      <c r="E466" s="23" t="n"/>
      <c r="F466" s="23" t="n"/>
      <c r="G466" s="25" t="n"/>
      <c r="H466" s="26">
        <f>IF(C466="","",C466&amp;"|"&amp;D466)</f>
        <v/>
      </c>
    </row>
    <row r="467">
      <c r="A467" s="23" t="n"/>
      <c r="B467" s="24" t="n"/>
      <c r="C467" s="23" t="n"/>
      <c r="D467" s="23" t="n"/>
      <c r="E467" s="23" t="n"/>
      <c r="F467" s="23" t="n"/>
      <c r="G467" s="25" t="n"/>
      <c r="H467" s="26">
        <f>IF(C467="","",C467&amp;"|"&amp;D467)</f>
        <v/>
      </c>
    </row>
    <row r="468">
      <c r="A468" s="23" t="n"/>
      <c r="B468" s="24" t="n"/>
      <c r="C468" s="23" t="n"/>
      <c r="D468" s="23" t="n"/>
      <c r="E468" s="23" t="n"/>
      <c r="F468" s="23" t="n"/>
      <c r="G468" s="25" t="n"/>
      <c r="H468" s="26">
        <f>IF(C468="","",C468&amp;"|"&amp;D468)</f>
        <v/>
      </c>
    </row>
    <row r="469">
      <c r="A469" s="23" t="n"/>
      <c r="B469" s="24" t="n"/>
      <c r="C469" s="23" t="n"/>
      <c r="D469" s="23" t="n"/>
      <c r="E469" s="23" t="n"/>
      <c r="F469" s="23" t="n"/>
      <c r="G469" s="25" t="n"/>
      <c r="H469" s="26">
        <f>IF(C469="","",C469&amp;"|"&amp;D469)</f>
        <v/>
      </c>
    </row>
    <row r="470">
      <c r="A470" s="23" t="n"/>
      <c r="B470" s="24" t="n"/>
      <c r="C470" s="23" t="n"/>
      <c r="D470" s="23" t="n"/>
      <c r="E470" s="23" t="n"/>
      <c r="F470" s="23" t="n"/>
      <c r="G470" s="25" t="n"/>
      <c r="H470" s="26">
        <f>IF(C470="","",C470&amp;"|"&amp;D470)</f>
        <v/>
      </c>
    </row>
    <row r="471">
      <c r="A471" s="23" t="n"/>
      <c r="B471" s="24" t="n"/>
      <c r="C471" s="23" t="n"/>
      <c r="D471" s="23" t="n"/>
      <c r="E471" s="23" t="n"/>
      <c r="F471" s="23" t="n"/>
      <c r="G471" s="25" t="n"/>
      <c r="H471" s="26">
        <f>IF(C471="","",C471&amp;"|"&amp;D471)</f>
        <v/>
      </c>
    </row>
    <row r="472">
      <c r="A472" s="23" t="n"/>
      <c r="B472" s="24" t="n"/>
      <c r="C472" s="23" t="n"/>
      <c r="D472" s="23" t="n"/>
      <c r="E472" s="23" t="n"/>
      <c r="F472" s="23" t="n"/>
      <c r="G472" s="25" t="n"/>
      <c r="H472" s="26">
        <f>IF(C472="","",C472&amp;"|"&amp;D472)</f>
        <v/>
      </c>
    </row>
    <row r="473">
      <c r="A473" s="23" t="n"/>
      <c r="B473" s="24" t="n"/>
      <c r="C473" s="23" t="n"/>
      <c r="D473" s="23" t="n"/>
      <c r="E473" s="23" t="n"/>
      <c r="F473" s="23" t="n"/>
      <c r="G473" s="25" t="n"/>
      <c r="H473" s="26">
        <f>IF(C473="","",C473&amp;"|"&amp;D473)</f>
        <v/>
      </c>
    </row>
    <row r="474">
      <c r="A474" s="23" t="n"/>
      <c r="B474" s="24" t="n"/>
      <c r="C474" s="23" t="n"/>
      <c r="D474" s="23" t="n"/>
      <c r="E474" s="23" t="n"/>
      <c r="F474" s="23" t="n"/>
      <c r="G474" s="25" t="n"/>
      <c r="H474" s="26">
        <f>IF(C474="","",C474&amp;"|"&amp;D474)</f>
        <v/>
      </c>
    </row>
    <row r="475">
      <c r="A475" s="23" t="n"/>
      <c r="B475" s="24" t="n"/>
      <c r="C475" s="23" t="n"/>
      <c r="D475" s="23" t="n"/>
      <c r="E475" s="23" t="n"/>
      <c r="F475" s="23" t="n"/>
      <c r="G475" s="25" t="n"/>
      <c r="H475" s="26">
        <f>IF(C475="","",C475&amp;"|"&amp;D475)</f>
        <v/>
      </c>
    </row>
    <row r="476">
      <c r="A476" s="23" t="n"/>
      <c r="B476" s="24" t="n"/>
      <c r="C476" s="23" t="n"/>
      <c r="D476" s="23" t="n"/>
      <c r="E476" s="23" t="n"/>
      <c r="F476" s="23" t="n"/>
      <c r="G476" s="25" t="n"/>
      <c r="H476" s="26">
        <f>IF(C476="","",C476&amp;"|"&amp;D476)</f>
        <v/>
      </c>
    </row>
    <row r="477">
      <c r="A477" s="23" t="n"/>
      <c r="B477" s="24" t="n"/>
      <c r="C477" s="23" t="n"/>
      <c r="D477" s="23" t="n"/>
      <c r="E477" s="23" t="n"/>
      <c r="F477" s="23" t="n"/>
      <c r="G477" s="25" t="n"/>
      <c r="H477" s="26">
        <f>IF(C477="","",C477&amp;"|"&amp;D477)</f>
        <v/>
      </c>
    </row>
    <row r="478">
      <c r="A478" s="23" t="n"/>
      <c r="B478" s="24" t="n"/>
      <c r="C478" s="23" t="n"/>
      <c r="D478" s="23" t="n"/>
      <c r="E478" s="23" t="n"/>
      <c r="F478" s="23" t="n"/>
      <c r="G478" s="25" t="n"/>
      <c r="H478" s="26">
        <f>IF(C478="","",C478&amp;"|"&amp;D478)</f>
        <v/>
      </c>
    </row>
    <row r="479">
      <c r="A479" s="23" t="n"/>
      <c r="B479" s="24" t="n"/>
      <c r="C479" s="23" t="n"/>
      <c r="D479" s="23" t="n"/>
      <c r="E479" s="23" t="n"/>
      <c r="F479" s="23" t="n"/>
      <c r="G479" s="25" t="n"/>
      <c r="H479" s="26">
        <f>IF(C479="","",C479&amp;"|"&amp;D479)</f>
        <v/>
      </c>
    </row>
    <row r="480">
      <c r="A480" s="23" t="n"/>
      <c r="B480" s="24" t="n"/>
      <c r="C480" s="23" t="n"/>
      <c r="D480" s="23" t="n"/>
      <c r="E480" s="23" t="n"/>
      <c r="F480" s="23" t="n"/>
      <c r="G480" s="25" t="n"/>
      <c r="H480" s="26">
        <f>IF(C480="","",C480&amp;"|"&amp;D480)</f>
        <v/>
      </c>
    </row>
    <row r="481">
      <c r="A481" s="23" t="n"/>
      <c r="B481" s="24" t="n"/>
      <c r="C481" s="23" t="n"/>
      <c r="D481" s="23" t="n"/>
      <c r="E481" s="23" t="n"/>
      <c r="F481" s="23" t="n"/>
      <c r="G481" s="25" t="n"/>
      <c r="H481" s="26">
        <f>IF(C481="","",C481&amp;"|"&amp;D481)</f>
        <v/>
      </c>
    </row>
    <row r="482">
      <c r="A482" s="23" t="n"/>
      <c r="B482" s="24" t="n"/>
      <c r="C482" s="23" t="n"/>
      <c r="D482" s="23" t="n"/>
      <c r="E482" s="23" t="n"/>
      <c r="F482" s="23" t="n"/>
      <c r="G482" s="25" t="n"/>
      <c r="H482" s="26">
        <f>IF(C482="","",C482&amp;"|"&amp;D482)</f>
        <v/>
      </c>
    </row>
    <row r="483">
      <c r="A483" s="23" t="n"/>
      <c r="B483" s="24" t="n"/>
      <c r="C483" s="23" t="n"/>
      <c r="D483" s="23" t="n"/>
      <c r="E483" s="23" t="n"/>
      <c r="F483" s="23" t="n"/>
      <c r="G483" s="25" t="n"/>
      <c r="H483" s="26">
        <f>IF(C483="","",C483&amp;"|"&amp;D483)</f>
        <v/>
      </c>
    </row>
    <row r="484">
      <c r="A484" s="23" t="n"/>
      <c r="B484" s="24" t="n"/>
      <c r="C484" s="23" t="n"/>
      <c r="D484" s="23" t="n"/>
      <c r="E484" s="23" t="n"/>
      <c r="F484" s="23" t="n"/>
      <c r="G484" s="25" t="n"/>
      <c r="H484" s="26">
        <f>IF(C484="","",C484&amp;"|"&amp;D484)</f>
        <v/>
      </c>
    </row>
    <row r="485">
      <c r="A485" s="23" t="n"/>
      <c r="B485" s="24" t="n"/>
      <c r="C485" s="23" t="n"/>
      <c r="D485" s="23" t="n"/>
      <c r="E485" s="23" t="n"/>
      <c r="F485" s="23" t="n"/>
      <c r="G485" s="25" t="n"/>
      <c r="H485" s="26">
        <f>IF(C485="","",C485&amp;"|"&amp;D485)</f>
        <v/>
      </c>
    </row>
    <row r="486">
      <c r="A486" s="23" t="n"/>
      <c r="B486" s="24" t="n"/>
      <c r="C486" s="23" t="n"/>
      <c r="D486" s="23" t="n"/>
      <c r="E486" s="23" t="n"/>
      <c r="F486" s="23" t="n"/>
      <c r="G486" s="25" t="n"/>
      <c r="H486" s="26">
        <f>IF(C486="","",C486&amp;"|"&amp;D486)</f>
        <v/>
      </c>
    </row>
    <row r="487">
      <c r="A487" s="23" t="n"/>
      <c r="B487" s="24" t="n"/>
      <c r="C487" s="23" t="n"/>
      <c r="D487" s="23" t="n"/>
      <c r="E487" s="23" t="n"/>
      <c r="F487" s="23" t="n"/>
      <c r="G487" s="25" t="n"/>
      <c r="H487" s="26">
        <f>IF(C487="","",C487&amp;"|"&amp;D487)</f>
        <v/>
      </c>
    </row>
    <row r="488">
      <c r="A488" s="23" t="n"/>
      <c r="B488" s="24" t="n"/>
      <c r="C488" s="23" t="n"/>
      <c r="D488" s="23" t="n"/>
      <c r="E488" s="23" t="n"/>
      <c r="F488" s="23" t="n"/>
      <c r="G488" s="25" t="n"/>
      <c r="H488" s="26">
        <f>IF(C488="","",C488&amp;"|"&amp;D488)</f>
        <v/>
      </c>
    </row>
    <row r="489">
      <c r="A489" s="23" t="n"/>
      <c r="B489" s="24" t="n"/>
      <c r="C489" s="23" t="n"/>
      <c r="D489" s="23" t="n"/>
      <c r="E489" s="23" t="n"/>
      <c r="F489" s="23" t="n"/>
      <c r="G489" s="25" t="n"/>
      <c r="H489" s="26">
        <f>IF(C489="","",C489&amp;"|"&amp;D489)</f>
        <v/>
      </c>
    </row>
    <row r="490">
      <c r="A490" s="23" t="n"/>
      <c r="B490" s="24" t="n"/>
      <c r="C490" s="23" t="n"/>
      <c r="D490" s="23" t="n"/>
      <c r="E490" s="23" t="n"/>
      <c r="F490" s="23" t="n"/>
      <c r="G490" s="25" t="n"/>
      <c r="H490" s="26">
        <f>IF(C490="","",C490&amp;"|"&amp;D490)</f>
        <v/>
      </c>
    </row>
    <row r="491">
      <c r="A491" s="23" t="n"/>
      <c r="B491" s="24" t="n"/>
      <c r="C491" s="23" t="n"/>
      <c r="D491" s="23" t="n"/>
      <c r="E491" s="23" t="n"/>
      <c r="F491" s="23" t="n"/>
      <c r="G491" s="25" t="n"/>
      <c r="H491" s="26">
        <f>IF(C491="","",C491&amp;"|"&amp;D491)</f>
        <v/>
      </c>
    </row>
    <row r="492">
      <c r="A492" s="23" t="n"/>
      <c r="B492" s="24" t="n"/>
      <c r="C492" s="23" t="n"/>
      <c r="D492" s="23" t="n"/>
      <c r="E492" s="23" t="n"/>
      <c r="F492" s="23" t="n"/>
      <c r="G492" s="25" t="n"/>
      <c r="H492" s="26">
        <f>IF(C492="","",C492&amp;"|"&amp;D492)</f>
        <v/>
      </c>
    </row>
    <row r="493">
      <c r="A493" s="23" t="n"/>
      <c r="B493" s="24" t="n"/>
      <c r="C493" s="23" t="n"/>
      <c r="D493" s="23" t="n"/>
      <c r="E493" s="23" t="n"/>
      <c r="F493" s="23" t="n"/>
      <c r="G493" s="25" t="n"/>
      <c r="H493" s="26">
        <f>IF(C493="","",C493&amp;"|"&amp;D493)</f>
        <v/>
      </c>
    </row>
    <row r="494">
      <c r="A494" s="23" t="n"/>
      <c r="B494" s="24" t="n"/>
      <c r="C494" s="23" t="n"/>
      <c r="D494" s="23" t="n"/>
      <c r="E494" s="23" t="n"/>
      <c r="F494" s="23" t="n"/>
      <c r="G494" s="25" t="n"/>
      <c r="H494" s="26">
        <f>IF(C494="","",C494&amp;"|"&amp;D494)</f>
        <v/>
      </c>
    </row>
    <row r="495">
      <c r="A495" s="23" t="n"/>
      <c r="B495" s="24" t="n"/>
      <c r="C495" s="23" t="n"/>
      <c r="D495" s="23" t="n"/>
      <c r="E495" s="23" t="n"/>
      <c r="F495" s="23" t="n"/>
      <c r="G495" s="25" t="n"/>
      <c r="H495" s="26">
        <f>IF(C495="","",C495&amp;"|"&amp;D495)</f>
        <v/>
      </c>
    </row>
    <row r="496">
      <c r="A496" s="23" t="n"/>
      <c r="B496" s="24" t="n"/>
      <c r="C496" s="23" t="n"/>
      <c r="D496" s="23" t="n"/>
      <c r="E496" s="23" t="n"/>
      <c r="F496" s="23" t="n"/>
      <c r="G496" s="25" t="n"/>
      <c r="H496" s="26">
        <f>IF(C496="","",C496&amp;"|"&amp;D496)</f>
        <v/>
      </c>
    </row>
    <row r="497">
      <c r="A497" s="23" t="n"/>
      <c r="B497" s="24" t="n"/>
      <c r="C497" s="23" t="n"/>
      <c r="D497" s="23" t="n"/>
      <c r="E497" s="23" t="n"/>
      <c r="F497" s="23" t="n"/>
      <c r="G497" s="25" t="n"/>
      <c r="H497" s="26">
        <f>IF(C497="","",C497&amp;"|"&amp;D497)</f>
        <v/>
      </c>
    </row>
    <row r="498">
      <c r="A498" s="23" t="n"/>
      <c r="B498" s="24" t="n"/>
      <c r="C498" s="23" t="n"/>
      <c r="D498" s="23" t="n"/>
      <c r="E498" s="23" t="n"/>
      <c r="F498" s="23" t="n"/>
      <c r="G498" s="25" t="n"/>
      <c r="H498" s="26">
        <f>IF(C498="","",C498&amp;"|"&amp;D498)</f>
        <v/>
      </c>
    </row>
    <row r="499">
      <c r="A499" s="23" t="n"/>
      <c r="B499" s="24" t="n"/>
      <c r="C499" s="23" t="n"/>
      <c r="D499" s="23" t="n"/>
      <c r="E499" s="23" t="n"/>
      <c r="F499" s="23" t="n"/>
      <c r="G499" s="25" t="n"/>
      <c r="H499" s="26">
        <f>IF(C499="","",C499&amp;"|"&amp;D499)</f>
        <v/>
      </c>
    </row>
    <row r="500">
      <c r="A500" s="23" t="n"/>
      <c r="B500" s="24" t="n"/>
      <c r="C500" s="23" t="n"/>
      <c r="D500" s="23" t="n"/>
      <c r="E500" s="23" t="n"/>
      <c r="F500" s="23" t="n"/>
      <c r="G500" s="25" t="n"/>
      <c r="H500" s="26">
        <f>IF(C500="","",C500&amp;"|"&amp;D500)</f>
        <v/>
      </c>
    </row>
    <row r="501">
      <c r="A501" s="23" t="n"/>
      <c r="B501" s="24" t="n"/>
      <c r="C501" s="23" t="n"/>
      <c r="D501" s="23" t="n"/>
      <c r="E501" s="23" t="n"/>
      <c r="F501" s="23" t="n"/>
      <c r="G501" s="25" t="n"/>
      <c r="H501" s="26">
        <f>IF(C501="","",C501&amp;"|"&amp;D501)</f>
        <v/>
      </c>
    </row>
    <row r="502">
      <c r="A502" s="23" t="n"/>
      <c r="B502" s="24" t="n"/>
      <c r="C502" s="23" t="n"/>
      <c r="D502" s="23" t="n"/>
      <c r="E502" s="23" t="n"/>
      <c r="F502" s="23" t="n"/>
      <c r="G502" s="25" t="n"/>
      <c r="H502" s="26">
        <f>IF(C502="","",C502&amp;"|"&amp;D502)</f>
        <v/>
      </c>
    </row>
    <row r="503">
      <c r="A503" s="23" t="n"/>
      <c r="B503" s="24" t="n"/>
      <c r="C503" s="23" t="n"/>
      <c r="D503" s="23" t="n"/>
      <c r="E503" s="23" t="n"/>
      <c r="F503" s="23" t="n"/>
      <c r="G503" s="25" t="n"/>
      <c r="H503" s="26">
        <f>IF(C503="","",C503&amp;"|"&amp;D503)</f>
        <v/>
      </c>
    </row>
    <row r="504">
      <c r="A504" s="23" t="n"/>
      <c r="B504" s="24" t="n"/>
      <c r="C504" s="23" t="n"/>
      <c r="D504" s="23" t="n"/>
      <c r="E504" s="23" t="n"/>
      <c r="F504" s="23" t="n"/>
      <c r="G504" s="25" t="n"/>
      <c r="H504" s="26">
        <f>IF(C504="","",C504&amp;"|"&amp;D504)</f>
        <v/>
      </c>
    </row>
    <row r="505">
      <c r="A505" s="23" t="n"/>
      <c r="B505" s="24" t="n"/>
      <c r="C505" s="23" t="n"/>
      <c r="D505" s="23" t="n"/>
      <c r="E505" s="23" t="n"/>
      <c r="F505" s="23" t="n"/>
      <c r="G505" s="25" t="n"/>
      <c r="H505" s="26">
        <f>IF(C505="","",C505&amp;"|"&amp;D505)</f>
        <v/>
      </c>
    </row>
    <row r="506">
      <c r="A506" s="23" t="n"/>
      <c r="B506" s="24" t="n"/>
      <c r="C506" s="23" t="n"/>
      <c r="D506" s="23" t="n"/>
      <c r="E506" s="23" t="n"/>
      <c r="F506" s="23" t="n"/>
      <c r="G506" s="25" t="n"/>
      <c r="H506" s="26">
        <f>IF(C506="","",C506&amp;"|"&amp;D506)</f>
        <v/>
      </c>
    </row>
    <row r="507">
      <c r="A507" s="23" t="n"/>
      <c r="B507" s="24" t="n"/>
      <c r="C507" s="23" t="n"/>
      <c r="D507" s="23" t="n"/>
      <c r="E507" s="23" t="n"/>
      <c r="F507" s="23" t="n"/>
      <c r="G507" s="25" t="n"/>
      <c r="H507" s="26">
        <f>IF(C507="","",C507&amp;"|"&amp;D507)</f>
        <v/>
      </c>
    </row>
    <row r="508">
      <c r="A508" s="23" t="n"/>
      <c r="B508" s="24" t="n"/>
      <c r="C508" s="23" t="n"/>
      <c r="D508" s="23" t="n"/>
      <c r="E508" s="23" t="n"/>
      <c r="F508" s="23" t="n"/>
      <c r="G508" s="25" t="n"/>
      <c r="H508" s="26">
        <f>IF(C508="","",C508&amp;"|"&amp;D508)</f>
        <v/>
      </c>
    </row>
    <row r="509">
      <c r="A509" s="23" t="n"/>
      <c r="B509" s="24" t="n"/>
      <c r="C509" s="23" t="n"/>
      <c r="D509" s="23" t="n"/>
      <c r="E509" s="23" t="n"/>
      <c r="F509" s="23" t="n"/>
      <c r="G509" s="25" t="n"/>
      <c r="H509" s="26">
        <f>IF(C509="","",C509&amp;"|"&amp;D509)</f>
        <v/>
      </c>
    </row>
    <row r="510">
      <c r="A510" s="23" t="n"/>
      <c r="B510" s="24" t="n"/>
      <c r="C510" s="23" t="n"/>
      <c r="D510" s="23" t="n"/>
      <c r="E510" s="23" t="n"/>
      <c r="F510" s="23" t="n"/>
      <c r="G510" s="25" t="n"/>
      <c r="H510" s="26">
        <f>IF(C510="","",C510&amp;"|"&amp;D510)</f>
        <v/>
      </c>
    </row>
    <row r="511">
      <c r="A511" s="23" t="n"/>
      <c r="B511" s="24" t="n"/>
      <c r="C511" s="23" t="n"/>
      <c r="D511" s="23" t="n"/>
      <c r="E511" s="23" t="n"/>
      <c r="F511" s="23" t="n"/>
      <c r="G511" s="25" t="n"/>
      <c r="H511" s="26">
        <f>IF(C511="","",C511&amp;"|"&amp;D511)</f>
        <v/>
      </c>
    </row>
    <row r="512">
      <c r="A512" s="23" t="n"/>
      <c r="B512" s="24" t="n"/>
      <c r="C512" s="23" t="n"/>
      <c r="D512" s="23" t="n"/>
      <c r="E512" s="23" t="n"/>
      <c r="F512" s="23" t="n"/>
      <c r="G512" s="25" t="n"/>
      <c r="H512" s="26">
        <f>IF(C512="","",C512&amp;"|"&amp;D512)</f>
        <v/>
      </c>
    </row>
    <row r="513">
      <c r="A513" s="23" t="n"/>
      <c r="B513" s="24" t="n"/>
      <c r="C513" s="23" t="n"/>
      <c r="D513" s="23" t="n"/>
      <c r="E513" s="23" t="n"/>
      <c r="F513" s="23" t="n"/>
      <c r="G513" s="25" t="n"/>
      <c r="H513" s="26">
        <f>IF(C513="","",C513&amp;"|"&amp;D513)</f>
        <v/>
      </c>
    </row>
    <row r="514">
      <c r="A514" s="23" t="n"/>
      <c r="B514" s="24" t="n"/>
      <c r="C514" s="23" t="n"/>
      <c r="D514" s="23" t="n"/>
      <c r="E514" s="23" t="n"/>
      <c r="F514" s="23" t="n"/>
      <c r="G514" s="25" t="n"/>
      <c r="H514" s="26">
        <f>IF(C514="","",C514&amp;"|"&amp;D514)</f>
        <v/>
      </c>
    </row>
    <row r="515">
      <c r="A515" s="23" t="n"/>
      <c r="B515" s="24" t="n"/>
      <c r="C515" s="23" t="n"/>
      <c r="D515" s="23" t="n"/>
      <c r="E515" s="23" t="n"/>
      <c r="F515" s="23" t="n"/>
      <c r="G515" s="25" t="n"/>
      <c r="H515" s="26">
        <f>IF(C515="","",C515&amp;"|"&amp;D515)</f>
        <v/>
      </c>
    </row>
    <row r="516">
      <c r="A516" s="23" t="n"/>
      <c r="B516" s="24" t="n"/>
      <c r="C516" s="23" t="n"/>
      <c r="D516" s="23" t="n"/>
      <c r="E516" s="23" t="n"/>
      <c r="F516" s="23" t="n"/>
      <c r="G516" s="25" t="n"/>
      <c r="H516" s="26">
        <f>IF(C516="","",C516&amp;"|"&amp;D516)</f>
        <v/>
      </c>
    </row>
    <row r="517">
      <c r="A517" s="23" t="n"/>
      <c r="B517" s="24" t="n"/>
      <c r="C517" s="23" t="n"/>
      <c r="D517" s="23" t="n"/>
      <c r="E517" s="23" t="n"/>
      <c r="F517" s="23" t="n"/>
      <c r="G517" s="25" t="n"/>
      <c r="H517" s="26">
        <f>IF(C517="","",C517&amp;"|"&amp;D517)</f>
        <v/>
      </c>
    </row>
    <row r="518">
      <c r="A518" s="23" t="n"/>
      <c r="B518" s="24" t="n"/>
      <c r="C518" s="23" t="n"/>
      <c r="D518" s="23" t="n"/>
      <c r="E518" s="23" t="n"/>
      <c r="F518" s="23" t="n"/>
      <c r="G518" s="25" t="n"/>
      <c r="H518" s="26">
        <f>IF(C518="","",C518&amp;"|"&amp;D518)</f>
        <v/>
      </c>
    </row>
    <row r="519">
      <c r="A519" s="23" t="n"/>
      <c r="B519" s="24" t="n"/>
      <c r="C519" s="23" t="n"/>
      <c r="D519" s="23" t="n"/>
      <c r="E519" s="23" t="n"/>
      <c r="F519" s="23" t="n"/>
      <c r="G519" s="25" t="n"/>
      <c r="H519" s="26">
        <f>IF(C519="","",C519&amp;"|"&amp;D519)</f>
        <v/>
      </c>
    </row>
    <row r="520">
      <c r="A520" s="23" t="n"/>
      <c r="B520" s="24" t="n"/>
      <c r="C520" s="23" t="n"/>
      <c r="D520" s="23" t="n"/>
      <c r="E520" s="23" t="n"/>
      <c r="F520" s="23" t="n"/>
      <c r="G520" s="25" t="n"/>
      <c r="H520" s="26">
        <f>IF(C520="","",C520&amp;"|"&amp;D520)</f>
        <v/>
      </c>
    </row>
    <row r="521">
      <c r="A521" s="23" t="n"/>
      <c r="B521" s="24" t="n"/>
      <c r="C521" s="23" t="n"/>
      <c r="D521" s="23" t="n"/>
      <c r="E521" s="23" t="n"/>
      <c r="F521" s="23" t="n"/>
      <c r="G521" s="25" t="n"/>
      <c r="H521" s="26">
        <f>IF(C521="","",C521&amp;"|"&amp;D521)</f>
        <v/>
      </c>
    </row>
    <row r="522">
      <c r="A522" s="23" t="n"/>
      <c r="B522" s="24" t="n"/>
      <c r="C522" s="23" t="n"/>
      <c r="D522" s="23" t="n"/>
      <c r="E522" s="23" t="n"/>
      <c r="F522" s="23" t="n"/>
      <c r="G522" s="25" t="n"/>
      <c r="H522" s="26">
        <f>IF(C522="","",C522&amp;"|"&amp;D522)</f>
        <v/>
      </c>
    </row>
    <row r="523">
      <c r="A523" s="23" t="n"/>
      <c r="B523" s="24" t="n"/>
      <c r="C523" s="23" t="n"/>
      <c r="D523" s="23" t="n"/>
      <c r="E523" s="23" t="n"/>
      <c r="F523" s="23" t="n"/>
      <c r="G523" s="25" t="n"/>
      <c r="H523" s="26">
        <f>IF(C523="","",C523&amp;"|"&amp;D523)</f>
        <v/>
      </c>
    </row>
    <row r="524">
      <c r="A524" s="23" t="n"/>
      <c r="B524" s="24" t="n"/>
      <c r="C524" s="23" t="n"/>
      <c r="D524" s="23" t="n"/>
      <c r="E524" s="23" t="n"/>
      <c r="F524" s="23" t="n"/>
      <c r="G524" s="25" t="n"/>
      <c r="H524" s="26">
        <f>IF(C524="","",C524&amp;"|"&amp;D524)</f>
        <v/>
      </c>
    </row>
    <row r="525">
      <c r="A525" s="23" t="n"/>
      <c r="B525" s="24" t="n"/>
      <c r="C525" s="23" t="n"/>
      <c r="D525" s="23" t="n"/>
      <c r="E525" s="23" t="n"/>
      <c r="F525" s="23" t="n"/>
      <c r="G525" s="25" t="n"/>
      <c r="H525" s="26">
        <f>IF(C525="","",C525&amp;"|"&amp;D525)</f>
        <v/>
      </c>
    </row>
    <row r="526">
      <c r="A526" s="23" t="n"/>
      <c r="B526" s="24" t="n"/>
      <c r="C526" s="23" t="n"/>
      <c r="D526" s="23" t="n"/>
      <c r="E526" s="23" t="n"/>
      <c r="F526" s="23" t="n"/>
      <c r="G526" s="25" t="n"/>
      <c r="H526" s="26">
        <f>IF(C526="","",C526&amp;"|"&amp;D526)</f>
        <v/>
      </c>
    </row>
    <row r="527">
      <c r="A527" s="23" t="n"/>
      <c r="B527" s="24" t="n"/>
      <c r="C527" s="23" t="n"/>
      <c r="D527" s="23" t="n"/>
      <c r="E527" s="23" t="n"/>
      <c r="F527" s="23" t="n"/>
      <c r="G527" s="25" t="n"/>
      <c r="H527" s="26">
        <f>IF(C527="","",C527&amp;"|"&amp;D527)</f>
        <v/>
      </c>
    </row>
    <row r="528">
      <c r="A528" s="23" t="n"/>
      <c r="B528" s="24" t="n"/>
      <c r="C528" s="23" t="n"/>
      <c r="D528" s="23" t="n"/>
      <c r="E528" s="23" t="n"/>
      <c r="F528" s="23" t="n"/>
      <c r="G528" s="25" t="n"/>
      <c r="H528" s="26">
        <f>IF(C528="","",C528&amp;"|"&amp;D528)</f>
        <v/>
      </c>
    </row>
    <row r="529">
      <c r="A529" s="23" t="n"/>
      <c r="B529" s="24" t="n"/>
      <c r="C529" s="23" t="n"/>
      <c r="D529" s="23" t="n"/>
      <c r="E529" s="23" t="n"/>
      <c r="F529" s="23" t="n"/>
      <c r="G529" s="25" t="n"/>
      <c r="H529" s="26">
        <f>IF(C529="","",C529&amp;"|"&amp;D529)</f>
        <v/>
      </c>
    </row>
    <row r="530">
      <c r="A530" s="23" t="n"/>
      <c r="B530" s="24" t="n"/>
      <c r="C530" s="23" t="n"/>
      <c r="D530" s="23" t="n"/>
      <c r="E530" s="23" t="n"/>
      <c r="F530" s="23" t="n"/>
      <c r="G530" s="25" t="n"/>
      <c r="H530" s="26">
        <f>IF(C530="","",C530&amp;"|"&amp;D530)</f>
        <v/>
      </c>
    </row>
    <row r="531">
      <c r="A531" s="23" t="n"/>
      <c r="B531" s="24" t="n"/>
      <c r="C531" s="23" t="n"/>
      <c r="D531" s="23" t="n"/>
      <c r="E531" s="23" t="n"/>
      <c r="F531" s="23" t="n"/>
      <c r="G531" s="25" t="n"/>
      <c r="H531" s="26">
        <f>IF(C531="","",C531&amp;"|"&amp;D531)</f>
        <v/>
      </c>
    </row>
    <row r="532">
      <c r="A532" s="23" t="n"/>
      <c r="B532" s="24" t="n"/>
      <c r="C532" s="23" t="n"/>
      <c r="D532" s="23" t="n"/>
      <c r="E532" s="23" t="n"/>
      <c r="F532" s="23" t="n"/>
      <c r="G532" s="25" t="n"/>
      <c r="H532" s="26">
        <f>IF(C532="","",C532&amp;"|"&amp;D532)</f>
        <v/>
      </c>
    </row>
    <row r="533">
      <c r="A533" s="23" t="n"/>
      <c r="B533" s="24" t="n"/>
      <c r="C533" s="23" t="n"/>
      <c r="D533" s="23" t="n"/>
      <c r="E533" s="23" t="n"/>
      <c r="F533" s="23" t="n"/>
      <c r="G533" s="25" t="n"/>
      <c r="H533" s="26">
        <f>IF(C533="","",C533&amp;"|"&amp;D533)</f>
        <v/>
      </c>
    </row>
    <row r="534">
      <c r="A534" s="23" t="n"/>
      <c r="B534" s="24" t="n"/>
      <c r="C534" s="23" t="n"/>
      <c r="D534" s="23" t="n"/>
      <c r="E534" s="23" t="n"/>
      <c r="F534" s="23" t="n"/>
      <c r="G534" s="25" t="n"/>
      <c r="H534" s="26">
        <f>IF(C534="","",C534&amp;"|"&amp;D534)</f>
        <v/>
      </c>
    </row>
    <row r="535">
      <c r="A535" s="23" t="n"/>
      <c r="B535" s="24" t="n"/>
      <c r="C535" s="23" t="n"/>
      <c r="D535" s="23" t="n"/>
      <c r="E535" s="23" t="n"/>
      <c r="F535" s="23" t="n"/>
      <c r="G535" s="25" t="n"/>
      <c r="H535" s="26">
        <f>IF(C535="","",C535&amp;"|"&amp;D535)</f>
        <v/>
      </c>
    </row>
    <row r="536">
      <c r="A536" s="23" t="n"/>
      <c r="B536" s="24" t="n"/>
      <c r="C536" s="23" t="n"/>
      <c r="D536" s="23" t="n"/>
      <c r="E536" s="23" t="n"/>
      <c r="F536" s="23" t="n"/>
      <c r="G536" s="25" t="n"/>
      <c r="H536" s="26">
        <f>IF(C536="","",C536&amp;"|"&amp;D536)</f>
        <v/>
      </c>
    </row>
    <row r="537">
      <c r="A537" s="23" t="n"/>
      <c r="B537" s="24" t="n"/>
      <c r="C537" s="23" t="n"/>
      <c r="D537" s="23" t="n"/>
      <c r="E537" s="23" t="n"/>
      <c r="F537" s="23" t="n"/>
      <c r="G537" s="25" t="n"/>
      <c r="H537" s="26">
        <f>IF(C537="","",C537&amp;"|"&amp;D537)</f>
        <v/>
      </c>
    </row>
    <row r="538">
      <c r="A538" s="23" t="n"/>
      <c r="B538" s="24" t="n"/>
      <c r="C538" s="23" t="n"/>
      <c r="D538" s="23" t="n"/>
      <c r="E538" s="23" t="n"/>
      <c r="F538" s="23" t="n"/>
      <c r="G538" s="25" t="n"/>
      <c r="H538" s="26">
        <f>IF(C538="","",C538&amp;"|"&amp;D538)</f>
        <v/>
      </c>
    </row>
    <row r="539">
      <c r="A539" s="23" t="n"/>
      <c r="B539" s="24" t="n"/>
      <c r="C539" s="23" t="n"/>
      <c r="D539" s="23" t="n"/>
      <c r="E539" s="23" t="n"/>
      <c r="F539" s="23" t="n"/>
      <c r="G539" s="25" t="n"/>
      <c r="H539" s="26">
        <f>IF(C539="","",C539&amp;"|"&amp;D539)</f>
        <v/>
      </c>
    </row>
    <row r="540">
      <c r="A540" s="23" t="n"/>
      <c r="B540" s="24" t="n"/>
      <c r="C540" s="23" t="n"/>
      <c r="D540" s="23" t="n"/>
      <c r="E540" s="23" t="n"/>
      <c r="F540" s="23" t="n"/>
      <c r="G540" s="25" t="n"/>
      <c r="H540" s="26">
        <f>IF(C540="","",C540&amp;"|"&amp;D540)</f>
        <v/>
      </c>
    </row>
    <row r="541">
      <c r="A541" s="23" t="n"/>
      <c r="B541" s="24" t="n"/>
      <c r="C541" s="23" t="n"/>
      <c r="D541" s="23" t="n"/>
      <c r="E541" s="23" t="n"/>
      <c r="F541" s="23" t="n"/>
      <c r="G541" s="25" t="n"/>
      <c r="H541" s="26">
        <f>IF(C541="","",C541&amp;"|"&amp;D541)</f>
        <v/>
      </c>
    </row>
    <row r="542">
      <c r="A542" s="23" t="n"/>
      <c r="B542" s="24" t="n"/>
      <c r="C542" s="23" t="n"/>
      <c r="D542" s="23" t="n"/>
      <c r="E542" s="23" t="n"/>
      <c r="F542" s="23" t="n"/>
      <c r="G542" s="25" t="n"/>
      <c r="H542" s="26">
        <f>IF(C542="","",C542&amp;"|"&amp;D542)</f>
        <v/>
      </c>
    </row>
    <row r="543">
      <c r="A543" s="23" t="n"/>
      <c r="B543" s="24" t="n"/>
      <c r="C543" s="23" t="n"/>
      <c r="D543" s="23" t="n"/>
      <c r="E543" s="23" t="n"/>
      <c r="F543" s="23" t="n"/>
      <c r="G543" s="25" t="n"/>
      <c r="H543" s="26">
        <f>IF(C543="","",C543&amp;"|"&amp;D543)</f>
        <v/>
      </c>
    </row>
    <row r="544">
      <c r="A544" s="23" t="n"/>
      <c r="B544" s="24" t="n"/>
      <c r="C544" s="23" t="n"/>
      <c r="D544" s="23" t="n"/>
      <c r="E544" s="23" t="n"/>
      <c r="F544" s="23" t="n"/>
      <c r="G544" s="25" t="n"/>
      <c r="H544" s="26">
        <f>IF(C544="","",C544&amp;"|"&amp;D544)</f>
        <v/>
      </c>
    </row>
    <row r="545">
      <c r="A545" s="23" t="n"/>
      <c r="B545" s="24" t="n"/>
      <c r="C545" s="23" t="n"/>
      <c r="D545" s="23" t="n"/>
      <c r="E545" s="23" t="n"/>
      <c r="F545" s="23" t="n"/>
      <c r="G545" s="25" t="n"/>
      <c r="H545" s="26">
        <f>IF(C545="","",C545&amp;"|"&amp;D545)</f>
        <v/>
      </c>
    </row>
    <row r="546">
      <c r="A546" s="23" t="n"/>
      <c r="B546" s="24" t="n"/>
      <c r="C546" s="23" t="n"/>
      <c r="D546" s="23" t="n"/>
      <c r="E546" s="23" t="n"/>
      <c r="F546" s="23" t="n"/>
      <c r="G546" s="25" t="n"/>
      <c r="H546" s="26">
        <f>IF(C546="","",C546&amp;"|"&amp;D546)</f>
        <v/>
      </c>
    </row>
    <row r="547">
      <c r="A547" s="23" t="n"/>
      <c r="B547" s="24" t="n"/>
      <c r="C547" s="23" t="n"/>
      <c r="D547" s="23" t="n"/>
      <c r="E547" s="23" t="n"/>
      <c r="F547" s="23" t="n"/>
      <c r="G547" s="25" t="n"/>
      <c r="H547" s="26">
        <f>IF(C547="","",C547&amp;"|"&amp;D547)</f>
        <v/>
      </c>
    </row>
    <row r="548">
      <c r="A548" s="23" t="n"/>
      <c r="B548" s="24" t="n"/>
      <c r="C548" s="23" t="n"/>
      <c r="D548" s="23" t="n"/>
      <c r="E548" s="23" t="n"/>
      <c r="F548" s="23" t="n"/>
      <c r="G548" s="25" t="n"/>
      <c r="H548" s="26">
        <f>IF(C548="","",C548&amp;"|"&amp;D548)</f>
        <v/>
      </c>
    </row>
    <row r="549">
      <c r="A549" s="23" t="n"/>
      <c r="B549" s="24" t="n"/>
      <c r="C549" s="23" t="n"/>
      <c r="D549" s="23" t="n"/>
      <c r="E549" s="23" t="n"/>
      <c r="F549" s="23" t="n"/>
      <c r="G549" s="25" t="n"/>
      <c r="H549" s="26">
        <f>IF(C549="","",C549&amp;"|"&amp;D549)</f>
        <v/>
      </c>
    </row>
    <row r="550">
      <c r="A550" s="23" t="n"/>
      <c r="B550" s="24" t="n"/>
      <c r="C550" s="23" t="n"/>
      <c r="D550" s="23" t="n"/>
      <c r="E550" s="23" t="n"/>
      <c r="F550" s="23" t="n"/>
      <c r="G550" s="25" t="n"/>
      <c r="H550" s="26">
        <f>IF(C550="","",C550&amp;"|"&amp;D550)</f>
        <v/>
      </c>
    </row>
    <row r="551">
      <c r="A551" s="23" t="n"/>
      <c r="B551" s="24" t="n"/>
      <c r="C551" s="23" t="n"/>
      <c r="D551" s="23" t="n"/>
      <c r="E551" s="23" t="n"/>
      <c r="F551" s="23" t="n"/>
      <c r="G551" s="25" t="n"/>
      <c r="H551" s="26">
        <f>IF(C551="","",C551&amp;"|"&amp;D551)</f>
        <v/>
      </c>
    </row>
    <row r="552">
      <c r="A552" s="23" t="n"/>
      <c r="B552" s="24" t="n"/>
      <c r="C552" s="23" t="n"/>
      <c r="D552" s="23" t="n"/>
      <c r="E552" s="23" t="n"/>
      <c r="F552" s="23" t="n"/>
      <c r="G552" s="25" t="n"/>
      <c r="H552" s="26">
        <f>IF(C552="","",C552&amp;"|"&amp;D552)</f>
        <v/>
      </c>
    </row>
    <row r="553">
      <c r="A553" s="23" t="n"/>
      <c r="B553" s="24" t="n"/>
      <c r="C553" s="23" t="n"/>
      <c r="D553" s="23" t="n"/>
      <c r="E553" s="23" t="n"/>
      <c r="F553" s="23" t="n"/>
      <c r="G553" s="25" t="n"/>
      <c r="H553" s="26">
        <f>IF(C553="","",C553&amp;"|"&amp;D553)</f>
        <v/>
      </c>
    </row>
    <row r="554">
      <c r="A554" s="23" t="n"/>
      <c r="B554" s="24" t="n"/>
      <c r="C554" s="23" t="n"/>
      <c r="D554" s="23" t="n"/>
      <c r="E554" s="23" t="n"/>
      <c r="F554" s="23" t="n"/>
      <c r="G554" s="25" t="n"/>
      <c r="H554" s="26">
        <f>IF(C554="","",C554&amp;"|"&amp;D554)</f>
        <v/>
      </c>
    </row>
    <row r="555">
      <c r="A555" s="23" t="n"/>
      <c r="B555" s="24" t="n"/>
      <c r="C555" s="23" t="n"/>
      <c r="D555" s="23" t="n"/>
      <c r="E555" s="23" t="n"/>
      <c r="F555" s="23" t="n"/>
      <c r="G555" s="25" t="n"/>
      <c r="H555" s="26">
        <f>IF(C555="","",C555&amp;"|"&amp;D555)</f>
        <v/>
      </c>
    </row>
    <row r="556">
      <c r="A556" s="23" t="n"/>
      <c r="B556" s="24" t="n"/>
      <c r="C556" s="23" t="n"/>
      <c r="D556" s="23" t="n"/>
      <c r="E556" s="23" t="n"/>
      <c r="F556" s="23" t="n"/>
      <c r="G556" s="25" t="n"/>
      <c r="H556" s="26">
        <f>IF(C556="","",C556&amp;"|"&amp;D556)</f>
        <v/>
      </c>
    </row>
    <row r="557">
      <c r="A557" s="23" t="n"/>
      <c r="B557" s="24" t="n"/>
      <c r="C557" s="23" t="n"/>
      <c r="D557" s="23" t="n"/>
      <c r="E557" s="23" t="n"/>
      <c r="F557" s="23" t="n"/>
      <c r="G557" s="25" t="n"/>
      <c r="H557" s="26">
        <f>IF(C557="","",C557&amp;"|"&amp;D557)</f>
        <v/>
      </c>
    </row>
    <row r="558">
      <c r="A558" s="23" t="n"/>
      <c r="B558" s="24" t="n"/>
      <c r="C558" s="23" t="n"/>
      <c r="D558" s="23" t="n"/>
      <c r="E558" s="23" t="n"/>
      <c r="F558" s="23" t="n"/>
      <c r="G558" s="25" t="n"/>
      <c r="H558" s="26">
        <f>IF(C558="","",C558&amp;"|"&amp;D558)</f>
        <v/>
      </c>
    </row>
    <row r="559">
      <c r="A559" s="23" t="n"/>
      <c r="B559" s="24" t="n"/>
      <c r="C559" s="23" t="n"/>
      <c r="D559" s="23" t="n"/>
      <c r="E559" s="23" t="n"/>
      <c r="F559" s="23" t="n"/>
      <c r="G559" s="25" t="n"/>
      <c r="H559" s="26">
        <f>IF(C559="","",C559&amp;"|"&amp;D559)</f>
        <v/>
      </c>
    </row>
    <row r="560">
      <c r="A560" s="23" t="n"/>
      <c r="B560" s="24" t="n"/>
      <c r="C560" s="23" t="n"/>
      <c r="D560" s="23" t="n"/>
      <c r="E560" s="23" t="n"/>
      <c r="F560" s="23" t="n"/>
      <c r="G560" s="25" t="n"/>
      <c r="H560" s="26">
        <f>IF(C560="","",C560&amp;"|"&amp;D560)</f>
        <v/>
      </c>
    </row>
    <row r="561">
      <c r="A561" s="23" t="n"/>
      <c r="B561" s="24" t="n"/>
      <c r="C561" s="23" t="n"/>
      <c r="D561" s="23" t="n"/>
      <c r="E561" s="23" t="n"/>
      <c r="F561" s="23" t="n"/>
      <c r="G561" s="25" t="n"/>
      <c r="H561" s="26">
        <f>IF(C561="","",C561&amp;"|"&amp;D561)</f>
        <v/>
      </c>
    </row>
    <row r="562">
      <c r="A562" s="23" t="n"/>
      <c r="B562" s="24" t="n"/>
      <c r="C562" s="23" t="n"/>
      <c r="D562" s="23" t="n"/>
      <c r="E562" s="23" t="n"/>
      <c r="F562" s="23" t="n"/>
      <c r="G562" s="25" t="n"/>
      <c r="H562" s="26">
        <f>IF(C562="","",C562&amp;"|"&amp;D562)</f>
        <v/>
      </c>
    </row>
    <row r="563">
      <c r="A563" s="23" t="n"/>
      <c r="B563" s="24" t="n"/>
      <c r="C563" s="23" t="n"/>
      <c r="D563" s="23" t="n"/>
      <c r="E563" s="23" t="n"/>
      <c r="F563" s="23" t="n"/>
      <c r="G563" s="25" t="n"/>
      <c r="H563" s="26">
        <f>IF(C563="","",C563&amp;"|"&amp;D563)</f>
        <v/>
      </c>
    </row>
    <row r="564">
      <c r="A564" s="23" t="n"/>
      <c r="B564" s="24" t="n"/>
      <c r="C564" s="23" t="n"/>
      <c r="D564" s="23" t="n"/>
      <c r="E564" s="23" t="n"/>
      <c r="F564" s="23" t="n"/>
      <c r="G564" s="25" t="n"/>
      <c r="H564" s="26">
        <f>IF(C564="","",C564&amp;"|"&amp;D564)</f>
        <v/>
      </c>
    </row>
    <row r="565">
      <c r="A565" s="23" t="n"/>
      <c r="B565" s="24" t="n"/>
      <c r="C565" s="23" t="n"/>
      <c r="D565" s="23" t="n"/>
      <c r="E565" s="23" t="n"/>
      <c r="F565" s="23" t="n"/>
      <c r="G565" s="25" t="n"/>
      <c r="H565" s="26">
        <f>IF(C565="","",C565&amp;"|"&amp;D565)</f>
        <v/>
      </c>
    </row>
    <row r="566">
      <c r="A566" s="23" t="n"/>
      <c r="B566" s="24" t="n"/>
      <c r="C566" s="23" t="n"/>
      <c r="D566" s="23" t="n"/>
      <c r="E566" s="23" t="n"/>
      <c r="F566" s="23" t="n"/>
      <c r="G566" s="25" t="n"/>
      <c r="H566" s="26">
        <f>IF(C566="","",C566&amp;"|"&amp;D566)</f>
        <v/>
      </c>
    </row>
    <row r="567">
      <c r="A567" s="23" t="n"/>
      <c r="B567" s="24" t="n"/>
      <c r="C567" s="23" t="n"/>
      <c r="D567" s="23" t="n"/>
      <c r="E567" s="23" t="n"/>
      <c r="F567" s="23" t="n"/>
      <c r="G567" s="25" t="n"/>
      <c r="H567" s="26">
        <f>IF(C567="","",C567&amp;"|"&amp;D567)</f>
        <v/>
      </c>
    </row>
    <row r="568">
      <c r="A568" s="23" t="n"/>
      <c r="B568" s="24" t="n"/>
      <c r="C568" s="23" t="n"/>
      <c r="D568" s="23" t="n"/>
      <c r="E568" s="23" t="n"/>
      <c r="F568" s="23" t="n"/>
      <c r="G568" s="25" t="n"/>
      <c r="H568" s="26">
        <f>IF(C568="","",C568&amp;"|"&amp;D568)</f>
        <v/>
      </c>
    </row>
    <row r="569">
      <c r="A569" s="23" t="n"/>
      <c r="B569" s="24" t="n"/>
      <c r="C569" s="23" t="n"/>
      <c r="D569" s="23" t="n"/>
      <c r="E569" s="23" t="n"/>
      <c r="F569" s="23" t="n"/>
      <c r="G569" s="25" t="n"/>
      <c r="H569" s="26">
        <f>IF(C569="","",C569&amp;"|"&amp;D569)</f>
        <v/>
      </c>
    </row>
    <row r="570">
      <c r="A570" s="23" t="n"/>
      <c r="B570" s="24" t="n"/>
      <c r="C570" s="23" t="n"/>
      <c r="D570" s="23" t="n"/>
      <c r="E570" s="23" t="n"/>
      <c r="F570" s="23" t="n"/>
      <c r="G570" s="25" t="n"/>
      <c r="H570" s="26">
        <f>IF(C570="","",C570&amp;"|"&amp;D570)</f>
        <v/>
      </c>
    </row>
    <row r="571">
      <c r="A571" s="23" t="n"/>
      <c r="B571" s="24" t="n"/>
      <c r="C571" s="23" t="n"/>
      <c r="D571" s="23" t="n"/>
      <c r="E571" s="23" t="n"/>
      <c r="F571" s="23" t="n"/>
      <c r="G571" s="25" t="n"/>
      <c r="H571" s="26">
        <f>IF(C571="","",C571&amp;"|"&amp;D571)</f>
        <v/>
      </c>
    </row>
    <row r="572">
      <c r="A572" s="23" t="n"/>
      <c r="B572" s="24" t="n"/>
      <c r="C572" s="23" t="n"/>
      <c r="D572" s="23" t="n"/>
      <c r="E572" s="23" t="n"/>
      <c r="F572" s="23" t="n"/>
      <c r="G572" s="25" t="n"/>
      <c r="H572" s="26">
        <f>IF(C572="","",C572&amp;"|"&amp;D572)</f>
        <v/>
      </c>
    </row>
    <row r="573">
      <c r="A573" s="23" t="n"/>
      <c r="B573" s="24" t="n"/>
      <c r="C573" s="23" t="n"/>
      <c r="D573" s="23" t="n"/>
      <c r="E573" s="23" t="n"/>
      <c r="F573" s="23" t="n"/>
      <c r="G573" s="25" t="n"/>
      <c r="H573" s="26">
        <f>IF(C573="","",C573&amp;"|"&amp;D573)</f>
        <v/>
      </c>
    </row>
    <row r="574">
      <c r="A574" s="23" t="n"/>
      <c r="B574" s="24" t="n"/>
      <c r="C574" s="23" t="n"/>
      <c r="D574" s="23" t="n"/>
      <c r="E574" s="23" t="n"/>
      <c r="F574" s="23" t="n"/>
      <c r="G574" s="25" t="n"/>
      <c r="H574" s="26">
        <f>IF(C574="","",C574&amp;"|"&amp;D574)</f>
        <v/>
      </c>
    </row>
    <row r="575">
      <c r="A575" s="23" t="n"/>
      <c r="B575" s="24" t="n"/>
      <c r="C575" s="23" t="n"/>
      <c r="D575" s="23" t="n"/>
      <c r="E575" s="23" t="n"/>
      <c r="F575" s="23" t="n"/>
      <c r="G575" s="25" t="n"/>
      <c r="H575" s="26">
        <f>IF(C575="","",C575&amp;"|"&amp;D575)</f>
        <v/>
      </c>
    </row>
    <row r="576">
      <c r="A576" s="23" t="n"/>
      <c r="B576" s="24" t="n"/>
      <c r="C576" s="23" t="n"/>
      <c r="D576" s="23" t="n"/>
      <c r="E576" s="23" t="n"/>
      <c r="F576" s="23" t="n"/>
      <c r="G576" s="25" t="n"/>
      <c r="H576" s="26">
        <f>IF(C576="","",C576&amp;"|"&amp;D576)</f>
        <v/>
      </c>
    </row>
    <row r="577">
      <c r="A577" s="23" t="n"/>
      <c r="B577" s="24" t="n"/>
      <c r="C577" s="23" t="n"/>
      <c r="D577" s="23" t="n"/>
      <c r="E577" s="23" t="n"/>
      <c r="F577" s="23" t="n"/>
      <c r="G577" s="25" t="n"/>
      <c r="H577" s="26">
        <f>IF(C577="","",C577&amp;"|"&amp;D577)</f>
        <v/>
      </c>
    </row>
    <row r="578">
      <c r="A578" s="23" t="n"/>
      <c r="B578" s="24" t="n"/>
      <c r="C578" s="23" t="n"/>
      <c r="D578" s="23" t="n"/>
      <c r="E578" s="23" t="n"/>
      <c r="F578" s="23" t="n"/>
      <c r="G578" s="25" t="n"/>
      <c r="H578" s="26">
        <f>IF(C578="","",C578&amp;"|"&amp;D578)</f>
        <v/>
      </c>
    </row>
    <row r="579">
      <c r="A579" s="23" t="n"/>
      <c r="B579" s="24" t="n"/>
      <c r="C579" s="23" t="n"/>
      <c r="D579" s="23" t="n"/>
      <c r="E579" s="23" t="n"/>
      <c r="F579" s="23" t="n"/>
      <c r="G579" s="25" t="n"/>
      <c r="H579" s="26">
        <f>IF(C579="","",C579&amp;"|"&amp;D579)</f>
        <v/>
      </c>
    </row>
    <row r="580">
      <c r="A580" s="23" t="n"/>
      <c r="B580" s="24" t="n"/>
      <c r="C580" s="23" t="n"/>
      <c r="D580" s="23" t="n"/>
      <c r="E580" s="23" t="n"/>
      <c r="F580" s="23" t="n"/>
      <c r="G580" s="25" t="n"/>
      <c r="H580" s="26">
        <f>IF(C580="","",C580&amp;"|"&amp;D580)</f>
        <v/>
      </c>
    </row>
    <row r="581">
      <c r="A581" s="23" t="n"/>
      <c r="B581" s="24" t="n"/>
      <c r="C581" s="23" t="n"/>
      <c r="D581" s="23" t="n"/>
      <c r="E581" s="23" t="n"/>
      <c r="F581" s="23" t="n"/>
      <c r="G581" s="25" t="n"/>
      <c r="H581" s="26">
        <f>IF(C581="","",C581&amp;"|"&amp;D581)</f>
        <v/>
      </c>
    </row>
    <row r="582">
      <c r="A582" s="23" t="n"/>
      <c r="B582" s="24" t="n"/>
      <c r="C582" s="23" t="n"/>
      <c r="D582" s="23" t="n"/>
      <c r="E582" s="23" t="n"/>
      <c r="F582" s="23" t="n"/>
      <c r="G582" s="25" t="n"/>
      <c r="H582" s="26">
        <f>IF(C582="","",C582&amp;"|"&amp;D582)</f>
        <v/>
      </c>
    </row>
    <row r="583">
      <c r="A583" s="23" t="n"/>
      <c r="B583" s="24" t="n"/>
      <c r="C583" s="23" t="n"/>
      <c r="D583" s="23" t="n"/>
      <c r="E583" s="23" t="n"/>
      <c r="F583" s="23" t="n"/>
      <c r="G583" s="25" t="n"/>
      <c r="H583" s="26">
        <f>IF(C583="","",C583&amp;"|"&amp;D583)</f>
        <v/>
      </c>
    </row>
    <row r="584">
      <c r="A584" s="23" t="n"/>
      <c r="B584" s="24" t="n"/>
      <c r="C584" s="23" t="n"/>
      <c r="D584" s="23" t="n"/>
      <c r="E584" s="23" t="n"/>
      <c r="F584" s="23" t="n"/>
      <c r="G584" s="25" t="n"/>
      <c r="H584" s="26">
        <f>IF(C584="","",C584&amp;"|"&amp;D584)</f>
        <v/>
      </c>
    </row>
    <row r="585">
      <c r="A585" s="23" t="n"/>
      <c r="B585" s="24" t="n"/>
      <c r="C585" s="23" t="n"/>
      <c r="D585" s="23" t="n"/>
      <c r="E585" s="23" t="n"/>
      <c r="F585" s="23" t="n"/>
      <c r="G585" s="25" t="n"/>
      <c r="H585" s="26">
        <f>IF(C585="","",C585&amp;"|"&amp;D585)</f>
        <v/>
      </c>
    </row>
    <row r="586">
      <c r="A586" s="23" t="n"/>
      <c r="B586" s="24" t="n"/>
      <c r="C586" s="23" t="n"/>
      <c r="D586" s="23" t="n"/>
      <c r="E586" s="23" t="n"/>
      <c r="F586" s="23" t="n"/>
      <c r="G586" s="25" t="n"/>
      <c r="H586" s="26">
        <f>IF(C586="","",C586&amp;"|"&amp;D586)</f>
        <v/>
      </c>
    </row>
    <row r="587">
      <c r="A587" s="23" t="n"/>
      <c r="B587" s="24" t="n"/>
      <c r="C587" s="23" t="n"/>
      <c r="D587" s="23" t="n"/>
      <c r="E587" s="23" t="n"/>
      <c r="F587" s="23" t="n"/>
      <c r="G587" s="25" t="n"/>
      <c r="H587" s="26">
        <f>IF(C587="","",C587&amp;"|"&amp;D587)</f>
        <v/>
      </c>
    </row>
    <row r="588">
      <c r="A588" s="23" t="n"/>
      <c r="B588" s="24" t="n"/>
      <c r="C588" s="23" t="n"/>
      <c r="D588" s="23" t="n"/>
      <c r="E588" s="23" t="n"/>
      <c r="F588" s="23" t="n"/>
      <c r="G588" s="25" t="n"/>
      <c r="H588" s="26">
        <f>IF(C588="","",C588&amp;"|"&amp;D588)</f>
        <v/>
      </c>
    </row>
    <row r="589">
      <c r="A589" s="23" t="n"/>
      <c r="B589" s="24" t="n"/>
      <c r="C589" s="23" t="n"/>
      <c r="D589" s="23" t="n"/>
      <c r="E589" s="23" t="n"/>
      <c r="F589" s="23" t="n"/>
      <c r="G589" s="25" t="n"/>
      <c r="H589" s="26">
        <f>IF(C589="","",C589&amp;"|"&amp;D589)</f>
        <v/>
      </c>
    </row>
    <row r="590">
      <c r="A590" s="23" t="n"/>
      <c r="B590" s="24" t="n"/>
      <c r="C590" s="23" t="n"/>
      <c r="D590" s="23" t="n"/>
      <c r="E590" s="23" t="n"/>
      <c r="F590" s="23" t="n"/>
      <c r="G590" s="25" t="n"/>
      <c r="H590" s="26">
        <f>IF(C590="","",C590&amp;"|"&amp;D590)</f>
        <v/>
      </c>
    </row>
    <row r="591">
      <c r="A591" s="23" t="n"/>
      <c r="B591" s="24" t="n"/>
      <c r="C591" s="23" t="n"/>
      <c r="D591" s="23" t="n"/>
      <c r="E591" s="23" t="n"/>
      <c r="F591" s="23" t="n"/>
      <c r="G591" s="25" t="n"/>
      <c r="H591" s="26">
        <f>IF(C591="","",C591&amp;"|"&amp;D591)</f>
        <v/>
      </c>
    </row>
    <row r="592">
      <c r="A592" s="23" t="n"/>
      <c r="B592" s="24" t="n"/>
      <c r="C592" s="23" t="n"/>
      <c r="D592" s="23" t="n"/>
      <c r="E592" s="23" t="n"/>
      <c r="F592" s="23" t="n"/>
      <c r="G592" s="25" t="n"/>
      <c r="H592" s="26">
        <f>IF(C592="","",C592&amp;"|"&amp;D592)</f>
        <v/>
      </c>
    </row>
    <row r="593">
      <c r="A593" s="23" t="n"/>
      <c r="B593" s="24" t="n"/>
      <c r="C593" s="23" t="n"/>
      <c r="D593" s="23" t="n"/>
      <c r="E593" s="23" t="n"/>
      <c r="F593" s="23" t="n"/>
      <c r="G593" s="25" t="n"/>
      <c r="H593" s="26">
        <f>IF(C593="","",C593&amp;"|"&amp;D593)</f>
        <v/>
      </c>
    </row>
    <row r="594">
      <c r="A594" s="23" t="n"/>
      <c r="B594" s="24" t="n"/>
      <c r="C594" s="23" t="n"/>
      <c r="D594" s="23" t="n"/>
      <c r="E594" s="23" t="n"/>
      <c r="F594" s="23" t="n"/>
      <c r="G594" s="25" t="n"/>
      <c r="H594" s="26">
        <f>IF(C594="","",C594&amp;"|"&amp;D594)</f>
        <v/>
      </c>
    </row>
    <row r="595">
      <c r="A595" s="23" t="n"/>
      <c r="B595" s="24" t="n"/>
      <c r="C595" s="23" t="n"/>
      <c r="D595" s="23" t="n"/>
      <c r="E595" s="23" t="n"/>
      <c r="F595" s="23" t="n"/>
      <c r="G595" s="25" t="n"/>
      <c r="H595" s="26">
        <f>IF(C595="","",C595&amp;"|"&amp;D595)</f>
        <v/>
      </c>
    </row>
    <row r="596">
      <c r="A596" s="23" t="n"/>
      <c r="B596" s="24" t="n"/>
      <c r="C596" s="23" t="n"/>
      <c r="D596" s="23" t="n"/>
      <c r="E596" s="23" t="n"/>
      <c r="F596" s="23" t="n"/>
      <c r="G596" s="25" t="n"/>
      <c r="H596" s="26">
        <f>IF(C596="","",C596&amp;"|"&amp;D596)</f>
        <v/>
      </c>
    </row>
    <row r="597">
      <c r="A597" s="23" t="n"/>
      <c r="B597" s="24" t="n"/>
      <c r="C597" s="23" t="n"/>
      <c r="D597" s="23" t="n"/>
      <c r="E597" s="23" t="n"/>
      <c r="F597" s="23" t="n"/>
      <c r="G597" s="25" t="n"/>
      <c r="H597" s="26">
        <f>IF(C597="","",C597&amp;"|"&amp;D597)</f>
        <v/>
      </c>
    </row>
    <row r="598">
      <c r="A598" s="23" t="n"/>
      <c r="B598" s="24" t="n"/>
      <c r="C598" s="23" t="n"/>
      <c r="D598" s="23" t="n"/>
      <c r="E598" s="23" t="n"/>
      <c r="F598" s="23" t="n"/>
      <c r="G598" s="25" t="n"/>
      <c r="H598" s="26">
        <f>IF(C598="","",C598&amp;"|"&amp;D598)</f>
        <v/>
      </c>
    </row>
    <row r="599">
      <c r="A599" s="23" t="n"/>
      <c r="B599" s="24" t="n"/>
      <c r="C599" s="23" t="n"/>
      <c r="D599" s="23" t="n"/>
      <c r="E599" s="23" t="n"/>
      <c r="F599" s="23" t="n"/>
      <c r="G599" s="25" t="n"/>
      <c r="H599" s="26">
        <f>IF(C599="","",C599&amp;"|"&amp;D599)</f>
        <v/>
      </c>
    </row>
    <row r="600">
      <c r="A600" s="23" t="n"/>
      <c r="B600" s="24" t="n"/>
      <c r="C600" s="23" t="n"/>
      <c r="D600" s="23" t="n"/>
      <c r="E600" s="23" t="n"/>
      <c r="F600" s="23" t="n"/>
      <c r="G600" s="25" t="n"/>
      <c r="H600" s="26">
        <f>IF(C600="","",C600&amp;"|"&amp;D600)</f>
        <v/>
      </c>
    </row>
    <row r="601">
      <c r="A601" s="23" t="n"/>
      <c r="B601" s="24" t="n"/>
      <c r="C601" s="23" t="n"/>
      <c r="D601" s="23" t="n"/>
      <c r="E601" s="23" t="n"/>
      <c r="F601" s="23" t="n"/>
      <c r="G601" s="25" t="n"/>
      <c r="H601" s="26">
        <f>IF(C601="","",C601&amp;"|"&amp;D601)</f>
        <v/>
      </c>
    </row>
    <row r="602">
      <c r="A602" s="23" t="n"/>
      <c r="B602" s="24" t="n"/>
      <c r="C602" s="23" t="n"/>
      <c r="D602" s="23" t="n"/>
      <c r="E602" s="23" t="n"/>
      <c r="F602" s="23" t="n"/>
      <c r="G602" s="25" t="n"/>
      <c r="H602" s="26">
        <f>IF(C602="","",C602&amp;"|"&amp;D602)</f>
        <v/>
      </c>
    </row>
    <row r="603">
      <c r="A603" s="23" t="n"/>
      <c r="B603" s="24" t="n"/>
      <c r="C603" s="23" t="n"/>
      <c r="D603" s="23" t="n"/>
      <c r="E603" s="23" t="n"/>
      <c r="F603" s="23" t="n"/>
      <c r="G603" s="25" t="n"/>
      <c r="H603" s="26">
        <f>IF(C603="","",C603&amp;"|"&amp;D603)</f>
        <v/>
      </c>
    </row>
    <row r="604">
      <c r="A604" s="23" t="n"/>
      <c r="B604" s="24" t="n"/>
      <c r="C604" s="23" t="n"/>
      <c r="D604" s="23" t="n"/>
      <c r="E604" s="23" t="n"/>
      <c r="F604" s="23" t="n"/>
      <c r="G604" s="25" t="n"/>
      <c r="H604" s="26">
        <f>IF(C604="","",C604&amp;"|"&amp;D604)</f>
        <v/>
      </c>
    </row>
    <row r="605">
      <c r="A605" s="23" t="n"/>
      <c r="B605" s="24" t="n"/>
      <c r="C605" s="23" t="n"/>
      <c r="D605" s="23" t="n"/>
      <c r="E605" s="23" t="n"/>
      <c r="F605" s="23" t="n"/>
      <c r="G605" s="25" t="n"/>
      <c r="H605" s="26">
        <f>IF(C605="","",C605&amp;"|"&amp;D605)</f>
        <v/>
      </c>
    </row>
    <row r="606">
      <c r="A606" s="23" t="n"/>
      <c r="B606" s="24" t="n"/>
      <c r="C606" s="23" t="n"/>
      <c r="D606" s="23" t="n"/>
      <c r="E606" s="23" t="n"/>
      <c r="F606" s="23" t="n"/>
      <c r="G606" s="25" t="n"/>
      <c r="H606" s="26">
        <f>IF(C606="","",C606&amp;"|"&amp;D606)</f>
        <v/>
      </c>
    </row>
    <row r="607">
      <c r="A607" s="23" t="n"/>
      <c r="B607" s="24" t="n"/>
      <c r="C607" s="23" t="n"/>
      <c r="D607" s="23" t="n"/>
      <c r="E607" s="23" t="n"/>
      <c r="F607" s="23" t="n"/>
      <c r="G607" s="25" t="n"/>
      <c r="H607" s="26">
        <f>IF(C607="","",C607&amp;"|"&amp;D607)</f>
        <v/>
      </c>
    </row>
    <row r="608">
      <c r="A608" s="23" t="n"/>
      <c r="B608" s="24" t="n"/>
      <c r="C608" s="23" t="n"/>
      <c r="D608" s="23" t="n"/>
      <c r="E608" s="23" t="n"/>
      <c r="F608" s="23" t="n"/>
      <c r="G608" s="25" t="n"/>
      <c r="H608" s="26">
        <f>IF(C608="","",C608&amp;"|"&amp;D608)</f>
        <v/>
      </c>
    </row>
    <row r="609">
      <c r="A609" s="23" t="n"/>
      <c r="B609" s="24" t="n"/>
      <c r="C609" s="23" t="n"/>
      <c r="D609" s="23" t="n"/>
      <c r="E609" s="23" t="n"/>
      <c r="F609" s="23" t="n"/>
      <c r="G609" s="25" t="n"/>
      <c r="H609" s="26">
        <f>IF(C609="","",C609&amp;"|"&amp;D609)</f>
        <v/>
      </c>
    </row>
    <row r="610">
      <c r="A610" s="23" t="n"/>
      <c r="B610" s="24" t="n"/>
      <c r="C610" s="23" t="n"/>
      <c r="D610" s="23" t="n"/>
      <c r="E610" s="23" t="n"/>
      <c r="F610" s="23" t="n"/>
      <c r="G610" s="25" t="n"/>
      <c r="H610" s="26">
        <f>IF(C610="","",C610&amp;"|"&amp;D610)</f>
        <v/>
      </c>
    </row>
    <row r="611">
      <c r="A611" s="23" t="n"/>
      <c r="B611" s="24" t="n"/>
      <c r="C611" s="23" t="n"/>
      <c r="D611" s="23" t="n"/>
      <c r="E611" s="23" t="n"/>
      <c r="F611" s="23" t="n"/>
      <c r="G611" s="25" t="n"/>
      <c r="H611" s="26">
        <f>IF(C611="","",C611&amp;"|"&amp;D611)</f>
        <v/>
      </c>
    </row>
    <row r="612">
      <c r="A612" s="23" t="n"/>
      <c r="B612" s="24" t="n"/>
      <c r="C612" s="23" t="n"/>
      <c r="D612" s="23" t="n"/>
      <c r="E612" s="23" t="n"/>
      <c r="F612" s="23" t="n"/>
      <c r="G612" s="25" t="n"/>
      <c r="H612" s="26">
        <f>IF(C612="","",C612&amp;"|"&amp;D612)</f>
        <v/>
      </c>
    </row>
    <row r="613">
      <c r="A613" s="23" t="n"/>
      <c r="B613" s="24" t="n"/>
      <c r="C613" s="23" t="n"/>
      <c r="D613" s="23" t="n"/>
      <c r="E613" s="23" t="n"/>
      <c r="F613" s="23" t="n"/>
      <c r="G613" s="25" t="n"/>
      <c r="H613" s="26">
        <f>IF(C613="","",C613&amp;"|"&amp;D613)</f>
        <v/>
      </c>
    </row>
    <row r="614">
      <c r="A614" s="23" t="n"/>
      <c r="B614" s="24" t="n"/>
      <c r="C614" s="23" t="n"/>
      <c r="D614" s="23" t="n"/>
      <c r="E614" s="23" t="n"/>
      <c r="F614" s="23" t="n"/>
      <c r="G614" s="25" t="n"/>
      <c r="H614" s="26">
        <f>IF(C614="","",C614&amp;"|"&amp;D614)</f>
        <v/>
      </c>
    </row>
    <row r="615">
      <c r="A615" s="23" t="n"/>
      <c r="B615" s="24" t="n"/>
      <c r="C615" s="23" t="n"/>
      <c r="D615" s="23" t="n"/>
      <c r="E615" s="23" t="n"/>
      <c r="F615" s="23" t="n"/>
      <c r="G615" s="25" t="n"/>
      <c r="H615" s="26">
        <f>IF(C615="","",C615&amp;"|"&amp;D615)</f>
        <v/>
      </c>
    </row>
    <row r="616">
      <c r="A616" s="23" t="n"/>
      <c r="B616" s="24" t="n"/>
      <c r="C616" s="23" t="n"/>
      <c r="D616" s="23" t="n"/>
      <c r="E616" s="23" t="n"/>
      <c r="F616" s="23" t="n"/>
      <c r="G616" s="25" t="n"/>
      <c r="H616" s="26">
        <f>IF(C616="","",C616&amp;"|"&amp;D616)</f>
        <v/>
      </c>
    </row>
    <row r="617">
      <c r="A617" s="23" t="n"/>
      <c r="B617" s="24" t="n"/>
      <c r="C617" s="23" t="n"/>
      <c r="D617" s="23" t="n"/>
      <c r="E617" s="23" t="n"/>
      <c r="F617" s="23" t="n"/>
      <c r="G617" s="25" t="n"/>
      <c r="H617" s="26">
        <f>IF(C617="","",C617&amp;"|"&amp;D617)</f>
        <v/>
      </c>
    </row>
    <row r="618">
      <c r="A618" s="23" t="n"/>
      <c r="B618" s="24" t="n"/>
      <c r="C618" s="23" t="n"/>
      <c r="D618" s="23" t="n"/>
      <c r="E618" s="23" t="n"/>
      <c r="F618" s="23" t="n"/>
      <c r="G618" s="25" t="n"/>
      <c r="H618" s="26">
        <f>IF(C618="","",C618&amp;"|"&amp;D618)</f>
        <v/>
      </c>
    </row>
    <row r="619">
      <c r="A619" s="23" t="n"/>
      <c r="B619" s="24" t="n"/>
      <c r="C619" s="23" t="n"/>
      <c r="D619" s="23" t="n"/>
      <c r="E619" s="23" t="n"/>
      <c r="F619" s="23" t="n"/>
      <c r="G619" s="25" t="n"/>
      <c r="H619" s="26">
        <f>IF(C619="","",C619&amp;"|"&amp;D619)</f>
        <v/>
      </c>
    </row>
    <row r="620">
      <c r="A620" s="23" t="n"/>
      <c r="B620" s="24" t="n"/>
      <c r="C620" s="23" t="n"/>
      <c r="D620" s="23" t="n"/>
      <c r="E620" s="23" t="n"/>
      <c r="F620" s="23" t="n"/>
      <c r="G620" s="25" t="n"/>
      <c r="H620" s="26">
        <f>IF(C620="","",C620&amp;"|"&amp;D620)</f>
        <v/>
      </c>
    </row>
    <row r="621">
      <c r="A621" s="23" t="n"/>
      <c r="B621" s="24" t="n"/>
      <c r="C621" s="23" t="n"/>
      <c r="D621" s="23" t="n"/>
      <c r="E621" s="23" t="n"/>
      <c r="F621" s="23" t="n"/>
      <c r="G621" s="25" t="n"/>
      <c r="H621" s="26">
        <f>IF(C621="","",C621&amp;"|"&amp;D621)</f>
        <v/>
      </c>
    </row>
    <row r="622">
      <c r="A622" s="23" t="n"/>
      <c r="B622" s="24" t="n"/>
      <c r="C622" s="23" t="n"/>
      <c r="D622" s="23" t="n"/>
      <c r="E622" s="23" t="n"/>
      <c r="F622" s="23" t="n"/>
      <c r="G622" s="25" t="n"/>
      <c r="H622" s="26">
        <f>IF(C622="","",C622&amp;"|"&amp;D622)</f>
        <v/>
      </c>
    </row>
    <row r="623">
      <c r="A623" s="23" t="n"/>
      <c r="B623" s="24" t="n"/>
      <c r="C623" s="23" t="n"/>
      <c r="D623" s="23" t="n"/>
      <c r="E623" s="23" t="n"/>
      <c r="F623" s="23" t="n"/>
      <c r="G623" s="25" t="n"/>
      <c r="H623" s="26">
        <f>IF(C623="","",C623&amp;"|"&amp;D623)</f>
        <v/>
      </c>
    </row>
    <row r="624">
      <c r="A624" s="23" t="n"/>
      <c r="B624" s="24" t="n"/>
      <c r="C624" s="23" t="n"/>
      <c r="D624" s="23" t="n"/>
      <c r="E624" s="23" t="n"/>
      <c r="F624" s="23" t="n"/>
      <c r="G624" s="25" t="n"/>
      <c r="H624" s="26">
        <f>IF(C624="","",C624&amp;"|"&amp;D624)</f>
        <v/>
      </c>
    </row>
    <row r="625">
      <c r="A625" s="23" t="n"/>
      <c r="B625" s="24" t="n"/>
      <c r="C625" s="23" t="n"/>
      <c r="D625" s="23" t="n"/>
      <c r="E625" s="23" t="n"/>
      <c r="F625" s="23" t="n"/>
      <c r="G625" s="25" t="n"/>
      <c r="H625" s="26">
        <f>IF(C625="","",C625&amp;"|"&amp;D625)</f>
        <v/>
      </c>
    </row>
    <row r="626">
      <c r="A626" s="23" t="n"/>
      <c r="B626" s="24" t="n"/>
      <c r="C626" s="23" t="n"/>
      <c r="D626" s="23" t="n"/>
      <c r="E626" s="23" t="n"/>
      <c r="F626" s="23" t="n"/>
      <c r="G626" s="25" t="n"/>
      <c r="H626" s="26">
        <f>IF(C626="","",C626&amp;"|"&amp;D626)</f>
        <v/>
      </c>
    </row>
    <row r="627">
      <c r="A627" s="23" t="n"/>
      <c r="B627" s="24" t="n"/>
      <c r="C627" s="23" t="n"/>
      <c r="D627" s="23" t="n"/>
      <c r="E627" s="23" t="n"/>
      <c r="F627" s="23" t="n"/>
      <c r="G627" s="25" t="n"/>
      <c r="H627" s="26">
        <f>IF(C627="","",C627&amp;"|"&amp;D627)</f>
        <v/>
      </c>
    </row>
    <row r="628">
      <c r="A628" s="23" t="n"/>
      <c r="B628" s="24" t="n"/>
      <c r="C628" s="23" t="n"/>
      <c r="D628" s="23" t="n"/>
      <c r="E628" s="23" t="n"/>
      <c r="F628" s="23" t="n"/>
      <c r="G628" s="25" t="n"/>
      <c r="H628" s="26">
        <f>IF(C628="","",C628&amp;"|"&amp;D628)</f>
        <v/>
      </c>
    </row>
    <row r="629">
      <c r="A629" s="23" t="n"/>
      <c r="B629" s="24" t="n"/>
      <c r="C629" s="23" t="n"/>
      <c r="D629" s="23" t="n"/>
      <c r="E629" s="23" t="n"/>
      <c r="F629" s="23" t="n"/>
      <c r="G629" s="25" t="n"/>
      <c r="H629" s="26">
        <f>IF(C629="","",C629&amp;"|"&amp;D629)</f>
        <v/>
      </c>
    </row>
    <row r="630">
      <c r="A630" s="23" t="n"/>
      <c r="B630" s="24" t="n"/>
      <c r="C630" s="23" t="n"/>
      <c r="D630" s="23" t="n"/>
      <c r="E630" s="23" t="n"/>
      <c r="F630" s="23" t="n"/>
      <c r="G630" s="25" t="n"/>
      <c r="H630" s="26">
        <f>IF(C630="","",C630&amp;"|"&amp;D630)</f>
        <v/>
      </c>
    </row>
    <row r="631">
      <c r="A631" s="23" t="n"/>
      <c r="B631" s="24" t="n"/>
      <c r="C631" s="23" t="n"/>
      <c r="D631" s="23" t="n"/>
      <c r="E631" s="23" t="n"/>
      <c r="F631" s="23" t="n"/>
      <c r="G631" s="25" t="n"/>
      <c r="H631" s="26">
        <f>IF(C631="","",C631&amp;"|"&amp;D631)</f>
        <v/>
      </c>
    </row>
    <row r="632">
      <c r="A632" s="23" t="n"/>
      <c r="B632" s="24" t="n"/>
      <c r="C632" s="23" t="n"/>
      <c r="D632" s="23" t="n"/>
      <c r="E632" s="23" t="n"/>
      <c r="F632" s="23" t="n"/>
      <c r="G632" s="25" t="n"/>
      <c r="H632" s="26">
        <f>IF(C632="","",C632&amp;"|"&amp;D632)</f>
        <v/>
      </c>
    </row>
    <row r="633">
      <c r="A633" s="23" t="n"/>
      <c r="B633" s="24" t="n"/>
      <c r="C633" s="23" t="n"/>
      <c r="D633" s="23" t="n"/>
      <c r="E633" s="23" t="n"/>
      <c r="F633" s="23" t="n"/>
      <c r="G633" s="25" t="n"/>
      <c r="H633" s="26">
        <f>IF(C633="","",C633&amp;"|"&amp;D633)</f>
        <v/>
      </c>
    </row>
    <row r="634">
      <c r="A634" s="23" t="n"/>
      <c r="B634" s="24" t="n"/>
      <c r="C634" s="23" t="n"/>
      <c r="D634" s="23" t="n"/>
      <c r="E634" s="23" t="n"/>
      <c r="F634" s="23" t="n"/>
      <c r="G634" s="25" t="n"/>
      <c r="H634" s="26">
        <f>IF(C634="","",C634&amp;"|"&amp;D634)</f>
        <v/>
      </c>
    </row>
    <row r="635">
      <c r="A635" s="23" t="n"/>
      <c r="B635" s="24" t="n"/>
      <c r="C635" s="23" t="n"/>
      <c r="D635" s="23" t="n"/>
      <c r="E635" s="23" t="n"/>
      <c r="F635" s="23" t="n"/>
      <c r="G635" s="25" t="n"/>
      <c r="H635" s="26">
        <f>IF(C635="","",C635&amp;"|"&amp;D635)</f>
        <v/>
      </c>
    </row>
    <row r="636">
      <c r="A636" s="23" t="n"/>
      <c r="B636" s="24" t="n"/>
      <c r="C636" s="23" t="n"/>
      <c r="D636" s="23" t="n"/>
      <c r="E636" s="23" t="n"/>
      <c r="F636" s="23" t="n"/>
      <c r="G636" s="25" t="n"/>
      <c r="H636" s="26">
        <f>IF(C636="","",C636&amp;"|"&amp;D636)</f>
        <v/>
      </c>
    </row>
    <row r="637">
      <c r="A637" s="23" t="n"/>
      <c r="B637" s="24" t="n"/>
      <c r="C637" s="23" t="n"/>
      <c r="D637" s="23" t="n"/>
      <c r="E637" s="23" t="n"/>
      <c r="F637" s="23" t="n"/>
      <c r="G637" s="25" t="n"/>
      <c r="H637" s="26">
        <f>IF(C637="","",C637&amp;"|"&amp;D637)</f>
        <v/>
      </c>
    </row>
    <row r="638">
      <c r="A638" s="23" t="n"/>
      <c r="B638" s="24" t="n"/>
      <c r="C638" s="23" t="n"/>
      <c r="D638" s="23" t="n"/>
      <c r="E638" s="23" t="n"/>
      <c r="F638" s="23" t="n"/>
      <c r="G638" s="25" t="n"/>
      <c r="H638" s="26">
        <f>IF(C638="","",C638&amp;"|"&amp;D638)</f>
        <v/>
      </c>
    </row>
    <row r="639">
      <c r="A639" s="23" t="n"/>
      <c r="B639" s="24" t="n"/>
      <c r="C639" s="23" t="n"/>
      <c r="D639" s="23" t="n"/>
      <c r="E639" s="23" t="n"/>
      <c r="F639" s="23" t="n"/>
      <c r="G639" s="25" t="n"/>
      <c r="H639" s="26">
        <f>IF(C639="","",C639&amp;"|"&amp;D639)</f>
        <v/>
      </c>
    </row>
    <row r="640">
      <c r="A640" s="23" t="n"/>
      <c r="B640" s="24" t="n"/>
      <c r="C640" s="23" t="n"/>
      <c r="D640" s="23" t="n"/>
      <c r="E640" s="23" t="n"/>
      <c r="F640" s="23" t="n"/>
      <c r="G640" s="25" t="n"/>
      <c r="H640" s="26">
        <f>IF(C640="","",C640&amp;"|"&amp;D640)</f>
        <v/>
      </c>
    </row>
    <row r="641">
      <c r="A641" s="23" t="n"/>
      <c r="B641" s="24" t="n"/>
      <c r="C641" s="23" t="n"/>
      <c r="D641" s="23" t="n"/>
      <c r="E641" s="23" t="n"/>
      <c r="F641" s="23" t="n"/>
      <c r="G641" s="25" t="n"/>
      <c r="H641" s="26">
        <f>IF(C641="","",C641&amp;"|"&amp;D641)</f>
        <v/>
      </c>
    </row>
    <row r="642">
      <c r="A642" s="23" t="n"/>
      <c r="B642" s="24" t="n"/>
      <c r="C642" s="23" t="n"/>
      <c r="D642" s="23" t="n"/>
      <c r="E642" s="23" t="n"/>
      <c r="F642" s="23" t="n"/>
      <c r="G642" s="25" t="n"/>
      <c r="H642" s="26">
        <f>IF(C642="","",C642&amp;"|"&amp;D642)</f>
        <v/>
      </c>
    </row>
    <row r="643">
      <c r="A643" s="23" t="n"/>
      <c r="B643" s="24" t="n"/>
      <c r="C643" s="23" t="n"/>
      <c r="D643" s="23" t="n"/>
      <c r="E643" s="23" t="n"/>
      <c r="F643" s="23" t="n"/>
      <c r="G643" s="25" t="n"/>
      <c r="H643" s="26">
        <f>IF(C643="","",C643&amp;"|"&amp;D643)</f>
        <v/>
      </c>
    </row>
    <row r="644">
      <c r="A644" s="23" t="n"/>
      <c r="B644" s="24" t="n"/>
      <c r="C644" s="23" t="n"/>
      <c r="D644" s="23" t="n"/>
      <c r="E644" s="23" t="n"/>
      <c r="F644" s="23" t="n"/>
      <c r="G644" s="25" t="n"/>
      <c r="H644" s="26">
        <f>IF(C644="","",C644&amp;"|"&amp;D644)</f>
        <v/>
      </c>
    </row>
    <row r="645">
      <c r="A645" s="23" t="n"/>
      <c r="B645" s="24" t="n"/>
      <c r="C645" s="23" t="n"/>
      <c r="D645" s="23" t="n"/>
      <c r="E645" s="23" t="n"/>
      <c r="F645" s="23" t="n"/>
      <c r="G645" s="25" t="n"/>
      <c r="H645" s="26">
        <f>IF(C645="","",C645&amp;"|"&amp;D645)</f>
        <v/>
      </c>
    </row>
    <row r="646">
      <c r="A646" s="23" t="n"/>
      <c r="B646" s="24" t="n"/>
      <c r="C646" s="23" t="n"/>
      <c r="D646" s="23" t="n"/>
      <c r="E646" s="23" t="n"/>
      <c r="F646" s="23" t="n"/>
      <c r="G646" s="25" t="n"/>
      <c r="H646" s="26">
        <f>IF(C646="","",C646&amp;"|"&amp;D646)</f>
        <v/>
      </c>
    </row>
    <row r="647">
      <c r="A647" s="23" t="n"/>
      <c r="B647" s="24" t="n"/>
      <c r="C647" s="23" t="n"/>
      <c r="D647" s="23" t="n"/>
      <c r="E647" s="23" t="n"/>
      <c r="F647" s="23" t="n"/>
      <c r="G647" s="25" t="n"/>
      <c r="H647" s="26">
        <f>IF(C647="","",C647&amp;"|"&amp;D647)</f>
        <v/>
      </c>
    </row>
    <row r="648">
      <c r="A648" s="23" t="n"/>
      <c r="B648" s="24" t="n"/>
      <c r="C648" s="23" t="n"/>
      <c r="D648" s="23" t="n"/>
      <c r="E648" s="23" t="n"/>
      <c r="F648" s="23" t="n"/>
      <c r="G648" s="25" t="n"/>
      <c r="H648" s="26">
        <f>IF(C648="","",C648&amp;"|"&amp;D648)</f>
        <v/>
      </c>
    </row>
    <row r="649">
      <c r="A649" s="23" t="n"/>
      <c r="B649" s="24" t="n"/>
      <c r="C649" s="23" t="n"/>
      <c r="D649" s="23" t="n"/>
      <c r="E649" s="23" t="n"/>
      <c r="F649" s="23" t="n"/>
      <c r="G649" s="25" t="n"/>
      <c r="H649" s="26">
        <f>IF(C649="","",C649&amp;"|"&amp;D649)</f>
        <v/>
      </c>
    </row>
    <row r="650">
      <c r="A650" s="23" t="n"/>
      <c r="B650" s="24" t="n"/>
      <c r="C650" s="23" t="n"/>
      <c r="D650" s="23" t="n"/>
      <c r="E650" s="23" t="n"/>
      <c r="F650" s="23" t="n"/>
      <c r="G650" s="25" t="n"/>
      <c r="H650" s="26">
        <f>IF(C650="","",C650&amp;"|"&amp;D650)</f>
        <v/>
      </c>
    </row>
    <row r="651">
      <c r="A651" s="23" t="n"/>
      <c r="B651" s="24" t="n"/>
      <c r="C651" s="23" t="n"/>
      <c r="D651" s="23" t="n"/>
      <c r="E651" s="23" t="n"/>
      <c r="F651" s="23" t="n"/>
      <c r="G651" s="25" t="n"/>
      <c r="H651" s="26">
        <f>IF(C651="","",C651&amp;"|"&amp;D651)</f>
        <v/>
      </c>
    </row>
    <row r="652">
      <c r="A652" s="23" t="n"/>
      <c r="B652" s="24" t="n"/>
      <c r="C652" s="23" t="n"/>
      <c r="D652" s="23" t="n"/>
      <c r="E652" s="23" t="n"/>
      <c r="F652" s="23" t="n"/>
      <c r="G652" s="25" t="n"/>
      <c r="H652" s="26">
        <f>IF(C652="","",C652&amp;"|"&amp;D652)</f>
        <v/>
      </c>
    </row>
    <row r="653">
      <c r="A653" s="23" t="n"/>
      <c r="B653" s="24" t="n"/>
      <c r="C653" s="23" t="n"/>
      <c r="D653" s="23" t="n"/>
      <c r="E653" s="23" t="n"/>
      <c r="F653" s="23" t="n"/>
      <c r="G653" s="25" t="n"/>
      <c r="H653" s="26">
        <f>IF(C653="","",C653&amp;"|"&amp;D653)</f>
        <v/>
      </c>
    </row>
    <row r="654">
      <c r="A654" s="23" t="n"/>
      <c r="B654" s="24" t="n"/>
      <c r="C654" s="23" t="n"/>
      <c r="D654" s="23" t="n"/>
      <c r="E654" s="23" t="n"/>
      <c r="F654" s="23" t="n"/>
      <c r="G654" s="25" t="n"/>
      <c r="H654" s="26">
        <f>IF(C654="","",C654&amp;"|"&amp;D654)</f>
        <v/>
      </c>
    </row>
    <row r="655">
      <c r="A655" s="23" t="n"/>
      <c r="B655" s="24" t="n"/>
      <c r="C655" s="23" t="n"/>
      <c r="D655" s="23" t="n"/>
      <c r="E655" s="23" t="n"/>
      <c r="F655" s="23" t="n"/>
      <c r="G655" s="25" t="n"/>
      <c r="H655" s="26">
        <f>IF(C655="","",C655&amp;"|"&amp;D655)</f>
        <v/>
      </c>
    </row>
    <row r="656">
      <c r="A656" s="23" t="n"/>
      <c r="B656" s="24" t="n"/>
      <c r="C656" s="23" t="n"/>
      <c r="D656" s="23" t="n"/>
      <c r="E656" s="23" t="n"/>
      <c r="F656" s="23" t="n"/>
      <c r="G656" s="25" t="n"/>
      <c r="H656" s="26">
        <f>IF(C656="","",C656&amp;"|"&amp;D656)</f>
        <v/>
      </c>
    </row>
    <row r="657">
      <c r="A657" s="23" t="n"/>
      <c r="B657" s="24" t="n"/>
      <c r="C657" s="23" t="n"/>
      <c r="D657" s="23" t="n"/>
      <c r="E657" s="23" t="n"/>
      <c r="F657" s="23" t="n"/>
      <c r="G657" s="25" t="n"/>
      <c r="H657" s="26">
        <f>IF(C657="","",C657&amp;"|"&amp;D657)</f>
        <v/>
      </c>
    </row>
    <row r="658">
      <c r="A658" s="23" t="n"/>
      <c r="B658" s="24" t="n"/>
      <c r="C658" s="23" t="n"/>
      <c r="D658" s="23" t="n"/>
      <c r="E658" s="23" t="n"/>
      <c r="F658" s="23" t="n"/>
      <c r="G658" s="25" t="n"/>
      <c r="H658" s="26">
        <f>IF(C658="","",C658&amp;"|"&amp;D658)</f>
        <v/>
      </c>
    </row>
    <row r="659">
      <c r="A659" s="23" t="n"/>
      <c r="B659" s="24" t="n"/>
      <c r="C659" s="23" t="n"/>
      <c r="D659" s="23" t="n"/>
      <c r="E659" s="23" t="n"/>
      <c r="F659" s="23" t="n"/>
      <c r="G659" s="25" t="n"/>
      <c r="H659" s="26">
        <f>IF(C659="","",C659&amp;"|"&amp;D659)</f>
        <v/>
      </c>
    </row>
    <row r="660">
      <c r="A660" s="23" t="n"/>
      <c r="B660" s="24" t="n"/>
      <c r="C660" s="23" t="n"/>
      <c r="D660" s="23" t="n"/>
      <c r="E660" s="23" t="n"/>
      <c r="F660" s="23" t="n"/>
      <c r="G660" s="25" t="n"/>
      <c r="H660" s="26">
        <f>IF(C660="","",C660&amp;"|"&amp;D660)</f>
        <v/>
      </c>
    </row>
    <row r="661">
      <c r="A661" s="23" t="n"/>
      <c r="B661" s="24" t="n"/>
      <c r="C661" s="23" t="n"/>
      <c r="D661" s="23" t="n"/>
      <c r="E661" s="23" t="n"/>
      <c r="F661" s="23" t="n"/>
      <c r="G661" s="25" t="n"/>
      <c r="H661" s="26">
        <f>IF(C661="","",C661&amp;"|"&amp;D661)</f>
        <v/>
      </c>
    </row>
    <row r="662">
      <c r="A662" s="23" t="n"/>
      <c r="B662" s="24" t="n"/>
      <c r="C662" s="23" t="n"/>
      <c r="D662" s="23" t="n"/>
      <c r="E662" s="23" t="n"/>
      <c r="F662" s="23" t="n"/>
      <c r="G662" s="25" t="n"/>
      <c r="H662" s="26">
        <f>IF(C662="","",C662&amp;"|"&amp;D662)</f>
        <v/>
      </c>
    </row>
    <row r="663">
      <c r="A663" s="23" t="n"/>
      <c r="B663" s="24" t="n"/>
      <c r="C663" s="23" t="n"/>
      <c r="D663" s="23" t="n"/>
      <c r="E663" s="23" t="n"/>
      <c r="F663" s="23" t="n"/>
      <c r="G663" s="25" t="n"/>
      <c r="H663" s="26">
        <f>IF(C663="","",C663&amp;"|"&amp;D663)</f>
        <v/>
      </c>
    </row>
    <row r="664">
      <c r="A664" s="23" t="n"/>
      <c r="B664" s="24" t="n"/>
      <c r="C664" s="23" t="n"/>
      <c r="D664" s="23" t="n"/>
      <c r="E664" s="23" t="n"/>
      <c r="F664" s="23" t="n"/>
      <c r="G664" s="25" t="n"/>
      <c r="H664" s="26">
        <f>IF(C664="","",C664&amp;"|"&amp;D664)</f>
        <v/>
      </c>
    </row>
    <row r="665">
      <c r="A665" s="23" t="n"/>
      <c r="B665" s="24" t="n"/>
      <c r="C665" s="23" t="n"/>
      <c r="D665" s="23" t="n"/>
      <c r="E665" s="23" t="n"/>
      <c r="F665" s="23" t="n"/>
      <c r="G665" s="25" t="n"/>
      <c r="H665" s="26">
        <f>IF(C665="","",C665&amp;"|"&amp;D665)</f>
        <v/>
      </c>
    </row>
    <row r="666">
      <c r="A666" s="23" t="n"/>
      <c r="B666" s="24" t="n"/>
      <c r="C666" s="23" t="n"/>
      <c r="D666" s="23" t="n"/>
      <c r="E666" s="23" t="n"/>
      <c r="F666" s="23" t="n"/>
      <c r="G666" s="25" t="n"/>
      <c r="H666" s="26">
        <f>IF(C666="","",C666&amp;"|"&amp;D666)</f>
        <v/>
      </c>
    </row>
    <row r="667">
      <c r="A667" s="23" t="n"/>
      <c r="B667" s="24" t="n"/>
      <c r="C667" s="23" t="n"/>
      <c r="D667" s="23" t="n"/>
      <c r="E667" s="23" t="n"/>
      <c r="F667" s="23" t="n"/>
      <c r="G667" s="25" t="n"/>
      <c r="H667" s="26">
        <f>IF(C667="","",C667&amp;"|"&amp;D667)</f>
        <v/>
      </c>
    </row>
    <row r="668">
      <c r="A668" s="23" t="n"/>
      <c r="B668" s="24" t="n"/>
      <c r="C668" s="23" t="n"/>
      <c r="D668" s="23" t="n"/>
      <c r="E668" s="23" t="n"/>
      <c r="F668" s="23" t="n"/>
      <c r="G668" s="25" t="n"/>
      <c r="H668" s="26">
        <f>IF(C668="","",C668&amp;"|"&amp;D668)</f>
        <v/>
      </c>
    </row>
    <row r="669">
      <c r="A669" s="23" t="n"/>
      <c r="B669" s="24" t="n"/>
      <c r="C669" s="23" t="n"/>
      <c r="D669" s="23" t="n"/>
      <c r="E669" s="23" t="n"/>
      <c r="F669" s="23" t="n"/>
      <c r="G669" s="25" t="n"/>
      <c r="H669" s="26">
        <f>IF(C669="","",C669&amp;"|"&amp;D669)</f>
        <v/>
      </c>
    </row>
    <row r="670">
      <c r="A670" s="23" t="n"/>
      <c r="B670" s="24" t="n"/>
      <c r="C670" s="23" t="n"/>
      <c r="D670" s="23" t="n"/>
      <c r="E670" s="23" t="n"/>
      <c r="F670" s="23" t="n"/>
      <c r="G670" s="25" t="n"/>
      <c r="H670" s="26">
        <f>IF(C670="","",C670&amp;"|"&amp;D670)</f>
        <v/>
      </c>
    </row>
    <row r="671">
      <c r="A671" s="23" t="n"/>
      <c r="B671" s="24" t="n"/>
      <c r="C671" s="23" t="n"/>
      <c r="D671" s="23" t="n"/>
      <c r="E671" s="23" t="n"/>
      <c r="F671" s="23" t="n"/>
      <c r="G671" s="25" t="n"/>
      <c r="H671" s="26">
        <f>IF(C671="","",C671&amp;"|"&amp;D671)</f>
        <v/>
      </c>
    </row>
    <row r="672">
      <c r="A672" s="23" t="n"/>
      <c r="B672" s="24" t="n"/>
      <c r="C672" s="23" t="n"/>
      <c r="D672" s="23" t="n"/>
      <c r="E672" s="23" t="n"/>
      <c r="F672" s="23" t="n"/>
      <c r="G672" s="25" t="n"/>
      <c r="H672" s="26">
        <f>IF(C672="","",C672&amp;"|"&amp;D672)</f>
        <v/>
      </c>
    </row>
    <row r="673">
      <c r="A673" s="23" t="n"/>
      <c r="B673" s="24" t="n"/>
      <c r="C673" s="23" t="n"/>
      <c r="D673" s="23" t="n"/>
      <c r="E673" s="23" t="n"/>
      <c r="F673" s="23" t="n"/>
      <c r="G673" s="25" t="n"/>
      <c r="H673" s="26">
        <f>IF(C673="","",C673&amp;"|"&amp;D673)</f>
        <v/>
      </c>
    </row>
    <row r="674">
      <c r="A674" s="23" t="n"/>
      <c r="B674" s="24" t="n"/>
      <c r="C674" s="23" t="n"/>
      <c r="D674" s="23" t="n"/>
      <c r="E674" s="23" t="n"/>
      <c r="F674" s="23" t="n"/>
      <c r="G674" s="25" t="n"/>
      <c r="H674" s="26">
        <f>IF(C674="","",C674&amp;"|"&amp;D674)</f>
        <v/>
      </c>
    </row>
    <row r="675">
      <c r="A675" s="23" t="n"/>
      <c r="B675" s="24" t="n"/>
      <c r="C675" s="23" t="n"/>
      <c r="D675" s="23" t="n"/>
      <c r="E675" s="23" t="n"/>
      <c r="F675" s="23" t="n"/>
      <c r="G675" s="25" t="n"/>
      <c r="H675" s="26">
        <f>IF(C675="","",C675&amp;"|"&amp;D675)</f>
        <v/>
      </c>
    </row>
    <row r="676">
      <c r="A676" s="23" t="n"/>
      <c r="B676" s="24" t="n"/>
      <c r="C676" s="23" t="n"/>
      <c r="D676" s="23" t="n"/>
      <c r="E676" s="23" t="n"/>
      <c r="F676" s="23" t="n"/>
      <c r="G676" s="25" t="n"/>
      <c r="H676" s="26">
        <f>IF(C676="","",C676&amp;"|"&amp;D676)</f>
        <v/>
      </c>
    </row>
    <row r="677">
      <c r="A677" s="23" t="n"/>
      <c r="B677" s="24" t="n"/>
      <c r="C677" s="23" t="n"/>
      <c r="D677" s="23" t="n"/>
      <c r="E677" s="23" t="n"/>
      <c r="F677" s="23" t="n"/>
      <c r="G677" s="25" t="n"/>
      <c r="H677" s="26">
        <f>IF(C677="","",C677&amp;"|"&amp;D677)</f>
        <v/>
      </c>
    </row>
    <row r="678">
      <c r="A678" s="23" t="n"/>
      <c r="B678" s="24" t="n"/>
      <c r="C678" s="23" t="n"/>
      <c r="D678" s="23" t="n"/>
      <c r="E678" s="23" t="n"/>
      <c r="F678" s="23" t="n"/>
      <c r="G678" s="25" t="n"/>
      <c r="H678" s="26">
        <f>IF(C678="","",C678&amp;"|"&amp;D678)</f>
        <v/>
      </c>
    </row>
    <row r="679">
      <c r="A679" s="23" t="n"/>
      <c r="B679" s="24" t="n"/>
      <c r="C679" s="23" t="n"/>
      <c r="D679" s="23" t="n"/>
      <c r="E679" s="23" t="n"/>
      <c r="F679" s="23" t="n"/>
      <c r="G679" s="25" t="n"/>
      <c r="H679" s="26">
        <f>IF(C679="","",C679&amp;"|"&amp;D679)</f>
        <v/>
      </c>
    </row>
    <row r="680">
      <c r="A680" s="23" t="n"/>
      <c r="B680" s="24" t="n"/>
      <c r="C680" s="23" t="n"/>
      <c r="D680" s="23" t="n"/>
      <c r="E680" s="23" t="n"/>
      <c r="F680" s="23" t="n"/>
      <c r="G680" s="25" t="n"/>
      <c r="H680" s="26">
        <f>IF(C680="","",C680&amp;"|"&amp;D680)</f>
        <v/>
      </c>
    </row>
    <row r="681">
      <c r="A681" s="23" t="n"/>
      <c r="B681" s="24" t="n"/>
      <c r="C681" s="23" t="n"/>
      <c r="D681" s="23" t="n"/>
      <c r="E681" s="23" t="n"/>
      <c r="F681" s="23" t="n"/>
      <c r="G681" s="25" t="n"/>
      <c r="H681" s="26">
        <f>IF(C681="","",C681&amp;"|"&amp;D681)</f>
        <v/>
      </c>
    </row>
    <row r="682">
      <c r="A682" s="23" t="n"/>
      <c r="B682" s="24" t="n"/>
      <c r="C682" s="23" t="n"/>
      <c r="D682" s="23" t="n"/>
      <c r="E682" s="23" t="n"/>
      <c r="F682" s="23" t="n"/>
      <c r="G682" s="25" t="n"/>
      <c r="H682" s="26">
        <f>IF(C682="","",C682&amp;"|"&amp;D682)</f>
        <v/>
      </c>
    </row>
    <row r="683">
      <c r="A683" s="23" t="n"/>
      <c r="B683" s="24" t="n"/>
      <c r="C683" s="23" t="n"/>
      <c r="D683" s="23" t="n"/>
      <c r="E683" s="23" t="n"/>
      <c r="F683" s="23" t="n"/>
      <c r="G683" s="25" t="n"/>
      <c r="H683" s="26">
        <f>IF(C683="","",C683&amp;"|"&amp;D683)</f>
        <v/>
      </c>
    </row>
    <row r="684">
      <c r="A684" s="23" t="n"/>
      <c r="B684" s="24" t="n"/>
      <c r="C684" s="23" t="n"/>
      <c r="D684" s="23" t="n"/>
      <c r="E684" s="23" t="n"/>
      <c r="F684" s="23" t="n"/>
      <c r="G684" s="25" t="n"/>
      <c r="H684" s="26">
        <f>IF(C684="","",C684&amp;"|"&amp;D684)</f>
        <v/>
      </c>
    </row>
    <row r="685">
      <c r="A685" s="23" t="n"/>
      <c r="B685" s="24" t="n"/>
      <c r="C685" s="23" t="n"/>
      <c r="D685" s="23" t="n"/>
      <c r="E685" s="23" t="n"/>
      <c r="F685" s="23" t="n"/>
      <c r="G685" s="25" t="n"/>
      <c r="H685" s="26">
        <f>IF(C685="","",C685&amp;"|"&amp;D685)</f>
        <v/>
      </c>
    </row>
    <row r="686">
      <c r="A686" s="23" t="n"/>
      <c r="B686" s="24" t="n"/>
      <c r="C686" s="23" t="n"/>
      <c r="D686" s="23" t="n"/>
      <c r="E686" s="23" t="n"/>
      <c r="F686" s="23" t="n"/>
      <c r="G686" s="25" t="n"/>
      <c r="H686" s="26">
        <f>IF(C686="","",C686&amp;"|"&amp;D686)</f>
        <v/>
      </c>
    </row>
    <row r="687">
      <c r="A687" s="23" t="n"/>
      <c r="B687" s="24" t="n"/>
      <c r="C687" s="23" t="n"/>
      <c r="D687" s="23" t="n"/>
      <c r="E687" s="23" t="n"/>
      <c r="F687" s="23" t="n"/>
      <c r="G687" s="25" t="n"/>
      <c r="H687" s="26">
        <f>IF(C687="","",C687&amp;"|"&amp;D687)</f>
        <v/>
      </c>
    </row>
    <row r="688">
      <c r="A688" s="23" t="n"/>
      <c r="B688" s="24" t="n"/>
      <c r="C688" s="23" t="n"/>
      <c r="D688" s="23" t="n"/>
      <c r="E688" s="23" t="n"/>
      <c r="F688" s="23" t="n"/>
      <c r="G688" s="25" t="n"/>
      <c r="H688" s="26">
        <f>IF(C688="","",C688&amp;"|"&amp;D688)</f>
        <v/>
      </c>
    </row>
    <row r="689">
      <c r="A689" s="23" t="n"/>
      <c r="B689" s="24" t="n"/>
      <c r="C689" s="23" t="n"/>
      <c r="D689" s="23" t="n"/>
      <c r="E689" s="23" t="n"/>
      <c r="F689" s="23" t="n"/>
      <c r="G689" s="25" t="n"/>
      <c r="H689" s="26">
        <f>IF(C689="","",C689&amp;"|"&amp;D689)</f>
        <v/>
      </c>
    </row>
    <row r="690">
      <c r="A690" s="23" t="n"/>
      <c r="B690" s="24" t="n"/>
      <c r="C690" s="23" t="n"/>
      <c r="D690" s="23" t="n"/>
      <c r="E690" s="23" t="n"/>
      <c r="F690" s="23" t="n"/>
      <c r="G690" s="25" t="n"/>
      <c r="H690" s="26">
        <f>IF(C690="","",C690&amp;"|"&amp;D690)</f>
        <v/>
      </c>
    </row>
    <row r="691">
      <c r="A691" s="23" t="n"/>
      <c r="B691" s="24" t="n"/>
      <c r="C691" s="23" t="n"/>
      <c r="D691" s="23" t="n"/>
      <c r="E691" s="23" t="n"/>
      <c r="F691" s="23" t="n"/>
      <c r="G691" s="25" t="n"/>
      <c r="H691" s="26">
        <f>IF(C691="","",C691&amp;"|"&amp;D691)</f>
        <v/>
      </c>
    </row>
    <row r="692">
      <c r="A692" s="23" t="n"/>
      <c r="B692" s="24" t="n"/>
      <c r="C692" s="23" t="n"/>
      <c r="D692" s="23" t="n"/>
      <c r="E692" s="23" t="n"/>
      <c r="F692" s="23" t="n"/>
      <c r="G692" s="25" t="n"/>
      <c r="H692" s="26">
        <f>IF(C692="","",C692&amp;"|"&amp;D692)</f>
        <v/>
      </c>
    </row>
    <row r="693">
      <c r="A693" s="23" t="n"/>
      <c r="B693" s="24" t="n"/>
      <c r="C693" s="23" t="n"/>
      <c r="D693" s="23" t="n"/>
      <c r="E693" s="23" t="n"/>
      <c r="F693" s="23" t="n"/>
      <c r="G693" s="25" t="n"/>
      <c r="H693" s="26">
        <f>IF(C693="","",C693&amp;"|"&amp;D693)</f>
        <v/>
      </c>
    </row>
    <row r="694">
      <c r="A694" s="23" t="n"/>
      <c r="B694" s="24" t="n"/>
      <c r="C694" s="23" t="n"/>
      <c r="D694" s="23" t="n"/>
      <c r="E694" s="23" t="n"/>
      <c r="F694" s="23" t="n"/>
      <c r="G694" s="25" t="n"/>
      <c r="H694" s="26">
        <f>IF(C694="","",C694&amp;"|"&amp;D694)</f>
        <v/>
      </c>
    </row>
    <row r="695">
      <c r="A695" s="23" t="n"/>
      <c r="B695" s="24" t="n"/>
      <c r="C695" s="23" t="n"/>
      <c r="D695" s="23" t="n"/>
      <c r="E695" s="23" t="n"/>
      <c r="F695" s="23" t="n"/>
      <c r="G695" s="25" t="n"/>
      <c r="H695" s="26">
        <f>IF(C695="","",C695&amp;"|"&amp;D695)</f>
        <v/>
      </c>
    </row>
    <row r="696">
      <c r="A696" s="23" t="n"/>
      <c r="B696" s="24" t="n"/>
      <c r="C696" s="23" t="n"/>
      <c r="D696" s="23" t="n"/>
      <c r="E696" s="23" t="n"/>
      <c r="F696" s="23" t="n"/>
      <c r="G696" s="25" t="n"/>
      <c r="H696" s="26">
        <f>IF(C696="","",C696&amp;"|"&amp;D696)</f>
        <v/>
      </c>
    </row>
    <row r="697">
      <c r="A697" s="23" t="n"/>
      <c r="B697" s="24" t="n"/>
      <c r="C697" s="23" t="n"/>
      <c r="D697" s="23" t="n"/>
      <c r="E697" s="23" t="n"/>
      <c r="F697" s="23" t="n"/>
      <c r="G697" s="25" t="n"/>
      <c r="H697" s="26">
        <f>IF(C697="","",C697&amp;"|"&amp;D697)</f>
        <v/>
      </c>
    </row>
    <row r="698">
      <c r="A698" s="23" t="n"/>
      <c r="B698" s="24" t="n"/>
      <c r="C698" s="23" t="n"/>
      <c r="D698" s="23" t="n"/>
      <c r="E698" s="23" t="n"/>
      <c r="F698" s="23" t="n"/>
      <c r="G698" s="25" t="n"/>
      <c r="H698" s="26">
        <f>IF(C698="","",C698&amp;"|"&amp;D698)</f>
        <v/>
      </c>
    </row>
    <row r="699">
      <c r="A699" s="23" t="n"/>
      <c r="B699" s="24" t="n"/>
      <c r="C699" s="23" t="n"/>
      <c r="D699" s="23" t="n"/>
      <c r="E699" s="23" t="n"/>
      <c r="F699" s="23" t="n"/>
      <c r="G699" s="25" t="n"/>
      <c r="H699" s="26">
        <f>IF(C699="","",C699&amp;"|"&amp;D699)</f>
        <v/>
      </c>
    </row>
    <row r="700">
      <c r="A700" s="23" t="n"/>
      <c r="B700" s="24" t="n"/>
      <c r="C700" s="23" t="n"/>
      <c r="D700" s="23" t="n"/>
      <c r="E700" s="23" t="n"/>
      <c r="F700" s="23" t="n"/>
      <c r="G700" s="25" t="n"/>
      <c r="H700" s="26">
        <f>IF(C700="","",C700&amp;"|"&amp;D700)</f>
        <v/>
      </c>
    </row>
    <row r="701">
      <c r="A701" s="23" t="n"/>
      <c r="B701" s="24" t="n"/>
      <c r="C701" s="23" t="n"/>
      <c r="D701" s="23" t="n"/>
      <c r="E701" s="23" t="n"/>
      <c r="F701" s="23" t="n"/>
      <c r="G701" s="25" t="n"/>
      <c r="H701" s="26">
        <f>IF(C701="","",C701&amp;"|"&amp;D701)</f>
        <v/>
      </c>
    </row>
    <row r="702">
      <c r="A702" s="23" t="n"/>
      <c r="B702" s="24" t="n"/>
      <c r="C702" s="23" t="n"/>
      <c r="D702" s="23" t="n"/>
      <c r="E702" s="23" t="n"/>
      <c r="F702" s="23" t="n"/>
      <c r="G702" s="25" t="n"/>
      <c r="H702" s="26">
        <f>IF(C702="","",C702&amp;"|"&amp;D702)</f>
        <v/>
      </c>
    </row>
    <row r="703">
      <c r="A703" s="23" t="n"/>
      <c r="B703" s="24" t="n"/>
      <c r="C703" s="23" t="n"/>
      <c r="D703" s="23" t="n"/>
      <c r="E703" s="23" t="n"/>
      <c r="F703" s="23" t="n"/>
      <c r="G703" s="25" t="n"/>
      <c r="H703" s="26">
        <f>IF(C703="","",C703&amp;"|"&amp;D703)</f>
        <v/>
      </c>
    </row>
    <row r="704">
      <c r="A704" s="23" t="n"/>
      <c r="B704" s="24" t="n"/>
      <c r="C704" s="23" t="n"/>
      <c r="D704" s="23" t="n"/>
      <c r="E704" s="23" t="n"/>
      <c r="F704" s="23" t="n"/>
      <c r="G704" s="25" t="n"/>
      <c r="H704" s="26">
        <f>IF(C704="","",C704&amp;"|"&amp;D704)</f>
        <v/>
      </c>
    </row>
    <row r="705">
      <c r="A705" s="23" t="n"/>
      <c r="B705" s="24" t="n"/>
      <c r="C705" s="23" t="n"/>
      <c r="D705" s="23" t="n"/>
      <c r="E705" s="23" t="n"/>
      <c r="F705" s="23" t="n"/>
      <c r="G705" s="25" t="n"/>
      <c r="H705" s="26">
        <f>IF(C705="","",C705&amp;"|"&amp;D705)</f>
        <v/>
      </c>
    </row>
    <row r="706">
      <c r="A706" s="23" t="n"/>
      <c r="B706" s="24" t="n"/>
      <c r="C706" s="23" t="n"/>
      <c r="D706" s="23" t="n"/>
      <c r="E706" s="23" t="n"/>
      <c r="F706" s="23" t="n"/>
      <c r="G706" s="25" t="n"/>
      <c r="H706" s="26">
        <f>IF(C706="","",C706&amp;"|"&amp;D706)</f>
        <v/>
      </c>
    </row>
    <row r="707">
      <c r="A707" s="23" t="n"/>
      <c r="B707" s="24" t="n"/>
      <c r="C707" s="23" t="n"/>
      <c r="D707" s="23" t="n"/>
      <c r="E707" s="23" t="n"/>
      <c r="F707" s="23" t="n"/>
      <c r="G707" s="25" t="n"/>
      <c r="H707" s="26">
        <f>IF(C707="","",C707&amp;"|"&amp;D707)</f>
        <v/>
      </c>
    </row>
    <row r="708">
      <c r="A708" s="23" t="n"/>
      <c r="B708" s="24" t="n"/>
      <c r="C708" s="23" t="n"/>
      <c r="D708" s="23" t="n"/>
      <c r="E708" s="23" t="n"/>
      <c r="F708" s="23" t="n"/>
      <c r="G708" s="25" t="n"/>
      <c r="H708" s="26">
        <f>IF(C708="","",C708&amp;"|"&amp;D708)</f>
        <v/>
      </c>
    </row>
    <row r="709">
      <c r="A709" s="23" t="n"/>
      <c r="B709" s="24" t="n"/>
      <c r="C709" s="23" t="n"/>
      <c r="D709" s="23" t="n"/>
      <c r="E709" s="23" t="n"/>
      <c r="F709" s="23" t="n"/>
      <c r="G709" s="25" t="n"/>
      <c r="H709" s="26">
        <f>IF(C709="","",C709&amp;"|"&amp;D709)</f>
        <v/>
      </c>
    </row>
    <row r="710">
      <c r="A710" s="23" t="n"/>
      <c r="B710" s="24" t="n"/>
      <c r="C710" s="23" t="n"/>
      <c r="D710" s="23" t="n"/>
      <c r="E710" s="23" t="n"/>
      <c r="F710" s="23" t="n"/>
      <c r="G710" s="25" t="n"/>
      <c r="H710" s="26">
        <f>IF(C710="","",C710&amp;"|"&amp;D710)</f>
        <v/>
      </c>
    </row>
    <row r="711">
      <c r="A711" s="23" t="n"/>
      <c r="B711" s="24" t="n"/>
      <c r="C711" s="23" t="n"/>
      <c r="D711" s="23" t="n"/>
      <c r="E711" s="23" t="n"/>
      <c r="F711" s="23" t="n"/>
      <c r="G711" s="25" t="n"/>
      <c r="H711" s="26">
        <f>IF(C711="","",C711&amp;"|"&amp;D711)</f>
        <v/>
      </c>
    </row>
    <row r="712">
      <c r="A712" s="23" t="n"/>
      <c r="B712" s="24" t="n"/>
      <c r="C712" s="23" t="n"/>
      <c r="D712" s="23" t="n"/>
      <c r="E712" s="23" t="n"/>
      <c r="F712" s="23" t="n"/>
      <c r="G712" s="25" t="n"/>
      <c r="H712" s="26">
        <f>IF(C712="","",C712&amp;"|"&amp;D712)</f>
        <v/>
      </c>
    </row>
    <row r="713">
      <c r="A713" s="23" t="n"/>
      <c r="B713" s="24" t="n"/>
      <c r="C713" s="23" t="n"/>
      <c r="D713" s="23" t="n"/>
      <c r="E713" s="23" t="n"/>
      <c r="F713" s="23" t="n"/>
      <c r="G713" s="25" t="n"/>
      <c r="H713" s="26">
        <f>IF(C713="","",C713&amp;"|"&amp;D713)</f>
        <v/>
      </c>
    </row>
    <row r="714">
      <c r="A714" s="23" t="n"/>
      <c r="B714" s="24" t="n"/>
      <c r="C714" s="23" t="n"/>
      <c r="D714" s="23" t="n"/>
      <c r="E714" s="23" t="n"/>
      <c r="F714" s="23" t="n"/>
      <c r="G714" s="25" t="n"/>
      <c r="H714" s="26">
        <f>IF(C714="","",C714&amp;"|"&amp;D714)</f>
        <v/>
      </c>
    </row>
    <row r="715">
      <c r="A715" s="23" t="n"/>
      <c r="B715" s="24" t="n"/>
      <c r="C715" s="23" t="n"/>
      <c r="D715" s="23" t="n"/>
      <c r="E715" s="23" t="n"/>
      <c r="F715" s="23" t="n"/>
      <c r="G715" s="25" t="n"/>
      <c r="H715" s="26">
        <f>IF(C715="","",C715&amp;"|"&amp;D715)</f>
        <v/>
      </c>
    </row>
    <row r="716">
      <c r="A716" s="23" t="n"/>
      <c r="B716" s="24" t="n"/>
      <c r="C716" s="23" t="n"/>
      <c r="D716" s="23" t="n"/>
      <c r="E716" s="23" t="n"/>
      <c r="F716" s="23" t="n"/>
      <c r="G716" s="25" t="n"/>
      <c r="H716" s="26">
        <f>IF(C716="","",C716&amp;"|"&amp;D716)</f>
        <v/>
      </c>
    </row>
    <row r="717">
      <c r="A717" s="23" t="n"/>
      <c r="B717" s="24" t="n"/>
      <c r="C717" s="23" t="n"/>
      <c r="D717" s="23" t="n"/>
      <c r="E717" s="23" t="n"/>
      <c r="F717" s="23" t="n"/>
      <c r="G717" s="25" t="n"/>
      <c r="H717" s="26">
        <f>IF(C717="","",C717&amp;"|"&amp;D717)</f>
        <v/>
      </c>
    </row>
    <row r="718">
      <c r="A718" s="23" t="n"/>
      <c r="B718" s="24" t="n"/>
      <c r="C718" s="23" t="n"/>
      <c r="D718" s="23" t="n"/>
      <c r="E718" s="23" t="n"/>
      <c r="F718" s="23" t="n"/>
      <c r="G718" s="25" t="n"/>
      <c r="H718" s="26">
        <f>IF(C718="","",C718&amp;"|"&amp;D718)</f>
        <v/>
      </c>
    </row>
    <row r="719">
      <c r="A719" s="23" t="n"/>
      <c r="B719" s="24" t="n"/>
      <c r="C719" s="23" t="n"/>
      <c r="D719" s="23" t="n"/>
      <c r="E719" s="23" t="n"/>
      <c r="F719" s="23" t="n"/>
      <c r="G719" s="25" t="n"/>
      <c r="H719" s="26">
        <f>IF(C719="","",C719&amp;"|"&amp;D719)</f>
        <v/>
      </c>
    </row>
    <row r="720">
      <c r="A720" s="23" t="n"/>
      <c r="B720" s="24" t="n"/>
      <c r="C720" s="23" t="n"/>
      <c r="D720" s="23" t="n"/>
      <c r="E720" s="23" t="n"/>
      <c r="F720" s="23" t="n"/>
      <c r="G720" s="25" t="n"/>
      <c r="H720" s="26">
        <f>IF(C720="","",C720&amp;"|"&amp;D720)</f>
        <v/>
      </c>
    </row>
    <row r="721">
      <c r="A721" s="23" t="n"/>
      <c r="B721" s="24" t="n"/>
      <c r="C721" s="23" t="n"/>
      <c r="D721" s="23" t="n"/>
      <c r="E721" s="23" t="n"/>
      <c r="F721" s="23" t="n"/>
      <c r="G721" s="25" t="n"/>
      <c r="H721" s="26">
        <f>IF(C721="","",C721&amp;"|"&amp;D721)</f>
        <v/>
      </c>
    </row>
    <row r="722">
      <c r="A722" s="23" t="n"/>
      <c r="B722" s="24" t="n"/>
      <c r="C722" s="23" t="n"/>
      <c r="D722" s="23" t="n"/>
      <c r="E722" s="23" t="n"/>
      <c r="F722" s="23" t="n"/>
      <c r="G722" s="25" t="n"/>
      <c r="H722" s="26">
        <f>IF(C722="","",C722&amp;"|"&amp;D722)</f>
        <v/>
      </c>
    </row>
    <row r="723">
      <c r="A723" s="23" t="n"/>
      <c r="B723" s="24" t="n"/>
      <c r="C723" s="23" t="n"/>
      <c r="D723" s="23" t="n"/>
      <c r="E723" s="23" t="n"/>
      <c r="F723" s="23" t="n"/>
      <c r="G723" s="25" t="n"/>
      <c r="H723" s="26">
        <f>IF(C723="","",C723&amp;"|"&amp;D723)</f>
        <v/>
      </c>
    </row>
    <row r="724">
      <c r="A724" s="23" t="n"/>
      <c r="B724" s="24" t="n"/>
      <c r="C724" s="23" t="n"/>
      <c r="D724" s="23" t="n"/>
      <c r="E724" s="23" t="n"/>
      <c r="F724" s="23" t="n"/>
      <c r="G724" s="25" t="n"/>
      <c r="H724" s="26">
        <f>IF(C724="","",C724&amp;"|"&amp;D724)</f>
        <v/>
      </c>
    </row>
    <row r="725">
      <c r="A725" s="23" t="n"/>
      <c r="B725" s="24" t="n"/>
      <c r="C725" s="23" t="n"/>
      <c r="D725" s="23" t="n"/>
      <c r="E725" s="23" t="n"/>
      <c r="F725" s="23" t="n"/>
      <c r="G725" s="25" t="n"/>
      <c r="H725" s="26">
        <f>IF(C725="","",C725&amp;"|"&amp;D725)</f>
        <v/>
      </c>
    </row>
    <row r="726">
      <c r="A726" s="23" t="n"/>
      <c r="B726" s="24" t="n"/>
      <c r="C726" s="23" t="n"/>
      <c r="D726" s="23" t="n"/>
      <c r="E726" s="23" t="n"/>
      <c r="F726" s="23" t="n"/>
      <c r="G726" s="25" t="n"/>
      <c r="H726" s="26">
        <f>IF(C726="","",C726&amp;"|"&amp;D726)</f>
        <v/>
      </c>
    </row>
    <row r="727">
      <c r="A727" s="23" t="n"/>
      <c r="B727" s="24" t="n"/>
      <c r="C727" s="23" t="n"/>
      <c r="D727" s="23" t="n"/>
      <c r="E727" s="23" t="n"/>
      <c r="F727" s="23" t="n"/>
      <c r="G727" s="25" t="n"/>
      <c r="H727" s="26">
        <f>IF(C727="","",C727&amp;"|"&amp;D727)</f>
        <v/>
      </c>
    </row>
    <row r="728">
      <c r="A728" s="23" t="n"/>
      <c r="B728" s="24" t="n"/>
      <c r="C728" s="23" t="n"/>
      <c r="D728" s="23" t="n"/>
      <c r="E728" s="23" t="n"/>
      <c r="F728" s="23" t="n"/>
      <c r="G728" s="25" t="n"/>
      <c r="H728" s="26">
        <f>IF(C728="","",C728&amp;"|"&amp;D728)</f>
        <v/>
      </c>
    </row>
    <row r="729">
      <c r="A729" s="23" t="n"/>
      <c r="B729" s="24" t="n"/>
      <c r="C729" s="23" t="n"/>
      <c r="D729" s="23" t="n"/>
      <c r="E729" s="23" t="n"/>
      <c r="F729" s="23" t="n"/>
      <c r="G729" s="25" t="n"/>
      <c r="H729" s="26">
        <f>IF(C729="","",C729&amp;"|"&amp;D729)</f>
        <v/>
      </c>
    </row>
    <row r="730">
      <c r="A730" s="23" t="n"/>
      <c r="B730" s="24" t="n"/>
      <c r="C730" s="23" t="n"/>
      <c r="D730" s="23" t="n"/>
      <c r="E730" s="23" t="n"/>
      <c r="F730" s="23" t="n"/>
      <c r="G730" s="25" t="n"/>
      <c r="H730" s="26">
        <f>IF(C730="","",C730&amp;"|"&amp;D730)</f>
        <v/>
      </c>
    </row>
    <row r="731">
      <c r="A731" s="23" t="n"/>
      <c r="B731" s="24" t="n"/>
      <c r="C731" s="23" t="n"/>
      <c r="D731" s="23" t="n"/>
      <c r="E731" s="23" t="n"/>
      <c r="F731" s="23" t="n"/>
      <c r="G731" s="25" t="n"/>
      <c r="H731" s="26">
        <f>IF(C731="","",C731&amp;"|"&amp;D731)</f>
        <v/>
      </c>
    </row>
    <row r="732">
      <c r="A732" s="23" t="n"/>
      <c r="B732" s="24" t="n"/>
      <c r="C732" s="23" t="n"/>
      <c r="D732" s="23" t="n"/>
      <c r="E732" s="23" t="n"/>
      <c r="F732" s="23" t="n"/>
      <c r="G732" s="25" t="n"/>
      <c r="H732" s="26">
        <f>IF(C732="","",C732&amp;"|"&amp;D732)</f>
        <v/>
      </c>
    </row>
    <row r="733">
      <c r="A733" s="23" t="n"/>
      <c r="B733" s="24" t="n"/>
      <c r="C733" s="23" t="n"/>
      <c r="D733" s="23" t="n"/>
      <c r="E733" s="23" t="n"/>
      <c r="F733" s="23" t="n"/>
      <c r="G733" s="25" t="n"/>
      <c r="H733" s="26">
        <f>IF(C733="","",C733&amp;"|"&amp;D733)</f>
        <v/>
      </c>
    </row>
    <row r="734">
      <c r="A734" s="23" t="n"/>
      <c r="B734" s="24" t="n"/>
      <c r="C734" s="23" t="n"/>
      <c r="D734" s="23" t="n"/>
      <c r="E734" s="23" t="n"/>
      <c r="F734" s="23" t="n"/>
      <c r="G734" s="25" t="n"/>
      <c r="H734" s="26">
        <f>IF(C734="","",C734&amp;"|"&amp;D734)</f>
        <v/>
      </c>
    </row>
    <row r="735">
      <c r="A735" s="23" t="n"/>
      <c r="B735" s="24" t="n"/>
      <c r="C735" s="23" t="n"/>
      <c r="D735" s="23" t="n"/>
      <c r="E735" s="23" t="n"/>
      <c r="F735" s="23" t="n"/>
      <c r="G735" s="25" t="n"/>
      <c r="H735" s="26">
        <f>IF(C735="","",C735&amp;"|"&amp;D735)</f>
        <v/>
      </c>
    </row>
    <row r="736">
      <c r="A736" s="23" t="n"/>
      <c r="B736" s="24" t="n"/>
      <c r="C736" s="23" t="n"/>
      <c r="D736" s="23" t="n"/>
      <c r="E736" s="23" t="n"/>
      <c r="F736" s="23" t="n"/>
      <c r="G736" s="25" t="n"/>
      <c r="H736" s="26">
        <f>IF(C736="","",C736&amp;"|"&amp;D736)</f>
        <v/>
      </c>
    </row>
    <row r="737">
      <c r="A737" s="23" t="n"/>
      <c r="B737" s="24" t="n"/>
      <c r="C737" s="23" t="n"/>
      <c r="D737" s="23" t="n"/>
      <c r="E737" s="23" t="n"/>
      <c r="F737" s="23" t="n"/>
      <c r="G737" s="25" t="n"/>
      <c r="H737" s="26">
        <f>IF(C737="","",C737&amp;"|"&amp;D737)</f>
        <v/>
      </c>
    </row>
    <row r="738">
      <c r="A738" s="23" t="n"/>
      <c r="B738" s="24" t="n"/>
      <c r="C738" s="23" t="n"/>
      <c r="D738" s="23" t="n"/>
      <c r="E738" s="23" t="n"/>
      <c r="F738" s="23" t="n"/>
      <c r="G738" s="25" t="n"/>
      <c r="H738" s="26">
        <f>IF(C738="","",C738&amp;"|"&amp;D738)</f>
        <v/>
      </c>
    </row>
    <row r="739">
      <c r="A739" s="23" t="n"/>
      <c r="B739" s="24" t="n"/>
      <c r="C739" s="23" t="n"/>
      <c r="D739" s="23" t="n"/>
      <c r="E739" s="23" t="n"/>
      <c r="F739" s="23" t="n"/>
      <c r="G739" s="25" t="n"/>
      <c r="H739" s="26">
        <f>IF(C739="","",C739&amp;"|"&amp;D739)</f>
        <v/>
      </c>
    </row>
    <row r="740">
      <c r="A740" s="23" t="n"/>
      <c r="B740" s="24" t="n"/>
      <c r="C740" s="23" t="n"/>
      <c r="D740" s="23" t="n"/>
      <c r="E740" s="23" t="n"/>
      <c r="F740" s="23" t="n"/>
      <c r="G740" s="25" t="n"/>
      <c r="H740" s="26">
        <f>IF(C740="","",C740&amp;"|"&amp;D740)</f>
        <v/>
      </c>
    </row>
    <row r="741">
      <c r="A741" s="23" t="n"/>
      <c r="B741" s="24" t="n"/>
      <c r="C741" s="23" t="n"/>
      <c r="D741" s="23" t="n"/>
      <c r="E741" s="23" t="n"/>
      <c r="F741" s="23" t="n"/>
      <c r="G741" s="25" t="n"/>
      <c r="H741" s="26">
        <f>IF(C741="","",C741&amp;"|"&amp;D741)</f>
        <v/>
      </c>
    </row>
    <row r="742">
      <c r="A742" s="23" t="n"/>
      <c r="B742" s="24" t="n"/>
      <c r="C742" s="23" t="n"/>
      <c r="D742" s="23" t="n"/>
      <c r="E742" s="23" t="n"/>
      <c r="F742" s="23" t="n"/>
      <c r="G742" s="25" t="n"/>
      <c r="H742" s="26">
        <f>IF(C742="","",C742&amp;"|"&amp;D742)</f>
        <v/>
      </c>
    </row>
    <row r="743">
      <c r="A743" s="23" t="n"/>
      <c r="B743" s="24" t="n"/>
      <c r="C743" s="23" t="n"/>
      <c r="D743" s="23" t="n"/>
      <c r="E743" s="23" t="n"/>
      <c r="F743" s="23" t="n"/>
      <c r="G743" s="25" t="n"/>
      <c r="H743" s="26">
        <f>IF(C743="","",C743&amp;"|"&amp;D743)</f>
        <v/>
      </c>
    </row>
    <row r="744">
      <c r="A744" s="23" t="n"/>
      <c r="B744" s="24" t="n"/>
      <c r="C744" s="23" t="n"/>
      <c r="D744" s="23" t="n"/>
      <c r="E744" s="23" t="n"/>
      <c r="F744" s="23" t="n"/>
      <c r="G744" s="25" t="n"/>
      <c r="H744" s="26">
        <f>IF(C744="","",C744&amp;"|"&amp;D744)</f>
        <v/>
      </c>
    </row>
    <row r="745">
      <c r="A745" s="23" t="n"/>
      <c r="B745" s="24" t="n"/>
      <c r="C745" s="23" t="n"/>
      <c r="D745" s="23" t="n"/>
      <c r="E745" s="23" t="n"/>
      <c r="F745" s="23" t="n"/>
      <c r="G745" s="25" t="n"/>
      <c r="H745" s="26">
        <f>IF(C745="","",C745&amp;"|"&amp;D745)</f>
        <v/>
      </c>
    </row>
    <row r="746">
      <c r="A746" s="23" t="n"/>
      <c r="B746" s="24" t="n"/>
      <c r="C746" s="23" t="n"/>
      <c r="D746" s="23" t="n"/>
      <c r="E746" s="23" t="n"/>
      <c r="F746" s="23" t="n"/>
      <c r="G746" s="25" t="n"/>
      <c r="H746" s="26">
        <f>IF(C746="","",C746&amp;"|"&amp;D746)</f>
        <v/>
      </c>
    </row>
    <row r="747">
      <c r="A747" s="23" t="n"/>
      <c r="B747" s="24" t="n"/>
      <c r="C747" s="23" t="n"/>
      <c r="D747" s="23" t="n"/>
      <c r="E747" s="23" t="n"/>
      <c r="F747" s="23" t="n"/>
      <c r="G747" s="25" t="n"/>
      <c r="H747" s="26">
        <f>IF(C747="","",C747&amp;"|"&amp;D747)</f>
        <v/>
      </c>
    </row>
    <row r="748">
      <c r="A748" s="23" t="n"/>
      <c r="B748" s="24" t="n"/>
      <c r="C748" s="23" t="n"/>
      <c r="D748" s="23" t="n"/>
      <c r="E748" s="23" t="n"/>
      <c r="F748" s="23" t="n"/>
      <c r="G748" s="25" t="n"/>
      <c r="H748" s="26">
        <f>IF(C748="","",C748&amp;"|"&amp;D748)</f>
        <v/>
      </c>
    </row>
    <row r="749">
      <c r="A749" s="23" t="n"/>
      <c r="B749" s="24" t="n"/>
      <c r="C749" s="23" t="n"/>
      <c r="D749" s="23" t="n"/>
      <c r="E749" s="23" t="n"/>
      <c r="F749" s="23" t="n"/>
      <c r="G749" s="25" t="n"/>
      <c r="H749" s="26">
        <f>IF(C749="","",C749&amp;"|"&amp;D749)</f>
        <v/>
      </c>
    </row>
    <row r="750">
      <c r="A750" s="23" t="n"/>
      <c r="B750" s="24" t="n"/>
      <c r="C750" s="23" t="n"/>
      <c r="D750" s="23" t="n"/>
      <c r="E750" s="23" t="n"/>
      <c r="F750" s="23" t="n"/>
      <c r="G750" s="25" t="n"/>
      <c r="H750" s="26">
        <f>IF(C750="","",C750&amp;"|"&amp;D750)</f>
        <v/>
      </c>
    </row>
    <row r="751">
      <c r="A751" s="23" t="n"/>
      <c r="B751" s="24" t="n"/>
      <c r="C751" s="23" t="n"/>
      <c r="D751" s="23" t="n"/>
      <c r="E751" s="23" t="n"/>
      <c r="F751" s="23" t="n"/>
      <c r="G751" s="25" t="n"/>
      <c r="H751" s="26">
        <f>IF(C751="","",C751&amp;"|"&amp;D751)</f>
        <v/>
      </c>
    </row>
    <row r="752">
      <c r="A752" s="23" t="n"/>
      <c r="B752" s="24" t="n"/>
      <c r="C752" s="23" t="n"/>
      <c r="D752" s="23" t="n"/>
      <c r="E752" s="23" t="n"/>
      <c r="F752" s="23" t="n"/>
      <c r="G752" s="25" t="n"/>
      <c r="H752" s="26">
        <f>IF(C752="","",C752&amp;"|"&amp;D752)</f>
        <v/>
      </c>
    </row>
    <row r="753">
      <c r="A753" s="23" t="n"/>
      <c r="B753" s="24" t="n"/>
      <c r="C753" s="23" t="n"/>
      <c r="D753" s="23" t="n"/>
      <c r="E753" s="23" t="n"/>
      <c r="F753" s="23" t="n"/>
      <c r="G753" s="25" t="n"/>
      <c r="H753" s="26">
        <f>IF(C753="","",C753&amp;"|"&amp;D753)</f>
        <v/>
      </c>
    </row>
    <row r="754">
      <c r="A754" s="23" t="n"/>
      <c r="B754" s="24" t="n"/>
      <c r="C754" s="23" t="n"/>
      <c r="D754" s="23" t="n"/>
      <c r="E754" s="23" t="n"/>
      <c r="F754" s="23" t="n"/>
      <c r="G754" s="25" t="n"/>
      <c r="H754" s="26">
        <f>IF(C754="","",C754&amp;"|"&amp;D754)</f>
        <v/>
      </c>
    </row>
    <row r="755">
      <c r="A755" s="23" t="n"/>
      <c r="B755" s="24" t="n"/>
      <c r="C755" s="23" t="n"/>
      <c r="D755" s="23" t="n"/>
      <c r="E755" s="23" t="n"/>
      <c r="F755" s="23" t="n"/>
      <c r="G755" s="25" t="n"/>
      <c r="H755" s="26">
        <f>IF(C755="","",C755&amp;"|"&amp;D755)</f>
        <v/>
      </c>
    </row>
    <row r="756">
      <c r="A756" s="23" t="n"/>
      <c r="B756" s="24" t="n"/>
      <c r="C756" s="23" t="n"/>
      <c r="D756" s="23" t="n"/>
      <c r="E756" s="23" t="n"/>
      <c r="F756" s="23" t="n"/>
      <c r="G756" s="25" t="n"/>
      <c r="H756" s="26">
        <f>IF(C756="","",C756&amp;"|"&amp;D756)</f>
        <v/>
      </c>
    </row>
    <row r="757">
      <c r="A757" s="23" t="n"/>
      <c r="B757" s="24" t="n"/>
      <c r="C757" s="23" t="n"/>
      <c r="D757" s="23" t="n"/>
      <c r="E757" s="23" t="n"/>
      <c r="F757" s="23" t="n"/>
      <c r="G757" s="25" t="n"/>
      <c r="H757" s="26">
        <f>IF(C757="","",C757&amp;"|"&amp;D757)</f>
        <v/>
      </c>
    </row>
    <row r="758">
      <c r="A758" s="23" t="n"/>
      <c r="B758" s="24" t="n"/>
      <c r="C758" s="23" t="n"/>
      <c r="D758" s="23" t="n"/>
      <c r="E758" s="23" t="n"/>
      <c r="F758" s="23" t="n"/>
      <c r="G758" s="25" t="n"/>
      <c r="H758" s="26">
        <f>IF(C758="","",C758&amp;"|"&amp;D758)</f>
        <v/>
      </c>
    </row>
    <row r="759">
      <c r="A759" s="23" t="n"/>
      <c r="B759" s="24" t="n"/>
      <c r="C759" s="23" t="n"/>
      <c r="D759" s="23" t="n"/>
      <c r="E759" s="23" t="n"/>
      <c r="F759" s="23" t="n"/>
      <c r="G759" s="25" t="n"/>
      <c r="H759" s="26">
        <f>IF(C759="","",C759&amp;"|"&amp;D759)</f>
        <v/>
      </c>
    </row>
    <row r="760">
      <c r="A760" s="23" t="n"/>
      <c r="B760" s="24" t="n"/>
      <c r="C760" s="23" t="n"/>
      <c r="D760" s="23" t="n"/>
      <c r="E760" s="23" t="n"/>
      <c r="F760" s="23" t="n"/>
      <c r="G760" s="25" t="n"/>
      <c r="H760" s="26">
        <f>IF(C760="","",C760&amp;"|"&amp;D760)</f>
        <v/>
      </c>
    </row>
    <row r="761">
      <c r="A761" s="23" t="n"/>
      <c r="B761" s="24" t="n"/>
      <c r="C761" s="23" t="n"/>
      <c r="D761" s="23" t="n"/>
      <c r="E761" s="23" t="n"/>
      <c r="F761" s="23" t="n"/>
      <c r="G761" s="25" t="n"/>
      <c r="H761" s="26">
        <f>IF(C761="","",C761&amp;"|"&amp;D761)</f>
        <v/>
      </c>
    </row>
    <row r="762">
      <c r="A762" s="23" t="n"/>
      <c r="B762" s="24" t="n"/>
      <c r="C762" s="23" t="n"/>
      <c r="D762" s="23" t="n"/>
      <c r="E762" s="23" t="n"/>
      <c r="F762" s="23" t="n"/>
      <c r="G762" s="25" t="n"/>
      <c r="H762" s="26">
        <f>IF(C762="","",C762&amp;"|"&amp;D762)</f>
        <v/>
      </c>
    </row>
    <row r="763">
      <c r="A763" s="23" t="n"/>
      <c r="B763" s="24" t="n"/>
      <c r="C763" s="23" t="n"/>
      <c r="D763" s="23" t="n"/>
      <c r="E763" s="23" t="n"/>
      <c r="F763" s="23" t="n"/>
      <c r="G763" s="25" t="n"/>
      <c r="H763" s="26">
        <f>IF(C763="","",C763&amp;"|"&amp;D763)</f>
        <v/>
      </c>
    </row>
    <row r="764">
      <c r="A764" s="23" t="n"/>
      <c r="B764" s="24" t="n"/>
      <c r="C764" s="23" t="n"/>
      <c r="D764" s="23" t="n"/>
      <c r="E764" s="23" t="n"/>
      <c r="F764" s="23" t="n"/>
      <c r="G764" s="25" t="n"/>
      <c r="H764" s="26">
        <f>IF(C764="","",C764&amp;"|"&amp;D764)</f>
        <v/>
      </c>
    </row>
    <row r="765">
      <c r="A765" s="23" t="n"/>
      <c r="B765" s="24" t="n"/>
      <c r="C765" s="23" t="n"/>
      <c r="D765" s="23" t="n"/>
      <c r="E765" s="23" t="n"/>
      <c r="F765" s="23" t="n"/>
      <c r="G765" s="25" t="n"/>
      <c r="H765" s="26">
        <f>IF(C765="","",C765&amp;"|"&amp;D765)</f>
        <v/>
      </c>
    </row>
    <row r="766">
      <c r="A766" s="23" t="n"/>
      <c r="B766" s="24" t="n"/>
      <c r="C766" s="23" t="n"/>
      <c r="D766" s="23" t="n"/>
      <c r="E766" s="23" t="n"/>
      <c r="F766" s="23" t="n"/>
      <c r="G766" s="25" t="n"/>
      <c r="H766" s="26">
        <f>IF(C766="","",C766&amp;"|"&amp;D766)</f>
        <v/>
      </c>
    </row>
    <row r="767">
      <c r="A767" s="23" t="n"/>
      <c r="B767" s="24" t="n"/>
      <c r="C767" s="23" t="n"/>
      <c r="D767" s="23" t="n"/>
      <c r="E767" s="23" t="n"/>
      <c r="F767" s="23" t="n"/>
      <c r="G767" s="25" t="n"/>
      <c r="H767" s="26">
        <f>IF(C767="","",C767&amp;"|"&amp;D767)</f>
        <v/>
      </c>
    </row>
    <row r="768">
      <c r="A768" s="23" t="n"/>
      <c r="B768" s="24" t="n"/>
      <c r="C768" s="23" t="n"/>
      <c r="D768" s="23" t="n"/>
      <c r="E768" s="23" t="n"/>
      <c r="F768" s="23" t="n"/>
      <c r="G768" s="25" t="n"/>
      <c r="H768" s="26">
        <f>IF(C768="","",C768&amp;"|"&amp;D768)</f>
        <v/>
      </c>
    </row>
    <row r="769">
      <c r="A769" s="23" t="n"/>
      <c r="B769" s="24" t="n"/>
      <c r="C769" s="23" t="n"/>
      <c r="D769" s="23" t="n"/>
      <c r="E769" s="23" t="n"/>
      <c r="F769" s="23" t="n"/>
      <c r="G769" s="25" t="n"/>
      <c r="H769" s="26">
        <f>IF(C769="","",C769&amp;"|"&amp;D769)</f>
        <v/>
      </c>
    </row>
    <row r="770">
      <c r="A770" s="23" t="n"/>
      <c r="B770" s="24" t="n"/>
      <c r="C770" s="23" t="n"/>
      <c r="D770" s="23" t="n"/>
      <c r="E770" s="23" t="n"/>
      <c r="F770" s="23" t="n"/>
      <c r="G770" s="25" t="n"/>
      <c r="H770" s="26">
        <f>IF(C770="","",C770&amp;"|"&amp;D770)</f>
        <v/>
      </c>
    </row>
    <row r="771">
      <c r="A771" s="23" t="n"/>
      <c r="B771" s="24" t="n"/>
      <c r="C771" s="23" t="n"/>
      <c r="D771" s="23" t="n"/>
      <c r="E771" s="23" t="n"/>
      <c r="F771" s="23" t="n"/>
      <c r="G771" s="25" t="n"/>
      <c r="H771" s="26">
        <f>IF(C771="","",C771&amp;"|"&amp;D771)</f>
        <v/>
      </c>
    </row>
    <row r="772">
      <c r="A772" s="23" t="n"/>
      <c r="B772" s="24" t="n"/>
      <c r="C772" s="23" t="n"/>
      <c r="D772" s="23" t="n"/>
      <c r="E772" s="23" t="n"/>
      <c r="F772" s="23" t="n"/>
      <c r="G772" s="25" t="n"/>
      <c r="H772" s="26">
        <f>IF(C772="","",C772&amp;"|"&amp;D772)</f>
        <v/>
      </c>
    </row>
    <row r="773">
      <c r="A773" s="23" t="n"/>
      <c r="B773" s="24" t="n"/>
      <c r="C773" s="23" t="n"/>
      <c r="D773" s="23" t="n"/>
      <c r="E773" s="23" t="n"/>
      <c r="F773" s="23" t="n"/>
      <c r="G773" s="25" t="n"/>
      <c r="H773" s="26">
        <f>IF(C773="","",C773&amp;"|"&amp;D773)</f>
        <v/>
      </c>
    </row>
    <row r="774">
      <c r="A774" s="23" t="n"/>
      <c r="B774" s="24" t="n"/>
      <c r="C774" s="23" t="n"/>
      <c r="D774" s="23" t="n"/>
      <c r="E774" s="23" t="n"/>
      <c r="F774" s="23" t="n"/>
      <c r="G774" s="25" t="n"/>
      <c r="H774" s="26">
        <f>IF(C774="","",C774&amp;"|"&amp;D774)</f>
        <v/>
      </c>
    </row>
    <row r="775">
      <c r="A775" s="23" t="n"/>
      <c r="B775" s="24" t="n"/>
      <c r="C775" s="23" t="n"/>
      <c r="D775" s="23" t="n"/>
      <c r="E775" s="23" t="n"/>
      <c r="F775" s="23" t="n"/>
      <c r="G775" s="25" t="n"/>
      <c r="H775" s="26">
        <f>IF(C775="","",C775&amp;"|"&amp;D775)</f>
        <v/>
      </c>
    </row>
    <row r="776">
      <c r="A776" s="23" t="n"/>
      <c r="B776" s="24" t="n"/>
      <c r="C776" s="23" t="n"/>
      <c r="D776" s="23" t="n"/>
      <c r="E776" s="23" t="n"/>
      <c r="F776" s="23" t="n"/>
      <c r="G776" s="25" t="n"/>
      <c r="H776" s="26">
        <f>IF(C776="","",C776&amp;"|"&amp;D776)</f>
        <v/>
      </c>
    </row>
    <row r="777">
      <c r="A777" s="23" t="n"/>
      <c r="B777" s="24" t="n"/>
      <c r="C777" s="23" t="n"/>
      <c r="D777" s="23" t="n"/>
      <c r="E777" s="23" t="n"/>
      <c r="F777" s="23" t="n"/>
      <c r="G777" s="25" t="n"/>
      <c r="H777" s="26">
        <f>IF(C777="","",C777&amp;"|"&amp;D777)</f>
        <v/>
      </c>
    </row>
    <row r="778">
      <c r="A778" s="23" t="n"/>
      <c r="B778" s="24" t="n"/>
      <c r="C778" s="23" t="n"/>
      <c r="D778" s="23" t="n"/>
      <c r="E778" s="23" t="n"/>
      <c r="F778" s="23" t="n"/>
      <c r="G778" s="25" t="n"/>
      <c r="H778" s="26">
        <f>IF(C778="","",C778&amp;"|"&amp;D778)</f>
        <v/>
      </c>
    </row>
    <row r="779">
      <c r="A779" s="23" t="n"/>
      <c r="B779" s="24" t="n"/>
      <c r="C779" s="23" t="n"/>
      <c r="D779" s="23" t="n"/>
      <c r="E779" s="23" t="n"/>
      <c r="F779" s="23" t="n"/>
      <c r="G779" s="25" t="n"/>
      <c r="H779" s="26">
        <f>IF(C779="","",C779&amp;"|"&amp;D779)</f>
        <v/>
      </c>
    </row>
    <row r="780">
      <c r="A780" s="23" t="n"/>
      <c r="B780" s="24" t="n"/>
      <c r="C780" s="23" t="n"/>
      <c r="D780" s="23" t="n"/>
      <c r="E780" s="23" t="n"/>
      <c r="F780" s="23" t="n"/>
      <c r="G780" s="25" t="n"/>
      <c r="H780" s="26">
        <f>IF(C780="","",C780&amp;"|"&amp;D780)</f>
        <v/>
      </c>
    </row>
    <row r="781">
      <c r="A781" s="23" t="n"/>
      <c r="B781" s="24" t="n"/>
      <c r="C781" s="23" t="n"/>
      <c r="D781" s="23" t="n"/>
      <c r="E781" s="23" t="n"/>
      <c r="F781" s="23" t="n"/>
      <c r="G781" s="25" t="n"/>
      <c r="H781" s="26">
        <f>IF(C781="","",C781&amp;"|"&amp;D781)</f>
        <v/>
      </c>
    </row>
    <row r="782">
      <c r="A782" s="23" t="n"/>
      <c r="B782" s="24" t="n"/>
      <c r="C782" s="23" t="n"/>
      <c r="D782" s="23" t="n"/>
      <c r="E782" s="23" t="n"/>
      <c r="F782" s="23" t="n"/>
      <c r="G782" s="25" t="n"/>
      <c r="H782" s="26">
        <f>IF(C782="","",C782&amp;"|"&amp;D782)</f>
        <v/>
      </c>
    </row>
    <row r="783">
      <c r="A783" s="23" t="n"/>
      <c r="B783" s="24" t="n"/>
      <c r="C783" s="23" t="n"/>
      <c r="D783" s="23" t="n"/>
      <c r="E783" s="23" t="n"/>
      <c r="F783" s="23" t="n"/>
      <c r="G783" s="25" t="n"/>
      <c r="H783" s="26">
        <f>IF(C783="","",C783&amp;"|"&amp;D783)</f>
        <v/>
      </c>
    </row>
    <row r="784">
      <c r="A784" s="23" t="n"/>
      <c r="B784" s="24" t="n"/>
      <c r="C784" s="23" t="n"/>
      <c r="D784" s="23" t="n"/>
      <c r="E784" s="23" t="n"/>
      <c r="F784" s="23" t="n"/>
      <c r="G784" s="25" t="n"/>
      <c r="H784" s="26">
        <f>IF(C784="","",C784&amp;"|"&amp;D784)</f>
        <v/>
      </c>
    </row>
    <row r="785">
      <c r="A785" s="23" t="n"/>
      <c r="B785" s="24" t="n"/>
      <c r="C785" s="23" t="n"/>
      <c r="D785" s="23" t="n"/>
      <c r="E785" s="23" t="n"/>
      <c r="F785" s="23" t="n"/>
      <c r="G785" s="25" t="n"/>
      <c r="H785" s="26">
        <f>IF(C785="","",C785&amp;"|"&amp;D785)</f>
        <v/>
      </c>
    </row>
    <row r="786">
      <c r="A786" s="23" t="n"/>
      <c r="B786" s="24" t="n"/>
      <c r="C786" s="23" t="n"/>
      <c r="D786" s="23" t="n"/>
      <c r="E786" s="23" t="n"/>
      <c r="F786" s="23" t="n"/>
      <c r="G786" s="25" t="n"/>
      <c r="H786" s="26">
        <f>IF(C786="","",C786&amp;"|"&amp;D786)</f>
        <v/>
      </c>
    </row>
    <row r="787">
      <c r="A787" s="23" t="n"/>
      <c r="B787" s="24" t="n"/>
      <c r="C787" s="23" t="n"/>
      <c r="D787" s="23" t="n"/>
      <c r="E787" s="23" t="n"/>
      <c r="F787" s="23" t="n"/>
      <c r="G787" s="25" t="n"/>
      <c r="H787" s="26">
        <f>IF(C787="","",C787&amp;"|"&amp;D787)</f>
        <v/>
      </c>
    </row>
    <row r="788">
      <c r="A788" s="23" t="n"/>
      <c r="B788" s="24" t="n"/>
      <c r="C788" s="23" t="n"/>
      <c r="D788" s="23" t="n"/>
      <c r="E788" s="23" t="n"/>
      <c r="F788" s="23" t="n"/>
      <c r="G788" s="25" t="n"/>
      <c r="H788" s="26">
        <f>IF(C788="","",C788&amp;"|"&amp;D788)</f>
        <v/>
      </c>
    </row>
    <row r="789">
      <c r="A789" s="23" t="n"/>
      <c r="B789" s="24" t="n"/>
      <c r="C789" s="23" t="n"/>
      <c r="D789" s="23" t="n"/>
      <c r="E789" s="23" t="n"/>
      <c r="F789" s="23" t="n"/>
      <c r="G789" s="25" t="n"/>
      <c r="H789" s="26">
        <f>IF(C789="","",C789&amp;"|"&amp;D789)</f>
        <v/>
      </c>
    </row>
    <row r="790">
      <c r="A790" s="23" t="n"/>
      <c r="B790" s="24" t="n"/>
      <c r="C790" s="23" t="n"/>
      <c r="D790" s="23" t="n"/>
      <c r="E790" s="23" t="n"/>
      <c r="F790" s="23" t="n"/>
      <c r="G790" s="25" t="n"/>
      <c r="H790" s="26">
        <f>IF(C790="","",C790&amp;"|"&amp;D790)</f>
        <v/>
      </c>
    </row>
    <row r="791">
      <c r="A791" s="23" t="n"/>
      <c r="B791" s="24" t="n"/>
      <c r="C791" s="23" t="n"/>
      <c r="D791" s="23" t="n"/>
      <c r="E791" s="23" t="n"/>
      <c r="F791" s="23" t="n"/>
      <c r="G791" s="25" t="n"/>
      <c r="H791" s="26">
        <f>IF(C791="","",C791&amp;"|"&amp;D791)</f>
        <v/>
      </c>
    </row>
    <row r="792">
      <c r="A792" s="23" t="n"/>
      <c r="B792" s="24" t="n"/>
      <c r="C792" s="23" t="n"/>
      <c r="D792" s="23" t="n"/>
      <c r="E792" s="23" t="n"/>
      <c r="F792" s="23" t="n"/>
      <c r="G792" s="25" t="n"/>
      <c r="H792" s="26">
        <f>IF(C792="","",C792&amp;"|"&amp;D792)</f>
        <v/>
      </c>
    </row>
    <row r="793">
      <c r="A793" s="23" t="n"/>
      <c r="B793" s="24" t="n"/>
      <c r="C793" s="23" t="n"/>
      <c r="D793" s="23" t="n"/>
      <c r="E793" s="23" t="n"/>
      <c r="F793" s="23" t="n"/>
      <c r="G793" s="25" t="n"/>
      <c r="H793" s="26">
        <f>IF(C793="","",C793&amp;"|"&amp;D793)</f>
        <v/>
      </c>
    </row>
    <row r="794">
      <c r="A794" s="23" t="n"/>
      <c r="B794" s="24" t="n"/>
      <c r="C794" s="23" t="n"/>
      <c r="D794" s="23" t="n"/>
      <c r="E794" s="23" t="n"/>
      <c r="F794" s="23" t="n"/>
      <c r="G794" s="25" t="n"/>
      <c r="H794" s="26">
        <f>IF(C794="","",C794&amp;"|"&amp;D794)</f>
        <v/>
      </c>
    </row>
    <row r="795">
      <c r="A795" s="23" t="n"/>
      <c r="B795" s="24" t="n"/>
      <c r="C795" s="23" t="n"/>
      <c r="D795" s="23" t="n"/>
      <c r="E795" s="23" t="n"/>
      <c r="F795" s="23" t="n"/>
      <c r="G795" s="25" t="n"/>
      <c r="H795" s="26">
        <f>IF(C795="","",C795&amp;"|"&amp;D795)</f>
        <v/>
      </c>
    </row>
    <row r="796">
      <c r="A796" s="23" t="n"/>
      <c r="B796" s="24" t="n"/>
      <c r="C796" s="23" t="n"/>
      <c r="D796" s="23" t="n"/>
      <c r="E796" s="23" t="n"/>
      <c r="F796" s="23" t="n"/>
      <c r="G796" s="25" t="n"/>
      <c r="H796" s="26">
        <f>IF(C796="","",C796&amp;"|"&amp;D796)</f>
        <v/>
      </c>
    </row>
    <row r="797">
      <c r="A797" s="23" t="n"/>
      <c r="B797" s="24" t="n"/>
      <c r="C797" s="23" t="n"/>
      <c r="D797" s="23" t="n"/>
      <c r="E797" s="23" t="n"/>
      <c r="F797" s="23" t="n"/>
      <c r="G797" s="25" t="n"/>
      <c r="H797" s="26">
        <f>IF(C797="","",C797&amp;"|"&amp;D797)</f>
        <v/>
      </c>
    </row>
    <row r="798">
      <c r="A798" s="23" t="n"/>
      <c r="B798" s="24" t="n"/>
      <c r="C798" s="23" t="n"/>
      <c r="D798" s="23" t="n"/>
      <c r="E798" s="23" t="n"/>
      <c r="F798" s="23" t="n"/>
      <c r="G798" s="25" t="n"/>
      <c r="H798" s="26">
        <f>IF(C798="","",C798&amp;"|"&amp;D798)</f>
        <v/>
      </c>
    </row>
    <row r="799">
      <c r="A799" s="23" t="n"/>
      <c r="B799" s="24" t="n"/>
      <c r="C799" s="23" t="n"/>
      <c r="D799" s="23" t="n"/>
      <c r="E799" s="23" t="n"/>
      <c r="F799" s="23" t="n"/>
      <c r="G799" s="25" t="n"/>
      <c r="H799" s="26">
        <f>IF(C799="","",C799&amp;"|"&amp;D799)</f>
        <v/>
      </c>
    </row>
    <row r="800">
      <c r="A800" s="23" t="n"/>
      <c r="B800" s="24" t="n"/>
      <c r="C800" s="23" t="n"/>
      <c r="D800" s="23" t="n"/>
      <c r="E800" s="23" t="n"/>
      <c r="F800" s="23" t="n"/>
      <c r="G800" s="25" t="n"/>
      <c r="H800" s="26">
        <f>IF(C800="","",C800&amp;"|"&amp;D800)</f>
        <v/>
      </c>
    </row>
    <row r="801">
      <c r="A801" s="23" t="n"/>
      <c r="B801" s="24" t="n"/>
      <c r="C801" s="23" t="n"/>
      <c r="D801" s="23" t="n"/>
      <c r="E801" s="23" t="n"/>
      <c r="F801" s="23" t="n"/>
      <c r="G801" s="25" t="n"/>
      <c r="H801" s="26">
        <f>IF(C801="","",C801&amp;"|"&amp;D801)</f>
        <v/>
      </c>
    </row>
    <row r="802">
      <c r="A802" s="23" t="n"/>
      <c r="B802" s="24" t="n"/>
      <c r="C802" s="23" t="n"/>
      <c r="D802" s="23" t="n"/>
      <c r="E802" s="23" t="n"/>
      <c r="F802" s="23" t="n"/>
      <c r="G802" s="25" t="n"/>
      <c r="H802" s="26">
        <f>IF(C802="","",C802&amp;"|"&amp;D802)</f>
        <v/>
      </c>
    </row>
    <row r="803">
      <c r="A803" s="23" t="n"/>
      <c r="B803" s="24" t="n"/>
      <c r="C803" s="23" t="n"/>
      <c r="D803" s="23" t="n"/>
      <c r="E803" s="23" t="n"/>
      <c r="F803" s="23" t="n"/>
      <c r="G803" s="25" t="n"/>
      <c r="H803" s="26">
        <f>IF(C803="","",C803&amp;"|"&amp;D803)</f>
        <v/>
      </c>
    </row>
    <row r="804">
      <c r="A804" s="23" t="n"/>
      <c r="B804" s="24" t="n"/>
      <c r="C804" s="23" t="n"/>
      <c r="D804" s="23" t="n"/>
      <c r="E804" s="23" t="n"/>
      <c r="F804" s="23" t="n"/>
      <c r="G804" s="25" t="n"/>
      <c r="H804" s="26">
        <f>IF(C804="","",C804&amp;"|"&amp;D804)</f>
        <v/>
      </c>
    </row>
    <row r="805">
      <c r="A805" s="23" t="n"/>
      <c r="B805" s="24" t="n"/>
      <c r="C805" s="23" t="n"/>
      <c r="D805" s="23" t="n"/>
      <c r="E805" s="23" t="n"/>
      <c r="F805" s="23" t="n"/>
      <c r="G805" s="25" t="n"/>
      <c r="H805" s="26">
        <f>IF(C805="","",C805&amp;"|"&amp;D805)</f>
        <v/>
      </c>
    </row>
    <row r="806">
      <c r="A806" s="23" t="n"/>
      <c r="B806" s="24" t="n"/>
      <c r="C806" s="23" t="n"/>
      <c r="D806" s="23" t="n"/>
      <c r="E806" s="23" t="n"/>
      <c r="F806" s="23" t="n"/>
      <c r="G806" s="25" t="n"/>
      <c r="H806" s="26">
        <f>IF(C806="","",C806&amp;"|"&amp;D806)</f>
        <v/>
      </c>
    </row>
    <row r="807">
      <c r="A807" s="23" t="n"/>
      <c r="B807" s="24" t="n"/>
      <c r="C807" s="23" t="n"/>
      <c r="D807" s="23" t="n"/>
      <c r="E807" s="23" t="n"/>
      <c r="F807" s="23" t="n"/>
      <c r="G807" s="25" t="n"/>
      <c r="H807" s="26">
        <f>IF(C807="","",C807&amp;"|"&amp;D807)</f>
        <v/>
      </c>
    </row>
    <row r="808">
      <c r="A808" s="23" t="n"/>
      <c r="B808" s="24" t="n"/>
      <c r="C808" s="23" t="n"/>
      <c r="D808" s="23" t="n"/>
      <c r="E808" s="23" t="n"/>
      <c r="F808" s="23" t="n"/>
      <c r="G808" s="25" t="n"/>
      <c r="H808" s="26">
        <f>IF(C808="","",C808&amp;"|"&amp;D808)</f>
        <v/>
      </c>
    </row>
    <row r="809">
      <c r="A809" s="23" t="n"/>
      <c r="B809" s="24" t="n"/>
      <c r="C809" s="23" t="n"/>
      <c r="D809" s="23" t="n"/>
      <c r="E809" s="23" t="n"/>
      <c r="F809" s="23" t="n"/>
      <c r="G809" s="25" t="n"/>
      <c r="H809" s="26">
        <f>IF(C809="","",C809&amp;"|"&amp;D809)</f>
        <v/>
      </c>
    </row>
    <row r="810">
      <c r="A810" s="23" t="n"/>
      <c r="B810" s="24" t="n"/>
      <c r="C810" s="23" t="n"/>
      <c r="D810" s="23" t="n"/>
      <c r="E810" s="23" t="n"/>
      <c r="F810" s="23" t="n"/>
      <c r="G810" s="25" t="n"/>
      <c r="H810" s="26">
        <f>IF(C810="","",C810&amp;"|"&amp;D810)</f>
        <v/>
      </c>
    </row>
    <row r="811">
      <c r="A811" s="23" t="n"/>
      <c r="B811" s="24" t="n"/>
      <c r="C811" s="23" t="n"/>
      <c r="D811" s="23" t="n"/>
      <c r="E811" s="23" t="n"/>
      <c r="F811" s="23" t="n"/>
      <c r="G811" s="25" t="n"/>
      <c r="H811" s="26">
        <f>IF(C811="","",C811&amp;"|"&amp;D811)</f>
        <v/>
      </c>
    </row>
    <row r="812">
      <c r="A812" s="23" t="n"/>
      <c r="B812" s="24" t="n"/>
      <c r="C812" s="23" t="n"/>
      <c r="D812" s="23" t="n"/>
      <c r="E812" s="23" t="n"/>
      <c r="F812" s="23" t="n"/>
      <c r="G812" s="25" t="n"/>
      <c r="H812" s="26">
        <f>IF(C812="","",C812&amp;"|"&amp;D812)</f>
        <v/>
      </c>
    </row>
    <row r="813">
      <c r="A813" s="23" t="n"/>
      <c r="B813" s="24" t="n"/>
      <c r="C813" s="23" t="n"/>
      <c r="D813" s="23" t="n"/>
      <c r="E813" s="23" t="n"/>
      <c r="F813" s="23" t="n"/>
      <c r="G813" s="25" t="n"/>
      <c r="H813" s="26">
        <f>IF(C813="","",C813&amp;"|"&amp;D813)</f>
        <v/>
      </c>
    </row>
    <row r="814">
      <c r="A814" s="23" t="n"/>
      <c r="B814" s="24" t="n"/>
      <c r="C814" s="23" t="n"/>
      <c r="D814" s="23" t="n"/>
      <c r="E814" s="23" t="n"/>
      <c r="F814" s="23" t="n"/>
      <c r="G814" s="25" t="n"/>
      <c r="H814" s="26">
        <f>IF(C814="","",C814&amp;"|"&amp;D814)</f>
        <v/>
      </c>
    </row>
    <row r="815">
      <c r="A815" s="23" t="n"/>
      <c r="B815" s="24" t="n"/>
      <c r="C815" s="23" t="n"/>
      <c r="D815" s="23" t="n"/>
      <c r="E815" s="23" t="n"/>
      <c r="F815" s="23" t="n"/>
      <c r="G815" s="25" t="n"/>
      <c r="H815" s="26">
        <f>IF(C815="","",C815&amp;"|"&amp;D815)</f>
        <v/>
      </c>
    </row>
    <row r="816">
      <c r="A816" s="23" t="n"/>
      <c r="B816" s="24" t="n"/>
      <c r="C816" s="23" t="n"/>
      <c r="D816" s="23" t="n"/>
      <c r="E816" s="23" t="n"/>
      <c r="F816" s="23" t="n"/>
      <c r="G816" s="25" t="n"/>
      <c r="H816" s="26">
        <f>IF(C816="","",C816&amp;"|"&amp;D816)</f>
        <v/>
      </c>
    </row>
    <row r="817">
      <c r="A817" s="23" t="n"/>
      <c r="B817" s="24" t="n"/>
      <c r="C817" s="23" t="n"/>
      <c r="D817" s="23" t="n"/>
      <c r="E817" s="23" t="n"/>
      <c r="F817" s="23" t="n"/>
      <c r="G817" s="25" t="n"/>
      <c r="H817" s="26">
        <f>IF(C817="","",C817&amp;"|"&amp;D817)</f>
        <v/>
      </c>
    </row>
    <row r="818">
      <c r="A818" s="23" t="n"/>
      <c r="B818" s="24" t="n"/>
      <c r="C818" s="23" t="n"/>
      <c r="D818" s="23" t="n"/>
      <c r="E818" s="23" t="n"/>
      <c r="F818" s="23" t="n"/>
      <c r="G818" s="25" t="n"/>
      <c r="H818" s="26">
        <f>IF(C818="","",C818&amp;"|"&amp;D818)</f>
        <v/>
      </c>
    </row>
    <row r="819">
      <c r="A819" s="23" t="n"/>
      <c r="B819" s="24" t="n"/>
      <c r="C819" s="23" t="n"/>
      <c r="D819" s="23" t="n"/>
      <c r="E819" s="23" t="n"/>
      <c r="F819" s="23" t="n"/>
      <c r="G819" s="25" t="n"/>
      <c r="H819" s="26">
        <f>IF(C819="","",C819&amp;"|"&amp;D819)</f>
        <v/>
      </c>
    </row>
    <row r="820">
      <c r="A820" s="23" t="n"/>
      <c r="B820" s="24" t="n"/>
      <c r="C820" s="23" t="n"/>
      <c r="D820" s="23" t="n"/>
      <c r="E820" s="23" t="n"/>
      <c r="F820" s="23" t="n"/>
      <c r="G820" s="25" t="n"/>
      <c r="H820" s="26">
        <f>IF(C820="","",C820&amp;"|"&amp;D820)</f>
        <v/>
      </c>
    </row>
    <row r="821">
      <c r="A821" s="23" t="n"/>
      <c r="B821" s="24" t="n"/>
      <c r="C821" s="23" t="n"/>
      <c r="D821" s="23" t="n"/>
      <c r="E821" s="23" t="n"/>
      <c r="F821" s="23" t="n"/>
      <c r="G821" s="25" t="n"/>
      <c r="H821" s="26">
        <f>IF(C821="","",C821&amp;"|"&amp;D821)</f>
        <v/>
      </c>
    </row>
    <row r="822">
      <c r="A822" s="23" t="n"/>
      <c r="B822" s="24" t="n"/>
      <c r="C822" s="23" t="n"/>
      <c r="D822" s="23" t="n"/>
      <c r="E822" s="23" t="n"/>
      <c r="F822" s="23" t="n"/>
      <c r="G822" s="25" t="n"/>
      <c r="H822" s="26">
        <f>IF(C822="","",C822&amp;"|"&amp;D822)</f>
        <v/>
      </c>
    </row>
    <row r="823">
      <c r="A823" s="23" t="n"/>
      <c r="B823" s="24" t="n"/>
      <c r="C823" s="23" t="n"/>
      <c r="D823" s="23" t="n"/>
      <c r="E823" s="23" t="n"/>
      <c r="F823" s="23" t="n"/>
      <c r="G823" s="25" t="n"/>
      <c r="H823" s="26">
        <f>IF(C823="","",C823&amp;"|"&amp;D823)</f>
        <v/>
      </c>
    </row>
    <row r="824">
      <c r="A824" s="23" t="n"/>
      <c r="B824" s="24" t="n"/>
      <c r="C824" s="23" t="n"/>
      <c r="D824" s="23" t="n"/>
      <c r="E824" s="23" t="n"/>
      <c r="F824" s="23" t="n"/>
      <c r="G824" s="25" t="n"/>
      <c r="H824" s="26">
        <f>IF(C824="","",C824&amp;"|"&amp;D824)</f>
        <v/>
      </c>
    </row>
    <row r="825">
      <c r="A825" s="23" t="n"/>
      <c r="B825" s="24" t="n"/>
      <c r="C825" s="23" t="n"/>
      <c r="D825" s="23" t="n"/>
      <c r="E825" s="23" t="n"/>
      <c r="F825" s="23" t="n"/>
      <c r="G825" s="25" t="n"/>
      <c r="H825" s="26">
        <f>IF(C825="","",C825&amp;"|"&amp;D825)</f>
        <v/>
      </c>
    </row>
    <row r="826">
      <c r="A826" s="23" t="n"/>
      <c r="B826" s="24" t="n"/>
      <c r="C826" s="23" t="n"/>
      <c r="D826" s="23" t="n"/>
      <c r="E826" s="23" t="n"/>
      <c r="F826" s="23" t="n"/>
      <c r="G826" s="25" t="n"/>
      <c r="H826" s="26">
        <f>IF(C826="","",C826&amp;"|"&amp;D826)</f>
        <v/>
      </c>
    </row>
    <row r="827">
      <c r="A827" s="23" t="n"/>
      <c r="B827" s="24" t="n"/>
      <c r="C827" s="23" t="n"/>
      <c r="D827" s="23" t="n"/>
      <c r="E827" s="23" t="n"/>
      <c r="F827" s="23" t="n"/>
      <c r="G827" s="25" t="n"/>
      <c r="H827" s="26">
        <f>IF(C827="","",C827&amp;"|"&amp;D827)</f>
        <v/>
      </c>
    </row>
    <row r="828">
      <c r="A828" s="23" t="n"/>
      <c r="B828" s="24" t="n"/>
      <c r="C828" s="23" t="n"/>
      <c r="D828" s="23" t="n"/>
      <c r="E828" s="23" t="n"/>
      <c r="F828" s="23" t="n"/>
      <c r="G828" s="25" t="n"/>
      <c r="H828" s="26">
        <f>IF(C828="","",C828&amp;"|"&amp;D828)</f>
        <v/>
      </c>
    </row>
    <row r="829">
      <c r="A829" s="23" t="n"/>
      <c r="B829" s="24" t="n"/>
      <c r="C829" s="23" t="n"/>
      <c r="D829" s="23" t="n"/>
      <c r="E829" s="23" t="n"/>
      <c r="F829" s="23" t="n"/>
      <c r="G829" s="25" t="n"/>
      <c r="H829" s="26">
        <f>IF(C829="","",C829&amp;"|"&amp;D829)</f>
        <v/>
      </c>
    </row>
    <row r="830">
      <c r="A830" s="23" t="n"/>
      <c r="B830" s="24" t="n"/>
      <c r="C830" s="23" t="n"/>
      <c r="D830" s="23" t="n"/>
      <c r="E830" s="23" t="n"/>
      <c r="F830" s="23" t="n"/>
      <c r="G830" s="25" t="n"/>
      <c r="H830" s="26">
        <f>IF(C830="","",C830&amp;"|"&amp;D830)</f>
        <v/>
      </c>
    </row>
    <row r="831">
      <c r="A831" s="23" t="n"/>
      <c r="B831" s="24" t="n"/>
      <c r="C831" s="23" t="n"/>
      <c r="D831" s="23" t="n"/>
      <c r="E831" s="23" t="n"/>
      <c r="F831" s="23" t="n"/>
      <c r="G831" s="25" t="n"/>
      <c r="H831" s="26">
        <f>IF(C831="","",C831&amp;"|"&amp;D831)</f>
        <v/>
      </c>
    </row>
    <row r="832">
      <c r="A832" s="23" t="n"/>
      <c r="B832" s="24" t="n"/>
      <c r="C832" s="23" t="n"/>
      <c r="D832" s="23" t="n"/>
      <c r="E832" s="23" t="n"/>
      <c r="F832" s="23" t="n"/>
      <c r="G832" s="25" t="n"/>
      <c r="H832" s="26">
        <f>IF(C832="","",C832&amp;"|"&amp;D832)</f>
        <v/>
      </c>
    </row>
    <row r="833">
      <c r="A833" s="23" t="n"/>
      <c r="B833" s="24" t="n"/>
      <c r="C833" s="23" t="n"/>
      <c r="D833" s="23" t="n"/>
      <c r="E833" s="23" t="n"/>
      <c r="F833" s="23" t="n"/>
      <c r="G833" s="25" t="n"/>
      <c r="H833" s="26">
        <f>IF(C833="","",C833&amp;"|"&amp;D833)</f>
        <v/>
      </c>
    </row>
    <row r="834">
      <c r="A834" s="23" t="n"/>
      <c r="B834" s="24" t="n"/>
      <c r="C834" s="23" t="n"/>
      <c r="D834" s="23" t="n"/>
      <c r="E834" s="23" t="n"/>
      <c r="F834" s="23" t="n"/>
      <c r="G834" s="25" t="n"/>
      <c r="H834" s="26">
        <f>IF(C834="","",C834&amp;"|"&amp;D834)</f>
        <v/>
      </c>
    </row>
    <row r="835">
      <c r="A835" s="23" t="n"/>
      <c r="B835" s="24" t="n"/>
      <c r="C835" s="23" t="n"/>
      <c r="D835" s="23" t="n"/>
      <c r="E835" s="23" t="n"/>
      <c r="F835" s="23" t="n"/>
      <c r="G835" s="25" t="n"/>
      <c r="H835" s="26">
        <f>IF(C835="","",C835&amp;"|"&amp;D835)</f>
        <v/>
      </c>
    </row>
    <row r="836">
      <c r="A836" s="23" t="n"/>
      <c r="B836" s="24" t="n"/>
      <c r="C836" s="23" t="n"/>
      <c r="D836" s="23" t="n"/>
      <c r="E836" s="23" t="n"/>
      <c r="F836" s="23" t="n"/>
      <c r="G836" s="25" t="n"/>
      <c r="H836" s="26">
        <f>IF(C836="","",C836&amp;"|"&amp;D836)</f>
        <v/>
      </c>
    </row>
    <row r="837">
      <c r="A837" s="23" t="n"/>
      <c r="B837" s="24" t="n"/>
      <c r="C837" s="23" t="n"/>
      <c r="D837" s="23" t="n"/>
      <c r="E837" s="23" t="n"/>
      <c r="F837" s="23" t="n"/>
      <c r="G837" s="25" t="n"/>
      <c r="H837" s="26">
        <f>IF(C837="","",C837&amp;"|"&amp;D837)</f>
        <v/>
      </c>
    </row>
    <row r="838">
      <c r="A838" s="23" t="n"/>
      <c r="B838" s="24" t="n"/>
      <c r="C838" s="23" t="n"/>
      <c r="D838" s="23" t="n"/>
      <c r="E838" s="23" t="n"/>
      <c r="F838" s="23" t="n"/>
      <c r="G838" s="25" t="n"/>
      <c r="H838" s="26">
        <f>IF(C838="","",C838&amp;"|"&amp;D838)</f>
        <v/>
      </c>
    </row>
    <row r="839">
      <c r="A839" s="23" t="n"/>
      <c r="B839" s="24" t="n"/>
      <c r="C839" s="23" t="n"/>
      <c r="D839" s="23" t="n"/>
      <c r="E839" s="23" t="n"/>
      <c r="F839" s="23" t="n"/>
      <c r="G839" s="25" t="n"/>
      <c r="H839" s="26">
        <f>IF(C839="","",C839&amp;"|"&amp;D839)</f>
        <v/>
      </c>
    </row>
    <row r="840">
      <c r="A840" s="23" t="n"/>
      <c r="B840" s="24" t="n"/>
      <c r="C840" s="23" t="n"/>
      <c r="D840" s="23" t="n"/>
      <c r="E840" s="23" t="n"/>
      <c r="F840" s="23" t="n"/>
      <c r="G840" s="25" t="n"/>
      <c r="H840" s="26">
        <f>IF(C840="","",C840&amp;"|"&amp;D840)</f>
        <v/>
      </c>
    </row>
    <row r="841">
      <c r="A841" s="23" t="n"/>
      <c r="B841" s="24" t="n"/>
      <c r="C841" s="23" t="n"/>
      <c r="D841" s="23" t="n"/>
      <c r="E841" s="23" t="n"/>
      <c r="F841" s="23" t="n"/>
      <c r="G841" s="25" t="n"/>
      <c r="H841" s="26">
        <f>IF(C841="","",C841&amp;"|"&amp;D841)</f>
        <v/>
      </c>
    </row>
    <row r="842">
      <c r="A842" s="23" t="n"/>
      <c r="B842" s="24" t="n"/>
      <c r="C842" s="23" t="n"/>
      <c r="D842" s="23" t="n"/>
      <c r="E842" s="23" t="n"/>
      <c r="F842" s="23" t="n"/>
      <c r="G842" s="25" t="n"/>
      <c r="H842" s="26">
        <f>IF(C842="","",C842&amp;"|"&amp;D842)</f>
        <v/>
      </c>
    </row>
    <row r="843">
      <c r="A843" s="23" t="n"/>
      <c r="B843" s="24" t="n"/>
      <c r="C843" s="23" t="n"/>
      <c r="D843" s="23" t="n"/>
      <c r="E843" s="23" t="n"/>
      <c r="F843" s="23" t="n"/>
      <c r="G843" s="25" t="n"/>
      <c r="H843" s="26">
        <f>IF(C843="","",C843&amp;"|"&amp;D843)</f>
        <v/>
      </c>
    </row>
    <row r="844">
      <c r="A844" s="23" t="n"/>
      <c r="B844" s="24" t="n"/>
      <c r="C844" s="23" t="n"/>
      <c r="D844" s="23" t="n"/>
      <c r="E844" s="23" t="n"/>
      <c r="F844" s="23" t="n"/>
      <c r="G844" s="25" t="n"/>
      <c r="H844" s="26">
        <f>IF(C844="","",C844&amp;"|"&amp;D844)</f>
        <v/>
      </c>
    </row>
    <row r="845">
      <c r="A845" s="23" t="n"/>
      <c r="B845" s="24" t="n"/>
      <c r="C845" s="23" t="n"/>
      <c r="D845" s="23" t="n"/>
      <c r="E845" s="23" t="n"/>
      <c r="F845" s="23" t="n"/>
      <c r="G845" s="25" t="n"/>
      <c r="H845" s="26">
        <f>IF(C845="","",C845&amp;"|"&amp;D845)</f>
        <v/>
      </c>
    </row>
    <row r="846">
      <c r="A846" s="23" t="n"/>
      <c r="B846" s="24" t="n"/>
      <c r="C846" s="23" t="n"/>
      <c r="D846" s="23" t="n"/>
      <c r="E846" s="23" t="n"/>
      <c r="F846" s="23" t="n"/>
      <c r="G846" s="25" t="n"/>
      <c r="H846" s="26">
        <f>IF(C846="","",C846&amp;"|"&amp;D846)</f>
        <v/>
      </c>
    </row>
    <row r="847">
      <c r="A847" s="23" t="n"/>
      <c r="B847" s="24" t="n"/>
      <c r="C847" s="23" t="n"/>
      <c r="D847" s="23" t="n"/>
      <c r="E847" s="23" t="n"/>
      <c r="F847" s="23" t="n"/>
      <c r="G847" s="25" t="n"/>
      <c r="H847" s="26">
        <f>IF(C847="","",C847&amp;"|"&amp;D847)</f>
        <v/>
      </c>
    </row>
    <row r="848">
      <c r="A848" s="23" t="n"/>
      <c r="B848" s="24" t="n"/>
      <c r="C848" s="23" t="n"/>
      <c r="D848" s="23" t="n"/>
      <c r="E848" s="23" t="n"/>
      <c r="F848" s="23" t="n"/>
      <c r="G848" s="25" t="n"/>
      <c r="H848" s="26">
        <f>IF(C848="","",C848&amp;"|"&amp;D848)</f>
        <v/>
      </c>
    </row>
    <row r="849">
      <c r="A849" s="23" t="n"/>
      <c r="B849" s="24" t="n"/>
      <c r="C849" s="23" t="n"/>
      <c r="D849" s="23" t="n"/>
      <c r="E849" s="23" t="n"/>
      <c r="F849" s="23" t="n"/>
      <c r="G849" s="25" t="n"/>
      <c r="H849" s="26">
        <f>IF(C849="","",C849&amp;"|"&amp;D849)</f>
        <v/>
      </c>
    </row>
    <row r="850">
      <c r="A850" s="23" t="n"/>
      <c r="B850" s="24" t="n"/>
      <c r="C850" s="23" t="n"/>
      <c r="D850" s="23" t="n"/>
      <c r="E850" s="23" t="n"/>
      <c r="F850" s="23" t="n"/>
      <c r="G850" s="25" t="n"/>
      <c r="H850" s="26">
        <f>IF(C850="","",C850&amp;"|"&amp;D850)</f>
        <v/>
      </c>
    </row>
    <row r="851">
      <c r="A851" s="23" t="n"/>
      <c r="B851" s="24" t="n"/>
      <c r="C851" s="23" t="n"/>
      <c r="D851" s="23" t="n"/>
      <c r="E851" s="23" t="n"/>
      <c r="F851" s="23" t="n"/>
      <c r="G851" s="25" t="n"/>
      <c r="H851" s="26">
        <f>IF(C851="","",C851&amp;"|"&amp;D851)</f>
        <v/>
      </c>
    </row>
    <row r="852">
      <c r="A852" s="23" t="n"/>
      <c r="B852" s="24" t="n"/>
      <c r="C852" s="23" t="n"/>
      <c r="D852" s="23" t="n"/>
      <c r="E852" s="23" t="n"/>
      <c r="F852" s="23" t="n"/>
      <c r="G852" s="25" t="n"/>
      <c r="H852" s="26">
        <f>IF(C852="","",C852&amp;"|"&amp;D852)</f>
        <v/>
      </c>
    </row>
    <row r="853">
      <c r="A853" s="23" t="n"/>
      <c r="B853" s="24" t="n"/>
      <c r="C853" s="23" t="n"/>
      <c r="D853" s="23" t="n"/>
      <c r="E853" s="23" t="n"/>
      <c r="F853" s="23" t="n"/>
      <c r="G853" s="25" t="n"/>
      <c r="H853" s="26">
        <f>IF(C853="","",C853&amp;"|"&amp;D853)</f>
        <v/>
      </c>
    </row>
    <row r="854">
      <c r="A854" s="23" t="n"/>
      <c r="B854" s="24" t="n"/>
      <c r="C854" s="23" t="n"/>
      <c r="D854" s="23" t="n"/>
      <c r="E854" s="23" t="n"/>
      <c r="F854" s="23" t="n"/>
      <c r="G854" s="25" t="n"/>
      <c r="H854" s="26">
        <f>IF(C854="","",C854&amp;"|"&amp;D854)</f>
        <v/>
      </c>
    </row>
    <row r="855">
      <c r="A855" s="23" t="n"/>
      <c r="B855" s="24" t="n"/>
      <c r="C855" s="23" t="n"/>
      <c r="D855" s="23" t="n"/>
      <c r="E855" s="23" t="n"/>
      <c r="F855" s="23" t="n"/>
      <c r="G855" s="25" t="n"/>
      <c r="H855" s="26">
        <f>IF(C855="","",C855&amp;"|"&amp;D855)</f>
        <v/>
      </c>
    </row>
    <row r="856">
      <c r="A856" s="23" t="n"/>
      <c r="B856" s="24" t="n"/>
      <c r="C856" s="23" t="n"/>
      <c r="D856" s="23" t="n"/>
      <c r="E856" s="23" t="n"/>
      <c r="F856" s="23" t="n"/>
      <c r="G856" s="25" t="n"/>
      <c r="H856" s="26">
        <f>IF(C856="","",C856&amp;"|"&amp;D856)</f>
        <v/>
      </c>
    </row>
    <row r="857">
      <c r="A857" s="23" t="n"/>
      <c r="B857" s="24" t="n"/>
      <c r="C857" s="23" t="n"/>
      <c r="D857" s="23" t="n"/>
      <c r="E857" s="23" t="n"/>
      <c r="F857" s="23" t="n"/>
      <c r="G857" s="25" t="n"/>
      <c r="H857" s="26">
        <f>IF(C857="","",C857&amp;"|"&amp;D857)</f>
        <v/>
      </c>
    </row>
    <row r="858">
      <c r="A858" s="23" t="n"/>
      <c r="B858" s="24" t="n"/>
      <c r="C858" s="23" t="n"/>
      <c r="D858" s="23" t="n"/>
      <c r="E858" s="23" t="n"/>
      <c r="F858" s="23" t="n"/>
      <c r="G858" s="25" t="n"/>
      <c r="H858" s="26">
        <f>IF(C858="","",C858&amp;"|"&amp;D858)</f>
        <v/>
      </c>
    </row>
    <row r="859">
      <c r="A859" s="23" t="n"/>
      <c r="B859" s="24" t="n"/>
      <c r="C859" s="23" t="n"/>
      <c r="D859" s="23" t="n"/>
      <c r="E859" s="23" t="n"/>
      <c r="F859" s="23" t="n"/>
      <c r="G859" s="25" t="n"/>
      <c r="H859" s="26">
        <f>IF(C859="","",C859&amp;"|"&amp;D859)</f>
        <v/>
      </c>
    </row>
    <row r="860">
      <c r="A860" s="23" t="n"/>
      <c r="B860" s="24" t="n"/>
      <c r="C860" s="23" t="n"/>
      <c r="D860" s="23" t="n"/>
      <c r="E860" s="23" t="n"/>
      <c r="F860" s="23" t="n"/>
      <c r="G860" s="25" t="n"/>
      <c r="H860" s="26">
        <f>IF(C860="","",C860&amp;"|"&amp;D860)</f>
        <v/>
      </c>
    </row>
    <row r="861">
      <c r="A861" s="23" t="n"/>
      <c r="B861" s="24" t="n"/>
      <c r="C861" s="23" t="n"/>
      <c r="D861" s="23" t="n"/>
      <c r="E861" s="23" t="n"/>
      <c r="F861" s="23" t="n"/>
      <c r="G861" s="25" t="n"/>
      <c r="H861" s="26">
        <f>IF(C861="","",C861&amp;"|"&amp;D861)</f>
        <v/>
      </c>
    </row>
    <row r="862">
      <c r="A862" s="23" t="n"/>
      <c r="B862" s="24" t="n"/>
      <c r="C862" s="23" t="n"/>
      <c r="D862" s="23" t="n"/>
      <c r="E862" s="23" t="n"/>
      <c r="F862" s="23" t="n"/>
      <c r="G862" s="25" t="n"/>
      <c r="H862" s="26">
        <f>IF(C862="","",C862&amp;"|"&amp;D862)</f>
        <v/>
      </c>
    </row>
    <row r="863">
      <c r="A863" s="23" t="n"/>
      <c r="B863" s="24" t="n"/>
      <c r="C863" s="23" t="n"/>
      <c r="D863" s="23" t="n"/>
      <c r="E863" s="23" t="n"/>
      <c r="F863" s="23" t="n"/>
      <c r="G863" s="25" t="n"/>
      <c r="H863" s="26">
        <f>IF(C863="","",C863&amp;"|"&amp;D863)</f>
        <v/>
      </c>
    </row>
    <row r="864">
      <c r="A864" s="23" t="n"/>
      <c r="B864" s="24" t="n"/>
      <c r="C864" s="23" t="n"/>
      <c r="D864" s="23" t="n"/>
      <c r="E864" s="23" t="n"/>
      <c r="F864" s="23" t="n"/>
      <c r="G864" s="25" t="n"/>
      <c r="H864" s="26">
        <f>IF(C864="","",C864&amp;"|"&amp;D864)</f>
        <v/>
      </c>
    </row>
    <row r="865">
      <c r="A865" s="23" t="n"/>
      <c r="B865" s="24" t="n"/>
      <c r="C865" s="23" t="n"/>
      <c r="D865" s="23" t="n"/>
      <c r="E865" s="23" t="n"/>
      <c r="F865" s="23" t="n"/>
      <c r="G865" s="25" t="n"/>
      <c r="H865" s="26">
        <f>IF(C865="","",C865&amp;"|"&amp;D865)</f>
        <v/>
      </c>
    </row>
    <row r="866">
      <c r="A866" s="23" t="n"/>
      <c r="B866" s="24" t="n"/>
      <c r="C866" s="23" t="n"/>
      <c r="D866" s="23" t="n"/>
      <c r="E866" s="23" t="n"/>
      <c r="F866" s="23" t="n"/>
      <c r="G866" s="25" t="n"/>
      <c r="H866" s="26">
        <f>IF(C866="","",C866&amp;"|"&amp;D866)</f>
        <v/>
      </c>
    </row>
    <row r="867">
      <c r="A867" s="23" t="n"/>
      <c r="B867" s="24" t="n"/>
      <c r="C867" s="23" t="n"/>
      <c r="D867" s="23" t="n"/>
      <c r="E867" s="23" t="n"/>
      <c r="F867" s="23" t="n"/>
      <c r="G867" s="25" t="n"/>
      <c r="H867" s="26">
        <f>IF(C867="","",C867&amp;"|"&amp;D867)</f>
        <v/>
      </c>
    </row>
    <row r="868">
      <c r="A868" s="23" t="n"/>
      <c r="B868" s="24" t="n"/>
      <c r="C868" s="23" t="n"/>
      <c r="D868" s="23" t="n"/>
      <c r="E868" s="23" t="n"/>
      <c r="F868" s="23" t="n"/>
      <c r="G868" s="25" t="n"/>
      <c r="H868" s="26">
        <f>IF(C868="","",C868&amp;"|"&amp;D868)</f>
        <v/>
      </c>
    </row>
    <row r="869">
      <c r="A869" s="23" t="n"/>
      <c r="B869" s="24" t="n"/>
      <c r="C869" s="23" t="n"/>
      <c r="D869" s="23" t="n"/>
      <c r="E869" s="23" t="n"/>
      <c r="F869" s="23" t="n"/>
      <c r="G869" s="25" t="n"/>
      <c r="H869" s="26">
        <f>IF(C869="","",C869&amp;"|"&amp;D869)</f>
        <v/>
      </c>
    </row>
    <row r="870">
      <c r="A870" s="23" t="n"/>
      <c r="B870" s="24" t="n"/>
      <c r="C870" s="23" t="n"/>
      <c r="D870" s="23" t="n"/>
      <c r="E870" s="23" t="n"/>
      <c r="F870" s="23" t="n"/>
      <c r="G870" s="25" t="n"/>
      <c r="H870" s="26">
        <f>IF(C870="","",C870&amp;"|"&amp;D870)</f>
        <v/>
      </c>
    </row>
    <row r="871">
      <c r="A871" s="23" t="n"/>
      <c r="B871" s="24" t="n"/>
      <c r="C871" s="23" t="n"/>
      <c r="D871" s="23" t="n"/>
      <c r="E871" s="23" t="n"/>
      <c r="F871" s="23" t="n"/>
      <c r="G871" s="25" t="n"/>
      <c r="H871" s="26">
        <f>IF(C871="","",C871&amp;"|"&amp;D871)</f>
        <v/>
      </c>
    </row>
    <row r="872">
      <c r="A872" s="23" t="n"/>
      <c r="B872" s="24" t="n"/>
      <c r="C872" s="23" t="n"/>
      <c r="D872" s="23" t="n"/>
      <c r="E872" s="23" t="n"/>
      <c r="F872" s="23" t="n"/>
      <c r="G872" s="25" t="n"/>
      <c r="H872" s="26">
        <f>IF(C872="","",C872&amp;"|"&amp;D872)</f>
        <v/>
      </c>
    </row>
    <row r="873">
      <c r="A873" s="23" t="n"/>
      <c r="B873" s="24" t="n"/>
      <c r="C873" s="23" t="n"/>
      <c r="D873" s="23" t="n"/>
      <c r="E873" s="23" t="n"/>
      <c r="F873" s="23" t="n"/>
      <c r="G873" s="25" t="n"/>
      <c r="H873" s="26">
        <f>IF(C873="","",C873&amp;"|"&amp;D873)</f>
        <v/>
      </c>
    </row>
    <row r="874">
      <c r="A874" s="23" t="n"/>
      <c r="B874" s="24" t="n"/>
      <c r="C874" s="23" t="n"/>
      <c r="D874" s="23" t="n"/>
      <c r="E874" s="23" t="n"/>
      <c r="F874" s="23" t="n"/>
      <c r="G874" s="25" t="n"/>
      <c r="H874" s="26">
        <f>IF(C874="","",C874&amp;"|"&amp;D874)</f>
        <v/>
      </c>
    </row>
    <row r="875">
      <c r="A875" s="23" t="n"/>
      <c r="B875" s="24" t="n"/>
      <c r="C875" s="23" t="n"/>
      <c r="D875" s="23" t="n"/>
      <c r="E875" s="23" t="n"/>
      <c r="F875" s="23" t="n"/>
      <c r="G875" s="25" t="n"/>
      <c r="H875" s="26">
        <f>IF(C875="","",C875&amp;"|"&amp;D875)</f>
        <v/>
      </c>
    </row>
    <row r="876">
      <c r="A876" s="23" t="n"/>
      <c r="B876" s="24" t="n"/>
      <c r="C876" s="23" t="n"/>
      <c r="D876" s="23" t="n"/>
      <c r="E876" s="23" t="n"/>
      <c r="F876" s="23" t="n"/>
      <c r="G876" s="25" t="n"/>
      <c r="H876" s="26">
        <f>IF(C876="","",C876&amp;"|"&amp;D876)</f>
        <v/>
      </c>
    </row>
    <row r="877">
      <c r="A877" s="23" t="n"/>
      <c r="B877" s="24" t="n"/>
      <c r="C877" s="23" t="n"/>
      <c r="D877" s="23" t="n"/>
      <c r="E877" s="23" t="n"/>
      <c r="F877" s="23" t="n"/>
      <c r="G877" s="25" t="n"/>
      <c r="H877" s="26">
        <f>IF(C877="","",C877&amp;"|"&amp;D877)</f>
        <v/>
      </c>
    </row>
    <row r="878">
      <c r="A878" s="23" t="n"/>
      <c r="B878" s="24" t="n"/>
      <c r="C878" s="23" t="n"/>
      <c r="D878" s="23" t="n"/>
      <c r="E878" s="23" t="n"/>
      <c r="F878" s="23" t="n"/>
      <c r="G878" s="25" t="n"/>
      <c r="H878" s="26">
        <f>IF(C878="","",C878&amp;"|"&amp;D878)</f>
        <v/>
      </c>
    </row>
    <row r="879">
      <c r="A879" s="23" t="n"/>
      <c r="B879" s="24" t="n"/>
      <c r="C879" s="23" t="n"/>
      <c r="D879" s="23" t="n"/>
      <c r="E879" s="23" t="n"/>
      <c r="F879" s="23" t="n"/>
      <c r="G879" s="25" t="n"/>
      <c r="H879" s="26">
        <f>IF(C879="","",C879&amp;"|"&amp;D879)</f>
        <v/>
      </c>
    </row>
    <row r="880">
      <c r="A880" s="23" t="n"/>
      <c r="B880" s="24" t="n"/>
      <c r="C880" s="23" t="n"/>
      <c r="D880" s="23" t="n"/>
      <c r="E880" s="23" t="n"/>
      <c r="F880" s="23" t="n"/>
      <c r="G880" s="25" t="n"/>
      <c r="H880" s="26">
        <f>IF(C880="","",C880&amp;"|"&amp;D880)</f>
        <v/>
      </c>
    </row>
    <row r="881">
      <c r="A881" s="23" t="n"/>
      <c r="B881" s="24" t="n"/>
      <c r="C881" s="23" t="n"/>
      <c r="D881" s="23" t="n"/>
      <c r="E881" s="23" t="n"/>
      <c r="F881" s="23" t="n"/>
      <c r="G881" s="25" t="n"/>
      <c r="H881" s="26">
        <f>IF(C881="","",C881&amp;"|"&amp;D881)</f>
        <v/>
      </c>
    </row>
    <row r="882">
      <c r="A882" s="23" t="n"/>
      <c r="B882" s="24" t="n"/>
      <c r="C882" s="23" t="n"/>
      <c r="D882" s="23" t="n"/>
      <c r="E882" s="23" t="n"/>
      <c r="F882" s="23" t="n"/>
      <c r="G882" s="25" t="n"/>
      <c r="H882" s="26">
        <f>IF(C882="","",C882&amp;"|"&amp;D882)</f>
        <v/>
      </c>
    </row>
    <row r="883">
      <c r="A883" s="23" t="n"/>
      <c r="B883" s="24" t="n"/>
      <c r="C883" s="23" t="n"/>
      <c r="D883" s="23" t="n"/>
      <c r="E883" s="23" t="n"/>
      <c r="F883" s="23" t="n"/>
      <c r="G883" s="25" t="n"/>
      <c r="H883" s="26">
        <f>IF(C883="","",C883&amp;"|"&amp;D883)</f>
        <v/>
      </c>
    </row>
    <row r="884">
      <c r="A884" s="23" t="n"/>
      <c r="B884" s="24" t="n"/>
      <c r="C884" s="23" t="n"/>
      <c r="D884" s="23" t="n"/>
      <c r="E884" s="23" t="n"/>
      <c r="F884" s="23" t="n"/>
      <c r="G884" s="25" t="n"/>
      <c r="H884" s="26">
        <f>IF(C884="","",C884&amp;"|"&amp;D884)</f>
        <v/>
      </c>
    </row>
    <row r="885">
      <c r="A885" s="23" t="n"/>
      <c r="B885" s="24" t="n"/>
      <c r="C885" s="23" t="n"/>
      <c r="D885" s="23" t="n"/>
      <c r="E885" s="23" t="n"/>
      <c r="F885" s="23" t="n"/>
      <c r="G885" s="25" t="n"/>
      <c r="H885" s="26">
        <f>IF(C885="","",C885&amp;"|"&amp;D885)</f>
        <v/>
      </c>
    </row>
    <row r="886">
      <c r="A886" s="23" t="n"/>
      <c r="B886" s="24" t="n"/>
      <c r="C886" s="23" t="n"/>
      <c r="D886" s="23" t="n"/>
      <c r="E886" s="23" t="n"/>
      <c r="F886" s="23" t="n"/>
      <c r="G886" s="25" t="n"/>
      <c r="H886" s="26">
        <f>IF(C886="","",C886&amp;"|"&amp;D886)</f>
        <v/>
      </c>
    </row>
    <row r="887">
      <c r="A887" s="23" t="n"/>
      <c r="B887" s="24" t="n"/>
      <c r="C887" s="23" t="n"/>
      <c r="D887" s="23" t="n"/>
      <c r="E887" s="23" t="n"/>
      <c r="F887" s="23" t="n"/>
      <c r="G887" s="25" t="n"/>
      <c r="H887" s="26">
        <f>IF(C887="","",C887&amp;"|"&amp;D887)</f>
        <v/>
      </c>
    </row>
    <row r="888">
      <c r="A888" s="23" t="n"/>
      <c r="B888" s="24" t="n"/>
      <c r="C888" s="23" t="n"/>
      <c r="D888" s="23" t="n"/>
      <c r="E888" s="23" t="n"/>
      <c r="F888" s="23" t="n"/>
      <c r="G888" s="25" t="n"/>
      <c r="H888" s="26">
        <f>IF(C888="","",C888&amp;"|"&amp;D888)</f>
        <v/>
      </c>
    </row>
    <row r="889">
      <c r="A889" s="23" t="n"/>
      <c r="B889" s="24" t="n"/>
      <c r="C889" s="23" t="n"/>
      <c r="D889" s="23" t="n"/>
      <c r="E889" s="23" t="n"/>
      <c r="F889" s="23" t="n"/>
      <c r="G889" s="25" t="n"/>
      <c r="H889" s="26">
        <f>IF(C889="","",C889&amp;"|"&amp;D889)</f>
        <v/>
      </c>
    </row>
    <row r="890">
      <c r="A890" s="23" t="n"/>
      <c r="B890" s="24" t="n"/>
      <c r="C890" s="23" t="n"/>
      <c r="D890" s="23" t="n"/>
      <c r="E890" s="23" t="n"/>
      <c r="F890" s="23" t="n"/>
      <c r="G890" s="25" t="n"/>
      <c r="H890" s="26">
        <f>IF(C890="","",C890&amp;"|"&amp;D890)</f>
        <v/>
      </c>
    </row>
    <row r="891">
      <c r="A891" s="23" t="n"/>
      <c r="B891" s="24" t="n"/>
      <c r="C891" s="23" t="n"/>
      <c r="D891" s="23" t="n"/>
      <c r="E891" s="23" t="n"/>
      <c r="F891" s="23" t="n"/>
      <c r="G891" s="25" t="n"/>
      <c r="H891" s="26">
        <f>IF(C891="","",C891&amp;"|"&amp;D891)</f>
        <v/>
      </c>
    </row>
    <row r="892">
      <c r="A892" s="23" t="n"/>
      <c r="B892" s="24" t="n"/>
      <c r="C892" s="23" t="n"/>
      <c r="D892" s="23" t="n"/>
      <c r="E892" s="23" t="n"/>
      <c r="F892" s="23" t="n"/>
      <c r="G892" s="25" t="n"/>
      <c r="H892" s="26">
        <f>IF(C892="","",C892&amp;"|"&amp;D892)</f>
        <v/>
      </c>
    </row>
    <row r="893">
      <c r="A893" s="23" t="n"/>
      <c r="B893" s="24" t="n"/>
      <c r="C893" s="23" t="n"/>
      <c r="D893" s="23" t="n"/>
      <c r="E893" s="23" t="n"/>
      <c r="F893" s="23" t="n"/>
      <c r="G893" s="25" t="n"/>
      <c r="H893" s="26">
        <f>IF(C893="","",C893&amp;"|"&amp;D893)</f>
        <v/>
      </c>
    </row>
    <row r="894">
      <c r="A894" s="23" t="n"/>
      <c r="B894" s="24" t="n"/>
      <c r="C894" s="23" t="n"/>
      <c r="D894" s="23" t="n"/>
      <c r="E894" s="23" t="n"/>
      <c r="F894" s="23" t="n"/>
      <c r="G894" s="25" t="n"/>
      <c r="H894" s="26">
        <f>IF(C894="","",C894&amp;"|"&amp;D894)</f>
        <v/>
      </c>
    </row>
    <row r="895">
      <c r="A895" s="23" t="n"/>
      <c r="B895" s="24" t="n"/>
      <c r="C895" s="23" t="n"/>
      <c r="D895" s="23" t="n"/>
      <c r="E895" s="23" t="n"/>
      <c r="F895" s="23" t="n"/>
      <c r="G895" s="25" t="n"/>
      <c r="H895" s="26">
        <f>IF(C895="","",C895&amp;"|"&amp;D895)</f>
        <v/>
      </c>
    </row>
    <row r="896">
      <c r="A896" s="23" t="n"/>
      <c r="B896" s="24" t="n"/>
      <c r="C896" s="23" t="n"/>
      <c r="D896" s="23" t="n"/>
      <c r="E896" s="23" t="n"/>
      <c r="F896" s="23" t="n"/>
      <c r="G896" s="25" t="n"/>
      <c r="H896" s="26">
        <f>IF(C896="","",C896&amp;"|"&amp;D896)</f>
        <v/>
      </c>
    </row>
    <row r="897">
      <c r="A897" s="23" t="n"/>
      <c r="B897" s="24" t="n"/>
      <c r="C897" s="23" t="n"/>
      <c r="D897" s="23" t="n"/>
      <c r="E897" s="23" t="n"/>
      <c r="F897" s="23" t="n"/>
      <c r="G897" s="25" t="n"/>
      <c r="H897" s="26">
        <f>IF(C897="","",C897&amp;"|"&amp;D897)</f>
        <v/>
      </c>
    </row>
    <row r="898">
      <c r="A898" s="23" t="n"/>
      <c r="B898" s="24" t="n"/>
      <c r="C898" s="23" t="n"/>
      <c r="D898" s="23" t="n"/>
      <c r="E898" s="23" t="n"/>
      <c r="F898" s="23" t="n"/>
      <c r="G898" s="25" t="n"/>
      <c r="H898" s="26">
        <f>IF(C898="","",C898&amp;"|"&amp;D898)</f>
        <v/>
      </c>
    </row>
    <row r="899">
      <c r="A899" s="23" t="n"/>
      <c r="B899" s="24" t="n"/>
      <c r="C899" s="23" t="n"/>
      <c r="D899" s="23" t="n"/>
      <c r="E899" s="23" t="n"/>
      <c r="F899" s="23" t="n"/>
      <c r="G899" s="25" t="n"/>
      <c r="H899" s="26">
        <f>IF(C899="","",C899&amp;"|"&amp;D899)</f>
        <v/>
      </c>
    </row>
    <row r="900">
      <c r="A900" s="23" t="n"/>
      <c r="B900" s="24" t="n"/>
      <c r="C900" s="23" t="n"/>
      <c r="D900" s="23" t="n"/>
      <c r="E900" s="23" t="n"/>
      <c r="F900" s="23" t="n"/>
      <c r="G900" s="25" t="n"/>
      <c r="H900" s="26">
        <f>IF(C900="","",C900&amp;"|"&amp;D900)</f>
        <v/>
      </c>
    </row>
    <row r="901">
      <c r="A901" s="23" t="n"/>
      <c r="B901" s="24" t="n"/>
      <c r="C901" s="23" t="n"/>
      <c r="D901" s="23" t="n"/>
      <c r="E901" s="23" t="n"/>
      <c r="F901" s="23" t="n"/>
      <c r="G901" s="25" t="n"/>
      <c r="H901" s="26">
        <f>IF(C901="","",C901&amp;"|"&amp;D901)</f>
        <v/>
      </c>
    </row>
    <row r="902">
      <c r="A902" s="23" t="n"/>
      <c r="B902" s="24" t="n"/>
      <c r="C902" s="23" t="n"/>
      <c r="D902" s="23" t="n"/>
      <c r="E902" s="23" t="n"/>
      <c r="F902" s="23" t="n"/>
      <c r="G902" s="25" t="n"/>
      <c r="H902" s="26">
        <f>IF(C902="","",C902&amp;"|"&amp;D902)</f>
        <v/>
      </c>
    </row>
    <row r="903">
      <c r="A903" s="23" t="n"/>
      <c r="B903" s="24" t="n"/>
      <c r="C903" s="23" t="n"/>
      <c r="D903" s="23" t="n"/>
      <c r="E903" s="23" t="n"/>
      <c r="F903" s="23" t="n"/>
      <c r="G903" s="25" t="n"/>
      <c r="H903" s="26">
        <f>IF(C903="","",C903&amp;"|"&amp;D903)</f>
        <v/>
      </c>
    </row>
    <row r="904">
      <c r="A904" s="23" t="n"/>
      <c r="B904" s="24" t="n"/>
      <c r="C904" s="23" t="n"/>
      <c r="D904" s="23" t="n"/>
      <c r="E904" s="23" t="n"/>
      <c r="F904" s="23" t="n"/>
      <c r="G904" s="25" t="n"/>
      <c r="H904" s="26">
        <f>IF(C904="","",C904&amp;"|"&amp;D904)</f>
        <v/>
      </c>
    </row>
    <row r="905">
      <c r="A905" s="23" t="n"/>
      <c r="B905" s="24" t="n"/>
      <c r="C905" s="23" t="n"/>
      <c r="D905" s="23" t="n"/>
      <c r="E905" s="23" t="n"/>
      <c r="F905" s="23" t="n"/>
      <c r="G905" s="25" t="n"/>
      <c r="H905" s="26">
        <f>IF(C905="","",C905&amp;"|"&amp;D905)</f>
        <v/>
      </c>
    </row>
    <row r="906">
      <c r="A906" s="23" t="n"/>
      <c r="B906" s="24" t="n"/>
      <c r="C906" s="23" t="n"/>
      <c r="D906" s="23" t="n"/>
      <c r="E906" s="23" t="n"/>
      <c r="F906" s="23" t="n"/>
      <c r="G906" s="25" t="n"/>
      <c r="H906" s="26">
        <f>IF(C906="","",C906&amp;"|"&amp;D906)</f>
        <v/>
      </c>
    </row>
    <row r="907">
      <c r="A907" s="23" t="n"/>
      <c r="B907" s="24" t="n"/>
      <c r="C907" s="23" t="n"/>
      <c r="D907" s="23" t="n"/>
      <c r="E907" s="23" t="n"/>
      <c r="F907" s="23" t="n"/>
      <c r="G907" s="25" t="n"/>
      <c r="H907" s="26">
        <f>IF(C907="","",C907&amp;"|"&amp;D907)</f>
        <v/>
      </c>
    </row>
    <row r="908">
      <c r="A908" s="23" t="n"/>
      <c r="B908" s="24" t="n"/>
      <c r="C908" s="23" t="n"/>
      <c r="D908" s="23" t="n"/>
      <c r="E908" s="23" t="n"/>
      <c r="F908" s="23" t="n"/>
      <c r="G908" s="25" t="n"/>
      <c r="H908" s="26">
        <f>IF(C908="","",C908&amp;"|"&amp;D908)</f>
        <v/>
      </c>
    </row>
    <row r="909">
      <c r="A909" s="23" t="n"/>
      <c r="B909" s="24" t="n"/>
      <c r="C909" s="23" t="n"/>
      <c r="D909" s="23" t="n"/>
      <c r="E909" s="23" t="n"/>
      <c r="F909" s="23" t="n"/>
      <c r="G909" s="25" t="n"/>
      <c r="H909" s="26">
        <f>IF(C909="","",C909&amp;"|"&amp;D909)</f>
        <v/>
      </c>
    </row>
    <row r="910">
      <c r="A910" s="23" t="n"/>
      <c r="B910" s="24" t="n"/>
      <c r="C910" s="23" t="n"/>
      <c r="D910" s="23" t="n"/>
      <c r="E910" s="23" t="n"/>
      <c r="F910" s="23" t="n"/>
      <c r="G910" s="25" t="n"/>
      <c r="H910" s="26">
        <f>IF(C910="","",C910&amp;"|"&amp;D910)</f>
        <v/>
      </c>
    </row>
    <row r="911">
      <c r="A911" s="23" t="n"/>
      <c r="B911" s="24" t="n"/>
      <c r="C911" s="23" t="n"/>
      <c r="D911" s="23" t="n"/>
      <c r="E911" s="23" t="n"/>
      <c r="F911" s="23" t="n"/>
      <c r="G911" s="25" t="n"/>
      <c r="H911" s="26">
        <f>IF(C911="","",C911&amp;"|"&amp;D911)</f>
        <v/>
      </c>
    </row>
    <row r="912">
      <c r="A912" s="23" t="n"/>
      <c r="B912" s="24" t="n"/>
      <c r="C912" s="23" t="n"/>
      <c r="D912" s="23" t="n"/>
      <c r="E912" s="23" t="n"/>
      <c r="F912" s="23" t="n"/>
      <c r="G912" s="25" t="n"/>
      <c r="H912" s="26">
        <f>IF(C912="","",C912&amp;"|"&amp;D912)</f>
        <v/>
      </c>
    </row>
    <row r="913">
      <c r="A913" s="23" t="n"/>
      <c r="B913" s="24" t="n"/>
      <c r="C913" s="23" t="n"/>
      <c r="D913" s="23" t="n"/>
      <c r="E913" s="23" t="n"/>
      <c r="F913" s="23" t="n"/>
      <c r="G913" s="25" t="n"/>
      <c r="H913" s="26">
        <f>IF(C913="","",C913&amp;"|"&amp;D913)</f>
        <v/>
      </c>
    </row>
    <row r="914">
      <c r="A914" s="23" t="n"/>
      <c r="B914" s="24" t="n"/>
      <c r="C914" s="23" t="n"/>
      <c r="D914" s="23" t="n"/>
      <c r="E914" s="23" t="n"/>
      <c r="F914" s="23" t="n"/>
      <c r="G914" s="25" t="n"/>
      <c r="H914" s="26">
        <f>IF(C914="","",C914&amp;"|"&amp;D914)</f>
        <v/>
      </c>
    </row>
    <row r="915">
      <c r="A915" s="23" t="n"/>
      <c r="B915" s="24" t="n"/>
      <c r="C915" s="23" t="n"/>
      <c r="D915" s="23" t="n"/>
      <c r="E915" s="23" t="n"/>
      <c r="F915" s="23" t="n"/>
      <c r="G915" s="25" t="n"/>
      <c r="H915" s="26">
        <f>IF(C915="","",C915&amp;"|"&amp;D915)</f>
        <v/>
      </c>
    </row>
    <row r="916">
      <c r="A916" s="23" t="n"/>
      <c r="B916" s="24" t="n"/>
      <c r="C916" s="23" t="n"/>
      <c r="D916" s="23" t="n"/>
      <c r="E916" s="23" t="n"/>
      <c r="F916" s="23" t="n"/>
      <c r="G916" s="25" t="n"/>
      <c r="H916" s="26">
        <f>IF(C916="","",C916&amp;"|"&amp;D916)</f>
        <v/>
      </c>
    </row>
    <row r="917">
      <c r="A917" s="23" t="n"/>
      <c r="B917" s="24" t="n"/>
      <c r="C917" s="23" t="n"/>
      <c r="D917" s="23" t="n"/>
      <c r="E917" s="23" t="n"/>
      <c r="F917" s="23" t="n"/>
      <c r="G917" s="25" t="n"/>
      <c r="H917" s="26">
        <f>IF(C917="","",C917&amp;"|"&amp;D917)</f>
        <v/>
      </c>
    </row>
    <row r="918">
      <c r="A918" s="23" t="n"/>
      <c r="B918" s="24" t="n"/>
      <c r="C918" s="23" t="n"/>
      <c r="D918" s="23" t="n"/>
      <c r="E918" s="23" t="n"/>
      <c r="F918" s="23" t="n"/>
      <c r="G918" s="25" t="n"/>
      <c r="H918" s="26">
        <f>IF(C918="","",C918&amp;"|"&amp;D918)</f>
        <v/>
      </c>
    </row>
    <row r="919">
      <c r="A919" s="23" t="n"/>
      <c r="B919" s="24" t="n"/>
      <c r="C919" s="23" t="n"/>
      <c r="D919" s="23" t="n"/>
      <c r="E919" s="23" t="n"/>
      <c r="F919" s="23" t="n"/>
      <c r="G919" s="25" t="n"/>
      <c r="H919" s="26">
        <f>IF(C919="","",C919&amp;"|"&amp;D919)</f>
        <v/>
      </c>
    </row>
    <row r="920">
      <c r="A920" s="23" t="n"/>
      <c r="B920" s="24" t="n"/>
      <c r="C920" s="23" t="n"/>
      <c r="D920" s="23" t="n"/>
      <c r="E920" s="23" t="n"/>
      <c r="F920" s="23" t="n"/>
      <c r="G920" s="25" t="n"/>
      <c r="H920" s="26">
        <f>IF(C920="","",C920&amp;"|"&amp;D920)</f>
        <v/>
      </c>
    </row>
    <row r="921">
      <c r="A921" s="23" t="n"/>
      <c r="B921" s="24" t="n"/>
      <c r="C921" s="23" t="n"/>
      <c r="D921" s="23" t="n"/>
      <c r="E921" s="23" t="n"/>
      <c r="F921" s="23" t="n"/>
      <c r="G921" s="25" t="n"/>
      <c r="H921" s="26">
        <f>IF(C921="","",C921&amp;"|"&amp;D921)</f>
        <v/>
      </c>
    </row>
    <row r="922">
      <c r="A922" s="23" t="n"/>
      <c r="B922" s="24" t="n"/>
      <c r="C922" s="23" t="n"/>
      <c r="D922" s="23" t="n"/>
      <c r="E922" s="23" t="n"/>
      <c r="F922" s="23" t="n"/>
      <c r="G922" s="25" t="n"/>
      <c r="H922" s="26">
        <f>IF(C922="","",C922&amp;"|"&amp;D922)</f>
        <v/>
      </c>
    </row>
    <row r="923">
      <c r="A923" s="23" t="n"/>
      <c r="B923" s="24" t="n"/>
      <c r="C923" s="23" t="n"/>
      <c r="D923" s="23" t="n"/>
      <c r="E923" s="23" t="n"/>
      <c r="F923" s="23" t="n"/>
      <c r="G923" s="25" t="n"/>
      <c r="H923" s="26">
        <f>IF(C923="","",C923&amp;"|"&amp;D923)</f>
        <v/>
      </c>
    </row>
    <row r="924">
      <c r="A924" s="23" t="n"/>
      <c r="B924" s="24" t="n"/>
      <c r="C924" s="23" t="n"/>
      <c r="D924" s="23" t="n"/>
      <c r="E924" s="23" t="n"/>
      <c r="F924" s="23" t="n"/>
      <c r="G924" s="25" t="n"/>
      <c r="H924" s="26">
        <f>IF(C924="","",C924&amp;"|"&amp;D924)</f>
        <v/>
      </c>
    </row>
    <row r="925">
      <c r="A925" s="23" t="n"/>
      <c r="B925" s="24" t="n"/>
      <c r="C925" s="23" t="n"/>
      <c r="D925" s="23" t="n"/>
      <c r="E925" s="23" t="n"/>
      <c r="F925" s="23" t="n"/>
      <c r="G925" s="25" t="n"/>
      <c r="H925" s="26">
        <f>IF(C925="","",C925&amp;"|"&amp;D925)</f>
        <v/>
      </c>
    </row>
    <row r="926">
      <c r="A926" s="23" t="n"/>
      <c r="B926" s="24" t="n"/>
      <c r="C926" s="23" t="n"/>
      <c r="D926" s="23" t="n"/>
      <c r="E926" s="23" t="n"/>
      <c r="F926" s="23" t="n"/>
      <c r="G926" s="25" t="n"/>
      <c r="H926" s="26">
        <f>IF(C926="","",C926&amp;"|"&amp;D926)</f>
        <v/>
      </c>
    </row>
    <row r="927">
      <c r="A927" s="23" t="n"/>
      <c r="B927" s="24" t="n"/>
      <c r="C927" s="23" t="n"/>
      <c r="D927" s="23" t="n"/>
      <c r="E927" s="23" t="n"/>
      <c r="F927" s="23" t="n"/>
      <c r="G927" s="25" t="n"/>
      <c r="H927" s="26">
        <f>IF(C927="","",C927&amp;"|"&amp;D927)</f>
        <v/>
      </c>
    </row>
    <row r="928">
      <c r="A928" s="23" t="n"/>
      <c r="B928" s="24" t="n"/>
      <c r="C928" s="23" t="n"/>
      <c r="D928" s="23" t="n"/>
      <c r="E928" s="23" t="n"/>
      <c r="F928" s="23" t="n"/>
      <c r="G928" s="25" t="n"/>
      <c r="H928" s="26">
        <f>IF(C928="","",C928&amp;"|"&amp;D928)</f>
        <v/>
      </c>
    </row>
    <row r="929">
      <c r="A929" s="23" t="n"/>
      <c r="B929" s="24" t="n"/>
      <c r="C929" s="23" t="n"/>
      <c r="D929" s="23" t="n"/>
      <c r="E929" s="23" t="n"/>
      <c r="F929" s="23" t="n"/>
      <c r="G929" s="25" t="n"/>
      <c r="H929" s="26">
        <f>IF(C929="","",C929&amp;"|"&amp;D929)</f>
        <v/>
      </c>
    </row>
    <row r="930">
      <c r="A930" s="23" t="n"/>
      <c r="B930" s="24" t="n"/>
      <c r="C930" s="23" t="n"/>
      <c r="D930" s="23" t="n"/>
      <c r="E930" s="23" t="n"/>
      <c r="F930" s="23" t="n"/>
      <c r="G930" s="25" t="n"/>
      <c r="H930" s="26">
        <f>IF(C930="","",C930&amp;"|"&amp;D930)</f>
        <v/>
      </c>
    </row>
    <row r="931">
      <c r="A931" s="23" t="n"/>
      <c r="B931" s="24" t="n"/>
      <c r="C931" s="23" t="n"/>
      <c r="D931" s="23" t="n"/>
      <c r="E931" s="23" t="n"/>
      <c r="F931" s="23" t="n"/>
      <c r="G931" s="25" t="n"/>
      <c r="H931" s="26">
        <f>IF(C931="","",C931&amp;"|"&amp;D931)</f>
        <v/>
      </c>
    </row>
    <row r="932">
      <c r="A932" s="23" t="n"/>
      <c r="B932" s="24" t="n"/>
      <c r="C932" s="23" t="n"/>
      <c r="D932" s="23" t="n"/>
      <c r="E932" s="23" t="n"/>
      <c r="F932" s="23" t="n"/>
      <c r="G932" s="25" t="n"/>
      <c r="H932" s="26">
        <f>IF(C932="","",C932&amp;"|"&amp;D932)</f>
        <v/>
      </c>
    </row>
    <row r="933">
      <c r="A933" s="23" t="n"/>
      <c r="B933" s="24" t="n"/>
      <c r="C933" s="23" t="n"/>
      <c r="D933" s="23" t="n"/>
      <c r="E933" s="23" t="n"/>
      <c r="F933" s="23" t="n"/>
      <c r="G933" s="25" t="n"/>
      <c r="H933" s="26">
        <f>IF(C933="","",C933&amp;"|"&amp;D933)</f>
        <v/>
      </c>
    </row>
    <row r="934">
      <c r="A934" s="23" t="n"/>
      <c r="B934" s="24" t="n"/>
      <c r="C934" s="23" t="n"/>
      <c r="D934" s="23" t="n"/>
      <c r="E934" s="23" t="n"/>
      <c r="F934" s="23" t="n"/>
      <c r="G934" s="25" t="n"/>
      <c r="H934" s="26">
        <f>IF(C934="","",C934&amp;"|"&amp;D934)</f>
        <v/>
      </c>
    </row>
    <row r="935">
      <c r="A935" s="23" t="n"/>
      <c r="B935" s="24" t="n"/>
      <c r="C935" s="23" t="n"/>
      <c r="D935" s="23" t="n"/>
      <c r="E935" s="23" t="n"/>
      <c r="F935" s="23" t="n"/>
      <c r="G935" s="25" t="n"/>
      <c r="H935" s="26">
        <f>IF(C935="","",C935&amp;"|"&amp;D935)</f>
        <v/>
      </c>
    </row>
    <row r="936">
      <c r="A936" s="23" t="n"/>
      <c r="B936" s="24" t="n"/>
      <c r="C936" s="23" t="n"/>
      <c r="D936" s="23" t="n"/>
      <c r="E936" s="23" t="n"/>
      <c r="F936" s="23" t="n"/>
      <c r="G936" s="25" t="n"/>
      <c r="H936" s="26">
        <f>IF(C936="","",C936&amp;"|"&amp;D936)</f>
        <v/>
      </c>
    </row>
    <row r="937">
      <c r="A937" s="23" t="n"/>
      <c r="B937" s="24" t="n"/>
      <c r="C937" s="23" t="n"/>
      <c r="D937" s="23" t="n"/>
      <c r="E937" s="23" t="n"/>
      <c r="F937" s="23" t="n"/>
      <c r="G937" s="25" t="n"/>
      <c r="H937" s="26">
        <f>IF(C937="","",C937&amp;"|"&amp;D937)</f>
        <v/>
      </c>
    </row>
    <row r="938">
      <c r="A938" s="23" t="n"/>
      <c r="B938" s="24" t="n"/>
      <c r="C938" s="23" t="n"/>
      <c r="D938" s="23" t="n"/>
      <c r="E938" s="23" t="n"/>
      <c r="F938" s="23" t="n"/>
      <c r="G938" s="25" t="n"/>
      <c r="H938" s="26">
        <f>IF(C938="","",C938&amp;"|"&amp;D938)</f>
        <v/>
      </c>
    </row>
    <row r="939">
      <c r="A939" s="23" t="n"/>
      <c r="B939" s="24" t="n"/>
      <c r="C939" s="23" t="n"/>
      <c r="D939" s="23" t="n"/>
      <c r="E939" s="23" t="n"/>
      <c r="F939" s="23" t="n"/>
      <c r="G939" s="25" t="n"/>
      <c r="H939" s="26">
        <f>IF(C939="","",C939&amp;"|"&amp;D939)</f>
        <v/>
      </c>
    </row>
    <row r="940">
      <c r="A940" s="23" t="n"/>
      <c r="B940" s="24" t="n"/>
      <c r="C940" s="23" t="n"/>
      <c r="D940" s="23" t="n"/>
      <c r="E940" s="23" t="n"/>
      <c r="F940" s="23" t="n"/>
      <c r="G940" s="25" t="n"/>
      <c r="H940" s="26">
        <f>IF(C940="","",C940&amp;"|"&amp;D940)</f>
        <v/>
      </c>
    </row>
    <row r="941">
      <c r="A941" s="23" t="n"/>
      <c r="B941" s="24" t="n"/>
      <c r="C941" s="23" t="n"/>
      <c r="D941" s="23" t="n"/>
      <c r="E941" s="23" t="n"/>
      <c r="F941" s="23" t="n"/>
      <c r="G941" s="25" t="n"/>
      <c r="H941" s="26">
        <f>IF(C941="","",C941&amp;"|"&amp;D941)</f>
        <v/>
      </c>
    </row>
    <row r="942">
      <c r="A942" s="23" t="n"/>
      <c r="B942" s="24" t="n"/>
      <c r="C942" s="23" t="n"/>
      <c r="D942" s="23" t="n"/>
      <c r="E942" s="23" t="n"/>
      <c r="F942" s="23" t="n"/>
      <c r="G942" s="25" t="n"/>
      <c r="H942" s="26">
        <f>IF(C942="","",C942&amp;"|"&amp;D942)</f>
        <v/>
      </c>
    </row>
    <row r="943">
      <c r="A943" s="23" t="n"/>
      <c r="B943" s="24" t="n"/>
      <c r="C943" s="23" t="n"/>
      <c r="D943" s="23" t="n"/>
      <c r="E943" s="23" t="n"/>
      <c r="F943" s="23" t="n"/>
      <c r="G943" s="25" t="n"/>
      <c r="H943" s="26">
        <f>IF(C943="","",C943&amp;"|"&amp;D943)</f>
        <v/>
      </c>
    </row>
    <row r="944">
      <c r="A944" s="23" t="n"/>
      <c r="B944" s="24" t="n"/>
      <c r="C944" s="23" t="n"/>
      <c r="D944" s="23" t="n"/>
      <c r="E944" s="23" t="n"/>
      <c r="F944" s="23" t="n"/>
      <c r="G944" s="25" t="n"/>
      <c r="H944" s="26">
        <f>IF(C944="","",C944&amp;"|"&amp;D944)</f>
        <v/>
      </c>
    </row>
    <row r="945">
      <c r="A945" s="23" t="n"/>
      <c r="B945" s="24" t="n"/>
      <c r="C945" s="23" t="n"/>
      <c r="D945" s="23" t="n"/>
      <c r="E945" s="23" t="n"/>
      <c r="F945" s="23" t="n"/>
      <c r="G945" s="25" t="n"/>
      <c r="H945" s="26">
        <f>IF(C945="","",C945&amp;"|"&amp;D945)</f>
        <v/>
      </c>
    </row>
    <row r="946">
      <c r="A946" s="23" t="n"/>
      <c r="B946" s="24" t="n"/>
      <c r="C946" s="23" t="n"/>
      <c r="D946" s="23" t="n"/>
      <c r="E946" s="23" t="n"/>
      <c r="F946" s="23" t="n"/>
      <c r="G946" s="25" t="n"/>
      <c r="H946" s="26">
        <f>IF(C946="","",C946&amp;"|"&amp;D946)</f>
        <v/>
      </c>
    </row>
    <row r="947">
      <c r="A947" s="23" t="n"/>
      <c r="B947" s="24" t="n"/>
      <c r="C947" s="23" t="n"/>
      <c r="D947" s="23" t="n"/>
      <c r="E947" s="23" t="n"/>
      <c r="F947" s="23" t="n"/>
      <c r="G947" s="25" t="n"/>
      <c r="H947" s="26">
        <f>IF(C947="","",C947&amp;"|"&amp;D947)</f>
        <v/>
      </c>
    </row>
    <row r="948">
      <c r="A948" s="23" t="n"/>
      <c r="B948" s="24" t="n"/>
      <c r="C948" s="23" t="n"/>
      <c r="D948" s="23" t="n"/>
      <c r="E948" s="23" t="n"/>
      <c r="F948" s="23" t="n"/>
      <c r="G948" s="25" t="n"/>
      <c r="H948" s="26">
        <f>IF(C948="","",C948&amp;"|"&amp;D948)</f>
        <v/>
      </c>
    </row>
    <row r="949">
      <c r="A949" s="23" t="n"/>
      <c r="B949" s="24" t="n"/>
      <c r="C949" s="23" t="n"/>
      <c r="D949" s="23" t="n"/>
      <c r="E949" s="23" t="n"/>
      <c r="F949" s="23" t="n"/>
      <c r="G949" s="25" t="n"/>
      <c r="H949" s="26">
        <f>IF(C949="","",C949&amp;"|"&amp;D949)</f>
        <v/>
      </c>
    </row>
    <row r="950">
      <c r="A950" s="23" t="n"/>
      <c r="B950" s="24" t="n"/>
      <c r="C950" s="23" t="n"/>
      <c r="D950" s="23" t="n"/>
      <c r="E950" s="23" t="n"/>
      <c r="F950" s="23" t="n"/>
      <c r="G950" s="25" t="n"/>
      <c r="H950" s="26">
        <f>IF(C950="","",C950&amp;"|"&amp;D950)</f>
        <v/>
      </c>
    </row>
    <row r="951">
      <c r="A951" s="23" t="n"/>
      <c r="B951" s="24" t="n"/>
      <c r="C951" s="23" t="n"/>
      <c r="D951" s="23" t="n"/>
      <c r="E951" s="23" t="n"/>
      <c r="F951" s="23" t="n"/>
      <c r="G951" s="25" t="n"/>
      <c r="H951" s="26">
        <f>IF(C951="","",C951&amp;"|"&amp;D951)</f>
        <v/>
      </c>
    </row>
    <row r="952">
      <c r="A952" s="23" t="n"/>
      <c r="B952" s="24" t="n"/>
      <c r="C952" s="23" t="n"/>
      <c r="D952" s="23" t="n"/>
      <c r="E952" s="23" t="n"/>
      <c r="F952" s="23" t="n"/>
      <c r="G952" s="25" t="n"/>
      <c r="H952" s="26">
        <f>IF(C952="","",C952&amp;"|"&amp;D952)</f>
        <v/>
      </c>
    </row>
    <row r="953">
      <c r="A953" s="23" t="n"/>
      <c r="B953" s="24" t="n"/>
      <c r="C953" s="23" t="n"/>
      <c r="D953" s="23" t="n"/>
      <c r="E953" s="23" t="n"/>
      <c r="F953" s="23" t="n"/>
      <c r="G953" s="25" t="n"/>
      <c r="H953" s="26">
        <f>IF(C953="","",C953&amp;"|"&amp;D953)</f>
        <v/>
      </c>
    </row>
    <row r="954">
      <c r="A954" s="23" t="n"/>
      <c r="B954" s="24" t="n"/>
      <c r="C954" s="23" t="n"/>
      <c r="D954" s="23" t="n"/>
      <c r="E954" s="23" t="n"/>
      <c r="F954" s="23" t="n"/>
      <c r="G954" s="25" t="n"/>
      <c r="H954" s="26">
        <f>IF(C954="","",C954&amp;"|"&amp;D954)</f>
        <v/>
      </c>
    </row>
    <row r="955">
      <c r="A955" s="23" t="n"/>
      <c r="B955" s="24" t="n"/>
      <c r="C955" s="23" t="n"/>
      <c r="D955" s="23" t="n"/>
      <c r="E955" s="23" t="n"/>
      <c r="F955" s="23" t="n"/>
      <c r="G955" s="25" t="n"/>
      <c r="H955" s="26">
        <f>IF(C955="","",C955&amp;"|"&amp;D955)</f>
        <v/>
      </c>
    </row>
    <row r="956">
      <c r="A956" s="23" t="n"/>
      <c r="B956" s="24" t="n"/>
      <c r="C956" s="23" t="n"/>
      <c r="D956" s="23" t="n"/>
      <c r="E956" s="23" t="n"/>
      <c r="F956" s="23" t="n"/>
      <c r="G956" s="25" t="n"/>
      <c r="H956" s="26">
        <f>IF(C956="","",C956&amp;"|"&amp;D956)</f>
        <v/>
      </c>
    </row>
    <row r="957">
      <c r="A957" s="23" t="n"/>
      <c r="B957" s="24" t="n"/>
      <c r="C957" s="23" t="n"/>
      <c r="D957" s="23" t="n"/>
      <c r="E957" s="23" t="n"/>
      <c r="F957" s="23" t="n"/>
      <c r="G957" s="25" t="n"/>
      <c r="H957" s="26">
        <f>IF(C957="","",C957&amp;"|"&amp;D957)</f>
        <v/>
      </c>
    </row>
    <row r="958">
      <c r="A958" s="23" t="n"/>
      <c r="B958" s="24" t="n"/>
      <c r="C958" s="23" t="n"/>
      <c r="D958" s="23" t="n"/>
      <c r="E958" s="23" t="n"/>
      <c r="F958" s="23" t="n"/>
      <c r="G958" s="25" t="n"/>
      <c r="H958" s="26">
        <f>IF(C958="","",C958&amp;"|"&amp;D958)</f>
        <v/>
      </c>
    </row>
    <row r="959">
      <c r="A959" s="23" t="n"/>
      <c r="B959" s="24" t="n"/>
      <c r="C959" s="23" t="n"/>
      <c r="D959" s="23" t="n"/>
      <c r="E959" s="23" t="n"/>
      <c r="F959" s="23" t="n"/>
      <c r="G959" s="25" t="n"/>
      <c r="H959" s="26">
        <f>IF(C959="","",C959&amp;"|"&amp;D959)</f>
        <v/>
      </c>
    </row>
    <row r="960">
      <c r="A960" s="23" t="n"/>
      <c r="B960" s="24" t="n"/>
      <c r="C960" s="23" t="n"/>
      <c r="D960" s="23" t="n"/>
      <c r="E960" s="23" t="n"/>
      <c r="F960" s="23" t="n"/>
      <c r="G960" s="25" t="n"/>
      <c r="H960" s="26">
        <f>IF(C960="","",C960&amp;"|"&amp;D960)</f>
        <v/>
      </c>
    </row>
    <row r="961">
      <c r="A961" s="23" t="n"/>
      <c r="B961" s="24" t="n"/>
      <c r="C961" s="23" t="n"/>
      <c r="D961" s="23" t="n"/>
      <c r="E961" s="23" t="n"/>
      <c r="F961" s="23" t="n"/>
      <c r="G961" s="25" t="n"/>
      <c r="H961" s="26">
        <f>IF(C961="","",C961&amp;"|"&amp;D961)</f>
        <v/>
      </c>
    </row>
    <row r="962">
      <c r="A962" s="23" t="n"/>
      <c r="B962" s="24" t="n"/>
      <c r="C962" s="23" t="n"/>
      <c r="D962" s="23" t="n"/>
      <c r="E962" s="23" t="n"/>
      <c r="F962" s="23" t="n"/>
      <c r="G962" s="25" t="n"/>
      <c r="H962" s="26">
        <f>IF(C962="","",C962&amp;"|"&amp;D962)</f>
        <v/>
      </c>
    </row>
    <row r="963">
      <c r="A963" s="23" t="n"/>
      <c r="B963" s="24" t="n"/>
      <c r="C963" s="23" t="n"/>
      <c r="D963" s="23" t="n"/>
      <c r="E963" s="23" t="n"/>
      <c r="F963" s="23" t="n"/>
      <c r="G963" s="25" t="n"/>
      <c r="H963" s="26">
        <f>IF(C963="","",C963&amp;"|"&amp;D963)</f>
        <v/>
      </c>
    </row>
    <row r="964">
      <c r="A964" s="23" t="n"/>
      <c r="B964" s="24" t="n"/>
      <c r="C964" s="23" t="n"/>
      <c r="D964" s="23" t="n"/>
      <c r="E964" s="23" t="n"/>
      <c r="F964" s="23" t="n"/>
      <c r="G964" s="25" t="n"/>
      <c r="H964" s="26">
        <f>IF(C964="","",C964&amp;"|"&amp;D964)</f>
        <v/>
      </c>
    </row>
    <row r="965">
      <c r="A965" s="23" t="n"/>
      <c r="B965" s="24" t="n"/>
      <c r="C965" s="23" t="n"/>
      <c r="D965" s="23" t="n"/>
      <c r="E965" s="23" t="n"/>
      <c r="F965" s="23" t="n"/>
      <c r="G965" s="25" t="n"/>
      <c r="H965" s="26">
        <f>IF(C965="","",C965&amp;"|"&amp;D965)</f>
        <v/>
      </c>
    </row>
    <row r="966">
      <c r="A966" s="23" t="n"/>
      <c r="B966" s="24" t="n"/>
      <c r="C966" s="23" t="n"/>
      <c r="D966" s="23" t="n"/>
      <c r="E966" s="23" t="n"/>
      <c r="F966" s="23" t="n"/>
      <c r="G966" s="25" t="n"/>
      <c r="H966" s="26">
        <f>IF(C966="","",C966&amp;"|"&amp;D966)</f>
        <v/>
      </c>
    </row>
    <row r="967">
      <c r="A967" s="23" t="n"/>
      <c r="B967" s="24" t="n"/>
      <c r="C967" s="23" t="n"/>
      <c r="D967" s="23" t="n"/>
      <c r="E967" s="23" t="n"/>
      <c r="F967" s="23" t="n"/>
      <c r="G967" s="25" t="n"/>
      <c r="H967" s="26">
        <f>IF(C967="","",C967&amp;"|"&amp;D967)</f>
        <v/>
      </c>
    </row>
    <row r="968">
      <c r="A968" s="23" t="n"/>
      <c r="B968" s="24" t="n"/>
      <c r="C968" s="23" t="n"/>
      <c r="D968" s="23" t="n"/>
      <c r="E968" s="23" t="n"/>
      <c r="F968" s="23" t="n"/>
      <c r="G968" s="25" t="n"/>
      <c r="H968" s="26">
        <f>IF(C968="","",C968&amp;"|"&amp;D968)</f>
        <v/>
      </c>
    </row>
    <row r="969">
      <c r="A969" s="23" t="n"/>
      <c r="B969" s="24" t="n"/>
      <c r="C969" s="23" t="n"/>
      <c r="D969" s="23" t="n"/>
      <c r="E969" s="23" t="n"/>
      <c r="F969" s="23" t="n"/>
      <c r="G969" s="25" t="n"/>
      <c r="H969" s="26">
        <f>IF(C969="","",C969&amp;"|"&amp;D969)</f>
        <v/>
      </c>
    </row>
    <row r="970">
      <c r="A970" s="23" t="n"/>
      <c r="B970" s="24" t="n"/>
      <c r="C970" s="23" t="n"/>
      <c r="D970" s="23" t="n"/>
      <c r="E970" s="23" t="n"/>
      <c r="F970" s="23" t="n"/>
      <c r="G970" s="25" t="n"/>
      <c r="H970" s="26">
        <f>IF(C970="","",C970&amp;"|"&amp;D970)</f>
        <v/>
      </c>
    </row>
    <row r="971">
      <c r="A971" s="23" t="n"/>
      <c r="B971" s="24" t="n"/>
      <c r="C971" s="23" t="n"/>
      <c r="D971" s="23" t="n"/>
      <c r="E971" s="23" t="n"/>
      <c r="F971" s="23" t="n"/>
      <c r="G971" s="25" t="n"/>
      <c r="H971" s="26">
        <f>IF(C971="","",C971&amp;"|"&amp;D971)</f>
        <v/>
      </c>
    </row>
    <row r="972">
      <c r="A972" s="23" t="n"/>
      <c r="B972" s="24" t="n"/>
      <c r="C972" s="23" t="n"/>
      <c r="D972" s="23" t="n"/>
      <c r="E972" s="23" t="n"/>
      <c r="F972" s="23" t="n"/>
      <c r="G972" s="25" t="n"/>
      <c r="H972" s="26">
        <f>IF(C972="","",C972&amp;"|"&amp;D972)</f>
        <v/>
      </c>
    </row>
    <row r="973">
      <c r="A973" s="23" t="n"/>
      <c r="B973" s="24" t="n"/>
      <c r="C973" s="23" t="n"/>
      <c r="D973" s="23" t="n"/>
      <c r="E973" s="23" t="n"/>
      <c r="F973" s="23" t="n"/>
      <c r="G973" s="25" t="n"/>
      <c r="H973" s="26">
        <f>IF(C973="","",C973&amp;"|"&amp;D973)</f>
        <v/>
      </c>
    </row>
    <row r="974">
      <c r="A974" s="23" t="n"/>
      <c r="B974" s="24" t="n"/>
      <c r="C974" s="23" t="n"/>
      <c r="D974" s="23" t="n"/>
      <c r="E974" s="23" t="n"/>
      <c r="F974" s="23" t="n"/>
      <c r="G974" s="25" t="n"/>
      <c r="H974" s="26">
        <f>IF(C974="","",C974&amp;"|"&amp;D974)</f>
        <v/>
      </c>
    </row>
    <row r="975">
      <c r="A975" s="23" t="n"/>
      <c r="B975" s="24" t="n"/>
      <c r="C975" s="23" t="n"/>
      <c r="D975" s="23" t="n"/>
      <c r="E975" s="23" t="n"/>
      <c r="F975" s="23" t="n"/>
      <c r="G975" s="25" t="n"/>
      <c r="H975" s="26">
        <f>IF(C975="","",C975&amp;"|"&amp;D975)</f>
        <v/>
      </c>
    </row>
    <row r="976">
      <c r="A976" s="23" t="n"/>
      <c r="B976" s="24" t="n"/>
      <c r="C976" s="23" t="n"/>
      <c r="D976" s="23" t="n"/>
      <c r="E976" s="23" t="n"/>
      <c r="F976" s="23" t="n"/>
      <c r="G976" s="25" t="n"/>
      <c r="H976" s="26">
        <f>IF(C976="","",C976&amp;"|"&amp;D976)</f>
        <v/>
      </c>
    </row>
    <row r="977">
      <c r="A977" s="23" t="n"/>
      <c r="B977" s="24" t="n"/>
      <c r="C977" s="23" t="n"/>
      <c r="D977" s="23" t="n"/>
      <c r="E977" s="23" t="n"/>
      <c r="F977" s="23" t="n"/>
      <c r="G977" s="25" t="n"/>
      <c r="H977" s="26">
        <f>IF(C977="","",C977&amp;"|"&amp;D977)</f>
        <v/>
      </c>
    </row>
    <row r="978">
      <c r="A978" s="23" t="n"/>
      <c r="B978" s="24" t="n"/>
      <c r="C978" s="23" t="n"/>
      <c r="D978" s="23" t="n"/>
      <c r="E978" s="23" t="n"/>
      <c r="F978" s="23" t="n"/>
      <c r="G978" s="25" t="n"/>
      <c r="H978" s="26">
        <f>IF(C978="","",C978&amp;"|"&amp;D978)</f>
        <v/>
      </c>
    </row>
    <row r="979">
      <c r="A979" s="23" t="n"/>
      <c r="B979" s="24" t="n"/>
      <c r="C979" s="23" t="n"/>
      <c r="D979" s="23" t="n"/>
      <c r="E979" s="23" t="n"/>
      <c r="F979" s="23" t="n"/>
      <c r="G979" s="25" t="n"/>
      <c r="H979" s="26">
        <f>IF(C979="","",C979&amp;"|"&amp;D979)</f>
        <v/>
      </c>
    </row>
    <row r="980">
      <c r="A980" s="23" t="n"/>
      <c r="B980" s="24" t="n"/>
      <c r="C980" s="23" t="n"/>
      <c r="D980" s="23" t="n"/>
      <c r="E980" s="23" t="n"/>
      <c r="F980" s="23" t="n"/>
      <c r="G980" s="25" t="n"/>
      <c r="H980" s="26">
        <f>IF(C980="","",C980&amp;"|"&amp;D980)</f>
        <v/>
      </c>
    </row>
    <row r="981">
      <c r="A981" s="23" t="n"/>
      <c r="B981" s="24" t="n"/>
      <c r="C981" s="23" t="n"/>
      <c r="D981" s="23" t="n"/>
      <c r="E981" s="23" t="n"/>
      <c r="F981" s="23" t="n"/>
      <c r="G981" s="25" t="n"/>
      <c r="H981" s="26">
        <f>IF(C981="","",C981&amp;"|"&amp;D981)</f>
        <v/>
      </c>
    </row>
    <row r="982">
      <c r="A982" s="23" t="n"/>
      <c r="B982" s="24" t="n"/>
      <c r="C982" s="23" t="n"/>
      <c r="D982" s="23" t="n"/>
      <c r="E982" s="23" t="n"/>
      <c r="F982" s="23" t="n"/>
      <c r="G982" s="25" t="n"/>
      <c r="H982" s="26">
        <f>IF(C982="","",C982&amp;"|"&amp;D982)</f>
        <v/>
      </c>
    </row>
    <row r="983">
      <c r="A983" s="23" t="n"/>
      <c r="B983" s="24" t="n"/>
      <c r="C983" s="23" t="n"/>
      <c r="D983" s="23" t="n"/>
      <c r="E983" s="23" t="n"/>
      <c r="F983" s="23" t="n"/>
      <c r="G983" s="25" t="n"/>
      <c r="H983" s="26">
        <f>IF(C983="","",C983&amp;"|"&amp;D983)</f>
        <v/>
      </c>
    </row>
    <row r="984">
      <c r="A984" s="23" t="n"/>
      <c r="B984" s="24" t="n"/>
      <c r="C984" s="23" t="n"/>
      <c r="D984" s="23" t="n"/>
      <c r="E984" s="23" t="n"/>
      <c r="F984" s="23" t="n"/>
      <c r="G984" s="25" t="n"/>
      <c r="H984" s="26">
        <f>IF(C984="","",C984&amp;"|"&amp;D984)</f>
        <v/>
      </c>
    </row>
    <row r="985">
      <c r="A985" s="23" t="n"/>
      <c r="B985" s="24" t="n"/>
      <c r="C985" s="23" t="n"/>
      <c r="D985" s="23" t="n"/>
      <c r="E985" s="23" t="n"/>
      <c r="F985" s="23" t="n"/>
      <c r="G985" s="25" t="n"/>
      <c r="H985" s="26">
        <f>IF(C985="","",C985&amp;"|"&amp;D985)</f>
        <v/>
      </c>
    </row>
    <row r="986">
      <c r="A986" s="23" t="n"/>
      <c r="B986" s="24" t="n"/>
      <c r="C986" s="23" t="n"/>
      <c r="D986" s="23" t="n"/>
      <c r="E986" s="23" t="n"/>
      <c r="F986" s="23" t="n"/>
      <c r="G986" s="25" t="n"/>
      <c r="H986" s="26">
        <f>IF(C986="","",C986&amp;"|"&amp;D986)</f>
        <v/>
      </c>
    </row>
    <row r="987">
      <c r="A987" s="23" t="n"/>
      <c r="B987" s="24" t="n"/>
      <c r="C987" s="23" t="n"/>
      <c r="D987" s="23" t="n"/>
      <c r="E987" s="23" t="n"/>
      <c r="F987" s="23" t="n"/>
      <c r="G987" s="25" t="n"/>
      <c r="H987" s="26">
        <f>IF(C987="","",C987&amp;"|"&amp;D987)</f>
        <v/>
      </c>
    </row>
    <row r="988">
      <c r="A988" s="23" t="n"/>
      <c r="B988" s="24" t="n"/>
      <c r="C988" s="23" t="n"/>
      <c r="D988" s="23" t="n"/>
      <c r="E988" s="23" t="n"/>
      <c r="F988" s="23" t="n"/>
      <c r="G988" s="25" t="n"/>
      <c r="H988" s="26">
        <f>IF(C988="","",C988&amp;"|"&amp;D988)</f>
        <v/>
      </c>
    </row>
    <row r="989">
      <c r="A989" s="23" t="n"/>
      <c r="B989" s="24" t="n"/>
      <c r="C989" s="23" t="n"/>
      <c r="D989" s="23" t="n"/>
      <c r="E989" s="23" t="n"/>
      <c r="F989" s="23" t="n"/>
      <c r="G989" s="25" t="n"/>
      <c r="H989" s="26">
        <f>IF(C989="","",C989&amp;"|"&amp;D989)</f>
        <v/>
      </c>
    </row>
    <row r="990">
      <c r="A990" s="23" t="n"/>
      <c r="B990" s="24" t="n"/>
      <c r="C990" s="23" t="n"/>
      <c r="D990" s="23" t="n"/>
      <c r="E990" s="23" t="n"/>
      <c r="F990" s="23" t="n"/>
      <c r="G990" s="25" t="n"/>
      <c r="H990" s="26">
        <f>IF(C990="","",C990&amp;"|"&amp;D990)</f>
        <v/>
      </c>
    </row>
    <row r="991">
      <c r="A991" s="23" t="n"/>
      <c r="B991" s="24" t="n"/>
      <c r="C991" s="23" t="n"/>
      <c r="D991" s="23" t="n"/>
      <c r="E991" s="23" t="n"/>
      <c r="F991" s="23" t="n"/>
      <c r="G991" s="25" t="n"/>
      <c r="H991" s="26">
        <f>IF(C991="","",C991&amp;"|"&amp;D991)</f>
        <v/>
      </c>
    </row>
    <row r="992">
      <c r="A992" s="23" t="n"/>
      <c r="B992" s="24" t="n"/>
      <c r="C992" s="23" t="n"/>
      <c r="D992" s="23" t="n"/>
      <c r="E992" s="23" t="n"/>
      <c r="F992" s="23" t="n"/>
      <c r="G992" s="25" t="n"/>
      <c r="H992" s="26">
        <f>IF(C992="","",C992&amp;"|"&amp;D992)</f>
        <v/>
      </c>
    </row>
    <row r="993">
      <c r="A993" s="23" t="n"/>
      <c r="B993" s="24" t="n"/>
      <c r="C993" s="23" t="n"/>
      <c r="D993" s="23" t="n"/>
      <c r="E993" s="23" t="n"/>
      <c r="F993" s="23" t="n"/>
      <c r="G993" s="25" t="n"/>
      <c r="H993" s="26">
        <f>IF(C993="","",C993&amp;"|"&amp;D993)</f>
        <v/>
      </c>
    </row>
    <row r="994">
      <c r="A994" s="23" t="n"/>
      <c r="B994" s="24" t="n"/>
      <c r="C994" s="23" t="n"/>
      <c r="D994" s="23" t="n"/>
      <c r="E994" s="23" t="n"/>
      <c r="F994" s="23" t="n"/>
      <c r="G994" s="25" t="n"/>
      <c r="H994" s="26">
        <f>IF(C994="","",C994&amp;"|"&amp;D994)</f>
        <v/>
      </c>
    </row>
    <row r="995">
      <c r="A995" s="23" t="n"/>
      <c r="B995" s="24" t="n"/>
      <c r="C995" s="23" t="n"/>
      <c r="D995" s="23" t="n"/>
      <c r="E995" s="23" t="n"/>
      <c r="F995" s="23" t="n"/>
      <c r="G995" s="25" t="n"/>
      <c r="H995" s="26">
        <f>IF(C995="","",C995&amp;"|"&amp;D995)</f>
        <v/>
      </c>
    </row>
    <row r="996">
      <c r="A996" s="23" t="n"/>
      <c r="B996" s="24" t="n"/>
      <c r="C996" s="23" t="n"/>
      <c r="D996" s="23" t="n"/>
      <c r="E996" s="23" t="n"/>
      <c r="F996" s="23" t="n"/>
      <c r="G996" s="25" t="n"/>
      <c r="H996" s="26">
        <f>IF(C996="","",C996&amp;"|"&amp;D996)</f>
        <v/>
      </c>
    </row>
    <row r="997">
      <c r="A997" s="23" t="n"/>
      <c r="B997" s="24" t="n"/>
      <c r="C997" s="23" t="n"/>
      <c r="D997" s="23" t="n"/>
      <c r="E997" s="23" t="n"/>
      <c r="F997" s="23" t="n"/>
      <c r="G997" s="25" t="n"/>
      <c r="H997" s="26">
        <f>IF(C997="","",C997&amp;"|"&amp;D997)</f>
        <v/>
      </c>
    </row>
    <row r="998">
      <c r="A998" s="23" t="n"/>
      <c r="B998" s="24" t="n"/>
      <c r="C998" s="23" t="n"/>
      <c r="D998" s="23" t="n"/>
      <c r="E998" s="23" t="n"/>
      <c r="F998" s="23" t="n"/>
      <c r="G998" s="25" t="n"/>
      <c r="H998" s="26">
        <f>IF(C998="","",C998&amp;"|"&amp;D998)</f>
        <v/>
      </c>
    </row>
    <row r="999">
      <c r="A999" s="23" t="n"/>
      <c r="B999" s="24" t="n"/>
      <c r="C999" s="23" t="n"/>
      <c r="D999" s="23" t="n"/>
      <c r="E999" s="23" t="n"/>
      <c r="F999" s="23" t="n"/>
      <c r="G999" s="25" t="n"/>
      <c r="H999" s="26">
        <f>IF(C999="","",C999&amp;"|"&amp;D999)</f>
        <v/>
      </c>
    </row>
    <row r="1000">
      <c r="A1000" s="23" t="n"/>
      <c r="B1000" s="24" t="n"/>
      <c r="C1000" s="23" t="n"/>
      <c r="D1000" s="23" t="n"/>
      <c r="E1000" s="23" t="n"/>
      <c r="F1000" s="23" t="n"/>
      <c r="G1000" s="25" t="n"/>
      <c r="H1000" s="26">
        <f>IF(C1000="","",C1000&amp;"|"&amp;D1000)</f>
        <v/>
      </c>
    </row>
    <row r="1001">
      <c r="A1001" s="23" t="n"/>
      <c r="B1001" s="24" t="n"/>
      <c r="C1001" s="23" t="n"/>
      <c r="D1001" s="23" t="n"/>
      <c r="E1001" s="23" t="n"/>
      <c r="F1001" s="23" t="n"/>
      <c r="G1001" s="25" t="n"/>
      <c r="H1001" s="26">
        <f>IF(C1001="","",C1001&amp;"|"&amp;D1001)</f>
        <v/>
      </c>
    </row>
    <row r="1002">
      <c r="A1002" s="23" t="n"/>
      <c r="B1002" s="24" t="n"/>
      <c r="C1002" s="23" t="n"/>
      <c r="D1002" s="23" t="n"/>
      <c r="E1002" s="23" t="n"/>
      <c r="F1002" s="23" t="n"/>
      <c r="G1002" s="25" t="n"/>
      <c r="H1002" s="26">
        <f>IF(C1002="","",C1002&amp;"|"&amp;D1002)</f>
        <v/>
      </c>
    </row>
    <row r="1003">
      <c r="A1003" s="23" t="n"/>
      <c r="B1003" s="24" t="n"/>
      <c r="C1003" s="23" t="n"/>
      <c r="D1003" s="23" t="n"/>
      <c r="E1003" s="23" t="n"/>
      <c r="F1003" s="23" t="n"/>
      <c r="G1003" s="25" t="n"/>
      <c r="H1003" s="26">
        <f>IF(C1003="","",C1003&amp;"|"&amp;D1003)</f>
        <v/>
      </c>
    </row>
    <row r="1004">
      <c r="A1004" s="23" t="n"/>
      <c r="B1004" s="24" t="n"/>
      <c r="C1004" s="23" t="n"/>
      <c r="D1004" s="23" t="n"/>
      <c r="E1004" s="23" t="n"/>
      <c r="F1004" s="23" t="n"/>
      <c r="G1004" s="25" t="n"/>
      <c r="H1004" s="26">
        <f>IF(C1004="","",C1004&amp;"|"&amp;D1004)</f>
        <v/>
      </c>
    </row>
    <row r="1005">
      <c r="A1005" s="23" t="n"/>
      <c r="B1005" s="24" t="n"/>
      <c r="C1005" s="23" t="n"/>
      <c r="D1005" s="23" t="n"/>
      <c r="E1005" s="23" t="n"/>
      <c r="F1005" s="23" t="n"/>
      <c r="G1005" s="25" t="n"/>
      <c r="H1005" s="26">
        <f>IF(C1005="","",C1005&amp;"|"&amp;D1005)</f>
        <v/>
      </c>
    </row>
    <row r="1006">
      <c r="A1006" s="23" t="n"/>
      <c r="B1006" s="24" t="n"/>
      <c r="C1006" s="23" t="n"/>
      <c r="D1006" s="23" t="n"/>
      <c r="E1006" s="23" t="n"/>
      <c r="F1006" s="23" t="n"/>
      <c r="G1006" s="25" t="n"/>
      <c r="H1006" s="26">
        <f>IF(C1006="","",C1006&amp;"|"&amp;D1006)</f>
        <v/>
      </c>
    </row>
    <row r="1007">
      <c r="A1007" s="23" t="n"/>
      <c r="B1007" s="24" t="n"/>
      <c r="C1007" s="23" t="n"/>
      <c r="D1007" s="23" t="n"/>
      <c r="E1007" s="23" t="n"/>
      <c r="F1007" s="23" t="n"/>
      <c r="G1007" s="25" t="n"/>
      <c r="H1007" s="26">
        <f>IF(C1007="","",C1007&amp;"|"&amp;D1007)</f>
        <v/>
      </c>
    </row>
    <row r="1008">
      <c r="A1008" s="23" t="n"/>
      <c r="B1008" s="24" t="n"/>
      <c r="C1008" s="23" t="n"/>
      <c r="D1008" s="23" t="n"/>
      <c r="E1008" s="23" t="n"/>
      <c r="F1008" s="23" t="n"/>
      <c r="G1008" s="25" t="n"/>
      <c r="H1008" s="26">
        <f>IF(C1008="","",C1008&amp;"|"&amp;D1008)</f>
        <v/>
      </c>
    </row>
    <row r="1009">
      <c r="A1009" s="23" t="n"/>
      <c r="B1009" s="24" t="n"/>
      <c r="C1009" s="23" t="n"/>
      <c r="D1009" s="23" t="n"/>
      <c r="E1009" s="23" t="n"/>
      <c r="F1009" s="23" t="n"/>
      <c r="G1009" s="25" t="n"/>
      <c r="H1009" s="26">
        <f>IF(C1009="","",C1009&amp;"|"&amp;D1009)</f>
        <v/>
      </c>
    </row>
    <row r="1010">
      <c r="A1010" s="23" t="n"/>
      <c r="B1010" s="24" t="n"/>
      <c r="C1010" s="23" t="n"/>
      <c r="D1010" s="23" t="n"/>
      <c r="E1010" s="23" t="n"/>
      <c r="F1010" s="23" t="n"/>
      <c r="G1010" s="25" t="n"/>
      <c r="H1010" s="26">
        <f>IF(C1010="","",C1010&amp;"|"&amp;D1010)</f>
        <v/>
      </c>
    </row>
    <row r="1011">
      <c r="A1011" s="23" t="n"/>
      <c r="B1011" s="24" t="n"/>
      <c r="C1011" s="23" t="n"/>
      <c r="D1011" s="23" t="n"/>
      <c r="E1011" s="23" t="n"/>
      <c r="F1011" s="23" t="n"/>
      <c r="G1011" s="25" t="n"/>
      <c r="H1011" s="26">
        <f>IF(C1011="","",C1011&amp;"|"&amp;D1011)</f>
        <v/>
      </c>
    </row>
    <row r="1012">
      <c r="A1012" s="23" t="n"/>
      <c r="B1012" s="24" t="n"/>
      <c r="C1012" s="23" t="n"/>
      <c r="D1012" s="23" t="n"/>
      <c r="E1012" s="23" t="n"/>
      <c r="F1012" s="23" t="n"/>
      <c r="G1012" s="25" t="n"/>
      <c r="H1012" s="26">
        <f>IF(C1012="","",C1012&amp;"|"&amp;D1012)</f>
        <v/>
      </c>
    </row>
    <row r="1013">
      <c r="A1013" s="23" t="n"/>
      <c r="B1013" s="24" t="n"/>
      <c r="C1013" s="23" t="n"/>
      <c r="D1013" s="23" t="n"/>
      <c r="E1013" s="23" t="n"/>
      <c r="F1013" s="23" t="n"/>
      <c r="G1013" s="25" t="n"/>
      <c r="H1013" s="26">
        <f>IF(C1013="","",C1013&amp;"|"&amp;D1013)</f>
        <v/>
      </c>
    </row>
    <row r="1014">
      <c r="A1014" s="23" t="n"/>
      <c r="B1014" s="24" t="n"/>
      <c r="C1014" s="23" t="n"/>
      <c r="D1014" s="23" t="n"/>
      <c r="E1014" s="23" t="n"/>
      <c r="F1014" s="23" t="n"/>
      <c r="G1014" s="25" t="n"/>
      <c r="H1014" s="26">
        <f>IF(C1014="","",C1014&amp;"|"&amp;D1014)</f>
        <v/>
      </c>
    </row>
    <row r="1015">
      <c r="A1015" s="23" t="n"/>
      <c r="B1015" s="24" t="n"/>
      <c r="C1015" s="23" t="n"/>
      <c r="D1015" s="23" t="n"/>
      <c r="E1015" s="23" t="n"/>
      <c r="F1015" s="23" t="n"/>
      <c r="G1015" s="25" t="n"/>
      <c r="H1015" s="26">
        <f>IF(C1015="","",C1015&amp;"|"&amp;D1015)</f>
        <v/>
      </c>
    </row>
    <row r="1016">
      <c r="A1016" s="23" t="n"/>
      <c r="B1016" s="24" t="n"/>
      <c r="C1016" s="23" t="n"/>
      <c r="D1016" s="23" t="n"/>
      <c r="E1016" s="23" t="n"/>
      <c r="F1016" s="23" t="n"/>
      <c r="G1016" s="25" t="n"/>
      <c r="H1016" s="26">
        <f>IF(C1016="","",C1016&amp;"|"&amp;D1016)</f>
        <v/>
      </c>
    </row>
    <row r="1017">
      <c r="A1017" s="23" t="n"/>
      <c r="B1017" s="24" t="n"/>
      <c r="C1017" s="23" t="n"/>
      <c r="D1017" s="23" t="n"/>
      <c r="E1017" s="23" t="n"/>
      <c r="F1017" s="23" t="n"/>
      <c r="G1017" s="25" t="n"/>
      <c r="H1017" s="26">
        <f>IF(C1017="","",C1017&amp;"|"&amp;D1017)</f>
        <v/>
      </c>
    </row>
    <row r="1018">
      <c r="A1018" s="23" t="n"/>
      <c r="B1018" s="24" t="n"/>
      <c r="C1018" s="23" t="n"/>
      <c r="D1018" s="23" t="n"/>
      <c r="E1018" s="23" t="n"/>
      <c r="F1018" s="23" t="n"/>
      <c r="G1018" s="25" t="n"/>
      <c r="H1018" s="26">
        <f>IF(C1018="","",C1018&amp;"|"&amp;D1018)</f>
        <v/>
      </c>
    </row>
    <row r="1019">
      <c r="A1019" s="23" t="n"/>
      <c r="B1019" s="24" t="n"/>
      <c r="C1019" s="23" t="n"/>
      <c r="D1019" s="23" t="n"/>
      <c r="E1019" s="23" t="n"/>
      <c r="F1019" s="23" t="n"/>
      <c r="G1019" s="25" t="n"/>
      <c r="H1019" s="26">
        <f>IF(C1019="","",C1019&amp;"|"&amp;D1019)</f>
        <v/>
      </c>
    </row>
    <row r="1020">
      <c r="A1020" s="23" t="n"/>
      <c r="B1020" s="24" t="n"/>
      <c r="C1020" s="23" t="n"/>
      <c r="D1020" s="23" t="n"/>
      <c r="E1020" s="23" t="n"/>
      <c r="F1020" s="23" t="n"/>
      <c r="G1020" s="25" t="n"/>
      <c r="H1020" s="26">
        <f>IF(C1020="","",C1020&amp;"|"&amp;D1020)</f>
        <v/>
      </c>
    </row>
    <row r="1021">
      <c r="A1021" s="23" t="n"/>
      <c r="B1021" s="24" t="n"/>
      <c r="C1021" s="23" t="n"/>
      <c r="D1021" s="23" t="n"/>
      <c r="E1021" s="23" t="n"/>
      <c r="F1021" s="23" t="n"/>
      <c r="G1021" s="25" t="n"/>
      <c r="H1021" s="26">
        <f>IF(C1021="","",C1021&amp;"|"&amp;D1021)</f>
        <v/>
      </c>
    </row>
    <row r="1022">
      <c r="A1022" s="23" t="n"/>
      <c r="B1022" s="24" t="n"/>
      <c r="C1022" s="23" t="n"/>
      <c r="D1022" s="23" t="n"/>
      <c r="E1022" s="23" t="n"/>
      <c r="F1022" s="23" t="n"/>
      <c r="G1022" s="25" t="n"/>
      <c r="H1022" s="26">
        <f>IF(C1022="","",C1022&amp;"|"&amp;D1022)</f>
        <v/>
      </c>
    </row>
    <row r="1023">
      <c r="A1023" s="23" t="n"/>
      <c r="B1023" s="24" t="n"/>
      <c r="C1023" s="23" t="n"/>
      <c r="D1023" s="23" t="n"/>
      <c r="E1023" s="23" t="n"/>
      <c r="F1023" s="23" t="n"/>
      <c r="G1023" s="25" t="n"/>
      <c r="H1023" s="26">
        <f>IF(C1023="","",C1023&amp;"|"&amp;D1023)</f>
        <v/>
      </c>
    </row>
    <row r="1024">
      <c r="A1024" s="23" t="n"/>
      <c r="B1024" s="24" t="n"/>
      <c r="C1024" s="23" t="n"/>
      <c r="D1024" s="23" t="n"/>
      <c r="E1024" s="23" t="n"/>
      <c r="F1024" s="23" t="n"/>
      <c r="G1024" s="25" t="n"/>
      <c r="H1024" s="26">
        <f>IF(C1024="","",C1024&amp;"|"&amp;D1024)</f>
        <v/>
      </c>
    </row>
    <row r="1025">
      <c r="A1025" s="23" t="n"/>
      <c r="B1025" s="24" t="n"/>
      <c r="C1025" s="23" t="n"/>
      <c r="D1025" s="23" t="n"/>
      <c r="E1025" s="23" t="n"/>
      <c r="F1025" s="23" t="n"/>
      <c r="G1025" s="25" t="n"/>
      <c r="H1025" s="26">
        <f>IF(C1025="","",C1025&amp;"|"&amp;D1025)</f>
        <v/>
      </c>
    </row>
    <row r="1026">
      <c r="A1026" s="23" t="n"/>
      <c r="B1026" s="24" t="n"/>
      <c r="C1026" s="23" t="n"/>
      <c r="D1026" s="23" t="n"/>
      <c r="E1026" s="23" t="n"/>
      <c r="F1026" s="23" t="n"/>
      <c r="G1026" s="25" t="n"/>
      <c r="H1026" s="26">
        <f>IF(C1026="","",C1026&amp;"|"&amp;D1026)</f>
        <v/>
      </c>
    </row>
    <row r="1027">
      <c r="A1027" s="23" t="n"/>
      <c r="B1027" s="24" t="n"/>
      <c r="C1027" s="23" t="n"/>
      <c r="D1027" s="23" t="n"/>
      <c r="E1027" s="23" t="n"/>
      <c r="F1027" s="23" t="n"/>
      <c r="G1027" s="25" t="n"/>
      <c r="H1027" s="26">
        <f>IF(C1027="","",C1027&amp;"|"&amp;D1027)</f>
        <v/>
      </c>
    </row>
    <row r="1028">
      <c r="A1028" s="23" t="n"/>
      <c r="B1028" s="24" t="n"/>
      <c r="C1028" s="23" t="n"/>
      <c r="D1028" s="23" t="n"/>
      <c r="E1028" s="23" t="n"/>
      <c r="F1028" s="23" t="n"/>
      <c r="G1028" s="25" t="n"/>
      <c r="H1028" s="26">
        <f>IF(C1028="","",C1028&amp;"|"&amp;D1028)</f>
        <v/>
      </c>
    </row>
    <row r="1029">
      <c r="A1029" s="23" t="n"/>
      <c r="B1029" s="24" t="n"/>
      <c r="C1029" s="23" t="n"/>
      <c r="D1029" s="23" t="n"/>
      <c r="E1029" s="23" t="n"/>
      <c r="F1029" s="23" t="n"/>
      <c r="G1029" s="25" t="n"/>
      <c r="H1029" s="26">
        <f>IF(C1029="","",C1029&amp;"|"&amp;D1029)</f>
        <v/>
      </c>
    </row>
    <row r="1030">
      <c r="A1030" s="23" t="n"/>
      <c r="B1030" s="24" t="n"/>
      <c r="C1030" s="23" t="n"/>
      <c r="D1030" s="23" t="n"/>
      <c r="E1030" s="23" t="n"/>
      <c r="F1030" s="23" t="n"/>
      <c r="G1030" s="25" t="n"/>
      <c r="H1030" s="26">
        <f>IF(C1030="","",C1030&amp;"|"&amp;D1030)</f>
        <v/>
      </c>
    </row>
    <row r="1031">
      <c r="A1031" s="23" t="n"/>
      <c r="B1031" s="24" t="n"/>
      <c r="C1031" s="23" t="n"/>
      <c r="D1031" s="23" t="n"/>
      <c r="E1031" s="23" t="n"/>
      <c r="F1031" s="23" t="n"/>
      <c r="G1031" s="25" t="n"/>
      <c r="H1031" s="26">
        <f>IF(C1031="","",C1031&amp;"|"&amp;D1031)</f>
        <v/>
      </c>
    </row>
    <row r="1032">
      <c r="A1032" s="23" t="n"/>
      <c r="B1032" s="24" t="n"/>
      <c r="C1032" s="23" t="n"/>
      <c r="D1032" s="23" t="n"/>
      <c r="E1032" s="23" t="n"/>
      <c r="F1032" s="23" t="n"/>
      <c r="G1032" s="25" t="n"/>
      <c r="H1032" s="26">
        <f>IF(C1032="","",C1032&amp;"|"&amp;D1032)</f>
        <v/>
      </c>
    </row>
    <row r="1033">
      <c r="A1033" s="23" t="n"/>
      <c r="B1033" s="24" t="n"/>
      <c r="C1033" s="23" t="n"/>
      <c r="D1033" s="23" t="n"/>
      <c r="E1033" s="23" t="n"/>
      <c r="F1033" s="23" t="n"/>
      <c r="G1033" s="25" t="n"/>
      <c r="H1033" s="26">
        <f>IF(C1033="","",C1033&amp;"|"&amp;D1033)</f>
        <v/>
      </c>
    </row>
    <row r="1034">
      <c r="A1034" s="23" t="n"/>
      <c r="B1034" s="24" t="n"/>
      <c r="C1034" s="23" t="n"/>
      <c r="D1034" s="23" t="n"/>
      <c r="E1034" s="23" t="n"/>
      <c r="F1034" s="23" t="n"/>
      <c r="G1034" s="25" t="n"/>
      <c r="H1034" s="26">
        <f>IF(C1034="","",C1034&amp;"|"&amp;D1034)</f>
        <v/>
      </c>
    </row>
    <row r="1035">
      <c r="A1035" s="23" t="n"/>
      <c r="B1035" s="24" t="n"/>
      <c r="C1035" s="23" t="n"/>
      <c r="D1035" s="23" t="n"/>
      <c r="E1035" s="23" t="n"/>
      <c r="F1035" s="23" t="n"/>
      <c r="G1035" s="25" t="n"/>
      <c r="H1035" s="26">
        <f>IF(C1035="","",C1035&amp;"|"&amp;D1035)</f>
        <v/>
      </c>
    </row>
    <row r="1036">
      <c r="A1036" s="23" t="n"/>
      <c r="B1036" s="24" t="n"/>
      <c r="C1036" s="23" t="n"/>
      <c r="D1036" s="23" t="n"/>
      <c r="E1036" s="23" t="n"/>
      <c r="F1036" s="23" t="n"/>
      <c r="G1036" s="25" t="n"/>
      <c r="H1036" s="26">
        <f>IF(C1036="","",C1036&amp;"|"&amp;D1036)</f>
        <v/>
      </c>
    </row>
    <row r="1037">
      <c r="A1037" s="23" t="n"/>
      <c r="B1037" s="24" t="n"/>
      <c r="C1037" s="23" t="n"/>
      <c r="D1037" s="23" t="n"/>
      <c r="E1037" s="23" t="n"/>
      <c r="F1037" s="23" t="n"/>
      <c r="G1037" s="25" t="n"/>
      <c r="H1037" s="26">
        <f>IF(C1037="","",C1037&amp;"|"&amp;D1037)</f>
        <v/>
      </c>
    </row>
    <row r="1038">
      <c r="A1038" s="23" t="n"/>
      <c r="B1038" s="24" t="n"/>
      <c r="C1038" s="23" t="n"/>
      <c r="D1038" s="23" t="n"/>
      <c r="E1038" s="23" t="n"/>
      <c r="F1038" s="23" t="n"/>
      <c r="G1038" s="25" t="n"/>
      <c r="H1038" s="26">
        <f>IF(C1038="","",C1038&amp;"|"&amp;D1038)</f>
        <v/>
      </c>
    </row>
    <row r="1039">
      <c r="A1039" s="23" t="n"/>
      <c r="B1039" s="24" t="n"/>
      <c r="C1039" s="23" t="n"/>
      <c r="D1039" s="23" t="n"/>
      <c r="E1039" s="23" t="n"/>
      <c r="F1039" s="23" t="n"/>
      <c r="G1039" s="25" t="n"/>
      <c r="H1039" s="26">
        <f>IF(C1039="","",C1039&amp;"|"&amp;D1039)</f>
        <v/>
      </c>
    </row>
    <row r="1040">
      <c r="A1040" s="23" t="n"/>
      <c r="B1040" s="24" t="n"/>
      <c r="C1040" s="23" t="n"/>
      <c r="D1040" s="23" t="n"/>
      <c r="E1040" s="23" t="n"/>
      <c r="F1040" s="23" t="n"/>
      <c r="G1040" s="25" t="n"/>
      <c r="H1040" s="26">
        <f>IF(C1040="","",C1040&amp;"|"&amp;D1040)</f>
        <v/>
      </c>
    </row>
    <row r="1041">
      <c r="A1041" s="23" t="n"/>
      <c r="B1041" s="24" t="n"/>
      <c r="C1041" s="23" t="n"/>
      <c r="D1041" s="23" t="n"/>
      <c r="E1041" s="23" t="n"/>
      <c r="F1041" s="23" t="n"/>
      <c r="G1041" s="25" t="n"/>
      <c r="H1041" s="26">
        <f>IF(C1041="","",C1041&amp;"|"&amp;D1041)</f>
        <v/>
      </c>
    </row>
    <row r="1042">
      <c r="A1042" s="23" t="n"/>
      <c r="B1042" s="24" t="n"/>
      <c r="C1042" s="23" t="n"/>
      <c r="D1042" s="23" t="n"/>
      <c r="E1042" s="23" t="n"/>
      <c r="F1042" s="23" t="n"/>
      <c r="G1042" s="25" t="n"/>
      <c r="H1042" s="26">
        <f>IF(C1042="","",C1042&amp;"|"&amp;D1042)</f>
        <v/>
      </c>
    </row>
    <row r="1043">
      <c r="A1043" s="23" t="n"/>
      <c r="B1043" s="24" t="n"/>
      <c r="C1043" s="23" t="n"/>
      <c r="D1043" s="23" t="n"/>
      <c r="E1043" s="23" t="n"/>
      <c r="F1043" s="23" t="n"/>
      <c r="G1043" s="25" t="n"/>
      <c r="H1043" s="26">
        <f>IF(C1043="","",C1043&amp;"|"&amp;D1043)</f>
        <v/>
      </c>
    </row>
    <row r="1044">
      <c r="A1044" s="23" t="n"/>
      <c r="B1044" s="24" t="n"/>
      <c r="C1044" s="23" t="n"/>
      <c r="D1044" s="23" t="n"/>
      <c r="E1044" s="23" t="n"/>
      <c r="F1044" s="23" t="n"/>
      <c r="G1044" s="25" t="n"/>
      <c r="H1044" s="26">
        <f>IF(C1044="","",C1044&amp;"|"&amp;D1044)</f>
        <v/>
      </c>
    </row>
    <row r="1045">
      <c r="A1045" s="23" t="n"/>
      <c r="B1045" s="24" t="n"/>
      <c r="C1045" s="23" t="n"/>
      <c r="D1045" s="23" t="n"/>
      <c r="E1045" s="23" t="n"/>
      <c r="F1045" s="23" t="n"/>
      <c r="G1045" s="25" t="n"/>
      <c r="H1045" s="26">
        <f>IF(C1045="","",C1045&amp;"|"&amp;D1045)</f>
        <v/>
      </c>
    </row>
    <row r="1046">
      <c r="A1046" s="23" t="n"/>
      <c r="B1046" s="24" t="n"/>
      <c r="C1046" s="23" t="n"/>
      <c r="D1046" s="23" t="n"/>
      <c r="E1046" s="23" t="n"/>
      <c r="F1046" s="23" t="n"/>
      <c r="G1046" s="25" t="n"/>
      <c r="H1046" s="26">
        <f>IF(C1046="","",C1046&amp;"|"&amp;D1046)</f>
        <v/>
      </c>
    </row>
    <row r="1047">
      <c r="A1047" s="23" t="n"/>
      <c r="B1047" s="24" t="n"/>
      <c r="C1047" s="23" t="n"/>
      <c r="D1047" s="23" t="n"/>
      <c r="E1047" s="23" t="n"/>
      <c r="F1047" s="23" t="n"/>
      <c r="G1047" s="25" t="n"/>
      <c r="H1047" s="26">
        <f>IF(C1047="","",C1047&amp;"|"&amp;D1047)</f>
        <v/>
      </c>
    </row>
    <row r="1048">
      <c r="A1048" s="23" t="n"/>
      <c r="B1048" s="24" t="n"/>
      <c r="C1048" s="23" t="n"/>
      <c r="D1048" s="23" t="n"/>
      <c r="E1048" s="23" t="n"/>
      <c r="F1048" s="23" t="n"/>
      <c r="G1048" s="25" t="n"/>
      <c r="H1048" s="26">
        <f>IF(C1048="","",C1048&amp;"|"&amp;D1048)</f>
        <v/>
      </c>
    </row>
    <row r="1049">
      <c r="A1049" s="23" t="n"/>
      <c r="B1049" s="24" t="n"/>
      <c r="C1049" s="23" t="n"/>
      <c r="D1049" s="23" t="n"/>
      <c r="E1049" s="23" t="n"/>
      <c r="F1049" s="23" t="n"/>
      <c r="G1049" s="25" t="n"/>
      <c r="H1049" s="26">
        <f>IF(C1049="","",C1049&amp;"|"&amp;D1049)</f>
        <v/>
      </c>
    </row>
    <row r="1050">
      <c r="A1050" s="23" t="n"/>
      <c r="B1050" s="24" t="n"/>
      <c r="C1050" s="23" t="n"/>
      <c r="D1050" s="23" t="n"/>
      <c r="E1050" s="23" t="n"/>
      <c r="F1050" s="23" t="n"/>
      <c r="G1050" s="25" t="n"/>
      <c r="H1050" s="26">
        <f>IF(C1050="","",C1050&amp;"|"&amp;D1050)</f>
        <v/>
      </c>
    </row>
    <row r="1051">
      <c r="A1051" s="23" t="n"/>
      <c r="B1051" s="24" t="n"/>
      <c r="C1051" s="23" t="n"/>
      <c r="D1051" s="23" t="n"/>
      <c r="E1051" s="23" t="n"/>
      <c r="F1051" s="23" t="n"/>
      <c r="G1051" s="25" t="n"/>
      <c r="H1051" s="26">
        <f>IF(C1051="","",C1051&amp;"|"&amp;D1051)</f>
        <v/>
      </c>
    </row>
    <row r="1052">
      <c r="A1052" s="23" t="n"/>
      <c r="B1052" s="24" t="n"/>
      <c r="C1052" s="23" t="n"/>
      <c r="D1052" s="23" t="n"/>
      <c r="E1052" s="23" t="n"/>
      <c r="F1052" s="23" t="n"/>
      <c r="G1052" s="25" t="n"/>
      <c r="H1052" s="26">
        <f>IF(C1052="","",C1052&amp;"|"&amp;D1052)</f>
        <v/>
      </c>
    </row>
    <row r="1053">
      <c r="A1053" s="23" t="n"/>
      <c r="B1053" s="24" t="n"/>
      <c r="C1053" s="23" t="n"/>
      <c r="D1053" s="23" t="n"/>
      <c r="E1053" s="23" t="n"/>
      <c r="F1053" s="23" t="n"/>
      <c r="G1053" s="25" t="n"/>
      <c r="H1053" s="26">
        <f>IF(C1053="","",C1053&amp;"|"&amp;D1053)</f>
        <v/>
      </c>
    </row>
    <row r="1054">
      <c r="A1054" s="23" t="n"/>
      <c r="B1054" s="24" t="n"/>
      <c r="C1054" s="23" t="n"/>
      <c r="D1054" s="23" t="n"/>
      <c r="E1054" s="23" t="n"/>
      <c r="F1054" s="23" t="n"/>
      <c r="G1054" s="25" t="n"/>
      <c r="H1054" s="26">
        <f>IF(C1054="","",C1054&amp;"|"&amp;D1054)</f>
        <v/>
      </c>
    </row>
    <row r="1055">
      <c r="A1055" s="23" t="n"/>
      <c r="B1055" s="24" t="n"/>
      <c r="C1055" s="23" t="n"/>
      <c r="D1055" s="23" t="n"/>
      <c r="E1055" s="23" t="n"/>
      <c r="F1055" s="23" t="n"/>
      <c r="G1055" s="25" t="n"/>
      <c r="H1055" s="26">
        <f>IF(C1055="","",C1055&amp;"|"&amp;D1055)</f>
        <v/>
      </c>
    </row>
    <row r="1056">
      <c r="A1056" s="23" t="n"/>
      <c r="B1056" s="24" t="n"/>
      <c r="C1056" s="23" t="n"/>
      <c r="D1056" s="23" t="n"/>
      <c r="E1056" s="23" t="n"/>
      <c r="F1056" s="23" t="n"/>
      <c r="G1056" s="25" t="n"/>
      <c r="H1056" s="26">
        <f>IF(C1056="","",C1056&amp;"|"&amp;D1056)</f>
        <v/>
      </c>
    </row>
    <row r="1057">
      <c r="A1057" s="23" t="n"/>
      <c r="B1057" s="24" t="n"/>
      <c r="C1057" s="23" t="n"/>
      <c r="D1057" s="23" t="n"/>
      <c r="E1057" s="23" t="n"/>
      <c r="F1057" s="23" t="n"/>
      <c r="G1057" s="25" t="n"/>
      <c r="H1057" s="26">
        <f>IF(C1057="","",C1057&amp;"|"&amp;D1057)</f>
        <v/>
      </c>
    </row>
    <row r="1058">
      <c r="A1058" s="23" t="n"/>
      <c r="B1058" s="24" t="n"/>
      <c r="C1058" s="23" t="n"/>
      <c r="D1058" s="23" t="n"/>
      <c r="E1058" s="23" t="n"/>
      <c r="F1058" s="23" t="n"/>
      <c r="G1058" s="25" t="n"/>
      <c r="H1058" s="26">
        <f>IF(C1058="","",C1058&amp;"|"&amp;D1058)</f>
        <v/>
      </c>
    </row>
    <row r="1059">
      <c r="A1059" s="23" t="n"/>
      <c r="B1059" s="24" t="n"/>
      <c r="C1059" s="23" t="n"/>
      <c r="D1059" s="23" t="n"/>
      <c r="E1059" s="23" t="n"/>
      <c r="F1059" s="23" t="n"/>
      <c r="G1059" s="25" t="n"/>
      <c r="H1059" s="26">
        <f>IF(C1059="","",C1059&amp;"|"&amp;D1059)</f>
        <v/>
      </c>
    </row>
    <row r="1060">
      <c r="A1060" s="23" t="n"/>
      <c r="B1060" s="24" t="n"/>
      <c r="C1060" s="23" t="n"/>
      <c r="D1060" s="23" t="n"/>
      <c r="E1060" s="23" t="n"/>
      <c r="F1060" s="23" t="n"/>
      <c r="G1060" s="25" t="n"/>
      <c r="H1060" s="26">
        <f>IF(C1060="","",C1060&amp;"|"&amp;D1060)</f>
        <v/>
      </c>
    </row>
    <row r="1061">
      <c r="A1061" s="23" t="n"/>
      <c r="B1061" s="24" t="n"/>
      <c r="C1061" s="23" t="n"/>
      <c r="D1061" s="23" t="n"/>
      <c r="E1061" s="23" t="n"/>
      <c r="F1061" s="23" t="n"/>
      <c r="G1061" s="25" t="n"/>
      <c r="H1061" s="26">
        <f>IF(C1061="","",C1061&amp;"|"&amp;D1061)</f>
        <v/>
      </c>
    </row>
    <row r="1062">
      <c r="A1062" s="23" t="n"/>
      <c r="B1062" s="24" t="n"/>
      <c r="C1062" s="23" t="n"/>
      <c r="D1062" s="23" t="n"/>
      <c r="E1062" s="23" t="n"/>
      <c r="F1062" s="23" t="n"/>
      <c r="G1062" s="25" t="n"/>
      <c r="H1062" s="26">
        <f>IF(C1062="","",C1062&amp;"|"&amp;D1062)</f>
        <v/>
      </c>
    </row>
    <row r="1063">
      <c r="A1063" s="23" t="n"/>
      <c r="B1063" s="24" t="n"/>
      <c r="C1063" s="23" t="n"/>
      <c r="D1063" s="23" t="n"/>
      <c r="E1063" s="23" t="n"/>
      <c r="F1063" s="23" t="n"/>
      <c r="G1063" s="25" t="n"/>
      <c r="H1063" s="26">
        <f>IF(C1063="","",C1063&amp;"|"&amp;D1063)</f>
        <v/>
      </c>
    </row>
    <row r="1064">
      <c r="A1064" s="23" t="n"/>
      <c r="B1064" s="24" t="n"/>
      <c r="C1064" s="23" t="n"/>
      <c r="D1064" s="23" t="n"/>
      <c r="E1064" s="23" t="n"/>
      <c r="F1064" s="23" t="n"/>
      <c r="G1064" s="25" t="n"/>
      <c r="H1064" s="26">
        <f>IF(C1064="","",C1064&amp;"|"&amp;D1064)</f>
        <v/>
      </c>
    </row>
    <row r="1065">
      <c r="A1065" s="23" t="n"/>
      <c r="B1065" s="24" t="n"/>
      <c r="C1065" s="23" t="n"/>
      <c r="D1065" s="23" t="n"/>
      <c r="E1065" s="23" t="n"/>
      <c r="F1065" s="23" t="n"/>
      <c r="G1065" s="25" t="n"/>
      <c r="H1065" s="26">
        <f>IF(C1065="","",C1065&amp;"|"&amp;D1065)</f>
        <v/>
      </c>
    </row>
    <row r="1066">
      <c r="A1066" s="23" t="n"/>
      <c r="B1066" s="24" t="n"/>
      <c r="C1066" s="23" t="n"/>
      <c r="D1066" s="23" t="n"/>
      <c r="E1066" s="23" t="n"/>
      <c r="F1066" s="23" t="n"/>
      <c r="G1066" s="25" t="n"/>
      <c r="H1066" s="26">
        <f>IF(C1066="","",C1066&amp;"|"&amp;D1066)</f>
        <v/>
      </c>
    </row>
    <row r="1067">
      <c r="A1067" s="23" t="n"/>
      <c r="B1067" s="24" t="n"/>
      <c r="C1067" s="23" t="n"/>
      <c r="D1067" s="23" t="n"/>
      <c r="E1067" s="23" t="n"/>
      <c r="F1067" s="23" t="n"/>
      <c r="G1067" s="25" t="n"/>
      <c r="H1067" s="26">
        <f>IF(C1067="","",C1067&amp;"|"&amp;D1067)</f>
        <v/>
      </c>
    </row>
    <row r="1068">
      <c r="A1068" s="23" t="n"/>
      <c r="B1068" s="24" t="n"/>
      <c r="C1068" s="23" t="n"/>
      <c r="D1068" s="23" t="n"/>
      <c r="E1068" s="23" t="n"/>
      <c r="F1068" s="23" t="n"/>
      <c r="G1068" s="25" t="n"/>
      <c r="H1068" s="26">
        <f>IF(C1068="","",C1068&amp;"|"&amp;D1068)</f>
        <v/>
      </c>
    </row>
    <row r="1069">
      <c r="A1069" s="23" t="n"/>
      <c r="B1069" s="24" t="n"/>
      <c r="C1069" s="23" t="n"/>
      <c r="D1069" s="23" t="n"/>
      <c r="E1069" s="23" t="n"/>
      <c r="F1069" s="23" t="n"/>
      <c r="G1069" s="25" t="n"/>
      <c r="H1069" s="26">
        <f>IF(C1069="","",C1069&amp;"|"&amp;D1069)</f>
        <v/>
      </c>
    </row>
    <row r="1070">
      <c r="A1070" s="23" t="n"/>
      <c r="B1070" s="24" t="n"/>
      <c r="C1070" s="23" t="n"/>
      <c r="D1070" s="23" t="n"/>
      <c r="E1070" s="23" t="n"/>
      <c r="F1070" s="23" t="n"/>
      <c r="G1070" s="25" t="n"/>
      <c r="H1070" s="26">
        <f>IF(C1070="","",C1070&amp;"|"&amp;D1070)</f>
        <v/>
      </c>
    </row>
    <row r="1071">
      <c r="A1071" s="23" t="n"/>
      <c r="B1071" s="24" t="n"/>
      <c r="C1071" s="23" t="n"/>
      <c r="D1071" s="23" t="n"/>
      <c r="E1071" s="23" t="n"/>
      <c r="F1071" s="23" t="n"/>
      <c r="G1071" s="25" t="n"/>
      <c r="H1071" s="26">
        <f>IF(C1071="","",C1071&amp;"|"&amp;D1071)</f>
        <v/>
      </c>
    </row>
    <row r="1072">
      <c r="A1072" s="23" t="n"/>
      <c r="B1072" s="24" t="n"/>
      <c r="C1072" s="23" t="n"/>
      <c r="D1072" s="23" t="n"/>
      <c r="E1072" s="23" t="n"/>
      <c r="F1072" s="23" t="n"/>
      <c r="G1072" s="25" t="n"/>
      <c r="H1072" s="26">
        <f>IF(C1072="","",C1072&amp;"|"&amp;D1072)</f>
        <v/>
      </c>
    </row>
    <row r="1073">
      <c r="A1073" s="23" t="n"/>
      <c r="B1073" s="24" t="n"/>
      <c r="C1073" s="23" t="n"/>
      <c r="D1073" s="23" t="n"/>
      <c r="E1073" s="23" t="n"/>
      <c r="F1073" s="23" t="n"/>
      <c r="G1073" s="25" t="n"/>
      <c r="H1073" s="26">
        <f>IF(C1073="","",C1073&amp;"|"&amp;D1073)</f>
        <v/>
      </c>
    </row>
    <row r="1074">
      <c r="A1074" s="23" t="n"/>
      <c r="B1074" s="24" t="n"/>
      <c r="C1074" s="23" t="n"/>
      <c r="D1074" s="23" t="n"/>
      <c r="E1074" s="23" t="n"/>
      <c r="F1074" s="23" t="n"/>
      <c r="G1074" s="25" t="n"/>
      <c r="H1074" s="26">
        <f>IF(C1074="","",C1074&amp;"|"&amp;D1074)</f>
        <v/>
      </c>
    </row>
    <row r="1075">
      <c r="A1075" s="23" t="n"/>
      <c r="B1075" s="24" t="n"/>
      <c r="C1075" s="23" t="n"/>
      <c r="D1075" s="23" t="n"/>
      <c r="E1075" s="23" t="n"/>
      <c r="F1075" s="23" t="n"/>
      <c r="G1075" s="25" t="n"/>
      <c r="H1075" s="26">
        <f>IF(C1075="","",C1075&amp;"|"&amp;D1075)</f>
        <v/>
      </c>
    </row>
    <row r="1076">
      <c r="A1076" s="23" t="n"/>
      <c r="B1076" s="24" t="n"/>
      <c r="C1076" s="23" t="n"/>
      <c r="D1076" s="23" t="n"/>
      <c r="E1076" s="23" t="n"/>
      <c r="F1076" s="23" t="n"/>
      <c r="G1076" s="25" t="n"/>
      <c r="H1076" s="26">
        <f>IF(C1076="","",C1076&amp;"|"&amp;D1076)</f>
        <v/>
      </c>
    </row>
    <row r="1077">
      <c r="A1077" s="23" t="n"/>
      <c r="B1077" s="24" t="n"/>
      <c r="C1077" s="23" t="n"/>
      <c r="D1077" s="23" t="n"/>
      <c r="E1077" s="23" t="n"/>
      <c r="F1077" s="23" t="n"/>
      <c r="G1077" s="25" t="n"/>
      <c r="H1077" s="26">
        <f>IF(C1077="","",C1077&amp;"|"&amp;D1077)</f>
        <v/>
      </c>
    </row>
    <row r="1078">
      <c r="A1078" s="23" t="n"/>
      <c r="B1078" s="24" t="n"/>
      <c r="C1078" s="23" t="n"/>
      <c r="D1078" s="23" t="n"/>
      <c r="E1078" s="23" t="n"/>
      <c r="F1078" s="23" t="n"/>
      <c r="G1078" s="25" t="n"/>
      <c r="H1078" s="26">
        <f>IF(C1078="","",C1078&amp;"|"&amp;D1078)</f>
        <v/>
      </c>
    </row>
    <row r="1079">
      <c r="A1079" s="23" t="n"/>
      <c r="B1079" s="24" t="n"/>
      <c r="C1079" s="23" t="n"/>
      <c r="D1079" s="23" t="n"/>
      <c r="E1079" s="23" t="n"/>
      <c r="F1079" s="23" t="n"/>
      <c r="G1079" s="25" t="n"/>
      <c r="H1079" s="26">
        <f>IF(C1079="","",C1079&amp;"|"&amp;D1079)</f>
        <v/>
      </c>
    </row>
    <row r="1080">
      <c r="A1080" s="23" t="n"/>
      <c r="B1080" s="24" t="n"/>
      <c r="C1080" s="23" t="n"/>
      <c r="D1080" s="23" t="n"/>
      <c r="E1080" s="23" t="n"/>
      <c r="F1080" s="23" t="n"/>
      <c r="G1080" s="25" t="n"/>
      <c r="H1080" s="26">
        <f>IF(C1080="","",C1080&amp;"|"&amp;D1080)</f>
        <v/>
      </c>
    </row>
    <row r="1081">
      <c r="A1081" s="23" t="n"/>
      <c r="B1081" s="24" t="n"/>
      <c r="C1081" s="23" t="n"/>
      <c r="D1081" s="23" t="n"/>
      <c r="E1081" s="23" t="n"/>
      <c r="F1081" s="23" t="n"/>
      <c r="G1081" s="25" t="n"/>
      <c r="H1081" s="26">
        <f>IF(C1081="","",C1081&amp;"|"&amp;D1081)</f>
        <v/>
      </c>
    </row>
    <row r="1082">
      <c r="A1082" s="23" t="n"/>
      <c r="B1082" s="24" t="n"/>
      <c r="C1082" s="23" t="n"/>
      <c r="D1082" s="23" t="n"/>
      <c r="E1082" s="23" t="n"/>
      <c r="F1082" s="23" t="n"/>
      <c r="G1082" s="25" t="n"/>
      <c r="H1082" s="26">
        <f>IF(C1082="","",C1082&amp;"|"&amp;D1082)</f>
        <v/>
      </c>
    </row>
    <row r="1083">
      <c r="A1083" s="23" t="n"/>
      <c r="B1083" s="24" t="n"/>
      <c r="C1083" s="23" t="n"/>
      <c r="D1083" s="23" t="n"/>
      <c r="E1083" s="23" t="n"/>
      <c r="F1083" s="23" t="n"/>
      <c r="G1083" s="25" t="n"/>
      <c r="H1083" s="26">
        <f>IF(C1083="","",C1083&amp;"|"&amp;D1083)</f>
        <v/>
      </c>
    </row>
    <row r="1084">
      <c r="A1084" s="23" t="n"/>
      <c r="B1084" s="24" t="n"/>
      <c r="C1084" s="23" t="n"/>
      <c r="D1084" s="23" t="n"/>
      <c r="E1084" s="23" t="n"/>
      <c r="F1084" s="23" t="n"/>
      <c r="G1084" s="25" t="n"/>
      <c r="H1084" s="26">
        <f>IF(C1084="","",C1084&amp;"|"&amp;D1084)</f>
        <v/>
      </c>
    </row>
    <row r="1085">
      <c r="A1085" s="23" t="n"/>
      <c r="B1085" s="24" t="n"/>
      <c r="C1085" s="23" t="n"/>
      <c r="D1085" s="23" t="n"/>
      <c r="E1085" s="23" t="n"/>
      <c r="F1085" s="23" t="n"/>
      <c r="G1085" s="25" t="n"/>
      <c r="H1085" s="26">
        <f>IF(C1085="","",C1085&amp;"|"&amp;D1085)</f>
        <v/>
      </c>
    </row>
    <row r="1086">
      <c r="A1086" s="23" t="n"/>
      <c r="B1086" s="24" t="n"/>
      <c r="C1086" s="23" t="n"/>
      <c r="D1086" s="23" t="n"/>
      <c r="E1086" s="23" t="n"/>
      <c r="F1086" s="23" t="n"/>
      <c r="G1086" s="25" t="n"/>
      <c r="H1086" s="26">
        <f>IF(C1086="","",C1086&amp;"|"&amp;D1086)</f>
        <v/>
      </c>
    </row>
    <row r="1087">
      <c r="A1087" s="23" t="n"/>
      <c r="B1087" s="24" t="n"/>
      <c r="C1087" s="23" t="n"/>
      <c r="D1087" s="23" t="n"/>
      <c r="E1087" s="23" t="n"/>
      <c r="F1087" s="23" t="n"/>
      <c r="G1087" s="25" t="n"/>
      <c r="H1087" s="26">
        <f>IF(C1087="","",C1087&amp;"|"&amp;D1087)</f>
        <v/>
      </c>
    </row>
    <row r="1088">
      <c r="A1088" s="23" t="n"/>
      <c r="B1088" s="24" t="n"/>
      <c r="C1088" s="23" t="n"/>
      <c r="D1088" s="23" t="n"/>
      <c r="E1088" s="23" t="n"/>
      <c r="F1088" s="23" t="n"/>
      <c r="G1088" s="25" t="n"/>
      <c r="H1088" s="26">
        <f>IF(C1088="","",C1088&amp;"|"&amp;D1088)</f>
        <v/>
      </c>
    </row>
    <row r="1089">
      <c r="A1089" s="23" t="n"/>
      <c r="B1089" s="24" t="n"/>
      <c r="C1089" s="23" t="n"/>
      <c r="D1089" s="23" t="n"/>
      <c r="E1089" s="23" t="n"/>
      <c r="F1089" s="23" t="n"/>
      <c r="G1089" s="25" t="n"/>
      <c r="H1089" s="26">
        <f>IF(C1089="","",C1089&amp;"|"&amp;D1089)</f>
        <v/>
      </c>
    </row>
    <row r="1090">
      <c r="A1090" s="23" t="n"/>
      <c r="B1090" s="24" t="n"/>
      <c r="C1090" s="23" t="n"/>
      <c r="D1090" s="23" t="n"/>
      <c r="E1090" s="23" t="n"/>
      <c r="F1090" s="23" t="n"/>
      <c r="G1090" s="25" t="n"/>
      <c r="H1090" s="26">
        <f>IF(C1090="","",C1090&amp;"|"&amp;D1090)</f>
        <v/>
      </c>
    </row>
    <row r="1091">
      <c r="A1091" s="23" t="n"/>
      <c r="B1091" s="24" t="n"/>
      <c r="C1091" s="23" t="n"/>
      <c r="D1091" s="23" t="n"/>
      <c r="E1091" s="23" t="n"/>
      <c r="F1091" s="23" t="n"/>
      <c r="G1091" s="25" t="n"/>
      <c r="H1091" s="26">
        <f>IF(C1091="","",C1091&amp;"|"&amp;D1091)</f>
        <v/>
      </c>
    </row>
    <row r="1092">
      <c r="A1092" s="23" t="n"/>
      <c r="B1092" s="24" t="n"/>
      <c r="C1092" s="23" t="n"/>
      <c r="D1092" s="23" t="n"/>
      <c r="E1092" s="23" t="n"/>
      <c r="F1092" s="23" t="n"/>
      <c r="G1092" s="25" t="n"/>
      <c r="H1092" s="26">
        <f>IF(C1092="","",C1092&amp;"|"&amp;D1092)</f>
        <v/>
      </c>
    </row>
    <row r="1093">
      <c r="A1093" s="23" t="n"/>
      <c r="B1093" s="24" t="n"/>
      <c r="C1093" s="23" t="n"/>
      <c r="D1093" s="23" t="n"/>
      <c r="E1093" s="23" t="n"/>
      <c r="F1093" s="23" t="n"/>
      <c r="G1093" s="25" t="n"/>
      <c r="H1093" s="26">
        <f>IF(C1093="","",C1093&amp;"|"&amp;D1093)</f>
        <v/>
      </c>
    </row>
    <row r="1094">
      <c r="A1094" s="23" t="n"/>
      <c r="B1094" s="24" t="n"/>
      <c r="C1094" s="23" t="n"/>
      <c r="D1094" s="23" t="n"/>
      <c r="E1094" s="23" t="n"/>
      <c r="F1094" s="23" t="n"/>
      <c r="G1094" s="25" t="n"/>
      <c r="H1094" s="26">
        <f>IF(C1094="","",C1094&amp;"|"&amp;D1094)</f>
        <v/>
      </c>
    </row>
    <row r="1095">
      <c r="A1095" s="23" t="n"/>
      <c r="B1095" s="24" t="n"/>
      <c r="C1095" s="23" t="n"/>
      <c r="D1095" s="23" t="n"/>
      <c r="E1095" s="23" t="n"/>
      <c r="F1095" s="23" t="n"/>
      <c r="G1095" s="25" t="n"/>
      <c r="H1095" s="26">
        <f>IF(C1095="","",C1095&amp;"|"&amp;D1095)</f>
        <v/>
      </c>
    </row>
    <row r="1096">
      <c r="A1096" s="23" t="n"/>
      <c r="B1096" s="24" t="n"/>
      <c r="C1096" s="23" t="n"/>
      <c r="D1096" s="23" t="n"/>
      <c r="E1096" s="23" t="n"/>
      <c r="F1096" s="23" t="n"/>
      <c r="G1096" s="25" t="n"/>
      <c r="H1096" s="26">
        <f>IF(C1096="","",C1096&amp;"|"&amp;D1096)</f>
        <v/>
      </c>
    </row>
    <row r="1097">
      <c r="A1097" s="23" t="n"/>
      <c r="B1097" s="24" t="n"/>
      <c r="C1097" s="23" t="n"/>
      <c r="D1097" s="23" t="n"/>
      <c r="E1097" s="23" t="n"/>
      <c r="F1097" s="23" t="n"/>
      <c r="G1097" s="25" t="n"/>
      <c r="H1097" s="26">
        <f>IF(C1097="","",C1097&amp;"|"&amp;D1097)</f>
        <v/>
      </c>
    </row>
    <row r="1098">
      <c r="A1098" s="23" t="n"/>
      <c r="B1098" s="24" t="n"/>
      <c r="C1098" s="23" t="n"/>
      <c r="D1098" s="23" t="n"/>
      <c r="E1098" s="23" t="n"/>
      <c r="F1098" s="23" t="n"/>
      <c r="G1098" s="25" t="n"/>
      <c r="H1098" s="26">
        <f>IF(C1098="","",C1098&amp;"|"&amp;D1098)</f>
        <v/>
      </c>
    </row>
    <row r="1099">
      <c r="A1099" s="23" t="n"/>
      <c r="B1099" s="24" t="n"/>
      <c r="C1099" s="23" t="n"/>
      <c r="D1099" s="23" t="n"/>
      <c r="E1099" s="23" t="n"/>
      <c r="F1099" s="23" t="n"/>
      <c r="G1099" s="25" t="n"/>
      <c r="H1099" s="26">
        <f>IF(C1099="","",C1099&amp;"|"&amp;D1099)</f>
        <v/>
      </c>
    </row>
    <row r="1100">
      <c r="A1100" s="23" t="n"/>
      <c r="B1100" s="24" t="n"/>
      <c r="C1100" s="23" t="n"/>
      <c r="D1100" s="23" t="n"/>
      <c r="E1100" s="23" t="n"/>
      <c r="F1100" s="23" t="n"/>
      <c r="G1100" s="25" t="n"/>
      <c r="H1100" s="26">
        <f>IF(C1100="","",C1100&amp;"|"&amp;D1100)</f>
        <v/>
      </c>
    </row>
    <row r="1101">
      <c r="A1101" s="23" t="n"/>
      <c r="B1101" s="24" t="n"/>
      <c r="C1101" s="23" t="n"/>
      <c r="D1101" s="23" t="n"/>
      <c r="E1101" s="23" t="n"/>
      <c r="F1101" s="23" t="n"/>
      <c r="G1101" s="25" t="n"/>
      <c r="H1101" s="26">
        <f>IF(C1101="","",C1101&amp;"|"&amp;D1101)</f>
        <v/>
      </c>
    </row>
    <row r="1102">
      <c r="A1102" s="23" t="n"/>
      <c r="B1102" s="24" t="n"/>
      <c r="C1102" s="23" t="n"/>
      <c r="D1102" s="23" t="n"/>
      <c r="E1102" s="23" t="n"/>
      <c r="F1102" s="23" t="n"/>
      <c r="G1102" s="25" t="n"/>
      <c r="H1102" s="26">
        <f>IF(C1102="","",C1102&amp;"|"&amp;D1102)</f>
        <v/>
      </c>
    </row>
    <row r="1103">
      <c r="A1103" s="23" t="n"/>
      <c r="B1103" s="24" t="n"/>
      <c r="C1103" s="23" t="n"/>
      <c r="D1103" s="23" t="n"/>
      <c r="E1103" s="23" t="n"/>
      <c r="F1103" s="23" t="n"/>
      <c r="G1103" s="25" t="n"/>
      <c r="H1103" s="26">
        <f>IF(C1103="","",C1103&amp;"|"&amp;D1103)</f>
        <v/>
      </c>
    </row>
    <row r="1104">
      <c r="A1104" s="23" t="n"/>
      <c r="B1104" s="24" t="n"/>
      <c r="C1104" s="23" t="n"/>
      <c r="D1104" s="23" t="n"/>
      <c r="E1104" s="23" t="n"/>
      <c r="F1104" s="23" t="n"/>
      <c r="G1104" s="25" t="n"/>
      <c r="H1104" s="26">
        <f>IF(C1104="","",C1104&amp;"|"&amp;D1104)</f>
        <v/>
      </c>
    </row>
    <row r="1105">
      <c r="A1105" s="23" t="n"/>
      <c r="B1105" s="24" t="n"/>
      <c r="C1105" s="23" t="n"/>
      <c r="D1105" s="23" t="n"/>
      <c r="E1105" s="23" t="n"/>
      <c r="F1105" s="23" t="n"/>
      <c r="G1105" s="25" t="n"/>
      <c r="H1105" s="26">
        <f>IF(C1105="","",C1105&amp;"|"&amp;D1105)</f>
        <v/>
      </c>
    </row>
    <row r="1106">
      <c r="A1106" s="23" t="n"/>
      <c r="B1106" s="24" t="n"/>
      <c r="C1106" s="23" t="n"/>
      <c r="D1106" s="23" t="n"/>
      <c r="E1106" s="23" t="n"/>
      <c r="F1106" s="23" t="n"/>
      <c r="G1106" s="25" t="n"/>
      <c r="H1106" s="26">
        <f>IF(C1106="","",C1106&amp;"|"&amp;D1106)</f>
        <v/>
      </c>
    </row>
    <row r="1107">
      <c r="A1107" s="23" t="n"/>
      <c r="B1107" s="24" t="n"/>
      <c r="C1107" s="23" t="n"/>
      <c r="D1107" s="23" t="n"/>
      <c r="E1107" s="23" t="n"/>
      <c r="F1107" s="23" t="n"/>
      <c r="G1107" s="25" t="n"/>
      <c r="H1107" s="26">
        <f>IF(C1107="","",C1107&amp;"|"&amp;D1107)</f>
        <v/>
      </c>
    </row>
    <row r="1108">
      <c r="A1108" s="23" t="n"/>
      <c r="B1108" s="24" t="n"/>
      <c r="C1108" s="23" t="n"/>
      <c r="D1108" s="23" t="n"/>
      <c r="E1108" s="23" t="n"/>
      <c r="F1108" s="23" t="n"/>
      <c r="G1108" s="25" t="n"/>
      <c r="H1108" s="26">
        <f>IF(C1108="","",C1108&amp;"|"&amp;D1108)</f>
        <v/>
      </c>
    </row>
    <row r="1109">
      <c r="A1109" s="23" t="n"/>
      <c r="B1109" s="24" t="n"/>
      <c r="C1109" s="23" t="n"/>
      <c r="D1109" s="23" t="n"/>
      <c r="E1109" s="23" t="n"/>
      <c r="F1109" s="23" t="n"/>
      <c r="G1109" s="25" t="n"/>
      <c r="H1109" s="26">
        <f>IF(C1109="","",C1109&amp;"|"&amp;D1109)</f>
        <v/>
      </c>
    </row>
    <row r="1110">
      <c r="A1110" s="23" t="n"/>
      <c r="B1110" s="24" t="n"/>
      <c r="C1110" s="23" t="n"/>
      <c r="D1110" s="23" t="n"/>
      <c r="E1110" s="23" t="n"/>
      <c r="F1110" s="23" t="n"/>
      <c r="G1110" s="25" t="n"/>
      <c r="H1110" s="26">
        <f>IF(C1110="","",C1110&amp;"|"&amp;D1110)</f>
        <v/>
      </c>
    </row>
    <row r="1111">
      <c r="A1111" s="23" t="n"/>
      <c r="B1111" s="24" t="n"/>
      <c r="C1111" s="23" t="n"/>
      <c r="D1111" s="23" t="n"/>
      <c r="E1111" s="23" t="n"/>
      <c r="F1111" s="23" t="n"/>
      <c r="G1111" s="25" t="n"/>
      <c r="H1111" s="26">
        <f>IF(C1111="","",C1111&amp;"|"&amp;D1111)</f>
        <v/>
      </c>
    </row>
    <row r="1112">
      <c r="A1112" s="23" t="n"/>
      <c r="B1112" s="24" t="n"/>
      <c r="C1112" s="23" t="n"/>
      <c r="D1112" s="23" t="n"/>
      <c r="E1112" s="23" t="n"/>
      <c r="F1112" s="23" t="n"/>
      <c r="G1112" s="25" t="n"/>
      <c r="H1112" s="26">
        <f>IF(C1112="","",C1112&amp;"|"&amp;D1112)</f>
        <v/>
      </c>
    </row>
    <row r="1113">
      <c r="A1113" s="23" t="n"/>
      <c r="B1113" s="24" t="n"/>
      <c r="C1113" s="23" t="n"/>
      <c r="D1113" s="23" t="n"/>
      <c r="E1113" s="23" t="n"/>
      <c r="F1113" s="23" t="n"/>
      <c r="G1113" s="25" t="n"/>
      <c r="H1113" s="26">
        <f>IF(C1113="","",C1113&amp;"|"&amp;D1113)</f>
        <v/>
      </c>
    </row>
    <row r="1114">
      <c r="A1114" s="23" t="n"/>
      <c r="B1114" s="24" t="n"/>
      <c r="C1114" s="23" t="n"/>
      <c r="D1114" s="23" t="n"/>
      <c r="E1114" s="23" t="n"/>
      <c r="F1114" s="23" t="n"/>
      <c r="G1114" s="25" t="n"/>
      <c r="H1114" s="26">
        <f>IF(C1114="","",C1114&amp;"|"&amp;D1114)</f>
        <v/>
      </c>
    </row>
    <row r="1115">
      <c r="A1115" s="23" t="n"/>
      <c r="B1115" s="24" t="n"/>
      <c r="C1115" s="23" t="n"/>
      <c r="D1115" s="23" t="n"/>
      <c r="E1115" s="23" t="n"/>
      <c r="F1115" s="23" t="n"/>
      <c r="G1115" s="25" t="n"/>
      <c r="H1115" s="26">
        <f>IF(C1115="","",C1115&amp;"|"&amp;D1115)</f>
        <v/>
      </c>
    </row>
    <row r="1116">
      <c r="A1116" s="23" t="n"/>
      <c r="B1116" s="24" t="n"/>
      <c r="C1116" s="23" t="n"/>
      <c r="D1116" s="23" t="n"/>
      <c r="E1116" s="23" t="n"/>
      <c r="F1116" s="23" t="n"/>
      <c r="G1116" s="25" t="n"/>
      <c r="H1116" s="26">
        <f>IF(C1116="","",C1116&amp;"|"&amp;D1116)</f>
        <v/>
      </c>
    </row>
    <row r="1117">
      <c r="A1117" s="23" t="n"/>
      <c r="B1117" s="24" t="n"/>
      <c r="C1117" s="23" t="n"/>
      <c r="D1117" s="23" t="n"/>
      <c r="E1117" s="23" t="n"/>
      <c r="F1117" s="23" t="n"/>
      <c r="G1117" s="25" t="n"/>
      <c r="H1117" s="26">
        <f>IF(C1117="","",C1117&amp;"|"&amp;D1117)</f>
        <v/>
      </c>
    </row>
    <row r="1118">
      <c r="A1118" s="23" t="n"/>
      <c r="B1118" s="24" t="n"/>
      <c r="C1118" s="23" t="n"/>
      <c r="D1118" s="23" t="n"/>
      <c r="E1118" s="23" t="n"/>
      <c r="F1118" s="23" t="n"/>
      <c r="G1118" s="25" t="n"/>
      <c r="H1118" s="26">
        <f>IF(C1118="","",C1118&amp;"|"&amp;D1118)</f>
        <v/>
      </c>
    </row>
    <row r="1119">
      <c r="A1119" s="23" t="n"/>
      <c r="B1119" s="24" t="n"/>
      <c r="C1119" s="23" t="n"/>
      <c r="D1119" s="23" t="n"/>
      <c r="E1119" s="23" t="n"/>
      <c r="F1119" s="23" t="n"/>
      <c r="G1119" s="25" t="n"/>
      <c r="H1119" s="26">
        <f>IF(C1119="","",C1119&amp;"|"&amp;D1119)</f>
        <v/>
      </c>
    </row>
    <row r="1120">
      <c r="A1120" s="23" t="n"/>
      <c r="B1120" s="24" t="n"/>
      <c r="C1120" s="23" t="n"/>
      <c r="D1120" s="23" t="n"/>
      <c r="E1120" s="23" t="n"/>
      <c r="F1120" s="23" t="n"/>
      <c r="G1120" s="25" t="n"/>
      <c r="H1120" s="26">
        <f>IF(C1120="","",C1120&amp;"|"&amp;D1120)</f>
        <v/>
      </c>
    </row>
    <row r="1121">
      <c r="A1121" s="23" t="n"/>
      <c r="B1121" s="24" t="n"/>
      <c r="C1121" s="23" t="n"/>
      <c r="D1121" s="23" t="n"/>
      <c r="E1121" s="23" t="n"/>
      <c r="F1121" s="23" t="n"/>
      <c r="G1121" s="25" t="n"/>
      <c r="H1121" s="26">
        <f>IF(C1121="","",C1121&amp;"|"&amp;D1121)</f>
        <v/>
      </c>
    </row>
    <row r="1122">
      <c r="A1122" s="23" t="n"/>
      <c r="B1122" s="24" t="n"/>
      <c r="C1122" s="23" t="n"/>
      <c r="D1122" s="23" t="n"/>
      <c r="E1122" s="23" t="n"/>
      <c r="F1122" s="23" t="n"/>
      <c r="G1122" s="25" t="n"/>
      <c r="H1122" s="26">
        <f>IF(C1122="","",C1122&amp;"|"&amp;D1122)</f>
        <v/>
      </c>
    </row>
    <row r="1123">
      <c r="A1123" s="23" t="n"/>
      <c r="B1123" s="24" t="n"/>
      <c r="C1123" s="23" t="n"/>
      <c r="D1123" s="23" t="n"/>
      <c r="E1123" s="23" t="n"/>
      <c r="F1123" s="23" t="n"/>
      <c r="G1123" s="25" t="n"/>
      <c r="H1123" s="26">
        <f>IF(C1123="","",C1123&amp;"|"&amp;D1123)</f>
        <v/>
      </c>
    </row>
    <row r="1124">
      <c r="A1124" s="23" t="n"/>
      <c r="B1124" s="24" t="n"/>
      <c r="C1124" s="23" t="n"/>
      <c r="D1124" s="23" t="n"/>
      <c r="E1124" s="23" t="n"/>
      <c r="F1124" s="23" t="n"/>
      <c r="G1124" s="25" t="n"/>
      <c r="H1124" s="26">
        <f>IF(C1124="","",C1124&amp;"|"&amp;D1124)</f>
        <v/>
      </c>
    </row>
    <row r="1125">
      <c r="A1125" s="23" t="n"/>
      <c r="B1125" s="24" t="n"/>
      <c r="C1125" s="23" t="n"/>
      <c r="D1125" s="23" t="n"/>
      <c r="E1125" s="23" t="n"/>
      <c r="F1125" s="23" t="n"/>
      <c r="G1125" s="25" t="n"/>
      <c r="H1125" s="26">
        <f>IF(C1125="","",C1125&amp;"|"&amp;D1125)</f>
        <v/>
      </c>
    </row>
    <row r="1126">
      <c r="A1126" s="23" t="n"/>
      <c r="B1126" s="24" t="n"/>
      <c r="C1126" s="23" t="n"/>
      <c r="D1126" s="23" t="n"/>
      <c r="E1126" s="23" t="n"/>
      <c r="F1126" s="23" t="n"/>
      <c r="G1126" s="25" t="n"/>
      <c r="H1126" s="26">
        <f>IF(C1126="","",C1126&amp;"|"&amp;D1126)</f>
        <v/>
      </c>
    </row>
    <row r="1127">
      <c r="A1127" s="23" t="n"/>
      <c r="B1127" s="24" t="n"/>
      <c r="C1127" s="23" t="n"/>
      <c r="D1127" s="23" t="n"/>
      <c r="E1127" s="23" t="n"/>
      <c r="F1127" s="23" t="n"/>
      <c r="G1127" s="25" t="n"/>
      <c r="H1127" s="26">
        <f>IF(C1127="","",C1127&amp;"|"&amp;D1127)</f>
        <v/>
      </c>
    </row>
    <row r="1128">
      <c r="A1128" s="23" t="n"/>
      <c r="B1128" s="24" t="n"/>
      <c r="C1128" s="23" t="n"/>
      <c r="D1128" s="23" t="n"/>
      <c r="E1128" s="23" t="n"/>
      <c r="F1128" s="23" t="n"/>
      <c r="G1128" s="25" t="n"/>
      <c r="H1128" s="26">
        <f>IF(C1128="","",C1128&amp;"|"&amp;D1128)</f>
        <v/>
      </c>
    </row>
    <row r="1129">
      <c r="A1129" s="23" t="n"/>
      <c r="B1129" s="24" t="n"/>
      <c r="C1129" s="23" t="n"/>
      <c r="D1129" s="23" t="n"/>
      <c r="E1129" s="23" t="n"/>
      <c r="F1129" s="23" t="n"/>
      <c r="G1129" s="25" t="n"/>
      <c r="H1129" s="26">
        <f>IF(C1129="","",C1129&amp;"|"&amp;D1129)</f>
        <v/>
      </c>
    </row>
    <row r="1130">
      <c r="A1130" s="23" t="n"/>
      <c r="B1130" s="24" t="n"/>
      <c r="C1130" s="23" t="n"/>
      <c r="D1130" s="23" t="n"/>
      <c r="E1130" s="23" t="n"/>
      <c r="F1130" s="23" t="n"/>
      <c r="G1130" s="25" t="n"/>
      <c r="H1130" s="26">
        <f>IF(C1130="","",C1130&amp;"|"&amp;D1130)</f>
        <v/>
      </c>
    </row>
    <row r="1131">
      <c r="A1131" s="23" t="n"/>
      <c r="B1131" s="24" t="n"/>
      <c r="C1131" s="23" t="n"/>
      <c r="D1131" s="23" t="n"/>
      <c r="E1131" s="23" t="n"/>
      <c r="F1131" s="23" t="n"/>
      <c r="G1131" s="25" t="n"/>
      <c r="H1131" s="26">
        <f>IF(C1131="","",C1131&amp;"|"&amp;D1131)</f>
        <v/>
      </c>
    </row>
    <row r="1132">
      <c r="A1132" s="23" t="n"/>
      <c r="B1132" s="24" t="n"/>
      <c r="C1132" s="23" t="n"/>
      <c r="D1132" s="23" t="n"/>
      <c r="E1132" s="23" t="n"/>
      <c r="F1132" s="23" t="n"/>
      <c r="G1132" s="25" t="n"/>
      <c r="H1132" s="26">
        <f>IF(C1132="","",C1132&amp;"|"&amp;D1132)</f>
        <v/>
      </c>
    </row>
    <row r="1133">
      <c r="A1133" s="23" t="n"/>
      <c r="B1133" s="24" t="n"/>
      <c r="C1133" s="23" t="n"/>
      <c r="D1133" s="23" t="n"/>
      <c r="E1133" s="23" t="n"/>
      <c r="F1133" s="23" t="n"/>
      <c r="G1133" s="25" t="n"/>
      <c r="H1133" s="26">
        <f>IF(C1133="","",C1133&amp;"|"&amp;D1133)</f>
        <v/>
      </c>
    </row>
    <row r="1134">
      <c r="A1134" s="23" t="n"/>
      <c r="B1134" s="24" t="n"/>
      <c r="C1134" s="23" t="n"/>
      <c r="D1134" s="23" t="n"/>
      <c r="E1134" s="23" t="n"/>
      <c r="F1134" s="23" t="n"/>
      <c r="G1134" s="25" t="n"/>
      <c r="H1134" s="26">
        <f>IF(C1134="","",C1134&amp;"|"&amp;D1134)</f>
        <v/>
      </c>
    </row>
    <row r="1135">
      <c r="A1135" s="23" t="n"/>
      <c r="B1135" s="24" t="n"/>
      <c r="C1135" s="23" t="n"/>
      <c r="D1135" s="23" t="n"/>
      <c r="E1135" s="23" t="n"/>
      <c r="F1135" s="23" t="n"/>
      <c r="G1135" s="25" t="n"/>
      <c r="H1135" s="26">
        <f>IF(C1135="","",C1135&amp;"|"&amp;D1135)</f>
        <v/>
      </c>
    </row>
    <row r="1136">
      <c r="A1136" s="23" t="n"/>
      <c r="B1136" s="24" t="n"/>
      <c r="C1136" s="23" t="n"/>
      <c r="D1136" s="23" t="n"/>
      <c r="E1136" s="23" t="n"/>
      <c r="F1136" s="23" t="n"/>
      <c r="G1136" s="25" t="n"/>
      <c r="H1136" s="26">
        <f>IF(C1136="","",C1136&amp;"|"&amp;D1136)</f>
        <v/>
      </c>
    </row>
    <row r="1137">
      <c r="A1137" s="23" t="n"/>
      <c r="B1137" s="24" t="n"/>
      <c r="C1137" s="23" t="n"/>
      <c r="D1137" s="23" t="n"/>
      <c r="E1137" s="23" t="n"/>
      <c r="F1137" s="23" t="n"/>
      <c r="G1137" s="25" t="n"/>
      <c r="H1137" s="26">
        <f>IF(C1137="","",C1137&amp;"|"&amp;D1137)</f>
        <v/>
      </c>
    </row>
    <row r="1138">
      <c r="A1138" s="23" t="n"/>
      <c r="B1138" s="24" t="n"/>
      <c r="C1138" s="23" t="n"/>
      <c r="D1138" s="23" t="n"/>
      <c r="E1138" s="23" t="n"/>
      <c r="F1138" s="23" t="n"/>
      <c r="G1138" s="25" t="n"/>
      <c r="H1138" s="26">
        <f>IF(C1138="","",C1138&amp;"|"&amp;D1138)</f>
        <v/>
      </c>
    </row>
    <row r="1139">
      <c r="A1139" s="23" t="n"/>
      <c r="B1139" s="24" t="n"/>
      <c r="C1139" s="23" t="n"/>
      <c r="D1139" s="23" t="n"/>
      <c r="E1139" s="23" t="n"/>
      <c r="F1139" s="23" t="n"/>
      <c r="G1139" s="25" t="n"/>
      <c r="H1139" s="26">
        <f>IF(C1139="","",C1139&amp;"|"&amp;D1139)</f>
        <v/>
      </c>
    </row>
    <row r="1140">
      <c r="A1140" s="23" t="n"/>
      <c r="B1140" s="24" t="n"/>
      <c r="C1140" s="23" t="n"/>
      <c r="D1140" s="23" t="n"/>
      <c r="E1140" s="23" t="n"/>
      <c r="F1140" s="23" t="n"/>
      <c r="G1140" s="25" t="n"/>
      <c r="H1140" s="26">
        <f>IF(C1140="","",C1140&amp;"|"&amp;D1140)</f>
        <v/>
      </c>
    </row>
    <row r="1141">
      <c r="A1141" s="23" t="n"/>
      <c r="B1141" s="24" t="n"/>
      <c r="C1141" s="23" t="n"/>
      <c r="D1141" s="23" t="n"/>
      <c r="E1141" s="23" t="n"/>
      <c r="F1141" s="23" t="n"/>
      <c r="G1141" s="25" t="n"/>
      <c r="H1141" s="26">
        <f>IF(C1141="","",C1141&amp;"|"&amp;D1141)</f>
        <v/>
      </c>
    </row>
    <row r="1142">
      <c r="A1142" s="23" t="n"/>
      <c r="B1142" s="24" t="n"/>
      <c r="C1142" s="23" t="n"/>
      <c r="D1142" s="23" t="n"/>
      <c r="E1142" s="23" t="n"/>
      <c r="F1142" s="23" t="n"/>
      <c r="G1142" s="25" t="n"/>
      <c r="H1142" s="26">
        <f>IF(C1142="","",C1142&amp;"|"&amp;D1142)</f>
        <v/>
      </c>
    </row>
    <row r="1143">
      <c r="A1143" s="23" t="n"/>
      <c r="B1143" s="24" t="n"/>
      <c r="C1143" s="23" t="n"/>
      <c r="D1143" s="23" t="n"/>
      <c r="E1143" s="23" t="n"/>
      <c r="F1143" s="23" t="n"/>
      <c r="G1143" s="25" t="n"/>
      <c r="H1143" s="26">
        <f>IF(C1143="","",C1143&amp;"|"&amp;D1143)</f>
        <v/>
      </c>
    </row>
    <row r="1144">
      <c r="A1144" s="23" t="n"/>
      <c r="B1144" s="24" t="n"/>
      <c r="C1144" s="23" t="n"/>
      <c r="D1144" s="23" t="n"/>
      <c r="E1144" s="23" t="n"/>
      <c r="F1144" s="23" t="n"/>
      <c r="G1144" s="25" t="n"/>
      <c r="H1144" s="26">
        <f>IF(C1144="","",C1144&amp;"|"&amp;D1144)</f>
        <v/>
      </c>
    </row>
    <row r="1145">
      <c r="A1145" s="23" t="n"/>
      <c r="B1145" s="24" t="n"/>
      <c r="C1145" s="23" t="n"/>
      <c r="D1145" s="23" t="n"/>
      <c r="E1145" s="23" t="n"/>
      <c r="F1145" s="23" t="n"/>
      <c r="G1145" s="25" t="n"/>
      <c r="H1145" s="26">
        <f>IF(C1145="","",C1145&amp;"|"&amp;D1145)</f>
        <v/>
      </c>
    </row>
    <row r="1146">
      <c r="A1146" s="23" t="n"/>
      <c r="B1146" s="24" t="n"/>
      <c r="C1146" s="23" t="n"/>
      <c r="D1146" s="23" t="n"/>
      <c r="E1146" s="23" t="n"/>
      <c r="F1146" s="23" t="n"/>
      <c r="G1146" s="25" t="n"/>
      <c r="H1146" s="26">
        <f>IF(C1146="","",C1146&amp;"|"&amp;D1146)</f>
        <v/>
      </c>
    </row>
    <row r="1147">
      <c r="A1147" s="23" t="n"/>
      <c r="B1147" s="24" t="n"/>
      <c r="C1147" s="23" t="n"/>
      <c r="D1147" s="23" t="n"/>
      <c r="E1147" s="23" t="n"/>
      <c r="F1147" s="23" t="n"/>
      <c r="G1147" s="25" t="n"/>
      <c r="H1147" s="26">
        <f>IF(C1147="","",C1147&amp;"|"&amp;D1147)</f>
        <v/>
      </c>
    </row>
    <row r="1148">
      <c r="A1148" s="23" t="n"/>
      <c r="B1148" s="24" t="n"/>
      <c r="C1148" s="23" t="n"/>
      <c r="D1148" s="23" t="n"/>
      <c r="E1148" s="23" t="n"/>
      <c r="F1148" s="23" t="n"/>
      <c r="G1148" s="25" t="n"/>
      <c r="H1148" s="26">
        <f>IF(C1148="","",C1148&amp;"|"&amp;D1148)</f>
        <v/>
      </c>
    </row>
    <row r="1149">
      <c r="A1149" s="23" t="n"/>
      <c r="B1149" s="24" t="n"/>
      <c r="C1149" s="23" t="n"/>
      <c r="D1149" s="23" t="n"/>
      <c r="E1149" s="23" t="n"/>
      <c r="F1149" s="23" t="n"/>
      <c r="G1149" s="25" t="n"/>
      <c r="H1149" s="26">
        <f>IF(C1149="","",C1149&amp;"|"&amp;D1149)</f>
        <v/>
      </c>
    </row>
    <row r="1150">
      <c r="A1150" s="23" t="n"/>
      <c r="B1150" s="24" t="n"/>
      <c r="C1150" s="23" t="n"/>
      <c r="D1150" s="23" t="n"/>
      <c r="E1150" s="23" t="n"/>
      <c r="F1150" s="23" t="n"/>
      <c r="G1150" s="25" t="n"/>
      <c r="H1150" s="26">
        <f>IF(C1150="","",C1150&amp;"|"&amp;D1150)</f>
        <v/>
      </c>
    </row>
    <row r="1151">
      <c r="A1151" s="23" t="n"/>
      <c r="B1151" s="24" t="n"/>
      <c r="C1151" s="23" t="n"/>
      <c r="D1151" s="23" t="n"/>
      <c r="E1151" s="23" t="n"/>
      <c r="F1151" s="23" t="n"/>
      <c r="G1151" s="25" t="n"/>
      <c r="H1151" s="26">
        <f>IF(C1151="","",C1151&amp;"|"&amp;D1151)</f>
        <v/>
      </c>
    </row>
    <row r="1152">
      <c r="A1152" s="23" t="n"/>
      <c r="B1152" s="24" t="n"/>
      <c r="C1152" s="23" t="n"/>
      <c r="D1152" s="23" t="n"/>
      <c r="E1152" s="23" t="n"/>
      <c r="F1152" s="23" t="n"/>
      <c r="G1152" s="25" t="n"/>
      <c r="H1152" s="26">
        <f>IF(C1152="","",C1152&amp;"|"&amp;D1152)</f>
        <v/>
      </c>
    </row>
    <row r="1153">
      <c r="A1153" s="23" t="n"/>
      <c r="B1153" s="24" t="n"/>
      <c r="C1153" s="23" t="n"/>
      <c r="D1153" s="23" t="n"/>
      <c r="E1153" s="23" t="n"/>
      <c r="F1153" s="23" t="n"/>
      <c r="G1153" s="25" t="n"/>
      <c r="H1153" s="26">
        <f>IF(C1153="","",C1153&amp;"|"&amp;D1153)</f>
        <v/>
      </c>
    </row>
    <row r="1154">
      <c r="A1154" s="23" t="n"/>
      <c r="B1154" s="24" t="n"/>
      <c r="C1154" s="23" t="n"/>
      <c r="D1154" s="23" t="n"/>
      <c r="E1154" s="23" t="n"/>
      <c r="F1154" s="23" t="n"/>
      <c r="G1154" s="25" t="n"/>
      <c r="H1154" s="26">
        <f>IF(C1154="","",C1154&amp;"|"&amp;D1154)</f>
        <v/>
      </c>
    </row>
    <row r="1155">
      <c r="A1155" s="23" t="n"/>
      <c r="B1155" s="24" t="n"/>
      <c r="C1155" s="23" t="n"/>
      <c r="D1155" s="23" t="n"/>
      <c r="E1155" s="23" t="n"/>
      <c r="F1155" s="23" t="n"/>
      <c r="G1155" s="25" t="n"/>
      <c r="H1155" s="26">
        <f>IF(C1155="","",C1155&amp;"|"&amp;D1155)</f>
        <v/>
      </c>
    </row>
    <row r="1156">
      <c r="A1156" s="23" t="n"/>
      <c r="B1156" s="24" t="n"/>
      <c r="C1156" s="23" t="n"/>
      <c r="D1156" s="23" t="n"/>
      <c r="E1156" s="23" t="n"/>
      <c r="F1156" s="23" t="n"/>
      <c r="G1156" s="25" t="n"/>
      <c r="H1156" s="26">
        <f>IF(C1156="","",C1156&amp;"|"&amp;D1156)</f>
        <v/>
      </c>
    </row>
    <row r="1157">
      <c r="A1157" s="23" t="n"/>
      <c r="B1157" s="24" t="n"/>
      <c r="C1157" s="23" t="n"/>
      <c r="D1157" s="23" t="n"/>
      <c r="E1157" s="23" t="n"/>
      <c r="F1157" s="23" t="n"/>
      <c r="G1157" s="25" t="n"/>
      <c r="H1157" s="26">
        <f>IF(C1157="","",C1157&amp;"|"&amp;D1157)</f>
        <v/>
      </c>
    </row>
    <row r="1158">
      <c r="A1158" s="23" t="n"/>
      <c r="B1158" s="24" t="n"/>
      <c r="C1158" s="23" t="n"/>
      <c r="D1158" s="23" t="n"/>
      <c r="E1158" s="23" t="n"/>
      <c r="F1158" s="23" t="n"/>
      <c r="G1158" s="25" t="n"/>
      <c r="H1158" s="26">
        <f>IF(C1158="","",C1158&amp;"|"&amp;D1158)</f>
        <v/>
      </c>
    </row>
    <row r="1159">
      <c r="A1159" s="23" t="n"/>
      <c r="B1159" s="24" t="n"/>
      <c r="C1159" s="23" t="n"/>
      <c r="D1159" s="23" t="n"/>
      <c r="E1159" s="23" t="n"/>
      <c r="F1159" s="23" t="n"/>
      <c r="G1159" s="25" t="n"/>
      <c r="H1159" s="26">
        <f>IF(C1159="","",C1159&amp;"|"&amp;D1159)</f>
        <v/>
      </c>
    </row>
    <row r="1160">
      <c r="A1160" s="23" t="n"/>
      <c r="B1160" s="24" t="n"/>
      <c r="C1160" s="23" t="n"/>
      <c r="D1160" s="23" t="n"/>
      <c r="E1160" s="23" t="n"/>
      <c r="F1160" s="23" t="n"/>
      <c r="G1160" s="25" t="n"/>
      <c r="H1160" s="26">
        <f>IF(C1160="","",C1160&amp;"|"&amp;D1160)</f>
        <v/>
      </c>
    </row>
    <row r="1161">
      <c r="A1161" s="23" t="n"/>
      <c r="B1161" s="24" t="n"/>
      <c r="C1161" s="23" t="n"/>
      <c r="D1161" s="23" t="n"/>
      <c r="E1161" s="23" t="n"/>
      <c r="F1161" s="23" t="n"/>
      <c r="G1161" s="25" t="n"/>
      <c r="H1161" s="26">
        <f>IF(C1161="","",C1161&amp;"|"&amp;D1161)</f>
        <v/>
      </c>
    </row>
    <row r="1162">
      <c r="A1162" s="23" t="n"/>
      <c r="B1162" s="24" t="n"/>
      <c r="C1162" s="23" t="n"/>
      <c r="D1162" s="23" t="n"/>
      <c r="E1162" s="23" t="n"/>
      <c r="F1162" s="23" t="n"/>
      <c r="G1162" s="25" t="n"/>
      <c r="H1162" s="26">
        <f>IF(C1162="","",C1162&amp;"|"&amp;D1162)</f>
        <v/>
      </c>
    </row>
    <row r="1163">
      <c r="A1163" s="23" t="n"/>
      <c r="B1163" s="24" t="n"/>
      <c r="C1163" s="23" t="n"/>
      <c r="D1163" s="23" t="n"/>
      <c r="E1163" s="23" t="n"/>
      <c r="F1163" s="23" t="n"/>
      <c r="G1163" s="25" t="n"/>
      <c r="H1163" s="26">
        <f>IF(C1163="","",C1163&amp;"|"&amp;D1163)</f>
        <v/>
      </c>
    </row>
    <row r="1164">
      <c r="A1164" s="23" t="n"/>
      <c r="B1164" s="24" t="n"/>
      <c r="C1164" s="23" t="n"/>
      <c r="D1164" s="23" t="n"/>
      <c r="E1164" s="23" t="n"/>
      <c r="F1164" s="23" t="n"/>
      <c r="G1164" s="25" t="n"/>
      <c r="H1164" s="26">
        <f>IF(C1164="","",C1164&amp;"|"&amp;D1164)</f>
        <v/>
      </c>
    </row>
    <row r="1165">
      <c r="A1165" s="23" t="n"/>
      <c r="B1165" s="24" t="n"/>
      <c r="C1165" s="23" t="n"/>
      <c r="D1165" s="23" t="n"/>
      <c r="E1165" s="23" t="n"/>
      <c r="F1165" s="23" t="n"/>
      <c r="G1165" s="25" t="n"/>
      <c r="H1165" s="26">
        <f>IF(C1165="","",C1165&amp;"|"&amp;D1165)</f>
        <v/>
      </c>
    </row>
    <row r="1166">
      <c r="A1166" s="23" t="n"/>
      <c r="B1166" s="24" t="n"/>
      <c r="C1166" s="23" t="n"/>
      <c r="D1166" s="23" t="n"/>
      <c r="E1166" s="23" t="n"/>
      <c r="F1166" s="23" t="n"/>
      <c r="G1166" s="25" t="n"/>
      <c r="H1166" s="26">
        <f>IF(C1166="","",C1166&amp;"|"&amp;D1166)</f>
        <v/>
      </c>
    </row>
    <row r="1167">
      <c r="A1167" s="23" t="n"/>
      <c r="B1167" s="24" t="n"/>
      <c r="C1167" s="23" t="n"/>
      <c r="D1167" s="23" t="n"/>
      <c r="E1167" s="23" t="n"/>
      <c r="F1167" s="23" t="n"/>
      <c r="G1167" s="25" t="n"/>
      <c r="H1167" s="26">
        <f>IF(C1167="","",C1167&amp;"|"&amp;D1167)</f>
        <v/>
      </c>
    </row>
    <row r="1168">
      <c r="A1168" s="23" t="n"/>
      <c r="B1168" s="24" t="n"/>
      <c r="C1168" s="23" t="n"/>
      <c r="D1168" s="23" t="n"/>
      <c r="E1168" s="23" t="n"/>
      <c r="F1168" s="23" t="n"/>
      <c r="G1168" s="25" t="n"/>
      <c r="H1168" s="26">
        <f>IF(C1168="","",C1168&amp;"|"&amp;D1168)</f>
        <v/>
      </c>
    </row>
    <row r="1169">
      <c r="A1169" s="23" t="n"/>
      <c r="B1169" s="24" t="n"/>
      <c r="C1169" s="23" t="n"/>
      <c r="D1169" s="23" t="n"/>
      <c r="E1169" s="23" t="n"/>
      <c r="F1169" s="23" t="n"/>
      <c r="G1169" s="25" t="n"/>
      <c r="H1169" s="26">
        <f>IF(C1169="","",C1169&amp;"|"&amp;D1169)</f>
        <v/>
      </c>
    </row>
    <row r="1170">
      <c r="A1170" s="23" t="n"/>
      <c r="B1170" s="24" t="n"/>
      <c r="C1170" s="23" t="n"/>
      <c r="D1170" s="23" t="n"/>
      <c r="E1170" s="23" t="n"/>
      <c r="F1170" s="23" t="n"/>
      <c r="G1170" s="25" t="n"/>
      <c r="H1170" s="26">
        <f>IF(C1170="","",C1170&amp;"|"&amp;D1170)</f>
        <v/>
      </c>
    </row>
    <row r="1171">
      <c r="A1171" s="23" t="n"/>
      <c r="B1171" s="24" t="n"/>
      <c r="C1171" s="23" t="n"/>
      <c r="D1171" s="23" t="n"/>
      <c r="E1171" s="23" t="n"/>
      <c r="F1171" s="23" t="n"/>
      <c r="G1171" s="25" t="n"/>
      <c r="H1171" s="26">
        <f>IF(C1171="","",C1171&amp;"|"&amp;D1171)</f>
        <v/>
      </c>
    </row>
    <row r="1172">
      <c r="A1172" s="23" t="n"/>
      <c r="B1172" s="24" t="n"/>
      <c r="C1172" s="23" t="n"/>
      <c r="D1172" s="23" t="n"/>
      <c r="E1172" s="23" t="n"/>
      <c r="F1172" s="23" t="n"/>
      <c r="G1172" s="25" t="n"/>
      <c r="H1172" s="26">
        <f>IF(C1172="","",C1172&amp;"|"&amp;D1172)</f>
        <v/>
      </c>
    </row>
    <row r="1173">
      <c r="A1173" s="23" t="n"/>
      <c r="B1173" s="24" t="n"/>
      <c r="C1173" s="23" t="n"/>
      <c r="D1173" s="23" t="n"/>
      <c r="E1173" s="23" t="n"/>
      <c r="F1173" s="23" t="n"/>
      <c r="G1173" s="25" t="n"/>
      <c r="H1173" s="26">
        <f>IF(C1173="","",C1173&amp;"|"&amp;D1173)</f>
        <v/>
      </c>
    </row>
    <row r="1174">
      <c r="A1174" s="23" t="n"/>
      <c r="B1174" s="24" t="n"/>
      <c r="C1174" s="23" t="n"/>
      <c r="D1174" s="23" t="n"/>
      <c r="E1174" s="23" t="n"/>
      <c r="F1174" s="23" t="n"/>
      <c r="G1174" s="25" t="n"/>
      <c r="H1174" s="26">
        <f>IF(C1174="","",C1174&amp;"|"&amp;D1174)</f>
        <v/>
      </c>
    </row>
    <row r="1175">
      <c r="A1175" s="23" t="n"/>
      <c r="B1175" s="24" t="n"/>
      <c r="C1175" s="23" t="n"/>
      <c r="D1175" s="23" t="n"/>
      <c r="E1175" s="23" t="n"/>
      <c r="F1175" s="23" t="n"/>
      <c r="G1175" s="25" t="n"/>
      <c r="H1175" s="26">
        <f>IF(C1175="","",C1175&amp;"|"&amp;D1175)</f>
        <v/>
      </c>
    </row>
    <row r="1176">
      <c r="A1176" s="23" t="n"/>
      <c r="B1176" s="24" t="n"/>
      <c r="C1176" s="23" t="n"/>
      <c r="D1176" s="23" t="n"/>
      <c r="E1176" s="23" t="n"/>
      <c r="F1176" s="23" t="n"/>
      <c r="G1176" s="25" t="n"/>
      <c r="H1176" s="26">
        <f>IF(C1176="","",C1176&amp;"|"&amp;D1176)</f>
        <v/>
      </c>
    </row>
    <row r="1177">
      <c r="A1177" s="23" t="n"/>
      <c r="B1177" s="24" t="n"/>
      <c r="C1177" s="23" t="n"/>
      <c r="D1177" s="23" t="n"/>
      <c r="E1177" s="23" t="n"/>
      <c r="F1177" s="23" t="n"/>
      <c r="G1177" s="25" t="n"/>
      <c r="H1177" s="26">
        <f>IF(C1177="","",C1177&amp;"|"&amp;D1177)</f>
        <v/>
      </c>
    </row>
    <row r="1178">
      <c r="A1178" s="23" t="n"/>
      <c r="B1178" s="24" t="n"/>
      <c r="C1178" s="23" t="n"/>
      <c r="D1178" s="23" t="n"/>
      <c r="E1178" s="23" t="n"/>
      <c r="F1178" s="23" t="n"/>
      <c r="G1178" s="25" t="n"/>
      <c r="H1178" s="26">
        <f>IF(C1178="","",C1178&amp;"|"&amp;D1178)</f>
        <v/>
      </c>
    </row>
    <row r="1179">
      <c r="A1179" s="23" t="n"/>
      <c r="B1179" s="24" t="n"/>
      <c r="C1179" s="23" t="n"/>
      <c r="D1179" s="23" t="n"/>
      <c r="E1179" s="23" t="n"/>
      <c r="F1179" s="23" t="n"/>
      <c r="G1179" s="25" t="n"/>
      <c r="H1179" s="26">
        <f>IF(C1179="","",C1179&amp;"|"&amp;D1179)</f>
        <v/>
      </c>
    </row>
    <row r="1180">
      <c r="A1180" s="23" t="n"/>
      <c r="B1180" s="24" t="n"/>
      <c r="C1180" s="23" t="n"/>
      <c r="D1180" s="23" t="n"/>
      <c r="E1180" s="23" t="n"/>
      <c r="F1180" s="23" t="n"/>
      <c r="G1180" s="25" t="n"/>
      <c r="H1180" s="26">
        <f>IF(C1180="","",C1180&amp;"|"&amp;D1180)</f>
        <v/>
      </c>
    </row>
    <row r="1181">
      <c r="A1181" s="23" t="n"/>
      <c r="B1181" s="24" t="n"/>
      <c r="C1181" s="23" t="n"/>
      <c r="D1181" s="23" t="n"/>
      <c r="E1181" s="23" t="n"/>
      <c r="F1181" s="23" t="n"/>
      <c r="G1181" s="25" t="n"/>
      <c r="H1181" s="26">
        <f>IF(C1181="","",C1181&amp;"|"&amp;D1181)</f>
        <v/>
      </c>
    </row>
    <row r="1182">
      <c r="A1182" s="23" t="n"/>
      <c r="B1182" s="24" t="n"/>
      <c r="C1182" s="23" t="n"/>
      <c r="D1182" s="23" t="n"/>
      <c r="E1182" s="23" t="n"/>
      <c r="F1182" s="23" t="n"/>
      <c r="G1182" s="25" t="n"/>
      <c r="H1182" s="26">
        <f>IF(C1182="","",C1182&amp;"|"&amp;D1182)</f>
        <v/>
      </c>
    </row>
    <row r="1183">
      <c r="A1183" s="23" t="n"/>
      <c r="B1183" s="24" t="n"/>
      <c r="C1183" s="23" t="n"/>
      <c r="D1183" s="23" t="n"/>
      <c r="E1183" s="23" t="n"/>
      <c r="F1183" s="23" t="n"/>
      <c r="G1183" s="25" t="n"/>
      <c r="H1183" s="26">
        <f>IF(C1183="","",C1183&amp;"|"&amp;D1183)</f>
        <v/>
      </c>
    </row>
    <row r="1184">
      <c r="A1184" s="23" t="n"/>
      <c r="B1184" s="24" t="n"/>
      <c r="C1184" s="23" t="n"/>
      <c r="D1184" s="23" t="n"/>
      <c r="E1184" s="23" t="n"/>
      <c r="F1184" s="23" t="n"/>
      <c r="G1184" s="25" t="n"/>
      <c r="H1184" s="26">
        <f>IF(C1184="","",C1184&amp;"|"&amp;D1184)</f>
        <v/>
      </c>
    </row>
    <row r="1185">
      <c r="A1185" s="23" t="n"/>
      <c r="B1185" s="24" t="n"/>
      <c r="C1185" s="23" t="n"/>
      <c r="D1185" s="23" t="n"/>
      <c r="E1185" s="23" t="n"/>
      <c r="F1185" s="23" t="n"/>
      <c r="G1185" s="25" t="n"/>
      <c r="H1185" s="26">
        <f>IF(C1185="","",C1185&amp;"|"&amp;D1185)</f>
        <v/>
      </c>
    </row>
    <row r="1186">
      <c r="A1186" s="23" t="n"/>
      <c r="B1186" s="24" t="n"/>
      <c r="C1186" s="23" t="n"/>
      <c r="D1186" s="23" t="n"/>
      <c r="E1186" s="23" t="n"/>
      <c r="F1186" s="23" t="n"/>
      <c r="G1186" s="25" t="n"/>
      <c r="H1186" s="26">
        <f>IF(C1186="","",C1186&amp;"|"&amp;D1186)</f>
        <v/>
      </c>
    </row>
    <row r="1187">
      <c r="A1187" s="23" t="n"/>
      <c r="B1187" s="24" t="n"/>
      <c r="C1187" s="23" t="n"/>
      <c r="D1187" s="23" t="n"/>
      <c r="E1187" s="23" t="n"/>
      <c r="F1187" s="23" t="n"/>
      <c r="G1187" s="25" t="n"/>
      <c r="H1187" s="26">
        <f>IF(C1187="","",C1187&amp;"|"&amp;D1187)</f>
        <v/>
      </c>
    </row>
    <row r="1188">
      <c r="A1188" s="23" t="n"/>
      <c r="B1188" s="24" t="n"/>
      <c r="C1188" s="23" t="n"/>
      <c r="D1188" s="23" t="n"/>
      <c r="E1188" s="23" t="n"/>
      <c r="F1188" s="23" t="n"/>
      <c r="G1188" s="25" t="n"/>
      <c r="H1188" s="26">
        <f>IF(C1188="","",C1188&amp;"|"&amp;D1188)</f>
        <v/>
      </c>
    </row>
    <row r="1189">
      <c r="A1189" s="23" t="n"/>
      <c r="B1189" s="24" t="n"/>
      <c r="C1189" s="23" t="n"/>
      <c r="D1189" s="23" t="n"/>
      <c r="E1189" s="23" t="n"/>
      <c r="F1189" s="23" t="n"/>
      <c r="G1189" s="25" t="n"/>
      <c r="H1189" s="26">
        <f>IF(C1189="","",C1189&amp;"|"&amp;D1189)</f>
        <v/>
      </c>
    </row>
    <row r="1190">
      <c r="A1190" s="23" t="n"/>
      <c r="B1190" s="24" t="n"/>
      <c r="C1190" s="23" t="n"/>
      <c r="D1190" s="23" t="n"/>
      <c r="E1190" s="23" t="n"/>
      <c r="F1190" s="23" t="n"/>
      <c r="G1190" s="25" t="n"/>
      <c r="H1190" s="26">
        <f>IF(C1190="","",C1190&amp;"|"&amp;D1190)</f>
        <v/>
      </c>
    </row>
    <row r="1191">
      <c r="A1191" s="23" t="n"/>
      <c r="B1191" s="24" t="n"/>
      <c r="C1191" s="23" t="n"/>
      <c r="D1191" s="23" t="n"/>
      <c r="E1191" s="23" t="n"/>
      <c r="F1191" s="23" t="n"/>
      <c r="G1191" s="25" t="n"/>
      <c r="H1191" s="26">
        <f>IF(C1191="","",C1191&amp;"|"&amp;D1191)</f>
        <v/>
      </c>
    </row>
    <row r="1192">
      <c r="A1192" s="23" t="n"/>
      <c r="B1192" s="24" t="n"/>
      <c r="C1192" s="23" t="n"/>
      <c r="D1192" s="23" t="n"/>
      <c r="E1192" s="23" t="n"/>
      <c r="F1192" s="23" t="n"/>
      <c r="G1192" s="25" t="n"/>
      <c r="H1192" s="26">
        <f>IF(C1192="","",C1192&amp;"|"&amp;D1192)</f>
        <v/>
      </c>
    </row>
    <row r="1193">
      <c r="A1193" s="23" t="n"/>
      <c r="B1193" s="24" t="n"/>
      <c r="C1193" s="23" t="n"/>
      <c r="D1193" s="23" t="n"/>
      <c r="E1193" s="23" t="n"/>
      <c r="F1193" s="23" t="n"/>
      <c r="G1193" s="25" t="n"/>
      <c r="H1193" s="26">
        <f>IF(C1193="","",C1193&amp;"|"&amp;D1193)</f>
        <v/>
      </c>
    </row>
    <row r="1194">
      <c r="A1194" s="23" t="n"/>
      <c r="B1194" s="24" t="n"/>
      <c r="C1194" s="23" t="n"/>
      <c r="D1194" s="23" t="n"/>
      <c r="E1194" s="23" t="n"/>
      <c r="F1194" s="23" t="n"/>
      <c r="G1194" s="25" t="n"/>
      <c r="H1194" s="26">
        <f>IF(C1194="","",C1194&amp;"|"&amp;D1194)</f>
        <v/>
      </c>
    </row>
    <row r="1195">
      <c r="A1195" s="23" t="n"/>
      <c r="B1195" s="24" t="n"/>
      <c r="C1195" s="23" t="n"/>
      <c r="D1195" s="23" t="n"/>
      <c r="E1195" s="23" t="n"/>
      <c r="F1195" s="23" t="n"/>
      <c r="G1195" s="25" t="n"/>
      <c r="H1195" s="26">
        <f>IF(C1195="","",C1195&amp;"|"&amp;D1195)</f>
        <v/>
      </c>
    </row>
    <row r="1196">
      <c r="A1196" s="23" t="n"/>
      <c r="B1196" s="24" t="n"/>
      <c r="C1196" s="23" t="n"/>
      <c r="D1196" s="23" t="n"/>
      <c r="E1196" s="23" t="n"/>
      <c r="F1196" s="23" t="n"/>
      <c r="G1196" s="25" t="n"/>
      <c r="H1196" s="26">
        <f>IF(C1196="","",C1196&amp;"|"&amp;D1196)</f>
        <v/>
      </c>
    </row>
    <row r="1197">
      <c r="A1197" s="23" t="n"/>
      <c r="B1197" s="24" t="n"/>
      <c r="C1197" s="23" t="n"/>
      <c r="D1197" s="23" t="n"/>
      <c r="E1197" s="23" t="n"/>
      <c r="F1197" s="23" t="n"/>
      <c r="G1197" s="25" t="n"/>
      <c r="H1197" s="26">
        <f>IF(C1197="","",C1197&amp;"|"&amp;D1197)</f>
        <v/>
      </c>
    </row>
    <row r="1198">
      <c r="A1198" s="23" t="n"/>
      <c r="B1198" s="24" t="n"/>
      <c r="C1198" s="23" t="n"/>
      <c r="D1198" s="23" t="n"/>
      <c r="E1198" s="23" t="n"/>
      <c r="F1198" s="23" t="n"/>
      <c r="G1198" s="25" t="n"/>
      <c r="H1198" s="26">
        <f>IF(C1198="","",C1198&amp;"|"&amp;D1198)</f>
        <v/>
      </c>
    </row>
    <row r="1199">
      <c r="A1199" s="23" t="n"/>
      <c r="B1199" s="24" t="n"/>
      <c r="C1199" s="23" t="n"/>
      <c r="D1199" s="23" t="n"/>
      <c r="E1199" s="23" t="n"/>
      <c r="F1199" s="23" t="n"/>
      <c r="G1199" s="25" t="n"/>
      <c r="H1199" s="26">
        <f>IF(C1199="","",C1199&amp;"|"&amp;D1199)</f>
        <v/>
      </c>
    </row>
    <row r="1200">
      <c r="A1200" s="23" t="n"/>
      <c r="B1200" s="24" t="n"/>
      <c r="C1200" s="23" t="n"/>
      <c r="D1200" s="23" t="n"/>
      <c r="E1200" s="23" t="n"/>
      <c r="F1200" s="23" t="n"/>
      <c r="G1200" s="25" t="n"/>
      <c r="H1200" s="26">
        <f>IF(C1200="","",C1200&amp;"|"&amp;D1200)</f>
        <v/>
      </c>
    </row>
  </sheetData>
  <sheetProtection selectLockedCells="0" selectUnlockedCells="0" sheet="1" objects="0" insertRows="0" insertHyperlinks="1" autoFilter="1" scenarios="0" formatColumns="1" deleteColumns="1" insertColumns="1" pivotTables="1" deleteRows="0" formatCells="1" formatRows="1" sort="1" password="D6F9"/>
  <dataValidations count="1">
    <dataValidation sqref="F3:F1200" showDropDown="0" showInputMessage="0" showErrorMessage="0" allowBlank="1" type="list">
      <formula1>"Fiyat Farkı,Bundle,Nakliye,Montaj,Diğer"</formula1>
    </dataValidation>
  </dataValidations>
  <pageMargins left="0.75" right="0.75" top="1" bottom="1" header="0.5" footer="0.5"/>
</worksheet>
</file>

<file path=xl/worksheets/sheet7.xml><?xml version="1.0" encoding="utf-8"?>
<worksheet xmlns="http://schemas.openxmlformats.org/spreadsheetml/2006/main">
  <sheetPr>
    <tabColor rgb="00548235"/>
    <outlinePr summaryBelow="1" summaryRight="1"/>
    <pageSetUpPr/>
  </sheetPr>
  <dimension ref="A1:T1002"/>
  <sheetViews>
    <sheetView showGridLines="0" workbookViewId="0">
      <pane ySplit="2" topLeftCell="A3" activePane="bottomLeft" state="frozen"/>
      <selection pane="bottomLeft" activeCell="A1" sqref="A1"/>
    </sheetView>
  </sheetViews>
  <sheetFormatPr baseColWidth="8" defaultRowHeight="15"/>
  <cols>
    <col width="13" customWidth="1" min="1" max="1"/>
    <col width="12" customWidth="1" min="2" max="2"/>
    <col width="16" customWidth="1" min="3" max="3"/>
    <col width="11" customWidth="1" min="4" max="4"/>
    <col width="26" customWidth="1" min="5" max="5"/>
    <col width="12" customWidth="1" min="6" max="6"/>
    <col width="12" customWidth="1" min="7" max="7"/>
    <col width="11" customWidth="1" min="8" max="8"/>
    <col width="13" customWidth="1" min="9" max="9"/>
    <col width="20" customWidth="1" min="10" max="10"/>
    <col width="11" customWidth="1" min="11" max="11"/>
    <col width="11" customWidth="1" min="12" max="12"/>
    <col width="11" customWidth="1" min="13" max="13"/>
    <col width="13" customWidth="1" min="14" max="14"/>
    <col width="12" customWidth="1" min="15" max="15"/>
    <col width="20" customWidth="1" min="16" max="16"/>
    <col width="13" customWidth="1" min="17" max="17"/>
    <col width="11" customWidth="1" min="18" max="18"/>
    <col width="15" customWidth="1" min="19" max="19"/>
    <col width="24" customWidth="1" min="20" max="20"/>
  </cols>
  <sheetData>
    <row r="1" ht="44" customHeight="1">
      <c r="A1" s="19" t="inlineStr">
        <is>
          <t>Fatura No</t>
        </is>
      </c>
      <c r="B1" s="19" t="inlineStr">
        <is>
          <t>Ürün Kodu</t>
        </is>
      </c>
      <c r="C1" s="19" t="inlineStr">
        <is>
          <t>Ad Soyad</t>
        </is>
      </c>
      <c r="D1" s="19" t="inlineStr">
        <is>
          <t>Fatura
Tarihi</t>
        </is>
      </c>
      <c r="E1" s="19" t="inlineStr">
        <is>
          <t>Paket Adı
(Kampanya)</t>
        </is>
      </c>
      <c r="F1" s="19" t="inlineStr">
        <is>
          <t>Kampanya
Bulundu mu</t>
        </is>
      </c>
      <c r="G1" s="19" t="inlineStr">
        <is>
          <t>Kampanya
Aralığında mı</t>
        </is>
      </c>
      <c r="H1" s="19" t="inlineStr">
        <is>
          <t>Hakediş
Son Tarihi</t>
        </is>
      </c>
      <c r="I1" s="19" t="inlineStr">
        <is>
          <t>Beklenen
Hakediş Tutarı</t>
        </is>
      </c>
      <c r="J1" s="19" t="inlineStr">
        <is>
          <t>Uygulanacak
Kural</t>
        </is>
      </c>
      <c r="K1" s="19" t="inlineStr">
        <is>
          <t>Nakliye
İzlenebilir mi</t>
        </is>
      </c>
      <c r="L1" s="19" t="inlineStr">
        <is>
          <t>Nakliye
Tamamlandı mı</t>
        </is>
      </c>
      <c r="M1" s="19" t="inlineStr">
        <is>
          <t>Montaj
Tamamlandı mı</t>
        </is>
      </c>
      <c r="N1" s="19" t="inlineStr">
        <is>
          <t>Hakediş
Tetikleyici Tarih</t>
        </is>
      </c>
      <c r="O1" s="19" t="inlineStr">
        <is>
          <t>Süre İçinde
Tamamlandı mı</t>
        </is>
      </c>
      <c r="P1" s="19" t="inlineStr">
        <is>
          <t>Ödeme Zamanlaması
Durumu</t>
        </is>
      </c>
      <c r="Q1" s="19" t="inlineStr">
        <is>
          <t>Faturada
Bulunan Tutar</t>
        </is>
      </c>
      <c r="R1" s="19" t="inlineStr">
        <is>
          <t>Tutar
Farkı</t>
        </is>
      </c>
      <c r="S1" s="19" t="inlineStr">
        <is>
          <t>Tutar
Durumu</t>
        </is>
      </c>
      <c r="T1" s="19" t="inlineStr">
        <is>
          <t>GENEL DURUM</t>
        </is>
      </c>
    </row>
    <row r="2"/>
    <row r="3">
      <c r="A3" s="26">
        <f>IF('DIVA Satislari'!I3="","",'DIVA Satislari'!I3)</f>
        <v/>
      </c>
      <c r="B3" s="26">
        <f>IF('DIVA Satislari'!I3="","",'DIVA Satislari'!R3)</f>
        <v/>
      </c>
      <c r="C3" s="26">
        <f>IF('DIVA Satislari'!I3="","",'DIVA Satislari'!M3)</f>
        <v/>
      </c>
      <c r="D3" s="27">
        <f>IF('DIVA Satislari'!I3="","",'DIVA Satislari'!H3)</f>
        <v/>
      </c>
      <c r="E3" s="26">
        <f>IF('DIVA Satislari'!I3="","",'DIVA Satislari'!O3)</f>
        <v/>
      </c>
      <c r="F3" s="26">
        <f>IF('DIVA Satislari'!I3="","",'DIVA Satislari'!AK3)</f>
        <v/>
      </c>
      <c r="G3" s="26">
        <f>IF('DIVA Satislari'!I3="","",'DIVA Satislari'!AO3)</f>
        <v/>
      </c>
      <c r="H3" s="27">
        <f>IF('DIVA Satislari'!I3="","",'DIVA Satislari'!AN3)</f>
        <v/>
      </c>
      <c r="I3" s="28">
        <f>IF('DIVA Satislari'!I3="","",'DIVA Satislari'!AQ3)</f>
        <v/>
      </c>
      <c r="J3" s="26">
        <f>IF('DIVA Satislari'!I3="","",'DIVA Satislari'!AR3)</f>
        <v/>
      </c>
      <c r="K3" s="26">
        <f>IF('DIVA Satislari'!I3="","",IFERROR(INDEX('E2E Nakliye Montaj'!$AS$3:$AS$1002,MATCH('DIVA Satislari'!AJ3,'E2E Nakliye Montaj'!$AM$3:$AM$1002,0)),"Eşleşme Yok"))</f>
        <v/>
      </c>
      <c r="L3" s="26">
        <f>IF('DIVA Satislari'!I3="","",IFERROR(INDEX('E2E Nakliye Montaj'!$AT$3:$AT$1002,MATCH('DIVA Satislari'!AJ3,'E2E Nakliye Montaj'!$AM$3:$AM$1002,0)),"Hayır"))</f>
        <v/>
      </c>
      <c r="M3" s="26">
        <f>IF('DIVA Satislari'!I3="","",IFERROR(INDEX('E2E Nakliye Montaj'!$AU$3:$AU$1002,MATCH('DIVA Satislari'!AJ3,'E2E Nakliye Montaj'!$AM$3:$AM$1002,0)),"Hayır"))</f>
        <v/>
      </c>
      <c r="N3" s="27">
        <f>IF('DIVA Satislari'!I3="","",IFERROR(INDEX('E2E Nakliye Montaj'!$AV$3:$AV$1002,MATCH('DIVA Satislari'!AJ3,'E2E Nakliye Montaj'!$AM$3:$AM$1002,0)),""))</f>
        <v/>
      </c>
      <c r="O3" s="26">
        <f>IF(OR(A3="",N3=""),"",IF(N3&lt;=H3,"Evet","HAYIR - RİSK"))</f>
        <v/>
      </c>
      <c r="P3" s="26">
        <f>IF(A3="","",IF(LEFT(J3,8)="Kural A ","Uygun - Hemen Ödenir (Yıl Sonu %75 Kontrolüne Tabi)",IF(OR(L3="Evet",M3="Evet"),IF(O3="Evet","Uygun","RİSK - Hakediş Süresi Aşıldı"),"Bekleniyor - Nakliye/Montaj Tamamlanmadı")))</f>
        <v/>
      </c>
      <c r="Q3" s="28">
        <f>IF(A3="","",SUMIFS('Hakedis Fatura Detay'!$G$3:$G$1200,'Hakedis Fatura Detay'!$H$3:$H$1200,'DIVA Satislari'!AJ3,'Hakedis Fatura Detay'!$F$3:$F$1200,"Fiyat Farkı")+SUMIFS('Hakedis Fatura Detay'!$G$3:$G$1200,'Hakedis Fatura Detay'!$H$3:$H$1200,'DIVA Satislari'!AJ3,'Hakedis Fatura Detay'!$F$3:$F$1200,"Bundle"))</f>
        <v/>
      </c>
      <c r="R3" s="28">
        <f>IF(A3="","",I3-Q3)</f>
        <v/>
      </c>
      <c r="S3" s="26">
        <f>IF(A3="","",IF(LEFT(P3,7)="Bekleni","N/A - Henüz Ödenmemeli",IF(LEFT(P3,4)="RİSK","İNCELEME GEREKLİ - Süre Aşımı",IF(R3=0,"Doğru",IF(R3&gt;0,"EKSİK ÖDENMİŞ","FAZLA ÖDENMİŞ")))))</f>
        <v/>
      </c>
      <c r="T3" s="30">
        <f>IF(A3="","",IF(F3&lt;&gt;"Evet","İNCELEME GEREKLİ - Kampanya Tanımsız",IF(G3&lt;&gt;"Evet","İNCELEME GEREKLİ - Tarih Dışı Satış",IF(LEFT(P3,4)="RİSK","İNCELEME GEREKLİ - Hakediş Süresi Aşıldı",IF(OR(S3="EKSİK ÖDENMİŞ",S3="FAZLA ÖDENMİŞ"),"İNCELEME GEREKLİ - Tutar Uyuşmazlığı",IF(LEFT(P3,7)="Bekleni","Bekleniyor","Uygun"))))))</f>
        <v/>
      </c>
    </row>
    <row r="4">
      <c r="A4" s="26">
        <f>IF('DIVA Satislari'!I4="","",'DIVA Satislari'!I4)</f>
        <v/>
      </c>
      <c r="B4" s="26">
        <f>IF('DIVA Satislari'!I4="","",'DIVA Satislari'!R4)</f>
        <v/>
      </c>
      <c r="C4" s="26">
        <f>IF('DIVA Satislari'!I4="","",'DIVA Satislari'!M4)</f>
        <v/>
      </c>
      <c r="D4" s="27">
        <f>IF('DIVA Satislari'!I4="","",'DIVA Satislari'!H4)</f>
        <v/>
      </c>
      <c r="E4" s="26">
        <f>IF('DIVA Satislari'!I4="","",'DIVA Satislari'!O4)</f>
        <v/>
      </c>
      <c r="F4" s="26">
        <f>IF('DIVA Satislari'!I4="","",'DIVA Satislari'!AK4)</f>
        <v/>
      </c>
      <c r="G4" s="26">
        <f>IF('DIVA Satislari'!I4="","",'DIVA Satislari'!AO4)</f>
        <v/>
      </c>
      <c r="H4" s="27">
        <f>IF('DIVA Satislari'!I4="","",'DIVA Satislari'!AN4)</f>
        <v/>
      </c>
      <c r="I4" s="28">
        <f>IF('DIVA Satislari'!I4="","",'DIVA Satislari'!AQ4)</f>
        <v/>
      </c>
      <c r="J4" s="26">
        <f>IF('DIVA Satislari'!I4="","",'DIVA Satislari'!AR4)</f>
        <v/>
      </c>
      <c r="K4" s="26">
        <f>IF('DIVA Satislari'!I4="","",IFERROR(INDEX('E2E Nakliye Montaj'!$AS$3:$AS$1002,MATCH('DIVA Satislari'!AJ4,'E2E Nakliye Montaj'!$AM$3:$AM$1002,0)),"Eşleşme Yok"))</f>
        <v/>
      </c>
      <c r="L4" s="26">
        <f>IF('DIVA Satislari'!I4="","",IFERROR(INDEX('E2E Nakliye Montaj'!$AT$3:$AT$1002,MATCH('DIVA Satislari'!AJ4,'E2E Nakliye Montaj'!$AM$3:$AM$1002,0)),"Hayır"))</f>
        <v/>
      </c>
      <c r="M4" s="26">
        <f>IF('DIVA Satislari'!I4="","",IFERROR(INDEX('E2E Nakliye Montaj'!$AU$3:$AU$1002,MATCH('DIVA Satislari'!AJ4,'E2E Nakliye Montaj'!$AM$3:$AM$1002,0)),"Hayır"))</f>
        <v/>
      </c>
      <c r="N4" s="27">
        <f>IF('DIVA Satislari'!I4="","",IFERROR(INDEX('E2E Nakliye Montaj'!$AV$3:$AV$1002,MATCH('DIVA Satislari'!AJ4,'E2E Nakliye Montaj'!$AM$3:$AM$1002,0)),""))</f>
        <v/>
      </c>
      <c r="O4" s="26">
        <f>IF(OR(A4="",N4=""),"",IF(N4&lt;=H4,"Evet","HAYIR - RİSK"))</f>
        <v/>
      </c>
      <c r="P4" s="26">
        <f>IF(A4="","",IF(LEFT(J4,8)="Kural A ","Uygun - Hemen Ödenir (Yıl Sonu %75 Kontrolüne Tabi)",IF(OR(L4="Evet",M4="Evet"),IF(O4="Evet","Uygun","RİSK - Hakediş Süresi Aşıldı"),"Bekleniyor - Nakliye/Montaj Tamamlanmadı")))</f>
        <v/>
      </c>
      <c r="Q4" s="28">
        <f>IF(A4="","",SUMIFS('Hakedis Fatura Detay'!$G$3:$G$1200,'Hakedis Fatura Detay'!$H$3:$H$1200,'DIVA Satislari'!AJ4,'Hakedis Fatura Detay'!$F$3:$F$1200,"Fiyat Farkı")+SUMIFS('Hakedis Fatura Detay'!$G$3:$G$1200,'Hakedis Fatura Detay'!$H$3:$H$1200,'DIVA Satislari'!AJ4,'Hakedis Fatura Detay'!$F$3:$F$1200,"Bundle"))</f>
        <v/>
      </c>
      <c r="R4" s="28">
        <f>IF(A4="","",I4-Q4)</f>
        <v/>
      </c>
      <c r="S4" s="26">
        <f>IF(A4="","",IF(LEFT(P4,7)="Bekleni","N/A - Henüz Ödenmemeli",IF(LEFT(P4,4)="RİSK","İNCELEME GEREKLİ - Süre Aşımı",IF(R4=0,"Doğru",IF(R4&gt;0,"EKSİK ÖDENMİŞ","FAZLA ÖDENMİŞ")))))</f>
        <v/>
      </c>
      <c r="T4" s="30">
        <f>IF(A4="","",IF(F4&lt;&gt;"Evet","İNCELEME GEREKLİ - Kampanya Tanımsız",IF(G4&lt;&gt;"Evet","İNCELEME GEREKLİ - Tarih Dışı Satış",IF(LEFT(P4,4)="RİSK","İNCELEME GEREKLİ - Hakediş Süresi Aşıldı",IF(OR(S4="EKSİK ÖDENMİŞ",S4="FAZLA ÖDENMİŞ"),"İNCELEME GEREKLİ - Tutar Uyuşmazlığı",IF(LEFT(P4,7)="Bekleni","Bekleniyor","Uygun"))))))</f>
        <v/>
      </c>
    </row>
    <row r="5">
      <c r="A5" s="26">
        <f>IF('DIVA Satislari'!I5="","",'DIVA Satislari'!I5)</f>
        <v/>
      </c>
      <c r="B5" s="26">
        <f>IF('DIVA Satislari'!I5="","",'DIVA Satislari'!R5)</f>
        <v/>
      </c>
      <c r="C5" s="26">
        <f>IF('DIVA Satislari'!I5="","",'DIVA Satislari'!M5)</f>
        <v/>
      </c>
      <c r="D5" s="27">
        <f>IF('DIVA Satislari'!I5="","",'DIVA Satislari'!H5)</f>
        <v/>
      </c>
      <c r="E5" s="26">
        <f>IF('DIVA Satislari'!I5="","",'DIVA Satislari'!O5)</f>
        <v/>
      </c>
      <c r="F5" s="26">
        <f>IF('DIVA Satislari'!I5="","",'DIVA Satislari'!AK5)</f>
        <v/>
      </c>
      <c r="G5" s="26">
        <f>IF('DIVA Satislari'!I5="","",'DIVA Satislari'!AO5)</f>
        <v/>
      </c>
      <c r="H5" s="27">
        <f>IF('DIVA Satislari'!I5="","",'DIVA Satislari'!AN5)</f>
        <v/>
      </c>
      <c r="I5" s="28">
        <f>IF('DIVA Satislari'!I5="","",'DIVA Satislari'!AQ5)</f>
        <v/>
      </c>
      <c r="J5" s="26">
        <f>IF('DIVA Satislari'!I5="","",'DIVA Satislari'!AR5)</f>
        <v/>
      </c>
      <c r="K5" s="26">
        <f>IF('DIVA Satislari'!I5="","",IFERROR(INDEX('E2E Nakliye Montaj'!$AS$3:$AS$1002,MATCH('DIVA Satislari'!AJ5,'E2E Nakliye Montaj'!$AM$3:$AM$1002,0)),"Eşleşme Yok"))</f>
        <v/>
      </c>
      <c r="L5" s="26">
        <f>IF('DIVA Satislari'!I5="","",IFERROR(INDEX('E2E Nakliye Montaj'!$AT$3:$AT$1002,MATCH('DIVA Satislari'!AJ5,'E2E Nakliye Montaj'!$AM$3:$AM$1002,0)),"Hayır"))</f>
        <v/>
      </c>
      <c r="M5" s="26">
        <f>IF('DIVA Satislari'!I5="","",IFERROR(INDEX('E2E Nakliye Montaj'!$AU$3:$AU$1002,MATCH('DIVA Satislari'!AJ5,'E2E Nakliye Montaj'!$AM$3:$AM$1002,0)),"Hayır"))</f>
        <v/>
      </c>
      <c r="N5" s="27">
        <f>IF('DIVA Satislari'!I5="","",IFERROR(INDEX('E2E Nakliye Montaj'!$AV$3:$AV$1002,MATCH('DIVA Satislari'!AJ5,'E2E Nakliye Montaj'!$AM$3:$AM$1002,0)),""))</f>
        <v/>
      </c>
      <c r="O5" s="26">
        <f>IF(OR(A5="",N5=""),"",IF(N5&lt;=H5,"Evet","HAYIR - RİSK"))</f>
        <v/>
      </c>
      <c r="P5" s="26">
        <f>IF(A5="","",IF(LEFT(J5,8)="Kural A ","Uygun - Hemen Ödenir (Yıl Sonu %75 Kontrolüne Tabi)",IF(OR(L5="Evet",M5="Evet"),IF(O5="Evet","Uygun","RİSK - Hakediş Süresi Aşıldı"),"Bekleniyor - Nakliye/Montaj Tamamlanmadı")))</f>
        <v/>
      </c>
      <c r="Q5" s="28">
        <f>IF(A5="","",SUMIFS('Hakedis Fatura Detay'!$G$3:$G$1200,'Hakedis Fatura Detay'!$H$3:$H$1200,'DIVA Satislari'!AJ5,'Hakedis Fatura Detay'!$F$3:$F$1200,"Fiyat Farkı")+SUMIFS('Hakedis Fatura Detay'!$G$3:$G$1200,'Hakedis Fatura Detay'!$H$3:$H$1200,'DIVA Satislari'!AJ5,'Hakedis Fatura Detay'!$F$3:$F$1200,"Bundle"))</f>
        <v/>
      </c>
      <c r="R5" s="28">
        <f>IF(A5="","",I5-Q5)</f>
        <v/>
      </c>
      <c r="S5" s="26">
        <f>IF(A5="","",IF(LEFT(P5,7)="Bekleni","N/A - Henüz Ödenmemeli",IF(LEFT(P5,4)="RİSK","İNCELEME GEREKLİ - Süre Aşımı",IF(R5=0,"Doğru",IF(R5&gt;0,"EKSİK ÖDENMİŞ","FAZLA ÖDENMİŞ")))))</f>
        <v/>
      </c>
      <c r="T5" s="30">
        <f>IF(A5="","",IF(F5&lt;&gt;"Evet","İNCELEME GEREKLİ - Kampanya Tanımsız",IF(G5&lt;&gt;"Evet","İNCELEME GEREKLİ - Tarih Dışı Satış",IF(LEFT(P5,4)="RİSK","İNCELEME GEREKLİ - Hakediş Süresi Aşıldı",IF(OR(S5="EKSİK ÖDENMİŞ",S5="FAZLA ÖDENMİŞ"),"İNCELEME GEREKLİ - Tutar Uyuşmazlığı",IF(LEFT(P5,7)="Bekleni","Bekleniyor","Uygun"))))))</f>
        <v/>
      </c>
    </row>
    <row r="6">
      <c r="A6" s="26">
        <f>IF('DIVA Satislari'!I6="","",'DIVA Satislari'!I6)</f>
        <v/>
      </c>
      <c r="B6" s="26">
        <f>IF('DIVA Satislari'!I6="","",'DIVA Satislari'!R6)</f>
        <v/>
      </c>
      <c r="C6" s="26">
        <f>IF('DIVA Satislari'!I6="","",'DIVA Satislari'!M6)</f>
        <v/>
      </c>
      <c r="D6" s="27">
        <f>IF('DIVA Satislari'!I6="","",'DIVA Satislari'!H6)</f>
        <v/>
      </c>
      <c r="E6" s="26">
        <f>IF('DIVA Satislari'!I6="","",'DIVA Satislari'!O6)</f>
        <v/>
      </c>
      <c r="F6" s="26">
        <f>IF('DIVA Satislari'!I6="","",'DIVA Satislari'!AK6)</f>
        <v/>
      </c>
      <c r="G6" s="26">
        <f>IF('DIVA Satislari'!I6="","",'DIVA Satislari'!AO6)</f>
        <v/>
      </c>
      <c r="H6" s="27">
        <f>IF('DIVA Satislari'!I6="","",'DIVA Satislari'!AN6)</f>
        <v/>
      </c>
      <c r="I6" s="28">
        <f>IF('DIVA Satislari'!I6="","",'DIVA Satislari'!AQ6)</f>
        <v/>
      </c>
      <c r="J6" s="26">
        <f>IF('DIVA Satislari'!I6="","",'DIVA Satislari'!AR6)</f>
        <v/>
      </c>
      <c r="K6" s="26">
        <f>IF('DIVA Satislari'!I6="","",IFERROR(INDEX('E2E Nakliye Montaj'!$AS$3:$AS$1002,MATCH('DIVA Satislari'!AJ6,'E2E Nakliye Montaj'!$AM$3:$AM$1002,0)),"Eşleşme Yok"))</f>
        <v/>
      </c>
      <c r="L6" s="26">
        <f>IF('DIVA Satislari'!I6="","",IFERROR(INDEX('E2E Nakliye Montaj'!$AT$3:$AT$1002,MATCH('DIVA Satislari'!AJ6,'E2E Nakliye Montaj'!$AM$3:$AM$1002,0)),"Hayır"))</f>
        <v/>
      </c>
      <c r="M6" s="26">
        <f>IF('DIVA Satislari'!I6="","",IFERROR(INDEX('E2E Nakliye Montaj'!$AU$3:$AU$1002,MATCH('DIVA Satislari'!AJ6,'E2E Nakliye Montaj'!$AM$3:$AM$1002,0)),"Hayır"))</f>
        <v/>
      </c>
      <c r="N6" s="27">
        <f>IF('DIVA Satislari'!I6="","",IFERROR(INDEX('E2E Nakliye Montaj'!$AV$3:$AV$1002,MATCH('DIVA Satislari'!AJ6,'E2E Nakliye Montaj'!$AM$3:$AM$1002,0)),""))</f>
        <v/>
      </c>
      <c r="O6" s="26">
        <f>IF(OR(A6="",N6=""),"",IF(N6&lt;=H6,"Evet","HAYIR - RİSK"))</f>
        <v/>
      </c>
      <c r="P6" s="26">
        <f>IF(A6="","",IF(LEFT(J6,8)="Kural A ","Uygun - Hemen Ödenir (Yıl Sonu %75 Kontrolüne Tabi)",IF(OR(L6="Evet",M6="Evet"),IF(O6="Evet","Uygun","RİSK - Hakediş Süresi Aşıldı"),"Bekleniyor - Nakliye/Montaj Tamamlanmadı")))</f>
        <v/>
      </c>
      <c r="Q6" s="28">
        <f>IF(A6="","",SUMIFS('Hakedis Fatura Detay'!$G$3:$G$1200,'Hakedis Fatura Detay'!$H$3:$H$1200,'DIVA Satislari'!AJ6,'Hakedis Fatura Detay'!$F$3:$F$1200,"Fiyat Farkı")+SUMIFS('Hakedis Fatura Detay'!$G$3:$G$1200,'Hakedis Fatura Detay'!$H$3:$H$1200,'DIVA Satislari'!AJ6,'Hakedis Fatura Detay'!$F$3:$F$1200,"Bundle"))</f>
        <v/>
      </c>
      <c r="R6" s="28">
        <f>IF(A6="","",I6-Q6)</f>
        <v/>
      </c>
      <c r="S6" s="26">
        <f>IF(A6="","",IF(LEFT(P6,7)="Bekleni","N/A - Henüz Ödenmemeli",IF(LEFT(P6,4)="RİSK","İNCELEME GEREKLİ - Süre Aşımı",IF(R6=0,"Doğru",IF(R6&gt;0,"EKSİK ÖDENMİŞ","FAZLA ÖDENMİŞ")))))</f>
        <v/>
      </c>
      <c r="T6" s="30">
        <f>IF(A6="","",IF(F6&lt;&gt;"Evet","İNCELEME GEREKLİ - Kampanya Tanımsız",IF(G6&lt;&gt;"Evet","İNCELEME GEREKLİ - Tarih Dışı Satış",IF(LEFT(P6,4)="RİSK","İNCELEME GEREKLİ - Hakediş Süresi Aşıldı",IF(OR(S6="EKSİK ÖDENMİŞ",S6="FAZLA ÖDENMİŞ"),"İNCELEME GEREKLİ - Tutar Uyuşmazlığı",IF(LEFT(P6,7)="Bekleni","Bekleniyor","Uygun"))))))</f>
        <v/>
      </c>
    </row>
    <row r="7">
      <c r="A7" s="26">
        <f>IF('DIVA Satislari'!I7="","",'DIVA Satislari'!I7)</f>
        <v/>
      </c>
      <c r="B7" s="26">
        <f>IF('DIVA Satislari'!I7="","",'DIVA Satislari'!R7)</f>
        <v/>
      </c>
      <c r="C7" s="26">
        <f>IF('DIVA Satislari'!I7="","",'DIVA Satislari'!M7)</f>
        <v/>
      </c>
      <c r="D7" s="27">
        <f>IF('DIVA Satislari'!I7="","",'DIVA Satislari'!H7)</f>
        <v/>
      </c>
      <c r="E7" s="26">
        <f>IF('DIVA Satislari'!I7="","",'DIVA Satislari'!O7)</f>
        <v/>
      </c>
      <c r="F7" s="26">
        <f>IF('DIVA Satislari'!I7="","",'DIVA Satislari'!AK7)</f>
        <v/>
      </c>
      <c r="G7" s="26">
        <f>IF('DIVA Satislari'!I7="","",'DIVA Satislari'!AO7)</f>
        <v/>
      </c>
      <c r="H7" s="27">
        <f>IF('DIVA Satislari'!I7="","",'DIVA Satislari'!AN7)</f>
        <v/>
      </c>
      <c r="I7" s="28">
        <f>IF('DIVA Satislari'!I7="","",'DIVA Satislari'!AQ7)</f>
        <v/>
      </c>
      <c r="J7" s="26">
        <f>IF('DIVA Satislari'!I7="","",'DIVA Satislari'!AR7)</f>
        <v/>
      </c>
      <c r="K7" s="26">
        <f>IF('DIVA Satislari'!I7="","",IFERROR(INDEX('E2E Nakliye Montaj'!$AS$3:$AS$1002,MATCH('DIVA Satislari'!AJ7,'E2E Nakliye Montaj'!$AM$3:$AM$1002,0)),"Eşleşme Yok"))</f>
        <v/>
      </c>
      <c r="L7" s="26">
        <f>IF('DIVA Satislari'!I7="","",IFERROR(INDEX('E2E Nakliye Montaj'!$AT$3:$AT$1002,MATCH('DIVA Satislari'!AJ7,'E2E Nakliye Montaj'!$AM$3:$AM$1002,0)),"Hayır"))</f>
        <v/>
      </c>
      <c r="M7" s="26">
        <f>IF('DIVA Satislari'!I7="","",IFERROR(INDEX('E2E Nakliye Montaj'!$AU$3:$AU$1002,MATCH('DIVA Satislari'!AJ7,'E2E Nakliye Montaj'!$AM$3:$AM$1002,0)),"Hayır"))</f>
        <v/>
      </c>
      <c r="N7" s="27">
        <f>IF('DIVA Satislari'!I7="","",IFERROR(INDEX('E2E Nakliye Montaj'!$AV$3:$AV$1002,MATCH('DIVA Satislari'!AJ7,'E2E Nakliye Montaj'!$AM$3:$AM$1002,0)),""))</f>
        <v/>
      </c>
      <c r="O7" s="26">
        <f>IF(OR(A7="",N7=""),"",IF(N7&lt;=H7,"Evet","HAYIR - RİSK"))</f>
        <v/>
      </c>
      <c r="P7" s="26">
        <f>IF(A7="","",IF(LEFT(J7,8)="Kural A ","Uygun - Hemen Ödenir (Yıl Sonu %75 Kontrolüne Tabi)",IF(OR(L7="Evet",M7="Evet"),IF(O7="Evet","Uygun","RİSK - Hakediş Süresi Aşıldı"),"Bekleniyor - Nakliye/Montaj Tamamlanmadı")))</f>
        <v/>
      </c>
      <c r="Q7" s="28">
        <f>IF(A7="","",SUMIFS('Hakedis Fatura Detay'!$G$3:$G$1200,'Hakedis Fatura Detay'!$H$3:$H$1200,'DIVA Satislari'!AJ7,'Hakedis Fatura Detay'!$F$3:$F$1200,"Fiyat Farkı")+SUMIFS('Hakedis Fatura Detay'!$G$3:$G$1200,'Hakedis Fatura Detay'!$H$3:$H$1200,'DIVA Satislari'!AJ7,'Hakedis Fatura Detay'!$F$3:$F$1200,"Bundle"))</f>
        <v/>
      </c>
      <c r="R7" s="28">
        <f>IF(A7="","",I7-Q7)</f>
        <v/>
      </c>
      <c r="S7" s="26">
        <f>IF(A7="","",IF(LEFT(P7,7)="Bekleni","N/A - Henüz Ödenmemeli",IF(LEFT(P7,4)="RİSK","İNCELEME GEREKLİ - Süre Aşımı",IF(R7=0,"Doğru",IF(R7&gt;0,"EKSİK ÖDENMİŞ","FAZLA ÖDENMİŞ")))))</f>
        <v/>
      </c>
      <c r="T7" s="30">
        <f>IF(A7="","",IF(F7&lt;&gt;"Evet","İNCELEME GEREKLİ - Kampanya Tanımsız",IF(G7&lt;&gt;"Evet","İNCELEME GEREKLİ - Tarih Dışı Satış",IF(LEFT(P7,4)="RİSK","İNCELEME GEREKLİ - Hakediş Süresi Aşıldı",IF(OR(S7="EKSİK ÖDENMİŞ",S7="FAZLA ÖDENMİŞ"),"İNCELEME GEREKLİ - Tutar Uyuşmazlığı",IF(LEFT(P7,7)="Bekleni","Bekleniyor","Uygun"))))))</f>
        <v/>
      </c>
    </row>
    <row r="8">
      <c r="A8" s="26">
        <f>IF('DIVA Satislari'!I8="","",'DIVA Satislari'!I8)</f>
        <v/>
      </c>
      <c r="B8" s="26">
        <f>IF('DIVA Satislari'!I8="","",'DIVA Satislari'!R8)</f>
        <v/>
      </c>
      <c r="C8" s="26">
        <f>IF('DIVA Satislari'!I8="","",'DIVA Satislari'!M8)</f>
        <v/>
      </c>
      <c r="D8" s="27">
        <f>IF('DIVA Satislari'!I8="","",'DIVA Satislari'!H8)</f>
        <v/>
      </c>
      <c r="E8" s="26">
        <f>IF('DIVA Satislari'!I8="","",'DIVA Satislari'!O8)</f>
        <v/>
      </c>
      <c r="F8" s="26">
        <f>IF('DIVA Satislari'!I8="","",'DIVA Satislari'!AK8)</f>
        <v/>
      </c>
      <c r="G8" s="26">
        <f>IF('DIVA Satislari'!I8="","",'DIVA Satislari'!AO8)</f>
        <v/>
      </c>
      <c r="H8" s="27">
        <f>IF('DIVA Satislari'!I8="","",'DIVA Satislari'!AN8)</f>
        <v/>
      </c>
      <c r="I8" s="28">
        <f>IF('DIVA Satislari'!I8="","",'DIVA Satislari'!AQ8)</f>
        <v/>
      </c>
      <c r="J8" s="26">
        <f>IF('DIVA Satislari'!I8="","",'DIVA Satislari'!AR8)</f>
        <v/>
      </c>
      <c r="K8" s="26">
        <f>IF('DIVA Satislari'!I8="","",IFERROR(INDEX('E2E Nakliye Montaj'!$AS$3:$AS$1002,MATCH('DIVA Satislari'!AJ8,'E2E Nakliye Montaj'!$AM$3:$AM$1002,0)),"Eşleşme Yok"))</f>
        <v/>
      </c>
      <c r="L8" s="26">
        <f>IF('DIVA Satislari'!I8="","",IFERROR(INDEX('E2E Nakliye Montaj'!$AT$3:$AT$1002,MATCH('DIVA Satislari'!AJ8,'E2E Nakliye Montaj'!$AM$3:$AM$1002,0)),"Hayır"))</f>
        <v/>
      </c>
      <c r="M8" s="26">
        <f>IF('DIVA Satislari'!I8="","",IFERROR(INDEX('E2E Nakliye Montaj'!$AU$3:$AU$1002,MATCH('DIVA Satislari'!AJ8,'E2E Nakliye Montaj'!$AM$3:$AM$1002,0)),"Hayır"))</f>
        <v/>
      </c>
      <c r="N8" s="27">
        <f>IF('DIVA Satislari'!I8="","",IFERROR(INDEX('E2E Nakliye Montaj'!$AV$3:$AV$1002,MATCH('DIVA Satislari'!AJ8,'E2E Nakliye Montaj'!$AM$3:$AM$1002,0)),""))</f>
        <v/>
      </c>
      <c r="O8" s="26">
        <f>IF(OR(A8="",N8=""),"",IF(N8&lt;=H8,"Evet","HAYIR - RİSK"))</f>
        <v/>
      </c>
      <c r="P8" s="26">
        <f>IF(A8="","",IF(LEFT(J8,8)="Kural A ","Uygun - Hemen Ödenir (Yıl Sonu %75 Kontrolüne Tabi)",IF(OR(L8="Evet",M8="Evet"),IF(O8="Evet","Uygun","RİSK - Hakediş Süresi Aşıldı"),"Bekleniyor - Nakliye/Montaj Tamamlanmadı")))</f>
        <v/>
      </c>
      <c r="Q8" s="28">
        <f>IF(A8="","",SUMIFS('Hakedis Fatura Detay'!$G$3:$G$1200,'Hakedis Fatura Detay'!$H$3:$H$1200,'DIVA Satislari'!AJ8,'Hakedis Fatura Detay'!$F$3:$F$1200,"Fiyat Farkı")+SUMIFS('Hakedis Fatura Detay'!$G$3:$G$1200,'Hakedis Fatura Detay'!$H$3:$H$1200,'DIVA Satislari'!AJ8,'Hakedis Fatura Detay'!$F$3:$F$1200,"Bundle"))</f>
        <v/>
      </c>
      <c r="R8" s="28">
        <f>IF(A8="","",I8-Q8)</f>
        <v/>
      </c>
      <c r="S8" s="26">
        <f>IF(A8="","",IF(LEFT(P8,7)="Bekleni","N/A - Henüz Ödenmemeli",IF(LEFT(P8,4)="RİSK","İNCELEME GEREKLİ - Süre Aşımı",IF(R8=0,"Doğru",IF(R8&gt;0,"EKSİK ÖDENMİŞ","FAZLA ÖDENMİŞ")))))</f>
        <v/>
      </c>
      <c r="T8" s="30">
        <f>IF(A8="","",IF(F8&lt;&gt;"Evet","İNCELEME GEREKLİ - Kampanya Tanımsız",IF(G8&lt;&gt;"Evet","İNCELEME GEREKLİ - Tarih Dışı Satış",IF(LEFT(P8,4)="RİSK","İNCELEME GEREKLİ - Hakediş Süresi Aşıldı",IF(OR(S8="EKSİK ÖDENMİŞ",S8="FAZLA ÖDENMİŞ"),"İNCELEME GEREKLİ - Tutar Uyuşmazlığı",IF(LEFT(P8,7)="Bekleni","Bekleniyor","Uygun"))))))</f>
        <v/>
      </c>
    </row>
    <row r="9">
      <c r="A9" s="26">
        <f>IF('DIVA Satislari'!I9="","",'DIVA Satislari'!I9)</f>
        <v/>
      </c>
      <c r="B9" s="26">
        <f>IF('DIVA Satislari'!I9="","",'DIVA Satislari'!R9)</f>
        <v/>
      </c>
      <c r="C9" s="26">
        <f>IF('DIVA Satislari'!I9="","",'DIVA Satislari'!M9)</f>
        <v/>
      </c>
      <c r="D9" s="27">
        <f>IF('DIVA Satislari'!I9="","",'DIVA Satislari'!H9)</f>
        <v/>
      </c>
      <c r="E9" s="26">
        <f>IF('DIVA Satislari'!I9="","",'DIVA Satislari'!O9)</f>
        <v/>
      </c>
      <c r="F9" s="26">
        <f>IF('DIVA Satislari'!I9="","",'DIVA Satislari'!AK9)</f>
        <v/>
      </c>
      <c r="G9" s="26">
        <f>IF('DIVA Satislari'!I9="","",'DIVA Satislari'!AO9)</f>
        <v/>
      </c>
      <c r="H9" s="27">
        <f>IF('DIVA Satislari'!I9="","",'DIVA Satislari'!AN9)</f>
        <v/>
      </c>
      <c r="I9" s="28">
        <f>IF('DIVA Satislari'!I9="","",'DIVA Satislari'!AQ9)</f>
        <v/>
      </c>
      <c r="J9" s="26">
        <f>IF('DIVA Satislari'!I9="","",'DIVA Satislari'!AR9)</f>
        <v/>
      </c>
      <c r="K9" s="26">
        <f>IF('DIVA Satislari'!I9="","",IFERROR(INDEX('E2E Nakliye Montaj'!$AS$3:$AS$1002,MATCH('DIVA Satislari'!AJ9,'E2E Nakliye Montaj'!$AM$3:$AM$1002,0)),"Eşleşme Yok"))</f>
        <v/>
      </c>
      <c r="L9" s="26">
        <f>IF('DIVA Satislari'!I9="","",IFERROR(INDEX('E2E Nakliye Montaj'!$AT$3:$AT$1002,MATCH('DIVA Satislari'!AJ9,'E2E Nakliye Montaj'!$AM$3:$AM$1002,0)),"Hayır"))</f>
        <v/>
      </c>
      <c r="M9" s="26">
        <f>IF('DIVA Satislari'!I9="","",IFERROR(INDEX('E2E Nakliye Montaj'!$AU$3:$AU$1002,MATCH('DIVA Satislari'!AJ9,'E2E Nakliye Montaj'!$AM$3:$AM$1002,0)),"Hayır"))</f>
        <v/>
      </c>
      <c r="N9" s="27">
        <f>IF('DIVA Satislari'!I9="","",IFERROR(INDEX('E2E Nakliye Montaj'!$AV$3:$AV$1002,MATCH('DIVA Satislari'!AJ9,'E2E Nakliye Montaj'!$AM$3:$AM$1002,0)),""))</f>
        <v/>
      </c>
      <c r="O9" s="26">
        <f>IF(OR(A9="",N9=""),"",IF(N9&lt;=H9,"Evet","HAYIR - RİSK"))</f>
        <v/>
      </c>
      <c r="P9" s="26">
        <f>IF(A9="","",IF(LEFT(J9,8)="Kural A ","Uygun - Hemen Ödenir (Yıl Sonu %75 Kontrolüne Tabi)",IF(OR(L9="Evet",M9="Evet"),IF(O9="Evet","Uygun","RİSK - Hakediş Süresi Aşıldı"),"Bekleniyor - Nakliye/Montaj Tamamlanmadı")))</f>
        <v/>
      </c>
      <c r="Q9" s="28">
        <f>IF(A9="","",SUMIFS('Hakedis Fatura Detay'!$G$3:$G$1200,'Hakedis Fatura Detay'!$H$3:$H$1200,'DIVA Satislari'!AJ9,'Hakedis Fatura Detay'!$F$3:$F$1200,"Fiyat Farkı")+SUMIFS('Hakedis Fatura Detay'!$G$3:$G$1200,'Hakedis Fatura Detay'!$H$3:$H$1200,'DIVA Satislari'!AJ9,'Hakedis Fatura Detay'!$F$3:$F$1200,"Bundle"))</f>
        <v/>
      </c>
      <c r="R9" s="28">
        <f>IF(A9="","",I9-Q9)</f>
        <v/>
      </c>
      <c r="S9" s="26">
        <f>IF(A9="","",IF(LEFT(P9,7)="Bekleni","N/A - Henüz Ödenmemeli",IF(LEFT(P9,4)="RİSK","İNCELEME GEREKLİ - Süre Aşımı",IF(R9=0,"Doğru",IF(R9&gt;0,"EKSİK ÖDENMİŞ","FAZLA ÖDENMİŞ")))))</f>
        <v/>
      </c>
      <c r="T9" s="30">
        <f>IF(A9="","",IF(F9&lt;&gt;"Evet","İNCELEME GEREKLİ - Kampanya Tanımsız",IF(G9&lt;&gt;"Evet","İNCELEME GEREKLİ - Tarih Dışı Satış",IF(LEFT(P9,4)="RİSK","İNCELEME GEREKLİ - Hakediş Süresi Aşıldı",IF(OR(S9="EKSİK ÖDENMİŞ",S9="FAZLA ÖDENMİŞ"),"İNCELEME GEREKLİ - Tutar Uyuşmazlığı",IF(LEFT(P9,7)="Bekleni","Bekleniyor","Uygun"))))))</f>
        <v/>
      </c>
    </row>
    <row r="10">
      <c r="A10" s="26">
        <f>IF('DIVA Satislari'!I10="","",'DIVA Satislari'!I10)</f>
        <v/>
      </c>
      <c r="B10" s="26">
        <f>IF('DIVA Satislari'!I10="","",'DIVA Satislari'!R10)</f>
        <v/>
      </c>
      <c r="C10" s="26">
        <f>IF('DIVA Satislari'!I10="","",'DIVA Satislari'!M10)</f>
        <v/>
      </c>
      <c r="D10" s="27">
        <f>IF('DIVA Satislari'!I10="","",'DIVA Satislari'!H10)</f>
        <v/>
      </c>
      <c r="E10" s="26">
        <f>IF('DIVA Satislari'!I10="","",'DIVA Satislari'!O10)</f>
        <v/>
      </c>
      <c r="F10" s="26">
        <f>IF('DIVA Satislari'!I10="","",'DIVA Satislari'!AK10)</f>
        <v/>
      </c>
      <c r="G10" s="26">
        <f>IF('DIVA Satislari'!I10="","",'DIVA Satislari'!AO10)</f>
        <v/>
      </c>
      <c r="H10" s="27">
        <f>IF('DIVA Satislari'!I10="","",'DIVA Satislari'!AN10)</f>
        <v/>
      </c>
      <c r="I10" s="28">
        <f>IF('DIVA Satislari'!I10="","",'DIVA Satislari'!AQ10)</f>
        <v/>
      </c>
      <c r="J10" s="26">
        <f>IF('DIVA Satislari'!I10="","",'DIVA Satislari'!AR10)</f>
        <v/>
      </c>
      <c r="K10" s="26">
        <f>IF('DIVA Satislari'!I10="","",IFERROR(INDEX('E2E Nakliye Montaj'!$AS$3:$AS$1002,MATCH('DIVA Satislari'!AJ10,'E2E Nakliye Montaj'!$AM$3:$AM$1002,0)),"Eşleşme Yok"))</f>
        <v/>
      </c>
      <c r="L10" s="26">
        <f>IF('DIVA Satislari'!I10="","",IFERROR(INDEX('E2E Nakliye Montaj'!$AT$3:$AT$1002,MATCH('DIVA Satislari'!AJ10,'E2E Nakliye Montaj'!$AM$3:$AM$1002,0)),"Hayır"))</f>
        <v/>
      </c>
      <c r="M10" s="26">
        <f>IF('DIVA Satislari'!I10="","",IFERROR(INDEX('E2E Nakliye Montaj'!$AU$3:$AU$1002,MATCH('DIVA Satislari'!AJ10,'E2E Nakliye Montaj'!$AM$3:$AM$1002,0)),"Hayır"))</f>
        <v/>
      </c>
      <c r="N10" s="27">
        <f>IF('DIVA Satislari'!I10="","",IFERROR(INDEX('E2E Nakliye Montaj'!$AV$3:$AV$1002,MATCH('DIVA Satislari'!AJ10,'E2E Nakliye Montaj'!$AM$3:$AM$1002,0)),""))</f>
        <v/>
      </c>
      <c r="O10" s="26">
        <f>IF(OR(A10="",N10=""),"",IF(N10&lt;=H10,"Evet","HAYIR - RİSK"))</f>
        <v/>
      </c>
      <c r="P10" s="26">
        <f>IF(A10="","",IF(LEFT(J10,8)="Kural A ","Uygun - Hemen Ödenir (Yıl Sonu %75 Kontrolüne Tabi)",IF(OR(L10="Evet",M10="Evet"),IF(O10="Evet","Uygun","RİSK - Hakediş Süresi Aşıldı"),"Bekleniyor - Nakliye/Montaj Tamamlanmadı")))</f>
        <v/>
      </c>
      <c r="Q10" s="28">
        <f>IF(A10="","",SUMIFS('Hakedis Fatura Detay'!$G$3:$G$1200,'Hakedis Fatura Detay'!$H$3:$H$1200,'DIVA Satislari'!AJ10,'Hakedis Fatura Detay'!$F$3:$F$1200,"Fiyat Farkı")+SUMIFS('Hakedis Fatura Detay'!$G$3:$G$1200,'Hakedis Fatura Detay'!$H$3:$H$1200,'DIVA Satislari'!AJ10,'Hakedis Fatura Detay'!$F$3:$F$1200,"Bundle"))</f>
        <v/>
      </c>
      <c r="R10" s="28">
        <f>IF(A10="","",I10-Q10)</f>
        <v/>
      </c>
      <c r="S10" s="26">
        <f>IF(A10="","",IF(LEFT(P10,7)="Bekleni","N/A - Henüz Ödenmemeli",IF(LEFT(P10,4)="RİSK","İNCELEME GEREKLİ - Süre Aşımı",IF(R10=0,"Doğru",IF(R10&gt;0,"EKSİK ÖDENMİŞ","FAZLA ÖDENMİŞ")))))</f>
        <v/>
      </c>
      <c r="T10" s="30">
        <f>IF(A10="","",IF(F10&lt;&gt;"Evet","İNCELEME GEREKLİ - Kampanya Tanımsız",IF(G10&lt;&gt;"Evet","İNCELEME GEREKLİ - Tarih Dışı Satış",IF(LEFT(P10,4)="RİSK","İNCELEME GEREKLİ - Hakediş Süresi Aşıldı",IF(OR(S10="EKSİK ÖDENMİŞ",S10="FAZLA ÖDENMİŞ"),"İNCELEME GEREKLİ - Tutar Uyuşmazlığı",IF(LEFT(P10,7)="Bekleni","Bekleniyor","Uygun"))))))</f>
        <v/>
      </c>
    </row>
    <row r="11">
      <c r="A11" s="26">
        <f>IF('DIVA Satislari'!I11="","",'DIVA Satislari'!I11)</f>
        <v/>
      </c>
      <c r="B11" s="26">
        <f>IF('DIVA Satislari'!I11="","",'DIVA Satislari'!R11)</f>
        <v/>
      </c>
      <c r="C11" s="26">
        <f>IF('DIVA Satislari'!I11="","",'DIVA Satislari'!M11)</f>
        <v/>
      </c>
      <c r="D11" s="27">
        <f>IF('DIVA Satislari'!I11="","",'DIVA Satislari'!H11)</f>
        <v/>
      </c>
      <c r="E11" s="26">
        <f>IF('DIVA Satislari'!I11="","",'DIVA Satislari'!O11)</f>
        <v/>
      </c>
      <c r="F11" s="26">
        <f>IF('DIVA Satislari'!I11="","",'DIVA Satislari'!AK11)</f>
        <v/>
      </c>
      <c r="G11" s="26">
        <f>IF('DIVA Satislari'!I11="","",'DIVA Satislari'!AO11)</f>
        <v/>
      </c>
      <c r="H11" s="27">
        <f>IF('DIVA Satislari'!I11="","",'DIVA Satislari'!AN11)</f>
        <v/>
      </c>
      <c r="I11" s="28">
        <f>IF('DIVA Satislari'!I11="","",'DIVA Satislari'!AQ11)</f>
        <v/>
      </c>
      <c r="J11" s="26">
        <f>IF('DIVA Satislari'!I11="","",'DIVA Satislari'!AR11)</f>
        <v/>
      </c>
      <c r="K11" s="26">
        <f>IF('DIVA Satislari'!I11="","",IFERROR(INDEX('E2E Nakliye Montaj'!$AS$3:$AS$1002,MATCH('DIVA Satislari'!AJ11,'E2E Nakliye Montaj'!$AM$3:$AM$1002,0)),"Eşleşme Yok"))</f>
        <v/>
      </c>
      <c r="L11" s="26">
        <f>IF('DIVA Satislari'!I11="","",IFERROR(INDEX('E2E Nakliye Montaj'!$AT$3:$AT$1002,MATCH('DIVA Satislari'!AJ11,'E2E Nakliye Montaj'!$AM$3:$AM$1002,0)),"Hayır"))</f>
        <v/>
      </c>
      <c r="M11" s="26">
        <f>IF('DIVA Satislari'!I11="","",IFERROR(INDEX('E2E Nakliye Montaj'!$AU$3:$AU$1002,MATCH('DIVA Satislari'!AJ11,'E2E Nakliye Montaj'!$AM$3:$AM$1002,0)),"Hayır"))</f>
        <v/>
      </c>
      <c r="N11" s="27">
        <f>IF('DIVA Satislari'!I11="","",IFERROR(INDEX('E2E Nakliye Montaj'!$AV$3:$AV$1002,MATCH('DIVA Satislari'!AJ11,'E2E Nakliye Montaj'!$AM$3:$AM$1002,0)),""))</f>
        <v/>
      </c>
      <c r="O11" s="26">
        <f>IF(OR(A11="",N11=""),"",IF(N11&lt;=H11,"Evet","HAYIR - RİSK"))</f>
        <v/>
      </c>
      <c r="P11" s="26">
        <f>IF(A11="","",IF(LEFT(J11,8)="Kural A ","Uygun - Hemen Ödenir (Yıl Sonu %75 Kontrolüne Tabi)",IF(OR(L11="Evet",M11="Evet"),IF(O11="Evet","Uygun","RİSK - Hakediş Süresi Aşıldı"),"Bekleniyor - Nakliye/Montaj Tamamlanmadı")))</f>
        <v/>
      </c>
      <c r="Q11" s="28">
        <f>IF(A11="","",SUMIFS('Hakedis Fatura Detay'!$G$3:$G$1200,'Hakedis Fatura Detay'!$H$3:$H$1200,'DIVA Satislari'!AJ11,'Hakedis Fatura Detay'!$F$3:$F$1200,"Fiyat Farkı")+SUMIFS('Hakedis Fatura Detay'!$G$3:$G$1200,'Hakedis Fatura Detay'!$H$3:$H$1200,'DIVA Satislari'!AJ11,'Hakedis Fatura Detay'!$F$3:$F$1200,"Bundle"))</f>
        <v/>
      </c>
      <c r="R11" s="28">
        <f>IF(A11="","",I11-Q11)</f>
        <v/>
      </c>
      <c r="S11" s="26">
        <f>IF(A11="","",IF(LEFT(P11,7)="Bekleni","N/A - Henüz Ödenmemeli",IF(LEFT(P11,4)="RİSK","İNCELEME GEREKLİ - Süre Aşımı",IF(R11=0,"Doğru",IF(R11&gt;0,"EKSİK ÖDENMİŞ","FAZLA ÖDENMİŞ")))))</f>
        <v/>
      </c>
      <c r="T11" s="30">
        <f>IF(A11="","",IF(F11&lt;&gt;"Evet","İNCELEME GEREKLİ - Kampanya Tanımsız",IF(G11&lt;&gt;"Evet","İNCELEME GEREKLİ - Tarih Dışı Satış",IF(LEFT(P11,4)="RİSK","İNCELEME GEREKLİ - Hakediş Süresi Aşıldı",IF(OR(S11="EKSİK ÖDENMİŞ",S11="FAZLA ÖDENMİŞ"),"İNCELEME GEREKLİ - Tutar Uyuşmazlığı",IF(LEFT(P11,7)="Bekleni","Bekleniyor","Uygun"))))))</f>
        <v/>
      </c>
    </row>
    <row r="12">
      <c r="A12" s="26">
        <f>IF('DIVA Satislari'!I12="","",'DIVA Satislari'!I12)</f>
        <v/>
      </c>
      <c r="B12" s="26">
        <f>IF('DIVA Satislari'!I12="","",'DIVA Satislari'!R12)</f>
        <v/>
      </c>
      <c r="C12" s="26">
        <f>IF('DIVA Satislari'!I12="","",'DIVA Satislari'!M12)</f>
        <v/>
      </c>
      <c r="D12" s="27">
        <f>IF('DIVA Satislari'!I12="","",'DIVA Satislari'!H12)</f>
        <v/>
      </c>
      <c r="E12" s="26">
        <f>IF('DIVA Satislari'!I12="","",'DIVA Satislari'!O12)</f>
        <v/>
      </c>
      <c r="F12" s="26">
        <f>IF('DIVA Satislari'!I12="","",'DIVA Satislari'!AK12)</f>
        <v/>
      </c>
      <c r="G12" s="26">
        <f>IF('DIVA Satislari'!I12="","",'DIVA Satislari'!AO12)</f>
        <v/>
      </c>
      <c r="H12" s="27">
        <f>IF('DIVA Satislari'!I12="","",'DIVA Satislari'!AN12)</f>
        <v/>
      </c>
      <c r="I12" s="28">
        <f>IF('DIVA Satislari'!I12="","",'DIVA Satislari'!AQ12)</f>
        <v/>
      </c>
      <c r="J12" s="26">
        <f>IF('DIVA Satislari'!I12="","",'DIVA Satislari'!AR12)</f>
        <v/>
      </c>
      <c r="K12" s="26">
        <f>IF('DIVA Satislari'!I12="","",IFERROR(INDEX('E2E Nakliye Montaj'!$AS$3:$AS$1002,MATCH('DIVA Satislari'!AJ12,'E2E Nakliye Montaj'!$AM$3:$AM$1002,0)),"Eşleşme Yok"))</f>
        <v/>
      </c>
      <c r="L12" s="26">
        <f>IF('DIVA Satislari'!I12="","",IFERROR(INDEX('E2E Nakliye Montaj'!$AT$3:$AT$1002,MATCH('DIVA Satislari'!AJ12,'E2E Nakliye Montaj'!$AM$3:$AM$1002,0)),"Hayır"))</f>
        <v/>
      </c>
      <c r="M12" s="26">
        <f>IF('DIVA Satislari'!I12="","",IFERROR(INDEX('E2E Nakliye Montaj'!$AU$3:$AU$1002,MATCH('DIVA Satislari'!AJ12,'E2E Nakliye Montaj'!$AM$3:$AM$1002,0)),"Hayır"))</f>
        <v/>
      </c>
      <c r="N12" s="27">
        <f>IF('DIVA Satislari'!I12="","",IFERROR(INDEX('E2E Nakliye Montaj'!$AV$3:$AV$1002,MATCH('DIVA Satislari'!AJ12,'E2E Nakliye Montaj'!$AM$3:$AM$1002,0)),""))</f>
        <v/>
      </c>
      <c r="O12" s="26">
        <f>IF(OR(A12="",N12=""),"",IF(N12&lt;=H12,"Evet","HAYIR - RİSK"))</f>
        <v/>
      </c>
      <c r="P12" s="26">
        <f>IF(A12="","",IF(LEFT(J12,8)="Kural A ","Uygun - Hemen Ödenir (Yıl Sonu %75 Kontrolüne Tabi)",IF(OR(L12="Evet",M12="Evet"),IF(O12="Evet","Uygun","RİSK - Hakediş Süresi Aşıldı"),"Bekleniyor - Nakliye/Montaj Tamamlanmadı")))</f>
        <v/>
      </c>
      <c r="Q12" s="28">
        <f>IF(A12="","",SUMIFS('Hakedis Fatura Detay'!$G$3:$G$1200,'Hakedis Fatura Detay'!$H$3:$H$1200,'DIVA Satislari'!AJ12,'Hakedis Fatura Detay'!$F$3:$F$1200,"Fiyat Farkı")+SUMIFS('Hakedis Fatura Detay'!$G$3:$G$1200,'Hakedis Fatura Detay'!$H$3:$H$1200,'DIVA Satislari'!AJ12,'Hakedis Fatura Detay'!$F$3:$F$1200,"Bundle"))</f>
        <v/>
      </c>
      <c r="R12" s="28">
        <f>IF(A12="","",I12-Q12)</f>
        <v/>
      </c>
      <c r="S12" s="26">
        <f>IF(A12="","",IF(LEFT(P12,7)="Bekleni","N/A - Henüz Ödenmemeli",IF(LEFT(P12,4)="RİSK","İNCELEME GEREKLİ - Süre Aşımı",IF(R12=0,"Doğru",IF(R12&gt;0,"EKSİK ÖDENMİŞ","FAZLA ÖDENMİŞ")))))</f>
        <v/>
      </c>
      <c r="T12" s="30">
        <f>IF(A12="","",IF(F12&lt;&gt;"Evet","İNCELEME GEREKLİ - Kampanya Tanımsız",IF(G12&lt;&gt;"Evet","İNCELEME GEREKLİ - Tarih Dışı Satış",IF(LEFT(P12,4)="RİSK","İNCELEME GEREKLİ - Hakediş Süresi Aşıldı",IF(OR(S12="EKSİK ÖDENMİŞ",S12="FAZLA ÖDENMİŞ"),"İNCELEME GEREKLİ - Tutar Uyuşmazlığı",IF(LEFT(P12,7)="Bekleni","Bekleniyor","Uygun"))))))</f>
        <v/>
      </c>
    </row>
    <row r="13">
      <c r="A13" s="26">
        <f>IF('DIVA Satislari'!I13="","",'DIVA Satislari'!I13)</f>
        <v/>
      </c>
      <c r="B13" s="26">
        <f>IF('DIVA Satislari'!I13="","",'DIVA Satislari'!R13)</f>
        <v/>
      </c>
      <c r="C13" s="26">
        <f>IF('DIVA Satislari'!I13="","",'DIVA Satislari'!M13)</f>
        <v/>
      </c>
      <c r="D13" s="27">
        <f>IF('DIVA Satislari'!I13="","",'DIVA Satislari'!H13)</f>
        <v/>
      </c>
      <c r="E13" s="26">
        <f>IF('DIVA Satislari'!I13="","",'DIVA Satislari'!O13)</f>
        <v/>
      </c>
      <c r="F13" s="26">
        <f>IF('DIVA Satislari'!I13="","",'DIVA Satislari'!AK13)</f>
        <v/>
      </c>
      <c r="G13" s="26">
        <f>IF('DIVA Satislari'!I13="","",'DIVA Satislari'!AO13)</f>
        <v/>
      </c>
      <c r="H13" s="27">
        <f>IF('DIVA Satislari'!I13="","",'DIVA Satislari'!AN13)</f>
        <v/>
      </c>
      <c r="I13" s="28">
        <f>IF('DIVA Satislari'!I13="","",'DIVA Satislari'!AQ13)</f>
        <v/>
      </c>
      <c r="J13" s="26">
        <f>IF('DIVA Satislari'!I13="","",'DIVA Satislari'!AR13)</f>
        <v/>
      </c>
      <c r="K13" s="26">
        <f>IF('DIVA Satislari'!I13="","",IFERROR(INDEX('E2E Nakliye Montaj'!$AS$3:$AS$1002,MATCH('DIVA Satislari'!AJ13,'E2E Nakliye Montaj'!$AM$3:$AM$1002,0)),"Eşleşme Yok"))</f>
        <v/>
      </c>
      <c r="L13" s="26">
        <f>IF('DIVA Satislari'!I13="","",IFERROR(INDEX('E2E Nakliye Montaj'!$AT$3:$AT$1002,MATCH('DIVA Satislari'!AJ13,'E2E Nakliye Montaj'!$AM$3:$AM$1002,0)),"Hayır"))</f>
        <v/>
      </c>
      <c r="M13" s="26">
        <f>IF('DIVA Satislari'!I13="","",IFERROR(INDEX('E2E Nakliye Montaj'!$AU$3:$AU$1002,MATCH('DIVA Satislari'!AJ13,'E2E Nakliye Montaj'!$AM$3:$AM$1002,0)),"Hayır"))</f>
        <v/>
      </c>
      <c r="N13" s="27">
        <f>IF('DIVA Satislari'!I13="","",IFERROR(INDEX('E2E Nakliye Montaj'!$AV$3:$AV$1002,MATCH('DIVA Satislari'!AJ13,'E2E Nakliye Montaj'!$AM$3:$AM$1002,0)),""))</f>
        <v/>
      </c>
      <c r="O13" s="26">
        <f>IF(OR(A13="",N13=""),"",IF(N13&lt;=H13,"Evet","HAYIR - RİSK"))</f>
        <v/>
      </c>
      <c r="P13" s="26">
        <f>IF(A13="","",IF(LEFT(J13,8)="Kural A ","Uygun - Hemen Ödenir (Yıl Sonu %75 Kontrolüne Tabi)",IF(OR(L13="Evet",M13="Evet"),IF(O13="Evet","Uygun","RİSK - Hakediş Süresi Aşıldı"),"Bekleniyor - Nakliye/Montaj Tamamlanmadı")))</f>
        <v/>
      </c>
      <c r="Q13" s="28">
        <f>IF(A13="","",SUMIFS('Hakedis Fatura Detay'!$G$3:$G$1200,'Hakedis Fatura Detay'!$H$3:$H$1200,'DIVA Satislari'!AJ13,'Hakedis Fatura Detay'!$F$3:$F$1200,"Fiyat Farkı")+SUMIFS('Hakedis Fatura Detay'!$G$3:$G$1200,'Hakedis Fatura Detay'!$H$3:$H$1200,'DIVA Satislari'!AJ13,'Hakedis Fatura Detay'!$F$3:$F$1200,"Bundle"))</f>
        <v/>
      </c>
      <c r="R13" s="28">
        <f>IF(A13="","",I13-Q13)</f>
        <v/>
      </c>
      <c r="S13" s="26">
        <f>IF(A13="","",IF(LEFT(P13,7)="Bekleni","N/A - Henüz Ödenmemeli",IF(LEFT(P13,4)="RİSK","İNCELEME GEREKLİ - Süre Aşımı",IF(R13=0,"Doğru",IF(R13&gt;0,"EKSİK ÖDENMİŞ","FAZLA ÖDENMİŞ")))))</f>
        <v/>
      </c>
      <c r="T13" s="30">
        <f>IF(A13="","",IF(F13&lt;&gt;"Evet","İNCELEME GEREKLİ - Kampanya Tanımsız",IF(G13&lt;&gt;"Evet","İNCELEME GEREKLİ - Tarih Dışı Satış",IF(LEFT(P13,4)="RİSK","İNCELEME GEREKLİ - Hakediş Süresi Aşıldı",IF(OR(S13="EKSİK ÖDENMİŞ",S13="FAZLA ÖDENMİŞ"),"İNCELEME GEREKLİ - Tutar Uyuşmazlığı",IF(LEFT(P13,7)="Bekleni","Bekleniyor","Uygun"))))))</f>
        <v/>
      </c>
    </row>
    <row r="14">
      <c r="A14" s="26">
        <f>IF('DIVA Satislari'!I14="","",'DIVA Satislari'!I14)</f>
        <v/>
      </c>
      <c r="B14" s="26">
        <f>IF('DIVA Satislari'!I14="","",'DIVA Satislari'!R14)</f>
        <v/>
      </c>
      <c r="C14" s="26">
        <f>IF('DIVA Satislari'!I14="","",'DIVA Satislari'!M14)</f>
        <v/>
      </c>
      <c r="D14" s="27">
        <f>IF('DIVA Satislari'!I14="","",'DIVA Satislari'!H14)</f>
        <v/>
      </c>
      <c r="E14" s="26">
        <f>IF('DIVA Satislari'!I14="","",'DIVA Satislari'!O14)</f>
        <v/>
      </c>
      <c r="F14" s="26">
        <f>IF('DIVA Satislari'!I14="","",'DIVA Satislari'!AK14)</f>
        <v/>
      </c>
      <c r="G14" s="26">
        <f>IF('DIVA Satislari'!I14="","",'DIVA Satislari'!AO14)</f>
        <v/>
      </c>
      <c r="H14" s="27">
        <f>IF('DIVA Satislari'!I14="","",'DIVA Satislari'!AN14)</f>
        <v/>
      </c>
      <c r="I14" s="28">
        <f>IF('DIVA Satislari'!I14="","",'DIVA Satislari'!AQ14)</f>
        <v/>
      </c>
      <c r="J14" s="26">
        <f>IF('DIVA Satislari'!I14="","",'DIVA Satislari'!AR14)</f>
        <v/>
      </c>
      <c r="K14" s="26">
        <f>IF('DIVA Satislari'!I14="","",IFERROR(INDEX('E2E Nakliye Montaj'!$AS$3:$AS$1002,MATCH('DIVA Satislari'!AJ14,'E2E Nakliye Montaj'!$AM$3:$AM$1002,0)),"Eşleşme Yok"))</f>
        <v/>
      </c>
      <c r="L14" s="26">
        <f>IF('DIVA Satislari'!I14="","",IFERROR(INDEX('E2E Nakliye Montaj'!$AT$3:$AT$1002,MATCH('DIVA Satislari'!AJ14,'E2E Nakliye Montaj'!$AM$3:$AM$1002,0)),"Hayır"))</f>
        <v/>
      </c>
      <c r="M14" s="26">
        <f>IF('DIVA Satislari'!I14="","",IFERROR(INDEX('E2E Nakliye Montaj'!$AU$3:$AU$1002,MATCH('DIVA Satislari'!AJ14,'E2E Nakliye Montaj'!$AM$3:$AM$1002,0)),"Hayır"))</f>
        <v/>
      </c>
      <c r="N14" s="27">
        <f>IF('DIVA Satislari'!I14="","",IFERROR(INDEX('E2E Nakliye Montaj'!$AV$3:$AV$1002,MATCH('DIVA Satislari'!AJ14,'E2E Nakliye Montaj'!$AM$3:$AM$1002,0)),""))</f>
        <v/>
      </c>
      <c r="O14" s="26">
        <f>IF(OR(A14="",N14=""),"",IF(N14&lt;=H14,"Evet","HAYIR - RİSK"))</f>
        <v/>
      </c>
      <c r="P14" s="26">
        <f>IF(A14="","",IF(LEFT(J14,8)="Kural A ","Uygun - Hemen Ödenir (Yıl Sonu %75 Kontrolüne Tabi)",IF(OR(L14="Evet",M14="Evet"),IF(O14="Evet","Uygun","RİSK - Hakediş Süresi Aşıldı"),"Bekleniyor - Nakliye/Montaj Tamamlanmadı")))</f>
        <v/>
      </c>
      <c r="Q14" s="28">
        <f>IF(A14="","",SUMIFS('Hakedis Fatura Detay'!$G$3:$G$1200,'Hakedis Fatura Detay'!$H$3:$H$1200,'DIVA Satislari'!AJ14,'Hakedis Fatura Detay'!$F$3:$F$1200,"Fiyat Farkı")+SUMIFS('Hakedis Fatura Detay'!$G$3:$G$1200,'Hakedis Fatura Detay'!$H$3:$H$1200,'DIVA Satislari'!AJ14,'Hakedis Fatura Detay'!$F$3:$F$1200,"Bundle"))</f>
        <v/>
      </c>
      <c r="R14" s="28">
        <f>IF(A14="","",I14-Q14)</f>
        <v/>
      </c>
      <c r="S14" s="26">
        <f>IF(A14="","",IF(LEFT(P14,7)="Bekleni","N/A - Henüz Ödenmemeli",IF(LEFT(P14,4)="RİSK","İNCELEME GEREKLİ - Süre Aşımı",IF(R14=0,"Doğru",IF(R14&gt;0,"EKSİK ÖDENMİŞ","FAZLA ÖDENMİŞ")))))</f>
        <v/>
      </c>
      <c r="T14" s="30">
        <f>IF(A14="","",IF(F14&lt;&gt;"Evet","İNCELEME GEREKLİ - Kampanya Tanımsız",IF(G14&lt;&gt;"Evet","İNCELEME GEREKLİ - Tarih Dışı Satış",IF(LEFT(P14,4)="RİSK","İNCELEME GEREKLİ - Hakediş Süresi Aşıldı",IF(OR(S14="EKSİK ÖDENMİŞ",S14="FAZLA ÖDENMİŞ"),"İNCELEME GEREKLİ - Tutar Uyuşmazlığı",IF(LEFT(P14,7)="Bekleni","Bekleniyor","Uygun"))))))</f>
        <v/>
      </c>
    </row>
    <row r="15">
      <c r="A15" s="26">
        <f>IF('DIVA Satislari'!I15="","",'DIVA Satislari'!I15)</f>
        <v/>
      </c>
      <c r="B15" s="26">
        <f>IF('DIVA Satislari'!I15="","",'DIVA Satislari'!R15)</f>
        <v/>
      </c>
      <c r="C15" s="26">
        <f>IF('DIVA Satislari'!I15="","",'DIVA Satislari'!M15)</f>
        <v/>
      </c>
      <c r="D15" s="27">
        <f>IF('DIVA Satislari'!I15="","",'DIVA Satislari'!H15)</f>
        <v/>
      </c>
      <c r="E15" s="26">
        <f>IF('DIVA Satislari'!I15="","",'DIVA Satislari'!O15)</f>
        <v/>
      </c>
      <c r="F15" s="26">
        <f>IF('DIVA Satislari'!I15="","",'DIVA Satislari'!AK15)</f>
        <v/>
      </c>
      <c r="G15" s="26">
        <f>IF('DIVA Satislari'!I15="","",'DIVA Satislari'!AO15)</f>
        <v/>
      </c>
      <c r="H15" s="27">
        <f>IF('DIVA Satislari'!I15="","",'DIVA Satislari'!AN15)</f>
        <v/>
      </c>
      <c r="I15" s="28">
        <f>IF('DIVA Satislari'!I15="","",'DIVA Satislari'!AQ15)</f>
        <v/>
      </c>
      <c r="J15" s="26">
        <f>IF('DIVA Satislari'!I15="","",'DIVA Satislari'!AR15)</f>
        <v/>
      </c>
      <c r="K15" s="26">
        <f>IF('DIVA Satislari'!I15="","",IFERROR(INDEX('E2E Nakliye Montaj'!$AS$3:$AS$1002,MATCH('DIVA Satislari'!AJ15,'E2E Nakliye Montaj'!$AM$3:$AM$1002,0)),"Eşleşme Yok"))</f>
        <v/>
      </c>
      <c r="L15" s="26">
        <f>IF('DIVA Satislari'!I15="","",IFERROR(INDEX('E2E Nakliye Montaj'!$AT$3:$AT$1002,MATCH('DIVA Satislari'!AJ15,'E2E Nakliye Montaj'!$AM$3:$AM$1002,0)),"Hayır"))</f>
        <v/>
      </c>
      <c r="M15" s="26">
        <f>IF('DIVA Satislari'!I15="","",IFERROR(INDEX('E2E Nakliye Montaj'!$AU$3:$AU$1002,MATCH('DIVA Satislari'!AJ15,'E2E Nakliye Montaj'!$AM$3:$AM$1002,0)),"Hayır"))</f>
        <v/>
      </c>
      <c r="N15" s="27">
        <f>IF('DIVA Satislari'!I15="","",IFERROR(INDEX('E2E Nakliye Montaj'!$AV$3:$AV$1002,MATCH('DIVA Satislari'!AJ15,'E2E Nakliye Montaj'!$AM$3:$AM$1002,0)),""))</f>
        <v/>
      </c>
      <c r="O15" s="26">
        <f>IF(OR(A15="",N15=""),"",IF(N15&lt;=H15,"Evet","HAYIR - RİSK"))</f>
        <v/>
      </c>
      <c r="P15" s="26">
        <f>IF(A15="","",IF(LEFT(J15,8)="Kural A ","Uygun - Hemen Ödenir (Yıl Sonu %75 Kontrolüne Tabi)",IF(OR(L15="Evet",M15="Evet"),IF(O15="Evet","Uygun","RİSK - Hakediş Süresi Aşıldı"),"Bekleniyor - Nakliye/Montaj Tamamlanmadı")))</f>
        <v/>
      </c>
      <c r="Q15" s="28">
        <f>IF(A15="","",SUMIFS('Hakedis Fatura Detay'!$G$3:$G$1200,'Hakedis Fatura Detay'!$H$3:$H$1200,'DIVA Satislari'!AJ15,'Hakedis Fatura Detay'!$F$3:$F$1200,"Fiyat Farkı")+SUMIFS('Hakedis Fatura Detay'!$G$3:$G$1200,'Hakedis Fatura Detay'!$H$3:$H$1200,'DIVA Satislari'!AJ15,'Hakedis Fatura Detay'!$F$3:$F$1200,"Bundle"))</f>
        <v/>
      </c>
      <c r="R15" s="28">
        <f>IF(A15="","",I15-Q15)</f>
        <v/>
      </c>
      <c r="S15" s="26">
        <f>IF(A15="","",IF(LEFT(P15,7)="Bekleni","N/A - Henüz Ödenmemeli",IF(LEFT(P15,4)="RİSK","İNCELEME GEREKLİ - Süre Aşımı",IF(R15=0,"Doğru",IF(R15&gt;0,"EKSİK ÖDENMİŞ","FAZLA ÖDENMİŞ")))))</f>
        <v/>
      </c>
      <c r="T15" s="30">
        <f>IF(A15="","",IF(F15&lt;&gt;"Evet","İNCELEME GEREKLİ - Kampanya Tanımsız",IF(G15&lt;&gt;"Evet","İNCELEME GEREKLİ - Tarih Dışı Satış",IF(LEFT(P15,4)="RİSK","İNCELEME GEREKLİ - Hakediş Süresi Aşıldı",IF(OR(S15="EKSİK ÖDENMİŞ",S15="FAZLA ÖDENMİŞ"),"İNCELEME GEREKLİ - Tutar Uyuşmazlığı",IF(LEFT(P15,7)="Bekleni","Bekleniyor","Uygun"))))))</f>
        <v/>
      </c>
    </row>
    <row r="16">
      <c r="A16" s="26">
        <f>IF('DIVA Satislari'!I16="","",'DIVA Satislari'!I16)</f>
        <v/>
      </c>
      <c r="B16" s="26">
        <f>IF('DIVA Satislari'!I16="","",'DIVA Satislari'!R16)</f>
        <v/>
      </c>
      <c r="C16" s="26">
        <f>IF('DIVA Satislari'!I16="","",'DIVA Satislari'!M16)</f>
        <v/>
      </c>
      <c r="D16" s="27">
        <f>IF('DIVA Satislari'!I16="","",'DIVA Satislari'!H16)</f>
        <v/>
      </c>
      <c r="E16" s="26">
        <f>IF('DIVA Satislari'!I16="","",'DIVA Satislari'!O16)</f>
        <v/>
      </c>
      <c r="F16" s="26">
        <f>IF('DIVA Satislari'!I16="","",'DIVA Satislari'!AK16)</f>
        <v/>
      </c>
      <c r="G16" s="26">
        <f>IF('DIVA Satislari'!I16="","",'DIVA Satislari'!AO16)</f>
        <v/>
      </c>
      <c r="H16" s="27">
        <f>IF('DIVA Satislari'!I16="","",'DIVA Satislari'!AN16)</f>
        <v/>
      </c>
      <c r="I16" s="28">
        <f>IF('DIVA Satislari'!I16="","",'DIVA Satislari'!AQ16)</f>
        <v/>
      </c>
      <c r="J16" s="26">
        <f>IF('DIVA Satislari'!I16="","",'DIVA Satislari'!AR16)</f>
        <v/>
      </c>
      <c r="K16" s="26">
        <f>IF('DIVA Satislari'!I16="","",IFERROR(INDEX('E2E Nakliye Montaj'!$AS$3:$AS$1002,MATCH('DIVA Satislari'!AJ16,'E2E Nakliye Montaj'!$AM$3:$AM$1002,0)),"Eşleşme Yok"))</f>
        <v/>
      </c>
      <c r="L16" s="26">
        <f>IF('DIVA Satislari'!I16="","",IFERROR(INDEX('E2E Nakliye Montaj'!$AT$3:$AT$1002,MATCH('DIVA Satislari'!AJ16,'E2E Nakliye Montaj'!$AM$3:$AM$1002,0)),"Hayır"))</f>
        <v/>
      </c>
      <c r="M16" s="26">
        <f>IF('DIVA Satislari'!I16="","",IFERROR(INDEX('E2E Nakliye Montaj'!$AU$3:$AU$1002,MATCH('DIVA Satislari'!AJ16,'E2E Nakliye Montaj'!$AM$3:$AM$1002,0)),"Hayır"))</f>
        <v/>
      </c>
      <c r="N16" s="27">
        <f>IF('DIVA Satislari'!I16="","",IFERROR(INDEX('E2E Nakliye Montaj'!$AV$3:$AV$1002,MATCH('DIVA Satislari'!AJ16,'E2E Nakliye Montaj'!$AM$3:$AM$1002,0)),""))</f>
        <v/>
      </c>
      <c r="O16" s="26">
        <f>IF(OR(A16="",N16=""),"",IF(N16&lt;=H16,"Evet","HAYIR - RİSK"))</f>
        <v/>
      </c>
      <c r="P16" s="26">
        <f>IF(A16="","",IF(LEFT(J16,8)="Kural A ","Uygun - Hemen Ödenir (Yıl Sonu %75 Kontrolüne Tabi)",IF(OR(L16="Evet",M16="Evet"),IF(O16="Evet","Uygun","RİSK - Hakediş Süresi Aşıldı"),"Bekleniyor - Nakliye/Montaj Tamamlanmadı")))</f>
        <v/>
      </c>
      <c r="Q16" s="28">
        <f>IF(A16="","",SUMIFS('Hakedis Fatura Detay'!$G$3:$G$1200,'Hakedis Fatura Detay'!$H$3:$H$1200,'DIVA Satislari'!AJ16,'Hakedis Fatura Detay'!$F$3:$F$1200,"Fiyat Farkı")+SUMIFS('Hakedis Fatura Detay'!$G$3:$G$1200,'Hakedis Fatura Detay'!$H$3:$H$1200,'DIVA Satislari'!AJ16,'Hakedis Fatura Detay'!$F$3:$F$1200,"Bundle"))</f>
        <v/>
      </c>
      <c r="R16" s="28">
        <f>IF(A16="","",I16-Q16)</f>
        <v/>
      </c>
      <c r="S16" s="26">
        <f>IF(A16="","",IF(LEFT(P16,7)="Bekleni","N/A - Henüz Ödenmemeli",IF(LEFT(P16,4)="RİSK","İNCELEME GEREKLİ - Süre Aşımı",IF(R16=0,"Doğru",IF(R16&gt;0,"EKSİK ÖDENMİŞ","FAZLA ÖDENMİŞ")))))</f>
        <v/>
      </c>
      <c r="T16" s="30">
        <f>IF(A16="","",IF(F16&lt;&gt;"Evet","İNCELEME GEREKLİ - Kampanya Tanımsız",IF(G16&lt;&gt;"Evet","İNCELEME GEREKLİ - Tarih Dışı Satış",IF(LEFT(P16,4)="RİSK","İNCELEME GEREKLİ - Hakediş Süresi Aşıldı",IF(OR(S16="EKSİK ÖDENMİŞ",S16="FAZLA ÖDENMİŞ"),"İNCELEME GEREKLİ - Tutar Uyuşmazlığı",IF(LEFT(P16,7)="Bekleni","Bekleniyor","Uygun"))))))</f>
        <v/>
      </c>
    </row>
    <row r="17">
      <c r="A17" s="26">
        <f>IF('DIVA Satislari'!I17="","",'DIVA Satislari'!I17)</f>
        <v/>
      </c>
      <c r="B17" s="26">
        <f>IF('DIVA Satislari'!I17="","",'DIVA Satislari'!R17)</f>
        <v/>
      </c>
      <c r="C17" s="26">
        <f>IF('DIVA Satislari'!I17="","",'DIVA Satislari'!M17)</f>
        <v/>
      </c>
      <c r="D17" s="27">
        <f>IF('DIVA Satislari'!I17="","",'DIVA Satislari'!H17)</f>
        <v/>
      </c>
      <c r="E17" s="26">
        <f>IF('DIVA Satislari'!I17="","",'DIVA Satislari'!O17)</f>
        <v/>
      </c>
      <c r="F17" s="26">
        <f>IF('DIVA Satislari'!I17="","",'DIVA Satislari'!AK17)</f>
        <v/>
      </c>
      <c r="G17" s="26">
        <f>IF('DIVA Satislari'!I17="","",'DIVA Satislari'!AO17)</f>
        <v/>
      </c>
      <c r="H17" s="27">
        <f>IF('DIVA Satislari'!I17="","",'DIVA Satislari'!AN17)</f>
        <v/>
      </c>
      <c r="I17" s="28">
        <f>IF('DIVA Satislari'!I17="","",'DIVA Satislari'!AQ17)</f>
        <v/>
      </c>
      <c r="J17" s="26">
        <f>IF('DIVA Satislari'!I17="","",'DIVA Satislari'!AR17)</f>
        <v/>
      </c>
      <c r="K17" s="26">
        <f>IF('DIVA Satislari'!I17="","",IFERROR(INDEX('E2E Nakliye Montaj'!$AS$3:$AS$1002,MATCH('DIVA Satislari'!AJ17,'E2E Nakliye Montaj'!$AM$3:$AM$1002,0)),"Eşleşme Yok"))</f>
        <v/>
      </c>
      <c r="L17" s="26">
        <f>IF('DIVA Satislari'!I17="","",IFERROR(INDEX('E2E Nakliye Montaj'!$AT$3:$AT$1002,MATCH('DIVA Satislari'!AJ17,'E2E Nakliye Montaj'!$AM$3:$AM$1002,0)),"Hayır"))</f>
        <v/>
      </c>
      <c r="M17" s="26">
        <f>IF('DIVA Satislari'!I17="","",IFERROR(INDEX('E2E Nakliye Montaj'!$AU$3:$AU$1002,MATCH('DIVA Satislari'!AJ17,'E2E Nakliye Montaj'!$AM$3:$AM$1002,0)),"Hayır"))</f>
        <v/>
      </c>
      <c r="N17" s="27">
        <f>IF('DIVA Satislari'!I17="","",IFERROR(INDEX('E2E Nakliye Montaj'!$AV$3:$AV$1002,MATCH('DIVA Satislari'!AJ17,'E2E Nakliye Montaj'!$AM$3:$AM$1002,0)),""))</f>
        <v/>
      </c>
      <c r="O17" s="26">
        <f>IF(OR(A17="",N17=""),"",IF(N17&lt;=H17,"Evet","HAYIR - RİSK"))</f>
        <v/>
      </c>
      <c r="P17" s="26">
        <f>IF(A17="","",IF(LEFT(J17,8)="Kural A ","Uygun - Hemen Ödenir (Yıl Sonu %75 Kontrolüne Tabi)",IF(OR(L17="Evet",M17="Evet"),IF(O17="Evet","Uygun","RİSK - Hakediş Süresi Aşıldı"),"Bekleniyor - Nakliye/Montaj Tamamlanmadı")))</f>
        <v/>
      </c>
      <c r="Q17" s="28">
        <f>IF(A17="","",SUMIFS('Hakedis Fatura Detay'!$G$3:$G$1200,'Hakedis Fatura Detay'!$H$3:$H$1200,'DIVA Satislari'!AJ17,'Hakedis Fatura Detay'!$F$3:$F$1200,"Fiyat Farkı")+SUMIFS('Hakedis Fatura Detay'!$G$3:$G$1200,'Hakedis Fatura Detay'!$H$3:$H$1200,'DIVA Satislari'!AJ17,'Hakedis Fatura Detay'!$F$3:$F$1200,"Bundle"))</f>
        <v/>
      </c>
      <c r="R17" s="28">
        <f>IF(A17="","",I17-Q17)</f>
        <v/>
      </c>
      <c r="S17" s="26">
        <f>IF(A17="","",IF(LEFT(P17,7)="Bekleni","N/A - Henüz Ödenmemeli",IF(LEFT(P17,4)="RİSK","İNCELEME GEREKLİ - Süre Aşımı",IF(R17=0,"Doğru",IF(R17&gt;0,"EKSİK ÖDENMİŞ","FAZLA ÖDENMİŞ")))))</f>
        <v/>
      </c>
      <c r="T17" s="30">
        <f>IF(A17="","",IF(F17&lt;&gt;"Evet","İNCELEME GEREKLİ - Kampanya Tanımsız",IF(G17&lt;&gt;"Evet","İNCELEME GEREKLİ - Tarih Dışı Satış",IF(LEFT(P17,4)="RİSK","İNCELEME GEREKLİ - Hakediş Süresi Aşıldı",IF(OR(S17="EKSİK ÖDENMİŞ",S17="FAZLA ÖDENMİŞ"),"İNCELEME GEREKLİ - Tutar Uyuşmazlığı",IF(LEFT(P17,7)="Bekleni","Bekleniyor","Uygun"))))))</f>
        <v/>
      </c>
    </row>
    <row r="18">
      <c r="A18" s="26">
        <f>IF('DIVA Satislari'!I18="","",'DIVA Satislari'!I18)</f>
        <v/>
      </c>
      <c r="B18" s="26">
        <f>IF('DIVA Satislari'!I18="","",'DIVA Satislari'!R18)</f>
        <v/>
      </c>
      <c r="C18" s="26">
        <f>IF('DIVA Satislari'!I18="","",'DIVA Satislari'!M18)</f>
        <v/>
      </c>
      <c r="D18" s="27">
        <f>IF('DIVA Satislari'!I18="","",'DIVA Satislari'!H18)</f>
        <v/>
      </c>
      <c r="E18" s="26">
        <f>IF('DIVA Satislari'!I18="","",'DIVA Satislari'!O18)</f>
        <v/>
      </c>
      <c r="F18" s="26">
        <f>IF('DIVA Satislari'!I18="","",'DIVA Satislari'!AK18)</f>
        <v/>
      </c>
      <c r="G18" s="26">
        <f>IF('DIVA Satislari'!I18="","",'DIVA Satislari'!AO18)</f>
        <v/>
      </c>
      <c r="H18" s="27">
        <f>IF('DIVA Satislari'!I18="","",'DIVA Satislari'!AN18)</f>
        <v/>
      </c>
      <c r="I18" s="28">
        <f>IF('DIVA Satislari'!I18="","",'DIVA Satislari'!AQ18)</f>
        <v/>
      </c>
      <c r="J18" s="26">
        <f>IF('DIVA Satislari'!I18="","",'DIVA Satislari'!AR18)</f>
        <v/>
      </c>
      <c r="K18" s="26">
        <f>IF('DIVA Satislari'!I18="","",IFERROR(INDEX('E2E Nakliye Montaj'!$AS$3:$AS$1002,MATCH('DIVA Satislari'!AJ18,'E2E Nakliye Montaj'!$AM$3:$AM$1002,0)),"Eşleşme Yok"))</f>
        <v/>
      </c>
      <c r="L18" s="26">
        <f>IF('DIVA Satislari'!I18="","",IFERROR(INDEX('E2E Nakliye Montaj'!$AT$3:$AT$1002,MATCH('DIVA Satislari'!AJ18,'E2E Nakliye Montaj'!$AM$3:$AM$1002,0)),"Hayır"))</f>
        <v/>
      </c>
      <c r="M18" s="26">
        <f>IF('DIVA Satislari'!I18="","",IFERROR(INDEX('E2E Nakliye Montaj'!$AU$3:$AU$1002,MATCH('DIVA Satislari'!AJ18,'E2E Nakliye Montaj'!$AM$3:$AM$1002,0)),"Hayır"))</f>
        <v/>
      </c>
      <c r="N18" s="27">
        <f>IF('DIVA Satislari'!I18="","",IFERROR(INDEX('E2E Nakliye Montaj'!$AV$3:$AV$1002,MATCH('DIVA Satislari'!AJ18,'E2E Nakliye Montaj'!$AM$3:$AM$1002,0)),""))</f>
        <v/>
      </c>
      <c r="O18" s="26">
        <f>IF(OR(A18="",N18=""),"",IF(N18&lt;=H18,"Evet","HAYIR - RİSK"))</f>
        <v/>
      </c>
      <c r="P18" s="26">
        <f>IF(A18="","",IF(LEFT(J18,8)="Kural A ","Uygun - Hemen Ödenir (Yıl Sonu %75 Kontrolüne Tabi)",IF(OR(L18="Evet",M18="Evet"),IF(O18="Evet","Uygun","RİSK - Hakediş Süresi Aşıldı"),"Bekleniyor - Nakliye/Montaj Tamamlanmadı")))</f>
        <v/>
      </c>
      <c r="Q18" s="28">
        <f>IF(A18="","",SUMIFS('Hakedis Fatura Detay'!$G$3:$G$1200,'Hakedis Fatura Detay'!$H$3:$H$1200,'DIVA Satislari'!AJ18,'Hakedis Fatura Detay'!$F$3:$F$1200,"Fiyat Farkı")+SUMIFS('Hakedis Fatura Detay'!$G$3:$G$1200,'Hakedis Fatura Detay'!$H$3:$H$1200,'DIVA Satislari'!AJ18,'Hakedis Fatura Detay'!$F$3:$F$1200,"Bundle"))</f>
        <v/>
      </c>
      <c r="R18" s="28">
        <f>IF(A18="","",I18-Q18)</f>
        <v/>
      </c>
      <c r="S18" s="26">
        <f>IF(A18="","",IF(LEFT(P18,7)="Bekleni","N/A - Henüz Ödenmemeli",IF(LEFT(P18,4)="RİSK","İNCELEME GEREKLİ - Süre Aşımı",IF(R18=0,"Doğru",IF(R18&gt;0,"EKSİK ÖDENMİŞ","FAZLA ÖDENMİŞ")))))</f>
        <v/>
      </c>
      <c r="T18" s="30">
        <f>IF(A18="","",IF(F18&lt;&gt;"Evet","İNCELEME GEREKLİ - Kampanya Tanımsız",IF(G18&lt;&gt;"Evet","İNCELEME GEREKLİ - Tarih Dışı Satış",IF(LEFT(P18,4)="RİSK","İNCELEME GEREKLİ - Hakediş Süresi Aşıldı",IF(OR(S18="EKSİK ÖDENMİŞ",S18="FAZLA ÖDENMİŞ"),"İNCELEME GEREKLİ - Tutar Uyuşmazlığı",IF(LEFT(P18,7)="Bekleni","Bekleniyor","Uygun"))))))</f>
        <v/>
      </c>
    </row>
    <row r="19">
      <c r="A19" s="26">
        <f>IF('DIVA Satislari'!I19="","",'DIVA Satislari'!I19)</f>
        <v/>
      </c>
      <c r="B19" s="26">
        <f>IF('DIVA Satislari'!I19="","",'DIVA Satislari'!R19)</f>
        <v/>
      </c>
      <c r="C19" s="26">
        <f>IF('DIVA Satislari'!I19="","",'DIVA Satislari'!M19)</f>
        <v/>
      </c>
      <c r="D19" s="27">
        <f>IF('DIVA Satislari'!I19="","",'DIVA Satislari'!H19)</f>
        <v/>
      </c>
      <c r="E19" s="26">
        <f>IF('DIVA Satislari'!I19="","",'DIVA Satislari'!O19)</f>
        <v/>
      </c>
      <c r="F19" s="26">
        <f>IF('DIVA Satislari'!I19="","",'DIVA Satislari'!AK19)</f>
        <v/>
      </c>
      <c r="G19" s="26">
        <f>IF('DIVA Satislari'!I19="","",'DIVA Satislari'!AO19)</f>
        <v/>
      </c>
      <c r="H19" s="27">
        <f>IF('DIVA Satislari'!I19="","",'DIVA Satislari'!AN19)</f>
        <v/>
      </c>
      <c r="I19" s="28">
        <f>IF('DIVA Satislari'!I19="","",'DIVA Satislari'!AQ19)</f>
        <v/>
      </c>
      <c r="J19" s="26">
        <f>IF('DIVA Satislari'!I19="","",'DIVA Satislari'!AR19)</f>
        <v/>
      </c>
      <c r="K19" s="26">
        <f>IF('DIVA Satislari'!I19="","",IFERROR(INDEX('E2E Nakliye Montaj'!$AS$3:$AS$1002,MATCH('DIVA Satislari'!AJ19,'E2E Nakliye Montaj'!$AM$3:$AM$1002,0)),"Eşleşme Yok"))</f>
        <v/>
      </c>
      <c r="L19" s="26">
        <f>IF('DIVA Satislari'!I19="","",IFERROR(INDEX('E2E Nakliye Montaj'!$AT$3:$AT$1002,MATCH('DIVA Satislari'!AJ19,'E2E Nakliye Montaj'!$AM$3:$AM$1002,0)),"Hayır"))</f>
        <v/>
      </c>
      <c r="M19" s="26">
        <f>IF('DIVA Satislari'!I19="","",IFERROR(INDEX('E2E Nakliye Montaj'!$AU$3:$AU$1002,MATCH('DIVA Satislari'!AJ19,'E2E Nakliye Montaj'!$AM$3:$AM$1002,0)),"Hayır"))</f>
        <v/>
      </c>
      <c r="N19" s="27">
        <f>IF('DIVA Satislari'!I19="","",IFERROR(INDEX('E2E Nakliye Montaj'!$AV$3:$AV$1002,MATCH('DIVA Satislari'!AJ19,'E2E Nakliye Montaj'!$AM$3:$AM$1002,0)),""))</f>
        <v/>
      </c>
      <c r="O19" s="26">
        <f>IF(OR(A19="",N19=""),"",IF(N19&lt;=H19,"Evet","HAYIR - RİSK"))</f>
        <v/>
      </c>
      <c r="P19" s="26">
        <f>IF(A19="","",IF(LEFT(J19,8)="Kural A ","Uygun - Hemen Ödenir (Yıl Sonu %75 Kontrolüne Tabi)",IF(OR(L19="Evet",M19="Evet"),IF(O19="Evet","Uygun","RİSK - Hakediş Süresi Aşıldı"),"Bekleniyor - Nakliye/Montaj Tamamlanmadı")))</f>
        <v/>
      </c>
      <c r="Q19" s="28">
        <f>IF(A19="","",SUMIFS('Hakedis Fatura Detay'!$G$3:$G$1200,'Hakedis Fatura Detay'!$H$3:$H$1200,'DIVA Satislari'!AJ19,'Hakedis Fatura Detay'!$F$3:$F$1200,"Fiyat Farkı")+SUMIFS('Hakedis Fatura Detay'!$G$3:$G$1200,'Hakedis Fatura Detay'!$H$3:$H$1200,'DIVA Satislari'!AJ19,'Hakedis Fatura Detay'!$F$3:$F$1200,"Bundle"))</f>
        <v/>
      </c>
      <c r="R19" s="28">
        <f>IF(A19="","",I19-Q19)</f>
        <v/>
      </c>
      <c r="S19" s="26">
        <f>IF(A19="","",IF(LEFT(P19,7)="Bekleni","N/A - Henüz Ödenmemeli",IF(LEFT(P19,4)="RİSK","İNCELEME GEREKLİ - Süre Aşımı",IF(R19=0,"Doğru",IF(R19&gt;0,"EKSİK ÖDENMİŞ","FAZLA ÖDENMİŞ")))))</f>
        <v/>
      </c>
      <c r="T19" s="30">
        <f>IF(A19="","",IF(F19&lt;&gt;"Evet","İNCELEME GEREKLİ - Kampanya Tanımsız",IF(G19&lt;&gt;"Evet","İNCELEME GEREKLİ - Tarih Dışı Satış",IF(LEFT(P19,4)="RİSK","İNCELEME GEREKLİ - Hakediş Süresi Aşıldı",IF(OR(S19="EKSİK ÖDENMİŞ",S19="FAZLA ÖDENMİŞ"),"İNCELEME GEREKLİ - Tutar Uyuşmazlığı",IF(LEFT(P19,7)="Bekleni","Bekleniyor","Uygun"))))))</f>
        <v/>
      </c>
    </row>
    <row r="20">
      <c r="A20" s="26">
        <f>IF('DIVA Satislari'!I20="","",'DIVA Satislari'!I20)</f>
        <v/>
      </c>
      <c r="B20" s="26">
        <f>IF('DIVA Satislari'!I20="","",'DIVA Satislari'!R20)</f>
        <v/>
      </c>
      <c r="C20" s="26">
        <f>IF('DIVA Satislari'!I20="","",'DIVA Satislari'!M20)</f>
        <v/>
      </c>
      <c r="D20" s="27">
        <f>IF('DIVA Satislari'!I20="","",'DIVA Satislari'!H20)</f>
        <v/>
      </c>
      <c r="E20" s="26">
        <f>IF('DIVA Satislari'!I20="","",'DIVA Satislari'!O20)</f>
        <v/>
      </c>
      <c r="F20" s="26">
        <f>IF('DIVA Satislari'!I20="","",'DIVA Satislari'!AK20)</f>
        <v/>
      </c>
      <c r="G20" s="26">
        <f>IF('DIVA Satislari'!I20="","",'DIVA Satislari'!AO20)</f>
        <v/>
      </c>
      <c r="H20" s="27">
        <f>IF('DIVA Satislari'!I20="","",'DIVA Satislari'!AN20)</f>
        <v/>
      </c>
      <c r="I20" s="28">
        <f>IF('DIVA Satislari'!I20="","",'DIVA Satislari'!AQ20)</f>
        <v/>
      </c>
      <c r="J20" s="26">
        <f>IF('DIVA Satislari'!I20="","",'DIVA Satislari'!AR20)</f>
        <v/>
      </c>
      <c r="K20" s="26">
        <f>IF('DIVA Satislari'!I20="","",IFERROR(INDEX('E2E Nakliye Montaj'!$AS$3:$AS$1002,MATCH('DIVA Satislari'!AJ20,'E2E Nakliye Montaj'!$AM$3:$AM$1002,0)),"Eşleşme Yok"))</f>
        <v/>
      </c>
      <c r="L20" s="26">
        <f>IF('DIVA Satislari'!I20="","",IFERROR(INDEX('E2E Nakliye Montaj'!$AT$3:$AT$1002,MATCH('DIVA Satislari'!AJ20,'E2E Nakliye Montaj'!$AM$3:$AM$1002,0)),"Hayır"))</f>
        <v/>
      </c>
      <c r="M20" s="26">
        <f>IF('DIVA Satislari'!I20="","",IFERROR(INDEX('E2E Nakliye Montaj'!$AU$3:$AU$1002,MATCH('DIVA Satislari'!AJ20,'E2E Nakliye Montaj'!$AM$3:$AM$1002,0)),"Hayır"))</f>
        <v/>
      </c>
      <c r="N20" s="27">
        <f>IF('DIVA Satislari'!I20="","",IFERROR(INDEX('E2E Nakliye Montaj'!$AV$3:$AV$1002,MATCH('DIVA Satislari'!AJ20,'E2E Nakliye Montaj'!$AM$3:$AM$1002,0)),""))</f>
        <v/>
      </c>
      <c r="O20" s="26">
        <f>IF(OR(A20="",N20=""),"",IF(N20&lt;=H20,"Evet","HAYIR - RİSK"))</f>
        <v/>
      </c>
      <c r="P20" s="26">
        <f>IF(A20="","",IF(LEFT(J20,8)="Kural A ","Uygun - Hemen Ödenir (Yıl Sonu %75 Kontrolüne Tabi)",IF(OR(L20="Evet",M20="Evet"),IF(O20="Evet","Uygun","RİSK - Hakediş Süresi Aşıldı"),"Bekleniyor - Nakliye/Montaj Tamamlanmadı")))</f>
        <v/>
      </c>
      <c r="Q20" s="28">
        <f>IF(A20="","",SUMIFS('Hakedis Fatura Detay'!$G$3:$G$1200,'Hakedis Fatura Detay'!$H$3:$H$1200,'DIVA Satislari'!AJ20,'Hakedis Fatura Detay'!$F$3:$F$1200,"Fiyat Farkı")+SUMIFS('Hakedis Fatura Detay'!$G$3:$G$1200,'Hakedis Fatura Detay'!$H$3:$H$1200,'DIVA Satislari'!AJ20,'Hakedis Fatura Detay'!$F$3:$F$1200,"Bundle"))</f>
        <v/>
      </c>
      <c r="R20" s="28">
        <f>IF(A20="","",I20-Q20)</f>
        <v/>
      </c>
      <c r="S20" s="26">
        <f>IF(A20="","",IF(LEFT(P20,7)="Bekleni","N/A - Henüz Ödenmemeli",IF(LEFT(P20,4)="RİSK","İNCELEME GEREKLİ - Süre Aşımı",IF(R20=0,"Doğru",IF(R20&gt;0,"EKSİK ÖDENMİŞ","FAZLA ÖDENMİŞ")))))</f>
        <v/>
      </c>
      <c r="T20" s="30">
        <f>IF(A20="","",IF(F20&lt;&gt;"Evet","İNCELEME GEREKLİ - Kampanya Tanımsız",IF(G20&lt;&gt;"Evet","İNCELEME GEREKLİ - Tarih Dışı Satış",IF(LEFT(P20,4)="RİSK","İNCELEME GEREKLİ - Hakediş Süresi Aşıldı",IF(OR(S20="EKSİK ÖDENMİŞ",S20="FAZLA ÖDENMİŞ"),"İNCELEME GEREKLİ - Tutar Uyuşmazlığı",IF(LEFT(P20,7)="Bekleni","Bekleniyor","Uygun"))))))</f>
        <v/>
      </c>
    </row>
    <row r="21">
      <c r="A21" s="26">
        <f>IF('DIVA Satislari'!I21="","",'DIVA Satislari'!I21)</f>
        <v/>
      </c>
      <c r="B21" s="26">
        <f>IF('DIVA Satislari'!I21="","",'DIVA Satislari'!R21)</f>
        <v/>
      </c>
      <c r="C21" s="26">
        <f>IF('DIVA Satislari'!I21="","",'DIVA Satislari'!M21)</f>
        <v/>
      </c>
      <c r="D21" s="27">
        <f>IF('DIVA Satislari'!I21="","",'DIVA Satislari'!H21)</f>
        <v/>
      </c>
      <c r="E21" s="26">
        <f>IF('DIVA Satislari'!I21="","",'DIVA Satislari'!O21)</f>
        <v/>
      </c>
      <c r="F21" s="26">
        <f>IF('DIVA Satislari'!I21="","",'DIVA Satislari'!AK21)</f>
        <v/>
      </c>
      <c r="G21" s="26">
        <f>IF('DIVA Satislari'!I21="","",'DIVA Satislari'!AO21)</f>
        <v/>
      </c>
      <c r="H21" s="27">
        <f>IF('DIVA Satislari'!I21="","",'DIVA Satislari'!AN21)</f>
        <v/>
      </c>
      <c r="I21" s="28">
        <f>IF('DIVA Satislari'!I21="","",'DIVA Satislari'!AQ21)</f>
        <v/>
      </c>
      <c r="J21" s="26">
        <f>IF('DIVA Satislari'!I21="","",'DIVA Satislari'!AR21)</f>
        <v/>
      </c>
      <c r="K21" s="26">
        <f>IF('DIVA Satislari'!I21="","",IFERROR(INDEX('E2E Nakliye Montaj'!$AS$3:$AS$1002,MATCH('DIVA Satislari'!AJ21,'E2E Nakliye Montaj'!$AM$3:$AM$1002,0)),"Eşleşme Yok"))</f>
        <v/>
      </c>
      <c r="L21" s="26">
        <f>IF('DIVA Satislari'!I21="","",IFERROR(INDEX('E2E Nakliye Montaj'!$AT$3:$AT$1002,MATCH('DIVA Satislari'!AJ21,'E2E Nakliye Montaj'!$AM$3:$AM$1002,0)),"Hayır"))</f>
        <v/>
      </c>
      <c r="M21" s="26">
        <f>IF('DIVA Satislari'!I21="","",IFERROR(INDEX('E2E Nakliye Montaj'!$AU$3:$AU$1002,MATCH('DIVA Satislari'!AJ21,'E2E Nakliye Montaj'!$AM$3:$AM$1002,0)),"Hayır"))</f>
        <v/>
      </c>
      <c r="N21" s="27">
        <f>IF('DIVA Satislari'!I21="","",IFERROR(INDEX('E2E Nakliye Montaj'!$AV$3:$AV$1002,MATCH('DIVA Satislari'!AJ21,'E2E Nakliye Montaj'!$AM$3:$AM$1002,0)),""))</f>
        <v/>
      </c>
      <c r="O21" s="26">
        <f>IF(OR(A21="",N21=""),"",IF(N21&lt;=H21,"Evet","HAYIR - RİSK"))</f>
        <v/>
      </c>
      <c r="P21" s="26">
        <f>IF(A21="","",IF(LEFT(J21,8)="Kural A ","Uygun - Hemen Ödenir (Yıl Sonu %75 Kontrolüne Tabi)",IF(OR(L21="Evet",M21="Evet"),IF(O21="Evet","Uygun","RİSK - Hakediş Süresi Aşıldı"),"Bekleniyor - Nakliye/Montaj Tamamlanmadı")))</f>
        <v/>
      </c>
      <c r="Q21" s="28">
        <f>IF(A21="","",SUMIFS('Hakedis Fatura Detay'!$G$3:$G$1200,'Hakedis Fatura Detay'!$H$3:$H$1200,'DIVA Satislari'!AJ21,'Hakedis Fatura Detay'!$F$3:$F$1200,"Fiyat Farkı")+SUMIFS('Hakedis Fatura Detay'!$G$3:$G$1200,'Hakedis Fatura Detay'!$H$3:$H$1200,'DIVA Satislari'!AJ21,'Hakedis Fatura Detay'!$F$3:$F$1200,"Bundle"))</f>
        <v/>
      </c>
      <c r="R21" s="28">
        <f>IF(A21="","",I21-Q21)</f>
        <v/>
      </c>
      <c r="S21" s="26">
        <f>IF(A21="","",IF(LEFT(P21,7)="Bekleni","N/A - Henüz Ödenmemeli",IF(LEFT(P21,4)="RİSK","İNCELEME GEREKLİ - Süre Aşımı",IF(R21=0,"Doğru",IF(R21&gt;0,"EKSİK ÖDENMİŞ","FAZLA ÖDENMİŞ")))))</f>
        <v/>
      </c>
      <c r="T21" s="30">
        <f>IF(A21="","",IF(F21&lt;&gt;"Evet","İNCELEME GEREKLİ - Kampanya Tanımsız",IF(G21&lt;&gt;"Evet","İNCELEME GEREKLİ - Tarih Dışı Satış",IF(LEFT(P21,4)="RİSK","İNCELEME GEREKLİ - Hakediş Süresi Aşıldı",IF(OR(S21="EKSİK ÖDENMİŞ",S21="FAZLA ÖDENMİŞ"),"İNCELEME GEREKLİ - Tutar Uyuşmazlığı",IF(LEFT(P21,7)="Bekleni","Bekleniyor","Uygun"))))))</f>
        <v/>
      </c>
    </row>
    <row r="22">
      <c r="A22" s="26">
        <f>IF('DIVA Satislari'!I22="","",'DIVA Satislari'!I22)</f>
        <v/>
      </c>
      <c r="B22" s="26">
        <f>IF('DIVA Satislari'!I22="","",'DIVA Satislari'!R22)</f>
        <v/>
      </c>
      <c r="C22" s="26">
        <f>IF('DIVA Satislari'!I22="","",'DIVA Satislari'!M22)</f>
        <v/>
      </c>
      <c r="D22" s="27">
        <f>IF('DIVA Satislari'!I22="","",'DIVA Satislari'!H22)</f>
        <v/>
      </c>
      <c r="E22" s="26">
        <f>IF('DIVA Satislari'!I22="","",'DIVA Satislari'!O22)</f>
        <v/>
      </c>
      <c r="F22" s="26">
        <f>IF('DIVA Satislari'!I22="","",'DIVA Satislari'!AK22)</f>
        <v/>
      </c>
      <c r="G22" s="26">
        <f>IF('DIVA Satislari'!I22="","",'DIVA Satislari'!AO22)</f>
        <v/>
      </c>
      <c r="H22" s="27">
        <f>IF('DIVA Satislari'!I22="","",'DIVA Satislari'!AN22)</f>
        <v/>
      </c>
      <c r="I22" s="28">
        <f>IF('DIVA Satislari'!I22="","",'DIVA Satislari'!AQ22)</f>
        <v/>
      </c>
      <c r="J22" s="26">
        <f>IF('DIVA Satislari'!I22="","",'DIVA Satislari'!AR22)</f>
        <v/>
      </c>
      <c r="K22" s="26">
        <f>IF('DIVA Satislari'!I22="","",IFERROR(INDEX('E2E Nakliye Montaj'!$AS$3:$AS$1002,MATCH('DIVA Satislari'!AJ22,'E2E Nakliye Montaj'!$AM$3:$AM$1002,0)),"Eşleşme Yok"))</f>
        <v/>
      </c>
      <c r="L22" s="26">
        <f>IF('DIVA Satislari'!I22="","",IFERROR(INDEX('E2E Nakliye Montaj'!$AT$3:$AT$1002,MATCH('DIVA Satislari'!AJ22,'E2E Nakliye Montaj'!$AM$3:$AM$1002,0)),"Hayır"))</f>
        <v/>
      </c>
      <c r="M22" s="26">
        <f>IF('DIVA Satislari'!I22="","",IFERROR(INDEX('E2E Nakliye Montaj'!$AU$3:$AU$1002,MATCH('DIVA Satislari'!AJ22,'E2E Nakliye Montaj'!$AM$3:$AM$1002,0)),"Hayır"))</f>
        <v/>
      </c>
      <c r="N22" s="27">
        <f>IF('DIVA Satislari'!I22="","",IFERROR(INDEX('E2E Nakliye Montaj'!$AV$3:$AV$1002,MATCH('DIVA Satislari'!AJ22,'E2E Nakliye Montaj'!$AM$3:$AM$1002,0)),""))</f>
        <v/>
      </c>
      <c r="O22" s="26">
        <f>IF(OR(A22="",N22=""),"",IF(N22&lt;=H22,"Evet","HAYIR - RİSK"))</f>
        <v/>
      </c>
      <c r="P22" s="26">
        <f>IF(A22="","",IF(LEFT(J22,8)="Kural A ","Uygun - Hemen Ödenir (Yıl Sonu %75 Kontrolüne Tabi)",IF(OR(L22="Evet",M22="Evet"),IF(O22="Evet","Uygun","RİSK - Hakediş Süresi Aşıldı"),"Bekleniyor - Nakliye/Montaj Tamamlanmadı")))</f>
        <v/>
      </c>
      <c r="Q22" s="28">
        <f>IF(A22="","",SUMIFS('Hakedis Fatura Detay'!$G$3:$G$1200,'Hakedis Fatura Detay'!$H$3:$H$1200,'DIVA Satislari'!AJ22,'Hakedis Fatura Detay'!$F$3:$F$1200,"Fiyat Farkı")+SUMIFS('Hakedis Fatura Detay'!$G$3:$G$1200,'Hakedis Fatura Detay'!$H$3:$H$1200,'DIVA Satislari'!AJ22,'Hakedis Fatura Detay'!$F$3:$F$1200,"Bundle"))</f>
        <v/>
      </c>
      <c r="R22" s="28">
        <f>IF(A22="","",I22-Q22)</f>
        <v/>
      </c>
      <c r="S22" s="26">
        <f>IF(A22="","",IF(LEFT(P22,7)="Bekleni","N/A - Henüz Ödenmemeli",IF(LEFT(P22,4)="RİSK","İNCELEME GEREKLİ - Süre Aşımı",IF(R22=0,"Doğru",IF(R22&gt;0,"EKSİK ÖDENMİŞ","FAZLA ÖDENMİŞ")))))</f>
        <v/>
      </c>
      <c r="T22" s="30">
        <f>IF(A22="","",IF(F22&lt;&gt;"Evet","İNCELEME GEREKLİ - Kampanya Tanımsız",IF(G22&lt;&gt;"Evet","İNCELEME GEREKLİ - Tarih Dışı Satış",IF(LEFT(P22,4)="RİSK","İNCELEME GEREKLİ - Hakediş Süresi Aşıldı",IF(OR(S22="EKSİK ÖDENMİŞ",S22="FAZLA ÖDENMİŞ"),"İNCELEME GEREKLİ - Tutar Uyuşmazlığı",IF(LEFT(P22,7)="Bekleni","Bekleniyor","Uygun"))))))</f>
        <v/>
      </c>
    </row>
    <row r="23">
      <c r="A23" s="26">
        <f>IF('DIVA Satislari'!I23="","",'DIVA Satislari'!I23)</f>
        <v/>
      </c>
      <c r="B23" s="26">
        <f>IF('DIVA Satislari'!I23="","",'DIVA Satislari'!R23)</f>
        <v/>
      </c>
      <c r="C23" s="26">
        <f>IF('DIVA Satislari'!I23="","",'DIVA Satislari'!M23)</f>
        <v/>
      </c>
      <c r="D23" s="27">
        <f>IF('DIVA Satislari'!I23="","",'DIVA Satislari'!H23)</f>
        <v/>
      </c>
      <c r="E23" s="26">
        <f>IF('DIVA Satislari'!I23="","",'DIVA Satislari'!O23)</f>
        <v/>
      </c>
      <c r="F23" s="26">
        <f>IF('DIVA Satislari'!I23="","",'DIVA Satislari'!AK23)</f>
        <v/>
      </c>
      <c r="G23" s="26">
        <f>IF('DIVA Satislari'!I23="","",'DIVA Satislari'!AO23)</f>
        <v/>
      </c>
      <c r="H23" s="27">
        <f>IF('DIVA Satislari'!I23="","",'DIVA Satislari'!AN23)</f>
        <v/>
      </c>
      <c r="I23" s="28">
        <f>IF('DIVA Satislari'!I23="","",'DIVA Satislari'!AQ23)</f>
        <v/>
      </c>
      <c r="J23" s="26">
        <f>IF('DIVA Satislari'!I23="","",'DIVA Satislari'!AR23)</f>
        <v/>
      </c>
      <c r="K23" s="26">
        <f>IF('DIVA Satislari'!I23="","",IFERROR(INDEX('E2E Nakliye Montaj'!$AS$3:$AS$1002,MATCH('DIVA Satislari'!AJ23,'E2E Nakliye Montaj'!$AM$3:$AM$1002,0)),"Eşleşme Yok"))</f>
        <v/>
      </c>
      <c r="L23" s="26">
        <f>IF('DIVA Satislari'!I23="","",IFERROR(INDEX('E2E Nakliye Montaj'!$AT$3:$AT$1002,MATCH('DIVA Satislari'!AJ23,'E2E Nakliye Montaj'!$AM$3:$AM$1002,0)),"Hayır"))</f>
        <v/>
      </c>
      <c r="M23" s="26">
        <f>IF('DIVA Satislari'!I23="","",IFERROR(INDEX('E2E Nakliye Montaj'!$AU$3:$AU$1002,MATCH('DIVA Satislari'!AJ23,'E2E Nakliye Montaj'!$AM$3:$AM$1002,0)),"Hayır"))</f>
        <v/>
      </c>
      <c r="N23" s="27">
        <f>IF('DIVA Satislari'!I23="","",IFERROR(INDEX('E2E Nakliye Montaj'!$AV$3:$AV$1002,MATCH('DIVA Satislari'!AJ23,'E2E Nakliye Montaj'!$AM$3:$AM$1002,0)),""))</f>
        <v/>
      </c>
      <c r="O23" s="26">
        <f>IF(OR(A23="",N23=""),"",IF(N23&lt;=H23,"Evet","HAYIR - RİSK"))</f>
        <v/>
      </c>
      <c r="P23" s="26">
        <f>IF(A23="","",IF(LEFT(J23,8)="Kural A ","Uygun - Hemen Ödenir (Yıl Sonu %75 Kontrolüne Tabi)",IF(OR(L23="Evet",M23="Evet"),IF(O23="Evet","Uygun","RİSK - Hakediş Süresi Aşıldı"),"Bekleniyor - Nakliye/Montaj Tamamlanmadı")))</f>
        <v/>
      </c>
      <c r="Q23" s="28">
        <f>IF(A23="","",SUMIFS('Hakedis Fatura Detay'!$G$3:$G$1200,'Hakedis Fatura Detay'!$H$3:$H$1200,'DIVA Satislari'!AJ23,'Hakedis Fatura Detay'!$F$3:$F$1200,"Fiyat Farkı")+SUMIFS('Hakedis Fatura Detay'!$G$3:$G$1200,'Hakedis Fatura Detay'!$H$3:$H$1200,'DIVA Satislari'!AJ23,'Hakedis Fatura Detay'!$F$3:$F$1200,"Bundle"))</f>
        <v/>
      </c>
      <c r="R23" s="28">
        <f>IF(A23="","",I23-Q23)</f>
        <v/>
      </c>
      <c r="S23" s="26">
        <f>IF(A23="","",IF(LEFT(P23,7)="Bekleni","N/A - Henüz Ödenmemeli",IF(LEFT(P23,4)="RİSK","İNCELEME GEREKLİ - Süre Aşımı",IF(R23=0,"Doğru",IF(R23&gt;0,"EKSİK ÖDENMİŞ","FAZLA ÖDENMİŞ")))))</f>
        <v/>
      </c>
      <c r="T23" s="30">
        <f>IF(A23="","",IF(F23&lt;&gt;"Evet","İNCELEME GEREKLİ - Kampanya Tanımsız",IF(G23&lt;&gt;"Evet","İNCELEME GEREKLİ - Tarih Dışı Satış",IF(LEFT(P23,4)="RİSK","İNCELEME GEREKLİ - Hakediş Süresi Aşıldı",IF(OR(S23="EKSİK ÖDENMİŞ",S23="FAZLA ÖDENMİŞ"),"İNCELEME GEREKLİ - Tutar Uyuşmazlığı",IF(LEFT(P23,7)="Bekleni","Bekleniyor","Uygun"))))))</f>
        <v/>
      </c>
    </row>
    <row r="24">
      <c r="A24" s="26">
        <f>IF('DIVA Satislari'!I24="","",'DIVA Satislari'!I24)</f>
        <v/>
      </c>
      <c r="B24" s="26">
        <f>IF('DIVA Satislari'!I24="","",'DIVA Satislari'!R24)</f>
        <v/>
      </c>
      <c r="C24" s="26">
        <f>IF('DIVA Satislari'!I24="","",'DIVA Satislari'!M24)</f>
        <v/>
      </c>
      <c r="D24" s="27">
        <f>IF('DIVA Satislari'!I24="","",'DIVA Satislari'!H24)</f>
        <v/>
      </c>
      <c r="E24" s="26">
        <f>IF('DIVA Satislari'!I24="","",'DIVA Satislari'!O24)</f>
        <v/>
      </c>
      <c r="F24" s="26">
        <f>IF('DIVA Satislari'!I24="","",'DIVA Satislari'!AK24)</f>
        <v/>
      </c>
      <c r="G24" s="26">
        <f>IF('DIVA Satislari'!I24="","",'DIVA Satislari'!AO24)</f>
        <v/>
      </c>
      <c r="H24" s="27">
        <f>IF('DIVA Satislari'!I24="","",'DIVA Satislari'!AN24)</f>
        <v/>
      </c>
      <c r="I24" s="28">
        <f>IF('DIVA Satislari'!I24="","",'DIVA Satislari'!AQ24)</f>
        <v/>
      </c>
      <c r="J24" s="26">
        <f>IF('DIVA Satislari'!I24="","",'DIVA Satislari'!AR24)</f>
        <v/>
      </c>
      <c r="K24" s="26">
        <f>IF('DIVA Satislari'!I24="","",IFERROR(INDEX('E2E Nakliye Montaj'!$AS$3:$AS$1002,MATCH('DIVA Satislari'!AJ24,'E2E Nakliye Montaj'!$AM$3:$AM$1002,0)),"Eşleşme Yok"))</f>
        <v/>
      </c>
      <c r="L24" s="26">
        <f>IF('DIVA Satislari'!I24="","",IFERROR(INDEX('E2E Nakliye Montaj'!$AT$3:$AT$1002,MATCH('DIVA Satislari'!AJ24,'E2E Nakliye Montaj'!$AM$3:$AM$1002,0)),"Hayır"))</f>
        <v/>
      </c>
      <c r="M24" s="26">
        <f>IF('DIVA Satislari'!I24="","",IFERROR(INDEX('E2E Nakliye Montaj'!$AU$3:$AU$1002,MATCH('DIVA Satislari'!AJ24,'E2E Nakliye Montaj'!$AM$3:$AM$1002,0)),"Hayır"))</f>
        <v/>
      </c>
      <c r="N24" s="27">
        <f>IF('DIVA Satislari'!I24="","",IFERROR(INDEX('E2E Nakliye Montaj'!$AV$3:$AV$1002,MATCH('DIVA Satislari'!AJ24,'E2E Nakliye Montaj'!$AM$3:$AM$1002,0)),""))</f>
        <v/>
      </c>
      <c r="O24" s="26">
        <f>IF(OR(A24="",N24=""),"",IF(N24&lt;=H24,"Evet","HAYIR - RİSK"))</f>
        <v/>
      </c>
      <c r="P24" s="26">
        <f>IF(A24="","",IF(LEFT(J24,8)="Kural A ","Uygun - Hemen Ödenir (Yıl Sonu %75 Kontrolüne Tabi)",IF(OR(L24="Evet",M24="Evet"),IF(O24="Evet","Uygun","RİSK - Hakediş Süresi Aşıldı"),"Bekleniyor - Nakliye/Montaj Tamamlanmadı")))</f>
        <v/>
      </c>
      <c r="Q24" s="28">
        <f>IF(A24="","",SUMIFS('Hakedis Fatura Detay'!$G$3:$G$1200,'Hakedis Fatura Detay'!$H$3:$H$1200,'DIVA Satislari'!AJ24,'Hakedis Fatura Detay'!$F$3:$F$1200,"Fiyat Farkı")+SUMIFS('Hakedis Fatura Detay'!$G$3:$G$1200,'Hakedis Fatura Detay'!$H$3:$H$1200,'DIVA Satislari'!AJ24,'Hakedis Fatura Detay'!$F$3:$F$1200,"Bundle"))</f>
        <v/>
      </c>
      <c r="R24" s="28">
        <f>IF(A24="","",I24-Q24)</f>
        <v/>
      </c>
      <c r="S24" s="26">
        <f>IF(A24="","",IF(LEFT(P24,7)="Bekleni","N/A - Henüz Ödenmemeli",IF(LEFT(P24,4)="RİSK","İNCELEME GEREKLİ - Süre Aşımı",IF(R24=0,"Doğru",IF(R24&gt;0,"EKSİK ÖDENMİŞ","FAZLA ÖDENMİŞ")))))</f>
        <v/>
      </c>
      <c r="T24" s="30">
        <f>IF(A24="","",IF(F24&lt;&gt;"Evet","İNCELEME GEREKLİ - Kampanya Tanımsız",IF(G24&lt;&gt;"Evet","İNCELEME GEREKLİ - Tarih Dışı Satış",IF(LEFT(P24,4)="RİSK","İNCELEME GEREKLİ - Hakediş Süresi Aşıldı",IF(OR(S24="EKSİK ÖDENMİŞ",S24="FAZLA ÖDENMİŞ"),"İNCELEME GEREKLİ - Tutar Uyuşmazlığı",IF(LEFT(P24,7)="Bekleni","Bekleniyor","Uygun"))))))</f>
        <v/>
      </c>
    </row>
    <row r="25">
      <c r="A25" s="26">
        <f>IF('DIVA Satislari'!I25="","",'DIVA Satislari'!I25)</f>
        <v/>
      </c>
      <c r="B25" s="26">
        <f>IF('DIVA Satislari'!I25="","",'DIVA Satislari'!R25)</f>
        <v/>
      </c>
      <c r="C25" s="26">
        <f>IF('DIVA Satislari'!I25="","",'DIVA Satislari'!M25)</f>
        <v/>
      </c>
      <c r="D25" s="27">
        <f>IF('DIVA Satislari'!I25="","",'DIVA Satislari'!H25)</f>
        <v/>
      </c>
      <c r="E25" s="26">
        <f>IF('DIVA Satislari'!I25="","",'DIVA Satislari'!O25)</f>
        <v/>
      </c>
      <c r="F25" s="26">
        <f>IF('DIVA Satislari'!I25="","",'DIVA Satislari'!AK25)</f>
        <v/>
      </c>
      <c r="G25" s="26">
        <f>IF('DIVA Satislari'!I25="","",'DIVA Satislari'!AO25)</f>
        <v/>
      </c>
      <c r="H25" s="27">
        <f>IF('DIVA Satislari'!I25="","",'DIVA Satislari'!AN25)</f>
        <v/>
      </c>
      <c r="I25" s="28">
        <f>IF('DIVA Satislari'!I25="","",'DIVA Satislari'!AQ25)</f>
        <v/>
      </c>
      <c r="J25" s="26">
        <f>IF('DIVA Satislari'!I25="","",'DIVA Satislari'!AR25)</f>
        <v/>
      </c>
      <c r="K25" s="26">
        <f>IF('DIVA Satislari'!I25="","",IFERROR(INDEX('E2E Nakliye Montaj'!$AS$3:$AS$1002,MATCH('DIVA Satislari'!AJ25,'E2E Nakliye Montaj'!$AM$3:$AM$1002,0)),"Eşleşme Yok"))</f>
        <v/>
      </c>
      <c r="L25" s="26">
        <f>IF('DIVA Satislari'!I25="","",IFERROR(INDEX('E2E Nakliye Montaj'!$AT$3:$AT$1002,MATCH('DIVA Satislari'!AJ25,'E2E Nakliye Montaj'!$AM$3:$AM$1002,0)),"Hayır"))</f>
        <v/>
      </c>
      <c r="M25" s="26">
        <f>IF('DIVA Satislari'!I25="","",IFERROR(INDEX('E2E Nakliye Montaj'!$AU$3:$AU$1002,MATCH('DIVA Satislari'!AJ25,'E2E Nakliye Montaj'!$AM$3:$AM$1002,0)),"Hayır"))</f>
        <v/>
      </c>
      <c r="N25" s="27">
        <f>IF('DIVA Satislari'!I25="","",IFERROR(INDEX('E2E Nakliye Montaj'!$AV$3:$AV$1002,MATCH('DIVA Satislari'!AJ25,'E2E Nakliye Montaj'!$AM$3:$AM$1002,0)),""))</f>
        <v/>
      </c>
      <c r="O25" s="26">
        <f>IF(OR(A25="",N25=""),"",IF(N25&lt;=H25,"Evet","HAYIR - RİSK"))</f>
        <v/>
      </c>
      <c r="P25" s="26">
        <f>IF(A25="","",IF(LEFT(J25,8)="Kural A ","Uygun - Hemen Ödenir (Yıl Sonu %75 Kontrolüne Tabi)",IF(OR(L25="Evet",M25="Evet"),IF(O25="Evet","Uygun","RİSK - Hakediş Süresi Aşıldı"),"Bekleniyor - Nakliye/Montaj Tamamlanmadı")))</f>
        <v/>
      </c>
      <c r="Q25" s="28">
        <f>IF(A25="","",SUMIFS('Hakedis Fatura Detay'!$G$3:$G$1200,'Hakedis Fatura Detay'!$H$3:$H$1200,'DIVA Satislari'!AJ25,'Hakedis Fatura Detay'!$F$3:$F$1200,"Fiyat Farkı")+SUMIFS('Hakedis Fatura Detay'!$G$3:$G$1200,'Hakedis Fatura Detay'!$H$3:$H$1200,'DIVA Satislari'!AJ25,'Hakedis Fatura Detay'!$F$3:$F$1200,"Bundle"))</f>
        <v/>
      </c>
      <c r="R25" s="28">
        <f>IF(A25="","",I25-Q25)</f>
        <v/>
      </c>
      <c r="S25" s="26">
        <f>IF(A25="","",IF(LEFT(P25,7)="Bekleni","N/A - Henüz Ödenmemeli",IF(LEFT(P25,4)="RİSK","İNCELEME GEREKLİ - Süre Aşımı",IF(R25=0,"Doğru",IF(R25&gt;0,"EKSİK ÖDENMİŞ","FAZLA ÖDENMİŞ")))))</f>
        <v/>
      </c>
      <c r="T25" s="30">
        <f>IF(A25="","",IF(F25&lt;&gt;"Evet","İNCELEME GEREKLİ - Kampanya Tanımsız",IF(G25&lt;&gt;"Evet","İNCELEME GEREKLİ - Tarih Dışı Satış",IF(LEFT(P25,4)="RİSK","İNCELEME GEREKLİ - Hakediş Süresi Aşıldı",IF(OR(S25="EKSİK ÖDENMİŞ",S25="FAZLA ÖDENMİŞ"),"İNCELEME GEREKLİ - Tutar Uyuşmazlığı",IF(LEFT(P25,7)="Bekleni","Bekleniyor","Uygun"))))))</f>
        <v/>
      </c>
    </row>
    <row r="26">
      <c r="A26" s="26">
        <f>IF('DIVA Satislari'!I26="","",'DIVA Satislari'!I26)</f>
        <v/>
      </c>
      <c r="B26" s="26">
        <f>IF('DIVA Satislari'!I26="","",'DIVA Satislari'!R26)</f>
        <v/>
      </c>
      <c r="C26" s="26">
        <f>IF('DIVA Satislari'!I26="","",'DIVA Satislari'!M26)</f>
        <v/>
      </c>
      <c r="D26" s="27">
        <f>IF('DIVA Satislari'!I26="","",'DIVA Satislari'!H26)</f>
        <v/>
      </c>
      <c r="E26" s="26">
        <f>IF('DIVA Satislari'!I26="","",'DIVA Satislari'!O26)</f>
        <v/>
      </c>
      <c r="F26" s="26">
        <f>IF('DIVA Satislari'!I26="","",'DIVA Satislari'!AK26)</f>
        <v/>
      </c>
      <c r="G26" s="26">
        <f>IF('DIVA Satislari'!I26="","",'DIVA Satislari'!AO26)</f>
        <v/>
      </c>
      <c r="H26" s="27">
        <f>IF('DIVA Satislari'!I26="","",'DIVA Satislari'!AN26)</f>
        <v/>
      </c>
      <c r="I26" s="28">
        <f>IF('DIVA Satislari'!I26="","",'DIVA Satislari'!AQ26)</f>
        <v/>
      </c>
      <c r="J26" s="26">
        <f>IF('DIVA Satislari'!I26="","",'DIVA Satislari'!AR26)</f>
        <v/>
      </c>
      <c r="K26" s="26">
        <f>IF('DIVA Satislari'!I26="","",IFERROR(INDEX('E2E Nakliye Montaj'!$AS$3:$AS$1002,MATCH('DIVA Satislari'!AJ26,'E2E Nakliye Montaj'!$AM$3:$AM$1002,0)),"Eşleşme Yok"))</f>
        <v/>
      </c>
      <c r="L26" s="26">
        <f>IF('DIVA Satislari'!I26="","",IFERROR(INDEX('E2E Nakliye Montaj'!$AT$3:$AT$1002,MATCH('DIVA Satislari'!AJ26,'E2E Nakliye Montaj'!$AM$3:$AM$1002,0)),"Hayır"))</f>
        <v/>
      </c>
      <c r="M26" s="26">
        <f>IF('DIVA Satislari'!I26="","",IFERROR(INDEX('E2E Nakliye Montaj'!$AU$3:$AU$1002,MATCH('DIVA Satislari'!AJ26,'E2E Nakliye Montaj'!$AM$3:$AM$1002,0)),"Hayır"))</f>
        <v/>
      </c>
      <c r="N26" s="27">
        <f>IF('DIVA Satislari'!I26="","",IFERROR(INDEX('E2E Nakliye Montaj'!$AV$3:$AV$1002,MATCH('DIVA Satislari'!AJ26,'E2E Nakliye Montaj'!$AM$3:$AM$1002,0)),""))</f>
        <v/>
      </c>
      <c r="O26" s="26">
        <f>IF(OR(A26="",N26=""),"",IF(N26&lt;=H26,"Evet","HAYIR - RİSK"))</f>
        <v/>
      </c>
      <c r="P26" s="26">
        <f>IF(A26="","",IF(LEFT(J26,8)="Kural A ","Uygun - Hemen Ödenir (Yıl Sonu %75 Kontrolüne Tabi)",IF(OR(L26="Evet",M26="Evet"),IF(O26="Evet","Uygun","RİSK - Hakediş Süresi Aşıldı"),"Bekleniyor - Nakliye/Montaj Tamamlanmadı")))</f>
        <v/>
      </c>
      <c r="Q26" s="28">
        <f>IF(A26="","",SUMIFS('Hakedis Fatura Detay'!$G$3:$G$1200,'Hakedis Fatura Detay'!$H$3:$H$1200,'DIVA Satislari'!AJ26,'Hakedis Fatura Detay'!$F$3:$F$1200,"Fiyat Farkı")+SUMIFS('Hakedis Fatura Detay'!$G$3:$G$1200,'Hakedis Fatura Detay'!$H$3:$H$1200,'DIVA Satislari'!AJ26,'Hakedis Fatura Detay'!$F$3:$F$1200,"Bundle"))</f>
        <v/>
      </c>
      <c r="R26" s="28">
        <f>IF(A26="","",I26-Q26)</f>
        <v/>
      </c>
      <c r="S26" s="26">
        <f>IF(A26="","",IF(LEFT(P26,7)="Bekleni","N/A - Henüz Ödenmemeli",IF(LEFT(P26,4)="RİSK","İNCELEME GEREKLİ - Süre Aşımı",IF(R26=0,"Doğru",IF(R26&gt;0,"EKSİK ÖDENMİŞ","FAZLA ÖDENMİŞ")))))</f>
        <v/>
      </c>
      <c r="T26" s="30">
        <f>IF(A26="","",IF(F26&lt;&gt;"Evet","İNCELEME GEREKLİ - Kampanya Tanımsız",IF(G26&lt;&gt;"Evet","İNCELEME GEREKLİ - Tarih Dışı Satış",IF(LEFT(P26,4)="RİSK","İNCELEME GEREKLİ - Hakediş Süresi Aşıldı",IF(OR(S26="EKSİK ÖDENMİŞ",S26="FAZLA ÖDENMİŞ"),"İNCELEME GEREKLİ - Tutar Uyuşmazlığı",IF(LEFT(P26,7)="Bekleni","Bekleniyor","Uygun"))))))</f>
        <v/>
      </c>
    </row>
    <row r="27">
      <c r="A27" s="26">
        <f>IF('DIVA Satislari'!I27="","",'DIVA Satislari'!I27)</f>
        <v/>
      </c>
      <c r="B27" s="26">
        <f>IF('DIVA Satislari'!I27="","",'DIVA Satislari'!R27)</f>
        <v/>
      </c>
      <c r="C27" s="26">
        <f>IF('DIVA Satislari'!I27="","",'DIVA Satislari'!M27)</f>
        <v/>
      </c>
      <c r="D27" s="27">
        <f>IF('DIVA Satislari'!I27="","",'DIVA Satislari'!H27)</f>
        <v/>
      </c>
      <c r="E27" s="26">
        <f>IF('DIVA Satislari'!I27="","",'DIVA Satislari'!O27)</f>
        <v/>
      </c>
      <c r="F27" s="26">
        <f>IF('DIVA Satislari'!I27="","",'DIVA Satislari'!AK27)</f>
        <v/>
      </c>
      <c r="G27" s="26">
        <f>IF('DIVA Satislari'!I27="","",'DIVA Satislari'!AO27)</f>
        <v/>
      </c>
      <c r="H27" s="27">
        <f>IF('DIVA Satislari'!I27="","",'DIVA Satislari'!AN27)</f>
        <v/>
      </c>
      <c r="I27" s="28">
        <f>IF('DIVA Satislari'!I27="","",'DIVA Satislari'!AQ27)</f>
        <v/>
      </c>
      <c r="J27" s="26">
        <f>IF('DIVA Satislari'!I27="","",'DIVA Satislari'!AR27)</f>
        <v/>
      </c>
      <c r="K27" s="26">
        <f>IF('DIVA Satislari'!I27="","",IFERROR(INDEX('E2E Nakliye Montaj'!$AS$3:$AS$1002,MATCH('DIVA Satislari'!AJ27,'E2E Nakliye Montaj'!$AM$3:$AM$1002,0)),"Eşleşme Yok"))</f>
        <v/>
      </c>
      <c r="L27" s="26">
        <f>IF('DIVA Satislari'!I27="","",IFERROR(INDEX('E2E Nakliye Montaj'!$AT$3:$AT$1002,MATCH('DIVA Satislari'!AJ27,'E2E Nakliye Montaj'!$AM$3:$AM$1002,0)),"Hayır"))</f>
        <v/>
      </c>
      <c r="M27" s="26">
        <f>IF('DIVA Satislari'!I27="","",IFERROR(INDEX('E2E Nakliye Montaj'!$AU$3:$AU$1002,MATCH('DIVA Satislari'!AJ27,'E2E Nakliye Montaj'!$AM$3:$AM$1002,0)),"Hayır"))</f>
        <v/>
      </c>
      <c r="N27" s="27">
        <f>IF('DIVA Satislari'!I27="","",IFERROR(INDEX('E2E Nakliye Montaj'!$AV$3:$AV$1002,MATCH('DIVA Satislari'!AJ27,'E2E Nakliye Montaj'!$AM$3:$AM$1002,0)),""))</f>
        <v/>
      </c>
      <c r="O27" s="26">
        <f>IF(OR(A27="",N27=""),"",IF(N27&lt;=H27,"Evet","HAYIR - RİSK"))</f>
        <v/>
      </c>
      <c r="P27" s="26">
        <f>IF(A27="","",IF(LEFT(J27,8)="Kural A ","Uygun - Hemen Ödenir (Yıl Sonu %75 Kontrolüne Tabi)",IF(OR(L27="Evet",M27="Evet"),IF(O27="Evet","Uygun","RİSK - Hakediş Süresi Aşıldı"),"Bekleniyor - Nakliye/Montaj Tamamlanmadı")))</f>
        <v/>
      </c>
      <c r="Q27" s="28">
        <f>IF(A27="","",SUMIFS('Hakedis Fatura Detay'!$G$3:$G$1200,'Hakedis Fatura Detay'!$H$3:$H$1200,'DIVA Satislari'!AJ27,'Hakedis Fatura Detay'!$F$3:$F$1200,"Fiyat Farkı")+SUMIFS('Hakedis Fatura Detay'!$G$3:$G$1200,'Hakedis Fatura Detay'!$H$3:$H$1200,'DIVA Satislari'!AJ27,'Hakedis Fatura Detay'!$F$3:$F$1200,"Bundle"))</f>
        <v/>
      </c>
      <c r="R27" s="28">
        <f>IF(A27="","",I27-Q27)</f>
        <v/>
      </c>
      <c r="S27" s="26">
        <f>IF(A27="","",IF(LEFT(P27,7)="Bekleni","N/A - Henüz Ödenmemeli",IF(LEFT(P27,4)="RİSK","İNCELEME GEREKLİ - Süre Aşımı",IF(R27=0,"Doğru",IF(R27&gt;0,"EKSİK ÖDENMİŞ","FAZLA ÖDENMİŞ")))))</f>
        <v/>
      </c>
      <c r="T27" s="30">
        <f>IF(A27="","",IF(F27&lt;&gt;"Evet","İNCELEME GEREKLİ - Kampanya Tanımsız",IF(G27&lt;&gt;"Evet","İNCELEME GEREKLİ - Tarih Dışı Satış",IF(LEFT(P27,4)="RİSK","İNCELEME GEREKLİ - Hakediş Süresi Aşıldı",IF(OR(S27="EKSİK ÖDENMİŞ",S27="FAZLA ÖDENMİŞ"),"İNCELEME GEREKLİ - Tutar Uyuşmazlığı",IF(LEFT(P27,7)="Bekleni","Bekleniyor","Uygun"))))))</f>
        <v/>
      </c>
    </row>
    <row r="28">
      <c r="A28" s="26">
        <f>IF('DIVA Satislari'!I28="","",'DIVA Satislari'!I28)</f>
        <v/>
      </c>
      <c r="B28" s="26">
        <f>IF('DIVA Satislari'!I28="","",'DIVA Satislari'!R28)</f>
        <v/>
      </c>
      <c r="C28" s="26">
        <f>IF('DIVA Satislari'!I28="","",'DIVA Satislari'!M28)</f>
        <v/>
      </c>
      <c r="D28" s="27">
        <f>IF('DIVA Satislari'!I28="","",'DIVA Satislari'!H28)</f>
        <v/>
      </c>
      <c r="E28" s="26">
        <f>IF('DIVA Satislari'!I28="","",'DIVA Satislari'!O28)</f>
        <v/>
      </c>
      <c r="F28" s="26">
        <f>IF('DIVA Satislari'!I28="","",'DIVA Satislari'!AK28)</f>
        <v/>
      </c>
      <c r="G28" s="26">
        <f>IF('DIVA Satislari'!I28="","",'DIVA Satislari'!AO28)</f>
        <v/>
      </c>
      <c r="H28" s="27">
        <f>IF('DIVA Satislari'!I28="","",'DIVA Satislari'!AN28)</f>
        <v/>
      </c>
      <c r="I28" s="28">
        <f>IF('DIVA Satislari'!I28="","",'DIVA Satislari'!AQ28)</f>
        <v/>
      </c>
      <c r="J28" s="26">
        <f>IF('DIVA Satislari'!I28="","",'DIVA Satislari'!AR28)</f>
        <v/>
      </c>
      <c r="K28" s="26">
        <f>IF('DIVA Satislari'!I28="","",IFERROR(INDEX('E2E Nakliye Montaj'!$AS$3:$AS$1002,MATCH('DIVA Satislari'!AJ28,'E2E Nakliye Montaj'!$AM$3:$AM$1002,0)),"Eşleşme Yok"))</f>
        <v/>
      </c>
      <c r="L28" s="26">
        <f>IF('DIVA Satislari'!I28="","",IFERROR(INDEX('E2E Nakliye Montaj'!$AT$3:$AT$1002,MATCH('DIVA Satislari'!AJ28,'E2E Nakliye Montaj'!$AM$3:$AM$1002,0)),"Hayır"))</f>
        <v/>
      </c>
      <c r="M28" s="26">
        <f>IF('DIVA Satislari'!I28="","",IFERROR(INDEX('E2E Nakliye Montaj'!$AU$3:$AU$1002,MATCH('DIVA Satislari'!AJ28,'E2E Nakliye Montaj'!$AM$3:$AM$1002,0)),"Hayır"))</f>
        <v/>
      </c>
      <c r="N28" s="27">
        <f>IF('DIVA Satislari'!I28="","",IFERROR(INDEX('E2E Nakliye Montaj'!$AV$3:$AV$1002,MATCH('DIVA Satislari'!AJ28,'E2E Nakliye Montaj'!$AM$3:$AM$1002,0)),""))</f>
        <v/>
      </c>
      <c r="O28" s="26">
        <f>IF(OR(A28="",N28=""),"",IF(N28&lt;=H28,"Evet","HAYIR - RİSK"))</f>
        <v/>
      </c>
      <c r="P28" s="26">
        <f>IF(A28="","",IF(LEFT(J28,8)="Kural A ","Uygun - Hemen Ödenir (Yıl Sonu %75 Kontrolüne Tabi)",IF(OR(L28="Evet",M28="Evet"),IF(O28="Evet","Uygun","RİSK - Hakediş Süresi Aşıldı"),"Bekleniyor - Nakliye/Montaj Tamamlanmadı")))</f>
        <v/>
      </c>
      <c r="Q28" s="28">
        <f>IF(A28="","",SUMIFS('Hakedis Fatura Detay'!$G$3:$G$1200,'Hakedis Fatura Detay'!$H$3:$H$1200,'DIVA Satislari'!AJ28,'Hakedis Fatura Detay'!$F$3:$F$1200,"Fiyat Farkı")+SUMIFS('Hakedis Fatura Detay'!$G$3:$G$1200,'Hakedis Fatura Detay'!$H$3:$H$1200,'DIVA Satislari'!AJ28,'Hakedis Fatura Detay'!$F$3:$F$1200,"Bundle"))</f>
        <v/>
      </c>
      <c r="R28" s="28">
        <f>IF(A28="","",I28-Q28)</f>
        <v/>
      </c>
      <c r="S28" s="26">
        <f>IF(A28="","",IF(LEFT(P28,7)="Bekleni","N/A - Henüz Ödenmemeli",IF(LEFT(P28,4)="RİSK","İNCELEME GEREKLİ - Süre Aşımı",IF(R28=0,"Doğru",IF(R28&gt;0,"EKSİK ÖDENMİŞ","FAZLA ÖDENMİŞ")))))</f>
        <v/>
      </c>
      <c r="T28" s="30">
        <f>IF(A28="","",IF(F28&lt;&gt;"Evet","İNCELEME GEREKLİ - Kampanya Tanımsız",IF(G28&lt;&gt;"Evet","İNCELEME GEREKLİ - Tarih Dışı Satış",IF(LEFT(P28,4)="RİSK","İNCELEME GEREKLİ - Hakediş Süresi Aşıldı",IF(OR(S28="EKSİK ÖDENMİŞ",S28="FAZLA ÖDENMİŞ"),"İNCELEME GEREKLİ - Tutar Uyuşmazlığı",IF(LEFT(P28,7)="Bekleni","Bekleniyor","Uygun"))))))</f>
        <v/>
      </c>
    </row>
    <row r="29">
      <c r="A29" s="26">
        <f>IF('DIVA Satislari'!I29="","",'DIVA Satislari'!I29)</f>
        <v/>
      </c>
      <c r="B29" s="26">
        <f>IF('DIVA Satislari'!I29="","",'DIVA Satislari'!R29)</f>
        <v/>
      </c>
      <c r="C29" s="26">
        <f>IF('DIVA Satislari'!I29="","",'DIVA Satislari'!M29)</f>
        <v/>
      </c>
      <c r="D29" s="27">
        <f>IF('DIVA Satislari'!I29="","",'DIVA Satislari'!H29)</f>
        <v/>
      </c>
      <c r="E29" s="26">
        <f>IF('DIVA Satislari'!I29="","",'DIVA Satislari'!O29)</f>
        <v/>
      </c>
      <c r="F29" s="26">
        <f>IF('DIVA Satislari'!I29="","",'DIVA Satislari'!AK29)</f>
        <v/>
      </c>
      <c r="G29" s="26">
        <f>IF('DIVA Satislari'!I29="","",'DIVA Satislari'!AO29)</f>
        <v/>
      </c>
      <c r="H29" s="27">
        <f>IF('DIVA Satislari'!I29="","",'DIVA Satislari'!AN29)</f>
        <v/>
      </c>
      <c r="I29" s="28">
        <f>IF('DIVA Satislari'!I29="","",'DIVA Satislari'!AQ29)</f>
        <v/>
      </c>
      <c r="J29" s="26">
        <f>IF('DIVA Satislari'!I29="","",'DIVA Satislari'!AR29)</f>
        <v/>
      </c>
      <c r="K29" s="26">
        <f>IF('DIVA Satislari'!I29="","",IFERROR(INDEX('E2E Nakliye Montaj'!$AS$3:$AS$1002,MATCH('DIVA Satislari'!AJ29,'E2E Nakliye Montaj'!$AM$3:$AM$1002,0)),"Eşleşme Yok"))</f>
        <v/>
      </c>
      <c r="L29" s="26">
        <f>IF('DIVA Satislari'!I29="","",IFERROR(INDEX('E2E Nakliye Montaj'!$AT$3:$AT$1002,MATCH('DIVA Satislari'!AJ29,'E2E Nakliye Montaj'!$AM$3:$AM$1002,0)),"Hayır"))</f>
        <v/>
      </c>
      <c r="M29" s="26">
        <f>IF('DIVA Satislari'!I29="","",IFERROR(INDEX('E2E Nakliye Montaj'!$AU$3:$AU$1002,MATCH('DIVA Satislari'!AJ29,'E2E Nakliye Montaj'!$AM$3:$AM$1002,0)),"Hayır"))</f>
        <v/>
      </c>
      <c r="N29" s="27">
        <f>IF('DIVA Satislari'!I29="","",IFERROR(INDEX('E2E Nakliye Montaj'!$AV$3:$AV$1002,MATCH('DIVA Satislari'!AJ29,'E2E Nakliye Montaj'!$AM$3:$AM$1002,0)),""))</f>
        <v/>
      </c>
      <c r="O29" s="26">
        <f>IF(OR(A29="",N29=""),"",IF(N29&lt;=H29,"Evet","HAYIR - RİSK"))</f>
        <v/>
      </c>
      <c r="P29" s="26">
        <f>IF(A29="","",IF(LEFT(J29,8)="Kural A ","Uygun - Hemen Ödenir (Yıl Sonu %75 Kontrolüne Tabi)",IF(OR(L29="Evet",M29="Evet"),IF(O29="Evet","Uygun","RİSK - Hakediş Süresi Aşıldı"),"Bekleniyor - Nakliye/Montaj Tamamlanmadı")))</f>
        <v/>
      </c>
      <c r="Q29" s="28">
        <f>IF(A29="","",SUMIFS('Hakedis Fatura Detay'!$G$3:$G$1200,'Hakedis Fatura Detay'!$H$3:$H$1200,'DIVA Satislari'!AJ29,'Hakedis Fatura Detay'!$F$3:$F$1200,"Fiyat Farkı")+SUMIFS('Hakedis Fatura Detay'!$G$3:$G$1200,'Hakedis Fatura Detay'!$H$3:$H$1200,'DIVA Satislari'!AJ29,'Hakedis Fatura Detay'!$F$3:$F$1200,"Bundle"))</f>
        <v/>
      </c>
      <c r="R29" s="28">
        <f>IF(A29="","",I29-Q29)</f>
        <v/>
      </c>
      <c r="S29" s="26">
        <f>IF(A29="","",IF(LEFT(P29,7)="Bekleni","N/A - Henüz Ödenmemeli",IF(LEFT(P29,4)="RİSK","İNCELEME GEREKLİ - Süre Aşımı",IF(R29=0,"Doğru",IF(R29&gt;0,"EKSİK ÖDENMİŞ","FAZLA ÖDENMİŞ")))))</f>
        <v/>
      </c>
      <c r="T29" s="30">
        <f>IF(A29="","",IF(F29&lt;&gt;"Evet","İNCELEME GEREKLİ - Kampanya Tanımsız",IF(G29&lt;&gt;"Evet","İNCELEME GEREKLİ - Tarih Dışı Satış",IF(LEFT(P29,4)="RİSK","İNCELEME GEREKLİ - Hakediş Süresi Aşıldı",IF(OR(S29="EKSİK ÖDENMİŞ",S29="FAZLA ÖDENMİŞ"),"İNCELEME GEREKLİ - Tutar Uyuşmazlığı",IF(LEFT(P29,7)="Bekleni","Bekleniyor","Uygun"))))))</f>
        <v/>
      </c>
    </row>
    <row r="30">
      <c r="A30" s="26">
        <f>IF('DIVA Satislari'!I30="","",'DIVA Satislari'!I30)</f>
        <v/>
      </c>
      <c r="B30" s="26">
        <f>IF('DIVA Satislari'!I30="","",'DIVA Satislari'!R30)</f>
        <v/>
      </c>
      <c r="C30" s="26">
        <f>IF('DIVA Satislari'!I30="","",'DIVA Satislari'!M30)</f>
        <v/>
      </c>
      <c r="D30" s="27">
        <f>IF('DIVA Satislari'!I30="","",'DIVA Satislari'!H30)</f>
        <v/>
      </c>
      <c r="E30" s="26">
        <f>IF('DIVA Satislari'!I30="","",'DIVA Satislari'!O30)</f>
        <v/>
      </c>
      <c r="F30" s="26">
        <f>IF('DIVA Satislari'!I30="","",'DIVA Satislari'!AK30)</f>
        <v/>
      </c>
      <c r="G30" s="26">
        <f>IF('DIVA Satislari'!I30="","",'DIVA Satislari'!AO30)</f>
        <v/>
      </c>
      <c r="H30" s="27">
        <f>IF('DIVA Satislari'!I30="","",'DIVA Satislari'!AN30)</f>
        <v/>
      </c>
      <c r="I30" s="28">
        <f>IF('DIVA Satislari'!I30="","",'DIVA Satislari'!AQ30)</f>
        <v/>
      </c>
      <c r="J30" s="26">
        <f>IF('DIVA Satislari'!I30="","",'DIVA Satislari'!AR30)</f>
        <v/>
      </c>
      <c r="K30" s="26">
        <f>IF('DIVA Satislari'!I30="","",IFERROR(INDEX('E2E Nakliye Montaj'!$AS$3:$AS$1002,MATCH('DIVA Satislari'!AJ30,'E2E Nakliye Montaj'!$AM$3:$AM$1002,0)),"Eşleşme Yok"))</f>
        <v/>
      </c>
      <c r="L30" s="26">
        <f>IF('DIVA Satislari'!I30="","",IFERROR(INDEX('E2E Nakliye Montaj'!$AT$3:$AT$1002,MATCH('DIVA Satislari'!AJ30,'E2E Nakliye Montaj'!$AM$3:$AM$1002,0)),"Hayır"))</f>
        <v/>
      </c>
      <c r="M30" s="26">
        <f>IF('DIVA Satislari'!I30="","",IFERROR(INDEX('E2E Nakliye Montaj'!$AU$3:$AU$1002,MATCH('DIVA Satislari'!AJ30,'E2E Nakliye Montaj'!$AM$3:$AM$1002,0)),"Hayır"))</f>
        <v/>
      </c>
      <c r="N30" s="27">
        <f>IF('DIVA Satislari'!I30="","",IFERROR(INDEX('E2E Nakliye Montaj'!$AV$3:$AV$1002,MATCH('DIVA Satislari'!AJ30,'E2E Nakliye Montaj'!$AM$3:$AM$1002,0)),""))</f>
        <v/>
      </c>
      <c r="O30" s="26">
        <f>IF(OR(A30="",N30=""),"",IF(N30&lt;=H30,"Evet","HAYIR - RİSK"))</f>
        <v/>
      </c>
      <c r="P30" s="26">
        <f>IF(A30="","",IF(LEFT(J30,8)="Kural A ","Uygun - Hemen Ödenir (Yıl Sonu %75 Kontrolüne Tabi)",IF(OR(L30="Evet",M30="Evet"),IF(O30="Evet","Uygun","RİSK - Hakediş Süresi Aşıldı"),"Bekleniyor - Nakliye/Montaj Tamamlanmadı")))</f>
        <v/>
      </c>
      <c r="Q30" s="28">
        <f>IF(A30="","",SUMIFS('Hakedis Fatura Detay'!$G$3:$G$1200,'Hakedis Fatura Detay'!$H$3:$H$1200,'DIVA Satislari'!AJ30,'Hakedis Fatura Detay'!$F$3:$F$1200,"Fiyat Farkı")+SUMIFS('Hakedis Fatura Detay'!$G$3:$G$1200,'Hakedis Fatura Detay'!$H$3:$H$1200,'DIVA Satislari'!AJ30,'Hakedis Fatura Detay'!$F$3:$F$1200,"Bundle"))</f>
        <v/>
      </c>
      <c r="R30" s="28">
        <f>IF(A30="","",I30-Q30)</f>
        <v/>
      </c>
      <c r="S30" s="26">
        <f>IF(A30="","",IF(LEFT(P30,7)="Bekleni","N/A - Henüz Ödenmemeli",IF(LEFT(P30,4)="RİSK","İNCELEME GEREKLİ - Süre Aşımı",IF(R30=0,"Doğru",IF(R30&gt;0,"EKSİK ÖDENMİŞ","FAZLA ÖDENMİŞ")))))</f>
        <v/>
      </c>
      <c r="T30" s="30">
        <f>IF(A30="","",IF(F30&lt;&gt;"Evet","İNCELEME GEREKLİ - Kampanya Tanımsız",IF(G30&lt;&gt;"Evet","İNCELEME GEREKLİ - Tarih Dışı Satış",IF(LEFT(P30,4)="RİSK","İNCELEME GEREKLİ - Hakediş Süresi Aşıldı",IF(OR(S30="EKSİK ÖDENMİŞ",S30="FAZLA ÖDENMİŞ"),"İNCELEME GEREKLİ - Tutar Uyuşmazlığı",IF(LEFT(P30,7)="Bekleni","Bekleniyor","Uygun"))))))</f>
        <v/>
      </c>
    </row>
    <row r="31">
      <c r="A31" s="26">
        <f>IF('DIVA Satislari'!I31="","",'DIVA Satislari'!I31)</f>
        <v/>
      </c>
      <c r="B31" s="26">
        <f>IF('DIVA Satislari'!I31="","",'DIVA Satislari'!R31)</f>
        <v/>
      </c>
      <c r="C31" s="26">
        <f>IF('DIVA Satislari'!I31="","",'DIVA Satislari'!M31)</f>
        <v/>
      </c>
      <c r="D31" s="27">
        <f>IF('DIVA Satislari'!I31="","",'DIVA Satislari'!H31)</f>
        <v/>
      </c>
      <c r="E31" s="26">
        <f>IF('DIVA Satislari'!I31="","",'DIVA Satislari'!O31)</f>
        <v/>
      </c>
      <c r="F31" s="26">
        <f>IF('DIVA Satislari'!I31="","",'DIVA Satislari'!AK31)</f>
        <v/>
      </c>
      <c r="G31" s="26">
        <f>IF('DIVA Satislari'!I31="","",'DIVA Satislari'!AO31)</f>
        <v/>
      </c>
      <c r="H31" s="27">
        <f>IF('DIVA Satislari'!I31="","",'DIVA Satislari'!AN31)</f>
        <v/>
      </c>
      <c r="I31" s="28">
        <f>IF('DIVA Satislari'!I31="","",'DIVA Satislari'!AQ31)</f>
        <v/>
      </c>
      <c r="J31" s="26">
        <f>IF('DIVA Satislari'!I31="","",'DIVA Satislari'!AR31)</f>
        <v/>
      </c>
      <c r="K31" s="26">
        <f>IF('DIVA Satislari'!I31="","",IFERROR(INDEX('E2E Nakliye Montaj'!$AS$3:$AS$1002,MATCH('DIVA Satislari'!AJ31,'E2E Nakliye Montaj'!$AM$3:$AM$1002,0)),"Eşleşme Yok"))</f>
        <v/>
      </c>
      <c r="L31" s="26">
        <f>IF('DIVA Satislari'!I31="","",IFERROR(INDEX('E2E Nakliye Montaj'!$AT$3:$AT$1002,MATCH('DIVA Satislari'!AJ31,'E2E Nakliye Montaj'!$AM$3:$AM$1002,0)),"Hayır"))</f>
        <v/>
      </c>
      <c r="M31" s="26">
        <f>IF('DIVA Satislari'!I31="","",IFERROR(INDEX('E2E Nakliye Montaj'!$AU$3:$AU$1002,MATCH('DIVA Satislari'!AJ31,'E2E Nakliye Montaj'!$AM$3:$AM$1002,0)),"Hayır"))</f>
        <v/>
      </c>
      <c r="N31" s="27">
        <f>IF('DIVA Satislari'!I31="","",IFERROR(INDEX('E2E Nakliye Montaj'!$AV$3:$AV$1002,MATCH('DIVA Satislari'!AJ31,'E2E Nakliye Montaj'!$AM$3:$AM$1002,0)),""))</f>
        <v/>
      </c>
      <c r="O31" s="26">
        <f>IF(OR(A31="",N31=""),"",IF(N31&lt;=H31,"Evet","HAYIR - RİSK"))</f>
        <v/>
      </c>
      <c r="P31" s="26">
        <f>IF(A31="","",IF(LEFT(J31,8)="Kural A ","Uygun - Hemen Ödenir (Yıl Sonu %75 Kontrolüne Tabi)",IF(OR(L31="Evet",M31="Evet"),IF(O31="Evet","Uygun","RİSK - Hakediş Süresi Aşıldı"),"Bekleniyor - Nakliye/Montaj Tamamlanmadı")))</f>
        <v/>
      </c>
      <c r="Q31" s="28">
        <f>IF(A31="","",SUMIFS('Hakedis Fatura Detay'!$G$3:$G$1200,'Hakedis Fatura Detay'!$H$3:$H$1200,'DIVA Satislari'!AJ31,'Hakedis Fatura Detay'!$F$3:$F$1200,"Fiyat Farkı")+SUMIFS('Hakedis Fatura Detay'!$G$3:$G$1200,'Hakedis Fatura Detay'!$H$3:$H$1200,'DIVA Satislari'!AJ31,'Hakedis Fatura Detay'!$F$3:$F$1200,"Bundle"))</f>
        <v/>
      </c>
      <c r="R31" s="28">
        <f>IF(A31="","",I31-Q31)</f>
        <v/>
      </c>
      <c r="S31" s="26">
        <f>IF(A31="","",IF(LEFT(P31,7)="Bekleni","N/A - Henüz Ödenmemeli",IF(LEFT(P31,4)="RİSK","İNCELEME GEREKLİ - Süre Aşımı",IF(R31=0,"Doğru",IF(R31&gt;0,"EKSİK ÖDENMİŞ","FAZLA ÖDENMİŞ")))))</f>
        <v/>
      </c>
      <c r="T31" s="30">
        <f>IF(A31="","",IF(F31&lt;&gt;"Evet","İNCELEME GEREKLİ - Kampanya Tanımsız",IF(G31&lt;&gt;"Evet","İNCELEME GEREKLİ - Tarih Dışı Satış",IF(LEFT(P31,4)="RİSK","İNCELEME GEREKLİ - Hakediş Süresi Aşıldı",IF(OR(S31="EKSİK ÖDENMİŞ",S31="FAZLA ÖDENMİŞ"),"İNCELEME GEREKLİ - Tutar Uyuşmazlığı",IF(LEFT(P31,7)="Bekleni","Bekleniyor","Uygun"))))))</f>
        <v/>
      </c>
    </row>
    <row r="32">
      <c r="A32" s="26">
        <f>IF('DIVA Satislari'!I32="","",'DIVA Satislari'!I32)</f>
        <v/>
      </c>
      <c r="B32" s="26">
        <f>IF('DIVA Satislari'!I32="","",'DIVA Satislari'!R32)</f>
        <v/>
      </c>
      <c r="C32" s="26">
        <f>IF('DIVA Satislari'!I32="","",'DIVA Satislari'!M32)</f>
        <v/>
      </c>
      <c r="D32" s="27">
        <f>IF('DIVA Satislari'!I32="","",'DIVA Satislari'!H32)</f>
        <v/>
      </c>
      <c r="E32" s="26">
        <f>IF('DIVA Satislari'!I32="","",'DIVA Satislari'!O32)</f>
        <v/>
      </c>
      <c r="F32" s="26">
        <f>IF('DIVA Satislari'!I32="","",'DIVA Satislari'!AK32)</f>
        <v/>
      </c>
      <c r="G32" s="26">
        <f>IF('DIVA Satislari'!I32="","",'DIVA Satislari'!AO32)</f>
        <v/>
      </c>
      <c r="H32" s="27">
        <f>IF('DIVA Satislari'!I32="","",'DIVA Satislari'!AN32)</f>
        <v/>
      </c>
      <c r="I32" s="28">
        <f>IF('DIVA Satislari'!I32="","",'DIVA Satislari'!AQ32)</f>
        <v/>
      </c>
      <c r="J32" s="26">
        <f>IF('DIVA Satislari'!I32="","",'DIVA Satislari'!AR32)</f>
        <v/>
      </c>
      <c r="K32" s="26">
        <f>IF('DIVA Satislari'!I32="","",IFERROR(INDEX('E2E Nakliye Montaj'!$AS$3:$AS$1002,MATCH('DIVA Satislari'!AJ32,'E2E Nakliye Montaj'!$AM$3:$AM$1002,0)),"Eşleşme Yok"))</f>
        <v/>
      </c>
      <c r="L32" s="26">
        <f>IF('DIVA Satislari'!I32="","",IFERROR(INDEX('E2E Nakliye Montaj'!$AT$3:$AT$1002,MATCH('DIVA Satislari'!AJ32,'E2E Nakliye Montaj'!$AM$3:$AM$1002,0)),"Hayır"))</f>
        <v/>
      </c>
      <c r="M32" s="26">
        <f>IF('DIVA Satislari'!I32="","",IFERROR(INDEX('E2E Nakliye Montaj'!$AU$3:$AU$1002,MATCH('DIVA Satislari'!AJ32,'E2E Nakliye Montaj'!$AM$3:$AM$1002,0)),"Hayır"))</f>
        <v/>
      </c>
      <c r="N32" s="27">
        <f>IF('DIVA Satislari'!I32="","",IFERROR(INDEX('E2E Nakliye Montaj'!$AV$3:$AV$1002,MATCH('DIVA Satislari'!AJ32,'E2E Nakliye Montaj'!$AM$3:$AM$1002,0)),""))</f>
        <v/>
      </c>
      <c r="O32" s="26">
        <f>IF(OR(A32="",N32=""),"",IF(N32&lt;=H32,"Evet","HAYIR - RİSK"))</f>
        <v/>
      </c>
      <c r="P32" s="26">
        <f>IF(A32="","",IF(LEFT(J32,8)="Kural A ","Uygun - Hemen Ödenir (Yıl Sonu %75 Kontrolüne Tabi)",IF(OR(L32="Evet",M32="Evet"),IF(O32="Evet","Uygun","RİSK - Hakediş Süresi Aşıldı"),"Bekleniyor - Nakliye/Montaj Tamamlanmadı")))</f>
        <v/>
      </c>
      <c r="Q32" s="28">
        <f>IF(A32="","",SUMIFS('Hakedis Fatura Detay'!$G$3:$G$1200,'Hakedis Fatura Detay'!$H$3:$H$1200,'DIVA Satislari'!AJ32,'Hakedis Fatura Detay'!$F$3:$F$1200,"Fiyat Farkı")+SUMIFS('Hakedis Fatura Detay'!$G$3:$G$1200,'Hakedis Fatura Detay'!$H$3:$H$1200,'DIVA Satislari'!AJ32,'Hakedis Fatura Detay'!$F$3:$F$1200,"Bundle"))</f>
        <v/>
      </c>
      <c r="R32" s="28">
        <f>IF(A32="","",I32-Q32)</f>
        <v/>
      </c>
      <c r="S32" s="26">
        <f>IF(A32="","",IF(LEFT(P32,7)="Bekleni","N/A - Henüz Ödenmemeli",IF(LEFT(P32,4)="RİSK","İNCELEME GEREKLİ - Süre Aşımı",IF(R32=0,"Doğru",IF(R32&gt;0,"EKSİK ÖDENMİŞ","FAZLA ÖDENMİŞ")))))</f>
        <v/>
      </c>
      <c r="T32" s="30">
        <f>IF(A32="","",IF(F32&lt;&gt;"Evet","İNCELEME GEREKLİ - Kampanya Tanımsız",IF(G32&lt;&gt;"Evet","İNCELEME GEREKLİ - Tarih Dışı Satış",IF(LEFT(P32,4)="RİSK","İNCELEME GEREKLİ - Hakediş Süresi Aşıldı",IF(OR(S32="EKSİK ÖDENMİŞ",S32="FAZLA ÖDENMİŞ"),"İNCELEME GEREKLİ - Tutar Uyuşmazlığı",IF(LEFT(P32,7)="Bekleni","Bekleniyor","Uygun"))))))</f>
        <v/>
      </c>
    </row>
    <row r="33">
      <c r="A33" s="26">
        <f>IF('DIVA Satislari'!I33="","",'DIVA Satislari'!I33)</f>
        <v/>
      </c>
      <c r="B33" s="26">
        <f>IF('DIVA Satislari'!I33="","",'DIVA Satislari'!R33)</f>
        <v/>
      </c>
      <c r="C33" s="26">
        <f>IF('DIVA Satislari'!I33="","",'DIVA Satislari'!M33)</f>
        <v/>
      </c>
      <c r="D33" s="27">
        <f>IF('DIVA Satislari'!I33="","",'DIVA Satislari'!H33)</f>
        <v/>
      </c>
      <c r="E33" s="26">
        <f>IF('DIVA Satislari'!I33="","",'DIVA Satislari'!O33)</f>
        <v/>
      </c>
      <c r="F33" s="26">
        <f>IF('DIVA Satislari'!I33="","",'DIVA Satislari'!AK33)</f>
        <v/>
      </c>
      <c r="G33" s="26">
        <f>IF('DIVA Satislari'!I33="","",'DIVA Satislari'!AO33)</f>
        <v/>
      </c>
      <c r="H33" s="27">
        <f>IF('DIVA Satislari'!I33="","",'DIVA Satislari'!AN33)</f>
        <v/>
      </c>
      <c r="I33" s="28">
        <f>IF('DIVA Satislari'!I33="","",'DIVA Satislari'!AQ33)</f>
        <v/>
      </c>
      <c r="J33" s="26">
        <f>IF('DIVA Satislari'!I33="","",'DIVA Satislari'!AR33)</f>
        <v/>
      </c>
      <c r="K33" s="26">
        <f>IF('DIVA Satislari'!I33="","",IFERROR(INDEX('E2E Nakliye Montaj'!$AS$3:$AS$1002,MATCH('DIVA Satislari'!AJ33,'E2E Nakliye Montaj'!$AM$3:$AM$1002,0)),"Eşleşme Yok"))</f>
        <v/>
      </c>
      <c r="L33" s="26">
        <f>IF('DIVA Satislari'!I33="","",IFERROR(INDEX('E2E Nakliye Montaj'!$AT$3:$AT$1002,MATCH('DIVA Satislari'!AJ33,'E2E Nakliye Montaj'!$AM$3:$AM$1002,0)),"Hayır"))</f>
        <v/>
      </c>
      <c r="M33" s="26">
        <f>IF('DIVA Satislari'!I33="","",IFERROR(INDEX('E2E Nakliye Montaj'!$AU$3:$AU$1002,MATCH('DIVA Satislari'!AJ33,'E2E Nakliye Montaj'!$AM$3:$AM$1002,0)),"Hayır"))</f>
        <v/>
      </c>
      <c r="N33" s="27">
        <f>IF('DIVA Satislari'!I33="","",IFERROR(INDEX('E2E Nakliye Montaj'!$AV$3:$AV$1002,MATCH('DIVA Satislari'!AJ33,'E2E Nakliye Montaj'!$AM$3:$AM$1002,0)),""))</f>
        <v/>
      </c>
      <c r="O33" s="26">
        <f>IF(OR(A33="",N33=""),"",IF(N33&lt;=H33,"Evet","HAYIR - RİSK"))</f>
        <v/>
      </c>
      <c r="P33" s="26">
        <f>IF(A33="","",IF(LEFT(J33,8)="Kural A ","Uygun - Hemen Ödenir (Yıl Sonu %75 Kontrolüne Tabi)",IF(OR(L33="Evet",M33="Evet"),IF(O33="Evet","Uygun","RİSK - Hakediş Süresi Aşıldı"),"Bekleniyor - Nakliye/Montaj Tamamlanmadı")))</f>
        <v/>
      </c>
      <c r="Q33" s="28">
        <f>IF(A33="","",SUMIFS('Hakedis Fatura Detay'!$G$3:$G$1200,'Hakedis Fatura Detay'!$H$3:$H$1200,'DIVA Satislari'!AJ33,'Hakedis Fatura Detay'!$F$3:$F$1200,"Fiyat Farkı")+SUMIFS('Hakedis Fatura Detay'!$G$3:$G$1200,'Hakedis Fatura Detay'!$H$3:$H$1200,'DIVA Satislari'!AJ33,'Hakedis Fatura Detay'!$F$3:$F$1200,"Bundle"))</f>
        <v/>
      </c>
      <c r="R33" s="28">
        <f>IF(A33="","",I33-Q33)</f>
        <v/>
      </c>
      <c r="S33" s="26">
        <f>IF(A33="","",IF(LEFT(P33,7)="Bekleni","N/A - Henüz Ödenmemeli",IF(LEFT(P33,4)="RİSK","İNCELEME GEREKLİ - Süre Aşımı",IF(R33=0,"Doğru",IF(R33&gt;0,"EKSİK ÖDENMİŞ","FAZLA ÖDENMİŞ")))))</f>
        <v/>
      </c>
      <c r="T33" s="30">
        <f>IF(A33="","",IF(F33&lt;&gt;"Evet","İNCELEME GEREKLİ - Kampanya Tanımsız",IF(G33&lt;&gt;"Evet","İNCELEME GEREKLİ - Tarih Dışı Satış",IF(LEFT(P33,4)="RİSK","İNCELEME GEREKLİ - Hakediş Süresi Aşıldı",IF(OR(S33="EKSİK ÖDENMİŞ",S33="FAZLA ÖDENMİŞ"),"İNCELEME GEREKLİ - Tutar Uyuşmazlığı",IF(LEFT(P33,7)="Bekleni","Bekleniyor","Uygun"))))))</f>
        <v/>
      </c>
    </row>
    <row r="34">
      <c r="A34" s="26">
        <f>IF('DIVA Satislari'!I34="","",'DIVA Satislari'!I34)</f>
        <v/>
      </c>
      <c r="B34" s="26">
        <f>IF('DIVA Satislari'!I34="","",'DIVA Satislari'!R34)</f>
        <v/>
      </c>
      <c r="C34" s="26">
        <f>IF('DIVA Satislari'!I34="","",'DIVA Satislari'!M34)</f>
        <v/>
      </c>
      <c r="D34" s="27">
        <f>IF('DIVA Satislari'!I34="","",'DIVA Satislari'!H34)</f>
        <v/>
      </c>
      <c r="E34" s="26">
        <f>IF('DIVA Satislari'!I34="","",'DIVA Satislari'!O34)</f>
        <v/>
      </c>
      <c r="F34" s="26">
        <f>IF('DIVA Satislari'!I34="","",'DIVA Satislari'!AK34)</f>
        <v/>
      </c>
      <c r="G34" s="26">
        <f>IF('DIVA Satislari'!I34="","",'DIVA Satislari'!AO34)</f>
        <v/>
      </c>
      <c r="H34" s="27">
        <f>IF('DIVA Satislari'!I34="","",'DIVA Satislari'!AN34)</f>
        <v/>
      </c>
      <c r="I34" s="28">
        <f>IF('DIVA Satislari'!I34="","",'DIVA Satislari'!AQ34)</f>
        <v/>
      </c>
      <c r="J34" s="26">
        <f>IF('DIVA Satislari'!I34="","",'DIVA Satislari'!AR34)</f>
        <v/>
      </c>
      <c r="K34" s="26">
        <f>IF('DIVA Satislari'!I34="","",IFERROR(INDEX('E2E Nakliye Montaj'!$AS$3:$AS$1002,MATCH('DIVA Satislari'!AJ34,'E2E Nakliye Montaj'!$AM$3:$AM$1002,0)),"Eşleşme Yok"))</f>
        <v/>
      </c>
      <c r="L34" s="26">
        <f>IF('DIVA Satislari'!I34="","",IFERROR(INDEX('E2E Nakliye Montaj'!$AT$3:$AT$1002,MATCH('DIVA Satislari'!AJ34,'E2E Nakliye Montaj'!$AM$3:$AM$1002,0)),"Hayır"))</f>
        <v/>
      </c>
      <c r="M34" s="26">
        <f>IF('DIVA Satislari'!I34="","",IFERROR(INDEX('E2E Nakliye Montaj'!$AU$3:$AU$1002,MATCH('DIVA Satislari'!AJ34,'E2E Nakliye Montaj'!$AM$3:$AM$1002,0)),"Hayır"))</f>
        <v/>
      </c>
      <c r="N34" s="27">
        <f>IF('DIVA Satislari'!I34="","",IFERROR(INDEX('E2E Nakliye Montaj'!$AV$3:$AV$1002,MATCH('DIVA Satislari'!AJ34,'E2E Nakliye Montaj'!$AM$3:$AM$1002,0)),""))</f>
        <v/>
      </c>
      <c r="O34" s="26">
        <f>IF(OR(A34="",N34=""),"",IF(N34&lt;=H34,"Evet","HAYIR - RİSK"))</f>
        <v/>
      </c>
      <c r="P34" s="26">
        <f>IF(A34="","",IF(LEFT(J34,8)="Kural A ","Uygun - Hemen Ödenir (Yıl Sonu %75 Kontrolüne Tabi)",IF(OR(L34="Evet",M34="Evet"),IF(O34="Evet","Uygun","RİSK - Hakediş Süresi Aşıldı"),"Bekleniyor - Nakliye/Montaj Tamamlanmadı")))</f>
        <v/>
      </c>
      <c r="Q34" s="28">
        <f>IF(A34="","",SUMIFS('Hakedis Fatura Detay'!$G$3:$G$1200,'Hakedis Fatura Detay'!$H$3:$H$1200,'DIVA Satislari'!AJ34,'Hakedis Fatura Detay'!$F$3:$F$1200,"Fiyat Farkı")+SUMIFS('Hakedis Fatura Detay'!$G$3:$G$1200,'Hakedis Fatura Detay'!$H$3:$H$1200,'DIVA Satislari'!AJ34,'Hakedis Fatura Detay'!$F$3:$F$1200,"Bundle"))</f>
        <v/>
      </c>
      <c r="R34" s="28">
        <f>IF(A34="","",I34-Q34)</f>
        <v/>
      </c>
      <c r="S34" s="26">
        <f>IF(A34="","",IF(LEFT(P34,7)="Bekleni","N/A - Henüz Ödenmemeli",IF(LEFT(P34,4)="RİSK","İNCELEME GEREKLİ - Süre Aşımı",IF(R34=0,"Doğru",IF(R34&gt;0,"EKSİK ÖDENMİŞ","FAZLA ÖDENMİŞ")))))</f>
        <v/>
      </c>
      <c r="T34" s="30">
        <f>IF(A34="","",IF(F34&lt;&gt;"Evet","İNCELEME GEREKLİ - Kampanya Tanımsız",IF(G34&lt;&gt;"Evet","İNCELEME GEREKLİ - Tarih Dışı Satış",IF(LEFT(P34,4)="RİSK","İNCELEME GEREKLİ - Hakediş Süresi Aşıldı",IF(OR(S34="EKSİK ÖDENMİŞ",S34="FAZLA ÖDENMİŞ"),"İNCELEME GEREKLİ - Tutar Uyuşmazlığı",IF(LEFT(P34,7)="Bekleni","Bekleniyor","Uygun"))))))</f>
        <v/>
      </c>
    </row>
    <row r="35">
      <c r="A35" s="26">
        <f>IF('DIVA Satislari'!I35="","",'DIVA Satislari'!I35)</f>
        <v/>
      </c>
      <c r="B35" s="26">
        <f>IF('DIVA Satislari'!I35="","",'DIVA Satislari'!R35)</f>
        <v/>
      </c>
      <c r="C35" s="26">
        <f>IF('DIVA Satislari'!I35="","",'DIVA Satislari'!M35)</f>
        <v/>
      </c>
      <c r="D35" s="27">
        <f>IF('DIVA Satislari'!I35="","",'DIVA Satislari'!H35)</f>
        <v/>
      </c>
      <c r="E35" s="26">
        <f>IF('DIVA Satislari'!I35="","",'DIVA Satislari'!O35)</f>
        <v/>
      </c>
      <c r="F35" s="26">
        <f>IF('DIVA Satislari'!I35="","",'DIVA Satislari'!AK35)</f>
        <v/>
      </c>
      <c r="G35" s="26">
        <f>IF('DIVA Satislari'!I35="","",'DIVA Satislari'!AO35)</f>
        <v/>
      </c>
      <c r="H35" s="27">
        <f>IF('DIVA Satislari'!I35="","",'DIVA Satislari'!AN35)</f>
        <v/>
      </c>
      <c r="I35" s="28">
        <f>IF('DIVA Satislari'!I35="","",'DIVA Satislari'!AQ35)</f>
        <v/>
      </c>
      <c r="J35" s="26">
        <f>IF('DIVA Satislari'!I35="","",'DIVA Satislari'!AR35)</f>
        <v/>
      </c>
      <c r="K35" s="26">
        <f>IF('DIVA Satislari'!I35="","",IFERROR(INDEX('E2E Nakliye Montaj'!$AS$3:$AS$1002,MATCH('DIVA Satislari'!AJ35,'E2E Nakliye Montaj'!$AM$3:$AM$1002,0)),"Eşleşme Yok"))</f>
        <v/>
      </c>
      <c r="L35" s="26">
        <f>IF('DIVA Satislari'!I35="","",IFERROR(INDEX('E2E Nakliye Montaj'!$AT$3:$AT$1002,MATCH('DIVA Satislari'!AJ35,'E2E Nakliye Montaj'!$AM$3:$AM$1002,0)),"Hayır"))</f>
        <v/>
      </c>
      <c r="M35" s="26">
        <f>IF('DIVA Satislari'!I35="","",IFERROR(INDEX('E2E Nakliye Montaj'!$AU$3:$AU$1002,MATCH('DIVA Satislari'!AJ35,'E2E Nakliye Montaj'!$AM$3:$AM$1002,0)),"Hayır"))</f>
        <v/>
      </c>
      <c r="N35" s="27">
        <f>IF('DIVA Satislari'!I35="","",IFERROR(INDEX('E2E Nakliye Montaj'!$AV$3:$AV$1002,MATCH('DIVA Satislari'!AJ35,'E2E Nakliye Montaj'!$AM$3:$AM$1002,0)),""))</f>
        <v/>
      </c>
      <c r="O35" s="26">
        <f>IF(OR(A35="",N35=""),"",IF(N35&lt;=H35,"Evet","HAYIR - RİSK"))</f>
        <v/>
      </c>
      <c r="P35" s="26">
        <f>IF(A35="","",IF(LEFT(J35,8)="Kural A ","Uygun - Hemen Ödenir (Yıl Sonu %75 Kontrolüne Tabi)",IF(OR(L35="Evet",M35="Evet"),IF(O35="Evet","Uygun","RİSK - Hakediş Süresi Aşıldı"),"Bekleniyor - Nakliye/Montaj Tamamlanmadı")))</f>
        <v/>
      </c>
      <c r="Q35" s="28">
        <f>IF(A35="","",SUMIFS('Hakedis Fatura Detay'!$G$3:$G$1200,'Hakedis Fatura Detay'!$H$3:$H$1200,'DIVA Satislari'!AJ35,'Hakedis Fatura Detay'!$F$3:$F$1200,"Fiyat Farkı")+SUMIFS('Hakedis Fatura Detay'!$G$3:$G$1200,'Hakedis Fatura Detay'!$H$3:$H$1200,'DIVA Satislari'!AJ35,'Hakedis Fatura Detay'!$F$3:$F$1200,"Bundle"))</f>
        <v/>
      </c>
      <c r="R35" s="28">
        <f>IF(A35="","",I35-Q35)</f>
        <v/>
      </c>
      <c r="S35" s="26">
        <f>IF(A35="","",IF(LEFT(P35,7)="Bekleni","N/A - Henüz Ödenmemeli",IF(LEFT(P35,4)="RİSK","İNCELEME GEREKLİ - Süre Aşımı",IF(R35=0,"Doğru",IF(R35&gt;0,"EKSİK ÖDENMİŞ","FAZLA ÖDENMİŞ")))))</f>
        <v/>
      </c>
      <c r="T35" s="30">
        <f>IF(A35="","",IF(F35&lt;&gt;"Evet","İNCELEME GEREKLİ - Kampanya Tanımsız",IF(G35&lt;&gt;"Evet","İNCELEME GEREKLİ - Tarih Dışı Satış",IF(LEFT(P35,4)="RİSK","İNCELEME GEREKLİ - Hakediş Süresi Aşıldı",IF(OR(S35="EKSİK ÖDENMİŞ",S35="FAZLA ÖDENMİŞ"),"İNCELEME GEREKLİ - Tutar Uyuşmazlığı",IF(LEFT(P35,7)="Bekleni","Bekleniyor","Uygun"))))))</f>
        <v/>
      </c>
    </row>
    <row r="36">
      <c r="A36" s="26">
        <f>IF('DIVA Satislari'!I36="","",'DIVA Satislari'!I36)</f>
        <v/>
      </c>
      <c r="B36" s="26">
        <f>IF('DIVA Satislari'!I36="","",'DIVA Satislari'!R36)</f>
        <v/>
      </c>
      <c r="C36" s="26">
        <f>IF('DIVA Satislari'!I36="","",'DIVA Satislari'!M36)</f>
        <v/>
      </c>
      <c r="D36" s="27">
        <f>IF('DIVA Satislari'!I36="","",'DIVA Satislari'!H36)</f>
        <v/>
      </c>
      <c r="E36" s="26">
        <f>IF('DIVA Satislari'!I36="","",'DIVA Satislari'!O36)</f>
        <v/>
      </c>
      <c r="F36" s="26">
        <f>IF('DIVA Satislari'!I36="","",'DIVA Satislari'!AK36)</f>
        <v/>
      </c>
      <c r="G36" s="26">
        <f>IF('DIVA Satislari'!I36="","",'DIVA Satislari'!AO36)</f>
        <v/>
      </c>
      <c r="H36" s="27">
        <f>IF('DIVA Satislari'!I36="","",'DIVA Satislari'!AN36)</f>
        <v/>
      </c>
      <c r="I36" s="28">
        <f>IF('DIVA Satislari'!I36="","",'DIVA Satislari'!AQ36)</f>
        <v/>
      </c>
      <c r="J36" s="26">
        <f>IF('DIVA Satislari'!I36="","",'DIVA Satislari'!AR36)</f>
        <v/>
      </c>
      <c r="K36" s="26">
        <f>IF('DIVA Satislari'!I36="","",IFERROR(INDEX('E2E Nakliye Montaj'!$AS$3:$AS$1002,MATCH('DIVA Satislari'!AJ36,'E2E Nakliye Montaj'!$AM$3:$AM$1002,0)),"Eşleşme Yok"))</f>
        <v/>
      </c>
      <c r="L36" s="26">
        <f>IF('DIVA Satislari'!I36="","",IFERROR(INDEX('E2E Nakliye Montaj'!$AT$3:$AT$1002,MATCH('DIVA Satislari'!AJ36,'E2E Nakliye Montaj'!$AM$3:$AM$1002,0)),"Hayır"))</f>
        <v/>
      </c>
      <c r="M36" s="26">
        <f>IF('DIVA Satislari'!I36="","",IFERROR(INDEX('E2E Nakliye Montaj'!$AU$3:$AU$1002,MATCH('DIVA Satislari'!AJ36,'E2E Nakliye Montaj'!$AM$3:$AM$1002,0)),"Hayır"))</f>
        <v/>
      </c>
      <c r="N36" s="27">
        <f>IF('DIVA Satislari'!I36="","",IFERROR(INDEX('E2E Nakliye Montaj'!$AV$3:$AV$1002,MATCH('DIVA Satislari'!AJ36,'E2E Nakliye Montaj'!$AM$3:$AM$1002,0)),""))</f>
        <v/>
      </c>
      <c r="O36" s="26">
        <f>IF(OR(A36="",N36=""),"",IF(N36&lt;=H36,"Evet","HAYIR - RİSK"))</f>
        <v/>
      </c>
      <c r="P36" s="26">
        <f>IF(A36="","",IF(LEFT(J36,8)="Kural A ","Uygun - Hemen Ödenir (Yıl Sonu %75 Kontrolüne Tabi)",IF(OR(L36="Evet",M36="Evet"),IF(O36="Evet","Uygun","RİSK - Hakediş Süresi Aşıldı"),"Bekleniyor - Nakliye/Montaj Tamamlanmadı")))</f>
        <v/>
      </c>
      <c r="Q36" s="28">
        <f>IF(A36="","",SUMIFS('Hakedis Fatura Detay'!$G$3:$G$1200,'Hakedis Fatura Detay'!$H$3:$H$1200,'DIVA Satislari'!AJ36,'Hakedis Fatura Detay'!$F$3:$F$1200,"Fiyat Farkı")+SUMIFS('Hakedis Fatura Detay'!$G$3:$G$1200,'Hakedis Fatura Detay'!$H$3:$H$1200,'DIVA Satislari'!AJ36,'Hakedis Fatura Detay'!$F$3:$F$1200,"Bundle"))</f>
        <v/>
      </c>
      <c r="R36" s="28">
        <f>IF(A36="","",I36-Q36)</f>
        <v/>
      </c>
      <c r="S36" s="26">
        <f>IF(A36="","",IF(LEFT(P36,7)="Bekleni","N/A - Henüz Ödenmemeli",IF(LEFT(P36,4)="RİSK","İNCELEME GEREKLİ - Süre Aşımı",IF(R36=0,"Doğru",IF(R36&gt;0,"EKSİK ÖDENMİŞ","FAZLA ÖDENMİŞ")))))</f>
        <v/>
      </c>
      <c r="T36" s="30">
        <f>IF(A36="","",IF(F36&lt;&gt;"Evet","İNCELEME GEREKLİ - Kampanya Tanımsız",IF(G36&lt;&gt;"Evet","İNCELEME GEREKLİ - Tarih Dışı Satış",IF(LEFT(P36,4)="RİSK","İNCELEME GEREKLİ - Hakediş Süresi Aşıldı",IF(OR(S36="EKSİK ÖDENMİŞ",S36="FAZLA ÖDENMİŞ"),"İNCELEME GEREKLİ - Tutar Uyuşmazlığı",IF(LEFT(P36,7)="Bekleni","Bekleniyor","Uygun"))))))</f>
        <v/>
      </c>
    </row>
    <row r="37">
      <c r="A37" s="26">
        <f>IF('DIVA Satislari'!I37="","",'DIVA Satislari'!I37)</f>
        <v/>
      </c>
      <c r="B37" s="26">
        <f>IF('DIVA Satislari'!I37="","",'DIVA Satislari'!R37)</f>
        <v/>
      </c>
      <c r="C37" s="26">
        <f>IF('DIVA Satislari'!I37="","",'DIVA Satislari'!M37)</f>
        <v/>
      </c>
      <c r="D37" s="27">
        <f>IF('DIVA Satislari'!I37="","",'DIVA Satislari'!H37)</f>
        <v/>
      </c>
      <c r="E37" s="26">
        <f>IF('DIVA Satislari'!I37="","",'DIVA Satislari'!O37)</f>
        <v/>
      </c>
      <c r="F37" s="26">
        <f>IF('DIVA Satislari'!I37="","",'DIVA Satislari'!AK37)</f>
        <v/>
      </c>
      <c r="G37" s="26">
        <f>IF('DIVA Satislari'!I37="","",'DIVA Satislari'!AO37)</f>
        <v/>
      </c>
      <c r="H37" s="27">
        <f>IF('DIVA Satislari'!I37="","",'DIVA Satislari'!AN37)</f>
        <v/>
      </c>
      <c r="I37" s="28">
        <f>IF('DIVA Satislari'!I37="","",'DIVA Satislari'!AQ37)</f>
        <v/>
      </c>
      <c r="J37" s="26">
        <f>IF('DIVA Satislari'!I37="","",'DIVA Satislari'!AR37)</f>
        <v/>
      </c>
      <c r="K37" s="26">
        <f>IF('DIVA Satislari'!I37="","",IFERROR(INDEX('E2E Nakliye Montaj'!$AS$3:$AS$1002,MATCH('DIVA Satislari'!AJ37,'E2E Nakliye Montaj'!$AM$3:$AM$1002,0)),"Eşleşme Yok"))</f>
        <v/>
      </c>
      <c r="L37" s="26">
        <f>IF('DIVA Satislari'!I37="","",IFERROR(INDEX('E2E Nakliye Montaj'!$AT$3:$AT$1002,MATCH('DIVA Satislari'!AJ37,'E2E Nakliye Montaj'!$AM$3:$AM$1002,0)),"Hayır"))</f>
        <v/>
      </c>
      <c r="M37" s="26">
        <f>IF('DIVA Satislari'!I37="","",IFERROR(INDEX('E2E Nakliye Montaj'!$AU$3:$AU$1002,MATCH('DIVA Satislari'!AJ37,'E2E Nakliye Montaj'!$AM$3:$AM$1002,0)),"Hayır"))</f>
        <v/>
      </c>
      <c r="N37" s="27">
        <f>IF('DIVA Satislari'!I37="","",IFERROR(INDEX('E2E Nakliye Montaj'!$AV$3:$AV$1002,MATCH('DIVA Satislari'!AJ37,'E2E Nakliye Montaj'!$AM$3:$AM$1002,0)),""))</f>
        <v/>
      </c>
      <c r="O37" s="26">
        <f>IF(OR(A37="",N37=""),"",IF(N37&lt;=H37,"Evet","HAYIR - RİSK"))</f>
        <v/>
      </c>
      <c r="P37" s="26">
        <f>IF(A37="","",IF(LEFT(J37,8)="Kural A ","Uygun - Hemen Ödenir (Yıl Sonu %75 Kontrolüne Tabi)",IF(OR(L37="Evet",M37="Evet"),IF(O37="Evet","Uygun","RİSK - Hakediş Süresi Aşıldı"),"Bekleniyor - Nakliye/Montaj Tamamlanmadı")))</f>
        <v/>
      </c>
      <c r="Q37" s="28">
        <f>IF(A37="","",SUMIFS('Hakedis Fatura Detay'!$G$3:$G$1200,'Hakedis Fatura Detay'!$H$3:$H$1200,'DIVA Satislari'!AJ37,'Hakedis Fatura Detay'!$F$3:$F$1200,"Fiyat Farkı")+SUMIFS('Hakedis Fatura Detay'!$G$3:$G$1200,'Hakedis Fatura Detay'!$H$3:$H$1200,'DIVA Satislari'!AJ37,'Hakedis Fatura Detay'!$F$3:$F$1200,"Bundle"))</f>
        <v/>
      </c>
      <c r="R37" s="28">
        <f>IF(A37="","",I37-Q37)</f>
        <v/>
      </c>
      <c r="S37" s="26">
        <f>IF(A37="","",IF(LEFT(P37,7)="Bekleni","N/A - Henüz Ödenmemeli",IF(LEFT(P37,4)="RİSK","İNCELEME GEREKLİ - Süre Aşımı",IF(R37=0,"Doğru",IF(R37&gt;0,"EKSİK ÖDENMİŞ","FAZLA ÖDENMİŞ")))))</f>
        <v/>
      </c>
      <c r="T37" s="30">
        <f>IF(A37="","",IF(F37&lt;&gt;"Evet","İNCELEME GEREKLİ - Kampanya Tanımsız",IF(G37&lt;&gt;"Evet","İNCELEME GEREKLİ - Tarih Dışı Satış",IF(LEFT(P37,4)="RİSK","İNCELEME GEREKLİ - Hakediş Süresi Aşıldı",IF(OR(S37="EKSİK ÖDENMİŞ",S37="FAZLA ÖDENMİŞ"),"İNCELEME GEREKLİ - Tutar Uyuşmazlığı",IF(LEFT(P37,7)="Bekleni","Bekleniyor","Uygun"))))))</f>
        <v/>
      </c>
    </row>
    <row r="38">
      <c r="A38" s="26">
        <f>IF('DIVA Satislari'!I38="","",'DIVA Satislari'!I38)</f>
        <v/>
      </c>
      <c r="B38" s="26">
        <f>IF('DIVA Satislari'!I38="","",'DIVA Satislari'!R38)</f>
        <v/>
      </c>
      <c r="C38" s="26">
        <f>IF('DIVA Satislari'!I38="","",'DIVA Satislari'!M38)</f>
        <v/>
      </c>
      <c r="D38" s="27">
        <f>IF('DIVA Satislari'!I38="","",'DIVA Satislari'!H38)</f>
        <v/>
      </c>
      <c r="E38" s="26">
        <f>IF('DIVA Satislari'!I38="","",'DIVA Satislari'!O38)</f>
        <v/>
      </c>
      <c r="F38" s="26">
        <f>IF('DIVA Satislari'!I38="","",'DIVA Satislari'!AK38)</f>
        <v/>
      </c>
      <c r="G38" s="26">
        <f>IF('DIVA Satislari'!I38="","",'DIVA Satislari'!AO38)</f>
        <v/>
      </c>
      <c r="H38" s="27">
        <f>IF('DIVA Satislari'!I38="","",'DIVA Satislari'!AN38)</f>
        <v/>
      </c>
      <c r="I38" s="28">
        <f>IF('DIVA Satislari'!I38="","",'DIVA Satislari'!AQ38)</f>
        <v/>
      </c>
      <c r="J38" s="26">
        <f>IF('DIVA Satislari'!I38="","",'DIVA Satislari'!AR38)</f>
        <v/>
      </c>
      <c r="K38" s="26">
        <f>IF('DIVA Satislari'!I38="","",IFERROR(INDEX('E2E Nakliye Montaj'!$AS$3:$AS$1002,MATCH('DIVA Satislari'!AJ38,'E2E Nakliye Montaj'!$AM$3:$AM$1002,0)),"Eşleşme Yok"))</f>
        <v/>
      </c>
      <c r="L38" s="26">
        <f>IF('DIVA Satislari'!I38="","",IFERROR(INDEX('E2E Nakliye Montaj'!$AT$3:$AT$1002,MATCH('DIVA Satislari'!AJ38,'E2E Nakliye Montaj'!$AM$3:$AM$1002,0)),"Hayır"))</f>
        <v/>
      </c>
      <c r="M38" s="26">
        <f>IF('DIVA Satislari'!I38="","",IFERROR(INDEX('E2E Nakliye Montaj'!$AU$3:$AU$1002,MATCH('DIVA Satislari'!AJ38,'E2E Nakliye Montaj'!$AM$3:$AM$1002,0)),"Hayır"))</f>
        <v/>
      </c>
      <c r="N38" s="27">
        <f>IF('DIVA Satislari'!I38="","",IFERROR(INDEX('E2E Nakliye Montaj'!$AV$3:$AV$1002,MATCH('DIVA Satislari'!AJ38,'E2E Nakliye Montaj'!$AM$3:$AM$1002,0)),""))</f>
        <v/>
      </c>
      <c r="O38" s="26">
        <f>IF(OR(A38="",N38=""),"",IF(N38&lt;=H38,"Evet","HAYIR - RİSK"))</f>
        <v/>
      </c>
      <c r="P38" s="26">
        <f>IF(A38="","",IF(LEFT(J38,8)="Kural A ","Uygun - Hemen Ödenir (Yıl Sonu %75 Kontrolüne Tabi)",IF(OR(L38="Evet",M38="Evet"),IF(O38="Evet","Uygun","RİSK - Hakediş Süresi Aşıldı"),"Bekleniyor - Nakliye/Montaj Tamamlanmadı")))</f>
        <v/>
      </c>
      <c r="Q38" s="28">
        <f>IF(A38="","",SUMIFS('Hakedis Fatura Detay'!$G$3:$G$1200,'Hakedis Fatura Detay'!$H$3:$H$1200,'DIVA Satislari'!AJ38,'Hakedis Fatura Detay'!$F$3:$F$1200,"Fiyat Farkı")+SUMIFS('Hakedis Fatura Detay'!$G$3:$G$1200,'Hakedis Fatura Detay'!$H$3:$H$1200,'DIVA Satislari'!AJ38,'Hakedis Fatura Detay'!$F$3:$F$1200,"Bundle"))</f>
        <v/>
      </c>
      <c r="R38" s="28">
        <f>IF(A38="","",I38-Q38)</f>
        <v/>
      </c>
      <c r="S38" s="26">
        <f>IF(A38="","",IF(LEFT(P38,7)="Bekleni","N/A - Henüz Ödenmemeli",IF(LEFT(P38,4)="RİSK","İNCELEME GEREKLİ - Süre Aşımı",IF(R38=0,"Doğru",IF(R38&gt;0,"EKSİK ÖDENMİŞ","FAZLA ÖDENMİŞ")))))</f>
        <v/>
      </c>
      <c r="T38" s="30">
        <f>IF(A38="","",IF(F38&lt;&gt;"Evet","İNCELEME GEREKLİ - Kampanya Tanımsız",IF(G38&lt;&gt;"Evet","İNCELEME GEREKLİ - Tarih Dışı Satış",IF(LEFT(P38,4)="RİSK","İNCELEME GEREKLİ - Hakediş Süresi Aşıldı",IF(OR(S38="EKSİK ÖDENMİŞ",S38="FAZLA ÖDENMİŞ"),"İNCELEME GEREKLİ - Tutar Uyuşmazlığı",IF(LEFT(P38,7)="Bekleni","Bekleniyor","Uygun"))))))</f>
        <v/>
      </c>
    </row>
    <row r="39">
      <c r="A39" s="26">
        <f>IF('DIVA Satislari'!I39="","",'DIVA Satislari'!I39)</f>
        <v/>
      </c>
      <c r="B39" s="26">
        <f>IF('DIVA Satislari'!I39="","",'DIVA Satislari'!R39)</f>
        <v/>
      </c>
      <c r="C39" s="26">
        <f>IF('DIVA Satislari'!I39="","",'DIVA Satislari'!M39)</f>
        <v/>
      </c>
      <c r="D39" s="27">
        <f>IF('DIVA Satislari'!I39="","",'DIVA Satislari'!H39)</f>
        <v/>
      </c>
      <c r="E39" s="26">
        <f>IF('DIVA Satislari'!I39="","",'DIVA Satislari'!O39)</f>
        <v/>
      </c>
      <c r="F39" s="26">
        <f>IF('DIVA Satislari'!I39="","",'DIVA Satislari'!AK39)</f>
        <v/>
      </c>
      <c r="G39" s="26">
        <f>IF('DIVA Satislari'!I39="","",'DIVA Satislari'!AO39)</f>
        <v/>
      </c>
      <c r="H39" s="27">
        <f>IF('DIVA Satislari'!I39="","",'DIVA Satislari'!AN39)</f>
        <v/>
      </c>
      <c r="I39" s="28">
        <f>IF('DIVA Satislari'!I39="","",'DIVA Satislari'!AQ39)</f>
        <v/>
      </c>
      <c r="J39" s="26">
        <f>IF('DIVA Satislari'!I39="","",'DIVA Satislari'!AR39)</f>
        <v/>
      </c>
      <c r="K39" s="26">
        <f>IF('DIVA Satislari'!I39="","",IFERROR(INDEX('E2E Nakliye Montaj'!$AS$3:$AS$1002,MATCH('DIVA Satislari'!AJ39,'E2E Nakliye Montaj'!$AM$3:$AM$1002,0)),"Eşleşme Yok"))</f>
        <v/>
      </c>
      <c r="L39" s="26">
        <f>IF('DIVA Satislari'!I39="","",IFERROR(INDEX('E2E Nakliye Montaj'!$AT$3:$AT$1002,MATCH('DIVA Satislari'!AJ39,'E2E Nakliye Montaj'!$AM$3:$AM$1002,0)),"Hayır"))</f>
        <v/>
      </c>
      <c r="M39" s="26">
        <f>IF('DIVA Satislari'!I39="","",IFERROR(INDEX('E2E Nakliye Montaj'!$AU$3:$AU$1002,MATCH('DIVA Satislari'!AJ39,'E2E Nakliye Montaj'!$AM$3:$AM$1002,0)),"Hayır"))</f>
        <v/>
      </c>
      <c r="N39" s="27">
        <f>IF('DIVA Satislari'!I39="","",IFERROR(INDEX('E2E Nakliye Montaj'!$AV$3:$AV$1002,MATCH('DIVA Satislari'!AJ39,'E2E Nakliye Montaj'!$AM$3:$AM$1002,0)),""))</f>
        <v/>
      </c>
      <c r="O39" s="26">
        <f>IF(OR(A39="",N39=""),"",IF(N39&lt;=H39,"Evet","HAYIR - RİSK"))</f>
        <v/>
      </c>
      <c r="P39" s="26">
        <f>IF(A39="","",IF(LEFT(J39,8)="Kural A ","Uygun - Hemen Ödenir (Yıl Sonu %75 Kontrolüne Tabi)",IF(OR(L39="Evet",M39="Evet"),IF(O39="Evet","Uygun","RİSK - Hakediş Süresi Aşıldı"),"Bekleniyor - Nakliye/Montaj Tamamlanmadı")))</f>
        <v/>
      </c>
      <c r="Q39" s="28">
        <f>IF(A39="","",SUMIFS('Hakedis Fatura Detay'!$G$3:$G$1200,'Hakedis Fatura Detay'!$H$3:$H$1200,'DIVA Satislari'!AJ39,'Hakedis Fatura Detay'!$F$3:$F$1200,"Fiyat Farkı")+SUMIFS('Hakedis Fatura Detay'!$G$3:$G$1200,'Hakedis Fatura Detay'!$H$3:$H$1200,'DIVA Satislari'!AJ39,'Hakedis Fatura Detay'!$F$3:$F$1200,"Bundle"))</f>
        <v/>
      </c>
      <c r="R39" s="28">
        <f>IF(A39="","",I39-Q39)</f>
        <v/>
      </c>
      <c r="S39" s="26">
        <f>IF(A39="","",IF(LEFT(P39,7)="Bekleni","N/A - Henüz Ödenmemeli",IF(LEFT(P39,4)="RİSK","İNCELEME GEREKLİ - Süre Aşımı",IF(R39=0,"Doğru",IF(R39&gt;0,"EKSİK ÖDENMİŞ","FAZLA ÖDENMİŞ")))))</f>
        <v/>
      </c>
      <c r="T39" s="30">
        <f>IF(A39="","",IF(F39&lt;&gt;"Evet","İNCELEME GEREKLİ - Kampanya Tanımsız",IF(G39&lt;&gt;"Evet","İNCELEME GEREKLİ - Tarih Dışı Satış",IF(LEFT(P39,4)="RİSK","İNCELEME GEREKLİ - Hakediş Süresi Aşıldı",IF(OR(S39="EKSİK ÖDENMİŞ",S39="FAZLA ÖDENMİŞ"),"İNCELEME GEREKLİ - Tutar Uyuşmazlığı",IF(LEFT(P39,7)="Bekleni","Bekleniyor","Uygun"))))))</f>
        <v/>
      </c>
    </row>
    <row r="40">
      <c r="A40" s="26">
        <f>IF('DIVA Satislari'!I40="","",'DIVA Satislari'!I40)</f>
        <v/>
      </c>
      <c r="B40" s="26">
        <f>IF('DIVA Satislari'!I40="","",'DIVA Satislari'!R40)</f>
        <v/>
      </c>
      <c r="C40" s="26">
        <f>IF('DIVA Satislari'!I40="","",'DIVA Satislari'!M40)</f>
        <v/>
      </c>
      <c r="D40" s="27">
        <f>IF('DIVA Satislari'!I40="","",'DIVA Satislari'!H40)</f>
        <v/>
      </c>
      <c r="E40" s="26">
        <f>IF('DIVA Satislari'!I40="","",'DIVA Satislari'!O40)</f>
        <v/>
      </c>
      <c r="F40" s="26">
        <f>IF('DIVA Satislari'!I40="","",'DIVA Satislari'!AK40)</f>
        <v/>
      </c>
      <c r="G40" s="26">
        <f>IF('DIVA Satislari'!I40="","",'DIVA Satislari'!AO40)</f>
        <v/>
      </c>
      <c r="H40" s="27">
        <f>IF('DIVA Satislari'!I40="","",'DIVA Satislari'!AN40)</f>
        <v/>
      </c>
      <c r="I40" s="28">
        <f>IF('DIVA Satislari'!I40="","",'DIVA Satislari'!AQ40)</f>
        <v/>
      </c>
      <c r="J40" s="26">
        <f>IF('DIVA Satislari'!I40="","",'DIVA Satislari'!AR40)</f>
        <v/>
      </c>
      <c r="K40" s="26">
        <f>IF('DIVA Satislari'!I40="","",IFERROR(INDEX('E2E Nakliye Montaj'!$AS$3:$AS$1002,MATCH('DIVA Satislari'!AJ40,'E2E Nakliye Montaj'!$AM$3:$AM$1002,0)),"Eşleşme Yok"))</f>
        <v/>
      </c>
      <c r="L40" s="26">
        <f>IF('DIVA Satislari'!I40="","",IFERROR(INDEX('E2E Nakliye Montaj'!$AT$3:$AT$1002,MATCH('DIVA Satislari'!AJ40,'E2E Nakliye Montaj'!$AM$3:$AM$1002,0)),"Hayır"))</f>
        <v/>
      </c>
      <c r="M40" s="26">
        <f>IF('DIVA Satislari'!I40="","",IFERROR(INDEX('E2E Nakliye Montaj'!$AU$3:$AU$1002,MATCH('DIVA Satislari'!AJ40,'E2E Nakliye Montaj'!$AM$3:$AM$1002,0)),"Hayır"))</f>
        <v/>
      </c>
      <c r="N40" s="27">
        <f>IF('DIVA Satislari'!I40="","",IFERROR(INDEX('E2E Nakliye Montaj'!$AV$3:$AV$1002,MATCH('DIVA Satislari'!AJ40,'E2E Nakliye Montaj'!$AM$3:$AM$1002,0)),""))</f>
        <v/>
      </c>
      <c r="O40" s="26">
        <f>IF(OR(A40="",N40=""),"",IF(N40&lt;=H40,"Evet","HAYIR - RİSK"))</f>
        <v/>
      </c>
      <c r="P40" s="26">
        <f>IF(A40="","",IF(LEFT(J40,8)="Kural A ","Uygun - Hemen Ödenir (Yıl Sonu %75 Kontrolüne Tabi)",IF(OR(L40="Evet",M40="Evet"),IF(O40="Evet","Uygun","RİSK - Hakediş Süresi Aşıldı"),"Bekleniyor - Nakliye/Montaj Tamamlanmadı")))</f>
        <v/>
      </c>
      <c r="Q40" s="28">
        <f>IF(A40="","",SUMIFS('Hakedis Fatura Detay'!$G$3:$G$1200,'Hakedis Fatura Detay'!$H$3:$H$1200,'DIVA Satislari'!AJ40,'Hakedis Fatura Detay'!$F$3:$F$1200,"Fiyat Farkı")+SUMIFS('Hakedis Fatura Detay'!$G$3:$G$1200,'Hakedis Fatura Detay'!$H$3:$H$1200,'DIVA Satislari'!AJ40,'Hakedis Fatura Detay'!$F$3:$F$1200,"Bundle"))</f>
        <v/>
      </c>
      <c r="R40" s="28">
        <f>IF(A40="","",I40-Q40)</f>
        <v/>
      </c>
      <c r="S40" s="26">
        <f>IF(A40="","",IF(LEFT(P40,7)="Bekleni","N/A - Henüz Ödenmemeli",IF(LEFT(P40,4)="RİSK","İNCELEME GEREKLİ - Süre Aşımı",IF(R40=0,"Doğru",IF(R40&gt;0,"EKSİK ÖDENMİŞ","FAZLA ÖDENMİŞ")))))</f>
        <v/>
      </c>
      <c r="T40" s="30">
        <f>IF(A40="","",IF(F40&lt;&gt;"Evet","İNCELEME GEREKLİ - Kampanya Tanımsız",IF(G40&lt;&gt;"Evet","İNCELEME GEREKLİ - Tarih Dışı Satış",IF(LEFT(P40,4)="RİSK","İNCELEME GEREKLİ - Hakediş Süresi Aşıldı",IF(OR(S40="EKSİK ÖDENMİŞ",S40="FAZLA ÖDENMİŞ"),"İNCELEME GEREKLİ - Tutar Uyuşmazlığı",IF(LEFT(P40,7)="Bekleni","Bekleniyor","Uygun"))))))</f>
        <v/>
      </c>
    </row>
    <row r="41">
      <c r="A41" s="26">
        <f>IF('DIVA Satislari'!I41="","",'DIVA Satislari'!I41)</f>
        <v/>
      </c>
      <c r="B41" s="26">
        <f>IF('DIVA Satislari'!I41="","",'DIVA Satislari'!R41)</f>
        <v/>
      </c>
      <c r="C41" s="26">
        <f>IF('DIVA Satislari'!I41="","",'DIVA Satislari'!M41)</f>
        <v/>
      </c>
      <c r="D41" s="27">
        <f>IF('DIVA Satislari'!I41="","",'DIVA Satislari'!H41)</f>
        <v/>
      </c>
      <c r="E41" s="26">
        <f>IF('DIVA Satislari'!I41="","",'DIVA Satislari'!O41)</f>
        <v/>
      </c>
      <c r="F41" s="26">
        <f>IF('DIVA Satislari'!I41="","",'DIVA Satislari'!AK41)</f>
        <v/>
      </c>
      <c r="G41" s="26">
        <f>IF('DIVA Satislari'!I41="","",'DIVA Satislari'!AO41)</f>
        <v/>
      </c>
      <c r="H41" s="27">
        <f>IF('DIVA Satislari'!I41="","",'DIVA Satislari'!AN41)</f>
        <v/>
      </c>
      <c r="I41" s="28">
        <f>IF('DIVA Satislari'!I41="","",'DIVA Satislari'!AQ41)</f>
        <v/>
      </c>
      <c r="J41" s="26">
        <f>IF('DIVA Satislari'!I41="","",'DIVA Satislari'!AR41)</f>
        <v/>
      </c>
      <c r="K41" s="26">
        <f>IF('DIVA Satislari'!I41="","",IFERROR(INDEX('E2E Nakliye Montaj'!$AS$3:$AS$1002,MATCH('DIVA Satislari'!AJ41,'E2E Nakliye Montaj'!$AM$3:$AM$1002,0)),"Eşleşme Yok"))</f>
        <v/>
      </c>
      <c r="L41" s="26">
        <f>IF('DIVA Satislari'!I41="","",IFERROR(INDEX('E2E Nakliye Montaj'!$AT$3:$AT$1002,MATCH('DIVA Satislari'!AJ41,'E2E Nakliye Montaj'!$AM$3:$AM$1002,0)),"Hayır"))</f>
        <v/>
      </c>
      <c r="M41" s="26">
        <f>IF('DIVA Satislari'!I41="","",IFERROR(INDEX('E2E Nakliye Montaj'!$AU$3:$AU$1002,MATCH('DIVA Satislari'!AJ41,'E2E Nakliye Montaj'!$AM$3:$AM$1002,0)),"Hayır"))</f>
        <v/>
      </c>
      <c r="N41" s="27">
        <f>IF('DIVA Satislari'!I41="","",IFERROR(INDEX('E2E Nakliye Montaj'!$AV$3:$AV$1002,MATCH('DIVA Satislari'!AJ41,'E2E Nakliye Montaj'!$AM$3:$AM$1002,0)),""))</f>
        <v/>
      </c>
      <c r="O41" s="26">
        <f>IF(OR(A41="",N41=""),"",IF(N41&lt;=H41,"Evet","HAYIR - RİSK"))</f>
        <v/>
      </c>
      <c r="P41" s="26">
        <f>IF(A41="","",IF(LEFT(J41,8)="Kural A ","Uygun - Hemen Ödenir (Yıl Sonu %75 Kontrolüne Tabi)",IF(OR(L41="Evet",M41="Evet"),IF(O41="Evet","Uygun","RİSK - Hakediş Süresi Aşıldı"),"Bekleniyor - Nakliye/Montaj Tamamlanmadı")))</f>
        <v/>
      </c>
      <c r="Q41" s="28">
        <f>IF(A41="","",SUMIFS('Hakedis Fatura Detay'!$G$3:$G$1200,'Hakedis Fatura Detay'!$H$3:$H$1200,'DIVA Satislari'!AJ41,'Hakedis Fatura Detay'!$F$3:$F$1200,"Fiyat Farkı")+SUMIFS('Hakedis Fatura Detay'!$G$3:$G$1200,'Hakedis Fatura Detay'!$H$3:$H$1200,'DIVA Satislari'!AJ41,'Hakedis Fatura Detay'!$F$3:$F$1200,"Bundle"))</f>
        <v/>
      </c>
      <c r="R41" s="28">
        <f>IF(A41="","",I41-Q41)</f>
        <v/>
      </c>
      <c r="S41" s="26">
        <f>IF(A41="","",IF(LEFT(P41,7)="Bekleni","N/A - Henüz Ödenmemeli",IF(LEFT(P41,4)="RİSK","İNCELEME GEREKLİ - Süre Aşımı",IF(R41=0,"Doğru",IF(R41&gt;0,"EKSİK ÖDENMİŞ","FAZLA ÖDENMİŞ")))))</f>
        <v/>
      </c>
      <c r="T41" s="30">
        <f>IF(A41="","",IF(F41&lt;&gt;"Evet","İNCELEME GEREKLİ - Kampanya Tanımsız",IF(G41&lt;&gt;"Evet","İNCELEME GEREKLİ - Tarih Dışı Satış",IF(LEFT(P41,4)="RİSK","İNCELEME GEREKLİ - Hakediş Süresi Aşıldı",IF(OR(S41="EKSİK ÖDENMİŞ",S41="FAZLA ÖDENMİŞ"),"İNCELEME GEREKLİ - Tutar Uyuşmazlığı",IF(LEFT(P41,7)="Bekleni","Bekleniyor","Uygun"))))))</f>
        <v/>
      </c>
    </row>
    <row r="42">
      <c r="A42" s="26">
        <f>IF('DIVA Satislari'!I42="","",'DIVA Satislari'!I42)</f>
        <v/>
      </c>
      <c r="B42" s="26">
        <f>IF('DIVA Satislari'!I42="","",'DIVA Satislari'!R42)</f>
        <v/>
      </c>
      <c r="C42" s="26">
        <f>IF('DIVA Satislari'!I42="","",'DIVA Satislari'!M42)</f>
        <v/>
      </c>
      <c r="D42" s="27">
        <f>IF('DIVA Satislari'!I42="","",'DIVA Satislari'!H42)</f>
        <v/>
      </c>
      <c r="E42" s="26">
        <f>IF('DIVA Satislari'!I42="","",'DIVA Satislari'!O42)</f>
        <v/>
      </c>
      <c r="F42" s="26">
        <f>IF('DIVA Satislari'!I42="","",'DIVA Satislari'!AK42)</f>
        <v/>
      </c>
      <c r="G42" s="26">
        <f>IF('DIVA Satislari'!I42="","",'DIVA Satislari'!AO42)</f>
        <v/>
      </c>
      <c r="H42" s="27">
        <f>IF('DIVA Satislari'!I42="","",'DIVA Satislari'!AN42)</f>
        <v/>
      </c>
      <c r="I42" s="28">
        <f>IF('DIVA Satislari'!I42="","",'DIVA Satislari'!AQ42)</f>
        <v/>
      </c>
      <c r="J42" s="26">
        <f>IF('DIVA Satislari'!I42="","",'DIVA Satislari'!AR42)</f>
        <v/>
      </c>
      <c r="K42" s="26">
        <f>IF('DIVA Satislari'!I42="","",IFERROR(INDEX('E2E Nakliye Montaj'!$AS$3:$AS$1002,MATCH('DIVA Satislari'!AJ42,'E2E Nakliye Montaj'!$AM$3:$AM$1002,0)),"Eşleşme Yok"))</f>
        <v/>
      </c>
      <c r="L42" s="26">
        <f>IF('DIVA Satislari'!I42="","",IFERROR(INDEX('E2E Nakliye Montaj'!$AT$3:$AT$1002,MATCH('DIVA Satislari'!AJ42,'E2E Nakliye Montaj'!$AM$3:$AM$1002,0)),"Hayır"))</f>
        <v/>
      </c>
      <c r="M42" s="26">
        <f>IF('DIVA Satislari'!I42="","",IFERROR(INDEX('E2E Nakliye Montaj'!$AU$3:$AU$1002,MATCH('DIVA Satislari'!AJ42,'E2E Nakliye Montaj'!$AM$3:$AM$1002,0)),"Hayır"))</f>
        <v/>
      </c>
      <c r="N42" s="27">
        <f>IF('DIVA Satislari'!I42="","",IFERROR(INDEX('E2E Nakliye Montaj'!$AV$3:$AV$1002,MATCH('DIVA Satislari'!AJ42,'E2E Nakliye Montaj'!$AM$3:$AM$1002,0)),""))</f>
        <v/>
      </c>
      <c r="O42" s="26">
        <f>IF(OR(A42="",N42=""),"",IF(N42&lt;=H42,"Evet","HAYIR - RİSK"))</f>
        <v/>
      </c>
      <c r="P42" s="26">
        <f>IF(A42="","",IF(LEFT(J42,8)="Kural A ","Uygun - Hemen Ödenir (Yıl Sonu %75 Kontrolüne Tabi)",IF(OR(L42="Evet",M42="Evet"),IF(O42="Evet","Uygun","RİSK - Hakediş Süresi Aşıldı"),"Bekleniyor - Nakliye/Montaj Tamamlanmadı")))</f>
        <v/>
      </c>
      <c r="Q42" s="28">
        <f>IF(A42="","",SUMIFS('Hakedis Fatura Detay'!$G$3:$G$1200,'Hakedis Fatura Detay'!$H$3:$H$1200,'DIVA Satislari'!AJ42,'Hakedis Fatura Detay'!$F$3:$F$1200,"Fiyat Farkı")+SUMIFS('Hakedis Fatura Detay'!$G$3:$G$1200,'Hakedis Fatura Detay'!$H$3:$H$1200,'DIVA Satislari'!AJ42,'Hakedis Fatura Detay'!$F$3:$F$1200,"Bundle"))</f>
        <v/>
      </c>
      <c r="R42" s="28">
        <f>IF(A42="","",I42-Q42)</f>
        <v/>
      </c>
      <c r="S42" s="26">
        <f>IF(A42="","",IF(LEFT(P42,7)="Bekleni","N/A - Henüz Ödenmemeli",IF(LEFT(P42,4)="RİSK","İNCELEME GEREKLİ - Süre Aşımı",IF(R42=0,"Doğru",IF(R42&gt;0,"EKSİK ÖDENMİŞ","FAZLA ÖDENMİŞ")))))</f>
        <v/>
      </c>
      <c r="T42" s="30">
        <f>IF(A42="","",IF(F42&lt;&gt;"Evet","İNCELEME GEREKLİ - Kampanya Tanımsız",IF(G42&lt;&gt;"Evet","İNCELEME GEREKLİ - Tarih Dışı Satış",IF(LEFT(P42,4)="RİSK","İNCELEME GEREKLİ - Hakediş Süresi Aşıldı",IF(OR(S42="EKSİK ÖDENMİŞ",S42="FAZLA ÖDENMİŞ"),"İNCELEME GEREKLİ - Tutar Uyuşmazlığı",IF(LEFT(P42,7)="Bekleni","Bekleniyor","Uygun"))))))</f>
        <v/>
      </c>
    </row>
    <row r="43">
      <c r="A43" s="26">
        <f>IF('DIVA Satislari'!I43="","",'DIVA Satislari'!I43)</f>
        <v/>
      </c>
      <c r="B43" s="26">
        <f>IF('DIVA Satislari'!I43="","",'DIVA Satislari'!R43)</f>
        <v/>
      </c>
      <c r="C43" s="26">
        <f>IF('DIVA Satislari'!I43="","",'DIVA Satislari'!M43)</f>
        <v/>
      </c>
      <c r="D43" s="27">
        <f>IF('DIVA Satislari'!I43="","",'DIVA Satislari'!H43)</f>
        <v/>
      </c>
      <c r="E43" s="26">
        <f>IF('DIVA Satislari'!I43="","",'DIVA Satislari'!O43)</f>
        <v/>
      </c>
      <c r="F43" s="26">
        <f>IF('DIVA Satislari'!I43="","",'DIVA Satislari'!AK43)</f>
        <v/>
      </c>
      <c r="G43" s="26">
        <f>IF('DIVA Satislari'!I43="","",'DIVA Satislari'!AO43)</f>
        <v/>
      </c>
      <c r="H43" s="27">
        <f>IF('DIVA Satislari'!I43="","",'DIVA Satislari'!AN43)</f>
        <v/>
      </c>
      <c r="I43" s="28">
        <f>IF('DIVA Satislari'!I43="","",'DIVA Satislari'!AQ43)</f>
        <v/>
      </c>
      <c r="J43" s="26">
        <f>IF('DIVA Satislari'!I43="","",'DIVA Satislari'!AR43)</f>
        <v/>
      </c>
      <c r="K43" s="26">
        <f>IF('DIVA Satislari'!I43="","",IFERROR(INDEX('E2E Nakliye Montaj'!$AS$3:$AS$1002,MATCH('DIVA Satislari'!AJ43,'E2E Nakliye Montaj'!$AM$3:$AM$1002,0)),"Eşleşme Yok"))</f>
        <v/>
      </c>
      <c r="L43" s="26">
        <f>IF('DIVA Satislari'!I43="","",IFERROR(INDEX('E2E Nakliye Montaj'!$AT$3:$AT$1002,MATCH('DIVA Satislari'!AJ43,'E2E Nakliye Montaj'!$AM$3:$AM$1002,0)),"Hayır"))</f>
        <v/>
      </c>
      <c r="M43" s="26">
        <f>IF('DIVA Satislari'!I43="","",IFERROR(INDEX('E2E Nakliye Montaj'!$AU$3:$AU$1002,MATCH('DIVA Satislari'!AJ43,'E2E Nakliye Montaj'!$AM$3:$AM$1002,0)),"Hayır"))</f>
        <v/>
      </c>
      <c r="N43" s="27">
        <f>IF('DIVA Satislari'!I43="","",IFERROR(INDEX('E2E Nakliye Montaj'!$AV$3:$AV$1002,MATCH('DIVA Satislari'!AJ43,'E2E Nakliye Montaj'!$AM$3:$AM$1002,0)),""))</f>
        <v/>
      </c>
      <c r="O43" s="26">
        <f>IF(OR(A43="",N43=""),"",IF(N43&lt;=H43,"Evet","HAYIR - RİSK"))</f>
        <v/>
      </c>
      <c r="P43" s="26">
        <f>IF(A43="","",IF(LEFT(J43,8)="Kural A ","Uygun - Hemen Ödenir (Yıl Sonu %75 Kontrolüne Tabi)",IF(OR(L43="Evet",M43="Evet"),IF(O43="Evet","Uygun","RİSK - Hakediş Süresi Aşıldı"),"Bekleniyor - Nakliye/Montaj Tamamlanmadı")))</f>
        <v/>
      </c>
      <c r="Q43" s="28">
        <f>IF(A43="","",SUMIFS('Hakedis Fatura Detay'!$G$3:$G$1200,'Hakedis Fatura Detay'!$H$3:$H$1200,'DIVA Satislari'!AJ43,'Hakedis Fatura Detay'!$F$3:$F$1200,"Fiyat Farkı")+SUMIFS('Hakedis Fatura Detay'!$G$3:$G$1200,'Hakedis Fatura Detay'!$H$3:$H$1200,'DIVA Satislari'!AJ43,'Hakedis Fatura Detay'!$F$3:$F$1200,"Bundle"))</f>
        <v/>
      </c>
      <c r="R43" s="28">
        <f>IF(A43="","",I43-Q43)</f>
        <v/>
      </c>
      <c r="S43" s="26">
        <f>IF(A43="","",IF(LEFT(P43,7)="Bekleni","N/A - Henüz Ödenmemeli",IF(LEFT(P43,4)="RİSK","İNCELEME GEREKLİ - Süre Aşımı",IF(R43=0,"Doğru",IF(R43&gt;0,"EKSİK ÖDENMİŞ","FAZLA ÖDENMİŞ")))))</f>
        <v/>
      </c>
      <c r="T43" s="30">
        <f>IF(A43="","",IF(F43&lt;&gt;"Evet","İNCELEME GEREKLİ - Kampanya Tanımsız",IF(G43&lt;&gt;"Evet","İNCELEME GEREKLİ - Tarih Dışı Satış",IF(LEFT(P43,4)="RİSK","İNCELEME GEREKLİ - Hakediş Süresi Aşıldı",IF(OR(S43="EKSİK ÖDENMİŞ",S43="FAZLA ÖDENMİŞ"),"İNCELEME GEREKLİ - Tutar Uyuşmazlığı",IF(LEFT(P43,7)="Bekleni","Bekleniyor","Uygun"))))))</f>
        <v/>
      </c>
    </row>
    <row r="44">
      <c r="A44" s="26">
        <f>IF('DIVA Satislari'!I44="","",'DIVA Satislari'!I44)</f>
        <v/>
      </c>
      <c r="B44" s="26">
        <f>IF('DIVA Satislari'!I44="","",'DIVA Satislari'!R44)</f>
        <v/>
      </c>
      <c r="C44" s="26">
        <f>IF('DIVA Satislari'!I44="","",'DIVA Satislari'!M44)</f>
        <v/>
      </c>
      <c r="D44" s="27">
        <f>IF('DIVA Satislari'!I44="","",'DIVA Satislari'!H44)</f>
        <v/>
      </c>
      <c r="E44" s="26">
        <f>IF('DIVA Satislari'!I44="","",'DIVA Satislari'!O44)</f>
        <v/>
      </c>
      <c r="F44" s="26">
        <f>IF('DIVA Satislari'!I44="","",'DIVA Satislari'!AK44)</f>
        <v/>
      </c>
      <c r="G44" s="26">
        <f>IF('DIVA Satislari'!I44="","",'DIVA Satislari'!AO44)</f>
        <v/>
      </c>
      <c r="H44" s="27">
        <f>IF('DIVA Satislari'!I44="","",'DIVA Satislari'!AN44)</f>
        <v/>
      </c>
      <c r="I44" s="28">
        <f>IF('DIVA Satislari'!I44="","",'DIVA Satislari'!AQ44)</f>
        <v/>
      </c>
      <c r="J44" s="26">
        <f>IF('DIVA Satislari'!I44="","",'DIVA Satislari'!AR44)</f>
        <v/>
      </c>
      <c r="K44" s="26">
        <f>IF('DIVA Satislari'!I44="","",IFERROR(INDEX('E2E Nakliye Montaj'!$AS$3:$AS$1002,MATCH('DIVA Satislari'!AJ44,'E2E Nakliye Montaj'!$AM$3:$AM$1002,0)),"Eşleşme Yok"))</f>
        <v/>
      </c>
      <c r="L44" s="26">
        <f>IF('DIVA Satislari'!I44="","",IFERROR(INDEX('E2E Nakliye Montaj'!$AT$3:$AT$1002,MATCH('DIVA Satislari'!AJ44,'E2E Nakliye Montaj'!$AM$3:$AM$1002,0)),"Hayır"))</f>
        <v/>
      </c>
      <c r="M44" s="26">
        <f>IF('DIVA Satislari'!I44="","",IFERROR(INDEX('E2E Nakliye Montaj'!$AU$3:$AU$1002,MATCH('DIVA Satislari'!AJ44,'E2E Nakliye Montaj'!$AM$3:$AM$1002,0)),"Hayır"))</f>
        <v/>
      </c>
      <c r="N44" s="27">
        <f>IF('DIVA Satislari'!I44="","",IFERROR(INDEX('E2E Nakliye Montaj'!$AV$3:$AV$1002,MATCH('DIVA Satislari'!AJ44,'E2E Nakliye Montaj'!$AM$3:$AM$1002,0)),""))</f>
        <v/>
      </c>
      <c r="O44" s="26">
        <f>IF(OR(A44="",N44=""),"",IF(N44&lt;=H44,"Evet","HAYIR - RİSK"))</f>
        <v/>
      </c>
      <c r="P44" s="26">
        <f>IF(A44="","",IF(LEFT(J44,8)="Kural A ","Uygun - Hemen Ödenir (Yıl Sonu %75 Kontrolüne Tabi)",IF(OR(L44="Evet",M44="Evet"),IF(O44="Evet","Uygun","RİSK - Hakediş Süresi Aşıldı"),"Bekleniyor - Nakliye/Montaj Tamamlanmadı")))</f>
        <v/>
      </c>
      <c r="Q44" s="28">
        <f>IF(A44="","",SUMIFS('Hakedis Fatura Detay'!$G$3:$G$1200,'Hakedis Fatura Detay'!$H$3:$H$1200,'DIVA Satislari'!AJ44,'Hakedis Fatura Detay'!$F$3:$F$1200,"Fiyat Farkı")+SUMIFS('Hakedis Fatura Detay'!$G$3:$G$1200,'Hakedis Fatura Detay'!$H$3:$H$1200,'DIVA Satislari'!AJ44,'Hakedis Fatura Detay'!$F$3:$F$1200,"Bundle"))</f>
        <v/>
      </c>
      <c r="R44" s="28">
        <f>IF(A44="","",I44-Q44)</f>
        <v/>
      </c>
      <c r="S44" s="26">
        <f>IF(A44="","",IF(LEFT(P44,7)="Bekleni","N/A - Henüz Ödenmemeli",IF(LEFT(P44,4)="RİSK","İNCELEME GEREKLİ - Süre Aşımı",IF(R44=0,"Doğru",IF(R44&gt;0,"EKSİK ÖDENMİŞ","FAZLA ÖDENMİŞ")))))</f>
        <v/>
      </c>
      <c r="T44" s="30">
        <f>IF(A44="","",IF(F44&lt;&gt;"Evet","İNCELEME GEREKLİ - Kampanya Tanımsız",IF(G44&lt;&gt;"Evet","İNCELEME GEREKLİ - Tarih Dışı Satış",IF(LEFT(P44,4)="RİSK","İNCELEME GEREKLİ - Hakediş Süresi Aşıldı",IF(OR(S44="EKSİK ÖDENMİŞ",S44="FAZLA ÖDENMİŞ"),"İNCELEME GEREKLİ - Tutar Uyuşmazlığı",IF(LEFT(P44,7)="Bekleni","Bekleniyor","Uygun"))))))</f>
        <v/>
      </c>
    </row>
    <row r="45">
      <c r="A45" s="26">
        <f>IF('DIVA Satislari'!I45="","",'DIVA Satislari'!I45)</f>
        <v/>
      </c>
      <c r="B45" s="26">
        <f>IF('DIVA Satislari'!I45="","",'DIVA Satislari'!R45)</f>
        <v/>
      </c>
      <c r="C45" s="26">
        <f>IF('DIVA Satislari'!I45="","",'DIVA Satislari'!M45)</f>
        <v/>
      </c>
      <c r="D45" s="27">
        <f>IF('DIVA Satislari'!I45="","",'DIVA Satislari'!H45)</f>
        <v/>
      </c>
      <c r="E45" s="26">
        <f>IF('DIVA Satislari'!I45="","",'DIVA Satislari'!O45)</f>
        <v/>
      </c>
      <c r="F45" s="26">
        <f>IF('DIVA Satislari'!I45="","",'DIVA Satislari'!AK45)</f>
        <v/>
      </c>
      <c r="G45" s="26">
        <f>IF('DIVA Satislari'!I45="","",'DIVA Satislari'!AO45)</f>
        <v/>
      </c>
      <c r="H45" s="27">
        <f>IF('DIVA Satislari'!I45="","",'DIVA Satislari'!AN45)</f>
        <v/>
      </c>
      <c r="I45" s="28">
        <f>IF('DIVA Satislari'!I45="","",'DIVA Satislari'!AQ45)</f>
        <v/>
      </c>
      <c r="J45" s="26">
        <f>IF('DIVA Satislari'!I45="","",'DIVA Satislari'!AR45)</f>
        <v/>
      </c>
      <c r="K45" s="26">
        <f>IF('DIVA Satislari'!I45="","",IFERROR(INDEX('E2E Nakliye Montaj'!$AS$3:$AS$1002,MATCH('DIVA Satislari'!AJ45,'E2E Nakliye Montaj'!$AM$3:$AM$1002,0)),"Eşleşme Yok"))</f>
        <v/>
      </c>
      <c r="L45" s="26">
        <f>IF('DIVA Satislari'!I45="","",IFERROR(INDEX('E2E Nakliye Montaj'!$AT$3:$AT$1002,MATCH('DIVA Satislari'!AJ45,'E2E Nakliye Montaj'!$AM$3:$AM$1002,0)),"Hayır"))</f>
        <v/>
      </c>
      <c r="M45" s="26">
        <f>IF('DIVA Satislari'!I45="","",IFERROR(INDEX('E2E Nakliye Montaj'!$AU$3:$AU$1002,MATCH('DIVA Satislari'!AJ45,'E2E Nakliye Montaj'!$AM$3:$AM$1002,0)),"Hayır"))</f>
        <v/>
      </c>
      <c r="N45" s="27">
        <f>IF('DIVA Satislari'!I45="","",IFERROR(INDEX('E2E Nakliye Montaj'!$AV$3:$AV$1002,MATCH('DIVA Satislari'!AJ45,'E2E Nakliye Montaj'!$AM$3:$AM$1002,0)),""))</f>
        <v/>
      </c>
      <c r="O45" s="26">
        <f>IF(OR(A45="",N45=""),"",IF(N45&lt;=H45,"Evet","HAYIR - RİSK"))</f>
        <v/>
      </c>
      <c r="P45" s="26">
        <f>IF(A45="","",IF(LEFT(J45,8)="Kural A ","Uygun - Hemen Ödenir (Yıl Sonu %75 Kontrolüne Tabi)",IF(OR(L45="Evet",M45="Evet"),IF(O45="Evet","Uygun","RİSK - Hakediş Süresi Aşıldı"),"Bekleniyor - Nakliye/Montaj Tamamlanmadı")))</f>
        <v/>
      </c>
      <c r="Q45" s="28">
        <f>IF(A45="","",SUMIFS('Hakedis Fatura Detay'!$G$3:$G$1200,'Hakedis Fatura Detay'!$H$3:$H$1200,'DIVA Satislari'!AJ45,'Hakedis Fatura Detay'!$F$3:$F$1200,"Fiyat Farkı")+SUMIFS('Hakedis Fatura Detay'!$G$3:$G$1200,'Hakedis Fatura Detay'!$H$3:$H$1200,'DIVA Satislari'!AJ45,'Hakedis Fatura Detay'!$F$3:$F$1200,"Bundle"))</f>
        <v/>
      </c>
      <c r="R45" s="28">
        <f>IF(A45="","",I45-Q45)</f>
        <v/>
      </c>
      <c r="S45" s="26">
        <f>IF(A45="","",IF(LEFT(P45,7)="Bekleni","N/A - Henüz Ödenmemeli",IF(LEFT(P45,4)="RİSK","İNCELEME GEREKLİ - Süre Aşımı",IF(R45=0,"Doğru",IF(R45&gt;0,"EKSİK ÖDENMİŞ","FAZLA ÖDENMİŞ")))))</f>
        <v/>
      </c>
      <c r="T45" s="30">
        <f>IF(A45="","",IF(F45&lt;&gt;"Evet","İNCELEME GEREKLİ - Kampanya Tanımsız",IF(G45&lt;&gt;"Evet","İNCELEME GEREKLİ - Tarih Dışı Satış",IF(LEFT(P45,4)="RİSK","İNCELEME GEREKLİ - Hakediş Süresi Aşıldı",IF(OR(S45="EKSİK ÖDENMİŞ",S45="FAZLA ÖDENMİŞ"),"İNCELEME GEREKLİ - Tutar Uyuşmazlığı",IF(LEFT(P45,7)="Bekleni","Bekleniyor","Uygun"))))))</f>
        <v/>
      </c>
    </row>
    <row r="46">
      <c r="A46" s="26">
        <f>IF('DIVA Satislari'!I46="","",'DIVA Satislari'!I46)</f>
        <v/>
      </c>
      <c r="B46" s="26">
        <f>IF('DIVA Satislari'!I46="","",'DIVA Satislari'!R46)</f>
        <v/>
      </c>
      <c r="C46" s="26">
        <f>IF('DIVA Satislari'!I46="","",'DIVA Satislari'!M46)</f>
        <v/>
      </c>
      <c r="D46" s="27">
        <f>IF('DIVA Satislari'!I46="","",'DIVA Satislari'!H46)</f>
        <v/>
      </c>
      <c r="E46" s="26">
        <f>IF('DIVA Satislari'!I46="","",'DIVA Satislari'!O46)</f>
        <v/>
      </c>
      <c r="F46" s="26">
        <f>IF('DIVA Satislari'!I46="","",'DIVA Satislari'!AK46)</f>
        <v/>
      </c>
      <c r="G46" s="26">
        <f>IF('DIVA Satislari'!I46="","",'DIVA Satislari'!AO46)</f>
        <v/>
      </c>
      <c r="H46" s="27">
        <f>IF('DIVA Satislari'!I46="","",'DIVA Satislari'!AN46)</f>
        <v/>
      </c>
      <c r="I46" s="28">
        <f>IF('DIVA Satislari'!I46="","",'DIVA Satislari'!AQ46)</f>
        <v/>
      </c>
      <c r="J46" s="26">
        <f>IF('DIVA Satislari'!I46="","",'DIVA Satislari'!AR46)</f>
        <v/>
      </c>
      <c r="K46" s="26">
        <f>IF('DIVA Satislari'!I46="","",IFERROR(INDEX('E2E Nakliye Montaj'!$AS$3:$AS$1002,MATCH('DIVA Satislari'!AJ46,'E2E Nakliye Montaj'!$AM$3:$AM$1002,0)),"Eşleşme Yok"))</f>
        <v/>
      </c>
      <c r="L46" s="26">
        <f>IF('DIVA Satislari'!I46="","",IFERROR(INDEX('E2E Nakliye Montaj'!$AT$3:$AT$1002,MATCH('DIVA Satislari'!AJ46,'E2E Nakliye Montaj'!$AM$3:$AM$1002,0)),"Hayır"))</f>
        <v/>
      </c>
      <c r="M46" s="26">
        <f>IF('DIVA Satislari'!I46="","",IFERROR(INDEX('E2E Nakliye Montaj'!$AU$3:$AU$1002,MATCH('DIVA Satislari'!AJ46,'E2E Nakliye Montaj'!$AM$3:$AM$1002,0)),"Hayır"))</f>
        <v/>
      </c>
      <c r="N46" s="27">
        <f>IF('DIVA Satislari'!I46="","",IFERROR(INDEX('E2E Nakliye Montaj'!$AV$3:$AV$1002,MATCH('DIVA Satislari'!AJ46,'E2E Nakliye Montaj'!$AM$3:$AM$1002,0)),""))</f>
        <v/>
      </c>
      <c r="O46" s="26">
        <f>IF(OR(A46="",N46=""),"",IF(N46&lt;=H46,"Evet","HAYIR - RİSK"))</f>
        <v/>
      </c>
      <c r="P46" s="26">
        <f>IF(A46="","",IF(LEFT(J46,8)="Kural A ","Uygun - Hemen Ödenir (Yıl Sonu %75 Kontrolüne Tabi)",IF(OR(L46="Evet",M46="Evet"),IF(O46="Evet","Uygun","RİSK - Hakediş Süresi Aşıldı"),"Bekleniyor - Nakliye/Montaj Tamamlanmadı")))</f>
        <v/>
      </c>
      <c r="Q46" s="28">
        <f>IF(A46="","",SUMIFS('Hakedis Fatura Detay'!$G$3:$G$1200,'Hakedis Fatura Detay'!$H$3:$H$1200,'DIVA Satislari'!AJ46,'Hakedis Fatura Detay'!$F$3:$F$1200,"Fiyat Farkı")+SUMIFS('Hakedis Fatura Detay'!$G$3:$G$1200,'Hakedis Fatura Detay'!$H$3:$H$1200,'DIVA Satislari'!AJ46,'Hakedis Fatura Detay'!$F$3:$F$1200,"Bundle"))</f>
        <v/>
      </c>
      <c r="R46" s="28">
        <f>IF(A46="","",I46-Q46)</f>
        <v/>
      </c>
      <c r="S46" s="26">
        <f>IF(A46="","",IF(LEFT(P46,7)="Bekleni","N/A - Henüz Ödenmemeli",IF(LEFT(P46,4)="RİSK","İNCELEME GEREKLİ - Süre Aşımı",IF(R46=0,"Doğru",IF(R46&gt;0,"EKSİK ÖDENMİŞ","FAZLA ÖDENMİŞ")))))</f>
        <v/>
      </c>
      <c r="T46" s="30">
        <f>IF(A46="","",IF(F46&lt;&gt;"Evet","İNCELEME GEREKLİ - Kampanya Tanımsız",IF(G46&lt;&gt;"Evet","İNCELEME GEREKLİ - Tarih Dışı Satış",IF(LEFT(P46,4)="RİSK","İNCELEME GEREKLİ - Hakediş Süresi Aşıldı",IF(OR(S46="EKSİK ÖDENMİŞ",S46="FAZLA ÖDENMİŞ"),"İNCELEME GEREKLİ - Tutar Uyuşmazlığı",IF(LEFT(P46,7)="Bekleni","Bekleniyor","Uygun"))))))</f>
        <v/>
      </c>
    </row>
    <row r="47">
      <c r="A47" s="26">
        <f>IF('DIVA Satislari'!I47="","",'DIVA Satislari'!I47)</f>
        <v/>
      </c>
      <c r="B47" s="26">
        <f>IF('DIVA Satislari'!I47="","",'DIVA Satislari'!R47)</f>
        <v/>
      </c>
      <c r="C47" s="26">
        <f>IF('DIVA Satislari'!I47="","",'DIVA Satislari'!M47)</f>
        <v/>
      </c>
      <c r="D47" s="27">
        <f>IF('DIVA Satislari'!I47="","",'DIVA Satislari'!H47)</f>
        <v/>
      </c>
      <c r="E47" s="26">
        <f>IF('DIVA Satislari'!I47="","",'DIVA Satislari'!O47)</f>
        <v/>
      </c>
      <c r="F47" s="26">
        <f>IF('DIVA Satislari'!I47="","",'DIVA Satislari'!AK47)</f>
        <v/>
      </c>
      <c r="G47" s="26">
        <f>IF('DIVA Satislari'!I47="","",'DIVA Satislari'!AO47)</f>
        <v/>
      </c>
      <c r="H47" s="27">
        <f>IF('DIVA Satislari'!I47="","",'DIVA Satislari'!AN47)</f>
        <v/>
      </c>
      <c r="I47" s="28">
        <f>IF('DIVA Satislari'!I47="","",'DIVA Satislari'!AQ47)</f>
        <v/>
      </c>
      <c r="J47" s="26">
        <f>IF('DIVA Satislari'!I47="","",'DIVA Satislari'!AR47)</f>
        <v/>
      </c>
      <c r="K47" s="26">
        <f>IF('DIVA Satislari'!I47="","",IFERROR(INDEX('E2E Nakliye Montaj'!$AS$3:$AS$1002,MATCH('DIVA Satislari'!AJ47,'E2E Nakliye Montaj'!$AM$3:$AM$1002,0)),"Eşleşme Yok"))</f>
        <v/>
      </c>
      <c r="L47" s="26">
        <f>IF('DIVA Satislari'!I47="","",IFERROR(INDEX('E2E Nakliye Montaj'!$AT$3:$AT$1002,MATCH('DIVA Satislari'!AJ47,'E2E Nakliye Montaj'!$AM$3:$AM$1002,0)),"Hayır"))</f>
        <v/>
      </c>
      <c r="M47" s="26">
        <f>IF('DIVA Satislari'!I47="","",IFERROR(INDEX('E2E Nakliye Montaj'!$AU$3:$AU$1002,MATCH('DIVA Satislari'!AJ47,'E2E Nakliye Montaj'!$AM$3:$AM$1002,0)),"Hayır"))</f>
        <v/>
      </c>
      <c r="N47" s="27">
        <f>IF('DIVA Satislari'!I47="","",IFERROR(INDEX('E2E Nakliye Montaj'!$AV$3:$AV$1002,MATCH('DIVA Satislari'!AJ47,'E2E Nakliye Montaj'!$AM$3:$AM$1002,0)),""))</f>
        <v/>
      </c>
      <c r="O47" s="26">
        <f>IF(OR(A47="",N47=""),"",IF(N47&lt;=H47,"Evet","HAYIR - RİSK"))</f>
        <v/>
      </c>
      <c r="P47" s="26">
        <f>IF(A47="","",IF(LEFT(J47,8)="Kural A ","Uygun - Hemen Ödenir (Yıl Sonu %75 Kontrolüne Tabi)",IF(OR(L47="Evet",M47="Evet"),IF(O47="Evet","Uygun","RİSK - Hakediş Süresi Aşıldı"),"Bekleniyor - Nakliye/Montaj Tamamlanmadı")))</f>
        <v/>
      </c>
      <c r="Q47" s="28">
        <f>IF(A47="","",SUMIFS('Hakedis Fatura Detay'!$G$3:$G$1200,'Hakedis Fatura Detay'!$H$3:$H$1200,'DIVA Satislari'!AJ47,'Hakedis Fatura Detay'!$F$3:$F$1200,"Fiyat Farkı")+SUMIFS('Hakedis Fatura Detay'!$G$3:$G$1200,'Hakedis Fatura Detay'!$H$3:$H$1200,'DIVA Satislari'!AJ47,'Hakedis Fatura Detay'!$F$3:$F$1200,"Bundle"))</f>
        <v/>
      </c>
      <c r="R47" s="28">
        <f>IF(A47="","",I47-Q47)</f>
        <v/>
      </c>
      <c r="S47" s="26">
        <f>IF(A47="","",IF(LEFT(P47,7)="Bekleni","N/A - Henüz Ödenmemeli",IF(LEFT(P47,4)="RİSK","İNCELEME GEREKLİ - Süre Aşımı",IF(R47=0,"Doğru",IF(R47&gt;0,"EKSİK ÖDENMİŞ","FAZLA ÖDENMİŞ")))))</f>
        <v/>
      </c>
      <c r="T47" s="30">
        <f>IF(A47="","",IF(F47&lt;&gt;"Evet","İNCELEME GEREKLİ - Kampanya Tanımsız",IF(G47&lt;&gt;"Evet","İNCELEME GEREKLİ - Tarih Dışı Satış",IF(LEFT(P47,4)="RİSK","İNCELEME GEREKLİ - Hakediş Süresi Aşıldı",IF(OR(S47="EKSİK ÖDENMİŞ",S47="FAZLA ÖDENMİŞ"),"İNCELEME GEREKLİ - Tutar Uyuşmazlığı",IF(LEFT(P47,7)="Bekleni","Bekleniyor","Uygun"))))))</f>
        <v/>
      </c>
    </row>
    <row r="48">
      <c r="A48" s="26">
        <f>IF('DIVA Satislari'!I48="","",'DIVA Satislari'!I48)</f>
        <v/>
      </c>
      <c r="B48" s="26">
        <f>IF('DIVA Satislari'!I48="","",'DIVA Satislari'!R48)</f>
        <v/>
      </c>
      <c r="C48" s="26">
        <f>IF('DIVA Satislari'!I48="","",'DIVA Satislari'!M48)</f>
        <v/>
      </c>
      <c r="D48" s="27">
        <f>IF('DIVA Satislari'!I48="","",'DIVA Satislari'!H48)</f>
        <v/>
      </c>
      <c r="E48" s="26">
        <f>IF('DIVA Satislari'!I48="","",'DIVA Satislari'!O48)</f>
        <v/>
      </c>
      <c r="F48" s="26">
        <f>IF('DIVA Satislari'!I48="","",'DIVA Satislari'!AK48)</f>
        <v/>
      </c>
      <c r="G48" s="26">
        <f>IF('DIVA Satislari'!I48="","",'DIVA Satislari'!AO48)</f>
        <v/>
      </c>
      <c r="H48" s="27">
        <f>IF('DIVA Satislari'!I48="","",'DIVA Satislari'!AN48)</f>
        <v/>
      </c>
      <c r="I48" s="28">
        <f>IF('DIVA Satislari'!I48="","",'DIVA Satislari'!AQ48)</f>
        <v/>
      </c>
      <c r="J48" s="26">
        <f>IF('DIVA Satislari'!I48="","",'DIVA Satislari'!AR48)</f>
        <v/>
      </c>
      <c r="K48" s="26">
        <f>IF('DIVA Satislari'!I48="","",IFERROR(INDEX('E2E Nakliye Montaj'!$AS$3:$AS$1002,MATCH('DIVA Satislari'!AJ48,'E2E Nakliye Montaj'!$AM$3:$AM$1002,0)),"Eşleşme Yok"))</f>
        <v/>
      </c>
      <c r="L48" s="26">
        <f>IF('DIVA Satislari'!I48="","",IFERROR(INDEX('E2E Nakliye Montaj'!$AT$3:$AT$1002,MATCH('DIVA Satislari'!AJ48,'E2E Nakliye Montaj'!$AM$3:$AM$1002,0)),"Hayır"))</f>
        <v/>
      </c>
      <c r="M48" s="26">
        <f>IF('DIVA Satislari'!I48="","",IFERROR(INDEX('E2E Nakliye Montaj'!$AU$3:$AU$1002,MATCH('DIVA Satislari'!AJ48,'E2E Nakliye Montaj'!$AM$3:$AM$1002,0)),"Hayır"))</f>
        <v/>
      </c>
      <c r="N48" s="27">
        <f>IF('DIVA Satislari'!I48="","",IFERROR(INDEX('E2E Nakliye Montaj'!$AV$3:$AV$1002,MATCH('DIVA Satislari'!AJ48,'E2E Nakliye Montaj'!$AM$3:$AM$1002,0)),""))</f>
        <v/>
      </c>
      <c r="O48" s="26">
        <f>IF(OR(A48="",N48=""),"",IF(N48&lt;=H48,"Evet","HAYIR - RİSK"))</f>
        <v/>
      </c>
      <c r="P48" s="26">
        <f>IF(A48="","",IF(LEFT(J48,8)="Kural A ","Uygun - Hemen Ödenir (Yıl Sonu %75 Kontrolüne Tabi)",IF(OR(L48="Evet",M48="Evet"),IF(O48="Evet","Uygun","RİSK - Hakediş Süresi Aşıldı"),"Bekleniyor - Nakliye/Montaj Tamamlanmadı")))</f>
        <v/>
      </c>
      <c r="Q48" s="28">
        <f>IF(A48="","",SUMIFS('Hakedis Fatura Detay'!$G$3:$G$1200,'Hakedis Fatura Detay'!$H$3:$H$1200,'DIVA Satislari'!AJ48,'Hakedis Fatura Detay'!$F$3:$F$1200,"Fiyat Farkı")+SUMIFS('Hakedis Fatura Detay'!$G$3:$G$1200,'Hakedis Fatura Detay'!$H$3:$H$1200,'DIVA Satislari'!AJ48,'Hakedis Fatura Detay'!$F$3:$F$1200,"Bundle"))</f>
        <v/>
      </c>
      <c r="R48" s="28">
        <f>IF(A48="","",I48-Q48)</f>
        <v/>
      </c>
      <c r="S48" s="26">
        <f>IF(A48="","",IF(LEFT(P48,7)="Bekleni","N/A - Henüz Ödenmemeli",IF(LEFT(P48,4)="RİSK","İNCELEME GEREKLİ - Süre Aşımı",IF(R48=0,"Doğru",IF(R48&gt;0,"EKSİK ÖDENMİŞ","FAZLA ÖDENMİŞ")))))</f>
        <v/>
      </c>
      <c r="T48" s="30">
        <f>IF(A48="","",IF(F48&lt;&gt;"Evet","İNCELEME GEREKLİ - Kampanya Tanımsız",IF(G48&lt;&gt;"Evet","İNCELEME GEREKLİ - Tarih Dışı Satış",IF(LEFT(P48,4)="RİSK","İNCELEME GEREKLİ - Hakediş Süresi Aşıldı",IF(OR(S48="EKSİK ÖDENMİŞ",S48="FAZLA ÖDENMİŞ"),"İNCELEME GEREKLİ - Tutar Uyuşmazlığı",IF(LEFT(P48,7)="Bekleni","Bekleniyor","Uygun"))))))</f>
        <v/>
      </c>
    </row>
    <row r="49">
      <c r="A49" s="26">
        <f>IF('DIVA Satislari'!I49="","",'DIVA Satislari'!I49)</f>
        <v/>
      </c>
      <c r="B49" s="26">
        <f>IF('DIVA Satislari'!I49="","",'DIVA Satislari'!R49)</f>
        <v/>
      </c>
      <c r="C49" s="26">
        <f>IF('DIVA Satislari'!I49="","",'DIVA Satislari'!M49)</f>
        <v/>
      </c>
      <c r="D49" s="27">
        <f>IF('DIVA Satislari'!I49="","",'DIVA Satislari'!H49)</f>
        <v/>
      </c>
      <c r="E49" s="26">
        <f>IF('DIVA Satislari'!I49="","",'DIVA Satislari'!O49)</f>
        <v/>
      </c>
      <c r="F49" s="26">
        <f>IF('DIVA Satislari'!I49="","",'DIVA Satislari'!AK49)</f>
        <v/>
      </c>
      <c r="G49" s="26">
        <f>IF('DIVA Satislari'!I49="","",'DIVA Satislari'!AO49)</f>
        <v/>
      </c>
      <c r="H49" s="27">
        <f>IF('DIVA Satislari'!I49="","",'DIVA Satislari'!AN49)</f>
        <v/>
      </c>
      <c r="I49" s="28">
        <f>IF('DIVA Satislari'!I49="","",'DIVA Satislari'!AQ49)</f>
        <v/>
      </c>
      <c r="J49" s="26">
        <f>IF('DIVA Satislari'!I49="","",'DIVA Satislari'!AR49)</f>
        <v/>
      </c>
      <c r="K49" s="26">
        <f>IF('DIVA Satislari'!I49="","",IFERROR(INDEX('E2E Nakliye Montaj'!$AS$3:$AS$1002,MATCH('DIVA Satislari'!AJ49,'E2E Nakliye Montaj'!$AM$3:$AM$1002,0)),"Eşleşme Yok"))</f>
        <v/>
      </c>
      <c r="L49" s="26">
        <f>IF('DIVA Satislari'!I49="","",IFERROR(INDEX('E2E Nakliye Montaj'!$AT$3:$AT$1002,MATCH('DIVA Satislari'!AJ49,'E2E Nakliye Montaj'!$AM$3:$AM$1002,0)),"Hayır"))</f>
        <v/>
      </c>
      <c r="M49" s="26">
        <f>IF('DIVA Satislari'!I49="","",IFERROR(INDEX('E2E Nakliye Montaj'!$AU$3:$AU$1002,MATCH('DIVA Satislari'!AJ49,'E2E Nakliye Montaj'!$AM$3:$AM$1002,0)),"Hayır"))</f>
        <v/>
      </c>
      <c r="N49" s="27">
        <f>IF('DIVA Satislari'!I49="","",IFERROR(INDEX('E2E Nakliye Montaj'!$AV$3:$AV$1002,MATCH('DIVA Satislari'!AJ49,'E2E Nakliye Montaj'!$AM$3:$AM$1002,0)),""))</f>
        <v/>
      </c>
      <c r="O49" s="26">
        <f>IF(OR(A49="",N49=""),"",IF(N49&lt;=H49,"Evet","HAYIR - RİSK"))</f>
        <v/>
      </c>
      <c r="P49" s="26">
        <f>IF(A49="","",IF(LEFT(J49,8)="Kural A ","Uygun - Hemen Ödenir (Yıl Sonu %75 Kontrolüne Tabi)",IF(OR(L49="Evet",M49="Evet"),IF(O49="Evet","Uygun","RİSK - Hakediş Süresi Aşıldı"),"Bekleniyor - Nakliye/Montaj Tamamlanmadı")))</f>
        <v/>
      </c>
      <c r="Q49" s="28">
        <f>IF(A49="","",SUMIFS('Hakedis Fatura Detay'!$G$3:$G$1200,'Hakedis Fatura Detay'!$H$3:$H$1200,'DIVA Satislari'!AJ49,'Hakedis Fatura Detay'!$F$3:$F$1200,"Fiyat Farkı")+SUMIFS('Hakedis Fatura Detay'!$G$3:$G$1200,'Hakedis Fatura Detay'!$H$3:$H$1200,'DIVA Satislari'!AJ49,'Hakedis Fatura Detay'!$F$3:$F$1200,"Bundle"))</f>
        <v/>
      </c>
      <c r="R49" s="28">
        <f>IF(A49="","",I49-Q49)</f>
        <v/>
      </c>
      <c r="S49" s="26">
        <f>IF(A49="","",IF(LEFT(P49,7)="Bekleni","N/A - Henüz Ödenmemeli",IF(LEFT(P49,4)="RİSK","İNCELEME GEREKLİ - Süre Aşımı",IF(R49=0,"Doğru",IF(R49&gt;0,"EKSİK ÖDENMİŞ","FAZLA ÖDENMİŞ")))))</f>
        <v/>
      </c>
      <c r="T49" s="30">
        <f>IF(A49="","",IF(F49&lt;&gt;"Evet","İNCELEME GEREKLİ - Kampanya Tanımsız",IF(G49&lt;&gt;"Evet","İNCELEME GEREKLİ - Tarih Dışı Satış",IF(LEFT(P49,4)="RİSK","İNCELEME GEREKLİ - Hakediş Süresi Aşıldı",IF(OR(S49="EKSİK ÖDENMİŞ",S49="FAZLA ÖDENMİŞ"),"İNCELEME GEREKLİ - Tutar Uyuşmazlığı",IF(LEFT(P49,7)="Bekleni","Bekleniyor","Uygun"))))))</f>
        <v/>
      </c>
    </row>
    <row r="50">
      <c r="A50" s="26">
        <f>IF('DIVA Satislari'!I50="","",'DIVA Satislari'!I50)</f>
        <v/>
      </c>
      <c r="B50" s="26">
        <f>IF('DIVA Satislari'!I50="","",'DIVA Satislari'!R50)</f>
        <v/>
      </c>
      <c r="C50" s="26">
        <f>IF('DIVA Satislari'!I50="","",'DIVA Satislari'!M50)</f>
        <v/>
      </c>
      <c r="D50" s="27">
        <f>IF('DIVA Satislari'!I50="","",'DIVA Satislari'!H50)</f>
        <v/>
      </c>
      <c r="E50" s="26">
        <f>IF('DIVA Satislari'!I50="","",'DIVA Satislari'!O50)</f>
        <v/>
      </c>
      <c r="F50" s="26">
        <f>IF('DIVA Satislari'!I50="","",'DIVA Satislari'!AK50)</f>
        <v/>
      </c>
      <c r="G50" s="26">
        <f>IF('DIVA Satislari'!I50="","",'DIVA Satislari'!AO50)</f>
        <v/>
      </c>
      <c r="H50" s="27">
        <f>IF('DIVA Satislari'!I50="","",'DIVA Satislari'!AN50)</f>
        <v/>
      </c>
      <c r="I50" s="28">
        <f>IF('DIVA Satislari'!I50="","",'DIVA Satislari'!AQ50)</f>
        <v/>
      </c>
      <c r="J50" s="26">
        <f>IF('DIVA Satislari'!I50="","",'DIVA Satislari'!AR50)</f>
        <v/>
      </c>
      <c r="K50" s="26">
        <f>IF('DIVA Satislari'!I50="","",IFERROR(INDEX('E2E Nakliye Montaj'!$AS$3:$AS$1002,MATCH('DIVA Satislari'!AJ50,'E2E Nakliye Montaj'!$AM$3:$AM$1002,0)),"Eşleşme Yok"))</f>
        <v/>
      </c>
      <c r="L50" s="26">
        <f>IF('DIVA Satislari'!I50="","",IFERROR(INDEX('E2E Nakliye Montaj'!$AT$3:$AT$1002,MATCH('DIVA Satislari'!AJ50,'E2E Nakliye Montaj'!$AM$3:$AM$1002,0)),"Hayır"))</f>
        <v/>
      </c>
      <c r="M50" s="26">
        <f>IF('DIVA Satislari'!I50="","",IFERROR(INDEX('E2E Nakliye Montaj'!$AU$3:$AU$1002,MATCH('DIVA Satislari'!AJ50,'E2E Nakliye Montaj'!$AM$3:$AM$1002,0)),"Hayır"))</f>
        <v/>
      </c>
      <c r="N50" s="27">
        <f>IF('DIVA Satislari'!I50="","",IFERROR(INDEX('E2E Nakliye Montaj'!$AV$3:$AV$1002,MATCH('DIVA Satislari'!AJ50,'E2E Nakliye Montaj'!$AM$3:$AM$1002,0)),""))</f>
        <v/>
      </c>
      <c r="O50" s="26">
        <f>IF(OR(A50="",N50=""),"",IF(N50&lt;=H50,"Evet","HAYIR - RİSK"))</f>
        <v/>
      </c>
      <c r="P50" s="26">
        <f>IF(A50="","",IF(LEFT(J50,8)="Kural A ","Uygun - Hemen Ödenir (Yıl Sonu %75 Kontrolüne Tabi)",IF(OR(L50="Evet",M50="Evet"),IF(O50="Evet","Uygun","RİSK - Hakediş Süresi Aşıldı"),"Bekleniyor - Nakliye/Montaj Tamamlanmadı")))</f>
        <v/>
      </c>
      <c r="Q50" s="28">
        <f>IF(A50="","",SUMIFS('Hakedis Fatura Detay'!$G$3:$G$1200,'Hakedis Fatura Detay'!$H$3:$H$1200,'DIVA Satislari'!AJ50,'Hakedis Fatura Detay'!$F$3:$F$1200,"Fiyat Farkı")+SUMIFS('Hakedis Fatura Detay'!$G$3:$G$1200,'Hakedis Fatura Detay'!$H$3:$H$1200,'DIVA Satislari'!AJ50,'Hakedis Fatura Detay'!$F$3:$F$1200,"Bundle"))</f>
        <v/>
      </c>
      <c r="R50" s="28">
        <f>IF(A50="","",I50-Q50)</f>
        <v/>
      </c>
      <c r="S50" s="26">
        <f>IF(A50="","",IF(LEFT(P50,7)="Bekleni","N/A - Henüz Ödenmemeli",IF(LEFT(P50,4)="RİSK","İNCELEME GEREKLİ - Süre Aşımı",IF(R50=0,"Doğru",IF(R50&gt;0,"EKSİK ÖDENMİŞ","FAZLA ÖDENMİŞ")))))</f>
        <v/>
      </c>
      <c r="T50" s="30">
        <f>IF(A50="","",IF(F50&lt;&gt;"Evet","İNCELEME GEREKLİ - Kampanya Tanımsız",IF(G50&lt;&gt;"Evet","İNCELEME GEREKLİ - Tarih Dışı Satış",IF(LEFT(P50,4)="RİSK","İNCELEME GEREKLİ - Hakediş Süresi Aşıldı",IF(OR(S50="EKSİK ÖDENMİŞ",S50="FAZLA ÖDENMİŞ"),"İNCELEME GEREKLİ - Tutar Uyuşmazlığı",IF(LEFT(P50,7)="Bekleni","Bekleniyor","Uygun"))))))</f>
        <v/>
      </c>
    </row>
    <row r="51">
      <c r="A51" s="26">
        <f>IF('DIVA Satislari'!I51="","",'DIVA Satislari'!I51)</f>
        <v/>
      </c>
      <c r="B51" s="26">
        <f>IF('DIVA Satislari'!I51="","",'DIVA Satislari'!R51)</f>
        <v/>
      </c>
      <c r="C51" s="26">
        <f>IF('DIVA Satislari'!I51="","",'DIVA Satislari'!M51)</f>
        <v/>
      </c>
      <c r="D51" s="27">
        <f>IF('DIVA Satislari'!I51="","",'DIVA Satislari'!H51)</f>
        <v/>
      </c>
      <c r="E51" s="26">
        <f>IF('DIVA Satislari'!I51="","",'DIVA Satislari'!O51)</f>
        <v/>
      </c>
      <c r="F51" s="26">
        <f>IF('DIVA Satislari'!I51="","",'DIVA Satislari'!AK51)</f>
        <v/>
      </c>
      <c r="G51" s="26">
        <f>IF('DIVA Satislari'!I51="","",'DIVA Satislari'!AO51)</f>
        <v/>
      </c>
      <c r="H51" s="27">
        <f>IF('DIVA Satislari'!I51="","",'DIVA Satislari'!AN51)</f>
        <v/>
      </c>
      <c r="I51" s="28">
        <f>IF('DIVA Satislari'!I51="","",'DIVA Satislari'!AQ51)</f>
        <v/>
      </c>
      <c r="J51" s="26">
        <f>IF('DIVA Satislari'!I51="","",'DIVA Satislari'!AR51)</f>
        <v/>
      </c>
      <c r="K51" s="26">
        <f>IF('DIVA Satislari'!I51="","",IFERROR(INDEX('E2E Nakliye Montaj'!$AS$3:$AS$1002,MATCH('DIVA Satislari'!AJ51,'E2E Nakliye Montaj'!$AM$3:$AM$1002,0)),"Eşleşme Yok"))</f>
        <v/>
      </c>
      <c r="L51" s="26">
        <f>IF('DIVA Satislari'!I51="","",IFERROR(INDEX('E2E Nakliye Montaj'!$AT$3:$AT$1002,MATCH('DIVA Satislari'!AJ51,'E2E Nakliye Montaj'!$AM$3:$AM$1002,0)),"Hayır"))</f>
        <v/>
      </c>
      <c r="M51" s="26">
        <f>IF('DIVA Satislari'!I51="","",IFERROR(INDEX('E2E Nakliye Montaj'!$AU$3:$AU$1002,MATCH('DIVA Satislari'!AJ51,'E2E Nakliye Montaj'!$AM$3:$AM$1002,0)),"Hayır"))</f>
        <v/>
      </c>
      <c r="N51" s="27">
        <f>IF('DIVA Satislari'!I51="","",IFERROR(INDEX('E2E Nakliye Montaj'!$AV$3:$AV$1002,MATCH('DIVA Satislari'!AJ51,'E2E Nakliye Montaj'!$AM$3:$AM$1002,0)),""))</f>
        <v/>
      </c>
      <c r="O51" s="26">
        <f>IF(OR(A51="",N51=""),"",IF(N51&lt;=H51,"Evet","HAYIR - RİSK"))</f>
        <v/>
      </c>
      <c r="P51" s="26">
        <f>IF(A51="","",IF(LEFT(J51,8)="Kural A ","Uygun - Hemen Ödenir (Yıl Sonu %75 Kontrolüne Tabi)",IF(OR(L51="Evet",M51="Evet"),IF(O51="Evet","Uygun","RİSK - Hakediş Süresi Aşıldı"),"Bekleniyor - Nakliye/Montaj Tamamlanmadı")))</f>
        <v/>
      </c>
      <c r="Q51" s="28">
        <f>IF(A51="","",SUMIFS('Hakedis Fatura Detay'!$G$3:$G$1200,'Hakedis Fatura Detay'!$H$3:$H$1200,'DIVA Satislari'!AJ51,'Hakedis Fatura Detay'!$F$3:$F$1200,"Fiyat Farkı")+SUMIFS('Hakedis Fatura Detay'!$G$3:$G$1200,'Hakedis Fatura Detay'!$H$3:$H$1200,'DIVA Satislari'!AJ51,'Hakedis Fatura Detay'!$F$3:$F$1200,"Bundle"))</f>
        <v/>
      </c>
      <c r="R51" s="28">
        <f>IF(A51="","",I51-Q51)</f>
        <v/>
      </c>
      <c r="S51" s="26">
        <f>IF(A51="","",IF(LEFT(P51,7)="Bekleni","N/A - Henüz Ödenmemeli",IF(LEFT(P51,4)="RİSK","İNCELEME GEREKLİ - Süre Aşımı",IF(R51=0,"Doğru",IF(R51&gt;0,"EKSİK ÖDENMİŞ","FAZLA ÖDENMİŞ")))))</f>
        <v/>
      </c>
      <c r="T51" s="30">
        <f>IF(A51="","",IF(F51&lt;&gt;"Evet","İNCELEME GEREKLİ - Kampanya Tanımsız",IF(G51&lt;&gt;"Evet","İNCELEME GEREKLİ - Tarih Dışı Satış",IF(LEFT(P51,4)="RİSK","İNCELEME GEREKLİ - Hakediş Süresi Aşıldı",IF(OR(S51="EKSİK ÖDENMİŞ",S51="FAZLA ÖDENMİŞ"),"İNCELEME GEREKLİ - Tutar Uyuşmazlığı",IF(LEFT(P51,7)="Bekleni","Bekleniyor","Uygun"))))))</f>
        <v/>
      </c>
    </row>
    <row r="52">
      <c r="A52" s="26">
        <f>IF('DIVA Satislari'!I52="","",'DIVA Satislari'!I52)</f>
        <v/>
      </c>
      <c r="B52" s="26">
        <f>IF('DIVA Satislari'!I52="","",'DIVA Satislari'!R52)</f>
        <v/>
      </c>
      <c r="C52" s="26">
        <f>IF('DIVA Satislari'!I52="","",'DIVA Satislari'!M52)</f>
        <v/>
      </c>
      <c r="D52" s="27">
        <f>IF('DIVA Satislari'!I52="","",'DIVA Satislari'!H52)</f>
        <v/>
      </c>
      <c r="E52" s="26">
        <f>IF('DIVA Satislari'!I52="","",'DIVA Satislari'!O52)</f>
        <v/>
      </c>
      <c r="F52" s="26">
        <f>IF('DIVA Satislari'!I52="","",'DIVA Satislari'!AK52)</f>
        <v/>
      </c>
      <c r="G52" s="26">
        <f>IF('DIVA Satislari'!I52="","",'DIVA Satislari'!AO52)</f>
        <v/>
      </c>
      <c r="H52" s="27">
        <f>IF('DIVA Satislari'!I52="","",'DIVA Satislari'!AN52)</f>
        <v/>
      </c>
      <c r="I52" s="28">
        <f>IF('DIVA Satislari'!I52="","",'DIVA Satislari'!AQ52)</f>
        <v/>
      </c>
      <c r="J52" s="26">
        <f>IF('DIVA Satislari'!I52="","",'DIVA Satislari'!AR52)</f>
        <v/>
      </c>
      <c r="K52" s="26">
        <f>IF('DIVA Satislari'!I52="","",IFERROR(INDEX('E2E Nakliye Montaj'!$AS$3:$AS$1002,MATCH('DIVA Satislari'!AJ52,'E2E Nakliye Montaj'!$AM$3:$AM$1002,0)),"Eşleşme Yok"))</f>
        <v/>
      </c>
      <c r="L52" s="26">
        <f>IF('DIVA Satislari'!I52="","",IFERROR(INDEX('E2E Nakliye Montaj'!$AT$3:$AT$1002,MATCH('DIVA Satislari'!AJ52,'E2E Nakliye Montaj'!$AM$3:$AM$1002,0)),"Hayır"))</f>
        <v/>
      </c>
      <c r="M52" s="26">
        <f>IF('DIVA Satislari'!I52="","",IFERROR(INDEX('E2E Nakliye Montaj'!$AU$3:$AU$1002,MATCH('DIVA Satislari'!AJ52,'E2E Nakliye Montaj'!$AM$3:$AM$1002,0)),"Hayır"))</f>
        <v/>
      </c>
      <c r="N52" s="27">
        <f>IF('DIVA Satislari'!I52="","",IFERROR(INDEX('E2E Nakliye Montaj'!$AV$3:$AV$1002,MATCH('DIVA Satislari'!AJ52,'E2E Nakliye Montaj'!$AM$3:$AM$1002,0)),""))</f>
        <v/>
      </c>
      <c r="O52" s="26">
        <f>IF(OR(A52="",N52=""),"",IF(N52&lt;=H52,"Evet","HAYIR - RİSK"))</f>
        <v/>
      </c>
      <c r="P52" s="26">
        <f>IF(A52="","",IF(LEFT(J52,8)="Kural A ","Uygun - Hemen Ödenir (Yıl Sonu %75 Kontrolüne Tabi)",IF(OR(L52="Evet",M52="Evet"),IF(O52="Evet","Uygun","RİSK - Hakediş Süresi Aşıldı"),"Bekleniyor - Nakliye/Montaj Tamamlanmadı")))</f>
        <v/>
      </c>
      <c r="Q52" s="28">
        <f>IF(A52="","",SUMIFS('Hakedis Fatura Detay'!$G$3:$G$1200,'Hakedis Fatura Detay'!$H$3:$H$1200,'DIVA Satislari'!AJ52,'Hakedis Fatura Detay'!$F$3:$F$1200,"Fiyat Farkı")+SUMIFS('Hakedis Fatura Detay'!$G$3:$G$1200,'Hakedis Fatura Detay'!$H$3:$H$1200,'DIVA Satislari'!AJ52,'Hakedis Fatura Detay'!$F$3:$F$1200,"Bundle"))</f>
        <v/>
      </c>
      <c r="R52" s="28">
        <f>IF(A52="","",I52-Q52)</f>
        <v/>
      </c>
      <c r="S52" s="26">
        <f>IF(A52="","",IF(LEFT(P52,7)="Bekleni","N/A - Henüz Ödenmemeli",IF(LEFT(P52,4)="RİSK","İNCELEME GEREKLİ - Süre Aşımı",IF(R52=0,"Doğru",IF(R52&gt;0,"EKSİK ÖDENMİŞ","FAZLA ÖDENMİŞ")))))</f>
        <v/>
      </c>
      <c r="T52" s="30">
        <f>IF(A52="","",IF(F52&lt;&gt;"Evet","İNCELEME GEREKLİ - Kampanya Tanımsız",IF(G52&lt;&gt;"Evet","İNCELEME GEREKLİ - Tarih Dışı Satış",IF(LEFT(P52,4)="RİSK","İNCELEME GEREKLİ - Hakediş Süresi Aşıldı",IF(OR(S52="EKSİK ÖDENMİŞ",S52="FAZLA ÖDENMİŞ"),"İNCELEME GEREKLİ - Tutar Uyuşmazlığı",IF(LEFT(P52,7)="Bekleni","Bekleniyor","Uygun"))))))</f>
        <v/>
      </c>
    </row>
    <row r="53">
      <c r="A53" s="26">
        <f>IF('DIVA Satislari'!I53="","",'DIVA Satislari'!I53)</f>
        <v/>
      </c>
      <c r="B53" s="26">
        <f>IF('DIVA Satislari'!I53="","",'DIVA Satislari'!R53)</f>
        <v/>
      </c>
      <c r="C53" s="26">
        <f>IF('DIVA Satislari'!I53="","",'DIVA Satislari'!M53)</f>
        <v/>
      </c>
      <c r="D53" s="27">
        <f>IF('DIVA Satislari'!I53="","",'DIVA Satislari'!H53)</f>
        <v/>
      </c>
      <c r="E53" s="26">
        <f>IF('DIVA Satislari'!I53="","",'DIVA Satislari'!O53)</f>
        <v/>
      </c>
      <c r="F53" s="26">
        <f>IF('DIVA Satislari'!I53="","",'DIVA Satislari'!AK53)</f>
        <v/>
      </c>
      <c r="G53" s="26">
        <f>IF('DIVA Satislari'!I53="","",'DIVA Satislari'!AO53)</f>
        <v/>
      </c>
      <c r="H53" s="27">
        <f>IF('DIVA Satislari'!I53="","",'DIVA Satislari'!AN53)</f>
        <v/>
      </c>
      <c r="I53" s="28">
        <f>IF('DIVA Satislari'!I53="","",'DIVA Satislari'!AQ53)</f>
        <v/>
      </c>
      <c r="J53" s="26">
        <f>IF('DIVA Satislari'!I53="","",'DIVA Satislari'!AR53)</f>
        <v/>
      </c>
      <c r="K53" s="26">
        <f>IF('DIVA Satislari'!I53="","",IFERROR(INDEX('E2E Nakliye Montaj'!$AS$3:$AS$1002,MATCH('DIVA Satislari'!AJ53,'E2E Nakliye Montaj'!$AM$3:$AM$1002,0)),"Eşleşme Yok"))</f>
        <v/>
      </c>
      <c r="L53" s="26">
        <f>IF('DIVA Satislari'!I53="","",IFERROR(INDEX('E2E Nakliye Montaj'!$AT$3:$AT$1002,MATCH('DIVA Satislari'!AJ53,'E2E Nakliye Montaj'!$AM$3:$AM$1002,0)),"Hayır"))</f>
        <v/>
      </c>
      <c r="M53" s="26">
        <f>IF('DIVA Satislari'!I53="","",IFERROR(INDEX('E2E Nakliye Montaj'!$AU$3:$AU$1002,MATCH('DIVA Satislari'!AJ53,'E2E Nakliye Montaj'!$AM$3:$AM$1002,0)),"Hayır"))</f>
        <v/>
      </c>
      <c r="N53" s="27">
        <f>IF('DIVA Satislari'!I53="","",IFERROR(INDEX('E2E Nakliye Montaj'!$AV$3:$AV$1002,MATCH('DIVA Satislari'!AJ53,'E2E Nakliye Montaj'!$AM$3:$AM$1002,0)),""))</f>
        <v/>
      </c>
      <c r="O53" s="26">
        <f>IF(OR(A53="",N53=""),"",IF(N53&lt;=H53,"Evet","HAYIR - RİSK"))</f>
        <v/>
      </c>
      <c r="P53" s="26">
        <f>IF(A53="","",IF(LEFT(J53,8)="Kural A ","Uygun - Hemen Ödenir (Yıl Sonu %75 Kontrolüne Tabi)",IF(OR(L53="Evet",M53="Evet"),IF(O53="Evet","Uygun","RİSK - Hakediş Süresi Aşıldı"),"Bekleniyor - Nakliye/Montaj Tamamlanmadı")))</f>
        <v/>
      </c>
      <c r="Q53" s="28">
        <f>IF(A53="","",SUMIFS('Hakedis Fatura Detay'!$G$3:$G$1200,'Hakedis Fatura Detay'!$H$3:$H$1200,'DIVA Satislari'!AJ53,'Hakedis Fatura Detay'!$F$3:$F$1200,"Fiyat Farkı")+SUMIFS('Hakedis Fatura Detay'!$G$3:$G$1200,'Hakedis Fatura Detay'!$H$3:$H$1200,'DIVA Satislari'!AJ53,'Hakedis Fatura Detay'!$F$3:$F$1200,"Bundle"))</f>
        <v/>
      </c>
      <c r="R53" s="28">
        <f>IF(A53="","",I53-Q53)</f>
        <v/>
      </c>
      <c r="S53" s="26">
        <f>IF(A53="","",IF(LEFT(P53,7)="Bekleni","N/A - Henüz Ödenmemeli",IF(LEFT(P53,4)="RİSK","İNCELEME GEREKLİ - Süre Aşımı",IF(R53=0,"Doğru",IF(R53&gt;0,"EKSİK ÖDENMİŞ","FAZLA ÖDENMİŞ")))))</f>
        <v/>
      </c>
      <c r="T53" s="30">
        <f>IF(A53="","",IF(F53&lt;&gt;"Evet","İNCELEME GEREKLİ - Kampanya Tanımsız",IF(G53&lt;&gt;"Evet","İNCELEME GEREKLİ - Tarih Dışı Satış",IF(LEFT(P53,4)="RİSK","İNCELEME GEREKLİ - Hakediş Süresi Aşıldı",IF(OR(S53="EKSİK ÖDENMİŞ",S53="FAZLA ÖDENMİŞ"),"İNCELEME GEREKLİ - Tutar Uyuşmazlığı",IF(LEFT(P53,7)="Bekleni","Bekleniyor","Uygun"))))))</f>
        <v/>
      </c>
    </row>
    <row r="54">
      <c r="A54" s="26">
        <f>IF('DIVA Satislari'!I54="","",'DIVA Satislari'!I54)</f>
        <v/>
      </c>
      <c r="B54" s="26">
        <f>IF('DIVA Satislari'!I54="","",'DIVA Satislari'!R54)</f>
        <v/>
      </c>
      <c r="C54" s="26">
        <f>IF('DIVA Satislari'!I54="","",'DIVA Satislari'!M54)</f>
        <v/>
      </c>
      <c r="D54" s="27">
        <f>IF('DIVA Satislari'!I54="","",'DIVA Satislari'!H54)</f>
        <v/>
      </c>
      <c r="E54" s="26">
        <f>IF('DIVA Satislari'!I54="","",'DIVA Satislari'!O54)</f>
        <v/>
      </c>
      <c r="F54" s="26">
        <f>IF('DIVA Satislari'!I54="","",'DIVA Satislari'!AK54)</f>
        <v/>
      </c>
      <c r="G54" s="26">
        <f>IF('DIVA Satislari'!I54="","",'DIVA Satislari'!AO54)</f>
        <v/>
      </c>
      <c r="H54" s="27">
        <f>IF('DIVA Satislari'!I54="","",'DIVA Satislari'!AN54)</f>
        <v/>
      </c>
      <c r="I54" s="28">
        <f>IF('DIVA Satislari'!I54="","",'DIVA Satislari'!AQ54)</f>
        <v/>
      </c>
      <c r="J54" s="26">
        <f>IF('DIVA Satislari'!I54="","",'DIVA Satislari'!AR54)</f>
        <v/>
      </c>
      <c r="K54" s="26">
        <f>IF('DIVA Satislari'!I54="","",IFERROR(INDEX('E2E Nakliye Montaj'!$AS$3:$AS$1002,MATCH('DIVA Satislari'!AJ54,'E2E Nakliye Montaj'!$AM$3:$AM$1002,0)),"Eşleşme Yok"))</f>
        <v/>
      </c>
      <c r="L54" s="26">
        <f>IF('DIVA Satislari'!I54="","",IFERROR(INDEX('E2E Nakliye Montaj'!$AT$3:$AT$1002,MATCH('DIVA Satislari'!AJ54,'E2E Nakliye Montaj'!$AM$3:$AM$1002,0)),"Hayır"))</f>
        <v/>
      </c>
      <c r="M54" s="26">
        <f>IF('DIVA Satislari'!I54="","",IFERROR(INDEX('E2E Nakliye Montaj'!$AU$3:$AU$1002,MATCH('DIVA Satislari'!AJ54,'E2E Nakliye Montaj'!$AM$3:$AM$1002,0)),"Hayır"))</f>
        <v/>
      </c>
      <c r="N54" s="27">
        <f>IF('DIVA Satislari'!I54="","",IFERROR(INDEX('E2E Nakliye Montaj'!$AV$3:$AV$1002,MATCH('DIVA Satislari'!AJ54,'E2E Nakliye Montaj'!$AM$3:$AM$1002,0)),""))</f>
        <v/>
      </c>
      <c r="O54" s="26">
        <f>IF(OR(A54="",N54=""),"",IF(N54&lt;=H54,"Evet","HAYIR - RİSK"))</f>
        <v/>
      </c>
      <c r="P54" s="26">
        <f>IF(A54="","",IF(LEFT(J54,8)="Kural A ","Uygun - Hemen Ödenir (Yıl Sonu %75 Kontrolüne Tabi)",IF(OR(L54="Evet",M54="Evet"),IF(O54="Evet","Uygun","RİSK - Hakediş Süresi Aşıldı"),"Bekleniyor - Nakliye/Montaj Tamamlanmadı")))</f>
        <v/>
      </c>
      <c r="Q54" s="28">
        <f>IF(A54="","",SUMIFS('Hakedis Fatura Detay'!$G$3:$G$1200,'Hakedis Fatura Detay'!$H$3:$H$1200,'DIVA Satislari'!AJ54,'Hakedis Fatura Detay'!$F$3:$F$1200,"Fiyat Farkı")+SUMIFS('Hakedis Fatura Detay'!$G$3:$G$1200,'Hakedis Fatura Detay'!$H$3:$H$1200,'DIVA Satislari'!AJ54,'Hakedis Fatura Detay'!$F$3:$F$1200,"Bundle"))</f>
        <v/>
      </c>
      <c r="R54" s="28">
        <f>IF(A54="","",I54-Q54)</f>
        <v/>
      </c>
      <c r="S54" s="26">
        <f>IF(A54="","",IF(LEFT(P54,7)="Bekleni","N/A - Henüz Ödenmemeli",IF(LEFT(P54,4)="RİSK","İNCELEME GEREKLİ - Süre Aşımı",IF(R54=0,"Doğru",IF(R54&gt;0,"EKSİK ÖDENMİŞ","FAZLA ÖDENMİŞ")))))</f>
        <v/>
      </c>
      <c r="T54" s="30">
        <f>IF(A54="","",IF(F54&lt;&gt;"Evet","İNCELEME GEREKLİ - Kampanya Tanımsız",IF(G54&lt;&gt;"Evet","İNCELEME GEREKLİ - Tarih Dışı Satış",IF(LEFT(P54,4)="RİSK","İNCELEME GEREKLİ - Hakediş Süresi Aşıldı",IF(OR(S54="EKSİK ÖDENMİŞ",S54="FAZLA ÖDENMİŞ"),"İNCELEME GEREKLİ - Tutar Uyuşmazlığı",IF(LEFT(P54,7)="Bekleni","Bekleniyor","Uygun"))))))</f>
        <v/>
      </c>
    </row>
    <row r="55">
      <c r="A55" s="26">
        <f>IF('DIVA Satislari'!I55="","",'DIVA Satislari'!I55)</f>
        <v/>
      </c>
      <c r="B55" s="26">
        <f>IF('DIVA Satislari'!I55="","",'DIVA Satislari'!R55)</f>
        <v/>
      </c>
      <c r="C55" s="26">
        <f>IF('DIVA Satislari'!I55="","",'DIVA Satislari'!M55)</f>
        <v/>
      </c>
      <c r="D55" s="27">
        <f>IF('DIVA Satislari'!I55="","",'DIVA Satislari'!H55)</f>
        <v/>
      </c>
      <c r="E55" s="26">
        <f>IF('DIVA Satislari'!I55="","",'DIVA Satislari'!O55)</f>
        <v/>
      </c>
      <c r="F55" s="26">
        <f>IF('DIVA Satislari'!I55="","",'DIVA Satislari'!AK55)</f>
        <v/>
      </c>
      <c r="G55" s="26">
        <f>IF('DIVA Satislari'!I55="","",'DIVA Satislari'!AO55)</f>
        <v/>
      </c>
      <c r="H55" s="27">
        <f>IF('DIVA Satislari'!I55="","",'DIVA Satislari'!AN55)</f>
        <v/>
      </c>
      <c r="I55" s="28">
        <f>IF('DIVA Satislari'!I55="","",'DIVA Satislari'!AQ55)</f>
        <v/>
      </c>
      <c r="J55" s="26">
        <f>IF('DIVA Satislari'!I55="","",'DIVA Satislari'!AR55)</f>
        <v/>
      </c>
      <c r="K55" s="26">
        <f>IF('DIVA Satislari'!I55="","",IFERROR(INDEX('E2E Nakliye Montaj'!$AS$3:$AS$1002,MATCH('DIVA Satislari'!AJ55,'E2E Nakliye Montaj'!$AM$3:$AM$1002,0)),"Eşleşme Yok"))</f>
        <v/>
      </c>
      <c r="L55" s="26">
        <f>IF('DIVA Satislari'!I55="","",IFERROR(INDEX('E2E Nakliye Montaj'!$AT$3:$AT$1002,MATCH('DIVA Satislari'!AJ55,'E2E Nakliye Montaj'!$AM$3:$AM$1002,0)),"Hayır"))</f>
        <v/>
      </c>
      <c r="M55" s="26">
        <f>IF('DIVA Satislari'!I55="","",IFERROR(INDEX('E2E Nakliye Montaj'!$AU$3:$AU$1002,MATCH('DIVA Satislari'!AJ55,'E2E Nakliye Montaj'!$AM$3:$AM$1002,0)),"Hayır"))</f>
        <v/>
      </c>
      <c r="N55" s="27">
        <f>IF('DIVA Satislari'!I55="","",IFERROR(INDEX('E2E Nakliye Montaj'!$AV$3:$AV$1002,MATCH('DIVA Satislari'!AJ55,'E2E Nakliye Montaj'!$AM$3:$AM$1002,0)),""))</f>
        <v/>
      </c>
      <c r="O55" s="26">
        <f>IF(OR(A55="",N55=""),"",IF(N55&lt;=H55,"Evet","HAYIR - RİSK"))</f>
        <v/>
      </c>
      <c r="P55" s="26">
        <f>IF(A55="","",IF(LEFT(J55,8)="Kural A ","Uygun - Hemen Ödenir (Yıl Sonu %75 Kontrolüne Tabi)",IF(OR(L55="Evet",M55="Evet"),IF(O55="Evet","Uygun","RİSK - Hakediş Süresi Aşıldı"),"Bekleniyor - Nakliye/Montaj Tamamlanmadı")))</f>
        <v/>
      </c>
      <c r="Q55" s="28">
        <f>IF(A55="","",SUMIFS('Hakedis Fatura Detay'!$G$3:$G$1200,'Hakedis Fatura Detay'!$H$3:$H$1200,'DIVA Satislari'!AJ55,'Hakedis Fatura Detay'!$F$3:$F$1200,"Fiyat Farkı")+SUMIFS('Hakedis Fatura Detay'!$G$3:$G$1200,'Hakedis Fatura Detay'!$H$3:$H$1200,'DIVA Satislari'!AJ55,'Hakedis Fatura Detay'!$F$3:$F$1200,"Bundle"))</f>
        <v/>
      </c>
      <c r="R55" s="28">
        <f>IF(A55="","",I55-Q55)</f>
        <v/>
      </c>
      <c r="S55" s="26">
        <f>IF(A55="","",IF(LEFT(P55,7)="Bekleni","N/A - Henüz Ödenmemeli",IF(LEFT(P55,4)="RİSK","İNCELEME GEREKLİ - Süre Aşımı",IF(R55=0,"Doğru",IF(R55&gt;0,"EKSİK ÖDENMİŞ","FAZLA ÖDENMİŞ")))))</f>
        <v/>
      </c>
      <c r="T55" s="30">
        <f>IF(A55="","",IF(F55&lt;&gt;"Evet","İNCELEME GEREKLİ - Kampanya Tanımsız",IF(G55&lt;&gt;"Evet","İNCELEME GEREKLİ - Tarih Dışı Satış",IF(LEFT(P55,4)="RİSK","İNCELEME GEREKLİ - Hakediş Süresi Aşıldı",IF(OR(S55="EKSİK ÖDENMİŞ",S55="FAZLA ÖDENMİŞ"),"İNCELEME GEREKLİ - Tutar Uyuşmazlığı",IF(LEFT(P55,7)="Bekleni","Bekleniyor","Uygun"))))))</f>
        <v/>
      </c>
    </row>
    <row r="56">
      <c r="A56" s="26">
        <f>IF('DIVA Satislari'!I56="","",'DIVA Satislari'!I56)</f>
        <v/>
      </c>
      <c r="B56" s="26">
        <f>IF('DIVA Satislari'!I56="","",'DIVA Satislari'!R56)</f>
        <v/>
      </c>
      <c r="C56" s="26">
        <f>IF('DIVA Satislari'!I56="","",'DIVA Satislari'!M56)</f>
        <v/>
      </c>
      <c r="D56" s="27">
        <f>IF('DIVA Satislari'!I56="","",'DIVA Satislari'!H56)</f>
        <v/>
      </c>
      <c r="E56" s="26">
        <f>IF('DIVA Satislari'!I56="","",'DIVA Satislari'!O56)</f>
        <v/>
      </c>
      <c r="F56" s="26">
        <f>IF('DIVA Satislari'!I56="","",'DIVA Satislari'!AK56)</f>
        <v/>
      </c>
      <c r="G56" s="26">
        <f>IF('DIVA Satislari'!I56="","",'DIVA Satislari'!AO56)</f>
        <v/>
      </c>
      <c r="H56" s="27">
        <f>IF('DIVA Satislari'!I56="","",'DIVA Satislari'!AN56)</f>
        <v/>
      </c>
      <c r="I56" s="28">
        <f>IF('DIVA Satislari'!I56="","",'DIVA Satislari'!AQ56)</f>
        <v/>
      </c>
      <c r="J56" s="26">
        <f>IF('DIVA Satislari'!I56="","",'DIVA Satislari'!AR56)</f>
        <v/>
      </c>
      <c r="K56" s="26">
        <f>IF('DIVA Satislari'!I56="","",IFERROR(INDEX('E2E Nakliye Montaj'!$AS$3:$AS$1002,MATCH('DIVA Satislari'!AJ56,'E2E Nakliye Montaj'!$AM$3:$AM$1002,0)),"Eşleşme Yok"))</f>
        <v/>
      </c>
      <c r="L56" s="26">
        <f>IF('DIVA Satislari'!I56="","",IFERROR(INDEX('E2E Nakliye Montaj'!$AT$3:$AT$1002,MATCH('DIVA Satislari'!AJ56,'E2E Nakliye Montaj'!$AM$3:$AM$1002,0)),"Hayır"))</f>
        <v/>
      </c>
      <c r="M56" s="26">
        <f>IF('DIVA Satislari'!I56="","",IFERROR(INDEX('E2E Nakliye Montaj'!$AU$3:$AU$1002,MATCH('DIVA Satislari'!AJ56,'E2E Nakliye Montaj'!$AM$3:$AM$1002,0)),"Hayır"))</f>
        <v/>
      </c>
      <c r="N56" s="27">
        <f>IF('DIVA Satislari'!I56="","",IFERROR(INDEX('E2E Nakliye Montaj'!$AV$3:$AV$1002,MATCH('DIVA Satislari'!AJ56,'E2E Nakliye Montaj'!$AM$3:$AM$1002,0)),""))</f>
        <v/>
      </c>
      <c r="O56" s="26">
        <f>IF(OR(A56="",N56=""),"",IF(N56&lt;=H56,"Evet","HAYIR - RİSK"))</f>
        <v/>
      </c>
      <c r="P56" s="26">
        <f>IF(A56="","",IF(LEFT(J56,8)="Kural A ","Uygun - Hemen Ödenir (Yıl Sonu %75 Kontrolüne Tabi)",IF(OR(L56="Evet",M56="Evet"),IF(O56="Evet","Uygun","RİSK - Hakediş Süresi Aşıldı"),"Bekleniyor - Nakliye/Montaj Tamamlanmadı")))</f>
        <v/>
      </c>
      <c r="Q56" s="28">
        <f>IF(A56="","",SUMIFS('Hakedis Fatura Detay'!$G$3:$G$1200,'Hakedis Fatura Detay'!$H$3:$H$1200,'DIVA Satislari'!AJ56,'Hakedis Fatura Detay'!$F$3:$F$1200,"Fiyat Farkı")+SUMIFS('Hakedis Fatura Detay'!$G$3:$G$1200,'Hakedis Fatura Detay'!$H$3:$H$1200,'DIVA Satislari'!AJ56,'Hakedis Fatura Detay'!$F$3:$F$1200,"Bundle"))</f>
        <v/>
      </c>
      <c r="R56" s="28">
        <f>IF(A56="","",I56-Q56)</f>
        <v/>
      </c>
      <c r="S56" s="26">
        <f>IF(A56="","",IF(LEFT(P56,7)="Bekleni","N/A - Henüz Ödenmemeli",IF(LEFT(P56,4)="RİSK","İNCELEME GEREKLİ - Süre Aşımı",IF(R56=0,"Doğru",IF(R56&gt;0,"EKSİK ÖDENMİŞ","FAZLA ÖDENMİŞ")))))</f>
        <v/>
      </c>
      <c r="T56" s="30">
        <f>IF(A56="","",IF(F56&lt;&gt;"Evet","İNCELEME GEREKLİ - Kampanya Tanımsız",IF(G56&lt;&gt;"Evet","İNCELEME GEREKLİ - Tarih Dışı Satış",IF(LEFT(P56,4)="RİSK","İNCELEME GEREKLİ - Hakediş Süresi Aşıldı",IF(OR(S56="EKSİK ÖDENMİŞ",S56="FAZLA ÖDENMİŞ"),"İNCELEME GEREKLİ - Tutar Uyuşmazlığı",IF(LEFT(P56,7)="Bekleni","Bekleniyor","Uygun"))))))</f>
        <v/>
      </c>
    </row>
    <row r="57">
      <c r="A57" s="26">
        <f>IF('DIVA Satislari'!I57="","",'DIVA Satislari'!I57)</f>
        <v/>
      </c>
      <c r="B57" s="26">
        <f>IF('DIVA Satislari'!I57="","",'DIVA Satislari'!R57)</f>
        <v/>
      </c>
      <c r="C57" s="26">
        <f>IF('DIVA Satislari'!I57="","",'DIVA Satislari'!M57)</f>
        <v/>
      </c>
      <c r="D57" s="27">
        <f>IF('DIVA Satislari'!I57="","",'DIVA Satislari'!H57)</f>
        <v/>
      </c>
      <c r="E57" s="26">
        <f>IF('DIVA Satislari'!I57="","",'DIVA Satislari'!O57)</f>
        <v/>
      </c>
      <c r="F57" s="26">
        <f>IF('DIVA Satislari'!I57="","",'DIVA Satislari'!AK57)</f>
        <v/>
      </c>
      <c r="G57" s="26">
        <f>IF('DIVA Satislari'!I57="","",'DIVA Satislari'!AO57)</f>
        <v/>
      </c>
      <c r="H57" s="27">
        <f>IF('DIVA Satislari'!I57="","",'DIVA Satislari'!AN57)</f>
        <v/>
      </c>
      <c r="I57" s="28">
        <f>IF('DIVA Satislari'!I57="","",'DIVA Satislari'!AQ57)</f>
        <v/>
      </c>
      <c r="J57" s="26">
        <f>IF('DIVA Satislari'!I57="","",'DIVA Satislari'!AR57)</f>
        <v/>
      </c>
      <c r="K57" s="26">
        <f>IF('DIVA Satislari'!I57="","",IFERROR(INDEX('E2E Nakliye Montaj'!$AS$3:$AS$1002,MATCH('DIVA Satislari'!AJ57,'E2E Nakliye Montaj'!$AM$3:$AM$1002,0)),"Eşleşme Yok"))</f>
        <v/>
      </c>
      <c r="L57" s="26">
        <f>IF('DIVA Satislari'!I57="","",IFERROR(INDEX('E2E Nakliye Montaj'!$AT$3:$AT$1002,MATCH('DIVA Satislari'!AJ57,'E2E Nakliye Montaj'!$AM$3:$AM$1002,0)),"Hayır"))</f>
        <v/>
      </c>
      <c r="M57" s="26">
        <f>IF('DIVA Satislari'!I57="","",IFERROR(INDEX('E2E Nakliye Montaj'!$AU$3:$AU$1002,MATCH('DIVA Satislari'!AJ57,'E2E Nakliye Montaj'!$AM$3:$AM$1002,0)),"Hayır"))</f>
        <v/>
      </c>
      <c r="N57" s="27">
        <f>IF('DIVA Satislari'!I57="","",IFERROR(INDEX('E2E Nakliye Montaj'!$AV$3:$AV$1002,MATCH('DIVA Satislari'!AJ57,'E2E Nakliye Montaj'!$AM$3:$AM$1002,0)),""))</f>
        <v/>
      </c>
      <c r="O57" s="26">
        <f>IF(OR(A57="",N57=""),"",IF(N57&lt;=H57,"Evet","HAYIR - RİSK"))</f>
        <v/>
      </c>
      <c r="P57" s="26">
        <f>IF(A57="","",IF(LEFT(J57,8)="Kural A ","Uygun - Hemen Ödenir (Yıl Sonu %75 Kontrolüne Tabi)",IF(OR(L57="Evet",M57="Evet"),IF(O57="Evet","Uygun","RİSK - Hakediş Süresi Aşıldı"),"Bekleniyor - Nakliye/Montaj Tamamlanmadı")))</f>
        <v/>
      </c>
      <c r="Q57" s="28">
        <f>IF(A57="","",SUMIFS('Hakedis Fatura Detay'!$G$3:$G$1200,'Hakedis Fatura Detay'!$H$3:$H$1200,'DIVA Satislari'!AJ57,'Hakedis Fatura Detay'!$F$3:$F$1200,"Fiyat Farkı")+SUMIFS('Hakedis Fatura Detay'!$G$3:$G$1200,'Hakedis Fatura Detay'!$H$3:$H$1200,'DIVA Satislari'!AJ57,'Hakedis Fatura Detay'!$F$3:$F$1200,"Bundle"))</f>
        <v/>
      </c>
      <c r="R57" s="28">
        <f>IF(A57="","",I57-Q57)</f>
        <v/>
      </c>
      <c r="S57" s="26">
        <f>IF(A57="","",IF(LEFT(P57,7)="Bekleni","N/A - Henüz Ödenmemeli",IF(LEFT(P57,4)="RİSK","İNCELEME GEREKLİ - Süre Aşımı",IF(R57=0,"Doğru",IF(R57&gt;0,"EKSİK ÖDENMİŞ","FAZLA ÖDENMİŞ")))))</f>
        <v/>
      </c>
      <c r="T57" s="30">
        <f>IF(A57="","",IF(F57&lt;&gt;"Evet","İNCELEME GEREKLİ - Kampanya Tanımsız",IF(G57&lt;&gt;"Evet","İNCELEME GEREKLİ - Tarih Dışı Satış",IF(LEFT(P57,4)="RİSK","İNCELEME GEREKLİ - Hakediş Süresi Aşıldı",IF(OR(S57="EKSİK ÖDENMİŞ",S57="FAZLA ÖDENMİŞ"),"İNCELEME GEREKLİ - Tutar Uyuşmazlığı",IF(LEFT(P57,7)="Bekleni","Bekleniyor","Uygun"))))))</f>
        <v/>
      </c>
    </row>
    <row r="58">
      <c r="A58" s="26">
        <f>IF('DIVA Satislari'!I58="","",'DIVA Satislari'!I58)</f>
        <v/>
      </c>
      <c r="B58" s="26">
        <f>IF('DIVA Satislari'!I58="","",'DIVA Satislari'!R58)</f>
        <v/>
      </c>
      <c r="C58" s="26">
        <f>IF('DIVA Satislari'!I58="","",'DIVA Satislari'!M58)</f>
        <v/>
      </c>
      <c r="D58" s="27">
        <f>IF('DIVA Satislari'!I58="","",'DIVA Satislari'!H58)</f>
        <v/>
      </c>
      <c r="E58" s="26">
        <f>IF('DIVA Satislari'!I58="","",'DIVA Satislari'!O58)</f>
        <v/>
      </c>
      <c r="F58" s="26">
        <f>IF('DIVA Satislari'!I58="","",'DIVA Satislari'!AK58)</f>
        <v/>
      </c>
      <c r="G58" s="26">
        <f>IF('DIVA Satislari'!I58="","",'DIVA Satislari'!AO58)</f>
        <v/>
      </c>
      <c r="H58" s="27">
        <f>IF('DIVA Satislari'!I58="","",'DIVA Satislari'!AN58)</f>
        <v/>
      </c>
      <c r="I58" s="28">
        <f>IF('DIVA Satislari'!I58="","",'DIVA Satislari'!AQ58)</f>
        <v/>
      </c>
      <c r="J58" s="26">
        <f>IF('DIVA Satislari'!I58="","",'DIVA Satislari'!AR58)</f>
        <v/>
      </c>
      <c r="K58" s="26">
        <f>IF('DIVA Satislari'!I58="","",IFERROR(INDEX('E2E Nakliye Montaj'!$AS$3:$AS$1002,MATCH('DIVA Satislari'!AJ58,'E2E Nakliye Montaj'!$AM$3:$AM$1002,0)),"Eşleşme Yok"))</f>
        <v/>
      </c>
      <c r="L58" s="26">
        <f>IF('DIVA Satislari'!I58="","",IFERROR(INDEX('E2E Nakliye Montaj'!$AT$3:$AT$1002,MATCH('DIVA Satislari'!AJ58,'E2E Nakliye Montaj'!$AM$3:$AM$1002,0)),"Hayır"))</f>
        <v/>
      </c>
      <c r="M58" s="26">
        <f>IF('DIVA Satislari'!I58="","",IFERROR(INDEX('E2E Nakliye Montaj'!$AU$3:$AU$1002,MATCH('DIVA Satislari'!AJ58,'E2E Nakliye Montaj'!$AM$3:$AM$1002,0)),"Hayır"))</f>
        <v/>
      </c>
      <c r="N58" s="27">
        <f>IF('DIVA Satislari'!I58="","",IFERROR(INDEX('E2E Nakliye Montaj'!$AV$3:$AV$1002,MATCH('DIVA Satislari'!AJ58,'E2E Nakliye Montaj'!$AM$3:$AM$1002,0)),""))</f>
        <v/>
      </c>
      <c r="O58" s="26">
        <f>IF(OR(A58="",N58=""),"",IF(N58&lt;=H58,"Evet","HAYIR - RİSK"))</f>
        <v/>
      </c>
      <c r="P58" s="26">
        <f>IF(A58="","",IF(LEFT(J58,8)="Kural A ","Uygun - Hemen Ödenir (Yıl Sonu %75 Kontrolüne Tabi)",IF(OR(L58="Evet",M58="Evet"),IF(O58="Evet","Uygun","RİSK - Hakediş Süresi Aşıldı"),"Bekleniyor - Nakliye/Montaj Tamamlanmadı")))</f>
        <v/>
      </c>
      <c r="Q58" s="28">
        <f>IF(A58="","",SUMIFS('Hakedis Fatura Detay'!$G$3:$G$1200,'Hakedis Fatura Detay'!$H$3:$H$1200,'DIVA Satislari'!AJ58,'Hakedis Fatura Detay'!$F$3:$F$1200,"Fiyat Farkı")+SUMIFS('Hakedis Fatura Detay'!$G$3:$G$1200,'Hakedis Fatura Detay'!$H$3:$H$1200,'DIVA Satislari'!AJ58,'Hakedis Fatura Detay'!$F$3:$F$1200,"Bundle"))</f>
        <v/>
      </c>
      <c r="R58" s="28">
        <f>IF(A58="","",I58-Q58)</f>
        <v/>
      </c>
      <c r="S58" s="26">
        <f>IF(A58="","",IF(LEFT(P58,7)="Bekleni","N/A - Henüz Ödenmemeli",IF(LEFT(P58,4)="RİSK","İNCELEME GEREKLİ - Süre Aşımı",IF(R58=0,"Doğru",IF(R58&gt;0,"EKSİK ÖDENMİŞ","FAZLA ÖDENMİŞ")))))</f>
        <v/>
      </c>
      <c r="T58" s="30">
        <f>IF(A58="","",IF(F58&lt;&gt;"Evet","İNCELEME GEREKLİ - Kampanya Tanımsız",IF(G58&lt;&gt;"Evet","İNCELEME GEREKLİ - Tarih Dışı Satış",IF(LEFT(P58,4)="RİSK","İNCELEME GEREKLİ - Hakediş Süresi Aşıldı",IF(OR(S58="EKSİK ÖDENMİŞ",S58="FAZLA ÖDENMİŞ"),"İNCELEME GEREKLİ - Tutar Uyuşmazlığı",IF(LEFT(P58,7)="Bekleni","Bekleniyor","Uygun"))))))</f>
        <v/>
      </c>
    </row>
    <row r="59">
      <c r="A59" s="26">
        <f>IF('DIVA Satislari'!I59="","",'DIVA Satislari'!I59)</f>
        <v/>
      </c>
      <c r="B59" s="26">
        <f>IF('DIVA Satislari'!I59="","",'DIVA Satislari'!R59)</f>
        <v/>
      </c>
      <c r="C59" s="26">
        <f>IF('DIVA Satislari'!I59="","",'DIVA Satislari'!M59)</f>
        <v/>
      </c>
      <c r="D59" s="27">
        <f>IF('DIVA Satislari'!I59="","",'DIVA Satislari'!H59)</f>
        <v/>
      </c>
      <c r="E59" s="26">
        <f>IF('DIVA Satislari'!I59="","",'DIVA Satislari'!O59)</f>
        <v/>
      </c>
      <c r="F59" s="26">
        <f>IF('DIVA Satislari'!I59="","",'DIVA Satislari'!AK59)</f>
        <v/>
      </c>
      <c r="G59" s="26">
        <f>IF('DIVA Satislari'!I59="","",'DIVA Satislari'!AO59)</f>
        <v/>
      </c>
      <c r="H59" s="27">
        <f>IF('DIVA Satislari'!I59="","",'DIVA Satislari'!AN59)</f>
        <v/>
      </c>
      <c r="I59" s="28">
        <f>IF('DIVA Satislari'!I59="","",'DIVA Satislari'!AQ59)</f>
        <v/>
      </c>
      <c r="J59" s="26">
        <f>IF('DIVA Satislari'!I59="","",'DIVA Satislari'!AR59)</f>
        <v/>
      </c>
      <c r="K59" s="26">
        <f>IF('DIVA Satislari'!I59="","",IFERROR(INDEX('E2E Nakliye Montaj'!$AS$3:$AS$1002,MATCH('DIVA Satislari'!AJ59,'E2E Nakliye Montaj'!$AM$3:$AM$1002,0)),"Eşleşme Yok"))</f>
        <v/>
      </c>
      <c r="L59" s="26">
        <f>IF('DIVA Satislari'!I59="","",IFERROR(INDEX('E2E Nakliye Montaj'!$AT$3:$AT$1002,MATCH('DIVA Satislari'!AJ59,'E2E Nakliye Montaj'!$AM$3:$AM$1002,0)),"Hayır"))</f>
        <v/>
      </c>
      <c r="M59" s="26">
        <f>IF('DIVA Satislari'!I59="","",IFERROR(INDEX('E2E Nakliye Montaj'!$AU$3:$AU$1002,MATCH('DIVA Satislari'!AJ59,'E2E Nakliye Montaj'!$AM$3:$AM$1002,0)),"Hayır"))</f>
        <v/>
      </c>
      <c r="N59" s="27">
        <f>IF('DIVA Satislari'!I59="","",IFERROR(INDEX('E2E Nakliye Montaj'!$AV$3:$AV$1002,MATCH('DIVA Satislari'!AJ59,'E2E Nakliye Montaj'!$AM$3:$AM$1002,0)),""))</f>
        <v/>
      </c>
      <c r="O59" s="26">
        <f>IF(OR(A59="",N59=""),"",IF(N59&lt;=H59,"Evet","HAYIR - RİSK"))</f>
        <v/>
      </c>
      <c r="P59" s="26">
        <f>IF(A59="","",IF(LEFT(J59,8)="Kural A ","Uygun - Hemen Ödenir (Yıl Sonu %75 Kontrolüne Tabi)",IF(OR(L59="Evet",M59="Evet"),IF(O59="Evet","Uygun","RİSK - Hakediş Süresi Aşıldı"),"Bekleniyor - Nakliye/Montaj Tamamlanmadı")))</f>
        <v/>
      </c>
      <c r="Q59" s="28">
        <f>IF(A59="","",SUMIFS('Hakedis Fatura Detay'!$G$3:$G$1200,'Hakedis Fatura Detay'!$H$3:$H$1200,'DIVA Satislari'!AJ59,'Hakedis Fatura Detay'!$F$3:$F$1200,"Fiyat Farkı")+SUMIFS('Hakedis Fatura Detay'!$G$3:$G$1200,'Hakedis Fatura Detay'!$H$3:$H$1200,'DIVA Satislari'!AJ59,'Hakedis Fatura Detay'!$F$3:$F$1200,"Bundle"))</f>
        <v/>
      </c>
      <c r="R59" s="28">
        <f>IF(A59="","",I59-Q59)</f>
        <v/>
      </c>
      <c r="S59" s="26">
        <f>IF(A59="","",IF(LEFT(P59,7)="Bekleni","N/A - Henüz Ödenmemeli",IF(LEFT(P59,4)="RİSK","İNCELEME GEREKLİ - Süre Aşımı",IF(R59=0,"Doğru",IF(R59&gt;0,"EKSİK ÖDENMİŞ","FAZLA ÖDENMİŞ")))))</f>
        <v/>
      </c>
      <c r="T59" s="30">
        <f>IF(A59="","",IF(F59&lt;&gt;"Evet","İNCELEME GEREKLİ - Kampanya Tanımsız",IF(G59&lt;&gt;"Evet","İNCELEME GEREKLİ - Tarih Dışı Satış",IF(LEFT(P59,4)="RİSK","İNCELEME GEREKLİ - Hakediş Süresi Aşıldı",IF(OR(S59="EKSİK ÖDENMİŞ",S59="FAZLA ÖDENMİŞ"),"İNCELEME GEREKLİ - Tutar Uyuşmazlığı",IF(LEFT(P59,7)="Bekleni","Bekleniyor","Uygun"))))))</f>
        <v/>
      </c>
    </row>
    <row r="60">
      <c r="A60" s="26">
        <f>IF('DIVA Satislari'!I60="","",'DIVA Satislari'!I60)</f>
        <v/>
      </c>
      <c r="B60" s="26">
        <f>IF('DIVA Satislari'!I60="","",'DIVA Satislari'!R60)</f>
        <v/>
      </c>
      <c r="C60" s="26">
        <f>IF('DIVA Satislari'!I60="","",'DIVA Satislari'!M60)</f>
        <v/>
      </c>
      <c r="D60" s="27">
        <f>IF('DIVA Satislari'!I60="","",'DIVA Satislari'!H60)</f>
        <v/>
      </c>
      <c r="E60" s="26">
        <f>IF('DIVA Satislari'!I60="","",'DIVA Satislari'!O60)</f>
        <v/>
      </c>
      <c r="F60" s="26">
        <f>IF('DIVA Satislari'!I60="","",'DIVA Satislari'!AK60)</f>
        <v/>
      </c>
      <c r="G60" s="26">
        <f>IF('DIVA Satislari'!I60="","",'DIVA Satislari'!AO60)</f>
        <v/>
      </c>
      <c r="H60" s="27">
        <f>IF('DIVA Satislari'!I60="","",'DIVA Satislari'!AN60)</f>
        <v/>
      </c>
      <c r="I60" s="28">
        <f>IF('DIVA Satislari'!I60="","",'DIVA Satislari'!AQ60)</f>
        <v/>
      </c>
      <c r="J60" s="26">
        <f>IF('DIVA Satislari'!I60="","",'DIVA Satislari'!AR60)</f>
        <v/>
      </c>
      <c r="K60" s="26">
        <f>IF('DIVA Satislari'!I60="","",IFERROR(INDEX('E2E Nakliye Montaj'!$AS$3:$AS$1002,MATCH('DIVA Satislari'!AJ60,'E2E Nakliye Montaj'!$AM$3:$AM$1002,0)),"Eşleşme Yok"))</f>
        <v/>
      </c>
      <c r="L60" s="26">
        <f>IF('DIVA Satislari'!I60="","",IFERROR(INDEX('E2E Nakliye Montaj'!$AT$3:$AT$1002,MATCH('DIVA Satislari'!AJ60,'E2E Nakliye Montaj'!$AM$3:$AM$1002,0)),"Hayır"))</f>
        <v/>
      </c>
      <c r="M60" s="26">
        <f>IF('DIVA Satislari'!I60="","",IFERROR(INDEX('E2E Nakliye Montaj'!$AU$3:$AU$1002,MATCH('DIVA Satislari'!AJ60,'E2E Nakliye Montaj'!$AM$3:$AM$1002,0)),"Hayır"))</f>
        <v/>
      </c>
      <c r="N60" s="27">
        <f>IF('DIVA Satislari'!I60="","",IFERROR(INDEX('E2E Nakliye Montaj'!$AV$3:$AV$1002,MATCH('DIVA Satislari'!AJ60,'E2E Nakliye Montaj'!$AM$3:$AM$1002,0)),""))</f>
        <v/>
      </c>
      <c r="O60" s="26">
        <f>IF(OR(A60="",N60=""),"",IF(N60&lt;=H60,"Evet","HAYIR - RİSK"))</f>
        <v/>
      </c>
      <c r="P60" s="26">
        <f>IF(A60="","",IF(LEFT(J60,8)="Kural A ","Uygun - Hemen Ödenir (Yıl Sonu %75 Kontrolüne Tabi)",IF(OR(L60="Evet",M60="Evet"),IF(O60="Evet","Uygun","RİSK - Hakediş Süresi Aşıldı"),"Bekleniyor - Nakliye/Montaj Tamamlanmadı")))</f>
        <v/>
      </c>
      <c r="Q60" s="28">
        <f>IF(A60="","",SUMIFS('Hakedis Fatura Detay'!$G$3:$G$1200,'Hakedis Fatura Detay'!$H$3:$H$1200,'DIVA Satislari'!AJ60,'Hakedis Fatura Detay'!$F$3:$F$1200,"Fiyat Farkı")+SUMIFS('Hakedis Fatura Detay'!$G$3:$G$1200,'Hakedis Fatura Detay'!$H$3:$H$1200,'DIVA Satislari'!AJ60,'Hakedis Fatura Detay'!$F$3:$F$1200,"Bundle"))</f>
        <v/>
      </c>
      <c r="R60" s="28">
        <f>IF(A60="","",I60-Q60)</f>
        <v/>
      </c>
      <c r="S60" s="26">
        <f>IF(A60="","",IF(LEFT(P60,7)="Bekleni","N/A - Henüz Ödenmemeli",IF(LEFT(P60,4)="RİSK","İNCELEME GEREKLİ - Süre Aşımı",IF(R60=0,"Doğru",IF(R60&gt;0,"EKSİK ÖDENMİŞ","FAZLA ÖDENMİŞ")))))</f>
        <v/>
      </c>
      <c r="T60" s="30">
        <f>IF(A60="","",IF(F60&lt;&gt;"Evet","İNCELEME GEREKLİ - Kampanya Tanımsız",IF(G60&lt;&gt;"Evet","İNCELEME GEREKLİ - Tarih Dışı Satış",IF(LEFT(P60,4)="RİSK","İNCELEME GEREKLİ - Hakediş Süresi Aşıldı",IF(OR(S60="EKSİK ÖDENMİŞ",S60="FAZLA ÖDENMİŞ"),"İNCELEME GEREKLİ - Tutar Uyuşmazlığı",IF(LEFT(P60,7)="Bekleni","Bekleniyor","Uygun"))))))</f>
        <v/>
      </c>
    </row>
    <row r="61">
      <c r="A61" s="26">
        <f>IF('DIVA Satislari'!I61="","",'DIVA Satislari'!I61)</f>
        <v/>
      </c>
      <c r="B61" s="26">
        <f>IF('DIVA Satislari'!I61="","",'DIVA Satislari'!R61)</f>
        <v/>
      </c>
      <c r="C61" s="26">
        <f>IF('DIVA Satislari'!I61="","",'DIVA Satislari'!M61)</f>
        <v/>
      </c>
      <c r="D61" s="27">
        <f>IF('DIVA Satislari'!I61="","",'DIVA Satislari'!H61)</f>
        <v/>
      </c>
      <c r="E61" s="26">
        <f>IF('DIVA Satislari'!I61="","",'DIVA Satislari'!O61)</f>
        <v/>
      </c>
      <c r="F61" s="26">
        <f>IF('DIVA Satislari'!I61="","",'DIVA Satislari'!AK61)</f>
        <v/>
      </c>
      <c r="G61" s="26">
        <f>IF('DIVA Satislari'!I61="","",'DIVA Satislari'!AO61)</f>
        <v/>
      </c>
      <c r="H61" s="27">
        <f>IF('DIVA Satislari'!I61="","",'DIVA Satislari'!AN61)</f>
        <v/>
      </c>
      <c r="I61" s="28">
        <f>IF('DIVA Satislari'!I61="","",'DIVA Satislari'!AQ61)</f>
        <v/>
      </c>
      <c r="J61" s="26">
        <f>IF('DIVA Satislari'!I61="","",'DIVA Satislari'!AR61)</f>
        <v/>
      </c>
      <c r="K61" s="26">
        <f>IF('DIVA Satislari'!I61="","",IFERROR(INDEX('E2E Nakliye Montaj'!$AS$3:$AS$1002,MATCH('DIVA Satislari'!AJ61,'E2E Nakliye Montaj'!$AM$3:$AM$1002,0)),"Eşleşme Yok"))</f>
        <v/>
      </c>
      <c r="L61" s="26">
        <f>IF('DIVA Satislari'!I61="","",IFERROR(INDEX('E2E Nakliye Montaj'!$AT$3:$AT$1002,MATCH('DIVA Satislari'!AJ61,'E2E Nakliye Montaj'!$AM$3:$AM$1002,0)),"Hayır"))</f>
        <v/>
      </c>
      <c r="M61" s="26">
        <f>IF('DIVA Satislari'!I61="","",IFERROR(INDEX('E2E Nakliye Montaj'!$AU$3:$AU$1002,MATCH('DIVA Satislari'!AJ61,'E2E Nakliye Montaj'!$AM$3:$AM$1002,0)),"Hayır"))</f>
        <v/>
      </c>
      <c r="N61" s="27">
        <f>IF('DIVA Satislari'!I61="","",IFERROR(INDEX('E2E Nakliye Montaj'!$AV$3:$AV$1002,MATCH('DIVA Satislari'!AJ61,'E2E Nakliye Montaj'!$AM$3:$AM$1002,0)),""))</f>
        <v/>
      </c>
      <c r="O61" s="26">
        <f>IF(OR(A61="",N61=""),"",IF(N61&lt;=H61,"Evet","HAYIR - RİSK"))</f>
        <v/>
      </c>
      <c r="P61" s="26">
        <f>IF(A61="","",IF(LEFT(J61,8)="Kural A ","Uygun - Hemen Ödenir (Yıl Sonu %75 Kontrolüne Tabi)",IF(OR(L61="Evet",M61="Evet"),IF(O61="Evet","Uygun","RİSK - Hakediş Süresi Aşıldı"),"Bekleniyor - Nakliye/Montaj Tamamlanmadı")))</f>
        <v/>
      </c>
      <c r="Q61" s="28">
        <f>IF(A61="","",SUMIFS('Hakedis Fatura Detay'!$G$3:$G$1200,'Hakedis Fatura Detay'!$H$3:$H$1200,'DIVA Satislari'!AJ61,'Hakedis Fatura Detay'!$F$3:$F$1200,"Fiyat Farkı")+SUMIFS('Hakedis Fatura Detay'!$G$3:$G$1200,'Hakedis Fatura Detay'!$H$3:$H$1200,'DIVA Satislari'!AJ61,'Hakedis Fatura Detay'!$F$3:$F$1200,"Bundle"))</f>
        <v/>
      </c>
      <c r="R61" s="28">
        <f>IF(A61="","",I61-Q61)</f>
        <v/>
      </c>
      <c r="S61" s="26">
        <f>IF(A61="","",IF(LEFT(P61,7)="Bekleni","N/A - Henüz Ödenmemeli",IF(LEFT(P61,4)="RİSK","İNCELEME GEREKLİ - Süre Aşımı",IF(R61=0,"Doğru",IF(R61&gt;0,"EKSİK ÖDENMİŞ","FAZLA ÖDENMİŞ")))))</f>
        <v/>
      </c>
      <c r="T61" s="30">
        <f>IF(A61="","",IF(F61&lt;&gt;"Evet","İNCELEME GEREKLİ - Kampanya Tanımsız",IF(G61&lt;&gt;"Evet","İNCELEME GEREKLİ - Tarih Dışı Satış",IF(LEFT(P61,4)="RİSK","İNCELEME GEREKLİ - Hakediş Süresi Aşıldı",IF(OR(S61="EKSİK ÖDENMİŞ",S61="FAZLA ÖDENMİŞ"),"İNCELEME GEREKLİ - Tutar Uyuşmazlığı",IF(LEFT(P61,7)="Bekleni","Bekleniyor","Uygun"))))))</f>
        <v/>
      </c>
    </row>
    <row r="62">
      <c r="A62" s="26">
        <f>IF('DIVA Satislari'!I62="","",'DIVA Satislari'!I62)</f>
        <v/>
      </c>
      <c r="B62" s="26">
        <f>IF('DIVA Satislari'!I62="","",'DIVA Satislari'!R62)</f>
        <v/>
      </c>
      <c r="C62" s="26">
        <f>IF('DIVA Satislari'!I62="","",'DIVA Satislari'!M62)</f>
        <v/>
      </c>
      <c r="D62" s="27">
        <f>IF('DIVA Satislari'!I62="","",'DIVA Satislari'!H62)</f>
        <v/>
      </c>
      <c r="E62" s="26">
        <f>IF('DIVA Satislari'!I62="","",'DIVA Satislari'!O62)</f>
        <v/>
      </c>
      <c r="F62" s="26">
        <f>IF('DIVA Satislari'!I62="","",'DIVA Satislari'!AK62)</f>
        <v/>
      </c>
      <c r="G62" s="26">
        <f>IF('DIVA Satislari'!I62="","",'DIVA Satislari'!AO62)</f>
        <v/>
      </c>
      <c r="H62" s="27">
        <f>IF('DIVA Satislari'!I62="","",'DIVA Satislari'!AN62)</f>
        <v/>
      </c>
      <c r="I62" s="28">
        <f>IF('DIVA Satislari'!I62="","",'DIVA Satislari'!AQ62)</f>
        <v/>
      </c>
      <c r="J62" s="26">
        <f>IF('DIVA Satislari'!I62="","",'DIVA Satislari'!AR62)</f>
        <v/>
      </c>
      <c r="K62" s="26">
        <f>IF('DIVA Satislari'!I62="","",IFERROR(INDEX('E2E Nakliye Montaj'!$AS$3:$AS$1002,MATCH('DIVA Satislari'!AJ62,'E2E Nakliye Montaj'!$AM$3:$AM$1002,0)),"Eşleşme Yok"))</f>
        <v/>
      </c>
      <c r="L62" s="26">
        <f>IF('DIVA Satislari'!I62="","",IFERROR(INDEX('E2E Nakliye Montaj'!$AT$3:$AT$1002,MATCH('DIVA Satislari'!AJ62,'E2E Nakliye Montaj'!$AM$3:$AM$1002,0)),"Hayır"))</f>
        <v/>
      </c>
      <c r="M62" s="26">
        <f>IF('DIVA Satislari'!I62="","",IFERROR(INDEX('E2E Nakliye Montaj'!$AU$3:$AU$1002,MATCH('DIVA Satislari'!AJ62,'E2E Nakliye Montaj'!$AM$3:$AM$1002,0)),"Hayır"))</f>
        <v/>
      </c>
      <c r="N62" s="27">
        <f>IF('DIVA Satislari'!I62="","",IFERROR(INDEX('E2E Nakliye Montaj'!$AV$3:$AV$1002,MATCH('DIVA Satislari'!AJ62,'E2E Nakliye Montaj'!$AM$3:$AM$1002,0)),""))</f>
        <v/>
      </c>
      <c r="O62" s="26">
        <f>IF(OR(A62="",N62=""),"",IF(N62&lt;=H62,"Evet","HAYIR - RİSK"))</f>
        <v/>
      </c>
      <c r="P62" s="26">
        <f>IF(A62="","",IF(LEFT(J62,8)="Kural A ","Uygun - Hemen Ödenir (Yıl Sonu %75 Kontrolüne Tabi)",IF(OR(L62="Evet",M62="Evet"),IF(O62="Evet","Uygun","RİSK - Hakediş Süresi Aşıldı"),"Bekleniyor - Nakliye/Montaj Tamamlanmadı")))</f>
        <v/>
      </c>
      <c r="Q62" s="28">
        <f>IF(A62="","",SUMIFS('Hakedis Fatura Detay'!$G$3:$G$1200,'Hakedis Fatura Detay'!$H$3:$H$1200,'DIVA Satislari'!AJ62,'Hakedis Fatura Detay'!$F$3:$F$1200,"Fiyat Farkı")+SUMIFS('Hakedis Fatura Detay'!$G$3:$G$1200,'Hakedis Fatura Detay'!$H$3:$H$1200,'DIVA Satislari'!AJ62,'Hakedis Fatura Detay'!$F$3:$F$1200,"Bundle"))</f>
        <v/>
      </c>
      <c r="R62" s="28">
        <f>IF(A62="","",I62-Q62)</f>
        <v/>
      </c>
      <c r="S62" s="26">
        <f>IF(A62="","",IF(LEFT(P62,7)="Bekleni","N/A - Henüz Ödenmemeli",IF(LEFT(P62,4)="RİSK","İNCELEME GEREKLİ - Süre Aşımı",IF(R62=0,"Doğru",IF(R62&gt;0,"EKSİK ÖDENMİŞ","FAZLA ÖDENMİŞ")))))</f>
        <v/>
      </c>
      <c r="T62" s="30">
        <f>IF(A62="","",IF(F62&lt;&gt;"Evet","İNCELEME GEREKLİ - Kampanya Tanımsız",IF(G62&lt;&gt;"Evet","İNCELEME GEREKLİ - Tarih Dışı Satış",IF(LEFT(P62,4)="RİSK","İNCELEME GEREKLİ - Hakediş Süresi Aşıldı",IF(OR(S62="EKSİK ÖDENMİŞ",S62="FAZLA ÖDENMİŞ"),"İNCELEME GEREKLİ - Tutar Uyuşmazlığı",IF(LEFT(P62,7)="Bekleni","Bekleniyor","Uygun"))))))</f>
        <v/>
      </c>
    </row>
    <row r="63">
      <c r="A63" s="26">
        <f>IF('DIVA Satislari'!I63="","",'DIVA Satislari'!I63)</f>
        <v/>
      </c>
      <c r="B63" s="26">
        <f>IF('DIVA Satislari'!I63="","",'DIVA Satislari'!R63)</f>
        <v/>
      </c>
      <c r="C63" s="26">
        <f>IF('DIVA Satislari'!I63="","",'DIVA Satislari'!M63)</f>
        <v/>
      </c>
      <c r="D63" s="27">
        <f>IF('DIVA Satislari'!I63="","",'DIVA Satislari'!H63)</f>
        <v/>
      </c>
      <c r="E63" s="26">
        <f>IF('DIVA Satislari'!I63="","",'DIVA Satislari'!O63)</f>
        <v/>
      </c>
      <c r="F63" s="26">
        <f>IF('DIVA Satislari'!I63="","",'DIVA Satislari'!AK63)</f>
        <v/>
      </c>
      <c r="G63" s="26">
        <f>IF('DIVA Satislari'!I63="","",'DIVA Satislari'!AO63)</f>
        <v/>
      </c>
      <c r="H63" s="27">
        <f>IF('DIVA Satislari'!I63="","",'DIVA Satislari'!AN63)</f>
        <v/>
      </c>
      <c r="I63" s="28">
        <f>IF('DIVA Satislari'!I63="","",'DIVA Satislari'!AQ63)</f>
        <v/>
      </c>
      <c r="J63" s="26">
        <f>IF('DIVA Satislari'!I63="","",'DIVA Satislari'!AR63)</f>
        <v/>
      </c>
      <c r="K63" s="26">
        <f>IF('DIVA Satislari'!I63="","",IFERROR(INDEX('E2E Nakliye Montaj'!$AS$3:$AS$1002,MATCH('DIVA Satislari'!AJ63,'E2E Nakliye Montaj'!$AM$3:$AM$1002,0)),"Eşleşme Yok"))</f>
        <v/>
      </c>
      <c r="L63" s="26">
        <f>IF('DIVA Satislari'!I63="","",IFERROR(INDEX('E2E Nakliye Montaj'!$AT$3:$AT$1002,MATCH('DIVA Satislari'!AJ63,'E2E Nakliye Montaj'!$AM$3:$AM$1002,0)),"Hayır"))</f>
        <v/>
      </c>
      <c r="M63" s="26">
        <f>IF('DIVA Satislari'!I63="","",IFERROR(INDEX('E2E Nakliye Montaj'!$AU$3:$AU$1002,MATCH('DIVA Satislari'!AJ63,'E2E Nakliye Montaj'!$AM$3:$AM$1002,0)),"Hayır"))</f>
        <v/>
      </c>
      <c r="N63" s="27">
        <f>IF('DIVA Satislari'!I63="","",IFERROR(INDEX('E2E Nakliye Montaj'!$AV$3:$AV$1002,MATCH('DIVA Satislari'!AJ63,'E2E Nakliye Montaj'!$AM$3:$AM$1002,0)),""))</f>
        <v/>
      </c>
      <c r="O63" s="26">
        <f>IF(OR(A63="",N63=""),"",IF(N63&lt;=H63,"Evet","HAYIR - RİSK"))</f>
        <v/>
      </c>
      <c r="P63" s="26">
        <f>IF(A63="","",IF(LEFT(J63,8)="Kural A ","Uygun - Hemen Ödenir (Yıl Sonu %75 Kontrolüne Tabi)",IF(OR(L63="Evet",M63="Evet"),IF(O63="Evet","Uygun","RİSK - Hakediş Süresi Aşıldı"),"Bekleniyor - Nakliye/Montaj Tamamlanmadı")))</f>
        <v/>
      </c>
      <c r="Q63" s="28">
        <f>IF(A63="","",SUMIFS('Hakedis Fatura Detay'!$G$3:$G$1200,'Hakedis Fatura Detay'!$H$3:$H$1200,'DIVA Satislari'!AJ63,'Hakedis Fatura Detay'!$F$3:$F$1200,"Fiyat Farkı")+SUMIFS('Hakedis Fatura Detay'!$G$3:$G$1200,'Hakedis Fatura Detay'!$H$3:$H$1200,'DIVA Satislari'!AJ63,'Hakedis Fatura Detay'!$F$3:$F$1200,"Bundle"))</f>
        <v/>
      </c>
      <c r="R63" s="28">
        <f>IF(A63="","",I63-Q63)</f>
        <v/>
      </c>
      <c r="S63" s="26">
        <f>IF(A63="","",IF(LEFT(P63,7)="Bekleni","N/A - Henüz Ödenmemeli",IF(LEFT(P63,4)="RİSK","İNCELEME GEREKLİ - Süre Aşımı",IF(R63=0,"Doğru",IF(R63&gt;0,"EKSİK ÖDENMİŞ","FAZLA ÖDENMİŞ")))))</f>
        <v/>
      </c>
      <c r="T63" s="30">
        <f>IF(A63="","",IF(F63&lt;&gt;"Evet","İNCELEME GEREKLİ - Kampanya Tanımsız",IF(G63&lt;&gt;"Evet","İNCELEME GEREKLİ - Tarih Dışı Satış",IF(LEFT(P63,4)="RİSK","İNCELEME GEREKLİ - Hakediş Süresi Aşıldı",IF(OR(S63="EKSİK ÖDENMİŞ",S63="FAZLA ÖDENMİŞ"),"İNCELEME GEREKLİ - Tutar Uyuşmazlığı",IF(LEFT(P63,7)="Bekleni","Bekleniyor","Uygun"))))))</f>
        <v/>
      </c>
    </row>
    <row r="64">
      <c r="A64" s="26">
        <f>IF('DIVA Satislari'!I64="","",'DIVA Satislari'!I64)</f>
        <v/>
      </c>
      <c r="B64" s="26">
        <f>IF('DIVA Satislari'!I64="","",'DIVA Satislari'!R64)</f>
        <v/>
      </c>
      <c r="C64" s="26">
        <f>IF('DIVA Satislari'!I64="","",'DIVA Satislari'!M64)</f>
        <v/>
      </c>
      <c r="D64" s="27">
        <f>IF('DIVA Satislari'!I64="","",'DIVA Satislari'!H64)</f>
        <v/>
      </c>
      <c r="E64" s="26">
        <f>IF('DIVA Satislari'!I64="","",'DIVA Satislari'!O64)</f>
        <v/>
      </c>
      <c r="F64" s="26">
        <f>IF('DIVA Satislari'!I64="","",'DIVA Satislari'!AK64)</f>
        <v/>
      </c>
      <c r="G64" s="26">
        <f>IF('DIVA Satislari'!I64="","",'DIVA Satislari'!AO64)</f>
        <v/>
      </c>
      <c r="H64" s="27">
        <f>IF('DIVA Satislari'!I64="","",'DIVA Satislari'!AN64)</f>
        <v/>
      </c>
      <c r="I64" s="28">
        <f>IF('DIVA Satislari'!I64="","",'DIVA Satislari'!AQ64)</f>
        <v/>
      </c>
      <c r="J64" s="26">
        <f>IF('DIVA Satislari'!I64="","",'DIVA Satislari'!AR64)</f>
        <v/>
      </c>
      <c r="K64" s="26">
        <f>IF('DIVA Satislari'!I64="","",IFERROR(INDEX('E2E Nakliye Montaj'!$AS$3:$AS$1002,MATCH('DIVA Satislari'!AJ64,'E2E Nakliye Montaj'!$AM$3:$AM$1002,0)),"Eşleşme Yok"))</f>
        <v/>
      </c>
      <c r="L64" s="26">
        <f>IF('DIVA Satislari'!I64="","",IFERROR(INDEX('E2E Nakliye Montaj'!$AT$3:$AT$1002,MATCH('DIVA Satislari'!AJ64,'E2E Nakliye Montaj'!$AM$3:$AM$1002,0)),"Hayır"))</f>
        <v/>
      </c>
      <c r="M64" s="26">
        <f>IF('DIVA Satislari'!I64="","",IFERROR(INDEX('E2E Nakliye Montaj'!$AU$3:$AU$1002,MATCH('DIVA Satislari'!AJ64,'E2E Nakliye Montaj'!$AM$3:$AM$1002,0)),"Hayır"))</f>
        <v/>
      </c>
      <c r="N64" s="27">
        <f>IF('DIVA Satislari'!I64="","",IFERROR(INDEX('E2E Nakliye Montaj'!$AV$3:$AV$1002,MATCH('DIVA Satislari'!AJ64,'E2E Nakliye Montaj'!$AM$3:$AM$1002,0)),""))</f>
        <v/>
      </c>
      <c r="O64" s="26">
        <f>IF(OR(A64="",N64=""),"",IF(N64&lt;=H64,"Evet","HAYIR - RİSK"))</f>
        <v/>
      </c>
      <c r="P64" s="26">
        <f>IF(A64="","",IF(LEFT(J64,8)="Kural A ","Uygun - Hemen Ödenir (Yıl Sonu %75 Kontrolüne Tabi)",IF(OR(L64="Evet",M64="Evet"),IF(O64="Evet","Uygun","RİSK - Hakediş Süresi Aşıldı"),"Bekleniyor - Nakliye/Montaj Tamamlanmadı")))</f>
        <v/>
      </c>
      <c r="Q64" s="28">
        <f>IF(A64="","",SUMIFS('Hakedis Fatura Detay'!$G$3:$G$1200,'Hakedis Fatura Detay'!$H$3:$H$1200,'DIVA Satislari'!AJ64,'Hakedis Fatura Detay'!$F$3:$F$1200,"Fiyat Farkı")+SUMIFS('Hakedis Fatura Detay'!$G$3:$G$1200,'Hakedis Fatura Detay'!$H$3:$H$1200,'DIVA Satislari'!AJ64,'Hakedis Fatura Detay'!$F$3:$F$1200,"Bundle"))</f>
        <v/>
      </c>
      <c r="R64" s="28">
        <f>IF(A64="","",I64-Q64)</f>
        <v/>
      </c>
      <c r="S64" s="26">
        <f>IF(A64="","",IF(LEFT(P64,7)="Bekleni","N/A - Henüz Ödenmemeli",IF(LEFT(P64,4)="RİSK","İNCELEME GEREKLİ - Süre Aşımı",IF(R64=0,"Doğru",IF(R64&gt;0,"EKSİK ÖDENMİŞ","FAZLA ÖDENMİŞ")))))</f>
        <v/>
      </c>
      <c r="T64" s="30">
        <f>IF(A64="","",IF(F64&lt;&gt;"Evet","İNCELEME GEREKLİ - Kampanya Tanımsız",IF(G64&lt;&gt;"Evet","İNCELEME GEREKLİ - Tarih Dışı Satış",IF(LEFT(P64,4)="RİSK","İNCELEME GEREKLİ - Hakediş Süresi Aşıldı",IF(OR(S64="EKSİK ÖDENMİŞ",S64="FAZLA ÖDENMİŞ"),"İNCELEME GEREKLİ - Tutar Uyuşmazlığı",IF(LEFT(P64,7)="Bekleni","Bekleniyor","Uygun"))))))</f>
        <v/>
      </c>
    </row>
    <row r="65">
      <c r="A65" s="26">
        <f>IF('DIVA Satislari'!I65="","",'DIVA Satislari'!I65)</f>
        <v/>
      </c>
      <c r="B65" s="26">
        <f>IF('DIVA Satislari'!I65="","",'DIVA Satislari'!R65)</f>
        <v/>
      </c>
      <c r="C65" s="26">
        <f>IF('DIVA Satislari'!I65="","",'DIVA Satislari'!M65)</f>
        <v/>
      </c>
      <c r="D65" s="27">
        <f>IF('DIVA Satislari'!I65="","",'DIVA Satislari'!H65)</f>
        <v/>
      </c>
      <c r="E65" s="26">
        <f>IF('DIVA Satislari'!I65="","",'DIVA Satislari'!O65)</f>
        <v/>
      </c>
      <c r="F65" s="26">
        <f>IF('DIVA Satislari'!I65="","",'DIVA Satislari'!AK65)</f>
        <v/>
      </c>
      <c r="G65" s="26">
        <f>IF('DIVA Satislari'!I65="","",'DIVA Satislari'!AO65)</f>
        <v/>
      </c>
      <c r="H65" s="27">
        <f>IF('DIVA Satislari'!I65="","",'DIVA Satislari'!AN65)</f>
        <v/>
      </c>
      <c r="I65" s="28">
        <f>IF('DIVA Satislari'!I65="","",'DIVA Satislari'!AQ65)</f>
        <v/>
      </c>
      <c r="J65" s="26">
        <f>IF('DIVA Satislari'!I65="","",'DIVA Satislari'!AR65)</f>
        <v/>
      </c>
      <c r="K65" s="26">
        <f>IF('DIVA Satislari'!I65="","",IFERROR(INDEX('E2E Nakliye Montaj'!$AS$3:$AS$1002,MATCH('DIVA Satislari'!AJ65,'E2E Nakliye Montaj'!$AM$3:$AM$1002,0)),"Eşleşme Yok"))</f>
        <v/>
      </c>
      <c r="L65" s="26">
        <f>IF('DIVA Satislari'!I65="","",IFERROR(INDEX('E2E Nakliye Montaj'!$AT$3:$AT$1002,MATCH('DIVA Satislari'!AJ65,'E2E Nakliye Montaj'!$AM$3:$AM$1002,0)),"Hayır"))</f>
        <v/>
      </c>
      <c r="M65" s="26">
        <f>IF('DIVA Satislari'!I65="","",IFERROR(INDEX('E2E Nakliye Montaj'!$AU$3:$AU$1002,MATCH('DIVA Satislari'!AJ65,'E2E Nakliye Montaj'!$AM$3:$AM$1002,0)),"Hayır"))</f>
        <v/>
      </c>
      <c r="N65" s="27">
        <f>IF('DIVA Satislari'!I65="","",IFERROR(INDEX('E2E Nakliye Montaj'!$AV$3:$AV$1002,MATCH('DIVA Satislari'!AJ65,'E2E Nakliye Montaj'!$AM$3:$AM$1002,0)),""))</f>
        <v/>
      </c>
      <c r="O65" s="26">
        <f>IF(OR(A65="",N65=""),"",IF(N65&lt;=H65,"Evet","HAYIR - RİSK"))</f>
        <v/>
      </c>
      <c r="P65" s="26">
        <f>IF(A65="","",IF(LEFT(J65,8)="Kural A ","Uygun - Hemen Ödenir (Yıl Sonu %75 Kontrolüne Tabi)",IF(OR(L65="Evet",M65="Evet"),IF(O65="Evet","Uygun","RİSK - Hakediş Süresi Aşıldı"),"Bekleniyor - Nakliye/Montaj Tamamlanmadı")))</f>
        <v/>
      </c>
      <c r="Q65" s="28">
        <f>IF(A65="","",SUMIFS('Hakedis Fatura Detay'!$G$3:$G$1200,'Hakedis Fatura Detay'!$H$3:$H$1200,'DIVA Satislari'!AJ65,'Hakedis Fatura Detay'!$F$3:$F$1200,"Fiyat Farkı")+SUMIFS('Hakedis Fatura Detay'!$G$3:$G$1200,'Hakedis Fatura Detay'!$H$3:$H$1200,'DIVA Satislari'!AJ65,'Hakedis Fatura Detay'!$F$3:$F$1200,"Bundle"))</f>
        <v/>
      </c>
      <c r="R65" s="28">
        <f>IF(A65="","",I65-Q65)</f>
        <v/>
      </c>
      <c r="S65" s="26">
        <f>IF(A65="","",IF(LEFT(P65,7)="Bekleni","N/A - Henüz Ödenmemeli",IF(LEFT(P65,4)="RİSK","İNCELEME GEREKLİ - Süre Aşımı",IF(R65=0,"Doğru",IF(R65&gt;0,"EKSİK ÖDENMİŞ","FAZLA ÖDENMİŞ")))))</f>
        <v/>
      </c>
      <c r="T65" s="30">
        <f>IF(A65="","",IF(F65&lt;&gt;"Evet","İNCELEME GEREKLİ - Kampanya Tanımsız",IF(G65&lt;&gt;"Evet","İNCELEME GEREKLİ - Tarih Dışı Satış",IF(LEFT(P65,4)="RİSK","İNCELEME GEREKLİ - Hakediş Süresi Aşıldı",IF(OR(S65="EKSİK ÖDENMİŞ",S65="FAZLA ÖDENMİŞ"),"İNCELEME GEREKLİ - Tutar Uyuşmazlığı",IF(LEFT(P65,7)="Bekleni","Bekleniyor","Uygun"))))))</f>
        <v/>
      </c>
    </row>
    <row r="66">
      <c r="A66" s="26">
        <f>IF('DIVA Satislari'!I66="","",'DIVA Satislari'!I66)</f>
        <v/>
      </c>
      <c r="B66" s="26">
        <f>IF('DIVA Satislari'!I66="","",'DIVA Satislari'!R66)</f>
        <v/>
      </c>
      <c r="C66" s="26">
        <f>IF('DIVA Satislari'!I66="","",'DIVA Satislari'!M66)</f>
        <v/>
      </c>
      <c r="D66" s="27">
        <f>IF('DIVA Satislari'!I66="","",'DIVA Satislari'!H66)</f>
        <v/>
      </c>
      <c r="E66" s="26">
        <f>IF('DIVA Satislari'!I66="","",'DIVA Satislari'!O66)</f>
        <v/>
      </c>
      <c r="F66" s="26">
        <f>IF('DIVA Satislari'!I66="","",'DIVA Satislari'!AK66)</f>
        <v/>
      </c>
      <c r="G66" s="26">
        <f>IF('DIVA Satislari'!I66="","",'DIVA Satislari'!AO66)</f>
        <v/>
      </c>
      <c r="H66" s="27">
        <f>IF('DIVA Satislari'!I66="","",'DIVA Satislari'!AN66)</f>
        <v/>
      </c>
      <c r="I66" s="28">
        <f>IF('DIVA Satislari'!I66="","",'DIVA Satislari'!AQ66)</f>
        <v/>
      </c>
      <c r="J66" s="26">
        <f>IF('DIVA Satislari'!I66="","",'DIVA Satislari'!AR66)</f>
        <v/>
      </c>
      <c r="K66" s="26">
        <f>IF('DIVA Satislari'!I66="","",IFERROR(INDEX('E2E Nakliye Montaj'!$AS$3:$AS$1002,MATCH('DIVA Satislari'!AJ66,'E2E Nakliye Montaj'!$AM$3:$AM$1002,0)),"Eşleşme Yok"))</f>
        <v/>
      </c>
      <c r="L66" s="26">
        <f>IF('DIVA Satislari'!I66="","",IFERROR(INDEX('E2E Nakliye Montaj'!$AT$3:$AT$1002,MATCH('DIVA Satislari'!AJ66,'E2E Nakliye Montaj'!$AM$3:$AM$1002,0)),"Hayır"))</f>
        <v/>
      </c>
      <c r="M66" s="26">
        <f>IF('DIVA Satislari'!I66="","",IFERROR(INDEX('E2E Nakliye Montaj'!$AU$3:$AU$1002,MATCH('DIVA Satislari'!AJ66,'E2E Nakliye Montaj'!$AM$3:$AM$1002,0)),"Hayır"))</f>
        <v/>
      </c>
      <c r="N66" s="27">
        <f>IF('DIVA Satislari'!I66="","",IFERROR(INDEX('E2E Nakliye Montaj'!$AV$3:$AV$1002,MATCH('DIVA Satislari'!AJ66,'E2E Nakliye Montaj'!$AM$3:$AM$1002,0)),""))</f>
        <v/>
      </c>
      <c r="O66" s="26">
        <f>IF(OR(A66="",N66=""),"",IF(N66&lt;=H66,"Evet","HAYIR - RİSK"))</f>
        <v/>
      </c>
      <c r="P66" s="26">
        <f>IF(A66="","",IF(LEFT(J66,8)="Kural A ","Uygun - Hemen Ödenir (Yıl Sonu %75 Kontrolüne Tabi)",IF(OR(L66="Evet",M66="Evet"),IF(O66="Evet","Uygun","RİSK - Hakediş Süresi Aşıldı"),"Bekleniyor - Nakliye/Montaj Tamamlanmadı")))</f>
        <v/>
      </c>
      <c r="Q66" s="28">
        <f>IF(A66="","",SUMIFS('Hakedis Fatura Detay'!$G$3:$G$1200,'Hakedis Fatura Detay'!$H$3:$H$1200,'DIVA Satislari'!AJ66,'Hakedis Fatura Detay'!$F$3:$F$1200,"Fiyat Farkı")+SUMIFS('Hakedis Fatura Detay'!$G$3:$G$1200,'Hakedis Fatura Detay'!$H$3:$H$1200,'DIVA Satislari'!AJ66,'Hakedis Fatura Detay'!$F$3:$F$1200,"Bundle"))</f>
        <v/>
      </c>
      <c r="R66" s="28">
        <f>IF(A66="","",I66-Q66)</f>
        <v/>
      </c>
      <c r="S66" s="26">
        <f>IF(A66="","",IF(LEFT(P66,7)="Bekleni","N/A - Henüz Ödenmemeli",IF(LEFT(P66,4)="RİSK","İNCELEME GEREKLİ - Süre Aşımı",IF(R66=0,"Doğru",IF(R66&gt;0,"EKSİK ÖDENMİŞ","FAZLA ÖDENMİŞ")))))</f>
        <v/>
      </c>
      <c r="T66" s="30">
        <f>IF(A66="","",IF(F66&lt;&gt;"Evet","İNCELEME GEREKLİ - Kampanya Tanımsız",IF(G66&lt;&gt;"Evet","İNCELEME GEREKLİ - Tarih Dışı Satış",IF(LEFT(P66,4)="RİSK","İNCELEME GEREKLİ - Hakediş Süresi Aşıldı",IF(OR(S66="EKSİK ÖDENMİŞ",S66="FAZLA ÖDENMİŞ"),"İNCELEME GEREKLİ - Tutar Uyuşmazlığı",IF(LEFT(P66,7)="Bekleni","Bekleniyor","Uygun"))))))</f>
        <v/>
      </c>
    </row>
    <row r="67">
      <c r="A67" s="26">
        <f>IF('DIVA Satislari'!I67="","",'DIVA Satislari'!I67)</f>
        <v/>
      </c>
      <c r="B67" s="26">
        <f>IF('DIVA Satislari'!I67="","",'DIVA Satislari'!R67)</f>
        <v/>
      </c>
      <c r="C67" s="26">
        <f>IF('DIVA Satislari'!I67="","",'DIVA Satislari'!M67)</f>
        <v/>
      </c>
      <c r="D67" s="27">
        <f>IF('DIVA Satislari'!I67="","",'DIVA Satislari'!H67)</f>
        <v/>
      </c>
      <c r="E67" s="26">
        <f>IF('DIVA Satislari'!I67="","",'DIVA Satislari'!O67)</f>
        <v/>
      </c>
      <c r="F67" s="26">
        <f>IF('DIVA Satislari'!I67="","",'DIVA Satislari'!AK67)</f>
        <v/>
      </c>
      <c r="G67" s="26">
        <f>IF('DIVA Satislari'!I67="","",'DIVA Satislari'!AO67)</f>
        <v/>
      </c>
      <c r="H67" s="27">
        <f>IF('DIVA Satislari'!I67="","",'DIVA Satislari'!AN67)</f>
        <v/>
      </c>
      <c r="I67" s="28">
        <f>IF('DIVA Satislari'!I67="","",'DIVA Satislari'!AQ67)</f>
        <v/>
      </c>
      <c r="J67" s="26">
        <f>IF('DIVA Satislari'!I67="","",'DIVA Satislari'!AR67)</f>
        <v/>
      </c>
      <c r="K67" s="26">
        <f>IF('DIVA Satislari'!I67="","",IFERROR(INDEX('E2E Nakliye Montaj'!$AS$3:$AS$1002,MATCH('DIVA Satislari'!AJ67,'E2E Nakliye Montaj'!$AM$3:$AM$1002,0)),"Eşleşme Yok"))</f>
        <v/>
      </c>
      <c r="L67" s="26">
        <f>IF('DIVA Satislari'!I67="","",IFERROR(INDEX('E2E Nakliye Montaj'!$AT$3:$AT$1002,MATCH('DIVA Satislari'!AJ67,'E2E Nakliye Montaj'!$AM$3:$AM$1002,0)),"Hayır"))</f>
        <v/>
      </c>
      <c r="M67" s="26">
        <f>IF('DIVA Satislari'!I67="","",IFERROR(INDEX('E2E Nakliye Montaj'!$AU$3:$AU$1002,MATCH('DIVA Satislari'!AJ67,'E2E Nakliye Montaj'!$AM$3:$AM$1002,0)),"Hayır"))</f>
        <v/>
      </c>
      <c r="N67" s="27">
        <f>IF('DIVA Satislari'!I67="","",IFERROR(INDEX('E2E Nakliye Montaj'!$AV$3:$AV$1002,MATCH('DIVA Satislari'!AJ67,'E2E Nakliye Montaj'!$AM$3:$AM$1002,0)),""))</f>
        <v/>
      </c>
      <c r="O67" s="26">
        <f>IF(OR(A67="",N67=""),"",IF(N67&lt;=H67,"Evet","HAYIR - RİSK"))</f>
        <v/>
      </c>
      <c r="P67" s="26">
        <f>IF(A67="","",IF(LEFT(J67,8)="Kural A ","Uygun - Hemen Ödenir (Yıl Sonu %75 Kontrolüne Tabi)",IF(OR(L67="Evet",M67="Evet"),IF(O67="Evet","Uygun","RİSK - Hakediş Süresi Aşıldı"),"Bekleniyor - Nakliye/Montaj Tamamlanmadı")))</f>
        <v/>
      </c>
      <c r="Q67" s="28">
        <f>IF(A67="","",SUMIFS('Hakedis Fatura Detay'!$G$3:$G$1200,'Hakedis Fatura Detay'!$H$3:$H$1200,'DIVA Satislari'!AJ67,'Hakedis Fatura Detay'!$F$3:$F$1200,"Fiyat Farkı")+SUMIFS('Hakedis Fatura Detay'!$G$3:$G$1200,'Hakedis Fatura Detay'!$H$3:$H$1200,'DIVA Satislari'!AJ67,'Hakedis Fatura Detay'!$F$3:$F$1200,"Bundle"))</f>
        <v/>
      </c>
      <c r="R67" s="28">
        <f>IF(A67="","",I67-Q67)</f>
        <v/>
      </c>
      <c r="S67" s="26">
        <f>IF(A67="","",IF(LEFT(P67,7)="Bekleni","N/A - Henüz Ödenmemeli",IF(LEFT(P67,4)="RİSK","İNCELEME GEREKLİ - Süre Aşımı",IF(R67=0,"Doğru",IF(R67&gt;0,"EKSİK ÖDENMİŞ","FAZLA ÖDENMİŞ")))))</f>
        <v/>
      </c>
      <c r="T67" s="30">
        <f>IF(A67="","",IF(F67&lt;&gt;"Evet","İNCELEME GEREKLİ - Kampanya Tanımsız",IF(G67&lt;&gt;"Evet","İNCELEME GEREKLİ - Tarih Dışı Satış",IF(LEFT(P67,4)="RİSK","İNCELEME GEREKLİ - Hakediş Süresi Aşıldı",IF(OR(S67="EKSİK ÖDENMİŞ",S67="FAZLA ÖDENMİŞ"),"İNCELEME GEREKLİ - Tutar Uyuşmazlığı",IF(LEFT(P67,7)="Bekleni","Bekleniyor","Uygun"))))))</f>
        <v/>
      </c>
    </row>
    <row r="68">
      <c r="A68" s="26">
        <f>IF('DIVA Satislari'!I68="","",'DIVA Satislari'!I68)</f>
        <v/>
      </c>
      <c r="B68" s="26">
        <f>IF('DIVA Satislari'!I68="","",'DIVA Satislari'!R68)</f>
        <v/>
      </c>
      <c r="C68" s="26">
        <f>IF('DIVA Satislari'!I68="","",'DIVA Satislari'!M68)</f>
        <v/>
      </c>
      <c r="D68" s="27">
        <f>IF('DIVA Satislari'!I68="","",'DIVA Satislari'!H68)</f>
        <v/>
      </c>
      <c r="E68" s="26">
        <f>IF('DIVA Satislari'!I68="","",'DIVA Satislari'!O68)</f>
        <v/>
      </c>
      <c r="F68" s="26">
        <f>IF('DIVA Satislari'!I68="","",'DIVA Satislari'!AK68)</f>
        <v/>
      </c>
      <c r="G68" s="26">
        <f>IF('DIVA Satislari'!I68="","",'DIVA Satislari'!AO68)</f>
        <v/>
      </c>
      <c r="H68" s="27">
        <f>IF('DIVA Satislari'!I68="","",'DIVA Satislari'!AN68)</f>
        <v/>
      </c>
      <c r="I68" s="28">
        <f>IF('DIVA Satislari'!I68="","",'DIVA Satislari'!AQ68)</f>
        <v/>
      </c>
      <c r="J68" s="26">
        <f>IF('DIVA Satislari'!I68="","",'DIVA Satislari'!AR68)</f>
        <v/>
      </c>
      <c r="K68" s="26">
        <f>IF('DIVA Satislari'!I68="","",IFERROR(INDEX('E2E Nakliye Montaj'!$AS$3:$AS$1002,MATCH('DIVA Satislari'!AJ68,'E2E Nakliye Montaj'!$AM$3:$AM$1002,0)),"Eşleşme Yok"))</f>
        <v/>
      </c>
      <c r="L68" s="26">
        <f>IF('DIVA Satislari'!I68="","",IFERROR(INDEX('E2E Nakliye Montaj'!$AT$3:$AT$1002,MATCH('DIVA Satislari'!AJ68,'E2E Nakliye Montaj'!$AM$3:$AM$1002,0)),"Hayır"))</f>
        <v/>
      </c>
      <c r="M68" s="26">
        <f>IF('DIVA Satislari'!I68="","",IFERROR(INDEX('E2E Nakliye Montaj'!$AU$3:$AU$1002,MATCH('DIVA Satislari'!AJ68,'E2E Nakliye Montaj'!$AM$3:$AM$1002,0)),"Hayır"))</f>
        <v/>
      </c>
      <c r="N68" s="27">
        <f>IF('DIVA Satislari'!I68="","",IFERROR(INDEX('E2E Nakliye Montaj'!$AV$3:$AV$1002,MATCH('DIVA Satislari'!AJ68,'E2E Nakliye Montaj'!$AM$3:$AM$1002,0)),""))</f>
        <v/>
      </c>
      <c r="O68" s="26">
        <f>IF(OR(A68="",N68=""),"",IF(N68&lt;=H68,"Evet","HAYIR - RİSK"))</f>
        <v/>
      </c>
      <c r="P68" s="26">
        <f>IF(A68="","",IF(LEFT(J68,8)="Kural A ","Uygun - Hemen Ödenir (Yıl Sonu %75 Kontrolüne Tabi)",IF(OR(L68="Evet",M68="Evet"),IF(O68="Evet","Uygun","RİSK - Hakediş Süresi Aşıldı"),"Bekleniyor - Nakliye/Montaj Tamamlanmadı")))</f>
        <v/>
      </c>
      <c r="Q68" s="28">
        <f>IF(A68="","",SUMIFS('Hakedis Fatura Detay'!$G$3:$G$1200,'Hakedis Fatura Detay'!$H$3:$H$1200,'DIVA Satislari'!AJ68,'Hakedis Fatura Detay'!$F$3:$F$1200,"Fiyat Farkı")+SUMIFS('Hakedis Fatura Detay'!$G$3:$G$1200,'Hakedis Fatura Detay'!$H$3:$H$1200,'DIVA Satislari'!AJ68,'Hakedis Fatura Detay'!$F$3:$F$1200,"Bundle"))</f>
        <v/>
      </c>
      <c r="R68" s="28">
        <f>IF(A68="","",I68-Q68)</f>
        <v/>
      </c>
      <c r="S68" s="26">
        <f>IF(A68="","",IF(LEFT(P68,7)="Bekleni","N/A - Henüz Ödenmemeli",IF(LEFT(P68,4)="RİSK","İNCELEME GEREKLİ - Süre Aşımı",IF(R68=0,"Doğru",IF(R68&gt;0,"EKSİK ÖDENMİŞ","FAZLA ÖDENMİŞ")))))</f>
        <v/>
      </c>
      <c r="T68" s="30">
        <f>IF(A68="","",IF(F68&lt;&gt;"Evet","İNCELEME GEREKLİ - Kampanya Tanımsız",IF(G68&lt;&gt;"Evet","İNCELEME GEREKLİ - Tarih Dışı Satış",IF(LEFT(P68,4)="RİSK","İNCELEME GEREKLİ - Hakediş Süresi Aşıldı",IF(OR(S68="EKSİK ÖDENMİŞ",S68="FAZLA ÖDENMİŞ"),"İNCELEME GEREKLİ - Tutar Uyuşmazlığı",IF(LEFT(P68,7)="Bekleni","Bekleniyor","Uygun"))))))</f>
        <v/>
      </c>
    </row>
    <row r="69">
      <c r="A69" s="26">
        <f>IF('DIVA Satislari'!I69="","",'DIVA Satislari'!I69)</f>
        <v/>
      </c>
      <c r="B69" s="26">
        <f>IF('DIVA Satislari'!I69="","",'DIVA Satislari'!R69)</f>
        <v/>
      </c>
      <c r="C69" s="26">
        <f>IF('DIVA Satislari'!I69="","",'DIVA Satislari'!M69)</f>
        <v/>
      </c>
      <c r="D69" s="27">
        <f>IF('DIVA Satislari'!I69="","",'DIVA Satislari'!H69)</f>
        <v/>
      </c>
      <c r="E69" s="26">
        <f>IF('DIVA Satislari'!I69="","",'DIVA Satislari'!O69)</f>
        <v/>
      </c>
      <c r="F69" s="26">
        <f>IF('DIVA Satislari'!I69="","",'DIVA Satislari'!AK69)</f>
        <v/>
      </c>
      <c r="G69" s="26">
        <f>IF('DIVA Satislari'!I69="","",'DIVA Satislari'!AO69)</f>
        <v/>
      </c>
      <c r="H69" s="27">
        <f>IF('DIVA Satislari'!I69="","",'DIVA Satislari'!AN69)</f>
        <v/>
      </c>
      <c r="I69" s="28">
        <f>IF('DIVA Satislari'!I69="","",'DIVA Satislari'!AQ69)</f>
        <v/>
      </c>
      <c r="J69" s="26">
        <f>IF('DIVA Satislari'!I69="","",'DIVA Satislari'!AR69)</f>
        <v/>
      </c>
      <c r="K69" s="26">
        <f>IF('DIVA Satislari'!I69="","",IFERROR(INDEX('E2E Nakliye Montaj'!$AS$3:$AS$1002,MATCH('DIVA Satislari'!AJ69,'E2E Nakliye Montaj'!$AM$3:$AM$1002,0)),"Eşleşme Yok"))</f>
        <v/>
      </c>
      <c r="L69" s="26">
        <f>IF('DIVA Satislari'!I69="","",IFERROR(INDEX('E2E Nakliye Montaj'!$AT$3:$AT$1002,MATCH('DIVA Satislari'!AJ69,'E2E Nakliye Montaj'!$AM$3:$AM$1002,0)),"Hayır"))</f>
        <v/>
      </c>
      <c r="M69" s="26">
        <f>IF('DIVA Satislari'!I69="","",IFERROR(INDEX('E2E Nakliye Montaj'!$AU$3:$AU$1002,MATCH('DIVA Satislari'!AJ69,'E2E Nakliye Montaj'!$AM$3:$AM$1002,0)),"Hayır"))</f>
        <v/>
      </c>
      <c r="N69" s="27">
        <f>IF('DIVA Satislari'!I69="","",IFERROR(INDEX('E2E Nakliye Montaj'!$AV$3:$AV$1002,MATCH('DIVA Satislari'!AJ69,'E2E Nakliye Montaj'!$AM$3:$AM$1002,0)),""))</f>
        <v/>
      </c>
      <c r="O69" s="26">
        <f>IF(OR(A69="",N69=""),"",IF(N69&lt;=H69,"Evet","HAYIR - RİSK"))</f>
        <v/>
      </c>
      <c r="P69" s="26">
        <f>IF(A69="","",IF(LEFT(J69,8)="Kural A ","Uygun - Hemen Ödenir (Yıl Sonu %75 Kontrolüne Tabi)",IF(OR(L69="Evet",M69="Evet"),IF(O69="Evet","Uygun","RİSK - Hakediş Süresi Aşıldı"),"Bekleniyor - Nakliye/Montaj Tamamlanmadı")))</f>
        <v/>
      </c>
      <c r="Q69" s="28">
        <f>IF(A69="","",SUMIFS('Hakedis Fatura Detay'!$G$3:$G$1200,'Hakedis Fatura Detay'!$H$3:$H$1200,'DIVA Satislari'!AJ69,'Hakedis Fatura Detay'!$F$3:$F$1200,"Fiyat Farkı")+SUMIFS('Hakedis Fatura Detay'!$G$3:$G$1200,'Hakedis Fatura Detay'!$H$3:$H$1200,'DIVA Satislari'!AJ69,'Hakedis Fatura Detay'!$F$3:$F$1200,"Bundle"))</f>
        <v/>
      </c>
      <c r="R69" s="28">
        <f>IF(A69="","",I69-Q69)</f>
        <v/>
      </c>
      <c r="S69" s="26">
        <f>IF(A69="","",IF(LEFT(P69,7)="Bekleni","N/A - Henüz Ödenmemeli",IF(LEFT(P69,4)="RİSK","İNCELEME GEREKLİ - Süre Aşımı",IF(R69=0,"Doğru",IF(R69&gt;0,"EKSİK ÖDENMİŞ","FAZLA ÖDENMİŞ")))))</f>
        <v/>
      </c>
      <c r="T69" s="30">
        <f>IF(A69="","",IF(F69&lt;&gt;"Evet","İNCELEME GEREKLİ - Kampanya Tanımsız",IF(G69&lt;&gt;"Evet","İNCELEME GEREKLİ - Tarih Dışı Satış",IF(LEFT(P69,4)="RİSK","İNCELEME GEREKLİ - Hakediş Süresi Aşıldı",IF(OR(S69="EKSİK ÖDENMİŞ",S69="FAZLA ÖDENMİŞ"),"İNCELEME GEREKLİ - Tutar Uyuşmazlığı",IF(LEFT(P69,7)="Bekleni","Bekleniyor","Uygun"))))))</f>
        <v/>
      </c>
    </row>
    <row r="70">
      <c r="A70" s="26">
        <f>IF('DIVA Satislari'!I70="","",'DIVA Satislari'!I70)</f>
        <v/>
      </c>
      <c r="B70" s="26">
        <f>IF('DIVA Satislari'!I70="","",'DIVA Satislari'!R70)</f>
        <v/>
      </c>
      <c r="C70" s="26">
        <f>IF('DIVA Satislari'!I70="","",'DIVA Satislari'!M70)</f>
        <v/>
      </c>
      <c r="D70" s="27">
        <f>IF('DIVA Satislari'!I70="","",'DIVA Satislari'!H70)</f>
        <v/>
      </c>
      <c r="E70" s="26">
        <f>IF('DIVA Satislari'!I70="","",'DIVA Satislari'!O70)</f>
        <v/>
      </c>
      <c r="F70" s="26">
        <f>IF('DIVA Satislari'!I70="","",'DIVA Satislari'!AK70)</f>
        <v/>
      </c>
      <c r="G70" s="26">
        <f>IF('DIVA Satislari'!I70="","",'DIVA Satislari'!AO70)</f>
        <v/>
      </c>
      <c r="H70" s="27">
        <f>IF('DIVA Satislari'!I70="","",'DIVA Satislari'!AN70)</f>
        <v/>
      </c>
      <c r="I70" s="28">
        <f>IF('DIVA Satislari'!I70="","",'DIVA Satislari'!AQ70)</f>
        <v/>
      </c>
      <c r="J70" s="26">
        <f>IF('DIVA Satislari'!I70="","",'DIVA Satislari'!AR70)</f>
        <v/>
      </c>
      <c r="K70" s="26">
        <f>IF('DIVA Satislari'!I70="","",IFERROR(INDEX('E2E Nakliye Montaj'!$AS$3:$AS$1002,MATCH('DIVA Satislari'!AJ70,'E2E Nakliye Montaj'!$AM$3:$AM$1002,0)),"Eşleşme Yok"))</f>
        <v/>
      </c>
      <c r="L70" s="26">
        <f>IF('DIVA Satislari'!I70="","",IFERROR(INDEX('E2E Nakliye Montaj'!$AT$3:$AT$1002,MATCH('DIVA Satislari'!AJ70,'E2E Nakliye Montaj'!$AM$3:$AM$1002,0)),"Hayır"))</f>
        <v/>
      </c>
      <c r="M70" s="26">
        <f>IF('DIVA Satislari'!I70="","",IFERROR(INDEX('E2E Nakliye Montaj'!$AU$3:$AU$1002,MATCH('DIVA Satislari'!AJ70,'E2E Nakliye Montaj'!$AM$3:$AM$1002,0)),"Hayır"))</f>
        <v/>
      </c>
      <c r="N70" s="27">
        <f>IF('DIVA Satislari'!I70="","",IFERROR(INDEX('E2E Nakliye Montaj'!$AV$3:$AV$1002,MATCH('DIVA Satislari'!AJ70,'E2E Nakliye Montaj'!$AM$3:$AM$1002,0)),""))</f>
        <v/>
      </c>
      <c r="O70" s="26">
        <f>IF(OR(A70="",N70=""),"",IF(N70&lt;=H70,"Evet","HAYIR - RİSK"))</f>
        <v/>
      </c>
      <c r="P70" s="26">
        <f>IF(A70="","",IF(LEFT(J70,8)="Kural A ","Uygun - Hemen Ödenir (Yıl Sonu %75 Kontrolüne Tabi)",IF(OR(L70="Evet",M70="Evet"),IF(O70="Evet","Uygun","RİSK - Hakediş Süresi Aşıldı"),"Bekleniyor - Nakliye/Montaj Tamamlanmadı")))</f>
        <v/>
      </c>
      <c r="Q70" s="28">
        <f>IF(A70="","",SUMIFS('Hakedis Fatura Detay'!$G$3:$G$1200,'Hakedis Fatura Detay'!$H$3:$H$1200,'DIVA Satislari'!AJ70,'Hakedis Fatura Detay'!$F$3:$F$1200,"Fiyat Farkı")+SUMIFS('Hakedis Fatura Detay'!$G$3:$G$1200,'Hakedis Fatura Detay'!$H$3:$H$1200,'DIVA Satislari'!AJ70,'Hakedis Fatura Detay'!$F$3:$F$1200,"Bundle"))</f>
        <v/>
      </c>
      <c r="R70" s="28">
        <f>IF(A70="","",I70-Q70)</f>
        <v/>
      </c>
      <c r="S70" s="26">
        <f>IF(A70="","",IF(LEFT(P70,7)="Bekleni","N/A - Henüz Ödenmemeli",IF(LEFT(P70,4)="RİSK","İNCELEME GEREKLİ - Süre Aşımı",IF(R70=0,"Doğru",IF(R70&gt;0,"EKSİK ÖDENMİŞ","FAZLA ÖDENMİŞ")))))</f>
        <v/>
      </c>
      <c r="T70" s="30">
        <f>IF(A70="","",IF(F70&lt;&gt;"Evet","İNCELEME GEREKLİ - Kampanya Tanımsız",IF(G70&lt;&gt;"Evet","İNCELEME GEREKLİ - Tarih Dışı Satış",IF(LEFT(P70,4)="RİSK","İNCELEME GEREKLİ - Hakediş Süresi Aşıldı",IF(OR(S70="EKSİK ÖDENMİŞ",S70="FAZLA ÖDENMİŞ"),"İNCELEME GEREKLİ - Tutar Uyuşmazlığı",IF(LEFT(P70,7)="Bekleni","Bekleniyor","Uygun"))))))</f>
        <v/>
      </c>
    </row>
    <row r="71">
      <c r="A71" s="26">
        <f>IF('DIVA Satislari'!I71="","",'DIVA Satislari'!I71)</f>
        <v/>
      </c>
      <c r="B71" s="26">
        <f>IF('DIVA Satislari'!I71="","",'DIVA Satislari'!R71)</f>
        <v/>
      </c>
      <c r="C71" s="26">
        <f>IF('DIVA Satislari'!I71="","",'DIVA Satislari'!M71)</f>
        <v/>
      </c>
      <c r="D71" s="27">
        <f>IF('DIVA Satislari'!I71="","",'DIVA Satislari'!H71)</f>
        <v/>
      </c>
      <c r="E71" s="26">
        <f>IF('DIVA Satislari'!I71="","",'DIVA Satislari'!O71)</f>
        <v/>
      </c>
      <c r="F71" s="26">
        <f>IF('DIVA Satislari'!I71="","",'DIVA Satislari'!AK71)</f>
        <v/>
      </c>
      <c r="G71" s="26">
        <f>IF('DIVA Satislari'!I71="","",'DIVA Satislari'!AO71)</f>
        <v/>
      </c>
      <c r="H71" s="27">
        <f>IF('DIVA Satislari'!I71="","",'DIVA Satislari'!AN71)</f>
        <v/>
      </c>
      <c r="I71" s="28">
        <f>IF('DIVA Satislari'!I71="","",'DIVA Satislari'!AQ71)</f>
        <v/>
      </c>
      <c r="J71" s="26">
        <f>IF('DIVA Satislari'!I71="","",'DIVA Satislari'!AR71)</f>
        <v/>
      </c>
      <c r="K71" s="26">
        <f>IF('DIVA Satislari'!I71="","",IFERROR(INDEX('E2E Nakliye Montaj'!$AS$3:$AS$1002,MATCH('DIVA Satislari'!AJ71,'E2E Nakliye Montaj'!$AM$3:$AM$1002,0)),"Eşleşme Yok"))</f>
        <v/>
      </c>
      <c r="L71" s="26">
        <f>IF('DIVA Satislari'!I71="","",IFERROR(INDEX('E2E Nakliye Montaj'!$AT$3:$AT$1002,MATCH('DIVA Satislari'!AJ71,'E2E Nakliye Montaj'!$AM$3:$AM$1002,0)),"Hayır"))</f>
        <v/>
      </c>
      <c r="M71" s="26">
        <f>IF('DIVA Satislari'!I71="","",IFERROR(INDEX('E2E Nakliye Montaj'!$AU$3:$AU$1002,MATCH('DIVA Satislari'!AJ71,'E2E Nakliye Montaj'!$AM$3:$AM$1002,0)),"Hayır"))</f>
        <v/>
      </c>
      <c r="N71" s="27">
        <f>IF('DIVA Satislari'!I71="","",IFERROR(INDEX('E2E Nakliye Montaj'!$AV$3:$AV$1002,MATCH('DIVA Satislari'!AJ71,'E2E Nakliye Montaj'!$AM$3:$AM$1002,0)),""))</f>
        <v/>
      </c>
      <c r="O71" s="26">
        <f>IF(OR(A71="",N71=""),"",IF(N71&lt;=H71,"Evet","HAYIR - RİSK"))</f>
        <v/>
      </c>
      <c r="P71" s="26">
        <f>IF(A71="","",IF(LEFT(J71,8)="Kural A ","Uygun - Hemen Ödenir (Yıl Sonu %75 Kontrolüne Tabi)",IF(OR(L71="Evet",M71="Evet"),IF(O71="Evet","Uygun","RİSK - Hakediş Süresi Aşıldı"),"Bekleniyor - Nakliye/Montaj Tamamlanmadı")))</f>
        <v/>
      </c>
      <c r="Q71" s="28">
        <f>IF(A71="","",SUMIFS('Hakedis Fatura Detay'!$G$3:$G$1200,'Hakedis Fatura Detay'!$H$3:$H$1200,'DIVA Satislari'!AJ71,'Hakedis Fatura Detay'!$F$3:$F$1200,"Fiyat Farkı")+SUMIFS('Hakedis Fatura Detay'!$G$3:$G$1200,'Hakedis Fatura Detay'!$H$3:$H$1200,'DIVA Satislari'!AJ71,'Hakedis Fatura Detay'!$F$3:$F$1200,"Bundle"))</f>
        <v/>
      </c>
      <c r="R71" s="28">
        <f>IF(A71="","",I71-Q71)</f>
        <v/>
      </c>
      <c r="S71" s="26">
        <f>IF(A71="","",IF(LEFT(P71,7)="Bekleni","N/A - Henüz Ödenmemeli",IF(LEFT(P71,4)="RİSK","İNCELEME GEREKLİ - Süre Aşımı",IF(R71=0,"Doğru",IF(R71&gt;0,"EKSİK ÖDENMİŞ","FAZLA ÖDENMİŞ")))))</f>
        <v/>
      </c>
      <c r="T71" s="30">
        <f>IF(A71="","",IF(F71&lt;&gt;"Evet","İNCELEME GEREKLİ - Kampanya Tanımsız",IF(G71&lt;&gt;"Evet","İNCELEME GEREKLİ - Tarih Dışı Satış",IF(LEFT(P71,4)="RİSK","İNCELEME GEREKLİ - Hakediş Süresi Aşıldı",IF(OR(S71="EKSİK ÖDENMİŞ",S71="FAZLA ÖDENMİŞ"),"İNCELEME GEREKLİ - Tutar Uyuşmazlığı",IF(LEFT(P71,7)="Bekleni","Bekleniyor","Uygun"))))))</f>
        <v/>
      </c>
    </row>
    <row r="72">
      <c r="A72" s="26">
        <f>IF('DIVA Satislari'!I72="","",'DIVA Satislari'!I72)</f>
        <v/>
      </c>
      <c r="B72" s="26">
        <f>IF('DIVA Satislari'!I72="","",'DIVA Satislari'!R72)</f>
        <v/>
      </c>
      <c r="C72" s="26">
        <f>IF('DIVA Satislari'!I72="","",'DIVA Satislari'!M72)</f>
        <v/>
      </c>
      <c r="D72" s="27">
        <f>IF('DIVA Satislari'!I72="","",'DIVA Satislari'!H72)</f>
        <v/>
      </c>
      <c r="E72" s="26">
        <f>IF('DIVA Satislari'!I72="","",'DIVA Satislari'!O72)</f>
        <v/>
      </c>
      <c r="F72" s="26">
        <f>IF('DIVA Satislari'!I72="","",'DIVA Satislari'!AK72)</f>
        <v/>
      </c>
      <c r="G72" s="26">
        <f>IF('DIVA Satislari'!I72="","",'DIVA Satislari'!AO72)</f>
        <v/>
      </c>
      <c r="H72" s="27">
        <f>IF('DIVA Satislari'!I72="","",'DIVA Satislari'!AN72)</f>
        <v/>
      </c>
      <c r="I72" s="28">
        <f>IF('DIVA Satislari'!I72="","",'DIVA Satislari'!AQ72)</f>
        <v/>
      </c>
      <c r="J72" s="26">
        <f>IF('DIVA Satislari'!I72="","",'DIVA Satislari'!AR72)</f>
        <v/>
      </c>
      <c r="K72" s="26">
        <f>IF('DIVA Satislari'!I72="","",IFERROR(INDEX('E2E Nakliye Montaj'!$AS$3:$AS$1002,MATCH('DIVA Satislari'!AJ72,'E2E Nakliye Montaj'!$AM$3:$AM$1002,0)),"Eşleşme Yok"))</f>
        <v/>
      </c>
      <c r="L72" s="26">
        <f>IF('DIVA Satislari'!I72="","",IFERROR(INDEX('E2E Nakliye Montaj'!$AT$3:$AT$1002,MATCH('DIVA Satislari'!AJ72,'E2E Nakliye Montaj'!$AM$3:$AM$1002,0)),"Hayır"))</f>
        <v/>
      </c>
      <c r="M72" s="26">
        <f>IF('DIVA Satislari'!I72="","",IFERROR(INDEX('E2E Nakliye Montaj'!$AU$3:$AU$1002,MATCH('DIVA Satislari'!AJ72,'E2E Nakliye Montaj'!$AM$3:$AM$1002,0)),"Hayır"))</f>
        <v/>
      </c>
      <c r="N72" s="27">
        <f>IF('DIVA Satislari'!I72="","",IFERROR(INDEX('E2E Nakliye Montaj'!$AV$3:$AV$1002,MATCH('DIVA Satislari'!AJ72,'E2E Nakliye Montaj'!$AM$3:$AM$1002,0)),""))</f>
        <v/>
      </c>
      <c r="O72" s="26">
        <f>IF(OR(A72="",N72=""),"",IF(N72&lt;=H72,"Evet","HAYIR - RİSK"))</f>
        <v/>
      </c>
      <c r="P72" s="26">
        <f>IF(A72="","",IF(LEFT(J72,8)="Kural A ","Uygun - Hemen Ödenir (Yıl Sonu %75 Kontrolüne Tabi)",IF(OR(L72="Evet",M72="Evet"),IF(O72="Evet","Uygun","RİSK - Hakediş Süresi Aşıldı"),"Bekleniyor - Nakliye/Montaj Tamamlanmadı")))</f>
        <v/>
      </c>
      <c r="Q72" s="28">
        <f>IF(A72="","",SUMIFS('Hakedis Fatura Detay'!$G$3:$G$1200,'Hakedis Fatura Detay'!$H$3:$H$1200,'DIVA Satislari'!AJ72,'Hakedis Fatura Detay'!$F$3:$F$1200,"Fiyat Farkı")+SUMIFS('Hakedis Fatura Detay'!$G$3:$G$1200,'Hakedis Fatura Detay'!$H$3:$H$1200,'DIVA Satislari'!AJ72,'Hakedis Fatura Detay'!$F$3:$F$1200,"Bundle"))</f>
        <v/>
      </c>
      <c r="R72" s="28">
        <f>IF(A72="","",I72-Q72)</f>
        <v/>
      </c>
      <c r="S72" s="26">
        <f>IF(A72="","",IF(LEFT(P72,7)="Bekleni","N/A - Henüz Ödenmemeli",IF(LEFT(P72,4)="RİSK","İNCELEME GEREKLİ - Süre Aşımı",IF(R72=0,"Doğru",IF(R72&gt;0,"EKSİK ÖDENMİŞ","FAZLA ÖDENMİŞ")))))</f>
        <v/>
      </c>
      <c r="T72" s="30">
        <f>IF(A72="","",IF(F72&lt;&gt;"Evet","İNCELEME GEREKLİ - Kampanya Tanımsız",IF(G72&lt;&gt;"Evet","İNCELEME GEREKLİ - Tarih Dışı Satış",IF(LEFT(P72,4)="RİSK","İNCELEME GEREKLİ - Hakediş Süresi Aşıldı",IF(OR(S72="EKSİK ÖDENMİŞ",S72="FAZLA ÖDENMİŞ"),"İNCELEME GEREKLİ - Tutar Uyuşmazlığı",IF(LEFT(P72,7)="Bekleni","Bekleniyor","Uygun"))))))</f>
        <v/>
      </c>
    </row>
    <row r="73">
      <c r="A73" s="26">
        <f>IF('DIVA Satislari'!I73="","",'DIVA Satislari'!I73)</f>
        <v/>
      </c>
      <c r="B73" s="26">
        <f>IF('DIVA Satislari'!I73="","",'DIVA Satislari'!R73)</f>
        <v/>
      </c>
      <c r="C73" s="26">
        <f>IF('DIVA Satislari'!I73="","",'DIVA Satislari'!M73)</f>
        <v/>
      </c>
      <c r="D73" s="27">
        <f>IF('DIVA Satislari'!I73="","",'DIVA Satislari'!H73)</f>
        <v/>
      </c>
      <c r="E73" s="26">
        <f>IF('DIVA Satislari'!I73="","",'DIVA Satislari'!O73)</f>
        <v/>
      </c>
      <c r="F73" s="26">
        <f>IF('DIVA Satislari'!I73="","",'DIVA Satislari'!AK73)</f>
        <v/>
      </c>
      <c r="G73" s="26">
        <f>IF('DIVA Satislari'!I73="","",'DIVA Satislari'!AO73)</f>
        <v/>
      </c>
      <c r="H73" s="27">
        <f>IF('DIVA Satislari'!I73="","",'DIVA Satislari'!AN73)</f>
        <v/>
      </c>
      <c r="I73" s="28">
        <f>IF('DIVA Satislari'!I73="","",'DIVA Satislari'!AQ73)</f>
        <v/>
      </c>
      <c r="J73" s="26">
        <f>IF('DIVA Satislari'!I73="","",'DIVA Satislari'!AR73)</f>
        <v/>
      </c>
      <c r="K73" s="26">
        <f>IF('DIVA Satislari'!I73="","",IFERROR(INDEX('E2E Nakliye Montaj'!$AS$3:$AS$1002,MATCH('DIVA Satislari'!AJ73,'E2E Nakliye Montaj'!$AM$3:$AM$1002,0)),"Eşleşme Yok"))</f>
        <v/>
      </c>
      <c r="L73" s="26">
        <f>IF('DIVA Satislari'!I73="","",IFERROR(INDEX('E2E Nakliye Montaj'!$AT$3:$AT$1002,MATCH('DIVA Satislari'!AJ73,'E2E Nakliye Montaj'!$AM$3:$AM$1002,0)),"Hayır"))</f>
        <v/>
      </c>
      <c r="M73" s="26">
        <f>IF('DIVA Satislari'!I73="","",IFERROR(INDEX('E2E Nakliye Montaj'!$AU$3:$AU$1002,MATCH('DIVA Satislari'!AJ73,'E2E Nakliye Montaj'!$AM$3:$AM$1002,0)),"Hayır"))</f>
        <v/>
      </c>
      <c r="N73" s="27">
        <f>IF('DIVA Satislari'!I73="","",IFERROR(INDEX('E2E Nakliye Montaj'!$AV$3:$AV$1002,MATCH('DIVA Satislari'!AJ73,'E2E Nakliye Montaj'!$AM$3:$AM$1002,0)),""))</f>
        <v/>
      </c>
      <c r="O73" s="26">
        <f>IF(OR(A73="",N73=""),"",IF(N73&lt;=H73,"Evet","HAYIR - RİSK"))</f>
        <v/>
      </c>
      <c r="P73" s="26">
        <f>IF(A73="","",IF(LEFT(J73,8)="Kural A ","Uygun - Hemen Ödenir (Yıl Sonu %75 Kontrolüne Tabi)",IF(OR(L73="Evet",M73="Evet"),IF(O73="Evet","Uygun","RİSK - Hakediş Süresi Aşıldı"),"Bekleniyor - Nakliye/Montaj Tamamlanmadı")))</f>
        <v/>
      </c>
      <c r="Q73" s="28">
        <f>IF(A73="","",SUMIFS('Hakedis Fatura Detay'!$G$3:$G$1200,'Hakedis Fatura Detay'!$H$3:$H$1200,'DIVA Satislari'!AJ73,'Hakedis Fatura Detay'!$F$3:$F$1200,"Fiyat Farkı")+SUMIFS('Hakedis Fatura Detay'!$G$3:$G$1200,'Hakedis Fatura Detay'!$H$3:$H$1200,'DIVA Satislari'!AJ73,'Hakedis Fatura Detay'!$F$3:$F$1200,"Bundle"))</f>
        <v/>
      </c>
      <c r="R73" s="28">
        <f>IF(A73="","",I73-Q73)</f>
        <v/>
      </c>
      <c r="S73" s="26">
        <f>IF(A73="","",IF(LEFT(P73,7)="Bekleni","N/A - Henüz Ödenmemeli",IF(LEFT(P73,4)="RİSK","İNCELEME GEREKLİ - Süre Aşımı",IF(R73=0,"Doğru",IF(R73&gt;0,"EKSİK ÖDENMİŞ","FAZLA ÖDENMİŞ")))))</f>
        <v/>
      </c>
      <c r="T73" s="30">
        <f>IF(A73="","",IF(F73&lt;&gt;"Evet","İNCELEME GEREKLİ - Kampanya Tanımsız",IF(G73&lt;&gt;"Evet","İNCELEME GEREKLİ - Tarih Dışı Satış",IF(LEFT(P73,4)="RİSK","İNCELEME GEREKLİ - Hakediş Süresi Aşıldı",IF(OR(S73="EKSİK ÖDENMİŞ",S73="FAZLA ÖDENMİŞ"),"İNCELEME GEREKLİ - Tutar Uyuşmazlığı",IF(LEFT(P73,7)="Bekleni","Bekleniyor","Uygun"))))))</f>
        <v/>
      </c>
    </row>
    <row r="74">
      <c r="A74" s="26">
        <f>IF('DIVA Satislari'!I74="","",'DIVA Satislari'!I74)</f>
        <v/>
      </c>
      <c r="B74" s="26">
        <f>IF('DIVA Satislari'!I74="","",'DIVA Satislari'!R74)</f>
        <v/>
      </c>
      <c r="C74" s="26">
        <f>IF('DIVA Satislari'!I74="","",'DIVA Satislari'!M74)</f>
        <v/>
      </c>
      <c r="D74" s="27">
        <f>IF('DIVA Satislari'!I74="","",'DIVA Satislari'!H74)</f>
        <v/>
      </c>
      <c r="E74" s="26">
        <f>IF('DIVA Satislari'!I74="","",'DIVA Satislari'!O74)</f>
        <v/>
      </c>
      <c r="F74" s="26">
        <f>IF('DIVA Satislari'!I74="","",'DIVA Satislari'!AK74)</f>
        <v/>
      </c>
      <c r="G74" s="26">
        <f>IF('DIVA Satislari'!I74="","",'DIVA Satislari'!AO74)</f>
        <v/>
      </c>
      <c r="H74" s="27">
        <f>IF('DIVA Satislari'!I74="","",'DIVA Satislari'!AN74)</f>
        <v/>
      </c>
      <c r="I74" s="28">
        <f>IF('DIVA Satislari'!I74="","",'DIVA Satislari'!AQ74)</f>
        <v/>
      </c>
      <c r="J74" s="26">
        <f>IF('DIVA Satislari'!I74="","",'DIVA Satislari'!AR74)</f>
        <v/>
      </c>
      <c r="K74" s="26">
        <f>IF('DIVA Satislari'!I74="","",IFERROR(INDEX('E2E Nakliye Montaj'!$AS$3:$AS$1002,MATCH('DIVA Satislari'!AJ74,'E2E Nakliye Montaj'!$AM$3:$AM$1002,0)),"Eşleşme Yok"))</f>
        <v/>
      </c>
      <c r="L74" s="26">
        <f>IF('DIVA Satislari'!I74="","",IFERROR(INDEX('E2E Nakliye Montaj'!$AT$3:$AT$1002,MATCH('DIVA Satislari'!AJ74,'E2E Nakliye Montaj'!$AM$3:$AM$1002,0)),"Hayır"))</f>
        <v/>
      </c>
      <c r="M74" s="26">
        <f>IF('DIVA Satislari'!I74="","",IFERROR(INDEX('E2E Nakliye Montaj'!$AU$3:$AU$1002,MATCH('DIVA Satislari'!AJ74,'E2E Nakliye Montaj'!$AM$3:$AM$1002,0)),"Hayır"))</f>
        <v/>
      </c>
      <c r="N74" s="27">
        <f>IF('DIVA Satislari'!I74="","",IFERROR(INDEX('E2E Nakliye Montaj'!$AV$3:$AV$1002,MATCH('DIVA Satislari'!AJ74,'E2E Nakliye Montaj'!$AM$3:$AM$1002,0)),""))</f>
        <v/>
      </c>
      <c r="O74" s="26">
        <f>IF(OR(A74="",N74=""),"",IF(N74&lt;=H74,"Evet","HAYIR - RİSK"))</f>
        <v/>
      </c>
      <c r="P74" s="26">
        <f>IF(A74="","",IF(LEFT(J74,8)="Kural A ","Uygun - Hemen Ödenir (Yıl Sonu %75 Kontrolüne Tabi)",IF(OR(L74="Evet",M74="Evet"),IF(O74="Evet","Uygun","RİSK - Hakediş Süresi Aşıldı"),"Bekleniyor - Nakliye/Montaj Tamamlanmadı")))</f>
        <v/>
      </c>
      <c r="Q74" s="28">
        <f>IF(A74="","",SUMIFS('Hakedis Fatura Detay'!$G$3:$G$1200,'Hakedis Fatura Detay'!$H$3:$H$1200,'DIVA Satislari'!AJ74,'Hakedis Fatura Detay'!$F$3:$F$1200,"Fiyat Farkı")+SUMIFS('Hakedis Fatura Detay'!$G$3:$G$1200,'Hakedis Fatura Detay'!$H$3:$H$1200,'DIVA Satislari'!AJ74,'Hakedis Fatura Detay'!$F$3:$F$1200,"Bundle"))</f>
        <v/>
      </c>
      <c r="R74" s="28">
        <f>IF(A74="","",I74-Q74)</f>
        <v/>
      </c>
      <c r="S74" s="26">
        <f>IF(A74="","",IF(LEFT(P74,7)="Bekleni","N/A - Henüz Ödenmemeli",IF(LEFT(P74,4)="RİSK","İNCELEME GEREKLİ - Süre Aşımı",IF(R74=0,"Doğru",IF(R74&gt;0,"EKSİK ÖDENMİŞ","FAZLA ÖDENMİŞ")))))</f>
        <v/>
      </c>
      <c r="T74" s="30">
        <f>IF(A74="","",IF(F74&lt;&gt;"Evet","İNCELEME GEREKLİ - Kampanya Tanımsız",IF(G74&lt;&gt;"Evet","İNCELEME GEREKLİ - Tarih Dışı Satış",IF(LEFT(P74,4)="RİSK","İNCELEME GEREKLİ - Hakediş Süresi Aşıldı",IF(OR(S74="EKSİK ÖDENMİŞ",S74="FAZLA ÖDENMİŞ"),"İNCELEME GEREKLİ - Tutar Uyuşmazlığı",IF(LEFT(P74,7)="Bekleni","Bekleniyor","Uygun"))))))</f>
        <v/>
      </c>
    </row>
    <row r="75">
      <c r="A75" s="26">
        <f>IF('DIVA Satislari'!I75="","",'DIVA Satislari'!I75)</f>
        <v/>
      </c>
      <c r="B75" s="26">
        <f>IF('DIVA Satislari'!I75="","",'DIVA Satislari'!R75)</f>
        <v/>
      </c>
      <c r="C75" s="26">
        <f>IF('DIVA Satislari'!I75="","",'DIVA Satislari'!M75)</f>
        <v/>
      </c>
      <c r="D75" s="27">
        <f>IF('DIVA Satislari'!I75="","",'DIVA Satislari'!H75)</f>
        <v/>
      </c>
      <c r="E75" s="26">
        <f>IF('DIVA Satislari'!I75="","",'DIVA Satislari'!O75)</f>
        <v/>
      </c>
      <c r="F75" s="26">
        <f>IF('DIVA Satislari'!I75="","",'DIVA Satislari'!AK75)</f>
        <v/>
      </c>
      <c r="G75" s="26">
        <f>IF('DIVA Satislari'!I75="","",'DIVA Satislari'!AO75)</f>
        <v/>
      </c>
      <c r="H75" s="27">
        <f>IF('DIVA Satislari'!I75="","",'DIVA Satislari'!AN75)</f>
        <v/>
      </c>
      <c r="I75" s="28">
        <f>IF('DIVA Satislari'!I75="","",'DIVA Satislari'!AQ75)</f>
        <v/>
      </c>
      <c r="J75" s="26">
        <f>IF('DIVA Satislari'!I75="","",'DIVA Satislari'!AR75)</f>
        <v/>
      </c>
      <c r="K75" s="26">
        <f>IF('DIVA Satislari'!I75="","",IFERROR(INDEX('E2E Nakliye Montaj'!$AS$3:$AS$1002,MATCH('DIVA Satislari'!AJ75,'E2E Nakliye Montaj'!$AM$3:$AM$1002,0)),"Eşleşme Yok"))</f>
        <v/>
      </c>
      <c r="L75" s="26">
        <f>IF('DIVA Satislari'!I75="","",IFERROR(INDEX('E2E Nakliye Montaj'!$AT$3:$AT$1002,MATCH('DIVA Satislari'!AJ75,'E2E Nakliye Montaj'!$AM$3:$AM$1002,0)),"Hayır"))</f>
        <v/>
      </c>
      <c r="M75" s="26">
        <f>IF('DIVA Satislari'!I75="","",IFERROR(INDEX('E2E Nakliye Montaj'!$AU$3:$AU$1002,MATCH('DIVA Satislari'!AJ75,'E2E Nakliye Montaj'!$AM$3:$AM$1002,0)),"Hayır"))</f>
        <v/>
      </c>
      <c r="N75" s="27">
        <f>IF('DIVA Satislari'!I75="","",IFERROR(INDEX('E2E Nakliye Montaj'!$AV$3:$AV$1002,MATCH('DIVA Satislari'!AJ75,'E2E Nakliye Montaj'!$AM$3:$AM$1002,0)),""))</f>
        <v/>
      </c>
      <c r="O75" s="26">
        <f>IF(OR(A75="",N75=""),"",IF(N75&lt;=H75,"Evet","HAYIR - RİSK"))</f>
        <v/>
      </c>
      <c r="P75" s="26">
        <f>IF(A75="","",IF(LEFT(J75,8)="Kural A ","Uygun - Hemen Ödenir (Yıl Sonu %75 Kontrolüne Tabi)",IF(OR(L75="Evet",M75="Evet"),IF(O75="Evet","Uygun","RİSK - Hakediş Süresi Aşıldı"),"Bekleniyor - Nakliye/Montaj Tamamlanmadı")))</f>
        <v/>
      </c>
      <c r="Q75" s="28">
        <f>IF(A75="","",SUMIFS('Hakedis Fatura Detay'!$G$3:$G$1200,'Hakedis Fatura Detay'!$H$3:$H$1200,'DIVA Satislari'!AJ75,'Hakedis Fatura Detay'!$F$3:$F$1200,"Fiyat Farkı")+SUMIFS('Hakedis Fatura Detay'!$G$3:$G$1200,'Hakedis Fatura Detay'!$H$3:$H$1200,'DIVA Satislari'!AJ75,'Hakedis Fatura Detay'!$F$3:$F$1200,"Bundle"))</f>
        <v/>
      </c>
      <c r="R75" s="28">
        <f>IF(A75="","",I75-Q75)</f>
        <v/>
      </c>
      <c r="S75" s="26">
        <f>IF(A75="","",IF(LEFT(P75,7)="Bekleni","N/A - Henüz Ödenmemeli",IF(LEFT(P75,4)="RİSK","İNCELEME GEREKLİ - Süre Aşımı",IF(R75=0,"Doğru",IF(R75&gt;0,"EKSİK ÖDENMİŞ","FAZLA ÖDENMİŞ")))))</f>
        <v/>
      </c>
      <c r="T75" s="30">
        <f>IF(A75="","",IF(F75&lt;&gt;"Evet","İNCELEME GEREKLİ - Kampanya Tanımsız",IF(G75&lt;&gt;"Evet","İNCELEME GEREKLİ - Tarih Dışı Satış",IF(LEFT(P75,4)="RİSK","İNCELEME GEREKLİ - Hakediş Süresi Aşıldı",IF(OR(S75="EKSİK ÖDENMİŞ",S75="FAZLA ÖDENMİŞ"),"İNCELEME GEREKLİ - Tutar Uyuşmazlığı",IF(LEFT(P75,7)="Bekleni","Bekleniyor","Uygun"))))))</f>
        <v/>
      </c>
    </row>
    <row r="76">
      <c r="A76" s="26">
        <f>IF('DIVA Satislari'!I76="","",'DIVA Satislari'!I76)</f>
        <v/>
      </c>
      <c r="B76" s="26">
        <f>IF('DIVA Satislari'!I76="","",'DIVA Satislari'!R76)</f>
        <v/>
      </c>
      <c r="C76" s="26">
        <f>IF('DIVA Satislari'!I76="","",'DIVA Satislari'!M76)</f>
        <v/>
      </c>
      <c r="D76" s="27">
        <f>IF('DIVA Satislari'!I76="","",'DIVA Satislari'!H76)</f>
        <v/>
      </c>
      <c r="E76" s="26">
        <f>IF('DIVA Satislari'!I76="","",'DIVA Satislari'!O76)</f>
        <v/>
      </c>
      <c r="F76" s="26">
        <f>IF('DIVA Satislari'!I76="","",'DIVA Satislari'!AK76)</f>
        <v/>
      </c>
      <c r="G76" s="26">
        <f>IF('DIVA Satislari'!I76="","",'DIVA Satislari'!AO76)</f>
        <v/>
      </c>
      <c r="H76" s="27">
        <f>IF('DIVA Satislari'!I76="","",'DIVA Satislari'!AN76)</f>
        <v/>
      </c>
      <c r="I76" s="28">
        <f>IF('DIVA Satislari'!I76="","",'DIVA Satislari'!AQ76)</f>
        <v/>
      </c>
      <c r="J76" s="26">
        <f>IF('DIVA Satislari'!I76="","",'DIVA Satislari'!AR76)</f>
        <v/>
      </c>
      <c r="K76" s="26">
        <f>IF('DIVA Satislari'!I76="","",IFERROR(INDEX('E2E Nakliye Montaj'!$AS$3:$AS$1002,MATCH('DIVA Satislari'!AJ76,'E2E Nakliye Montaj'!$AM$3:$AM$1002,0)),"Eşleşme Yok"))</f>
        <v/>
      </c>
      <c r="L76" s="26">
        <f>IF('DIVA Satislari'!I76="","",IFERROR(INDEX('E2E Nakliye Montaj'!$AT$3:$AT$1002,MATCH('DIVA Satislari'!AJ76,'E2E Nakliye Montaj'!$AM$3:$AM$1002,0)),"Hayır"))</f>
        <v/>
      </c>
      <c r="M76" s="26">
        <f>IF('DIVA Satislari'!I76="","",IFERROR(INDEX('E2E Nakliye Montaj'!$AU$3:$AU$1002,MATCH('DIVA Satislari'!AJ76,'E2E Nakliye Montaj'!$AM$3:$AM$1002,0)),"Hayır"))</f>
        <v/>
      </c>
      <c r="N76" s="27">
        <f>IF('DIVA Satislari'!I76="","",IFERROR(INDEX('E2E Nakliye Montaj'!$AV$3:$AV$1002,MATCH('DIVA Satislari'!AJ76,'E2E Nakliye Montaj'!$AM$3:$AM$1002,0)),""))</f>
        <v/>
      </c>
      <c r="O76" s="26">
        <f>IF(OR(A76="",N76=""),"",IF(N76&lt;=H76,"Evet","HAYIR - RİSK"))</f>
        <v/>
      </c>
      <c r="P76" s="26">
        <f>IF(A76="","",IF(LEFT(J76,8)="Kural A ","Uygun - Hemen Ödenir (Yıl Sonu %75 Kontrolüne Tabi)",IF(OR(L76="Evet",M76="Evet"),IF(O76="Evet","Uygun","RİSK - Hakediş Süresi Aşıldı"),"Bekleniyor - Nakliye/Montaj Tamamlanmadı")))</f>
        <v/>
      </c>
      <c r="Q76" s="28">
        <f>IF(A76="","",SUMIFS('Hakedis Fatura Detay'!$G$3:$G$1200,'Hakedis Fatura Detay'!$H$3:$H$1200,'DIVA Satislari'!AJ76,'Hakedis Fatura Detay'!$F$3:$F$1200,"Fiyat Farkı")+SUMIFS('Hakedis Fatura Detay'!$G$3:$G$1200,'Hakedis Fatura Detay'!$H$3:$H$1200,'DIVA Satislari'!AJ76,'Hakedis Fatura Detay'!$F$3:$F$1200,"Bundle"))</f>
        <v/>
      </c>
      <c r="R76" s="28">
        <f>IF(A76="","",I76-Q76)</f>
        <v/>
      </c>
      <c r="S76" s="26">
        <f>IF(A76="","",IF(LEFT(P76,7)="Bekleni","N/A - Henüz Ödenmemeli",IF(LEFT(P76,4)="RİSK","İNCELEME GEREKLİ - Süre Aşımı",IF(R76=0,"Doğru",IF(R76&gt;0,"EKSİK ÖDENMİŞ","FAZLA ÖDENMİŞ")))))</f>
        <v/>
      </c>
      <c r="T76" s="30">
        <f>IF(A76="","",IF(F76&lt;&gt;"Evet","İNCELEME GEREKLİ - Kampanya Tanımsız",IF(G76&lt;&gt;"Evet","İNCELEME GEREKLİ - Tarih Dışı Satış",IF(LEFT(P76,4)="RİSK","İNCELEME GEREKLİ - Hakediş Süresi Aşıldı",IF(OR(S76="EKSİK ÖDENMİŞ",S76="FAZLA ÖDENMİŞ"),"İNCELEME GEREKLİ - Tutar Uyuşmazlığı",IF(LEFT(P76,7)="Bekleni","Bekleniyor","Uygun"))))))</f>
        <v/>
      </c>
    </row>
    <row r="77">
      <c r="A77" s="26">
        <f>IF('DIVA Satislari'!I77="","",'DIVA Satislari'!I77)</f>
        <v/>
      </c>
      <c r="B77" s="26">
        <f>IF('DIVA Satislari'!I77="","",'DIVA Satislari'!R77)</f>
        <v/>
      </c>
      <c r="C77" s="26">
        <f>IF('DIVA Satislari'!I77="","",'DIVA Satislari'!M77)</f>
        <v/>
      </c>
      <c r="D77" s="27">
        <f>IF('DIVA Satislari'!I77="","",'DIVA Satislari'!H77)</f>
        <v/>
      </c>
      <c r="E77" s="26">
        <f>IF('DIVA Satislari'!I77="","",'DIVA Satislari'!O77)</f>
        <v/>
      </c>
      <c r="F77" s="26">
        <f>IF('DIVA Satislari'!I77="","",'DIVA Satislari'!AK77)</f>
        <v/>
      </c>
      <c r="G77" s="26">
        <f>IF('DIVA Satislari'!I77="","",'DIVA Satislari'!AO77)</f>
        <v/>
      </c>
      <c r="H77" s="27">
        <f>IF('DIVA Satislari'!I77="","",'DIVA Satislari'!AN77)</f>
        <v/>
      </c>
      <c r="I77" s="28">
        <f>IF('DIVA Satislari'!I77="","",'DIVA Satislari'!AQ77)</f>
        <v/>
      </c>
      <c r="J77" s="26">
        <f>IF('DIVA Satislari'!I77="","",'DIVA Satislari'!AR77)</f>
        <v/>
      </c>
      <c r="K77" s="26">
        <f>IF('DIVA Satislari'!I77="","",IFERROR(INDEX('E2E Nakliye Montaj'!$AS$3:$AS$1002,MATCH('DIVA Satislari'!AJ77,'E2E Nakliye Montaj'!$AM$3:$AM$1002,0)),"Eşleşme Yok"))</f>
        <v/>
      </c>
      <c r="L77" s="26">
        <f>IF('DIVA Satislari'!I77="","",IFERROR(INDEX('E2E Nakliye Montaj'!$AT$3:$AT$1002,MATCH('DIVA Satislari'!AJ77,'E2E Nakliye Montaj'!$AM$3:$AM$1002,0)),"Hayır"))</f>
        <v/>
      </c>
      <c r="M77" s="26">
        <f>IF('DIVA Satislari'!I77="","",IFERROR(INDEX('E2E Nakliye Montaj'!$AU$3:$AU$1002,MATCH('DIVA Satislari'!AJ77,'E2E Nakliye Montaj'!$AM$3:$AM$1002,0)),"Hayır"))</f>
        <v/>
      </c>
      <c r="N77" s="27">
        <f>IF('DIVA Satislari'!I77="","",IFERROR(INDEX('E2E Nakliye Montaj'!$AV$3:$AV$1002,MATCH('DIVA Satislari'!AJ77,'E2E Nakliye Montaj'!$AM$3:$AM$1002,0)),""))</f>
        <v/>
      </c>
      <c r="O77" s="26">
        <f>IF(OR(A77="",N77=""),"",IF(N77&lt;=H77,"Evet","HAYIR - RİSK"))</f>
        <v/>
      </c>
      <c r="P77" s="26">
        <f>IF(A77="","",IF(LEFT(J77,8)="Kural A ","Uygun - Hemen Ödenir (Yıl Sonu %75 Kontrolüne Tabi)",IF(OR(L77="Evet",M77="Evet"),IF(O77="Evet","Uygun","RİSK - Hakediş Süresi Aşıldı"),"Bekleniyor - Nakliye/Montaj Tamamlanmadı")))</f>
        <v/>
      </c>
      <c r="Q77" s="28">
        <f>IF(A77="","",SUMIFS('Hakedis Fatura Detay'!$G$3:$G$1200,'Hakedis Fatura Detay'!$H$3:$H$1200,'DIVA Satislari'!AJ77,'Hakedis Fatura Detay'!$F$3:$F$1200,"Fiyat Farkı")+SUMIFS('Hakedis Fatura Detay'!$G$3:$G$1200,'Hakedis Fatura Detay'!$H$3:$H$1200,'DIVA Satislari'!AJ77,'Hakedis Fatura Detay'!$F$3:$F$1200,"Bundle"))</f>
        <v/>
      </c>
      <c r="R77" s="28">
        <f>IF(A77="","",I77-Q77)</f>
        <v/>
      </c>
      <c r="S77" s="26">
        <f>IF(A77="","",IF(LEFT(P77,7)="Bekleni","N/A - Henüz Ödenmemeli",IF(LEFT(P77,4)="RİSK","İNCELEME GEREKLİ - Süre Aşımı",IF(R77=0,"Doğru",IF(R77&gt;0,"EKSİK ÖDENMİŞ","FAZLA ÖDENMİŞ")))))</f>
        <v/>
      </c>
      <c r="T77" s="30">
        <f>IF(A77="","",IF(F77&lt;&gt;"Evet","İNCELEME GEREKLİ - Kampanya Tanımsız",IF(G77&lt;&gt;"Evet","İNCELEME GEREKLİ - Tarih Dışı Satış",IF(LEFT(P77,4)="RİSK","İNCELEME GEREKLİ - Hakediş Süresi Aşıldı",IF(OR(S77="EKSİK ÖDENMİŞ",S77="FAZLA ÖDENMİŞ"),"İNCELEME GEREKLİ - Tutar Uyuşmazlığı",IF(LEFT(P77,7)="Bekleni","Bekleniyor","Uygun"))))))</f>
        <v/>
      </c>
    </row>
    <row r="78">
      <c r="A78" s="26">
        <f>IF('DIVA Satislari'!I78="","",'DIVA Satislari'!I78)</f>
        <v/>
      </c>
      <c r="B78" s="26">
        <f>IF('DIVA Satislari'!I78="","",'DIVA Satislari'!R78)</f>
        <v/>
      </c>
      <c r="C78" s="26">
        <f>IF('DIVA Satislari'!I78="","",'DIVA Satislari'!M78)</f>
        <v/>
      </c>
      <c r="D78" s="27">
        <f>IF('DIVA Satislari'!I78="","",'DIVA Satislari'!H78)</f>
        <v/>
      </c>
      <c r="E78" s="26">
        <f>IF('DIVA Satislari'!I78="","",'DIVA Satislari'!O78)</f>
        <v/>
      </c>
      <c r="F78" s="26">
        <f>IF('DIVA Satislari'!I78="","",'DIVA Satislari'!AK78)</f>
        <v/>
      </c>
      <c r="G78" s="26">
        <f>IF('DIVA Satislari'!I78="","",'DIVA Satislari'!AO78)</f>
        <v/>
      </c>
      <c r="H78" s="27">
        <f>IF('DIVA Satislari'!I78="","",'DIVA Satislari'!AN78)</f>
        <v/>
      </c>
      <c r="I78" s="28">
        <f>IF('DIVA Satislari'!I78="","",'DIVA Satislari'!AQ78)</f>
        <v/>
      </c>
      <c r="J78" s="26">
        <f>IF('DIVA Satislari'!I78="","",'DIVA Satislari'!AR78)</f>
        <v/>
      </c>
      <c r="K78" s="26">
        <f>IF('DIVA Satislari'!I78="","",IFERROR(INDEX('E2E Nakliye Montaj'!$AS$3:$AS$1002,MATCH('DIVA Satislari'!AJ78,'E2E Nakliye Montaj'!$AM$3:$AM$1002,0)),"Eşleşme Yok"))</f>
        <v/>
      </c>
      <c r="L78" s="26">
        <f>IF('DIVA Satislari'!I78="","",IFERROR(INDEX('E2E Nakliye Montaj'!$AT$3:$AT$1002,MATCH('DIVA Satislari'!AJ78,'E2E Nakliye Montaj'!$AM$3:$AM$1002,0)),"Hayır"))</f>
        <v/>
      </c>
      <c r="M78" s="26">
        <f>IF('DIVA Satislari'!I78="","",IFERROR(INDEX('E2E Nakliye Montaj'!$AU$3:$AU$1002,MATCH('DIVA Satislari'!AJ78,'E2E Nakliye Montaj'!$AM$3:$AM$1002,0)),"Hayır"))</f>
        <v/>
      </c>
      <c r="N78" s="27">
        <f>IF('DIVA Satislari'!I78="","",IFERROR(INDEX('E2E Nakliye Montaj'!$AV$3:$AV$1002,MATCH('DIVA Satislari'!AJ78,'E2E Nakliye Montaj'!$AM$3:$AM$1002,0)),""))</f>
        <v/>
      </c>
      <c r="O78" s="26">
        <f>IF(OR(A78="",N78=""),"",IF(N78&lt;=H78,"Evet","HAYIR - RİSK"))</f>
        <v/>
      </c>
      <c r="P78" s="26">
        <f>IF(A78="","",IF(LEFT(J78,8)="Kural A ","Uygun - Hemen Ödenir (Yıl Sonu %75 Kontrolüne Tabi)",IF(OR(L78="Evet",M78="Evet"),IF(O78="Evet","Uygun","RİSK - Hakediş Süresi Aşıldı"),"Bekleniyor - Nakliye/Montaj Tamamlanmadı")))</f>
        <v/>
      </c>
      <c r="Q78" s="28">
        <f>IF(A78="","",SUMIFS('Hakedis Fatura Detay'!$G$3:$G$1200,'Hakedis Fatura Detay'!$H$3:$H$1200,'DIVA Satislari'!AJ78,'Hakedis Fatura Detay'!$F$3:$F$1200,"Fiyat Farkı")+SUMIFS('Hakedis Fatura Detay'!$G$3:$G$1200,'Hakedis Fatura Detay'!$H$3:$H$1200,'DIVA Satislari'!AJ78,'Hakedis Fatura Detay'!$F$3:$F$1200,"Bundle"))</f>
        <v/>
      </c>
      <c r="R78" s="28">
        <f>IF(A78="","",I78-Q78)</f>
        <v/>
      </c>
      <c r="S78" s="26">
        <f>IF(A78="","",IF(LEFT(P78,7)="Bekleni","N/A - Henüz Ödenmemeli",IF(LEFT(P78,4)="RİSK","İNCELEME GEREKLİ - Süre Aşımı",IF(R78=0,"Doğru",IF(R78&gt;0,"EKSİK ÖDENMİŞ","FAZLA ÖDENMİŞ")))))</f>
        <v/>
      </c>
      <c r="T78" s="30">
        <f>IF(A78="","",IF(F78&lt;&gt;"Evet","İNCELEME GEREKLİ - Kampanya Tanımsız",IF(G78&lt;&gt;"Evet","İNCELEME GEREKLİ - Tarih Dışı Satış",IF(LEFT(P78,4)="RİSK","İNCELEME GEREKLİ - Hakediş Süresi Aşıldı",IF(OR(S78="EKSİK ÖDENMİŞ",S78="FAZLA ÖDENMİŞ"),"İNCELEME GEREKLİ - Tutar Uyuşmazlığı",IF(LEFT(P78,7)="Bekleni","Bekleniyor","Uygun"))))))</f>
        <v/>
      </c>
    </row>
    <row r="79">
      <c r="A79" s="26">
        <f>IF('DIVA Satislari'!I79="","",'DIVA Satislari'!I79)</f>
        <v/>
      </c>
      <c r="B79" s="26">
        <f>IF('DIVA Satislari'!I79="","",'DIVA Satislari'!R79)</f>
        <v/>
      </c>
      <c r="C79" s="26">
        <f>IF('DIVA Satislari'!I79="","",'DIVA Satislari'!M79)</f>
        <v/>
      </c>
      <c r="D79" s="27">
        <f>IF('DIVA Satislari'!I79="","",'DIVA Satislari'!H79)</f>
        <v/>
      </c>
      <c r="E79" s="26">
        <f>IF('DIVA Satislari'!I79="","",'DIVA Satislari'!O79)</f>
        <v/>
      </c>
      <c r="F79" s="26">
        <f>IF('DIVA Satislari'!I79="","",'DIVA Satislari'!AK79)</f>
        <v/>
      </c>
      <c r="G79" s="26">
        <f>IF('DIVA Satislari'!I79="","",'DIVA Satislari'!AO79)</f>
        <v/>
      </c>
      <c r="H79" s="27">
        <f>IF('DIVA Satislari'!I79="","",'DIVA Satislari'!AN79)</f>
        <v/>
      </c>
      <c r="I79" s="28">
        <f>IF('DIVA Satislari'!I79="","",'DIVA Satislari'!AQ79)</f>
        <v/>
      </c>
      <c r="J79" s="26">
        <f>IF('DIVA Satislari'!I79="","",'DIVA Satislari'!AR79)</f>
        <v/>
      </c>
      <c r="K79" s="26">
        <f>IF('DIVA Satislari'!I79="","",IFERROR(INDEX('E2E Nakliye Montaj'!$AS$3:$AS$1002,MATCH('DIVA Satislari'!AJ79,'E2E Nakliye Montaj'!$AM$3:$AM$1002,0)),"Eşleşme Yok"))</f>
        <v/>
      </c>
      <c r="L79" s="26">
        <f>IF('DIVA Satislari'!I79="","",IFERROR(INDEX('E2E Nakliye Montaj'!$AT$3:$AT$1002,MATCH('DIVA Satislari'!AJ79,'E2E Nakliye Montaj'!$AM$3:$AM$1002,0)),"Hayır"))</f>
        <v/>
      </c>
      <c r="M79" s="26">
        <f>IF('DIVA Satislari'!I79="","",IFERROR(INDEX('E2E Nakliye Montaj'!$AU$3:$AU$1002,MATCH('DIVA Satislari'!AJ79,'E2E Nakliye Montaj'!$AM$3:$AM$1002,0)),"Hayır"))</f>
        <v/>
      </c>
      <c r="N79" s="27">
        <f>IF('DIVA Satislari'!I79="","",IFERROR(INDEX('E2E Nakliye Montaj'!$AV$3:$AV$1002,MATCH('DIVA Satislari'!AJ79,'E2E Nakliye Montaj'!$AM$3:$AM$1002,0)),""))</f>
        <v/>
      </c>
      <c r="O79" s="26">
        <f>IF(OR(A79="",N79=""),"",IF(N79&lt;=H79,"Evet","HAYIR - RİSK"))</f>
        <v/>
      </c>
      <c r="P79" s="26">
        <f>IF(A79="","",IF(LEFT(J79,8)="Kural A ","Uygun - Hemen Ödenir (Yıl Sonu %75 Kontrolüne Tabi)",IF(OR(L79="Evet",M79="Evet"),IF(O79="Evet","Uygun","RİSK - Hakediş Süresi Aşıldı"),"Bekleniyor - Nakliye/Montaj Tamamlanmadı")))</f>
        <v/>
      </c>
      <c r="Q79" s="28">
        <f>IF(A79="","",SUMIFS('Hakedis Fatura Detay'!$G$3:$G$1200,'Hakedis Fatura Detay'!$H$3:$H$1200,'DIVA Satislari'!AJ79,'Hakedis Fatura Detay'!$F$3:$F$1200,"Fiyat Farkı")+SUMIFS('Hakedis Fatura Detay'!$G$3:$G$1200,'Hakedis Fatura Detay'!$H$3:$H$1200,'DIVA Satislari'!AJ79,'Hakedis Fatura Detay'!$F$3:$F$1200,"Bundle"))</f>
        <v/>
      </c>
      <c r="R79" s="28">
        <f>IF(A79="","",I79-Q79)</f>
        <v/>
      </c>
      <c r="S79" s="26">
        <f>IF(A79="","",IF(LEFT(P79,7)="Bekleni","N/A - Henüz Ödenmemeli",IF(LEFT(P79,4)="RİSK","İNCELEME GEREKLİ - Süre Aşımı",IF(R79=0,"Doğru",IF(R79&gt;0,"EKSİK ÖDENMİŞ","FAZLA ÖDENMİŞ")))))</f>
        <v/>
      </c>
      <c r="T79" s="30">
        <f>IF(A79="","",IF(F79&lt;&gt;"Evet","İNCELEME GEREKLİ - Kampanya Tanımsız",IF(G79&lt;&gt;"Evet","İNCELEME GEREKLİ - Tarih Dışı Satış",IF(LEFT(P79,4)="RİSK","İNCELEME GEREKLİ - Hakediş Süresi Aşıldı",IF(OR(S79="EKSİK ÖDENMİŞ",S79="FAZLA ÖDENMİŞ"),"İNCELEME GEREKLİ - Tutar Uyuşmazlığı",IF(LEFT(P79,7)="Bekleni","Bekleniyor","Uygun"))))))</f>
        <v/>
      </c>
    </row>
    <row r="80">
      <c r="A80" s="26">
        <f>IF('DIVA Satislari'!I80="","",'DIVA Satislari'!I80)</f>
        <v/>
      </c>
      <c r="B80" s="26">
        <f>IF('DIVA Satislari'!I80="","",'DIVA Satislari'!R80)</f>
        <v/>
      </c>
      <c r="C80" s="26">
        <f>IF('DIVA Satislari'!I80="","",'DIVA Satislari'!M80)</f>
        <v/>
      </c>
      <c r="D80" s="27">
        <f>IF('DIVA Satislari'!I80="","",'DIVA Satislari'!H80)</f>
        <v/>
      </c>
      <c r="E80" s="26">
        <f>IF('DIVA Satislari'!I80="","",'DIVA Satislari'!O80)</f>
        <v/>
      </c>
      <c r="F80" s="26">
        <f>IF('DIVA Satislari'!I80="","",'DIVA Satislari'!AK80)</f>
        <v/>
      </c>
      <c r="G80" s="26">
        <f>IF('DIVA Satislari'!I80="","",'DIVA Satislari'!AO80)</f>
        <v/>
      </c>
      <c r="H80" s="27">
        <f>IF('DIVA Satislari'!I80="","",'DIVA Satislari'!AN80)</f>
        <v/>
      </c>
      <c r="I80" s="28">
        <f>IF('DIVA Satislari'!I80="","",'DIVA Satislari'!AQ80)</f>
        <v/>
      </c>
      <c r="J80" s="26">
        <f>IF('DIVA Satislari'!I80="","",'DIVA Satislari'!AR80)</f>
        <v/>
      </c>
      <c r="K80" s="26">
        <f>IF('DIVA Satislari'!I80="","",IFERROR(INDEX('E2E Nakliye Montaj'!$AS$3:$AS$1002,MATCH('DIVA Satislari'!AJ80,'E2E Nakliye Montaj'!$AM$3:$AM$1002,0)),"Eşleşme Yok"))</f>
        <v/>
      </c>
      <c r="L80" s="26">
        <f>IF('DIVA Satislari'!I80="","",IFERROR(INDEX('E2E Nakliye Montaj'!$AT$3:$AT$1002,MATCH('DIVA Satislari'!AJ80,'E2E Nakliye Montaj'!$AM$3:$AM$1002,0)),"Hayır"))</f>
        <v/>
      </c>
      <c r="M80" s="26">
        <f>IF('DIVA Satislari'!I80="","",IFERROR(INDEX('E2E Nakliye Montaj'!$AU$3:$AU$1002,MATCH('DIVA Satislari'!AJ80,'E2E Nakliye Montaj'!$AM$3:$AM$1002,0)),"Hayır"))</f>
        <v/>
      </c>
      <c r="N80" s="27">
        <f>IF('DIVA Satislari'!I80="","",IFERROR(INDEX('E2E Nakliye Montaj'!$AV$3:$AV$1002,MATCH('DIVA Satislari'!AJ80,'E2E Nakliye Montaj'!$AM$3:$AM$1002,0)),""))</f>
        <v/>
      </c>
      <c r="O80" s="26">
        <f>IF(OR(A80="",N80=""),"",IF(N80&lt;=H80,"Evet","HAYIR - RİSK"))</f>
        <v/>
      </c>
      <c r="P80" s="26">
        <f>IF(A80="","",IF(LEFT(J80,8)="Kural A ","Uygun - Hemen Ödenir (Yıl Sonu %75 Kontrolüne Tabi)",IF(OR(L80="Evet",M80="Evet"),IF(O80="Evet","Uygun","RİSK - Hakediş Süresi Aşıldı"),"Bekleniyor - Nakliye/Montaj Tamamlanmadı")))</f>
        <v/>
      </c>
      <c r="Q80" s="28">
        <f>IF(A80="","",SUMIFS('Hakedis Fatura Detay'!$G$3:$G$1200,'Hakedis Fatura Detay'!$H$3:$H$1200,'DIVA Satislari'!AJ80,'Hakedis Fatura Detay'!$F$3:$F$1200,"Fiyat Farkı")+SUMIFS('Hakedis Fatura Detay'!$G$3:$G$1200,'Hakedis Fatura Detay'!$H$3:$H$1200,'DIVA Satislari'!AJ80,'Hakedis Fatura Detay'!$F$3:$F$1200,"Bundle"))</f>
        <v/>
      </c>
      <c r="R80" s="28">
        <f>IF(A80="","",I80-Q80)</f>
        <v/>
      </c>
      <c r="S80" s="26">
        <f>IF(A80="","",IF(LEFT(P80,7)="Bekleni","N/A - Henüz Ödenmemeli",IF(LEFT(P80,4)="RİSK","İNCELEME GEREKLİ - Süre Aşımı",IF(R80=0,"Doğru",IF(R80&gt;0,"EKSİK ÖDENMİŞ","FAZLA ÖDENMİŞ")))))</f>
        <v/>
      </c>
      <c r="T80" s="30">
        <f>IF(A80="","",IF(F80&lt;&gt;"Evet","İNCELEME GEREKLİ - Kampanya Tanımsız",IF(G80&lt;&gt;"Evet","İNCELEME GEREKLİ - Tarih Dışı Satış",IF(LEFT(P80,4)="RİSK","İNCELEME GEREKLİ - Hakediş Süresi Aşıldı",IF(OR(S80="EKSİK ÖDENMİŞ",S80="FAZLA ÖDENMİŞ"),"İNCELEME GEREKLİ - Tutar Uyuşmazlığı",IF(LEFT(P80,7)="Bekleni","Bekleniyor","Uygun"))))))</f>
        <v/>
      </c>
    </row>
    <row r="81">
      <c r="A81" s="26">
        <f>IF('DIVA Satislari'!I81="","",'DIVA Satislari'!I81)</f>
        <v/>
      </c>
      <c r="B81" s="26">
        <f>IF('DIVA Satislari'!I81="","",'DIVA Satislari'!R81)</f>
        <v/>
      </c>
      <c r="C81" s="26">
        <f>IF('DIVA Satislari'!I81="","",'DIVA Satislari'!M81)</f>
        <v/>
      </c>
      <c r="D81" s="27">
        <f>IF('DIVA Satislari'!I81="","",'DIVA Satislari'!H81)</f>
        <v/>
      </c>
      <c r="E81" s="26">
        <f>IF('DIVA Satislari'!I81="","",'DIVA Satislari'!O81)</f>
        <v/>
      </c>
      <c r="F81" s="26">
        <f>IF('DIVA Satislari'!I81="","",'DIVA Satislari'!AK81)</f>
        <v/>
      </c>
      <c r="G81" s="26">
        <f>IF('DIVA Satislari'!I81="","",'DIVA Satislari'!AO81)</f>
        <v/>
      </c>
      <c r="H81" s="27">
        <f>IF('DIVA Satislari'!I81="","",'DIVA Satislari'!AN81)</f>
        <v/>
      </c>
      <c r="I81" s="28">
        <f>IF('DIVA Satislari'!I81="","",'DIVA Satislari'!AQ81)</f>
        <v/>
      </c>
      <c r="J81" s="26">
        <f>IF('DIVA Satislari'!I81="","",'DIVA Satislari'!AR81)</f>
        <v/>
      </c>
      <c r="K81" s="26">
        <f>IF('DIVA Satislari'!I81="","",IFERROR(INDEX('E2E Nakliye Montaj'!$AS$3:$AS$1002,MATCH('DIVA Satislari'!AJ81,'E2E Nakliye Montaj'!$AM$3:$AM$1002,0)),"Eşleşme Yok"))</f>
        <v/>
      </c>
      <c r="L81" s="26">
        <f>IF('DIVA Satislari'!I81="","",IFERROR(INDEX('E2E Nakliye Montaj'!$AT$3:$AT$1002,MATCH('DIVA Satislari'!AJ81,'E2E Nakliye Montaj'!$AM$3:$AM$1002,0)),"Hayır"))</f>
        <v/>
      </c>
      <c r="M81" s="26">
        <f>IF('DIVA Satislari'!I81="","",IFERROR(INDEX('E2E Nakliye Montaj'!$AU$3:$AU$1002,MATCH('DIVA Satislari'!AJ81,'E2E Nakliye Montaj'!$AM$3:$AM$1002,0)),"Hayır"))</f>
        <v/>
      </c>
      <c r="N81" s="27">
        <f>IF('DIVA Satislari'!I81="","",IFERROR(INDEX('E2E Nakliye Montaj'!$AV$3:$AV$1002,MATCH('DIVA Satislari'!AJ81,'E2E Nakliye Montaj'!$AM$3:$AM$1002,0)),""))</f>
        <v/>
      </c>
      <c r="O81" s="26">
        <f>IF(OR(A81="",N81=""),"",IF(N81&lt;=H81,"Evet","HAYIR - RİSK"))</f>
        <v/>
      </c>
      <c r="P81" s="26">
        <f>IF(A81="","",IF(LEFT(J81,8)="Kural A ","Uygun - Hemen Ödenir (Yıl Sonu %75 Kontrolüne Tabi)",IF(OR(L81="Evet",M81="Evet"),IF(O81="Evet","Uygun","RİSK - Hakediş Süresi Aşıldı"),"Bekleniyor - Nakliye/Montaj Tamamlanmadı")))</f>
        <v/>
      </c>
      <c r="Q81" s="28">
        <f>IF(A81="","",SUMIFS('Hakedis Fatura Detay'!$G$3:$G$1200,'Hakedis Fatura Detay'!$H$3:$H$1200,'DIVA Satislari'!AJ81,'Hakedis Fatura Detay'!$F$3:$F$1200,"Fiyat Farkı")+SUMIFS('Hakedis Fatura Detay'!$G$3:$G$1200,'Hakedis Fatura Detay'!$H$3:$H$1200,'DIVA Satislari'!AJ81,'Hakedis Fatura Detay'!$F$3:$F$1200,"Bundle"))</f>
        <v/>
      </c>
      <c r="R81" s="28">
        <f>IF(A81="","",I81-Q81)</f>
        <v/>
      </c>
      <c r="S81" s="26">
        <f>IF(A81="","",IF(LEFT(P81,7)="Bekleni","N/A - Henüz Ödenmemeli",IF(LEFT(P81,4)="RİSK","İNCELEME GEREKLİ - Süre Aşımı",IF(R81=0,"Doğru",IF(R81&gt;0,"EKSİK ÖDENMİŞ","FAZLA ÖDENMİŞ")))))</f>
        <v/>
      </c>
      <c r="T81" s="30">
        <f>IF(A81="","",IF(F81&lt;&gt;"Evet","İNCELEME GEREKLİ - Kampanya Tanımsız",IF(G81&lt;&gt;"Evet","İNCELEME GEREKLİ - Tarih Dışı Satış",IF(LEFT(P81,4)="RİSK","İNCELEME GEREKLİ - Hakediş Süresi Aşıldı",IF(OR(S81="EKSİK ÖDENMİŞ",S81="FAZLA ÖDENMİŞ"),"İNCELEME GEREKLİ - Tutar Uyuşmazlığı",IF(LEFT(P81,7)="Bekleni","Bekleniyor","Uygun"))))))</f>
        <v/>
      </c>
    </row>
    <row r="82">
      <c r="A82" s="26">
        <f>IF('DIVA Satislari'!I82="","",'DIVA Satislari'!I82)</f>
        <v/>
      </c>
      <c r="B82" s="26">
        <f>IF('DIVA Satislari'!I82="","",'DIVA Satislari'!R82)</f>
        <v/>
      </c>
      <c r="C82" s="26">
        <f>IF('DIVA Satislari'!I82="","",'DIVA Satislari'!M82)</f>
        <v/>
      </c>
      <c r="D82" s="27">
        <f>IF('DIVA Satislari'!I82="","",'DIVA Satislari'!H82)</f>
        <v/>
      </c>
      <c r="E82" s="26">
        <f>IF('DIVA Satislari'!I82="","",'DIVA Satislari'!O82)</f>
        <v/>
      </c>
      <c r="F82" s="26">
        <f>IF('DIVA Satislari'!I82="","",'DIVA Satislari'!AK82)</f>
        <v/>
      </c>
      <c r="G82" s="26">
        <f>IF('DIVA Satislari'!I82="","",'DIVA Satislari'!AO82)</f>
        <v/>
      </c>
      <c r="H82" s="27">
        <f>IF('DIVA Satislari'!I82="","",'DIVA Satislari'!AN82)</f>
        <v/>
      </c>
      <c r="I82" s="28">
        <f>IF('DIVA Satislari'!I82="","",'DIVA Satislari'!AQ82)</f>
        <v/>
      </c>
      <c r="J82" s="26">
        <f>IF('DIVA Satislari'!I82="","",'DIVA Satislari'!AR82)</f>
        <v/>
      </c>
      <c r="K82" s="26">
        <f>IF('DIVA Satislari'!I82="","",IFERROR(INDEX('E2E Nakliye Montaj'!$AS$3:$AS$1002,MATCH('DIVA Satislari'!AJ82,'E2E Nakliye Montaj'!$AM$3:$AM$1002,0)),"Eşleşme Yok"))</f>
        <v/>
      </c>
      <c r="L82" s="26">
        <f>IF('DIVA Satislari'!I82="","",IFERROR(INDEX('E2E Nakliye Montaj'!$AT$3:$AT$1002,MATCH('DIVA Satislari'!AJ82,'E2E Nakliye Montaj'!$AM$3:$AM$1002,0)),"Hayır"))</f>
        <v/>
      </c>
      <c r="M82" s="26">
        <f>IF('DIVA Satislari'!I82="","",IFERROR(INDEX('E2E Nakliye Montaj'!$AU$3:$AU$1002,MATCH('DIVA Satislari'!AJ82,'E2E Nakliye Montaj'!$AM$3:$AM$1002,0)),"Hayır"))</f>
        <v/>
      </c>
      <c r="N82" s="27">
        <f>IF('DIVA Satislari'!I82="","",IFERROR(INDEX('E2E Nakliye Montaj'!$AV$3:$AV$1002,MATCH('DIVA Satislari'!AJ82,'E2E Nakliye Montaj'!$AM$3:$AM$1002,0)),""))</f>
        <v/>
      </c>
      <c r="O82" s="26">
        <f>IF(OR(A82="",N82=""),"",IF(N82&lt;=H82,"Evet","HAYIR - RİSK"))</f>
        <v/>
      </c>
      <c r="P82" s="26">
        <f>IF(A82="","",IF(LEFT(J82,8)="Kural A ","Uygun - Hemen Ödenir (Yıl Sonu %75 Kontrolüne Tabi)",IF(OR(L82="Evet",M82="Evet"),IF(O82="Evet","Uygun","RİSK - Hakediş Süresi Aşıldı"),"Bekleniyor - Nakliye/Montaj Tamamlanmadı")))</f>
        <v/>
      </c>
      <c r="Q82" s="28">
        <f>IF(A82="","",SUMIFS('Hakedis Fatura Detay'!$G$3:$G$1200,'Hakedis Fatura Detay'!$H$3:$H$1200,'DIVA Satislari'!AJ82,'Hakedis Fatura Detay'!$F$3:$F$1200,"Fiyat Farkı")+SUMIFS('Hakedis Fatura Detay'!$G$3:$G$1200,'Hakedis Fatura Detay'!$H$3:$H$1200,'DIVA Satislari'!AJ82,'Hakedis Fatura Detay'!$F$3:$F$1200,"Bundle"))</f>
        <v/>
      </c>
      <c r="R82" s="28">
        <f>IF(A82="","",I82-Q82)</f>
        <v/>
      </c>
      <c r="S82" s="26">
        <f>IF(A82="","",IF(LEFT(P82,7)="Bekleni","N/A - Henüz Ödenmemeli",IF(LEFT(P82,4)="RİSK","İNCELEME GEREKLİ - Süre Aşımı",IF(R82=0,"Doğru",IF(R82&gt;0,"EKSİK ÖDENMİŞ","FAZLA ÖDENMİŞ")))))</f>
        <v/>
      </c>
      <c r="T82" s="30">
        <f>IF(A82="","",IF(F82&lt;&gt;"Evet","İNCELEME GEREKLİ - Kampanya Tanımsız",IF(G82&lt;&gt;"Evet","İNCELEME GEREKLİ - Tarih Dışı Satış",IF(LEFT(P82,4)="RİSK","İNCELEME GEREKLİ - Hakediş Süresi Aşıldı",IF(OR(S82="EKSİK ÖDENMİŞ",S82="FAZLA ÖDENMİŞ"),"İNCELEME GEREKLİ - Tutar Uyuşmazlığı",IF(LEFT(P82,7)="Bekleni","Bekleniyor","Uygun"))))))</f>
        <v/>
      </c>
    </row>
    <row r="83">
      <c r="A83" s="26">
        <f>IF('DIVA Satislari'!I83="","",'DIVA Satislari'!I83)</f>
        <v/>
      </c>
      <c r="B83" s="26">
        <f>IF('DIVA Satislari'!I83="","",'DIVA Satislari'!R83)</f>
        <v/>
      </c>
      <c r="C83" s="26">
        <f>IF('DIVA Satislari'!I83="","",'DIVA Satislari'!M83)</f>
        <v/>
      </c>
      <c r="D83" s="27">
        <f>IF('DIVA Satislari'!I83="","",'DIVA Satislari'!H83)</f>
        <v/>
      </c>
      <c r="E83" s="26">
        <f>IF('DIVA Satislari'!I83="","",'DIVA Satislari'!O83)</f>
        <v/>
      </c>
      <c r="F83" s="26">
        <f>IF('DIVA Satislari'!I83="","",'DIVA Satislari'!AK83)</f>
        <v/>
      </c>
      <c r="G83" s="26">
        <f>IF('DIVA Satislari'!I83="","",'DIVA Satislari'!AO83)</f>
        <v/>
      </c>
      <c r="H83" s="27">
        <f>IF('DIVA Satislari'!I83="","",'DIVA Satislari'!AN83)</f>
        <v/>
      </c>
      <c r="I83" s="28">
        <f>IF('DIVA Satislari'!I83="","",'DIVA Satislari'!AQ83)</f>
        <v/>
      </c>
      <c r="J83" s="26">
        <f>IF('DIVA Satislari'!I83="","",'DIVA Satislari'!AR83)</f>
        <v/>
      </c>
      <c r="K83" s="26">
        <f>IF('DIVA Satislari'!I83="","",IFERROR(INDEX('E2E Nakliye Montaj'!$AS$3:$AS$1002,MATCH('DIVA Satislari'!AJ83,'E2E Nakliye Montaj'!$AM$3:$AM$1002,0)),"Eşleşme Yok"))</f>
        <v/>
      </c>
      <c r="L83" s="26">
        <f>IF('DIVA Satislari'!I83="","",IFERROR(INDEX('E2E Nakliye Montaj'!$AT$3:$AT$1002,MATCH('DIVA Satislari'!AJ83,'E2E Nakliye Montaj'!$AM$3:$AM$1002,0)),"Hayır"))</f>
        <v/>
      </c>
      <c r="M83" s="26">
        <f>IF('DIVA Satislari'!I83="","",IFERROR(INDEX('E2E Nakliye Montaj'!$AU$3:$AU$1002,MATCH('DIVA Satislari'!AJ83,'E2E Nakliye Montaj'!$AM$3:$AM$1002,0)),"Hayır"))</f>
        <v/>
      </c>
      <c r="N83" s="27">
        <f>IF('DIVA Satislari'!I83="","",IFERROR(INDEX('E2E Nakliye Montaj'!$AV$3:$AV$1002,MATCH('DIVA Satislari'!AJ83,'E2E Nakliye Montaj'!$AM$3:$AM$1002,0)),""))</f>
        <v/>
      </c>
      <c r="O83" s="26">
        <f>IF(OR(A83="",N83=""),"",IF(N83&lt;=H83,"Evet","HAYIR - RİSK"))</f>
        <v/>
      </c>
      <c r="P83" s="26">
        <f>IF(A83="","",IF(LEFT(J83,8)="Kural A ","Uygun - Hemen Ödenir (Yıl Sonu %75 Kontrolüne Tabi)",IF(OR(L83="Evet",M83="Evet"),IF(O83="Evet","Uygun","RİSK - Hakediş Süresi Aşıldı"),"Bekleniyor - Nakliye/Montaj Tamamlanmadı")))</f>
        <v/>
      </c>
      <c r="Q83" s="28">
        <f>IF(A83="","",SUMIFS('Hakedis Fatura Detay'!$G$3:$G$1200,'Hakedis Fatura Detay'!$H$3:$H$1200,'DIVA Satislari'!AJ83,'Hakedis Fatura Detay'!$F$3:$F$1200,"Fiyat Farkı")+SUMIFS('Hakedis Fatura Detay'!$G$3:$G$1200,'Hakedis Fatura Detay'!$H$3:$H$1200,'DIVA Satislari'!AJ83,'Hakedis Fatura Detay'!$F$3:$F$1200,"Bundle"))</f>
        <v/>
      </c>
      <c r="R83" s="28">
        <f>IF(A83="","",I83-Q83)</f>
        <v/>
      </c>
      <c r="S83" s="26">
        <f>IF(A83="","",IF(LEFT(P83,7)="Bekleni","N/A - Henüz Ödenmemeli",IF(LEFT(P83,4)="RİSK","İNCELEME GEREKLİ - Süre Aşımı",IF(R83=0,"Doğru",IF(R83&gt;0,"EKSİK ÖDENMİŞ","FAZLA ÖDENMİŞ")))))</f>
        <v/>
      </c>
      <c r="T83" s="30">
        <f>IF(A83="","",IF(F83&lt;&gt;"Evet","İNCELEME GEREKLİ - Kampanya Tanımsız",IF(G83&lt;&gt;"Evet","İNCELEME GEREKLİ - Tarih Dışı Satış",IF(LEFT(P83,4)="RİSK","İNCELEME GEREKLİ - Hakediş Süresi Aşıldı",IF(OR(S83="EKSİK ÖDENMİŞ",S83="FAZLA ÖDENMİŞ"),"İNCELEME GEREKLİ - Tutar Uyuşmazlığı",IF(LEFT(P83,7)="Bekleni","Bekleniyor","Uygun"))))))</f>
        <v/>
      </c>
    </row>
    <row r="84">
      <c r="A84" s="26">
        <f>IF('DIVA Satislari'!I84="","",'DIVA Satislari'!I84)</f>
        <v/>
      </c>
      <c r="B84" s="26">
        <f>IF('DIVA Satislari'!I84="","",'DIVA Satislari'!R84)</f>
        <v/>
      </c>
      <c r="C84" s="26">
        <f>IF('DIVA Satislari'!I84="","",'DIVA Satislari'!M84)</f>
        <v/>
      </c>
      <c r="D84" s="27">
        <f>IF('DIVA Satislari'!I84="","",'DIVA Satislari'!H84)</f>
        <v/>
      </c>
      <c r="E84" s="26">
        <f>IF('DIVA Satislari'!I84="","",'DIVA Satislari'!O84)</f>
        <v/>
      </c>
      <c r="F84" s="26">
        <f>IF('DIVA Satislari'!I84="","",'DIVA Satislari'!AK84)</f>
        <v/>
      </c>
      <c r="G84" s="26">
        <f>IF('DIVA Satislari'!I84="","",'DIVA Satislari'!AO84)</f>
        <v/>
      </c>
      <c r="H84" s="27">
        <f>IF('DIVA Satislari'!I84="","",'DIVA Satislari'!AN84)</f>
        <v/>
      </c>
      <c r="I84" s="28">
        <f>IF('DIVA Satislari'!I84="","",'DIVA Satislari'!AQ84)</f>
        <v/>
      </c>
      <c r="J84" s="26">
        <f>IF('DIVA Satislari'!I84="","",'DIVA Satislari'!AR84)</f>
        <v/>
      </c>
      <c r="K84" s="26">
        <f>IF('DIVA Satislari'!I84="","",IFERROR(INDEX('E2E Nakliye Montaj'!$AS$3:$AS$1002,MATCH('DIVA Satislari'!AJ84,'E2E Nakliye Montaj'!$AM$3:$AM$1002,0)),"Eşleşme Yok"))</f>
        <v/>
      </c>
      <c r="L84" s="26">
        <f>IF('DIVA Satislari'!I84="","",IFERROR(INDEX('E2E Nakliye Montaj'!$AT$3:$AT$1002,MATCH('DIVA Satislari'!AJ84,'E2E Nakliye Montaj'!$AM$3:$AM$1002,0)),"Hayır"))</f>
        <v/>
      </c>
      <c r="M84" s="26">
        <f>IF('DIVA Satislari'!I84="","",IFERROR(INDEX('E2E Nakliye Montaj'!$AU$3:$AU$1002,MATCH('DIVA Satislari'!AJ84,'E2E Nakliye Montaj'!$AM$3:$AM$1002,0)),"Hayır"))</f>
        <v/>
      </c>
      <c r="N84" s="27">
        <f>IF('DIVA Satislari'!I84="","",IFERROR(INDEX('E2E Nakliye Montaj'!$AV$3:$AV$1002,MATCH('DIVA Satislari'!AJ84,'E2E Nakliye Montaj'!$AM$3:$AM$1002,0)),""))</f>
        <v/>
      </c>
      <c r="O84" s="26">
        <f>IF(OR(A84="",N84=""),"",IF(N84&lt;=H84,"Evet","HAYIR - RİSK"))</f>
        <v/>
      </c>
      <c r="P84" s="26">
        <f>IF(A84="","",IF(LEFT(J84,8)="Kural A ","Uygun - Hemen Ödenir (Yıl Sonu %75 Kontrolüne Tabi)",IF(OR(L84="Evet",M84="Evet"),IF(O84="Evet","Uygun","RİSK - Hakediş Süresi Aşıldı"),"Bekleniyor - Nakliye/Montaj Tamamlanmadı")))</f>
        <v/>
      </c>
      <c r="Q84" s="28">
        <f>IF(A84="","",SUMIFS('Hakedis Fatura Detay'!$G$3:$G$1200,'Hakedis Fatura Detay'!$H$3:$H$1200,'DIVA Satislari'!AJ84,'Hakedis Fatura Detay'!$F$3:$F$1200,"Fiyat Farkı")+SUMIFS('Hakedis Fatura Detay'!$G$3:$G$1200,'Hakedis Fatura Detay'!$H$3:$H$1200,'DIVA Satislari'!AJ84,'Hakedis Fatura Detay'!$F$3:$F$1200,"Bundle"))</f>
        <v/>
      </c>
      <c r="R84" s="28">
        <f>IF(A84="","",I84-Q84)</f>
        <v/>
      </c>
      <c r="S84" s="26">
        <f>IF(A84="","",IF(LEFT(P84,7)="Bekleni","N/A - Henüz Ödenmemeli",IF(LEFT(P84,4)="RİSK","İNCELEME GEREKLİ - Süre Aşımı",IF(R84=0,"Doğru",IF(R84&gt;0,"EKSİK ÖDENMİŞ","FAZLA ÖDENMİŞ")))))</f>
        <v/>
      </c>
      <c r="T84" s="30">
        <f>IF(A84="","",IF(F84&lt;&gt;"Evet","İNCELEME GEREKLİ - Kampanya Tanımsız",IF(G84&lt;&gt;"Evet","İNCELEME GEREKLİ - Tarih Dışı Satış",IF(LEFT(P84,4)="RİSK","İNCELEME GEREKLİ - Hakediş Süresi Aşıldı",IF(OR(S84="EKSİK ÖDENMİŞ",S84="FAZLA ÖDENMİŞ"),"İNCELEME GEREKLİ - Tutar Uyuşmazlığı",IF(LEFT(P84,7)="Bekleni","Bekleniyor","Uygun"))))))</f>
        <v/>
      </c>
    </row>
    <row r="85">
      <c r="A85" s="26">
        <f>IF('DIVA Satislari'!I85="","",'DIVA Satislari'!I85)</f>
        <v/>
      </c>
      <c r="B85" s="26">
        <f>IF('DIVA Satislari'!I85="","",'DIVA Satislari'!R85)</f>
        <v/>
      </c>
      <c r="C85" s="26">
        <f>IF('DIVA Satislari'!I85="","",'DIVA Satislari'!M85)</f>
        <v/>
      </c>
      <c r="D85" s="27">
        <f>IF('DIVA Satislari'!I85="","",'DIVA Satislari'!H85)</f>
        <v/>
      </c>
      <c r="E85" s="26">
        <f>IF('DIVA Satislari'!I85="","",'DIVA Satislari'!O85)</f>
        <v/>
      </c>
      <c r="F85" s="26">
        <f>IF('DIVA Satislari'!I85="","",'DIVA Satislari'!AK85)</f>
        <v/>
      </c>
      <c r="G85" s="26">
        <f>IF('DIVA Satislari'!I85="","",'DIVA Satislari'!AO85)</f>
        <v/>
      </c>
      <c r="H85" s="27">
        <f>IF('DIVA Satislari'!I85="","",'DIVA Satislari'!AN85)</f>
        <v/>
      </c>
      <c r="I85" s="28">
        <f>IF('DIVA Satislari'!I85="","",'DIVA Satislari'!AQ85)</f>
        <v/>
      </c>
      <c r="J85" s="26">
        <f>IF('DIVA Satislari'!I85="","",'DIVA Satislari'!AR85)</f>
        <v/>
      </c>
      <c r="K85" s="26">
        <f>IF('DIVA Satislari'!I85="","",IFERROR(INDEX('E2E Nakliye Montaj'!$AS$3:$AS$1002,MATCH('DIVA Satislari'!AJ85,'E2E Nakliye Montaj'!$AM$3:$AM$1002,0)),"Eşleşme Yok"))</f>
        <v/>
      </c>
      <c r="L85" s="26">
        <f>IF('DIVA Satislari'!I85="","",IFERROR(INDEX('E2E Nakliye Montaj'!$AT$3:$AT$1002,MATCH('DIVA Satislari'!AJ85,'E2E Nakliye Montaj'!$AM$3:$AM$1002,0)),"Hayır"))</f>
        <v/>
      </c>
      <c r="M85" s="26">
        <f>IF('DIVA Satislari'!I85="","",IFERROR(INDEX('E2E Nakliye Montaj'!$AU$3:$AU$1002,MATCH('DIVA Satislari'!AJ85,'E2E Nakliye Montaj'!$AM$3:$AM$1002,0)),"Hayır"))</f>
        <v/>
      </c>
      <c r="N85" s="27">
        <f>IF('DIVA Satislari'!I85="","",IFERROR(INDEX('E2E Nakliye Montaj'!$AV$3:$AV$1002,MATCH('DIVA Satislari'!AJ85,'E2E Nakliye Montaj'!$AM$3:$AM$1002,0)),""))</f>
        <v/>
      </c>
      <c r="O85" s="26">
        <f>IF(OR(A85="",N85=""),"",IF(N85&lt;=H85,"Evet","HAYIR - RİSK"))</f>
        <v/>
      </c>
      <c r="P85" s="26">
        <f>IF(A85="","",IF(LEFT(J85,8)="Kural A ","Uygun - Hemen Ödenir (Yıl Sonu %75 Kontrolüne Tabi)",IF(OR(L85="Evet",M85="Evet"),IF(O85="Evet","Uygun","RİSK - Hakediş Süresi Aşıldı"),"Bekleniyor - Nakliye/Montaj Tamamlanmadı")))</f>
        <v/>
      </c>
      <c r="Q85" s="28">
        <f>IF(A85="","",SUMIFS('Hakedis Fatura Detay'!$G$3:$G$1200,'Hakedis Fatura Detay'!$H$3:$H$1200,'DIVA Satislari'!AJ85,'Hakedis Fatura Detay'!$F$3:$F$1200,"Fiyat Farkı")+SUMIFS('Hakedis Fatura Detay'!$G$3:$G$1200,'Hakedis Fatura Detay'!$H$3:$H$1200,'DIVA Satislari'!AJ85,'Hakedis Fatura Detay'!$F$3:$F$1200,"Bundle"))</f>
        <v/>
      </c>
      <c r="R85" s="28">
        <f>IF(A85="","",I85-Q85)</f>
        <v/>
      </c>
      <c r="S85" s="26">
        <f>IF(A85="","",IF(LEFT(P85,7)="Bekleni","N/A - Henüz Ödenmemeli",IF(LEFT(P85,4)="RİSK","İNCELEME GEREKLİ - Süre Aşımı",IF(R85=0,"Doğru",IF(R85&gt;0,"EKSİK ÖDENMİŞ","FAZLA ÖDENMİŞ")))))</f>
        <v/>
      </c>
      <c r="T85" s="30">
        <f>IF(A85="","",IF(F85&lt;&gt;"Evet","İNCELEME GEREKLİ - Kampanya Tanımsız",IF(G85&lt;&gt;"Evet","İNCELEME GEREKLİ - Tarih Dışı Satış",IF(LEFT(P85,4)="RİSK","İNCELEME GEREKLİ - Hakediş Süresi Aşıldı",IF(OR(S85="EKSİK ÖDENMİŞ",S85="FAZLA ÖDENMİŞ"),"İNCELEME GEREKLİ - Tutar Uyuşmazlığı",IF(LEFT(P85,7)="Bekleni","Bekleniyor","Uygun"))))))</f>
        <v/>
      </c>
    </row>
    <row r="86">
      <c r="A86" s="26">
        <f>IF('DIVA Satislari'!I86="","",'DIVA Satislari'!I86)</f>
        <v/>
      </c>
      <c r="B86" s="26">
        <f>IF('DIVA Satislari'!I86="","",'DIVA Satislari'!R86)</f>
        <v/>
      </c>
      <c r="C86" s="26">
        <f>IF('DIVA Satislari'!I86="","",'DIVA Satislari'!M86)</f>
        <v/>
      </c>
      <c r="D86" s="27">
        <f>IF('DIVA Satislari'!I86="","",'DIVA Satislari'!H86)</f>
        <v/>
      </c>
      <c r="E86" s="26">
        <f>IF('DIVA Satislari'!I86="","",'DIVA Satislari'!O86)</f>
        <v/>
      </c>
      <c r="F86" s="26">
        <f>IF('DIVA Satislari'!I86="","",'DIVA Satislari'!AK86)</f>
        <v/>
      </c>
      <c r="G86" s="26">
        <f>IF('DIVA Satislari'!I86="","",'DIVA Satislari'!AO86)</f>
        <v/>
      </c>
      <c r="H86" s="27">
        <f>IF('DIVA Satislari'!I86="","",'DIVA Satislari'!AN86)</f>
        <v/>
      </c>
      <c r="I86" s="28">
        <f>IF('DIVA Satislari'!I86="","",'DIVA Satislari'!AQ86)</f>
        <v/>
      </c>
      <c r="J86" s="26">
        <f>IF('DIVA Satislari'!I86="","",'DIVA Satislari'!AR86)</f>
        <v/>
      </c>
      <c r="K86" s="26">
        <f>IF('DIVA Satislari'!I86="","",IFERROR(INDEX('E2E Nakliye Montaj'!$AS$3:$AS$1002,MATCH('DIVA Satislari'!AJ86,'E2E Nakliye Montaj'!$AM$3:$AM$1002,0)),"Eşleşme Yok"))</f>
        <v/>
      </c>
      <c r="L86" s="26">
        <f>IF('DIVA Satislari'!I86="","",IFERROR(INDEX('E2E Nakliye Montaj'!$AT$3:$AT$1002,MATCH('DIVA Satislari'!AJ86,'E2E Nakliye Montaj'!$AM$3:$AM$1002,0)),"Hayır"))</f>
        <v/>
      </c>
      <c r="M86" s="26">
        <f>IF('DIVA Satislari'!I86="","",IFERROR(INDEX('E2E Nakliye Montaj'!$AU$3:$AU$1002,MATCH('DIVA Satislari'!AJ86,'E2E Nakliye Montaj'!$AM$3:$AM$1002,0)),"Hayır"))</f>
        <v/>
      </c>
      <c r="N86" s="27">
        <f>IF('DIVA Satislari'!I86="","",IFERROR(INDEX('E2E Nakliye Montaj'!$AV$3:$AV$1002,MATCH('DIVA Satislari'!AJ86,'E2E Nakliye Montaj'!$AM$3:$AM$1002,0)),""))</f>
        <v/>
      </c>
      <c r="O86" s="26">
        <f>IF(OR(A86="",N86=""),"",IF(N86&lt;=H86,"Evet","HAYIR - RİSK"))</f>
        <v/>
      </c>
      <c r="P86" s="26">
        <f>IF(A86="","",IF(LEFT(J86,8)="Kural A ","Uygun - Hemen Ödenir (Yıl Sonu %75 Kontrolüne Tabi)",IF(OR(L86="Evet",M86="Evet"),IF(O86="Evet","Uygun","RİSK - Hakediş Süresi Aşıldı"),"Bekleniyor - Nakliye/Montaj Tamamlanmadı")))</f>
        <v/>
      </c>
      <c r="Q86" s="28">
        <f>IF(A86="","",SUMIFS('Hakedis Fatura Detay'!$G$3:$G$1200,'Hakedis Fatura Detay'!$H$3:$H$1200,'DIVA Satislari'!AJ86,'Hakedis Fatura Detay'!$F$3:$F$1200,"Fiyat Farkı")+SUMIFS('Hakedis Fatura Detay'!$G$3:$G$1200,'Hakedis Fatura Detay'!$H$3:$H$1200,'DIVA Satislari'!AJ86,'Hakedis Fatura Detay'!$F$3:$F$1200,"Bundle"))</f>
        <v/>
      </c>
      <c r="R86" s="28">
        <f>IF(A86="","",I86-Q86)</f>
        <v/>
      </c>
      <c r="S86" s="26">
        <f>IF(A86="","",IF(LEFT(P86,7)="Bekleni","N/A - Henüz Ödenmemeli",IF(LEFT(P86,4)="RİSK","İNCELEME GEREKLİ - Süre Aşımı",IF(R86=0,"Doğru",IF(R86&gt;0,"EKSİK ÖDENMİŞ","FAZLA ÖDENMİŞ")))))</f>
        <v/>
      </c>
      <c r="T86" s="30">
        <f>IF(A86="","",IF(F86&lt;&gt;"Evet","İNCELEME GEREKLİ - Kampanya Tanımsız",IF(G86&lt;&gt;"Evet","İNCELEME GEREKLİ - Tarih Dışı Satış",IF(LEFT(P86,4)="RİSK","İNCELEME GEREKLİ - Hakediş Süresi Aşıldı",IF(OR(S86="EKSİK ÖDENMİŞ",S86="FAZLA ÖDENMİŞ"),"İNCELEME GEREKLİ - Tutar Uyuşmazlığı",IF(LEFT(P86,7)="Bekleni","Bekleniyor","Uygun"))))))</f>
        <v/>
      </c>
    </row>
    <row r="87">
      <c r="A87" s="26">
        <f>IF('DIVA Satislari'!I87="","",'DIVA Satislari'!I87)</f>
        <v/>
      </c>
      <c r="B87" s="26">
        <f>IF('DIVA Satislari'!I87="","",'DIVA Satislari'!R87)</f>
        <v/>
      </c>
      <c r="C87" s="26">
        <f>IF('DIVA Satislari'!I87="","",'DIVA Satislari'!M87)</f>
        <v/>
      </c>
      <c r="D87" s="27">
        <f>IF('DIVA Satislari'!I87="","",'DIVA Satislari'!H87)</f>
        <v/>
      </c>
      <c r="E87" s="26">
        <f>IF('DIVA Satislari'!I87="","",'DIVA Satislari'!O87)</f>
        <v/>
      </c>
      <c r="F87" s="26">
        <f>IF('DIVA Satislari'!I87="","",'DIVA Satislari'!AK87)</f>
        <v/>
      </c>
      <c r="G87" s="26">
        <f>IF('DIVA Satislari'!I87="","",'DIVA Satislari'!AO87)</f>
        <v/>
      </c>
      <c r="H87" s="27">
        <f>IF('DIVA Satislari'!I87="","",'DIVA Satislari'!AN87)</f>
        <v/>
      </c>
      <c r="I87" s="28">
        <f>IF('DIVA Satislari'!I87="","",'DIVA Satislari'!AQ87)</f>
        <v/>
      </c>
      <c r="J87" s="26">
        <f>IF('DIVA Satislari'!I87="","",'DIVA Satislari'!AR87)</f>
        <v/>
      </c>
      <c r="K87" s="26">
        <f>IF('DIVA Satislari'!I87="","",IFERROR(INDEX('E2E Nakliye Montaj'!$AS$3:$AS$1002,MATCH('DIVA Satislari'!AJ87,'E2E Nakliye Montaj'!$AM$3:$AM$1002,0)),"Eşleşme Yok"))</f>
        <v/>
      </c>
      <c r="L87" s="26">
        <f>IF('DIVA Satislari'!I87="","",IFERROR(INDEX('E2E Nakliye Montaj'!$AT$3:$AT$1002,MATCH('DIVA Satislari'!AJ87,'E2E Nakliye Montaj'!$AM$3:$AM$1002,0)),"Hayır"))</f>
        <v/>
      </c>
      <c r="M87" s="26">
        <f>IF('DIVA Satislari'!I87="","",IFERROR(INDEX('E2E Nakliye Montaj'!$AU$3:$AU$1002,MATCH('DIVA Satislari'!AJ87,'E2E Nakliye Montaj'!$AM$3:$AM$1002,0)),"Hayır"))</f>
        <v/>
      </c>
      <c r="N87" s="27">
        <f>IF('DIVA Satislari'!I87="","",IFERROR(INDEX('E2E Nakliye Montaj'!$AV$3:$AV$1002,MATCH('DIVA Satislari'!AJ87,'E2E Nakliye Montaj'!$AM$3:$AM$1002,0)),""))</f>
        <v/>
      </c>
      <c r="O87" s="26">
        <f>IF(OR(A87="",N87=""),"",IF(N87&lt;=H87,"Evet","HAYIR - RİSK"))</f>
        <v/>
      </c>
      <c r="P87" s="26">
        <f>IF(A87="","",IF(LEFT(J87,8)="Kural A ","Uygun - Hemen Ödenir (Yıl Sonu %75 Kontrolüne Tabi)",IF(OR(L87="Evet",M87="Evet"),IF(O87="Evet","Uygun","RİSK - Hakediş Süresi Aşıldı"),"Bekleniyor - Nakliye/Montaj Tamamlanmadı")))</f>
        <v/>
      </c>
      <c r="Q87" s="28">
        <f>IF(A87="","",SUMIFS('Hakedis Fatura Detay'!$G$3:$G$1200,'Hakedis Fatura Detay'!$H$3:$H$1200,'DIVA Satislari'!AJ87,'Hakedis Fatura Detay'!$F$3:$F$1200,"Fiyat Farkı")+SUMIFS('Hakedis Fatura Detay'!$G$3:$G$1200,'Hakedis Fatura Detay'!$H$3:$H$1200,'DIVA Satislari'!AJ87,'Hakedis Fatura Detay'!$F$3:$F$1200,"Bundle"))</f>
        <v/>
      </c>
      <c r="R87" s="28">
        <f>IF(A87="","",I87-Q87)</f>
        <v/>
      </c>
      <c r="S87" s="26">
        <f>IF(A87="","",IF(LEFT(P87,7)="Bekleni","N/A - Henüz Ödenmemeli",IF(LEFT(P87,4)="RİSK","İNCELEME GEREKLİ - Süre Aşımı",IF(R87=0,"Doğru",IF(R87&gt;0,"EKSİK ÖDENMİŞ","FAZLA ÖDENMİŞ")))))</f>
        <v/>
      </c>
      <c r="T87" s="30">
        <f>IF(A87="","",IF(F87&lt;&gt;"Evet","İNCELEME GEREKLİ - Kampanya Tanımsız",IF(G87&lt;&gt;"Evet","İNCELEME GEREKLİ - Tarih Dışı Satış",IF(LEFT(P87,4)="RİSK","İNCELEME GEREKLİ - Hakediş Süresi Aşıldı",IF(OR(S87="EKSİK ÖDENMİŞ",S87="FAZLA ÖDENMİŞ"),"İNCELEME GEREKLİ - Tutar Uyuşmazlığı",IF(LEFT(P87,7)="Bekleni","Bekleniyor","Uygun"))))))</f>
        <v/>
      </c>
    </row>
    <row r="88">
      <c r="A88" s="26">
        <f>IF('DIVA Satislari'!I88="","",'DIVA Satislari'!I88)</f>
        <v/>
      </c>
      <c r="B88" s="26">
        <f>IF('DIVA Satislari'!I88="","",'DIVA Satislari'!R88)</f>
        <v/>
      </c>
      <c r="C88" s="26">
        <f>IF('DIVA Satislari'!I88="","",'DIVA Satislari'!M88)</f>
        <v/>
      </c>
      <c r="D88" s="27">
        <f>IF('DIVA Satislari'!I88="","",'DIVA Satislari'!H88)</f>
        <v/>
      </c>
      <c r="E88" s="26">
        <f>IF('DIVA Satislari'!I88="","",'DIVA Satislari'!O88)</f>
        <v/>
      </c>
      <c r="F88" s="26">
        <f>IF('DIVA Satislari'!I88="","",'DIVA Satislari'!AK88)</f>
        <v/>
      </c>
      <c r="G88" s="26">
        <f>IF('DIVA Satislari'!I88="","",'DIVA Satislari'!AO88)</f>
        <v/>
      </c>
      <c r="H88" s="27">
        <f>IF('DIVA Satislari'!I88="","",'DIVA Satislari'!AN88)</f>
        <v/>
      </c>
      <c r="I88" s="28">
        <f>IF('DIVA Satislari'!I88="","",'DIVA Satislari'!AQ88)</f>
        <v/>
      </c>
      <c r="J88" s="26">
        <f>IF('DIVA Satislari'!I88="","",'DIVA Satislari'!AR88)</f>
        <v/>
      </c>
      <c r="K88" s="26">
        <f>IF('DIVA Satislari'!I88="","",IFERROR(INDEX('E2E Nakliye Montaj'!$AS$3:$AS$1002,MATCH('DIVA Satislari'!AJ88,'E2E Nakliye Montaj'!$AM$3:$AM$1002,0)),"Eşleşme Yok"))</f>
        <v/>
      </c>
      <c r="L88" s="26">
        <f>IF('DIVA Satislari'!I88="","",IFERROR(INDEX('E2E Nakliye Montaj'!$AT$3:$AT$1002,MATCH('DIVA Satislari'!AJ88,'E2E Nakliye Montaj'!$AM$3:$AM$1002,0)),"Hayır"))</f>
        <v/>
      </c>
      <c r="M88" s="26">
        <f>IF('DIVA Satislari'!I88="","",IFERROR(INDEX('E2E Nakliye Montaj'!$AU$3:$AU$1002,MATCH('DIVA Satislari'!AJ88,'E2E Nakliye Montaj'!$AM$3:$AM$1002,0)),"Hayır"))</f>
        <v/>
      </c>
      <c r="N88" s="27">
        <f>IF('DIVA Satislari'!I88="","",IFERROR(INDEX('E2E Nakliye Montaj'!$AV$3:$AV$1002,MATCH('DIVA Satislari'!AJ88,'E2E Nakliye Montaj'!$AM$3:$AM$1002,0)),""))</f>
        <v/>
      </c>
      <c r="O88" s="26">
        <f>IF(OR(A88="",N88=""),"",IF(N88&lt;=H88,"Evet","HAYIR - RİSK"))</f>
        <v/>
      </c>
      <c r="P88" s="26">
        <f>IF(A88="","",IF(LEFT(J88,8)="Kural A ","Uygun - Hemen Ödenir (Yıl Sonu %75 Kontrolüne Tabi)",IF(OR(L88="Evet",M88="Evet"),IF(O88="Evet","Uygun","RİSK - Hakediş Süresi Aşıldı"),"Bekleniyor - Nakliye/Montaj Tamamlanmadı")))</f>
        <v/>
      </c>
      <c r="Q88" s="28">
        <f>IF(A88="","",SUMIFS('Hakedis Fatura Detay'!$G$3:$G$1200,'Hakedis Fatura Detay'!$H$3:$H$1200,'DIVA Satislari'!AJ88,'Hakedis Fatura Detay'!$F$3:$F$1200,"Fiyat Farkı")+SUMIFS('Hakedis Fatura Detay'!$G$3:$G$1200,'Hakedis Fatura Detay'!$H$3:$H$1200,'DIVA Satislari'!AJ88,'Hakedis Fatura Detay'!$F$3:$F$1200,"Bundle"))</f>
        <v/>
      </c>
      <c r="R88" s="28">
        <f>IF(A88="","",I88-Q88)</f>
        <v/>
      </c>
      <c r="S88" s="26">
        <f>IF(A88="","",IF(LEFT(P88,7)="Bekleni","N/A - Henüz Ödenmemeli",IF(LEFT(P88,4)="RİSK","İNCELEME GEREKLİ - Süre Aşımı",IF(R88=0,"Doğru",IF(R88&gt;0,"EKSİK ÖDENMİŞ","FAZLA ÖDENMİŞ")))))</f>
        <v/>
      </c>
      <c r="T88" s="30">
        <f>IF(A88="","",IF(F88&lt;&gt;"Evet","İNCELEME GEREKLİ - Kampanya Tanımsız",IF(G88&lt;&gt;"Evet","İNCELEME GEREKLİ - Tarih Dışı Satış",IF(LEFT(P88,4)="RİSK","İNCELEME GEREKLİ - Hakediş Süresi Aşıldı",IF(OR(S88="EKSİK ÖDENMİŞ",S88="FAZLA ÖDENMİŞ"),"İNCELEME GEREKLİ - Tutar Uyuşmazlığı",IF(LEFT(P88,7)="Bekleni","Bekleniyor","Uygun"))))))</f>
        <v/>
      </c>
    </row>
    <row r="89">
      <c r="A89" s="26">
        <f>IF('DIVA Satislari'!I89="","",'DIVA Satislari'!I89)</f>
        <v/>
      </c>
      <c r="B89" s="26">
        <f>IF('DIVA Satislari'!I89="","",'DIVA Satislari'!R89)</f>
        <v/>
      </c>
      <c r="C89" s="26">
        <f>IF('DIVA Satislari'!I89="","",'DIVA Satislari'!M89)</f>
        <v/>
      </c>
      <c r="D89" s="27">
        <f>IF('DIVA Satislari'!I89="","",'DIVA Satislari'!H89)</f>
        <v/>
      </c>
      <c r="E89" s="26">
        <f>IF('DIVA Satislari'!I89="","",'DIVA Satislari'!O89)</f>
        <v/>
      </c>
      <c r="F89" s="26">
        <f>IF('DIVA Satislari'!I89="","",'DIVA Satislari'!AK89)</f>
        <v/>
      </c>
      <c r="G89" s="26">
        <f>IF('DIVA Satislari'!I89="","",'DIVA Satislari'!AO89)</f>
        <v/>
      </c>
      <c r="H89" s="27">
        <f>IF('DIVA Satislari'!I89="","",'DIVA Satislari'!AN89)</f>
        <v/>
      </c>
      <c r="I89" s="28">
        <f>IF('DIVA Satislari'!I89="","",'DIVA Satislari'!AQ89)</f>
        <v/>
      </c>
      <c r="J89" s="26">
        <f>IF('DIVA Satislari'!I89="","",'DIVA Satislari'!AR89)</f>
        <v/>
      </c>
      <c r="K89" s="26">
        <f>IF('DIVA Satislari'!I89="","",IFERROR(INDEX('E2E Nakliye Montaj'!$AS$3:$AS$1002,MATCH('DIVA Satislari'!AJ89,'E2E Nakliye Montaj'!$AM$3:$AM$1002,0)),"Eşleşme Yok"))</f>
        <v/>
      </c>
      <c r="L89" s="26">
        <f>IF('DIVA Satislari'!I89="","",IFERROR(INDEX('E2E Nakliye Montaj'!$AT$3:$AT$1002,MATCH('DIVA Satislari'!AJ89,'E2E Nakliye Montaj'!$AM$3:$AM$1002,0)),"Hayır"))</f>
        <v/>
      </c>
      <c r="M89" s="26">
        <f>IF('DIVA Satislari'!I89="","",IFERROR(INDEX('E2E Nakliye Montaj'!$AU$3:$AU$1002,MATCH('DIVA Satislari'!AJ89,'E2E Nakliye Montaj'!$AM$3:$AM$1002,0)),"Hayır"))</f>
        <v/>
      </c>
      <c r="N89" s="27">
        <f>IF('DIVA Satislari'!I89="","",IFERROR(INDEX('E2E Nakliye Montaj'!$AV$3:$AV$1002,MATCH('DIVA Satislari'!AJ89,'E2E Nakliye Montaj'!$AM$3:$AM$1002,0)),""))</f>
        <v/>
      </c>
      <c r="O89" s="26">
        <f>IF(OR(A89="",N89=""),"",IF(N89&lt;=H89,"Evet","HAYIR - RİSK"))</f>
        <v/>
      </c>
      <c r="P89" s="26">
        <f>IF(A89="","",IF(LEFT(J89,8)="Kural A ","Uygun - Hemen Ödenir (Yıl Sonu %75 Kontrolüne Tabi)",IF(OR(L89="Evet",M89="Evet"),IF(O89="Evet","Uygun","RİSK - Hakediş Süresi Aşıldı"),"Bekleniyor - Nakliye/Montaj Tamamlanmadı")))</f>
        <v/>
      </c>
      <c r="Q89" s="28">
        <f>IF(A89="","",SUMIFS('Hakedis Fatura Detay'!$G$3:$G$1200,'Hakedis Fatura Detay'!$H$3:$H$1200,'DIVA Satislari'!AJ89,'Hakedis Fatura Detay'!$F$3:$F$1200,"Fiyat Farkı")+SUMIFS('Hakedis Fatura Detay'!$G$3:$G$1200,'Hakedis Fatura Detay'!$H$3:$H$1200,'DIVA Satislari'!AJ89,'Hakedis Fatura Detay'!$F$3:$F$1200,"Bundle"))</f>
        <v/>
      </c>
      <c r="R89" s="28">
        <f>IF(A89="","",I89-Q89)</f>
        <v/>
      </c>
      <c r="S89" s="26">
        <f>IF(A89="","",IF(LEFT(P89,7)="Bekleni","N/A - Henüz Ödenmemeli",IF(LEFT(P89,4)="RİSK","İNCELEME GEREKLİ - Süre Aşımı",IF(R89=0,"Doğru",IF(R89&gt;0,"EKSİK ÖDENMİŞ","FAZLA ÖDENMİŞ")))))</f>
        <v/>
      </c>
      <c r="T89" s="30">
        <f>IF(A89="","",IF(F89&lt;&gt;"Evet","İNCELEME GEREKLİ - Kampanya Tanımsız",IF(G89&lt;&gt;"Evet","İNCELEME GEREKLİ - Tarih Dışı Satış",IF(LEFT(P89,4)="RİSK","İNCELEME GEREKLİ - Hakediş Süresi Aşıldı",IF(OR(S89="EKSİK ÖDENMİŞ",S89="FAZLA ÖDENMİŞ"),"İNCELEME GEREKLİ - Tutar Uyuşmazlığı",IF(LEFT(P89,7)="Bekleni","Bekleniyor","Uygun"))))))</f>
        <v/>
      </c>
    </row>
    <row r="90">
      <c r="A90" s="26">
        <f>IF('DIVA Satislari'!I90="","",'DIVA Satislari'!I90)</f>
        <v/>
      </c>
      <c r="B90" s="26">
        <f>IF('DIVA Satislari'!I90="","",'DIVA Satislari'!R90)</f>
        <v/>
      </c>
      <c r="C90" s="26">
        <f>IF('DIVA Satislari'!I90="","",'DIVA Satislari'!M90)</f>
        <v/>
      </c>
      <c r="D90" s="27">
        <f>IF('DIVA Satislari'!I90="","",'DIVA Satislari'!H90)</f>
        <v/>
      </c>
      <c r="E90" s="26">
        <f>IF('DIVA Satislari'!I90="","",'DIVA Satislari'!O90)</f>
        <v/>
      </c>
      <c r="F90" s="26">
        <f>IF('DIVA Satislari'!I90="","",'DIVA Satislari'!AK90)</f>
        <v/>
      </c>
      <c r="G90" s="26">
        <f>IF('DIVA Satislari'!I90="","",'DIVA Satislari'!AO90)</f>
        <v/>
      </c>
      <c r="H90" s="27">
        <f>IF('DIVA Satislari'!I90="","",'DIVA Satislari'!AN90)</f>
        <v/>
      </c>
      <c r="I90" s="28">
        <f>IF('DIVA Satislari'!I90="","",'DIVA Satislari'!AQ90)</f>
        <v/>
      </c>
      <c r="J90" s="26">
        <f>IF('DIVA Satislari'!I90="","",'DIVA Satislari'!AR90)</f>
        <v/>
      </c>
      <c r="K90" s="26">
        <f>IF('DIVA Satislari'!I90="","",IFERROR(INDEX('E2E Nakliye Montaj'!$AS$3:$AS$1002,MATCH('DIVA Satislari'!AJ90,'E2E Nakliye Montaj'!$AM$3:$AM$1002,0)),"Eşleşme Yok"))</f>
        <v/>
      </c>
      <c r="L90" s="26">
        <f>IF('DIVA Satislari'!I90="","",IFERROR(INDEX('E2E Nakliye Montaj'!$AT$3:$AT$1002,MATCH('DIVA Satislari'!AJ90,'E2E Nakliye Montaj'!$AM$3:$AM$1002,0)),"Hayır"))</f>
        <v/>
      </c>
      <c r="M90" s="26">
        <f>IF('DIVA Satislari'!I90="","",IFERROR(INDEX('E2E Nakliye Montaj'!$AU$3:$AU$1002,MATCH('DIVA Satislari'!AJ90,'E2E Nakliye Montaj'!$AM$3:$AM$1002,0)),"Hayır"))</f>
        <v/>
      </c>
      <c r="N90" s="27">
        <f>IF('DIVA Satislari'!I90="","",IFERROR(INDEX('E2E Nakliye Montaj'!$AV$3:$AV$1002,MATCH('DIVA Satislari'!AJ90,'E2E Nakliye Montaj'!$AM$3:$AM$1002,0)),""))</f>
        <v/>
      </c>
      <c r="O90" s="26">
        <f>IF(OR(A90="",N90=""),"",IF(N90&lt;=H90,"Evet","HAYIR - RİSK"))</f>
        <v/>
      </c>
      <c r="P90" s="26">
        <f>IF(A90="","",IF(LEFT(J90,8)="Kural A ","Uygun - Hemen Ödenir (Yıl Sonu %75 Kontrolüne Tabi)",IF(OR(L90="Evet",M90="Evet"),IF(O90="Evet","Uygun","RİSK - Hakediş Süresi Aşıldı"),"Bekleniyor - Nakliye/Montaj Tamamlanmadı")))</f>
        <v/>
      </c>
      <c r="Q90" s="28">
        <f>IF(A90="","",SUMIFS('Hakedis Fatura Detay'!$G$3:$G$1200,'Hakedis Fatura Detay'!$H$3:$H$1200,'DIVA Satislari'!AJ90,'Hakedis Fatura Detay'!$F$3:$F$1200,"Fiyat Farkı")+SUMIFS('Hakedis Fatura Detay'!$G$3:$G$1200,'Hakedis Fatura Detay'!$H$3:$H$1200,'DIVA Satislari'!AJ90,'Hakedis Fatura Detay'!$F$3:$F$1200,"Bundle"))</f>
        <v/>
      </c>
      <c r="R90" s="28">
        <f>IF(A90="","",I90-Q90)</f>
        <v/>
      </c>
      <c r="S90" s="26">
        <f>IF(A90="","",IF(LEFT(P90,7)="Bekleni","N/A - Henüz Ödenmemeli",IF(LEFT(P90,4)="RİSK","İNCELEME GEREKLİ - Süre Aşımı",IF(R90=0,"Doğru",IF(R90&gt;0,"EKSİK ÖDENMİŞ","FAZLA ÖDENMİŞ")))))</f>
        <v/>
      </c>
      <c r="T90" s="30">
        <f>IF(A90="","",IF(F90&lt;&gt;"Evet","İNCELEME GEREKLİ - Kampanya Tanımsız",IF(G90&lt;&gt;"Evet","İNCELEME GEREKLİ - Tarih Dışı Satış",IF(LEFT(P90,4)="RİSK","İNCELEME GEREKLİ - Hakediş Süresi Aşıldı",IF(OR(S90="EKSİK ÖDENMİŞ",S90="FAZLA ÖDENMİŞ"),"İNCELEME GEREKLİ - Tutar Uyuşmazlığı",IF(LEFT(P90,7)="Bekleni","Bekleniyor","Uygun"))))))</f>
        <v/>
      </c>
    </row>
    <row r="91">
      <c r="A91" s="26">
        <f>IF('DIVA Satislari'!I91="","",'DIVA Satislari'!I91)</f>
        <v/>
      </c>
      <c r="B91" s="26">
        <f>IF('DIVA Satislari'!I91="","",'DIVA Satislari'!R91)</f>
        <v/>
      </c>
      <c r="C91" s="26">
        <f>IF('DIVA Satislari'!I91="","",'DIVA Satislari'!M91)</f>
        <v/>
      </c>
      <c r="D91" s="27">
        <f>IF('DIVA Satislari'!I91="","",'DIVA Satislari'!H91)</f>
        <v/>
      </c>
      <c r="E91" s="26">
        <f>IF('DIVA Satislari'!I91="","",'DIVA Satislari'!O91)</f>
        <v/>
      </c>
      <c r="F91" s="26">
        <f>IF('DIVA Satislari'!I91="","",'DIVA Satislari'!AK91)</f>
        <v/>
      </c>
      <c r="G91" s="26">
        <f>IF('DIVA Satislari'!I91="","",'DIVA Satislari'!AO91)</f>
        <v/>
      </c>
      <c r="H91" s="27">
        <f>IF('DIVA Satislari'!I91="","",'DIVA Satislari'!AN91)</f>
        <v/>
      </c>
      <c r="I91" s="28">
        <f>IF('DIVA Satislari'!I91="","",'DIVA Satislari'!AQ91)</f>
        <v/>
      </c>
      <c r="J91" s="26">
        <f>IF('DIVA Satislari'!I91="","",'DIVA Satislari'!AR91)</f>
        <v/>
      </c>
      <c r="K91" s="26">
        <f>IF('DIVA Satislari'!I91="","",IFERROR(INDEX('E2E Nakliye Montaj'!$AS$3:$AS$1002,MATCH('DIVA Satislari'!AJ91,'E2E Nakliye Montaj'!$AM$3:$AM$1002,0)),"Eşleşme Yok"))</f>
        <v/>
      </c>
      <c r="L91" s="26">
        <f>IF('DIVA Satislari'!I91="","",IFERROR(INDEX('E2E Nakliye Montaj'!$AT$3:$AT$1002,MATCH('DIVA Satislari'!AJ91,'E2E Nakliye Montaj'!$AM$3:$AM$1002,0)),"Hayır"))</f>
        <v/>
      </c>
      <c r="M91" s="26">
        <f>IF('DIVA Satislari'!I91="","",IFERROR(INDEX('E2E Nakliye Montaj'!$AU$3:$AU$1002,MATCH('DIVA Satislari'!AJ91,'E2E Nakliye Montaj'!$AM$3:$AM$1002,0)),"Hayır"))</f>
        <v/>
      </c>
      <c r="N91" s="27">
        <f>IF('DIVA Satislari'!I91="","",IFERROR(INDEX('E2E Nakliye Montaj'!$AV$3:$AV$1002,MATCH('DIVA Satislari'!AJ91,'E2E Nakliye Montaj'!$AM$3:$AM$1002,0)),""))</f>
        <v/>
      </c>
      <c r="O91" s="26">
        <f>IF(OR(A91="",N91=""),"",IF(N91&lt;=H91,"Evet","HAYIR - RİSK"))</f>
        <v/>
      </c>
      <c r="P91" s="26">
        <f>IF(A91="","",IF(LEFT(J91,8)="Kural A ","Uygun - Hemen Ödenir (Yıl Sonu %75 Kontrolüne Tabi)",IF(OR(L91="Evet",M91="Evet"),IF(O91="Evet","Uygun","RİSK - Hakediş Süresi Aşıldı"),"Bekleniyor - Nakliye/Montaj Tamamlanmadı")))</f>
        <v/>
      </c>
      <c r="Q91" s="28">
        <f>IF(A91="","",SUMIFS('Hakedis Fatura Detay'!$G$3:$G$1200,'Hakedis Fatura Detay'!$H$3:$H$1200,'DIVA Satislari'!AJ91,'Hakedis Fatura Detay'!$F$3:$F$1200,"Fiyat Farkı")+SUMIFS('Hakedis Fatura Detay'!$G$3:$G$1200,'Hakedis Fatura Detay'!$H$3:$H$1200,'DIVA Satislari'!AJ91,'Hakedis Fatura Detay'!$F$3:$F$1200,"Bundle"))</f>
        <v/>
      </c>
      <c r="R91" s="28">
        <f>IF(A91="","",I91-Q91)</f>
        <v/>
      </c>
      <c r="S91" s="26">
        <f>IF(A91="","",IF(LEFT(P91,7)="Bekleni","N/A - Henüz Ödenmemeli",IF(LEFT(P91,4)="RİSK","İNCELEME GEREKLİ - Süre Aşımı",IF(R91=0,"Doğru",IF(R91&gt;0,"EKSİK ÖDENMİŞ","FAZLA ÖDENMİŞ")))))</f>
        <v/>
      </c>
      <c r="T91" s="30">
        <f>IF(A91="","",IF(F91&lt;&gt;"Evet","İNCELEME GEREKLİ - Kampanya Tanımsız",IF(G91&lt;&gt;"Evet","İNCELEME GEREKLİ - Tarih Dışı Satış",IF(LEFT(P91,4)="RİSK","İNCELEME GEREKLİ - Hakediş Süresi Aşıldı",IF(OR(S91="EKSİK ÖDENMİŞ",S91="FAZLA ÖDENMİŞ"),"İNCELEME GEREKLİ - Tutar Uyuşmazlığı",IF(LEFT(P91,7)="Bekleni","Bekleniyor","Uygun"))))))</f>
        <v/>
      </c>
    </row>
    <row r="92">
      <c r="A92" s="26">
        <f>IF('DIVA Satislari'!I92="","",'DIVA Satislari'!I92)</f>
        <v/>
      </c>
      <c r="B92" s="26">
        <f>IF('DIVA Satislari'!I92="","",'DIVA Satislari'!R92)</f>
        <v/>
      </c>
      <c r="C92" s="26">
        <f>IF('DIVA Satislari'!I92="","",'DIVA Satislari'!M92)</f>
        <v/>
      </c>
      <c r="D92" s="27">
        <f>IF('DIVA Satislari'!I92="","",'DIVA Satislari'!H92)</f>
        <v/>
      </c>
      <c r="E92" s="26">
        <f>IF('DIVA Satislari'!I92="","",'DIVA Satislari'!O92)</f>
        <v/>
      </c>
      <c r="F92" s="26">
        <f>IF('DIVA Satislari'!I92="","",'DIVA Satislari'!AK92)</f>
        <v/>
      </c>
      <c r="G92" s="26">
        <f>IF('DIVA Satislari'!I92="","",'DIVA Satislari'!AO92)</f>
        <v/>
      </c>
      <c r="H92" s="27">
        <f>IF('DIVA Satislari'!I92="","",'DIVA Satislari'!AN92)</f>
        <v/>
      </c>
      <c r="I92" s="28">
        <f>IF('DIVA Satislari'!I92="","",'DIVA Satislari'!AQ92)</f>
        <v/>
      </c>
      <c r="J92" s="26">
        <f>IF('DIVA Satislari'!I92="","",'DIVA Satislari'!AR92)</f>
        <v/>
      </c>
      <c r="K92" s="26">
        <f>IF('DIVA Satislari'!I92="","",IFERROR(INDEX('E2E Nakliye Montaj'!$AS$3:$AS$1002,MATCH('DIVA Satislari'!AJ92,'E2E Nakliye Montaj'!$AM$3:$AM$1002,0)),"Eşleşme Yok"))</f>
        <v/>
      </c>
      <c r="L92" s="26">
        <f>IF('DIVA Satislari'!I92="","",IFERROR(INDEX('E2E Nakliye Montaj'!$AT$3:$AT$1002,MATCH('DIVA Satislari'!AJ92,'E2E Nakliye Montaj'!$AM$3:$AM$1002,0)),"Hayır"))</f>
        <v/>
      </c>
      <c r="M92" s="26">
        <f>IF('DIVA Satislari'!I92="","",IFERROR(INDEX('E2E Nakliye Montaj'!$AU$3:$AU$1002,MATCH('DIVA Satislari'!AJ92,'E2E Nakliye Montaj'!$AM$3:$AM$1002,0)),"Hayır"))</f>
        <v/>
      </c>
      <c r="N92" s="27">
        <f>IF('DIVA Satislari'!I92="","",IFERROR(INDEX('E2E Nakliye Montaj'!$AV$3:$AV$1002,MATCH('DIVA Satislari'!AJ92,'E2E Nakliye Montaj'!$AM$3:$AM$1002,0)),""))</f>
        <v/>
      </c>
      <c r="O92" s="26">
        <f>IF(OR(A92="",N92=""),"",IF(N92&lt;=H92,"Evet","HAYIR - RİSK"))</f>
        <v/>
      </c>
      <c r="P92" s="26">
        <f>IF(A92="","",IF(LEFT(J92,8)="Kural A ","Uygun - Hemen Ödenir (Yıl Sonu %75 Kontrolüne Tabi)",IF(OR(L92="Evet",M92="Evet"),IF(O92="Evet","Uygun","RİSK - Hakediş Süresi Aşıldı"),"Bekleniyor - Nakliye/Montaj Tamamlanmadı")))</f>
        <v/>
      </c>
      <c r="Q92" s="28">
        <f>IF(A92="","",SUMIFS('Hakedis Fatura Detay'!$G$3:$G$1200,'Hakedis Fatura Detay'!$H$3:$H$1200,'DIVA Satislari'!AJ92,'Hakedis Fatura Detay'!$F$3:$F$1200,"Fiyat Farkı")+SUMIFS('Hakedis Fatura Detay'!$G$3:$G$1200,'Hakedis Fatura Detay'!$H$3:$H$1200,'DIVA Satislari'!AJ92,'Hakedis Fatura Detay'!$F$3:$F$1200,"Bundle"))</f>
        <v/>
      </c>
      <c r="R92" s="28">
        <f>IF(A92="","",I92-Q92)</f>
        <v/>
      </c>
      <c r="S92" s="26">
        <f>IF(A92="","",IF(LEFT(P92,7)="Bekleni","N/A - Henüz Ödenmemeli",IF(LEFT(P92,4)="RİSK","İNCELEME GEREKLİ - Süre Aşımı",IF(R92=0,"Doğru",IF(R92&gt;0,"EKSİK ÖDENMİŞ","FAZLA ÖDENMİŞ")))))</f>
        <v/>
      </c>
      <c r="T92" s="30">
        <f>IF(A92="","",IF(F92&lt;&gt;"Evet","İNCELEME GEREKLİ - Kampanya Tanımsız",IF(G92&lt;&gt;"Evet","İNCELEME GEREKLİ - Tarih Dışı Satış",IF(LEFT(P92,4)="RİSK","İNCELEME GEREKLİ - Hakediş Süresi Aşıldı",IF(OR(S92="EKSİK ÖDENMİŞ",S92="FAZLA ÖDENMİŞ"),"İNCELEME GEREKLİ - Tutar Uyuşmazlığı",IF(LEFT(P92,7)="Bekleni","Bekleniyor","Uygun"))))))</f>
        <v/>
      </c>
    </row>
    <row r="93">
      <c r="A93" s="26">
        <f>IF('DIVA Satislari'!I93="","",'DIVA Satislari'!I93)</f>
        <v/>
      </c>
      <c r="B93" s="26">
        <f>IF('DIVA Satislari'!I93="","",'DIVA Satislari'!R93)</f>
        <v/>
      </c>
      <c r="C93" s="26">
        <f>IF('DIVA Satislari'!I93="","",'DIVA Satislari'!M93)</f>
        <v/>
      </c>
      <c r="D93" s="27">
        <f>IF('DIVA Satislari'!I93="","",'DIVA Satislari'!H93)</f>
        <v/>
      </c>
      <c r="E93" s="26">
        <f>IF('DIVA Satislari'!I93="","",'DIVA Satislari'!O93)</f>
        <v/>
      </c>
      <c r="F93" s="26">
        <f>IF('DIVA Satislari'!I93="","",'DIVA Satislari'!AK93)</f>
        <v/>
      </c>
      <c r="G93" s="26">
        <f>IF('DIVA Satislari'!I93="","",'DIVA Satislari'!AO93)</f>
        <v/>
      </c>
      <c r="H93" s="27">
        <f>IF('DIVA Satislari'!I93="","",'DIVA Satislari'!AN93)</f>
        <v/>
      </c>
      <c r="I93" s="28">
        <f>IF('DIVA Satislari'!I93="","",'DIVA Satislari'!AQ93)</f>
        <v/>
      </c>
      <c r="J93" s="26">
        <f>IF('DIVA Satislari'!I93="","",'DIVA Satislari'!AR93)</f>
        <v/>
      </c>
      <c r="K93" s="26">
        <f>IF('DIVA Satislari'!I93="","",IFERROR(INDEX('E2E Nakliye Montaj'!$AS$3:$AS$1002,MATCH('DIVA Satislari'!AJ93,'E2E Nakliye Montaj'!$AM$3:$AM$1002,0)),"Eşleşme Yok"))</f>
        <v/>
      </c>
      <c r="L93" s="26">
        <f>IF('DIVA Satislari'!I93="","",IFERROR(INDEX('E2E Nakliye Montaj'!$AT$3:$AT$1002,MATCH('DIVA Satislari'!AJ93,'E2E Nakliye Montaj'!$AM$3:$AM$1002,0)),"Hayır"))</f>
        <v/>
      </c>
      <c r="M93" s="26">
        <f>IF('DIVA Satislari'!I93="","",IFERROR(INDEX('E2E Nakliye Montaj'!$AU$3:$AU$1002,MATCH('DIVA Satislari'!AJ93,'E2E Nakliye Montaj'!$AM$3:$AM$1002,0)),"Hayır"))</f>
        <v/>
      </c>
      <c r="N93" s="27">
        <f>IF('DIVA Satislari'!I93="","",IFERROR(INDEX('E2E Nakliye Montaj'!$AV$3:$AV$1002,MATCH('DIVA Satislari'!AJ93,'E2E Nakliye Montaj'!$AM$3:$AM$1002,0)),""))</f>
        <v/>
      </c>
      <c r="O93" s="26">
        <f>IF(OR(A93="",N93=""),"",IF(N93&lt;=H93,"Evet","HAYIR - RİSK"))</f>
        <v/>
      </c>
      <c r="P93" s="26">
        <f>IF(A93="","",IF(LEFT(J93,8)="Kural A ","Uygun - Hemen Ödenir (Yıl Sonu %75 Kontrolüne Tabi)",IF(OR(L93="Evet",M93="Evet"),IF(O93="Evet","Uygun","RİSK - Hakediş Süresi Aşıldı"),"Bekleniyor - Nakliye/Montaj Tamamlanmadı")))</f>
        <v/>
      </c>
      <c r="Q93" s="28">
        <f>IF(A93="","",SUMIFS('Hakedis Fatura Detay'!$G$3:$G$1200,'Hakedis Fatura Detay'!$H$3:$H$1200,'DIVA Satislari'!AJ93,'Hakedis Fatura Detay'!$F$3:$F$1200,"Fiyat Farkı")+SUMIFS('Hakedis Fatura Detay'!$G$3:$G$1200,'Hakedis Fatura Detay'!$H$3:$H$1200,'DIVA Satislari'!AJ93,'Hakedis Fatura Detay'!$F$3:$F$1200,"Bundle"))</f>
        <v/>
      </c>
      <c r="R93" s="28">
        <f>IF(A93="","",I93-Q93)</f>
        <v/>
      </c>
      <c r="S93" s="26">
        <f>IF(A93="","",IF(LEFT(P93,7)="Bekleni","N/A - Henüz Ödenmemeli",IF(LEFT(P93,4)="RİSK","İNCELEME GEREKLİ - Süre Aşımı",IF(R93=0,"Doğru",IF(R93&gt;0,"EKSİK ÖDENMİŞ","FAZLA ÖDENMİŞ")))))</f>
        <v/>
      </c>
      <c r="T93" s="30">
        <f>IF(A93="","",IF(F93&lt;&gt;"Evet","İNCELEME GEREKLİ - Kampanya Tanımsız",IF(G93&lt;&gt;"Evet","İNCELEME GEREKLİ - Tarih Dışı Satış",IF(LEFT(P93,4)="RİSK","İNCELEME GEREKLİ - Hakediş Süresi Aşıldı",IF(OR(S93="EKSİK ÖDENMİŞ",S93="FAZLA ÖDENMİŞ"),"İNCELEME GEREKLİ - Tutar Uyuşmazlığı",IF(LEFT(P93,7)="Bekleni","Bekleniyor","Uygun"))))))</f>
        <v/>
      </c>
    </row>
    <row r="94">
      <c r="A94" s="26">
        <f>IF('DIVA Satislari'!I94="","",'DIVA Satislari'!I94)</f>
        <v/>
      </c>
      <c r="B94" s="26">
        <f>IF('DIVA Satislari'!I94="","",'DIVA Satislari'!R94)</f>
        <v/>
      </c>
      <c r="C94" s="26">
        <f>IF('DIVA Satislari'!I94="","",'DIVA Satislari'!M94)</f>
        <v/>
      </c>
      <c r="D94" s="27">
        <f>IF('DIVA Satislari'!I94="","",'DIVA Satislari'!H94)</f>
        <v/>
      </c>
      <c r="E94" s="26">
        <f>IF('DIVA Satislari'!I94="","",'DIVA Satislari'!O94)</f>
        <v/>
      </c>
      <c r="F94" s="26">
        <f>IF('DIVA Satislari'!I94="","",'DIVA Satislari'!AK94)</f>
        <v/>
      </c>
      <c r="G94" s="26">
        <f>IF('DIVA Satislari'!I94="","",'DIVA Satislari'!AO94)</f>
        <v/>
      </c>
      <c r="H94" s="27">
        <f>IF('DIVA Satislari'!I94="","",'DIVA Satislari'!AN94)</f>
        <v/>
      </c>
      <c r="I94" s="28">
        <f>IF('DIVA Satislari'!I94="","",'DIVA Satislari'!AQ94)</f>
        <v/>
      </c>
      <c r="J94" s="26">
        <f>IF('DIVA Satislari'!I94="","",'DIVA Satislari'!AR94)</f>
        <v/>
      </c>
      <c r="K94" s="26">
        <f>IF('DIVA Satislari'!I94="","",IFERROR(INDEX('E2E Nakliye Montaj'!$AS$3:$AS$1002,MATCH('DIVA Satislari'!AJ94,'E2E Nakliye Montaj'!$AM$3:$AM$1002,0)),"Eşleşme Yok"))</f>
        <v/>
      </c>
      <c r="L94" s="26">
        <f>IF('DIVA Satislari'!I94="","",IFERROR(INDEX('E2E Nakliye Montaj'!$AT$3:$AT$1002,MATCH('DIVA Satislari'!AJ94,'E2E Nakliye Montaj'!$AM$3:$AM$1002,0)),"Hayır"))</f>
        <v/>
      </c>
      <c r="M94" s="26">
        <f>IF('DIVA Satislari'!I94="","",IFERROR(INDEX('E2E Nakliye Montaj'!$AU$3:$AU$1002,MATCH('DIVA Satislari'!AJ94,'E2E Nakliye Montaj'!$AM$3:$AM$1002,0)),"Hayır"))</f>
        <v/>
      </c>
      <c r="N94" s="27">
        <f>IF('DIVA Satislari'!I94="","",IFERROR(INDEX('E2E Nakliye Montaj'!$AV$3:$AV$1002,MATCH('DIVA Satislari'!AJ94,'E2E Nakliye Montaj'!$AM$3:$AM$1002,0)),""))</f>
        <v/>
      </c>
      <c r="O94" s="26">
        <f>IF(OR(A94="",N94=""),"",IF(N94&lt;=H94,"Evet","HAYIR - RİSK"))</f>
        <v/>
      </c>
      <c r="P94" s="26">
        <f>IF(A94="","",IF(LEFT(J94,8)="Kural A ","Uygun - Hemen Ödenir (Yıl Sonu %75 Kontrolüne Tabi)",IF(OR(L94="Evet",M94="Evet"),IF(O94="Evet","Uygun","RİSK - Hakediş Süresi Aşıldı"),"Bekleniyor - Nakliye/Montaj Tamamlanmadı")))</f>
        <v/>
      </c>
      <c r="Q94" s="28">
        <f>IF(A94="","",SUMIFS('Hakedis Fatura Detay'!$G$3:$G$1200,'Hakedis Fatura Detay'!$H$3:$H$1200,'DIVA Satislari'!AJ94,'Hakedis Fatura Detay'!$F$3:$F$1200,"Fiyat Farkı")+SUMIFS('Hakedis Fatura Detay'!$G$3:$G$1200,'Hakedis Fatura Detay'!$H$3:$H$1200,'DIVA Satislari'!AJ94,'Hakedis Fatura Detay'!$F$3:$F$1200,"Bundle"))</f>
        <v/>
      </c>
      <c r="R94" s="28">
        <f>IF(A94="","",I94-Q94)</f>
        <v/>
      </c>
      <c r="S94" s="26">
        <f>IF(A94="","",IF(LEFT(P94,7)="Bekleni","N/A - Henüz Ödenmemeli",IF(LEFT(P94,4)="RİSK","İNCELEME GEREKLİ - Süre Aşımı",IF(R94=0,"Doğru",IF(R94&gt;0,"EKSİK ÖDENMİŞ","FAZLA ÖDENMİŞ")))))</f>
        <v/>
      </c>
      <c r="T94" s="30">
        <f>IF(A94="","",IF(F94&lt;&gt;"Evet","İNCELEME GEREKLİ - Kampanya Tanımsız",IF(G94&lt;&gt;"Evet","İNCELEME GEREKLİ - Tarih Dışı Satış",IF(LEFT(P94,4)="RİSK","İNCELEME GEREKLİ - Hakediş Süresi Aşıldı",IF(OR(S94="EKSİK ÖDENMİŞ",S94="FAZLA ÖDENMİŞ"),"İNCELEME GEREKLİ - Tutar Uyuşmazlığı",IF(LEFT(P94,7)="Bekleni","Bekleniyor","Uygun"))))))</f>
        <v/>
      </c>
    </row>
    <row r="95">
      <c r="A95" s="26">
        <f>IF('DIVA Satislari'!I95="","",'DIVA Satislari'!I95)</f>
        <v/>
      </c>
      <c r="B95" s="26">
        <f>IF('DIVA Satislari'!I95="","",'DIVA Satislari'!R95)</f>
        <v/>
      </c>
      <c r="C95" s="26">
        <f>IF('DIVA Satislari'!I95="","",'DIVA Satislari'!M95)</f>
        <v/>
      </c>
      <c r="D95" s="27">
        <f>IF('DIVA Satislari'!I95="","",'DIVA Satislari'!H95)</f>
        <v/>
      </c>
      <c r="E95" s="26">
        <f>IF('DIVA Satislari'!I95="","",'DIVA Satislari'!O95)</f>
        <v/>
      </c>
      <c r="F95" s="26">
        <f>IF('DIVA Satislari'!I95="","",'DIVA Satislari'!AK95)</f>
        <v/>
      </c>
      <c r="G95" s="26">
        <f>IF('DIVA Satislari'!I95="","",'DIVA Satislari'!AO95)</f>
        <v/>
      </c>
      <c r="H95" s="27">
        <f>IF('DIVA Satislari'!I95="","",'DIVA Satislari'!AN95)</f>
        <v/>
      </c>
      <c r="I95" s="28">
        <f>IF('DIVA Satislari'!I95="","",'DIVA Satislari'!AQ95)</f>
        <v/>
      </c>
      <c r="J95" s="26">
        <f>IF('DIVA Satislari'!I95="","",'DIVA Satislari'!AR95)</f>
        <v/>
      </c>
      <c r="K95" s="26">
        <f>IF('DIVA Satislari'!I95="","",IFERROR(INDEX('E2E Nakliye Montaj'!$AS$3:$AS$1002,MATCH('DIVA Satislari'!AJ95,'E2E Nakliye Montaj'!$AM$3:$AM$1002,0)),"Eşleşme Yok"))</f>
        <v/>
      </c>
      <c r="L95" s="26">
        <f>IF('DIVA Satislari'!I95="","",IFERROR(INDEX('E2E Nakliye Montaj'!$AT$3:$AT$1002,MATCH('DIVA Satislari'!AJ95,'E2E Nakliye Montaj'!$AM$3:$AM$1002,0)),"Hayır"))</f>
        <v/>
      </c>
      <c r="M95" s="26">
        <f>IF('DIVA Satislari'!I95="","",IFERROR(INDEX('E2E Nakliye Montaj'!$AU$3:$AU$1002,MATCH('DIVA Satislari'!AJ95,'E2E Nakliye Montaj'!$AM$3:$AM$1002,0)),"Hayır"))</f>
        <v/>
      </c>
      <c r="N95" s="27">
        <f>IF('DIVA Satislari'!I95="","",IFERROR(INDEX('E2E Nakliye Montaj'!$AV$3:$AV$1002,MATCH('DIVA Satislari'!AJ95,'E2E Nakliye Montaj'!$AM$3:$AM$1002,0)),""))</f>
        <v/>
      </c>
      <c r="O95" s="26">
        <f>IF(OR(A95="",N95=""),"",IF(N95&lt;=H95,"Evet","HAYIR - RİSK"))</f>
        <v/>
      </c>
      <c r="P95" s="26">
        <f>IF(A95="","",IF(LEFT(J95,8)="Kural A ","Uygun - Hemen Ödenir (Yıl Sonu %75 Kontrolüne Tabi)",IF(OR(L95="Evet",M95="Evet"),IF(O95="Evet","Uygun","RİSK - Hakediş Süresi Aşıldı"),"Bekleniyor - Nakliye/Montaj Tamamlanmadı")))</f>
        <v/>
      </c>
      <c r="Q95" s="28">
        <f>IF(A95="","",SUMIFS('Hakedis Fatura Detay'!$G$3:$G$1200,'Hakedis Fatura Detay'!$H$3:$H$1200,'DIVA Satislari'!AJ95,'Hakedis Fatura Detay'!$F$3:$F$1200,"Fiyat Farkı")+SUMIFS('Hakedis Fatura Detay'!$G$3:$G$1200,'Hakedis Fatura Detay'!$H$3:$H$1200,'DIVA Satislari'!AJ95,'Hakedis Fatura Detay'!$F$3:$F$1200,"Bundle"))</f>
        <v/>
      </c>
      <c r="R95" s="28">
        <f>IF(A95="","",I95-Q95)</f>
        <v/>
      </c>
      <c r="S95" s="26">
        <f>IF(A95="","",IF(LEFT(P95,7)="Bekleni","N/A - Henüz Ödenmemeli",IF(LEFT(P95,4)="RİSK","İNCELEME GEREKLİ - Süre Aşımı",IF(R95=0,"Doğru",IF(R95&gt;0,"EKSİK ÖDENMİŞ","FAZLA ÖDENMİŞ")))))</f>
        <v/>
      </c>
      <c r="T95" s="30">
        <f>IF(A95="","",IF(F95&lt;&gt;"Evet","İNCELEME GEREKLİ - Kampanya Tanımsız",IF(G95&lt;&gt;"Evet","İNCELEME GEREKLİ - Tarih Dışı Satış",IF(LEFT(P95,4)="RİSK","İNCELEME GEREKLİ - Hakediş Süresi Aşıldı",IF(OR(S95="EKSİK ÖDENMİŞ",S95="FAZLA ÖDENMİŞ"),"İNCELEME GEREKLİ - Tutar Uyuşmazlığı",IF(LEFT(P95,7)="Bekleni","Bekleniyor","Uygun"))))))</f>
        <v/>
      </c>
    </row>
    <row r="96">
      <c r="A96" s="26">
        <f>IF('DIVA Satislari'!I96="","",'DIVA Satislari'!I96)</f>
        <v/>
      </c>
      <c r="B96" s="26">
        <f>IF('DIVA Satislari'!I96="","",'DIVA Satislari'!R96)</f>
        <v/>
      </c>
      <c r="C96" s="26">
        <f>IF('DIVA Satislari'!I96="","",'DIVA Satislari'!M96)</f>
        <v/>
      </c>
      <c r="D96" s="27">
        <f>IF('DIVA Satislari'!I96="","",'DIVA Satislari'!H96)</f>
        <v/>
      </c>
      <c r="E96" s="26">
        <f>IF('DIVA Satislari'!I96="","",'DIVA Satislari'!O96)</f>
        <v/>
      </c>
      <c r="F96" s="26">
        <f>IF('DIVA Satislari'!I96="","",'DIVA Satislari'!AK96)</f>
        <v/>
      </c>
      <c r="G96" s="26">
        <f>IF('DIVA Satislari'!I96="","",'DIVA Satislari'!AO96)</f>
        <v/>
      </c>
      <c r="H96" s="27">
        <f>IF('DIVA Satislari'!I96="","",'DIVA Satislari'!AN96)</f>
        <v/>
      </c>
      <c r="I96" s="28">
        <f>IF('DIVA Satislari'!I96="","",'DIVA Satislari'!AQ96)</f>
        <v/>
      </c>
      <c r="J96" s="26">
        <f>IF('DIVA Satislari'!I96="","",'DIVA Satislari'!AR96)</f>
        <v/>
      </c>
      <c r="K96" s="26">
        <f>IF('DIVA Satislari'!I96="","",IFERROR(INDEX('E2E Nakliye Montaj'!$AS$3:$AS$1002,MATCH('DIVA Satislari'!AJ96,'E2E Nakliye Montaj'!$AM$3:$AM$1002,0)),"Eşleşme Yok"))</f>
        <v/>
      </c>
      <c r="L96" s="26">
        <f>IF('DIVA Satislari'!I96="","",IFERROR(INDEX('E2E Nakliye Montaj'!$AT$3:$AT$1002,MATCH('DIVA Satislari'!AJ96,'E2E Nakliye Montaj'!$AM$3:$AM$1002,0)),"Hayır"))</f>
        <v/>
      </c>
      <c r="M96" s="26">
        <f>IF('DIVA Satislari'!I96="","",IFERROR(INDEX('E2E Nakliye Montaj'!$AU$3:$AU$1002,MATCH('DIVA Satislari'!AJ96,'E2E Nakliye Montaj'!$AM$3:$AM$1002,0)),"Hayır"))</f>
        <v/>
      </c>
      <c r="N96" s="27">
        <f>IF('DIVA Satislari'!I96="","",IFERROR(INDEX('E2E Nakliye Montaj'!$AV$3:$AV$1002,MATCH('DIVA Satislari'!AJ96,'E2E Nakliye Montaj'!$AM$3:$AM$1002,0)),""))</f>
        <v/>
      </c>
      <c r="O96" s="26">
        <f>IF(OR(A96="",N96=""),"",IF(N96&lt;=H96,"Evet","HAYIR - RİSK"))</f>
        <v/>
      </c>
      <c r="P96" s="26">
        <f>IF(A96="","",IF(LEFT(J96,8)="Kural A ","Uygun - Hemen Ödenir (Yıl Sonu %75 Kontrolüne Tabi)",IF(OR(L96="Evet",M96="Evet"),IF(O96="Evet","Uygun","RİSK - Hakediş Süresi Aşıldı"),"Bekleniyor - Nakliye/Montaj Tamamlanmadı")))</f>
        <v/>
      </c>
      <c r="Q96" s="28">
        <f>IF(A96="","",SUMIFS('Hakedis Fatura Detay'!$G$3:$G$1200,'Hakedis Fatura Detay'!$H$3:$H$1200,'DIVA Satislari'!AJ96,'Hakedis Fatura Detay'!$F$3:$F$1200,"Fiyat Farkı")+SUMIFS('Hakedis Fatura Detay'!$G$3:$G$1200,'Hakedis Fatura Detay'!$H$3:$H$1200,'DIVA Satislari'!AJ96,'Hakedis Fatura Detay'!$F$3:$F$1200,"Bundle"))</f>
        <v/>
      </c>
      <c r="R96" s="28">
        <f>IF(A96="","",I96-Q96)</f>
        <v/>
      </c>
      <c r="S96" s="26">
        <f>IF(A96="","",IF(LEFT(P96,7)="Bekleni","N/A - Henüz Ödenmemeli",IF(LEFT(P96,4)="RİSK","İNCELEME GEREKLİ - Süre Aşımı",IF(R96=0,"Doğru",IF(R96&gt;0,"EKSİK ÖDENMİŞ","FAZLA ÖDENMİŞ")))))</f>
        <v/>
      </c>
      <c r="T96" s="30">
        <f>IF(A96="","",IF(F96&lt;&gt;"Evet","İNCELEME GEREKLİ - Kampanya Tanımsız",IF(G96&lt;&gt;"Evet","İNCELEME GEREKLİ - Tarih Dışı Satış",IF(LEFT(P96,4)="RİSK","İNCELEME GEREKLİ - Hakediş Süresi Aşıldı",IF(OR(S96="EKSİK ÖDENMİŞ",S96="FAZLA ÖDENMİŞ"),"İNCELEME GEREKLİ - Tutar Uyuşmazlığı",IF(LEFT(P96,7)="Bekleni","Bekleniyor","Uygun"))))))</f>
        <v/>
      </c>
    </row>
    <row r="97">
      <c r="A97" s="26">
        <f>IF('DIVA Satislari'!I97="","",'DIVA Satislari'!I97)</f>
        <v/>
      </c>
      <c r="B97" s="26">
        <f>IF('DIVA Satislari'!I97="","",'DIVA Satislari'!R97)</f>
        <v/>
      </c>
      <c r="C97" s="26">
        <f>IF('DIVA Satislari'!I97="","",'DIVA Satislari'!M97)</f>
        <v/>
      </c>
      <c r="D97" s="27">
        <f>IF('DIVA Satislari'!I97="","",'DIVA Satislari'!H97)</f>
        <v/>
      </c>
      <c r="E97" s="26">
        <f>IF('DIVA Satislari'!I97="","",'DIVA Satislari'!O97)</f>
        <v/>
      </c>
      <c r="F97" s="26">
        <f>IF('DIVA Satislari'!I97="","",'DIVA Satislari'!AK97)</f>
        <v/>
      </c>
      <c r="G97" s="26">
        <f>IF('DIVA Satislari'!I97="","",'DIVA Satislari'!AO97)</f>
        <v/>
      </c>
      <c r="H97" s="27">
        <f>IF('DIVA Satislari'!I97="","",'DIVA Satislari'!AN97)</f>
        <v/>
      </c>
      <c r="I97" s="28">
        <f>IF('DIVA Satislari'!I97="","",'DIVA Satislari'!AQ97)</f>
        <v/>
      </c>
      <c r="J97" s="26">
        <f>IF('DIVA Satislari'!I97="","",'DIVA Satislari'!AR97)</f>
        <v/>
      </c>
      <c r="K97" s="26">
        <f>IF('DIVA Satislari'!I97="","",IFERROR(INDEX('E2E Nakliye Montaj'!$AS$3:$AS$1002,MATCH('DIVA Satislari'!AJ97,'E2E Nakliye Montaj'!$AM$3:$AM$1002,0)),"Eşleşme Yok"))</f>
        <v/>
      </c>
      <c r="L97" s="26">
        <f>IF('DIVA Satislari'!I97="","",IFERROR(INDEX('E2E Nakliye Montaj'!$AT$3:$AT$1002,MATCH('DIVA Satislari'!AJ97,'E2E Nakliye Montaj'!$AM$3:$AM$1002,0)),"Hayır"))</f>
        <v/>
      </c>
      <c r="M97" s="26">
        <f>IF('DIVA Satislari'!I97="","",IFERROR(INDEX('E2E Nakliye Montaj'!$AU$3:$AU$1002,MATCH('DIVA Satislari'!AJ97,'E2E Nakliye Montaj'!$AM$3:$AM$1002,0)),"Hayır"))</f>
        <v/>
      </c>
      <c r="N97" s="27">
        <f>IF('DIVA Satislari'!I97="","",IFERROR(INDEX('E2E Nakliye Montaj'!$AV$3:$AV$1002,MATCH('DIVA Satislari'!AJ97,'E2E Nakliye Montaj'!$AM$3:$AM$1002,0)),""))</f>
        <v/>
      </c>
      <c r="O97" s="26">
        <f>IF(OR(A97="",N97=""),"",IF(N97&lt;=H97,"Evet","HAYIR - RİSK"))</f>
        <v/>
      </c>
      <c r="P97" s="26">
        <f>IF(A97="","",IF(LEFT(J97,8)="Kural A ","Uygun - Hemen Ödenir (Yıl Sonu %75 Kontrolüne Tabi)",IF(OR(L97="Evet",M97="Evet"),IF(O97="Evet","Uygun","RİSK - Hakediş Süresi Aşıldı"),"Bekleniyor - Nakliye/Montaj Tamamlanmadı")))</f>
        <v/>
      </c>
      <c r="Q97" s="28">
        <f>IF(A97="","",SUMIFS('Hakedis Fatura Detay'!$G$3:$G$1200,'Hakedis Fatura Detay'!$H$3:$H$1200,'DIVA Satislari'!AJ97,'Hakedis Fatura Detay'!$F$3:$F$1200,"Fiyat Farkı")+SUMIFS('Hakedis Fatura Detay'!$G$3:$G$1200,'Hakedis Fatura Detay'!$H$3:$H$1200,'DIVA Satislari'!AJ97,'Hakedis Fatura Detay'!$F$3:$F$1200,"Bundle"))</f>
        <v/>
      </c>
      <c r="R97" s="28">
        <f>IF(A97="","",I97-Q97)</f>
        <v/>
      </c>
      <c r="S97" s="26">
        <f>IF(A97="","",IF(LEFT(P97,7)="Bekleni","N/A - Henüz Ödenmemeli",IF(LEFT(P97,4)="RİSK","İNCELEME GEREKLİ - Süre Aşımı",IF(R97=0,"Doğru",IF(R97&gt;0,"EKSİK ÖDENMİŞ","FAZLA ÖDENMİŞ")))))</f>
        <v/>
      </c>
      <c r="T97" s="30">
        <f>IF(A97="","",IF(F97&lt;&gt;"Evet","İNCELEME GEREKLİ - Kampanya Tanımsız",IF(G97&lt;&gt;"Evet","İNCELEME GEREKLİ - Tarih Dışı Satış",IF(LEFT(P97,4)="RİSK","İNCELEME GEREKLİ - Hakediş Süresi Aşıldı",IF(OR(S97="EKSİK ÖDENMİŞ",S97="FAZLA ÖDENMİŞ"),"İNCELEME GEREKLİ - Tutar Uyuşmazlığı",IF(LEFT(P97,7)="Bekleni","Bekleniyor","Uygun"))))))</f>
        <v/>
      </c>
    </row>
    <row r="98">
      <c r="A98" s="26">
        <f>IF('DIVA Satislari'!I98="","",'DIVA Satislari'!I98)</f>
        <v/>
      </c>
      <c r="B98" s="26">
        <f>IF('DIVA Satislari'!I98="","",'DIVA Satislari'!R98)</f>
        <v/>
      </c>
      <c r="C98" s="26">
        <f>IF('DIVA Satislari'!I98="","",'DIVA Satislari'!M98)</f>
        <v/>
      </c>
      <c r="D98" s="27">
        <f>IF('DIVA Satislari'!I98="","",'DIVA Satislari'!H98)</f>
        <v/>
      </c>
      <c r="E98" s="26">
        <f>IF('DIVA Satislari'!I98="","",'DIVA Satislari'!O98)</f>
        <v/>
      </c>
      <c r="F98" s="26">
        <f>IF('DIVA Satislari'!I98="","",'DIVA Satislari'!AK98)</f>
        <v/>
      </c>
      <c r="G98" s="26">
        <f>IF('DIVA Satislari'!I98="","",'DIVA Satislari'!AO98)</f>
        <v/>
      </c>
      <c r="H98" s="27">
        <f>IF('DIVA Satislari'!I98="","",'DIVA Satislari'!AN98)</f>
        <v/>
      </c>
      <c r="I98" s="28">
        <f>IF('DIVA Satislari'!I98="","",'DIVA Satislari'!AQ98)</f>
        <v/>
      </c>
      <c r="J98" s="26">
        <f>IF('DIVA Satislari'!I98="","",'DIVA Satislari'!AR98)</f>
        <v/>
      </c>
      <c r="K98" s="26">
        <f>IF('DIVA Satislari'!I98="","",IFERROR(INDEX('E2E Nakliye Montaj'!$AS$3:$AS$1002,MATCH('DIVA Satislari'!AJ98,'E2E Nakliye Montaj'!$AM$3:$AM$1002,0)),"Eşleşme Yok"))</f>
        <v/>
      </c>
      <c r="L98" s="26">
        <f>IF('DIVA Satislari'!I98="","",IFERROR(INDEX('E2E Nakliye Montaj'!$AT$3:$AT$1002,MATCH('DIVA Satislari'!AJ98,'E2E Nakliye Montaj'!$AM$3:$AM$1002,0)),"Hayır"))</f>
        <v/>
      </c>
      <c r="M98" s="26">
        <f>IF('DIVA Satislari'!I98="","",IFERROR(INDEX('E2E Nakliye Montaj'!$AU$3:$AU$1002,MATCH('DIVA Satislari'!AJ98,'E2E Nakliye Montaj'!$AM$3:$AM$1002,0)),"Hayır"))</f>
        <v/>
      </c>
      <c r="N98" s="27">
        <f>IF('DIVA Satislari'!I98="","",IFERROR(INDEX('E2E Nakliye Montaj'!$AV$3:$AV$1002,MATCH('DIVA Satislari'!AJ98,'E2E Nakliye Montaj'!$AM$3:$AM$1002,0)),""))</f>
        <v/>
      </c>
      <c r="O98" s="26">
        <f>IF(OR(A98="",N98=""),"",IF(N98&lt;=H98,"Evet","HAYIR - RİSK"))</f>
        <v/>
      </c>
      <c r="P98" s="26">
        <f>IF(A98="","",IF(LEFT(J98,8)="Kural A ","Uygun - Hemen Ödenir (Yıl Sonu %75 Kontrolüne Tabi)",IF(OR(L98="Evet",M98="Evet"),IF(O98="Evet","Uygun","RİSK - Hakediş Süresi Aşıldı"),"Bekleniyor - Nakliye/Montaj Tamamlanmadı")))</f>
        <v/>
      </c>
      <c r="Q98" s="28">
        <f>IF(A98="","",SUMIFS('Hakedis Fatura Detay'!$G$3:$G$1200,'Hakedis Fatura Detay'!$H$3:$H$1200,'DIVA Satislari'!AJ98,'Hakedis Fatura Detay'!$F$3:$F$1200,"Fiyat Farkı")+SUMIFS('Hakedis Fatura Detay'!$G$3:$G$1200,'Hakedis Fatura Detay'!$H$3:$H$1200,'DIVA Satislari'!AJ98,'Hakedis Fatura Detay'!$F$3:$F$1200,"Bundle"))</f>
        <v/>
      </c>
      <c r="R98" s="28">
        <f>IF(A98="","",I98-Q98)</f>
        <v/>
      </c>
      <c r="S98" s="26">
        <f>IF(A98="","",IF(LEFT(P98,7)="Bekleni","N/A - Henüz Ödenmemeli",IF(LEFT(P98,4)="RİSK","İNCELEME GEREKLİ - Süre Aşımı",IF(R98=0,"Doğru",IF(R98&gt;0,"EKSİK ÖDENMİŞ","FAZLA ÖDENMİŞ")))))</f>
        <v/>
      </c>
      <c r="T98" s="30">
        <f>IF(A98="","",IF(F98&lt;&gt;"Evet","İNCELEME GEREKLİ - Kampanya Tanımsız",IF(G98&lt;&gt;"Evet","İNCELEME GEREKLİ - Tarih Dışı Satış",IF(LEFT(P98,4)="RİSK","İNCELEME GEREKLİ - Hakediş Süresi Aşıldı",IF(OR(S98="EKSİK ÖDENMİŞ",S98="FAZLA ÖDENMİŞ"),"İNCELEME GEREKLİ - Tutar Uyuşmazlığı",IF(LEFT(P98,7)="Bekleni","Bekleniyor","Uygun"))))))</f>
        <v/>
      </c>
    </row>
    <row r="99">
      <c r="A99" s="26">
        <f>IF('DIVA Satislari'!I99="","",'DIVA Satislari'!I99)</f>
        <v/>
      </c>
      <c r="B99" s="26">
        <f>IF('DIVA Satislari'!I99="","",'DIVA Satislari'!R99)</f>
        <v/>
      </c>
      <c r="C99" s="26">
        <f>IF('DIVA Satislari'!I99="","",'DIVA Satislari'!M99)</f>
        <v/>
      </c>
      <c r="D99" s="27">
        <f>IF('DIVA Satislari'!I99="","",'DIVA Satislari'!H99)</f>
        <v/>
      </c>
      <c r="E99" s="26">
        <f>IF('DIVA Satislari'!I99="","",'DIVA Satislari'!O99)</f>
        <v/>
      </c>
      <c r="F99" s="26">
        <f>IF('DIVA Satislari'!I99="","",'DIVA Satislari'!AK99)</f>
        <v/>
      </c>
      <c r="G99" s="26">
        <f>IF('DIVA Satislari'!I99="","",'DIVA Satislari'!AO99)</f>
        <v/>
      </c>
      <c r="H99" s="27">
        <f>IF('DIVA Satislari'!I99="","",'DIVA Satislari'!AN99)</f>
        <v/>
      </c>
      <c r="I99" s="28">
        <f>IF('DIVA Satislari'!I99="","",'DIVA Satislari'!AQ99)</f>
        <v/>
      </c>
      <c r="J99" s="26">
        <f>IF('DIVA Satislari'!I99="","",'DIVA Satislari'!AR99)</f>
        <v/>
      </c>
      <c r="K99" s="26">
        <f>IF('DIVA Satislari'!I99="","",IFERROR(INDEX('E2E Nakliye Montaj'!$AS$3:$AS$1002,MATCH('DIVA Satislari'!AJ99,'E2E Nakliye Montaj'!$AM$3:$AM$1002,0)),"Eşleşme Yok"))</f>
        <v/>
      </c>
      <c r="L99" s="26">
        <f>IF('DIVA Satislari'!I99="","",IFERROR(INDEX('E2E Nakliye Montaj'!$AT$3:$AT$1002,MATCH('DIVA Satislari'!AJ99,'E2E Nakliye Montaj'!$AM$3:$AM$1002,0)),"Hayır"))</f>
        <v/>
      </c>
      <c r="M99" s="26">
        <f>IF('DIVA Satislari'!I99="","",IFERROR(INDEX('E2E Nakliye Montaj'!$AU$3:$AU$1002,MATCH('DIVA Satislari'!AJ99,'E2E Nakliye Montaj'!$AM$3:$AM$1002,0)),"Hayır"))</f>
        <v/>
      </c>
      <c r="N99" s="27">
        <f>IF('DIVA Satislari'!I99="","",IFERROR(INDEX('E2E Nakliye Montaj'!$AV$3:$AV$1002,MATCH('DIVA Satislari'!AJ99,'E2E Nakliye Montaj'!$AM$3:$AM$1002,0)),""))</f>
        <v/>
      </c>
      <c r="O99" s="26">
        <f>IF(OR(A99="",N99=""),"",IF(N99&lt;=H99,"Evet","HAYIR - RİSK"))</f>
        <v/>
      </c>
      <c r="P99" s="26">
        <f>IF(A99="","",IF(LEFT(J99,8)="Kural A ","Uygun - Hemen Ödenir (Yıl Sonu %75 Kontrolüne Tabi)",IF(OR(L99="Evet",M99="Evet"),IF(O99="Evet","Uygun","RİSK - Hakediş Süresi Aşıldı"),"Bekleniyor - Nakliye/Montaj Tamamlanmadı")))</f>
        <v/>
      </c>
      <c r="Q99" s="28">
        <f>IF(A99="","",SUMIFS('Hakedis Fatura Detay'!$G$3:$G$1200,'Hakedis Fatura Detay'!$H$3:$H$1200,'DIVA Satislari'!AJ99,'Hakedis Fatura Detay'!$F$3:$F$1200,"Fiyat Farkı")+SUMIFS('Hakedis Fatura Detay'!$G$3:$G$1200,'Hakedis Fatura Detay'!$H$3:$H$1200,'DIVA Satislari'!AJ99,'Hakedis Fatura Detay'!$F$3:$F$1200,"Bundle"))</f>
        <v/>
      </c>
      <c r="R99" s="28">
        <f>IF(A99="","",I99-Q99)</f>
        <v/>
      </c>
      <c r="S99" s="26">
        <f>IF(A99="","",IF(LEFT(P99,7)="Bekleni","N/A - Henüz Ödenmemeli",IF(LEFT(P99,4)="RİSK","İNCELEME GEREKLİ - Süre Aşımı",IF(R99=0,"Doğru",IF(R99&gt;0,"EKSİK ÖDENMİŞ","FAZLA ÖDENMİŞ")))))</f>
        <v/>
      </c>
      <c r="T99" s="30">
        <f>IF(A99="","",IF(F99&lt;&gt;"Evet","İNCELEME GEREKLİ - Kampanya Tanımsız",IF(G99&lt;&gt;"Evet","İNCELEME GEREKLİ - Tarih Dışı Satış",IF(LEFT(P99,4)="RİSK","İNCELEME GEREKLİ - Hakediş Süresi Aşıldı",IF(OR(S99="EKSİK ÖDENMİŞ",S99="FAZLA ÖDENMİŞ"),"İNCELEME GEREKLİ - Tutar Uyuşmazlığı",IF(LEFT(P99,7)="Bekleni","Bekleniyor","Uygun"))))))</f>
        <v/>
      </c>
    </row>
    <row r="100">
      <c r="A100" s="26">
        <f>IF('DIVA Satislari'!I100="","",'DIVA Satislari'!I100)</f>
        <v/>
      </c>
      <c r="B100" s="26">
        <f>IF('DIVA Satislari'!I100="","",'DIVA Satislari'!R100)</f>
        <v/>
      </c>
      <c r="C100" s="26">
        <f>IF('DIVA Satislari'!I100="","",'DIVA Satislari'!M100)</f>
        <v/>
      </c>
      <c r="D100" s="27">
        <f>IF('DIVA Satislari'!I100="","",'DIVA Satislari'!H100)</f>
        <v/>
      </c>
      <c r="E100" s="26">
        <f>IF('DIVA Satislari'!I100="","",'DIVA Satislari'!O100)</f>
        <v/>
      </c>
      <c r="F100" s="26">
        <f>IF('DIVA Satislari'!I100="","",'DIVA Satislari'!AK100)</f>
        <v/>
      </c>
      <c r="G100" s="26">
        <f>IF('DIVA Satislari'!I100="","",'DIVA Satislari'!AO100)</f>
        <v/>
      </c>
      <c r="H100" s="27">
        <f>IF('DIVA Satislari'!I100="","",'DIVA Satislari'!AN100)</f>
        <v/>
      </c>
      <c r="I100" s="28">
        <f>IF('DIVA Satislari'!I100="","",'DIVA Satislari'!AQ100)</f>
        <v/>
      </c>
      <c r="J100" s="26">
        <f>IF('DIVA Satislari'!I100="","",'DIVA Satislari'!AR100)</f>
        <v/>
      </c>
      <c r="K100" s="26">
        <f>IF('DIVA Satislari'!I100="","",IFERROR(INDEX('E2E Nakliye Montaj'!$AS$3:$AS$1002,MATCH('DIVA Satislari'!AJ100,'E2E Nakliye Montaj'!$AM$3:$AM$1002,0)),"Eşleşme Yok"))</f>
        <v/>
      </c>
      <c r="L100" s="26">
        <f>IF('DIVA Satislari'!I100="","",IFERROR(INDEX('E2E Nakliye Montaj'!$AT$3:$AT$1002,MATCH('DIVA Satislari'!AJ100,'E2E Nakliye Montaj'!$AM$3:$AM$1002,0)),"Hayır"))</f>
        <v/>
      </c>
      <c r="M100" s="26">
        <f>IF('DIVA Satislari'!I100="","",IFERROR(INDEX('E2E Nakliye Montaj'!$AU$3:$AU$1002,MATCH('DIVA Satislari'!AJ100,'E2E Nakliye Montaj'!$AM$3:$AM$1002,0)),"Hayır"))</f>
        <v/>
      </c>
      <c r="N100" s="27">
        <f>IF('DIVA Satislari'!I100="","",IFERROR(INDEX('E2E Nakliye Montaj'!$AV$3:$AV$1002,MATCH('DIVA Satislari'!AJ100,'E2E Nakliye Montaj'!$AM$3:$AM$1002,0)),""))</f>
        <v/>
      </c>
      <c r="O100" s="26">
        <f>IF(OR(A100="",N100=""),"",IF(N100&lt;=H100,"Evet","HAYIR - RİSK"))</f>
        <v/>
      </c>
      <c r="P100" s="26">
        <f>IF(A100="","",IF(LEFT(J100,8)="Kural A ","Uygun - Hemen Ödenir (Yıl Sonu %75 Kontrolüne Tabi)",IF(OR(L100="Evet",M100="Evet"),IF(O100="Evet","Uygun","RİSK - Hakediş Süresi Aşıldı"),"Bekleniyor - Nakliye/Montaj Tamamlanmadı")))</f>
        <v/>
      </c>
      <c r="Q100" s="28">
        <f>IF(A100="","",SUMIFS('Hakedis Fatura Detay'!$G$3:$G$1200,'Hakedis Fatura Detay'!$H$3:$H$1200,'DIVA Satislari'!AJ100,'Hakedis Fatura Detay'!$F$3:$F$1200,"Fiyat Farkı")+SUMIFS('Hakedis Fatura Detay'!$G$3:$G$1200,'Hakedis Fatura Detay'!$H$3:$H$1200,'DIVA Satislari'!AJ100,'Hakedis Fatura Detay'!$F$3:$F$1200,"Bundle"))</f>
        <v/>
      </c>
      <c r="R100" s="28">
        <f>IF(A100="","",I100-Q100)</f>
        <v/>
      </c>
      <c r="S100" s="26">
        <f>IF(A100="","",IF(LEFT(P100,7)="Bekleni","N/A - Henüz Ödenmemeli",IF(LEFT(P100,4)="RİSK","İNCELEME GEREKLİ - Süre Aşımı",IF(R100=0,"Doğru",IF(R100&gt;0,"EKSİK ÖDENMİŞ","FAZLA ÖDENMİŞ")))))</f>
        <v/>
      </c>
      <c r="T100" s="30">
        <f>IF(A100="","",IF(F100&lt;&gt;"Evet","İNCELEME GEREKLİ - Kampanya Tanımsız",IF(G100&lt;&gt;"Evet","İNCELEME GEREKLİ - Tarih Dışı Satış",IF(LEFT(P100,4)="RİSK","İNCELEME GEREKLİ - Hakediş Süresi Aşıldı",IF(OR(S100="EKSİK ÖDENMİŞ",S100="FAZLA ÖDENMİŞ"),"İNCELEME GEREKLİ - Tutar Uyuşmazlığı",IF(LEFT(P100,7)="Bekleni","Bekleniyor","Uygun"))))))</f>
        <v/>
      </c>
    </row>
    <row r="101">
      <c r="A101" s="26">
        <f>IF('DIVA Satislari'!I101="","",'DIVA Satislari'!I101)</f>
        <v/>
      </c>
      <c r="B101" s="26">
        <f>IF('DIVA Satislari'!I101="","",'DIVA Satislari'!R101)</f>
        <v/>
      </c>
      <c r="C101" s="26">
        <f>IF('DIVA Satislari'!I101="","",'DIVA Satislari'!M101)</f>
        <v/>
      </c>
      <c r="D101" s="27">
        <f>IF('DIVA Satislari'!I101="","",'DIVA Satislari'!H101)</f>
        <v/>
      </c>
      <c r="E101" s="26">
        <f>IF('DIVA Satislari'!I101="","",'DIVA Satislari'!O101)</f>
        <v/>
      </c>
      <c r="F101" s="26">
        <f>IF('DIVA Satislari'!I101="","",'DIVA Satislari'!AK101)</f>
        <v/>
      </c>
      <c r="G101" s="26">
        <f>IF('DIVA Satislari'!I101="","",'DIVA Satislari'!AO101)</f>
        <v/>
      </c>
      <c r="H101" s="27">
        <f>IF('DIVA Satislari'!I101="","",'DIVA Satislari'!AN101)</f>
        <v/>
      </c>
      <c r="I101" s="28">
        <f>IF('DIVA Satislari'!I101="","",'DIVA Satislari'!AQ101)</f>
        <v/>
      </c>
      <c r="J101" s="26">
        <f>IF('DIVA Satislari'!I101="","",'DIVA Satislari'!AR101)</f>
        <v/>
      </c>
      <c r="K101" s="26">
        <f>IF('DIVA Satislari'!I101="","",IFERROR(INDEX('E2E Nakliye Montaj'!$AS$3:$AS$1002,MATCH('DIVA Satislari'!AJ101,'E2E Nakliye Montaj'!$AM$3:$AM$1002,0)),"Eşleşme Yok"))</f>
        <v/>
      </c>
      <c r="L101" s="26">
        <f>IF('DIVA Satislari'!I101="","",IFERROR(INDEX('E2E Nakliye Montaj'!$AT$3:$AT$1002,MATCH('DIVA Satislari'!AJ101,'E2E Nakliye Montaj'!$AM$3:$AM$1002,0)),"Hayır"))</f>
        <v/>
      </c>
      <c r="M101" s="26">
        <f>IF('DIVA Satislari'!I101="","",IFERROR(INDEX('E2E Nakliye Montaj'!$AU$3:$AU$1002,MATCH('DIVA Satislari'!AJ101,'E2E Nakliye Montaj'!$AM$3:$AM$1002,0)),"Hayır"))</f>
        <v/>
      </c>
      <c r="N101" s="27">
        <f>IF('DIVA Satislari'!I101="","",IFERROR(INDEX('E2E Nakliye Montaj'!$AV$3:$AV$1002,MATCH('DIVA Satislari'!AJ101,'E2E Nakliye Montaj'!$AM$3:$AM$1002,0)),""))</f>
        <v/>
      </c>
      <c r="O101" s="26">
        <f>IF(OR(A101="",N101=""),"",IF(N101&lt;=H101,"Evet","HAYIR - RİSK"))</f>
        <v/>
      </c>
      <c r="P101" s="26">
        <f>IF(A101="","",IF(LEFT(J101,8)="Kural A ","Uygun - Hemen Ödenir (Yıl Sonu %75 Kontrolüne Tabi)",IF(OR(L101="Evet",M101="Evet"),IF(O101="Evet","Uygun","RİSK - Hakediş Süresi Aşıldı"),"Bekleniyor - Nakliye/Montaj Tamamlanmadı")))</f>
        <v/>
      </c>
      <c r="Q101" s="28">
        <f>IF(A101="","",SUMIFS('Hakedis Fatura Detay'!$G$3:$G$1200,'Hakedis Fatura Detay'!$H$3:$H$1200,'DIVA Satislari'!AJ101,'Hakedis Fatura Detay'!$F$3:$F$1200,"Fiyat Farkı")+SUMIFS('Hakedis Fatura Detay'!$G$3:$G$1200,'Hakedis Fatura Detay'!$H$3:$H$1200,'DIVA Satislari'!AJ101,'Hakedis Fatura Detay'!$F$3:$F$1200,"Bundle"))</f>
        <v/>
      </c>
      <c r="R101" s="28">
        <f>IF(A101="","",I101-Q101)</f>
        <v/>
      </c>
      <c r="S101" s="26">
        <f>IF(A101="","",IF(LEFT(P101,7)="Bekleni","N/A - Henüz Ödenmemeli",IF(LEFT(P101,4)="RİSK","İNCELEME GEREKLİ - Süre Aşımı",IF(R101=0,"Doğru",IF(R101&gt;0,"EKSİK ÖDENMİŞ","FAZLA ÖDENMİŞ")))))</f>
        <v/>
      </c>
      <c r="T101" s="30">
        <f>IF(A101="","",IF(F101&lt;&gt;"Evet","İNCELEME GEREKLİ - Kampanya Tanımsız",IF(G101&lt;&gt;"Evet","İNCELEME GEREKLİ - Tarih Dışı Satış",IF(LEFT(P101,4)="RİSK","İNCELEME GEREKLİ - Hakediş Süresi Aşıldı",IF(OR(S101="EKSİK ÖDENMİŞ",S101="FAZLA ÖDENMİŞ"),"İNCELEME GEREKLİ - Tutar Uyuşmazlığı",IF(LEFT(P101,7)="Bekleni","Bekleniyor","Uygun"))))))</f>
        <v/>
      </c>
    </row>
    <row r="102">
      <c r="A102" s="26">
        <f>IF('DIVA Satislari'!I102="","",'DIVA Satislari'!I102)</f>
        <v/>
      </c>
      <c r="B102" s="26">
        <f>IF('DIVA Satislari'!I102="","",'DIVA Satislari'!R102)</f>
        <v/>
      </c>
      <c r="C102" s="26">
        <f>IF('DIVA Satislari'!I102="","",'DIVA Satislari'!M102)</f>
        <v/>
      </c>
      <c r="D102" s="27">
        <f>IF('DIVA Satislari'!I102="","",'DIVA Satislari'!H102)</f>
        <v/>
      </c>
      <c r="E102" s="26">
        <f>IF('DIVA Satislari'!I102="","",'DIVA Satislari'!O102)</f>
        <v/>
      </c>
      <c r="F102" s="26">
        <f>IF('DIVA Satislari'!I102="","",'DIVA Satislari'!AK102)</f>
        <v/>
      </c>
      <c r="G102" s="26">
        <f>IF('DIVA Satislari'!I102="","",'DIVA Satislari'!AO102)</f>
        <v/>
      </c>
      <c r="H102" s="27">
        <f>IF('DIVA Satislari'!I102="","",'DIVA Satislari'!AN102)</f>
        <v/>
      </c>
      <c r="I102" s="28">
        <f>IF('DIVA Satislari'!I102="","",'DIVA Satislari'!AQ102)</f>
        <v/>
      </c>
      <c r="J102" s="26">
        <f>IF('DIVA Satislari'!I102="","",'DIVA Satislari'!AR102)</f>
        <v/>
      </c>
      <c r="K102" s="26">
        <f>IF('DIVA Satislari'!I102="","",IFERROR(INDEX('E2E Nakliye Montaj'!$AS$3:$AS$1002,MATCH('DIVA Satislari'!AJ102,'E2E Nakliye Montaj'!$AM$3:$AM$1002,0)),"Eşleşme Yok"))</f>
        <v/>
      </c>
      <c r="L102" s="26">
        <f>IF('DIVA Satislari'!I102="","",IFERROR(INDEX('E2E Nakliye Montaj'!$AT$3:$AT$1002,MATCH('DIVA Satislari'!AJ102,'E2E Nakliye Montaj'!$AM$3:$AM$1002,0)),"Hayır"))</f>
        <v/>
      </c>
      <c r="M102" s="26">
        <f>IF('DIVA Satislari'!I102="","",IFERROR(INDEX('E2E Nakliye Montaj'!$AU$3:$AU$1002,MATCH('DIVA Satislari'!AJ102,'E2E Nakliye Montaj'!$AM$3:$AM$1002,0)),"Hayır"))</f>
        <v/>
      </c>
      <c r="N102" s="27">
        <f>IF('DIVA Satislari'!I102="","",IFERROR(INDEX('E2E Nakliye Montaj'!$AV$3:$AV$1002,MATCH('DIVA Satislari'!AJ102,'E2E Nakliye Montaj'!$AM$3:$AM$1002,0)),""))</f>
        <v/>
      </c>
      <c r="O102" s="26">
        <f>IF(OR(A102="",N102=""),"",IF(N102&lt;=H102,"Evet","HAYIR - RİSK"))</f>
        <v/>
      </c>
      <c r="P102" s="26">
        <f>IF(A102="","",IF(LEFT(J102,8)="Kural A ","Uygun - Hemen Ödenir (Yıl Sonu %75 Kontrolüne Tabi)",IF(OR(L102="Evet",M102="Evet"),IF(O102="Evet","Uygun","RİSK - Hakediş Süresi Aşıldı"),"Bekleniyor - Nakliye/Montaj Tamamlanmadı")))</f>
        <v/>
      </c>
      <c r="Q102" s="28">
        <f>IF(A102="","",SUMIFS('Hakedis Fatura Detay'!$G$3:$G$1200,'Hakedis Fatura Detay'!$H$3:$H$1200,'DIVA Satislari'!AJ102,'Hakedis Fatura Detay'!$F$3:$F$1200,"Fiyat Farkı")+SUMIFS('Hakedis Fatura Detay'!$G$3:$G$1200,'Hakedis Fatura Detay'!$H$3:$H$1200,'DIVA Satislari'!AJ102,'Hakedis Fatura Detay'!$F$3:$F$1200,"Bundle"))</f>
        <v/>
      </c>
      <c r="R102" s="28">
        <f>IF(A102="","",I102-Q102)</f>
        <v/>
      </c>
      <c r="S102" s="26">
        <f>IF(A102="","",IF(LEFT(P102,7)="Bekleni","N/A - Henüz Ödenmemeli",IF(LEFT(P102,4)="RİSK","İNCELEME GEREKLİ - Süre Aşımı",IF(R102=0,"Doğru",IF(R102&gt;0,"EKSİK ÖDENMİŞ","FAZLA ÖDENMİŞ")))))</f>
        <v/>
      </c>
      <c r="T102" s="30">
        <f>IF(A102="","",IF(F102&lt;&gt;"Evet","İNCELEME GEREKLİ - Kampanya Tanımsız",IF(G102&lt;&gt;"Evet","İNCELEME GEREKLİ - Tarih Dışı Satış",IF(LEFT(P102,4)="RİSK","İNCELEME GEREKLİ - Hakediş Süresi Aşıldı",IF(OR(S102="EKSİK ÖDENMİŞ",S102="FAZLA ÖDENMİŞ"),"İNCELEME GEREKLİ - Tutar Uyuşmazlığı",IF(LEFT(P102,7)="Bekleni","Bekleniyor","Uygun"))))))</f>
        <v/>
      </c>
    </row>
    <row r="103">
      <c r="A103" s="26">
        <f>IF('DIVA Satislari'!I103="","",'DIVA Satislari'!I103)</f>
        <v/>
      </c>
      <c r="B103" s="26">
        <f>IF('DIVA Satislari'!I103="","",'DIVA Satislari'!R103)</f>
        <v/>
      </c>
      <c r="C103" s="26">
        <f>IF('DIVA Satislari'!I103="","",'DIVA Satislari'!M103)</f>
        <v/>
      </c>
      <c r="D103" s="27">
        <f>IF('DIVA Satislari'!I103="","",'DIVA Satislari'!H103)</f>
        <v/>
      </c>
      <c r="E103" s="26">
        <f>IF('DIVA Satislari'!I103="","",'DIVA Satislari'!O103)</f>
        <v/>
      </c>
      <c r="F103" s="26">
        <f>IF('DIVA Satislari'!I103="","",'DIVA Satislari'!AK103)</f>
        <v/>
      </c>
      <c r="G103" s="26">
        <f>IF('DIVA Satislari'!I103="","",'DIVA Satislari'!AO103)</f>
        <v/>
      </c>
      <c r="H103" s="27">
        <f>IF('DIVA Satislari'!I103="","",'DIVA Satislari'!AN103)</f>
        <v/>
      </c>
      <c r="I103" s="28">
        <f>IF('DIVA Satislari'!I103="","",'DIVA Satislari'!AQ103)</f>
        <v/>
      </c>
      <c r="J103" s="26">
        <f>IF('DIVA Satislari'!I103="","",'DIVA Satislari'!AR103)</f>
        <v/>
      </c>
      <c r="K103" s="26">
        <f>IF('DIVA Satislari'!I103="","",IFERROR(INDEX('E2E Nakliye Montaj'!$AS$3:$AS$1002,MATCH('DIVA Satislari'!AJ103,'E2E Nakliye Montaj'!$AM$3:$AM$1002,0)),"Eşleşme Yok"))</f>
        <v/>
      </c>
      <c r="L103" s="26">
        <f>IF('DIVA Satislari'!I103="","",IFERROR(INDEX('E2E Nakliye Montaj'!$AT$3:$AT$1002,MATCH('DIVA Satislari'!AJ103,'E2E Nakliye Montaj'!$AM$3:$AM$1002,0)),"Hayır"))</f>
        <v/>
      </c>
      <c r="M103" s="26">
        <f>IF('DIVA Satislari'!I103="","",IFERROR(INDEX('E2E Nakliye Montaj'!$AU$3:$AU$1002,MATCH('DIVA Satislari'!AJ103,'E2E Nakliye Montaj'!$AM$3:$AM$1002,0)),"Hayır"))</f>
        <v/>
      </c>
      <c r="N103" s="27">
        <f>IF('DIVA Satislari'!I103="","",IFERROR(INDEX('E2E Nakliye Montaj'!$AV$3:$AV$1002,MATCH('DIVA Satislari'!AJ103,'E2E Nakliye Montaj'!$AM$3:$AM$1002,0)),""))</f>
        <v/>
      </c>
      <c r="O103" s="26">
        <f>IF(OR(A103="",N103=""),"",IF(N103&lt;=H103,"Evet","HAYIR - RİSK"))</f>
        <v/>
      </c>
      <c r="P103" s="26">
        <f>IF(A103="","",IF(LEFT(J103,8)="Kural A ","Uygun - Hemen Ödenir (Yıl Sonu %75 Kontrolüne Tabi)",IF(OR(L103="Evet",M103="Evet"),IF(O103="Evet","Uygun","RİSK - Hakediş Süresi Aşıldı"),"Bekleniyor - Nakliye/Montaj Tamamlanmadı")))</f>
        <v/>
      </c>
      <c r="Q103" s="28">
        <f>IF(A103="","",SUMIFS('Hakedis Fatura Detay'!$G$3:$G$1200,'Hakedis Fatura Detay'!$H$3:$H$1200,'DIVA Satislari'!AJ103,'Hakedis Fatura Detay'!$F$3:$F$1200,"Fiyat Farkı")+SUMIFS('Hakedis Fatura Detay'!$G$3:$G$1200,'Hakedis Fatura Detay'!$H$3:$H$1200,'DIVA Satislari'!AJ103,'Hakedis Fatura Detay'!$F$3:$F$1200,"Bundle"))</f>
        <v/>
      </c>
      <c r="R103" s="28">
        <f>IF(A103="","",I103-Q103)</f>
        <v/>
      </c>
      <c r="S103" s="26">
        <f>IF(A103="","",IF(LEFT(P103,7)="Bekleni","N/A - Henüz Ödenmemeli",IF(LEFT(P103,4)="RİSK","İNCELEME GEREKLİ - Süre Aşımı",IF(R103=0,"Doğru",IF(R103&gt;0,"EKSİK ÖDENMİŞ","FAZLA ÖDENMİŞ")))))</f>
        <v/>
      </c>
      <c r="T103" s="30">
        <f>IF(A103="","",IF(F103&lt;&gt;"Evet","İNCELEME GEREKLİ - Kampanya Tanımsız",IF(G103&lt;&gt;"Evet","İNCELEME GEREKLİ - Tarih Dışı Satış",IF(LEFT(P103,4)="RİSK","İNCELEME GEREKLİ - Hakediş Süresi Aşıldı",IF(OR(S103="EKSİK ÖDENMİŞ",S103="FAZLA ÖDENMİŞ"),"İNCELEME GEREKLİ - Tutar Uyuşmazlığı",IF(LEFT(P103,7)="Bekleni","Bekleniyor","Uygun"))))))</f>
        <v/>
      </c>
    </row>
    <row r="104">
      <c r="A104" s="26">
        <f>IF('DIVA Satislari'!I104="","",'DIVA Satislari'!I104)</f>
        <v/>
      </c>
      <c r="B104" s="26">
        <f>IF('DIVA Satislari'!I104="","",'DIVA Satislari'!R104)</f>
        <v/>
      </c>
      <c r="C104" s="26">
        <f>IF('DIVA Satislari'!I104="","",'DIVA Satislari'!M104)</f>
        <v/>
      </c>
      <c r="D104" s="27">
        <f>IF('DIVA Satislari'!I104="","",'DIVA Satislari'!H104)</f>
        <v/>
      </c>
      <c r="E104" s="26">
        <f>IF('DIVA Satislari'!I104="","",'DIVA Satislari'!O104)</f>
        <v/>
      </c>
      <c r="F104" s="26">
        <f>IF('DIVA Satislari'!I104="","",'DIVA Satislari'!AK104)</f>
        <v/>
      </c>
      <c r="G104" s="26">
        <f>IF('DIVA Satislari'!I104="","",'DIVA Satislari'!AO104)</f>
        <v/>
      </c>
      <c r="H104" s="27">
        <f>IF('DIVA Satislari'!I104="","",'DIVA Satislari'!AN104)</f>
        <v/>
      </c>
      <c r="I104" s="28">
        <f>IF('DIVA Satislari'!I104="","",'DIVA Satislari'!AQ104)</f>
        <v/>
      </c>
      <c r="J104" s="26">
        <f>IF('DIVA Satislari'!I104="","",'DIVA Satislari'!AR104)</f>
        <v/>
      </c>
      <c r="K104" s="26">
        <f>IF('DIVA Satislari'!I104="","",IFERROR(INDEX('E2E Nakliye Montaj'!$AS$3:$AS$1002,MATCH('DIVA Satislari'!AJ104,'E2E Nakliye Montaj'!$AM$3:$AM$1002,0)),"Eşleşme Yok"))</f>
        <v/>
      </c>
      <c r="L104" s="26">
        <f>IF('DIVA Satislari'!I104="","",IFERROR(INDEX('E2E Nakliye Montaj'!$AT$3:$AT$1002,MATCH('DIVA Satislari'!AJ104,'E2E Nakliye Montaj'!$AM$3:$AM$1002,0)),"Hayır"))</f>
        <v/>
      </c>
      <c r="M104" s="26">
        <f>IF('DIVA Satislari'!I104="","",IFERROR(INDEX('E2E Nakliye Montaj'!$AU$3:$AU$1002,MATCH('DIVA Satislari'!AJ104,'E2E Nakliye Montaj'!$AM$3:$AM$1002,0)),"Hayır"))</f>
        <v/>
      </c>
      <c r="N104" s="27">
        <f>IF('DIVA Satislari'!I104="","",IFERROR(INDEX('E2E Nakliye Montaj'!$AV$3:$AV$1002,MATCH('DIVA Satislari'!AJ104,'E2E Nakliye Montaj'!$AM$3:$AM$1002,0)),""))</f>
        <v/>
      </c>
      <c r="O104" s="26">
        <f>IF(OR(A104="",N104=""),"",IF(N104&lt;=H104,"Evet","HAYIR - RİSK"))</f>
        <v/>
      </c>
      <c r="P104" s="26">
        <f>IF(A104="","",IF(LEFT(J104,8)="Kural A ","Uygun - Hemen Ödenir (Yıl Sonu %75 Kontrolüne Tabi)",IF(OR(L104="Evet",M104="Evet"),IF(O104="Evet","Uygun","RİSK - Hakediş Süresi Aşıldı"),"Bekleniyor - Nakliye/Montaj Tamamlanmadı")))</f>
        <v/>
      </c>
      <c r="Q104" s="28">
        <f>IF(A104="","",SUMIFS('Hakedis Fatura Detay'!$G$3:$G$1200,'Hakedis Fatura Detay'!$H$3:$H$1200,'DIVA Satislari'!AJ104,'Hakedis Fatura Detay'!$F$3:$F$1200,"Fiyat Farkı")+SUMIFS('Hakedis Fatura Detay'!$G$3:$G$1200,'Hakedis Fatura Detay'!$H$3:$H$1200,'DIVA Satislari'!AJ104,'Hakedis Fatura Detay'!$F$3:$F$1200,"Bundle"))</f>
        <v/>
      </c>
      <c r="R104" s="28">
        <f>IF(A104="","",I104-Q104)</f>
        <v/>
      </c>
      <c r="S104" s="26">
        <f>IF(A104="","",IF(LEFT(P104,7)="Bekleni","N/A - Henüz Ödenmemeli",IF(LEFT(P104,4)="RİSK","İNCELEME GEREKLİ - Süre Aşımı",IF(R104=0,"Doğru",IF(R104&gt;0,"EKSİK ÖDENMİŞ","FAZLA ÖDENMİŞ")))))</f>
        <v/>
      </c>
      <c r="T104" s="30">
        <f>IF(A104="","",IF(F104&lt;&gt;"Evet","İNCELEME GEREKLİ - Kampanya Tanımsız",IF(G104&lt;&gt;"Evet","İNCELEME GEREKLİ - Tarih Dışı Satış",IF(LEFT(P104,4)="RİSK","İNCELEME GEREKLİ - Hakediş Süresi Aşıldı",IF(OR(S104="EKSİK ÖDENMİŞ",S104="FAZLA ÖDENMİŞ"),"İNCELEME GEREKLİ - Tutar Uyuşmazlığı",IF(LEFT(P104,7)="Bekleni","Bekleniyor","Uygun"))))))</f>
        <v/>
      </c>
    </row>
    <row r="105">
      <c r="A105" s="26">
        <f>IF('DIVA Satislari'!I105="","",'DIVA Satislari'!I105)</f>
        <v/>
      </c>
      <c r="B105" s="26">
        <f>IF('DIVA Satislari'!I105="","",'DIVA Satislari'!R105)</f>
        <v/>
      </c>
      <c r="C105" s="26">
        <f>IF('DIVA Satislari'!I105="","",'DIVA Satislari'!M105)</f>
        <v/>
      </c>
      <c r="D105" s="27">
        <f>IF('DIVA Satislari'!I105="","",'DIVA Satislari'!H105)</f>
        <v/>
      </c>
      <c r="E105" s="26">
        <f>IF('DIVA Satislari'!I105="","",'DIVA Satislari'!O105)</f>
        <v/>
      </c>
      <c r="F105" s="26">
        <f>IF('DIVA Satislari'!I105="","",'DIVA Satislari'!AK105)</f>
        <v/>
      </c>
      <c r="G105" s="26">
        <f>IF('DIVA Satislari'!I105="","",'DIVA Satislari'!AO105)</f>
        <v/>
      </c>
      <c r="H105" s="27">
        <f>IF('DIVA Satislari'!I105="","",'DIVA Satislari'!AN105)</f>
        <v/>
      </c>
      <c r="I105" s="28">
        <f>IF('DIVA Satislari'!I105="","",'DIVA Satislari'!AQ105)</f>
        <v/>
      </c>
      <c r="J105" s="26">
        <f>IF('DIVA Satislari'!I105="","",'DIVA Satislari'!AR105)</f>
        <v/>
      </c>
      <c r="K105" s="26">
        <f>IF('DIVA Satislari'!I105="","",IFERROR(INDEX('E2E Nakliye Montaj'!$AS$3:$AS$1002,MATCH('DIVA Satislari'!AJ105,'E2E Nakliye Montaj'!$AM$3:$AM$1002,0)),"Eşleşme Yok"))</f>
        <v/>
      </c>
      <c r="L105" s="26">
        <f>IF('DIVA Satislari'!I105="","",IFERROR(INDEX('E2E Nakliye Montaj'!$AT$3:$AT$1002,MATCH('DIVA Satislari'!AJ105,'E2E Nakliye Montaj'!$AM$3:$AM$1002,0)),"Hayır"))</f>
        <v/>
      </c>
      <c r="M105" s="26">
        <f>IF('DIVA Satislari'!I105="","",IFERROR(INDEX('E2E Nakliye Montaj'!$AU$3:$AU$1002,MATCH('DIVA Satislari'!AJ105,'E2E Nakliye Montaj'!$AM$3:$AM$1002,0)),"Hayır"))</f>
        <v/>
      </c>
      <c r="N105" s="27">
        <f>IF('DIVA Satislari'!I105="","",IFERROR(INDEX('E2E Nakliye Montaj'!$AV$3:$AV$1002,MATCH('DIVA Satislari'!AJ105,'E2E Nakliye Montaj'!$AM$3:$AM$1002,0)),""))</f>
        <v/>
      </c>
      <c r="O105" s="26">
        <f>IF(OR(A105="",N105=""),"",IF(N105&lt;=H105,"Evet","HAYIR - RİSK"))</f>
        <v/>
      </c>
      <c r="P105" s="26">
        <f>IF(A105="","",IF(LEFT(J105,8)="Kural A ","Uygun - Hemen Ödenir (Yıl Sonu %75 Kontrolüne Tabi)",IF(OR(L105="Evet",M105="Evet"),IF(O105="Evet","Uygun","RİSK - Hakediş Süresi Aşıldı"),"Bekleniyor - Nakliye/Montaj Tamamlanmadı")))</f>
        <v/>
      </c>
      <c r="Q105" s="28">
        <f>IF(A105="","",SUMIFS('Hakedis Fatura Detay'!$G$3:$G$1200,'Hakedis Fatura Detay'!$H$3:$H$1200,'DIVA Satislari'!AJ105,'Hakedis Fatura Detay'!$F$3:$F$1200,"Fiyat Farkı")+SUMIFS('Hakedis Fatura Detay'!$G$3:$G$1200,'Hakedis Fatura Detay'!$H$3:$H$1200,'DIVA Satislari'!AJ105,'Hakedis Fatura Detay'!$F$3:$F$1200,"Bundle"))</f>
        <v/>
      </c>
      <c r="R105" s="28">
        <f>IF(A105="","",I105-Q105)</f>
        <v/>
      </c>
      <c r="S105" s="26">
        <f>IF(A105="","",IF(LEFT(P105,7)="Bekleni","N/A - Henüz Ödenmemeli",IF(LEFT(P105,4)="RİSK","İNCELEME GEREKLİ - Süre Aşımı",IF(R105=0,"Doğru",IF(R105&gt;0,"EKSİK ÖDENMİŞ","FAZLA ÖDENMİŞ")))))</f>
        <v/>
      </c>
      <c r="T105" s="30">
        <f>IF(A105="","",IF(F105&lt;&gt;"Evet","İNCELEME GEREKLİ - Kampanya Tanımsız",IF(G105&lt;&gt;"Evet","İNCELEME GEREKLİ - Tarih Dışı Satış",IF(LEFT(P105,4)="RİSK","İNCELEME GEREKLİ - Hakediş Süresi Aşıldı",IF(OR(S105="EKSİK ÖDENMİŞ",S105="FAZLA ÖDENMİŞ"),"İNCELEME GEREKLİ - Tutar Uyuşmazlığı",IF(LEFT(P105,7)="Bekleni","Bekleniyor","Uygun"))))))</f>
        <v/>
      </c>
    </row>
    <row r="106">
      <c r="A106" s="26">
        <f>IF('DIVA Satislari'!I106="","",'DIVA Satislari'!I106)</f>
        <v/>
      </c>
      <c r="B106" s="26">
        <f>IF('DIVA Satislari'!I106="","",'DIVA Satislari'!R106)</f>
        <v/>
      </c>
      <c r="C106" s="26">
        <f>IF('DIVA Satislari'!I106="","",'DIVA Satislari'!M106)</f>
        <v/>
      </c>
      <c r="D106" s="27">
        <f>IF('DIVA Satislari'!I106="","",'DIVA Satislari'!H106)</f>
        <v/>
      </c>
      <c r="E106" s="26">
        <f>IF('DIVA Satislari'!I106="","",'DIVA Satislari'!O106)</f>
        <v/>
      </c>
      <c r="F106" s="26">
        <f>IF('DIVA Satislari'!I106="","",'DIVA Satislari'!AK106)</f>
        <v/>
      </c>
      <c r="G106" s="26">
        <f>IF('DIVA Satislari'!I106="","",'DIVA Satislari'!AO106)</f>
        <v/>
      </c>
      <c r="H106" s="27">
        <f>IF('DIVA Satislari'!I106="","",'DIVA Satislari'!AN106)</f>
        <v/>
      </c>
      <c r="I106" s="28">
        <f>IF('DIVA Satislari'!I106="","",'DIVA Satislari'!AQ106)</f>
        <v/>
      </c>
      <c r="J106" s="26">
        <f>IF('DIVA Satislari'!I106="","",'DIVA Satislari'!AR106)</f>
        <v/>
      </c>
      <c r="K106" s="26">
        <f>IF('DIVA Satislari'!I106="","",IFERROR(INDEX('E2E Nakliye Montaj'!$AS$3:$AS$1002,MATCH('DIVA Satislari'!AJ106,'E2E Nakliye Montaj'!$AM$3:$AM$1002,0)),"Eşleşme Yok"))</f>
        <v/>
      </c>
      <c r="L106" s="26">
        <f>IF('DIVA Satislari'!I106="","",IFERROR(INDEX('E2E Nakliye Montaj'!$AT$3:$AT$1002,MATCH('DIVA Satislari'!AJ106,'E2E Nakliye Montaj'!$AM$3:$AM$1002,0)),"Hayır"))</f>
        <v/>
      </c>
      <c r="M106" s="26">
        <f>IF('DIVA Satislari'!I106="","",IFERROR(INDEX('E2E Nakliye Montaj'!$AU$3:$AU$1002,MATCH('DIVA Satislari'!AJ106,'E2E Nakliye Montaj'!$AM$3:$AM$1002,0)),"Hayır"))</f>
        <v/>
      </c>
      <c r="N106" s="27">
        <f>IF('DIVA Satislari'!I106="","",IFERROR(INDEX('E2E Nakliye Montaj'!$AV$3:$AV$1002,MATCH('DIVA Satislari'!AJ106,'E2E Nakliye Montaj'!$AM$3:$AM$1002,0)),""))</f>
        <v/>
      </c>
      <c r="O106" s="26">
        <f>IF(OR(A106="",N106=""),"",IF(N106&lt;=H106,"Evet","HAYIR - RİSK"))</f>
        <v/>
      </c>
      <c r="P106" s="26">
        <f>IF(A106="","",IF(LEFT(J106,8)="Kural A ","Uygun - Hemen Ödenir (Yıl Sonu %75 Kontrolüne Tabi)",IF(OR(L106="Evet",M106="Evet"),IF(O106="Evet","Uygun","RİSK - Hakediş Süresi Aşıldı"),"Bekleniyor - Nakliye/Montaj Tamamlanmadı")))</f>
        <v/>
      </c>
      <c r="Q106" s="28">
        <f>IF(A106="","",SUMIFS('Hakedis Fatura Detay'!$G$3:$G$1200,'Hakedis Fatura Detay'!$H$3:$H$1200,'DIVA Satislari'!AJ106,'Hakedis Fatura Detay'!$F$3:$F$1200,"Fiyat Farkı")+SUMIFS('Hakedis Fatura Detay'!$G$3:$G$1200,'Hakedis Fatura Detay'!$H$3:$H$1200,'DIVA Satislari'!AJ106,'Hakedis Fatura Detay'!$F$3:$F$1200,"Bundle"))</f>
        <v/>
      </c>
      <c r="R106" s="28">
        <f>IF(A106="","",I106-Q106)</f>
        <v/>
      </c>
      <c r="S106" s="26">
        <f>IF(A106="","",IF(LEFT(P106,7)="Bekleni","N/A - Henüz Ödenmemeli",IF(LEFT(P106,4)="RİSK","İNCELEME GEREKLİ - Süre Aşımı",IF(R106=0,"Doğru",IF(R106&gt;0,"EKSİK ÖDENMİŞ","FAZLA ÖDENMİŞ")))))</f>
        <v/>
      </c>
      <c r="T106" s="30">
        <f>IF(A106="","",IF(F106&lt;&gt;"Evet","İNCELEME GEREKLİ - Kampanya Tanımsız",IF(G106&lt;&gt;"Evet","İNCELEME GEREKLİ - Tarih Dışı Satış",IF(LEFT(P106,4)="RİSK","İNCELEME GEREKLİ - Hakediş Süresi Aşıldı",IF(OR(S106="EKSİK ÖDENMİŞ",S106="FAZLA ÖDENMİŞ"),"İNCELEME GEREKLİ - Tutar Uyuşmazlığı",IF(LEFT(P106,7)="Bekleni","Bekleniyor","Uygun"))))))</f>
        <v/>
      </c>
    </row>
    <row r="107">
      <c r="A107" s="26">
        <f>IF('DIVA Satislari'!I107="","",'DIVA Satislari'!I107)</f>
        <v/>
      </c>
      <c r="B107" s="26">
        <f>IF('DIVA Satislari'!I107="","",'DIVA Satislari'!R107)</f>
        <v/>
      </c>
      <c r="C107" s="26">
        <f>IF('DIVA Satislari'!I107="","",'DIVA Satislari'!M107)</f>
        <v/>
      </c>
      <c r="D107" s="27">
        <f>IF('DIVA Satislari'!I107="","",'DIVA Satislari'!H107)</f>
        <v/>
      </c>
      <c r="E107" s="26">
        <f>IF('DIVA Satislari'!I107="","",'DIVA Satislari'!O107)</f>
        <v/>
      </c>
      <c r="F107" s="26">
        <f>IF('DIVA Satislari'!I107="","",'DIVA Satislari'!AK107)</f>
        <v/>
      </c>
      <c r="G107" s="26">
        <f>IF('DIVA Satislari'!I107="","",'DIVA Satislari'!AO107)</f>
        <v/>
      </c>
      <c r="H107" s="27">
        <f>IF('DIVA Satislari'!I107="","",'DIVA Satislari'!AN107)</f>
        <v/>
      </c>
      <c r="I107" s="28">
        <f>IF('DIVA Satislari'!I107="","",'DIVA Satislari'!AQ107)</f>
        <v/>
      </c>
      <c r="J107" s="26">
        <f>IF('DIVA Satislari'!I107="","",'DIVA Satislari'!AR107)</f>
        <v/>
      </c>
      <c r="K107" s="26">
        <f>IF('DIVA Satislari'!I107="","",IFERROR(INDEX('E2E Nakliye Montaj'!$AS$3:$AS$1002,MATCH('DIVA Satislari'!AJ107,'E2E Nakliye Montaj'!$AM$3:$AM$1002,0)),"Eşleşme Yok"))</f>
        <v/>
      </c>
      <c r="L107" s="26">
        <f>IF('DIVA Satislari'!I107="","",IFERROR(INDEX('E2E Nakliye Montaj'!$AT$3:$AT$1002,MATCH('DIVA Satislari'!AJ107,'E2E Nakliye Montaj'!$AM$3:$AM$1002,0)),"Hayır"))</f>
        <v/>
      </c>
      <c r="M107" s="26">
        <f>IF('DIVA Satislari'!I107="","",IFERROR(INDEX('E2E Nakliye Montaj'!$AU$3:$AU$1002,MATCH('DIVA Satislari'!AJ107,'E2E Nakliye Montaj'!$AM$3:$AM$1002,0)),"Hayır"))</f>
        <v/>
      </c>
      <c r="N107" s="27">
        <f>IF('DIVA Satislari'!I107="","",IFERROR(INDEX('E2E Nakliye Montaj'!$AV$3:$AV$1002,MATCH('DIVA Satislari'!AJ107,'E2E Nakliye Montaj'!$AM$3:$AM$1002,0)),""))</f>
        <v/>
      </c>
      <c r="O107" s="26">
        <f>IF(OR(A107="",N107=""),"",IF(N107&lt;=H107,"Evet","HAYIR - RİSK"))</f>
        <v/>
      </c>
      <c r="P107" s="26">
        <f>IF(A107="","",IF(LEFT(J107,8)="Kural A ","Uygun - Hemen Ödenir (Yıl Sonu %75 Kontrolüne Tabi)",IF(OR(L107="Evet",M107="Evet"),IF(O107="Evet","Uygun","RİSK - Hakediş Süresi Aşıldı"),"Bekleniyor - Nakliye/Montaj Tamamlanmadı")))</f>
        <v/>
      </c>
      <c r="Q107" s="28">
        <f>IF(A107="","",SUMIFS('Hakedis Fatura Detay'!$G$3:$G$1200,'Hakedis Fatura Detay'!$H$3:$H$1200,'DIVA Satislari'!AJ107,'Hakedis Fatura Detay'!$F$3:$F$1200,"Fiyat Farkı")+SUMIFS('Hakedis Fatura Detay'!$G$3:$G$1200,'Hakedis Fatura Detay'!$H$3:$H$1200,'DIVA Satislari'!AJ107,'Hakedis Fatura Detay'!$F$3:$F$1200,"Bundle"))</f>
        <v/>
      </c>
      <c r="R107" s="28">
        <f>IF(A107="","",I107-Q107)</f>
        <v/>
      </c>
      <c r="S107" s="26">
        <f>IF(A107="","",IF(LEFT(P107,7)="Bekleni","N/A - Henüz Ödenmemeli",IF(LEFT(P107,4)="RİSK","İNCELEME GEREKLİ - Süre Aşımı",IF(R107=0,"Doğru",IF(R107&gt;0,"EKSİK ÖDENMİŞ","FAZLA ÖDENMİŞ")))))</f>
        <v/>
      </c>
      <c r="T107" s="30">
        <f>IF(A107="","",IF(F107&lt;&gt;"Evet","İNCELEME GEREKLİ - Kampanya Tanımsız",IF(G107&lt;&gt;"Evet","İNCELEME GEREKLİ - Tarih Dışı Satış",IF(LEFT(P107,4)="RİSK","İNCELEME GEREKLİ - Hakediş Süresi Aşıldı",IF(OR(S107="EKSİK ÖDENMİŞ",S107="FAZLA ÖDENMİŞ"),"İNCELEME GEREKLİ - Tutar Uyuşmazlığı",IF(LEFT(P107,7)="Bekleni","Bekleniyor","Uygun"))))))</f>
        <v/>
      </c>
    </row>
    <row r="108">
      <c r="A108" s="26">
        <f>IF('DIVA Satislari'!I108="","",'DIVA Satislari'!I108)</f>
        <v/>
      </c>
      <c r="B108" s="26">
        <f>IF('DIVA Satislari'!I108="","",'DIVA Satislari'!R108)</f>
        <v/>
      </c>
      <c r="C108" s="26">
        <f>IF('DIVA Satislari'!I108="","",'DIVA Satislari'!M108)</f>
        <v/>
      </c>
      <c r="D108" s="27">
        <f>IF('DIVA Satislari'!I108="","",'DIVA Satislari'!H108)</f>
        <v/>
      </c>
      <c r="E108" s="26">
        <f>IF('DIVA Satislari'!I108="","",'DIVA Satislari'!O108)</f>
        <v/>
      </c>
      <c r="F108" s="26">
        <f>IF('DIVA Satislari'!I108="","",'DIVA Satislari'!AK108)</f>
        <v/>
      </c>
      <c r="G108" s="26">
        <f>IF('DIVA Satislari'!I108="","",'DIVA Satislari'!AO108)</f>
        <v/>
      </c>
      <c r="H108" s="27">
        <f>IF('DIVA Satislari'!I108="","",'DIVA Satislari'!AN108)</f>
        <v/>
      </c>
      <c r="I108" s="28">
        <f>IF('DIVA Satislari'!I108="","",'DIVA Satislari'!AQ108)</f>
        <v/>
      </c>
      <c r="J108" s="26">
        <f>IF('DIVA Satislari'!I108="","",'DIVA Satislari'!AR108)</f>
        <v/>
      </c>
      <c r="K108" s="26">
        <f>IF('DIVA Satislari'!I108="","",IFERROR(INDEX('E2E Nakliye Montaj'!$AS$3:$AS$1002,MATCH('DIVA Satislari'!AJ108,'E2E Nakliye Montaj'!$AM$3:$AM$1002,0)),"Eşleşme Yok"))</f>
        <v/>
      </c>
      <c r="L108" s="26">
        <f>IF('DIVA Satislari'!I108="","",IFERROR(INDEX('E2E Nakliye Montaj'!$AT$3:$AT$1002,MATCH('DIVA Satislari'!AJ108,'E2E Nakliye Montaj'!$AM$3:$AM$1002,0)),"Hayır"))</f>
        <v/>
      </c>
      <c r="M108" s="26">
        <f>IF('DIVA Satislari'!I108="","",IFERROR(INDEX('E2E Nakliye Montaj'!$AU$3:$AU$1002,MATCH('DIVA Satislari'!AJ108,'E2E Nakliye Montaj'!$AM$3:$AM$1002,0)),"Hayır"))</f>
        <v/>
      </c>
      <c r="N108" s="27">
        <f>IF('DIVA Satislari'!I108="","",IFERROR(INDEX('E2E Nakliye Montaj'!$AV$3:$AV$1002,MATCH('DIVA Satislari'!AJ108,'E2E Nakliye Montaj'!$AM$3:$AM$1002,0)),""))</f>
        <v/>
      </c>
      <c r="O108" s="26">
        <f>IF(OR(A108="",N108=""),"",IF(N108&lt;=H108,"Evet","HAYIR - RİSK"))</f>
        <v/>
      </c>
      <c r="P108" s="26">
        <f>IF(A108="","",IF(LEFT(J108,8)="Kural A ","Uygun - Hemen Ödenir (Yıl Sonu %75 Kontrolüne Tabi)",IF(OR(L108="Evet",M108="Evet"),IF(O108="Evet","Uygun","RİSK - Hakediş Süresi Aşıldı"),"Bekleniyor - Nakliye/Montaj Tamamlanmadı")))</f>
        <v/>
      </c>
      <c r="Q108" s="28">
        <f>IF(A108="","",SUMIFS('Hakedis Fatura Detay'!$G$3:$G$1200,'Hakedis Fatura Detay'!$H$3:$H$1200,'DIVA Satislari'!AJ108,'Hakedis Fatura Detay'!$F$3:$F$1200,"Fiyat Farkı")+SUMIFS('Hakedis Fatura Detay'!$G$3:$G$1200,'Hakedis Fatura Detay'!$H$3:$H$1200,'DIVA Satislari'!AJ108,'Hakedis Fatura Detay'!$F$3:$F$1200,"Bundle"))</f>
        <v/>
      </c>
      <c r="R108" s="28">
        <f>IF(A108="","",I108-Q108)</f>
        <v/>
      </c>
      <c r="S108" s="26">
        <f>IF(A108="","",IF(LEFT(P108,7)="Bekleni","N/A - Henüz Ödenmemeli",IF(LEFT(P108,4)="RİSK","İNCELEME GEREKLİ - Süre Aşımı",IF(R108=0,"Doğru",IF(R108&gt;0,"EKSİK ÖDENMİŞ","FAZLA ÖDENMİŞ")))))</f>
        <v/>
      </c>
      <c r="T108" s="30">
        <f>IF(A108="","",IF(F108&lt;&gt;"Evet","İNCELEME GEREKLİ - Kampanya Tanımsız",IF(G108&lt;&gt;"Evet","İNCELEME GEREKLİ - Tarih Dışı Satış",IF(LEFT(P108,4)="RİSK","İNCELEME GEREKLİ - Hakediş Süresi Aşıldı",IF(OR(S108="EKSİK ÖDENMİŞ",S108="FAZLA ÖDENMİŞ"),"İNCELEME GEREKLİ - Tutar Uyuşmazlığı",IF(LEFT(P108,7)="Bekleni","Bekleniyor","Uygun"))))))</f>
        <v/>
      </c>
    </row>
    <row r="109">
      <c r="A109" s="26">
        <f>IF('DIVA Satislari'!I109="","",'DIVA Satislari'!I109)</f>
        <v/>
      </c>
      <c r="B109" s="26">
        <f>IF('DIVA Satislari'!I109="","",'DIVA Satislari'!R109)</f>
        <v/>
      </c>
      <c r="C109" s="26">
        <f>IF('DIVA Satislari'!I109="","",'DIVA Satislari'!M109)</f>
        <v/>
      </c>
      <c r="D109" s="27">
        <f>IF('DIVA Satislari'!I109="","",'DIVA Satislari'!H109)</f>
        <v/>
      </c>
      <c r="E109" s="26">
        <f>IF('DIVA Satislari'!I109="","",'DIVA Satislari'!O109)</f>
        <v/>
      </c>
      <c r="F109" s="26">
        <f>IF('DIVA Satislari'!I109="","",'DIVA Satislari'!AK109)</f>
        <v/>
      </c>
      <c r="G109" s="26">
        <f>IF('DIVA Satislari'!I109="","",'DIVA Satislari'!AO109)</f>
        <v/>
      </c>
      <c r="H109" s="27">
        <f>IF('DIVA Satislari'!I109="","",'DIVA Satislari'!AN109)</f>
        <v/>
      </c>
      <c r="I109" s="28">
        <f>IF('DIVA Satislari'!I109="","",'DIVA Satislari'!AQ109)</f>
        <v/>
      </c>
      <c r="J109" s="26">
        <f>IF('DIVA Satislari'!I109="","",'DIVA Satislari'!AR109)</f>
        <v/>
      </c>
      <c r="K109" s="26">
        <f>IF('DIVA Satislari'!I109="","",IFERROR(INDEX('E2E Nakliye Montaj'!$AS$3:$AS$1002,MATCH('DIVA Satislari'!AJ109,'E2E Nakliye Montaj'!$AM$3:$AM$1002,0)),"Eşleşme Yok"))</f>
        <v/>
      </c>
      <c r="L109" s="26">
        <f>IF('DIVA Satislari'!I109="","",IFERROR(INDEX('E2E Nakliye Montaj'!$AT$3:$AT$1002,MATCH('DIVA Satislari'!AJ109,'E2E Nakliye Montaj'!$AM$3:$AM$1002,0)),"Hayır"))</f>
        <v/>
      </c>
      <c r="M109" s="26">
        <f>IF('DIVA Satislari'!I109="","",IFERROR(INDEX('E2E Nakliye Montaj'!$AU$3:$AU$1002,MATCH('DIVA Satislari'!AJ109,'E2E Nakliye Montaj'!$AM$3:$AM$1002,0)),"Hayır"))</f>
        <v/>
      </c>
      <c r="N109" s="27">
        <f>IF('DIVA Satislari'!I109="","",IFERROR(INDEX('E2E Nakliye Montaj'!$AV$3:$AV$1002,MATCH('DIVA Satislari'!AJ109,'E2E Nakliye Montaj'!$AM$3:$AM$1002,0)),""))</f>
        <v/>
      </c>
      <c r="O109" s="26">
        <f>IF(OR(A109="",N109=""),"",IF(N109&lt;=H109,"Evet","HAYIR - RİSK"))</f>
        <v/>
      </c>
      <c r="P109" s="26">
        <f>IF(A109="","",IF(LEFT(J109,8)="Kural A ","Uygun - Hemen Ödenir (Yıl Sonu %75 Kontrolüne Tabi)",IF(OR(L109="Evet",M109="Evet"),IF(O109="Evet","Uygun","RİSK - Hakediş Süresi Aşıldı"),"Bekleniyor - Nakliye/Montaj Tamamlanmadı")))</f>
        <v/>
      </c>
      <c r="Q109" s="28">
        <f>IF(A109="","",SUMIFS('Hakedis Fatura Detay'!$G$3:$G$1200,'Hakedis Fatura Detay'!$H$3:$H$1200,'DIVA Satislari'!AJ109,'Hakedis Fatura Detay'!$F$3:$F$1200,"Fiyat Farkı")+SUMIFS('Hakedis Fatura Detay'!$G$3:$G$1200,'Hakedis Fatura Detay'!$H$3:$H$1200,'DIVA Satislari'!AJ109,'Hakedis Fatura Detay'!$F$3:$F$1200,"Bundle"))</f>
        <v/>
      </c>
      <c r="R109" s="28">
        <f>IF(A109="","",I109-Q109)</f>
        <v/>
      </c>
      <c r="S109" s="26">
        <f>IF(A109="","",IF(LEFT(P109,7)="Bekleni","N/A - Henüz Ödenmemeli",IF(LEFT(P109,4)="RİSK","İNCELEME GEREKLİ - Süre Aşımı",IF(R109=0,"Doğru",IF(R109&gt;0,"EKSİK ÖDENMİŞ","FAZLA ÖDENMİŞ")))))</f>
        <v/>
      </c>
      <c r="T109" s="30">
        <f>IF(A109="","",IF(F109&lt;&gt;"Evet","İNCELEME GEREKLİ - Kampanya Tanımsız",IF(G109&lt;&gt;"Evet","İNCELEME GEREKLİ - Tarih Dışı Satış",IF(LEFT(P109,4)="RİSK","İNCELEME GEREKLİ - Hakediş Süresi Aşıldı",IF(OR(S109="EKSİK ÖDENMİŞ",S109="FAZLA ÖDENMİŞ"),"İNCELEME GEREKLİ - Tutar Uyuşmazlığı",IF(LEFT(P109,7)="Bekleni","Bekleniyor","Uygun"))))))</f>
        <v/>
      </c>
    </row>
    <row r="110">
      <c r="A110" s="26">
        <f>IF('DIVA Satislari'!I110="","",'DIVA Satislari'!I110)</f>
        <v/>
      </c>
      <c r="B110" s="26">
        <f>IF('DIVA Satislari'!I110="","",'DIVA Satislari'!R110)</f>
        <v/>
      </c>
      <c r="C110" s="26">
        <f>IF('DIVA Satislari'!I110="","",'DIVA Satislari'!M110)</f>
        <v/>
      </c>
      <c r="D110" s="27">
        <f>IF('DIVA Satislari'!I110="","",'DIVA Satislari'!H110)</f>
        <v/>
      </c>
      <c r="E110" s="26">
        <f>IF('DIVA Satislari'!I110="","",'DIVA Satislari'!O110)</f>
        <v/>
      </c>
      <c r="F110" s="26">
        <f>IF('DIVA Satislari'!I110="","",'DIVA Satislari'!AK110)</f>
        <v/>
      </c>
      <c r="G110" s="26">
        <f>IF('DIVA Satislari'!I110="","",'DIVA Satislari'!AO110)</f>
        <v/>
      </c>
      <c r="H110" s="27">
        <f>IF('DIVA Satislari'!I110="","",'DIVA Satislari'!AN110)</f>
        <v/>
      </c>
      <c r="I110" s="28">
        <f>IF('DIVA Satislari'!I110="","",'DIVA Satislari'!AQ110)</f>
        <v/>
      </c>
      <c r="J110" s="26">
        <f>IF('DIVA Satislari'!I110="","",'DIVA Satislari'!AR110)</f>
        <v/>
      </c>
      <c r="K110" s="26">
        <f>IF('DIVA Satislari'!I110="","",IFERROR(INDEX('E2E Nakliye Montaj'!$AS$3:$AS$1002,MATCH('DIVA Satislari'!AJ110,'E2E Nakliye Montaj'!$AM$3:$AM$1002,0)),"Eşleşme Yok"))</f>
        <v/>
      </c>
      <c r="L110" s="26">
        <f>IF('DIVA Satislari'!I110="","",IFERROR(INDEX('E2E Nakliye Montaj'!$AT$3:$AT$1002,MATCH('DIVA Satislari'!AJ110,'E2E Nakliye Montaj'!$AM$3:$AM$1002,0)),"Hayır"))</f>
        <v/>
      </c>
      <c r="M110" s="26">
        <f>IF('DIVA Satislari'!I110="","",IFERROR(INDEX('E2E Nakliye Montaj'!$AU$3:$AU$1002,MATCH('DIVA Satislari'!AJ110,'E2E Nakliye Montaj'!$AM$3:$AM$1002,0)),"Hayır"))</f>
        <v/>
      </c>
      <c r="N110" s="27">
        <f>IF('DIVA Satislari'!I110="","",IFERROR(INDEX('E2E Nakliye Montaj'!$AV$3:$AV$1002,MATCH('DIVA Satislari'!AJ110,'E2E Nakliye Montaj'!$AM$3:$AM$1002,0)),""))</f>
        <v/>
      </c>
      <c r="O110" s="26">
        <f>IF(OR(A110="",N110=""),"",IF(N110&lt;=H110,"Evet","HAYIR - RİSK"))</f>
        <v/>
      </c>
      <c r="P110" s="26">
        <f>IF(A110="","",IF(LEFT(J110,8)="Kural A ","Uygun - Hemen Ödenir (Yıl Sonu %75 Kontrolüne Tabi)",IF(OR(L110="Evet",M110="Evet"),IF(O110="Evet","Uygun","RİSK - Hakediş Süresi Aşıldı"),"Bekleniyor - Nakliye/Montaj Tamamlanmadı")))</f>
        <v/>
      </c>
      <c r="Q110" s="28">
        <f>IF(A110="","",SUMIFS('Hakedis Fatura Detay'!$G$3:$G$1200,'Hakedis Fatura Detay'!$H$3:$H$1200,'DIVA Satislari'!AJ110,'Hakedis Fatura Detay'!$F$3:$F$1200,"Fiyat Farkı")+SUMIFS('Hakedis Fatura Detay'!$G$3:$G$1200,'Hakedis Fatura Detay'!$H$3:$H$1200,'DIVA Satislari'!AJ110,'Hakedis Fatura Detay'!$F$3:$F$1200,"Bundle"))</f>
        <v/>
      </c>
      <c r="R110" s="28">
        <f>IF(A110="","",I110-Q110)</f>
        <v/>
      </c>
      <c r="S110" s="26">
        <f>IF(A110="","",IF(LEFT(P110,7)="Bekleni","N/A - Henüz Ödenmemeli",IF(LEFT(P110,4)="RİSK","İNCELEME GEREKLİ - Süre Aşımı",IF(R110=0,"Doğru",IF(R110&gt;0,"EKSİK ÖDENMİŞ","FAZLA ÖDENMİŞ")))))</f>
        <v/>
      </c>
      <c r="T110" s="30">
        <f>IF(A110="","",IF(F110&lt;&gt;"Evet","İNCELEME GEREKLİ - Kampanya Tanımsız",IF(G110&lt;&gt;"Evet","İNCELEME GEREKLİ - Tarih Dışı Satış",IF(LEFT(P110,4)="RİSK","İNCELEME GEREKLİ - Hakediş Süresi Aşıldı",IF(OR(S110="EKSİK ÖDENMİŞ",S110="FAZLA ÖDENMİŞ"),"İNCELEME GEREKLİ - Tutar Uyuşmazlığı",IF(LEFT(P110,7)="Bekleni","Bekleniyor","Uygun"))))))</f>
        <v/>
      </c>
    </row>
    <row r="111">
      <c r="A111" s="26">
        <f>IF('DIVA Satislari'!I111="","",'DIVA Satislari'!I111)</f>
        <v/>
      </c>
      <c r="B111" s="26">
        <f>IF('DIVA Satislari'!I111="","",'DIVA Satislari'!R111)</f>
        <v/>
      </c>
      <c r="C111" s="26">
        <f>IF('DIVA Satislari'!I111="","",'DIVA Satislari'!M111)</f>
        <v/>
      </c>
      <c r="D111" s="27">
        <f>IF('DIVA Satislari'!I111="","",'DIVA Satislari'!H111)</f>
        <v/>
      </c>
      <c r="E111" s="26">
        <f>IF('DIVA Satislari'!I111="","",'DIVA Satislari'!O111)</f>
        <v/>
      </c>
      <c r="F111" s="26">
        <f>IF('DIVA Satislari'!I111="","",'DIVA Satislari'!AK111)</f>
        <v/>
      </c>
      <c r="G111" s="26">
        <f>IF('DIVA Satislari'!I111="","",'DIVA Satislari'!AO111)</f>
        <v/>
      </c>
      <c r="H111" s="27">
        <f>IF('DIVA Satislari'!I111="","",'DIVA Satislari'!AN111)</f>
        <v/>
      </c>
      <c r="I111" s="28">
        <f>IF('DIVA Satislari'!I111="","",'DIVA Satislari'!AQ111)</f>
        <v/>
      </c>
      <c r="J111" s="26">
        <f>IF('DIVA Satislari'!I111="","",'DIVA Satislari'!AR111)</f>
        <v/>
      </c>
      <c r="K111" s="26">
        <f>IF('DIVA Satislari'!I111="","",IFERROR(INDEX('E2E Nakliye Montaj'!$AS$3:$AS$1002,MATCH('DIVA Satislari'!AJ111,'E2E Nakliye Montaj'!$AM$3:$AM$1002,0)),"Eşleşme Yok"))</f>
        <v/>
      </c>
      <c r="L111" s="26">
        <f>IF('DIVA Satislari'!I111="","",IFERROR(INDEX('E2E Nakliye Montaj'!$AT$3:$AT$1002,MATCH('DIVA Satislari'!AJ111,'E2E Nakliye Montaj'!$AM$3:$AM$1002,0)),"Hayır"))</f>
        <v/>
      </c>
      <c r="M111" s="26">
        <f>IF('DIVA Satislari'!I111="","",IFERROR(INDEX('E2E Nakliye Montaj'!$AU$3:$AU$1002,MATCH('DIVA Satislari'!AJ111,'E2E Nakliye Montaj'!$AM$3:$AM$1002,0)),"Hayır"))</f>
        <v/>
      </c>
      <c r="N111" s="27">
        <f>IF('DIVA Satislari'!I111="","",IFERROR(INDEX('E2E Nakliye Montaj'!$AV$3:$AV$1002,MATCH('DIVA Satislari'!AJ111,'E2E Nakliye Montaj'!$AM$3:$AM$1002,0)),""))</f>
        <v/>
      </c>
      <c r="O111" s="26">
        <f>IF(OR(A111="",N111=""),"",IF(N111&lt;=H111,"Evet","HAYIR - RİSK"))</f>
        <v/>
      </c>
      <c r="P111" s="26">
        <f>IF(A111="","",IF(LEFT(J111,8)="Kural A ","Uygun - Hemen Ödenir (Yıl Sonu %75 Kontrolüne Tabi)",IF(OR(L111="Evet",M111="Evet"),IF(O111="Evet","Uygun","RİSK - Hakediş Süresi Aşıldı"),"Bekleniyor - Nakliye/Montaj Tamamlanmadı")))</f>
        <v/>
      </c>
      <c r="Q111" s="28">
        <f>IF(A111="","",SUMIFS('Hakedis Fatura Detay'!$G$3:$G$1200,'Hakedis Fatura Detay'!$H$3:$H$1200,'DIVA Satislari'!AJ111,'Hakedis Fatura Detay'!$F$3:$F$1200,"Fiyat Farkı")+SUMIFS('Hakedis Fatura Detay'!$G$3:$G$1200,'Hakedis Fatura Detay'!$H$3:$H$1200,'DIVA Satislari'!AJ111,'Hakedis Fatura Detay'!$F$3:$F$1200,"Bundle"))</f>
        <v/>
      </c>
      <c r="R111" s="28">
        <f>IF(A111="","",I111-Q111)</f>
        <v/>
      </c>
      <c r="S111" s="26">
        <f>IF(A111="","",IF(LEFT(P111,7)="Bekleni","N/A - Henüz Ödenmemeli",IF(LEFT(P111,4)="RİSK","İNCELEME GEREKLİ - Süre Aşımı",IF(R111=0,"Doğru",IF(R111&gt;0,"EKSİK ÖDENMİŞ","FAZLA ÖDENMİŞ")))))</f>
        <v/>
      </c>
      <c r="T111" s="30">
        <f>IF(A111="","",IF(F111&lt;&gt;"Evet","İNCELEME GEREKLİ - Kampanya Tanımsız",IF(G111&lt;&gt;"Evet","İNCELEME GEREKLİ - Tarih Dışı Satış",IF(LEFT(P111,4)="RİSK","İNCELEME GEREKLİ - Hakediş Süresi Aşıldı",IF(OR(S111="EKSİK ÖDENMİŞ",S111="FAZLA ÖDENMİŞ"),"İNCELEME GEREKLİ - Tutar Uyuşmazlığı",IF(LEFT(P111,7)="Bekleni","Bekleniyor","Uygun"))))))</f>
        <v/>
      </c>
    </row>
    <row r="112">
      <c r="A112" s="26">
        <f>IF('DIVA Satislari'!I112="","",'DIVA Satislari'!I112)</f>
        <v/>
      </c>
      <c r="B112" s="26">
        <f>IF('DIVA Satislari'!I112="","",'DIVA Satislari'!R112)</f>
        <v/>
      </c>
      <c r="C112" s="26">
        <f>IF('DIVA Satislari'!I112="","",'DIVA Satislari'!M112)</f>
        <v/>
      </c>
      <c r="D112" s="27">
        <f>IF('DIVA Satislari'!I112="","",'DIVA Satislari'!H112)</f>
        <v/>
      </c>
      <c r="E112" s="26">
        <f>IF('DIVA Satislari'!I112="","",'DIVA Satislari'!O112)</f>
        <v/>
      </c>
      <c r="F112" s="26">
        <f>IF('DIVA Satislari'!I112="","",'DIVA Satislari'!AK112)</f>
        <v/>
      </c>
      <c r="G112" s="26">
        <f>IF('DIVA Satislari'!I112="","",'DIVA Satislari'!AO112)</f>
        <v/>
      </c>
      <c r="H112" s="27">
        <f>IF('DIVA Satislari'!I112="","",'DIVA Satislari'!AN112)</f>
        <v/>
      </c>
      <c r="I112" s="28">
        <f>IF('DIVA Satislari'!I112="","",'DIVA Satislari'!AQ112)</f>
        <v/>
      </c>
      <c r="J112" s="26">
        <f>IF('DIVA Satislari'!I112="","",'DIVA Satislari'!AR112)</f>
        <v/>
      </c>
      <c r="K112" s="26">
        <f>IF('DIVA Satislari'!I112="","",IFERROR(INDEX('E2E Nakliye Montaj'!$AS$3:$AS$1002,MATCH('DIVA Satislari'!AJ112,'E2E Nakliye Montaj'!$AM$3:$AM$1002,0)),"Eşleşme Yok"))</f>
        <v/>
      </c>
      <c r="L112" s="26">
        <f>IF('DIVA Satislari'!I112="","",IFERROR(INDEX('E2E Nakliye Montaj'!$AT$3:$AT$1002,MATCH('DIVA Satislari'!AJ112,'E2E Nakliye Montaj'!$AM$3:$AM$1002,0)),"Hayır"))</f>
        <v/>
      </c>
      <c r="M112" s="26">
        <f>IF('DIVA Satislari'!I112="","",IFERROR(INDEX('E2E Nakliye Montaj'!$AU$3:$AU$1002,MATCH('DIVA Satislari'!AJ112,'E2E Nakliye Montaj'!$AM$3:$AM$1002,0)),"Hayır"))</f>
        <v/>
      </c>
      <c r="N112" s="27">
        <f>IF('DIVA Satislari'!I112="","",IFERROR(INDEX('E2E Nakliye Montaj'!$AV$3:$AV$1002,MATCH('DIVA Satislari'!AJ112,'E2E Nakliye Montaj'!$AM$3:$AM$1002,0)),""))</f>
        <v/>
      </c>
      <c r="O112" s="26">
        <f>IF(OR(A112="",N112=""),"",IF(N112&lt;=H112,"Evet","HAYIR - RİSK"))</f>
        <v/>
      </c>
      <c r="P112" s="26">
        <f>IF(A112="","",IF(LEFT(J112,8)="Kural A ","Uygun - Hemen Ödenir (Yıl Sonu %75 Kontrolüne Tabi)",IF(OR(L112="Evet",M112="Evet"),IF(O112="Evet","Uygun","RİSK - Hakediş Süresi Aşıldı"),"Bekleniyor - Nakliye/Montaj Tamamlanmadı")))</f>
        <v/>
      </c>
      <c r="Q112" s="28">
        <f>IF(A112="","",SUMIFS('Hakedis Fatura Detay'!$G$3:$G$1200,'Hakedis Fatura Detay'!$H$3:$H$1200,'DIVA Satislari'!AJ112,'Hakedis Fatura Detay'!$F$3:$F$1200,"Fiyat Farkı")+SUMIFS('Hakedis Fatura Detay'!$G$3:$G$1200,'Hakedis Fatura Detay'!$H$3:$H$1200,'DIVA Satislari'!AJ112,'Hakedis Fatura Detay'!$F$3:$F$1200,"Bundle"))</f>
        <v/>
      </c>
      <c r="R112" s="28">
        <f>IF(A112="","",I112-Q112)</f>
        <v/>
      </c>
      <c r="S112" s="26">
        <f>IF(A112="","",IF(LEFT(P112,7)="Bekleni","N/A - Henüz Ödenmemeli",IF(LEFT(P112,4)="RİSK","İNCELEME GEREKLİ - Süre Aşımı",IF(R112=0,"Doğru",IF(R112&gt;0,"EKSİK ÖDENMİŞ","FAZLA ÖDENMİŞ")))))</f>
        <v/>
      </c>
      <c r="T112" s="30">
        <f>IF(A112="","",IF(F112&lt;&gt;"Evet","İNCELEME GEREKLİ - Kampanya Tanımsız",IF(G112&lt;&gt;"Evet","İNCELEME GEREKLİ - Tarih Dışı Satış",IF(LEFT(P112,4)="RİSK","İNCELEME GEREKLİ - Hakediş Süresi Aşıldı",IF(OR(S112="EKSİK ÖDENMİŞ",S112="FAZLA ÖDENMİŞ"),"İNCELEME GEREKLİ - Tutar Uyuşmazlığı",IF(LEFT(P112,7)="Bekleni","Bekleniyor","Uygun"))))))</f>
        <v/>
      </c>
    </row>
    <row r="113">
      <c r="A113" s="26">
        <f>IF('DIVA Satislari'!I113="","",'DIVA Satislari'!I113)</f>
        <v/>
      </c>
      <c r="B113" s="26">
        <f>IF('DIVA Satislari'!I113="","",'DIVA Satislari'!R113)</f>
        <v/>
      </c>
      <c r="C113" s="26">
        <f>IF('DIVA Satislari'!I113="","",'DIVA Satislari'!M113)</f>
        <v/>
      </c>
      <c r="D113" s="27">
        <f>IF('DIVA Satislari'!I113="","",'DIVA Satislari'!H113)</f>
        <v/>
      </c>
      <c r="E113" s="26">
        <f>IF('DIVA Satislari'!I113="","",'DIVA Satislari'!O113)</f>
        <v/>
      </c>
      <c r="F113" s="26">
        <f>IF('DIVA Satislari'!I113="","",'DIVA Satislari'!AK113)</f>
        <v/>
      </c>
      <c r="G113" s="26">
        <f>IF('DIVA Satislari'!I113="","",'DIVA Satislari'!AO113)</f>
        <v/>
      </c>
      <c r="H113" s="27">
        <f>IF('DIVA Satislari'!I113="","",'DIVA Satislari'!AN113)</f>
        <v/>
      </c>
      <c r="I113" s="28">
        <f>IF('DIVA Satislari'!I113="","",'DIVA Satislari'!AQ113)</f>
        <v/>
      </c>
      <c r="J113" s="26">
        <f>IF('DIVA Satislari'!I113="","",'DIVA Satislari'!AR113)</f>
        <v/>
      </c>
      <c r="K113" s="26">
        <f>IF('DIVA Satislari'!I113="","",IFERROR(INDEX('E2E Nakliye Montaj'!$AS$3:$AS$1002,MATCH('DIVA Satislari'!AJ113,'E2E Nakliye Montaj'!$AM$3:$AM$1002,0)),"Eşleşme Yok"))</f>
        <v/>
      </c>
      <c r="L113" s="26">
        <f>IF('DIVA Satislari'!I113="","",IFERROR(INDEX('E2E Nakliye Montaj'!$AT$3:$AT$1002,MATCH('DIVA Satislari'!AJ113,'E2E Nakliye Montaj'!$AM$3:$AM$1002,0)),"Hayır"))</f>
        <v/>
      </c>
      <c r="M113" s="26">
        <f>IF('DIVA Satislari'!I113="","",IFERROR(INDEX('E2E Nakliye Montaj'!$AU$3:$AU$1002,MATCH('DIVA Satislari'!AJ113,'E2E Nakliye Montaj'!$AM$3:$AM$1002,0)),"Hayır"))</f>
        <v/>
      </c>
      <c r="N113" s="27">
        <f>IF('DIVA Satislari'!I113="","",IFERROR(INDEX('E2E Nakliye Montaj'!$AV$3:$AV$1002,MATCH('DIVA Satislari'!AJ113,'E2E Nakliye Montaj'!$AM$3:$AM$1002,0)),""))</f>
        <v/>
      </c>
      <c r="O113" s="26">
        <f>IF(OR(A113="",N113=""),"",IF(N113&lt;=H113,"Evet","HAYIR - RİSK"))</f>
        <v/>
      </c>
      <c r="P113" s="26">
        <f>IF(A113="","",IF(LEFT(J113,8)="Kural A ","Uygun - Hemen Ödenir (Yıl Sonu %75 Kontrolüne Tabi)",IF(OR(L113="Evet",M113="Evet"),IF(O113="Evet","Uygun","RİSK - Hakediş Süresi Aşıldı"),"Bekleniyor - Nakliye/Montaj Tamamlanmadı")))</f>
        <v/>
      </c>
      <c r="Q113" s="28">
        <f>IF(A113="","",SUMIFS('Hakedis Fatura Detay'!$G$3:$G$1200,'Hakedis Fatura Detay'!$H$3:$H$1200,'DIVA Satislari'!AJ113,'Hakedis Fatura Detay'!$F$3:$F$1200,"Fiyat Farkı")+SUMIFS('Hakedis Fatura Detay'!$G$3:$G$1200,'Hakedis Fatura Detay'!$H$3:$H$1200,'DIVA Satislari'!AJ113,'Hakedis Fatura Detay'!$F$3:$F$1200,"Bundle"))</f>
        <v/>
      </c>
      <c r="R113" s="28">
        <f>IF(A113="","",I113-Q113)</f>
        <v/>
      </c>
      <c r="S113" s="26">
        <f>IF(A113="","",IF(LEFT(P113,7)="Bekleni","N/A - Henüz Ödenmemeli",IF(LEFT(P113,4)="RİSK","İNCELEME GEREKLİ - Süre Aşımı",IF(R113=0,"Doğru",IF(R113&gt;0,"EKSİK ÖDENMİŞ","FAZLA ÖDENMİŞ")))))</f>
        <v/>
      </c>
      <c r="T113" s="30">
        <f>IF(A113="","",IF(F113&lt;&gt;"Evet","İNCELEME GEREKLİ - Kampanya Tanımsız",IF(G113&lt;&gt;"Evet","İNCELEME GEREKLİ - Tarih Dışı Satış",IF(LEFT(P113,4)="RİSK","İNCELEME GEREKLİ - Hakediş Süresi Aşıldı",IF(OR(S113="EKSİK ÖDENMİŞ",S113="FAZLA ÖDENMİŞ"),"İNCELEME GEREKLİ - Tutar Uyuşmazlığı",IF(LEFT(P113,7)="Bekleni","Bekleniyor","Uygun"))))))</f>
        <v/>
      </c>
    </row>
    <row r="114">
      <c r="A114" s="26">
        <f>IF('DIVA Satislari'!I114="","",'DIVA Satislari'!I114)</f>
        <v/>
      </c>
      <c r="B114" s="26">
        <f>IF('DIVA Satislari'!I114="","",'DIVA Satislari'!R114)</f>
        <v/>
      </c>
      <c r="C114" s="26">
        <f>IF('DIVA Satislari'!I114="","",'DIVA Satislari'!M114)</f>
        <v/>
      </c>
      <c r="D114" s="27">
        <f>IF('DIVA Satislari'!I114="","",'DIVA Satislari'!H114)</f>
        <v/>
      </c>
      <c r="E114" s="26">
        <f>IF('DIVA Satislari'!I114="","",'DIVA Satislari'!O114)</f>
        <v/>
      </c>
      <c r="F114" s="26">
        <f>IF('DIVA Satislari'!I114="","",'DIVA Satislari'!AK114)</f>
        <v/>
      </c>
      <c r="G114" s="26">
        <f>IF('DIVA Satislari'!I114="","",'DIVA Satislari'!AO114)</f>
        <v/>
      </c>
      <c r="H114" s="27">
        <f>IF('DIVA Satislari'!I114="","",'DIVA Satislari'!AN114)</f>
        <v/>
      </c>
      <c r="I114" s="28">
        <f>IF('DIVA Satislari'!I114="","",'DIVA Satislari'!AQ114)</f>
        <v/>
      </c>
      <c r="J114" s="26">
        <f>IF('DIVA Satislari'!I114="","",'DIVA Satislari'!AR114)</f>
        <v/>
      </c>
      <c r="K114" s="26">
        <f>IF('DIVA Satislari'!I114="","",IFERROR(INDEX('E2E Nakliye Montaj'!$AS$3:$AS$1002,MATCH('DIVA Satislari'!AJ114,'E2E Nakliye Montaj'!$AM$3:$AM$1002,0)),"Eşleşme Yok"))</f>
        <v/>
      </c>
      <c r="L114" s="26">
        <f>IF('DIVA Satislari'!I114="","",IFERROR(INDEX('E2E Nakliye Montaj'!$AT$3:$AT$1002,MATCH('DIVA Satislari'!AJ114,'E2E Nakliye Montaj'!$AM$3:$AM$1002,0)),"Hayır"))</f>
        <v/>
      </c>
      <c r="M114" s="26">
        <f>IF('DIVA Satislari'!I114="","",IFERROR(INDEX('E2E Nakliye Montaj'!$AU$3:$AU$1002,MATCH('DIVA Satislari'!AJ114,'E2E Nakliye Montaj'!$AM$3:$AM$1002,0)),"Hayır"))</f>
        <v/>
      </c>
      <c r="N114" s="27">
        <f>IF('DIVA Satislari'!I114="","",IFERROR(INDEX('E2E Nakliye Montaj'!$AV$3:$AV$1002,MATCH('DIVA Satislari'!AJ114,'E2E Nakliye Montaj'!$AM$3:$AM$1002,0)),""))</f>
        <v/>
      </c>
      <c r="O114" s="26">
        <f>IF(OR(A114="",N114=""),"",IF(N114&lt;=H114,"Evet","HAYIR - RİSK"))</f>
        <v/>
      </c>
      <c r="P114" s="26">
        <f>IF(A114="","",IF(LEFT(J114,8)="Kural A ","Uygun - Hemen Ödenir (Yıl Sonu %75 Kontrolüne Tabi)",IF(OR(L114="Evet",M114="Evet"),IF(O114="Evet","Uygun","RİSK - Hakediş Süresi Aşıldı"),"Bekleniyor - Nakliye/Montaj Tamamlanmadı")))</f>
        <v/>
      </c>
      <c r="Q114" s="28">
        <f>IF(A114="","",SUMIFS('Hakedis Fatura Detay'!$G$3:$G$1200,'Hakedis Fatura Detay'!$H$3:$H$1200,'DIVA Satislari'!AJ114,'Hakedis Fatura Detay'!$F$3:$F$1200,"Fiyat Farkı")+SUMIFS('Hakedis Fatura Detay'!$G$3:$G$1200,'Hakedis Fatura Detay'!$H$3:$H$1200,'DIVA Satislari'!AJ114,'Hakedis Fatura Detay'!$F$3:$F$1200,"Bundle"))</f>
        <v/>
      </c>
      <c r="R114" s="28">
        <f>IF(A114="","",I114-Q114)</f>
        <v/>
      </c>
      <c r="S114" s="26">
        <f>IF(A114="","",IF(LEFT(P114,7)="Bekleni","N/A - Henüz Ödenmemeli",IF(LEFT(P114,4)="RİSK","İNCELEME GEREKLİ - Süre Aşımı",IF(R114=0,"Doğru",IF(R114&gt;0,"EKSİK ÖDENMİŞ","FAZLA ÖDENMİŞ")))))</f>
        <v/>
      </c>
      <c r="T114" s="30">
        <f>IF(A114="","",IF(F114&lt;&gt;"Evet","İNCELEME GEREKLİ - Kampanya Tanımsız",IF(G114&lt;&gt;"Evet","İNCELEME GEREKLİ - Tarih Dışı Satış",IF(LEFT(P114,4)="RİSK","İNCELEME GEREKLİ - Hakediş Süresi Aşıldı",IF(OR(S114="EKSİK ÖDENMİŞ",S114="FAZLA ÖDENMİŞ"),"İNCELEME GEREKLİ - Tutar Uyuşmazlığı",IF(LEFT(P114,7)="Bekleni","Bekleniyor","Uygun"))))))</f>
        <v/>
      </c>
    </row>
    <row r="115">
      <c r="A115" s="26">
        <f>IF('DIVA Satislari'!I115="","",'DIVA Satislari'!I115)</f>
        <v/>
      </c>
      <c r="B115" s="26">
        <f>IF('DIVA Satislari'!I115="","",'DIVA Satislari'!R115)</f>
        <v/>
      </c>
      <c r="C115" s="26">
        <f>IF('DIVA Satislari'!I115="","",'DIVA Satislari'!M115)</f>
        <v/>
      </c>
      <c r="D115" s="27">
        <f>IF('DIVA Satislari'!I115="","",'DIVA Satislari'!H115)</f>
        <v/>
      </c>
      <c r="E115" s="26">
        <f>IF('DIVA Satislari'!I115="","",'DIVA Satislari'!O115)</f>
        <v/>
      </c>
      <c r="F115" s="26">
        <f>IF('DIVA Satislari'!I115="","",'DIVA Satislari'!AK115)</f>
        <v/>
      </c>
      <c r="G115" s="26">
        <f>IF('DIVA Satislari'!I115="","",'DIVA Satislari'!AO115)</f>
        <v/>
      </c>
      <c r="H115" s="27">
        <f>IF('DIVA Satislari'!I115="","",'DIVA Satislari'!AN115)</f>
        <v/>
      </c>
      <c r="I115" s="28">
        <f>IF('DIVA Satislari'!I115="","",'DIVA Satislari'!AQ115)</f>
        <v/>
      </c>
      <c r="J115" s="26">
        <f>IF('DIVA Satislari'!I115="","",'DIVA Satislari'!AR115)</f>
        <v/>
      </c>
      <c r="K115" s="26">
        <f>IF('DIVA Satislari'!I115="","",IFERROR(INDEX('E2E Nakliye Montaj'!$AS$3:$AS$1002,MATCH('DIVA Satislari'!AJ115,'E2E Nakliye Montaj'!$AM$3:$AM$1002,0)),"Eşleşme Yok"))</f>
        <v/>
      </c>
      <c r="L115" s="26">
        <f>IF('DIVA Satislari'!I115="","",IFERROR(INDEX('E2E Nakliye Montaj'!$AT$3:$AT$1002,MATCH('DIVA Satislari'!AJ115,'E2E Nakliye Montaj'!$AM$3:$AM$1002,0)),"Hayır"))</f>
        <v/>
      </c>
      <c r="M115" s="26">
        <f>IF('DIVA Satislari'!I115="","",IFERROR(INDEX('E2E Nakliye Montaj'!$AU$3:$AU$1002,MATCH('DIVA Satislari'!AJ115,'E2E Nakliye Montaj'!$AM$3:$AM$1002,0)),"Hayır"))</f>
        <v/>
      </c>
      <c r="N115" s="27">
        <f>IF('DIVA Satislari'!I115="","",IFERROR(INDEX('E2E Nakliye Montaj'!$AV$3:$AV$1002,MATCH('DIVA Satislari'!AJ115,'E2E Nakliye Montaj'!$AM$3:$AM$1002,0)),""))</f>
        <v/>
      </c>
      <c r="O115" s="26">
        <f>IF(OR(A115="",N115=""),"",IF(N115&lt;=H115,"Evet","HAYIR - RİSK"))</f>
        <v/>
      </c>
      <c r="P115" s="26">
        <f>IF(A115="","",IF(LEFT(J115,8)="Kural A ","Uygun - Hemen Ödenir (Yıl Sonu %75 Kontrolüne Tabi)",IF(OR(L115="Evet",M115="Evet"),IF(O115="Evet","Uygun","RİSK - Hakediş Süresi Aşıldı"),"Bekleniyor - Nakliye/Montaj Tamamlanmadı")))</f>
        <v/>
      </c>
      <c r="Q115" s="28">
        <f>IF(A115="","",SUMIFS('Hakedis Fatura Detay'!$G$3:$G$1200,'Hakedis Fatura Detay'!$H$3:$H$1200,'DIVA Satislari'!AJ115,'Hakedis Fatura Detay'!$F$3:$F$1200,"Fiyat Farkı")+SUMIFS('Hakedis Fatura Detay'!$G$3:$G$1200,'Hakedis Fatura Detay'!$H$3:$H$1200,'DIVA Satislari'!AJ115,'Hakedis Fatura Detay'!$F$3:$F$1200,"Bundle"))</f>
        <v/>
      </c>
      <c r="R115" s="28">
        <f>IF(A115="","",I115-Q115)</f>
        <v/>
      </c>
      <c r="S115" s="26">
        <f>IF(A115="","",IF(LEFT(P115,7)="Bekleni","N/A - Henüz Ödenmemeli",IF(LEFT(P115,4)="RİSK","İNCELEME GEREKLİ - Süre Aşımı",IF(R115=0,"Doğru",IF(R115&gt;0,"EKSİK ÖDENMİŞ","FAZLA ÖDENMİŞ")))))</f>
        <v/>
      </c>
      <c r="T115" s="30">
        <f>IF(A115="","",IF(F115&lt;&gt;"Evet","İNCELEME GEREKLİ - Kampanya Tanımsız",IF(G115&lt;&gt;"Evet","İNCELEME GEREKLİ - Tarih Dışı Satış",IF(LEFT(P115,4)="RİSK","İNCELEME GEREKLİ - Hakediş Süresi Aşıldı",IF(OR(S115="EKSİK ÖDENMİŞ",S115="FAZLA ÖDENMİŞ"),"İNCELEME GEREKLİ - Tutar Uyuşmazlığı",IF(LEFT(P115,7)="Bekleni","Bekleniyor","Uygun"))))))</f>
        <v/>
      </c>
    </row>
    <row r="116">
      <c r="A116" s="26">
        <f>IF('DIVA Satislari'!I116="","",'DIVA Satislari'!I116)</f>
        <v/>
      </c>
      <c r="B116" s="26">
        <f>IF('DIVA Satislari'!I116="","",'DIVA Satislari'!R116)</f>
        <v/>
      </c>
      <c r="C116" s="26">
        <f>IF('DIVA Satislari'!I116="","",'DIVA Satislari'!M116)</f>
        <v/>
      </c>
      <c r="D116" s="27">
        <f>IF('DIVA Satislari'!I116="","",'DIVA Satislari'!H116)</f>
        <v/>
      </c>
      <c r="E116" s="26">
        <f>IF('DIVA Satislari'!I116="","",'DIVA Satislari'!O116)</f>
        <v/>
      </c>
      <c r="F116" s="26">
        <f>IF('DIVA Satislari'!I116="","",'DIVA Satislari'!AK116)</f>
        <v/>
      </c>
      <c r="G116" s="26">
        <f>IF('DIVA Satislari'!I116="","",'DIVA Satislari'!AO116)</f>
        <v/>
      </c>
      <c r="H116" s="27">
        <f>IF('DIVA Satislari'!I116="","",'DIVA Satislari'!AN116)</f>
        <v/>
      </c>
      <c r="I116" s="28">
        <f>IF('DIVA Satislari'!I116="","",'DIVA Satislari'!AQ116)</f>
        <v/>
      </c>
      <c r="J116" s="26">
        <f>IF('DIVA Satislari'!I116="","",'DIVA Satislari'!AR116)</f>
        <v/>
      </c>
      <c r="K116" s="26">
        <f>IF('DIVA Satislari'!I116="","",IFERROR(INDEX('E2E Nakliye Montaj'!$AS$3:$AS$1002,MATCH('DIVA Satislari'!AJ116,'E2E Nakliye Montaj'!$AM$3:$AM$1002,0)),"Eşleşme Yok"))</f>
        <v/>
      </c>
      <c r="L116" s="26">
        <f>IF('DIVA Satislari'!I116="","",IFERROR(INDEX('E2E Nakliye Montaj'!$AT$3:$AT$1002,MATCH('DIVA Satislari'!AJ116,'E2E Nakliye Montaj'!$AM$3:$AM$1002,0)),"Hayır"))</f>
        <v/>
      </c>
      <c r="M116" s="26">
        <f>IF('DIVA Satislari'!I116="","",IFERROR(INDEX('E2E Nakliye Montaj'!$AU$3:$AU$1002,MATCH('DIVA Satislari'!AJ116,'E2E Nakliye Montaj'!$AM$3:$AM$1002,0)),"Hayır"))</f>
        <v/>
      </c>
      <c r="N116" s="27">
        <f>IF('DIVA Satislari'!I116="","",IFERROR(INDEX('E2E Nakliye Montaj'!$AV$3:$AV$1002,MATCH('DIVA Satislari'!AJ116,'E2E Nakliye Montaj'!$AM$3:$AM$1002,0)),""))</f>
        <v/>
      </c>
      <c r="O116" s="26">
        <f>IF(OR(A116="",N116=""),"",IF(N116&lt;=H116,"Evet","HAYIR - RİSK"))</f>
        <v/>
      </c>
      <c r="P116" s="26">
        <f>IF(A116="","",IF(LEFT(J116,8)="Kural A ","Uygun - Hemen Ödenir (Yıl Sonu %75 Kontrolüne Tabi)",IF(OR(L116="Evet",M116="Evet"),IF(O116="Evet","Uygun","RİSK - Hakediş Süresi Aşıldı"),"Bekleniyor - Nakliye/Montaj Tamamlanmadı")))</f>
        <v/>
      </c>
      <c r="Q116" s="28">
        <f>IF(A116="","",SUMIFS('Hakedis Fatura Detay'!$G$3:$G$1200,'Hakedis Fatura Detay'!$H$3:$H$1200,'DIVA Satislari'!AJ116,'Hakedis Fatura Detay'!$F$3:$F$1200,"Fiyat Farkı")+SUMIFS('Hakedis Fatura Detay'!$G$3:$G$1200,'Hakedis Fatura Detay'!$H$3:$H$1200,'DIVA Satislari'!AJ116,'Hakedis Fatura Detay'!$F$3:$F$1200,"Bundle"))</f>
        <v/>
      </c>
      <c r="R116" s="28">
        <f>IF(A116="","",I116-Q116)</f>
        <v/>
      </c>
      <c r="S116" s="26">
        <f>IF(A116="","",IF(LEFT(P116,7)="Bekleni","N/A - Henüz Ödenmemeli",IF(LEFT(P116,4)="RİSK","İNCELEME GEREKLİ - Süre Aşımı",IF(R116=0,"Doğru",IF(R116&gt;0,"EKSİK ÖDENMİŞ","FAZLA ÖDENMİŞ")))))</f>
        <v/>
      </c>
      <c r="T116" s="30">
        <f>IF(A116="","",IF(F116&lt;&gt;"Evet","İNCELEME GEREKLİ - Kampanya Tanımsız",IF(G116&lt;&gt;"Evet","İNCELEME GEREKLİ - Tarih Dışı Satış",IF(LEFT(P116,4)="RİSK","İNCELEME GEREKLİ - Hakediş Süresi Aşıldı",IF(OR(S116="EKSİK ÖDENMİŞ",S116="FAZLA ÖDENMİŞ"),"İNCELEME GEREKLİ - Tutar Uyuşmazlığı",IF(LEFT(P116,7)="Bekleni","Bekleniyor","Uygun"))))))</f>
        <v/>
      </c>
    </row>
    <row r="117">
      <c r="A117" s="26">
        <f>IF('DIVA Satislari'!I117="","",'DIVA Satislari'!I117)</f>
        <v/>
      </c>
      <c r="B117" s="26">
        <f>IF('DIVA Satislari'!I117="","",'DIVA Satislari'!R117)</f>
        <v/>
      </c>
      <c r="C117" s="26">
        <f>IF('DIVA Satislari'!I117="","",'DIVA Satislari'!M117)</f>
        <v/>
      </c>
      <c r="D117" s="27">
        <f>IF('DIVA Satislari'!I117="","",'DIVA Satislari'!H117)</f>
        <v/>
      </c>
      <c r="E117" s="26">
        <f>IF('DIVA Satislari'!I117="","",'DIVA Satislari'!O117)</f>
        <v/>
      </c>
      <c r="F117" s="26">
        <f>IF('DIVA Satislari'!I117="","",'DIVA Satislari'!AK117)</f>
        <v/>
      </c>
      <c r="G117" s="26">
        <f>IF('DIVA Satislari'!I117="","",'DIVA Satislari'!AO117)</f>
        <v/>
      </c>
      <c r="H117" s="27">
        <f>IF('DIVA Satislari'!I117="","",'DIVA Satislari'!AN117)</f>
        <v/>
      </c>
      <c r="I117" s="28">
        <f>IF('DIVA Satislari'!I117="","",'DIVA Satislari'!AQ117)</f>
        <v/>
      </c>
      <c r="J117" s="26">
        <f>IF('DIVA Satislari'!I117="","",'DIVA Satislari'!AR117)</f>
        <v/>
      </c>
      <c r="K117" s="26">
        <f>IF('DIVA Satislari'!I117="","",IFERROR(INDEX('E2E Nakliye Montaj'!$AS$3:$AS$1002,MATCH('DIVA Satislari'!AJ117,'E2E Nakliye Montaj'!$AM$3:$AM$1002,0)),"Eşleşme Yok"))</f>
        <v/>
      </c>
      <c r="L117" s="26">
        <f>IF('DIVA Satislari'!I117="","",IFERROR(INDEX('E2E Nakliye Montaj'!$AT$3:$AT$1002,MATCH('DIVA Satislari'!AJ117,'E2E Nakliye Montaj'!$AM$3:$AM$1002,0)),"Hayır"))</f>
        <v/>
      </c>
      <c r="M117" s="26">
        <f>IF('DIVA Satislari'!I117="","",IFERROR(INDEX('E2E Nakliye Montaj'!$AU$3:$AU$1002,MATCH('DIVA Satislari'!AJ117,'E2E Nakliye Montaj'!$AM$3:$AM$1002,0)),"Hayır"))</f>
        <v/>
      </c>
      <c r="N117" s="27">
        <f>IF('DIVA Satislari'!I117="","",IFERROR(INDEX('E2E Nakliye Montaj'!$AV$3:$AV$1002,MATCH('DIVA Satislari'!AJ117,'E2E Nakliye Montaj'!$AM$3:$AM$1002,0)),""))</f>
        <v/>
      </c>
      <c r="O117" s="26">
        <f>IF(OR(A117="",N117=""),"",IF(N117&lt;=H117,"Evet","HAYIR - RİSK"))</f>
        <v/>
      </c>
      <c r="P117" s="26">
        <f>IF(A117="","",IF(LEFT(J117,8)="Kural A ","Uygun - Hemen Ödenir (Yıl Sonu %75 Kontrolüne Tabi)",IF(OR(L117="Evet",M117="Evet"),IF(O117="Evet","Uygun","RİSK - Hakediş Süresi Aşıldı"),"Bekleniyor - Nakliye/Montaj Tamamlanmadı")))</f>
        <v/>
      </c>
      <c r="Q117" s="28">
        <f>IF(A117="","",SUMIFS('Hakedis Fatura Detay'!$G$3:$G$1200,'Hakedis Fatura Detay'!$H$3:$H$1200,'DIVA Satislari'!AJ117,'Hakedis Fatura Detay'!$F$3:$F$1200,"Fiyat Farkı")+SUMIFS('Hakedis Fatura Detay'!$G$3:$G$1200,'Hakedis Fatura Detay'!$H$3:$H$1200,'DIVA Satislari'!AJ117,'Hakedis Fatura Detay'!$F$3:$F$1200,"Bundle"))</f>
        <v/>
      </c>
      <c r="R117" s="28">
        <f>IF(A117="","",I117-Q117)</f>
        <v/>
      </c>
      <c r="S117" s="26">
        <f>IF(A117="","",IF(LEFT(P117,7)="Bekleni","N/A - Henüz Ödenmemeli",IF(LEFT(P117,4)="RİSK","İNCELEME GEREKLİ - Süre Aşımı",IF(R117=0,"Doğru",IF(R117&gt;0,"EKSİK ÖDENMİŞ","FAZLA ÖDENMİŞ")))))</f>
        <v/>
      </c>
      <c r="T117" s="30">
        <f>IF(A117="","",IF(F117&lt;&gt;"Evet","İNCELEME GEREKLİ - Kampanya Tanımsız",IF(G117&lt;&gt;"Evet","İNCELEME GEREKLİ - Tarih Dışı Satış",IF(LEFT(P117,4)="RİSK","İNCELEME GEREKLİ - Hakediş Süresi Aşıldı",IF(OR(S117="EKSİK ÖDENMİŞ",S117="FAZLA ÖDENMİŞ"),"İNCELEME GEREKLİ - Tutar Uyuşmazlığı",IF(LEFT(P117,7)="Bekleni","Bekleniyor","Uygun"))))))</f>
        <v/>
      </c>
    </row>
    <row r="118">
      <c r="A118" s="26">
        <f>IF('DIVA Satislari'!I118="","",'DIVA Satislari'!I118)</f>
        <v/>
      </c>
      <c r="B118" s="26">
        <f>IF('DIVA Satislari'!I118="","",'DIVA Satislari'!R118)</f>
        <v/>
      </c>
      <c r="C118" s="26">
        <f>IF('DIVA Satislari'!I118="","",'DIVA Satislari'!M118)</f>
        <v/>
      </c>
      <c r="D118" s="27">
        <f>IF('DIVA Satislari'!I118="","",'DIVA Satislari'!H118)</f>
        <v/>
      </c>
      <c r="E118" s="26">
        <f>IF('DIVA Satislari'!I118="","",'DIVA Satislari'!O118)</f>
        <v/>
      </c>
      <c r="F118" s="26">
        <f>IF('DIVA Satislari'!I118="","",'DIVA Satislari'!AK118)</f>
        <v/>
      </c>
      <c r="G118" s="26">
        <f>IF('DIVA Satislari'!I118="","",'DIVA Satislari'!AO118)</f>
        <v/>
      </c>
      <c r="H118" s="27">
        <f>IF('DIVA Satislari'!I118="","",'DIVA Satislari'!AN118)</f>
        <v/>
      </c>
      <c r="I118" s="28">
        <f>IF('DIVA Satislari'!I118="","",'DIVA Satislari'!AQ118)</f>
        <v/>
      </c>
      <c r="J118" s="26">
        <f>IF('DIVA Satislari'!I118="","",'DIVA Satislari'!AR118)</f>
        <v/>
      </c>
      <c r="K118" s="26">
        <f>IF('DIVA Satislari'!I118="","",IFERROR(INDEX('E2E Nakliye Montaj'!$AS$3:$AS$1002,MATCH('DIVA Satislari'!AJ118,'E2E Nakliye Montaj'!$AM$3:$AM$1002,0)),"Eşleşme Yok"))</f>
        <v/>
      </c>
      <c r="L118" s="26">
        <f>IF('DIVA Satislari'!I118="","",IFERROR(INDEX('E2E Nakliye Montaj'!$AT$3:$AT$1002,MATCH('DIVA Satislari'!AJ118,'E2E Nakliye Montaj'!$AM$3:$AM$1002,0)),"Hayır"))</f>
        <v/>
      </c>
      <c r="M118" s="26">
        <f>IF('DIVA Satislari'!I118="","",IFERROR(INDEX('E2E Nakliye Montaj'!$AU$3:$AU$1002,MATCH('DIVA Satislari'!AJ118,'E2E Nakliye Montaj'!$AM$3:$AM$1002,0)),"Hayır"))</f>
        <v/>
      </c>
      <c r="N118" s="27">
        <f>IF('DIVA Satislari'!I118="","",IFERROR(INDEX('E2E Nakliye Montaj'!$AV$3:$AV$1002,MATCH('DIVA Satislari'!AJ118,'E2E Nakliye Montaj'!$AM$3:$AM$1002,0)),""))</f>
        <v/>
      </c>
      <c r="O118" s="26">
        <f>IF(OR(A118="",N118=""),"",IF(N118&lt;=H118,"Evet","HAYIR - RİSK"))</f>
        <v/>
      </c>
      <c r="P118" s="26">
        <f>IF(A118="","",IF(LEFT(J118,8)="Kural A ","Uygun - Hemen Ödenir (Yıl Sonu %75 Kontrolüne Tabi)",IF(OR(L118="Evet",M118="Evet"),IF(O118="Evet","Uygun","RİSK - Hakediş Süresi Aşıldı"),"Bekleniyor - Nakliye/Montaj Tamamlanmadı")))</f>
        <v/>
      </c>
      <c r="Q118" s="28">
        <f>IF(A118="","",SUMIFS('Hakedis Fatura Detay'!$G$3:$G$1200,'Hakedis Fatura Detay'!$H$3:$H$1200,'DIVA Satislari'!AJ118,'Hakedis Fatura Detay'!$F$3:$F$1200,"Fiyat Farkı")+SUMIFS('Hakedis Fatura Detay'!$G$3:$G$1200,'Hakedis Fatura Detay'!$H$3:$H$1200,'DIVA Satislari'!AJ118,'Hakedis Fatura Detay'!$F$3:$F$1200,"Bundle"))</f>
        <v/>
      </c>
      <c r="R118" s="28">
        <f>IF(A118="","",I118-Q118)</f>
        <v/>
      </c>
      <c r="S118" s="26">
        <f>IF(A118="","",IF(LEFT(P118,7)="Bekleni","N/A - Henüz Ödenmemeli",IF(LEFT(P118,4)="RİSK","İNCELEME GEREKLİ - Süre Aşımı",IF(R118=0,"Doğru",IF(R118&gt;0,"EKSİK ÖDENMİŞ","FAZLA ÖDENMİŞ")))))</f>
        <v/>
      </c>
      <c r="T118" s="30">
        <f>IF(A118="","",IF(F118&lt;&gt;"Evet","İNCELEME GEREKLİ - Kampanya Tanımsız",IF(G118&lt;&gt;"Evet","İNCELEME GEREKLİ - Tarih Dışı Satış",IF(LEFT(P118,4)="RİSK","İNCELEME GEREKLİ - Hakediş Süresi Aşıldı",IF(OR(S118="EKSİK ÖDENMİŞ",S118="FAZLA ÖDENMİŞ"),"İNCELEME GEREKLİ - Tutar Uyuşmazlığı",IF(LEFT(P118,7)="Bekleni","Bekleniyor","Uygun"))))))</f>
        <v/>
      </c>
    </row>
    <row r="119">
      <c r="A119" s="26">
        <f>IF('DIVA Satislari'!I119="","",'DIVA Satislari'!I119)</f>
        <v/>
      </c>
      <c r="B119" s="26">
        <f>IF('DIVA Satislari'!I119="","",'DIVA Satislari'!R119)</f>
        <v/>
      </c>
      <c r="C119" s="26">
        <f>IF('DIVA Satislari'!I119="","",'DIVA Satislari'!M119)</f>
        <v/>
      </c>
      <c r="D119" s="27">
        <f>IF('DIVA Satislari'!I119="","",'DIVA Satislari'!H119)</f>
        <v/>
      </c>
      <c r="E119" s="26">
        <f>IF('DIVA Satislari'!I119="","",'DIVA Satislari'!O119)</f>
        <v/>
      </c>
      <c r="F119" s="26">
        <f>IF('DIVA Satislari'!I119="","",'DIVA Satislari'!AK119)</f>
        <v/>
      </c>
      <c r="G119" s="26">
        <f>IF('DIVA Satislari'!I119="","",'DIVA Satislari'!AO119)</f>
        <v/>
      </c>
      <c r="H119" s="27">
        <f>IF('DIVA Satislari'!I119="","",'DIVA Satislari'!AN119)</f>
        <v/>
      </c>
      <c r="I119" s="28">
        <f>IF('DIVA Satislari'!I119="","",'DIVA Satislari'!AQ119)</f>
        <v/>
      </c>
      <c r="J119" s="26">
        <f>IF('DIVA Satislari'!I119="","",'DIVA Satislari'!AR119)</f>
        <v/>
      </c>
      <c r="K119" s="26">
        <f>IF('DIVA Satislari'!I119="","",IFERROR(INDEX('E2E Nakliye Montaj'!$AS$3:$AS$1002,MATCH('DIVA Satislari'!AJ119,'E2E Nakliye Montaj'!$AM$3:$AM$1002,0)),"Eşleşme Yok"))</f>
        <v/>
      </c>
      <c r="L119" s="26">
        <f>IF('DIVA Satislari'!I119="","",IFERROR(INDEX('E2E Nakliye Montaj'!$AT$3:$AT$1002,MATCH('DIVA Satislari'!AJ119,'E2E Nakliye Montaj'!$AM$3:$AM$1002,0)),"Hayır"))</f>
        <v/>
      </c>
      <c r="M119" s="26">
        <f>IF('DIVA Satislari'!I119="","",IFERROR(INDEX('E2E Nakliye Montaj'!$AU$3:$AU$1002,MATCH('DIVA Satislari'!AJ119,'E2E Nakliye Montaj'!$AM$3:$AM$1002,0)),"Hayır"))</f>
        <v/>
      </c>
      <c r="N119" s="27">
        <f>IF('DIVA Satislari'!I119="","",IFERROR(INDEX('E2E Nakliye Montaj'!$AV$3:$AV$1002,MATCH('DIVA Satislari'!AJ119,'E2E Nakliye Montaj'!$AM$3:$AM$1002,0)),""))</f>
        <v/>
      </c>
      <c r="O119" s="26">
        <f>IF(OR(A119="",N119=""),"",IF(N119&lt;=H119,"Evet","HAYIR - RİSK"))</f>
        <v/>
      </c>
      <c r="P119" s="26">
        <f>IF(A119="","",IF(LEFT(J119,8)="Kural A ","Uygun - Hemen Ödenir (Yıl Sonu %75 Kontrolüne Tabi)",IF(OR(L119="Evet",M119="Evet"),IF(O119="Evet","Uygun","RİSK - Hakediş Süresi Aşıldı"),"Bekleniyor - Nakliye/Montaj Tamamlanmadı")))</f>
        <v/>
      </c>
      <c r="Q119" s="28">
        <f>IF(A119="","",SUMIFS('Hakedis Fatura Detay'!$G$3:$G$1200,'Hakedis Fatura Detay'!$H$3:$H$1200,'DIVA Satislari'!AJ119,'Hakedis Fatura Detay'!$F$3:$F$1200,"Fiyat Farkı")+SUMIFS('Hakedis Fatura Detay'!$G$3:$G$1200,'Hakedis Fatura Detay'!$H$3:$H$1200,'DIVA Satislari'!AJ119,'Hakedis Fatura Detay'!$F$3:$F$1200,"Bundle"))</f>
        <v/>
      </c>
      <c r="R119" s="28">
        <f>IF(A119="","",I119-Q119)</f>
        <v/>
      </c>
      <c r="S119" s="26">
        <f>IF(A119="","",IF(LEFT(P119,7)="Bekleni","N/A - Henüz Ödenmemeli",IF(LEFT(P119,4)="RİSK","İNCELEME GEREKLİ - Süre Aşımı",IF(R119=0,"Doğru",IF(R119&gt;0,"EKSİK ÖDENMİŞ","FAZLA ÖDENMİŞ")))))</f>
        <v/>
      </c>
      <c r="T119" s="30">
        <f>IF(A119="","",IF(F119&lt;&gt;"Evet","İNCELEME GEREKLİ - Kampanya Tanımsız",IF(G119&lt;&gt;"Evet","İNCELEME GEREKLİ - Tarih Dışı Satış",IF(LEFT(P119,4)="RİSK","İNCELEME GEREKLİ - Hakediş Süresi Aşıldı",IF(OR(S119="EKSİK ÖDENMİŞ",S119="FAZLA ÖDENMİŞ"),"İNCELEME GEREKLİ - Tutar Uyuşmazlığı",IF(LEFT(P119,7)="Bekleni","Bekleniyor","Uygun"))))))</f>
        <v/>
      </c>
    </row>
    <row r="120">
      <c r="A120" s="26">
        <f>IF('DIVA Satislari'!I120="","",'DIVA Satislari'!I120)</f>
        <v/>
      </c>
      <c r="B120" s="26">
        <f>IF('DIVA Satislari'!I120="","",'DIVA Satislari'!R120)</f>
        <v/>
      </c>
      <c r="C120" s="26">
        <f>IF('DIVA Satislari'!I120="","",'DIVA Satislari'!M120)</f>
        <v/>
      </c>
      <c r="D120" s="27">
        <f>IF('DIVA Satislari'!I120="","",'DIVA Satislari'!H120)</f>
        <v/>
      </c>
      <c r="E120" s="26">
        <f>IF('DIVA Satislari'!I120="","",'DIVA Satislari'!O120)</f>
        <v/>
      </c>
      <c r="F120" s="26">
        <f>IF('DIVA Satislari'!I120="","",'DIVA Satislari'!AK120)</f>
        <v/>
      </c>
      <c r="G120" s="26">
        <f>IF('DIVA Satislari'!I120="","",'DIVA Satislari'!AO120)</f>
        <v/>
      </c>
      <c r="H120" s="27">
        <f>IF('DIVA Satislari'!I120="","",'DIVA Satislari'!AN120)</f>
        <v/>
      </c>
      <c r="I120" s="28">
        <f>IF('DIVA Satislari'!I120="","",'DIVA Satislari'!AQ120)</f>
        <v/>
      </c>
      <c r="J120" s="26">
        <f>IF('DIVA Satislari'!I120="","",'DIVA Satislari'!AR120)</f>
        <v/>
      </c>
      <c r="K120" s="26">
        <f>IF('DIVA Satislari'!I120="","",IFERROR(INDEX('E2E Nakliye Montaj'!$AS$3:$AS$1002,MATCH('DIVA Satislari'!AJ120,'E2E Nakliye Montaj'!$AM$3:$AM$1002,0)),"Eşleşme Yok"))</f>
        <v/>
      </c>
      <c r="L120" s="26">
        <f>IF('DIVA Satislari'!I120="","",IFERROR(INDEX('E2E Nakliye Montaj'!$AT$3:$AT$1002,MATCH('DIVA Satislari'!AJ120,'E2E Nakliye Montaj'!$AM$3:$AM$1002,0)),"Hayır"))</f>
        <v/>
      </c>
      <c r="M120" s="26">
        <f>IF('DIVA Satislari'!I120="","",IFERROR(INDEX('E2E Nakliye Montaj'!$AU$3:$AU$1002,MATCH('DIVA Satislari'!AJ120,'E2E Nakliye Montaj'!$AM$3:$AM$1002,0)),"Hayır"))</f>
        <v/>
      </c>
      <c r="N120" s="27">
        <f>IF('DIVA Satislari'!I120="","",IFERROR(INDEX('E2E Nakliye Montaj'!$AV$3:$AV$1002,MATCH('DIVA Satislari'!AJ120,'E2E Nakliye Montaj'!$AM$3:$AM$1002,0)),""))</f>
        <v/>
      </c>
      <c r="O120" s="26">
        <f>IF(OR(A120="",N120=""),"",IF(N120&lt;=H120,"Evet","HAYIR - RİSK"))</f>
        <v/>
      </c>
      <c r="P120" s="26">
        <f>IF(A120="","",IF(LEFT(J120,8)="Kural A ","Uygun - Hemen Ödenir (Yıl Sonu %75 Kontrolüne Tabi)",IF(OR(L120="Evet",M120="Evet"),IF(O120="Evet","Uygun","RİSK - Hakediş Süresi Aşıldı"),"Bekleniyor - Nakliye/Montaj Tamamlanmadı")))</f>
        <v/>
      </c>
      <c r="Q120" s="28">
        <f>IF(A120="","",SUMIFS('Hakedis Fatura Detay'!$G$3:$G$1200,'Hakedis Fatura Detay'!$H$3:$H$1200,'DIVA Satislari'!AJ120,'Hakedis Fatura Detay'!$F$3:$F$1200,"Fiyat Farkı")+SUMIFS('Hakedis Fatura Detay'!$G$3:$G$1200,'Hakedis Fatura Detay'!$H$3:$H$1200,'DIVA Satislari'!AJ120,'Hakedis Fatura Detay'!$F$3:$F$1200,"Bundle"))</f>
        <v/>
      </c>
      <c r="R120" s="28">
        <f>IF(A120="","",I120-Q120)</f>
        <v/>
      </c>
      <c r="S120" s="26">
        <f>IF(A120="","",IF(LEFT(P120,7)="Bekleni","N/A - Henüz Ödenmemeli",IF(LEFT(P120,4)="RİSK","İNCELEME GEREKLİ - Süre Aşımı",IF(R120=0,"Doğru",IF(R120&gt;0,"EKSİK ÖDENMİŞ","FAZLA ÖDENMİŞ")))))</f>
        <v/>
      </c>
      <c r="T120" s="30">
        <f>IF(A120="","",IF(F120&lt;&gt;"Evet","İNCELEME GEREKLİ - Kampanya Tanımsız",IF(G120&lt;&gt;"Evet","İNCELEME GEREKLİ - Tarih Dışı Satış",IF(LEFT(P120,4)="RİSK","İNCELEME GEREKLİ - Hakediş Süresi Aşıldı",IF(OR(S120="EKSİK ÖDENMİŞ",S120="FAZLA ÖDENMİŞ"),"İNCELEME GEREKLİ - Tutar Uyuşmazlığı",IF(LEFT(P120,7)="Bekleni","Bekleniyor","Uygun"))))))</f>
        <v/>
      </c>
    </row>
    <row r="121">
      <c r="A121" s="26">
        <f>IF('DIVA Satislari'!I121="","",'DIVA Satislari'!I121)</f>
        <v/>
      </c>
      <c r="B121" s="26">
        <f>IF('DIVA Satislari'!I121="","",'DIVA Satislari'!R121)</f>
        <v/>
      </c>
      <c r="C121" s="26">
        <f>IF('DIVA Satislari'!I121="","",'DIVA Satislari'!M121)</f>
        <v/>
      </c>
      <c r="D121" s="27">
        <f>IF('DIVA Satislari'!I121="","",'DIVA Satislari'!H121)</f>
        <v/>
      </c>
      <c r="E121" s="26">
        <f>IF('DIVA Satislari'!I121="","",'DIVA Satislari'!O121)</f>
        <v/>
      </c>
      <c r="F121" s="26">
        <f>IF('DIVA Satislari'!I121="","",'DIVA Satislari'!AK121)</f>
        <v/>
      </c>
      <c r="G121" s="26">
        <f>IF('DIVA Satislari'!I121="","",'DIVA Satislari'!AO121)</f>
        <v/>
      </c>
      <c r="H121" s="27">
        <f>IF('DIVA Satislari'!I121="","",'DIVA Satislari'!AN121)</f>
        <v/>
      </c>
      <c r="I121" s="28">
        <f>IF('DIVA Satislari'!I121="","",'DIVA Satislari'!AQ121)</f>
        <v/>
      </c>
      <c r="J121" s="26">
        <f>IF('DIVA Satislari'!I121="","",'DIVA Satislari'!AR121)</f>
        <v/>
      </c>
      <c r="K121" s="26">
        <f>IF('DIVA Satislari'!I121="","",IFERROR(INDEX('E2E Nakliye Montaj'!$AS$3:$AS$1002,MATCH('DIVA Satislari'!AJ121,'E2E Nakliye Montaj'!$AM$3:$AM$1002,0)),"Eşleşme Yok"))</f>
        <v/>
      </c>
      <c r="L121" s="26">
        <f>IF('DIVA Satislari'!I121="","",IFERROR(INDEX('E2E Nakliye Montaj'!$AT$3:$AT$1002,MATCH('DIVA Satislari'!AJ121,'E2E Nakliye Montaj'!$AM$3:$AM$1002,0)),"Hayır"))</f>
        <v/>
      </c>
      <c r="M121" s="26">
        <f>IF('DIVA Satislari'!I121="","",IFERROR(INDEX('E2E Nakliye Montaj'!$AU$3:$AU$1002,MATCH('DIVA Satislari'!AJ121,'E2E Nakliye Montaj'!$AM$3:$AM$1002,0)),"Hayır"))</f>
        <v/>
      </c>
      <c r="N121" s="27">
        <f>IF('DIVA Satislari'!I121="","",IFERROR(INDEX('E2E Nakliye Montaj'!$AV$3:$AV$1002,MATCH('DIVA Satislari'!AJ121,'E2E Nakliye Montaj'!$AM$3:$AM$1002,0)),""))</f>
        <v/>
      </c>
      <c r="O121" s="26">
        <f>IF(OR(A121="",N121=""),"",IF(N121&lt;=H121,"Evet","HAYIR - RİSK"))</f>
        <v/>
      </c>
      <c r="P121" s="26">
        <f>IF(A121="","",IF(LEFT(J121,8)="Kural A ","Uygun - Hemen Ödenir (Yıl Sonu %75 Kontrolüne Tabi)",IF(OR(L121="Evet",M121="Evet"),IF(O121="Evet","Uygun","RİSK - Hakediş Süresi Aşıldı"),"Bekleniyor - Nakliye/Montaj Tamamlanmadı")))</f>
        <v/>
      </c>
      <c r="Q121" s="28">
        <f>IF(A121="","",SUMIFS('Hakedis Fatura Detay'!$G$3:$G$1200,'Hakedis Fatura Detay'!$H$3:$H$1200,'DIVA Satislari'!AJ121,'Hakedis Fatura Detay'!$F$3:$F$1200,"Fiyat Farkı")+SUMIFS('Hakedis Fatura Detay'!$G$3:$G$1200,'Hakedis Fatura Detay'!$H$3:$H$1200,'DIVA Satislari'!AJ121,'Hakedis Fatura Detay'!$F$3:$F$1200,"Bundle"))</f>
        <v/>
      </c>
      <c r="R121" s="28">
        <f>IF(A121="","",I121-Q121)</f>
        <v/>
      </c>
      <c r="S121" s="26">
        <f>IF(A121="","",IF(LEFT(P121,7)="Bekleni","N/A - Henüz Ödenmemeli",IF(LEFT(P121,4)="RİSK","İNCELEME GEREKLİ - Süre Aşımı",IF(R121=0,"Doğru",IF(R121&gt;0,"EKSİK ÖDENMİŞ","FAZLA ÖDENMİŞ")))))</f>
        <v/>
      </c>
      <c r="T121" s="30">
        <f>IF(A121="","",IF(F121&lt;&gt;"Evet","İNCELEME GEREKLİ - Kampanya Tanımsız",IF(G121&lt;&gt;"Evet","İNCELEME GEREKLİ - Tarih Dışı Satış",IF(LEFT(P121,4)="RİSK","İNCELEME GEREKLİ - Hakediş Süresi Aşıldı",IF(OR(S121="EKSİK ÖDENMİŞ",S121="FAZLA ÖDENMİŞ"),"İNCELEME GEREKLİ - Tutar Uyuşmazlığı",IF(LEFT(P121,7)="Bekleni","Bekleniyor","Uygun"))))))</f>
        <v/>
      </c>
    </row>
    <row r="122">
      <c r="A122" s="26">
        <f>IF('DIVA Satislari'!I122="","",'DIVA Satislari'!I122)</f>
        <v/>
      </c>
      <c r="B122" s="26">
        <f>IF('DIVA Satislari'!I122="","",'DIVA Satislari'!R122)</f>
        <v/>
      </c>
      <c r="C122" s="26">
        <f>IF('DIVA Satislari'!I122="","",'DIVA Satislari'!M122)</f>
        <v/>
      </c>
      <c r="D122" s="27">
        <f>IF('DIVA Satislari'!I122="","",'DIVA Satislari'!H122)</f>
        <v/>
      </c>
      <c r="E122" s="26">
        <f>IF('DIVA Satislari'!I122="","",'DIVA Satislari'!O122)</f>
        <v/>
      </c>
      <c r="F122" s="26">
        <f>IF('DIVA Satislari'!I122="","",'DIVA Satislari'!AK122)</f>
        <v/>
      </c>
      <c r="G122" s="26">
        <f>IF('DIVA Satislari'!I122="","",'DIVA Satislari'!AO122)</f>
        <v/>
      </c>
      <c r="H122" s="27">
        <f>IF('DIVA Satislari'!I122="","",'DIVA Satislari'!AN122)</f>
        <v/>
      </c>
      <c r="I122" s="28">
        <f>IF('DIVA Satislari'!I122="","",'DIVA Satislari'!AQ122)</f>
        <v/>
      </c>
      <c r="J122" s="26">
        <f>IF('DIVA Satislari'!I122="","",'DIVA Satislari'!AR122)</f>
        <v/>
      </c>
      <c r="K122" s="26">
        <f>IF('DIVA Satislari'!I122="","",IFERROR(INDEX('E2E Nakliye Montaj'!$AS$3:$AS$1002,MATCH('DIVA Satislari'!AJ122,'E2E Nakliye Montaj'!$AM$3:$AM$1002,0)),"Eşleşme Yok"))</f>
        <v/>
      </c>
      <c r="L122" s="26">
        <f>IF('DIVA Satislari'!I122="","",IFERROR(INDEX('E2E Nakliye Montaj'!$AT$3:$AT$1002,MATCH('DIVA Satislari'!AJ122,'E2E Nakliye Montaj'!$AM$3:$AM$1002,0)),"Hayır"))</f>
        <v/>
      </c>
      <c r="M122" s="26">
        <f>IF('DIVA Satislari'!I122="","",IFERROR(INDEX('E2E Nakliye Montaj'!$AU$3:$AU$1002,MATCH('DIVA Satislari'!AJ122,'E2E Nakliye Montaj'!$AM$3:$AM$1002,0)),"Hayır"))</f>
        <v/>
      </c>
      <c r="N122" s="27">
        <f>IF('DIVA Satislari'!I122="","",IFERROR(INDEX('E2E Nakliye Montaj'!$AV$3:$AV$1002,MATCH('DIVA Satislari'!AJ122,'E2E Nakliye Montaj'!$AM$3:$AM$1002,0)),""))</f>
        <v/>
      </c>
      <c r="O122" s="26">
        <f>IF(OR(A122="",N122=""),"",IF(N122&lt;=H122,"Evet","HAYIR - RİSK"))</f>
        <v/>
      </c>
      <c r="P122" s="26">
        <f>IF(A122="","",IF(LEFT(J122,8)="Kural A ","Uygun - Hemen Ödenir (Yıl Sonu %75 Kontrolüne Tabi)",IF(OR(L122="Evet",M122="Evet"),IF(O122="Evet","Uygun","RİSK - Hakediş Süresi Aşıldı"),"Bekleniyor - Nakliye/Montaj Tamamlanmadı")))</f>
        <v/>
      </c>
      <c r="Q122" s="28">
        <f>IF(A122="","",SUMIFS('Hakedis Fatura Detay'!$G$3:$G$1200,'Hakedis Fatura Detay'!$H$3:$H$1200,'DIVA Satislari'!AJ122,'Hakedis Fatura Detay'!$F$3:$F$1200,"Fiyat Farkı")+SUMIFS('Hakedis Fatura Detay'!$G$3:$G$1200,'Hakedis Fatura Detay'!$H$3:$H$1200,'DIVA Satislari'!AJ122,'Hakedis Fatura Detay'!$F$3:$F$1200,"Bundle"))</f>
        <v/>
      </c>
      <c r="R122" s="28">
        <f>IF(A122="","",I122-Q122)</f>
        <v/>
      </c>
      <c r="S122" s="26">
        <f>IF(A122="","",IF(LEFT(P122,7)="Bekleni","N/A - Henüz Ödenmemeli",IF(LEFT(P122,4)="RİSK","İNCELEME GEREKLİ - Süre Aşımı",IF(R122=0,"Doğru",IF(R122&gt;0,"EKSİK ÖDENMİŞ","FAZLA ÖDENMİŞ")))))</f>
        <v/>
      </c>
      <c r="T122" s="30">
        <f>IF(A122="","",IF(F122&lt;&gt;"Evet","İNCELEME GEREKLİ - Kampanya Tanımsız",IF(G122&lt;&gt;"Evet","İNCELEME GEREKLİ - Tarih Dışı Satış",IF(LEFT(P122,4)="RİSK","İNCELEME GEREKLİ - Hakediş Süresi Aşıldı",IF(OR(S122="EKSİK ÖDENMİŞ",S122="FAZLA ÖDENMİŞ"),"İNCELEME GEREKLİ - Tutar Uyuşmazlığı",IF(LEFT(P122,7)="Bekleni","Bekleniyor","Uygun"))))))</f>
        <v/>
      </c>
    </row>
    <row r="123">
      <c r="A123" s="26">
        <f>IF('DIVA Satislari'!I123="","",'DIVA Satislari'!I123)</f>
        <v/>
      </c>
      <c r="B123" s="26">
        <f>IF('DIVA Satislari'!I123="","",'DIVA Satislari'!R123)</f>
        <v/>
      </c>
      <c r="C123" s="26">
        <f>IF('DIVA Satislari'!I123="","",'DIVA Satislari'!M123)</f>
        <v/>
      </c>
      <c r="D123" s="27">
        <f>IF('DIVA Satislari'!I123="","",'DIVA Satislari'!H123)</f>
        <v/>
      </c>
      <c r="E123" s="26">
        <f>IF('DIVA Satislari'!I123="","",'DIVA Satislari'!O123)</f>
        <v/>
      </c>
      <c r="F123" s="26">
        <f>IF('DIVA Satislari'!I123="","",'DIVA Satislari'!AK123)</f>
        <v/>
      </c>
      <c r="G123" s="26">
        <f>IF('DIVA Satislari'!I123="","",'DIVA Satislari'!AO123)</f>
        <v/>
      </c>
      <c r="H123" s="27">
        <f>IF('DIVA Satislari'!I123="","",'DIVA Satislari'!AN123)</f>
        <v/>
      </c>
      <c r="I123" s="28">
        <f>IF('DIVA Satislari'!I123="","",'DIVA Satislari'!AQ123)</f>
        <v/>
      </c>
      <c r="J123" s="26">
        <f>IF('DIVA Satislari'!I123="","",'DIVA Satislari'!AR123)</f>
        <v/>
      </c>
      <c r="K123" s="26">
        <f>IF('DIVA Satislari'!I123="","",IFERROR(INDEX('E2E Nakliye Montaj'!$AS$3:$AS$1002,MATCH('DIVA Satislari'!AJ123,'E2E Nakliye Montaj'!$AM$3:$AM$1002,0)),"Eşleşme Yok"))</f>
        <v/>
      </c>
      <c r="L123" s="26">
        <f>IF('DIVA Satislari'!I123="","",IFERROR(INDEX('E2E Nakliye Montaj'!$AT$3:$AT$1002,MATCH('DIVA Satislari'!AJ123,'E2E Nakliye Montaj'!$AM$3:$AM$1002,0)),"Hayır"))</f>
        <v/>
      </c>
      <c r="M123" s="26">
        <f>IF('DIVA Satislari'!I123="","",IFERROR(INDEX('E2E Nakliye Montaj'!$AU$3:$AU$1002,MATCH('DIVA Satislari'!AJ123,'E2E Nakliye Montaj'!$AM$3:$AM$1002,0)),"Hayır"))</f>
        <v/>
      </c>
      <c r="N123" s="27">
        <f>IF('DIVA Satislari'!I123="","",IFERROR(INDEX('E2E Nakliye Montaj'!$AV$3:$AV$1002,MATCH('DIVA Satislari'!AJ123,'E2E Nakliye Montaj'!$AM$3:$AM$1002,0)),""))</f>
        <v/>
      </c>
      <c r="O123" s="26">
        <f>IF(OR(A123="",N123=""),"",IF(N123&lt;=H123,"Evet","HAYIR - RİSK"))</f>
        <v/>
      </c>
      <c r="P123" s="26">
        <f>IF(A123="","",IF(LEFT(J123,8)="Kural A ","Uygun - Hemen Ödenir (Yıl Sonu %75 Kontrolüne Tabi)",IF(OR(L123="Evet",M123="Evet"),IF(O123="Evet","Uygun","RİSK - Hakediş Süresi Aşıldı"),"Bekleniyor - Nakliye/Montaj Tamamlanmadı")))</f>
        <v/>
      </c>
      <c r="Q123" s="28">
        <f>IF(A123="","",SUMIFS('Hakedis Fatura Detay'!$G$3:$G$1200,'Hakedis Fatura Detay'!$H$3:$H$1200,'DIVA Satislari'!AJ123,'Hakedis Fatura Detay'!$F$3:$F$1200,"Fiyat Farkı")+SUMIFS('Hakedis Fatura Detay'!$G$3:$G$1200,'Hakedis Fatura Detay'!$H$3:$H$1200,'DIVA Satislari'!AJ123,'Hakedis Fatura Detay'!$F$3:$F$1200,"Bundle"))</f>
        <v/>
      </c>
      <c r="R123" s="28">
        <f>IF(A123="","",I123-Q123)</f>
        <v/>
      </c>
      <c r="S123" s="26">
        <f>IF(A123="","",IF(LEFT(P123,7)="Bekleni","N/A - Henüz Ödenmemeli",IF(LEFT(P123,4)="RİSK","İNCELEME GEREKLİ - Süre Aşımı",IF(R123=0,"Doğru",IF(R123&gt;0,"EKSİK ÖDENMİŞ","FAZLA ÖDENMİŞ")))))</f>
        <v/>
      </c>
      <c r="T123" s="30">
        <f>IF(A123="","",IF(F123&lt;&gt;"Evet","İNCELEME GEREKLİ - Kampanya Tanımsız",IF(G123&lt;&gt;"Evet","İNCELEME GEREKLİ - Tarih Dışı Satış",IF(LEFT(P123,4)="RİSK","İNCELEME GEREKLİ - Hakediş Süresi Aşıldı",IF(OR(S123="EKSİK ÖDENMİŞ",S123="FAZLA ÖDENMİŞ"),"İNCELEME GEREKLİ - Tutar Uyuşmazlığı",IF(LEFT(P123,7)="Bekleni","Bekleniyor","Uygun"))))))</f>
        <v/>
      </c>
    </row>
    <row r="124">
      <c r="A124" s="26">
        <f>IF('DIVA Satislari'!I124="","",'DIVA Satislari'!I124)</f>
        <v/>
      </c>
      <c r="B124" s="26">
        <f>IF('DIVA Satislari'!I124="","",'DIVA Satislari'!R124)</f>
        <v/>
      </c>
      <c r="C124" s="26">
        <f>IF('DIVA Satislari'!I124="","",'DIVA Satislari'!M124)</f>
        <v/>
      </c>
      <c r="D124" s="27">
        <f>IF('DIVA Satislari'!I124="","",'DIVA Satislari'!H124)</f>
        <v/>
      </c>
      <c r="E124" s="26">
        <f>IF('DIVA Satislari'!I124="","",'DIVA Satislari'!O124)</f>
        <v/>
      </c>
      <c r="F124" s="26">
        <f>IF('DIVA Satislari'!I124="","",'DIVA Satislari'!AK124)</f>
        <v/>
      </c>
      <c r="G124" s="26">
        <f>IF('DIVA Satislari'!I124="","",'DIVA Satislari'!AO124)</f>
        <v/>
      </c>
      <c r="H124" s="27">
        <f>IF('DIVA Satislari'!I124="","",'DIVA Satislari'!AN124)</f>
        <v/>
      </c>
      <c r="I124" s="28">
        <f>IF('DIVA Satislari'!I124="","",'DIVA Satislari'!AQ124)</f>
        <v/>
      </c>
      <c r="J124" s="26">
        <f>IF('DIVA Satislari'!I124="","",'DIVA Satislari'!AR124)</f>
        <v/>
      </c>
      <c r="K124" s="26">
        <f>IF('DIVA Satislari'!I124="","",IFERROR(INDEX('E2E Nakliye Montaj'!$AS$3:$AS$1002,MATCH('DIVA Satislari'!AJ124,'E2E Nakliye Montaj'!$AM$3:$AM$1002,0)),"Eşleşme Yok"))</f>
        <v/>
      </c>
      <c r="L124" s="26">
        <f>IF('DIVA Satislari'!I124="","",IFERROR(INDEX('E2E Nakliye Montaj'!$AT$3:$AT$1002,MATCH('DIVA Satislari'!AJ124,'E2E Nakliye Montaj'!$AM$3:$AM$1002,0)),"Hayır"))</f>
        <v/>
      </c>
      <c r="M124" s="26">
        <f>IF('DIVA Satislari'!I124="","",IFERROR(INDEX('E2E Nakliye Montaj'!$AU$3:$AU$1002,MATCH('DIVA Satislari'!AJ124,'E2E Nakliye Montaj'!$AM$3:$AM$1002,0)),"Hayır"))</f>
        <v/>
      </c>
      <c r="N124" s="27">
        <f>IF('DIVA Satislari'!I124="","",IFERROR(INDEX('E2E Nakliye Montaj'!$AV$3:$AV$1002,MATCH('DIVA Satislari'!AJ124,'E2E Nakliye Montaj'!$AM$3:$AM$1002,0)),""))</f>
        <v/>
      </c>
      <c r="O124" s="26">
        <f>IF(OR(A124="",N124=""),"",IF(N124&lt;=H124,"Evet","HAYIR - RİSK"))</f>
        <v/>
      </c>
      <c r="P124" s="26">
        <f>IF(A124="","",IF(LEFT(J124,8)="Kural A ","Uygun - Hemen Ödenir (Yıl Sonu %75 Kontrolüne Tabi)",IF(OR(L124="Evet",M124="Evet"),IF(O124="Evet","Uygun","RİSK - Hakediş Süresi Aşıldı"),"Bekleniyor - Nakliye/Montaj Tamamlanmadı")))</f>
        <v/>
      </c>
      <c r="Q124" s="28">
        <f>IF(A124="","",SUMIFS('Hakedis Fatura Detay'!$G$3:$G$1200,'Hakedis Fatura Detay'!$H$3:$H$1200,'DIVA Satislari'!AJ124,'Hakedis Fatura Detay'!$F$3:$F$1200,"Fiyat Farkı")+SUMIFS('Hakedis Fatura Detay'!$G$3:$G$1200,'Hakedis Fatura Detay'!$H$3:$H$1200,'DIVA Satislari'!AJ124,'Hakedis Fatura Detay'!$F$3:$F$1200,"Bundle"))</f>
        <v/>
      </c>
      <c r="R124" s="28">
        <f>IF(A124="","",I124-Q124)</f>
        <v/>
      </c>
      <c r="S124" s="26">
        <f>IF(A124="","",IF(LEFT(P124,7)="Bekleni","N/A - Henüz Ödenmemeli",IF(LEFT(P124,4)="RİSK","İNCELEME GEREKLİ - Süre Aşımı",IF(R124=0,"Doğru",IF(R124&gt;0,"EKSİK ÖDENMİŞ","FAZLA ÖDENMİŞ")))))</f>
        <v/>
      </c>
      <c r="T124" s="30">
        <f>IF(A124="","",IF(F124&lt;&gt;"Evet","İNCELEME GEREKLİ - Kampanya Tanımsız",IF(G124&lt;&gt;"Evet","İNCELEME GEREKLİ - Tarih Dışı Satış",IF(LEFT(P124,4)="RİSK","İNCELEME GEREKLİ - Hakediş Süresi Aşıldı",IF(OR(S124="EKSİK ÖDENMİŞ",S124="FAZLA ÖDENMİŞ"),"İNCELEME GEREKLİ - Tutar Uyuşmazlığı",IF(LEFT(P124,7)="Bekleni","Bekleniyor","Uygun"))))))</f>
        <v/>
      </c>
    </row>
    <row r="125">
      <c r="A125" s="26">
        <f>IF('DIVA Satislari'!I125="","",'DIVA Satislari'!I125)</f>
        <v/>
      </c>
      <c r="B125" s="26">
        <f>IF('DIVA Satislari'!I125="","",'DIVA Satislari'!R125)</f>
        <v/>
      </c>
      <c r="C125" s="26">
        <f>IF('DIVA Satislari'!I125="","",'DIVA Satislari'!M125)</f>
        <v/>
      </c>
      <c r="D125" s="27">
        <f>IF('DIVA Satislari'!I125="","",'DIVA Satislari'!H125)</f>
        <v/>
      </c>
      <c r="E125" s="26">
        <f>IF('DIVA Satislari'!I125="","",'DIVA Satislari'!O125)</f>
        <v/>
      </c>
      <c r="F125" s="26">
        <f>IF('DIVA Satislari'!I125="","",'DIVA Satislari'!AK125)</f>
        <v/>
      </c>
      <c r="G125" s="26">
        <f>IF('DIVA Satislari'!I125="","",'DIVA Satislari'!AO125)</f>
        <v/>
      </c>
      <c r="H125" s="27">
        <f>IF('DIVA Satislari'!I125="","",'DIVA Satislari'!AN125)</f>
        <v/>
      </c>
      <c r="I125" s="28">
        <f>IF('DIVA Satislari'!I125="","",'DIVA Satislari'!AQ125)</f>
        <v/>
      </c>
      <c r="J125" s="26">
        <f>IF('DIVA Satislari'!I125="","",'DIVA Satislari'!AR125)</f>
        <v/>
      </c>
      <c r="K125" s="26">
        <f>IF('DIVA Satislari'!I125="","",IFERROR(INDEX('E2E Nakliye Montaj'!$AS$3:$AS$1002,MATCH('DIVA Satislari'!AJ125,'E2E Nakliye Montaj'!$AM$3:$AM$1002,0)),"Eşleşme Yok"))</f>
        <v/>
      </c>
      <c r="L125" s="26">
        <f>IF('DIVA Satislari'!I125="","",IFERROR(INDEX('E2E Nakliye Montaj'!$AT$3:$AT$1002,MATCH('DIVA Satislari'!AJ125,'E2E Nakliye Montaj'!$AM$3:$AM$1002,0)),"Hayır"))</f>
        <v/>
      </c>
      <c r="M125" s="26">
        <f>IF('DIVA Satislari'!I125="","",IFERROR(INDEX('E2E Nakliye Montaj'!$AU$3:$AU$1002,MATCH('DIVA Satislari'!AJ125,'E2E Nakliye Montaj'!$AM$3:$AM$1002,0)),"Hayır"))</f>
        <v/>
      </c>
      <c r="N125" s="27">
        <f>IF('DIVA Satislari'!I125="","",IFERROR(INDEX('E2E Nakliye Montaj'!$AV$3:$AV$1002,MATCH('DIVA Satislari'!AJ125,'E2E Nakliye Montaj'!$AM$3:$AM$1002,0)),""))</f>
        <v/>
      </c>
      <c r="O125" s="26">
        <f>IF(OR(A125="",N125=""),"",IF(N125&lt;=H125,"Evet","HAYIR - RİSK"))</f>
        <v/>
      </c>
      <c r="P125" s="26">
        <f>IF(A125="","",IF(LEFT(J125,8)="Kural A ","Uygun - Hemen Ödenir (Yıl Sonu %75 Kontrolüne Tabi)",IF(OR(L125="Evet",M125="Evet"),IF(O125="Evet","Uygun","RİSK - Hakediş Süresi Aşıldı"),"Bekleniyor - Nakliye/Montaj Tamamlanmadı")))</f>
        <v/>
      </c>
      <c r="Q125" s="28">
        <f>IF(A125="","",SUMIFS('Hakedis Fatura Detay'!$G$3:$G$1200,'Hakedis Fatura Detay'!$H$3:$H$1200,'DIVA Satislari'!AJ125,'Hakedis Fatura Detay'!$F$3:$F$1200,"Fiyat Farkı")+SUMIFS('Hakedis Fatura Detay'!$G$3:$G$1200,'Hakedis Fatura Detay'!$H$3:$H$1200,'DIVA Satislari'!AJ125,'Hakedis Fatura Detay'!$F$3:$F$1200,"Bundle"))</f>
        <v/>
      </c>
      <c r="R125" s="28">
        <f>IF(A125="","",I125-Q125)</f>
        <v/>
      </c>
      <c r="S125" s="26">
        <f>IF(A125="","",IF(LEFT(P125,7)="Bekleni","N/A - Henüz Ödenmemeli",IF(LEFT(P125,4)="RİSK","İNCELEME GEREKLİ - Süre Aşımı",IF(R125=0,"Doğru",IF(R125&gt;0,"EKSİK ÖDENMİŞ","FAZLA ÖDENMİŞ")))))</f>
        <v/>
      </c>
      <c r="T125" s="30">
        <f>IF(A125="","",IF(F125&lt;&gt;"Evet","İNCELEME GEREKLİ - Kampanya Tanımsız",IF(G125&lt;&gt;"Evet","İNCELEME GEREKLİ - Tarih Dışı Satış",IF(LEFT(P125,4)="RİSK","İNCELEME GEREKLİ - Hakediş Süresi Aşıldı",IF(OR(S125="EKSİK ÖDENMİŞ",S125="FAZLA ÖDENMİŞ"),"İNCELEME GEREKLİ - Tutar Uyuşmazlığı",IF(LEFT(P125,7)="Bekleni","Bekleniyor","Uygun"))))))</f>
        <v/>
      </c>
    </row>
    <row r="126">
      <c r="A126" s="26">
        <f>IF('DIVA Satislari'!I126="","",'DIVA Satislari'!I126)</f>
        <v/>
      </c>
      <c r="B126" s="26">
        <f>IF('DIVA Satislari'!I126="","",'DIVA Satislari'!R126)</f>
        <v/>
      </c>
      <c r="C126" s="26">
        <f>IF('DIVA Satislari'!I126="","",'DIVA Satislari'!M126)</f>
        <v/>
      </c>
      <c r="D126" s="27">
        <f>IF('DIVA Satislari'!I126="","",'DIVA Satislari'!H126)</f>
        <v/>
      </c>
      <c r="E126" s="26">
        <f>IF('DIVA Satislari'!I126="","",'DIVA Satislari'!O126)</f>
        <v/>
      </c>
      <c r="F126" s="26">
        <f>IF('DIVA Satislari'!I126="","",'DIVA Satislari'!AK126)</f>
        <v/>
      </c>
      <c r="G126" s="26">
        <f>IF('DIVA Satislari'!I126="","",'DIVA Satislari'!AO126)</f>
        <v/>
      </c>
      <c r="H126" s="27">
        <f>IF('DIVA Satislari'!I126="","",'DIVA Satislari'!AN126)</f>
        <v/>
      </c>
      <c r="I126" s="28">
        <f>IF('DIVA Satislari'!I126="","",'DIVA Satislari'!AQ126)</f>
        <v/>
      </c>
      <c r="J126" s="26">
        <f>IF('DIVA Satislari'!I126="","",'DIVA Satislari'!AR126)</f>
        <v/>
      </c>
      <c r="K126" s="26">
        <f>IF('DIVA Satislari'!I126="","",IFERROR(INDEX('E2E Nakliye Montaj'!$AS$3:$AS$1002,MATCH('DIVA Satislari'!AJ126,'E2E Nakliye Montaj'!$AM$3:$AM$1002,0)),"Eşleşme Yok"))</f>
        <v/>
      </c>
      <c r="L126" s="26">
        <f>IF('DIVA Satislari'!I126="","",IFERROR(INDEX('E2E Nakliye Montaj'!$AT$3:$AT$1002,MATCH('DIVA Satislari'!AJ126,'E2E Nakliye Montaj'!$AM$3:$AM$1002,0)),"Hayır"))</f>
        <v/>
      </c>
      <c r="M126" s="26">
        <f>IF('DIVA Satislari'!I126="","",IFERROR(INDEX('E2E Nakliye Montaj'!$AU$3:$AU$1002,MATCH('DIVA Satislari'!AJ126,'E2E Nakliye Montaj'!$AM$3:$AM$1002,0)),"Hayır"))</f>
        <v/>
      </c>
      <c r="N126" s="27">
        <f>IF('DIVA Satislari'!I126="","",IFERROR(INDEX('E2E Nakliye Montaj'!$AV$3:$AV$1002,MATCH('DIVA Satislari'!AJ126,'E2E Nakliye Montaj'!$AM$3:$AM$1002,0)),""))</f>
        <v/>
      </c>
      <c r="O126" s="26">
        <f>IF(OR(A126="",N126=""),"",IF(N126&lt;=H126,"Evet","HAYIR - RİSK"))</f>
        <v/>
      </c>
      <c r="P126" s="26">
        <f>IF(A126="","",IF(LEFT(J126,8)="Kural A ","Uygun - Hemen Ödenir (Yıl Sonu %75 Kontrolüne Tabi)",IF(OR(L126="Evet",M126="Evet"),IF(O126="Evet","Uygun","RİSK - Hakediş Süresi Aşıldı"),"Bekleniyor - Nakliye/Montaj Tamamlanmadı")))</f>
        <v/>
      </c>
      <c r="Q126" s="28">
        <f>IF(A126="","",SUMIFS('Hakedis Fatura Detay'!$G$3:$G$1200,'Hakedis Fatura Detay'!$H$3:$H$1200,'DIVA Satislari'!AJ126,'Hakedis Fatura Detay'!$F$3:$F$1200,"Fiyat Farkı")+SUMIFS('Hakedis Fatura Detay'!$G$3:$G$1200,'Hakedis Fatura Detay'!$H$3:$H$1200,'DIVA Satislari'!AJ126,'Hakedis Fatura Detay'!$F$3:$F$1200,"Bundle"))</f>
        <v/>
      </c>
      <c r="R126" s="28">
        <f>IF(A126="","",I126-Q126)</f>
        <v/>
      </c>
      <c r="S126" s="26">
        <f>IF(A126="","",IF(LEFT(P126,7)="Bekleni","N/A - Henüz Ödenmemeli",IF(LEFT(P126,4)="RİSK","İNCELEME GEREKLİ - Süre Aşımı",IF(R126=0,"Doğru",IF(R126&gt;0,"EKSİK ÖDENMİŞ","FAZLA ÖDENMİŞ")))))</f>
        <v/>
      </c>
      <c r="T126" s="30">
        <f>IF(A126="","",IF(F126&lt;&gt;"Evet","İNCELEME GEREKLİ - Kampanya Tanımsız",IF(G126&lt;&gt;"Evet","İNCELEME GEREKLİ - Tarih Dışı Satış",IF(LEFT(P126,4)="RİSK","İNCELEME GEREKLİ - Hakediş Süresi Aşıldı",IF(OR(S126="EKSİK ÖDENMİŞ",S126="FAZLA ÖDENMİŞ"),"İNCELEME GEREKLİ - Tutar Uyuşmazlığı",IF(LEFT(P126,7)="Bekleni","Bekleniyor","Uygun"))))))</f>
        <v/>
      </c>
    </row>
    <row r="127">
      <c r="A127" s="26">
        <f>IF('DIVA Satislari'!I127="","",'DIVA Satislari'!I127)</f>
        <v/>
      </c>
      <c r="B127" s="26">
        <f>IF('DIVA Satislari'!I127="","",'DIVA Satislari'!R127)</f>
        <v/>
      </c>
      <c r="C127" s="26">
        <f>IF('DIVA Satislari'!I127="","",'DIVA Satislari'!M127)</f>
        <v/>
      </c>
      <c r="D127" s="27">
        <f>IF('DIVA Satislari'!I127="","",'DIVA Satislari'!H127)</f>
        <v/>
      </c>
      <c r="E127" s="26">
        <f>IF('DIVA Satislari'!I127="","",'DIVA Satislari'!O127)</f>
        <v/>
      </c>
      <c r="F127" s="26">
        <f>IF('DIVA Satislari'!I127="","",'DIVA Satislari'!AK127)</f>
        <v/>
      </c>
      <c r="G127" s="26">
        <f>IF('DIVA Satislari'!I127="","",'DIVA Satislari'!AO127)</f>
        <v/>
      </c>
      <c r="H127" s="27">
        <f>IF('DIVA Satislari'!I127="","",'DIVA Satislari'!AN127)</f>
        <v/>
      </c>
      <c r="I127" s="28">
        <f>IF('DIVA Satislari'!I127="","",'DIVA Satislari'!AQ127)</f>
        <v/>
      </c>
      <c r="J127" s="26">
        <f>IF('DIVA Satislari'!I127="","",'DIVA Satislari'!AR127)</f>
        <v/>
      </c>
      <c r="K127" s="26">
        <f>IF('DIVA Satislari'!I127="","",IFERROR(INDEX('E2E Nakliye Montaj'!$AS$3:$AS$1002,MATCH('DIVA Satislari'!AJ127,'E2E Nakliye Montaj'!$AM$3:$AM$1002,0)),"Eşleşme Yok"))</f>
        <v/>
      </c>
      <c r="L127" s="26">
        <f>IF('DIVA Satislari'!I127="","",IFERROR(INDEX('E2E Nakliye Montaj'!$AT$3:$AT$1002,MATCH('DIVA Satislari'!AJ127,'E2E Nakliye Montaj'!$AM$3:$AM$1002,0)),"Hayır"))</f>
        <v/>
      </c>
      <c r="M127" s="26">
        <f>IF('DIVA Satislari'!I127="","",IFERROR(INDEX('E2E Nakliye Montaj'!$AU$3:$AU$1002,MATCH('DIVA Satislari'!AJ127,'E2E Nakliye Montaj'!$AM$3:$AM$1002,0)),"Hayır"))</f>
        <v/>
      </c>
      <c r="N127" s="27">
        <f>IF('DIVA Satislari'!I127="","",IFERROR(INDEX('E2E Nakliye Montaj'!$AV$3:$AV$1002,MATCH('DIVA Satislari'!AJ127,'E2E Nakliye Montaj'!$AM$3:$AM$1002,0)),""))</f>
        <v/>
      </c>
      <c r="O127" s="26">
        <f>IF(OR(A127="",N127=""),"",IF(N127&lt;=H127,"Evet","HAYIR - RİSK"))</f>
        <v/>
      </c>
      <c r="P127" s="26">
        <f>IF(A127="","",IF(LEFT(J127,8)="Kural A ","Uygun - Hemen Ödenir (Yıl Sonu %75 Kontrolüne Tabi)",IF(OR(L127="Evet",M127="Evet"),IF(O127="Evet","Uygun","RİSK - Hakediş Süresi Aşıldı"),"Bekleniyor - Nakliye/Montaj Tamamlanmadı")))</f>
        <v/>
      </c>
      <c r="Q127" s="28">
        <f>IF(A127="","",SUMIFS('Hakedis Fatura Detay'!$G$3:$G$1200,'Hakedis Fatura Detay'!$H$3:$H$1200,'DIVA Satislari'!AJ127,'Hakedis Fatura Detay'!$F$3:$F$1200,"Fiyat Farkı")+SUMIFS('Hakedis Fatura Detay'!$G$3:$G$1200,'Hakedis Fatura Detay'!$H$3:$H$1200,'DIVA Satislari'!AJ127,'Hakedis Fatura Detay'!$F$3:$F$1200,"Bundle"))</f>
        <v/>
      </c>
      <c r="R127" s="28">
        <f>IF(A127="","",I127-Q127)</f>
        <v/>
      </c>
      <c r="S127" s="26">
        <f>IF(A127="","",IF(LEFT(P127,7)="Bekleni","N/A - Henüz Ödenmemeli",IF(LEFT(P127,4)="RİSK","İNCELEME GEREKLİ - Süre Aşımı",IF(R127=0,"Doğru",IF(R127&gt;0,"EKSİK ÖDENMİŞ","FAZLA ÖDENMİŞ")))))</f>
        <v/>
      </c>
      <c r="T127" s="30">
        <f>IF(A127="","",IF(F127&lt;&gt;"Evet","İNCELEME GEREKLİ - Kampanya Tanımsız",IF(G127&lt;&gt;"Evet","İNCELEME GEREKLİ - Tarih Dışı Satış",IF(LEFT(P127,4)="RİSK","İNCELEME GEREKLİ - Hakediş Süresi Aşıldı",IF(OR(S127="EKSİK ÖDENMİŞ",S127="FAZLA ÖDENMİŞ"),"İNCELEME GEREKLİ - Tutar Uyuşmazlığı",IF(LEFT(P127,7)="Bekleni","Bekleniyor","Uygun"))))))</f>
        <v/>
      </c>
    </row>
    <row r="128">
      <c r="A128" s="26">
        <f>IF('DIVA Satislari'!I128="","",'DIVA Satislari'!I128)</f>
        <v/>
      </c>
      <c r="B128" s="26">
        <f>IF('DIVA Satislari'!I128="","",'DIVA Satislari'!R128)</f>
        <v/>
      </c>
      <c r="C128" s="26">
        <f>IF('DIVA Satislari'!I128="","",'DIVA Satislari'!M128)</f>
        <v/>
      </c>
      <c r="D128" s="27">
        <f>IF('DIVA Satislari'!I128="","",'DIVA Satislari'!H128)</f>
        <v/>
      </c>
      <c r="E128" s="26">
        <f>IF('DIVA Satislari'!I128="","",'DIVA Satislari'!O128)</f>
        <v/>
      </c>
      <c r="F128" s="26">
        <f>IF('DIVA Satislari'!I128="","",'DIVA Satislari'!AK128)</f>
        <v/>
      </c>
      <c r="G128" s="26">
        <f>IF('DIVA Satislari'!I128="","",'DIVA Satislari'!AO128)</f>
        <v/>
      </c>
      <c r="H128" s="27">
        <f>IF('DIVA Satislari'!I128="","",'DIVA Satislari'!AN128)</f>
        <v/>
      </c>
      <c r="I128" s="28">
        <f>IF('DIVA Satislari'!I128="","",'DIVA Satislari'!AQ128)</f>
        <v/>
      </c>
      <c r="J128" s="26">
        <f>IF('DIVA Satislari'!I128="","",'DIVA Satislari'!AR128)</f>
        <v/>
      </c>
      <c r="K128" s="26">
        <f>IF('DIVA Satislari'!I128="","",IFERROR(INDEX('E2E Nakliye Montaj'!$AS$3:$AS$1002,MATCH('DIVA Satislari'!AJ128,'E2E Nakliye Montaj'!$AM$3:$AM$1002,0)),"Eşleşme Yok"))</f>
        <v/>
      </c>
      <c r="L128" s="26">
        <f>IF('DIVA Satislari'!I128="","",IFERROR(INDEX('E2E Nakliye Montaj'!$AT$3:$AT$1002,MATCH('DIVA Satislari'!AJ128,'E2E Nakliye Montaj'!$AM$3:$AM$1002,0)),"Hayır"))</f>
        <v/>
      </c>
      <c r="M128" s="26">
        <f>IF('DIVA Satislari'!I128="","",IFERROR(INDEX('E2E Nakliye Montaj'!$AU$3:$AU$1002,MATCH('DIVA Satislari'!AJ128,'E2E Nakliye Montaj'!$AM$3:$AM$1002,0)),"Hayır"))</f>
        <v/>
      </c>
      <c r="N128" s="27">
        <f>IF('DIVA Satislari'!I128="","",IFERROR(INDEX('E2E Nakliye Montaj'!$AV$3:$AV$1002,MATCH('DIVA Satislari'!AJ128,'E2E Nakliye Montaj'!$AM$3:$AM$1002,0)),""))</f>
        <v/>
      </c>
      <c r="O128" s="26">
        <f>IF(OR(A128="",N128=""),"",IF(N128&lt;=H128,"Evet","HAYIR - RİSK"))</f>
        <v/>
      </c>
      <c r="P128" s="26">
        <f>IF(A128="","",IF(LEFT(J128,8)="Kural A ","Uygun - Hemen Ödenir (Yıl Sonu %75 Kontrolüne Tabi)",IF(OR(L128="Evet",M128="Evet"),IF(O128="Evet","Uygun","RİSK - Hakediş Süresi Aşıldı"),"Bekleniyor - Nakliye/Montaj Tamamlanmadı")))</f>
        <v/>
      </c>
      <c r="Q128" s="28">
        <f>IF(A128="","",SUMIFS('Hakedis Fatura Detay'!$G$3:$G$1200,'Hakedis Fatura Detay'!$H$3:$H$1200,'DIVA Satislari'!AJ128,'Hakedis Fatura Detay'!$F$3:$F$1200,"Fiyat Farkı")+SUMIFS('Hakedis Fatura Detay'!$G$3:$G$1200,'Hakedis Fatura Detay'!$H$3:$H$1200,'DIVA Satislari'!AJ128,'Hakedis Fatura Detay'!$F$3:$F$1200,"Bundle"))</f>
        <v/>
      </c>
      <c r="R128" s="28">
        <f>IF(A128="","",I128-Q128)</f>
        <v/>
      </c>
      <c r="S128" s="26">
        <f>IF(A128="","",IF(LEFT(P128,7)="Bekleni","N/A - Henüz Ödenmemeli",IF(LEFT(P128,4)="RİSK","İNCELEME GEREKLİ - Süre Aşımı",IF(R128=0,"Doğru",IF(R128&gt;0,"EKSİK ÖDENMİŞ","FAZLA ÖDENMİŞ")))))</f>
        <v/>
      </c>
      <c r="T128" s="30">
        <f>IF(A128="","",IF(F128&lt;&gt;"Evet","İNCELEME GEREKLİ - Kampanya Tanımsız",IF(G128&lt;&gt;"Evet","İNCELEME GEREKLİ - Tarih Dışı Satış",IF(LEFT(P128,4)="RİSK","İNCELEME GEREKLİ - Hakediş Süresi Aşıldı",IF(OR(S128="EKSİK ÖDENMİŞ",S128="FAZLA ÖDENMİŞ"),"İNCELEME GEREKLİ - Tutar Uyuşmazlığı",IF(LEFT(P128,7)="Bekleni","Bekleniyor","Uygun"))))))</f>
        <v/>
      </c>
    </row>
    <row r="129">
      <c r="A129" s="26">
        <f>IF('DIVA Satislari'!I129="","",'DIVA Satislari'!I129)</f>
        <v/>
      </c>
      <c r="B129" s="26">
        <f>IF('DIVA Satislari'!I129="","",'DIVA Satislari'!R129)</f>
        <v/>
      </c>
      <c r="C129" s="26">
        <f>IF('DIVA Satislari'!I129="","",'DIVA Satislari'!M129)</f>
        <v/>
      </c>
      <c r="D129" s="27">
        <f>IF('DIVA Satislari'!I129="","",'DIVA Satislari'!H129)</f>
        <v/>
      </c>
      <c r="E129" s="26">
        <f>IF('DIVA Satislari'!I129="","",'DIVA Satislari'!O129)</f>
        <v/>
      </c>
      <c r="F129" s="26">
        <f>IF('DIVA Satislari'!I129="","",'DIVA Satislari'!AK129)</f>
        <v/>
      </c>
      <c r="G129" s="26">
        <f>IF('DIVA Satislari'!I129="","",'DIVA Satislari'!AO129)</f>
        <v/>
      </c>
      <c r="H129" s="27">
        <f>IF('DIVA Satislari'!I129="","",'DIVA Satislari'!AN129)</f>
        <v/>
      </c>
      <c r="I129" s="28">
        <f>IF('DIVA Satislari'!I129="","",'DIVA Satislari'!AQ129)</f>
        <v/>
      </c>
      <c r="J129" s="26">
        <f>IF('DIVA Satislari'!I129="","",'DIVA Satislari'!AR129)</f>
        <v/>
      </c>
      <c r="K129" s="26">
        <f>IF('DIVA Satislari'!I129="","",IFERROR(INDEX('E2E Nakliye Montaj'!$AS$3:$AS$1002,MATCH('DIVA Satislari'!AJ129,'E2E Nakliye Montaj'!$AM$3:$AM$1002,0)),"Eşleşme Yok"))</f>
        <v/>
      </c>
      <c r="L129" s="26">
        <f>IF('DIVA Satislari'!I129="","",IFERROR(INDEX('E2E Nakliye Montaj'!$AT$3:$AT$1002,MATCH('DIVA Satislari'!AJ129,'E2E Nakliye Montaj'!$AM$3:$AM$1002,0)),"Hayır"))</f>
        <v/>
      </c>
      <c r="M129" s="26">
        <f>IF('DIVA Satislari'!I129="","",IFERROR(INDEX('E2E Nakliye Montaj'!$AU$3:$AU$1002,MATCH('DIVA Satislari'!AJ129,'E2E Nakliye Montaj'!$AM$3:$AM$1002,0)),"Hayır"))</f>
        <v/>
      </c>
      <c r="N129" s="27">
        <f>IF('DIVA Satislari'!I129="","",IFERROR(INDEX('E2E Nakliye Montaj'!$AV$3:$AV$1002,MATCH('DIVA Satislari'!AJ129,'E2E Nakliye Montaj'!$AM$3:$AM$1002,0)),""))</f>
        <v/>
      </c>
      <c r="O129" s="26">
        <f>IF(OR(A129="",N129=""),"",IF(N129&lt;=H129,"Evet","HAYIR - RİSK"))</f>
        <v/>
      </c>
      <c r="P129" s="26">
        <f>IF(A129="","",IF(LEFT(J129,8)="Kural A ","Uygun - Hemen Ödenir (Yıl Sonu %75 Kontrolüne Tabi)",IF(OR(L129="Evet",M129="Evet"),IF(O129="Evet","Uygun","RİSK - Hakediş Süresi Aşıldı"),"Bekleniyor - Nakliye/Montaj Tamamlanmadı")))</f>
        <v/>
      </c>
      <c r="Q129" s="28">
        <f>IF(A129="","",SUMIFS('Hakedis Fatura Detay'!$G$3:$G$1200,'Hakedis Fatura Detay'!$H$3:$H$1200,'DIVA Satislari'!AJ129,'Hakedis Fatura Detay'!$F$3:$F$1200,"Fiyat Farkı")+SUMIFS('Hakedis Fatura Detay'!$G$3:$G$1200,'Hakedis Fatura Detay'!$H$3:$H$1200,'DIVA Satislari'!AJ129,'Hakedis Fatura Detay'!$F$3:$F$1200,"Bundle"))</f>
        <v/>
      </c>
      <c r="R129" s="28">
        <f>IF(A129="","",I129-Q129)</f>
        <v/>
      </c>
      <c r="S129" s="26">
        <f>IF(A129="","",IF(LEFT(P129,7)="Bekleni","N/A - Henüz Ödenmemeli",IF(LEFT(P129,4)="RİSK","İNCELEME GEREKLİ - Süre Aşımı",IF(R129=0,"Doğru",IF(R129&gt;0,"EKSİK ÖDENMİŞ","FAZLA ÖDENMİŞ")))))</f>
        <v/>
      </c>
      <c r="T129" s="30">
        <f>IF(A129="","",IF(F129&lt;&gt;"Evet","İNCELEME GEREKLİ - Kampanya Tanımsız",IF(G129&lt;&gt;"Evet","İNCELEME GEREKLİ - Tarih Dışı Satış",IF(LEFT(P129,4)="RİSK","İNCELEME GEREKLİ - Hakediş Süresi Aşıldı",IF(OR(S129="EKSİK ÖDENMİŞ",S129="FAZLA ÖDENMİŞ"),"İNCELEME GEREKLİ - Tutar Uyuşmazlığı",IF(LEFT(P129,7)="Bekleni","Bekleniyor","Uygun"))))))</f>
        <v/>
      </c>
    </row>
    <row r="130">
      <c r="A130" s="26">
        <f>IF('DIVA Satislari'!I130="","",'DIVA Satislari'!I130)</f>
        <v/>
      </c>
      <c r="B130" s="26">
        <f>IF('DIVA Satislari'!I130="","",'DIVA Satislari'!R130)</f>
        <v/>
      </c>
      <c r="C130" s="26">
        <f>IF('DIVA Satislari'!I130="","",'DIVA Satislari'!M130)</f>
        <v/>
      </c>
      <c r="D130" s="27">
        <f>IF('DIVA Satislari'!I130="","",'DIVA Satislari'!H130)</f>
        <v/>
      </c>
      <c r="E130" s="26">
        <f>IF('DIVA Satislari'!I130="","",'DIVA Satislari'!O130)</f>
        <v/>
      </c>
      <c r="F130" s="26">
        <f>IF('DIVA Satislari'!I130="","",'DIVA Satislari'!AK130)</f>
        <v/>
      </c>
      <c r="G130" s="26">
        <f>IF('DIVA Satislari'!I130="","",'DIVA Satislari'!AO130)</f>
        <v/>
      </c>
      <c r="H130" s="27">
        <f>IF('DIVA Satislari'!I130="","",'DIVA Satislari'!AN130)</f>
        <v/>
      </c>
      <c r="I130" s="28">
        <f>IF('DIVA Satislari'!I130="","",'DIVA Satislari'!AQ130)</f>
        <v/>
      </c>
      <c r="J130" s="26">
        <f>IF('DIVA Satislari'!I130="","",'DIVA Satislari'!AR130)</f>
        <v/>
      </c>
      <c r="K130" s="26">
        <f>IF('DIVA Satislari'!I130="","",IFERROR(INDEX('E2E Nakliye Montaj'!$AS$3:$AS$1002,MATCH('DIVA Satislari'!AJ130,'E2E Nakliye Montaj'!$AM$3:$AM$1002,0)),"Eşleşme Yok"))</f>
        <v/>
      </c>
      <c r="L130" s="26">
        <f>IF('DIVA Satislari'!I130="","",IFERROR(INDEX('E2E Nakliye Montaj'!$AT$3:$AT$1002,MATCH('DIVA Satislari'!AJ130,'E2E Nakliye Montaj'!$AM$3:$AM$1002,0)),"Hayır"))</f>
        <v/>
      </c>
      <c r="M130" s="26">
        <f>IF('DIVA Satislari'!I130="","",IFERROR(INDEX('E2E Nakliye Montaj'!$AU$3:$AU$1002,MATCH('DIVA Satislari'!AJ130,'E2E Nakliye Montaj'!$AM$3:$AM$1002,0)),"Hayır"))</f>
        <v/>
      </c>
      <c r="N130" s="27">
        <f>IF('DIVA Satislari'!I130="","",IFERROR(INDEX('E2E Nakliye Montaj'!$AV$3:$AV$1002,MATCH('DIVA Satislari'!AJ130,'E2E Nakliye Montaj'!$AM$3:$AM$1002,0)),""))</f>
        <v/>
      </c>
      <c r="O130" s="26">
        <f>IF(OR(A130="",N130=""),"",IF(N130&lt;=H130,"Evet","HAYIR - RİSK"))</f>
        <v/>
      </c>
      <c r="P130" s="26">
        <f>IF(A130="","",IF(LEFT(J130,8)="Kural A ","Uygun - Hemen Ödenir (Yıl Sonu %75 Kontrolüne Tabi)",IF(OR(L130="Evet",M130="Evet"),IF(O130="Evet","Uygun","RİSK - Hakediş Süresi Aşıldı"),"Bekleniyor - Nakliye/Montaj Tamamlanmadı")))</f>
        <v/>
      </c>
      <c r="Q130" s="28">
        <f>IF(A130="","",SUMIFS('Hakedis Fatura Detay'!$G$3:$G$1200,'Hakedis Fatura Detay'!$H$3:$H$1200,'DIVA Satislari'!AJ130,'Hakedis Fatura Detay'!$F$3:$F$1200,"Fiyat Farkı")+SUMIFS('Hakedis Fatura Detay'!$G$3:$G$1200,'Hakedis Fatura Detay'!$H$3:$H$1200,'DIVA Satislari'!AJ130,'Hakedis Fatura Detay'!$F$3:$F$1200,"Bundle"))</f>
        <v/>
      </c>
      <c r="R130" s="28">
        <f>IF(A130="","",I130-Q130)</f>
        <v/>
      </c>
      <c r="S130" s="26">
        <f>IF(A130="","",IF(LEFT(P130,7)="Bekleni","N/A - Henüz Ödenmemeli",IF(LEFT(P130,4)="RİSK","İNCELEME GEREKLİ - Süre Aşımı",IF(R130=0,"Doğru",IF(R130&gt;0,"EKSİK ÖDENMİŞ","FAZLA ÖDENMİŞ")))))</f>
        <v/>
      </c>
      <c r="T130" s="30">
        <f>IF(A130="","",IF(F130&lt;&gt;"Evet","İNCELEME GEREKLİ - Kampanya Tanımsız",IF(G130&lt;&gt;"Evet","İNCELEME GEREKLİ - Tarih Dışı Satış",IF(LEFT(P130,4)="RİSK","İNCELEME GEREKLİ - Hakediş Süresi Aşıldı",IF(OR(S130="EKSİK ÖDENMİŞ",S130="FAZLA ÖDENMİŞ"),"İNCELEME GEREKLİ - Tutar Uyuşmazlığı",IF(LEFT(P130,7)="Bekleni","Bekleniyor","Uygun"))))))</f>
        <v/>
      </c>
    </row>
    <row r="131">
      <c r="A131" s="26">
        <f>IF('DIVA Satislari'!I131="","",'DIVA Satislari'!I131)</f>
        <v/>
      </c>
      <c r="B131" s="26">
        <f>IF('DIVA Satislari'!I131="","",'DIVA Satislari'!R131)</f>
        <v/>
      </c>
      <c r="C131" s="26">
        <f>IF('DIVA Satislari'!I131="","",'DIVA Satislari'!M131)</f>
        <v/>
      </c>
      <c r="D131" s="27">
        <f>IF('DIVA Satislari'!I131="","",'DIVA Satislari'!H131)</f>
        <v/>
      </c>
      <c r="E131" s="26">
        <f>IF('DIVA Satislari'!I131="","",'DIVA Satislari'!O131)</f>
        <v/>
      </c>
      <c r="F131" s="26">
        <f>IF('DIVA Satislari'!I131="","",'DIVA Satislari'!AK131)</f>
        <v/>
      </c>
      <c r="G131" s="26">
        <f>IF('DIVA Satislari'!I131="","",'DIVA Satislari'!AO131)</f>
        <v/>
      </c>
      <c r="H131" s="27">
        <f>IF('DIVA Satislari'!I131="","",'DIVA Satislari'!AN131)</f>
        <v/>
      </c>
      <c r="I131" s="28">
        <f>IF('DIVA Satislari'!I131="","",'DIVA Satislari'!AQ131)</f>
        <v/>
      </c>
      <c r="J131" s="26">
        <f>IF('DIVA Satislari'!I131="","",'DIVA Satislari'!AR131)</f>
        <v/>
      </c>
      <c r="K131" s="26">
        <f>IF('DIVA Satislari'!I131="","",IFERROR(INDEX('E2E Nakliye Montaj'!$AS$3:$AS$1002,MATCH('DIVA Satislari'!AJ131,'E2E Nakliye Montaj'!$AM$3:$AM$1002,0)),"Eşleşme Yok"))</f>
        <v/>
      </c>
      <c r="L131" s="26">
        <f>IF('DIVA Satislari'!I131="","",IFERROR(INDEX('E2E Nakliye Montaj'!$AT$3:$AT$1002,MATCH('DIVA Satislari'!AJ131,'E2E Nakliye Montaj'!$AM$3:$AM$1002,0)),"Hayır"))</f>
        <v/>
      </c>
      <c r="M131" s="26">
        <f>IF('DIVA Satislari'!I131="","",IFERROR(INDEX('E2E Nakliye Montaj'!$AU$3:$AU$1002,MATCH('DIVA Satislari'!AJ131,'E2E Nakliye Montaj'!$AM$3:$AM$1002,0)),"Hayır"))</f>
        <v/>
      </c>
      <c r="N131" s="27">
        <f>IF('DIVA Satislari'!I131="","",IFERROR(INDEX('E2E Nakliye Montaj'!$AV$3:$AV$1002,MATCH('DIVA Satislari'!AJ131,'E2E Nakliye Montaj'!$AM$3:$AM$1002,0)),""))</f>
        <v/>
      </c>
      <c r="O131" s="26">
        <f>IF(OR(A131="",N131=""),"",IF(N131&lt;=H131,"Evet","HAYIR - RİSK"))</f>
        <v/>
      </c>
      <c r="P131" s="26">
        <f>IF(A131="","",IF(LEFT(J131,8)="Kural A ","Uygun - Hemen Ödenir (Yıl Sonu %75 Kontrolüne Tabi)",IF(OR(L131="Evet",M131="Evet"),IF(O131="Evet","Uygun","RİSK - Hakediş Süresi Aşıldı"),"Bekleniyor - Nakliye/Montaj Tamamlanmadı")))</f>
        <v/>
      </c>
      <c r="Q131" s="28">
        <f>IF(A131="","",SUMIFS('Hakedis Fatura Detay'!$G$3:$G$1200,'Hakedis Fatura Detay'!$H$3:$H$1200,'DIVA Satislari'!AJ131,'Hakedis Fatura Detay'!$F$3:$F$1200,"Fiyat Farkı")+SUMIFS('Hakedis Fatura Detay'!$G$3:$G$1200,'Hakedis Fatura Detay'!$H$3:$H$1200,'DIVA Satislari'!AJ131,'Hakedis Fatura Detay'!$F$3:$F$1200,"Bundle"))</f>
        <v/>
      </c>
      <c r="R131" s="28">
        <f>IF(A131="","",I131-Q131)</f>
        <v/>
      </c>
      <c r="S131" s="26">
        <f>IF(A131="","",IF(LEFT(P131,7)="Bekleni","N/A - Henüz Ödenmemeli",IF(LEFT(P131,4)="RİSK","İNCELEME GEREKLİ - Süre Aşımı",IF(R131=0,"Doğru",IF(R131&gt;0,"EKSİK ÖDENMİŞ","FAZLA ÖDENMİŞ")))))</f>
        <v/>
      </c>
      <c r="T131" s="30">
        <f>IF(A131="","",IF(F131&lt;&gt;"Evet","İNCELEME GEREKLİ - Kampanya Tanımsız",IF(G131&lt;&gt;"Evet","İNCELEME GEREKLİ - Tarih Dışı Satış",IF(LEFT(P131,4)="RİSK","İNCELEME GEREKLİ - Hakediş Süresi Aşıldı",IF(OR(S131="EKSİK ÖDENMİŞ",S131="FAZLA ÖDENMİŞ"),"İNCELEME GEREKLİ - Tutar Uyuşmazlığı",IF(LEFT(P131,7)="Bekleni","Bekleniyor","Uygun"))))))</f>
        <v/>
      </c>
    </row>
    <row r="132">
      <c r="A132" s="26">
        <f>IF('DIVA Satislari'!I132="","",'DIVA Satislari'!I132)</f>
        <v/>
      </c>
      <c r="B132" s="26">
        <f>IF('DIVA Satislari'!I132="","",'DIVA Satislari'!R132)</f>
        <v/>
      </c>
      <c r="C132" s="26">
        <f>IF('DIVA Satislari'!I132="","",'DIVA Satislari'!M132)</f>
        <v/>
      </c>
      <c r="D132" s="27">
        <f>IF('DIVA Satislari'!I132="","",'DIVA Satislari'!H132)</f>
        <v/>
      </c>
      <c r="E132" s="26">
        <f>IF('DIVA Satislari'!I132="","",'DIVA Satislari'!O132)</f>
        <v/>
      </c>
      <c r="F132" s="26">
        <f>IF('DIVA Satislari'!I132="","",'DIVA Satislari'!AK132)</f>
        <v/>
      </c>
      <c r="G132" s="26">
        <f>IF('DIVA Satislari'!I132="","",'DIVA Satislari'!AO132)</f>
        <v/>
      </c>
      <c r="H132" s="27">
        <f>IF('DIVA Satislari'!I132="","",'DIVA Satislari'!AN132)</f>
        <v/>
      </c>
      <c r="I132" s="28">
        <f>IF('DIVA Satislari'!I132="","",'DIVA Satislari'!AQ132)</f>
        <v/>
      </c>
      <c r="J132" s="26">
        <f>IF('DIVA Satislari'!I132="","",'DIVA Satislari'!AR132)</f>
        <v/>
      </c>
      <c r="K132" s="26">
        <f>IF('DIVA Satislari'!I132="","",IFERROR(INDEX('E2E Nakliye Montaj'!$AS$3:$AS$1002,MATCH('DIVA Satislari'!AJ132,'E2E Nakliye Montaj'!$AM$3:$AM$1002,0)),"Eşleşme Yok"))</f>
        <v/>
      </c>
      <c r="L132" s="26">
        <f>IF('DIVA Satislari'!I132="","",IFERROR(INDEX('E2E Nakliye Montaj'!$AT$3:$AT$1002,MATCH('DIVA Satislari'!AJ132,'E2E Nakliye Montaj'!$AM$3:$AM$1002,0)),"Hayır"))</f>
        <v/>
      </c>
      <c r="M132" s="26">
        <f>IF('DIVA Satislari'!I132="","",IFERROR(INDEX('E2E Nakliye Montaj'!$AU$3:$AU$1002,MATCH('DIVA Satislari'!AJ132,'E2E Nakliye Montaj'!$AM$3:$AM$1002,0)),"Hayır"))</f>
        <v/>
      </c>
      <c r="N132" s="27">
        <f>IF('DIVA Satislari'!I132="","",IFERROR(INDEX('E2E Nakliye Montaj'!$AV$3:$AV$1002,MATCH('DIVA Satislari'!AJ132,'E2E Nakliye Montaj'!$AM$3:$AM$1002,0)),""))</f>
        <v/>
      </c>
      <c r="O132" s="26">
        <f>IF(OR(A132="",N132=""),"",IF(N132&lt;=H132,"Evet","HAYIR - RİSK"))</f>
        <v/>
      </c>
      <c r="P132" s="26">
        <f>IF(A132="","",IF(LEFT(J132,8)="Kural A ","Uygun - Hemen Ödenir (Yıl Sonu %75 Kontrolüne Tabi)",IF(OR(L132="Evet",M132="Evet"),IF(O132="Evet","Uygun","RİSK - Hakediş Süresi Aşıldı"),"Bekleniyor - Nakliye/Montaj Tamamlanmadı")))</f>
        <v/>
      </c>
      <c r="Q132" s="28">
        <f>IF(A132="","",SUMIFS('Hakedis Fatura Detay'!$G$3:$G$1200,'Hakedis Fatura Detay'!$H$3:$H$1200,'DIVA Satislari'!AJ132,'Hakedis Fatura Detay'!$F$3:$F$1200,"Fiyat Farkı")+SUMIFS('Hakedis Fatura Detay'!$G$3:$G$1200,'Hakedis Fatura Detay'!$H$3:$H$1200,'DIVA Satislari'!AJ132,'Hakedis Fatura Detay'!$F$3:$F$1200,"Bundle"))</f>
        <v/>
      </c>
      <c r="R132" s="28">
        <f>IF(A132="","",I132-Q132)</f>
        <v/>
      </c>
      <c r="S132" s="26">
        <f>IF(A132="","",IF(LEFT(P132,7)="Bekleni","N/A - Henüz Ödenmemeli",IF(LEFT(P132,4)="RİSK","İNCELEME GEREKLİ - Süre Aşımı",IF(R132=0,"Doğru",IF(R132&gt;0,"EKSİK ÖDENMİŞ","FAZLA ÖDENMİŞ")))))</f>
        <v/>
      </c>
      <c r="T132" s="30">
        <f>IF(A132="","",IF(F132&lt;&gt;"Evet","İNCELEME GEREKLİ - Kampanya Tanımsız",IF(G132&lt;&gt;"Evet","İNCELEME GEREKLİ - Tarih Dışı Satış",IF(LEFT(P132,4)="RİSK","İNCELEME GEREKLİ - Hakediş Süresi Aşıldı",IF(OR(S132="EKSİK ÖDENMİŞ",S132="FAZLA ÖDENMİŞ"),"İNCELEME GEREKLİ - Tutar Uyuşmazlığı",IF(LEFT(P132,7)="Bekleni","Bekleniyor","Uygun"))))))</f>
        <v/>
      </c>
    </row>
    <row r="133">
      <c r="A133" s="26">
        <f>IF('DIVA Satislari'!I133="","",'DIVA Satislari'!I133)</f>
        <v/>
      </c>
      <c r="B133" s="26">
        <f>IF('DIVA Satislari'!I133="","",'DIVA Satislari'!R133)</f>
        <v/>
      </c>
      <c r="C133" s="26">
        <f>IF('DIVA Satislari'!I133="","",'DIVA Satislari'!M133)</f>
        <v/>
      </c>
      <c r="D133" s="27">
        <f>IF('DIVA Satislari'!I133="","",'DIVA Satislari'!H133)</f>
        <v/>
      </c>
      <c r="E133" s="26">
        <f>IF('DIVA Satislari'!I133="","",'DIVA Satislari'!O133)</f>
        <v/>
      </c>
      <c r="F133" s="26">
        <f>IF('DIVA Satislari'!I133="","",'DIVA Satislari'!AK133)</f>
        <v/>
      </c>
      <c r="G133" s="26">
        <f>IF('DIVA Satislari'!I133="","",'DIVA Satislari'!AO133)</f>
        <v/>
      </c>
      <c r="H133" s="27">
        <f>IF('DIVA Satislari'!I133="","",'DIVA Satislari'!AN133)</f>
        <v/>
      </c>
      <c r="I133" s="28">
        <f>IF('DIVA Satislari'!I133="","",'DIVA Satislari'!AQ133)</f>
        <v/>
      </c>
      <c r="J133" s="26">
        <f>IF('DIVA Satislari'!I133="","",'DIVA Satislari'!AR133)</f>
        <v/>
      </c>
      <c r="K133" s="26">
        <f>IF('DIVA Satislari'!I133="","",IFERROR(INDEX('E2E Nakliye Montaj'!$AS$3:$AS$1002,MATCH('DIVA Satislari'!AJ133,'E2E Nakliye Montaj'!$AM$3:$AM$1002,0)),"Eşleşme Yok"))</f>
        <v/>
      </c>
      <c r="L133" s="26">
        <f>IF('DIVA Satislari'!I133="","",IFERROR(INDEX('E2E Nakliye Montaj'!$AT$3:$AT$1002,MATCH('DIVA Satislari'!AJ133,'E2E Nakliye Montaj'!$AM$3:$AM$1002,0)),"Hayır"))</f>
        <v/>
      </c>
      <c r="M133" s="26">
        <f>IF('DIVA Satislari'!I133="","",IFERROR(INDEX('E2E Nakliye Montaj'!$AU$3:$AU$1002,MATCH('DIVA Satislari'!AJ133,'E2E Nakliye Montaj'!$AM$3:$AM$1002,0)),"Hayır"))</f>
        <v/>
      </c>
      <c r="N133" s="27">
        <f>IF('DIVA Satislari'!I133="","",IFERROR(INDEX('E2E Nakliye Montaj'!$AV$3:$AV$1002,MATCH('DIVA Satislari'!AJ133,'E2E Nakliye Montaj'!$AM$3:$AM$1002,0)),""))</f>
        <v/>
      </c>
      <c r="O133" s="26">
        <f>IF(OR(A133="",N133=""),"",IF(N133&lt;=H133,"Evet","HAYIR - RİSK"))</f>
        <v/>
      </c>
      <c r="P133" s="26">
        <f>IF(A133="","",IF(LEFT(J133,8)="Kural A ","Uygun - Hemen Ödenir (Yıl Sonu %75 Kontrolüne Tabi)",IF(OR(L133="Evet",M133="Evet"),IF(O133="Evet","Uygun","RİSK - Hakediş Süresi Aşıldı"),"Bekleniyor - Nakliye/Montaj Tamamlanmadı")))</f>
        <v/>
      </c>
      <c r="Q133" s="28">
        <f>IF(A133="","",SUMIFS('Hakedis Fatura Detay'!$G$3:$G$1200,'Hakedis Fatura Detay'!$H$3:$H$1200,'DIVA Satislari'!AJ133,'Hakedis Fatura Detay'!$F$3:$F$1200,"Fiyat Farkı")+SUMIFS('Hakedis Fatura Detay'!$G$3:$G$1200,'Hakedis Fatura Detay'!$H$3:$H$1200,'DIVA Satislari'!AJ133,'Hakedis Fatura Detay'!$F$3:$F$1200,"Bundle"))</f>
        <v/>
      </c>
      <c r="R133" s="28">
        <f>IF(A133="","",I133-Q133)</f>
        <v/>
      </c>
      <c r="S133" s="26">
        <f>IF(A133="","",IF(LEFT(P133,7)="Bekleni","N/A - Henüz Ödenmemeli",IF(LEFT(P133,4)="RİSK","İNCELEME GEREKLİ - Süre Aşımı",IF(R133=0,"Doğru",IF(R133&gt;0,"EKSİK ÖDENMİŞ","FAZLA ÖDENMİŞ")))))</f>
        <v/>
      </c>
      <c r="T133" s="30">
        <f>IF(A133="","",IF(F133&lt;&gt;"Evet","İNCELEME GEREKLİ - Kampanya Tanımsız",IF(G133&lt;&gt;"Evet","İNCELEME GEREKLİ - Tarih Dışı Satış",IF(LEFT(P133,4)="RİSK","İNCELEME GEREKLİ - Hakediş Süresi Aşıldı",IF(OR(S133="EKSİK ÖDENMİŞ",S133="FAZLA ÖDENMİŞ"),"İNCELEME GEREKLİ - Tutar Uyuşmazlığı",IF(LEFT(P133,7)="Bekleni","Bekleniyor","Uygun"))))))</f>
        <v/>
      </c>
    </row>
    <row r="134">
      <c r="A134" s="26">
        <f>IF('DIVA Satislari'!I134="","",'DIVA Satislari'!I134)</f>
        <v/>
      </c>
      <c r="B134" s="26">
        <f>IF('DIVA Satislari'!I134="","",'DIVA Satislari'!R134)</f>
        <v/>
      </c>
      <c r="C134" s="26">
        <f>IF('DIVA Satislari'!I134="","",'DIVA Satislari'!M134)</f>
        <v/>
      </c>
      <c r="D134" s="27">
        <f>IF('DIVA Satislari'!I134="","",'DIVA Satislari'!H134)</f>
        <v/>
      </c>
      <c r="E134" s="26">
        <f>IF('DIVA Satislari'!I134="","",'DIVA Satislari'!O134)</f>
        <v/>
      </c>
      <c r="F134" s="26">
        <f>IF('DIVA Satislari'!I134="","",'DIVA Satislari'!AK134)</f>
        <v/>
      </c>
      <c r="G134" s="26">
        <f>IF('DIVA Satislari'!I134="","",'DIVA Satislari'!AO134)</f>
        <v/>
      </c>
      <c r="H134" s="27">
        <f>IF('DIVA Satislari'!I134="","",'DIVA Satislari'!AN134)</f>
        <v/>
      </c>
      <c r="I134" s="28">
        <f>IF('DIVA Satislari'!I134="","",'DIVA Satislari'!AQ134)</f>
        <v/>
      </c>
      <c r="J134" s="26">
        <f>IF('DIVA Satislari'!I134="","",'DIVA Satislari'!AR134)</f>
        <v/>
      </c>
      <c r="K134" s="26">
        <f>IF('DIVA Satislari'!I134="","",IFERROR(INDEX('E2E Nakliye Montaj'!$AS$3:$AS$1002,MATCH('DIVA Satislari'!AJ134,'E2E Nakliye Montaj'!$AM$3:$AM$1002,0)),"Eşleşme Yok"))</f>
        <v/>
      </c>
      <c r="L134" s="26">
        <f>IF('DIVA Satislari'!I134="","",IFERROR(INDEX('E2E Nakliye Montaj'!$AT$3:$AT$1002,MATCH('DIVA Satislari'!AJ134,'E2E Nakliye Montaj'!$AM$3:$AM$1002,0)),"Hayır"))</f>
        <v/>
      </c>
      <c r="M134" s="26">
        <f>IF('DIVA Satislari'!I134="","",IFERROR(INDEX('E2E Nakliye Montaj'!$AU$3:$AU$1002,MATCH('DIVA Satislari'!AJ134,'E2E Nakliye Montaj'!$AM$3:$AM$1002,0)),"Hayır"))</f>
        <v/>
      </c>
      <c r="N134" s="27">
        <f>IF('DIVA Satislari'!I134="","",IFERROR(INDEX('E2E Nakliye Montaj'!$AV$3:$AV$1002,MATCH('DIVA Satislari'!AJ134,'E2E Nakliye Montaj'!$AM$3:$AM$1002,0)),""))</f>
        <v/>
      </c>
      <c r="O134" s="26">
        <f>IF(OR(A134="",N134=""),"",IF(N134&lt;=H134,"Evet","HAYIR - RİSK"))</f>
        <v/>
      </c>
      <c r="P134" s="26">
        <f>IF(A134="","",IF(LEFT(J134,8)="Kural A ","Uygun - Hemen Ödenir (Yıl Sonu %75 Kontrolüne Tabi)",IF(OR(L134="Evet",M134="Evet"),IF(O134="Evet","Uygun","RİSK - Hakediş Süresi Aşıldı"),"Bekleniyor - Nakliye/Montaj Tamamlanmadı")))</f>
        <v/>
      </c>
      <c r="Q134" s="28">
        <f>IF(A134="","",SUMIFS('Hakedis Fatura Detay'!$G$3:$G$1200,'Hakedis Fatura Detay'!$H$3:$H$1200,'DIVA Satislari'!AJ134,'Hakedis Fatura Detay'!$F$3:$F$1200,"Fiyat Farkı")+SUMIFS('Hakedis Fatura Detay'!$G$3:$G$1200,'Hakedis Fatura Detay'!$H$3:$H$1200,'DIVA Satislari'!AJ134,'Hakedis Fatura Detay'!$F$3:$F$1200,"Bundle"))</f>
        <v/>
      </c>
      <c r="R134" s="28">
        <f>IF(A134="","",I134-Q134)</f>
        <v/>
      </c>
      <c r="S134" s="26">
        <f>IF(A134="","",IF(LEFT(P134,7)="Bekleni","N/A - Henüz Ödenmemeli",IF(LEFT(P134,4)="RİSK","İNCELEME GEREKLİ - Süre Aşımı",IF(R134=0,"Doğru",IF(R134&gt;0,"EKSİK ÖDENMİŞ","FAZLA ÖDENMİŞ")))))</f>
        <v/>
      </c>
      <c r="T134" s="30">
        <f>IF(A134="","",IF(F134&lt;&gt;"Evet","İNCELEME GEREKLİ - Kampanya Tanımsız",IF(G134&lt;&gt;"Evet","İNCELEME GEREKLİ - Tarih Dışı Satış",IF(LEFT(P134,4)="RİSK","İNCELEME GEREKLİ - Hakediş Süresi Aşıldı",IF(OR(S134="EKSİK ÖDENMİŞ",S134="FAZLA ÖDENMİŞ"),"İNCELEME GEREKLİ - Tutar Uyuşmazlığı",IF(LEFT(P134,7)="Bekleni","Bekleniyor","Uygun"))))))</f>
        <v/>
      </c>
    </row>
    <row r="135">
      <c r="A135" s="26">
        <f>IF('DIVA Satislari'!I135="","",'DIVA Satislari'!I135)</f>
        <v/>
      </c>
      <c r="B135" s="26">
        <f>IF('DIVA Satislari'!I135="","",'DIVA Satislari'!R135)</f>
        <v/>
      </c>
      <c r="C135" s="26">
        <f>IF('DIVA Satislari'!I135="","",'DIVA Satislari'!M135)</f>
        <v/>
      </c>
      <c r="D135" s="27">
        <f>IF('DIVA Satislari'!I135="","",'DIVA Satislari'!H135)</f>
        <v/>
      </c>
      <c r="E135" s="26">
        <f>IF('DIVA Satislari'!I135="","",'DIVA Satislari'!O135)</f>
        <v/>
      </c>
      <c r="F135" s="26">
        <f>IF('DIVA Satislari'!I135="","",'DIVA Satislari'!AK135)</f>
        <v/>
      </c>
      <c r="G135" s="26">
        <f>IF('DIVA Satislari'!I135="","",'DIVA Satislari'!AO135)</f>
        <v/>
      </c>
      <c r="H135" s="27">
        <f>IF('DIVA Satislari'!I135="","",'DIVA Satislari'!AN135)</f>
        <v/>
      </c>
      <c r="I135" s="28">
        <f>IF('DIVA Satislari'!I135="","",'DIVA Satislari'!AQ135)</f>
        <v/>
      </c>
      <c r="J135" s="26">
        <f>IF('DIVA Satislari'!I135="","",'DIVA Satislari'!AR135)</f>
        <v/>
      </c>
      <c r="K135" s="26">
        <f>IF('DIVA Satislari'!I135="","",IFERROR(INDEX('E2E Nakliye Montaj'!$AS$3:$AS$1002,MATCH('DIVA Satislari'!AJ135,'E2E Nakliye Montaj'!$AM$3:$AM$1002,0)),"Eşleşme Yok"))</f>
        <v/>
      </c>
      <c r="L135" s="26">
        <f>IF('DIVA Satislari'!I135="","",IFERROR(INDEX('E2E Nakliye Montaj'!$AT$3:$AT$1002,MATCH('DIVA Satislari'!AJ135,'E2E Nakliye Montaj'!$AM$3:$AM$1002,0)),"Hayır"))</f>
        <v/>
      </c>
      <c r="M135" s="26">
        <f>IF('DIVA Satislari'!I135="","",IFERROR(INDEX('E2E Nakliye Montaj'!$AU$3:$AU$1002,MATCH('DIVA Satislari'!AJ135,'E2E Nakliye Montaj'!$AM$3:$AM$1002,0)),"Hayır"))</f>
        <v/>
      </c>
      <c r="N135" s="27">
        <f>IF('DIVA Satislari'!I135="","",IFERROR(INDEX('E2E Nakliye Montaj'!$AV$3:$AV$1002,MATCH('DIVA Satislari'!AJ135,'E2E Nakliye Montaj'!$AM$3:$AM$1002,0)),""))</f>
        <v/>
      </c>
      <c r="O135" s="26">
        <f>IF(OR(A135="",N135=""),"",IF(N135&lt;=H135,"Evet","HAYIR - RİSK"))</f>
        <v/>
      </c>
      <c r="P135" s="26">
        <f>IF(A135="","",IF(LEFT(J135,8)="Kural A ","Uygun - Hemen Ödenir (Yıl Sonu %75 Kontrolüne Tabi)",IF(OR(L135="Evet",M135="Evet"),IF(O135="Evet","Uygun","RİSK - Hakediş Süresi Aşıldı"),"Bekleniyor - Nakliye/Montaj Tamamlanmadı")))</f>
        <v/>
      </c>
      <c r="Q135" s="28">
        <f>IF(A135="","",SUMIFS('Hakedis Fatura Detay'!$G$3:$G$1200,'Hakedis Fatura Detay'!$H$3:$H$1200,'DIVA Satislari'!AJ135,'Hakedis Fatura Detay'!$F$3:$F$1200,"Fiyat Farkı")+SUMIFS('Hakedis Fatura Detay'!$G$3:$G$1200,'Hakedis Fatura Detay'!$H$3:$H$1200,'DIVA Satislari'!AJ135,'Hakedis Fatura Detay'!$F$3:$F$1200,"Bundle"))</f>
        <v/>
      </c>
      <c r="R135" s="28">
        <f>IF(A135="","",I135-Q135)</f>
        <v/>
      </c>
      <c r="S135" s="26">
        <f>IF(A135="","",IF(LEFT(P135,7)="Bekleni","N/A - Henüz Ödenmemeli",IF(LEFT(P135,4)="RİSK","İNCELEME GEREKLİ - Süre Aşımı",IF(R135=0,"Doğru",IF(R135&gt;0,"EKSİK ÖDENMİŞ","FAZLA ÖDENMİŞ")))))</f>
        <v/>
      </c>
      <c r="T135" s="30">
        <f>IF(A135="","",IF(F135&lt;&gt;"Evet","İNCELEME GEREKLİ - Kampanya Tanımsız",IF(G135&lt;&gt;"Evet","İNCELEME GEREKLİ - Tarih Dışı Satış",IF(LEFT(P135,4)="RİSK","İNCELEME GEREKLİ - Hakediş Süresi Aşıldı",IF(OR(S135="EKSİK ÖDENMİŞ",S135="FAZLA ÖDENMİŞ"),"İNCELEME GEREKLİ - Tutar Uyuşmazlığı",IF(LEFT(P135,7)="Bekleni","Bekleniyor","Uygun"))))))</f>
        <v/>
      </c>
    </row>
    <row r="136">
      <c r="A136" s="26">
        <f>IF('DIVA Satislari'!I136="","",'DIVA Satislari'!I136)</f>
        <v/>
      </c>
      <c r="B136" s="26">
        <f>IF('DIVA Satislari'!I136="","",'DIVA Satislari'!R136)</f>
        <v/>
      </c>
      <c r="C136" s="26">
        <f>IF('DIVA Satislari'!I136="","",'DIVA Satislari'!M136)</f>
        <v/>
      </c>
      <c r="D136" s="27">
        <f>IF('DIVA Satislari'!I136="","",'DIVA Satislari'!H136)</f>
        <v/>
      </c>
      <c r="E136" s="26">
        <f>IF('DIVA Satislari'!I136="","",'DIVA Satislari'!O136)</f>
        <v/>
      </c>
      <c r="F136" s="26">
        <f>IF('DIVA Satislari'!I136="","",'DIVA Satislari'!AK136)</f>
        <v/>
      </c>
      <c r="G136" s="26">
        <f>IF('DIVA Satislari'!I136="","",'DIVA Satislari'!AO136)</f>
        <v/>
      </c>
      <c r="H136" s="27">
        <f>IF('DIVA Satislari'!I136="","",'DIVA Satislari'!AN136)</f>
        <v/>
      </c>
      <c r="I136" s="28">
        <f>IF('DIVA Satislari'!I136="","",'DIVA Satislari'!AQ136)</f>
        <v/>
      </c>
      <c r="J136" s="26">
        <f>IF('DIVA Satislari'!I136="","",'DIVA Satislari'!AR136)</f>
        <v/>
      </c>
      <c r="K136" s="26">
        <f>IF('DIVA Satislari'!I136="","",IFERROR(INDEX('E2E Nakliye Montaj'!$AS$3:$AS$1002,MATCH('DIVA Satislari'!AJ136,'E2E Nakliye Montaj'!$AM$3:$AM$1002,0)),"Eşleşme Yok"))</f>
        <v/>
      </c>
      <c r="L136" s="26">
        <f>IF('DIVA Satislari'!I136="","",IFERROR(INDEX('E2E Nakliye Montaj'!$AT$3:$AT$1002,MATCH('DIVA Satislari'!AJ136,'E2E Nakliye Montaj'!$AM$3:$AM$1002,0)),"Hayır"))</f>
        <v/>
      </c>
      <c r="M136" s="26">
        <f>IF('DIVA Satislari'!I136="","",IFERROR(INDEX('E2E Nakliye Montaj'!$AU$3:$AU$1002,MATCH('DIVA Satislari'!AJ136,'E2E Nakliye Montaj'!$AM$3:$AM$1002,0)),"Hayır"))</f>
        <v/>
      </c>
      <c r="N136" s="27">
        <f>IF('DIVA Satislari'!I136="","",IFERROR(INDEX('E2E Nakliye Montaj'!$AV$3:$AV$1002,MATCH('DIVA Satislari'!AJ136,'E2E Nakliye Montaj'!$AM$3:$AM$1002,0)),""))</f>
        <v/>
      </c>
      <c r="O136" s="26">
        <f>IF(OR(A136="",N136=""),"",IF(N136&lt;=H136,"Evet","HAYIR - RİSK"))</f>
        <v/>
      </c>
      <c r="P136" s="26">
        <f>IF(A136="","",IF(LEFT(J136,8)="Kural A ","Uygun - Hemen Ödenir (Yıl Sonu %75 Kontrolüne Tabi)",IF(OR(L136="Evet",M136="Evet"),IF(O136="Evet","Uygun","RİSK - Hakediş Süresi Aşıldı"),"Bekleniyor - Nakliye/Montaj Tamamlanmadı")))</f>
        <v/>
      </c>
      <c r="Q136" s="28">
        <f>IF(A136="","",SUMIFS('Hakedis Fatura Detay'!$G$3:$G$1200,'Hakedis Fatura Detay'!$H$3:$H$1200,'DIVA Satislari'!AJ136,'Hakedis Fatura Detay'!$F$3:$F$1200,"Fiyat Farkı")+SUMIFS('Hakedis Fatura Detay'!$G$3:$G$1200,'Hakedis Fatura Detay'!$H$3:$H$1200,'DIVA Satislari'!AJ136,'Hakedis Fatura Detay'!$F$3:$F$1200,"Bundle"))</f>
        <v/>
      </c>
      <c r="R136" s="28">
        <f>IF(A136="","",I136-Q136)</f>
        <v/>
      </c>
      <c r="S136" s="26">
        <f>IF(A136="","",IF(LEFT(P136,7)="Bekleni","N/A - Henüz Ödenmemeli",IF(LEFT(P136,4)="RİSK","İNCELEME GEREKLİ - Süre Aşımı",IF(R136=0,"Doğru",IF(R136&gt;0,"EKSİK ÖDENMİŞ","FAZLA ÖDENMİŞ")))))</f>
        <v/>
      </c>
      <c r="T136" s="30">
        <f>IF(A136="","",IF(F136&lt;&gt;"Evet","İNCELEME GEREKLİ - Kampanya Tanımsız",IF(G136&lt;&gt;"Evet","İNCELEME GEREKLİ - Tarih Dışı Satış",IF(LEFT(P136,4)="RİSK","İNCELEME GEREKLİ - Hakediş Süresi Aşıldı",IF(OR(S136="EKSİK ÖDENMİŞ",S136="FAZLA ÖDENMİŞ"),"İNCELEME GEREKLİ - Tutar Uyuşmazlığı",IF(LEFT(P136,7)="Bekleni","Bekleniyor","Uygun"))))))</f>
        <v/>
      </c>
    </row>
    <row r="137">
      <c r="A137" s="26">
        <f>IF('DIVA Satislari'!I137="","",'DIVA Satislari'!I137)</f>
        <v/>
      </c>
      <c r="B137" s="26">
        <f>IF('DIVA Satislari'!I137="","",'DIVA Satislari'!R137)</f>
        <v/>
      </c>
      <c r="C137" s="26">
        <f>IF('DIVA Satislari'!I137="","",'DIVA Satislari'!M137)</f>
        <v/>
      </c>
      <c r="D137" s="27">
        <f>IF('DIVA Satislari'!I137="","",'DIVA Satislari'!H137)</f>
        <v/>
      </c>
      <c r="E137" s="26">
        <f>IF('DIVA Satislari'!I137="","",'DIVA Satislari'!O137)</f>
        <v/>
      </c>
      <c r="F137" s="26">
        <f>IF('DIVA Satislari'!I137="","",'DIVA Satislari'!AK137)</f>
        <v/>
      </c>
      <c r="G137" s="26">
        <f>IF('DIVA Satislari'!I137="","",'DIVA Satislari'!AO137)</f>
        <v/>
      </c>
      <c r="H137" s="27">
        <f>IF('DIVA Satislari'!I137="","",'DIVA Satislari'!AN137)</f>
        <v/>
      </c>
      <c r="I137" s="28">
        <f>IF('DIVA Satislari'!I137="","",'DIVA Satislari'!AQ137)</f>
        <v/>
      </c>
      <c r="J137" s="26">
        <f>IF('DIVA Satislari'!I137="","",'DIVA Satislari'!AR137)</f>
        <v/>
      </c>
      <c r="K137" s="26">
        <f>IF('DIVA Satislari'!I137="","",IFERROR(INDEX('E2E Nakliye Montaj'!$AS$3:$AS$1002,MATCH('DIVA Satislari'!AJ137,'E2E Nakliye Montaj'!$AM$3:$AM$1002,0)),"Eşleşme Yok"))</f>
        <v/>
      </c>
      <c r="L137" s="26">
        <f>IF('DIVA Satislari'!I137="","",IFERROR(INDEX('E2E Nakliye Montaj'!$AT$3:$AT$1002,MATCH('DIVA Satislari'!AJ137,'E2E Nakliye Montaj'!$AM$3:$AM$1002,0)),"Hayır"))</f>
        <v/>
      </c>
      <c r="M137" s="26">
        <f>IF('DIVA Satislari'!I137="","",IFERROR(INDEX('E2E Nakliye Montaj'!$AU$3:$AU$1002,MATCH('DIVA Satislari'!AJ137,'E2E Nakliye Montaj'!$AM$3:$AM$1002,0)),"Hayır"))</f>
        <v/>
      </c>
      <c r="N137" s="27">
        <f>IF('DIVA Satislari'!I137="","",IFERROR(INDEX('E2E Nakliye Montaj'!$AV$3:$AV$1002,MATCH('DIVA Satislari'!AJ137,'E2E Nakliye Montaj'!$AM$3:$AM$1002,0)),""))</f>
        <v/>
      </c>
      <c r="O137" s="26">
        <f>IF(OR(A137="",N137=""),"",IF(N137&lt;=H137,"Evet","HAYIR - RİSK"))</f>
        <v/>
      </c>
      <c r="P137" s="26">
        <f>IF(A137="","",IF(LEFT(J137,8)="Kural A ","Uygun - Hemen Ödenir (Yıl Sonu %75 Kontrolüne Tabi)",IF(OR(L137="Evet",M137="Evet"),IF(O137="Evet","Uygun","RİSK - Hakediş Süresi Aşıldı"),"Bekleniyor - Nakliye/Montaj Tamamlanmadı")))</f>
        <v/>
      </c>
      <c r="Q137" s="28">
        <f>IF(A137="","",SUMIFS('Hakedis Fatura Detay'!$G$3:$G$1200,'Hakedis Fatura Detay'!$H$3:$H$1200,'DIVA Satislari'!AJ137,'Hakedis Fatura Detay'!$F$3:$F$1200,"Fiyat Farkı")+SUMIFS('Hakedis Fatura Detay'!$G$3:$G$1200,'Hakedis Fatura Detay'!$H$3:$H$1200,'DIVA Satislari'!AJ137,'Hakedis Fatura Detay'!$F$3:$F$1200,"Bundle"))</f>
        <v/>
      </c>
      <c r="R137" s="28">
        <f>IF(A137="","",I137-Q137)</f>
        <v/>
      </c>
      <c r="S137" s="26">
        <f>IF(A137="","",IF(LEFT(P137,7)="Bekleni","N/A - Henüz Ödenmemeli",IF(LEFT(P137,4)="RİSK","İNCELEME GEREKLİ - Süre Aşımı",IF(R137=0,"Doğru",IF(R137&gt;0,"EKSİK ÖDENMİŞ","FAZLA ÖDENMİŞ")))))</f>
        <v/>
      </c>
      <c r="T137" s="30">
        <f>IF(A137="","",IF(F137&lt;&gt;"Evet","İNCELEME GEREKLİ - Kampanya Tanımsız",IF(G137&lt;&gt;"Evet","İNCELEME GEREKLİ - Tarih Dışı Satış",IF(LEFT(P137,4)="RİSK","İNCELEME GEREKLİ - Hakediş Süresi Aşıldı",IF(OR(S137="EKSİK ÖDENMİŞ",S137="FAZLA ÖDENMİŞ"),"İNCELEME GEREKLİ - Tutar Uyuşmazlığı",IF(LEFT(P137,7)="Bekleni","Bekleniyor","Uygun"))))))</f>
        <v/>
      </c>
    </row>
    <row r="138">
      <c r="A138" s="26">
        <f>IF('DIVA Satislari'!I138="","",'DIVA Satislari'!I138)</f>
        <v/>
      </c>
      <c r="B138" s="26">
        <f>IF('DIVA Satislari'!I138="","",'DIVA Satislari'!R138)</f>
        <v/>
      </c>
      <c r="C138" s="26">
        <f>IF('DIVA Satislari'!I138="","",'DIVA Satislari'!M138)</f>
        <v/>
      </c>
      <c r="D138" s="27">
        <f>IF('DIVA Satislari'!I138="","",'DIVA Satislari'!H138)</f>
        <v/>
      </c>
      <c r="E138" s="26">
        <f>IF('DIVA Satislari'!I138="","",'DIVA Satislari'!O138)</f>
        <v/>
      </c>
      <c r="F138" s="26">
        <f>IF('DIVA Satislari'!I138="","",'DIVA Satislari'!AK138)</f>
        <v/>
      </c>
      <c r="G138" s="26">
        <f>IF('DIVA Satislari'!I138="","",'DIVA Satislari'!AO138)</f>
        <v/>
      </c>
      <c r="H138" s="27">
        <f>IF('DIVA Satislari'!I138="","",'DIVA Satislari'!AN138)</f>
        <v/>
      </c>
      <c r="I138" s="28">
        <f>IF('DIVA Satislari'!I138="","",'DIVA Satislari'!AQ138)</f>
        <v/>
      </c>
      <c r="J138" s="26">
        <f>IF('DIVA Satislari'!I138="","",'DIVA Satislari'!AR138)</f>
        <v/>
      </c>
      <c r="K138" s="26">
        <f>IF('DIVA Satislari'!I138="","",IFERROR(INDEX('E2E Nakliye Montaj'!$AS$3:$AS$1002,MATCH('DIVA Satislari'!AJ138,'E2E Nakliye Montaj'!$AM$3:$AM$1002,0)),"Eşleşme Yok"))</f>
        <v/>
      </c>
      <c r="L138" s="26">
        <f>IF('DIVA Satislari'!I138="","",IFERROR(INDEX('E2E Nakliye Montaj'!$AT$3:$AT$1002,MATCH('DIVA Satislari'!AJ138,'E2E Nakliye Montaj'!$AM$3:$AM$1002,0)),"Hayır"))</f>
        <v/>
      </c>
      <c r="M138" s="26">
        <f>IF('DIVA Satislari'!I138="","",IFERROR(INDEX('E2E Nakliye Montaj'!$AU$3:$AU$1002,MATCH('DIVA Satislari'!AJ138,'E2E Nakliye Montaj'!$AM$3:$AM$1002,0)),"Hayır"))</f>
        <v/>
      </c>
      <c r="N138" s="27">
        <f>IF('DIVA Satislari'!I138="","",IFERROR(INDEX('E2E Nakliye Montaj'!$AV$3:$AV$1002,MATCH('DIVA Satislari'!AJ138,'E2E Nakliye Montaj'!$AM$3:$AM$1002,0)),""))</f>
        <v/>
      </c>
      <c r="O138" s="26">
        <f>IF(OR(A138="",N138=""),"",IF(N138&lt;=H138,"Evet","HAYIR - RİSK"))</f>
        <v/>
      </c>
      <c r="P138" s="26">
        <f>IF(A138="","",IF(LEFT(J138,8)="Kural A ","Uygun - Hemen Ödenir (Yıl Sonu %75 Kontrolüne Tabi)",IF(OR(L138="Evet",M138="Evet"),IF(O138="Evet","Uygun","RİSK - Hakediş Süresi Aşıldı"),"Bekleniyor - Nakliye/Montaj Tamamlanmadı")))</f>
        <v/>
      </c>
      <c r="Q138" s="28">
        <f>IF(A138="","",SUMIFS('Hakedis Fatura Detay'!$G$3:$G$1200,'Hakedis Fatura Detay'!$H$3:$H$1200,'DIVA Satislari'!AJ138,'Hakedis Fatura Detay'!$F$3:$F$1200,"Fiyat Farkı")+SUMIFS('Hakedis Fatura Detay'!$G$3:$G$1200,'Hakedis Fatura Detay'!$H$3:$H$1200,'DIVA Satislari'!AJ138,'Hakedis Fatura Detay'!$F$3:$F$1200,"Bundle"))</f>
        <v/>
      </c>
      <c r="R138" s="28">
        <f>IF(A138="","",I138-Q138)</f>
        <v/>
      </c>
      <c r="S138" s="26">
        <f>IF(A138="","",IF(LEFT(P138,7)="Bekleni","N/A - Henüz Ödenmemeli",IF(LEFT(P138,4)="RİSK","İNCELEME GEREKLİ - Süre Aşımı",IF(R138=0,"Doğru",IF(R138&gt;0,"EKSİK ÖDENMİŞ","FAZLA ÖDENMİŞ")))))</f>
        <v/>
      </c>
      <c r="T138" s="30">
        <f>IF(A138="","",IF(F138&lt;&gt;"Evet","İNCELEME GEREKLİ - Kampanya Tanımsız",IF(G138&lt;&gt;"Evet","İNCELEME GEREKLİ - Tarih Dışı Satış",IF(LEFT(P138,4)="RİSK","İNCELEME GEREKLİ - Hakediş Süresi Aşıldı",IF(OR(S138="EKSİK ÖDENMİŞ",S138="FAZLA ÖDENMİŞ"),"İNCELEME GEREKLİ - Tutar Uyuşmazlığı",IF(LEFT(P138,7)="Bekleni","Bekleniyor","Uygun"))))))</f>
        <v/>
      </c>
    </row>
    <row r="139">
      <c r="A139" s="26">
        <f>IF('DIVA Satislari'!I139="","",'DIVA Satislari'!I139)</f>
        <v/>
      </c>
      <c r="B139" s="26">
        <f>IF('DIVA Satislari'!I139="","",'DIVA Satislari'!R139)</f>
        <v/>
      </c>
      <c r="C139" s="26">
        <f>IF('DIVA Satislari'!I139="","",'DIVA Satislari'!M139)</f>
        <v/>
      </c>
      <c r="D139" s="27">
        <f>IF('DIVA Satislari'!I139="","",'DIVA Satislari'!H139)</f>
        <v/>
      </c>
      <c r="E139" s="26">
        <f>IF('DIVA Satislari'!I139="","",'DIVA Satislari'!O139)</f>
        <v/>
      </c>
      <c r="F139" s="26">
        <f>IF('DIVA Satislari'!I139="","",'DIVA Satislari'!AK139)</f>
        <v/>
      </c>
      <c r="G139" s="26">
        <f>IF('DIVA Satislari'!I139="","",'DIVA Satislari'!AO139)</f>
        <v/>
      </c>
      <c r="H139" s="27">
        <f>IF('DIVA Satislari'!I139="","",'DIVA Satislari'!AN139)</f>
        <v/>
      </c>
      <c r="I139" s="28">
        <f>IF('DIVA Satislari'!I139="","",'DIVA Satislari'!AQ139)</f>
        <v/>
      </c>
      <c r="J139" s="26">
        <f>IF('DIVA Satislari'!I139="","",'DIVA Satislari'!AR139)</f>
        <v/>
      </c>
      <c r="K139" s="26">
        <f>IF('DIVA Satislari'!I139="","",IFERROR(INDEX('E2E Nakliye Montaj'!$AS$3:$AS$1002,MATCH('DIVA Satislari'!AJ139,'E2E Nakliye Montaj'!$AM$3:$AM$1002,0)),"Eşleşme Yok"))</f>
        <v/>
      </c>
      <c r="L139" s="26">
        <f>IF('DIVA Satislari'!I139="","",IFERROR(INDEX('E2E Nakliye Montaj'!$AT$3:$AT$1002,MATCH('DIVA Satislari'!AJ139,'E2E Nakliye Montaj'!$AM$3:$AM$1002,0)),"Hayır"))</f>
        <v/>
      </c>
      <c r="M139" s="26">
        <f>IF('DIVA Satislari'!I139="","",IFERROR(INDEX('E2E Nakliye Montaj'!$AU$3:$AU$1002,MATCH('DIVA Satislari'!AJ139,'E2E Nakliye Montaj'!$AM$3:$AM$1002,0)),"Hayır"))</f>
        <v/>
      </c>
      <c r="N139" s="27">
        <f>IF('DIVA Satislari'!I139="","",IFERROR(INDEX('E2E Nakliye Montaj'!$AV$3:$AV$1002,MATCH('DIVA Satislari'!AJ139,'E2E Nakliye Montaj'!$AM$3:$AM$1002,0)),""))</f>
        <v/>
      </c>
      <c r="O139" s="26">
        <f>IF(OR(A139="",N139=""),"",IF(N139&lt;=H139,"Evet","HAYIR - RİSK"))</f>
        <v/>
      </c>
      <c r="P139" s="26">
        <f>IF(A139="","",IF(LEFT(J139,8)="Kural A ","Uygun - Hemen Ödenir (Yıl Sonu %75 Kontrolüne Tabi)",IF(OR(L139="Evet",M139="Evet"),IF(O139="Evet","Uygun","RİSK - Hakediş Süresi Aşıldı"),"Bekleniyor - Nakliye/Montaj Tamamlanmadı")))</f>
        <v/>
      </c>
      <c r="Q139" s="28">
        <f>IF(A139="","",SUMIFS('Hakedis Fatura Detay'!$G$3:$G$1200,'Hakedis Fatura Detay'!$H$3:$H$1200,'DIVA Satislari'!AJ139,'Hakedis Fatura Detay'!$F$3:$F$1200,"Fiyat Farkı")+SUMIFS('Hakedis Fatura Detay'!$G$3:$G$1200,'Hakedis Fatura Detay'!$H$3:$H$1200,'DIVA Satislari'!AJ139,'Hakedis Fatura Detay'!$F$3:$F$1200,"Bundle"))</f>
        <v/>
      </c>
      <c r="R139" s="28">
        <f>IF(A139="","",I139-Q139)</f>
        <v/>
      </c>
      <c r="S139" s="26">
        <f>IF(A139="","",IF(LEFT(P139,7)="Bekleni","N/A - Henüz Ödenmemeli",IF(LEFT(P139,4)="RİSK","İNCELEME GEREKLİ - Süre Aşımı",IF(R139=0,"Doğru",IF(R139&gt;0,"EKSİK ÖDENMİŞ","FAZLA ÖDENMİŞ")))))</f>
        <v/>
      </c>
      <c r="T139" s="30">
        <f>IF(A139="","",IF(F139&lt;&gt;"Evet","İNCELEME GEREKLİ - Kampanya Tanımsız",IF(G139&lt;&gt;"Evet","İNCELEME GEREKLİ - Tarih Dışı Satış",IF(LEFT(P139,4)="RİSK","İNCELEME GEREKLİ - Hakediş Süresi Aşıldı",IF(OR(S139="EKSİK ÖDENMİŞ",S139="FAZLA ÖDENMİŞ"),"İNCELEME GEREKLİ - Tutar Uyuşmazlığı",IF(LEFT(P139,7)="Bekleni","Bekleniyor","Uygun"))))))</f>
        <v/>
      </c>
    </row>
    <row r="140">
      <c r="A140" s="26">
        <f>IF('DIVA Satislari'!I140="","",'DIVA Satislari'!I140)</f>
        <v/>
      </c>
      <c r="B140" s="26">
        <f>IF('DIVA Satislari'!I140="","",'DIVA Satislari'!R140)</f>
        <v/>
      </c>
      <c r="C140" s="26">
        <f>IF('DIVA Satislari'!I140="","",'DIVA Satislari'!M140)</f>
        <v/>
      </c>
      <c r="D140" s="27">
        <f>IF('DIVA Satislari'!I140="","",'DIVA Satislari'!H140)</f>
        <v/>
      </c>
      <c r="E140" s="26">
        <f>IF('DIVA Satislari'!I140="","",'DIVA Satislari'!O140)</f>
        <v/>
      </c>
      <c r="F140" s="26">
        <f>IF('DIVA Satislari'!I140="","",'DIVA Satislari'!AK140)</f>
        <v/>
      </c>
      <c r="G140" s="26">
        <f>IF('DIVA Satislari'!I140="","",'DIVA Satislari'!AO140)</f>
        <v/>
      </c>
      <c r="H140" s="27">
        <f>IF('DIVA Satislari'!I140="","",'DIVA Satislari'!AN140)</f>
        <v/>
      </c>
      <c r="I140" s="28">
        <f>IF('DIVA Satislari'!I140="","",'DIVA Satislari'!AQ140)</f>
        <v/>
      </c>
      <c r="J140" s="26">
        <f>IF('DIVA Satislari'!I140="","",'DIVA Satislari'!AR140)</f>
        <v/>
      </c>
      <c r="K140" s="26">
        <f>IF('DIVA Satislari'!I140="","",IFERROR(INDEX('E2E Nakliye Montaj'!$AS$3:$AS$1002,MATCH('DIVA Satislari'!AJ140,'E2E Nakliye Montaj'!$AM$3:$AM$1002,0)),"Eşleşme Yok"))</f>
        <v/>
      </c>
      <c r="L140" s="26">
        <f>IF('DIVA Satislari'!I140="","",IFERROR(INDEX('E2E Nakliye Montaj'!$AT$3:$AT$1002,MATCH('DIVA Satislari'!AJ140,'E2E Nakliye Montaj'!$AM$3:$AM$1002,0)),"Hayır"))</f>
        <v/>
      </c>
      <c r="M140" s="26">
        <f>IF('DIVA Satislari'!I140="","",IFERROR(INDEX('E2E Nakliye Montaj'!$AU$3:$AU$1002,MATCH('DIVA Satislari'!AJ140,'E2E Nakliye Montaj'!$AM$3:$AM$1002,0)),"Hayır"))</f>
        <v/>
      </c>
      <c r="N140" s="27">
        <f>IF('DIVA Satislari'!I140="","",IFERROR(INDEX('E2E Nakliye Montaj'!$AV$3:$AV$1002,MATCH('DIVA Satislari'!AJ140,'E2E Nakliye Montaj'!$AM$3:$AM$1002,0)),""))</f>
        <v/>
      </c>
      <c r="O140" s="26">
        <f>IF(OR(A140="",N140=""),"",IF(N140&lt;=H140,"Evet","HAYIR - RİSK"))</f>
        <v/>
      </c>
      <c r="P140" s="26">
        <f>IF(A140="","",IF(LEFT(J140,8)="Kural A ","Uygun - Hemen Ödenir (Yıl Sonu %75 Kontrolüne Tabi)",IF(OR(L140="Evet",M140="Evet"),IF(O140="Evet","Uygun","RİSK - Hakediş Süresi Aşıldı"),"Bekleniyor - Nakliye/Montaj Tamamlanmadı")))</f>
        <v/>
      </c>
      <c r="Q140" s="28">
        <f>IF(A140="","",SUMIFS('Hakedis Fatura Detay'!$G$3:$G$1200,'Hakedis Fatura Detay'!$H$3:$H$1200,'DIVA Satislari'!AJ140,'Hakedis Fatura Detay'!$F$3:$F$1200,"Fiyat Farkı")+SUMIFS('Hakedis Fatura Detay'!$G$3:$G$1200,'Hakedis Fatura Detay'!$H$3:$H$1200,'DIVA Satislari'!AJ140,'Hakedis Fatura Detay'!$F$3:$F$1200,"Bundle"))</f>
        <v/>
      </c>
      <c r="R140" s="28">
        <f>IF(A140="","",I140-Q140)</f>
        <v/>
      </c>
      <c r="S140" s="26">
        <f>IF(A140="","",IF(LEFT(P140,7)="Bekleni","N/A - Henüz Ödenmemeli",IF(LEFT(P140,4)="RİSK","İNCELEME GEREKLİ - Süre Aşımı",IF(R140=0,"Doğru",IF(R140&gt;0,"EKSİK ÖDENMİŞ","FAZLA ÖDENMİŞ")))))</f>
        <v/>
      </c>
      <c r="T140" s="30">
        <f>IF(A140="","",IF(F140&lt;&gt;"Evet","İNCELEME GEREKLİ - Kampanya Tanımsız",IF(G140&lt;&gt;"Evet","İNCELEME GEREKLİ - Tarih Dışı Satış",IF(LEFT(P140,4)="RİSK","İNCELEME GEREKLİ - Hakediş Süresi Aşıldı",IF(OR(S140="EKSİK ÖDENMİŞ",S140="FAZLA ÖDENMİŞ"),"İNCELEME GEREKLİ - Tutar Uyuşmazlığı",IF(LEFT(P140,7)="Bekleni","Bekleniyor","Uygun"))))))</f>
        <v/>
      </c>
    </row>
    <row r="141">
      <c r="A141" s="26">
        <f>IF('DIVA Satislari'!I141="","",'DIVA Satislari'!I141)</f>
        <v/>
      </c>
      <c r="B141" s="26">
        <f>IF('DIVA Satislari'!I141="","",'DIVA Satislari'!R141)</f>
        <v/>
      </c>
      <c r="C141" s="26">
        <f>IF('DIVA Satislari'!I141="","",'DIVA Satislari'!M141)</f>
        <v/>
      </c>
      <c r="D141" s="27">
        <f>IF('DIVA Satislari'!I141="","",'DIVA Satislari'!H141)</f>
        <v/>
      </c>
      <c r="E141" s="26">
        <f>IF('DIVA Satislari'!I141="","",'DIVA Satislari'!O141)</f>
        <v/>
      </c>
      <c r="F141" s="26">
        <f>IF('DIVA Satislari'!I141="","",'DIVA Satislari'!AK141)</f>
        <v/>
      </c>
      <c r="G141" s="26">
        <f>IF('DIVA Satislari'!I141="","",'DIVA Satislari'!AO141)</f>
        <v/>
      </c>
      <c r="H141" s="27">
        <f>IF('DIVA Satislari'!I141="","",'DIVA Satislari'!AN141)</f>
        <v/>
      </c>
      <c r="I141" s="28">
        <f>IF('DIVA Satislari'!I141="","",'DIVA Satislari'!AQ141)</f>
        <v/>
      </c>
      <c r="J141" s="26">
        <f>IF('DIVA Satislari'!I141="","",'DIVA Satislari'!AR141)</f>
        <v/>
      </c>
      <c r="K141" s="26">
        <f>IF('DIVA Satislari'!I141="","",IFERROR(INDEX('E2E Nakliye Montaj'!$AS$3:$AS$1002,MATCH('DIVA Satislari'!AJ141,'E2E Nakliye Montaj'!$AM$3:$AM$1002,0)),"Eşleşme Yok"))</f>
        <v/>
      </c>
      <c r="L141" s="26">
        <f>IF('DIVA Satislari'!I141="","",IFERROR(INDEX('E2E Nakliye Montaj'!$AT$3:$AT$1002,MATCH('DIVA Satislari'!AJ141,'E2E Nakliye Montaj'!$AM$3:$AM$1002,0)),"Hayır"))</f>
        <v/>
      </c>
      <c r="M141" s="26">
        <f>IF('DIVA Satislari'!I141="","",IFERROR(INDEX('E2E Nakliye Montaj'!$AU$3:$AU$1002,MATCH('DIVA Satislari'!AJ141,'E2E Nakliye Montaj'!$AM$3:$AM$1002,0)),"Hayır"))</f>
        <v/>
      </c>
      <c r="N141" s="27">
        <f>IF('DIVA Satislari'!I141="","",IFERROR(INDEX('E2E Nakliye Montaj'!$AV$3:$AV$1002,MATCH('DIVA Satislari'!AJ141,'E2E Nakliye Montaj'!$AM$3:$AM$1002,0)),""))</f>
        <v/>
      </c>
      <c r="O141" s="26">
        <f>IF(OR(A141="",N141=""),"",IF(N141&lt;=H141,"Evet","HAYIR - RİSK"))</f>
        <v/>
      </c>
      <c r="P141" s="26">
        <f>IF(A141="","",IF(LEFT(J141,8)="Kural A ","Uygun - Hemen Ödenir (Yıl Sonu %75 Kontrolüne Tabi)",IF(OR(L141="Evet",M141="Evet"),IF(O141="Evet","Uygun","RİSK - Hakediş Süresi Aşıldı"),"Bekleniyor - Nakliye/Montaj Tamamlanmadı")))</f>
        <v/>
      </c>
      <c r="Q141" s="28">
        <f>IF(A141="","",SUMIFS('Hakedis Fatura Detay'!$G$3:$G$1200,'Hakedis Fatura Detay'!$H$3:$H$1200,'DIVA Satislari'!AJ141,'Hakedis Fatura Detay'!$F$3:$F$1200,"Fiyat Farkı")+SUMIFS('Hakedis Fatura Detay'!$G$3:$G$1200,'Hakedis Fatura Detay'!$H$3:$H$1200,'DIVA Satislari'!AJ141,'Hakedis Fatura Detay'!$F$3:$F$1200,"Bundle"))</f>
        <v/>
      </c>
      <c r="R141" s="28">
        <f>IF(A141="","",I141-Q141)</f>
        <v/>
      </c>
      <c r="S141" s="26">
        <f>IF(A141="","",IF(LEFT(P141,7)="Bekleni","N/A - Henüz Ödenmemeli",IF(LEFT(P141,4)="RİSK","İNCELEME GEREKLİ - Süre Aşımı",IF(R141=0,"Doğru",IF(R141&gt;0,"EKSİK ÖDENMİŞ","FAZLA ÖDENMİŞ")))))</f>
        <v/>
      </c>
      <c r="T141" s="30">
        <f>IF(A141="","",IF(F141&lt;&gt;"Evet","İNCELEME GEREKLİ - Kampanya Tanımsız",IF(G141&lt;&gt;"Evet","İNCELEME GEREKLİ - Tarih Dışı Satış",IF(LEFT(P141,4)="RİSK","İNCELEME GEREKLİ - Hakediş Süresi Aşıldı",IF(OR(S141="EKSİK ÖDENMİŞ",S141="FAZLA ÖDENMİŞ"),"İNCELEME GEREKLİ - Tutar Uyuşmazlığı",IF(LEFT(P141,7)="Bekleni","Bekleniyor","Uygun"))))))</f>
        <v/>
      </c>
    </row>
    <row r="142">
      <c r="A142" s="26">
        <f>IF('DIVA Satislari'!I142="","",'DIVA Satislari'!I142)</f>
        <v/>
      </c>
      <c r="B142" s="26">
        <f>IF('DIVA Satislari'!I142="","",'DIVA Satislari'!R142)</f>
        <v/>
      </c>
      <c r="C142" s="26">
        <f>IF('DIVA Satislari'!I142="","",'DIVA Satislari'!M142)</f>
        <v/>
      </c>
      <c r="D142" s="27">
        <f>IF('DIVA Satislari'!I142="","",'DIVA Satislari'!H142)</f>
        <v/>
      </c>
      <c r="E142" s="26">
        <f>IF('DIVA Satislari'!I142="","",'DIVA Satislari'!O142)</f>
        <v/>
      </c>
      <c r="F142" s="26">
        <f>IF('DIVA Satislari'!I142="","",'DIVA Satislari'!AK142)</f>
        <v/>
      </c>
      <c r="G142" s="26">
        <f>IF('DIVA Satislari'!I142="","",'DIVA Satislari'!AO142)</f>
        <v/>
      </c>
      <c r="H142" s="27">
        <f>IF('DIVA Satislari'!I142="","",'DIVA Satislari'!AN142)</f>
        <v/>
      </c>
      <c r="I142" s="28">
        <f>IF('DIVA Satislari'!I142="","",'DIVA Satislari'!AQ142)</f>
        <v/>
      </c>
      <c r="J142" s="26">
        <f>IF('DIVA Satislari'!I142="","",'DIVA Satislari'!AR142)</f>
        <v/>
      </c>
      <c r="K142" s="26">
        <f>IF('DIVA Satislari'!I142="","",IFERROR(INDEX('E2E Nakliye Montaj'!$AS$3:$AS$1002,MATCH('DIVA Satislari'!AJ142,'E2E Nakliye Montaj'!$AM$3:$AM$1002,0)),"Eşleşme Yok"))</f>
        <v/>
      </c>
      <c r="L142" s="26">
        <f>IF('DIVA Satislari'!I142="","",IFERROR(INDEX('E2E Nakliye Montaj'!$AT$3:$AT$1002,MATCH('DIVA Satislari'!AJ142,'E2E Nakliye Montaj'!$AM$3:$AM$1002,0)),"Hayır"))</f>
        <v/>
      </c>
      <c r="M142" s="26">
        <f>IF('DIVA Satislari'!I142="","",IFERROR(INDEX('E2E Nakliye Montaj'!$AU$3:$AU$1002,MATCH('DIVA Satislari'!AJ142,'E2E Nakliye Montaj'!$AM$3:$AM$1002,0)),"Hayır"))</f>
        <v/>
      </c>
      <c r="N142" s="27">
        <f>IF('DIVA Satislari'!I142="","",IFERROR(INDEX('E2E Nakliye Montaj'!$AV$3:$AV$1002,MATCH('DIVA Satislari'!AJ142,'E2E Nakliye Montaj'!$AM$3:$AM$1002,0)),""))</f>
        <v/>
      </c>
      <c r="O142" s="26">
        <f>IF(OR(A142="",N142=""),"",IF(N142&lt;=H142,"Evet","HAYIR - RİSK"))</f>
        <v/>
      </c>
      <c r="P142" s="26">
        <f>IF(A142="","",IF(LEFT(J142,8)="Kural A ","Uygun - Hemen Ödenir (Yıl Sonu %75 Kontrolüne Tabi)",IF(OR(L142="Evet",M142="Evet"),IF(O142="Evet","Uygun","RİSK - Hakediş Süresi Aşıldı"),"Bekleniyor - Nakliye/Montaj Tamamlanmadı")))</f>
        <v/>
      </c>
      <c r="Q142" s="28">
        <f>IF(A142="","",SUMIFS('Hakedis Fatura Detay'!$G$3:$G$1200,'Hakedis Fatura Detay'!$H$3:$H$1200,'DIVA Satislari'!AJ142,'Hakedis Fatura Detay'!$F$3:$F$1200,"Fiyat Farkı")+SUMIFS('Hakedis Fatura Detay'!$G$3:$G$1200,'Hakedis Fatura Detay'!$H$3:$H$1200,'DIVA Satislari'!AJ142,'Hakedis Fatura Detay'!$F$3:$F$1200,"Bundle"))</f>
        <v/>
      </c>
      <c r="R142" s="28">
        <f>IF(A142="","",I142-Q142)</f>
        <v/>
      </c>
      <c r="S142" s="26">
        <f>IF(A142="","",IF(LEFT(P142,7)="Bekleni","N/A - Henüz Ödenmemeli",IF(LEFT(P142,4)="RİSK","İNCELEME GEREKLİ - Süre Aşımı",IF(R142=0,"Doğru",IF(R142&gt;0,"EKSİK ÖDENMİŞ","FAZLA ÖDENMİŞ")))))</f>
        <v/>
      </c>
      <c r="T142" s="30">
        <f>IF(A142="","",IF(F142&lt;&gt;"Evet","İNCELEME GEREKLİ - Kampanya Tanımsız",IF(G142&lt;&gt;"Evet","İNCELEME GEREKLİ - Tarih Dışı Satış",IF(LEFT(P142,4)="RİSK","İNCELEME GEREKLİ - Hakediş Süresi Aşıldı",IF(OR(S142="EKSİK ÖDENMİŞ",S142="FAZLA ÖDENMİŞ"),"İNCELEME GEREKLİ - Tutar Uyuşmazlığı",IF(LEFT(P142,7)="Bekleni","Bekleniyor","Uygun"))))))</f>
        <v/>
      </c>
    </row>
    <row r="143">
      <c r="A143" s="26">
        <f>IF('DIVA Satislari'!I143="","",'DIVA Satislari'!I143)</f>
        <v/>
      </c>
      <c r="B143" s="26">
        <f>IF('DIVA Satislari'!I143="","",'DIVA Satislari'!R143)</f>
        <v/>
      </c>
      <c r="C143" s="26">
        <f>IF('DIVA Satislari'!I143="","",'DIVA Satislari'!M143)</f>
        <v/>
      </c>
      <c r="D143" s="27">
        <f>IF('DIVA Satislari'!I143="","",'DIVA Satislari'!H143)</f>
        <v/>
      </c>
      <c r="E143" s="26">
        <f>IF('DIVA Satislari'!I143="","",'DIVA Satislari'!O143)</f>
        <v/>
      </c>
      <c r="F143" s="26">
        <f>IF('DIVA Satislari'!I143="","",'DIVA Satislari'!AK143)</f>
        <v/>
      </c>
      <c r="G143" s="26">
        <f>IF('DIVA Satislari'!I143="","",'DIVA Satislari'!AO143)</f>
        <v/>
      </c>
      <c r="H143" s="27">
        <f>IF('DIVA Satislari'!I143="","",'DIVA Satislari'!AN143)</f>
        <v/>
      </c>
      <c r="I143" s="28">
        <f>IF('DIVA Satislari'!I143="","",'DIVA Satislari'!AQ143)</f>
        <v/>
      </c>
      <c r="J143" s="26">
        <f>IF('DIVA Satislari'!I143="","",'DIVA Satislari'!AR143)</f>
        <v/>
      </c>
      <c r="K143" s="26">
        <f>IF('DIVA Satislari'!I143="","",IFERROR(INDEX('E2E Nakliye Montaj'!$AS$3:$AS$1002,MATCH('DIVA Satislari'!AJ143,'E2E Nakliye Montaj'!$AM$3:$AM$1002,0)),"Eşleşme Yok"))</f>
        <v/>
      </c>
      <c r="L143" s="26">
        <f>IF('DIVA Satislari'!I143="","",IFERROR(INDEX('E2E Nakliye Montaj'!$AT$3:$AT$1002,MATCH('DIVA Satislari'!AJ143,'E2E Nakliye Montaj'!$AM$3:$AM$1002,0)),"Hayır"))</f>
        <v/>
      </c>
      <c r="M143" s="26">
        <f>IF('DIVA Satislari'!I143="","",IFERROR(INDEX('E2E Nakliye Montaj'!$AU$3:$AU$1002,MATCH('DIVA Satislari'!AJ143,'E2E Nakliye Montaj'!$AM$3:$AM$1002,0)),"Hayır"))</f>
        <v/>
      </c>
      <c r="N143" s="27">
        <f>IF('DIVA Satislari'!I143="","",IFERROR(INDEX('E2E Nakliye Montaj'!$AV$3:$AV$1002,MATCH('DIVA Satislari'!AJ143,'E2E Nakliye Montaj'!$AM$3:$AM$1002,0)),""))</f>
        <v/>
      </c>
      <c r="O143" s="26">
        <f>IF(OR(A143="",N143=""),"",IF(N143&lt;=H143,"Evet","HAYIR - RİSK"))</f>
        <v/>
      </c>
      <c r="P143" s="26">
        <f>IF(A143="","",IF(LEFT(J143,8)="Kural A ","Uygun - Hemen Ödenir (Yıl Sonu %75 Kontrolüne Tabi)",IF(OR(L143="Evet",M143="Evet"),IF(O143="Evet","Uygun","RİSK - Hakediş Süresi Aşıldı"),"Bekleniyor - Nakliye/Montaj Tamamlanmadı")))</f>
        <v/>
      </c>
      <c r="Q143" s="28">
        <f>IF(A143="","",SUMIFS('Hakedis Fatura Detay'!$G$3:$G$1200,'Hakedis Fatura Detay'!$H$3:$H$1200,'DIVA Satislari'!AJ143,'Hakedis Fatura Detay'!$F$3:$F$1200,"Fiyat Farkı")+SUMIFS('Hakedis Fatura Detay'!$G$3:$G$1200,'Hakedis Fatura Detay'!$H$3:$H$1200,'DIVA Satislari'!AJ143,'Hakedis Fatura Detay'!$F$3:$F$1200,"Bundle"))</f>
        <v/>
      </c>
      <c r="R143" s="28">
        <f>IF(A143="","",I143-Q143)</f>
        <v/>
      </c>
      <c r="S143" s="26">
        <f>IF(A143="","",IF(LEFT(P143,7)="Bekleni","N/A - Henüz Ödenmemeli",IF(LEFT(P143,4)="RİSK","İNCELEME GEREKLİ - Süre Aşımı",IF(R143=0,"Doğru",IF(R143&gt;0,"EKSİK ÖDENMİŞ","FAZLA ÖDENMİŞ")))))</f>
        <v/>
      </c>
      <c r="T143" s="30">
        <f>IF(A143="","",IF(F143&lt;&gt;"Evet","İNCELEME GEREKLİ - Kampanya Tanımsız",IF(G143&lt;&gt;"Evet","İNCELEME GEREKLİ - Tarih Dışı Satış",IF(LEFT(P143,4)="RİSK","İNCELEME GEREKLİ - Hakediş Süresi Aşıldı",IF(OR(S143="EKSİK ÖDENMİŞ",S143="FAZLA ÖDENMİŞ"),"İNCELEME GEREKLİ - Tutar Uyuşmazlığı",IF(LEFT(P143,7)="Bekleni","Bekleniyor","Uygun"))))))</f>
        <v/>
      </c>
    </row>
    <row r="144">
      <c r="A144" s="26">
        <f>IF('DIVA Satislari'!I144="","",'DIVA Satislari'!I144)</f>
        <v/>
      </c>
      <c r="B144" s="26">
        <f>IF('DIVA Satislari'!I144="","",'DIVA Satislari'!R144)</f>
        <v/>
      </c>
      <c r="C144" s="26">
        <f>IF('DIVA Satislari'!I144="","",'DIVA Satislari'!M144)</f>
        <v/>
      </c>
      <c r="D144" s="27">
        <f>IF('DIVA Satislari'!I144="","",'DIVA Satislari'!H144)</f>
        <v/>
      </c>
      <c r="E144" s="26">
        <f>IF('DIVA Satislari'!I144="","",'DIVA Satislari'!O144)</f>
        <v/>
      </c>
      <c r="F144" s="26">
        <f>IF('DIVA Satislari'!I144="","",'DIVA Satislari'!AK144)</f>
        <v/>
      </c>
      <c r="G144" s="26">
        <f>IF('DIVA Satislari'!I144="","",'DIVA Satislari'!AO144)</f>
        <v/>
      </c>
      <c r="H144" s="27">
        <f>IF('DIVA Satislari'!I144="","",'DIVA Satislari'!AN144)</f>
        <v/>
      </c>
      <c r="I144" s="28">
        <f>IF('DIVA Satislari'!I144="","",'DIVA Satislari'!AQ144)</f>
        <v/>
      </c>
      <c r="J144" s="26">
        <f>IF('DIVA Satislari'!I144="","",'DIVA Satislari'!AR144)</f>
        <v/>
      </c>
      <c r="K144" s="26">
        <f>IF('DIVA Satislari'!I144="","",IFERROR(INDEX('E2E Nakliye Montaj'!$AS$3:$AS$1002,MATCH('DIVA Satislari'!AJ144,'E2E Nakliye Montaj'!$AM$3:$AM$1002,0)),"Eşleşme Yok"))</f>
        <v/>
      </c>
      <c r="L144" s="26">
        <f>IF('DIVA Satislari'!I144="","",IFERROR(INDEX('E2E Nakliye Montaj'!$AT$3:$AT$1002,MATCH('DIVA Satislari'!AJ144,'E2E Nakliye Montaj'!$AM$3:$AM$1002,0)),"Hayır"))</f>
        <v/>
      </c>
      <c r="M144" s="26">
        <f>IF('DIVA Satislari'!I144="","",IFERROR(INDEX('E2E Nakliye Montaj'!$AU$3:$AU$1002,MATCH('DIVA Satislari'!AJ144,'E2E Nakliye Montaj'!$AM$3:$AM$1002,0)),"Hayır"))</f>
        <v/>
      </c>
      <c r="N144" s="27">
        <f>IF('DIVA Satislari'!I144="","",IFERROR(INDEX('E2E Nakliye Montaj'!$AV$3:$AV$1002,MATCH('DIVA Satislari'!AJ144,'E2E Nakliye Montaj'!$AM$3:$AM$1002,0)),""))</f>
        <v/>
      </c>
      <c r="O144" s="26">
        <f>IF(OR(A144="",N144=""),"",IF(N144&lt;=H144,"Evet","HAYIR - RİSK"))</f>
        <v/>
      </c>
      <c r="P144" s="26">
        <f>IF(A144="","",IF(LEFT(J144,8)="Kural A ","Uygun - Hemen Ödenir (Yıl Sonu %75 Kontrolüne Tabi)",IF(OR(L144="Evet",M144="Evet"),IF(O144="Evet","Uygun","RİSK - Hakediş Süresi Aşıldı"),"Bekleniyor - Nakliye/Montaj Tamamlanmadı")))</f>
        <v/>
      </c>
      <c r="Q144" s="28">
        <f>IF(A144="","",SUMIFS('Hakedis Fatura Detay'!$G$3:$G$1200,'Hakedis Fatura Detay'!$H$3:$H$1200,'DIVA Satislari'!AJ144,'Hakedis Fatura Detay'!$F$3:$F$1200,"Fiyat Farkı")+SUMIFS('Hakedis Fatura Detay'!$G$3:$G$1200,'Hakedis Fatura Detay'!$H$3:$H$1200,'DIVA Satislari'!AJ144,'Hakedis Fatura Detay'!$F$3:$F$1200,"Bundle"))</f>
        <v/>
      </c>
      <c r="R144" s="28">
        <f>IF(A144="","",I144-Q144)</f>
        <v/>
      </c>
      <c r="S144" s="26">
        <f>IF(A144="","",IF(LEFT(P144,7)="Bekleni","N/A - Henüz Ödenmemeli",IF(LEFT(P144,4)="RİSK","İNCELEME GEREKLİ - Süre Aşımı",IF(R144=0,"Doğru",IF(R144&gt;0,"EKSİK ÖDENMİŞ","FAZLA ÖDENMİŞ")))))</f>
        <v/>
      </c>
      <c r="T144" s="30">
        <f>IF(A144="","",IF(F144&lt;&gt;"Evet","İNCELEME GEREKLİ - Kampanya Tanımsız",IF(G144&lt;&gt;"Evet","İNCELEME GEREKLİ - Tarih Dışı Satış",IF(LEFT(P144,4)="RİSK","İNCELEME GEREKLİ - Hakediş Süresi Aşıldı",IF(OR(S144="EKSİK ÖDENMİŞ",S144="FAZLA ÖDENMİŞ"),"İNCELEME GEREKLİ - Tutar Uyuşmazlığı",IF(LEFT(P144,7)="Bekleni","Bekleniyor","Uygun"))))))</f>
        <v/>
      </c>
    </row>
    <row r="145">
      <c r="A145" s="26">
        <f>IF('DIVA Satislari'!I145="","",'DIVA Satislari'!I145)</f>
        <v/>
      </c>
      <c r="B145" s="26">
        <f>IF('DIVA Satislari'!I145="","",'DIVA Satislari'!R145)</f>
        <v/>
      </c>
      <c r="C145" s="26">
        <f>IF('DIVA Satislari'!I145="","",'DIVA Satislari'!M145)</f>
        <v/>
      </c>
      <c r="D145" s="27">
        <f>IF('DIVA Satislari'!I145="","",'DIVA Satislari'!H145)</f>
        <v/>
      </c>
      <c r="E145" s="26">
        <f>IF('DIVA Satislari'!I145="","",'DIVA Satislari'!O145)</f>
        <v/>
      </c>
      <c r="F145" s="26">
        <f>IF('DIVA Satislari'!I145="","",'DIVA Satislari'!AK145)</f>
        <v/>
      </c>
      <c r="G145" s="26">
        <f>IF('DIVA Satislari'!I145="","",'DIVA Satislari'!AO145)</f>
        <v/>
      </c>
      <c r="H145" s="27">
        <f>IF('DIVA Satislari'!I145="","",'DIVA Satislari'!AN145)</f>
        <v/>
      </c>
      <c r="I145" s="28">
        <f>IF('DIVA Satislari'!I145="","",'DIVA Satislari'!AQ145)</f>
        <v/>
      </c>
      <c r="J145" s="26">
        <f>IF('DIVA Satislari'!I145="","",'DIVA Satislari'!AR145)</f>
        <v/>
      </c>
      <c r="K145" s="26">
        <f>IF('DIVA Satislari'!I145="","",IFERROR(INDEX('E2E Nakliye Montaj'!$AS$3:$AS$1002,MATCH('DIVA Satislari'!AJ145,'E2E Nakliye Montaj'!$AM$3:$AM$1002,0)),"Eşleşme Yok"))</f>
        <v/>
      </c>
      <c r="L145" s="26">
        <f>IF('DIVA Satislari'!I145="","",IFERROR(INDEX('E2E Nakliye Montaj'!$AT$3:$AT$1002,MATCH('DIVA Satislari'!AJ145,'E2E Nakliye Montaj'!$AM$3:$AM$1002,0)),"Hayır"))</f>
        <v/>
      </c>
      <c r="M145" s="26">
        <f>IF('DIVA Satislari'!I145="","",IFERROR(INDEX('E2E Nakliye Montaj'!$AU$3:$AU$1002,MATCH('DIVA Satislari'!AJ145,'E2E Nakliye Montaj'!$AM$3:$AM$1002,0)),"Hayır"))</f>
        <v/>
      </c>
      <c r="N145" s="27">
        <f>IF('DIVA Satislari'!I145="","",IFERROR(INDEX('E2E Nakliye Montaj'!$AV$3:$AV$1002,MATCH('DIVA Satislari'!AJ145,'E2E Nakliye Montaj'!$AM$3:$AM$1002,0)),""))</f>
        <v/>
      </c>
      <c r="O145" s="26">
        <f>IF(OR(A145="",N145=""),"",IF(N145&lt;=H145,"Evet","HAYIR - RİSK"))</f>
        <v/>
      </c>
      <c r="P145" s="26">
        <f>IF(A145="","",IF(LEFT(J145,8)="Kural A ","Uygun - Hemen Ödenir (Yıl Sonu %75 Kontrolüne Tabi)",IF(OR(L145="Evet",M145="Evet"),IF(O145="Evet","Uygun","RİSK - Hakediş Süresi Aşıldı"),"Bekleniyor - Nakliye/Montaj Tamamlanmadı")))</f>
        <v/>
      </c>
      <c r="Q145" s="28">
        <f>IF(A145="","",SUMIFS('Hakedis Fatura Detay'!$G$3:$G$1200,'Hakedis Fatura Detay'!$H$3:$H$1200,'DIVA Satislari'!AJ145,'Hakedis Fatura Detay'!$F$3:$F$1200,"Fiyat Farkı")+SUMIFS('Hakedis Fatura Detay'!$G$3:$G$1200,'Hakedis Fatura Detay'!$H$3:$H$1200,'DIVA Satislari'!AJ145,'Hakedis Fatura Detay'!$F$3:$F$1200,"Bundle"))</f>
        <v/>
      </c>
      <c r="R145" s="28">
        <f>IF(A145="","",I145-Q145)</f>
        <v/>
      </c>
      <c r="S145" s="26">
        <f>IF(A145="","",IF(LEFT(P145,7)="Bekleni","N/A - Henüz Ödenmemeli",IF(LEFT(P145,4)="RİSK","İNCELEME GEREKLİ - Süre Aşımı",IF(R145=0,"Doğru",IF(R145&gt;0,"EKSİK ÖDENMİŞ","FAZLA ÖDENMİŞ")))))</f>
        <v/>
      </c>
      <c r="T145" s="30">
        <f>IF(A145="","",IF(F145&lt;&gt;"Evet","İNCELEME GEREKLİ - Kampanya Tanımsız",IF(G145&lt;&gt;"Evet","İNCELEME GEREKLİ - Tarih Dışı Satış",IF(LEFT(P145,4)="RİSK","İNCELEME GEREKLİ - Hakediş Süresi Aşıldı",IF(OR(S145="EKSİK ÖDENMİŞ",S145="FAZLA ÖDENMİŞ"),"İNCELEME GEREKLİ - Tutar Uyuşmazlığı",IF(LEFT(P145,7)="Bekleni","Bekleniyor","Uygun"))))))</f>
        <v/>
      </c>
    </row>
    <row r="146">
      <c r="A146" s="26">
        <f>IF('DIVA Satislari'!I146="","",'DIVA Satislari'!I146)</f>
        <v/>
      </c>
      <c r="B146" s="26">
        <f>IF('DIVA Satislari'!I146="","",'DIVA Satislari'!R146)</f>
        <v/>
      </c>
      <c r="C146" s="26">
        <f>IF('DIVA Satislari'!I146="","",'DIVA Satislari'!M146)</f>
        <v/>
      </c>
      <c r="D146" s="27">
        <f>IF('DIVA Satislari'!I146="","",'DIVA Satislari'!H146)</f>
        <v/>
      </c>
      <c r="E146" s="26">
        <f>IF('DIVA Satislari'!I146="","",'DIVA Satislari'!O146)</f>
        <v/>
      </c>
      <c r="F146" s="26">
        <f>IF('DIVA Satislari'!I146="","",'DIVA Satislari'!AK146)</f>
        <v/>
      </c>
      <c r="G146" s="26">
        <f>IF('DIVA Satislari'!I146="","",'DIVA Satislari'!AO146)</f>
        <v/>
      </c>
      <c r="H146" s="27">
        <f>IF('DIVA Satislari'!I146="","",'DIVA Satislari'!AN146)</f>
        <v/>
      </c>
      <c r="I146" s="28">
        <f>IF('DIVA Satislari'!I146="","",'DIVA Satislari'!AQ146)</f>
        <v/>
      </c>
      <c r="J146" s="26">
        <f>IF('DIVA Satislari'!I146="","",'DIVA Satislari'!AR146)</f>
        <v/>
      </c>
      <c r="K146" s="26">
        <f>IF('DIVA Satislari'!I146="","",IFERROR(INDEX('E2E Nakliye Montaj'!$AS$3:$AS$1002,MATCH('DIVA Satislari'!AJ146,'E2E Nakliye Montaj'!$AM$3:$AM$1002,0)),"Eşleşme Yok"))</f>
        <v/>
      </c>
      <c r="L146" s="26">
        <f>IF('DIVA Satislari'!I146="","",IFERROR(INDEX('E2E Nakliye Montaj'!$AT$3:$AT$1002,MATCH('DIVA Satislari'!AJ146,'E2E Nakliye Montaj'!$AM$3:$AM$1002,0)),"Hayır"))</f>
        <v/>
      </c>
      <c r="M146" s="26">
        <f>IF('DIVA Satislari'!I146="","",IFERROR(INDEX('E2E Nakliye Montaj'!$AU$3:$AU$1002,MATCH('DIVA Satislari'!AJ146,'E2E Nakliye Montaj'!$AM$3:$AM$1002,0)),"Hayır"))</f>
        <v/>
      </c>
      <c r="N146" s="27">
        <f>IF('DIVA Satislari'!I146="","",IFERROR(INDEX('E2E Nakliye Montaj'!$AV$3:$AV$1002,MATCH('DIVA Satislari'!AJ146,'E2E Nakliye Montaj'!$AM$3:$AM$1002,0)),""))</f>
        <v/>
      </c>
      <c r="O146" s="26">
        <f>IF(OR(A146="",N146=""),"",IF(N146&lt;=H146,"Evet","HAYIR - RİSK"))</f>
        <v/>
      </c>
      <c r="P146" s="26">
        <f>IF(A146="","",IF(LEFT(J146,8)="Kural A ","Uygun - Hemen Ödenir (Yıl Sonu %75 Kontrolüne Tabi)",IF(OR(L146="Evet",M146="Evet"),IF(O146="Evet","Uygun","RİSK - Hakediş Süresi Aşıldı"),"Bekleniyor - Nakliye/Montaj Tamamlanmadı")))</f>
        <v/>
      </c>
      <c r="Q146" s="28">
        <f>IF(A146="","",SUMIFS('Hakedis Fatura Detay'!$G$3:$G$1200,'Hakedis Fatura Detay'!$H$3:$H$1200,'DIVA Satislari'!AJ146,'Hakedis Fatura Detay'!$F$3:$F$1200,"Fiyat Farkı")+SUMIFS('Hakedis Fatura Detay'!$G$3:$G$1200,'Hakedis Fatura Detay'!$H$3:$H$1200,'DIVA Satislari'!AJ146,'Hakedis Fatura Detay'!$F$3:$F$1200,"Bundle"))</f>
        <v/>
      </c>
      <c r="R146" s="28">
        <f>IF(A146="","",I146-Q146)</f>
        <v/>
      </c>
      <c r="S146" s="26">
        <f>IF(A146="","",IF(LEFT(P146,7)="Bekleni","N/A - Henüz Ödenmemeli",IF(LEFT(P146,4)="RİSK","İNCELEME GEREKLİ - Süre Aşımı",IF(R146=0,"Doğru",IF(R146&gt;0,"EKSİK ÖDENMİŞ","FAZLA ÖDENMİŞ")))))</f>
        <v/>
      </c>
      <c r="T146" s="30">
        <f>IF(A146="","",IF(F146&lt;&gt;"Evet","İNCELEME GEREKLİ - Kampanya Tanımsız",IF(G146&lt;&gt;"Evet","İNCELEME GEREKLİ - Tarih Dışı Satış",IF(LEFT(P146,4)="RİSK","İNCELEME GEREKLİ - Hakediş Süresi Aşıldı",IF(OR(S146="EKSİK ÖDENMİŞ",S146="FAZLA ÖDENMİŞ"),"İNCELEME GEREKLİ - Tutar Uyuşmazlığı",IF(LEFT(P146,7)="Bekleni","Bekleniyor","Uygun"))))))</f>
        <v/>
      </c>
    </row>
    <row r="147">
      <c r="A147" s="26">
        <f>IF('DIVA Satislari'!I147="","",'DIVA Satislari'!I147)</f>
        <v/>
      </c>
      <c r="B147" s="26">
        <f>IF('DIVA Satislari'!I147="","",'DIVA Satislari'!R147)</f>
        <v/>
      </c>
      <c r="C147" s="26">
        <f>IF('DIVA Satislari'!I147="","",'DIVA Satislari'!M147)</f>
        <v/>
      </c>
      <c r="D147" s="27">
        <f>IF('DIVA Satislari'!I147="","",'DIVA Satislari'!H147)</f>
        <v/>
      </c>
      <c r="E147" s="26">
        <f>IF('DIVA Satislari'!I147="","",'DIVA Satislari'!O147)</f>
        <v/>
      </c>
      <c r="F147" s="26">
        <f>IF('DIVA Satislari'!I147="","",'DIVA Satislari'!AK147)</f>
        <v/>
      </c>
      <c r="G147" s="26">
        <f>IF('DIVA Satislari'!I147="","",'DIVA Satislari'!AO147)</f>
        <v/>
      </c>
      <c r="H147" s="27">
        <f>IF('DIVA Satislari'!I147="","",'DIVA Satislari'!AN147)</f>
        <v/>
      </c>
      <c r="I147" s="28">
        <f>IF('DIVA Satislari'!I147="","",'DIVA Satislari'!AQ147)</f>
        <v/>
      </c>
      <c r="J147" s="26">
        <f>IF('DIVA Satislari'!I147="","",'DIVA Satislari'!AR147)</f>
        <v/>
      </c>
      <c r="K147" s="26">
        <f>IF('DIVA Satislari'!I147="","",IFERROR(INDEX('E2E Nakliye Montaj'!$AS$3:$AS$1002,MATCH('DIVA Satislari'!AJ147,'E2E Nakliye Montaj'!$AM$3:$AM$1002,0)),"Eşleşme Yok"))</f>
        <v/>
      </c>
      <c r="L147" s="26">
        <f>IF('DIVA Satislari'!I147="","",IFERROR(INDEX('E2E Nakliye Montaj'!$AT$3:$AT$1002,MATCH('DIVA Satislari'!AJ147,'E2E Nakliye Montaj'!$AM$3:$AM$1002,0)),"Hayır"))</f>
        <v/>
      </c>
      <c r="M147" s="26">
        <f>IF('DIVA Satislari'!I147="","",IFERROR(INDEX('E2E Nakliye Montaj'!$AU$3:$AU$1002,MATCH('DIVA Satislari'!AJ147,'E2E Nakliye Montaj'!$AM$3:$AM$1002,0)),"Hayır"))</f>
        <v/>
      </c>
      <c r="N147" s="27">
        <f>IF('DIVA Satislari'!I147="","",IFERROR(INDEX('E2E Nakliye Montaj'!$AV$3:$AV$1002,MATCH('DIVA Satislari'!AJ147,'E2E Nakliye Montaj'!$AM$3:$AM$1002,0)),""))</f>
        <v/>
      </c>
      <c r="O147" s="26">
        <f>IF(OR(A147="",N147=""),"",IF(N147&lt;=H147,"Evet","HAYIR - RİSK"))</f>
        <v/>
      </c>
      <c r="P147" s="26">
        <f>IF(A147="","",IF(LEFT(J147,8)="Kural A ","Uygun - Hemen Ödenir (Yıl Sonu %75 Kontrolüne Tabi)",IF(OR(L147="Evet",M147="Evet"),IF(O147="Evet","Uygun","RİSK - Hakediş Süresi Aşıldı"),"Bekleniyor - Nakliye/Montaj Tamamlanmadı")))</f>
        <v/>
      </c>
      <c r="Q147" s="28">
        <f>IF(A147="","",SUMIFS('Hakedis Fatura Detay'!$G$3:$G$1200,'Hakedis Fatura Detay'!$H$3:$H$1200,'DIVA Satislari'!AJ147,'Hakedis Fatura Detay'!$F$3:$F$1200,"Fiyat Farkı")+SUMIFS('Hakedis Fatura Detay'!$G$3:$G$1200,'Hakedis Fatura Detay'!$H$3:$H$1200,'DIVA Satislari'!AJ147,'Hakedis Fatura Detay'!$F$3:$F$1200,"Bundle"))</f>
        <v/>
      </c>
      <c r="R147" s="28">
        <f>IF(A147="","",I147-Q147)</f>
        <v/>
      </c>
      <c r="S147" s="26">
        <f>IF(A147="","",IF(LEFT(P147,7)="Bekleni","N/A - Henüz Ödenmemeli",IF(LEFT(P147,4)="RİSK","İNCELEME GEREKLİ - Süre Aşımı",IF(R147=0,"Doğru",IF(R147&gt;0,"EKSİK ÖDENMİŞ","FAZLA ÖDENMİŞ")))))</f>
        <v/>
      </c>
      <c r="T147" s="30">
        <f>IF(A147="","",IF(F147&lt;&gt;"Evet","İNCELEME GEREKLİ - Kampanya Tanımsız",IF(G147&lt;&gt;"Evet","İNCELEME GEREKLİ - Tarih Dışı Satış",IF(LEFT(P147,4)="RİSK","İNCELEME GEREKLİ - Hakediş Süresi Aşıldı",IF(OR(S147="EKSİK ÖDENMİŞ",S147="FAZLA ÖDENMİŞ"),"İNCELEME GEREKLİ - Tutar Uyuşmazlığı",IF(LEFT(P147,7)="Bekleni","Bekleniyor","Uygun"))))))</f>
        <v/>
      </c>
    </row>
    <row r="148">
      <c r="A148" s="26">
        <f>IF('DIVA Satislari'!I148="","",'DIVA Satislari'!I148)</f>
        <v/>
      </c>
      <c r="B148" s="26">
        <f>IF('DIVA Satislari'!I148="","",'DIVA Satislari'!R148)</f>
        <v/>
      </c>
      <c r="C148" s="26">
        <f>IF('DIVA Satislari'!I148="","",'DIVA Satislari'!M148)</f>
        <v/>
      </c>
      <c r="D148" s="27">
        <f>IF('DIVA Satislari'!I148="","",'DIVA Satislari'!H148)</f>
        <v/>
      </c>
      <c r="E148" s="26">
        <f>IF('DIVA Satislari'!I148="","",'DIVA Satislari'!O148)</f>
        <v/>
      </c>
      <c r="F148" s="26">
        <f>IF('DIVA Satislari'!I148="","",'DIVA Satislari'!AK148)</f>
        <v/>
      </c>
      <c r="G148" s="26">
        <f>IF('DIVA Satislari'!I148="","",'DIVA Satislari'!AO148)</f>
        <v/>
      </c>
      <c r="H148" s="27">
        <f>IF('DIVA Satislari'!I148="","",'DIVA Satislari'!AN148)</f>
        <v/>
      </c>
      <c r="I148" s="28">
        <f>IF('DIVA Satislari'!I148="","",'DIVA Satislari'!AQ148)</f>
        <v/>
      </c>
      <c r="J148" s="26">
        <f>IF('DIVA Satislari'!I148="","",'DIVA Satislari'!AR148)</f>
        <v/>
      </c>
      <c r="K148" s="26">
        <f>IF('DIVA Satislari'!I148="","",IFERROR(INDEX('E2E Nakliye Montaj'!$AS$3:$AS$1002,MATCH('DIVA Satislari'!AJ148,'E2E Nakliye Montaj'!$AM$3:$AM$1002,0)),"Eşleşme Yok"))</f>
        <v/>
      </c>
      <c r="L148" s="26">
        <f>IF('DIVA Satislari'!I148="","",IFERROR(INDEX('E2E Nakliye Montaj'!$AT$3:$AT$1002,MATCH('DIVA Satislari'!AJ148,'E2E Nakliye Montaj'!$AM$3:$AM$1002,0)),"Hayır"))</f>
        <v/>
      </c>
      <c r="M148" s="26">
        <f>IF('DIVA Satislari'!I148="","",IFERROR(INDEX('E2E Nakliye Montaj'!$AU$3:$AU$1002,MATCH('DIVA Satislari'!AJ148,'E2E Nakliye Montaj'!$AM$3:$AM$1002,0)),"Hayır"))</f>
        <v/>
      </c>
      <c r="N148" s="27">
        <f>IF('DIVA Satislari'!I148="","",IFERROR(INDEX('E2E Nakliye Montaj'!$AV$3:$AV$1002,MATCH('DIVA Satislari'!AJ148,'E2E Nakliye Montaj'!$AM$3:$AM$1002,0)),""))</f>
        <v/>
      </c>
      <c r="O148" s="26">
        <f>IF(OR(A148="",N148=""),"",IF(N148&lt;=H148,"Evet","HAYIR - RİSK"))</f>
        <v/>
      </c>
      <c r="P148" s="26">
        <f>IF(A148="","",IF(LEFT(J148,8)="Kural A ","Uygun - Hemen Ödenir (Yıl Sonu %75 Kontrolüne Tabi)",IF(OR(L148="Evet",M148="Evet"),IF(O148="Evet","Uygun","RİSK - Hakediş Süresi Aşıldı"),"Bekleniyor - Nakliye/Montaj Tamamlanmadı")))</f>
        <v/>
      </c>
      <c r="Q148" s="28">
        <f>IF(A148="","",SUMIFS('Hakedis Fatura Detay'!$G$3:$G$1200,'Hakedis Fatura Detay'!$H$3:$H$1200,'DIVA Satislari'!AJ148,'Hakedis Fatura Detay'!$F$3:$F$1200,"Fiyat Farkı")+SUMIFS('Hakedis Fatura Detay'!$G$3:$G$1200,'Hakedis Fatura Detay'!$H$3:$H$1200,'DIVA Satislari'!AJ148,'Hakedis Fatura Detay'!$F$3:$F$1200,"Bundle"))</f>
        <v/>
      </c>
      <c r="R148" s="28">
        <f>IF(A148="","",I148-Q148)</f>
        <v/>
      </c>
      <c r="S148" s="26">
        <f>IF(A148="","",IF(LEFT(P148,7)="Bekleni","N/A - Henüz Ödenmemeli",IF(LEFT(P148,4)="RİSK","İNCELEME GEREKLİ - Süre Aşımı",IF(R148=0,"Doğru",IF(R148&gt;0,"EKSİK ÖDENMİŞ","FAZLA ÖDENMİŞ")))))</f>
        <v/>
      </c>
      <c r="T148" s="30">
        <f>IF(A148="","",IF(F148&lt;&gt;"Evet","İNCELEME GEREKLİ - Kampanya Tanımsız",IF(G148&lt;&gt;"Evet","İNCELEME GEREKLİ - Tarih Dışı Satış",IF(LEFT(P148,4)="RİSK","İNCELEME GEREKLİ - Hakediş Süresi Aşıldı",IF(OR(S148="EKSİK ÖDENMİŞ",S148="FAZLA ÖDENMİŞ"),"İNCELEME GEREKLİ - Tutar Uyuşmazlığı",IF(LEFT(P148,7)="Bekleni","Bekleniyor","Uygun"))))))</f>
        <v/>
      </c>
    </row>
    <row r="149">
      <c r="A149" s="26">
        <f>IF('DIVA Satislari'!I149="","",'DIVA Satislari'!I149)</f>
        <v/>
      </c>
      <c r="B149" s="26">
        <f>IF('DIVA Satislari'!I149="","",'DIVA Satislari'!R149)</f>
        <v/>
      </c>
      <c r="C149" s="26">
        <f>IF('DIVA Satislari'!I149="","",'DIVA Satislari'!M149)</f>
        <v/>
      </c>
      <c r="D149" s="27">
        <f>IF('DIVA Satislari'!I149="","",'DIVA Satislari'!H149)</f>
        <v/>
      </c>
      <c r="E149" s="26">
        <f>IF('DIVA Satislari'!I149="","",'DIVA Satislari'!O149)</f>
        <v/>
      </c>
      <c r="F149" s="26">
        <f>IF('DIVA Satislari'!I149="","",'DIVA Satislari'!AK149)</f>
        <v/>
      </c>
      <c r="G149" s="26">
        <f>IF('DIVA Satislari'!I149="","",'DIVA Satislari'!AO149)</f>
        <v/>
      </c>
      <c r="H149" s="27">
        <f>IF('DIVA Satislari'!I149="","",'DIVA Satislari'!AN149)</f>
        <v/>
      </c>
      <c r="I149" s="28">
        <f>IF('DIVA Satislari'!I149="","",'DIVA Satislari'!AQ149)</f>
        <v/>
      </c>
      <c r="J149" s="26">
        <f>IF('DIVA Satislari'!I149="","",'DIVA Satislari'!AR149)</f>
        <v/>
      </c>
      <c r="K149" s="26">
        <f>IF('DIVA Satislari'!I149="","",IFERROR(INDEX('E2E Nakliye Montaj'!$AS$3:$AS$1002,MATCH('DIVA Satislari'!AJ149,'E2E Nakliye Montaj'!$AM$3:$AM$1002,0)),"Eşleşme Yok"))</f>
        <v/>
      </c>
      <c r="L149" s="26">
        <f>IF('DIVA Satislari'!I149="","",IFERROR(INDEX('E2E Nakliye Montaj'!$AT$3:$AT$1002,MATCH('DIVA Satislari'!AJ149,'E2E Nakliye Montaj'!$AM$3:$AM$1002,0)),"Hayır"))</f>
        <v/>
      </c>
      <c r="M149" s="26">
        <f>IF('DIVA Satislari'!I149="","",IFERROR(INDEX('E2E Nakliye Montaj'!$AU$3:$AU$1002,MATCH('DIVA Satislari'!AJ149,'E2E Nakliye Montaj'!$AM$3:$AM$1002,0)),"Hayır"))</f>
        <v/>
      </c>
      <c r="N149" s="27">
        <f>IF('DIVA Satislari'!I149="","",IFERROR(INDEX('E2E Nakliye Montaj'!$AV$3:$AV$1002,MATCH('DIVA Satislari'!AJ149,'E2E Nakliye Montaj'!$AM$3:$AM$1002,0)),""))</f>
        <v/>
      </c>
      <c r="O149" s="26">
        <f>IF(OR(A149="",N149=""),"",IF(N149&lt;=H149,"Evet","HAYIR - RİSK"))</f>
        <v/>
      </c>
      <c r="P149" s="26">
        <f>IF(A149="","",IF(LEFT(J149,8)="Kural A ","Uygun - Hemen Ödenir (Yıl Sonu %75 Kontrolüne Tabi)",IF(OR(L149="Evet",M149="Evet"),IF(O149="Evet","Uygun","RİSK - Hakediş Süresi Aşıldı"),"Bekleniyor - Nakliye/Montaj Tamamlanmadı")))</f>
        <v/>
      </c>
      <c r="Q149" s="28">
        <f>IF(A149="","",SUMIFS('Hakedis Fatura Detay'!$G$3:$G$1200,'Hakedis Fatura Detay'!$H$3:$H$1200,'DIVA Satislari'!AJ149,'Hakedis Fatura Detay'!$F$3:$F$1200,"Fiyat Farkı")+SUMIFS('Hakedis Fatura Detay'!$G$3:$G$1200,'Hakedis Fatura Detay'!$H$3:$H$1200,'DIVA Satislari'!AJ149,'Hakedis Fatura Detay'!$F$3:$F$1200,"Bundle"))</f>
        <v/>
      </c>
      <c r="R149" s="28">
        <f>IF(A149="","",I149-Q149)</f>
        <v/>
      </c>
      <c r="S149" s="26">
        <f>IF(A149="","",IF(LEFT(P149,7)="Bekleni","N/A - Henüz Ödenmemeli",IF(LEFT(P149,4)="RİSK","İNCELEME GEREKLİ - Süre Aşımı",IF(R149=0,"Doğru",IF(R149&gt;0,"EKSİK ÖDENMİŞ","FAZLA ÖDENMİŞ")))))</f>
        <v/>
      </c>
      <c r="T149" s="30">
        <f>IF(A149="","",IF(F149&lt;&gt;"Evet","İNCELEME GEREKLİ - Kampanya Tanımsız",IF(G149&lt;&gt;"Evet","İNCELEME GEREKLİ - Tarih Dışı Satış",IF(LEFT(P149,4)="RİSK","İNCELEME GEREKLİ - Hakediş Süresi Aşıldı",IF(OR(S149="EKSİK ÖDENMİŞ",S149="FAZLA ÖDENMİŞ"),"İNCELEME GEREKLİ - Tutar Uyuşmazlığı",IF(LEFT(P149,7)="Bekleni","Bekleniyor","Uygun"))))))</f>
        <v/>
      </c>
    </row>
    <row r="150">
      <c r="A150" s="26">
        <f>IF('DIVA Satislari'!I150="","",'DIVA Satislari'!I150)</f>
        <v/>
      </c>
      <c r="B150" s="26">
        <f>IF('DIVA Satislari'!I150="","",'DIVA Satislari'!R150)</f>
        <v/>
      </c>
      <c r="C150" s="26">
        <f>IF('DIVA Satislari'!I150="","",'DIVA Satislari'!M150)</f>
        <v/>
      </c>
      <c r="D150" s="27">
        <f>IF('DIVA Satislari'!I150="","",'DIVA Satislari'!H150)</f>
        <v/>
      </c>
      <c r="E150" s="26">
        <f>IF('DIVA Satislari'!I150="","",'DIVA Satislari'!O150)</f>
        <v/>
      </c>
      <c r="F150" s="26">
        <f>IF('DIVA Satislari'!I150="","",'DIVA Satislari'!AK150)</f>
        <v/>
      </c>
      <c r="G150" s="26">
        <f>IF('DIVA Satislari'!I150="","",'DIVA Satislari'!AO150)</f>
        <v/>
      </c>
      <c r="H150" s="27">
        <f>IF('DIVA Satislari'!I150="","",'DIVA Satislari'!AN150)</f>
        <v/>
      </c>
      <c r="I150" s="28">
        <f>IF('DIVA Satislari'!I150="","",'DIVA Satislari'!AQ150)</f>
        <v/>
      </c>
      <c r="J150" s="26">
        <f>IF('DIVA Satislari'!I150="","",'DIVA Satislari'!AR150)</f>
        <v/>
      </c>
      <c r="K150" s="26">
        <f>IF('DIVA Satislari'!I150="","",IFERROR(INDEX('E2E Nakliye Montaj'!$AS$3:$AS$1002,MATCH('DIVA Satislari'!AJ150,'E2E Nakliye Montaj'!$AM$3:$AM$1002,0)),"Eşleşme Yok"))</f>
        <v/>
      </c>
      <c r="L150" s="26">
        <f>IF('DIVA Satislari'!I150="","",IFERROR(INDEX('E2E Nakliye Montaj'!$AT$3:$AT$1002,MATCH('DIVA Satislari'!AJ150,'E2E Nakliye Montaj'!$AM$3:$AM$1002,0)),"Hayır"))</f>
        <v/>
      </c>
      <c r="M150" s="26">
        <f>IF('DIVA Satislari'!I150="","",IFERROR(INDEX('E2E Nakliye Montaj'!$AU$3:$AU$1002,MATCH('DIVA Satislari'!AJ150,'E2E Nakliye Montaj'!$AM$3:$AM$1002,0)),"Hayır"))</f>
        <v/>
      </c>
      <c r="N150" s="27">
        <f>IF('DIVA Satislari'!I150="","",IFERROR(INDEX('E2E Nakliye Montaj'!$AV$3:$AV$1002,MATCH('DIVA Satislari'!AJ150,'E2E Nakliye Montaj'!$AM$3:$AM$1002,0)),""))</f>
        <v/>
      </c>
      <c r="O150" s="26">
        <f>IF(OR(A150="",N150=""),"",IF(N150&lt;=H150,"Evet","HAYIR - RİSK"))</f>
        <v/>
      </c>
      <c r="P150" s="26">
        <f>IF(A150="","",IF(LEFT(J150,8)="Kural A ","Uygun - Hemen Ödenir (Yıl Sonu %75 Kontrolüne Tabi)",IF(OR(L150="Evet",M150="Evet"),IF(O150="Evet","Uygun","RİSK - Hakediş Süresi Aşıldı"),"Bekleniyor - Nakliye/Montaj Tamamlanmadı")))</f>
        <v/>
      </c>
      <c r="Q150" s="28">
        <f>IF(A150="","",SUMIFS('Hakedis Fatura Detay'!$G$3:$G$1200,'Hakedis Fatura Detay'!$H$3:$H$1200,'DIVA Satislari'!AJ150,'Hakedis Fatura Detay'!$F$3:$F$1200,"Fiyat Farkı")+SUMIFS('Hakedis Fatura Detay'!$G$3:$G$1200,'Hakedis Fatura Detay'!$H$3:$H$1200,'DIVA Satislari'!AJ150,'Hakedis Fatura Detay'!$F$3:$F$1200,"Bundle"))</f>
        <v/>
      </c>
      <c r="R150" s="28">
        <f>IF(A150="","",I150-Q150)</f>
        <v/>
      </c>
      <c r="S150" s="26">
        <f>IF(A150="","",IF(LEFT(P150,7)="Bekleni","N/A - Henüz Ödenmemeli",IF(LEFT(P150,4)="RİSK","İNCELEME GEREKLİ - Süre Aşımı",IF(R150=0,"Doğru",IF(R150&gt;0,"EKSİK ÖDENMİŞ","FAZLA ÖDENMİŞ")))))</f>
        <v/>
      </c>
      <c r="T150" s="30">
        <f>IF(A150="","",IF(F150&lt;&gt;"Evet","İNCELEME GEREKLİ - Kampanya Tanımsız",IF(G150&lt;&gt;"Evet","İNCELEME GEREKLİ - Tarih Dışı Satış",IF(LEFT(P150,4)="RİSK","İNCELEME GEREKLİ - Hakediş Süresi Aşıldı",IF(OR(S150="EKSİK ÖDENMİŞ",S150="FAZLA ÖDENMİŞ"),"İNCELEME GEREKLİ - Tutar Uyuşmazlığı",IF(LEFT(P150,7)="Bekleni","Bekleniyor","Uygun"))))))</f>
        <v/>
      </c>
    </row>
    <row r="151">
      <c r="A151" s="26">
        <f>IF('DIVA Satislari'!I151="","",'DIVA Satislari'!I151)</f>
        <v/>
      </c>
      <c r="B151" s="26">
        <f>IF('DIVA Satislari'!I151="","",'DIVA Satislari'!R151)</f>
        <v/>
      </c>
      <c r="C151" s="26">
        <f>IF('DIVA Satislari'!I151="","",'DIVA Satislari'!M151)</f>
        <v/>
      </c>
      <c r="D151" s="27">
        <f>IF('DIVA Satislari'!I151="","",'DIVA Satislari'!H151)</f>
        <v/>
      </c>
      <c r="E151" s="26">
        <f>IF('DIVA Satislari'!I151="","",'DIVA Satislari'!O151)</f>
        <v/>
      </c>
      <c r="F151" s="26">
        <f>IF('DIVA Satislari'!I151="","",'DIVA Satislari'!AK151)</f>
        <v/>
      </c>
      <c r="G151" s="26">
        <f>IF('DIVA Satislari'!I151="","",'DIVA Satislari'!AO151)</f>
        <v/>
      </c>
      <c r="H151" s="27">
        <f>IF('DIVA Satislari'!I151="","",'DIVA Satislari'!AN151)</f>
        <v/>
      </c>
      <c r="I151" s="28">
        <f>IF('DIVA Satislari'!I151="","",'DIVA Satislari'!AQ151)</f>
        <v/>
      </c>
      <c r="J151" s="26">
        <f>IF('DIVA Satislari'!I151="","",'DIVA Satislari'!AR151)</f>
        <v/>
      </c>
      <c r="K151" s="26">
        <f>IF('DIVA Satislari'!I151="","",IFERROR(INDEX('E2E Nakliye Montaj'!$AS$3:$AS$1002,MATCH('DIVA Satislari'!AJ151,'E2E Nakliye Montaj'!$AM$3:$AM$1002,0)),"Eşleşme Yok"))</f>
        <v/>
      </c>
      <c r="L151" s="26">
        <f>IF('DIVA Satislari'!I151="","",IFERROR(INDEX('E2E Nakliye Montaj'!$AT$3:$AT$1002,MATCH('DIVA Satislari'!AJ151,'E2E Nakliye Montaj'!$AM$3:$AM$1002,0)),"Hayır"))</f>
        <v/>
      </c>
      <c r="M151" s="26">
        <f>IF('DIVA Satislari'!I151="","",IFERROR(INDEX('E2E Nakliye Montaj'!$AU$3:$AU$1002,MATCH('DIVA Satislari'!AJ151,'E2E Nakliye Montaj'!$AM$3:$AM$1002,0)),"Hayır"))</f>
        <v/>
      </c>
      <c r="N151" s="27">
        <f>IF('DIVA Satislari'!I151="","",IFERROR(INDEX('E2E Nakliye Montaj'!$AV$3:$AV$1002,MATCH('DIVA Satislari'!AJ151,'E2E Nakliye Montaj'!$AM$3:$AM$1002,0)),""))</f>
        <v/>
      </c>
      <c r="O151" s="26">
        <f>IF(OR(A151="",N151=""),"",IF(N151&lt;=H151,"Evet","HAYIR - RİSK"))</f>
        <v/>
      </c>
      <c r="P151" s="26">
        <f>IF(A151="","",IF(LEFT(J151,8)="Kural A ","Uygun - Hemen Ödenir (Yıl Sonu %75 Kontrolüne Tabi)",IF(OR(L151="Evet",M151="Evet"),IF(O151="Evet","Uygun","RİSK - Hakediş Süresi Aşıldı"),"Bekleniyor - Nakliye/Montaj Tamamlanmadı")))</f>
        <v/>
      </c>
      <c r="Q151" s="28">
        <f>IF(A151="","",SUMIFS('Hakedis Fatura Detay'!$G$3:$G$1200,'Hakedis Fatura Detay'!$H$3:$H$1200,'DIVA Satislari'!AJ151,'Hakedis Fatura Detay'!$F$3:$F$1200,"Fiyat Farkı")+SUMIFS('Hakedis Fatura Detay'!$G$3:$G$1200,'Hakedis Fatura Detay'!$H$3:$H$1200,'DIVA Satislari'!AJ151,'Hakedis Fatura Detay'!$F$3:$F$1200,"Bundle"))</f>
        <v/>
      </c>
      <c r="R151" s="28">
        <f>IF(A151="","",I151-Q151)</f>
        <v/>
      </c>
      <c r="S151" s="26">
        <f>IF(A151="","",IF(LEFT(P151,7)="Bekleni","N/A - Henüz Ödenmemeli",IF(LEFT(P151,4)="RİSK","İNCELEME GEREKLİ - Süre Aşımı",IF(R151=0,"Doğru",IF(R151&gt;0,"EKSİK ÖDENMİŞ","FAZLA ÖDENMİŞ")))))</f>
        <v/>
      </c>
      <c r="T151" s="30">
        <f>IF(A151="","",IF(F151&lt;&gt;"Evet","İNCELEME GEREKLİ - Kampanya Tanımsız",IF(G151&lt;&gt;"Evet","İNCELEME GEREKLİ - Tarih Dışı Satış",IF(LEFT(P151,4)="RİSK","İNCELEME GEREKLİ - Hakediş Süresi Aşıldı",IF(OR(S151="EKSİK ÖDENMİŞ",S151="FAZLA ÖDENMİŞ"),"İNCELEME GEREKLİ - Tutar Uyuşmazlığı",IF(LEFT(P151,7)="Bekleni","Bekleniyor","Uygun"))))))</f>
        <v/>
      </c>
    </row>
    <row r="152">
      <c r="A152" s="26">
        <f>IF('DIVA Satislari'!I152="","",'DIVA Satislari'!I152)</f>
        <v/>
      </c>
      <c r="B152" s="26">
        <f>IF('DIVA Satislari'!I152="","",'DIVA Satislari'!R152)</f>
        <v/>
      </c>
      <c r="C152" s="26">
        <f>IF('DIVA Satislari'!I152="","",'DIVA Satislari'!M152)</f>
        <v/>
      </c>
      <c r="D152" s="27">
        <f>IF('DIVA Satislari'!I152="","",'DIVA Satislari'!H152)</f>
        <v/>
      </c>
      <c r="E152" s="26">
        <f>IF('DIVA Satislari'!I152="","",'DIVA Satislari'!O152)</f>
        <v/>
      </c>
      <c r="F152" s="26">
        <f>IF('DIVA Satislari'!I152="","",'DIVA Satislari'!AK152)</f>
        <v/>
      </c>
      <c r="G152" s="26">
        <f>IF('DIVA Satislari'!I152="","",'DIVA Satislari'!AO152)</f>
        <v/>
      </c>
      <c r="H152" s="27">
        <f>IF('DIVA Satislari'!I152="","",'DIVA Satislari'!AN152)</f>
        <v/>
      </c>
      <c r="I152" s="28">
        <f>IF('DIVA Satislari'!I152="","",'DIVA Satislari'!AQ152)</f>
        <v/>
      </c>
      <c r="J152" s="26">
        <f>IF('DIVA Satislari'!I152="","",'DIVA Satislari'!AR152)</f>
        <v/>
      </c>
      <c r="K152" s="26">
        <f>IF('DIVA Satislari'!I152="","",IFERROR(INDEX('E2E Nakliye Montaj'!$AS$3:$AS$1002,MATCH('DIVA Satislari'!AJ152,'E2E Nakliye Montaj'!$AM$3:$AM$1002,0)),"Eşleşme Yok"))</f>
        <v/>
      </c>
      <c r="L152" s="26">
        <f>IF('DIVA Satislari'!I152="","",IFERROR(INDEX('E2E Nakliye Montaj'!$AT$3:$AT$1002,MATCH('DIVA Satislari'!AJ152,'E2E Nakliye Montaj'!$AM$3:$AM$1002,0)),"Hayır"))</f>
        <v/>
      </c>
      <c r="M152" s="26">
        <f>IF('DIVA Satislari'!I152="","",IFERROR(INDEX('E2E Nakliye Montaj'!$AU$3:$AU$1002,MATCH('DIVA Satislari'!AJ152,'E2E Nakliye Montaj'!$AM$3:$AM$1002,0)),"Hayır"))</f>
        <v/>
      </c>
      <c r="N152" s="27">
        <f>IF('DIVA Satislari'!I152="","",IFERROR(INDEX('E2E Nakliye Montaj'!$AV$3:$AV$1002,MATCH('DIVA Satislari'!AJ152,'E2E Nakliye Montaj'!$AM$3:$AM$1002,0)),""))</f>
        <v/>
      </c>
      <c r="O152" s="26">
        <f>IF(OR(A152="",N152=""),"",IF(N152&lt;=H152,"Evet","HAYIR - RİSK"))</f>
        <v/>
      </c>
      <c r="P152" s="26">
        <f>IF(A152="","",IF(LEFT(J152,8)="Kural A ","Uygun - Hemen Ödenir (Yıl Sonu %75 Kontrolüne Tabi)",IF(OR(L152="Evet",M152="Evet"),IF(O152="Evet","Uygun","RİSK - Hakediş Süresi Aşıldı"),"Bekleniyor - Nakliye/Montaj Tamamlanmadı")))</f>
        <v/>
      </c>
      <c r="Q152" s="28">
        <f>IF(A152="","",SUMIFS('Hakedis Fatura Detay'!$G$3:$G$1200,'Hakedis Fatura Detay'!$H$3:$H$1200,'DIVA Satislari'!AJ152,'Hakedis Fatura Detay'!$F$3:$F$1200,"Fiyat Farkı")+SUMIFS('Hakedis Fatura Detay'!$G$3:$G$1200,'Hakedis Fatura Detay'!$H$3:$H$1200,'DIVA Satislari'!AJ152,'Hakedis Fatura Detay'!$F$3:$F$1200,"Bundle"))</f>
        <v/>
      </c>
      <c r="R152" s="28">
        <f>IF(A152="","",I152-Q152)</f>
        <v/>
      </c>
      <c r="S152" s="26">
        <f>IF(A152="","",IF(LEFT(P152,7)="Bekleni","N/A - Henüz Ödenmemeli",IF(LEFT(P152,4)="RİSK","İNCELEME GEREKLİ - Süre Aşımı",IF(R152=0,"Doğru",IF(R152&gt;0,"EKSİK ÖDENMİŞ","FAZLA ÖDENMİŞ")))))</f>
        <v/>
      </c>
      <c r="T152" s="30">
        <f>IF(A152="","",IF(F152&lt;&gt;"Evet","İNCELEME GEREKLİ - Kampanya Tanımsız",IF(G152&lt;&gt;"Evet","İNCELEME GEREKLİ - Tarih Dışı Satış",IF(LEFT(P152,4)="RİSK","İNCELEME GEREKLİ - Hakediş Süresi Aşıldı",IF(OR(S152="EKSİK ÖDENMİŞ",S152="FAZLA ÖDENMİŞ"),"İNCELEME GEREKLİ - Tutar Uyuşmazlığı",IF(LEFT(P152,7)="Bekleni","Bekleniyor","Uygun"))))))</f>
        <v/>
      </c>
    </row>
    <row r="153">
      <c r="A153" s="26">
        <f>IF('DIVA Satislari'!I153="","",'DIVA Satislari'!I153)</f>
        <v/>
      </c>
      <c r="B153" s="26">
        <f>IF('DIVA Satislari'!I153="","",'DIVA Satislari'!R153)</f>
        <v/>
      </c>
      <c r="C153" s="26">
        <f>IF('DIVA Satislari'!I153="","",'DIVA Satislari'!M153)</f>
        <v/>
      </c>
      <c r="D153" s="27">
        <f>IF('DIVA Satislari'!I153="","",'DIVA Satislari'!H153)</f>
        <v/>
      </c>
      <c r="E153" s="26">
        <f>IF('DIVA Satislari'!I153="","",'DIVA Satislari'!O153)</f>
        <v/>
      </c>
      <c r="F153" s="26">
        <f>IF('DIVA Satislari'!I153="","",'DIVA Satislari'!AK153)</f>
        <v/>
      </c>
      <c r="G153" s="26">
        <f>IF('DIVA Satislari'!I153="","",'DIVA Satislari'!AO153)</f>
        <v/>
      </c>
      <c r="H153" s="27">
        <f>IF('DIVA Satislari'!I153="","",'DIVA Satislari'!AN153)</f>
        <v/>
      </c>
      <c r="I153" s="28">
        <f>IF('DIVA Satislari'!I153="","",'DIVA Satislari'!AQ153)</f>
        <v/>
      </c>
      <c r="J153" s="26">
        <f>IF('DIVA Satislari'!I153="","",'DIVA Satislari'!AR153)</f>
        <v/>
      </c>
      <c r="K153" s="26">
        <f>IF('DIVA Satislari'!I153="","",IFERROR(INDEX('E2E Nakliye Montaj'!$AS$3:$AS$1002,MATCH('DIVA Satislari'!AJ153,'E2E Nakliye Montaj'!$AM$3:$AM$1002,0)),"Eşleşme Yok"))</f>
        <v/>
      </c>
      <c r="L153" s="26">
        <f>IF('DIVA Satislari'!I153="","",IFERROR(INDEX('E2E Nakliye Montaj'!$AT$3:$AT$1002,MATCH('DIVA Satislari'!AJ153,'E2E Nakliye Montaj'!$AM$3:$AM$1002,0)),"Hayır"))</f>
        <v/>
      </c>
      <c r="M153" s="26">
        <f>IF('DIVA Satislari'!I153="","",IFERROR(INDEX('E2E Nakliye Montaj'!$AU$3:$AU$1002,MATCH('DIVA Satislari'!AJ153,'E2E Nakliye Montaj'!$AM$3:$AM$1002,0)),"Hayır"))</f>
        <v/>
      </c>
      <c r="N153" s="27">
        <f>IF('DIVA Satislari'!I153="","",IFERROR(INDEX('E2E Nakliye Montaj'!$AV$3:$AV$1002,MATCH('DIVA Satislari'!AJ153,'E2E Nakliye Montaj'!$AM$3:$AM$1002,0)),""))</f>
        <v/>
      </c>
      <c r="O153" s="26">
        <f>IF(OR(A153="",N153=""),"",IF(N153&lt;=H153,"Evet","HAYIR - RİSK"))</f>
        <v/>
      </c>
      <c r="P153" s="26">
        <f>IF(A153="","",IF(LEFT(J153,8)="Kural A ","Uygun - Hemen Ödenir (Yıl Sonu %75 Kontrolüne Tabi)",IF(OR(L153="Evet",M153="Evet"),IF(O153="Evet","Uygun","RİSK - Hakediş Süresi Aşıldı"),"Bekleniyor - Nakliye/Montaj Tamamlanmadı")))</f>
        <v/>
      </c>
      <c r="Q153" s="28">
        <f>IF(A153="","",SUMIFS('Hakedis Fatura Detay'!$G$3:$G$1200,'Hakedis Fatura Detay'!$H$3:$H$1200,'DIVA Satislari'!AJ153,'Hakedis Fatura Detay'!$F$3:$F$1200,"Fiyat Farkı")+SUMIFS('Hakedis Fatura Detay'!$G$3:$G$1200,'Hakedis Fatura Detay'!$H$3:$H$1200,'DIVA Satislari'!AJ153,'Hakedis Fatura Detay'!$F$3:$F$1200,"Bundle"))</f>
        <v/>
      </c>
      <c r="R153" s="28">
        <f>IF(A153="","",I153-Q153)</f>
        <v/>
      </c>
      <c r="S153" s="26">
        <f>IF(A153="","",IF(LEFT(P153,7)="Bekleni","N/A - Henüz Ödenmemeli",IF(LEFT(P153,4)="RİSK","İNCELEME GEREKLİ - Süre Aşımı",IF(R153=0,"Doğru",IF(R153&gt;0,"EKSİK ÖDENMİŞ","FAZLA ÖDENMİŞ")))))</f>
        <v/>
      </c>
      <c r="T153" s="30">
        <f>IF(A153="","",IF(F153&lt;&gt;"Evet","İNCELEME GEREKLİ - Kampanya Tanımsız",IF(G153&lt;&gt;"Evet","İNCELEME GEREKLİ - Tarih Dışı Satış",IF(LEFT(P153,4)="RİSK","İNCELEME GEREKLİ - Hakediş Süresi Aşıldı",IF(OR(S153="EKSİK ÖDENMİŞ",S153="FAZLA ÖDENMİŞ"),"İNCELEME GEREKLİ - Tutar Uyuşmazlığı",IF(LEFT(P153,7)="Bekleni","Bekleniyor","Uygun"))))))</f>
        <v/>
      </c>
    </row>
    <row r="154">
      <c r="A154" s="26">
        <f>IF('DIVA Satislari'!I154="","",'DIVA Satislari'!I154)</f>
        <v/>
      </c>
      <c r="B154" s="26">
        <f>IF('DIVA Satislari'!I154="","",'DIVA Satislari'!R154)</f>
        <v/>
      </c>
      <c r="C154" s="26">
        <f>IF('DIVA Satislari'!I154="","",'DIVA Satislari'!M154)</f>
        <v/>
      </c>
      <c r="D154" s="27">
        <f>IF('DIVA Satislari'!I154="","",'DIVA Satislari'!H154)</f>
        <v/>
      </c>
      <c r="E154" s="26">
        <f>IF('DIVA Satislari'!I154="","",'DIVA Satislari'!O154)</f>
        <v/>
      </c>
      <c r="F154" s="26">
        <f>IF('DIVA Satislari'!I154="","",'DIVA Satislari'!AK154)</f>
        <v/>
      </c>
      <c r="G154" s="26">
        <f>IF('DIVA Satislari'!I154="","",'DIVA Satislari'!AO154)</f>
        <v/>
      </c>
      <c r="H154" s="27">
        <f>IF('DIVA Satislari'!I154="","",'DIVA Satislari'!AN154)</f>
        <v/>
      </c>
      <c r="I154" s="28">
        <f>IF('DIVA Satislari'!I154="","",'DIVA Satislari'!AQ154)</f>
        <v/>
      </c>
      <c r="J154" s="26">
        <f>IF('DIVA Satislari'!I154="","",'DIVA Satislari'!AR154)</f>
        <v/>
      </c>
      <c r="K154" s="26">
        <f>IF('DIVA Satislari'!I154="","",IFERROR(INDEX('E2E Nakliye Montaj'!$AS$3:$AS$1002,MATCH('DIVA Satislari'!AJ154,'E2E Nakliye Montaj'!$AM$3:$AM$1002,0)),"Eşleşme Yok"))</f>
        <v/>
      </c>
      <c r="L154" s="26">
        <f>IF('DIVA Satislari'!I154="","",IFERROR(INDEX('E2E Nakliye Montaj'!$AT$3:$AT$1002,MATCH('DIVA Satislari'!AJ154,'E2E Nakliye Montaj'!$AM$3:$AM$1002,0)),"Hayır"))</f>
        <v/>
      </c>
      <c r="M154" s="26">
        <f>IF('DIVA Satislari'!I154="","",IFERROR(INDEX('E2E Nakliye Montaj'!$AU$3:$AU$1002,MATCH('DIVA Satislari'!AJ154,'E2E Nakliye Montaj'!$AM$3:$AM$1002,0)),"Hayır"))</f>
        <v/>
      </c>
      <c r="N154" s="27">
        <f>IF('DIVA Satislari'!I154="","",IFERROR(INDEX('E2E Nakliye Montaj'!$AV$3:$AV$1002,MATCH('DIVA Satislari'!AJ154,'E2E Nakliye Montaj'!$AM$3:$AM$1002,0)),""))</f>
        <v/>
      </c>
      <c r="O154" s="26">
        <f>IF(OR(A154="",N154=""),"",IF(N154&lt;=H154,"Evet","HAYIR - RİSK"))</f>
        <v/>
      </c>
      <c r="P154" s="26">
        <f>IF(A154="","",IF(LEFT(J154,8)="Kural A ","Uygun - Hemen Ödenir (Yıl Sonu %75 Kontrolüne Tabi)",IF(OR(L154="Evet",M154="Evet"),IF(O154="Evet","Uygun","RİSK - Hakediş Süresi Aşıldı"),"Bekleniyor - Nakliye/Montaj Tamamlanmadı")))</f>
        <v/>
      </c>
      <c r="Q154" s="28">
        <f>IF(A154="","",SUMIFS('Hakedis Fatura Detay'!$G$3:$G$1200,'Hakedis Fatura Detay'!$H$3:$H$1200,'DIVA Satislari'!AJ154,'Hakedis Fatura Detay'!$F$3:$F$1200,"Fiyat Farkı")+SUMIFS('Hakedis Fatura Detay'!$G$3:$G$1200,'Hakedis Fatura Detay'!$H$3:$H$1200,'DIVA Satislari'!AJ154,'Hakedis Fatura Detay'!$F$3:$F$1200,"Bundle"))</f>
        <v/>
      </c>
      <c r="R154" s="28">
        <f>IF(A154="","",I154-Q154)</f>
        <v/>
      </c>
      <c r="S154" s="26">
        <f>IF(A154="","",IF(LEFT(P154,7)="Bekleni","N/A - Henüz Ödenmemeli",IF(LEFT(P154,4)="RİSK","İNCELEME GEREKLİ - Süre Aşımı",IF(R154=0,"Doğru",IF(R154&gt;0,"EKSİK ÖDENMİŞ","FAZLA ÖDENMİŞ")))))</f>
        <v/>
      </c>
      <c r="T154" s="30">
        <f>IF(A154="","",IF(F154&lt;&gt;"Evet","İNCELEME GEREKLİ - Kampanya Tanımsız",IF(G154&lt;&gt;"Evet","İNCELEME GEREKLİ - Tarih Dışı Satış",IF(LEFT(P154,4)="RİSK","İNCELEME GEREKLİ - Hakediş Süresi Aşıldı",IF(OR(S154="EKSİK ÖDENMİŞ",S154="FAZLA ÖDENMİŞ"),"İNCELEME GEREKLİ - Tutar Uyuşmazlığı",IF(LEFT(P154,7)="Bekleni","Bekleniyor","Uygun"))))))</f>
        <v/>
      </c>
    </row>
    <row r="155">
      <c r="A155" s="26">
        <f>IF('DIVA Satislari'!I155="","",'DIVA Satislari'!I155)</f>
        <v/>
      </c>
      <c r="B155" s="26">
        <f>IF('DIVA Satislari'!I155="","",'DIVA Satislari'!R155)</f>
        <v/>
      </c>
      <c r="C155" s="26">
        <f>IF('DIVA Satislari'!I155="","",'DIVA Satislari'!M155)</f>
        <v/>
      </c>
      <c r="D155" s="27">
        <f>IF('DIVA Satislari'!I155="","",'DIVA Satislari'!H155)</f>
        <v/>
      </c>
      <c r="E155" s="26">
        <f>IF('DIVA Satislari'!I155="","",'DIVA Satislari'!O155)</f>
        <v/>
      </c>
      <c r="F155" s="26">
        <f>IF('DIVA Satislari'!I155="","",'DIVA Satislari'!AK155)</f>
        <v/>
      </c>
      <c r="G155" s="26">
        <f>IF('DIVA Satislari'!I155="","",'DIVA Satislari'!AO155)</f>
        <v/>
      </c>
      <c r="H155" s="27">
        <f>IF('DIVA Satislari'!I155="","",'DIVA Satislari'!AN155)</f>
        <v/>
      </c>
      <c r="I155" s="28">
        <f>IF('DIVA Satislari'!I155="","",'DIVA Satislari'!AQ155)</f>
        <v/>
      </c>
      <c r="J155" s="26">
        <f>IF('DIVA Satislari'!I155="","",'DIVA Satislari'!AR155)</f>
        <v/>
      </c>
      <c r="K155" s="26">
        <f>IF('DIVA Satislari'!I155="","",IFERROR(INDEX('E2E Nakliye Montaj'!$AS$3:$AS$1002,MATCH('DIVA Satislari'!AJ155,'E2E Nakliye Montaj'!$AM$3:$AM$1002,0)),"Eşleşme Yok"))</f>
        <v/>
      </c>
      <c r="L155" s="26">
        <f>IF('DIVA Satislari'!I155="","",IFERROR(INDEX('E2E Nakliye Montaj'!$AT$3:$AT$1002,MATCH('DIVA Satislari'!AJ155,'E2E Nakliye Montaj'!$AM$3:$AM$1002,0)),"Hayır"))</f>
        <v/>
      </c>
      <c r="M155" s="26">
        <f>IF('DIVA Satislari'!I155="","",IFERROR(INDEX('E2E Nakliye Montaj'!$AU$3:$AU$1002,MATCH('DIVA Satislari'!AJ155,'E2E Nakliye Montaj'!$AM$3:$AM$1002,0)),"Hayır"))</f>
        <v/>
      </c>
      <c r="N155" s="27">
        <f>IF('DIVA Satislari'!I155="","",IFERROR(INDEX('E2E Nakliye Montaj'!$AV$3:$AV$1002,MATCH('DIVA Satislari'!AJ155,'E2E Nakliye Montaj'!$AM$3:$AM$1002,0)),""))</f>
        <v/>
      </c>
      <c r="O155" s="26">
        <f>IF(OR(A155="",N155=""),"",IF(N155&lt;=H155,"Evet","HAYIR - RİSK"))</f>
        <v/>
      </c>
      <c r="P155" s="26">
        <f>IF(A155="","",IF(LEFT(J155,8)="Kural A ","Uygun - Hemen Ödenir (Yıl Sonu %75 Kontrolüne Tabi)",IF(OR(L155="Evet",M155="Evet"),IF(O155="Evet","Uygun","RİSK - Hakediş Süresi Aşıldı"),"Bekleniyor - Nakliye/Montaj Tamamlanmadı")))</f>
        <v/>
      </c>
      <c r="Q155" s="28">
        <f>IF(A155="","",SUMIFS('Hakedis Fatura Detay'!$G$3:$G$1200,'Hakedis Fatura Detay'!$H$3:$H$1200,'DIVA Satislari'!AJ155,'Hakedis Fatura Detay'!$F$3:$F$1200,"Fiyat Farkı")+SUMIFS('Hakedis Fatura Detay'!$G$3:$G$1200,'Hakedis Fatura Detay'!$H$3:$H$1200,'DIVA Satislari'!AJ155,'Hakedis Fatura Detay'!$F$3:$F$1200,"Bundle"))</f>
        <v/>
      </c>
      <c r="R155" s="28">
        <f>IF(A155="","",I155-Q155)</f>
        <v/>
      </c>
      <c r="S155" s="26">
        <f>IF(A155="","",IF(LEFT(P155,7)="Bekleni","N/A - Henüz Ödenmemeli",IF(LEFT(P155,4)="RİSK","İNCELEME GEREKLİ - Süre Aşımı",IF(R155=0,"Doğru",IF(R155&gt;0,"EKSİK ÖDENMİŞ","FAZLA ÖDENMİŞ")))))</f>
        <v/>
      </c>
      <c r="T155" s="30">
        <f>IF(A155="","",IF(F155&lt;&gt;"Evet","İNCELEME GEREKLİ - Kampanya Tanımsız",IF(G155&lt;&gt;"Evet","İNCELEME GEREKLİ - Tarih Dışı Satış",IF(LEFT(P155,4)="RİSK","İNCELEME GEREKLİ - Hakediş Süresi Aşıldı",IF(OR(S155="EKSİK ÖDENMİŞ",S155="FAZLA ÖDENMİŞ"),"İNCELEME GEREKLİ - Tutar Uyuşmazlığı",IF(LEFT(P155,7)="Bekleni","Bekleniyor","Uygun"))))))</f>
        <v/>
      </c>
    </row>
    <row r="156">
      <c r="A156" s="26">
        <f>IF('DIVA Satislari'!I156="","",'DIVA Satislari'!I156)</f>
        <v/>
      </c>
      <c r="B156" s="26">
        <f>IF('DIVA Satislari'!I156="","",'DIVA Satislari'!R156)</f>
        <v/>
      </c>
      <c r="C156" s="26">
        <f>IF('DIVA Satislari'!I156="","",'DIVA Satislari'!M156)</f>
        <v/>
      </c>
      <c r="D156" s="27">
        <f>IF('DIVA Satislari'!I156="","",'DIVA Satislari'!H156)</f>
        <v/>
      </c>
      <c r="E156" s="26">
        <f>IF('DIVA Satislari'!I156="","",'DIVA Satislari'!O156)</f>
        <v/>
      </c>
      <c r="F156" s="26">
        <f>IF('DIVA Satislari'!I156="","",'DIVA Satislari'!AK156)</f>
        <v/>
      </c>
      <c r="G156" s="26">
        <f>IF('DIVA Satislari'!I156="","",'DIVA Satislari'!AO156)</f>
        <v/>
      </c>
      <c r="H156" s="27">
        <f>IF('DIVA Satislari'!I156="","",'DIVA Satislari'!AN156)</f>
        <v/>
      </c>
      <c r="I156" s="28">
        <f>IF('DIVA Satislari'!I156="","",'DIVA Satislari'!AQ156)</f>
        <v/>
      </c>
      <c r="J156" s="26">
        <f>IF('DIVA Satislari'!I156="","",'DIVA Satislari'!AR156)</f>
        <v/>
      </c>
      <c r="K156" s="26">
        <f>IF('DIVA Satislari'!I156="","",IFERROR(INDEX('E2E Nakliye Montaj'!$AS$3:$AS$1002,MATCH('DIVA Satislari'!AJ156,'E2E Nakliye Montaj'!$AM$3:$AM$1002,0)),"Eşleşme Yok"))</f>
        <v/>
      </c>
      <c r="L156" s="26">
        <f>IF('DIVA Satislari'!I156="","",IFERROR(INDEX('E2E Nakliye Montaj'!$AT$3:$AT$1002,MATCH('DIVA Satislari'!AJ156,'E2E Nakliye Montaj'!$AM$3:$AM$1002,0)),"Hayır"))</f>
        <v/>
      </c>
      <c r="M156" s="26">
        <f>IF('DIVA Satislari'!I156="","",IFERROR(INDEX('E2E Nakliye Montaj'!$AU$3:$AU$1002,MATCH('DIVA Satislari'!AJ156,'E2E Nakliye Montaj'!$AM$3:$AM$1002,0)),"Hayır"))</f>
        <v/>
      </c>
      <c r="N156" s="27">
        <f>IF('DIVA Satislari'!I156="","",IFERROR(INDEX('E2E Nakliye Montaj'!$AV$3:$AV$1002,MATCH('DIVA Satislari'!AJ156,'E2E Nakliye Montaj'!$AM$3:$AM$1002,0)),""))</f>
        <v/>
      </c>
      <c r="O156" s="26">
        <f>IF(OR(A156="",N156=""),"",IF(N156&lt;=H156,"Evet","HAYIR - RİSK"))</f>
        <v/>
      </c>
      <c r="P156" s="26">
        <f>IF(A156="","",IF(LEFT(J156,8)="Kural A ","Uygun - Hemen Ödenir (Yıl Sonu %75 Kontrolüne Tabi)",IF(OR(L156="Evet",M156="Evet"),IF(O156="Evet","Uygun","RİSK - Hakediş Süresi Aşıldı"),"Bekleniyor - Nakliye/Montaj Tamamlanmadı")))</f>
        <v/>
      </c>
      <c r="Q156" s="28">
        <f>IF(A156="","",SUMIFS('Hakedis Fatura Detay'!$G$3:$G$1200,'Hakedis Fatura Detay'!$H$3:$H$1200,'DIVA Satislari'!AJ156,'Hakedis Fatura Detay'!$F$3:$F$1200,"Fiyat Farkı")+SUMIFS('Hakedis Fatura Detay'!$G$3:$G$1200,'Hakedis Fatura Detay'!$H$3:$H$1200,'DIVA Satislari'!AJ156,'Hakedis Fatura Detay'!$F$3:$F$1200,"Bundle"))</f>
        <v/>
      </c>
      <c r="R156" s="28">
        <f>IF(A156="","",I156-Q156)</f>
        <v/>
      </c>
      <c r="S156" s="26">
        <f>IF(A156="","",IF(LEFT(P156,7)="Bekleni","N/A - Henüz Ödenmemeli",IF(LEFT(P156,4)="RİSK","İNCELEME GEREKLİ - Süre Aşımı",IF(R156=0,"Doğru",IF(R156&gt;0,"EKSİK ÖDENMİŞ","FAZLA ÖDENMİŞ")))))</f>
        <v/>
      </c>
      <c r="T156" s="30">
        <f>IF(A156="","",IF(F156&lt;&gt;"Evet","İNCELEME GEREKLİ - Kampanya Tanımsız",IF(G156&lt;&gt;"Evet","İNCELEME GEREKLİ - Tarih Dışı Satış",IF(LEFT(P156,4)="RİSK","İNCELEME GEREKLİ - Hakediş Süresi Aşıldı",IF(OR(S156="EKSİK ÖDENMİŞ",S156="FAZLA ÖDENMİŞ"),"İNCELEME GEREKLİ - Tutar Uyuşmazlığı",IF(LEFT(P156,7)="Bekleni","Bekleniyor","Uygun"))))))</f>
        <v/>
      </c>
    </row>
    <row r="157">
      <c r="A157" s="26">
        <f>IF('DIVA Satislari'!I157="","",'DIVA Satislari'!I157)</f>
        <v/>
      </c>
      <c r="B157" s="26">
        <f>IF('DIVA Satislari'!I157="","",'DIVA Satislari'!R157)</f>
        <v/>
      </c>
      <c r="C157" s="26">
        <f>IF('DIVA Satislari'!I157="","",'DIVA Satislari'!M157)</f>
        <v/>
      </c>
      <c r="D157" s="27">
        <f>IF('DIVA Satislari'!I157="","",'DIVA Satislari'!H157)</f>
        <v/>
      </c>
      <c r="E157" s="26">
        <f>IF('DIVA Satislari'!I157="","",'DIVA Satislari'!O157)</f>
        <v/>
      </c>
      <c r="F157" s="26">
        <f>IF('DIVA Satislari'!I157="","",'DIVA Satislari'!AK157)</f>
        <v/>
      </c>
      <c r="G157" s="26">
        <f>IF('DIVA Satislari'!I157="","",'DIVA Satislari'!AO157)</f>
        <v/>
      </c>
      <c r="H157" s="27">
        <f>IF('DIVA Satislari'!I157="","",'DIVA Satislari'!AN157)</f>
        <v/>
      </c>
      <c r="I157" s="28">
        <f>IF('DIVA Satislari'!I157="","",'DIVA Satislari'!AQ157)</f>
        <v/>
      </c>
      <c r="J157" s="26">
        <f>IF('DIVA Satislari'!I157="","",'DIVA Satislari'!AR157)</f>
        <v/>
      </c>
      <c r="K157" s="26">
        <f>IF('DIVA Satislari'!I157="","",IFERROR(INDEX('E2E Nakliye Montaj'!$AS$3:$AS$1002,MATCH('DIVA Satislari'!AJ157,'E2E Nakliye Montaj'!$AM$3:$AM$1002,0)),"Eşleşme Yok"))</f>
        <v/>
      </c>
      <c r="L157" s="26">
        <f>IF('DIVA Satislari'!I157="","",IFERROR(INDEX('E2E Nakliye Montaj'!$AT$3:$AT$1002,MATCH('DIVA Satislari'!AJ157,'E2E Nakliye Montaj'!$AM$3:$AM$1002,0)),"Hayır"))</f>
        <v/>
      </c>
      <c r="M157" s="26">
        <f>IF('DIVA Satislari'!I157="","",IFERROR(INDEX('E2E Nakliye Montaj'!$AU$3:$AU$1002,MATCH('DIVA Satislari'!AJ157,'E2E Nakliye Montaj'!$AM$3:$AM$1002,0)),"Hayır"))</f>
        <v/>
      </c>
      <c r="N157" s="27">
        <f>IF('DIVA Satislari'!I157="","",IFERROR(INDEX('E2E Nakliye Montaj'!$AV$3:$AV$1002,MATCH('DIVA Satislari'!AJ157,'E2E Nakliye Montaj'!$AM$3:$AM$1002,0)),""))</f>
        <v/>
      </c>
      <c r="O157" s="26">
        <f>IF(OR(A157="",N157=""),"",IF(N157&lt;=H157,"Evet","HAYIR - RİSK"))</f>
        <v/>
      </c>
      <c r="P157" s="26">
        <f>IF(A157="","",IF(LEFT(J157,8)="Kural A ","Uygun - Hemen Ödenir (Yıl Sonu %75 Kontrolüne Tabi)",IF(OR(L157="Evet",M157="Evet"),IF(O157="Evet","Uygun","RİSK - Hakediş Süresi Aşıldı"),"Bekleniyor - Nakliye/Montaj Tamamlanmadı")))</f>
        <v/>
      </c>
      <c r="Q157" s="28">
        <f>IF(A157="","",SUMIFS('Hakedis Fatura Detay'!$G$3:$G$1200,'Hakedis Fatura Detay'!$H$3:$H$1200,'DIVA Satislari'!AJ157,'Hakedis Fatura Detay'!$F$3:$F$1200,"Fiyat Farkı")+SUMIFS('Hakedis Fatura Detay'!$G$3:$G$1200,'Hakedis Fatura Detay'!$H$3:$H$1200,'DIVA Satislari'!AJ157,'Hakedis Fatura Detay'!$F$3:$F$1200,"Bundle"))</f>
        <v/>
      </c>
      <c r="R157" s="28">
        <f>IF(A157="","",I157-Q157)</f>
        <v/>
      </c>
      <c r="S157" s="26">
        <f>IF(A157="","",IF(LEFT(P157,7)="Bekleni","N/A - Henüz Ödenmemeli",IF(LEFT(P157,4)="RİSK","İNCELEME GEREKLİ - Süre Aşımı",IF(R157=0,"Doğru",IF(R157&gt;0,"EKSİK ÖDENMİŞ","FAZLA ÖDENMİŞ")))))</f>
        <v/>
      </c>
      <c r="T157" s="30">
        <f>IF(A157="","",IF(F157&lt;&gt;"Evet","İNCELEME GEREKLİ - Kampanya Tanımsız",IF(G157&lt;&gt;"Evet","İNCELEME GEREKLİ - Tarih Dışı Satış",IF(LEFT(P157,4)="RİSK","İNCELEME GEREKLİ - Hakediş Süresi Aşıldı",IF(OR(S157="EKSİK ÖDENMİŞ",S157="FAZLA ÖDENMİŞ"),"İNCELEME GEREKLİ - Tutar Uyuşmazlığı",IF(LEFT(P157,7)="Bekleni","Bekleniyor","Uygun"))))))</f>
        <v/>
      </c>
    </row>
    <row r="158">
      <c r="A158" s="26">
        <f>IF('DIVA Satislari'!I158="","",'DIVA Satislari'!I158)</f>
        <v/>
      </c>
      <c r="B158" s="26">
        <f>IF('DIVA Satislari'!I158="","",'DIVA Satislari'!R158)</f>
        <v/>
      </c>
      <c r="C158" s="26">
        <f>IF('DIVA Satislari'!I158="","",'DIVA Satislari'!M158)</f>
        <v/>
      </c>
      <c r="D158" s="27">
        <f>IF('DIVA Satislari'!I158="","",'DIVA Satislari'!H158)</f>
        <v/>
      </c>
      <c r="E158" s="26">
        <f>IF('DIVA Satislari'!I158="","",'DIVA Satislari'!O158)</f>
        <v/>
      </c>
      <c r="F158" s="26">
        <f>IF('DIVA Satislari'!I158="","",'DIVA Satislari'!AK158)</f>
        <v/>
      </c>
      <c r="G158" s="26">
        <f>IF('DIVA Satislari'!I158="","",'DIVA Satislari'!AO158)</f>
        <v/>
      </c>
      <c r="H158" s="27">
        <f>IF('DIVA Satislari'!I158="","",'DIVA Satislari'!AN158)</f>
        <v/>
      </c>
      <c r="I158" s="28">
        <f>IF('DIVA Satislari'!I158="","",'DIVA Satislari'!AQ158)</f>
        <v/>
      </c>
      <c r="J158" s="26">
        <f>IF('DIVA Satislari'!I158="","",'DIVA Satislari'!AR158)</f>
        <v/>
      </c>
      <c r="K158" s="26">
        <f>IF('DIVA Satislari'!I158="","",IFERROR(INDEX('E2E Nakliye Montaj'!$AS$3:$AS$1002,MATCH('DIVA Satislari'!AJ158,'E2E Nakliye Montaj'!$AM$3:$AM$1002,0)),"Eşleşme Yok"))</f>
        <v/>
      </c>
      <c r="L158" s="26">
        <f>IF('DIVA Satislari'!I158="","",IFERROR(INDEX('E2E Nakliye Montaj'!$AT$3:$AT$1002,MATCH('DIVA Satislari'!AJ158,'E2E Nakliye Montaj'!$AM$3:$AM$1002,0)),"Hayır"))</f>
        <v/>
      </c>
      <c r="M158" s="26">
        <f>IF('DIVA Satislari'!I158="","",IFERROR(INDEX('E2E Nakliye Montaj'!$AU$3:$AU$1002,MATCH('DIVA Satislari'!AJ158,'E2E Nakliye Montaj'!$AM$3:$AM$1002,0)),"Hayır"))</f>
        <v/>
      </c>
      <c r="N158" s="27">
        <f>IF('DIVA Satislari'!I158="","",IFERROR(INDEX('E2E Nakliye Montaj'!$AV$3:$AV$1002,MATCH('DIVA Satislari'!AJ158,'E2E Nakliye Montaj'!$AM$3:$AM$1002,0)),""))</f>
        <v/>
      </c>
      <c r="O158" s="26">
        <f>IF(OR(A158="",N158=""),"",IF(N158&lt;=H158,"Evet","HAYIR - RİSK"))</f>
        <v/>
      </c>
      <c r="P158" s="26">
        <f>IF(A158="","",IF(LEFT(J158,8)="Kural A ","Uygun - Hemen Ödenir (Yıl Sonu %75 Kontrolüne Tabi)",IF(OR(L158="Evet",M158="Evet"),IF(O158="Evet","Uygun","RİSK - Hakediş Süresi Aşıldı"),"Bekleniyor - Nakliye/Montaj Tamamlanmadı")))</f>
        <v/>
      </c>
      <c r="Q158" s="28">
        <f>IF(A158="","",SUMIFS('Hakedis Fatura Detay'!$G$3:$G$1200,'Hakedis Fatura Detay'!$H$3:$H$1200,'DIVA Satislari'!AJ158,'Hakedis Fatura Detay'!$F$3:$F$1200,"Fiyat Farkı")+SUMIFS('Hakedis Fatura Detay'!$G$3:$G$1200,'Hakedis Fatura Detay'!$H$3:$H$1200,'DIVA Satislari'!AJ158,'Hakedis Fatura Detay'!$F$3:$F$1200,"Bundle"))</f>
        <v/>
      </c>
      <c r="R158" s="28">
        <f>IF(A158="","",I158-Q158)</f>
        <v/>
      </c>
      <c r="S158" s="26">
        <f>IF(A158="","",IF(LEFT(P158,7)="Bekleni","N/A - Henüz Ödenmemeli",IF(LEFT(P158,4)="RİSK","İNCELEME GEREKLİ - Süre Aşımı",IF(R158=0,"Doğru",IF(R158&gt;0,"EKSİK ÖDENMİŞ","FAZLA ÖDENMİŞ")))))</f>
        <v/>
      </c>
      <c r="T158" s="30">
        <f>IF(A158="","",IF(F158&lt;&gt;"Evet","İNCELEME GEREKLİ - Kampanya Tanımsız",IF(G158&lt;&gt;"Evet","İNCELEME GEREKLİ - Tarih Dışı Satış",IF(LEFT(P158,4)="RİSK","İNCELEME GEREKLİ - Hakediş Süresi Aşıldı",IF(OR(S158="EKSİK ÖDENMİŞ",S158="FAZLA ÖDENMİŞ"),"İNCELEME GEREKLİ - Tutar Uyuşmazlığı",IF(LEFT(P158,7)="Bekleni","Bekleniyor","Uygun"))))))</f>
        <v/>
      </c>
    </row>
    <row r="159">
      <c r="A159" s="26">
        <f>IF('DIVA Satislari'!I159="","",'DIVA Satislari'!I159)</f>
        <v/>
      </c>
      <c r="B159" s="26">
        <f>IF('DIVA Satislari'!I159="","",'DIVA Satislari'!R159)</f>
        <v/>
      </c>
      <c r="C159" s="26">
        <f>IF('DIVA Satislari'!I159="","",'DIVA Satislari'!M159)</f>
        <v/>
      </c>
      <c r="D159" s="27">
        <f>IF('DIVA Satislari'!I159="","",'DIVA Satislari'!H159)</f>
        <v/>
      </c>
      <c r="E159" s="26">
        <f>IF('DIVA Satislari'!I159="","",'DIVA Satislari'!O159)</f>
        <v/>
      </c>
      <c r="F159" s="26">
        <f>IF('DIVA Satislari'!I159="","",'DIVA Satislari'!AK159)</f>
        <v/>
      </c>
      <c r="G159" s="26">
        <f>IF('DIVA Satislari'!I159="","",'DIVA Satislari'!AO159)</f>
        <v/>
      </c>
      <c r="H159" s="27">
        <f>IF('DIVA Satislari'!I159="","",'DIVA Satislari'!AN159)</f>
        <v/>
      </c>
      <c r="I159" s="28">
        <f>IF('DIVA Satislari'!I159="","",'DIVA Satislari'!AQ159)</f>
        <v/>
      </c>
      <c r="J159" s="26">
        <f>IF('DIVA Satislari'!I159="","",'DIVA Satislari'!AR159)</f>
        <v/>
      </c>
      <c r="K159" s="26">
        <f>IF('DIVA Satislari'!I159="","",IFERROR(INDEX('E2E Nakliye Montaj'!$AS$3:$AS$1002,MATCH('DIVA Satislari'!AJ159,'E2E Nakliye Montaj'!$AM$3:$AM$1002,0)),"Eşleşme Yok"))</f>
        <v/>
      </c>
      <c r="L159" s="26">
        <f>IF('DIVA Satislari'!I159="","",IFERROR(INDEX('E2E Nakliye Montaj'!$AT$3:$AT$1002,MATCH('DIVA Satislari'!AJ159,'E2E Nakliye Montaj'!$AM$3:$AM$1002,0)),"Hayır"))</f>
        <v/>
      </c>
      <c r="M159" s="26">
        <f>IF('DIVA Satislari'!I159="","",IFERROR(INDEX('E2E Nakliye Montaj'!$AU$3:$AU$1002,MATCH('DIVA Satislari'!AJ159,'E2E Nakliye Montaj'!$AM$3:$AM$1002,0)),"Hayır"))</f>
        <v/>
      </c>
      <c r="N159" s="27">
        <f>IF('DIVA Satislari'!I159="","",IFERROR(INDEX('E2E Nakliye Montaj'!$AV$3:$AV$1002,MATCH('DIVA Satislari'!AJ159,'E2E Nakliye Montaj'!$AM$3:$AM$1002,0)),""))</f>
        <v/>
      </c>
      <c r="O159" s="26">
        <f>IF(OR(A159="",N159=""),"",IF(N159&lt;=H159,"Evet","HAYIR - RİSK"))</f>
        <v/>
      </c>
      <c r="P159" s="26">
        <f>IF(A159="","",IF(LEFT(J159,8)="Kural A ","Uygun - Hemen Ödenir (Yıl Sonu %75 Kontrolüne Tabi)",IF(OR(L159="Evet",M159="Evet"),IF(O159="Evet","Uygun","RİSK - Hakediş Süresi Aşıldı"),"Bekleniyor - Nakliye/Montaj Tamamlanmadı")))</f>
        <v/>
      </c>
      <c r="Q159" s="28">
        <f>IF(A159="","",SUMIFS('Hakedis Fatura Detay'!$G$3:$G$1200,'Hakedis Fatura Detay'!$H$3:$H$1200,'DIVA Satislari'!AJ159,'Hakedis Fatura Detay'!$F$3:$F$1200,"Fiyat Farkı")+SUMIFS('Hakedis Fatura Detay'!$G$3:$G$1200,'Hakedis Fatura Detay'!$H$3:$H$1200,'DIVA Satislari'!AJ159,'Hakedis Fatura Detay'!$F$3:$F$1200,"Bundle"))</f>
        <v/>
      </c>
      <c r="R159" s="28">
        <f>IF(A159="","",I159-Q159)</f>
        <v/>
      </c>
      <c r="S159" s="26">
        <f>IF(A159="","",IF(LEFT(P159,7)="Bekleni","N/A - Henüz Ödenmemeli",IF(LEFT(P159,4)="RİSK","İNCELEME GEREKLİ - Süre Aşımı",IF(R159=0,"Doğru",IF(R159&gt;0,"EKSİK ÖDENMİŞ","FAZLA ÖDENMİŞ")))))</f>
        <v/>
      </c>
      <c r="T159" s="30">
        <f>IF(A159="","",IF(F159&lt;&gt;"Evet","İNCELEME GEREKLİ - Kampanya Tanımsız",IF(G159&lt;&gt;"Evet","İNCELEME GEREKLİ - Tarih Dışı Satış",IF(LEFT(P159,4)="RİSK","İNCELEME GEREKLİ - Hakediş Süresi Aşıldı",IF(OR(S159="EKSİK ÖDENMİŞ",S159="FAZLA ÖDENMİŞ"),"İNCELEME GEREKLİ - Tutar Uyuşmazlığı",IF(LEFT(P159,7)="Bekleni","Bekleniyor","Uygun"))))))</f>
        <v/>
      </c>
    </row>
    <row r="160">
      <c r="A160" s="26">
        <f>IF('DIVA Satislari'!I160="","",'DIVA Satislari'!I160)</f>
        <v/>
      </c>
      <c r="B160" s="26">
        <f>IF('DIVA Satislari'!I160="","",'DIVA Satislari'!R160)</f>
        <v/>
      </c>
      <c r="C160" s="26">
        <f>IF('DIVA Satislari'!I160="","",'DIVA Satislari'!M160)</f>
        <v/>
      </c>
      <c r="D160" s="27">
        <f>IF('DIVA Satislari'!I160="","",'DIVA Satislari'!H160)</f>
        <v/>
      </c>
      <c r="E160" s="26">
        <f>IF('DIVA Satislari'!I160="","",'DIVA Satislari'!O160)</f>
        <v/>
      </c>
      <c r="F160" s="26">
        <f>IF('DIVA Satislari'!I160="","",'DIVA Satislari'!AK160)</f>
        <v/>
      </c>
      <c r="G160" s="26">
        <f>IF('DIVA Satislari'!I160="","",'DIVA Satislari'!AO160)</f>
        <v/>
      </c>
      <c r="H160" s="27">
        <f>IF('DIVA Satislari'!I160="","",'DIVA Satislari'!AN160)</f>
        <v/>
      </c>
      <c r="I160" s="28">
        <f>IF('DIVA Satislari'!I160="","",'DIVA Satislari'!AQ160)</f>
        <v/>
      </c>
      <c r="J160" s="26">
        <f>IF('DIVA Satislari'!I160="","",'DIVA Satislari'!AR160)</f>
        <v/>
      </c>
      <c r="K160" s="26">
        <f>IF('DIVA Satislari'!I160="","",IFERROR(INDEX('E2E Nakliye Montaj'!$AS$3:$AS$1002,MATCH('DIVA Satislari'!AJ160,'E2E Nakliye Montaj'!$AM$3:$AM$1002,0)),"Eşleşme Yok"))</f>
        <v/>
      </c>
      <c r="L160" s="26">
        <f>IF('DIVA Satislari'!I160="","",IFERROR(INDEX('E2E Nakliye Montaj'!$AT$3:$AT$1002,MATCH('DIVA Satislari'!AJ160,'E2E Nakliye Montaj'!$AM$3:$AM$1002,0)),"Hayır"))</f>
        <v/>
      </c>
      <c r="M160" s="26">
        <f>IF('DIVA Satislari'!I160="","",IFERROR(INDEX('E2E Nakliye Montaj'!$AU$3:$AU$1002,MATCH('DIVA Satislari'!AJ160,'E2E Nakliye Montaj'!$AM$3:$AM$1002,0)),"Hayır"))</f>
        <v/>
      </c>
      <c r="N160" s="27">
        <f>IF('DIVA Satislari'!I160="","",IFERROR(INDEX('E2E Nakliye Montaj'!$AV$3:$AV$1002,MATCH('DIVA Satislari'!AJ160,'E2E Nakliye Montaj'!$AM$3:$AM$1002,0)),""))</f>
        <v/>
      </c>
      <c r="O160" s="26">
        <f>IF(OR(A160="",N160=""),"",IF(N160&lt;=H160,"Evet","HAYIR - RİSK"))</f>
        <v/>
      </c>
      <c r="P160" s="26">
        <f>IF(A160="","",IF(LEFT(J160,8)="Kural A ","Uygun - Hemen Ödenir (Yıl Sonu %75 Kontrolüne Tabi)",IF(OR(L160="Evet",M160="Evet"),IF(O160="Evet","Uygun","RİSK - Hakediş Süresi Aşıldı"),"Bekleniyor - Nakliye/Montaj Tamamlanmadı")))</f>
        <v/>
      </c>
      <c r="Q160" s="28">
        <f>IF(A160="","",SUMIFS('Hakedis Fatura Detay'!$G$3:$G$1200,'Hakedis Fatura Detay'!$H$3:$H$1200,'DIVA Satislari'!AJ160,'Hakedis Fatura Detay'!$F$3:$F$1200,"Fiyat Farkı")+SUMIFS('Hakedis Fatura Detay'!$G$3:$G$1200,'Hakedis Fatura Detay'!$H$3:$H$1200,'DIVA Satislari'!AJ160,'Hakedis Fatura Detay'!$F$3:$F$1200,"Bundle"))</f>
        <v/>
      </c>
      <c r="R160" s="28">
        <f>IF(A160="","",I160-Q160)</f>
        <v/>
      </c>
      <c r="S160" s="26">
        <f>IF(A160="","",IF(LEFT(P160,7)="Bekleni","N/A - Henüz Ödenmemeli",IF(LEFT(P160,4)="RİSK","İNCELEME GEREKLİ - Süre Aşımı",IF(R160=0,"Doğru",IF(R160&gt;0,"EKSİK ÖDENMİŞ","FAZLA ÖDENMİŞ")))))</f>
        <v/>
      </c>
      <c r="T160" s="30">
        <f>IF(A160="","",IF(F160&lt;&gt;"Evet","İNCELEME GEREKLİ - Kampanya Tanımsız",IF(G160&lt;&gt;"Evet","İNCELEME GEREKLİ - Tarih Dışı Satış",IF(LEFT(P160,4)="RİSK","İNCELEME GEREKLİ - Hakediş Süresi Aşıldı",IF(OR(S160="EKSİK ÖDENMİŞ",S160="FAZLA ÖDENMİŞ"),"İNCELEME GEREKLİ - Tutar Uyuşmazlığı",IF(LEFT(P160,7)="Bekleni","Bekleniyor","Uygun"))))))</f>
        <v/>
      </c>
    </row>
    <row r="161">
      <c r="A161" s="26">
        <f>IF('DIVA Satislari'!I161="","",'DIVA Satislari'!I161)</f>
        <v/>
      </c>
      <c r="B161" s="26">
        <f>IF('DIVA Satislari'!I161="","",'DIVA Satislari'!R161)</f>
        <v/>
      </c>
      <c r="C161" s="26">
        <f>IF('DIVA Satislari'!I161="","",'DIVA Satislari'!M161)</f>
        <v/>
      </c>
      <c r="D161" s="27">
        <f>IF('DIVA Satislari'!I161="","",'DIVA Satislari'!H161)</f>
        <v/>
      </c>
      <c r="E161" s="26">
        <f>IF('DIVA Satislari'!I161="","",'DIVA Satislari'!O161)</f>
        <v/>
      </c>
      <c r="F161" s="26">
        <f>IF('DIVA Satislari'!I161="","",'DIVA Satislari'!AK161)</f>
        <v/>
      </c>
      <c r="G161" s="26">
        <f>IF('DIVA Satislari'!I161="","",'DIVA Satislari'!AO161)</f>
        <v/>
      </c>
      <c r="H161" s="27">
        <f>IF('DIVA Satislari'!I161="","",'DIVA Satislari'!AN161)</f>
        <v/>
      </c>
      <c r="I161" s="28">
        <f>IF('DIVA Satislari'!I161="","",'DIVA Satislari'!AQ161)</f>
        <v/>
      </c>
      <c r="J161" s="26">
        <f>IF('DIVA Satislari'!I161="","",'DIVA Satislari'!AR161)</f>
        <v/>
      </c>
      <c r="K161" s="26">
        <f>IF('DIVA Satislari'!I161="","",IFERROR(INDEX('E2E Nakliye Montaj'!$AS$3:$AS$1002,MATCH('DIVA Satislari'!AJ161,'E2E Nakliye Montaj'!$AM$3:$AM$1002,0)),"Eşleşme Yok"))</f>
        <v/>
      </c>
      <c r="L161" s="26">
        <f>IF('DIVA Satislari'!I161="","",IFERROR(INDEX('E2E Nakliye Montaj'!$AT$3:$AT$1002,MATCH('DIVA Satislari'!AJ161,'E2E Nakliye Montaj'!$AM$3:$AM$1002,0)),"Hayır"))</f>
        <v/>
      </c>
      <c r="M161" s="26">
        <f>IF('DIVA Satislari'!I161="","",IFERROR(INDEX('E2E Nakliye Montaj'!$AU$3:$AU$1002,MATCH('DIVA Satislari'!AJ161,'E2E Nakliye Montaj'!$AM$3:$AM$1002,0)),"Hayır"))</f>
        <v/>
      </c>
      <c r="N161" s="27">
        <f>IF('DIVA Satislari'!I161="","",IFERROR(INDEX('E2E Nakliye Montaj'!$AV$3:$AV$1002,MATCH('DIVA Satislari'!AJ161,'E2E Nakliye Montaj'!$AM$3:$AM$1002,0)),""))</f>
        <v/>
      </c>
      <c r="O161" s="26">
        <f>IF(OR(A161="",N161=""),"",IF(N161&lt;=H161,"Evet","HAYIR - RİSK"))</f>
        <v/>
      </c>
      <c r="P161" s="26">
        <f>IF(A161="","",IF(LEFT(J161,8)="Kural A ","Uygun - Hemen Ödenir (Yıl Sonu %75 Kontrolüne Tabi)",IF(OR(L161="Evet",M161="Evet"),IF(O161="Evet","Uygun","RİSK - Hakediş Süresi Aşıldı"),"Bekleniyor - Nakliye/Montaj Tamamlanmadı")))</f>
        <v/>
      </c>
      <c r="Q161" s="28">
        <f>IF(A161="","",SUMIFS('Hakedis Fatura Detay'!$G$3:$G$1200,'Hakedis Fatura Detay'!$H$3:$H$1200,'DIVA Satislari'!AJ161,'Hakedis Fatura Detay'!$F$3:$F$1200,"Fiyat Farkı")+SUMIFS('Hakedis Fatura Detay'!$G$3:$G$1200,'Hakedis Fatura Detay'!$H$3:$H$1200,'DIVA Satislari'!AJ161,'Hakedis Fatura Detay'!$F$3:$F$1200,"Bundle"))</f>
        <v/>
      </c>
      <c r="R161" s="28">
        <f>IF(A161="","",I161-Q161)</f>
        <v/>
      </c>
      <c r="S161" s="26">
        <f>IF(A161="","",IF(LEFT(P161,7)="Bekleni","N/A - Henüz Ödenmemeli",IF(LEFT(P161,4)="RİSK","İNCELEME GEREKLİ - Süre Aşımı",IF(R161=0,"Doğru",IF(R161&gt;0,"EKSİK ÖDENMİŞ","FAZLA ÖDENMİŞ")))))</f>
        <v/>
      </c>
      <c r="T161" s="30">
        <f>IF(A161="","",IF(F161&lt;&gt;"Evet","İNCELEME GEREKLİ - Kampanya Tanımsız",IF(G161&lt;&gt;"Evet","İNCELEME GEREKLİ - Tarih Dışı Satış",IF(LEFT(P161,4)="RİSK","İNCELEME GEREKLİ - Hakediş Süresi Aşıldı",IF(OR(S161="EKSİK ÖDENMİŞ",S161="FAZLA ÖDENMİŞ"),"İNCELEME GEREKLİ - Tutar Uyuşmazlığı",IF(LEFT(P161,7)="Bekleni","Bekleniyor","Uygun"))))))</f>
        <v/>
      </c>
    </row>
    <row r="162">
      <c r="A162" s="26">
        <f>IF('DIVA Satislari'!I162="","",'DIVA Satislari'!I162)</f>
        <v/>
      </c>
      <c r="B162" s="26">
        <f>IF('DIVA Satislari'!I162="","",'DIVA Satislari'!R162)</f>
        <v/>
      </c>
      <c r="C162" s="26">
        <f>IF('DIVA Satislari'!I162="","",'DIVA Satislari'!M162)</f>
        <v/>
      </c>
      <c r="D162" s="27">
        <f>IF('DIVA Satislari'!I162="","",'DIVA Satislari'!H162)</f>
        <v/>
      </c>
      <c r="E162" s="26">
        <f>IF('DIVA Satislari'!I162="","",'DIVA Satislari'!O162)</f>
        <v/>
      </c>
      <c r="F162" s="26">
        <f>IF('DIVA Satislari'!I162="","",'DIVA Satislari'!AK162)</f>
        <v/>
      </c>
      <c r="G162" s="26">
        <f>IF('DIVA Satislari'!I162="","",'DIVA Satislari'!AO162)</f>
        <v/>
      </c>
      <c r="H162" s="27">
        <f>IF('DIVA Satislari'!I162="","",'DIVA Satislari'!AN162)</f>
        <v/>
      </c>
      <c r="I162" s="28">
        <f>IF('DIVA Satislari'!I162="","",'DIVA Satislari'!AQ162)</f>
        <v/>
      </c>
      <c r="J162" s="26">
        <f>IF('DIVA Satislari'!I162="","",'DIVA Satislari'!AR162)</f>
        <v/>
      </c>
      <c r="K162" s="26">
        <f>IF('DIVA Satislari'!I162="","",IFERROR(INDEX('E2E Nakliye Montaj'!$AS$3:$AS$1002,MATCH('DIVA Satislari'!AJ162,'E2E Nakliye Montaj'!$AM$3:$AM$1002,0)),"Eşleşme Yok"))</f>
        <v/>
      </c>
      <c r="L162" s="26">
        <f>IF('DIVA Satislari'!I162="","",IFERROR(INDEX('E2E Nakliye Montaj'!$AT$3:$AT$1002,MATCH('DIVA Satislari'!AJ162,'E2E Nakliye Montaj'!$AM$3:$AM$1002,0)),"Hayır"))</f>
        <v/>
      </c>
      <c r="M162" s="26">
        <f>IF('DIVA Satislari'!I162="","",IFERROR(INDEX('E2E Nakliye Montaj'!$AU$3:$AU$1002,MATCH('DIVA Satislari'!AJ162,'E2E Nakliye Montaj'!$AM$3:$AM$1002,0)),"Hayır"))</f>
        <v/>
      </c>
      <c r="N162" s="27">
        <f>IF('DIVA Satislari'!I162="","",IFERROR(INDEX('E2E Nakliye Montaj'!$AV$3:$AV$1002,MATCH('DIVA Satislari'!AJ162,'E2E Nakliye Montaj'!$AM$3:$AM$1002,0)),""))</f>
        <v/>
      </c>
      <c r="O162" s="26">
        <f>IF(OR(A162="",N162=""),"",IF(N162&lt;=H162,"Evet","HAYIR - RİSK"))</f>
        <v/>
      </c>
      <c r="P162" s="26">
        <f>IF(A162="","",IF(LEFT(J162,8)="Kural A ","Uygun - Hemen Ödenir (Yıl Sonu %75 Kontrolüne Tabi)",IF(OR(L162="Evet",M162="Evet"),IF(O162="Evet","Uygun","RİSK - Hakediş Süresi Aşıldı"),"Bekleniyor - Nakliye/Montaj Tamamlanmadı")))</f>
        <v/>
      </c>
      <c r="Q162" s="28">
        <f>IF(A162="","",SUMIFS('Hakedis Fatura Detay'!$G$3:$G$1200,'Hakedis Fatura Detay'!$H$3:$H$1200,'DIVA Satislari'!AJ162,'Hakedis Fatura Detay'!$F$3:$F$1200,"Fiyat Farkı")+SUMIFS('Hakedis Fatura Detay'!$G$3:$G$1200,'Hakedis Fatura Detay'!$H$3:$H$1200,'DIVA Satislari'!AJ162,'Hakedis Fatura Detay'!$F$3:$F$1200,"Bundle"))</f>
        <v/>
      </c>
      <c r="R162" s="28">
        <f>IF(A162="","",I162-Q162)</f>
        <v/>
      </c>
      <c r="S162" s="26">
        <f>IF(A162="","",IF(LEFT(P162,7)="Bekleni","N/A - Henüz Ödenmemeli",IF(LEFT(P162,4)="RİSK","İNCELEME GEREKLİ - Süre Aşımı",IF(R162=0,"Doğru",IF(R162&gt;0,"EKSİK ÖDENMİŞ","FAZLA ÖDENMİŞ")))))</f>
        <v/>
      </c>
      <c r="T162" s="30">
        <f>IF(A162="","",IF(F162&lt;&gt;"Evet","İNCELEME GEREKLİ - Kampanya Tanımsız",IF(G162&lt;&gt;"Evet","İNCELEME GEREKLİ - Tarih Dışı Satış",IF(LEFT(P162,4)="RİSK","İNCELEME GEREKLİ - Hakediş Süresi Aşıldı",IF(OR(S162="EKSİK ÖDENMİŞ",S162="FAZLA ÖDENMİŞ"),"İNCELEME GEREKLİ - Tutar Uyuşmazlığı",IF(LEFT(P162,7)="Bekleni","Bekleniyor","Uygun"))))))</f>
        <v/>
      </c>
    </row>
    <row r="163">
      <c r="A163" s="26">
        <f>IF('DIVA Satislari'!I163="","",'DIVA Satislari'!I163)</f>
        <v/>
      </c>
      <c r="B163" s="26">
        <f>IF('DIVA Satislari'!I163="","",'DIVA Satislari'!R163)</f>
        <v/>
      </c>
      <c r="C163" s="26">
        <f>IF('DIVA Satislari'!I163="","",'DIVA Satislari'!M163)</f>
        <v/>
      </c>
      <c r="D163" s="27">
        <f>IF('DIVA Satislari'!I163="","",'DIVA Satislari'!H163)</f>
        <v/>
      </c>
      <c r="E163" s="26">
        <f>IF('DIVA Satislari'!I163="","",'DIVA Satislari'!O163)</f>
        <v/>
      </c>
      <c r="F163" s="26">
        <f>IF('DIVA Satislari'!I163="","",'DIVA Satislari'!AK163)</f>
        <v/>
      </c>
      <c r="G163" s="26">
        <f>IF('DIVA Satislari'!I163="","",'DIVA Satislari'!AO163)</f>
        <v/>
      </c>
      <c r="H163" s="27">
        <f>IF('DIVA Satislari'!I163="","",'DIVA Satislari'!AN163)</f>
        <v/>
      </c>
      <c r="I163" s="28">
        <f>IF('DIVA Satislari'!I163="","",'DIVA Satislari'!AQ163)</f>
        <v/>
      </c>
      <c r="J163" s="26">
        <f>IF('DIVA Satislari'!I163="","",'DIVA Satislari'!AR163)</f>
        <v/>
      </c>
      <c r="K163" s="26">
        <f>IF('DIVA Satislari'!I163="","",IFERROR(INDEX('E2E Nakliye Montaj'!$AS$3:$AS$1002,MATCH('DIVA Satislari'!AJ163,'E2E Nakliye Montaj'!$AM$3:$AM$1002,0)),"Eşleşme Yok"))</f>
        <v/>
      </c>
      <c r="L163" s="26">
        <f>IF('DIVA Satislari'!I163="","",IFERROR(INDEX('E2E Nakliye Montaj'!$AT$3:$AT$1002,MATCH('DIVA Satislari'!AJ163,'E2E Nakliye Montaj'!$AM$3:$AM$1002,0)),"Hayır"))</f>
        <v/>
      </c>
      <c r="M163" s="26">
        <f>IF('DIVA Satislari'!I163="","",IFERROR(INDEX('E2E Nakliye Montaj'!$AU$3:$AU$1002,MATCH('DIVA Satislari'!AJ163,'E2E Nakliye Montaj'!$AM$3:$AM$1002,0)),"Hayır"))</f>
        <v/>
      </c>
      <c r="N163" s="27">
        <f>IF('DIVA Satislari'!I163="","",IFERROR(INDEX('E2E Nakliye Montaj'!$AV$3:$AV$1002,MATCH('DIVA Satislari'!AJ163,'E2E Nakliye Montaj'!$AM$3:$AM$1002,0)),""))</f>
        <v/>
      </c>
      <c r="O163" s="26">
        <f>IF(OR(A163="",N163=""),"",IF(N163&lt;=H163,"Evet","HAYIR - RİSK"))</f>
        <v/>
      </c>
      <c r="P163" s="26">
        <f>IF(A163="","",IF(LEFT(J163,8)="Kural A ","Uygun - Hemen Ödenir (Yıl Sonu %75 Kontrolüne Tabi)",IF(OR(L163="Evet",M163="Evet"),IF(O163="Evet","Uygun","RİSK - Hakediş Süresi Aşıldı"),"Bekleniyor - Nakliye/Montaj Tamamlanmadı")))</f>
        <v/>
      </c>
      <c r="Q163" s="28">
        <f>IF(A163="","",SUMIFS('Hakedis Fatura Detay'!$G$3:$G$1200,'Hakedis Fatura Detay'!$H$3:$H$1200,'DIVA Satislari'!AJ163,'Hakedis Fatura Detay'!$F$3:$F$1200,"Fiyat Farkı")+SUMIFS('Hakedis Fatura Detay'!$G$3:$G$1200,'Hakedis Fatura Detay'!$H$3:$H$1200,'DIVA Satislari'!AJ163,'Hakedis Fatura Detay'!$F$3:$F$1200,"Bundle"))</f>
        <v/>
      </c>
      <c r="R163" s="28">
        <f>IF(A163="","",I163-Q163)</f>
        <v/>
      </c>
      <c r="S163" s="26">
        <f>IF(A163="","",IF(LEFT(P163,7)="Bekleni","N/A - Henüz Ödenmemeli",IF(LEFT(P163,4)="RİSK","İNCELEME GEREKLİ - Süre Aşımı",IF(R163=0,"Doğru",IF(R163&gt;0,"EKSİK ÖDENMİŞ","FAZLA ÖDENMİŞ")))))</f>
        <v/>
      </c>
      <c r="T163" s="30">
        <f>IF(A163="","",IF(F163&lt;&gt;"Evet","İNCELEME GEREKLİ - Kampanya Tanımsız",IF(G163&lt;&gt;"Evet","İNCELEME GEREKLİ - Tarih Dışı Satış",IF(LEFT(P163,4)="RİSK","İNCELEME GEREKLİ - Hakediş Süresi Aşıldı",IF(OR(S163="EKSİK ÖDENMİŞ",S163="FAZLA ÖDENMİŞ"),"İNCELEME GEREKLİ - Tutar Uyuşmazlığı",IF(LEFT(P163,7)="Bekleni","Bekleniyor","Uygun"))))))</f>
        <v/>
      </c>
    </row>
    <row r="164">
      <c r="A164" s="26">
        <f>IF('DIVA Satislari'!I164="","",'DIVA Satislari'!I164)</f>
        <v/>
      </c>
      <c r="B164" s="26">
        <f>IF('DIVA Satislari'!I164="","",'DIVA Satislari'!R164)</f>
        <v/>
      </c>
      <c r="C164" s="26">
        <f>IF('DIVA Satislari'!I164="","",'DIVA Satislari'!M164)</f>
        <v/>
      </c>
      <c r="D164" s="27">
        <f>IF('DIVA Satislari'!I164="","",'DIVA Satislari'!H164)</f>
        <v/>
      </c>
      <c r="E164" s="26">
        <f>IF('DIVA Satislari'!I164="","",'DIVA Satislari'!O164)</f>
        <v/>
      </c>
      <c r="F164" s="26">
        <f>IF('DIVA Satislari'!I164="","",'DIVA Satislari'!AK164)</f>
        <v/>
      </c>
      <c r="G164" s="26">
        <f>IF('DIVA Satislari'!I164="","",'DIVA Satislari'!AO164)</f>
        <v/>
      </c>
      <c r="H164" s="27">
        <f>IF('DIVA Satislari'!I164="","",'DIVA Satislari'!AN164)</f>
        <v/>
      </c>
      <c r="I164" s="28">
        <f>IF('DIVA Satislari'!I164="","",'DIVA Satislari'!AQ164)</f>
        <v/>
      </c>
      <c r="J164" s="26">
        <f>IF('DIVA Satislari'!I164="","",'DIVA Satislari'!AR164)</f>
        <v/>
      </c>
      <c r="K164" s="26">
        <f>IF('DIVA Satislari'!I164="","",IFERROR(INDEX('E2E Nakliye Montaj'!$AS$3:$AS$1002,MATCH('DIVA Satislari'!AJ164,'E2E Nakliye Montaj'!$AM$3:$AM$1002,0)),"Eşleşme Yok"))</f>
        <v/>
      </c>
      <c r="L164" s="26">
        <f>IF('DIVA Satislari'!I164="","",IFERROR(INDEX('E2E Nakliye Montaj'!$AT$3:$AT$1002,MATCH('DIVA Satislari'!AJ164,'E2E Nakliye Montaj'!$AM$3:$AM$1002,0)),"Hayır"))</f>
        <v/>
      </c>
      <c r="M164" s="26">
        <f>IF('DIVA Satislari'!I164="","",IFERROR(INDEX('E2E Nakliye Montaj'!$AU$3:$AU$1002,MATCH('DIVA Satislari'!AJ164,'E2E Nakliye Montaj'!$AM$3:$AM$1002,0)),"Hayır"))</f>
        <v/>
      </c>
      <c r="N164" s="27">
        <f>IF('DIVA Satislari'!I164="","",IFERROR(INDEX('E2E Nakliye Montaj'!$AV$3:$AV$1002,MATCH('DIVA Satislari'!AJ164,'E2E Nakliye Montaj'!$AM$3:$AM$1002,0)),""))</f>
        <v/>
      </c>
      <c r="O164" s="26">
        <f>IF(OR(A164="",N164=""),"",IF(N164&lt;=H164,"Evet","HAYIR - RİSK"))</f>
        <v/>
      </c>
      <c r="P164" s="26">
        <f>IF(A164="","",IF(LEFT(J164,8)="Kural A ","Uygun - Hemen Ödenir (Yıl Sonu %75 Kontrolüne Tabi)",IF(OR(L164="Evet",M164="Evet"),IF(O164="Evet","Uygun","RİSK - Hakediş Süresi Aşıldı"),"Bekleniyor - Nakliye/Montaj Tamamlanmadı")))</f>
        <v/>
      </c>
      <c r="Q164" s="28">
        <f>IF(A164="","",SUMIFS('Hakedis Fatura Detay'!$G$3:$G$1200,'Hakedis Fatura Detay'!$H$3:$H$1200,'DIVA Satislari'!AJ164,'Hakedis Fatura Detay'!$F$3:$F$1200,"Fiyat Farkı")+SUMIFS('Hakedis Fatura Detay'!$G$3:$G$1200,'Hakedis Fatura Detay'!$H$3:$H$1200,'DIVA Satislari'!AJ164,'Hakedis Fatura Detay'!$F$3:$F$1200,"Bundle"))</f>
        <v/>
      </c>
      <c r="R164" s="28">
        <f>IF(A164="","",I164-Q164)</f>
        <v/>
      </c>
      <c r="S164" s="26">
        <f>IF(A164="","",IF(LEFT(P164,7)="Bekleni","N/A - Henüz Ödenmemeli",IF(LEFT(P164,4)="RİSK","İNCELEME GEREKLİ - Süre Aşımı",IF(R164=0,"Doğru",IF(R164&gt;0,"EKSİK ÖDENMİŞ","FAZLA ÖDENMİŞ")))))</f>
        <v/>
      </c>
      <c r="T164" s="30">
        <f>IF(A164="","",IF(F164&lt;&gt;"Evet","İNCELEME GEREKLİ - Kampanya Tanımsız",IF(G164&lt;&gt;"Evet","İNCELEME GEREKLİ - Tarih Dışı Satış",IF(LEFT(P164,4)="RİSK","İNCELEME GEREKLİ - Hakediş Süresi Aşıldı",IF(OR(S164="EKSİK ÖDENMİŞ",S164="FAZLA ÖDENMİŞ"),"İNCELEME GEREKLİ - Tutar Uyuşmazlığı",IF(LEFT(P164,7)="Bekleni","Bekleniyor","Uygun"))))))</f>
        <v/>
      </c>
    </row>
    <row r="165">
      <c r="A165" s="26">
        <f>IF('DIVA Satislari'!I165="","",'DIVA Satislari'!I165)</f>
        <v/>
      </c>
      <c r="B165" s="26">
        <f>IF('DIVA Satislari'!I165="","",'DIVA Satislari'!R165)</f>
        <v/>
      </c>
      <c r="C165" s="26">
        <f>IF('DIVA Satislari'!I165="","",'DIVA Satislari'!M165)</f>
        <v/>
      </c>
      <c r="D165" s="27">
        <f>IF('DIVA Satislari'!I165="","",'DIVA Satislari'!H165)</f>
        <v/>
      </c>
      <c r="E165" s="26">
        <f>IF('DIVA Satislari'!I165="","",'DIVA Satislari'!O165)</f>
        <v/>
      </c>
      <c r="F165" s="26">
        <f>IF('DIVA Satislari'!I165="","",'DIVA Satislari'!AK165)</f>
        <v/>
      </c>
      <c r="G165" s="26">
        <f>IF('DIVA Satislari'!I165="","",'DIVA Satislari'!AO165)</f>
        <v/>
      </c>
      <c r="H165" s="27">
        <f>IF('DIVA Satislari'!I165="","",'DIVA Satislari'!AN165)</f>
        <v/>
      </c>
      <c r="I165" s="28">
        <f>IF('DIVA Satislari'!I165="","",'DIVA Satislari'!AQ165)</f>
        <v/>
      </c>
      <c r="J165" s="26">
        <f>IF('DIVA Satislari'!I165="","",'DIVA Satislari'!AR165)</f>
        <v/>
      </c>
      <c r="K165" s="26">
        <f>IF('DIVA Satislari'!I165="","",IFERROR(INDEX('E2E Nakliye Montaj'!$AS$3:$AS$1002,MATCH('DIVA Satislari'!AJ165,'E2E Nakliye Montaj'!$AM$3:$AM$1002,0)),"Eşleşme Yok"))</f>
        <v/>
      </c>
      <c r="L165" s="26">
        <f>IF('DIVA Satislari'!I165="","",IFERROR(INDEX('E2E Nakliye Montaj'!$AT$3:$AT$1002,MATCH('DIVA Satislari'!AJ165,'E2E Nakliye Montaj'!$AM$3:$AM$1002,0)),"Hayır"))</f>
        <v/>
      </c>
      <c r="M165" s="26">
        <f>IF('DIVA Satislari'!I165="","",IFERROR(INDEX('E2E Nakliye Montaj'!$AU$3:$AU$1002,MATCH('DIVA Satislari'!AJ165,'E2E Nakliye Montaj'!$AM$3:$AM$1002,0)),"Hayır"))</f>
        <v/>
      </c>
      <c r="N165" s="27">
        <f>IF('DIVA Satislari'!I165="","",IFERROR(INDEX('E2E Nakliye Montaj'!$AV$3:$AV$1002,MATCH('DIVA Satislari'!AJ165,'E2E Nakliye Montaj'!$AM$3:$AM$1002,0)),""))</f>
        <v/>
      </c>
      <c r="O165" s="26">
        <f>IF(OR(A165="",N165=""),"",IF(N165&lt;=H165,"Evet","HAYIR - RİSK"))</f>
        <v/>
      </c>
      <c r="P165" s="26">
        <f>IF(A165="","",IF(LEFT(J165,8)="Kural A ","Uygun - Hemen Ödenir (Yıl Sonu %75 Kontrolüne Tabi)",IF(OR(L165="Evet",M165="Evet"),IF(O165="Evet","Uygun","RİSK - Hakediş Süresi Aşıldı"),"Bekleniyor - Nakliye/Montaj Tamamlanmadı")))</f>
        <v/>
      </c>
      <c r="Q165" s="28">
        <f>IF(A165="","",SUMIFS('Hakedis Fatura Detay'!$G$3:$G$1200,'Hakedis Fatura Detay'!$H$3:$H$1200,'DIVA Satislari'!AJ165,'Hakedis Fatura Detay'!$F$3:$F$1200,"Fiyat Farkı")+SUMIFS('Hakedis Fatura Detay'!$G$3:$G$1200,'Hakedis Fatura Detay'!$H$3:$H$1200,'DIVA Satislari'!AJ165,'Hakedis Fatura Detay'!$F$3:$F$1200,"Bundle"))</f>
        <v/>
      </c>
      <c r="R165" s="28">
        <f>IF(A165="","",I165-Q165)</f>
        <v/>
      </c>
      <c r="S165" s="26">
        <f>IF(A165="","",IF(LEFT(P165,7)="Bekleni","N/A - Henüz Ödenmemeli",IF(LEFT(P165,4)="RİSK","İNCELEME GEREKLİ - Süre Aşımı",IF(R165=0,"Doğru",IF(R165&gt;0,"EKSİK ÖDENMİŞ","FAZLA ÖDENMİŞ")))))</f>
        <v/>
      </c>
      <c r="T165" s="30">
        <f>IF(A165="","",IF(F165&lt;&gt;"Evet","İNCELEME GEREKLİ - Kampanya Tanımsız",IF(G165&lt;&gt;"Evet","İNCELEME GEREKLİ - Tarih Dışı Satış",IF(LEFT(P165,4)="RİSK","İNCELEME GEREKLİ - Hakediş Süresi Aşıldı",IF(OR(S165="EKSİK ÖDENMİŞ",S165="FAZLA ÖDENMİŞ"),"İNCELEME GEREKLİ - Tutar Uyuşmazlığı",IF(LEFT(P165,7)="Bekleni","Bekleniyor","Uygun"))))))</f>
        <v/>
      </c>
    </row>
    <row r="166">
      <c r="A166" s="26">
        <f>IF('DIVA Satislari'!I166="","",'DIVA Satislari'!I166)</f>
        <v/>
      </c>
      <c r="B166" s="26">
        <f>IF('DIVA Satislari'!I166="","",'DIVA Satislari'!R166)</f>
        <v/>
      </c>
      <c r="C166" s="26">
        <f>IF('DIVA Satislari'!I166="","",'DIVA Satislari'!M166)</f>
        <v/>
      </c>
      <c r="D166" s="27">
        <f>IF('DIVA Satislari'!I166="","",'DIVA Satislari'!H166)</f>
        <v/>
      </c>
      <c r="E166" s="26">
        <f>IF('DIVA Satislari'!I166="","",'DIVA Satislari'!O166)</f>
        <v/>
      </c>
      <c r="F166" s="26">
        <f>IF('DIVA Satislari'!I166="","",'DIVA Satislari'!AK166)</f>
        <v/>
      </c>
      <c r="G166" s="26">
        <f>IF('DIVA Satislari'!I166="","",'DIVA Satislari'!AO166)</f>
        <v/>
      </c>
      <c r="H166" s="27">
        <f>IF('DIVA Satislari'!I166="","",'DIVA Satislari'!AN166)</f>
        <v/>
      </c>
      <c r="I166" s="28">
        <f>IF('DIVA Satislari'!I166="","",'DIVA Satislari'!AQ166)</f>
        <v/>
      </c>
      <c r="J166" s="26">
        <f>IF('DIVA Satislari'!I166="","",'DIVA Satislari'!AR166)</f>
        <v/>
      </c>
      <c r="K166" s="26">
        <f>IF('DIVA Satislari'!I166="","",IFERROR(INDEX('E2E Nakliye Montaj'!$AS$3:$AS$1002,MATCH('DIVA Satislari'!AJ166,'E2E Nakliye Montaj'!$AM$3:$AM$1002,0)),"Eşleşme Yok"))</f>
        <v/>
      </c>
      <c r="L166" s="26">
        <f>IF('DIVA Satislari'!I166="","",IFERROR(INDEX('E2E Nakliye Montaj'!$AT$3:$AT$1002,MATCH('DIVA Satislari'!AJ166,'E2E Nakliye Montaj'!$AM$3:$AM$1002,0)),"Hayır"))</f>
        <v/>
      </c>
      <c r="M166" s="26">
        <f>IF('DIVA Satislari'!I166="","",IFERROR(INDEX('E2E Nakliye Montaj'!$AU$3:$AU$1002,MATCH('DIVA Satislari'!AJ166,'E2E Nakliye Montaj'!$AM$3:$AM$1002,0)),"Hayır"))</f>
        <v/>
      </c>
      <c r="N166" s="27">
        <f>IF('DIVA Satislari'!I166="","",IFERROR(INDEX('E2E Nakliye Montaj'!$AV$3:$AV$1002,MATCH('DIVA Satislari'!AJ166,'E2E Nakliye Montaj'!$AM$3:$AM$1002,0)),""))</f>
        <v/>
      </c>
      <c r="O166" s="26">
        <f>IF(OR(A166="",N166=""),"",IF(N166&lt;=H166,"Evet","HAYIR - RİSK"))</f>
        <v/>
      </c>
      <c r="P166" s="26">
        <f>IF(A166="","",IF(LEFT(J166,8)="Kural A ","Uygun - Hemen Ödenir (Yıl Sonu %75 Kontrolüne Tabi)",IF(OR(L166="Evet",M166="Evet"),IF(O166="Evet","Uygun","RİSK - Hakediş Süresi Aşıldı"),"Bekleniyor - Nakliye/Montaj Tamamlanmadı")))</f>
        <v/>
      </c>
      <c r="Q166" s="28">
        <f>IF(A166="","",SUMIFS('Hakedis Fatura Detay'!$G$3:$G$1200,'Hakedis Fatura Detay'!$H$3:$H$1200,'DIVA Satislari'!AJ166,'Hakedis Fatura Detay'!$F$3:$F$1200,"Fiyat Farkı")+SUMIFS('Hakedis Fatura Detay'!$G$3:$G$1200,'Hakedis Fatura Detay'!$H$3:$H$1200,'DIVA Satislari'!AJ166,'Hakedis Fatura Detay'!$F$3:$F$1200,"Bundle"))</f>
        <v/>
      </c>
      <c r="R166" s="28">
        <f>IF(A166="","",I166-Q166)</f>
        <v/>
      </c>
      <c r="S166" s="26">
        <f>IF(A166="","",IF(LEFT(P166,7)="Bekleni","N/A - Henüz Ödenmemeli",IF(LEFT(P166,4)="RİSK","İNCELEME GEREKLİ - Süre Aşımı",IF(R166=0,"Doğru",IF(R166&gt;0,"EKSİK ÖDENMİŞ","FAZLA ÖDENMİŞ")))))</f>
        <v/>
      </c>
      <c r="T166" s="30">
        <f>IF(A166="","",IF(F166&lt;&gt;"Evet","İNCELEME GEREKLİ - Kampanya Tanımsız",IF(G166&lt;&gt;"Evet","İNCELEME GEREKLİ - Tarih Dışı Satış",IF(LEFT(P166,4)="RİSK","İNCELEME GEREKLİ - Hakediş Süresi Aşıldı",IF(OR(S166="EKSİK ÖDENMİŞ",S166="FAZLA ÖDENMİŞ"),"İNCELEME GEREKLİ - Tutar Uyuşmazlığı",IF(LEFT(P166,7)="Bekleni","Bekleniyor","Uygun"))))))</f>
        <v/>
      </c>
    </row>
    <row r="167">
      <c r="A167" s="26">
        <f>IF('DIVA Satislari'!I167="","",'DIVA Satislari'!I167)</f>
        <v/>
      </c>
      <c r="B167" s="26">
        <f>IF('DIVA Satislari'!I167="","",'DIVA Satislari'!R167)</f>
        <v/>
      </c>
      <c r="C167" s="26">
        <f>IF('DIVA Satislari'!I167="","",'DIVA Satislari'!M167)</f>
        <v/>
      </c>
      <c r="D167" s="27">
        <f>IF('DIVA Satislari'!I167="","",'DIVA Satislari'!H167)</f>
        <v/>
      </c>
      <c r="E167" s="26">
        <f>IF('DIVA Satislari'!I167="","",'DIVA Satislari'!O167)</f>
        <v/>
      </c>
      <c r="F167" s="26">
        <f>IF('DIVA Satislari'!I167="","",'DIVA Satislari'!AK167)</f>
        <v/>
      </c>
      <c r="G167" s="26">
        <f>IF('DIVA Satislari'!I167="","",'DIVA Satislari'!AO167)</f>
        <v/>
      </c>
      <c r="H167" s="27">
        <f>IF('DIVA Satislari'!I167="","",'DIVA Satislari'!AN167)</f>
        <v/>
      </c>
      <c r="I167" s="28">
        <f>IF('DIVA Satislari'!I167="","",'DIVA Satislari'!AQ167)</f>
        <v/>
      </c>
      <c r="J167" s="26">
        <f>IF('DIVA Satislari'!I167="","",'DIVA Satislari'!AR167)</f>
        <v/>
      </c>
      <c r="K167" s="26">
        <f>IF('DIVA Satislari'!I167="","",IFERROR(INDEX('E2E Nakliye Montaj'!$AS$3:$AS$1002,MATCH('DIVA Satislari'!AJ167,'E2E Nakliye Montaj'!$AM$3:$AM$1002,0)),"Eşleşme Yok"))</f>
        <v/>
      </c>
      <c r="L167" s="26">
        <f>IF('DIVA Satislari'!I167="","",IFERROR(INDEX('E2E Nakliye Montaj'!$AT$3:$AT$1002,MATCH('DIVA Satislari'!AJ167,'E2E Nakliye Montaj'!$AM$3:$AM$1002,0)),"Hayır"))</f>
        <v/>
      </c>
      <c r="M167" s="26">
        <f>IF('DIVA Satislari'!I167="","",IFERROR(INDEX('E2E Nakliye Montaj'!$AU$3:$AU$1002,MATCH('DIVA Satislari'!AJ167,'E2E Nakliye Montaj'!$AM$3:$AM$1002,0)),"Hayır"))</f>
        <v/>
      </c>
      <c r="N167" s="27">
        <f>IF('DIVA Satislari'!I167="","",IFERROR(INDEX('E2E Nakliye Montaj'!$AV$3:$AV$1002,MATCH('DIVA Satislari'!AJ167,'E2E Nakliye Montaj'!$AM$3:$AM$1002,0)),""))</f>
        <v/>
      </c>
      <c r="O167" s="26">
        <f>IF(OR(A167="",N167=""),"",IF(N167&lt;=H167,"Evet","HAYIR - RİSK"))</f>
        <v/>
      </c>
      <c r="P167" s="26">
        <f>IF(A167="","",IF(LEFT(J167,8)="Kural A ","Uygun - Hemen Ödenir (Yıl Sonu %75 Kontrolüne Tabi)",IF(OR(L167="Evet",M167="Evet"),IF(O167="Evet","Uygun","RİSK - Hakediş Süresi Aşıldı"),"Bekleniyor - Nakliye/Montaj Tamamlanmadı")))</f>
        <v/>
      </c>
      <c r="Q167" s="28">
        <f>IF(A167="","",SUMIFS('Hakedis Fatura Detay'!$G$3:$G$1200,'Hakedis Fatura Detay'!$H$3:$H$1200,'DIVA Satislari'!AJ167,'Hakedis Fatura Detay'!$F$3:$F$1200,"Fiyat Farkı")+SUMIFS('Hakedis Fatura Detay'!$G$3:$G$1200,'Hakedis Fatura Detay'!$H$3:$H$1200,'DIVA Satislari'!AJ167,'Hakedis Fatura Detay'!$F$3:$F$1200,"Bundle"))</f>
        <v/>
      </c>
      <c r="R167" s="28">
        <f>IF(A167="","",I167-Q167)</f>
        <v/>
      </c>
      <c r="S167" s="26">
        <f>IF(A167="","",IF(LEFT(P167,7)="Bekleni","N/A - Henüz Ödenmemeli",IF(LEFT(P167,4)="RİSK","İNCELEME GEREKLİ - Süre Aşımı",IF(R167=0,"Doğru",IF(R167&gt;0,"EKSİK ÖDENMİŞ","FAZLA ÖDENMİŞ")))))</f>
        <v/>
      </c>
      <c r="T167" s="30">
        <f>IF(A167="","",IF(F167&lt;&gt;"Evet","İNCELEME GEREKLİ - Kampanya Tanımsız",IF(G167&lt;&gt;"Evet","İNCELEME GEREKLİ - Tarih Dışı Satış",IF(LEFT(P167,4)="RİSK","İNCELEME GEREKLİ - Hakediş Süresi Aşıldı",IF(OR(S167="EKSİK ÖDENMİŞ",S167="FAZLA ÖDENMİŞ"),"İNCELEME GEREKLİ - Tutar Uyuşmazlığı",IF(LEFT(P167,7)="Bekleni","Bekleniyor","Uygun"))))))</f>
        <v/>
      </c>
    </row>
    <row r="168">
      <c r="A168" s="26">
        <f>IF('DIVA Satislari'!I168="","",'DIVA Satislari'!I168)</f>
        <v/>
      </c>
      <c r="B168" s="26">
        <f>IF('DIVA Satislari'!I168="","",'DIVA Satislari'!R168)</f>
        <v/>
      </c>
      <c r="C168" s="26">
        <f>IF('DIVA Satislari'!I168="","",'DIVA Satislari'!M168)</f>
        <v/>
      </c>
      <c r="D168" s="27">
        <f>IF('DIVA Satislari'!I168="","",'DIVA Satislari'!H168)</f>
        <v/>
      </c>
      <c r="E168" s="26">
        <f>IF('DIVA Satislari'!I168="","",'DIVA Satislari'!O168)</f>
        <v/>
      </c>
      <c r="F168" s="26">
        <f>IF('DIVA Satislari'!I168="","",'DIVA Satislari'!AK168)</f>
        <v/>
      </c>
      <c r="G168" s="26">
        <f>IF('DIVA Satislari'!I168="","",'DIVA Satislari'!AO168)</f>
        <v/>
      </c>
      <c r="H168" s="27">
        <f>IF('DIVA Satislari'!I168="","",'DIVA Satislari'!AN168)</f>
        <v/>
      </c>
      <c r="I168" s="28">
        <f>IF('DIVA Satislari'!I168="","",'DIVA Satislari'!AQ168)</f>
        <v/>
      </c>
      <c r="J168" s="26">
        <f>IF('DIVA Satislari'!I168="","",'DIVA Satislari'!AR168)</f>
        <v/>
      </c>
      <c r="K168" s="26">
        <f>IF('DIVA Satislari'!I168="","",IFERROR(INDEX('E2E Nakliye Montaj'!$AS$3:$AS$1002,MATCH('DIVA Satislari'!AJ168,'E2E Nakliye Montaj'!$AM$3:$AM$1002,0)),"Eşleşme Yok"))</f>
        <v/>
      </c>
      <c r="L168" s="26">
        <f>IF('DIVA Satislari'!I168="","",IFERROR(INDEX('E2E Nakliye Montaj'!$AT$3:$AT$1002,MATCH('DIVA Satislari'!AJ168,'E2E Nakliye Montaj'!$AM$3:$AM$1002,0)),"Hayır"))</f>
        <v/>
      </c>
      <c r="M168" s="26">
        <f>IF('DIVA Satislari'!I168="","",IFERROR(INDEX('E2E Nakliye Montaj'!$AU$3:$AU$1002,MATCH('DIVA Satislari'!AJ168,'E2E Nakliye Montaj'!$AM$3:$AM$1002,0)),"Hayır"))</f>
        <v/>
      </c>
      <c r="N168" s="27">
        <f>IF('DIVA Satislari'!I168="","",IFERROR(INDEX('E2E Nakliye Montaj'!$AV$3:$AV$1002,MATCH('DIVA Satislari'!AJ168,'E2E Nakliye Montaj'!$AM$3:$AM$1002,0)),""))</f>
        <v/>
      </c>
      <c r="O168" s="26">
        <f>IF(OR(A168="",N168=""),"",IF(N168&lt;=H168,"Evet","HAYIR - RİSK"))</f>
        <v/>
      </c>
      <c r="P168" s="26">
        <f>IF(A168="","",IF(LEFT(J168,8)="Kural A ","Uygun - Hemen Ödenir (Yıl Sonu %75 Kontrolüne Tabi)",IF(OR(L168="Evet",M168="Evet"),IF(O168="Evet","Uygun","RİSK - Hakediş Süresi Aşıldı"),"Bekleniyor - Nakliye/Montaj Tamamlanmadı")))</f>
        <v/>
      </c>
      <c r="Q168" s="28">
        <f>IF(A168="","",SUMIFS('Hakedis Fatura Detay'!$G$3:$G$1200,'Hakedis Fatura Detay'!$H$3:$H$1200,'DIVA Satislari'!AJ168,'Hakedis Fatura Detay'!$F$3:$F$1200,"Fiyat Farkı")+SUMIFS('Hakedis Fatura Detay'!$G$3:$G$1200,'Hakedis Fatura Detay'!$H$3:$H$1200,'DIVA Satislari'!AJ168,'Hakedis Fatura Detay'!$F$3:$F$1200,"Bundle"))</f>
        <v/>
      </c>
      <c r="R168" s="28">
        <f>IF(A168="","",I168-Q168)</f>
        <v/>
      </c>
      <c r="S168" s="26">
        <f>IF(A168="","",IF(LEFT(P168,7)="Bekleni","N/A - Henüz Ödenmemeli",IF(LEFT(P168,4)="RİSK","İNCELEME GEREKLİ - Süre Aşımı",IF(R168=0,"Doğru",IF(R168&gt;0,"EKSİK ÖDENMİŞ","FAZLA ÖDENMİŞ")))))</f>
        <v/>
      </c>
      <c r="T168" s="30">
        <f>IF(A168="","",IF(F168&lt;&gt;"Evet","İNCELEME GEREKLİ - Kampanya Tanımsız",IF(G168&lt;&gt;"Evet","İNCELEME GEREKLİ - Tarih Dışı Satış",IF(LEFT(P168,4)="RİSK","İNCELEME GEREKLİ - Hakediş Süresi Aşıldı",IF(OR(S168="EKSİK ÖDENMİŞ",S168="FAZLA ÖDENMİŞ"),"İNCELEME GEREKLİ - Tutar Uyuşmazlığı",IF(LEFT(P168,7)="Bekleni","Bekleniyor","Uygun"))))))</f>
        <v/>
      </c>
    </row>
    <row r="169">
      <c r="A169" s="26">
        <f>IF('DIVA Satislari'!I169="","",'DIVA Satislari'!I169)</f>
        <v/>
      </c>
      <c r="B169" s="26">
        <f>IF('DIVA Satislari'!I169="","",'DIVA Satislari'!R169)</f>
        <v/>
      </c>
      <c r="C169" s="26">
        <f>IF('DIVA Satislari'!I169="","",'DIVA Satislari'!M169)</f>
        <v/>
      </c>
      <c r="D169" s="27">
        <f>IF('DIVA Satislari'!I169="","",'DIVA Satislari'!H169)</f>
        <v/>
      </c>
      <c r="E169" s="26">
        <f>IF('DIVA Satislari'!I169="","",'DIVA Satislari'!O169)</f>
        <v/>
      </c>
      <c r="F169" s="26">
        <f>IF('DIVA Satislari'!I169="","",'DIVA Satislari'!AK169)</f>
        <v/>
      </c>
      <c r="G169" s="26">
        <f>IF('DIVA Satislari'!I169="","",'DIVA Satislari'!AO169)</f>
        <v/>
      </c>
      <c r="H169" s="27">
        <f>IF('DIVA Satislari'!I169="","",'DIVA Satislari'!AN169)</f>
        <v/>
      </c>
      <c r="I169" s="28">
        <f>IF('DIVA Satislari'!I169="","",'DIVA Satislari'!AQ169)</f>
        <v/>
      </c>
      <c r="J169" s="26">
        <f>IF('DIVA Satislari'!I169="","",'DIVA Satislari'!AR169)</f>
        <v/>
      </c>
      <c r="K169" s="26">
        <f>IF('DIVA Satislari'!I169="","",IFERROR(INDEX('E2E Nakliye Montaj'!$AS$3:$AS$1002,MATCH('DIVA Satislari'!AJ169,'E2E Nakliye Montaj'!$AM$3:$AM$1002,0)),"Eşleşme Yok"))</f>
        <v/>
      </c>
      <c r="L169" s="26">
        <f>IF('DIVA Satislari'!I169="","",IFERROR(INDEX('E2E Nakliye Montaj'!$AT$3:$AT$1002,MATCH('DIVA Satislari'!AJ169,'E2E Nakliye Montaj'!$AM$3:$AM$1002,0)),"Hayır"))</f>
        <v/>
      </c>
      <c r="M169" s="26">
        <f>IF('DIVA Satislari'!I169="","",IFERROR(INDEX('E2E Nakliye Montaj'!$AU$3:$AU$1002,MATCH('DIVA Satislari'!AJ169,'E2E Nakliye Montaj'!$AM$3:$AM$1002,0)),"Hayır"))</f>
        <v/>
      </c>
      <c r="N169" s="27">
        <f>IF('DIVA Satislari'!I169="","",IFERROR(INDEX('E2E Nakliye Montaj'!$AV$3:$AV$1002,MATCH('DIVA Satislari'!AJ169,'E2E Nakliye Montaj'!$AM$3:$AM$1002,0)),""))</f>
        <v/>
      </c>
      <c r="O169" s="26">
        <f>IF(OR(A169="",N169=""),"",IF(N169&lt;=H169,"Evet","HAYIR - RİSK"))</f>
        <v/>
      </c>
      <c r="P169" s="26">
        <f>IF(A169="","",IF(LEFT(J169,8)="Kural A ","Uygun - Hemen Ödenir (Yıl Sonu %75 Kontrolüne Tabi)",IF(OR(L169="Evet",M169="Evet"),IF(O169="Evet","Uygun","RİSK - Hakediş Süresi Aşıldı"),"Bekleniyor - Nakliye/Montaj Tamamlanmadı")))</f>
        <v/>
      </c>
      <c r="Q169" s="28">
        <f>IF(A169="","",SUMIFS('Hakedis Fatura Detay'!$G$3:$G$1200,'Hakedis Fatura Detay'!$H$3:$H$1200,'DIVA Satislari'!AJ169,'Hakedis Fatura Detay'!$F$3:$F$1200,"Fiyat Farkı")+SUMIFS('Hakedis Fatura Detay'!$G$3:$G$1200,'Hakedis Fatura Detay'!$H$3:$H$1200,'DIVA Satislari'!AJ169,'Hakedis Fatura Detay'!$F$3:$F$1200,"Bundle"))</f>
        <v/>
      </c>
      <c r="R169" s="28">
        <f>IF(A169="","",I169-Q169)</f>
        <v/>
      </c>
      <c r="S169" s="26">
        <f>IF(A169="","",IF(LEFT(P169,7)="Bekleni","N/A - Henüz Ödenmemeli",IF(LEFT(P169,4)="RİSK","İNCELEME GEREKLİ - Süre Aşımı",IF(R169=0,"Doğru",IF(R169&gt;0,"EKSİK ÖDENMİŞ","FAZLA ÖDENMİŞ")))))</f>
        <v/>
      </c>
      <c r="T169" s="30">
        <f>IF(A169="","",IF(F169&lt;&gt;"Evet","İNCELEME GEREKLİ - Kampanya Tanımsız",IF(G169&lt;&gt;"Evet","İNCELEME GEREKLİ - Tarih Dışı Satış",IF(LEFT(P169,4)="RİSK","İNCELEME GEREKLİ - Hakediş Süresi Aşıldı",IF(OR(S169="EKSİK ÖDENMİŞ",S169="FAZLA ÖDENMİŞ"),"İNCELEME GEREKLİ - Tutar Uyuşmazlığı",IF(LEFT(P169,7)="Bekleni","Bekleniyor","Uygun"))))))</f>
        <v/>
      </c>
    </row>
    <row r="170">
      <c r="A170" s="26">
        <f>IF('DIVA Satislari'!I170="","",'DIVA Satislari'!I170)</f>
        <v/>
      </c>
      <c r="B170" s="26">
        <f>IF('DIVA Satislari'!I170="","",'DIVA Satislari'!R170)</f>
        <v/>
      </c>
      <c r="C170" s="26">
        <f>IF('DIVA Satislari'!I170="","",'DIVA Satislari'!M170)</f>
        <v/>
      </c>
      <c r="D170" s="27">
        <f>IF('DIVA Satislari'!I170="","",'DIVA Satislari'!H170)</f>
        <v/>
      </c>
      <c r="E170" s="26">
        <f>IF('DIVA Satislari'!I170="","",'DIVA Satislari'!O170)</f>
        <v/>
      </c>
      <c r="F170" s="26">
        <f>IF('DIVA Satislari'!I170="","",'DIVA Satislari'!AK170)</f>
        <v/>
      </c>
      <c r="G170" s="26">
        <f>IF('DIVA Satislari'!I170="","",'DIVA Satislari'!AO170)</f>
        <v/>
      </c>
      <c r="H170" s="27">
        <f>IF('DIVA Satislari'!I170="","",'DIVA Satislari'!AN170)</f>
        <v/>
      </c>
      <c r="I170" s="28">
        <f>IF('DIVA Satislari'!I170="","",'DIVA Satislari'!AQ170)</f>
        <v/>
      </c>
      <c r="J170" s="26">
        <f>IF('DIVA Satislari'!I170="","",'DIVA Satislari'!AR170)</f>
        <v/>
      </c>
      <c r="K170" s="26">
        <f>IF('DIVA Satislari'!I170="","",IFERROR(INDEX('E2E Nakliye Montaj'!$AS$3:$AS$1002,MATCH('DIVA Satislari'!AJ170,'E2E Nakliye Montaj'!$AM$3:$AM$1002,0)),"Eşleşme Yok"))</f>
        <v/>
      </c>
      <c r="L170" s="26">
        <f>IF('DIVA Satislari'!I170="","",IFERROR(INDEX('E2E Nakliye Montaj'!$AT$3:$AT$1002,MATCH('DIVA Satislari'!AJ170,'E2E Nakliye Montaj'!$AM$3:$AM$1002,0)),"Hayır"))</f>
        <v/>
      </c>
      <c r="M170" s="26">
        <f>IF('DIVA Satislari'!I170="","",IFERROR(INDEX('E2E Nakliye Montaj'!$AU$3:$AU$1002,MATCH('DIVA Satislari'!AJ170,'E2E Nakliye Montaj'!$AM$3:$AM$1002,0)),"Hayır"))</f>
        <v/>
      </c>
      <c r="N170" s="27">
        <f>IF('DIVA Satislari'!I170="","",IFERROR(INDEX('E2E Nakliye Montaj'!$AV$3:$AV$1002,MATCH('DIVA Satislari'!AJ170,'E2E Nakliye Montaj'!$AM$3:$AM$1002,0)),""))</f>
        <v/>
      </c>
      <c r="O170" s="26">
        <f>IF(OR(A170="",N170=""),"",IF(N170&lt;=H170,"Evet","HAYIR - RİSK"))</f>
        <v/>
      </c>
      <c r="P170" s="26">
        <f>IF(A170="","",IF(LEFT(J170,8)="Kural A ","Uygun - Hemen Ödenir (Yıl Sonu %75 Kontrolüne Tabi)",IF(OR(L170="Evet",M170="Evet"),IF(O170="Evet","Uygun","RİSK - Hakediş Süresi Aşıldı"),"Bekleniyor - Nakliye/Montaj Tamamlanmadı")))</f>
        <v/>
      </c>
      <c r="Q170" s="28">
        <f>IF(A170="","",SUMIFS('Hakedis Fatura Detay'!$G$3:$G$1200,'Hakedis Fatura Detay'!$H$3:$H$1200,'DIVA Satislari'!AJ170,'Hakedis Fatura Detay'!$F$3:$F$1200,"Fiyat Farkı")+SUMIFS('Hakedis Fatura Detay'!$G$3:$G$1200,'Hakedis Fatura Detay'!$H$3:$H$1200,'DIVA Satislari'!AJ170,'Hakedis Fatura Detay'!$F$3:$F$1200,"Bundle"))</f>
        <v/>
      </c>
      <c r="R170" s="28">
        <f>IF(A170="","",I170-Q170)</f>
        <v/>
      </c>
      <c r="S170" s="26">
        <f>IF(A170="","",IF(LEFT(P170,7)="Bekleni","N/A - Henüz Ödenmemeli",IF(LEFT(P170,4)="RİSK","İNCELEME GEREKLİ - Süre Aşımı",IF(R170=0,"Doğru",IF(R170&gt;0,"EKSİK ÖDENMİŞ","FAZLA ÖDENMİŞ")))))</f>
        <v/>
      </c>
      <c r="T170" s="30">
        <f>IF(A170="","",IF(F170&lt;&gt;"Evet","İNCELEME GEREKLİ - Kampanya Tanımsız",IF(G170&lt;&gt;"Evet","İNCELEME GEREKLİ - Tarih Dışı Satış",IF(LEFT(P170,4)="RİSK","İNCELEME GEREKLİ - Hakediş Süresi Aşıldı",IF(OR(S170="EKSİK ÖDENMİŞ",S170="FAZLA ÖDENMİŞ"),"İNCELEME GEREKLİ - Tutar Uyuşmazlığı",IF(LEFT(P170,7)="Bekleni","Bekleniyor","Uygun"))))))</f>
        <v/>
      </c>
    </row>
    <row r="171">
      <c r="A171" s="26">
        <f>IF('DIVA Satislari'!I171="","",'DIVA Satislari'!I171)</f>
        <v/>
      </c>
      <c r="B171" s="26">
        <f>IF('DIVA Satislari'!I171="","",'DIVA Satislari'!R171)</f>
        <v/>
      </c>
      <c r="C171" s="26">
        <f>IF('DIVA Satislari'!I171="","",'DIVA Satislari'!M171)</f>
        <v/>
      </c>
      <c r="D171" s="27">
        <f>IF('DIVA Satislari'!I171="","",'DIVA Satislari'!H171)</f>
        <v/>
      </c>
      <c r="E171" s="26">
        <f>IF('DIVA Satislari'!I171="","",'DIVA Satislari'!O171)</f>
        <v/>
      </c>
      <c r="F171" s="26">
        <f>IF('DIVA Satislari'!I171="","",'DIVA Satislari'!AK171)</f>
        <v/>
      </c>
      <c r="G171" s="26">
        <f>IF('DIVA Satislari'!I171="","",'DIVA Satislari'!AO171)</f>
        <v/>
      </c>
      <c r="H171" s="27">
        <f>IF('DIVA Satislari'!I171="","",'DIVA Satislari'!AN171)</f>
        <v/>
      </c>
      <c r="I171" s="28">
        <f>IF('DIVA Satislari'!I171="","",'DIVA Satislari'!AQ171)</f>
        <v/>
      </c>
      <c r="J171" s="26">
        <f>IF('DIVA Satislari'!I171="","",'DIVA Satislari'!AR171)</f>
        <v/>
      </c>
      <c r="K171" s="26">
        <f>IF('DIVA Satislari'!I171="","",IFERROR(INDEX('E2E Nakliye Montaj'!$AS$3:$AS$1002,MATCH('DIVA Satislari'!AJ171,'E2E Nakliye Montaj'!$AM$3:$AM$1002,0)),"Eşleşme Yok"))</f>
        <v/>
      </c>
      <c r="L171" s="26">
        <f>IF('DIVA Satislari'!I171="","",IFERROR(INDEX('E2E Nakliye Montaj'!$AT$3:$AT$1002,MATCH('DIVA Satislari'!AJ171,'E2E Nakliye Montaj'!$AM$3:$AM$1002,0)),"Hayır"))</f>
        <v/>
      </c>
      <c r="M171" s="26">
        <f>IF('DIVA Satislari'!I171="","",IFERROR(INDEX('E2E Nakliye Montaj'!$AU$3:$AU$1002,MATCH('DIVA Satislari'!AJ171,'E2E Nakliye Montaj'!$AM$3:$AM$1002,0)),"Hayır"))</f>
        <v/>
      </c>
      <c r="N171" s="27">
        <f>IF('DIVA Satislari'!I171="","",IFERROR(INDEX('E2E Nakliye Montaj'!$AV$3:$AV$1002,MATCH('DIVA Satislari'!AJ171,'E2E Nakliye Montaj'!$AM$3:$AM$1002,0)),""))</f>
        <v/>
      </c>
      <c r="O171" s="26">
        <f>IF(OR(A171="",N171=""),"",IF(N171&lt;=H171,"Evet","HAYIR - RİSK"))</f>
        <v/>
      </c>
      <c r="P171" s="26">
        <f>IF(A171="","",IF(LEFT(J171,8)="Kural A ","Uygun - Hemen Ödenir (Yıl Sonu %75 Kontrolüne Tabi)",IF(OR(L171="Evet",M171="Evet"),IF(O171="Evet","Uygun","RİSK - Hakediş Süresi Aşıldı"),"Bekleniyor - Nakliye/Montaj Tamamlanmadı")))</f>
        <v/>
      </c>
      <c r="Q171" s="28">
        <f>IF(A171="","",SUMIFS('Hakedis Fatura Detay'!$G$3:$G$1200,'Hakedis Fatura Detay'!$H$3:$H$1200,'DIVA Satislari'!AJ171,'Hakedis Fatura Detay'!$F$3:$F$1200,"Fiyat Farkı")+SUMIFS('Hakedis Fatura Detay'!$G$3:$G$1200,'Hakedis Fatura Detay'!$H$3:$H$1200,'DIVA Satislari'!AJ171,'Hakedis Fatura Detay'!$F$3:$F$1200,"Bundle"))</f>
        <v/>
      </c>
      <c r="R171" s="28">
        <f>IF(A171="","",I171-Q171)</f>
        <v/>
      </c>
      <c r="S171" s="26">
        <f>IF(A171="","",IF(LEFT(P171,7)="Bekleni","N/A - Henüz Ödenmemeli",IF(LEFT(P171,4)="RİSK","İNCELEME GEREKLİ - Süre Aşımı",IF(R171=0,"Doğru",IF(R171&gt;0,"EKSİK ÖDENMİŞ","FAZLA ÖDENMİŞ")))))</f>
        <v/>
      </c>
      <c r="T171" s="30">
        <f>IF(A171="","",IF(F171&lt;&gt;"Evet","İNCELEME GEREKLİ - Kampanya Tanımsız",IF(G171&lt;&gt;"Evet","İNCELEME GEREKLİ - Tarih Dışı Satış",IF(LEFT(P171,4)="RİSK","İNCELEME GEREKLİ - Hakediş Süresi Aşıldı",IF(OR(S171="EKSİK ÖDENMİŞ",S171="FAZLA ÖDENMİŞ"),"İNCELEME GEREKLİ - Tutar Uyuşmazlığı",IF(LEFT(P171,7)="Bekleni","Bekleniyor","Uygun"))))))</f>
        <v/>
      </c>
    </row>
    <row r="172">
      <c r="A172" s="26">
        <f>IF('DIVA Satislari'!I172="","",'DIVA Satislari'!I172)</f>
        <v/>
      </c>
      <c r="B172" s="26">
        <f>IF('DIVA Satislari'!I172="","",'DIVA Satislari'!R172)</f>
        <v/>
      </c>
      <c r="C172" s="26">
        <f>IF('DIVA Satislari'!I172="","",'DIVA Satislari'!M172)</f>
        <v/>
      </c>
      <c r="D172" s="27">
        <f>IF('DIVA Satislari'!I172="","",'DIVA Satislari'!H172)</f>
        <v/>
      </c>
      <c r="E172" s="26">
        <f>IF('DIVA Satislari'!I172="","",'DIVA Satislari'!O172)</f>
        <v/>
      </c>
      <c r="F172" s="26">
        <f>IF('DIVA Satislari'!I172="","",'DIVA Satislari'!AK172)</f>
        <v/>
      </c>
      <c r="G172" s="26">
        <f>IF('DIVA Satislari'!I172="","",'DIVA Satislari'!AO172)</f>
        <v/>
      </c>
      <c r="H172" s="27">
        <f>IF('DIVA Satislari'!I172="","",'DIVA Satislari'!AN172)</f>
        <v/>
      </c>
      <c r="I172" s="28">
        <f>IF('DIVA Satislari'!I172="","",'DIVA Satislari'!AQ172)</f>
        <v/>
      </c>
      <c r="J172" s="26">
        <f>IF('DIVA Satislari'!I172="","",'DIVA Satislari'!AR172)</f>
        <v/>
      </c>
      <c r="K172" s="26">
        <f>IF('DIVA Satislari'!I172="","",IFERROR(INDEX('E2E Nakliye Montaj'!$AS$3:$AS$1002,MATCH('DIVA Satislari'!AJ172,'E2E Nakliye Montaj'!$AM$3:$AM$1002,0)),"Eşleşme Yok"))</f>
        <v/>
      </c>
      <c r="L172" s="26">
        <f>IF('DIVA Satislari'!I172="","",IFERROR(INDEX('E2E Nakliye Montaj'!$AT$3:$AT$1002,MATCH('DIVA Satislari'!AJ172,'E2E Nakliye Montaj'!$AM$3:$AM$1002,0)),"Hayır"))</f>
        <v/>
      </c>
      <c r="M172" s="26">
        <f>IF('DIVA Satislari'!I172="","",IFERROR(INDEX('E2E Nakliye Montaj'!$AU$3:$AU$1002,MATCH('DIVA Satislari'!AJ172,'E2E Nakliye Montaj'!$AM$3:$AM$1002,0)),"Hayır"))</f>
        <v/>
      </c>
      <c r="N172" s="27">
        <f>IF('DIVA Satislari'!I172="","",IFERROR(INDEX('E2E Nakliye Montaj'!$AV$3:$AV$1002,MATCH('DIVA Satislari'!AJ172,'E2E Nakliye Montaj'!$AM$3:$AM$1002,0)),""))</f>
        <v/>
      </c>
      <c r="O172" s="26">
        <f>IF(OR(A172="",N172=""),"",IF(N172&lt;=H172,"Evet","HAYIR - RİSK"))</f>
        <v/>
      </c>
      <c r="P172" s="26">
        <f>IF(A172="","",IF(LEFT(J172,8)="Kural A ","Uygun - Hemen Ödenir (Yıl Sonu %75 Kontrolüne Tabi)",IF(OR(L172="Evet",M172="Evet"),IF(O172="Evet","Uygun","RİSK - Hakediş Süresi Aşıldı"),"Bekleniyor - Nakliye/Montaj Tamamlanmadı")))</f>
        <v/>
      </c>
      <c r="Q172" s="28">
        <f>IF(A172="","",SUMIFS('Hakedis Fatura Detay'!$G$3:$G$1200,'Hakedis Fatura Detay'!$H$3:$H$1200,'DIVA Satislari'!AJ172,'Hakedis Fatura Detay'!$F$3:$F$1200,"Fiyat Farkı")+SUMIFS('Hakedis Fatura Detay'!$G$3:$G$1200,'Hakedis Fatura Detay'!$H$3:$H$1200,'DIVA Satislari'!AJ172,'Hakedis Fatura Detay'!$F$3:$F$1200,"Bundle"))</f>
        <v/>
      </c>
      <c r="R172" s="28">
        <f>IF(A172="","",I172-Q172)</f>
        <v/>
      </c>
      <c r="S172" s="26">
        <f>IF(A172="","",IF(LEFT(P172,7)="Bekleni","N/A - Henüz Ödenmemeli",IF(LEFT(P172,4)="RİSK","İNCELEME GEREKLİ - Süre Aşımı",IF(R172=0,"Doğru",IF(R172&gt;0,"EKSİK ÖDENMİŞ","FAZLA ÖDENMİŞ")))))</f>
        <v/>
      </c>
      <c r="T172" s="30">
        <f>IF(A172="","",IF(F172&lt;&gt;"Evet","İNCELEME GEREKLİ - Kampanya Tanımsız",IF(G172&lt;&gt;"Evet","İNCELEME GEREKLİ - Tarih Dışı Satış",IF(LEFT(P172,4)="RİSK","İNCELEME GEREKLİ - Hakediş Süresi Aşıldı",IF(OR(S172="EKSİK ÖDENMİŞ",S172="FAZLA ÖDENMİŞ"),"İNCELEME GEREKLİ - Tutar Uyuşmazlığı",IF(LEFT(P172,7)="Bekleni","Bekleniyor","Uygun"))))))</f>
        <v/>
      </c>
    </row>
    <row r="173">
      <c r="A173" s="26">
        <f>IF('DIVA Satislari'!I173="","",'DIVA Satislari'!I173)</f>
        <v/>
      </c>
      <c r="B173" s="26">
        <f>IF('DIVA Satislari'!I173="","",'DIVA Satislari'!R173)</f>
        <v/>
      </c>
      <c r="C173" s="26">
        <f>IF('DIVA Satislari'!I173="","",'DIVA Satislari'!M173)</f>
        <v/>
      </c>
      <c r="D173" s="27">
        <f>IF('DIVA Satislari'!I173="","",'DIVA Satislari'!H173)</f>
        <v/>
      </c>
      <c r="E173" s="26">
        <f>IF('DIVA Satislari'!I173="","",'DIVA Satislari'!O173)</f>
        <v/>
      </c>
      <c r="F173" s="26">
        <f>IF('DIVA Satislari'!I173="","",'DIVA Satislari'!AK173)</f>
        <v/>
      </c>
      <c r="G173" s="26">
        <f>IF('DIVA Satislari'!I173="","",'DIVA Satislari'!AO173)</f>
        <v/>
      </c>
      <c r="H173" s="27">
        <f>IF('DIVA Satislari'!I173="","",'DIVA Satislari'!AN173)</f>
        <v/>
      </c>
      <c r="I173" s="28">
        <f>IF('DIVA Satislari'!I173="","",'DIVA Satislari'!AQ173)</f>
        <v/>
      </c>
      <c r="J173" s="26">
        <f>IF('DIVA Satislari'!I173="","",'DIVA Satislari'!AR173)</f>
        <v/>
      </c>
      <c r="K173" s="26">
        <f>IF('DIVA Satislari'!I173="","",IFERROR(INDEX('E2E Nakliye Montaj'!$AS$3:$AS$1002,MATCH('DIVA Satislari'!AJ173,'E2E Nakliye Montaj'!$AM$3:$AM$1002,0)),"Eşleşme Yok"))</f>
        <v/>
      </c>
      <c r="L173" s="26">
        <f>IF('DIVA Satislari'!I173="","",IFERROR(INDEX('E2E Nakliye Montaj'!$AT$3:$AT$1002,MATCH('DIVA Satislari'!AJ173,'E2E Nakliye Montaj'!$AM$3:$AM$1002,0)),"Hayır"))</f>
        <v/>
      </c>
      <c r="M173" s="26">
        <f>IF('DIVA Satislari'!I173="","",IFERROR(INDEX('E2E Nakliye Montaj'!$AU$3:$AU$1002,MATCH('DIVA Satislari'!AJ173,'E2E Nakliye Montaj'!$AM$3:$AM$1002,0)),"Hayır"))</f>
        <v/>
      </c>
      <c r="N173" s="27">
        <f>IF('DIVA Satislari'!I173="","",IFERROR(INDEX('E2E Nakliye Montaj'!$AV$3:$AV$1002,MATCH('DIVA Satislari'!AJ173,'E2E Nakliye Montaj'!$AM$3:$AM$1002,0)),""))</f>
        <v/>
      </c>
      <c r="O173" s="26">
        <f>IF(OR(A173="",N173=""),"",IF(N173&lt;=H173,"Evet","HAYIR - RİSK"))</f>
        <v/>
      </c>
      <c r="P173" s="26">
        <f>IF(A173="","",IF(LEFT(J173,8)="Kural A ","Uygun - Hemen Ödenir (Yıl Sonu %75 Kontrolüne Tabi)",IF(OR(L173="Evet",M173="Evet"),IF(O173="Evet","Uygun","RİSK - Hakediş Süresi Aşıldı"),"Bekleniyor - Nakliye/Montaj Tamamlanmadı")))</f>
        <v/>
      </c>
      <c r="Q173" s="28">
        <f>IF(A173="","",SUMIFS('Hakedis Fatura Detay'!$G$3:$G$1200,'Hakedis Fatura Detay'!$H$3:$H$1200,'DIVA Satislari'!AJ173,'Hakedis Fatura Detay'!$F$3:$F$1200,"Fiyat Farkı")+SUMIFS('Hakedis Fatura Detay'!$G$3:$G$1200,'Hakedis Fatura Detay'!$H$3:$H$1200,'DIVA Satislari'!AJ173,'Hakedis Fatura Detay'!$F$3:$F$1200,"Bundle"))</f>
        <v/>
      </c>
      <c r="R173" s="28">
        <f>IF(A173="","",I173-Q173)</f>
        <v/>
      </c>
      <c r="S173" s="26">
        <f>IF(A173="","",IF(LEFT(P173,7)="Bekleni","N/A - Henüz Ödenmemeli",IF(LEFT(P173,4)="RİSK","İNCELEME GEREKLİ - Süre Aşımı",IF(R173=0,"Doğru",IF(R173&gt;0,"EKSİK ÖDENMİŞ","FAZLA ÖDENMİŞ")))))</f>
        <v/>
      </c>
      <c r="T173" s="30">
        <f>IF(A173="","",IF(F173&lt;&gt;"Evet","İNCELEME GEREKLİ - Kampanya Tanımsız",IF(G173&lt;&gt;"Evet","İNCELEME GEREKLİ - Tarih Dışı Satış",IF(LEFT(P173,4)="RİSK","İNCELEME GEREKLİ - Hakediş Süresi Aşıldı",IF(OR(S173="EKSİK ÖDENMİŞ",S173="FAZLA ÖDENMİŞ"),"İNCELEME GEREKLİ - Tutar Uyuşmazlığı",IF(LEFT(P173,7)="Bekleni","Bekleniyor","Uygun"))))))</f>
        <v/>
      </c>
    </row>
    <row r="174">
      <c r="A174" s="26">
        <f>IF('DIVA Satislari'!I174="","",'DIVA Satislari'!I174)</f>
        <v/>
      </c>
      <c r="B174" s="26">
        <f>IF('DIVA Satislari'!I174="","",'DIVA Satislari'!R174)</f>
        <v/>
      </c>
      <c r="C174" s="26">
        <f>IF('DIVA Satislari'!I174="","",'DIVA Satislari'!M174)</f>
        <v/>
      </c>
      <c r="D174" s="27">
        <f>IF('DIVA Satislari'!I174="","",'DIVA Satislari'!H174)</f>
        <v/>
      </c>
      <c r="E174" s="26">
        <f>IF('DIVA Satislari'!I174="","",'DIVA Satislari'!O174)</f>
        <v/>
      </c>
      <c r="F174" s="26">
        <f>IF('DIVA Satislari'!I174="","",'DIVA Satislari'!AK174)</f>
        <v/>
      </c>
      <c r="G174" s="26">
        <f>IF('DIVA Satislari'!I174="","",'DIVA Satislari'!AO174)</f>
        <v/>
      </c>
      <c r="H174" s="27">
        <f>IF('DIVA Satislari'!I174="","",'DIVA Satislari'!AN174)</f>
        <v/>
      </c>
      <c r="I174" s="28">
        <f>IF('DIVA Satislari'!I174="","",'DIVA Satislari'!AQ174)</f>
        <v/>
      </c>
      <c r="J174" s="26">
        <f>IF('DIVA Satislari'!I174="","",'DIVA Satislari'!AR174)</f>
        <v/>
      </c>
      <c r="K174" s="26">
        <f>IF('DIVA Satislari'!I174="","",IFERROR(INDEX('E2E Nakliye Montaj'!$AS$3:$AS$1002,MATCH('DIVA Satislari'!AJ174,'E2E Nakliye Montaj'!$AM$3:$AM$1002,0)),"Eşleşme Yok"))</f>
        <v/>
      </c>
      <c r="L174" s="26">
        <f>IF('DIVA Satislari'!I174="","",IFERROR(INDEX('E2E Nakliye Montaj'!$AT$3:$AT$1002,MATCH('DIVA Satislari'!AJ174,'E2E Nakliye Montaj'!$AM$3:$AM$1002,0)),"Hayır"))</f>
        <v/>
      </c>
      <c r="M174" s="26">
        <f>IF('DIVA Satislari'!I174="","",IFERROR(INDEX('E2E Nakliye Montaj'!$AU$3:$AU$1002,MATCH('DIVA Satislari'!AJ174,'E2E Nakliye Montaj'!$AM$3:$AM$1002,0)),"Hayır"))</f>
        <v/>
      </c>
      <c r="N174" s="27">
        <f>IF('DIVA Satislari'!I174="","",IFERROR(INDEX('E2E Nakliye Montaj'!$AV$3:$AV$1002,MATCH('DIVA Satislari'!AJ174,'E2E Nakliye Montaj'!$AM$3:$AM$1002,0)),""))</f>
        <v/>
      </c>
      <c r="O174" s="26">
        <f>IF(OR(A174="",N174=""),"",IF(N174&lt;=H174,"Evet","HAYIR - RİSK"))</f>
        <v/>
      </c>
      <c r="P174" s="26">
        <f>IF(A174="","",IF(LEFT(J174,8)="Kural A ","Uygun - Hemen Ödenir (Yıl Sonu %75 Kontrolüne Tabi)",IF(OR(L174="Evet",M174="Evet"),IF(O174="Evet","Uygun","RİSK - Hakediş Süresi Aşıldı"),"Bekleniyor - Nakliye/Montaj Tamamlanmadı")))</f>
        <v/>
      </c>
      <c r="Q174" s="28">
        <f>IF(A174="","",SUMIFS('Hakedis Fatura Detay'!$G$3:$G$1200,'Hakedis Fatura Detay'!$H$3:$H$1200,'DIVA Satislari'!AJ174,'Hakedis Fatura Detay'!$F$3:$F$1200,"Fiyat Farkı")+SUMIFS('Hakedis Fatura Detay'!$G$3:$G$1200,'Hakedis Fatura Detay'!$H$3:$H$1200,'DIVA Satislari'!AJ174,'Hakedis Fatura Detay'!$F$3:$F$1200,"Bundle"))</f>
        <v/>
      </c>
      <c r="R174" s="28">
        <f>IF(A174="","",I174-Q174)</f>
        <v/>
      </c>
      <c r="S174" s="26">
        <f>IF(A174="","",IF(LEFT(P174,7)="Bekleni","N/A - Henüz Ödenmemeli",IF(LEFT(P174,4)="RİSK","İNCELEME GEREKLİ - Süre Aşımı",IF(R174=0,"Doğru",IF(R174&gt;0,"EKSİK ÖDENMİŞ","FAZLA ÖDENMİŞ")))))</f>
        <v/>
      </c>
      <c r="T174" s="30">
        <f>IF(A174="","",IF(F174&lt;&gt;"Evet","İNCELEME GEREKLİ - Kampanya Tanımsız",IF(G174&lt;&gt;"Evet","İNCELEME GEREKLİ - Tarih Dışı Satış",IF(LEFT(P174,4)="RİSK","İNCELEME GEREKLİ - Hakediş Süresi Aşıldı",IF(OR(S174="EKSİK ÖDENMİŞ",S174="FAZLA ÖDENMİŞ"),"İNCELEME GEREKLİ - Tutar Uyuşmazlığı",IF(LEFT(P174,7)="Bekleni","Bekleniyor","Uygun"))))))</f>
        <v/>
      </c>
    </row>
    <row r="175">
      <c r="A175" s="26">
        <f>IF('DIVA Satislari'!I175="","",'DIVA Satislari'!I175)</f>
        <v/>
      </c>
      <c r="B175" s="26">
        <f>IF('DIVA Satislari'!I175="","",'DIVA Satislari'!R175)</f>
        <v/>
      </c>
      <c r="C175" s="26">
        <f>IF('DIVA Satislari'!I175="","",'DIVA Satislari'!M175)</f>
        <v/>
      </c>
      <c r="D175" s="27">
        <f>IF('DIVA Satislari'!I175="","",'DIVA Satislari'!H175)</f>
        <v/>
      </c>
      <c r="E175" s="26">
        <f>IF('DIVA Satislari'!I175="","",'DIVA Satislari'!O175)</f>
        <v/>
      </c>
      <c r="F175" s="26">
        <f>IF('DIVA Satislari'!I175="","",'DIVA Satislari'!AK175)</f>
        <v/>
      </c>
      <c r="G175" s="26">
        <f>IF('DIVA Satislari'!I175="","",'DIVA Satislari'!AO175)</f>
        <v/>
      </c>
      <c r="H175" s="27">
        <f>IF('DIVA Satislari'!I175="","",'DIVA Satislari'!AN175)</f>
        <v/>
      </c>
      <c r="I175" s="28">
        <f>IF('DIVA Satislari'!I175="","",'DIVA Satislari'!AQ175)</f>
        <v/>
      </c>
      <c r="J175" s="26">
        <f>IF('DIVA Satislari'!I175="","",'DIVA Satislari'!AR175)</f>
        <v/>
      </c>
      <c r="K175" s="26">
        <f>IF('DIVA Satislari'!I175="","",IFERROR(INDEX('E2E Nakliye Montaj'!$AS$3:$AS$1002,MATCH('DIVA Satislari'!AJ175,'E2E Nakliye Montaj'!$AM$3:$AM$1002,0)),"Eşleşme Yok"))</f>
        <v/>
      </c>
      <c r="L175" s="26">
        <f>IF('DIVA Satislari'!I175="","",IFERROR(INDEX('E2E Nakliye Montaj'!$AT$3:$AT$1002,MATCH('DIVA Satislari'!AJ175,'E2E Nakliye Montaj'!$AM$3:$AM$1002,0)),"Hayır"))</f>
        <v/>
      </c>
      <c r="M175" s="26">
        <f>IF('DIVA Satislari'!I175="","",IFERROR(INDEX('E2E Nakliye Montaj'!$AU$3:$AU$1002,MATCH('DIVA Satislari'!AJ175,'E2E Nakliye Montaj'!$AM$3:$AM$1002,0)),"Hayır"))</f>
        <v/>
      </c>
      <c r="N175" s="27">
        <f>IF('DIVA Satislari'!I175="","",IFERROR(INDEX('E2E Nakliye Montaj'!$AV$3:$AV$1002,MATCH('DIVA Satislari'!AJ175,'E2E Nakliye Montaj'!$AM$3:$AM$1002,0)),""))</f>
        <v/>
      </c>
      <c r="O175" s="26">
        <f>IF(OR(A175="",N175=""),"",IF(N175&lt;=H175,"Evet","HAYIR - RİSK"))</f>
        <v/>
      </c>
      <c r="P175" s="26">
        <f>IF(A175="","",IF(LEFT(J175,8)="Kural A ","Uygun - Hemen Ödenir (Yıl Sonu %75 Kontrolüne Tabi)",IF(OR(L175="Evet",M175="Evet"),IF(O175="Evet","Uygun","RİSK - Hakediş Süresi Aşıldı"),"Bekleniyor - Nakliye/Montaj Tamamlanmadı")))</f>
        <v/>
      </c>
      <c r="Q175" s="28">
        <f>IF(A175="","",SUMIFS('Hakedis Fatura Detay'!$G$3:$G$1200,'Hakedis Fatura Detay'!$H$3:$H$1200,'DIVA Satislari'!AJ175,'Hakedis Fatura Detay'!$F$3:$F$1200,"Fiyat Farkı")+SUMIFS('Hakedis Fatura Detay'!$G$3:$G$1200,'Hakedis Fatura Detay'!$H$3:$H$1200,'DIVA Satislari'!AJ175,'Hakedis Fatura Detay'!$F$3:$F$1200,"Bundle"))</f>
        <v/>
      </c>
      <c r="R175" s="28">
        <f>IF(A175="","",I175-Q175)</f>
        <v/>
      </c>
      <c r="S175" s="26">
        <f>IF(A175="","",IF(LEFT(P175,7)="Bekleni","N/A - Henüz Ödenmemeli",IF(LEFT(P175,4)="RİSK","İNCELEME GEREKLİ - Süre Aşımı",IF(R175=0,"Doğru",IF(R175&gt;0,"EKSİK ÖDENMİŞ","FAZLA ÖDENMİŞ")))))</f>
        <v/>
      </c>
      <c r="T175" s="30">
        <f>IF(A175="","",IF(F175&lt;&gt;"Evet","İNCELEME GEREKLİ - Kampanya Tanımsız",IF(G175&lt;&gt;"Evet","İNCELEME GEREKLİ - Tarih Dışı Satış",IF(LEFT(P175,4)="RİSK","İNCELEME GEREKLİ - Hakediş Süresi Aşıldı",IF(OR(S175="EKSİK ÖDENMİŞ",S175="FAZLA ÖDENMİŞ"),"İNCELEME GEREKLİ - Tutar Uyuşmazlığı",IF(LEFT(P175,7)="Bekleni","Bekleniyor","Uygun"))))))</f>
        <v/>
      </c>
    </row>
    <row r="176">
      <c r="A176" s="26">
        <f>IF('DIVA Satislari'!I176="","",'DIVA Satislari'!I176)</f>
        <v/>
      </c>
      <c r="B176" s="26">
        <f>IF('DIVA Satislari'!I176="","",'DIVA Satislari'!R176)</f>
        <v/>
      </c>
      <c r="C176" s="26">
        <f>IF('DIVA Satislari'!I176="","",'DIVA Satislari'!M176)</f>
        <v/>
      </c>
      <c r="D176" s="27">
        <f>IF('DIVA Satislari'!I176="","",'DIVA Satislari'!H176)</f>
        <v/>
      </c>
      <c r="E176" s="26">
        <f>IF('DIVA Satislari'!I176="","",'DIVA Satislari'!O176)</f>
        <v/>
      </c>
      <c r="F176" s="26">
        <f>IF('DIVA Satislari'!I176="","",'DIVA Satislari'!AK176)</f>
        <v/>
      </c>
      <c r="G176" s="26">
        <f>IF('DIVA Satislari'!I176="","",'DIVA Satislari'!AO176)</f>
        <v/>
      </c>
      <c r="H176" s="27">
        <f>IF('DIVA Satislari'!I176="","",'DIVA Satislari'!AN176)</f>
        <v/>
      </c>
      <c r="I176" s="28">
        <f>IF('DIVA Satislari'!I176="","",'DIVA Satislari'!AQ176)</f>
        <v/>
      </c>
      <c r="J176" s="26">
        <f>IF('DIVA Satislari'!I176="","",'DIVA Satislari'!AR176)</f>
        <v/>
      </c>
      <c r="K176" s="26">
        <f>IF('DIVA Satislari'!I176="","",IFERROR(INDEX('E2E Nakliye Montaj'!$AS$3:$AS$1002,MATCH('DIVA Satislari'!AJ176,'E2E Nakliye Montaj'!$AM$3:$AM$1002,0)),"Eşleşme Yok"))</f>
        <v/>
      </c>
      <c r="L176" s="26">
        <f>IF('DIVA Satislari'!I176="","",IFERROR(INDEX('E2E Nakliye Montaj'!$AT$3:$AT$1002,MATCH('DIVA Satislari'!AJ176,'E2E Nakliye Montaj'!$AM$3:$AM$1002,0)),"Hayır"))</f>
        <v/>
      </c>
      <c r="M176" s="26">
        <f>IF('DIVA Satislari'!I176="","",IFERROR(INDEX('E2E Nakliye Montaj'!$AU$3:$AU$1002,MATCH('DIVA Satislari'!AJ176,'E2E Nakliye Montaj'!$AM$3:$AM$1002,0)),"Hayır"))</f>
        <v/>
      </c>
      <c r="N176" s="27">
        <f>IF('DIVA Satislari'!I176="","",IFERROR(INDEX('E2E Nakliye Montaj'!$AV$3:$AV$1002,MATCH('DIVA Satislari'!AJ176,'E2E Nakliye Montaj'!$AM$3:$AM$1002,0)),""))</f>
        <v/>
      </c>
      <c r="O176" s="26">
        <f>IF(OR(A176="",N176=""),"",IF(N176&lt;=H176,"Evet","HAYIR - RİSK"))</f>
        <v/>
      </c>
      <c r="P176" s="26">
        <f>IF(A176="","",IF(LEFT(J176,8)="Kural A ","Uygun - Hemen Ödenir (Yıl Sonu %75 Kontrolüne Tabi)",IF(OR(L176="Evet",M176="Evet"),IF(O176="Evet","Uygun","RİSK - Hakediş Süresi Aşıldı"),"Bekleniyor - Nakliye/Montaj Tamamlanmadı")))</f>
        <v/>
      </c>
      <c r="Q176" s="28">
        <f>IF(A176="","",SUMIFS('Hakedis Fatura Detay'!$G$3:$G$1200,'Hakedis Fatura Detay'!$H$3:$H$1200,'DIVA Satislari'!AJ176,'Hakedis Fatura Detay'!$F$3:$F$1200,"Fiyat Farkı")+SUMIFS('Hakedis Fatura Detay'!$G$3:$G$1200,'Hakedis Fatura Detay'!$H$3:$H$1200,'DIVA Satislari'!AJ176,'Hakedis Fatura Detay'!$F$3:$F$1200,"Bundle"))</f>
        <v/>
      </c>
      <c r="R176" s="28">
        <f>IF(A176="","",I176-Q176)</f>
        <v/>
      </c>
      <c r="S176" s="26">
        <f>IF(A176="","",IF(LEFT(P176,7)="Bekleni","N/A - Henüz Ödenmemeli",IF(LEFT(P176,4)="RİSK","İNCELEME GEREKLİ - Süre Aşımı",IF(R176=0,"Doğru",IF(R176&gt;0,"EKSİK ÖDENMİŞ","FAZLA ÖDENMİŞ")))))</f>
        <v/>
      </c>
      <c r="T176" s="30">
        <f>IF(A176="","",IF(F176&lt;&gt;"Evet","İNCELEME GEREKLİ - Kampanya Tanımsız",IF(G176&lt;&gt;"Evet","İNCELEME GEREKLİ - Tarih Dışı Satış",IF(LEFT(P176,4)="RİSK","İNCELEME GEREKLİ - Hakediş Süresi Aşıldı",IF(OR(S176="EKSİK ÖDENMİŞ",S176="FAZLA ÖDENMİŞ"),"İNCELEME GEREKLİ - Tutar Uyuşmazlığı",IF(LEFT(P176,7)="Bekleni","Bekleniyor","Uygun"))))))</f>
        <v/>
      </c>
    </row>
    <row r="177">
      <c r="A177" s="26">
        <f>IF('DIVA Satislari'!I177="","",'DIVA Satislari'!I177)</f>
        <v/>
      </c>
      <c r="B177" s="26">
        <f>IF('DIVA Satislari'!I177="","",'DIVA Satislari'!R177)</f>
        <v/>
      </c>
      <c r="C177" s="26">
        <f>IF('DIVA Satislari'!I177="","",'DIVA Satislari'!M177)</f>
        <v/>
      </c>
      <c r="D177" s="27">
        <f>IF('DIVA Satislari'!I177="","",'DIVA Satislari'!H177)</f>
        <v/>
      </c>
      <c r="E177" s="26">
        <f>IF('DIVA Satislari'!I177="","",'DIVA Satislari'!O177)</f>
        <v/>
      </c>
      <c r="F177" s="26">
        <f>IF('DIVA Satislari'!I177="","",'DIVA Satislari'!AK177)</f>
        <v/>
      </c>
      <c r="G177" s="26">
        <f>IF('DIVA Satislari'!I177="","",'DIVA Satislari'!AO177)</f>
        <v/>
      </c>
      <c r="H177" s="27">
        <f>IF('DIVA Satislari'!I177="","",'DIVA Satislari'!AN177)</f>
        <v/>
      </c>
      <c r="I177" s="28">
        <f>IF('DIVA Satislari'!I177="","",'DIVA Satislari'!AQ177)</f>
        <v/>
      </c>
      <c r="J177" s="26">
        <f>IF('DIVA Satislari'!I177="","",'DIVA Satislari'!AR177)</f>
        <v/>
      </c>
      <c r="K177" s="26">
        <f>IF('DIVA Satislari'!I177="","",IFERROR(INDEX('E2E Nakliye Montaj'!$AS$3:$AS$1002,MATCH('DIVA Satislari'!AJ177,'E2E Nakliye Montaj'!$AM$3:$AM$1002,0)),"Eşleşme Yok"))</f>
        <v/>
      </c>
      <c r="L177" s="26">
        <f>IF('DIVA Satislari'!I177="","",IFERROR(INDEX('E2E Nakliye Montaj'!$AT$3:$AT$1002,MATCH('DIVA Satislari'!AJ177,'E2E Nakliye Montaj'!$AM$3:$AM$1002,0)),"Hayır"))</f>
        <v/>
      </c>
      <c r="M177" s="26">
        <f>IF('DIVA Satislari'!I177="","",IFERROR(INDEX('E2E Nakliye Montaj'!$AU$3:$AU$1002,MATCH('DIVA Satislari'!AJ177,'E2E Nakliye Montaj'!$AM$3:$AM$1002,0)),"Hayır"))</f>
        <v/>
      </c>
      <c r="N177" s="27">
        <f>IF('DIVA Satislari'!I177="","",IFERROR(INDEX('E2E Nakliye Montaj'!$AV$3:$AV$1002,MATCH('DIVA Satislari'!AJ177,'E2E Nakliye Montaj'!$AM$3:$AM$1002,0)),""))</f>
        <v/>
      </c>
      <c r="O177" s="26">
        <f>IF(OR(A177="",N177=""),"",IF(N177&lt;=H177,"Evet","HAYIR - RİSK"))</f>
        <v/>
      </c>
      <c r="P177" s="26">
        <f>IF(A177="","",IF(LEFT(J177,8)="Kural A ","Uygun - Hemen Ödenir (Yıl Sonu %75 Kontrolüne Tabi)",IF(OR(L177="Evet",M177="Evet"),IF(O177="Evet","Uygun","RİSK - Hakediş Süresi Aşıldı"),"Bekleniyor - Nakliye/Montaj Tamamlanmadı")))</f>
        <v/>
      </c>
      <c r="Q177" s="28">
        <f>IF(A177="","",SUMIFS('Hakedis Fatura Detay'!$G$3:$G$1200,'Hakedis Fatura Detay'!$H$3:$H$1200,'DIVA Satislari'!AJ177,'Hakedis Fatura Detay'!$F$3:$F$1200,"Fiyat Farkı")+SUMIFS('Hakedis Fatura Detay'!$G$3:$G$1200,'Hakedis Fatura Detay'!$H$3:$H$1200,'DIVA Satislari'!AJ177,'Hakedis Fatura Detay'!$F$3:$F$1200,"Bundle"))</f>
        <v/>
      </c>
      <c r="R177" s="28">
        <f>IF(A177="","",I177-Q177)</f>
        <v/>
      </c>
      <c r="S177" s="26">
        <f>IF(A177="","",IF(LEFT(P177,7)="Bekleni","N/A - Henüz Ödenmemeli",IF(LEFT(P177,4)="RİSK","İNCELEME GEREKLİ - Süre Aşımı",IF(R177=0,"Doğru",IF(R177&gt;0,"EKSİK ÖDENMİŞ","FAZLA ÖDENMİŞ")))))</f>
        <v/>
      </c>
      <c r="T177" s="30">
        <f>IF(A177="","",IF(F177&lt;&gt;"Evet","İNCELEME GEREKLİ - Kampanya Tanımsız",IF(G177&lt;&gt;"Evet","İNCELEME GEREKLİ - Tarih Dışı Satış",IF(LEFT(P177,4)="RİSK","İNCELEME GEREKLİ - Hakediş Süresi Aşıldı",IF(OR(S177="EKSİK ÖDENMİŞ",S177="FAZLA ÖDENMİŞ"),"İNCELEME GEREKLİ - Tutar Uyuşmazlığı",IF(LEFT(P177,7)="Bekleni","Bekleniyor","Uygun"))))))</f>
        <v/>
      </c>
    </row>
    <row r="178">
      <c r="A178" s="26">
        <f>IF('DIVA Satislari'!I178="","",'DIVA Satislari'!I178)</f>
        <v/>
      </c>
      <c r="B178" s="26">
        <f>IF('DIVA Satislari'!I178="","",'DIVA Satislari'!R178)</f>
        <v/>
      </c>
      <c r="C178" s="26">
        <f>IF('DIVA Satislari'!I178="","",'DIVA Satislari'!M178)</f>
        <v/>
      </c>
      <c r="D178" s="27">
        <f>IF('DIVA Satislari'!I178="","",'DIVA Satislari'!H178)</f>
        <v/>
      </c>
      <c r="E178" s="26">
        <f>IF('DIVA Satislari'!I178="","",'DIVA Satislari'!O178)</f>
        <v/>
      </c>
      <c r="F178" s="26">
        <f>IF('DIVA Satislari'!I178="","",'DIVA Satislari'!AK178)</f>
        <v/>
      </c>
      <c r="G178" s="26">
        <f>IF('DIVA Satislari'!I178="","",'DIVA Satislari'!AO178)</f>
        <v/>
      </c>
      <c r="H178" s="27">
        <f>IF('DIVA Satislari'!I178="","",'DIVA Satislari'!AN178)</f>
        <v/>
      </c>
      <c r="I178" s="28">
        <f>IF('DIVA Satislari'!I178="","",'DIVA Satislari'!AQ178)</f>
        <v/>
      </c>
      <c r="J178" s="26">
        <f>IF('DIVA Satislari'!I178="","",'DIVA Satislari'!AR178)</f>
        <v/>
      </c>
      <c r="K178" s="26">
        <f>IF('DIVA Satislari'!I178="","",IFERROR(INDEX('E2E Nakliye Montaj'!$AS$3:$AS$1002,MATCH('DIVA Satislari'!AJ178,'E2E Nakliye Montaj'!$AM$3:$AM$1002,0)),"Eşleşme Yok"))</f>
        <v/>
      </c>
      <c r="L178" s="26">
        <f>IF('DIVA Satislari'!I178="","",IFERROR(INDEX('E2E Nakliye Montaj'!$AT$3:$AT$1002,MATCH('DIVA Satislari'!AJ178,'E2E Nakliye Montaj'!$AM$3:$AM$1002,0)),"Hayır"))</f>
        <v/>
      </c>
      <c r="M178" s="26">
        <f>IF('DIVA Satislari'!I178="","",IFERROR(INDEX('E2E Nakliye Montaj'!$AU$3:$AU$1002,MATCH('DIVA Satislari'!AJ178,'E2E Nakliye Montaj'!$AM$3:$AM$1002,0)),"Hayır"))</f>
        <v/>
      </c>
      <c r="N178" s="27">
        <f>IF('DIVA Satislari'!I178="","",IFERROR(INDEX('E2E Nakliye Montaj'!$AV$3:$AV$1002,MATCH('DIVA Satislari'!AJ178,'E2E Nakliye Montaj'!$AM$3:$AM$1002,0)),""))</f>
        <v/>
      </c>
      <c r="O178" s="26">
        <f>IF(OR(A178="",N178=""),"",IF(N178&lt;=H178,"Evet","HAYIR - RİSK"))</f>
        <v/>
      </c>
      <c r="P178" s="26">
        <f>IF(A178="","",IF(LEFT(J178,8)="Kural A ","Uygun - Hemen Ödenir (Yıl Sonu %75 Kontrolüne Tabi)",IF(OR(L178="Evet",M178="Evet"),IF(O178="Evet","Uygun","RİSK - Hakediş Süresi Aşıldı"),"Bekleniyor - Nakliye/Montaj Tamamlanmadı")))</f>
        <v/>
      </c>
      <c r="Q178" s="28">
        <f>IF(A178="","",SUMIFS('Hakedis Fatura Detay'!$G$3:$G$1200,'Hakedis Fatura Detay'!$H$3:$H$1200,'DIVA Satislari'!AJ178,'Hakedis Fatura Detay'!$F$3:$F$1200,"Fiyat Farkı")+SUMIFS('Hakedis Fatura Detay'!$G$3:$G$1200,'Hakedis Fatura Detay'!$H$3:$H$1200,'DIVA Satislari'!AJ178,'Hakedis Fatura Detay'!$F$3:$F$1200,"Bundle"))</f>
        <v/>
      </c>
      <c r="R178" s="28">
        <f>IF(A178="","",I178-Q178)</f>
        <v/>
      </c>
      <c r="S178" s="26">
        <f>IF(A178="","",IF(LEFT(P178,7)="Bekleni","N/A - Henüz Ödenmemeli",IF(LEFT(P178,4)="RİSK","İNCELEME GEREKLİ - Süre Aşımı",IF(R178=0,"Doğru",IF(R178&gt;0,"EKSİK ÖDENMİŞ","FAZLA ÖDENMİŞ")))))</f>
        <v/>
      </c>
      <c r="T178" s="30">
        <f>IF(A178="","",IF(F178&lt;&gt;"Evet","İNCELEME GEREKLİ - Kampanya Tanımsız",IF(G178&lt;&gt;"Evet","İNCELEME GEREKLİ - Tarih Dışı Satış",IF(LEFT(P178,4)="RİSK","İNCELEME GEREKLİ - Hakediş Süresi Aşıldı",IF(OR(S178="EKSİK ÖDENMİŞ",S178="FAZLA ÖDENMİŞ"),"İNCELEME GEREKLİ - Tutar Uyuşmazlığı",IF(LEFT(P178,7)="Bekleni","Bekleniyor","Uygun"))))))</f>
        <v/>
      </c>
    </row>
    <row r="179">
      <c r="A179" s="26">
        <f>IF('DIVA Satislari'!I179="","",'DIVA Satislari'!I179)</f>
        <v/>
      </c>
      <c r="B179" s="26">
        <f>IF('DIVA Satislari'!I179="","",'DIVA Satislari'!R179)</f>
        <v/>
      </c>
      <c r="C179" s="26">
        <f>IF('DIVA Satislari'!I179="","",'DIVA Satislari'!M179)</f>
        <v/>
      </c>
      <c r="D179" s="27">
        <f>IF('DIVA Satislari'!I179="","",'DIVA Satislari'!H179)</f>
        <v/>
      </c>
      <c r="E179" s="26">
        <f>IF('DIVA Satislari'!I179="","",'DIVA Satislari'!O179)</f>
        <v/>
      </c>
      <c r="F179" s="26">
        <f>IF('DIVA Satislari'!I179="","",'DIVA Satislari'!AK179)</f>
        <v/>
      </c>
      <c r="G179" s="26">
        <f>IF('DIVA Satislari'!I179="","",'DIVA Satislari'!AO179)</f>
        <v/>
      </c>
      <c r="H179" s="27">
        <f>IF('DIVA Satislari'!I179="","",'DIVA Satislari'!AN179)</f>
        <v/>
      </c>
      <c r="I179" s="28">
        <f>IF('DIVA Satislari'!I179="","",'DIVA Satislari'!AQ179)</f>
        <v/>
      </c>
      <c r="J179" s="26">
        <f>IF('DIVA Satislari'!I179="","",'DIVA Satislari'!AR179)</f>
        <v/>
      </c>
      <c r="K179" s="26">
        <f>IF('DIVA Satislari'!I179="","",IFERROR(INDEX('E2E Nakliye Montaj'!$AS$3:$AS$1002,MATCH('DIVA Satislari'!AJ179,'E2E Nakliye Montaj'!$AM$3:$AM$1002,0)),"Eşleşme Yok"))</f>
        <v/>
      </c>
      <c r="L179" s="26">
        <f>IF('DIVA Satislari'!I179="","",IFERROR(INDEX('E2E Nakliye Montaj'!$AT$3:$AT$1002,MATCH('DIVA Satislari'!AJ179,'E2E Nakliye Montaj'!$AM$3:$AM$1002,0)),"Hayır"))</f>
        <v/>
      </c>
      <c r="M179" s="26">
        <f>IF('DIVA Satislari'!I179="","",IFERROR(INDEX('E2E Nakliye Montaj'!$AU$3:$AU$1002,MATCH('DIVA Satislari'!AJ179,'E2E Nakliye Montaj'!$AM$3:$AM$1002,0)),"Hayır"))</f>
        <v/>
      </c>
      <c r="N179" s="27">
        <f>IF('DIVA Satislari'!I179="","",IFERROR(INDEX('E2E Nakliye Montaj'!$AV$3:$AV$1002,MATCH('DIVA Satislari'!AJ179,'E2E Nakliye Montaj'!$AM$3:$AM$1002,0)),""))</f>
        <v/>
      </c>
      <c r="O179" s="26">
        <f>IF(OR(A179="",N179=""),"",IF(N179&lt;=H179,"Evet","HAYIR - RİSK"))</f>
        <v/>
      </c>
      <c r="P179" s="26">
        <f>IF(A179="","",IF(LEFT(J179,8)="Kural A ","Uygun - Hemen Ödenir (Yıl Sonu %75 Kontrolüne Tabi)",IF(OR(L179="Evet",M179="Evet"),IF(O179="Evet","Uygun","RİSK - Hakediş Süresi Aşıldı"),"Bekleniyor - Nakliye/Montaj Tamamlanmadı")))</f>
        <v/>
      </c>
      <c r="Q179" s="28">
        <f>IF(A179="","",SUMIFS('Hakedis Fatura Detay'!$G$3:$G$1200,'Hakedis Fatura Detay'!$H$3:$H$1200,'DIVA Satislari'!AJ179,'Hakedis Fatura Detay'!$F$3:$F$1200,"Fiyat Farkı")+SUMIFS('Hakedis Fatura Detay'!$G$3:$G$1200,'Hakedis Fatura Detay'!$H$3:$H$1200,'DIVA Satislari'!AJ179,'Hakedis Fatura Detay'!$F$3:$F$1200,"Bundle"))</f>
        <v/>
      </c>
      <c r="R179" s="28">
        <f>IF(A179="","",I179-Q179)</f>
        <v/>
      </c>
      <c r="S179" s="26">
        <f>IF(A179="","",IF(LEFT(P179,7)="Bekleni","N/A - Henüz Ödenmemeli",IF(LEFT(P179,4)="RİSK","İNCELEME GEREKLİ - Süre Aşımı",IF(R179=0,"Doğru",IF(R179&gt;0,"EKSİK ÖDENMİŞ","FAZLA ÖDENMİŞ")))))</f>
        <v/>
      </c>
      <c r="T179" s="30">
        <f>IF(A179="","",IF(F179&lt;&gt;"Evet","İNCELEME GEREKLİ - Kampanya Tanımsız",IF(G179&lt;&gt;"Evet","İNCELEME GEREKLİ - Tarih Dışı Satış",IF(LEFT(P179,4)="RİSK","İNCELEME GEREKLİ - Hakediş Süresi Aşıldı",IF(OR(S179="EKSİK ÖDENMİŞ",S179="FAZLA ÖDENMİŞ"),"İNCELEME GEREKLİ - Tutar Uyuşmazlığı",IF(LEFT(P179,7)="Bekleni","Bekleniyor","Uygun"))))))</f>
        <v/>
      </c>
    </row>
    <row r="180">
      <c r="A180" s="26">
        <f>IF('DIVA Satislari'!I180="","",'DIVA Satislari'!I180)</f>
        <v/>
      </c>
      <c r="B180" s="26">
        <f>IF('DIVA Satislari'!I180="","",'DIVA Satislari'!R180)</f>
        <v/>
      </c>
      <c r="C180" s="26">
        <f>IF('DIVA Satislari'!I180="","",'DIVA Satislari'!M180)</f>
        <v/>
      </c>
      <c r="D180" s="27">
        <f>IF('DIVA Satislari'!I180="","",'DIVA Satislari'!H180)</f>
        <v/>
      </c>
      <c r="E180" s="26">
        <f>IF('DIVA Satislari'!I180="","",'DIVA Satislari'!O180)</f>
        <v/>
      </c>
      <c r="F180" s="26">
        <f>IF('DIVA Satislari'!I180="","",'DIVA Satislari'!AK180)</f>
        <v/>
      </c>
      <c r="G180" s="26">
        <f>IF('DIVA Satislari'!I180="","",'DIVA Satislari'!AO180)</f>
        <v/>
      </c>
      <c r="H180" s="27">
        <f>IF('DIVA Satislari'!I180="","",'DIVA Satislari'!AN180)</f>
        <v/>
      </c>
      <c r="I180" s="28">
        <f>IF('DIVA Satislari'!I180="","",'DIVA Satislari'!AQ180)</f>
        <v/>
      </c>
      <c r="J180" s="26">
        <f>IF('DIVA Satislari'!I180="","",'DIVA Satislari'!AR180)</f>
        <v/>
      </c>
      <c r="K180" s="26">
        <f>IF('DIVA Satislari'!I180="","",IFERROR(INDEX('E2E Nakliye Montaj'!$AS$3:$AS$1002,MATCH('DIVA Satislari'!AJ180,'E2E Nakliye Montaj'!$AM$3:$AM$1002,0)),"Eşleşme Yok"))</f>
        <v/>
      </c>
      <c r="L180" s="26">
        <f>IF('DIVA Satislari'!I180="","",IFERROR(INDEX('E2E Nakliye Montaj'!$AT$3:$AT$1002,MATCH('DIVA Satislari'!AJ180,'E2E Nakliye Montaj'!$AM$3:$AM$1002,0)),"Hayır"))</f>
        <v/>
      </c>
      <c r="M180" s="26">
        <f>IF('DIVA Satislari'!I180="","",IFERROR(INDEX('E2E Nakliye Montaj'!$AU$3:$AU$1002,MATCH('DIVA Satislari'!AJ180,'E2E Nakliye Montaj'!$AM$3:$AM$1002,0)),"Hayır"))</f>
        <v/>
      </c>
      <c r="N180" s="27">
        <f>IF('DIVA Satislari'!I180="","",IFERROR(INDEX('E2E Nakliye Montaj'!$AV$3:$AV$1002,MATCH('DIVA Satislari'!AJ180,'E2E Nakliye Montaj'!$AM$3:$AM$1002,0)),""))</f>
        <v/>
      </c>
      <c r="O180" s="26">
        <f>IF(OR(A180="",N180=""),"",IF(N180&lt;=H180,"Evet","HAYIR - RİSK"))</f>
        <v/>
      </c>
      <c r="P180" s="26">
        <f>IF(A180="","",IF(LEFT(J180,8)="Kural A ","Uygun - Hemen Ödenir (Yıl Sonu %75 Kontrolüne Tabi)",IF(OR(L180="Evet",M180="Evet"),IF(O180="Evet","Uygun","RİSK - Hakediş Süresi Aşıldı"),"Bekleniyor - Nakliye/Montaj Tamamlanmadı")))</f>
        <v/>
      </c>
      <c r="Q180" s="28">
        <f>IF(A180="","",SUMIFS('Hakedis Fatura Detay'!$G$3:$G$1200,'Hakedis Fatura Detay'!$H$3:$H$1200,'DIVA Satislari'!AJ180,'Hakedis Fatura Detay'!$F$3:$F$1200,"Fiyat Farkı")+SUMIFS('Hakedis Fatura Detay'!$G$3:$G$1200,'Hakedis Fatura Detay'!$H$3:$H$1200,'DIVA Satislari'!AJ180,'Hakedis Fatura Detay'!$F$3:$F$1200,"Bundle"))</f>
        <v/>
      </c>
      <c r="R180" s="28">
        <f>IF(A180="","",I180-Q180)</f>
        <v/>
      </c>
      <c r="S180" s="26">
        <f>IF(A180="","",IF(LEFT(P180,7)="Bekleni","N/A - Henüz Ödenmemeli",IF(LEFT(P180,4)="RİSK","İNCELEME GEREKLİ - Süre Aşımı",IF(R180=0,"Doğru",IF(R180&gt;0,"EKSİK ÖDENMİŞ","FAZLA ÖDENMİŞ")))))</f>
        <v/>
      </c>
      <c r="T180" s="30">
        <f>IF(A180="","",IF(F180&lt;&gt;"Evet","İNCELEME GEREKLİ - Kampanya Tanımsız",IF(G180&lt;&gt;"Evet","İNCELEME GEREKLİ - Tarih Dışı Satış",IF(LEFT(P180,4)="RİSK","İNCELEME GEREKLİ - Hakediş Süresi Aşıldı",IF(OR(S180="EKSİK ÖDENMİŞ",S180="FAZLA ÖDENMİŞ"),"İNCELEME GEREKLİ - Tutar Uyuşmazlığı",IF(LEFT(P180,7)="Bekleni","Bekleniyor","Uygun"))))))</f>
        <v/>
      </c>
    </row>
    <row r="181">
      <c r="A181" s="26">
        <f>IF('DIVA Satislari'!I181="","",'DIVA Satislari'!I181)</f>
        <v/>
      </c>
      <c r="B181" s="26">
        <f>IF('DIVA Satislari'!I181="","",'DIVA Satislari'!R181)</f>
        <v/>
      </c>
      <c r="C181" s="26">
        <f>IF('DIVA Satislari'!I181="","",'DIVA Satislari'!M181)</f>
        <v/>
      </c>
      <c r="D181" s="27">
        <f>IF('DIVA Satislari'!I181="","",'DIVA Satislari'!H181)</f>
        <v/>
      </c>
      <c r="E181" s="26">
        <f>IF('DIVA Satislari'!I181="","",'DIVA Satislari'!O181)</f>
        <v/>
      </c>
      <c r="F181" s="26">
        <f>IF('DIVA Satislari'!I181="","",'DIVA Satislari'!AK181)</f>
        <v/>
      </c>
      <c r="G181" s="26">
        <f>IF('DIVA Satislari'!I181="","",'DIVA Satislari'!AO181)</f>
        <v/>
      </c>
      <c r="H181" s="27">
        <f>IF('DIVA Satislari'!I181="","",'DIVA Satislari'!AN181)</f>
        <v/>
      </c>
      <c r="I181" s="28">
        <f>IF('DIVA Satislari'!I181="","",'DIVA Satislari'!AQ181)</f>
        <v/>
      </c>
      <c r="J181" s="26">
        <f>IF('DIVA Satislari'!I181="","",'DIVA Satislari'!AR181)</f>
        <v/>
      </c>
      <c r="K181" s="26">
        <f>IF('DIVA Satislari'!I181="","",IFERROR(INDEX('E2E Nakliye Montaj'!$AS$3:$AS$1002,MATCH('DIVA Satislari'!AJ181,'E2E Nakliye Montaj'!$AM$3:$AM$1002,0)),"Eşleşme Yok"))</f>
        <v/>
      </c>
      <c r="L181" s="26">
        <f>IF('DIVA Satislari'!I181="","",IFERROR(INDEX('E2E Nakliye Montaj'!$AT$3:$AT$1002,MATCH('DIVA Satislari'!AJ181,'E2E Nakliye Montaj'!$AM$3:$AM$1002,0)),"Hayır"))</f>
        <v/>
      </c>
      <c r="M181" s="26">
        <f>IF('DIVA Satislari'!I181="","",IFERROR(INDEX('E2E Nakliye Montaj'!$AU$3:$AU$1002,MATCH('DIVA Satislari'!AJ181,'E2E Nakliye Montaj'!$AM$3:$AM$1002,0)),"Hayır"))</f>
        <v/>
      </c>
      <c r="N181" s="27">
        <f>IF('DIVA Satislari'!I181="","",IFERROR(INDEX('E2E Nakliye Montaj'!$AV$3:$AV$1002,MATCH('DIVA Satislari'!AJ181,'E2E Nakliye Montaj'!$AM$3:$AM$1002,0)),""))</f>
        <v/>
      </c>
      <c r="O181" s="26">
        <f>IF(OR(A181="",N181=""),"",IF(N181&lt;=H181,"Evet","HAYIR - RİSK"))</f>
        <v/>
      </c>
      <c r="P181" s="26">
        <f>IF(A181="","",IF(LEFT(J181,8)="Kural A ","Uygun - Hemen Ödenir (Yıl Sonu %75 Kontrolüne Tabi)",IF(OR(L181="Evet",M181="Evet"),IF(O181="Evet","Uygun","RİSK - Hakediş Süresi Aşıldı"),"Bekleniyor - Nakliye/Montaj Tamamlanmadı")))</f>
        <v/>
      </c>
      <c r="Q181" s="28">
        <f>IF(A181="","",SUMIFS('Hakedis Fatura Detay'!$G$3:$G$1200,'Hakedis Fatura Detay'!$H$3:$H$1200,'DIVA Satislari'!AJ181,'Hakedis Fatura Detay'!$F$3:$F$1200,"Fiyat Farkı")+SUMIFS('Hakedis Fatura Detay'!$G$3:$G$1200,'Hakedis Fatura Detay'!$H$3:$H$1200,'DIVA Satislari'!AJ181,'Hakedis Fatura Detay'!$F$3:$F$1200,"Bundle"))</f>
        <v/>
      </c>
      <c r="R181" s="28">
        <f>IF(A181="","",I181-Q181)</f>
        <v/>
      </c>
      <c r="S181" s="26">
        <f>IF(A181="","",IF(LEFT(P181,7)="Bekleni","N/A - Henüz Ödenmemeli",IF(LEFT(P181,4)="RİSK","İNCELEME GEREKLİ - Süre Aşımı",IF(R181=0,"Doğru",IF(R181&gt;0,"EKSİK ÖDENMİŞ","FAZLA ÖDENMİŞ")))))</f>
        <v/>
      </c>
      <c r="T181" s="30">
        <f>IF(A181="","",IF(F181&lt;&gt;"Evet","İNCELEME GEREKLİ - Kampanya Tanımsız",IF(G181&lt;&gt;"Evet","İNCELEME GEREKLİ - Tarih Dışı Satış",IF(LEFT(P181,4)="RİSK","İNCELEME GEREKLİ - Hakediş Süresi Aşıldı",IF(OR(S181="EKSİK ÖDENMİŞ",S181="FAZLA ÖDENMİŞ"),"İNCELEME GEREKLİ - Tutar Uyuşmazlığı",IF(LEFT(P181,7)="Bekleni","Bekleniyor","Uygun"))))))</f>
        <v/>
      </c>
    </row>
    <row r="182">
      <c r="A182" s="26">
        <f>IF('DIVA Satislari'!I182="","",'DIVA Satislari'!I182)</f>
        <v/>
      </c>
      <c r="B182" s="26">
        <f>IF('DIVA Satislari'!I182="","",'DIVA Satislari'!R182)</f>
        <v/>
      </c>
      <c r="C182" s="26">
        <f>IF('DIVA Satislari'!I182="","",'DIVA Satislari'!M182)</f>
        <v/>
      </c>
      <c r="D182" s="27">
        <f>IF('DIVA Satislari'!I182="","",'DIVA Satislari'!H182)</f>
        <v/>
      </c>
      <c r="E182" s="26">
        <f>IF('DIVA Satislari'!I182="","",'DIVA Satislari'!O182)</f>
        <v/>
      </c>
      <c r="F182" s="26">
        <f>IF('DIVA Satislari'!I182="","",'DIVA Satislari'!AK182)</f>
        <v/>
      </c>
      <c r="G182" s="26">
        <f>IF('DIVA Satislari'!I182="","",'DIVA Satislari'!AO182)</f>
        <v/>
      </c>
      <c r="H182" s="27">
        <f>IF('DIVA Satislari'!I182="","",'DIVA Satislari'!AN182)</f>
        <v/>
      </c>
      <c r="I182" s="28">
        <f>IF('DIVA Satislari'!I182="","",'DIVA Satislari'!AQ182)</f>
        <v/>
      </c>
      <c r="J182" s="26">
        <f>IF('DIVA Satislari'!I182="","",'DIVA Satislari'!AR182)</f>
        <v/>
      </c>
      <c r="K182" s="26">
        <f>IF('DIVA Satislari'!I182="","",IFERROR(INDEX('E2E Nakliye Montaj'!$AS$3:$AS$1002,MATCH('DIVA Satislari'!AJ182,'E2E Nakliye Montaj'!$AM$3:$AM$1002,0)),"Eşleşme Yok"))</f>
        <v/>
      </c>
      <c r="L182" s="26">
        <f>IF('DIVA Satislari'!I182="","",IFERROR(INDEX('E2E Nakliye Montaj'!$AT$3:$AT$1002,MATCH('DIVA Satislari'!AJ182,'E2E Nakliye Montaj'!$AM$3:$AM$1002,0)),"Hayır"))</f>
        <v/>
      </c>
      <c r="M182" s="26">
        <f>IF('DIVA Satislari'!I182="","",IFERROR(INDEX('E2E Nakliye Montaj'!$AU$3:$AU$1002,MATCH('DIVA Satislari'!AJ182,'E2E Nakliye Montaj'!$AM$3:$AM$1002,0)),"Hayır"))</f>
        <v/>
      </c>
      <c r="N182" s="27">
        <f>IF('DIVA Satislari'!I182="","",IFERROR(INDEX('E2E Nakliye Montaj'!$AV$3:$AV$1002,MATCH('DIVA Satislari'!AJ182,'E2E Nakliye Montaj'!$AM$3:$AM$1002,0)),""))</f>
        <v/>
      </c>
      <c r="O182" s="26">
        <f>IF(OR(A182="",N182=""),"",IF(N182&lt;=H182,"Evet","HAYIR - RİSK"))</f>
        <v/>
      </c>
      <c r="P182" s="26">
        <f>IF(A182="","",IF(LEFT(J182,8)="Kural A ","Uygun - Hemen Ödenir (Yıl Sonu %75 Kontrolüne Tabi)",IF(OR(L182="Evet",M182="Evet"),IF(O182="Evet","Uygun","RİSK - Hakediş Süresi Aşıldı"),"Bekleniyor - Nakliye/Montaj Tamamlanmadı")))</f>
        <v/>
      </c>
      <c r="Q182" s="28">
        <f>IF(A182="","",SUMIFS('Hakedis Fatura Detay'!$G$3:$G$1200,'Hakedis Fatura Detay'!$H$3:$H$1200,'DIVA Satislari'!AJ182,'Hakedis Fatura Detay'!$F$3:$F$1200,"Fiyat Farkı")+SUMIFS('Hakedis Fatura Detay'!$G$3:$G$1200,'Hakedis Fatura Detay'!$H$3:$H$1200,'DIVA Satislari'!AJ182,'Hakedis Fatura Detay'!$F$3:$F$1200,"Bundle"))</f>
        <v/>
      </c>
      <c r="R182" s="28">
        <f>IF(A182="","",I182-Q182)</f>
        <v/>
      </c>
      <c r="S182" s="26">
        <f>IF(A182="","",IF(LEFT(P182,7)="Bekleni","N/A - Henüz Ödenmemeli",IF(LEFT(P182,4)="RİSK","İNCELEME GEREKLİ - Süre Aşımı",IF(R182=0,"Doğru",IF(R182&gt;0,"EKSİK ÖDENMİŞ","FAZLA ÖDENMİŞ")))))</f>
        <v/>
      </c>
      <c r="T182" s="30">
        <f>IF(A182="","",IF(F182&lt;&gt;"Evet","İNCELEME GEREKLİ - Kampanya Tanımsız",IF(G182&lt;&gt;"Evet","İNCELEME GEREKLİ - Tarih Dışı Satış",IF(LEFT(P182,4)="RİSK","İNCELEME GEREKLİ - Hakediş Süresi Aşıldı",IF(OR(S182="EKSİK ÖDENMİŞ",S182="FAZLA ÖDENMİŞ"),"İNCELEME GEREKLİ - Tutar Uyuşmazlığı",IF(LEFT(P182,7)="Bekleni","Bekleniyor","Uygun"))))))</f>
        <v/>
      </c>
    </row>
    <row r="183">
      <c r="A183" s="26">
        <f>IF('DIVA Satislari'!I183="","",'DIVA Satislari'!I183)</f>
        <v/>
      </c>
      <c r="B183" s="26">
        <f>IF('DIVA Satislari'!I183="","",'DIVA Satislari'!R183)</f>
        <v/>
      </c>
      <c r="C183" s="26">
        <f>IF('DIVA Satislari'!I183="","",'DIVA Satislari'!M183)</f>
        <v/>
      </c>
      <c r="D183" s="27">
        <f>IF('DIVA Satislari'!I183="","",'DIVA Satislari'!H183)</f>
        <v/>
      </c>
      <c r="E183" s="26">
        <f>IF('DIVA Satislari'!I183="","",'DIVA Satislari'!O183)</f>
        <v/>
      </c>
      <c r="F183" s="26">
        <f>IF('DIVA Satislari'!I183="","",'DIVA Satislari'!AK183)</f>
        <v/>
      </c>
      <c r="G183" s="26">
        <f>IF('DIVA Satislari'!I183="","",'DIVA Satislari'!AO183)</f>
        <v/>
      </c>
      <c r="H183" s="27">
        <f>IF('DIVA Satislari'!I183="","",'DIVA Satislari'!AN183)</f>
        <v/>
      </c>
      <c r="I183" s="28">
        <f>IF('DIVA Satislari'!I183="","",'DIVA Satislari'!AQ183)</f>
        <v/>
      </c>
      <c r="J183" s="26">
        <f>IF('DIVA Satislari'!I183="","",'DIVA Satislari'!AR183)</f>
        <v/>
      </c>
      <c r="K183" s="26">
        <f>IF('DIVA Satislari'!I183="","",IFERROR(INDEX('E2E Nakliye Montaj'!$AS$3:$AS$1002,MATCH('DIVA Satislari'!AJ183,'E2E Nakliye Montaj'!$AM$3:$AM$1002,0)),"Eşleşme Yok"))</f>
        <v/>
      </c>
      <c r="L183" s="26">
        <f>IF('DIVA Satislari'!I183="","",IFERROR(INDEX('E2E Nakliye Montaj'!$AT$3:$AT$1002,MATCH('DIVA Satislari'!AJ183,'E2E Nakliye Montaj'!$AM$3:$AM$1002,0)),"Hayır"))</f>
        <v/>
      </c>
      <c r="M183" s="26">
        <f>IF('DIVA Satislari'!I183="","",IFERROR(INDEX('E2E Nakliye Montaj'!$AU$3:$AU$1002,MATCH('DIVA Satislari'!AJ183,'E2E Nakliye Montaj'!$AM$3:$AM$1002,0)),"Hayır"))</f>
        <v/>
      </c>
      <c r="N183" s="27">
        <f>IF('DIVA Satislari'!I183="","",IFERROR(INDEX('E2E Nakliye Montaj'!$AV$3:$AV$1002,MATCH('DIVA Satislari'!AJ183,'E2E Nakliye Montaj'!$AM$3:$AM$1002,0)),""))</f>
        <v/>
      </c>
      <c r="O183" s="26">
        <f>IF(OR(A183="",N183=""),"",IF(N183&lt;=H183,"Evet","HAYIR - RİSK"))</f>
        <v/>
      </c>
      <c r="P183" s="26">
        <f>IF(A183="","",IF(LEFT(J183,8)="Kural A ","Uygun - Hemen Ödenir (Yıl Sonu %75 Kontrolüne Tabi)",IF(OR(L183="Evet",M183="Evet"),IF(O183="Evet","Uygun","RİSK - Hakediş Süresi Aşıldı"),"Bekleniyor - Nakliye/Montaj Tamamlanmadı")))</f>
        <v/>
      </c>
      <c r="Q183" s="28">
        <f>IF(A183="","",SUMIFS('Hakedis Fatura Detay'!$G$3:$G$1200,'Hakedis Fatura Detay'!$H$3:$H$1200,'DIVA Satislari'!AJ183,'Hakedis Fatura Detay'!$F$3:$F$1200,"Fiyat Farkı")+SUMIFS('Hakedis Fatura Detay'!$G$3:$G$1200,'Hakedis Fatura Detay'!$H$3:$H$1200,'DIVA Satislari'!AJ183,'Hakedis Fatura Detay'!$F$3:$F$1200,"Bundle"))</f>
        <v/>
      </c>
      <c r="R183" s="28">
        <f>IF(A183="","",I183-Q183)</f>
        <v/>
      </c>
      <c r="S183" s="26">
        <f>IF(A183="","",IF(LEFT(P183,7)="Bekleni","N/A - Henüz Ödenmemeli",IF(LEFT(P183,4)="RİSK","İNCELEME GEREKLİ - Süre Aşımı",IF(R183=0,"Doğru",IF(R183&gt;0,"EKSİK ÖDENMİŞ","FAZLA ÖDENMİŞ")))))</f>
        <v/>
      </c>
      <c r="T183" s="30">
        <f>IF(A183="","",IF(F183&lt;&gt;"Evet","İNCELEME GEREKLİ - Kampanya Tanımsız",IF(G183&lt;&gt;"Evet","İNCELEME GEREKLİ - Tarih Dışı Satış",IF(LEFT(P183,4)="RİSK","İNCELEME GEREKLİ - Hakediş Süresi Aşıldı",IF(OR(S183="EKSİK ÖDENMİŞ",S183="FAZLA ÖDENMİŞ"),"İNCELEME GEREKLİ - Tutar Uyuşmazlığı",IF(LEFT(P183,7)="Bekleni","Bekleniyor","Uygun"))))))</f>
        <v/>
      </c>
    </row>
    <row r="184">
      <c r="A184" s="26">
        <f>IF('DIVA Satislari'!I184="","",'DIVA Satislari'!I184)</f>
        <v/>
      </c>
      <c r="B184" s="26">
        <f>IF('DIVA Satislari'!I184="","",'DIVA Satislari'!R184)</f>
        <v/>
      </c>
      <c r="C184" s="26">
        <f>IF('DIVA Satislari'!I184="","",'DIVA Satislari'!M184)</f>
        <v/>
      </c>
      <c r="D184" s="27">
        <f>IF('DIVA Satislari'!I184="","",'DIVA Satislari'!H184)</f>
        <v/>
      </c>
      <c r="E184" s="26">
        <f>IF('DIVA Satislari'!I184="","",'DIVA Satislari'!O184)</f>
        <v/>
      </c>
      <c r="F184" s="26">
        <f>IF('DIVA Satislari'!I184="","",'DIVA Satislari'!AK184)</f>
        <v/>
      </c>
      <c r="G184" s="26">
        <f>IF('DIVA Satislari'!I184="","",'DIVA Satislari'!AO184)</f>
        <v/>
      </c>
      <c r="H184" s="27">
        <f>IF('DIVA Satislari'!I184="","",'DIVA Satislari'!AN184)</f>
        <v/>
      </c>
      <c r="I184" s="28">
        <f>IF('DIVA Satislari'!I184="","",'DIVA Satislari'!AQ184)</f>
        <v/>
      </c>
      <c r="J184" s="26">
        <f>IF('DIVA Satislari'!I184="","",'DIVA Satislari'!AR184)</f>
        <v/>
      </c>
      <c r="K184" s="26">
        <f>IF('DIVA Satislari'!I184="","",IFERROR(INDEX('E2E Nakliye Montaj'!$AS$3:$AS$1002,MATCH('DIVA Satislari'!AJ184,'E2E Nakliye Montaj'!$AM$3:$AM$1002,0)),"Eşleşme Yok"))</f>
        <v/>
      </c>
      <c r="L184" s="26">
        <f>IF('DIVA Satislari'!I184="","",IFERROR(INDEX('E2E Nakliye Montaj'!$AT$3:$AT$1002,MATCH('DIVA Satislari'!AJ184,'E2E Nakliye Montaj'!$AM$3:$AM$1002,0)),"Hayır"))</f>
        <v/>
      </c>
      <c r="M184" s="26">
        <f>IF('DIVA Satislari'!I184="","",IFERROR(INDEX('E2E Nakliye Montaj'!$AU$3:$AU$1002,MATCH('DIVA Satislari'!AJ184,'E2E Nakliye Montaj'!$AM$3:$AM$1002,0)),"Hayır"))</f>
        <v/>
      </c>
      <c r="N184" s="27">
        <f>IF('DIVA Satislari'!I184="","",IFERROR(INDEX('E2E Nakliye Montaj'!$AV$3:$AV$1002,MATCH('DIVA Satislari'!AJ184,'E2E Nakliye Montaj'!$AM$3:$AM$1002,0)),""))</f>
        <v/>
      </c>
      <c r="O184" s="26">
        <f>IF(OR(A184="",N184=""),"",IF(N184&lt;=H184,"Evet","HAYIR - RİSK"))</f>
        <v/>
      </c>
      <c r="P184" s="26">
        <f>IF(A184="","",IF(LEFT(J184,8)="Kural A ","Uygun - Hemen Ödenir (Yıl Sonu %75 Kontrolüne Tabi)",IF(OR(L184="Evet",M184="Evet"),IF(O184="Evet","Uygun","RİSK - Hakediş Süresi Aşıldı"),"Bekleniyor - Nakliye/Montaj Tamamlanmadı")))</f>
        <v/>
      </c>
      <c r="Q184" s="28">
        <f>IF(A184="","",SUMIFS('Hakedis Fatura Detay'!$G$3:$G$1200,'Hakedis Fatura Detay'!$H$3:$H$1200,'DIVA Satislari'!AJ184,'Hakedis Fatura Detay'!$F$3:$F$1200,"Fiyat Farkı")+SUMIFS('Hakedis Fatura Detay'!$G$3:$G$1200,'Hakedis Fatura Detay'!$H$3:$H$1200,'DIVA Satislari'!AJ184,'Hakedis Fatura Detay'!$F$3:$F$1200,"Bundle"))</f>
        <v/>
      </c>
      <c r="R184" s="28">
        <f>IF(A184="","",I184-Q184)</f>
        <v/>
      </c>
      <c r="S184" s="26">
        <f>IF(A184="","",IF(LEFT(P184,7)="Bekleni","N/A - Henüz Ödenmemeli",IF(LEFT(P184,4)="RİSK","İNCELEME GEREKLİ - Süre Aşımı",IF(R184=0,"Doğru",IF(R184&gt;0,"EKSİK ÖDENMİŞ","FAZLA ÖDENMİŞ")))))</f>
        <v/>
      </c>
      <c r="T184" s="30">
        <f>IF(A184="","",IF(F184&lt;&gt;"Evet","İNCELEME GEREKLİ - Kampanya Tanımsız",IF(G184&lt;&gt;"Evet","İNCELEME GEREKLİ - Tarih Dışı Satış",IF(LEFT(P184,4)="RİSK","İNCELEME GEREKLİ - Hakediş Süresi Aşıldı",IF(OR(S184="EKSİK ÖDENMİŞ",S184="FAZLA ÖDENMİŞ"),"İNCELEME GEREKLİ - Tutar Uyuşmazlığı",IF(LEFT(P184,7)="Bekleni","Bekleniyor","Uygun"))))))</f>
        <v/>
      </c>
    </row>
    <row r="185">
      <c r="A185" s="26">
        <f>IF('DIVA Satislari'!I185="","",'DIVA Satislari'!I185)</f>
        <v/>
      </c>
      <c r="B185" s="26">
        <f>IF('DIVA Satislari'!I185="","",'DIVA Satislari'!R185)</f>
        <v/>
      </c>
      <c r="C185" s="26">
        <f>IF('DIVA Satislari'!I185="","",'DIVA Satislari'!M185)</f>
        <v/>
      </c>
      <c r="D185" s="27">
        <f>IF('DIVA Satislari'!I185="","",'DIVA Satislari'!H185)</f>
        <v/>
      </c>
      <c r="E185" s="26">
        <f>IF('DIVA Satislari'!I185="","",'DIVA Satislari'!O185)</f>
        <v/>
      </c>
      <c r="F185" s="26">
        <f>IF('DIVA Satislari'!I185="","",'DIVA Satislari'!AK185)</f>
        <v/>
      </c>
      <c r="G185" s="26">
        <f>IF('DIVA Satislari'!I185="","",'DIVA Satislari'!AO185)</f>
        <v/>
      </c>
      <c r="H185" s="27">
        <f>IF('DIVA Satislari'!I185="","",'DIVA Satislari'!AN185)</f>
        <v/>
      </c>
      <c r="I185" s="28">
        <f>IF('DIVA Satislari'!I185="","",'DIVA Satislari'!AQ185)</f>
        <v/>
      </c>
      <c r="J185" s="26">
        <f>IF('DIVA Satislari'!I185="","",'DIVA Satislari'!AR185)</f>
        <v/>
      </c>
      <c r="K185" s="26">
        <f>IF('DIVA Satislari'!I185="","",IFERROR(INDEX('E2E Nakliye Montaj'!$AS$3:$AS$1002,MATCH('DIVA Satislari'!AJ185,'E2E Nakliye Montaj'!$AM$3:$AM$1002,0)),"Eşleşme Yok"))</f>
        <v/>
      </c>
      <c r="L185" s="26">
        <f>IF('DIVA Satislari'!I185="","",IFERROR(INDEX('E2E Nakliye Montaj'!$AT$3:$AT$1002,MATCH('DIVA Satislari'!AJ185,'E2E Nakliye Montaj'!$AM$3:$AM$1002,0)),"Hayır"))</f>
        <v/>
      </c>
      <c r="M185" s="26">
        <f>IF('DIVA Satislari'!I185="","",IFERROR(INDEX('E2E Nakliye Montaj'!$AU$3:$AU$1002,MATCH('DIVA Satislari'!AJ185,'E2E Nakliye Montaj'!$AM$3:$AM$1002,0)),"Hayır"))</f>
        <v/>
      </c>
      <c r="N185" s="27">
        <f>IF('DIVA Satislari'!I185="","",IFERROR(INDEX('E2E Nakliye Montaj'!$AV$3:$AV$1002,MATCH('DIVA Satislari'!AJ185,'E2E Nakliye Montaj'!$AM$3:$AM$1002,0)),""))</f>
        <v/>
      </c>
      <c r="O185" s="26">
        <f>IF(OR(A185="",N185=""),"",IF(N185&lt;=H185,"Evet","HAYIR - RİSK"))</f>
        <v/>
      </c>
      <c r="P185" s="26">
        <f>IF(A185="","",IF(LEFT(J185,8)="Kural A ","Uygun - Hemen Ödenir (Yıl Sonu %75 Kontrolüne Tabi)",IF(OR(L185="Evet",M185="Evet"),IF(O185="Evet","Uygun","RİSK - Hakediş Süresi Aşıldı"),"Bekleniyor - Nakliye/Montaj Tamamlanmadı")))</f>
        <v/>
      </c>
      <c r="Q185" s="28">
        <f>IF(A185="","",SUMIFS('Hakedis Fatura Detay'!$G$3:$G$1200,'Hakedis Fatura Detay'!$H$3:$H$1200,'DIVA Satislari'!AJ185,'Hakedis Fatura Detay'!$F$3:$F$1200,"Fiyat Farkı")+SUMIFS('Hakedis Fatura Detay'!$G$3:$G$1200,'Hakedis Fatura Detay'!$H$3:$H$1200,'DIVA Satislari'!AJ185,'Hakedis Fatura Detay'!$F$3:$F$1200,"Bundle"))</f>
        <v/>
      </c>
      <c r="R185" s="28">
        <f>IF(A185="","",I185-Q185)</f>
        <v/>
      </c>
      <c r="S185" s="26">
        <f>IF(A185="","",IF(LEFT(P185,7)="Bekleni","N/A - Henüz Ödenmemeli",IF(LEFT(P185,4)="RİSK","İNCELEME GEREKLİ - Süre Aşımı",IF(R185=0,"Doğru",IF(R185&gt;0,"EKSİK ÖDENMİŞ","FAZLA ÖDENMİŞ")))))</f>
        <v/>
      </c>
      <c r="T185" s="30">
        <f>IF(A185="","",IF(F185&lt;&gt;"Evet","İNCELEME GEREKLİ - Kampanya Tanımsız",IF(G185&lt;&gt;"Evet","İNCELEME GEREKLİ - Tarih Dışı Satış",IF(LEFT(P185,4)="RİSK","İNCELEME GEREKLİ - Hakediş Süresi Aşıldı",IF(OR(S185="EKSİK ÖDENMİŞ",S185="FAZLA ÖDENMİŞ"),"İNCELEME GEREKLİ - Tutar Uyuşmazlığı",IF(LEFT(P185,7)="Bekleni","Bekleniyor","Uygun"))))))</f>
        <v/>
      </c>
    </row>
    <row r="186">
      <c r="A186" s="26">
        <f>IF('DIVA Satislari'!I186="","",'DIVA Satislari'!I186)</f>
        <v/>
      </c>
      <c r="B186" s="26">
        <f>IF('DIVA Satislari'!I186="","",'DIVA Satislari'!R186)</f>
        <v/>
      </c>
      <c r="C186" s="26">
        <f>IF('DIVA Satislari'!I186="","",'DIVA Satislari'!M186)</f>
        <v/>
      </c>
      <c r="D186" s="27">
        <f>IF('DIVA Satislari'!I186="","",'DIVA Satislari'!H186)</f>
        <v/>
      </c>
      <c r="E186" s="26">
        <f>IF('DIVA Satislari'!I186="","",'DIVA Satislari'!O186)</f>
        <v/>
      </c>
      <c r="F186" s="26">
        <f>IF('DIVA Satislari'!I186="","",'DIVA Satislari'!AK186)</f>
        <v/>
      </c>
      <c r="G186" s="26">
        <f>IF('DIVA Satislari'!I186="","",'DIVA Satislari'!AO186)</f>
        <v/>
      </c>
      <c r="H186" s="27">
        <f>IF('DIVA Satislari'!I186="","",'DIVA Satislari'!AN186)</f>
        <v/>
      </c>
      <c r="I186" s="28">
        <f>IF('DIVA Satislari'!I186="","",'DIVA Satislari'!AQ186)</f>
        <v/>
      </c>
      <c r="J186" s="26">
        <f>IF('DIVA Satislari'!I186="","",'DIVA Satislari'!AR186)</f>
        <v/>
      </c>
      <c r="K186" s="26">
        <f>IF('DIVA Satislari'!I186="","",IFERROR(INDEX('E2E Nakliye Montaj'!$AS$3:$AS$1002,MATCH('DIVA Satislari'!AJ186,'E2E Nakliye Montaj'!$AM$3:$AM$1002,0)),"Eşleşme Yok"))</f>
        <v/>
      </c>
      <c r="L186" s="26">
        <f>IF('DIVA Satislari'!I186="","",IFERROR(INDEX('E2E Nakliye Montaj'!$AT$3:$AT$1002,MATCH('DIVA Satislari'!AJ186,'E2E Nakliye Montaj'!$AM$3:$AM$1002,0)),"Hayır"))</f>
        <v/>
      </c>
      <c r="M186" s="26">
        <f>IF('DIVA Satislari'!I186="","",IFERROR(INDEX('E2E Nakliye Montaj'!$AU$3:$AU$1002,MATCH('DIVA Satislari'!AJ186,'E2E Nakliye Montaj'!$AM$3:$AM$1002,0)),"Hayır"))</f>
        <v/>
      </c>
      <c r="N186" s="27">
        <f>IF('DIVA Satislari'!I186="","",IFERROR(INDEX('E2E Nakliye Montaj'!$AV$3:$AV$1002,MATCH('DIVA Satislari'!AJ186,'E2E Nakliye Montaj'!$AM$3:$AM$1002,0)),""))</f>
        <v/>
      </c>
      <c r="O186" s="26">
        <f>IF(OR(A186="",N186=""),"",IF(N186&lt;=H186,"Evet","HAYIR - RİSK"))</f>
        <v/>
      </c>
      <c r="P186" s="26">
        <f>IF(A186="","",IF(LEFT(J186,8)="Kural A ","Uygun - Hemen Ödenir (Yıl Sonu %75 Kontrolüne Tabi)",IF(OR(L186="Evet",M186="Evet"),IF(O186="Evet","Uygun","RİSK - Hakediş Süresi Aşıldı"),"Bekleniyor - Nakliye/Montaj Tamamlanmadı")))</f>
        <v/>
      </c>
      <c r="Q186" s="28">
        <f>IF(A186="","",SUMIFS('Hakedis Fatura Detay'!$G$3:$G$1200,'Hakedis Fatura Detay'!$H$3:$H$1200,'DIVA Satislari'!AJ186,'Hakedis Fatura Detay'!$F$3:$F$1200,"Fiyat Farkı")+SUMIFS('Hakedis Fatura Detay'!$G$3:$G$1200,'Hakedis Fatura Detay'!$H$3:$H$1200,'DIVA Satislari'!AJ186,'Hakedis Fatura Detay'!$F$3:$F$1200,"Bundle"))</f>
        <v/>
      </c>
      <c r="R186" s="28">
        <f>IF(A186="","",I186-Q186)</f>
        <v/>
      </c>
      <c r="S186" s="26">
        <f>IF(A186="","",IF(LEFT(P186,7)="Bekleni","N/A - Henüz Ödenmemeli",IF(LEFT(P186,4)="RİSK","İNCELEME GEREKLİ - Süre Aşımı",IF(R186=0,"Doğru",IF(R186&gt;0,"EKSİK ÖDENMİŞ","FAZLA ÖDENMİŞ")))))</f>
        <v/>
      </c>
      <c r="T186" s="30">
        <f>IF(A186="","",IF(F186&lt;&gt;"Evet","İNCELEME GEREKLİ - Kampanya Tanımsız",IF(G186&lt;&gt;"Evet","İNCELEME GEREKLİ - Tarih Dışı Satış",IF(LEFT(P186,4)="RİSK","İNCELEME GEREKLİ - Hakediş Süresi Aşıldı",IF(OR(S186="EKSİK ÖDENMİŞ",S186="FAZLA ÖDENMİŞ"),"İNCELEME GEREKLİ - Tutar Uyuşmazlığı",IF(LEFT(P186,7)="Bekleni","Bekleniyor","Uygun"))))))</f>
        <v/>
      </c>
    </row>
    <row r="187">
      <c r="A187" s="26">
        <f>IF('DIVA Satislari'!I187="","",'DIVA Satislari'!I187)</f>
        <v/>
      </c>
      <c r="B187" s="26">
        <f>IF('DIVA Satislari'!I187="","",'DIVA Satislari'!R187)</f>
        <v/>
      </c>
      <c r="C187" s="26">
        <f>IF('DIVA Satislari'!I187="","",'DIVA Satislari'!M187)</f>
        <v/>
      </c>
      <c r="D187" s="27">
        <f>IF('DIVA Satislari'!I187="","",'DIVA Satislari'!H187)</f>
        <v/>
      </c>
      <c r="E187" s="26">
        <f>IF('DIVA Satislari'!I187="","",'DIVA Satislari'!O187)</f>
        <v/>
      </c>
      <c r="F187" s="26">
        <f>IF('DIVA Satislari'!I187="","",'DIVA Satislari'!AK187)</f>
        <v/>
      </c>
      <c r="G187" s="26">
        <f>IF('DIVA Satislari'!I187="","",'DIVA Satislari'!AO187)</f>
        <v/>
      </c>
      <c r="H187" s="27">
        <f>IF('DIVA Satislari'!I187="","",'DIVA Satislari'!AN187)</f>
        <v/>
      </c>
      <c r="I187" s="28">
        <f>IF('DIVA Satislari'!I187="","",'DIVA Satislari'!AQ187)</f>
        <v/>
      </c>
      <c r="J187" s="26">
        <f>IF('DIVA Satislari'!I187="","",'DIVA Satislari'!AR187)</f>
        <v/>
      </c>
      <c r="K187" s="26">
        <f>IF('DIVA Satislari'!I187="","",IFERROR(INDEX('E2E Nakliye Montaj'!$AS$3:$AS$1002,MATCH('DIVA Satislari'!AJ187,'E2E Nakliye Montaj'!$AM$3:$AM$1002,0)),"Eşleşme Yok"))</f>
        <v/>
      </c>
      <c r="L187" s="26">
        <f>IF('DIVA Satislari'!I187="","",IFERROR(INDEX('E2E Nakliye Montaj'!$AT$3:$AT$1002,MATCH('DIVA Satislari'!AJ187,'E2E Nakliye Montaj'!$AM$3:$AM$1002,0)),"Hayır"))</f>
        <v/>
      </c>
      <c r="M187" s="26">
        <f>IF('DIVA Satislari'!I187="","",IFERROR(INDEX('E2E Nakliye Montaj'!$AU$3:$AU$1002,MATCH('DIVA Satislari'!AJ187,'E2E Nakliye Montaj'!$AM$3:$AM$1002,0)),"Hayır"))</f>
        <v/>
      </c>
      <c r="N187" s="27">
        <f>IF('DIVA Satislari'!I187="","",IFERROR(INDEX('E2E Nakliye Montaj'!$AV$3:$AV$1002,MATCH('DIVA Satislari'!AJ187,'E2E Nakliye Montaj'!$AM$3:$AM$1002,0)),""))</f>
        <v/>
      </c>
      <c r="O187" s="26">
        <f>IF(OR(A187="",N187=""),"",IF(N187&lt;=H187,"Evet","HAYIR - RİSK"))</f>
        <v/>
      </c>
      <c r="P187" s="26">
        <f>IF(A187="","",IF(LEFT(J187,8)="Kural A ","Uygun - Hemen Ödenir (Yıl Sonu %75 Kontrolüne Tabi)",IF(OR(L187="Evet",M187="Evet"),IF(O187="Evet","Uygun","RİSK - Hakediş Süresi Aşıldı"),"Bekleniyor - Nakliye/Montaj Tamamlanmadı")))</f>
        <v/>
      </c>
      <c r="Q187" s="28">
        <f>IF(A187="","",SUMIFS('Hakedis Fatura Detay'!$G$3:$G$1200,'Hakedis Fatura Detay'!$H$3:$H$1200,'DIVA Satislari'!AJ187,'Hakedis Fatura Detay'!$F$3:$F$1200,"Fiyat Farkı")+SUMIFS('Hakedis Fatura Detay'!$G$3:$G$1200,'Hakedis Fatura Detay'!$H$3:$H$1200,'DIVA Satislari'!AJ187,'Hakedis Fatura Detay'!$F$3:$F$1200,"Bundle"))</f>
        <v/>
      </c>
      <c r="R187" s="28">
        <f>IF(A187="","",I187-Q187)</f>
        <v/>
      </c>
      <c r="S187" s="26">
        <f>IF(A187="","",IF(LEFT(P187,7)="Bekleni","N/A - Henüz Ödenmemeli",IF(LEFT(P187,4)="RİSK","İNCELEME GEREKLİ - Süre Aşımı",IF(R187=0,"Doğru",IF(R187&gt;0,"EKSİK ÖDENMİŞ","FAZLA ÖDENMİŞ")))))</f>
        <v/>
      </c>
      <c r="T187" s="30">
        <f>IF(A187="","",IF(F187&lt;&gt;"Evet","İNCELEME GEREKLİ - Kampanya Tanımsız",IF(G187&lt;&gt;"Evet","İNCELEME GEREKLİ - Tarih Dışı Satış",IF(LEFT(P187,4)="RİSK","İNCELEME GEREKLİ - Hakediş Süresi Aşıldı",IF(OR(S187="EKSİK ÖDENMİŞ",S187="FAZLA ÖDENMİŞ"),"İNCELEME GEREKLİ - Tutar Uyuşmazlığı",IF(LEFT(P187,7)="Bekleni","Bekleniyor","Uygun"))))))</f>
        <v/>
      </c>
    </row>
    <row r="188">
      <c r="A188" s="26">
        <f>IF('DIVA Satislari'!I188="","",'DIVA Satislari'!I188)</f>
        <v/>
      </c>
      <c r="B188" s="26">
        <f>IF('DIVA Satislari'!I188="","",'DIVA Satislari'!R188)</f>
        <v/>
      </c>
      <c r="C188" s="26">
        <f>IF('DIVA Satislari'!I188="","",'DIVA Satislari'!M188)</f>
        <v/>
      </c>
      <c r="D188" s="27">
        <f>IF('DIVA Satislari'!I188="","",'DIVA Satislari'!H188)</f>
        <v/>
      </c>
      <c r="E188" s="26">
        <f>IF('DIVA Satislari'!I188="","",'DIVA Satislari'!O188)</f>
        <v/>
      </c>
      <c r="F188" s="26">
        <f>IF('DIVA Satislari'!I188="","",'DIVA Satislari'!AK188)</f>
        <v/>
      </c>
      <c r="G188" s="26">
        <f>IF('DIVA Satislari'!I188="","",'DIVA Satislari'!AO188)</f>
        <v/>
      </c>
      <c r="H188" s="27">
        <f>IF('DIVA Satislari'!I188="","",'DIVA Satislari'!AN188)</f>
        <v/>
      </c>
      <c r="I188" s="28">
        <f>IF('DIVA Satislari'!I188="","",'DIVA Satislari'!AQ188)</f>
        <v/>
      </c>
      <c r="J188" s="26">
        <f>IF('DIVA Satislari'!I188="","",'DIVA Satislari'!AR188)</f>
        <v/>
      </c>
      <c r="K188" s="26">
        <f>IF('DIVA Satislari'!I188="","",IFERROR(INDEX('E2E Nakliye Montaj'!$AS$3:$AS$1002,MATCH('DIVA Satislari'!AJ188,'E2E Nakliye Montaj'!$AM$3:$AM$1002,0)),"Eşleşme Yok"))</f>
        <v/>
      </c>
      <c r="L188" s="26">
        <f>IF('DIVA Satislari'!I188="","",IFERROR(INDEX('E2E Nakliye Montaj'!$AT$3:$AT$1002,MATCH('DIVA Satislari'!AJ188,'E2E Nakliye Montaj'!$AM$3:$AM$1002,0)),"Hayır"))</f>
        <v/>
      </c>
      <c r="M188" s="26">
        <f>IF('DIVA Satislari'!I188="","",IFERROR(INDEX('E2E Nakliye Montaj'!$AU$3:$AU$1002,MATCH('DIVA Satislari'!AJ188,'E2E Nakliye Montaj'!$AM$3:$AM$1002,0)),"Hayır"))</f>
        <v/>
      </c>
      <c r="N188" s="27">
        <f>IF('DIVA Satislari'!I188="","",IFERROR(INDEX('E2E Nakliye Montaj'!$AV$3:$AV$1002,MATCH('DIVA Satislari'!AJ188,'E2E Nakliye Montaj'!$AM$3:$AM$1002,0)),""))</f>
        <v/>
      </c>
      <c r="O188" s="26">
        <f>IF(OR(A188="",N188=""),"",IF(N188&lt;=H188,"Evet","HAYIR - RİSK"))</f>
        <v/>
      </c>
      <c r="P188" s="26">
        <f>IF(A188="","",IF(LEFT(J188,8)="Kural A ","Uygun - Hemen Ödenir (Yıl Sonu %75 Kontrolüne Tabi)",IF(OR(L188="Evet",M188="Evet"),IF(O188="Evet","Uygun","RİSK - Hakediş Süresi Aşıldı"),"Bekleniyor - Nakliye/Montaj Tamamlanmadı")))</f>
        <v/>
      </c>
      <c r="Q188" s="28">
        <f>IF(A188="","",SUMIFS('Hakedis Fatura Detay'!$G$3:$G$1200,'Hakedis Fatura Detay'!$H$3:$H$1200,'DIVA Satislari'!AJ188,'Hakedis Fatura Detay'!$F$3:$F$1200,"Fiyat Farkı")+SUMIFS('Hakedis Fatura Detay'!$G$3:$G$1200,'Hakedis Fatura Detay'!$H$3:$H$1200,'DIVA Satislari'!AJ188,'Hakedis Fatura Detay'!$F$3:$F$1200,"Bundle"))</f>
        <v/>
      </c>
      <c r="R188" s="28">
        <f>IF(A188="","",I188-Q188)</f>
        <v/>
      </c>
      <c r="S188" s="26">
        <f>IF(A188="","",IF(LEFT(P188,7)="Bekleni","N/A - Henüz Ödenmemeli",IF(LEFT(P188,4)="RİSK","İNCELEME GEREKLİ - Süre Aşımı",IF(R188=0,"Doğru",IF(R188&gt;0,"EKSİK ÖDENMİŞ","FAZLA ÖDENMİŞ")))))</f>
        <v/>
      </c>
      <c r="T188" s="30">
        <f>IF(A188="","",IF(F188&lt;&gt;"Evet","İNCELEME GEREKLİ - Kampanya Tanımsız",IF(G188&lt;&gt;"Evet","İNCELEME GEREKLİ - Tarih Dışı Satış",IF(LEFT(P188,4)="RİSK","İNCELEME GEREKLİ - Hakediş Süresi Aşıldı",IF(OR(S188="EKSİK ÖDENMİŞ",S188="FAZLA ÖDENMİŞ"),"İNCELEME GEREKLİ - Tutar Uyuşmazlığı",IF(LEFT(P188,7)="Bekleni","Bekleniyor","Uygun"))))))</f>
        <v/>
      </c>
    </row>
    <row r="189">
      <c r="A189" s="26">
        <f>IF('DIVA Satislari'!I189="","",'DIVA Satislari'!I189)</f>
        <v/>
      </c>
      <c r="B189" s="26">
        <f>IF('DIVA Satislari'!I189="","",'DIVA Satislari'!R189)</f>
        <v/>
      </c>
      <c r="C189" s="26">
        <f>IF('DIVA Satislari'!I189="","",'DIVA Satislari'!M189)</f>
        <v/>
      </c>
      <c r="D189" s="27">
        <f>IF('DIVA Satislari'!I189="","",'DIVA Satislari'!H189)</f>
        <v/>
      </c>
      <c r="E189" s="26">
        <f>IF('DIVA Satislari'!I189="","",'DIVA Satislari'!O189)</f>
        <v/>
      </c>
      <c r="F189" s="26">
        <f>IF('DIVA Satislari'!I189="","",'DIVA Satislari'!AK189)</f>
        <v/>
      </c>
      <c r="G189" s="26">
        <f>IF('DIVA Satislari'!I189="","",'DIVA Satislari'!AO189)</f>
        <v/>
      </c>
      <c r="H189" s="27">
        <f>IF('DIVA Satislari'!I189="","",'DIVA Satislari'!AN189)</f>
        <v/>
      </c>
      <c r="I189" s="28">
        <f>IF('DIVA Satislari'!I189="","",'DIVA Satislari'!AQ189)</f>
        <v/>
      </c>
      <c r="J189" s="26">
        <f>IF('DIVA Satislari'!I189="","",'DIVA Satislari'!AR189)</f>
        <v/>
      </c>
      <c r="K189" s="26">
        <f>IF('DIVA Satislari'!I189="","",IFERROR(INDEX('E2E Nakliye Montaj'!$AS$3:$AS$1002,MATCH('DIVA Satislari'!AJ189,'E2E Nakliye Montaj'!$AM$3:$AM$1002,0)),"Eşleşme Yok"))</f>
        <v/>
      </c>
      <c r="L189" s="26">
        <f>IF('DIVA Satislari'!I189="","",IFERROR(INDEX('E2E Nakliye Montaj'!$AT$3:$AT$1002,MATCH('DIVA Satislari'!AJ189,'E2E Nakliye Montaj'!$AM$3:$AM$1002,0)),"Hayır"))</f>
        <v/>
      </c>
      <c r="M189" s="26">
        <f>IF('DIVA Satislari'!I189="","",IFERROR(INDEX('E2E Nakliye Montaj'!$AU$3:$AU$1002,MATCH('DIVA Satislari'!AJ189,'E2E Nakliye Montaj'!$AM$3:$AM$1002,0)),"Hayır"))</f>
        <v/>
      </c>
      <c r="N189" s="27">
        <f>IF('DIVA Satislari'!I189="","",IFERROR(INDEX('E2E Nakliye Montaj'!$AV$3:$AV$1002,MATCH('DIVA Satislari'!AJ189,'E2E Nakliye Montaj'!$AM$3:$AM$1002,0)),""))</f>
        <v/>
      </c>
      <c r="O189" s="26">
        <f>IF(OR(A189="",N189=""),"",IF(N189&lt;=H189,"Evet","HAYIR - RİSK"))</f>
        <v/>
      </c>
      <c r="P189" s="26">
        <f>IF(A189="","",IF(LEFT(J189,8)="Kural A ","Uygun - Hemen Ödenir (Yıl Sonu %75 Kontrolüne Tabi)",IF(OR(L189="Evet",M189="Evet"),IF(O189="Evet","Uygun","RİSK - Hakediş Süresi Aşıldı"),"Bekleniyor - Nakliye/Montaj Tamamlanmadı")))</f>
        <v/>
      </c>
      <c r="Q189" s="28">
        <f>IF(A189="","",SUMIFS('Hakedis Fatura Detay'!$G$3:$G$1200,'Hakedis Fatura Detay'!$H$3:$H$1200,'DIVA Satislari'!AJ189,'Hakedis Fatura Detay'!$F$3:$F$1200,"Fiyat Farkı")+SUMIFS('Hakedis Fatura Detay'!$G$3:$G$1200,'Hakedis Fatura Detay'!$H$3:$H$1200,'DIVA Satislari'!AJ189,'Hakedis Fatura Detay'!$F$3:$F$1200,"Bundle"))</f>
        <v/>
      </c>
      <c r="R189" s="28">
        <f>IF(A189="","",I189-Q189)</f>
        <v/>
      </c>
      <c r="S189" s="26">
        <f>IF(A189="","",IF(LEFT(P189,7)="Bekleni","N/A - Henüz Ödenmemeli",IF(LEFT(P189,4)="RİSK","İNCELEME GEREKLİ - Süre Aşımı",IF(R189=0,"Doğru",IF(R189&gt;0,"EKSİK ÖDENMİŞ","FAZLA ÖDENMİŞ")))))</f>
        <v/>
      </c>
      <c r="T189" s="30">
        <f>IF(A189="","",IF(F189&lt;&gt;"Evet","İNCELEME GEREKLİ - Kampanya Tanımsız",IF(G189&lt;&gt;"Evet","İNCELEME GEREKLİ - Tarih Dışı Satış",IF(LEFT(P189,4)="RİSK","İNCELEME GEREKLİ - Hakediş Süresi Aşıldı",IF(OR(S189="EKSİK ÖDENMİŞ",S189="FAZLA ÖDENMİŞ"),"İNCELEME GEREKLİ - Tutar Uyuşmazlığı",IF(LEFT(P189,7)="Bekleni","Bekleniyor","Uygun"))))))</f>
        <v/>
      </c>
    </row>
    <row r="190">
      <c r="A190" s="26">
        <f>IF('DIVA Satislari'!I190="","",'DIVA Satislari'!I190)</f>
        <v/>
      </c>
      <c r="B190" s="26">
        <f>IF('DIVA Satislari'!I190="","",'DIVA Satislari'!R190)</f>
        <v/>
      </c>
      <c r="C190" s="26">
        <f>IF('DIVA Satislari'!I190="","",'DIVA Satislari'!M190)</f>
        <v/>
      </c>
      <c r="D190" s="27">
        <f>IF('DIVA Satislari'!I190="","",'DIVA Satislari'!H190)</f>
        <v/>
      </c>
      <c r="E190" s="26">
        <f>IF('DIVA Satislari'!I190="","",'DIVA Satislari'!O190)</f>
        <v/>
      </c>
      <c r="F190" s="26">
        <f>IF('DIVA Satislari'!I190="","",'DIVA Satislari'!AK190)</f>
        <v/>
      </c>
      <c r="G190" s="26">
        <f>IF('DIVA Satislari'!I190="","",'DIVA Satislari'!AO190)</f>
        <v/>
      </c>
      <c r="H190" s="27">
        <f>IF('DIVA Satislari'!I190="","",'DIVA Satislari'!AN190)</f>
        <v/>
      </c>
      <c r="I190" s="28">
        <f>IF('DIVA Satislari'!I190="","",'DIVA Satislari'!AQ190)</f>
        <v/>
      </c>
      <c r="J190" s="26">
        <f>IF('DIVA Satislari'!I190="","",'DIVA Satislari'!AR190)</f>
        <v/>
      </c>
      <c r="K190" s="26">
        <f>IF('DIVA Satislari'!I190="","",IFERROR(INDEX('E2E Nakliye Montaj'!$AS$3:$AS$1002,MATCH('DIVA Satislari'!AJ190,'E2E Nakliye Montaj'!$AM$3:$AM$1002,0)),"Eşleşme Yok"))</f>
        <v/>
      </c>
      <c r="L190" s="26">
        <f>IF('DIVA Satislari'!I190="","",IFERROR(INDEX('E2E Nakliye Montaj'!$AT$3:$AT$1002,MATCH('DIVA Satislari'!AJ190,'E2E Nakliye Montaj'!$AM$3:$AM$1002,0)),"Hayır"))</f>
        <v/>
      </c>
      <c r="M190" s="26">
        <f>IF('DIVA Satislari'!I190="","",IFERROR(INDEX('E2E Nakliye Montaj'!$AU$3:$AU$1002,MATCH('DIVA Satislari'!AJ190,'E2E Nakliye Montaj'!$AM$3:$AM$1002,0)),"Hayır"))</f>
        <v/>
      </c>
      <c r="N190" s="27">
        <f>IF('DIVA Satislari'!I190="","",IFERROR(INDEX('E2E Nakliye Montaj'!$AV$3:$AV$1002,MATCH('DIVA Satislari'!AJ190,'E2E Nakliye Montaj'!$AM$3:$AM$1002,0)),""))</f>
        <v/>
      </c>
      <c r="O190" s="26">
        <f>IF(OR(A190="",N190=""),"",IF(N190&lt;=H190,"Evet","HAYIR - RİSK"))</f>
        <v/>
      </c>
      <c r="P190" s="26">
        <f>IF(A190="","",IF(LEFT(J190,8)="Kural A ","Uygun - Hemen Ödenir (Yıl Sonu %75 Kontrolüne Tabi)",IF(OR(L190="Evet",M190="Evet"),IF(O190="Evet","Uygun","RİSK - Hakediş Süresi Aşıldı"),"Bekleniyor - Nakliye/Montaj Tamamlanmadı")))</f>
        <v/>
      </c>
      <c r="Q190" s="28">
        <f>IF(A190="","",SUMIFS('Hakedis Fatura Detay'!$G$3:$G$1200,'Hakedis Fatura Detay'!$H$3:$H$1200,'DIVA Satislari'!AJ190,'Hakedis Fatura Detay'!$F$3:$F$1200,"Fiyat Farkı")+SUMIFS('Hakedis Fatura Detay'!$G$3:$G$1200,'Hakedis Fatura Detay'!$H$3:$H$1200,'DIVA Satislari'!AJ190,'Hakedis Fatura Detay'!$F$3:$F$1200,"Bundle"))</f>
        <v/>
      </c>
      <c r="R190" s="28">
        <f>IF(A190="","",I190-Q190)</f>
        <v/>
      </c>
      <c r="S190" s="26">
        <f>IF(A190="","",IF(LEFT(P190,7)="Bekleni","N/A - Henüz Ödenmemeli",IF(LEFT(P190,4)="RİSK","İNCELEME GEREKLİ - Süre Aşımı",IF(R190=0,"Doğru",IF(R190&gt;0,"EKSİK ÖDENMİŞ","FAZLA ÖDENMİŞ")))))</f>
        <v/>
      </c>
      <c r="T190" s="30">
        <f>IF(A190="","",IF(F190&lt;&gt;"Evet","İNCELEME GEREKLİ - Kampanya Tanımsız",IF(G190&lt;&gt;"Evet","İNCELEME GEREKLİ - Tarih Dışı Satış",IF(LEFT(P190,4)="RİSK","İNCELEME GEREKLİ - Hakediş Süresi Aşıldı",IF(OR(S190="EKSİK ÖDENMİŞ",S190="FAZLA ÖDENMİŞ"),"İNCELEME GEREKLİ - Tutar Uyuşmazlığı",IF(LEFT(P190,7)="Bekleni","Bekleniyor","Uygun"))))))</f>
        <v/>
      </c>
    </row>
    <row r="191">
      <c r="A191" s="26">
        <f>IF('DIVA Satislari'!I191="","",'DIVA Satislari'!I191)</f>
        <v/>
      </c>
      <c r="B191" s="26">
        <f>IF('DIVA Satislari'!I191="","",'DIVA Satislari'!R191)</f>
        <v/>
      </c>
      <c r="C191" s="26">
        <f>IF('DIVA Satislari'!I191="","",'DIVA Satislari'!M191)</f>
        <v/>
      </c>
      <c r="D191" s="27">
        <f>IF('DIVA Satislari'!I191="","",'DIVA Satislari'!H191)</f>
        <v/>
      </c>
      <c r="E191" s="26">
        <f>IF('DIVA Satislari'!I191="","",'DIVA Satislari'!O191)</f>
        <v/>
      </c>
      <c r="F191" s="26">
        <f>IF('DIVA Satislari'!I191="","",'DIVA Satislari'!AK191)</f>
        <v/>
      </c>
      <c r="G191" s="26">
        <f>IF('DIVA Satislari'!I191="","",'DIVA Satislari'!AO191)</f>
        <v/>
      </c>
      <c r="H191" s="27">
        <f>IF('DIVA Satislari'!I191="","",'DIVA Satislari'!AN191)</f>
        <v/>
      </c>
      <c r="I191" s="28">
        <f>IF('DIVA Satislari'!I191="","",'DIVA Satislari'!AQ191)</f>
        <v/>
      </c>
      <c r="J191" s="26">
        <f>IF('DIVA Satislari'!I191="","",'DIVA Satislari'!AR191)</f>
        <v/>
      </c>
      <c r="K191" s="26">
        <f>IF('DIVA Satislari'!I191="","",IFERROR(INDEX('E2E Nakliye Montaj'!$AS$3:$AS$1002,MATCH('DIVA Satislari'!AJ191,'E2E Nakliye Montaj'!$AM$3:$AM$1002,0)),"Eşleşme Yok"))</f>
        <v/>
      </c>
      <c r="L191" s="26">
        <f>IF('DIVA Satislari'!I191="","",IFERROR(INDEX('E2E Nakliye Montaj'!$AT$3:$AT$1002,MATCH('DIVA Satislari'!AJ191,'E2E Nakliye Montaj'!$AM$3:$AM$1002,0)),"Hayır"))</f>
        <v/>
      </c>
      <c r="M191" s="26">
        <f>IF('DIVA Satislari'!I191="","",IFERROR(INDEX('E2E Nakliye Montaj'!$AU$3:$AU$1002,MATCH('DIVA Satislari'!AJ191,'E2E Nakliye Montaj'!$AM$3:$AM$1002,0)),"Hayır"))</f>
        <v/>
      </c>
      <c r="N191" s="27">
        <f>IF('DIVA Satislari'!I191="","",IFERROR(INDEX('E2E Nakliye Montaj'!$AV$3:$AV$1002,MATCH('DIVA Satislari'!AJ191,'E2E Nakliye Montaj'!$AM$3:$AM$1002,0)),""))</f>
        <v/>
      </c>
      <c r="O191" s="26">
        <f>IF(OR(A191="",N191=""),"",IF(N191&lt;=H191,"Evet","HAYIR - RİSK"))</f>
        <v/>
      </c>
      <c r="P191" s="26">
        <f>IF(A191="","",IF(LEFT(J191,8)="Kural A ","Uygun - Hemen Ödenir (Yıl Sonu %75 Kontrolüne Tabi)",IF(OR(L191="Evet",M191="Evet"),IF(O191="Evet","Uygun","RİSK - Hakediş Süresi Aşıldı"),"Bekleniyor - Nakliye/Montaj Tamamlanmadı")))</f>
        <v/>
      </c>
      <c r="Q191" s="28">
        <f>IF(A191="","",SUMIFS('Hakedis Fatura Detay'!$G$3:$G$1200,'Hakedis Fatura Detay'!$H$3:$H$1200,'DIVA Satislari'!AJ191,'Hakedis Fatura Detay'!$F$3:$F$1200,"Fiyat Farkı")+SUMIFS('Hakedis Fatura Detay'!$G$3:$G$1200,'Hakedis Fatura Detay'!$H$3:$H$1200,'DIVA Satislari'!AJ191,'Hakedis Fatura Detay'!$F$3:$F$1200,"Bundle"))</f>
        <v/>
      </c>
      <c r="R191" s="28">
        <f>IF(A191="","",I191-Q191)</f>
        <v/>
      </c>
      <c r="S191" s="26">
        <f>IF(A191="","",IF(LEFT(P191,7)="Bekleni","N/A - Henüz Ödenmemeli",IF(LEFT(P191,4)="RİSK","İNCELEME GEREKLİ - Süre Aşımı",IF(R191=0,"Doğru",IF(R191&gt;0,"EKSİK ÖDENMİŞ","FAZLA ÖDENMİŞ")))))</f>
        <v/>
      </c>
      <c r="T191" s="30">
        <f>IF(A191="","",IF(F191&lt;&gt;"Evet","İNCELEME GEREKLİ - Kampanya Tanımsız",IF(G191&lt;&gt;"Evet","İNCELEME GEREKLİ - Tarih Dışı Satış",IF(LEFT(P191,4)="RİSK","İNCELEME GEREKLİ - Hakediş Süresi Aşıldı",IF(OR(S191="EKSİK ÖDENMİŞ",S191="FAZLA ÖDENMİŞ"),"İNCELEME GEREKLİ - Tutar Uyuşmazlığı",IF(LEFT(P191,7)="Bekleni","Bekleniyor","Uygun"))))))</f>
        <v/>
      </c>
    </row>
    <row r="192">
      <c r="A192" s="26">
        <f>IF('DIVA Satislari'!I192="","",'DIVA Satislari'!I192)</f>
        <v/>
      </c>
      <c r="B192" s="26">
        <f>IF('DIVA Satislari'!I192="","",'DIVA Satislari'!R192)</f>
        <v/>
      </c>
      <c r="C192" s="26">
        <f>IF('DIVA Satislari'!I192="","",'DIVA Satislari'!M192)</f>
        <v/>
      </c>
      <c r="D192" s="27">
        <f>IF('DIVA Satislari'!I192="","",'DIVA Satislari'!H192)</f>
        <v/>
      </c>
      <c r="E192" s="26">
        <f>IF('DIVA Satislari'!I192="","",'DIVA Satislari'!O192)</f>
        <v/>
      </c>
      <c r="F192" s="26">
        <f>IF('DIVA Satislari'!I192="","",'DIVA Satislari'!AK192)</f>
        <v/>
      </c>
      <c r="G192" s="26">
        <f>IF('DIVA Satislari'!I192="","",'DIVA Satislari'!AO192)</f>
        <v/>
      </c>
      <c r="H192" s="27">
        <f>IF('DIVA Satislari'!I192="","",'DIVA Satislari'!AN192)</f>
        <v/>
      </c>
      <c r="I192" s="28">
        <f>IF('DIVA Satislari'!I192="","",'DIVA Satislari'!AQ192)</f>
        <v/>
      </c>
      <c r="J192" s="26">
        <f>IF('DIVA Satislari'!I192="","",'DIVA Satislari'!AR192)</f>
        <v/>
      </c>
      <c r="K192" s="26">
        <f>IF('DIVA Satislari'!I192="","",IFERROR(INDEX('E2E Nakliye Montaj'!$AS$3:$AS$1002,MATCH('DIVA Satislari'!AJ192,'E2E Nakliye Montaj'!$AM$3:$AM$1002,0)),"Eşleşme Yok"))</f>
        <v/>
      </c>
      <c r="L192" s="26">
        <f>IF('DIVA Satislari'!I192="","",IFERROR(INDEX('E2E Nakliye Montaj'!$AT$3:$AT$1002,MATCH('DIVA Satislari'!AJ192,'E2E Nakliye Montaj'!$AM$3:$AM$1002,0)),"Hayır"))</f>
        <v/>
      </c>
      <c r="M192" s="26">
        <f>IF('DIVA Satislari'!I192="","",IFERROR(INDEX('E2E Nakliye Montaj'!$AU$3:$AU$1002,MATCH('DIVA Satislari'!AJ192,'E2E Nakliye Montaj'!$AM$3:$AM$1002,0)),"Hayır"))</f>
        <v/>
      </c>
      <c r="N192" s="27">
        <f>IF('DIVA Satislari'!I192="","",IFERROR(INDEX('E2E Nakliye Montaj'!$AV$3:$AV$1002,MATCH('DIVA Satislari'!AJ192,'E2E Nakliye Montaj'!$AM$3:$AM$1002,0)),""))</f>
        <v/>
      </c>
      <c r="O192" s="26">
        <f>IF(OR(A192="",N192=""),"",IF(N192&lt;=H192,"Evet","HAYIR - RİSK"))</f>
        <v/>
      </c>
      <c r="P192" s="26">
        <f>IF(A192="","",IF(LEFT(J192,8)="Kural A ","Uygun - Hemen Ödenir (Yıl Sonu %75 Kontrolüne Tabi)",IF(OR(L192="Evet",M192="Evet"),IF(O192="Evet","Uygun","RİSK - Hakediş Süresi Aşıldı"),"Bekleniyor - Nakliye/Montaj Tamamlanmadı")))</f>
        <v/>
      </c>
      <c r="Q192" s="28">
        <f>IF(A192="","",SUMIFS('Hakedis Fatura Detay'!$G$3:$G$1200,'Hakedis Fatura Detay'!$H$3:$H$1200,'DIVA Satislari'!AJ192,'Hakedis Fatura Detay'!$F$3:$F$1200,"Fiyat Farkı")+SUMIFS('Hakedis Fatura Detay'!$G$3:$G$1200,'Hakedis Fatura Detay'!$H$3:$H$1200,'DIVA Satislari'!AJ192,'Hakedis Fatura Detay'!$F$3:$F$1200,"Bundle"))</f>
        <v/>
      </c>
      <c r="R192" s="28">
        <f>IF(A192="","",I192-Q192)</f>
        <v/>
      </c>
      <c r="S192" s="26">
        <f>IF(A192="","",IF(LEFT(P192,7)="Bekleni","N/A - Henüz Ödenmemeli",IF(LEFT(P192,4)="RİSK","İNCELEME GEREKLİ - Süre Aşımı",IF(R192=0,"Doğru",IF(R192&gt;0,"EKSİK ÖDENMİŞ","FAZLA ÖDENMİŞ")))))</f>
        <v/>
      </c>
      <c r="T192" s="30">
        <f>IF(A192="","",IF(F192&lt;&gt;"Evet","İNCELEME GEREKLİ - Kampanya Tanımsız",IF(G192&lt;&gt;"Evet","İNCELEME GEREKLİ - Tarih Dışı Satış",IF(LEFT(P192,4)="RİSK","İNCELEME GEREKLİ - Hakediş Süresi Aşıldı",IF(OR(S192="EKSİK ÖDENMİŞ",S192="FAZLA ÖDENMİŞ"),"İNCELEME GEREKLİ - Tutar Uyuşmazlığı",IF(LEFT(P192,7)="Bekleni","Bekleniyor","Uygun"))))))</f>
        <v/>
      </c>
    </row>
    <row r="193">
      <c r="A193" s="26">
        <f>IF('DIVA Satislari'!I193="","",'DIVA Satislari'!I193)</f>
        <v/>
      </c>
      <c r="B193" s="26">
        <f>IF('DIVA Satislari'!I193="","",'DIVA Satislari'!R193)</f>
        <v/>
      </c>
      <c r="C193" s="26">
        <f>IF('DIVA Satislari'!I193="","",'DIVA Satislari'!M193)</f>
        <v/>
      </c>
      <c r="D193" s="27">
        <f>IF('DIVA Satislari'!I193="","",'DIVA Satislari'!H193)</f>
        <v/>
      </c>
      <c r="E193" s="26">
        <f>IF('DIVA Satislari'!I193="","",'DIVA Satislari'!O193)</f>
        <v/>
      </c>
      <c r="F193" s="26">
        <f>IF('DIVA Satislari'!I193="","",'DIVA Satislari'!AK193)</f>
        <v/>
      </c>
      <c r="G193" s="26">
        <f>IF('DIVA Satislari'!I193="","",'DIVA Satislari'!AO193)</f>
        <v/>
      </c>
      <c r="H193" s="27">
        <f>IF('DIVA Satislari'!I193="","",'DIVA Satislari'!AN193)</f>
        <v/>
      </c>
      <c r="I193" s="28">
        <f>IF('DIVA Satislari'!I193="","",'DIVA Satislari'!AQ193)</f>
        <v/>
      </c>
      <c r="J193" s="26">
        <f>IF('DIVA Satislari'!I193="","",'DIVA Satislari'!AR193)</f>
        <v/>
      </c>
      <c r="K193" s="26">
        <f>IF('DIVA Satislari'!I193="","",IFERROR(INDEX('E2E Nakliye Montaj'!$AS$3:$AS$1002,MATCH('DIVA Satislari'!AJ193,'E2E Nakliye Montaj'!$AM$3:$AM$1002,0)),"Eşleşme Yok"))</f>
        <v/>
      </c>
      <c r="L193" s="26">
        <f>IF('DIVA Satislari'!I193="","",IFERROR(INDEX('E2E Nakliye Montaj'!$AT$3:$AT$1002,MATCH('DIVA Satislari'!AJ193,'E2E Nakliye Montaj'!$AM$3:$AM$1002,0)),"Hayır"))</f>
        <v/>
      </c>
      <c r="M193" s="26">
        <f>IF('DIVA Satislari'!I193="","",IFERROR(INDEX('E2E Nakliye Montaj'!$AU$3:$AU$1002,MATCH('DIVA Satislari'!AJ193,'E2E Nakliye Montaj'!$AM$3:$AM$1002,0)),"Hayır"))</f>
        <v/>
      </c>
      <c r="N193" s="27">
        <f>IF('DIVA Satislari'!I193="","",IFERROR(INDEX('E2E Nakliye Montaj'!$AV$3:$AV$1002,MATCH('DIVA Satislari'!AJ193,'E2E Nakliye Montaj'!$AM$3:$AM$1002,0)),""))</f>
        <v/>
      </c>
      <c r="O193" s="26">
        <f>IF(OR(A193="",N193=""),"",IF(N193&lt;=H193,"Evet","HAYIR - RİSK"))</f>
        <v/>
      </c>
      <c r="P193" s="26">
        <f>IF(A193="","",IF(LEFT(J193,8)="Kural A ","Uygun - Hemen Ödenir (Yıl Sonu %75 Kontrolüne Tabi)",IF(OR(L193="Evet",M193="Evet"),IF(O193="Evet","Uygun","RİSK - Hakediş Süresi Aşıldı"),"Bekleniyor - Nakliye/Montaj Tamamlanmadı")))</f>
        <v/>
      </c>
      <c r="Q193" s="28">
        <f>IF(A193="","",SUMIFS('Hakedis Fatura Detay'!$G$3:$G$1200,'Hakedis Fatura Detay'!$H$3:$H$1200,'DIVA Satislari'!AJ193,'Hakedis Fatura Detay'!$F$3:$F$1200,"Fiyat Farkı")+SUMIFS('Hakedis Fatura Detay'!$G$3:$G$1200,'Hakedis Fatura Detay'!$H$3:$H$1200,'DIVA Satislari'!AJ193,'Hakedis Fatura Detay'!$F$3:$F$1200,"Bundle"))</f>
        <v/>
      </c>
      <c r="R193" s="28">
        <f>IF(A193="","",I193-Q193)</f>
        <v/>
      </c>
      <c r="S193" s="26">
        <f>IF(A193="","",IF(LEFT(P193,7)="Bekleni","N/A - Henüz Ödenmemeli",IF(LEFT(P193,4)="RİSK","İNCELEME GEREKLİ - Süre Aşımı",IF(R193=0,"Doğru",IF(R193&gt;0,"EKSİK ÖDENMİŞ","FAZLA ÖDENMİŞ")))))</f>
        <v/>
      </c>
      <c r="T193" s="30">
        <f>IF(A193="","",IF(F193&lt;&gt;"Evet","İNCELEME GEREKLİ - Kampanya Tanımsız",IF(G193&lt;&gt;"Evet","İNCELEME GEREKLİ - Tarih Dışı Satış",IF(LEFT(P193,4)="RİSK","İNCELEME GEREKLİ - Hakediş Süresi Aşıldı",IF(OR(S193="EKSİK ÖDENMİŞ",S193="FAZLA ÖDENMİŞ"),"İNCELEME GEREKLİ - Tutar Uyuşmazlığı",IF(LEFT(P193,7)="Bekleni","Bekleniyor","Uygun"))))))</f>
        <v/>
      </c>
    </row>
    <row r="194">
      <c r="A194" s="26">
        <f>IF('DIVA Satislari'!I194="","",'DIVA Satislari'!I194)</f>
        <v/>
      </c>
      <c r="B194" s="26">
        <f>IF('DIVA Satislari'!I194="","",'DIVA Satislari'!R194)</f>
        <v/>
      </c>
      <c r="C194" s="26">
        <f>IF('DIVA Satislari'!I194="","",'DIVA Satislari'!M194)</f>
        <v/>
      </c>
      <c r="D194" s="27">
        <f>IF('DIVA Satislari'!I194="","",'DIVA Satislari'!H194)</f>
        <v/>
      </c>
      <c r="E194" s="26">
        <f>IF('DIVA Satislari'!I194="","",'DIVA Satislari'!O194)</f>
        <v/>
      </c>
      <c r="F194" s="26">
        <f>IF('DIVA Satislari'!I194="","",'DIVA Satislari'!AK194)</f>
        <v/>
      </c>
      <c r="G194" s="26">
        <f>IF('DIVA Satislari'!I194="","",'DIVA Satislari'!AO194)</f>
        <v/>
      </c>
      <c r="H194" s="27">
        <f>IF('DIVA Satislari'!I194="","",'DIVA Satislari'!AN194)</f>
        <v/>
      </c>
      <c r="I194" s="28">
        <f>IF('DIVA Satislari'!I194="","",'DIVA Satislari'!AQ194)</f>
        <v/>
      </c>
      <c r="J194" s="26">
        <f>IF('DIVA Satislari'!I194="","",'DIVA Satislari'!AR194)</f>
        <v/>
      </c>
      <c r="K194" s="26">
        <f>IF('DIVA Satislari'!I194="","",IFERROR(INDEX('E2E Nakliye Montaj'!$AS$3:$AS$1002,MATCH('DIVA Satislari'!AJ194,'E2E Nakliye Montaj'!$AM$3:$AM$1002,0)),"Eşleşme Yok"))</f>
        <v/>
      </c>
      <c r="L194" s="26">
        <f>IF('DIVA Satislari'!I194="","",IFERROR(INDEX('E2E Nakliye Montaj'!$AT$3:$AT$1002,MATCH('DIVA Satislari'!AJ194,'E2E Nakliye Montaj'!$AM$3:$AM$1002,0)),"Hayır"))</f>
        <v/>
      </c>
      <c r="M194" s="26">
        <f>IF('DIVA Satislari'!I194="","",IFERROR(INDEX('E2E Nakliye Montaj'!$AU$3:$AU$1002,MATCH('DIVA Satislari'!AJ194,'E2E Nakliye Montaj'!$AM$3:$AM$1002,0)),"Hayır"))</f>
        <v/>
      </c>
      <c r="N194" s="27">
        <f>IF('DIVA Satislari'!I194="","",IFERROR(INDEX('E2E Nakliye Montaj'!$AV$3:$AV$1002,MATCH('DIVA Satislari'!AJ194,'E2E Nakliye Montaj'!$AM$3:$AM$1002,0)),""))</f>
        <v/>
      </c>
      <c r="O194" s="26">
        <f>IF(OR(A194="",N194=""),"",IF(N194&lt;=H194,"Evet","HAYIR - RİSK"))</f>
        <v/>
      </c>
      <c r="P194" s="26">
        <f>IF(A194="","",IF(LEFT(J194,8)="Kural A ","Uygun - Hemen Ödenir (Yıl Sonu %75 Kontrolüne Tabi)",IF(OR(L194="Evet",M194="Evet"),IF(O194="Evet","Uygun","RİSK - Hakediş Süresi Aşıldı"),"Bekleniyor - Nakliye/Montaj Tamamlanmadı")))</f>
        <v/>
      </c>
      <c r="Q194" s="28">
        <f>IF(A194="","",SUMIFS('Hakedis Fatura Detay'!$G$3:$G$1200,'Hakedis Fatura Detay'!$H$3:$H$1200,'DIVA Satislari'!AJ194,'Hakedis Fatura Detay'!$F$3:$F$1200,"Fiyat Farkı")+SUMIFS('Hakedis Fatura Detay'!$G$3:$G$1200,'Hakedis Fatura Detay'!$H$3:$H$1200,'DIVA Satislari'!AJ194,'Hakedis Fatura Detay'!$F$3:$F$1200,"Bundle"))</f>
        <v/>
      </c>
      <c r="R194" s="28">
        <f>IF(A194="","",I194-Q194)</f>
        <v/>
      </c>
      <c r="S194" s="26">
        <f>IF(A194="","",IF(LEFT(P194,7)="Bekleni","N/A - Henüz Ödenmemeli",IF(LEFT(P194,4)="RİSK","İNCELEME GEREKLİ - Süre Aşımı",IF(R194=0,"Doğru",IF(R194&gt;0,"EKSİK ÖDENMİŞ","FAZLA ÖDENMİŞ")))))</f>
        <v/>
      </c>
      <c r="T194" s="30">
        <f>IF(A194="","",IF(F194&lt;&gt;"Evet","İNCELEME GEREKLİ - Kampanya Tanımsız",IF(G194&lt;&gt;"Evet","İNCELEME GEREKLİ - Tarih Dışı Satış",IF(LEFT(P194,4)="RİSK","İNCELEME GEREKLİ - Hakediş Süresi Aşıldı",IF(OR(S194="EKSİK ÖDENMİŞ",S194="FAZLA ÖDENMİŞ"),"İNCELEME GEREKLİ - Tutar Uyuşmazlığı",IF(LEFT(P194,7)="Bekleni","Bekleniyor","Uygun"))))))</f>
        <v/>
      </c>
    </row>
    <row r="195">
      <c r="A195" s="26">
        <f>IF('DIVA Satislari'!I195="","",'DIVA Satislari'!I195)</f>
        <v/>
      </c>
      <c r="B195" s="26">
        <f>IF('DIVA Satislari'!I195="","",'DIVA Satislari'!R195)</f>
        <v/>
      </c>
      <c r="C195" s="26">
        <f>IF('DIVA Satislari'!I195="","",'DIVA Satislari'!M195)</f>
        <v/>
      </c>
      <c r="D195" s="27">
        <f>IF('DIVA Satislari'!I195="","",'DIVA Satislari'!H195)</f>
        <v/>
      </c>
      <c r="E195" s="26">
        <f>IF('DIVA Satislari'!I195="","",'DIVA Satislari'!O195)</f>
        <v/>
      </c>
      <c r="F195" s="26">
        <f>IF('DIVA Satislari'!I195="","",'DIVA Satislari'!AK195)</f>
        <v/>
      </c>
      <c r="G195" s="26">
        <f>IF('DIVA Satislari'!I195="","",'DIVA Satislari'!AO195)</f>
        <v/>
      </c>
      <c r="H195" s="27">
        <f>IF('DIVA Satislari'!I195="","",'DIVA Satislari'!AN195)</f>
        <v/>
      </c>
      <c r="I195" s="28">
        <f>IF('DIVA Satislari'!I195="","",'DIVA Satislari'!AQ195)</f>
        <v/>
      </c>
      <c r="J195" s="26">
        <f>IF('DIVA Satislari'!I195="","",'DIVA Satislari'!AR195)</f>
        <v/>
      </c>
      <c r="K195" s="26">
        <f>IF('DIVA Satislari'!I195="","",IFERROR(INDEX('E2E Nakliye Montaj'!$AS$3:$AS$1002,MATCH('DIVA Satislari'!AJ195,'E2E Nakliye Montaj'!$AM$3:$AM$1002,0)),"Eşleşme Yok"))</f>
        <v/>
      </c>
      <c r="L195" s="26">
        <f>IF('DIVA Satislari'!I195="","",IFERROR(INDEX('E2E Nakliye Montaj'!$AT$3:$AT$1002,MATCH('DIVA Satislari'!AJ195,'E2E Nakliye Montaj'!$AM$3:$AM$1002,0)),"Hayır"))</f>
        <v/>
      </c>
      <c r="M195" s="26">
        <f>IF('DIVA Satislari'!I195="","",IFERROR(INDEX('E2E Nakliye Montaj'!$AU$3:$AU$1002,MATCH('DIVA Satislari'!AJ195,'E2E Nakliye Montaj'!$AM$3:$AM$1002,0)),"Hayır"))</f>
        <v/>
      </c>
      <c r="N195" s="27">
        <f>IF('DIVA Satislari'!I195="","",IFERROR(INDEX('E2E Nakliye Montaj'!$AV$3:$AV$1002,MATCH('DIVA Satislari'!AJ195,'E2E Nakliye Montaj'!$AM$3:$AM$1002,0)),""))</f>
        <v/>
      </c>
      <c r="O195" s="26">
        <f>IF(OR(A195="",N195=""),"",IF(N195&lt;=H195,"Evet","HAYIR - RİSK"))</f>
        <v/>
      </c>
      <c r="P195" s="26">
        <f>IF(A195="","",IF(LEFT(J195,8)="Kural A ","Uygun - Hemen Ödenir (Yıl Sonu %75 Kontrolüne Tabi)",IF(OR(L195="Evet",M195="Evet"),IF(O195="Evet","Uygun","RİSK - Hakediş Süresi Aşıldı"),"Bekleniyor - Nakliye/Montaj Tamamlanmadı")))</f>
        <v/>
      </c>
      <c r="Q195" s="28">
        <f>IF(A195="","",SUMIFS('Hakedis Fatura Detay'!$G$3:$G$1200,'Hakedis Fatura Detay'!$H$3:$H$1200,'DIVA Satislari'!AJ195,'Hakedis Fatura Detay'!$F$3:$F$1200,"Fiyat Farkı")+SUMIFS('Hakedis Fatura Detay'!$G$3:$G$1200,'Hakedis Fatura Detay'!$H$3:$H$1200,'DIVA Satislari'!AJ195,'Hakedis Fatura Detay'!$F$3:$F$1200,"Bundle"))</f>
        <v/>
      </c>
      <c r="R195" s="28">
        <f>IF(A195="","",I195-Q195)</f>
        <v/>
      </c>
      <c r="S195" s="26">
        <f>IF(A195="","",IF(LEFT(P195,7)="Bekleni","N/A - Henüz Ödenmemeli",IF(LEFT(P195,4)="RİSK","İNCELEME GEREKLİ - Süre Aşımı",IF(R195=0,"Doğru",IF(R195&gt;0,"EKSİK ÖDENMİŞ","FAZLA ÖDENMİŞ")))))</f>
        <v/>
      </c>
      <c r="T195" s="30">
        <f>IF(A195="","",IF(F195&lt;&gt;"Evet","İNCELEME GEREKLİ - Kampanya Tanımsız",IF(G195&lt;&gt;"Evet","İNCELEME GEREKLİ - Tarih Dışı Satış",IF(LEFT(P195,4)="RİSK","İNCELEME GEREKLİ - Hakediş Süresi Aşıldı",IF(OR(S195="EKSİK ÖDENMİŞ",S195="FAZLA ÖDENMİŞ"),"İNCELEME GEREKLİ - Tutar Uyuşmazlığı",IF(LEFT(P195,7)="Bekleni","Bekleniyor","Uygun"))))))</f>
        <v/>
      </c>
    </row>
    <row r="196">
      <c r="A196" s="26">
        <f>IF('DIVA Satislari'!I196="","",'DIVA Satislari'!I196)</f>
        <v/>
      </c>
      <c r="B196" s="26">
        <f>IF('DIVA Satislari'!I196="","",'DIVA Satislari'!R196)</f>
        <v/>
      </c>
      <c r="C196" s="26">
        <f>IF('DIVA Satislari'!I196="","",'DIVA Satislari'!M196)</f>
        <v/>
      </c>
      <c r="D196" s="27">
        <f>IF('DIVA Satislari'!I196="","",'DIVA Satislari'!H196)</f>
        <v/>
      </c>
      <c r="E196" s="26">
        <f>IF('DIVA Satislari'!I196="","",'DIVA Satislari'!O196)</f>
        <v/>
      </c>
      <c r="F196" s="26">
        <f>IF('DIVA Satislari'!I196="","",'DIVA Satislari'!AK196)</f>
        <v/>
      </c>
      <c r="G196" s="26">
        <f>IF('DIVA Satislari'!I196="","",'DIVA Satislari'!AO196)</f>
        <v/>
      </c>
      <c r="H196" s="27">
        <f>IF('DIVA Satislari'!I196="","",'DIVA Satislari'!AN196)</f>
        <v/>
      </c>
      <c r="I196" s="28">
        <f>IF('DIVA Satislari'!I196="","",'DIVA Satislari'!AQ196)</f>
        <v/>
      </c>
      <c r="J196" s="26">
        <f>IF('DIVA Satislari'!I196="","",'DIVA Satislari'!AR196)</f>
        <v/>
      </c>
      <c r="K196" s="26">
        <f>IF('DIVA Satislari'!I196="","",IFERROR(INDEX('E2E Nakliye Montaj'!$AS$3:$AS$1002,MATCH('DIVA Satislari'!AJ196,'E2E Nakliye Montaj'!$AM$3:$AM$1002,0)),"Eşleşme Yok"))</f>
        <v/>
      </c>
      <c r="L196" s="26">
        <f>IF('DIVA Satislari'!I196="","",IFERROR(INDEX('E2E Nakliye Montaj'!$AT$3:$AT$1002,MATCH('DIVA Satislari'!AJ196,'E2E Nakliye Montaj'!$AM$3:$AM$1002,0)),"Hayır"))</f>
        <v/>
      </c>
      <c r="M196" s="26">
        <f>IF('DIVA Satislari'!I196="","",IFERROR(INDEX('E2E Nakliye Montaj'!$AU$3:$AU$1002,MATCH('DIVA Satislari'!AJ196,'E2E Nakliye Montaj'!$AM$3:$AM$1002,0)),"Hayır"))</f>
        <v/>
      </c>
      <c r="N196" s="27">
        <f>IF('DIVA Satislari'!I196="","",IFERROR(INDEX('E2E Nakliye Montaj'!$AV$3:$AV$1002,MATCH('DIVA Satislari'!AJ196,'E2E Nakliye Montaj'!$AM$3:$AM$1002,0)),""))</f>
        <v/>
      </c>
      <c r="O196" s="26">
        <f>IF(OR(A196="",N196=""),"",IF(N196&lt;=H196,"Evet","HAYIR - RİSK"))</f>
        <v/>
      </c>
      <c r="P196" s="26">
        <f>IF(A196="","",IF(LEFT(J196,8)="Kural A ","Uygun - Hemen Ödenir (Yıl Sonu %75 Kontrolüne Tabi)",IF(OR(L196="Evet",M196="Evet"),IF(O196="Evet","Uygun","RİSK - Hakediş Süresi Aşıldı"),"Bekleniyor - Nakliye/Montaj Tamamlanmadı")))</f>
        <v/>
      </c>
      <c r="Q196" s="28">
        <f>IF(A196="","",SUMIFS('Hakedis Fatura Detay'!$G$3:$G$1200,'Hakedis Fatura Detay'!$H$3:$H$1200,'DIVA Satislari'!AJ196,'Hakedis Fatura Detay'!$F$3:$F$1200,"Fiyat Farkı")+SUMIFS('Hakedis Fatura Detay'!$G$3:$G$1200,'Hakedis Fatura Detay'!$H$3:$H$1200,'DIVA Satislari'!AJ196,'Hakedis Fatura Detay'!$F$3:$F$1200,"Bundle"))</f>
        <v/>
      </c>
      <c r="R196" s="28">
        <f>IF(A196="","",I196-Q196)</f>
        <v/>
      </c>
      <c r="S196" s="26">
        <f>IF(A196="","",IF(LEFT(P196,7)="Bekleni","N/A - Henüz Ödenmemeli",IF(LEFT(P196,4)="RİSK","İNCELEME GEREKLİ - Süre Aşımı",IF(R196=0,"Doğru",IF(R196&gt;0,"EKSİK ÖDENMİŞ","FAZLA ÖDENMİŞ")))))</f>
        <v/>
      </c>
      <c r="T196" s="30">
        <f>IF(A196="","",IF(F196&lt;&gt;"Evet","İNCELEME GEREKLİ - Kampanya Tanımsız",IF(G196&lt;&gt;"Evet","İNCELEME GEREKLİ - Tarih Dışı Satış",IF(LEFT(P196,4)="RİSK","İNCELEME GEREKLİ - Hakediş Süresi Aşıldı",IF(OR(S196="EKSİK ÖDENMİŞ",S196="FAZLA ÖDENMİŞ"),"İNCELEME GEREKLİ - Tutar Uyuşmazlığı",IF(LEFT(P196,7)="Bekleni","Bekleniyor","Uygun"))))))</f>
        <v/>
      </c>
    </row>
    <row r="197">
      <c r="A197" s="26">
        <f>IF('DIVA Satislari'!I197="","",'DIVA Satislari'!I197)</f>
        <v/>
      </c>
      <c r="B197" s="26">
        <f>IF('DIVA Satislari'!I197="","",'DIVA Satislari'!R197)</f>
        <v/>
      </c>
      <c r="C197" s="26">
        <f>IF('DIVA Satislari'!I197="","",'DIVA Satislari'!M197)</f>
        <v/>
      </c>
      <c r="D197" s="27">
        <f>IF('DIVA Satislari'!I197="","",'DIVA Satislari'!H197)</f>
        <v/>
      </c>
      <c r="E197" s="26">
        <f>IF('DIVA Satislari'!I197="","",'DIVA Satislari'!O197)</f>
        <v/>
      </c>
      <c r="F197" s="26">
        <f>IF('DIVA Satislari'!I197="","",'DIVA Satislari'!AK197)</f>
        <v/>
      </c>
      <c r="G197" s="26">
        <f>IF('DIVA Satislari'!I197="","",'DIVA Satislari'!AO197)</f>
        <v/>
      </c>
      <c r="H197" s="27">
        <f>IF('DIVA Satislari'!I197="","",'DIVA Satislari'!AN197)</f>
        <v/>
      </c>
      <c r="I197" s="28">
        <f>IF('DIVA Satislari'!I197="","",'DIVA Satislari'!AQ197)</f>
        <v/>
      </c>
      <c r="J197" s="26">
        <f>IF('DIVA Satislari'!I197="","",'DIVA Satislari'!AR197)</f>
        <v/>
      </c>
      <c r="K197" s="26">
        <f>IF('DIVA Satislari'!I197="","",IFERROR(INDEX('E2E Nakliye Montaj'!$AS$3:$AS$1002,MATCH('DIVA Satislari'!AJ197,'E2E Nakliye Montaj'!$AM$3:$AM$1002,0)),"Eşleşme Yok"))</f>
        <v/>
      </c>
      <c r="L197" s="26">
        <f>IF('DIVA Satislari'!I197="","",IFERROR(INDEX('E2E Nakliye Montaj'!$AT$3:$AT$1002,MATCH('DIVA Satislari'!AJ197,'E2E Nakliye Montaj'!$AM$3:$AM$1002,0)),"Hayır"))</f>
        <v/>
      </c>
      <c r="M197" s="26">
        <f>IF('DIVA Satislari'!I197="","",IFERROR(INDEX('E2E Nakliye Montaj'!$AU$3:$AU$1002,MATCH('DIVA Satislari'!AJ197,'E2E Nakliye Montaj'!$AM$3:$AM$1002,0)),"Hayır"))</f>
        <v/>
      </c>
      <c r="N197" s="27">
        <f>IF('DIVA Satislari'!I197="","",IFERROR(INDEX('E2E Nakliye Montaj'!$AV$3:$AV$1002,MATCH('DIVA Satislari'!AJ197,'E2E Nakliye Montaj'!$AM$3:$AM$1002,0)),""))</f>
        <v/>
      </c>
      <c r="O197" s="26">
        <f>IF(OR(A197="",N197=""),"",IF(N197&lt;=H197,"Evet","HAYIR - RİSK"))</f>
        <v/>
      </c>
      <c r="P197" s="26">
        <f>IF(A197="","",IF(LEFT(J197,8)="Kural A ","Uygun - Hemen Ödenir (Yıl Sonu %75 Kontrolüne Tabi)",IF(OR(L197="Evet",M197="Evet"),IF(O197="Evet","Uygun","RİSK - Hakediş Süresi Aşıldı"),"Bekleniyor - Nakliye/Montaj Tamamlanmadı")))</f>
        <v/>
      </c>
      <c r="Q197" s="28">
        <f>IF(A197="","",SUMIFS('Hakedis Fatura Detay'!$G$3:$G$1200,'Hakedis Fatura Detay'!$H$3:$H$1200,'DIVA Satislari'!AJ197,'Hakedis Fatura Detay'!$F$3:$F$1200,"Fiyat Farkı")+SUMIFS('Hakedis Fatura Detay'!$G$3:$G$1200,'Hakedis Fatura Detay'!$H$3:$H$1200,'DIVA Satislari'!AJ197,'Hakedis Fatura Detay'!$F$3:$F$1200,"Bundle"))</f>
        <v/>
      </c>
      <c r="R197" s="28">
        <f>IF(A197="","",I197-Q197)</f>
        <v/>
      </c>
      <c r="S197" s="26">
        <f>IF(A197="","",IF(LEFT(P197,7)="Bekleni","N/A - Henüz Ödenmemeli",IF(LEFT(P197,4)="RİSK","İNCELEME GEREKLİ - Süre Aşımı",IF(R197=0,"Doğru",IF(R197&gt;0,"EKSİK ÖDENMİŞ","FAZLA ÖDENMİŞ")))))</f>
        <v/>
      </c>
      <c r="T197" s="30">
        <f>IF(A197="","",IF(F197&lt;&gt;"Evet","İNCELEME GEREKLİ - Kampanya Tanımsız",IF(G197&lt;&gt;"Evet","İNCELEME GEREKLİ - Tarih Dışı Satış",IF(LEFT(P197,4)="RİSK","İNCELEME GEREKLİ - Hakediş Süresi Aşıldı",IF(OR(S197="EKSİK ÖDENMİŞ",S197="FAZLA ÖDENMİŞ"),"İNCELEME GEREKLİ - Tutar Uyuşmazlığı",IF(LEFT(P197,7)="Bekleni","Bekleniyor","Uygun"))))))</f>
        <v/>
      </c>
    </row>
    <row r="198">
      <c r="A198" s="26">
        <f>IF('DIVA Satislari'!I198="","",'DIVA Satislari'!I198)</f>
        <v/>
      </c>
      <c r="B198" s="26">
        <f>IF('DIVA Satislari'!I198="","",'DIVA Satislari'!R198)</f>
        <v/>
      </c>
      <c r="C198" s="26">
        <f>IF('DIVA Satislari'!I198="","",'DIVA Satislari'!M198)</f>
        <v/>
      </c>
      <c r="D198" s="27">
        <f>IF('DIVA Satislari'!I198="","",'DIVA Satislari'!H198)</f>
        <v/>
      </c>
      <c r="E198" s="26">
        <f>IF('DIVA Satislari'!I198="","",'DIVA Satislari'!O198)</f>
        <v/>
      </c>
      <c r="F198" s="26">
        <f>IF('DIVA Satislari'!I198="","",'DIVA Satislari'!AK198)</f>
        <v/>
      </c>
      <c r="G198" s="26">
        <f>IF('DIVA Satislari'!I198="","",'DIVA Satislari'!AO198)</f>
        <v/>
      </c>
      <c r="H198" s="27">
        <f>IF('DIVA Satislari'!I198="","",'DIVA Satislari'!AN198)</f>
        <v/>
      </c>
      <c r="I198" s="28">
        <f>IF('DIVA Satislari'!I198="","",'DIVA Satislari'!AQ198)</f>
        <v/>
      </c>
      <c r="J198" s="26">
        <f>IF('DIVA Satislari'!I198="","",'DIVA Satislari'!AR198)</f>
        <v/>
      </c>
      <c r="K198" s="26">
        <f>IF('DIVA Satislari'!I198="","",IFERROR(INDEX('E2E Nakliye Montaj'!$AS$3:$AS$1002,MATCH('DIVA Satislari'!AJ198,'E2E Nakliye Montaj'!$AM$3:$AM$1002,0)),"Eşleşme Yok"))</f>
        <v/>
      </c>
      <c r="L198" s="26">
        <f>IF('DIVA Satislari'!I198="","",IFERROR(INDEX('E2E Nakliye Montaj'!$AT$3:$AT$1002,MATCH('DIVA Satislari'!AJ198,'E2E Nakliye Montaj'!$AM$3:$AM$1002,0)),"Hayır"))</f>
        <v/>
      </c>
      <c r="M198" s="26">
        <f>IF('DIVA Satislari'!I198="","",IFERROR(INDEX('E2E Nakliye Montaj'!$AU$3:$AU$1002,MATCH('DIVA Satislari'!AJ198,'E2E Nakliye Montaj'!$AM$3:$AM$1002,0)),"Hayır"))</f>
        <v/>
      </c>
      <c r="N198" s="27">
        <f>IF('DIVA Satislari'!I198="","",IFERROR(INDEX('E2E Nakliye Montaj'!$AV$3:$AV$1002,MATCH('DIVA Satislari'!AJ198,'E2E Nakliye Montaj'!$AM$3:$AM$1002,0)),""))</f>
        <v/>
      </c>
      <c r="O198" s="26">
        <f>IF(OR(A198="",N198=""),"",IF(N198&lt;=H198,"Evet","HAYIR - RİSK"))</f>
        <v/>
      </c>
      <c r="P198" s="26">
        <f>IF(A198="","",IF(LEFT(J198,8)="Kural A ","Uygun - Hemen Ödenir (Yıl Sonu %75 Kontrolüne Tabi)",IF(OR(L198="Evet",M198="Evet"),IF(O198="Evet","Uygun","RİSK - Hakediş Süresi Aşıldı"),"Bekleniyor - Nakliye/Montaj Tamamlanmadı")))</f>
        <v/>
      </c>
      <c r="Q198" s="28">
        <f>IF(A198="","",SUMIFS('Hakedis Fatura Detay'!$G$3:$G$1200,'Hakedis Fatura Detay'!$H$3:$H$1200,'DIVA Satislari'!AJ198,'Hakedis Fatura Detay'!$F$3:$F$1200,"Fiyat Farkı")+SUMIFS('Hakedis Fatura Detay'!$G$3:$G$1200,'Hakedis Fatura Detay'!$H$3:$H$1200,'DIVA Satislari'!AJ198,'Hakedis Fatura Detay'!$F$3:$F$1200,"Bundle"))</f>
        <v/>
      </c>
      <c r="R198" s="28">
        <f>IF(A198="","",I198-Q198)</f>
        <v/>
      </c>
      <c r="S198" s="26">
        <f>IF(A198="","",IF(LEFT(P198,7)="Bekleni","N/A - Henüz Ödenmemeli",IF(LEFT(P198,4)="RİSK","İNCELEME GEREKLİ - Süre Aşımı",IF(R198=0,"Doğru",IF(R198&gt;0,"EKSİK ÖDENMİŞ","FAZLA ÖDENMİŞ")))))</f>
        <v/>
      </c>
      <c r="T198" s="30">
        <f>IF(A198="","",IF(F198&lt;&gt;"Evet","İNCELEME GEREKLİ - Kampanya Tanımsız",IF(G198&lt;&gt;"Evet","İNCELEME GEREKLİ - Tarih Dışı Satış",IF(LEFT(P198,4)="RİSK","İNCELEME GEREKLİ - Hakediş Süresi Aşıldı",IF(OR(S198="EKSİK ÖDENMİŞ",S198="FAZLA ÖDENMİŞ"),"İNCELEME GEREKLİ - Tutar Uyuşmazlığı",IF(LEFT(P198,7)="Bekleni","Bekleniyor","Uygun"))))))</f>
        <v/>
      </c>
    </row>
    <row r="199">
      <c r="A199" s="26">
        <f>IF('DIVA Satislari'!I199="","",'DIVA Satislari'!I199)</f>
        <v/>
      </c>
      <c r="B199" s="26">
        <f>IF('DIVA Satislari'!I199="","",'DIVA Satislari'!R199)</f>
        <v/>
      </c>
      <c r="C199" s="26">
        <f>IF('DIVA Satislari'!I199="","",'DIVA Satislari'!M199)</f>
        <v/>
      </c>
      <c r="D199" s="27">
        <f>IF('DIVA Satislari'!I199="","",'DIVA Satislari'!H199)</f>
        <v/>
      </c>
      <c r="E199" s="26">
        <f>IF('DIVA Satislari'!I199="","",'DIVA Satislari'!O199)</f>
        <v/>
      </c>
      <c r="F199" s="26">
        <f>IF('DIVA Satislari'!I199="","",'DIVA Satislari'!AK199)</f>
        <v/>
      </c>
      <c r="G199" s="26">
        <f>IF('DIVA Satislari'!I199="","",'DIVA Satislari'!AO199)</f>
        <v/>
      </c>
      <c r="H199" s="27">
        <f>IF('DIVA Satislari'!I199="","",'DIVA Satislari'!AN199)</f>
        <v/>
      </c>
      <c r="I199" s="28">
        <f>IF('DIVA Satislari'!I199="","",'DIVA Satislari'!AQ199)</f>
        <v/>
      </c>
      <c r="J199" s="26">
        <f>IF('DIVA Satislari'!I199="","",'DIVA Satislari'!AR199)</f>
        <v/>
      </c>
      <c r="K199" s="26">
        <f>IF('DIVA Satislari'!I199="","",IFERROR(INDEX('E2E Nakliye Montaj'!$AS$3:$AS$1002,MATCH('DIVA Satislari'!AJ199,'E2E Nakliye Montaj'!$AM$3:$AM$1002,0)),"Eşleşme Yok"))</f>
        <v/>
      </c>
      <c r="L199" s="26">
        <f>IF('DIVA Satislari'!I199="","",IFERROR(INDEX('E2E Nakliye Montaj'!$AT$3:$AT$1002,MATCH('DIVA Satislari'!AJ199,'E2E Nakliye Montaj'!$AM$3:$AM$1002,0)),"Hayır"))</f>
        <v/>
      </c>
      <c r="M199" s="26">
        <f>IF('DIVA Satislari'!I199="","",IFERROR(INDEX('E2E Nakliye Montaj'!$AU$3:$AU$1002,MATCH('DIVA Satislari'!AJ199,'E2E Nakliye Montaj'!$AM$3:$AM$1002,0)),"Hayır"))</f>
        <v/>
      </c>
      <c r="N199" s="27">
        <f>IF('DIVA Satislari'!I199="","",IFERROR(INDEX('E2E Nakliye Montaj'!$AV$3:$AV$1002,MATCH('DIVA Satislari'!AJ199,'E2E Nakliye Montaj'!$AM$3:$AM$1002,0)),""))</f>
        <v/>
      </c>
      <c r="O199" s="26">
        <f>IF(OR(A199="",N199=""),"",IF(N199&lt;=H199,"Evet","HAYIR - RİSK"))</f>
        <v/>
      </c>
      <c r="P199" s="26">
        <f>IF(A199="","",IF(LEFT(J199,8)="Kural A ","Uygun - Hemen Ödenir (Yıl Sonu %75 Kontrolüne Tabi)",IF(OR(L199="Evet",M199="Evet"),IF(O199="Evet","Uygun","RİSK - Hakediş Süresi Aşıldı"),"Bekleniyor - Nakliye/Montaj Tamamlanmadı")))</f>
        <v/>
      </c>
      <c r="Q199" s="28">
        <f>IF(A199="","",SUMIFS('Hakedis Fatura Detay'!$G$3:$G$1200,'Hakedis Fatura Detay'!$H$3:$H$1200,'DIVA Satislari'!AJ199,'Hakedis Fatura Detay'!$F$3:$F$1200,"Fiyat Farkı")+SUMIFS('Hakedis Fatura Detay'!$G$3:$G$1200,'Hakedis Fatura Detay'!$H$3:$H$1200,'DIVA Satislari'!AJ199,'Hakedis Fatura Detay'!$F$3:$F$1200,"Bundle"))</f>
        <v/>
      </c>
      <c r="R199" s="28">
        <f>IF(A199="","",I199-Q199)</f>
        <v/>
      </c>
      <c r="S199" s="26">
        <f>IF(A199="","",IF(LEFT(P199,7)="Bekleni","N/A - Henüz Ödenmemeli",IF(LEFT(P199,4)="RİSK","İNCELEME GEREKLİ - Süre Aşımı",IF(R199=0,"Doğru",IF(R199&gt;0,"EKSİK ÖDENMİŞ","FAZLA ÖDENMİŞ")))))</f>
        <v/>
      </c>
      <c r="T199" s="30">
        <f>IF(A199="","",IF(F199&lt;&gt;"Evet","İNCELEME GEREKLİ - Kampanya Tanımsız",IF(G199&lt;&gt;"Evet","İNCELEME GEREKLİ - Tarih Dışı Satış",IF(LEFT(P199,4)="RİSK","İNCELEME GEREKLİ - Hakediş Süresi Aşıldı",IF(OR(S199="EKSİK ÖDENMİŞ",S199="FAZLA ÖDENMİŞ"),"İNCELEME GEREKLİ - Tutar Uyuşmazlığı",IF(LEFT(P199,7)="Bekleni","Bekleniyor","Uygun"))))))</f>
        <v/>
      </c>
    </row>
    <row r="200">
      <c r="A200" s="26">
        <f>IF('DIVA Satislari'!I200="","",'DIVA Satislari'!I200)</f>
        <v/>
      </c>
      <c r="B200" s="26">
        <f>IF('DIVA Satislari'!I200="","",'DIVA Satislari'!R200)</f>
        <v/>
      </c>
      <c r="C200" s="26">
        <f>IF('DIVA Satislari'!I200="","",'DIVA Satislari'!M200)</f>
        <v/>
      </c>
      <c r="D200" s="27">
        <f>IF('DIVA Satislari'!I200="","",'DIVA Satislari'!H200)</f>
        <v/>
      </c>
      <c r="E200" s="26">
        <f>IF('DIVA Satislari'!I200="","",'DIVA Satislari'!O200)</f>
        <v/>
      </c>
      <c r="F200" s="26">
        <f>IF('DIVA Satislari'!I200="","",'DIVA Satislari'!AK200)</f>
        <v/>
      </c>
      <c r="G200" s="26">
        <f>IF('DIVA Satislari'!I200="","",'DIVA Satislari'!AO200)</f>
        <v/>
      </c>
      <c r="H200" s="27">
        <f>IF('DIVA Satislari'!I200="","",'DIVA Satislari'!AN200)</f>
        <v/>
      </c>
      <c r="I200" s="28">
        <f>IF('DIVA Satislari'!I200="","",'DIVA Satislari'!AQ200)</f>
        <v/>
      </c>
      <c r="J200" s="26">
        <f>IF('DIVA Satislari'!I200="","",'DIVA Satislari'!AR200)</f>
        <v/>
      </c>
      <c r="K200" s="26">
        <f>IF('DIVA Satislari'!I200="","",IFERROR(INDEX('E2E Nakliye Montaj'!$AS$3:$AS$1002,MATCH('DIVA Satislari'!AJ200,'E2E Nakliye Montaj'!$AM$3:$AM$1002,0)),"Eşleşme Yok"))</f>
        <v/>
      </c>
      <c r="L200" s="26">
        <f>IF('DIVA Satislari'!I200="","",IFERROR(INDEX('E2E Nakliye Montaj'!$AT$3:$AT$1002,MATCH('DIVA Satislari'!AJ200,'E2E Nakliye Montaj'!$AM$3:$AM$1002,0)),"Hayır"))</f>
        <v/>
      </c>
      <c r="M200" s="26">
        <f>IF('DIVA Satislari'!I200="","",IFERROR(INDEX('E2E Nakliye Montaj'!$AU$3:$AU$1002,MATCH('DIVA Satislari'!AJ200,'E2E Nakliye Montaj'!$AM$3:$AM$1002,0)),"Hayır"))</f>
        <v/>
      </c>
      <c r="N200" s="27">
        <f>IF('DIVA Satislari'!I200="","",IFERROR(INDEX('E2E Nakliye Montaj'!$AV$3:$AV$1002,MATCH('DIVA Satislari'!AJ200,'E2E Nakliye Montaj'!$AM$3:$AM$1002,0)),""))</f>
        <v/>
      </c>
      <c r="O200" s="26">
        <f>IF(OR(A200="",N200=""),"",IF(N200&lt;=H200,"Evet","HAYIR - RİSK"))</f>
        <v/>
      </c>
      <c r="P200" s="26">
        <f>IF(A200="","",IF(LEFT(J200,8)="Kural A ","Uygun - Hemen Ödenir (Yıl Sonu %75 Kontrolüne Tabi)",IF(OR(L200="Evet",M200="Evet"),IF(O200="Evet","Uygun","RİSK - Hakediş Süresi Aşıldı"),"Bekleniyor - Nakliye/Montaj Tamamlanmadı")))</f>
        <v/>
      </c>
      <c r="Q200" s="28">
        <f>IF(A200="","",SUMIFS('Hakedis Fatura Detay'!$G$3:$G$1200,'Hakedis Fatura Detay'!$H$3:$H$1200,'DIVA Satislari'!AJ200,'Hakedis Fatura Detay'!$F$3:$F$1200,"Fiyat Farkı")+SUMIFS('Hakedis Fatura Detay'!$G$3:$G$1200,'Hakedis Fatura Detay'!$H$3:$H$1200,'DIVA Satislari'!AJ200,'Hakedis Fatura Detay'!$F$3:$F$1200,"Bundle"))</f>
        <v/>
      </c>
      <c r="R200" s="28">
        <f>IF(A200="","",I200-Q200)</f>
        <v/>
      </c>
      <c r="S200" s="26">
        <f>IF(A200="","",IF(LEFT(P200,7)="Bekleni","N/A - Henüz Ödenmemeli",IF(LEFT(P200,4)="RİSK","İNCELEME GEREKLİ - Süre Aşımı",IF(R200=0,"Doğru",IF(R200&gt;0,"EKSİK ÖDENMİŞ","FAZLA ÖDENMİŞ")))))</f>
        <v/>
      </c>
      <c r="T200" s="30">
        <f>IF(A200="","",IF(F200&lt;&gt;"Evet","İNCELEME GEREKLİ - Kampanya Tanımsız",IF(G200&lt;&gt;"Evet","İNCELEME GEREKLİ - Tarih Dışı Satış",IF(LEFT(P200,4)="RİSK","İNCELEME GEREKLİ - Hakediş Süresi Aşıldı",IF(OR(S200="EKSİK ÖDENMİŞ",S200="FAZLA ÖDENMİŞ"),"İNCELEME GEREKLİ - Tutar Uyuşmazlığı",IF(LEFT(P200,7)="Bekleni","Bekleniyor","Uygun"))))))</f>
        <v/>
      </c>
    </row>
    <row r="201">
      <c r="A201" s="26">
        <f>IF('DIVA Satislari'!I201="","",'DIVA Satislari'!I201)</f>
        <v/>
      </c>
      <c r="B201" s="26">
        <f>IF('DIVA Satislari'!I201="","",'DIVA Satislari'!R201)</f>
        <v/>
      </c>
      <c r="C201" s="26">
        <f>IF('DIVA Satislari'!I201="","",'DIVA Satislari'!M201)</f>
        <v/>
      </c>
      <c r="D201" s="27">
        <f>IF('DIVA Satislari'!I201="","",'DIVA Satislari'!H201)</f>
        <v/>
      </c>
      <c r="E201" s="26">
        <f>IF('DIVA Satislari'!I201="","",'DIVA Satislari'!O201)</f>
        <v/>
      </c>
      <c r="F201" s="26">
        <f>IF('DIVA Satislari'!I201="","",'DIVA Satislari'!AK201)</f>
        <v/>
      </c>
      <c r="G201" s="26">
        <f>IF('DIVA Satislari'!I201="","",'DIVA Satislari'!AO201)</f>
        <v/>
      </c>
      <c r="H201" s="27">
        <f>IF('DIVA Satislari'!I201="","",'DIVA Satislari'!AN201)</f>
        <v/>
      </c>
      <c r="I201" s="28">
        <f>IF('DIVA Satislari'!I201="","",'DIVA Satislari'!AQ201)</f>
        <v/>
      </c>
      <c r="J201" s="26">
        <f>IF('DIVA Satislari'!I201="","",'DIVA Satislari'!AR201)</f>
        <v/>
      </c>
      <c r="K201" s="26">
        <f>IF('DIVA Satislari'!I201="","",IFERROR(INDEX('E2E Nakliye Montaj'!$AS$3:$AS$1002,MATCH('DIVA Satislari'!AJ201,'E2E Nakliye Montaj'!$AM$3:$AM$1002,0)),"Eşleşme Yok"))</f>
        <v/>
      </c>
      <c r="L201" s="26">
        <f>IF('DIVA Satislari'!I201="","",IFERROR(INDEX('E2E Nakliye Montaj'!$AT$3:$AT$1002,MATCH('DIVA Satislari'!AJ201,'E2E Nakliye Montaj'!$AM$3:$AM$1002,0)),"Hayır"))</f>
        <v/>
      </c>
      <c r="M201" s="26">
        <f>IF('DIVA Satislari'!I201="","",IFERROR(INDEX('E2E Nakliye Montaj'!$AU$3:$AU$1002,MATCH('DIVA Satislari'!AJ201,'E2E Nakliye Montaj'!$AM$3:$AM$1002,0)),"Hayır"))</f>
        <v/>
      </c>
      <c r="N201" s="27">
        <f>IF('DIVA Satislari'!I201="","",IFERROR(INDEX('E2E Nakliye Montaj'!$AV$3:$AV$1002,MATCH('DIVA Satislari'!AJ201,'E2E Nakliye Montaj'!$AM$3:$AM$1002,0)),""))</f>
        <v/>
      </c>
      <c r="O201" s="26">
        <f>IF(OR(A201="",N201=""),"",IF(N201&lt;=H201,"Evet","HAYIR - RİSK"))</f>
        <v/>
      </c>
      <c r="P201" s="26">
        <f>IF(A201="","",IF(LEFT(J201,8)="Kural A ","Uygun - Hemen Ödenir (Yıl Sonu %75 Kontrolüne Tabi)",IF(OR(L201="Evet",M201="Evet"),IF(O201="Evet","Uygun","RİSK - Hakediş Süresi Aşıldı"),"Bekleniyor - Nakliye/Montaj Tamamlanmadı")))</f>
        <v/>
      </c>
      <c r="Q201" s="28">
        <f>IF(A201="","",SUMIFS('Hakedis Fatura Detay'!$G$3:$G$1200,'Hakedis Fatura Detay'!$H$3:$H$1200,'DIVA Satislari'!AJ201,'Hakedis Fatura Detay'!$F$3:$F$1200,"Fiyat Farkı")+SUMIFS('Hakedis Fatura Detay'!$G$3:$G$1200,'Hakedis Fatura Detay'!$H$3:$H$1200,'DIVA Satislari'!AJ201,'Hakedis Fatura Detay'!$F$3:$F$1200,"Bundle"))</f>
        <v/>
      </c>
      <c r="R201" s="28">
        <f>IF(A201="","",I201-Q201)</f>
        <v/>
      </c>
      <c r="S201" s="26">
        <f>IF(A201="","",IF(LEFT(P201,7)="Bekleni","N/A - Henüz Ödenmemeli",IF(LEFT(P201,4)="RİSK","İNCELEME GEREKLİ - Süre Aşımı",IF(R201=0,"Doğru",IF(R201&gt;0,"EKSİK ÖDENMİŞ","FAZLA ÖDENMİŞ")))))</f>
        <v/>
      </c>
      <c r="T201" s="30">
        <f>IF(A201="","",IF(F201&lt;&gt;"Evet","İNCELEME GEREKLİ - Kampanya Tanımsız",IF(G201&lt;&gt;"Evet","İNCELEME GEREKLİ - Tarih Dışı Satış",IF(LEFT(P201,4)="RİSK","İNCELEME GEREKLİ - Hakediş Süresi Aşıldı",IF(OR(S201="EKSİK ÖDENMİŞ",S201="FAZLA ÖDENMİŞ"),"İNCELEME GEREKLİ - Tutar Uyuşmazlığı",IF(LEFT(P201,7)="Bekleni","Bekleniyor","Uygun"))))))</f>
        <v/>
      </c>
    </row>
    <row r="202">
      <c r="A202" s="26">
        <f>IF('DIVA Satislari'!I202="","",'DIVA Satislari'!I202)</f>
        <v/>
      </c>
      <c r="B202" s="26">
        <f>IF('DIVA Satislari'!I202="","",'DIVA Satislari'!R202)</f>
        <v/>
      </c>
      <c r="C202" s="26">
        <f>IF('DIVA Satislari'!I202="","",'DIVA Satislari'!M202)</f>
        <v/>
      </c>
      <c r="D202" s="27">
        <f>IF('DIVA Satislari'!I202="","",'DIVA Satislari'!H202)</f>
        <v/>
      </c>
      <c r="E202" s="26">
        <f>IF('DIVA Satislari'!I202="","",'DIVA Satislari'!O202)</f>
        <v/>
      </c>
      <c r="F202" s="26">
        <f>IF('DIVA Satislari'!I202="","",'DIVA Satislari'!AK202)</f>
        <v/>
      </c>
      <c r="G202" s="26">
        <f>IF('DIVA Satislari'!I202="","",'DIVA Satislari'!AO202)</f>
        <v/>
      </c>
      <c r="H202" s="27">
        <f>IF('DIVA Satislari'!I202="","",'DIVA Satislari'!AN202)</f>
        <v/>
      </c>
      <c r="I202" s="28">
        <f>IF('DIVA Satislari'!I202="","",'DIVA Satislari'!AQ202)</f>
        <v/>
      </c>
      <c r="J202" s="26">
        <f>IF('DIVA Satislari'!I202="","",'DIVA Satislari'!AR202)</f>
        <v/>
      </c>
      <c r="K202" s="26">
        <f>IF('DIVA Satislari'!I202="","",IFERROR(INDEX('E2E Nakliye Montaj'!$AS$3:$AS$1002,MATCH('DIVA Satislari'!AJ202,'E2E Nakliye Montaj'!$AM$3:$AM$1002,0)),"Eşleşme Yok"))</f>
        <v/>
      </c>
      <c r="L202" s="26">
        <f>IF('DIVA Satislari'!I202="","",IFERROR(INDEX('E2E Nakliye Montaj'!$AT$3:$AT$1002,MATCH('DIVA Satislari'!AJ202,'E2E Nakliye Montaj'!$AM$3:$AM$1002,0)),"Hayır"))</f>
        <v/>
      </c>
      <c r="M202" s="26">
        <f>IF('DIVA Satislari'!I202="","",IFERROR(INDEX('E2E Nakliye Montaj'!$AU$3:$AU$1002,MATCH('DIVA Satislari'!AJ202,'E2E Nakliye Montaj'!$AM$3:$AM$1002,0)),"Hayır"))</f>
        <v/>
      </c>
      <c r="N202" s="27">
        <f>IF('DIVA Satislari'!I202="","",IFERROR(INDEX('E2E Nakliye Montaj'!$AV$3:$AV$1002,MATCH('DIVA Satislari'!AJ202,'E2E Nakliye Montaj'!$AM$3:$AM$1002,0)),""))</f>
        <v/>
      </c>
      <c r="O202" s="26">
        <f>IF(OR(A202="",N202=""),"",IF(N202&lt;=H202,"Evet","HAYIR - RİSK"))</f>
        <v/>
      </c>
      <c r="P202" s="26">
        <f>IF(A202="","",IF(LEFT(J202,8)="Kural A ","Uygun - Hemen Ödenir (Yıl Sonu %75 Kontrolüne Tabi)",IF(OR(L202="Evet",M202="Evet"),IF(O202="Evet","Uygun","RİSK - Hakediş Süresi Aşıldı"),"Bekleniyor - Nakliye/Montaj Tamamlanmadı")))</f>
        <v/>
      </c>
      <c r="Q202" s="28">
        <f>IF(A202="","",SUMIFS('Hakedis Fatura Detay'!$G$3:$G$1200,'Hakedis Fatura Detay'!$H$3:$H$1200,'DIVA Satislari'!AJ202,'Hakedis Fatura Detay'!$F$3:$F$1200,"Fiyat Farkı")+SUMIFS('Hakedis Fatura Detay'!$G$3:$G$1200,'Hakedis Fatura Detay'!$H$3:$H$1200,'DIVA Satislari'!AJ202,'Hakedis Fatura Detay'!$F$3:$F$1200,"Bundle"))</f>
        <v/>
      </c>
      <c r="R202" s="28">
        <f>IF(A202="","",I202-Q202)</f>
        <v/>
      </c>
      <c r="S202" s="26">
        <f>IF(A202="","",IF(LEFT(P202,7)="Bekleni","N/A - Henüz Ödenmemeli",IF(LEFT(P202,4)="RİSK","İNCELEME GEREKLİ - Süre Aşımı",IF(R202=0,"Doğru",IF(R202&gt;0,"EKSİK ÖDENMİŞ","FAZLA ÖDENMİŞ")))))</f>
        <v/>
      </c>
      <c r="T202" s="30">
        <f>IF(A202="","",IF(F202&lt;&gt;"Evet","İNCELEME GEREKLİ - Kampanya Tanımsız",IF(G202&lt;&gt;"Evet","İNCELEME GEREKLİ - Tarih Dışı Satış",IF(LEFT(P202,4)="RİSK","İNCELEME GEREKLİ - Hakediş Süresi Aşıldı",IF(OR(S202="EKSİK ÖDENMİŞ",S202="FAZLA ÖDENMİŞ"),"İNCELEME GEREKLİ - Tutar Uyuşmazlığı",IF(LEFT(P202,7)="Bekleni","Bekleniyor","Uygun"))))))</f>
        <v/>
      </c>
    </row>
    <row r="203">
      <c r="A203" s="26">
        <f>IF('DIVA Satislari'!I203="","",'DIVA Satislari'!I203)</f>
        <v/>
      </c>
      <c r="B203" s="26">
        <f>IF('DIVA Satislari'!I203="","",'DIVA Satislari'!R203)</f>
        <v/>
      </c>
      <c r="C203" s="26">
        <f>IF('DIVA Satislari'!I203="","",'DIVA Satislari'!M203)</f>
        <v/>
      </c>
      <c r="D203" s="27">
        <f>IF('DIVA Satislari'!I203="","",'DIVA Satislari'!H203)</f>
        <v/>
      </c>
      <c r="E203" s="26">
        <f>IF('DIVA Satislari'!I203="","",'DIVA Satislari'!O203)</f>
        <v/>
      </c>
      <c r="F203" s="26">
        <f>IF('DIVA Satislari'!I203="","",'DIVA Satislari'!AK203)</f>
        <v/>
      </c>
      <c r="G203" s="26">
        <f>IF('DIVA Satislari'!I203="","",'DIVA Satislari'!AO203)</f>
        <v/>
      </c>
      <c r="H203" s="27">
        <f>IF('DIVA Satislari'!I203="","",'DIVA Satislari'!AN203)</f>
        <v/>
      </c>
      <c r="I203" s="28">
        <f>IF('DIVA Satislari'!I203="","",'DIVA Satislari'!AQ203)</f>
        <v/>
      </c>
      <c r="J203" s="26">
        <f>IF('DIVA Satislari'!I203="","",'DIVA Satislari'!AR203)</f>
        <v/>
      </c>
      <c r="K203" s="26">
        <f>IF('DIVA Satislari'!I203="","",IFERROR(INDEX('E2E Nakliye Montaj'!$AS$3:$AS$1002,MATCH('DIVA Satislari'!AJ203,'E2E Nakliye Montaj'!$AM$3:$AM$1002,0)),"Eşleşme Yok"))</f>
        <v/>
      </c>
      <c r="L203" s="26">
        <f>IF('DIVA Satislari'!I203="","",IFERROR(INDEX('E2E Nakliye Montaj'!$AT$3:$AT$1002,MATCH('DIVA Satislari'!AJ203,'E2E Nakliye Montaj'!$AM$3:$AM$1002,0)),"Hayır"))</f>
        <v/>
      </c>
      <c r="M203" s="26">
        <f>IF('DIVA Satislari'!I203="","",IFERROR(INDEX('E2E Nakliye Montaj'!$AU$3:$AU$1002,MATCH('DIVA Satislari'!AJ203,'E2E Nakliye Montaj'!$AM$3:$AM$1002,0)),"Hayır"))</f>
        <v/>
      </c>
      <c r="N203" s="27">
        <f>IF('DIVA Satislari'!I203="","",IFERROR(INDEX('E2E Nakliye Montaj'!$AV$3:$AV$1002,MATCH('DIVA Satislari'!AJ203,'E2E Nakliye Montaj'!$AM$3:$AM$1002,0)),""))</f>
        <v/>
      </c>
      <c r="O203" s="26">
        <f>IF(OR(A203="",N203=""),"",IF(N203&lt;=H203,"Evet","HAYIR - RİSK"))</f>
        <v/>
      </c>
      <c r="P203" s="26">
        <f>IF(A203="","",IF(LEFT(J203,8)="Kural A ","Uygun - Hemen Ödenir (Yıl Sonu %75 Kontrolüne Tabi)",IF(OR(L203="Evet",M203="Evet"),IF(O203="Evet","Uygun","RİSK - Hakediş Süresi Aşıldı"),"Bekleniyor - Nakliye/Montaj Tamamlanmadı")))</f>
        <v/>
      </c>
      <c r="Q203" s="28">
        <f>IF(A203="","",SUMIFS('Hakedis Fatura Detay'!$G$3:$G$1200,'Hakedis Fatura Detay'!$H$3:$H$1200,'DIVA Satislari'!AJ203,'Hakedis Fatura Detay'!$F$3:$F$1200,"Fiyat Farkı")+SUMIFS('Hakedis Fatura Detay'!$G$3:$G$1200,'Hakedis Fatura Detay'!$H$3:$H$1200,'DIVA Satislari'!AJ203,'Hakedis Fatura Detay'!$F$3:$F$1200,"Bundle"))</f>
        <v/>
      </c>
      <c r="R203" s="28">
        <f>IF(A203="","",I203-Q203)</f>
        <v/>
      </c>
      <c r="S203" s="26">
        <f>IF(A203="","",IF(LEFT(P203,7)="Bekleni","N/A - Henüz Ödenmemeli",IF(LEFT(P203,4)="RİSK","İNCELEME GEREKLİ - Süre Aşımı",IF(R203=0,"Doğru",IF(R203&gt;0,"EKSİK ÖDENMİŞ","FAZLA ÖDENMİŞ")))))</f>
        <v/>
      </c>
      <c r="T203" s="30">
        <f>IF(A203="","",IF(F203&lt;&gt;"Evet","İNCELEME GEREKLİ - Kampanya Tanımsız",IF(G203&lt;&gt;"Evet","İNCELEME GEREKLİ - Tarih Dışı Satış",IF(LEFT(P203,4)="RİSK","İNCELEME GEREKLİ - Hakediş Süresi Aşıldı",IF(OR(S203="EKSİK ÖDENMİŞ",S203="FAZLA ÖDENMİŞ"),"İNCELEME GEREKLİ - Tutar Uyuşmazlığı",IF(LEFT(P203,7)="Bekleni","Bekleniyor","Uygun"))))))</f>
        <v/>
      </c>
    </row>
    <row r="204">
      <c r="A204" s="26">
        <f>IF('DIVA Satislari'!I204="","",'DIVA Satislari'!I204)</f>
        <v/>
      </c>
      <c r="B204" s="26">
        <f>IF('DIVA Satislari'!I204="","",'DIVA Satislari'!R204)</f>
        <v/>
      </c>
      <c r="C204" s="26">
        <f>IF('DIVA Satislari'!I204="","",'DIVA Satislari'!M204)</f>
        <v/>
      </c>
      <c r="D204" s="27">
        <f>IF('DIVA Satislari'!I204="","",'DIVA Satislari'!H204)</f>
        <v/>
      </c>
      <c r="E204" s="26">
        <f>IF('DIVA Satislari'!I204="","",'DIVA Satislari'!O204)</f>
        <v/>
      </c>
      <c r="F204" s="26">
        <f>IF('DIVA Satislari'!I204="","",'DIVA Satislari'!AK204)</f>
        <v/>
      </c>
      <c r="G204" s="26">
        <f>IF('DIVA Satislari'!I204="","",'DIVA Satislari'!AO204)</f>
        <v/>
      </c>
      <c r="H204" s="27">
        <f>IF('DIVA Satislari'!I204="","",'DIVA Satislari'!AN204)</f>
        <v/>
      </c>
      <c r="I204" s="28">
        <f>IF('DIVA Satislari'!I204="","",'DIVA Satislari'!AQ204)</f>
        <v/>
      </c>
      <c r="J204" s="26">
        <f>IF('DIVA Satislari'!I204="","",'DIVA Satislari'!AR204)</f>
        <v/>
      </c>
      <c r="K204" s="26">
        <f>IF('DIVA Satislari'!I204="","",IFERROR(INDEX('E2E Nakliye Montaj'!$AS$3:$AS$1002,MATCH('DIVA Satislari'!AJ204,'E2E Nakliye Montaj'!$AM$3:$AM$1002,0)),"Eşleşme Yok"))</f>
        <v/>
      </c>
      <c r="L204" s="26">
        <f>IF('DIVA Satislari'!I204="","",IFERROR(INDEX('E2E Nakliye Montaj'!$AT$3:$AT$1002,MATCH('DIVA Satislari'!AJ204,'E2E Nakliye Montaj'!$AM$3:$AM$1002,0)),"Hayır"))</f>
        <v/>
      </c>
      <c r="M204" s="26">
        <f>IF('DIVA Satislari'!I204="","",IFERROR(INDEX('E2E Nakliye Montaj'!$AU$3:$AU$1002,MATCH('DIVA Satislari'!AJ204,'E2E Nakliye Montaj'!$AM$3:$AM$1002,0)),"Hayır"))</f>
        <v/>
      </c>
      <c r="N204" s="27">
        <f>IF('DIVA Satislari'!I204="","",IFERROR(INDEX('E2E Nakliye Montaj'!$AV$3:$AV$1002,MATCH('DIVA Satislari'!AJ204,'E2E Nakliye Montaj'!$AM$3:$AM$1002,0)),""))</f>
        <v/>
      </c>
      <c r="O204" s="26">
        <f>IF(OR(A204="",N204=""),"",IF(N204&lt;=H204,"Evet","HAYIR - RİSK"))</f>
        <v/>
      </c>
      <c r="P204" s="26">
        <f>IF(A204="","",IF(LEFT(J204,8)="Kural A ","Uygun - Hemen Ödenir (Yıl Sonu %75 Kontrolüne Tabi)",IF(OR(L204="Evet",M204="Evet"),IF(O204="Evet","Uygun","RİSK - Hakediş Süresi Aşıldı"),"Bekleniyor - Nakliye/Montaj Tamamlanmadı")))</f>
        <v/>
      </c>
      <c r="Q204" s="28">
        <f>IF(A204="","",SUMIFS('Hakedis Fatura Detay'!$G$3:$G$1200,'Hakedis Fatura Detay'!$H$3:$H$1200,'DIVA Satislari'!AJ204,'Hakedis Fatura Detay'!$F$3:$F$1200,"Fiyat Farkı")+SUMIFS('Hakedis Fatura Detay'!$G$3:$G$1200,'Hakedis Fatura Detay'!$H$3:$H$1200,'DIVA Satislari'!AJ204,'Hakedis Fatura Detay'!$F$3:$F$1200,"Bundle"))</f>
        <v/>
      </c>
      <c r="R204" s="28">
        <f>IF(A204="","",I204-Q204)</f>
        <v/>
      </c>
      <c r="S204" s="26">
        <f>IF(A204="","",IF(LEFT(P204,7)="Bekleni","N/A - Henüz Ödenmemeli",IF(LEFT(P204,4)="RİSK","İNCELEME GEREKLİ - Süre Aşımı",IF(R204=0,"Doğru",IF(R204&gt;0,"EKSİK ÖDENMİŞ","FAZLA ÖDENMİŞ")))))</f>
        <v/>
      </c>
      <c r="T204" s="30">
        <f>IF(A204="","",IF(F204&lt;&gt;"Evet","İNCELEME GEREKLİ - Kampanya Tanımsız",IF(G204&lt;&gt;"Evet","İNCELEME GEREKLİ - Tarih Dışı Satış",IF(LEFT(P204,4)="RİSK","İNCELEME GEREKLİ - Hakediş Süresi Aşıldı",IF(OR(S204="EKSİK ÖDENMİŞ",S204="FAZLA ÖDENMİŞ"),"İNCELEME GEREKLİ - Tutar Uyuşmazlığı",IF(LEFT(P204,7)="Bekleni","Bekleniyor","Uygun"))))))</f>
        <v/>
      </c>
    </row>
    <row r="205">
      <c r="A205" s="26">
        <f>IF('DIVA Satislari'!I205="","",'DIVA Satislari'!I205)</f>
        <v/>
      </c>
      <c r="B205" s="26">
        <f>IF('DIVA Satislari'!I205="","",'DIVA Satislari'!R205)</f>
        <v/>
      </c>
      <c r="C205" s="26">
        <f>IF('DIVA Satislari'!I205="","",'DIVA Satislari'!M205)</f>
        <v/>
      </c>
      <c r="D205" s="27">
        <f>IF('DIVA Satislari'!I205="","",'DIVA Satislari'!H205)</f>
        <v/>
      </c>
      <c r="E205" s="26">
        <f>IF('DIVA Satislari'!I205="","",'DIVA Satislari'!O205)</f>
        <v/>
      </c>
      <c r="F205" s="26">
        <f>IF('DIVA Satislari'!I205="","",'DIVA Satislari'!AK205)</f>
        <v/>
      </c>
      <c r="G205" s="26">
        <f>IF('DIVA Satislari'!I205="","",'DIVA Satislari'!AO205)</f>
        <v/>
      </c>
      <c r="H205" s="27">
        <f>IF('DIVA Satislari'!I205="","",'DIVA Satislari'!AN205)</f>
        <v/>
      </c>
      <c r="I205" s="28">
        <f>IF('DIVA Satislari'!I205="","",'DIVA Satislari'!AQ205)</f>
        <v/>
      </c>
      <c r="J205" s="26">
        <f>IF('DIVA Satislari'!I205="","",'DIVA Satislari'!AR205)</f>
        <v/>
      </c>
      <c r="K205" s="26">
        <f>IF('DIVA Satislari'!I205="","",IFERROR(INDEX('E2E Nakliye Montaj'!$AS$3:$AS$1002,MATCH('DIVA Satislari'!AJ205,'E2E Nakliye Montaj'!$AM$3:$AM$1002,0)),"Eşleşme Yok"))</f>
        <v/>
      </c>
      <c r="L205" s="26">
        <f>IF('DIVA Satislari'!I205="","",IFERROR(INDEX('E2E Nakliye Montaj'!$AT$3:$AT$1002,MATCH('DIVA Satislari'!AJ205,'E2E Nakliye Montaj'!$AM$3:$AM$1002,0)),"Hayır"))</f>
        <v/>
      </c>
      <c r="M205" s="26">
        <f>IF('DIVA Satislari'!I205="","",IFERROR(INDEX('E2E Nakliye Montaj'!$AU$3:$AU$1002,MATCH('DIVA Satislari'!AJ205,'E2E Nakliye Montaj'!$AM$3:$AM$1002,0)),"Hayır"))</f>
        <v/>
      </c>
      <c r="N205" s="27">
        <f>IF('DIVA Satislari'!I205="","",IFERROR(INDEX('E2E Nakliye Montaj'!$AV$3:$AV$1002,MATCH('DIVA Satislari'!AJ205,'E2E Nakliye Montaj'!$AM$3:$AM$1002,0)),""))</f>
        <v/>
      </c>
      <c r="O205" s="26">
        <f>IF(OR(A205="",N205=""),"",IF(N205&lt;=H205,"Evet","HAYIR - RİSK"))</f>
        <v/>
      </c>
      <c r="P205" s="26">
        <f>IF(A205="","",IF(LEFT(J205,8)="Kural A ","Uygun - Hemen Ödenir (Yıl Sonu %75 Kontrolüne Tabi)",IF(OR(L205="Evet",M205="Evet"),IF(O205="Evet","Uygun","RİSK - Hakediş Süresi Aşıldı"),"Bekleniyor - Nakliye/Montaj Tamamlanmadı")))</f>
        <v/>
      </c>
      <c r="Q205" s="28">
        <f>IF(A205="","",SUMIFS('Hakedis Fatura Detay'!$G$3:$G$1200,'Hakedis Fatura Detay'!$H$3:$H$1200,'DIVA Satislari'!AJ205,'Hakedis Fatura Detay'!$F$3:$F$1200,"Fiyat Farkı")+SUMIFS('Hakedis Fatura Detay'!$G$3:$G$1200,'Hakedis Fatura Detay'!$H$3:$H$1200,'DIVA Satislari'!AJ205,'Hakedis Fatura Detay'!$F$3:$F$1200,"Bundle"))</f>
        <v/>
      </c>
      <c r="R205" s="28">
        <f>IF(A205="","",I205-Q205)</f>
        <v/>
      </c>
      <c r="S205" s="26">
        <f>IF(A205="","",IF(LEFT(P205,7)="Bekleni","N/A - Henüz Ödenmemeli",IF(LEFT(P205,4)="RİSK","İNCELEME GEREKLİ - Süre Aşımı",IF(R205=0,"Doğru",IF(R205&gt;0,"EKSİK ÖDENMİŞ","FAZLA ÖDENMİŞ")))))</f>
        <v/>
      </c>
      <c r="T205" s="30">
        <f>IF(A205="","",IF(F205&lt;&gt;"Evet","İNCELEME GEREKLİ - Kampanya Tanımsız",IF(G205&lt;&gt;"Evet","İNCELEME GEREKLİ - Tarih Dışı Satış",IF(LEFT(P205,4)="RİSK","İNCELEME GEREKLİ - Hakediş Süresi Aşıldı",IF(OR(S205="EKSİK ÖDENMİŞ",S205="FAZLA ÖDENMİŞ"),"İNCELEME GEREKLİ - Tutar Uyuşmazlığı",IF(LEFT(P205,7)="Bekleni","Bekleniyor","Uygun"))))))</f>
        <v/>
      </c>
    </row>
    <row r="206">
      <c r="A206" s="26">
        <f>IF('DIVA Satislari'!I206="","",'DIVA Satislari'!I206)</f>
        <v/>
      </c>
      <c r="B206" s="26">
        <f>IF('DIVA Satislari'!I206="","",'DIVA Satislari'!R206)</f>
        <v/>
      </c>
      <c r="C206" s="26">
        <f>IF('DIVA Satislari'!I206="","",'DIVA Satislari'!M206)</f>
        <v/>
      </c>
      <c r="D206" s="27">
        <f>IF('DIVA Satislari'!I206="","",'DIVA Satislari'!H206)</f>
        <v/>
      </c>
      <c r="E206" s="26">
        <f>IF('DIVA Satislari'!I206="","",'DIVA Satislari'!O206)</f>
        <v/>
      </c>
      <c r="F206" s="26">
        <f>IF('DIVA Satislari'!I206="","",'DIVA Satislari'!AK206)</f>
        <v/>
      </c>
      <c r="G206" s="26">
        <f>IF('DIVA Satislari'!I206="","",'DIVA Satislari'!AO206)</f>
        <v/>
      </c>
      <c r="H206" s="27">
        <f>IF('DIVA Satislari'!I206="","",'DIVA Satislari'!AN206)</f>
        <v/>
      </c>
      <c r="I206" s="28">
        <f>IF('DIVA Satislari'!I206="","",'DIVA Satislari'!AQ206)</f>
        <v/>
      </c>
      <c r="J206" s="26">
        <f>IF('DIVA Satislari'!I206="","",'DIVA Satislari'!AR206)</f>
        <v/>
      </c>
      <c r="K206" s="26">
        <f>IF('DIVA Satislari'!I206="","",IFERROR(INDEX('E2E Nakliye Montaj'!$AS$3:$AS$1002,MATCH('DIVA Satislari'!AJ206,'E2E Nakliye Montaj'!$AM$3:$AM$1002,0)),"Eşleşme Yok"))</f>
        <v/>
      </c>
      <c r="L206" s="26">
        <f>IF('DIVA Satislari'!I206="","",IFERROR(INDEX('E2E Nakliye Montaj'!$AT$3:$AT$1002,MATCH('DIVA Satislari'!AJ206,'E2E Nakliye Montaj'!$AM$3:$AM$1002,0)),"Hayır"))</f>
        <v/>
      </c>
      <c r="M206" s="26">
        <f>IF('DIVA Satislari'!I206="","",IFERROR(INDEX('E2E Nakliye Montaj'!$AU$3:$AU$1002,MATCH('DIVA Satislari'!AJ206,'E2E Nakliye Montaj'!$AM$3:$AM$1002,0)),"Hayır"))</f>
        <v/>
      </c>
      <c r="N206" s="27">
        <f>IF('DIVA Satislari'!I206="","",IFERROR(INDEX('E2E Nakliye Montaj'!$AV$3:$AV$1002,MATCH('DIVA Satislari'!AJ206,'E2E Nakliye Montaj'!$AM$3:$AM$1002,0)),""))</f>
        <v/>
      </c>
      <c r="O206" s="26">
        <f>IF(OR(A206="",N206=""),"",IF(N206&lt;=H206,"Evet","HAYIR - RİSK"))</f>
        <v/>
      </c>
      <c r="P206" s="26">
        <f>IF(A206="","",IF(LEFT(J206,8)="Kural A ","Uygun - Hemen Ödenir (Yıl Sonu %75 Kontrolüne Tabi)",IF(OR(L206="Evet",M206="Evet"),IF(O206="Evet","Uygun","RİSK - Hakediş Süresi Aşıldı"),"Bekleniyor - Nakliye/Montaj Tamamlanmadı")))</f>
        <v/>
      </c>
      <c r="Q206" s="28">
        <f>IF(A206="","",SUMIFS('Hakedis Fatura Detay'!$G$3:$G$1200,'Hakedis Fatura Detay'!$H$3:$H$1200,'DIVA Satislari'!AJ206,'Hakedis Fatura Detay'!$F$3:$F$1200,"Fiyat Farkı")+SUMIFS('Hakedis Fatura Detay'!$G$3:$G$1200,'Hakedis Fatura Detay'!$H$3:$H$1200,'DIVA Satislari'!AJ206,'Hakedis Fatura Detay'!$F$3:$F$1200,"Bundle"))</f>
        <v/>
      </c>
      <c r="R206" s="28">
        <f>IF(A206="","",I206-Q206)</f>
        <v/>
      </c>
      <c r="S206" s="26">
        <f>IF(A206="","",IF(LEFT(P206,7)="Bekleni","N/A - Henüz Ödenmemeli",IF(LEFT(P206,4)="RİSK","İNCELEME GEREKLİ - Süre Aşımı",IF(R206=0,"Doğru",IF(R206&gt;0,"EKSİK ÖDENMİŞ","FAZLA ÖDENMİŞ")))))</f>
        <v/>
      </c>
      <c r="T206" s="30">
        <f>IF(A206="","",IF(F206&lt;&gt;"Evet","İNCELEME GEREKLİ - Kampanya Tanımsız",IF(G206&lt;&gt;"Evet","İNCELEME GEREKLİ - Tarih Dışı Satış",IF(LEFT(P206,4)="RİSK","İNCELEME GEREKLİ - Hakediş Süresi Aşıldı",IF(OR(S206="EKSİK ÖDENMİŞ",S206="FAZLA ÖDENMİŞ"),"İNCELEME GEREKLİ - Tutar Uyuşmazlığı",IF(LEFT(P206,7)="Bekleni","Bekleniyor","Uygun"))))))</f>
        <v/>
      </c>
    </row>
    <row r="207">
      <c r="A207" s="26">
        <f>IF('DIVA Satislari'!I207="","",'DIVA Satislari'!I207)</f>
        <v/>
      </c>
      <c r="B207" s="26">
        <f>IF('DIVA Satislari'!I207="","",'DIVA Satislari'!R207)</f>
        <v/>
      </c>
      <c r="C207" s="26">
        <f>IF('DIVA Satislari'!I207="","",'DIVA Satislari'!M207)</f>
        <v/>
      </c>
      <c r="D207" s="27">
        <f>IF('DIVA Satislari'!I207="","",'DIVA Satislari'!H207)</f>
        <v/>
      </c>
      <c r="E207" s="26">
        <f>IF('DIVA Satislari'!I207="","",'DIVA Satislari'!O207)</f>
        <v/>
      </c>
      <c r="F207" s="26">
        <f>IF('DIVA Satislari'!I207="","",'DIVA Satislari'!AK207)</f>
        <v/>
      </c>
      <c r="G207" s="26">
        <f>IF('DIVA Satislari'!I207="","",'DIVA Satislari'!AO207)</f>
        <v/>
      </c>
      <c r="H207" s="27">
        <f>IF('DIVA Satislari'!I207="","",'DIVA Satislari'!AN207)</f>
        <v/>
      </c>
      <c r="I207" s="28">
        <f>IF('DIVA Satislari'!I207="","",'DIVA Satislari'!AQ207)</f>
        <v/>
      </c>
      <c r="J207" s="26">
        <f>IF('DIVA Satislari'!I207="","",'DIVA Satislari'!AR207)</f>
        <v/>
      </c>
      <c r="K207" s="26">
        <f>IF('DIVA Satislari'!I207="","",IFERROR(INDEX('E2E Nakliye Montaj'!$AS$3:$AS$1002,MATCH('DIVA Satislari'!AJ207,'E2E Nakliye Montaj'!$AM$3:$AM$1002,0)),"Eşleşme Yok"))</f>
        <v/>
      </c>
      <c r="L207" s="26">
        <f>IF('DIVA Satislari'!I207="","",IFERROR(INDEX('E2E Nakliye Montaj'!$AT$3:$AT$1002,MATCH('DIVA Satislari'!AJ207,'E2E Nakliye Montaj'!$AM$3:$AM$1002,0)),"Hayır"))</f>
        <v/>
      </c>
      <c r="M207" s="26">
        <f>IF('DIVA Satislari'!I207="","",IFERROR(INDEX('E2E Nakliye Montaj'!$AU$3:$AU$1002,MATCH('DIVA Satislari'!AJ207,'E2E Nakliye Montaj'!$AM$3:$AM$1002,0)),"Hayır"))</f>
        <v/>
      </c>
      <c r="N207" s="27">
        <f>IF('DIVA Satislari'!I207="","",IFERROR(INDEX('E2E Nakliye Montaj'!$AV$3:$AV$1002,MATCH('DIVA Satislari'!AJ207,'E2E Nakliye Montaj'!$AM$3:$AM$1002,0)),""))</f>
        <v/>
      </c>
      <c r="O207" s="26">
        <f>IF(OR(A207="",N207=""),"",IF(N207&lt;=H207,"Evet","HAYIR - RİSK"))</f>
        <v/>
      </c>
      <c r="P207" s="26">
        <f>IF(A207="","",IF(LEFT(J207,8)="Kural A ","Uygun - Hemen Ödenir (Yıl Sonu %75 Kontrolüne Tabi)",IF(OR(L207="Evet",M207="Evet"),IF(O207="Evet","Uygun","RİSK - Hakediş Süresi Aşıldı"),"Bekleniyor - Nakliye/Montaj Tamamlanmadı")))</f>
        <v/>
      </c>
      <c r="Q207" s="28">
        <f>IF(A207="","",SUMIFS('Hakedis Fatura Detay'!$G$3:$G$1200,'Hakedis Fatura Detay'!$H$3:$H$1200,'DIVA Satislari'!AJ207,'Hakedis Fatura Detay'!$F$3:$F$1200,"Fiyat Farkı")+SUMIFS('Hakedis Fatura Detay'!$G$3:$G$1200,'Hakedis Fatura Detay'!$H$3:$H$1200,'DIVA Satislari'!AJ207,'Hakedis Fatura Detay'!$F$3:$F$1200,"Bundle"))</f>
        <v/>
      </c>
      <c r="R207" s="28">
        <f>IF(A207="","",I207-Q207)</f>
        <v/>
      </c>
      <c r="S207" s="26">
        <f>IF(A207="","",IF(LEFT(P207,7)="Bekleni","N/A - Henüz Ödenmemeli",IF(LEFT(P207,4)="RİSK","İNCELEME GEREKLİ - Süre Aşımı",IF(R207=0,"Doğru",IF(R207&gt;0,"EKSİK ÖDENMİŞ","FAZLA ÖDENMİŞ")))))</f>
        <v/>
      </c>
      <c r="T207" s="30">
        <f>IF(A207="","",IF(F207&lt;&gt;"Evet","İNCELEME GEREKLİ - Kampanya Tanımsız",IF(G207&lt;&gt;"Evet","İNCELEME GEREKLİ - Tarih Dışı Satış",IF(LEFT(P207,4)="RİSK","İNCELEME GEREKLİ - Hakediş Süresi Aşıldı",IF(OR(S207="EKSİK ÖDENMİŞ",S207="FAZLA ÖDENMİŞ"),"İNCELEME GEREKLİ - Tutar Uyuşmazlığı",IF(LEFT(P207,7)="Bekleni","Bekleniyor","Uygun"))))))</f>
        <v/>
      </c>
    </row>
    <row r="208">
      <c r="A208" s="26">
        <f>IF('DIVA Satislari'!I208="","",'DIVA Satislari'!I208)</f>
        <v/>
      </c>
      <c r="B208" s="26">
        <f>IF('DIVA Satislari'!I208="","",'DIVA Satislari'!R208)</f>
        <v/>
      </c>
      <c r="C208" s="26">
        <f>IF('DIVA Satislari'!I208="","",'DIVA Satislari'!M208)</f>
        <v/>
      </c>
      <c r="D208" s="27">
        <f>IF('DIVA Satislari'!I208="","",'DIVA Satislari'!H208)</f>
        <v/>
      </c>
      <c r="E208" s="26">
        <f>IF('DIVA Satislari'!I208="","",'DIVA Satislari'!O208)</f>
        <v/>
      </c>
      <c r="F208" s="26">
        <f>IF('DIVA Satislari'!I208="","",'DIVA Satislari'!AK208)</f>
        <v/>
      </c>
      <c r="G208" s="26">
        <f>IF('DIVA Satislari'!I208="","",'DIVA Satislari'!AO208)</f>
        <v/>
      </c>
      <c r="H208" s="27">
        <f>IF('DIVA Satislari'!I208="","",'DIVA Satislari'!AN208)</f>
        <v/>
      </c>
      <c r="I208" s="28">
        <f>IF('DIVA Satislari'!I208="","",'DIVA Satislari'!AQ208)</f>
        <v/>
      </c>
      <c r="J208" s="26">
        <f>IF('DIVA Satislari'!I208="","",'DIVA Satislari'!AR208)</f>
        <v/>
      </c>
      <c r="K208" s="26">
        <f>IF('DIVA Satislari'!I208="","",IFERROR(INDEX('E2E Nakliye Montaj'!$AS$3:$AS$1002,MATCH('DIVA Satislari'!AJ208,'E2E Nakliye Montaj'!$AM$3:$AM$1002,0)),"Eşleşme Yok"))</f>
        <v/>
      </c>
      <c r="L208" s="26">
        <f>IF('DIVA Satislari'!I208="","",IFERROR(INDEX('E2E Nakliye Montaj'!$AT$3:$AT$1002,MATCH('DIVA Satislari'!AJ208,'E2E Nakliye Montaj'!$AM$3:$AM$1002,0)),"Hayır"))</f>
        <v/>
      </c>
      <c r="M208" s="26">
        <f>IF('DIVA Satislari'!I208="","",IFERROR(INDEX('E2E Nakliye Montaj'!$AU$3:$AU$1002,MATCH('DIVA Satislari'!AJ208,'E2E Nakliye Montaj'!$AM$3:$AM$1002,0)),"Hayır"))</f>
        <v/>
      </c>
      <c r="N208" s="27">
        <f>IF('DIVA Satislari'!I208="","",IFERROR(INDEX('E2E Nakliye Montaj'!$AV$3:$AV$1002,MATCH('DIVA Satislari'!AJ208,'E2E Nakliye Montaj'!$AM$3:$AM$1002,0)),""))</f>
        <v/>
      </c>
      <c r="O208" s="26">
        <f>IF(OR(A208="",N208=""),"",IF(N208&lt;=H208,"Evet","HAYIR - RİSK"))</f>
        <v/>
      </c>
      <c r="P208" s="26">
        <f>IF(A208="","",IF(LEFT(J208,8)="Kural A ","Uygun - Hemen Ödenir (Yıl Sonu %75 Kontrolüne Tabi)",IF(OR(L208="Evet",M208="Evet"),IF(O208="Evet","Uygun","RİSK - Hakediş Süresi Aşıldı"),"Bekleniyor - Nakliye/Montaj Tamamlanmadı")))</f>
        <v/>
      </c>
      <c r="Q208" s="28">
        <f>IF(A208="","",SUMIFS('Hakedis Fatura Detay'!$G$3:$G$1200,'Hakedis Fatura Detay'!$H$3:$H$1200,'DIVA Satislari'!AJ208,'Hakedis Fatura Detay'!$F$3:$F$1200,"Fiyat Farkı")+SUMIFS('Hakedis Fatura Detay'!$G$3:$G$1200,'Hakedis Fatura Detay'!$H$3:$H$1200,'DIVA Satislari'!AJ208,'Hakedis Fatura Detay'!$F$3:$F$1200,"Bundle"))</f>
        <v/>
      </c>
      <c r="R208" s="28">
        <f>IF(A208="","",I208-Q208)</f>
        <v/>
      </c>
      <c r="S208" s="26">
        <f>IF(A208="","",IF(LEFT(P208,7)="Bekleni","N/A - Henüz Ödenmemeli",IF(LEFT(P208,4)="RİSK","İNCELEME GEREKLİ - Süre Aşımı",IF(R208=0,"Doğru",IF(R208&gt;0,"EKSİK ÖDENMİŞ","FAZLA ÖDENMİŞ")))))</f>
        <v/>
      </c>
      <c r="T208" s="30">
        <f>IF(A208="","",IF(F208&lt;&gt;"Evet","İNCELEME GEREKLİ - Kampanya Tanımsız",IF(G208&lt;&gt;"Evet","İNCELEME GEREKLİ - Tarih Dışı Satış",IF(LEFT(P208,4)="RİSK","İNCELEME GEREKLİ - Hakediş Süresi Aşıldı",IF(OR(S208="EKSİK ÖDENMİŞ",S208="FAZLA ÖDENMİŞ"),"İNCELEME GEREKLİ - Tutar Uyuşmazlığı",IF(LEFT(P208,7)="Bekleni","Bekleniyor","Uygun"))))))</f>
        <v/>
      </c>
    </row>
    <row r="209">
      <c r="A209" s="26">
        <f>IF('DIVA Satislari'!I209="","",'DIVA Satislari'!I209)</f>
        <v/>
      </c>
      <c r="B209" s="26">
        <f>IF('DIVA Satislari'!I209="","",'DIVA Satislari'!R209)</f>
        <v/>
      </c>
      <c r="C209" s="26">
        <f>IF('DIVA Satislari'!I209="","",'DIVA Satislari'!M209)</f>
        <v/>
      </c>
      <c r="D209" s="27">
        <f>IF('DIVA Satislari'!I209="","",'DIVA Satislari'!H209)</f>
        <v/>
      </c>
      <c r="E209" s="26">
        <f>IF('DIVA Satislari'!I209="","",'DIVA Satislari'!O209)</f>
        <v/>
      </c>
      <c r="F209" s="26">
        <f>IF('DIVA Satislari'!I209="","",'DIVA Satislari'!AK209)</f>
        <v/>
      </c>
      <c r="G209" s="26">
        <f>IF('DIVA Satislari'!I209="","",'DIVA Satislari'!AO209)</f>
        <v/>
      </c>
      <c r="H209" s="27">
        <f>IF('DIVA Satislari'!I209="","",'DIVA Satislari'!AN209)</f>
        <v/>
      </c>
      <c r="I209" s="28">
        <f>IF('DIVA Satislari'!I209="","",'DIVA Satislari'!AQ209)</f>
        <v/>
      </c>
      <c r="J209" s="26">
        <f>IF('DIVA Satislari'!I209="","",'DIVA Satislari'!AR209)</f>
        <v/>
      </c>
      <c r="K209" s="26">
        <f>IF('DIVA Satislari'!I209="","",IFERROR(INDEX('E2E Nakliye Montaj'!$AS$3:$AS$1002,MATCH('DIVA Satislari'!AJ209,'E2E Nakliye Montaj'!$AM$3:$AM$1002,0)),"Eşleşme Yok"))</f>
        <v/>
      </c>
      <c r="L209" s="26">
        <f>IF('DIVA Satislari'!I209="","",IFERROR(INDEX('E2E Nakliye Montaj'!$AT$3:$AT$1002,MATCH('DIVA Satislari'!AJ209,'E2E Nakliye Montaj'!$AM$3:$AM$1002,0)),"Hayır"))</f>
        <v/>
      </c>
      <c r="M209" s="26">
        <f>IF('DIVA Satislari'!I209="","",IFERROR(INDEX('E2E Nakliye Montaj'!$AU$3:$AU$1002,MATCH('DIVA Satislari'!AJ209,'E2E Nakliye Montaj'!$AM$3:$AM$1002,0)),"Hayır"))</f>
        <v/>
      </c>
      <c r="N209" s="27">
        <f>IF('DIVA Satislari'!I209="","",IFERROR(INDEX('E2E Nakliye Montaj'!$AV$3:$AV$1002,MATCH('DIVA Satislari'!AJ209,'E2E Nakliye Montaj'!$AM$3:$AM$1002,0)),""))</f>
        <v/>
      </c>
      <c r="O209" s="26">
        <f>IF(OR(A209="",N209=""),"",IF(N209&lt;=H209,"Evet","HAYIR - RİSK"))</f>
        <v/>
      </c>
      <c r="P209" s="26">
        <f>IF(A209="","",IF(LEFT(J209,8)="Kural A ","Uygun - Hemen Ödenir (Yıl Sonu %75 Kontrolüne Tabi)",IF(OR(L209="Evet",M209="Evet"),IF(O209="Evet","Uygun","RİSK - Hakediş Süresi Aşıldı"),"Bekleniyor - Nakliye/Montaj Tamamlanmadı")))</f>
        <v/>
      </c>
      <c r="Q209" s="28">
        <f>IF(A209="","",SUMIFS('Hakedis Fatura Detay'!$G$3:$G$1200,'Hakedis Fatura Detay'!$H$3:$H$1200,'DIVA Satislari'!AJ209,'Hakedis Fatura Detay'!$F$3:$F$1200,"Fiyat Farkı")+SUMIFS('Hakedis Fatura Detay'!$G$3:$G$1200,'Hakedis Fatura Detay'!$H$3:$H$1200,'DIVA Satislari'!AJ209,'Hakedis Fatura Detay'!$F$3:$F$1200,"Bundle"))</f>
        <v/>
      </c>
      <c r="R209" s="28">
        <f>IF(A209="","",I209-Q209)</f>
        <v/>
      </c>
      <c r="S209" s="26">
        <f>IF(A209="","",IF(LEFT(P209,7)="Bekleni","N/A - Henüz Ödenmemeli",IF(LEFT(P209,4)="RİSK","İNCELEME GEREKLİ - Süre Aşımı",IF(R209=0,"Doğru",IF(R209&gt;0,"EKSİK ÖDENMİŞ","FAZLA ÖDENMİŞ")))))</f>
        <v/>
      </c>
      <c r="T209" s="30">
        <f>IF(A209="","",IF(F209&lt;&gt;"Evet","İNCELEME GEREKLİ - Kampanya Tanımsız",IF(G209&lt;&gt;"Evet","İNCELEME GEREKLİ - Tarih Dışı Satış",IF(LEFT(P209,4)="RİSK","İNCELEME GEREKLİ - Hakediş Süresi Aşıldı",IF(OR(S209="EKSİK ÖDENMİŞ",S209="FAZLA ÖDENMİŞ"),"İNCELEME GEREKLİ - Tutar Uyuşmazlığı",IF(LEFT(P209,7)="Bekleni","Bekleniyor","Uygun"))))))</f>
        <v/>
      </c>
    </row>
    <row r="210">
      <c r="A210" s="26">
        <f>IF('DIVA Satislari'!I210="","",'DIVA Satislari'!I210)</f>
        <v/>
      </c>
      <c r="B210" s="26">
        <f>IF('DIVA Satislari'!I210="","",'DIVA Satislari'!R210)</f>
        <v/>
      </c>
      <c r="C210" s="26">
        <f>IF('DIVA Satislari'!I210="","",'DIVA Satislari'!M210)</f>
        <v/>
      </c>
      <c r="D210" s="27">
        <f>IF('DIVA Satislari'!I210="","",'DIVA Satislari'!H210)</f>
        <v/>
      </c>
      <c r="E210" s="26">
        <f>IF('DIVA Satislari'!I210="","",'DIVA Satislari'!O210)</f>
        <v/>
      </c>
      <c r="F210" s="26">
        <f>IF('DIVA Satislari'!I210="","",'DIVA Satislari'!AK210)</f>
        <v/>
      </c>
      <c r="G210" s="26">
        <f>IF('DIVA Satislari'!I210="","",'DIVA Satislari'!AO210)</f>
        <v/>
      </c>
      <c r="H210" s="27">
        <f>IF('DIVA Satislari'!I210="","",'DIVA Satislari'!AN210)</f>
        <v/>
      </c>
      <c r="I210" s="28">
        <f>IF('DIVA Satislari'!I210="","",'DIVA Satislari'!AQ210)</f>
        <v/>
      </c>
      <c r="J210" s="26">
        <f>IF('DIVA Satislari'!I210="","",'DIVA Satislari'!AR210)</f>
        <v/>
      </c>
      <c r="K210" s="26">
        <f>IF('DIVA Satislari'!I210="","",IFERROR(INDEX('E2E Nakliye Montaj'!$AS$3:$AS$1002,MATCH('DIVA Satislari'!AJ210,'E2E Nakliye Montaj'!$AM$3:$AM$1002,0)),"Eşleşme Yok"))</f>
        <v/>
      </c>
      <c r="L210" s="26">
        <f>IF('DIVA Satislari'!I210="","",IFERROR(INDEX('E2E Nakliye Montaj'!$AT$3:$AT$1002,MATCH('DIVA Satislari'!AJ210,'E2E Nakliye Montaj'!$AM$3:$AM$1002,0)),"Hayır"))</f>
        <v/>
      </c>
      <c r="M210" s="26">
        <f>IF('DIVA Satislari'!I210="","",IFERROR(INDEX('E2E Nakliye Montaj'!$AU$3:$AU$1002,MATCH('DIVA Satislari'!AJ210,'E2E Nakliye Montaj'!$AM$3:$AM$1002,0)),"Hayır"))</f>
        <v/>
      </c>
      <c r="N210" s="27">
        <f>IF('DIVA Satislari'!I210="","",IFERROR(INDEX('E2E Nakliye Montaj'!$AV$3:$AV$1002,MATCH('DIVA Satislari'!AJ210,'E2E Nakliye Montaj'!$AM$3:$AM$1002,0)),""))</f>
        <v/>
      </c>
      <c r="O210" s="26">
        <f>IF(OR(A210="",N210=""),"",IF(N210&lt;=H210,"Evet","HAYIR - RİSK"))</f>
        <v/>
      </c>
      <c r="P210" s="26">
        <f>IF(A210="","",IF(LEFT(J210,8)="Kural A ","Uygun - Hemen Ödenir (Yıl Sonu %75 Kontrolüne Tabi)",IF(OR(L210="Evet",M210="Evet"),IF(O210="Evet","Uygun","RİSK - Hakediş Süresi Aşıldı"),"Bekleniyor - Nakliye/Montaj Tamamlanmadı")))</f>
        <v/>
      </c>
      <c r="Q210" s="28">
        <f>IF(A210="","",SUMIFS('Hakedis Fatura Detay'!$G$3:$G$1200,'Hakedis Fatura Detay'!$H$3:$H$1200,'DIVA Satislari'!AJ210,'Hakedis Fatura Detay'!$F$3:$F$1200,"Fiyat Farkı")+SUMIFS('Hakedis Fatura Detay'!$G$3:$G$1200,'Hakedis Fatura Detay'!$H$3:$H$1200,'DIVA Satislari'!AJ210,'Hakedis Fatura Detay'!$F$3:$F$1200,"Bundle"))</f>
        <v/>
      </c>
      <c r="R210" s="28">
        <f>IF(A210="","",I210-Q210)</f>
        <v/>
      </c>
      <c r="S210" s="26">
        <f>IF(A210="","",IF(LEFT(P210,7)="Bekleni","N/A - Henüz Ödenmemeli",IF(LEFT(P210,4)="RİSK","İNCELEME GEREKLİ - Süre Aşımı",IF(R210=0,"Doğru",IF(R210&gt;0,"EKSİK ÖDENMİŞ","FAZLA ÖDENMİŞ")))))</f>
        <v/>
      </c>
      <c r="T210" s="30">
        <f>IF(A210="","",IF(F210&lt;&gt;"Evet","İNCELEME GEREKLİ - Kampanya Tanımsız",IF(G210&lt;&gt;"Evet","İNCELEME GEREKLİ - Tarih Dışı Satış",IF(LEFT(P210,4)="RİSK","İNCELEME GEREKLİ - Hakediş Süresi Aşıldı",IF(OR(S210="EKSİK ÖDENMİŞ",S210="FAZLA ÖDENMİŞ"),"İNCELEME GEREKLİ - Tutar Uyuşmazlığı",IF(LEFT(P210,7)="Bekleni","Bekleniyor","Uygun"))))))</f>
        <v/>
      </c>
    </row>
    <row r="211">
      <c r="A211" s="26">
        <f>IF('DIVA Satislari'!I211="","",'DIVA Satislari'!I211)</f>
        <v/>
      </c>
      <c r="B211" s="26">
        <f>IF('DIVA Satislari'!I211="","",'DIVA Satislari'!R211)</f>
        <v/>
      </c>
      <c r="C211" s="26">
        <f>IF('DIVA Satislari'!I211="","",'DIVA Satislari'!M211)</f>
        <v/>
      </c>
      <c r="D211" s="27">
        <f>IF('DIVA Satislari'!I211="","",'DIVA Satislari'!H211)</f>
        <v/>
      </c>
      <c r="E211" s="26">
        <f>IF('DIVA Satislari'!I211="","",'DIVA Satislari'!O211)</f>
        <v/>
      </c>
      <c r="F211" s="26">
        <f>IF('DIVA Satislari'!I211="","",'DIVA Satislari'!AK211)</f>
        <v/>
      </c>
      <c r="G211" s="26">
        <f>IF('DIVA Satislari'!I211="","",'DIVA Satislari'!AO211)</f>
        <v/>
      </c>
      <c r="H211" s="27">
        <f>IF('DIVA Satislari'!I211="","",'DIVA Satislari'!AN211)</f>
        <v/>
      </c>
      <c r="I211" s="28">
        <f>IF('DIVA Satislari'!I211="","",'DIVA Satislari'!AQ211)</f>
        <v/>
      </c>
      <c r="J211" s="26">
        <f>IF('DIVA Satislari'!I211="","",'DIVA Satislari'!AR211)</f>
        <v/>
      </c>
      <c r="K211" s="26">
        <f>IF('DIVA Satislari'!I211="","",IFERROR(INDEX('E2E Nakliye Montaj'!$AS$3:$AS$1002,MATCH('DIVA Satislari'!AJ211,'E2E Nakliye Montaj'!$AM$3:$AM$1002,0)),"Eşleşme Yok"))</f>
        <v/>
      </c>
      <c r="L211" s="26">
        <f>IF('DIVA Satislari'!I211="","",IFERROR(INDEX('E2E Nakliye Montaj'!$AT$3:$AT$1002,MATCH('DIVA Satislari'!AJ211,'E2E Nakliye Montaj'!$AM$3:$AM$1002,0)),"Hayır"))</f>
        <v/>
      </c>
      <c r="M211" s="26">
        <f>IF('DIVA Satislari'!I211="","",IFERROR(INDEX('E2E Nakliye Montaj'!$AU$3:$AU$1002,MATCH('DIVA Satislari'!AJ211,'E2E Nakliye Montaj'!$AM$3:$AM$1002,0)),"Hayır"))</f>
        <v/>
      </c>
      <c r="N211" s="27">
        <f>IF('DIVA Satislari'!I211="","",IFERROR(INDEX('E2E Nakliye Montaj'!$AV$3:$AV$1002,MATCH('DIVA Satislari'!AJ211,'E2E Nakliye Montaj'!$AM$3:$AM$1002,0)),""))</f>
        <v/>
      </c>
      <c r="O211" s="26">
        <f>IF(OR(A211="",N211=""),"",IF(N211&lt;=H211,"Evet","HAYIR - RİSK"))</f>
        <v/>
      </c>
      <c r="P211" s="26">
        <f>IF(A211="","",IF(LEFT(J211,8)="Kural A ","Uygun - Hemen Ödenir (Yıl Sonu %75 Kontrolüne Tabi)",IF(OR(L211="Evet",M211="Evet"),IF(O211="Evet","Uygun","RİSK - Hakediş Süresi Aşıldı"),"Bekleniyor - Nakliye/Montaj Tamamlanmadı")))</f>
        <v/>
      </c>
      <c r="Q211" s="28">
        <f>IF(A211="","",SUMIFS('Hakedis Fatura Detay'!$G$3:$G$1200,'Hakedis Fatura Detay'!$H$3:$H$1200,'DIVA Satislari'!AJ211,'Hakedis Fatura Detay'!$F$3:$F$1200,"Fiyat Farkı")+SUMIFS('Hakedis Fatura Detay'!$G$3:$G$1200,'Hakedis Fatura Detay'!$H$3:$H$1200,'DIVA Satislari'!AJ211,'Hakedis Fatura Detay'!$F$3:$F$1200,"Bundle"))</f>
        <v/>
      </c>
      <c r="R211" s="28">
        <f>IF(A211="","",I211-Q211)</f>
        <v/>
      </c>
      <c r="S211" s="26">
        <f>IF(A211="","",IF(LEFT(P211,7)="Bekleni","N/A - Henüz Ödenmemeli",IF(LEFT(P211,4)="RİSK","İNCELEME GEREKLİ - Süre Aşımı",IF(R211=0,"Doğru",IF(R211&gt;0,"EKSİK ÖDENMİŞ","FAZLA ÖDENMİŞ")))))</f>
        <v/>
      </c>
      <c r="T211" s="30">
        <f>IF(A211="","",IF(F211&lt;&gt;"Evet","İNCELEME GEREKLİ - Kampanya Tanımsız",IF(G211&lt;&gt;"Evet","İNCELEME GEREKLİ - Tarih Dışı Satış",IF(LEFT(P211,4)="RİSK","İNCELEME GEREKLİ - Hakediş Süresi Aşıldı",IF(OR(S211="EKSİK ÖDENMİŞ",S211="FAZLA ÖDENMİŞ"),"İNCELEME GEREKLİ - Tutar Uyuşmazlığı",IF(LEFT(P211,7)="Bekleni","Bekleniyor","Uygun"))))))</f>
        <v/>
      </c>
    </row>
    <row r="212">
      <c r="A212" s="26">
        <f>IF('DIVA Satislari'!I212="","",'DIVA Satislari'!I212)</f>
        <v/>
      </c>
      <c r="B212" s="26">
        <f>IF('DIVA Satislari'!I212="","",'DIVA Satislari'!R212)</f>
        <v/>
      </c>
      <c r="C212" s="26">
        <f>IF('DIVA Satislari'!I212="","",'DIVA Satislari'!M212)</f>
        <v/>
      </c>
      <c r="D212" s="27">
        <f>IF('DIVA Satislari'!I212="","",'DIVA Satislari'!H212)</f>
        <v/>
      </c>
      <c r="E212" s="26">
        <f>IF('DIVA Satislari'!I212="","",'DIVA Satislari'!O212)</f>
        <v/>
      </c>
      <c r="F212" s="26">
        <f>IF('DIVA Satislari'!I212="","",'DIVA Satislari'!AK212)</f>
        <v/>
      </c>
      <c r="G212" s="26">
        <f>IF('DIVA Satislari'!I212="","",'DIVA Satislari'!AO212)</f>
        <v/>
      </c>
      <c r="H212" s="27">
        <f>IF('DIVA Satislari'!I212="","",'DIVA Satislari'!AN212)</f>
        <v/>
      </c>
      <c r="I212" s="28">
        <f>IF('DIVA Satislari'!I212="","",'DIVA Satislari'!AQ212)</f>
        <v/>
      </c>
      <c r="J212" s="26">
        <f>IF('DIVA Satislari'!I212="","",'DIVA Satislari'!AR212)</f>
        <v/>
      </c>
      <c r="K212" s="26">
        <f>IF('DIVA Satislari'!I212="","",IFERROR(INDEX('E2E Nakliye Montaj'!$AS$3:$AS$1002,MATCH('DIVA Satislari'!AJ212,'E2E Nakliye Montaj'!$AM$3:$AM$1002,0)),"Eşleşme Yok"))</f>
        <v/>
      </c>
      <c r="L212" s="26">
        <f>IF('DIVA Satislari'!I212="","",IFERROR(INDEX('E2E Nakliye Montaj'!$AT$3:$AT$1002,MATCH('DIVA Satislari'!AJ212,'E2E Nakliye Montaj'!$AM$3:$AM$1002,0)),"Hayır"))</f>
        <v/>
      </c>
      <c r="M212" s="26">
        <f>IF('DIVA Satislari'!I212="","",IFERROR(INDEX('E2E Nakliye Montaj'!$AU$3:$AU$1002,MATCH('DIVA Satislari'!AJ212,'E2E Nakliye Montaj'!$AM$3:$AM$1002,0)),"Hayır"))</f>
        <v/>
      </c>
      <c r="N212" s="27">
        <f>IF('DIVA Satislari'!I212="","",IFERROR(INDEX('E2E Nakliye Montaj'!$AV$3:$AV$1002,MATCH('DIVA Satislari'!AJ212,'E2E Nakliye Montaj'!$AM$3:$AM$1002,0)),""))</f>
        <v/>
      </c>
      <c r="O212" s="26">
        <f>IF(OR(A212="",N212=""),"",IF(N212&lt;=H212,"Evet","HAYIR - RİSK"))</f>
        <v/>
      </c>
      <c r="P212" s="26">
        <f>IF(A212="","",IF(LEFT(J212,8)="Kural A ","Uygun - Hemen Ödenir (Yıl Sonu %75 Kontrolüne Tabi)",IF(OR(L212="Evet",M212="Evet"),IF(O212="Evet","Uygun","RİSK - Hakediş Süresi Aşıldı"),"Bekleniyor - Nakliye/Montaj Tamamlanmadı")))</f>
        <v/>
      </c>
      <c r="Q212" s="28">
        <f>IF(A212="","",SUMIFS('Hakedis Fatura Detay'!$G$3:$G$1200,'Hakedis Fatura Detay'!$H$3:$H$1200,'DIVA Satislari'!AJ212,'Hakedis Fatura Detay'!$F$3:$F$1200,"Fiyat Farkı")+SUMIFS('Hakedis Fatura Detay'!$G$3:$G$1200,'Hakedis Fatura Detay'!$H$3:$H$1200,'DIVA Satislari'!AJ212,'Hakedis Fatura Detay'!$F$3:$F$1200,"Bundle"))</f>
        <v/>
      </c>
      <c r="R212" s="28">
        <f>IF(A212="","",I212-Q212)</f>
        <v/>
      </c>
      <c r="S212" s="26">
        <f>IF(A212="","",IF(LEFT(P212,7)="Bekleni","N/A - Henüz Ödenmemeli",IF(LEFT(P212,4)="RİSK","İNCELEME GEREKLİ - Süre Aşımı",IF(R212=0,"Doğru",IF(R212&gt;0,"EKSİK ÖDENMİŞ","FAZLA ÖDENMİŞ")))))</f>
        <v/>
      </c>
      <c r="T212" s="30">
        <f>IF(A212="","",IF(F212&lt;&gt;"Evet","İNCELEME GEREKLİ - Kampanya Tanımsız",IF(G212&lt;&gt;"Evet","İNCELEME GEREKLİ - Tarih Dışı Satış",IF(LEFT(P212,4)="RİSK","İNCELEME GEREKLİ - Hakediş Süresi Aşıldı",IF(OR(S212="EKSİK ÖDENMİŞ",S212="FAZLA ÖDENMİŞ"),"İNCELEME GEREKLİ - Tutar Uyuşmazlığı",IF(LEFT(P212,7)="Bekleni","Bekleniyor","Uygun"))))))</f>
        <v/>
      </c>
    </row>
    <row r="213">
      <c r="A213" s="26">
        <f>IF('DIVA Satislari'!I213="","",'DIVA Satislari'!I213)</f>
        <v/>
      </c>
      <c r="B213" s="26">
        <f>IF('DIVA Satislari'!I213="","",'DIVA Satislari'!R213)</f>
        <v/>
      </c>
      <c r="C213" s="26">
        <f>IF('DIVA Satislari'!I213="","",'DIVA Satislari'!M213)</f>
        <v/>
      </c>
      <c r="D213" s="27">
        <f>IF('DIVA Satislari'!I213="","",'DIVA Satislari'!H213)</f>
        <v/>
      </c>
      <c r="E213" s="26">
        <f>IF('DIVA Satislari'!I213="","",'DIVA Satislari'!O213)</f>
        <v/>
      </c>
      <c r="F213" s="26">
        <f>IF('DIVA Satislari'!I213="","",'DIVA Satislari'!AK213)</f>
        <v/>
      </c>
      <c r="G213" s="26">
        <f>IF('DIVA Satislari'!I213="","",'DIVA Satislari'!AO213)</f>
        <v/>
      </c>
      <c r="H213" s="27">
        <f>IF('DIVA Satislari'!I213="","",'DIVA Satislari'!AN213)</f>
        <v/>
      </c>
      <c r="I213" s="28">
        <f>IF('DIVA Satislari'!I213="","",'DIVA Satislari'!AQ213)</f>
        <v/>
      </c>
      <c r="J213" s="26">
        <f>IF('DIVA Satislari'!I213="","",'DIVA Satislari'!AR213)</f>
        <v/>
      </c>
      <c r="K213" s="26">
        <f>IF('DIVA Satislari'!I213="","",IFERROR(INDEX('E2E Nakliye Montaj'!$AS$3:$AS$1002,MATCH('DIVA Satislari'!AJ213,'E2E Nakliye Montaj'!$AM$3:$AM$1002,0)),"Eşleşme Yok"))</f>
        <v/>
      </c>
      <c r="L213" s="26">
        <f>IF('DIVA Satislari'!I213="","",IFERROR(INDEX('E2E Nakliye Montaj'!$AT$3:$AT$1002,MATCH('DIVA Satislari'!AJ213,'E2E Nakliye Montaj'!$AM$3:$AM$1002,0)),"Hayır"))</f>
        <v/>
      </c>
      <c r="M213" s="26">
        <f>IF('DIVA Satislari'!I213="","",IFERROR(INDEX('E2E Nakliye Montaj'!$AU$3:$AU$1002,MATCH('DIVA Satislari'!AJ213,'E2E Nakliye Montaj'!$AM$3:$AM$1002,0)),"Hayır"))</f>
        <v/>
      </c>
      <c r="N213" s="27">
        <f>IF('DIVA Satislari'!I213="","",IFERROR(INDEX('E2E Nakliye Montaj'!$AV$3:$AV$1002,MATCH('DIVA Satislari'!AJ213,'E2E Nakliye Montaj'!$AM$3:$AM$1002,0)),""))</f>
        <v/>
      </c>
      <c r="O213" s="26">
        <f>IF(OR(A213="",N213=""),"",IF(N213&lt;=H213,"Evet","HAYIR - RİSK"))</f>
        <v/>
      </c>
      <c r="P213" s="26">
        <f>IF(A213="","",IF(LEFT(J213,8)="Kural A ","Uygun - Hemen Ödenir (Yıl Sonu %75 Kontrolüne Tabi)",IF(OR(L213="Evet",M213="Evet"),IF(O213="Evet","Uygun","RİSK - Hakediş Süresi Aşıldı"),"Bekleniyor - Nakliye/Montaj Tamamlanmadı")))</f>
        <v/>
      </c>
      <c r="Q213" s="28">
        <f>IF(A213="","",SUMIFS('Hakedis Fatura Detay'!$G$3:$G$1200,'Hakedis Fatura Detay'!$H$3:$H$1200,'DIVA Satislari'!AJ213,'Hakedis Fatura Detay'!$F$3:$F$1200,"Fiyat Farkı")+SUMIFS('Hakedis Fatura Detay'!$G$3:$G$1200,'Hakedis Fatura Detay'!$H$3:$H$1200,'DIVA Satislari'!AJ213,'Hakedis Fatura Detay'!$F$3:$F$1200,"Bundle"))</f>
        <v/>
      </c>
      <c r="R213" s="28">
        <f>IF(A213="","",I213-Q213)</f>
        <v/>
      </c>
      <c r="S213" s="26">
        <f>IF(A213="","",IF(LEFT(P213,7)="Bekleni","N/A - Henüz Ödenmemeli",IF(LEFT(P213,4)="RİSK","İNCELEME GEREKLİ - Süre Aşımı",IF(R213=0,"Doğru",IF(R213&gt;0,"EKSİK ÖDENMİŞ","FAZLA ÖDENMİŞ")))))</f>
        <v/>
      </c>
      <c r="T213" s="30">
        <f>IF(A213="","",IF(F213&lt;&gt;"Evet","İNCELEME GEREKLİ - Kampanya Tanımsız",IF(G213&lt;&gt;"Evet","İNCELEME GEREKLİ - Tarih Dışı Satış",IF(LEFT(P213,4)="RİSK","İNCELEME GEREKLİ - Hakediş Süresi Aşıldı",IF(OR(S213="EKSİK ÖDENMİŞ",S213="FAZLA ÖDENMİŞ"),"İNCELEME GEREKLİ - Tutar Uyuşmazlığı",IF(LEFT(P213,7)="Bekleni","Bekleniyor","Uygun"))))))</f>
        <v/>
      </c>
    </row>
    <row r="214">
      <c r="A214" s="26">
        <f>IF('DIVA Satislari'!I214="","",'DIVA Satislari'!I214)</f>
        <v/>
      </c>
      <c r="B214" s="26">
        <f>IF('DIVA Satislari'!I214="","",'DIVA Satislari'!R214)</f>
        <v/>
      </c>
      <c r="C214" s="26">
        <f>IF('DIVA Satislari'!I214="","",'DIVA Satislari'!M214)</f>
        <v/>
      </c>
      <c r="D214" s="27">
        <f>IF('DIVA Satislari'!I214="","",'DIVA Satislari'!H214)</f>
        <v/>
      </c>
      <c r="E214" s="26">
        <f>IF('DIVA Satislari'!I214="","",'DIVA Satislari'!O214)</f>
        <v/>
      </c>
      <c r="F214" s="26">
        <f>IF('DIVA Satislari'!I214="","",'DIVA Satislari'!AK214)</f>
        <v/>
      </c>
      <c r="G214" s="26">
        <f>IF('DIVA Satislari'!I214="","",'DIVA Satislari'!AO214)</f>
        <v/>
      </c>
      <c r="H214" s="27">
        <f>IF('DIVA Satislari'!I214="","",'DIVA Satislari'!AN214)</f>
        <v/>
      </c>
      <c r="I214" s="28">
        <f>IF('DIVA Satislari'!I214="","",'DIVA Satislari'!AQ214)</f>
        <v/>
      </c>
      <c r="J214" s="26">
        <f>IF('DIVA Satislari'!I214="","",'DIVA Satislari'!AR214)</f>
        <v/>
      </c>
      <c r="K214" s="26">
        <f>IF('DIVA Satislari'!I214="","",IFERROR(INDEX('E2E Nakliye Montaj'!$AS$3:$AS$1002,MATCH('DIVA Satislari'!AJ214,'E2E Nakliye Montaj'!$AM$3:$AM$1002,0)),"Eşleşme Yok"))</f>
        <v/>
      </c>
      <c r="L214" s="26">
        <f>IF('DIVA Satislari'!I214="","",IFERROR(INDEX('E2E Nakliye Montaj'!$AT$3:$AT$1002,MATCH('DIVA Satislari'!AJ214,'E2E Nakliye Montaj'!$AM$3:$AM$1002,0)),"Hayır"))</f>
        <v/>
      </c>
      <c r="M214" s="26">
        <f>IF('DIVA Satislari'!I214="","",IFERROR(INDEX('E2E Nakliye Montaj'!$AU$3:$AU$1002,MATCH('DIVA Satislari'!AJ214,'E2E Nakliye Montaj'!$AM$3:$AM$1002,0)),"Hayır"))</f>
        <v/>
      </c>
      <c r="N214" s="27">
        <f>IF('DIVA Satislari'!I214="","",IFERROR(INDEX('E2E Nakliye Montaj'!$AV$3:$AV$1002,MATCH('DIVA Satislari'!AJ214,'E2E Nakliye Montaj'!$AM$3:$AM$1002,0)),""))</f>
        <v/>
      </c>
      <c r="O214" s="26">
        <f>IF(OR(A214="",N214=""),"",IF(N214&lt;=H214,"Evet","HAYIR - RİSK"))</f>
        <v/>
      </c>
      <c r="P214" s="26">
        <f>IF(A214="","",IF(LEFT(J214,8)="Kural A ","Uygun - Hemen Ödenir (Yıl Sonu %75 Kontrolüne Tabi)",IF(OR(L214="Evet",M214="Evet"),IF(O214="Evet","Uygun","RİSK - Hakediş Süresi Aşıldı"),"Bekleniyor - Nakliye/Montaj Tamamlanmadı")))</f>
        <v/>
      </c>
      <c r="Q214" s="28">
        <f>IF(A214="","",SUMIFS('Hakedis Fatura Detay'!$G$3:$G$1200,'Hakedis Fatura Detay'!$H$3:$H$1200,'DIVA Satislari'!AJ214,'Hakedis Fatura Detay'!$F$3:$F$1200,"Fiyat Farkı")+SUMIFS('Hakedis Fatura Detay'!$G$3:$G$1200,'Hakedis Fatura Detay'!$H$3:$H$1200,'DIVA Satislari'!AJ214,'Hakedis Fatura Detay'!$F$3:$F$1200,"Bundle"))</f>
        <v/>
      </c>
      <c r="R214" s="28">
        <f>IF(A214="","",I214-Q214)</f>
        <v/>
      </c>
      <c r="S214" s="26">
        <f>IF(A214="","",IF(LEFT(P214,7)="Bekleni","N/A - Henüz Ödenmemeli",IF(LEFT(P214,4)="RİSK","İNCELEME GEREKLİ - Süre Aşımı",IF(R214=0,"Doğru",IF(R214&gt;0,"EKSİK ÖDENMİŞ","FAZLA ÖDENMİŞ")))))</f>
        <v/>
      </c>
      <c r="T214" s="30">
        <f>IF(A214="","",IF(F214&lt;&gt;"Evet","İNCELEME GEREKLİ - Kampanya Tanımsız",IF(G214&lt;&gt;"Evet","İNCELEME GEREKLİ - Tarih Dışı Satış",IF(LEFT(P214,4)="RİSK","İNCELEME GEREKLİ - Hakediş Süresi Aşıldı",IF(OR(S214="EKSİK ÖDENMİŞ",S214="FAZLA ÖDENMİŞ"),"İNCELEME GEREKLİ - Tutar Uyuşmazlığı",IF(LEFT(P214,7)="Bekleni","Bekleniyor","Uygun"))))))</f>
        <v/>
      </c>
    </row>
    <row r="215">
      <c r="A215" s="26">
        <f>IF('DIVA Satislari'!I215="","",'DIVA Satislari'!I215)</f>
        <v/>
      </c>
      <c r="B215" s="26">
        <f>IF('DIVA Satislari'!I215="","",'DIVA Satislari'!R215)</f>
        <v/>
      </c>
      <c r="C215" s="26">
        <f>IF('DIVA Satislari'!I215="","",'DIVA Satislari'!M215)</f>
        <v/>
      </c>
      <c r="D215" s="27">
        <f>IF('DIVA Satislari'!I215="","",'DIVA Satislari'!H215)</f>
        <v/>
      </c>
      <c r="E215" s="26">
        <f>IF('DIVA Satislari'!I215="","",'DIVA Satislari'!O215)</f>
        <v/>
      </c>
      <c r="F215" s="26">
        <f>IF('DIVA Satislari'!I215="","",'DIVA Satislari'!AK215)</f>
        <v/>
      </c>
      <c r="G215" s="26">
        <f>IF('DIVA Satislari'!I215="","",'DIVA Satislari'!AO215)</f>
        <v/>
      </c>
      <c r="H215" s="27">
        <f>IF('DIVA Satislari'!I215="","",'DIVA Satislari'!AN215)</f>
        <v/>
      </c>
      <c r="I215" s="28">
        <f>IF('DIVA Satislari'!I215="","",'DIVA Satislari'!AQ215)</f>
        <v/>
      </c>
      <c r="J215" s="26">
        <f>IF('DIVA Satislari'!I215="","",'DIVA Satislari'!AR215)</f>
        <v/>
      </c>
      <c r="K215" s="26">
        <f>IF('DIVA Satislari'!I215="","",IFERROR(INDEX('E2E Nakliye Montaj'!$AS$3:$AS$1002,MATCH('DIVA Satislari'!AJ215,'E2E Nakliye Montaj'!$AM$3:$AM$1002,0)),"Eşleşme Yok"))</f>
        <v/>
      </c>
      <c r="L215" s="26">
        <f>IF('DIVA Satislari'!I215="","",IFERROR(INDEX('E2E Nakliye Montaj'!$AT$3:$AT$1002,MATCH('DIVA Satislari'!AJ215,'E2E Nakliye Montaj'!$AM$3:$AM$1002,0)),"Hayır"))</f>
        <v/>
      </c>
      <c r="M215" s="26">
        <f>IF('DIVA Satislari'!I215="","",IFERROR(INDEX('E2E Nakliye Montaj'!$AU$3:$AU$1002,MATCH('DIVA Satislari'!AJ215,'E2E Nakliye Montaj'!$AM$3:$AM$1002,0)),"Hayır"))</f>
        <v/>
      </c>
      <c r="N215" s="27">
        <f>IF('DIVA Satislari'!I215="","",IFERROR(INDEX('E2E Nakliye Montaj'!$AV$3:$AV$1002,MATCH('DIVA Satislari'!AJ215,'E2E Nakliye Montaj'!$AM$3:$AM$1002,0)),""))</f>
        <v/>
      </c>
      <c r="O215" s="26">
        <f>IF(OR(A215="",N215=""),"",IF(N215&lt;=H215,"Evet","HAYIR - RİSK"))</f>
        <v/>
      </c>
      <c r="P215" s="26">
        <f>IF(A215="","",IF(LEFT(J215,8)="Kural A ","Uygun - Hemen Ödenir (Yıl Sonu %75 Kontrolüne Tabi)",IF(OR(L215="Evet",M215="Evet"),IF(O215="Evet","Uygun","RİSK - Hakediş Süresi Aşıldı"),"Bekleniyor - Nakliye/Montaj Tamamlanmadı")))</f>
        <v/>
      </c>
      <c r="Q215" s="28">
        <f>IF(A215="","",SUMIFS('Hakedis Fatura Detay'!$G$3:$G$1200,'Hakedis Fatura Detay'!$H$3:$H$1200,'DIVA Satislari'!AJ215,'Hakedis Fatura Detay'!$F$3:$F$1200,"Fiyat Farkı")+SUMIFS('Hakedis Fatura Detay'!$G$3:$G$1200,'Hakedis Fatura Detay'!$H$3:$H$1200,'DIVA Satislari'!AJ215,'Hakedis Fatura Detay'!$F$3:$F$1200,"Bundle"))</f>
        <v/>
      </c>
      <c r="R215" s="28">
        <f>IF(A215="","",I215-Q215)</f>
        <v/>
      </c>
      <c r="S215" s="26">
        <f>IF(A215="","",IF(LEFT(P215,7)="Bekleni","N/A - Henüz Ödenmemeli",IF(LEFT(P215,4)="RİSK","İNCELEME GEREKLİ - Süre Aşımı",IF(R215=0,"Doğru",IF(R215&gt;0,"EKSİK ÖDENMİŞ","FAZLA ÖDENMİŞ")))))</f>
        <v/>
      </c>
      <c r="T215" s="30">
        <f>IF(A215="","",IF(F215&lt;&gt;"Evet","İNCELEME GEREKLİ - Kampanya Tanımsız",IF(G215&lt;&gt;"Evet","İNCELEME GEREKLİ - Tarih Dışı Satış",IF(LEFT(P215,4)="RİSK","İNCELEME GEREKLİ - Hakediş Süresi Aşıldı",IF(OR(S215="EKSİK ÖDENMİŞ",S215="FAZLA ÖDENMİŞ"),"İNCELEME GEREKLİ - Tutar Uyuşmazlığı",IF(LEFT(P215,7)="Bekleni","Bekleniyor","Uygun"))))))</f>
        <v/>
      </c>
    </row>
    <row r="216">
      <c r="A216" s="26">
        <f>IF('DIVA Satislari'!I216="","",'DIVA Satislari'!I216)</f>
        <v/>
      </c>
      <c r="B216" s="26">
        <f>IF('DIVA Satislari'!I216="","",'DIVA Satislari'!R216)</f>
        <v/>
      </c>
      <c r="C216" s="26">
        <f>IF('DIVA Satislari'!I216="","",'DIVA Satislari'!M216)</f>
        <v/>
      </c>
      <c r="D216" s="27">
        <f>IF('DIVA Satislari'!I216="","",'DIVA Satislari'!H216)</f>
        <v/>
      </c>
      <c r="E216" s="26">
        <f>IF('DIVA Satislari'!I216="","",'DIVA Satislari'!O216)</f>
        <v/>
      </c>
      <c r="F216" s="26">
        <f>IF('DIVA Satislari'!I216="","",'DIVA Satislari'!AK216)</f>
        <v/>
      </c>
      <c r="G216" s="26">
        <f>IF('DIVA Satislari'!I216="","",'DIVA Satislari'!AO216)</f>
        <v/>
      </c>
      <c r="H216" s="27">
        <f>IF('DIVA Satislari'!I216="","",'DIVA Satislari'!AN216)</f>
        <v/>
      </c>
      <c r="I216" s="28">
        <f>IF('DIVA Satislari'!I216="","",'DIVA Satislari'!AQ216)</f>
        <v/>
      </c>
      <c r="J216" s="26">
        <f>IF('DIVA Satislari'!I216="","",'DIVA Satislari'!AR216)</f>
        <v/>
      </c>
      <c r="K216" s="26">
        <f>IF('DIVA Satislari'!I216="","",IFERROR(INDEX('E2E Nakliye Montaj'!$AS$3:$AS$1002,MATCH('DIVA Satislari'!AJ216,'E2E Nakliye Montaj'!$AM$3:$AM$1002,0)),"Eşleşme Yok"))</f>
        <v/>
      </c>
      <c r="L216" s="26">
        <f>IF('DIVA Satislari'!I216="","",IFERROR(INDEX('E2E Nakliye Montaj'!$AT$3:$AT$1002,MATCH('DIVA Satislari'!AJ216,'E2E Nakliye Montaj'!$AM$3:$AM$1002,0)),"Hayır"))</f>
        <v/>
      </c>
      <c r="M216" s="26">
        <f>IF('DIVA Satislari'!I216="","",IFERROR(INDEX('E2E Nakliye Montaj'!$AU$3:$AU$1002,MATCH('DIVA Satislari'!AJ216,'E2E Nakliye Montaj'!$AM$3:$AM$1002,0)),"Hayır"))</f>
        <v/>
      </c>
      <c r="N216" s="27">
        <f>IF('DIVA Satislari'!I216="","",IFERROR(INDEX('E2E Nakliye Montaj'!$AV$3:$AV$1002,MATCH('DIVA Satislari'!AJ216,'E2E Nakliye Montaj'!$AM$3:$AM$1002,0)),""))</f>
        <v/>
      </c>
      <c r="O216" s="26">
        <f>IF(OR(A216="",N216=""),"",IF(N216&lt;=H216,"Evet","HAYIR - RİSK"))</f>
        <v/>
      </c>
      <c r="P216" s="26">
        <f>IF(A216="","",IF(LEFT(J216,8)="Kural A ","Uygun - Hemen Ödenir (Yıl Sonu %75 Kontrolüne Tabi)",IF(OR(L216="Evet",M216="Evet"),IF(O216="Evet","Uygun","RİSK - Hakediş Süresi Aşıldı"),"Bekleniyor - Nakliye/Montaj Tamamlanmadı")))</f>
        <v/>
      </c>
      <c r="Q216" s="28">
        <f>IF(A216="","",SUMIFS('Hakedis Fatura Detay'!$G$3:$G$1200,'Hakedis Fatura Detay'!$H$3:$H$1200,'DIVA Satislari'!AJ216,'Hakedis Fatura Detay'!$F$3:$F$1200,"Fiyat Farkı")+SUMIFS('Hakedis Fatura Detay'!$G$3:$G$1200,'Hakedis Fatura Detay'!$H$3:$H$1200,'DIVA Satislari'!AJ216,'Hakedis Fatura Detay'!$F$3:$F$1200,"Bundle"))</f>
        <v/>
      </c>
      <c r="R216" s="28">
        <f>IF(A216="","",I216-Q216)</f>
        <v/>
      </c>
      <c r="S216" s="26">
        <f>IF(A216="","",IF(LEFT(P216,7)="Bekleni","N/A - Henüz Ödenmemeli",IF(LEFT(P216,4)="RİSK","İNCELEME GEREKLİ - Süre Aşımı",IF(R216=0,"Doğru",IF(R216&gt;0,"EKSİK ÖDENMİŞ","FAZLA ÖDENMİŞ")))))</f>
        <v/>
      </c>
      <c r="T216" s="30">
        <f>IF(A216="","",IF(F216&lt;&gt;"Evet","İNCELEME GEREKLİ - Kampanya Tanımsız",IF(G216&lt;&gt;"Evet","İNCELEME GEREKLİ - Tarih Dışı Satış",IF(LEFT(P216,4)="RİSK","İNCELEME GEREKLİ - Hakediş Süresi Aşıldı",IF(OR(S216="EKSİK ÖDENMİŞ",S216="FAZLA ÖDENMİŞ"),"İNCELEME GEREKLİ - Tutar Uyuşmazlığı",IF(LEFT(P216,7)="Bekleni","Bekleniyor","Uygun"))))))</f>
        <v/>
      </c>
    </row>
    <row r="217">
      <c r="A217" s="26">
        <f>IF('DIVA Satislari'!I217="","",'DIVA Satislari'!I217)</f>
        <v/>
      </c>
      <c r="B217" s="26">
        <f>IF('DIVA Satislari'!I217="","",'DIVA Satislari'!R217)</f>
        <v/>
      </c>
      <c r="C217" s="26">
        <f>IF('DIVA Satislari'!I217="","",'DIVA Satislari'!M217)</f>
        <v/>
      </c>
      <c r="D217" s="27">
        <f>IF('DIVA Satislari'!I217="","",'DIVA Satislari'!H217)</f>
        <v/>
      </c>
      <c r="E217" s="26">
        <f>IF('DIVA Satislari'!I217="","",'DIVA Satislari'!O217)</f>
        <v/>
      </c>
      <c r="F217" s="26">
        <f>IF('DIVA Satislari'!I217="","",'DIVA Satislari'!AK217)</f>
        <v/>
      </c>
      <c r="G217" s="26">
        <f>IF('DIVA Satislari'!I217="","",'DIVA Satislari'!AO217)</f>
        <v/>
      </c>
      <c r="H217" s="27">
        <f>IF('DIVA Satislari'!I217="","",'DIVA Satislari'!AN217)</f>
        <v/>
      </c>
      <c r="I217" s="28">
        <f>IF('DIVA Satislari'!I217="","",'DIVA Satislari'!AQ217)</f>
        <v/>
      </c>
      <c r="J217" s="26">
        <f>IF('DIVA Satislari'!I217="","",'DIVA Satislari'!AR217)</f>
        <v/>
      </c>
      <c r="K217" s="26">
        <f>IF('DIVA Satislari'!I217="","",IFERROR(INDEX('E2E Nakliye Montaj'!$AS$3:$AS$1002,MATCH('DIVA Satislari'!AJ217,'E2E Nakliye Montaj'!$AM$3:$AM$1002,0)),"Eşleşme Yok"))</f>
        <v/>
      </c>
      <c r="L217" s="26">
        <f>IF('DIVA Satislari'!I217="","",IFERROR(INDEX('E2E Nakliye Montaj'!$AT$3:$AT$1002,MATCH('DIVA Satislari'!AJ217,'E2E Nakliye Montaj'!$AM$3:$AM$1002,0)),"Hayır"))</f>
        <v/>
      </c>
      <c r="M217" s="26">
        <f>IF('DIVA Satislari'!I217="","",IFERROR(INDEX('E2E Nakliye Montaj'!$AU$3:$AU$1002,MATCH('DIVA Satislari'!AJ217,'E2E Nakliye Montaj'!$AM$3:$AM$1002,0)),"Hayır"))</f>
        <v/>
      </c>
      <c r="N217" s="27">
        <f>IF('DIVA Satislari'!I217="","",IFERROR(INDEX('E2E Nakliye Montaj'!$AV$3:$AV$1002,MATCH('DIVA Satislari'!AJ217,'E2E Nakliye Montaj'!$AM$3:$AM$1002,0)),""))</f>
        <v/>
      </c>
      <c r="O217" s="26">
        <f>IF(OR(A217="",N217=""),"",IF(N217&lt;=H217,"Evet","HAYIR - RİSK"))</f>
        <v/>
      </c>
      <c r="P217" s="26">
        <f>IF(A217="","",IF(LEFT(J217,8)="Kural A ","Uygun - Hemen Ödenir (Yıl Sonu %75 Kontrolüne Tabi)",IF(OR(L217="Evet",M217="Evet"),IF(O217="Evet","Uygun","RİSK - Hakediş Süresi Aşıldı"),"Bekleniyor - Nakliye/Montaj Tamamlanmadı")))</f>
        <v/>
      </c>
      <c r="Q217" s="28">
        <f>IF(A217="","",SUMIFS('Hakedis Fatura Detay'!$G$3:$G$1200,'Hakedis Fatura Detay'!$H$3:$H$1200,'DIVA Satislari'!AJ217,'Hakedis Fatura Detay'!$F$3:$F$1200,"Fiyat Farkı")+SUMIFS('Hakedis Fatura Detay'!$G$3:$G$1200,'Hakedis Fatura Detay'!$H$3:$H$1200,'DIVA Satislari'!AJ217,'Hakedis Fatura Detay'!$F$3:$F$1200,"Bundle"))</f>
        <v/>
      </c>
      <c r="R217" s="28">
        <f>IF(A217="","",I217-Q217)</f>
        <v/>
      </c>
      <c r="S217" s="26">
        <f>IF(A217="","",IF(LEFT(P217,7)="Bekleni","N/A - Henüz Ödenmemeli",IF(LEFT(P217,4)="RİSK","İNCELEME GEREKLİ - Süre Aşımı",IF(R217=0,"Doğru",IF(R217&gt;0,"EKSİK ÖDENMİŞ","FAZLA ÖDENMİŞ")))))</f>
        <v/>
      </c>
      <c r="T217" s="30">
        <f>IF(A217="","",IF(F217&lt;&gt;"Evet","İNCELEME GEREKLİ - Kampanya Tanımsız",IF(G217&lt;&gt;"Evet","İNCELEME GEREKLİ - Tarih Dışı Satış",IF(LEFT(P217,4)="RİSK","İNCELEME GEREKLİ - Hakediş Süresi Aşıldı",IF(OR(S217="EKSİK ÖDENMİŞ",S217="FAZLA ÖDENMİŞ"),"İNCELEME GEREKLİ - Tutar Uyuşmazlığı",IF(LEFT(P217,7)="Bekleni","Bekleniyor","Uygun"))))))</f>
        <v/>
      </c>
    </row>
    <row r="218">
      <c r="A218" s="26">
        <f>IF('DIVA Satislari'!I218="","",'DIVA Satislari'!I218)</f>
        <v/>
      </c>
      <c r="B218" s="26">
        <f>IF('DIVA Satislari'!I218="","",'DIVA Satislari'!R218)</f>
        <v/>
      </c>
      <c r="C218" s="26">
        <f>IF('DIVA Satislari'!I218="","",'DIVA Satislari'!M218)</f>
        <v/>
      </c>
      <c r="D218" s="27">
        <f>IF('DIVA Satislari'!I218="","",'DIVA Satislari'!H218)</f>
        <v/>
      </c>
      <c r="E218" s="26">
        <f>IF('DIVA Satislari'!I218="","",'DIVA Satislari'!O218)</f>
        <v/>
      </c>
      <c r="F218" s="26">
        <f>IF('DIVA Satislari'!I218="","",'DIVA Satislari'!AK218)</f>
        <v/>
      </c>
      <c r="G218" s="26">
        <f>IF('DIVA Satislari'!I218="","",'DIVA Satislari'!AO218)</f>
        <v/>
      </c>
      <c r="H218" s="27">
        <f>IF('DIVA Satislari'!I218="","",'DIVA Satislari'!AN218)</f>
        <v/>
      </c>
      <c r="I218" s="28">
        <f>IF('DIVA Satislari'!I218="","",'DIVA Satislari'!AQ218)</f>
        <v/>
      </c>
      <c r="J218" s="26">
        <f>IF('DIVA Satislari'!I218="","",'DIVA Satislari'!AR218)</f>
        <v/>
      </c>
      <c r="K218" s="26">
        <f>IF('DIVA Satislari'!I218="","",IFERROR(INDEX('E2E Nakliye Montaj'!$AS$3:$AS$1002,MATCH('DIVA Satislari'!AJ218,'E2E Nakliye Montaj'!$AM$3:$AM$1002,0)),"Eşleşme Yok"))</f>
        <v/>
      </c>
      <c r="L218" s="26">
        <f>IF('DIVA Satislari'!I218="","",IFERROR(INDEX('E2E Nakliye Montaj'!$AT$3:$AT$1002,MATCH('DIVA Satislari'!AJ218,'E2E Nakliye Montaj'!$AM$3:$AM$1002,0)),"Hayır"))</f>
        <v/>
      </c>
      <c r="M218" s="26">
        <f>IF('DIVA Satislari'!I218="","",IFERROR(INDEX('E2E Nakliye Montaj'!$AU$3:$AU$1002,MATCH('DIVA Satislari'!AJ218,'E2E Nakliye Montaj'!$AM$3:$AM$1002,0)),"Hayır"))</f>
        <v/>
      </c>
      <c r="N218" s="27">
        <f>IF('DIVA Satislari'!I218="","",IFERROR(INDEX('E2E Nakliye Montaj'!$AV$3:$AV$1002,MATCH('DIVA Satislari'!AJ218,'E2E Nakliye Montaj'!$AM$3:$AM$1002,0)),""))</f>
        <v/>
      </c>
      <c r="O218" s="26">
        <f>IF(OR(A218="",N218=""),"",IF(N218&lt;=H218,"Evet","HAYIR - RİSK"))</f>
        <v/>
      </c>
      <c r="P218" s="26">
        <f>IF(A218="","",IF(LEFT(J218,8)="Kural A ","Uygun - Hemen Ödenir (Yıl Sonu %75 Kontrolüne Tabi)",IF(OR(L218="Evet",M218="Evet"),IF(O218="Evet","Uygun","RİSK - Hakediş Süresi Aşıldı"),"Bekleniyor - Nakliye/Montaj Tamamlanmadı")))</f>
        <v/>
      </c>
      <c r="Q218" s="28">
        <f>IF(A218="","",SUMIFS('Hakedis Fatura Detay'!$G$3:$G$1200,'Hakedis Fatura Detay'!$H$3:$H$1200,'DIVA Satislari'!AJ218,'Hakedis Fatura Detay'!$F$3:$F$1200,"Fiyat Farkı")+SUMIFS('Hakedis Fatura Detay'!$G$3:$G$1200,'Hakedis Fatura Detay'!$H$3:$H$1200,'DIVA Satislari'!AJ218,'Hakedis Fatura Detay'!$F$3:$F$1200,"Bundle"))</f>
        <v/>
      </c>
      <c r="R218" s="28">
        <f>IF(A218="","",I218-Q218)</f>
        <v/>
      </c>
      <c r="S218" s="26">
        <f>IF(A218="","",IF(LEFT(P218,7)="Bekleni","N/A - Henüz Ödenmemeli",IF(LEFT(P218,4)="RİSK","İNCELEME GEREKLİ - Süre Aşımı",IF(R218=0,"Doğru",IF(R218&gt;0,"EKSİK ÖDENMİŞ","FAZLA ÖDENMİŞ")))))</f>
        <v/>
      </c>
      <c r="T218" s="30">
        <f>IF(A218="","",IF(F218&lt;&gt;"Evet","İNCELEME GEREKLİ - Kampanya Tanımsız",IF(G218&lt;&gt;"Evet","İNCELEME GEREKLİ - Tarih Dışı Satış",IF(LEFT(P218,4)="RİSK","İNCELEME GEREKLİ - Hakediş Süresi Aşıldı",IF(OR(S218="EKSİK ÖDENMİŞ",S218="FAZLA ÖDENMİŞ"),"İNCELEME GEREKLİ - Tutar Uyuşmazlığı",IF(LEFT(P218,7)="Bekleni","Bekleniyor","Uygun"))))))</f>
        <v/>
      </c>
    </row>
    <row r="219">
      <c r="A219" s="26">
        <f>IF('DIVA Satislari'!I219="","",'DIVA Satislari'!I219)</f>
        <v/>
      </c>
      <c r="B219" s="26">
        <f>IF('DIVA Satislari'!I219="","",'DIVA Satislari'!R219)</f>
        <v/>
      </c>
      <c r="C219" s="26">
        <f>IF('DIVA Satislari'!I219="","",'DIVA Satislari'!M219)</f>
        <v/>
      </c>
      <c r="D219" s="27">
        <f>IF('DIVA Satislari'!I219="","",'DIVA Satislari'!H219)</f>
        <v/>
      </c>
      <c r="E219" s="26">
        <f>IF('DIVA Satislari'!I219="","",'DIVA Satislari'!O219)</f>
        <v/>
      </c>
      <c r="F219" s="26">
        <f>IF('DIVA Satislari'!I219="","",'DIVA Satislari'!AK219)</f>
        <v/>
      </c>
      <c r="G219" s="26">
        <f>IF('DIVA Satislari'!I219="","",'DIVA Satislari'!AO219)</f>
        <v/>
      </c>
      <c r="H219" s="27">
        <f>IF('DIVA Satislari'!I219="","",'DIVA Satislari'!AN219)</f>
        <v/>
      </c>
      <c r="I219" s="28">
        <f>IF('DIVA Satislari'!I219="","",'DIVA Satislari'!AQ219)</f>
        <v/>
      </c>
      <c r="J219" s="26">
        <f>IF('DIVA Satislari'!I219="","",'DIVA Satislari'!AR219)</f>
        <v/>
      </c>
      <c r="K219" s="26">
        <f>IF('DIVA Satislari'!I219="","",IFERROR(INDEX('E2E Nakliye Montaj'!$AS$3:$AS$1002,MATCH('DIVA Satislari'!AJ219,'E2E Nakliye Montaj'!$AM$3:$AM$1002,0)),"Eşleşme Yok"))</f>
        <v/>
      </c>
      <c r="L219" s="26">
        <f>IF('DIVA Satislari'!I219="","",IFERROR(INDEX('E2E Nakliye Montaj'!$AT$3:$AT$1002,MATCH('DIVA Satislari'!AJ219,'E2E Nakliye Montaj'!$AM$3:$AM$1002,0)),"Hayır"))</f>
        <v/>
      </c>
      <c r="M219" s="26">
        <f>IF('DIVA Satislari'!I219="","",IFERROR(INDEX('E2E Nakliye Montaj'!$AU$3:$AU$1002,MATCH('DIVA Satislari'!AJ219,'E2E Nakliye Montaj'!$AM$3:$AM$1002,0)),"Hayır"))</f>
        <v/>
      </c>
      <c r="N219" s="27">
        <f>IF('DIVA Satislari'!I219="","",IFERROR(INDEX('E2E Nakliye Montaj'!$AV$3:$AV$1002,MATCH('DIVA Satislari'!AJ219,'E2E Nakliye Montaj'!$AM$3:$AM$1002,0)),""))</f>
        <v/>
      </c>
      <c r="O219" s="26">
        <f>IF(OR(A219="",N219=""),"",IF(N219&lt;=H219,"Evet","HAYIR - RİSK"))</f>
        <v/>
      </c>
      <c r="P219" s="26">
        <f>IF(A219="","",IF(LEFT(J219,8)="Kural A ","Uygun - Hemen Ödenir (Yıl Sonu %75 Kontrolüne Tabi)",IF(OR(L219="Evet",M219="Evet"),IF(O219="Evet","Uygun","RİSK - Hakediş Süresi Aşıldı"),"Bekleniyor - Nakliye/Montaj Tamamlanmadı")))</f>
        <v/>
      </c>
      <c r="Q219" s="28">
        <f>IF(A219="","",SUMIFS('Hakedis Fatura Detay'!$G$3:$G$1200,'Hakedis Fatura Detay'!$H$3:$H$1200,'DIVA Satislari'!AJ219,'Hakedis Fatura Detay'!$F$3:$F$1200,"Fiyat Farkı")+SUMIFS('Hakedis Fatura Detay'!$G$3:$G$1200,'Hakedis Fatura Detay'!$H$3:$H$1200,'DIVA Satislari'!AJ219,'Hakedis Fatura Detay'!$F$3:$F$1200,"Bundle"))</f>
        <v/>
      </c>
      <c r="R219" s="28">
        <f>IF(A219="","",I219-Q219)</f>
        <v/>
      </c>
      <c r="S219" s="26">
        <f>IF(A219="","",IF(LEFT(P219,7)="Bekleni","N/A - Henüz Ödenmemeli",IF(LEFT(P219,4)="RİSK","İNCELEME GEREKLİ - Süre Aşımı",IF(R219=0,"Doğru",IF(R219&gt;0,"EKSİK ÖDENMİŞ","FAZLA ÖDENMİŞ")))))</f>
        <v/>
      </c>
      <c r="T219" s="30">
        <f>IF(A219="","",IF(F219&lt;&gt;"Evet","İNCELEME GEREKLİ - Kampanya Tanımsız",IF(G219&lt;&gt;"Evet","İNCELEME GEREKLİ - Tarih Dışı Satış",IF(LEFT(P219,4)="RİSK","İNCELEME GEREKLİ - Hakediş Süresi Aşıldı",IF(OR(S219="EKSİK ÖDENMİŞ",S219="FAZLA ÖDENMİŞ"),"İNCELEME GEREKLİ - Tutar Uyuşmazlığı",IF(LEFT(P219,7)="Bekleni","Bekleniyor","Uygun"))))))</f>
        <v/>
      </c>
    </row>
    <row r="220">
      <c r="A220" s="26">
        <f>IF('DIVA Satislari'!I220="","",'DIVA Satislari'!I220)</f>
        <v/>
      </c>
      <c r="B220" s="26">
        <f>IF('DIVA Satislari'!I220="","",'DIVA Satislari'!R220)</f>
        <v/>
      </c>
      <c r="C220" s="26">
        <f>IF('DIVA Satislari'!I220="","",'DIVA Satislari'!M220)</f>
        <v/>
      </c>
      <c r="D220" s="27">
        <f>IF('DIVA Satislari'!I220="","",'DIVA Satislari'!H220)</f>
        <v/>
      </c>
      <c r="E220" s="26">
        <f>IF('DIVA Satislari'!I220="","",'DIVA Satislari'!O220)</f>
        <v/>
      </c>
      <c r="F220" s="26">
        <f>IF('DIVA Satislari'!I220="","",'DIVA Satislari'!AK220)</f>
        <v/>
      </c>
      <c r="G220" s="26">
        <f>IF('DIVA Satislari'!I220="","",'DIVA Satislari'!AO220)</f>
        <v/>
      </c>
      <c r="H220" s="27">
        <f>IF('DIVA Satislari'!I220="","",'DIVA Satislari'!AN220)</f>
        <v/>
      </c>
      <c r="I220" s="28">
        <f>IF('DIVA Satislari'!I220="","",'DIVA Satislari'!AQ220)</f>
        <v/>
      </c>
      <c r="J220" s="26">
        <f>IF('DIVA Satislari'!I220="","",'DIVA Satislari'!AR220)</f>
        <v/>
      </c>
      <c r="K220" s="26">
        <f>IF('DIVA Satislari'!I220="","",IFERROR(INDEX('E2E Nakliye Montaj'!$AS$3:$AS$1002,MATCH('DIVA Satislari'!AJ220,'E2E Nakliye Montaj'!$AM$3:$AM$1002,0)),"Eşleşme Yok"))</f>
        <v/>
      </c>
      <c r="L220" s="26">
        <f>IF('DIVA Satislari'!I220="","",IFERROR(INDEX('E2E Nakliye Montaj'!$AT$3:$AT$1002,MATCH('DIVA Satislari'!AJ220,'E2E Nakliye Montaj'!$AM$3:$AM$1002,0)),"Hayır"))</f>
        <v/>
      </c>
      <c r="M220" s="26">
        <f>IF('DIVA Satislari'!I220="","",IFERROR(INDEX('E2E Nakliye Montaj'!$AU$3:$AU$1002,MATCH('DIVA Satislari'!AJ220,'E2E Nakliye Montaj'!$AM$3:$AM$1002,0)),"Hayır"))</f>
        <v/>
      </c>
      <c r="N220" s="27">
        <f>IF('DIVA Satislari'!I220="","",IFERROR(INDEX('E2E Nakliye Montaj'!$AV$3:$AV$1002,MATCH('DIVA Satislari'!AJ220,'E2E Nakliye Montaj'!$AM$3:$AM$1002,0)),""))</f>
        <v/>
      </c>
      <c r="O220" s="26">
        <f>IF(OR(A220="",N220=""),"",IF(N220&lt;=H220,"Evet","HAYIR - RİSK"))</f>
        <v/>
      </c>
      <c r="P220" s="26">
        <f>IF(A220="","",IF(LEFT(J220,8)="Kural A ","Uygun - Hemen Ödenir (Yıl Sonu %75 Kontrolüne Tabi)",IF(OR(L220="Evet",M220="Evet"),IF(O220="Evet","Uygun","RİSK - Hakediş Süresi Aşıldı"),"Bekleniyor - Nakliye/Montaj Tamamlanmadı")))</f>
        <v/>
      </c>
      <c r="Q220" s="28">
        <f>IF(A220="","",SUMIFS('Hakedis Fatura Detay'!$G$3:$G$1200,'Hakedis Fatura Detay'!$H$3:$H$1200,'DIVA Satislari'!AJ220,'Hakedis Fatura Detay'!$F$3:$F$1200,"Fiyat Farkı")+SUMIFS('Hakedis Fatura Detay'!$G$3:$G$1200,'Hakedis Fatura Detay'!$H$3:$H$1200,'DIVA Satislari'!AJ220,'Hakedis Fatura Detay'!$F$3:$F$1200,"Bundle"))</f>
        <v/>
      </c>
      <c r="R220" s="28">
        <f>IF(A220="","",I220-Q220)</f>
        <v/>
      </c>
      <c r="S220" s="26">
        <f>IF(A220="","",IF(LEFT(P220,7)="Bekleni","N/A - Henüz Ödenmemeli",IF(LEFT(P220,4)="RİSK","İNCELEME GEREKLİ - Süre Aşımı",IF(R220=0,"Doğru",IF(R220&gt;0,"EKSİK ÖDENMİŞ","FAZLA ÖDENMİŞ")))))</f>
        <v/>
      </c>
      <c r="T220" s="30">
        <f>IF(A220="","",IF(F220&lt;&gt;"Evet","İNCELEME GEREKLİ - Kampanya Tanımsız",IF(G220&lt;&gt;"Evet","İNCELEME GEREKLİ - Tarih Dışı Satış",IF(LEFT(P220,4)="RİSK","İNCELEME GEREKLİ - Hakediş Süresi Aşıldı",IF(OR(S220="EKSİK ÖDENMİŞ",S220="FAZLA ÖDENMİŞ"),"İNCELEME GEREKLİ - Tutar Uyuşmazlığı",IF(LEFT(P220,7)="Bekleni","Bekleniyor","Uygun"))))))</f>
        <v/>
      </c>
    </row>
    <row r="221">
      <c r="A221" s="26">
        <f>IF('DIVA Satislari'!I221="","",'DIVA Satislari'!I221)</f>
        <v/>
      </c>
      <c r="B221" s="26">
        <f>IF('DIVA Satislari'!I221="","",'DIVA Satislari'!R221)</f>
        <v/>
      </c>
      <c r="C221" s="26">
        <f>IF('DIVA Satislari'!I221="","",'DIVA Satislari'!M221)</f>
        <v/>
      </c>
      <c r="D221" s="27">
        <f>IF('DIVA Satislari'!I221="","",'DIVA Satislari'!H221)</f>
        <v/>
      </c>
      <c r="E221" s="26">
        <f>IF('DIVA Satislari'!I221="","",'DIVA Satislari'!O221)</f>
        <v/>
      </c>
      <c r="F221" s="26">
        <f>IF('DIVA Satislari'!I221="","",'DIVA Satislari'!AK221)</f>
        <v/>
      </c>
      <c r="G221" s="26">
        <f>IF('DIVA Satislari'!I221="","",'DIVA Satislari'!AO221)</f>
        <v/>
      </c>
      <c r="H221" s="27">
        <f>IF('DIVA Satislari'!I221="","",'DIVA Satislari'!AN221)</f>
        <v/>
      </c>
      <c r="I221" s="28">
        <f>IF('DIVA Satislari'!I221="","",'DIVA Satislari'!AQ221)</f>
        <v/>
      </c>
      <c r="J221" s="26">
        <f>IF('DIVA Satislari'!I221="","",'DIVA Satislari'!AR221)</f>
        <v/>
      </c>
      <c r="K221" s="26">
        <f>IF('DIVA Satislari'!I221="","",IFERROR(INDEX('E2E Nakliye Montaj'!$AS$3:$AS$1002,MATCH('DIVA Satislari'!AJ221,'E2E Nakliye Montaj'!$AM$3:$AM$1002,0)),"Eşleşme Yok"))</f>
        <v/>
      </c>
      <c r="L221" s="26">
        <f>IF('DIVA Satislari'!I221="","",IFERROR(INDEX('E2E Nakliye Montaj'!$AT$3:$AT$1002,MATCH('DIVA Satislari'!AJ221,'E2E Nakliye Montaj'!$AM$3:$AM$1002,0)),"Hayır"))</f>
        <v/>
      </c>
      <c r="M221" s="26">
        <f>IF('DIVA Satislari'!I221="","",IFERROR(INDEX('E2E Nakliye Montaj'!$AU$3:$AU$1002,MATCH('DIVA Satislari'!AJ221,'E2E Nakliye Montaj'!$AM$3:$AM$1002,0)),"Hayır"))</f>
        <v/>
      </c>
      <c r="N221" s="27">
        <f>IF('DIVA Satislari'!I221="","",IFERROR(INDEX('E2E Nakliye Montaj'!$AV$3:$AV$1002,MATCH('DIVA Satislari'!AJ221,'E2E Nakliye Montaj'!$AM$3:$AM$1002,0)),""))</f>
        <v/>
      </c>
      <c r="O221" s="26">
        <f>IF(OR(A221="",N221=""),"",IF(N221&lt;=H221,"Evet","HAYIR - RİSK"))</f>
        <v/>
      </c>
      <c r="P221" s="26">
        <f>IF(A221="","",IF(LEFT(J221,8)="Kural A ","Uygun - Hemen Ödenir (Yıl Sonu %75 Kontrolüne Tabi)",IF(OR(L221="Evet",M221="Evet"),IF(O221="Evet","Uygun","RİSK - Hakediş Süresi Aşıldı"),"Bekleniyor - Nakliye/Montaj Tamamlanmadı")))</f>
        <v/>
      </c>
      <c r="Q221" s="28">
        <f>IF(A221="","",SUMIFS('Hakedis Fatura Detay'!$G$3:$G$1200,'Hakedis Fatura Detay'!$H$3:$H$1200,'DIVA Satislari'!AJ221,'Hakedis Fatura Detay'!$F$3:$F$1200,"Fiyat Farkı")+SUMIFS('Hakedis Fatura Detay'!$G$3:$G$1200,'Hakedis Fatura Detay'!$H$3:$H$1200,'DIVA Satislari'!AJ221,'Hakedis Fatura Detay'!$F$3:$F$1200,"Bundle"))</f>
        <v/>
      </c>
      <c r="R221" s="28">
        <f>IF(A221="","",I221-Q221)</f>
        <v/>
      </c>
      <c r="S221" s="26">
        <f>IF(A221="","",IF(LEFT(P221,7)="Bekleni","N/A - Henüz Ödenmemeli",IF(LEFT(P221,4)="RİSK","İNCELEME GEREKLİ - Süre Aşımı",IF(R221=0,"Doğru",IF(R221&gt;0,"EKSİK ÖDENMİŞ","FAZLA ÖDENMİŞ")))))</f>
        <v/>
      </c>
      <c r="T221" s="30">
        <f>IF(A221="","",IF(F221&lt;&gt;"Evet","İNCELEME GEREKLİ - Kampanya Tanımsız",IF(G221&lt;&gt;"Evet","İNCELEME GEREKLİ - Tarih Dışı Satış",IF(LEFT(P221,4)="RİSK","İNCELEME GEREKLİ - Hakediş Süresi Aşıldı",IF(OR(S221="EKSİK ÖDENMİŞ",S221="FAZLA ÖDENMİŞ"),"İNCELEME GEREKLİ - Tutar Uyuşmazlığı",IF(LEFT(P221,7)="Bekleni","Bekleniyor","Uygun"))))))</f>
        <v/>
      </c>
    </row>
    <row r="222">
      <c r="A222" s="26">
        <f>IF('DIVA Satislari'!I222="","",'DIVA Satislari'!I222)</f>
        <v/>
      </c>
      <c r="B222" s="26">
        <f>IF('DIVA Satislari'!I222="","",'DIVA Satislari'!R222)</f>
        <v/>
      </c>
      <c r="C222" s="26">
        <f>IF('DIVA Satislari'!I222="","",'DIVA Satislari'!M222)</f>
        <v/>
      </c>
      <c r="D222" s="27">
        <f>IF('DIVA Satislari'!I222="","",'DIVA Satislari'!H222)</f>
        <v/>
      </c>
      <c r="E222" s="26">
        <f>IF('DIVA Satislari'!I222="","",'DIVA Satislari'!O222)</f>
        <v/>
      </c>
      <c r="F222" s="26">
        <f>IF('DIVA Satislari'!I222="","",'DIVA Satislari'!AK222)</f>
        <v/>
      </c>
      <c r="G222" s="26">
        <f>IF('DIVA Satislari'!I222="","",'DIVA Satislari'!AO222)</f>
        <v/>
      </c>
      <c r="H222" s="27">
        <f>IF('DIVA Satislari'!I222="","",'DIVA Satislari'!AN222)</f>
        <v/>
      </c>
      <c r="I222" s="28">
        <f>IF('DIVA Satislari'!I222="","",'DIVA Satislari'!AQ222)</f>
        <v/>
      </c>
      <c r="J222" s="26">
        <f>IF('DIVA Satislari'!I222="","",'DIVA Satislari'!AR222)</f>
        <v/>
      </c>
      <c r="K222" s="26">
        <f>IF('DIVA Satislari'!I222="","",IFERROR(INDEX('E2E Nakliye Montaj'!$AS$3:$AS$1002,MATCH('DIVA Satislari'!AJ222,'E2E Nakliye Montaj'!$AM$3:$AM$1002,0)),"Eşleşme Yok"))</f>
        <v/>
      </c>
      <c r="L222" s="26">
        <f>IF('DIVA Satislari'!I222="","",IFERROR(INDEX('E2E Nakliye Montaj'!$AT$3:$AT$1002,MATCH('DIVA Satislari'!AJ222,'E2E Nakliye Montaj'!$AM$3:$AM$1002,0)),"Hayır"))</f>
        <v/>
      </c>
      <c r="M222" s="26">
        <f>IF('DIVA Satislari'!I222="","",IFERROR(INDEX('E2E Nakliye Montaj'!$AU$3:$AU$1002,MATCH('DIVA Satislari'!AJ222,'E2E Nakliye Montaj'!$AM$3:$AM$1002,0)),"Hayır"))</f>
        <v/>
      </c>
      <c r="N222" s="27">
        <f>IF('DIVA Satislari'!I222="","",IFERROR(INDEX('E2E Nakliye Montaj'!$AV$3:$AV$1002,MATCH('DIVA Satislari'!AJ222,'E2E Nakliye Montaj'!$AM$3:$AM$1002,0)),""))</f>
        <v/>
      </c>
      <c r="O222" s="26">
        <f>IF(OR(A222="",N222=""),"",IF(N222&lt;=H222,"Evet","HAYIR - RİSK"))</f>
        <v/>
      </c>
      <c r="P222" s="26">
        <f>IF(A222="","",IF(LEFT(J222,8)="Kural A ","Uygun - Hemen Ödenir (Yıl Sonu %75 Kontrolüne Tabi)",IF(OR(L222="Evet",M222="Evet"),IF(O222="Evet","Uygun","RİSK - Hakediş Süresi Aşıldı"),"Bekleniyor - Nakliye/Montaj Tamamlanmadı")))</f>
        <v/>
      </c>
      <c r="Q222" s="28">
        <f>IF(A222="","",SUMIFS('Hakedis Fatura Detay'!$G$3:$G$1200,'Hakedis Fatura Detay'!$H$3:$H$1200,'DIVA Satislari'!AJ222,'Hakedis Fatura Detay'!$F$3:$F$1200,"Fiyat Farkı")+SUMIFS('Hakedis Fatura Detay'!$G$3:$G$1200,'Hakedis Fatura Detay'!$H$3:$H$1200,'DIVA Satislari'!AJ222,'Hakedis Fatura Detay'!$F$3:$F$1200,"Bundle"))</f>
        <v/>
      </c>
      <c r="R222" s="28">
        <f>IF(A222="","",I222-Q222)</f>
        <v/>
      </c>
      <c r="S222" s="26">
        <f>IF(A222="","",IF(LEFT(P222,7)="Bekleni","N/A - Henüz Ödenmemeli",IF(LEFT(P222,4)="RİSK","İNCELEME GEREKLİ - Süre Aşımı",IF(R222=0,"Doğru",IF(R222&gt;0,"EKSİK ÖDENMİŞ","FAZLA ÖDENMİŞ")))))</f>
        <v/>
      </c>
      <c r="T222" s="30">
        <f>IF(A222="","",IF(F222&lt;&gt;"Evet","İNCELEME GEREKLİ - Kampanya Tanımsız",IF(G222&lt;&gt;"Evet","İNCELEME GEREKLİ - Tarih Dışı Satış",IF(LEFT(P222,4)="RİSK","İNCELEME GEREKLİ - Hakediş Süresi Aşıldı",IF(OR(S222="EKSİK ÖDENMİŞ",S222="FAZLA ÖDENMİŞ"),"İNCELEME GEREKLİ - Tutar Uyuşmazlığı",IF(LEFT(P222,7)="Bekleni","Bekleniyor","Uygun"))))))</f>
        <v/>
      </c>
    </row>
    <row r="223">
      <c r="A223" s="26">
        <f>IF('DIVA Satislari'!I223="","",'DIVA Satislari'!I223)</f>
        <v/>
      </c>
      <c r="B223" s="26">
        <f>IF('DIVA Satislari'!I223="","",'DIVA Satislari'!R223)</f>
        <v/>
      </c>
      <c r="C223" s="26">
        <f>IF('DIVA Satislari'!I223="","",'DIVA Satislari'!M223)</f>
        <v/>
      </c>
      <c r="D223" s="27">
        <f>IF('DIVA Satislari'!I223="","",'DIVA Satislari'!H223)</f>
        <v/>
      </c>
      <c r="E223" s="26">
        <f>IF('DIVA Satislari'!I223="","",'DIVA Satislari'!O223)</f>
        <v/>
      </c>
      <c r="F223" s="26">
        <f>IF('DIVA Satislari'!I223="","",'DIVA Satislari'!AK223)</f>
        <v/>
      </c>
      <c r="G223" s="26">
        <f>IF('DIVA Satislari'!I223="","",'DIVA Satislari'!AO223)</f>
        <v/>
      </c>
      <c r="H223" s="27">
        <f>IF('DIVA Satislari'!I223="","",'DIVA Satislari'!AN223)</f>
        <v/>
      </c>
      <c r="I223" s="28">
        <f>IF('DIVA Satislari'!I223="","",'DIVA Satislari'!AQ223)</f>
        <v/>
      </c>
      <c r="J223" s="26">
        <f>IF('DIVA Satislari'!I223="","",'DIVA Satislari'!AR223)</f>
        <v/>
      </c>
      <c r="K223" s="26">
        <f>IF('DIVA Satislari'!I223="","",IFERROR(INDEX('E2E Nakliye Montaj'!$AS$3:$AS$1002,MATCH('DIVA Satislari'!AJ223,'E2E Nakliye Montaj'!$AM$3:$AM$1002,0)),"Eşleşme Yok"))</f>
        <v/>
      </c>
      <c r="L223" s="26">
        <f>IF('DIVA Satislari'!I223="","",IFERROR(INDEX('E2E Nakliye Montaj'!$AT$3:$AT$1002,MATCH('DIVA Satislari'!AJ223,'E2E Nakliye Montaj'!$AM$3:$AM$1002,0)),"Hayır"))</f>
        <v/>
      </c>
      <c r="M223" s="26">
        <f>IF('DIVA Satislari'!I223="","",IFERROR(INDEX('E2E Nakliye Montaj'!$AU$3:$AU$1002,MATCH('DIVA Satislari'!AJ223,'E2E Nakliye Montaj'!$AM$3:$AM$1002,0)),"Hayır"))</f>
        <v/>
      </c>
      <c r="N223" s="27">
        <f>IF('DIVA Satislari'!I223="","",IFERROR(INDEX('E2E Nakliye Montaj'!$AV$3:$AV$1002,MATCH('DIVA Satislari'!AJ223,'E2E Nakliye Montaj'!$AM$3:$AM$1002,0)),""))</f>
        <v/>
      </c>
      <c r="O223" s="26">
        <f>IF(OR(A223="",N223=""),"",IF(N223&lt;=H223,"Evet","HAYIR - RİSK"))</f>
        <v/>
      </c>
      <c r="P223" s="26">
        <f>IF(A223="","",IF(LEFT(J223,8)="Kural A ","Uygun - Hemen Ödenir (Yıl Sonu %75 Kontrolüne Tabi)",IF(OR(L223="Evet",M223="Evet"),IF(O223="Evet","Uygun","RİSK - Hakediş Süresi Aşıldı"),"Bekleniyor - Nakliye/Montaj Tamamlanmadı")))</f>
        <v/>
      </c>
      <c r="Q223" s="28">
        <f>IF(A223="","",SUMIFS('Hakedis Fatura Detay'!$G$3:$G$1200,'Hakedis Fatura Detay'!$H$3:$H$1200,'DIVA Satislari'!AJ223,'Hakedis Fatura Detay'!$F$3:$F$1200,"Fiyat Farkı")+SUMIFS('Hakedis Fatura Detay'!$G$3:$G$1200,'Hakedis Fatura Detay'!$H$3:$H$1200,'DIVA Satislari'!AJ223,'Hakedis Fatura Detay'!$F$3:$F$1200,"Bundle"))</f>
        <v/>
      </c>
      <c r="R223" s="28">
        <f>IF(A223="","",I223-Q223)</f>
        <v/>
      </c>
      <c r="S223" s="26">
        <f>IF(A223="","",IF(LEFT(P223,7)="Bekleni","N/A - Henüz Ödenmemeli",IF(LEFT(P223,4)="RİSK","İNCELEME GEREKLİ - Süre Aşımı",IF(R223=0,"Doğru",IF(R223&gt;0,"EKSİK ÖDENMİŞ","FAZLA ÖDENMİŞ")))))</f>
        <v/>
      </c>
      <c r="T223" s="30">
        <f>IF(A223="","",IF(F223&lt;&gt;"Evet","İNCELEME GEREKLİ - Kampanya Tanımsız",IF(G223&lt;&gt;"Evet","İNCELEME GEREKLİ - Tarih Dışı Satış",IF(LEFT(P223,4)="RİSK","İNCELEME GEREKLİ - Hakediş Süresi Aşıldı",IF(OR(S223="EKSİK ÖDENMİŞ",S223="FAZLA ÖDENMİŞ"),"İNCELEME GEREKLİ - Tutar Uyuşmazlığı",IF(LEFT(P223,7)="Bekleni","Bekleniyor","Uygun"))))))</f>
        <v/>
      </c>
    </row>
    <row r="224">
      <c r="A224" s="26">
        <f>IF('DIVA Satislari'!I224="","",'DIVA Satislari'!I224)</f>
        <v/>
      </c>
      <c r="B224" s="26">
        <f>IF('DIVA Satislari'!I224="","",'DIVA Satislari'!R224)</f>
        <v/>
      </c>
      <c r="C224" s="26">
        <f>IF('DIVA Satislari'!I224="","",'DIVA Satislari'!M224)</f>
        <v/>
      </c>
      <c r="D224" s="27">
        <f>IF('DIVA Satislari'!I224="","",'DIVA Satislari'!H224)</f>
        <v/>
      </c>
      <c r="E224" s="26">
        <f>IF('DIVA Satislari'!I224="","",'DIVA Satislari'!O224)</f>
        <v/>
      </c>
      <c r="F224" s="26">
        <f>IF('DIVA Satislari'!I224="","",'DIVA Satislari'!AK224)</f>
        <v/>
      </c>
      <c r="G224" s="26">
        <f>IF('DIVA Satislari'!I224="","",'DIVA Satislari'!AO224)</f>
        <v/>
      </c>
      <c r="H224" s="27">
        <f>IF('DIVA Satislari'!I224="","",'DIVA Satislari'!AN224)</f>
        <v/>
      </c>
      <c r="I224" s="28">
        <f>IF('DIVA Satislari'!I224="","",'DIVA Satislari'!AQ224)</f>
        <v/>
      </c>
      <c r="J224" s="26">
        <f>IF('DIVA Satislari'!I224="","",'DIVA Satislari'!AR224)</f>
        <v/>
      </c>
      <c r="K224" s="26">
        <f>IF('DIVA Satislari'!I224="","",IFERROR(INDEX('E2E Nakliye Montaj'!$AS$3:$AS$1002,MATCH('DIVA Satislari'!AJ224,'E2E Nakliye Montaj'!$AM$3:$AM$1002,0)),"Eşleşme Yok"))</f>
        <v/>
      </c>
      <c r="L224" s="26">
        <f>IF('DIVA Satislari'!I224="","",IFERROR(INDEX('E2E Nakliye Montaj'!$AT$3:$AT$1002,MATCH('DIVA Satislari'!AJ224,'E2E Nakliye Montaj'!$AM$3:$AM$1002,0)),"Hayır"))</f>
        <v/>
      </c>
      <c r="M224" s="26">
        <f>IF('DIVA Satislari'!I224="","",IFERROR(INDEX('E2E Nakliye Montaj'!$AU$3:$AU$1002,MATCH('DIVA Satislari'!AJ224,'E2E Nakliye Montaj'!$AM$3:$AM$1002,0)),"Hayır"))</f>
        <v/>
      </c>
      <c r="N224" s="27">
        <f>IF('DIVA Satislari'!I224="","",IFERROR(INDEX('E2E Nakliye Montaj'!$AV$3:$AV$1002,MATCH('DIVA Satislari'!AJ224,'E2E Nakliye Montaj'!$AM$3:$AM$1002,0)),""))</f>
        <v/>
      </c>
      <c r="O224" s="26">
        <f>IF(OR(A224="",N224=""),"",IF(N224&lt;=H224,"Evet","HAYIR - RİSK"))</f>
        <v/>
      </c>
      <c r="P224" s="26">
        <f>IF(A224="","",IF(LEFT(J224,8)="Kural A ","Uygun - Hemen Ödenir (Yıl Sonu %75 Kontrolüne Tabi)",IF(OR(L224="Evet",M224="Evet"),IF(O224="Evet","Uygun","RİSK - Hakediş Süresi Aşıldı"),"Bekleniyor - Nakliye/Montaj Tamamlanmadı")))</f>
        <v/>
      </c>
      <c r="Q224" s="28">
        <f>IF(A224="","",SUMIFS('Hakedis Fatura Detay'!$G$3:$G$1200,'Hakedis Fatura Detay'!$H$3:$H$1200,'DIVA Satislari'!AJ224,'Hakedis Fatura Detay'!$F$3:$F$1200,"Fiyat Farkı")+SUMIFS('Hakedis Fatura Detay'!$G$3:$G$1200,'Hakedis Fatura Detay'!$H$3:$H$1200,'DIVA Satislari'!AJ224,'Hakedis Fatura Detay'!$F$3:$F$1200,"Bundle"))</f>
        <v/>
      </c>
      <c r="R224" s="28">
        <f>IF(A224="","",I224-Q224)</f>
        <v/>
      </c>
      <c r="S224" s="26">
        <f>IF(A224="","",IF(LEFT(P224,7)="Bekleni","N/A - Henüz Ödenmemeli",IF(LEFT(P224,4)="RİSK","İNCELEME GEREKLİ - Süre Aşımı",IF(R224=0,"Doğru",IF(R224&gt;0,"EKSİK ÖDENMİŞ","FAZLA ÖDENMİŞ")))))</f>
        <v/>
      </c>
      <c r="T224" s="30">
        <f>IF(A224="","",IF(F224&lt;&gt;"Evet","İNCELEME GEREKLİ - Kampanya Tanımsız",IF(G224&lt;&gt;"Evet","İNCELEME GEREKLİ - Tarih Dışı Satış",IF(LEFT(P224,4)="RİSK","İNCELEME GEREKLİ - Hakediş Süresi Aşıldı",IF(OR(S224="EKSİK ÖDENMİŞ",S224="FAZLA ÖDENMİŞ"),"İNCELEME GEREKLİ - Tutar Uyuşmazlığı",IF(LEFT(P224,7)="Bekleni","Bekleniyor","Uygun"))))))</f>
        <v/>
      </c>
    </row>
    <row r="225">
      <c r="A225" s="26">
        <f>IF('DIVA Satislari'!I225="","",'DIVA Satislari'!I225)</f>
        <v/>
      </c>
      <c r="B225" s="26">
        <f>IF('DIVA Satislari'!I225="","",'DIVA Satislari'!R225)</f>
        <v/>
      </c>
      <c r="C225" s="26">
        <f>IF('DIVA Satislari'!I225="","",'DIVA Satislari'!M225)</f>
        <v/>
      </c>
      <c r="D225" s="27">
        <f>IF('DIVA Satislari'!I225="","",'DIVA Satislari'!H225)</f>
        <v/>
      </c>
      <c r="E225" s="26">
        <f>IF('DIVA Satislari'!I225="","",'DIVA Satislari'!O225)</f>
        <v/>
      </c>
      <c r="F225" s="26">
        <f>IF('DIVA Satislari'!I225="","",'DIVA Satislari'!AK225)</f>
        <v/>
      </c>
      <c r="G225" s="26">
        <f>IF('DIVA Satislari'!I225="","",'DIVA Satislari'!AO225)</f>
        <v/>
      </c>
      <c r="H225" s="27">
        <f>IF('DIVA Satislari'!I225="","",'DIVA Satislari'!AN225)</f>
        <v/>
      </c>
      <c r="I225" s="28">
        <f>IF('DIVA Satislari'!I225="","",'DIVA Satislari'!AQ225)</f>
        <v/>
      </c>
      <c r="J225" s="26">
        <f>IF('DIVA Satislari'!I225="","",'DIVA Satislari'!AR225)</f>
        <v/>
      </c>
      <c r="K225" s="26">
        <f>IF('DIVA Satislari'!I225="","",IFERROR(INDEX('E2E Nakliye Montaj'!$AS$3:$AS$1002,MATCH('DIVA Satislari'!AJ225,'E2E Nakliye Montaj'!$AM$3:$AM$1002,0)),"Eşleşme Yok"))</f>
        <v/>
      </c>
      <c r="L225" s="26">
        <f>IF('DIVA Satislari'!I225="","",IFERROR(INDEX('E2E Nakliye Montaj'!$AT$3:$AT$1002,MATCH('DIVA Satislari'!AJ225,'E2E Nakliye Montaj'!$AM$3:$AM$1002,0)),"Hayır"))</f>
        <v/>
      </c>
      <c r="M225" s="26">
        <f>IF('DIVA Satislari'!I225="","",IFERROR(INDEX('E2E Nakliye Montaj'!$AU$3:$AU$1002,MATCH('DIVA Satislari'!AJ225,'E2E Nakliye Montaj'!$AM$3:$AM$1002,0)),"Hayır"))</f>
        <v/>
      </c>
      <c r="N225" s="27">
        <f>IF('DIVA Satislari'!I225="","",IFERROR(INDEX('E2E Nakliye Montaj'!$AV$3:$AV$1002,MATCH('DIVA Satislari'!AJ225,'E2E Nakliye Montaj'!$AM$3:$AM$1002,0)),""))</f>
        <v/>
      </c>
      <c r="O225" s="26">
        <f>IF(OR(A225="",N225=""),"",IF(N225&lt;=H225,"Evet","HAYIR - RİSK"))</f>
        <v/>
      </c>
      <c r="P225" s="26">
        <f>IF(A225="","",IF(LEFT(J225,8)="Kural A ","Uygun - Hemen Ödenir (Yıl Sonu %75 Kontrolüne Tabi)",IF(OR(L225="Evet",M225="Evet"),IF(O225="Evet","Uygun","RİSK - Hakediş Süresi Aşıldı"),"Bekleniyor - Nakliye/Montaj Tamamlanmadı")))</f>
        <v/>
      </c>
      <c r="Q225" s="28">
        <f>IF(A225="","",SUMIFS('Hakedis Fatura Detay'!$G$3:$G$1200,'Hakedis Fatura Detay'!$H$3:$H$1200,'DIVA Satislari'!AJ225,'Hakedis Fatura Detay'!$F$3:$F$1200,"Fiyat Farkı")+SUMIFS('Hakedis Fatura Detay'!$G$3:$G$1200,'Hakedis Fatura Detay'!$H$3:$H$1200,'DIVA Satislari'!AJ225,'Hakedis Fatura Detay'!$F$3:$F$1200,"Bundle"))</f>
        <v/>
      </c>
      <c r="R225" s="28">
        <f>IF(A225="","",I225-Q225)</f>
        <v/>
      </c>
      <c r="S225" s="26">
        <f>IF(A225="","",IF(LEFT(P225,7)="Bekleni","N/A - Henüz Ödenmemeli",IF(LEFT(P225,4)="RİSK","İNCELEME GEREKLİ - Süre Aşımı",IF(R225=0,"Doğru",IF(R225&gt;0,"EKSİK ÖDENMİŞ","FAZLA ÖDENMİŞ")))))</f>
        <v/>
      </c>
      <c r="T225" s="30">
        <f>IF(A225="","",IF(F225&lt;&gt;"Evet","İNCELEME GEREKLİ - Kampanya Tanımsız",IF(G225&lt;&gt;"Evet","İNCELEME GEREKLİ - Tarih Dışı Satış",IF(LEFT(P225,4)="RİSK","İNCELEME GEREKLİ - Hakediş Süresi Aşıldı",IF(OR(S225="EKSİK ÖDENMİŞ",S225="FAZLA ÖDENMİŞ"),"İNCELEME GEREKLİ - Tutar Uyuşmazlığı",IF(LEFT(P225,7)="Bekleni","Bekleniyor","Uygun"))))))</f>
        <v/>
      </c>
    </row>
    <row r="226">
      <c r="A226" s="26">
        <f>IF('DIVA Satislari'!I226="","",'DIVA Satislari'!I226)</f>
        <v/>
      </c>
      <c r="B226" s="26">
        <f>IF('DIVA Satislari'!I226="","",'DIVA Satislari'!R226)</f>
        <v/>
      </c>
      <c r="C226" s="26">
        <f>IF('DIVA Satislari'!I226="","",'DIVA Satislari'!M226)</f>
        <v/>
      </c>
      <c r="D226" s="27">
        <f>IF('DIVA Satislari'!I226="","",'DIVA Satislari'!H226)</f>
        <v/>
      </c>
      <c r="E226" s="26">
        <f>IF('DIVA Satislari'!I226="","",'DIVA Satislari'!O226)</f>
        <v/>
      </c>
      <c r="F226" s="26">
        <f>IF('DIVA Satislari'!I226="","",'DIVA Satislari'!AK226)</f>
        <v/>
      </c>
      <c r="G226" s="26">
        <f>IF('DIVA Satislari'!I226="","",'DIVA Satislari'!AO226)</f>
        <v/>
      </c>
      <c r="H226" s="27">
        <f>IF('DIVA Satislari'!I226="","",'DIVA Satislari'!AN226)</f>
        <v/>
      </c>
      <c r="I226" s="28">
        <f>IF('DIVA Satislari'!I226="","",'DIVA Satislari'!AQ226)</f>
        <v/>
      </c>
      <c r="J226" s="26">
        <f>IF('DIVA Satislari'!I226="","",'DIVA Satislari'!AR226)</f>
        <v/>
      </c>
      <c r="K226" s="26">
        <f>IF('DIVA Satislari'!I226="","",IFERROR(INDEX('E2E Nakliye Montaj'!$AS$3:$AS$1002,MATCH('DIVA Satislari'!AJ226,'E2E Nakliye Montaj'!$AM$3:$AM$1002,0)),"Eşleşme Yok"))</f>
        <v/>
      </c>
      <c r="L226" s="26">
        <f>IF('DIVA Satislari'!I226="","",IFERROR(INDEX('E2E Nakliye Montaj'!$AT$3:$AT$1002,MATCH('DIVA Satislari'!AJ226,'E2E Nakliye Montaj'!$AM$3:$AM$1002,0)),"Hayır"))</f>
        <v/>
      </c>
      <c r="M226" s="26">
        <f>IF('DIVA Satislari'!I226="","",IFERROR(INDEX('E2E Nakliye Montaj'!$AU$3:$AU$1002,MATCH('DIVA Satislari'!AJ226,'E2E Nakliye Montaj'!$AM$3:$AM$1002,0)),"Hayır"))</f>
        <v/>
      </c>
      <c r="N226" s="27">
        <f>IF('DIVA Satislari'!I226="","",IFERROR(INDEX('E2E Nakliye Montaj'!$AV$3:$AV$1002,MATCH('DIVA Satislari'!AJ226,'E2E Nakliye Montaj'!$AM$3:$AM$1002,0)),""))</f>
        <v/>
      </c>
      <c r="O226" s="26">
        <f>IF(OR(A226="",N226=""),"",IF(N226&lt;=H226,"Evet","HAYIR - RİSK"))</f>
        <v/>
      </c>
      <c r="P226" s="26">
        <f>IF(A226="","",IF(LEFT(J226,8)="Kural A ","Uygun - Hemen Ödenir (Yıl Sonu %75 Kontrolüne Tabi)",IF(OR(L226="Evet",M226="Evet"),IF(O226="Evet","Uygun","RİSK - Hakediş Süresi Aşıldı"),"Bekleniyor - Nakliye/Montaj Tamamlanmadı")))</f>
        <v/>
      </c>
      <c r="Q226" s="28">
        <f>IF(A226="","",SUMIFS('Hakedis Fatura Detay'!$G$3:$G$1200,'Hakedis Fatura Detay'!$H$3:$H$1200,'DIVA Satislari'!AJ226,'Hakedis Fatura Detay'!$F$3:$F$1200,"Fiyat Farkı")+SUMIFS('Hakedis Fatura Detay'!$G$3:$G$1200,'Hakedis Fatura Detay'!$H$3:$H$1200,'DIVA Satislari'!AJ226,'Hakedis Fatura Detay'!$F$3:$F$1200,"Bundle"))</f>
        <v/>
      </c>
      <c r="R226" s="28">
        <f>IF(A226="","",I226-Q226)</f>
        <v/>
      </c>
      <c r="S226" s="26">
        <f>IF(A226="","",IF(LEFT(P226,7)="Bekleni","N/A - Henüz Ödenmemeli",IF(LEFT(P226,4)="RİSK","İNCELEME GEREKLİ - Süre Aşımı",IF(R226=0,"Doğru",IF(R226&gt;0,"EKSİK ÖDENMİŞ","FAZLA ÖDENMİŞ")))))</f>
        <v/>
      </c>
      <c r="T226" s="30">
        <f>IF(A226="","",IF(F226&lt;&gt;"Evet","İNCELEME GEREKLİ - Kampanya Tanımsız",IF(G226&lt;&gt;"Evet","İNCELEME GEREKLİ - Tarih Dışı Satış",IF(LEFT(P226,4)="RİSK","İNCELEME GEREKLİ - Hakediş Süresi Aşıldı",IF(OR(S226="EKSİK ÖDENMİŞ",S226="FAZLA ÖDENMİŞ"),"İNCELEME GEREKLİ - Tutar Uyuşmazlığı",IF(LEFT(P226,7)="Bekleni","Bekleniyor","Uygun"))))))</f>
        <v/>
      </c>
    </row>
    <row r="227">
      <c r="A227" s="26">
        <f>IF('DIVA Satislari'!I227="","",'DIVA Satislari'!I227)</f>
        <v/>
      </c>
      <c r="B227" s="26">
        <f>IF('DIVA Satislari'!I227="","",'DIVA Satislari'!R227)</f>
        <v/>
      </c>
      <c r="C227" s="26">
        <f>IF('DIVA Satislari'!I227="","",'DIVA Satislari'!M227)</f>
        <v/>
      </c>
      <c r="D227" s="27">
        <f>IF('DIVA Satislari'!I227="","",'DIVA Satislari'!H227)</f>
        <v/>
      </c>
      <c r="E227" s="26">
        <f>IF('DIVA Satislari'!I227="","",'DIVA Satislari'!O227)</f>
        <v/>
      </c>
      <c r="F227" s="26">
        <f>IF('DIVA Satislari'!I227="","",'DIVA Satislari'!AK227)</f>
        <v/>
      </c>
      <c r="G227" s="26">
        <f>IF('DIVA Satislari'!I227="","",'DIVA Satislari'!AO227)</f>
        <v/>
      </c>
      <c r="H227" s="27">
        <f>IF('DIVA Satislari'!I227="","",'DIVA Satislari'!AN227)</f>
        <v/>
      </c>
      <c r="I227" s="28">
        <f>IF('DIVA Satislari'!I227="","",'DIVA Satislari'!AQ227)</f>
        <v/>
      </c>
      <c r="J227" s="26">
        <f>IF('DIVA Satislari'!I227="","",'DIVA Satislari'!AR227)</f>
        <v/>
      </c>
      <c r="K227" s="26">
        <f>IF('DIVA Satislari'!I227="","",IFERROR(INDEX('E2E Nakliye Montaj'!$AS$3:$AS$1002,MATCH('DIVA Satislari'!AJ227,'E2E Nakliye Montaj'!$AM$3:$AM$1002,0)),"Eşleşme Yok"))</f>
        <v/>
      </c>
      <c r="L227" s="26">
        <f>IF('DIVA Satislari'!I227="","",IFERROR(INDEX('E2E Nakliye Montaj'!$AT$3:$AT$1002,MATCH('DIVA Satislari'!AJ227,'E2E Nakliye Montaj'!$AM$3:$AM$1002,0)),"Hayır"))</f>
        <v/>
      </c>
      <c r="M227" s="26">
        <f>IF('DIVA Satislari'!I227="","",IFERROR(INDEX('E2E Nakliye Montaj'!$AU$3:$AU$1002,MATCH('DIVA Satislari'!AJ227,'E2E Nakliye Montaj'!$AM$3:$AM$1002,0)),"Hayır"))</f>
        <v/>
      </c>
      <c r="N227" s="27">
        <f>IF('DIVA Satislari'!I227="","",IFERROR(INDEX('E2E Nakliye Montaj'!$AV$3:$AV$1002,MATCH('DIVA Satislari'!AJ227,'E2E Nakliye Montaj'!$AM$3:$AM$1002,0)),""))</f>
        <v/>
      </c>
      <c r="O227" s="26">
        <f>IF(OR(A227="",N227=""),"",IF(N227&lt;=H227,"Evet","HAYIR - RİSK"))</f>
        <v/>
      </c>
      <c r="P227" s="26">
        <f>IF(A227="","",IF(LEFT(J227,8)="Kural A ","Uygun - Hemen Ödenir (Yıl Sonu %75 Kontrolüne Tabi)",IF(OR(L227="Evet",M227="Evet"),IF(O227="Evet","Uygun","RİSK - Hakediş Süresi Aşıldı"),"Bekleniyor - Nakliye/Montaj Tamamlanmadı")))</f>
        <v/>
      </c>
      <c r="Q227" s="28">
        <f>IF(A227="","",SUMIFS('Hakedis Fatura Detay'!$G$3:$G$1200,'Hakedis Fatura Detay'!$H$3:$H$1200,'DIVA Satislari'!AJ227,'Hakedis Fatura Detay'!$F$3:$F$1200,"Fiyat Farkı")+SUMIFS('Hakedis Fatura Detay'!$G$3:$G$1200,'Hakedis Fatura Detay'!$H$3:$H$1200,'DIVA Satislari'!AJ227,'Hakedis Fatura Detay'!$F$3:$F$1200,"Bundle"))</f>
        <v/>
      </c>
      <c r="R227" s="28">
        <f>IF(A227="","",I227-Q227)</f>
        <v/>
      </c>
      <c r="S227" s="26">
        <f>IF(A227="","",IF(LEFT(P227,7)="Bekleni","N/A - Henüz Ödenmemeli",IF(LEFT(P227,4)="RİSK","İNCELEME GEREKLİ - Süre Aşımı",IF(R227=0,"Doğru",IF(R227&gt;0,"EKSİK ÖDENMİŞ","FAZLA ÖDENMİŞ")))))</f>
        <v/>
      </c>
      <c r="T227" s="30">
        <f>IF(A227="","",IF(F227&lt;&gt;"Evet","İNCELEME GEREKLİ - Kampanya Tanımsız",IF(G227&lt;&gt;"Evet","İNCELEME GEREKLİ - Tarih Dışı Satış",IF(LEFT(P227,4)="RİSK","İNCELEME GEREKLİ - Hakediş Süresi Aşıldı",IF(OR(S227="EKSİK ÖDENMİŞ",S227="FAZLA ÖDENMİŞ"),"İNCELEME GEREKLİ - Tutar Uyuşmazlığı",IF(LEFT(P227,7)="Bekleni","Bekleniyor","Uygun"))))))</f>
        <v/>
      </c>
    </row>
    <row r="228">
      <c r="A228" s="26">
        <f>IF('DIVA Satislari'!I228="","",'DIVA Satislari'!I228)</f>
        <v/>
      </c>
      <c r="B228" s="26">
        <f>IF('DIVA Satislari'!I228="","",'DIVA Satislari'!R228)</f>
        <v/>
      </c>
      <c r="C228" s="26">
        <f>IF('DIVA Satislari'!I228="","",'DIVA Satislari'!M228)</f>
        <v/>
      </c>
      <c r="D228" s="27">
        <f>IF('DIVA Satislari'!I228="","",'DIVA Satislari'!H228)</f>
        <v/>
      </c>
      <c r="E228" s="26">
        <f>IF('DIVA Satislari'!I228="","",'DIVA Satislari'!O228)</f>
        <v/>
      </c>
      <c r="F228" s="26">
        <f>IF('DIVA Satislari'!I228="","",'DIVA Satislari'!AK228)</f>
        <v/>
      </c>
      <c r="G228" s="26">
        <f>IF('DIVA Satislari'!I228="","",'DIVA Satislari'!AO228)</f>
        <v/>
      </c>
      <c r="H228" s="27">
        <f>IF('DIVA Satislari'!I228="","",'DIVA Satislari'!AN228)</f>
        <v/>
      </c>
      <c r="I228" s="28">
        <f>IF('DIVA Satislari'!I228="","",'DIVA Satislari'!AQ228)</f>
        <v/>
      </c>
      <c r="J228" s="26">
        <f>IF('DIVA Satislari'!I228="","",'DIVA Satislari'!AR228)</f>
        <v/>
      </c>
      <c r="K228" s="26">
        <f>IF('DIVA Satislari'!I228="","",IFERROR(INDEX('E2E Nakliye Montaj'!$AS$3:$AS$1002,MATCH('DIVA Satislari'!AJ228,'E2E Nakliye Montaj'!$AM$3:$AM$1002,0)),"Eşleşme Yok"))</f>
        <v/>
      </c>
      <c r="L228" s="26">
        <f>IF('DIVA Satislari'!I228="","",IFERROR(INDEX('E2E Nakliye Montaj'!$AT$3:$AT$1002,MATCH('DIVA Satislari'!AJ228,'E2E Nakliye Montaj'!$AM$3:$AM$1002,0)),"Hayır"))</f>
        <v/>
      </c>
      <c r="M228" s="26">
        <f>IF('DIVA Satislari'!I228="","",IFERROR(INDEX('E2E Nakliye Montaj'!$AU$3:$AU$1002,MATCH('DIVA Satislari'!AJ228,'E2E Nakliye Montaj'!$AM$3:$AM$1002,0)),"Hayır"))</f>
        <v/>
      </c>
      <c r="N228" s="27">
        <f>IF('DIVA Satislari'!I228="","",IFERROR(INDEX('E2E Nakliye Montaj'!$AV$3:$AV$1002,MATCH('DIVA Satislari'!AJ228,'E2E Nakliye Montaj'!$AM$3:$AM$1002,0)),""))</f>
        <v/>
      </c>
      <c r="O228" s="26">
        <f>IF(OR(A228="",N228=""),"",IF(N228&lt;=H228,"Evet","HAYIR - RİSK"))</f>
        <v/>
      </c>
      <c r="P228" s="26">
        <f>IF(A228="","",IF(LEFT(J228,8)="Kural A ","Uygun - Hemen Ödenir (Yıl Sonu %75 Kontrolüne Tabi)",IF(OR(L228="Evet",M228="Evet"),IF(O228="Evet","Uygun","RİSK - Hakediş Süresi Aşıldı"),"Bekleniyor - Nakliye/Montaj Tamamlanmadı")))</f>
        <v/>
      </c>
      <c r="Q228" s="28">
        <f>IF(A228="","",SUMIFS('Hakedis Fatura Detay'!$G$3:$G$1200,'Hakedis Fatura Detay'!$H$3:$H$1200,'DIVA Satislari'!AJ228,'Hakedis Fatura Detay'!$F$3:$F$1200,"Fiyat Farkı")+SUMIFS('Hakedis Fatura Detay'!$G$3:$G$1200,'Hakedis Fatura Detay'!$H$3:$H$1200,'DIVA Satislari'!AJ228,'Hakedis Fatura Detay'!$F$3:$F$1200,"Bundle"))</f>
        <v/>
      </c>
      <c r="R228" s="28">
        <f>IF(A228="","",I228-Q228)</f>
        <v/>
      </c>
      <c r="S228" s="26">
        <f>IF(A228="","",IF(LEFT(P228,7)="Bekleni","N/A - Henüz Ödenmemeli",IF(LEFT(P228,4)="RİSK","İNCELEME GEREKLİ - Süre Aşımı",IF(R228=0,"Doğru",IF(R228&gt;0,"EKSİK ÖDENMİŞ","FAZLA ÖDENMİŞ")))))</f>
        <v/>
      </c>
      <c r="T228" s="30">
        <f>IF(A228="","",IF(F228&lt;&gt;"Evet","İNCELEME GEREKLİ - Kampanya Tanımsız",IF(G228&lt;&gt;"Evet","İNCELEME GEREKLİ - Tarih Dışı Satış",IF(LEFT(P228,4)="RİSK","İNCELEME GEREKLİ - Hakediş Süresi Aşıldı",IF(OR(S228="EKSİK ÖDENMİŞ",S228="FAZLA ÖDENMİŞ"),"İNCELEME GEREKLİ - Tutar Uyuşmazlığı",IF(LEFT(P228,7)="Bekleni","Bekleniyor","Uygun"))))))</f>
        <v/>
      </c>
    </row>
    <row r="229">
      <c r="A229" s="26">
        <f>IF('DIVA Satislari'!I229="","",'DIVA Satislari'!I229)</f>
        <v/>
      </c>
      <c r="B229" s="26">
        <f>IF('DIVA Satislari'!I229="","",'DIVA Satislari'!R229)</f>
        <v/>
      </c>
      <c r="C229" s="26">
        <f>IF('DIVA Satislari'!I229="","",'DIVA Satislari'!M229)</f>
        <v/>
      </c>
      <c r="D229" s="27">
        <f>IF('DIVA Satislari'!I229="","",'DIVA Satislari'!H229)</f>
        <v/>
      </c>
      <c r="E229" s="26">
        <f>IF('DIVA Satislari'!I229="","",'DIVA Satislari'!O229)</f>
        <v/>
      </c>
      <c r="F229" s="26">
        <f>IF('DIVA Satislari'!I229="","",'DIVA Satislari'!AK229)</f>
        <v/>
      </c>
      <c r="G229" s="26">
        <f>IF('DIVA Satislari'!I229="","",'DIVA Satislari'!AO229)</f>
        <v/>
      </c>
      <c r="H229" s="27">
        <f>IF('DIVA Satislari'!I229="","",'DIVA Satislari'!AN229)</f>
        <v/>
      </c>
      <c r="I229" s="28">
        <f>IF('DIVA Satislari'!I229="","",'DIVA Satislari'!AQ229)</f>
        <v/>
      </c>
      <c r="J229" s="26">
        <f>IF('DIVA Satislari'!I229="","",'DIVA Satislari'!AR229)</f>
        <v/>
      </c>
      <c r="K229" s="26">
        <f>IF('DIVA Satislari'!I229="","",IFERROR(INDEX('E2E Nakliye Montaj'!$AS$3:$AS$1002,MATCH('DIVA Satislari'!AJ229,'E2E Nakliye Montaj'!$AM$3:$AM$1002,0)),"Eşleşme Yok"))</f>
        <v/>
      </c>
      <c r="L229" s="26">
        <f>IF('DIVA Satislari'!I229="","",IFERROR(INDEX('E2E Nakliye Montaj'!$AT$3:$AT$1002,MATCH('DIVA Satislari'!AJ229,'E2E Nakliye Montaj'!$AM$3:$AM$1002,0)),"Hayır"))</f>
        <v/>
      </c>
      <c r="M229" s="26">
        <f>IF('DIVA Satislari'!I229="","",IFERROR(INDEX('E2E Nakliye Montaj'!$AU$3:$AU$1002,MATCH('DIVA Satislari'!AJ229,'E2E Nakliye Montaj'!$AM$3:$AM$1002,0)),"Hayır"))</f>
        <v/>
      </c>
      <c r="N229" s="27">
        <f>IF('DIVA Satislari'!I229="","",IFERROR(INDEX('E2E Nakliye Montaj'!$AV$3:$AV$1002,MATCH('DIVA Satislari'!AJ229,'E2E Nakliye Montaj'!$AM$3:$AM$1002,0)),""))</f>
        <v/>
      </c>
      <c r="O229" s="26">
        <f>IF(OR(A229="",N229=""),"",IF(N229&lt;=H229,"Evet","HAYIR - RİSK"))</f>
        <v/>
      </c>
      <c r="P229" s="26">
        <f>IF(A229="","",IF(LEFT(J229,8)="Kural A ","Uygun - Hemen Ödenir (Yıl Sonu %75 Kontrolüne Tabi)",IF(OR(L229="Evet",M229="Evet"),IF(O229="Evet","Uygun","RİSK - Hakediş Süresi Aşıldı"),"Bekleniyor - Nakliye/Montaj Tamamlanmadı")))</f>
        <v/>
      </c>
      <c r="Q229" s="28">
        <f>IF(A229="","",SUMIFS('Hakedis Fatura Detay'!$G$3:$G$1200,'Hakedis Fatura Detay'!$H$3:$H$1200,'DIVA Satislari'!AJ229,'Hakedis Fatura Detay'!$F$3:$F$1200,"Fiyat Farkı")+SUMIFS('Hakedis Fatura Detay'!$G$3:$G$1200,'Hakedis Fatura Detay'!$H$3:$H$1200,'DIVA Satislari'!AJ229,'Hakedis Fatura Detay'!$F$3:$F$1200,"Bundle"))</f>
        <v/>
      </c>
      <c r="R229" s="28">
        <f>IF(A229="","",I229-Q229)</f>
        <v/>
      </c>
      <c r="S229" s="26">
        <f>IF(A229="","",IF(LEFT(P229,7)="Bekleni","N/A - Henüz Ödenmemeli",IF(LEFT(P229,4)="RİSK","İNCELEME GEREKLİ - Süre Aşımı",IF(R229=0,"Doğru",IF(R229&gt;0,"EKSİK ÖDENMİŞ","FAZLA ÖDENMİŞ")))))</f>
        <v/>
      </c>
      <c r="T229" s="30">
        <f>IF(A229="","",IF(F229&lt;&gt;"Evet","İNCELEME GEREKLİ - Kampanya Tanımsız",IF(G229&lt;&gt;"Evet","İNCELEME GEREKLİ - Tarih Dışı Satış",IF(LEFT(P229,4)="RİSK","İNCELEME GEREKLİ - Hakediş Süresi Aşıldı",IF(OR(S229="EKSİK ÖDENMİŞ",S229="FAZLA ÖDENMİŞ"),"İNCELEME GEREKLİ - Tutar Uyuşmazlığı",IF(LEFT(P229,7)="Bekleni","Bekleniyor","Uygun"))))))</f>
        <v/>
      </c>
    </row>
    <row r="230">
      <c r="A230" s="26">
        <f>IF('DIVA Satislari'!I230="","",'DIVA Satislari'!I230)</f>
        <v/>
      </c>
      <c r="B230" s="26">
        <f>IF('DIVA Satislari'!I230="","",'DIVA Satislari'!R230)</f>
        <v/>
      </c>
      <c r="C230" s="26">
        <f>IF('DIVA Satislari'!I230="","",'DIVA Satislari'!M230)</f>
        <v/>
      </c>
      <c r="D230" s="27">
        <f>IF('DIVA Satislari'!I230="","",'DIVA Satislari'!H230)</f>
        <v/>
      </c>
      <c r="E230" s="26">
        <f>IF('DIVA Satislari'!I230="","",'DIVA Satislari'!O230)</f>
        <v/>
      </c>
      <c r="F230" s="26">
        <f>IF('DIVA Satislari'!I230="","",'DIVA Satislari'!AK230)</f>
        <v/>
      </c>
      <c r="G230" s="26">
        <f>IF('DIVA Satislari'!I230="","",'DIVA Satislari'!AO230)</f>
        <v/>
      </c>
      <c r="H230" s="27">
        <f>IF('DIVA Satislari'!I230="","",'DIVA Satislari'!AN230)</f>
        <v/>
      </c>
      <c r="I230" s="28">
        <f>IF('DIVA Satislari'!I230="","",'DIVA Satislari'!AQ230)</f>
        <v/>
      </c>
      <c r="J230" s="26">
        <f>IF('DIVA Satislari'!I230="","",'DIVA Satislari'!AR230)</f>
        <v/>
      </c>
      <c r="K230" s="26">
        <f>IF('DIVA Satislari'!I230="","",IFERROR(INDEX('E2E Nakliye Montaj'!$AS$3:$AS$1002,MATCH('DIVA Satislari'!AJ230,'E2E Nakliye Montaj'!$AM$3:$AM$1002,0)),"Eşleşme Yok"))</f>
        <v/>
      </c>
      <c r="L230" s="26">
        <f>IF('DIVA Satislari'!I230="","",IFERROR(INDEX('E2E Nakliye Montaj'!$AT$3:$AT$1002,MATCH('DIVA Satislari'!AJ230,'E2E Nakliye Montaj'!$AM$3:$AM$1002,0)),"Hayır"))</f>
        <v/>
      </c>
      <c r="M230" s="26">
        <f>IF('DIVA Satislari'!I230="","",IFERROR(INDEX('E2E Nakliye Montaj'!$AU$3:$AU$1002,MATCH('DIVA Satislari'!AJ230,'E2E Nakliye Montaj'!$AM$3:$AM$1002,0)),"Hayır"))</f>
        <v/>
      </c>
      <c r="N230" s="27">
        <f>IF('DIVA Satislari'!I230="","",IFERROR(INDEX('E2E Nakliye Montaj'!$AV$3:$AV$1002,MATCH('DIVA Satislari'!AJ230,'E2E Nakliye Montaj'!$AM$3:$AM$1002,0)),""))</f>
        <v/>
      </c>
      <c r="O230" s="26">
        <f>IF(OR(A230="",N230=""),"",IF(N230&lt;=H230,"Evet","HAYIR - RİSK"))</f>
        <v/>
      </c>
      <c r="P230" s="26">
        <f>IF(A230="","",IF(LEFT(J230,8)="Kural A ","Uygun - Hemen Ödenir (Yıl Sonu %75 Kontrolüne Tabi)",IF(OR(L230="Evet",M230="Evet"),IF(O230="Evet","Uygun","RİSK - Hakediş Süresi Aşıldı"),"Bekleniyor - Nakliye/Montaj Tamamlanmadı")))</f>
        <v/>
      </c>
      <c r="Q230" s="28">
        <f>IF(A230="","",SUMIFS('Hakedis Fatura Detay'!$G$3:$G$1200,'Hakedis Fatura Detay'!$H$3:$H$1200,'DIVA Satislari'!AJ230,'Hakedis Fatura Detay'!$F$3:$F$1200,"Fiyat Farkı")+SUMIFS('Hakedis Fatura Detay'!$G$3:$G$1200,'Hakedis Fatura Detay'!$H$3:$H$1200,'DIVA Satislari'!AJ230,'Hakedis Fatura Detay'!$F$3:$F$1200,"Bundle"))</f>
        <v/>
      </c>
      <c r="R230" s="28">
        <f>IF(A230="","",I230-Q230)</f>
        <v/>
      </c>
      <c r="S230" s="26">
        <f>IF(A230="","",IF(LEFT(P230,7)="Bekleni","N/A - Henüz Ödenmemeli",IF(LEFT(P230,4)="RİSK","İNCELEME GEREKLİ - Süre Aşımı",IF(R230=0,"Doğru",IF(R230&gt;0,"EKSİK ÖDENMİŞ","FAZLA ÖDENMİŞ")))))</f>
        <v/>
      </c>
      <c r="T230" s="30">
        <f>IF(A230="","",IF(F230&lt;&gt;"Evet","İNCELEME GEREKLİ - Kampanya Tanımsız",IF(G230&lt;&gt;"Evet","İNCELEME GEREKLİ - Tarih Dışı Satış",IF(LEFT(P230,4)="RİSK","İNCELEME GEREKLİ - Hakediş Süresi Aşıldı",IF(OR(S230="EKSİK ÖDENMİŞ",S230="FAZLA ÖDENMİŞ"),"İNCELEME GEREKLİ - Tutar Uyuşmazlığı",IF(LEFT(P230,7)="Bekleni","Bekleniyor","Uygun"))))))</f>
        <v/>
      </c>
    </row>
    <row r="231">
      <c r="A231" s="26">
        <f>IF('DIVA Satislari'!I231="","",'DIVA Satislari'!I231)</f>
        <v/>
      </c>
      <c r="B231" s="26">
        <f>IF('DIVA Satislari'!I231="","",'DIVA Satislari'!R231)</f>
        <v/>
      </c>
      <c r="C231" s="26">
        <f>IF('DIVA Satislari'!I231="","",'DIVA Satislari'!M231)</f>
        <v/>
      </c>
      <c r="D231" s="27">
        <f>IF('DIVA Satislari'!I231="","",'DIVA Satislari'!H231)</f>
        <v/>
      </c>
      <c r="E231" s="26">
        <f>IF('DIVA Satislari'!I231="","",'DIVA Satislari'!O231)</f>
        <v/>
      </c>
      <c r="F231" s="26">
        <f>IF('DIVA Satislari'!I231="","",'DIVA Satislari'!AK231)</f>
        <v/>
      </c>
      <c r="G231" s="26">
        <f>IF('DIVA Satislari'!I231="","",'DIVA Satislari'!AO231)</f>
        <v/>
      </c>
      <c r="H231" s="27">
        <f>IF('DIVA Satislari'!I231="","",'DIVA Satislari'!AN231)</f>
        <v/>
      </c>
      <c r="I231" s="28">
        <f>IF('DIVA Satislari'!I231="","",'DIVA Satislari'!AQ231)</f>
        <v/>
      </c>
      <c r="J231" s="26">
        <f>IF('DIVA Satislari'!I231="","",'DIVA Satislari'!AR231)</f>
        <v/>
      </c>
      <c r="K231" s="26">
        <f>IF('DIVA Satislari'!I231="","",IFERROR(INDEX('E2E Nakliye Montaj'!$AS$3:$AS$1002,MATCH('DIVA Satislari'!AJ231,'E2E Nakliye Montaj'!$AM$3:$AM$1002,0)),"Eşleşme Yok"))</f>
        <v/>
      </c>
      <c r="L231" s="26">
        <f>IF('DIVA Satislari'!I231="","",IFERROR(INDEX('E2E Nakliye Montaj'!$AT$3:$AT$1002,MATCH('DIVA Satislari'!AJ231,'E2E Nakliye Montaj'!$AM$3:$AM$1002,0)),"Hayır"))</f>
        <v/>
      </c>
      <c r="M231" s="26">
        <f>IF('DIVA Satislari'!I231="","",IFERROR(INDEX('E2E Nakliye Montaj'!$AU$3:$AU$1002,MATCH('DIVA Satislari'!AJ231,'E2E Nakliye Montaj'!$AM$3:$AM$1002,0)),"Hayır"))</f>
        <v/>
      </c>
      <c r="N231" s="27">
        <f>IF('DIVA Satislari'!I231="","",IFERROR(INDEX('E2E Nakliye Montaj'!$AV$3:$AV$1002,MATCH('DIVA Satislari'!AJ231,'E2E Nakliye Montaj'!$AM$3:$AM$1002,0)),""))</f>
        <v/>
      </c>
      <c r="O231" s="26">
        <f>IF(OR(A231="",N231=""),"",IF(N231&lt;=H231,"Evet","HAYIR - RİSK"))</f>
        <v/>
      </c>
      <c r="P231" s="26">
        <f>IF(A231="","",IF(LEFT(J231,8)="Kural A ","Uygun - Hemen Ödenir (Yıl Sonu %75 Kontrolüne Tabi)",IF(OR(L231="Evet",M231="Evet"),IF(O231="Evet","Uygun","RİSK - Hakediş Süresi Aşıldı"),"Bekleniyor - Nakliye/Montaj Tamamlanmadı")))</f>
        <v/>
      </c>
      <c r="Q231" s="28">
        <f>IF(A231="","",SUMIFS('Hakedis Fatura Detay'!$G$3:$G$1200,'Hakedis Fatura Detay'!$H$3:$H$1200,'DIVA Satislari'!AJ231,'Hakedis Fatura Detay'!$F$3:$F$1200,"Fiyat Farkı")+SUMIFS('Hakedis Fatura Detay'!$G$3:$G$1200,'Hakedis Fatura Detay'!$H$3:$H$1200,'DIVA Satislari'!AJ231,'Hakedis Fatura Detay'!$F$3:$F$1200,"Bundle"))</f>
        <v/>
      </c>
      <c r="R231" s="28">
        <f>IF(A231="","",I231-Q231)</f>
        <v/>
      </c>
      <c r="S231" s="26">
        <f>IF(A231="","",IF(LEFT(P231,7)="Bekleni","N/A - Henüz Ödenmemeli",IF(LEFT(P231,4)="RİSK","İNCELEME GEREKLİ - Süre Aşımı",IF(R231=0,"Doğru",IF(R231&gt;0,"EKSİK ÖDENMİŞ","FAZLA ÖDENMİŞ")))))</f>
        <v/>
      </c>
      <c r="T231" s="30">
        <f>IF(A231="","",IF(F231&lt;&gt;"Evet","İNCELEME GEREKLİ - Kampanya Tanımsız",IF(G231&lt;&gt;"Evet","İNCELEME GEREKLİ - Tarih Dışı Satış",IF(LEFT(P231,4)="RİSK","İNCELEME GEREKLİ - Hakediş Süresi Aşıldı",IF(OR(S231="EKSİK ÖDENMİŞ",S231="FAZLA ÖDENMİŞ"),"İNCELEME GEREKLİ - Tutar Uyuşmazlığı",IF(LEFT(P231,7)="Bekleni","Bekleniyor","Uygun"))))))</f>
        <v/>
      </c>
    </row>
    <row r="232">
      <c r="A232" s="26">
        <f>IF('DIVA Satislari'!I232="","",'DIVA Satislari'!I232)</f>
        <v/>
      </c>
      <c r="B232" s="26">
        <f>IF('DIVA Satislari'!I232="","",'DIVA Satislari'!R232)</f>
        <v/>
      </c>
      <c r="C232" s="26">
        <f>IF('DIVA Satislari'!I232="","",'DIVA Satislari'!M232)</f>
        <v/>
      </c>
      <c r="D232" s="27">
        <f>IF('DIVA Satislari'!I232="","",'DIVA Satislari'!H232)</f>
        <v/>
      </c>
      <c r="E232" s="26">
        <f>IF('DIVA Satislari'!I232="","",'DIVA Satislari'!O232)</f>
        <v/>
      </c>
      <c r="F232" s="26">
        <f>IF('DIVA Satislari'!I232="","",'DIVA Satislari'!AK232)</f>
        <v/>
      </c>
      <c r="G232" s="26">
        <f>IF('DIVA Satislari'!I232="","",'DIVA Satislari'!AO232)</f>
        <v/>
      </c>
      <c r="H232" s="27">
        <f>IF('DIVA Satislari'!I232="","",'DIVA Satislari'!AN232)</f>
        <v/>
      </c>
      <c r="I232" s="28">
        <f>IF('DIVA Satislari'!I232="","",'DIVA Satislari'!AQ232)</f>
        <v/>
      </c>
      <c r="J232" s="26">
        <f>IF('DIVA Satislari'!I232="","",'DIVA Satislari'!AR232)</f>
        <v/>
      </c>
      <c r="K232" s="26">
        <f>IF('DIVA Satislari'!I232="","",IFERROR(INDEX('E2E Nakliye Montaj'!$AS$3:$AS$1002,MATCH('DIVA Satislari'!AJ232,'E2E Nakliye Montaj'!$AM$3:$AM$1002,0)),"Eşleşme Yok"))</f>
        <v/>
      </c>
      <c r="L232" s="26">
        <f>IF('DIVA Satislari'!I232="","",IFERROR(INDEX('E2E Nakliye Montaj'!$AT$3:$AT$1002,MATCH('DIVA Satislari'!AJ232,'E2E Nakliye Montaj'!$AM$3:$AM$1002,0)),"Hayır"))</f>
        <v/>
      </c>
      <c r="M232" s="26">
        <f>IF('DIVA Satislari'!I232="","",IFERROR(INDEX('E2E Nakliye Montaj'!$AU$3:$AU$1002,MATCH('DIVA Satislari'!AJ232,'E2E Nakliye Montaj'!$AM$3:$AM$1002,0)),"Hayır"))</f>
        <v/>
      </c>
      <c r="N232" s="27">
        <f>IF('DIVA Satislari'!I232="","",IFERROR(INDEX('E2E Nakliye Montaj'!$AV$3:$AV$1002,MATCH('DIVA Satislari'!AJ232,'E2E Nakliye Montaj'!$AM$3:$AM$1002,0)),""))</f>
        <v/>
      </c>
      <c r="O232" s="26">
        <f>IF(OR(A232="",N232=""),"",IF(N232&lt;=H232,"Evet","HAYIR - RİSK"))</f>
        <v/>
      </c>
      <c r="P232" s="26">
        <f>IF(A232="","",IF(LEFT(J232,8)="Kural A ","Uygun - Hemen Ödenir (Yıl Sonu %75 Kontrolüne Tabi)",IF(OR(L232="Evet",M232="Evet"),IF(O232="Evet","Uygun","RİSK - Hakediş Süresi Aşıldı"),"Bekleniyor - Nakliye/Montaj Tamamlanmadı")))</f>
        <v/>
      </c>
      <c r="Q232" s="28">
        <f>IF(A232="","",SUMIFS('Hakedis Fatura Detay'!$G$3:$G$1200,'Hakedis Fatura Detay'!$H$3:$H$1200,'DIVA Satislari'!AJ232,'Hakedis Fatura Detay'!$F$3:$F$1200,"Fiyat Farkı")+SUMIFS('Hakedis Fatura Detay'!$G$3:$G$1200,'Hakedis Fatura Detay'!$H$3:$H$1200,'DIVA Satislari'!AJ232,'Hakedis Fatura Detay'!$F$3:$F$1200,"Bundle"))</f>
        <v/>
      </c>
      <c r="R232" s="28">
        <f>IF(A232="","",I232-Q232)</f>
        <v/>
      </c>
      <c r="S232" s="26">
        <f>IF(A232="","",IF(LEFT(P232,7)="Bekleni","N/A - Henüz Ödenmemeli",IF(LEFT(P232,4)="RİSK","İNCELEME GEREKLİ - Süre Aşımı",IF(R232=0,"Doğru",IF(R232&gt;0,"EKSİK ÖDENMİŞ","FAZLA ÖDENMİŞ")))))</f>
        <v/>
      </c>
      <c r="T232" s="30">
        <f>IF(A232="","",IF(F232&lt;&gt;"Evet","İNCELEME GEREKLİ - Kampanya Tanımsız",IF(G232&lt;&gt;"Evet","İNCELEME GEREKLİ - Tarih Dışı Satış",IF(LEFT(P232,4)="RİSK","İNCELEME GEREKLİ - Hakediş Süresi Aşıldı",IF(OR(S232="EKSİK ÖDENMİŞ",S232="FAZLA ÖDENMİŞ"),"İNCELEME GEREKLİ - Tutar Uyuşmazlığı",IF(LEFT(P232,7)="Bekleni","Bekleniyor","Uygun"))))))</f>
        <v/>
      </c>
    </row>
    <row r="233">
      <c r="A233" s="26">
        <f>IF('DIVA Satislari'!I233="","",'DIVA Satislari'!I233)</f>
        <v/>
      </c>
      <c r="B233" s="26">
        <f>IF('DIVA Satislari'!I233="","",'DIVA Satislari'!R233)</f>
        <v/>
      </c>
      <c r="C233" s="26">
        <f>IF('DIVA Satislari'!I233="","",'DIVA Satislari'!M233)</f>
        <v/>
      </c>
      <c r="D233" s="27">
        <f>IF('DIVA Satislari'!I233="","",'DIVA Satislari'!H233)</f>
        <v/>
      </c>
      <c r="E233" s="26">
        <f>IF('DIVA Satislari'!I233="","",'DIVA Satislari'!O233)</f>
        <v/>
      </c>
      <c r="F233" s="26">
        <f>IF('DIVA Satislari'!I233="","",'DIVA Satislari'!AK233)</f>
        <v/>
      </c>
      <c r="G233" s="26">
        <f>IF('DIVA Satislari'!I233="","",'DIVA Satislari'!AO233)</f>
        <v/>
      </c>
      <c r="H233" s="27">
        <f>IF('DIVA Satislari'!I233="","",'DIVA Satislari'!AN233)</f>
        <v/>
      </c>
      <c r="I233" s="28">
        <f>IF('DIVA Satislari'!I233="","",'DIVA Satislari'!AQ233)</f>
        <v/>
      </c>
      <c r="J233" s="26">
        <f>IF('DIVA Satislari'!I233="","",'DIVA Satislari'!AR233)</f>
        <v/>
      </c>
      <c r="K233" s="26">
        <f>IF('DIVA Satislari'!I233="","",IFERROR(INDEX('E2E Nakliye Montaj'!$AS$3:$AS$1002,MATCH('DIVA Satislari'!AJ233,'E2E Nakliye Montaj'!$AM$3:$AM$1002,0)),"Eşleşme Yok"))</f>
        <v/>
      </c>
      <c r="L233" s="26">
        <f>IF('DIVA Satislari'!I233="","",IFERROR(INDEX('E2E Nakliye Montaj'!$AT$3:$AT$1002,MATCH('DIVA Satislari'!AJ233,'E2E Nakliye Montaj'!$AM$3:$AM$1002,0)),"Hayır"))</f>
        <v/>
      </c>
      <c r="M233" s="26">
        <f>IF('DIVA Satislari'!I233="","",IFERROR(INDEX('E2E Nakliye Montaj'!$AU$3:$AU$1002,MATCH('DIVA Satislari'!AJ233,'E2E Nakliye Montaj'!$AM$3:$AM$1002,0)),"Hayır"))</f>
        <v/>
      </c>
      <c r="N233" s="27">
        <f>IF('DIVA Satislari'!I233="","",IFERROR(INDEX('E2E Nakliye Montaj'!$AV$3:$AV$1002,MATCH('DIVA Satislari'!AJ233,'E2E Nakliye Montaj'!$AM$3:$AM$1002,0)),""))</f>
        <v/>
      </c>
      <c r="O233" s="26">
        <f>IF(OR(A233="",N233=""),"",IF(N233&lt;=H233,"Evet","HAYIR - RİSK"))</f>
        <v/>
      </c>
      <c r="P233" s="26">
        <f>IF(A233="","",IF(LEFT(J233,8)="Kural A ","Uygun - Hemen Ödenir (Yıl Sonu %75 Kontrolüne Tabi)",IF(OR(L233="Evet",M233="Evet"),IF(O233="Evet","Uygun","RİSK - Hakediş Süresi Aşıldı"),"Bekleniyor - Nakliye/Montaj Tamamlanmadı")))</f>
        <v/>
      </c>
      <c r="Q233" s="28">
        <f>IF(A233="","",SUMIFS('Hakedis Fatura Detay'!$G$3:$G$1200,'Hakedis Fatura Detay'!$H$3:$H$1200,'DIVA Satislari'!AJ233,'Hakedis Fatura Detay'!$F$3:$F$1200,"Fiyat Farkı")+SUMIFS('Hakedis Fatura Detay'!$G$3:$G$1200,'Hakedis Fatura Detay'!$H$3:$H$1200,'DIVA Satislari'!AJ233,'Hakedis Fatura Detay'!$F$3:$F$1200,"Bundle"))</f>
        <v/>
      </c>
      <c r="R233" s="28">
        <f>IF(A233="","",I233-Q233)</f>
        <v/>
      </c>
      <c r="S233" s="26">
        <f>IF(A233="","",IF(LEFT(P233,7)="Bekleni","N/A - Henüz Ödenmemeli",IF(LEFT(P233,4)="RİSK","İNCELEME GEREKLİ - Süre Aşımı",IF(R233=0,"Doğru",IF(R233&gt;0,"EKSİK ÖDENMİŞ","FAZLA ÖDENMİŞ")))))</f>
        <v/>
      </c>
      <c r="T233" s="30">
        <f>IF(A233="","",IF(F233&lt;&gt;"Evet","İNCELEME GEREKLİ - Kampanya Tanımsız",IF(G233&lt;&gt;"Evet","İNCELEME GEREKLİ - Tarih Dışı Satış",IF(LEFT(P233,4)="RİSK","İNCELEME GEREKLİ - Hakediş Süresi Aşıldı",IF(OR(S233="EKSİK ÖDENMİŞ",S233="FAZLA ÖDENMİŞ"),"İNCELEME GEREKLİ - Tutar Uyuşmazlığı",IF(LEFT(P233,7)="Bekleni","Bekleniyor","Uygun"))))))</f>
        <v/>
      </c>
    </row>
    <row r="234">
      <c r="A234" s="26">
        <f>IF('DIVA Satislari'!I234="","",'DIVA Satislari'!I234)</f>
        <v/>
      </c>
      <c r="B234" s="26">
        <f>IF('DIVA Satislari'!I234="","",'DIVA Satislari'!R234)</f>
        <v/>
      </c>
      <c r="C234" s="26">
        <f>IF('DIVA Satislari'!I234="","",'DIVA Satislari'!M234)</f>
        <v/>
      </c>
      <c r="D234" s="27">
        <f>IF('DIVA Satislari'!I234="","",'DIVA Satislari'!H234)</f>
        <v/>
      </c>
      <c r="E234" s="26">
        <f>IF('DIVA Satislari'!I234="","",'DIVA Satislari'!O234)</f>
        <v/>
      </c>
      <c r="F234" s="26">
        <f>IF('DIVA Satislari'!I234="","",'DIVA Satislari'!AK234)</f>
        <v/>
      </c>
      <c r="G234" s="26">
        <f>IF('DIVA Satislari'!I234="","",'DIVA Satislari'!AO234)</f>
        <v/>
      </c>
      <c r="H234" s="27">
        <f>IF('DIVA Satislari'!I234="","",'DIVA Satislari'!AN234)</f>
        <v/>
      </c>
      <c r="I234" s="28">
        <f>IF('DIVA Satislari'!I234="","",'DIVA Satislari'!AQ234)</f>
        <v/>
      </c>
      <c r="J234" s="26">
        <f>IF('DIVA Satislari'!I234="","",'DIVA Satislari'!AR234)</f>
        <v/>
      </c>
      <c r="K234" s="26">
        <f>IF('DIVA Satislari'!I234="","",IFERROR(INDEX('E2E Nakliye Montaj'!$AS$3:$AS$1002,MATCH('DIVA Satislari'!AJ234,'E2E Nakliye Montaj'!$AM$3:$AM$1002,0)),"Eşleşme Yok"))</f>
        <v/>
      </c>
      <c r="L234" s="26">
        <f>IF('DIVA Satislari'!I234="","",IFERROR(INDEX('E2E Nakliye Montaj'!$AT$3:$AT$1002,MATCH('DIVA Satislari'!AJ234,'E2E Nakliye Montaj'!$AM$3:$AM$1002,0)),"Hayır"))</f>
        <v/>
      </c>
      <c r="M234" s="26">
        <f>IF('DIVA Satislari'!I234="","",IFERROR(INDEX('E2E Nakliye Montaj'!$AU$3:$AU$1002,MATCH('DIVA Satislari'!AJ234,'E2E Nakliye Montaj'!$AM$3:$AM$1002,0)),"Hayır"))</f>
        <v/>
      </c>
      <c r="N234" s="27">
        <f>IF('DIVA Satislari'!I234="","",IFERROR(INDEX('E2E Nakliye Montaj'!$AV$3:$AV$1002,MATCH('DIVA Satislari'!AJ234,'E2E Nakliye Montaj'!$AM$3:$AM$1002,0)),""))</f>
        <v/>
      </c>
      <c r="O234" s="26">
        <f>IF(OR(A234="",N234=""),"",IF(N234&lt;=H234,"Evet","HAYIR - RİSK"))</f>
        <v/>
      </c>
      <c r="P234" s="26">
        <f>IF(A234="","",IF(LEFT(J234,8)="Kural A ","Uygun - Hemen Ödenir (Yıl Sonu %75 Kontrolüne Tabi)",IF(OR(L234="Evet",M234="Evet"),IF(O234="Evet","Uygun","RİSK - Hakediş Süresi Aşıldı"),"Bekleniyor - Nakliye/Montaj Tamamlanmadı")))</f>
        <v/>
      </c>
      <c r="Q234" s="28">
        <f>IF(A234="","",SUMIFS('Hakedis Fatura Detay'!$G$3:$G$1200,'Hakedis Fatura Detay'!$H$3:$H$1200,'DIVA Satislari'!AJ234,'Hakedis Fatura Detay'!$F$3:$F$1200,"Fiyat Farkı")+SUMIFS('Hakedis Fatura Detay'!$G$3:$G$1200,'Hakedis Fatura Detay'!$H$3:$H$1200,'DIVA Satislari'!AJ234,'Hakedis Fatura Detay'!$F$3:$F$1200,"Bundle"))</f>
        <v/>
      </c>
      <c r="R234" s="28">
        <f>IF(A234="","",I234-Q234)</f>
        <v/>
      </c>
      <c r="S234" s="26">
        <f>IF(A234="","",IF(LEFT(P234,7)="Bekleni","N/A - Henüz Ödenmemeli",IF(LEFT(P234,4)="RİSK","İNCELEME GEREKLİ - Süre Aşımı",IF(R234=0,"Doğru",IF(R234&gt;0,"EKSİK ÖDENMİŞ","FAZLA ÖDENMİŞ")))))</f>
        <v/>
      </c>
      <c r="T234" s="30">
        <f>IF(A234="","",IF(F234&lt;&gt;"Evet","İNCELEME GEREKLİ - Kampanya Tanımsız",IF(G234&lt;&gt;"Evet","İNCELEME GEREKLİ - Tarih Dışı Satış",IF(LEFT(P234,4)="RİSK","İNCELEME GEREKLİ - Hakediş Süresi Aşıldı",IF(OR(S234="EKSİK ÖDENMİŞ",S234="FAZLA ÖDENMİŞ"),"İNCELEME GEREKLİ - Tutar Uyuşmazlığı",IF(LEFT(P234,7)="Bekleni","Bekleniyor","Uygun"))))))</f>
        <v/>
      </c>
    </row>
    <row r="235">
      <c r="A235" s="26">
        <f>IF('DIVA Satislari'!I235="","",'DIVA Satislari'!I235)</f>
        <v/>
      </c>
      <c r="B235" s="26">
        <f>IF('DIVA Satislari'!I235="","",'DIVA Satislari'!R235)</f>
        <v/>
      </c>
      <c r="C235" s="26">
        <f>IF('DIVA Satislari'!I235="","",'DIVA Satislari'!M235)</f>
        <v/>
      </c>
      <c r="D235" s="27">
        <f>IF('DIVA Satislari'!I235="","",'DIVA Satislari'!H235)</f>
        <v/>
      </c>
      <c r="E235" s="26">
        <f>IF('DIVA Satislari'!I235="","",'DIVA Satislari'!O235)</f>
        <v/>
      </c>
      <c r="F235" s="26">
        <f>IF('DIVA Satislari'!I235="","",'DIVA Satislari'!AK235)</f>
        <v/>
      </c>
      <c r="G235" s="26">
        <f>IF('DIVA Satislari'!I235="","",'DIVA Satislari'!AO235)</f>
        <v/>
      </c>
      <c r="H235" s="27">
        <f>IF('DIVA Satislari'!I235="","",'DIVA Satislari'!AN235)</f>
        <v/>
      </c>
      <c r="I235" s="28">
        <f>IF('DIVA Satislari'!I235="","",'DIVA Satislari'!AQ235)</f>
        <v/>
      </c>
      <c r="J235" s="26">
        <f>IF('DIVA Satislari'!I235="","",'DIVA Satislari'!AR235)</f>
        <v/>
      </c>
      <c r="K235" s="26">
        <f>IF('DIVA Satislari'!I235="","",IFERROR(INDEX('E2E Nakliye Montaj'!$AS$3:$AS$1002,MATCH('DIVA Satislari'!AJ235,'E2E Nakliye Montaj'!$AM$3:$AM$1002,0)),"Eşleşme Yok"))</f>
        <v/>
      </c>
      <c r="L235" s="26">
        <f>IF('DIVA Satislari'!I235="","",IFERROR(INDEX('E2E Nakliye Montaj'!$AT$3:$AT$1002,MATCH('DIVA Satislari'!AJ235,'E2E Nakliye Montaj'!$AM$3:$AM$1002,0)),"Hayır"))</f>
        <v/>
      </c>
      <c r="M235" s="26">
        <f>IF('DIVA Satislari'!I235="","",IFERROR(INDEX('E2E Nakliye Montaj'!$AU$3:$AU$1002,MATCH('DIVA Satislari'!AJ235,'E2E Nakliye Montaj'!$AM$3:$AM$1002,0)),"Hayır"))</f>
        <v/>
      </c>
      <c r="N235" s="27">
        <f>IF('DIVA Satislari'!I235="","",IFERROR(INDEX('E2E Nakliye Montaj'!$AV$3:$AV$1002,MATCH('DIVA Satislari'!AJ235,'E2E Nakliye Montaj'!$AM$3:$AM$1002,0)),""))</f>
        <v/>
      </c>
      <c r="O235" s="26">
        <f>IF(OR(A235="",N235=""),"",IF(N235&lt;=H235,"Evet","HAYIR - RİSK"))</f>
        <v/>
      </c>
      <c r="P235" s="26">
        <f>IF(A235="","",IF(LEFT(J235,8)="Kural A ","Uygun - Hemen Ödenir (Yıl Sonu %75 Kontrolüne Tabi)",IF(OR(L235="Evet",M235="Evet"),IF(O235="Evet","Uygun","RİSK - Hakediş Süresi Aşıldı"),"Bekleniyor - Nakliye/Montaj Tamamlanmadı")))</f>
        <v/>
      </c>
      <c r="Q235" s="28">
        <f>IF(A235="","",SUMIFS('Hakedis Fatura Detay'!$G$3:$G$1200,'Hakedis Fatura Detay'!$H$3:$H$1200,'DIVA Satislari'!AJ235,'Hakedis Fatura Detay'!$F$3:$F$1200,"Fiyat Farkı")+SUMIFS('Hakedis Fatura Detay'!$G$3:$G$1200,'Hakedis Fatura Detay'!$H$3:$H$1200,'DIVA Satislari'!AJ235,'Hakedis Fatura Detay'!$F$3:$F$1200,"Bundle"))</f>
        <v/>
      </c>
      <c r="R235" s="28">
        <f>IF(A235="","",I235-Q235)</f>
        <v/>
      </c>
      <c r="S235" s="26">
        <f>IF(A235="","",IF(LEFT(P235,7)="Bekleni","N/A - Henüz Ödenmemeli",IF(LEFT(P235,4)="RİSK","İNCELEME GEREKLİ - Süre Aşımı",IF(R235=0,"Doğru",IF(R235&gt;0,"EKSİK ÖDENMİŞ","FAZLA ÖDENMİŞ")))))</f>
        <v/>
      </c>
      <c r="T235" s="30">
        <f>IF(A235="","",IF(F235&lt;&gt;"Evet","İNCELEME GEREKLİ - Kampanya Tanımsız",IF(G235&lt;&gt;"Evet","İNCELEME GEREKLİ - Tarih Dışı Satış",IF(LEFT(P235,4)="RİSK","İNCELEME GEREKLİ - Hakediş Süresi Aşıldı",IF(OR(S235="EKSİK ÖDENMİŞ",S235="FAZLA ÖDENMİŞ"),"İNCELEME GEREKLİ - Tutar Uyuşmazlığı",IF(LEFT(P235,7)="Bekleni","Bekleniyor","Uygun"))))))</f>
        <v/>
      </c>
    </row>
    <row r="236">
      <c r="A236" s="26">
        <f>IF('DIVA Satislari'!I236="","",'DIVA Satislari'!I236)</f>
        <v/>
      </c>
      <c r="B236" s="26">
        <f>IF('DIVA Satislari'!I236="","",'DIVA Satislari'!R236)</f>
        <v/>
      </c>
      <c r="C236" s="26">
        <f>IF('DIVA Satislari'!I236="","",'DIVA Satislari'!M236)</f>
        <v/>
      </c>
      <c r="D236" s="27">
        <f>IF('DIVA Satislari'!I236="","",'DIVA Satislari'!H236)</f>
        <v/>
      </c>
      <c r="E236" s="26">
        <f>IF('DIVA Satislari'!I236="","",'DIVA Satislari'!O236)</f>
        <v/>
      </c>
      <c r="F236" s="26">
        <f>IF('DIVA Satislari'!I236="","",'DIVA Satislari'!AK236)</f>
        <v/>
      </c>
      <c r="G236" s="26">
        <f>IF('DIVA Satislari'!I236="","",'DIVA Satislari'!AO236)</f>
        <v/>
      </c>
      <c r="H236" s="27">
        <f>IF('DIVA Satislari'!I236="","",'DIVA Satislari'!AN236)</f>
        <v/>
      </c>
      <c r="I236" s="28">
        <f>IF('DIVA Satislari'!I236="","",'DIVA Satislari'!AQ236)</f>
        <v/>
      </c>
      <c r="J236" s="26">
        <f>IF('DIVA Satislari'!I236="","",'DIVA Satislari'!AR236)</f>
        <v/>
      </c>
      <c r="K236" s="26">
        <f>IF('DIVA Satislari'!I236="","",IFERROR(INDEX('E2E Nakliye Montaj'!$AS$3:$AS$1002,MATCH('DIVA Satislari'!AJ236,'E2E Nakliye Montaj'!$AM$3:$AM$1002,0)),"Eşleşme Yok"))</f>
        <v/>
      </c>
      <c r="L236" s="26">
        <f>IF('DIVA Satislari'!I236="","",IFERROR(INDEX('E2E Nakliye Montaj'!$AT$3:$AT$1002,MATCH('DIVA Satislari'!AJ236,'E2E Nakliye Montaj'!$AM$3:$AM$1002,0)),"Hayır"))</f>
        <v/>
      </c>
      <c r="M236" s="26">
        <f>IF('DIVA Satislari'!I236="","",IFERROR(INDEX('E2E Nakliye Montaj'!$AU$3:$AU$1002,MATCH('DIVA Satislari'!AJ236,'E2E Nakliye Montaj'!$AM$3:$AM$1002,0)),"Hayır"))</f>
        <v/>
      </c>
      <c r="N236" s="27">
        <f>IF('DIVA Satislari'!I236="","",IFERROR(INDEX('E2E Nakliye Montaj'!$AV$3:$AV$1002,MATCH('DIVA Satislari'!AJ236,'E2E Nakliye Montaj'!$AM$3:$AM$1002,0)),""))</f>
        <v/>
      </c>
      <c r="O236" s="26">
        <f>IF(OR(A236="",N236=""),"",IF(N236&lt;=H236,"Evet","HAYIR - RİSK"))</f>
        <v/>
      </c>
      <c r="P236" s="26">
        <f>IF(A236="","",IF(LEFT(J236,8)="Kural A ","Uygun - Hemen Ödenir (Yıl Sonu %75 Kontrolüne Tabi)",IF(OR(L236="Evet",M236="Evet"),IF(O236="Evet","Uygun","RİSK - Hakediş Süresi Aşıldı"),"Bekleniyor - Nakliye/Montaj Tamamlanmadı")))</f>
        <v/>
      </c>
      <c r="Q236" s="28">
        <f>IF(A236="","",SUMIFS('Hakedis Fatura Detay'!$G$3:$G$1200,'Hakedis Fatura Detay'!$H$3:$H$1200,'DIVA Satislari'!AJ236,'Hakedis Fatura Detay'!$F$3:$F$1200,"Fiyat Farkı")+SUMIFS('Hakedis Fatura Detay'!$G$3:$G$1200,'Hakedis Fatura Detay'!$H$3:$H$1200,'DIVA Satislari'!AJ236,'Hakedis Fatura Detay'!$F$3:$F$1200,"Bundle"))</f>
        <v/>
      </c>
      <c r="R236" s="28">
        <f>IF(A236="","",I236-Q236)</f>
        <v/>
      </c>
      <c r="S236" s="26">
        <f>IF(A236="","",IF(LEFT(P236,7)="Bekleni","N/A - Henüz Ödenmemeli",IF(LEFT(P236,4)="RİSK","İNCELEME GEREKLİ - Süre Aşımı",IF(R236=0,"Doğru",IF(R236&gt;0,"EKSİK ÖDENMİŞ","FAZLA ÖDENMİŞ")))))</f>
        <v/>
      </c>
      <c r="T236" s="30">
        <f>IF(A236="","",IF(F236&lt;&gt;"Evet","İNCELEME GEREKLİ - Kampanya Tanımsız",IF(G236&lt;&gt;"Evet","İNCELEME GEREKLİ - Tarih Dışı Satış",IF(LEFT(P236,4)="RİSK","İNCELEME GEREKLİ - Hakediş Süresi Aşıldı",IF(OR(S236="EKSİK ÖDENMİŞ",S236="FAZLA ÖDENMİŞ"),"İNCELEME GEREKLİ - Tutar Uyuşmazlığı",IF(LEFT(P236,7)="Bekleni","Bekleniyor","Uygun"))))))</f>
        <v/>
      </c>
    </row>
    <row r="237">
      <c r="A237" s="26">
        <f>IF('DIVA Satislari'!I237="","",'DIVA Satislari'!I237)</f>
        <v/>
      </c>
      <c r="B237" s="26">
        <f>IF('DIVA Satislari'!I237="","",'DIVA Satislari'!R237)</f>
        <v/>
      </c>
      <c r="C237" s="26">
        <f>IF('DIVA Satislari'!I237="","",'DIVA Satislari'!M237)</f>
        <v/>
      </c>
      <c r="D237" s="27">
        <f>IF('DIVA Satislari'!I237="","",'DIVA Satislari'!H237)</f>
        <v/>
      </c>
      <c r="E237" s="26">
        <f>IF('DIVA Satislari'!I237="","",'DIVA Satislari'!O237)</f>
        <v/>
      </c>
      <c r="F237" s="26">
        <f>IF('DIVA Satislari'!I237="","",'DIVA Satislari'!AK237)</f>
        <v/>
      </c>
      <c r="G237" s="26">
        <f>IF('DIVA Satislari'!I237="","",'DIVA Satislari'!AO237)</f>
        <v/>
      </c>
      <c r="H237" s="27">
        <f>IF('DIVA Satislari'!I237="","",'DIVA Satislari'!AN237)</f>
        <v/>
      </c>
      <c r="I237" s="28">
        <f>IF('DIVA Satislari'!I237="","",'DIVA Satislari'!AQ237)</f>
        <v/>
      </c>
      <c r="J237" s="26">
        <f>IF('DIVA Satislari'!I237="","",'DIVA Satislari'!AR237)</f>
        <v/>
      </c>
      <c r="K237" s="26">
        <f>IF('DIVA Satislari'!I237="","",IFERROR(INDEX('E2E Nakliye Montaj'!$AS$3:$AS$1002,MATCH('DIVA Satislari'!AJ237,'E2E Nakliye Montaj'!$AM$3:$AM$1002,0)),"Eşleşme Yok"))</f>
        <v/>
      </c>
      <c r="L237" s="26">
        <f>IF('DIVA Satislari'!I237="","",IFERROR(INDEX('E2E Nakliye Montaj'!$AT$3:$AT$1002,MATCH('DIVA Satislari'!AJ237,'E2E Nakliye Montaj'!$AM$3:$AM$1002,0)),"Hayır"))</f>
        <v/>
      </c>
      <c r="M237" s="26">
        <f>IF('DIVA Satislari'!I237="","",IFERROR(INDEX('E2E Nakliye Montaj'!$AU$3:$AU$1002,MATCH('DIVA Satislari'!AJ237,'E2E Nakliye Montaj'!$AM$3:$AM$1002,0)),"Hayır"))</f>
        <v/>
      </c>
      <c r="N237" s="27">
        <f>IF('DIVA Satislari'!I237="","",IFERROR(INDEX('E2E Nakliye Montaj'!$AV$3:$AV$1002,MATCH('DIVA Satislari'!AJ237,'E2E Nakliye Montaj'!$AM$3:$AM$1002,0)),""))</f>
        <v/>
      </c>
      <c r="O237" s="26">
        <f>IF(OR(A237="",N237=""),"",IF(N237&lt;=H237,"Evet","HAYIR - RİSK"))</f>
        <v/>
      </c>
      <c r="P237" s="26">
        <f>IF(A237="","",IF(LEFT(J237,8)="Kural A ","Uygun - Hemen Ödenir (Yıl Sonu %75 Kontrolüne Tabi)",IF(OR(L237="Evet",M237="Evet"),IF(O237="Evet","Uygun","RİSK - Hakediş Süresi Aşıldı"),"Bekleniyor - Nakliye/Montaj Tamamlanmadı")))</f>
        <v/>
      </c>
      <c r="Q237" s="28">
        <f>IF(A237="","",SUMIFS('Hakedis Fatura Detay'!$G$3:$G$1200,'Hakedis Fatura Detay'!$H$3:$H$1200,'DIVA Satislari'!AJ237,'Hakedis Fatura Detay'!$F$3:$F$1200,"Fiyat Farkı")+SUMIFS('Hakedis Fatura Detay'!$G$3:$G$1200,'Hakedis Fatura Detay'!$H$3:$H$1200,'DIVA Satislari'!AJ237,'Hakedis Fatura Detay'!$F$3:$F$1200,"Bundle"))</f>
        <v/>
      </c>
      <c r="R237" s="28">
        <f>IF(A237="","",I237-Q237)</f>
        <v/>
      </c>
      <c r="S237" s="26">
        <f>IF(A237="","",IF(LEFT(P237,7)="Bekleni","N/A - Henüz Ödenmemeli",IF(LEFT(P237,4)="RİSK","İNCELEME GEREKLİ - Süre Aşımı",IF(R237=0,"Doğru",IF(R237&gt;0,"EKSİK ÖDENMİŞ","FAZLA ÖDENMİŞ")))))</f>
        <v/>
      </c>
      <c r="T237" s="30">
        <f>IF(A237="","",IF(F237&lt;&gt;"Evet","İNCELEME GEREKLİ - Kampanya Tanımsız",IF(G237&lt;&gt;"Evet","İNCELEME GEREKLİ - Tarih Dışı Satış",IF(LEFT(P237,4)="RİSK","İNCELEME GEREKLİ - Hakediş Süresi Aşıldı",IF(OR(S237="EKSİK ÖDENMİŞ",S237="FAZLA ÖDENMİŞ"),"İNCELEME GEREKLİ - Tutar Uyuşmazlığı",IF(LEFT(P237,7)="Bekleni","Bekleniyor","Uygun"))))))</f>
        <v/>
      </c>
    </row>
    <row r="238">
      <c r="A238" s="26">
        <f>IF('DIVA Satislari'!I238="","",'DIVA Satislari'!I238)</f>
        <v/>
      </c>
      <c r="B238" s="26">
        <f>IF('DIVA Satislari'!I238="","",'DIVA Satislari'!R238)</f>
        <v/>
      </c>
      <c r="C238" s="26">
        <f>IF('DIVA Satislari'!I238="","",'DIVA Satislari'!M238)</f>
        <v/>
      </c>
      <c r="D238" s="27">
        <f>IF('DIVA Satislari'!I238="","",'DIVA Satislari'!H238)</f>
        <v/>
      </c>
      <c r="E238" s="26">
        <f>IF('DIVA Satislari'!I238="","",'DIVA Satislari'!O238)</f>
        <v/>
      </c>
      <c r="F238" s="26">
        <f>IF('DIVA Satislari'!I238="","",'DIVA Satislari'!AK238)</f>
        <v/>
      </c>
      <c r="G238" s="26">
        <f>IF('DIVA Satislari'!I238="","",'DIVA Satislari'!AO238)</f>
        <v/>
      </c>
      <c r="H238" s="27">
        <f>IF('DIVA Satislari'!I238="","",'DIVA Satislari'!AN238)</f>
        <v/>
      </c>
      <c r="I238" s="28">
        <f>IF('DIVA Satislari'!I238="","",'DIVA Satislari'!AQ238)</f>
        <v/>
      </c>
      <c r="J238" s="26">
        <f>IF('DIVA Satislari'!I238="","",'DIVA Satislari'!AR238)</f>
        <v/>
      </c>
      <c r="K238" s="26">
        <f>IF('DIVA Satislari'!I238="","",IFERROR(INDEX('E2E Nakliye Montaj'!$AS$3:$AS$1002,MATCH('DIVA Satislari'!AJ238,'E2E Nakliye Montaj'!$AM$3:$AM$1002,0)),"Eşleşme Yok"))</f>
        <v/>
      </c>
      <c r="L238" s="26">
        <f>IF('DIVA Satislari'!I238="","",IFERROR(INDEX('E2E Nakliye Montaj'!$AT$3:$AT$1002,MATCH('DIVA Satislari'!AJ238,'E2E Nakliye Montaj'!$AM$3:$AM$1002,0)),"Hayır"))</f>
        <v/>
      </c>
      <c r="M238" s="26">
        <f>IF('DIVA Satislari'!I238="","",IFERROR(INDEX('E2E Nakliye Montaj'!$AU$3:$AU$1002,MATCH('DIVA Satislari'!AJ238,'E2E Nakliye Montaj'!$AM$3:$AM$1002,0)),"Hayır"))</f>
        <v/>
      </c>
      <c r="N238" s="27">
        <f>IF('DIVA Satislari'!I238="","",IFERROR(INDEX('E2E Nakliye Montaj'!$AV$3:$AV$1002,MATCH('DIVA Satislari'!AJ238,'E2E Nakliye Montaj'!$AM$3:$AM$1002,0)),""))</f>
        <v/>
      </c>
      <c r="O238" s="26">
        <f>IF(OR(A238="",N238=""),"",IF(N238&lt;=H238,"Evet","HAYIR - RİSK"))</f>
        <v/>
      </c>
      <c r="P238" s="26">
        <f>IF(A238="","",IF(LEFT(J238,8)="Kural A ","Uygun - Hemen Ödenir (Yıl Sonu %75 Kontrolüne Tabi)",IF(OR(L238="Evet",M238="Evet"),IF(O238="Evet","Uygun","RİSK - Hakediş Süresi Aşıldı"),"Bekleniyor - Nakliye/Montaj Tamamlanmadı")))</f>
        <v/>
      </c>
      <c r="Q238" s="28">
        <f>IF(A238="","",SUMIFS('Hakedis Fatura Detay'!$G$3:$G$1200,'Hakedis Fatura Detay'!$H$3:$H$1200,'DIVA Satislari'!AJ238,'Hakedis Fatura Detay'!$F$3:$F$1200,"Fiyat Farkı")+SUMIFS('Hakedis Fatura Detay'!$G$3:$G$1200,'Hakedis Fatura Detay'!$H$3:$H$1200,'DIVA Satislari'!AJ238,'Hakedis Fatura Detay'!$F$3:$F$1200,"Bundle"))</f>
        <v/>
      </c>
      <c r="R238" s="28">
        <f>IF(A238="","",I238-Q238)</f>
        <v/>
      </c>
      <c r="S238" s="26">
        <f>IF(A238="","",IF(LEFT(P238,7)="Bekleni","N/A - Henüz Ödenmemeli",IF(LEFT(P238,4)="RİSK","İNCELEME GEREKLİ - Süre Aşımı",IF(R238=0,"Doğru",IF(R238&gt;0,"EKSİK ÖDENMİŞ","FAZLA ÖDENMİŞ")))))</f>
        <v/>
      </c>
      <c r="T238" s="30">
        <f>IF(A238="","",IF(F238&lt;&gt;"Evet","İNCELEME GEREKLİ - Kampanya Tanımsız",IF(G238&lt;&gt;"Evet","İNCELEME GEREKLİ - Tarih Dışı Satış",IF(LEFT(P238,4)="RİSK","İNCELEME GEREKLİ - Hakediş Süresi Aşıldı",IF(OR(S238="EKSİK ÖDENMİŞ",S238="FAZLA ÖDENMİŞ"),"İNCELEME GEREKLİ - Tutar Uyuşmazlığı",IF(LEFT(P238,7)="Bekleni","Bekleniyor","Uygun"))))))</f>
        <v/>
      </c>
    </row>
    <row r="239">
      <c r="A239" s="26">
        <f>IF('DIVA Satislari'!I239="","",'DIVA Satislari'!I239)</f>
        <v/>
      </c>
      <c r="B239" s="26">
        <f>IF('DIVA Satislari'!I239="","",'DIVA Satislari'!R239)</f>
        <v/>
      </c>
      <c r="C239" s="26">
        <f>IF('DIVA Satislari'!I239="","",'DIVA Satislari'!M239)</f>
        <v/>
      </c>
      <c r="D239" s="27">
        <f>IF('DIVA Satislari'!I239="","",'DIVA Satislari'!H239)</f>
        <v/>
      </c>
      <c r="E239" s="26">
        <f>IF('DIVA Satislari'!I239="","",'DIVA Satislari'!O239)</f>
        <v/>
      </c>
      <c r="F239" s="26">
        <f>IF('DIVA Satislari'!I239="","",'DIVA Satislari'!AK239)</f>
        <v/>
      </c>
      <c r="G239" s="26">
        <f>IF('DIVA Satislari'!I239="","",'DIVA Satislari'!AO239)</f>
        <v/>
      </c>
      <c r="H239" s="27">
        <f>IF('DIVA Satislari'!I239="","",'DIVA Satislari'!AN239)</f>
        <v/>
      </c>
      <c r="I239" s="28">
        <f>IF('DIVA Satislari'!I239="","",'DIVA Satislari'!AQ239)</f>
        <v/>
      </c>
      <c r="J239" s="26">
        <f>IF('DIVA Satislari'!I239="","",'DIVA Satislari'!AR239)</f>
        <v/>
      </c>
      <c r="K239" s="26">
        <f>IF('DIVA Satislari'!I239="","",IFERROR(INDEX('E2E Nakliye Montaj'!$AS$3:$AS$1002,MATCH('DIVA Satislari'!AJ239,'E2E Nakliye Montaj'!$AM$3:$AM$1002,0)),"Eşleşme Yok"))</f>
        <v/>
      </c>
      <c r="L239" s="26">
        <f>IF('DIVA Satislari'!I239="","",IFERROR(INDEX('E2E Nakliye Montaj'!$AT$3:$AT$1002,MATCH('DIVA Satislari'!AJ239,'E2E Nakliye Montaj'!$AM$3:$AM$1002,0)),"Hayır"))</f>
        <v/>
      </c>
      <c r="M239" s="26">
        <f>IF('DIVA Satislari'!I239="","",IFERROR(INDEX('E2E Nakliye Montaj'!$AU$3:$AU$1002,MATCH('DIVA Satislari'!AJ239,'E2E Nakliye Montaj'!$AM$3:$AM$1002,0)),"Hayır"))</f>
        <v/>
      </c>
      <c r="N239" s="27">
        <f>IF('DIVA Satislari'!I239="","",IFERROR(INDEX('E2E Nakliye Montaj'!$AV$3:$AV$1002,MATCH('DIVA Satislari'!AJ239,'E2E Nakliye Montaj'!$AM$3:$AM$1002,0)),""))</f>
        <v/>
      </c>
      <c r="O239" s="26">
        <f>IF(OR(A239="",N239=""),"",IF(N239&lt;=H239,"Evet","HAYIR - RİSK"))</f>
        <v/>
      </c>
      <c r="P239" s="26">
        <f>IF(A239="","",IF(LEFT(J239,8)="Kural A ","Uygun - Hemen Ödenir (Yıl Sonu %75 Kontrolüne Tabi)",IF(OR(L239="Evet",M239="Evet"),IF(O239="Evet","Uygun","RİSK - Hakediş Süresi Aşıldı"),"Bekleniyor - Nakliye/Montaj Tamamlanmadı")))</f>
        <v/>
      </c>
      <c r="Q239" s="28">
        <f>IF(A239="","",SUMIFS('Hakedis Fatura Detay'!$G$3:$G$1200,'Hakedis Fatura Detay'!$H$3:$H$1200,'DIVA Satislari'!AJ239,'Hakedis Fatura Detay'!$F$3:$F$1200,"Fiyat Farkı")+SUMIFS('Hakedis Fatura Detay'!$G$3:$G$1200,'Hakedis Fatura Detay'!$H$3:$H$1200,'DIVA Satislari'!AJ239,'Hakedis Fatura Detay'!$F$3:$F$1200,"Bundle"))</f>
        <v/>
      </c>
      <c r="R239" s="28">
        <f>IF(A239="","",I239-Q239)</f>
        <v/>
      </c>
      <c r="S239" s="26">
        <f>IF(A239="","",IF(LEFT(P239,7)="Bekleni","N/A - Henüz Ödenmemeli",IF(LEFT(P239,4)="RİSK","İNCELEME GEREKLİ - Süre Aşımı",IF(R239=0,"Doğru",IF(R239&gt;0,"EKSİK ÖDENMİŞ","FAZLA ÖDENMİŞ")))))</f>
        <v/>
      </c>
      <c r="T239" s="30">
        <f>IF(A239="","",IF(F239&lt;&gt;"Evet","İNCELEME GEREKLİ - Kampanya Tanımsız",IF(G239&lt;&gt;"Evet","İNCELEME GEREKLİ - Tarih Dışı Satış",IF(LEFT(P239,4)="RİSK","İNCELEME GEREKLİ - Hakediş Süresi Aşıldı",IF(OR(S239="EKSİK ÖDENMİŞ",S239="FAZLA ÖDENMİŞ"),"İNCELEME GEREKLİ - Tutar Uyuşmazlığı",IF(LEFT(P239,7)="Bekleni","Bekleniyor","Uygun"))))))</f>
        <v/>
      </c>
    </row>
    <row r="240">
      <c r="A240" s="26">
        <f>IF('DIVA Satislari'!I240="","",'DIVA Satislari'!I240)</f>
        <v/>
      </c>
      <c r="B240" s="26">
        <f>IF('DIVA Satislari'!I240="","",'DIVA Satislari'!R240)</f>
        <v/>
      </c>
      <c r="C240" s="26">
        <f>IF('DIVA Satislari'!I240="","",'DIVA Satislari'!M240)</f>
        <v/>
      </c>
      <c r="D240" s="27">
        <f>IF('DIVA Satislari'!I240="","",'DIVA Satislari'!H240)</f>
        <v/>
      </c>
      <c r="E240" s="26">
        <f>IF('DIVA Satislari'!I240="","",'DIVA Satislari'!O240)</f>
        <v/>
      </c>
      <c r="F240" s="26">
        <f>IF('DIVA Satislari'!I240="","",'DIVA Satislari'!AK240)</f>
        <v/>
      </c>
      <c r="G240" s="26">
        <f>IF('DIVA Satislari'!I240="","",'DIVA Satislari'!AO240)</f>
        <v/>
      </c>
      <c r="H240" s="27">
        <f>IF('DIVA Satislari'!I240="","",'DIVA Satislari'!AN240)</f>
        <v/>
      </c>
      <c r="I240" s="28">
        <f>IF('DIVA Satislari'!I240="","",'DIVA Satislari'!AQ240)</f>
        <v/>
      </c>
      <c r="J240" s="26">
        <f>IF('DIVA Satislari'!I240="","",'DIVA Satislari'!AR240)</f>
        <v/>
      </c>
      <c r="K240" s="26">
        <f>IF('DIVA Satislari'!I240="","",IFERROR(INDEX('E2E Nakliye Montaj'!$AS$3:$AS$1002,MATCH('DIVA Satislari'!AJ240,'E2E Nakliye Montaj'!$AM$3:$AM$1002,0)),"Eşleşme Yok"))</f>
        <v/>
      </c>
      <c r="L240" s="26">
        <f>IF('DIVA Satislari'!I240="","",IFERROR(INDEX('E2E Nakliye Montaj'!$AT$3:$AT$1002,MATCH('DIVA Satislari'!AJ240,'E2E Nakliye Montaj'!$AM$3:$AM$1002,0)),"Hayır"))</f>
        <v/>
      </c>
      <c r="M240" s="26">
        <f>IF('DIVA Satislari'!I240="","",IFERROR(INDEX('E2E Nakliye Montaj'!$AU$3:$AU$1002,MATCH('DIVA Satislari'!AJ240,'E2E Nakliye Montaj'!$AM$3:$AM$1002,0)),"Hayır"))</f>
        <v/>
      </c>
      <c r="N240" s="27">
        <f>IF('DIVA Satislari'!I240="","",IFERROR(INDEX('E2E Nakliye Montaj'!$AV$3:$AV$1002,MATCH('DIVA Satislari'!AJ240,'E2E Nakliye Montaj'!$AM$3:$AM$1002,0)),""))</f>
        <v/>
      </c>
      <c r="O240" s="26">
        <f>IF(OR(A240="",N240=""),"",IF(N240&lt;=H240,"Evet","HAYIR - RİSK"))</f>
        <v/>
      </c>
      <c r="P240" s="26">
        <f>IF(A240="","",IF(LEFT(J240,8)="Kural A ","Uygun - Hemen Ödenir (Yıl Sonu %75 Kontrolüne Tabi)",IF(OR(L240="Evet",M240="Evet"),IF(O240="Evet","Uygun","RİSK - Hakediş Süresi Aşıldı"),"Bekleniyor - Nakliye/Montaj Tamamlanmadı")))</f>
        <v/>
      </c>
      <c r="Q240" s="28">
        <f>IF(A240="","",SUMIFS('Hakedis Fatura Detay'!$G$3:$G$1200,'Hakedis Fatura Detay'!$H$3:$H$1200,'DIVA Satislari'!AJ240,'Hakedis Fatura Detay'!$F$3:$F$1200,"Fiyat Farkı")+SUMIFS('Hakedis Fatura Detay'!$G$3:$G$1200,'Hakedis Fatura Detay'!$H$3:$H$1200,'DIVA Satislari'!AJ240,'Hakedis Fatura Detay'!$F$3:$F$1200,"Bundle"))</f>
        <v/>
      </c>
      <c r="R240" s="28">
        <f>IF(A240="","",I240-Q240)</f>
        <v/>
      </c>
      <c r="S240" s="26">
        <f>IF(A240="","",IF(LEFT(P240,7)="Bekleni","N/A - Henüz Ödenmemeli",IF(LEFT(P240,4)="RİSK","İNCELEME GEREKLİ - Süre Aşımı",IF(R240=0,"Doğru",IF(R240&gt;0,"EKSİK ÖDENMİŞ","FAZLA ÖDENMİŞ")))))</f>
        <v/>
      </c>
      <c r="T240" s="30">
        <f>IF(A240="","",IF(F240&lt;&gt;"Evet","İNCELEME GEREKLİ - Kampanya Tanımsız",IF(G240&lt;&gt;"Evet","İNCELEME GEREKLİ - Tarih Dışı Satış",IF(LEFT(P240,4)="RİSK","İNCELEME GEREKLİ - Hakediş Süresi Aşıldı",IF(OR(S240="EKSİK ÖDENMİŞ",S240="FAZLA ÖDENMİŞ"),"İNCELEME GEREKLİ - Tutar Uyuşmazlığı",IF(LEFT(P240,7)="Bekleni","Bekleniyor","Uygun"))))))</f>
        <v/>
      </c>
    </row>
    <row r="241">
      <c r="A241" s="26">
        <f>IF('DIVA Satislari'!I241="","",'DIVA Satislari'!I241)</f>
        <v/>
      </c>
      <c r="B241" s="26">
        <f>IF('DIVA Satislari'!I241="","",'DIVA Satislari'!R241)</f>
        <v/>
      </c>
      <c r="C241" s="26">
        <f>IF('DIVA Satislari'!I241="","",'DIVA Satislari'!M241)</f>
        <v/>
      </c>
      <c r="D241" s="27">
        <f>IF('DIVA Satislari'!I241="","",'DIVA Satislari'!H241)</f>
        <v/>
      </c>
      <c r="E241" s="26">
        <f>IF('DIVA Satislari'!I241="","",'DIVA Satislari'!O241)</f>
        <v/>
      </c>
      <c r="F241" s="26">
        <f>IF('DIVA Satislari'!I241="","",'DIVA Satislari'!AK241)</f>
        <v/>
      </c>
      <c r="G241" s="26">
        <f>IF('DIVA Satislari'!I241="","",'DIVA Satislari'!AO241)</f>
        <v/>
      </c>
      <c r="H241" s="27">
        <f>IF('DIVA Satislari'!I241="","",'DIVA Satislari'!AN241)</f>
        <v/>
      </c>
      <c r="I241" s="28">
        <f>IF('DIVA Satislari'!I241="","",'DIVA Satislari'!AQ241)</f>
        <v/>
      </c>
      <c r="J241" s="26">
        <f>IF('DIVA Satislari'!I241="","",'DIVA Satislari'!AR241)</f>
        <v/>
      </c>
      <c r="K241" s="26">
        <f>IF('DIVA Satislari'!I241="","",IFERROR(INDEX('E2E Nakliye Montaj'!$AS$3:$AS$1002,MATCH('DIVA Satislari'!AJ241,'E2E Nakliye Montaj'!$AM$3:$AM$1002,0)),"Eşleşme Yok"))</f>
        <v/>
      </c>
      <c r="L241" s="26">
        <f>IF('DIVA Satislari'!I241="","",IFERROR(INDEX('E2E Nakliye Montaj'!$AT$3:$AT$1002,MATCH('DIVA Satislari'!AJ241,'E2E Nakliye Montaj'!$AM$3:$AM$1002,0)),"Hayır"))</f>
        <v/>
      </c>
      <c r="M241" s="26">
        <f>IF('DIVA Satislari'!I241="","",IFERROR(INDEX('E2E Nakliye Montaj'!$AU$3:$AU$1002,MATCH('DIVA Satislari'!AJ241,'E2E Nakliye Montaj'!$AM$3:$AM$1002,0)),"Hayır"))</f>
        <v/>
      </c>
      <c r="N241" s="27">
        <f>IF('DIVA Satislari'!I241="","",IFERROR(INDEX('E2E Nakliye Montaj'!$AV$3:$AV$1002,MATCH('DIVA Satislari'!AJ241,'E2E Nakliye Montaj'!$AM$3:$AM$1002,0)),""))</f>
        <v/>
      </c>
      <c r="O241" s="26">
        <f>IF(OR(A241="",N241=""),"",IF(N241&lt;=H241,"Evet","HAYIR - RİSK"))</f>
        <v/>
      </c>
      <c r="P241" s="26">
        <f>IF(A241="","",IF(LEFT(J241,8)="Kural A ","Uygun - Hemen Ödenir (Yıl Sonu %75 Kontrolüne Tabi)",IF(OR(L241="Evet",M241="Evet"),IF(O241="Evet","Uygun","RİSK - Hakediş Süresi Aşıldı"),"Bekleniyor - Nakliye/Montaj Tamamlanmadı")))</f>
        <v/>
      </c>
      <c r="Q241" s="28">
        <f>IF(A241="","",SUMIFS('Hakedis Fatura Detay'!$G$3:$G$1200,'Hakedis Fatura Detay'!$H$3:$H$1200,'DIVA Satislari'!AJ241,'Hakedis Fatura Detay'!$F$3:$F$1200,"Fiyat Farkı")+SUMIFS('Hakedis Fatura Detay'!$G$3:$G$1200,'Hakedis Fatura Detay'!$H$3:$H$1200,'DIVA Satislari'!AJ241,'Hakedis Fatura Detay'!$F$3:$F$1200,"Bundle"))</f>
        <v/>
      </c>
      <c r="R241" s="28">
        <f>IF(A241="","",I241-Q241)</f>
        <v/>
      </c>
      <c r="S241" s="26">
        <f>IF(A241="","",IF(LEFT(P241,7)="Bekleni","N/A - Henüz Ödenmemeli",IF(LEFT(P241,4)="RİSK","İNCELEME GEREKLİ - Süre Aşımı",IF(R241=0,"Doğru",IF(R241&gt;0,"EKSİK ÖDENMİŞ","FAZLA ÖDENMİŞ")))))</f>
        <v/>
      </c>
      <c r="T241" s="30">
        <f>IF(A241="","",IF(F241&lt;&gt;"Evet","İNCELEME GEREKLİ - Kampanya Tanımsız",IF(G241&lt;&gt;"Evet","İNCELEME GEREKLİ - Tarih Dışı Satış",IF(LEFT(P241,4)="RİSK","İNCELEME GEREKLİ - Hakediş Süresi Aşıldı",IF(OR(S241="EKSİK ÖDENMİŞ",S241="FAZLA ÖDENMİŞ"),"İNCELEME GEREKLİ - Tutar Uyuşmazlığı",IF(LEFT(P241,7)="Bekleni","Bekleniyor","Uygun"))))))</f>
        <v/>
      </c>
    </row>
    <row r="242">
      <c r="A242" s="26">
        <f>IF('DIVA Satislari'!I242="","",'DIVA Satislari'!I242)</f>
        <v/>
      </c>
      <c r="B242" s="26">
        <f>IF('DIVA Satislari'!I242="","",'DIVA Satislari'!R242)</f>
        <v/>
      </c>
      <c r="C242" s="26">
        <f>IF('DIVA Satislari'!I242="","",'DIVA Satislari'!M242)</f>
        <v/>
      </c>
      <c r="D242" s="27">
        <f>IF('DIVA Satislari'!I242="","",'DIVA Satislari'!H242)</f>
        <v/>
      </c>
      <c r="E242" s="26">
        <f>IF('DIVA Satislari'!I242="","",'DIVA Satislari'!O242)</f>
        <v/>
      </c>
      <c r="F242" s="26">
        <f>IF('DIVA Satislari'!I242="","",'DIVA Satislari'!AK242)</f>
        <v/>
      </c>
      <c r="G242" s="26">
        <f>IF('DIVA Satislari'!I242="","",'DIVA Satislari'!AO242)</f>
        <v/>
      </c>
      <c r="H242" s="27">
        <f>IF('DIVA Satislari'!I242="","",'DIVA Satislari'!AN242)</f>
        <v/>
      </c>
      <c r="I242" s="28">
        <f>IF('DIVA Satislari'!I242="","",'DIVA Satislari'!AQ242)</f>
        <v/>
      </c>
      <c r="J242" s="26">
        <f>IF('DIVA Satislari'!I242="","",'DIVA Satislari'!AR242)</f>
        <v/>
      </c>
      <c r="K242" s="26">
        <f>IF('DIVA Satislari'!I242="","",IFERROR(INDEX('E2E Nakliye Montaj'!$AS$3:$AS$1002,MATCH('DIVA Satislari'!AJ242,'E2E Nakliye Montaj'!$AM$3:$AM$1002,0)),"Eşleşme Yok"))</f>
        <v/>
      </c>
      <c r="L242" s="26">
        <f>IF('DIVA Satislari'!I242="","",IFERROR(INDEX('E2E Nakliye Montaj'!$AT$3:$AT$1002,MATCH('DIVA Satislari'!AJ242,'E2E Nakliye Montaj'!$AM$3:$AM$1002,0)),"Hayır"))</f>
        <v/>
      </c>
      <c r="M242" s="26">
        <f>IF('DIVA Satislari'!I242="","",IFERROR(INDEX('E2E Nakliye Montaj'!$AU$3:$AU$1002,MATCH('DIVA Satislari'!AJ242,'E2E Nakliye Montaj'!$AM$3:$AM$1002,0)),"Hayır"))</f>
        <v/>
      </c>
      <c r="N242" s="27">
        <f>IF('DIVA Satislari'!I242="","",IFERROR(INDEX('E2E Nakliye Montaj'!$AV$3:$AV$1002,MATCH('DIVA Satislari'!AJ242,'E2E Nakliye Montaj'!$AM$3:$AM$1002,0)),""))</f>
        <v/>
      </c>
      <c r="O242" s="26">
        <f>IF(OR(A242="",N242=""),"",IF(N242&lt;=H242,"Evet","HAYIR - RİSK"))</f>
        <v/>
      </c>
      <c r="P242" s="26">
        <f>IF(A242="","",IF(LEFT(J242,8)="Kural A ","Uygun - Hemen Ödenir (Yıl Sonu %75 Kontrolüne Tabi)",IF(OR(L242="Evet",M242="Evet"),IF(O242="Evet","Uygun","RİSK - Hakediş Süresi Aşıldı"),"Bekleniyor - Nakliye/Montaj Tamamlanmadı")))</f>
        <v/>
      </c>
      <c r="Q242" s="28">
        <f>IF(A242="","",SUMIFS('Hakedis Fatura Detay'!$G$3:$G$1200,'Hakedis Fatura Detay'!$H$3:$H$1200,'DIVA Satislari'!AJ242,'Hakedis Fatura Detay'!$F$3:$F$1200,"Fiyat Farkı")+SUMIFS('Hakedis Fatura Detay'!$G$3:$G$1200,'Hakedis Fatura Detay'!$H$3:$H$1200,'DIVA Satislari'!AJ242,'Hakedis Fatura Detay'!$F$3:$F$1200,"Bundle"))</f>
        <v/>
      </c>
      <c r="R242" s="28">
        <f>IF(A242="","",I242-Q242)</f>
        <v/>
      </c>
      <c r="S242" s="26">
        <f>IF(A242="","",IF(LEFT(P242,7)="Bekleni","N/A - Henüz Ödenmemeli",IF(LEFT(P242,4)="RİSK","İNCELEME GEREKLİ - Süre Aşımı",IF(R242=0,"Doğru",IF(R242&gt;0,"EKSİK ÖDENMİŞ","FAZLA ÖDENMİŞ")))))</f>
        <v/>
      </c>
      <c r="T242" s="30">
        <f>IF(A242="","",IF(F242&lt;&gt;"Evet","İNCELEME GEREKLİ - Kampanya Tanımsız",IF(G242&lt;&gt;"Evet","İNCELEME GEREKLİ - Tarih Dışı Satış",IF(LEFT(P242,4)="RİSK","İNCELEME GEREKLİ - Hakediş Süresi Aşıldı",IF(OR(S242="EKSİK ÖDENMİŞ",S242="FAZLA ÖDENMİŞ"),"İNCELEME GEREKLİ - Tutar Uyuşmazlığı",IF(LEFT(P242,7)="Bekleni","Bekleniyor","Uygun"))))))</f>
        <v/>
      </c>
    </row>
    <row r="243">
      <c r="A243" s="26">
        <f>IF('DIVA Satislari'!I243="","",'DIVA Satislari'!I243)</f>
        <v/>
      </c>
      <c r="B243" s="26">
        <f>IF('DIVA Satislari'!I243="","",'DIVA Satislari'!R243)</f>
        <v/>
      </c>
      <c r="C243" s="26">
        <f>IF('DIVA Satislari'!I243="","",'DIVA Satislari'!M243)</f>
        <v/>
      </c>
      <c r="D243" s="27">
        <f>IF('DIVA Satislari'!I243="","",'DIVA Satislari'!H243)</f>
        <v/>
      </c>
      <c r="E243" s="26">
        <f>IF('DIVA Satislari'!I243="","",'DIVA Satislari'!O243)</f>
        <v/>
      </c>
      <c r="F243" s="26">
        <f>IF('DIVA Satislari'!I243="","",'DIVA Satislari'!AK243)</f>
        <v/>
      </c>
      <c r="G243" s="26">
        <f>IF('DIVA Satislari'!I243="","",'DIVA Satislari'!AO243)</f>
        <v/>
      </c>
      <c r="H243" s="27">
        <f>IF('DIVA Satislari'!I243="","",'DIVA Satislari'!AN243)</f>
        <v/>
      </c>
      <c r="I243" s="28">
        <f>IF('DIVA Satislari'!I243="","",'DIVA Satislari'!AQ243)</f>
        <v/>
      </c>
      <c r="J243" s="26">
        <f>IF('DIVA Satislari'!I243="","",'DIVA Satislari'!AR243)</f>
        <v/>
      </c>
      <c r="K243" s="26">
        <f>IF('DIVA Satislari'!I243="","",IFERROR(INDEX('E2E Nakliye Montaj'!$AS$3:$AS$1002,MATCH('DIVA Satislari'!AJ243,'E2E Nakliye Montaj'!$AM$3:$AM$1002,0)),"Eşleşme Yok"))</f>
        <v/>
      </c>
      <c r="L243" s="26">
        <f>IF('DIVA Satislari'!I243="","",IFERROR(INDEX('E2E Nakliye Montaj'!$AT$3:$AT$1002,MATCH('DIVA Satislari'!AJ243,'E2E Nakliye Montaj'!$AM$3:$AM$1002,0)),"Hayır"))</f>
        <v/>
      </c>
      <c r="M243" s="26">
        <f>IF('DIVA Satislari'!I243="","",IFERROR(INDEX('E2E Nakliye Montaj'!$AU$3:$AU$1002,MATCH('DIVA Satislari'!AJ243,'E2E Nakliye Montaj'!$AM$3:$AM$1002,0)),"Hayır"))</f>
        <v/>
      </c>
      <c r="N243" s="27">
        <f>IF('DIVA Satislari'!I243="","",IFERROR(INDEX('E2E Nakliye Montaj'!$AV$3:$AV$1002,MATCH('DIVA Satislari'!AJ243,'E2E Nakliye Montaj'!$AM$3:$AM$1002,0)),""))</f>
        <v/>
      </c>
      <c r="O243" s="26">
        <f>IF(OR(A243="",N243=""),"",IF(N243&lt;=H243,"Evet","HAYIR - RİSK"))</f>
        <v/>
      </c>
      <c r="P243" s="26">
        <f>IF(A243="","",IF(LEFT(J243,8)="Kural A ","Uygun - Hemen Ödenir (Yıl Sonu %75 Kontrolüne Tabi)",IF(OR(L243="Evet",M243="Evet"),IF(O243="Evet","Uygun","RİSK - Hakediş Süresi Aşıldı"),"Bekleniyor - Nakliye/Montaj Tamamlanmadı")))</f>
        <v/>
      </c>
      <c r="Q243" s="28">
        <f>IF(A243="","",SUMIFS('Hakedis Fatura Detay'!$G$3:$G$1200,'Hakedis Fatura Detay'!$H$3:$H$1200,'DIVA Satislari'!AJ243,'Hakedis Fatura Detay'!$F$3:$F$1200,"Fiyat Farkı")+SUMIFS('Hakedis Fatura Detay'!$G$3:$G$1200,'Hakedis Fatura Detay'!$H$3:$H$1200,'DIVA Satislari'!AJ243,'Hakedis Fatura Detay'!$F$3:$F$1200,"Bundle"))</f>
        <v/>
      </c>
      <c r="R243" s="28">
        <f>IF(A243="","",I243-Q243)</f>
        <v/>
      </c>
      <c r="S243" s="26">
        <f>IF(A243="","",IF(LEFT(P243,7)="Bekleni","N/A - Henüz Ödenmemeli",IF(LEFT(P243,4)="RİSK","İNCELEME GEREKLİ - Süre Aşımı",IF(R243=0,"Doğru",IF(R243&gt;0,"EKSİK ÖDENMİŞ","FAZLA ÖDENMİŞ")))))</f>
        <v/>
      </c>
      <c r="T243" s="30">
        <f>IF(A243="","",IF(F243&lt;&gt;"Evet","İNCELEME GEREKLİ - Kampanya Tanımsız",IF(G243&lt;&gt;"Evet","İNCELEME GEREKLİ - Tarih Dışı Satış",IF(LEFT(P243,4)="RİSK","İNCELEME GEREKLİ - Hakediş Süresi Aşıldı",IF(OR(S243="EKSİK ÖDENMİŞ",S243="FAZLA ÖDENMİŞ"),"İNCELEME GEREKLİ - Tutar Uyuşmazlığı",IF(LEFT(P243,7)="Bekleni","Bekleniyor","Uygun"))))))</f>
        <v/>
      </c>
    </row>
    <row r="244">
      <c r="A244" s="26">
        <f>IF('DIVA Satislari'!I244="","",'DIVA Satislari'!I244)</f>
        <v/>
      </c>
      <c r="B244" s="26">
        <f>IF('DIVA Satislari'!I244="","",'DIVA Satislari'!R244)</f>
        <v/>
      </c>
      <c r="C244" s="26">
        <f>IF('DIVA Satislari'!I244="","",'DIVA Satislari'!M244)</f>
        <v/>
      </c>
      <c r="D244" s="27">
        <f>IF('DIVA Satislari'!I244="","",'DIVA Satislari'!H244)</f>
        <v/>
      </c>
      <c r="E244" s="26">
        <f>IF('DIVA Satislari'!I244="","",'DIVA Satislari'!O244)</f>
        <v/>
      </c>
      <c r="F244" s="26">
        <f>IF('DIVA Satislari'!I244="","",'DIVA Satislari'!AK244)</f>
        <v/>
      </c>
      <c r="G244" s="26">
        <f>IF('DIVA Satislari'!I244="","",'DIVA Satislari'!AO244)</f>
        <v/>
      </c>
      <c r="H244" s="27">
        <f>IF('DIVA Satislari'!I244="","",'DIVA Satislari'!AN244)</f>
        <v/>
      </c>
      <c r="I244" s="28">
        <f>IF('DIVA Satislari'!I244="","",'DIVA Satislari'!AQ244)</f>
        <v/>
      </c>
      <c r="J244" s="26">
        <f>IF('DIVA Satislari'!I244="","",'DIVA Satislari'!AR244)</f>
        <v/>
      </c>
      <c r="K244" s="26">
        <f>IF('DIVA Satislari'!I244="","",IFERROR(INDEX('E2E Nakliye Montaj'!$AS$3:$AS$1002,MATCH('DIVA Satislari'!AJ244,'E2E Nakliye Montaj'!$AM$3:$AM$1002,0)),"Eşleşme Yok"))</f>
        <v/>
      </c>
      <c r="L244" s="26">
        <f>IF('DIVA Satislari'!I244="","",IFERROR(INDEX('E2E Nakliye Montaj'!$AT$3:$AT$1002,MATCH('DIVA Satislari'!AJ244,'E2E Nakliye Montaj'!$AM$3:$AM$1002,0)),"Hayır"))</f>
        <v/>
      </c>
      <c r="M244" s="26">
        <f>IF('DIVA Satislari'!I244="","",IFERROR(INDEX('E2E Nakliye Montaj'!$AU$3:$AU$1002,MATCH('DIVA Satislari'!AJ244,'E2E Nakliye Montaj'!$AM$3:$AM$1002,0)),"Hayır"))</f>
        <v/>
      </c>
      <c r="N244" s="27">
        <f>IF('DIVA Satislari'!I244="","",IFERROR(INDEX('E2E Nakliye Montaj'!$AV$3:$AV$1002,MATCH('DIVA Satislari'!AJ244,'E2E Nakliye Montaj'!$AM$3:$AM$1002,0)),""))</f>
        <v/>
      </c>
      <c r="O244" s="26">
        <f>IF(OR(A244="",N244=""),"",IF(N244&lt;=H244,"Evet","HAYIR - RİSK"))</f>
        <v/>
      </c>
      <c r="P244" s="26">
        <f>IF(A244="","",IF(LEFT(J244,8)="Kural A ","Uygun - Hemen Ödenir (Yıl Sonu %75 Kontrolüne Tabi)",IF(OR(L244="Evet",M244="Evet"),IF(O244="Evet","Uygun","RİSK - Hakediş Süresi Aşıldı"),"Bekleniyor - Nakliye/Montaj Tamamlanmadı")))</f>
        <v/>
      </c>
      <c r="Q244" s="28">
        <f>IF(A244="","",SUMIFS('Hakedis Fatura Detay'!$G$3:$G$1200,'Hakedis Fatura Detay'!$H$3:$H$1200,'DIVA Satislari'!AJ244,'Hakedis Fatura Detay'!$F$3:$F$1200,"Fiyat Farkı")+SUMIFS('Hakedis Fatura Detay'!$G$3:$G$1200,'Hakedis Fatura Detay'!$H$3:$H$1200,'DIVA Satislari'!AJ244,'Hakedis Fatura Detay'!$F$3:$F$1200,"Bundle"))</f>
        <v/>
      </c>
      <c r="R244" s="28">
        <f>IF(A244="","",I244-Q244)</f>
        <v/>
      </c>
      <c r="S244" s="26">
        <f>IF(A244="","",IF(LEFT(P244,7)="Bekleni","N/A - Henüz Ödenmemeli",IF(LEFT(P244,4)="RİSK","İNCELEME GEREKLİ - Süre Aşımı",IF(R244=0,"Doğru",IF(R244&gt;0,"EKSİK ÖDENMİŞ","FAZLA ÖDENMİŞ")))))</f>
        <v/>
      </c>
      <c r="T244" s="30">
        <f>IF(A244="","",IF(F244&lt;&gt;"Evet","İNCELEME GEREKLİ - Kampanya Tanımsız",IF(G244&lt;&gt;"Evet","İNCELEME GEREKLİ - Tarih Dışı Satış",IF(LEFT(P244,4)="RİSK","İNCELEME GEREKLİ - Hakediş Süresi Aşıldı",IF(OR(S244="EKSİK ÖDENMİŞ",S244="FAZLA ÖDENMİŞ"),"İNCELEME GEREKLİ - Tutar Uyuşmazlığı",IF(LEFT(P244,7)="Bekleni","Bekleniyor","Uygun"))))))</f>
        <v/>
      </c>
    </row>
    <row r="245">
      <c r="A245" s="26">
        <f>IF('DIVA Satislari'!I245="","",'DIVA Satislari'!I245)</f>
        <v/>
      </c>
      <c r="B245" s="26">
        <f>IF('DIVA Satislari'!I245="","",'DIVA Satislari'!R245)</f>
        <v/>
      </c>
      <c r="C245" s="26">
        <f>IF('DIVA Satislari'!I245="","",'DIVA Satislari'!M245)</f>
        <v/>
      </c>
      <c r="D245" s="27">
        <f>IF('DIVA Satislari'!I245="","",'DIVA Satislari'!H245)</f>
        <v/>
      </c>
      <c r="E245" s="26">
        <f>IF('DIVA Satislari'!I245="","",'DIVA Satislari'!O245)</f>
        <v/>
      </c>
      <c r="F245" s="26">
        <f>IF('DIVA Satislari'!I245="","",'DIVA Satislari'!AK245)</f>
        <v/>
      </c>
      <c r="G245" s="26">
        <f>IF('DIVA Satislari'!I245="","",'DIVA Satislari'!AO245)</f>
        <v/>
      </c>
      <c r="H245" s="27">
        <f>IF('DIVA Satislari'!I245="","",'DIVA Satislari'!AN245)</f>
        <v/>
      </c>
      <c r="I245" s="28">
        <f>IF('DIVA Satislari'!I245="","",'DIVA Satislari'!AQ245)</f>
        <v/>
      </c>
      <c r="J245" s="26">
        <f>IF('DIVA Satislari'!I245="","",'DIVA Satislari'!AR245)</f>
        <v/>
      </c>
      <c r="K245" s="26">
        <f>IF('DIVA Satislari'!I245="","",IFERROR(INDEX('E2E Nakliye Montaj'!$AS$3:$AS$1002,MATCH('DIVA Satislari'!AJ245,'E2E Nakliye Montaj'!$AM$3:$AM$1002,0)),"Eşleşme Yok"))</f>
        <v/>
      </c>
      <c r="L245" s="26">
        <f>IF('DIVA Satislari'!I245="","",IFERROR(INDEX('E2E Nakliye Montaj'!$AT$3:$AT$1002,MATCH('DIVA Satislari'!AJ245,'E2E Nakliye Montaj'!$AM$3:$AM$1002,0)),"Hayır"))</f>
        <v/>
      </c>
      <c r="M245" s="26">
        <f>IF('DIVA Satislari'!I245="","",IFERROR(INDEX('E2E Nakliye Montaj'!$AU$3:$AU$1002,MATCH('DIVA Satislari'!AJ245,'E2E Nakliye Montaj'!$AM$3:$AM$1002,0)),"Hayır"))</f>
        <v/>
      </c>
      <c r="N245" s="27">
        <f>IF('DIVA Satislari'!I245="","",IFERROR(INDEX('E2E Nakliye Montaj'!$AV$3:$AV$1002,MATCH('DIVA Satislari'!AJ245,'E2E Nakliye Montaj'!$AM$3:$AM$1002,0)),""))</f>
        <v/>
      </c>
      <c r="O245" s="26">
        <f>IF(OR(A245="",N245=""),"",IF(N245&lt;=H245,"Evet","HAYIR - RİSK"))</f>
        <v/>
      </c>
      <c r="P245" s="26">
        <f>IF(A245="","",IF(LEFT(J245,8)="Kural A ","Uygun - Hemen Ödenir (Yıl Sonu %75 Kontrolüne Tabi)",IF(OR(L245="Evet",M245="Evet"),IF(O245="Evet","Uygun","RİSK - Hakediş Süresi Aşıldı"),"Bekleniyor - Nakliye/Montaj Tamamlanmadı")))</f>
        <v/>
      </c>
      <c r="Q245" s="28">
        <f>IF(A245="","",SUMIFS('Hakedis Fatura Detay'!$G$3:$G$1200,'Hakedis Fatura Detay'!$H$3:$H$1200,'DIVA Satislari'!AJ245,'Hakedis Fatura Detay'!$F$3:$F$1200,"Fiyat Farkı")+SUMIFS('Hakedis Fatura Detay'!$G$3:$G$1200,'Hakedis Fatura Detay'!$H$3:$H$1200,'DIVA Satislari'!AJ245,'Hakedis Fatura Detay'!$F$3:$F$1200,"Bundle"))</f>
        <v/>
      </c>
      <c r="R245" s="28">
        <f>IF(A245="","",I245-Q245)</f>
        <v/>
      </c>
      <c r="S245" s="26">
        <f>IF(A245="","",IF(LEFT(P245,7)="Bekleni","N/A - Henüz Ödenmemeli",IF(LEFT(P245,4)="RİSK","İNCELEME GEREKLİ - Süre Aşımı",IF(R245=0,"Doğru",IF(R245&gt;0,"EKSİK ÖDENMİŞ","FAZLA ÖDENMİŞ")))))</f>
        <v/>
      </c>
      <c r="T245" s="30">
        <f>IF(A245="","",IF(F245&lt;&gt;"Evet","İNCELEME GEREKLİ - Kampanya Tanımsız",IF(G245&lt;&gt;"Evet","İNCELEME GEREKLİ - Tarih Dışı Satış",IF(LEFT(P245,4)="RİSK","İNCELEME GEREKLİ - Hakediş Süresi Aşıldı",IF(OR(S245="EKSİK ÖDENMİŞ",S245="FAZLA ÖDENMİŞ"),"İNCELEME GEREKLİ - Tutar Uyuşmazlığı",IF(LEFT(P245,7)="Bekleni","Bekleniyor","Uygun"))))))</f>
        <v/>
      </c>
    </row>
    <row r="246">
      <c r="A246" s="26">
        <f>IF('DIVA Satislari'!I246="","",'DIVA Satislari'!I246)</f>
        <v/>
      </c>
      <c r="B246" s="26">
        <f>IF('DIVA Satislari'!I246="","",'DIVA Satislari'!R246)</f>
        <v/>
      </c>
      <c r="C246" s="26">
        <f>IF('DIVA Satislari'!I246="","",'DIVA Satislari'!M246)</f>
        <v/>
      </c>
      <c r="D246" s="27">
        <f>IF('DIVA Satislari'!I246="","",'DIVA Satislari'!H246)</f>
        <v/>
      </c>
      <c r="E246" s="26">
        <f>IF('DIVA Satislari'!I246="","",'DIVA Satislari'!O246)</f>
        <v/>
      </c>
      <c r="F246" s="26">
        <f>IF('DIVA Satislari'!I246="","",'DIVA Satislari'!AK246)</f>
        <v/>
      </c>
      <c r="G246" s="26">
        <f>IF('DIVA Satislari'!I246="","",'DIVA Satislari'!AO246)</f>
        <v/>
      </c>
      <c r="H246" s="27">
        <f>IF('DIVA Satislari'!I246="","",'DIVA Satislari'!AN246)</f>
        <v/>
      </c>
      <c r="I246" s="28">
        <f>IF('DIVA Satislari'!I246="","",'DIVA Satislari'!AQ246)</f>
        <v/>
      </c>
      <c r="J246" s="26">
        <f>IF('DIVA Satislari'!I246="","",'DIVA Satislari'!AR246)</f>
        <v/>
      </c>
      <c r="K246" s="26">
        <f>IF('DIVA Satislari'!I246="","",IFERROR(INDEX('E2E Nakliye Montaj'!$AS$3:$AS$1002,MATCH('DIVA Satislari'!AJ246,'E2E Nakliye Montaj'!$AM$3:$AM$1002,0)),"Eşleşme Yok"))</f>
        <v/>
      </c>
      <c r="L246" s="26">
        <f>IF('DIVA Satislari'!I246="","",IFERROR(INDEX('E2E Nakliye Montaj'!$AT$3:$AT$1002,MATCH('DIVA Satislari'!AJ246,'E2E Nakliye Montaj'!$AM$3:$AM$1002,0)),"Hayır"))</f>
        <v/>
      </c>
      <c r="M246" s="26">
        <f>IF('DIVA Satislari'!I246="","",IFERROR(INDEX('E2E Nakliye Montaj'!$AU$3:$AU$1002,MATCH('DIVA Satislari'!AJ246,'E2E Nakliye Montaj'!$AM$3:$AM$1002,0)),"Hayır"))</f>
        <v/>
      </c>
      <c r="N246" s="27">
        <f>IF('DIVA Satislari'!I246="","",IFERROR(INDEX('E2E Nakliye Montaj'!$AV$3:$AV$1002,MATCH('DIVA Satislari'!AJ246,'E2E Nakliye Montaj'!$AM$3:$AM$1002,0)),""))</f>
        <v/>
      </c>
      <c r="O246" s="26">
        <f>IF(OR(A246="",N246=""),"",IF(N246&lt;=H246,"Evet","HAYIR - RİSK"))</f>
        <v/>
      </c>
      <c r="P246" s="26">
        <f>IF(A246="","",IF(LEFT(J246,8)="Kural A ","Uygun - Hemen Ödenir (Yıl Sonu %75 Kontrolüne Tabi)",IF(OR(L246="Evet",M246="Evet"),IF(O246="Evet","Uygun","RİSK - Hakediş Süresi Aşıldı"),"Bekleniyor - Nakliye/Montaj Tamamlanmadı")))</f>
        <v/>
      </c>
      <c r="Q246" s="28">
        <f>IF(A246="","",SUMIFS('Hakedis Fatura Detay'!$G$3:$G$1200,'Hakedis Fatura Detay'!$H$3:$H$1200,'DIVA Satislari'!AJ246,'Hakedis Fatura Detay'!$F$3:$F$1200,"Fiyat Farkı")+SUMIFS('Hakedis Fatura Detay'!$G$3:$G$1200,'Hakedis Fatura Detay'!$H$3:$H$1200,'DIVA Satislari'!AJ246,'Hakedis Fatura Detay'!$F$3:$F$1200,"Bundle"))</f>
        <v/>
      </c>
      <c r="R246" s="28">
        <f>IF(A246="","",I246-Q246)</f>
        <v/>
      </c>
      <c r="S246" s="26">
        <f>IF(A246="","",IF(LEFT(P246,7)="Bekleni","N/A - Henüz Ödenmemeli",IF(LEFT(P246,4)="RİSK","İNCELEME GEREKLİ - Süre Aşımı",IF(R246=0,"Doğru",IF(R246&gt;0,"EKSİK ÖDENMİŞ","FAZLA ÖDENMİŞ")))))</f>
        <v/>
      </c>
      <c r="T246" s="30">
        <f>IF(A246="","",IF(F246&lt;&gt;"Evet","İNCELEME GEREKLİ - Kampanya Tanımsız",IF(G246&lt;&gt;"Evet","İNCELEME GEREKLİ - Tarih Dışı Satış",IF(LEFT(P246,4)="RİSK","İNCELEME GEREKLİ - Hakediş Süresi Aşıldı",IF(OR(S246="EKSİK ÖDENMİŞ",S246="FAZLA ÖDENMİŞ"),"İNCELEME GEREKLİ - Tutar Uyuşmazlığı",IF(LEFT(P246,7)="Bekleni","Bekleniyor","Uygun"))))))</f>
        <v/>
      </c>
    </row>
    <row r="247">
      <c r="A247" s="26">
        <f>IF('DIVA Satislari'!I247="","",'DIVA Satislari'!I247)</f>
        <v/>
      </c>
      <c r="B247" s="26">
        <f>IF('DIVA Satislari'!I247="","",'DIVA Satislari'!R247)</f>
        <v/>
      </c>
      <c r="C247" s="26">
        <f>IF('DIVA Satislari'!I247="","",'DIVA Satislari'!M247)</f>
        <v/>
      </c>
      <c r="D247" s="27">
        <f>IF('DIVA Satislari'!I247="","",'DIVA Satislari'!H247)</f>
        <v/>
      </c>
      <c r="E247" s="26">
        <f>IF('DIVA Satislari'!I247="","",'DIVA Satislari'!O247)</f>
        <v/>
      </c>
      <c r="F247" s="26">
        <f>IF('DIVA Satislari'!I247="","",'DIVA Satislari'!AK247)</f>
        <v/>
      </c>
      <c r="G247" s="26">
        <f>IF('DIVA Satislari'!I247="","",'DIVA Satislari'!AO247)</f>
        <v/>
      </c>
      <c r="H247" s="27">
        <f>IF('DIVA Satislari'!I247="","",'DIVA Satislari'!AN247)</f>
        <v/>
      </c>
      <c r="I247" s="28">
        <f>IF('DIVA Satislari'!I247="","",'DIVA Satislari'!AQ247)</f>
        <v/>
      </c>
      <c r="J247" s="26">
        <f>IF('DIVA Satislari'!I247="","",'DIVA Satislari'!AR247)</f>
        <v/>
      </c>
      <c r="K247" s="26">
        <f>IF('DIVA Satislari'!I247="","",IFERROR(INDEX('E2E Nakliye Montaj'!$AS$3:$AS$1002,MATCH('DIVA Satislari'!AJ247,'E2E Nakliye Montaj'!$AM$3:$AM$1002,0)),"Eşleşme Yok"))</f>
        <v/>
      </c>
      <c r="L247" s="26">
        <f>IF('DIVA Satislari'!I247="","",IFERROR(INDEX('E2E Nakliye Montaj'!$AT$3:$AT$1002,MATCH('DIVA Satislari'!AJ247,'E2E Nakliye Montaj'!$AM$3:$AM$1002,0)),"Hayır"))</f>
        <v/>
      </c>
      <c r="M247" s="26">
        <f>IF('DIVA Satislari'!I247="","",IFERROR(INDEX('E2E Nakliye Montaj'!$AU$3:$AU$1002,MATCH('DIVA Satislari'!AJ247,'E2E Nakliye Montaj'!$AM$3:$AM$1002,0)),"Hayır"))</f>
        <v/>
      </c>
      <c r="N247" s="27">
        <f>IF('DIVA Satislari'!I247="","",IFERROR(INDEX('E2E Nakliye Montaj'!$AV$3:$AV$1002,MATCH('DIVA Satislari'!AJ247,'E2E Nakliye Montaj'!$AM$3:$AM$1002,0)),""))</f>
        <v/>
      </c>
      <c r="O247" s="26">
        <f>IF(OR(A247="",N247=""),"",IF(N247&lt;=H247,"Evet","HAYIR - RİSK"))</f>
        <v/>
      </c>
      <c r="P247" s="26">
        <f>IF(A247="","",IF(LEFT(J247,8)="Kural A ","Uygun - Hemen Ödenir (Yıl Sonu %75 Kontrolüne Tabi)",IF(OR(L247="Evet",M247="Evet"),IF(O247="Evet","Uygun","RİSK - Hakediş Süresi Aşıldı"),"Bekleniyor - Nakliye/Montaj Tamamlanmadı")))</f>
        <v/>
      </c>
      <c r="Q247" s="28">
        <f>IF(A247="","",SUMIFS('Hakedis Fatura Detay'!$G$3:$G$1200,'Hakedis Fatura Detay'!$H$3:$H$1200,'DIVA Satislari'!AJ247,'Hakedis Fatura Detay'!$F$3:$F$1200,"Fiyat Farkı")+SUMIFS('Hakedis Fatura Detay'!$G$3:$G$1200,'Hakedis Fatura Detay'!$H$3:$H$1200,'DIVA Satislari'!AJ247,'Hakedis Fatura Detay'!$F$3:$F$1200,"Bundle"))</f>
        <v/>
      </c>
      <c r="R247" s="28">
        <f>IF(A247="","",I247-Q247)</f>
        <v/>
      </c>
      <c r="S247" s="26">
        <f>IF(A247="","",IF(LEFT(P247,7)="Bekleni","N/A - Henüz Ödenmemeli",IF(LEFT(P247,4)="RİSK","İNCELEME GEREKLİ - Süre Aşımı",IF(R247=0,"Doğru",IF(R247&gt;0,"EKSİK ÖDENMİŞ","FAZLA ÖDENMİŞ")))))</f>
        <v/>
      </c>
      <c r="T247" s="30">
        <f>IF(A247="","",IF(F247&lt;&gt;"Evet","İNCELEME GEREKLİ - Kampanya Tanımsız",IF(G247&lt;&gt;"Evet","İNCELEME GEREKLİ - Tarih Dışı Satış",IF(LEFT(P247,4)="RİSK","İNCELEME GEREKLİ - Hakediş Süresi Aşıldı",IF(OR(S247="EKSİK ÖDENMİŞ",S247="FAZLA ÖDENMİŞ"),"İNCELEME GEREKLİ - Tutar Uyuşmazlığı",IF(LEFT(P247,7)="Bekleni","Bekleniyor","Uygun"))))))</f>
        <v/>
      </c>
    </row>
    <row r="248">
      <c r="A248" s="26">
        <f>IF('DIVA Satislari'!I248="","",'DIVA Satislari'!I248)</f>
        <v/>
      </c>
      <c r="B248" s="26">
        <f>IF('DIVA Satislari'!I248="","",'DIVA Satislari'!R248)</f>
        <v/>
      </c>
      <c r="C248" s="26">
        <f>IF('DIVA Satislari'!I248="","",'DIVA Satislari'!M248)</f>
        <v/>
      </c>
      <c r="D248" s="27">
        <f>IF('DIVA Satislari'!I248="","",'DIVA Satislari'!H248)</f>
        <v/>
      </c>
      <c r="E248" s="26">
        <f>IF('DIVA Satislari'!I248="","",'DIVA Satislari'!O248)</f>
        <v/>
      </c>
      <c r="F248" s="26">
        <f>IF('DIVA Satislari'!I248="","",'DIVA Satislari'!AK248)</f>
        <v/>
      </c>
      <c r="G248" s="26">
        <f>IF('DIVA Satislari'!I248="","",'DIVA Satislari'!AO248)</f>
        <v/>
      </c>
      <c r="H248" s="27">
        <f>IF('DIVA Satislari'!I248="","",'DIVA Satislari'!AN248)</f>
        <v/>
      </c>
      <c r="I248" s="28">
        <f>IF('DIVA Satislari'!I248="","",'DIVA Satislari'!AQ248)</f>
        <v/>
      </c>
      <c r="J248" s="26">
        <f>IF('DIVA Satislari'!I248="","",'DIVA Satislari'!AR248)</f>
        <v/>
      </c>
      <c r="K248" s="26">
        <f>IF('DIVA Satislari'!I248="","",IFERROR(INDEX('E2E Nakliye Montaj'!$AS$3:$AS$1002,MATCH('DIVA Satislari'!AJ248,'E2E Nakliye Montaj'!$AM$3:$AM$1002,0)),"Eşleşme Yok"))</f>
        <v/>
      </c>
      <c r="L248" s="26">
        <f>IF('DIVA Satislari'!I248="","",IFERROR(INDEX('E2E Nakliye Montaj'!$AT$3:$AT$1002,MATCH('DIVA Satislari'!AJ248,'E2E Nakliye Montaj'!$AM$3:$AM$1002,0)),"Hayır"))</f>
        <v/>
      </c>
      <c r="M248" s="26">
        <f>IF('DIVA Satislari'!I248="","",IFERROR(INDEX('E2E Nakliye Montaj'!$AU$3:$AU$1002,MATCH('DIVA Satislari'!AJ248,'E2E Nakliye Montaj'!$AM$3:$AM$1002,0)),"Hayır"))</f>
        <v/>
      </c>
      <c r="N248" s="27">
        <f>IF('DIVA Satislari'!I248="","",IFERROR(INDEX('E2E Nakliye Montaj'!$AV$3:$AV$1002,MATCH('DIVA Satislari'!AJ248,'E2E Nakliye Montaj'!$AM$3:$AM$1002,0)),""))</f>
        <v/>
      </c>
      <c r="O248" s="26">
        <f>IF(OR(A248="",N248=""),"",IF(N248&lt;=H248,"Evet","HAYIR - RİSK"))</f>
        <v/>
      </c>
      <c r="P248" s="26">
        <f>IF(A248="","",IF(LEFT(J248,8)="Kural A ","Uygun - Hemen Ödenir (Yıl Sonu %75 Kontrolüne Tabi)",IF(OR(L248="Evet",M248="Evet"),IF(O248="Evet","Uygun","RİSK - Hakediş Süresi Aşıldı"),"Bekleniyor - Nakliye/Montaj Tamamlanmadı")))</f>
        <v/>
      </c>
      <c r="Q248" s="28">
        <f>IF(A248="","",SUMIFS('Hakedis Fatura Detay'!$G$3:$G$1200,'Hakedis Fatura Detay'!$H$3:$H$1200,'DIVA Satislari'!AJ248,'Hakedis Fatura Detay'!$F$3:$F$1200,"Fiyat Farkı")+SUMIFS('Hakedis Fatura Detay'!$G$3:$G$1200,'Hakedis Fatura Detay'!$H$3:$H$1200,'DIVA Satislari'!AJ248,'Hakedis Fatura Detay'!$F$3:$F$1200,"Bundle"))</f>
        <v/>
      </c>
      <c r="R248" s="28">
        <f>IF(A248="","",I248-Q248)</f>
        <v/>
      </c>
      <c r="S248" s="26">
        <f>IF(A248="","",IF(LEFT(P248,7)="Bekleni","N/A - Henüz Ödenmemeli",IF(LEFT(P248,4)="RİSK","İNCELEME GEREKLİ - Süre Aşımı",IF(R248=0,"Doğru",IF(R248&gt;0,"EKSİK ÖDENMİŞ","FAZLA ÖDENMİŞ")))))</f>
        <v/>
      </c>
      <c r="T248" s="30">
        <f>IF(A248="","",IF(F248&lt;&gt;"Evet","İNCELEME GEREKLİ - Kampanya Tanımsız",IF(G248&lt;&gt;"Evet","İNCELEME GEREKLİ - Tarih Dışı Satış",IF(LEFT(P248,4)="RİSK","İNCELEME GEREKLİ - Hakediş Süresi Aşıldı",IF(OR(S248="EKSİK ÖDENMİŞ",S248="FAZLA ÖDENMİŞ"),"İNCELEME GEREKLİ - Tutar Uyuşmazlığı",IF(LEFT(P248,7)="Bekleni","Bekleniyor","Uygun"))))))</f>
        <v/>
      </c>
    </row>
    <row r="249">
      <c r="A249" s="26">
        <f>IF('DIVA Satislari'!I249="","",'DIVA Satislari'!I249)</f>
        <v/>
      </c>
      <c r="B249" s="26">
        <f>IF('DIVA Satislari'!I249="","",'DIVA Satislari'!R249)</f>
        <v/>
      </c>
      <c r="C249" s="26">
        <f>IF('DIVA Satislari'!I249="","",'DIVA Satislari'!M249)</f>
        <v/>
      </c>
      <c r="D249" s="27">
        <f>IF('DIVA Satislari'!I249="","",'DIVA Satislari'!H249)</f>
        <v/>
      </c>
      <c r="E249" s="26">
        <f>IF('DIVA Satislari'!I249="","",'DIVA Satislari'!O249)</f>
        <v/>
      </c>
      <c r="F249" s="26">
        <f>IF('DIVA Satislari'!I249="","",'DIVA Satislari'!AK249)</f>
        <v/>
      </c>
      <c r="G249" s="26">
        <f>IF('DIVA Satislari'!I249="","",'DIVA Satislari'!AO249)</f>
        <v/>
      </c>
      <c r="H249" s="27">
        <f>IF('DIVA Satislari'!I249="","",'DIVA Satislari'!AN249)</f>
        <v/>
      </c>
      <c r="I249" s="28">
        <f>IF('DIVA Satislari'!I249="","",'DIVA Satislari'!AQ249)</f>
        <v/>
      </c>
      <c r="J249" s="26">
        <f>IF('DIVA Satislari'!I249="","",'DIVA Satislari'!AR249)</f>
        <v/>
      </c>
      <c r="K249" s="26">
        <f>IF('DIVA Satislari'!I249="","",IFERROR(INDEX('E2E Nakliye Montaj'!$AS$3:$AS$1002,MATCH('DIVA Satislari'!AJ249,'E2E Nakliye Montaj'!$AM$3:$AM$1002,0)),"Eşleşme Yok"))</f>
        <v/>
      </c>
      <c r="L249" s="26">
        <f>IF('DIVA Satislari'!I249="","",IFERROR(INDEX('E2E Nakliye Montaj'!$AT$3:$AT$1002,MATCH('DIVA Satislari'!AJ249,'E2E Nakliye Montaj'!$AM$3:$AM$1002,0)),"Hayır"))</f>
        <v/>
      </c>
      <c r="M249" s="26">
        <f>IF('DIVA Satislari'!I249="","",IFERROR(INDEX('E2E Nakliye Montaj'!$AU$3:$AU$1002,MATCH('DIVA Satislari'!AJ249,'E2E Nakliye Montaj'!$AM$3:$AM$1002,0)),"Hayır"))</f>
        <v/>
      </c>
      <c r="N249" s="27">
        <f>IF('DIVA Satislari'!I249="","",IFERROR(INDEX('E2E Nakliye Montaj'!$AV$3:$AV$1002,MATCH('DIVA Satislari'!AJ249,'E2E Nakliye Montaj'!$AM$3:$AM$1002,0)),""))</f>
        <v/>
      </c>
      <c r="O249" s="26">
        <f>IF(OR(A249="",N249=""),"",IF(N249&lt;=H249,"Evet","HAYIR - RİSK"))</f>
        <v/>
      </c>
      <c r="P249" s="26">
        <f>IF(A249="","",IF(LEFT(J249,8)="Kural A ","Uygun - Hemen Ödenir (Yıl Sonu %75 Kontrolüne Tabi)",IF(OR(L249="Evet",M249="Evet"),IF(O249="Evet","Uygun","RİSK - Hakediş Süresi Aşıldı"),"Bekleniyor - Nakliye/Montaj Tamamlanmadı")))</f>
        <v/>
      </c>
      <c r="Q249" s="28">
        <f>IF(A249="","",SUMIFS('Hakedis Fatura Detay'!$G$3:$G$1200,'Hakedis Fatura Detay'!$H$3:$H$1200,'DIVA Satislari'!AJ249,'Hakedis Fatura Detay'!$F$3:$F$1200,"Fiyat Farkı")+SUMIFS('Hakedis Fatura Detay'!$G$3:$G$1200,'Hakedis Fatura Detay'!$H$3:$H$1200,'DIVA Satislari'!AJ249,'Hakedis Fatura Detay'!$F$3:$F$1200,"Bundle"))</f>
        <v/>
      </c>
      <c r="R249" s="28">
        <f>IF(A249="","",I249-Q249)</f>
        <v/>
      </c>
      <c r="S249" s="26">
        <f>IF(A249="","",IF(LEFT(P249,7)="Bekleni","N/A - Henüz Ödenmemeli",IF(LEFT(P249,4)="RİSK","İNCELEME GEREKLİ - Süre Aşımı",IF(R249=0,"Doğru",IF(R249&gt;0,"EKSİK ÖDENMİŞ","FAZLA ÖDENMİŞ")))))</f>
        <v/>
      </c>
      <c r="T249" s="30">
        <f>IF(A249="","",IF(F249&lt;&gt;"Evet","İNCELEME GEREKLİ - Kampanya Tanımsız",IF(G249&lt;&gt;"Evet","İNCELEME GEREKLİ - Tarih Dışı Satış",IF(LEFT(P249,4)="RİSK","İNCELEME GEREKLİ - Hakediş Süresi Aşıldı",IF(OR(S249="EKSİK ÖDENMİŞ",S249="FAZLA ÖDENMİŞ"),"İNCELEME GEREKLİ - Tutar Uyuşmazlığı",IF(LEFT(P249,7)="Bekleni","Bekleniyor","Uygun"))))))</f>
        <v/>
      </c>
    </row>
    <row r="250">
      <c r="A250" s="26">
        <f>IF('DIVA Satislari'!I250="","",'DIVA Satislari'!I250)</f>
        <v/>
      </c>
      <c r="B250" s="26">
        <f>IF('DIVA Satislari'!I250="","",'DIVA Satislari'!R250)</f>
        <v/>
      </c>
      <c r="C250" s="26">
        <f>IF('DIVA Satislari'!I250="","",'DIVA Satislari'!M250)</f>
        <v/>
      </c>
      <c r="D250" s="27">
        <f>IF('DIVA Satislari'!I250="","",'DIVA Satislari'!H250)</f>
        <v/>
      </c>
      <c r="E250" s="26">
        <f>IF('DIVA Satislari'!I250="","",'DIVA Satislari'!O250)</f>
        <v/>
      </c>
      <c r="F250" s="26">
        <f>IF('DIVA Satislari'!I250="","",'DIVA Satislari'!AK250)</f>
        <v/>
      </c>
      <c r="G250" s="26">
        <f>IF('DIVA Satislari'!I250="","",'DIVA Satislari'!AO250)</f>
        <v/>
      </c>
      <c r="H250" s="27">
        <f>IF('DIVA Satislari'!I250="","",'DIVA Satislari'!AN250)</f>
        <v/>
      </c>
      <c r="I250" s="28">
        <f>IF('DIVA Satislari'!I250="","",'DIVA Satislari'!AQ250)</f>
        <v/>
      </c>
      <c r="J250" s="26">
        <f>IF('DIVA Satislari'!I250="","",'DIVA Satislari'!AR250)</f>
        <v/>
      </c>
      <c r="K250" s="26">
        <f>IF('DIVA Satislari'!I250="","",IFERROR(INDEX('E2E Nakliye Montaj'!$AS$3:$AS$1002,MATCH('DIVA Satislari'!AJ250,'E2E Nakliye Montaj'!$AM$3:$AM$1002,0)),"Eşleşme Yok"))</f>
        <v/>
      </c>
      <c r="L250" s="26">
        <f>IF('DIVA Satislari'!I250="","",IFERROR(INDEX('E2E Nakliye Montaj'!$AT$3:$AT$1002,MATCH('DIVA Satislari'!AJ250,'E2E Nakliye Montaj'!$AM$3:$AM$1002,0)),"Hayır"))</f>
        <v/>
      </c>
      <c r="M250" s="26">
        <f>IF('DIVA Satislari'!I250="","",IFERROR(INDEX('E2E Nakliye Montaj'!$AU$3:$AU$1002,MATCH('DIVA Satislari'!AJ250,'E2E Nakliye Montaj'!$AM$3:$AM$1002,0)),"Hayır"))</f>
        <v/>
      </c>
      <c r="N250" s="27">
        <f>IF('DIVA Satislari'!I250="","",IFERROR(INDEX('E2E Nakliye Montaj'!$AV$3:$AV$1002,MATCH('DIVA Satislari'!AJ250,'E2E Nakliye Montaj'!$AM$3:$AM$1002,0)),""))</f>
        <v/>
      </c>
      <c r="O250" s="26">
        <f>IF(OR(A250="",N250=""),"",IF(N250&lt;=H250,"Evet","HAYIR - RİSK"))</f>
        <v/>
      </c>
      <c r="P250" s="26">
        <f>IF(A250="","",IF(LEFT(J250,8)="Kural A ","Uygun - Hemen Ödenir (Yıl Sonu %75 Kontrolüne Tabi)",IF(OR(L250="Evet",M250="Evet"),IF(O250="Evet","Uygun","RİSK - Hakediş Süresi Aşıldı"),"Bekleniyor - Nakliye/Montaj Tamamlanmadı")))</f>
        <v/>
      </c>
      <c r="Q250" s="28">
        <f>IF(A250="","",SUMIFS('Hakedis Fatura Detay'!$G$3:$G$1200,'Hakedis Fatura Detay'!$H$3:$H$1200,'DIVA Satislari'!AJ250,'Hakedis Fatura Detay'!$F$3:$F$1200,"Fiyat Farkı")+SUMIFS('Hakedis Fatura Detay'!$G$3:$G$1200,'Hakedis Fatura Detay'!$H$3:$H$1200,'DIVA Satislari'!AJ250,'Hakedis Fatura Detay'!$F$3:$F$1200,"Bundle"))</f>
        <v/>
      </c>
      <c r="R250" s="28">
        <f>IF(A250="","",I250-Q250)</f>
        <v/>
      </c>
      <c r="S250" s="26">
        <f>IF(A250="","",IF(LEFT(P250,7)="Bekleni","N/A - Henüz Ödenmemeli",IF(LEFT(P250,4)="RİSK","İNCELEME GEREKLİ - Süre Aşımı",IF(R250=0,"Doğru",IF(R250&gt;0,"EKSİK ÖDENMİŞ","FAZLA ÖDENMİŞ")))))</f>
        <v/>
      </c>
      <c r="T250" s="30">
        <f>IF(A250="","",IF(F250&lt;&gt;"Evet","İNCELEME GEREKLİ - Kampanya Tanımsız",IF(G250&lt;&gt;"Evet","İNCELEME GEREKLİ - Tarih Dışı Satış",IF(LEFT(P250,4)="RİSK","İNCELEME GEREKLİ - Hakediş Süresi Aşıldı",IF(OR(S250="EKSİK ÖDENMİŞ",S250="FAZLA ÖDENMİŞ"),"İNCELEME GEREKLİ - Tutar Uyuşmazlığı",IF(LEFT(P250,7)="Bekleni","Bekleniyor","Uygun"))))))</f>
        <v/>
      </c>
    </row>
    <row r="251">
      <c r="A251" s="26">
        <f>IF('DIVA Satislari'!I251="","",'DIVA Satislari'!I251)</f>
        <v/>
      </c>
      <c r="B251" s="26">
        <f>IF('DIVA Satislari'!I251="","",'DIVA Satislari'!R251)</f>
        <v/>
      </c>
      <c r="C251" s="26">
        <f>IF('DIVA Satislari'!I251="","",'DIVA Satislari'!M251)</f>
        <v/>
      </c>
      <c r="D251" s="27">
        <f>IF('DIVA Satislari'!I251="","",'DIVA Satislari'!H251)</f>
        <v/>
      </c>
      <c r="E251" s="26">
        <f>IF('DIVA Satislari'!I251="","",'DIVA Satislari'!O251)</f>
        <v/>
      </c>
      <c r="F251" s="26">
        <f>IF('DIVA Satislari'!I251="","",'DIVA Satislari'!AK251)</f>
        <v/>
      </c>
      <c r="G251" s="26">
        <f>IF('DIVA Satislari'!I251="","",'DIVA Satislari'!AO251)</f>
        <v/>
      </c>
      <c r="H251" s="27">
        <f>IF('DIVA Satislari'!I251="","",'DIVA Satislari'!AN251)</f>
        <v/>
      </c>
      <c r="I251" s="28">
        <f>IF('DIVA Satislari'!I251="","",'DIVA Satislari'!AQ251)</f>
        <v/>
      </c>
      <c r="J251" s="26">
        <f>IF('DIVA Satislari'!I251="","",'DIVA Satislari'!AR251)</f>
        <v/>
      </c>
      <c r="K251" s="26">
        <f>IF('DIVA Satislari'!I251="","",IFERROR(INDEX('E2E Nakliye Montaj'!$AS$3:$AS$1002,MATCH('DIVA Satislari'!AJ251,'E2E Nakliye Montaj'!$AM$3:$AM$1002,0)),"Eşleşme Yok"))</f>
        <v/>
      </c>
      <c r="L251" s="26">
        <f>IF('DIVA Satislari'!I251="","",IFERROR(INDEX('E2E Nakliye Montaj'!$AT$3:$AT$1002,MATCH('DIVA Satislari'!AJ251,'E2E Nakliye Montaj'!$AM$3:$AM$1002,0)),"Hayır"))</f>
        <v/>
      </c>
      <c r="M251" s="26">
        <f>IF('DIVA Satislari'!I251="","",IFERROR(INDEX('E2E Nakliye Montaj'!$AU$3:$AU$1002,MATCH('DIVA Satislari'!AJ251,'E2E Nakliye Montaj'!$AM$3:$AM$1002,0)),"Hayır"))</f>
        <v/>
      </c>
      <c r="N251" s="27">
        <f>IF('DIVA Satislari'!I251="","",IFERROR(INDEX('E2E Nakliye Montaj'!$AV$3:$AV$1002,MATCH('DIVA Satislari'!AJ251,'E2E Nakliye Montaj'!$AM$3:$AM$1002,0)),""))</f>
        <v/>
      </c>
      <c r="O251" s="26">
        <f>IF(OR(A251="",N251=""),"",IF(N251&lt;=H251,"Evet","HAYIR - RİSK"))</f>
        <v/>
      </c>
      <c r="P251" s="26">
        <f>IF(A251="","",IF(LEFT(J251,8)="Kural A ","Uygun - Hemen Ödenir (Yıl Sonu %75 Kontrolüne Tabi)",IF(OR(L251="Evet",M251="Evet"),IF(O251="Evet","Uygun","RİSK - Hakediş Süresi Aşıldı"),"Bekleniyor - Nakliye/Montaj Tamamlanmadı")))</f>
        <v/>
      </c>
      <c r="Q251" s="28">
        <f>IF(A251="","",SUMIFS('Hakedis Fatura Detay'!$G$3:$G$1200,'Hakedis Fatura Detay'!$H$3:$H$1200,'DIVA Satislari'!AJ251,'Hakedis Fatura Detay'!$F$3:$F$1200,"Fiyat Farkı")+SUMIFS('Hakedis Fatura Detay'!$G$3:$G$1200,'Hakedis Fatura Detay'!$H$3:$H$1200,'DIVA Satislari'!AJ251,'Hakedis Fatura Detay'!$F$3:$F$1200,"Bundle"))</f>
        <v/>
      </c>
      <c r="R251" s="28">
        <f>IF(A251="","",I251-Q251)</f>
        <v/>
      </c>
      <c r="S251" s="26">
        <f>IF(A251="","",IF(LEFT(P251,7)="Bekleni","N/A - Henüz Ödenmemeli",IF(LEFT(P251,4)="RİSK","İNCELEME GEREKLİ - Süre Aşımı",IF(R251=0,"Doğru",IF(R251&gt;0,"EKSİK ÖDENMİŞ","FAZLA ÖDENMİŞ")))))</f>
        <v/>
      </c>
      <c r="T251" s="30">
        <f>IF(A251="","",IF(F251&lt;&gt;"Evet","İNCELEME GEREKLİ - Kampanya Tanımsız",IF(G251&lt;&gt;"Evet","İNCELEME GEREKLİ - Tarih Dışı Satış",IF(LEFT(P251,4)="RİSK","İNCELEME GEREKLİ - Hakediş Süresi Aşıldı",IF(OR(S251="EKSİK ÖDENMİŞ",S251="FAZLA ÖDENMİŞ"),"İNCELEME GEREKLİ - Tutar Uyuşmazlığı",IF(LEFT(P251,7)="Bekleni","Bekleniyor","Uygun"))))))</f>
        <v/>
      </c>
    </row>
    <row r="252">
      <c r="A252" s="26">
        <f>IF('DIVA Satislari'!I252="","",'DIVA Satislari'!I252)</f>
        <v/>
      </c>
      <c r="B252" s="26">
        <f>IF('DIVA Satislari'!I252="","",'DIVA Satislari'!R252)</f>
        <v/>
      </c>
      <c r="C252" s="26">
        <f>IF('DIVA Satislari'!I252="","",'DIVA Satislari'!M252)</f>
        <v/>
      </c>
      <c r="D252" s="27">
        <f>IF('DIVA Satislari'!I252="","",'DIVA Satislari'!H252)</f>
        <v/>
      </c>
      <c r="E252" s="26">
        <f>IF('DIVA Satislari'!I252="","",'DIVA Satislari'!O252)</f>
        <v/>
      </c>
      <c r="F252" s="26">
        <f>IF('DIVA Satislari'!I252="","",'DIVA Satislari'!AK252)</f>
        <v/>
      </c>
      <c r="G252" s="26">
        <f>IF('DIVA Satislari'!I252="","",'DIVA Satislari'!AO252)</f>
        <v/>
      </c>
      <c r="H252" s="27">
        <f>IF('DIVA Satislari'!I252="","",'DIVA Satislari'!AN252)</f>
        <v/>
      </c>
      <c r="I252" s="28">
        <f>IF('DIVA Satislari'!I252="","",'DIVA Satislari'!AQ252)</f>
        <v/>
      </c>
      <c r="J252" s="26">
        <f>IF('DIVA Satislari'!I252="","",'DIVA Satislari'!AR252)</f>
        <v/>
      </c>
      <c r="K252" s="26">
        <f>IF('DIVA Satislari'!I252="","",IFERROR(INDEX('E2E Nakliye Montaj'!$AS$3:$AS$1002,MATCH('DIVA Satislari'!AJ252,'E2E Nakliye Montaj'!$AM$3:$AM$1002,0)),"Eşleşme Yok"))</f>
        <v/>
      </c>
      <c r="L252" s="26">
        <f>IF('DIVA Satislari'!I252="","",IFERROR(INDEX('E2E Nakliye Montaj'!$AT$3:$AT$1002,MATCH('DIVA Satislari'!AJ252,'E2E Nakliye Montaj'!$AM$3:$AM$1002,0)),"Hayır"))</f>
        <v/>
      </c>
      <c r="M252" s="26">
        <f>IF('DIVA Satislari'!I252="","",IFERROR(INDEX('E2E Nakliye Montaj'!$AU$3:$AU$1002,MATCH('DIVA Satislari'!AJ252,'E2E Nakliye Montaj'!$AM$3:$AM$1002,0)),"Hayır"))</f>
        <v/>
      </c>
      <c r="N252" s="27">
        <f>IF('DIVA Satislari'!I252="","",IFERROR(INDEX('E2E Nakliye Montaj'!$AV$3:$AV$1002,MATCH('DIVA Satislari'!AJ252,'E2E Nakliye Montaj'!$AM$3:$AM$1002,0)),""))</f>
        <v/>
      </c>
      <c r="O252" s="26">
        <f>IF(OR(A252="",N252=""),"",IF(N252&lt;=H252,"Evet","HAYIR - RİSK"))</f>
        <v/>
      </c>
      <c r="P252" s="26">
        <f>IF(A252="","",IF(LEFT(J252,8)="Kural A ","Uygun - Hemen Ödenir (Yıl Sonu %75 Kontrolüne Tabi)",IF(OR(L252="Evet",M252="Evet"),IF(O252="Evet","Uygun","RİSK - Hakediş Süresi Aşıldı"),"Bekleniyor - Nakliye/Montaj Tamamlanmadı")))</f>
        <v/>
      </c>
      <c r="Q252" s="28">
        <f>IF(A252="","",SUMIFS('Hakedis Fatura Detay'!$G$3:$G$1200,'Hakedis Fatura Detay'!$H$3:$H$1200,'DIVA Satislari'!AJ252,'Hakedis Fatura Detay'!$F$3:$F$1200,"Fiyat Farkı")+SUMIFS('Hakedis Fatura Detay'!$G$3:$G$1200,'Hakedis Fatura Detay'!$H$3:$H$1200,'DIVA Satislari'!AJ252,'Hakedis Fatura Detay'!$F$3:$F$1200,"Bundle"))</f>
        <v/>
      </c>
      <c r="R252" s="28">
        <f>IF(A252="","",I252-Q252)</f>
        <v/>
      </c>
      <c r="S252" s="26">
        <f>IF(A252="","",IF(LEFT(P252,7)="Bekleni","N/A - Henüz Ödenmemeli",IF(LEFT(P252,4)="RİSK","İNCELEME GEREKLİ - Süre Aşımı",IF(R252=0,"Doğru",IF(R252&gt;0,"EKSİK ÖDENMİŞ","FAZLA ÖDENMİŞ")))))</f>
        <v/>
      </c>
      <c r="T252" s="30">
        <f>IF(A252="","",IF(F252&lt;&gt;"Evet","İNCELEME GEREKLİ - Kampanya Tanımsız",IF(G252&lt;&gt;"Evet","İNCELEME GEREKLİ - Tarih Dışı Satış",IF(LEFT(P252,4)="RİSK","İNCELEME GEREKLİ - Hakediş Süresi Aşıldı",IF(OR(S252="EKSİK ÖDENMİŞ",S252="FAZLA ÖDENMİŞ"),"İNCELEME GEREKLİ - Tutar Uyuşmazlığı",IF(LEFT(P252,7)="Bekleni","Bekleniyor","Uygun"))))))</f>
        <v/>
      </c>
    </row>
    <row r="253">
      <c r="A253" s="26">
        <f>IF('DIVA Satislari'!I253="","",'DIVA Satislari'!I253)</f>
        <v/>
      </c>
      <c r="B253" s="26">
        <f>IF('DIVA Satislari'!I253="","",'DIVA Satislari'!R253)</f>
        <v/>
      </c>
      <c r="C253" s="26">
        <f>IF('DIVA Satislari'!I253="","",'DIVA Satislari'!M253)</f>
        <v/>
      </c>
      <c r="D253" s="27">
        <f>IF('DIVA Satislari'!I253="","",'DIVA Satislari'!H253)</f>
        <v/>
      </c>
      <c r="E253" s="26">
        <f>IF('DIVA Satislari'!I253="","",'DIVA Satislari'!O253)</f>
        <v/>
      </c>
      <c r="F253" s="26">
        <f>IF('DIVA Satislari'!I253="","",'DIVA Satislari'!AK253)</f>
        <v/>
      </c>
      <c r="G253" s="26">
        <f>IF('DIVA Satislari'!I253="","",'DIVA Satislari'!AO253)</f>
        <v/>
      </c>
      <c r="H253" s="27">
        <f>IF('DIVA Satislari'!I253="","",'DIVA Satislari'!AN253)</f>
        <v/>
      </c>
      <c r="I253" s="28">
        <f>IF('DIVA Satislari'!I253="","",'DIVA Satislari'!AQ253)</f>
        <v/>
      </c>
      <c r="J253" s="26">
        <f>IF('DIVA Satislari'!I253="","",'DIVA Satislari'!AR253)</f>
        <v/>
      </c>
      <c r="K253" s="26">
        <f>IF('DIVA Satislari'!I253="","",IFERROR(INDEX('E2E Nakliye Montaj'!$AS$3:$AS$1002,MATCH('DIVA Satislari'!AJ253,'E2E Nakliye Montaj'!$AM$3:$AM$1002,0)),"Eşleşme Yok"))</f>
        <v/>
      </c>
      <c r="L253" s="26">
        <f>IF('DIVA Satislari'!I253="","",IFERROR(INDEX('E2E Nakliye Montaj'!$AT$3:$AT$1002,MATCH('DIVA Satislari'!AJ253,'E2E Nakliye Montaj'!$AM$3:$AM$1002,0)),"Hayır"))</f>
        <v/>
      </c>
      <c r="M253" s="26">
        <f>IF('DIVA Satislari'!I253="","",IFERROR(INDEX('E2E Nakliye Montaj'!$AU$3:$AU$1002,MATCH('DIVA Satislari'!AJ253,'E2E Nakliye Montaj'!$AM$3:$AM$1002,0)),"Hayır"))</f>
        <v/>
      </c>
      <c r="N253" s="27">
        <f>IF('DIVA Satislari'!I253="","",IFERROR(INDEX('E2E Nakliye Montaj'!$AV$3:$AV$1002,MATCH('DIVA Satislari'!AJ253,'E2E Nakliye Montaj'!$AM$3:$AM$1002,0)),""))</f>
        <v/>
      </c>
      <c r="O253" s="26">
        <f>IF(OR(A253="",N253=""),"",IF(N253&lt;=H253,"Evet","HAYIR - RİSK"))</f>
        <v/>
      </c>
      <c r="P253" s="26">
        <f>IF(A253="","",IF(LEFT(J253,8)="Kural A ","Uygun - Hemen Ödenir (Yıl Sonu %75 Kontrolüne Tabi)",IF(OR(L253="Evet",M253="Evet"),IF(O253="Evet","Uygun","RİSK - Hakediş Süresi Aşıldı"),"Bekleniyor - Nakliye/Montaj Tamamlanmadı")))</f>
        <v/>
      </c>
      <c r="Q253" s="28">
        <f>IF(A253="","",SUMIFS('Hakedis Fatura Detay'!$G$3:$G$1200,'Hakedis Fatura Detay'!$H$3:$H$1200,'DIVA Satislari'!AJ253,'Hakedis Fatura Detay'!$F$3:$F$1200,"Fiyat Farkı")+SUMIFS('Hakedis Fatura Detay'!$G$3:$G$1200,'Hakedis Fatura Detay'!$H$3:$H$1200,'DIVA Satislari'!AJ253,'Hakedis Fatura Detay'!$F$3:$F$1200,"Bundle"))</f>
        <v/>
      </c>
      <c r="R253" s="28">
        <f>IF(A253="","",I253-Q253)</f>
        <v/>
      </c>
      <c r="S253" s="26">
        <f>IF(A253="","",IF(LEFT(P253,7)="Bekleni","N/A - Henüz Ödenmemeli",IF(LEFT(P253,4)="RİSK","İNCELEME GEREKLİ - Süre Aşımı",IF(R253=0,"Doğru",IF(R253&gt;0,"EKSİK ÖDENMİŞ","FAZLA ÖDENMİŞ")))))</f>
        <v/>
      </c>
      <c r="T253" s="30">
        <f>IF(A253="","",IF(F253&lt;&gt;"Evet","İNCELEME GEREKLİ - Kampanya Tanımsız",IF(G253&lt;&gt;"Evet","İNCELEME GEREKLİ - Tarih Dışı Satış",IF(LEFT(P253,4)="RİSK","İNCELEME GEREKLİ - Hakediş Süresi Aşıldı",IF(OR(S253="EKSİK ÖDENMİŞ",S253="FAZLA ÖDENMİŞ"),"İNCELEME GEREKLİ - Tutar Uyuşmazlığı",IF(LEFT(P253,7)="Bekleni","Bekleniyor","Uygun"))))))</f>
        <v/>
      </c>
    </row>
    <row r="254">
      <c r="A254" s="26">
        <f>IF('DIVA Satislari'!I254="","",'DIVA Satislari'!I254)</f>
        <v/>
      </c>
      <c r="B254" s="26">
        <f>IF('DIVA Satislari'!I254="","",'DIVA Satislari'!R254)</f>
        <v/>
      </c>
      <c r="C254" s="26">
        <f>IF('DIVA Satislari'!I254="","",'DIVA Satislari'!M254)</f>
        <v/>
      </c>
      <c r="D254" s="27">
        <f>IF('DIVA Satislari'!I254="","",'DIVA Satislari'!H254)</f>
        <v/>
      </c>
      <c r="E254" s="26">
        <f>IF('DIVA Satislari'!I254="","",'DIVA Satislari'!O254)</f>
        <v/>
      </c>
      <c r="F254" s="26">
        <f>IF('DIVA Satislari'!I254="","",'DIVA Satislari'!AK254)</f>
        <v/>
      </c>
      <c r="G254" s="26">
        <f>IF('DIVA Satislari'!I254="","",'DIVA Satislari'!AO254)</f>
        <v/>
      </c>
      <c r="H254" s="27">
        <f>IF('DIVA Satislari'!I254="","",'DIVA Satislari'!AN254)</f>
        <v/>
      </c>
      <c r="I254" s="28">
        <f>IF('DIVA Satislari'!I254="","",'DIVA Satislari'!AQ254)</f>
        <v/>
      </c>
      <c r="J254" s="26">
        <f>IF('DIVA Satislari'!I254="","",'DIVA Satislari'!AR254)</f>
        <v/>
      </c>
      <c r="K254" s="26">
        <f>IF('DIVA Satislari'!I254="","",IFERROR(INDEX('E2E Nakliye Montaj'!$AS$3:$AS$1002,MATCH('DIVA Satislari'!AJ254,'E2E Nakliye Montaj'!$AM$3:$AM$1002,0)),"Eşleşme Yok"))</f>
        <v/>
      </c>
      <c r="L254" s="26">
        <f>IF('DIVA Satislari'!I254="","",IFERROR(INDEX('E2E Nakliye Montaj'!$AT$3:$AT$1002,MATCH('DIVA Satislari'!AJ254,'E2E Nakliye Montaj'!$AM$3:$AM$1002,0)),"Hayır"))</f>
        <v/>
      </c>
      <c r="M254" s="26">
        <f>IF('DIVA Satislari'!I254="","",IFERROR(INDEX('E2E Nakliye Montaj'!$AU$3:$AU$1002,MATCH('DIVA Satislari'!AJ254,'E2E Nakliye Montaj'!$AM$3:$AM$1002,0)),"Hayır"))</f>
        <v/>
      </c>
      <c r="N254" s="27">
        <f>IF('DIVA Satislari'!I254="","",IFERROR(INDEX('E2E Nakliye Montaj'!$AV$3:$AV$1002,MATCH('DIVA Satislari'!AJ254,'E2E Nakliye Montaj'!$AM$3:$AM$1002,0)),""))</f>
        <v/>
      </c>
      <c r="O254" s="26">
        <f>IF(OR(A254="",N254=""),"",IF(N254&lt;=H254,"Evet","HAYIR - RİSK"))</f>
        <v/>
      </c>
      <c r="P254" s="26">
        <f>IF(A254="","",IF(LEFT(J254,8)="Kural A ","Uygun - Hemen Ödenir (Yıl Sonu %75 Kontrolüne Tabi)",IF(OR(L254="Evet",M254="Evet"),IF(O254="Evet","Uygun","RİSK - Hakediş Süresi Aşıldı"),"Bekleniyor - Nakliye/Montaj Tamamlanmadı")))</f>
        <v/>
      </c>
      <c r="Q254" s="28">
        <f>IF(A254="","",SUMIFS('Hakedis Fatura Detay'!$G$3:$G$1200,'Hakedis Fatura Detay'!$H$3:$H$1200,'DIVA Satislari'!AJ254,'Hakedis Fatura Detay'!$F$3:$F$1200,"Fiyat Farkı")+SUMIFS('Hakedis Fatura Detay'!$G$3:$G$1200,'Hakedis Fatura Detay'!$H$3:$H$1200,'DIVA Satislari'!AJ254,'Hakedis Fatura Detay'!$F$3:$F$1200,"Bundle"))</f>
        <v/>
      </c>
      <c r="R254" s="28">
        <f>IF(A254="","",I254-Q254)</f>
        <v/>
      </c>
      <c r="S254" s="26">
        <f>IF(A254="","",IF(LEFT(P254,7)="Bekleni","N/A - Henüz Ödenmemeli",IF(LEFT(P254,4)="RİSK","İNCELEME GEREKLİ - Süre Aşımı",IF(R254=0,"Doğru",IF(R254&gt;0,"EKSİK ÖDENMİŞ","FAZLA ÖDENMİŞ")))))</f>
        <v/>
      </c>
      <c r="T254" s="30">
        <f>IF(A254="","",IF(F254&lt;&gt;"Evet","İNCELEME GEREKLİ - Kampanya Tanımsız",IF(G254&lt;&gt;"Evet","İNCELEME GEREKLİ - Tarih Dışı Satış",IF(LEFT(P254,4)="RİSK","İNCELEME GEREKLİ - Hakediş Süresi Aşıldı",IF(OR(S254="EKSİK ÖDENMİŞ",S254="FAZLA ÖDENMİŞ"),"İNCELEME GEREKLİ - Tutar Uyuşmazlığı",IF(LEFT(P254,7)="Bekleni","Bekleniyor","Uygun"))))))</f>
        <v/>
      </c>
    </row>
    <row r="255">
      <c r="A255" s="26">
        <f>IF('DIVA Satislari'!I255="","",'DIVA Satislari'!I255)</f>
        <v/>
      </c>
      <c r="B255" s="26">
        <f>IF('DIVA Satislari'!I255="","",'DIVA Satislari'!R255)</f>
        <v/>
      </c>
      <c r="C255" s="26">
        <f>IF('DIVA Satislari'!I255="","",'DIVA Satislari'!M255)</f>
        <v/>
      </c>
      <c r="D255" s="27">
        <f>IF('DIVA Satislari'!I255="","",'DIVA Satislari'!H255)</f>
        <v/>
      </c>
      <c r="E255" s="26">
        <f>IF('DIVA Satislari'!I255="","",'DIVA Satislari'!O255)</f>
        <v/>
      </c>
      <c r="F255" s="26">
        <f>IF('DIVA Satislari'!I255="","",'DIVA Satislari'!AK255)</f>
        <v/>
      </c>
      <c r="G255" s="26">
        <f>IF('DIVA Satislari'!I255="","",'DIVA Satislari'!AO255)</f>
        <v/>
      </c>
      <c r="H255" s="27">
        <f>IF('DIVA Satislari'!I255="","",'DIVA Satislari'!AN255)</f>
        <v/>
      </c>
      <c r="I255" s="28">
        <f>IF('DIVA Satislari'!I255="","",'DIVA Satislari'!AQ255)</f>
        <v/>
      </c>
      <c r="J255" s="26">
        <f>IF('DIVA Satislari'!I255="","",'DIVA Satislari'!AR255)</f>
        <v/>
      </c>
      <c r="K255" s="26">
        <f>IF('DIVA Satislari'!I255="","",IFERROR(INDEX('E2E Nakliye Montaj'!$AS$3:$AS$1002,MATCH('DIVA Satislari'!AJ255,'E2E Nakliye Montaj'!$AM$3:$AM$1002,0)),"Eşleşme Yok"))</f>
        <v/>
      </c>
      <c r="L255" s="26">
        <f>IF('DIVA Satislari'!I255="","",IFERROR(INDEX('E2E Nakliye Montaj'!$AT$3:$AT$1002,MATCH('DIVA Satislari'!AJ255,'E2E Nakliye Montaj'!$AM$3:$AM$1002,0)),"Hayır"))</f>
        <v/>
      </c>
      <c r="M255" s="26">
        <f>IF('DIVA Satislari'!I255="","",IFERROR(INDEX('E2E Nakliye Montaj'!$AU$3:$AU$1002,MATCH('DIVA Satislari'!AJ255,'E2E Nakliye Montaj'!$AM$3:$AM$1002,0)),"Hayır"))</f>
        <v/>
      </c>
      <c r="N255" s="27">
        <f>IF('DIVA Satislari'!I255="","",IFERROR(INDEX('E2E Nakliye Montaj'!$AV$3:$AV$1002,MATCH('DIVA Satislari'!AJ255,'E2E Nakliye Montaj'!$AM$3:$AM$1002,0)),""))</f>
        <v/>
      </c>
      <c r="O255" s="26">
        <f>IF(OR(A255="",N255=""),"",IF(N255&lt;=H255,"Evet","HAYIR - RİSK"))</f>
        <v/>
      </c>
      <c r="P255" s="26">
        <f>IF(A255="","",IF(LEFT(J255,8)="Kural A ","Uygun - Hemen Ödenir (Yıl Sonu %75 Kontrolüne Tabi)",IF(OR(L255="Evet",M255="Evet"),IF(O255="Evet","Uygun","RİSK - Hakediş Süresi Aşıldı"),"Bekleniyor - Nakliye/Montaj Tamamlanmadı")))</f>
        <v/>
      </c>
      <c r="Q255" s="28">
        <f>IF(A255="","",SUMIFS('Hakedis Fatura Detay'!$G$3:$G$1200,'Hakedis Fatura Detay'!$H$3:$H$1200,'DIVA Satislari'!AJ255,'Hakedis Fatura Detay'!$F$3:$F$1200,"Fiyat Farkı")+SUMIFS('Hakedis Fatura Detay'!$G$3:$G$1200,'Hakedis Fatura Detay'!$H$3:$H$1200,'DIVA Satislari'!AJ255,'Hakedis Fatura Detay'!$F$3:$F$1200,"Bundle"))</f>
        <v/>
      </c>
      <c r="R255" s="28">
        <f>IF(A255="","",I255-Q255)</f>
        <v/>
      </c>
      <c r="S255" s="26">
        <f>IF(A255="","",IF(LEFT(P255,7)="Bekleni","N/A - Henüz Ödenmemeli",IF(LEFT(P255,4)="RİSK","İNCELEME GEREKLİ - Süre Aşımı",IF(R255=0,"Doğru",IF(R255&gt;0,"EKSİK ÖDENMİŞ","FAZLA ÖDENMİŞ")))))</f>
        <v/>
      </c>
      <c r="T255" s="30">
        <f>IF(A255="","",IF(F255&lt;&gt;"Evet","İNCELEME GEREKLİ - Kampanya Tanımsız",IF(G255&lt;&gt;"Evet","İNCELEME GEREKLİ - Tarih Dışı Satış",IF(LEFT(P255,4)="RİSK","İNCELEME GEREKLİ - Hakediş Süresi Aşıldı",IF(OR(S255="EKSİK ÖDENMİŞ",S255="FAZLA ÖDENMİŞ"),"İNCELEME GEREKLİ - Tutar Uyuşmazlığı",IF(LEFT(P255,7)="Bekleni","Bekleniyor","Uygun"))))))</f>
        <v/>
      </c>
    </row>
    <row r="256">
      <c r="A256" s="26">
        <f>IF('DIVA Satislari'!I256="","",'DIVA Satislari'!I256)</f>
        <v/>
      </c>
      <c r="B256" s="26">
        <f>IF('DIVA Satislari'!I256="","",'DIVA Satislari'!R256)</f>
        <v/>
      </c>
      <c r="C256" s="26">
        <f>IF('DIVA Satislari'!I256="","",'DIVA Satislari'!M256)</f>
        <v/>
      </c>
      <c r="D256" s="27">
        <f>IF('DIVA Satislari'!I256="","",'DIVA Satislari'!H256)</f>
        <v/>
      </c>
      <c r="E256" s="26">
        <f>IF('DIVA Satislari'!I256="","",'DIVA Satislari'!O256)</f>
        <v/>
      </c>
      <c r="F256" s="26">
        <f>IF('DIVA Satislari'!I256="","",'DIVA Satislari'!AK256)</f>
        <v/>
      </c>
      <c r="G256" s="26">
        <f>IF('DIVA Satislari'!I256="","",'DIVA Satislari'!AO256)</f>
        <v/>
      </c>
      <c r="H256" s="27">
        <f>IF('DIVA Satislari'!I256="","",'DIVA Satislari'!AN256)</f>
        <v/>
      </c>
      <c r="I256" s="28">
        <f>IF('DIVA Satislari'!I256="","",'DIVA Satislari'!AQ256)</f>
        <v/>
      </c>
      <c r="J256" s="26">
        <f>IF('DIVA Satislari'!I256="","",'DIVA Satislari'!AR256)</f>
        <v/>
      </c>
      <c r="K256" s="26">
        <f>IF('DIVA Satislari'!I256="","",IFERROR(INDEX('E2E Nakliye Montaj'!$AS$3:$AS$1002,MATCH('DIVA Satislari'!AJ256,'E2E Nakliye Montaj'!$AM$3:$AM$1002,0)),"Eşleşme Yok"))</f>
        <v/>
      </c>
      <c r="L256" s="26">
        <f>IF('DIVA Satislari'!I256="","",IFERROR(INDEX('E2E Nakliye Montaj'!$AT$3:$AT$1002,MATCH('DIVA Satislari'!AJ256,'E2E Nakliye Montaj'!$AM$3:$AM$1002,0)),"Hayır"))</f>
        <v/>
      </c>
      <c r="M256" s="26">
        <f>IF('DIVA Satislari'!I256="","",IFERROR(INDEX('E2E Nakliye Montaj'!$AU$3:$AU$1002,MATCH('DIVA Satislari'!AJ256,'E2E Nakliye Montaj'!$AM$3:$AM$1002,0)),"Hayır"))</f>
        <v/>
      </c>
      <c r="N256" s="27">
        <f>IF('DIVA Satislari'!I256="","",IFERROR(INDEX('E2E Nakliye Montaj'!$AV$3:$AV$1002,MATCH('DIVA Satislari'!AJ256,'E2E Nakliye Montaj'!$AM$3:$AM$1002,0)),""))</f>
        <v/>
      </c>
      <c r="O256" s="26">
        <f>IF(OR(A256="",N256=""),"",IF(N256&lt;=H256,"Evet","HAYIR - RİSK"))</f>
        <v/>
      </c>
      <c r="P256" s="26">
        <f>IF(A256="","",IF(LEFT(J256,8)="Kural A ","Uygun - Hemen Ödenir (Yıl Sonu %75 Kontrolüne Tabi)",IF(OR(L256="Evet",M256="Evet"),IF(O256="Evet","Uygun","RİSK - Hakediş Süresi Aşıldı"),"Bekleniyor - Nakliye/Montaj Tamamlanmadı")))</f>
        <v/>
      </c>
      <c r="Q256" s="28">
        <f>IF(A256="","",SUMIFS('Hakedis Fatura Detay'!$G$3:$G$1200,'Hakedis Fatura Detay'!$H$3:$H$1200,'DIVA Satislari'!AJ256,'Hakedis Fatura Detay'!$F$3:$F$1200,"Fiyat Farkı")+SUMIFS('Hakedis Fatura Detay'!$G$3:$G$1200,'Hakedis Fatura Detay'!$H$3:$H$1200,'DIVA Satislari'!AJ256,'Hakedis Fatura Detay'!$F$3:$F$1200,"Bundle"))</f>
        <v/>
      </c>
      <c r="R256" s="28">
        <f>IF(A256="","",I256-Q256)</f>
        <v/>
      </c>
      <c r="S256" s="26">
        <f>IF(A256="","",IF(LEFT(P256,7)="Bekleni","N/A - Henüz Ödenmemeli",IF(LEFT(P256,4)="RİSK","İNCELEME GEREKLİ - Süre Aşımı",IF(R256=0,"Doğru",IF(R256&gt;0,"EKSİK ÖDENMİŞ","FAZLA ÖDENMİŞ")))))</f>
        <v/>
      </c>
      <c r="T256" s="30">
        <f>IF(A256="","",IF(F256&lt;&gt;"Evet","İNCELEME GEREKLİ - Kampanya Tanımsız",IF(G256&lt;&gt;"Evet","İNCELEME GEREKLİ - Tarih Dışı Satış",IF(LEFT(P256,4)="RİSK","İNCELEME GEREKLİ - Hakediş Süresi Aşıldı",IF(OR(S256="EKSİK ÖDENMİŞ",S256="FAZLA ÖDENMİŞ"),"İNCELEME GEREKLİ - Tutar Uyuşmazlığı",IF(LEFT(P256,7)="Bekleni","Bekleniyor","Uygun"))))))</f>
        <v/>
      </c>
    </row>
    <row r="257">
      <c r="A257" s="26">
        <f>IF('DIVA Satislari'!I257="","",'DIVA Satislari'!I257)</f>
        <v/>
      </c>
      <c r="B257" s="26">
        <f>IF('DIVA Satislari'!I257="","",'DIVA Satislari'!R257)</f>
        <v/>
      </c>
      <c r="C257" s="26">
        <f>IF('DIVA Satislari'!I257="","",'DIVA Satislari'!M257)</f>
        <v/>
      </c>
      <c r="D257" s="27">
        <f>IF('DIVA Satislari'!I257="","",'DIVA Satislari'!H257)</f>
        <v/>
      </c>
      <c r="E257" s="26">
        <f>IF('DIVA Satislari'!I257="","",'DIVA Satislari'!O257)</f>
        <v/>
      </c>
      <c r="F257" s="26">
        <f>IF('DIVA Satislari'!I257="","",'DIVA Satislari'!AK257)</f>
        <v/>
      </c>
      <c r="G257" s="26">
        <f>IF('DIVA Satislari'!I257="","",'DIVA Satislari'!AO257)</f>
        <v/>
      </c>
      <c r="H257" s="27">
        <f>IF('DIVA Satislari'!I257="","",'DIVA Satislari'!AN257)</f>
        <v/>
      </c>
      <c r="I257" s="28">
        <f>IF('DIVA Satislari'!I257="","",'DIVA Satislari'!AQ257)</f>
        <v/>
      </c>
      <c r="J257" s="26">
        <f>IF('DIVA Satislari'!I257="","",'DIVA Satislari'!AR257)</f>
        <v/>
      </c>
      <c r="K257" s="26">
        <f>IF('DIVA Satislari'!I257="","",IFERROR(INDEX('E2E Nakliye Montaj'!$AS$3:$AS$1002,MATCH('DIVA Satislari'!AJ257,'E2E Nakliye Montaj'!$AM$3:$AM$1002,0)),"Eşleşme Yok"))</f>
        <v/>
      </c>
      <c r="L257" s="26">
        <f>IF('DIVA Satislari'!I257="","",IFERROR(INDEX('E2E Nakliye Montaj'!$AT$3:$AT$1002,MATCH('DIVA Satislari'!AJ257,'E2E Nakliye Montaj'!$AM$3:$AM$1002,0)),"Hayır"))</f>
        <v/>
      </c>
      <c r="M257" s="26">
        <f>IF('DIVA Satislari'!I257="","",IFERROR(INDEX('E2E Nakliye Montaj'!$AU$3:$AU$1002,MATCH('DIVA Satislari'!AJ257,'E2E Nakliye Montaj'!$AM$3:$AM$1002,0)),"Hayır"))</f>
        <v/>
      </c>
      <c r="N257" s="27">
        <f>IF('DIVA Satislari'!I257="","",IFERROR(INDEX('E2E Nakliye Montaj'!$AV$3:$AV$1002,MATCH('DIVA Satislari'!AJ257,'E2E Nakliye Montaj'!$AM$3:$AM$1002,0)),""))</f>
        <v/>
      </c>
      <c r="O257" s="26">
        <f>IF(OR(A257="",N257=""),"",IF(N257&lt;=H257,"Evet","HAYIR - RİSK"))</f>
        <v/>
      </c>
      <c r="P257" s="26">
        <f>IF(A257="","",IF(LEFT(J257,8)="Kural A ","Uygun - Hemen Ödenir (Yıl Sonu %75 Kontrolüne Tabi)",IF(OR(L257="Evet",M257="Evet"),IF(O257="Evet","Uygun","RİSK - Hakediş Süresi Aşıldı"),"Bekleniyor - Nakliye/Montaj Tamamlanmadı")))</f>
        <v/>
      </c>
      <c r="Q257" s="28">
        <f>IF(A257="","",SUMIFS('Hakedis Fatura Detay'!$G$3:$G$1200,'Hakedis Fatura Detay'!$H$3:$H$1200,'DIVA Satislari'!AJ257,'Hakedis Fatura Detay'!$F$3:$F$1200,"Fiyat Farkı")+SUMIFS('Hakedis Fatura Detay'!$G$3:$G$1200,'Hakedis Fatura Detay'!$H$3:$H$1200,'DIVA Satislari'!AJ257,'Hakedis Fatura Detay'!$F$3:$F$1200,"Bundle"))</f>
        <v/>
      </c>
      <c r="R257" s="28">
        <f>IF(A257="","",I257-Q257)</f>
        <v/>
      </c>
      <c r="S257" s="26">
        <f>IF(A257="","",IF(LEFT(P257,7)="Bekleni","N/A - Henüz Ödenmemeli",IF(LEFT(P257,4)="RİSK","İNCELEME GEREKLİ - Süre Aşımı",IF(R257=0,"Doğru",IF(R257&gt;0,"EKSİK ÖDENMİŞ","FAZLA ÖDENMİŞ")))))</f>
        <v/>
      </c>
      <c r="T257" s="30">
        <f>IF(A257="","",IF(F257&lt;&gt;"Evet","İNCELEME GEREKLİ - Kampanya Tanımsız",IF(G257&lt;&gt;"Evet","İNCELEME GEREKLİ - Tarih Dışı Satış",IF(LEFT(P257,4)="RİSK","İNCELEME GEREKLİ - Hakediş Süresi Aşıldı",IF(OR(S257="EKSİK ÖDENMİŞ",S257="FAZLA ÖDENMİŞ"),"İNCELEME GEREKLİ - Tutar Uyuşmazlığı",IF(LEFT(P257,7)="Bekleni","Bekleniyor","Uygun"))))))</f>
        <v/>
      </c>
    </row>
    <row r="258">
      <c r="A258" s="26">
        <f>IF('DIVA Satislari'!I258="","",'DIVA Satislari'!I258)</f>
        <v/>
      </c>
      <c r="B258" s="26">
        <f>IF('DIVA Satislari'!I258="","",'DIVA Satislari'!R258)</f>
        <v/>
      </c>
      <c r="C258" s="26">
        <f>IF('DIVA Satislari'!I258="","",'DIVA Satislari'!M258)</f>
        <v/>
      </c>
      <c r="D258" s="27">
        <f>IF('DIVA Satislari'!I258="","",'DIVA Satislari'!H258)</f>
        <v/>
      </c>
      <c r="E258" s="26">
        <f>IF('DIVA Satislari'!I258="","",'DIVA Satislari'!O258)</f>
        <v/>
      </c>
      <c r="F258" s="26">
        <f>IF('DIVA Satislari'!I258="","",'DIVA Satislari'!AK258)</f>
        <v/>
      </c>
      <c r="G258" s="26">
        <f>IF('DIVA Satislari'!I258="","",'DIVA Satislari'!AO258)</f>
        <v/>
      </c>
      <c r="H258" s="27">
        <f>IF('DIVA Satislari'!I258="","",'DIVA Satislari'!AN258)</f>
        <v/>
      </c>
      <c r="I258" s="28">
        <f>IF('DIVA Satislari'!I258="","",'DIVA Satislari'!AQ258)</f>
        <v/>
      </c>
      <c r="J258" s="26">
        <f>IF('DIVA Satislari'!I258="","",'DIVA Satislari'!AR258)</f>
        <v/>
      </c>
      <c r="K258" s="26">
        <f>IF('DIVA Satislari'!I258="","",IFERROR(INDEX('E2E Nakliye Montaj'!$AS$3:$AS$1002,MATCH('DIVA Satislari'!AJ258,'E2E Nakliye Montaj'!$AM$3:$AM$1002,0)),"Eşleşme Yok"))</f>
        <v/>
      </c>
      <c r="L258" s="26">
        <f>IF('DIVA Satislari'!I258="","",IFERROR(INDEX('E2E Nakliye Montaj'!$AT$3:$AT$1002,MATCH('DIVA Satislari'!AJ258,'E2E Nakliye Montaj'!$AM$3:$AM$1002,0)),"Hayır"))</f>
        <v/>
      </c>
      <c r="M258" s="26">
        <f>IF('DIVA Satislari'!I258="","",IFERROR(INDEX('E2E Nakliye Montaj'!$AU$3:$AU$1002,MATCH('DIVA Satislari'!AJ258,'E2E Nakliye Montaj'!$AM$3:$AM$1002,0)),"Hayır"))</f>
        <v/>
      </c>
      <c r="N258" s="27">
        <f>IF('DIVA Satislari'!I258="","",IFERROR(INDEX('E2E Nakliye Montaj'!$AV$3:$AV$1002,MATCH('DIVA Satislari'!AJ258,'E2E Nakliye Montaj'!$AM$3:$AM$1002,0)),""))</f>
        <v/>
      </c>
      <c r="O258" s="26">
        <f>IF(OR(A258="",N258=""),"",IF(N258&lt;=H258,"Evet","HAYIR - RİSK"))</f>
        <v/>
      </c>
      <c r="P258" s="26">
        <f>IF(A258="","",IF(LEFT(J258,8)="Kural A ","Uygun - Hemen Ödenir (Yıl Sonu %75 Kontrolüne Tabi)",IF(OR(L258="Evet",M258="Evet"),IF(O258="Evet","Uygun","RİSK - Hakediş Süresi Aşıldı"),"Bekleniyor - Nakliye/Montaj Tamamlanmadı")))</f>
        <v/>
      </c>
      <c r="Q258" s="28">
        <f>IF(A258="","",SUMIFS('Hakedis Fatura Detay'!$G$3:$G$1200,'Hakedis Fatura Detay'!$H$3:$H$1200,'DIVA Satislari'!AJ258,'Hakedis Fatura Detay'!$F$3:$F$1200,"Fiyat Farkı")+SUMIFS('Hakedis Fatura Detay'!$G$3:$G$1200,'Hakedis Fatura Detay'!$H$3:$H$1200,'DIVA Satislari'!AJ258,'Hakedis Fatura Detay'!$F$3:$F$1200,"Bundle"))</f>
        <v/>
      </c>
      <c r="R258" s="28">
        <f>IF(A258="","",I258-Q258)</f>
        <v/>
      </c>
      <c r="S258" s="26">
        <f>IF(A258="","",IF(LEFT(P258,7)="Bekleni","N/A - Henüz Ödenmemeli",IF(LEFT(P258,4)="RİSK","İNCELEME GEREKLİ - Süre Aşımı",IF(R258=0,"Doğru",IF(R258&gt;0,"EKSİK ÖDENMİŞ","FAZLA ÖDENMİŞ")))))</f>
        <v/>
      </c>
      <c r="T258" s="30">
        <f>IF(A258="","",IF(F258&lt;&gt;"Evet","İNCELEME GEREKLİ - Kampanya Tanımsız",IF(G258&lt;&gt;"Evet","İNCELEME GEREKLİ - Tarih Dışı Satış",IF(LEFT(P258,4)="RİSK","İNCELEME GEREKLİ - Hakediş Süresi Aşıldı",IF(OR(S258="EKSİK ÖDENMİŞ",S258="FAZLA ÖDENMİŞ"),"İNCELEME GEREKLİ - Tutar Uyuşmazlığı",IF(LEFT(P258,7)="Bekleni","Bekleniyor","Uygun"))))))</f>
        <v/>
      </c>
    </row>
    <row r="259">
      <c r="A259" s="26">
        <f>IF('DIVA Satislari'!I259="","",'DIVA Satislari'!I259)</f>
        <v/>
      </c>
      <c r="B259" s="26">
        <f>IF('DIVA Satislari'!I259="","",'DIVA Satislari'!R259)</f>
        <v/>
      </c>
      <c r="C259" s="26">
        <f>IF('DIVA Satislari'!I259="","",'DIVA Satislari'!M259)</f>
        <v/>
      </c>
      <c r="D259" s="27">
        <f>IF('DIVA Satislari'!I259="","",'DIVA Satislari'!H259)</f>
        <v/>
      </c>
      <c r="E259" s="26">
        <f>IF('DIVA Satislari'!I259="","",'DIVA Satislari'!O259)</f>
        <v/>
      </c>
      <c r="F259" s="26">
        <f>IF('DIVA Satislari'!I259="","",'DIVA Satislari'!AK259)</f>
        <v/>
      </c>
      <c r="G259" s="26">
        <f>IF('DIVA Satislari'!I259="","",'DIVA Satislari'!AO259)</f>
        <v/>
      </c>
      <c r="H259" s="27">
        <f>IF('DIVA Satislari'!I259="","",'DIVA Satislari'!AN259)</f>
        <v/>
      </c>
      <c r="I259" s="28">
        <f>IF('DIVA Satislari'!I259="","",'DIVA Satislari'!AQ259)</f>
        <v/>
      </c>
      <c r="J259" s="26">
        <f>IF('DIVA Satislari'!I259="","",'DIVA Satislari'!AR259)</f>
        <v/>
      </c>
      <c r="K259" s="26">
        <f>IF('DIVA Satislari'!I259="","",IFERROR(INDEX('E2E Nakliye Montaj'!$AS$3:$AS$1002,MATCH('DIVA Satislari'!AJ259,'E2E Nakliye Montaj'!$AM$3:$AM$1002,0)),"Eşleşme Yok"))</f>
        <v/>
      </c>
      <c r="L259" s="26">
        <f>IF('DIVA Satislari'!I259="","",IFERROR(INDEX('E2E Nakliye Montaj'!$AT$3:$AT$1002,MATCH('DIVA Satislari'!AJ259,'E2E Nakliye Montaj'!$AM$3:$AM$1002,0)),"Hayır"))</f>
        <v/>
      </c>
      <c r="M259" s="26">
        <f>IF('DIVA Satislari'!I259="","",IFERROR(INDEX('E2E Nakliye Montaj'!$AU$3:$AU$1002,MATCH('DIVA Satislari'!AJ259,'E2E Nakliye Montaj'!$AM$3:$AM$1002,0)),"Hayır"))</f>
        <v/>
      </c>
      <c r="N259" s="27">
        <f>IF('DIVA Satislari'!I259="","",IFERROR(INDEX('E2E Nakliye Montaj'!$AV$3:$AV$1002,MATCH('DIVA Satislari'!AJ259,'E2E Nakliye Montaj'!$AM$3:$AM$1002,0)),""))</f>
        <v/>
      </c>
      <c r="O259" s="26">
        <f>IF(OR(A259="",N259=""),"",IF(N259&lt;=H259,"Evet","HAYIR - RİSK"))</f>
        <v/>
      </c>
      <c r="P259" s="26">
        <f>IF(A259="","",IF(LEFT(J259,8)="Kural A ","Uygun - Hemen Ödenir (Yıl Sonu %75 Kontrolüne Tabi)",IF(OR(L259="Evet",M259="Evet"),IF(O259="Evet","Uygun","RİSK - Hakediş Süresi Aşıldı"),"Bekleniyor - Nakliye/Montaj Tamamlanmadı")))</f>
        <v/>
      </c>
      <c r="Q259" s="28">
        <f>IF(A259="","",SUMIFS('Hakedis Fatura Detay'!$G$3:$G$1200,'Hakedis Fatura Detay'!$H$3:$H$1200,'DIVA Satislari'!AJ259,'Hakedis Fatura Detay'!$F$3:$F$1200,"Fiyat Farkı")+SUMIFS('Hakedis Fatura Detay'!$G$3:$G$1200,'Hakedis Fatura Detay'!$H$3:$H$1200,'DIVA Satislari'!AJ259,'Hakedis Fatura Detay'!$F$3:$F$1200,"Bundle"))</f>
        <v/>
      </c>
      <c r="R259" s="28">
        <f>IF(A259="","",I259-Q259)</f>
        <v/>
      </c>
      <c r="S259" s="26">
        <f>IF(A259="","",IF(LEFT(P259,7)="Bekleni","N/A - Henüz Ödenmemeli",IF(LEFT(P259,4)="RİSK","İNCELEME GEREKLİ - Süre Aşımı",IF(R259=0,"Doğru",IF(R259&gt;0,"EKSİK ÖDENMİŞ","FAZLA ÖDENMİŞ")))))</f>
        <v/>
      </c>
      <c r="T259" s="30">
        <f>IF(A259="","",IF(F259&lt;&gt;"Evet","İNCELEME GEREKLİ - Kampanya Tanımsız",IF(G259&lt;&gt;"Evet","İNCELEME GEREKLİ - Tarih Dışı Satış",IF(LEFT(P259,4)="RİSK","İNCELEME GEREKLİ - Hakediş Süresi Aşıldı",IF(OR(S259="EKSİK ÖDENMİŞ",S259="FAZLA ÖDENMİŞ"),"İNCELEME GEREKLİ - Tutar Uyuşmazlığı",IF(LEFT(P259,7)="Bekleni","Bekleniyor","Uygun"))))))</f>
        <v/>
      </c>
    </row>
    <row r="260">
      <c r="A260" s="26">
        <f>IF('DIVA Satislari'!I260="","",'DIVA Satislari'!I260)</f>
        <v/>
      </c>
      <c r="B260" s="26">
        <f>IF('DIVA Satislari'!I260="","",'DIVA Satislari'!R260)</f>
        <v/>
      </c>
      <c r="C260" s="26">
        <f>IF('DIVA Satislari'!I260="","",'DIVA Satislari'!M260)</f>
        <v/>
      </c>
      <c r="D260" s="27">
        <f>IF('DIVA Satislari'!I260="","",'DIVA Satislari'!H260)</f>
        <v/>
      </c>
      <c r="E260" s="26">
        <f>IF('DIVA Satislari'!I260="","",'DIVA Satislari'!O260)</f>
        <v/>
      </c>
      <c r="F260" s="26">
        <f>IF('DIVA Satislari'!I260="","",'DIVA Satislari'!AK260)</f>
        <v/>
      </c>
      <c r="G260" s="26">
        <f>IF('DIVA Satislari'!I260="","",'DIVA Satislari'!AO260)</f>
        <v/>
      </c>
      <c r="H260" s="27">
        <f>IF('DIVA Satislari'!I260="","",'DIVA Satislari'!AN260)</f>
        <v/>
      </c>
      <c r="I260" s="28">
        <f>IF('DIVA Satislari'!I260="","",'DIVA Satislari'!AQ260)</f>
        <v/>
      </c>
      <c r="J260" s="26">
        <f>IF('DIVA Satislari'!I260="","",'DIVA Satislari'!AR260)</f>
        <v/>
      </c>
      <c r="K260" s="26">
        <f>IF('DIVA Satislari'!I260="","",IFERROR(INDEX('E2E Nakliye Montaj'!$AS$3:$AS$1002,MATCH('DIVA Satislari'!AJ260,'E2E Nakliye Montaj'!$AM$3:$AM$1002,0)),"Eşleşme Yok"))</f>
        <v/>
      </c>
      <c r="L260" s="26">
        <f>IF('DIVA Satislari'!I260="","",IFERROR(INDEX('E2E Nakliye Montaj'!$AT$3:$AT$1002,MATCH('DIVA Satislari'!AJ260,'E2E Nakliye Montaj'!$AM$3:$AM$1002,0)),"Hayır"))</f>
        <v/>
      </c>
      <c r="M260" s="26">
        <f>IF('DIVA Satislari'!I260="","",IFERROR(INDEX('E2E Nakliye Montaj'!$AU$3:$AU$1002,MATCH('DIVA Satislari'!AJ260,'E2E Nakliye Montaj'!$AM$3:$AM$1002,0)),"Hayır"))</f>
        <v/>
      </c>
      <c r="N260" s="27">
        <f>IF('DIVA Satislari'!I260="","",IFERROR(INDEX('E2E Nakliye Montaj'!$AV$3:$AV$1002,MATCH('DIVA Satislari'!AJ260,'E2E Nakliye Montaj'!$AM$3:$AM$1002,0)),""))</f>
        <v/>
      </c>
      <c r="O260" s="26">
        <f>IF(OR(A260="",N260=""),"",IF(N260&lt;=H260,"Evet","HAYIR - RİSK"))</f>
        <v/>
      </c>
      <c r="P260" s="26">
        <f>IF(A260="","",IF(LEFT(J260,8)="Kural A ","Uygun - Hemen Ödenir (Yıl Sonu %75 Kontrolüne Tabi)",IF(OR(L260="Evet",M260="Evet"),IF(O260="Evet","Uygun","RİSK - Hakediş Süresi Aşıldı"),"Bekleniyor - Nakliye/Montaj Tamamlanmadı")))</f>
        <v/>
      </c>
      <c r="Q260" s="28">
        <f>IF(A260="","",SUMIFS('Hakedis Fatura Detay'!$G$3:$G$1200,'Hakedis Fatura Detay'!$H$3:$H$1200,'DIVA Satislari'!AJ260,'Hakedis Fatura Detay'!$F$3:$F$1200,"Fiyat Farkı")+SUMIFS('Hakedis Fatura Detay'!$G$3:$G$1200,'Hakedis Fatura Detay'!$H$3:$H$1200,'DIVA Satislari'!AJ260,'Hakedis Fatura Detay'!$F$3:$F$1200,"Bundle"))</f>
        <v/>
      </c>
      <c r="R260" s="28">
        <f>IF(A260="","",I260-Q260)</f>
        <v/>
      </c>
      <c r="S260" s="26">
        <f>IF(A260="","",IF(LEFT(P260,7)="Bekleni","N/A - Henüz Ödenmemeli",IF(LEFT(P260,4)="RİSK","İNCELEME GEREKLİ - Süre Aşımı",IF(R260=0,"Doğru",IF(R260&gt;0,"EKSİK ÖDENMİŞ","FAZLA ÖDENMİŞ")))))</f>
        <v/>
      </c>
      <c r="T260" s="30">
        <f>IF(A260="","",IF(F260&lt;&gt;"Evet","İNCELEME GEREKLİ - Kampanya Tanımsız",IF(G260&lt;&gt;"Evet","İNCELEME GEREKLİ - Tarih Dışı Satış",IF(LEFT(P260,4)="RİSK","İNCELEME GEREKLİ - Hakediş Süresi Aşıldı",IF(OR(S260="EKSİK ÖDENMİŞ",S260="FAZLA ÖDENMİŞ"),"İNCELEME GEREKLİ - Tutar Uyuşmazlığı",IF(LEFT(P260,7)="Bekleni","Bekleniyor","Uygun"))))))</f>
        <v/>
      </c>
    </row>
    <row r="261">
      <c r="A261" s="26">
        <f>IF('DIVA Satislari'!I261="","",'DIVA Satislari'!I261)</f>
        <v/>
      </c>
      <c r="B261" s="26">
        <f>IF('DIVA Satislari'!I261="","",'DIVA Satislari'!R261)</f>
        <v/>
      </c>
      <c r="C261" s="26">
        <f>IF('DIVA Satislari'!I261="","",'DIVA Satislari'!M261)</f>
        <v/>
      </c>
      <c r="D261" s="27">
        <f>IF('DIVA Satislari'!I261="","",'DIVA Satislari'!H261)</f>
        <v/>
      </c>
      <c r="E261" s="26">
        <f>IF('DIVA Satislari'!I261="","",'DIVA Satislari'!O261)</f>
        <v/>
      </c>
      <c r="F261" s="26">
        <f>IF('DIVA Satislari'!I261="","",'DIVA Satislari'!AK261)</f>
        <v/>
      </c>
      <c r="G261" s="26">
        <f>IF('DIVA Satislari'!I261="","",'DIVA Satislari'!AO261)</f>
        <v/>
      </c>
      <c r="H261" s="27">
        <f>IF('DIVA Satislari'!I261="","",'DIVA Satislari'!AN261)</f>
        <v/>
      </c>
      <c r="I261" s="28">
        <f>IF('DIVA Satislari'!I261="","",'DIVA Satislari'!AQ261)</f>
        <v/>
      </c>
      <c r="J261" s="26">
        <f>IF('DIVA Satislari'!I261="","",'DIVA Satislari'!AR261)</f>
        <v/>
      </c>
      <c r="K261" s="26">
        <f>IF('DIVA Satislari'!I261="","",IFERROR(INDEX('E2E Nakliye Montaj'!$AS$3:$AS$1002,MATCH('DIVA Satislari'!AJ261,'E2E Nakliye Montaj'!$AM$3:$AM$1002,0)),"Eşleşme Yok"))</f>
        <v/>
      </c>
      <c r="L261" s="26">
        <f>IF('DIVA Satislari'!I261="","",IFERROR(INDEX('E2E Nakliye Montaj'!$AT$3:$AT$1002,MATCH('DIVA Satislari'!AJ261,'E2E Nakliye Montaj'!$AM$3:$AM$1002,0)),"Hayır"))</f>
        <v/>
      </c>
      <c r="M261" s="26">
        <f>IF('DIVA Satislari'!I261="","",IFERROR(INDEX('E2E Nakliye Montaj'!$AU$3:$AU$1002,MATCH('DIVA Satislari'!AJ261,'E2E Nakliye Montaj'!$AM$3:$AM$1002,0)),"Hayır"))</f>
        <v/>
      </c>
      <c r="N261" s="27">
        <f>IF('DIVA Satislari'!I261="","",IFERROR(INDEX('E2E Nakliye Montaj'!$AV$3:$AV$1002,MATCH('DIVA Satislari'!AJ261,'E2E Nakliye Montaj'!$AM$3:$AM$1002,0)),""))</f>
        <v/>
      </c>
      <c r="O261" s="26">
        <f>IF(OR(A261="",N261=""),"",IF(N261&lt;=H261,"Evet","HAYIR - RİSK"))</f>
        <v/>
      </c>
      <c r="P261" s="26">
        <f>IF(A261="","",IF(LEFT(J261,8)="Kural A ","Uygun - Hemen Ödenir (Yıl Sonu %75 Kontrolüne Tabi)",IF(OR(L261="Evet",M261="Evet"),IF(O261="Evet","Uygun","RİSK - Hakediş Süresi Aşıldı"),"Bekleniyor - Nakliye/Montaj Tamamlanmadı")))</f>
        <v/>
      </c>
      <c r="Q261" s="28">
        <f>IF(A261="","",SUMIFS('Hakedis Fatura Detay'!$G$3:$G$1200,'Hakedis Fatura Detay'!$H$3:$H$1200,'DIVA Satislari'!AJ261,'Hakedis Fatura Detay'!$F$3:$F$1200,"Fiyat Farkı")+SUMIFS('Hakedis Fatura Detay'!$G$3:$G$1200,'Hakedis Fatura Detay'!$H$3:$H$1200,'DIVA Satislari'!AJ261,'Hakedis Fatura Detay'!$F$3:$F$1200,"Bundle"))</f>
        <v/>
      </c>
      <c r="R261" s="28">
        <f>IF(A261="","",I261-Q261)</f>
        <v/>
      </c>
      <c r="S261" s="26">
        <f>IF(A261="","",IF(LEFT(P261,7)="Bekleni","N/A - Henüz Ödenmemeli",IF(LEFT(P261,4)="RİSK","İNCELEME GEREKLİ - Süre Aşımı",IF(R261=0,"Doğru",IF(R261&gt;0,"EKSİK ÖDENMİŞ","FAZLA ÖDENMİŞ")))))</f>
        <v/>
      </c>
      <c r="T261" s="30">
        <f>IF(A261="","",IF(F261&lt;&gt;"Evet","İNCELEME GEREKLİ - Kampanya Tanımsız",IF(G261&lt;&gt;"Evet","İNCELEME GEREKLİ - Tarih Dışı Satış",IF(LEFT(P261,4)="RİSK","İNCELEME GEREKLİ - Hakediş Süresi Aşıldı",IF(OR(S261="EKSİK ÖDENMİŞ",S261="FAZLA ÖDENMİŞ"),"İNCELEME GEREKLİ - Tutar Uyuşmazlığı",IF(LEFT(P261,7)="Bekleni","Bekleniyor","Uygun"))))))</f>
        <v/>
      </c>
    </row>
    <row r="262">
      <c r="A262" s="26">
        <f>IF('DIVA Satislari'!I262="","",'DIVA Satislari'!I262)</f>
        <v/>
      </c>
      <c r="B262" s="26">
        <f>IF('DIVA Satislari'!I262="","",'DIVA Satislari'!R262)</f>
        <v/>
      </c>
      <c r="C262" s="26">
        <f>IF('DIVA Satislari'!I262="","",'DIVA Satislari'!M262)</f>
        <v/>
      </c>
      <c r="D262" s="27">
        <f>IF('DIVA Satislari'!I262="","",'DIVA Satislari'!H262)</f>
        <v/>
      </c>
      <c r="E262" s="26">
        <f>IF('DIVA Satislari'!I262="","",'DIVA Satislari'!O262)</f>
        <v/>
      </c>
      <c r="F262" s="26">
        <f>IF('DIVA Satislari'!I262="","",'DIVA Satislari'!AK262)</f>
        <v/>
      </c>
      <c r="G262" s="26">
        <f>IF('DIVA Satislari'!I262="","",'DIVA Satislari'!AO262)</f>
        <v/>
      </c>
      <c r="H262" s="27">
        <f>IF('DIVA Satislari'!I262="","",'DIVA Satislari'!AN262)</f>
        <v/>
      </c>
      <c r="I262" s="28">
        <f>IF('DIVA Satislari'!I262="","",'DIVA Satislari'!AQ262)</f>
        <v/>
      </c>
      <c r="J262" s="26">
        <f>IF('DIVA Satislari'!I262="","",'DIVA Satislari'!AR262)</f>
        <v/>
      </c>
      <c r="K262" s="26">
        <f>IF('DIVA Satislari'!I262="","",IFERROR(INDEX('E2E Nakliye Montaj'!$AS$3:$AS$1002,MATCH('DIVA Satislari'!AJ262,'E2E Nakliye Montaj'!$AM$3:$AM$1002,0)),"Eşleşme Yok"))</f>
        <v/>
      </c>
      <c r="L262" s="26">
        <f>IF('DIVA Satislari'!I262="","",IFERROR(INDEX('E2E Nakliye Montaj'!$AT$3:$AT$1002,MATCH('DIVA Satislari'!AJ262,'E2E Nakliye Montaj'!$AM$3:$AM$1002,0)),"Hayır"))</f>
        <v/>
      </c>
      <c r="M262" s="26">
        <f>IF('DIVA Satislari'!I262="","",IFERROR(INDEX('E2E Nakliye Montaj'!$AU$3:$AU$1002,MATCH('DIVA Satislari'!AJ262,'E2E Nakliye Montaj'!$AM$3:$AM$1002,0)),"Hayır"))</f>
        <v/>
      </c>
      <c r="N262" s="27">
        <f>IF('DIVA Satislari'!I262="","",IFERROR(INDEX('E2E Nakliye Montaj'!$AV$3:$AV$1002,MATCH('DIVA Satislari'!AJ262,'E2E Nakliye Montaj'!$AM$3:$AM$1002,0)),""))</f>
        <v/>
      </c>
      <c r="O262" s="26">
        <f>IF(OR(A262="",N262=""),"",IF(N262&lt;=H262,"Evet","HAYIR - RİSK"))</f>
        <v/>
      </c>
      <c r="P262" s="26">
        <f>IF(A262="","",IF(LEFT(J262,8)="Kural A ","Uygun - Hemen Ödenir (Yıl Sonu %75 Kontrolüne Tabi)",IF(OR(L262="Evet",M262="Evet"),IF(O262="Evet","Uygun","RİSK - Hakediş Süresi Aşıldı"),"Bekleniyor - Nakliye/Montaj Tamamlanmadı")))</f>
        <v/>
      </c>
      <c r="Q262" s="28">
        <f>IF(A262="","",SUMIFS('Hakedis Fatura Detay'!$G$3:$G$1200,'Hakedis Fatura Detay'!$H$3:$H$1200,'DIVA Satislari'!AJ262,'Hakedis Fatura Detay'!$F$3:$F$1200,"Fiyat Farkı")+SUMIFS('Hakedis Fatura Detay'!$G$3:$G$1200,'Hakedis Fatura Detay'!$H$3:$H$1200,'DIVA Satislari'!AJ262,'Hakedis Fatura Detay'!$F$3:$F$1200,"Bundle"))</f>
        <v/>
      </c>
      <c r="R262" s="28">
        <f>IF(A262="","",I262-Q262)</f>
        <v/>
      </c>
      <c r="S262" s="26">
        <f>IF(A262="","",IF(LEFT(P262,7)="Bekleni","N/A - Henüz Ödenmemeli",IF(LEFT(P262,4)="RİSK","İNCELEME GEREKLİ - Süre Aşımı",IF(R262=0,"Doğru",IF(R262&gt;0,"EKSİK ÖDENMİŞ","FAZLA ÖDENMİŞ")))))</f>
        <v/>
      </c>
      <c r="T262" s="30">
        <f>IF(A262="","",IF(F262&lt;&gt;"Evet","İNCELEME GEREKLİ - Kampanya Tanımsız",IF(G262&lt;&gt;"Evet","İNCELEME GEREKLİ - Tarih Dışı Satış",IF(LEFT(P262,4)="RİSK","İNCELEME GEREKLİ - Hakediş Süresi Aşıldı",IF(OR(S262="EKSİK ÖDENMİŞ",S262="FAZLA ÖDENMİŞ"),"İNCELEME GEREKLİ - Tutar Uyuşmazlığı",IF(LEFT(P262,7)="Bekleni","Bekleniyor","Uygun"))))))</f>
        <v/>
      </c>
    </row>
    <row r="263">
      <c r="A263" s="26">
        <f>IF('DIVA Satislari'!I263="","",'DIVA Satislari'!I263)</f>
        <v/>
      </c>
      <c r="B263" s="26">
        <f>IF('DIVA Satislari'!I263="","",'DIVA Satislari'!R263)</f>
        <v/>
      </c>
      <c r="C263" s="26">
        <f>IF('DIVA Satislari'!I263="","",'DIVA Satislari'!M263)</f>
        <v/>
      </c>
      <c r="D263" s="27">
        <f>IF('DIVA Satislari'!I263="","",'DIVA Satislari'!H263)</f>
        <v/>
      </c>
      <c r="E263" s="26">
        <f>IF('DIVA Satislari'!I263="","",'DIVA Satislari'!O263)</f>
        <v/>
      </c>
      <c r="F263" s="26">
        <f>IF('DIVA Satislari'!I263="","",'DIVA Satislari'!AK263)</f>
        <v/>
      </c>
      <c r="G263" s="26">
        <f>IF('DIVA Satislari'!I263="","",'DIVA Satislari'!AO263)</f>
        <v/>
      </c>
      <c r="H263" s="27">
        <f>IF('DIVA Satislari'!I263="","",'DIVA Satislari'!AN263)</f>
        <v/>
      </c>
      <c r="I263" s="28">
        <f>IF('DIVA Satislari'!I263="","",'DIVA Satislari'!AQ263)</f>
        <v/>
      </c>
      <c r="J263" s="26">
        <f>IF('DIVA Satislari'!I263="","",'DIVA Satislari'!AR263)</f>
        <v/>
      </c>
      <c r="K263" s="26">
        <f>IF('DIVA Satislari'!I263="","",IFERROR(INDEX('E2E Nakliye Montaj'!$AS$3:$AS$1002,MATCH('DIVA Satislari'!AJ263,'E2E Nakliye Montaj'!$AM$3:$AM$1002,0)),"Eşleşme Yok"))</f>
        <v/>
      </c>
      <c r="L263" s="26">
        <f>IF('DIVA Satislari'!I263="","",IFERROR(INDEX('E2E Nakliye Montaj'!$AT$3:$AT$1002,MATCH('DIVA Satislari'!AJ263,'E2E Nakliye Montaj'!$AM$3:$AM$1002,0)),"Hayır"))</f>
        <v/>
      </c>
      <c r="M263" s="26">
        <f>IF('DIVA Satislari'!I263="","",IFERROR(INDEX('E2E Nakliye Montaj'!$AU$3:$AU$1002,MATCH('DIVA Satislari'!AJ263,'E2E Nakliye Montaj'!$AM$3:$AM$1002,0)),"Hayır"))</f>
        <v/>
      </c>
      <c r="N263" s="27">
        <f>IF('DIVA Satislari'!I263="","",IFERROR(INDEX('E2E Nakliye Montaj'!$AV$3:$AV$1002,MATCH('DIVA Satislari'!AJ263,'E2E Nakliye Montaj'!$AM$3:$AM$1002,0)),""))</f>
        <v/>
      </c>
      <c r="O263" s="26">
        <f>IF(OR(A263="",N263=""),"",IF(N263&lt;=H263,"Evet","HAYIR - RİSK"))</f>
        <v/>
      </c>
      <c r="P263" s="26">
        <f>IF(A263="","",IF(LEFT(J263,8)="Kural A ","Uygun - Hemen Ödenir (Yıl Sonu %75 Kontrolüne Tabi)",IF(OR(L263="Evet",M263="Evet"),IF(O263="Evet","Uygun","RİSK - Hakediş Süresi Aşıldı"),"Bekleniyor - Nakliye/Montaj Tamamlanmadı")))</f>
        <v/>
      </c>
      <c r="Q263" s="28">
        <f>IF(A263="","",SUMIFS('Hakedis Fatura Detay'!$G$3:$G$1200,'Hakedis Fatura Detay'!$H$3:$H$1200,'DIVA Satislari'!AJ263,'Hakedis Fatura Detay'!$F$3:$F$1200,"Fiyat Farkı")+SUMIFS('Hakedis Fatura Detay'!$G$3:$G$1200,'Hakedis Fatura Detay'!$H$3:$H$1200,'DIVA Satislari'!AJ263,'Hakedis Fatura Detay'!$F$3:$F$1200,"Bundle"))</f>
        <v/>
      </c>
      <c r="R263" s="28">
        <f>IF(A263="","",I263-Q263)</f>
        <v/>
      </c>
      <c r="S263" s="26">
        <f>IF(A263="","",IF(LEFT(P263,7)="Bekleni","N/A - Henüz Ödenmemeli",IF(LEFT(P263,4)="RİSK","İNCELEME GEREKLİ - Süre Aşımı",IF(R263=0,"Doğru",IF(R263&gt;0,"EKSİK ÖDENMİŞ","FAZLA ÖDENMİŞ")))))</f>
        <v/>
      </c>
      <c r="T263" s="30">
        <f>IF(A263="","",IF(F263&lt;&gt;"Evet","İNCELEME GEREKLİ - Kampanya Tanımsız",IF(G263&lt;&gt;"Evet","İNCELEME GEREKLİ - Tarih Dışı Satış",IF(LEFT(P263,4)="RİSK","İNCELEME GEREKLİ - Hakediş Süresi Aşıldı",IF(OR(S263="EKSİK ÖDENMİŞ",S263="FAZLA ÖDENMİŞ"),"İNCELEME GEREKLİ - Tutar Uyuşmazlığı",IF(LEFT(P263,7)="Bekleni","Bekleniyor","Uygun"))))))</f>
        <v/>
      </c>
    </row>
    <row r="264">
      <c r="A264" s="26">
        <f>IF('DIVA Satislari'!I264="","",'DIVA Satislari'!I264)</f>
        <v/>
      </c>
      <c r="B264" s="26">
        <f>IF('DIVA Satislari'!I264="","",'DIVA Satislari'!R264)</f>
        <v/>
      </c>
      <c r="C264" s="26">
        <f>IF('DIVA Satislari'!I264="","",'DIVA Satislari'!M264)</f>
        <v/>
      </c>
      <c r="D264" s="27">
        <f>IF('DIVA Satislari'!I264="","",'DIVA Satislari'!H264)</f>
        <v/>
      </c>
      <c r="E264" s="26">
        <f>IF('DIVA Satislari'!I264="","",'DIVA Satislari'!O264)</f>
        <v/>
      </c>
      <c r="F264" s="26">
        <f>IF('DIVA Satislari'!I264="","",'DIVA Satislari'!AK264)</f>
        <v/>
      </c>
      <c r="G264" s="26">
        <f>IF('DIVA Satislari'!I264="","",'DIVA Satislari'!AO264)</f>
        <v/>
      </c>
      <c r="H264" s="27">
        <f>IF('DIVA Satislari'!I264="","",'DIVA Satislari'!AN264)</f>
        <v/>
      </c>
      <c r="I264" s="28">
        <f>IF('DIVA Satislari'!I264="","",'DIVA Satislari'!AQ264)</f>
        <v/>
      </c>
      <c r="J264" s="26">
        <f>IF('DIVA Satislari'!I264="","",'DIVA Satislari'!AR264)</f>
        <v/>
      </c>
      <c r="K264" s="26">
        <f>IF('DIVA Satislari'!I264="","",IFERROR(INDEX('E2E Nakliye Montaj'!$AS$3:$AS$1002,MATCH('DIVA Satislari'!AJ264,'E2E Nakliye Montaj'!$AM$3:$AM$1002,0)),"Eşleşme Yok"))</f>
        <v/>
      </c>
      <c r="L264" s="26">
        <f>IF('DIVA Satislari'!I264="","",IFERROR(INDEX('E2E Nakliye Montaj'!$AT$3:$AT$1002,MATCH('DIVA Satislari'!AJ264,'E2E Nakliye Montaj'!$AM$3:$AM$1002,0)),"Hayır"))</f>
        <v/>
      </c>
      <c r="M264" s="26">
        <f>IF('DIVA Satislari'!I264="","",IFERROR(INDEX('E2E Nakliye Montaj'!$AU$3:$AU$1002,MATCH('DIVA Satislari'!AJ264,'E2E Nakliye Montaj'!$AM$3:$AM$1002,0)),"Hayır"))</f>
        <v/>
      </c>
      <c r="N264" s="27">
        <f>IF('DIVA Satislari'!I264="","",IFERROR(INDEX('E2E Nakliye Montaj'!$AV$3:$AV$1002,MATCH('DIVA Satislari'!AJ264,'E2E Nakliye Montaj'!$AM$3:$AM$1002,0)),""))</f>
        <v/>
      </c>
      <c r="O264" s="26">
        <f>IF(OR(A264="",N264=""),"",IF(N264&lt;=H264,"Evet","HAYIR - RİSK"))</f>
        <v/>
      </c>
      <c r="P264" s="26">
        <f>IF(A264="","",IF(LEFT(J264,8)="Kural A ","Uygun - Hemen Ödenir (Yıl Sonu %75 Kontrolüne Tabi)",IF(OR(L264="Evet",M264="Evet"),IF(O264="Evet","Uygun","RİSK - Hakediş Süresi Aşıldı"),"Bekleniyor - Nakliye/Montaj Tamamlanmadı")))</f>
        <v/>
      </c>
      <c r="Q264" s="28">
        <f>IF(A264="","",SUMIFS('Hakedis Fatura Detay'!$G$3:$G$1200,'Hakedis Fatura Detay'!$H$3:$H$1200,'DIVA Satislari'!AJ264,'Hakedis Fatura Detay'!$F$3:$F$1200,"Fiyat Farkı")+SUMIFS('Hakedis Fatura Detay'!$G$3:$G$1200,'Hakedis Fatura Detay'!$H$3:$H$1200,'DIVA Satislari'!AJ264,'Hakedis Fatura Detay'!$F$3:$F$1200,"Bundle"))</f>
        <v/>
      </c>
      <c r="R264" s="28">
        <f>IF(A264="","",I264-Q264)</f>
        <v/>
      </c>
      <c r="S264" s="26">
        <f>IF(A264="","",IF(LEFT(P264,7)="Bekleni","N/A - Henüz Ödenmemeli",IF(LEFT(P264,4)="RİSK","İNCELEME GEREKLİ - Süre Aşımı",IF(R264=0,"Doğru",IF(R264&gt;0,"EKSİK ÖDENMİŞ","FAZLA ÖDENMİŞ")))))</f>
        <v/>
      </c>
      <c r="T264" s="30">
        <f>IF(A264="","",IF(F264&lt;&gt;"Evet","İNCELEME GEREKLİ - Kampanya Tanımsız",IF(G264&lt;&gt;"Evet","İNCELEME GEREKLİ - Tarih Dışı Satış",IF(LEFT(P264,4)="RİSK","İNCELEME GEREKLİ - Hakediş Süresi Aşıldı",IF(OR(S264="EKSİK ÖDENMİŞ",S264="FAZLA ÖDENMİŞ"),"İNCELEME GEREKLİ - Tutar Uyuşmazlığı",IF(LEFT(P264,7)="Bekleni","Bekleniyor","Uygun"))))))</f>
        <v/>
      </c>
    </row>
    <row r="265">
      <c r="A265" s="26">
        <f>IF('DIVA Satislari'!I265="","",'DIVA Satislari'!I265)</f>
        <v/>
      </c>
      <c r="B265" s="26">
        <f>IF('DIVA Satislari'!I265="","",'DIVA Satislari'!R265)</f>
        <v/>
      </c>
      <c r="C265" s="26">
        <f>IF('DIVA Satislari'!I265="","",'DIVA Satislari'!M265)</f>
        <v/>
      </c>
      <c r="D265" s="27">
        <f>IF('DIVA Satislari'!I265="","",'DIVA Satislari'!H265)</f>
        <v/>
      </c>
      <c r="E265" s="26">
        <f>IF('DIVA Satislari'!I265="","",'DIVA Satislari'!O265)</f>
        <v/>
      </c>
      <c r="F265" s="26">
        <f>IF('DIVA Satislari'!I265="","",'DIVA Satislari'!AK265)</f>
        <v/>
      </c>
      <c r="G265" s="26">
        <f>IF('DIVA Satislari'!I265="","",'DIVA Satislari'!AO265)</f>
        <v/>
      </c>
      <c r="H265" s="27">
        <f>IF('DIVA Satislari'!I265="","",'DIVA Satislari'!AN265)</f>
        <v/>
      </c>
      <c r="I265" s="28">
        <f>IF('DIVA Satislari'!I265="","",'DIVA Satislari'!AQ265)</f>
        <v/>
      </c>
      <c r="J265" s="26">
        <f>IF('DIVA Satislari'!I265="","",'DIVA Satislari'!AR265)</f>
        <v/>
      </c>
      <c r="K265" s="26">
        <f>IF('DIVA Satislari'!I265="","",IFERROR(INDEX('E2E Nakliye Montaj'!$AS$3:$AS$1002,MATCH('DIVA Satislari'!AJ265,'E2E Nakliye Montaj'!$AM$3:$AM$1002,0)),"Eşleşme Yok"))</f>
        <v/>
      </c>
      <c r="L265" s="26">
        <f>IF('DIVA Satislari'!I265="","",IFERROR(INDEX('E2E Nakliye Montaj'!$AT$3:$AT$1002,MATCH('DIVA Satislari'!AJ265,'E2E Nakliye Montaj'!$AM$3:$AM$1002,0)),"Hayır"))</f>
        <v/>
      </c>
      <c r="M265" s="26">
        <f>IF('DIVA Satislari'!I265="","",IFERROR(INDEX('E2E Nakliye Montaj'!$AU$3:$AU$1002,MATCH('DIVA Satislari'!AJ265,'E2E Nakliye Montaj'!$AM$3:$AM$1002,0)),"Hayır"))</f>
        <v/>
      </c>
      <c r="N265" s="27">
        <f>IF('DIVA Satislari'!I265="","",IFERROR(INDEX('E2E Nakliye Montaj'!$AV$3:$AV$1002,MATCH('DIVA Satislari'!AJ265,'E2E Nakliye Montaj'!$AM$3:$AM$1002,0)),""))</f>
        <v/>
      </c>
      <c r="O265" s="26">
        <f>IF(OR(A265="",N265=""),"",IF(N265&lt;=H265,"Evet","HAYIR - RİSK"))</f>
        <v/>
      </c>
      <c r="P265" s="26">
        <f>IF(A265="","",IF(LEFT(J265,8)="Kural A ","Uygun - Hemen Ödenir (Yıl Sonu %75 Kontrolüne Tabi)",IF(OR(L265="Evet",M265="Evet"),IF(O265="Evet","Uygun","RİSK - Hakediş Süresi Aşıldı"),"Bekleniyor - Nakliye/Montaj Tamamlanmadı")))</f>
        <v/>
      </c>
      <c r="Q265" s="28">
        <f>IF(A265="","",SUMIFS('Hakedis Fatura Detay'!$G$3:$G$1200,'Hakedis Fatura Detay'!$H$3:$H$1200,'DIVA Satislari'!AJ265,'Hakedis Fatura Detay'!$F$3:$F$1200,"Fiyat Farkı")+SUMIFS('Hakedis Fatura Detay'!$G$3:$G$1200,'Hakedis Fatura Detay'!$H$3:$H$1200,'DIVA Satislari'!AJ265,'Hakedis Fatura Detay'!$F$3:$F$1200,"Bundle"))</f>
        <v/>
      </c>
      <c r="R265" s="28">
        <f>IF(A265="","",I265-Q265)</f>
        <v/>
      </c>
      <c r="S265" s="26">
        <f>IF(A265="","",IF(LEFT(P265,7)="Bekleni","N/A - Henüz Ödenmemeli",IF(LEFT(P265,4)="RİSK","İNCELEME GEREKLİ - Süre Aşımı",IF(R265=0,"Doğru",IF(R265&gt;0,"EKSİK ÖDENMİŞ","FAZLA ÖDENMİŞ")))))</f>
        <v/>
      </c>
      <c r="T265" s="30">
        <f>IF(A265="","",IF(F265&lt;&gt;"Evet","İNCELEME GEREKLİ - Kampanya Tanımsız",IF(G265&lt;&gt;"Evet","İNCELEME GEREKLİ - Tarih Dışı Satış",IF(LEFT(P265,4)="RİSK","İNCELEME GEREKLİ - Hakediş Süresi Aşıldı",IF(OR(S265="EKSİK ÖDENMİŞ",S265="FAZLA ÖDENMİŞ"),"İNCELEME GEREKLİ - Tutar Uyuşmazlığı",IF(LEFT(P265,7)="Bekleni","Bekleniyor","Uygun"))))))</f>
        <v/>
      </c>
    </row>
    <row r="266">
      <c r="A266" s="26">
        <f>IF('DIVA Satislari'!I266="","",'DIVA Satislari'!I266)</f>
        <v/>
      </c>
      <c r="B266" s="26">
        <f>IF('DIVA Satislari'!I266="","",'DIVA Satislari'!R266)</f>
        <v/>
      </c>
      <c r="C266" s="26">
        <f>IF('DIVA Satislari'!I266="","",'DIVA Satislari'!M266)</f>
        <v/>
      </c>
      <c r="D266" s="27">
        <f>IF('DIVA Satislari'!I266="","",'DIVA Satislari'!H266)</f>
        <v/>
      </c>
      <c r="E266" s="26">
        <f>IF('DIVA Satislari'!I266="","",'DIVA Satislari'!O266)</f>
        <v/>
      </c>
      <c r="F266" s="26">
        <f>IF('DIVA Satislari'!I266="","",'DIVA Satislari'!AK266)</f>
        <v/>
      </c>
      <c r="G266" s="26">
        <f>IF('DIVA Satislari'!I266="","",'DIVA Satislari'!AO266)</f>
        <v/>
      </c>
      <c r="H266" s="27">
        <f>IF('DIVA Satislari'!I266="","",'DIVA Satislari'!AN266)</f>
        <v/>
      </c>
      <c r="I266" s="28">
        <f>IF('DIVA Satislari'!I266="","",'DIVA Satislari'!AQ266)</f>
        <v/>
      </c>
      <c r="J266" s="26">
        <f>IF('DIVA Satislari'!I266="","",'DIVA Satislari'!AR266)</f>
        <v/>
      </c>
      <c r="K266" s="26">
        <f>IF('DIVA Satislari'!I266="","",IFERROR(INDEX('E2E Nakliye Montaj'!$AS$3:$AS$1002,MATCH('DIVA Satislari'!AJ266,'E2E Nakliye Montaj'!$AM$3:$AM$1002,0)),"Eşleşme Yok"))</f>
        <v/>
      </c>
      <c r="L266" s="26">
        <f>IF('DIVA Satislari'!I266="","",IFERROR(INDEX('E2E Nakliye Montaj'!$AT$3:$AT$1002,MATCH('DIVA Satislari'!AJ266,'E2E Nakliye Montaj'!$AM$3:$AM$1002,0)),"Hayır"))</f>
        <v/>
      </c>
      <c r="M266" s="26">
        <f>IF('DIVA Satislari'!I266="","",IFERROR(INDEX('E2E Nakliye Montaj'!$AU$3:$AU$1002,MATCH('DIVA Satislari'!AJ266,'E2E Nakliye Montaj'!$AM$3:$AM$1002,0)),"Hayır"))</f>
        <v/>
      </c>
      <c r="N266" s="27">
        <f>IF('DIVA Satislari'!I266="","",IFERROR(INDEX('E2E Nakliye Montaj'!$AV$3:$AV$1002,MATCH('DIVA Satislari'!AJ266,'E2E Nakliye Montaj'!$AM$3:$AM$1002,0)),""))</f>
        <v/>
      </c>
      <c r="O266" s="26">
        <f>IF(OR(A266="",N266=""),"",IF(N266&lt;=H266,"Evet","HAYIR - RİSK"))</f>
        <v/>
      </c>
      <c r="P266" s="26">
        <f>IF(A266="","",IF(LEFT(J266,8)="Kural A ","Uygun - Hemen Ödenir (Yıl Sonu %75 Kontrolüne Tabi)",IF(OR(L266="Evet",M266="Evet"),IF(O266="Evet","Uygun","RİSK - Hakediş Süresi Aşıldı"),"Bekleniyor - Nakliye/Montaj Tamamlanmadı")))</f>
        <v/>
      </c>
      <c r="Q266" s="28">
        <f>IF(A266="","",SUMIFS('Hakedis Fatura Detay'!$G$3:$G$1200,'Hakedis Fatura Detay'!$H$3:$H$1200,'DIVA Satislari'!AJ266,'Hakedis Fatura Detay'!$F$3:$F$1200,"Fiyat Farkı")+SUMIFS('Hakedis Fatura Detay'!$G$3:$G$1200,'Hakedis Fatura Detay'!$H$3:$H$1200,'DIVA Satislari'!AJ266,'Hakedis Fatura Detay'!$F$3:$F$1200,"Bundle"))</f>
        <v/>
      </c>
      <c r="R266" s="28">
        <f>IF(A266="","",I266-Q266)</f>
        <v/>
      </c>
      <c r="S266" s="26">
        <f>IF(A266="","",IF(LEFT(P266,7)="Bekleni","N/A - Henüz Ödenmemeli",IF(LEFT(P266,4)="RİSK","İNCELEME GEREKLİ - Süre Aşımı",IF(R266=0,"Doğru",IF(R266&gt;0,"EKSİK ÖDENMİŞ","FAZLA ÖDENMİŞ")))))</f>
        <v/>
      </c>
      <c r="T266" s="30">
        <f>IF(A266="","",IF(F266&lt;&gt;"Evet","İNCELEME GEREKLİ - Kampanya Tanımsız",IF(G266&lt;&gt;"Evet","İNCELEME GEREKLİ - Tarih Dışı Satış",IF(LEFT(P266,4)="RİSK","İNCELEME GEREKLİ - Hakediş Süresi Aşıldı",IF(OR(S266="EKSİK ÖDENMİŞ",S266="FAZLA ÖDENMİŞ"),"İNCELEME GEREKLİ - Tutar Uyuşmazlığı",IF(LEFT(P266,7)="Bekleni","Bekleniyor","Uygun"))))))</f>
        <v/>
      </c>
    </row>
    <row r="267">
      <c r="A267" s="26">
        <f>IF('DIVA Satislari'!I267="","",'DIVA Satislari'!I267)</f>
        <v/>
      </c>
      <c r="B267" s="26">
        <f>IF('DIVA Satislari'!I267="","",'DIVA Satislari'!R267)</f>
        <v/>
      </c>
      <c r="C267" s="26">
        <f>IF('DIVA Satislari'!I267="","",'DIVA Satislari'!M267)</f>
        <v/>
      </c>
      <c r="D267" s="27">
        <f>IF('DIVA Satislari'!I267="","",'DIVA Satislari'!H267)</f>
        <v/>
      </c>
      <c r="E267" s="26">
        <f>IF('DIVA Satislari'!I267="","",'DIVA Satislari'!O267)</f>
        <v/>
      </c>
      <c r="F267" s="26">
        <f>IF('DIVA Satislari'!I267="","",'DIVA Satislari'!AK267)</f>
        <v/>
      </c>
      <c r="G267" s="26">
        <f>IF('DIVA Satislari'!I267="","",'DIVA Satislari'!AO267)</f>
        <v/>
      </c>
      <c r="H267" s="27">
        <f>IF('DIVA Satislari'!I267="","",'DIVA Satislari'!AN267)</f>
        <v/>
      </c>
      <c r="I267" s="28">
        <f>IF('DIVA Satislari'!I267="","",'DIVA Satislari'!AQ267)</f>
        <v/>
      </c>
      <c r="J267" s="26">
        <f>IF('DIVA Satislari'!I267="","",'DIVA Satislari'!AR267)</f>
        <v/>
      </c>
      <c r="K267" s="26">
        <f>IF('DIVA Satislari'!I267="","",IFERROR(INDEX('E2E Nakliye Montaj'!$AS$3:$AS$1002,MATCH('DIVA Satislari'!AJ267,'E2E Nakliye Montaj'!$AM$3:$AM$1002,0)),"Eşleşme Yok"))</f>
        <v/>
      </c>
      <c r="L267" s="26">
        <f>IF('DIVA Satislari'!I267="","",IFERROR(INDEX('E2E Nakliye Montaj'!$AT$3:$AT$1002,MATCH('DIVA Satislari'!AJ267,'E2E Nakliye Montaj'!$AM$3:$AM$1002,0)),"Hayır"))</f>
        <v/>
      </c>
      <c r="M267" s="26">
        <f>IF('DIVA Satislari'!I267="","",IFERROR(INDEX('E2E Nakliye Montaj'!$AU$3:$AU$1002,MATCH('DIVA Satislari'!AJ267,'E2E Nakliye Montaj'!$AM$3:$AM$1002,0)),"Hayır"))</f>
        <v/>
      </c>
      <c r="N267" s="27">
        <f>IF('DIVA Satislari'!I267="","",IFERROR(INDEX('E2E Nakliye Montaj'!$AV$3:$AV$1002,MATCH('DIVA Satislari'!AJ267,'E2E Nakliye Montaj'!$AM$3:$AM$1002,0)),""))</f>
        <v/>
      </c>
      <c r="O267" s="26">
        <f>IF(OR(A267="",N267=""),"",IF(N267&lt;=H267,"Evet","HAYIR - RİSK"))</f>
        <v/>
      </c>
      <c r="P267" s="26">
        <f>IF(A267="","",IF(LEFT(J267,8)="Kural A ","Uygun - Hemen Ödenir (Yıl Sonu %75 Kontrolüne Tabi)",IF(OR(L267="Evet",M267="Evet"),IF(O267="Evet","Uygun","RİSK - Hakediş Süresi Aşıldı"),"Bekleniyor - Nakliye/Montaj Tamamlanmadı")))</f>
        <v/>
      </c>
      <c r="Q267" s="28">
        <f>IF(A267="","",SUMIFS('Hakedis Fatura Detay'!$G$3:$G$1200,'Hakedis Fatura Detay'!$H$3:$H$1200,'DIVA Satislari'!AJ267,'Hakedis Fatura Detay'!$F$3:$F$1200,"Fiyat Farkı")+SUMIFS('Hakedis Fatura Detay'!$G$3:$G$1200,'Hakedis Fatura Detay'!$H$3:$H$1200,'DIVA Satislari'!AJ267,'Hakedis Fatura Detay'!$F$3:$F$1200,"Bundle"))</f>
        <v/>
      </c>
      <c r="R267" s="28">
        <f>IF(A267="","",I267-Q267)</f>
        <v/>
      </c>
      <c r="S267" s="26">
        <f>IF(A267="","",IF(LEFT(P267,7)="Bekleni","N/A - Henüz Ödenmemeli",IF(LEFT(P267,4)="RİSK","İNCELEME GEREKLİ - Süre Aşımı",IF(R267=0,"Doğru",IF(R267&gt;0,"EKSİK ÖDENMİŞ","FAZLA ÖDENMİŞ")))))</f>
        <v/>
      </c>
      <c r="T267" s="30">
        <f>IF(A267="","",IF(F267&lt;&gt;"Evet","İNCELEME GEREKLİ - Kampanya Tanımsız",IF(G267&lt;&gt;"Evet","İNCELEME GEREKLİ - Tarih Dışı Satış",IF(LEFT(P267,4)="RİSK","İNCELEME GEREKLİ - Hakediş Süresi Aşıldı",IF(OR(S267="EKSİK ÖDENMİŞ",S267="FAZLA ÖDENMİŞ"),"İNCELEME GEREKLİ - Tutar Uyuşmazlığı",IF(LEFT(P267,7)="Bekleni","Bekleniyor","Uygun"))))))</f>
        <v/>
      </c>
    </row>
    <row r="268">
      <c r="A268" s="26">
        <f>IF('DIVA Satislari'!I268="","",'DIVA Satislari'!I268)</f>
        <v/>
      </c>
      <c r="B268" s="26">
        <f>IF('DIVA Satislari'!I268="","",'DIVA Satislari'!R268)</f>
        <v/>
      </c>
      <c r="C268" s="26">
        <f>IF('DIVA Satislari'!I268="","",'DIVA Satislari'!M268)</f>
        <v/>
      </c>
      <c r="D268" s="27">
        <f>IF('DIVA Satislari'!I268="","",'DIVA Satislari'!H268)</f>
        <v/>
      </c>
      <c r="E268" s="26">
        <f>IF('DIVA Satislari'!I268="","",'DIVA Satislari'!O268)</f>
        <v/>
      </c>
      <c r="F268" s="26">
        <f>IF('DIVA Satislari'!I268="","",'DIVA Satislari'!AK268)</f>
        <v/>
      </c>
      <c r="G268" s="26">
        <f>IF('DIVA Satislari'!I268="","",'DIVA Satislari'!AO268)</f>
        <v/>
      </c>
      <c r="H268" s="27">
        <f>IF('DIVA Satislari'!I268="","",'DIVA Satislari'!AN268)</f>
        <v/>
      </c>
      <c r="I268" s="28">
        <f>IF('DIVA Satislari'!I268="","",'DIVA Satislari'!AQ268)</f>
        <v/>
      </c>
      <c r="J268" s="26">
        <f>IF('DIVA Satislari'!I268="","",'DIVA Satislari'!AR268)</f>
        <v/>
      </c>
      <c r="K268" s="26">
        <f>IF('DIVA Satislari'!I268="","",IFERROR(INDEX('E2E Nakliye Montaj'!$AS$3:$AS$1002,MATCH('DIVA Satislari'!AJ268,'E2E Nakliye Montaj'!$AM$3:$AM$1002,0)),"Eşleşme Yok"))</f>
        <v/>
      </c>
      <c r="L268" s="26">
        <f>IF('DIVA Satislari'!I268="","",IFERROR(INDEX('E2E Nakliye Montaj'!$AT$3:$AT$1002,MATCH('DIVA Satislari'!AJ268,'E2E Nakliye Montaj'!$AM$3:$AM$1002,0)),"Hayır"))</f>
        <v/>
      </c>
      <c r="M268" s="26">
        <f>IF('DIVA Satislari'!I268="","",IFERROR(INDEX('E2E Nakliye Montaj'!$AU$3:$AU$1002,MATCH('DIVA Satislari'!AJ268,'E2E Nakliye Montaj'!$AM$3:$AM$1002,0)),"Hayır"))</f>
        <v/>
      </c>
      <c r="N268" s="27">
        <f>IF('DIVA Satislari'!I268="","",IFERROR(INDEX('E2E Nakliye Montaj'!$AV$3:$AV$1002,MATCH('DIVA Satislari'!AJ268,'E2E Nakliye Montaj'!$AM$3:$AM$1002,0)),""))</f>
        <v/>
      </c>
      <c r="O268" s="26">
        <f>IF(OR(A268="",N268=""),"",IF(N268&lt;=H268,"Evet","HAYIR - RİSK"))</f>
        <v/>
      </c>
      <c r="P268" s="26">
        <f>IF(A268="","",IF(LEFT(J268,8)="Kural A ","Uygun - Hemen Ödenir (Yıl Sonu %75 Kontrolüne Tabi)",IF(OR(L268="Evet",M268="Evet"),IF(O268="Evet","Uygun","RİSK - Hakediş Süresi Aşıldı"),"Bekleniyor - Nakliye/Montaj Tamamlanmadı")))</f>
        <v/>
      </c>
      <c r="Q268" s="28">
        <f>IF(A268="","",SUMIFS('Hakedis Fatura Detay'!$G$3:$G$1200,'Hakedis Fatura Detay'!$H$3:$H$1200,'DIVA Satislari'!AJ268,'Hakedis Fatura Detay'!$F$3:$F$1200,"Fiyat Farkı")+SUMIFS('Hakedis Fatura Detay'!$G$3:$G$1200,'Hakedis Fatura Detay'!$H$3:$H$1200,'DIVA Satislari'!AJ268,'Hakedis Fatura Detay'!$F$3:$F$1200,"Bundle"))</f>
        <v/>
      </c>
      <c r="R268" s="28">
        <f>IF(A268="","",I268-Q268)</f>
        <v/>
      </c>
      <c r="S268" s="26">
        <f>IF(A268="","",IF(LEFT(P268,7)="Bekleni","N/A - Henüz Ödenmemeli",IF(LEFT(P268,4)="RİSK","İNCELEME GEREKLİ - Süre Aşımı",IF(R268=0,"Doğru",IF(R268&gt;0,"EKSİK ÖDENMİŞ","FAZLA ÖDENMİŞ")))))</f>
        <v/>
      </c>
      <c r="T268" s="30">
        <f>IF(A268="","",IF(F268&lt;&gt;"Evet","İNCELEME GEREKLİ - Kampanya Tanımsız",IF(G268&lt;&gt;"Evet","İNCELEME GEREKLİ - Tarih Dışı Satış",IF(LEFT(P268,4)="RİSK","İNCELEME GEREKLİ - Hakediş Süresi Aşıldı",IF(OR(S268="EKSİK ÖDENMİŞ",S268="FAZLA ÖDENMİŞ"),"İNCELEME GEREKLİ - Tutar Uyuşmazlığı",IF(LEFT(P268,7)="Bekleni","Bekleniyor","Uygun"))))))</f>
        <v/>
      </c>
    </row>
    <row r="269">
      <c r="A269" s="26">
        <f>IF('DIVA Satislari'!I269="","",'DIVA Satislari'!I269)</f>
        <v/>
      </c>
      <c r="B269" s="26">
        <f>IF('DIVA Satislari'!I269="","",'DIVA Satislari'!R269)</f>
        <v/>
      </c>
      <c r="C269" s="26">
        <f>IF('DIVA Satislari'!I269="","",'DIVA Satislari'!M269)</f>
        <v/>
      </c>
      <c r="D269" s="27">
        <f>IF('DIVA Satislari'!I269="","",'DIVA Satislari'!H269)</f>
        <v/>
      </c>
      <c r="E269" s="26">
        <f>IF('DIVA Satislari'!I269="","",'DIVA Satislari'!O269)</f>
        <v/>
      </c>
      <c r="F269" s="26">
        <f>IF('DIVA Satislari'!I269="","",'DIVA Satislari'!AK269)</f>
        <v/>
      </c>
      <c r="G269" s="26">
        <f>IF('DIVA Satislari'!I269="","",'DIVA Satislari'!AO269)</f>
        <v/>
      </c>
      <c r="H269" s="27">
        <f>IF('DIVA Satislari'!I269="","",'DIVA Satislari'!AN269)</f>
        <v/>
      </c>
      <c r="I269" s="28">
        <f>IF('DIVA Satislari'!I269="","",'DIVA Satislari'!AQ269)</f>
        <v/>
      </c>
      <c r="J269" s="26">
        <f>IF('DIVA Satislari'!I269="","",'DIVA Satislari'!AR269)</f>
        <v/>
      </c>
      <c r="K269" s="26">
        <f>IF('DIVA Satislari'!I269="","",IFERROR(INDEX('E2E Nakliye Montaj'!$AS$3:$AS$1002,MATCH('DIVA Satislari'!AJ269,'E2E Nakliye Montaj'!$AM$3:$AM$1002,0)),"Eşleşme Yok"))</f>
        <v/>
      </c>
      <c r="L269" s="26">
        <f>IF('DIVA Satislari'!I269="","",IFERROR(INDEX('E2E Nakliye Montaj'!$AT$3:$AT$1002,MATCH('DIVA Satislari'!AJ269,'E2E Nakliye Montaj'!$AM$3:$AM$1002,0)),"Hayır"))</f>
        <v/>
      </c>
      <c r="M269" s="26">
        <f>IF('DIVA Satislari'!I269="","",IFERROR(INDEX('E2E Nakliye Montaj'!$AU$3:$AU$1002,MATCH('DIVA Satislari'!AJ269,'E2E Nakliye Montaj'!$AM$3:$AM$1002,0)),"Hayır"))</f>
        <v/>
      </c>
      <c r="N269" s="27">
        <f>IF('DIVA Satislari'!I269="","",IFERROR(INDEX('E2E Nakliye Montaj'!$AV$3:$AV$1002,MATCH('DIVA Satislari'!AJ269,'E2E Nakliye Montaj'!$AM$3:$AM$1002,0)),""))</f>
        <v/>
      </c>
      <c r="O269" s="26">
        <f>IF(OR(A269="",N269=""),"",IF(N269&lt;=H269,"Evet","HAYIR - RİSK"))</f>
        <v/>
      </c>
      <c r="P269" s="26">
        <f>IF(A269="","",IF(LEFT(J269,8)="Kural A ","Uygun - Hemen Ödenir (Yıl Sonu %75 Kontrolüne Tabi)",IF(OR(L269="Evet",M269="Evet"),IF(O269="Evet","Uygun","RİSK - Hakediş Süresi Aşıldı"),"Bekleniyor - Nakliye/Montaj Tamamlanmadı")))</f>
        <v/>
      </c>
      <c r="Q269" s="28">
        <f>IF(A269="","",SUMIFS('Hakedis Fatura Detay'!$G$3:$G$1200,'Hakedis Fatura Detay'!$H$3:$H$1200,'DIVA Satislari'!AJ269,'Hakedis Fatura Detay'!$F$3:$F$1200,"Fiyat Farkı")+SUMIFS('Hakedis Fatura Detay'!$G$3:$G$1200,'Hakedis Fatura Detay'!$H$3:$H$1200,'DIVA Satislari'!AJ269,'Hakedis Fatura Detay'!$F$3:$F$1200,"Bundle"))</f>
        <v/>
      </c>
      <c r="R269" s="28">
        <f>IF(A269="","",I269-Q269)</f>
        <v/>
      </c>
      <c r="S269" s="26">
        <f>IF(A269="","",IF(LEFT(P269,7)="Bekleni","N/A - Henüz Ödenmemeli",IF(LEFT(P269,4)="RİSK","İNCELEME GEREKLİ - Süre Aşımı",IF(R269=0,"Doğru",IF(R269&gt;0,"EKSİK ÖDENMİŞ","FAZLA ÖDENMİŞ")))))</f>
        <v/>
      </c>
      <c r="T269" s="30">
        <f>IF(A269="","",IF(F269&lt;&gt;"Evet","İNCELEME GEREKLİ - Kampanya Tanımsız",IF(G269&lt;&gt;"Evet","İNCELEME GEREKLİ - Tarih Dışı Satış",IF(LEFT(P269,4)="RİSK","İNCELEME GEREKLİ - Hakediş Süresi Aşıldı",IF(OR(S269="EKSİK ÖDENMİŞ",S269="FAZLA ÖDENMİŞ"),"İNCELEME GEREKLİ - Tutar Uyuşmazlığı",IF(LEFT(P269,7)="Bekleni","Bekleniyor","Uygun"))))))</f>
        <v/>
      </c>
    </row>
    <row r="270">
      <c r="A270" s="26">
        <f>IF('DIVA Satislari'!I270="","",'DIVA Satislari'!I270)</f>
        <v/>
      </c>
      <c r="B270" s="26">
        <f>IF('DIVA Satislari'!I270="","",'DIVA Satislari'!R270)</f>
        <v/>
      </c>
      <c r="C270" s="26">
        <f>IF('DIVA Satislari'!I270="","",'DIVA Satislari'!M270)</f>
        <v/>
      </c>
      <c r="D270" s="27">
        <f>IF('DIVA Satislari'!I270="","",'DIVA Satislari'!H270)</f>
        <v/>
      </c>
      <c r="E270" s="26">
        <f>IF('DIVA Satislari'!I270="","",'DIVA Satislari'!O270)</f>
        <v/>
      </c>
      <c r="F270" s="26">
        <f>IF('DIVA Satislari'!I270="","",'DIVA Satislari'!AK270)</f>
        <v/>
      </c>
      <c r="G270" s="26">
        <f>IF('DIVA Satislari'!I270="","",'DIVA Satislari'!AO270)</f>
        <v/>
      </c>
      <c r="H270" s="27">
        <f>IF('DIVA Satislari'!I270="","",'DIVA Satislari'!AN270)</f>
        <v/>
      </c>
      <c r="I270" s="28">
        <f>IF('DIVA Satislari'!I270="","",'DIVA Satislari'!AQ270)</f>
        <v/>
      </c>
      <c r="J270" s="26">
        <f>IF('DIVA Satislari'!I270="","",'DIVA Satislari'!AR270)</f>
        <v/>
      </c>
      <c r="K270" s="26">
        <f>IF('DIVA Satislari'!I270="","",IFERROR(INDEX('E2E Nakliye Montaj'!$AS$3:$AS$1002,MATCH('DIVA Satislari'!AJ270,'E2E Nakliye Montaj'!$AM$3:$AM$1002,0)),"Eşleşme Yok"))</f>
        <v/>
      </c>
      <c r="L270" s="26">
        <f>IF('DIVA Satislari'!I270="","",IFERROR(INDEX('E2E Nakliye Montaj'!$AT$3:$AT$1002,MATCH('DIVA Satislari'!AJ270,'E2E Nakliye Montaj'!$AM$3:$AM$1002,0)),"Hayır"))</f>
        <v/>
      </c>
      <c r="M270" s="26">
        <f>IF('DIVA Satislari'!I270="","",IFERROR(INDEX('E2E Nakliye Montaj'!$AU$3:$AU$1002,MATCH('DIVA Satislari'!AJ270,'E2E Nakliye Montaj'!$AM$3:$AM$1002,0)),"Hayır"))</f>
        <v/>
      </c>
      <c r="N270" s="27">
        <f>IF('DIVA Satislari'!I270="","",IFERROR(INDEX('E2E Nakliye Montaj'!$AV$3:$AV$1002,MATCH('DIVA Satislari'!AJ270,'E2E Nakliye Montaj'!$AM$3:$AM$1002,0)),""))</f>
        <v/>
      </c>
      <c r="O270" s="26">
        <f>IF(OR(A270="",N270=""),"",IF(N270&lt;=H270,"Evet","HAYIR - RİSK"))</f>
        <v/>
      </c>
      <c r="P270" s="26">
        <f>IF(A270="","",IF(LEFT(J270,8)="Kural A ","Uygun - Hemen Ödenir (Yıl Sonu %75 Kontrolüne Tabi)",IF(OR(L270="Evet",M270="Evet"),IF(O270="Evet","Uygun","RİSK - Hakediş Süresi Aşıldı"),"Bekleniyor - Nakliye/Montaj Tamamlanmadı")))</f>
        <v/>
      </c>
      <c r="Q270" s="28">
        <f>IF(A270="","",SUMIFS('Hakedis Fatura Detay'!$G$3:$G$1200,'Hakedis Fatura Detay'!$H$3:$H$1200,'DIVA Satislari'!AJ270,'Hakedis Fatura Detay'!$F$3:$F$1200,"Fiyat Farkı")+SUMIFS('Hakedis Fatura Detay'!$G$3:$G$1200,'Hakedis Fatura Detay'!$H$3:$H$1200,'DIVA Satislari'!AJ270,'Hakedis Fatura Detay'!$F$3:$F$1200,"Bundle"))</f>
        <v/>
      </c>
      <c r="R270" s="28">
        <f>IF(A270="","",I270-Q270)</f>
        <v/>
      </c>
      <c r="S270" s="26">
        <f>IF(A270="","",IF(LEFT(P270,7)="Bekleni","N/A - Henüz Ödenmemeli",IF(LEFT(P270,4)="RİSK","İNCELEME GEREKLİ - Süre Aşımı",IF(R270=0,"Doğru",IF(R270&gt;0,"EKSİK ÖDENMİŞ","FAZLA ÖDENMİŞ")))))</f>
        <v/>
      </c>
      <c r="T270" s="30">
        <f>IF(A270="","",IF(F270&lt;&gt;"Evet","İNCELEME GEREKLİ - Kampanya Tanımsız",IF(G270&lt;&gt;"Evet","İNCELEME GEREKLİ - Tarih Dışı Satış",IF(LEFT(P270,4)="RİSK","İNCELEME GEREKLİ - Hakediş Süresi Aşıldı",IF(OR(S270="EKSİK ÖDENMİŞ",S270="FAZLA ÖDENMİŞ"),"İNCELEME GEREKLİ - Tutar Uyuşmazlığı",IF(LEFT(P270,7)="Bekleni","Bekleniyor","Uygun"))))))</f>
        <v/>
      </c>
    </row>
    <row r="271">
      <c r="A271" s="26">
        <f>IF('DIVA Satislari'!I271="","",'DIVA Satislari'!I271)</f>
        <v/>
      </c>
      <c r="B271" s="26">
        <f>IF('DIVA Satislari'!I271="","",'DIVA Satislari'!R271)</f>
        <v/>
      </c>
      <c r="C271" s="26">
        <f>IF('DIVA Satislari'!I271="","",'DIVA Satislari'!M271)</f>
        <v/>
      </c>
      <c r="D271" s="27">
        <f>IF('DIVA Satislari'!I271="","",'DIVA Satislari'!H271)</f>
        <v/>
      </c>
      <c r="E271" s="26">
        <f>IF('DIVA Satislari'!I271="","",'DIVA Satislari'!O271)</f>
        <v/>
      </c>
      <c r="F271" s="26">
        <f>IF('DIVA Satislari'!I271="","",'DIVA Satislari'!AK271)</f>
        <v/>
      </c>
      <c r="G271" s="26">
        <f>IF('DIVA Satislari'!I271="","",'DIVA Satislari'!AO271)</f>
        <v/>
      </c>
      <c r="H271" s="27">
        <f>IF('DIVA Satislari'!I271="","",'DIVA Satislari'!AN271)</f>
        <v/>
      </c>
      <c r="I271" s="28">
        <f>IF('DIVA Satislari'!I271="","",'DIVA Satislari'!AQ271)</f>
        <v/>
      </c>
      <c r="J271" s="26">
        <f>IF('DIVA Satislari'!I271="","",'DIVA Satislari'!AR271)</f>
        <v/>
      </c>
      <c r="K271" s="26">
        <f>IF('DIVA Satislari'!I271="","",IFERROR(INDEX('E2E Nakliye Montaj'!$AS$3:$AS$1002,MATCH('DIVA Satislari'!AJ271,'E2E Nakliye Montaj'!$AM$3:$AM$1002,0)),"Eşleşme Yok"))</f>
        <v/>
      </c>
      <c r="L271" s="26">
        <f>IF('DIVA Satislari'!I271="","",IFERROR(INDEX('E2E Nakliye Montaj'!$AT$3:$AT$1002,MATCH('DIVA Satislari'!AJ271,'E2E Nakliye Montaj'!$AM$3:$AM$1002,0)),"Hayır"))</f>
        <v/>
      </c>
      <c r="M271" s="26">
        <f>IF('DIVA Satislari'!I271="","",IFERROR(INDEX('E2E Nakliye Montaj'!$AU$3:$AU$1002,MATCH('DIVA Satislari'!AJ271,'E2E Nakliye Montaj'!$AM$3:$AM$1002,0)),"Hayır"))</f>
        <v/>
      </c>
      <c r="N271" s="27">
        <f>IF('DIVA Satislari'!I271="","",IFERROR(INDEX('E2E Nakliye Montaj'!$AV$3:$AV$1002,MATCH('DIVA Satislari'!AJ271,'E2E Nakliye Montaj'!$AM$3:$AM$1002,0)),""))</f>
        <v/>
      </c>
      <c r="O271" s="26">
        <f>IF(OR(A271="",N271=""),"",IF(N271&lt;=H271,"Evet","HAYIR - RİSK"))</f>
        <v/>
      </c>
      <c r="P271" s="26">
        <f>IF(A271="","",IF(LEFT(J271,8)="Kural A ","Uygun - Hemen Ödenir (Yıl Sonu %75 Kontrolüne Tabi)",IF(OR(L271="Evet",M271="Evet"),IF(O271="Evet","Uygun","RİSK - Hakediş Süresi Aşıldı"),"Bekleniyor - Nakliye/Montaj Tamamlanmadı")))</f>
        <v/>
      </c>
      <c r="Q271" s="28">
        <f>IF(A271="","",SUMIFS('Hakedis Fatura Detay'!$G$3:$G$1200,'Hakedis Fatura Detay'!$H$3:$H$1200,'DIVA Satislari'!AJ271,'Hakedis Fatura Detay'!$F$3:$F$1200,"Fiyat Farkı")+SUMIFS('Hakedis Fatura Detay'!$G$3:$G$1200,'Hakedis Fatura Detay'!$H$3:$H$1200,'DIVA Satislari'!AJ271,'Hakedis Fatura Detay'!$F$3:$F$1200,"Bundle"))</f>
        <v/>
      </c>
      <c r="R271" s="28">
        <f>IF(A271="","",I271-Q271)</f>
        <v/>
      </c>
      <c r="S271" s="26">
        <f>IF(A271="","",IF(LEFT(P271,7)="Bekleni","N/A - Henüz Ödenmemeli",IF(LEFT(P271,4)="RİSK","İNCELEME GEREKLİ - Süre Aşımı",IF(R271=0,"Doğru",IF(R271&gt;0,"EKSİK ÖDENMİŞ","FAZLA ÖDENMİŞ")))))</f>
        <v/>
      </c>
      <c r="T271" s="30">
        <f>IF(A271="","",IF(F271&lt;&gt;"Evet","İNCELEME GEREKLİ - Kampanya Tanımsız",IF(G271&lt;&gt;"Evet","İNCELEME GEREKLİ - Tarih Dışı Satış",IF(LEFT(P271,4)="RİSK","İNCELEME GEREKLİ - Hakediş Süresi Aşıldı",IF(OR(S271="EKSİK ÖDENMİŞ",S271="FAZLA ÖDENMİŞ"),"İNCELEME GEREKLİ - Tutar Uyuşmazlığı",IF(LEFT(P271,7)="Bekleni","Bekleniyor","Uygun"))))))</f>
        <v/>
      </c>
    </row>
    <row r="272">
      <c r="A272" s="26">
        <f>IF('DIVA Satislari'!I272="","",'DIVA Satislari'!I272)</f>
        <v/>
      </c>
      <c r="B272" s="26">
        <f>IF('DIVA Satislari'!I272="","",'DIVA Satislari'!R272)</f>
        <v/>
      </c>
      <c r="C272" s="26">
        <f>IF('DIVA Satislari'!I272="","",'DIVA Satislari'!M272)</f>
        <v/>
      </c>
      <c r="D272" s="27">
        <f>IF('DIVA Satislari'!I272="","",'DIVA Satislari'!H272)</f>
        <v/>
      </c>
      <c r="E272" s="26">
        <f>IF('DIVA Satislari'!I272="","",'DIVA Satislari'!O272)</f>
        <v/>
      </c>
      <c r="F272" s="26">
        <f>IF('DIVA Satislari'!I272="","",'DIVA Satislari'!AK272)</f>
        <v/>
      </c>
      <c r="G272" s="26">
        <f>IF('DIVA Satislari'!I272="","",'DIVA Satislari'!AO272)</f>
        <v/>
      </c>
      <c r="H272" s="27">
        <f>IF('DIVA Satislari'!I272="","",'DIVA Satislari'!AN272)</f>
        <v/>
      </c>
      <c r="I272" s="28">
        <f>IF('DIVA Satislari'!I272="","",'DIVA Satislari'!AQ272)</f>
        <v/>
      </c>
      <c r="J272" s="26">
        <f>IF('DIVA Satislari'!I272="","",'DIVA Satislari'!AR272)</f>
        <v/>
      </c>
      <c r="K272" s="26">
        <f>IF('DIVA Satislari'!I272="","",IFERROR(INDEX('E2E Nakliye Montaj'!$AS$3:$AS$1002,MATCH('DIVA Satislari'!AJ272,'E2E Nakliye Montaj'!$AM$3:$AM$1002,0)),"Eşleşme Yok"))</f>
        <v/>
      </c>
      <c r="L272" s="26">
        <f>IF('DIVA Satislari'!I272="","",IFERROR(INDEX('E2E Nakliye Montaj'!$AT$3:$AT$1002,MATCH('DIVA Satislari'!AJ272,'E2E Nakliye Montaj'!$AM$3:$AM$1002,0)),"Hayır"))</f>
        <v/>
      </c>
      <c r="M272" s="26">
        <f>IF('DIVA Satislari'!I272="","",IFERROR(INDEX('E2E Nakliye Montaj'!$AU$3:$AU$1002,MATCH('DIVA Satislari'!AJ272,'E2E Nakliye Montaj'!$AM$3:$AM$1002,0)),"Hayır"))</f>
        <v/>
      </c>
      <c r="N272" s="27">
        <f>IF('DIVA Satislari'!I272="","",IFERROR(INDEX('E2E Nakliye Montaj'!$AV$3:$AV$1002,MATCH('DIVA Satislari'!AJ272,'E2E Nakliye Montaj'!$AM$3:$AM$1002,0)),""))</f>
        <v/>
      </c>
      <c r="O272" s="26">
        <f>IF(OR(A272="",N272=""),"",IF(N272&lt;=H272,"Evet","HAYIR - RİSK"))</f>
        <v/>
      </c>
      <c r="P272" s="26">
        <f>IF(A272="","",IF(LEFT(J272,8)="Kural A ","Uygun - Hemen Ödenir (Yıl Sonu %75 Kontrolüne Tabi)",IF(OR(L272="Evet",M272="Evet"),IF(O272="Evet","Uygun","RİSK - Hakediş Süresi Aşıldı"),"Bekleniyor - Nakliye/Montaj Tamamlanmadı")))</f>
        <v/>
      </c>
      <c r="Q272" s="28">
        <f>IF(A272="","",SUMIFS('Hakedis Fatura Detay'!$G$3:$G$1200,'Hakedis Fatura Detay'!$H$3:$H$1200,'DIVA Satislari'!AJ272,'Hakedis Fatura Detay'!$F$3:$F$1200,"Fiyat Farkı")+SUMIFS('Hakedis Fatura Detay'!$G$3:$G$1200,'Hakedis Fatura Detay'!$H$3:$H$1200,'DIVA Satislari'!AJ272,'Hakedis Fatura Detay'!$F$3:$F$1200,"Bundle"))</f>
        <v/>
      </c>
      <c r="R272" s="28">
        <f>IF(A272="","",I272-Q272)</f>
        <v/>
      </c>
      <c r="S272" s="26">
        <f>IF(A272="","",IF(LEFT(P272,7)="Bekleni","N/A - Henüz Ödenmemeli",IF(LEFT(P272,4)="RİSK","İNCELEME GEREKLİ - Süre Aşımı",IF(R272=0,"Doğru",IF(R272&gt;0,"EKSİK ÖDENMİŞ","FAZLA ÖDENMİŞ")))))</f>
        <v/>
      </c>
      <c r="T272" s="30">
        <f>IF(A272="","",IF(F272&lt;&gt;"Evet","İNCELEME GEREKLİ - Kampanya Tanımsız",IF(G272&lt;&gt;"Evet","İNCELEME GEREKLİ - Tarih Dışı Satış",IF(LEFT(P272,4)="RİSK","İNCELEME GEREKLİ - Hakediş Süresi Aşıldı",IF(OR(S272="EKSİK ÖDENMİŞ",S272="FAZLA ÖDENMİŞ"),"İNCELEME GEREKLİ - Tutar Uyuşmazlığı",IF(LEFT(P272,7)="Bekleni","Bekleniyor","Uygun"))))))</f>
        <v/>
      </c>
    </row>
    <row r="273">
      <c r="A273" s="26">
        <f>IF('DIVA Satislari'!I273="","",'DIVA Satislari'!I273)</f>
        <v/>
      </c>
      <c r="B273" s="26">
        <f>IF('DIVA Satislari'!I273="","",'DIVA Satislari'!R273)</f>
        <v/>
      </c>
      <c r="C273" s="26">
        <f>IF('DIVA Satislari'!I273="","",'DIVA Satislari'!M273)</f>
        <v/>
      </c>
      <c r="D273" s="27">
        <f>IF('DIVA Satislari'!I273="","",'DIVA Satislari'!H273)</f>
        <v/>
      </c>
      <c r="E273" s="26">
        <f>IF('DIVA Satislari'!I273="","",'DIVA Satislari'!O273)</f>
        <v/>
      </c>
      <c r="F273" s="26">
        <f>IF('DIVA Satislari'!I273="","",'DIVA Satislari'!AK273)</f>
        <v/>
      </c>
      <c r="G273" s="26">
        <f>IF('DIVA Satislari'!I273="","",'DIVA Satislari'!AO273)</f>
        <v/>
      </c>
      <c r="H273" s="27">
        <f>IF('DIVA Satislari'!I273="","",'DIVA Satislari'!AN273)</f>
        <v/>
      </c>
      <c r="I273" s="28">
        <f>IF('DIVA Satislari'!I273="","",'DIVA Satislari'!AQ273)</f>
        <v/>
      </c>
      <c r="J273" s="26">
        <f>IF('DIVA Satislari'!I273="","",'DIVA Satislari'!AR273)</f>
        <v/>
      </c>
      <c r="K273" s="26">
        <f>IF('DIVA Satislari'!I273="","",IFERROR(INDEX('E2E Nakliye Montaj'!$AS$3:$AS$1002,MATCH('DIVA Satislari'!AJ273,'E2E Nakliye Montaj'!$AM$3:$AM$1002,0)),"Eşleşme Yok"))</f>
        <v/>
      </c>
      <c r="L273" s="26">
        <f>IF('DIVA Satislari'!I273="","",IFERROR(INDEX('E2E Nakliye Montaj'!$AT$3:$AT$1002,MATCH('DIVA Satislari'!AJ273,'E2E Nakliye Montaj'!$AM$3:$AM$1002,0)),"Hayır"))</f>
        <v/>
      </c>
      <c r="M273" s="26">
        <f>IF('DIVA Satislari'!I273="","",IFERROR(INDEX('E2E Nakliye Montaj'!$AU$3:$AU$1002,MATCH('DIVA Satislari'!AJ273,'E2E Nakliye Montaj'!$AM$3:$AM$1002,0)),"Hayır"))</f>
        <v/>
      </c>
      <c r="N273" s="27">
        <f>IF('DIVA Satislari'!I273="","",IFERROR(INDEX('E2E Nakliye Montaj'!$AV$3:$AV$1002,MATCH('DIVA Satislari'!AJ273,'E2E Nakliye Montaj'!$AM$3:$AM$1002,0)),""))</f>
        <v/>
      </c>
      <c r="O273" s="26">
        <f>IF(OR(A273="",N273=""),"",IF(N273&lt;=H273,"Evet","HAYIR - RİSK"))</f>
        <v/>
      </c>
      <c r="P273" s="26">
        <f>IF(A273="","",IF(LEFT(J273,8)="Kural A ","Uygun - Hemen Ödenir (Yıl Sonu %75 Kontrolüne Tabi)",IF(OR(L273="Evet",M273="Evet"),IF(O273="Evet","Uygun","RİSK - Hakediş Süresi Aşıldı"),"Bekleniyor - Nakliye/Montaj Tamamlanmadı")))</f>
        <v/>
      </c>
      <c r="Q273" s="28">
        <f>IF(A273="","",SUMIFS('Hakedis Fatura Detay'!$G$3:$G$1200,'Hakedis Fatura Detay'!$H$3:$H$1200,'DIVA Satislari'!AJ273,'Hakedis Fatura Detay'!$F$3:$F$1200,"Fiyat Farkı")+SUMIFS('Hakedis Fatura Detay'!$G$3:$G$1200,'Hakedis Fatura Detay'!$H$3:$H$1200,'DIVA Satislari'!AJ273,'Hakedis Fatura Detay'!$F$3:$F$1200,"Bundle"))</f>
        <v/>
      </c>
      <c r="R273" s="28">
        <f>IF(A273="","",I273-Q273)</f>
        <v/>
      </c>
      <c r="S273" s="26">
        <f>IF(A273="","",IF(LEFT(P273,7)="Bekleni","N/A - Henüz Ödenmemeli",IF(LEFT(P273,4)="RİSK","İNCELEME GEREKLİ - Süre Aşımı",IF(R273=0,"Doğru",IF(R273&gt;0,"EKSİK ÖDENMİŞ","FAZLA ÖDENMİŞ")))))</f>
        <v/>
      </c>
      <c r="T273" s="30">
        <f>IF(A273="","",IF(F273&lt;&gt;"Evet","İNCELEME GEREKLİ - Kampanya Tanımsız",IF(G273&lt;&gt;"Evet","İNCELEME GEREKLİ - Tarih Dışı Satış",IF(LEFT(P273,4)="RİSK","İNCELEME GEREKLİ - Hakediş Süresi Aşıldı",IF(OR(S273="EKSİK ÖDENMİŞ",S273="FAZLA ÖDENMİŞ"),"İNCELEME GEREKLİ - Tutar Uyuşmazlığı",IF(LEFT(P273,7)="Bekleni","Bekleniyor","Uygun"))))))</f>
        <v/>
      </c>
    </row>
    <row r="274">
      <c r="A274" s="26">
        <f>IF('DIVA Satislari'!I274="","",'DIVA Satislari'!I274)</f>
        <v/>
      </c>
      <c r="B274" s="26">
        <f>IF('DIVA Satislari'!I274="","",'DIVA Satislari'!R274)</f>
        <v/>
      </c>
      <c r="C274" s="26">
        <f>IF('DIVA Satislari'!I274="","",'DIVA Satislari'!M274)</f>
        <v/>
      </c>
      <c r="D274" s="27">
        <f>IF('DIVA Satislari'!I274="","",'DIVA Satislari'!H274)</f>
        <v/>
      </c>
      <c r="E274" s="26">
        <f>IF('DIVA Satislari'!I274="","",'DIVA Satislari'!O274)</f>
        <v/>
      </c>
      <c r="F274" s="26">
        <f>IF('DIVA Satislari'!I274="","",'DIVA Satislari'!AK274)</f>
        <v/>
      </c>
      <c r="G274" s="26">
        <f>IF('DIVA Satislari'!I274="","",'DIVA Satislari'!AO274)</f>
        <v/>
      </c>
      <c r="H274" s="27">
        <f>IF('DIVA Satislari'!I274="","",'DIVA Satislari'!AN274)</f>
        <v/>
      </c>
      <c r="I274" s="28">
        <f>IF('DIVA Satislari'!I274="","",'DIVA Satislari'!AQ274)</f>
        <v/>
      </c>
      <c r="J274" s="26">
        <f>IF('DIVA Satislari'!I274="","",'DIVA Satislari'!AR274)</f>
        <v/>
      </c>
      <c r="K274" s="26">
        <f>IF('DIVA Satislari'!I274="","",IFERROR(INDEX('E2E Nakliye Montaj'!$AS$3:$AS$1002,MATCH('DIVA Satislari'!AJ274,'E2E Nakliye Montaj'!$AM$3:$AM$1002,0)),"Eşleşme Yok"))</f>
        <v/>
      </c>
      <c r="L274" s="26">
        <f>IF('DIVA Satislari'!I274="","",IFERROR(INDEX('E2E Nakliye Montaj'!$AT$3:$AT$1002,MATCH('DIVA Satislari'!AJ274,'E2E Nakliye Montaj'!$AM$3:$AM$1002,0)),"Hayır"))</f>
        <v/>
      </c>
      <c r="M274" s="26">
        <f>IF('DIVA Satislari'!I274="","",IFERROR(INDEX('E2E Nakliye Montaj'!$AU$3:$AU$1002,MATCH('DIVA Satislari'!AJ274,'E2E Nakliye Montaj'!$AM$3:$AM$1002,0)),"Hayır"))</f>
        <v/>
      </c>
      <c r="N274" s="27">
        <f>IF('DIVA Satislari'!I274="","",IFERROR(INDEX('E2E Nakliye Montaj'!$AV$3:$AV$1002,MATCH('DIVA Satislari'!AJ274,'E2E Nakliye Montaj'!$AM$3:$AM$1002,0)),""))</f>
        <v/>
      </c>
      <c r="O274" s="26">
        <f>IF(OR(A274="",N274=""),"",IF(N274&lt;=H274,"Evet","HAYIR - RİSK"))</f>
        <v/>
      </c>
      <c r="P274" s="26">
        <f>IF(A274="","",IF(LEFT(J274,8)="Kural A ","Uygun - Hemen Ödenir (Yıl Sonu %75 Kontrolüne Tabi)",IF(OR(L274="Evet",M274="Evet"),IF(O274="Evet","Uygun","RİSK - Hakediş Süresi Aşıldı"),"Bekleniyor - Nakliye/Montaj Tamamlanmadı")))</f>
        <v/>
      </c>
      <c r="Q274" s="28">
        <f>IF(A274="","",SUMIFS('Hakedis Fatura Detay'!$G$3:$G$1200,'Hakedis Fatura Detay'!$H$3:$H$1200,'DIVA Satislari'!AJ274,'Hakedis Fatura Detay'!$F$3:$F$1200,"Fiyat Farkı")+SUMIFS('Hakedis Fatura Detay'!$G$3:$G$1200,'Hakedis Fatura Detay'!$H$3:$H$1200,'DIVA Satislari'!AJ274,'Hakedis Fatura Detay'!$F$3:$F$1200,"Bundle"))</f>
        <v/>
      </c>
      <c r="R274" s="28">
        <f>IF(A274="","",I274-Q274)</f>
        <v/>
      </c>
      <c r="S274" s="26">
        <f>IF(A274="","",IF(LEFT(P274,7)="Bekleni","N/A - Henüz Ödenmemeli",IF(LEFT(P274,4)="RİSK","İNCELEME GEREKLİ - Süre Aşımı",IF(R274=0,"Doğru",IF(R274&gt;0,"EKSİK ÖDENMİŞ","FAZLA ÖDENMİŞ")))))</f>
        <v/>
      </c>
      <c r="T274" s="30">
        <f>IF(A274="","",IF(F274&lt;&gt;"Evet","İNCELEME GEREKLİ - Kampanya Tanımsız",IF(G274&lt;&gt;"Evet","İNCELEME GEREKLİ - Tarih Dışı Satış",IF(LEFT(P274,4)="RİSK","İNCELEME GEREKLİ - Hakediş Süresi Aşıldı",IF(OR(S274="EKSİK ÖDENMİŞ",S274="FAZLA ÖDENMİŞ"),"İNCELEME GEREKLİ - Tutar Uyuşmazlığı",IF(LEFT(P274,7)="Bekleni","Bekleniyor","Uygun"))))))</f>
        <v/>
      </c>
    </row>
    <row r="275">
      <c r="A275" s="26">
        <f>IF('DIVA Satislari'!I275="","",'DIVA Satislari'!I275)</f>
        <v/>
      </c>
      <c r="B275" s="26">
        <f>IF('DIVA Satislari'!I275="","",'DIVA Satislari'!R275)</f>
        <v/>
      </c>
      <c r="C275" s="26">
        <f>IF('DIVA Satislari'!I275="","",'DIVA Satislari'!M275)</f>
        <v/>
      </c>
      <c r="D275" s="27">
        <f>IF('DIVA Satislari'!I275="","",'DIVA Satislari'!H275)</f>
        <v/>
      </c>
      <c r="E275" s="26">
        <f>IF('DIVA Satislari'!I275="","",'DIVA Satislari'!O275)</f>
        <v/>
      </c>
      <c r="F275" s="26">
        <f>IF('DIVA Satislari'!I275="","",'DIVA Satislari'!AK275)</f>
        <v/>
      </c>
      <c r="G275" s="26">
        <f>IF('DIVA Satislari'!I275="","",'DIVA Satislari'!AO275)</f>
        <v/>
      </c>
      <c r="H275" s="27">
        <f>IF('DIVA Satislari'!I275="","",'DIVA Satislari'!AN275)</f>
        <v/>
      </c>
      <c r="I275" s="28">
        <f>IF('DIVA Satislari'!I275="","",'DIVA Satislari'!AQ275)</f>
        <v/>
      </c>
      <c r="J275" s="26">
        <f>IF('DIVA Satislari'!I275="","",'DIVA Satislari'!AR275)</f>
        <v/>
      </c>
      <c r="K275" s="26">
        <f>IF('DIVA Satislari'!I275="","",IFERROR(INDEX('E2E Nakliye Montaj'!$AS$3:$AS$1002,MATCH('DIVA Satislari'!AJ275,'E2E Nakliye Montaj'!$AM$3:$AM$1002,0)),"Eşleşme Yok"))</f>
        <v/>
      </c>
      <c r="L275" s="26">
        <f>IF('DIVA Satislari'!I275="","",IFERROR(INDEX('E2E Nakliye Montaj'!$AT$3:$AT$1002,MATCH('DIVA Satislari'!AJ275,'E2E Nakliye Montaj'!$AM$3:$AM$1002,0)),"Hayır"))</f>
        <v/>
      </c>
      <c r="M275" s="26">
        <f>IF('DIVA Satislari'!I275="","",IFERROR(INDEX('E2E Nakliye Montaj'!$AU$3:$AU$1002,MATCH('DIVA Satislari'!AJ275,'E2E Nakliye Montaj'!$AM$3:$AM$1002,0)),"Hayır"))</f>
        <v/>
      </c>
      <c r="N275" s="27">
        <f>IF('DIVA Satislari'!I275="","",IFERROR(INDEX('E2E Nakliye Montaj'!$AV$3:$AV$1002,MATCH('DIVA Satislari'!AJ275,'E2E Nakliye Montaj'!$AM$3:$AM$1002,0)),""))</f>
        <v/>
      </c>
      <c r="O275" s="26">
        <f>IF(OR(A275="",N275=""),"",IF(N275&lt;=H275,"Evet","HAYIR - RİSK"))</f>
        <v/>
      </c>
      <c r="P275" s="26">
        <f>IF(A275="","",IF(LEFT(J275,8)="Kural A ","Uygun - Hemen Ödenir (Yıl Sonu %75 Kontrolüne Tabi)",IF(OR(L275="Evet",M275="Evet"),IF(O275="Evet","Uygun","RİSK - Hakediş Süresi Aşıldı"),"Bekleniyor - Nakliye/Montaj Tamamlanmadı")))</f>
        <v/>
      </c>
      <c r="Q275" s="28">
        <f>IF(A275="","",SUMIFS('Hakedis Fatura Detay'!$G$3:$G$1200,'Hakedis Fatura Detay'!$H$3:$H$1200,'DIVA Satislari'!AJ275,'Hakedis Fatura Detay'!$F$3:$F$1200,"Fiyat Farkı")+SUMIFS('Hakedis Fatura Detay'!$G$3:$G$1200,'Hakedis Fatura Detay'!$H$3:$H$1200,'DIVA Satislari'!AJ275,'Hakedis Fatura Detay'!$F$3:$F$1200,"Bundle"))</f>
        <v/>
      </c>
      <c r="R275" s="28">
        <f>IF(A275="","",I275-Q275)</f>
        <v/>
      </c>
      <c r="S275" s="26">
        <f>IF(A275="","",IF(LEFT(P275,7)="Bekleni","N/A - Henüz Ödenmemeli",IF(LEFT(P275,4)="RİSK","İNCELEME GEREKLİ - Süre Aşımı",IF(R275=0,"Doğru",IF(R275&gt;0,"EKSİK ÖDENMİŞ","FAZLA ÖDENMİŞ")))))</f>
        <v/>
      </c>
      <c r="T275" s="30">
        <f>IF(A275="","",IF(F275&lt;&gt;"Evet","İNCELEME GEREKLİ - Kampanya Tanımsız",IF(G275&lt;&gt;"Evet","İNCELEME GEREKLİ - Tarih Dışı Satış",IF(LEFT(P275,4)="RİSK","İNCELEME GEREKLİ - Hakediş Süresi Aşıldı",IF(OR(S275="EKSİK ÖDENMİŞ",S275="FAZLA ÖDENMİŞ"),"İNCELEME GEREKLİ - Tutar Uyuşmazlığı",IF(LEFT(P275,7)="Bekleni","Bekleniyor","Uygun"))))))</f>
        <v/>
      </c>
    </row>
    <row r="276">
      <c r="A276" s="26">
        <f>IF('DIVA Satislari'!I276="","",'DIVA Satislari'!I276)</f>
        <v/>
      </c>
      <c r="B276" s="26">
        <f>IF('DIVA Satislari'!I276="","",'DIVA Satislari'!R276)</f>
        <v/>
      </c>
      <c r="C276" s="26">
        <f>IF('DIVA Satislari'!I276="","",'DIVA Satislari'!M276)</f>
        <v/>
      </c>
      <c r="D276" s="27">
        <f>IF('DIVA Satislari'!I276="","",'DIVA Satislari'!H276)</f>
        <v/>
      </c>
      <c r="E276" s="26">
        <f>IF('DIVA Satislari'!I276="","",'DIVA Satislari'!O276)</f>
        <v/>
      </c>
      <c r="F276" s="26">
        <f>IF('DIVA Satislari'!I276="","",'DIVA Satislari'!AK276)</f>
        <v/>
      </c>
      <c r="G276" s="26">
        <f>IF('DIVA Satislari'!I276="","",'DIVA Satislari'!AO276)</f>
        <v/>
      </c>
      <c r="H276" s="27">
        <f>IF('DIVA Satislari'!I276="","",'DIVA Satislari'!AN276)</f>
        <v/>
      </c>
      <c r="I276" s="28">
        <f>IF('DIVA Satislari'!I276="","",'DIVA Satislari'!AQ276)</f>
        <v/>
      </c>
      <c r="J276" s="26">
        <f>IF('DIVA Satislari'!I276="","",'DIVA Satislari'!AR276)</f>
        <v/>
      </c>
      <c r="K276" s="26">
        <f>IF('DIVA Satislari'!I276="","",IFERROR(INDEX('E2E Nakliye Montaj'!$AS$3:$AS$1002,MATCH('DIVA Satislari'!AJ276,'E2E Nakliye Montaj'!$AM$3:$AM$1002,0)),"Eşleşme Yok"))</f>
        <v/>
      </c>
      <c r="L276" s="26">
        <f>IF('DIVA Satislari'!I276="","",IFERROR(INDEX('E2E Nakliye Montaj'!$AT$3:$AT$1002,MATCH('DIVA Satislari'!AJ276,'E2E Nakliye Montaj'!$AM$3:$AM$1002,0)),"Hayır"))</f>
        <v/>
      </c>
      <c r="M276" s="26">
        <f>IF('DIVA Satislari'!I276="","",IFERROR(INDEX('E2E Nakliye Montaj'!$AU$3:$AU$1002,MATCH('DIVA Satislari'!AJ276,'E2E Nakliye Montaj'!$AM$3:$AM$1002,0)),"Hayır"))</f>
        <v/>
      </c>
      <c r="N276" s="27">
        <f>IF('DIVA Satislari'!I276="","",IFERROR(INDEX('E2E Nakliye Montaj'!$AV$3:$AV$1002,MATCH('DIVA Satislari'!AJ276,'E2E Nakliye Montaj'!$AM$3:$AM$1002,0)),""))</f>
        <v/>
      </c>
      <c r="O276" s="26">
        <f>IF(OR(A276="",N276=""),"",IF(N276&lt;=H276,"Evet","HAYIR - RİSK"))</f>
        <v/>
      </c>
      <c r="P276" s="26">
        <f>IF(A276="","",IF(LEFT(J276,8)="Kural A ","Uygun - Hemen Ödenir (Yıl Sonu %75 Kontrolüne Tabi)",IF(OR(L276="Evet",M276="Evet"),IF(O276="Evet","Uygun","RİSK - Hakediş Süresi Aşıldı"),"Bekleniyor - Nakliye/Montaj Tamamlanmadı")))</f>
        <v/>
      </c>
      <c r="Q276" s="28">
        <f>IF(A276="","",SUMIFS('Hakedis Fatura Detay'!$G$3:$G$1200,'Hakedis Fatura Detay'!$H$3:$H$1200,'DIVA Satislari'!AJ276,'Hakedis Fatura Detay'!$F$3:$F$1200,"Fiyat Farkı")+SUMIFS('Hakedis Fatura Detay'!$G$3:$G$1200,'Hakedis Fatura Detay'!$H$3:$H$1200,'DIVA Satislari'!AJ276,'Hakedis Fatura Detay'!$F$3:$F$1200,"Bundle"))</f>
        <v/>
      </c>
      <c r="R276" s="28">
        <f>IF(A276="","",I276-Q276)</f>
        <v/>
      </c>
      <c r="S276" s="26">
        <f>IF(A276="","",IF(LEFT(P276,7)="Bekleni","N/A - Henüz Ödenmemeli",IF(LEFT(P276,4)="RİSK","İNCELEME GEREKLİ - Süre Aşımı",IF(R276=0,"Doğru",IF(R276&gt;0,"EKSİK ÖDENMİŞ","FAZLA ÖDENMİŞ")))))</f>
        <v/>
      </c>
      <c r="T276" s="30">
        <f>IF(A276="","",IF(F276&lt;&gt;"Evet","İNCELEME GEREKLİ - Kampanya Tanımsız",IF(G276&lt;&gt;"Evet","İNCELEME GEREKLİ - Tarih Dışı Satış",IF(LEFT(P276,4)="RİSK","İNCELEME GEREKLİ - Hakediş Süresi Aşıldı",IF(OR(S276="EKSİK ÖDENMİŞ",S276="FAZLA ÖDENMİŞ"),"İNCELEME GEREKLİ - Tutar Uyuşmazlığı",IF(LEFT(P276,7)="Bekleni","Bekleniyor","Uygun"))))))</f>
        <v/>
      </c>
    </row>
    <row r="277">
      <c r="A277" s="26">
        <f>IF('DIVA Satislari'!I277="","",'DIVA Satislari'!I277)</f>
        <v/>
      </c>
      <c r="B277" s="26">
        <f>IF('DIVA Satislari'!I277="","",'DIVA Satislari'!R277)</f>
        <v/>
      </c>
      <c r="C277" s="26">
        <f>IF('DIVA Satislari'!I277="","",'DIVA Satislari'!M277)</f>
        <v/>
      </c>
      <c r="D277" s="27">
        <f>IF('DIVA Satislari'!I277="","",'DIVA Satislari'!H277)</f>
        <v/>
      </c>
      <c r="E277" s="26">
        <f>IF('DIVA Satislari'!I277="","",'DIVA Satislari'!O277)</f>
        <v/>
      </c>
      <c r="F277" s="26">
        <f>IF('DIVA Satislari'!I277="","",'DIVA Satislari'!AK277)</f>
        <v/>
      </c>
      <c r="G277" s="26">
        <f>IF('DIVA Satislari'!I277="","",'DIVA Satislari'!AO277)</f>
        <v/>
      </c>
      <c r="H277" s="27">
        <f>IF('DIVA Satislari'!I277="","",'DIVA Satislari'!AN277)</f>
        <v/>
      </c>
      <c r="I277" s="28">
        <f>IF('DIVA Satislari'!I277="","",'DIVA Satislari'!AQ277)</f>
        <v/>
      </c>
      <c r="J277" s="26">
        <f>IF('DIVA Satislari'!I277="","",'DIVA Satislari'!AR277)</f>
        <v/>
      </c>
      <c r="K277" s="26">
        <f>IF('DIVA Satislari'!I277="","",IFERROR(INDEX('E2E Nakliye Montaj'!$AS$3:$AS$1002,MATCH('DIVA Satislari'!AJ277,'E2E Nakliye Montaj'!$AM$3:$AM$1002,0)),"Eşleşme Yok"))</f>
        <v/>
      </c>
      <c r="L277" s="26">
        <f>IF('DIVA Satislari'!I277="","",IFERROR(INDEX('E2E Nakliye Montaj'!$AT$3:$AT$1002,MATCH('DIVA Satislari'!AJ277,'E2E Nakliye Montaj'!$AM$3:$AM$1002,0)),"Hayır"))</f>
        <v/>
      </c>
      <c r="M277" s="26">
        <f>IF('DIVA Satislari'!I277="","",IFERROR(INDEX('E2E Nakliye Montaj'!$AU$3:$AU$1002,MATCH('DIVA Satislari'!AJ277,'E2E Nakliye Montaj'!$AM$3:$AM$1002,0)),"Hayır"))</f>
        <v/>
      </c>
      <c r="N277" s="27">
        <f>IF('DIVA Satislari'!I277="","",IFERROR(INDEX('E2E Nakliye Montaj'!$AV$3:$AV$1002,MATCH('DIVA Satislari'!AJ277,'E2E Nakliye Montaj'!$AM$3:$AM$1002,0)),""))</f>
        <v/>
      </c>
      <c r="O277" s="26">
        <f>IF(OR(A277="",N277=""),"",IF(N277&lt;=H277,"Evet","HAYIR - RİSK"))</f>
        <v/>
      </c>
      <c r="P277" s="26">
        <f>IF(A277="","",IF(LEFT(J277,8)="Kural A ","Uygun - Hemen Ödenir (Yıl Sonu %75 Kontrolüne Tabi)",IF(OR(L277="Evet",M277="Evet"),IF(O277="Evet","Uygun","RİSK - Hakediş Süresi Aşıldı"),"Bekleniyor - Nakliye/Montaj Tamamlanmadı")))</f>
        <v/>
      </c>
      <c r="Q277" s="28">
        <f>IF(A277="","",SUMIFS('Hakedis Fatura Detay'!$G$3:$G$1200,'Hakedis Fatura Detay'!$H$3:$H$1200,'DIVA Satislari'!AJ277,'Hakedis Fatura Detay'!$F$3:$F$1200,"Fiyat Farkı")+SUMIFS('Hakedis Fatura Detay'!$G$3:$G$1200,'Hakedis Fatura Detay'!$H$3:$H$1200,'DIVA Satislari'!AJ277,'Hakedis Fatura Detay'!$F$3:$F$1200,"Bundle"))</f>
        <v/>
      </c>
      <c r="R277" s="28">
        <f>IF(A277="","",I277-Q277)</f>
        <v/>
      </c>
      <c r="S277" s="26">
        <f>IF(A277="","",IF(LEFT(P277,7)="Bekleni","N/A - Henüz Ödenmemeli",IF(LEFT(P277,4)="RİSK","İNCELEME GEREKLİ - Süre Aşımı",IF(R277=0,"Doğru",IF(R277&gt;0,"EKSİK ÖDENMİŞ","FAZLA ÖDENMİŞ")))))</f>
        <v/>
      </c>
      <c r="T277" s="30">
        <f>IF(A277="","",IF(F277&lt;&gt;"Evet","İNCELEME GEREKLİ - Kampanya Tanımsız",IF(G277&lt;&gt;"Evet","İNCELEME GEREKLİ - Tarih Dışı Satış",IF(LEFT(P277,4)="RİSK","İNCELEME GEREKLİ - Hakediş Süresi Aşıldı",IF(OR(S277="EKSİK ÖDENMİŞ",S277="FAZLA ÖDENMİŞ"),"İNCELEME GEREKLİ - Tutar Uyuşmazlığı",IF(LEFT(P277,7)="Bekleni","Bekleniyor","Uygun"))))))</f>
        <v/>
      </c>
    </row>
    <row r="278">
      <c r="A278" s="26">
        <f>IF('DIVA Satislari'!I278="","",'DIVA Satislari'!I278)</f>
        <v/>
      </c>
      <c r="B278" s="26">
        <f>IF('DIVA Satislari'!I278="","",'DIVA Satislari'!R278)</f>
        <v/>
      </c>
      <c r="C278" s="26">
        <f>IF('DIVA Satislari'!I278="","",'DIVA Satislari'!M278)</f>
        <v/>
      </c>
      <c r="D278" s="27">
        <f>IF('DIVA Satislari'!I278="","",'DIVA Satislari'!H278)</f>
        <v/>
      </c>
      <c r="E278" s="26">
        <f>IF('DIVA Satislari'!I278="","",'DIVA Satislari'!O278)</f>
        <v/>
      </c>
      <c r="F278" s="26">
        <f>IF('DIVA Satislari'!I278="","",'DIVA Satislari'!AK278)</f>
        <v/>
      </c>
      <c r="G278" s="26">
        <f>IF('DIVA Satislari'!I278="","",'DIVA Satislari'!AO278)</f>
        <v/>
      </c>
      <c r="H278" s="27">
        <f>IF('DIVA Satislari'!I278="","",'DIVA Satislari'!AN278)</f>
        <v/>
      </c>
      <c r="I278" s="28">
        <f>IF('DIVA Satislari'!I278="","",'DIVA Satislari'!AQ278)</f>
        <v/>
      </c>
      <c r="J278" s="26">
        <f>IF('DIVA Satislari'!I278="","",'DIVA Satislari'!AR278)</f>
        <v/>
      </c>
      <c r="K278" s="26">
        <f>IF('DIVA Satislari'!I278="","",IFERROR(INDEX('E2E Nakliye Montaj'!$AS$3:$AS$1002,MATCH('DIVA Satislari'!AJ278,'E2E Nakliye Montaj'!$AM$3:$AM$1002,0)),"Eşleşme Yok"))</f>
        <v/>
      </c>
      <c r="L278" s="26">
        <f>IF('DIVA Satislari'!I278="","",IFERROR(INDEX('E2E Nakliye Montaj'!$AT$3:$AT$1002,MATCH('DIVA Satislari'!AJ278,'E2E Nakliye Montaj'!$AM$3:$AM$1002,0)),"Hayır"))</f>
        <v/>
      </c>
      <c r="M278" s="26">
        <f>IF('DIVA Satislari'!I278="","",IFERROR(INDEX('E2E Nakliye Montaj'!$AU$3:$AU$1002,MATCH('DIVA Satislari'!AJ278,'E2E Nakliye Montaj'!$AM$3:$AM$1002,0)),"Hayır"))</f>
        <v/>
      </c>
      <c r="N278" s="27">
        <f>IF('DIVA Satislari'!I278="","",IFERROR(INDEX('E2E Nakliye Montaj'!$AV$3:$AV$1002,MATCH('DIVA Satislari'!AJ278,'E2E Nakliye Montaj'!$AM$3:$AM$1002,0)),""))</f>
        <v/>
      </c>
      <c r="O278" s="26">
        <f>IF(OR(A278="",N278=""),"",IF(N278&lt;=H278,"Evet","HAYIR - RİSK"))</f>
        <v/>
      </c>
      <c r="P278" s="26">
        <f>IF(A278="","",IF(LEFT(J278,8)="Kural A ","Uygun - Hemen Ödenir (Yıl Sonu %75 Kontrolüne Tabi)",IF(OR(L278="Evet",M278="Evet"),IF(O278="Evet","Uygun","RİSK - Hakediş Süresi Aşıldı"),"Bekleniyor - Nakliye/Montaj Tamamlanmadı")))</f>
        <v/>
      </c>
      <c r="Q278" s="28">
        <f>IF(A278="","",SUMIFS('Hakedis Fatura Detay'!$G$3:$G$1200,'Hakedis Fatura Detay'!$H$3:$H$1200,'DIVA Satislari'!AJ278,'Hakedis Fatura Detay'!$F$3:$F$1200,"Fiyat Farkı")+SUMIFS('Hakedis Fatura Detay'!$G$3:$G$1200,'Hakedis Fatura Detay'!$H$3:$H$1200,'DIVA Satislari'!AJ278,'Hakedis Fatura Detay'!$F$3:$F$1200,"Bundle"))</f>
        <v/>
      </c>
      <c r="R278" s="28">
        <f>IF(A278="","",I278-Q278)</f>
        <v/>
      </c>
      <c r="S278" s="26">
        <f>IF(A278="","",IF(LEFT(P278,7)="Bekleni","N/A - Henüz Ödenmemeli",IF(LEFT(P278,4)="RİSK","İNCELEME GEREKLİ - Süre Aşımı",IF(R278=0,"Doğru",IF(R278&gt;0,"EKSİK ÖDENMİŞ","FAZLA ÖDENMİŞ")))))</f>
        <v/>
      </c>
      <c r="T278" s="30">
        <f>IF(A278="","",IF(F278&lt;&gt;"Evet","İNCELEME GEREKLİ - Kampanya Tanımsız",IF(G278&lt;&gt;"Evet","İNCELEME GEREKLİ - Tarih Dışı Satış",IF(LEFT(P278,4)="RİSK","İNCELEME GEREKLİ - Hakediş Süresi Aşıldı",IF(OR(S278="EKSİK ÖDENMİŞ",S278="FAZLA ÖDENMİŞ"),"İNCELEME GEREKLİ - Tutar Uyuşmazlığı",IF(LEFT(P278,7)="Bekleni","Bekleniyor","Uygun"))))))</f>
        <v/>
      </c>
    </row>
    <row r="279">
      <c r="A279" s="26">
        <f>IF('DIVA Satislari'!I279="","",'DIVA Satislari'!I279)</f>
        <v/>
      </c>
      <c r="B279" s="26">
        <f>IF('DIVA Satislari'!I279="","",'DIVA Satislari'!R279)</f>
        <v/>
      </c>
      <c r="C279" s="26">
        <f>IF('DIVA Satislari'!I279="","",'DIVA Satislari'!M279)</f>
        <v/>
      </c>
      <c r="D279" s="27">
        <f>IF('DIVA Satislari'!I279="","",'DIVA Satislari'!H279)</f>
        <v/>
      </c>
      <c r="E279" s="26">
        <f>IF('DIVA Satislari'!I279="","",'DIVA Satislari'!O279)</f>
        <v/>
      </c>
      <c r="F279" s="26">
        <f>IF('DIVA Satislari'!I279="","",'DIVA Satislari'!AK279)</f>
        <v/>
      </c>
      <c r="G279" s="26">
        <f>IF('DIVA Satislari'!I279="","",'DIVA Satislari'!AO279)</f>
        <v/>
      </c>
      <c r="H279" s="27">
        <f>IF('DIVA Satislari'!I279="","",'DIVA Satislari'!AN279)</f>
        <v/>
      </c>
      <c r="I279" s="28">
        <f>IF('DIVA Satislari'!I279="","",'DIVA Satislari'!AQ279)</f>
        <v/>
      </c>
      <c r="J279" s="26">
        <f>IF('DIVA Satislari'!I279="","",'DIVA Satislari'!AR279)</f>
        <v/>
      </c>
      <c r="K279" s="26">
        <f>IF('DIVA Satislari'!I279="","",IFERROR(INDEX('E2E Nakliye Montaj'!$AS$3:$AS$1002,MATCH('DIVA Satislari'!AJ279,'E2E Nakliye Montaj'!$AM$3:$AM$1002,0)),"Eşleşme Yok"))</f>
        <v/>
      </c>
      <c r="L279" s="26">
        <f>IF('DIVA Satislari'!I279="","",IFERROR(INDEX('E2E Nakliye Montaj'!$AT$3:$AT$1002,MATCH('DIVA Satislari'!AJ279,'E2E Nakliye Montaj'!$AM$3:$AM$1002,0)),"Hayır"))</f>
        <v/>
      </c>
      <c r="M279" s="26">
        <f>IF('DIVA Satislari'!I279="","",IFERROR(INDEX('E2E Nakliye Montaj'!$AU$3:$AU$1002,MATCH('DIVA Satislari'!AJ279,'E2E Nakliye Montaj'!$AM$3:$AM$1002,0)),"Hayır"))</f>
        <v/>
      </c>
      <c r="N279" s="27">
        <f>IF('DIVA Satislari'!I279="","",IFERROR(INDEX('E2E Nakliye Montaj'!$AV$3:$AV$1002,MATCH('DIVA Satislari'!AJ279,'E2E Nakliye Montaj'!$AM$3:$AM$1002,0)),""))</f>
        <v/>
      </c>
      <c r="O279" s="26">
        <f>IF(OR(A279="",N279=""),"",IF(N279&lt;=H279,"Evet","HAYIR - RİSK"))</f>
        <v/>
      </c>
      <c r="P279" s="26">
        <f>IF(A279="","",IF(LEFT(J279,8)="Kural A ","Uygun - Hemen Ödenir (Yıl Sonu %75 Kontrolüne Tabi)",IF(OR(L279="Evet",M279="Evet"),IF(O279="Evet","Uygun","RİSK - Hakediş Süresi Aşıldı"),"Bekleniyor - Nakliye/Montaj Tamamlanmadı")))</f>
        <v/>
      </c>
      <c r="Q279" s="28">
        <f>IF(A279="","",SUMIFS('Hakedis Fatura Detay'!$G$3:$G$1200,'Hakedis Fatura Detay'!$H$3:$H$1200,'DIVA Satislari'!AJ279,'Hakedis Fatura Detay'!$F$3:$F$1200,"Fiyat Farkı")+SUMIFS('Hakedis Fatura Detay'!$G$3:$G$1200,'Hakedis Fatura Detay'!$H$3:$H$1200,'DIVA Satislari'!AJ279,'Hakedis Fatura Detay'!$F$3:$F$1200,"Bundle"))</f>
        <v/>
      </c>
      <c r="R279" s="28">
        <f>IF(A279="","",I279-Q279)</f>
        <v/>
      </c>
      <c r="S279" s="26">
        <f>IF(A279="","",IF(LEFT(P279,7)="Bekleni","N/A - Henüz Ödenmemeli",IF(LEFT(P279,4)="RİSK","İNCELEME GEREKLİ - Süre Aşımı",IF(R279=0,"Doğru",IF(R279&gt;0,"EKSİK ÖDENMİŞ","FAZLA ÖDENMİŞ")))))</f>
        <v/>
      </c>
      <c r="T279" s="30">
        <f>IF(A279="","",IF(F279&lt;&gt;"Evet","İNCELEME GEREKLİ - Kampanya Tanımsız",IF(G279&lt;&gt;"Evet","İNCELEME GEREKLİ - Tarih Dışı Satış",IF(LEFT(P279,4)="RİSK","İNCELEME GEREKLİ - Hakediş Süresi Aşıldı",IF(OR(S279="EKSİK ÖDENMİŞ",S279="FAZLA ÖDENMİŞ"),"İNCELEME GEREKLİ - Tutar Uyuşmazlığı",IF(LEFT(P279,7)="Bekleni","Bekleniyor","Uygun"))))))</f>
        <v/>
      </c>
    </row>
    <row r="280">
      <c r="A280" s="26">
        <f>IF('DIVA Satislari'!I280="","",'DIVA Satislari'!I280)</f>
        <v/>
      </c>
      <c r="B280" s="26">
        <f>IF('DIVA Satislari'!I280="","",'DIVA Satislari'!R280)</f>
        <v/>
      </c>
      <c r="C280" s="26">
        <f>IF('DIVA Satislari'!I280="","",'DIVA Satislari'!M280)</f>
        <v/>
      </c>
      <c r="D280" s="27">
        <f>IF('DIVA Satislari'!I280="","",'DIVA Satislari'!H280)</f>
        <v/>
      </c>
      <c r="E280" s="26">
        <f>IF('DIVA Satislari'!I280="","",'DIVA Satislari'!O280)</f>
        <v/>
      </c>
      <c r="F280" s="26">
        <f>IF('DIVA Satislari'!I280="","",'DIVA Satislari'!AK280)</f>
        <v/>
      </c>
      <c r="G280" s="26">
        <f>IF('DIVA Satislari'!I280="","",'DIVA Satislari'!AO280)</f>
        <v/>
      </c>
      <c r="H280" s="27">
        <f>IF('DIVA Satislari'!I280="","",'DIVA Satislari'!AN280)</f>
        <v/>
      </c>
      <c r="I280" s="28">
        <f>IF('DIVA Satislari'!I280="","",'DIVA Satislari'!AQ280)</f>
        <v/>
      </c>
      <c r="J280" s="26">
        <f>IF('DIVA Satislari'!I280="","",'DIVA Satislari'!AR280)</f>
        <v/>
      </c>
      <c r="K280" s="26">
        <f>IF('DIVA Satislari'!I280="","",IFERROR(INDEX('E2E Nakliye Montaj'!$AS$3:$AS$1002,MATCH('DIVA Satislari'!AJ280,'E2E Nakliye Montaj'!$AM$3:$AM$1002,0)),"Eşleşme Yok"))</f>
        <v/>
      </c>
      <c r="L280" s="26">
        <f>IF('DIVA Satislari'!I280="","",IFERROR(INDEX('E2E Nakliye Montaj'!$AT$3:$AT$1002,MATCH('DIVA Satislari'!AJ280,'E2E Nakliye Montaj'!$AM$3:$AM$1002,0)),"Hayır"))</f>
        <v/>
      </c>
      <c r="M280" s="26">
        <f>IF('DIVA Satislari'!I280="","",IFERROR(INDEX('E2E Nakliye Montaj'!$AU$3:$AU$1002,MATCH('DIVA Satislari'!AJ280,'E2E Nakliye Montaj'!$AM$3:$AM$1002,0)),"Hayır"))</f>
        <v/>
      </c>
      <c r="N280" s="27">
        <f>IF('DIVA Satislari'!I280="","",IFERROR(INDEX('E2E Nakliye Montaj'!$AV$3:$AV$1002,MATCH('DIVA Satislari'!AJ280,'E2E Nakliye Montaj'!$AM$3:$AM$1002,0)),""))</f>
        <v/>
      </c>
      <c r="O280" s="26">
        <f>IF(OR(A280="",N280=""),"",IF(N280&lt;=H280,"Evet","HAYIR - RİSK"))</f>
        <v/>
      </c>
      <c r="P280" s="26">
        <f>IF(A280="","",IF(LEFT(J280,8)="Kural A ","Uygun - Hemen Ödenir (Yıl Sonu %75 Kontrolüne Tabi)",IF(OR(L280="Evet",M280="Evet"),IF(O280="Evet","Uygun","RİSK - Hakediş Süresi Aşıldı"),"Bekleniyor - Nakliye/Montaj Tamamlanmadı")))</f>
        <v/>
      </c>
      <c r="Q280" s="28">
        <f>IF(A280="","",SUMIFS('Hakedis Fatura Detay'!$G$3:$G$1200,'Hakedis Fatura Detay'!$H$3:$H$1200,'DIVA Satislari'!AJ280,'Hakedis Fatura Detay'!$F$3:$F$1200,"Fiyat Farkı")+SUMIFS('Hakedis Fatura Detay'!$G$3:$G$1200,'Hakedis Fatura Detay'!$H$3:$H$1200,'DIVA Satislari'!AJ280,'Hakedis Fatura Detay'!$F$3:$F$1200,"Bundle"))</f>
        <v/>
      </c>
      <c r="R280" s="28">
        <f>IF(A280="","",I280-Q280)</f>
        <v/>
      </c>
      <c r="S280" s="26">
        <f>IF(A280="","",IF(LEFT(P280,7)="Bekleni","N/A - Henüz Ödenmemeli",IF(LEFT(P280,4)="RİSK","İNCELEME GEREKLİ - Süre Aşımı",IF(R280=0,"Doğru",IF(R280&gt;0,"EKSİK ÖDENMİŞ","FAZLA ÖDENMİŞ")))))</f>
        <v/>
      </c>
      <c r="T280" s="30">
        <f>IF(A280="","",IF(F280&lt;&gt;"Evet","İNCELEME GEREKLİ - Kampanya Tanımsız",IF(G280&lt;&gt;"Evet","İNCELEME GEREKLİ - Tarih Dışı Satış",IF(LEFT(P280,4)="RİSK","İNCELEME GEREKLİ - Hakediş Süresi Aşıldı",IF(OR(S280="EKSİK ÖDENMİŞ",S280="FAZLA ÖDENMİŞ"),"İNCELEME GEREKLİ - Tutar Uyuşmazlığı",IF(LEFT(P280,7)="Bekleni","Bekleniyor","Uygun"))))))</f>
        <v/>
      </c>
    </row>
    <row r="281">
      <c r="A281" s="26">
        <f>IF('DIVA Satislari'!I281="","",'DIVA Satislari'!I281)</f>
        <v/>
      </c>
      <c r="B281" s="26">
        <f>IF('DIVA Satislari'!I281="","",'DIVA Satislari'!R281)</f>
        <v/>
      </c>
      <c r="C281" s="26">
        <f>IF('DIVA Satislari'!I281="","",'DIVA Satislari'!M281)</f>
        <v/>
      </c>
      <c r="D281" s="27">
        <f>IF('DIVA Satislari'!I281="","",'DIVA Satislari'!H281)</f>
        <v/>
      </c>
      <c r="E281" s="26">
        <f>IF('DIVA Satislari'!I281="","",'DIVA Satislari'!O281)</f>
        <v/>
      </c>
      <c r="F281" s="26">
        <f>IF('DIVA Satislari'!I281="","",'DIVA Satislari'!AK281)</f>
        <v/>
      </c>
      <c r="G281" s="26">
        <f>IF('DIVA Satislari'!I281="","",'DIVA Satislari'!AO281)</f>
        <v/>
      </c>
      <c r="H281" s="27">
        <f>IF('DIVA Satislari'!I281="","",'DIVA Satislari'!AN281)</f>
        <v/>
      </c>
      <c r="I281" s="28">
        <f>IF('DIVA Satislari'!I281="","",'DIVA Satislari'!AQ281)</f>
        <v/>
      </c>
      <c r="J281" s="26">
        <f>IF('DIVA Satislari'!I281="","",'DIVA Satislari'!AR281)</f>
        <v/>
      </c>
      <c r="K281" s="26">
        <f>IF('DIVA Satislari'!I281="","",IFERROR(INDEX('E2E Nakliye Montaj'!$AS$3:$AS$1002,MATCH('DIVA Satislari'!AJ281,'E2E Nakliye Montaj'!$AM$3:$AM$1002,0)),"Eşleşme Yok"))</f>
        <v/>
      </c>
      <c r="L281" s="26">
        <f>IF('DIVA Satislari'!I281="","",IFERROR(INDEX('E2E Nakliye Montaj'!$AT$3:$AT$1002,MATCH('DIVA Satislari'!AJ281,'E2E Nakliye Montaj'!$AM$3:$AM$1002,0)),"Hayır"))</f>
        <v/>
      </c>
      <c r="M281" s="26">
        <f>IF('DIVA Satislari'!I281="","",IFERROR(INDEX('E2E Nakliye Montaj'!$AU$3:$AU$1002,MATCH('DIVA Satislari'!AJ281,'E2E Nakliye Montaj'!$AM$3:$AM$1002,0)),"Hayır"))</f>
        <v/>
      </c>
      <c r="N281" s="27">
        <f>IF('DIVA Satislari'!I281="","",IFERROR(INDEX('E2E Nakliye Montaj'!$AV$3:$AV$1002,MATCH('DIVA Satislari'!AJ281,'E2E Nakliye Montaj'!$AM$3:$AM$1002,0)),""))</f>
        <v/>
      </c>
      <c r="O281" s="26">
        <f>IF(OR(A281="",N281=""),"",IF(N281&lt;=H281,"Evet","HAYIR - RİSK"))</f>
        <v/>
      </c>
      <c r="P281" s="26">
        <f>IF(A281="","",IF(LEFT(J281,8)="Kural A ","Uygun - Hemen Ödenir (Yıl Sonu %75 Kontrolüne Tabi)",IF(OR(L281="Evet",M281="Evet"),IF(O281="Evet","Uygun","RİSK - Hakediş Süresi Aşıldı"),"Bekleniyor - Nakliye/Montaj Tamamlanmadı")))</f>
        <v/>
      </c>
      <c r="Q281" s="28">
        <f>IF(A281="","",SUMIFS('Hakedis Fatura Detay'!$G$3:$G$1200,'Hakedis Fatura Detay'!$H$3:$H$1200,'DIVA Satislari'!AJ281,'Hakedis Fatura Detay'!$F$3:$F$1200,"Fiyat Farkı")+SUMIFS('Hakedis Fatura Detay'!$G$3:$G$1200,'Hakedis Fatura Detay'!$H$3:$H$1200,'DIVA Satislari'!AJ281,'Hakedis Fatura Detay'!$F$3:$F$1200,"Bundle"))</f>
        <v/>
      </c>
      <c r="R281" s="28">
        <f>IF(A281="","",I281-Q281)</f>
        <v/>
      </c>
      <c r="S281" s="26">
        <f>IF(A281="","",IF(LEFT(P281,7)="Bekleni","N/A - Henüz Ödenmemeli",IF(LEFT(P281,4)="RİSK","İNCELEME GEREKLİ - Süre Aşımı",IF(R281=0,"Doğru",IF(R281&gt;0,"EKSİK ÖDENMİŞ","FAZLA ÖDENMİŞ")))))</f>
        <v/>
      </c>
      <c r="T281" s="30">
        <f>IF(A281="","",IF(F281&lt;&gt;"Evet","İNCELEME GEREKLİ - Kampanya Tanımsız",IF(G281&lt;&gt;"Evet","İNCELEME GEREKLİ - Tarih Dışı Satış",IF(LEFT(P281,4)="RİSK","İNCELEME GEREKLİ - Hakediş Süresi Aşıldı",IF(OR(S281="EKSİK ÖDENMİŞ",S281="FAZLA ÖDENMİŞ"),"İNCELEME GEREKLİ - Tutar Uyuşmazlığı",IF(LEFT(P281,7)="Bekleni","Bekleniyor","Uygun"))))))</f>
        <v/>
      </c>
    </row>
    <row r="282">
      <c r="A282" s="26">
        <f>IF('DIVA Satislari'!I282="","",'DIVA Satislari'!I282)</f>
        <v/>
      </c>
      <c r="B282" s="26">
        <f>IF('DIVA Satislari'!I282="","",'DIVA Satislari'!R282)</f>
        <v/>
      </c>
      <c r="C282" s="26">
        <f>IF('DIVA Satislari'!I282="","",'DIVA Satislari'!M282)</f>
        <v/>
      </c>
      <c r="D282" s="27">
        <f>IF('DIVA Satislari'!I282="","",'DIVA Satislari'!H282)</f>
        <v/>
      </c>
      <c r="E282" s="26">
        <f>IF('DIVA Satislari'!I282="","",'DIVA Satislari'!O282)</f>
        <v/>
      </c>
      <c r="F282" s="26">
        <f>IF('DIVA Satislari'!I282="","",'DIVA Satislari'!AK282)</f>
        <v/>
      </c>
      <c r="G282" s="26">
        <f>IF('DIVA Satislari'!I282="","",'DIVA Satislari'!AO282)</f>
        <v/>
      </c>
      <c r="H282" s="27">
        <f>IF('DIVA Satislari'!I282="","",'DIVA Satislari'!AN282)</f>
        <v/>
      </c>
      <c r="I282" s="28">
        <f>IF('DIVA Satislari'!I282="","",'DIVA Satislari'!AQ282)</f>
        <v/>
      </c>
      <c r="J282" s="26">
        <f>IF('DIVA Satislari'!I282="","",'DIVA Satislari'!AR282)</f>
        <v/>
      </c>
      <c r="K282" s="26">
        <f>IF('DIVA Satislari'!I282="","",IFERROR(INDEX('E2E Nakliye Montaj'!$AS$3:$AS$1002,MATCH('DIVA Satislari'!AJ282,'E2E Nakliye Montaj'!$AM$3:$AM$1002,0)),"Eşleşme Yok"))</f>
        <v/>
      </c>
      <c r="L282" s="26">
        <f>IF('DIVA Satislari'!I282="","",IFERROR(INDEX('E2E Nakliye Montaj'!$AT$3:$AT$1002,MATCH('DIVA Satislari'!AJ282,'E2E Nakliye Montaj'!$AM$3:$AM$1002,0)),"Hayır"))</f>
        <v/>
      </c>
      <c r="M282" s="26">
        <f>IF('DIVA Satislari'!I282="","",IFERROR(INDEX('E2E Nakliye Montaj'!$AU$3:$AU$1002,MATCH('DIVA Satislari'!AJ282,'E2E Nakliye Montaj'!$AM$3:$AM$1002,0)),"Hayır"))</f>
        <v/>
      </c>
      <c r="N282" s="27">
        <f>IF('DIVA Satislari'!I282="","",IFERROR(INDEX('E2E Nakliye Montaj'!$AV$3:$AV$1002,MATCH('DIVA Satislari'!AJ282,'E2E Nakliye Montaj'!$AM$3:$AM$1002,0)),""))</f>
        <v/>
      </c>
      <c r="O282" s="26">
        <f>IF(OR(A282="",N282=""),"",IF(N282&lt;=H282,"Evet","HAYIR - RİSK"))</f>
        <v/>
      </c>
      <c r="P282" s="26">
        <f>IF(A282="","",IF(LEFT(J282,8)="Kural A ","Uygun - Hemen Ödenir (Yıl Sonu %75 Kontrolüne Tabi)",IF(OR(L282="Evet",M282="Evet"),IF(O282="Evet","Uygun","RİSK - Hakediş Süresi Aşıldı"),"Bekleniyor - Nakliye/Montaj Tamamlanmadı")))</f>
        <v/>
      </c>
      <c r="Q282" s="28">
        <f>IF(A282="","",SUMIFS('Hakedis Fatura Detay'!$G$3:$G$1200,'Hakedis Fatura Detay'!$H$3:$H$1200,'DIVA Satislari'!AJ282,'Hakedis Fatura Detay'!$F$3:$F$1200,"Fiyat Farkı")+SUMIFS('Hakedis Fatura Detay'!$G$3:$G$1200,'Hakedis Fatura Detay'!$H$3:$H$1200,'DIVA Satislari'!AJ282,'Hakedis Fatura Detay'!$F$3:$F$1200,"Bundle"))</f>
        <v/>
      </c>
      <c r="R282" s="28">
        <f>IF(A282="","",I282-Q282)</f>
        <v/>
      </c>
      <c r="S282" s="26">
        <f>IF(A282="","",IF(LEFT(P282,7)="Bekleni","N/A - Henüz Ödenmemeli",IF(LEFT(P282,4)="RİSK","İNCELEME GEREKLİ - Süre Aşımı",IF(R282=0,"Doğru",IF(R282&gt;0,"EKSİK ÖDENMİŞ","FAZLA ÖDENMİŞ")))))</f>
        <v/>
      </c>
      <c r="T282" s="30">
        <f>IF(A282="","",IF(F282&lt;&gt;"Evet","İNCELEME GEREKLİ - Kampanya Tanımsız",IF(G282&lt;&gt;"Evet","İNCELEME GEREKLİ - Tarih Dışı Satış",IF(LEFT(P282,4)="RİSK","İNCELEME GEREKLİ - Hakediş Süresi Aşıldı",IF(OR(S282="EKSİK ÖDENMİŞ",S282="FAZLA ÖDENMİŞ"),"İNCELEME GEREKLİ - Tutar Uyuşmazlığı",IF(LEFT(P282,7)="Bekleni","Bekleniyor","Uygun"))))))</f>
        <v/>
      </c>
    </row>
    <row r="283">
      <c r="A283" s="26">
        <f>IF('DIVA Satislari'!I283="","",'DIVA Satislari'!I283)</f>
        <v/>
      </c>
      <c r="B283" s="26">
        <f>IF('DIVA Satislari'!I283="","",'DIVA Satislari'!R283)</f>
        <v/>
      </c>
      <c r="C283" s="26">
        <f>IF('DIVA Satislari'!I283="","",'DIVA Satislari'!M283)</f>
        <v/>
      </c>
      <c r="D283" s="27">
        <f>IF('DIVA Satislari'!I283="","",'DIVA Satislari'!H283)</f>
        <v/>
      </c>
      <c r="E283" s="26">
        <f>IF('DIVA Satislari'!I283="","",'DIVA Satislari'!O283)</f>
        <v/>
      </c>
      <c r="F283" s="26">
        <f>IF('DIVA Satislari'!I283="","",'DIVA Satislari'!AK283)</f>
        <v/>
      </c>
      <c r="G283" s="26">
        <f>IF('DIVA Satislari'!I283="","",'DIVA Satislari'!AO283)</f>
        <v/>
      </c>
      <c r="H283" s="27">
        <f>IF('DIVA Satislari'!I283="","",'DIVA Satislari'!AN283)</f>
        <v/>
      </c>
      <c r="I283" s="28">
        <f>IF('DIVA Satislari'!I283="","",'DIVA Satislari'!AQ283)</f>
        <v/>
      </c>
      <c r="J283" s="26">
        <f>IF('DIVA Satislari'!I283="","",'DIVA Satislari'!AR283)</f>
        <v/>
      </c>
      <c r="K283" s="26">
        <f>IF('DIVA Satislari'!I283="","",IFERROR(INDEX('E2E Nakliye Montaj'!$AS$3:$AS$1002,MATCH('DIVA Satislari'!AJ283,'E2E Nakliye Montaj'!$AM$3:$AM$1002,0)),"Eşleşme Yok"))</f>
        <v/>
      </c>
      <c r="L283" s="26">
        <f>IF('DIVA Satislari'!I283="","",IFERROR(INDEX('E2E Nakliye Montaj'!$AT$3:$AT$1002,MATCH('DIVA Satislari'!AJ283,'E2E Nakliye Montaj'!$AM$3:$AM$1002,0)),"Hayır"))</f>
        <v/>
      </c>
      <c r="M283" s="26">
        <f>IF('DIVA Satislari'!I283="","",IFERROR(INDEX('E2E Nakliye Montaj'!$AU$3:$AU$1002,MATCH('DIVA Satislari'!AJ283,'E2E Nakliye Montaj'!$AM$3:$AM$1002,0)),"Hayır"))</f>
        <v/>
      </c>
      <c r="N283" s="27">
        <f>IF('DIVA Satislari'!I283="","",IFERROR(INDEX('E2E Nakliye Montaj'!$AV$3:$AV$1002,MATCH('DIVA Satislari'!AJ283,'E2E Nakliye Montaj'!$AM$3:$AM$1002,0)),""))</f>
        <v/>
      </c>
      <c r="O283" s="26">
        <f>IF(OR(A283="",N283=""),"",IF(N283&lt;=H283,"Evet","HAYIR - RİSK"))</f>
        <v/>
      </c>
      <c r="P283" s="26">
        <f>IF(A283="","",IF(LEFT(J283,8)="Kural A ","Uygun - Hemen Ödenir (Yıl Sonu %75 Kontrolüne Tabi)",IF(OR(L283="Evet",M283="Evet"),IF(O283="Evet","Uygun","RİSK - Hakediş Süresi Aşıldı"),"Bekleniyor - Nakliye/Montaj Tamamlanmadı")))</f>
        <v/>
      </c>
      <c r="Q283" s="28">
        <f>IF(A283="","",SUMIFS('Hakedis Fatura Detay'!$G$3:$G$1200,'Hakedis Fatura Detay'!$H$3:$H$1200,'DIVA Satislari'!AJ283,'Hakedis Fatura Detay'!$F$3:$F$1200,"Fiyat Farkı")+SUMIFS('Hakedis Fatura Detay'!$G$3:$G$1200,'Hakedis Fatura Detay'!$H$3:$H$1200,'DIVA Satislari'!AJ283,'Hakedis Fatura Detay'!$F$3:$F$1200,"Bundle"))</f>
        <v/>
      </c>
      <c r="R283" s="28">
        <f>IF(A283="","",I283-Q283)</f>
        <v/>
      </c>
      <c r="S283" s="26">
        <f>IF(A283="","",IF(LEFT(P283,7)="Bekleni","N/A - Henüz Ödenmemeli",IF(LEFT(P283,4)="RİSK","İNCELEME GEREKLİ - Süre Aşımı",IF(R283=0,"Doğru",IF(R283&gt;0,"EKSİK ÖDENMİŞ","FAZLA ÖDENMİŞ")))))</f>
        <v/>
      </c>
      <c r="T283" s="30">
        <f>IF(A283="","",IF(F283&lt;&gt;"Evet","İNCELEME GEREKLİ - Kampanya Tanımsız",IF(G283&lt;&gt;"Evet","İNCELEME GEREKLİ - Tarih Dışı Satış",IF(LEFT(P283,4)="RİSK","İNCELEME GEREKLİ - Hakediş Süresi Aşıldı",IF(OR(S283="EKSİK ÖDENMİŞ",S283="FAZLA ÖDENMİŞ"),"İNCELEME GEREKLİ - Tutar Uyuşmazlığı",IF(LEFT(P283,7)="Bekleni","Bekleniyor","Uygun"))))))</f>
        <v/>
      </c>
    </row>
    <row r="284">
      <c r="A284" s="26">
        <f>IF('DIVA Satislari'!I284="","",'DIVA Satislari'!I284)</f>
        <v/>
      </c>
      <c r="B284" s="26">
        <f>IF('DIVA Satislari'!I284="","",'DIVA Satislari'!R284)</f>
        <v/>
      </c>
      <c r="C284" s="26">
        <f>IF('DIVA Satislari'!I284="","",'DIVA Satislari'!M284)</f>
        <v/>
      </c>
      <c r="D284" s="27">
        <f>IF('DIVA Satislari'!I284="","",'DIVA Satislari'!H284)</f>
        <v/>
      </c>
      <c r="E284" s="26">
        <f>IF('DIVA Satislari'!I284="","",'DIVA Satislari'!O284)</f>
        <v/>
      </c>
      <c r="F284" s="26">
        <f>IF('DIVA Satislari'!I284="","",'DIVA Satislari'!AK284)</f>
        <v/>
      </c>
      <c r="G284" s="26">
        <f>IF('DIVA Satislari'!I284="","",'DIVA Satislari'!AO284)</f>
        <v/>
      </c>
      <c r="H284" s="27">
        <f>IF('DIVA Satislari'!I284="","",'DIVA Satislari'!AN284)</f>
        <v/>
      </c>
      <c r="I284" s="28">
        <f>IF('DIVA Satislari'!I284="","",'DIVA Satislari'!AQ284)</f>
        <v/>
      </c>
      <c r="J284" s="26">
        <f>IF('DIVA Satislari'!I284="","",'DIVA Satislari'!AR284)</f>
        <v/>
      </c>
      <c r="K284" s="26">
        <f>IF('DIVA Satislari'!I284="","",IFERROR(INDEX('E2E Nakliye Montaj'!$AS$3:$AS$1002,MATCH('DIVA Satislari'!AJ284,'E2E Nakliye Montaj'!$AM$3:$AM$1002,0)),"Eşleşme Yok"))</f>
        <v/>
      </c>
      <c r="L284" s="26">
        <f>IF('DIVA Satislari'!I284="","",IFERROR(INDEX('E2E Nakliye Montaj'!$AT$3:$AT$1002,MATCH('DIVA Satislari'!AJ284,'E2E Nakliye Montaj'!$AM$3:$AM$1002,0)),"Hayır"))</f>
        <v/>
      </c>
      <c r="M284" s="26">
        <f>IF('DIVA Satislari'!I284="","",IFERROR(INDEX('E2E Nakliye Montaj'!$AU$3:$AU$1002,MATCH('DIVA Satislari'!AJ284,'E2E Nakliye Montaj'!$AM$3:$AM$1002,0)),"Hayır"))</f>
        <v/>
      </c>
      <c r="N284" s="27">
        <f>IF('DIVA Satislari'!I284="","",IFERROR(INDEX('E2E Nakliye Montaj'!$AV$3:$AV$1002,MATCH('DIVA Satislari'!AJ284,'E2E Nakliye Montaj'!$AM$3:$AM$1002,0)),""))</f>
        <v/>
      </c>
      <c r="O284" s="26">
        <f>IF(OR(A284="",N284=""),"",IF(N284&lt;=H284,"Evet","HAYIR - RİSK"))</f>
        <v/>
      </c>
      <c r="P284" s="26">
        <f>IF(A284="","",IF(LEFT(J284,8)="Kural A ","Uygun - Hemen Ödenir (Yıl Sonu %75 Kontrolüne Tabi)",IF(OR(L284="Evet",M284="Evet"),IF(O284="Evet","Uygun","RİSK - Hakediş Süresi Aşıldı"),"Bekleniyor - Nakliye/Montaj Tamamlanmadı")))</f>
        <v/>
      </c>
      <c r="Q284" s="28">
        <f>IF(A284="","",SUMIFS('Hakedis Fatura Detay'!$G$3:$G$1200,'Hakedis Fatura Detay'!$H$3:$H$1200,'DIVA Satislari'!AJ284,'Hakedis Fatura Detay'!$F$3:$F$1200,"Fiyat Farkı")+SUMIFS('Hakedis Fatura Detay'!$G$3:$G$1200,'Hakedis Fatura Detay'!$H$3:$H$1200,'DIVA Satislari'!AJ284,'Hakedis Fatura Detay'!$F$3:$F$1200,"Bundle"))</f>
        <v/>
      </c>
      <c r="R284" s="28">
        <f>IF(A284="","",I284-Q284)</f>
        <v/>
      </c>
      <c r="S284" s="26">
        <f>IF(A284="","",IF(LEFT(P284,7)="Bekleni","N/A - Henüz Ödenmemeli",IF(LEFT(P284,4)="RİSK","İNCELEME GEREKLİ - Süre Aşımı",IF(R284=0,"Doğru",IF(R284&gt;0,"EKSİK ÖDENMİŞ","FAZLA ÖDENMİŞ")))))</f>
        <v/>
      </c>
      <c r="T284" s="30">
        <f>IF(A284="","",IF(F284&lt;&gt;"Evet","İNCELEME GEREKLİ - Kampanya Tanımsız",IF(G284&lt;&gt;"Evet","İNCELEME GEREKLİ - Tarih Dışı Satış",IF(LEFT(P284,4)="RİSK","İNCELEME GEREKLİ - Hakediş Süresi Aşıldı",IF(OR(S284="EKSİK ÖDENMİŞ",S284="FAZLA ÖDENMİŞ"),"İNCELEME GEREKLİ - Tutar Uyuşmazlığı",IF(LEFT(P284,7)="Bekleni","Bekleniyor","Uygun"))))))</f>
        <v/>
      </c>
    </row>
    <row r="285">
      <c r="A285" s="26">
        <f>IF('DIVA Satislari'!I285="","",'DIVA Satislari'!I285)</f>
        <v/>
      </c>
      <c r="B285" s="26">
        <f>IF('DIVA Satislari'!I285="","",'DIVA Satislari'!R285)</f>
        <v/>
      </c>
      <c r="C285" s="26">
        <f>IF('DIVA Satislari'!I285="","",'DIVA Satislari'!M285)</f>
        <v/>
      </c>
      <c r="D285" s="27">
        <f>IF('DIVA Satislari'!I285="","",'DIVA Satislari'!H285)</f>
        <v/>
      </c>
      <c r="E285" s="26">
        <f>IF('DIVA Satislari'!I285="","",'DIVA Satislari'!O285)</f>
        <v/>
      </c>
      <c r="F285" s="26">
        <f>IF('DIVA Satislari'!I285="","",'DIVA Satislari'!AK285)</f>
        <v/>
      </c>
      <c r="G285" s="26">
        <f>IF('DIVA Satislari'!I285="","",'DIVA Satislari'!AO285)</f>
        <v/>
      </c>
      <c r="H285" s="27">
        <f>IF('DIVA Satislari'!I285="","",'DIVA Satislari'!AN285)</f>
        <v/>
      </c>
      <c r="I285" s="28">
        <f>IF('DIVA Satislari'!I285="","",'DIVA Satislari'!AQ285)</f>
        <v/>
      </c>
      <c r="J285" s="26">
        <f>IF('DIVA Satislari'!I285="","",'DIVA Satislari'!AR285)</f>
        <v/>
      </c>
      <c r="K285" s="26">
        <f>IF('DIVA Satislari'!I285="","",IFERROR(INDEX('E2E Nakliye Montaj'!$AS$3:$AS$1002,MATCH('DIVA Satislari'!AJ285,'E2E Nakliye Montaj'!$AM$3:$AM$1002,0)),"Eşleşme Yok"))</f>
        <v/>
      </c>
      <c r="L285" s="26">
        <f>IF('DIVA Satislari'!I285="","",IFERROR(INDEX('E2E Nakliye Montaj'!$AT$3:$AT$1002,MATCH('DIVA Satislari'!AJ285,'E2E Nakliye Montaj'!$AM$3:$AM$1002,0)),"Hayır"))</f>
        <v/>
      </c>
      <c r="M285" s="26">
        <f>IF('DIVA Satislari'!I285="","",IFERROR(INDEX('E2E Nakliye Montaj'!$AU$3:$AU$1002,MATCH('DIVA Satislari'!AJ285,'E2E Nakliye Montaj'!$AM$3:$AM$1002,0)),"Hayır"))</f>
        <v/>
      </c>
      <c r="N285" s="27">
        <f>IF('DIVA Satislari'!I285="","",IFERROR(INDEX('E2E Nakliye Montaj'!$AV$3:$AV$1002,MATCH('DIVA Satislari'!AJ285,'E2E Nakliye Montaj'!$AM$3:$AM$1002,0)),""))</f>
        <v/>
      </c>
      <c r="O285" s="26">
        <f>IF(OR(A285="",N285=""),"",IF(N285&lt;=H285,"Evet","HAYIR - RİSK"))</f>
        <v/>
      </c>
      <c r="P285" s="26">
        <f>IF(A285="","",IF(LEFT(J285,8)="Kural A ","Uygun - Hemen Ödenir (Yıl Sonu %75 Kontrolüne Tabi)",IF(OR(L285="Evet",M285="Evet"),IF(O285="Evet","Uygun","RİSK - Hakediş Süresi Aşıldı"),"Bekleniyor - Nakliye/Montaj Tamamlanmadı")))</f>
        <v/>
      </c>
      <c r="Q285" s="28">
        <f>IF(A285="","",SUMIFS('Hakedis Fatura Detay'!$G$3:$G$1200,'Hakedis Fatura Detay'!$H$3:$H$1200,'DIVA Satislari'!AJ285,'Hakedis Fatura Detay'!$F$3:$F$1200,"Fiyat Farkı")+SUMIFS('Hakedis Fatura Detay'!$G$3:$G$1200,'Hakedis Fatura Detay'!$H$3:$H$1200,'DIVA Satislari'!AJ285,'Hakedis Fatura Detay'!$F$3:$F$1200,"Bundle"))</f>
        <v/>
      </c>
      <c r="R285" s="28">
        <f>IF(A285="","",I285-Q285)</f>
        <v/>
      </c>
      <c r="S285" s="26">
        <f>IF(A285="","",IF(LEFT(P285,7)="Bekleni","N/A - Henüz Ödenmemeli",IF(LEFT(P285,4)="RİSK","İNCELEME GEREKLİ - Süre Aşımı",IF(R285=0,"Doğru",IF(R285&gt;0,"EKSİK ÖDENMİŞ","FAZLA ÖDENMİŞ")))))</f>
        <v/>
      </c>
      <c r="T285" s="30">
        <f>IF(A285="","",IF(F285&lt;&gt;"Evet","İNCELEME GEREKLİ - Kampanya Tanımsız",IF(G285&lt;&gt;"Evet","İNCELEME GEREKLİ - Tarih Dışı Satış",IF(LEFT(P285,4)="RİSK","İNCELEME GEREKLİ - Hakediş Süresi Aşıldı",IF(OR(S285="EKSİK ÖDENMİŞ",S285="FAZLA ÖDENMİŞ"),"İNCELEME GEREKLİ - Tutar Uyuşmazlığı",IF(LEFT(P285,7)="Bekleni","Bekleniyor","Uygun"))))))</f>
        <v/>
      </c>
    </row>
    <row r="286">
      <c r="A286" s="26">
        <f>IF('DIVA Satislari'!I286="","",'DIVA Satislari'!I286)</f>
        <v/>
      </c>
      <c r="B286" s="26">
        <f>IF('DIVA Satislari'!I286="","",'DIVA Satislari'!R286)</f>
        <v/>
      </c>
      <c r="C286" s="26">
        <f>IF('DIVA Satislari'!I286="","",'DIVA Satislari'!M286)</f>
        <v/>
      </c>
      <c r="D286" s="27">
        <f>IF('DIVA Satislari'!I286="","",'DIVA Satislari'!H286)</f>
        <v/>
      </c>
      <c r="E286" s="26">
        <f>IF('DIVA Satislari'!I286="","",'DIVA Satislari'!O286)</f>
        <v/>
      </c>
      <c r="F286" s="26">
        <f>IF('DIVA Satislari'!I286="","",'DIVA Satislari'!AK286)</f>
        <v/>
      </c>
      <c r="G286" s="26">
        <f>IF('DIVA Satislari'!I286="","",'DIVA Satislari'!AO286)</f>
        <v/>
      </c>
      <c r="H286" s="27">
        <f>IF('DIVA Satislari'!I286="","",'DIVA Satislari'!AN286)</f>
        <v/>
      </c>
      <c r="I286" s="28">
        <f>IF('DIVA Satislari'!I286="","",'DIVA Satislari'!AQ286)</f>
        <v/>
      </c>
      <c r="J286" s="26">
        <f>IF('DIVA Satislari'!I286="","",'DIVA Satislari'!AR286)</f>
        <v/>
      </c>
      <c r="K286" s="26">
        <f>IF('DIVA Satislari'!I286="","",IFERROR(INDEX('E2E Nakliye Montaj'!$AS$3:$AS$1002,MATCH('DIVA Satislari'!AJ286,'E2E Nakliye Montaj'!$AM$3:$AM$1002,0)),"Eşleşme Yok"))</f>
        <v/>
      </c>
      <c r="L286" s="26">
        <f>IF('DIVA Satislari'!I286="","",IFERROR(INDEX('E2E Nakliye Montaj'!$AT$3:$AT$1002,MATCH('DIVA Satislari'!AJ286,'E2E Nakliye Montaj'!$AM$3:$AM$1002,0)),"Hayır"))</f>
        <v/>
      </c>
      <c r="M286" s="26">
        <f>IF('DIVA Satislari'!I286="","",IFERROR(INDEX('E2E Nakliye Montaj'!$AU$3:$AU$1002,MATCH('DIVA Satislari'!AJ286,'E2E Nakliye Montaj'!$AM$3:$AM$1002,0)),"Hayır"))</f>
        <v/>
      </c>
      <c r="N286" s="27">
        <f>IF('DIVA Satislari'!I286="","",IFERROR(INDEX('E2E Nakliye Montaj'!$AV$3:$AV$1002,MATCH('DIVA Satislari'!AJ286,'E2E Nakliye Montaj'!$AM$3:$AM$1002,0)),""))</f>
        <v/>
      </c>
      <c r="O286" s="26">
        <f>IF(OR(A286="",N286=""),"",IF(N286&lt;=H286,"Evet","HAYIR - RİSK"))</f>
        <v/>
      </c>
      <c r="P286" s="26">
        <f>IF(A286="","",IF(LEFT(J286,8)="Kural A ","Uygun - Hemen Ödenir (Yıl Sonu %75 Kontrolüne Tabi)",IF(OR(L286="Evet",M286="Evet"),IF(O286="Evet","Uygun","RİSK - Hakediş Süresi Aşıldı"),"Bekleniyor - Nakliye/Montaj Tamamlanmadı")))</f>
        <v/>
      </c>
      <c r="Q286" s="28">
        <f>IF(A286="","",SUMIFS('Hakedis Fatura Detay'!$G$3:$G$1200,'Hakedis Fatura Detay'!$H$3:$H$1200,'DIVA Satislari'!AJ286,'Hakedis Fatura Detay'!$F$3:$F$1200,"Fiyat Farkı")+SUMIFS('Hakedis Fatura Detay'!$G$3:$G$1200,'Hakedis Fatura Detay'!$H$3:$H$1200,'DIVA Satislari'!AJ286,'Hakedis Fatura Detay'!$F$3:$F$1200,"Bundle"))</f>
        <v/>
      </c>
      <c r="R286" s="28">
        <f>IF(A286="","",I286-Q286)</f>
        <v/>
      </c>
      <c r="S286" s="26">
        <f>IF(A286="","",IF(LEFT(P286,7)="Bekleni","N/A - Henüz Ödenmemeli",IF(LEFT(P286,4)="RİSK","İNCELEME GEREKLİ - Süre Aşımı",IF(R286=0,"Doğru",IF(R286&gt;0,"EKSİK ÖDENMİŞ","FAZLA ÖDENMİŞ")))))</f>
        <v/>
      </c>
      <c r="T286" s="30">
        <f>IF(A286="","",IF(F286&lt;&gt;"Evet","İNCELEME GEREKLİ - Kampanya Tanımsız",IF(G286&lt;&gt;"Evet","İNCELEME GEREKLİ - Tarih Dışı Satış",IF(LEFT(P286,4)="RİSK","İNCELEME GEREKLİ - Hakediş Süresi Aşıldı",IF(OR(S286="EKSİK ÖDENMİŞ",S286="FAZLA ÖDENMİŞ"),"İNCELEME GEREKLİ - Tutar Uyuşmazlığı",IF(LEFT(P286,7)="Bekleni","Bekleniyor","Uygun"))))))</f>
        <v/>
      </c>
    </row>
    <row r="287">
      <c r="A287" s="26">
        <f>IF('DIVA Satislari'!I287="","",'DIVA Satislari'!I287)</f>
        <v/>
      </c>
      <c r="B287" s="26">
        <f>IF('DIVA Satislari'!I287="","",'DIVA Satislari'!R287)</f>
        <v/>
      </c>
      <c r="C287" s="26">
        <f>IF('DIVA Satislari'!I287="","",'DIVA Satislari'!M287)</f>
        <v/>
      </c>
      <c r="D287" s="27">
        <f>IF('DIVA Satislari'!I287="","",'DIVA Satislari'!H287)</f>
        <v/>
      </c>
      <c r="E287" s="26">
        <f>IF('DIVA Satislari'!I287="","",'DIVA Satislari'!O287)</f>
        <v/>
      </c>
      <c r="F287" s="26">
        <f>IF('DIVA Satislari'!I287="","",'DIVA Satislari'!AK287)</f>
        <v/>
      </c>
      <c r="G287" s="26">
        <f>IF('DIVA Satislari'!I287="","",'DIVA Satislari'!AO287)</f>
        <v/>
      </c>
      <c r="H287" s="27">
        <f>IF('DIVA Satislari'!I287="","",'DIVA Satislari'!AN287)</f>
        <v/>
      </c>
      <c r="I287" s="28">
        <f>IF('DIVA Satislari'!I287="","",'DIVA Satislari'!AQ287)</f>
        <v/>
      </c>
      <c r="J287" s="26">
        <f>IF('DIVA Satislari'!I287="","",'DIVA Satislari'!AR287)</f>
        <v/>
      </c>
      <c r="K287" s="26">
        <f>IF('DIVA Satislari'!I287="","",IFERROR(INDEX('E2E Nakliye Montaj'!$AS$3:$AS$1002,MATCH('DIVA Satislari'!AJ287,'E2E Nakliye Montaj'!$AM$3:$AM$1002,0)),"Eşleşme Yok"))</f>
        <v/>
      </c>
      <c r="L287" s="26">
        <f>IF('DIVA Satislari'!I287="","",IFERROR(INDEX('E2E Nakliye Montaj'!$AT$3:$AT$1002,MATCH('DIVA Satislari'!AJ287,'E2E Nakliye Montaj'!$AM$3:$AM$1002,0)),"Hayır"))</f>
        <v/>
      </c>
      <c r="M287" s="26">
        <f>IF('DIVA Satislari'!I287="","",IFERROR(INDEX('E2E Nakliye Montaj'!$AU$3:$AU$1002,MATCH('DIVA Satislari'!AJ287,'E2E Nakliye Montaj'!$AM$3:$AM$1002,0)),"Hayır"))</f>
        <v/>
      </c>
      <c r="N287" s="27">
        <f>IF('DIVA Satislari'!I287="","",IFERROR(INDEX('E2E Nakliye Montaj'!$AV$3:$AV$1002,MATCH('DIVA Satislari'!AJ287,'E2E Nakliye Montaj'!$AM$3:$AM$1002,0)),""))</f>
        <v/>
      </c>
      <c r="O287" s="26">
        <f>IF(OR(A287="",N287=""),"",IF(N287&lt;=H287,"Evet","HAYIR - RİSK"))</f>
        <v/>
      </c>
      <c r="P287" s="26">
        <f>IF(A287="","",IF(LEFT(J287,8)="Kural A ","Uygun - Hemen Ödenir (Yıl Sonu %75 Kontrolüne Tabi)",IF(OR(L287="Evet",M287="Evet"),IF(O287="Evet","Uygun","RİSK - Hakediş Süresi Aşıldı"),"Bekleniyor - Nakliye/Montaj Tamamlanmadı")))</f>
        <v/>
      </c>
      <c r="Q287" s="28">
        <f>IF(A287="","",SUMIFS('Hakedis Fatura Detay'!$G$3:$G$1200,'Hakedis Fatura Detay'!$H$3:$H$1200,'DIVA Satislari'!AJ287,'Hakedis Fatura Detay'!$F$3:$F$1200,"Fiyat Farkı")+SUMIFS('Hakedis Fatura Detay'!$G$3:$G$1200,'Hakedis Fatura Detay'!$H$3:$H$1200,'DIVA Satislari'!AJ287,'Hakedis Fatura Detay'!$F$3:$F$1200,"Bundle"))</f>
        <v/>
      </c>
      <c r="R287" s="28">
        <f>IF(A287="","",I287-Q287)</f>
        <v/>
      </c>
      <c r="S287" s="26">
        <f>IF(A287="","",IF(LEFT(P287,7)="Bekleni","N/A - Henüz Ödenmemeli",IF(LEFT(P287,4)="RİSK","İNCELEME GEREKLİ - Süre Aşımı",IF(R287=0,"Doğru",IF(R287&gt;0,"EKSİK ÖDENMİŞ","FAZLA ÖDENMİŞ")))))</f>
        <v/>
      </c>
      <c r="T287" s="30">
        <f>IF(A287="","",IF(F287&lt;&gt;"Evet","İNCELEME GEREKLİ - Kampanya Tanımsız",IF(G287&lt;&gt;"Evet","İNCELEME GEREKLİ - Tarih Dışı Satış",IF(LEFT(P287,4)="RİSK","İNCELEME GEREKLİ - Hakediş Süresi Aşıldı",IF(OR(S287="EKSİK ÖDENMİŞ",S287="FAZLA ÖDENMİŞ"),"İNCELEME GEREKLİ - Tutar Uyuşmazlığı",IF(LEFT(P287,7)="Bekleni","Bekleniyor","Uygun"))))))</f>
        <v/>
      </c>
    </row>
    <row r="288">
      <c r="A288" s="26">
        <f>IF('DIVA Satislari'!I288="","",'DIVA Satislari'!I288)</f>
        <v/>
      </c>
      <c r="B288" s="26">
        <f>IF('DIVA Satislari'!I288="","",'DIVA Satislari'!R288)</f>
        <v/>
      </c>
      <c r="C288" s="26">
        <f>IF('DIVA Satislari'!I288="","",'DIVA Satislari'!M288)</f>
        <v/>
      </c>
      <c r="D288" s="27">
        <f>IF('DIVA Satislari'!I288="","",'DIVA Satislari'!H288)</f>
        <v/>
      </c>
      <c r="E288" s="26">
        <f>IF('DIVA Satislari'!I288="","",'DIVA Satislari'!O288)</f>
        <v/>
      </c>
      <c r="F288" s="26">
        <f>IF('DIVA Satislari'!I288="","",'DIVA Satislari'!AK288)</f>
        <v/>
      </c>
      <c r="G288" s="26">
        <f>IF('DIVA Satislari'!I288="","",'DIVA Satislari'!AO288)</f>
        <v/>
      </c>
      <c r="H288" s="27">
        <f>IF('DIVA Satislari'!I288="","",'DIVA Satislari'!AN288)</f>
        <v/>
      </c>
      <c r="I288" s="28">
        <f>IF('DIVA Satislari'!I288="","",'DIVA Satislari'!AQ288)</f>
        <v/>
      </c>
      <c r="J288" s="26">
        <f>IF('DIVA Satislari'!I288="","",'DIVA Satislari'!AR288)</f>
        <v/>
      </c>
      <c r="K288" s="26">
        <f>IF('DIVA Satislari'!I288="","",IFERROR(INDEX('E2E Nakliye Montaj'!$AS$3:$AS$1002,MATCH('DIVA Satislari'!AJ288,'E2E Nakliye Montaj'!$AM$3:$AM$1002,0)),"Eşleşme Yok"))</f>
        <v/>
      </c>
      <c r="L288" s="26">
        <f>IF('DIVA Satislari'!I288="","",IFERROR(INDEX('E2E Nakliye Montaj'!$AT$3:$AT$1002,MATCH('DIVA Satislari'!AJ288,'E2E Nakliye Montaj'!$AM$3:$AM$1002,0)),"Hayır"))</f>
        <v/>
      </c>
      <c r="M288" s="26">
        <f>IF('DIVA Satislari'!I288="","",IFERROR(INDEX('E2E Nakliye Montaj'!$AU$3:$AU$1002,MATCH('DIVA Satislari'!AJ288,'E2E Nakliye Montaj'!$AM$3:$AM$1002,0)),"Hayır"))</f>
        <v/>
      </c>
      <c r="N288" s="27">
        <f>IF('DIVA Satislari'!I288="","",IFERROR(INDEX('E2E Nakliye Montaj'!$AV$3:$AV$1002,MATCH('DIVA Satislari'!AJ288,'E2E Nakliye Montaj'!$AM$3:$AM$1002,0)),""))</f>
        <v/>
      </c>
      <c r="O288" s="26">
        <f>IF(OR(A288="",N288=""),"",IF(N288&lt;=H288,"Evet","HAYIR - RİSK"))</f>
        <v/>
      </c>
      <c r="P288" s="26">
        <f>IF(A288="","",IF(LEFT(J288,8)="Kural A ","Uygun - Hemen Ödenir (Yıl Sonu %75 Kontrolüne Tabi)",IF(OR(L288="Evet",M288="Evet"),IF(O288="Evet","Uygun","RİSK - Hakediş Süresi Aşıldı"),"Bekleniyor - Nakliye/Montaj Tamamlanmadı")))</f>
        <v/>
      </c>
      <c r="Q288" s="28">
        <f>IF(A288="","",SUMIFS('Hakedis Fatura Detay'!$G$3:$G$1200,'Hakedis Fatura Detay'!$H$3:$H$1200,'DIVA Satislari'!AJ288,'Hakedis Fatura Detay'!$F$3:$F$1200,"Fiyat Farkı")+SUMIFS('Hakedis Fatura Detay'!$G$3:$G$1200,'Hakedis Fatura Detay'!$H$3:$H$1200,'DIVA Satislari'!AJ288,'Hakedis Fatura Detay'!$F$3:$F$1200,"Bundle"))</f>
        <v/>
      </c>
      <c r="R288" s="28">
        <f>IF(A288="","",I288-Q288)</f>
        <v/>
      </c>
      <c r="S288" s="26">
        <f>IF(A288="","",IF(LEFT(P288,7)="Bekleni","N/A - Henüz Ödenmemeli",IF(LEFT(P288,4)="RİSK","İNCELEME GEREKLİ - Süre Aşımı",IF(R288=0,"Doğru",IF(R288&gt;0,"EKSİK ÖDENMİŞ","FAZLA ÖDENMİŞ")))))</f>
        <v/>
      </c>
      <c r="T288" s="30">
        <f>IF(A288="","",IF(F288&lt;&gt;"Evet","İNCELEME GEREKLİ - Kampanya Tanımsız",IF(G288&lt;&gt;"Evet","İNCELEME GEREKLİ - Tarih Dışı Satış",IF(LEFT(P288,4)="RİSK","İNCELEME GEREKLİ - Hakediş Süresi Aşıldı",IF(OR(S288="EKSİK ÖDENMİŞ",S288="FAZLA ÖDENMİŞ"),"İNCELEME GEREKLİ - Tutar Uyuşmazlığı",IF(LEFT(P288,7)="Bekleni","Bekleniyor","Uygun"))))))</f>
        <v/>
      </c>
    </row>
    <row r="289">
      <c r="A289" s="26">
        <f>IF('DIVA Satislari'!I289="","",'DIVA Satislari'!I289)</f>
        <v/>
      </c>
      <c r="B289" s="26">
        <f>IF('DIVA Satislari'!I289="","",'DIVA Satislari'!R289)</f>
        <v/>
      </c>
      <c r="C289" s="26">
        <f>IF('DIVA Satislari'!I289="","",'DIVA Satislari'!M289)</f>
        <v/>
      </c>
      <c r="D289" s="27">
        <f>IF('DIVA Satislari'!I289="","",'DIVA Satislari'!H289)</f>
        <v/>
      </c>
      <c r="E289" s="26">
        <f>IF('DIVA Satislari'!I289="","",'DIVA Satislari'!O289)</f>
        <v/>
      </c>
      <c r="F289" s="26">
        <f>IF('DIVA Satislari'!I289="","",'DIVA Satislari'!AK289)</f>
        <v/>
      </c>
      <c r="G289" s="26">
        <f>IF('DIVA Satislari'!I289="","",'DIVA Satislari'!AO289)</f>
        <v/>
      </c>
      <c r="H289" s="27">
        <f>IF('DIVA Satislari'!I289="","",'DIVA Satislari'!AN289)</f>
        <v/>
      </c>
      <c r="I289" s="28">
        <f>IF('DIVA Satislari'!I289="","",'DIVA Satislari'!AQ289)</f>
        <v/>
      </c>
      <c r="J289" s="26">
        <f>IF('DIVA Satislari'!I289="","",'DIVA Satislari'!AR289)</f>
        <v/>
      </c>
      <c r="K289" s="26">
        <f>IF('DIVA Satislari'!I289="","",IFERROR(INDEX('E2E Nakliye Montaj'!$AS$3:$AS$1002,MATCH('DIVA Satislari'!AJ289,'E2E Nakliye Montaj'!$AM$3:$AM$1002,0)),"Eşleşme Yok"))</f>
        <v/>
      </c>
      <c r="L289" s="26">
        <f>IF('DIVA Satislari'!I289="","",IFERROR(INDEX('E2E Nakliye Montaj'!$AT$3:$AT$1002,MATCH('DIVA Satislari'!AJ289,'E2E Nakliye Montaj'!$AM$3:$AM$1002,0)),"Hayır"))</f>
        <v/>
      </c>
      <c r="M289" s="26">
        <f>IF('DIVA Satislari'!I289="","",IFERROR(INDEX('E2E Nakliye Montaj'!$AU$3:$AU$1002,MATCH('DIVA Satislari'!AJ289,'E2E Nakliye Montaj'!$AM$3:$AM$1002,0)),"Hayır"))</f>
        <v/>
      </c>
      <c r="N289" s="27">
        <f>IF('DIVA Satislari'!I289="","",IFERROR(INDEX('E2E Nakliye Montaj'!$AV$3:$AV$1002,MATCH('DIVA Satislari'!AJ289,'E2E Nakliye Montaj'!$AM$3:$AM$1002,0)),""))</f>
        <v/>
      </c>
      <c r="O289" s="26">
        <f>IF(OR(A289="",N289=""),"",IF(N289&lt;=H289,"Evet","HAYIR - RİSK"))</f>
        <v/>
      </c>
      <c r="P289" s="26">
        <f>IF(A289="","",IF(LEFT(J289,8)="Kural A ","Uygun - Hemen Ödenir (Yıl Sonu %75 Kontrolüne Tabi)",IF(OR(L289="Evet",M289="Evet"),IF(O289="Evet","Uygun","RİSK - Hakediş Süresi Aşıldı"),"Bekleniyor - Nakliye/Montaj Tamamlanmadı")))</f>
        <v/>
      </c>
      <c r="Q289" s="28">
        <f>IF(A289="","",SUMIFS('Hakedis Fatura Detay'!$G$3:$G$1200,'Hakedis Fatura Detay'!$H$3:$H$1200,'DIVA Satislari'!AJ289,'Hakedis Fatura Detay'!$F$3:$F$1200,"Fiyat Farkı")+SUMIFS('Hakedis Fatura Detay'!$G$3:$G$1200,'Hakedis Fatura Detay'!$H$3:$H$1200,'DIVA Satislari'!AJ289,'Hakedis Fatura Detay'!$F$3:$F$1200,"Bundle"))</f>
        <v/>
      </c>
      <c r="R289" s="28">
        <f>IF(A289="","",I289-Q289)</f>
        <v/>
      </c>
      <c r="S289" s="26">
        <f>IF(A289="","",IF(LEFT(P289,7)="Bekleni","N/A - Henüz Ödenmemeli",IF(LEFT(P289,4)="RİSK","İNCELEME GEREKLİ - Süre Aşımı",IF(R289=0,"Doğru",IF(R289&gt;0,"EKSİK ÖDENMİŞ","FAZLA ÖDENMİŞ")))))</f>
        <v/>
      </c>
      <c r="T289" s="30">
        <f>IF(A289="","",IF(F289&lt;&gt;"Evet","İNCELEME GEREKLİ - Kampanya Tanımsız",IF(G289&lt;&gt;"Evet","İNCELEME GEREKLİ - Tarih Dışı Satış",IF(LEFT(P289,4)="RİSK","İNCELEME GEREKLİ - Hakediş Süresi Aşıldı",IF(OR(S289="EKSİK ÖDENMİŞ",S289="FAZLA ÖDENMİŞ"),"İNCELEME GEREKLİ - Tutar Uyuşmazlığı",IF(LEFT(P289,7)="Bekleni","Bekleniyor","Uygun"))))))</f>
        <v/>
      </c>
    </row>
    <row r="290">
      <c r="A290" s="26">
        <f>IF('DIVA Satislari'!I290="","",'DIVA Satislari'!I290)</f>
        <v/>
      </c>
      <c r="B290" s="26">
        <f>IF('DIVA Satislari'!I290="","",'DIVA Satislari'!R290)</f>
        <v/>
      </c>
      <c r="C290" s="26">
        <f>IF('DIVA Satislari'!I290="","",'DIVA Satislari'!M290)</f>
        <v/>
      </c>
      <c r="D290" s="27">
        <f>IF('DIVA Satislari'!I290="","",'DIVA Satislari'!H290)</f>
        <v/>
      </c>
      <c r="E290" s="26">
        <f>IF('DIVA Satislari'!I290="","",'DIVA Satislari'!O290)</f>
        <v/>
      </c>
      <c r="F290" s="26">
        <f>IF('DIVA Satislari'!I290="","",'DIVA Satislari'!AK290)</f>
        <v/>
      </c>
      <c r="G290" s="26">
        <f>IF('DIVA Satislari'!I290="","",'DIVA Satislari'!AO290)</f>
        <v/>
      </c>
      <c r="H290" s="27">
        <f>IF('DIVA Satislari'!I290="","",'DIVA Satislari'!AN290)</f>
        <v/>
      </c>
      <c r="I290" s="28">
        <f>IF('DIVA Satislari'!I290="","",'DIVA Satislari'!AQ290)</f>
        <v/>
      </c>
      <c r="J290" s="26">
        <f>IF('DIVA Satislari'!I290="","",'DIVA Satislari'!AR290)</f>
        <v/>
      </c>
      <c r="K290" s="26">
        <f>IF('DIVA Satislari'!I290="","",IFERROR(INDEX('E2E Nakliye Montaj'!$AS$3:$AS$1002,MATCH('DIVA Satislari'!AJ290,'E2E Nakliye Montaj'!$AM$3:$AM$1002,0)),"Eşleşme Yok"))</f>
        <v/>
      </c>
      <c r="L290" s="26">
        <f>IF('DIVA Satislari'!I290="","",IFERROR(INDEX('E2E Nakliye Montaj'!$AT$3:$AT$1002,MATCH('DIVA Satislari'!AJ290,'E2E Nakliye Montaj'!$AM$3:$AM$1002,0)),"Hayır"))</f>
        <v/>
      </c>
      <c r="M290" s="26">
        <f>IF('DIVA Satislari'!I290="","",IFERROR(INDEX('E2E Nakliye Montaj'!$AU$3:$AU$1002,MATCH('DIVA Satislari'!AJ290,'E2E Nakliye Montaj'!$AM$3:$AM$1002,0)),"Hayır"))</f>
        <v/>
      </c>
      <c r="N290" s="27">
        <f>IF('DIVA Satislari'!I290="","",IFERROR(INDEX('E2E Nakliye Montaj'!$AV$3:$AV$1002,MATCH('DIVA Satislari'!AJ290,'E2E Nakliye Montaj'!$AM$3:$AM$1002,0)),""))</f>
        <v/>
      </c>
      <c r="O290" s="26">
        <f>IF(OR(A290="",N290=""),"",IF(N290&lt;=H290,"Evet","HAYIR - RİSK"))</f>
        <v/>
      </c>
      <c r="P290" s="26">
        <f>IF(A290="","",IF(LEFT(J290,8)="Kural A ","Uygun - Hemen Ödenir (Yıl Sonu %75 Kontrolüne Tabi)",IF(OR(L290="Evet",M290="Evet"),IF(O290="Evet","Uygun","RİSK - Hakediş Süresi Aşıldı"),"Bekleniyor - Nakliye/Montaj Tamamlanmadı")))</f>
        <v/>
      </c>
      <c r="Q290" s="28">
        <f>IF(A290="","",SUMIFS('Hakedis Fatura Detay'!$G$3:$G$1200,'Hakedis Fatura Detay'!$H$3:$H$1200,'DIVA Satislari'!AJ290,'Hakedis Fatura Detay'!$F$3:$F$1200,"Fiyat Farkı")+SUMIFS('Hakedis Fatura Detay'!$G$3:$G$1200,'Hakedis Fatura Detay'!$H$3:$H$1200,'DIVA Satislari'!AJ290,'Hakedis Fatura Detay'!$F$3:$F$1200,"Bundle"))</f>
        <v/>
      </c>
      <c r="R290" s="28">
        <f>IF(A290="","",I290-Q290)</f>
        <v/>
      </c>
      <c r="S290" s="26">
        <f>IF(A290="","",IF(LEFT(P290,7)="Bekleni","N/A - Henüz Ödenmemeli",IF(LEFT(P290,4)="RİSK","İNCELEME GEREKLİ - Süre Aşımı",IF(R290=0,"Doğru",IF(R290&gt;0,"EKSİK ÖDENMİŞ","FAZLA ÖDENMİŞ")))))</f>
        <v/>
      </c>
      <c r="T290" s="30">
        <f>IF(A290="","",IF(F290&lt;&gt;"Evet","İNCELEME GEREKLİ - Kampanya Tanımsız",IF(G290&lt;&gt;"Evet","İNCELEME GEREKLİ - Tarih Dışı Satış",IF(LEFT(P290,4)="RİSK","İNCELEME GEREKLİ - Hakediş Süresi Aşıldı",IF(OR(S290="EKSİK ÖDENMİŞ",S290="FAZLA ÖDENMİŞ"),"İNCELEME GEREKLİ - Tutar Uyuşmazlığı",IF(LEFT(P290,7)="Bekleni","Bekleniyor","Uygun"))))))</f>
        <v/>
      </c>
    </row>
    <row r="291">
      <c r="A291" s="26">
        <f>IF('DIVA Satislari'!I291="","",'DIVA Satislari'!I291)</f>
        <v/>
      </c>
      <c r="B291" s="26">
        <f>IF('DIVA Satislari'!I291="","",'DIVA Satislari'!R291)</f>
        <v/>
      </c>
      <c r="C291" s="26">
        <f>IF('DIVA Satislari'!I291="","",'DIVA Satislari'!M291)</f>
        <v/>
      </c>
      <c r="D291" s="27">
        <f>IF('DIVA Satislari'!I291="","",'DIVA Satislari'!H291)</f>
        <v/>
      </c>
      <c r="E291" s="26">
        <f>IF('DIVA Satislari'!I291="","",'DIVA Satislari'!O291)</f>
        <v/>
      </c>
      <c r="F291" s="26">
        <f>IF('DIVA Satislari'!I291="","",'DIVA Satislari'!AK291)</f>
        <v/>
      </c>
      <c r="G291" s="26">
        <f>IF('DIVA Satislari'!I291="","",'DIVA Satislari'!AO291)</f>
        <v/>
      </c>
      <c r="H291" s="27">
        <f>IF('DIVA Satislari'!I291="","",'DIVA Satislari'!AN291)</f>
        <v/>
      </c>
      <c r="I291" s="28">
        <f>IF('DIVA Satislari'!I291="","",'DIVA Satislari'!AQ291)</f>
        <v/>
      </c>
      <c r="J291" s="26">
        <f>IF('DIVA Satislari'!I291="","",'DIVA Satislari'!AR291)</f>
        <v/>
      </c>
      <c r="K291" s="26">
        <f>IF('DIVA Satislari'!I291="","",IFERROR(INDEX('E2E Nakliye Montaj'!$AS$3:$AS$1002,MATCH('DIVA Satislari'!AJ291,'E2E Nakliye Montaj'!$AM$3:$AM$1002,0)),"Eşleşme Yok"))</f>
        <v/>
      </c>
      <c r="L291" s="26">
        <f>IF('DIVA Satislari'!I291="","",IFERROR(INDEX('E2E Nakliye Montaj'!$AT$3:$AT$1002,MATCH('DIVA Satislari'!AJ291,'E2E Nakliye Montaj'!$AM$3:$AM$1002,0)),"Hayır"))</f>
        <v/>
      </c>
      <c r="M291" s="26">
        <f>IF('DIVA Satislari'!I291="","",IFERROR(INDEX('E2E Nakliye Montaj'!$AU$3:$AU$1002,MATCH('DIVA Satislari'!AJ291,'E2E Nakliye Montaj'!$AM$3:$AM$1002,0)),"Hayır"))</f>
        <v/>
      </c>
      <c r="N291" s="27">
        <f>IF('DIVA Satislari'!I291="","",IFERROR(INDEX('E2E Nakliye Montaj'!$AV$3:$AV$1002,MATCH('DIVA Satislari'!AJ291,'E2E Nakliye Montaj'!$AM$3:$AM$1002,0)),""))</f>
        <v/>
      </c>
      <c r="O291" s="26">
        <f>IF(OR(A291="",N291=""),"",IF(N291&lt;=H291,"Evet","HAYIR - RİSK"))</f>
        <v/>
      </c>
      <c r="P291" s="26">
        <f>IF(A291="","",IF(LEFT(J291,8)="Kural A ","Uygun - Hemen Ödenir (Yıl Sonu %75 Kontrolüne Tabi)",IF(OR(L291="Evet",M291="Evet"),IF(O291="Evet","Uygun","RİSK - Hakediş Süresi Aşıldı"),"Bekleniyor - Nakliye/Montaj Tamamlanmadı")))</f>
        <v/>
      </c>
      <c r="Q291" s="28">
        <f>IF(A291="","",SUMIFS('Hakedis Fatura Detay'!$G$3:$G$1200,'Hakedis Fatura Detay'!$H$3:$H$1200,'DIVA Satislari'!AJ291,'Hakedis Fatura Detay'!$F$3:$F$1200,"Fiyat Farkı")+SUMIFS('Hakedis Fatura Detay'!$G$3:$G$1200,'Hakedis Fatura Detay'!$H$3:$H$1200,'DIVA Satislari'!AJ291,'Hakedis Fatura Detay'!$F$3:$F$1200,"Bundle"))</f>
        <v/>
      </c>
      <c r="R291" s="28">
        <f>IF(A291="","",I291-Q291)</f>
        <v/>
      </c>
      <c r="S291" s="26">
        <f>IF(A291="","",IF(LEFT(P291,7)="Bekleni","N/A - Henüz Ödenmemeli",IF(LEFT(P291,4)="RİSK","İNCELEME GEREKLİ - Süre Aşımı",IF(R291=0,"Doğru",IF(R291&gt;0,"EKSİK ÖDENMİŞ","FAZLA ÖDENMİŞ")))))</f>
        <v/>
      </c>
      <c r="T291" s="30">
        <f>IF(A291="","",IF(F291&lt;&gt;"Evet","İNCELEME GEREKLİ - Kampanya Tanımsız",IF(G291&lt;&gt;"Evet","İNCELEME GEREKLİ - Tarih Dışı Satış",IF(LEFT(P291,4)="RİSK","İNCELEME GEREKLİ - Hakediş Süresi Aşıldı",IF(OR(S291="EKSİK ÖDENMİŞ",S291="FAZLA ÖDENMİŞ"),"İNCELEME GEREKLİ - Tutar Uyuşmazlığı",IF(LEFT(P291,7)="Bekleni","Bekleniyor","Uygun"))))))</f>
        <v/>
      </c>
    </row>
    <row r="292">
      <c r="A292" s="26">
        <f>IF('DIVA Satislari'!I292="","",'DIVA Satislari'!I292)</f>
        <v/>
      </c>
      <c r="B292" s="26">
        <f>IF('DIVA Satislari'!I292="","",'DIVA Satislari'!R292)</f>
        <v/>
      </c>
      <c r="C292" s="26">
        <f>IF('DIVA Satislari'!I292="","",'DIVA Satislari'!M292)</f>
        <v/>
      </c>
      <c r="D292" s="27">
        <f>IF('DIVA Satislari'!I292="","",'DIVA Satislari'!H292)</f>
        <v/>
      </c>
      <c r="E292" s="26">
        <f>IF('DIVA Satislari'!I292="","",'DIVA Satislari'!O292)</f>
        <v/>
      </c>
      <c r="F292" s="26">
        <f>IF('DIVA Satislari'!I292="","",'DIVA Satislari'!AK292)</f>
        <v/>
      </c>
      <c r="G292" s="26">
        <f>IF('DIVA Satislari'!I292="","",'DIVA Satislari'!AO292)</f>
        <v/>
      </c>
      <c r="H292" s="27">
        <f>IF('DIVA Satislari'!I292="","",'DIVA Satislari'!AN292)</f>
        <v/>
      </c>
      <c r="I292" s="28">
        <f>IF('DIVA Satislari'!I292="","",'DIVA Satislari'!AQ292)</f>
        <v/>
      </c>
      <c r="J292" s="26">
        <f>IF('DIVA Satislari'!I292="","",'DIVA Satislari'!AR292)</f>
        <v/>
      </c>
      <c r="K292" s="26">
        <f>IF('DIVA Satislari'!I292="","",IFERROR(INDEX('E2E Nakliye Montaj'!$AS$3:$AS$1002,MATCH('DIVA Satislari'!AJ292,'E2E Nakliye Montaj'!$AM$3:$AM$1002,0)),"Eşleşme Yok"))</f>
        <v/>
      </c>
      <c r="L292" s="26">
        <f>IF('DIVA Satislari'!I292="","",IFERROR(INDEX('E2E Nakliye Montaj'!$AT$3:$AT$1002,MATCH('DIVA Satislari'!AJ292,'E2E Nakliye Montaj'!$AM$3:$AM$1002,0)),"Hayır"))</f>
        <v/>
      </c>
      <c r="M292" s="26">
        <f>IF('DIVA Satislari'!I292="","",IFERROR(INDEX('E2E Nakliye Montaj'!$AU$3:$AU$1002,MATCH('DIVA Satislari'!AJ292,'E2E Nakliye Montaj'!$AM$3:$AM$1002,0)),"Hayır"))</f>
        <v/>
      </c>
      <c r="N292" s="27">
        <f>IF('DIVA Satislari'!I292="","",IFERROR(INDEX('E2E Nakliye Montaj'!$AV$3:$AV$1002,MATCH('DIVA Satislari'!AJ292,'E2E Nakliye Montaj'!$AM$3:$AM$1002,0)),""))</f>
        <v/>
      </c>
      <c r="O292" s="26">
        <f>IF(OR(A292="",N292=""),"",IF(N292&lt;=H292,"Evet","HAYIR - RİSK"))</f>
        <v/>
      </c>
      <c r="P292" s="26">
        <f>IF(A292="","",IF(LEFT(J292,8)="Kural A ","Uygun - Hemen Ödenir (Yıl Sonu %75 Kontrolüne Tabi)",IF(OR(L292="Evet",M292="Evet"),IF(O292="Evet","Uygun","RİSK - Hakediş Süresi Aşıldı"),"Bekleniyor - Nakliye/Montaj Tamamlanmadı")))</f>
        <v/>
      </c>
      <c r="Q292" s="28">
        <f>IF(A292="","",SUMIFS('Hakedis Fatura Detay'!$G$3:$G$1200,'Hakedis Fatura Detay'!$H$3:$H$1200,'DIVA Satislari'!AJ292,'Hakedis Fatura Detay'!$F$3:$F$1200,"Fiyat Farkı")+SUMIFS('Hakedis Fatura Detay'!$G$3:$G$1200,'Hakedis Fatura Detay'!$H$3:$H$1200,'DIVA Satislari'!AJ292,'Hakedis Fatura Detay'!$F$3:$F$1200,"Bundle"))</f>
        <v/>
      </c>
      <c r="R292" s="28">
        <f>IF(A292="","",I292-Q292)</f>
        <v/>
      </c>
      <c r="S292" s="26">
        <f>IF(A292="","",IF(LEFT(P292,7)="Bekleni","N/A - Henüz Ödenmemeli",IF(LEFT(P292,4)="RİSK","İNCELEME GEREKLİ - Süre Aşımı",IF(R292=0,"Doğru",IF(R292&gt;0,"EKSİK ÖDENMİŞ","FAZLA ÖDENMİŞ")))))</f>
        <v/>
      </c>
      <c r="T292" s="30">
        <f>IF(A292="","",IF(F292&lt;&gt;"Evet","İNCELEME GEREKLİ - Kampanya Tanımsız",IF(G292&lt;&gt;"Evet","İNCELEME GEREKLİ - Tarih Dışı Satış",IF(LEFT(P292,4)="RİSK","İNCELEME GEREKLİ - Hakediş Süresi Aşıldı",IF(OR(S292="EKSİK ÖDENMİŞ",S292="FAZLA ÖDENMİŞ"),"İNCELEME GEREKLİ - Tutar Uyuşmazlığı",IF(LEFT(P292,7)="Bekleni","Bekleniyor","Uygun"))))))</f>
        <v/>
      </c>
    </row>
    <row r="293">
      <c r="A293" s="26">
        <f>IF('DIVA Satislari'!I293="","",'DIVA Satislari'!I293)</f>
        <v/>
      </c>
      <c r="B293" s="26">
        <f>IF('DIVA Satislari'!I293="","",'DIVA Satislari'!R293)</f>
        <v/>
      </c>
      <c r="C293" s="26">
        <f>IF('DIVA Satislari'!I293="","",'DIVA Satislari'!M293)</f>
        <v/>
      </c>
      <c r="D293" s="27">
        <f>IF('DIVA Satislari'!I293="","",'DIVA Satislari'!H293)</f>
        <v/>
      </c>
      <c r="E293" s="26">
        <f>IF('DIVA Satislari'!I293="","",'DIVA Satislari'!O293)</f>
        <v/>
      </c>
      <c r="F293" s="26">
        <f>IF('DIVA Satislari'!I293="","",'DIVA Satislari'!AK293)</f>
        <v/>
      </c>
      <c r="G293" s="26">
        <f>IF('DIVA Satislari'!I293="","",'DIVA Satislari'!AO293)</f>
        <v/>
      </c>
      <c r="H293" s="27">
        <f>IF('DIVA Satislari'!I293="","",'DIVA Satislari'!AN293)</f>
        <v/>
      </c>
      <c r="I293" s="28">
        <f>IF('DIVA Satislari'!I293="","",'DIVA Satislari'!AQ293)</f>
        <v/>
      </c>
      <c r="J293" s="26">
        <f>IF('DIVA Satislari'!I293="","",'DIVA Satislari'!AR293)</f>
        <v/>
      </c>
      <c r="K293" s="26">
        <f>IF('DIVA Satislari'!I293="","",IFERROR(INDEX('E2E Nakliye Montaj'!$AS$3:$AS$1002,MATCH('DIVA Satislari'!AJ293,'E2E Nakliye Montaj'!$AM$3:$AM$1002,0)),"Eşleşme Yok"))</f>
        <v/>
      </c>
      <c r="L293" s="26">
        <f>IF('DIVA Satislari'!I293="","",IFERROR(INDEX('E2E Nakliye Montaj'!$AT$3:$AT$1002,MATCH('DIVA Satislari'!AJ293,'E2E Nakliye Montaj'!$AM$3:$AM$1002,0)),"Hayır"))</f>
        <v/>
      </c>
      <c r="M293" s="26">
        <f>IF('DIVA Satislari'!I293="","",IFERROR(INDEX('E2E Nakliye Montaj'!$AU$3:$AU$1002,MATCH('DIVA Satislari'!AJ293,'E2E Nakliye Montaj'!$AM$3:$AM$1002,0)),"Hayır"))</f>
        <v/>
      </c>
      <c r="N293" s="27">
        <f>IF('DIVA Satislari'!I293="","",IFERROR(INDEX('E2E Nakliye Montaj'!$AV$3:$AV$1002,MATCH('DIVA Satislari'!AJ293,'E2E Nakliye Montaj'!$AM$3:$AM$1002,0)),""))</f>
        <v/>
      </c>
      <c r="O293" s="26">
        <f>IF(OR(A293="",N293=""),"",IF(N293&lt;=H293,"Evet","HAYIR - RİSK"))</f>
        <v/>
      </c>
      <c r="P293" s="26">
        <f>IF(A293="","",IF(LEFT(J293,8)="Kural A ","Uygun - Hemen Ödenir (Yıl Sonu %75 Kontrolüne Tabi)",IF(OR(L293="Evet",M293="Evet"),IF(O293="Evet","Uygun","RİSK - Hakediş Süresi Aşıldı"),"Bekleniyor - Nakliye/Montaj Tamamlanmadı")))</f>
        <v/>
      </c>
      <c r="Q293" s="28">
        <f>IF(A293="","",SUMIFS('Hakedis Fatura Detay'!$G$3:$G$1200,'Hakedis Fatura Detay'!$H$3:$H$1200,'DIVA Satislari'!AJ293,'Hakedis Fatura Detay'!$F$3:$F$1200,"Fiyat Farkı")+SUMIFS('Hakedis Fatura Detay'!$G$3:$G$1200,'Hakedis Fatura Detay'!$H$3:$H$1200,'DIVA Satislari'!AJ293,'Hakedis Fatura Detay'!$F$3:$F$1200,"Bundle"))</f>
        <v/>
      </c>
      <c r="R293" s="28">
        <f>IF(A293="","",I293-Q293)</f>
        <v/>
      </c>
      <c r="S293" s="26">
        <f>IF(A293="","",IF(LEFT(P293,7)="Bekleni","N/A - Henüz Ödenmemeli",IF(LEFT(P293,4)="RİSK","İNCELEME GEREKLİ - Süre Aşımı",IF(R293=0,"Doğru",IF(R293&gt;0,"EKSİK ÖDENMİŞ","FAZLA ÖDENMİŞ")))))</f>
        <v/>
      </c>
      <c r="T293" s="30">
        <f>IF(A293="","",IF(F293&lt;&gt;"Evet","İNCELEME GEREKLİ - Kampanya Tanımsız",IF(G293&lt;&gt;"Evet","İNCELEME GEREKLİ - Tarih Dışı Satış",IF(LEFT(P293,4)="RİSK","İNCELEME GEREKLİ - Hakediş Süresi Aşıldı",IF(OR(S293="EKSİK ÖDENMİŞ",S293="FAZLA ÖDENMİŞ"),"İNCELEME GEREKLİ - Tutar Uyuşmazlığı",IF(LEFT(P293,7)="Bekleni","Bekleniyor","Uygun"))))))</f>
        <v/>
      </c>
    </row>
    <row r="294">
      <c r="A294" s="26">
        <f>IF('DIVA Satislari'!I294="","",'DIVA Satislari'!I294)</f>
        <v/>
      </c>
      <c r="B294" s="26">
        <f>IF('DIVA Satislari'!I294="","",'DIVA Satislari'!R294)</f>
        <v/>
      </c>
      <c r="C294" s="26">
        <f>IF('DIVA Satislari'!I294="","",'DIVA Satislari'!M294)</f>
        <v/>
      </c>
      <c r="D294" s="27">
        <f>IF('DIVA Satislari'!I294="","",'DIVA Satislari'!H294)</f>
        <v/>
      </c>
      <c r="E294" s="26">
        <f>IF('DIVA Satislari'!I294="","",'DIVA Satislari'!O294)</f>
        <v/>
      </c>
      <c r="F294" s="26">
        <f>IF('DIVA Satislari'!I294="","",'DIVA Satislari'!AK294)</f>
        <v/>
      </c>
      <c r="G294" s="26">
        <f>IF('DIVA Satislari'!I294="","",'DIVA Satislari'!AO294)</f>
        <v/>
      </c>
      <c r="H294" s="27">
        <f>IF('DIVA Satislari'!I294="","",'DIVA Satislari'!AN294)</f>
        <v/>
      </c>
      <c r="I294" s="28">
        <f>IF('DIVA Satislari'!I294="","",'DIVA Satislari'!AQ294)</f>
        <v/>
      </c>
      <c r="J294" s="26">
        <f>IF('DIVA Satislari'!I294="","",'DIVA Satislari'!AR294)</f>
        <v/>
      </c>
      <c r="K294" s="26">
        <f>IF('DIVA Satislari'!I294="","",IFERROR(INDEX('E2E Nakliye Montaj'!$AS$3:$AS$1002,MATCH('DIVA Satislari'!AJ294,'E2E Nakliye Montaj'!$AM$3:$AM$1002,0)),"Eşleşme Yok"))</f>
        <v/>
      </c>
      <c r="L294" s="26">
        <f>IF('DIVA Satislari'!I294="","",IFERROR(INDEX('E2E Nakliye Montaj'!$AT$3:$AT$1002,MATCH('DIVA Satislari'!AJ294,'E2E Nakliye Montaj'!$AM$3:$AM$1002,0)),"Hayır"))</f>
        <v/>
      </c>
      <c r="M294" s="26">
        <f>IF('DIVA Satislari'!I294="","",IFERROR(INDEX('E2E Nakliye Montaj'!$AU$3:$AU$1002,MATCH('DIVA Satislari'!AJ294,'E2E Nakliye Montaj'!$AM$3:$AM$1002,0)),"Hayır"))</f>
        <v/>
      </c>
      <c r="N294" s="27">
        <f>IF('DIVA Satislari'!I294="","",IFERROR(INDEX('E2E Nakliye Montaj'!$AV$3:$AV$1002,MATCH('DIVA Satislari'!AJ294,'E2E Nakliye Montaj'!$AM$3:$AM$1002,0)),""))</f>
        <v/>
      </c>
      <c r="O294" s="26">
        <f>IF(OR(A294="",N294=""),"",IF(N294&lt;=H294,"Evet","HAYIR - RİSK"))</f>
        <v/>
      </c>
      <c r="P294" s="26">
        <f>IF(A294="","",IF(LEFT(J294,8)="Kural A ","Uygun - Hemen Ödenir (Yıl Sonu %75 Kontrolüne Tabi)",IF(OR(L294="Evet",M294="Evet"),IF(O294="Evet","Uygun","RİSK - Hakediş Süresi Aşıldı"),"Bekleniyor - Nakliye/Montaj Tamamlanmadı")))</f>
        <v/>
      </c>
      <c r="Q294" s="28">
        <f>IF(A294="","",SUMIFS('Hakedis Fatura Detay'!$G$3:$G$1200,'Hakedis Fatura Detay'!$H$3:$H$1200,'DIVA Satislari'!AJ294,'Hakedis Fatura Detay'!$F$3:$F$1200,"Fiyat Farkı")+SUMIFS('Hakedis Fatura Detay'!$G$3:$G$1200,'Hakedis Fatura Detay'!$H$3:$H$1200,'DIVA Satislari'!AJ294,'Hakedis Fatura Detay'!$F$3:$F$1200,"Bundle"))</f>
        <v/>
      </c>
      <c r="R294" s="28">
        <f>IF(A294="","",I294-Q294)</f>
        <v/>
      </c>
      <c r="S294" s="26">
        <f>IF(A294="","",IF(LEFT(P294,7)="Bekleni","N/A - Henüz Ödenmemeli",IF(LEFT(P294,4)="RİSK","İNCELEME GEREKLİ - Süre Aşımı",IF(R294=0,"Doğru",IF(R294&gt;0,"EKSİK ÖDENMİŞ","FAZLA ÖDENMİŞ")))))</f>
        <v/>
      </c>
      <c r="T294" s="30">
        <f>IF(A294="","",IF(F294&lt;&gt;"Evet","İNCELEME GEREKLİ - Kampanya Tanımsız",IF(G294&lt;&gt;"Evet","İNCELEME GEREKLİ - Tarih Dışı Satış",IF(LEFT(P294,4)="RİSK","İNCELEME GEREKLİ - Hakediş Süresi Aşıldı",IF(OR(S294="EKSİK ÖDENMİŞ",S294="FAZLA ÖDENMİŞ"),"İNCELEME GEREKLİ - Tutar Uyuşmazlığı",IF(LEFT(P294,7)="Bekleni","Bekleniyor","Uygun"))))))</f>
        <v/>
      </c>
    </row>
    <row r="295">
      <c r="A295" s="26">
        <f>IF('DIVA Satislari'!I295="","",'DIVA Satislari'!I295)</f>
        <v/>
      </c>
      <c r="B295" s="26">
        <f>IF('DIVA Satislari'!I295="","",'DIVA Satislari'!R295)</f>
        <v/>
      </c>
      <c r="C295" s="26">
        <f>IF('DIVA Satislari'!I295="","",'DIVA Satislari'!M295)</f>
        <v/>
      </c>
      <c r="D295" s="27">
        <f>IF('DIVA Satislari'!I295="","",'DIVA Satislari'!H295)</f>
        <v/>
      </c>
      <c r="E295" s="26">
        <f>IF('DIVA Satislari'!I295="","",'DIVA Satislari'!O295)</f>
        <v/>
      </c>
      <c r="F295" s="26">
        <f>IF('DIVA Satislari'!I295="","",'DIVA Satislari'!AK295)</f>
        <v/>
      </c>
      <c r="G295" s="26">
        <f>IF('DIVA Satislari'!I295="","",'DIVA Satislari'!AO295)</f>
        <v/>
      </c>
      <c r="H295" s="27">
        <f>IF('DIVA Satislari'!I295="","",'DIVA Satislari'!AN295)</f>
        <v/>
      </c>
      <c r="I295" s="28">
        <f>IF('DIVA Satislari'!I295="","",'DIVA Satislari'!AQ295)</f>
        <v/>
      </c>
      <c r="J295" s="26">
        <f>IF('DIVA Satislari'!I295="","",'DIVA Satislari'!AR295)</f>
        <v/>
      </c>
      <c r="K295" s="26">
        <f>IF('DIVA Satislari'!I295="","",IFERROR(INDEX('E2E Nakliye Montaj'!$AS$3:$AS$1002,MATCH('DIVA Satislari'!AJ295,'E2E Nakliye Montaj'!$AM$3:$AM$1002,0)),"Eşleşme Yok"))</f>
        <v/>
      </c>
      <c r="L295" s="26">
        <f>IF('DIVA Satislari'!I295="","",IFERROR(INDEX('E2E Nakliye Montaj'!$AT$3:$AT$1002,MATCH('DIVA Satislari'!AJ295,'E2E Nakliye Montaj'!$AM$3:$AM$1002,0)),"Hayır"))</f>
        <v/>
      </c>
      <c r="M295" s="26">
        <f>IF('DIVA Satislari'!I295="","",IFERROR(INDEX('E2E Nakliye Montaj'!$AU$3:$AU$1002,MATCH('DIVA Satislari'!AJ295,'E2E Nakliye Montaj'!$AM$3:$AM$1002,0)),"Hayır"))</f>
        <v/>
      </c>
      <c r="N295" s="27">
        <f>IF('DIVA Satislari'!I295="","",IFERROR(INDEX('E2E Nakliye Montaj'!$AV$3:$AV$1002,MATCH('DIVA Satislari'!AJ295,'E2E Nakliye Montaj'!$AM$3:$AM$1002,0)),""))</f>
        <v/>
      </c>
      <c r="O295" s="26">
        <f>IF(OR(A295="",N295=""),"",IF(N295&lt;=H295,"Evet","HAYIR - RİSK"))</f>
        <v/>
      </c>
      <c r="P295" s="26">
        <f>IF(A295="","",IF(LEFT(J295,8)="Kural A ","Uygun - Hemen Ödenir (Yıl Sonu %75 Kontrolüne Tabi)",IF(OR(L295="Evet",M295="Evet"),IF(O295="Evet","Uygun","RİSK - Hakediş Süresi Aşıldı"),"Bekleniyor - Nakliye/Montaj Tamamlanmadı")))</f>
        <v/>
      </c>
      <c r="Q295" s="28">
        <f>IF(A295="","",SUMIFS('Hakedis Fatura Detay'!$G$3:$G$1200,'Hakedis Fatura Detay'!$H$3:$H$1200,'DIVA Satislari'!AJ295,'Hakedis Fatura Detay'!$F$3:$F$1200,"Fiyat Farkı")+SUMIFS('Hakedis Fatura Detay'!$G$3:$G$1200,'Hakedis Fatura Detay'!$H$3:$H$1200,'DIVA Satislari'!AJ295,'Hakedis Fatura Detay'!$F$3:$F$1200,"Bundle"))</f>
        <v/>
      </c>
      <c r="R295" s="28">
        <f>IF(A295="","",I295-Q295)</f>
        <v/>
      </c>
      <c r="S295" s="26">
        <f>IF(A295="","",IF(LEFT(P295,7)="Bekleni","N/A - Henüz Ödenmemeli",IF(LEFT(P295,4)="RİSK","İNCELEME GEREKLİ - Süre Aşımı",IF(R295=0,"Doğru",IF(R295&gt;0,"EKSİK ÖDENMİŞ","FAZLA ÖDENMİŞ")))))</f>
        <v/>
      </c>
      <c r="T295" s="30">
        <f>IF(A295="","",IF(F295&lt;&gt;"Evet","İNCELEME GEREKLİ - Kampanya Tanımsız",IF(G295&lt;&gt;"Evet","İNCELEME GEREKLİ - Tarih Dışı Satış",IF(LEFT(P295,4)="RİSK","İNCELEME GEREKLİ - Hakediş Süresi Aşıldı",IF(OR(S295="EKSİK ÖDENMİŞ",S295="FAZLA ÖDENMİŞ"),"İNCELEME GEREKLİ - Tutar Uyuşmazlığı",IF(LEFT(P295,7)="Bekleni","Bekleniyor","Uygun"))))))</f>
        <v/>
      </c>
    </row>
    <row r="296">
      <c r="A296" s="26">
        <f>IF('DIVA Satislari'!I296="","",'DIVA Satislari'!I296)</f>
        <v/>
      </c>
      <c r="B296" s="26">
        <f>IF('DIVA Satislari'!I296="","",'DIVA Satislari'!R296)</f>
        <v/>
      </c>
      <c r="C296" s="26">
        <f>IF('DIVA Satislari'!I296="","",'DIVA Satislari'!M296)</f>
        <v/>
      </c>
      <c r="D296" s="27">
        <f>IF('DIVA Satislari'!I296="","",'DIVA Satislari'!H296)</f>
        <v/>
      </c>
      <c r="E296" s="26">
        <f>IF('DIVA Satislari'!I296="","",'DIVA Satislari'!O296)</f>
        <v/>
      </c>
      <c r="F296" s="26">
        <f>IF('DIVA Satislari'!I296="","",'DIVA Satislari'!AK296)</f>
        <v/>
      </c>
      <c r="G296" s="26">
        <f>IF('DIVA Satislari'!I296="","",'DIVA Satislari'!AO296)</f>
        <v/>
      </c>
      <c r="H296" s="27">
        <f>IF('DIVA Satislari'!I296="","",'DIVA Satislari'!AN296)</f>
        <v/>
      </c>
      <c r="I296" s="28">
        <f>IF('DIVA Satislari'!I296="","",'DIVA Satislari'!AQ296)</f>
        <v/>
      </c>
      <c r="J296" s="26">
        <f>IF('DIVA Satislari'!I296="","",'DIVA Satislari'!AR296)</f>
        <v/>
      </c>
      <c r="K296" s="26">
        <f>IF('DIVA Satislari'!I296="","",IFERROR(INDEX('E2E Nakliye Montaj'!$AS$3:$AS$1002,MATCH('DIVA Satislari'!AJ296,'E2E Nakliye Montaj'!$AM$3:$AM$1002,0)),"Eşleşme Yok"))</f>
        <v/>
      </c>
      <c r="L296" s="26">
        <f>IF('DIVA Satislari'!I296="","",IFERROR(INDEX('E2E Nakliye Montaj'!$AT$3:$AT$1002,MATCH('DIVA Satislari'!AJ296,'E2E Nakliye Montaj'!$AM$3:$AM$1002,0)),"Hayır"))</f>
        <v/>
      </c>
      <c r="M296" s="26">
        <f>IF('DIVA Satislari'!I296="","",IFERROR(INDEX('E2E Nakliye Montaj'!$AU$3:$AU$1002,MATCH('DIVA Satislari'!AJ296,'E2E Nakliye Montaj'!$AM$3:$AM$1002,0)),"Hayır"))</f>
        <v/>
      </c>
      <c r="N296" s="27">
        <f>IF('DIVA Satislari'!I296="","",IFERROR(INDEX('E2E Nakliye Montaj'!$AV$3:$AV$1002,MATCH('DIVA Satislari'!AJ296,'E2E Nakliye Montaj'!$AM$3:$AM$1002,0)),""))</f>
        <v/>
      </c>
      <c r="O296" s="26">
        <f>IF(OR(A296="",N296=""),"",IF(N296&lt;=H296,"Evet","HAYIR - RİSK"))</f>
        <v/>
      </c>
      <c r="P296" s="26">
        <f>IF(A296="","",IF(LEFT(J296,8)="Kural A ","Uygun - Hemen Ödenir (Yıl Sonu %75 Kontrolüne Tabi)",IF(OR(L296="Evet",M296="Evet"),IF(O296="Evet","Uygun","RİSK - Hakediş Süresi Aşıldı"),"Bekleniyor - Nakliye/Montaj Tamamlanmadı")))</f>
        <v/>
      </c>
      <c r="Q296" s="28">
        <f>IF(A296="","",SUMIFS('Hakedis Fatura Detay'!$G$3:$G$1200,'Hakedis Fatura Detay'!$H$3:$H$1200,'DIVA Satislari'!AJ296,'Hakedis Fatura Detay'!$F$3:$F$1200,"Fiyat Farkı")+SUMIFS('Hakedis Fatura Detay'!$G$3:$G$1200,'Hakedis Fatura Detay'!$H$3:$H$1200,'DIVA Satislari'!AJ296,'Hakedis Fatura Detay'!$F$3:$F$1200,"Bundle"))</f>
        <v/>
      </c>
      <c r="R296" s="28">
        <f>IF(A296="","",I296-Q296)</f>
        <v/>
      </c>
      <c r="S296" s="26">
        <f>IF(A296="","",IF(LEFT(P296,7)="Bekleni","N/A - Henüz Ödenmemeli",IF(LEFT(P296,4)="RİSK","İNCELEME GEREKLİ - Süre Aşımı",IF(R296=0,"Doğru",IF(R296&gt;0,"EKSİK ÖDENMİŞ","FAZLA ÖDENMİŞ")))))</f>
        <v/>
      </c>
      <c r="T296" s="30">
        <f>IF(A296="","",IF(F296&lt;&gt;"Evet","İNCELEME GEREKLİ - Kampanya Tanımsız",IF(G296&lt;&gt;"Evet","İNCELEME GEREKLİ - Tarih Dışı Satış",IF(LEFT(P296,4)="RİSK","İNCELEME GEREKLİ - Hakediş Süresi Aşıldı",IF(OR(S296="EKSİK ÖDENMİŞ",S296="FAZLA ÖDENMİŞ"),"İNCELEME GEREKLİ - Tutar Uyuşmazlığı",IF(LEFT(P296,7)="Bekleni","Bekleniyor","Uygun"))))))</f>
        <v/>
      </c>
    </row>
    <row r="297">
      <c r="A297" s="26">
        <f>IF('DIVA Satislari'!I297="","",'DIVA Satislari'!I297)</f>
        <v/>
      </c>
      <c r="B297" s="26">
        <f>IF('DIVA Satislari'!I297="","",'DIVA Satislari'!R297)</f>
        <v/>
      </c>
      <c r="C297" s="26">
        <f>IF('DIVA Satislari'!I297="","",'DIVA Satislari'!M297)</f>
        <v/>
      </c>
      <c r="D297" s="27">
        <f>IF('DIVA Satislari'!I297="","",'DIVA Satislari'!H297)</f>
        <v/>
      </c>
      <c r="E297" s="26">
        <f>IF('DIVA Satislari'!I297="","",'DIVA Satislari'!O297)</f>
        <v/>
      </c>
      <c r="F297" s="26">
        <f>IF('DIVA Satislari'!I297="","",'DIVA Satislari'!AK297)</f>
        <v/>
      </c>
      <c r="G297" s="26">
        <f>IF('DIVA Satislari'!I297="","",'DIVA Satislari'!AO297)</f>
        <v/>
      </c>
      <c r="H297" s="27">
        <f>IF('DIVA Satislari'!I297="","",'DIVA Satislari'!AN297)</f>
        <v/>
      </c>
      <c r="I297" s="28">
        <f>IF('DIVA Satislari'!I297="","",'DIVA Satislari'!AQ297)</f>
        <v/>
      </c>
      <c r="J297" s="26">
        <f>IF('DIVA Satislari'!I297="","",'DIVA Satislari'!AR297)</f>
        <v/>
      </c>
      <c r="K297" s="26">
        <f>IF('DIVA Satislari'!I297="","",IFERROR(INDEX('E2E Nakliye Montaj'!$AS$3:$AS$1002,MATCH('DIVA Satislari'!AJ297,'E2E Nakliye Montaj'!$AM$3:$AM$1002,0)),"Eşleşme Yok"))</f>
        <v/>
      </c>
      <c r="L297" s="26">
        <f>IF('DIVA Satislari'!I297="","",IFERROR(INDEX('E2E Nakliye Montaj'!$AT$3:$AT$1002,MATCH('DIVA Satislari'!AJ297,'E2E Nakliye Montaj'!$AM$3:$AM$1002,0)),"Hayır"))</f>
        <v/>
      </c>
      <c r="M297" s="26">
        <f>IF('DIVA Satislari'!I297="","",IFERROR(INDEX('E2E Nakliye Montaj'!$AU$3:$AU$1002,MATCH('DIVA Satislari'!AJ297,'E2E Nakliye Montaj'!$AM$3:$AM$1002,0)),"Hayır"))</f>
        <v/>
      </c>
      <c r="N297" s="27">
        <f>IF('DIVA Satislari'!I297="","",IFERROR(INDEX('E2E Nakliye Montaj'!$AV$3:$AV$1002,MATCH('DIVA Satislari'!AJ297,'E2E Nakliye Montaj'!$AM$3:$AM$1002,0)),""))</f>
        <v/>
      </c>
      <c r="O297" s="26">
        <f>IF(OR(A297="",N297=""),"",IF(N297&lt;=H297,"Evet","HAYIR - RİSK"))</f>
        <v/>
      </c>
      <c r="P297" s="26">
        <f>IF(A297="","",IF(LEFT(J297,8)="Kural A ","Uygun - Hemen Ödenir (Yıl Sonu %75 Kontrolüne Tabi)",IF(OR(L297="Evet",M297="Evet"),IF(O297="Evet","Uygun","RİSK - Hakediş Süresi Aşıldı"),"Bekleniyor - Nakliye/Montaj Tamamlanmadı")))</f>
        <v/>
      </c>
      <c r="Q297" s="28">
        <f>IF(A297="","",SUMIFS('Hakedis Fatura Detay'!$G$3:$G$1200,'Hakedis Fatura Detay'!$H$3:$H$1200,'DIVA Satislari'!AJ297,'Hakedis Fatura Detay'!$F$3:$F$1200,"Fiyat Farkı")+SUMIFS('Hakedis Fatura Detay'!$G$3:$G$1200,'Hakedis Fatura Detay'!$H$3:$H$1200,'DIVA Satislari'!AJ297,'Hakedis Fatura Detay'!$F$3:$F$1200,"Bundle"))</f>
        <v/>
      </c>
      <c r="R297" s="28">
        <f>IF(A297="","",I297-Q297)</f>
        <v/>
      </c>
      <c r="S297" s="26">
        <f>IF(A297="","",IF(LEFT(P297,7)="Bekleni","N/A - Henüz Ödenmemeli",IF(LEFT(P297,4)="RİSK","İNCELEME GEREKLİ - Süre Aşımı",IF(R297=0,"Doğru",IF(R297&gt;0,"EKSİK ÖDENMİŞ","FAZLA ÖDENMİŞ")))))</f>
        <v/>
      </c>
      <c r="T297" s="30">
        <f>IF(A297="","",IF(F297&lt;&gt;"Evet","İNCELEME GEREKLİ - Kampanya Tanımsız",IF(G297&lt;&gt;"Evet","İNCELEME GEREKLİ - Tarih Dışı Satış",IF(LEFT(P297,4)="RİSK","İNCELEME GEREKLİ - Hakediş Süresi Aşıldı",IF(OR(S297="EKSİK ÖDENMİŞ",S297="FAZLA ÖDENMİŞ"),"İNCELEME GEREKLİ - Tutar Uyuşmazlığı",IF(LEFT(P297,7)="Bekleni","Bekleniyor","Uygun"))))))</f>
        <v/>
      </c>
    </row>
    <row r="298">
      <c r="A298" s="26">
        <f>IF('DIVA Satislari'!I298="","",'DIVA Satislari'!I298)</f>
        <v/>
      </c>
      <c r="B298" s="26">
        <f>IF('DIVA Satislari'!I298="","",'DIVA Satislari'!R298)</f>
        <v/>
      </c>
      <c r="C298" s="26">
        <f>IF('DIVA Satislari'!I298="","",'DIVA Satislari'!M298)</f>
        <v/>
      </c>
      <c r="D298" s="27">
        <f>IF('DIVA Satislari'!I298="","",'DIVA Satislari'!H298)</f>
        <v/>
      </c>
      <c r="E298" s="26">
        <f>IF('DIVA Satislari'!I298="","",'DIVA Satislari'!O298)</f>
        <v/>
      </c>
      <c r="F298" s="26">
        <f>IF('DIVA Satislari'!I298="","",'DIVA Satislari'!AK298)</f>
        <v/>
      </c>
      <c r="G298" s="26">
        <f>IF('DIVA Satislari'!I298="","",'DIVA Satislari'!AO298)</f>
        <v/>
      </c>
      <c r="H298" s="27">
        <f>IF('DIVA Satislari'!I298="","",'DIVA Satislari'!AN298)</f>
        <v/>
      </c>
      <c r="I298" s="28">
        <f>IF('DIVA Satislari'!I298="","",'DIVA Satislari'!AQ298)</f>
        <v/>
      </c>
      <c r="J298" s="26">
        <f>IF('DIVA Satislari'!I298="","",'DIVA Satislari'!AR298)</f>
        <v/>
      </c>
      <c r="K298" s="26">
        <f>IF('DIVA Satislari'!I298="","",IFERROR(INDEX('E2E Nakliye Montaj'!$AS$3:$AS$1002,MATCH('DIVA Satislari'!AJ298,'E2E Nakliye Montaj'!$AM$3:$AM$1002,0)),"Eşleşme Yok"))</f>
        <v/>
      </c>
      <c r="L298" s="26">
        <f>IF('DIVA Satislari'!I298="","",IFERROR(INDEX('E2E Nakliye Montaj'!$AT$3:$AT$1002,MATCH('DIVA Satislari'!AJ298,'E2E Nakliye Montaj'!$AM$3:$AM$1002,0)),"Hayır"))</f>
        <v/>
      </c>
      <c r="M298" s="26">
        <f>IF('DIVA Satislari'!I298="","",IFERROR(INDEX('E2E Nakliye Montaj'!$AU$3:$AU$1002,MATCH('DIVA Satislari'!AJ298,'E2E Nakliye Montaj'!$AM$3:$AM$1002,0)),"Hayır"))</f>
        <v/>
      </c>
      <c r="N298" s="27">
        <f>IF('DIVA Satislari'!I298="","",IFERROR(INDEX('E2E Nakliye Montaj'!$AV$3:$AV$1002,MATCH('DIVA Satislari'!AJ298,'E2E Nakliye Montaj'!$AM$3:$AM$1002,0)),""))</f>
        <v/>
      </c>
      <c r="O298" s="26">
        <f>IF(OR(A298="",N298=""),"",IF(N298&lt;=H298,"Evet","HAYIR - RİSK"))</f>
        <v/>
      </c>
      <c r="P298" s="26">
        <f>IF(A298="","",IF(LEFT(J298,8)="Kural A ","Uygun - Hemen Ödenir (Yıl Sonu %75 Kontrolüne Tabi)",IF(OR(L298="Evet",M298="Evet"),IF(O298="Evet","Uygun","RİSK - Hakediş Süresi Aşıldı"),"Bekleniyor - Nakliye/Montaj Tamamlanmadı")))</f>
        <v/>
      </c>
      <c r="Q298" s="28">
        <f>IF(A298="","",SUMIFS('Hakedis Fatura Detay'!$G$3:$G$1200,'Hakedis Fatura Detay'!$H$3:$H$1200,'DIVA Satislari'!AJ298,'Hakedis Fatura Detay'!$F$3:$F$1200,"Fiyat Farkı")+SUMIFS('Hakedis Fatura Detay'!$G$3:$G$1200,'Hakedis Fatura Detay'!$H$3:$H$1200,'DIVA Satislari'!AJ298,'Hakedis Fatura Detay'!$F$3:$F$1200,"Bundle"))</f>
        <v/>
      </c>
      <c r="R298" s="28">
        <f>IF(A298="","",I298-Q298)</f>
        <v/>
      </c>
      <c r="S298" s="26">
        <f>IF(A298="","",IF(LEFT(P298,7)="Bekleni","N/A - Henüz Ödenmemeli",IF(LEFT(P298,4)="RİSK","İNCELEME GEREKLİ - Süre Aşımı",IF(R298=0,"Doğru",IF(R298&gt;0,"EKSİK ÖDENMİŞ","FAZLA ÖDENMİŞ")))))</f>
        <v/>
      </c>
      <c r="T298" s="30">
        <f>IF(A298="","",IF(F298&lt;&gt;"Evet","İNCELEME GEREKLİ - Kampanya Tanımsız",IF(G298&lt;&gt;"Evet","İNCELEME GEREKLİ - Tarih Dışı Satış",IF(LEFT(P298,4)="RİSK","İNCELEME GEREKLİ - Hakediş Süresi Aşıldı",IF(OR(S298="EKSİK ÖDENMİŞ",S298="FAZLA ÖDENMİŞ"),"İNCELEME GEREKLİ - Tutar Uyuşmazlığı",IF(LEFT(P298,7)="Bekleni","Bekleniyor","Uygun"))))))</f>
        <v/>
      </c>
    </row>
    <row r="299">
      <c r="A299" s="26">
        <f>IF('DIVA Satislari'!I299="","",'DIVA Satislari'!I299)</f>
        <v/>
      </c>
      <c r="B299" s="26">
        <f>IF('DIVA Satislari'!I299="","",'DIVA Satislari'!R299)</f>
        <v/>
      </c>
      <c r="C299" s="26">
        <f>IF('DIVA Satislari'!I299="","",'DIVA Satislari'!M299)</f>
        <v/>
      </c>
      <c r="D299" s="27">
        <f>IF('DIVA Satislari'!I299="","",'DIVA Satislari'!H299)</f>
        <v/>
      </c>
      <c r="E299" s="26">
        <f>IF('DIVA Satislari'!I299="","",'DIVA Satislari'!O299)</f>
        <v/>
      </c>
      <c r="F299" s="26">
        <f>IF('DIVA Satislari'!I299="","",'DIVA Satislari'!AK299)</f>
        <v/>
      </c>
      <c r="G299" s="26">
        <f>IF('DIVA Satislari'!I299="","",'DIVA Satislari'!AO299)</f>
        <v/>
      </c>
      <c r="H299" s="27">
        <f>IF('DIVA Satislari'!I299="","",'DIVA Satislari'!AN299)</f>
        <v/>
      </c>
      <c r="I299" s="28">
        <f>IF('DIVA Satislari'!I299="","",'DIVA Satislari'!AQ299)</f>
        <v/>
      </c>
      <c r="J299" s="26">
        <f>IF('DIVA Satislari'!I299="","",'DIVA Satislari'!AR299)</f>
        <v/>
      </c>
      <c r="K299" s="26">
        <f>IF('DIVA Satislari'!I299="","",IFERROR(INDEX('E2E Nakliye Montaj'!$AS$3:$AS$1002,MATCH('DIVA Satislari'!AJ299,'E2E Nakliye Montaj'!$AM$3:$AM$1002,0)),"Eşleşme Yok"))</f>
        <v/>
      </c>
      <c r="L299" s="26">
        <f>IF('DIVA Satislari'!I299="","",IFERROR(INDEX('E2E Nakliye Montaj'!$AT$3:$AT$1002,MATCH('DIVA Satislari'!AJ299,'E2E Nakliye Montaj'!$AM$3:$AM$1002,0)),"Hayır"))</f>
        <v/>
      </c>
      <c r="M299" s="26">
        <f>IF('DIVA Satislari'!I299="","",IFERROR(INDEX('E2E Nakliye Montaj'!$AU$3:$AU$1002,MATCH('DIVA Satislari'!AJ299,'E2E Nakliye Montaj'!$AM$3:$AM$1002,0)),"Hayır"))</f>
        <v/>
      </c>
      <c r="N299" s="27">
        <f>IF('DIVA Satislari'!I299="","",IFERROR(INDEX('E2E Nakliye Montaj'!$AV$3:$AV$1002,MATCH('DIVA Satislari'!AJ299,'E2E Nakliye Montaj'!$AM$3:$AM$1002,0)),""))</f>
        <v/>
      </c>
      <c r="O299" s="26">
        <f>IF(OR(A299="",N299=""),"",IF(N299&lt;=H299,"Evet","HAYIR - RİSK"))</f>
        <v/>
      </c>
      <c r="P299" s="26">
        <f>IF(A299="","",IF(LEFT(J299,8)="Kural A ","Uygun - Hemen Ödenir (Yıl Sonu %75 Kontrolüne Tabi)",IF(OR(L299="Evet",M299="Evet"),IF(O299="Evet","Uygun","RİSK - Hakediş Süresi Aşıldı"),"Bekleniyor - Nakliye/Montaj Tamamlanmadı")))</f>
        <v/>
      </c>
      <c r="Q299" s="28">
        <f>IF(A299="","",SUMIFS('Hakedis Fatura Detay'!$G$3:$G$1200,'Hakedis Fatura Detay'!$H$3:$H$1200,'DIVA Satislari'!AJ299,'Hakedis Fatura Detay'!$F$3:$F$1200,"Fiyat Farkı")+SUMIFS('Hakedis Fatura Detay'!$G$3:$G$1200,'Hakedis Fatura Detay'!$H$3:$H$1200,'DIVA Satislari'!AJ299,'Hakedis Fatura Detay'!$F$3:$F$1200,"Bundle"))</f>
        <v/>
      </c>
      <c r="R299" s="28">
        <f>IF(A299="","",I299-Q299)</f>
        <v/>
      </c>
      <c r="S299" s="26">
        <f>IF(A299="","",IF(LEFT(P299,7)="Bekleni","N/A - Henüz Ödenmemeli",IF(LEFT(P299,4)="RİSK","İNCELEME GEREKLİ - Süre Aşımı",IF(R299=0,"Doğru",IF(R299&gt;0,"EKSİK ÖDENMİŞ","FAZLA ÖDENMİŞ")))))</f>
        <v/>
      </c>
      <c r="T299" s="30">
        <f>IF(A299="","",IF(F299&lt;&gt;"Evet","İNCELEME GEREKLİ - Kampanya Tanımsız",IF(G299&lt;&gt;"Evet","İNCELEME GEREKLİ - Tarih Dışı Satış",IF(LEFT(P299,4)="RİSK","İNCELEME GEREKLİ - Hakediş Süresi Aşıldı",IF(OR(S299="EKSİK ÖDENMİŞ",S299="FAZLA ÖDENMİŞ"),"İNCELEME GEREKLİ - Tutar Uyuşmazlığı",IF(LEFT(P299,7)="Bekleni","Bekleniyor","Uygun"))))))</f>
        <v/>
      </c>
    </row>
    <row r="300">
      <c r="A300" s="26">
        <f>IF('DIVA Satislari'!I300="","",'DIVA Satislari'!I300)</f>
        <v/>
      </c>
      <c r="B300" s="26">
        <f>IF('DIVA Satislari'!I300="","",'DIVA Satislari'!R300)</f>
        <v/>
      </c>
      <c r="C300" s="26">
        <f>IF('DIVA Satislari'!I300="","",'DIVA Satislari'!M300)</f>
        <v/>
      </c>
      <c r="D300" s="27">
        <f>IF('DIVA Satislari'!I300="","",'DIVA Satislari'!H300)</f>
        <v/>
      </c>
      <c r="E300" s="26">
        <f>IF('DIVA Satislari'!I300="","",'DIVA Satislari'!O300)</f>
        <v/>
      </c>
      <c r="F300" s="26">
        <f>IF('DIVA Satislari'!I300="","",'DIVA Satislari'!AK300)</f>
        <v/>
      </c>
      <c r="G300" s="26">
        <f>IF('DIVA Satislari'!I300="","",'DIVA Satislari'!AO300)</f>
        <v/>
      </c>
      <c r="H300" s="27">
        <f>IF('DIVA Satislari'!I300="","",'DIVA Satislari'!AN300)</f>
        <v/>
      </c>
      <c r="I300" s="28">
        <f>IF('DIVA Satislari'!I300="","",'DIVA Satislari'!AQ300)</f>
        <v/>
      </c>
      <c r="J300" s="26">
        <f>IF('DIVA Satislari'!I300="","",'DIVA Satislari'!AR300)</f>
        <v/>
      </c>
      <c r="K300" s="26">
        <f>IF('DIVA Satislari'!I300="","",IFERROR(INDEX('E2E Nakliye Montaj'!$AS$3:$AS$1002,MATCH('DIVA Satislari'!AJ300,'E2E Nakliye Montaj'!$AM$3:$AM$1002,0)),"Eşleşme Yok"))</f>
        <v/>
      </c>
      <c r="L300" s="26">
        <f>IF('DIVA Satislari'!I300="","",IFERROR(INDEX('E2E Nakliye Montaj'!$AT$3:$AT$1002,MATCH('DIVA Satislari'!AJ300,'E2E Nakliye Montaj'!$AM$3:$AM$1002,0)),"Hayır"))</f>
        <v/>
      </c>
      <c r="M300" s="26">
        <f>IF('DIVA Satislari'!I300="","",IFERROR(INDEX('E2E Nakliye Montaj'!$AU$3:$AU$1002,MATCH('DIVA Satislari'!AJ300,'E2E Nakliye Montaj'!$AM$3:$AM$1002,0)),"Hayır"))</f>
        <v/>
      </c>
      <c r="N300" s="27">
        <f>IF('DIVA Satislari'!I300="","",IFERROR(INDEX('E2E Nakliye Montaj'!$AV$3:$AV$1002,MATCH('DIVA Satislari'!AJ300,'E2E Nakliye Montaj'!$AM$3:$AM$1002,0)),""))</f>
        <v/>
      </c>
      <c r="O300" s="26">
        <f>IF(OR(A300="",N300=""),"",IF(N300&lt;=H300,"Evet","HAYIR - RİSK"))</f>
        <v/>
      </c>
      <c r="P300" s="26">
        <f>IF(A300="","",IF(LEFT(J300,8)="Kural A ","Uygun - Hemen Ödenir (Yıl Sonu %75 Kontrolüne Tabi)",IF(OR(L300="Evet",M300="Evet"),IF(O300="Evet","Uygun","RİSK - Hakediş Süresi Aşıldı"),"Bekleniyor - Nakliye/Montaj Tamamlanmadı")))</f>
        <v/>
      </c>
      <c r="Q300" s="28">
        <f>IF(A300="","",SUMIFS('Hakedis Fatura Detay'!$G$3:$G$1200,'Hakedis Fatura Detay'!$H$3:$H$1200,'DIVA Satislari'!AJ300,'Hakedis Fatura Detay'!$F$3:$F$1200,"Fiyat Farkı")+SUMIFS('Hakedis Fatura Detay'!$G$3:$G$1200,'Hakedis Fatura Detay'!$H$3:$H$1200,'DIVA Satislari'!AJ300,'Hakedis Fatura Detay'!$F$3:$F$1200,"Bundle"))</f>
        <v/>
      </c>
      <c r="R300" s="28">
        <f>IF(A300="","",I300-Q300)</f>
        <v/>
      </c>
      <c r="S300" s="26">
        <f>IF(A300="","",IF(LEFT(P300,7)="Bekleni","N/A - Henüz Ödenmemeli",IF(LEFT(P300,4)="RİSK","İNCELEME GEREKLİ - Süre Aşımı",IF(R300=0,"Doğru",IF(R300&gt;0,"EKSİK ÖDENMİŞ","FAZLA ÖDENMİŞ")))))</f>
        <v/>
      </c>
      <c r="T300" s="30">
        <f>IF(A300="","",IF(F300&lt;&gt;"Evet","İNCELEME GEREKLİ - Kampanya Tanımsız",IF(G300&lt;&gt;"Evet","İNCELEME GEREKLİ - Tarih Dışı Satış",IF(LEFT(P300,4)="RİSK","İNCELEME GEREKLİ - Hakediş Süresi Aşıldı",IF(OR(S300="EKSİK ÖDENMİŞ",S300="FAZLA ÖDENMİŞ"),"İNCELEME GEREKLİ - Tutar Uyuşmazlığı",IF(LEFT(P300,7)="Bekleni","Bekleniyor","Uygun"))))))</f>
        <v/>
      </c>
    </row>
    <row r="301">
      <c r="A301" s="26">
        <f>IF('DIVA Satislari'!I301="","",'DIVA Satislari'!I301)</f>
        <v/>
      </c>
      <c r="B301" s="26">
        <f>IF('DIVA Satislari'!I301="","",'DIVA Satislari'!R301)</f>
        <v/>
      </c>
      <c r="C301" s="26">
        <f>IF('DIVA Satislari'!I301="","",'DIVA Satislari'!M301)</f>
        <v/>
      </c>
      <c r="D301" s="27">
        <f>IF('DIVA Satislari'!I301="","",'DIVA Satislari'!H301)</f>
        <v/>
      </c>
      <c r="E301" s="26">
        <f>IF('DIVA Satislari'!I301="","",'DIVA Satislari'!O301)</f>
        <v/>
      </c>
      <c r="F301" s="26">
        <f>IF('DIVA Satislari'!I301="","",'DIVA Satislari'!AK301)</f>
        <v/>
      </c>
      <c r="G301" s="26">
        <f>IF('DIVA Satislari'!I301="","",'DIVA Satislari'!AO301)</f>
        <v/>
      </c>
      <c r="H301" s="27">
        <f>IF('DIVA Satislari'!I301="","",'DIVA Satislari'!AN301)</f>
        <v/>
      </c>
      <c r="I301" s="28">
        <f>IF('DIVA Satislari'!I301="","",'DIVA Satislari'!AQ301)</f>
        <v/>
      </c>
      <c r="J301" s="26">
        <f>IF('DIVA Satislari'!I301="","",'DIVA Satislari'!AR301)</f>
        <v/>
      </c>
      <c r="K301" s="26">
        <f>IF('DIVA Satislari'!I301="","",IFERROR(INDEX('E2E Nakliye Montaj'!$AS$3:$AS$1002,MATCH('DIVA Satislari'!AJ301,'E2E Nakliye Montaj'!$AM$3:$AM$1002,0)),"Eşleşme Yok"))</f>
        <v/>
      </c>
      <c r="L301" s="26">
        <f>IF('DIVA Satislari'!I301="","",IFERROR(INDEX('E2E Nakliye Montaj'!$AT$3:$AT$1002,MATCH('DIVA Satislari'!AJ301,'E2E Nakliye Montaj'!$AM$3:$AM$1002,0)),"Hayır"))</f>
        <v/>
      </c>
      <c r="M301" s="26">
        <f>IF('DIVA Satislari'!I301="","",IFERROR(INDEX('E2E Nakliye Montaj'!$AU$3:$AU$1002,MATCH('DIVA Satislari'!AJ301,'E2E Nakliye Montaj'!$AM$3:$AM$1002,0)),"Hayır"))</f>
        <v/>
      </c>
      <c r="N301" s="27">
        <f>IF('DIVA Satislari'!I301="","",IFERROR(INDEX('E2E Nakliye Montaj'!$AV$3:$AV$1002,MATCH('DIVA Satislari'!AJ301,'E2E Nakliye Montaj'!$AM$3:$AM$1002,0)),""))</f>
        <v/>
      </c>
      <c r="O301" s="26">
        <f>IF(OR(A301="",N301=""),"",IF(N301&lt;=H301,"Evet","HAYIR - RİSK"))</f>
        <v/>
      </c>
      <c r="P301" s="26">
        <f>IF(A301="","",IF(LEFT(J301,8)="Kural A ","Uygun - Hemen Ödenir (Yıl Sonu %75 Kontrolüne Tabi)",IF(OR(L301="Evet",M301="Evet"),IF(O301="Evet","Uygun","RİSK - Hakediş Süresi Aşıldı"),"Bekleniyor - Nakliye/Montaj Tamamlanmadı")))</f>
        <v/>
      </c>
      <c r="Q301" s="28">
        <f>IF(A301="","",SUMIFS('Hakedis Fatura Detay'!$G$3:$G$1200,'Hakedis Fatura Detay'!$H$3:$H$1200,'DIVA Satislari'!AJ301,'Hakedis Fatura Detay'!$F$3:$F$1200,"Fiyat Farkı")+SUMIFS('Hakedis Fatura Detay'!$G$3:$G$1200,'Hakedis Fatura Detay'!$H$3:$H$1200,'DIVA Satislari'!AJ301,'Hakedis Fatura Detay'!$F$3:$F$1200,"Bundle"))</f>
        <v/>
      </c>
      <c r="R301" s="28">
        <f>IF(A301="","",I301-Q301)</f>
        <v/>
      </c>
      <c r="S301" s="26">
        <f>IF(A301="","",IF(LEFT(P301,7)="Bekleni","N/A - Henüz Ödenmemeli",IF(LEFT(P301,4)="RİSK","İNCELEME GEREKLİ - Süre Aşımı",IF(R301=0,"Doğru",IF(R301&gt;0,"EKSİK ÖDENMİŞ","FAZLA ÖDENMİŞ")))))</f>
        <v/>
      </c>
      <c r="T301" s="30">
        <f>IF(A301="","",IF(F301&lt;&gt;"Evet","İNCELEME GEREKLİ - Kampanya Tanımsız",IF(G301&lt;&gt;"Evet","İNCELEME GEREKLİ - Tarih Dışı Satış",IF(LEFT(P301,4)="RİSK","İNCELEME GEREKLİ - Hakediş Süresi Aşıldı",IF(OR(S301="EKSİK ÖDENMİŞ",S301="FAZLA ÖDENMİŞ"),"İNCELEME GEREKLİ - Tutar Uyuşmazlığı",IF(LEFT(P301,7)="Bekleni","Bekleniyor","Uygun"))))))</f>
        <v/>
      </c>
    </row>
    <row r="302">
      <c r="A302" s="26">
        <f>IF('DIVA Satislari'!I302="","",'DIVA Satislari'!I302)</f>
        <v/>
      </c>
      <c r="B302" s="26">
        <f>IF('DIVA Satislari'!I302="","",'DIVA Satislari'!R302)</f>
        <v/>
      </c>
      <c r="C302" s="26">
        <f>IF('DIVA Satislari'!I302="","",'DIVA Satislari'!M302)</f>
        <v/>
      </c>
      <c r="D302" s="27">
        <f>IF('DIVA Satislari'!I302="","",'DIVA Satislari'!H302)</f>
        <v/>
      </c>
      <c r="E302" s="26">
        <f>IF('DIVA Satislari'!I302="","",'DIVA Satislari'!O302)</f>
        <v/>
      </c>
      <c r="F302" s="26">
        <f>IF('DIVA Satislari'!I302="","",'DIVA Satislari'!AK302)</f>
        <v/>
      </c>
      <c r="G302" s="26">
        <f>IF('DIVA Satislari'!I302="","",'DIVA Satislari'!AO302)</f>
        <v/>
      </c>
      <c r="H302" s="27">
        <f>IF('DIVA Satislari'!I302="","",'DIVA Satislari'!AN302)</f>
        <v/>
      </c>
      <c r="I302" s="28">
        <f>IF('DIVA Satislari'!I302="","",'DIVA Satislari'!AQ302)</f>
        <v/>
      </c>
      <c r="J302" s="26">
        <f>IF('DIVA Satislari'!I302="","",'DIVA Satislari'!AR302)</f>
        <v/>
      </c>
      <c r="K302" s="26">
        <f>IF('DIVA Satislari'!I302="","",IFERROR(INDEX('E2E Nakliye Montaj'!$AS$3:$AS$1002,MATCH('DIVA Satislari'!AJ302,'E2E Nakliye Montaj'!$AM$3:$AM$1002,0)),"Eşleşme Yok"))</f>
        <v/>
      </c>
      <c r="L302" s="26">
        <f>IF('DIVA Satislari'!I302="","",IFERROR(INDEX('E2E Nakliye Montaj'!$AT$3:$AT$1002,MATCH('DIVA Satislari'!AJ302,'E2E Nakliye Montaj'!$AM$3:$AM$1002,0)),"Hayır"))</f>
        <v/>
      </c>
      <c r="M302" s="26">
        <f>IF('DIVA Satislari'!I302="","",IFERROR(INDEX('E2E Nakliye Montaj'!$AU$3:$AU$1002,MATCH('DIVA Satislari'!AJ302,'E2E Nakliye Montaj'!$AM$3:$AM$1002,0)),"Hayır"))</f>
        <v/>
      </c>
      <c r="N302" s="27">
        <f>IF('DIVA Satislari'!I302="","",IFERROR(INDEX('E2E Nakliye Montaj'!$AV$3:$AV$1002,MATCH('DIVA Satislari'!AJ302,'E2E Nakliye Montaj'!$AM$3:$AM$1002,0)),""))</f>
        <v/>
      </c>
      <c r="O302" s="26">
        <f>IF(OR(A302="",N302=""),"",IF(N302&lt;=H302,"Evet","HAYIR - RİSK"))</f>
        <v/>
      </c>
      <c r="P302" s="26">
        <f>IF(A302="","",IF(LEFT(J302,8)="Kural A ","Uygun - Hemen Ödenir (Yıl Sonu %75 Kontrolüne Tabi)",IF(OR(L302="Evet",M302="Evet"),IF(O302="Evet","Uygun","RİSK - Hakediş Süresi Aşıldı"),"Bekleniyor - Nakliye/Montaj Tamamlanmadı")))</f>
        <v/>
      </c>
      <c r="Q302" s="28">
        <f>IF(A302="","",SUMIFS('Hakedis Fatura Detay'!$G$3:$G$1200,'Hakedis Fatura Detay'!$H$3:$H$1200,'DIVA Satislari'!AJ302,'Hakedis Fatura Detay'!$F$3:$F$1200,"Fiyat Farkı")+SUMIFS('Hakedis Fatura Detay'!$G$3:$G$1200,'Hakedis Fatura Detay'!$H$3:$H$1200,'DIVA Satislari'!AJ302,'Hakedis Fatura Detay'!$F$3:$F$1200,"Bundle"))</f>
        <v/>
      </c>
      <c r="R302" s="28">
        <f>IF(A302="","",I302-Q302)</f>
        <v/>
      </c>
      <c r="S302" s="26">
        <f>IF(A302="","",IF(LEFT(P302,7)="Bekleni","N/A - Henüz Ödenmemeli",IF(LEFT(P302,4)="RİSK","İNCELEME GEREKLİ - Süre Aşımı",IF(R302=0,"Doğru",IF(R302&gt;0,"EKSİK ÖDENMİŞ","FAZLA ÖDENMİŞ")))))</f>
        <v/>
      </c>
      <c r="T302" s="30">
        <f>IF(A302="","",IF(F302&lt;&gt;"Evet","İNCELEME GEREKLİ - Kampanya Tanımsız",IF(G302&lt;&gt;"Evet","İNCELEME GEREKLİ - Tarih Dışı Satış",IF(LEFT(P302,4)="RİSK","İNCELEME GEREKLİ - Hakediş Süresi Aşıldı",IF(OR(S302="EKSİK ÖDENMİŞ",S302="FAZLA ÖDENMİŞ"),"İNCELEME GEREKLİ - Tutar Uyuşmazlığı",IF(LEFT(P302,7)="Bekleni","Bekleniyor","Uygun"))))))</f>
        <v/>
      </c>
    </row>
    <row r="303">
      <c r="A303" s="26">
        <f>IF('DIVA Satislari'!I303="","",'DIVA Satislari'!I303)</f>
        <v/>
      </c>
      <c r="B303" s="26">
        <f>IF('DIVA Satislari'!I303="","",'DIVA Satislari'!R303)</f>
        <v/>
      </c>
      <c r="C303" s="26">
        <f>IF('DIVA Satislari'!I303="","",'DIVA Satislari'!M303)</f>
        <v/>
      </c>
      <c r="D303" s="27">
        <f>IF('DIVA Satislari'!I303="","",'DIVA Satislari'!H303)</f>
        <v/>
      </c>
      <c r="E303" s="26">
        <f>IF('DIVA Satislari'!I303="","",'DIVA Satislari'!O303)</f>
        <v/>
      </c>
      <c r="F303" s="26">
        <f>IF('DIVA Satislari'!I303="","",'DIVA Satislari'!AK303)</f>
        <v/>
      </c>
      <c r="G303" s="26">
        <f>IF('DIVA Satislari'!I303="","",'DIVA Satislari'!AO303)</f>
        <v/>
      </c>
      <c r="H303" s="27">
        <f>IF('DIVA Satislari'!I303="","",'DIVA Satislari'!AN303)</f>
        <v/>
      </c>
      <c r="I303" s="28">
        <f>IF('DIVA Satislari'!I303="","",'DIVA Satislari'!AQ303)</f>
        <v/>
      </c>
      <c r="J303" s="26">
        <f>IF('DIVA Satislari'!I303="","",'DIVA Satislari'!AR303)</f>
        <v/>
      </c>
      <c r="K303" s="26">
        <f>IF('DIVA Satislari'!I303="","",IFERROR(INDEX('E2E Nakliye Montaj'!$AS$3:$AS$1002,MATCH('DIVA Satislari'!AJ303,'E2E Nakliye Montaj'!$AM$3:$AM$1002,0)),"Eşleşme Yok"))</f>
        <v/>
      </c>
      <c r="L303" s="26">
        <f>IF('DIVA Satislari'!I303="","",IFERROR(INDEX('E2E Nakliye Montaj'!$AT$3:$AT$1002,MATCH('DIVA Satislari'!AJ303,'E2E Nakliye Montaj'!$AM$3:$AM$1002,0)),"Hayır"))</f>
        <v/>
      </c>
      <c r="M303" s="26">
        <f>IF('DIVA Satislari'!I303="","",IFERROR(INDEX('E2E Nakliye Montaj'!$AU$3:$AU$1002,MATCH('DIVA Satislari'!AJ303,'E2E Nakliye Montaj'!$AM$3:$AM$1002,0)),"Hayır"))</f>
        <v/>
      </c>
      <c r="N303" s="27">
        <f>IF('DIVA Satislari'!I303="","",IFERROR(INDEX('E2E Nakliye Montaj'!$AV$3:$AV$1002,MATCH('DIVA Satislari'!AJ303,'E2E Nakliye Montaj'!$AM$3:$AM$1002,0)),""))</f>
        <v/>
      </c>
      <c r="O303" s="26">
        <f>IF(OR(A303="",N303=""),"",IF(N303&lt;=H303,"Evet","HAYIR - RİSK"))</f>
        <v/>
      </c>
      <c r="P303" s="26">
        <f>IF(A303="","",IF(LEFT(J303,8)="Kural A ","Uygun - Hemen Ödenir (Yıl Sonu %75 Kontrolüne Tabi)",IF(OR(L303="Evet",M303="Evet"),IF(O303="Evet","Uygun","RİSK - Hakediş Süresi Aşıldı"),"Bekleniyor - Nakliye/Montaj Tamamlanmadı")))</f>
        <v/>
      </c>
      <c r="Q303" s="28">
        <f>IF(A303="","",SUMIFS('Hakedis Fatura Detay'!$G$3:$G$1200,'Hakedis Fatura Detay'!$H$3:$H$1200,'DIVA Satislari'!AJ303,'Hakedis Fatura Detay'!$F$3:$F$1200,"Fiyat Farkı")+SUMIFS('Hakedis Fatura Detay'!$G$3:$G$1200,'Hakedis Fatura Detay'!$H$3:$H$1200,'DIVA Satislari'!AJ303,'Hakedis Fatura Detay'!$F$3:$F$1200,"Bundle"))</f>
        <v/>
      </c>
      <c r="R303" s="28">
        <f>IF(A303="","",I303-Q303)</f>
        <v/>
      </c>
      <c r="S303" s="26">
        <f>IF(A303="","",IF(LEFT(P303,7)="Bekleni","N/A - Henüz Ödenmemeli",IF(LEFT(P303,4)="RİSK","İNCELEME GEREKLİ - Süre Aşımı",IF(R303=0,"Doğru",IF(R303&gt;0,"EKSİK ÖDENMİŞ","FAZLA ÖDENMİŞ")))))</f>
        <v/>
      </c>
      <c r="T303" s="30">
        <f>IF(A303="","",IF(F303&lt;&gt;"Evet","İNCELEME GEREKLİ - Kampanya Tanımsız",IF(G303&lt;&gt;"Evet","İNCELEME GEREKLİ - Tarih Dışı Satış",IF(LEFT(P303,4)="RİSK","İNCELEME GEREKLİ - Hakediş Süresi Aşıldı",IF(OR(S303="EKSİK ÖDENMİŞ",S303="FAZLA ÖDENMİŞ"),"İNCELEME GEREKLİ - Tutar Uyuşmazlığı",IF(LEFT(P303,7)="Bekleni","Bekleniyor","Uygun"))))))</f>
        <v/>
      </c>
    </row>
    <row r="304">
      <c r="A304" s="26">
        <f>IF('DIVA Satislari'!I304="","",'DIVA Satislari'!I304)</f>
        <v/>
      </c>
      <c r="B304" s="26">
        <f>IF('DIVA Satislari'!I304="","",'DIVA Satislari'!R304)</f>
        <v/>
      </c>
      <c r="C304" s="26">
        <f>IF('DIVA Satislari'!I304="","",'DIVA Satislari'!M304)</f>
        <v/>
      </c>
      <c r="D304" s="27">
        <f>IF('DIVA Satislari'!I304="","",'DIVA Satislari'!H304)</f>
        <v/>
      </c>
      <c r="E304" s="26">
        <f>IF('DIVA Satislari'!I304="","",'DIVA Satislari'!O304)</f>
        <v/>
      </c>
      <c r="F304" s="26">
        <f>IF('DIVA Satislari'!I304="","",'DIVA Satislari'!AK304)</f>
        <v/>
      </c>
      <c r="G304" s="26">
        <f>IF('DIVA Satislari'!I304="","",'DIVA Satislari'!AO304)</f>
        <v/>
      </c>
      <c r="H304" s="27">
        <f>IF('DIVA Satislari'!I304="","",'DIVA Satislari'!AN304)</f>
        <v/>
      </c>
      <c r="I304" s="28">
        <f>IF('DIVA Satislari'!I304="","",'DIVA Satislari'!AQ304)</f>
        <v/>
      </c>
      <c r="J304" s="26">
        <f>IF('DIVA Satislari'!I304="","",'DIVA Satislari'!AR304)</f>
        <v/>
      </c>
      <c r="K304" s="26">
        <f>IF('DIVA Satislari'!I304="","",IFERROR(INDEX('E2E Nakliye Montaj'!$AS$3:$AS$1002,MATCH('DIVA Satislari'!AJ304,'E2E Nakliye Montaj'!$AM$3:$AM$1002,0)),"Eşleşme Yok"))</f>
        <v/>
      </c>
      <c r="L304" s="26">
        <f>IF('DIVA Satislari'!I304="","",IFERROR(INDEX('E2E Nakliye Montaj'!$AT$3:$AT$1002,MATCH('DIVA Satislari'!AJ304,'E2E Nakliye Montaj'!$AM$3:$AM$1002,0)),"Hayır"))</f>
        <v/>
      </c>
      <c r="M304" s="26">
        <f>IF('DIVA Satislari'!I304="","",IFERROR(INDEX('E2E Nakliye Montaj'!$AU$3:$AU$1002,MATCH('DIVA Satislari'!AJ304,'E2E Nakliye Montaj'!$AM$3:$AM$1002,0)),"Hayır"))</f>
        <v/>
      </c>
      <c r="N304" s="27">
        <f>IF('DIVA Satislari'!I304="","",IFERROR(INDEX('E2E Nakliye Montaj'!$AV$3:$AV$1002,MATCH('DIVA Satislari'!AJ304,'E2E Nakliye Montaj'!$AM$3:$AM$1002,0)),""))</f>
        <v/>
      </c>
      <c r="O304" s="26">
        <f>IF(OR(A304="",N304=""),"",IF(N304&lt;=H304,"Evet","HAYIR - RİSK"))</f>
        <v/>
      </c>
      <c r="P304" s="26">
        <f>IF(A304="","",IF(LEFT(J304,8)="Kural A ","Uygun - Hemen Ödenir (Yıl Sonu %75 Kontrolüne Tabi)",IF(OR(L304="Evet",M304="Evet"),IF(O304="Evet","Uygun","RİSK - Hakediş Süresi Aşıldı"),"Bekleniyor - Nakliye/Montaj Tamamlanmadı")))</f>
        <v/>
      </c>
      <c r="Q304" s="28">
        <f>IF(A304="","",SUMIFS('Hakedis Fatura Detay'!$G$3:$G$1200,'Hakedis Fatura Detay'!$H$3:$H$1200,'DIVA Satislari'!AJ304,'Hakedis Fatura Detay'!$F$3:$F$1200,"Fiyat Farkı")+SUMIFS('Hakedis Fatura Detay'!$G$3:$G$1200,'Hakedis Fatura Detay'!$H$3:$H$1200,'DIVA Satislari'!AJ304,'Hakedis Fatura Detay'!$F$3:$F$1200,"Bundle"))</f>
        <v/>
      </c>
      <c r="R304" s="28">
        <f>IF(A304="","",I304-Q304)</f>
        <v/>
      </c>
      <c r="S304" s="26">
        <f>IF(A304="","",IF(LEFT(P304,7)="Bekleni","N/A - Henüz Ödenmemeli",IF(LEFT(P304,4)="RİSK","İNCELEME GEREKLİ - Süre Aşımı",IF(R304=0,"Doğru",IF(R304&gt;0,"EKSİK ÖDENMİŞ","FAZLA ÖDENMİŞ")))))</f>
        <v/>
      </c>
      <c r="T304" s="30">
        <f>IF(A304="","",IF(F304&lt;&gt;"Evet","İNCELEME GEREKLİ - Kampanya Tanımsız",IF(G304&lt;&gt;"Evet","İNCELEME GEREKLİ - Tarih Dışı Satış",IF(LEFT(P304,4)="RİSK","İNCELEME GEREKLİ - Hakediş Süresi Aşıldı",IF(OR(S304="EKSİK ÖDENMİŞ",S304="FAZLA ÖDENMİŞ"),"İNCELEME GEREKLİ - Tutar Uyuşmazlığı",IF(LEFT(P304,7)="Bekleni","Bekleniyor","Uygun"))))))</f>
        <v/>
      </c>
    </row>
    <row r="305">
      <c r="A305" s="26">
        <f>IF('DIVA Satislari'!I305="","",'DIVA Satislari'!I305)</f>
        <v/>
      </c>
      <c r="B305" s="26">
        <f>IF('DIVA Satislari'!I305="","",'DIVA Satislari'!R305)</f>
        <v/>
      </c>
      <c r="C305" s="26">
        <f>IF('DIVA Satislari'!I305="","",'DIVA Satislari'!M305)</f>
        <v/>
      </c>
      <c r="D305" s="27">
        <f>IF('DIVA Satislari'!I305="","",'DIVA Satislari'!H305)</f>
        <v/>
      </c>
      <c r="E305" s="26">
        <f>IF('DIVA Satislari'!I305="","",'DIVA Satislari'!O305)</f>
        <v/>
      </c>
      <c r="F305" s="26">
        <f>IF('DIVA Satislari'!I305="","",'DIVA Satislari'!AK305)</f>
        <v/>
      </c>
      <c r="G305" s="26">
        <f>IF('DIVA Satislari'!I305="","",'DIVA Satislari'!AO305)</f>
        <v/>
      </c>
      <c r="H305" s="27">
        <f>IF('DIVA Satislari'!I305="","",'DIVA Satislari'!AN305)</f>
        <v/>
      </c>
      <c r="I305" s="28">
        <f>IF('DIVA Satislari'!I305="","",'DIVA Satislari'!AQ305)</f>
        <v/>
      </c>
      <c r="J305" s="26">
        <f>IF('DIVA Satislari'!I305="","",'DIVA Satislari'!AR305)</f>
        <v/>
      </c>
      <c r="K305" s="26">
        <f>IF('DIVA Satislari'!I305="","",IFERROR(INDEX('E2E Nakliye Montaj'!$AS$3:$AS$1002,MATCH('DIVA Satislari'!AJ305,'E2E Nakliye Montaj'!$AM$3:$AM$1002,0)),"Eşleşme Yok"))</f>
        <v/>
      </c>
      <c r="L305" s="26">
        <f>IF('DIVA Satislari'!I305="","",IFERROR(INDEX('E2E Nakliye Montaj'!$AT$3:$AT$1002,MATCH('DIVA Satislari'!AJ305,'E2E Nakliye Montaj'!$AM$3:$AM$1002,0)),"Hayır"))</f>
        <v/>
      </c>
      <c r="M305" s="26">
        <f>IF('DIVA Satislari'!I305="","",IFERROR(INDEX('E2E Nakliye Montaj'!$AU$3:$AU$1002,MATCH('DIVA Satislari'!AJ305,'E2E Nakliye Montaj'!$AM$3:$AM$1002,0)),"Hayır"))</f>
        <v/>
      </c>
      <c r="N305" s="27">
        <f>IF('DIVA Satislari'!I305="","",IFERROR(INDEX('E2E Nakliye Montaj'!$AV$3:$AV$1002,MATCH('DIVA Satislari'!AJ305,'E2E Nakliye Montaj'!$AM$3:$AM$1002,0)),""))</f>
        <v/>
      </c>
      <c r="O305" s="26">
        <f>IF(OR(A305="",N305=""),"",IF(N305&lt;=H305,"Evet","HAYIR - RİSK"))</f>
        <v/>
      </c>
      <c r="P305" s="26">
        <f>IF(A305="","",IF(LEFT(J305,8)="Kural A ","Uygun - Hemen Ödenir (Yıl Sonu %75 Kontrolüne Tabi)",IF(OR(L305="Evet",M305="Evet"),IF(O305="Evet","Uygun","RİSK - Hakediş Süresi Aşıldı"),"Bekleniyor - Nakliye/Montaj Tamamlanmadı")))</f>
        <v/>
      </c>
      <c r="Q305" s="28">
        <f>IF(A305="","",SUMIFS('Hakedis Fatura Detay'!$G$3:$G$1200,'Hakedis Fatura Detay'!$H$3:$H$1200,'DIVA Satislari'!AJ305,'Hakedis Fatura Detay'!$F$3:$F$1200,"Fiyat Farkı")+SUMIFS('Hakedis Fatura Detay'!$G$3:$G$1200,'Hakedis Fatura Detay'!$H$3:$H$1200,'DIVA Satislari'!AJ305,'Hakedis Fatura Detay'!$F$3:$F$1200,"Bundle"))</f>
        <v/>
      </c>
      <c r="R305" s="28">
        <f>IF(A305="","",I305-Q305)</f>
        <v/>
      </c>
      <c r="S305" s="26">
        <f>IF(A305="","",IF(LEFT(P305,7)="Bekleni","N/A - Henüz Ödenmemeli",IF(LEFT(P305,4)="RİSK","İNCELEME GEREKLİ - Süre Aşımı",IF(R305=0,"Doğru",IF(R305&gt;0,"EKSİK ÖDENMİŞ","FAZLA ÖDENMİŞ")))))</f>
        <v/>
      </c>
      <c r="T305" s="30">
        <f>IF(A305="","",IF(F305&lt;&gt;"Evet","İNCELEME GEREKLİ - Kampanya Tanımsız",IF(G305&lt;&gt;"Evet","İNCELEME GEREKLİ - Tarih Dışı Satış",IF(LEFT(P305,4)="RİSK","İNCELEME GEREKLİ - Hakediş Süresi Aşıldı",IF(OR(S305="EKSİK ÖDENMİŞ",S305="FAZLA ÖDENMİŞ"),"İNCELEME GEREKLİ - Tutar Uyuşmazlığı",IF(LEFT(P305,7)="Bekleni","Bekleniyor","Uygun"))))))</f>
        <v/>
      </c>
    </row>
    <row r="306">
      <c r="A306" s="26">
        <f>IF('DIVA Satislari'!I306="","",'DIVA Satislari'!I306)</f>
        <v/>
      </c>
      <c r="B306" s="26">
        <f>IF('DIVA Satislari'!I306="","",'DIVA Satislari'!R306)</f>
        <v/>
      </c>
      <c r="C306" s="26">
        <f>IF('DIVA Satislari'!I306="","",'DIVA Satislari'!M306)</f>
        <v/>
      </c>
      <c r="D306" s="27">
        <f>IF('DIVA Satislari'!I306="","",'DIVA Satislari'!H306)</f>
        <v/>
      </c>
      <c r="E306" s="26">
        <f>IF('DIVA Satislari'!I306="","",'DIVA Satislari'!O306)</f>
        <v/>
      </c>
      <c r="F306" s="26">
        <f>IF('DIVA Satislari'!I306="","",'DIVA Satislari'!AK306)</f>
        <v/>
      </c>
      <c r="G306" s="26">
        <f>IF('DIVA Satislari'!I306="","",'DIVA Satislari'!AO306)</f>
        <v/>
      </c>
      <c r="H306" s="27">
        <f>IF('DIVA Satislari'!I306="","",'DIVA Satislari'!AN306)</f>
        <v/>
      </c>
      <c r="I306" s="28">
        <f>IF('DIVA Satislari'!I306="","",'DIVA Satislari'!AQ306)</f>
        <v/>
      </c>
      <c r="J306" s="26">
        <f>IF('DIVA Satislari'!I306="","",'DIVA Satislari'!AR306)</f>
        <v/>
      </c>
      <c r="K306" s="26">
        <f>IF('DIVA Satislari'!I306="","",IFERROR(INDEX('E2E Nakliye Montaj'!$AS$3:$AS$1002,MATCH('DIVA Satislari'!AJ306,'E2E Nakliye Montaj'!$AM$3:$AM$1002,0)),"Eşleşme Yok"))</f>
        <v/>
      </c>
      <c r="L306" s="26">
        <f>IF('DIVA Satislari'!I306="","",IFERROR(INDEX('E2E Nakliye Montaj'!$AT$3:$AT$1002,MATCH('DIVA Satislari'!AJ306,'E2E Nakliye Montaj'!$AM$3:$AM$1002,0)),"Hayır"))</f>
        <v/>
      </c>
      <c r="M306" s="26">
        <f>IF('DIVA Satislari'!I306="","",IFERROR(INDEX('E2E Nakliye Montaj'!$AU$3:$AU$1002,MATCH('DIVA Satislari'!AJ306,'E2E Nakliye Montaj'!$AM$3:$AM$1002,0)),"Hayır"))</f>
        <v/>
      </c>
      <c r="N306" s="27">
        <f>IF('DIVA Satislari'!I306="","",IFERROR(INDEX('E2E Nakliye Montaj'!$AV$3:$AV$1002,MATCH('DIVA Satislari'!AJ306,'E2E Nakliye Montaj'!$AM$3:$AM$1002,0)),""))</f>
        <v/>
      </c>
      <c r="O306" s="26">
        <f>IF(OR(A306="",N306=""),"",IF(N306&lt;=H306,"Evet","HAYIR - RİSK"))</f>
        <v/>
      </c>
      <c r="P306" s="26">
        <f>IF(A306="","",IF(LEFT(J306,8)="Kural A ","Uygun - Hemen Ödenir (Yıl Sonu %75 Kontrolüne Tabi)",IF(OR(L306="Evet",M306="Evet"),IF(O306="Evet","Uygun","RİSK - Hakediş Süresi Aşıldı"),"Bekleniyor - Nakliye/Montaj Tamamlanmadı")))</f>
        <v/>
      </c>
      <c r="Q306" s="28">
        <f>IF(A306="","",SUMIFS('Hakedis Fatura Detay'!$G$3:$G$1200,'Hakedis Fatura Detay'!$H$3:$H$1200,'DIVA Satislari'!AJ306,'Hakedis Fatura Detay'!$F$3:$F$1200,"Fiyat Farkı")+SUMIFS('Hakedis Fatura Detay'!$G$3:$G$1200,'Hakedis Fatura Detay'!$H$3:$H$1200,'DIVA Satislari'!AJ306,'Hakedis Fatura Detay'!$F$3:$F$1200,"Bundle"))</f>
        <v/>
      </c>
      <c r="R306" s="28">
        <f>IF(A306="","",I306-Q306)</f>
        <v/>
      </c>
      <c r="S306" s="26">
        <f>IF(A306="","",IF(LEFT(P306,7)="Bekleni","N/A - Henüz Ödenmemeli",IF(LEFT(P306,4)="RİSK","İNCELEME GEREKLİ - Süre Aşımı",IF(R306=0,"Doğru",IF(R306&gt;0,"EKSİK ÖDENMİŞ","FAZLA ÖDENMİŞ")))))</f>
        <v/>
      </c>
      <c r="T306" s="30">
        <f>IF(A306="","",IF(F306&lt;&gt;"Evet","İNCELEME GEREKLİ - Kampanya Tanımsız",IF(G306&lt;&gt;"Evet","İNCELEME GEREKLİ - Tarih Dışı Satış",IF(LEFT(P306,4)="RİSK","İNCELEME GEREKLİ - Hakediş Süresi Aşıldı",IF(OR(S306="EKSİK ÖDENMİŞ",S306="FAZLA ÖDENMİŞ"),"İNCELEME GEREKLİ - Tutar Uyuşmazlığı",IF(LEFT(P306,7)="Bekleni","Bekleniyor","Uygun"))))))</f>
        <v/>
      </c>
    </row>
    <row r="307">
      <c r="A307" s="26">
        <f>IF('DIVA Satislari'!I307="","",'DIVA Satislari'!I307)</f>
        <v/>
      </c>
      <c r="B307" s="26">
        <f>IF('DIVA Satislari'!I307="","",'DIVA Satislari'!R307)</f>
        <v/>
      </c>
      <c r="C307" s="26">
        <f>IF('DIVA Satislari'!I307="","",'DIVA Satislari'!M307)</f>
        <v/>
      </c>
      <c r="D307" s="27">
        <f>IF('DIVA Satislari'!I307="","",'DIVA Satislari'!H307)</f>
        <v/>
      </c>
      <c r="E307" s="26">
        <f>IF('DIVA Satislari'!I307="","",'DIVA Satislari'!O307)</f>
        <v/>
      </c>
      <c r="F307" s="26">
        <f>IF('DIVA Satislari'!I307="","",'DIVA Satislari'!AK307)</f>
        <v/>
      </c>
      <c r="G307" s="26">
        <f>IF('DIVA Satislari'!I307="","",'DIVA Satislari'!AO307)</f>
        <v/>
      </c>
      <c r="H307" s="27">
        <f>IF('DIVA Satislari'!I307="","",'DIVA Satislari'!AN307)</f>
        <v/>
      </c>
      <c r="I307" s="28">
        <f>IF('DIVA Satislari'!I307="","",'DIVA Satislari'!AQ307)</f>
        <v/>
      </c>
      <c r="J307" s="26">
        <f>IF('DIVA Satislari'!I307="","",'DIVA Satislari'!AR307)</f>
        <v/>
      </c>
      <c r="K307" s="26">
        <f>IF('DIVA Satislari'!I307="","",IFERROR(INDEX('E2E Nakliye Montaj'!$AS$3:$AS$1002,MATCH('DIVA Satislari'!AJ307,'E2E Nakliye Montaj'!$AM$3:$AM$1002,0)),"Eşleşme Yok"))</f>
        <v/>
      </c>
      <c r="L307" s="26">
        <f>IF('DIVA Satislari'!I307="","",IFERROR(INDEX('E2E Nakliye Montaj'!$AT$3:$AT$1002,MATCH('DIVA Satislari'!AJ307,'E2E Nakliye Montaj'!$AM$3:$AM$1002,0)),"Hayır"))</f>
        <v/>
      </c>
      <c r="M307" s="26">
        <f>IF('DIVA Satislari'!I307="","",IFERROR(INDEX('E2E Nakliye Montaj'!$AU$3:$AU$1002,MATCH('DIVA Satislari'!AJ307,'E2E Nakliye Montaj'!$AM$3:$AM$1002,0)),"Hayır"))</f>
        <v/>
      </c>
      <c r="N307" s="27">
        <f>IF('DIVA Satislari'!I307="","",IFERROR(INDEX('E2E Nakliye Montaj'!$AV$3:$AV$1002,MATCH('DIVA Satislari'!AJ307,'E2E Nakliye Montaj'!$AM$3:$AM$1002,0)),""))</f>
        <v/>
      </c>
      <c r="O307" s="26">
        <f>IF(OR(A307="",N307=""),"",IF(N307&lt;=H307,"Evet","HAYIR - RİSK"))</f>
        <v/>
      </c>
      <c r="P307" s="26">
        <f>IF(A307="","",IF(LEFT(J307,8)="Kural A ","Uygun - Hemen Ödenir (Yıl Sonu %75 Kontrolüne Tabi)",IF(OR(L307="Evet",M307="Evet"),IF(O307="Evet","Uygun","RİSK - Hakediş Süresi Aşıldı"),"Bekleniyor - Nakliye/Montaj Tamamlanmadı")))</f>
        <v/>
      </c>
      <c r="Q307" s="28">
        <f>IF(A307="","",SUMIFS('Hakedis Fatura Detay'!$G$3:$G$1200,'Hakedis Fatura Detay'!$H$3:$H$1200,'DIVA Satislari'!AJ307,'Hakedis Fatura Detay'!$F$3:$F$1200,"Fiyat Farkı")+SUMIFS('Hakedis Fatura Detay'!$G$3:$G$1200,'Hakedis Fatura Detay'!$H$3:$H$1200,'DIVA Satislari'!AJ307,'Hakedis Fatura Detay'!$F$3:$F$1200,"Bundle"))</f>
        <v/>
      </c>
      <c r="R307" s="28">
        <f>IF(A307="","",I307-Q307)</f>
        <v/>
      </c>
      <c r="S307" s="26">
        <f>IF(A307="","",IF(LEFT(P307,7)="Bekleni","N/A - Henüz Ödenmemeli",IF(LEFT(P307,4)="RİSK","İNCELEME GEREKLİ - Süre Aşımı",IF(R307=0,"Doğru",IF(R307&gt;0,"EKSİK ÖDENMİŞ","FAZLA ÖDENMİŞ")))))</f>
        <v/>
      </c>
      <c r="T307" s="30">
        <f>IF(A307="","",IF(F307&lt;&gt;"Evet","İNCELEME GEREKLİ - Kampanya Tanımsız",IF(G307&lt;&gt;"Evet","İNCELEME GEREKLİ - Tarih Dışı Satış",IF(LEFT(P307,4)="RİSK","İNCELEME GEREKLİ - Hakediş Süresi Aşıldı",IF(OR(S307="EKSİK ÖDENMİŞ",S307="FAZLA ÖDENMİŞ"),"İNCELEME GEREKLİ - Tutar Uyuşmazlığı",IF(LEFT(P307,7)="Bekleni","Bekleniyor","Uygun"))))))</f>
        <v/>
      </c>
    </row>
    <row r="308">
      <c r="A308" s="26">
        <f>IF('DIVA Satislari'!I308="","",'DIVA Satislari'!I308)</f>
        <v/>
      </c>
      <c r="B308" s="26">
        <f>IF('DIVA Satislari'!I308="","",'DIVA Satislari'!R308)</f>
        <v/>
      </c>
      <c r="C308" s="26">
        <f>IF('DIVA Satislari'!I308="","",'DIVA Satislari'!M308)</f>
        <v/>
      </c>
      <c r="D308" s="27">
        <f>IF('DIVA Satislari'!I308="","",'DIVA Satislari'!H308)</f>
        <v/>
      </c>
      <c r="E308" s="26">
        <f>IF('DIVA Satislari'!I308="","",'DIVA Satislari'!O308)</f>
        <v/>
      </c>
      <c r="F308" s="26">
        <f>IF('DIVA Satislari'!I308="","",'DIVA Satislari'!AK308)</f>
        <v/>
      </c>
      <c r="G308" s="26">
        <f>IF('DIVA Satislari'!I308="","",'DIVA Satislari'!AO308)</f>
        <v/>
      </c>
      <c r="H308" s="27">
        <f>IF('DIVA Satislari'!I308="","",'DIVA Satislari'!AN308)</f>
        <v/>
      </c>
      <c r="I308" s="28">
        <f>IF('DIVA Satislari'!I308="","",'DIVA Satislari'!AQ308)</f>
        <v/>
      </c>
      <c r="J308" s="26">
        <f>IF('DIVA Satislari'!I308="","",'DIVA Satislari'!AR308)</f>
        <v/>
      </c>
      <c r="K308" s="26">
        <f>IF('DIVA Satislari'!I308="","",IFERROR(INDEX('E2E Nakliye Montaj'!$AS$3:$AS$1002,MATCH('DIVA Satislari'!AJ308,'E2E Nakliye Montaj'!$AM$3:$AM$1002,0)),"Eşleşme Yok"))</f>
        <v/>
      </c>
      <c r="L308" s="26">
        <f>IF('DIVA Satislari'!I308="","",IFERROR(INDEX('E2E Nakliye Montaj'!$AT$3:$AT$1002,MATCH('DIVA Satislari'!AJ308,'E2E Nakliye Montaj'!$AM$3:$AM$1002,0)),"Hayır"))</f>
        <v/>
      </c>
      <c r="M308" s="26">
        <f>IF('DIVA Satislari'!I308="","",IFERROR(INDEX('E2E Nakliye Montaj'!$AU$3:$AU$1002,MATCH('DIVA Satislari'!AJ308,'E2E Nakliye Montaj'!$AM$3:$AM$1002,0)),"Hayır"))</f>
        <v/>
      </c>
      <c r="N308" s="27">
        <f>IF('DIVA Satislari'!I308="","",IFERROR(INDEX('E2E Nakliye Montaj'!$AV$3:$AV$1002,MATCH('DIVA Satislari'!AJ308,'E2E Nakliye Montaj'!$AM$3:$AM$1002,0)),""))</f>
        <v/>
      </c>
      <c r="O308" s="26">
        <f>IF(OR(A308="",N308=""),"",IF(N308&lt;=H308,"Evet","HAYIR - RİSK"))</f>
        <v/>
      </c>
      <c r="P308" s="26">
        <f>IF(A308="","",IF(LEFT(J308,8)="Kural A ","Uygun - Hemen Ödenir (Yıl Sonu %75 Kontrolüne Tabi)",IF(OR(L308="Evet",M308="Evet"),IF(O308="Evet","Uygun","RİSK - Hakediş Süresi Aşıldı"),"Bekleniyor - Nakliye/Montaj Tamamlanmadı")))</f>
        <v/>
      </c>
      <c r="Q308" s="28">
        <f>IF(A308="","",SUMIFS('Hakedis Fatura Detay'!$G$3:$G$1200,'Hakedis Fatura Detay'!$H$3:$H$1200,'DIVA Satislari'!AJ308,'Hakedis Fatura Detay'!$F$3:$F$1200,"Fiyat Farkı")+SUMIFS('Hakedis Fatura Detay'!$G$3:$G$1200,'Hakedis Fatura Detay'!$H$3:$H$1200,'DIVA Satislari'!AJ308,'Hakedis Fatura Detay'!$F$3:$F$1200,"Bundle"))</f>
        <v/>
      </c>
      <c r="R308" s="28">
        <f>IF(A308="","",I308-Q308)</f>
        <v/>
      </c>
      <c r="S308" s="26">
        <f>IF(A308="","",IF(LEFT(P308,7)="Bekleni","N/A - Henüz Ödenmemeli",IF(LEFT(P308,4)="RİSK","İNCELEME GEREKLİ - Süre Aşımı",IF(R308=0,"Doğru",IF(R308&gt;0,"EKSİK ÖDENMİŞ","FAZLA ÖDENMİŞ")))))</f>
        <v/>
      </c>
      <c r="T308" s="30">
        <f>IF(A308="","",IF(F308&lt;&gt;"Evet","İNCELEME GEREKLİ - Kampanya Tanımsız",IF(G308&lt;&gt;"Evet","İNCELEME GEREKLİ - Tarih Dışı Satış",IF(LEFT(P308,4)="RİSK","İNCELEME GEREKLİ - Hakediş Süresi Aşıldı",IF(OR(S308="EKSİK ÖDENMİŞ",S308="FAZLA ÖDENMİŞ"),"İNCELEME GEREKLİ - Tutar Uyuşmazlığı",IF(LEFT(P308,7)="Bekleni","Bekleniyor","Uygun"))))))</f>
        <v/>
      </c>
    </row>
    <row r="309">
      <c r="A309" s="26">
        <f>IF('DIVA Satislari'!I309="","",'DIVA Satislari'!I309)</f>
        <v/>
      </c>
      <c r="B309" s="26">
        <f>IF('DIVA Satislari'!I309="","",'DIVA Satislari'!R309)</f>
        <v/>
      </c>
      <c r="C309" s="26">
        <f>IF('DIVA Satislari'!I309="","",'DIVA Satislari'!M309)</f>
        <v/>
      </c>
      <c r="D309" s="27">
        <f>IF('DIVA Satislari'!I309="","",'DIVA Satislari'!H309)</f>
        <v/>
      </c>
      <c r="E309" s="26">
        <f>IF('DIVA Satislari'!I309="","",'DIVA Satislari'!O309)</f>
        <v/>
      </c>
      <c r="F309" s="26">
        <f>IF('DIVA Satislari'!I309="","",'DIVA Satislari'!AK309)</f>
        <v/>
      </c>
      <c r="G309" s="26">
        <f>IF('DIVA Satislari'!I309="","",'DIVA Satislari'!AO309)</f>
        <v/>
      </c>
      <c r="H309" s="27">
        <f>IF('DIVA Satislari'!I309="","",'DIVA Satislari'!AN309)</f>
        <v/>
      </c>
      <c r="I309" s="28">
        <f>IF('DIVA Satislari'!I309="","",'DIVA Satislari'!AQ309)</f>
        <v/>
      </c>
      <c r="J309" s="26">
        <f>IF('DIVA Satislari'!I309="","",'DIVA Satislari'!AR309)</f>
        <v/>
      </c>
      <c r="K309" s="26">
        <f>IF('DIVA Satislari'!I309="","",IFERROR(INDEX('E2E Nakliye Montaj'!$AS$3:$AS$1002,MATCH('DIVA Satislari'!AJ309,'E2E Nakliye Montaj'!$AM$3:$AM$1002,0)),"Eşleşme Yok"))</f>
        <v/>
      </c>
      <c r="L309" s="26">
        <f>IF('DIVA Satislari'!I309="","",IFERROR(INDEX('E2E Nakliye Montaj'!$AT$3:$AT$1002,MATCH('DIVA Satislari'!AJ309,'E2E Nakliye Montaj'!$AM$3:$AM$1002,0)),"Hayır"))</f>
        <v/>
      </c>
      <c r="M309" s="26">
        <f>IF('DIVA Satislari'!I309="","",IFERROR(INDEX('E2E Nakliye Montaj'!$AU$3:$AU$1002,MATCH('DIVA Satislari'!AJ309,'E2E Nakliye Montaj'!$AM$3:$AM$1002,0)),"Hayır"))</f>
        <v/>
      </c>
      <c r="N309" s="27">
        <f>IF('DIVA Satislari'!I309="","",IFERROR(INDEX('E2E Nakliye Montaj'!$AV$3:$AV$1002,MATCH('DIVA Satislari'!AJ309,'E2E Nakliye Montaj'!$AM$3:$AM$1002,0)),""))</f>
        <v/>
      </c>
      <c r="O309" s="26">
        <f>IF(OR(A309="",N309=""),"",IF(N309&lt;=H309,"Evet","HAYIR - RİSK"))</f>
        <v/>
      </c>
      <c r="P309" s="26">
        <f>IF(A309="","",IF(LEFT(J309,8)="Kural A ","Uygun - Hemen Ödenir (Yıl Sonu %75 Kontrolüne Tabi)",IF(OR(L309="Evet",M309="Evet"),IF(O309="Evet","Uygun","RİSK - Hakediş Süresi Aşıldı"),"Bekleniyor - Nakliye/Montaj Tamamlanmadı")))</f>
        <v/>
      </c>
      <c r="Q309" s="28">
        <f>IF(A309="","",SUMIFS('Hakedis Fatura Detay'!$G$3:$G$1200,'Hakedis Fatura Detay'!$H$3:$H$1200,'DIVA Satislari'!AJ309,'Hakedis Fatura Detay'!$F$3:$F$1200,"Fiyat Farkı")+SUMIFS('Hakedis Fatura Detay'!$G$3:$G$1200,'Hakedis Fatura Detay'!$H$3:$H$1200,'DIVA Satislari'!AJ309,'Hakedis Fatura Detay'!$F$3:$F$1200,"Bundle"))</f>
        <v/>
      </c>
      <c r="R309" s="28">
        <f>IF(A309="","",I309-Q309)</f>
        <v/>
      </c>
      <c r="S309" s="26">
        <f>IF(A309="","",IF(LEFT(P309,7)="Bekleni","N/A - Henüz Ödenmemeli",IF(LEFT(P309,4)="RİSK","İNCELEME GEREKLİ - Süre Aşımı",IF(R309=0,"Doğru",IF(R309&gt;0,"EKSİK ÖDENMİŞ","FAZLA ÖDENMİŞ")))))</f>
        <v/>
      </c>
      <c r="T309" s="30">
        <f>IF(A309="","",IF(F309&lt;&gt;"Evet","İNCELEME GEREKLİ - Kampanya Tanımsız",IF(G309&lt;&gt;"Evet","İNCELEME GEREKLİ - Tarih Dışı Satış",IF(LEFT(P309,4)="RİSK","İNCELEME GEREKLİ - Hakediş Süresi Aşıldı",IF(OR(S309="EKSİK ÖDENMİŞ",S309="FAZLA ÖDENMİŞ"),"İNCELEME GEREKLİ - Tutar Uyuşmazlığı",IF(LEFT(P309,7)="Bekleni","Bekleniyor","Uygun"))))))</f>
        <v/>
      </c>
    </row>
    <row r="310">
      <c r="A310" s="26">
        <f>IF('DIVA Satislari'!I310="","",'DIVA Satislari'!I310)</f>
        <v/>
      </c>
      <c r="B310" s="26">
        <f>IF('DIVA Satislari'!I310="","",'DIVA Satislari'!R310)</f>
        <v/>
      </c>
      <c r="C310" s="26">
        <f>IF('DIVA Satislari'!I310="","",'DIVA Satislari'!M310)</f>
        <v/>
      </c>
      <c r="D310" s="27">
        <f>IF('DIVA Satislari'!I310="","",'DIVA Satislari'!H310)</f>
        <v/>
      </c>
      <c r="E310" s="26">
        <f>IF('DIVA Satislari'!I310="","",'DIVA Satislari'!O310)</f>
        <v/>
      </c>
      <c r="F310" s="26">
        <f>IF('DIVA Satislari'!I310="","",'DIVA Satislari'!AK310)</f>
        <v/>
      </c>
      <c r="G310" s="26">
        <f>IF('DIVA Satislari'!I310="","",'DIVA Satislari'!AO310)</f>
        <v/>
      </c>
      <c r="H310" s="27">
        <f>IF('DIVA Satislari'!I310="","",'DIVA Satislari'!AN310)</f>
        <v/>
      </c>
      <c r="I310" s="28">
        <f>IF('DIVA Satislari'!I310="","",'DIVA Satislari'!AQ310)</f>
        <v/>
      </c>
      <c r="J310" s="26">
        <f>IF('DIVA Satislari'!I310="","",'DIVA Satislari'!AR310)</f>
        <v/>
      </c>
      <c r="K310" s="26">
        <f>IF('DIVA Satislari'!I310="","",IFERROR(INDEX('E2E Nakliye Montaj'!$AS$3:$AS$1002,MATCH('DIVA Satislari'!AJ310,'E2E Nakliye Montaj'!$AM$3:$AM$1002,0)),"Eşleşme Yok"))</f>
        <v/>
      </c>
      <c r="L310" s="26">
        <f>IF('DIVA Satislari'!I310="","",IFERROR(INDEX('E2E Nakliye Montaj'!$AT$3:$AT$1002,MATCH('DIVA Satislari'!AJ310,'E2E Nakliye Montaj'!$AM$3:$AM$1002,0)),"Hayır"))</f>
        <v/>
      </c>
      <c r="M310" s="26">
        <f>IF('DIVA Satislari'!I310="","",IFERROR(INDEX('E2E Nakliye Montaj'!$AU$3:$AU$1002,MATCH('DIVA Satislari'!AJ310,'E2E Nakliye Montaj'!$AM$3:$AM$1002,0)),"Hayır"))</f>
        <v/>
      </c>
      <c r="N310" s="27">
        <f>IF('DIVA Satislari'!I310="","",IFERROR(INDEX('E2E Nakliye Montaj'!$AV$3:$AV$1002,MATCH('DIVA Satislari'!AJ310,'E2E Nakliye Montaj'!$AM$3:$AM$1002,0)),""))</f>
        <v/>
      </c>
      <c r="O310" s="26">
        <f>IF(OR(A310="",N310=""),"",IF(N310&lt;=H310,"Evet","HAYIR - RİSK"))</f>
        <v/>
      </c>
      <c r="P310" s="26">
        <f>IF(A310="","",IF(LEFT(J310,8)="Kural A ","Uygun - Hemen Ödenir (Yıl Sonu %75 Kontrolüne Tabi)",IF(OR(L310="Evet",M310="Evet"),IF(O310="Evet","Uygun","RİSK - Hakediş Süresi Aşıldı"),"Bekleniyor - Nakliye/Montaj Tamamlanmadı")))</f>
        <v/>
      </c>
      <c r="Q310" s="28">
        <f>IF(A310="","",SUMIFS('Hakedis Fatura Detay'!$G$3:$G$1200,'Hakedis Fatura Detay'!$H$3:$H$1200,'DIVA Satislari'!AJ310,'Hakedis Fatura Detay'!$F$3:$F$1200,"Fiyat Farkı")+SUMIFS('Hakedis Fatura Detay'!$G$3:$G$1200,'Hakedis Fatura Detay'!$H$3:$H$1200,'DIVA Satislari'!AJ310,'Hakedis Fatura Detay'!$F$3:$F$1200,"Bundle"))</f>
        <v/>
      </c>
      <c r="R310" s="28">
        <f>IF(A310="","",I310-Q310)</f>
        <v/>
      </c>
      <c r="S310" s="26">
        <f>IF(A310="","",IF(LEFT(P310,7)="Bekleni","N/A - Henüz Ödenmemeli",IF(LEFT(P310,4)="RİSK","İNCELEME GEREKLİ - Süre Aşımı",IF(R310=0,"Doğru",IF(R310&gt;0,"EKSİK ÖDENMİŞ","FAZLA ÖDENMİŞ")))))</f>
        <v/>
      </c>
      <c r="T310" s="30">
        <f>IF(A310="","",IF(F310&lt;&gt;"Evet","İNCELEME GEREKLİ - Kampanya Tanımsız",IF(G310&lt;&gt;"Evet","İNCELEME GEREKLİ - Tarih Dışı Satış",IF(LEFT(P310,4)="RİSK","İNCELEME GEREKLİ - Hakediş Süresi Aşıldı",IF(OR(S310="EKSİK ÖDENMİŞ",S310="FAZLA ÖDENMİŞ"),"İNCELEME GEREKLİ - Tutar Uyuşmazlığı",IF(LEFT(P310,7)="Bekleni","Bekleniyor","Uygun"))))))</f>
        <v/>
      </c>
    </row>
    <row r="311">
      <c r="A311" s="26">
        <f>IF('DIVA Satislari'!I311="","",'DIVA Satislari'!I311)</f>
        <v/>
      </c>
      <c r="B311" s="26">
        <f>IF('DIVA Satislari'!I311="","",'DIVA Satislari'!R311)</f>
        <v/>
      </c>
      <c r="C311" s="26">
        <f>IF('DIVA Satislari'!I311="","",'DIVA Satislari'!M311)</f>
        <v/>
      </c>
      <c r="D311" s="27">
        <f>IF('DIVA Satislari'!I311="","",'DIVA Satislari'!H311)</f>
        <v/>
      </c>
      <c r="E311" s="26">
        <f>IF('DIVA Satislari'!I311="","",'DIVA Satislari'!O311)</f>
        <v/>
      </c>
      <c r="F311" s="26">
        <f>IF('DIVA Satislari'!I311="","",'DIVA Satislari'!AK311)</f>
        <v/>
      </c>
      <c r="G311" s="26">
        <f>IF('DIVA Satislari'!I311="","",'DIVA Satislari'!AO311)</f>
        <v/>
      </c>
      <c r="H311" s="27">
        <f>IF('DIVA Satislari'!I311="","",'DIVA Satislari'!AN311)</f>
        <v/>
      </c>
      <c r="I311" s="28">
        <f>IF('DIVA Satislari'!I311="","",'DIVA Satislari'!AQ311)</f>
        <v/>
      </c>
      <c r="J311" s="26">
        <f>IF('DIVA Satislari'!I311="","",'DIVA Satislari'!AR311)</f>
        <v/>
      </c>
      <c r="K311" s="26">
        <f>IF('DIVA Satislari'!I311="","",IFERROR(INDEX('E2E Nakliye Montaj'!$AS$3:$AS$1002,MATCH('DIVA Satislari'!AJ311,'E2E Nakliye Montaj'!$AM$3:$AM$1002,0)),"Eşleşme Yok"))</f>
        <v/>
      </c>
      <c r="L311" s="26">
        <f>IF('DIVA Satislari'!I311="","",IFERROR(INDEX('E2E Nakliye Montaj'!$AT$3:$AT$1002,MATCH('DIVA Satislari'!AJ311,'E2E Nakliye Montaj'!$AM$3:$AM$1002,0)),"Hayır"))</f>
        <v/>
      </c>
      <c r="M311" s="26">
        <f>IF('DIVA Satislari'!I311="","",IFERROR(INDEX('E2E Nakliye Montaj'!$AU$3:$AU$1002,MATCH('DIVA Satislari'!AJ311,'E2E Nakliye Montaj'!$AM$3:$AM$1002,0)),"Hayır"))</f>
        <v/>
      </c>
      <c r="N311" s="27">
        <f>IF('DIVA Satislari'!I311="","",IFERROR(INDEX('E2E Nakliye Montaj'!$AV$3:$AV$1002,MATCH('DIVA Satislari'!AJ311,'E2E Nakliye Montaj'!$AM$3:$AM$1002,0)),""))</f>
        <v/>
      </c>
      <c r="O311" s="26">
        <f>IF(OR(A311="",N311=""),"",IF(N311&lt;=H311,"Evet","HAYIR - RİSK"))</f>
        <v/>
      </c>
      <c r="P311" s="26">
        <f>IF(A311="","",IF(LEFT(J311,8)="Kural A ","Uygun - Hemen Ödenir (Yıl Sonu %75 Kontrolüne Tabi)",IF(OR(L311="Evet",M311="Evet"),IF(O311="Evet","Uygun","RİSK - Hakediş Süresi Aşıldı"),"Bekleniyor - Nakliye/Montaj Tamamlanmadı")))</f>
        <v/>
      </c>
      <c r="Q311" s="28">
        <f>IF(A311="","",SUMIFS('Hakedis Fatura Detay'!$G$3:$G$1200,'Hakedis Fatura Detay'!$H$3:$H$1200,'DIVA Satislari'!AJ311,'Hakedis Fatura Detay'!$F$3:$F$1200,"Fiyat Farkı")+SUMIFS('Hakedis Fatura Detay'!$G$3:$G$1200,'Hakedis Fatura Detay'!$H$3:$H$1200,'DIVA Satislari'!AJ311,'Hakedis Fatura Detay'!$F$3:$F$1200,"Bundle"))</f>
        <v/>
      </c>
      <c r="R311" s="28">
        <f>IF(A311="","",I311-Q311)</f>
        <v/>
      </c>
      <c r="S311" s="26">
        <f>IF(A311="","",IF(LEFT(P311,7)="Bekleni","N/A - Henüz Ödenmemeli",IF(LEFT(P311,4)="RİSK","İNCELEME GEREKLİ - Süre Aşımı",IF(R311=0,"Doğru",IF(R311&gt;0,"EKSİK ÖDENMİŞ","FAZLA ÖDENMİŞ")))))</f>
        <v/>
      </c>
      <c r="T311" s="30">
        <f>IF(A311="","",IF(F311&lt;&gt;"Evet","İNCELEME GEREKLİ - Kampanya Tanımsız",IF(G311&lt;&gt;"Evet","İNCELEME GEREKLİ - Tarih Dışı Satış",IF(LEFT(P311,4)="RİSK","İNCELEME GEREKLİ - Hakediş Süresi Aşıldı",IF(OR(S311="EKSİK ÖDENMİŞ",S311="FAZLA ÖDENMİŞ"),"İNCELEME GEREKLİ - Tutar Uyuşmazlığı",IF(LEFT(P311,7)="Bekleni","Bekleniyor","Uygun"))))))</f>
        <v/>
      </c>
    </row>
    <row r="312">
      <c r="A312" s="26">
        <f>IF('DIVA Satislari'!I312="","",'DIVA Satislari'!I312)</f>
        <v/>
      </c>
      <c r="B312" s="26">
        <f>IF('DIVA Satislari'!I312="","",'DIVA Satislari'!R312)</f>
        <v/>
      </c>
      <c r="C312" s="26">
        <f>IF('DIVA Satislari'!I312="","",'DIVA Satislari'!M312)</f>
        <v/>
      </c>
      <c r="D312" s="27">
        <f>IF('DIVA Satislari'!I312="","",'DIVA Satislari'!H312)</f>
        <v/>
      </c>
      <c r="E312" s="26">
        <f>IF('DIVA Satislari'!I312="","",'DIVA Satislari'!O312)</f>
        <v/>
      </c>
      <c r="F312" s="26">
        <f>IF('DIVA Satislari'!I312="","",'DIVA Satislari'!AK312)</f>
        <v/>
      </c>
      <c r="G312" s="26">
        <f>IF('DIVA Satislari'!I312="","",'DIVA Satislari'!AO312)</f>
        <v/>
      </c>
      <c r="H312" s="27">
        <f>IF('DIVA Satislari'!I312="","",'DIVA Satislari'!AN312)</f>
        <v/>
      </c>
      <c r="I312" s="28">
        <f>IF('DIVA Satislari'!I312="","",'DIVA Satislari'!AQ312)</f>
        <v/>
      </c>
      <c r="J312" s="26">
        <f>IF('DIVA Satislari'!I312="","",'DIVA Satislari'!AR312)</f>
        <v/>
      </c>
      <c r="K312" s="26">
        <f>IF('DIVA Satislari'!I312="","",IFERROR(INDEX('E2E Nakliye Montaj'!$AS$3:$AS$1002,MATCH('DIVA Satislari'!AJ312,'E2E Nakliye Montaj'!$AM$3:$AM$1002,0)),"Eşleşme Yok"))</f>
        <v/>
      </c>
      <c r="L312" s="26">
        <f>IF('DIVA Satislari'!I312="","",IFERROR(INDEX('E2E Nakliye Montaj'!$AT$3:$AT$1002,MATCH('DIVA Satislari'!AJ312,'E2E Nakliye Montaj'!$AM$3:$AM$1002,0)),"Hayır"))</f>
        <v/>
      </c>
      <c r="M312" s="26">
        <f>IF('DIVA Satislari'!I312="","",IFERROR(INDEX('E2E Nakliye Montaj'!$AU$3:$AU$1002,MATCH('DIVA Satislari'!AJ312,'E2E Nakliye Montaj'!$AM$3:$AM$1002,0)),"Hayır"))</f>
        <v/>
      </c>
      <c r="N312" s="27">
        <f>IF('DIVA Satislari'!I312="","",IFERROR(INDEX('E2E Nakliye Montaj'!$AV$3:$AV$1002,MATCH('DIVA Satislari'!AJ312,'E2E Nakliye Montaj'!$AM$3:$AM$1002,0)),""))</f>
        <v/>
      </c>
      <c r="O312" s="26">
        <f>IF(OR(A312="",N312=""),"",IF(N312&lt;=H312,"Evet","HAYIR - RİSK"))</f>
        <v/>
      </c>
      <c r="P312" s="26">
        <f>IF(A312="","",IF(LEFT(J312,8)="Kural A ","Uygun - Hemen Ödenir (Yıl Sonu %75 Kontrolüne Tabi)",IF(OR(L312="Evet",M312="Evet"),IF(O312="Evet","Uygun","RİSK - Hakediş Süresi Aşıldı"),"Bekleniyor - Nakliye/Montaj Tamamlanmadı")))</f>
        <v/>
      </c>
      <c r="Q312" s="28">
        <f>IF(A312="","",SUMIFS('Hakedis Fatura Detay'!$G$3:$G$1200,'Hakedis Fatura Detay'!$H$3:$H$1200,'DIVA Satislari'!AJ312,'Hakedis Fatura Detay'!$F$3:$F$1200,"Fiyat Farkı")+SUMIFS('Hakedis Fatura Detay'!$G$3:$G$1200,'Hakedis Fatura Detay'!$H$3:$H$1200,'DIVA Satislari'!AJ312,'Hakedis Fatura Detay'!$F$3:$F$1200,"Bundle"))</f>
        <v/>
      </c>
      <c r="R312" s="28">
        <f>IF(A312="","",I312-Q312)</f>
        <v/>
      </c>
      <c r="S312" s="26">
        <f>IF(A312="","",IF(LEFT(P312,7)="Bekleni","N/A - Henüz Ödenmemeli",IF(LEFT(P312,4)="RİSK","İNCELEME GEREKLİ - Süre Aşımı",IF(R312=0,"Doğru",IF(R312&gt;0,"EKSİK ÖDENMİŞ","FAZLA ÖDENMİŞ")))))</f>
        <v/>
      </c>
      <c r="T312" s="30">
        <f>IF(A312="","",IF(F312&lt;&gt;"Evet","İNCELEME GEREKLİ - Kampanya Tanımsız",IF(G312&lt;&gt;"Evet","İNCELEME GEREKLİ - Tarih Dışı Satış",IF(LEFT(P312,4)="RİSK","İNCELEME GEREKLİ - Hakediş Süresi Aşıldı",IF(OR(S312="EKSİK ÖDENMİŞ",S312="FAZLA ÖDENMİŞ"),"İNCELEME GEREKLİ - Tutar Uyuşmazlığı",IF(LEFT(P312,7)="Bekleni","Bekleniyor","Uygun"))))))</f>
        <v/>
      </c>
    </row>
    <row r="313">
      <c r="A313" s="26">
        <f>IF('DIVA Satislari'!I313="","",'DIVA Satislari'!I313)</f>
        <v/>
      </c>
      <c r="B313" s="26">
        <f>IF('DIVA Satislari'!I313="","",'DIVA Satislari'!R313)</f>
        <v/>
      </c>
      <c r="C313" s="26">
        <f>IF('DIVA Satislari'!I313="","",'DIVA Satislari'!M313)</f>
        <v/>
      </c>
      <c r="D313" s="27">
        <f>IF('DIVA Satislari'!I313="","",'DIVA Satislari'!H313)</f>
        <v/>
      </c>
      <c r="E313" s="26">
        <f>IF('DIVA Satislari'!I313="","",'DIVA Satislari'!O313)</f>
        <v/>
      </c>
      <c r="F313" s="26">
        <f>IF('DIVA Satislari'!I313="","",'DIVA Satislari'!AK313)</f>
        <v/>
      </c>
      <c r="G313" s="26">
        <f>IF('DIVA Satislari'!I313="","",'DIVA Satislari'!AO313)</f>
        <v/>
      </c>
      <c r="H313" s="27">
        <f>IF('DIVA Satislari'!I313="","",'DIVA Satislari'!AN313)</f>
        <v/>
      </c>
      <c r="I313" s="28">
        <f>IF('DIVA Satislari'!I313="","",'DIVA Satislari'!AQ313)</f>
        <v/>
      </c>
      <c r="J313" s="26">
        <f>IF('DIVA Satislari'!I313="","",'DIVA Satislari'!AR313)</f>
        <v/>
      </c>
      <c r="K313" s="26">
        <f>IF('DIVA Satislari'!I313="","",IFERROR(INDEX('E2E Nakliye Montaj'!$AS$3:$AS$1002,MATCH('DIVA Satislari'!AJ313,'E2E Nakliye Montaj'!$AM$3:$AM$1002,0)),"Eşleşme Yok"))</f>
        <v/>
      </c>
      <c r="L313" s="26">
        <f>IF('DIVA Satislari'!I313="","",IFERROR(INDEX('E2E Nakliye Montaj'!$AT$3:$AT$1002,MATCH('DIVA Satislari'!AJ313,'E2E Nakliye Montaj'!$AM$3:$AM$1002,0)),"Hayır"))</f>
        <v/>
      </c>
      <c r="M313" s="26">
        <f>IF('DIVA Satislari'!I313="","",IFERROR(INDEX('E2E Nakliye Montaj'!$AU$3:$AU$1002,MATCH('DIVA Satislari'!AJ313,'E2E Nakliye Montaj'!$AM$3:$AM$1002,0)),"Hayır"))</f>
        <v/>
      </c>
      <c r="N313" s="27">
        <f>IF('DIVA Satislari'!I313="","",IFERROR(INDEX('E2E Nakliye Montaj'!$AV$3:$AV$1002,MATCH('DIVA Satislari'!AJ313,'E2E Nakliye Montaj'!$AM$3:$AM$1002,0)),""))</f>
        <v/>
      </c>
      <c r="O313" s="26">
        <f>IF(OR(A313="",N313=""),"",IF(N313&lt;=H313,"Evet","HAYIR - RİSK"))</f>
        <v/>
      </c>
      <c r="P313" s="26">
        <f>IF(A313="","",IF(LEFT(J313,8)="Kural A ","Uygun - Hemen Ödenir (Yıl Sonu %75 Kontrolüne Tabi)",IF(OR(L313="Evet",M313="Evet"),IF(O313="Evet","Uygun","RİSK - Hakediş Süresi Aşıldı"),"Bekleniyor - Nakliye/Montaj Tamamlanmadı")))</f>
        <v/>
      </c>
      <c r="Q313" s="28">
        <f>IF(A313="","",SUMIFS('Hakedis Fatura Detay'!$G$3:$G$1200,'Hakedis Fatura Detay'!$H$3:$H$1200,'DIVA Satislari'!AJ313,'Hakedis Fatura Detay'!$F$3:$F$1200,"Fiyat Farkı")+SUMIFS('Hakedis Fatura Detay'!$G$3:$G$1200,'Hakedis Fatura Detay'!$H$3:$H$1200,'DIVA Satislari'!AJ313,'Hakedis Fatura Detay'!$F$3:$F$1200,"Bundle"))</f>
        <v/>
      </c>
      <c r="R313" s="28">
        <f>IF(A313="","",I313-Q313)</f>
        <v/>
      </c>
      <c r="S313" s="26">
        <f>IF(A313="","",IF(LEFT(P313,7)="Bekleni","N/A - Henüz Ödenmemeli",IF(LEFT(P313,4)="RİSK","İNCELEME GEREKLİ - Süre Aşımı",IF(R313=0,"Doğru",IF(R313&gt;0,"EKSİK ÖDENMİŞ","FAZLA ÖDENMİŞ")))))</f>
        <v/>
      </c>
      <c r="T313" s="30">
        <f>IF(A313="","",IF(F313&lt;&gt;"Evet","İNCELEME GEREKLİ - Kampanya Tanımsız",IF(G313&lt;&gt;"Evet","İNCELEME GEREKLİ - Tarih Dışı Satış",IF(LEFT(P313,4)="RİSK","İNCELEME GEREKLİ - Hakediş Süresi Aşıldı",IF(OR(S313="EKSİK ÖDENMİŞ",S313="FAZLA ÖDENMİŞ"),"İNCELEME GEREKLİ - Tutar Uyuşmazlığı",IF(LEFT(P313,7)="Bekleni","Bekleniyor","Uygun"))))))</f>
        <v/>
      </c>
    </row>
    <row r="314">
      <c r="A314" s="26">
        <f>IF('DIVA Satislari'!I314="","",'DIVA Satislari'!I314)</f>
        <v/>
      </c>
      <c r="B314" s="26">
        <f>IF('DIVA Satislari'!I314="","",'DIVA Satislari'!R314)</f>
        <v/>
      </c>
      <c r="C314" s="26">
        <f>IF('DIVA Satislari'!I314="","",'DIVA Satislari'!M314)</f>
        <v/>
      </c>
      <c r="D314" s="27">
        <f>IF('DIVA Satislari'!I314="","",'DIVA Satislari'!H314)</f>
        <v/>
      </c>
      <c r="E314" s="26">
        <f>IF('DIVA Satislari'!I314="","",'DIVA Satislari'!O314)</f>
        <v/>
      </c>
      <c r="F314" s="26">
        <f>IF('DIVA Satislari'!I314="","",'DIVA Satislari'!AK314)</f>
        <v/>
      </c>
      <c r="G314" s="26">
        <f>IF('DIVA Satislari'!I314="","",'DIVA Satislari'!AO314)</f>
        <v/>
      </c>
      <c r="H314" s="27">
        <f>IF('DIVA Satislari'!I314="","",'DIVA Satislari'!AN314)</f>
        <v/>
      </c>
      <c r="I314" s="28">
        <f>IF('DIVA Satislari'!I314="","",'DIVA Satislari'!AQ314)</f>
        <v/>
      </c>
      <c r="J314" s="26">
        <f>IF('DIVA Satislari'!I314="","",'DIVA Satislari'!AR314)</f>
        <v/>
      </c>
      <c r="K314" s="26">
        <f>IF('DIVA Satislari'!I314="","",IFERROR(INDEX('E2E Nakliye Montaj'!$AS$3:$AS$1002,MATCH('DIVA Satislari'!AJ314,'E2E Nakliye Montaj'!$AM$3:$AM$1002,0)),"Eşleşme Yok"))</f>
        <v/>
      </c>
      <c r="L314" s="26">
        <f>IF('DIVA Satislari'!I314="","",IFERROR(INDEX('E2E Nakliye Montaj'!$AT$3:$AT$1002,MATCH('DIVA Satislari'!AJ314,'E2E Nakliye Montaj'!$AM$3:$AM$1002,0)),"Hayır"))</f>
        <v/>
      </c>
      <c r="M314" s="26">
        <f>IF('DIVA Satislari'!I314="","",IFERROR(INDEX('E2E Nakliye Montaj'!$AU$3:$AU$1002,MATCH('DIVA Satislari'!AJ314,'E2E Nakliye Montaj'!$AM$3:$AM$1002,0)),"Hayır"))</f>
        <v/>
      </c>
      <c r="N314" s="27">
        <f>IF('DIVA Satislari'!I314="","",IFERROR(INDEX('E2E Nakliye Montaj'!$AV$3:$AV$1002,MATCH('DIVA Satislari'!AJ314,'E2E Nakliye Montaj'!$AM$3:$AM$1002,0)),""))</f>
        <v/>
      </c>
      <c r="O314" s="26">
        <f>IF(OR(A314="",N314=""),"",IF(N314&lt;=H314,"Evet","HAYIR - RİSK"))</f>
        <v/>
      </c>
      <c r="P314" s="26">
        <f>IF(A314="","",IF(LEFT(J314,8)="Kural A ","Uygun - Hemen Ödenir (Yıl Sonu %75 Kontrolüne Tabi)",IF(OR(L314="Evet",M314="Evet"),IF(O314="Evet","Uygun","RİSK - Hakediş Süresi Aşıldı"),"Bekleniyor - Nakliye/Montaj Tamamlanmadı")))</f>
        <v/>
      </c>
      <c r="Q314" s="28">
        <f>IF(A314="","",SUMIFS('Hakedis Fatura Detay'!$G$3:$G$1200,'Hakedis Fatura Detay'!$H$3:$H$1200,'DIVA Satislari'!AJ314,'Hakedis Fatura Detay'!$F$3:$F$1200,"Fiyat Farkı")+SUMIFS('Hakedis Fatura Detay'!$G$3:$G$1200,'Hakedis Fatura Detay'!$H$3:$H$1200,'DIVA Satislari'!AJ314,'Hakedis Fatura Detay'!$F$3:$F$1200,"Bundle"))</f>
        <v/>
      </c>
      <c r="R314" s="28">
        <f>IF(A314="","",I314-Q314)</f>
        <v/>
      </c>
      <c r="S314" s="26">
        <f>IF(A314="","",IF(LEFT(P314,7)="Bekleni","N/A - Henüz Ödenmemeli",IF(LEFT(P314,4)="RİSK","İNCELEME GEREKLİ - Süre Aşımı",IF(R314=0,"Doğru",IF(R314&gt;0,"EKSİK ÖDENMİŞ","FAZLA ÖDENMİŞ")))))</f>
        <v/>
      </c>
      <c r="T314" s="30">
        <f>IF(A314="","",IF(F314&lt;&gt;"Evet","İNCELEME GEREKLİ - Kampanya Tanımsız",IF(G314&lt;&gt;"Evet","İNCELEME GEREKLİ - Tarih Dışı Satış",IF(LEFT(P314,4)="RİSK","İNCELEME GEREKLİ - Hakediş Süresi Aşıldı",IF(OR(S314="EKSİK ÖDENMİŞ",S314="FAZLA ÖDENMİŞ"),"İNCELEME GEREKLİ - Tutar Uyuşmazlığı",IF(LEFT(P314,7)="Bekleni","Bekleniyor","Uygun"))))))</f>
        <v/>
      </c>
    </row>
    <row r="315">
      <c r="A315" s="26">
        <f>IF('DIVA Satislari'!I315="","",'DIVA Satislari'!I315)</f>
        <v/>
      </c>
      <c r="B315" s="26">
        <f>IF('DIVA Satislari'!I315="","",'DIVA Satislari'!R315)</f>
        <v/>
      </c>
      <c r="C315" s="26">
        <f>IF('DIVA Satislari'!I315="","",'DIVA Satislari'!M315)</f>
        <v/>
      </c>
      <c r="D315" s="27">
        <f>IF('DIVA Satislari'!I315="","",'DIVA Satislari'!H315)</f>
        <v/>
      </c>
      <c r="E315" s="26">
        <f>IF('DIVA Satislari'!I315="","",'DIVA Satislari'!O315)</f>
        <v/>
      </c>
      <c r="F315" s="26">
        <f>IF('DIVA Satislari'!I315="","",'DIVA Satislari'!AK315)</f>
        <v/>
      </c>
      <c r="G315" s="26">
        <f>IF('DIVA Satislari'!I315="","",'DIVA Satislari'!AO315)</f>
        <v/>
      </c>
      <c r="H315" s="27">
        <f>IF('DIVA Satislari'!I315="","",'DIVA Satislari'!AN315)</f>
        <v/>
      </c>
      <c r="I315" s="28">
        <f>IF('DIVA Satislari'!I315="","",'DIVA Satislari'!AQ315)</f>
        <v/>
      </c>
      <c r="J315" s="26">
        <f>IF('DIVA Satislari'!I315="","",'DIVA Satislari'!AR315)</f>
        <v/>
      </c>
      <c r="K315" s="26">
        <f>IF('DIVA Satislari'!I315="","",IFERROR(INDEX('E2E Nakliye Montaj'!$AS$3:$AS$1002,MATCH('DIVA Satislari'!AJ315,'E2E Nakliye Montaj'!$AM$3:$AM$1002,0)),"Eşleşme Yok"))</f>
        <v/>
      </c>
      <c r="L315" s="26">
        <f>IF('DIVA Satislari'!I315="","",IFERROR(INDEX('E2E Nakliye Montaj'!$AT$3:$AT$1002,MATCH('DIVA Satislari'!AJ315,'E2E Nakliye Montaj'!$AM$3:$AM$1002,0)),"Hayır"))</f>
        <v/>
      </c>
      <c r="M315" s="26">
        <f>IF('DIVA Satislari'!I315="","",IFERROR(INDEX('E2E Nakliye Montaj'!$AU$3:$AU$1002,MATCH('DIVA Satislari'!AJ315,'E2E Nakliye Montaj'!$AM$3:$AM$1002,0)),"Hayır"))</f>
        <v/>
      </c>
      <c r="N315" s="27">
        <f>IF('DIVA Satislari'!I315="","",IFERROR(INDEX('E2E Nakliye Montaj'!$AV$3:$AV$1002,MATCH('DIVA Satislari'!AJ315,'E2E Nakliye Montaj'!$AM$3:$AM$1002,0)),""))</f>
        <v/>
      </c>
      <c r="O315" s="26">
        <f>IF(OR(A315="",N315=""),"",IF(N315&lt;=H315,"Evet","HAYIR - RİSK"))</f>
        <v/>
      </c>
      <c r="P315" s="26">
        <f>IF(A315="","",IF(LEFT(J315,8)="Kural A ","Uygun - Hemen Ödenir (Yıl Sonu %75 Kontrolüne Tabi)",IF(OR(L315="Evet",M315="Evet"),IF(O315="Evet","Uygun","RİSK - Hakediş Süresi Aşıldı"),"Bekleniyor - Nakliye/Montaj Tamamlanmadı")))</f>
        <v/>
      </c>
      <c r="Q315" s="28">
        <f>IF(A315="","",SUMIFS('Hakedis Fatura Detay'!$G$3:$G$1200,'Hakedis Fatura Detay'!$H$3:$H$1200,'DIVA Satislari'!AJ315,'Hakedis Fatura Detay'!$F$3:$F$1200,"Fiyat Farkı")+SUMIFS('Hakedis Fatura Detay'!$G$3:$G$1200,'Hakedis Fatura Detay'!$H$3:$H$1200,'DIVA Satislari'!AJ315,'Hakedis Fatura Detay'!$F$3:$F$1200,"Bundle"))</f>
        <v/>
      </c>
      <c r="R315" s="28">
        <f>IF(A315="","",I315-Q315)</f>
        <v/>
      </c>
      <c r="S315" s="26">
        <f>IF(A315="","",IF(LEFT(P315,7)="Bekleni","N/A - Henüz Ödenmemeli",IF(LEFT(P315,4)="RİSK","İNCELEME GEREKLİ - Süre Aşımı",IF(R315=0,"Doğru",IF(R315&gt;0,"EKSİK ÖDENMİŞ","FAZLA ÖDENMİŞ")))))</f>
        <v/>
      </c>
      <c r="T315" s="30">
        <f>IF(A315="","",IF(F315&lt;&gt;"Evet","İNCELEME GEREKLİ - Kampanya Tanımsız",IF(G315&lt;&gt;"Evet","İNCELEME GEREKLİ - Tarih Dışı Satış",IF(LEFT(P315,4)="RİSK","İNCELEME GEREKLİ - Hakediş Süresi Aşıldı",IF(OR(S315="EKSİK ÖDENMİŞ",S315="FAZLA ÖDENMİŞ"),"İNCELEME GEREKLİ - Tutar Uyuşmazlığı",IF(LEFT(P315,7)="Bekleni","Bekleniyor","Uygun"))))))</f>
        <v/>
      </c>
    </row>
    <row r="316">
      <c r="A316" s="26">
        <f>IF('DIVA Satislari'!I316="","",'DIVA Satislari'!I316)</f>
        <v/>
      </c>
      <c r="B316" s="26">
        <f>IF('DIVA Satislari'!I316="","",'DIVA Satislari'!R316)</f>
        <v/>
      </c>
      <c r="C316" s="26">
        <f>IF('DIVA Satislari'!I316="","",'DIVA Satislari'!M316)</f>
        <v/>
      </c>
      <c r="D316" s="27">
        <f>IF('DIVA Satislari'!I316="","",'DIVA Satislari'!H316)</f>
        <v/>
      </c>
      <c r="E316" s="26">
        <f>IF('DIVA Satislari'!I316="","",'DIVA Satislari'!O316)</f>
        <v/>
      </c>
      <c r="F316" s="26">
        <f>IF('DIVA Satislari'!I316="","",'DIVA Satislari'!AK316)</f>
        <v/>
      </c>
      <c r="G316" s="26">
        <f>IF('DIVA Satislari'!I316="","",'DIVA Satislari'!AO316)</f>
        <v/>
      </c>
      <c r="H316" s="27">
        <f>IF('DIVA Satislari'!I316="","",'DIVA Satislari'!AN316)</f>
        <v/>
      </c>
      <c r="I316" s="28">
        <f>IF('DIVA Satislari'!I316="","",'DIVA Satislari'!AQ316)</f>
        <v/>
      </c>
      <c r="J316" s="26">
        <f>IF('DIVA Satislari'!I316="","",'DIVA Satislari'!AR316)</f>
        <v/>
      </c>
      <c r="K316" s="26">
        <f>IF('DIVA Satislari'!I316="","",IFERROR(INDEX('E2E Nakliye Montaj'!$AS$3:$AS$1002,MATCH('DIVA Satislari'!AJ316,'E2E Nakliye Montaj'!$AM$3:$AM$1002,0)),"Eşleşme Yok"))</f>
        <v/>
      </c>
      <c r="L316" s="26">
        <f>IF('DIVA Satislari'!I316="","",IFERROR(INDEX('E2E Nakliye Montaj'!$AT$3:$AT$1002,MATCH('DIVA Satislari'!AJ316,'E2E Nakliye Montaj'!$AM$3:$AM$1002,0)),"Hayır"))</f>
        <v/>
      </c>
      <c r="M316" s="26">
        <f>IF('DIVA Satislari'!I316="","",IFERROR(INDEX('E2E Nakliye Montaj'!$AU$3:$AU$1002,MATCH('DIVA Satislari'!AJ316,'E2E Nakliye Montaj'!$AM$3:$AM$1002,0)),"Hayır"))</f>
        <v/>
      </c>
      <c r="N316" s="27">
        <f>IF('DIVA Satislari'!I316="","",IFERROR(INDEX('E2E Nakliye Montaj'!$AV$3:$AV$1002,MATCH('DIVA Satislari'!AJ316,'E2E Nakliye Montaj'!$AM$3:$AM$1002,0)),""))</f>
        <v/>
      </c>
      <c r="O316" s="26">
        <f>IF(OR(A316="",N316=""),"",IF(N316&lt;=H316,"Evet","HAYIR - RİSK"))</f>
        <v/>
      </c>
      <c r="P316" s="26">
        <f>IF(A316="","",IF(LEFT(J316,8)="Kural A ","Uygun - Hemen Ödenir (Yıl Sonu %75 Kontrolüne Tabi)",IF(OR(L316="Evet",M316="Evet"),IF(O316="Evet","Uygun","RİSK - Hakediş Süresi Aşıldı"),"Bekleniyor - Nakliye/Montaj Tamamlanmadı")))</f>
        <v/>
      </c>
      <c r="Q316" s="28">
        <f>IF(A316="","",SUMIFS('Hakedis Fatura Detay'!$G$3:$G$1200,'Hakedis Fatura Detay'!$H$3:$H$1200,'DIVA Satislari'!AJ316,'Hakedis Fatura Detay'!$F$3:$F$1200,"Fiyat Farkı")+SUMIFS('Hakedis Fatura Detay'!$G$3:$G$1200,'Hakedis Fatura Detay'!$H$3:$H$1200,'DIVA Satislari'!AJ316,'Hakedis Fatura Detay'!$F$3:$F$1200,"Bundle"))</f>
        <v/>
      </c>
      <c r="R316" s="28">
        <f>IF(A316="","",I316-Q316)</f>
        <v/>
      </c>
      <c r="S316" s="26">
        <f>IF(A316="","",IF(LEFT(P316,7)="Bekleni","N/A - Henüz Ödenmemeli",IF(LEFT(P316,4)="RİSK","İNCELEME GEREKLİ - Süre Aşımı",IF(R316=0,"Doğru",IF(R316&gt;0,"EKSİK ÖDENMİŞ","FAZLA ÖDENMİŞ")))))</f>
        <v/>
      </c>
      <c r="T316" s="30">
        <f>IF(A316="","",IF(F316&lt;&gt;"Evet","İNCELEME GEREKLİ - Kampanya Tanımsız",IF(G316&lt;&gt;"Evet","İNCELEME GEREKLİ - Tarih Dışı Satış",IF(LEFT(P316,4)="RİSK","İNCELEME GEREKLİ - Hakediş Süresi Aşıldı",IF(OR(S316="EKSİK ÖDENMİŞ",S316="FAZLA ÖDENMİŞ"),"İNCELEME GEREKLİ - Tutar Uyuşmazlığı",IF(LEFT(P316,7)="Bekleni","Bekleniyor","Uygun"))))))</f>
        <v/>
      </c>
    </row>
    <row r="317">
      <c r="A317" s="26">
        <f>IF('DIVA Satislari'!I317="","",'DIVA Satislari'!I317)</f>
        <v/>
      </c>
      <c r="B317" s="26">
        <f>IF('DIVA Satislari'!I317="","",'DIVA Satislari'!R317)</f>
        <v/>
      </c>
      <c r="C317" s="26">
        <f>IF('DIVA Satislari'!I317="","",'DIVA Satislari'!M317)</f>
        <v/>
      </c>
      <c r="D317" s="27">
        <f>IF('DIVA Satislari'!I317="","",'DIVA Satislari'!H317)</f>
        <v/>
      </c>
      <c r="E317" s="26">
        <f>IF('DIVA Satislari'!I317="","",'DIVA Satislari'!O317)</f>
        <v/>
      </c>
      <c r="F317" s="26">
        <f>IF('DIVA Satislari'!I317="","",'DIVA Satislari'!AK317)</f>
        <v/>
      </c>
      <c r="G317" s="26">
        <f>IF('DIVA Satislari'!I317="","",'DIVA Satislari'!AO317)</f>
        <v/>
      </c>
      <c r="H317" s="27">
        <f>IF('DIVA Satislari'!I317="","",'DIVA Satislari'!AN317)</f>
        <v/>
      </c>
      <c r="I317" s="28">
        <f>IF('DIVA Satislari'!I317="","",'DIVA Satislari'!AQ317)</f>
        <v/>
      </c>
      <c r="J317" s="26">
        <f>IF('DIVA Satislari'!I317="","",'DIVA Satislari'!AR317)</f>
        <v/>
      </c>
      <c r="K317" s="26">
        <f>IF('DIVA Satislari'!I317="","",IFERROR(INDEX('E2E Nakliye Montaj'!$AS$3:$AS$1002,MATCH('DIVA Satislari'!AJ317,'E2E Nakliye Montaj'!$AM$3:$AM$1002,0)),"Eşleşme Yok"))</f>
        <v/>
      </c>
      <c r="L317" s="26">
        <f>IF('DIVA Satislari'!I317="","",IFERROR(INDEX('E2E Nakliye Montaj'!$AT$3:$AT$1002,MATCH('DIVA Satislari'!AJ317,'E2E Nakliye Montaj'!$AM$3:$AM$1002,0)),"Hayır"))</f>
        <v/>
      </c>
      <c r="M317" s="26">
        <f>IF('DIVA Satislari'!I317="","",IFERROR(INDEX('E2E Nakliye Montaj'!$AU$3:$AU$1002,MATCH('DIVA Satislari'!AJ317,'E2E Nakliye Montaj'!$AM$3:$AM$1002,0)),"Hayır"))</f>
        <v/>
      </c>
      <c r="N317" s="27">
        <f>IF('DIVA Satislari'!I317="","",IFERROR(INDEX('E2E Nakliye Montaj'!$AV$3:$AV$1002,MATCH('DIVA Satislari'!AJ317,'E2E Nakliye Montaj'!$AM$3:$AM$1002,0)),""))</f>
        <v/>
      </c>
      <c r="O317" s="26">
        <f>IF(OR(A317="",N317=""),"",IF(N317&lt;=H317,"Evet","HAYIR - RİSK"))</f>
        <v/>
      </c>
      <c r="P317" s="26">
        <f>IF(A317="","",IF(LEFT(J317,8)="Kural A ","Uygun - Hemen Ödenir (Yıl Sonu %75 Kontrolüne Tabi)",IF(OR(L317="Evet",M317="Evet"),IF(O317="Evet","Uygun","RİSK - Hakediş Süresi Aşıldı"),"Bekleniyor - Nakliye/Montaj Tamamlanmadı")))</f>
        <v/>
      </c>
      <c r="Q317" s="28">
        <f>IF(A317="","",SUMIFS('Hakedis Fatura Detay'!$G$3:$G$1200,'Hakedis Fatura Detay'!$H$3:$H$1200,'DIVA Satislari'!AJ317,'Hakedis Fatura Detay'!$F$3:$F$1200,"Fiyat Farkı")+SUMIFS('Hakedis Fatura Detay'!$G$3:$G$1200,'Hakedis Fatura Detay'!$H$3:$H$1200,'DIVA Satislari'!AJ317,'Hakedis Fatura Detay'!$F$3:$F$1200,"Bundle"))</f>
        <v/>
      </c>
      <c r="R317" s="28">
        <f>IF(A317="","",I317-Q317)</f>
        <v/>
      </c>
      <c r="S317" s="26">
        <f>IF(A317="","",IF(LEFT(P317,7)="Bekleni","N/A - Henüz Ödenmemeli",IF(LEFT(P317,4)="RİSK","İNCELEME GEREKLİ - Süre Aşımı",IF(R317=0,"Doğru",IF(R317&gt;0,"EKSİK ÖDENMİŞ","FAZLA ÖDENMİŞ")))))</f>
        <v/>
      </c>
      <c r="T317" s="30">
        <f>IF(A317="","",IF(F317&lt;&gt;"Evet","İNCELEME GEREKLİ - Kampanya Tanımsız",IF(G317&lt;&gt;"Evet","İNCELEME GEREKLİ - Tarih Dışı Satış",IF(LEFT(P317,4)="RİSK","İNCELEME GEREKLİ - Hakediş Süresi Aşıldı",IF(OR(S317="EKSİK ÖDENMİŞ",S317="FAZLA ÖDENMİŞ"),"İNCELEME GEREKLİ - Tutar Uyuşmazlığı",IF(LEFT(P317,7)="Bekleni","Bekleniyor","Uygun"))))))</f>
        <v/>
      </c>
    </row>
    <row r="318">
      <c r="A318" s="26">
        <f>IF('DIVA Satislari'!I318="","",'DIVA Satislari'!I318)</f>
        <v/>
      </c>
      <c r="B318" s="26">
        <f>IF('DIVA Satislari'!I318="","",'DIVA Satislari'!R318)</f>
        <v/>
      </c>
      <c r="C318" s="26">
        <f>IF('DIVA Satislari'!I318="","",'DIVA Satislari'!M318)</f>
        <v/>
      </c>
      <c r="D318" s="27">
        <f>IF('DIVA Satislari'!I318="","",'DIVA Satislari'!H318)</f>
        <v/>
      </c>
      <c r="E318" s="26">
        <f>IF('DIVA Satislari'!I318="","",'DIVA Satislari'!O318)</f>
        <v/>
      </c>
      <c r="F318" s="26">
        <f>IF('DIVA Satislari'!I318="","",'DIVA Satislari'!AK318)</f>
        <v/>
      </c>
      <c r="G318" s="26">
        <f>IF('DIVA Satislari'!I318="","",'DIVA Satislari'!AO318)</f>
        <v/>
      </c>
      <c r="H318" s="27">
        <f>IF('DIVA Satislari'!I318="","",'DIVA Satislari'!AN318)</f>
        <v/>
      </c>
      <c r="I318" s="28">
        <f>IF('DIVA Satislari'!I318="","",'DIVA Satislari'!AQ318)</f>
        <v/>
      </c>
      <c r="J318" s="26">
        <f>IF('DIVA Satislari'!I318="","",'DIVA Satislari'!AR318)</f>
        <v/>
      </c>
      <c r="K318" s="26">
        <f>IF('DIVA Satislari'!I318="","",IFERROR(INDEX('E2E Nakliye Montaj'!$AS$3:$AS$1002,MATCH('DIVA Satislari'!AJ318,'E2E Nakliye Montaj'!$AM$3:$AM$1002,0)),"Eşleşme Yok"))</f>
        <v/>
      </c>
      <c r="L318" s="26">
        <f>IF('DIVA Satislari'!I318="","",IFERROR(INDEX('E2E Nakliye Montaj'!$AT$3:$AT$1002,MATCH('DIVA Satislari'!AJ318,'E2E Nakliye Montaj'!$AM$3:$AM$1002,0)),"Hayır"))</f>
        <v/>
      </c>
      <c r="M318" s="26">
        <f>IF('DIVA Satislari'!I318="","",IFERROR(INDEX('E2E Nakliye Montaj'!$AU$3:$AU$1002,MATCH('DIVA Satislari'!AJ318,'E2E Nakliye Montaj'!$AM$3:$AM$1002,0)),"Hayır"))</f>
        <v/>
      </c>
      <c r="N318" s="27">
        <f>IF('DIVA Satislari'!I318="","",IFERROR(INDEX('E2E Nakliye Montaj'!$AV$3:$AV$1002,MATCH('DIVA Satislari'!AJ318,'E2E Nakliye Montaj'!$AM$3:$AM$1002,0)),""))</f>
        <v/>
      </c>
      <c r="O318" s="26">
        <f>IF(OR(A318="",N318=""),"",IF(N318&lt;=H318,"Evet","HAYIR - RİSK"))</f>
        <v/>
      </c>
      <c r="P318" s="26">
        <f>IF(A318="","",IF(LEFT(J318,8)="Kural A ","Uygun - Hemen Ödenir (Yıl Sonu %75 Kontrolüne Tabi)",IF(OR(L318="Evet",M318="Evet"),IF(O318="Evet","Uygun","RİSK - Hakediş Süresi Aşıldı"),"Bekleniyor - Nakliye/Montaj Tamamlanmadı")))</f>
        <v/>
      </c>
      <c r="Q318" s="28">
        <f>IF(A318="","",SUMIFS('Hakedis Fatura Detay'!$G$3:$G$1200,'Hakedis Fatura Detay'!$H$3:$H$1200,'DIVA Satislari'!AJ318,'Hakedis Fatura Detay'!$F$3:$F$1200,"Fiyat Farkı")+SUMIFS('Hakedis Fatura Detay'!$G$3:$G$1200,'Hakedis Fatura Detay'!$H$3:$H$1200,'DIVA Satislari'!AJ318,'Hakedis Fatura Detay'!$F$3:$F$1200,"Bundle"))</f>
        <v/>
      </c>
      <c r="R318" s="28">
        <f>IF(A318="","",I318-Q318)</f>
        <v/>
      </c>
      <c r="S318" s="26">
        <f>IF(A318="","",IF(LEFT(P318,7)="Bekleni","N/A - Henüz Ödenmemeli",IF(LEFT(P318,4)="RİSK","İNCELEME GEREKLİ - Süre Aşımı",IF(R318=0,"Doğru",IF(R318&gt;0,"EKSİK ÖDENMİŞ","FAZLA ÖDENMİŞ")))))</f>
        <v/>
      </c>
      <c r="T318" s="30">
        <f>IF(A318="","",IF(F318&lt;&gt;"Evet","İNCELEME GEREKLİ - Kampanya Tanımsız",IF(G318&lt;&gt;"Evet","İNCELEME GEREKLİ - Tarih Dışı Satış",IF(LEFT(P318,4)="RİSK","İNCELEME GEREKLİ - Hakediş Süresi Aşıldı",IF(OR(S318="EKSİK ÖDENMİŞ",S318="FAZLA ÖDENMİŞ"),"İNCELEME GEREKLİ - Tutar Uyuşmazlığı",IF(LEFT(P318,7)="Bekleni","Bekleniyor","Uygun"))))))</f>
        <v/>
      </c>
    </row>
    <row r="319">
      <c r="A319" s="26">
        <f>IF('DIVA Satislari'!I319="","",'DIVA Satislari'!I319)</f>
        <v/>
      </c>
      <c r="B319" s="26">
        <f>IF('DIVA Satislari'!I319="","",'DIVA Satislari'!R319)</f>
        <v/>
      </c>
      <c r="C319" s="26">
        <f>IF('DIVA Satislari'!I319="","",'DIVA Satislari'!M319)</f>
        <v/>
      </c>
      <c r="D319" s="27">
        <f>IF('DIVA Satislari'!I319="","",'DIVA Satislari'!H319)</f>
        <v/>
      </c>
      <c r="E319" s="26">
        <f>IF('DIVA Satislari'!I319="","",'DIVA Satislari'!O319)</f>
        <v/>
      </c>
      <c r="F319" s="26">
        <f>IF('DIVA Satislari'!I319="","",'DIVA Satislari'!AK319)</f>
        <v/>
      </c>
      <c r="G319" s="26">
        <f>IF('DIVA Satislari'!I319="","",'DIVA Satislari'!AO319)</f>
        <v/>
      </c>
      <c r="H319" s="27">
        <f>IF('DIVA Satislari'!I319="","",'DIVA Satislari'!AN319)</f>
        <v/>
      </c>
      <c r="I319" s="28">
        <f>IF('DIVA Satislari'!I319="","",'DIVA Satislari'!AQ319)</f>
        <v/>
      </c>
      <c r="J319" s="26">
        <f>IF('DIVA Satislari'!I319="","",'DIVA Satislari'!AR319)</f>
        <v/>
      </c>
      <c r="K319" s="26">
        <f>IF('DIVA Satislari'!I319="","",IFERROR(INDEX('E2E Nakliye Montaj'!$AS$3:$AS$1002,MATCH('DIVA Satislari'!AJ319,'E2E Nakliye Montaj'!$AM$3:$AM$1002,0)),"Eşleşme Yok"))</f>
        <v/>
      </c>
      <c r="L319" s="26">
        <f>IF('DIVA Satislari'!I319="","",IFERROR(INDEX('E2E Nakliye Montaj'!$AT$3:$AT$1002,MATCH('DIVA Satislari'!AJ319,'E2E Nakliye Montaj'!$AM$3:$AM$1002,0)),"Hayır"))</f>
        <v/>
      </c>
      <c r="M319" s="26">
        <f>IF('DIVA Satislari'!I319="","",IFERROR(INDEX('E2E Nakliye Montaj'!$AU$3:$AU$1002,MATCH('DIVA Satislari'!AJ319,'E2E Nakliye Montaj'!$AM$3:$AM$1002,0)),"Hayır"))</f>
        <v/>
      </c>
      <c r="N319" s="27">
        <f>IF('DIVA Satislari'!I319="","",IFERROR(INDEX('E2E Nakliye Montaj'!$AV$3:$AV$1002,MATCH('DIVA Satislari'!AJ319,'E2E Nakliye Montaj'!$AM$3:$AM$1002,0)),""))</f>
        <v/>
      </c>
      <c r="O319" s="26">
        <f>IF(OR(A319="",N319=""),"",IF(N319&lt;=H319,"Evet","HAYIR - RİSK"))</f>
        <v/>
      </c>
      <c r="P319" s="26">
        <f>IF(A319="","",IF(LEFT(J319,8)="Kural A ","Uygun - Hemen Ödenir (Yıl Sonu %75 Kontrolüne Tabi)",IF(OR(L319="Evet",M319="Evet"),IF(O319="Evet","Uygun","RİSK - Hakediş Süresi Aşıldı"),"Bekleniyor - Nakliye/Montaj Tamamlanmadı")))</f>
        <v/>
      </c>
      <c r="Q319" s="28">
        <f>IF(A319="","",SUMIFS('Hakedis Fatura Detay'!$G$3:$G$1200,'Hakedis Fatura Detay'!$H$3:$H$1200,'DIVA Satislari'!AJ319,'Hakedis Fatura Detay'!$F$3:$F$1200,"Fiyat Farkı")+SUMIFS('Hakedis Fatura Detay'!$G$3:$G$1200,'Hakedis Fatura Detay'!$H$3:$H$1200,'DIVA Satislari'!AJ319,'Hakedis Fatura Detay'!$F$3:$F$1200,"Bundle"))</f>
        <v/>
      </c>
      <c r="R319" s="28">
        <f>IF(A319="","",I319-Q319)</f>
        <v/>
      </c>
      <c r="S319" s="26">
        <f>IF(A319="","",IF(LEFT(P319,7)="Bekleni","N/A - Henüz Ödenmemeli",IF(LEFT(P319,4)="RİSK","İNCELEME GEREKLİ - Süre Aşımı",IF(R319=0,"Doğru",IF(R319&gt;0,"EKSİK ÖDENMİŞ","FAZLA ÖDENMİŞ")))))</f>
        <v/>
      </c>
      <c r="T319" s="30">
        <f>IF(A319="","",IF(F319&lt;&gt;"Evet","İNCELEME GEREKLİ - Kampanya Tanımsız",IF(G319&lt;&gt;"Evet","İNCELEME GEREKLİ - Tarih Dışı Satış",IF(LEFT(P319,4)="RİSK","İNCELEME GEREKLİ - Hakediş Süresi Aşıldı",IF(OR(S319="EKSİK ÖDENMİŞ",S319="FAZLA ÖDENMİŞ"),"İNCELEME GEREKLİ - Tutar Uyuşmazlığı",IF(LEFT(P319,7)="Bekleni","Bekleniyor","Uygun"))))))</f>
        <v/>
      </c>
    </row>
    <row r="320">
      <c r="A320" s="26">
        <f>IF('DIVA Satislari'!I320="","",'DIVA Satislari'!I320)</f>
        <v/>
      </c>
      <c r="B320" s="26">
        <f>IF('DIVA Satislari'!I320="","",'DIVA Satislari'!R320)</f>
        <v/>
      </c>
      <c r="C320" s="26">
        <f>IF('DIVA Satislari'!I320="","",'DIVA Satislari'!M320)</f>
        <v/>
      </c>
      <c r="D320" s="27">
        <f>IF('DIVA Satislari'!I320="","",'DIVA Satislari'!H320)</f>
        <v/>
      </c>
      <c r="E320" s="26">
        <f>IF('DIVA Satislari'!I320="","",'DIVA Satislari'!O320)</f>
        <v/>
      </c>
      <c r="F320" s="26">
        <f>IF('DIVA Satislari'!I320="","",'DIVA Satislari'!AK320)</f>
        <v/>
      </c>
      <c r="G320" s="26">
        <f>IF('DIVA Satislari'!I320="","",'DIVA Satislari'!AO320)</f>
        <v/>
      </c>
      <c r="H320" s="27">
        <f>IF('DIVA Satislari'!I320="","",'DIVA Satislari'!AN320)</f>
        <v/>
      </c>
      <c r="I320" s="28">
        <f>IF('DIVA Satislari'!I320="","",'DIVA Satislari'!AQ320)</f>
        <v/>
      </c>
      <c r="J320" s="26">
        <f>IF('DIVA Satislari'!I320="","",'DIVA Satislari'!AR320)</f>
        <v/>
      </c>
      <c r="K320" s="26">
        <f>IF('DIVA Satislari'!I320="","",IFERROR(INDEX('E2E Nakliye Montaj'!$AS$3:$AS$1002,MATCH('DIVA Satislari'!AJ320,'E2E Nakliye Montaj'!$AM$3:$AM$1002,0)),"Eşleşme Yok"))</f>
        <v/>
      </c>
      <c r="L320" s="26">
        <f>IF('DIVA Satislari'!I320="","",IFERROR(INDEX('E2E Nakliye Montaj'!$AT$3:$AT$1002,MATCH('DIVA Satislari'!AJ320,'E2E Nakliye Montaj'!$AM$3:$AM$1002,0)),"Hayır"))</f>
        <v/>
      </c>
      <c r="M320" s="26">
        <f>IF('DIVA Satislari'!I320="","",IFERROR(INDEX('E2E Nakliye Montaj'!$AU$3:$AU$1002,MATCH('DIVA Satislari'!AJ320,'E2E Nakliye Montaj'!$AM$3:$AM$1002,0)),"Hayır"))</f>
        <v/>
      </c>
      <c r="N320" s="27">
        <f>IF('DIVA Satislari'!I320="","",IFERROR(INDEX('E2E Nakliye Montaj'!$AV$3:$AV$1002,MATCH('DIVA Satislari'!AJ320,'E2E Nakliye Montaj'!$AM$3:$AM$1002,0)),""))</f>
        <v/>
      </c>
      <c r="O320" s="26">
        <f>IF(OR(A320="",N320=""),"",IF(N320&lt;=H320,"Evet","HAYIR - RİSK"))</f>
        <v/>
      </c>
      <c r="P320" s="26">
        <f>IF(A320="","",IF(LEFT(J320,8)="Kural A ","Uygun - Hemen Ödenir (Yıl Sonu %75 Kontrolüne Tabi)",IF(OR(L320="Evet",M320="Evet"),IF(O320="Evet","Uygun","RİSK - Hakediş Süresi Aşıldı"),"Bekleniyor - Nakliye/Montaj Tamamlanmadı")))</f>
        <v/>
      </c>
      <c r="Q320" s="28">
        <f>IF(A320="","",SUMIFS('Hakedis Fatura Detay'!$G$3:$G$1200,'Hakedis Fatura Detay'!$H$3:$H$1200,'DIVA Satislari'!AJ320,'Hakedis Fatura Detay'!$F$3:$F$1200,"Fiyat Farkı")+SUMIFS('Hakedis Fatura Detay'!$G$3:$G$1200,'Hakedis Fatura Detay'!$H$3:$H$1200,'DIVA Satislari'!AJ320,'Hakedis Fatura Detay'!$F$3:$F$1200,"Bundle"))</f>
        <v/>
      </c>
      <c r="R320" s="28">
        <f>IF(A320="","",I320-Q320)</f>
        <v/>
      </c>
      <c r="S320" s="26">
        <f>IF(A320="","",IF(LEFT(P320,7)="Bekleni","N/A - Henüz Ödenmemeli",IF(LEFT(P320,4)="RİSK","İNCELEME GEREKLİ - Süre Aşımı",IF(R320=0,"Doğru",IF(R320&gt;0,"EKSİK ÖDENMİŞ","FAZLA ÖDENMİŞ")))))</f>
        <v/>
      </c>
      <c r="T320" s="30">
        <f>IF(A320="","",IF(F320&lt;&gt;"Evet","İNCELEME GEREKLİ - Kampanya Tanımsız",IF(G320&lt;&gt;"Evet","İNCELEME GEREKLİ - Tarih Dışı Satış",IF(LEFT(P320,4)="RİSK","İNCELEME GEREKLİ - Hakediş Süresi Aşıldı",IF(OR(S320="EKSİK ÖDENMİŞ",S320="FAZLA ÖDENMİŞ"),"İNCELEME GEREKLİ - Tutar Uyuşmazlığı",IF(LEFT(P320,7)="Bekleni","Bekleniyor","Uygun"))))))</f>
        <v/>
      </c>
    </row>
    <row r="321">
      <c r="A321" s="26">
        <f>IF('DIVA Satislari'!I321="","",'DIVA Satislari'!I321)</f>
        <v/>
      </c>
      <c r="B321" s="26">
        <f>IF('DIVA Satislari'!I321="","",'DIVA Satislari'!R321)</f>
        <v/>
      </c>
      <c r="C321" s="26">
        <f>IF('DIVA Satislari'!I321="","",'DIVA Satislari'!M321)</f>
        <v/>
      </c>
      <c r="D321" s="27">
        <f>IF('DIVA Satislari'!I321="","",'DIVA Satislari'!H321)</f>
        <v/>
      </c>
      <c r="E321" s="26">
        <f>IF('DIVA Satislari'!I321="","",'DIVA Satislari'!O321)</f>
        <v/>
      </c>
      <c r="F321" s="26">
        <f>IF('DIVA Satislari'!I321="","",'DIVA Satislari'!AK321)</f>
        <v/>
      </c>
      <c r="G321" s="26">
        <f>IF('DIVA Satislari'!I321="","",'DIVA Satislari'!AO321)</f>
        <v/>
      </c>
      <c r="H321" s="27">
        <f>IF('DIVA Satislari'!I321="","",'DIVA Satislari'!AN321)</f>
        <v/>
      </c>
      <c r="I321" s="28">
        <f>IF('DIVA Satislari'!I321="","",'DIVA Satislari'!AQ321)</f>
        <v/>
      </c>
      <c r="J321" s="26">
        <f>IF('DIVA Satislari'!I321="","",'DIVA Satislari'!AR321)</f>
        <v/>
      </c>
      <c r="K321" s="26">
        <f>IF('DIVA Satislari'!I321="","",IFERROR(INDEX('E2E Nakliye Montaj'!$AS$3:$AS$1002,MATCH('DIVA Satislari'!AJ321,'E2E Nakliye Montaj'!$AM$3:$AM$1002,0)),"Eşleşme Yok"))</f>
        <v/>
      </c>
      <c r="L321" s="26">
        <f>IF('DIVA Satislari'!I321="","",IFERROR(INDEX('E2E Nakliye Montaj'!$AT$3:$AT$1002,MATCH('DIVA Satislari'!AJ321,'E2E Nakliye Montaj'!$AM$3:$AM$1002,0)),"Hayır"))</f>
        <v/>
      </c>
      <c r="M321" s="26">
        <f>IF('DIVA Satislari'!I321="","",IFERROR(INDEX('E2E Nakliye Montaj'!$AU$3:$AU$1002,MATCH('DIVA Satislari'!AJ321,'E2E Nakliye Montaj'!$AM$3:$AM$1002,0)),"Hayır"))</f>
        <v/>
      </c>
      <c r="N321" s="27">
        <f>IF('DIVA Satislari'!I321="","",IFERROR(INDEX('E2E Nakliye Montaj'!$AV$3:$AV$1002,MATCH('DIVA Satislari'!AJ321,'E2E Nakliye Montaj'!$AM$3:$AM$1002,0)),""))</f>
        <v/>
      </c>
      <c r="O321" s="26">
        <f>IF(OR(A321="",N321=""),"",IF(N321&lt;=H321,"Evet","HAYIR - RİSK"))</f>
        <v/>
      </c>
      <c r="P321" s="26">
        <f>IF(A321="","",IF(LEFT(J321,8)="Kural A ","Uygun - Hemen Ödenir (Yıl Sonu %75 Kontrolüne Tabi)",IF(OR(L321="Evet",M321="Evet"),IF(O321="Evet","Uygun","RİSK - Hakediş Süresi Aşıldı"),"Bekleniyor - Nakliye/Montaj Tamamlanmadı")))</f>
        <v/>
      </c>
      <c r="Q321" s="28">
        <f>IF(A321="","",SUMIFS('Hakedis Fatura Detay'!$G$3:$G$1200,'Hakedis Fatura Detay'!$H$3:$H$1200,'DIVA Satislari'!AJ321,'Hakedis Fatura Detay'!$F$3:$F$1200,"Fiyat Farkı")+SUMIFS('Hakedis Fatura Detay'!$G$3:$G$1200,'Hakedis Fatura Detay'!$H$3:$H$1200,'DIVA Satislari'!AJ321,'Hakedis Fatura Detay'!$F$3:$F$1200,"Bundle"))</f>
        <v/>
      </c>
      <c r="R321" s="28">
        <f>IF(A321="","",I321-Q321)</f>
        <v/>
      </c>
      <c r="S321" s="26">
        <f>IF(A321="","",IF(LEFT(P321,7)="Bekleni","N/A - Henüz Ödenmemeli",IF(LEFT(P321,4)="RİSK","İNCELEME GEREKLİ - Süre Aşımı",IF(R321=0,"Doğru",IF(R321&gt;0,"EKSİK ÖDENMİŞ","FAZLA ÖDENMİŞ")))))</f>
        <v/>
      </c>
      <c r="T321" s="30">
        <f>IF(A321="","",IF(F321&lt;&gt;"Evet","İNCELEME GEREKLİ - Kampanya Tanımsız",IF(G321&lt;&gt;"Evet","İNCELEME GEREKLİ - Tarih Dışı Satış",IF(LEFT(P321,4)="RİSK","İNCELEME GEREKLİ - Hakediş Süresi Aşıldı",IF(OR(S321="EKSİK ÖDENMİŞ",S321="FAZLA ÖDENMİŞ"),"İNCELEME GEREKLİ - Tutar Uyuşmazlığı",IF(LEFT(P321,7)="Bekleni","Bekleniyor","Uygun"))))))</f>
        <v/>
      </c>
    </row>
    <row r="322">
      <c r="A322" s="26">
        <f>IF('DIVA Satislari'!I322="","",'DIVA Satislari'!I322)</f>
        <v/>
      </c>
      <c r="B322" s="26">
        <f>IF('DIVA Satislari'!I322="","",'DIVA Satislari'!R322)</f>
        <v/>
      </c>
      <c r="C322" s="26">
        <f>IF('DIVA Satislari'!I322="","",'DIVA Satislari'!M322)</f>
        <v/>
      </c>
      <c r="D322" s="27">
        <f>IF('DIVA Satislari'!I322="","",'DIVA Satislari'!H322)</f>
        <v/>
      </c>
      <c r="E322" s="26">
        <f>IF('DIVA Satislari'!I322="","",'DIVA Satislari'!O322)</f>
        <v/>
      </c>
      <c r="F322" s="26">
        <f>IF('DIVA Satislari'!I322="","",'DIVA Satislari'!AK322)</f>
        <v/>
      </c>
      <c r="G322" s="26">
        <f>IF('DIVA Satislari'!I322="","",'DIVA Satislari'!AO322)</f>
        <v/>
      </c>
      <c r="H322" s="27">
        <f>IF('DIVA Satislari'!I322="","",'DIVA Satislari'!AN322)</f>
        <v/>
      </c>
      <c r="I322" s="28">
        <f>IF('DIVA Satislari'!I322="","",'DIVA Satislari'!AQ322)</f>
        <v/>
      </c>
      <c r="J322" s="26">
        <f>IF('DIVA Satislari'!I322="","",'DIVA Satislari'!AR322)</f>
        <v/>
      </c>
      <c r="K322" s="26">
        <f>IF('DIVA Satislari'!I322="","",IFERROR(INDEX('E2E Nakliye Montaj'!$AS$3:$AS$1002,MATCH('DIVA Satislari'!AJ322,'E2E Nakliye Montaj'!$AM$3:$AM$1002,0)),"Eşleşme Yok"))</f>
        <v/>
      </c>
      <c r="L322" s="26">
        <f>IF('DIVA Satislari'!I322="","",IFERROR(INDEX('E2E Nakliye Montaj'!$AT$3:$AT$1002,MATCH('DIVA Satislari'!AJ322,'E2E Nakliye Montaj'!$AM$3:$AM$1002,0)),"Hayır"))</f>
        <v/>
      </c>
      <c r="M322" s="26">
        <f>IF('DIVA Satislari'!I322="","",IFERROR(INDEX('E2E Nakliye Montaj'!$AU$3:$AU$1002,MATCH('DIVA Satislari'!AJ322,'E2E Nakliye Montaj'!$AM$3:$AM$1002,0)),"Hayır"))</f>
        <v/>
      </c>
      <c r="N322" s="27">
        <f>IF('DIVA Satislari'!I322="","",IFERROR(INDEX('E2E Nakliye Montaj'!$AV$3:$AV$1002,MATCH('DIVA Satislari'!AJ322,'E2E Nakliye Montaj'!$AM$3:$AM$1002,0)),""))</f>
        <v/>
      </c>
      <c r="O322" s="26">
        <f>IF(OR(A322="",N322=""),"",IF(N322&lt;=H322,"Evet","HAYIR - RİSK"))</f>
        <v/>
      </c>
      <c r="P322" s="26">
        <f>IF(A322="","",IF(LEFT(J322,8)="Kural A ","Uygun - Hemen Ödenir (Yıl Sonu %75 Kontrolüne Tabi)",IF(OR(L322="Evet",M322="Evet"),IF(O322="Evet","Uygun","RİSK - Hakediş Süresi Aşıldı"),"Bekleniyor - Nakliye/Montaj Tamamlanmadı")))</f>
        <v/>
      </c>
      <c r="Q322" s="28">
        <f>IF(A322="","",SUMIFS('Hakedis Fatura Detay'!$G$3:$G$1200,'Hakedis Fatura Detay'!$H$3:$H$1200,'DIVA Satislari'!AJ322,'Hakedis Fatura Detay'!$F$3:$F$1200,"Fiyat Farkı")+SUMIFS('Hakedis Fatura Detay'!$G$3:$G$1200,'Hakedis Fatura Detay'!$H$3:$H$1200,'DIVA Satislari'!AJ322,'Hakedis Fatura Detay'!$F$3:$F$1200,"Bundle"))</f>
        <v/>
      </c>
      <c r="R322" s="28">
        <f>IF(A322="","",I322-Q322)</f>
        <v/>
      </c>
      <c r="S322" s="26">
        <f>IF(A322="","",IF(LEFT(P322,7)="Bekleni","N/A - Henüz Ödenmemeli",IF(LEFT(P322,4)="RİSK","İNCELEME GEREKLİ - Süre Aşımı",IF(R322=0,"Doğru",IF(R322&gt;0,"EKSİK ÖDENMİŞ","FAZLA ÖDENMİŞ")))))</f>
        <v/>
      </c>
      <c r="T322" s="30">
        <f>IF(A322="","",IF(F322&lt;&gt;"Evet","İNCELEME GEREKLİ - Kampanya Tanımsız",IF(G322&lt;&gt;"Evet","İNCELEME GEREKLİ - Tarih Dışı Satış",IF(LEFT(P322,4)="RİSK","İNCELEME GEREKLİ - Hakediş Süresi Aşıldı",IF(OR(S322="EKSİK ÖDENMİŞ",S322="FAZLA ÖDENMİŞ"),"İNCELEME GEREKLİ - Tutar Uyuşmazlığı",IF(LEFT(P322,7)="Bekleni","Bekleniyor","Uygun"))))))</f>
        <v/>
      </c>
    </row>
    <row r="323">
      <c r="A323" s="26">
        <f>IF('DIVA Satislari'!I323="","",'DIVA Satislari'!I323)</f>
        <v/>
      </c>
      <c r="B323" s="26">
        <f>IF('DIVA Satislari'!I323="","",'DIVA Satislari'!R323)</f>
        <v/>
      </c>
      <c r="C323" s="26">
        <f>IF('DIVA Satislari'!I323="","",'DIVA Satislari'!M323)</f>
        <v/>
      </c>
      <c r="D323" s="27">
        <f>IF('DIVA Satislari'!I323="","",'DIVA Satislari'!H323)</f>
        <v/>
      </c>
      <c r="E323" s="26">
        <f>IF('DIVA Satislari'!I323="","",'DIVA Satislari'!O323)</f>
        <v/>
      </c>
      <c r="F323" s="26">
        <f>IF('DIVA Satislari'!I323="","",'DIVA Satislari'!AK323)</f>
        <v/>
      </c>
      <c r="G323" s="26">
        <f>IF('DIVA Satislari'!I323="","",'DIVA Satislari'!AO323)</f>
        <v/>
      </c>
      <c r="H323" s="27">
        <f>IF('DIVA Satislari'!I323="","",'DIVA Satislari'!AN323)</f>
        <v/>
      </c>
      <c r="I323" s="28">
        <f>IF('DIVA Satislari'!I323="","",'DIVA Satislari'!AQ323)</f>
        <v/>
      </c>
      <c r="J323" s="26">
        <f>IF('DIVA Satislari'!I323="","",'DIVA Satislari'!AR323)</f>
        <v/>
      </c>
      <c r="K323" s="26">
        <f>IF('DIVA Satislari'!I323="","",IFERROR(INDEX('E2E Nakliye Montaj'!$AS$3:$AS$1002,MATCH('DIVA Satislari'!AJ323,'E2E Nakliye Montaj'!$AM$3:$AM$1002,0)),"Eşleşme Yok"))</f>
        <v/>
      </c>
      <c r="L323" s="26">
        <f>IF('DIVA Satislari'!I323="","",IFERROR(INDEX('E2E Nakliye Montaj'!$AT$3:$AT$1002,MATCH('DIVA Satislari'!AJ323,'E2E Nakliye Montaj'!$AM$3:$AM$1002,0)),"Hayır"))</f>
        <v/>
      </c>
      <c r="M323" s="26">
        <f>IF('DIVA Satislari'!I323="","",IFERROR(INDEX('E2E Nakliye Montaj'!$AU$3:$AU$1002,MATCH('DIVA Satislari'!AJ323,'E2E Nakliye Montaj'!$AM$3:$AM$1002,0)),"Hayır"))</f>
        <v/>
      </c>
      <c r="N323" s="27">
        <f>IF('DIVA Satislari'!I323="","",IFERROR(INDEX('E2E Nakliye Montaj'!$AV$3:$AV$1002,MATCH('DIVA Satislari'!AJ323,'E2E Nakliye Montaj'!$AM$3:$AM$1002,0)),""))</f>
        <v/>
      </c>
      <c r="O323" s="26">
        <f>IF(OR(A323="",N323=""),"",IF(N323&lt;=H323,"Evet","HAYIR - RİSK"))</f>
        <v/>
      </c>
      <c r="P323" s="26">
        <f>IF(A323="","",IF(LEFT(J323,8)="Kural A ","Uygun - Hemen Ödenir (Yıl Sonu %75 Kontrolüne Tabi)",IF(OR(L323="Evet",M323="Evet"),IF(O323="Evet","Uygun","RİSK - Hakediş Süresi Aşıldı"),"Bekleniyor - Nakliye/Montaj Tamamlanmadı")))</f>
        <v/>
      </c>
      <c r="Q323" s="28">
        <f>IF(A323="","",SUMIFS('Hakedis Fatura Detay'!$G$3:$G$1200,'Hakedis Fatura Detay'!$H$3:$H$1200,'DIVA Satislari'!AJ323,'Hakedis Fatura Detay'!$F$3:$F$1200,"Fiyat Farkı")+SUMIFS('Hakedis Fatura Detay'!$G$3:$G$1200,'Hakedis Fatura Detay'!$H$3:$H$1200,'DIVA Satislari'!AJ323,'Hakedis Fatura Detay'!$F$3:$F$1200,"Bundle"))</f>
        <v/>
      </c>
      <c r="R323" s="28">
        <f>IF(A323="","",I323-Q323)</f>
        <v/>
      </c>
      <c r="S323" s="26">
        <f>IF(A323="","",IF(LEFT(P323,7)="Bekleni","N/A - Henüz Ödenmemeli",IF(LEFT(P323,4)="RİSK","İNCELEME GEREKLİ - Süre Aşımı",IF(R323=0,"Doğru",IF(R323&gt;0,"EKSİK ÖDENMİŞ","FAZLA ÖDENMİŞ")))))</f>
        <v/>
      </c>
      <c r="T323" s="30">
        <f>IF(A323="","",IF(F323&lt;&gt;"Evet","İNCELEME GEREKLİ - Kampanya Tanımsız",IF(G323&lt;&gt;"Evet","İNCELEME GEREKLİ - Tarih Dışı Satış",IF(LEFT(P323,4)="RİSK","İNCELEME GEREKLİ - Hakediş Süresi Aşıldı",IF(OR(S323="EKSİK ÖDENMİŞ",S323="FAZLA ÖDENMİŞ"),"İNCELEME GEREKLİ - Tutar Uyuşmazlığı",IF(LEFT(P323,7)="Bekleni","Bekleniyor","Uygun"))))))</f>
        <v/>
      </c>
    </row>
    <row r="324">
      <c r="A324" s="26">
        <f>IF('DIVA Satislari'!I324="","",'DIVA Satislari'!I324)</f>
        <v/>
      </c>
      <c r="B324" s="26">
        <f>IF('DIVA Satislari'!I324="","",'DIVA Satislari'!R324)</f>
        <v/>
      </c>
      <c r="C324" s="26">
        <f>IF('DIVA Satislari'!I324="","",'DIVA Satislari'!M324)</f>
        <v/>
      </c>
      <c r="D324" s="27">
        <f>IF('DIVA Satislari'!I324="","",'DIVA Satislari'!H324)</f>
        <v/>
      </c>
      <c r="E324" s="26">
        <f>IF('DIVA Satislari'!I324="","",'DIVA Satislari'!O324)</f>
        <v/>
      </c>
      <c r="F324" s="26">
        <f>IF('DIVA Satislari'!I324="","",'DIVA Satislari'!AK324)</f>
        <v/>
      </c>
      <c r="G324" s="26">
        <f>IF('DIVA Satislari'!I324="","",'DIVA Satislari'!AO324)</f>
        <v/>
      </c>
      <c r="H324" s="27">
        <f>IF('DIVA Satislari'!I324="","",'DIVA Satislari'!AN324)</f>
        <v/>
      </c>
      <c r="I324" s="28">
        <f>IF('DIVA Satislari'!I324="","",'DIVA Satislari'!AQ324)</f>
        <v/>
      </c>
      <c r="J324" s="26">
        <f>IF('DIVA Satislari'!I324="","",'DIVA Satislari'!AR324)</f>
        <v/>
      </c>
      <c r="K324" s="26">
        <f>IF('DIVA Satislari'!I324="","",IFERROR(INDEX('E2E Nakliye Montaj'!$AS$3:$AS$1002,MATCH('DIVA Satislari'!AJ324,'E2E Nakliye Montaj'!$AM$3:$AM$1002,0)),"Eşleşme Yok"))</f>
        <v/>
      </c>
      <c r="L324" s="26">
        <f>IF('DIVA Satislari'!I324="","",IFERROR(INDEX('E2E Nakliye Montaj'!$AT$3:$AT$1002,MATCH('DIVA Satislari'!AJ324,'E2E Nakliye Montaj'!$AM$3:$AM$1002,0)),"Hayır"))</f>
        <v/>
      </c>
      <c r="M324" s="26">
        <f>IF('DIVA Satislari'!I324="","",IFERROR(INDEX('E2E Nakliye Montaj'!$AU$3:$AU$1002,MATCH('DIVA Satislari'!AJ324,'E2E Nakliye Montaj'!$AM$3:$AM$1002,0)),"Hayır"))</f>
        <v/>
      </c>
      <c r="N324" s="27">
        <f>IF('DIVA Satislari'!I324="","",IFERROR(INDEX('E2E Nakliye Montaj'!$AV$3:$AV$1002,MATCH('DIVA Satislari'!AJ324,'E2E Nakliye Montaj'!$AM$3:$AM$1002,0)),""))</f>
        <v/>
      </c>
      <c r="O324" s="26">
        <f>IF(OR(A324="",N324=""),"",IF(N324&lt;=H324,"Evet","HAYIR - RİSK"))</f>
        <v/>
      </c>
      <c r="P324" s="26">
        <f>IF(A324="","",IF(LEFT(J324,8)="Kural A ","Uygun - Hemen Ödenir (Yıl Sonu %75 Kontrolüne Tabi)",IF(OR(L324="Evet",M324="Evet"),IF(O324="Evet","Uygun","RİSK - Hakediş Süresi Aşıldı"),"Bekleniyor - Nakliye/Montaj Tamamlanmadı")))</f>
        <v/>
      </c>
      <c r="Q324" s="28">
        <f>IF(A324="","",SUMIFS('Hakedis Fatura Detay'!$G$3:$G$1200,'Hakedis Fatura Detay'!$H$3:$H$1200,'DIVA Satislari'!AJ324,'Hakedis Fatura Detay'!$F$3:$F$1200,"Fiyat Farkı")+SUMIFS('Hakedis Fatura Detay'!$G$3:$G$1200,'Hakedis Fatura Detay'!$H$3:$H$1200,'DIVA Satislari'!AJ324,'Hakedis Fatura Detay'!$F$3:$F$1200,"Bundle"))</f>
        <v/>
      </c>
      <c r="R324" s="28">
        <f>IF(A324="","",I324-Q324)</f>
        <v/>
      </c>
      <c r="S324" s="26">
        <f>IF(A324="","",IF(LEFT(P324,7)="Bekleni","N/A - Henüz Ödenmemeli",IF(LEFT(P324,4)="RİSK","İNCELEME GEREKLİ - Süre Aşımı",IF(R324=0,"Doğru",IF(R324&gt;0,"EKSİK ÖDENMİŞ","FAZLA ÖDENMİŞ")))))</f>
        <v/>
      </c>
      <c r="T324" s="30">
        <f>IF(A324="","",IF(F324&lt;&gt;"Evet","İNCELEME GEREKLİ - Kampanya Tanımsız",IF(G324&lt;&gt;"Evet","İNCELEME GEREKLİ - Tarih Dışı Satış",IF(LEFT(P324,4)="RİSK","İNCELEME GEREKLİ - Hakediş Süresi Aşıldı",IF(OR(S324="EKSİK ÖDENMİŞ",S324="FAZLA ÖDENMİŞ"),"İNCELEME GEREKLİ - Tutar Uyuşmazlığı",IF(LEFT(P324,7)="Bekleni","Bekleniyor","Uygun"))))))</f>
        <v/>
      </c>
    </row>
    <row r="325">
      <c r="A325" s="26">
        <f>IF('DIVA Satislari'!I325="","",'DIVA Satislari'!I325)</f>
        <v/>
      </c>
      <c r="B325" s="26">
        <f>IF('DIVA Satislari'!I325="","",'DIVA Satislari'!R325)</f>
        <v/>
      </c>
      <c r="C325" s="26">
        <f>IF('DIVA Satislari'!I325="","",'DIVA Satislari'!M325)</f>
        <v/>
      </c>
      <c r="D325" s="27">
        <f>IF('DIVA Satislari'!I325="","",'DIVA Satislari'!H325)</f>
        <v/>
      </c>
      <c r="E325" s="26">
        <f>IF('DIVA Satislari'!I325="","",'DIVA Satislari'!O325)</f>
        <v/>
      </c>
      <c r="F325" s="26">
        <f>IF('DIVA Satislari'!I325="","",'DIVA Satislari'!AK325)</f>
        <v/>
      </c>
      <c r="G325" s="26">
        <f>IF('DIVA Satislari'!I325="","",'DIVA Satislari'!AO325)</f>
        <v/>
      </c>
      <c r="H325" s="27">
        <f>IF('DIVA Satislari'!I325="","",'DIVA Satislari'!AN325)</f>
        <v/>
      </c>
      <c r="I325" s="28">
        <f>IF('DIVA Satislari'!I325="","",'DIVA Satislari'!AQ325)</f>
        <v/>
      </c>
      <c r="J325" s="26">
        <f>IF('DIVA Satislari'!I325="","",'DIVA Satislari'!AR325)</f>
        <v/>
      </c>
      <c r="K325" s="26">
        <f>IF('DIVA Satislari'!I325="","",IFERROR(INDEX('E2E Nakliye Montaj'!$AS$3:$AS$1002,MATCH('DIVA Satislari'!AJ325,'E2E Nakliye Montaj'!$AM$3:$AM$1002,0)),"Eşleşme Yok"))</f>
        <v/>
      </c>
      <c r="L325" s="26">
        <f>IF('DIVA Satislari'!I325="","",IFERROR(INDEX('E2E Nakliye Montaj'!$AT$3:$AT$1002,MATCH('DIVA Satislari'!AJ325,'E2E Nakliye Montaj'!$AM$3:$AM$1002,0)),"Hayır"))</f>
        <v/>
      </c>
      <c r="M325" s="26">
        <f>IF('DIVA Satislari'!I325="","",IFERROR(INDEX('E2E Nakliye Montaj'!$AU$3:$AU$1002,MATCH('DIVA Satislari'!AJ325,'E2E Nakliye Montaj'!$AM$3:$AM$1002,0)),"Hayır"))</f>
        <v/>
      </c>
      <c r="N325" s="27">
        <f>IF('DIVA Satislari'!I325="","",IFERROR(INDEX('E2E Nakliye Montaj'!$AV$3:$AV$1002,MATCH('DIVA Satislari'!AJ325,'E2E Nakliye Montaj'!$AM$3:$AM$1002,0)),""))</f>
        <v/>
      </c>
      <c r="O325" s="26">
        <f>IF(OR(A325="",N325=""),"",IF(N325&lt;=H325,"Evet","HAYIR - RİSK"))</f>
        <v/>
      </c>
      <c r="P325" s="26">
        <f>IF(A325="","",IF(LEFT(J325,8)="Kural A ","Uygun - Hemen Ödenir (Yıl Sonu %75 Kontrolüne Tabi)",IF(OR(L325="Evet",M325="Evet"),IF(O325="Evet","Uygun","RİSK - Hakediş Süresi Aşıldı"),"Bekleniyor - Nakliye/Montaj Tamamlanmadı")))</f>
        <v/>
      </c>
      <c r="Q325" s="28">
        <f>IF(A325="","",SUMIFS('Hakedis Fatura Detay'!$G$3:$G$1200,'Hakedis Fatura Detay'!$H$3:$H$1200,'DIVA Satislari'!AJ325,'Hakedis Fatura Detay'!$F$3:$F$1200,"Fiyat Farkı")+SUMIFS('Hakedis Fatura Detay'!$G$3:$G$1200,'Hakedis Fatura Detay'!$H$3:$H$1200,'DIVA Satislari'!AJ325,'Hakedis Fatura Detay'!$F$3:$F$1200,"Bundle"))</f>
        <v/>
      </c>
      <c r="R325" s="28">
        <f>IF(A325="","",I325-Q325)</f>
        <v/>
      </c>
      <c r="S325" s="26">
        <f>IF(A325="","",IF(LEFT(P325,7)="Bekleni","N/A - Henüz Ödenmemeli",IF(LEFT(P325,4)="RİSK","İNCELEME GEREKLİ - Süre Aşımı",IF(R325=0,"Doğru",IF(R325&gt;0,"EKSİK ÖDENMİŞ","FAZLA ÖDENMİŞ")))))</f>
        <v/>
      </c>
      <c r="T325" s="30">
        <f>IF(A325="","",IF(F325&lt;&gt;"Evet","İNCELEME GEREKLİ - Kampanya Tanımsız",IF(G325&lt;&gt;"Evet","İNCELEME GEREKLİ - Tarih Dışı Satış",IF(LEFT(P325,4)="RİSK","İNCELEME GEREKLİ - Hakediş Süresi Aşıldı",IF(OR(S325="EKSİK ÖDENMİŞ",S325="FAZLA ÖDENMİŞ"),"İNCELEME GEREKLİ - Tutar Uyuşmazlığı",IF(LEFT(P325,7)="Bekleni","Bekleniyor","Uygun"))))))</f>
        <v/>
      </c>
    </row>
    <row r="326">
      <c r="A326" s="26">
        <f>IF('DIVA Satislari'!I326="","",'DIVA Satislari'!I326)</f>
        <v/>
      </c>
      <c r="B326" s="26">
        <f>IF('DIVA Satislari'!I326="","",'DIVA Satislari'!R326)</f>
        <v/>
      </c>
      <c r="C326" s="26">
        <f>IF('DIVA Satislari'!I326="","",'DIVA Satislari'!M326)</f>
        <v/>
      </c>
      <c r="D326" s="27">
        <f>IF('DIVA Satislari'!I326="","",'DIVA Satislari'!H326)</f>
        <v/>
      </c>
      <c r="E326" s="26">
        <f>IF('DIVA Satislari'!I326="","",'DIVA Satislari'!O326)</f>
        <v/>
      </c>
      <c r="F326" s="26">
        <f>IF('DIVA Satislari'!I326="","",'DIVA Satislari'!AK326)</f>
        <v/>
      </c>
      <c r="G326" s="26">
        <f>IF('DIVA Satislari'!I326="","",'DIVA Satislari'!AO326)</f>
        <v/>
      </c>
      <c r="H326" s="27">
        <f>IF('DIVA Satislari'!I326="","",'DIVA Satislari'!AN326)</f>
        <v/>
      </c>
      <c r="I326" s="28">
        <f>IF('DIVA Satislari'!I326="","",'DIVA Satislari'!AQ326)</f>
        <v/>
      </c>
      <c r="J326" s="26">
        <f>IF('DIVA Satislari'!I326="","",'DIVA Satislari'!AR326)</f>
        <v/>
      </c>
      <c r="K326" s="26">
        <f>IF('DIVA Satislari'!I326="","",IFERROR(INDEX('E2E Nakliye Montaj'!$AS$3:$AS$1002,MATCH('DIVA Satislari'!AJ326,'E2E Nakliye Montaj'!$AM$3:$AM$1002,0)),"Eşleşme Yok"))</f>
        <v/>
      </c>
      <c r="L326" s="26">
        <f>IF('DIVA Satislari'!I326="","",IFERROR(INDEX('E2E Nakliye Montaj'!$AT$3:$AT$1002,MATCH('DIVA Satislari'!AJ326,'E2E Nakliye Montaj'!$AM$3:$AM$1002,0)),"Hayır"))</f>
        <v/>
      </c>
      <c r="M326" s="26">
        <f>IF('DIVA Satislari'!I326="","",IFERROR(INDEX('E2E Nakliye Montaj'!$AU$3:$AU$1002,MATCH('DIVA Satislari'!AJ326,'E2E Nakliye Montaj'!$AM$3:$AM$1002,0)),"Hayır"))</f>
        <v/>
      </c>
      <c r="N326" s="27">
        <f>IF('DIVA Satislari'!I326="","",IFERROR(INDEX('E2E Nakliye Montaj'!$AV$3:$AV$1002,MATCH('DIVA Satislari'!AJ326,'E2E Nakliye Montaj'!$AM$3:$AM$1002,0)),""))</f>
        <v/>
      </c>
      <c r="O326" s="26">
        <f>IF(OR(A326="",N326=""),"",IF(N326&lt;=H326,"Evet","HAYIR - RİSK"))</f>
        <v/>
      </c>
      <c r="P326" s="26">
        <f>IF(A326="","",IF(LEFT(J326,8)="Kural A ","Uygun - Hemen Ödenir (Yıl Sonu %75 Kontrolüne Tabi)",IF(OR(L326="Evet",M326="Evet"),IF(O326="Evet","Uygun","RİSK - Hakediş Süresi Aşıldı"),"Bekleniyor - Nakliye/Montaj Tamamlanmadı")))</f>
        <v/>
      </c>
      <c r="Q326" s="28">
        <f>IF(A326="","",SUMIFS('Hakedis Fatura Detay'!$G$3:$G$1200,'Hakedis Fatura Detay'!$H$3:$H$1200,'DIVA Satislari'!AJ326,'Hakedis Fatura Detay'!$F$3:$F$1200,"Fiyat Farkı")+SUMIFS('Hakedis Fatura Detay'!$G$3:$G$1200,'Hakedis Fatura Detay'!$H$3:$H$1200,'DIVA Satislari'!AJ326,'Hakedis Fatura Detay'!$F$3:$F$1200,"Bundle"))</f>
        <v/>
      </c>
      <c r="R326" s="28">
        <f>IF(A326="","",I326-Q326)</f>
        <v/>
      </c>
      <c r="S326" s="26">
        <f>IF(A326="","",IF(LEFT(P326,7)="Bekleni","N/A - Henüz Ödenmemeli",IF(LEFT(P326,4)="RİSK","İNCELEME GEREKLİ - Süre Aşımı",IF(R326=0,"Doğru",IF(R326&gt;0,"EKSİK ÖDENMİŞ","FAZLA ÖDENMİŞ")))))</f>
        <v/>
      </c>
      <c r="T326" s="30">
        <f>IF(A326="","",IF(F326&lt;&gt;"Evet","İNCELEME GEREKLİ - Kampanya Tanımsız",IF(G326&lt;&gt;"Evet","İNCELEME GEREKLİ - Tarih Dışı Satış",IF(LEFT(P326,4)="RİSK","İNCELEME GEREKLİ - Hakediş Süresi Aşıldı",IF(OR(S326="EKSİK ÖDENMİŞ",S326="FAZLA ÖDENMİŞ"),"İNCELEME GEREKLİ - Tutar Uyuşmazlığı",IF(LEFT(P326,7)="Bekleni","Bekleniyor","Uygun"))))))</f>
        <v/>
      </c>
    </row>
    <row r="327">
      <c r="A327" s="26">
        <f>IF('DIVA Satislari'!I327="","",'DIVA Satislari'!I327)</f>
        <v/>
      </c>
      <c r="B327" s="26">
        <f>IF('DIVA Satislari'!I327="","",'DIVA Satislari'!R327)</f>
        <v/>
      </c>
      <c r="C327" s="26">
        <f>IF('DIVA Satislari'!I327="","",'DIVA Satislari'!M327)</f>
        <v/>
      </c>
      <c r="D327" s="27">
        <f>IF('DIVA Satislari'!I327="","",'DIVA Satislari'!H327)</f>
        <v/>
      </c>
      <c r="E327" s="26">
        <f>IF('DIVA Satislari'!I327="","",'DIVA Satislari'!O327)</f>
        <v/>
      </c>
      <c r="F327" s="26">
        <f>IF('DIVA Satislari'!I327="","",'DIVA Satislari'!AK327)</f>
        <v/>
      </c>
      <c r="G327" s="26">
        <f>IF('DIVA Satislari'!I327="","",'DIVA Satislari'!AO327)</f>
        <v/>
      </c>
      <c r="H327" s="27">
        <f>IF('DIVA Satislari'!I327="","",'DIVA Satislari'!AN327)</f>
        <v/>
      </c>
      <c r="I327" s="28">
        <f>IF('DIVA Satislari'!I327="","",'DIVA Satislari'!AQ327)</f>
        <v/>
      </c>
      <c r="J327" s="26">
        <f>IF('DIVA Satislari'!I327="","",'DIVA Satislari'!AR327)</f>
        <v/>
      </c>
      <c r="K327" s="26">
        <f>IF('DIVA Satislari'!I327="","",IFERROR(INDEX('E2E Nakliye Montaj'!$AS$3:$AS$1002,MATCH('DIVA Satislari'!AJ327,'E2E Nakliye Montaj'!$AM$3:$AM$1002,0)),"Eşleşme Yok"))</f>
        <v/>
      </c>
      <c r="L327" s="26">
        <f>IF('DIVA Satislari'!I327="","",IFERROR(INDEX('E2E Nakliye Montaj'!$AT$3:$AT$1002,MATCH('DIVA Satislari'!AJ327,'E2E Nakliye Montaj'!$AM$3:$AM$1002,0)),"Hayır"))</f>
        <v/>
      </c>
      <c r="M327" s="26">
        <f>IF('DIVA Satislari'!I327="","",IFERROR(INDEX('E2E Nakliye Montaj'!$AU$3:$AU$1002,MATCH('DIVA Satislari'!AJ327,'E2E Nakliye Montaj'!$AM$3:$AM$1002,0)),"Hayır"))</f>
        <v/>
      </c>
      <c r="N327" s="27">
        <f>IF('DIVA Satislari'!I327="","",IFERROR(INDEX('E2E Nakliye Montaj'!$AV$3:$AV$1002,MATCH('DIVA Satislari'!AJ327,'E2E Nakliye Montaj'!$AM$3:$AM$1002,0)),""))</f>
        <v/>
      </c>
      <c r="O327" s="26">
        <f>IF(OR(A327="",N327=""),"",IF(N327&lt;=H327,"Evet","HAYIR - RİSK"))</f>
        <v/>
      </c>
      <c r="P327" s="26">
        <f>IF(A327="","",IF(LEFT(J327,8)="Kural A ","Uygun - Hemen Ödenir (Yıl Sonu %75 Kontrolüne Tabi)",IF(OR(L327="Evet",M327="Evet"),IF(O327="Evet","Uygun","RİSK - Hakediş Süresi Aşıldı"),"Bekleniyor - Nakliye/Montaj Tamamlanmadı")))</f>
        <v/>
      </c>
      <c r="Q327" s="28">
        <f>IF(A327="","",SUMIFS('Hakedis Fatura Detay'!$G$3:$G$1200,'Hakedis Fatura Detay'!$H$3:$H$1200,'DIVA Satislari'!AJ327,'Hakedis Fatura Detay'!$F$3:$F$1200,"Fiyat Farkı")+SUMIFS('Hakedis Fatura Detay'!$G$3:$G$1200,'Hakedis Fatura Detay'!$H$3:$H$1200,'DIVA Satislari'!AJ327,'Hakedis Fatura Detay'!$F$3:$F$1200,"Bundle"))</f>
        <v/>
      </c>
      <c r="R327" s="28">
        <f>IF(A327="","",I327-Q327)</f>
        <v/>
      </c>
      <c r="S327" s="26">
        <f>IF(A327="","",IF(LEFT(P327,7)="Bekleni","N/A - Henüz Ödenmemeli",IF(LEFT(P327,4)="RİSK","İNCELEME GEREKLİ - Süre Aşımı",IF(R327=0,"Doğru",IF(R327&gt;0,"EKSİK ÖDENMİŞ","FAZLA ÖDENMİŞ")))))</f>
        <v/>
      </c>
      <c r="T327" s="30">
        <f>IF(A327="","",IF(F327&lt;&gt;"Evet","İNCELEME GEREKLİ - Kampanya Tanımsız",IF(G327&lt;&gt;"Evet","İNCELEME GEREKLİ - Tarih Dışı Satış",IF(LEFT(P327,4)="RİSK","İNCELEME GEREKLİ - Hakediş Süresi Aşıldı",IF(OR(S327="EKSİK ÖDENMİŞ",S327="FAZLA ÖDENMİŞ"),"İNCELEME GEREKLİ - Tutar Uyuşmazlığı",IF(LEFT(P327,7)="Bekleni","Bekleniyor","Uygun"))))))</f>
        <v/>
      </c>
    </row>
    <row r="328">
      <c r="A328" s="26">
        <f>IF('DIVA Satislari'!I328="","",'DIVA Satislari'!I328)</f>
        <v/>
      </c>
      <c r="B328" s="26">
        <f>IF('DIVA Satislari'!I328="","",'DIVA Satislari'!R328)</f>
        <v/>
      </c>
      <c r="C328" s="26">
        <f>IF('DIVA Satislari'!I328="","",'DIVA Satislari'!M328)</f>
        <v/>
      </c>
      <c r="D328" s="27">
        <f>IF('DIVA Satislari'!I328="","",'DIVA Satislari'!H328)</f>
        <v/>
      </c>
      <c r="E328" s="26">
        <f>IF('DIVA Satislari'!I328="","",'DIVA Satislari'!O328)</f>
        <v/>
      </c>
      <c r="F328" s="26">
        <f>IF('DIVA Satislari'!I328="","",'DIVA Satislari'!AK328)</f>
        <v/>
      </c>
      <c r="G328" s="26">
        <f>IF('DIVA Satislari'!I328="","",'DIVA Satislari'!AO328)</f>
        <v/>
      </c>
      <c r="H328" s="27">
        <f>IF('DIVA Satislari'!I328="","",'DIVA Satislari'!AN328)</f>
        <v/>
      </c>
      <c r="I328" s="28">
        <f>IF('DIVA Satislari'!I328="","",'DIVA Satislari'!AQ328)</f>
        <v/>
      </c>
      <c r="J328" s="26">
        <f>IF('DIVA Satislari'!I328="","",'DIVA Satislari'!AR328)</f>
        <v/>
      </c>
      <c r="K328" s="26">
        <f>IF('DIVA Satislari'!I328="","",IFERROR(INDEX('E2E Nakliye Montaj'!$AS$3:$AS$1002,MATCH('DIVA Satislari'!AJ328,'E2E Nakliye Montaj'!$AM$3:$AM$1002,0)),"Eşleşme Yok"))</f>
        <v/>
      </c>
      <c r="L328" s="26">
        <f>IF('DIVA Satislari'!I328="","",IFERROR(INDEX('E2E Nakliye Montaj'!$AT$3:$AT$1002,MATCH('DIVA Satislari'!AJ328,'E2E Nakliye Montaj'!$AM$3:$AM$1002,0)),"Hayır"))</f>
        <v/>
      </c>
      <c r="M328" s="26">
        <f>IF('DIVA Satislari'!I328="","",IFERROR(INDEX('E2E Nakliye Montaj'!$AU$3:$AU$1002,MATCH('DIVA Satislari'!AJ328,'E2E Nakliye Montaj'!$AM$3:$AM$1002,0)),"Hayır"))</f>
        <v/>
      </c>
      <c r="N328" s="27">
        <f>IF('DIVA Satislari'!I328="","",IFERROR(INDEX('E2E Nakliye Montaj'!$AV$3:$AV$1002,MATCH('DIVA Satislari'!AJ328,'E2E Nakliye Montaj'!$AM$3:$AM$1002,0)),""))</f>
        <v/>
      </c>
      <c r="O328" s="26">
        <f>IF(OR(A328="",N328=""),"",IF(N328&lt;=H328,"Evet","HAYIR - RİSK"))</f>
        <v/>
      </c>
      <c r="P328" s="26">
        <f>IF(A328="","",IF(LEFT(J328,8)="Kural A ","Uygun - Hemen Ödenir (Yıl Sonu %75 Kontrolüne Tabi)",IF(OR(L328="Evet",M328="Evet"),IF(O328="Evet","Uygun","RİSK - Hakediş Süresi Aşıldı"),"Bekleniyor - Nakliye/Montaj Tamamlanmadı")))</f>
        <v/>
      </c>
      <c r="Q328" s="28">
        <f>IF(A328="","",SUMIFS('Hakedis Fatura Detay'!$G$3:$G$1200,'Hakedis Fatura Detay'!$H$3:$H$1200,'DIVA Satislari'!AJ328,'Hakedis Fatura Detay'!$F$3:$F$1200,"Fiyat Farkı")+SUMIFS('Hakedis Fatura Detay'!$G$3:$G$1200,'Hakedis Fatura Detay'!$H$3:$H$1200,'DIVA Satislari'!AJ328,'Hakedis Fatura Detay'!$F$3:$F$1200,"Bundle"))</f>
        <v/>
      </c>
      <c r="R328" s="28">
        <f>IF(A328="","",I328-Q328)</f>
        <v/>
      </c>
      <c r="S328" s="26">
        <f>IF(A328="","",IF(LEFT(P328,7)="Bekleni","N/A - Henüz Ödenmemeli",IF(LEFT(P328,4)="RİSK","İNCELEME GEREKLİ - Süre Aşımı",IF(R328=0,"Doğru",IF(R328&gt;0,"EKSİK ÖDENMİŞ","FAZLA ÖDENMİŞ")))))</f>
        <v/>
      </c>
      <c r="T328" s="30">
        <f>IF(A328="","",IF(F328&lt;&gt;"Evet","İNCELEME GEREKLİ - Kampanya Tanımsız",IF(G328&lt;&gt;"Evet","İNCELEME GEREKLİ - Tarih Dışı Satış",IF(LEFT(P328,4)="RİSK","İNCELEME GEREKLİ - Hakediş Süresi Aşıldı",IF(OR(S328="EKSİK ÖDENMİŞ",S328="FAZLA ÖDENMİŞ"),"İNCELEME GEREKLİ - Tutar Uyuşmazlığı",IF(LEFT(P328,7)="Bekleni","Bekleniyor","Uygun"))))))</f>
        <v/>
      </c>
    </row>
    <row r="329">
      <c r="A329" s="26">
        <f>IF('DIVA Satislari'!I329="","",'DIVA Satislari'!I329)</f>
        <v/>
      </c>
      <c r="B329" s="26">
        <f>IF('DIVA Satislari'!I329="","",'DIVA Satislari'!R329)</f>
        <v/>
      </c>
      <c r="C329" s="26">
        <f>IF('DIVA Satislari'!I329="","",'DIVA Satislari'!M329)</f>
        <v/>
      </c>
      <c r="D329" s="27">
        <f>IF('DIVA Satislari'!I329="","",'DIVA Satislari'!H329)</f>
        <v/>
      </c>
      <c r="E329" s="26">
        <f>IF('DIVA Satislari'!I329="","",'DIVA Satislari'!O329)</f>
        <v/>
      </c>
      <c r="F329" s="26">
        <f>IF('DIVA Satislari'!I329="","",'DIVA Satislari'!AK329)</f>
        <v/>
      </c>
      <c r="G329" s="26">
        <f>IF('DIVA Satislari'!I329="","",'DIVA Satislari'!AO329)</f>
        <v/>
      </c>
      <c r="H329" s="27">
        <f>IF('DIVA Satislari'!I329="","",'DIVA Satislari'!AN329)</f>
        <v/>
      </c>
      <c r="I329" s="28">
        <f>IF('DIVA Satislari'!I329="","",'DIVA Satislari'!AQ329)</f>
        <v/>
      </c>
      <c r="J329" s="26">
        <f>IF('DIVA Satislari'!I329="","",'DIVA Satislari'!AR329)</f>
        <v/>
      </c>
      <c r="K329" s="26">
        <f>IF('DIVA Satislari'!I329="","",IFERROR(INDEX('E2E Nakliye Montaj'!$AS$3:$AS$1002,MATCH('DIVA Satislari'!AJ329,'E2E Nakliye Montaj'!$AM$3:$AM$1002,0)),"Eşleşme Yok"))</f>
        <v/>
      </c>
      <c r="L329" s="26">
        <f>IF('DIVA Satislari'!I329="","",IFERROR(INDEX('E2E Nakliye Montaj'!$AT$3:$AT$1002,MATCH('DIVA Satislari'!AJ329,'E2E Nakliye Montaj'!$AM$3:$AM$1002,0)),"Hayır"))</f>
        <v/>
      </c>
      <c r="M329" s="26">
        <f>IF('DIVA Satislari'!I329="","",IFERROR(INDEX('E2E Nakliye Montaj'!$AU$3:$AU$1002,MATCH('DIVA Satislari'!AJ329,'E2E Nakliye Montaj'!$AM$3:$AM$1002,0)),"Hayır"))</f>
        <v/>
      </c>
      <c r="N329" s="27">
        <f>IF('DIVA Satislari'!I329="","",IFERROR(INDEX('E2E Nakliye Montaj'!$AV$3:$AV$1002,MATCH('DIVA Satislari'!AJ329,'E2E Nakliye Montaj'!$AM$3:$AM$1002,0)),""))</f>
        <v/>
      </c>
      <c r="O329" s="26">
        <f>IF(OR(A329="",N329=""),"",IF(N329&lt;=H329,"Evet","HAYIR - RİSK"))</f>
        <v/>
      </c>
      <c r="P329" s="26">
        <f>IF(A329="","",IF(LEFT(J329,8)="Kural A ","Uygun - Hemen Ödenir (Yıl Sonu %75 Kontrolüne Tabi)",IF(OR(L329="Evet",M329="Evet"),IF(O329="Evet","Uygun","RİSK - Hakediş Süresi Aşıldı"),"Bekleniyor - Nakliye/Montaj Tamamlanmadı")))</f>
        <v/>
      </c>
      <c r="Q329" s="28">
        <f>IF(A329="","",SUMIFS('Hakedis Fatura Detay'!$G$3:$G$1200,'Hakedis Fatura Detay'!$H$3:$H$1200,'DIVA Satislari'!AJ329,'Hakedis Fatura Detay'!$F$3:$F$1200,"Fiyat Farkı")+SUMIFS('Hakedis Fatura Detay'!$G$3:$G$1200,'Hakedis Fatura Detay'!$H$3:$H$1200,'DIVA Satislari'!AJ329,'Hakedis Fatura Detay'!$F$3:$F$1200,"Bundle"))</f>
        <v/>
      </c>
      <c r="R329" s="28">
        <f>IF(A329="","",I329-Q329)</f>
        <v/>
      </c>
      <c r="S329" s="26">
        <f>IF(A329="","",IF(LEFT(P329,7)="Bekleni","N/A - Henüz Ödenmemeli",IF(LEFT(P329,4)="RİSK","İNCELEME GEREKLİ - Süre Aşımı",IF(R329=0,"Doğru",IF(R329&gt;0,"EKSİK ÖDENMİŞ","FAZLA ÖDENMİŞ")))))</f>
        <v/>
      </c>
      <c r="T329" s="30">
        <f>IF(A329="","",IF(F329&lt;&gt;"Evet","İNCELEME GEREKLİ - Kampanya Tanımsız",IF(G329&lt;&gt;"Evet","İNCELEME GEREKLİ - Tarih Dışı Satış",IF(LEFT(P329,4)="RİSK","İNCELEME GEREKLİ - Hakediş Süresi Aşıldı",IF(OR(S329="EKSİK ÖDENMİŞ",S329="FAZLA ÖDENMİŞ"),"İNCELEME GEREKLİ - Tutar Uyuşmazlığı",IF(LEFT(P329,7)="Bekleni","Bekleniyor","Uygun"))))))</f>
        <v/>
      </c>
    </row>
    <row r="330">
      <c r="A330" s="26">
        <f>IF('DIVA Satislari'!I330="","",'DIVA Satislari'!I330)</f>
        <v/>
      </c>
      <c r="B330" s="26">
        <f>IF('DIVA Satislari'!I330="","",'DIVA Satislari'!R330)</f>
        <v/>
      </c>
      <c r="C330" s="26">
        <f>IF('DIVA Satislari'!I330="","",'DIVA Satislari'!M330)</f>
        <v/>
      </c>
      <c r="D330" s="27">
        <f>IF('DIVA Satislari'!I330="","",'DIVA Satislari'!H330)</f>
        <v/>
      </c>
      <c r="E330" s="26">
        <f>IF('DIVA Satislari'!I330="","",'DIVA Satislari'!O330)</f>
        <v/>
      </c>
      <c r="F330" s="26">
        <f>IF('DIVA Satislari'!I330="","",'DIVA Satislari'!AK330)</f>
        <v/>
      </c>
      <c r="G330" s="26">
        <f>IF('DIVA Satislari'!I330="","",'DIVA Satislari'!AO330)</f>
        <v/>
      </c>
      <c r="H330" s="27">
        <f>IF('DIVA Satislari'!I330="","",'DIVA Satislari'!AN330)</f>
        <v/>
      </c>
      <c r="I330" s="28">
        <f>IF('DIVA Satislari'!I330="","",'DIVA Satislari'!AQ330)</f>
        <v/>
      </c>
      <c r="J330" s="26">
        <f>IF('DIVA Satislari'!I330="","",'DIVA Satislari'!AR330)</f>
        <v/>
      </c>
      <c r="K330" s="26">
        <f>IF('DIVA Satislari'!I330="","",IFERROR(INDEX('E2E Nakliye Montaj'!$AS$3:$AS$1002,MATCH('DIVA Satislari'!AJ330,'E2E Nakliye Montaj'!$AM$3:$AM$1002,0)),"Eşleşme Yok"))</f>
        <v/>
      </c>
      <c r="L330" s="26">
        <f>IF('DIVA Satislari'!I330="","",IFERROR(INDEX('E2E Nakliye Montaj'!$AT$3:$AT$1002,MATCH('DIVA Satislari'!AJ330,'E2E Nakliye Montaj'!$AM$3:$AM$1002,0)),"Hayır"))</f>
        <v/>
      </c>
      <c r="M330" s="26">
        <f>IF('DIVA Satislari'!I330="","",IFERROR(INDEX('E2E Nakliye Montaj'!$AU$3:$AU$1002,MATCH('DIVA Satislari'!AJ330,'E2E Nakliye Montaj'!$AM$3:$AM$1002,0)),"Hayır"))</f>
        <v/>
      </c>
      <c r="N330" s="27">
        <f>IF('DIVA Satislari'!I330="","",IFERROR(INDEX('E2E Nakliye Montaj'!$AV$3:$AV$1002,MATCH('DIVA Satislari'!AJ330,'E2E Nakliye Montaj'!$AM$3:$AM$1002,0)),""))</f>
        <v/>
      </c>
      <c r="O330" s="26">
        <f>IF(OR(A330="",N330=""),"",IF(N330&lt;=H330,"Evet","HAYIR - RİSK"))</f>
        <v/>
      </c>
      <c r="P330" s="26">
        <f>IF(A330="","",IF(LEFT(J330,8)="Kural A ","Uygun - Hemen Ödenir (Yıl Sonu %75 Kontrolüne Tabi)",IF(OR(L330="Evet",M330="Evet"),IF(O330="Evet","Uygun","RİSK - Hakediş Süresi Aşıldı"),"Bekleniyor - Nakliye/Montaj Tamamlanmadı")))</f>
        <v/>
      </c>
      <c r="Q330" s="28">
        <f>IF(A330="","",SUMIFS('Hakedis Fatura Detay'!$G$3:$G$1200,'Hakedis Fatura Detay'!$H$3:$H$1200,'DIVA Satislari'!AJ330,'Hakedis Fatura Detay'!$F$3:$F$1200,"Fiyat Farkı")+SUMIFS('Hakedis Fatura Detay'!$G$3:$G$1200,'Hakedis Fatura Detay'!$H$3:$H$1200,'DIVA Satislari'!AJ330,'Hakedis Fatura Detay'!$F$3:$F$1200,"Bundle"))</f>
        <v/>
      </c>
      <c r="R330" s="28">
        <f>IF(A330="","",I330-Q330)</f>
        <v/>
      </c>
      <c r="S330" s="26">
        <f>IF(A330="","",IF(LEFT(P330,7)="Bekleni","N/A - Henüz Ödenmemeli",IF(LEFT(P330,4)="RİSK","İNCELEME GEREKLİ - Süre Aşımı",IF(R330=0,"Doğru",IF(R330&gt;0,"EKSİK ÖDENMİŞ","FAZLA ÖDENMİŞ")))))</f>
        <v/>
      </c>
      <c r="T330" s="30">
        <f>IF(A330="","",IF(F330&lt;&gt;"Evet","İNCELEME GEREKLİ - Kampanya Tanımsız",IF(G330&lt;&gt;"Evet","İNCELEME GEREKLİ - Tarih Dışı Satış",IF(LEFT(P330,4)="RİSK","İNCELEME GEREKLİ - Hakediş Süresi Aşıldı",IF(OR(S330="EKSİK ÖDENMİŞ",S330="FAZLA ÖDENMİŞ"),"İNCELEME GEREKLİ - Tutar Uyuşmazlığı",IF(LEFT(P330,7)="Bekleni","Bekleniyor","Uygun"))))))</f>
        <v/>
      </c>
    </row>
    <row r="331">
      <c r="A331" s="26">
        <f>IF('DIVA Satislari'!I331="","",'DIVA Satislari'!I331)</f>
        <v/>
      </c>
      <c r="B331" s="26">
        <f>IF('DIVA Satislari'!I331="","",'DIVA Satislari'!R331)</f>
        <v/>
      </c>
      <c r="C331" s="26">
        <f>IF('DIVA Satislari'!I331="","",'DIVA Satislari'!M331)</f>
        <v/>
      </c>
      <c r="D331" s="27">
        <f>IF('DIVA Satislari'!I331="","",'DIVA Satislari'!H331)</f>
        <v/>
      </c>
      <c r="E331" s="26">
        <f>IF('DIVA Satislari'!I331="","",'DIVA Satislari'!O331)</f>
        <v/>
      </c>
      <c r="F331" s="26">
        <f>IF('DIVA Satislari'!I331="","",'DIVA Satislari'!AK331)</f>
        <v/>
      </c>
      <c r="G331" s="26">
        <f>IF('DIVA Satislari'!I331="","",'DIVA Satislari'!AO331)</f>
        <v/>
      </c>
      <c r="H331" s="27">
        <f>IF('DIVA Satislari'!I331="","",'DIVA Satislari'!AN331)</f>
        <v/>
      </c>
      <c r="I331" s="28">
        <f>IF('DIVA Satislari'!I331="","",'DIVA Satislari'!AQ331)</f>
        <v/>
      </c>
      <c r="J331" s="26">
        <f>IF('DIVA Satislari'!I331="","",'DIVA Satislari'!AR331)</f>
        <v/>
      </c>
      <c r="K331" s="26">
        <f>IF('DIVA Satislari'!I331="","",IFERROR(INDEX('E2E Nakliye Montaj'!$AS$3:$AS$1002,MATCH('DIVA Satislari'!AJ331,'E2E Nakliye Montaj'!$AM$3:$AM$1002,0)),"Eşleşme Yok"))</f>
        <v/>
      </c>
      <c r="L331" s="26">
        <f>IF('DIVA Satislari'!I331="","",IFERROR(INDEX('E2E Nakliye Montaj'!$AT$3:$AT$1002,MATCH('DIVA Satislari'!AJ331,'E2E Nakliye Montaj'!$AM$3:$AM$1002,0)),"Hayır"))</f>
        <v/>
      </c>
      <c r="M331" s="26">
        <f>IF('DIVA Satislari'!I331="","",IFERROR(INDEX('E2E Nakliye Montaj'!$AU$3:$AU$1002,MATCH('DIVA Satislari'!AJ331,'E2E Nakliye Montaj'!$AM$3:$AM$1002,0)),"Hayır"))</f>
        <v/>
      </c>
      <c r="N331" s="27">
        <f>IF('DIVA Satislari'!I331="","",IFERROR(INDEX('E2E Nakliye Montaj'!$AV$3:$AV$1002,MATCH('DIVA Satislari'!AJ331,'E2E Nakliye Montaj'!$AM$3:$AM$1002,0)),""))</f>
        <v/>
      </c>
      <c r="O331" s="26">
        <f>IF(OR(A331="",N331=""),"",IF(N331&lt;=H331,"Evet","HAYIR - RİSK"))</f>
        <v/>
      </c>
      <c r="P331" s="26">
        <f>IF(A331="","",IF(LEFT(J331,8)="Kural A ","Uygun - Hemen Ödenir (Yıl Sonu %75 Kontrolüne Tabi)",IF(OR(L331="Evet",M331="Evet"),IF(O331="Evet","Uygun","RİSK - Hakediş Süresi Aşıldı"),"Bekleniyor - Nakliye/Montaj Tamamlanmadı")))</f>
        <v/>
      </c>
      <c r="Q331" s="28">
        <f>IF(A331="","",SUMIFS('Hakedis Fatura Detay'!$G$3:$G$1200,'Hakedis Fatura Detay'!$H$3:$H$1200,'DIVA Satislari'!AJ331,'Hakedis Fatura Detay'!$F$3:$F$1200,"Fiyat Farkı")+SUMIFS('Hakedis Fatura Detay'!$G$3:$G$1200,'Hakedis Fatura Detay'!$H$3:$H$1200,'DIVA Satislari'!AJ331,'Hakedis Fatura Detay'!$F$3:$F$1200,"Bundle"))</f>
        <v/>
      </c>
      <c r="R331" s="28">
        <f>IF(A331="","",I331-Q331)</f>
        <v/>
      </c>
      <c r="S331" s="26">
        <f>IF(A331="","",IF(LEFT(P331,7)="Bekleni","N/A - Henüz Ödenmemeli",IF(LEFT(P331,4)="RİSK","İNCELEME GEREKLİ - Süre Aşımı",IF(R331=0,"Doğru",IF(R331&gt;0,"EKSİK ÖDENMİŞ","FAZLA ÖDENMİŞ")))))</f>
        <v/>
      </c>
      <c r="T331" s="30">
        <f>IF(A331="","",IF(F331&lt;&gt;"Evet","İNCELEME GEREKLİ - Kampanya Tanımsız",IF(G331&lt;&gt;"Evet","İNCELEME GEREKLİ - Tarih Dışı Satış",IF(LEFT(P331,4)="RİSK","İNCELEME GEREKLİ - Hakediş Süresi Aşıldı",IF(OR(S331="EKSİK ÖDENMİŞ",S331="FAZLA ÖDENMİŞ"),"İNCELEME GEREKLİ - Tutar Uyuşmazlığı",IF(LEFT(P331,7)="Bekleni","Bekleniyor","Uygun"))))))</f>
        <v/>
      </c>
    </row>
    <row r="332">
      <c r="A332" s="26">
        <f>IF('DIVA Satislari'!I332="","",'DIVA Satislari'!I332)</f>
        <v/>
      </c>
      <c r="B332" s="26">
        <f>IF('DIVA Satislari'!I332="","",'DIVA Satislari'!R332)</f>
        <v/>
      </c>
      <c r="C332" s="26">
        <f>IF('DIVA Satislari'!I332="","",'DIVA Satislari'!M332)</f>
        <v/>
      </c>
      <c r="D332" s="27">
        <f>IF('DIVA Satislari'!I332="","",'DIVA Satislari'!H332)</f>
        <v/>
      </c>
      <c r="E332" s="26">
        <f>IF('DIVA Satislari'!I332="","",'DIVA Satislari'!O332)</f>
        <v/>
      </c>
      <c r="F332" s="26">
        <f>IF('DIVA Satislari'!I332="","",'DIVA Satislari'!AK332)</f>
        <v/>
      </c>
      <c r="G332" s="26">
        <f>IF('DIVA Satislari'!I332="","",'DIVA Satislari'!AO332)</f>
        <v/>
      </c>
      <c r="H332" s="27">
        <f>IF('DIVA Satislari'!I332="","",'DIVA Satislari'!AN332)</f>
        <v/>
      </c>
      <c r="I332" s="28">
        <f>IF('DIVA Satislari'!I332="","",'DIVA Satislari'!AQ332)</f>
        <v/>
      </c>
      <c r="J332" s="26">
        <f>IF('DIVA Satislari'!I332="","",'DIVA Satislari'!AR332)</f>
        <v/>
      </c>
      <c r="K332" s="26">
        <f>IF('DIVA Satislari'!I332="","",IFERROR(INDEX('E2E Nakliye Montaj'!$AS$3:$AS$1002,MATCH('DIVA Satislari'!AJ332,'E2E Nakliye Montaj'!$AM$3:$AM$1002,0)),"Eşleşme Yok"))</f>
        <v/>
      </c>
      <c r="L332" s="26">
        <f>IF('DIVA Satislari'!I332="","",IFERROR(INDEX('E2E Nakliye Montaj'!$AT$3:$AT$1002,MATCH('DIVA Satislari'!AJ332,'E2E Nakliye Montaj'!$AM$3:$AM$1002,0)),"Hayır"))</f>
        <v/>
      </c>
      <c r="M332" s="26">
        <f>IF('DIVA Satislari'!I332="","",IFERROR(INDEX('E2E Nakliye Montaj'!$AU$3:$AU$1002,MATCH('DIVA Satislari'!AJ332,'E2E Nakliye Montaj'!$AM$3:$AM$1002,0)),"Hayır"))</f>
        <v/>
      </c>
      <c r="N332" s="27">
        <f>IF('DIVA Satislari'!I332="","",IFERROR(INDEX('E2E Nakliye Montaj'!$AV$3:$AV$1002,MATCH('DIVA Satislari'!AJ332,'E2E Nakliye Montaj'!$AM$3:$AM$1002,0)),""))</f>
        <v/>
      </c>
      <c r="O332" s="26">
        <f>IF(OR(A332="",N332=""),"",IF(N332&lt;=H332,"Evet","HAYIR - RİSK"))</f>
        <v/>
      </c>
      <c r="P332" s="26">
        <f>IF(A332="","",IF(LEFT(J332,8)="Kural A ","Uygun - Hemen Ödenir (Yıl Sonu %75 Kontrolüne Tabi)",IF(OR(L332="Evet",M332="Evet"),IF(O332="Evet","Uygun","RİSK - Hakediş Süresi Aşıldı"),"Bekleniyor - Nakliye/Montaj Tamamlanmadı")))</f>
        <v/>
      </c>
      <c r="Q332" s="28">
        <f>IF(A332="","",SUMIFS('Hakedis Fatura Detay'!$G$3:$G$1200,'Hakedis Fatura Detay'!$H$3:$H$1200,'DIVA Satislari'!AJ332,'Hakedis Fatura Detay'!$F$3:$F$1200,"Fiyat Farkı")+SUMIFS('Hakedis Fatura Detay'!$G$3:$G$1200,'Hakedis Fatura Detay'!$H$3:$H$1200,'DIVA Satislari'!AJ332,'Hakedis Fatura Detay'!$F$3:$F$1200,"Bundle"))</f>
        <v/>
      </c>
      <c r="R332" s="28">
        <f>IF(A332="","",I332-Q332)</f>
        <v/>
      </c>
      <c r="S332" s="26">
        <f>IF(A332="","",IF(LEFT(P332,7)="Bekleni","N/A - Henüz Ödenmemeli",IF(LEFT(P332,4)="RİSK","İNCELEME GEREKLİ - Süre Aşımı",IF(R332=0,"Doğru",IF(R332&gt;0,"EKSİK ÖDENMİŞ","FAZLA ÖDENMİŞ")))))</f>
        <v/>
      </c>
      <c r="T332" s="30">
        <f>IF(A332="","",IF(F332&lt;&gt;"Evet","İNCELEME GEREKLİ - Kampanya Tanımsız",IF(G332&lt;&gt;"Evet","İNCELEME GEREKLİ - Tarih Dışı Satış",IF(LEFT(P332,4)="RİSK","İNCELEME GEREKLİ - Hakediş Süresi Aşıldı",IF(OR(S332="EKSİK ÖDENMİŞ",S332="FAZLA ÖDENMİŞ"),"İNCELEME GEREKLİ - Tutar Uyuşmazlığı",IF(LEFT(P332,7)="Bekleni","Bekleniyor","Uygun"))))))</f>
        <v/>
      </c>
    </row>
    <row r="333">
      <c r="A333" s="26">
        <f>IF('DIVA Satislari'!I333="","",'DIVA Satislari'!I333)</f>
        <v/>
      </c>
      <c r="B333" s="26">
        <f>IF('DIVA Satislari'!I333="","",'DIVA Satislari'!R333)</f>
        <v/>
      </c>
      <c r="C333" s="26">
        <f>IF('DIVA Satislari'!I333="","",'DIVA Satislari'!M333)</f>
        <v/>
      </c>
      <c r="D333" s="27">
        <f>IF('DIVA Satislari'!I333="","",'DIVA Satislari'!H333)</f>
        <v/>
      </c>
      <c r="E333" s="26">
        <f>IF('DIVA Satislari'!I333="","",'DIVA Satislari'!O333)</f>
        <v/>
      </c>
      <c r="F333" s="26">
        <f>IF('DIVA Satislari'!I333="","",'DIVA Satislari'!AK333)</f>
        <v/>
      </c>
      <c r="G333" s="26">
        <f>IF('DIVA Satislari'!I333="","",'DIVA Satislari'!AO333)</f>
        <v/>
      </c>
      <c r="H333" s="27">
        <f>IF('DIVA Satislari'!I333="","",'DIVA Satislari'!AN333)</f>
        <v/>
      </c>
      <c r="I333" s="28">
        <f>IF('DIVA Satislari'!I333="","",'DIVA Satislari'!AQ333)</f>
        <v/>
      </c>
      <c r="J333" s="26">
        <f>IF('DIVA Satislari'!I333="","",'DIVA Satislari'!AR333)</f>
        <v/>
      </c>
      <c r="K333" s="26">
        <f>IF('DIVA Satislari'!I333="","",IFERROR(INDEX('E2E Nakliye Montaj'!$AS$3:$AS$1002,MATCH('DIVA Satislari'!AJ333,'E2E Nakliye Montaj'!$AM$3:$AM$1002,0)),"Eşleşme Yok"))</f>
        <v/>
      </c>
      <c r="L333" s="26">
        <f>IF('DIVA Satislari'!I333="","",IFERROR(INDEX('E2E Nakliye Montaj'!$AT$3:$AT$1002,MATCH('DIVA Satislari'!AJ333,'E2E Nakliye Montaj'!$AM$3:$AM$1002,0)),"Hayır"))</f>
        <v/>
      </c>
      <c r="M333" s="26">
        <f>IF('DIVA Satislari'!I333="","",IFERROR(INDEX('E2E Nakliye Montaj'!$AU$3:$AU$1002,MATCH('DIVA Satislari'!AJ333,'E2E Nakliye Montaj'!$AM$3:$AM$1002,0)),"Hayır"))</f>
        <v/>
      </c>
      <c r="N333" s="27">
        <f>IF('DIVA Satislari'!I333="","",IFERROR(INDEX('E2E Nakliye Montaj'!$AV$3:$AV$1002,MATCH('DIVA Satislari'!AJ333,'E2E Nakliye Montaj'!$AM$3:$AM$1002,0)),""))</f>
        <v/>
      </c>
      <c r="O333" s="26">
        <f>IF(OR(A333="",N333=""),"",IF(N333&lt;=H333,"Evet","HAYIR - RİSK"))</f>
        <v/>
      </c>
      <c r="P333" s="26">
        <f>IF(A333="","",IF(LEFT(J333,8)="Kural A ","Uygun - Hemen Ödenir (Yıl Sonu %75 Kontrolüne Tabi)",IF(OR(L333="Evet",M333="Evet"),IF(O333="Evet","Uygun","RİSK - Hakediş Süresi Aşıldı"),"Bekleniyor - Nakliye/Montaj Tamamlanmadı")))</f>
        <v/>
      </c>
      <c r="Q333" s="28">
        <f>IF(A333="","",SUMIFS('Hakedis Fatura Detay'!$G$3:$G$1200,'Hakedis Fatura Detay'!$H$3:$H$1200,'DIVA Satislari'!AJ333,'Hakedis Fatura Detay'!$F$3:$F$1200,"Fiyat Farkı")+SUMIFS('Hakedis Fatura Detay'!$G$3:$G$1200,'Hakedis Fatura Detay'!$H$3:$H$1200,'DIVA Satislari'!AJ333,'Hakedis Fatura Detay'!$F$3:$F$1200,"Bundle"))</f>
        <v/>
      </c>
      <c r="R333" s="28">
        <f>IF(A333="","",I333-Q333)</f>
        <v/>
      </c>
      <c r="S333" s="26">
        <f>IF(A333="","",IF(LEFT(P333,7)="Bekleni","N/A - Henüz Ödenmemeli",IF(LEFT(P333,4)="RİSK","İNCELEME GEREKLİ - Süre Aşımı",IF(R333=0,"Doğru",IF(R333&gt;0,"EKSİK ÖDENMİŞ","FAZLA ÖDENMİŞ")))))</f>
        <v/>
      </c>
      <c r="T333" s="30">
        <f>IF(A333="","",IF(F333&lt;&gt;"Evet","İNCELEME GEREKLİ - Kampanya Tanımsız",IF(G333&lt;&gt;"Evet","İNCELEME GEREKLİ - Tarih Dışı Satış",IF(LEFT(P333,4)="RİSK","İNCELEME GEREKLİ - Hakediş Süresi Aşıldı",IF(OR(S333="EKSİK ÖDENMİŞ",S333="FAZLA ÖDENMİŞ"),"İNCELEME GEREKLİ - Tutar Uyuşmazlığı",IF(LEFT(P333,7)="Bekleni","Bekleniyor","Uygun"))))))</f>
        <v/>
      </c>
    </row>
    <row r="334">
      <c r="A334" s="26">
        <f>IF('DIVA Satislari'!I334="","",'DIVA Satislari'!I334)</f>
        <v/>
      </c>
      <c r="B334" s="26">
        <f>IF('DIVA Satislari'!I334="","",'DIVA Satislari'!R334)</f>
        <v/>
      </c>
      <c r="C334" s="26">
        <f>IF('DIVA Satislari'!I334="","",'DIVA Satislari'!M334)</f>
        <v/>
      </c>
      <c r="D334" s="27">
        <f>IF('DIVA Satislari'!I334="","",'DIVA Satislari'!H334)</f>
        <v/>
      </c>
      <c r="E334" s="26">
        <f>IF('DIVA Satislari'!I334="","",'DIVA Satislari'!O334)</f>
        <v/>
      </c>
      <c r="F334" s="26">
        <f>IF('DIVA Satislari'!I334="","",'DIVA Satislari'!AK334)</f>
        <v/>
      </c>
      <c r="G334" s="26">
        <f>IF('DIVA Satislari'!I334="","",'DIVA Satislari'!AO334)</f>
        <v/>
      </c>
      <c r="H334" s="27">
        <f>IF('DIVA Satislari'!I334="","",'DIVA Satislari'!AN334)</f>
        <v/>
      </c>
      <c r="I334" s="28">
        <f>IF('DIVA Satislari'!I334="","",'DIVA Satislari'!AQ334)</f>
        <v/>
      </c>
      <c r="J334" s="26">
        <f>IF('DIVA Satislari'!I334="","",'DIVA Satislari'!AR334)</f>
        <v/>
      </c>
      <c r="K334" s="26">
        <f>IF('DIVA Satislari'!I334="","",IFERROR(INDEX('E2E Nakliye Montaj'!$AS$3:$AS$1002,MATCH('DIVA Satislari'!AJ334,'E2E Nakliye Montaj'!$AM$3:$AM$1002,0)),"Eşleşme Yok"))</f>
        <v/>
      </c>
      <c r="L334" s="26">
        <f>IF('DIVA Satislari'!I334="","",IFERROR(INDEX('E2E Nakliye Montaj'!$AT$3:$AT$1002,MATCH('DIVA Satislari'!AJ334,'E2E Nakliye Montaj'!$AM$3:$AM$1002,0)),"Hayır"))</f>
        <v/>
      </c>
      <c r="M334" s="26">
        <f>IF('DIVA Satislari'!I334="","",IFERROR(INDEX('E2E Nakliye Montaj'!$AU$3:$AU$1002,MATCH('DIVA Satislari'!AJ334,'E2E Nakliye Montaj'!$AM$3:$AM$1002,0)),"Hayır"))</f>
        <v/>
      </c>
      <c r="N334" s="27">
        <f>IF('DIVA Satislari'!I334="","",IFERROR(INDEX('E2E Nakliye Montaj'!$AV$3:$AV$1002,MATCH('DIVA Satislari'!AJ334,'E2E Nakliye Montaj'!$AM$3:$AM$1002,0)),""))</f>
        <v/>
      </c>
      <c r="O334" s="26">
        <f>IF(OR(A334="",N334=""),"",IF(N334&lt;=H334,"Evet","HAYIR - RİSK"))</f>
        <v/>
      </c>
      <c r="P334" s="26">
        <f>IF(A334="","",IF(LEFT(J334,8)="Kural A ","Uygun - Hemen Ödenir (Yıl Sonu %75 Kontrolüne Tabi)",IF(OR(L334="Evet",M334="Evet"),IF(O334="Evet","Uygun","RİSK - Hakediş Süresi Aşıldı"),"Bekleniyor - Nakliye/Montaj Tamamlanmadı")))</f>
        <v/>
      </c>
      <c r="Q334" s="28">
        <f>IF(A334="","",SUMIFS('Hakedis Fatura Detay'!$G$3:$G$1200,'Hakedis Fatura Detay'!$H$3:$H$1200,'DIVA Satislari'!AJ334,'Hakedis Fatura Detay'!$F$3:$F$1200,"Fiyat Farkı")+SUMIFS('Hakedis Fatura Detay'!$G$3:$G$1200,'Hakedis Fatura Detay'!$H$3:$H$1200,'DIVA Satislari'!AJ334,'Hakedis Fatura Detay'!$F$3:$F$1200,"Bundle"))</f>
        <v/>
      </c>
      <c r="R334" s="28">
        <f>IF(A334="","",I334-Q334)</f>
        <v/>
      </c>
      <c r="S334" s="26">
        <f>IF(A334="","",IF(LEFT(P334,7)="Bekleni","N/A - Henüz Ödenmemeli",IF(LEFT(P334,4)="RİSK","İNCELEME GEREKLİ - Süre Aşımı",IF(R334=0,"Doğru",IF(R334&gt;0,"EKSİK ÖDENMİŞ","FAZLA ÖDENMİŞ")))))</f>
        <v/>
      </c>
      <c r="T334" s="30">
        <f>IF(A334="","",IF(F334&lt;&gt;"Evet","İNCELEME GEREKLİ - Kampanya Tanımsız",IF(G334&lt;&gt;"Evet","İNCELEME GEREKLİ - Tarih Dışı Satış",IF(LEFT(P334,4)="RİSK","İNCELEME GEREKLİ - Hakediş Süresi Aşıldı",IF(OR(S334="EKSİK ÖDENMİŞ",S334="FAZLA ÖDENMİŞ"),"İNCELEME GEREKLİ - Tutar Uyuşmazlığı",IF(LEFT(P334,7)="Bekleni","Bekleniyor","Uygun"))))))</f>
        <v/>
      </c>
    </row>
    <row r="335">
      <c r="A335" s="26">
        <f>IF('DIVA Satislari'!I335="","",'DIVA Satislari'!I335)</f>
        <v/>
      </c>
      <c r="B335" s="26">
        <f>IF('DIVA Satislari'!I335="","",'DIVA Satislari'!R335)</f>
        <v/>
      </c>
      <c r="C335" s="26">
        <f>IF('DIVA Satislari'!I335="","",'DIVA Satislari'!M335)</f>
        <v/>
      </c>
      <c r="D335" s="27">
        <f>IF('DIVA Satislari'!I335="","",'DIVA Satislari'!H335)</f>
        <v/>
      </c>
      <c r="E335" s="26">
        <f>IF('DIVA Satislari'!I335="","",'DIVA Satislari'!O335)</f>
        <v/>
      </c>
      <c r="F335" s="26">
        <f>IF('DIVA Satislari'!I335="","",'DIVA Satislari'!AK335)</f>
        <v/>
      </c>
      <c r="G335" s="26">
        <f>IF('DIVA Satislari'!I335="","",'DIVA Satislari'!AO335)</f>
        <v/>
      </c>
      <c r="H335" s="27">
        <f>IF('DIVA Satislari'!I335="","",'DIVA Satislari'!AN335)</f>
        <v/>
      </c>
      <c r="I335" s="28">
        <f>IF('DIVA Satislari'!I335="","",'DIVA Satislari'!AQ335)</f>
        <v/>
      </c>
      <c r="J335" s="26">
        <f>IF('DIVA Satislari'!I335="","",'DIVA Satislari'!AR335)</f>
        <v/>
      </c>
      <c r="K335" s="26">
        <f>IF('DIVA Satislari'!I335="","",IFERROR(INDEX('E2E Nakliye Montaj'!$AS$3:$AS$1002,MATCH('DIVA Satislari'!AJ335,'E2E Nakliye Montaj'!$AM$3:$AM$1002,0)),"Eşleşme Yok"))</f>
        <v/>
      </c>
      <c r="L335" s="26">
        <f>IF('DIVA Satislari'!I335="","",IFERROR(INDEX('E2E Nakliye Montaj'!$AT$3:$AT$1002,MATCH('DIVA Satislari'!AJ335,'E2E Nakliye Montaj'!$AM$3:$AM$1002,0)),"Hayır"))</f>
        <v/>
      </c>
      <c r="M335" s="26">
        <f>IF('DIVA Satislari'!I335="","",IFERROR(INDEX('E2E Nakliye Montaj'!$AU$3:$AU$1002,MATCH('DIVA Satislari'!AJ335,'E2E Nakliye Montaj'!$AM$3:$AM$1002,0)),"Hayır"))</f>
        <v/>
      </c>
      <c r="N335" s="27">
        <f>IF('DIVA Satislari'!I335="","",IFERROR(INDEX('E2E Nakliye Montaj'!$AV$3:$AV$1002,MATCH('DIVA Satislari'!AJ335,'E2E Nakliye Montaj'!$AM$3:$AM$1002,0)),""))</f>
        <v/>
      </c>
      <c r="O335" s="26">
        <f>IF(OR(A335="",N335=""),"",IF(N335&lt;=H335,"Evet","HAYIR - RİSK"))</f>
        <v/>
      </c>
      <c r="P335" s="26">
        <f>IF(A335="","",IF(LEFT(J335,8)="Kural A ","Uygun - Hemen Ödenir (Yıl Sonu %75 Kontrolüne Tabi)",IF(OR(L335="Evet",M335="Evet"),IF(O335="Evet","Uygun","RİSK - Hakediş Süresi Aşıldı"),"Bekleniyor - Nakliye/Montaj Tamamlanmadı")))</f>
        <v/>
      </c>
      <c r="Q335" s="28">
        <f>IF(A335="","",SUMIFS('Hakedis Fatura Detay'!$G$3:$G$1200,'Hakedis Fatura Detay'!$H$3:$H$1200,'DIVA Satislari'!AJ335,'Hakedis Fatura Detay'!$F$3:$F$1200,"Fiyat Farkı")+SUMIFS('Hakedis Fatura Detay'!$G$3:$G$1200,'Hakedis Fatura Detay'!$H$3:$H$1200,'DIVA Satislari'!AJ335,'Hakedis Fatura Detay'!$F$3:$F$1200,"Bundle"))</f>
        <v/>
      </c>
      <c r="R335" s="28">
        <f>IF(A335="","",I335-Q335)</f>
        <v/>
      </c>
      <c r="S335" s="26">
        <f>IF(A335="","",IF(LEFT(P335,7)="Bekleni","N/A - Henüz Ödenmemeli",IF(LEFT(P335,4)="RİSK","İNCELEME GEREKLİ - Süre Aşımı",IF(R335=0,"Doğru",IF(R335&gt;0,"EKSİK ÖDENMİŞ","FAZLA ÖDENMİŞ")))))</f>
        <v/>
      </c>
      <c r="T335" s="30">
        <f>IF(A335="","",IF(F335&lt;&gt;"Evet","İNCELEME GEREKLİ - Kampanya Tanımsız",IF(G335&lt;&gt;"Evet","İNCELEME GEREKLİ - Tarih Dışı Satış",IF(LEFT(P335,4)="RİSK","İNCELEME GEREKLİ - Hakediş Süresi Aşıldı",IF(OR(S335="EKSİK ÖDENMİŞ",S335="FAZLA ÖDENMİŞ"),"İNCELEME GEREKLİ - Tutar Uyuşmazlığı",IF(LEFT(P335,7)="Bekleni","Bekleniyor","Uygun"))))))</f>
        <v/>
      </c>
    </row>
    <row r="336">
      <c r="A336" s="26">
        <f>IF('DIVA Satislari'!I336="","",'DIVA Satislari'!I336)</f>
        <v/>
      </c>
      <c r="B336" s="26">
        <f>IF('DIVA Satislari'!I336="","",'DIVA Satislari'!R336)</f>
        <v/>
      </c>
      <c r="C336" s="26">
        <f>IF('DIVA Satislari'!I336="","",'DIVA Satislari'!M336)</f>
        <v/>
      </c>
      <c r="D336" s="27">
        <f>IF('DIVA Satislari'!I336="","",'DIVA Satislari'!H336)</f>
        <v/>
      </c>
      <c r="E336" s="26">
        <f>IF('DIVA Satislari'!I336="","",'DIVA Satislari'!O336)</f>
        <v/>
      </c>
      <c r="F336" s="26">
        <f>IF('DIVA Satislari'!I336="","",'DIVA Satislari'!AK336)</f>
        <v/>
      </c>
      <c r="G336" s="26">
        <f>IF('DIVA Satislari'!I336="","",'DIVA Satislari'!AO336)</f>
        <v/>
      </c>
      <c r="H336" s="27">
        <f>IF('DIVA Satislari'!I336="","",'DIVA Satislari'!AN336)</f>
        <v/>
      </c>
      <c r="I336" s="28">
        <f>IF('DIVA Satislari'!I336="","",'DIVA Satislari'!AQ336)</f>
        <v/>
      </c>
      <c r="J336" s="26">
        <f>IF('DIVA Satislari'!I336="","",'DIVA Satislari'!AR336)</f>
        <v/>
      </c>
      <c r="K336" s="26">
        <f>IF('DIVA Satislari'!I336="","",IFERROR(INDEX('E2E Nakliye Montaj'!$AS$3:$AS$1002,MATCH('DIVA Satislari'!AJ336,'E2E Nakliye Montaj'!$AM$3:$AM$1002,0)),"Eşleşme Yok"))</f>
        <v/>
      </c>
      <c r="L336" s="26">
        <f>IF('DIVA Satislari'!I336="","",IFERROR(INDEX('E2E Nakliye Montaj'!$AT$3:$AT$1002,MATCH('DIVA Satislari'!AJ336,'E2E Nakliye Montaj'!$AM$3:$AM$1002,0)),"Hayır"))</f>
        <v/>
      </c>
      <c r="M336" s="26">
        <f>IF('DIVA Satislari'!I336="","",IFERROR(INDEX('E2E Nakliye Montaj'!$AU$3:$AU$1002,MATCH('DIVA Satislari'!AJ336,'E2E Nakliye Montaj'!$AM$3:$AM$1002,0)),"Hayır"))</f>
        <v/>
      </c>
      <c r="N336" s="27">
        <f>IF('DIVA Satislari'!I336="","",IFERROR(INDEX('E2E Nakliye Montaj'!$AV$3:$AV$1002,MATCH('DIVA Satislari'!AJ336,'E2E Nakliye Montaj'!$AM$3:$AM$1002,0)),""))</f>
        <v/>
      </c>
      <c r="O336" s="26">
        <f>IF(OR(A336="",N336=""),"",IF(N336&lt;=H336,"Evet","HAYIR - RİSK"))</f>
        <v/>
      </c>
      <c r="P336" s="26">
        <f>IF(A336="","",IF(LEFT(J336,8)="Kural A ","Uygun - Hemen Ödenir (Yıl Sonu %75 Kontrolüne Tabi)",IF(OR(L336="Evet",M336="Evet"),IF(O336="Evet","Uygun","RİSK - Hakediş Süresi Aşıldı"),"Bekleniyor - Nakliye/Montaj Tamamlanmadı")))</f>
        <v/>
      </c>
      <c r="Q336" s="28">
        <f>IF(A336="","",SUMIFS('Hakedis Fatura Detay'!$G$3:$G$1200,'Hakedis Fatura Detay'!$H$3:$H$1200,'DIVA Satislari'!AJ336,'Hakedis Fatura Detay'!$F$3:$F$1200,"Fiyat Farkı")+SUMIFS('Hakedis Fatura Detay'!$G$3:$G$1200,'Hakedis Fatura Detay'!$H$3:$H$1200,'DIVA Satislari'!AJ336,'Hakedis Fatura Detay'!$F$3:$F$1200,"Bundle"))</f>
        <v/>
      </c>
      <c r="R336" s="28">
        <f>IF(A336="","",I336-Q336)</f>
        <v/>
      </c>
      <c r="S336" s="26">
        <f>IF(A336="","",IF(LEFT(P336,7)="Bekleni","N/A - Henüz Ödenmemeli",IF(LEFT(P336,4)="RİSK","İNCELEME GEREKLİ - Süre Aşımı",IF(R336=0,"Doğru",IF(R336&gt;0,"EKSİK ÖDENMİŞ","FAZLA ÖDENMİŞ")))))</f>
        <v/>
      </c>
      <c r="T336" s="30">
        <f>IF(A336="","",IF(F336&lt;&gt;"Evet","İNCELEME GEREKLİ - Kampanya Tanımsız",IF(G336&lt;&gt;"Evet","İNCELEME GEREKLİ - Tarih Dışı Satış",IF(LEFT(P336,4)="RİSK","İNCELEME GEREKLİ - Hakediş Süresi Aşıldı",IF(OR(S336="EKSİK ÖDENMİŞ",S336="FAZLA ÖDENMİŞ"),"İNCELEME GEREKLİ - Tutar Uyuşmazlığı",IF(LEFT(P336,7)="Bekleni","Bekleniyor","Uygun"))))))</f>
        <v/>
      </c>
    </row>
    <row r="337">
      <c r="A337" s="26">
        <f>IF('DIVA Satislari'!I337="","",'DIVA Satislari'!I337)</f>
        <v/>
      </c>
      <c r="B337" s="26">
        <f>IF('DIVA Satislari'!I337="","",'DIVA Satislari'!R337)</f>
        <v/>
      </c>
      <c r="C337" s="26">
        <f>IF('DIVA Satislari'!I337="","",'DIVA Satislari'!M337)</f>
        <v/>
      </c>
      <c r="D337" s="27">
        <f>IF('DIVA Satislari'!I337="","",'DIVA Satislari'!H337)</f>
        <v/>
      </c>
      <c r="E337" s="26">
        <f>IF('DIVA Satislari'!I337="","",'DIVA Satislari'!O337)</f>
        <v/>
      </c>
      <c r="F337" s="26">
        <f>IF('DIVA Satislari'!I337="","",'DIVA Satislari'!AK337)</f>
        <v/>
      </c>
      <c r="G337" s="26">
        <f>IF('DIVA Satislari'!I337="","",'DIVA Satislari'!AO337)</f>
        <v/>
      </c>
      <c r="H337" s="27">
        <f>IF('DIVA Satislari'!I337="","",'DIVA Satislari'!AN337)</f>
        <v/>
      </c>
      <c r="I337" s="28">
        <f>IF('DIVA Satislari'!I337="","",'DIVA Satislari'!AQ337)</f>
        <v/>
      </c>
      <c r="J337" s="26">
        <f>IF('DIVA Satislari'!I337="","",'DIVA Satislari'!AR337)</f>
        <v/>
      </c>
      <c r="K337" s="26">
        <f>IF('DIVA Satislari'!I337="","",IFERROR(INDEX('E2E Nakliye Montaj'!$AS$3:$AS$1002,MATCH('DIVA Satislari'!AJ337,'E2E Nakliye Montaj'!$AM$3:$AM$1002,0)),"Eşleşme Yok"))</f>
        <v/>
      </c>
      <c r="L337" s="26">
        <f>IF('DIVA Satislari'!I337="","",IFERROR(INDEX('E2E Nakliye Montaj'!$AT$3:$AT$1002,MATCH('DIVA Satislari'!AJ337,'E2E Nakliye Montaj'!$AM$3:$AM$1002,0)),"Hayır"))</f>
        <v/>
      </c>
      <c r="M337" s="26">
        <f>IF('DIVA Satislari'!I337="","",IFERROR(INDEX('E2E Nakliye Montaj'!$AU$3:$AU$1002,MATCH('DIVA Satislari'!AJ337,'E2E Nakliye Montaj'!$AM$3:$AM$1002,0)),"Hayır"))</f>
        <v/>
      </c>
      <c r="N337" s="27">
        <f>IF('DIVA Satislari'!I337="","",IFERROR(INDEX('E2E Nakliye Montaj'!$AV$3:$AV$1002,MATCH('DIVA Satislari'!AJ337,'E2E Nakliye Montaj'!$AM$3:$AM$1002,0)),""))</f>
        <v/>
      </c>
      <c r="O337" s="26">
        <f>IF(OR(A337="",N337=""),"",IF(N337&lt;=H337,"Evet","HAYIR - RİSK"))</f>
        <v/>
      </c>
      <c r="P337" s="26">
        <f>IF(A337="","",IF(LEFT(J337,8)="Kural A ","Uygun - Hemen Ödenir (Yıl Sonu %75 Kontrolüne Tabi)",IF(OR(L337="Evet",M337="Evet"),IF(O337="Evet","Uygun","RİSK - Hakediş Süresi Aşıldı"),"Bekleniyor - Nakliye/Montaj Tamamlanmadı")))</f>
        <v/>
      </c>
      <c r="Q337" s="28">
        <f>IF(A337="","",SUMIFS('Hakedis Fatura Detay'!$G$3:$G$1200,'Hakedis Fatura Detay'!$H$3:$H$1200,'DIVA Satislari'!AJ337,'Hakedis Fatura Detay'!$F$3:$F$1200,"Fiyat Farkı")+SUMIFS('Hakedis Fatura Detay'!$G$3:$G$1200,'Hakedis Fatura Detay'!$H$3:$H$1200,'DIVA Satislari'!AJ337,'Hakedis Fatura Detay'!$F$3:$F$1200,"Bundle"))</f>
        <v/>
      </c>
      <c r="R337" s="28">
        <f>IF(A337="","",I337-Q337)</f>
        <v/>
      </c>
      <c r="S337" s="26">
        <f>IF(A337="","",IF(LEFT(P337,7)="Bekleni","N/A - Henüz Ödenmemeli",IF(LEFT(P337,4)="RİSK","İNCELEME GEREKLİ - Süre Aşımı",IF(R337=0,"Doğru",IF(R337&gt;0,"EKSİK ÖDENMİŞ","FAZLA ÖDENMİŞ")))))</f>
        <v/>
      </c>
      <c r="T337" s="30">
        <f>IF(A337="","",IF(F337&lt;&gt;"Evet","İNCELEME GEREKLİ - Kampanya Tanımsız",IF(G337&lt;&gt;"Evet","İNCELEME GEREKLİ - Tarih Dışı Satış",IF(LEFT(P337,4)="RİSK","İNCELEME GEREKLİ - Hakediş Süresi Aşıldı",IF(OR(S337="EKSİK ÖDENMİŞ",S337="FAZLA ÖDENMİŞ"),"İNCELEME GEREKLİ - Tutar Uyuşmazlığı",IF(LEFT(P337,7)="Bekleni","Bekleniyor","Uygun"))))))</f>
        <v/>
      </c>
    </row>
    <row r="338">
      <c r="A338" s="26">
        <f>IF('DIVA Satislari'!I338="","",'DIVA Satislari'!I338)</f>
        <v/>
      </c>
      <c r="B338" s="26">
        <f>IF('DIVA Satislari'!I338="","",'DIVA Satislari'!R338)</f>
        <v/>
      </c>
      <c r="C338" s="26">
        <f>IF('DIVA Satislari'!I338="","",'DIVA Satislari'!M338)</f>
        <v/>
      </c>
      <c r="D338" s="27">
        <f>IF('DIVA Satislari'!I338="","",'DIVA Satislari'!H338)</f>
        <v/>
      </c>
      <c r="E338" s="26">
        <f>IF('DIVA Satislari'!I338="","",'DIVA Satislari'!O338)</f>
        <v/>
      </c>
      <c r="F338" s="26">
        <f>IF('DIVA Satislari'!I338="","",'DIVA Satislari'!AK338)</f>
        <v/>
      </c>
      <c r="G338" s="26">
        <f>IF('DIVA Satislari'!I338="","",'DIVA Satislari'!AO338)</f>
        <v/>
      </c>
      <c r="H338" s="27">
        <f>IF('DIVA Satislari'!I338="","",'DIVA Satislari'!AN338)</f>
        <v/>
      </c>
      <c r="I338" s="28">
        <f>IF('DIVA Satislari'!I338="","",'DIVA Satislari'!AQ338)</f>
        <v/>
      </c>
      <c r="J338" s="26">
        <f>IF('DIVA Satislari'!I338="","",'DIVA Satislari'!AR338)</f>
        <v/>
      </c>
      <c r="K338" s="26">
        <f>IF('DIVA Satislari'!I338="","",IFERROR(INDEX('E2E Nakliye Montaj'!$AS$3:$AS$1002,MATCH('DIVA Satislari'!AJ338,'E2E Nakliye Montaj'!$AM$3:$AM$1002,0)),"Eşleşme Yok"))</f>
        <v/>
      </c>
      <c r="L338" s="26">
        <f>IF('DIVA Satislari'!I338="","",IFERROR(INDEX('E2E Nakliye Montaj'!$AT$3:$AT$1002,MATCH('DIVA Satislari'!AJ338,'E2E Nakliye Montaj'!$AM$3:$AM$1002,0)),"Hayır"))</f>
        <v/>
      </c>
      <c r="M338" s="26">
        <f>IF('DIVA Satislari'!I338="","",IFERROR(INDEX('E2E Nakliye Montaj'!$AU$3:$AU$1002,MATCH('DIVA Satislari'!AJ338,'E2E Nakliye Montaj'!$AM$3:$AM$1002,0)),"Hayır"))</f>
        <v/>
      </c>
      <c r="N338" s="27">
        <f>IF('DIVA Satislari'!I338="","",IFERROR(INDEX('E2E Nakliye Montaj'!$AV$3:$AV$1002,MATCH('DIVA Satislari'!AJ338,'E2E Nakliye Montaj'!$AM$3:$AM$1002,0)),""))</f>
        <v/>
      </c>
      <c r="O338" s="26">
        <f>IF(OR(A338="",N338=""),"",IF(N338&lt;=H338,"Evet","HAYIR - RİSK"))</f>
        <v/>
      </c>
      <c r="P338" s="26">
        <f>IF(A338="","",IF(LEFT(J338,8)="Kural A ","Uygun - Hemen Ödenir (Yıl Sonu %75 Kontrolüne Tabi)",IF(OR(L338="Evet",M338="Evet"),IF(O338="Evet","Uygun","RİSK - Hakediş Süresi Aşıldı"),"Bekleniyor - Nakliye/Montaj Tamamlanmadı")))</f>
        <v/>
      </c>
      <c r="Q338" s="28">
        <f>IF(A338="","",SUMIFS('Hakedis Fatura Detay'!$G$3:$G$1200,'Hakedis Fatura Detay'!$H$3:$H$1200,'DIVA Satislari'!AJ338,'Hakedis Fatura Detay'!$F$3:$F$1200,"Fiyat Farkı")+SUMIFS('Hakedis Fatura Detay'!$G$3:$G$1200,'Hakedis Fatura Detay'!$H$3:$H$1200,'DIVA Satislari'!AJ338,'Hakedis Fatura Detay'!$F$3:$F$1200,"Bundle"))</f>
        <v/>
      </c>
      <c r="R338" s="28">
        <f>IF(A338="","",I338-Q338)</f>
        <v/>
      </c>
      <c r="S338" s="26">
        <f>IF(A338="","",IF(LEFT(P338,7)="Bekleni","N/A - Henüz Ödenmemeli",IF(LEFT(P338,4)="RİSK","İNCELEME GEREKLİ - Süre Aşımı",IF(R338=0,"Doğru",IF(R338&gt;0,"EKSİK ÖDENMİŞ","FAZLA ÖDENMİŞ")))))</f>
        <v/>
      </c>
      <c r="T338" s="30">
        <f>IF(A338="","",IF(F338&lt;&gt;"Evet","İNCELEME GEREKLİ - Kampanya Tanımsız",IF(G338&lt;&gt;"Evet","İNCELEME GEREKLİ - Tarih Dışı Satış",IF(LEFT(P338,4)="RİSK","İNCELEME GEREKLİ - Hakediş Süresi Aşıldı",IF(OR(S338="EKSİK ÖDENMİŞ",S338="FAZLA ÖDENMİŞ"),"İNCELEME GEREKLİ - Tutar Uyuşmazlığı",IF(LEFT(P338,7)="Bekleni","Bekleniyor","Uygun"))))))</f>
        <v/>
      </c>
    </row>
    <row r="339">
      <c r="A339" s="26">
        <f>IF('DIVA Satislari'!I339="","",'DIVA Satislari'!I339)</f>
        <v/>
      </c>
      <c r="B339" s="26">
        <f>IF('DIVA Satislari'!I339="","",'DIVA Satislari'!R339)</f>
        <v/>
      </c>
      <c r="C339" s="26">
        <f>IF('DIVA Satislari'!I339="","",'DIVA Satislari'!M339)</f>
        <v/>
      </c>
      <c r="D339" s="27">
        <f>IF('DIVA Satislari'!I339="","",'DIVA Satislari'!H339)</f>
        <v/>
      </c>
      <c r="E339" s="26">
        <f>IF('DIVA Satislari'!I339="","",'DIVA Satislari'!O339)</f>
        <v/>
      </c>
      <c r="F339" s="26">
        <f>IF('DIVA Satislari'!I339="","",'DIVA Satislari'!AK339)</f>
        <v/>
      </c>
      <c r="G339" s="26">
        <f>IF('DIVA Satislari'!I339="","",'DIVA Satislari'!AO339)</f>
        <v/>
      </c>
      <c r="H339" s="27">
        <f>IF('DIVA Satislari'!I339="","",'DIVA Satislari'!AN339)</f>
        <v/>
      </c>
      <c r="I339" s="28">
        <f>IF('DIVA Satislari'!I339="","",'DIVA Satislari'!AQ339)</f>
        <v/>
      </c>
      <c r="J339" s="26">
        <f>IF('DIVA Satislari'!I339="","",'DIVA Satislari'!AR339)</f>
        <v/>
      </c>
      <c r="K339" s="26">
        <f>IF('DIVA Satislari'!I339="","",IFERROR(INDEX('E2E Nakliye Montaj'!$AS$3:$AS$1002,MATCH('DIVA Satislari'!AJ339,'E2E Nakliye Montaj'!$AM$3:$AM$1002,0)),"Eşleşme Yok"))</f>
        <v/>
      </c>
      <c r="L339" s="26">
        <f>IF('DIVA Satislari'!I339="","",IFERROR(INDEX('E2E Nakliye Montaj'!$AT$3:$AT$1002,MATCH('DIVA Satislari'!AJ339,'E2E Nakliye Montaj'!$AM$3:$AM$1002,0)),"Hayır"))</f>
        <v/>
      </c>
      <c r="M339" s="26">
        <f>IF('DIVA Satislari'!I339="","",IFERROR(INDEX('E2E Nakliye Montaj'!$AU$3:$AU$1002,MATCH('DIVA Satislari'!AJ339,'E2E Nakliye Montaj'!$AM$3:$AM$1002,0)),"Hayır"))</f>
        <v/>
      </c>
      <c r="N339" s="27">
        <f>IF('DIVA Satislari'!I339="","",IFERROR(INDEX('E2E Nakliye Montaj'!$AV$3:$AV$1002,MATCH('DIVA Satislari'!AJ339,'E2E Nakliye Montaj'!$AM$3:$AM$1002,0)),""))</f>
        <v/>
      </c>
      <c r="O339" s="26">
        <f>IF(OR(A339="",N339=""),"",IF(N339&lt;=H339,"Evet","HAYIR - RİSK"))</f>
        <v/>
      </c>
      <c r="P339" s="26">
        <f>IF(A339="","",IF(LEFT(J339,8)="Kural A ","Uygun - Hemen Ödenir (Yıl Sonu %75 Kontrolüne Tabi)",IF(OR(L339="Evet",M339="Evet"),IF(O339="Evet","Uygun","RİSK - Hakediş Süresi Aşıldı"),"Bekleniyor - Nakliye/Montaj Tamamlanmadı")))</f>
        <v/>
      </c>
      <c r="Q339" s="28">
        <f>IF(A339="","",SUMIFS('Hakedis Fatura Detay'!$G$3:$G$1200,'Hakedis Fatura Detay'!$H$3:$H$1200,'DIVA Satislari'!AJ339,'Hakedis Fatura Detay'!$F$3:$F$1200,"Fiyat Farkı")+SUMIFS('Hakedis Fatura Detay'!$G$3:$G$1200,'Hakedis Fatura Detay'!$H$3:$H$1200,'DIVA Satislari'!AJ339,'Hakedis Fatura Detay'!$F$3:$F$1200,"Bundle"))</f>
        <v/>
      </c>
      <c r="R339" s="28">
        <f>IF(A339="","",I339-Q339)</f>
        <v/>
      </c>
      <c r="S339" s="26">
        <f>IF(A339="","",IF(LEFT(P339,7)="Bekleni","N/A - Henüz Ödenmemeli",IF(LEFT(P339,4)="RİSK","İNCELEME GEREKLİ - Süre Aşımı",IF(R339=0,"Doğru",IF(R339&gt;0,"EKSİK ÖDENMİŞ","FAZLA ÖDENMİŞ")))))</f>
        <v/>
      </c>
      <c r="T339" s="30">
        <f>IF(A339="","",IF(F339&lt;&gt;"Evet","İNCELEME GEREKLİ - Kampanya Tanımsız",IF(G339&lt;&gt;"Evet","İNCELEME GEREKLİ - Tarih Dışı Satış",IF(LEFT(P339,4)="RİSK","İNCELEME GEREKLİ - Hakediş Süresi Aşıldı",IF(OR(S339="EKSİK ÖDENMİŞ",S339="FAZLA ÖDENMİŞ"),"İNCELEME GEREKLİ - Tutar Uyuşmazlığı",IF(LEFT(P339,7)="Bekleni","Bekleniyor","Uygun"))))))</f>
        <v/>
      </c>
    </row>
    <row r="340">
      <c r="A340" s="26">
        <f>IF('DIVA Satislari'!I340="","",'DIVA Satislari'!I340)</f>
        <v/>
      </c>
      <c r="B340" s="26">
        <f>IF('DIVA Satislari'!I340="","",'DIVA Satislari'!R340)</f>
        <v/>
      </c>
      <c r="C340" s="26">
        <f>IF('DIVA Satislari'!I340="","",'DIVA Satislari'!M340)</f>
        <v/>
      </c>
      <c r="D340" s="27">
        <f>IF('DIVA Satislari'!I340="","",'DIVA Satislari'!H340)</f>
        <v/>
      </c>
      <c r="E340" s="26">
        <f>IF('DIVA Satislari'!I340="","",'DIVA Satislari'!O340)</f>
        <v/>
      </c>
      <c r="F340" s="26">
        <f>IF('DIVA Satislari'!I340="","",'DIVA Satislari'!AK340)</f>
        <v/>
      </c>
      <c r="G340" s="26">
        <f>IF('DIVA Satislari'!I340="","",'DIVA Satislari'!AO340)</f>
        <v/>
      </c>
      <c r="H340" s="27">
        <f>IF('DIVA Satislari'!I340="","",'DIVA Satislari'!AN340)</f>
        <v/>
      </c>
      <c r="I340" s="28">
        <f>IF('DIVA Satislari'!I340="","",'DIVA Satislari'!AQ340)</f>
        <v/>
      </c>
      <c r="J340" s="26">
        <f>IF('DIVA Satislari'!I340="","",'DIVA Satislari'!AR340)</f>
        <v/>
      </c>
      <c r="K340" s="26">
        <f>IF('DIVA Satislari'!I340="","",IFERROR(INDEX('E2E Nakliye Montaj'!$AS$3:$AS$1002,MATCH('DIVA Satislari'!AJ340,'E2E Nakliye Montaj'!$AM$3:$AM$1002,0)),"Eşleşme Yok"))</f>
        <v/>
      </c>
      <c r="L340" s="26">
        <f>IF('DIVA Satislari'!I340="","",IFERROR(INDEX('E2E Nakliye Montaj'!$AT$3:$AT$1002,MATCH('DIVA Satislari'!AJ340,'E2E Nakliye Montaj'!$AM$3:$AM$1002,0)),"Hayır"))</f>
        <v/>
      </c>
      <c r="M340" s="26">
        <f>IF('DIVA Satislari'!I340="","",IFERROR(INDEX('E2E Nakliye Montaj'!$AU$3:$AU$1002,MATCH('DIVA Satislari'!AJ340,'E2E Nakliye Montaj'!$AM$3:$AM$1002,0)),"Hayır"))</f>
        <v/>
      </c>
      <c r="N340" s="27">
        <f>IF('DIVA Satislari'!I340="","",IFERROR(INDEX('E2E Nakliye Montaj'!$AV$3:$AV$1002,MATCH('DIVA Satislari'!AJ340,'E2E Nakliye Montaj'!$AM$3:$AM$1002,0)),""))</f>
        <v/>
      </c>
      <c r="O340" s="26">
        <f>IF(OR(A340="",N340=""),"",IF(N340&lt;=H340,"Evet","HAYIR - RİSK"))</f>
        <v/>
      </c>
      <c r="P340" s="26">
        <f>IF(A340="","",IF(LEFT(J340,8)="Kural A ","Uygun - Hemen Ödenir (Yıl Sonu %75 Kontrolüne Tabi)",IF(OR(L340="Evet",M340="Evet"),IF(O340="Evet","Uygun","RİSK - Hakediş Süresi Aşıldı"),"Bekleniyor - Nakliye/Montaj Tamamlanmadı")))</f>
        <v/>
      </c>
      <c r="Q340" s="28">
        <f>IF(A340="","",SUMIFS('Hakedis Fatura Detay'!$G$3:$G$1200,'Hakedis Fatura Detay'!$H$3:$H$1200,'DIVA Satislari'!AJ340,'Hakedis Fatura Detay'!$F$3:$F$1200,"Fiyat Farkı")+SUMIFS('Hakedis Fatura Detay'!$G$3:$G$1200,'Hakedis Fatura Detay'!$H$3:$H$1200,'DIVA Satislari'!AJ340,'Hakedis Fatura Detay'!$F$3:$F$1200,"Bundle"))</f>
        <v/>
      </c>
      <c r="R340" s="28">
        <f>IF(A340="","",I340-Q340)</f>
        <v/>
      </c>
      <c r="S340" s="26">
        <f>IF(A340="","",IF(LEFT(P340,7)="Bekleni","N/A - Henüz Ödenmemeli",IF(LEFT(P340,4)="RİSK","İNCELEME GEREKLİ - Süre Aşımı",IF(R340=0,"Doğru",IF(R340&gt;0,"EKSİK ÖDENMİŞ","FAZLA ÖDENMİŞ")))))</f>
        <v/>
      </c>
      <c r="T340" s="30">
        <f>IF(A340="","",IF(F340&lt;&gt;"Evet","İNCELEME GEREKLİ - Kampanya Tanımsız",IF(G340&lt;&gt;"Evet","İNCELEME GEREKLİ - Tarih Dışı Satış",IF(LEFT(P340,4)="RİSK","İNCELEME GEREKLİ - Hakediş Süresi Aşıldı",IF(OR(S340="EKSİK ÖDENMİŞ",S340="FAZLA ÖDENMİŞ"),"İNCELEME GEREKLİ - Tutar Uyuşmazlığı",IF(LEFT(P340,7)="Bekleni","Bekleniyor","Uygun"))))))</f>
        <v/>
      </c>
    </row>
    <row r="341">
      <c r="A341" s="26">
        <f>IF('DIVA Satislari'!I341="","",'DIVA Satislari'!I341)</f>
        <v/>
      </c>
      <c r="B341" s="26">
        <f>IF('DIVA Satislari'!I341="","",'DIVA Satislari'!R341)</f>
        <v/>
      </c>
      <c r="C341" s="26">
        <f>IF('DIVA Satislari'!I341="","",'DIVA Satislari'!M341)</f>
        <v/>
      </c>
      <c r="D341" s="27">
        <f>IF('DIVA Satislari'!I341="","",'DIVA Satislari'!H341)</f>
        <v/>
      </c>
      <c r="E341" s="26">
        <f>IF('DIVA Satislari'!I341="","",'DIVA Satislari'!O341)</f>
        <v/>
      </c>
      <c r="F341" s="26">
        <f>IF('DIVA Satislari'!I341="","",'DIVA Satislari'!AK341)</f>
        <v/>
      </c>
      <c r="G341" s="26">
        <f>IF('DIVA Satislari'!I341="","",'DIVA Satislari'!AO341)</f>
        <v/>
      </c>
      <c r="H341" s="27">
        <f>IF('DIVA Satislari'!I341="","",'DIVA Satislari'!AN341)</f>
        <v/>
      </c>
      <c r="I341" s="28">
        <f>IF('DIVA Satislari'!I341="","",'DIVA Satislari'!AQ341)</f>
        <v/>
      </c>
      <c r="J341" s="26">
        <f>IF('DIVA Satislari'!I341="","",'DIVA Satislari'!AR341)</f>
        <v/>
      </c>
      <c r="K341" s="26">
        <f>IF('DIVA Satislari'!I341="","",IFERROR(INDEX('E2E Nakliye Montaj'!$AS$3:$AS$1002,MATCH('DIVA Satislari'!AJ341,'E2E Nakliye Montaj'!$AM$3:$AM$1002,0)),"Eşleşme Yok"))</f>
        <v/>
      </c>
      <c r="L341" s="26">
        <f>IF('DIVA Satislari'!I341="","",IFERROR(INDEX('E2E Nakliye Montaj'!$AT$3:$AT$1002,MATCH('DIVA Satislari'!AJ341,'E2E Nakliye Montaj'!$AM$3:$AM$1002,0)),"Hayır"))</f>
        <v/>
      </c>
      <c r="M341" s="26">
        <f>IF('DIVA Satislari'!I341="","",IFERROR(INDEX('E2E Nakliye Montaj'!$AU$3:$AU$1002,MATCH('DIVA Satislari'!AJ341,'E2E Nakliye Montaj'!$AM$3:$AM$1002,0)),"Hayır"))</f>
        <v/>
      </c>
      <c r="N341" s="27">
        <f>IF('DIVA Satislari'!I341="","",IFERROR(INDEX('E2E Nakliye Montaj'!$AV$3:$AV$1002,MATCH('DIVA Satislari'!AJ341,'E2E Nakliye Montaj'!$AM$3:$AM$1002,0)),""))</f>
        <v/>
      </c>
      <c r="O341" s="26">
        <f>IF(OR(A341="",N341=""),"",IF(N341&lt;=H341,"Evet","HAYIR - RİSK"))</f>
        <v/>
      </c>
      <c r="P341" s="26">
        <f>IF(A341="","",IF(LEFT(J341,8)="Kural A ","Uygun - Hemen Ödenir (Yıl Sonu %75 Kontrolüne Tabi)",IF(OR(L341="Evet",M341="Evet"),IF(O341="Evet","Uygun","RİSK - Hakediş Süresi Aşıldı"),"Bekleniyor - Nakliye/Montaj Tamamlanmadı")))</f>
        <v/>
      </c>
      <c r="Q341" s="28">
        <f>IF(A341="","",SUMIFS('Hakedis Fatura Detay'!$G$3:$G$1200,'Hakedis Fatura Detay'!$H$3:$H$1200,'DIVA Satislari'!AJ341,'Hakedis Fatura Detay'!$F$3:$F$1200,"Fiyat Farkı")+SUMIFS('Hakedis Fatura Detay'!$G$3:$G$1200,'Hakedis Fatura Detay'!$H$3:$H$1200,'DIVA Satislari'!AJ341,'Hakedis Fatura Detay'!$F$3:$F$1200,"Bundle"))</f>
        <v/>
      </c>
      <c r="R341" s="28">
        <f>IF(A341="","",I341-Q341)</f>
        <v/>
      </c>
      <c r="S341" s="26">
        <f>IF(A341="","",IF(LEFT(P341,7)="Bekleni","N/A - Henüz Ödenmemeli",IF(LEFT(P341,4)="RİSK","İNCELEME GEREKLİ - Süre Aşımı",IF(R341=0,"Doğru",IF(R341&gt;0,"EKSİK ÖDENMİŞ","FAZLA ÖDENMİŞ")))))</f>
        <v/>
      </c>
      <c r="T341" s="30">
        <f>IF(A341="","",IF(F341&lt;&gt;"Evet","İNCELEME GEREKLİ - Kampanya Tanımsız",IF(G341&lt;&gt;"Evet","İNCELEME GEREKLİ - Tarih Dışı Satış",IF(LEFT(P341,4)="RİSK","İNCELEME GEREKLİ - Hakediş Süresi Aşıldı",IF(OR(S341="EKSİK ÖDENMİŞ",S341="FAZLA ÖDENMİŞ"),"İNCELEME GEREKLİ - Tutar Uyuşmazlığı",IF(LEFT(P341,7)="Bekleni","Bekleniyor","Uygun"))))))</f>
        <v/>
      </c>
    </row>
    <row r="342">
      <c r="A342" s="26">
        <f>IF('DIVA Satislari'!I342="","",'DIVA Satislari'!I342)</f>
        <v/>
      </c>
      <c r="B342" s="26">
        <f>IF('DIVA Satislari'!I342="","",'DIVA Satislari'!R342)</f>
        <v/>
      </c>
      <c r="C342" s="26">
        <f>IF('DIVA Satislari'!I342="","",'DIVA Satislari'!M342)</f>
        <v/>
      </c>
      <c r="D342" s="27">
        <f>IF('DIVA Satislari'!I342="","",'DIVA Satislari'!H342)</f>
        <v/>
      </c>
      <c r="E342" s="26">
        <f>IF('DIVA Satislari'!I342="","",'DIVA Satislari'!O342)</f>
        <v/>
      </c>
      <c r="F342" s="26">
        <f>IF('DIVA Satislari'!I342="","",'DIVA Satislari'!AK342)</f>
        <v/>
      </c>
      <c r="G342" s="26">
        <f>IF('DIVA Satislari'!I342="","",'DIVA Satislari'!AO342)</f>
        <v/>
      </c>
      <c r="H342" s="27">
        <f>IF('DIVA Satislari'!I342="","",'DIVA Satislari'!AN342)</f>
        <v/>
      </c>
      <c r="I342" s="28">
        <f>IF('DIVA Satislari'!I342="","",'DIVA Satislari'!AQ342)</f>
        <v/>
      </c>
      <c r="J342" s="26">
        <f>IF('DIVA Satislari'!I342="","",'DIVA Satislari'!AR342)</f>
        <v/>
      </c>
      <c r="K342" s="26">
        <f>IF('DIVA Satislari'!I342="","",IFERROR(INDEX('E2E Nakliye Montaj'!$AS$3:$AS$1002,MATCH('DIVA Satislari'!AJ342,'E2E Nakliye Montaj'!$AM$3:$AM$1002,0)),"Eşleşme Yok"))</f>
        <v/>
      </c>
      <c r="L342" s="26">
        <f>IF('DIVA Satislari'!I342="","",IFERROR(INDEX('E2E Nakliye Montaj'!$AT$3:$AT$1002,MATCH('DIVA Satislari'!AJ342,'E2E Nakliye Montaj'!$AM$3:$AM$1002,0)),"Hayır"))</f>
        <v/>
      </c>
      <c r="M342" s="26">
        <f>IF('DIVA Satislari'!I342="","",IFERROR(INDEX('E2E Nakliye Montaj'!$AU$3:$AU$1002,MATCH('DIVA Satislari'!AJ342,'E2E Nakliye Montaj'!$AM$3:$AM$1002,0)),"Hayır"))</f>
        <v/>
      </c>
      <c r="N342" s="27">
        <f>IF('DIVA Satislari'!I342="","",IFERROR(INDEX('E2E Nakliye Montaj'!$AV$3:$AV$1002,MATCH('DIVA Satislari'!AJ342,'E2E Nakliye Montaj'!$AM$3:$AM$1002,0)),""))</f>
        <v/>
      </c>
      <c r="O342" s="26">
        <f>IF(OR(A342="",N342=""),"",IF(N342&lt;=H342,"Evet","HAYIR - RİSK"))</f>
        <v/>
      </c>
      <c r="P342" s="26">
        <f>IF(A342="","",IF(LEFT(J342,8)="Kural A ","Uygun - Hemen Ödenir (Yıl Sonu %75 Kontrolüne Tabi)",IF(OR(L342="Evet",M342="Evet"),IF(O342="Evet","Uygun","RİSK - Hakediş Süresi Aşıldı"),"Bekleniyor - Nakliye/Montaj Tamamlanmadı")))</f>
        <v/>
      </c>
      <c r="Q342" s="28">
        <f>IF(A342="","",SUMIFS('Hakedis Fatura Detay'!$G$3:$G$1200,'Hakedis Fatura Detay'!$H$3:$H$1200,'DIVA Satislari'!AJ342,'Hakedis Fatura Detay'!$F$3:$F$1200,"Fiyat Farkı")+SUMIFS('Hakedis Fatura Detay'!$G$3:$G$1200,'Hakedis Fatura Detay'!$H$3:$H$1200,'DIVA Satislari'!AJ342,'Hakedis Fatura Detay'!$F$3:$F$1200,"Bundle"))</f>
        <v/>
      </c>
      <c r="R342" s="28">
        <f>IF(A342="","",I342-Q342)</f>
        <v/>
      </c>
      <c r="S342" s="26">
        <f>IF(A342="","",IF(LEFT(P342,7)="Bekleni","N/A - Henüz Ödenmemeli",IF(LEFT(P342,4)="RİSK","İNCELEME GEREKLİ - Süre Aşımı",IF(R342=0,"Doğru",IF(R342&gt;0,"EKSİK ÖDENMİŞ","FAZLA ÖDENMİŞ")))))</f>
        <v/>
      </c>
      <c r="T342" s="30">
        <f>IF(A342="","",IF(F342&lt;&gt;"Evet","İNCELEME GEREKLİ - Kampanya Tanımsız",IF(G342&lt;&gt;"Evet","İNCELEME GEREKLİ - Tarih Dışı Satış",IF(LEFT(P342,4)="RİSK","İNCELEME GEREKLİ - Hakediş Süresi Aşıldı",IF(OR(S342="EKSİK ÖDENMİŞ",S342="FAZLA ÖDENMİŞ"),"İNCELEME GEREKLİ - Tutar Uyuşmazlığı",IF(LEFT(P342,7)="Bekleni","Bekleniyor","Uygun"))))))</f>
        <v/>
      </c>
    </row>
    <row r="343">
      <c r="A343" s="26">
        <f>IF('DIVA Satislari'!I343="","",'DIVA Satislari'!I343)</f>
        <v/>
      </c>
      <c r="B343" s="26">
        <f>IF('DIVA Satislari'!I343="","",'DIVA Satislari'!R343)</f>
        <v/>
      </c>
      <c r="C343" s="26">
        <f>IF('DIVA Satislari'!I343="","",'DIVA Satislari'!M343)</f>
        <v/>
      </c>
      <c r="D343" s="27">
        <f>IF('DIVA Satislari'!I343="","",'DIVA Satislari'!H343)</f>
        <v/>
      </c>
      <c r="E343" s="26">
        <f>IF('DIVA Satislari'!I343="","",'DIVA Satislari'!O343)</f>
        <v/>
      </c>
      <c r="F343" s="26">
        <f>IF('DIVA Satislari'!I343="","",'DIVA Satislari'!AK343)</f>
        <v/>
      </c>
      <c r="G343" s="26">
        <f>IF('DIVA Satislari'!I343="","",'DIVA Satislari'!AO343)</f>
        <v/>
      </c>
      <c r="H343" s="27">
        <f>IF('DIVA Satislari'!I343="","",'DIVA Satislari'!AN343)</f>
        <v/>
      </c>
      <c r="I343" s="28">
        <f>IF('DIVA Satislari'!I343="","",'DIVA Satislari'!AQ343)</f>
        <v/>
      </c>
      <c r="J343" s="26">
        <f>IF('DIVA Satislari'!I343="","",'DIVA Satislari'!AR343)</f>
        <v/>
      </c>
      <c r="K343" s="26">
        <f>IF('DIVA Satislari'!I343="","",IFERROR(INDEX('E2E Nakliye Montaj'!$AS$3:$AS$1002,MATCH('DIVA Satislari'!AJ343,'E2E Nakliye Montaj'!$AM$3:$AM$1002,0)),"Eşleşme Yok"))</f>
        <v/>
      </c>
      <c r="L343" s="26">
        <f>IF('DIVA Satislari'!I343="","",IFERROR(INDEX('E2E Nakliye Montaj'!$AT$3:$AT$1002,MATCH('DIVA Satislari'!AJ343,'E2E Nakliye Montaj'!$AM$3:$AM$1002,0)),"Hayır"))</f>
        <v/>
      </c>
      <c r="M343" s="26">
        <f>IF('DIVA Satislari'!I343="","",IFERROR(INDEX('E2E Nakliye Montaj'!$AU$3:$AU$1002,MATCH('DIVA Satislari'!AJ343,'E2E Nakliye Montaj'!$AM$3:$AM$1002,0)),"Hayır"))</f>
        <v/>
      </c>
      <c r="N343" s="27">
        <f>IF('DIVA Satislari'!I343="","",IFERROR(INDEX('E2E Nakliye Montaj'!$AV$3:$AV$1002,MATCH('DIVA Satislari'!AJ343,'E2E Nakliye Montaj'!$AM$3:$AM$1002,0)),""))</f>
        <v/>
      </c>
      <c r="O343" s="26">
        <f>IF(OR(A343="",N343=""),"",IF(N343&lt;=H343,"Evet","HAYIR - RİSK"))</f>
        <v/>
      </c>
      <c r="P343" s="26">
        <f>IF(A343="","",IF(LEFT(J343,8)="Kural A ","Uygun - Hemen Ödenir (Yıl Sonu %75 Kontrolüne Tabi)",IF(OR(L343="Evet",M343="Evet"),IF(O343="Evet","Uygun","RİSK - Hakediş Süresi Aşıldı"),"Bekleniyor - Nakliye/Montaj Tamamlanmadı")))</f>
        <v/>
      </c>
      <c r="Q343" s="28">
        <f>IF(A343="","",SUMIFS('Hakedis Fatura Detay'!$G$3:$G$1200,'Hakedis Fatura Detay'!$H$3:$H$1200,'DIVA Satislari'!AJ343,'Hakedis Fatura Detay'!$F$3:$F$1200,"Fiyat Farkı")+SUMIFS('Hakedis Fatura Detay'!$G$3:$G$1200,'Hakedis Fatura Detay'!$H$3:$H$1200,'DIVA Satislari'!AJ343,'Hakedis Fatura Detay'!$F$3:$F$1200,"Bundle"))</f>
        <v/>
      </c>
      <c r="R343" s="28">
        <f>IF(A343="","",I343-Q343)</f>
        <v/>
      </c>
      <c r="S343" s="26">
        <f>IF(A343="","",IF(LEFT(P343,7)="Bekleni","N/A - Henüz Ödenmemeli",IF(LEFT(P343,4)="RİSK","İNCELEME GEREKLİ - Süre Aşımı",IF(R343=0,"Doğru",IF(R343&gt;0,"EKSİK ÖDENMİŞ","FAZLA ÖDENMİŞ")))))</f>
        <v/>
      </c>
      <c r="T343" s="30">
        <f>IF(A343="","",IF(F343&lt;&gt;"Evet","İNCELEME GEREKLİ - Kampanya Tanımsız",IF(G343&lt;&gt;"Evet","İNCELEME GEREKLİ - Tarih Dışı Satış",IF(LEFT(P343,4)="RİSK","İNCELEME GEREKLİ - Hakediş Süresi Aşıldı",IF(OR(S343="EKSİK ÖDENMİŞ",S343="FAZLA ÖDENMİŞ"),"İNCELEME GEREKLİ - Tutar Uyuşmazlığı",IF(LEFT(P343,7)="Bekleni","Bekleniyor","Uygun"))))))</f>
        <v/>
      </c>
    </row>
    <row r="344">
      <c r="A344" s="26">
        <f>IF('DIVA Satislari'!I344="","",'DIVA Satislari'!I344)</f>
        <v/>
      </c>
      <c r="B344" s="26">
        <f>IF('DIVA Satislari'!I344="","",'DIVA Satislari'!R344)</f>
        <v/>
      </c>
      <c r="C344" s="26">
        <f>IF('DIVA Satislari'!I344="","",'DIVA Satislari'!M344)</f>
        <v/>
      </c>
      <c r="D344" s="27">
        <f>IF('DIVA Satislari'!I344="","",'DIVA Satislari'!H344)</f>
        <v/>
      </c>
      <c r="E344" s="26">
        <f>IF('DIVA Satislari'!I344="","",'DIVA Satislari'!O344)</f>
        <v/>
      </c>
      <c r="F344" s="26">
        <f>IF('DIVA Satislari'!I344="","",'DIVA Satislari'!AK344)</f>
        <v/>
      </c>
      <c r="G344" s="26">
        <f>IF('DIVA Satislari'!I344="","",'DIVA Satislari'!AO344)</f>
        <v/>
      </c>
      <c r="H344" s="27">
        <f>IF('DIVA Satislari'!I344="","",'DIVA Satislari'!AN344)</f>
        <v/>
      </c>
      <c r="I344" s="28">
        <f>IF('DIVA Satislari'!I344="","",'DIVA Satislari'!AQ344)</f>
        <v/>
      </c>
      <c r="J344" s="26">
        <f>IF('DIVA Satislari'!I344="","",'DIVA Satislari'!AR344)</f>
        <v/>
      </c>
      <c r="K344" s="26">
        <f>IF('DIVA Satislari'!I344="","",IFERROR(INDEX('E2E Nakliye Montaj'!$AS$3:$AS$1002,MATCH('DIVA Satislari'!AJ344,'E2E Nakliye Montaj'!$AM$3:$AM$1002,0)),"Eşleşme Yok"))</f>
        <v/>
      </c>
      <c r="L344" s="26">
        <f>IF('DIVA Satislari'!I344="","",IFERROR(INDEX('E2E Nakliye Montaj'!$AT$3:$AT$1002,MATCH('DIVA Satislari'!AJ344,'E2E Nakliye Montaj'!$AM$3:$AM$1002,0)),"Hayır"))</f>
        <v/>
      </c>
      <c r="M344" s="26">
        <f>IF('DIVA Satislari'!I344="","",IFERROR(INDEX('E2E Nakliye Montaj'!$AU$3:$AU$1002,MATCH('DIVA Satislari'!AJ344,'E2E Nakliye Montaj'!$AM$3:$AM$1002,0)),"Hayır"))</f>
        <v/>
      </c>
      <c r="N344" s="27">
        <f>IF('DIVA Satislari'!I344="","",IFERROR(INDEX('E2E Nakliye Montaj'!$AV$3:$AV$1002,MATCH('DIVA Satislari'!AJ344,'E2E Nakliye Montaj'!$AM$3:$AM$1002,0)),""))</f>
        <v/>
      </c>
      <c r="O344" s="26">
        <f>IF(OR(A344="",N344=""),"",IF(N344&lt;=H344,"Evet","HAYIR - RİSK"))</f>
        <v/>
      </c>
      <c r="P344" s="26">
        <f>IF(A344="","",IF(LEFT(J344,8)="Kural A ","Uygun - Hemen Ödenir (Yıl Sonu %75 Kontrolüne Tabi)",IF(OR(L344="Evet",M344="Evet"),IF(O344="Evet","Uygun","RİSK - Hakediş Süresi Aşıldı"),"Bekleniyor - Nakliye/Montaj Tamamlanmadı")))</f>
        <v/>
      </c>
      <c r="Q344" s="28">
        <f>IF(A344="","",SUMIFS('Hakedis Fatura Detay'!$G$3:$G$1200,'Hakedis Fatura Detay'!$H$3:$H$1200,'DIVA Satislari'!AJ344,'Hakedis Fatura Detay'!$F$3:$F$1200,"Fiyat Farkı")+SUMIFS('Hakedis Fatura Detay'!$G$3:$G$1200,'Hakedis Fatura Detay'!$H$3:$H$1200,'DIVA Satislari'!AJ344,'Hakedis Fatura Detay'!$F$3:$F$1200,"Bundle"))</f>
        <v/>
      </c>
      <c r="R344" s="28">
        <f>IF(A344="","",I344-Q344)</f>
        <v/>
      </c>
      <c r="S344" s="26">
        <f>IF(A344="","",IF(LEFT(P344,7)="Bekleni","N/A - Henüz Ödenmemeli",IF(LEFT(P344,4)="RİSK","İNCELEME GEREKLİ - Süre Aşımı",IF(R344=0,"Doğru",IF(R344&gt;0,"EKSİK ÖDENMİŞ","FAZLA ÖDENMİŞ")))))</f>
        <v/>
      </c>
      <c r="T344" s="30">
        <f>IF(A344="","",IF(F344&lt;&gt;"Evet","İNCELEME GEREKLİ - Kampanya Tanımsız",IF(G344&lt;&gt;"Evet","İNCELEME GEREKLİ - Tarih Dışı Satış",IF(LEFT(P344,4)="RİSK","İNCELEME GEREKLİ - Hakediş Süresi Aşıldı",IF(OR(S344="EKSİK ÖDENMİŞ",S344="FAZLA ÖDENMİŞ"),"İNCELEME GEREKLİ - Tutar Uyuşmazlığı",IF(LEFT(P344,7)="Bekleni","Bekleniyor","Uygun"))))))</f>
        <v/>
      </c>
    </row>
    <row r="345">
      <c r="A345" s="26">
        <f>IF('DIVA Satislari'!I345="","",'DIVA Satislari'!I345)</f>
        <v/>
      </c>
      <c r="B345" s="26">
        <f>IF('DIVA Satislari'!I345="","",'DIVA Satislari'!R345)</f>
        <v/>
      </c>
      <c r="C345" s="26">
        <f>IF('DIVA Satislari'!I345="","",'DIVA Satislari'!M345)</f>
        <v/>
      </c>
      <c r="D345" s="27">
        <f>IF('DIVA Satislari'!I345="","",'DIVA Satislari'!H345)</f>
        <v/>
      </c>
      <c r="E345" s="26">
        <f>IF('DIVA Satislari'!I345="","",'DIVA Satislari'!O345)</f>
        <v/>
      </c>
      <c r="F345" s="26">
        <f>IF('DIVA Satislari'!I345="","",'DIVA Satislari'!AK345)</f>
        <v/>
      </c>
      <c r="G345" s="26">
        <f>IF('DIVA Satislari'!I345="","",'DIVA Satislari'!AO345)</f>
        <v/>
      </c>
      <c r="H345" s="27">
        <f>IF('DIVA Satislari'!I345="","",'DIVA Satislari'!AN345)</f>
        <v/>
      </c>
      <c r="I345" s="28">
        <f>IF('DIVA Satislari'!I345="","",'DIVA Satislari'!AQ345)</f>
        <v/>
      </c>
      <c r="J345" s="26">
        <f>IF('DIVA Satislari'!I345="","",'DIVA Satislari'!AR345)</f>
        <v/>
      </c>
      <c r="K345" s="26">
        <f>IF('DIVA Satislari'!I345="","",IFERROR(INDEX('E2E Nakliye Montaj'!$AS$3:$AS$1002,MATCH('DIVA Satislari'!AJ345,'E2E Nakliye Montaj'!$AM$3:$AM$1002,0)),"Eşleşme Yok"))</f>
        <v/>
      </c>
      <c r="L345" s="26">
        <f>IF('DIVA Satislari'!I345="","",IFERROR(INDEX('E2E Nakliye Montaj'!$AT$3:$AT$1002,MATCH('DIVA Satislari'!AJ345,'E2E Nakliye Montaj'!$AM$3:$AM$1002,0)),"Hayır"))</f>
        <v/>
      </c>
      <c r="M345" s="26">
        <f>IF('DIVA Satislari'!I345="","",IFERROR(INDEX('E2E Nakliye Montaj'!$AU$3:$AU$1002,MATCH('DIVA Satislari'!AJ345,'E2E Nakliye Montaj'!$AM$3:$AM$1002,0)),"Hayır"))</f>
        <v/>
      </c>
      <c r="N345" s="27">
        <f>IF('DIVA Satislari'!I345="","",IFERROR(INDEX('E2E Nakliye Montaj'!$AV$3:$AV$1002,MATCH('DIVA Satislari'!AJ345,'E2E Nakliye Montaj'!$AM$3:$AM$1002,0)),""))</f>
        <v/>
      </c>
      <c r="O345" s="26">
        <f>IF(OR(A345="",N345=""),"",IF(N345&lt;=H345,"Evet","HAYIR - RİSK"))</f>
        <v/>
      </c>
      <c r="P345" s="26">
        <f>IF(A345="","",IF(LEFT(J345,8)="Kural A ","Uygun - Hemen Ödenir (Yıl Sonu %75 Kontrolüne Tabi)",IF(OR(L345="Evet",M345="Evet"),IF(O345="Evet","Uygun","RİSK - Hakediş Süresi Aşıldı"),"Bekleniyor - Nakliye/Montaj Tamamlanmadı")))</f>
        <v/>
      </c>
      <c r="Q345" s="28">
        <f>IF(A345="","",SUMIFS('Hakedis Fatura Detay'!$G$3:$G$1200,'Hakedis Fatura Detay'!$H$3:$H$1200,'DIVA Satislari'!AJ345,'Hakedis Fatura Detay'!$F$3:$F$1200,"Fiyat Farkı")+SUMIFS('Hakedis Fatura Detay'!$G$3:$G$1200,'Hakedis Fatura Detay'!$H$3:$H$1200,'DIVA Satislari'!AJ345,'Hakedis Fatura Detay'!$F$3:$F$1200,"Bundle"))</f>
        <v/>
      </c>
      <c r="R345" s="28">
        <f>IF(A345="","",I345-Q345)</f>
        <v/>
      </c>
      <c r="S345" s="26">
        <f>IF(A345="","",IF(LEFT(P345,7)="Bekleni","N/A - Henüz Ödenmemeli",IF(LEFT(P345,4)="RİSK","İNCELEME GEREKLİ - Süre Aşımı",IF(R345=0,"Doğru",IF(R345&gt;0,"EKSİK ÖDENMİŞ","FAZLA ÖDENMİŞ")))))</f>
        <v/>
      </c>
      <c r="T345" s="30">
        <f>IF(A345="","",IF(F345&lt;&gt;"Evet","İNCELEME GEREKLİ - Kampanya Tanımsız",IF(G345&lt;&gt;"Evet","İNCELEME GEREKLİ - Tarih Dışı Satış",IF(LEFT(P345,4)="RİSK","İNCELEME GEREKLİ - Hakediş Süresi Aşıldı",IF(OR(S345="EKSİK ÖDENMİŞ",S345="FAZLA ÖDENMİŞ"),"İNCELEME GEREKLİ - Tutar Uyuşmazlığı",IF(LEFT(P345,7)="Bekleni","Bekleniyor","Uygun"))))))</f>
        <v/>
      </c>
    </row>
    <row r="346">
      <c r="A346" s="26">
        <f>IF('DIVA Satislari'!I346="","",'DIVA Satislari'!I346)</f>
        <v/>
      </c>
      <c r="B346" s="26">
        <f>IF('DIVA Satislari'!I346="","",'DIVA Satislari'!R346)</f>
        <v/>
      </c>
      <c r="C346" s="26">
        <f>IF('DIVA Satislari'!I346="","",'DIVA Satislari'!M346)</f>
        <v/>
      </c>
      <c r="D346" s="27">
        <f>IF('DIVA Satislari'!I346="","",'DIVA Satislari'!H346)</f>
        <v/>
      </c>
      <c r="E346" s="26">
        <f>IF('DIVA Satislari'!I346="","",'DIVA Satislari'!O346)</f>
        <v/>
      </c>
      <c r="F346" s="26">
        <f>IF('DIVA Satislari'!I346="","",'DIVA Satislari'!AK346)</f>
        <v/>
      </c>
      <c r="G346" s="26">
        <f>IF('DIVA Satislari'!I346="","",'DIVA Satislari'!AO346)</f>
        <v/>
      </c>
      <c r="H346" s="27">
        <f>IF('DIVA Satislari'!I346="","",'DIVA Satislari'!AN346)</f>
        <v/>
      </c>
      <c r="I346" s="28">
        <f>IF('DIVA Satislari'!I346="","",'DIVA Satislari'!AQ346)</f>
        <v/>
      </c>
      <c r="J346" s="26">
        <f>IF('DIVA Satislari'!I346="","",'DIVA Satislari'!AR346)</f>
        <v/>
      </c>
      <c r="K346" s="26">
        <f>IF('DIVA Satislari'!I346="","",IFERROR(INDEX('E2E Nakliye Montaj'!$AS$3:$AS$1002,MATCH('DIVA Satislari'!AJ346,'E2E Nakliye Montaj'!$AM$3:$AM$1002,0)),"Eşleşme Yok"))</f>
        <v/>
      </c>
      <c r="L346" s="26">
        <f>IF('DIVA Satislari'!I346="","",IFERROR(INDEX('E2E Nakliye Montaj'!$AT$3:$AT$1002,MATCH('DIVA Satislari'!AJ346,'E2E Nakliye Montaj'!$AM$3:$AM$1002,0)),"Hayır"))</f>
        <v/>
      </c>
      <c r="M346" s="26">
        <f>IF('DIVA Satislari'!I346="","",IFERROR(INDEX('E2E Nakliye Montaj'!$AU$3:$AU$1002,MATCH('DIVA Satislari'!AJ346,'E2E Nakliye Montaj'!$AM$3:$AM$1002,0)),"Hayır"))</f>
        <v/>
      </c>
      <c r="N346" s="27">
        <f>IF('DIVA Satislari'!I346="","",IFERROR(INDEX('E2E Nakliye Montaj'!$AV$3:$AV$1002,MATCH('DIVA Satislari'!AJ346,'E2E Nakliye Montaj'!$AM$3:$AM$1002,0)),""))</f>
        <v/>
      </c>
      <c r="O346" s="26">
        <f>IF(OR(A346="",N346=""),"",IF(N346&lt;=H346,"Evet","HAYIR - RİSK"))</f>
        <v/>
      </c>
      <c r="P346" s="26">
        <f>IF(A346="","",IF(LEFT(J346,8)="Kural A ","Uygun - Hemen Ödenir (Yıl Sonu %75 Kontrolüne Tabi)",IF(OR(L346="Evet",M346="Evet"),IF(O346="Evet","Uygun","RİSK - Hakediş Süresi Aşıldı"),"Bekleniyor - Nakliye/Montaj Tamamlanmadı")))</f>
        <v/>
      </c>
      <c r="Q346" s="28">
        <f>IF(A346="","",SUMIFS('Hakedis Fatura Detay'!$G$3:$G$1200,'Hakedis Fatura Detay'!$H$3:$H$1200,'DIVA Satislari'!AJ346,'Hakedis Fatura Detay'!$F$3:$F$1200,"Fiyat Farkı")+SUMIFS('Hakedis Fatura Detay'!$G$3:$G$1200,'Hakedis Fatura Detay'!$H$3:$H$1200,'DIVA Satislari'!AJ346,'Hakedis Fatura Detay'!$F$3:$F$1200,"Bundle"))</f>
        <v/>
      </c>
      <c r="R346" s="28">
        <f>IF(A346="","",I346-Q346)</f>
        <v/>
      </c>
      <c r="S346" s="26">
        <f>IF(A346="","",IF(LEFT(P346,7)="Bekleni","N/A - Henüz Ödenmemeli",IF(LEFT(P346,4)="RİSK","İNCELEME GEREKLİ - Süre Aşımı",IF(R346=0,"Doğru",IF(R346&gt;0,"EKSİK ÖDENMİŞ","FAZLA ÖDENMİŞ")))))</f>
        <v/>
      </c>
      <c r="T346" s="30">
        <f>IF(A346="","",IF(F346&lt;&gt;"Evet","İNCELEME GEREKLİ - Kampanya Tanımsız",IF(G346&lt;&gt;"Evet","İNCELEME GEREKLİ - Tarih Dışı Satış",IF(LEFT(P346,4)="RİSK","İNCELEME GEREKLİ - Hakediş Süresi Aşıldı",IF(OR(S346="EKSİK ÖDENMİŞ",S346="FAZLA ÖDENMİŞ"),"İNCELEME GEREKLİ - Tutar Uyuşmazlığı",IF(LEFT(P346,7)="Bekleni","Bekleniyor","Uygun"))))))</f>
        <v/>
      </c>
    </row>
    <row r="347">
      <c r="A347" s="26">
        <f>IF('DIVA Satislari'!I347="","",'DIVA Satislari'!I347)</f>
        <v/>
      </c>
      <c r="B347" s="26">
        <f>IF('DIVA Satislari'!I347="","",'DIVA Satislari'!R347)</f>
        <v/>
      </c>
      <c r="C347" s="26">
        <f>IF('DIVA Satislari'!I347="","",'DIVA Satislari'!M347)</f>
        <v/>
      </c>
      <c r="D347" s="27">
        <f>IF('DIVA Satislari'!I347="","",'DIVA Satislari'!H347)</f>
        <v/>
      </c>
      <c r="E347" s="26">
        <f>IF('DIVA Satislari'!I347="","",'DIVA Satislari'!O347)</f>
        <v/>
      </c>
      <c r="F347" s="26">
        <f>IF('DIVA Satislari'!I347="","",'DIVA Satislari'!AK347)</f>
        <v/>
      </c>
      <c r="G347" s="26">
        <f>IF('DIVA Satislari'!I347="","",'DIVA Satislari'!AO347)</f>
        <v/>
      </c>
      <c r="H347" s="27">
        <f>IF('DIVA Satislari'!I347="","",'DIVA Satislari'!AN347)</f>
        <v/>
      </c>
      <c r="I347" s="28">
        <f>IF('DIVA Satislari'!I347="","",'DIVA Satislari'!AQ347)</f>
        <v/>
      </c>
      <c r="J347" s="26">
        <f>IF('DIVA Satislari'!I347="","",'DIVA Satislari'!AR347)</f>
        <v/>
      </c>
      <c r="K347" s="26">
        <f>IF('DIVA Satislari'!I347="","",IFERROR(INDEX('E2E Nakliye Montaj'!$AS$3:$AS$1002,MATCH('DIVA Satislari'!AJ347,'E2E Nakliye Montaj'!$AM$3:$AM$1002,0)),"Eşleşme Yok"))</f>
        <v/>
      </c>
      <c r="L347" s="26">
        <f>IF('DIVA Satislari'!I347="","",IFERROR(INDEX('E2E Nakliye Montaj'!$AT$3:$AT$1002,MATCH('DIVA Satislari'!AJ347,'E2E Nakliye Montaj'!$AM$3:$AM$1002,0)),"Hayır"))</f>
        <v/>
      </c>
      <c r="M347" s="26">
        <f>IF('DIVA Satislari'!I347="","",IFERROR(INDEX('E2E Nakliye Montaj'!$AU$3:$AU$1002,MATCH('DIVA Satislari'!AJ347,'E2E Nakliye Montaj'!$AM$3:$AM$1002,0)),"Hayır"))</f>
        <v/>
      </c>
      <c r="N347" s="27">
        <f>IF('DIVA Satislari'!I347="","",IFERROR(INDEX('E2E Nakliye Montaj'!$AV$3:$AV$1002,MATCH('DIVA Satislari'!AJ347,'E2E Nakliye Montaj'!$AM$3:$AM$1002,0)),""))</f>
        <v/>
      </c>
      <c r="O347" s="26">
        <f>IF(OR(A347="",N347=""),"",IF(N347&lt;=H347,"Evet","HAYIR - RİSK"))</f>
        <v/>
      </c>
      <c r="P347" s="26">
        <f>IF(A347="","",IF(LEFT(J347,8)="Kural A ","Uygun - Hemen Ödenir (Yıl Sonu %75 Kontrolüne Tabi)",IF(OR(L347="Evet",M347="Evet"),IF(O347="Evet","Uygun","RİSK - Hakediş Süresi Aşıldı"),"Bekleniyor - Nakliye/Montaj Tamamlanmadı")))</f>
        <v/>
      </c>
      <c r="Q347" s="28">
        <f>IF(A347="","",SUMIFS('Hakedis Fatura Detay'!$G$3:$G$1200,'Hakedis Fatura Detay'!$H$3:$H$1200,'DIVA Satislari'!AJ347,'Hakedis Fatura Detay'!$F$3:$F$1200,"Fiyat Farkı")+SUMIFS('Hakedis Fatura Detay'!$G$3:$G$1200,'Hakedis Fatura Detay'!$H$3:$H$1200,'DIVA Satislari'!AJ347,'Hakedis Fatura Detay'!$F$3:$F$1200,"Bundle"))</f>
        <v/>
      </c>
      <c r="R347" s="28">
        <f>IF(A347="","",I347-Q347)</f>
        <v/>
      </c>
      <c r="S347" s="26">
        <f>IF(A347="","",IF(LEFT(P347,7)="Bekleni","N/A - Henüz Ödenmemeli",IF(LEFT(P347,4)="RİSK","İNCELEME GEREKLİ - Süre Aşımı",IF(R347=0,"Doğru",IF(R347&gt;0,"EKSİK ÖDENMİŞ","FAZLA ÖDENMİŞ")))))</f>
        <v/>
      </c>
      <c r="T347" s="30">
        <f>IF(A347="","",IF(F347&lt;&gt;"Evet","İNCELEME GEREKLİ - Kampanya Tanımsız",IF(G347&lt;&gt;"Evet","İNCELEME GEREKLİ - Tarih Dışı Satış",IF(LEFT(P347,4)="RİSK","İNCELEME GEREKLİ - Hakediş Süresi Aşıldı",IF(OR(S347="EKSİK ÖDENMİŞ",S347="FAZLA ÖDENMİŞ"),"İNCELEME GEREKLİ - Tutar Uyuşmazlığı",IF(LEFT(P347,7)="Bekleni","Bekleniyor","Uygun"))))))</f>
        <v/>
      </c>
    </row>
    <row r="348">
      <c r="A348" s="26">
        <f>IF('DIVA Satislari'!I348="","",'DIVA Satislari'!I348)</f>
        <v/>
      </c>
      <c r="B348" s="26">
        <f>IF('DIVA Satislari'!I348="","",'DIVA Satislari'!R348)</f>
        <v/>
      </c>
      <c r="C348" s="26">
        <f>IF('DIVA Satislari'!I348="","",'DIVA Satislari'!M348)</f>
        <v/>
      </c>
      <c r="D348" s="27">
        <f>IF('DIVA Satislari'!I348="","",'DIVA Satislari'!H348)</f>
        <v/>
      </c>
      <c r="E348" s="26">
        <f>IF('DIVA Satislari'!I348="","",'DIVA Satislari'!O348)</f>
        <v/>
      </c>
      <c r="F348" s="26">
        <f>IF('DIVA Satislari'!I348="","",'DIVA Satislari'!AK348)</f>
        <v/>
      </c>
      <c r="G348" s="26">
        <f>IF('DIVA Satislari'!I348="","",'DIVA Satislari'!AO348)</f>
        <v/>
      </c>
      <c r="H348" s="27">
        <f>IF('DIVA Satislari'!I348="","",'DIVA Satislari'!AN348)</f>
        <v/>
      </c>
      <c r="I348" s="28">
        <f>IF('DIVA Satislari'!I348="","",'DIVA Satislari'!AQ348)</f>
        <v/>
      </c>
      <c r="J348" s="26">
        <f>IF('DIVA Satislari'!I348="","",'DIVA Satislari'!AR348)</f>
        <v/>
      </c>
      <c r="K348" s="26">
        <f>IF('DIVA Satislari'!I348="","",IFERROR(INDEX('E2E Nakliye Montaj'!$AS$3:$AS$1002,MATCH('DIVA Satislari'!AJ348,'E2E Nakliye Montaj'!$AM$3:$AM$1002,0)),"Eşleşme Yok"))</f>
        <v/>
      </c>
      <c r="L348" s="26">
        <f>IF('DIVA Satislari'!I348="","",IFERROR(INDEX('E2E Nakliye Montaj'!$AT$3:$AT$1002,MATCH('DIVA Satislari'!AJ348,'E2E Nakliye Montaj'!$AM$3:$AM$1002,0)),"Hayır"))</f>
        <v/>
      </c>
      <c r="M348" s="26">
        <f>IF('DIVA Satislari'!I348="","",IFERROR(INDEX('E2E Nakliye Montaj'!$AU$3:$AU$1002,MATCH('DIVA Satislari'!AJ348,'E2E Nakliye Montaj'!$AM$3:$AM$1002,0)),"Hayır"))</f>
        <v/>
      </c>
      <c r="N348" s="27">
        <f>IF('DIVA Satislari'!I348="","",IFERROR(INDEX('E2E Nakliye Montaj'!$AV$3:$AV$1002,MATCH('DIVA Satislari'!AJ348,'E2E Nakliye Montaj'!$AM$3:$AM$1002,0)),""))</f>
        <v/>
      </c>
      <c r="O348" s="26">
        <f>IF(OR(A348="",N348=""),"",IF(N348&lt;=H348,"Evet","HAYIR - RİSK"))</f>
        <v/>
      </c>
      <c r="P348" s="26">
        <f>IF(A348="","",IF(LEFT(J348,8)="Kural A ","Uygun - Hemen Ödenir (Yıl Sonu %75 Kontrolüne Tabi)",IF(OR(L348="Evet",M348="Evet"),IF(O348="Evet","Uygun","RİSK - Hakediş Süresi Aşıldı"),"Bekleniyor - Nakliye/Montaj Tamamlanmadı")))</f>
        <v/>
      </c>
      <c r="Q348" s="28">
        <f>IF(A348="","",SUMIFS('Hakedis Fatura Detay'!$G$3:$G$1200,'Hakedis Fatura Detay'!$H$3:$H$1200,'DIVA Satislari'!AJ348,'Hakedis Fatura Detay'!$F$3:$F$1200,"Fiyat Farkı")+SUMIFS('Hakedis Fatura Detay'!$G$3:$G$1200,'Hakedis Fatura Detay'!$H$3:$H$1200,'DIVA Satislari'!AJ348,'Hakedis Fatura Detay'!$F$3:$F$1200,"Bundle"))</f>
        <v/>
      </c>
      <c r="R348" s="28">
        <f>IF(A348="","",I348-Q348)</f>
        <v/>
      </c>
      <c r="S348" s="26">
        <f>IF(A348="","",IF(LEFT(P348,7)="Bekleni","N/A - Henüz Ödenmemeli",IF(LEFT(P348,4)="RİSK","İNCELEME GEREKLİ - Süre Aşımı",IF(R348=0,"Doğru",IF(R348&gt;0,"EKSİK ÖDENMİŞ","FAZLA ÖDENMİŞ")))))</f>
        <v/>
      </c>
      <c r="T348" s="30">
        <f>IF(A348="","",IF(F348&lt;&gt;"Evet","İNCELEME GEREKLİ - Kampanya Tanımsız",IF(G348&lt;&gt;"Evet","İNCELEME GEREKLİ - Tarih Dışı Satış",IF(LEFT(P348,4)="RİSK","İNCELEME GEREKLİ - Hakediş Süresi Aşıldı",IF(OR(S348="EKSİK ÖDENMİŞ",S348="FAZLA ÖDENMİŞ"),"İNCELEME GEREKLİ - Tutar Uyuşmazlığı",IF(LEFT(P348,7)="Bekleni","Bekleniyor","Uygun"))))))</f>
        <v/>
      </c>
    </row>
    <row r="349">
      <c r="A349" s="26">
        <f>IF('DIVA Satislari'!I349="","",'DIVA Satislari'!I349)</f>
        <v/>
      </c>
      <c r="B349" s="26">
        <f>IF('DIVA Satislari'!I349="","",'DIVA Satislari'!R349)</f>
        <v/>
      </c>
      <c r="C349" s="26">
        <f>IF('DIVA Satislari'!I349="","",'DIVA Satislari'!M349)</f>
        <v/>
      </c>
      <c r="D349" s="27">
        <f>IF('DIVA Satislari'!I349="","",'DIVA Satislari'!H349)</f>
        <v/>
      </c>
      <c r="E349" s="26">
        <f>IF('DIVA Satislari'!I349="","",'DIVA Satislari'!O349)</f>
        <v/>
      </c>
      <c r="F349" s="26">
        <f>IF('DIVA Satislari'!I349="","",'DIVA Satislari'!AK349)</f>
        <v/>
      </c>
      <c r="G349" s="26">
        <f>IF('DIVA Satislari'!I349="","",'DIVA Satislari'!AO349)</f>
        <v/>
      </c>
      <c r="H349" s="27">
        <f>IF('DIVA Satislari'!I349="","",'DIVA Satislari'!AN349)</f>
        <v/>
      </c>
      <c r="I349" s="28">
        <f>IF('DIVA Satislari'!I349="","",'DIVA Satislari'!AQ349)</f>
        <v/>
      </c>
      <c r="J349" s="26">
        <f>IF('DIVA Satislari'!I349="","",'DIVA Satislari'!AR349)</f>
        <v/>
      </c>
      <c r="K349" s="26">
        <f>IF('DIVA Satislari'!I349="","",IFERROR(INDEX('E2E Nakliye Montaj'!$AS$3:$AS$1002,MATCH('DIVA Satislari'!AJ349,'E2E Nakliye Montaj'!$AM$3:$AM$1002,0)),"Eşleşme Yok"))</f>
        <v/>
      </c>
      <c r="L349" s="26">
        <f>IF('DIVA Satislari'!I349="","",IFERROR(INDEX('E2E Nakliye Montaj'!$AT$3:$AT$1002,MATCH('DIVA Satislari'!AJ349,'E2E Nakliye Montaj'!$AM$3:$AM$1002,0)),"Hayır"))</f>
        <v/>
      </c>
      <c r="M349" s="26">
        <f>IF('DIVA Satislari'!I349="","",IFERROR(INDEX('E2E Nakliye Montaj'!$AU$3:$AU$1002,MATCH('DIVA Satislari'!AJ349,'E2E Nakliye Montaj'!$AM$3:$AM$1002,0)),"Hayır"))</f>
        <v/>
      </c>
      <c r="N349" s="27">
        <f>IF('DIVA Satislari'!I349="","",IFERROR(INDEX('E2E Nakliye Montaj'!$AV$3:$AV$1002,MATCH('DIVA Satislari'!AJ349,'E2E Nakliye Montaj'!$AM$3:$AM$1002,0)),""))</f>
        <v/>
      </c>
      <c r="O349" s="26">
        <f>IF(OR(A349="",N349=""),"",IF(N349&lt;=H349,"Evet","HAYIR - RİSK"))</f>
        <v/>
      </c>
      <c r="P349" s="26">
        <f>IF(A349="","",IF(LEFT(J349,8)="Kural A ","Uygun - Hemen Ödenir (Yıl Sonu %75 Kontrolüne Tabi)",IF(OR(L349="Evet",M349="Evet"),IF(O349="Evet","Uygun","RİSK - Hakediş Süresi Aşıldı"),"Bekleniyor - Nakliye/Montaj Tamamlanmadı")))</f>
        <v/>
      </c>
      <c r="Q349" s="28">
        <f>IF(A349="","",SUMIFS('Hakedis Fatura Detay'!$G$3:$G$1200,'Hakedis Fatura Detay'!$H$3:$H$1200,'DIVA Satislari'!AJ349,'Hakedis Fatura Detay'!$F$3:$F$1200,"Fiyat Farkı")+SUMIFS('Hakedis Fatura Detay'!$G$3:$G$1200,'Hakedis Fatura Detay'!$H$3:$H$1200,'DIVA Satislari'!AJ349,'Hakedis Fatura Detay'!$F$3:$F$1200,"Bundle"))</f>
        <v/>
      </c>
      <c r="R349" s="28">
        <f>IF(A349="","",I349-Q349)</f>
        <v/>
      </c>
      <c r="S349" s="26">
        <f>IF(A349="","",IF(LEFT(P349,7)="Bekleni","N/A - Henüz Ödenmemeli",IF(LEFT(P349,4)="RİSK","İNCELEME GEREKLİ - Süre Aşımı",IF(R349=0,"Doğru",IF(R349&gt;0,"EKSİK ÖDENMİŞ","FAZLA ÖDENMİŞ")))))</f>
        <v/>
      </c>
      <c r="T349" s="30">
        <f>IF(A349="","",IF(F349&lt;&gt;"Evet","İNCELEME GEREKLİ - Kampanya Tanımsız",IF(G349&lt;&gt;"Evet","İNCELEME GEREKLİ - Tarih Dışı Satış",IF(LEFT(P349,4)="RİSK","İNCELEME GEREKLİ - Hakediş Süresi Aşıldı",IF(OR(S349="EKSİK ÖDENMİŞ",S349="FAZLA ÖDENMİŞ"),"İNCELEME GEREKLİ - Tutar Uyuşmazlığı",IF(LEFT(P349,7)="Bekleni","Bekleniyor","Uygun"))))))</f>
        <v/>
      </c>
    </row>
    <row r="350">
      <c r="A350" s="26">
        <f>IF('DIVA Satislari'!I350="","",'DIVA Satislari'!I350)</f>
        <v/>
      </c>
      <c r="B350" s="26">
        <f>IF('DIVA Satislari'!I350="","",'DIVA Satislari'!R350)</f>
        <v/>
      </c>
      <c r="C350" s="26">
        <f>IF('DIVA Satislari'!I350="","",'DIVA Satislari'!M350)</f>
        <v/>
      </c>
      <c r="D350" s="27">
        <f>IF('DIVA Satislari'!I350="","",'DIVA Satislari'!H350)</f>
        <v/>
      </c>
      <c r="E350" s="26">
        <f>IF('DIVA Satislari'!I350="","",'DIVA Satislari'!O350)</f>
        <v/>
      </c>
      <c r="F350" s="26">
        <f>IF('DIVA Satislari'!I350="","",'DIVA Satislari'!AK350)</f>
        <v/>
      </c>
      <c r="G350" s="26">
        <f>IF('DIVA Satislari'!I350="","",'DIVA Satislari'!AO350)</f>
        <v/>
      </c>
      <c r="H350" s="27">
        <f>IF('DIVA Satislari'!I350="","",'DIVA Satislari'!AN350)</f>
        <v/>
      </c>
      <c r="I350" s="28">
        <f>IF('DIVA Satislari'!I350="","",'DIVA Satislari'!AQ350)</f>
        <v/>
      </c>
      <c r="J350" s="26">
        <f>IF('DIVA Satislari'!I350="","",'DIVA Satislari'!AR350)</f>
        <v/>
      </c>
      <c r="K350" s="26">
        <f>IF('DIVA Satislari'!I350="","",IFERROR(INDEX('E2E Nakliye Montaj'!$AS$3:$AS$1002,MATCH('DIVA Satislari'!AJ350,'E2E Nakliye Montaj'!$AM$3:$AM$1002,0)),"Eşleşme Yok"))</f>
        <v/>
      </c>
      <c r="L350" s="26">
        <f>IF('DIVA Satislari'!I350="","",IFERROR(INDEX('E2E Nakliye Montaj'!$AT$3:$AT$1002,MATCH('DIVA Satislari'!AJ350,'E2E Nakliye Montaj'!$AM$3:$AM$1002,0)),"Hayır"))</f>
        <v/>
      </c>
      <c r="M350" s="26">
        <f>IF('DIVA Satislari'!I350="","",IFERROR(INDEX('E2E Nakliye Montaj'!$AU$3:$AU$1002,MATCH('DIVA Satislari'!AJ350,'E2E Nakliye Montaj'!$AM$3:$AM$1002,0)),"Hayır"))</f>
        <v/>
      </c>
      <c r="N350" s="27">
        <f>IF('DIVA Satislari'!I350="","",IFERROR(INDEX('E2E Nakliye Montaj'!$AV$3:$AV$1002,MATCH('DIVA Satislari'!AJ350,'E2E Nakliye Montaj'!$AM$3:$AM$1002,0)),""))</f>
        <v/>
      </c>
      <c r="O350" s="26">
        <f>IF(OR(A350="",N350=""),"",IF(N350&lt;=H350,"Evet","HAYIR - RİSK"))</f>
        <v/>
      </c>
      <c r="P350" s="26">
        <f>IF(A350="","",IF(LEFT(J350,8)="Kural A ","Uygun - Hemen Ödenir (Yıl Sonu %75 Kontrolüne Tabi)",IF(OR(L350="Evet",M350="Evet"),IF(O350="Evet","Uygun","RİSK - Hakediş Süresi Aşıldı"),"Bekleniyor - Nakliye/Montaj Tamamlanmadı")))</f>
        <v/>
      </c>
      <c r="Q350" s="28">
        <f>IF(A350="","",SUMIFS('Hakedis Fatura Detay'!$G$3:$G$1200,'Hakedis Fatura Detay'!$H$3:$H$1200,'DIVA Satislari'!AJ350,'Hakedis Fatura Detay'!$F$3:$F$1200,"Fiyat Farkı")+SUMIFS('Hakedis Fatura Detay'!$G$3:$G$1200,'Hakedis Fatura Detay'!$H$3:$H$1200,'DIVA Satislari'!AJ350,'Hakedis Fatura Detay'!$F$3:$F$1200,"Bundle"))</f>
        <v/>
      </c>
      <c r="R350" s="28">
        <f>IF(A350="","",I350-Q350)</f>
        <v/>
      </c>
      <c r="S350" s="26">
        <f>IF(A350="","",IF(LEFT(P350,7)="Bekleni","N/A - Henüz Ödenmemeli",IF(LEFT(P350,4)="RİSK","İNCELEME GEREKLİ - Süre Aşımı",IF(R350=0,"Doğru",IF(R350&gt;0,"EKSİK ÖDENMİŞ","FAZLA ÖDENMİŞ")))))</f>
        <v/>
      </c>
      <c r="T350" s="30">
        <f>IF(A350="","",IF(F350&lt;&gt;"Evet","İNCELEME GEREKLİ - Kampanya Tanımsız",IF(G350&lt;&gt;"Evet","İNCELEME GEREKLİ - Tarih Dışı Satış",IF(LEFT(P350,4)="RİSK","İNCELEME GEREKLİ - Hakediş Süresi Aşıldı",IF(OR(S350="EKSİK ÖDENMİŞ",S350="FAZLA ÖDENMİŞ"),"İNCELEME GEREKLİ - Tutar Uyuşmazlığı",IF(LEFT(P350,7)="Bekleni","Bekleniyor","Uygun"))))))</f>
        <v/>
      </c>
    </row>
    <row r="351">
      <c r="A351" s="26">
        <f>IF('DIVA Satislari'!I351="","",'DIVA Satislari'!I351)</f>
        <v/>
      </c>
      <c r="B351" s="26">
        <f>IF('DIVA Satislari'!I351="","",'DIVA Satislari'!R351)</f>
        <v/>
      </c>
      <c r="C351" s="26">
        <f>IF('DIVA Satislari'!I351="","",'DIVA Satislari'!M351)</f>
        <v/>
      </c>
      <c r="D351" s="27">
        <f>IF('DIVA Satislari'!I351="","",'DIVA Satislari'!H351)</f>
        <v/>
      </c>
      <c r="E351" s="26">
        <f>IF('DIVA Satislari'!I351="","",'DIVA Satislari'!O351)</f>
        <v/>
      </c>
      <c r="F351" s="26">
        <f>IF('DIVA Satislari'!I351="","",'DIVA Satislari'!AK351)</f>
        <v/>
      </c>
      <c r="G351" s="26">
        <f>IF('DIVA Satislari'!I351="","",'DIVA Satislari'!AO351)</f>
        <v/>
      </c>
      <c r="H351" s="27">
        <f>IF('DIVA Satislari'!I351="","",'DIVA Satislari'!AN351)</f>
        <v/>
      </c>
      <c r="I351" s="28">
        <f>IF('DIVA Satislari'!I351="","",'DIVA Satislari'!AQ351)</f>
        <v/>
      </c>
      <c r="J351" s="26">
        <f>IF('DIVA Satislari'!I351="","",'DIVA Satislari'!AR351)</f>
        <v/>
      </c>
      <c r="K351" s="26">
        <f>IF('DIVA Satislari'!I351="","",IFERROR(INDEX('E2E Nakliye Montaj'!$AS$3:$AS$1002,MATCH('DIVA Satislari'!AJ351,'E2E Nakliye Montaj'!$AM$3:$AM$1002,0)),"Eşleşme Yok"))</f>
        <v/>
      </c>
      <c r="L351" s="26">
        <f>IF('DIVA Satislari'!I351="","",IFERROR(INDEX('E2E Nakliye Montaj'!$AT$3:$AT$1002,MATCH('DIVA Satislari'!AJ351,'E2E Nakliye Montaj'!$AM$3:$AM$1002,0)),"Hayır"))</f>
        <v/>
      </c>
      <c r="M351" s="26">
        <f>IF('DIVA Satislari'!I351="","",IFERROR(INDEX('E2E Nakliye Montaj'!$AU$3:$AU$1002,MATCH('DIVA Satislari'!AJ351,'E2E Nakliye Montaj'!$AM$3:$AM$1002,0)),"Hayır"))</f>
        <v/>
      </c>
      <c r="N351" s="27">
        <f>IF('DIVA Satislari'!I351="","",IFERROR(INDEX('E2E Nakliye Montaj'!$AV$3:$AV$1002,MATCH('DIVA Satislari'!AJ351,'E2E Nakliye Montaj'!$AM$3:$AM$1002,0)),""))</f>
        <v/>
      </c>
      <c r="O351" s="26">
        <f>IF(OR(A351="",N351=""),"",IF(N351&lt;=H351,"Evet","HAYIR - RİSK"))</f>
        <v/>
      </c>
      <c r="P351" s="26">
        <f>IF(A351="","",IF(LEFT(J351,8)="Kural A ","Uygun - Hemen Ödenir (Yıl Sonu %75 Kontrolüne Tabi)",IF(OR(L351="Evet",M351="Evet"),IF(O351="Evet","Uygun","RİSK - Hakediş Süresi Aşıldı"),"Bekleniyor - Nakliye/Montaj Tamamlanmadı")))</f>
        <v/>
      </c>
      <c r="Q351" s="28">
        <f>IF(A351="","",SUMIFS('Hakedis Fatura Detay'!$G$3:$G$1200,'Hakedis Fatura Detay'!$H$3:$H$1200,'DIVA Satislari'!AJ351,'Hakedis Fatura Detay'!$F$3:$F$1200,"Fiyat Farkı")+SUMIFS('Hakedis Fatura Detay'!$G$3:$G$1200,'Hakedis Fatura Detay'!$H$3:$H$1200,'DIVA Satislari'!AJ351,'Hakedis Fatura Detay'!$F$3:$F$1200,"Bundle"))</f>
        <v/>
      </c>
      <c r="R351" s="28">
        <f>IF(A351="","",I351-Q351)</f>
        <v/>
      </c>
      <c r="S351" s="26">
        <f>IF(A351="","",IF(LEFT(P351,7)="Bekleni","N/A - Henüz Ödenmemeli",IF(LEFT(P351,4)="RİSK","İNCELEME GEREKLİ - Süre Aşımı",IF(R351=0,"Doğru",IF(R351&gt;0,"EKSİK ÖDENMİŞ","FAZLA ÖDENMİŞ")))))</f>
        <v/>
      </c>
      <c r="T351" s="30">
        <f>IF(A351="","",IF(F351&lt;&gt;"Evet","İNCELEME GEREKLİ - Kampanya Tanımsız",IF(G351&lt;&gt;"Evet","İNCELEME GEREKLİ - Tarih Dışı Satış",IF(LEFT(P351,4)="RİSK","İNCELEME GEREKLİ - Hakediş Süresi Aşıldı",IF(OR(S351="EKSİK ÖDENMİŞ",S351="FAZLA ÖDENMİŞ"),"İNCELEME GEREKLİ - Tutar Uyuşmazlığı",IF(LEFT(P351,7)="Bekleni","Bekleniyor","Uygun"))))))</f>
        <v/>
      </c>
    </row>
    <row r="352">
      <c r="A352" s="26">
        <f>IF('DIVA Satislari'!I352="","",'DIVA Satislari'!I352)</f>
        <v/>
      </c>
      <c r="B352" s="26">
        <f>IF('DIVA Satislari'!I352="","",'DIVA Satislari'!R352)</f>
        <v/>
      </c>
      <c r="C352" s="26">
        <f>IF('DIVA Satislari'!I352="","",'DIVA Satislari'!M352)</f>
        <v/>
      </c>
      <c r="D352" s="27">
        <f>IF('DIVA Satislari'!I352="","",'DIVA Satislari'!H352)</f>
        <v/>
      </c>
      <c r="E352" s="26">
        <f>IF('DIVA Satislari'!I352="","",'DIVA Satislari'!O352)</f>
        <v/>
      </c>
      <c r="F352" s="26">
        <f>IF('DIVA Satislari'!I352="","",'DIVA Satislari'!AK352)</f>
        <v/>
      </c>
      <c r="G352" s="26">
        <f>IF('DIVA Satislari'!I352="","",'DIVA Satislari'!AO352)</f>
        <v/>
      </c>
      <c r="H352" s="27">
        <f>IF('DIVA Satislari'!I352="","",'DIVA Satislari'!AN352)</f>
        <v/>
      </c>
      <c r="I352" s="28">
        <f>IF('DIVA Satislari'!I352="","",'DIVA Satislari'!AQ352)</f>
        <v/>
      </c>
      <c r="J352" s="26">
        <f>IF('DIVA Satislari'!I352="","",'DIVA Satislari'!AR352)</f>
        <v/>
      </c>
      <c r="K352" s="26">
        <f>IF('DIVA Satislari'!I352="","",IFERROR(INDEX('E2E Nakliye Montaj'!$AS$3:$AS$1002,MATCH('DIVA Satislari'!AJ352,'E2E Nakliye Montaj'!$AM$3:$AM$1002,0)),"Eşleşme Yok"))</f>
        <v/>
      </c>
      <c r="L352" s="26">
        <f>IF('DIVA Satislari'!I352="","",IFERROR(INDEX('E2E Nakliye Montaj'!$AT$3:$AT$1002,MATCH('DIVA Satislari'!AJ352,'E2E Nakliye Montaj'!$AM$3:$AM$1002,0)),"Hayır"))</f>
        <v/>
      </c>
      <c r="M352" s="26">
        <f>IF('DIVA Satislari'!I352="","",IFERROR(INDEX('E2E Nakliye Montaj'!$AU$3:$AU$1002,MATCH('DIVA Satislari'!AJ352,'E2E Nakliye Montaj'!$AM$3:$AM$1002,0)),"Hayır"))</f>
        <v/>
      </c>
      <c r="N352" s="27">
        <f>IF('DIVA Satislari'!I352="","",IFERROR(INDEX('E2E Nakliye Montaj'!$AV$3:$AV$1002,MATCH('DIVA Satislari'!AJ352,'E2E Nakliye Montaj'!$AM$3:$AM$1002,0)),""))</f>
        <v/>
      </c>
      <c r="O352" s="26">
        <f>IF(OR(A352="",N352=""),"",IF(N352&lt;=H352,"Evet","HAYIR - RİSK"))</f>
        <v/>
      </c>
      <c r="P352" s="26">
        <f>IF(A352="","",IF(LEFT(J352,8)="Kural A ","Uygun - Hemen Ödenir (Yıl Sonu %75 Kontrolüne Tabi)",IF(OR(L352="Evet",M352="Evet"),IF(O352="Evet","Uygun","RİSK - Hakediş Süresi Aşıldı"),"Bekleniyor - Nakliye/Montaj Tamamlanmadı")))</f>
        <v/>
      </c>
      <c r="Q352" s="28">
        <f>IF(A352="","",SUMIFS('Hakedis Fatura Detay'!$G$3:$G$1200,'Hakedis Fatura Detay'!$H$3:$H$1200,'DIVA Satislari'!AJ352,'Hakedis Fatura Detay'!$F$3:$F$1200,"Fiyat Farkı")+SUMIFS('Hakedis Fatura Detay'!$G$3:$G$1200,'Hakedis Fatura Detay'!$H$3:$H$1200,'DIVA Satislari'!AJ352,'Hakedis Fatura Detay'!$F$3:$F$1200,"Bundle"))</f>
        <v/>
      </c>
      <c r="R352" s="28">
        <f>IF(A352="","",I352-Q352)</f>
        <v/>
      </c>
      <c r="S352" s="26">
        <f>IF(A352="","",IF(LEFT(P352,7)="Bekleni","N/A - Henüz Ödenmemeli",IF(LEFT(P352,4)="RİSK","İNCELEME GEREKLİ - Süre Aşımı",IF(R352=0,"Doğru",IF(R352&gt;0,"EKSİK ÖDENMİŞ","FAZLA ÖDENMİŞ")))))</f>
        <v/>
      </c>
      <c r="T352" s="30">
        <f>IF(A352="","",IF(F352&lt;&gt;"Evet","İNCELEME GEREKLİ - Kampanya Tanımsız",IF(G352&lt;&gt;"Evet","İNCELEME GEREKLİ - Tarih Dışı Satış",IF(LEFT(P352,4)="RİSK","İNCELEME GEREKLİ - Hakediş Süresi Aşıldı",IF(OR(S352="EKSİK ÖDENMİŞ",S352="FAZLA ÖDENMİŞ"),"İNCELEME GEREKLİ - Tutar Uyuşmazlığı",IF(LEFT(P352,7)="Bekleni","Bekleniyor","Uygun"))))))</f>
        <v/>
      </c>
    </row>
    <row r="353">
      <c r="A353" s="26">
        <f>IF('DIVA Satislari'!I353="","",'DIVA Satislari'!I353)</f>
        <v/>
      </c>
      <c r="B353" s="26">
        <f>IF('DIVA Satislari'!I353="","",'DIVA Satislari'!R353)</f>
        <v/>
      </c>
      <c r="C353" s="26">
        <f>IF('DIVA Satislari'!I353="","",'DIVA Satislari'!M353)</f>
        <v/>
      </c>
      <c r="D353" s="27">
        <f>IF('DIVA Satislari'!I353="","",'DIVA Satislari'!H353)</f>
        <v/>
      </c>
      <c r="E353" s="26">
        <f>IF('DIVA Satislari'!I353="","",'DIVA Satislari'!O353)</f>
        <v/>
      </c>
      <c r="F353" s="26">
        <f>IF('DIVA Satislari'!I353="","",'DIVA Satislari'!AK353)</f>
        <v/>
      </c>
      <c r="G353" s="26">
        <f>IF('DIVA Satislari'!I353="","",'DIVA Satislari'!AO353)</f>
        <v/>
      </c>
      <c r="H353" s="27">
        <f>IF('DIVA Satislari'!I353="","",'DIVA Satislari'!AN353)</f>
        <v/>
      </c>
      <c r="I353" s="28">
        <f>IF('DIVA Satislari'!I353="","",'DIVA Satislari'!AQ353)</f>
        <v/>
      </c>
      <c r="J353" s="26">
        <f>IF('DIVA Satislari'!I353="","",'DIVA Satislari'!AR353)</f>
        <v/>
      </c>
      <c r="K353" s="26">
        <f>IF('DIVA Satislari'!I353="","",IFERROR(INDEX('E2E Nakliye Montaj'!$AS$3:$AS$1002,MATCH('DIVA Satislari'!AJ353,'E2E Nakliye Montaj'!$AM$3:$AM$1002,0)),"Eşleşme Yok"))</f>
        <v/>
      </c>
      <c r="L353" s="26">
        <f>IF('DIVA Satislari'!I353="","",IFERROR(INDEX('E2E Nakliye Montaj'!$AT$3:$AT$1002,MATCH('DIVA Satislari'!AJ353,'E2E Nakliye Montaj'!$AM$3:$AM$1002,0)),"Hayır"))</f>
        <v/>
      </c>
      <c r="M353" s="26">
        <f>IF('DIVA Satislari'!I353="","",IFERROR(INDEX('E2E Nakliye Montaj'!$AU$3:$AU$1002,MATCH('DIVA Satislari'!AJ353,'E2E Nakliye Montaj'!$AM$3:$AM$1002,0)),"Hayır"))</f>
        <v/>
      </c>
      <c r="N353" s="27">
        <f>IF('DIVA Satislari'!I353="","",IFERROR(INDEX('E2E Nakliye Montaj'!$AV$3:$AV$1002,MATCH('DIVA Satislari'!AJ353,'E2E Nakliye Montaj'!$AM$3:$AM$1002,0)),""))</f>
        <v/>
      </c>
      <c r="O353" s="26">
        <f>IF(OR(A353="",N353=""),"",IF(N353&lt;=H353,"Evet","HAYIR - RİSK"))</f>
        <v/>
      </c>
      <c r="P353" s="26">
        <f>IF(A353="","",IF(LEFT(J353,8)="Kural A ","Uygun - Hemen Ödenir (Yıl Sonu %75 Kontrolüne Tabi)",IF(OR(L353="Evet",M353="Evet"),IF(O353="Evet","Uygun","RİSK - Hakediş Süresi Aşıldı"),"Bekleniyor - Nakliye/Montaj Tamamlanmadı")))</f>
        <v/>
      </c>
      <c r="Q353" s="28">
        <f>IF(A353="","",SUMIFS('Hakedis Fatura Detay'!$G$3:$G$1200,'Hakedis Fatura Detay'!$H$3:$H$1200,'DIVA Satislari'!AJ353,'Hakedis Fatura Detay'!$F$3:$F$1200,"Fiyat Farkı")+SUMIFS('Hakedis Fatura Detay'!$G$3:$G$1200,'Hakedis Fatura Detay'!$H$3:$H$1200,'DIVA Satislari'!AJ353,'Hakedis Fatura Detay'!$F$3:$F$1200,"Bundle"))</f>
        <v/>
      </c>
      <c r="R353" s="28">
        <f>IF(A353="","",I353-Q353)</f>
        <v/>
      </c>
      <c r="S353" s="26">
        <f>IF(A353="","",IF(LEFT(P353,7)="Bekleni","N/A - Henüz Ödenmemeli",IF(LEFT(P353,4)="RİSK","İNCELEME GEREKLİ - Süre Aşımı",IF(R353=0,"Doğru",IF(R353&gt;0,"EKSİK ÖDENMİŞ","FAZLA ÖDENMİŞ")))))</f>
        <v/>
      </c>
      <c r="T353" s="30">
        <f>IF(A353="","",IF(F353&lt;&gt;"Evet","İNCELEME GEREKLİ - Kampanya Tanımsız",IF(G353&lt;&gt;"Evet","İNCELEME GEREKLİ - Tarih Dışı Satış",IF(LEFT(P353,4)="RİSK","İNCELEME GEREKLİ - Hakediş Süresi Aşıldı",IF(OR(S353="EKSİK ÖDENMİŞ",S353="FAZLA ÖDENMİŞ"),"İNCELEME GEREKLİ - Tutar Uyuşmazlığı",IF(LEFT(P353,7)="Bekleni","Bekleniyor","Uygun"))))))</f>
        <v/>
      </c>
    </row>
    <row r="354">
      <c r="A354" s="26">
        <f>IF('DIVA Satislari'!I354="","",'DIVA Satislari'!I354)</f>
        <v/>
      </c>
      <c r="B354" s="26">
        <f>IF('DIVA Satislari'!I354="","",'DIVA Satislari'!R354)</f>
        <v/>
      </c>
      <c r="C354" s="26">
        <f>IF('DIVA Satislari'!I354="","",'DIVA Satislari'!M354)</f>
        <v/>
      </c>
      <c r="D354" s="27">
        <f>IF('DIVA Satislari'!I354="","",'DIVA Satislari'!H354)</f>
        <v/>
      </c>
      <c r="E354" s="26">
        <f>IF('DIVA Satislari'!I354="","",'DIVA Satislari'!O354)</f>
        <v/>
      </c>
      <c r="F354" s="26">
        <f>IF('DIVA Satislari'!I354="","",'DIVA Satislari'!AK354)</f>
        <v/>
      </c>
      <c r="G354" s="26">
        <f>IF('DIVA Satislari'!I354="","",'DIVA Satislari'!AO354)</f>
        <v/>
      </c>
      <c r="H354" s="27">
        <f>IF('DIVA Satislari'!I354="","",'DIVA Satislari'!AN354)</f>
        <v/>
      </c>
      <c r="I354" s="28">
        <f>IF('DIVA Satislari'!I354="","",'DIVA Satislari'!AQ354)</f>
        <v/>
      </c>
      <c r="J354" s="26">
        <f>IF('DIVA Satislari'!I354="","",'DIVA Satislari'!AR354)</f>
        <v/>
      </c>
      <c r="K354" s="26">
        <f>IF('DIVA Satislari'!I354="","",IFERROR(INDEX('E2E Nakliye Montaj'!$AS$3:$AS$1002,MATCH('DIVA Satislari'!AJ354,'E2E Nakliye Montaj'!$AM$3:$AM$1002,0)),"Eşleşme Yok"))</f>
        <v/>
      </c>
      <c r="L354" s="26">
        <f>IF('DIVA Satislari'!I354="","",IFERROR(INDEX('E2E Nakliye Montaj'!$AT$3:$AT$1002,MATCH('DIVA Satislari'!AJ354,'E2E Nakliye Montaj'!$AM$3:$AM$1002,0)),"Hayır"))</f>
        <v/>
      </c>
      <c r="M354" s="26">
        <f>IF('DIVA Satislari'!I354="","",IFERROR(INDEX('E2E Nakliye Montaj'!$AU$3:$AU$1002,MATCH('DIVA Satislari'!AJ354,'E2E Nakliye Montaj'!$AM$3:$AM$1002,0)),"Hayır"))</f>
        <v/>
      </c>
      <c r="N354" s="27">
        <f>IF('DIVA Satislari'!I354="","",IFERROR(INDEX('E2E Nakliye Montaj'!$AV$3:$AV$1002,MATCH('DIVA Satislari'!AJ354,'E2E Nakliye Montaj'!$AM$3:$AM$1002,0)),""))</f>
        <v/>
      </c>
      <c r="O354" s="26">
        <f>IF(OR(A354="",N354=""),"",IF(N354&lt;=H354,"Evet","HAYIR - RİSK"))</f>
        <v/>
      </c>
      <c r="P354" s="26">
        <f>IF(A354="","",IF(LEFT(J354,8)="Kural A ","Uygun - Hemen Ödenir (Yıl Sonu %75 Kontrolüne Tabi)",IF(OR(L354="Evet",M354="Evet"),IF(O354="Evet","Uygun","RİSK - Hakediş Süresi Aşıldı"),"Bekleniyor - Nakliye/Montaj Tamamlanmadı")))</f>
        <v/>
      </c>
      <c r="Q354" s="28">
        <f>IF(A354="","",SUMIFS('Hakedis Fatura Detay'!$G$3:$G$1200,'Hakedis Fatura Detay'!$H$3:$H$1200,'DIVA Satislari'!AJ354,'Hakedis Fatura Detay'!$F$3:$F$1200,"Fiyat Farkı")+SUMIFS('Hakedis Fatura Detay'!$G$3:$G$1200,'Hakedis Fatura Detay'!$H$3:$H$1200,'DIVA Satislari'!AJ354,'Hakedis Fatura Detay'!$F$3:$F$1200,"Bundle"))</f>
        <v/>
      </c>
      <c r="R354" s="28">
        <f>IF(A354="","",I354-Q354)</f>
        <v/>
      </c>
      <c r="S354" s="26">
        <f>IF(A354="","",IF(LEFT(P354,7)="Bekleni","N/A - Henüz Ödenmemeli",IF(LEFT(P354,4)="RİSK","İNCELEME GEREKLİ - Süre Aşımı",IF(R354=0,"Doğru",IF(R354&gt;0,"EKSİK ÖDENMİŞ","FAZLA ÖDENMİŞ")))))</f>
        <v/>
      </c>
      <c r="T354" s="30">
        <f>IF(A354="","",IF(F354&lt;&gt;"Evet","İNCELEME GEREKLİ - Kampanya Tanımsız",IF(G354&lt;&gt;"Evet","İNCELEME GEREKLİ - Tarih Dışı Satış",IF(LEFT(P354,4)="RİSK","İNCELEME GEREKLİ - Hakediş Süresi Aşıldı",IF(OR(S354="EKSİK ÖDENMİŞ",S354="FAZLA ÖDENMİŞ"),"İNCELEME GEREKLİ - Tutar Uyuşmazlığı",IF(LEFT(P354,7)="Bekleni","Bekleniyor","Uygun"))))))</f>
        <v/>
      </c>
    </row>
    <row r="355">
      <c r="A355" s="26">
        <f>IF('DIVA Satislari'!I355="","",'DIVA Satislari'!I355)</f>
        <v/>
      </c>
      <c r="B355" s="26">
        <f>IF('DIVA Satislari'!I355="","",'DIVA Satislari'!R355)</f>
        <v/>
      </c>
      <c r="C355" s="26">
        <f>IF('DIVA Satislari'!I355="","",'DIVA Satislari'!M355)</f>
        <v/>
      </c>
      <c r="D355" s="27">
        <f>IF('DIVA Satislari'!I355="","",'DIVA Satislari'!H355)</f>
        <v/>
      </c>
      <c r="E355" s="26">
        <f>IF('DIVA Satislari'!I355="","",'DIVA Satislari'!O355)</f>
        <v/>
      </c>
      <c r="F355" s="26">
        <f>IF('DIVA Satislari'!I355="","",'DIVA Satislari'!AK355)</f>
        <v/>
      </c>
      <c r="G355" s="26">
        <f>IF('DIVA Satislari'!I355="","",'DIVA Satislari'!AO355)</f>
        <v/>
      </c>
      <c r="H355" s="27">
        <f>IF('DIVA Satislari'!I355="","",'DIVA Satislari'!AN355)</f>
        <v/>
      </c>
      <c r="I355" s="28">
        <f>IF('DIVA Satislari'!I355="","",'DIVA Satislari'!AQ355)</f>
        <v/>
      </c>
      <c r="J355" s="26">
        <f>IF('DIVA Satislari'!I355="","",'DIVA Satislari'!AR355)</f>
        <v/>
      </c>
      <c r="K355" s="26">
        <f>IF('DIVA Satislari'!I355="","",IFERROR(INDEX('E2E Nakliye Montaj'!$AS$3:$AS$1002,MATCH('DIVA Satislari'!AJ355,'E2E Nakliye Montaj'!$AM$3:$AM$1002,0)),"Eşleşme Yok"))</f>
        <v/>
      </c>
      <c r="L355" s="26">
        <f>IF('DIVA Satislari'!I355="","",IFERROR(INDEX('E2E Nakliye Montaj'!$AT$3:$AT$1002,MATCH('DIVA Satislari'!AJ355,'E2E Nakliye Montaj'!$AM$3:$AM$1002,0)),"Hayır"))</f>
        <v/>
      </c>
      <c r="M355" s="26">
        <f>IF('DIVA Satislari'!I355="","",IFERROR(INDEX('E2E Nakliye Montaj'!$AU$3:$AU$1002,MATCH('DIVA Satislari'!AJ355,'E2E Nakliye Montaj'!$AM$3:$AM$1002,0)),"Hayır"))</f>
        <v/>
      </c>
      <c r="N355" s="27">
        <f>IF('DIVA Satislari'!I355="","",IFERROR(INDEX('E2E Nakliye Montaj'!$AV$3:$AV$1002,MATCH('DIVA Satislari'!AJ355,'E2E Nakliye Montaj'!$AM$3:$AM$1002,0)),""))</f>
        <v/>
      </c>
      <c r="O355" s="26">
        <f>IF(OR(A355="",N355=""),"",IF(N355&lt;=H355,"Evet","HAYIR - RİSK"))</f>
        <v/>
      </c>
      <c r="P355" s="26">
        <f>IF(A355="","",IF(LEFT(J355,8)="Kural A ","Uygun - Hemen Ödenir (Yıl Sonu %75 Kontrolüne Tabi)",IF(OR(L355="Evet",M355="Evet"),IF(O355="Evet","Uygun","RİSK - Hakediş Süresi Aşıldı"),"Bekleniyor - Nakliye/Montaj Tamamlanmadı")))</f>
        <v/>
      </c>
      <c r="Q355" s="28">
        <f>IF(A355="","",SUMIFS('Hakedis Fatura Detay'!$G$3:$G$1200,'Hakedis Fatura Detay'!$H$3:$H$1200,'DIVA Satislari'!AJ355,'Hakedis Fatura Detay'!$F$3:$F$1200,"Fiyat Farkı")+SUMIFS('Hakedis Fatura Detay'!$G$3:$G$1200,'Hakedis Fatura Detay'!$H$3:$H$1200,'DIVA Satislari'!AJ355,'Hakedis Fatura Detay'!$F$3:$F$1200,"Bundle"))</f>
        <v/>
      </c>
      <c r="R355" s="28">
        <f>IF(A355="","",I355-Q355)</f>
        <v/>
      </c>
      <c r="S355" s="26">
        <f>IF(A355="","",IF(LEFT(P355,7)="Bekleni","N/A - Henüz Ödenmemeli",IF(LEFT(P355,4)="RİSK","İNCELEME GEREKLİ - Süre Aşımı",IF(R355=0,"Doğru",IF(R355&gt;0,"EKSİK ÖDENMİŞ","FAZLA ÖDENMİŞ")))))</f>
        <v/>
      </c>
      <c r="T355" s="30">
        <f>IF(A355="","",IF(F355&lt;&gt;"Evet","İNCELEME GEREKLİ - Kampanya Tanımsız",IF(G355&lt;&gt;"Evet","İNCELEME GEREKLİ - Tarih Dışı Satış",IF(LEFT(P355,4)="RİSK","İNCELEME GEREKLİ - Hakediş Süresi Aşıldı",IF(OR(S355="EKSİK ÖDENMİŞ",S355="FAZLA ÖDENMİŞ"),"İNCELEME GEREKLİ - Tutar Uyuşmazlığı",IF(LEFT(P355,7)="Bekleni","Bekleniyor","Uygun"))))))</f>
        <v/>
      </c>
    </row>
    <row r="356">
      <c r="A356" s="26">
        <f>IF('DIVA Satislari'!I356="","",'DIVA Satislari'!I356)</f>
        <v/>
      </c>
      <c r="B356" s="26">
        <f>IF('DIVA Satislari'!I356="","",'DIVA Satislari'!R356)</f>
        <v/>
      </c>
      <c r="C356" s="26">
        <f>IF('DIVA Satislari'!I356="","",'DIVA Satislari'!M356)</f>
        <v/>
      </c>
      <c r="D356" s="27">
        <f>IF('DIVA Satislari'!I356="","",'DIVA Satislari'!H356)</f>
        <v/>
      </c>
      <c r="E356" s="26">
        <f>IF('DIVA Satislari'!I356="","",'DIVA Satislari'!O356)</f>
        <v/>
      </c>
      <c r="F356" s="26">
        <f>IF('DIVA Satislari'!I356="","",'DIVA Satislari'!AK356)</f>
        <v/>
      </c>
      <c r="G356" s="26">
        <f>IF('DIVA Satislari'!I356="","",'DIVA Satislari'!AO356)</f>
        <v/>
      </c>
      <c r="H356" s="27">
        <f>IF('DIVA Satislari'!I356="","",'DIVA Satislari'!AN356)</f>
        <v/>
      </c>
      <c r="I356" s="28">
        <f>IF('DIVA Satislari'!I356="","",'DIVA Satislari'!AQ356)</f>
        <v/>
      </c>
      <c r="J356" s="26">
        <f>IF('DIVA Satislari'!I356="","",'DIVA Satislari'!AR356)</f>
        <v/>
      </c>
      <c r="K356" s="26">
        <f>IF('DIVA Satislari'!I356="","",IFERROR(INDEX('E2E Nakliye Montaj'!$AS$3:$AS$1002,MATCH('DIVA Satislari'!AJ356,'E2E Nakliye Montaj'!$AM$3:$AM$1002,0)),"Eşleşme Yok"))</f>
        <v/>
      </c>
      <c r="L356" s="26">
        <f>IF('DIVA Satislari'!I356="","",IFERROR(INDEX('E2E Nakliye Montaj'!$AT$3:$AT$1002,MATCH('DIVA Satislari'!AJ356,'E2E Nakliye Montaj'!$AM$3:$AM$1002,0)),"Hayır"))</f>
        <v/>
      </c>
      <c r="M356" s="26">
        <f>IF('DIVA Satislari'!I356="","",IFERROR(INDEX('E2E Nakliye Montaj'!$AU$3:$AU$1002,MATCH('DIVA Satislari'!AJ356,'E2E Nakliye Montaj'!$AM$3:$AM$1002,0)),"Hayır"))</f>
        <v/>
      </c>
      <c r="N356" s="27">
        <f>IF('DIVA Satislari'!I356="","",IFERROR(INDEX('E2E Nakliye Montaj'!$AV$3:$AV$1002,MATCH('DIVA Satislari'!AJ356,'E2E Nakliye Montaj'!$AM$3:$AM$1002,0)),""))</f>
        <v/>
      </c>
      <c r="O356" s="26">
        <f>IF(OR(A356="",N356=""),"",IF(N356&lt;=H356,"Evet","HAYIR - RİSK"))</f>
        <v/>
      </c>
      <c r="P356" s="26">
        <f>IF(A356="","",IF(LEFT(J356,8)="Kural A ","Uygun - Hemen Ödenir (Yıl Sonu %75 Kontrolüne Tabi)",IF(OR(L356="Evet",M356="Evet"),IF(O356="Evet","Uygun","RİSK - Hakediş Süresi Aşıldı"),"Bekleniyor - Nakliye/Montaj Tamamlanmadı")))</f>
        <v/>
      </c>
      <c r="Q356" s="28">
        <f>IF(A356="","",SUMIFS('Hakedis Fatura Detay'!$G$3:$G$1200,'Hakedis Fatura Detay'!$H$3:$H$1200,'DIVA Satislari'!AJ356,'Hakedis Fatura Detay'!$F$3:$F$1200,"Fiyat Farkı")+SUMIFS('Hakedis Fatura Detay'!$G$3:$G$1200,'Hakedis Fatura Detay'!$H$3:$H$1200,'DIVA Satislari'!AJ356,'Hakedis Fatura Detay'!$F$3:$F$1200,"Bundle"))</f>
        <v/>
      </c>
      <c r="R356" s="28">
        <f>IF(A356="","",I356-Q356)</f>
        <v/>
      </c>
      <c r="S356" s="26">
        <f>IF(A356="","",IF(LEFT(P356,7)="Bekleni","N/A - Henüz Ödenmemeli",IF(LEFT(P356,4)="RİSK","İNCELEME GEREKLİ - Süre Aşımı",IF(R356=0,"Doğru",IF(R356&gt;0,"EKSİK ÖDENMİŞ","FAZLA ÖDENMİŞ")))))</f>
        <v/>
      </c>
      <c r="T356" s="30">
        <f>IF(A356="","",IF(F356&lt;&gt;"Evet","İNCELEME GEREKLİ - Kampanya Tanımsız",IF(G356&lt;&gt;"Evet","İNCELEME GEREKLİ - Tarih Dışı Satış",IF(LEFT(P356,4)="RİSK","İNCELEME GEREKLİ - Hakediş Süresi Aşıldı",IF(OR(S356="EKSİK ÖDENMİŞ",S356="FAZLA ÖDENMİŞ"),"İNCELEME GEREKLİ - Tutar Uyuşmazlığı",IF(LEFT(P356,7)="Bekleni","Bekleniyor","Uygun"))))))</f>
        <v/>
      </c>
    </row>
    <row r="357">
      <c r="A357" s="26">
        <f>IF('DIVA Satislari'!I357="","",'DIVA Satislari'!I357)</f>
        <v/>
      </c>
      <c r="B357" s="26">
        <f>IF('DIVA Satislari'!I357="","",'DIVA Satislari'!R357)</f>
        <v/>
      </c>
      <c r="C357" s="26">
        <f>IF('DIVA Satislari'!I357="","",'DIVA Satislari'!M357)</f>
        <v/>
      </c>
      <c r="D357" s="27">
        <f>IF('DIVA Satislari'!I357="","",'DIVA Satislari'!H357)</f>
        <v/>
      </c>
      <c r="E357" s="26">
        <f>IF('DIVA Satislari'!I357="","",'DIVA Satislari'!O357)</f>
        <v/>
      </c>
      <c r="F357" s="26">
        <f>IF('DIVA Satislari'!I357="","",'DIVA Satislari'!AK357)</f>
        <v/>
      </c>
      <c r="G357" s="26">
        <f>IF('DIVA Satislari'!I357="","",'DIVA Satislari'!AO357)</f>
        <v/>
      </c>
      <c r="H357" s="27">
        <f>IF('DIVA Satislari'!I357="","",'DIVA Satislari'!AN357)</f>
        <v/>
      </c>
      <c r="I357" s="28">
        <f>IF('DIVA Satislari'!I357="","",'DIVA Satislari'!AQ357)</f>
        <v/>
      </c>
      <c r="J357" s="26">
        <f>IF('DIVA Satislari'!I357="","",'DIVA Satislari'!AR357)</f>
        <v/>
      </c>
      <c r="K357" s="26">
        <f>IF('DIVA Satislari'!I357="","",IFERROR(INDEX('E2E Nakliye Montaj'!$AS$3:$AS$1002,MATCH('DIVA Satislari'!AJ357,'E2E Nakliye Montaj'!$AM$3:$AM$1002,0)),"Eşleşme Yok"))</f>
        <v/>
      </c>
      <c r="L357" s="26">
        <f>IF('DIVA Satislari'!I357="","",IFERROR(INDEX('E2E Nakliye Montaj'!$AT$3:$AT$1002,MATCH('DIVA Satislari'!AJ357,'E2E Nakliye Montaj'!$AM$3:$AM$1002,0)),"Hayır"))</f>
        <v/>
      </c>
      <c r="M357" s="26">
        <f>IF('DIVA Satislari'!I357="","",IFERROR(INDEX('E2E Nakliye Montaj'!$AU$3:$AU$1002,MATCH('DIVA Satislari'!AJ357,'E2E Nakliye Montaj'!$AM$3:$AM$1002,0)),"Hayır"))</f>
        <v/>
      </c>
      <c r="N357" s="27">
        <f>IF('DIVA Satislari'!I357="","",IFERROR(INDEX('E2E Nakliye Montaj'!$AV$3:$AV$1002,MATCH('DIVA Satislari'!AJ357,'E2E Nakliye Montaj'!$AM$3:$AM$1002,0)),""))</f>
        <v/>
      </c>
      <c r="O357" s="26">
        <f>IF(OR(A357="",N357=""),"",IF(N357&lt;=H357,"Evet","HAYIR - RİSK"))</f>
        <v/>
      </c>
      <c r="P357" s="26">
        <f>IF(A357="","",IF(LEFT(J357,8)="Kural A ","Uygun - Hemen Ödenir (Yıl Sonu %75 Kontrolüne Tabi)",IF(OR(L357="Evet",M357="Evet"),IF(O357="Evet","Uygun","RİSK - Hakediş Süresi Aşıldı"),"Bekleniyor - Nakliye/Montaj Tamamlanmadı")))</f>
        <v/>
      </c>
      <c r="Q357" s="28">
        <f>IF(A357="","",SUMIFS('Hakedis Fatura Detay'!$G$3:$G$1200,'Hakedis Fatura Detay'!$H$3:$H$1200,'DIVA Satislari'!AJ357,'Hakedis Fatura Detay'!$F$3:$F$1200,"Fiyat Farkı")+SUMIFS('Hakedis Fatura Detay'!$G$3:$G$1200,'Hakedis Fatura Detay'!$H$3:$H$1200,'DIVA Satislari'!AJ357,'Hakedis Fatura Detay'!$F$3:$F$1200,"Bundle"))</f>
        <v/>
      </c>
      <c r="R357" s="28">
        <f>IF(A357="","",I357-Q357)</f>
        <v/>
      </c>
      <c r="S357" s="26">
        <f>IF(A357="","",IF(LEFT(P357,7)="Bekleni","N/A - Henüz Ödenmemeli",IF(LEFT(P357,4)="RİSK","İNCELEME GEREKLİ - Süre Aşımı",IF(R357=0,"Doğru",IF(R357&gt;0,"EKSİK ÖDENMİŞ","FAZLA ÖDENMİŞ")))))</f>
        <v/>
      </c>
      <c r="T357" s="30">
        <f>IF(A357="","",IF(F357&lt;&gt;"Evet","İNCELEME GEREKLİ - Kampanya Tanımsız",IF(G357&lt;&gt;"Evet","İNCELEME GEREKLİ - Tarih Dışı Satış",IF(LEFT(P357,4)="RİSK","İNCELEME GEREKLİ - Hakediş Süresi Aşıldı",IF(OR(S357="EKSİK ÖDENMİŞ",S357="FAZLA ÖDENMİŞ"),"İNCELEME GEREKLİ - Tutar Uyuşmazlığı",IF(LEFT(P357,7)="Bekleni","Bekleniyor","Uygun"))))))</f>
        <v/>
      </c>
    </row>
    <row r="358">
      <c r="A358" s="26">
        <f>IF('DIVA Satislari'!I358="","",'DIVA Satislari'!I358)</f>
        <v/>
      </c>
      <c r="B358" s="26">
        <f>IF('DIVA Satislari'!I358="","",'DIVA Satislari'!R358)</f>
        <v/>
      </c>
      <c r="C358" s="26">
        <f>IF('DIVA Satislari'!I358="","",'DIVA Satislari'!M358)</f>
        <v/>
      </c>
      <c r="D358" s="27">
        <f>IF('DIVA Satislari'!I358="","",'DIVA Satislari'!H358)</f>
        <v/>
      </c>
      <c r="E358" s="26">
        <f>IF('DIVA Satislari'!I358="","",'DIVA Satislari'!O358)</f>
        <v/>
      </c>
      <c r="F358" s="26">
        <f>IF('DIVA Satislari'!I358="","",'DIVA Satislari'!AK358)</f>
        <v/>
      </c>
      <c r="G358" s="26">
        <f>IF('DIVA Satislari'!I358="","",'DIVA Satislari'!AO358)</f>
        <v/>
      </c>
      <c r="H358" s="27">
        <f>IF('DIVA Satislari'!I358="","",'DIVA Satislari'!AN358)</f>
        <v/>
      </c>
      <c r="I358" s="28">
        <f>IF('DIVA Satislari'!I358="","",'DIVA Satislari'!AQ358)</f>
        <v/>
      </c>
      <c r="J358" s="26">
        <f>IF('DIVA Satislari'!I358="","",'DIVA Satislari'!AR358)</f>
        <v/>
      </c>
      <c r="K358" s="26">
        <f>IF('DIVA Satislari'!I358="","",IFERROR(INDEX('E2E Nakliye Montaj'!$AS$3:$AS$1002,MATCH('DIVA Satislari'!AJ358,'E2E Nakliye Montaj'!$AM$3:$AM$1002,0)),"Eşleşme Yok"))</f>
        <v/>
      </c>
      <c r="L358" s="26">
        <f>IF('DIVA Satislari'!I358="","",IFERROR(INDEX('E2E Nakliye Montaj'!$AT$3:$AT$1002,MATCH('DIVA Satislari'!AJ358,'E2E Nakliye Montaj'!$AM$3:$AM$1002,0)),"Hayır"))</f>
        <v/>
      </c>
      <c r="M358" s="26">
        <f>IF('DIVA Satislari'!I358="","",IFERROR(INDEX('E2E Nakliye Montaj'!$AU$3:$AU$1002,MATCH('DIVA Satislari'!AJ358,'E2E Nakliye Montaj'!$AM$3:$AM$1002,0)),"Hayır"))</f>
        <v/>
      </c>
      <c r="N358" s="27">
        <f>IF('DIVA Satislari'!I358="","",IFERROR(INDEX('E2E Nakliye Montaj'!$AV$3:$AV$1002,MATCH('DIVA Satislari'!AJ358,'E2E Nakliye Montaj'!$AM$3:$AM$1002,0)),""))</f>
        <v/>
      </c>
      <c r="O358" s="26">
        <f>IF(OR(A358="",N358=""),"",IF(N358&lt;=H358,"Evet","HAYIR - RİSK"))</f>
        <v/>
      </c>
      <c r="P358" s="26">
        <f>IF(A358="","",IF(LEFT(J358,8)="Kural A ","Uygun - Hemen Ödenir (Yıl Sonu %75 Kontrolüne Tabi)",IF(OR(L358="Evet",M358="Evet"),IF(O358="Evet","Uygun","RİSK - Hakediş Süresi Aşıldı"),"Bekleniyor - Nakliye/Montaj Tamamlanmadı")))</f>
        <v/>
      </c>
      <c r="Q358" s="28">
        <f>IF(A358="","",SUMIFS('Hakedis Fatura Detay'!$G$3:$G$1200,'Hakedis Fatura Detay'!$H$3:$H$1200,'DIVA Satislari'!AJ358,'Hakedis Fatura Detay'!$F$3:$F$1200,"Fiyat Farkı")+SUMIFS('Hakedis Fatura Detay'!$G$3:$G$1200,'Hakedis Fatura Detay'!$H$3:$H$1200,'DIVA Satislari'!AJ358,'Hakedis Fatura Detay'!$F$3:$F$1200,"Bundle"))</f>
        <v/>
      </c>
      <c r="R358" s="28">
        <f>IF(A358="","",I358-Q358)</f>
        <v/>
      </c>
      <c r="S358" s="26">
        <f>IF(A358="","",IF(LEFT(P358,7)="Bekleni","N/A - Henüz Ödenmemeli",IF(LEFT(P358,4)="RİSK","İNCELEME GEREKLİ - Süre Aşımı",IF(R358=0,"Doğru",IF(R358&gt;0,"EKSİK ÖDENMİŞ","FAZLA ÖDENMİŞ")))))</f>
        <v/>
      </c>
      <c r="T358" s="30">
        <f>IF(A358="","",IF(F358&lt;&gt;"Evet","İNCELEME GEREKLİ - Kampanya Tanımsız",IF(G358&lt;&gt;"Evet","İNCELEME GEREKLİ - Tarih Dışı Satış",IF(LEFT(P358,4)="RİSK","İNCELEME GEREKLİ - Hakediş Süresi Aşıldı",IF(OR(S358="EKSİK ÖDENMİŞ",S358="FAZLA ÖDENMİŞ"),"İNCELEME GEREKLİ - Tutar Uyuşmazlığı",IF(LEFT(P358,7)="Bekleni","Bekleniyor","Uygun"))))))</f>
        <v/>
      </c>
    </row>
    <row r="359">
      <c r="A359" s="26">
        <f>IF('DIVA Satislari'!I359="","",'DIVA Satislari'!I359)</f>
        <v/>
      </c>
      <c r="B359" s="26">
        <f>IF('DIVA Satislari'!I359="","",'DIVA Satislari'!R359)</f>
        <v/>
      </c>
      <c r="C359" s="26">
        <f>IF('DIVA Satislari'!I359="","",'DIVA Satislari'!M359)</f>
        <v/>
      </c>
      <c r="D359" s="27">
        <f>IF('DIVA Satislari'!I359="","",'DIVA Satislari'!H359)</f>
        <v/>
      </c>
      <c r="E359" s="26">
        <f>IF('DIVA Satislari'!I359="","",'DIVA Satislari'!O359)</f>
        <v/>
      </c>
      <c r="F359" s="26">
        <f>IF('DIVA Satislari'!I359="","",'DIVA Satislari'!AK359)</f>
        <v/>
      </c>
      <c r="G359" s="26">
        <f>IF('DIVA Satislari'!I359="","",'DIVA Satislari'!AO359)</f>
        <v/>
      </c>
      <c r="H359" s="27">
        <f>IF('DIVA Satislari'!I359="","",'DIVA Satislari'!AN359)</f>
        <v/>
      </c>
      <c r="I359" s="28">
        <f>IF('DIVA Satislari'!I359="","",'DIVA Satislari'!AQ359)</f>
        <v/>
      </c>
      <c r="J359" s="26">
        <f>IF('DIVA Satislari'!I359="","",'DIVA Satislari'!AR359)</f>
        <v/>
      </c>
      <c r="K359" s="26">
        <f>IF('DIVA Satislari'!I359="","",IFERROR(INDEX('E2E Nakliye Montaj'!$AS$3:$AS$1002,MATCH('DIVA Satislari'!AJ359,'E2E Nakliye Montaj'!$AM$3:$AM$1002,0)),"Eşleşme Yok"))</f>
        <v/>
      </c>
      <c r="L359" s="26">
        <f>IF('DIVA Satislari'!I359="","",IFERROR(INDEX('E2E Nakliye Montaj'!$AT$3:$AT$1002,MATCH('DIVA Satislari'!AJ359,'E2E Nakliye Montaj'!$AM$3:$AM$1002,0)),"Hayır"))</f>
        <v/>
      </c>
      <c r="M359" s="26">
        <f>IF('DIVA Satislari'!I359="","",IFERROR(INDEX('E2E Nakliye Montaj'!$AU$3:$AU$1002,MATCH('DIVA Satislari'!AJ359,'E2E Nakliye Montaj'!$AM$3:$AM$1002,0)),"Hayır"))</f>
        <v/>
      </c>
      <c r="N359" s="27">
        <f>IF('DIVA Satislari'!I359="","",IFERROR(INDEX('E2E Nakliye Montaj'!$AV$3:$AV$1002,MATCH('DIVA Satislari'!AJ359,'E2E Nakliye Montaj'!$AM$3:$AM$1002,0)),""))</f>
        <v/>
      </c>
      <c r="O359" s="26">
        <f>IF(OR(A359="",N359=""),"",IF(N359&lt;=H359,"Evet","HAYIR - RİSK"))</f>
        <v/>
      </c>
      <c r="P359" s="26">
        <f>IF(A359="","",IF(LEFT(J359,8)="Kural A ","Uygun - Hemen Ödenir (Yıl Sonu %75 Kontrolüne Tabi)",IF(OR(L359="Evet",M359="Evet"),IF(O359="Evet","Uygun","RİSK - Hakediş Süresi Aşıldı"),"Bekleniyor - Nakliye/Montaj Tamamlanmadı")))</f>
        <v/>
      </c>
      <c r="Q359" s="28">
        <f>IF(A359="","",SUMIFS('Hakedis Fatura Detay'!$G$3:$G$1200,'Hakedis Fatura Detay'!$H$3:$H$1200,'DIVA Satislari'!AJ359,'Hakedis Fatura Detay'!$F$3:$F$1200,"Fiyat Farkı")+SUMIFS('Hakedis Fatura Detay'!$G$3:$G$1200,'Hakedis Fatura Detay'!$H$3:$H$1200,'DIVA Satislari'!AJ359,'Hakedis Fatura Detay'!$F$3:$F$1200,"Bundle"))</f>
        <v/>
      </c>
      <c r="R359" s="28">
        <f>IF(A359="","",I359-Q359)</f>
        <v/>
      </c>
      <c r="S359" s="26">
        <f>IF(A359="","",IF(LEFT(P359,7)="Bekleni","N/A - Henüz Ödenmemeli",IF(LEFT(P359,4)="RİSK","İNCELEME GEREKLİ - Süre Aşımı",IF(R359=0,"Doğru",IF(R359&gt;0,"EKSİK ÖDENMİŞ","FAZLA ÖDENMİŞ")))))</f>
        <v/>
      </c>
      <c r="T359" s="30">
        <f>IF(A359="","",IF(F359&lt;&gt;"Evet","İNCELEME GEREKLİ - Kampanya Tanımsız",IF(G359&lt;&gt;"Evet","İNCELEME GEREKLİ - Tarih Dışı Satış",IF(LEFT(P359,4)="RİSK","İNCELEME GEREKLİ - Hakediş Süresi Aşıldı",IF(OR(S359="EKSİK ÖDENMİŞ",S359="FAZLA ÖDENMİŞ"),"İNCELEME GEREKLİ - Tutar Uyuşmazlığı",IF(LEFT(P359,7)="Bekleni","Bekleniyor","Uygun"))))))</f>
        <v/>
      </c>
    </row>
    <row r="360">
      <c r="A360" s="26">
        <f>IF('DIVA Satislari'!I360="","",'DIVA Satislari'!I360)</f>
        <v/>
      </c>
      <c r="B360" s="26">
        <f>IF('DIVA Satislari'!I360="","",'DIVA Satislari'!R360)</f>
        <v/>
      </c>
      <c r="C360" s="26">
        <f>IF('DIVA Satislari'!I360="","",'DIVA Satislari'!M360)</f>
        <v/>
      </c>
      <c r="D360" s="27">
        <f>IF('DIVA Satislari'!I360="","",'DIVA Satislari'!H360)</f>
        <v/>
      </c>
      <c r="E360" s="26">
        <f>IF('DIVA Satislari'!I360="","",'DIVA Satislari'!O360)</f>
        <v/>
      </c>
      <c r="F360" s="26">
        <f>IF('DIVA Satislari'!I360="","",'DIVA Satislari'!AK360)</f>
        <v/>
      </c>
      <c r="G360" s="26">
        <f>IF('DIVA Satislari'!I360="","",'DIVA Satislari'!AO360)</f>
        <v/>
      </c>
      <c r="H360" s="27">
        <f>IF('DIVA Satislari'!I360="","",'DIVA Satislari'!AN360)</f>
        <v/>
      </c>
      <c r="I360" s="28">
        <f>IF('DIVA Satislari'!I360="","",'DIVA Satislari'!AQ360)</f>
        <v/>
      </c>
      <c r="J360" s="26">
        <f>IF('DIVA Satislari'!I360="","",'DIVA Satislari'!AR360)</f>
        <v/>
      </c>
      <c r="K360" s="26">
        <f>IF('DIVA Satislari'!I360="","",IFERROR(INDEX('E2E Nakliye Montaj'!$AS$3:$AS$1002,MATCH('DIVA Satislari'!AJ360,'E2E Nakliye Montaj'!$AM$3:$AM$1002,0)),"Eşleşme Yok"))</f>
        <v/>
      </c>
      <c r="L360" s="26">
        <f>IF('DIVA Satislari'!I360="","",IFERROR(INDEX('E2E Nakliye Montaj'!$AT$3:$AT$1002,MATCH('DIVA Satislari'!AJ360,'E2E Nakliye Montaj'!$AM$3:$AM$1002,0)),"Hayır"))</f>
        <v/>
      </c>
      <c r="M360" s="26">
        <f>IF('DIVA Satislari'!I360="","",IFERROR(INDEX('E2E Nakliye Montaj'!$AU$3:$AU$1002,MATCH('DIVA Satislari'!AJ360,'E2E Nakliye Montaj'!$AM$3:$AM$1002,0)),"Hayır"))</f>
        <v/>
      </c>
      <c r="N360" s="27">
        <f>IF('DIVA Satislari'!I360="","",IFERROR(INDEX('E2E Nakliye Montaj'!$AV$3:$AV$1002,MATCH('DIVA Satislari'!AJ360,'E2E Nakliye Montaj'!$AM$3:$AM$1002,0)),""))</f>
        <v/>
      </c>
      <c r="O360" s="26">
        <f>IF(OR(A360="",N360=""),"",IF(N360&lt;=H360,"Evet","HAYIR - RİSK"))</f>
        <v/>
      </c>
      <c r="P360" s="26">
        <f>IF(A360="","",IF(LEFT(J360,8)="Kural A ","Uygun - Hemen Ödenir (Yıl Sonu %75 Kontrolüne Tabi)",IF(OR(L360="Evet",M360="Evet"),IF(O360="Evet","Uygun","RİSK - Hakediş Süresi Aşıldı"),"Bekleniyor - Nakliye/Montaj Tamamlanmadı")))</f>
        <v/>
      </c>
      <c r="Q360" s="28">
        <f>IF(A360="","",SUMIFS('Hakedis Fatura Detay'!$G$3:$G$1200,'Hakedis Fatura Detay'!$H$3:$H$1200,'DIVA Satislari'!AJ360,'Hakedis Fatura Detay'!$F$3:$F$1200,"Fiyat Farkı")+SUMIFS('Hakedis Fatura Detay'!$G$3:$G$1200,'Hakedis Fatura Detay'!$H$3:$H$1200,'DIVA Satislari'!AJ360,'Hakedis Fatura Detay'!$F$3:$F$1200,"Bundle"))</f>
        <v/>
      </c>
      <c r="R360" s="28">
        <f>IF(A360="","",I360-Q360)</f>
        <v/>
      </c>
      <c r="S360" s="26">
        <f>IF(A360="","",IF(LEFT(P360,7)="Bekleni","N/A - Henüz Ödenmemeli",IF(LEFT(P360,4)="RİSK","İNCELEME GEREKLİ - Süre Aşımı",IF(R360=0,"Doğru",IF(R360&gt;0,"EKSİK ÖDENMİŞ","FAZLA ÖDENMİŞ")))))</f>
        <v/>
      </c>
      <c r="T360" s="30">
        <f>IF(A360="","",IF(F360&lt;&gt;"Evet","İNCELEME GEREKLİ - Kampanya Tanımsız",IF(G360&lt;&gt;"Evet","İNCELEME GEREKLİ - Tarih Dışı Satış",IF(LEFT(P360,4)="RİSK","İNCELEME GEREKLİ - Hakediş Süresi Aşıldı",IF(OR(S360="EKSİK ÖDENMİŞ",S360="FAZLA ÖDENMİŞ"),"İNCELEME GEREKLİ - Tutar Uyuşmazlığı",IF(LEFT(P360,7)="Bekleni","Bekleniyor","Uygun"))))))</f>
        <v/>
      </c>
    </row>
    <row r="361">
      <c r="A361" s="26">
        <f>IF('DIVA Satislari'!I361="","",'DIVA Satislari'!I361)</f>
        <v/>
      </c>
      <c r="B361" s="26">
        <f>IF('DIVA Satislari'!I361="","",'DIVA Satislari'!R361)</f>
        <v/>
      </c>
      <c r="C361" s="26">
        <f>IF('DIVA Satislari'!I361="","",'DIVA Satislari'!M361)</f>
        <v/>
      </c>
      <c r="D361" s="27">
        <f>IF('DIVA Satislari'!I361="","",'DIVA Satislari'!H361)</f>
        <v/>
      </c>
      <c r="E361" s="26">
        <f>IF('DIVA Satislari'!I361="","",'DIVA Satislari'!O361)</f>
        <v/>
      </c>
      <c r="F361" s="26">
        <f>IF('DIVA Satislari'!I361="","",'DIVA Satislari'!AK361)</f>
        <v/>
      </c>
      <c r="G361" s="26">
        <f>IF('DIVA Satislari'!I361="","",'DIVA Satislari'!AO361)</f>
        <v/>
      </c>
      <c r="H361" s="27">
        <f>IF('DIVA Satislari'!I361="","",'DIVA Satislari'!AN361)</f>
        <v/>
      </c>
      <c r="I361" s="28">
        <f>IF('DIVA Satislari'!I361="","",'DIVA Satislari'!AQ361)</f>
        <v/>
      </c>
      <c r="J361" s="26">
        <f>IF('DIVA Satislari'!I361="","",'DIVA Satislari'!AR361)</f>
        <v/>
      </c>
      <c r="K361" s="26">
        <f>IF('DIVA Satislari'!I361="","",IFERROR(INDEX('E2E Nakliye Montaj'!$AS$3:$AS$1002,MATCH('DIVA Satislari'!AJ361,'E2E Nakliye Montaj'!$AM$3:$AM$1002,0)),"Eşleşme Yok"))</f>
        <v/>
      </c>
      <c r="L361" s="26">
        <f>IF('DIVA Satislari'!I361="","",IFERROR(INDEX('E2E Nakliye Montaj'!$AT$3:$AT$1002,MATCH('DIVA Satislari'!AJ361,'E2E Nakliye Montaj'!$AM$3:$AM$1002,0)),"Hayır"))</f>
        <v/>
      </c>
      <c r="M361" s="26">
        <f>IF('DIVA Satislari'!I361="","",IFERROR(INDEX('E2E Nakliye Montaj'!$AU$3:$AU$1002,MATCH('DIVA Satislari'!AJ361,'E2E Nakliye Montaj'!$AM$3:$AM$1002,0)),"Hayır"))</f>
        <v/>
      </c>
      <c r="N361" s="27">
        <f>IF('DIVA Satislari'!I361="","",IFERROR(INDEX('E2E Nakliye Montaj'!$AV$3:$AV$1002,MATCH('DIVA Satislari'!AJ361,'E2E Nakliye Montaj'!$AM$3:$AM$1002,0)),""))</f>
        <v/>
      </c>
      <c r="O361" s="26">
        <f>IF(OR(A361="",N361=""),"",IF(N361&lt;=H361,"Evet","HAYIR - RİSK"))</f>
        <v/>
      </c>
      <c r="P361" s="26">
        <f>IF(A361="","",IF(LEFT(J361,8)="Kural A ","Uygun - Hemen Ödenir (Yıl Sonu %75 Kontrolüne Tabi)",IF(OR(L361="Evet",M361="Evet"),IF(O361="Evet","Uygun","RİSK - Hakediş Süresi Aşıldı"),"Bekleniyor - Nakliye/Montaj Tamamlanmadı")))</f>
        <v/>
      </c>
      <c r="Q361" s="28">
        <f>IF(A361="","",SUMIFS('Hakedis Fatura Detay'!$G$3:$G$1200,'Hakedis Fatura Detay'!$H$3:$H$1200,'DIVA Satislari'!AJ361,'Hakedis Fatura Detay'!$F$3:$F$1200,"Fiyat Farkı")+SUMIFS('Hakedis Fatura Detay'!$G$3:$G$1200,'Hakedis Fatura Detay'!$H$3:$H$1200,'DIVA Satislari'!AJ361,'Hakedis Fatura Detay'!$F$3:$F$1200,"Bundle"))</f>
        <v/>
      </c>
      <c r="R361" s="28">
        <f>IF(A361="","",I361-Q361)</f>
        <v/>
      </c>
      <c r="S361" s="26">
        <f>IF(A361="","",IF(LEFT(P361,7)="Bekleni","N/A - Henüz Ödenmemeli",IF(LEFT(P361,4)="RİSK","İNCELEME GEREKLİ - Süre Aşımı",IF(R361=0,"Doğru",IF(R361&gt;0,"EKSİK ÖDENMİŞ","FAZLA ÖDENMİŞ")))))</f>
        <v/>
      </c>
      <c r="T361" s="30">
        <f>IF(A361="","",IF(F361&lt;&gt;"Evet","İNCELEME GEREKLİ - Kampanya Tanımsız",IF(G361&lt;&gt;"Evet","İNCELEME GEREKLİ - Tarih Dışı Satış",IF(LEFT(P361,4)="RİSK","İNCELEME GEREKLİ - Hakediş Süresi Aşıldı",IF(OR(S361="EKSİK ÖDENMİŞ",S361="FAZLA ÖDENMİŞ"),"İNCELEME GEREKLİ - Tutar Uyuşmazlığı",IF(LEFT(P361,7)="Bekleni","Bekleniyor","Uygun"))))))</f>
        <v/>
      </c>
    </row>
    <row r="362">
      <c r="A362" s="26">
        <f>IF('DIVA Satislari'!I362="","",'DIVA Satislari'!I362)</f>
        <v/>
      </c>
      <c r="B362" s="26">
        <f>IF('DIVA Satislari'!I362="","",'DIVA Satislari'!R362)</f>
        <v/>
      </c>
      <c r="C362" s="26">
        <f>IF('DIVA Satislari'!I362="","",'DIVA Satislari'!M362)</f>
        <v/>
      </c>
      <c r="D362" s="27">
        <f>IF('DIVA Satislari'!I362="","",'DIVA Satislari'!H362)</f>
        <v/>
      </c>
      <c r="E362" s="26">
        <f>IF('DIVA Satislari'!I362="","",'DIVA Satislari'!O362)</f>
        <v/>
      </c>
      <c r="F362" s="26">
        <f>IF('DIVA Satislari'!I362="","",'DIVA Satislari'!AK362)</f>
        <v/>
      </c>
      <c r="G362" s="26">
        <f>IF('DIVA Satislari'!I362="","",'DIVA Satislari'!AO362)</f>
        <v/>
      </c>
      <c r="H362" s="27">
        <f>IF('DIVA Satislari'!I362="","",'DIVA Satislari'!AN362)</f>
        <v/>
      </c>
      <c r="I362" s="28">
        <f>IF('DIVA Satislari'!I362="","",'DIVA Satislari'!AQ362)</f>
        <v/>
      </c>
      <c r="J362" s="26">
        <f>IF('DIVA Satislari'!I362="","",'DIVA Satislari'!AR362)</f>
        <v/>
      </c>
      <c r="K362" s="26">
        <f>IF('DIVA Satislari'!I362="","",IFERROR(INDEX('E2E Nakliye Montaj'!$AS$3:$AS$1002,MATCH('DIVA Satislari'!AJ362,'E2E Nakliye Montaj'!$AM$3:$AM$1002,0)),"Eşleşme Yok"))</f>
        <v/>
      </c>
      <c r="L362" s="26">
        <f>IF('DIVA Satislari'!I362="","",IFERROR(INDEX('E2E Nakliye Montaj'!$AT$3:$AT$1002,MATCH('DIVA Satislari'!AJ362,'E2E Nakliye Montaj'!$AM$3:$AM$1002,0)),"Hayır"))</f>
        <v/>
      </c>
      <c r="M362" s="26">
        <f>IF('DIVA Satislari'!I362="","",IFERROR(INDEX('E2E Nakliye Montaj'!$AU$3:$AU$1002,MATCH('DIVA Satislari'!AJ362,'E2E Nakliye Montaj'!$AM$3:$AM$1002,0)),"Hayır"))</f>
        <v/>
      </c>
      <c r="N362" s="27">
        <f>IF('DIVA Satislari'!I362="","",IFERROR(INDEX('E2E Nakliye Montaj'!$AV$3:$AV$1002,MATCH('DIVA Satislari'!AJ362,'E2E Nakliye Montaj'!$AM$3:$AM$1002,0)),""))</f>
        <v/>
      </c>
      <c r="O362" s="26">
        <f>IF(OR(A362="",N362=""),"",IF(N362&lt;=H362,"Evet","HAYIR - RİSK"))</f>
        <v/>
      </c>
      <c r="P362" s="26">
        <f>IF(A362="","",IF(LEFT(J362,8)="Kural A ","Uygun - Hemen Ödenir (Yıl Sonu %75 Kontrolüne Tabi)",IF(OR(L362="Evet",M362="Evet"),IF(O362="Evet","Uygun","RİSK - Hakediş Süresi Aşıldı"),"Bekleniyor - Nakliye/Montaj Tamamlanmadı")))</f>
        <v/>
      </c>
      <c r="Q362" s="28">
        <f>IF(A362="","",SUMIFS('Hakedis Fatura Detay'!$G$3:$G$1200,'Hakedis Fatura Detay'!$H$3:$H$1200,'DIVA Satislari'!AJ362,'Hakedis Fatura Detay'!$F$3:$F$1200,"Fiyat Farkı")+SUMIFS('Hakedis Fatura Detay'!$G$3:$G$1200,'Hakedis Fatura Detay'!$H$3:$H$1200,'DIVA Satislari'!AJ362,'Hakedis Fatura Detay'!$F$3:$F$1200,"Bundle"))</f>
        <v/>
      </c>
      <c r="R362" s="28">
        <f>IF(A362="","",I362-Q362)</f>
        <v/>
      </c>
      <c r="S362" s="26">
        <f>IF(A362="","",IF(LEFT(P362,7)="Bekleni","N/A - Henüz Ödenmemeli",IF(LEFT(P362,4)="RİSK","İNCELEME GEREKLİ - Süre Aşımı",IF(R362=0,"Doğru",IF(R362&gt;0,"EKSİK ÖDENMİŞ","FAZLA ÖDENMİŞ")))))</f>
        <v/>
      </c>
      <c r="T362" s="30">
        <f>IF(A362="","",IF(F362&lt;&gt;"Evet","İNCELEME GEREKLİ - Kampanya Tanımsız",IF(G362&lt;&gt;"Evet","İNCELEME GEREKLİ - Tarih Dışı Satış",IF(LEFT(P362,4)="RİSK","İNCELEME GEREKLİ - Hakediş Süresi Aşıldı",IF(OR(S362="EKSİK ÖDENMİŞ",S362="FAZLA ÖDENMİŞ"),"İNCELEME GEREKLİ - Tutar Uyuşmazlığı",IF(LEFT(P362,7)="Bekleni","Bekleniyor","Uygun"))))))</f>
        <v/>
      </c>
    </row>
    <row r="363">
      <c r="A363" s="26">
        <f>IF('DIVA Satislari'!I363="","",'DIVA Satislari'!I363)</f>
        <v/>
      </c>
      <c r="B363" s="26">
        <f>IF('DIVA Satislari'!I363="","",'DIVA Satislari'!R363)</f>
        <v/>
      </c>
      <c r="C363" s="26">
        <f>IF('DIVA Satislari'!I363="","",'DIVA Satislari'!M363)</f>
        <v/>
      </c>
      <c r="D363" s="27">
        <f>IF('DIVA Satislari'!I363="","",'DIVA Satislari'!H363)</f>
        <v/>
      </c>
      <c r="E363" s="26">
        <f>IF('DIVA Satislari'!I363="","",'DIVA Satislari'!O363)</f>
        <v/>
      </c>
      <c r="F363" s="26">
        <f>IF('DIVA Satislari'!I363="","",'DIVA Satislari'!AK363)</f>
        <v/>
      </c>
      <c r="G363" s="26">
        <f>IF('DIVA Satislari'!I363="","",'DIVA Satislari'!AO363)</f>
        <v/>
      </c>
      <c r="H363" s="27">
        <f>IF('DIVA Satislari'!I363="","",'DIVA Satislari'!AN363)</f>
        <v/>
      </c>
      <c r="I363" s="28">
        <f>IF('DIVA Satislari'!I363="","",'DIVA Satislari'!AQ363)</f>
        <v/>
      </c>
      <c r="J363" s="26">
        <f>IF('DIVA Satislari'!I363="","",'DIVA Satislari'!AR363)</f>
        <v/>
      </c>
      <c r="K363" s="26">
        <f>IF('DIVA Satislari'!I363="","",IFERROR(INDEX('E2E Nakliye Montaj'!$AS$3:$AS$1002,MATCH('DIVA Satislari'!AJ363,'E2E Nakliye Montaj'!$AM$3:$AM$1002,0)),"Eşleşme Yok"))</f>
        <v/>
      </c>
      <c r="L363" s="26">
        <f>IF('DIVA Satislari'!I363="","",IFERROR(INDEX('E2E Nakliye Montaj'!$AT$3:$AT$1002,MATCH('DIVA Satislari'!AJ363,'E2E Nakliye Montaj'!$AM$3:$AM$1002,0)),"Hayır"))</f>
        <v/>
      </c>
      <c r="M363" s="26">
        <f>IF('DIVA Satislari'!I363="","",IFERROR(INDEX('E2E Nakliye Montaj'!$AU$3:$AU$1002,MATCH('DIVA Satislari'!AJ363,'E2E Nakliye Montaj'!$AM$3:$AM$1002,0)),"Hayır"))</f>
        <v/>
      </c>
      <c r="N363" s="27">
        <f>IF('DIVA Satislari'!I363="","",IFERROR(INDEX('E2E Nakliye Montaj'!$AV$3:$AV$1002,MATCH('DIVA Satislari'!AJ363,'E2E Nakliye Montaj'!$AM$3:$AM$1002,0)),""))</f>
        <v/>
      </c>
      <c r="O363" s="26">
        <f>IF(OR(A363="",N363=""),"",IF(N363&lt;=H363,"Evet","HAYIR - RİSK"))</f>
        <v/>
      </c>
      <c r="P363" s="26">
        <f>IF(A363="","",IF(LEFT(J363,8)="Kural A ","Uygun - Hemen Ödenir (Yıl Sonu %75 Kontrolüne Tabi)",IF(OR(L363="Evet",M363="Evet"),IF(O363="Evet","Uygun","RİSK - Hakediş Süresi Aşıldı"),"Bekleniyor - Nakliye/Montaj Tamamlanmadı")))</f>
        <v/>
      </c>
      <c r="Q363" s="28">
        <f>IF(A363="","",SUMIFS('Hakedis Fatura Detay'!$G$3:$G$1200,'Hakedis Fatura Detay'!$H$3:$H$1200,'DIVA Satislari'!AJ363,'Hakedis Fatura Detay'!$F$3:$F$1200,"Fiyat Farkı")+SUMIFS('Hakedis Fatura Detay'!$G$3:$G$1200,'Hakedis Fatura Detay'!$H$3:$H$1200,'DIVA Satislari'!AJ363,'Hakedis Fatura Detay'!$F$3:$F$1200,"Bundle"))</f>
        <v/>
      </c>
      <c r="R363" s="28">
        <f>IF(A363="","",I363-Q363)</f>
        <v/>
      </c>
      <c r="S363" s="26">
        <f>IF(A363="","",IF(LEFT(P363,7)="Bekleni","N/A - Henüz Ödenmemeli",IF(LEFT(P363,4)="RİSK","İNCELEME GEREKLİ - Süre Aşımı",IF(R363=0,"Doğru",IF(R363&gt;0,"EKSİK ÖDENMİŞ","FAZLA ÖDENMİŞ")))))</f>
        <v/>
      </c>
      <c r="T363" s="30">
        <f>IF(A363="","",IF(F363&lt;&gt;"Evet","İNCELEME GEREKLİ - Kampanya Tanımsız",IF(G363&lt;&gt;"Evet","İNCELEME GEREKLİ - Tarih Dışı Satış",IF(LEFT(P363,4)="RİSK","İNCELEME GEREKLİ - Hakediş Süresi Aşıldı",IF(OR(S363="EKSİK ÖDENMİŞ",S363="FAZLA ÖDENMİŞ"),"İNCELEME GEREKLİ - Tutar Uyuşmazlığı",IF(LEFT(P363,7)="Bekleni","Bekleniyor","Uygun"))))))</f>
        <v/>
      </c>
    </row>
    <row r="364">
      <c r="A364" s="26">
        <f>IF('DIVA Satislari'!I364="","",'DIVA Satislari'!I364)</f>
        <v/>
      </c>
      <c r="B364" s="26">
        <f>IF('DIVA Satislari'!I364="","",'DIVA Satislari'!R364)</f>
        <v/>
      </c>
      <c r="C364" s="26">
        <f>IF('DIVA Satislari'!I364="","",'DIVA Satislari'!M364)</f>
        <v/>
      </c>
      <c r="D364" s="27">
        <f>IF('DIVA Satislari'!I364="","",'DIVA Satislari'!H364)</f>
        <v/>
      </c>
      <c r="E364" s="26">
        <f>IF('DIVA Satislari'!I364="","",'DIVA Satislari'!O364)</f>
        <v/>
      </c>
      <c r="F364" s="26">
        <f>IF('DIVA Satislari'!I364="","",'DIVA Satislari'!AK364)</f>
        <v/>
      </c>
      <c r="G364" s="26">
        <f>IF('DIVA Satislari'!I364="","",'DIVA Satislari'!AO364)</f>
        <v/>
      </c>
      <c r="H364" s="27">
        <f>IF('DIVA Satislari'!I364="","",'DIVA Satislari'!AN364)</f>
        <v/>
      </c>
      <c r="I364" s="28">
        <f>IF('DIVA Satislari'!I364="","",'DIVA Satislari'!AQ364)</f>
        <v/>
      </c>
      <c r="J364" s="26">
        <f>IF('DIVA Satislari'!I364="","",'DIVA Satislari'!AR364)</f>
        <v/>
      </c>
      <c r="K364" s="26">
        <f>IF('DIVA Satislari'!I364="","",IFERROR(INDEX('E2E Nakliye Montaj'!$AS$3:$AS$1002,MATCH('DIVA Satislari'!AJ364,'E2E Nakliye Montaj'!$AM$3:$AM$1002,0)),"Eşleşme Yok"))</f>
        <v/>
      </c>
      <c r="L364" s="26">
        <f>IF('DIVA Satislari'!I364="","",IFERROR(INDEX('E2E Nakliye Montaj'!$AT$3:$AT$1002,MATCH('DIVA Satislari'!AJ364,'E2E Nakliye Montaj'!$AM$3:$AM$1002,0)),"Hayır"))</f>
        <v/>
      </c>
      <c r="M364" s="26">
        <f>IF('DIVA Satislari'!I364="","",IFERROR(INDEX('E2E Nakliye Montaj'!$AU$3:$AU$1002,MATCH('DIVA Satislari'!AJ364,'E2E Nakliye Montaj'!$AM$3:$AM$1002,0)),"Hayır"))</f>
        <v/>
      </c>
      <c r="N364" s="27">
        <f>IF('DIVA Satislari'!I364="","",IFERROR(INDEX('E2E Nakliye Montaj'!$AV$3:$AV$1002,MATCH('DIVA Satislari'!AJ364,'E2E Nakliye Montaj'!$AM$3:$AM$1002,0)),""))</f>
        <v/>
      </c>
      <c r="O364" s="26">
        <f>IF(OR(A364="",N364=""),"",IF(N364&lt;=H364,"Evet","HAYIR - RİSK"))</f>
        <v/>
      </c>
      <c r="P364" s="26">
        <f>IF(A364="","",IF(LEFT(J364,8)="Kural A ","Uygun - Hemen Ödenir (Yıl Sonu %75 Kontrolüne Tabi)",IF(OR(L364="Evet",M364="Evet"),IF(O364="Evet","Uygun","RİSK - Hakediş Süresi Aşıldı"),"Bekleniyor - Nakliye/Montaj Tamamlanmadı")))</f>
        <v/>
      </c>
      <c r="Q364" s="28">
        <f>IF(A364="","",SUMIFS('Hakedis Fatura Detay'!$G$3:$G$1200,'Hakedis Fatura Detay'!$H$3:$H$1200,'DIVA Satislari'!AJ364,'Hakedis Fatura Detay'!$F$3:$F$1200,"Fiyat Farkı")+SUMIFS('Hakedis Fatura Detay'!$G$3:$G$1200,'Hakedis Fatura Detay'!$H$3:$H$1200,'DIVA Satislari'!AJ364,'Hakedis Fatura Detay'!$F$3:$F$1200,"Bundle"))</f>
        <v/>
      </c>
      <c r="R364" s="28">
        <f>IF(A364="","",I364-Q364)</f>
        <v/>
      </c>
      <c r="S364" s="26">
        <f>IF(A364="","",IF(LEFT(P364,7)="Bekleni","N/A - Henüz Ödenmemeli",IF(LEFT(P364,4)="RİSK","İNCELEME GEREKLİ - Süre Aşımı",IF(R364=0,"Doğru",IF(R364&gt;0,"EKSİK ÖDENMİŞ","FAZLA ÖDENMİŞ")))))</f>
        <v/>
      </c>
      <c r="T364" s="30">
        <f>IF(A364="","",IF(F364&lt;&gt;"Evet","İNCELEME GEREKLİ - Kampanya Tanımsız",IF(G364&lt;&gt;"Evet","İNCELEME GEREKLİ - Tarih Dışı Satış",IF(LEFT(P364,4)="RİSK","İNCELEME GEREKLİ - Hakediş Süresi Aşıldı",IF(OR(S364="EKSİK ÖDENMİŞ",S364="FAZLA ÖDENMİŞ"),"İNCELEME GEREKLİ - Tutar Uyuşmazlığı",IF(LEFT(P364,7)="Bekleni","Bekleniyor","Uygun"))))))</f>
        <v/>
      </c>
    </row>
    <row r="365">
      <c r="A365" s="26">
        <f>IF('DIVA Satislari'!I365="","",'DIVA Satislari'!I365)</f>
        <v/>
      </c>
      <c r="B365" s="26">
        <f>IF('DIVA Satislari'!I365="","",'DIVA Satislari'!R365)</f>
        <v/>
      </c>
      <c r="C365" s="26">
        <f>IF('DIVA Satislari'!I365="","",'DIVA Satislari'!M365)</f>
        <v/>
      </c>
      <c r="D365" s="27">
        <f>IF('DIVA Satislari'!I365="","",'DIVA Satislari'!H365)</f>
        <v/>
      </c>
      <c r="E365" s="26">
        <f>IF('DIVA Satislari'!I365="","",'DIVA Satislari'!O365)</f>
        <v/>
      </c>
      <c r="F365" s="26">
        <f>IF('DIVA Satislari'!I365="","",'DIVA Satislari'!AK365)</f>
        <v/>
      </c>
      <c r="G365" s="26">
        <f>IF('DIVA Satislari'!I365="","",'DIVA Satislari'!AO365)</f>
        <v/>
      </c>
      <c r="H365" s="27">
        <f>IF('DIVA Satislari'!I365="","",'DIVA Satislari'!AN365)</f>
        <v/>
      </c>
      <c r="I365" s="28">
        <f>IF('DIVA Satislari'!I365="","",'DIVA Satislari'!AQ365)</f>
        <v/>
      </c>
      <c r="J365" s="26">
        <f>IF('DIVA Satislari'!I365="","",'DIVA Satislari'!AR365)</f>
        <v/>
      </c>
      <c r="K365" s="26">
        <f>IF('DIVA Satislari'!I365="","",IFERROR(INDEX('E2E Nakliye Montaj'!$AS$3:$AS$1002,MATCH('DIVA Satislari'!AJ365,'E2E Nakliye Montaj'!$AM$3:$AM$1002,0)),"Eşleşme Yok"))</f>
        <v/>
      </c>
      <c r="L365" s="26">
        <f>IF('DIVA Satislari'!I365="","",IFERROR(INDEX('E2E Nakliye Montaj'!$AT$3:$AT$1002,MATCH('DIVA Satislari'!AJ365,'E2E Nakliye Montaj'!$AM$3:$AM$1002,0)),"Hayır"))</f>
        <v/>
      </c>
      <c r="M365" s="26">
        <f>IF('DIVA Satislari'!I365="","",IFERROR(INDEX('E2E Nakliye Montaj'!$AU$3:$AU$1002,MATCH('DIVA Satislari'!AJ365,'E2E Nakliye Montaj'!$AM$3:$AM$1002,0)),"Hayır"))</f>
        <v/>
      </c>
      <c r="N365" s="27">
        <f>IF('DIVA Satislari'!I365="","",IFERROR(INDEX('E2E Nakliye Montaj'!$AV$3:$AV$1002,MATCH('DIVA Satislari'!AJ365,'E2E Nakliye Montaj'!$AM$3:$AM$1002,0)),""))</f>
        <v/>
      </c>
      <c r="O365" s="26">
        <f>IF(OR(A365="",N365=""),"",IF(N365&lt;=H365,"Evet","HAYIR - RİSK"))</f>
        <v/>
      </c>
      <c r="P365" s="26">
        <f>IF(A365="","",IF(LEFT(J365,8)="Kural A ","Uygun - Hemen Ödenir (Yıl Sonu %75 Kontrolüne Tabi)",IF(OR(L365="Evet",M365="Evet"),IF(O365="Evet","Uygun","RİSK - Hakediş Süresi Aşıldı"),"Bekleniyor - Nakliye/Montaj Tamamlanmadı")))</f>
        <v/>
      </c>
      <c r="Q365" s="28">
        <f>IF(A365="","",SUMIFS('Hakedis Fatura Detay'!$G$3:$G$1200,'Hakedis Fatura Detay'!$H$3:$H$1200,'DIVA Satislari'!AJ365,'Hakedis Fatura Detay'!$F$3:$F$1200,"Fiyat Farkı")+SUMIFS('Hakedis Fatura Detay'!$G$3:$G$1200,'Hakedis Fatura Detay'!$H$3:$H$1200,'DIVA Satislari'!AJ365,'Hakedis Fatura Detay'!$F$3:$F$1200,"Bundle"))</f>
        <v/>
      </c>
      <c r="R365" s="28">
        <f>IF(A365="","",I365-Q365)</f>
        <v/>
      </c>
      <c r="S365" s="26">
        <f>IF(A365="","",IF(LEFT(P365,7)="Bekleni","N/A - Henüz Ödenmemeli",IF(LEFT(P365,4)="RİSK","İNCELEME GEREKLİ - Süre Aşımı",IF(R365=0,"Doğru",IF(R365&gt;0,"EKSİK ÖDENMİŞ","FAZLA ÖDENMİŞ")))))</f>
        <v/>
      </c>
      <c r="T365" s="30">
        <f>IF(A365="","",IF(F365&lt;&gt;"Evet","İNCELEME GEREKLİ - Kampanya Tanımsız",IF(G365&lt;&gt;"Evet","İNCELEME GEREKLİ - Tarih Dışı Satış",IF(LEFT(P365,4)="RİSK","İNCELEME GEREKLİ - Hakediş Süresi Aşıldı",IF(OR(S365="EKSİK ÖDENMİŞ",S365="FAZLA ÖDENMİŞ"),"İNCELEME GEREKLİ - Tutar Uyuşmazlığı",IF(LEFT(P365,7)="Bekleni","Bekleniyor","Uygun"))))))</f>
        <v/>
      </c>
    </row>
    <row r="366">
      <c r="A366" s="26">
        <f>IF('DIVA Satislari'!I366="","",'DIVA Satislari'!I366)</f>
        <v/>
      </c>
      <c r="B366" s="26">
        <f>IF('DIVA Satislari'!I366="","",'DIVA Satislari'!R366)</f>
        <v/>
      </c>
      <c r="C366" s="26">
        <f>IF('DIVA Satislari'!I366="","",'DIVA Satislari'!M366)</f>
        <v/>
      </c>
      <c r="D366" s="27">
        <f>IF('DIVA Satislari'!I366="","",'DIVA Satislari'!H366)</f>
        <v/>
      </c>
      <c r="E366" s="26">
        <f>IF('DIVA Satislari'!I366="","",'DIVA Satislari'!O366)</f>
        <v/>
      </c>
      <c r="F366" s="26">
        <f>IF('DIVA Satislari'!I366="","",'DIVA Satislari'!AK366)</f>
        <v/>
      </c>
      <c r="G366" s="26">
        <f>IF('DIVA Satislari'!I366="","",'DIVA Satislari'!AO366)</f>
        <v/>
      </c>
      <c r="H366" s="27">
        <f>IF('DIVA Satislari'!I366="","",'DIVA Satislari'!AN366)</f>
        <v/>
      </c>
      <c r="I366" s="28">
        <f>IF('DIVA Satislari'!I366="","",'DIVA Satislari'!AQ366)</f>
        <v/>
      </c>
      <c r="J366" s="26">
        <f>IF('DIVA Satislari'!I366="","",'DIVA Satislari'!AR366)</f>
        <v/>
      </c>
      <c r="K366" s="26">
        <f>IF('DIVA Satislari'!I366="","",IFERROR(INDEX('E2E Nakliye Montaj'!$AS$3:$AS$1002,MATCH('DIVA Satislari'!AJ366,'E2E Nakliye Montaj'!$AM$3:$AM$1002,0)),"Eşleşme Yok"))</f>
        <v/>
      </c>
      <c r="L366" s="26">
        <f>IF('DIVA Satislari'!I366="","",IFERROR(INDEX('E2E Nakliye Montaj'!$AT$3:$AT$1002,MATCH('DIVA Satislari'!AJ366,'E2E Nakliye Montaj'!$AM$3:$AM$1002,0)),"Hayır"))</f>
        <v/>
      </c>
      <c r="M366" s="26">
        <f>IF('DIVA Satislari'!I366="","",IFERROR(INDEX('E2E Nakliye Montaj'!$AU$3:$AU$1002,MATCH('DIVA Satislari'!AJ366,'E2E Nakliye Montaj'!$AM$3:$AM$1002,0)),"Hayır"))</f>
        <v/>
      </c>
      <c r="N366" s="27">
        <f>IF('DIVA Satislari'!I366="","",IFERROR(INDEX('E2E Nakliye Montaj'!$AV$3:$AV$1002,MATCH('DIVA Satislari'!AJ366,'E2E Nakliye Montaj'!$AM$3:$AM$1002,0)),""))</f>
        <v/>
      </c>
      <c r="O366" s="26">
        <f>IF(OR(A366="",N366=""),"",IF(N366&lt;=H366,"Evet","HAYIR - RİSK"))</f>
        <v/>
      </c>
      <c r="P366" s="26">
        <f>IF(A366="","",IF(LEFT(J366,8)="Kural A ","Uygun - Hemen Ödenir (Yıl Sonu %75 Kontrolüne Tabi)",IF(OR(L366="Evet",M366="Evet"),IF(O366="Evet","Uygun","RİSK - Hakediş Süresi Aşıldı"),"Bekleniyor - Nakliye/Montaj Tamamlanmadı")))</f>
        <v/>
      </c>
      <c r="Q366" s="28">
        <f>IF(A366="","",SUMIFS('Hakedis Fatura Detay'!$G$3:$G$1200,'Hakedis Fatura Detay'!$H$3:$H$1200,'DIVA Satislari'!AJ366,'Hakedis Fatura Detay'!$F$3:$F$1200,"Fiyat Farkı")+SUMIFS('Hakedis Fatura Detay'!$G$3:$G$1200,'Hakedis Fatura Detay'!$H$3:$H$1200,'DIVA Satislari'!AJ366,'Hakedis Fatura Detay'!$F$3:$F$1200,"Bundle"))</f>
        <v/>
      </c>
      <c r="R366" s="28">
        <f>IF(A366="","",I366-Q366)</f>
        <v/>
      </c>
      <c r="S366" s="26">
        <f>IF(A366="","",IF(LEFT(P366,7)="Bekleni","N/A - Henüz Ödenmemeli",IF(LEFT(P366,4)="RİSK","İNCELEME GEREKLİ - Süre Aşımı",IF(R366=0,"Doğru",IF(R366&gt;0,"EKSİK ÖDENMİŞ","FAZLA ÖDENMİŞ")))))</f>
        <v/>
      </c>
      <c r="T366" s="30">
        <f>IF(A366="","",IF(F366&lt;&gt;"Evet","İNCELEME GEREKLİ - Kampanya Tanımsız",IF(G366&lt;&gt;"Evet","İNCELEME GEREKLİ - Tarih Dışı Satış",IF(LEFT(P366,4)="RİSK","İNCELEME GEREKLİ - Hakediş Süresi Aşıldı",IF(OR(S366="EKSİK ÖDENMİŞ",S366="FAZLA ÖDENMİŞ"),"İNCELEME GEREKLİ - Tutar Uyuşmazlığı",IF(LEFT(P366,7)="Bekleni","Bekleniyor","Uygun"))))))</f>
        <v/>
      </c>
    </row>
    <row r="367">
      <c r="A367" s="26">
        <f>IF('DIVA Satislari'!I367="","",'DIVA Satislari'!I367)</f>
        <v/>
      </c>
      <c r="B367" s="26">
        <f>IF('DIVA Satislari'!I367="","",'DIVA Satislari'!R367)</f>
        <v/>
      </c>
      <c r="C367" s="26">
        <f>IF('DIVA Satislari'!I367="","",'DIVA Satislari'!M367)</f>
        <v/>
      </c>
      <c r="D367" s="27">
        <f>IF('DIVA Satislari'!I367="","",'DIVA Satislari'!H367)</f>
        <v/>
      </c>
      <c r="E367" s="26">
        <f>IF('DIVA Satislari'!I367="","",'DIVA Satislari'!O367)</f>
        <v/>
      </c>
      <c r="F367" s="26">
        <f>IF('DIVA Satislari'!I367="","",'DIVA Satislari'!AK367)</f>
        <v/>
      </c>
      <c r="G367" s="26">
        <f>IF('DIVA Satislari'!I367="","",'DIVA Satislari'!AO367)</f>
        <v/>
      </c>
      <c r="H367" s="27">
        <f>IF('DIVA Satislari'!I367="","",'DIVA Satislari'!AN367)</f>
        <v/>
      </c>
      <c r="I367" s="28">
        <f>IF('DIVA Satislari'!I367="","",'DIVA Satislari'!AQ367)</f>
        <v/>
      </c>
      <c r="J367" s="26">
        <f>IF('DIVA Satislari'!I367="","",'DIVA Satislari'!AR367)</f>
        <v/>
      </c>
      <c r="K367" s="26">
        <f>IF('DIVA Satislari'!I367="","",IFERROR(INDEX('E2E Nakliye Montaj'!$AS$3:$AS$1002,MATCH('DIVA Satislari'!AJ367,'E2E Nakliye Montaj'!$AM$3:$AM$1002,0)),"Eşleşme Yok"))</f>
        <v/>
      </c>
      <c r="L367" s="26">
        <f>IF('DIVA Satislari'!I367="","",IFERROR(INDEX('E2E Nakliye Montaj'!$AT$3:$AT$1002,MATCH('DIVA Satislari'!AJ367,'E2E Nakliye Montaj'!$AM$3:$AM$1002,0)),"Hayır"))</f>
        <v/>
      </c>
      <c r="M367" s="26">
        <f>IF('DIVA Satislari'!I367="","",IFERROR(INDEX('E2E Nakliye Montaj'!$AU$3:$AU$1002,MATCH('DIVA Satislari'!AJ367,'E2E Nakliye Montaj'!$AM$3:$AM$1002,0)),"Hayır"))</f>
        <v/>
      </c>
      <c r="N367" s="27">
        <f>IF('DIVA Satislari'!I367="","",IFERROR(INDEX('E2E Nakliye Montaj'!$AV$3:$AV$1002,MATCH('DIVA Satislari'!AJ367,'E2E Nakliye Montaj'!$AM$3:$AM$1002,0)),""))</f>
        <v/>
      </c>
      <c r="O367" s="26">
        <f>IF(OR(A367="",N367=""),"",IF(N367&lt;=H367,"Evet","HAYIR - RİSK"))</f>
        <v/>
      </c>
      <c r="P367" s="26">
        <f>IF(A367="","",IF(LEFT(J367,8)="Kural A ","Uygun - Hemen Ödenir (Yıl Sonu %75 Kontrolüne Tabi)",IF(OR(L367="Evet",M367="Evet"),IF(O367="Evet","Uygun","RİSK - Hakediş Süresi Aşıldı"),"Bekleniyor - Nakliye/Montaj Tamamlanmadı")))</f>
        <v/>
      </c>
      <c r="Q367" s="28">
        <f>IF(A367="","",SUMIFS('Hakedis Fatura Detay'!$G$3:$G$1200,'Hakedis Fatura Detay'!$H$3:$H$1200,'DIVA Satislari'!AJ367,'Hakedis Fatura Detay'!$F$3:$F$1200,"Fiyat Farkı")+SUMIFS('Hakedis Fatura Detay'!$G$3:$G$1200,'Hakedis Fatura Detay'!$H$3:$H$1200,'DIVA Satislari'!AJ367,'Hakedis Fatura Detay'!$F$3:$F$1200,"Bundle"))</f>
        <v/>
      </c>
      <c r="R367" s="28">
        <f>IF(A367="","",I367-Q367)</f>
        <v/>
      </c>
      <c r="S367" s="26">
        <f>IF(A367="","",IF(LEFT(P367,7)="Bekleni","N/A - Henüz Ödenmemeli",IF(LEFT(P367,4)="RİSK","İNCELEME GEREKLİ - Süre Aşımı",IF(R367=0,"Doğru",IF(R367&gt;0,"EKSİK ÖDENMİŞ","FAZLA ÖDENMİŞ")))))</f>
        <v/>
      </c>
      <c r="T367" s="30">
        <f>IF(A367="","",IF(F367&lt;&gt;"Evet","İNCELEME GEREKLİ - Kampanya Tanımsız",IF(G367&lt;&gt;"Evet","İNCELEME GEREKLİ - Tarih Dışı Satış",IF(LEFT(P367,4)="RİSK","İNCELEME GEREKLİ - Hakediş Süresi Aşıldı",IF(OR(S367="EKSİK ÖDENMİŞ",S367="FAZLA ÖDENMİŞ"),"İNCELEME GEREKLİ - Tutar Uyuşmazlığı",IF(LEFT(P367,7)="Bekleni","Bekleniyor","Uygun"))))))</f>
        <v/>
      </c>
    </row>
    <row r="368">
      <c r="A368" s="26">
        <f>IF('DIVA Satislari'!I368="","",'DIVA Satislari'!I368)</f>
        <v/>
      </c>
      <c r="B368" s="26">
        <f>IF('DIVA Satislari'!I368="","",'DIVA Satislari'!R368)</f>
        <v/>
      </c>
      <c r="C368" s="26">
        <f>IF('DIVA Satislari'!I368="","",'DIVA Satislari'!M368)</f>
        <v/>
      </c>
      <c r="D368" s="27">
        <f>IF('DIVA Satislari'!I368="","",'DIVA Satislari'!H368)</f>
        <v/>
      </c>
      <c r="E368" s="26">
        <f>IF('DIVA Satislari'!I368="","",'DIVA Satislari'!O368)</f>
        <v/>
      </c>
      <c r="F368" s="26">
        <f>IF('DIVA Satislari'!I368="","",'DIVA Satislari'!AK368)</f>
        <v/>
      </c>
      <c r="G368" s="26">
        <f>IF('DIVA Satislari'!I368="","",'DIVA Satislari'!AO368)</f>
        <v/>
      </c>
      <c r="H368" s="27">
        <f>IF('DIVA Satislari'!I368="","",'DIVA Satislari'!AN368)</f>
        <v/>
      </c>
      <c r="I368" s="28">
        <f>IF('DIVA Satislari'!I368="","",'DIVA Satislari'!AQ368)</f>
        <v/>
      </c>
      <c r="J368" s="26">
        <f>IF('DIVA Satislari'!I368="","",'DIVA Satislari'!AR368)</f>
        <v/>
      </c>
      <c r="K368" s="26">
        <f>IF('DIVA Satislari'!I368="","",IFERROR(INDEX('E2E Nakliye Montaj'!$AS$3:$AS$1002,MATCH('DIVA Satislari'!AJ368,'E2E Nakliye Montaj'!$AM$3:$AM$1002,0)),"Eşleşme Yok"))</f>
        <v/>
      </c>
      <c r="L368" s="26">
        <f>IF('DIVA Satislari'!I368="","",IFERROR(INDEX('E2E Nakliye Montaj'!$AT$3:$AT$1002,MATCH('DIVA Satislari'!AJ368,'E2E Nakliye Montaj'!$AM$3:$AM$1002,0)),"Hayır"))</f>
        <v/>
      </c>
      <c r="M368" s="26">
        <f>IF('DIVA Satislari'!I368="","",IFERROR(INDEX('E2E Nakliye Montaj'!$AU$3:$AU$1002,MATCH('DIVA Satislari'!AJ368,'E2E Nakliye Montaj'!$AM$3:$AM$1002,0)),"Hayır"))</f>
        <v/>
      </c>
      <c r="N368" s="27">
        <f>IF('DIVA Satislari'!I368="","",IFERROR(INDEX('E2E Nakliye Montaj'!$AV$3:$AV$1002,MATCH('DIVA Satislari'!AJ368,'E2E Nakliye Montaj'!$AM$3:$AM$1002,0)),""))</f>
        <v/>
      </c>
      <c r="O368" s="26">
        <f>IF(OR(A368="",N368=""),"",IF(N368&lt;=H368,"Evet","HAYIR - RİSK"))</f>
        <v/>
      </c>
      <c r="P368" s="26">
        <f>IF(A368="","",IF(LEFT(J368,8)="Kural A ","Uygun - Hemen Ödenir (Yıl Sonu %75 Kontrolüne Tabi)",IF(OR(L368="Evet",M368="Evet"),IF(O368="Evet","Uygun","RİSK - Hakediş Süresi Aşıldı"),"Bekleniyor - Nakliye/Montaj Tamamlanmadı")))</f>
        <v/>
      </c>
      <c r="Q368" s="28">
        <f>IF(A368="","",SUMIFS('Hakedis Fatura Detay'!$G$3:$G$1200,'Hakedis Fatura Detay'!$H$3:$H$1200,'DIVA Satislari'!AJ368,'Hakedis Fatura Detay'!$F$3:$F$1200,"Fiyat Farkı")+SUMIFS('Hakedis Fatura Detay'!$G$3:$G$1200,'Hakedis Fatura Detay'!$H$3:$H$1200,'DIVA Satislari'!AJ368,'Hakedis Fatura Detay'!$F$3:$F$1200,"Bundle"))</f>
        <v/>
      </c>
      <c r="R368" s="28">
        <f>IF(A368="","",I368-Q368)</f>
        <v/>
      </c>
      <c r="S368" s="26">
        <f>IF(A368="","",IF(LEFT(P368,7)="Bekleni","N/A - Henüz Ödenmemeli",IF(LEFT(P368,4)="RİSK","İNCELEME GEREKLİ - Süre Aşımı",IF(R368=0,"Doğru",IF(R368&gt;0,"EKSİK ÖDENMİŞ","FAZLA ÖDENMİŞ")))))</f>
        <v/>
      </c>
      <c r="T368" s="30">
        <f>IF(A368="","",IF(F368&lt;&gt;"Evet","İNCELEME GEREKLİ - Kampanya Tanımsız",IF(G368&lt;&gt;"Evet","İNCELEME GEREKLİ - Tarih Dışı Satış",IF(LEFT(P368,4)="RİSK","İNCELEME GEREKLİ - Hakediş Süresi Aşıldı",IF(OR(S368="EKSİK ÖDENMİŞ",S368="FAZLA ÖDENMİŞ"),"İNCELEME GEREKLİ - Tutar Uyuşmazlığı",IF(LEFT(P368,7)="Bekleni","Bekleniyor","Uygun"))))))</f>
        <v/>
      </c>
    </row>
    <row r="369">
      <c r="A369" s="26">
        <f>IF('DIVA Satislari'!I369="","",'DIVA Satislari'!I369)</f>
        <v/>
      </c>
      <c r="B369" s="26">
        <f>IF('DIVA Satislari'!I369="","",'DIVA Satislari'!R369)</f>
        <v/>
      </c>
      <c r="C369" s="26">
        <f>IF('DIVA Satislari'!I369="","",'DIVA Satislari'!M369)</f>
        <v/>
      </c>
      <c r="D369" s="27">
        <f>IF('DIVA Satislari'!I369="","",'DIVA Satislari'!H369)</f>
        <v/>
      </c>
      <c r="E369" s="26">
        <f>IF('DIVA Satislari'!I369="","",'DIVA Satislari'!O369)</f>
        <v/>
      </c>
      <c r="F369" s="26">
        <f>IF('DIVA Satislari'!I369="","",'DIVA Satislari'!AK369)</f>
        <v/>
      </c>
      <c r="G369" s="26">
        <f>IF('DIVA Satislari'!I369="","",'DIVA Satislari'!AO369)</f>
        <v/>
      </c>
      <c r="H369" s="27">
        <f>IF('DIVA Satislari'!I369="","",'DIVA Satislari'!AN369)</f>
        <v/>
      </c>
      <c r="I369" s="28">
        <f>IF('DIVA Satislari'!I369="","",'DIVA Satislari'!AQ369)</f>
        <v/>
      </c>
      <c r="J369" s="26">
        <f>IF('DIVA Satislari'!I369="","",'DIVA Satislari'!AR369)</f>
        <v/>
      </c>
      <c r="K369" s="26">
        <f>IF('DIVA Satislari'!I369="","",IFERROR(INDEX('E2E Nakliye Montaj'!$AS$3:$AS$1002,MATCH('DIVA Satislari'!AJ369,'E2E Nakliye Montaj'!$AM$3:$AM$1002,0)),"Eşleşme Yok"))</f>
        <v/>
      </c>
      <c r="L369" s="26">
        <f>IF('DIVA Satislari'!I369="","",IFERROR(INDEX('E2E Nakliye Montaj'!$AT$3:$AT$1002,MATCH('DIVA Satislari'!AJ369,'E2E Nakliye Montaj'!$AM$3:$AM$1002,0)),"Hayır"))</f>
        <v/>
      </c>
      <c r="M369" s="26">
        <f>IF('DIVA Satislari'!I369="","",IFERROR(INDEX('E2E Nakliye Montaj'!$AU$3:$AU$1002,MATCH('DIVA Satislari'!AJ369,'E2E Nakliye Montaj'!$AM$3:$AM$1002,0)),"Hayır"))</f>
        <v/>
      </c>
      <c r="N369" s="27">
        <f>IF('DIVA Satislari'!I369="","",IFERROR(INDEX('E2E Nakliye Montaj'!$AV$3:$AV$1002,MATCH('DIVA Satislari'!AJ369,'E2E Nakliye Montaj'!$AM$3:$AM$1002,0)),""))</f>
        <v/>
      </c>
      <c r="O369" s="26">
        <f>IF(OR(A369="",N369=""),"",IF(N369&lt;=H369,"Evet","HAYIR - RİSK"))</f>
        <v/>
      </c>
      <c r="P369" s="26">
        <f>IF(A369="","",IF(LEFT(J369,8)="Kural A ","Uygun - Hemen Ödenir (Yıl Sonu %75 Kontrolüne Tabi)",IF(OR(L369="Evet",M369="Evet"),IF(O369="Evet","Uygun","RİSK - Hakediş Süresi Aşıldı"),"Bekleniyor - Nakliye/Montaj Tamamlanmadı")))</f>
        <v/>
      </c>
      <c r="Q369" s="28">
        <f>IF(A369="","",SUMIFS('Hakedis Fatura Detay'!$G$3:$G$1200,'Hakedis Fatura Detay'!$H$3:$H$1200,'DIVA Satislari'!AJ369,'Hakedis Fatura Detay'!$F$3:$F$1200,"Fiyat Farkı")+SUMIFS('Hakedis Fatura Detay'!$G$3:$G$1200,'Hakedis Fatura Detay'!$H$3:$H$1200,'DIVA Satislari'!AJ369,'Hakedis Fatura Detay'!$F$3:$F$1200,"Bundle"))</f>
        <v/>
      </c>
      <c r="R369" s="28">
        <f>IF(A369="","",I369-Q369)</f>
        <v/>
      </c>
      <c r="S369" s="26">
        <f>IF(A369="","",IF(LEFT(P369,7)="Bekleni","N/A - Henüz Ödenmemeli",IF(LEFT(P369,4)="RİSK","İNCELEME GEREKLİ - Süre Aşımı",IF(R369=0,"Doğru",IF(R369&gt;0,"EKSİK ÖDENMİŞ","FAZLA ÖDENMİŞ")))))</f>
        <v/>
      </c>
      <c r="T369" s="30">
        <f>IF(A369="","",IF(F369&lt;&gt;"Evet","İNCELEME GEREKLİ - Kampanya Tanımsız",IF(G369&lt;&gt;"Evet","İNCELEME GEREKLİ - Tarih Dışı Satış",IF(LEFT(P369,4)="RİSK","İNCELEME GEREKLİ - Hakediş Süresi Aşıldı",IF(OR(S369="EKSİK ÖDENMİŞ",S369="FAZLA ÖDENMİŞ"),"İNCELEME GEREKLİ - Tutar Uyuşmazlığı",IF(LEFT(P369,7)="Bekleni","Bekleniyor","Uygun"))))))</f>
        <v/>
      </c>
    </row>
    <row r="370">
      <c r="A370" s="26">
        <f>IF('DIVA Satislari'!I370="","",'DIVA Satislari'!I370)</f>
        <v/>
      </c>
      <c r="B370" s="26">
        <f>IF('DIVA Satislari'!I370="","",'DIVA Satislari'!R370)</f>
        <v/>
      </c>
      <c r="C370" s="26">
        <f>IF('DIVA Satislari'!I370="","",'DIVA Satislari'!M370)</f>
        <v/>
      </c>
      <c r="D370" s="27">
        <f>IF('DIVA Satislari'!I370="","",'DIVA Satislari'!H370)</f>
        <v/>
      </c>
      <c r="E370" s="26">
        <f>IF('DIVA Satislari'!I370="","",'DIVA Satislari'!O370)</f>
        <v/>
      </c>
      <c r="F370" s="26">
        <f>IF('DIVA Satislari'!I370="","",'DIVA Satislari'!AK370)</f>
        <v/>
      </c>
      <c r="G370" s="26">
        <f>IF('DIVA Satislari'!I370="","",'DIVA Satislari'!AO370)</f>
        <v/>
      </c>
      <c r="H370" s="27">
        <f>IF('DIVA Satislari'!I370="","",'DIVA Satislari'!AN370)</f>
        <v/>
      </c>
      <c r="I370" s="28">
        <f>IF('DIVA Satislari'!I370="","",'DIVA Satislari'!AQ370)</f>
        <v/>
      </c>
      <c r="J370" s="26">
        <f>IF('DIVA Satislari'!I370="","",'DIVA Satislari'!AR370)</f>
        <v/>
      </c>
      <c r="K370" s="26">
        <f>IF('DIVA Satislari'!I370="","",IFERROR(INDEX('E2E Nakliye Montaj'!$AS$3:$AS$1002,MATCH('DIVA Satislari'!AJ370,'E2E Nakliye Montaj'!$AM$3:$AM$1002,0)),"Eşleşme Yok"))</f>
        <v/>
      </c>
      <c r="L370" s="26">
        <f>IF('DIVA Satislari'!I370="","",IFERROR(INDEX('E2E Nakliye Montaj'!$AT$3:$AT$1002,MATCH('DIVA Satislari'!AJ370,'E2E Nakliye Montaj'!$AM$3:$AM$1002,0)),"Hayır"))</f>
        <v/>
      </c>
      <c r="M370" s="26">
        <f>IF('DIVA Satislari'!I370="","",IFERROR(INDEX('E2E Nakliye Montaj'!$AU$3:$AU$1002,MATCH('DIVA Satislari'!AJ370,'E2E Nakliye Montaj'!$AM$3:$AM$1002,0)),"Hayır"))</f>
        <v/>
      </c>
      <c r="N370" s="27">
        <f>IF('DIVA Satislari'!I370="","",IFERROR(INDEX('E2E Nakliye Montaj'!$AV$3:$AV$1002,MATCH('DIVA Satislari'!AJ370,'E2E Nakliye Montaj'!$AM$3:$AM$1002,0)),""))</f>
        <v/>
      </c>
      <c r="O370" s="26">
        <f>IF(OR(A370="",N370=""),"",IF(N370&lt;=H370,"Evet","HAYIR - RİSK"))</f>
        <v/>
      </c>
      <c r="P370" s="26">
        <f>IF(A370="","",IF(LEFT(J370,8)="Kural A ","Uygun - Hemen Ödenir (Yıl Sonu %75 Kontrolüne Tabi)",IF(OR(L370="Evet",M370="Evet"),IF(O370="Evet","Uygun","RİSK - Hakediş Süresi Aşıldı"),"Bekleniyor - Nakliye/Montaj Tamamlanmadı")))</f>
        <v/>
      </c>
      <c r="Q370" s="28">
        <f>IF(A370="","",SUMIFS('Hakedis Fatura Detay'!$G$3:$G$1200,'Hakedis Fatura Detay'!$H$3:$H$1200,'DIVA Satislari'!AJ370,'Hakedis Fatura Detay'!$F$3:$F$1200,"Fiyat Farkı")+SUMIFS('Hakedis Fatura Detay'!$G$3:$G$1200,'Hakedis Fatura Detay'!$H$3:$H$1200,'DIVA Satislari'!AJ370,'Hakedis Fatura Detay'!$F$3:$F$1200,"Bundle"))</f>
        <v/>
      </c>
      <c r="R370" s="28">
        <f>IF(A370="","",I370-Q370)</f>
        <v/>
      </c>
      <c r="S370" s="26">
        <f>IF(A370="","",IF(LEFT(P370,7)="Bekleni","N/A - Henüz Ödenmemeli",IF(LEFT(P370,4)="RİSK","İNCELEME GEREKLİ - Süre Aşımı",IF(R370=0,"Doğru",IF(R370&gt;0,"EKSİK ÖDENMİŞ","FAZLA ÖDENMİŞ")))))</f>
        <v/>
      </c>
      <c r="T370" s="30">
        <f>IF(A370="","",IF(F370&lt;&gt;"Evet","İNCELEME GEREKLİ - Kampanya Tanımsız",IF(G370&lt;&gt;"Evet","İNCELEME GEREKLİ - Tarih Dışı Satış",IF(LEFT(P370,4)="RİSK","İNCELEME GEREKLİ - Hakediş Süresi Aşıldı",IF(OR(S370="EKSİK ÖDENMİŞ",S370="FAZLA ÖDENMİŞ"),"İNCELEME GEREKLİ - Tutar Uyuşmazlığı",IF(LEFT(P370,7)="Bekleni","Bekleniyor","Uygun"))))))</f>
        <v/>
      </c>
    </row>
    <row r="371">
      <c r="A371" s="26">
        <f>IF('DIVA Satislari'!I371="","",'DIVA Satislari'!I371)</f>
        <v/>
      </c>
      <c r="B371" s="26">
        <f>IF('DIVA Satislari'!I371="","",'DIVA Satislari'!R371)</f>
        <v/>
      </c>
      <c r="C371" s="26">
        <f>IF('DIVA Satislari'!I371="","",'DIVA Satislari'!M371)</f>
        <v/>
      </c>
      <c r="D371" s="27">
        <f>IF('DIVA Satislari'!I371="","",'DIVA Satislari'!H371)</f>
        <v/>
      </c>
      <c r="E371" s="26">
        <f>IF('DIVA Satislari'!I371="","",'DIVA Satislari'!O371)</f>
        <v/>
      </c>
      <c r="F371" s="26">
        <f>IF('DIVA Satislari'!I371="","",'DIVA Satislari'!AK371)</f>
        <v/>
      </c>
      <c r="G371" s="26">
        <f>IF('DIVA Satislari'!I371="","",'DIVA Satislari'!AO371)</f>
        <v/>
      </c>
      <c r="H371" s="27">
        <f>IF('DIVA Satislari'!I371="","",'DIVA Satislari'!AN371)</f>
        <v/>
      </c>
      <c r="I371" s="28">
        <f>IF('DIVA Satislari'!I371="","",'DIVA Satislari'!AQ371)</f>
        <v/>
      </c>
      <c r="J371" s="26">
        <f>IF('DIVA Satislari'!I371="","",'DIVA Satislari'!AR371)</f>
        <v/>
      </c>
      <c r="K371" s="26">
        <f>IF('DIVA Satislari'!I371="","",IFERROR(INDEX('E2E Nakliye Montaj'!$AS$3:$AS$1002,MATCH('DIVA Satislari'!AJ371,'E2E Nakliye Montaj'!$AM$3:$AM$1002,0)),"Eşleşme Yok"))</f>
        <v/>
      </c>
      <c r="L371" s="26">
        <f>IF('DIVA Satislari'!I371="","",IFERROR(INDEX('E2E Nakliye Montaj'!$AT$3:$AT$1002,MATCH('DIVA Satislari'!AJ371,'E2E Nakliye Montaj'!$AM$3:$AM$1002,0)),"Hayır"))</f>
        <v/>
      </c>
      <c r="M371" s="26">
        <f>IF('DIVA Satislari'!I371="","",IFERROR(INDEX('E2E Nakliye Montaj'!$AU$3:$AU$1002,MATCH('DIVA Satislari'!AJ371,'E2E Nakliye Montaj'!$AM$3:$AM$1002,0)),"Hayır"))</f>
        <v/>
      </c>
      <c r="N371" s="27">
        <f>IF('DIVA Satislari'!I371="","",IFERROR(INDEX('E2E Nakliye Montaj'!$AV$3:$AV$1002,MATCH('DIVA Satislari'!AJ371,'E2E Nakliye Montaj'!$AM$3:$AM$1002,0)),""))</f>
        <v/>
      </c>
      <c r="O371" s="26">
        <f>IF(OR(A371="",N371=""),"",IF(N371&lt;=H371,"Evet","HAYIR - RİSK"))</f>
        <v/>
      </c>
      <c r="P371" s="26">
        <f>IF(A371="","",IF(LEFT(J371,8)="Kural A ","Uygun - Hemen Ödenir (Yıl Sonu %75 Kontrolüne Tabi)",IF(OR(L371="Evet",M371="Evet"),IF(O371="Evet","Uygun","RİSK - Hakediş Süresi Aşıldı"),"Bekleniyor - Nakliye/Montaj Tamamlanmadı")))</f>
        <v/>
      </c>
      <c r="Q371" s="28">
        <f>IF(A371="","",SUMIFS('Hakedis Fatura Detay'!$G$3:$G$1200,'Hakedis Fatura Detay'!$H$3:$H$1200,'DIVA Satislari'!AJ371,'Hakedis Fatura Detay'!$F$3:$F$1200,"Fiyat Farkı")+SUMIFS('Hakedis Fatura Detay'!$G$3:$G$1200,'Hakedis Fatura Detay'!$H$3:$H$1200,'DIVA Satislari'!AJ371,'Hakedis Fatura Detay'!$F$3:$F$1200,"Bundle"))</f>
        <v/>
      </c>
      <c r="R371" s="28">
        <f>IF(A371="","",I371-Q371)</f>
        <v/>
      </c>
      <c r="S371" s="26">
        <f>IF(A371="","",IF(LEFT(P371,7)="Bekleni","N/A - Henüz Ödenmemeli",IF(LEFT(P371,4)="RİSK","İNCELEME GEREKLİ - Süre Aşımı",IF(R371=0,"Doğru",IF(R371&gt;0,"EKSİK ÖDENMİŞ","FAZLA ÖDENMİŞ")))))</f>
        <v/>
      </c>
      <c r="T371" s="30">
        <f>IF(A371="","",IF(F371&lt;&gt;"Evet","İNCELEME GEREKLİ - Kampanya Tanımsız",IF(G371&lt;&gt;"Evet","İNCELEME GEREKLİ - Tarih Dışı Satış",IF(LEFT(P371,4)="RİSK","İNCELEME GEREKLİ - Hakediş Süresi Aşıldı",IF(OR(S371="EKSİK ÖDENMİŞ",S371="FAZLA ÖDENMİŞ"),"İNCELEME GEREKLİ - Tutar Uyuşmazlığı",IF(LEFT(P371,7)="Bekleni","Bekleniyor","Uygun"))))))</f>
        <v/>
      </c>
    </row>
    <row r="372">
      <c r="A372" s="26">
        <f>IF('DIVA Satislari'!I372="","",'DIVA Satislari'!I372)</f>
        <v/>
      </c>
      <c r="B372" s="26">
        <f>IF('DIVA Satislari'!I372="","",'DIVA Satislari'!R372)</f>
        <v/>
      </c>
      <c r="C372" s="26">
        <f>IF('DIVA Satislari'!I372="","",'DIVA Satislari'!M372)</f>
        <v/>
      </c>
      <c r="D372" s="27">
        <f>IF('DIVA Satislari'!I372="","",'DIVA Satislari'!H372)</f>
        <v/>
      </c>
      <c r="E372" s="26">
        <f>IF('DIVA Satislari'!I372="","",'DIVA Satislari'!O372)</f>
        <v/>
      </c>
      <c r="F372" s="26">
        <f>IF('DIVA Satislari'!I372="","",'DIVA Satislari'!AK372)</f>
        <v/>
      </c>
      <c r="G372" s="26">
        <f>IF('DIVA Satislari'!I372="","",'DIVA Satislari'!AO372)</f>
        <v/>
      </c>
      <c r="H372" s="27">
        <f>IF('DIVA Satislari'!I372="","",'DIVA Satislari'!AN372)</f>
        <v/>
      </c>
      <c r="I372" s="28">
        <f>IF('DIVA Satislari'!I372="","",'DIVA Satislari'!AQ372)</f>
        <v/>
      </c>
      <c r="J372" s="26">
        <f>IF('DIVA Satislari'!I372="","",'DIVA Satislari'!AR372)</f>
        <v/>
      </c>
      <c r="K372" s="26">
        <f>IF('DIVA Satislari'!I372="","",IFERROR(INDEX('E2E Nakliye Montaj'!$AS$3:$AS$1002,MATCH('DIVA Satislari'!AJ372,'E2E Nakliye Montaj'!$AM$3:$AM$1002,0)),"Eşleşme Yok"))</f>
        <v/>
      </c>
      <c r="L372" s="26">
        <f>IF('DIVA Satislari'!I372="","",IFERROR(INDEX('E2E Nakliye Montaj'!$AT$3:$AT$1002,MATCH('DIVA Satislari'!AJ372,'E2E Nakliye Montaj'!$AM$3:$AM$1002,0)),"Hayır"))</f>
        <v/>
      </c>
      <c r="M372" s="26">
        <f>IF('DIVA Satislari'!I372="","",IFERROR(INDEX('E2E Nakliye Montaj'!$AU$3:$AU$1002,MATCH('DIVA Satislari'!AJ372,'E2E Nakliye Montaj'!$AM$3:$AM$1002,0)),"Hayır"))</f>
        <v/>
      </c>
      <c r="N372" s="27">
        <f>IF('DIVA Satislari'!I372="","",IFERROR(INDEX('E2E Nakliye Montaj'!$AV$3:$AV$1002,MATCH('DIVA Satislari'!AJ372,'E2E Nakliye Montaj'!$AM$3:$AM$1002,0)),""))</f>
        <v/>
      </c>
      <c r="O372" s="26">
        <f>IF(OR(A372="",N372=""),"",IF(N372&lt;=H372,"Evet","HAYIR - RİSK"))</f>
        <v/>
      </c>
      <c r="P372" s="26">
        <f>IF(A372="","",IF(LEFT(J372,8)="Kural A ","Uygun - Hemen Ödenir (Yıl Sonu %75 Kontrolüne Tabi)",IF(OR(L372="Evet",M372="Evet"),IF(O372="Evet","Uygun","RİSK - Hakediş Süresi Aşıldı"),"Bekleniyor - Nakliye/Montaj Tamamlanmadı")))</f>
        <v/>
      </c>
      <c r="Q372" s="28">
        <f>IF(A372="","",SUMIFS('Hakedis Fatura Detay'!$G$3:$G$1200,'Hakedis Fatura Detay'!$H$3:$H$1200,'DIVA Satislari'!AJ372,'Hakedis Fatura Detay'!$F$3:$F$1200,"Fiyat Farkı")+SUMIFS('Hakedis Fatura Detay'!$G$3:$G$1200,'Hakedis Fatura Detay'!$H$3:$H$1200,'DIVA Satislari'!AJ372,'Hakedis Fatura Detay'!$F$3:$F$1200,"Bundle"))</f>
        <v/>
      </c>
      <c r="R372" s="28">
        <f>IF(A372="","",I372-Q372)</f>
        <v/>
      </c>
      <c r="S372" s="26">
        <f>IF(A372="","",IF(LEFT(P372,7)="Bekleni","N/A - Henüz Ödenmemeli",IF(LEFT(P372,4)="RİSK","İNCELEME GEREKLİ - Süre Aşımı",IF(R372=0,"Doğru",IF(R372&gt;0,"EKSİK ÖDENMİŞ","FAZLA ÖDENMİŞ")))))</f>
        <v/>
      </c>
      <c r="T372" s="30">
        <f>IF(A372="","",IF(F372&lt;&gt;"Evet","İNCELEME GEREKLİ - Kampanya Tanımsız",IF(G372&lt;&gt;"Evet","İNCELEME GEREKLİ - Tarih Dışı Satış",IF(LEFT(P372,4)="RİSK","İNCELEME GEREKLİ - Hakediş Süresi Aşıldı",IF(OR(S372="EKSİK ÖDENMİŞ",S372="FAZLA ÖDENMİŞ"),"İNCELEME GEREKLİ - Tutar Uyuşmazlığı",IF(LEFT(P372,7)="Bekleni","Bekleniyor","Uygun"))))))</f>
        <v/>
      </c>
    </row>
    <row r="373">
      <c r="A373" s="26">
        <f>IF('DIVA Satislari'!I373="","",'DIVA Satislari'!I373)</f>
        <v/>
      </c>
      <c r="B373" s="26">
        <f>IF('DIVA Satislari'!I373="","",'DIVA Satislari'!R373)</f>
        <v/>
      </c>
      <c r="C373" s="26">
        <f>IF('DIVA Satislari'!I373="","",'DIVA Satislari'!M373)</f>
        <v/>
      </c>
      <c r="D373" s="27">
        <f>IF('DIVA Satislari'!I373="","",'DIVA Satislari'!H373)</f>
        <v/>
      </c>
      <c r="E373" s="26">
        <f>IF('DIVA Satislari'!I373="","",'DIVA Satislari'!O373)</f>
        <v/>
      </c>
      <c r="F373" s="26">
        <f>IF('DIVA Satislari'!I373="","",'DIVA Satislari'!AK373)</f>
        <v/>
      </c>
      <c r="G373" s="26">
        <f>IF('DIVA Satislari'!I373="","",'DIVA Satislari'!AO373)</f>
        <v/>
      </c>
      <c r="H373" s="27">
        <f>IF('DIVA Satislari'!I373="","",'DIVA Satislari'!AN373)</f>
        <v/>
      </c>
      <c r="I373" s="28">
        <f>IF('DIVA Satislari'!I373="","",'DIVA Satislari'!AQ373)</f>
        <v/>
      </c>
      <c r="J373" s="26">
        <f>IF('DIVA Satislari'!I373="","",'DIVA Satislari'!AR373)</f>
        <v/>
      </c>
      <c r="K373" s="26">
        <f>IF('DIVA Satislari'!I373="","",IFERROR(INDEX('E2E Nakliye Montaj'!$AS$3:$AS$1002,MATCH('DIVA Satislari'!AJ373,'E2E Nakliye Montaj'!$AM$3:$AM$1002,0)),"Eşleşme Yok"))</f>
        <v/>
      </c>
      <c r="L373" s="26">
        <f>IF('DIVA Satislari'!I373="","",IFERROR(INDEX('E2E Nakliye Montaj'!$AT$3:$AT$1002,MATCH('DIVA Satislari'!AJ373,'E2E Nakliye Montaj'!$AM$3:$AM$1002,0)),"Hayır"))</f>
        <v/>
      </c>
      <c r="M373" s="26">
        <f>IF('DIVA Satislari'!I373="","",IFERROR(INDEX('E2E Nakliye Montaj'!$AU$3:$AU$1002,MATCH('DIVA Satislari'!AJ373,'E2E Nakliye Montaj'!$AM$3:$AM$1002,0)),"Hayır"))</f>
        <v/>
      </c>
      <c r="N373" s="27">
        <f>IF('DIVA Satislari'!I373="","",IFERROR(INDEX('E2E Nakliye Montaj'!$AV$3:$AV$1002,MATCH('DIVA Satislari'!AJ373,'E2E Nakliye Montaj'!$AM$3:$AM$1002,0)),""))</f>
        <v/>
      </c>
      <c r="O373" s="26">
        <f>IF(OR(A373="",N373=""),"",IF(N373&lt;=H373,"Evet","HAYIR - RİSK"))</f>
        <v/>
      </c>
      <c r="P373" s="26">
        <f>IF(A373="","",IF(LEFT(J373,8)="Kural A ","Uygun - Hemen Ödenir (Yıl Sonu %75 Kontrolüne Tabi)",IF(OR(L373="Evet",M373="Evet"),IF(O373="Evet","Uygun","RİSK - Hakediş Süresi Aşıldı"),"Bekleniyor - Nakliye/Montaj Tamamlanmadı")))</f>
        <v/>
      </c>
      <c r="Q373" s="28">
        <f>IF(A373="","",SUMIFS('Hakedis Fatura Detay'!$G$3:$G$1200,'Hakedis Fatura Detay'!$H$3:$H$1200,'DIVA Satislari'!AJ373,'Hakedis Fatura Detay'!$F$3:$F$1200,"Fiyat Farkı")+SUMIFS('Hakedis Fatura Detay'!$G$3:$G$1200,'Hakedis Fatura Detay'!$H$3:$H$1200,'DIVA Satislari'!AJ373,'Hakedis Fatura Detay'!$F$3:$F$1200,"Bundle"))</f>
        <v/>
      </c>
      <c r="R373" s="28">
        <f>IF(A373="","",I373-Q373)</f>
        <v/>
      </c>
      <c r="S373" s="26">
        <f>IF(A373="","",IF(LEFT(P373,7)="Bekleni","N/A - Henüz Ödenmemeli",IF(LEFT(P373,4)="RİSK","İNCELEME GEREKLİ - Süre Aşımı",IF(R373=0,"Doğru",IF(R373&gt;0,"EKSİK ÖDENMİŞ","FAZLA ÖDENMİŞ")))))</f>
        <v/>
      </c>
      <c r="T373" s="30">
        <f>IF(A373="","",IF(F373&lt;&gt;"Evet","İNCELEME GEREKLİ - Kampanya Tanımsız",IF(G373&lt;&gt;"Evet","İNCELEME GEREKLİ - Tarih Dışı Satış",IF(LEFT(P373,4)="RİSK","İNCELEME GEREKLİ - Hakediş Süresi Aşıldı",IF(OR(S373="EKSİK ÖDENMİŞ",S373="FAZLA ÖDENMİŞ"),"İNCELEME GEREKLİ - Tutar Uyuşmazlığı",IF(LEFT(P373,7)="Bekleni","Bekleniyor","Uygun"))))))</f>
        <v/>
      </c>
    </row>
    <row r="374">
      <c r="A374" s="26">
        <f>IF('DIVA Satislari'!I374="","",'DIVA Satislari'!I374)</f>
        <v/>
      </c>
      <c r="B374" s="26">
        <f>IF('DIVA Satislari'!I374="","",'DIVA Satislari'!R374)</f>
        <v/>
      </c>
      <c r="C374" s="26">
        <f>IF('DIVA Satislari'!I374="","",'DIVA Satislari'!M374)</f>
        <v/>
      </c>
      <c r="D374" s="27">
        <f>IF('DIVA Satislari'!I374="","",'DIVA Satislari'!H374)</f>
        <v/>
      </c>
      <c r="E374" s="26">
        <f>IF('DIVA Satislari'!I374="","",'DIVA Satislari'!O374)</f>
        <v/>
      </c>
      <c r="F374" s="26">
        <f>IF('DIVA Satislari'!I374="","",'DIVA Satislari'!AK374)</f>
        <v/>
      </c>
      <c r="G374" s="26">
        <f>IF('DIVA Satislari'!I374="","",'DIVA Satislari'!AO374)</f>
        <v/>
      </c>
      <c r="H374" s="27">
        <f>IF('DIVA Satislari'!I374="","",'DIVA Satislari'!AN374)</f>
        <v/>
      </c>
      <c r="I374" s="28">
        <f>IF('DIVA Satislari'!I374="","",'DIVA Satislari'!AQ374)</f>
        <v/>
      </c>
      <c r="J374" s="26">
        <f>IF('DIVA Satislari'!I374="","",'DIVA Satislari'!AR374)</f>
        <v/>
      </c>
      <c r="K374" s="26">
        <f>IF('DIVA Satislari'!I374="","",IFERROR(INDEX('E2E Nakliye Montaj'!$AS$3:$AS$1002,MATCH('DIVA Satislari'!AJ374,'E2E Nakliye Montaj'!$AM$3:$AM$1002,0)),"Eşleşme Yok"))</f>
        <v/>
      </c>
      <c r="L374" s="26">
        <f>IF('DIVA Satislari'!I374="","",IFERROR(INDEX('E2E Nakliye Montaj'!$AT$3:$AT$1002,MATCH('DIVA Satislari'!AJ374,'E2E Nakliye Montaj'!$AM$3:$AM$1002,0)),"Hayır"))</f>
        <v/>
      </c>
      <c r="M374" s="26">
        <f>IF('DIVA Satislari'!I374="","",IFERROR(INDEX('E2E Nakliye Montaj'!$AU$3:$AU$1002,MATCH('DIVA Satislari'!AJ374,'E2E Nakliye Montaj'!$AM$3:$AM$1002,0)),"Hayır"))</f>
        <v/>
      </c>
      <c r="N374" s="27">
        <f>IF('DIVA Satislari'!I374="","",IFERROR(INDEX('E2E Nakliye Montaj'!$AV$3:$AV$1002,MATCH('DIVA Satislari'!AJ374,'E2E Nakliye Montaj'!$AM$3:$AM$1002,0)),""))</f>
        <v/>
      </c>
      <c r="O374" s="26">
        <f>IF(OR(A374="",N374=""),"",IF(N374&lt;=H374,"Evet","HAYIR - RİSK"))</f>
        <v/>
      </c>
      <c r="P374" s="26">
        <f>IF(A374="","",IF(LEFT(J374,8)="Kural A ","Uygun - Hemen Ödenir (Yıl Sonu %75 Kontrolüne Tabi)",IF(OR(L374="Evet",M374="Evet"),IF(O374="Evet","Uygun","RİSK - Hakediş Süresi Aşıldı"),"Bekleniyor - Nakliye/Montaj Tamamlanmadı")))</f>
        <v/>
      </c>
      <c r="Q374" s="28">
        <f>IF(A374="","",SUMIFS('Hakedis Fatura Detay'!$G$3:$G$1200,'Hakedis Fatura Detay'!$H$3:$H$1200,'DIVA Satislari'!AJ374,'Hakedis Fatura Detay'!$F$3:$F$1200,"Fiyat Farkı")+SUMIFS('Hakedis Fatura Detay'!$G$3:$G$1200,'Hakedis Fatura Detay'!$H$3:$H$1200,'DIVA Satislari'!AJ374,'Hakedis Fatura Detay'!$F$3:$F$1200,"Bundle"))</f>
        <v/>
      </c>
      <c r="R374" s="28">
        <f>IF(A374="","",I374-Q374)</f>
        <v/>
      </c>
      <c r="S374" s="26">
        <f>IF(A374="","",IF(LEFT(P374,7)="Bekleni","N/A - Henüz Ödenmemeli",IF(LEFT(P374,4)="RİSK","İNCELEME GEREKLİ - Süre Aşımı",IF(R374=0,"Doğru",IF(R374&gt;0,"EKSİK ÖDENMİŞ","FAZLA ÖDENMİŞ")))))</f>
        <v/>
      </c>
      <c r="T374" s="30">
        <f>IF(A374="","",IF(F374&lt;&gt;"Evet","İNCELEME GEREKLİ - Kampanya Tanımsız",IF(G374&lt;&gt;"Evet","İNCELEME GEREKLİ - Tarih Dışı Satış",IF(LEFT(P374,4)="RİSK","İNCELEME GEREKLİ - Hakediş Süresi Aşıldı",IF(OR(S374="EKSİK ÖDENMİŞ",S374="FAZLA ÖDENMİŞ"),"İNCELEME GEREKLİ - Tutar Uyuşmazlığı",IF(LEFT(P374,7)="Bekleni","Bekleniyor","Uygun"))))))</f>
        <v/>
      </c>
    </row>
    <row r="375">
      <c r="A375" s="26">
        <f>IF('DIVA Satislari'!I375="","",'DIVA Satislari'!I375)</f>
        <v/>
      </c>
      <c r="B375" s="26">
        <f>IF('DIVA Satislari'!I375="","",'DIVA Satislari'!R375)</f>
        <v/>
      </c>
      <c r="C375" s="26">
        <f>IF('DIVA Satislari'!I375="","",'DIVA Satislari'!M375)</f>
        <v/>
      </c>
      <c r="D375" s="27">
        <f>IF('DIVA Satislari'!I375="","",'DIVA Satislari'!H375)</f>
        <v/>
      </c>
      <c r="E375" s="26">
        <f>IF('DIVA Satislari'!I375="","",'DIVA Satislari'!O375)</f>
        <v/>
      </c>
      <c r="F375" s="26">
        <f>IF('DIVA Satislari'!I375="","",'DIVA Satislari'!AK375)</f>
        <v/>
      </c>
      <c r="G375" s="26">
        <f>IF('DIVA Satislari'!I375="","",'DIVA Satislari'!AO375)</f>
        <v/>
      </c>
      <c r="H375" s="27">
        <f>IF('DIVA Satislari'!I375="","",'DIVA Satislari'!AN375)</f>
        <v/>
      </c>
      <c r="I375" s="28">
        <f>IF('DIVA Satislari'!I375="","",'DIVA Satislari'!AQ375)</f>
        <v/>
      </c>
      <c r="J375" s="26">
        <f>IF('DIVA Satislari'!I375="","",'DIVA Satislari'!AR375)</f>
        <v/>
      </c>
      <c r="K375" s="26">
        <f>IF('DIVA Satislari'!I375="","",IFERROR(INDEX('E2E Nakliye Montaj'!$AS$3:$AS$1002,MATCH('DIVA Satislari'!AJ375,'E2E Nakliye Montaj'!$AM$3:$AM$1002,0)),"Eşleşme Yok"))</f>
        <v/>
      </c>
      <c r="L375" s="26">
        <f>IF('DIVA Satislari'!I375="","",IFERROR(INDEX('E2E Nakliye Montaj'!$AT$3:$AT$1002,MATCH('DIVA Satislari'!AJ375,'E2E Nakliye Montaj'!$AM$3:$AM$1002,0)),"Hayır"))</f>
        <v/>
      </c>
      <c r="M375" s="26">
        <f>IF('DIVA Satislari'!I375="","",IFERROR(INDEX('E2E Nakliye Montaj'!$AU$3:$AU$1002,MATCH('DIVA Satislari'!AJ375,'E2E Nakliye Montaj'!$AM$3:$AM$1002,0)),"Hayır"))</f>
        <v/>
      </c>
      <c r="N375" s="27">
        <f>IF('DIVA Satislari'!I375="","",IFERROR(INDEX('E2E Nakliye Montaj'!$AV$3:$AV$1002,MATCH('DIVA Satislari'!AJ375,'E2E Nakliye Montaj'!$AM$3:$AM$1002,0)),""))</f>
        <v/>
      </c>
      <c r="O375" s="26">
        <f>IF(OR(A375="",N375=""),"",IF(N375&lt;=H375,"Evet","HAYIR - RİSK"))</f>
        <v/>
      </c>
      <c r="P375" s="26">
        <f>IF(A375="","",IF(LEFT(J375,8)="Kural A ","Uygun - Hemen Ödenir (Yıl Sonu %75 Kontrolüne Tabi)",IF(OR(L375="Evet",M375="Evet"),IF(O375="Evet","Uygun","RİSK - Hakediş Süresi Aşıldı"),"Bekleniyor - Nakliye/Montaj Tamamlanmadı")))</f>
        <v/>
      </c>
      <c r="Q375" s="28">
        <f>IF(A375="","",SUMIFS('Hakedis Fatura Detay'!$G$3:$G$1200,'Hakedis Fatura Detay'!$H$3:$H$1200,'DIVA Satislari'!AJ375,'Hakedis Fatura Detay'!$F$3:$F$1200,"Fiyat Farkı")+SUMIFS('Hakedis Fatura Detay'!$G$3:$G$1200,'Hakedis Fatura Detay'!$H$3:$H$1200,'DIVA Satislari'!AJ375,'Hakedis Fatura Detay'!$F$3:$F$1200,"Bundle"))</f>
        <v/>
      </c>
      <c r="R375" s="28">
        <f>IF(A375="","",I375-Q375)</f>
        <v/>
      </c>
      <c r="S375" s="26">
        <f>IF(A375="","",IF(LEFT(P375,7)="Bekleni","N/A - Henüz Ödenmemeli",IF(LEFT(P375,4)="RİSK","İNCELEME GEREKLİ - Süre Aşımı",IF(R375=0,"Doğru",IF(R375&gt;0,"EKSİK ÖDENMİŞ","FAZLA ÖDENMİŞ")))))</f>
        <v/>
      </c>
      <c r="T375" s="30">
        <f>IF(A375="","",IF(F375&lt;&gt;"Evet","İNCELEME GEREKLİ - Kampanya Tanımsız",IF(G375&lt;&gt;"Evet","İNCELEME GEREKLİ - Tarih Dışı Satış",IF(LEFT(P375,4)="RİSK","İNCELEME GEREKLİ - Hakediş Süresi Aşıldı",IF(OR(S375="EKSİK ÖDENMİŞ",S375="FAZLA ÖDENMİŞ"),"İNCELEME GEREKLİ - Tutar Uyuşmazlığı",IF(LEFT(P375,7)="Bekleni","Bekleniyor","Uygun"))))))</f>
        <v/>
      </c>
    </row>
    <row r="376">
      <c r="A376" s="26">
        <f>IF('DIVA Satislari'!I376="","",'DIVA Satislari'!I376)</f>
        <v/>
      </c>
      <c r="B376" s="26">
        <f>IF('DIVA Satislari'!I376="","",'DIVA Satislari'!R376)</f>
        <v/>
      </c>
      <c r="C376" s="26">
        <f>IF('DIVA Satislari'!I376="","",'DIVA Satislari'!M376)</f>
        <v/>
      </c>
      <c r="D376" s="27">
        <f>IF('DIVA Satislari'!I376="","",'DIVA Satislari'!H376)</f>
        <v/>
      </c>
      <c r="E376" s="26">
        <f>IF('DIVA Satislari'!I376="","",'DIVA Satislari'!O376)</f>
        <v/>
      </c>
      <c r="F376" s="26">
        <f>IF('DIVA Satislari'!I376="","",'DIVA Satislari'!AK376)</f>
        <v/>
      </c>
      <c r="G376" s="26">
        <f>IF('DIVA Satislari'!I376="","",'DIVA Satislari'!AO376)</f>
        <v/>
      </c>
      <c r="H376" s="27">
        <f>IF('DIVA Satislari'!I376="","",'DIVA Satislari'!AN376)</f>
        <v/>
      </c>
      <c r="I376" s="28">
        <f>IF('DIVA Satislari'!I376="","",'DIVA Satislari'!AQ376)</f>
        <v/>
      </c>
      <c r="J376" s="26">
        <f>IF('DIVA Satislari'!I376="","",'DIVA Satislari'!AR376)</f>
        <v/>
      </c>
      <c r="K376" s="26">
        <f>IF('DIVA Satislari'!I376="","",IFERROR(INDEX('E2E Nakliye Montaj'!$AS$3:$AS$1002,MATCH('DIVA Satislari'!AJ376,'E2E Nakliye Montaj'!$AM$3:$AM$1002,0)),"Eşleşme Yok"))</f>
        <v/>
      </c>
      <c r="L376" s="26">
        <f>IF('DIVA Satislari'!I376="","",IFERROR(INDEX('E2E Nakliye Montaj'!$AT$3:$AT$1002,MATCH('DIVA Satislari'!AJ376,'E2E Nakliye Montaj'!$AM$3:$AM$1002,0)),"Hayır"))</f>
        <v/>
      </c>
      <c r="M376" s="26">
        <f>IF('DIVA Satislari'!I376="","",IFERROR(INDEX('E2E Nakliye Montaj'!$AU$3:$AU$1002,MATCH('DIVA Satislari'!AJ376,'E2E Nakliye Montaj'!$AM$3:$AM$1002,0)),"Hayır"))</f>
        <v/>
      </c>
      <c r="N376" s="27">
        <f>IF('DIVA Satislari'!I376="","",IFERROR(INDEX('E2E Nakliye Montaj'!$AV$3:$AV$1002,MATCH('DIVA Satislari'!AJ376,'E2E Nakliye Montaj'!$AM$3:$AM$1002,0)),""))</f>
        <v/>
      </c>
      <c r="O376" s="26">
        <f>IF(OR(A376="",N376=""),"",IF(N376&lt;=H376,"Evet","HAYIR - RİSK"))</f>
        <v/>
      </c>
      <c r="P376" s="26">
        <f>IF(A376="","",IF(LEFT(J376,8)="Kural A ","Uygun - Hemen Ödenir (Yıl Sonu %75 Kontrolüne Tabi)",IF(OR(L376="Evet",M376="Evet"),IF(O376="Evet","Uygun","RİSK - Hakediş Süresi Aşıldı"),"Bekleniyor - Nakliye/Montaj Tamamlanmadı")))</f>
        <v/>
      </c>
      <c r="Q376" s="28">
        <f>IF(A376="","",SUMIFS('Hakedis Fatura Detay'!$G$3:$G$1200,'Hakedis Fatura Detay'!$H$3:$H$1200,'DIVA Satislari'!AJ376,'Hakedis Fatura Detay'!$F$3:$F$1200,"Fiyat Farkı")+SUMIFS('Hakedis Fatura Detay'!$G$3:$G$1200,'Hakedis Fatura Detay'!$H$3:$H$1200,'DIVA Satislari'!AJ376,'Hakedis Fatura Detay'!$F$3:$F$1200,"Bundle"))</f>
        <v/>
      </c>
      <c r="R376" s="28">
        <f>IF(A376="","",I376-Q376)</f>
        <v/>
      </c>
      <c r="S376" s="26">
        <f>IF(A376="","",IF(LEFT(P376,7)="Bekleni","N/A - Henüz Ödenmemeli",IF(LEFT(P376,4)="RİSK","İNCELEME GEREKLİ - Süre Aşımı",IF(R376=0,"Doğru",IF(R376&gt;0,"EKSİK ÖDENMİŞ","FAZLA ÖDENMİŞ")))))</f>
        <v/>
      </c>
      <c r="T376" s="30">
        <f>IF(A376="","",IF(F376&lt;&gt;"Evet","İNCELEME GEREKLİ - Kampanya Tanımsız",IF(G376&lt;&gt;"Evet","İNCELEME GEREKLİ - Tarih Dışı Satış",IF(LEFT(P376,4)="RİSK","İNCELEME GEREKLİ - Hakediş Süresi Aşıldı",IF(OR(S376="EKSİK ÖDENMİŞ",S376="FAZLA ÖDENMİŞ"),"İNCELEME GEREKLİ - Tutar Uyuşmazlığı",IF(LEFT(P376,7)="Bekleni","Bekleniyor","Uygun"))))))</f>
        <v/>
      </c>
    </row>
    <row r="377">
      <c r="A377" s="26">
        <f>IF('DIVA Satislari'!I377="","",'DIVA Satislari'!I377)</f>
        <v/>
      </c>
      <c r="B377" s="26">
        <f>IF('DIVA Satislari'!I377="","",'DIVA Satislari'!R377)</f>
        <v/>
      </c>
      <c r="C377" s="26">
        <f>IF('DIVA Satislari'!I377="","",'DIVA Satislari'!M377)</f>
        <v/>
      </c>
      <c r="D377" s="27">
        <f>IF('DIVA Satislari'!I377="","",'DIVA Satislari'!H377)</f>
        <v/>
      </c>
      <c r="E377" s="26">
        <f>IF('DIVA Satislari'!I377="","",'DIVA Satislari'!O377)</f>
        <v/>
      </c>
      <c r="F377" s="26">
        <f>IF('DIVA Satislari'!I377="","",'DIVA Satislari'!AK377)</f>
        <v/>
      </c>
      <c r="G377" s="26">
        <f>IF('DIVA Satislari'!I377="","",'DIVA Satislari'!AO377)</f>
        <v/>
      </c>
      <c r="H377" s="27">
        <f>IF('DIVA Satislari'!I377="","",'DIVA Satislari'!AN377)</f>
        <v/>
      </c>
      <c r="I377" s="28">
        <f>IF('DIVA Satislari'!I377="","",'DIVA Satislari'!AQ377)</f>
        <v/>
      </c>
      <c r="J377" s="26">
        <f>IF('DIVA Satislari'!I377="","",'DIVA Satislari'!AR377)</f>
        <v/>
      </c>
      <c r="K377" s="26">
        <f>IF('DIVA Satislari'!I377="","",IFERROR(INDEX('E2E Nakliye Montaj'!$AS$3:$AS$1002,MATCH('DIVA Satislari'!AJ377,'E2E Nakliye Montaj'!$AM$3:$AM$1002,0)),"Eşleşme Yok"))</f>
        <v/>
      </c>
      <c r="L377" s="26">
        <f>IF('DIVA Satislari'!I377="","",IFERROR(INDEX('E2E Nakliye Montaj'!$AT$3:$AT$1002,MATCH('DIVA Satislari'!AJ377,'E2E Nakliye Montaj'!$AM$3:$AM$1002,0)),"Hayır"))</f>
        <v/>
      </c>
      <c r="M377" s="26">
        <f>IF('DIVA Satislari'!I377="","",IFERROR(INDEX('E2E Nakliye Montaj'!$AU$3:$AU$1002,MATCH('DIVA Satislari'!AJ377,'E2E Nakliye Montaj'!$AM$3:$AM$1002,0)),"Hayır"))</f>
        <v/>
      </c>
      <c r="N377" s="27">
        <f>IF('DIVA Satislari'!I377="","",IFERROR(INDEX('E2E Nakliye Montaj'!$AV$3:$AV$1002,MATCH('DIVA Satislari'!AJ377,'E2E Nakliye Montaj'!$AM$3:$AM$1002,0)),""))</f>
        <v/>
      </c>
      <c r="O377" s="26">
        <f>IF(OR(A377="",N377=""),"",IF(N377&lt;=H377,"Evet","HAYIR - RİSK"))</f>
        <v/>
      </c>
      <c r="P377" s="26">
        <f>IF(A377="","",IF(LEFT(J377,8)="Kural A ","Uygun - Hemen Ödenir (Yıl Sonu %75 Kontrolüne Tabi)",IF(OR(L377="Evet",M377="Evet"),IF(O377="Evet","Uygun","RİSK - Hakediş Süresi Aşıldı"),"Bekleniyor - Nakliye/Montaj Tamamlanmadı")))</f>
        <v/>
      </c>
      <c r="Q377" s="28">
        <f>IF(A377="","",SUMIFS('Hakedis Fatura Detay'!$G$3:$G$1200,'Hakedis Fatura Detay'!$H$3:$H$1200,'DIVA Satislari'!AJ377,'Hakedis Fatura Detay'!$F$3:$F$1200,"Fiyat Farkı")+SUMIFS('Hakedis Fatura Detay'!$G$3:$G$1200,'Hakedis Fatura Detay'!$H$3:$H$1200,'DIVA Satislari'!AJ377,'Hakedis Fatura Detay'!$F$3:$F$1200,"Bundle"))</f>
        <v/>
      </c>
      <c r="R377" s="28">
        <f>IF(A377="","",I377-Q377)</f>
        <v/>
      </c>
      <c r="S377" s="26">
        <f>IF(A377="","",IF(LEFT(P377,7)="Bekleni","N/A - Henüz Ödenmemeli",IF(LEFT(P377,4)="RİSK","İNCELEME GEREKLİ - Süre Aşımı",IF(R377=0,"Doğru",IF(R377&gt;0,"EKSİK ÖDENMİŞ","FAZLA ÖDENMİŞ")))))</f>
        <v/>
      </c>
      <c r="T377" s="30">
        <f>IF(A377="","",IF(F377&lt;&gt;"Evet","İNCELEME GEREKLİ - Kampanya Tanımsız",IF(G377&lt;&gt;"Evet","İNCELEME GEREKLİ - Tarih Dışı Satış",IF(LEFT(P377,4)="RİSK","İNCELEME GEREKLİ - Hakediş Süresi Aşıldı",IF(OR(S377="EKSİK ÖDENMİŞ",S377="FAZLA ÖDENMİŞ"),"İNCELEME GEREKLİ - Tutar Uyuşmazlığı",IF(LEFT(P377,7)="Bekleni","Bekleniyor","Uygun"))))))</f>
        <v/>
      </c>
    </row>
    <row r="378">
      <c r="A378" s="26">
        <f>IF('DIVA Satislari'!I378="","",'DIVA Satislari'!I378)</f>
        <v/>
      </c>
      <c r="B378" s="26">
        <f>IF('DIVA Satislari'!I378="","",'DIVA Satislari'!R378)</f>
        <v/>
      </c>
      <c r="C378" s="26">
        <f>IF('DIVA Satislari'!I378="","",'DIVA Satislari'!M378)</f>
        <v/>
      </c>
      <c r="D378" s="27">
        <f>IF('DIVA Satislari'!I378="","",'DIVA Satislari'!H378)</f>
        <v/>
      </c>
      <c r="E378" s="26">
        <f>IF('DIVA Satislari'!I378="","",'DIVA Satislari'!O378)</f>
        <v/>
      </c>
      <c r="F378" s="26">
        <f>IF('DIVA Satislari'!I378="","",'DIVA Satislari'!AK378)</f>
        <v/>
      </c>
      <c r="G378" s="26">
        <f>IF('DIVA Satislari'!I378="","",'DIVA Satislari'!AO378)</f>
        <v/>
      </c>
      <c r="H378" s="27">
        <f>IF('DIVA Satislari'!I378="","",'DIVA Satislari'!AN378)</f>
        <v/>
      </c>
      <c r="I378" s="28">
        <f>IF('DIVA Satislari'!I378="","",'DIVA Satislari'!AQ378)</f>
        <v/>
      </c>
      <c r="J378" s="26">
        <f>IF('DIVA Satislari'!I378="","",'DIVA Satislari'!AR378)</f>
        <v/>
      </c>
      <c r="K378" s="26">
        <f>IF('DIVA Satislari'!I378="","",IFERROR(INDEX('E2E Nakliye Montaj'!$AS$3:$AS$1002,MATCH('DIVA Satislari'!AJ378,'E2E Nakliye Montaj'!$AM$3:$AM$1002,0)),"Eşleşme Yok"))</f>
        <v/>
      </c>
      <c r="L378" s="26">
        <f>IF('DIVA Satislari'!I378="","",IFERROR(INDEX('E2E Nakliye Montaj'!$AT$3:$AT$1002,MATCH('DIVA Satislari'!AJ378,'E2E Nakliye Montaj'!$AM$3:$AM$1002,0)),"Hayır"))</f>
        <v/>
      </c>
      <c r="M378" s="26">
        <f>IF('DIVA Satislari'!I378="","",IFERROR(INDEX('E2E Nakliye Montaj'!$AU$3:$AU$1002,MATCH('DIVA Satislari'!AJ378,'E2E Nakliye Montaj'!$AM$3:$AM$1002,0)),"Hayır"))</f>
        <v/>
      </c>
      <c r="N378" s="27">
        <f>IF('DIVA Satislari'!I378="","",IFERROR(INDEX('E2E Nakliye Montaj'!$AV$3:$AV$1002,MATCH('DIVA Satislari'!AJ378,'E2E Nakliye Montaj'!$AM$3:$AM$1002,0)),""))</f>
        <v/>
      </c>
      <c r="O378" s="26">
        <f>IF(OR(A378="",N378=""),"",IF(N378&lt;=H378,"Evet","HAYIR - RİSK"))</f>
        <v/>
      </c>
      <c r="P378" s="26">
        <f>IF(A378="","",IF(LEFT(J378,8)="Kural A ","Uygun - Hemen Ödenir (Yıl Sonu %75 Kontrolüne Tabi)",IF(OR(L378="Evet",M378="Evet"),IF(O378="Evet","Uygun","RİSK - Hakediş Süresi Aşıldı"),"Bekleniyor - Nakliye/Montaj Tamamlanmadı")))</f>
        <v/>
      </c>
      <c r="Q378" s="28">
        <f>IF(A378="","",SUMIFS('Hakedis Fatura Detay'!$G$3:$G$1200,'Hakedis Fatura Detay'!$H$3:$H$1200,'DIVA Satislari'!AJ378,'Hakedis Fatura Detay'!$F$3:$F$1200,"Fiyat Farkı")+SUMIFS('Hakedis Fatura Detay'!$G$3:$G$1200,'Hakedis Fatura Detay'!$H$3:$H$1200,'DIVA Satislari'!AJ378,'Hakedis Fatura Detay'!$F$3:$F$1200,"Bundle"))</f>
        <v/>
      </c>
      <c r="R378" s="28">
        <f>IF(A378="","",I378-Q378)</f>
        <v/>
      </c>
      <c r="S378" s="26">
        <f>IF(A378="","",IF(LEFT(P378,7)="Bekleni","N/A - Henüz Ödenmemeli",IF(LEFT(P378,4)="RİSK","İNCELEME GEREKLİ - Süre Aşımı",IF(R378=0,"Doğru",IF(R378&gt;0,"EKSİK ÖDENMİŞ","FAZLA ÖDENMİŞ")))))</f>
        <v/>
      </c>
      <c r="T378" s="30">
        <f>IF(A378="","",IF(F378&lt;&gt;"Evet","İNCELEME GEREKLİ - Kampanya Tanımsız",IF(G378&lt;&gt;"Evet","İNCELEME GEREKLİ - Tarih Dışı Satış",IF(LEFT(P378,4)="RİSK","İNCELEME GEREKLİ - Hakediş Süresi Aşıldı",IF(OR(S378="EKSİK ÖDENMİŞ",S378="FAZLA ÖDENMİŞ"),"İNCELEME GEREKLİ - Tutar Uyuşmazlığı",IF(LEFT(P378,7)="Bekleni","Bekleniyor","Uygun"))))))</f>
        <v/>
      </c>
    </row>
    <row r="379">
      <c r="A379" s="26">
        <f>IF('DIVA Satislari'!I379="","",'DIVA Satislari'!I379)</f>
        <v/>
      </c>
      <c r="B379" s="26">
        <f>IF('DIVA Satislari'!I379="","",'DIVA Satislari'!R379)</f>
        <v/>
      </c>
      <c r="C379" s="26">
        <f>IF('DIVA Satislari'!I379="","",'DIVA Satislari'!M379)</f>
        <v/>
      </c>
      <c r="D379" s="27">
        <f>IF('DIVA Satislari'!I379="","",'DIVA Satislari'!H379)</f>
        <v/>
      </c>
      <c r="E379" s="26">
        <f>IF('DIVA Satislari'!I379="","",'DIVA Satislari'!O379)</f>
        <v/>
      </c>
      <c r="F379" s="26">
        <f>IF('DIVA Satislari'!I379="","",'DIVA Satislari'!AK379)</f>
        <v/>
      </c>
      <c r="G379" s="26">
        <f>IF('DIVA Satislari'!I379="","",'DIVA Satislari'!AO379)</f>
        <v/>
      </c>
      <c r="H379" s="27">
        <f>IF('DIVA Satislari'!I379="","",'DIVA Satislari'!AN379)</f>
        <v/>
      </c>
      <c r="I379" s="28">
        <f>IF('DIVA Satislari'!I379="","",'DIVA Satislari'!AQ379)</f>
        <v/>
      </c>
      <c r="J379" s="26">
        <f>IF('DIVA Satislari'!I379="","",'DIVA Satislari'!AR379)</f>
        <v/>
      </c>
      <c r="K379" s="26">
        <f>IF('DIVA Satislari'!I379="","",IFERROR(INDEX('E2E Nakliye Montaj'!$AS$3:$AS$1002,MATCH('DIVA Satislari'!AJ379,'E2E Nakliye Montaj'!$AM$3:$AM$1002,0)),"Eşleşme Yok"))</f>
        <v/>
      </c>
      <c r="L379" s="26">
        <f>IF('DIVA Satislari'!I379="","",IFERROR(INDEX('E2E Nakliye Montaj'!$AT$3:$AT$1002,MATCH('DIVA Satislari'!AJ379,'E2E Nakliye Montaj'!$AM$3:$AM$1002,0)),"Hayır"))</f>
        <v/>
      </c>
      <c r="M379" s="26">
        <f>IF('DIVA Satislari'!I379="","",IFERROR(INDEX('E2E Nakliye Montaj'!$AU$3:$AU$1002,MATCH('DIVA Satislari'!AJ379,'E2E Nakliye Montaj'!$AM$3:$AM$1002,0)),"Hayır"))</f>
        <v/>
      </c>
      <c r="N379" s="27">
        <f>IF('DIVA Satislari'!I379="","",IFERROR(INDEX('E2E Nakliye Montaj'!$AV$3:$AV$1002,MATCH('DIVA Satislari'!AJ379,'E2E Nakliye Montaj'!$AM$3:$AM$1002,0)),""))</f>
        <v/>
      </c>
      <c r="O379" s="26">
        <f>IF(OR(A379="",N379=""),"",IF(N379&lt;=H379,"Evet","HAYIR - RİSK"))</f>
        <v/>
      </c>
      <c r="P379" s="26">
        <f>IF(A379="","",IF(LEFT(J379,8)="Kural A ","Uygun - Hemen Ödenir (Yıl Sonu %75 Kontrolüne Tabi)",IF(OR(L379="Evet",M379="Evet"),IF(O379="Evet","Uygun","RİSK - Hakediş Süresi Aşıldı"),"Bekleniyor - Nakliye/Montaj Tamamlanmadı")))</f>
        <v/>
      </c>
      <c r="Q379" s="28">
        <f>IF(A379="","",SUMIFS('Hakedis Fatura Detay'!$G$3:$G$1200,'Hakedis Fatura Detay'!$H$3:$H$1200,'DIVA Satislari'!AJ379,'Hakedis Fatura Detay'!$F$3:$F$1200,"Fiyat Farkı")+SUMIFS('Hakedis Fatura Detay'!$G$3:$G$1200,'Hakedis Fatura Detay'!$H$3:$H$1200,'DIVA Satislari'!AJ379,'Hakedis Fatura Detay'!$F$3:$F$1200,"Bundle"))</f>
        <v/>
      </c>
      <c r="R379" s="28">
        <f>IF(A379="","",I379-Q379)</f>
        <v/>
      </c>
      <c r="S379" s="26">
        <f>IF(A379="","",IF(LEFT(P379,7)="Bekleni","N/A - Henüz Ödenmemeli",IF(LEFT(P379,4)="RİSK","İNCELEME GEREKLİ - Süre Aşımı",IF(R379=0,"Doğru",IF(R379&gt;0,"EKSİK ÖDENMİŞ","FAZLA ÖDENMİŞ")))))</f>
        <v/>
      </c>
      <c r="T379" s="30">
        <f>IF(A379="","",IF(F379&lt;&gt;"Evet","İNCELEME GEREKLİ - Kampanya Tanımsız",IF(G379&lt;&gt;"Evet","İNCELEME GEREKLİ - Tarih Dışı Satış",IF(LEFT(P379,4)="RİSK","İNCELEME GEREKLİ - Hakediş Süresi Aşıldı",IF(OR(S379="EKSİK ÖDENMİŞ",S379="FAZLA ÖDENMİŞ"),"İNCELEME GEREKLİ - Tutar Uyuşmazlığı",IF(LEFT(P379,7)="Bekleni","Bekleniyor","Uygun"))))))</f>
        <v/>
      </c>
    </row>
    <row r="380">
      <c r="A380" s="26">
        <f>IF('DIVA Satislari'!I380="","",'DIVA Satislari'!I380)</f>
        <v/>
      </c>
      <c r="B380" s="26">
        <f>IF('DIVA Satislari'!I380="","",'DIVA Satislari'!R380)</f>
        <v/>
      </c>
      <c r="C380" s="26">
        <f>IF('DIVA Satislari'!I380="","",'DIVA Satislari'!M380)</f>
        <v/>
      </c>
      <c r="D380" s="27">
        <f>IF('DIVA Satislari'!I380="","",'DIVA Satislari'!H380)</f>
        <v/>
      </c>
      <c r="E380" s="26">
        <f>IF('DIVA Satislari'!I380="","",'DIVA Satislari'!O380)</f>
        <v/>
      </c>
      <c r="F380" s="26">
        <f>IF('DIVA Satislari'!I380="","",'DIVA Satislari'!AK380)</f>
        <v/>
      </c>
      <c r="G380" s="26">
        <f>IF('DIVA Satislari'!I380="","",'DIVA Satislari'!AO380)</f>
        <v/>
      </c>
      <c r="H380" s="27">
        <f>IF('DIVA Satislari'!I380="","",'DIVA Satislari'!AN380)</f>
        <v/>
      </c>
      <c r="I380" s="28">
        <f>IF('DIVA Satislari'!I380="","",'DIVA Satislari'!AQ380)</f>
        <v/>
      </c>
      <c r="J380" s="26">
        <f>IF('DIVA Satislari'!I380="","",'DIVA Satislari'!AR380)</f>
        <v/>
      </c>
      <c r="K380" s="26">
        <f>IF('DIVA Satislari'!I380="","",IFERROR(INDEX('E2E Nakliye Montaj'!$AS$3:$AS$1002,MATCH('DIVA Satislari'!AJ380,'E2E Nakliye Montaj'!$AM$3:$AM$1002,0)),"Eşleşme Yok"))</f>
        <v/>
      </c>
      <c r="L380" s="26">
        <f>IF('DIVA Satislari'!I380="","",IFERROR(INDEX('E2E Nakliye Montaj'!$AT$3:$AT$1002,MATCH('DIVA Satislari'!AJ380,'E2E Nakliye Montaj'!$AM$3:$AM$1002,0)),"Hayır"))</f>
        <v/>
      </c>
      <c r="M380" s="26">
        <f>IF('DIVA Satislari'!I380="","",IFERROR(INDEX('E2E Nakliye Montaj'!$AU$3:$AU$1002,MATCH('DIVA Satislari'!AJ380,'E2E Nakliye Montaj'!$AM$3:$AM$1002,0)),"Hayır"))</f>
        <v/>
      </c>
      <c r="N380" s="27">
        <f>IF('DIVA Satislari'!I380="","",IFERROR(INDEX('E2E Nakliye Montaj'!$AV$3:$AV$1002,MATCH('DIVA Satislari'!AJ380,'E2E Nakliye Montaj'!$AM$3:$AM$1002,0)),""))</f>
        <v/>
      </c>
      <c r="O380" s="26">
        <f>IF(OR(A380="",N380=""),"",IF(N380&lt;=H380,"Evet","HAYIR - RİSK"))</f>
        <v/>
      </c>
      <c r="P380" s="26">
        <f>IF(A380="","",IF(LEFT(J380,8)="Kural A ","Uygun - Hemen Ödenir (Yıl Sonu %75 Kontrolüne Tabi)",IF(OR(L380="Evet",M380="Evet"),IF(O380="Evet","Uygun","RİSK - Hakediş Süresi Aşıldı"),"Bekleniyor - Nakliye/Montaj Tamamlanmadı")))</f>
        <v/>
      </c>
      <c r="Q380" s="28">
        <f>IF(A380="","",SUMIFS('Hakedis Fatura Detay'!$G$3:$G$1200,'Hakedis Fatura Detay'!$H$3:$H$1200,'DIVA Satislari'!AJ380,'Hakedis Fatura Detay'!$F$3:$F$1200,"Fiyat Farkı")+SUMIFS('Hakedis Fatura Detay'!$G$3:$G$1200,'Hakedis Fatura Detay'!$H$3:$H$1200,'DIVA Satislari'!AJ380,'Hakedis Fatura Detay'!$F$3:$F$1200,"Bundle"))</f>
        <v/>
      </c>
      <c r="R380" s="28">
        <f>IF(A380="","",I380-Q380)</f>
        <v/>
      </c>
      <c r="S380" s="26">
        <f>IF(A380="","",IF(LEFT(P380,7)="Bekleni","N/A - Henüz Ödenmemeli",IF(LEFT(P380,4)="RİSK","İNCELEME GEREKLİ - Süre Aşımı",IF(R380=0,"Doğru",IF(R380&gt;0,"EKSİK ÖDENMİŞ","FAZLA ÖDENMİŞ")))))</f>
        <v/>
      </c>
      <c r="T380" s="30">
        <f>IF(A380="","",IF(F380&lt;&gt;"Evet","İNCELEME GEREKLİ - Kampanya Tanımsız",IF(G380&lt;&gt;"Evet","İNCELEME GEREKLİ - Tarih Dışı Satış",IF(LEFT(P380,4)="RİSK","İNCELEME GEREKLİ - Hakediş Süresi Aşıldı",IF(OR(S380="EKSİK ÖDENMİŞ",S380="FAZLA ÖDENMİŞ"),"İNCELEME GEREKLİ - Tutar Uyuşmazlığı",IF(LEFT(P380,7)="Bekleni","Bekleniyor","Uygun"))))))</f>
        <v/>
      </c>
    </row>
    <row r="381">
      <c r="A381" s="26">
        <f>IF('DIVA Satislari'!I381="","",'DIVA Satislari'!I381)</f>
        <v/>
      </c>
      <c r="B381" s="26">
        <f>IF('DIVA Satislari'!I381="","",'DIVA Satislari'!R381)</f>
        <v/>
      </c>
      <c r="C381" s="26">
        <f>IF('DIVA Satislari'!I381="","",'DIVA Satislari'!M381)</f>
        <v/>
      </c>
      <c r="D381" s="27">
        <f>IF('DIVA Satislari'!I381="","",'DIVA Satislari'!H381)</f>
        <v/>
      </c>
      <c r="E381" s="26">
        <f>IF('DIVA Satislari'!I381="","",'DIVA Satislari'!O381)</f>
        <v/>
      </c>
      <c r="F381" s="26">
        <f>IF('DIVA Satislari'!I381="","",'DIVA Satislari'!AK381)</f>
        <v/>
      </c>
      <c r="G381" s="26">
        <f>IF('DIVA Satislari'!I381="","",'DIVA Satislari'!AO381)</f>
        <v/>
      </c>
      <c r="H381" s="27">
        <f>IF('DIVA Satislari'!I381="","",'DIVA Satislari'!AN381)</f>
        <v/>
      </c>
      <c r="I381" s="28">
        <f>IF('DIVA Satislari'!I381="","",'DIVA Satislari'!AQ381)</f>
        <v/>
      </c>
      <c r="J381" s="26">
        <f>IF('DIVA Satislari'!I381="","",'DIVA Satislari'!AR381)</f>
        <v/>
      </c>
      <c r="K381" s="26">
        <f>IF('DIVA Satislari'!I381="","",IFERROR(INDEX('E2E Nakliye Montaj'!$AS$3:$AS$1002,MATCH('DIVA Satislari'!AJ381,'E2E Nakliye Montaj'!$AM$3:$AM$1002,0)),"Eşleşme Yok"))</f>
        <v/>
      </c>
      <c r="L381" s="26">
        <f>IF('DIVA Satislari'!I381="","",IFERROR(INDEX('E2E Nakliye Montaj'!$AT$3:$AT$1002,MATCH('DIVA Satislari'!AJ381,'E2E Nakliye Montaj'!$AM$3:$AM$1002,0)),"Hayır"))</f>
        <v/>
      </c>
      <c r="M381" s="26">
        <f>IF('DIVA Satislari'!I381="","",IFERROR(INDEX('E2E Nakliye Montaj'!$AU$3:$AU$1002,MATCH('DIVA Satislari'!AJ381,'E2E Nakliye Montaj'!$AM$3:$AM$1002,0)),"Hayır"))</f>
        <v/>
      </c>
      <c r="N381" s="27">
        <f>IF('DIVA Satislari'!I381="","",IFERROR(INDEX('E2E Nakliye Montaj'!$AV$3:$AV$1002,MATCH('DIVA Satislari'!AJ381,'E2E Nakliye Montaj'!$AM$3:$AM$1002,0)),""))</f>
        <v/>
      </c>
      <c r="O381" s="26">
        <f>IF(OR(A381="",N381=""),"",IF(N381&lt;=H381,"Evet","HAYIR - RİSK"))</f>
        <v/>
      </c>
      <c r="P381" s="26">
        <f>IF(A381="","",IF(LEFT(J381,8)="Kural A ","Uygun - Hemen Ödenir (Yıl Sonu %75 Kontrolüne Tabi)",IF(OR(L381="Evet",M381="Evet"),IF(O381="Evet","Uygun","RİSK - Hakediş Süresi Aşıldı"),"Bekleniyor - Nakliye/Montaj Tamamlanmadı")))</f>
        <v/>
      </c>
      <c r="Q381" s="28">
        <f>IF(A381="","",SUMIFS('Hakedis Fatura Detay'!$G$3:$G$1200,'Hakedis Fatura Detay'!$H$3:$H$1200,'DIVA Satislari'!AJ381,'Hakedis Fatura Detay'!$F$3:$F$1200,"Fiyat Farkı")+SUMIFS('Hakedis Fatura Detay'!$G$3:$G$1200,'Hakedis Fatura Detay'!$H$3:$H$1200,'DIVA Satislari'!AJ381,'Hakedis Fatura Detay'!$F$3:$F$1200,"Bundle"))</f>
        <v/>
      </c>
      <c r="R381" s="28">
        <f>IF(A381="","",I381-Q381)</f>
        <v/>
      </c>
      <c r="S381" s="26">
        <f>IF(A381="","",IF(LEFT(P381,7)="Bekleni","N/A - Henüz Ödenmemeli",IF(LEFT(P381,4)="RİSK","İNCELEME GEREKLİ - Süre Aşımı",IF(R381=0,"Doğru",IF(R381&gt;0,"EKSİK ÖDENMİŞ","FAZLA ÖDENMİŞ")))))</f>
        <v/>
      </c>
      <c r="T381" s="30">
        <f>IF(A381="","",IF(F381&lt;&gt;"Evet","İNCELEME GEREKLİ - Kampanya Tanımsız",IF(G381&lt;&gt;"Evet","İNCELEME GEREKLİ - Tarih Dışı Satış",IF(LEFT(P381,4)="RİSK","İNCELEME GEREKLİ - Hakediş Süresi Aşıldı",IF(OR(S381="EKSİK ÖDENMİŞ",S381="FAZLA ÖDENMİŞ"),"İNCELEME GEREKLİ - Tutar Uyuşmazlığı",IF(LEFT(P381,7)="Bekleni","Bekleniyor","Uygun"))))))</f>
        <v/>
      </c>
    </row>
    <row r="382">
      <c r="A382" s="26">
        <f>IF('DIVA Satislari'!I382="","",'DIVA Satislari'!I382)</f>
        <v/>
      </c>
      <c r="B382" s="26">
        <f>IF('DIVA Satislari'!I382="","",'DIVA Satislari'!R382)</f>
        <v/>
      </c>
      <c r="C382" s="26">
        <f>IF('DIVA Satislari'!I382="","",'DIVA Satislari'!M382)</f>
        <v/>
      </c>
      <c r="D382" s="27">
        <f>IF('DIVA Satislari'!I382="","",'DIVA Satislari'!H382)</f>
        <v/>
      </c>
      <c r="E382" s="26">
        <f>IF('DIVA Satislari'!I382="","",'DIVA Satislari'!O382)</f>
        <v/>
      </c>
      <c r="F382" s="26">
        <f>IF('DIVA Satislari'!I382="","",'DIVA Satislari'!AK382)</f>
        <v/>
      </c>
      <c r="G382" s="26">
        <f>IF('DIVA Satislari'!I382="","",'DIVA Satislari'!AO382)</f>
        <v/>
      </c>
      <c r="H382" s="27">
        <f>IF('DIVA Satislari'!I382="","",'DIVA Satislari'!AN382)</f>
        <v/>
      </c>
      <c r="I382" s="28">
        <f>IF('DIVA Satislari'!I382="","",'DIVA Satislari'!AQ382)</f>
        <v/>
      </c>
      <c r="J382" s="26">
        <f>IF('DIVA Satislari'!I382="","",'DIVA Satislari'!AR382)</f>
        <v/>
      </c>
      <c r="K382" s="26">
        <f>IF('DIVA Satislari'!I382="","",IFERROR(INDEX('E2E Nakliye Montaj'!$AS$3:$AS$1002,MATCH('DIVA Satislari'!AJ382,'E2E Nakliye Montaj'!$AM$3:$AM$1002,0)),"Eşleşme Yok"))</f>
        <v/>
      </c>
      <c r="L382" s="26">
        <f>IF('DIVA Satislari'!I382="","",IFERROR(INDEX('E2E Nakliye Montaj'!$AT$3:$AT$1002,MATCH('DIVA Satislari'!AJ382,'E2E Nakliye Montaj'!$AM$3:$AM$1002,0)),"Hayır"))</f>
        <v/>
      </c>
      <c r="M382" s="26">
        <f>IF('DIVA Satislari'!I382="","",IFERROR(INDEX('E2E Nakliye Montaj'!$AU$3:$AU$1002,MATCH('DIVA Satislari'!AJ382,'E2E Nakliye Montaj'!$AM$3:$AM$1002,0)),"Hayır"))</f>
        <v/>
      </c>
      <c r="N382" s="27">
        <f>IF('DIVA Satislari'!I382="","",IFERROR(INDEX('E2E Nakliye Montaj'!$AV$3:$AV$1002,MATCH('DIVA Satislari'!AJ382,'E2E Nakliye Montaj'!$AM$3:$AM$1002,0)),""))</f>
        <v/>
      </c>
      <c r="O382" s="26">
        <f>IF(OR(A382="",N382=""),"",IF(N382&lt;=H382,"Evet","HAYIR - RİSK"))</f>
        <v/>
      </c>
      <c r="P382" s="26">
        <f>IF(A382="","",IF(LEFT(J382,8)="Kural A ","Uygun - Hemen Ödenir (Yıl Sonu %75 Kontrolüne Tabi)",IF(OR(L382="Evet",M382="Evet"),IF(O382="Evet","Uygun","RİSK - Hakediş Süresi Aşıldı"),"Bekleniyor - Nakliye/Montaj Tamamlanmadı")))</f>
        <v/>
      </c>
      <c r="Q382" s="28">
        <f>IF(A382="","",SUMIFS('Hakedis Fatura Detay'!$G$3:$G$1200,'Hakedis Fatura Detay'!$H$3:$H$1200,'DIVA Satislari'!AJ382,'Hakedis Fatura Detay'!$F$3:$F$1200,"Fiyat Farkı")+SUMIFS('Hakedis Fatura Detay'!$G$3:$G$1200,'Hakedis Fatura Detay'!$H$3:$H$1200,'DIVA Satislari'!AJ382,'Hakedis Fatura Detay'!$F$3:$F$1200,"Bundle"))</f>
        <v/>
      </c>
      <c r="R382" s="28">
        <f>IF(A382="","",I382-Q382)</f>
        <v/>
      </c>
      <c r="S382" s="26">
        <f>IF(A382="","",IF(LEFT(P382,7)="Bekleni","N/A - Henüz Ödenmemeli",IF(LEFT(P382,4)="RİSK","İNCELEME GEREKLİ - Süre Aşımı",IF(R382=0,"Doğru",IF(R382&gt;0,"EKSİK ÖDENMİŞ","FAZLA ÖDENMİŞ")))))</f>
        <v/>
      </c>
      <c r="T382" s="30">
        <f>IF(A382="","",IF(F382&lt;&gt;"Evet","İNCELEME GEREKLİ - Kampanya Tanımsız",IF(G382&lt;&gt;"Evet","İNCELEME GEREKLİ - Tarih Dışı Satış",IF(LEFT(P382,4)="RİSK","İNCELEME GEREKLİ - Hakediş Süresi Aşıldı",IF(OR(S382="EKSİK ÖDENMİŞ",S382="FAZLA ÖDENMİŞ"),"İNCELEME GEREKLİ - Tutar Uyuşmazlığı",IF(LEFT(P382,7)="Bekleni","Bekleniyor","Uygun"))))))</f>
        <v/>
      </c>
    </row>
    <row r="383">
      <c r="A383" s="26">
        <f>IF('DIVA Satislari'!I383="","",'DIVA Satislari'!I383)</f>
        <v/>
      </c>
      <c r="B383" s="26">
        <f>IF('DIVA Satislari'!I383="","",'DIVA Satislari'!R383)</f>
        <v/>
      </c>
      <c r="C383" s="26">
        <f>IF('DIVA Satislari'!I383="","",'DIVA Satislari'!M383)</f>
        <v/>
      </c>
      <c r="D383" s="27">
        <f>IF('DIVA Satislari'!I383="","",'DIVA Satislari'!H383)</f>
        <v/>
      </c>
      <c r="E383" s="26">
        <f>IF('DIVA Satislari'!I383="","",'DIVA Satislari'!O383)</f>
        <v/>
      </c>
      <c r="F383" s="26">
        <f>IF('DIVA Satislari'!I383="","",'DIVA Satislari'!AK383)</f>
        <v/>
      </c>
      <c r="G383" s="26">
        <f>IF('DIVA Satislari'!I383="","",'DIVA Satislari'!AO383)</f>
        <v/>
      </c>
      <c r="H383" s="27">
        <f>IF('DIVA Satislari'!I383="","",'DIVA Satislari'!AN383)</f>
        <v/>
      </c>
      <c r="I383" s="28">
        <f>IF('DIVA Satislari'!I383="","",'DIVA Satislari'!AQ383)</f>
        <v/>
      </c>
      <c r="J383" s="26">
        <f>IF('DIVA Satislari'!I383="","",'DIVA Satislari'!AR383)</f>
        <v/>
      </c>
      <c r="K383" s="26">
        <f>IF('DIVA Satislari'!I383="","",IFERROR(INDEX('E2E Nakliye Montaj'!$AS$3:$AS$1002,MATCH('DIVA Satislari'!AJ383,'E2E Nakliye Montaj'!$AM$3:$AM$1002,0)),"Eşleşme Yok"))</f>
        <v/>
      </c>
      <c r="L383" s="26">
        <f>IF('DIVA Satislari'!I383="","",IFERROR(INDEX('E2E Nakliye Montaj'!$AT$3:$AT$1002,MATCH('DIVA Satislari'!AJ383,'E2E Nakliye Montaj'!$AM$3:$AM$1002,0)),"Hayır"))</f>
        <v/>
      </c>
      <c r="M383" s="26">
        <f>IF('DIVA Satislari'!I383="","",IFERROR(INDEX('E2E Nakliye Montaj'!$AU$3:$AU$1002,MATCH('DIVA Satislari'!AJ383,'E2E Nakliye Montaj'!$AM$3:$AM$1002,0)),"Hayır"))</f>
        <v/>
      </c>
      <c r="N383" s="27">
        <f>IF('DIVA Satislari'!I383="","",IFERROR(INDEX('E2E Nakliye Montaj'!$AV$3:$AV$1002,MATCH('DIVA Satislari'!AJ383,'E2E Nakliye Montaj'!$AM$3:$AM$1002,0)),""))</f>
        <v/>
      </c>
      <c r="O383" s="26">
        <f>IF(OR(A383="",N383=""),"",IF(N383&lt;=H383,"Evet","HAYIR - RİSK"))</f>
        <v/>
      </c>
      <c r="P383" s="26">
        <f>IF(A383="","",IF(LEFT(J383,8)="Kural A ","Uygun - Hemen Ödenir (Yıl Sonu %75 Kontrolüne Tabi)",IF(OR(L383="Evet",M383="Evet"),IF(O383="Evet","Uygun","RİSK - Hakediş Süresi Aşıldı"),"Bekleniyor - Nakliye/Montaj Tamamlanmadı")))</f>
        <v/>
      </c>
      <c r="Q383" s="28">
        <f>IF(A383="","",SUMIFS('Hakedis Fatura Detay'!$G$3:$G$1200,'Hakedis Fatura Detay'!$H$3:$H$1200,'DIVA Satislari'!AJ383,'Hakedis Fatura Detay'!$F$3:$F$1200,"Fiyat Farkı")+SUMIFS('Hakedis Fatura Detay'!$G$3:$G$1200,'Hakedis Fatura Detay'!$H$3:$H$1200,'DIVA Satislari'!AJ383,'Hakedis Fatura Detay'!$F$3:$F$1200,"Bundle"))</f>
        <v/>
      </c>
      <c r="R383" s="28">
        <f>IF(A383="","",I383-Q383)</f>
        <v/>
      </c>
      <c r="S383" s="26">
        <f>IF(A383="","",IF(LEFT(P383,7)="Bekleni","N/A - Henüz Ödenmemeli",IF(LEFT(P383,4)="RİSK","İNCELEME GEREKLİ - Süre Aşımı",IF(R383=0,"Doğru",IF(R383&gt;0,"EKSİK ÖDENMİŞ","FAZLA ÖDENMİŞ")))))</f>
        <v/>
      </c>
      <c r="T383" s="30">
        <f>IF(A383="","",IF(F383&lt;&gt;"Evet","İNCELEME GEREKLİ - Kampanya Tanımsız",IF(G383&lt;&gt;"Evet","İNCELEME GEREKLİ - Tarih Dışı Satış",IF(LEFT(P383,4)="RİSK","İNCELEME GEREKLİ - Hakediş Süresi Aşıldı",IF(OR(S383="EKSİK ÖDENMİŞ",S383="FAZLA ÖDENMİŞ"),"İNCELEME GEREKLİ - Tutar Uyuşmazlığı",IF(LEFT(P383,7)="Bekleni","Bekleniyor","Uygun"))))))</f>
        <v/>
      </c>
    </row>
    <row r="384">
      <c r="A384" s="26">
        <f>IF('DIVA Satislari'!I384="","",'DIVA Satislari'!I384)</f>
        <v/>
      </c>
      <c r="B384" s="26">
        <f>IF('DIVA Satislari'!I384="","",'DIVA Satislari'!R384)</f>
        <v/>
      </c>
      <c r="C384" s="26">
        <f>IF('DIVA Satislari'!I384="","",'DIVA Satislari'!M384)</f>
        <v/>
      </c>
      <c r="D384" s="27">
        <f>IF('DIVA Satislari'!I384="","",'DIVA Satislari'!H384)</f>
        <v/>
      </c>
      <c r="E384" s="26">
        <f>IF('DIVA Satislari'!I384="","",'DIVA Satislari'!O384)</f>
        <v/>
      </c>
      <c r="F384" s="26">
        <f>IF('DIVA Satislari'!I384="","",'DIVA Satislari'!AK384)</f>
        <v/>
      </c>
      <c r="G384" s="26">
        <f>IF('DIVA Satislari'!I384="","",'DIVA Satislari'!AO384)</f>
        <v/>
      </c>
      <c r="H384" s="27">
        <f>IF('DIVA Satislari'!I384="","",'DIVA Satislari'!AN384)</f>
        <v/>
      </c>
      <c r="I384" s="28">
        <f>IF('DIVA Satislari'!I384="","",'DIVA Satislari'!AQ384)</f>
        <v/>
      </c>
      <c r="J384" s="26">
        <f>IF('DIVA Satislari'!I384="","",'DIVA Satislari'!AR384)</f>
        <v/>
      </c>
      <c r="K384" s="26">
        <f>IF('DIVA Satislari'!I384="","",IFERROR(INDEX('E2E Nakliye Montaj'!$AS$3:$AS$1002,MATCH('DIVA Satislari'!AJ384,'E2E Nakliye Montaj'!$AM$3:$AM$1002,0)),"Eşleşme Yok"))</f>
        <v/>
      </c>
      <c r="L384" s="26">
        <f>IF('DIVA Satislari'!I384="","",IFERROR(INDEX('E2E Nakliye Montaj'!$AT$3:$AT$1002,MATCH('DIVA Satislari'!AJ384,'E2E Nakliye Montaj'!$AM$3:$AM$1002,0)),"Hayır"))</f>
        <v/>
      </c>
      <c r="M384" s="26">
        <f>IF('DIVA Satislari'!I384="","",IFERROR(INDEX('E2E Nakliye Montaj'!$AU$3:$AU$1002,MATCH('DIVA Satislari'!AJ384,'E2E Nakliye Montaj'!$AM$3:$AM$1002,0)),"Hayır"))</f>
        <v/>
      </c>
      <c r="N384" s="27">
        <f>IF('DIVA Satislari'!I384="","",IFERROR(INDEX('E2E Nakliye Montaj'!$AV$3:$AV$1002,MATCH('DIVA Satislari'!AJ384,'E2E Nakliye Montaj'!$AM$3:$AM$1002,0)),""))</f>
        <v/>
      </c>
      <c r="O384" s="26">
        <f>IF(OR(A384="",N384=""),"",IF(N384&lt;=H384,"Evet","HAYIR - RİSK"))</f>
        <v/>
      </c>
      <c r="P384" s="26">
        <f>IF(A384="","",IF(LEFT(J384,8)="Kural A ","Uygun - Hemen Ödenir (Yıl Sonu %75 Kontrolüne Tabi)",IF(OR(L384="Evet",M384="Evet"),IF(O384="Evet","Uygun","RİSK - Hakediş Süresi Aşıldı"),"Bekleniyor - Nakliye/Montaj Tamamlanmadı")))</f>
        <v/>
      </c>
      <c r="Q384" s="28">
        <f>IF(A384="","",SUMIFS('Hakedis Fatura Detay'!$G$3:$G$1200,'Hakedis Fatura Detay'!$H$3:$H$1200,'DIVA Satislari'!AJ384,'Hakedis Fatura Detay'!$F$3:$F$1200,"Fiyat Farkı")+SUMIFS('Hakedis Fatura Detay'!$G$3:$G$1200,'Hakedis Fatura Detay'!$H$3:$H$1200,'DIVA Satislari'!AJ384,'Hakedis Fatura Detay'!$F$3:$F$1200,"Bundle"))</f>
        <v/>
      </c>
      <c r="R384" s="28">
        <f>IF(A384="","",I384-Q384)</f>
        <v/>
      </c>
      <c r="S384" s="26">
        <f>IF(A384="","",IF(LEFT(P384,7)="Bekleni","N/A - Henüz Ödenmemeli",IF(LEFT(P384,4)="RİSK","İNCELEME GEREKLİ - Süre Aşımı",IF(R384=0,"Doğru",IF(R384&gt;0,"EKSİK ÖDENMİŞ","FAZLA ÖDENMİŞ")))))</f>
        <v/>
      </c>
      <c r="T384" s="30">
        <f>IF(A384="","",IF(F384&lt;&gt;"Evet","İNCELEME GEREKLİ - Kampanya Tanımsız",IF(G384&lt;&gt;"Evet","İNCELEME GEREKLİ - Tarih Dışı Satış",IF(LEFT(P384,4)="RİSK","İNCELEME GEREKLİ - Hakediş Süresi Aşıldı",IF(OR(S384="EKSİK ÖDENMİŞ",S384="FAZLA ÖDENMİŞ"),"İNCELEME GEREKLİ - Tutar Uyuşmazlığı",IF(LEFT(P384,7)="Bekleni","Bekleniyor","Uygun"))))))</f>
        <v/>
      </c>
    </row>
    <row r="385">
      <c r="A385" s="26">
        <f>IF('DIVA Satislari'!I385="","",'DIVA Satislari'!I385)</f>
        <v/>
      </c>
      <c r="B385" s="26">
        <f>IF('DIVA Satislari'!I385="","",'DIVA Satislari'!R385)</f>
        <v/>
      </c>
      <c r="C385" s="26">
        <f>IF('DIVA Satislari'!I385="","",'DIVA Satislari'!M385)</f>
        <v/>
      </c>
      <c r="D385" s="27">
        <f>IF('DIVA Satislari'!I385="","",'DIVA Satislari'!H385)</f>
        <v/>
      </c>
      <c r="E385" s="26">
        <f>IF('DIVA Satislari'!I385="","",'DIVA Satislari'!O385)</f>
        <v/>
      </c>
      <c r="F385" s="26">
        <f>IF('DIVA Satislari'!I385="","",'DIVA Satislari'!AK385)</f>
        <v/>
      </c>
      <c r="G385" s="26">
        <f>IF('DIVA Satislari'!I385="","",'DIVA Satislari'!AO385)</f>
        <v/>
      </c>
      <c r="H385" s="27">
        <f>IF('DIVA Satislari'!I385="","",'DIVA Satislari'!AN385)</f>
        <v/>
      </c>
      <c r="I385" s="28">
        <f>IF('DIVA Satislari'!I385="","",'DIVA Satislari'!AQ385)</f>
        <v/>
      </c>
      <c r="J385" s="26">
        <f>IF('DIVA Satislari'!I385="","",'DIVA Satislari'!AR385)</f>
        <v/>
      </c>
      <c r="K385" s="26">
        <f>IF('DIVA Satislari'!I385="","",IFERROR(INDEX('E2E Nakliye Montaj'!$AS$3:$AS$1002,MATCH('DIVA Satislari'!AJ385,'E2E Nakliye Montaj'!$AM$3:$AM$1002,0)),"Eşleşme Yok"))</f>
        <v/>
      </c>
      <c r="L385" s="26">
        <f>IF('DIVA Satislari'!I385="","",IFERROR(INDEX('E2E Nakliye Montaj'!$AT$3:$AT$1002,MATCH('DIVA Satislari'!AJ385,'E2E Nakliye Montaj'!$AM$3:$AM$1002,0)),"Hayır"))</f>
        <v/>
      </c>
      <c r="M385" s="26">
        <f>IF('DIVA Satislari'!I385="","",IFERROR(INDEX('E2E Nakliye Montaj'!$AU$3:$AU$1002,MATCH('DIVA Satislari'!AJ385,'E2E Nakliye Montaj'!$AM$3:$AM$1002,0)),"Hayır"))</f>
        <v/>
      </c>
      <c r="N385" s="27">
        <f>IF('DIVA Satislari'!I385="","",IFERROR(INDEX('E2E Nakliye Montaj'!$AV$3:$AV$1002,MATCH('DIVA Satislari'!AJ385,'E2E Nakliye Montaj'!$AM$3:$AM$1002,0)),""))</f>
        <v/>
      </c>
      <c r="O385" s="26">
        <f>IF(OR(A385="",N385=""),"",IF(N385&lt;=H385,"Evet","HAYIR - RİSK"))</f>
        <v/>
      </c>
      <c r="P385" s="26">
        <f>IF(A385="","",IF(LEFT(J385,8)="Kural A ","Uygun - Hemen Ödenir (Yıl Sonu %75 Kontrolüne Tabi)",IF(OR(L385="Evet",M385="Evet"),IF(O385="Evet","Uygun","RİSK - Hakediş Süresi Aşıldı"),"Bekleniyor - Nakliye/Montaj Tamamlanmadı")))</f>
        <v/>
      </c>
      <c r="Q385" s="28">
        <f>IF(A385="","",SUMIFS('Hakedis Fatura Detay'!$G$3:$G$1200,'Hakedis Fatura Detay'!$H$3:$H$1200,'DIVA Satislari'!AJ385,'Hakedis Fatura Detay'!$F$3:$F$1200,"Fiyat Farkı")+SUMIFS('Hakedis Fatura Detay'!$G$3:$G$1200,'Hakedis Fatura Detay'!$H$3:$H$1200,'DIVA Satislari'!AJ385,'Hakedis Fatura Detay'!$F$3:$F$1200,"Bundle"))</f>
        <v/>
      </c>
      <c r="R385" s="28">
        <f>IF(A385="","",I385-Q385)</f>
        <v/>
      </c>
      <c r="S385" s="26">
        <f>IF(A385="","",IF(LEFT(P385,7)="Bekleni","N/A - Henüz Ödenmemeli",IF(LEFT(P385,4)="RİSK","İNCELEME GEREKLİ - Süre Aşımı",IF(R385=0,"Doğru",IF(R385&gt;0,"EKSİK ÖDENMİŞ","FAZLA ÖDENMİŞ")))))</f>
        <v/>
      </c>
      <c r="T385" s="30">
        <f>IF(A385="","",IF(F385&lt;&gt;"Evet","İNCELEME GEREKLİ - Kampanya Tanımsız",IF(G385&lt;&gt;"Evet","İNCELEME GEREKLİ - Tarih Dışı Satış",IF(LEFT(P385,4)="RİSK","İNCELEME GEREKLİ - Hakediş Süresi Aşıldı",IF(OR(S385="EKSİK ÖDENMİŞ",S385="FAZLA ÖDENMİŞ"),"İNCELEME GEREKLİ - Tutar Uyuşmazlığı",IF(LEFT(P385,7)="Bekleni","Bekleniyor","Uygun"))))))</f>
        <v/>
      </c>
    </row>
    <row r="386">
      <c r="A386" s="26">
        <f>IF('DIVA Satislari'!I386="","",'DIVA Satislari'!I386)</f>
        <v/>
      </c>
      <c r="B386" s="26">
        <f>IF('DIVA Satislari'!I386="","",'DIVA Satislari'!R386)</f>
        <v/>
      </c>
      <c r="C386" s="26">
        <f>IF('DIVA Satislari'!I386="","",'DIVA Satislari'!M386)</f>
        <v/>
      </c>
      <c r="D386" s="27">
        <f>IF('DIVA Satislari'!I386="","",'DIVA Satislari'!H386)</f>
        <v/>
      </c>
      <c r="E386" s="26">
        <f>IF('DIVA Satislari'!I386="","",'DIVA Satislari'!O386)</f>
        <v/>
      </c>
      <c r="F386" s="26">
        <f>IF('DIVA Satislari'!I386="","",'DIVA Satislari'!AK386)</f>
        <v/>
      </c>
      <c r="G386" s="26">
        <f>IF('DIVA Satislari'!I386="","",'DIVA Satislari'!AO386)</f>
        <v/>
      </c>
      <c r="H386" s="27">
        <f>IF('DIVA Satislari'!I386="","",'DIVA Satislari'!AN386)</f>
        <v/>
      </c>
      <c r="I386" s="28">
        <f>IF('DIVA Satislari'!I386="","",'DIVA Satislari'!AQ386)</f>
        <v/>
      </c>
      <c r="J386" s="26">
        <f>IF('DIVA Satislari'!I386="","",'DIVA Satislari'!AR386)</f>
        <v/>
      </c>
      <c r="K386" s="26">
        <f>IF('DIVA Satislari'!I386="","",IFERROR(INDEX('E2E Nakliye Montaj'!$AS$3:$AS$1002,MATCH('DIVA Satislari'!AJ386,'E2E Nakliye Montaj'!$AM$3:$AM$1002,0)),"Eşleşme Yok"))</f>
        <v/>
      </c>
      <c r="L386" s="26">
        <f>IF('DIVA Satislari'!I386="","",IFERROR(INDEX('E2E Nakliye Montaj'!$AT$3:$AT$1002,MATCH('DIVA Satislari'!AJ386,'E2E Nakliye Montaj'!$AM$3:$AM$1002,0)),"Hayır"))</f>
        <v/>
      </c>
      <c r="M386" s="26">
        <f>IF('DIVA Satislari'!I386="","",IFERROR(INDEX('E2E Nakliye Montaj'!$AU$3:$AU$1002,MATCH('DIVA Satislari'!AJ386,'E2E Nakliye Montaj'!$AM$3:$AM$1002,0)),"Hayır"))</f>
        <v/>
      </c>
      <c r="N386" s="27">
        <f>IF('DIVA Satislari'!I386="","",IFERROR(INDEX('E2E Nakliye Montaj'!$AV$3:$AV$1002,MATCH('DIVA Satislari'!AJ386,'E2E Nakliye Montaj'!$AM$3:$AM$1002,0)),""))</f>
        <v/>
      </c>
      <c r="O386" s="26">
        <f>IF(OR(A386="",N386=""),"",IF(N386&lt;=H386,"Evet","HAYIR - RİSK"))</f>
        <v/>
      </c>
      <c r="P386" s="26">
        <f>IF(A386="","",IF(LEFT(J386,8)="Kural A ","Uygun - Hemen Ödenir (Yıl Sonu %75 Kontrolüne Tabi)",IF(OR(L386="Evet",M386="Evet"),IF(O386="Evet","Uygun","RİSK - Hakediş Süresi Aşıldı"),"Bekleniyor - Nakliye/Montaj Tamamlanmadı")))</f>
        <v/>
      </c>
      <c r="Q386" s="28">
        <f>IF(A386="","",SUMIFS('Hakedis Fatura Detay'!$G$3:$G$1200,'Hakedis Fatura Detay'!$H$3:$H$1200,'DIVA Satislari'!AJ386,'Hakedis Fatura Detay'!$F$3:$F$1200,"Fiyat Farkı")+SUMIFS('Hakedis Fatura Detay'!$G$3:$G$1200,'Hakedis Fatura Detay'!$H$3:$H$1200,'DIVA Satislari'!AJ386,'Hakedis Fatura Detay'!$F$3:$F$1200,"Bundle"))</f>
        <v/>
      </c>
      <c r="R386" s="28">
        <f>IF(A386="","",I386-Q386)</f>
        <v/>
      </c>
      <c r="S386" s="26">
        <f>IF(A386="","",IF(LEFT(P386,7)="Bekleni","N/A - Henüz Ödenmemeli",IF(LEFT(P386,4)="RİSK","İNCELEME GEREKLİ - Süre Aşımı",IF(R386=0,"Doğru",IF(R386&gt;0,"EKSİK ÖDENMİŞ","FAZLA ÖDENMİŞ")))))</f>
        <v/>
      </c>
      <c r="T386" s="30">
        <f>IF(A386="","",IF(F386&lt;&gt;"Evet","İNCELEME GEREKLİ - Kampanya Tanımsız",IF(G386&lt;&gt;"Evet","İNCELEME GEREKLİ - Tarih Dışı Satış",IF(LEFT(P386,4)="RİSK","İNCELEME GEREKLİ - Hakediş Süresi Aşıldı",IF(OR(S386="EKSİK ÖDENMİŞ",S386="FAZLA ÖDENMİŞ"),"İNCELEME GEREKLİ - Tutar Uyuşmazlığı",IF(LEFT(P386,7)="Bekleni","Bekleniyor","Uygun"))))))</f>
        <v/>
      </c>
    </row>
    <row r="387">
      <c r="A387" s="26">
        <f>IF('DIVA Satislari'!I387="","",'DIVA Satislari'!I387)</f>
        <v/>
      </c>
      <c r="B387" s="26">
        <f>IF('DIVA Satislari'!I387="","",'DIVA Satislari'!R387)</f>
        <v/>
      </c>
      <c r="C387" s="26">
        <f>IF('DIVA Satislari'!I387="","",'DIVA Satislari'!M387)</f>
        <v/>
      </c>
      <c r="D387" s="27">
        <f>IF('DIVA Satislari'!I387="","",'DIVA Satislari'!H387)</f>
        <v/>
      </c>
      <c r="E387" s="26">
        <f>IF('DIVA Satislari'!I387="","",'DIVA Satislari'!O387)</f>
        <v/>
      </c>
      <c r="F387" s="26">
        <f>IF('DIVA Satislari'!I387="","",'DIVA Satislari'!AK387)</f>
        <v/>
      </c>
      <c r="G387" s="26">
        <f>IF('DIVA Satislari'!I387="","",'DIVA Satislari'!AO387)</f>
        <v/>
      </c>
      <c r="H387" s="27">
        <f>IF('DIVA Satislari'!I387="","",'DIVA Satislari'!AN387)</f>
        <v/>
      </c>
      <c r="I387" s="28">
        <f>IF('DIVA Satislari'!I387="","",'DIVA Satislari'!AQ387)</f>
        <v/>
      </c>
      <c r="J387" s="26">
        <f>IF('DIVA Satislari'!I387="","",'DIVA Satislari'!AR387)</f>
        <v/>
      </c>
      <c r="K387" s="26">
        <f>IF('DIVA Satislari'!I387="","",IFERROR(INDEX('E2E Nakliye Montaj'!$AS$3:$AS$1002,MATCH('DIVA Satislari'!AJ387,'E2E Nakliye Montaj'!$AM$3:$AM$1002,0)),"Eşleşme Yok"))</f>
        <v/>
      </c>
      <c r="L387" s="26">
        <f>IF('DIVA Satislari'!I387="","",IFERROR(INDEX('E2E Nakliye Montaj'!$AT$3:$AT$1002,MATCH('DIVA Satislari'!AJ387,'E2E Nakliye Montaj'!$AM$3:$AM$1002,0)),"Hayır"))</f>
        <v/>
      </c>
      <c r="M387" s="26">
        <f>IF('DIVA Satislari'!I387="","",IFERROR(INDEX('E2E Nakliye Montaj'!$AU$3:$AU$1002,MATCH('DIVA Satislari'!AJ387,'E2E Nakliye Montaj'!$AM$3:$AM$1002,0)),"Hayır"))</f>
        <v/>
      </c>
      <c r="N387" s="27">
        <f>IF('DIVA Satislari'!I387="","",IFERROR(INDEX('E2E Nakliye Montaj'!$AV$3:$AV$1002,MATCH('DIVA Satislari'!AJ387,'E2E Nakliye Montaj'!$AM$3:$AM$1002,0)),""))</f>
        <v/>
      </c>
      <c r="O387" s="26">
        <f>IF(OR(A387="",N387=""),"",IF(N387&lt;=H387,"Evet","HAYIR - RİSK"))</f>
        <v/>
      </c>
      <c r="P387" s="26">
        <f>IF(A387="","",IF(LEFT(J387,8)="Kural A ","Uygun - Hemen Ödenir (Yıl Sonu %75 Kontrolüne Tabi)",IF(OR(L387="Evet",M387="Evet"),IF(O387="Evet","Uygun","RİSK - Hakediş Süresi Aşıldı"),"Bekleniyor - Nakliye/Montaj Tamamlanmadı")))</f>
        <v/>
      </c>
      <c r="Q387" s="28">
        <f>IF(A387="","",SUMIFS('Hakedis Fatura Detay'!$G$3:$G$1200,'Hakedis Fatura Detay'!$H$3:$H$1200,'DIVA Satislari'!AJ387,'Hakedis Fatura Detay'!$F$3:$F$1200,"Fiyat Farkı")+SUMIFS('Hakedis Fatura Detay'!$G$3:$G$1200,'Hakedis Fatura Detay'!$H$3:$H$1200,'DIVA Satislari'!AJ387,'Hakedis Fatura Detay'!$F$3:$F$1200,"Bundle"))</f>
        <v/>
      </c>
      <c r="R387" s="28">
        <f>IF(A387="","",I387-Q387)</f>
        <v/>
      </c>
      <c r="S387" s="26">
        <f>IF(A387="","",IF(LEFT(P387,7)="Bekleni","N/A - Henüz Ödenmemeli",IF(LEFT(P387,4)="RİSK","İNCELEME GEREKLİ - Süre Aşımı",IF(R387=0,"Doğru",IF(R387&gt;0,"EKSİK ÖDENMİŞ","FAZLA ÖDENMİŞ")))))</f>
        <v/>
      </c>
      <c r="T387" s="30">
        <f>IF(A387="","",IF(F387&lt;&gt;"Evet","İNCELEME GEREKLİ - Kampanya Tanımsız",IF(G387&lt;&gt;"Evet","İNCELEME GEREKLİ - Tarih Dışı Satış",IF(LEFT(P387,4)="RİSK","İNCELEME GEREKLİ - Hakediş Süresi Aşıldı",IF(OR(S387="EKSİK ÖDENMİŞ",S387="FAZLA ÖDENMİŞ"),"İNCELEME GEREKLİ - Tutar Uyuşmazlığı",IF(LEFT(P387,7)="Bekleni","Bekleniyor","Uygun"))))))</f>
        <v/>
      </c>
    </row>
    <row r="388">
      <c r="A388" s="26">
        <f>IF('DIVA Satislari'!I388="","",'DIVA Satislari'!I388)</f>
        <v/>
      </c>
      <c r="B388" s="26">
        <f>IF('DIVA Satislari'!I388="","",'DIVA Satislari'!R388)</f>
        <v/>
      </c>
      <c r="C388" s="26">
        <f>IF('DIVA Satislari'!I388="","",'DIVA Satislari'!M388)</f>
        <v/>
      </c>
      <c r="D388" s="27">
        <f>IF('DIVA Satislari'!I388="","",'DIVA Satislari'!H388)</f>
        <v/>
      </c>
      <c r="E388" s="26">
        <f>IF('DIVA Satislari'!I388="","",'DIVA Satislari'!O388)</f>
        <v/>
      </c>
      <c r="F388" s="26">
        <f>IF('DIVA Satislari'!I388="","",'DIVA Satislari'!AK388)</f>
        <v/>
      </c>
      <c r="G388" s="26">
        <f>IF('DIVA Satislari'!I388="","",'DIVA Satislari'!AO388)</f>
        <v/>
      </c>
      <c r="H388" s="27">
        <f>IF('DIVA Satislari'!I388="","",'DIVA Satislari'!AN388)</f>
        <v/>
      </c>
      <c r="I388" s="28">
        <f>IF('DIVA Satislari'!I388="","",'DIVA Satislari'!AQ388)</f>
        <v/>
      </c>
      <c r="J388" s="26">
        <f>IF('DIVA Satislari'!I388="","",'DIVA Satislari'!AR388)</f>
        <v/>
      </c>
      <c r="K388" s="26">
        <f>IF('DIVA Satislari'!I388="","",IFERROR(INDEX('E2E Nakliye Montaj'!$AS$3:$AS$1002,MATCH('DIVA Satislari'!AJ388,'E2E Nakliye Montaj'!$AM$3:$AM$1002,0)),"Eşleşme Yok"))</f>
        <v/>
      </c>
      <c r="L388" s="26">
        <f>IF('DIVA Satislari'!I388="","",IFERROR(INDEX('E2E Nakliye Montaj'!$AT$3:$AT$1002,MATCH('DIVA Satislari'!AJ388,'E2E Nakliye Montaj'!$AM$3:$AM$1002,0)),"Hayır"))</f>
        <v/>
      </c>
      <c r="M388" s="26">
        <f>IF('DIVA Satislari'!I388="","",IFERROR(INDEX('E2E Nakliye Montaj'!$AU$3:$AU$1002,MATCH('DIVA Satislari'!AJ388,'E2E Nakliye Montaj'!$AM$3:$AM$1002,0)),"Hayır"))</f>
        <v/>
      </c>
      <c r="N388" s="27">
        <f>IF('DIVA Satislari'!I388="","",IFERROR(INDEX('E2E Nakliye Montaj'!$AV$3:$AV$1002,MATCH('DIVA Satislari'!AJ388,'E2E Nakliye Montaj'!$AM$3:$AM$1002,0)),""))</f>
        <v/>
      </c>
      <c r="O388" s="26">
        <f>IF(OR(A388="",N388=""),"",IF(N388&lt;=H388,"Evet","HAYIR - RİSK"))</f>
        <v/>
      </c>
      <c r="P388" s="26">
        <f>IF(A388="","",IF(LEFT(J388,8)="Kural A ","Uygun - Hemen Ödenir (Yıl Sonu %75 Kontrolüne Tabi)",IF(OR(L388="Evet",M388="Evet"),IF(O388="Evet","Uygun","RİSK - Hakediş Süresi Aşıldı"),"Bekleniyor - Nakliye/Montaj Tamamlanmadı")))</f>
        <v/>
      </c>
      <c r="Q388" s="28">
        <f>IF(A388="","",SUMIFS('Hakedis Fatura Detay'!$G$3:$G$1200,'Hakedis Fatura Detay'!$H$3:$H$1200,'DIVA Satislari'!AJ388,'Hakedis Fatura Detay'!$F$3:$F$1200,"Fiyat Farkı")+SUMIFS('Hakedis Fatura Detay'!$G$3:$G$1200,'Hakedis Fatura Detay'!$H$3:$H$1200,'DIVA Satislari'!AJ388,'Hakedis Fatura Detay'!$F$3:$F$1200,"Bundle"))</f>
        <v/>
      </c>
      <c r="R388" s="28">
        <f>IF(A388="","",I388-Q388)</f>
        <v/>
      </c>
      <c r="S388" s="26">
        <f>IF(A388="","",IF(LEFT(P388,7)="Bekleni","N/A - Henüz Ödenmemeli",IF(LEFT(P388,4)="RİSK","İNCELEME GEREKLİ - Süre Aşımı",IF(R388=0,"Doğru",IF(R388&gt;0,"EKSİK ÖDENMİŞ","FAZLA ÖDENMİŞ")))))</f>
        <v/>
      </c>
      <c r="T388" s="30">
        <f>IF(A388="","",IF(F388&lt;&gt;"Evet","İNCELEME GEREKLİ - Kampanya Tanımsız",IF(G388&lt;&gt;"Evet","İNCELEME GEREKLİ - Tarih Dışı Satış",IF(LEFT(P388,4)="RİSK","İNCELEME GEREKLİ - Hakediş Süresi Aşıldı",IF(OR(S388="EKSİK ÖDENMİŞ",S388="FAZLA ÖDENMİŞ"),"İNCELEME GEREKLİ - Tutar Uyuşmazlığı",IF(LEFT(P388,7)="Bekleni","Bekleniyor","Uygun"))))))</f>
        <v/>
      </c>
    </row>
    <row r="389">
      <c r="A389" s="26">
        <f>IF('DIVA Satislari'!I389="","",'DIVA Satislari'!I389)</f>
        <v/>
      </c>
      <c r="B389" s="26">
        <f>IF('DIVA Satislari'!I389="","",'DIVA Satislari'!R389)</f>
        <v/>
      </c>
      <c r="C389" s="26">
        <f>IF('DIVA Satislari'!I389="","",'DIVA Satislari'!M389)</f>
        <v/>
      </c>
      <c r="D389" s="27">
        <f>IF('DIVA Satislari'!I389="","",'DIVA Satislari'!H389)</f>
        <v/>
      </c>
      <c r="E389" s="26">
        <f>IF('DIVA Satislari'!I389="","",'DIVA Satislari'!O389)</f>
        <v/>
      </c>
      <c r="F389" s="26">
        <f>IF('DIVA Satislari'!I389="","",'DIVA Satislari'!AK389)</f>
        <v/>
      </c>
      <c r="G389" s="26">
        <f>IF('DIVA Satislari'!I389="","",'DIVA Satislari'!AO389)</f>
        <v/>
      </c>
      <c r="H389" s="27">
        <f>IF('DIVA Satislari'!I389="","",'DIVA Satislari'!AN389)</f>
        <v/>
      </c>
      <c r="I389" s="28">
        <f>IF('DIVA Satislari'!I389="","",'DIVA Satislari'!AQ389)</f>
        <v/>
      </c>
      <c r="J389" s="26">
        <f>IF('DIVA Satislari'!I389="","",'DIVA Satislari'!AR389)</f>
        <v/>
      </c>
      <c r="K389" s="26">
        <f>IF('DIVA Satislari'!I389="","",IFERROR(INDEX('E2E Nakliye Montaj'!$AS$3:$AS$1002,MATCH('DIVA Satislari'!AJ389,'E2E Nakliye Montaj'!$AM$3:$AM$1002,0)),"Eşleşme Yok"))</f>
        <v/>
      </c>
      <c r="L389" s="26">
        <f>IF('DIVA Satislari'!I389="","",IFERROR(INDEX('E2E Nakliye Montaj'!$AT$3:$AT$1002,MATCH('DIVA Satislari'!AJ389,'E2E Nakliye Montaj'!$AM$3:$AM$1002,0)),"Hayır"))</f>
        <v/>
      </c>
      <c r="M389" s="26">
        <f>IF('DIVA Satislari'!I389="","",IFERROR(INDEX('E2E Nakliye Montaj'!$AU$3:$AU$1002,MATCH('DIVA Satislari'!AJ389,'E2E Nakliye Montaj'!$AM$3:$AM$1002,0)),"Hayır"))</f>
        <v/>
      </c>
      <c r="N389" s="27">
        <f>IF('DIVA Satislari'!I389="","",IFERROR(INDEX('E2E Nakliye Montaj'!$AV$3:$AV$1002,MATCH('DIVA Satislari'!AJ389,'E2E Nakliye Montaj'!$AM$3:$AM$1002,0)),""))</f>
        <v/>
      </c>
      <c r="O389" s="26">
        <f>IF(OR(A389="",N389=""),"",IF(N389&lt;=H389,"Evet","HAYIR - RİSK"))</f>
        <v/>
      </c>
      <c r="P389" s="26">
        <f>IF(A389="","",IF(LEFT(J389,8)="Kural A ","Uygun - Hemen Ödenir (Yıl Sonu %75 Kontrolüne Tabi)",IF(OR(L389="Evet",M389="Evet"),IF(O389="Evet","Uygun","RİSK - Hakediş Süresi Aşıldı"),"Bekleniyor - Nakliye/Montaj Tamamlanmadı")))</f>
        <v/>
      </c>
      <c r="Q389" s="28">
        <f>IF(A389="","",SUMIFS('Hakedis Fatura Detay'!$G$3:$G$1200,'Hakedis Fatura Detay'!$H$3:$H$1200,'DIVA Satislari'!AJ389,'Hakedis Fatura Detay'!$F$3:$F$1200,"Fiyat Farkı")+SUMIFS('Hakedis Fatura Detay'!$G$3:$G$1200,'Hakedis Fatura Detay'!$H$3:$H$1200,'DIVA Satislari'!AJ389,'Hakedis Fatura Detay'!$F$3:$F$1200,"Bundle"))</f>
        <v/>
      </c>
      <c r="R389" s="28">
        <f>IF(A389="","",I389-Q389)</f>
        <v/>
      </c>
      <c r="S389" s="26">
        <f>IF(A389="","",IF(LEFT(P389,7)="Bekleni","N/A - Henüz Ödenmemeli",IF(LEFT(P389,4)="RİSK","İNCELEME GEREKLİ - Süre Aşımı",IF(R389=0,"Doğru",IF(R389&gt;0,"EKSİK ÖDENMİŞ","FAZLA ÖDENMİŞ")))))</f>
        <v/>
      </c>
      <c r="T389" s="30">
        <f>IF(A389="","",IF(F389&lt;&gt;"Evet","İNCELEME GEREKLİ - Kampanya Tanımsız",IF(G389&lt;&gt;"Evet","İNCELEME GEREKLİ - Tarih Dışı Satış",IF(LEFT(P389,4)="RİSK","İNCELEME GEREKLİ - Hakediş Süresi Aşıldı",IF(OR(S389="EKSİK ÖDENMİŞ",S389="FAZLA ÖDENMİŞ"),"İNCELEME GEREKLİ - Tutar Uyuşmazlığı",IF(LEFT(P389,7)="Bekleni","Bekleniyor","Uygun"))))))</f>
        <v/>
      </c>
    </row>
    <row r="390">
      <c r="A390" s="26">
        <f>IF('DIVA Satislari'!I390="","",'DIVA Satislari'!I390)</f>
        <v/>
      </c>
      <c r="B390" s="26">
        <f>IF('DIVA Satislari'!I390="","",'DIVA Satislari'!R390)</f>
        <v/>
      </c>
      <c r="C390" s="26">
        <f>IF('DIVA Satislari'!I390="","",'DIVA Satislari'!M390)</f>
        <v/>
      </c>
      <c r="D390" s="27">
        <f>IF('DIVA Satislari'!I390="","",'DIVA Satislari'!H390)</f>
        <v/>
      </c>
      <c r="E390" s="26">
        <f>IF('DIVA Satislari'!I390="","",'DIVA Satislari'!O390)</f>
        <v/>
      </c>
      <c r="F390" s="26">
        <f>IF('DIVA Satislari'!I390="","",'DIVA Satislari'!AK390)</f>
        <v/>
      </c>
      <c r="G390" s="26">
        <f>IF('DIVA Satislari'!I390="","",'DIVA Satislari'!AO390)</f>
        <v/>
      </c>
      <c r="H390" s="27">
        <f>IF('DIVA Satislari'!I390="","",'DIVA Satislari'!AN390)</f>
        <v/>
      </c>
      <c r="I390" s="28">
        <f>IF('DIVA Satislari'!I390="","",'DIVA Satislari'!AQ390)</f>
        <v/>
      </c>
      <c r="J390" s="26">
        <f>IF('DIVA Satislari'!I390="","",'DIVA Satislari'!AR390)</f>
        <v/>
      </c>
      <c r="K390" s="26">
        <f>IF('DIVA Satislari'!I390="","",IFERROR(INDEX('E2E Nakliye Montaj'!$AS$3:$AS$1002,MATCH('DIVA Satislari'!AJ390,'E2E Nakliye Montaj'!$AM$3:$AM$1002,0)),"Eşleşme Yok"))</f>
        <v/>
      </c>
      <c r="L390" s="26">
        <f>IF('DIVA Satislari'!I390="","",IFERROR(INDEX('E2E Nakliye Montaj'!$AT$3:$AT$1002,MATCH('DIVA Satislari'!AJ390,'E2E Nakliye Montaj'!$AM$3:$AM$1002,0)),"Hayır"))</f>
        <v/>
      </c>
      <c r="M390" s="26">
        <f>IF('DIVA Satislari'!I390="","",IFERROR(INDEX('E2E Nakliye Montaj'!$AU$3:$AU$1002,MATCH('DIVA Satislari'!AJ390,'E2E Nakliye Montaj'!$AM$3:$AM$1002,0)),"Hayır"))</f>
        <v/>
      </c>
      <c r="N390" s="27">
        <f>IF('DIVA Satislari'!I390="","",IFERROR(INDEX('E2E Nakliye Montaj'!$AV$3:$AV$1002,MATCH('DIVA Satislari'!AJ390,'E2E Nakliye Montaj'!$AM$3:$AM$1002,0)),""))</f>
        <v/>
      </c>
      <c r="O390" s="26">
        <f>IF(OR(A390="",N390=""),"",IF(N390&lt;=H390,"Evet","HAYIR - RİSK"))</f>
        <v/>
      </c>
      <c r="P390" s="26">
        <f>IF(A390="","",IF(LEFT(J390,8)="Kural A ","Uygun - Hemen Ödenir (Yıl Sonu %75 Kontrolüne Tabi)",IF(OR(L390="Evet",M390="Evet"),IF(O390="Evet","Uygun","RİSK - Hakediş Süresi Aşıldı"),"Bekleniyor - Nakliye/Montaj Tamamlanmadı")))</f>
        <v/>
      </c>
      <c r="Q390" s="28">
        <f>IF(A390="","",SUMIFS('Hakedis Fatura Detay'!$G$3:$G$1200,'Hakedis Fatura Detay'!$H$3:$H$1200,'DIVA Satislari'!AJ390,'Hakedis Fatura Detay'!$F$3:$F$1200,"Fiyat Farkı")+SUMIFS('Hakedis Fatura Detay'!$G$3:$G$1200,'Hakedis Fatura Detay'!$H$3:$H$1200,'DIVA Satislari'!AJ390,'Hakedis Fatura Detay'!$F$3:$F$1200,"Bundle"))</f>
        <v/>
      </c>
      <c r="R390" s="28">
        <f>IF(A390="","",I390-Q390)</f>
        <v/>
      </c>
      <c r="S390" s="26">
        <f>IF(A390="","",IF(LEFT(P390,7)="Bekleni","N/A - Henüz Ödenmemeli",IF(LEFT(P390,4)="RİSK","İNCELEME GEREKLİ - Süre Aşımı",IF(R390=0,"Doğru",IF(R390&gt;0,"EKSİK ÖDENMİŞ","FAZLA ÖDENMİŞ")))))</f>
        <v/>
      </c>
      <c r="T390" s="30">
        <f>IF(A390="","",IF(F390&lt;&gt;"Evet","İNCELEME GEREKLİ - Kampanya Tanımsız",IF(G390&lt;&gt;"Evet","İNCELEME GEREKLİ - Tarih Dışı Satış",IF(LEFT(P390,4)="RİSK","İNCELEME GEREKLİ - Hakediş Süresi Aşıldı",IF(OR(S390="EKSİK ÖDENMİŞ",S390="FAZLA ÖDENMİŞ"),"İNCELEME GEREKLİ - Tutar Uyuşmazlığı",IF(LEFT(P390,7)="Bekleni","Bekleniyor","Uygun"))))))</f>
        <v/>
      </c>
    </row>
    <row r="391">
      <c r="A391" s="26">
        <f>IF('DIVA Satislari'!I391="","",'DIVA Satislari'!I391)</f>
        <v/>
      </c>
      <c r="B391" s="26">
        <f>IF('DIVA Satislari'!I391="","",'DIVA Satislari'!R391)</f>
        <v/>
      </c>
      <c r="C391" s="26">
        <f>IF('DIVA Satislari'!I391="","",'DIVA Satislari'!M391)</f>
        <v/>
      </c>
      <c r="D391" s="27">
        <f>IF('DIVA Satislari'!I391="","",'DIVA Satislari'!H391)</f>
        <v/>
      </c>
      <c r="E391" s="26">
        <f>IF('DIVA Satislari'!I391="","",'DIVA Satislari'!O391)</f>
        <v/>
      </c>
      <c r="F391" s="26">
        <f>IF('DIVA Satislari'!I391="","",'DIVA Satislari'!AK391)</f>
        <v/>
      </c>
      <c r="G391" s="26">
        <f>IF('DIVA Satislari'!I391="","",'DIVA Satislari'!AO391)</f>
        <v/>
      </c>
      <c r="H391" s="27">
        <f>IF('DIVA Satislari'!I391="","",'DIVA Satislari'!AN391)</f>
        <v/>
      </c>
      <c r="I391" s="28">
        <f>IF('DIVA Satislari'!I391="","",'DIVA Satislari'!AQ391)</f>
        <v/>
      </c>
      <c r="J391" s="26">
        <f>IF('DIVA Satislari'!I391="","",'DIVA Satislari'!AR391)</f>
        <v/>
      </c>
      <c r="K391" s="26">
        <f>IF('DIVA Satislari'!I391="","",IFERROR(INDEX('E2E Nakliye Montaj'!$AS$3:$AS$1002,MATCH('DIVA Satislari'!AJ391,'E2E Nakliye Montaj'!$AM$3:$AM$1002,0)),"Eşleşme Yok"))</f>
        <v/>
      </c>
      <c r="L391" s="26">
        <f>IF('DIVA Satislari'!I391="","",IFERROR(INDEX('E2E Nakliye Montaj'!$AT$3:$AT$1002,MATCH('DIVA Satislari'!AJ391,'E2E Nakliye Montaj'!$AM$3:$AM$1002,0)),"Hayır"))</f>
        <v/>
      </c>
      <c r="M391" s="26">
        <f>IF('DIVA Satislari'!I391="","",IFERROR(INDEX('E2E Nakliye Montaj'!$AU$3:$AU$1002,MATCH('DIVA Satislari'!AJ391,'E2E Nakliye Montaj'!$AM$3:$AM$1002,0)),"Hayır"))</f>
        <v/>
      </c>
      <c r="N391" s="27">
        <f>IF('DIVA Satislari'!I391="","",IFERROR(INDEX('E2E Nakliye Montaj'!$AV$3:$AV$1002,MATCH('DIVA Satislari'!AJ391,'E2E Nakliye Montaj'!$AM$3:$AM$1002,0)),""))</f>
        <v/>
      </c>
      <c r="O391" s="26">
        <f>IF(OR(A391="",N391=""),"",IF(N391&lt;=H391,"Evet","HAYIR - RİSK"))</f>
        <v/>
      </c>
      <c r="P391" s="26">
        <f>IF(A391="","",IF(LEFT(J391,8)="Kural A ","Uygun - Hemen Ödenir (Yıl Sonu %75 Kontrolüne Tabi)",IF(OR(L391="Evet",M391="Evet"),IF(O391="Evet","Uygun","RİSK - Hakediş Süresi Aşıldı"),"Bekleniyor - Nakliye/Montaj Tamamlanmadı")))</f>
        <v/>
      </c>
      <c r="Q391" s="28">
        <f>IF(A391="","",SUMIFS('Hakedis Fatura Detay'!$G$3:$G$1200,'Hakedis Fatura Detay'!$H$3:$H$1200,'DIVA Satislari'!AJ391,'Hakedis Fatura Detay'!$F$3:$F$1200,"Fiyat Farkı")+SUMIFS('Hakedis Fatura Detay'!$G$3:$G$1200,'Hakedis Fatura Detay'!$H$3:$H$1200,'DIVA Satislari'!AJ391,'Hakedis Fatura Detay'!$F$3:$F$1200,"Bundle"))</f>
        <v/>
      </c>
      <c r="R391" s="28">
        <f>IF(A391="","",I391-Q391)</f>
        <v/>
      </c>
      <c r="S391" s="26">
        <f>IF(A391="","",IF(LEFT(P391,7)="Bekleni","N/A - Henüz Ödenmemeli",IF(LEFT(P391,4)="RİSK","İNCELEME GEREKLİ - Süre Aşımı",IF(R391=0,"Doğru",IF(R391&gt;0,"EKSİK ÖDENMİŞ","FAZLA ÖDENMİŞ")))))</f>
        <v/>
      </c>
      <c r="T391" s="30">
        <f>IF(A391="","",IF(F391&lt;&gt;"Evet","İNCELEME GEREKLİ - Kampanya Tanımsız",IF(G391&lt;&gt;"Evet","İNCELEME GEREKLİ - Tarih Dışı Satış",IF(LEFT(P391,4)="RİSK","İNCELEME GEREKLİ - Hakediş Süresi Aşıldı",IF(OR(S391="EKSİK ÖDENMİŞ",S391="FAZLA ÖDENMİŞ"),"İNCELEME GEREKLİ - Tutar Uyuşmazlığı",IF(LEFT(P391,7)="Bekleni","Bekleniyor","Uygun"))))))</f>
        <v/>
      </c>
    </row>
    <row r="392">
      <c r="A392" s="26">
        <f>IF('DIVA Satislari'!I392="","",'DIVA Satislari'!I392)</f>
        <v/>
      </c>
      <c r="B392" s="26">
        <f>IF('DIVA Satislari'!I392="","",'DIVA Satislari'!R392)</f>
        <v/>
      </c>
      <c r="C392" s="26">
        <f>IF('DIVA Satislari'!I392="","",'DIVA Satislari'!M392)</f>
        <v/>
      </c>
      <c r="D392" s="27">
        <f>IF('DIVA Satislari'!I392="","",'DIVA Satislari'!H392)</f>
        <v/>
      </c>
      <c r="E392" s="26">
        <f>IF('DIVA Satislari'!I392="","",'DIVA Satislari'!O392)</f>
        <v/>
      </c>
      <c r="F392" s="26">
        <f>IF('DIVA Satislari'!I392="","",'DIVA Satislari'!AK392)</f>
        <v/>
      </c>
      <c r="G392" s="26">
        <f>IF('DIVA Satislari'!I392="","",'DIVA Satislari'!AO392)</f>
        <v/>
      </c>
      <c r="H392" s="27">
        <f>IF('DIVA Satislari'!I392="","",'DIVA Satislari'!AN392)</f>
        <v/>
      </c>
      <c r="I392" s="28">
        <f>IF('DIVA Satislari'!I392="","",'DIVA Satislari'!AQ392)</f>
        <v/>
      </c>
      <c r="J392" s="26">
        <f>IF('DIVA Satislari'!I392="","",'DIVA Satislari'!AR392)</f>
        <v/>
      </c>
      <c r="K392" s="26">
        <f>IF('DIVA Satislari'!I392="","",IFERROR(INDEX('E2E Nakliye Montaj'!$AS$3:$AS$1002,MATCH('DIVA Satislari'!AJ392,'E2E Nakliye Montaj'!$AM$3:$AM$1002,0)),"Eşleşme Yok"))</f>
        <v/>
      </c>
      <c r="L392" s="26">
        <f>IF('DIVA Satislari'!I392="","",IFERROR(INDEX('E2E Nakliye Montaj'!$AT$3:$AT$1002,MATCH('DIVA Satislari'!AJ392,'E2E Nakliye Montaj'!$AM$3:$AM$1002,0)),"Hayır"))</f>
        <v/>
      </c>
      <c r="M392" s="26">
        <f>IF('DIVA Satislari'!I392="","",IFERROR(INDEX('E2E Nakliye Montaj'!$AU$3:$AU$1002,MATCH('DIVA Satislari'!AJ392,'E2E Nakliye Montaj'!$AM$3:$AM$1002,0)),"Hayır"))</f>
        <v/>
      </c>
      <c r="N392" s="27">
        <f>IF('DIVA Satislari'!I392="","",IFERROR(INDEX('E2E Nakliye Montaj'!$AV$3:$AV$1002,MATCH('DIVA Satislari'!AJ392,'E2E Nakliye Montaj'!$AM$3:$AM$1002,0)),""))</f>
        <v/>
      </c>
      <c r="O392" s="26">
        <f>IF(OR(A392="",N392=""),"",IF(N392&lt;=H392,"Evet","HAYIR - RİSK"))</f>
        <v/>
      </c>
      <c r="P392" s="26">
        <f>IF(A392="","",IF(LEFT(J392,8)="Kural A ","Uygun - Hemen Ödenir (Yıl Sonu %75 Kontrolüne Tabi)",IF(OR(L392="Evet",M392="Evet"),IF(O392="Evet","Uygun","RİSK - Hakediş Süresi Aşıldı"),"Bekleniyor - Nakliye/Montaj Tamamlanmadı")))</f>
        <v/>
      </c>
      <c r="Q392" s="28">
        <f>IF(A392="","",SUMIFS('Hakedis Fatura Detay'!$G$3:$G$1200,'Hakedis Fatura Detay'!$H$3:$H$1200,'DIVA Satislari'!AJ392,'Hakedis Fatura Detay'!$F$3:$F$1200,"Fiyat Farkı")+SUMIFS('Hakedis Fatura Detay'!$G$3:$G$1200,'Hakedis Fatura Detay'!$H$3:$H$1200,'DIVA Satislari'!AJ392,'Hakedis Fatura Detay'!$F$3:$F$1200,"Bundle"))</f>
        <v/>
      </c>
      <c r="R392" s="28">
        <f>IF(A392="","",I392-Q392)</f>
        <v/>
      </c>
      <c r="S392" s="26">
        <f>IF(A392="","",IF(LEFT(P392,7)="Bekleni","N/A - Henüz Ödenmemeli",IF(LEFT(P392,4)="RİSK","İNCELEME GEREKLİ - Süre Aşımı",IF(R392=0,"Doğru",IF(R392&gt;0,"EKSİK ÖDENMİŞ","FAZLA ÖDENMİŞ")))))</f>
        <v/>
      </c>
      <c r="T392" s="30">
        <f>IF(A392="","",IF(F392&lt;&gt;"Evet","İNCELEME GEREKLİ - Kampanya Tanımsız",IF(G392&lt;&gt;"Evet","İNCELEME GEREKLİ - Tarih Dışı Satış",IF(LEFT(P392,4)="RİSK","İNCELEME GEREKLİ - Hakediş Süresi Aşıldı",IF(OR(S392="EKSİK ÖDENMİŞ",S392="FAZLA ÖDENMİŞ"),"İNCELEME GEREKLİ - Tutar Uyuşmazlığı",IF(LEFT(P392,7)="Bekleni","Bekleniyor","Uygun"))))))</f>
        <v/>
      </c>
    </row>
    <row r="393">
      <c r="A393" s="26">
        <f>IF('DIVA Satislari'!I393="","",'DIVA Satislari'!I393)</f>
        <v/>
      </c>
      <c r="B393" s="26">
        <f>IF('DIVA Satislari'!I393="","",'DIVA Satislari'!R393)</f>
        <v/>
      </c>
      <c r="C393" s="26">
        <f>IF('DIVA Satislari'!I393="","",'DIVA Satislari'!M393)</f>
        <v/>
      </c>
      <c r="D393" s="27">
        <f>IF('DIVA Satislari'!I393="","",'DIVA Satislari'!H393)</f>
        <v/>
      </c>
      <c r="E393" s="26">
        <f>IF('DIVA Satislari'!I393="","",'DIVA Satislari'!O393)</f>
        <v/>
      </c>
      <c r="F393" s="26">
        <f>IF('DIVA Satislari'!I393="","",'DIVA Satislari'!AK393)</f>
        <v/>
      </c>
      <c r="G393" s="26">
        <f>IF('DIVA Satislari'!I393="","",'DIVA Satislari'!AO393)</f>
        <v/>
      </c>
      <c r="H393" s="27">
        <f>IF('DIVA Satislari'!I393="","",'DIVA Satislari'!AN393)</f>
        <v/>
      </c>
      <c r="I393" s="28">
        <f>IF('DIVA Satislari'!I393="","",'DIVA Satislari'!AQ393)</f>
        <v/>
      </c>
      <c r="J393" s="26">
        <f>IF('DIVA Satislari'!I393="","",'DIVA Satislari'!AR393)</f>
        <v/>
      </c>
      <c r="K393" s="26">
        <f>IF('DIVA Satislari'!I393="","",IFERROR(INDEX('E2E Nakliye Montaj'!$AS$3:$AS$1002,MATCH('DIVA Satislari'!AJ393,'E2E Nakliye Montaj'!$AM$3:$AM$1002,0)),"Eşleşme Yok"))</f>
        <v/>
      </c>
      <c r="L393" s="26">
        <f>IF('DIVA Satislari'!I393="","",IFERROR(INDEX('E2E Nakliye Montaj'!$AT$3:$AT$1002,MATCH('DIVA Satislari'!AJ393,'E2E Nakliye Montaj'!$AM$3:$AM$1002,0)),"Hayır"))</f>
        <v/>
      </c>
      <c r="M393" s="26">
        <f>IF('DIVA Satislari'!I393="","",IFERROR(INDEX('E2E Nakliye Montaj'!$AU$3:$AU$1002,MATCH('DIVA Satislari'!AJ393,'E2E Nakliye Montaj'!$AM$3:$AM$1002,0)),"Hayır"))</f>
        <v/>
      </c>
      <c r="N393" s="27">
        <f>IF('DIVA Satislari'!I393="","",IFERROR(INDEX('E2E Nakliye Montaj'!$AV$3:$AV$1002,MATCH('DIVA Satislari'!AJ393,'E2E Nakliye Montaj'!$AM$3:$AM$1002,0)),""))</f>
        <v/>
      </c>
      <c r="O393" s="26">
        <f>IF(OR(A393="",N393=""),"",IF(N393&lt;=H393,"Evet","HAYIR - RİSK"))</f>
        <v/>
      </c>
      <c r="P393" s="26">
        <f>IF(A393="","",IF(LEFT(J393,8)="Kural A ","Uygun - Hemen Ödenir (Yıl Sonu %75 Kontrolüne Tabi)",IF(OR(L393="Evet",M393="Evet"),IF(O393="Evet","Uygun","RİSK - Hakediş Süresi Aşıldı"),"Bekleniyor - Nakliye/Montaj Tamamlanmadı")))</f>
        <v/>
      </c>
      <c r="Q393" s="28">
        <f>IF(A393="","",SUMIFS('Hakedis Fatura Detay'!$G$3:$G$1200,'Hakedis Fatura Detay'!$H$3:$H$1200,'DIVA Satislari'!AJ393,'Hakedis Fatura Detay'!$F$3:$F$1200,"Fiyat Farkı")+SUMIFS('Hakedis Fatura Detay'!$G$3:$G$1200,'Hakedis Fatura Detay'!$H$3:$H$1200,'DIVA Satislari'!AJ393,'Hakedis Fatura Detay'!$F$3:$F$1200,"Bundle"))</f>
        <v/>
      </c>
      <c r="R393" s="28">
        <f>IF(A393="","",I393-Q393)</f>
        <v/>
      </c>
      <c r="S393" s="26">
        <f>IF(A393="","",IF(LEFT(P393,7)="Bekleni","N/A - Henüz Ödenmemeli",IF(LEFT(P393,4)="RİSK","İNCELEME GEREKLİ - Süre Aşımı",IF(R393=0,"Doğru",IF(R393&gt;0,"EKSİK ÖDENMİŞ","FAZLA ÖDENMİŞ")))))</f>
        <v/>
      </c>
      <c r="T393" s="30">
        <f>IF(A393="","",IF(F393&lt;&gt;"Evet","İNCELEME GEREKLİ - Kampanya Tanımsız",IF(G393&lt;&gt;"Evet","İNCELEME GEREKLİ - Tarih Dışı Satış",IF(LEFT(P393,4)="RİSK","İNCELEME GEREKLİ - Hakediş Süresi Aşıldı",IF(OR(S393="EKSİK ÖDENMİŞ",S393="FAZLA ÖDENMİŞ"),"İNCELEME GEREKLİ - Tutar Uyuşmazlığı",IF(LEFT(P393,7)="Bekleni","Bekleniyor","Uygun"))))))</f>
        <v/>
      </c>
    </row>
    <row r="394">
      <c r="A394" s="26">
        <f>IF('DIVA Satislari'!I394="","",'DIVA Satislari'!I394)</f>
        <v/>
      </c>
      <c r="B394" s="26">
        <f>IF('DIVA Satislari'!I394="","",'DIVA Satislari'!R394)</f>
        <v/>
      </c>
      <c r="C394" s="26">
        <f>IF('DIVA Satislari'!I394="","",'DIVA Satislari'!M394)</f>
        <v/>
      </c>
      <c r="D394" s="27">
        <f>IF('DIVA Satislari'!I394="","",'DIVA Satislari'!H394)</f>
        <v/>
      </c>
      <c r="E394" s="26">
        <f>IF('DIVA Satislari'!I394="","",'DIVA Satislari'!O394)</f>
        <v/>
      </c>
      <c r="F394" s="26">
        <f>IF('DIVA Satislari'!I394="","",'DIVA Satislari'!AK394)</f>
        <v/>
      </c>
      <c r="G394" s="26">
        <f>IF('DIVA Satislari'!I394="","",'DIVA Satislari'!AO394)</f>
        <v/>
      </c>
      <c r="H394" s="27">
        <f>IF('DIVA Satislari'!I394="","",'DIVA Satislari'!AN394)</f>
        <v/>
      </c>
      <c r="I394" s="28">
        <f>IF('DIVA Satislari'!I394="","",'DIVA Satislari'!AQ394)</f>
        <v/>
      </c>
      <c r="J394" s="26">
        <f>IF('DIVA Satislari'!I394="","",'DIVA Satislari'!AR394)</f>
        <v/>
      </c>
      <c r="K394" s="26">
        <f>IF('DIVA Satislari'!I394="","",IFERROR(INDEX('E2E Nakliye Montaj'!$AS$3:$AS$1002,MATCH('DIVA Satislari'!AJ394,'E2E Nakliye Montaj'!$AM$3:$AM$1002,0)),"Eşleşme Yok"))</f>
        <v/>
      </c>
      <c r="L394" s="26">
        <f>IF('DIVA Satislari'!I394="","",IFERROR(INDEX('E2E Nakliye Montaj'!$AT$3:$AT$1002,MATCH('DIVA Satislari'!AJ394,'E2E Nakliye Montaj'!$AM$3:$AM$1002,0)),"Hayır"))</f>
        <v/>
      </c>
      <c r="M394" s="26">
        <f>IF('DIVA Satislari'!I394="","",IFERROR(INDEX('E2E Nakliye Montaj'!$AU$3:$AU$1002,MATCH('DIVA Satislari'!AJ394,'E2E Nakliye Montaj'!$AM$3:$AM$1002,0)),"Hayır"))</f>
        <v/>
      </c>
      <c r="N394" s="27">
        <f>IF('DIVA Satislari'!I394="","",IFERROR(INDEX('E2E Nakliye Montaj'!$AV$3:$AV$1002,MATCH('DIVA Satislari'!AJ394,'E2E Nakliye Montaj'!$AM$3:$AM$1002,0)),""))</f>
        <v/>
      </c>
      <c r="O394" s="26">
        <f>IF(OR(A394="",N394=""),"",IF(N394&lt;=H394,"Evet","HAYIR - RİSK"))</f>
        <v/>
      </c>
      <c r="P394" s="26">
        <f>IF(A394="","",IF(LEFT(J394,8)="Kural A ","Uygun - Hemen Ödenir (Yıl Sonu %75 Kontrolüne Tabi)",IF(OR(L394="Evet",M394="Evet"),IF(O394="Evet","Uygun","RİSK - Hakediş Süresi Aşıldı"),"Bekleniyor - Nakliye/Montaj Tamamlanmadı")))</f>
        <v/>
      </c>
      <c r="Q394" s="28">
        <f>IF(A394="","",SUMIFS('Hakedis Fatura Detay'!$G$3:$G$1200,'Hakedis Fatura Detay'!$H$3:$H$1200,'DIVA Satislari'!AJ394,'Hakedis Fatura Detay'!$F$3:$F$1200,"Fiyat Farkı")+SUMIFS('Hakedis Fatura Detay'!$G$3:$G$1200,'Hakedis Fatura Detay'!$H$3:$H$1200,'DIVA Satislari'!AJ394,'Hakedis Fatura Detay'!$F$3:$F$1200,"Bundle"))</f>
        <v/>
      </c>
      <c r="R394" s="28">
        <f>IF(A394="","",I394-Q394)</f>
        <v/>
      </c>
      <c r="S394" s="26">
        <f>IF(A394="","",IF(LEFT(P394,7)="Bekleni","N/A - Henüz Ödenmemeli",IF(LEFT(P394,4)="RİSK","İNCELEME GEREKLİ - Süre Aşımı",IF(R394=0,"Doğru",IF(R394&gt;0,"EKSİK ÖDENMİŞ","FAZLA ÖDENMİŞ")))))</f>
        <v/>
      </c>
      <c r="T394" s="30">
        <f>IF(A394="","",IF(F394&lt;&gt;"Evet","İNCELEME GEREKLİ - Kampanya Tanımsız",IF(G394&lt;&gt;"Evet","İNCELEME GEREKLİ - Tarih Dışı Satış",IF(LEFT(P394,4)="RİSK","İNCELEME GEREKLİ - Hakediş Süresi Aşıldı",IF(OR(S394="EKSİK ÖDENMİŞ",S394="FAZLA ÖDENMİŞ"),"İNCELEME GEREKLİ - Tutar Uyuşmazlığı",IF(LEFT(P394,7)="Bekleni","Bekleniyor","Uygun"))))))</f>
        <v/>
      </c>
    </row>
    <row r="395">
      <c r="A395" s="26">
        <f>IF('DIVA Satislari'!I395="","",'DIVA Satislari'!I395)</f>
        <v/>
      </c>
      <c r="B395" s="26">
        <f>IF('DIVA Satislari'!I395="","",'DIVA Satislari'!R395)</f>
        <v/>
      </c>
      <c r="C395" s="26">
        <f>IF('DIVA Satislari'!I395="","",'DIVA Satislari'!M395)</f>
        <v/>
      </c>
      <c r="D395" s="27">
        <f>IF('DIVA Satislari'!I395="","",'DIVA Satislari'!H395)</f>
        <v/>
      </c>
      <c r="E395" s="26">
        <f>IF('DIVA Satislari'!I395="","",'DIVA Satislari'!O395)</f>
        <v/>
      </c>
      <c r="F395" s="26">
        <f>IF('DIVA Satislari'!I395="","",'DIVA Satislari'!AK395)</f>
        <v/>
      </c>
      <c r="G395" s="26">
        <f>IF('DIVA Satislari'!I395="","",'DIVA Satislari'!AO395)</f>
        <v/>
      </c>
      <c r="H395" s="27">
        <f>IF('DIVA Satislari'!I395="","",'DIVA Satislari'!AN395)</f>
        <v/>
      </c>
      <c r="I395" s="28">
        <f>IF('DIVA Satislari'!I395="","",'DIVA Satislari'!AQ395)</f>
        <v/>
      </c>
      <c r="J395" s="26">
        <f>IF('DIVA Satislari'!I395="","",'DIVA Satislari'!AR395)</f>
        <v/>
      </c>
      <c r="K395" s="26">
        <f>IF('DIVA Satislari'!I395="","",IFERROR(INDEX('E2E Nakliye Montaj'!$AS$3:$AS$1002,MATCH('DIVA Satislari'!AJ395,'E2E Nakliye Montaj'!$AM$3:$AM$1002,0)),"Eşleşme Yok"))</f>
        <v/>
      </c>
      <c r="L395" s="26">
        <f>IF('DIVA Satislari'!I395="","",IFERROR(INDEX('E2E Nakliye Montaj'!$AT$3:$AT$1002,MATCH('DIVA Satislari'!AJ395,'E2E Nakliye Montaj'!$AM$3:$AM$1002,0)),"Hayır"))</f>
        <v/>
      </c>
      <c r="M395" s="26">
        <f>IF('DIVA Satislari'!I395="","",IFERROR(INDEX('E2E Nakliye Montaj'!$AU$3:$AU$1002,MATCH('DIVA Satislari'!AJ395,'E2E Nakliye Montaj'!$AM$3:$AM$1002,0)),"Hayır"))</f>
        <v/>
      </c>
      <c r="N395" s="27">
        <f>IF('DIVA Satislari'!I395="","",IFERROR(INDEX('E2E Nakliye Montaj'!$AV$3:$AV$1002,MATCH('DIVA Satislari'!AJ395,'E2E Nakliye Montaj'!$AM$3:$AM$1002,0)),""))</f>
        <v/>
      </c>
      <c r="O395" s="26">
        <f>IF(OR(A395="",N395=""),"",IF(N395&lt;=H395,"Evet","HAYIR - RİSK"))</f>
        <v/>
      </c>
      <c r="P395" s="26">
        <f>IF(A395="","",IF(LEFT(J395,8)="Kural A ","Uygun - Hemen Ödenir (Yıl Sonu %75 Kontrolüne Tabi)",IF(OR(L395="Evet",M395="Evet"),IF(O395="Evet","Uygun","RİSK - Hakediş Süresi Aşıldı"),"Bekleniyor - Nakliye/Montaj Tamamlanmadı")))</f>
        <v/>
      </c>
      <c r="Q395" s="28">
        <f>IF(A395="","",SUMIFS('Hakedis Fatura Detay'!$G$3:$G$1200,'Hakedis Fatura Detay'!$H$3:$H$1200,'DIVA Satislari'!AJ395,'Hakedis Fatura Detay'!$F$3:$F$1200,"Fiyat Farkı")+SUMIFS('Hakedis Fatura Detay'!$G$3:$G$1200,'Hakedis Fatura Detay'!$H$3:$H$1200,'DIVA Satislari'!AJ395,'Hakedis Fatura Detay'!$F$3:$F$1200,"Bundle"))</f>
        <v/>
      </c>
      <c r="R395" s="28">
        <f>IF(A395="","",I395-Q395)</f>
        <v/>
      </c>
      <c r="S395" s="26">
        <f>IF(A395="","",IF(LEFT(P395,7)="Bekleni","N/A - Henüz Ödenmemeli",IF(LEFT(P395,4)="RİSK","İNCELEME GEREKLİ - Süre Aşımı",IF(R395=0,"Doğru",IF(R395&gt;0,"EKSİK ÖDENMİŞ","FAZLA ÖDENMİŞ")))))</f>
        <v/>
      </c>
      <c r="T395" s="30">
        <f>IF(A395="","",IF(F395&lt;&gt;"Evet","İNCELEME GEREKLİ - Kampanya Tanımsız",IF(G395&lt;&gt;"Evet","İNCELEME GEREKLİ - Tarih Dışı Satış",IF(LEFT(P395,4)="RİSK","İNCELEME GEREKLİ - Hakediş Süresi Aşıldı",IF(OR(S395="EKSİK ÖDENMİŞ",S395="FAZLA ÖDENMİŞ"),"İNCELEME GEREKLİ - Tutar Uyuşmazlığı",IF(LEFT(P395,7)="Bekleni","Bekleniyor","Uygun"))))))</f>
        <v/>
      </c>
    </row>
    <row r="396">
      <c r="A396" s="26">
        <f>IF('DIVA Satislari'!I396="","",'DIVA Satislari'!I396)</f>
        <v/>
      </c>
      <c r="B396" s="26">
        <f>IF('DIVA Satislari'!I396="","",'DIVA Satislari'!R396)</f>
        <v/>
      </c>
      <c r="C396" s="26">
        <f>IF('DIVA Satislari'!I396="","",'DIVA Satislari'!M396)</f>
        <v/>
      </c>
      <c r="D396" s="27">
        <f>IF('DIVA Satislari'!I396="","",'DIVA Satislari'!H396)</f>
        <v/>
      </c>
      <c r="E396" s="26">
        <f>IF('DIVA Satislari'!I396="","",'DIVA Satislari'!O396)</f>
        <v/>
      </c>
      <c r="F396" s="26">
        <f>IF('DIVA Satislari'!I396="","",'DIVA Satislari'!AK396)</f>
        <v/>
      </c>
      <c r="G396" s="26">
        <f>IF('DIVA Satislari'!I396="","",'DIVA Satislari'!AO396)</f>
        <v/>
      </c>
      <c r="H396" s="27">
        <f>IF('DIVA Satislari'!I396="","",'DIVA Satislari'!AN396)</f>
        <v/>
      </c>
      <c r="I396" s="28">
        <f>IF('DIVA Satislari'!I396="","",'DIVA Satislari'!AQ396)</f>
        <v/>
      </c>
      <c r="J396" s="26">
        <f>IF('DIVA Satislari'!I396="","",'DIVA Satislari'!AR396)</f>
        <v/>
      </c>
      <c r="K396" s="26">
        <f>IF('DIVA Satislari'!I396="","",IFERROR(INDEX('E2E Nakliye Montaj'!$AS$3:$AS$1002,MATCH('DIVA Satislari'!AJ396,'E2E Nakliye Montaj'!$AM$3:$AM$1002,0)),"Eşleşme Yok"))</f>
        <v/>
      </c>
      <c r="L396" s="26">
        <f>IF('DIVA Satislari'!I396="","",IFERROR(INDEX('E2E Nakliye Montaj'!$AT$3:$AT$1002,MATCH('DIVA Satislari'!AJ396,'E2E Nakliye Montaj'!$AM$3:$AM$1002,0)),"Hayır"))</f>
        <v/>
      </c>
      <c r="M396" s="26">
        <f>IF('DIVA Satislari'!I396="","",IFERROR(INDEX('E2E Nakliye Montaj'!$AU$3:$AU$1002,MATCH('DIVA Satislari'!AJ396,'E2E Nakliye Montaj'!$AM$3:$AM$1002,0)),"Hayır"))</f>
        <v/>
      </c>
      <c r="N396" s="27">
        <f>IF('DIVA Satislari'!I396="","",IFERROR(INDEX('E2E Nakliye Montaj'!$AV$3:$AV$1002,MATCH('DIVA Satislari'!AJ396,'E2E Nakliye Montaj'!$AM$3:$AM$1002,0)),""))</f>
        <v/>
      </c>
      <c r="O396" s="26">
        <f>IF(OR(A396="",N396=""),"",IF(N396&lt;=H396,"Evet","HAYIR - RİSK"))</f>
        <v/>
      </c>
      <c r="P396" s="26">
        <f>IF(A396="","",IF(LEFT(J396,8)="Kural A ","Uygun - Hemen Ödenir (Yıl Sonu %75 Kontrolüne Tabi)",IF(OR(L396="Evet",M396="Evet"),IF(O396="Evet","Uygun","RİSK - Hakediş Süresi Aşıldı"),"Bekleniyor - Nakliye/Montaj Tamamlanmadı")))</f>
        <v/>
      </c>
      <c r="Q396" s="28">
        <f>IF(A396="","",SUMIFS('Hakedis Fatura Detay'!$G$3:$G$1200,'Hakedis Fatura Detay'!$H$3:$H$1200,'DIVA Satislari'!AJ396,'Hakedis Fatura Detay'!$F$3:$F$1200,"Fiyat Farkı")+SUMIFS('Hakedis Fatura Detay'!$G$3:$G$1200,'Hakedis Fatura Detay'!$H$3:$H$1200,'DIVA Satislari'!AJ396,'Hakedis Fatura Detay'!$F$3:$F$1200,"Bundle"))</f>
        <v/>
      </c>
      <c r="R396" s="28">
        <f>IF(A396="","",I396-Q396)</f>
        <v/>
      </c>
      <c r="S396" s="26">
        <f>IF(A396="","",IF(LEFT(P396,7)="Bekleni","N/A - Henüz Ödenmemeli",IF(LEFT(P396,4)="RİSK","İNCELEME GEREKLİ - Süre Aşımı",IF(R396=0,"Doğru",IF(R396&gt;0,"EKSİK ÖDENMİŞ","FAZLA ÖDENMİŞ")))))</f>
        <v/>
      </c>
      <c r="T396" s="30">
        <f>IF(A396="","",IF(F396&lt;&gt;"Evet","İNCELEME GEREKLİ - Kampanya Tanımsız",IF(G396&lt;&gt;"Evet","İNCELEME GEREKLİ - Tarih Dışı Satış",IF(LEFT(P396,4)="RİSK","İNCELEME GEREKLİ - Hakediş Süresi Aşıldı",IF(OR(S396="EKSİK ÖDENMİŞ",S396="FAZLA ÖDENMİŞ"),"İNCELEME GEREKLİ - Tutar Uyuşmazlığı",IF(LEFT(P396,7)="Bekleni","Bekleniyor","Uygun"))))))</f>
        <v/>
      </c>
    </row>
    <row r="397">
      <c r="A397" s="26">
        <f>IF('DIVA Satislari'!I397="","",'DIVA Satislari'!I397)</f>
        <v/>
      </c>
      <c r="B397" s="26">
        <f>IF('DIVA Satislari'!I397="","",'DIVA Satislari'!R397)</f>
        <v/>
      </c>
      <c r="C397" s="26">
        <f>IF('DIVA Satislari'!I397="","",'DIVA Satislari'!M397)</f>
        <v/>
      </c>
      <c r="D397" s="27">
        <f>IF('DIVA Satislari'!I397="","",'DIVA Satislari'!H397)</f>
        <v/>
      </c>
      <c r="E397" s="26">
        <f>IF('DIVA Satislari'!I397="","",'DIVA Satislari'!O397)</f>
        <v/>
      </c>
      <c r="F397" s="26">
        <f>IF('DIVA Satislari'!I397="","",'DIVA Satislari'!AK397)</f>
        <v/>
      </c>
      <c r="G397" s="26">
        <f>IF('DIVA Satislari'!I397="","",'DIVA Satislari'!AO397)</f>
        <v/>
      </c>
      <c r="H397" s="27">
        <f>IF('DIVA Satislari'!I397="","",'DIVA Satislari'!AN397)</f>
        <v/>
      </c>
      <c r="I397" s="28">
        <f>IF('DIVA Satislari'!I397="","",'DIVA Satislari'!AQ397)</f>
        <v/>
      </c>
      <c r="J397" s="26">
        <f>IF('DIVA Satislari'!I397="","",'DIVA Satislari'!AR397)</f>
        <v/>
      </c>
      <c r="K397" s="26">
        <f>IF('DIVA Satislari'!I397="","",IFERROR(INDEX('E2E Nakliye Montaj'!$AS$3:$AS$1002,MATCH('DIVA Satislari'!AJ397,'E2E Nakliye Montaj'!$AM$3:$AM$1002,0)),"Eşleşme Yok"))</f>
        <v/>
      </c>
      <c r="L397" s="26">
        <f>IF('DIVA Satislari'!I397="","",IFERROR(INDEX('E2E Nakliye Montaj'!$AT$3:$AT$1002,MATCH('DIVA Satislari'!AJ397,'E2E Nakliye Montaj'!$AM$3:$AM$1002,0)),"Hayır"))</f>
        <v/>
      </c>
      <c r="M397" s="26">
        <f>IF('DIVA Satislari'!I397="","",IFERROR(INDEX('E2E Nakliye Montaj'!$AU$3:$AU$1002,MATCH('DIVA Satislari'!AJ397,'E2E Nakliye Montaj'!$AM$3:$AM$1002,0)),"Hayır"))</f>
        <v/>
      </c>
      <c r="N397" s="27">
        <f>IF('DIVA Satislari'!I397="","",IFERROR(INDEX('E2E Nakliye Montaj'!$AV$3:$AV$1002,MATCH('DIVA Satislari'!AJ397,'E2E Nakliye Montaj'!$AM$3:$AM$1002,0)),""))</f>
        <v/>
      </c>
      <c r="O397" s="26">
        <f>IF(OR(A397="",N397=""),"",IF(N397&lt;=H397,"Evet","HAYIR - RİSK"))</f>
        <v/>
      </c>
      <c r="P397" s="26">
        <f>IF(A397="","",IF(LEFT(J397,8)="Kural A ","Uygun - Hemen Ödenir (Yıl Sonu %75 Kontrolüne Tabi)",IF(OR(L397="Evet",M397="Evet"),IF(O397="Evet","Uygun","RİSK - Hakediş Süresi Aşıldı"),"Bekleniyor - Nakliye/Montaj Tamamlanmadı")))</f>
        <v/>
      </c>
      <c r="Q397" s="28">
        <f>IF(A397="","",SUMIFS('Hakedis Fatura Detay'!$G$3:$G$1200,'Hakedis Fatura Detay'!$H$3:$H$1200,'DIVA Satislari'!AJ397,'Hakedis Fatura Detay'!$F$3:$F$1200,"Fiyat Farkı")+SUMIFS('Hakedis Fatura Detay'!$G$3:$G$1200,'Hakedis Fatura Detay'!$H$3:$H$1200,'DIVA Satislari'!AJ397,'Hakedis Fatura Detay'!$F$3:$F$1200,"Bundle"))</f>
        <v/>
      </c>
      <c r="R397" s="28">
        <f>IF(A397="","",I397-Q397)</f>
        <v/>
      </c>
      <c r="S397" s="26">
        <f>IF(A397="","",IF(LEFT(P397,7)="Bekleni","N/A - Henüz Ödenmemeli",IF(LEFT(P397,4)="RİSK","İNCELEME GEREKLİ - Süre Aşımı",IF(R397=0,"Doğru",IF(R397&gt;0,"EKSİK ÖDENMİŞ","FAZLA ÖDENMİŞ")))))</f>
        <v/>
      </c>
      <c r="T397" s="30">
        <f>IF(A397="","",IF(F397&lt;&gt;"Evet","İNCELEME GEREKLİ - Kampanya Tanımsız",IF(G397&lt;&gt;"Evet","İNCELEME GEREKLİ - Tarih Dışı Satış",IF(LEFT(P397,4)="RİSK","İNCELEME GEREKLİ - Hakediş Süresi Aşıldı",IF(OR(S397="EKSİK ÖDENMİŞ",S397="FAZLA ÖDENMİŞ"),"İNCELEME GEREKLİ - Tutar Uyuşmazlığı",IF(LEFT(P397,7)="Bekleni","Bekleniyor","Uygun"))))))</f>
        <v/>
      </c>
    </row>
    <row r="398">
      <c r="A398" s="26">
        <f>IF('DIVA Satislari'!I398="","",'DIVA Satislari'!I398)</f>
        <v/>
      </c>
      <c r="B398" s="26">
        <f>IF('DIVA Satislari'!I398="","",'DIVA Satislari'!R398)</f>
        <v/>
      </c>
      <c r="C398" s="26">
        <f>IF('DIVA Satislari'!I398="","",'DIVA Satislari'!M398)</f>
        <v/>
      </c>
      <c r="D398" s="27">
        <f>IF('DIVA Satislari'!I398="","",'DIVA Satislari'!H398)</f>
        <v/>
      </c>
      <c r="E398" s="26">
        <f>IF('DIVA Satislari'!I398="","",'DIVA Satislari'!O398)</f>
        <v/>
      </c>
      <c r="F398" s="26">
        <f>IF('DIVA Satislari'!I398="","",'DIVA Satislari'!AK398)</f>
        <v/>
      </c>
      <c r="G398" s="26">
        <f>IF('DIVA Satislari'!I398="","",'DIVA Satislari'!AO398)</f>
        <v/>
      </c>
      <c r="H398" s="27">
        <f>IF('DIVA Satislari'!I398="","",'DIVA Satislari'!AN398)</f>
        <v/>
      </c>
      <c r="I398" s="28">
        <f>IF('DIVA Satislari'!I398="","",'DIVA Satislari'!AQ398)</f>
        <v/>
      </c>
      <c r="J398" s="26">
        <f>IF('DIVA Satislari'!I398="","",'DIVA Satislari'!AR398)</f>
        <v/>
      </c>
      <c r="K398" s="26">
        <f>IF('DIVA Satislari'!I398="","",IFERROR(INDEX('E2E Nakliye Montaj'!$AS$3:$AS$1002,MATCH('DIVA Satislari'!AJ398,'E2E Nakliye Montaj'!$AM$3:$AM$1002,0)),"Eşleşme Yok"))</f>
        <v/>
      </c>
      <c r="L398" s="26">
        <f>IF('DIVA Satislari'!I398="","",IFERROR(INDEX('E2E Nakliye Montaj'!$AT$3:$AT$1002,MATCH('DIVA Satislari'!AJ398,'E2E Nakliye Montaj'!$AM$3:$AM$1002,0)),"Hayır"))</f>
        <v/>
      </c>
      <c r="M398" s="26">
        <f>IF('DIVA Satislari'!I398="","",IFERROR(INDEX('E2E Nakliye Montaj'!$AU$3:$AU$1002,MATCH('DIVA Satislari'!AJ398,'E2E Nakliye Montaj'!$AM$3:$AM$1002,0)),"Hayır"))</f>
        <v/>
      </c>
      <c r="N398" s="27">
        <f>IF('DIVA Satislari'!I398="","",IFERROR(INDEX('E2E Nakliye Montaj'!$AV$3:$AV$1002,MATCH('DIVA Satislari'!AJ398,'E2E Nakliye Montaj'!$AM$3:$AM$1002,0)),""))</f>
        <v/>
      </c>
      <c r="O398" s="26">
        <f>IF(OR(A398="",N398=""),"",IF(N398&lt;=H398,"Evet","HAYIR - RİSK"))</f>
        <v/>
      </c>
      <c r="P398" s="26">
        <f>IF(A398="","",IF(LEFT(J398,8)="Kural A ","Uygun - Hemen Ödenir (Yıl Sonu %75 Kontrolüne Tabi)",IF(OR(L398="Evet",M398="Evet"),IF(O398="Evet","Uygun","RİSK - Hakediş Süresi Aşıldı"),"Bekleniyor - Nakliye/Montaj Tamamlanmadı")))</f>
        <v/>
      </c>
      <c r="Q398" s="28">
        <f>IF(A398="","",SUMIFS('Hakedis Fatura Detay'!$G$3:$G$1200,'Hakedis Fatura Detay'!$H$3:$H$1200,'DIVA Satislari'!AJ398,'Hakedis Fatura Detay'!$F$3:$F$1200,"Fiyat Farkı")+SUMIFS('Hakedis Fatura Detay'!$G$3:$G$1200,'Hakedis Fatura Detay'!$H$3:$H$1200,'DIVA Satislari'!AJ398,'Hakedis Fatura Detay'!$F$3:$F$1200,"Bundle"))</f>
        <v/>
      </c>
      <c r="R398" s="28">
        <f>IF(A398="","",I398-Q398)</f>
        <v/>
      </c>
      <c r="S398" s="26">
        <f>IF(A398="","",IF(LEFT(P398,7)="Bekleni","N/A - Henüz Ödenmemeli",IF(LEFT(P398,4)="RİSK","İNCELEME GEREKLİ - Süre Aşımı",IF(R398=0,"Doğru",IF(R398&gt;0,"EKSİK ÖDENMİŞ","FAZLA ÖDENMİŞ")))))</f>
        <v/>
      </c>
      <c r="T398" s="30">
        <f>IF(A398="","",IF(F398&lt;&gt;"Evet","İNCELEME GEREKLİ - Kampanya Tanımsız",IF(G398&lt;&gt;"Evet","İNCELEME GEREKLİ - Tarih Dışı Satış",IF(LEFT(P398,4)="RİSK","İNCELEME GEREKLİ - Hakediş Süresi Aşıldı",IF(OR(S398="EKSİK ÖDENMİŞ",S398="FAZLA ÖDENMİŞ"),"İNCELEME GEREKLİ - Tutar Uyuşmazlığı",IF(LEFT(P398,7)="Bekleni","Bekleniyor","Uygun"))))))</f>
        <v/>
      </c>
    </row>
    <row r="399">
      <c r="A399" s="26">
        <f>IF('DIVA Satislari'!I399="","",'DIVA Satislari'!I399)</f>
        <v/>
      </c>
      <c r="B399" s="26">
        <f>IF('DIVA Satislari'!I399="","",'DIVA Satislari'!R399)</f>
        <v/>
      </c>
      <c r="C399" s="26">
        <f>IF('DIVA Satislari'!I399="","",'DIVA Satislari'!M399)</f>
        <v/>
      </c>
      <c r="D399" s="27">
        <f>IF('DIVA Satislari'!I399="","",'DIVA Satislari'!H399)</f>
        <v/>
      </c>
      <c r="E399" s="26">
        <f>IF('DIVA Satislari'!I399="","",'DIVA Satislari'!O399)</f>
        <v/>
      </c>
      <c r="F399" s="26">
        <f>IF('DIVA Satislari'!I399="","",'DIVA Satislari'!AK399)</f>
        <v/>
      </c>
      <c r="G399" s="26">
        <f>IF('DIVA Satislari'!I399="","",'DIVA Satislari'!AO399)</f>
        <v/>
      </c>
      <c r="H399" s="27">
        <f>IF('DIVA Satislari'!I399="","",'DIVA Satislari'!AN399)</f>
        <v/>
      </c>
      <c r="I399" s="28">
        <f>IF('DIVA Satislari'!I399="","",'DIVA Satislari'!AQ399)</f>
        <v/>
      </c>
      <c r="J399" s="26">
        <f>IF('DIVA Satislari'!I399="","",'DIVA Satislari'!AR399)</f>
        <v/>
      </c>
      <c r="K399" s="26">
        <f>IF('DIVA Satislari'!I399="","",IFERROR(INDEX('E2E Nakliye Montaj'!$AS$3:$AS$1002,MATCH('DIVA Satislari'!AJ399,'E2E Nakliye Montaj'!$AM$3:$AM$1002,0)),"Eşleşme Yok"))</f>
        <v/>
      </c>
      <c r="L399" s="26">
        <f>IF('DIVA Satislari'!I399="","",IFERROR(INDEX('E2E Nakliye Montaj'!$AT$3:$AT$1002,MATCH('DIVA Satislari'!AJ399,'E2E Nakliye Montaj'!$AM$3:$AM$1002,0)),"Hayır"))</f>
        <v/>
      </c>
      <c r="M399" s="26">
        <f>IF('DIVA Satislari'!I399="","",IFERROR(INDEX('E2E Nakliye Montaj'!$AU$3:$AU$1002,MATCH('DIVA Satislari'!AJ399,'E2E Nakliye Montaj'!$AM$3:$AM$1002,0)),"Hayır"))</f>
        <v/>
      </c>
      <c r="N399" s="27">
        <f>IF('DIVA Satislari'!I399="","",IFERROR(INDEX('E2E Nakliye Montaj'!$AV$3:$AV$1002,MATCH('DIVA Satislari'!AJ399,'E2E Nakliye Montaj'!$AM$3:$AM$1002,0)),""))</f>
        <v/>
      </c>
      <c r="O399" s="26">
        <f>IF(OR(A399="",N399=""),"",IF(N399&lt;=H399,"Evet","HAYIR - RİSK"))</f>
        <v/>
      </c>
      <c r="P399" s="26">
        <f>IF(A399="","",IF(LEFT(J399,8)="Kural A ","Uygun - Hemen Ödenir (Yıl Sonu %75 Kontrolüne Tabi)",IF(OR(L399="Evet",M399="Evet"),IF(O399="Evet","Uygun","RİSK - Hakediş Süresi Aşıldı"),"Bekleniyor - Nakliye/Montaj Tamamlanmadı")))</f>
        <v/>
      </c>
      <c r="Q399" s="28">
        <f>IF(A399="","",SUMIFS('Hakedis Fatura Detay'!$G$3:$G$1200,'Hakedis Fatura Detay'!$H$3:$H$1200,'DIVA Satislari'!AJ399,'Hakedis Fatura Detay'!$F$3:$F$1200,"Fiyat Farkı")+SUMIFS('Hakedis Fatura Detay'!$G$3:$G$1200,'Hakedis Fatura Detay'!$H$3:$H$1200,'DIVA Satislari'!AJ399,'Hakedis Fatura Detay'!$F$3:$F$1200,"Bundle"))</f>
        <v/>
      </c>
      <c r="R399" s="28">
        <f>IF(A399="","",I399-Q399)</f>
        <v/>
      </c>
      <c r="S399" s="26">
        <f>IF(A399="","",IF(LEFT(P399,7)="Bekleni","N/A - Henüz Ödenmemeli",IF(LEFT(P399,4)="RİSK","İNCELEME GEREKLİ - Süre Aşımı",IF(R399=0,"Doğru",IF(R399&gt;0,"EKSİK ÖDENMİŞ","FAZLA ÖDENMİŞ")))))</f>
        <v/>
      </c>
      <c r="T399" s="30">
        <f>IF(A399="","",IF(F399&lt;&gt;"Evet","İNCELEME GEREKLİ - Kampanya Tanımsız",IF(G399&lt;&gt;"Evet","İNCELEME GEREKLİ - Tarih Dışı Satış",IF(LEFT(P399,4)="RİSK","İNCELEME GEREKLİ - Hakediş Süresi Aşıldı",IF(OR(S399="EKSİK ÖDENMİŞ",S399="FAZLA ÖDENMİŞ"),"İNCELEME GEREKLİ - Tutar Uyuşmazlığı",IF(LEFT(P399,7)="Bekleni","Bekleniyor","Uygun"))))))</f>
        <v/>
      </c>
    </row>
    <row r="400">
      <c r="A400" s="26">
        <f>IF('DIVA Satislari'!I400="","",'DIVA Satislari'!I400)</f>
        <v/>
      </c>
      <c r="B400" s="26">
        <f>IF('DIVA Satislari'!I400="","",'DIVA Satislari'!R400)</f>
        <v/>
      </c>
      <c r="C400" s="26">
        <f>IF('DIVA Satislari'!I400="","",'DIVA Satislari'!M400)</f>
        <v/>
      </c>
      <c r="D400" s="27">
        <f>IF('DIVA Satislari'!I400="","",'DIVA Satislari'!H400)</f>
        <v/>
      </c>
      <c r="E400" s="26">
        <f>IF('DIVA Satislari'!I400="","",'DIVA Satislari'!O400)</f>
        <v/>
      </c>
      <c r="F400" s="26">
        <f>IF('DIVA Satislari'!I400="","",'DIVA Satislari'!AK400)</f>
        <v/>
      </c>
      <c r="G400" s="26">
        <f>IF('DIVA Satislari'!I400="","",'DIVA Satislari'!AO400)</f>
        <v/>
      </c>
      <c r="H400" s="27">
        <f>IF('DIVA Satislari'!I400="","",'DIVA Satislari'!AN400)</f>
        <v/>
      </c>
      <c r="I400" s="28">
        <f>IF('DIVA Satislari'!I400="","",'DIVA Satislari'!AQ400)</f>
        <v/>
      </c>
      <c r="J400" s="26">
        <f>IF('DIVA Satislari'!I400="","",'DIVA Satislari'!AR400)</f>
        <v/>
      </c>
      <c r="K400" s="26">
        <f>IF('DIVA Satislari'!I400="","",IFERROR(INDEX('E2E Nakliye Montaj'!$AS$3:$AS$1002,MATCH('DIVA Satislari'!AJ400,'E2E Nakliye Montaj'!$AM$3:$AM$1002,0)),"Eşleşme Yok"))</f>
        <v/>
      </c>
      <c r="L400" s="26">
        <f>IF('DIVA Satislari'!I400="","",IFERROR(INDEX('E2E Nakliye Montaj'!$AT$3:$AT$1002,MATCH('DIVA Satislari'!AJ400,'E2E Nakliye Montaj'!$AM$3:$AM$1002,0)),"Hayır"))</f>
        <v/>
      </c>
      <c r="M400" s="26">
        <f>IF('DIVA Satislari'!I400="","",IFERROR(INDEX('E2E Nakliye Montaj'!$AU$3:$AU$1002,MATCH('DIVA Satislari'!AJ400,'E2E Nakliye Montaj'!$AM$3:$AM$1002,0)),"Hayır"))</f>
        <v/>
      </c>
      <c r="N400" s="27">
        <f>IF('DIVA Satislari'!I400="","",IFERROR(INDEX('E2E Nakliye Montaj'!$AV$3:$AV$1002,MATCH('DIVA Satislari'!AJ400,'E2E Nakliye Montaj'!$AM$3:$AM$1002,0)),""))</f>
        <v/>
      </c>
      <c r="O400" s="26">
        <f>IF(OR(A400="",N400=""),"",IF(N400&lt;=H400,"Evet","HAYIR - RİSK"))</f>
        <v/>
      </c>
      <c r="P400" s="26">
        <f>IF(A400="","",IF(LEFT(J400,8)="Kural A ","Uygun - Hemen Ödenir (Yıl Sonu %75 Kontrolüne Tabi)",IF(OR(L400="Evet",M400="Evet"),IF(O400="Evet","Uygun","RİSK - Hakediş Süresi Aşıldı"),"Bekleniyor - Nakliye/Montaj Tamamlanmadı")))</f>
        <v/>
      </c>
      <c r="Q400" s="28">
        <f>IF(A400="","",SUMIFS('Hakedis Fatura Detay'!$G$3:$G$1200,'Hakedis Fatura Detay'!$H$3:$H$1200,'DIVA Satislari'!AJ400,'Hakedis Fatura Detay'!$F$3:$F$1200,"Fiyat Farkı")+SUMIFS('Hakedis Fatura Detay'!$G$3:$G$1200,'Hakedis Fatura Detay'!$H$3:$H$1200,'DIVA Satislari'!AJ400,'Hakedis Fatura Detay'!$F$3:$F$1200,"Bundle"))</f>
        <v/>
      </c>
      <c r="R400" s="28">
        <f>IF(A400="","",I400-Q400)</f>
        <v/>
      </c>
      <c r="S400" s="26">
        <f>IF(A400="","",IF(LEFT(P400,7)="Bekleni","N/A - Henüz Ödenmemeli",IF(LEFT(P400,4)="RİSK","İNCELEME GEREKLİ - Süre Aşımı",IF(R400=0,"Doğru",IF(R400&gt;0,"EKSİK ÖDENMİŞ","FAZLA ÖDENMİŞ")))))</f>
        <v/>
      </c>
      <c r="T400" s="30">
        <f>IF(A400="","",IF(F400&lt;&gt;"Evet","İNCELEME GEREKLİ - Kampanya Tanımsız",IF(G400&lt;&gt;"Evet","İNCELEME GEREKLİ - Tarih Dışı Satış",IF(LEFT(P400,4)="RİSK","İNCELEME GEREKLİ - Hakediş Süresi Aşıldı",IF(OR(S400="EKSİK ÖDENMİŞ",S400="FAZLA ÖDENMİŞ"),"İNCELEME GEREKLİ - Tutar Uyuşmazlığı",IF(LEFT(P400,7)="Bekleni","Bekleniyor","Uygun"))))))</f>
        <v/>
      </c>
    </row>
    <row r="401">
      <c r="A401" s="26">
        <f>IF('DIVA Satislari'!I401="","",'DIVA Satislari'!I401)</f>
        <v/>
      </c>
      <c r="B401" s="26">
        <f>IF('DIVA Satislari'!I401="","",'DIVA Satislari'!R401)</f>
        <v/>
      </c>
      <c r="C401" s="26">
        <f>IF('DIVA Satislari'!I401="","",'DIVA Satislari'!M401)</f>
        <v/>
      </c>
      <c r="D401" s="27">
        <f>IF('DIVA Satislari'!I401="","",'DIVA Satislari'!H401)</f>
        <v/>
      </c>
      <c r="E401" s="26">
        <f>IF('DIVA Satislari'!I401="","",'DIVA Satislari'!O401)</f>
        <v/>
      </c>
      <c r="F401" s="26">
        <f>IF('DIVA Satislari'!I401="","",'DIVA Satislari'!AK401)</f>
        <v/>
      </c>
      <c r="G401" s="26">
        <f>IF('DIVA Satislari'!I401="","",'DIVA Satislari'!AO401)</f>
        <v/>
      </c>
      <c r="H401" s="27">
        <f>IF('DIVA Satislari'!I401="","",'DIVA Satislari'!AN401)</f>
        <v/>
      </c>
      <c r="I401" s="28">
        <f>IF('DIVA Satislari'!I401="","",'DIVA Satislari'!AQ401)</f>
        <v/>
      </c>
      <c r="J401" s="26">
        <f>IF('DIVA Satislari'!I401="","",'DIVA Satislari'!AR401)</f>
        <v/>
      </c>
      <c r="K401" s="26">
        <f>IF('DIVA Satislari'!I401="","",IFERROR(INDEX('E2E Nakliye Montaj'!$AS$3:$AS$1002,MATCH('DIVA Satislari'!AJ401,'E2E Nakliye Montaj'!$AM$3:$AM$1002,0)),"Eşleşme Yok"))</f>
        <v/>
      </c>
      <c r="L401" s="26">
        <f>IF('DIVA Satislari'!I401="","",IFERROR(INDEX('E2E Nakliye Montaj'!$AT$3:$AT$1002,MATCH('DIVA Satislari'!AJ401,'E2E Nakliye Montaj'!$AM$3:$AM$1002,0)),"Hayır"))</f>
        <v/>
      </c>
      <c r="M401" s="26">
        <f>IF('DIVA Satislari'!I401="","",IFERROR(INDEX('E2E Nakliye Montaj'!$AU$3:$AU$1002,MATCH('DIVA Satislari'!AJ401,'E2E Nakliye Montaj'!$AM$3:$AM$1002,0)),"Hayır"))</f>
        <v/>
      </c>
      <c r="N401" s="27">
        <f>IF('DIVA Satislari'!I401="","",IFERROR(INDEX('E2E Nakliye Montaj'!$AV$3:$AV$1002,MATCH('DIVA Satislari'!AJ401,'E2E Nakliye Montaj'!$AM$3:$AM$1002,0)),""))</f>
        <v/>
      </c>
      <c r="O401" s="26">
        <f>IF(OR(A401="",N401=""),"",IF(N401&lt;=H401,"Evet","HAYIR - RİSK"))</f>
        <v/>
      </c>
      <c r="P401" s="26">
        <f>IF(A401="","",IF(LEFT(J401,8)="Kural A ","Uygun - Hemen Ödenir (Yıl Sonu %75 Kontrolüne Tabi)",IF(OR(L401="Evet",M401="Evet"),IF(O401="Evet","Uygun","RİSK - Hakediş Süresi Aşıldı"),"Bekleniyor - Nakliye/Montaj Tamamlanmadı")))</f>
        <v/>
      </c>
      <c r="Q401" s="28">
        <f>IF(A401="","",SUMIFS('Hakedis Fatura Detay'!$G$3:$G$1200,'Hakedis Fatura Detay'!$H$3:$H$1200,'DIVA Satislari'!AJ401,'Hakedis Fatura Detay'!$F$3:$F$1200,"Fiyat Farkı")+SUMIFS('Hakedis Fatura Detay'!$G$3:$G$1200,'Hakedis Fatura Detay'!$H$3:$H$1200,'DIVA Satislari'!AJ401,'Hakedis Fatura Detay'!$F$3:$F$1200,"Bundle"))</f>
        <v/>
      </c>
      <c r="R401" s="28">
        <f>IF(A401="","",I401-Q401)</f>
        <v/>
      </c>
      <c r="S401" s="26">
        <f>IF(A401="","",IF(LEFT(P401,7)="Bekleni","N/A - Henüz Ödenmemeli",IF(LEFT(P401,4)="RİSK","İNCELEME GEREKLİ - Süre Aşımı",IF(R401=0,"Doğru",IF(R401&gt;0,"EKSİK ÖDENMİŞ","FAZLA ÖDENMİŞ")))))</f>
        <v/>
      </c>
      <c r="T401" s="30">
        <f>IF(A401="","",IF(F401&lt;&gt;"Evet","İNCELEME GEREKLİ - Kampanya Tanımsız",IF(G401&lt;&gt;"Evet","İNCELEME GEREKLİ - Tarih Dışı Satış",IF(LEFT(P401,4)="RİSK","İNCELEME GEREKLİ - Hakediş Süresi Aşıldı",IF(OR(S401="EKSİK ÖDENMİŞ",S401="FAZLA ÖDENMİŞ"),"İNCELEME GEREKLİ - Tutar Uyuşmazlığı",IF(LEFT(P401,7)="Bekleni","Bekleniyor","Uygun"))))))</f>
        <v/>
      </c>
    </row>
    <row r="402">
      <c r="A402" s="26">
        <f>IF('DIVA Satislari'!I402="","",'DIVA Satislari'!I402)</f>
        <v/>
      </c>
      <c r="B402" s="26">
        <f>IF('DIVA Satislari'!I402="","",'DIVA Satislari'!R402)</f>
        <v/>
      </c>
      <c r="C402" s="26">
        <f>IF('DIVA Satislari'!I402="","",'DIVA Satislari'!M402)</f>
        <v/>
      </c>
      <c r="D402" s="27">
        <f>IF('DIVA Satislari'!I402="","",'DIVA Satislari'!H402)</f>
        <v/>
      </c>
      <c r="E402" s="26">
        <f>IF('DIVA Satislari'!I402="","",'DIVA Satislari'!O402)</f>
        <v/>
      </c>
      <c r="F402" s="26">
        <f>IF('DIVA Satislari'!I402="","",'DIVA Satislari'!AK402)</f>
        <v/>
      </c>
      <c r="G402" s="26">
        <f>IF('DIVA Satislari'!I402="","",'DIVA Satislari'!AO402)</f>
        <v/>
      </c>
      <c r="H402" s="27">
        <f>IF('DIVA Satislari'!I402="","",'DIVA Satislari'!AN402)</f>
        <v/>
      </c>
      <c r="I402" s="28">
        <f>IF('DIVA Satislari'!I402="","",'DIVA Satislari'!AQ402)</f>
        <v/>
      </c>
      <c r="J402" s="26">
        <f>IF('DIVA Satislari'!I402="","",'DIVA Satislari'!AR402)</f>
        <v/>
      </c>
      <c r="K402" s="26">
        <f>IF('DIVA Satislari'!I402="","",IFERROR(INDEX('E2E Nakliye Montaj'!$AS$3:$AS$1002,MATCH('DIVA Satislari'!AJ402,'E2E Nakliye Montaj'!$AM$3:$AM$1002,0)),"Eşleşme Yok"))</f>
        <v/>
      </c>
      <c r="L402" s="26">
        <f>IF('DIVA Satislari'!I402="","",IFERROR(INDEX('E2E Nakliye Montaj'!$AT$3:$AT$1002,MATCH('DIVA Satislari'!AJ402,'E2E Nakliye Montaj'!$AM$3:$AM$1002,0)),"Hayır"))</f>
        <v/>
      </c>
      <c r="M402" s="26">
        <f>IF('DIVA Satislari'!I402="","",IFERROR(INDEX('E2E Nakliye Montaj'!$AU$3:$AU$1002,MATCH('DIVA Satislari'!AJ402,'E2E Nakliye Montaj'!$AM$3:$AM$1002,0)),"Hayır"))</f>
        <v/>
      </c>
      <c r="N402" s="27">
        <f>IF('DIVA Satislari'!I402="","",IFERROR(INDEX('E2E Nakliye Montaj'!$AV$3:$AV$1002,MATCH('DIVA Satislari'!AJ402,'E2E Nakliye Montaj'!$AM$3:$AM$1002,0)),""))</f>
        <v/>
      </c>
      <c r="O402" s="26">
        <f>IF(OR(A402="",N402=""),"",IF(N402&lt;=H402,"Evet","HAYIR - RİSK"))</f>
        <v/>
      </c>
      <c r="P402" s="26">
        <f>IF(A402="","",IF(LEFT(J402,8)="Kural A ","Uygun - Hemen Ödenir (Yıl Sonu %75 Kontrolüne Tabi)",IF(OR(L402="Evet",M402="Evet"),IF(O402="Evet","Uygun","RİSK - Hakediş Süresi Aşıldı"),"Bekleniyor - Nakliye/Montaj Tamamlanmadı")))</f>
        <v/>
      </c>
      <c r="Q402" s="28">
        <f>IF(A402="","",SUMIFS('Hakedis Fatura Detay'!$G$3:$G$1200,'Hakedis Fatura Detay'!$H$3:$H$1200,'DIVA Satislari'!AJ402,'Hakedis Fatura Detay'!$F$3:$F$1200,"Fiyat Farkı")+SUMIFS('Hakedis Fatura Detay'!$G$3:$G$1200,'Hakedis Fatura Detay'!$H$3:$H$1200,'DIVA Satislari'!AJ402,'Hakedis Fatura Detay'!$F$3:$F$1200,"Bundle"))</f>
        <v/>
      </c>
      <c r="R402" s="28">
        <f>IF(A402="","",I402-Q402)</f>
        <v/>
      </c>
      <c r="S402" s="26">
        <f>IF(A402="","",IF(LEFT(P402,7)="Bekleni","N/A - Henüz Ödenmemeli",IF(LEFT(P402,4)="RİSK","İNCELEME GEREKLİ - Süre Aşımı",IF(R402=0,"Doğru",IF(R402&gt;0,"EKSİK ÖDENMİŞ","FAZLA ÖDENMİŞ")))))</f>
        <v/>
      </c>
      <c r="T402" s="30">
        <f>IF(A402="","",IF(F402&lt;&gt;"Evet","İNCELEME GEREKLİ - Kampanya Tanımsız",IF(G402&lt;&gt;"Evet","İNCELEME GEREKLİ - Tarih Dışı Satış",IF(LEFT(P402,4)="RİSK","İNCELEME GEREKLİ - Hakediş Süresi Aşıldı",IF(OR(S402="EKSİK ÖDENMİŞ",S402="FAZLA ÖDENMİŞ"),"İNCELEME GEREKLİ - Tutar Uyuşmazlığı",IF(LEFT(P402,7)="Bekleni","Bekleniyor","Uygun"))))))</f>
        <v/>
      </c>
    </row>
    <row r="403">
      <c r="A403" s="26">
        <f>IF('DIVA Satislari'!I403="","",'DIVA Satislari'!I403)</f>
        <v/>
      </c>
      <c r="B403" s="26">
        <f>IF('DIVA Satislari'!I403="","",'DIVA Satislari'!R403)</f>
        <v/>
      </c>
      <c r="C403" s="26">
        <f>IF('DIVA Satislari'!I403="","",'DIVA Satislari'!M403)</f>
        <v/>
      </c>
      <c r="D403" s="27">
        <f>IF('DIVA Satislari'!I403="","",'DIVA Satislari'!H403)</f>
        <v/>
      </c>
      <c r="E403" s="26">
        <f>IF('DIVA Satislari'!I403="","",'DIVA Satislari'!O403)</f>
        <v/>
      </c>
      <c r="F403" s="26">
        <f>IF('DIVA Satislari'!I403="","",'DIVA Satislari'!AK403)</f>
        <v/>
      </c>
      <c r="G403" s="26">
        <f>IF('DIVA Satislari'!I403="","",'DIVA Satislari'!AO403)</f>
        <v/>
      </c>
      <c r="H403" s="27">
        <f>IF('DIVA Satislari'!I403="","",'DIVA Satislari'!AN403)</f>
        <v/>
      </c>
      <c r="I403" s="28">
        <f>IF('DIVA Satislari'!I403="","",'DIVA Satislari'!AQ403)</f>
        <v/>
      </c>
      <c r="J403" s="26">
        <f>IF('DIVA Satislari'!I403="","",'DIVA Satislari'!AR403)</f>
        <v/>
      </c>
      <c r="K403" s="26">
        <f>IF('DIVA Satislari'!I403="","",IFERROR(INDEX('E2E Nakliye Montaj'!$AS$3:$AS$1002,MATCH('DIVA Satislari'!AJ403,'E2E Nakliye Montaj'!$AM$3:$AM$1002,0)),"Eşleşme Yok"))</f>
        <v/>
      </c>
      <c r="L403" s="26">
        <f>IF('DIVA Satislari'!I403="","",IFERROR(INDEX('E2E Nakliye Montaj'!$AT$3:$AT$1002,MATCH('DIVA Satislari'!AJ403,'E2E Nakliye Montaj'!$AM$3:$AM$1002,0)),"Hayır"))</f>
        <v/>
      </c>
      <c r="M403" s="26">
        <f>IF('DIVA Satislari'!I403="","",IFERROR(INDEX('E2E Nakliye Montaj'!$AU$3:$AU$1002,MATCH('DIVA Satislari'!AJ403,'E2E Nakliye Montaj'!$AM$3:$AM$1002,0)),"Hayır"))</f>
        <v/>
      </c>
      <c r="N403" s="27">
        <f>IF('DIVA Satislari'!I403="","",IFERROR(INDEX('E2E Nakliye Montaj'!$AV$3:$AV$1002,MATCH('DIVA Satislari'!AJ403,'E2E Nakliye Montaj'!$AM$3:$AM$1002,0)),""))</f>
        <v/>
      </c>
      <c r="O403" s="26">
        <f>IF(OR(A403="",N403=""),"",IF(N403&lt;=H403,"Evet","HAYIR - RİSK"))</f>
        <v/>
      </c>
      <c r="P403" s="26">
        <f>IF(A403="","",IF(LEFT(J403,8)="Kural A ","Uygun - Hemen Ödenir (Yıl Sonu %75 Kontrolüne Tabi)",IF(OR(L403="Evet",M403="Evet"),IF(O403="Evet","Uygun","RİSK - Hakediş Süresi Aşıldı"),"Bekleniyor - Nakliye/Montaj Tamamlanmadı")))</f>
        <v/>
      </c>
      <c r="Q403" s="28">
        <f>IF(A403="","",SUMIFS('Hakedis Fatura Detay'!$G$3:$G$1200,'Hakedis Fatura Detay'!$H$3:$H$1200,'DIVA Satislari'!AJ403,'Hakedis Fatura Detay'!$F$3:$F$1200,"Fiyat Farkı")+SUMIFS('Hakedis Fatura Detay'!$G$3:$G$1200,'Hakedis Fatura Detay'!$H$3:$H$1200,'DIVA Satislari'!AJ403,'Hakedis Fatura Detay'!$F$3:$F$1200,"Bundle"))</f>
        <v/>
      </c>
      <c r="R403" s="28">
        <f>IF(A403="","",I403-Q403)</f>
        <v/>
      </c>
      <c r="S403" s="26">
        <f>IF(A403="","",IF(LEFT(P403,7)="Bekleni","N/A - Henüz Ödenmemeli",IF(LEFT(P403,4)="RİSK","İNCELEME GEREKLİ - Süre Aşımı",IF(R403=0,"Doğru",IF(R403&gt;0,"EKSİK ÖDENMİŞ","FAZLA ÖDENMİŞ")))))</f>
        <v/>
      </c>
      <c r="T403" s="30">
        <f>IF(A403="","",IF(F403&lt;&gt;"Evet","İNCELEME GEREKLİ - Kampanya Tanımsız",IF(G403&lt;&gt;"Evet","İNCELEME GEREKLİ - Tarih Dışı Satış",IF(LEFT(P403,4)="RİSK","İNCELEME GEREKLİ - Hakediş Süresi Aşıldı",IF(OR(S403="EKSİK ÖDENMİŞ",S403="FAZLA ÖDENMİŞ"),"İNCELEME GEREKLİ - Tutar Uyuşmazlığı",IF(LEFT(P403,7)="Bekleni","Bekleniyor","Uygun"))))))</f>
        <v/>
      </c>
    </row>
    <row r="404">
      <c r="A404" s="26">
        <f>IF('DIVA Satislari'!I404="","",'DIVA Satislari'!I404)</f>
        <v/>
      </c>
      <c r="B404" s="26">
        <f>IF('DIVA Satislari'!I404="","",'DIVA Satislari'!R404)</f>
        <v/>
      </c>
      <c r="C404" s="26">
        <f>IF('DIVA Satislari'!I404="","",'DIVA Satislari'!M404)</f>
        <v/>
      </c>
      <c r="D404" s="27">
        <f>IF('DIVA Satislari'!I404="","",'DIVA Satislari'!H404)</f>
        <v/>
      </c>
      <c r="E404" s="26">
        <f>IF('DIVA Satislari'!I404="","",'DIVA Satislari'!O404)</f>
        <v/>
      </c>
      <c r="F404" s="26">
        <f>IF('DIVA Satislari'!I404="","",'DIVA Satislari'!AK404)</f>
        <v/>
      </c>
      <c r="G404" s="26">
        <f>IF('DIVA Satislari'!I404="","",'DIVA Satislari'!AO404)</f>
        <v/>
      </c>
      <c r="H404" s="27">
        <f>IF('DIVA Satislari'!I404="","",'DIVA Satislari'!AN404)</f>
        <v/>
      </c>
      <c r="I404" s="28">
        <f>IF('DIVA Satislari'!I404="","",'DIVA Satislari'!AQ404)</f>
        <v/>
      </c>
      <c r="J404" s="26">
        <f>IF('DIVA Satislari'!I404="","",'DIVA Satislari'!AR404)</f>
        <v/>
      </c>
      <c r="K404" s="26">
        <f>IF('DIVA Satislari'!I404="","",IFERROR(INDEX('E2E Nakliye Montaj'!$AS$3:$AS$1002,MATCH('DIVA Satislari'!AJ404,'E2E Nakliye Montaj'!$AM$3:$AM$1002,0)),"Eşleşme Yok"))</f>
        <v/>
      </c>
      <c r="L404" s="26">
        <f>IF('DIVA Satislari'!I404="","",IFERROR(INDEX('E2E Nakliye Montaj'!$AT$3:$AT$1002,MATCH('DIVA Satislari'!AJ404,'E2E Nakliye Montaj'!$AM$3:$AM$1002,0)),"Hayır"))</f>
        <v/>
      </c>
      <c r="M404" s="26">
        <f>IF('DIVA Satislari'!I404="","",IFERROR(INDEX('E2E Nakliye Montaj'!$AU$3:$AU$1002,MATCH('DIVA Satislari'!AJ404,'E2E Nakliye Montaj'!$AM$3:$AM$1002,0)),"Hayır"))</f>
        <v/>
      </c>
      <c r="N404" s="27">
        <f>IF('DIVA Satislari'!I404="","",IFERROR(INDEX('E2E Nakliye Montaj'!$AV$3:$AV$1002,MATCH('DIVA Satislari'!AJ404,'E2E Nakliye Montaj'!$AM$3:$AM$1002,0)),""))</f>
        <v/>
      </c>
      <c r="O404" s="26">
        <f>IF(OR(A404="",N404=""),"",IF(N404&lt;=H404,"Evet","HAYIR - RİSK"))</f>
        <v/>
      </c>
      <c r="P404" s="26">
        <f>IF(A404="","",IF(LEFT(J404,8)="Kural A ","Uygun - Hemen Ödenir (Yıl Sonu %75 Kontrolüne Tabi)",IF(OR(L404="Evet",M404="Evet"),IF(O404="Evet","Uygun","RİSK - Hakediş Süresi Aşıldı"),"Bekleniyor - Nakliye/Montaj Tamamlanmadı")))</f>
        <v/>
      </c>
      <c r="Q404" s="28">
        <f>IF(A404="","",SUMIFS('Hakedis Fatura Detay'!$G$3:$G$1200,'Hakedis Fatura Detay'!$H$3:$H$1200,'DIVA Satislari'!AJ404,'Hakedis Fatura Detay'!$F$3:$F$1200,"Fiyat Farkı")+SUMIFS('Hakedis Fatura Detay'!$G$3:$G$1200,'Hakedis Fatura Detay'!$H$3:$H$1200,'DIVA Satislari'!AJ404,'Hakedis Fatura Detay'!$F$3:$F$1200,"Bundle"))</f>
        <v/>
      </c>
      <c r="R404" s="28">
        <f>IF(A404="","",I404-Q404)</f>
        <v/>
      </c>
      <c r="S404" s="26">
        <f>IF(A404="","",IF(LEFT(P404,7)="Bekleni","N/A - Henüz Ödenmemeli",IF(LEFT(P404,4)="RİSK","İNCELEME GEREKLİ - Süre Aşımı",IF(R404=0,"Doğru",IF(R404&gt;0,"EKSİK ÖDENMİŞ","FAZLA ÖDENMİŞ")))))</f>
        <v/>
      </c>
      <c r="T404" s="30">
        <f>IF(A404="","",IF(F404&lt;&gt;"Evet","İNCELEME GEREKLİ - Kampanya Tanımsız",IF(G404&lt;&gt;"Evet","İNCELEME GEREKLİ - Tarih Dışı Satış",IF(LEFT(P404,4)="RİSK","İNCELEME GEREKLİ - Hakediş Süresi Aşıldı",IF(OR(S404="EKSİK ÖDENMİŞ",S404="FAZLA ÖDENMİŞ"),"İNCELEME GEREKLİ - Tutar Uyuşmazlığı",IF(LEFT(P404,7)="Bekleni","Bekleniyor","Uygun"))))))</f>
        <v/>
      </c>
    </row>
    <row r="405">
      <c r="A405" s="26">
        <f>IF('DIVA Satislari'!I405="","",'DIVA Satislari'!I405)</f>
        <v/>
      </c>
      <c r="B405" s="26">
        <f>IF('DIVA Satislari'!I405="","",'DIVA Satislari'!R405)</f>
        <v/>
      </c>
      <c r="C405" s="26">
        <f>IF('DIVA Satislari'!I405="","",'DIVA Satislari'!M405)</f>
        <v/>
      </c>
      <c r="D405" s="27">
        <f>IF('DIVA Satislari'!I405="","",'DIVA Satislari'!H405)</f>
        <v/>
      </c>
      <c r="E405" s="26">
        <f>IF('DIVA Satislari'!I405="","",'DIVA Satislari'!O405)</f>
        <v/>
      </c>
      <c r="F405" s="26">
        <f>IF('DIVA Satislari'!I405="","",'DIVA Satislari'!AK405)</f>
        <v/>
      </c>
      <c r="G405" s="26">
        <f>IF('DIVA Satislari'!I405="","",'DIVA Satislari'!AO405)</f>
        <v/>
      </c>
      <c r="H405" s="27">
        <f>IF('DIVA Satislari'!I405="","",'DIVA Satislari'!AN405)</f>
        <v/>
      </c>
      <c r="I405" s="28">
        <f>IF('DIVA Satislari'!I405="","",'DIVA Satislari'!AQ405)</f>
        <v/>
      </c>
      <c r="J405" s="26">
        <f>IF('DIVA Satislari'!I405="","",'DIVA Satislari'!AR405)</f>
        <v/>
      </c>
      <c r="K405" s="26">
        <f>IF('DIVA Satislari'!I405="","",IFERROR(INDEX('E2E Nakliye Montaj'!$AS$3:$AS$1002,MATCH('DIVA Satislari'!AJ405,'E2E Nakliye Montaj'!$AM$3:$AM$1002,0)),"Eşleşme Yok"))</f>
        <v/>
      </c>
      <c r="L405" s="26">
        <f>IF('DIVA Satislari'!I405="","",IFERROR(INDEX('E2E Nakliye Montaj'!$AT$3:$AT$1002,MATCH('DIVA Satislari'!AJ405,'E2E Nakliye Montaj'!$AM$3:$AM$1002,0)),"Hayır"))</f>
        <v/>
      </c>
      <c r="M405" s="26">
        <f>IF('DIVA Satislari'!I405="","",IFERROR(INDEX('E2E Nakliye Montaj'!$AU$3:$AU$1002,MATCH('DIVA Satislari'!AJ405,'E2E Nakliye Montaj'!$AM$3:$AM$1002,0)),"Hayır"))</f>
        <v/>
      </c>
      <c r="N405" s="27">
        <f>IF('DIVA Satislari'!I405="","",IFERROR(INDEX('E2E Nakliye Montaj'!$AV$3:$AV$1002,MATCH('DIVA Satislari'!AJ405,'E2E Nakliye Montaj'!$AM$3:$AM$1002,0)),""))</f>
        <v/>
      </c>
      <c r="O405" s="26">
        <f>IF(OR(A405="",N405=""),"",IF(N405&lt;=H405,"Evet","HAYIR - RİSK"))</f>
        <v/>
      </c>
      <c r="P405" s="26">
        <f>IF(A405="","",IF(LEFT(J405,8)="Kural A ","Uygun - Hemen Ödenir (Yıl Sonu %75 Kontrolüne Tabi)",IF(OR(L405="Evet",M405="Evet"),IF(O405="Evet","Uygun","RİSK - Hakediş Süresi Aşıldı"),"Bekleniyor - Nakliye/Montaj Tamamlanmadı")))</f>
        <v/>
      </c>
      <c r="Q405" s="28">
        <f>IF(A405="","",SUMIFS('Hakedis Fatura Detay'!$G$3:$G$1200,'Hakedis Fatura Detay'!$H$3:$H$1200,'DIVA Satislari'!AJ405,'Hakedis Fatura Detay'!$F$3:$F$1200,"Fiyat Farkı")+SUMIFS('Hakedis Fatura Detay'!$G$3:$G$1200,'Hakedis Fatura Detay'!$H$3:$H$1200,'DIVA Satislari'!AJ405,'Hakedis Fatura Detay'!$F$3:$F$1200,"Bundle"))</f>
        <v/>
      </c>
      <c r="R405" s="28">
        <f>IF(A405="","",I405-Q405)</f>
        <v/>
      </c>
      <c r="S405" s="26">
        <f>IF(A405="","",IF(LEFT(P405,7)="Bekleni","N/A - Henüz Ödenmemeli",IF(LEFT(P405,4)="RİSK","İNCELEME GEREKLİ - Süre Aşımı",IF(R405=0,"Doğru",IF(R405&gt;0,"EKSİK ÖDENMİŞ","FAZLA ÖDENMİŞ")))))</f>
        <v/>
      </c>
      <c r="T405" s="30">
        <f>IF(A405="","",IF(F405&lt;&gt;"Evet","İNCELEME GEREKLİ - Kampanya Tanımsız",IF(G405&lt;&gt;"Evet","İNCELEME GEREKLİ - Tarih Dışı Satış",IF(LEFT(P405,4)="RİSK","İNCELEME GEREKLİ - Hakediş Süresi Aşıldı",IF(OR(S405="EKSİK ÖDENMİŞ",S405="FAZLA ÖDENMİŞ"),"İNCELEME GEREKLİ - Tutar Uyuşmazlığı",IF(LEFT(P405,7)="Bekleni","Bekleniyor","Uygun"))))))</f>
        <v/>
      </c>
    </row>
    <row r="406">
      <c r="A406" s="26">
        <f>IF('DIVA Satislari'!I406="","",'DIVA Satislari'!I406)</f>
        <v/>
      </c>
      <c r="B406" s="26">
        <f>IF('DIVA Satislari'!I406="","",'DIVA Satislari'!R406)</f>
        <v/>
      </c>
      <c r="C406" s="26">
        <f>IF('DIVA Satislari'!I406="","",'DIVA Satislari'!M406)</f>
        <v/>
      </c>
      <c r="D406" s="27">
        <f>IF('DIVA Satislari'!I406="","",'DIVA Satislari'!H406)</f>
        <v/>
      </c>
      <c r="E406" s="26">
        <f>IF('DIVA Satislari'!I406="","",'DIVA Satislari'!O406)</f>
        <v/>
      </c>
      <c r="F406" s="26">
        <f>IF('DIVA Satislari'!I406="","",'DIVA Satislari'!AK406)</f>
        <v/>
      </c>
      <c r="G406" s="26">
        <f>IF('DIVA Satislari'!I406="","",'DIVA Satislari'!AO406)</f>
        <v/>
      </c>
      <c r="H406" s="27">
        <f>IF('DIVA Satislari'!I406="","",'DIVA Satislari'!AN406)</f>
        <v/>
      </c>
      <c r="I406" s="28">
        <f>IF('DIVA Satislari'!I406="","",'DIVA Satislari'!AQ406)</f>
        <v/>
      </c>
      <c r="J406" s="26">
        <f>IF('DIVA Satislari'!I406="","",'DIVA Satislari'!AR406)</f>
        <v/>
      </c>
      <c r="K406" s="26">
        <f>IF('DIVA Satislari'!I406="","",IFERROR(INDEX('E2E Nakliye Montaj'!$AS$3:$AS$1002,MATCH('DIVA Satislari'!AJ406,'E2E Nakliye Montaj'!$AM$3:$AM$1002,0)),"Eşleşme Yok"))</f>
        <v/>
      </c>
      <c r="L406" s="26">
        <f>IF('DIVA Satislari'!I406="","",IFERROR(INDEX('E2E Nakliye Montaj'!$AT$3:$AT$1002,MATCH('DIVA Satislari'!AJ406,'E2E Nakliye Montaj'!$AM$3:$AM$1002,0)),"Hayır"))</f>
        <v/>
      </c>
      <c r="M406" s="26">
        <f>IF('DIVA Satislari'!I406="","",IFERROR(INDEX('E2E Nakliye Montaj'!$AU$3:$AU$1002,MATCH('DIVA Satislari'!AJ406,'E2E Nakliye Montaj'!$AM$3:$AM$1002,0)),"Hayır"))</f>
        <v/>
      </c>
      <c r="N406" s="27">
        <f>IF('DIVA Satislari'!I406="","",IFERROR(INDEX('E2E Nakliye Montaj'!$AV$3:$AV$1002,MATCH('DIVA Satislari'!AJ406,'E2E Nakliye Montaj'!$AM$3:$AM$1002,0)),""))</f>
        <v/>
      </c>
      <c r="O406" s="26">
        <f>IF(OR(A406="",N406=""),"",IF(N406&lt;=H406,"Evet","HAYIR - RİSK"))</f>
        <v/>
      </c>
      <c r="P406" s="26">
        <f>IF(A406="","",IF(LEFT(J406,8)="Kural A ","Uygun - Hemen Ödenir (Yıl Sonu %75 Kontrolüne Tabi)",IF(OR(L406="Evet",M406="Evet"),IF(O406="Evet","Uygun","RİSK - Hakediş Süresi Aşıldı"),"Bekleniyor - Nakliye/Montaj Tamamlanmadı")))</f>
        <v/>
      </c>
      <c r="Q406" s="28">
        <f>IF(A406="","",SUMIFS('Hakedis Fatura Detay'!$G$3:$G$1200,'Hakedis Fatura Detay'!$H$3:$H$1200,'DIVA Satislari'!AJ406,'Hakedis Fatura Detay'!$F$3:$F$1200,"Fiyat Farkı")+SUMIFS('Hakedis Fatura Detay'!$G$3:$G$1200,'Hakedis Fatura Detay'!$H$3:$H$1200,'DIVA Satislari'!AJ406,'Hakedis Fatura Detay'!$F$3:$F$1200,"Bundle"))</f>
        <v/>
      </c>
      <c r="R406" s="28">
        <f>IF(A406="","",I406-Q406)</f>
        <v/>
      </c>
      <c r="S406" s="26">
        <f>IF(A406="","",IF(LEFT(P406,7)="Bekleni","N/A - Henüz Ödenmemeli",IF(LEFT(P406,4)="RİSK","İNCELEME GEREKLİ - Süre Aşımı",IF(R406=0,"Doğru",IF(R406&gt;0,"EKSİK ÖDENMİŞ","FAZLA ÖDENMİŞ")))))</f>
        <v/>
      </c>
      <c r="T406" s="30">
        <f>IF(A406="","",IF(F406&lt;&gt;"Evet","İNCELEME GEREKLİ - Kampanya Tanımsız",IF(G406&lt;&gt;"Evet","İNCELEME GEREKLİ - Tarih Dışı Satış",IF(LEFT(P406,4)="RİSK","İNCELEME GEREKLİ - Hakediş Süresi Aşıldı",IF(OR(S406="EKSİK ÖDENMİŞ",S406="FAZLA ÖDENMİŞ"),"İNCELEME GEREKLİ - Tutar Uyuşmazlığı",IF(LEFT(P406,7)="Bekleni","Bekleniyor","Uygun"))))))</f>
        <v/>
      </c>
    </row>
    <row r="407">
      <c r="A407" s="26">
        <f>IF('DIVA Satislari'!I407="","",'DIVA Satislari'!I407)</f>
        <v/>
      </c>
      <c r="B407" s="26">
        <f>IF('DIVA Satislari'!I407="","",'DIVA Satislari'!R407)</f>
        <v/>
      </c>
      <c r="C407" s="26">
        <f>IF('DIVA Satislari'!I407="","",'DIVA Satislari'!M407)</f>
        <v/>
      </c>
      <c r="D407" s="27">
        <f>IF('DIVA Satislari'!I407="","",'DIVA Satislari'!H407)</f>
        <v/>
      </c>
      <c r="E407" s="26">
        <f>IF('DIVA Satislari'!I407="","",'DIVA Satislari'!O407)</f>
        <v/>
      </c>
      <c r="F407" s="26">
        <f>IF('DIVA Satislari'!I407="","",'DIVA Satislari'!AK407)</f>
        <v/>
      </c>
      <c r="G407" s="26">
        <f>IF('DIVA Satislari'!I407="","",'DIVA Satislari'!AO407)</f>
        <v/>
      </c>
      <c r="H407" s="27">
        <f>IF('DIVA Satislari'!I407="","",'DIVA Satislari'!AN407)</f>
        <v/>
      </c>
      <c r="I407" s="28">
        <f>IF('DIVA Satislari'!I407="","",'DIVA Satislari'!AQ407)</f>
        <v/>
      </c>
      <c r="J407" s="26">
        <f>IF('DIVA Satislari'!I407="","",'DIVA Satislari'!AR407)</f>
        <v/>
      </c>
      <c r="K407" s="26">
        <f>IF('DIVA Satislari'!I407="","",IFERROR(INDEX('E2E Nakliye Montaj'!$AS$3:$AS$1002,MATCH('DIVA Satislari'!AJ407,'E2E Nakliye Montaj'!$AM$3:$AM$1002,0)),"Eşleşme Yok"))</f>
        <v/>
      </c>
      <c r="L407" s="26">
        <f>IF('DIVA Satislari'!I407="","",IFERROR(INDEX('E2E Nakliye Montaj'!$AT$3:$AT$1002,MATCH('DIVA Satislari'!AJ407,'E2E Nakliye Montaj'!$AM$3:$AM$1002,0)),"Hayır"))</f>
        <v/>
      </c>
      <c r="M407" s="26">
        <f>IF('DIVA Satislari'!I407="","",IFERROR(INDEX('E2E Nakliye Montaj'!$AU$3:$AU$1002,MATCH('DIVA Satislari'!AJ407,'E2E Nakliye Montaj'!$AM$3:$AM$1002,0)),"Hayır"))</f>
        <v/>
      </c>
      <c r="N407" s="27">
        <f>IF('DIVA Satislari'!I407="","",IFERROR(INDEX('E2E Nakliye Montaj'!$AV$3:$AV$1002,MATCH('DIVA Satislari'!AJ407,'E2E Nakliye Montaj'!$AM$3:$AM$1002,0)),""))</f>
        <v/>
      </c>
      <c r="O407" s="26">
        <f>IF(OR(A407="",N407=""),"",IF(N407&lt;=H407,"Evet","HAYIR - RİSK"))</f>
        <v/>
      </c>
      <c r="P407" s="26">
        <f>IF(A407="","",IF(LEFT(J407,8)="Kural A ","Uygun - Hemen Ödenir (Yıl Sonu %75 Kontrolüne Tabi)",IF(OR(L407="Evet",M407="Evet"),IF(O407="Evet","Uygun","RİSK - Hakediş Süresi Aşıldı"),"Bekleniyor - Nakliye/Montaj Tamamlanmadı")))</f>
        <v/>
      </c>
      <c r="Q407" s="28">
        <f>IF(A407="","",SUMIFS('Hakedis Fatura Detay'!$G$3:$G$1200,'Hakedis Fatura Detay'!$H$3:$H$1200,'DIVA Satislari'!AJ407,'Hakedis Fatura Detay'!$F$3:$F$1200,"Fiyat Farkı")+SUMIFS('Hakedis Fatura Detay'!$G$3:$G$1200,'Hakedis Fatura Detay'!$H$3:$H$1200,'DIVA Satislari'!AJ407,'Hakedis Fatura Detay'!$F$3:$F$1200,"Bundle"))</f>
        <v/>
      </c>
      <c r="R407" s="28">
        <f>IF(A407="","",I407-Q407)</f>
        <v/>
      </c>
      <c r="S407" s="26">
        <f>IF(A407="","",IF(LEFT(P407,7)="Bekleni","N/A - Henüz Ödenmemeli",IF(LEFT(P407,4)="RİSK","İNCELEME GEREKLİ - Süre Aşımı",IF(R407=0,"Doğru",IF(R407&gt;0,"EKSİK ÖDENMİŞ","FAZLA ÖDENMİŞ")))))</f>
        <v/>
      </c>
      <c r="T407" s="30">
        <f>IF(A407="","",IF(F407&lt;&gt;"Evet","İNCELEME GEREKLİ - Kampanya Tanımsız",IF(G407&lt;&gt;"Evet","İNCELEME GEREKLİ - Tarih Dışı Satış",IF(LEFT(P407,4)="RİSK","İNCELEME GEREKLİ - Hakediş Süresi Aşıldı",IF(OR(S407="EKSİK ÖDENMİŞ",S407="FAZLA ÖDENMİŞ"),"İNCELEME GEREKLİ - Tutar Uyuşmazlığı",IF(LEFT(P407,7)="Bekleni","Bekleniyor","Uygun"))))))</f>
        <v/>
      </c>
    </row>
    <row r="408">
      <c r="A408" s="26">
        <f>IF('DIVA Satislari'!I408="","",'DIVA Satislari'!I408)</f>
        <v/>
      </c>
      <c r="B408" s="26">
        <f>IF('DIVA Satislari'!I408="","",'DIVA Satislari'!R408)</f>
        <v/>
      </c>
      <c r="C408" s="26">
        <f>IF('DIVA Satislari'!I408="","",'DIVA Satislari'!M408)</f>
        <v/>
      </c>
      <c r="D408" s="27">
        <f>IF('DIVA Satislari'!I408="","",'DIVA Satislari'!H408)</f>
        <v/>
      </c>
      <c r="E408" s="26">
        <f>IF('DIVA Satislari'!I408="","",'DIVA Satislari'!O408)</f>
        <v/>
      </c>
      <c r="F408" s="26">
        <f>IF('DIVA Satislari'!I408="","",'DIVA Satislari'!AK408)</f>
        <v/>
      </c>
      <c r="G408" s="26">
        <f>IF('DIVA Satislari'!I408="","",'DIVA Satislari'!AO408)</f>
        <v/>
      </c>
      <c r="H408" s="27">
        <f>IF('DIVA Satislari'!I408="","",'DIVA Satislari'!AN408)</f>
        <v/>
      </c>
      <c r="I408" s="28">
        <f>IF('DIVA Satislari'!I408="","",'DIVA Satislari'!AQ408)</f>
        <v/>
      </c>
      <c r="J408" s="26">
        <f>IF('DIVA Satislari'!I408="","",'DIVA Satislari'!AR408)</f>
        <v/>
      </c>
      <c r="K408" s="26">
        <f>IF('DIVA Satislari'!I408="","",IFERROR(INDEX('E2E Nakliye Montaj'!$AS$3:$AS$1002,MATCH('DIVA Satislari'!AJ408,'E2E Nakliye Montaj'!$AM$3:$AM$1002,0)),"Eşleşme Yok"))</f>
        <v/>
      </c>
      <c r="L408" s="26">
        <f>IF('DIVA Satislari'!I408="","",IFERROR(INDEX('E2E Nakliye Montaj'!$AT$3:$AT$1002,MATCH('DIVA Satislari'!AJ408,'E2E Nakliye Montaj'!$AM$3:$AM$1002,0)),"Hayır"))</f>
        <v/>
      </c>
      <c r="M408" s="26">
        <f>IF('DIVA Satislari'!I408="","",IFERROR(INDEX('E2E Nakliye Montaj'!$AU$3:$AU$1002,MATCH('DIVA Satislari'!AJ408,'E2E Nakliye Montaj'!$AM$3:$AM$1002,0)),"Hayır"))</f>
        <v/>
      </c>
      <c r="N408" s="27">
        <f>IF('DIVA Satislari'!I408="","",IFERROR(INDEX('E2E Nakliye Montaj'!$AV$3:$AV$1002,MATCH('DIVA Satislari'!AJ408,'E2E Nakliye Montaj'!$AM$3:$AM$1002,0)),""))</f>
        <v/>
      </c>
      <c r="O408" s="26">
        <f>IF(OR(A408="",N408=""),"",IF(N408&lt;=H408,"Evet","HAYIR - RİSK"))</f>
        <v/>
      </c>
      <c r="P408" s="26">
        <f>IF(A408="","",IF(LEFT(J408,8)="Kural A ","Uygun - Hemen Ödenir (Yıl Sonu %75 Kontrolüne Tabi)",IF(OR(L408="Evet",M408="Evet"),IF(O408="Evet","Uygun","RİSK - Hakediş Süresi Aşıldı"),"Bekleniyor - Nakliye/Montaj Tamamlanmadı")))</f>
        <v/>
      </c>
      <c r="Q408" s="28">
        <f>IF(A408="","",SUMIFS('Hakedis Fatura Detay'!$G$3:$G$1200,'Hakedis Fatura Detay'!$H$3:$H$1200,'DIVA Satislari'!AJ408,'Hakedis Fatura Detay'!$F$3:$F$1200,"Fiyat Farkı")+SUMIFS('Hakedis Fatura Detay'!$G$3:$G$1200,'Hakedis Fatura Detay'!$H$3:$H$1200,'DIVA Satislari'!AJ408,'Hakedis Fatura Detay'!$F$3:$F$1200,"Bundle"))</f>
        <v/>
      </c>
      <c r="R408" s="28">
        <f>IF(A408="","",I408-Q408)</f>
        <v/>
      </c>
      <c r="S408" s="26">
        <f>IF(A408="","",IF(LEFT(P408,7)="Bekleni","N/A - Henüz Ödenmemeli",IF(LEFT(P408,4)="RİSK","İNCELEME GEREKLİ - Süre Aşımı",IF(R408=0,"Doğru",IF(R408&gt;0,"EKSİK ÖDENMİŞ","FAZLA ÖDENMİŞ")))))</f>
        <v/>
      </c>
      <c r="T408" s="30">
        <f>IF(A408="","",IF(F408&lt;&gt;"Evet","İNCELEME GEREKLİ - Kampanya Tanımsız",IF(G408&lt;&gt;"Evet","İNCELEME GEREKLİ - Tarih Dışı Satış",IF(LEFT(P408,4)="RİSK","İNCELEME GEREKLİ - Hakediş Süresi Aşıldı",IF(OR(S408="EKSİK ÖDENMİŞ",S408="FAZLA ÖDENMİŞ"),"İNCELEME GEREKLİ - Tutar Uyuşmazlığı",IF(LEFT(P408,7)="Bekleni","Bekleniyor","Uygun"))))))</f>
        <v/>
      </c>
    </row>
    <row r="409">
      <c r="A409" s="26">
        <f>IF('DIVA Satislari'!I409="","",'DIVA Satislari'!I409)</f>
        <v/>
      </c>
      <c r="B409" s="26">
        <f>IF('DIVA Satislari'!I409="","",'DIVA Satislari'!R409)</f>
        <v/>
      </c>
      <c r="C409" s="26">
        <f>IF('DIVA Satislari'!I409="","",'DIVA Satislari'!M409)</f>
        <v/>
      </c>
      <c r="D409" s="27">
        <f>IF('DIVA Satislari'!I409="","",'DIVA Satislari'!H409)</f>
        <v/>
      </c>
      <c r="E409" s="26">
        <f>IF('DIVA Satislari'!I409="","",'DIVA Satislari'!O409)</f>
        <v/>
      </c>
      <c r="F409" s="26">
        <f>IF('DIVA Satislari'!I409="","",'DIVA Satislari'!AK409)</f>
        <v/>
      </c>
      <c r="G409" s="26">
        <f>IF('DIVA Satislari'!I409="","",'DIVA Satislari'!AO409)</f>
        <v/>
      </c>
      <c r="H409" s="27">
        <f>IF('DIVA Satislari'!I409="","",'DIVA Satislari'!AN409)</f>
        <v/>
      </c>
      <c r="I409" s="28">
        <f>IF('DIVA Satislari'!I409="","",'DIVA Satislari'!AQ409)</f>
        <v/>
      </c>
      <c r="J409" s="26">
        <f>IF('DIVA Satislari'!I409="","",'DIVA Satislari'!AR409)</f>
        <v/>
      </c>
      <c r="K409" s="26">
        <f>IF('DIVA Satislari'!I409="","",IFERROR(INDEX('E2E Nakliye Montaj'!$AS$3:$AS$1002,MATCH('DIVA Satislari'!AJ409,'E2E Nakliye Montaj'!$AM$3:$AM$1002,0)),"Eşleşme Yok"))</f>
        <v/>
      </c>
      <c r="L409" s="26">
        <f>IF('DIVA Satislari'!I409="","",IFERROR(INDEX('E2E Nakliye Montaj'!$AT$3:$AT$1002,MATCH('DIVA Satislari'!AJ409,'E2E Nakliye Montaj'!$AM$3:$AM$1002,0)),"Hayır"))</f>
        <v/>
      </c>
      <c r="M409" s="26">
        <f>IF('DIVA Satislari'!I409="","",IFERROR(INDEX('E2E Nakliye Montaj'!$AU$3:$AU$1002,MATCH('DIVA Satislari'!AJ409,'E2E Nakliye Montaj'!$AM$3:$AM$1002,0)),"Hayır"))</f>
        <v/>
      </c>
      <c r="N409" s="27">
        <f>IF('DIVA Satislari'!I409="","",IFERROR(INDEX('E2E Nakliye Montaj'!$AV$3:$AV$1002,MATCH('DIVA Satislari'!AJ409,'E2E Nakliye Montaj'!$AM$3:$AM$1002,0)),""))</f>
        <v/>
      </c>
      <c r="O409" s="26">
        <f>IF(OR(A409="",N409=""),"",IF(N409&lt;=H409,"Evet","HAYIR - RİSK"))</f>
        <v/>
      </c>
      <c r="P409" s="26">
        <f>IF(A409="","",IF(LEFT(J409,8)="Kural A ","Uygun - Hemen Ödenir (Yıl Sonu %75 Kontrolüne Tabi)",IF(OR(L409="Evet",M409="Evet"),IF(O409="Evet","Uygun","RİSK - Hakediş Süresi Aşıldı"),"Bekleniyor - Nakliye/Montaj Tamamlanmadı")))</f>
        <v/>
      </c>
      <c r="Q409" s="28">
        <f>IF(A409="","",SUMIFS('Hakedis Fatura Detay'!$G$3:$G$1200,'Hakedis Fatura Detay'!$H$3:$H$1200,'DIVA Satislari'!AJ409,'Hakedis Fatura Detay'!$F$3:$F$1200,"Fiyat Farkı")+SUMIFS('Hakedis Fatura Detay'!$G$3:$G$1200,'Hakedis Fatura Detay'!$H$3:$H$1200,'DIVA Satislari'!AJ409,'Hakedis Fatura Detay'!$F$3:$F$1200,"Bundle"))</f>
        <v/>
      </c>
      <c r="R409" s="28">
        <f>IF(A409="","",I409-Q409)</f>
        <v/>
      </c>
      <c r="S409" s="26">
        <f>IF(A409="","",IF(LEFT(P409,7)="Bekleni","N/A - Henüz Ödenmemeli",IF(LEFT(P409,4)="RİSK","İNCELEME GEREKLİ - Süre Aşımı",IF(R409=0,"Doğru",IF(R409&gt;0,"EKSİK ÖDENMİŞ","FAZLA ÖDENMİŞ")))))</f>
        <v/>
      </c>
      <c r="T409" s="30">
        <f>IF(A409="","",IF(F409&lt;&gt;"Evet","İNCELEME GEREKLİ - Kampanya Tanımsız",IF(G409&lt;&gt;"Evet","İNCELEME GEREKLİ - Tarih Dışı Satış",IF(LEFT(P409,4)="RİSK","İNCELEME GEREKLİ - Hakediş Süresi Aşıldı",IF(OR(S409="EKSİK ÖDENMİŞ",S409="FAZLA ÖDENMİŞ"),"İNCELEME GEREKLİ - Tutar Uyuşmazlığı",IF(LEFT(P409,7)="Bekleni","Bekleniyor","Uygun"))))))</f>
        <v/>
      </c>
    </row>
    <row r="410">
      <c r="A410" s="26">
        <f>IF('DIVA Satislari'!I410="","",'DIVA Satislari'!I410)</f>
        <v/>
      </c>
      <c r="B410" s="26">
        <f>IF('DIVA Satislari'!I410="","",'DIVA Satislari'!R410)</f>
        <v/>
      </c>
      <c r="C410" s="26">
        <f>IF('DIVA Satislari'!I410="","",'DIVA Satislari'!M410)</f>
        <v/>
      </c>
      <c r="D410" s="27">
        <f>IF('DIVA Satislari'!I410="","",'DIVA Satislari'!H410)</f>
        <v/>
      </c>
      <c r="E410" s="26">
        <f>IF('DIVA Satislari'!I410="","",'DIVA Satislari'!O410)</f>
        <v/>
      </c>
      <c r="F410" s="26">
        <f>IF('DIVA Satislari'!I410="","",'DIVA Satislari'!AK410)</f>
        <v/>
      </c>
      <c r="G410" s="26">
        <f>IF('DIVA Satislari'!I410="","",'DIVA Satislari'!AO410)</f>
        <v/>
      </c>
      <c r="H410" s="27">
        <f>IF('DIVA Satislari'!I410="","",'DIVA Satislari'!AN410)</f>
        <v/>
      </c>
      <c r="I410" s="28">
        <f>IF('DIVA Satislari'!I410="","",'DIVA Satislari'!AQ410)</f>
        <v/>
      </c>
      <c r="J410" s="26">
        <f>IF('DIVA Satislari'!I410="","",'DIVA Satislari'!AR410)</f>
        <v/>
      </c>
      <c r="K410" s="26">
        <f>IF('DIVA Satislari'!I410="","",IFERROR(INDEX('E2E Nakliye Montaj'!$AS$3:$AS$1002,MATCH('DIVA Satislari'!AJ410,'E2E Nakliye Montaj'!$AM$3:$AM$1002,0)),"Eşleşme Yok"))</f>
        <v/>
      </c>
      <c r="L410" s="26">
        <f>IF('DIVA Satislari'!I410="","",IFERROR(INDEX('E2E Nakliye Montaj'!$AT$3:$AT$1002,MATCH('DIVA Satislari'!AJ410,'E2E Nakliye Montaj'!$AM$3:$AM$1002,0)),"Hayır"))</f>
        <v/>
      </c>
      <c r="M410" s="26">
        <f>IF('DIVA Satislari'!I410="","",IFERROR(INDEX('E2E Nakliye Montaj'!$AU$3:$AU$1002,MATCH('DIVA Satislari'!AJ410,'E2E Nakliye Montaj'!$AM$3:$AM$1002,0)),"Hayır"))</f>
        <v/>
      </c>
      <c r="N410" s="27">
        <f>IF('DIVA Satislari'!I410="","",IFERROR(INDEX('E2E Nakliye Montaj'!$AV$3:$AV$1002,MATCH('DIVA Satislari'!AJ410,'E2E Nakliye Montaj'!$AM$3:$AM$1002,0)),""))</f>
        <v/>
      </c>
      <c r="O410" s="26">
        <f>IF(OR(A410="",N410=""),"",IF(N410&lt;=H410,"Evet","HAYIR - RİSK"))</f>
        <v/>
      </c>
      <c r="P410" s="26">
        <f>IF(A410="","",IF(LEFT(J410,8)="Kural A ","Uygun - Hemen Ödenir (Yıl Sonu %75 Kontrolüne Tabi)",IF(OR(L410="Evet",M410="Evet"),IF(O410="Evet","Uygun","RİSK - Hakediş Süresi Aşıldı"),"Bekleniyor - Nakliye/Montaj Tamamlanmadı")))</f>
        <v/>
      </c>
      <c r="Q410" s="28">
        <f>IF(A410="","",SUMIFS('Hakedis Fatura Detay'!$G$3:$G$1200,'Hakedis Fatura Detay'!$H$3:$H$1200,'DIVA Satislari'!AJ410,'Hakedis Fatura Detay'!$F$3:$F$1200,"Fiyat Farkı")+SUMIFS('Hakedis Fatura Detay'!$G$3:$G$1200,'Hakedis Fatura Detay'!$H$3:$H$1200,'DIVA Satislari'!AJ410,'Hakedis Fatura Detay'!$F$3:$F$1200,"Bundle"))</f>
        <v/>
      </c>
      <c r="R410" s="28">
        <f>IF(A410="","",I410-Q410)</f>
        <v/>
      </c>
      <c r="S410" s="26">
        <f>IF(A410="","",IF(LEFT(P410,7)="Bekleni","N/A - Henüz Ödenmemeli",IF(LEFT(P410,4)="RİSK","İNCELEME GEREKLİ - Süre Aşımı",IF(R410=0,"Doğru",IF(R410&gt;0,"EKSİK ÖDENMİŞ","FAZLA ÖDENMİŞ")))))</f>
        <v/>
      </c>
      <c r="T410" s="30">
        <f>IF(A410="","",IF(F410&lt;&gt;"Evet","İNCELEME GEREKLİ - Kampanya Tanımsız",IF(G410&lt;&gt;"Evet","İNCELEME GEREKLİ - Tarih Dışı Satış",IF(LEFT(P410,4)="RİSK","İNCELEME GEREKLİ - Hakediş Süresi Aşıldı",IF(OR(S410="EKSİK ÖDENMİŞ",S410="FAZLA ÖDENMİŞ"),"İNCELEME GEREKLİ - Tutar Uyuşmazlığı",IF(LEFT(P410,7)="Bekleni","Bekleniyor","Uygun"))))))</f>
        <v/>
      </c>
    </row>
    <row r="411">
      <c r="A411" s="26">
        <f>IF('DIVA Satislari'!I411="","",'DIVA Satislari'!I411)</f>
        <v/>
      </c>
      <c r="B411" s="26">
        <f>IF('DIVA Satislari'!I411="","",'DIVA Satislari'!R411)</f>
        <v/>
      </c>
      <c r="C411" s="26">
        <f>IF('DIVA Satislari'!I411="","",'DIVA Satislari'!M411)</f>
        <v/>
      </c>
      <c r="D411" s="27">
        <f>IF('DIVA Satislari'!I411="","",'DIVA Satislari'!H411)</f>
        <v/>
      </c>
      <c r="E411" s="26">
        <f>IF('DIVA Satislari'!I411="","",'DIVA Satislari'!O411)</f>
        <v/>
      </c>
      <c r="F411" s="26">
        <f>IF('DIVA Satislari'!I411="","",'DIVA Satislari'!AK411)</f>
        <v/>
      </c>
      <c r="G411" s="26">
        <f>IF('DIVA Satislari'!I411="","",'DIVA Satislari'!AO411)</f>
        <v/>
      </c>
      <c r="H411" s="27">
        <f>IF('DIVA Satislari'!I411="","",'DIVA Satislari'!AN411)</f>
        <v/>
      </c>
      <c r="I411" s="28">
        <f>IF('DIVA Satislari'!I411="","",'DIVA Satislari'!AQ411)</f>
        <v/>
      </c>
      <c r="J411" s="26">
        <f>IF('DIVA Satislari'!I411="","",'DIVA Satislari'!AR411)</f>
        <v/>
      </c>
      <c r="K411" s="26">
        <f>IF('DIVA Satislari'!I411="","",IFERROR(INDEX('E2E Nakliye Montaj'!$AS$3:$AS$1002,MATCH('DIVA Satislari'!AJ411,'E2E Nakliye Montaj'!$AM$3:$AM$1002,0)),"Eşleşme Yok"))</f>
        <v/>
      </c>
      <c r="L411" s="26">
        <f>IF('DIVA Satislari'!I411="","",IFERROR(INDEX('E2E Nakliye Montaj'!$AT$3:$AT$1002,MATCH('DIVA Satislari'!AJ411,'E2E Nakliye Montaj'!$AM$3:$AM$1002,0)),"Hayır"))</f>
        <v/>
      </c>
      <c r="M411" s="26">
        <f>IF('DIVA Satislari'!I411="","",IFERROR(INDEX('E2E Nakliye Montaj'!$AU$3:$AU$1002,MATCH('DIVA Satislari'!AJ411,'E2E Nakliye Montaj'!$AM$3:$AM$1002,0)),"Hayır"))</f>
        <v/>
      </c>
      <c r="N411" s="27">
        <f>IF('DIVA Satislari'!I411="","",IFERROR(INDEX('E2E Nakliye Montaj'!$AV$3:$AV$1002,MATCH('DIVA Satislari'!AJ411,'E2E Nakliye Montaj'!$AM$3:$AM$1002,0)),""))</f>
        <v/>
      </c>
      <c r="O411" s="26">
        <f>IF(OR(A411="",N411=""),"",IF(N411&lt;=H411,"Evet","HAYIR - RİSK"))</f>
        <v/>
      </c>
      <c r="P411" s="26">
        <f>IF(A411="","",IF(LEFT(J411,8)="Kural A ","Uygun - Hemen Ödenir (Yıl Sonu %75 Kontrolüne Tabi)",IF(OR(L411="Evet",M411="Evet"),IF(O411="Evet","Uygun","RİSK - Hakediş Süresi Aşıldı"),"Bekleniyor - Nakliye/Montaj Tamamlanmadı")))</f>
        <v/>
      </c>
      <c r="Q411" s="28">
        <f>IF(A411="","",SUMIFS('Hakedis Fatura Detay'!$G$3:$G$1200,'Hakedis Fatura Detay'!$H$3:$H$1200,'DIVA Satislari'!AJ411,'Hakedis Fatura Detay'!$F$3:$F$1200,"Fiyat Farkı")+SUMIFS('Hakedis Fatura Detay'!$G$3:$G$1200,'Hakedis Fatura Detay'!$H$3:$H$1200,'DIVA Satislari'!AJ411,'Hakedis Fatura Detay'!$F$3:$F$1200,"Bundle"))</f>
        <v/>
      </c>
      <c r="R411" s="28">
        <f>IF(A411="","",I411-Q411)</f>
        <v/>
      </c>
      <c r="S411" s="26">
        <f>IF(A411="","",IF(LEFT(P411,7)="Bekleni","N/A - Henüz Ödenmemeli",IF(LEFT(P411,4)="RİSK","İNCELEME GEREKLİ - Süre Aşımı",IF(R411=0,"Doğru",IF(R411&gt;0,"EKSİK ÖDENMİŞ","FAZLA ÖDENMİŞ")))))</f>
        <v/>
      </c>
      <c r="T411" s="30">
        <f>IF(A411="","",IF(F411&lt;&gt;"Evet","İNCELEME GEREKLİ - Kampanya Tanımsız",IF(G411&lt;&gt;"Evet","İNCELEME GEREKLİ - Tarih Dışı Satış",IF(LEFT(P411,4)="RİSK","İNCELEME GEREKLİ - Hakediş Süresi Aşıldı",IF(OR(S411="EKSİK ÖDENMİŞ",S411="FAZLA ÖDENMİŞ"),"İNCELEME GEREKLİ - Tutar Uyuşmazlığı",IF(LEFT(P411,7)="Bekleni","Bekleniyor","Uygun"))))))</f>
        <v/>
      </c>
    </row>
    <row r="412">
      <c r="A412" s="26">
        <f>IF('DIVA Satislari'!I412="","",'DIVA Satislari'!I412)</f>
        <v/>
      </c>
      <c r="B412" s="26">
        <f>IF('DIVA Satislari'!I412="","",'DIVA Satislari'!R412)</f>
        <v/>
      </c>
      <c r="C412" s="26">
        <f>IF('DIVA Satislari'!I412="","",'DIVA Satislari'!M412)</f>
        <v/>
      </c>
      <c r="D412" s="27">
        <f>IF('DIVA Satislari'!I412="","",'DIVA Satislari'!H412)</f>
        <v/>
      </c>
      <c r="E412" s="26">
        <f>IF('DIVA Satislari'!I412="","",'DIVA Satislari'!O412)</f>
        <v/>
      </c>
      <c r="F412" s="26">
        <f>IF('DIVA Satislari'!I412="","",'DIVA Satislari'!AK412)</f>
        <v/>
      </c>
      <c r="G412" s="26">
        <f>IF('DIVA Satislari'!I412="","",'DIVA Satislari'!AO412)</f>
        <v/>
      </c>
      <c r="H412" s="27">
        <f>IF('DIVA Satislari'!I412="","",'DIVA Satislari'!AN412)</f>
        <v/>
      </c>
      <c r="I412" s="28">
        <f>IF('DIVA Satislari'!I412="","",'DIVA Satislari'!AQ412)</f>
        <v/>
      </c>
      <c r="J412" s="26">
        <f>IF('DIVA Satislari'!I412="","",'DIVA Satislari'!AR412)</f>
        <v/>
      </c>
      <c r="K412" s="26">
        <f>IF('DIVA Satislari'!I412="","",IFERROR(INDEX('E2E Nakliye Montaj'!$AS$3:$AS$1002,MATCH('DIVA Satislari'!AJ412,'E2E Nakliye Montaj'!$AM$3:$AM$1002,0)),"Eşleşme Yok"))</f>
        <v/>
      </c>
      <c r="L412" s="26">
        <f>IF('DIVA Satislari'!I412="","",IFERROR(INDEX('E2E Nakliye Montaj'!$AT$3:$AT$1002,MATCH('DIVA Satislari'!AJ412,'E2E Nakliye Montaj'!$AM$3:$AM$1002,0)),"Hayır"))</f>
        <v/>
      </c>
      <c r="M412" s="26">
        <f>IF('DIVA Satislari'!I412="","",IFERROR(INDEX('E2E Nakliye Montaj'!$AU$3:$AU$1002,MATCH('DIVA Satislari'!AJ412,'E2E Nakliye Montaj'!$AM$3:$AM$1002,0)),"Hayır"))</f>
        <v/>
      </c>
      <c r="N412" s="27">
        <f>IF('DIVA Satislari'!I412="","",IFERROR(INDEX('E2E Nakliye Montaj'!$AV$3:$AV$1002,MATCH('DIVA Satislari'!AJ412,'E2E Nakliye Montaj'!$AM$3:$AM$1002,0)),""))</f>
        <v/>
      </c>
      <c r="O412" s="26">
        <f>IF(OR(A412="",N412=""),"",IF(N412&lt;=H412,"Evet","HAYIR - RİSK"))</f>
        <v/>
      </c>
      <c r="P412" s="26">
        <f>IF(A412="","",IF(LEFT(J412,8)="Kural A ","Uygun - Hemen Ödenir (Yıl Sonu %75 Kontrolüne Tabi)",IF(OR(L412="Evet",M412="Evet"),IF(O412="Evet","Uygun","RİSK - Hakediş Süresi Aşıldı"),"Bekleniyor - Nakliye/Montaj Tamamlanmadı")))</f>
        <v/>
      </c>
      <c r="Q412" s="28">
        <f>IF(A412="","",SUMIFS('Hakedis Fatura Detay'!$G$3:$G$1200,'Hakedis Fatura Detay'!$H$3:$H$1200,'DIVA Satislari'!AJ412,'Hakedis Fatura Detay'!$F$3:$F$1200,"Fiyat Farkı")+SUMIFS('Hakedis Fatura Detay'!$G$3:$G$1200,'Hakedis Fatura Detay'!$H$3:$H$1200,'DIVA Satislari'!AJ412,'Hakedis Fatura Detay'!$F$3:$F$1200,"Bundle"))</f>
        <v/>
      </c>
      <c r="R412" s="28">
        <f>IF(A412="","",I412-Q412)</f>
        <v/>
      </c>
      <c r="S412" s="26">
        <f>IF(A412="","",IF(LEFT(P412,7)="Bekleni","N/A - Henüz Ödenmemeli",IF(LEFT(P412,4)="RİSK","İNCELEME GEREKLİ - Süre Aşımı",IF(R412=0,"Doğru",IF(R412&gt;0,"EKSİK ÖDENMİŞ","FAZLA ÖDENMİŞ")))))</f>
        <v/>
      </c>
      <c r="T412" s="30">
        <f>IF(A412="","",IF(F412&lt;&gt;"Evet","İNCELEME GEREKLİ - Kampanya Tanımsız",IF(G412&lt;&gt;"Evet","İNCELEME GEREKLİ - Tarih Dışı Satış",IF(LEFT(P412,4)="RİSK","İNCELEME GEREKLİ - Hakediş Süresi Aşıldı",IF(OR(S412="EKSİK ÖDENMİŞ",S412="FAZLA ÖDENMİŞ"),"İNCELEME GEREKLİ - Tutar Uyuşmazlığı",IF(LEFT(P412,7)="Bekleni","Bekleniyor","Uygun"))))))</f>
        <v/>
      </c>
    </row>
    <row r="413">
      <c r="A413" s="26">
        <f>IF('DIVA Satislari'!I413="","",'DIVA Satislari'!I413)</f>
        <v/>
      </c>
      <c r="B413" s="26">
        <f>IF('DIVA Satislari'!I413="","",'DIVA Satislari'!R413)</f>
        <v/>
      </c>
      <c r="C413" s="26">
        <f>IF('DIVA Satislari'!I413="","",'DIVA Satislari'!M413)</f>
        <v/>
      </c>
      <c r="D413" s="27">
        <f>IF('DIVA Satislari'!I413="","",'DIVA Satislari'!H413)</f>
        <v/>
      </c>
      <c r="E413" s="26">
        <f>IF('DIVA Satislari'!I413="","",'DIVA Satislari'!O413)</f>
        <v/>
      </c>
      <c r="F413" s="26">
        <f>IF('DIVA Satislari'!I413="","",'DIVA Satislari'!AK413)</f>
        <v/>
      </c>
      <c r="G413" s="26">
        <f>IF('DIVA Satislari'!I413="","",'DIVA Satislari'!AO413)</f>
        <v/>
      </c>
      <c r="H413" s="27">
        <f>IF('DIVA Satislari'!I413="","",'DIVA Satislari'!AN413)</f>
        <v/>
      </c>
      <c r="I413" s="28">
        <f>IF('DIVA Satislari'!I413="","",'DIVA Satislari'!AQ413)</f>
        <v/>
      </c>
      <c r="J413" s="26">
        <f>IF('DIVA Satislari'!I413="","",'DIVA Satislari'!AR413)</f>
        <v/>
      </c>
      <c r="K413" s="26">
        <f>IF('DIVA Satislari'!I413="","",IFERROR(INDEX('E2E Nakliye Montaj'!$AS$3:$AS$1002,MATCH('DIVA Satislari'!AJ413,'E2E Nakliye Montaj'!$AM$3:$AM$1002,0)),"Eşleşme Yok"))</f>
        <v/>
      </c>
      <c r="L413" s="26">
        <f>IF('DIVA Satislari'!I413="","",IFERROR(INDEX('E2E Nakliye Montaj'!$AT$3:$AT$1002,MATCH('DIVA Satislari'!AJ413,'E2E Nakliye Montaj'!$AM$3:$AM$1002,0)),"Hayır"))</f>
        <v/>
      </c>
      <c r="M413" s="26">
        <f>IF('DIVA Satislari'!I413="","",IFERROR(INDEX('E2E Nakliye Montaj'!$AU$3:$AU$1002,MATCH('DIVA Satislari'!AJ413,'E2E Nakliye Montaj'!$AM$3:$AM$1002,0)),"Hayır"))</f>
        <v/>
      </c>
      <c r="N413" s="27">
        <f>IF('DIVA Satislari'!I413="","",IFERROR(INDEX('E2E Nakliye Montaj'!$AV$3:$AV$1002,MATCH('DIVA Satislari'!AJ413,'E2E Nakliye Montaj'!$AM$3:$AM$1002,0)),""))</f>
        <v/>
      </c>
      <c r="O413" s="26">
        <f>IF(OR(A413="",N413=""),"",IF(N413&lt;=H413,"Evet","HAYIR - RİSK"))</f>
        <v/>
      </c>
      <c r="P413" s="26">
        <f>IF(A413="","",IF(LEFT(J413,8)="Kural A ","Uygun - Hemen Ödenir (Yıl Sonu %75 Kontrolüne Tabi)",IF(OR(L413="Evet",M413="Evet"),IF(O413="Evet","Uygun","RİSK - Hakediş Süresi Aşıldı"),"Bekleniyor - Nakliye/Montaj Tamamlanmadı")))</f>
        <v/>
      </c>
      <c r="Q413" s="28">
        <f>IF(A413="","",SUMIFS('Hakedis Fatura Detay'!$G$3:$G$1200,'Hakedis Fatura Detay'!$H$3:$H$1200,'DIVA Satislari'!AJ413,'Hakedis Fatura Detay'!$F$3:$F$1200,"Fiyat Farkı")+SUMIFS('Hakedis Fatura Detay'!$G$3:$G$1200,'Hakedis Fatura Detay'!$H$3:$H$1200,'DIVA Satislari'!AJ413,'Hakedis Fatura Detay'!$F$3:$F$1200,"Bundle"))</f>
        <v/>
      </c>
      <c r="R413" s="28">
        <f>IF(A413="","",I413-Q413)</f>
        <v/>
      </c>
      <c r="S413" s="26">
        <f>IF(A413="","",IF(LEFT(P413,7)="Bekleni","N/A - Henüz Ödenmemeli",IF(LEFT(P413,4)="RİSK","İNCELEME GEREKLİ - Süre Aşımı",IF(R413=0,"Doğru",IF(R413&gt;0,"EKSİK ÖDENMİŞ","FAZLA ÖDENMİŞ")))))</f>
        <v/>
      </c>
      <c r="T413" s="30">
        <f>IF(A413="","",IF(F413&lt;&gt;"Evet","İNCELEME GEREKLİ - Kampanya Tanımsız",IF(G413&lt;&gt;"Evet","İNCELEME GEREKLİ - Tarih Dışı Satış",IF(LEFT(P413,4)="RİSK","İNCELEME GEREKLİ - Hakediş Süresi Aşıldı",IF(OR(S413="EKSİK ÖDENMİŞ",S413="FAZLA ÖDENMİŞ"),"İNCELEME GEREKLİ - Tutar Uyuşmazlığı",IF(LEFT(P413,7)="Bekleni","Bekleniyor","Uygun"))))))</f>
        <v/>
      </c>
    </row>
    <row r="414">
      <c r="A414" s="26">
        <f>IF('DIVA Satislari'!I414="","",'DIVA Satislari'!I414)</f>
        <v/>
      </c>
      <c r="B414" s="26">
        <f>IF('DIVA Satislari'!I414="","",'DIVA Satislari'!R414)</f>
        <v/>
      </c>
      <c r="C414" s="26">
        <f>IF('DIVA Satislari'!I414="","",'DIVA Satislari'!M414)</f>
        <v/>
      </c>
      <c r="D414" s="27">
        <f>IF('DIVA Satislari'!I414="","",'DIVA Satislari'!H414)</f>
        <v/>
      </c>
      <c r="E414" s="26">
        <f>IF('DIVA Satislari'!I414="","",'DIVA Satislari'!O414)</f>
        <v/>
      </c>
      <c r="F414" s="26">
        <f>IF('DIVA Satislari'!I414="","",'DIVA Satislari'!AK414)</f>
        <v/>
      </c>
      <c r="G414" s="26">
        <f>IF('DIVA Satislari'!I414="","",'DIVA Satislari'!AO414)</f>
        <v/>
      </c>
      <c r="H414" s="27">
        <f>IF('DIVA Satislari'!I414="","",'DIVA Satislari'!AN414)</f>
        <v/>
      </c>
      <c r="I414" s="28">
        <f>IF('DIVA Satislari'!I414="","",'DIVA Satislari'!AQ414)</f>
        <v/>
      </c>
      <c r="J414" s="26">
        <f>IF('DIVA Satislari'!I414="","",'DIVA Satislari'!AR414)</f>
        <v/>
      </c>
      <c r="K414" s="26">
        <f>IF('DIVA Satislari'!I414="","",IFERROR(INDEX('E2E Nakliye Montaj'!$AS$3:$AS$1002,MATCH('DIVA Satislari'!AJ414,'E2E Nakliye Montaj'!$AM$3:$AM$1002,0)),"Eşleşme Yok"))</f>
        <v/>
      </c>
      <c r="L414" s="26">
        <f>IF('DIVA Satislari'!I414="","",IFERROR(INDEX('E2E Nakliye Montaj'!$AT$3:$AT$1002,MATCH('DIVA Satislari'!AJ414,'E2E Nakliye Montaj'!$AM$3:$AM$1002,0)),"Hayır"))</f>
        <v/>
      </c>
      <c r="M414" s="26">
        <f>IF('DIVA Satislari'!I414="","",IFERROR(INDEX('E2E Nakliye Montaj'!$AU$3:$AU$1002,MATCH('DIVA Satislari'!AJ414,'E2E Nakliye Montaj'!$AM$3:$AM$1002,0)),"Hayır"))</f>
        <v/>
      </c>
      <c r="N414" s="27">
        <f>IF('DIVA Satislari'!I414="","",IFERROR(INDEX('E2E Nakliye Montaj'!$AV$3:$AV$1002,MATCH('DIVA Satislari'!AJ414,'E2E Nakliye Montaj'!$AM$3:$AM$1002,0)),""))</f>
        <v/>
      </c>
      <c r="O414" s="26">
        <f>IF(OR(A414="",N414=""),"",IF(N414&lt;=H414,"Evet","HAYIR - RİSK"))</f>
        <v/>
      </c>
      <c r="P414" s="26">
        <f>IF(A414="","",IF(LEFT(J414,8)="Kural A ","Uygun - Hemen Ödenir (Yıl Sonu %75 Kontrolüne Tabi)",IF(OR(L414="Evet",M414="Evet"),IF(O414="Evet","Uygun","RİSK - Hakediş Süresi Aşıldı"),"Bekleniyor - Nakliye/Montaj Tamamlanmadı")))</f>
        <v/>
      </c>
      <c r="Q414" s="28">
        <f>IF(A414="","",SUMIFS('Hakedis Fatura Detay'!$G$3:$G$1200,'Hakedis Fatura Detay'!$H$3:$H$1200,'DIVA Satislari'!AJ414,'Hakedis Fatura Detay'!$F$3:$F$1200,"Fiyat Farkı")+SUMIFS('Hakedis Fatura Detay'!$G$3:$G$1200,'Hakedis Fatura Detay'!$H$3:$H$1200,'DIVA Satislari'!AJ414,'Hakedis Fatura Detay'!$F$3:$F$1200,"Bundle"))</f>
        <v/>
      </c>
      <c r="R414" s="28">
        <f>IF(A414="","",I414-Q414)</f>
        <v/>
      </c>
      <c r="S414" s="26">
        <f>IF(A414="","",IF(LEFT(P414,7)="Bekleni","N/A - Henüz Ödenmemeli",IF(LEFT(P414,4)="RİSK","İNCELEME GEREKLİ - Süre Aşımı",IF(R414=0,"Doğru",IF(R414&gt;0,"EKSİK ÖDENMİŞ","FAZLA ÖDENMİŞ")))))</f>
        <v/>
      </c>
      <c r="T414" s="30">
        <f>IF(A414="","",IF(F414&lt;&gt;"Evet","İNCELEME GEREKLİ - Kampanya Tanımsız",IF(G414&lt;&gt;"Evet","İNCELEME GEREKLİ - Tarih Dışı Satış",IF(LEFT(P414,4)="RİSK","İNCELEME GEREKLİ - Hakediş Süresi Aşıldı",IF(OR(S414="EKSİK ÖDENMİŞ",S414="FAZLA ÖDENMİŞ"),"İNCELEME GEREKLİ - Tutar Uyuşmazlığı",IF(LEFT(P414,7)="Bekleni","Bekleniyor","Uygun"))))))</f>
        <v/>
      </c>
    </row>
    <row r="415">
      <c r="A415" s="26">
        <f>IF('DIVA Satislari'!I415="","",'DIVA Satislari'!I415)</f>
        <v/>
      </c>
      <c r="B415" s="26">
        <f>IF('DIVA Satislari'!I415="","",'DIVA Satislari'!R415)</f>
        <v/>
      </c>
      <c r="C415" s="26">
        <f>IF('DIVA Satislari'!I415="","",'DIVA Satislari'!M415)</f>
        <v/>
      </c>
      <c r="D415" s="27">
        <f>IF('DIVA Satislari'!I415="","",'DIVA Satislari'!H415)</f>
        <v/>
      </c>
      <c r="E415" s="26">
        <f>IF('DIVA Satislari'!I415="","",'DIVA Satislari'!O415)</f>
        <v/>
      </c>
      <c r="F415" s="26">
        <f>IF('DIVA Satislari'!I415="","",'DIVA Satislari'!AK415)</f>
        <v/>
      </c>
      <c r="G415" s="26">
        <f>IF('DIVA Satislari'!I415="","",'DIVA Satislari'!AO415)</f>
        <v/>
      </c>
      <c r="H415" s="27">
        <f>IF('DIVA Satislari'!I415="","",'DIVA Satislari'!AN415)</f>
        <v/>
      </c>
      <c r="I415" s="28">
        <f>IF('DIVA Satislari'!I415="","",'DIVA Satislari'!AQ415)</f>
        <v/>
      </c>
      <c r="J415" s="26">
        <f>IF('DIVA Satislari'!I415="","",'DIVA Satislari'!AR415)</f>
        <v/>
      </c>
      <c r="K415" s="26">
        <f>IF('DIVA Satislari'!I415="","",IFERROR(INDEX('E2E Nakliye Montaj'!$AS$3:$AS$1002,MATCH('DIVA Satislari'!AJ415,'E2E Nakliye Montaj'!$AM$3:$AM$1002,0)),"Eşleşme Yok"))</f>
        <v/>
      </c>
      <c r="L415" s="26">
        <f>IF('DIVA Satislari'!I415="","",IFERROR(INDEX('E2E Nakliye Montaj'!$AT$3:$AT$1002,MATCH('DIVA Satislari'!AJ415,'E2E Nakliye Montaj'!$AM$3:$AM$1002,0)),"Hayır"))</f>
        <v/>
      </c>
      <c r="M415" s="26">
        <f>IF('DIVA Satislari'!I415="","",IFERROR(INDEX('E2E Nakliye Montaj'!$AU$3:$AU$1002,MATCH('DIVA Satislari'!AJ415,'E2E Nakliye Montaj'!$AM$3:$AM$1002,0)),"Hayır"))</f>
        <v/>
      </c>
      <c r="N415" s="27">
        <f>IF('DIVA Satislari'!I415="","",IFERROR(INDEX('E2E Nakliye Montaj'!$AV$3:$AV$1002,MATCH('DIVA Satislari'!AJ415,'E2E Nakliye Montaj'!$AM$3:$AM$1002,0)),""))</f>
        <v/>
      </c>
      <c r="O415" s="26">
        <f>IF(OR(A415="",N415=""),"",IF(N415&lt;=H415,"Evet","HAYIR - RİSK"))</f>
        <v/>
      </c>
      <c r="P415" s="26">
        <f>IF(A415="","",IF(LEFT(J415,8)="Kural A ","Uygun - Hemen Ödenir (Yıl Sonu %75 Kontrolüne Tabi)",IF(OR(L415="Evet",M415="Evet"),IF(O415="Evet","Uygun","RİSK - Hakediş Süresi Aşıldı"),"Bekleniyor - Nakliye/Montaj Tamamlanmadı")))</f>
        <v/>
      </c>
      <c r="Q415" s="28">
        <f>IF(A415="","",SUMIFS('Hakedis Fatura Detay'!$G$3:$G$1200,'Hakedis Fatura Detay'!$H$3:$H$1200,'DIVA Satislari'!AJ415,'Hakedis Fatura Detay'!$F$3:$F$1200,"Fiyat Farkı")+SUMIFS('Hakedis Fatura Detay'!$G$3:$G$1200,'Hakedis Fatura Detay'!$H$3:$H$1200,'DIVA Satislari'!AJ415,'Hakedis Fatura Detay'!$F$3:$F$1200,"Bundle"))</f>
        <v/>
      </c>
      <c r="R415" s="28">
        <f>IF(A415="","",I415-Q415)</f>
        <v/>
      </c>
      <c r="S415" s="26">
        <f>IF(A415="","",IF(LEFT(P415,7)="Bekleni","N/A - Henüz Ödenmemeli",IF(LEFT(P415,4)="RİSK","İNCELEME GEREKLİ - Süre Aşımı",IF(R415=0,"Doğru",IF(R415&gt;0,"EKSİK ÖDENMİŞ","FAZLA ÖDENMİŞ")))))</f>
        <v/>
      </c>
      <c r="T415" s="30">
        <f>IF(A415="","",IF(F415&lt;&gt;"Evet","İNCELEME GEREKLİ - Kampanya Tanımsız",IF(G415&lt;&gt;"Evet","İNCELEME GEREKLİ - Tarih Dışı Satış",IF(LEFT(P415,4)="RİSK","İNCELEME GEREKLİ - Hakediş Süresi Aşıldı",IF(OR(S415="EKSİK ÖDENMİŞ",S415="FAZLA ÖDENMİŞ"),"İNCELEME GEREKLİ - Tutar Uyuşmazlığı",IF(LEFT(P415,7)="Bekleni","Bekleniyor","Uygun"))))))</f>
        <v/>
      </c>
    </row>
    <row r="416">
      <c r="A416" s="26">
        <f>IF('DIVA Satislari'!I416="","",'DIVA Satislari'!I416)</f>
        <v/>
      </c>
      <c r="B416" s="26">
        <f>IF('DIVA Satislari'!I416="","",'DIVA Satislari'!R416)</f>
        <v/>
      </c>
      <c r="C416" s="26">
        <f>IF('DIVA Satislari'!I416="","",'DIVA Satislari'!M416)</f>
        <v/>
      </c>
      <c r="D416" s="27">
        <f>IF('DIVA Satislari'!I416="","",'DIVA Satislari'!H416)</f>
        <v/>
      </c>
      <c r="E416" s="26">
        <f>IF('DIVA Satislari'!I416="","",'DIVA Satislari'!O416)</f>
        <v/>
      </c>
      <c r="F416" s="26">
        <f>IF('DIVA Satislari'!I416="","",'DIVA Satislari'!AK416)</f>
        <v/>
      </c>
      <c r="G416" s="26">
        <f>IF('DIVA Satislari'!I416="","",'DIVA Satislari'!AO416)</f>
        <v/>
      </c>
      <c r="H416" s="27">
        <f>IF('DIVA Satislari'!I416="","",'DIVA Satislari'!AN416)</f>
        <v/>
      </c>
      <c r="I416" s="28">
        <f>IF('DIVA Satislari'!I416="","",'DIVA Satislari'!AQ416)</f>
        <v/>
      </c>
      <c r="J416" s="26">
        <f>IF('DIVA Satislari'!I416="","",'DIVA Satislari'!AR416)</f>
        <v/>
      </c>
      <c r="K416" s="26">
        <f>IF('DIVA Satislari'!I416="","",IFERROR(INDEX('E2E Nakliye Montaj'!$AS$3:$AS$1002,MATCH('DIVA Satislari'!AJ416,'E2E Nakliye Montaj'!$AM$3:$AM$1002,0)),"Eşleşme Yok"))</f>
        <v/>
      </c>
      <c r="L416" s="26">
        <f>IF('DIVA Satislari'!I416="","",IFERROR(INDEX('E2E Nakliye Montaj'!$AT$3:$AT$1002,MATCH('DIVA Satislari'!AJ416,'E2E Nakliye Montaj'!$AM$3:$AM$1002,0)),"Hayır"))</f>
        <v/>
      </c>
      <c r="M416" s="26">
        <f>IF('DIVA Satislari'!I416="","",IFERROR(INDEX('E2E Nakliye Montaj'!$AU$3:$AU$1002,MATCH('DIVA Satislari'!AJ416,'E2E Nakliye Montaj'!$AM$3:$AM$1002,0)),"Hayır"))</f>
        <v/>
      </c>
      <c r="N416" s="27">
        <f>IF('DIVA Satislari'!I416="","",IFERROR(INDEX('E2E Nakliye Montaj'!$AV$3:$AV$1002,MATCH('DIVA Satislari'!AJ416,'E2E Nakliye Montaj'!$AM$3:$AM$1002,0)),""))</f>
        <v/>
      </c>
      <c r="O416" s="26">
        <f>IF(OR(A416="",N416=""),"",IF(N416&lt;=H416,"Evet","HAYIR - RİSK"))</f>
        <v/>
      </c>
      <c r="P416" s="26">
        <f>IF(A416="","",IF(LEFT(J416,8)="Kural A ","Uygun - Hemen Ödenir (Yıl Sonu %75 Kontrolüne Tabi)",IF(OR(L416="Evet",M416="Evet"),IF(O416="Evet","Uygun","RİSK - Hakediş Süresi Aşıldı"),"Bekleniyor - Nakliye/Montaj Tamamlanmadı")))</f>
        <v/>
      </c>
      <c r="Q416" s="28">
        <f>IF(A416="","",SUMIFS('Hakedis Fatura Detay'!$G$3:$G$1200,'Hakedis Fatura Detay'!$H$3:$H$1200,'DIVA Satislari'!AJ416,'Hakedis Fatura Detay'!$F$3:$F$1200,"Fiyat Farkı")+SUMIFS('Hakedis Fatura Detay'!$G$3:$G$1200,'Hakedis Fatura Detay'!$H$3:$H$1200,'DIVA Satislari'!AJ416,'Hakedis Fatura Detay'!$F$3:$F$1200,"Bundle"))</f>
        <v/>
      </c>
      <c r="R416" s="28">
        <f>IF(A416="","",I416-Q416)</f>
        <v/>
      </c>
      <c r="S416" s="26">
        <f>IF(A416="","",IF(LEFT(P416,7)="Bekleni","N/A - Henüz Ödenmemeli",IF(LEFT(P416,4)="RİSK","İNCELEME GEREKLİ - Süre Aşımı",IF(R416=0,"Doğru",IF(R416&gt;0,"EKSİK ÖDENMİŞ","FAZLA ÖDENMİŞ")))))</f>
        <v/>
      </c>
      <c r="T416" s="30">
        <f>IF(A416="","",IF(F416&lt;&gt;"Evet","İNCELEME GEREKLİ - Kampanya Tanımsız",IF(G416&lt;&gt;"Evet","İNCELEME GEREKLİ - Tarih Dışı Satış",IF(LEFT(P416,4)="RİSK","İNCELEME GEREKLİ - Hakediş Süresi Aşıldı",IF(OR(S416="EKSİK ÖDENMİŞ",S416="FAZLA ÖDENMİŞ"),"İNCELEME GEREKLİ - Tutar Uyuşmazlığı",IF(LEFT(P416,7)="Bekleni","Bekleniyor","Uygun"))))))</f>
        <v/>
      </c>
    </row>
    <row r="417">
      <c r="A417" s="26">
        <f>IF('DIVA Satislari'!I417="","",'DIVA Satislari'!I417)</f>
        <v/>
      </c>
      <c r="B417" s="26">
        <f>IF('DIVA Satislari'!I417="","",'DIVA Satislari'!R417)</f>
        <v/>
      </c>
      <c r="C417" s="26">
        <f>IF('DIVA Satislari'!I417="","",'DIVA Satislari'!M417)</f>
        <v/>
      </c>
      <c r="D417" s="27">
        <f>IF('DIVA Satislari'!I417="","",'DIVA Satislari'!H417)</f>
        <v/>
      </c>
      <c r="E417" s="26">
        <f>IF('DIVA Satislari'!I417="","",'DIVA Satislari'!O417)</f>
        <v/>
      </c>
      <c r="F417" s="26">
        <f>IF('DIVA Satislari'!I417="","",'DIVA Satislari'!AK417)</f>
        <v/>
      </c>
      <c r="G417" s="26">
        <f>IF('DIVA Satislari'!I417="","",'DIVA Satislari'!AO417)</f>
        <v/>
      </c>
      <c r="H417" s="27">
        <f>IF('DIVA Satislari'!I417="","",'DIVA Satislari'!AN417)</f>
        <v/>
      </c>
      <c r="I417" s="28">
        <f>IF('DIVA Satislari'!I417="","",'DIVA Satislari'!AQ417)</f>
        <v/>
      </c>
      <c r="J417" s="26">
        <f>IF('DIVA Satislari'!I417="","",'DIVA Satislari'!AR417)</f>
        <v/>
      </c>
      <c r="K417" s="26">
        <f>IF('DIVA Satislari'!I417="","",IFERROR(INDEX('E2E Nakliye Montaj'!$AS$3:$AS$1002,MATCH('DIVA Satislari'!AJ417,'E2E Nakliye Montaj'!$AM$3:$AM$1002,0)),"Eşleşme Yok"))</f>
        <v/>
      </c>
      <c r="L417" s="26">
        <f>IF('DIVA Satislari'!I417="","",IFERROR(INDEX('E2E Nakliye Montaj'!$AT$3:$AT$1002,MATCH('DIVA Satislari'!AJ417,'E2E Nakliye Montaj'!$AM$3:$AM$1002,0)),"Hayır"))</f>
        <v/>
      </c>
      <c r="M417" s="26">
        <f>IF('DIVA Satislari'!I417="","",IFERROR(INDEX('E2E Nakliye Montaj'!$AU$3:$AU$1002,MATCH('DIVA Satislari'!AJ417,'E2E Nakliye Montaj'!$AM$3:$AM$1002,0)),"Hayır"))</f>
        <v/>
      </c>
      <c r="N417" s="27">
        <f>IF('DIVA Satislari'!I417="","",IFERROR(INDEX('E2E Nakliye Montaj'!$AV$3:$AV$1002,MATCH('DIVA Satislari'!AJ417,'E2E Nakliye Montaj'!$AM$3:$AM$1002,0)),""))</f>
        <v/>
      </c>
      <c r="O417" s="26">
        <f>IF(OR(A417="",N417=""),"",IF(N417&lt;=H417,"Evet","HAYIR - RİSK"))</f>
        <v/>
      </c>
      <c r="P417" s="26">
        <f>IF(A417="","",IF(LEFT(J417,8)="Kural A ","Uygun - Hemen Ödenir (Yıl Sonu %75 Kontrolüne Tabi)",IF(OR(L417="Evet",M417="Evet"),IF(O417="Evet","Uygun","RİSK - Hakediş Süresi Aşıldı"),"Bekleniyor - Nakliye/Montaj Tamamlanmadı")))</f>
        <v/>
      </c>
      <c r="Q417" s="28">
        <f>IF(A417="","",SUMIFS('Hakedis Fatura Detay'!$G$3:$G$1200,'Hakedis Fatura Detay'!$H$3:$H$1200,'DIVA Satislari'!AJ417,'Hakedis Fatura Detay'!$F$3:$F$1200,"Fiyat Farkı")+SUMIFS('Hakedis Fatura Detay'!$G$3:$G$1200,'Hakedis Fatura Detay'!$H$3:$H$1200,'DIVA Satislari'!AJ417,'Hakedis Fatura Detay'!$F$3:$F$1200,"Bundle"))</f>
        <v/>
      </c>
      <c r="R417" s="28">
        <f>IF(A417="","",I417-Q417)</f>
        <v/>
      </c>
      <c r="S417" s="26">
        <f>IF(A417="","",IF(LEFT(P417,7)="Bekleni","N/A - Henüz Ödenmemeli",IF(LEFT(P417,4)="RİSK","İNCELEME GEREKLİ - Süre Aşımı",IF(R417=0,"Doğru",IF(R417&gt;0,"EKSİK ÖDENMİŞ","FAZLA ÖDENMİŞ")))))</f>
        <v/>
      </c>
      <c r="T417" s="30">
        <f>IF(A417="","",IF(F417&lt;&gt;"Evet","İNCELEME GEREKLİ - Kampanya Tanımsız",IF(G417&lt;&gt;"Evet","İNCELEME GEREKLİ - Tarih Dışı Satış",IF(LEFT(P417,4)="RİSK","İNCELEME GEREKLİ - Hakediş Süresi Aşıldı",IF(OR(S417="EKSİK ÖDENMİŞ",S417="FAZLA ÖDENMİŞ"),"İNCELEME GEREKLİ - Tutar Uyuşmazlığı",IF(LEFT(P417,7)="Bekleni","Bekleniyor","Uygun"))))))</f>
        <v/>
      </c>
    </row>
    <row r="418">
      <c r="A418" s="26">
        <f>IF('DIVA Satislari'!I418="","",'DIVA Satislari'!I418)</f>
        <v/>
      </c>
      <c r="B418" s="26">
        <f>IF('DIVA Satislari'!I418="","",'DIVA Satislari'!R418)</f>
        <v/>
      </c>
      <c r="C418" s="26">
        <f>IF('DIVA Satislari'!I418="","",'DIVA Satislari'!M418)</f>
        <v/>
      </c>
      <c r="D418" s="27">
        <f>IF('DIVA Satislari'!I418="","",'DIVA Satislari'!H418)</f>
        <v/>
      </c>
      <c r="E418" s="26">
        <f>IF('DIVA Satislari'!I418="","",'DIVA Satislari'!O418)</f>
        <v/>
      </c>
      <c r="F418" s="26">
        <f>IF('DIVA Satislari'!I418="","",'DIVA Satislari'!AK418)</f>
        <v/>
      </c>
      <c r="G418" s="26">
        <f>IF('DIVA Satislari'!I418="","",'DIVA Satislari'!AO418)</f>
        <v/>
      </c>
      <c r="H418" s="27">
        <f>IF('DIVA Satislari'!I418="","",'DIVA Satislari'!AN418)</f>
        <v/>
      </c>
      <c r="I418" s="28">
        <f>IF('DIVA Satislari'!I418="","",'DIVA Satislari'!AQ418)</f>
        <v/>
      </c>
      <c r="J418" s="26">
        <f>IF('DIVA Satislari'!I418="","",'DIVA Satislari'!AR418)</f>
        <v/>
      </c>
      <c r="K418" s="26">
        <f>IF('DIVA Satislari'!I418="","",IFERROR(INDEX('E2E Nakliye Montaj'!$AS$3:$AS$1002,MATCH('DIVA Satislari'!AJ418,'E2E Nakliye Montaj'!$AM$3:$AM$1002,0)),"Eşleşme Yok"))</f>
        <v/>
      </c>
      <c r="L418" s="26">
        <f>IF('DIVA Satislari'!I418="","",IFERROR(INDEX('E2E Nakliye Montaj'!$AT$3:$AT$1002,MATCH('DIVA Satislari'!AJ418,'E2E Nakliye Montaj'!$AM$3:$AM$1002,0)),"Hayır"))</f>
        <v/>
      </c>
      <c r="M418" s="26">
        <f>IF('DIVA Satislari'!I418="","",IFERROR(INDEX('E2E Nakliye Montaj'!$AU$3:$AU$1002,MATCH('DIVA Satislari'!AJ418,'E2E Nakliye Montaj'!$AM$3:$AM$1002,0)),"Hayır"))</f>
        <v/>
      </c>
      <c r="N418" s="27">
        <f>IF('DIVA Satislari'!I418="","",IFERROR(INDEX('E2E Nakliye Montaj'!$AV$3:$AV$1002,MATCH('DIVA Satislari'!AJ418,'E2E Nakliye Montaj'!$AM$3:$AM$1002,0)),""))</f>
        <v/>
      </c>
      <c r="O418" s="26">
        <f>IF(OR(A418="",N418=""),"",IF(N418&lt;=H418,"Evet","HAYIR - RİSK"))</f>
        <v/>
      </c>
      <c r="P418" s="26">
        <f>IF(A418="","",IF(LEFT(J418,8)="Kural A ","Uygun - Hemen Ödenir (Yıl Sonu %75 Kontrolüne Tabi)",IF(OR(L418="Evet",M418="Evet"),IF(O418="Evet","Uygun","RİSK - Hakediş Süresi Aşıldı"),"Bekleniyor - Nakliye/Montaj Tamamlanmadı")))</f>
        <v/>
      </c>
      <c r="Q418" s="28">
        <f>IF(A418="","",SUMIFS('Hakedis Fatura Detay'!$G$3:$G$1200,'Hakedis Fatura Detay'!$H$3:$H$1200,'DIVA Satislari'!AJ418,'Hakedis Fatura Detay'!$F$3:$F$1200,"Fiyat Farkı")+SUMIFS('Hakedis Fatura Detay'!$G$3:$G$1200,'Hakedis Fatura Detay'!$H$3:$H$1200,'DIVA Satislari'!AJ418,'Hakedis Fatura Detay'!$F$3:$F$1200,"Bundle"))</f>
        <v/>
      </c>
      <c r="R418" s="28">
        <f>IF(A418="","",I418-Q418)</f>
        <v/>
      </c>
      <c r="S418" s="26">
        <f>IF(A418="","",IF(LEFT(P418,7)="Bekleni","N/A - Henüz Ödenmemeli",IF(LEFT(P418,4)="RİSK","İNCELEME GEREKLİ - Süre Aşımı",IF(R418=0,"Doğru",IF(R418&gt;0,"EKSİK ÖDENMİŞ","FAZLA ÖDENMİŞ")))))</f>
        <v/>
      </c>
      <c r="T418" s="30">
        <f>IF(A418="","",IF(F418&lt;&gt;"Evet","İNCELEME GEREKLİ - Kampanya Tanımsız",IF(G418&lt;&gt;"Evet","İNCELEME GEREKLİ - Tarih Dışı Satış",IF(LEFT(P418,4)="RİSK","İNCELEME GEREKLİ - Hakediş Süresi Aşıldı",IF(OR(S418="EKSİK ÖDENMİŞ",S418="FAZLA ÖDENMİŞ"),"İNCELEME GEREKLİ - Tutar Uyuşmazlığı",IF(LEFT(P418,7)="Bekleni","Bekleniyor","Uygun"))))))</f>
        <v/>
      </c>
    </row>
    <row r="419">
      <c r="A419" s="26">
        <f>IF('DIVA Satislari'!I419="","",'DIVA Satislari'!I419)</f>
        <v/>
      </c>
      <c r="B419" s="26">
        <f>IF('DIVA Satislari'!I419="","",'DIVA Satislari'!R419)</f>
        <v/>
      </c>
      <c r="C419" s="26">
        <f>IF('DIVA Satislari'!I419="","",'DIVA Satislari'!M419)</f>
        <v/>
      </c>
      <c r="D419" s="27">
        <f>IF('DIVA Satislari'!I419="","",'DIVA Satislari'!H419)</f>
        <v/>
      </c>
      <c r="E419" s="26">
        <f>IF('DIVA Satislari'!I419="","",'DIVA Satislari'!O419)</f>
        <v/>
      </c>
      <c r="F419" s="26">
        <f>IF('DIVA Satislari'!I419="","",'DIVA Satislari'!AK419)</f>
        <v/>
      </c>
      <c r="G419" s="26">
        <f>IF('DIVA Satislari'!I419="","",'DIVA Satislari'!AO419)</f>
        <v/>
      </c>
      <c r="H419" s="27">
        <f>IF('DIVA Satislari'!I419="","",'DIVA Satislari'!AN419)</f>
        <v/>
      </c>
      <c r="I419" s="28">
        <f>IF('DIVA Satislari'!I419="","",'DIVA Satislari'!AQ419)</f>
        <v/>
      </c>
      <c r="J419" s="26">
        <f>IF('DIVA Satislari'!I419="","",'DIVA Satislari'!AR419)</f>
        <v/>
      </c>
      <c r="K419" s="26">
        <f>IF('DIVA Satislari'!I419="","",IFERROR(INDEX('E2E Nakliye Montaj'!$AS$3:$AS$1002,MATCH('DIVA Satislari'!AJ419,'E2E Nakliye Montaj'!$AM$3:$AM$1002,0)),"Eşleşme Yok"))</f>
        <v/>
      </c>
      <c r="L419" s="26">
        <f>IF('DIVA Satislari'!I419="","",IFERROR(INDEX('E2E Nakliye Montaj'!$AT$3:$AT$1002,MATCH('DIVA Satislari'!AJ419,'E2E Nakliye Montaj'!$AM$3:$AM$1002,0)),"Hayır"))</f>
        <v/>
      </c>
      <c r="M419" s="26">
        <f>IF('DIVA Satislari'!I419="","",IFERROR(INDEX('E2E Nakliye Montaj'!$AU$3:$AU$1002,MATCH('DIVA Satislari'!AJ419,'E2E Nakliye Montaj'!$AM$3:$AM$1002,0)),"Hayır"))</f>
        <v/>
      </c>
      <c r="N419" s="27">
        <f>IF('DIVA Satislari'!I419="","",IFERROR(INDEX('E2E Nakliye Montaj'!$AV$3:$AV$1002,MATCH('DIVA Satislari'!AJ419,'E2E Nakliye Montaj'!$AM$3:$AM$1002,0)),""))</f>
        <v/>
      </c>
      <c r="O419" s="26">
        <f>IF(OR(A419="",N419=""),"",IF(N419&lt;=H419,"Evet","HAYIR - RİSK"))</f>
        <v/>
      </c>
      <c r="P419" s="26">
        <f>IF(A419="","",IF(LEFT(J419,8)="Kural A ","Uygun - Hemen Ödenir (Yıl Sonu %75 Kontrolüne Tabi)",IF(OR(L419="Evet",M419="Evet"),IF(O419="Evet","Uygun","RİSK - Hakediş Süresi Aşıldı"),"Bekleniyor - Nakliye/Montaj Tamamlanmadı")))</f>
        <v/>
      </c>
      <c r="Q419" s="28">
        <f>IF(A419="","",SUMIFS('Hakedis Fatura Detay'!$G$3:$G$1200,'Hakedis Fatura Detay'!$H$3:$H$1200,'DIVA Satislari'!AJ419,'Hakedis Fatura Detay'!$F$3:$F$1200,"Fiyat Farkı")+SUMIFS('Hakedis Fatura Detay'!$G$3:$G$1200,'Hakedis Fatura Detay'!$H$3:$H$1200,'DIVA Satislari'!AJ419,'Hakedis Fatura Detay'!$F$3:$F$1200,"Bundle"))</f>
        <v/>
      </c>
      <c r="R419" s="28">
        <f>IF(A419="","",I419-Q419)</f>
        <v/>
      </c>
      <c r="S419" s="26">
        <f>IF(A419="","",IF(LEFT(P419,7)="Bekleni","N/A - Henüz Ödenmemeli",IF(LEFT(P419,4)="RİSK","İNCELEME GEREKLİ - Süre Aşımı",IF(R419=0,"Doğru",IF(R419&gt;0,"EKSİK ÖDENMİŞ","FAZLA ÖDENMİŞ")))))</f>
        <v/>
      </c>
      <c r="T419" s="30">
        <f>IF(A419="","",IF(F419&lt;&gt;"Evet","İNCELEME GEREKLİ - Kampanya Tanımsız",IF(G419&lt;&gt;"Evet","İNCELEME GEREKLİ - Tarih Dışı Satış",IF(LEFT(P419,4)="RİSK","İNCELEME GEREKLİ - Hakediş Süresi Aşıldı",IF(OR(S419="EKSİK ÖDENMİŞ",S419="FAZLA ÖDENMİŞ"),"İNCELEME GEREKLİ - Tutar Uyuşmazlığı",IF(LEFT(P419,7)="Bekleni","Bekleniyor","Uygun"))))))</f>
        <v/>
      </c>
    </row>
    <row r="420">
      <c r="A420" s="26">
        <f>IF('DIVA Satislari'!I420="","",'DIVA Satislari'!I420)</f>
        <v/>
      </c>
      <c r="B420" s="26">
        <f>IF('DIVA Satislari'!I420="","",'DIVA Satislari'!R420)</f>
        <v/>
      </c>
      <c r="C420" s="26">
        <f>IF('DIVA Satislari'!I420="","",'DIVA Satislari'!M420)</f>
        <v/>
      </c>
      <c r="D420" s="27">
        <f>IF('DIVA Satislari'!I420="","",'DIVA Satislari'!H420)</f>
        <v/>
      </c>
      <c r="E420" s="26">
        <f>IF('DIVA Satislari'!I420="","",'DIVA Satislari'!O420)</f>
        <v/>
      </c>
      <c r="F420" s="26">
        <f>IF('DIVA Satislari'!I420="","",'DIVA Satislari'!AK420)</f>
        <v/>
      </c>
      <c r="G420" s="26">
        <f>IF('DIVA Satislari'!I420="","",'DIVA Satislari'!AO420)</f>
        <v/>
      </c>
      <c r="H420" s="27">
        <f>IF('DIVA Satislari'!I420="","",'DIVA Satislari'!AN420)</f>
        <v/>
      </c>
      <c r="I420" s="28">
        <f>IF('DIVA Satislari'!I420="","",'DIVA Satislari'!AQ420)</f>
        <v/>
      </c>
      <c r="J420" s="26">
        <f>IF('DIVA Satislari'!I420="","",'DIVA Satislari'!AR420)</f>
        <v/>
      </c>
      <c r="K420" s="26">
        <f>IF('DIVA Satislari'!I420="","",IFERROR(INDEX('E2E Nakliye Montaj'!$AS$3:$AS$1002,MATCH('DIVA Satislari'!AJ420,'E2E Nakliye Montaj'!$AM$3:$AM$1002,0)),"Eşleşme Yok"))</f>
        <v/>
      </c>
      <c r="L420" s="26">
        <f>IF('DIVA Satislari'!I420="","",IFERROR(INDEX('E2E Nakliye Montaj'!$AT$3:$AT$1002,MATCH('DIVA Satislari'!AJ420,'E2E Nakliye Montaj'!$AM$3:$AM$1002,0)),"Hayır"))</f>
        <v/>
      </c>
      <c r="M420" s="26">
        <f>IF('DIVA Satislari'!I420="","",IFERROR(INDEX('E2E Nakliye Montaj'!$AU$3:$AU$1002,MATCH('DIVA Satislari'!AJ420,'E2E Nakliye Montaj'!$AM$3:$AM$1002,0)),"Hayır"))</f>
        <v/>
      </c>
      <c r="N420" s="27">
        <f>IF('DIVA Satislari'!I420="","",IFERROR(INDEX('E2E Nakliye Montaj'!$AV$3:$AV$1002,MATCH('DIVA Satislari'!AJ420,'E2E Nakliye Montaj'!$AM$3:$AM$1002,0)),""))</f>
        <v/>
      </c>
      <c r="O420" s="26">
        <f>IF(OR(A420="",N420=""),"",IF(N420&lt;=H420,"Evet","HAYIR - RİSK"))</f>
        <v/>
      </c>
      <c r="P420" s="26">
        <f>IF(A420="","",IF(LEFT(J420,8)="Kural A ","Uygun - Hemen Ödenir (Yıl Sonu %75 Kontrolüne Tabi)",IF(OR(L420="Evet",M420="Evet"),IF(O420="Evet","Uygun","RİSK - Hakediş Süresi Aşıldı"),"Bekleniyor - Nakliye/Montaj Tamamlanmadı")))</f>
        <v/>
      </c>
      <c r="Q420" s="28">
        <f>IF(A420="","",SUMIFS('Hakedis Fatura Detay'!$G$3:$G$1200,'Hakedis Fatura Detay'!$H$3:$H$1200,'DIVA Satislari'!AJ420,'Hakedis Fatura Detay'!$F$3:$F$1200,"Fiyat Farkı")+SUMIFS('Hakedis Fatura Detay'!$G$3:$G$1200,'Hakedis Fatura Detay'!$H$3:$H$1200,'DIVA Satislari'!AJ420,'Hakedis Fatura Detay'!$F$3:$F$1200,"Bundle"))</f>
        <v/>
      </c>
      <c r="R420" s="28">
        <f>IF(A420="","",I420-Q420)</f>
        <v/>
      </c>
      <c r="S420" s="26">
        <f>IF(A420="","",IF(LEFT(P420,7)="Bekleni","N/A - Henüz Ödenmemeli",IF(LEFT(P420,4)="RİSK","İNCELEME GEREKLİ - Süre Aşımı",IF(R420=0,"Doğru",IF(R420&gt;0,"EKSİK ÖDENMİŞ","FAZLA ÖDENMİŞ")))))</f>
        <v/>
      </c>
      <c r="T420" s="30">
        <f>IF(A420="","",IF(F420&lt;&gt;"Evet","İNCELEME GEREKLİ - Kampanya Tanımsız",IF(G420&lt;&gt;"Evet","İNCELEME GEREKLİ - Tarih Dışı Satış",IF(LEFT(P420,4)="RİSK","İNCELEME GEREKLİ - Hakediş Süresi Aşıldı",IF(OR(S420="EKSİK ÖDENMİŞ",S420="FAZLA ÖDENMİŞ"),"İNCELEME GEREKLİ - Tutar Uyuşmazlığı",IF(LEFT(P420,7)="Bekleni","Bekleniyor","Uygun"))))))</f>
        <v/>
      </c>
    </row>
    <row r="421">
      <c r="A421" s="26">
        <f>IF('DIVA Satislari'!I421="","",'DIVA Satislari'!I421)</f>
        <v/>
      </c>
      <c r="B421" s="26">
        <f>IF('DIVA Satislari'!I421="","",'DIVA Satislari'!R421)</f>
        <v/>
      </c>
      <c r="C421" s="26">
        <f>IF('DIVA Satislari'!I421="","",'DIVA Satislari'!M421)</f>
        <v/>
      </c>
      <c r="D421" s="27">
        <f>IF('DIVA Satislari'!I421="","",'DIVA Satislari'!H421)</f>
        <v/>
      </c>
      <c r="E421" s="26">
        <f>IF('DIVA Satislari'!I421="","",'DIVA Satislari'!O421)</f>
        <v/>
      </c>
      <c r="F421" s="26">
        <f>IF('DIVA Satislari'!I421="","",'DIVA Satislari'!AK421)</f>
        <v/>
      </c>
      <c r="G421" s="26">
        <f>IF('DIVA Satislari'!I421="","",'DIVA Satislari'!AO421)</f>
        <v/>
      </c>
      <c r="H421" s="27">
        <f>IF('DIVA Satislari'!I421="","",'DIVA Satislari'!AN421)</f>
        <v/>
      </c>
      <c r="I421" s="28">
        <f>IF('DIVA Satislari'!I421="","",'DIVA Satislari'!AQ421)</f>
        <v/>
      </c>
      <c r="J421" s="26">
        <f>IF('DIVA Satislari'!I421="","",'DIVA Satislari'!AR421)</f>
        <v/>
      </c>
      <c r="K421" s="26">
        <f>IF('DIVA Satislari'!I421="","",IFERROR(INDEX('E2E Nakliye Montaj'!$AS$3:$AS$1002,MATCH('DIVA Satislari'!AJ421,'E2E Nakliye Montaj'!$AM$3:$AM$1002,0)),"Eşleşme Yok"))</f>
        <v/>
      </c>
      <c r="L421" s="26">
        <f>IF('DIVA Satislari'!I421="","",IFERROR(INDEX('E2E Nakliye Montaj'!$AT$3:$AT$1002,MATCH('DIVA Satislari'!AJ421,'E2E Nakliye Montaj'!$AM$3:$AM$1002,0)),"Hayır"))</f>
        <v/>
      </c>
      <c r="M421" s="26">
        <f>IF('DIVA Satislari'!I421="","",IFERROR(INDEX('E2E Nakliye Montaj'!$AU$3:$AU$1002,MATCH('DIVA Satislari'!AJ421,'E2E Nakliye Montaj'!$AM$3:$AM$1002,0)),"Hayır"))</f>
        <v/>
      </c>
      <c r="N421" s="27">
        <f>IF('DIVA Satislari'!I421="","",IFERROR(INDEX('E2E Nakliye Montaj'!$AV$3:$AV$1002,MATCH('DIVA Satislari'!AJ421,'E2E Nakliye Montaj'!$AM$3:$AM$1002,0)),""))</f>
        <v/>
      </c>
      <c r="O421" s="26">
        <f>IF(OR(A421="",N421=""),"",IF(N421&lt;=H421,"Evet","HAYIR - RİSK"))</f>
        <v/>
      </c>
      <c r="P421" s="26">
        <f>IF(A421="","",IF(LEFT(J421,8)="Kural A ","Uygun - Hemen Ödenir (Yıl Sonu %75 Kontrolüne Tabi)",IF(OR(L421="Evet",M421="Evet"),IF(O421="Evet","Uygun","RİSK - Hakediş Süresi Aşıldı"),"Bekleniyor - Nakliye/Montaj Tamamlanmadı")))</f>
        <v/>
      </c>
      <c r="Q421" s="28">
        <f>IF(A421="","",SUMIFS('Hakedis Fatura Detay'!$G$3:$G$1200,'Hakedis Fatura Detay'!$H$3:$H$1200,'DIVA Satislari'!AJ421,'Hakedis Fatura Detay'!$F$3:$F$1200,"Fiyat Farkı")+SUMIFS('Hakedis Fatura Detay'!$G$3:$G$1200,'Hakedis Fatura Detay'!$H$3:$H$1200,'DIVA Satislari'!AJ421,'Hakedis Fatura Detay'!$F$3:$F$1200,"Bundle"))</f>
        <v/>
      </c>
      <c r="R421" s="28">
        <f>IF(A421="","",I421-Q421)</f>
        <v/>
      </c>
      <c r="S421" s="26">
        <f>IF(A421="","",IF(LEFT(P421,7)="Bekleni","N/A - Henüz Ödenmemeli",IF(LEFT(P421,4)="RİSK","İNCELEME GEREKLİ - Süre Aşımı",IF(R421=0,"Doğru",IF(R421&gt;0,"EKSİK ÖDENMİŞ","FAZLA ÖDENMİŞ")))))</f>
        <v/>
      </c>
      <c r="T421" s="30">
        <f>IF(A421="","",IF(F421&lt;&gt;"Evet","İNCELEME GEREKLİ - Kampanya Tanımsız",IF(G421&lt;&gt;"Evet","İNCELEME GEREKLİ - Tarih Dışı Satış",IF(LEFT(P421,4)="RİSK","İNCELEME GEREKLİ - Hakediş Süresi Aşıldı",IF(OR(S421="EKSİK ÖDENMİŞ",S421="FAZLA ÖDENMİŞ"),"İNCELEME GEREKLİ - Tutar Uyuşmazlığı",IF(LEFT(P421,7)="Bekleni","Bekleniyor","Uygun"))))))</f>
        <v/>
      </c>
    </row>
    <row r="422">
      <c r="A422" s="26">
        <f>IF('DIVA Satislari'!I422="","",'DIVA Satislari'!I422)</f>
        <v/>
      </c>
      <c r="B422" s="26">
        <f>IF('DIVA Satislari'!I422="","",'DIVA Satislari'!R422)</f>
        <v/>
      </c>
      <c r="C422" s="26">
        <f>IF('DIVA Satislari'!I422="","",'DIVA Satislari'!M422)</f>
        <v/>
      </c>
      <c r="D422" s="27">
        <f>IF('DIVA Satislari'!I422="","",'DIVA Satislari'!H422)</f>
        <v/>
      </c>
      <c r="E422" s="26">
        <f>IF('DIVA Satislari'!I422="","",'DIVA Satislari'!O422)</f>
        <v/>
      </c>
      <c r="F422" s="26">
        <f>IF('DIVA Satislari'!I422="","",'DIVA Satislari'!AK422)</f>
        <v/>
      </c>
      <c r="G422" s="26">
        <f>IF('DIVA Satislari'!I422="","",'DIVA Satislari'!AO422)</f>
        <v/>
      </c>
      <c r="H422" s="27">
        <f>IF('DIVA Satislari'!I422="","",'DIVA Satislari'!AN422)</f>
        <v/>
      </c>
      <c r="I422" s="28">
        <f>IF('DIVA Satislari'!I422="","",'DIVA Satislari'!AQ422)</f>
        <v/>
      </c>
      <c r="J422" s="26">
        <f>IF('DIVA Satislari'!I422="","",'DIVA Satislari'!AR422)</f>
        <v/>
      </c>
      <c r="K422" s="26">
        <f>IF('DIVA Satislari'!I422="","",IFERROR(INDEX('E2E Nakliye Montaj'!$AS$3:$AS$1002,MATCH('DIVA Satislari'!AJ422,'E2E Nakliye Montaj'!$AM$3:$AM$1002,0)),"Eşleşme Yok"))</f>
        <v/>
      </c>
      <c r="L422" s="26">
        <f>IF('DIVA Satislari'!I422="","",IFERROR(INDEX('E2E Nakliye Montaj'!$AT$3:$AT$1002,MATCH('DIVA Satislari'!AJ422,'E2E Nakliye Montaj'!$AM$3:$AM$1002,0)),"Hayır"))</f>
        <v/>
      </c>
      <c r="M422" s="26">
        <f>IF('DIVA Satislari'!I422="","",IFERROR(INDEX('E2E Nakliye Montaj'!$AU$3:$AU$1002,MATCH('DIVA Satislari'!AJ422,'E2E Nakliye Montaj'!$AM$3:$AM$1002,0)),"Hayır"))</f>
        <v/>
      </c>
      <c r="N422" s="27">
        <f>IF('DIVA Satislari'!I422="","",IFERROR(INDEX('E2E Nakliye Montaj'!$AV$3:$AV$1002,MATCH('DIVA Satislari'!AJ422,'E2E Nakliye Montaj'!$AM$3:$AM$1002,0)),""))</f>
        <v/>
      </c>
      <c r="O422" s="26">
        <f>IF(OR(A422="",N422=""),"",IF(N422&lt;=H422,"Evet","HAYIR - RİSK"))</f>
        <v/>
      </c>
      <c r="P422" s="26">
        <f>IF(A422="","",IF(LEFT(J422,8)="Kural A ","Uygun - Hemen Ödenir (Yıl Sonu %75 Kontrolüne Tabi)",IF(OR(L422="Evet",M422="Evet"),IF(O422="Evet","Uygun","RİSK - Hakediş Süresi Aşıldı"),"Bekleniyor - Nakliye/Montaj Tamamlanmadı")))</f>
        <v/>
      </c>
      <c r="Q422" s="28">
        <f>IF(A422="","",SUMIFS('Hakedis Fatura Detay'!$G$3:$G$1200,'Hakedis Fatura Detay'!$H$3:$H$1200,'DIVA Satislari'!AJ422,'Hakedis Fatura Detay'!$F$3:$F$1200,"Fiyat Farkı")+SUMIFS('Hakedis Fatura Detay'!$G$3:$G$1200,'Hakedis Fatura Detay'!$H$3:$H$1200,'DIVA Satislari'!AJ422,'Hakedis Fatura Detay'!$F$3:$F$1200,"Bundle"))</f>
        <v/>
      </c>
      <c r="R422" s="28">
        <f>IF(A422="","",I422-Q422)</f>
        <v/>
      </c>
      <c r="S422" s="26">
        <f>IF(A422="","",IF(LEFT(P422,7)="Bekleni","N/A - Henüz Ödenmemeli",IF(LEFT(P422,4)="RİSK","İNCELEME GEREKLİ - Süre Aşımı",IF(R422=0,"Doğru",IF(R422&gt;0,"EKSİK ÖDENMİŞ","FAZLA ÖDENMİŞ")))))</f>
        <v/>
      </c>
      <c r="T422" s="30">
        <f>IF(A422="","",IF(F422&lt;&gt;"Evet","İNCELEME GEREKLİ - Kampanya Tanımsız",IF(G422&lt;&gt;"Evet","İNCELEME GEREKLİ - Tarih Dışı Satış",IF(LEFT(P422,4)="RİSK","İNCELEME GEREKLİ - Hakediş Süresi Aşıldı",IF(OR(S422="EKSİK ÖDENMİŞ",S422="FAZLA ÖDENMİŞ"),"İNCELEME GEREKLİ - Tutar Uyuşmazlığı",IF(LEFT(P422,7)="Bekleni","Bekleniyor","Uygun"))))))</f>
        <v/>
      </c>
    </row>
    <row r="423">
      <c r="A423" s="26">
        <f>IF('DIVA Satislari'!I423="","",'DIVA Satislari'!I423)</f>
        <v/>
      </c>
      <c r="B423" s="26">
        <f>IF('DIVA Satislari'!I423="","",'DIVA Satislari'!R423)</f>
        <v/>
      </c>
      <c r="C423" s="26">
        <f>IF('DIVA Satislari'!I423="","",'DIVA Satislari'!M423)</f>
        <v/>
      </c>
      <c r="D423" s="27">
        <f>IF('DIVA Satislari'!I423="","",'DIVA Satislari'!H423)</f>
        <v/>
      </c>
      <c r="E423" s="26">
        <f>IF('DIVA Satislari'!I423="","",'DIVA Satislari'!O423)</f>
        <v/>
      </c>
      <c r="F423" s="26">
        <f>IF('DIVA Satislari'!I423="","",'DIVA Satislari'!AK423)</f>
        <v/>
      </c>
      <c r="G423" s="26">
        <f>IF('DIVA Satislari'!I423="","",'DIVA Satislari'!AO423)</f>
        <v/>
      </c>
      <c r="H423" s="27">
        <f>IF('DIVA Satislari'!I423="","",'DIVA Satislari'!AN423)</f>
        <v/>
      </c>
      <c r="I423" s="28">
        <f>IF('DIVA Satislari'!I423="","",'DIVA Satislari'!AQ423)</f>
        <v/>
      </c>
      <c r="J423" s="26">
        <f>IF('DIVA Satislari'!I423="","",'DIVA Satislari'!AR423)</f>
        <v/>
      </c>
      <c r="K423" s="26">
        <f>IF('DIVA Satislari'!I423="","",IFERROR(INDEX('E2E Nakliye Montaj'!$AS$3:$AS$1002,MATCH('DIVA Satislari'!AJ423,'E2E Nakliye Montaj'!$AM$3:$AM$1002,0)),"Eşleşme Yok"))</f>
        <v/>
      </c>
      <c r="L423" s="26">
        <f>IF('DIVA Satislari'!I423="","",IFERROR(INDEX('E2E Nakliye Montaj'!$AT$3:$AT$1002,MATCH('DIVA Satislari'!AJ423,'E2E Nakliye Montaj'!$AM$3:$AM$1002,0)),"Hayır"))</f>
        <v/>
      </c>
      <c r="M423" s="26">
        <f>IF('DIVA Satislari'!I423="","",IFERROR(INDEX('E2E Nakliye Montaj'!$AU$3:$AU$1002,MATCH('DIVA Satislari'!AJ423,'E2E Nakliye Montaj'!$AM$3:$AM$1002,0)),"Hayır"))</f>
        <v/>
      </c>
      <c r="N423" s="27">
        <f>IF('DIVA Satislari'!I423="","",IFERROR(INDEX('E2E Nakliye Montaj'!$AV$3:$AV$1002,MATCH('DIVA Satislari'!AJ423,'E2E Nakliye Montaj'!$AM$3:$AM$1002,0)),""))</f>
        <v/>
      </c>
      <c r="O423" s="26">
        <f>IF(OR(A423="",N423=""),"",IF(N423&lt;=H423,"Evet","HAYIR - RİSK"))</f>
        <v/>
      </c>
      <c r="P423" s="26">
        <f>IF(A423="","",IF(LEFT(J423,8)="Kural A ","Uygun - Hemen Ödenir (Yıl Sonu %75 Kontrolüne Tabi)",IF(OR(L423="Evet",M423="Evet"),IF(O423="Evet","Uygun","RİSK - Hakediş Süresi Aşıldı"),"Bekleniyor - Nakliye/Montaj Tamamlanmadı")))</f>
        <v/>
      </c>
      <c r="Q423" s="28">
        <f>IF(A423="","",SUMIFS('Hakedis Fatura Detay'!$G$3:$G$1200,'Hakedis Fatura Detay'!$H$3:$H$1200,'DIVA Satislari'!AJ423,'Hakedis Fatura Detay'!$F$3:$F$1200,"Fiyat Farkı")+SUMIFS('Hakedis Fatura Detay'!$G$3:$G$1200,'Hakedis Fatura Detay'!$H$3:$H$1200,'DIVA Satislari'!AJ423,'Hakedis Fatura Detay'!$F$3:$F$1200,"Bundle"))</f>
        <v/>
      </c>
      <c r="R423" s="28">
        <f>IF(A423="","",I423-Q423)</f>
        <v/>
      </c>
      <c r="S423" s="26">
        <f>IF(A423="","",IF(LEFT(P423,7)="Bekleni","N/A - Henüz Ödenmemeli",IF(LEFT(P423,4)="RİSK","İNCELEME GEREKLİ - Süre Aşımı",IF(R423=0,"Doğru",IF(R423&gt;0,"EKSİK ÖDENMİŞ","FAZLA ÖDENMİŞ")))))</f>
        <v/>
      </c>
      <c r="T423" s="30">
        <f>IF(A423="","",IF(F423&lt;&gt;"Evet","İNCELEME GEREKLİ - Kampanya Tanımsız",IF(G423&lt;&gt;"Evet","İNCELEME GEREKLİ - Tarih Dışı Satış",IF(LEFT(P423,4)="RİSK","İNCELEME GEREKLİ - Hakediş Süresi Aşıldı",IF(OR(S423="EKSİK ÖDENMİŞ",S423="FAZLA ÖDENMİŞ"),"İNCELEME GEREKLİ - Tutar Uyuşmazlığı",IF(LEFT(P423,7)="Bekleni","Bekleniyor","Uygun"))))))</f>
        <v/>
      </c>
    </row>
    <row r="424">
      <c r="A424" s="26">
        <f>IF('DIVA Satislari'!I424="","",'DIVA Satislari'!I424)</f>
        <v/>
      </c>
      <c r="B424" s="26">
        <f>IF('DIVA Satislari'!I424="","",'DIVA Satislari'!R424)</f>
        <v/>
      </c>
      <c r="C424" s="26">
        <f>IF('DIVA Satislari'!I424="","",'DIVA Satislari'!M424)</f>
        <v/>
      </c>
      <c r="D424" s="27">
        <f>IF('DIVA Satislari'!I424="","",'DIVA Satislari'!H424)</f>
        <v/>
      </c>
      <c r="E424" s="26">
        <f>IF('DIVA Satislari'!I424="","",'DIVA Satislari'!O424)</f>
        <v/>
      </c>
      <c r="F424" s="26">
        <f>IF('DIVA Satislari'!I424="","",'DIVA Satislari'!AK424)</f>
        <v/>
      </c>
      <c r="G424" s="26">
        <f>IF('DIVA Satislari'!I424="","",'DIVA Satislari'!AO424)</f>
        <v/>
      </c>
      <c r="H424" s="27">
        <f>IF('DIVA Satislari'!I424="","",'DIVA Satislari'!AN424)</f>
        <v/>
      </c>
      <c r="I424" s="28">
        <f>IF('DIVA Satislari'!I424="","",'DIVA Satislari'!AQ424)</f>
        <v/>
      </c>
      <c r="J424" s="26">
        <f>IF('DIVA Satislari'!I424="","",'DIVA Satislari'!AR424)</f>
        <v/>
      </c>
      <c r="K424" s="26">
        <f>IF('DIVA Satislari'!I424="","",IFERROR(INDEX('E2E Nakliye Montaj'!$AS$3:$AS$1002,MATCH('DIVA Satislari'!AJ424,'E2E Nakliye Montaj'!$AM$3:$AM$1002,0)),"Eşleşme Yok"))</f>
        <v/>
      </c>
      <c r="L424" s="26">
        <f>IF('DIVA Satislari'!I424="","",IFERROR(INDEX('E2E Nakliye Montaj'!$AT$3:$AT$1002,MATCH('DIVA Satislari'!AJ424,'E2E Nakliye Montaj'!$AM$3:$AM$1002,0)),"Hayır"))</f>
        <v/>
      </c>
      <c r="M424" s="26">
        <f>IF('DIVA Satislari'!I424="","",IFERROR(INDEX('E2E Nakliye Montaj'!$AU$3:$AU$1002,MATCH('DIVA Satislari'!AJ424,'E2E Nakliye Montaj'!$AM$3:$AM$1002,0)),"Hayır"))</f>
        <v/>
      </c>
      <c r="N424" s="27">
        <f>IF('DIVA Satislari'!I424="","",IFERROR(INDEX('E2E Nakliye Montaj'!$AV$3:$AV$1002,MATCH('DIVA Satislari'!AJ424,'E2E Nakliye Montaj'!$AM$3:$AM$1002,0)),""))</f>
        <v/>
      </c>
      <c r="O424" s="26">
        <f>IF(OR(A424="",N424=""),"",IF(N424&lt;=H424,"Evet","HAYIR - RİSK"))</f>
        <v/>
      </c>
      <c r="P424" s="26">
        <f>IF(A424="","",IF(LEFT(J424,8)="Kural A ","Uygun - Hemen Ödenir (Yıl Sonu %75 Kontrolüne Tabi)",IF(OR(L424="Evet",M424="Evet"),IF(O424="Evet","Uygun","RİSK - Hakediş Süresi Aşıldı"),"Bekleniyor - Nakliye/Montaj Tamamlanmadı")))</f>
        <v/>
      </c>
      <c r="Q424" s="28">
        <f>IF(A424="","",SUMIFS('Hakedis Fatura Detay'!$G$3:$G$1200,'Hakedis Fatura Detay'!$H$3:$H$1200,'DIVA Satislari'!AJ424,'Hakedis Fatura Detay'!$F$3:$F$1200,"Fiyat Farkı")+SUMIFS('Hakedis Fatura Detay'!$G$3:$G$1200,'Hakedis Fatura Detay'!$H$3:$H$1200,'DIVA Satislari'!AJ424,'Hakedis Fatura Detay'!$F$3:$F$1200,"Bundle"))</f>
        <v/>
      </c>
      <c r="R424" s="28">
        <f>IF(A424="","",I424-Q424)</f>
        <v/>
      </c>
      <c r="S424" s="26">
        <f>IF(A424="","",IF(LEFT(P424,7)="Bekleni","N/A - Henüz Ödenmemeli",IF(LEFT(P424,4)="RİSK","İNCELEME GEREKLİ - Süre Aşımı",IF(R424=0,"Doğru",IF(R424&gt;0,"EKSİK ÖDENMİŞ","FAZLA ÖDENMİŞ")))))</f>
        <v/>
      </c>
      <c r="T424" s="30">
        <f>IF(A424="","",IF(F424&lt;&gt;"Evet","İNCELEME GEREKLİ - Kampanya Tanımsız",IF(G424&lt;&gt;"Evet","İNCELEME GEREKLİ - Tarih Dışı Satış",IF(LEFT(P424,4)="RİSK","İNCELEME GEREKLİ - Hakediş Süresi Aşıldı",IF(OR(S424="EKSİK ÖDENMİŞ",S424="FAZLA ÖDENMİŞ"),"İNCELEME GEREKLİ - Tutar Uyuşmazlığı",IF(LEFT(P424,7)="Bekleni","Bekleniyor","Uygun"))))))</f>
        <v/>
      </c>
    </row>
    <row r="425">
      <c r="A425" s="26">
        <f>IF('DIVA Satislari'!I425="","",'DIVA Satislari'!I425)</f>
        <v/>
      </c>
      <c r="B425" s="26">
        <f>IF('DIVA Satislari'!I425="","",'DIVA Satislari'!R425)</f>
        <v/>
      </c>
      <c r="C425" s="26">
        <f>IF('DIVA Satislari'!I425="","",'DIVA Satislari'!M425)</f>
        <v/>
      </c>
      <c r="D425" s="27">
        <f>IF('DIVA Satislari'!I425="","",'DIVA Satislari'!H425)</f>
        <v/>
      </c>
      <c r="E425" s="26">
        <f>IF('DIVA Satislari'!I425="","",'DIVA Satislari'!O425)</f>
        <v/>
      </c>
      <c r="F425" s="26">
        <f>IF('DIVA Satislari'!I425="","",'DIVA Satislari'!AK425)</f>
        <v/>
      </c>
      <c r="G425" s="26">
        <f>IF('DIVA Satislari'!I425="","",'DIVA Satislari'!AO425)</f>
        <v/>
      </c>
      <c r="H425" s="27">
        <f>IF('DIVA Satislari'!I425="","",'DIVA Satislari'!AN425)</f>
        <v/>
      </c>
      <c r="I425" s="28">
        <f>IF('DIVA Satislari'!I425="","",'DIVA Satislari'!AQ425)</f>
        <v/>
      </c>
      <c r="J425" s="26">
        <f>IF('DIVA Satislari'!I425="","",'DIVA Satislari'!AR425)</f>
        <v/>
      </c>
      <c r="K425" s="26">
        <f>IF('DIVA Satislari'!I425="","",IFERROR(INDEX('E2E Nakliye Montaj'!$AS$3:$AS$1002,MATCH('DIVA Satislari'!AJ425,'E2E Nakliye Montaj'!$AM$3:$AM$1002,0)),"Eşleşme Yok"))</f>
        <v/>
      </c>
      <c r="L425" s="26">
        <f>IF('DIVA Satislari'!I425="","",IFERROR(INDEX('E2E Nakliye Montaj'!$AT$3:$AT$1002,MATCH('DIVA Satislari'!AJ425,'E2E Nakliye Montaj'!$AM$3:$AM$1002,0)),"Hayır"))</f>
        <v/>
      </c>
      <c r="M425" s="26">
        <f>IF('DIVA Satislari'!I425="","",IFERROR(INDEX('E2E Nakliye Montaj'!$AU$3:$AU$1002,MATCH('DIVA Satislari'!AJ425,'E2E Nakliye Montaj'!$AM$3:$AM$1002,0)),"Hayır"))</f>
        <v/>
      </c>
      <c r="N425" s="27">
        <f>IF('DIVA Satislari'!I425="","",IFERROR(INDEX('E2E Nakliye Montaj'!$AV$3:$AV$1002,MATCH('DIVA Satislari'!AJ425,'E2E Nakliye Montaj'!$AM$3:$AM$1002,0)),""))</f>
        <v/>
      </c>
      <c r="O425" s="26">
        <f>IF(OR(A425="",N425=""),"",IF(N425&lt;=H425,"Evet","HAYIR - RİSK"))</f>
        <v/>
      </c>
      <c r="P425" s="26">
        <f>IF(A425="","",IF(LEFT(J425,8)="Kural A ","Uygun - Hemen Ödenir (Yıl Sonu %75 Kontrolüne Tabi)",IF(OR(L425="Evet",M425="Evet"),IF(O425="Evet","Uygun","RİSK - Hakediş Süresi Aşıldı"),"Bekleniyor - Nakliye/Montaj Tamamlanmadı")))</f>
        <v/>
      </c>
      <c r="Q425" s="28">
        <f>IF(A425="","",SUMIFS('Hakedis Fatura Detay'!$G$3:$G$1200,'Hakedis Fatura Detay'!$H$3:$H$1200,'DIVA Satislari'!AJ425,'Hakedis Fatura Detay'!$F$3:$F$1200,"Fiyat Farkı")+SUMIFS('Hakedis Fatura Detay'!$G$3:$G$1200,'Hakedis Fatura Detay'!$H$3:$H$1200,'DIVA Satislari'!AJ425,'Hakedis Fatura Detay'!$F$3:$F$1200,"Bundle"))</f>
        <v/>
      </c>
      <c r="R425" s="28">
        <f>IF(A425="","",I425-Q425)</f>
        <v/>
      </c>
      <c r="S425" s="26">
        <f>IF(A425="","",IF(LEFT(P425,7)="Bekleni","N/A - Henüz Ödenmemeli",IF(LEFT(P425,4)="RİSK","İNCELEME GEREKLİ - Süre Aşımı",IF(R425=0,"Doğru",IF(R425&gt;0,"EKSİK ÖDENMİŞ","FAZLA ÖDENMİŞ")))))</f>
        <v/>
      </c>
      <c r="T425" s="30">
        <f>IF(A425="","",IF(F425&lt;&gt;"Evet","İNCELEME GEREKLİ - Kampanya Tanımsız",IF(G425&lt;&gt;"Evet","İNCELEME GEREKLİ - Tarih Dışı Satış",IF(LEFT(P425,4)="RİSK","İNCELEME GEREKLİ - Hakediş Süresi Aşıldı",IF(OR(S425="EKSİK ÖDENMİŞ",S425="FAZLA ÖDENMİŞ"),"İNCELEME GEREKLİ - Tutar Uyuşmazlığı",IF(LEFT(P425,7)="Bekleni","Bekleniyor","Uygun"))))))</f>
        <v/>
      </c>
    </row>
    <row r="426">
      <c r="A426" s="26">
        <f>IF('DIVA Satislari'!I426="","",'DIVA Satislari'!I426)</f>
        <v/>
      </c>
      <c r="B426" s="26">
        <f>IF('DIVA Satislari'!I426="","",'DIVA Satislari'!R426)</f>
        <v/>
      </c>
      <c r="C426" s="26">
        <f>IF('DIVA Satislari'!I426="","",'DIVA Satislari'!M426)</f>
        <v/>
      </c>
      <c r="D426" s="27">
        <f>IF('DIVA Satislari'!I426="","",'DIVA Satislari'!H426)</f>
        <v/>
      </c>
      <c r="E426" s="26">
        <f>IF('DIVA Satislari'!I426="","",'DIVA Satislari'!O426)</f>
        <v/>
      </c>
      <c r="F426" s="26">
        <f>IF('DIVA Satislari'!I426="","",'DIVA Satislari'!AK426)</f>
        <v/>
      </c>
      <c r="G426" s="26">
        <f>IF('DIVA Satislari'!I426="","",'DIVA Satislari'!AO426)</f>
        <v/>
      </c>
      <c r="H426" s="27">
        <f>IF('DIVA Satislari'!I426="","",'DIVA Satislari'!AN426)</f>
        <v/>
      </c>
      <c r="I426" s="28">
        <f>IF('DIVA Satislari'!I426="","",'DIVA Satislari'!AQ426)</f>
        <v/>
      </c>
      <c r="J426" s="26">
        <f>IF('DIVA Satislari'!I426="","",'DIVA Satislari'!AR426)</f>
        <v/>
      </c>
      <c r="K426" s="26">
        <f>IF('DIVA Satislari'!I426="","",IFERROR(INDEX('E2E Nakliye Montaj'!$AS$3:$AS$1002,MATCH('DIVA Satislari'!AJ426,'E2E Nakliye Montaj'!$AM$3:$AM$1002,0)),"Eşleşme Yok"))</f>
        <v/>
      </c>
      <c r="L426" s="26">
        <f>IF('DIVA Satislari'!I426="","",IFERROR(INDEX('E2E Nakliye Montaj'!$AT$3:$AT$1002,MATCH('DIVA Satislari'!AJ426,'E2E Nakliye Montaj'!$AM$3:$AM$1002,0)),"Hayır"))</f>
        <v/>
      </c>
      <c r="M426" s="26">
        <f>IF('DIVA Satislari'!I426="","",IFERROR(INDEX('E2E Nakliye Montaj'!$AU$3:$AU$1002,MATCH('DIVA Satislari'!AJ426,'E2E Nakliye Montaj'!$AM$3:$AM$1002,0)),"Hayır"))</f>
        <v/>
      </c>
      <c r="N426" s="27">
        <f>IF('DIVA Satislari'!I426="","",IFERROR(INDEX('E2E Nakliye Montaj'!$AV$3:$AV$1002,MATCH('DIVA Satislari'!AJ426,'E2E Nakliye Montaj'!$AM$3:$AM$1002,0)),""))</f>
        <v/>
      </c>
      <c r="O426" s="26">
        <f>IF(OR(A426="",N426=""),"",IF(N426&lt;=H426,"Evet","HAYIR - RİSK"))</f>
        <v/>
      </c>
      <c r="P426" s="26">
        <f>IF(A426="","",IF(LEFT(J426,8)="Kural A ","Uygun - Hemen Ödenir (Yıl Sonu %75 Kontrolüne Tabi)",IF(OR(L426="Evet",M426="Evet"),IF(O426="Evet","Uygun","RİSK - Hakediş Süresi Aşıldı"),"Bekleniyor - Nakliye/Montaj Tamamlanmadı")))</f>
        <v/>
      </c>
      <c r="Q426" s="28">
        <f>IF(A426="","",SUMIFS('Hakedis Fatura Detay'!$G$3:$G$1200,'Hakedis Fatura Detay'!$H$3:$H$1200,'DIVA Satislari'!AJ426,'Hakedis Fatura Detay'!$F$3:$F$1200,"Fiyat Farkı")+SUMIFS('Hakedis Fatura Detay'!$G$3:$G$1200,'Hakedis Fatura Detay'!$H$3:$H$1200,'DIVA Satislari'!AJ426,'Hakedis Fatura Detay'!$F$3:$F$1200,"Bundle"))</f>
        <v/>
      </c>
      <c r="R426" s="28">
        <f>IF(A426="","",I426-Q426)</f>
        <v/>
      </c>
      <c r="S426" s="26">
        <f>IF(A426="","",IF(LEFT(P426,7)="Bekleni","N/A - Henüz Ödenmemeli",IF(LEFT(P426,4)="RİSK","İNCELEME GEREKLİ - Süre Aşımı",IF(R426=0,"Doğru",IF(R426&gt;0,"EKSİK ÖDENMİŞ","FAZLA ÖDENMİŞ")))))</f>
        <v/>
      </c>
      <c r="T426" s="30">
        <f>IF(A426="","",IF(F426&lt;&gt;"Evet","İNCELEME GEREKLİ - Kampanya Tanımsız",IF(G426&lt;&gt;"Evet","İNCELEME GEREKLİ - Tarih Dışı Satış",IF(LEFT(P426,4)="RİSK","İNCELEME GEREKLİ - Hakediş Süresi Aşıldı",IF(OR(S426="EKSİK ÖDENMİŞ",S426="FAZLA ÖDENMİŞ"),"İNCELEME GEREKLİ - Tutar Uyuşmazlığı",IF(LEFT(P426,7)="Bekleni","Bekleniyor","Uygun"))))))</f>
        <v/>
      </c>
    </row>
    <row r="427">
      <c r="A427" s="26">
        <f>IF('DIVA Satislari'!I427="","",'DIVA Satislari'!I427)</f>
        <v/>
      </c>
      <c r="B427" s="26">
        <f>IF('DIVA Satislari'!I427="","",'DIVA Satislari'!R427)</f>
        <v/>
      </c>
      <c r="C427" s="26">
        <f>IF('DIVA Satislari'!I427="","",'DIVA Satislari'!M427)</f>
        <v/>
      </c>
      <c r="D427" s="27">
        <f>IF('DIVA Satislari'!I427="","",'DIVA Satislari'!H427)</f>
        <v/>
      </c>
      <c r="E427" s="26">
        <f>IF('DIVA Satislari'!I427="","",'DIVA Satislari'!O427)</f>
        <v/>
      </c>
      <c r="F427" s="26">
        <f>IF('DIVA Satislari'!I427="","",'DIVA Satislari'!AK427)</f>
        <v/>
      </c>
      <c r="G427" s="26">
        <f>IF('DIVA Satislari'!I427="","",'DIVA Satislari'!AO427)</f>
        <v/>
      </c>
      <c r="H427" s="27">
        <f>IF('DIVA Satislari'!I427="","",'DIVA Satislari'!AN427)</f>
        <v/>
      </c>
      <c r="I427" s="28">
        <f>IF('DIVA Satislari'!I427="","",'DIVA Satislari'!AQ427)</f>
        <v/>
      </c>
      <c r="J427" s="26">
        <f>IF('DIVA Satislari'!I427="","",'DIVA Satislari'!AR427)</f>
        <v/>
      </c>
      <c r="K427" s="26">
        <f>IF('DIVA Satislari'!I427="","",IFERROR(INDEX('E2E Nakliye Montaj'!$AS$3:$AS$1002,MATCH('DIVA Satislari'!AJ427,'E2E Nakliye Montaj'!$AM$3:$AM$1002,0)),"Eşleşme Yok"))</f>
        <v/>
      </c>
      <c r="L427" s="26">
        <f>IF('DIVA Satislari'!I427="","",IFERROR(INDEX('E2E Nakliye Montaj'!$AT$3:$AT$1002,MATCH('DIVA Satislari'!AJ427,'E2E Nakliye Montaj'!$AM$3:$AM$1002,0)),"Hayır"))</f>
        <v/>
      </c>
      <c r="M427" s="26">
        <f>IF('DIVA Satislari'!I427="","",IFERROR(INDEX('E2E Nakliye Montaj'!$AU$3:$AU$1002,MATCH('DIVA Satislari'!AJ427,'E2E Nakliye Montaj'!$AM$3:$AM$1002,0)),"Hayır"))</f>
        <v/>
      </c>
      <c r="N427" s="27">
        <f>IF('DIVA Satislari'!I427="","",IFERROR(INDEX('E2E Nakliye Montaj'!$AV$3:$AV$1002,MATCH('DIVA Satislari'!AJ427,'E2E Nakliye Montaj'!$AM$3:$AM$1002,0)),""))</f>
        <v/>
      </c>
      <c r="O427" s="26">
        <f>IF(OR(A427="",N427=""),"",IF(N427&lt;=H427,"Evet","HAYIR - RİSK"))</f>
        <v/>
      </c>
      <c r="P427" s="26">
        <f>IF(A427="","",IF(LEFT(J427,8)="Kural A ","Uygun - Hemen Ödenir (Yıl Sonu %75 Kontrolüne Tabi)",IF(OR(L427="Evet",M427="Evet"),IF(O427="Evet","Uygun","RİSK - Hakediş Süresi Aşıldı"),"Bekleniyor - Nakliye/Montaj Tamamlanmadı")))</f>
        <v/>
      </c>
      <c r="Q427" s="28">
        <f>IF(A427="","",SUMIFS('Hakedis Fatura Detay'!$G$3:$G$1200,'Hakedis Fatura Detay'!$H$3:$H$1200,'DIVA Satislari'!AJ427,'Hakedis Fatura Detay'!$F$3:$F$1200,"Fiyat Farkı")+SUMIFS('Hakedis Fatura Detay'!$G$3:$G$1200,'Hakedis Fatura Detay'!$H$3:$H$1200,'DIVA Satislari'!AJ427,'Hakedis Fatura Detay'!$F$3:$F$1200,"Bundle"))</f>
        <v/>
      </c>
      <c r="R427" s="28">
        <f>IF(A427="","",I427-Q427)</f>
        <v/>
      </c>
      <c r="S427" s="26">
        <f>IF(A427="","",IF(LEFT(P427,7)="Bekleni","N/A - Henüz Ödenmemeli",IF(LEFT(P427,4)="RİSK","İNCELEME GEREKLİ - Süre Aşımı",IF(R427=0,"Doğru",IF(R427&gt;0,"EKSİK ÖDENMİŞ","FAZLA ÖDENMİŞ")))))</f>
        <v/>
      </c>
      <c r="T427" s="30">
        <f>IF(A427="","",IF(F427&lt;&gt;"Evet","İNCELEME GEREKLİ - Kampanya Tanımsız",IF(G427&lt;&gt;"Evet","İNCELEME GEREKLİ - Tarih Dışı Satış",IF(LEFT(P427,4)="RİSK","İNCELEME GEREKLİ - Hakediş Süresi Aşıldı",IF(OR(S427="EKSİK ÖDENMİŞ",S427="FAZLA ÖDENMİŞ"),"İNCELEME GEREKLİ - Tutar Uyuşmazlığı",IF(LEFT(P427,7)="Bekleni","Bekleniyor","Uygun"))))))</f>
        <v/>
      </c>
    </row>
    <row r="428">
      <c r="A428" s="26">
        <f>IF('DIVA Satislari'!I428="","",'DIVA Satislari'!I428)</f>
        <v/>
      </c>
      <c r="B428" s="26">
        <f>IF('DIVA Satislari'!I428="","",'DIVA Satislari'!R428)</f>
        <v/>
      </c>
      <c r="C428" s="26">
        <f>IF('DIVA Satislari'!I428="","",'DIVA Satislari'!M428)</f>
        <v/>
      </c>
      <c r="D428" s="27">
        <f>IF('DIVA Satislari'!I428="","",'DIVA Satislari'!H428)</f>
        <v/>
      </c>
      <c r="E428" s="26">
        <f>IF('DIVA Satislari'!I428="","",'DIVA Satislari'!O428)</f>
        <v/>
      </c>
      <c r="F428" s="26">
        <f>IF('DIVA Satislari'!I428="","",'DIVA Satislari'!AK428)</f>
        <v/>
      </c>
      <c r="G428" s="26">
        <f>IF('DIVA Satislari'!I428="","",'DIVA Satislari'!AO428)</f>
        <v/>
      </c>
      <c r="H428" s="27">
        <f>IF('DIVA Satislari'!I428="","",'DIVA Satislari'!AN428)</f>
        <v/>
      </c>
      <c r="I428" s="28">
        <f>IF('DIVA Satislari'!I428="","",'DIVA Satislari'!AQ428)</f>
        <v/>
      </c>
      <c r="J428" s="26">
        <f>IF('DIVA Satislari'!I428="","",'DIVA Satislari'!AR428)</f>
        <v/>
      </c>
      <c r="K428" s="26">
        <f>IF('DIVA Satislari'!I428="","",IFERROR(INDEX('E2E Nakliye Montaj'!$AS$3:$AS$1002,MATCH('DIVA Satislari'!AJ428,'E2E Nakliye Montaj'!$AM$3:$AM$1002,0)),"Eşleşme Yok"))</f>
        <v/>
      </c>
      <c r="L428" s="26">
        <f>IF('DIVA Satislari'!I428="","",IFERROR(INDEX('E2E Nakliye Montaj'!$AT$3:$AT$1002,MATCH('DIVA Satislari'!AJ428,'E2E Nakliye Montaj'!$AM$3:$AM$1002,0)),"Hayır"))</f>
        <v/>
      </c>
      <c r="M428" s="26">
        <f>IF('DIVA Satislari'!I428="","",IFERROR(INDEX('E2E Nakliye Montaj'!$AU$3:$AU$1002,MATCH('DIVA Satislari'!AJ428,'E2E Nakliye Montaj'!$AM$3:$AM$1002,0)),"Hayır"))</f>
        <v/>
      </c>
      <c r="N428" s="27">
        <f>IF('DIVA Satislari'!I428="","",IFERROR(INDEX('E2E Nakliye Montaj'!$AV$3:$AV$1002,MATCH('DIVA Satislari'!AJ428,'E2E Nakliye Montaj'!$AM$3:$AM$1002,0)),""))</f>
        <v/>
      </c>
      <c r="O428" s="26">
        <f>IF(OR(A428="",N428=""),"",IF(N428&lt;=H428,"Evet","HAYIR - RİSK"))</f>
        <v/>
      </c>
      <c r="P428" s="26">
        <f>IF(A428="","",IF(LEFT(J428,8)="Kural A ","Uygun - Hemen Ödenir (Yıl Sonu %75 Kontrolüne Tabi)",IF(OR(L428="Evet",M428="Evet"),IF(O428="Evet","Uygun","RİSK - Hakediş Süresi Aşıldı"),"Bekleniyor - Nakliye/Montaj Tamamlanmadı")))</f>
        <v/>
      </c>
      <c r="Q428" s="28">
        <f>IF(A428="","",SUMIFS('Hakedis Fatura Detay'!$G$3:$G$1200,'Hakedis Fatura Detay'!$H$3:$H$1200,'DIVA Satislari'!AJ428,'Hakedis Fatura Detay'!$F$3:$F$1200,"Fiyat Farkı")+SUMIFS('Hakedis Fatura Detay'!$G$3:$G$1200,'Hakedis Fatura Detay'!$H$3:$H$1200,'DIVA Satislari'!AJ428,'Hakedis Fatura Detay'!$F$3:$F$1200,"Bundle"))</f>
        <v/>
      </c>
      <c r="R428" s="28">
        <f>IF(A428="","",I428-Q428)</f>
        <v/>
      </c>
      <c r="S428" s="26">
        <f>IF(A428="","",IF(LEFT(P428,7)="Bekleni","N/A - Henüz Ödenmemeli",IF(LEFT(P428,4)="RİSK","İNCELEME GEREKLİ - Süre Aşımı",IF(R428=0,"Doğru",IF(R428&gt;0,"EKSİK ÖDENMİŞ","FAZLA ÖDENMİŞ")))))</f>
        <v/>
      </c>
      <c r="T428" s="30">
        <f>IF(A428="","",IF(F428&lt;&gt;"Evet","İNCELEME GEREKLİ - Kampanya Tanımsız",IF(G428&lt;&gt;"Evet","İNCELEME GEREKLİ - Tarih Dışı Satış",IF(LEFT(P428,4)="RİSK","İNCELEME GEREKLİ - Hakediş Süresi Aşıldı",IF(OR(S428="EKSİK ÖDENMİŞ",S428="FAZLA ÖDENMİŞ"),"İNCELEME GEREKLİ - Tutar Uyuşmazlığı",IF(LEFT(P428,7)="Bekleni","Bekleniyor","Uygun"))))))</f>
        <v/>
      </c>
    </row>
    <row r="429">
      <c r="A429" s="26">
        <f>IF('DIVA Satislari'!I429="","",'DIVA Satislari'!I429)</f>
        <v/>
      </c>
      <c r="B429" s="26">
        <f>IF('DIVA Satislari'!I429="","",'DIVA Satislari'!R429)</f>
        <v/>
      </c>
      <c r="C429" s="26">
        <f>IF('DIVA Satislari'!I429="","",'DIVA Satislari'!M429)</f>
        <v/>
      </c>
      <c r="D429" s="27">
        <f>IF('DIVA Satislari'!I429="","",'DIVA Satislari'!H429)</f>
        <v/>
      </c>
      <c r="E429" s="26">
        <f>IF('DIVA Satislari'!I429="","",'DIVA Satislari'!O429)</f>
        <v/>
      </c>
      <c r="F429" s="26">
        <f>IF('DIVA Satislari'!I429="","",'DIVA Satislari'!AK429)</f>
        <v/>
      </c>
      <c r="G429" s="26">
        <f>IF('DIVA Satislari'!I429="","",'DIVA Satislari'!AO429)</f>
        <v/>
      </c>
      <c r="H429" s="27">
        <f>IF('DIVA Satislari'!I429="","",'DIVA Satislari'!AN429)</f>
        <v/>
      </c>
      <c r="I429" s="28">
        <f>IF('DIVA Satislari'!I429="","",'DIVA Satislari'!AQ429)</f>
        <v/>
      </c>
      <c r="J429" s="26">
        <f>IF('DIVA Satislari'!I429="","",'DIVA Satislari'!AR429)</f>
        <v/>
      </c>
      <c r="K429" s="26">
        <f>IF('DIVA Satislari'!I429="","",IFERROR(INDEX('E2E Nakliye Montaj'!$AS$3:$AS$1002,MATCH('DIVA Satislari'!AJ429,'E2E Nakliye Montaj'!$AM$3:$AM$1002,0)),"Eşleşme Yok"))</f>
        <v/>
      </c>
      <c r="L429" s="26">
        <f>IF('DIVA Satislari'!I429="","",IFERROR(INDEX('E2E Nakliye Montaj'!$AT$3:$AT$1002,MATCH('DIVA Satislari'!AJ429,'E2E Nakliye Montaj'!$AM$3:$AM$1002,0)),"Hayır"))</f>
        <v/>
      </c>
      <c r="M429" s="26">
        <f>IF('DIVA Satislari'!I429="","",IFERROR(INDEX('E2E Nakliye Montaj'!$AU$3:$AU$1002,MATCH('DIVA Satislari'!AJ429,'E2E Nakliye Montaj'!$AM$3:$AM$1002,0)),"Hayır"))</f>
        <v/>
      </c>
      <c r="N429" s="27">
        <f>IF('DIVA Satislari'!I429="","",IFERROR(INDEX('E2E Nakliye Montaj'!$AV$3:$AV$1002,MATCH('DIVA Satislari'!AJ429,'E2E Nakliye Montaj'!$AM$3:$AM$1002,0)),""))</f>
        <v/>
      </c>
      <c r="O429" s="26">
        <f>IF(OR(A429="",N429=""),"",IF(N429&lt;=H429,"Evet","HAYIR - RİSK"))</f>
        <v/>
      </c>
      <c r="P429" s="26">
        <f>IF(A429="","",IF(LEFT(J429,8)="Kural A ","Uygun - Hemen Ödenir (Yıl Sonu %75 Kontrolüne Tabi)",IF(OR(L429="Evet",M429="Evet"),IF(O429="Evet","Uygun","RİSK - Hakediş Süresi Aşıldı"),"Bekleniyor - Nakliye/Montaj Tamamlanmadı")))</f>
        <v/>
      </c>
      <c r="Q429" s="28">
        <f>IF(A429="","",SUMIFS('Hakedis Fatura Detay'!$G$3:$G$1200,'Hakedis Fatura Detay'!$H$3:$H$1200,'DIVA Satislari'!AJ429,'Hakedis Fatura Detay'!$F$3:$F$1200,"Fiyat Farkı")+SUMIFS('Hakedis Fatura Detay'!$G$3:$G$1200,'Hakedis Fatura Detay'!$H$3:$H$1200,'DIVA Satislari'!AJ429,'Hakedis Fatura Detay'!$F$3:$F$1200,"Bundle"))</f>
        <v/>
      </c>
      <c r="R429" s="28">
        <f>IF(A429="","",I429-Q429)</f>
        <v/>
      </c>
      <c r="S429" s="26">
        <f>IF(A429="","",IF(LEFT(P429,7)="Bekleni","N/A - Henüz Ödenmemeli",IF(LEFT(P429,4)="RİSK","İNCELEME GEREKLİ - Süre Aşımı",IF(R429=0,"Doğru",IF(R429&gt;0,"EKSİK ÖDENMİŞ","FAZLA ÖDENMİŞ")))))</f>
        <v/>
      </c>
      <c r="T429" s="30">
        <f>IF(A429="","",IF(F429&lt;&gt;"Evet","İNCELEME GEREKLİ - Kampanya Tanımsız",IF(G429&lt;&gt;"Evet","İNCELEME GEREKLİ - Tarih Dışı Satış",IF(LEFT(P429,4)="RİSK","İNCELEME GEREKLİ - Hakediş Süresi Aşıldı",IF(OR(S429="EKSİK ÖDENMİŞ",S429="FAZLA ÖDENMİŞ"),"İNCELEME GEREKLİ - Tutar Uyuşmazlığı",IF(LEFT(P429,7)="Bekleni","Bekleniyor","Uygun"))))))</f>
        <v/>
      </c>
    </row>
    <row r="430">
      <c r="A430" s="26">
        <f>IF('DIVA Satislari'!I430="","",'DIVA Satislari'!I430)</f>
        <v/>
      </c>
      <c r="B430" s="26">
        <f>IF('DIVA Satislari'!I430="","",'DIVA Satislari'!R430)</f>
        <v/>
      </c>
      <c r="C430" s="26">
        <f>IF('DIVA Satislari'!I430="","",'DIVA Satislari'!M430)</f>
        <v/>
      </c>
      <c r="D430" s="27">
        <f>IF('DIVA Satislari'!I430="","",'DIVA Satislari'!H430)</f>
        <v/>
      </c>
      <c r="E430" s="26">
        <f>IF('DIVA Satislari'!I430="","",'DIVA Satislari'!O430)</f>
        <v/>
      </c>
      <c r="F430" s="26">
        <f>IF('DIVA Satislari'!I430="","",'DIVA Satislari'!AK430)</f>
        <v/>
      </c>
      <c r="G430" s="26">
        <f>IF('DIVA Satislari'!I430="","",'DIVA Satislari'!AO430)</f>
        <v/>
      </c>
      <c r="H430" s="27">
        <f>IF('DIVA Satislari'!I430="","",'DIVA Satislari'!AN430)</f>
        <v/>
      </c>
      <c r="I430" s="28">
        <f>IF('DIVA Satislari'!I430="","",'DIVA Satislari'!AQ430)</f>
        <v/>
      </c>
      <c r="J430" s="26">
        <f>IF('DIVA Satislari'!I430="","",'DIVA Satislari'!AR430)</f>
        <v/>
      </c>
      <c r="K430" s="26">
        <f>IF('DIVA Satislari'!I430="","",IFERROR(INDEX('E2E Nakliye Montaj'!$AS$3:$AS$1002,MATCH('DIVA Satislari'!AJ430,'E2E Nakliye Montaj'!$AM$3:$AM$1002,0)),"Eşleşme Yok"))</f>
        <v/>
      </c>
      <c r="L430" s="26">
        <f>IF('DIVA Satislari'!I430="","",IFERROR(INDEX('E2E Nakliye Montaj'!$AT$3:$AT$1002,MATCH('DIVA Satislari'!AJ430,'E2E Nakliye Montaj'!$AM$3:$AM$1002,0)),"Hayır"))</f>
        <v/>
      </c>
      <c r="M430" s="26">
        <f>IF('DIVA Satislari'!I430="","",IFERROR(INDEX('E2E Nakliye Montaj'!$AU$3:$AU$1002,MATCH('DIVA Satislari'!AJ430,'E2E Nakliye Montaj'!$AM$3:$AM$1002,0)),"Hayır"))</f>
        <v/>
      </c>
      <c r="N430" s="27">
        <f>IF('DIVA Satislari'!I430="","",IFERROR(INDEX('E2E Nakliye Montaj'!$AV$3:$AV$1002,MATCH('DIVA Satislari'!AJ430,'E2E Nakliye Montaj'!$AM$3:$AM$1002,0)),""))</f>
        <v/>
      </c>
      <c r="O430" s="26">
        <f>IF(OR(A430="",N430=""),"",IF(N430&lt;=H430,"Evet","HAYIR - RİSK"))</f>
        <v/>
      </c>
      <c r="P430" s="26">
        <f>IF(A430="","",IF(LEFT(J430,8)="Kural A ","Uygun - Hemen Ödenir (Yıl Sonu %75 Kontrolüne Tabi)",IF(OR(L430="Evet",M430="Evet"),IF(O430="Evet","Uygun","RİSK - Hakediş Süresi Aşıldı"),"Bekleniyor - Nakliye/Montaj Tamamlanmadı")))</f>
        <v/>
      </c>
      <c r="Q430" s="28">
        <f>IF(A430="","",SUMIFS('Hakedis Fatura Detay'!$G$3:$G$1200,'Hakedis Fatura Detay'!$H$3:$H$1200,'DIVA Satislari'!AJ430,'Hakedis Fatura Detay'!$F$3:$F$1200,"Fiyat Farkı")+SUMIFS('Hakedis Fatura Detay'!$G$3:$G$1200,'Hakedis Fatura Detay'!$H$3:$H$1200,'DIVA Satislari'!AJ430,'Hakedis Fatura Detay'!$F$3:$F$1200,"Bundle"))</f>
        <v/>
      </c>
      <c r="R430" s="28">
        <f>IF(A430="","",I430-Q430)</f>
        <v/>
      </c>
      <c r="S430" s="26">
        <f>IF(A430="","",IF(LEFT(P430,7)="Bekleni","N/A - Henüz Ödenmemeli",IF(LEFT(P430,4)="RİSK","İNCELEME GEREKLİ - Süre Aşımı",IF(R430=0,"Doğru",IF(R430&gt;0,"EKSİK ÖDENMİŞ","FAZLA ÖDENMİŞ")))))</f>
        <v/>
      </c>
      <c r="T430" s="30">
        <f>IF(A430="","",IF(F430&lt;&gt;"Evet","İNCELEME GEREKLİ - Kampanya Tanımsız",IF(G430&lt;&gt;"Evet","İNCELEME GEREKLİ - Tarih Dışı Satış",IF(LEFT(P430,4)="RİSK","İNCELEME GEREKLİ - Hakediş Süresi Aşıldı",IF(OR(S430="EKSİK ÖDENMİŞ",S430="FAZLA ÖDENMİŞ"),"İNCELEME GEREKLİ - Tutar Uyuşmazlığı",IF(LEFT(P430,7)="Bekleni","Bekleniyor","Uygun"))))))</f>
        <v/>
      </c>
    </row>
    <row r="431">
      <c r="A431" s="26">
        <f>IF('DIVA Satislari'!I431="","",'DIVA Satislari'!I431)</f>
        <v/>
      </c>
      <c r="B431" s="26">
        <f>IF('DIVA Satislari'!I431="","",'DIVA Satislari'!R431)</f>
        <v/>
      </c>
      <c r="C431" s="26">
        <f>IF('DIVA Satislari'!I431="","",'DIVA Satislari'!M431)</f>
        <v/>
      </c>
      <c r="D431" s="27">
        <f>IF('DIVA Satislari'!I431="","",'DIVA Satislari'!H431)</f>
        <v/>
      </c>
      <c r="E431" s="26">
        <f>IF('DIVA Satislari'!I431="","",'DIVA Satislari'!O431)</f>
        <v/>
      </c>
      <c r="F431" s="26">
        <f>IF('DIVA Satislari'!I431="","",'DIVA Satislari'!AK431)</f>
        <v/>
      </c>
      <c r="G431" s="26">
        <f>IF('DIVA Satislari'!I431="","",'DIVA Satislari'!AO431)</f>
        <v/>
      </c>
      <c r="H431" s="27">
        <f>IF('DIVA Satislari'!I431="","",'DIVA Satislari'!AN431)</f>
        <v/>
      </c>
      <c r="I431" s="28">
        <f>IF('DIVA Satislari'!I431="","",'DIVA Satislari'!AQ431)</f>
        <v/>
      </c>
      <c r="J431" s="26">
        <f>IF('DIVA Satislari'!I431="","",'DIVA Satislari'!AR431)</f>
        <v/>
      </c>
      <c r="K431" s="26">
        <f>IF('DIVA Satislari'!I431="","",IFERROR(INDEX('E2E Nakliye Montaj'!$AS$3:$AS$1002,MATCH('DIVA Satislari'!AJ431,'E2E Nakliye Montaj'!$AM$3:$AM$1002,0)),"Eşleşme Yok"))</f>
        <v/>
      </c>
      <c r="L431" s="26">
        <f>IF('DIVA Satislari'!I431="","",IFERROR(INDEX('E2E Nakliye Montaj'!$AT$3:$AT$1002,MATCH('DIVA Satislari'!AJ431,'E2E Nakliye Montaj'!$AM$3:$AM$1002,0)),"Hayır"))</f>
        <v/>
      </c>
      <c r="M431" s="26">
        <f>IF('DIVA Satislari'!I431="","",IFERROR(INDEX('E2E Nakliye Montaj'!$AU$3:$AU$1002,MATCH('DIVA Satislari'!AJ431,'E2E Nakliye Montaj'!$AM$3:$AM$1002,0)),"Hayır"))</f>
        <v/>
      </c>
      <c r="N431" s="27">
        <f>IF('DIVA Satislari'!I431="","",IFERROR(INDEX('E2E Nakliye Montaj'!$AV$3:$AV$1002,MATCH('DIVA Satislari'!AJ431,'E2E Nakliye Montaj'!$AM$3:$AM$1002,0)),""))</f>
        <v/>
      </c>
      <c r="O431" s="26">
        <f>IF(OR(A431="",N431=""),"",IF(N431&lt;=H431,"Evet","HAYIR - RİSK"))</f>
        <v/>
      </c>
      <c r="P431" s="26">
        <f>IF(A431="","",IF(LEFT(J431,8)="Kural A ","Uygun - Hemen Ödenir (Yıl Sonu %75 Kontrolüne Tabi)",IF(OR(L431="Evet",M431="Evet"),IF(O431="Evet","Uygun","RİSK - Hakediş Süresi Aşıldı"),"Bekleniyor - Nakliye/Montaj Tamamlanmadı")))</f>
        <v/>
      </c>
      <c r="Q431" s="28">
        <f>IF(A431="","",SUMIFS('Hakedis Fatura Detay'!$G$3:$G$1200,'Hakedis Fatura Detay'!$H$3:$H$1200,'DIVA Satislari'!AJ431,'Hakedis Fatura Detay'!$F$3:$F$1200,"Fiyat Farkı")+SUMIFS('Hakedis Fatura Detay'!$G$3:$G$1200,'Hakedis Fatura Detay'!$H$3:$H$1200,'DIVA Satislari'!AJ431,'Hakedis Fatura Detay'!$F$3:$F$1200,"Bundle"))</f>
        <v/>
      </c>
      <c r="R431" s="28">
        <f>IF(A431="","",I431-Q431)</f>
        <v/>
      </c>
      <c r="S431" s="26">
        <f>IF(A431="","",IF(LEFT(P431,7)="Bekleni","N/A - Henüz Ödenmemeli",IF(LEFT(P431,4)="RİSK","İNCELEME GEREKLİ - Süre Aşımı",IF(R431=0,"Doğru",IF(R431&gt;0,"EKSİK ÖDENMİŞ","FAZLA ÖDENMİŞ")))))</f>
        <v/>
      </c>
      <c r="T431" s="30">
        <f>IF(A431="","",IF(F431&lt;&gt;"Evet","İNCELEME GEREKLİ - Kampanya Tanımsız",IF(G431&lt;&gt;"Evet","İNCELEME GEREKLİ - Tarih Dışı Satış",IF(LEFT(P431,4)="RİSK","İNCELEME GEREKLİ - Hakediş Süresi Aşıldı",IF(OR(S431="EKSİK ÖDENMİŞ",S431="FAZLA ÖDENMİŞ"),"İNCELEME GEREKLİ - Tutar Uyuşmazlığı",IF(LEFT(P431,7)="Bekleni","Bekleniyor","Uygun"))))))</f>
        <v/>
      </c>
    </row>
    <row r="432">
      <c r="A432" s="26">
        <f>IF('DIVA Satislari'!I432="","",'DIVA Satislari'!I432)</f>
        <v/>
      </c>
      <c r="B432" s="26">
        <f>IF('DIVA Satislari'!I432="","",'DIVA Satislari'!R432)</f>
        <v/>
      </c>
      <c r="C432" s="26">
        <f>IF('DIVA Satislari'!I432="","",'DIVA Satislari'!M432)</f>
        <v/>
      </c>
      <c r="D432" s="27">
        <f>IF('DIVA Satislari'!I432="","",'DIVA Satislari'!H432)</f>
        <v/>
      </c>
      <c r="E432" s="26">
        <f>IF('DIVA Satislari'!I432="","",'DIVA Satislari'!O432)</f>
        <v/>
      </c>
      <c r="F432" s="26">
        <f>IF('DIVA Satislari'!I432="","",'DIVA Satislari'!AK432)</f>
        <v/>
      </c>
      <c r="G432" s="26">
        <f>IF('DIVA Satislari'!I432="","",'DIVA Satislari'!AO432)</f>
        <v/>
      </c>
      <c r="H432" s="27">
        <f>IF('DIVA Satislari'!I432="","",'DIVA Satislari'!AN432)</f>
        <v/>
      </c>
      <c r="I432" s="28">
        <f>IF('DIVA Satislari'!I432="","",'DIVA Satislari'!AQ432)</f>
        <v/>
      </c>
      <c r="J432" s="26">
        <f>IF('DIVA Satislari'!I432="","",'DIVA Satislari'!AR432)</f>
        <v/>
      </c>
      <c r="K432" s="26">
        <f>IF('DIVA Satislari'!I432="","",IFERROR(INDEX('E2E Nakliye Montaj'!$AS$3:$AS$1002,MATCH('DIVA Satislari'!AJ432,'E2E Nakliye Montaj'!$AM$3:$AM$1002,0)),"Eşleşme Yok"))</f>
        <v/>
      </c>
      <c r="L432" s="26">
        <f>IF('DIVA Satislari'!I432="","",IFERROR(INDEX('E2E Nakliye Montaj'!$AT$3:$AT$1002,MATCH('DIVA Satislari'!AJ432,'E2E Nakliye Montaj'!$AM$3:$AM$1002,0)),"Hayır"))</f>
        <v/>
      </c>
      <c r="M432" s="26">
        <f>IF('DIVA Satislari'!I432="","",IFERROR(INDEX('E2E Nakliye Montaj'!$AU$3:$AU$1002,MATCH('DIVA Satislari'!AJ432,'E2E Nakliye Montaj'!$AM$3:$AM$1002,0)),"Hayır"))</f>
        <v/>
      </c>
      <c r="N432" s="27">
        <f>IF('DIVA Satislari'!I432="","",IFERROR(INDEX('E2E Nakliye Montaj'!$AV$3:$AV$1002,MATCH('DIVA Satislari'!AJ432,'E2E Nakliye Montaj'!$AM$3:$AM$1002,0)),""))</f>
        <v/>
      </c>
      <c r="O432" s="26">
        <f>IF(OR(A432="",N432=""),"",IF(N432&lt;=H432,"Evet","HAYIR - RİSK"))</f>
        <v/>
      </c>
      <c r="P432" s="26">
        <f>IF(A432="","",IF(LEFT(J432,8)="Kural A ","Uygun - Hemen Ödenir (Yıl Sonu %75 Kontrolüne Tabi)",IF(OR(L432="Evet",M432="Evet"),IF(O432="Evet","Uygun","RİSK - Hakediş Süresi Aşıldı"),"Bekleniyor - Nakliye/Montaj Tamamlanmadı")))</f>
        <v/>
      </c>
      <c r="Q432" s="28">
        <f>IF(A432="","",SUMIFS('Hakedis Fatura Detay'!$G$3:$G$1200,'Hakedis Fatura Detay'!$H$3:$H$1200,'DIVA Satislari'!AJ432,'Hakedis Fatura Detay'!$F$3:$F$1200,"Fiyat Farkı")+SUMIFS('Hakedis Fatura Detay'!$G$3:$G$1200,'Hakedis Fatura Detay'!$H$3:$H$1200,'DIVA Satislari'!AJ432,'Hakedis Fatura Detay'!$F$3:$F$1200,"Bundle"))</f>
        <v/>
      </c>
      <c r="R432" s="28">
        <f>IF(A432="","",I432-Q432)</f>
        <v/>
      </c>
      <c r="S432" s="26">
        <f>IF(A432="","",IF(LEFT(P432,7)="Bekleni","N/A - Henüz Ödenmemeli",IF(LEFT(P432,4)="RİSK","İNCELEME GEREKLİ - Süre Aşımı",IF(R432=0,"Doğru",IF(R432&gt;0,"EKSİK ÖDENMİŞ","FAZLA ÖDENMİŞ")))))</f>
        <v/>
      </c>
      <c r="T432" s="30">
        <f>IF(A432="","",IF(F432&lt;&gt;"Evet","İNCELEME GEREKLİ - Kampanya Tanımsız",IF(G432&lt;&gt;"Evet","İNCELEME GEREKLİ - Tarih Dışı Satış",IF(LEFT(P432,4)="RİSK","İNCELEME GEREKLİ - Hakediş Süresi Aşıldı",IF(OR(S432="EKSİK ÖDENMİŞ",S432="FAZLA ÖDENMİŞ"),"İNCELEME GEREKLİ - Tutar Uyuşmazlığı",IF(LEFT(P432,7)="Bekleni","Bekleniyor","Uygun"))))))</f>
        <v/>
      </c>
    </row>
    <row r="433">
      <c r="A433" s="26">
        <f>IF('DIVA Satislari'!I433="","",'DIVA Satislari'!I433)</f>
        <v/>
      </c>
      <c r="B433" s="26">
        <f>IF('DIVA Satislari'!I433="","",'DIVA Satislari'!R433)</f>
        <v/>
      </c>
      <c r="C433" s="26">
        <f>IF('DIVA Satislari'!I433="","",'DIVA Satislari'!M433)</f>
        <v/>
      </c>
      <c r="D433" s="27">
        <f>IF('DIVA Satislari'!I433="","",'DIVA Satislari'!H433)</f>
        <v/>
      </c>
      <c r="E433" s="26">
        <f>IF('DIVA Satislari'!I433="","",'DIVA Satislari'!O433)</f>
        <v/>
      </c>
      <c r="F433" s="26">
        <f>IF('DIVA Satislari'!I433="","",'DIVA Satislari'!AK433)</f>
        <v/>
      </c>
      <c r="G433" s="26">
        <f>IF('DIVA Satislari'!I433="","",'DIVA Satislari'!AO433)</f>
        <v/>
      </c>
      <c r="H433" s="27">
        <f>IF('DIVA Satislari'!I433="","",'DIVA Satislari'!AN433)</f>
        <v/>
      </c>
      <c r="I433" s="28">
        <f>IF('DIVA Satislari'!I433="","",'DIVA Satislari'!AQ433)</f>
        <v/>
      </c>
      <c r="J433" s="26">
        <f>IF('DIVA Satislari'!I433="","",'DIVA Satislari'!AR433)</f>
        <v/>
      </c>
      <c r="K433" s="26">
        <f>IF('DIVA Satislari'!I433="","",IFERROR(INDEX('E2E Nakliye Montaj'!$AS$3:$AS$1002,MATCH('DIVA Satislari'!AJ433,'E2E Nakliye Montaj'!$AM$3:$AM$1002,0)),"Eşleşme Yok"))</f>
        <v/>
      </c>
      <c r="L433" s="26">
        <f>IF('DIVA Satislari'!I433="","",IFERROR(INDEX('E2E Nakliye Montaj'!$AT$3:$AT$1002,MATCH('DIVA Satislari'!AJ433,'E2E Nakliye Montaj'!$AM$3:$AM$1002,0)),"Hayır"))</f>
        <v/>
      </c>
      <c r="M433" s="26">
        <f>IF('DIVA Satislari'!I433="","",IFERROR(INDEX('E2E Nakliye Montaj'!$AU$3:$AU$1002,MATCH('DIVA Satislari'!AJ433,'E2E Nakliye Montaj'!$AM$3:$AM$1002,0)),"Hayır"))</f>
        <v/>
      </c>
      <c r="N433" s="27">
        <f>IF('DIVA Satislari'!I433="","",IFERROR(INDEX('E2E Nakliye Montaj'!$AV$3:$AV$1002,MATCH('DIVA Satislari'!AJ433,'E2E Nakliye Montaj'!$AM$3:$AM$1002,0)),""))</f>
        <v/>
      </c>
      <c r="O433" s="26">
        <f>IF(OR(A433="",N433=""),"",IF(N433&lt;=H433,"Evet","HAYIR - RİSK"))</f>
        <v/>
      </c>
      <c r="P433" s="26">
        <f>IF(A433="","",IF(LEFT(J433,8)="Kural A ","Uygun - Hemen Ödenir (Yıl Sonu %75 Kontrolüne Tabi)",IF(OR(L433="Evet",M433="Evet"),IF(O433="Evet","Uygun","RİSK - Hakediş Süresi Aşıldı"),"Bekleniyor - Nakliye/Montaj Tamamlanmadı")))</f>
        <v/>
      </c>
      <c r="Q433" s="28">
        <f>IF(A433="","",SUMIFS('Hakedis Fatura Detay'!$G$3:$G$1200,'Hakedis Fatura Detay'!$H$3:$H$1200,'DIVA Satislari'!AJ433,'Hakedis Fatura Detay'!$F$3:$F$1200,"Fiyat Farkı")+SUMIFS('Hakedis Fatura Detay'!$G$3:$G$1200,'Hakedis Fatura Detay'!$H$3:$H$1200,'DIVA Satislari'!AJ433,'Hakedis Fatura Detay'!$F$3:$F$1200,"Bundle"))</f>
        <v/>
      </c>
      <c r="R433" s="28">
        <f>IF(A433="","",I433-Q433)</f>
        <v/>
      </c>
      <c r="S433" s="26">
        <f>IF(A433="","",IF(LEFT(P433,7)="Bekleni","N/A - Henüz Ödenmemeli",IF(LEFT(P433,4)="RİSK","İNCELEME GEREKLİ - Süre Aşımı",IF(R433=0,"Doğru",IF(R433&gt;0,"EKSİK ÖDENMİŞ","FAZLA ÖDENMİŞ")))))</f>
        <v/>
      </c>
      <c r="T433" s="30">
        <f>IF(A433="","",IF(F433&lt;&gt;"Evet","İNCELEME GEREKLİ - Kampanya Tanımsız",IF(G433&lt;&gt;"Evet","İNCELEME GEREKLİ - Tarih Dışı Satış",IF(LEFT(P433,4)="RİSK","İNCELEME GEREKLİ - Hakediş Süresi Aşıldı",IF(OR(S433="EKSİK ÖDENMİŞ",S433="FAZLA ÖDENMİŞ"),"İNCELEME GEREKLİ - Tutar Uyuşmazlığı",IF(LEFT(P433,7)="Bekleni","Bekleniyor","Uygun"))))))</f>
        <v/>
      </c>
    </row>
    <row r="434">
      <c r="A434" s="26">
        <f>IF('DIVA Satislari'!I434="","",'DIVA Satislari'!I434)</f>
        <v/>
      </c>
      <c r="B434" s="26">
        <f>IF('DIVA Satislari'!I434="","",'DIVA Satislari'!R434)</f>
        <v/>
      </c>
      <c r="C434" s="26">
        <f>IF('DIVA Satislari'!I434="","",'DIVA Satislari'!M434)</f>
        <v/>
      </c>
      <c r="D434" s="27">
        <f>IF('DIVA Satislari'!I434="","",'DIVA Satislari'!H434)</f>
        <v/>
      </c>
      <c r="E434" s="26">
        <f>IF('DIVA Satislari'!I434="","",'DIVA Satislari'!O434)</f>
        <v/>
      </c>
      <c r="F434" s="26">
        <f>IF('DIVA Satislari'!I434="","",'DIVA Satislari'!AK434)</f>
        <v/>
      </c>
      <c r="G434" s="26">
        <f>IF('DIVA Satislari'!I434="","",'DIVA Satislari'!AO434)</f>
        <v/>
      </c>
      <c r="H434" s="27">
        <f>IF('DIVA Satislari'!I434="","",'DIVA Satislari'!AN434)</f>
        <v/>
      </c>
      <c r="I434" s="28">
        <f>IF('DIVA Satislari'!I434="","",'DIVA Satislari'!AQ434)</f>
        <v/>
      </c>
      <c r="J434" s="26">
        <f>IF('DIVA Satislari'!I434="","",'DIVA Satislari'!AR434)</f>
        <v/>
      </c>
      <c r="K434" s="26">
        <f>IF('DIVA Satislari'!I434="","",IFERROR(INDEX('E2E Nakliye Montaj'!$AS$3:$AS$1002,MATCH('DIVA Satislari'!AJ434,'E2E Nakliye Montaj'!$AM$3:$AM$1002,0)),"Eşleşme Yok"))</f>
        <v/>
      </c>
      <c r="L434" s="26">
        <f>IF('DIVA Satislari'!I434="","",IFERROR(INDEX('E2E Nakliye Montaj'!$AT$3:$AT$1002,MATCH('DIVA Satislari'!AJ434,'E2E Nakliye Montaj'!$AM$3:$AM$1002,0)),"Hayır"))</f>
        <v/>
      </c>
      <c r="M434" s="26">
        <f>IF('DIVA Satislari'!I434="","",IFERROR(INDEX('E2E Nakliye Montaj'!$AU$3:$AU$1002,MATCH('DIVA Satislari'!AJ434,'E2E Nakliye Montaj'!$AM$3:$AM$1002,0)),"Hayır"))</f>
        <v/>
      </c>
      <c r="N434" s="27">
        <f>IF('DIVA Satislari'!I434="","",IFERROR(INDEX('E2E Nakliye Montaj'!$AV$3:$AV$1002,MATCH('DIVA Satislari'!AJ434,'E2E Nakliye Montaj'!$AM$3:$AM$1002,0)),""))</f>
        <v/>
      </c>
      <c r="O434" s="26">
        <f>IF(OR(A434="",N434=""),"",IF(N434&lt;=H434,"Evet","HAYIR - RİSK"))</f>
        <v/>
      </c>
      <c r="P434" s="26">
        <f>IF(A434="","",IF(LEFT(J434,8)="Kural A ","Uygun - Hemen Ödenir (Yıl Sonu %75 Kontrolüne Tabi)",IF(OR(L434="Evet",M434="Evet"),IF(O434="Evet","Uygun","RİSK - Hakediş Süresi Aşıldı"),"Bekleniyor - Nakliye/Montaj Tamamlanmadı")))</f>
        <v/>
      </c>
      <c r="Q434" s="28">
        <f>IF(A434="","",SUMIFS('Hakedis Fatura Detay'!$G$3:$G$1200,'Hakedis Fatura Detay'!$H$3:$H$1200,'DIVA Satislari'!AJ434,'Hakedis Fatura Detay'!$F$3:$F$1200,"Fiyat Farkı")+SUMIFS('Hakedis Fatura Detay'!$G$3:$G$1200,'Hakedis Fatura Detay'!$H$3:$H$1200,'DIVA Satislari'!AJ434,'Hakedis Fatura Detay'!$F$3:$F$1200,"Bundle"))</f>
        <v/>
      </c>
      <c r="R434" s="28">
        <f>IF(A434="","",I434-Q434)</f>
        <v/>
      </c>
      <c r="S434" s="26">
        <f>IF(A434="","",IF(LEFT(P434,7)="Bekleni","N/A - Henüz Ödenmemeli",IF(LEFT(P434,4)="RİSK","İNCELEME GEREKLİ - Süre Aşımı",IF(R434=0,"Doğru",IF(R434&gt;0,"EKSİK ÖDENMİŞ","FAZLA ÖDENMİŞ")))))</f>
        <v/>
      </c>
      <c r="T434" s="30">
        <f>IF(A434="","",IF(F434&lt;&gt;"Evet","İNCELEME GEREKLİ - Kampanya Tanımsız",IF(G434&lt;&gt;"Evet","İNCELEME GEREKLİ - Tarih Dışı Satış",IF(LEFT(P434,4)="RİSK","İNCELEME GEREKLİ - Hakediş Süresi Aşıldı",IF(OR(S434="EKSİK ÖDENMİŞ",S434="FAZLA ÖDENMİŞ"),"İNCELEME GEREKLİ - Tutar Uyuşmazlığı",IF(LEFT(P434,7)="Bekleni","Bekleniyor","Uygun"))))))</f>
        <v/>
      </c>
    </row>
    <row r="435">
      <c r="A435" s="26">
        <f>IF('DIVA Satislari'!I435="","",'DIVA Satislari'!I435)</f>
        <v/>
      </c>
      <c r="B435" s="26">
        <f>IF('DIVA Satislari'!I435="","",'DIVA Satislari'!R435)</f>
        <v/>
      </c>
      <c r="C435" s="26">
        <f>IF('DIVA Satislari'!I435="","",'DIVA Satislari'!M435)</f>
        <v/>
      </c>
      <c r="D435" s="27">
        <f>IF('DIVA Satislari'!I435="","",'DIVA Satislari'!H435)</f>
        <v/>
      </c>
      <c r="E435" s="26">
        <f>IF('DIVA Satislari'!I435="","",'DIVA Satislari'!O435)</f>
        <v/>
      </c>
      <c r="F435" s="26">
        <f>IF('DIVA Satislari'!I435="","",'DIVA Satislari'!AK435)</f>
        <v/>
      </c>
      <c r="G435" s="26">
        <f>IF('DIVA Satislari'!I435="","",'DIVA Satislari'!AO435)</f>
        <v/>
      </c>
      <c r="H435" s="27">
        <f>IF('DIVA Satislari'!I435="","",'DIVA Satislari'!AN435)</f>
        <v/>
      </c>
      <c r="I435" s="28">
        <f>IF('DIVA Satislari'!I435="","",'DIVA Satislari'!AQ435)</f>
        <v/>
      </c>
      <c r="J435" s="26">
        <f>IF('DIVA Satislari'!I435="","",'DIVA Satislari'!AR435)</f>
        <v/>
      </c>
      <c r="K435" s="26">
        <f>IF('DIVA Satislari'!I435="","",IFERROR(INDEX('E2E Nakliye Montaj'!$AS$3:$AS$1002,MATCH('DIVA Satislari'!AJ435,'E2E Nakliye Montaj'!$AM$3:$AM$1002,0)),"Eşleşme Yok"))</f>
        <v/>
      </c>
      <c r="L435" s="26">
        <f>IF('DIVA Satislari'!I435="","",IFERROR(INDEX('E2E Nakliye Montaj'!$AT$3:$AT$1002,MATCH('DIVA Satislari'!AJ435,'E2E Nakliye Montaj'!$AM$3:$AM$1002,0)),"Hayır"))</f>
        <v/>
      </c>
      <c r="M435" s="26">
        <f>IF('DIVA Satislari'!I435="","",IFERROR(INDEX('E2E Nakliye Montaj'!$AU$3:$AU$1002,MATCH('DIVA Satislari'!AJ435,'E2E Nakliye Montaj'!$AM$3:$AM$1002,0)),"Hayır"))</f>
        <v/>
      </c>
      <c r="N435" s="27">
        <f>IF('DIVA Satislari'!I435="","",IFERROR(INDEX('E2E Nakliye Montaj'!$AV$3:$AV$1002,MATCH('DIVA Satislari'!AJ435,'E2E Nakliye Montaj'!$AM$3:$AM$1002,0)),""))</f>
        <v/>
      </c>
      <c r="O435" s="26">
        <f>IF(OR(A435="",N435=""),"",IF(N435&lt;=H435,"Evet","HAYIR - RİSK"))</f>
        <v/>
      </c>
      <c r="P435" s="26">
        <f>IF(A435="","",IF(LEFT(J435,8)="Kural A ","Uygun - Hemen Ödenir (Yıl Sonu %75 Kontrolüne Tabi)",IF(OR(L435="Evet",M435="Evet"),IF(O435="Evet","Uygun","RİSK - Hakediş Süresi Aşıldı"),"Bekleniyor - Nakliye/Montaj Tamamlanmadı")))</f>
        <v/>
      </c>
      <c r="Q435" s="28">
        <f>IF(A435="","",SUMIFS('Hakedis Fatura Detay'!$G$3:$G$1200,'Hakedis Fatura Detay'!$H$3:$H$1200,'DIVA Satislari'!AJ435,'Hakedis Fatura Detay'!$F$3:$F$1200,"Fiyat Farkı")+SUMIFS('Hakedis Fatura Detay'!$G$3:$G$1200,'Hakedis Fatura Detay'!$H$3:$H$1200,'DIVA Satislari'!AJ435,'Hakedis Fatura Detay'!$F$3:$F$1200,"Bundle"))</f>
        <v/>
      </c>
      <c r="R435" s="28">
        <f>IF(A435="","",I435-Q435)</f>
        <v/>
      </c>
      <c r="S435" s="26">
        <f>IF(A435="","",IF(LEFT(P435,7)="Bekleni","N/A - Henüz Ödenmemeli",IF(LEFT(P435,4)="RİSK","İNCELEME GEREKLİ - Süre Aşımı",IF(R435=0,"Doğru",IF(R435&gt;0,"EKSİK ÖDENMİŞ","FAZLA ÖDENMİŞ")))))</f>
        <v/>
      </c>
      <c r="T435" s="30">
        <f>IF(A435="","",IF(F435&lt;&gt;"Evet","İNCELEME GEREKLİ - Kampanya Tanımsız",IF(G435&lt;&gt;"Evet","İNCELEME GEREKLİ - Tarih Dışı Satış",IF(LEFT(P435,4)="RİSK","İNCELEME GEREKLİ - Hakediş Süresi Aşıldı",IF(OR(S435="EKSİK ÖDENMİŞ",S435="FAZLA ÖDENMİŞ"),"İNCELEME GEREKLİ - Tutar Uyuşmazlığı",IF(LEFT(P435,7)="Bekleni","Bekleniyor","Uygun"))))))</f>
        <v/>
      </c>
    </row>
    <row r="436">
      <c r="A436" s="26">
        <f>IF('DIVA Satislari'!I436="","",'DIVA Satislari'!I436)</f>
        <v/>
      </c>
      <c r="B436" s="26">
        <f>IF('DIVA Satislari'!I436="","",'DIVA Satislari'!R436)</f>
        <v/>
      </c>
      <c r="C436" s="26">
        <f>IF('DIVA Satislari'!I436="","",'DIVA Satislari'!M436)</f>
        <v/>
      </c>
      <c r="D436" s="27">
        <f>IF('DIVA Satislari'!I436="","",'DIVA Satislari'!H436)</f>
        <v/>
      </c>
      <c r="E436" s="26">
        <f>IF('DIVA Satislari'!I436="","",'DIVA Satislari'!O436)</f>
        <v/>
      </c>
      <c r="F436" s="26">
        <f>IF('DIVA Satislari'!I436="","",'DIVA Satislari'!AK436)</f>
        <v/>
      </c>
      <c r="G436" s="26">
        <f>IF('DIVA Satislari'!I436="","",'DIVA Satislari'!AO436)</f>
        <v/>
      </c>
      <c r="H436" s="27">
        <f>IF('DIVA Satislari'!I436="","",'DIVA Satislari'!AN436)</f>
        <v/>
      </c>
      <c r="I436" s="28">
        <f>IF('DIVA Satislari'!I436="","",'DIVA Satislari'!AQ436)</f>
        <v/>
      </c>
      <c r="J436" s="26">
        <f>IF('DIVA Satislari'!I436="","",'DIVA Satislari'!AR436)</f>
        <v/>
      </c>
      <c r="K436" s="26">
        <f>IF('DIVA Satislari'!I436="","",IFERROR(INDEX('E2E Nakliye Montaj'!$AS$3:$AS$1002,MATCH('DIVA Satislari'!AJ436,'E2E Nakliye Montaj'!$AM$3:$AM$1002,0)),"Eşleşme Yok"))</f>
        <v/>
      </c>
      <c r="L436" s="26">
        <f>IF('DIVA Satislari'!I436="","",IFERROR(INDEX('E2E Nakliye Montaj'!$AT$3:$AT$1002,MATCH('DIVA Satislari'!AJ436,'E2E Nakliye Montaj'!$AM$3:$AM$1002,0)),"Hayır"))</f>
        <v/>
      </c>
      <c r="M436" s="26">
        <f>IF('DIVA Satislari'!I436="","",IFERROR(INDEX('E2E Nakliye Montaj'!$AU$3:$AU$1002,MATCH('DIVA Satislari'!AJ436,'E2E Nakliye Montaj'!$AM$3:$AM$1002,0)),"Hayır"))</f>
        <v/>
      </c>
      <c r="N436" s="27">
        <f>IF('DIVA Satislari'!I436="","",IFERROR(INDEX('E2E Nakliye Montaj'!$AV$3:$AV$1002,MATCH('DIVA Satislari'!AJ436,'E2E Nakliye Montaj'!$AM$3:$AM$1002,0)),""))</f>
        <v/>
      </c>
      <c r="O436" s="26">
        <f>IF(OR(A436="",N436=""),"",IF(N436&lt;=H436,"Evet","HAYIR - RİSK"))</f>
        <v/>
      </c>
      <c r="P436" s="26">
        <f>IF(A436="","",IF(LEFT(J436,8)="Kural A ","Uygun - Hemen Ödenir (Yıl Sonu %75 Kontrolüne Tabi)",IF(OR(L436="Evet",M436="Evet"),IF(O436="Evet","Uygun","RİSK - Hakediş Süresi Aşıldı"),"Bekleniyor - Nakliye/Montaj Tamamlanmadı")))</f>
        <v/>
      </c>
      <c r="Q436" s="28">
        <f>IF(A436="","",SUMIFS('Hakedis Fatura Detay'!$G$3:$G$1200,'Hakedis Fatura Detay'!$H$3:$H$1200,'DIVA Satislari'!AJ436,'Hakedis Fatura Detay'!$F$3:$F$1200,"Fiyat Farkı")+SUMIFS('Hakedis Fatura Detay'!$G$3:$G$1200,'Hakedis Fatura Detay'!$H$3:$H$1200,'DIVA Satislari'!AJ436,'Hakedis Fatura Detay'!$F$3:$F$1200,"Bundle"))</f>
        <v/>
      </c>
      <c r="R436" s="28">
        <f>IF(A436="","",I436-Q436)</f>
        <v/>
      </c>
      <c r="S436" s="26">
        <f>IF(A436="","",IF(LEFT(P436,7)="Bekleni","N/A - Henüz Ödenmemeli",IF(LEFT(P436,4)="RİSK","İNCELEME GEREKLİ - Süre Aşımı",IF(R436=0,"Doğru",IF(R436&gt;0,"EKSİK ÖDENMİŞ","FAZLA ÖDENMİŞ")))))</f>
        <v/>
      </c>
      <c r="T436" s="30">
        <f>IF(A436="","",IF(F436&lt;&gt;"Evet","İNCELEME GEREKLİ - Kampanya Tanımsız",IF(G436&lt;&gt;"Evet","İNCELEME GEREKLİ - Tarih Dışı Satış",IF(LEFT(P436,4)="RİSK","İNCELEME GEREKLİ - Hakediş Süresi Aşıldı",IF(OR(S436="EKSİK ÖDENMİŞ",S436="FAZLA ÖDENMİŞ"),"İNCELEME GEREKLİ - Tutar Uyuşmazlığı",IF(LEFT(P436,7)="Bekleni","Bekleniyor","Uygun"))))))</f>
        <v/>
      </c>
    </row>
    <row r="437">
      <c r="A437" s="26">
        <f>IF('DIVA Satislari'!I437="","",'DIVA Satislari'!I437)</f>
        <v/>
      </c>
      <c r="B437" s="26">
        <f>IF('DIVA Satislari'!I437="","",'DIVA Satislari'!R437)</f>
        <v/>
      </c>
      <c r="C437" s="26">
        <f>IF('DIVA Satislari'!I437="","",'DIVA Satislari'!M437)</f>
        <v/>
      </c>
      <c r="D437" s="27">
        <f>IF('DIVA Satislari'!I437="","",'DIVA Satislari'!H437)</f>
        <v/>
      </c>
      <c r="E437" s="26">
        <f>IF('DIVA Satislari'!I437="","",'DIVA Satislari'!O437)</f>
        <v/>
      </c>
      <c r="F437" s="26">
        <f>IF('DIVA Satislari'!I437="","",'DIVA Satislari'!AK437)</f>
        <v/>
      </c>
      <c r="G437" s="26">
        <f>IF('DIVA Satislari'!I437="","",'DIVA Satislari'!AO437)</f>
        <v/>
      </c>
      <c r="H437" s="27">
        <f>IF('DIVA Satislari'!I437="","",'DIVA Satislari'!AN437)</f>
        <v/>
      </c>
      <c r="I437" s="28">
        <f>IF('DIVA Satislari'!I437="","",'DIVA Satislari'!AQ437)</f>
        <v/>
      </c>
      <c r="J437" s="26">
        <f>IF('DIVA Satislari'!I437="","",'DIVA Satislari'!AR437)</f>
        <v/>
      </c>
      <c r="K437" s="26">
        <f>IF('DIVA Satislari'!I437="","",IFERROR(INDEX('E2E Nakliye Montaj'!$AS$3:$AS$1002,MATCH('DIVA Satislari'!AJ437,'E2E Nakliye Montaj'!$AM$3:$AM$1002,0)),"Eşleşme Yok"))</f>
        <v/>
      </c>
      <c r="L437" s="26">
        <f>IF('DIVA Satislari'!I437="","",IFERROR(INDEX('E2E Nakliye Montaj'!$AT$3:$AT$1002,MATCH('DIVA Satislari'!AJ437,'E2E Nakliye Montaj'!$AM$3:$AM$1002,0)),"Hayır"))</f>
        <v/>
      </c>
      <c r="M437" s="26">
        <f>IF('DIVA Satislari'!I437="","",IFERROR(INDEX('E2E Nakliye Montaj'!$AU$3:$AU$1002,MATCH('DIVA Satislari'!AJ437,'E2E Nakliye Montaj'!$AM$3:$AM$1002,0)),"Hayır"))</f>
        <v/>
      </c>
      <c r="N437" s="27">
        <f>IF('DIVA Satislari'!I437="","",IFERROR(INDEX('E2E Nakliye Montaj'!$AV$3:$AV$1002,MATCH('DIVA Satislari'!AJ437,'E2E Nakliye Montaj'!$AM$3:$AM$1002,0)),""))</f>
        <v/>
      </c>
      <c r="O437" s="26">
        <f>IF(OR(A437="",N437=""),"",IF(N437&lt;=H437,"Evet","HAYIR - RİSK"))</f>
        <v/>
      </c>
      <c r="P437" s="26">
        <f>IF(A437="","",IF(LEFT(J437,8)="Kural A ","Uygun - Hemen Ödenir (Yıl Sonu %75 Kontrolüne Tabi)",IF(OR(L437="Evet",M437="Evet"),IF(O437="Evet","Uygun","RİSK - Hakediş Süresi Aşıldı"),"Bekleniyor - Nakliye/Montaj Tamamlanmadı")))</f>
        <v/>
      </c>
      <c r="Q437" s="28">
        <f>IF(A437="","",SUMIFS('Hakedis Fatura Detay'!$G$3:$G$1200,'Hakedis Fatura Detay'!$H$3:$H$1200,'DIVA Satislari'!AJ437,'Hakedis Fatura Detay'!$F$3:$F$1200,"Fiyat Farkı")+SUMIFS('Hakedis Fatura Detay'!$G$3:$G$1200,'Hakedis Fatura Detay'!$H$3:$H$1200,'DIVA Satislari'!AJ437,'Hakedis Fatura Detay'!$F$3:$F$1200,"Bundle"))</f>
        <v/>
      </c>
      <c r="R437" s="28">
        <f>IF(A437="","",I437-Q437)</f>
        <v/>
      </c>
      <c r="S437" s="26">
        <f>IF(A437="","",IF(LEFT(P437,7)="Bekleni","N/A - Henüz Ödenmemeli",IF(LEFT(P437,4)="RİSK","İNCELEME GEREKLİ - Süre Aşımı",IF(R437=0,"Doğru",IF(R437&gt;0,"EKSİK ÖDENMİŞ","FAZLA ÖDENMİŞ")))))</f>
        <v/>
      </c>
      <c r="T437" s="30">
        <f>IF(A437="","",IF(F437&lt;&gt;"Evet","İNCELEME GEREKLİ - Kampanya Tanımsız",IF(G437&lt;&gt;"Evet","İNCELEME GEREKLİ - Tarih Dışı Satış",IF(LEFT(P437,4)="RİSK","İNCELEME GEREKLİ - Hakediş Süresi Aşıldı",IF(OR(S437="EKSİK ÖDENMİŞ",S437="FAZLA ÖDENMİŞ"),"İNCELEME GEREKLİ - Tutar Uyuşmazlığı",IF(LEFT(P437,7)="Bekleni","Bekleniyor","Uygun"))))))</f>
        <v/>
      </c>
    </row>
    <row r="438">
      <c r="A438" s="26">
        <f>IF('DIVA Satislari'!I438="","",'DIVA Satislari'!I438)</f>
        <v/>
      </c>
      <c r="B438" s="26">
        <f>IF('DIVA Satislari'!I438="","",'DIVA Satislari'!R438)</f>
        <v/>
      </c>
      <c r="C438" s="26">
        <f>IF('DIVA Satislari'!I438="","",'DIVA Satislari'!M438)</f>
        <v/>
      </c>
      <c r="D438" s="27">
        <f>IF('DIVA Satislari'!I438="","",'DIVA Satislari'!H438)</f>
        <v/>
      </c>
      <c r="E438" s="26">
        <f>IF('DIVA Satislari'!I438="","",'DIVA Satislari'!O438)</f>
        <v/>
      </c>
      <c r="F438" s="26">
        <f>IF('DIVA Satislari'!I438="","",'DIVA Satislari'!AK438)</f>
        <v/>
      </c>
      <c r="G438" s="26">
        <f>IF('DIVA Satislari'!I438="","",'DIVA Satislari'!AO438)</f>
        <v/>
      </c>
      <c r="H438" s="27">
        <f>IF('DIVA Satislari'!I438="","",'DIVA Satislari'!AN438)</f>
        <v/>
      </c>
      <c r="I438" s="28">
        <f>IF('DIVA Satislari'!I438="","",'DIVA Satislari'!AQ438)</f>
        <v/>
      </c>
      <c r="J438" s="26">
        <f>IF('DIVA Satislari'!I438="","",'DIVA Satislari'!AR438)</f>
        <v/>
      </c>
      <c r="K438" s="26">
        <f>IF('DIVA Satislari'!I438="","",IFERROR(INDEX('E2E Nakliye Montaj'!$AS$3:$AS$1002,MATCH('DIVA Satislari'!AJ438,'E2E Nakliye Montaj'!$AM$3:$AM$1002,0)),"Eşleşme Yok"))</f>
        <v/>
      </c>
      <c r="L438" s="26">
        <f>IF('DIVA Satislari'!I438="","",IFERROR(INDEX('E2E Nakliye Montaj'!$AT$3:$AT$1002,MATCH('DIVA Satislari'!AJ438,'E2E Nakliye Montaj'!$AM$3:$AM$1002,0)),"Hayır"))</f>
        <v/>
      </c>
      <c r="M438" s="26">
        <f>IF('DIVA Satislari'!I438="","",IFERROR(INDEX('E2E Nakliye Montaj'!$AU$3:$AU$1002,MATCH('DIVA Satislari'!AJ438,'E2E Nakliye Montaj'!$AM$3:$AM$1002,0)),"Hayır"))</f>
        <v/>
      </c>
      <c r="N438" s="27">
        <f>IF('DIVA Satislari'!I438="","",IFERROR(INDEX('E2E Nakliye Montaj'!$AV$3:$AV$1002,MATCH('DIVA Satislari'!AJ438,'E2E Nakliye Montaj'!$AM$3:$AM$1002,0)),""))</f>
        <v/>
      </c>
      <c r="O438" s="26">
        <f>IF(OR(A438="",N438=""),"",IF(N438&lt;=H438,"Evet","HAYIR - RİSK"))</f>
        <v/>
      </c>
      <c r="P438" s="26">
        <f>IF(A438="","",IF(LEFT(J438,8)="Kural A ","Uygun - Hemen Ödenir (Yıl Sonu %75 Kontrolüne Tabi)",IF(OR(L438="Evet",M438="Evet"),IF(O438="Evet","Uygun","RİSK - Hakediş Süresi Aşıldı"),"Bekleniyor - Nakliye/Montaj Tamamlanmadı")))</f>
        <v/>
      </c>
      <c r="Q438" s="28">
        <f>IF(A438="","",SUMIFS('Hakedis Fatura Detay'!$G$3:$G$1200,'Hakedis Fatura Detay'!$H$3:$H$1200,'DIVA Satislari'!AJ438,'Hakedis Fatura Detay'!$F$3:$F$1200,"Fiyat Farkı")+SUMIFS('Hakedis Fatura Detay'!$G$3:$G$1200,'Hakedis Fatura Detay'!$H$3:$H$1200,'DIVA Satislari'!AJ438,'Hakedis Fatura Detay'!$F$3:$F$1200,"Bundle"))</f>
        <v/>
      </c>
      <c r="R438" s="28">
        <f>IF(A438="","",I438-Q438)</f>
        <v/>
      </c>
      <c r="S438" s="26">
        <f>IF(A438="","",IF(LEFT(P438,7)="Bekleni","N/A - Henüz Ödenmemeli",IF(LEFT(P438,4)="RİSK","İNCELEME GEREKLİ - Süre Aşımı",IF(R438=0,"Doğru",IF(R438&gt;0,"EKSİK ÖDENMİŞ","FAZLA ÖDENMİŞ")))))</f>
        <v/>
      </c>
      <c r="T438" s="30">
        <f>IF(A438="","",IF(F438&lt;&gt;"Evet","İNCELEME GEREKLİ - Kampanya Tanımsız",IF(G438&lt;&gt;"Evet","İNCELEME GEREKLİ - Tarih Dışı Satış",IF(LEFT(P438,4)="RİSK","İNCELEME GEREKLİ - Hakediş Süresi Aşıldı",IF(OR(S438="EKSİK ÖDENMİŞ",S438="FAZLA ÖDENMİŞ"),"İNCELEME GEREKLİ - Tutar Uyuşmazlığı",IF(LEFT(P438,7)="Bekleni","Bekleniyor","Uygun"))))))</f>
        <v/>
      </c>
    </row>
    <row r="439">
      <c r="A439" s="26">
        <f>IF('DIVA Satislari'!I439="","",'DIVA Satislari'!I439)</f>
        <v/>
      </c>
      <c r="B439" s="26">
        <f>IF('DIVA Satislari'!I439="","",'DIVA Satislari'!R439)</f>
        <v/>
      </c>
      <c r="C439" s="26">
        <f>IF('DIVA Satislari'!I439="","",'DIVA Satislari'!M439)</f>
        <v/>
      </c>
      <c r="D439" s="27">
        <f>IF('DIVA Satislari'!I439="","",'DIVA Satislari'!H439)</f>
        <v/>
      </c>
      <c r="E439" s="26">
        <f>IF('DIVA Satislari'!I439="","",'DIVA Satislari'!O439)</f>
        <v/>
      </c>
      <c r="F439" s="26">
        <f>IF('DIVA Satislari'!I439="","",'DIVA Satislari'!AK439)</f>
        <v/>
      </c>
      <c r="G439" s="26">
        <f>IF('DIVA Satislari'!I439="","",'DIVA Satislari'!AO439)</f>
        <v/>
      </c>
      <c r="H439" s="27">
        <f>IF('DIVA Satislari'!I439="","",'DIVA Satislari'!AN439)</f>
        <v/>
      </c>
      <c r="I439" s="28">
        <f>IF('DIVA Satislari'!I439="","",'DIVA Satislari'!AQ439)</f>
        <v/>
      </c>
      <c r="J439" s="26">
        <f>IF('DIVA Satislari'!I439="","",'DIVA Satislari'!AR439)</f>
        <v/>
      </c>
      <c r="K439" s="26">
        <f>IF('DIVA Satislari'!I439="","",IFERROR(INDEX('E2E Nakliye Montaj'!$AS$3:$AS$1002,MATCH('DIVA Satislari'!AJ439,'E2E Nakliye Montaj'!$AM$3:$AM$1002,0)),"Eşleşme Yok"))</f>
        <v/>
      </c>
      <c r="L439" s="26">
        <f>IF('DIVA Satislari'!I439="","",IFERROR(INDEX('E2E Nakliye Montaj'!$AT$3:$AT$1002,MATCH('DIVA Satislari'!AJ439,'E2E Nakliye Montaj'!$AM$3:$AM$1002,0)),"Hayır"))</f>
        <v/>
      </c>
      <c r="M439" s="26">
        <f>IF('DIVA Satislari'!I439="","",IFERROR(INDEX('E2E Nakliye Montaj'!$AU$3:$AU$1002,MATCH('DIVA Satislari'!AJ439,'E2E Nakliye Montaj'!$AM$3:$AM$1002,0)),"Hayır"))</f>
        <v/>
      </c>
      <c r="N439" s="27">
        <f>IF('DIVA Satislari'!I439="","",IFERROR(INDEX('E2E Nakliye Montaj'!$AV$3:$AV$1002,MATCH('DIVA Satislari'!AJ439,'E2E Nakliye Montaj'!$AM$3:$AM$1002,0)),""))</f>
        <v/>
      </c>
      <c r="O439" s="26">
        <f>IF(OR(A439="",N439=""),"",IF(N439&lt;=H439,"Evet","HAYIR - RİSK"))</f>
        <v/>
      </c>
      <c r="P439" s="26">
        <f>IF(A439="","",IF(LEFT(J439,8)="Kural A ","Uygun - Hemen Ödenir (Yıl Sonu %75 Kontrolüne Tabi)",IF(OR(L439="Evet",M439="Evet"),IF(O439="Evet","Uygun","RİSK - Hakediş Süresi Aşıldı"),"Bekleniyor - Nakliye/Montaj Tamamlanmadı")))</f>
        <v/>
      </c>
      <c r="Q439" s="28">
        <f>IF(A439="","",SUMIFS('Hakedis Fatura Detay'!$G$3:$G$1200,'Hakedis Fatura Detay'!$H$3:$H$1200,'DIVA Satislari'!AJ439,'Hakedis Fatura Detay'!$F$3:$F$1200,"Fiyat Farkı")+SUMIFS('Hakedis Fatura Detay'!$G$3:$G$1200,'Hakedis Fatura Detay'!$H$3:$H$1200,'DIVA Satislari'!AJ439,'Hakedis Fatura Detay'!$F$3:$F$1200,"Bundle"))</f>
        <v/>
      </c>
      <c r="R439" s="28">
        <f>IF(A439="","",I439-Q439)</f>
        <v/>
      </c>
      <c r="S439" s="26">
        <f>IF(A439="","",IF(LEFT(P439,7)="Bekleni","N/A - Henüz Ödenmemeli",IF(LEFT(P439,4)="RİSK","İNCELEME GEREKLİ - Süre Aşımı",IF(R439=0,"Doğru",IF(R439&gt;0,"EKSİK ÖDENMİŞ","FAZLA ÖDENMİŞ")))))</f>
        <v/>
      </c>
      <c r="T439" s="30">
        <f>IF(A439="","",IF(F439&lt;&gt;"Evet","İNCELEME GEREKLİ - Kampanya Tanımsız",IF(G439&lt;&gt;"Evet","İNCELEME GEREKLİ - Tarih Dışı Satış",IF(LEFT(P439,4)="RİSK","İNCELEME GEREKLİ - Hakediş Süresi Aşıldı",IF(OR(S439="EKSİK ÖDENMİŞ",S439="FAZLA ÖDENMİŞ"),"İNCELEME GEREKLİ - Tutar Uyuşmazlığı",IF(LEFT(P439,7)="Bekleni","Bekleniyor","Uygun"))))))</f>
        <v/>
      </c>
    </row>
    <row r="440">
      <c r="A440" s="26">
        <f>IF('DIVA Satislari'!I440="","",'DIVA Satislari'!I440)</f>
        <v/>
      </c>
      <c r="B440" s="26">
        <f>IF('DIVA Satislari'!I440="","",'DIVA Satislari'!R440)</f>
        <v/>
      </c>
      <c r="C440" s="26">
        <f>IF('DIVA Satislari'!I440="","",'DIVA Satislari'!M440)</f>
        <v/>
      </c>
      <c r="D440" s="27">
        <f>IF('DIVA Satislari'!I440="","",'DIVA Satislari'!H440)</f>
        <v/>
      </c>
      <c r="E440" s="26">
        <f>IF('DIVA Satislari'!I440="","",'DIVA Satislari'!O440)</f>
        <v/>
      </c>
      <c r="F440" s="26">
        <f>IF('DIVA Satislari'!I440="","",'DIVA Satislari'!AK440)</f>
        <v/>
      </c>
      <c r="G440" s="26">
        <f>IF('DIVA Satislari'!I440="","",'DIVA Satislari'!AO440)</f>
        <v/>
      </c>
      <c r="H440" s="27">
        <f>IF('DIVA Satislari'!I440="","",'DIVA Satislari'!AN440)</f>
        <v/>
      </c>
      <c r="I440" s="28">
        <f>IF('DIVA Satislari'!I440="","",'DIVA Satislari'!AQ440)</f>
        <v/>
      </c>
      <c r="J440" s="26">
        <f>IF('DIVA Satislari'!I440="","",'DIVA Satislari'!AR440)</f>
        <v/>
      </c>
      <c r="K440" s="26">
        <f>IF('DIVA Satislari'!I440="","",IFERROR(INDEX('E2E Nakliye Montaj'!$AS$3:$AS$1002,MATCH('DIVA Satislari'!AJ440,'E2E Nakliye Montaj'!$AM$3:$AM$1002,0)),"Eşleşme Yok"))</f>
        <v/>
      </c>
      <c r="L440" s="26">
        <f>IF('DIVA Satislari'!I440="","",IFERROR(INDEX('E2E Nakliye Montaj'!$AT$3:$AT$1002,MATCH('DIVA Satislari'!AJ440,'E2E Nakliye Montaj'!$AM$3:$AM$1002,0)),"Hayır"))</f>
        <v/>
      </c>
      <c r="M440" s="26">
        <f>IF('DIVA Satislari'!I440="","",IFERROR(INDEX('E2E Nakliye Montaj'!$AU$3:$AU$1002,MATCH('DIVA Satislari'!AJ440,'E2E Nakliye Montaj'!$AM$3:$AM$1002,0)),"Hayır"))</f>
        <v/>
      </c>
      <c r="N440" s="27">
        <f>IF('DIVA Satislari'!I440="","",IFERROR(INDEX('E2E Nakliye Montaj'!$AV$3:$AV$1002,MATCH('DIVA Satislari'!AJ440,'E2E Nakliye Montaj'!$AM$3:$AM$1002,0)),""))</f>
        <v/>
      </c>
      <c r="O440" s="26">
        <f>IF(OR(A440="",N440=""),"",IF(N440&lt;=H440,"Evet","HAYIR - RİSK"))</f>
        <v/>
      </c>
      <c r="P440" s="26">
        <f>IF(A440="","",IF(LEFT(J440,8)="Kural A ","Uygun - Hemen Ödenir (Yıl Sonu %75 Kontrolüne Tabi)",IF(OR(L440="Evet",M440="Evet"),IF(O440="Evet","Uygun","RİSK - Hakediş Süresi Aşıldı"),"Bekleniyor - Nakliye/Montaj Tamamlanmadı")))</f>
        <v/>
      </c>
      <c r="Q440" s="28">
        <f>IF(A440="","",SUMIFS('Hakedis Fatura Detay'!$G$3:$G$1200,'Hakedis Fatura Detay'!$H$3:$H$1200,'DIVA Satislari'!AJ440,'Hakedis Fatura Detay'!$F$3:$F$1200,"Fiyat Farkı")+SUMIFS('Hakedis Fatura Detay'!$G$3:$G$1200,'Hakedis Fatura Detay'!$H$3:$H$1200,'DIVA Satislari'!AJ440,'Hakedis Fatura Detay'!$F$3:$F$1200,"Bundle"))</f>
        <v/>
      </c>
      <c r="R440" s="28">
        <f>IF(A440="","",I440-Q440)</f>
        <v/>
      </c>
      <c r="S440" s="26">
        <f>IF(A440="","",IF(LEFT(P440,7)="Bekleni","N/A - Henüz Ödenmemeli",IF(LEFT(P440,4)="RİSK","İNCELEME GEREKLİ - Süre Aşımı",IF(R440=0,"Doğru",IF(R440&gt;0,"EKSİK ÖDENMİŞ","FAZLA ÖDENMİŞ")))))</f>
        <v/>
      </c>
      <c r="T440" s="30">
        <f>IF(A440="","",IF(F440&lt;&gt;"Evet","İNCELEME GEREKLİ - Kampanya Tanımsız",IF(G440&lt;&gt;"Evet","İNCELEME GEREKLİ - Tarih Dışı Satış",IF(LEFT(P440,4)="RİSK","İNCELEME GEREKLİ - Hakediş Süresi Aşıldı",IF(OR(S440="EKSİK ÖDENMİŞ",S440="FAZLA ÖDENMİŞ"),"İNCELEME GEREKLİ - Tutar Uyuşmazlığı",IF(LEFT(P440,7)="Bekleni","Bekleniyor","Uygun"))))))</f>
        <v/>
      </c>
    </row>
    <row r="441">
      <c r="A441" s="26">
        <f>IF('DIVA Satislari'!I441="","",'DIVA Satislari'!I441)</f>
        <v/>
      </c>
      <c r="B441" s="26">
        <f>IF('DIVA Satislari'!I441="","",'DIVA Satislari'!R441)</f>
        <v/>
      </c>
      <c r="C441" s="26">
        <f>IF('DIVA Satislari'!I441="","",'DIVA Satislari'!M441)</f>
        <v/>
      </c>
      <c r="D441" s="27">
        <f>IF('DIVA Satislari'!I441="","",'DIVA Satislari'!H441)</f>
        <v/>
      </c>
      <c r="E441" s="26">
        <f>IF('DIVA Satislari'!I441="","",'DIVA Satislari'!O441)</f>
        <v/>
      </c>
      <c r="F441" s="26">
        <f>IF('DIVA Satislari'!I441="","",'DIVA Satislari'!AK441)</f>
        <v/>
      </c>
      <c r="G441" s="26">
        <f>IF('DIVA Satislari'!I441="","",'DIVA Satislari'!AO441)</f>
        <v/>
      </c>
      <c r="H441" s="27">
        <f>IF('DIVA Satislari'!I441="","",'DIVA Satislari'!AN441)</f>
        <v/>
      </c>
      <c r="I441" s="28">
        <f>IF('DIVA Satislari'!I441="","",'DIVA Satislari'!AQ441)</f>
        <v/>
      </c>
      <c r="J441" s="26">
        <f>IF('DIVA Satislari'!I441="","",'DIVA Satislari'!AR441)</f>
        <v/>
      </c>
      <c r="K441" s="26">
        <f>IF('DIVA Satislari'!I441="","",IFERROR(INDEX('E2E Nakliye Montaj'!$AS$3:$AS$1002,MATCH('DIVA Satislari'!AJ441,'E2E Nakliye Montaj'!$AM$3:$AM$1002,0)),"Eşleşme Yok"))</f>
        <v/>
      </c>
      <c r="L441" s="26">
        <f>IF('DIVA Satislari'!I441="","",IFERROR(INDEX('E2E Nakliye Montaj'!$AT$3:$AT$1002,MATCH('DIVA Satislari'!AJ441,'E2E Nakliye Montaj'!$AM$3:$AM$1002,0)),"Hayır"))</f>
        <v/>
      </c>
      <c r="M441" s="26">
        <f>IF('DIVA Satislari'!I441="","",IFERROR(INDEX('E2E Nakliye Montaj'!$AU$3:$AU$1002,MATCH('DIVA Satislari'!AJ441,'E2E Nakliye Montaj'!$AM$3:$AM$1002,0)),"Hayır"))</f>
        <v/>
      </c>
      <c r="N441" s="27">
        <f>IF('DIVA Satislari'!I441="","",IFERROR(INDEX('E2E Nakliye Montaj'!$AV$3:$AV$1002,MATCH('DIVA Satislari'!AJ441,'E2E Nakliye Montaj'!$AM$3:$AM$1002,0)),""))</f>
        <v/>
      </c>
      <c r="O441" s="26">
        <f>IF(OR(A441="",N441=""),"",IF(N441&lt;=H441,"Evet","HAYIR - RİSK"))</f>
        <v/>
      </c>
      <c r="P441" s="26">
        <f>IF(A441="","",IF(LEFT(J441,8)="Kural A ","Uygun - Hemen Ödenir (Yıl Sonu %75 Kontrolüne Tabi)",IF(OR(L441="Evet",M441="Evet"),IF(O441="Evet","Uygun","RİSK - Hakediş Süresi Aşıldı"),"Bekleniyor - Nakliye/Montaj Tamamlanmadı")))</f>
        <v/>
      </c>
      <c r="Q441" s="28">
        <f>IF(A441="","",SUMIFS('Hakedis Fatura Detay'!$G$3:$G$1200,'Hakedis Fatura Detay'!$H$3:$H$1200,'DIVA Satislari'!AJ441,'Hakedis Fatura Detay'!$F$3:$F$1200,"Fiyat Farkı")+SUMIFS('Hakedis Fatura Detay'!$G$3:$G$1200,'Hakedis Fatura Detay'!$H$3:$H$1200,'DIVA Satislari'!AJ441,'Hakedis Fatura Detay'!$F$3:$F$1200,"Bundle"))</f>
        <v/>
      </c>
      <c r="R441" s="28">
        <f>IF(A441="","",I441-Q441)</f>
        <v/>
      </c>
      <c r="S441" s="26">
        <f>IF(A441="","",IF(LEFT(P441,7)="Bekleni","N/A - Henüz Ödenmemeli",IF(LEFT(P441,4)="RİSK","İNCELEME GEREKLİ - Süre Aşımı",IF(R441=0,"Doğru",IF(R441&gt;0,"EKSİK ÖDENMİŞ","FAZLA ÖDENMİŞ")))))</f>
        <v/>
      </c>
      <c r="T441" s="30">
        <f>IF(A441="","",IF(F441&lt;&gt;"Evet","İNCELEME GEREKLİ - Kampanya Tanımsız",IF(G441&lt;&gt;"Evet","İNCELEME GEREKLİ - Tarih Dışı Satış",IF(LEFT(P441,4)="RİSK","İNCELEME GEREKLİ - Hakediş Süresi Aşıldı",IF(OR(S441="EKSİK ÖDENMİŞ",S441="FAZLA ÖDENMİŞ"),"İNCELEME GEREKLİ - Tutar Uyuşmazlığı",IF(LEFT(P441,7)="Bekleni","Bekleniyor","Uygun"))))))</f>
        <v/>
      </c>
    </row>
    <row r="442">
      <c r="A442" s="26">
        <f>IF('DIVA Satislari'!I442="","",'DIVA Satislari'!I442)</f>
        <v/>
      </c>
      <c r="B442" s="26">
        <f>IF('DIVA Satislari'!I442="","",'DIVA Satislari'!R442)</f>
        <v/>
      </c>
      <c r="C442" s="26">
        <f>IF('DIVA Satislari'!I442="","",'DIVA Satislari'!M442)</f>
        <v/>
      </c>
      <c r="D442" s="27">
        <f>IF('DIVA Satislari'!I442="","",'DIVA Satislari'!H442)</f>
        <v/>
      </c>
      <c r="E442" s="26">
        <f>IF('DIVA Satislari'!I442="","",'DIVA Satislari'!O442)</f>
        <v/>
      </c>
      <c r="F442" s="26">
        <f>IF('DIVA Satislari'!I442="","",'DIVA Satislari'!AK442)</f>
        <v/>
      </c>
      <c r="G442" s="26">
        <f>IF('DIVA Satislari'!I442="","",'DIVA Satislari'!AO442)</f>
        <v/>
      </c>
      <c r="H442" s="27">
        <f>IF('DIVA Satislari'!I442="","",'DIVA Satislari'!AN442)</f>
        <v/>
      </c>
      <c r="I442" s="28">
        <f>IF('DIVA Satislari'!I442="","",'DIVA Satislari'!AQ442)</f>
        <v/>
      </c>
      <c r="J442" s="26">
        <f>IF('DIVA Satislari'!I442="","",'DIVA Satislari'!AR442)</f>
        <v/>
      </c>
      <c r="K442" s="26">
        <f>IF('DIVA Satislari'!I442="","",IFERROR(INDEX('E2E Nakliye Montaj'!$AS$3:$AS$1002,MATCH('DIVA Satislari'!AJ442,'E2E Nakliye Montaj'!$AM$3:$AM$1002,0)),"Eşleşme Yok"))</f>
        <v/>
      </c>
      <c r="L442" s="26">
        <f>IF('DIVA Satislari'!I442="","",IFERROR(INDEX('E2E Nakliye Montaj'!$AT$3:$AT$1002,MATCH('DIVA Satislari'!AJ442,'E2E Nakliye Montaj'!$AM$3:$AM$1002,0)),"Hayır"))</f>
        <v/>
      </c>
      <c r="M442" s="26">
        <f>IF('DIVA Satislari'!I442="","",IFERROR(INDEX('E2E Nakliye Montaj'!$AU$3:$AU$1002,MATCH('DIVA Satislari'!AJ442,'E2E Nakliye Montaj'!$AM$3:$AM$1002,0)),"Hayır"))</f>
        <v/>
      </c>
      <c r="N442" s="27">
        <f>IF('DIVA Satislari'!I442="","",IFERROR(INDEX('E2E Nakliye Montaj'!$AV$3:$AV$1002,MATCH('DIVA Satislari'!AJ442,'E2E Nakliye Montaj'!$AM$3:$AM$1002,0)),""))</f>
        <v/>
      </c>
      <c r="O442" s="26">
        <f>IF(OR(A442="",N442=""),"",IF(N442&lt;=H442,"Evet","HAYIR - RİSK"))</f>
        <v/>
      </c>
      <c r="P442" s="26">
        <f>IF(A442="","",IF(LEFT(J442,8)="Kural A ","Uygun - Hemen Ödenir (Yıl Sonu %75 Kontrolüne Tabi)",IF(OR(L442="Evet",M442="Evet"),IF(O442="Evet","Uygun","RİSK - Hakediş Süresi Aşıldı"),"Bekleniyor - Nakliye/Montaj Tamamlanmadı")))</f>
        <v/>
      </c>
      <c r="Q442" s="28">
        <f>IF(A442="","",SUMIFS('Hakedis Fatura Detay'!$G$3:$G$1200,'Hakedis Fatura Detay'!$H$3:$H$1200,'DIVA Satislari'!AJ442,'Hakedis Fatura Detay'!$F$3:$F$1200,"Fiyat Farkı")+SUMIFS('Hakedis Fatura Detay'!$G$3:$G$1200,'Hakedis Fatura Detay'!$H$3:$H$1200,'DIVA Satislari'!AJ442,'Hakedis Fatura Detay'!$F$3:$F$1200,"Bundle"))</f>
        <v/>
      </c>
      <c r="R442" s="28">
        <f>IF(A442="","",I442-Q442)</f>
        <v/>
      </c>
      <c r="S442" s="26">
        <f>IF(A442="","",IF(LEFT(P442,7)="Bekleni","N/A - Henüz Ödenmemeli",IF(LEFT(P442,4)="RİSK","İNCELEME GEREKLİ - Süre Aşımı",IF(R442=0,"Doğru",IF(R442&gt;0,"EKSİK ÖDENMİŞ","FAZLA ÖDENMİŞ")))))</f>
        <v/>
      </c>
      <c r="T442" s="30">
        <f>IF(A442="","",IF(F442&lt;&gt;"Evet","İNCELEME GEREKLİ - Kampanya Tanımsız",IF(G442&lt;&gt;"Evet","İNCELEME GEREKLİ - Tarih Dışı Satış",IF(LEFT(P442,4)="RİSK","İNCELEME GEREKLİ - Hakediş Süresi Aşıldı",IF(OR(S442="EKSİK ÖDENMİŞ",S442="FAZLA ÖDENMİŞ"),"İNCELEME GEREKLİ - Tutar Uyuşmazlığı",IF(LEFT(P442,7)="Bekleni","Bekleniyor","Uygun"))))))</f>
        <v/>
      </c>
    </row>
    <row r="443">
      <c r="A443" s="26">
        <f>IF('DIVA Satislari'!I443="","",'DIVA Satislari'!I443)</f>
        <v/>
      </c>
      <c r="B443" s="26">
        <f>IF('DIVA Satislari'!I443="","",'DIVA Satislari'!R443)</f>
        <v/>
      </c>
      <c r="C443" s="26">
        <f>IF('DIVA Satislari'!I443="","",'DIVA Satislari'!M443)</f>
        <v/>
      </c>
      <c r="D443" s="27">
        <f>IF('DIVA Satislari'!I443="","",'DIVA Satislari'!H443)</f>
        <v/>
      </c>
      <c r="E443" s="26">
        <f>IF('DIVA Satislari'!I443="","",'DIVA Satislari'!O443)</f>
        <v/>
      </c>
      <c r="F443" s="26">
        <f>IF('DIVA Satislari'!I443="","",'DIVA Satislari'!AK443)</f>
        <v/>
      </c>
      <c r="G443" s="26">
        <f>IF('DIVA Satislari'!I443="","",'DIVA Satislari'!AO443)</f>
        <v/>
      </c>
      <c r="H443" s="27">
        <f>IF('DIVA Satislari'!I443="","",'DIVA Satislari'!AN443)</f>
        <v/>
      </c>
      <c r="I443" s="28">
        <f>IF('DIVA Satislari'!I443="","",'DIVA Satislari'!AQ443)</f>
        <v/>
      </c>
      <c r="J443" s="26">
        <f>IF('DIVA Satislari'!I443="","",'DIVA Satislari'!AR443)</f>
        <v/>
      </c>
      <c r="K443" s="26">
        <f>IF('DIVA Satislari'!I443="","",IFERROR(INDEX('E2E Nakliye Montaj'!$AS$3:$AS$1002,MATCH('DIVA Satislari'!AJ443,'E2E Nakliye Montaj'!$AM$3:$AM$1002,0)),"Eşleşme Yok"))</f>
        <v/>
      </c>
      <c r="L443" s="26">
        <f>IF('DIVA Satislari'!I443="","",IFERROR(INDEX('E2E Nakliye Montaj'!$AT$3:$AT$1002,MATCH('DIVA Satislari'!AJ443,'E2E Nakliye Montaj'!$AM$3:$AM$1002,0)),"Hayır"))</f>
        <v/>
      </c>
      <c r="M443" s="26">
        <f>IF('DIVA Satislari'!I443="","",IFERROR(INDEX('E2E Nakliye Montaj'!$AU$3:$AU$1002,MATCH('DIVA Satislari'!AJ443,'E2E Nakliye Montaj'!$AM$3:$AM$1002,0)),"Hayır"))</f>
        <v/>
      </c>
      <c r="N443" s="27">
        <f>IF('DIVA Satislari'!I443="","",IFERROR(INDEX('E2E Nakliye Montaj'!$AV$3:$AV$1002,MATCH('DIVA Satislari'!AJ443,'E2E Nakliye Montaj'!$AM$3:$AM$1002,0)),""))</f>
        <v/>
      </c>
      <c r="O443" s="26">
        <f>IF(OR(A443="",N443=""),"",IF(N443&lt;=H443,"Evet","HAYIR - RİSK"))</f>
        <v/>
      </c>
      <c r="P443" s="26">
        <f>IF(A443="","",IF(LEFT(J443,8)="Kural A ","Uygun - Hemen Ödenir (Yıl Sonu %75 Kontrolüne Tabi)",IF(OR(L443="Evet",M443="Evet"),IF(O443="Evet","Uygun","RİSK - Hakediş Süresi Aşıldı"),"Bekleniyor - Nakliye/Montaj Tamamlanmadı")))</f>
        <v/>
      </c>
      <c r="Q443" s="28">
        <f>IF(A443="","",SUMIFS('Hakedis Fatura Detay'!$G$3:$G$1200,'Hakedis Fatura Detay'!$H$3:$H$1200,'DIVA Satislari'!AJ443,'Hakedis Fatura Detay'!$F$3:$F$1200,"Fiyat Farkı")+SUMIFS('Hakedis Fatura Detay'!$G$3:$G$1200,'Hakedis Fatura Detay'!$H$3:$H$1200,'DIVA Satislari'!AJ443,'Hakedis Fatura Detay'!$F$3:$F$1200,"Bundle"))</f>
        <v/>
      </c>
      <c r="R443" s="28">
        <f>IF(A443="","",I443-Q443)</f>
        <v/>
      </c>
      <c r="S443" s="26">
        <f>IF(A443="","",IF(LEFT(P443,7)="Bekleni","N/A - Henüz Ödenmemeli",IF(LEFT(P443,4)="RİSK","İNCELEME GEREKLİ - Süre Aşımı",IF(R443=0,"Doğru",IF(R443&gt;0,"EKSİK ÖDENMİŞ","FAZLA ÖDENMİŞ")))))</f>
        <v/>
      </c>
      <c r="T443" s="30">
        <f>IF(A443="","",IF(F443&lt;&gt;"Evet","İNCELEME GEREKLİ - Kampanya Tanımsız",IF(G443&lt;&gt;"Evet","İNCELEME GEREKLİ - Tarih Dışı Satış",IF(LEFT(P443,4)="RİSK","İNCELEME GEREKLİ - Hakediş Süresi Aşıldı",IF(OR(S443="EKSİK ÖDENMİŞ",S443="FAZLA ÖDENMİŞ"),"İNCELEME GEREKLİ - Tutar Uyuşmazlığı",IF(LEFT(P443,7)="Bekleni","Bekleniyor","Uygun"))))))</f>
        <v/>
      </c>
    </row>
    <row r="444">
      <c r="A444" s="26">
        <f>IF('DIVA Satislari'!I444="","",'DIVA Satislari'!I444)</f>
        <v/>
      </c>
      <c r="B444" s="26">
        <f>IF('DIVA Satislari'!I444="","",'DIVA Satislari'!R444)</f>
        <v/>
      </c>
      <c r="C444" s="26">
        <f>IF('DIVA Satislari'!I444="","",'DIVA Satislari'!M444)</f>
        <v/>
      </c>
      <c r="D444" s="27">
        <f>IF('DIVA Satislari'!I444="","",'DIVA Satislari'!H444)</f>
        <v/>
      </c>
      <c r="E444" s="26">
        <f>IF('DIVA Satislari'!I444="","",'DIVA Satislari'!O444)</f>
        <v/>
      </c>
      <c r="F444" s="26">
        <f>IF('DIVA Satislari'!I444="","",'DIVA Satislari'!AK444)</f>
        <v/>
      </c>
      <c r="G444" s="26">
        <f>IF('DIVA Satislari'!I444="","",'DIVA Satislari'!AO444)</f>
        <v/>
      </c>
      <c r="H444" s="27">
        <f>IF('DIVA Satislari'!I444="","",'DIVA Satislari'!AN444)</f>
        <v/>
      </c>
      <c r="I444" s="28">
        <f>IF('DIVA Satislari'!I444="","",'DIVA Satislari'!AQ444)</f>
        <v/>
      </c>
      <c r="J444" s="26">
        <f>IF('DIVA Satislari'!I444="","",'DIVA Satislari'!AR444)</f>
        <v/>
      </c>
      <c r="K444" s="26">
        <f>IF('DIVA Satislari'!I444="","",IFERROR(INDEX('E2E Nakliye Montaj'!$AS$3:$AS$1002,MATCH('DIVA Satislari'!AJ444,'E2E Nakliye Montaj'!$AM$3:$AM$1002,0)),"Eşleşme Yok"))</f>
        <v/>
      </c>
      <c r="L444" s="26">
        <f>IF('DIVA Satislari'!I444="","",IFERROR(INDEX('E2E Nakliye Montaj'!$AT$3:$AT$1002,MATCH('DIVA Satislari'!AJ444,'E2E Nakliye Montaj'!$AM$3:$AM$1002,0)),"Hayır"))</f>
        <v/>
      </c>
      <c r="M444" s="26">
        <f>IF('DIVA Satislari'!I444="","",IFERROR(INDEX('E2E Nakliye Montaj'!$AU$3:$AU$1002,MATCH('DIVA Satislari'!AJ444,'E2E Nakliye Montaj'!$AM$3:$AM$1002,0)),"Hayır"))</f>
        <v/>
      </c>
      <c r="N444" s="27">
        <f>IF('DIVA Satislari'!I444="","",IFERROR(INDEX('E2E Nakliye Montaj'!$AV$3:$AV$1002,MATCH('DIVA Satislari'!AJ444,'E2E Nakliye Montaj'!$AM$3:$AM$1002,0)),""))</f>
        <v/>
      </c>
      <c r="O444" s="26">
        <f>IF(OR(A444="",N444=""),"",IF(N444&lt;=H444,"Evet","HAYIR - RİSK"))</f>
        <v/>
      </c>
      <c r="P444" s="26">
        <f>IF(A444="","",IF(LEFT(J444,8)="Kural A ","Uygun - Hemen Ödenir (Yıl Sonu %75 Kontrolüne Tabi)",IF(OR(L444="Evet",M444="Evet"),IF(O444="Evet","Uygun","RİSK - Hakediş Süresi Aşıldı"),"Bekleniyor - Nakliye/Montaj Tamamlanmadı")))</f>
        <v/>
      </c>
      <c r="Q444" s="28">
        <f>IF(A444="","",SUMIFS('Hakedis Fatura Detay'!$G$3:$G$1200,'Hakedis Fatura Detay'!$H$3:$H$1200,'DIVA Satislari'!AJ444,'Hakedis Fatura Detay'!$F$3:$F$1200,"Fiyat Farkı")+SUMIFS('Hakedis Fatura Detay'!$G$3:$G$1200,'Hakedis Fatura Detay'!$H$3:$H$1200,'DIVA Satislari'!AJ444,'Hakedis Fatura Detay'!$F$3:$F$1200,"Bundle"))</f>
        <v/>
      </c>
      <c r="R444" s="28">
        <f>IF(A444="","",I444-Q444)</f>
        <v/>
      </c>
      <c r="S444" s="26">
        <f>IF(A444="","",IF(LEFT(P444,7)="Bekleni","N/A - Henüz Ödenmemeli",IF(LEFT(P444,4)="RİSK","İNCELEME GEREKLİ - Süre Aşımı",IF(R444=0,"Doğru",IF(R444&gt;0,"EKSİK ÖDENMİŞ","FAZLA ÖDENMİŞ")))))</f>
        <v/>
      </c>
      <c r="T444" s="30">
        <f>IF(A444="","",IF(F444&lt;&gt;"Evet","İNCELEME GEREKLİ - Kampanya Tanımsız",IF(G444&lt;&gt;"Evet","İNCELEME GEREKLİ - Tarih Dışı Satış",IF(LEFT(P444,4)="RİSK","İNCELEME GEREKLİ - Hakediş Süresi Aşıldı",IF(OR(S444="EKSİK ÖDENMİŞ",S444="FAZLA ÖDENMİŞ"),"İNCELEME GEREKLİ - Tutar Uyuşmazlığı",IF(LEFT(P444,7)="Bekleni","Bekleniyor","Uygun"))))))</f>
        <v/>
      </c>
    </row>
    <row r="445">
      <c r="A445" s="26">
        <f>IF('DIVA Satislari'!I445="","",'DIVA Satislari'!I445)</f>
        <v/>
      </c>
      <c r="B445" s="26">
        <f>IF('DIVA Satislari'!I445="","",'DIVA Satislari'!R445)</f>
        <v/>
      </c>
      <c r="C445" s="26">
        <f>IF('DIVA Satislari'!I445="","",'DIVA Satislari'!M445)</f>
        <v/>
      </c>
      <c r="D445" s="27">
        <f>IF('DIVA Satislari'!I445="","",'DIVA Satislari'!H445)</f>
        <v/>
      </c>
      <c r="E445" s="26">
        <f>IF('DIVA Satislari'!I445="","",'DIVA Satislari'!O445)</f>
        <v/>
      </c>
      <c r="F445" s="26">
        <f>IF('DIVA Satislari'!I445="","",'DIVA Satislari'!AK445)</f>
        <v/>
      </c>
      <c r="G445" s="26">
        <f>IF('DIVA Satislari'!I445="","",'DIVA Satislari'!AO445)</f>
        <v/>
      </c>
      <c r="H445" s="27">
        <f>IF('DIVA Satislari'!I445="","",'DIVA Satislari'!AN445)</f>
        <v/>
      </c>
      <c r="I445" s="28">
        <f>IF('DIVA Satislari'!I445="","",'DIVA Satislari'!AQ445)</f>
        <v/>
      </c>
      <c r="J445" s="26">
        <f>IF('DIVA Satislari'!I445="","",'DIVA Satislari'!AR445)</f>
        <v/>
      </c>
      <c r="K445" s="26">
        <f>IF('DIVA Satislari'!I445="","",IFERROR(INDEX('E2E Nakliye Montaj'!$AS$3:$AS$1002,MATCH('DIVA Satislari'!AJ445,'E2E Nakliye Montaj'!$AM$3:$AM$1002,0)),"Eşleşme Yok"))</f>
        <v/>
      </c>
      <c r="L445" s="26">
        <f>IF('DIVA Satislari'!I445="","",IFERROR(INDEX('E2E Nakliye Montaj'!$AT$3:$AT$1002,MATCH('DIVA Satislari'!AJ445,'E2E Nakliye Montaj'!$AM$3:$AM$1002,0)),"Hayır"))</f>
        <v/>
      </c>
      <c r="M445" s="26">
        <f>IF('DIVA Satislari'!I445="","",IFERROR(INDEX('E2E Nakliye Montaj'!$AU$3:$AU$1002,MATCH('DIVA Satislari'!AJ445,'E2E Nakliye Montaj'!$AM$3:$AM$1002,0)),"Hayır"))</f>
        <v/>
      </c>
      <c r="N445" s="27">
        <f>IF('DIVA Satislari'!I445="","",IFERROR(INDEX('E2E Nakliye Montaj'!$AV$3:$AV$1002,MATCH('DIVA Satislari'!AJ445,'E2E Nakliye Montaj'!$AM$3:$AM$1002,0)),""))</f>
        <v/>
      </c>
      <c r="O445" s="26">
        <f>IF(OR(A445="",N445=""),"",IF(N445&lt;=H445,"Evet","HAYIR - RİSK"))</f>
        <v/>
      </c>
      <c r="P445" s="26">
        <f>IF(A445="","",IF(LEFT(J445,8)="Kural A ","Uygun - Hemen Ödenir (Yıl Sonu %75 Kontrolüne Tabi)",IF(OR(L445="Evet",M445="Evet"),IF(O445="Evet","Uygun","RİSK - Hakediş Süresi Aşıldı"),"Bekleniyor - Nakliye/Montaj Tamamlanmadı")))</f>
        <v/>
      </c>
      <c r="Q445" s="28">
        <f>IF(A445="","",SUMIFS('Hakedis Fatura Detay'!$G$3:$G$1200,'Hakedis Fatura Detay'!$H$3:$H$1200,'DIVA Satislari'!AJ445,'Hakedis Fatura Detay'!$F$3:$F$1200,"Fiyat Farkı")+SUMIFS('Hakedis Fatura Detay'!$G$3:$G$1200,'Hakedis Fatura Detay'!$H$3:$H$1200,'DIVA Satislari'!AJ445,'Hakedis Fatura Detay'!$F$3:$F$1200,"Bundle"))</f>
        <v/>
      </c>
      <c r="R445" s="28">
        <f>IF(A445="","",I445-Q445)</f>
        <v/>
      </c>
      <c r="S445" s="26">
        <f>IF(A445="","",IF(LEFT(P445,7)="Bekleni","N/A - Henüz Ödenmemeli",IF(LEFT(P445,4)="RİSK","İNCELEME GEREKLİ - Süre Aşımı",IF(R445=0,"Doğru",IF(R445&gt;0,"EKSİK ÖDENMİŞ","FAZLA ÖDENMİŞ")))))</f>
        <v/>
      </c>
      <c r="T445" s="30">
        <f>IF(A445="","",IF(F445&lt;&gt;"Evet","İNCELEME GEREKLİ - Kampanya Tanımsız",IF(G445&lt;&gt;"Evet","İNCELEME GEREKLİ - Tarih Dışı Satış",IF(LEFT(P445,4)="RİSK","İNCELEME GEREKLİ - Hakediş Süresi Aşıldı",IF(OR(S445="EKSİK ÖDENMİŞ",S445="FAZLA ÖDENMİŞ"),"İNCELEME GEREKLİ - Tutar Uyuşmazlığı",IF(LEFT(P445,7)="Bekleni","Bekleniyor","Uygun"))))))</f>
        <v/>
      </c>
    </row>
    <row r="446">
      <c r="A446" s="26">
        <f>IF('DIVA Satislari'!I446="","",'DIVA Satislari'!I446)</f>
        <v/>
      </c>
      <c r="B446" s="26">
        <f>IF('DIVA Satislari'!I446="","",'DIVA Satislari'!R446)</f>
        <v/>
      </c>
      <c r="C446" s="26">
        <f>IF('DIVA Satislari'!I446="","",'DIVA Satislari'!M446)</f>
        <v/>
      </c>
      <c r="D446" s="27">
        <f>IF('DIVA Satislari'!I446="","",'DIVA Satislari'!H446)</f>
        <v/>
      </c>
      <c r="E446" s="26">
        <f>IF('DIVA Satislari'!I446="","",'DIVA Satislari'!O446)</f>
        <v/>
      </c>
      <c r="F446" s="26">
        <f>IF('DIVA Satislari'!I446="","",'DIVA Satislari'!AK446)</f>
        <v/>
      </c>
      <c r="G446" s="26">
        <f>IF('DIVA Satislari'!I446="","",'DIVA Satislari'!AO446)</f>
        <v/>
      </c>
      <c r="H446" s="27">
        <f>IF('DIVA Satislari'!I446="","",'DIVA Satislari'!AN446)</f>
        <v/>
      </c>
      <c r="I446" s="28">
        <f>IF('DIVA Satislari'!I446="","",'DIVA Satislari'!AQ446)</f>
        <v/>
      </c>
      <c r="J446" s="26">
        <f>IF('DIVA Satislari'!I446="","",'DIVA Satislari'!AR446)</f>
        <v/>
      </c>
      <c r="K446" s="26">
        <f>IF('DIVA Satislari'!I446="","",IFERROR(INDEX('E2E Nakliye Montaj'!$AS$3:$AS$1002,MATCH('DIVA Satislari'!AJ446,'E2E Nakliye Montaj'!$AM$3:$AM$1002,0)),"Eşleşme Yok"))</f>
        <v/>
      </c>
      <c r="L446" s="26">
        <f>IF('DIVA Satislari'!I446="","",IFERROR(INDEX('E2E Nakliye Montaj'!$AT$3:$AT$1002,MATCH('DIVA Satislari'!AJ446,'E2E Nakliye Montaj'!$AM$3:$AM$1002,0)),"Hayır"))</f>
        <v/>
      </c>
      <c r="M446" s="26">
        <f>IF('DIVA Satislari'!I446="","",IFERROR(INDEX('E2E Nakliye Montaj'!$AU$3:$AU$1002,MATCH('DIVA Satislari'!AJ446,'E2E Nakliye Montaj'!$AM$3:$AM$1002,0)),"Hayır"))</f>
        <v/>
      </c>
      <c r="N446" s="27">
        <f>IF('DIVA Satislari'!I446="","",IFERROR(INDEX('E2E Nakliye Montaj'!$AV$3:$AV$1002,MATCH('DIVA Satislari'!AJ446,'E2E Nakliye Montaj'!$AM$3:$AM$1002,0)),""))</f>
        <v/>
      </c>
      <c r="O446" s="26">
        <f>IF(OR(A446="",N446=""),"",IF(N446&lt;=H446,"Evet","HAYIR - RİSK"))</f>
        <v/>
      </c>
      <c r="P446" s="26">
        <f>IF(A446="","",IF(LEFT(J446,8)="Kural A ","Uygun - Hemen Ödenir (Yıl Sonu %75 Kontrolüne Tabi)",IF(OR(L446="Evet",M446="Evet"),IF(O446="Evet","Uygun","RİSK - Hakediş Süresi Aşıldı"),"Bekleniyor - Nakliye/Montaj Tamamlanmadı")))</f>
        <v/>
      </c>
      <c r="Q446" s="28">
        <f>IF(A446="","",SUMIFS('Hakedis Fatura Detay'!$G$3:$G$1200,'Hakedis Fatura Detay'!$H$3:$H$1200,'DIVA Satislari'!AJ446,'Hakedis Fatura Detay'!$F$3:$F$1200,"Fiyat Farkı")+SUMIFS('Hakedis Fatura Detay'!$G$3:$G$1200,'Hakedis Fatura Detay'!$H$3:$H$1200,'DIVA Satislari'!AJ446,'Hakedis Fatura Detay'!$F$3:$F$1200,"Bundle"))</f>
        <v/>
      </c>
      <c r="R446" s="28">
        <f>IF(A446="","",I446-Q446)</f>
        <v/>
      </c>
      <c r="S446" s="26">
        <f>IF(A446="","",IF(LEFT(P446,7)="Bekleni","N/A - Henüz Ödenmemeli",IF(LEFT(P446,4)="RİSK","İNCELEME GEREKLİ - Süre Aşımı",IF(R446=0,"Doğru",IF(R446&gt;0,"EKSİK ÖDENMİŞ","FAZLA ÖDENMİŞ")))))</f>
        <v/>
      </c>
      <c r="T446" s="30">
        <f>IF(A446="","",IF(F446&lt;&gt;"Evet","İNCELEME GEREKLİ - Kampanya Tanımsız",IF(G446&lt;&gt;"Evet","İNCELEME GEREKLİ - Tarih Dışı Satış",IF(LEFT(P446,4)="RİSK","İNCELEME GEREKLİ - Hakediş Süresi Aşıldı",IF(OR(S446="EKSİK ÖDENMİŞ",S446="FAZLA ÖDENMİŞ"),"İNCELEME GEREKLİ - Tutar Uyuşmazlığı",IF(LEFT(P446,7)="Bekleni","Bekleniyor","Uygun"))))))</f>
        <v/>
      </c>
    </row>
    <row r="447">
      <c r="A447" s="26">
        <f>IF('DIVA Satislari'!I447="","",'DIVA Satislari'!I447)</f>
        <v/>
      </c>
      <c r="B447" s="26">
        <f>IF('DIVA Satislari'!I447="","",'DIVA Satislari'!R447)</f>
        <v/>
      </c>
      <c r="C447" s="26">
        <f>IF('DIVA Satislari'!I447="","",'DIVA Satislari'!M447)</f>
        <v/>
      </c>
      <c r="D447" s="27">
        <f>IF('DIVA Satislari'!I447="","",'DIVA Satislari'!H447)</f>
        <v/>
      </c>
      <c r="E447" s="26">
        <f>IF('DIVA Satislari'!I447="","",'DIVA Satislari'!O447)</f>
        <v/>
      </c>
      <c r="F447" s="26">
        <f>IF('DIVA Satislari'!I447="","",'DIVA Satislari'!AK447)</f>
        <v/>
      </c>
      <c r="G447" s="26">
        <f>IF('DIVA Satislari'!I447="","",'DIVA Satislari'!AO447)</f>
        <v/>
      </c>
      <c r="H447" s="27">
        <f>IF('DIVA Satislari'!I447="","",'DIVA Satislari'!AN447)</f>
        <v/>
      </c>
      <c r="I447" s="28">
        <f>IF('DIVA Satislari'!I447="","",'DIVA Satislari'!AQ447)</f>
        <v/>
      </c>
      <c r="J447" s="26">
        <f>IF('DIVA Satislari'!I447="","",'DIVA Satislari'!AR447)</f>
        <v/>
      </c>
      <c r="K447" s="26">
        <f>IF('DIVA Satislari'!I447="","",IFERROR(INDEX('E2E Nakliye Montaj'!$AS$3:$AS$1002,MATCH('DIVA Satislari'!AJ447,'E2E Nakliye Montaj'!$AM$3:$AM$1002,0)),"Eşleşme Yok"))</f>
        <v/>
      </c>
      <c r="L447" s="26">
        <f>IF('DIVA Satislari'!I447="","",IFERROR(INDEX('E2E Nakliye Montaj'!$AT$3:$AT$1002,MATCH('DIVA Satislari'!AJ447,'E2E Nakliye Montaj'!$AM$3:$AM$1002,0)),"Hayır"))</f>
        <v/>
      </c>
      <c r="M447" s="26">
        <f>IF('DIVA Satislari'!I447="","",IFERROR(INDEX('E2E Nakliye Montaj'!$AU$3:$AU$1002,MATCH('DIVA Satislari'!AJ447,'E2E Nakliye Montaj'!$AM$3:$AM$1002,0)),"Hayır"))</f>
        <v/>
      </c>
      <c r="N447" s="27">
        <f>IF('DIVA Satislari'!I447="","",IFERROR(INDEX('E2E Nakliye Montaj'!$AV$3:$AV$1002,MATCH('DIVA Satislari'!AJ447,'E2E Nakliye Montaj'!$AM$3:$AM$1002,0)),""))</f>
        <v/>
      </c>
      <c r="O447" s="26">
        <f>IF(OR(A447="",N447=""),"",IF(N447&lt;=H447,"Evet","HAYIR - RİSK"))</f>
        <v/>
      </c>
      <c r="P447" s="26">
        <f>IF(A447="","",IF(LEFT(J447,8)="Kural A ","Uygun - Hemen Ödenir (Yıl Sonu %75 Kontrolüne Tabi)",IF(OR(L447="Evet",M447="Evet"),IF(O447="Evet","Uygun","RİSK - Hakediş Süresi Aşıldı"),"Bekleniyor - Nakliye/Montaj Tamamlanmadı")))</f>
        <v/>
      </c>
      <c r="Q447" s="28">
        <f>IF(A447="","",SUMIFS('Hakedis Fatura Detay'!$G$3:$G$1200,'Hakedis Fatura Detay'!$H$3:$H$1200,'DIVA Satislari'!AJ447,'Hakedis Fatura Detay'!$F$3:$F$1200,"Fiyat Farkı")+SUMIFS('Hakedis Fatura Detay'!$G$3:$G$1200,'Hakedis Fatura Detay'!$H$3:$H$1200,'DIVA Satislari'!AJ447,'Hakedis Fatura Detay'!$F$3:$F$1200,"Bundle"))</f>
        <v/>
      </c>
      <c r="R447" s="28">
        <f>IF(A447="","",I447-Q447)</f>
        <v/>
      </c>
      <c r="S447" s="26">
        <f>IF(A447="","",IF(LEFT(P447,7)="Bekleni","N/A - Henüz Ödenmemeli",IF(LEFT(P447,4)="RİSK","İNCELEME GEREKLİ - Süre Aşımı",IF(R447=0,"Doğru",IF(R447&gt;0,"EKSİK ÖDENMİŞ","FAZLA ÖDENMİŞ")))))</f>
        <v/>
      </c>
      <c r="T447" s="30">
        <f>IF(A447="","",IF(F447&lt;&gt;"Evet","İNCELEME GEREKLİ - Kampanya Tanımsız",IF(G447&lt;&gt;"Evet","İNCELEME GEREKLİ - Tarih Dışı Satış",IF(LEFT(P447,4)="RİSK","İNCELEME GEREKLİ - Hakediş Süresi Aşıldı",IF(OR(S447="EKSİK ÖDENMİŞ",S447="FAZLA ÖDENMİŞ"),"İNCELEME GEREKLİ - Tutar Uyuşmazlığı",IF(LEFT(P447,7)="Bekleni","Bekleniyor","Uygun"))))))</f>
        <v/>
      </c>
    </row>
    <row r="448">
      <c r="A448" s="26">
        <f>IF('DIVA Satislari'!I448="","",'DIVA Satislari'!I448)</f>
        <v/>
      </c>
      <c r="B448" s="26">
        <f>IF('DIVA Satislari'!I448="","",'DIVA Satislari'!R448)</f>
        <v/>
      </c>
      <c r="C448" s="26">
        <f>IF('DIVA Satislari'!I448="","",'DIVA Satislari'!M448)</f>
        <v/>
      </c>
      <c r="D448" s="27">
        <f>IF('DIVA Satislari'!I448="","",'DIVA Satislari'!H448)</f>
        <v/>
      </c>
      <c r="E448" s="26">
        <f>IF('DIVA Satislari'!I448="","",'DIVA Satislari'!O448)</f>
        <v/>
      </c>
      <c r="F448" s="26">
        <f>IF('DIVA Satislari'!I448="","",'DIVA Satislari'!AK448)</f>
        <v/>
      </c>
      <c r="G448" s="26">
        <f>IF('DIVA Satislari'!I448="","",'DIVA Satislari'!AO448)</f>
        <v/>
      </c>
      <c r="H448" s="27">
        <f>IF('DIVA Satislari'!I448="","",'DIVA Satislari'!AN448)</f>
        <v/>
      </c>
      <c r="I448" s="28">
        <f>IF('DIVA Satislari'!I448="","",'DIVA Satislari'!AQ448)</f>
        <v/>
      </c>
      <c r="J448" s="26">
        <f>IF('DIVA Satislari'!I448="","",'DIVA Satislari'!AR448)</f>
        <v/>
      </c>
      <c r="K448" s="26">
        <f>IF('DIVA Satislari'!I448="","",IFERROR(INDEX('E2E Nakliye Montaj'!$AS$3:$AS$1002,MATCH('DIVA Satislari'!AJ448,'E2E Nakliye Montaj'!$AM$3:$AM$1002,0)),"Eşleşme Yok"))</f>
        <v/>
      </c>
      <c r="L448" s="26">
        <f>IF('DIVA Satislari'!I448="","",IFERROR(INDEX('E2E Nakliye Montaj'!$AT$3:$AT$1002,MATCH('DIVA Satislari'!AJ448,'E2E Nakliye Montaj'!$AM$3:$AM$1002,0)),"Hayır"))</f>
        <v/>
      </c>
      <c r="M448" s="26">
        <f>IF('DIVA Satislari'!I448="","",IFERROR(INDEX('E2E Nakliye Montaj'!$AU$3:$AU$1002,MATCH('DIVA Satislari'!AJ448,'E2E Nakliye Montaj'!$AM$3:$AM$1002,0)),"Hayır"))</f>
        <v/>
      </c>
      <c r="N448" s="27">
        <f>IF('DIVA Satislari'!I448="","",IFERROR(INDEX('E2E Nakliye Montaj'!$AV$3:$AV$1002,MATCH('DIVA Satislari'!AJ448,'E2E Nakliye Montaj'!$AM$3:$AM$1002,0)),""))</f>
        <v/>
      </c>
      <c r="O448" s="26">
        <f>IF(OR(A448="",N448=""),"",IF(N448&lt;=H448,"Evet","HAYIR - RİSK"))</f>
        <v/>
      </c>
      <c r="P448" s="26">
        <f>IF(A448="","",IF(LEFT(J448,8)="Kural A ","Uygun - Hemen Ödenir (Yıl Sonu %75 Kontrolüne Tabi)",IF(OR(L448="Evet",M448="Evet"),IF(O448="Evet","Uygun","RİSK - Hakediş Süresi Aşıldı"),"Bekleniyor - Nakliye/Montaj Tamamlanmadı")))</f>
        <v/>
      </c>
      <c r="Q448" s="28">
        <f>IF(A448="","",SUMIFS('Hakedis Fatura Detay'!$G$3:$G$1200,'Hakedis Fatura Detay'!$H$3:$H$1200,'DIVA Satislari'!AJ448,'Hakedis Fatura Detay'!$F$3:$F$1200,"Fiyat Farkı")+SUMIFS('Hakedis Fatura Detay'!$G$3:$G$1200,'Hakedis Fatura Detay'!$H$3:$H$1200,'DIVA Satislari'!AJ448,'Hakedis Fatura Detay'!$F$3:$F$1200,"Bundle"))</f>
        <v/>
      </c>
      <c r="R448" s="28">
        <f>IF(A448="","",I448-Q448)</f>
        <v/>
      </c>
      <c r="S448" s="26">
        <f>IF(A448="","",IF(LEFT(P448,7)="Bekleni","N/A - Henüz Ödenmemeli",IF(LEFT(P448,4)="RİSK","İNCELEME GEREKLİ - Süre Aşımı",IF(R448=0,"Doğru",IF(R448&gt;0,"EKSİK ÖDENMİŞ","FAZLA ÖDENMİŞ")))))</f>
        <v/>
      </c>
      <c r="T448" s="30">
        <f>IF(A448="","",IF(F448&lt;&gt;"Evet","İNCELEME GEREKLİ - Kampanya Tanımsız",IF(G448&lt;&gt;"Evet","İNCELEME GEREKLİ - Tarih Dışı Satış",IF(LEFT(P448,4)="RİSK","İNCELEME GEREKLİ - Hakediş Süresi Aşıldı",IF(OR(S448="EKSİK ÖDENMİŞ",S448="FAZLA ÖDENMİŞ"),"İNCELEME GEREKLİ - Tutar Uyuşmazlığı",IF(LEFT(P448,7)="Bekleni","Bekleniyor","Uygun"))))))</f>
        <v/>
      </c>
    </row>
    <row r="449">
      <c r="A449" s="26">
        <f>IF('DIVA Satislari'!I449="","",'DIVA Satislari'!I449)</f>
        <v/>
      </c>
      <c r="B449" s="26">
        <f>IF('DIVA Satislari'!I449="","",'DIVA Satislari'!R449)</f>
        <v/>
      </c>
      <c r="C449" s="26">
        <f>IF('DIVA Satislari'!I449="","",'DIVA Satislari'!M449)</f>
        <v/>
      </c>
      <c r="D449" s="27">
        <f>IF('DIVA Satislari'!I449="","",'DIVA Satislari'!H449)</f>
        <v/>
      </c>
      <c r="E449" s="26">
        <f>IF('DIVA Satislari'!I449="","",'DIVA Satislari'!O449)</f>
        <v/>
      </c>
      <c r="F449" s="26">
        <f>IF('DIVA Satislari'!I449="","",'DIVA Satislari'!AK449)</f>
        <v/>
      </c>
      <c r="G449" s="26">
        <f>IF('DIVA Satislari'!I449="","",'DIVA Satislari'!AO449)</f>
        <v/>
      </c>
      <c r="H449" s="27">
        <f>IF('DIVA Satislari'!I449="","",'DIVA Satislari'!AN449)</f>
        <v/>
      </c>
      <c r="I449" s="28">
        <f>IF('DIVA Satislari'!I449="","",'DIVA Satislari'!AQ449)</f>
        <v/>
      </c>
      <c r="J449" s="26">
        <f>IF('DIVA Satislari'!I449="","",'DIVA Satislari'!AR449)</f>
        <v/>
      </c>
      <c r="K449" s="26">
        <f>IF('DIVA Satislari'!I449="","",IFERROR(INDEX('E2E Nakliye Montaj'!$AS$3:$AS$1002,MATCH('DIVA Satislari'!AJ449,'E2E Nakliye Montaj'!$AM$3:$AM$1002,0)),"Eşleşme Yok"))</f>
        <v/>
      </c>
      <c r="L449" s="26">
        <f>IF('DIVA Satislari'!I449="","",IFERROR(INDEX('E2E Nakliye Montaj'!$AT$3:$AT$1002,MATCH('DIVA Satislari'!AJ449,'E2E Nakliye Montaj'!$AM$3:$AM$1002,0)),"Hayır"))</f>
        <v/>
      </c>
      <c r="M449" s="26">
        <f>IF('DIVA Satislari'!I449="","",IFERROR(INDEX('E2E Nakliye Montaj'!$AU$3:$AU$1002,MATCH('DIVA Satislari'!AJ449,'E2E Nakliye Montaj'!$AM$3:$AM$1002,0)),"Hayır"))</f>
        <v/>
      </c>
      <c r="N449" s="27">
        <f>IF('DIVA Satislari'!I449="","",IFERROR(INDEX('E2E Nakliye Montaj'!$AV$3:$AV$1002,MATCH('DIVA Satislari'!AJ449,'E2E Nakliye Montaj'!$AM$3:$AM$1002,0)),""))</f>
        <v/>
      </c>
      <c r="O449" s="26">
        <f>IF(OR(A449="",N449=""),"",IF(N449&lt;=H449,"Evet","HAYIR - RİSK"))</f>
        <v/>
      </c>
      <c r="P449" s="26">
        <f>IF(A449="","",IF(LEFT(J449,8)="Kural A ","Uygun - Hemen Ödenir (Yıl Sonu %75 Kontrolüne Tabi)",IF(OR(L449="Evet",M449="Evet"),IF(O449="Evet","Uygun","RİSK - Hakediş Süresi Aşıldı"),"Bekleniyor - Nakliye/Montaj Tamamlanmadı")))</f>
        <v/>
      </c>
      <c r="Q449" s="28">
        <f>IF(A449="","",SUMIFS('Hakedis Fatura Detay'!$G$3:$G$1200,'Hakedis Fatura Detay'!$H$3:$H$1200,'DIVA Satislari'!AJ449,'Hakedis Fatura Detay'!$F$3:$F$1200,"Fiyat Farkı")+SUMIFS('Hakedis Fatura Detay'!$G$3:$G$1200,'Hakedis Fatura Detay'!$H$3:$H$1200,'DIVA Satislari'!AJ449,'Hakedis Fatura Detay'!$F$3:$F$1200,"Bundle"))</f>
        <v/>
      </c>
      <c r="R449" s="28">
        <f>IF(A449="","",I449-Q449)</f>
        <v/>
      </c>
      <c r="S449" s="26">
        <f>IF(A449="","",IF(LEFT(P449,7)="Bekleni","N/A - Henüz Ödenmemeli",IF(LEFT(P449,4)="RİSK","İNCELEME GEREKLİ - Süre Aşımı",IF(R449=0,"Doğru",IF(R449&gt;0,"EKSİK ÖDENMİŞ","FAZLA ÖDENMİŞ")))))</f>
        <v/>
      </c>
      <c r="T449" s="30">
        <f>IF(A449="","",IF(F449&lt;&gt;"Evet","İNCELEME GEREKLİ - Kampanya Tanımsız",IF(G449&lt;&gt;"Evet","İNCELEME GEREKLİ - Tarih Dışı Satış",IF(LEFT(P449,4)="RİSK","İNCELEME GEREKLİ - Hakediş Süresi Aşıldı",IF(OR(S449="EKSİK ÖDENMİŞ",S449="FAZLA ÖDENMİŞ"),"İNCELEME GEREKLİ - Tutar Uyuşmazlığı",IF(LEFT(P449,7)="Bekleni","Bekleniyor","Uygun"))))))</f>
        <v/>
      </c>
    </row>
    <row r="450">
      <c r="A450" s="26">
        <f>IF('DIVA Satislari'!I450="","",'DIVA Satislari'!I450)</f>
        <v/>
      </c>
      <c r="B450" s="26">
        <f>IF('DIVA Satislari'!I450="","",'DIVA Satislari'!R450)</f>
        <v/>
      </c>
      <c r="C450" s="26">
        <f>IF('DIVA Satislari'!I450="","",'DIVA Satislari'!M450)</f>
        <v/>
      </c>
      <c r="D450" s="27">
        <f>IF('DIVA Satislari'!I450="","",'DIVA Satislari'!H450)</f>
        <v/>
      </c>
      <c r="E450" s="26">
        <f>IF('DIVA Satislari'!I450="","",'DIVA Satislari'!O450)</f>
        <v/>
      </c>
      <c r="F450" s="26">
        <f>IF('DIVA Satislari'!I450="","",'DIVA Satislari'!AK450)</f>
        <v/>
      </c>
      <c r="G450" s="26">
        <f>IF('DIVA Satislari'!I450="","",'DIVA Satislari'!AO450)</f>
        <v/>
      </c>
      <c r="H450" s="27">
        <f>IF('DIVA Satislari'!I450="","",'DIVA Satislari'!AN450)</f>
        <v/>
      </c>
      <c r="I450" s="28">
        <f>IF('DIVA Satislari'!I450="","",'DIVA Satislari'!AQ450)</f>
        <v/>
      </c>
      <c r="J450" s="26">
        <f>IF('DIVA Satislari'!I450="","",'DIVA Satislari'!AR450)</f>
        <v/>
      </c>
      <c r="K450" s="26">
        <f>IF('DIVA Satislari'!I450="","",IFERROR(INDEX('E2E Nakliye Montaj'!$AS$3:$AS$1002,MATCH('DIVA Satislari'!AJ450,'E2E Nakliye Montaj'!$AM$3:$AM$1002,0)),"Eşleşme Yok"))</f>
        <v/>
      </c>
      <c r="L450" s="26">
        <f>IF('DIVA Satislari'!I450="","",IFERROR(INDEX('E2E Nakliye Montaj'!$AT$3:$AT$1002,MATCH('DIVA Satislari'!AJ450,'E2E Nakliye Montaj'!$AM$3:$AM$1002,0)),"Hayır"))</f>
        <v/>
      </c>
      <c r="M450" s="26">
        <f>IF('DIVA Satislari'!I450="","",IFERROR(INDEX('E2E Nakliye Montaj'!$AU$3:$AU$1002,MATCH('DIVA Satislari'!AJ450,'E2E Nakliye Montaj'!$AM$3:$AM$1002,0)),"Hayır"))</f>
        <v/>
      </c>
      <c r="N450" s="27">
        <f>IF('DIVA Satislari'!I450="","",IFERROR(INDEX('E2E Nakliye Montaj'!$AV$3:$AV$1002,MATCH('DIVA Satislari'!AJ450,'E2E Nakliye Montaj'!$AM$3:$AM$1002,0)),""))</f>
        <v/>
      </c>
      <c r="O450" s="26">
        <f>IF(OR(A450="",N450=""),"",IF(N450&lt;=H450,"Evet","HAYIR - RİSK"))</f>
        <v/>
      </c>
      <c r="P450" s="26">
        <f>IF(A450="","",IF(LEFT(J450,8)="Kural A ","Uygun - Hemen Ödenir (Yıl Sonu %75 Kontrolüne Tabi)",IF(OR(L450="Evet",M450="Evet"),IF(O450="Evet","Uygun","RİSK - Hakediş Süresi Aşıldı"),"Bekleniyor - Nakliye/Montaj Tamamlanmadı")))</f>
        <v/>
      </c>
      <c r="Q450" s="28">
        <f>IF(A450="","",SUMIFS('Hakedis Fatura Detay'!$G$3:$G$1200,'Hakedis Fatura Detay'!$H$3:$H$1200,'DIVA Satislari'!AJ450,'Hakedis Fatura Detay'!$F$3:$F$1200,"Fiyat Farkı")+SUMIFS('Hakedis Fatura Detay'!$G$3:$G$1200,'Hakedis Fatura Detay'!$H$3:$H$1200,'DIVA Satislari'!AJ450,'Hakedis Fatura Detay'!$F$3:$F$1200,"Bundle"))</f>
        <v/>
      </c>
      <c r="R450" s="28">
        <f>IF(A450="","",I450-Q450)</f>
        <v/>
      </c>
      <c r="S450" s="26">
        <f>IF(A450="","",IF(LEFT(P450,7)="Bekleni","N/A - Henüz Ödenmemeli",IF(LEFT(P450,4)="RİSK","İNCELEME GEREKLİ - Süre Aşımı",IF(R450=0,"Doğru",IF(R450&gt;0,"EKSİK ÖDENMİŞ","FAZLA ÖDENMİŞ")))))</f>
        <v/>
      </c>
      <c r="T450" s="30">
        <f>IF(A450="","",IF(F450&lt;&gt;"Evet","İNCELEME GEREKLİ - Kampanya Tanımsız",IF(G450&lt;&gt;"Evet","İNCELEME GEREKLİ - Tarih Dışı Satış",IF(LEFT(P450,4)="RİSK","İNCELEME GEREKLİ - Hakediş Süresi Aşıldı",IF(OR(S450="EKSİK ÖDENMİŞ",S450="FAZLA ÖDENMİŞ"),"İNCELEME GEREKLİ - Tutar Uyuşmazlığı",IF(LEFT(P450,7)="Bekleni","Bekleniyor","Uygun"))))))</f>
        <v/>
      </c>
    </row>
    <row r="451">
      <c r="A451" s="26">
        <f>IF('DIVA Satislari'!I451="","",'DIVA Satislari'!I451)</f>
        <v/>
      </c>
      <c r="B451" s="26">
        <f>IF('DIVA Satislari'!I451="","",'DIVA Satislari'!R451)</f>
        <v/>
      </c>
      <c r="C451" s="26">
        <f>IF('DIVA Satislari'!I451="","",'DIVA Satislari'!M451)</f>
        <v/>
      </c>
      <c r="D451" s="27">
        <f>IF('DIVA Satislari'!I451="","",'DIVA Satislari'!H451)</f>
        <v/>
      </c>
      <c r="E451" s="26">
        <f>IF('DIVA Satislari'!I451="","",'DIVA Satislari'!O451)</f>
        <v/>
      </c>
      <c r="F451" s="26">
        <f>IF('DIVA Satislari'!I451="","",'DIVA Satislari'!AK451)</f>
        <v/>
      </c>
      <c r="G451" s="26">
        <f>IF('DIVA Satislari'!I451="","",'DIVA Satislari'!AO451)</f>
        <v/>
      </c>
      <c r="H451" s="27">
        <f>IF('DIVA Satislari'!I451="","",'DIVA Satislari'!AN451)</f>
        <v/>
      </c>
      <c r="I451" s="28">
        <f>IF('DIVA Satislari'!I451="","",'DIVA Satislari'!AQ451)</f>
        <v/>
      </c>
      <c r="J451" s="26">
        <f>IF('DIVA Satislari'!I451="","",'DIVA Satislari'!AR451)</f>
        <v/>
      </c>
      <c r="K451" s="26">
        <f>IF('DIVA Satislari'!I451="","",IFERROR(INDEX('E2E Nakliye Montaj'!$AS$3:$AS$1002,MATCH('DIVA Satislari'!AJ451,'E2E Nakliye Montaj'!$AM$3:$AM$1002,0)),"Eşleşme Yok"))</f>
        <v/>
      </c>
      <c r="L451" s="26">
        <f>IF('DIVA Satislari'!I451="","",IFERROR(INDEX('E2E Nakliye Montaj'!$AT$3:$AT$1002,MATCH('DIVA Satislari'!AJ451,'E2E Nakliye Montaj'!$AM$3:$AM$1002,0)),"Hayır"))</f>
        <v/>
      </c>
      <c r="M451" s="26">
        <f>IF('DIVA Satislari'!I451="","",IFERROR(INDEX('E2E Nakliye Montaj'!$AU$3:$AU$1002,MATCH('DIVA Satislari'!AJ451,'E2E Nakliye Montaj'!$AM$3:$AM$1002,0)),"Hayır"))</f>
        <v/>
      </c>
      <c r="N451" s="27">
        <f>IF('DIVA Satislari'!I451="","",IFERROR(INDEX('E2E Nakliye Montaj'!$AV$3:$AV$1002,MATCH('DIVA Satislari'!AJ451,'E2E Nakliye Montaj'!$AM$3:$AM$1002,0)),""))</f>
        <v/>
      </c>
      <c r="O451" s="26">
        <f>IF(OR(A451="",N451=""),"",IF(N451&lt;=H451,"Evet","HAYIR - RİSK"))</f>
        <v/>
      </c>
      <c r="P451" s="26">
        <f>IF(A451="","",IF(LEFT(J451,8)="Kural A ","Uygun - Hemen Ödenir (Yıl Sonu %75 Kontrolüne Tabi)",IF(OR(L451="Evet",M451="Evet"),IF(O451="Evet","Uygun","RİSK - Hakediş Süresi Aşıldı"),"Bekleniyor - Nakliye/Montaj Tamamlanmadı")))</f>
        <v/>
      </c>
      <c r="Q451" s="28">
        <f>IF(A451="","",SUMIFS('Hakedis Fatura Detay'!$G$3:$G$1200,'Hakedis Fatura Detay'!$H$3:$H$1200,'DIVA Satislari'!AJ451,'Hakedis Fatura Detay'!$F$3:$F$1200,"Fiyat Farkı")+SUMIFS('Hakedis Fatura Detay'!$G$3:$G$1200,'Hakedis Fatura Detay'!$H$3:$H$1200,'DIVA Satislari'!AJ451,'Hakedis Fatura Detay'!$F$3:$F$1200,"Bundle"))</f>
        <v/>
      </c>
      <c r="R451" s="28">
        <f>IF(A451="","",I451-Q451)</f>
        <v/>
      </c>
      <c r="S451" s="26">
        <f>IF(A451="","",IF(LEFT(P451,7)="Bekleni","N/A - Henüz Ödenmemeli",IF(LEFT(P451,4)="RİSK","İNCELEME GEREKLİ - Süre Aşımı",IF(R451=0,"Doğru",IF(R451&gt;0,"EKSİK ÖDENMİŞ","FAZLA ÖDENMİŞ")))))</f>
        <v/>
      </c>
      <c r="T451" s="30">
        <f>IF(A451="","",IF(F451&lt;&gt;"Evet","İNCELEME GEREKLİ - Kampanya Tanımsız",IF(G451&lt;&gt;"Evet","İNCELEME GEREKLİ - Tarih Dışı Satış",IF(LEFT(P451,4)="RİSK","İNCELEME GEREKLİ - Hakediş Süresi Aşıldı",IF(OR(S451="EKSİK ÖDENMİŞ",S451="FAZLA ÖDENMİŞ"),"İNCELEME GEREKLİ - Tutar Uyuşmazlığı",IF(LEFT(P451,7)="Bekleni","Bekleniyor","Uygun"))))))</f>
        <v/>
      </c>
    </row>
    <row r="452">
      <c r="A452" s="26">
        <f>IF('DIVA Satislari'!I452="","",'DIVA Satislari'!I452)</f>
        <v/>
      </c>
      <c r="B452" s="26">
        <f>IF('DIVA Satislari'!I452="","",'DIVA Satislari'!R452)</f>
        <v/>
      </c>
      <c r="C452" s="26">
        <f>IF('DIVA Satislari'!I452="","",'DIVA Satislari'!M452)</f>
        <v/>
      </c>
      <c r="D452" s="27">
        <f>IF('DIVA Satislari'!I452="","",'DIVA Satislari'!H452)</f>
        <v/>
      </c>
      <c r="E452" s="26">
        <f>IF('DIVA Satislari'!I452="","",'DIVA Satislari'!O452)</f>
        <v/>
      </c>
      <c r="F452" s="26">
        <f>IF('DIVA Satislari'!I452="","",'DIVA Satislari'!AK452)</f>
        <v/>
      </c>
      <c r="G452" s="26">
        <f>IF('DIVA Satislari'!I452="","",'DIVA Satislari'!AO452)</f>
        <v/>
      </c>
      <c r="H452" s="27">
        <f>IF('DIVA Satislari'!I452="","",'DIVA Satislari'!AN452)</f>
        <v/>
      </c>
      <c r="I452" s="28">
        <f>IF('DIVA Satislari'!I452="","",'DIVA Satislari'!AQ452)</f>
        <v/>
      </c>
      <c r="J452" s="26">
        <f>IF('DIVA Satislari'!I452="","",'DIVA Satislari'!AR452)</f>
        <v/>
      </c>
      <c r="K452" s="26">
        <f>IF('DIVA Satislari'!I452="","",IFERROR(INDEX('E2E Nakliye Montaj'!$AS$3:$AS$1002,MATCH('DIVA Satislari'!AJ452,'E2E Nakliye Montaj'!$AM$3:$AM$1002,0)),"Eşleşme Yok"))</f>
        <v/>
      </c>
      <c r="L452" s="26">
        <f>IF('DIVA Satislari'!I452="","",IFERROR(INDEX('E2E Nakliye Montaj'!$AT$3:$AT$1002,MATCH('DIVA Satislari'!AJ452,'E2E Nakliye Montaj'!$AM$3:$AM$1002,0)),"Hayır"))</f>
        <v/>
      </c>
      <c r="M452" s="26">
        <f>IF('DIVA Satislari'!I452="","",IFERROR(INDEX('E2E Nakliye Montaj'!$AU$3:$AU$1002,MATCH('DIVA Satislari'!AJ452,'E2E Nakliye Montaj'!$AM$3:$AM$1002,0)),"Hayır"))</f>
        <v/>
      </c>
      <c r="N452" s="27">
        <f>IF('DIVA Satislari'!I452="","",IFERROR(INDEX('E2E Nakliye Montaj'!$AV$3:$AV$1002,MATCH('DIVA Satislari'!AJ452,'E2E Nakliye Montaj'!$AM$3:$AM$1002,0)),""))</f>
        <v/>
      </c>
      <c r="O452" s="26">
        <f>IF(OR(A452="",N452=""),"",IF(N452&lt;=H452,"Evet","HAYIR - RİSK"))</f>
        <v/>
      </c>
      <c r="P452" s="26">
        <f>IF(A452="","",IF(LEFT(J452,8)="Kural A ","Uygun - Hemen Ödenir (Yıl Sonu %75 Kontrolüne Tabi)",IF(OR(L452="Evet",M452="Evet"),IF(O452="Evet","Uygun","RİSK - Hakediş Süresi Aşıldı"),"Bekleniyor - Nakliye/Montaj Tamamlanmadı")))</f>
        <v/>
      </c>
      <c r="Q452" s="28">
        <f>IF(A452="","",SUMIFS('Hakedis Fatura Detay'!$G$3:$G$1200,'Hakedis Fatura Detay'!$H$3:$H$1200,'DIVA Satislari'!AJ452,'Hakedis Fatura Detay'!$F$3:$F$1200,"Fiyat Farkı")+SUMIFS('Hakedis Fatura Detay'!$G$3:$G$1200,'Hakedis Fatura Detay'!$H$3:$H$1200,'DIVA Satislari'!AJ452,'Hakedis Fatura Detay'!$F$3:$F$1200,"Bundle"))</f>
        <v/>
      </c>
      <c r="R452" s="28">
        <f>IF(A452="","",I452-Q452)</f>
        <v/>
      </c>
      <c r="S452" s="26">
        <f>IF(A452="","",IF(LEFT(P452,7)="Bekleni","N/A - Henüz Ödenmemeli",IF(LEFT(P452,4)="RİSK","İNCELEME GEREKLİ - Süre Aşımı",IF(R452=0,"Doğru",IF(R452&gt;0,"EKSİK ÖDENMİŞ","FAZLA ÖDENMİŞ")))))</f>
        <v/>
      </c>
      <c r="T452" s="30">
        <f>IF(A452="","",IF(F452&lt;&gt;"Evet","İNCELEME GEREKLİ - Kampanya Tanımsız",IF(G452&lt;&gt;"Evet","İNCELEME GEREKLİ - Tarih Dışı Satış",IF(LEFT(P452,4)="RİSK","İNCELEME GEREKLİ - Hakediş Süresi Aşıldı",IF(OR(S452="EKSİK ÖDENMİŞ",S452="FAZLA ÖDENMİŞ"),"İNCELEME GEREKLİ - Tutar Uyuşmazlığı",IF(LEFT(P452,7)="Bekleni","Bekleniyor","Uygun"))))))</f>
        <v/>
      </c>
    </row>
    <row r="453">
      <c r="A453" s="26">
        <f>IF('DIVA Satislari'!I453="","",'DIVA Satislari'!I453)</f>
        <v/>
      </c>
      <c r="B453" s="26">
        <f>IF('DIVA Satislari'!I453="","",'DIVA Satislari'!R453)</f>
        <v/>
      </c>
      <c r="C453" s="26">
        <f>IF('DIVA Satislari'!I453="","",'DIVA Satislari'!M453)</f>
        <v/>
      </c>
      <c r="D453" s="27">
        <f>IF('DIVA Satislari'!I453="","",'DIVA Satislari'!H453)</f>
        <v/>
      </c>
      <c r="E453" s="26">
        <f>IF('DIVA Satislari'!I453="","",'DIVA Satislari'!O453)</f>
        <v/>
      </c>
      <c r="F453" s="26">
        <f>IF('DIVA Satislari'!I453="","",'DIVA Satislari'!AK453)</f>
        <v/>
      </c>
      <c r="G453" s="26">
        <f>IF('DIVA Satislari'!I453="","",'DIVA Satislari'!AO453)</f>
        <v/>
      </c>
      <c r="H453" s="27">
        <f>IF('DIVA Satislari'!I453="","",'DIVA Satislari'!AN453)</f>
        <v/>
      </c>
      <c r="I453" s="28">
        <f>IF('DIVA Satislari'!I453="","",'DIVA Satislari'!AQ453)</f>
        <v/>
      </c>
      <c r="J453" s="26">
        <f>IF('DIVA Satislari'!I453="","",'DIVA Satislari'!AR453)</f>
        <v/>
      </c>
      <c r="K453" s="26">
        <f>IF('DIVA Satislari'!I453="","",IFERROR(INDEX('E2E Nakliye Montaj'!$AS$3:$AS$1002,MATCH('DIVA Satislari'!AJ453,'E2E Nakliye Montaj'!$AM$3:$AM$1002,0)),"Eşleşme Yok"))</f>
        <v/>
      </c>
      <c r="L453" s="26">
        <f>IF('DIVA Satislari'!I453="","",IFERROR(INDEX('E2E Nakliye Montaj'!$AT$3:$AT$1002,MATCH('DIVA Satislari'!AJ453,'E2E Nakliye Montaj'!$AM$3:$AM$1002,0)),"Hayır"))</f>
        <v/>
      </c>
      <c r="M453" s="26">
        <f>IF('DIVA Satislari'!I453="","",IFERROR(INDEX('E2E Nakliye Montaj'!$AU$3:$AU$1002,MATCH('DIVA Satislari'!AJ453,'E2E Nakliye Montaj'!$AM$3:$AM$1002,0)),"Hayır"))</f>
        <v/>
      </c>
      <c r="N453" s="27">
        <f>IF('DIVA Satislari'!I453="","",IFERROR(INDEX('E2E Nakliye Montaj'!$AV$3:$AV$1002,MATCH('DIVA Satislari'!AJ453,'E2E Nakliye Montaj'!$AM$3:$AM$1002,0)),""))</f>
        <v/>
      </c>
      <c r="O453" s="26">
        <f>IF(OR(A453="",N453=""),"",IF(N453&lt;=H453,"Evet","HAYIR - RİSK"))</f>
        <v/>
      </c>
      <c r="P453" s="26">
        <f>IF(A453="","",IF(LEFT(J453,8)="Kural A ","Uygun - Hemen Ödenir (Yıl Sonu %75 Kontrolüne Tabi)",IF(OR(L453="Evet",M453="Evet"),IF(O453="Evet","Uygun","RİSK - Hakediş Süresi Aşıldı"),"Bekleniyor - Nakliye/Montaj Tamamlanmadı")))</f>
        <v/>
      </c>
      <c r="Q453" s="28">
        <f>IF(A453="","",SUMIFS('Hakedis Fatura Detay'!$G$3:$G$1200,'Hakedis Fatura Detay'!$H$3:$H$1200,'DIVA Satislari'!AJ453,'Hakedis Fatura Detay'!$F$3:$F$1200,"Fiyat Farkı")+SUMIFS('Hakedis Fatura Detay'!$G$3:$G$1200,'Hakedis Fatura Detay'!$H$3:$H$1200,'DIVA Satislari'!AJ453,'Hakedis Fatura Detay'!$F$3:$F$1200,"Bundle"))</f>
        <v/>
      </c>
      <c r="R453" s="28">
        <f>IF(A453="","",I453-Q453)</f>
        <v/>
      </c>
      <c r="S453" s="26">
        <f>IF(A453="","",IF(LEFT(P453,7)="Bekleni","N/A - Henüz Ödenmemeli",IF(LEFT(P453,4)="RİSK","İNCELEME GEREKLİ - Süre Aşımı",IF(R453=0,"Doğru",IF(R453&gt;0,"EKSİK ÖDENMİŞ","FAZLA ÖDENMİŞ")))))</f>
        <v/>
      </c>
      <c r="T453" s="30">
        <f>IF(A453="","",IF(F453&lt;&gt;"Evet","İNCELEME GEREKLİ - Kampanya Tanımsız",IF(G453&lt;&gt;"Evet","İNCELEME GEREKLİ - Tarih Dışı Satış",IF(LEFT(P453,4)="RİSK","İNCELEME GEREKLİ - Hakediş Süresi Aşıldı",IF(OR(S453="EKSİK ÖDENMİŞ",S453="FAZLA ÖDENMİŞ"),"İNCELEME GEREKLİ - Tutar Uyuşmazlığı",IF(LEFT(P453,7)="Bekleni","Bekleniyor","Uygun"))))))</f>
        <v/>
      </c>
    </row>
    <row r="454">
      <c r="A454" s="26">
        <f>IF('DIVA Satislari'!I454="","",'DIVA Satislari'!I454)</f>
        <v/>
      </c>
      <c r="B454" s="26">
        <f>IF('DIVA Satislari'!I454="","",'DIVA Satislari'!R454)</f>
        <v/>
      </c>
      <c r="C454" s="26">
        <f>IF('DIVA Satislari'!I454="","",'DIVA Satislari'!M454)</f>
        <v/>
      </c>
      <c r="D454" s="27">
        <f>IF('DIVA Satislari'!I454="","",'DIVA Satislari'!H454)</f>
        <v/>
      </c>
      <c r="E454" s="26">
        <f>IF('DIVA Satislari'!I454="","",'DIVA Satislari'!O454)</f>
        <v/>
      </c>
      <c r="F454" s="26">
        <f>IF('DIVA Satislari'!I454="","",'DIVA Satislari'!AK454)</f>
        <v/>
      </c>
      <c r="G454" s="26">
        <f>IF('DIVA Satislari'!I454="","",'DIVA Satislari'!AO454)</f>
        <v/>
      </c>
      <c r="H454" s="27">
        <f>IF('DIVA Satislari'!I454="","",'DIVA Satislari'!AN454)</f>
        <v/>
      </c>
      <c r="I454" s="28">
        <f>IF('DIVA Satislari'!I454="","",'DIVA Satislari'!AQ454)</f>
        <v/>
      </c>
      <c r="J454" s="26">
        <f>IF('DIVA Satislari'!I454="","",'DIVA Satislari'!AR454)</f>
        <v/>
      </c>
      <c r="K454" s="26">
        <f>IF('DIVA Satislari'!I454="","",IFERROR(INDEX('E2E Nakliye Montaj'!$AS$3:$AS$1002,MATCH('DIVA Satislari'!AJ454,'E2E Nakliye Montaj'!$AM$3:$AM$1002,0)),"Eşleşme Yok"))</f>
        <v/>
      </c>
      <c r="L454" s="26">
        <f>IF('DIVA Satislari'!I454="","",IFERROR(INDEX('E2E Nakliye Montaj'!$AT$3:$AT$1002,MATCH('DIVA Satislari'!AJ454,'E2E Nakliye Montaj'!$AM$3:$AM$1002,0)),"Hayır"))</f>
        <v/>
      </c>
      <c r="M454" s="26">
        <f>IF('DIVA Satislari'!I454="","",IFERROR(INDEX('E2E Nakliye Montaj'!$AU$3:$AU$1002,MATCH('DIVA Satislari'!AJ454,'E2E Nakliye Montaj'!$AM$3:$AM$1002,0)),"Hayır"))</f>
        <v/>
      </c>
      <c r="N454" s="27">
        <f>IF('DIVA Satislari'!I454="","",IFERROR(INDEX('E2E Nakliye Montaj'!$AV$3:$AV$1002,MATCH('DIVA Satislari'!AJ454,'E2E Nakliye Montaj'!$AM$3:$AM$1002,0)),""))</f>
        <v/>
      </c>
      <c r="O454" s="26">
        <f>IF(OR(A454="",N454=""),"",IF(N454&lt;=H454,"Evet","HAYIR - RİSK"))</f>
        <v/>
      </c>
      <c r="P454" s="26">
        <f>IF(A454="","",IF(LEFT(J454,8)="Kural A ","Uygun - Hemen Ödenir (Yıl Sonu %75 Kontrolüne Tabi)",IF(OR(L454="Evet",M454="Evet"),IF(O454="Evet","Uygun","RİSK - Hakediş Süresi Aşıldı"),"Bekleniyor - Nakliye/Montaj Tamamlanmadı")))</f>
        <v/>
      </c>
      <c r="Q454" s="28">
        <f>IF(A454="","",SUMIFS('Hakedis Fatura Detay'!$G$3:$G$1200,'Hakedis Fatura Detay'!$H$3:$H$1200,'DIVA Satislari'!AJ454,'Hakedis Fatura Detay'!$F$3:$F$1200,"Fiyat Farkı")+SUMIFS('Hakedis Fatura Detay'!$G$3:$G$1200,'Hakedis Fatura Detay'!$H$3:$H$1200,'DIVA Satislari'!AJ454,'Hakedis Fatura Detay'!$F$3:$F$1200,"Bundle"))</f>
        <v/>
      </c>
      <c r="R454" s="28">
        <f>IF(A454="","",I454-Q454)</f>
        <v/>
      </c>
      <c r="S454" s="26">
        <f>IF(A454="","",IF(LEFT(P454,7)="Bekleni","N/A - Henüz Ödenmemeli",IF(LEFT(P454,4)="RİSK","İNCELEME GEREKLİ - Süre Aşımı",IF(R454=0,"Doğru",IF(R454&gt;0,"EKSİK ÖDENMİŞ","FAZLA ÖDENMİŞ")))))</f>
        <v/>
      </c>
      <c r="T454" s="30">
        <f>IF(A454="","",IF(F454&lt;&gt;"Evet","İNCELEME GEREKLİ - Kampanya Tanımsız",IF(G454&lt;&gt;"Evet","İNCELEME GEREKLİ - Tarih Dışı Satış",IF(LEFT(P454,4)="RİSK","İNCELEME GEREKLİ - Hakediş Süresi Aşıldı",IF(OR(S454="EKSİK ÖDENMİŞ",S454="FAZLA ÖDENMİŞ"),"İNCELEME GEREKLİ - Tutar Uyuşmazlığı",IF(LEFT(P454,7)="Bekleni","Bekleniyor","Uygun"))))))</f>
        <v/>
      </c>
    </row>
    <row r="455">
      <c r="A455" s="26">
        <f>IF('DIVA Satislari'!I455="","",'DIVA Satislari'!I455)</f>
        <v/>
      </c>
      <c r="B455" s="26">
        <f>IF('DIVA Satislari'!I455="","",'DIVA Satislari'!R455)</f>
        <v/>
      </c>
      <c r="C455" s="26">
        <f>IF('DIVA Satislari'!I455="","",'DIVA Satislari'!M455)</f>
        <v/>
      </c>
      <c r="D455" s="27">
        <f>IF('DIVA Satislari'!I455="","",'DIVA Satislari'!H455)</f>
        <v/>
      </c>
      <c r="E455" s="26">
        <f>IF('DIVA Satislari'!I455="","",'DIVA Satislari'!O455)</f>
        <v/>
      </c>
      <c r="F455" s="26">
        <f>IF('DIVA Satislari'!I455="","",'DIVA Satislari'!AK455)</f>
        <v/>
      </c>
      <c r="G455" s="26">
        <f>IF('DIVA Satislari'!I455="","",'DIVA Satislari'!AO455)</f>
        <v/>
      </c>
      <c r="H455" s="27">
        <f>IF('DIVA Satislari'!I455="","",'DIVA Satislari'!AN455)</f>
        <v/>
      </c>
      <c r="I455" s="28">
        <f>IF('DIVA Satislari'!I455="","",'DIVA Satislari'!AQ455)</f>
        <v/>
      </c>
      <c r="J455" s="26">
        <f>IF('DIVA Satislari'!I455="","",'DIVA Satislari'!AR455)</f>
        <v/>
      </c>
      <c r="K455" s="26">
        <f>IF('DIVA Satislari'!I455="","",IFERROR(INDEX('E2E Nakliye Montaj'!$AS$3:$AS$1002,MATCH('DIVA Satislari'!AJ455,'E2E Nakliye Montaj'!$AM$3:$AM$1002,0)),"Eşleşme Yok"))</f>
        <v/>
      </c>
      <c r="L455" s="26">
        <f>IF('DIVA Satislari'!I455="","",IFERROR(INDEX('E2E Nakliye Montaj'!$AT$3:$AT$1002,MATCH('DIVA Satislari'!AJ455,'E2E Nakliye Montaj'!$AM$3:$AM$1002,0)),"Hayır"))</f>
        <v/>
      </c>
      <c r="M455" s="26">
        <f>IF('DIVA Satislari'!I455="","",IFERROR(INDEX('E2E Nakliye Montaj'!$AU$3:$AU$1002,MATCH('DIVA Satislari'!AJ455,'E2E Nakliye Montaj'!$AM$3:$AM$1002,0)),"Hayır"))</f>
        <v/>
      </c>
      <c r="N455" s="27">
        <f>IF('DIVA Satislari'!I455="","",IFERROR(INDEX('E2E Nakliye Montaj'!$AV$3:$AV$1002,MATCH('DIVA Satislari'!AJ455,'E2E Nakliye Montaj'!$AM$3:$AM$1002,0)),""))</f>
        <v/>
      </c>
      <c r="O455" s="26">
        <f>IF(OR(A455="",N455=""),"",IF(N455&lt;=H455,"Evet","HAYIR - RİSK"))</f>
        <v/>
      </c>
      <c r="P455" s="26">
        <f>IF(A455="","",IF(LEFT(J455,8)="Kural A ","Uygun - Hemen Ödenir (Yıl Sonu %75 Kontrolüne Tabi)",IF(OR(L455="Evet",M455="Evet"),IF(O455="Evet","Uygun","RİSK - Hakediş Süresi Aşıldı"),"Bekleniyor - Nakliye/Montaj Tamamlanmadı")))</f>
        <v/>
      </c>
      <c r="Q455" s="28">
        <f>IF(A455="","",SUMIFS('Hakedis Fatura Detay'!$G$3:$G$1200,'Hakedis Fatura Detay'!$H$3:$H$1200,'DIVA Satislari'!AJ455,'Hakedis Fatura Detay'!$F$3:$F$1200,"Fiyat Farkı")+SUMIFS('Hakedis Fatura Detay'!$G$3:$G$1200,'Hakedis Fatura Detay'!$H$3:$H$1200,'DIVA Satislari'!AJ455,'Hakedis Fatura Detay'!$F$3:$F$1200,"Bundle"))</f>
        <v/>
      </c>
      <c r="R455" s="28">
        <f>IF(A455="","",I455-Q455)</f>
        <v/>
      </c>
      <c r="S455" s="26">
        <f>IF(A455="","",IF(LEFT(P455,7)="Bekleni","N/A - Henüz Ödenmemeli",IF(LEFT(P455,4)="RİSK","İNCELEME GEREKLİ - Süre Aşımı",IF(R455=0,"Doğru",IF(R455&gt;0,"EKSİK ÖDENMİŞ","FAZLA ÖDENMİŞ")))))</f>
        <v/>
      </c>
      <c r="T455" s="30">
        <f>IF(A455="","",IF(F455&lt;&gt;"Evet","İNCELEME GEREKLİ - Kampanya Tanımsız",IF(G455&lt;&gt;"Evet","İNCELEME GEREKLİ - Tarih Dışı Satış",IF(LEFT(P455,4)="RİSK","İNCELEME GEREKLİ - Hakediş Süresi Aşıldı",IF(OR(S455="EKSİK ÖDENMİŞ",S455="FAZLA ÖDENMİŞ"),"İNCELEME GEREKLİ - Tutar Uyuşmazlığı",IF(LEFT(P455,7)="Bekleni","Bekleniyor","Uygun"))))))</f>
        <v/>
      </c>
    </row>
    <row r="456">
      <c r="A456" s="26">
        <f>IF('DIVA Satislari'!I456="","",'DIVA Satislari'!I456)</f>
        <v/>
      </c>
      <c r="B456" s="26">
        <f>IF('DIVA Satislari'!I456="","",'DIVA Satislari'!R456)</f>
        <v/>
      </c>
      <c r="C456" s="26">
        <f>IF('DIVA Satislari'!I456="","",'DIVA Satislari'!M456)</f>
        <v/>
      </c>
      <c r="D456" s="27">
        <f>IF('DIVA Satislari'!I456="","",'DIVA Satislari'!H456)</f>
        <v/>
      </c>
      <c r="E456" s="26">
        <f>IF('DIVA Satislari'!I456="","",'DIVA Satislari'!O456)</f>
        <v/>
      </c>
      <c r="F456" s="26">
        <f>IF('DIVA Satislari'!I456="","",'DIVA Satislari'!AK456)</f>
        <v/>
      </c>
      <c r="G456" s="26">
        <f>IF('DIVA Satislari'!I456="","",'DIVA Satislari'!AO456)</f>
        <v/>
      </c>
      <c r="H456" s="27">
        <f>IF('DIVA Satislari'!I456="","",'DIVA Satislari'!AN456)</f>
        <v/>
      </c>
      <c r="I456" s="28">
        <f>IF('DIVA Satislari'!I456="","",'DIVA Satislari'!AQ456)</f>
        <v/>
      </c>
      <c r="J456" s="26">
        <f>IF('DIVA Satislari'!I456="","",'DIVA Satislari'!AR456)</f>
        <v/>
      </c>
      <c r="K456" s="26">
        <f>IF('DIVA Satislari'!I456="","",IFERROR(INDEX('E2E Nakliye Montaj'!$AS$3:$AS$1002,MATCH('DIVA Satislari'!AJ456,'E2E Nakliye Montaj'!$AM$3:$AM$1002,0)),"Eşleşme Yok"))</f>
        <v/>
      </c>
      <c r="L456" s="26">
        <f>IF('DIVA Satislari'!I456="","",IFERROR(INDEX('E2E Nakliye Montaj'!$AT$3:$AT$1002,MATCH('DIVA Satislari'!AJ456,'E2E Nakliye Montaj'!$AM$3:$AM$1002,0)),"Hayır"))</f>
        <v/>
      </c>
      <c r="M456" s="26">
        <f>IF('DIVA Satislari'!I456="","",IFERROR(INDEX('E2E Nakliye Montaj'!$AU$3:$AU$1002,MATCH('DIVA Satislari'!AJ456,'E2E Nakliye Montaj'!$AM$3:$AM$1002,0)),"Hayır"))</f>
        <v/>
      </c>
      <c r="N456" s="27">
        <f>IF('DIVA Satislari'!I456="","",IFERROR(INDEX('E2E Nakliye Montaj'!$AV$3:$AV$1002,MATCH('DIVA Satislari'!AJ456,'E2E Nakliye Montaj'!$AM$3:$AM$1002,0)),""))</f>
        <v/>
      </c>
      <c r="O456" s="26">
        <f>IF(OR(A456="",N456=""),"",IF(N456&lt;=H456,"Evet","HAYIR - RİSK"))</f>
        <v/>
      </c>
      <c r="P456" s="26">
        <f>IF(A456="","",IF(LEFT(J456,8)="Kural A ","Uygun - Hemen Ödenir (Yıl Sonu %75 Kontrolüne Tabi)",IF(OR(L456="Evet",M456="Evet"),IF(O456="Evet","Uygun","RİSK - Hakediş Süresi Aşıldı"),"Bekleniyor - Nakliye/Montaj Tamamlanmadı")))</f>
        <v/>
      </c>
      <c r="Q456" s="28">
        <f>IF(A456="","",SUMIFS('Hakedis Fatura Detay'!$G$3:$G$1200,'Hakedis Fatura Detay'!$H$3:$H$1200,'DIVA Satislari'!AJ456,'Hakedis Fatura Detay'!$F$3:$F$1200,"Fiyat Farkı")+SUMIFS('Hakedis Fatura Detay'!$G$3:$G$1200,'Hakedis Fatura Detay'!$H$3:$H$1200,'DIVA Satislari'!AJ456,'Hakedis Fatura Detay'!$F$3:$F$1200,"Bundle"))</f>
        <v/>
      </c>
      <c r="R456" s="28">
        <f>IF(A456="","",I456-Q456)</f>
        <v/>
      </c>
      <c r="S456" s="26">
        <f>IF(A456="","",IF(LEFT(P456,7)="Bekleni","N/A - Henüz Ödenmemeli",IF(LEFT(P456,4)="RİSK","İNCELEME GEREKLİ - Süre Aşımı",IF(R456=0,"Doğru",IF(R456&gt;0,"EKSİK ÖDENMİŞ","FAZLA ÖDENMİŞ")))))</f>
        <v/>
      </c>
      <c r="T456" s="30">
        <f>IF(A456="","",IF(F456&lt;&gt;"Evet","İNCELEME GEREKLİ - Kampanya Tanımsız",IF(G456&lt;&gt;"Evet","İNCELEME GEREKLİ - Tarih Dışı Satış",IF(LEFT(P456,4)="RİSK","İNCELEME GEREKLİ - Hakediş Süresi Aşıldı",IF(OR(S456="EKSİK ÖDENMİŞ",S456="FAZLA ÖDENMİŞ"),"İNCELEME GEREKLİ - Tutar Uyuşmazlığı",IF(LEFT(P456,7)="Bekleni","Bekleniyor","Uygun"))))))</f>
        <v/>
      </c>
    </row>
    <row r="457">
      <c r="A457" s="26">
        <f>IF('DIVA Satislari'!I457="","",'DIVA Satislari'!I457)</f>
        <v/>
      </c>
      <c r="B457" s="26">
        <f>IF('DIVA Satislari'!I457="","",'DIVA Satislari'!R457)</f>
        <v/>
      </c>
      <c r="C457" s="26">
        <f>IF('DIVA Satislari'!I457="","",'DIVA Satislari'!M457)</f>
        <v/>
      </c>
      <c r="D457" s="27">
        <f>IF('DIVA Satislari'!I457="","",'DIVA Satislari'!H457)</f>
        <v/>
      </c>
      <c r="E457" s="26">
        <f>IF('DIVA Satislari'!I457="","",'DIVA Satislari'!O457)</f>
        <v/>
      </c>
      <c r="F457" s="26">
        <f>IF('DIVA Satislari'!I457="","",'DIVA Satislari'!AK457)</f>
        <v/>
      </c>
      <c r="G457" s="26">
        <f>IF('DIVA Satislari'!I457="","",'DIVA Satislari'!AO457)</f>
        <v/>
      </c>
      <c r="H457" s="27">
        <f>IF('DIVA Satislari'!I457="","",'DIVA Satislari'!AN457)</f>
        <v/>
      </c>
      <c r="I457" s="28">
        <f>IF('DIVA Satislari'!I457="","",'DIVA Satislari'!AQ457)</f>
        <v/>
      </c>
      <c r="J457" s="26">
        <f>IF('DIVA Satislari'!I457="","",'DIVA Satislari'!AR457)</f>
        <v/>
      </c>
      <c r="K457" s="26">
        <f>IF('DIVA Satislari'!I457="","",IFERROR(INDEX('E2E Nakliye Montaj'!$AS$3:$AS$1002,MATCH('DIVA Satislari'!AJ457,'E2E Nakliye Montaj'!$AM$3:$AM$1002,0)),"Eşleşme Yok"))</f>
        <v/>
      </c>
      <c r="L457" s="26">
        <f>IF('DIVA Satislari'!I457="","",IFERROR(INDEX('E2E Nakliye Montaj'!$AT$3:$AT$1002,MATCH('DIVA Satislari'!AJ457,'E2E Nakliye Montaj'!$AM$3:$AM$1002,0)),"Hayır"))</f>
        <v/>
      </c>
      <c r="M457" s="26">
        <f>IF('DIVA Satislari'!I457="","",IFERROR(INDEX('E2E Nakliye Montaj'!$AU$3:$AU$1002,MATCH('DIVA Satislari'!AJ457,'E2E Nakliye Montaj'!$AM$3:$AM$1002,0)),"Hayır"))</f>
        <v/>
      </c>
      <c r="N457" s="27">
        <f>IF('DIVA Satislari'!I457="","",IFERROR(INDEX('E2E Nakliye Montaj'!$AV$3:$AV$1002,MATCH('DIVA Satislari'!AJ457,'E2E Nakliye Montaj'!$AM$3:$AM$1002,0)),""))</f>
        <v/>
      </c>
      <c r="O457" s="26">
        <f>IF(OR(A457="",N457=""),"",IF(N457&lt;=H457,"Evet","HAYIR - RİSK"))</f>
        <v/>
      </c>
      <c r="P457" s="26">
        <f>IF(A457="","",IF(LEFT(J457,8)="Kural A ","Uygun - Hemen Ödenir (Yıl Sonu %75 Kontrolüne Tabi)",IF(OR(L457="Evet",M457="Evet"),IF(O457="Evet","Uygun","RİSK - Hakediş Süresi Aşıldı"),"Bekleniyor - Nakliye/Montaj Tamamlanmadı")))</f>
        <v/>
      </c>
      <c r="Q457" s="28">
        <f>IF(A457="","",SUMIFS('Hakedis Fatura Detay'!$G$3:$G$1200,'Hakedis Fatura Detay'!$H$3:$H$1200,'DIVA Satislari'!AJ457,'Hakedis Fatura Detay'!$F$3:$F$1200,"Fiyat Farkı")+SUMIFS('Hakedis Fatura Detay'!$G$3:$G$1200,'Hakedis Fatura Detay'!$H$3:$H$1200,'DIVA Satislari'!AJ457,'Hakedis Fatura Detay'!$F$3:$F$1200,"Bundle"))</f>
        <v/>
      </c>
      <c r="R457" s="28">
        <f>IF(A457="","",I457-Q457)</f>
        <v/>
      </c>
      <c r="S457" s="26">
        <f>IF(A457="","",IF(LEFT(P457,7)="Bekleni","N/A - Henüz Ödenmemeli",IF(LEFT(P457,4)="RİSK","İNCELEME GEREKLİ - Süre Aşımı",IF(R457=0,"Doğru",IF(R457&gt;0,"EKSİK ÖDENMİŞ","FAZLA ÖDENMİŞ")))))</f>
        <v/>
      </c>
      <c r="T457" s="30">
        <f>IF(A457="","",IF(F457&lt;&gt;"Evet","İNCELEME GEREKLİ - Kampanya Tanımsız",IF(G457&lt;&gt;"Evet","İNCELEME GEREKLİ - Tarih Dışı Satış",IF(LEFT(P457,4)="RİSK","İNCELEME GEREKLİ - Hakediş Süresi Aşıldı",IF(OR(S457="EKSİK ÖDENMİŞ",S457="FAZLA ÖDENMİŞ"),"İNCELEME GEREKLİ - Tutar Uyuşmazlığı",IF(LEFT(P457,7)="Bekleni","Bekleniyor","Uygun"))))))</f>
        <v/>
      </c>
    </row>
    <row r="458">
      <c r="A458" s="26">
        <f>IF('DIVA Satislari'!I458="","",'DIVA Satislari'!I458)</f>
        <v/>
      </c>
      <c r="B458" s="26">
        <f>IF('DIVA Satislari'!I458="","",'DIVA Satislari'!R458)</f>
        <v/>
      </c>
      <c r="C458" s="26">
        <f>IF('DIVA Satislari'!I458="","",'DIVA Satislari'!M458)</f>
        <v/>
      </c>
      <c r="D458" s="27">
        <f>IF('DIVA Satislari'!I458="","",'DIVA Satislari'!H458)</f>
        <v/>
      </c>
      <c r="E458" s="26">
        <f>IF('DIVA Satislari'!I458="","",'DIVA Satislari'!O458)</f>
        <v/>
      </c>
      <c r="F458" s="26">
        <f>IF('DIVA Satislari'!I458="","",'DIVA Satislari'!AK458)</f>
        <v/>
      </c>
      <c r="G458" s="26">
        <f>IF('DIVA Satislari'!I458="","",'DIVA Satislari'!AO458)</f>
        <v/>
      </c>
      <c r="H458" s="27">
        <f>IF('DIVA Satislari'!I458="","",'DIVA Satislari'!AN458)</f>
        <v/>
      </c>
      <c r="I458" s="28">
        <f>IF('DIVA Satislari'!I458="","",'DIVA Satislari'!AQ458)</f>
        <v/>
      </c>
      <c r="J458" s="26">
        <f>IF('DIVA Satislari'!I458="","",'DIVA Satislari'!AR458)</f>
        <v/>
      </c>
      <c r="K458" s="26">
        <f>IF('DIVA Satislari'!I458="","",IFERROR(INDEX('E2E Nakliye Montaj'!$AS$3:$AS$1002,MATCH('DIVA Satislari'!AJ458,'E2E Nakliye Montaj'!$AM$3:$AM$1002,0)),"Eşleşme Yok"))</f>
        <v/>
      </c>
      <c r="L458" s="26">
        <f>IF('DIVA Satislari'!I458="","",IFERROR(INDEX('E2E Nakliye Montaj'!$AT$3:$AT$1002,MATCH('DIVA Satislari'!AJ458,'E2E Nakliye Montaj'!$AM$3:$AM$1002,0)),"Hayır"))</f>
        <v/>
      </c>
      <c r="M458" s="26">
        <f>IF('DIVA Satislari'!I458="","",IFERROR(INDEX('E2E Nakliye Montaj'!$AU$3:$AU$1002,MATCH('DIVA Satislari'!AJ458,'E2E Nakliye Montaj'!$AM$3:$AM$1002,0)),"Hayır"))</f>
        <v/>
      </c>
      <c r="N458" s="27">
        <f>IF('DIVA Satislari'!I458="","",IFERROR(INDEX('E2E Nakliye Montaj'!$AV$3:$AV$1002,MATCH('DIVA Satislari'!AJ458,'E2E Nakliye Montaj'!$AM$3:$AM$1002,0)),""))</f>
        <v/>
      </c>
      <c r="O458" s="26">
        <f>IF(OR(A458="",N458=""),"",IF(N458&lt;=H458,"Evet","HAYIR - RİSK"))</f>
        <v/>
      </c>
      <c r="P458" s="26">
        <f>IF(A458="","",IF(LEFT(J458,8)="Kural A ","Uygun - Hemen Ödenir (Yıl Sonu %75 Kontrolüne Tabi)",IF(OR(L458="Evet",M458="Evet"),IF(O458="Evet","Uygun","RİSK - Hakediş Süresi Aşıldı"),"Bekleniyor - Nakliye/Montaj Tamamlanmadı")))</f>
        <v/>
      </c>
      <c r="Q458" s="28">
        <f>IF(A458="","",SUMIFS('Hakedis Fatura Detay'!$G$3:$G$1200,'Hakedis Fatura Detay'!$H$3:$H$1200,'DIVA Satislari'!AJ458,'Hakedis Fatura Detay'!$F$3:$F$1200,"Fiyat Farkı")+SUMIFS('Hakedis Fatura Detay'!$G$3:$G$1200,'Hakedis Fatura Detay'!$H$3:$H$1200,'DIVA Satislari'!AJ458,'Hakedis Fatura Detay'!$F$3:$F$1200,"Bundle"))</f>
        <v/>
      </c>
      <c r="R458" s="28">
        <f>IF(A458="","",I458-Q458)</f>
        <v/>
      </c>
      <c r="S458" s="26">
        <f>IF(A458="","",IF(LEFT(P458,7)="Bekleni","N/A - Henüz Ödenmemeli",IF(LEFT(P458,4)="RİSK","İNCELEME GEREKLİ - Süre Aşımı",IF(R458=0,"Doğru",IF(R458&gt;0,"EKSİK ÖDENMİŞ","FAZLA ÖDENMİŞ")))))</f>
        <v/>
      </c>
      <c r="T458" s="30">
        <f>IF(A458="","",IF(F458&lt;&gt;"Evet","İNCELEME GEREKLİ - Kampanya Tanımsız",IF(G458&lt;&gt;"Evet","İNCELEME GEREKLİ - Tarih Dışı Satış",IF(LEFT(P458,4)="RİSK","İNCELEME GEREKLİ - Hakediş Süresi Aşıldı",IF(OR(S458="EKSİK ÖDENMİŞ",S458="FAZLA ÖDENMİŞ"),"İNCELEME GEREKLİ - Tutar Uyuşmazlığı",IF(LEFT(P458,7)="Bekleni","Bekleniyor","Uygun"))))))</f>
        <v/>
      </c>
    </row>
    <row r="459">
      <c r="A459" s="26">
        <f>IF('DIVA Satislari'!I459="","",'DIVA Satislari'!I459)</f>
        <v/>
      </c>
      <c r="B459" s="26">
        <f>IF('DIVA Satislari'!I459="","",'DIVA Satislari'!R459)</f>
        <v/>
      </c>
      <c r="C459" s="26">
        <f>IF('DIVA Satislari'!I459="","",'DIVA Satislari'!M459)</f>
        <v/>
      </c>
      <c r="D459" s="27">
        <f>IF('DIVA Satislari'!I459="","",'DIVA Satislari'!H459)</f>
        <v/>
      </c>
      <c r="E459" s="26">
        <f>IF('DIVA Satislari'!I459="","",'DIVA Satislari'!O459)</f>
        <v/>
      </c>
      <c r="F459" s="26">
        <f>IF('DIVA Satislari'!I459="","",'DIVA Satislari'!AK459)</f>
        <v/>
      </c>
      <c r="G459" s="26">
        <f>IF('DIVA Satislari'!I459="","",'DIVA Satislari'!AO459)</f>
        <v/>
      </c>
      <c r="H459" s="27">
        <f>IF('DIVA Satislari'!I459="","",'DIVA Satislari'!AN459)</f>
        <v/>
      </c>
      <c r="I459" s="28">
        <f>IF('DIVA Satislari'!I459="","",'DIVA Satislari'!AQ459)</f>
        <v/>
      </c>
      <c r="J459" s="26">
        <f>IF('DIVA Satislari'!I459="","",'DIVA Satislari'!AR459)</f>
        <v/>
      </c>
      <c r="K459" s="26">
        <f>IF('DIVA Satislari'!I459="","",IFERROR(INDEX('E2E Nakliye Montaj'!$AS$3:$AS$1002,MATCH('DIVA Satislari'!AJ459,'E2E Nakliye Montaj'!$AM$3:$AM$1002,0)),"Eşleşme Yok"))</f>
        <v/>
      </c>
      <c r="L459" s="26">
        <f>IF('DIVA Satislari'!I459="","",IFERROR(INDEX('E2E Nakliye Montaj'!$AT$3:$AT$1002,MATCH('DIVA Satislari'!AJ459,'E2E Nakliye Montaj'!$AM$3:$AM$1002,0)),"Hayır"))</f>
        <v/>
      </c>
      <c r="M459" s="26">
        <f>IF('DIVA Satislari'!I459="","",IFERROR(INDEX('E2E Nakliye Montaj'!$AU$3:$AU$1002,MATCH('DIVA Satislari'!AJ459,'E2E Nakliye Montaj'!$AM$3:$AM$1002,0)),"Hayır"))</f>
        <v/>
      </c>
      <c r="N459" s="27">
        <f>IF('DIVA Satislari'!I459="","",IFERROR(INDEX('E2E Nakliye Montaj'!$AV$3:$AV$1002,MATCH('DIVA Satislari'!AJ459,'E2E Nakliye Montaj'!$AM$3:$AM$1002,0)),""))</f>
        <v/>
      </c>
      <c r="O459" s="26">
        <f>IF(OR(A459="",N459=""),"",IF(N459&lt;=H459,"Evet","HAYIR - RİSK"))</f>
        <v/>
      </c>
      <c r="P459" s="26">
        <f>IF(A459="","",IF(LEFT(J459,8)="Kural A ","Uygun - Hemen Ödenir (Yıl Sonu %75 Kontrolüne Tabi)",IF(OR(L459="Evet",M459="Evet"),IF(O459="Evet","Uygun","RİSK - Hakediş Süresi Aşıldı"),"Bekleniyor - Nakliye/Montaj Tamamlanmadı")))</f>
        <v/>
      </c>
      <c r="Q459" s="28">
        <f>IF(A459="","",SUMIFS('Hakedis Fatura Detay'!$G$3:$G$1200,'Hakedis Fatura Detay'!$H$3:$H$1200,'DIVA Satislari'!AJ459,'Hakedis Fatura Detay'!$F$3:$F$1200,"Fiyat Farkı")+SUMIFS('Hakedis Fatura Detay'!$G$3:$G$1200,'Hakedis Fatura Detay'!$H$3:$H$1200,'DIVA Satislari'!AJ459,'Hakedis Fatura Detay'!$F$3:$F$1200,"Bundle"))</f>
        <v/>
      </c>
      <c r="R459" s="28">
        <f>IF(A459="","",I459-Q459)</f>
        <v/>
      </c>
      <c r="S459" s="26">
        <f>IF(A459="","",IF(LEFT(P459,7)="Bekleni","N/A - Henüz Ödenmemeli",IF(LEFT(P459,4)="RİSK","İNCELEME GEREKLİ - Süre Aşımı",IF(R459=0,"Doğru",IF(R459&gt;0,"EKSİK ÖDENMİŞ","FAZLA ÖDENMİŞ")))))</f>
        <v/>
      </c>
      <c r="T459" s="30">
        <f>IF(A459="","",IF(F459&lt;&gt;"Evet","İNCELEME GEREKLİ - Kampanya Tanımsız",IF(G459&lt;&gt;"Evet","İNCELEME GEREKLİ - Tarih Dışı Satış",IF(LEFT(P459,4)="RİSK","İNCELEME GEREKLİ - Hakediş Süresi Aşıldı",IF(OR(S459="EKSİK ÖDENMİŞ",S459="FAZLA ÖDENMİŞ"),"İNCELEME GEREKLİ - Tutar Uyuşmazlığı",IF(LEFT(P459,7)="Bekleni","Bekleniyor","Uygun"))))))</f>
        <v/>
      </c>
    </row>
    <row r="460">
      <c r="A460" s="26">
        <f>IF('DIVA Satislari'!I460="","",'DIVA Satislari'!I460)</f>
        <v/>
      </c>
      <c r="B460" s="26">
        <f>IF('DIVA Satislari'!I460="","",'DIVA Satislari'!R460)</f>
        <v/>
      </c>
      <c r="C460" s="26">
        <f>IF('DIVA Satislari'!I460="","",'DIVA Satislari'!M460)</f>
        <v/>
      </c>
      <c r="D460" s="27">
        <f>IF('DIVA Satislari'!I460="","",'DIVA Satislari'!H460)</f>
        <v/>
      </c>
      <c r="E460" s="26">
        <f>IF('DIVA Satislari'!I460="","",'DIVA Satislari'!O460)</f>
        <v/>
      </c>
      <c r="F460" s="26">
        <f>IF('DIVA Satislari'!I460="","",'DIVA Satislari'!AK460)</f>
        <v/>
      </c>
      <c r="G460" s="26">
        <f>IF('DIVA Satislari'!I460="","",'DIVA Satislari'!AO460)</f>
        <v/>
      </c>
      <c r="H460" s="27">
        <f>IF('DIVA Satislari'!I460="","",'DIVA Satislari'!AN460)</f>
        <v/>
      </c>
      <c r="I460" s="28">
        <f>IF('DIVA Satislari'!I460="","",'DIVA Satislari'!AQ460)</f>
        <v/>
      </c>
      <c r="J460" s="26">
        <f>IF('DIVA Satislari'!I460="","",'DIVA Satislari'!AR460)</f>
        <v/>
      </c>
      <c r="K460" s="26">
        <f>IF('DIVA Satislari'!I460="","",IFERROR(INDEX('E2E Nakliye Montaj'!$AS$3:$AS$1002,MATCH('DIVA Satislari'!AJ460,'E2E Nakliye Montaj'!$AM$3:$AM$1002,0)),"Eşleşme Yok"))</f>
        <v/>
      </c>
      <c r="L460" s="26">
        <f>IF('DIVA Satislari'!I460="","",IFERROR(INDEX('E2E Nakliye Montaj'!$AT$3:$AT$1002,MATCH('DIVA Satislari'!AJ460,'E2E Nakliye Montaj'!$AM$3:$AM$1002,0)),"Hayır"))</f>
        <v/>
      </c>
      <c r="M460" s="26">
        <f>IF('DIVA Satislari'!I460="","",IFERROR(INDEX('E2E Nakliye Montaj'!$AU$3:$AU$1002,MATCH('DIVA Satislari'!AJ460,'E2E Nakliye Montaj'!$AM$3:$AM$1002,0)),"Hayır"))</f>
        <v/>
      </c>
      <c r="N460" s="27">
        <f>IF('DIVA Satislari'!I460="","",IFERROR(INDEX('E2E Nakliye Montaj'!$AV$3:$AV$1002,MATCH('DIVA Satislari'!AJ460,'E2E Nakliye Montaj'!$AM$3:$AM$1002,0)),""))</f>
        <v/>
      </c>
      <c r="O460" s="26">
        <f>IF(OR(A460="",N460=""),"",IF(N460&lt;=H460,"Evet","HAYIR - RİSK"))</f>
        <v/>
      </c>
      <c r="P460" s="26">
        <f>IF(A460="","",IF(LEFT(J460,8)="Kural A ","Uygun - Hemen Ödenir (Yıl Sonu %75 Kontrolüne Tabi)",IF(OR(L460="Evet",M460="Evet"),IF(O460="Evet","Uygun","RİSK - Hakediş Süresi Aşıldı"),"Bekleniyor - Nakliye/Montaj Tamamlanmadı")))</f>
        <v/>
      </c>
      <c r="Q460" s="28">
        <f>IF(A460="","",SUMIFS('Hakedis Fatura Detay'!$G$3:$G$1200,'Hakedis Fatura Detay'!$H$3:$H$1200,'DIVA Satislari'!AJ460,'Hakedis Fatura Detay'!$F$3:$F$1200,"Fiyat Farkı")+SUMIFS('Hakedis Fatura Detay'!$G$3:$G$1200,'Hakedis Fatura Detay'!$H$3:$H$1200,'DIVA Satislari'!AJ460,'Hakedis Fatura Detay'!$F$3:$F$1200,"Bundle"))</f>
        <v/>
      </c>
      <c r="R460" s="28">
        <f>IF(A460="","",I460-Q460)</f>
        <v/>
      </c>
      <c r="S460" s="26">
        <f>IF(A460="","",IF(LEFT(P460,7)="Bekleni","N/A - Henüz Ödenmemeli",IF(LEFT(P460,4)="RİSK","İNCELEME GEREKLİ - Süre Aşımı",IF(R460=0,"Doğru",IF(R460&gt;0,"EKSİK ÖDENMİŞ","FAZLA ÖDENMİŞ")))))</f>
        <v/>
      </c>
      <c r="T460" s="30">
        <f>IF(A460="","",IF(F460&lt;&gt;"Evet","İNCELEME GEREKLİ - Kampanya Tanımsız",IF(G460&lt;&gt;"Evet","İNCELEME GEREKLİ - Tarih Dışı Satış",IF(LEFT(P460,4)="RİSK","İNCELEME GEREKLİ - Hakediş Süresi Aşıldı",IF(OR(S460="EKSİK ÖDENMİŞ",S460="FAZLA ÖDENMİŞ"),"İNCELEME GEREKLİ - Tutar Uyuşmazlığı",IF(LEFT(P460,7)="Bekleni","Bekleniyor","Uygun"))))))</f>
        <v/>
      </c>
    </row>
    <row r="461">
      <c r="A461" s="26">
        <f>IF('DIVA Satislari'!I461="","",'DIVA Satislari'!I461)</f>
        <v/>
      </c>
      <c r="B461" s="26">
        <f>IF('DIVA Satislari'!I461="","",'DIVA Satislari'!R461)</f>
        <v/>
      </c>
      <c r="C461" s="26">
        <f>IF('DIVA Satislari'!I461="","",'DIVA Satislari'!M461)</f>
        <v/>
      </c>
      <c r="D461" s="27">
        <f>IF('DIVA Satislari'!I461="","",'DIVA Satislari'!H461)</f>
        <v/>
      </c>
      <c r="E461" s="26">
        <f>IF('DIVA Satislari'!I461="","",'DIVA Satislari'!O461)</f>
        <v/>
      </c>
      <c r="F461" s="26">
        <f>IF('DIVA Satislari'!I461="","",'DIVA Satislari'!AK461)</f>
        <v/>
      </c>
      <c r="G461" s="26">
        <f>IF('DIVA Satislari'!I461="","",'DIVA Satislari'!AO461)</f>
        <v/>
      </c>
      <c r="H461" s="27">
        <f>IF('DIVA Satislari'!I461="","",'DIVA Satislari'!AN461)</f>
        <v/>
      </c>
      <c r="I461" s="28">
        <f>IF('DIVA Satislari'!I461="","",'DIVA Satislari'!AQ461)</f>
        <v/>
      </c>
      <c r="J461" s="26">
        <f>IF('DIVA Satislari'!I461="","",'DIVA Satislari'!AR461)</f>
        <v/>
      </c>
      <c r="K461" s="26">
        <f>IF('DIVA Satislari'!I461="","",IFERROR(INDEX('E2E Nakliye Montaj'!$AS$3:$AS$1002,MATCH('DIVA Satislari'!AJ461,'E2E Nakliye Montaj'!$AM$3:$AM$1002,0)),"Eşleşme Yok"))</f>
        <v/>
      </c>
      <c r="L461" s="26">
        <f>IF('DIVA Satislari'!I461="","",IFERROR(INDEX('E2E Nakliye Montaj'!$AT$3:$AT$1002,MATCH('DIVA Satislari'!AJ461,'E2E Nakliye Montaj'!$AM$3:$AM$1002,0)),"Hayır"))</f>
        <v/>
      </c>
      <c r="M461" s="26">
        <f>IF('DIVA Satislari'!I461="","",IFERROR(INDEX('E2E Nakliye Montaj'!$AU$3:$AU$1002,MATCH('DIVA Satislari'!AJ461,'E2E Nakliye Montaj'!$AM$3:$AM$1002,0)),"Hayır"))</f>
        <v/>
      </c>
      <c r="N461" s="27">
        <f>IF('DIVA Satislari'!I461="","",IFERROR(INDEX('E2E Nakliye Montaj'!$AV$3:$AV$1002,MATCH('DIVA Satislari'!AJ461,'E2E Nakliye Montaj'!$AM$3:$AM$1002,0)),""))</f>
        <v/>
      </c>
      <c r="O461" s="26">
        <f>IF(OR(A461="",N461=""),"",IF(N461&lt;=H461,"Evet","HAYIR - RİSK"))</f>
        <v/>
      </c>
      <c r="P461" s="26">
        <f>IF(A461="","",IF(LEFT(J461,8)="Kural A ","Uygun - Hemen Ödenir (Yıl Sonu %75 Kontrolüne Tabi)",IF(OR(L461="Evet",M461="Evet"),IF(O461="Evet","Uygun","RİSK - Hakediş Süresi Aşıldı"),"Bekleniyor - Nakliye/Montaj Tamamlanmadı")))</f>
        <v/>
      </c>
      <c r="Q461" s="28">
        <f>IF(A461="","",SUMIFS('Hakedis Fatura Detay'!$G$3:$G$1200,'Hakedis Fatura Detay'!$H$3:$H$1200,'DIVA Satislari'!AJ461,'Hakedis Fatura Detay'!$F$3:$F$1200,"Fiyat Farkı")+SUMIFS('Hakedis Fatura Detay'!$G$3:$G$1200,'Hakedis Fatura Detay'!$H$3:$H$1200,'DIVA Satislari'!AJ461,'Hakedis Fatura Detay'!$F$3:$F$1200,"Bundle"))</f>
        <v/>
      </c>
      <c r="R461" s="28">
        <f>IF(A461="","",I461-Q461)</f>
        <v/>
      </c>
      <c r="S461" s="26">
        <f>IF(A461="","",IF(LEFT(P461,7)="Bekleni","N/A - Henüz Ödenmemeli",IF(LEFT(P461,4)="RİSK","İNCELEME GEREKLİ - Süre Aşımı",IF(R461=0,"Doğru",IF(R461&gt;0,"EKSİK ÖDENMİŞ","FAZLA ÖDENMİŞ")))))</f>
        <v/>
      </c>
      <c r="T461" s="30">
        <f>IF(A461="","",IF(F461&lt;&gt;"Evet","İNCELEME GEREKLİ - Kampanya Tanımsız",IF(G461&lt;&gt;"Evet","İNCELEME GEREKLİ - Tarih Dışı Satış",IF(LEFT(P461,4)="RİSK","İNCELEME GEREKLİ - Hakediş Süresi Aşıldı",IF(OR(S461="EKSİK ÖDENMİŞ",S461="FAZLA ÖDENMİŞ"),"İNCELEME GEREKLİ - Tutar Uyuşmazlığı",IF(LEFT(P461,7)="Bekleni","Bekleniyor","Uygun"))))))</f>
        <v/>
      </c>
    </row>
    <row r="462">
      <c r="A462" s="26">
        <f>IF('DIVA Satislari'!I462="","",'DIVA Satislari'!I462)</f>
        <v/>
      </c>
      <c r="B462" s="26">
        <f>IF('DIVA Satislari'!I462="","",'DIVA Satislari'!R462)</f>
        <v/>
      </c>
      <c r="C462" s="26">
        <f>IF('DIVA Satislari'!I462="","",'DIVA Satislari'!M462)</f>
        <v/>
      </c>
      <c r="D462" s="27">
        <f>IF('DIVA Satislari'!I462="","",'DIVA Satislari'!H462)</f>
        <v/>
      </c>
      <c r="E462" s="26">
        <f>IF('DIVA Satislari'!I462="","",'DIVA Satislari'!O462)</f>
        <v/>
      </c>
      <c r="F462" s="26">
        <f>IF('DIVA Satislari'!I462="","",'DIVA Satislari'!AK462)</f>
        <v/>
      </c>
      <c r="G462" s="26">
        <f>IF('DIVA Satislari'!I462="","",'DIVA Satislari'!AO462)</f>
        <v/>
      </c>
      <c r="H462" s="27">
        <f>IF('DIVA Satislari'!I462="","",'DIVA Satislari'!AN462)</f>
        <v/>
      </c>
      <c r="I462" s="28">
        <f>IF('DIVA Satislari'!I462="","",'DIVA Satislari'!AQ462)</f>
        <v/>
      </c>
      <c r="J462" s="26">
        <f>IF('DIVA Satislari'!I462="","",'DIVA Satislari'!AR462)</f>
        <v/>
      </c>
      <c r="K462" s="26">
        <f>IF('DIVA Satislari'!I462="","",IFERROR(INDEX('E2E Nakliye Montaj'!$AS$3:$AS$1002,MATCH('DIVA Satislari'!AJ462,'E2E Nakliye Montaj'!$AM$3:$AM$1002,0)),"Eşleşme Yok"))</f>
        <v/>
      </c>
      <c r="L462" s="26">
        <f>IF('DIVA Satislari'!I462="","",IFERROR(INDEX('E2E Nakliye Montaj'!$AT$3:$AT$1002,MATCH('DIVA Satislari'!AJ462,'E2E Nakliye Montaj'!$AM$3:$AM$1002,0)),"Hayır"))</f>
        <v/>
      </c>
      <c r="M462" s="26">
        <f>IF('DIVA Satislari'!I462="","",IFERROR(INDEX('E2E Nakliye Montaj'!$AU$3:$AU$1002,MATCH('DIVA Satislari'!AJ462,'E2E Nakliye Montaj'!$AM$3:$AM$1002,0)),"Hayır"))</f>
        <v/>
      </c>
      <c r="N462" s="27">
        <f>IF('DIVA Satislari'!I462="","",IFERROR(INDEX('E2E Nakliye Montaj'!$AV$3:$AV$1002,MATCH('DIVA Satislari'!AJ462,'E2E Nakliye Montaj'!$AM$3:$AM$1002,0)),""))</f>
        <v/>
      </c>
      <c r="O462" s="26">
        <f>IF(OR(A462="",N462=""),"",IF(N462&lt;=H462,"Evet","HAYIR - RİSK"))</f>
        <v/>
      </c>
      <c r="P462" s="26">
        <f>IF(A462="","",IF(LEFT(J462,8)="Kural A ","Uygun - Hemen Ödenir (Yıl Sonu %75 Kontrolüne Tabi)",IF(OR(L462="Evet",M462="Evet"),IF(O462="Evet","Uygun","RİSK - Hakediş Süresi Aşıldı"),"Bekleniyor - Nakliye/Montaj Tamamlanmadı")))</f>
        <v/>
      </c>
      <c r="Q462" s="28">
        <f>IF(A462="","",SUMIFS('Hakedis Fatura Detay'!$G$3:$G$1200,'Hakedis Fatura Detay'!$H$3:$H$1200,'DIVA Satislari'!AJ462,'Hakedis Fatura Detay'!$F$3:$F$1200,"Fiyat Farkı")+SUMIFS('Hakedis Fatura Detay'!$G$3:$G$1200,'Hakedis Fatura Detay'!$H$3:$H$1200,'DIVA Satislari'!AJ462,'Hakedis Fatura Detay'!$F$3:$F$1200,"Bundle"))</f>
        <v/>
      </c>
      <c r="R462" s="28">
        <f>IF(A462="","",I462-Q462)</f>
        <v/>
      </c>
      <c r="S462" s="26">
        <f>IF(A462="","",IF(LEFT(P462,7)="Bekleni","N/A - Henüz Ödenmemeli",IF(LEFT(P462,4)="RİSK","İNCELEME GEREKLİ - Süre Aşımı",IF(R462=0,"Doğru",IF(R462&gt;0,"EKSİK ÖDENMİŞ","FAZLA ÖDENMİŞ")))))</f>
        <v/>
      </c>
      <c r="T462" s="30">
        <f>IF(A462="","",IF(F462&lt;&gt;"Evet","İNCELEME GEREKLİ - Kampanya Tanımsız",IF(G462&lt;&gt;"Evet","İNCELEME GEREKLİ - Tarih Dışı Satış",IF(LEFT(P462,4)="RİSK","İNCELEME GEREKLİ - Hakediş Süresi Aşıldı",IF(OR(S462="EKSİK ÖDENMİŞ",S462="FAZLA ÖDENMİŞ"),"İNCELEME GEREKLİ - Tutar Uyuşmazlığı",IF(LEFT(P462,7)="Bekleni","Bekleniyor","Uygun"))))))</f>
        <v/>
      </c>
    </row>
    <row r="463">
      <c r="A463" s="26">
        <f>IF('DIVA Satislari'!I463="","",'DIVA Satislari'!I463)</f>
        <v/>
      </c>
      <c r="B463" s="26">
        <f>IF('DIVA Satislari'!I463="","",'DIVA Satislari'!R463)</f>
        <v/>
      </c>
      <c r="C463" s="26">
        <f>IF('DIVA Satislari'!I463="","",'DIVA Satislari'!M463)</f>
        <v/>
      </c>
      <c r="D463" s="27">
        <f>IF('DIVA Satislari'!I463="","",'DIVA Satislari'!H463)</f>
        <v/>
      </c>
      <c r="E463" s="26">
        <f>IF('DIVA Satislari'!I463="","",'DIVA Satislari'!O463)</f>
        <v/>
      </c>
      <c r="F463" s="26">
        <f>IF('DIVA Satislari'!I463="","",'DIVA Satislari'!AK463)</f>
        <v/>
      </c>
      <c r="G463" s="26">
        <f>IF('DIVA Satislari'!I463="","",'DIVA Satislari'!AO463)</f>
        <v/>
      </c>
      <c r="H463" s="27">
        <f>IF('DIVA Satislari'!I463="","",'DIVA Satislari'!AN463)</f>
        <v/>
      </c>
      <c r="I463" s="28">
        <f>IF('DIVA Satislari'!I463="","",'DIVA Satislari'!AQ463)</f>
        <v/>
      </c>
      <c r="J463" s="26">
        <f>IF('DIVA Satislari'!I463="","",'DIVA Satislari'!AR463)</f>
        <v/>
      </c>
      <c r="K463" s="26">
        <f>IF('DIVA Satislari'!I463="","",IFERROR(INDEX('E2E Nakliye Montaj'!$AS$3:$AS$1002,MATCH('DIVA Satislari'!AJ463,'E2E Nakliye Montaj'!$AM$3:$AM$1002,0)),"Eşleşme Yok"))</f>
        <v/>
      </c>
      <c r="L463" s="26">
        <f>IF('DIVA Satislari'!I463="","",IFERROR(INDEX('E2E Nakliye Montaj'!$AT$3:$AT$1002,MATCH('DIVA Satislari'!AJ463,'E2E Nakliye Montaj'!$AM$3:$AM$1002,0)),"Hayır"))</f>
        <v/>
      </c>
      <c r="M463" s="26">
        <f>IF('DIVA Satislari'!I463="","",IFERROR(INDEX('E2E Nakliye Montaj'!$AU$3:$AU$1002,MATCH('DIVA Satislari'!AJ463,'E2E Nakliye Montaj'!$AM$3:$AM$1002,0)),"Hayır"))</f>
        <v/>
      </c>
      <c r="N463" s="27">
        <f>IF('DIVA Satislari'!I463="","",IFERROR(INDEX('E2E Nakliye Montaj'!$AV$3:$AV$1002,MATCH('DIVA Satislari'!AJ463,'E2E Nakliye Montaj'!$AM$3:$AM$1002,0)),""))</f>
        <v/>
      </c>
      <c r="O463" s="26">
        <f>IF(OR(A463="",N463=""),"",IF(N463&lt;=H463,"Evet","HAYIR - RİSK"))</f>
        <v/>
      </c>
      <c r="P463" s="26">
        <f>IF(A463="","",IF(LEFT(J463,8)="Kural A ","Uygun - Hemen Ödenir (Yıl Sonu %75 Kontrolüne Tabi)",IF(OR(L463="Evet",M463="Evet"),IF(O463="Evet","Uygun","RİSK - Hakediş Süresi Aşıldı"),"Bekleniyor - Nakliye/Montaj Tamamlanmadı")))</f>
        <v/>
      </c>
      <c r="Q463" s="28">
        <f>IF(A463="","",SUMIFS('Hakedis Fatura Detay'!$G$3:$G$1200,'Hakedis Fatura Detay'!$H$3:$H$1200,'DIVA Satislari'!AJ463,'Hakedis Fatura Detay'!$F$3:$F$1200,"Fiyat Farkı")+SUMIFS('Hakedis Fatura Detay'!$G$3:$G$1200,'Hakedis Fatura Detay'!$H$3:$H$1200,'DIVA Satislari'!AJ463,'Hakedis Fatura Detay'!$F$3:$F$1200,"Bundle"))</f>
        <v/>
      </c>
      <c r="R463" s="28">
        <f>IF(A463="","",I463-Q463)</f>
        <v/>
      </c>
      <c r="S463" s="26">
        <f>IF(A463="","",IF(LEFT(P463,7)="Bekleni","N/A - Henüz Ödenmemeli",IF(LEFT(P463,4)="RİSK","İNCELEME GEREKLİ - Süre Aşımı",IF(R463=0,"Doğru",IF(R463&gt;0,"EKSİK ÖDENMİŞ","FAZLA ÖDENMİŞ")))))</f>
        <v/>
      </c>
      <c r="T463" s="30">
        <f>IF(A463="","",IF(F463&lt;&gt;"Evet","İNCELEME GEREKLİ - Kampanya Tanımsız",IF(G463&lt;&gt;"Evet","İNCELEME GEREKLİ - Tarih Dışı Satış",IF(LEFT(P463,4)="RİSK","İNCELEME GEREKLİ - Hakediş Süresi Aşıldı",IF(OR(S463="EKSİK ÖDENMİŞ",S463="FAZLA ÖDENMİŞ"),"İNCELEME GEREKLİ - Tutar Uyuşmazlığı",IF(LEFT(P463,7)="Bekleni","Bekleniyor","Uygun"))))))</f>
        <v/>
      </c>
    </row>
    <row r="464">
      <c r="A464" s="26">
        <f>IF('DIVA Satislari'!I464="","",'DIVA Satislari'!I464)</f>
        <v/>
      </c>
      <c r="B464" s="26">
        <f>IF('DIVA Satislari'!I464="","",'DIVA Satislari'!R464)</f>
        <v/>
      </c>
      <c r="C464" s="26">
        <f>IF('DIVA Satislari'!I464="","",'DIVA Satislari'!M464)</f>
        <v/>
      </c>
      <c r="D464" s="27">
        <f>IF('DIVA Satislari'!I464="","",'DIVA Satislari'!H464)</f>
        <v/>
      </c>
      <c r="E464" s="26">
        <f>IF('DIVA Satislari'!I464="","",'DIVA Satislari'!O464)</f>
        <v/>
      </c>
      <c r="F464" s="26">
        <f>IF('DIVA Satislari'!I464="","",'DIVA Satislari'!AK464)</f>
        <v/>
      </c>
      <c r="G464" s="26">
        <f>IF('DIVA Satislari'!I464="","",'DIVA Satislari'!AO464)</f>
        <v/>
      </c>
      <c r="H464" s="27">
        <f>IF('DIVA Satislari'!I464="","",'DIVA Satislari'!AN464)</f>
        <v/>
      </c>
      <c r="I464" s="28">
        <f>IF('DIVA Satislari'!I464="","",'DIVA Satislari'!AQ464)</f>
        <v/>
      </c>
      <c r="J464" s="26">
        <f>IF('DIVA Satislari'!I464="","",'DIVA Satislari'!AR464)</f>
        <v/>
      </c>
      <c r="K464" s="26">
        <f>IF('DIVA Satislari'!I464="","",IFERROR(INDEX('E2E Nakliye Montaj'!$AS$3:$AS$1002,MATCH('DIVA Satislari'!AJ464,'E2E Nakliye Montaj'!$AM$3:$AM$1002,0)),"Eşleşme Yok"))</f>
        <v/>
      </c>
      <c r="L464" s="26">
        <f>IF('DIVA Satislari'!I464="","",IFERROR(INDEX('E2E Nakliye Montaj'!$AT$3:$AT$1002,MATCH('DIVA Satislari'!AJ464,'E2E Nakliye Montaj'!$AM$3:$AM$1002,0)),"Hayır"))</f>
        <v/>
      </c>
      <c r="M464" s="26">
        <f>IF('DIVA Satislari'!I464="","",IFERROR(INDEX('E2E Nakliye Montaj'!$AU$3:$AU$1002,MATCH('DIVA Satislari'!AJ464,'E2E Nakliye Montaj'!$AM$3:$AM$1002,0)),"Hayır"))</f>
        <v/>
      </c>
      <c r="N464" s="27">
        <f>IF('DIVA Satislari'!I464="","",IFERROR(INDEX('E2E Nakliye Montaj'!$AV$3:$AV$1002,MATCH('DIVA Satislari'!AJ464,'E2E Nakliye Montaj'!$AM$3:$AM$1002,0)),""))</f>
        <v/>
      </c>
      <c r="O464" s="26">
        <f>IF(OR(A464="",N464=""),"",IF(N464&lt;=H464,"Evet","HAYIR - RİSK"))</f>
        <v/>
      </c>
      <c r="P464" s="26">
        <f>IF(A464="","",IF(LEFT(J464,8)="Kural A ","Uygun - Hemen Ödenir (Yıl Sonu %75 Kontrolüne Tabi)",IF(OR(L464="Evet",M464="Evet"),IF(O464="Evet","Uygun","RİSK - Hakediş Süresi Aşıldı"),"Bekleniyor - Nakliye/Montaj Tamamlanmadı")))</f>
        <v/>
      </c>
      <c r="Q464" s="28">
        <f>IF(A464="","",SUMIFS('Hakedis Fatura Detay'!$G$3:$G$1200,'Hakedis Fatura Detay'!$H$3:$H$1200,'DIVA Satislari'!AJ464,'Hakedis Fatura Detay'!$F$3:$F$1200,"Fiyat Farkı")+SUMIFS('Hakedis Fatura Detay'!$G$3:$G$1200,'Hakedis Fatura Detay'!$H$3:$H$1200,'DIVA Satislari'!AJ464,'Hakedis Fatura Detay'!$F$3:$F$1200,"Bundle"))</f>
        <v/>
      </c>
      <c r="R464" s="28">
        <f>IF(A464="","",I464-Q464)</f>
        <v/>
      </c>
      <c r="S464" s="26">
        <f>IF(A464="","",IF(LEFT(P464,7)="Bekleni","N/A - Henüz Ödenmemeli",IF(LEFT(P464,4)="RİSK","İNCELEME GEREKLİ - Süre Aşımı",IF(R464=0,"Doğru",IF(R464&gt;0,"EKSİK ÖDENMİŞ","FAZLA ÖDENMİŞ")))))</f>
        <v/>
      </c>
      <c r="T464" s="30">
        <f>IF(A464="","",IF(F464&lt;&gt;"Evet","İNCELEME GEREKLİ - Kampanya Tanımsız",IF(G464&lt;&gt;"Evet","İNCELEME GEREKLİ - Tarih Dışı Satış",IF(LEFT(P464,4)="RİSK","İNCELEME GEREKLİ - Hakediş Süresi Aşıldı",IF(OR(S464="EKSİK ÖDENMİŞ",S464="FAZLA ÖDENMİŞ"),"İNCELEME GEREKLİ - Tutar Uyuşmazlığı",IF(LEFT(P464,7)="Bekleni","Bekleniyor","Uygun"))))))</f>
        <v/>
      </c>
    </row>
    <row r="465">
      <c r="A465" s="26">
        <f>IF('DIVA Satislari'!I465="","",'DIVA Satislari'!I465)</f>
        <v/>
      </c>
      <c r="B465" s="26">
        <f>IF('DIVA Satislari'!I465="","",'DIVA Satislari'!R465)</f>
        <v/>
      </c>
      <c r="C465" s="26">
        <f>IF('DIVA Satislari'!I465="","",'DIVA Satislari'!M465)</f>
        <v/>
      </c>
      <c r="D465" s="27">
        <f>IF('DIVA Satislari'!I465="","",'DIVA Satislari'!H465)</f>
        <v/>
      </c>
      <c r="E465" s="26">
        <f>IF('DIVA Satislari'!I465="","",'DIVA Satislari'!O465)</f>
        <v/>
      </c>
      <c r="F465" s="26">
        <f>IF('DIVA Satislari'!I465="","",'DIVA Satislari'!AK465)</f>
        <v/>
      </c>
      <c r="G465" s="26">
        <f>IF('DIVA Satislari'!I465="","",'DIVA Satislari'!AO465)</f>
        <v/>
      </c>
      <c r="H465" s="27">
        <f>IF('DIVA Satislari'!I465="","",'DIVA Satislari'!AN465)</f>
        <v/>
      </c>
      <c r="I465" s="28">
        <f>IF('DIVA Satislari'!I465="","",'DIVA Satislari'!AQ465)</f>
        <v/>
      </c>
      <c r="J465" s="26">
        <f>IF('DIVA Satislari'!I465="","",'DIVA Satislari'!AR465)</f>
        <v/>
      </c>
      <c r="K465" s="26">
        <f>IF('DIVA Satislari'!I465="","",IFERROR(INDEX('E2E Nakliye Montaj'!$AS$3:$AS$1002,MATCH('DIVA Satislari'!AJ465,'E2E Nakliye Montaj'!$AM$3:$AM$1002,0)),"Eşleşme Yok"))</f>
        <v/>
      </c>
      <c r="L465" s="26">
        <f>IF('DIVA Satislari'!I465="","",IFERROR(INDEX('E2E Nakliye Montaj'!$AT$3:$AT$1002,MATCH('DIVA Satislari'!AJ465,'E2E Nakliye Montaj'!$AM$3:$AM$1002,0)),"Hayır"))</f>
        <v/>
      </c>
      <c r="M465" s="26">
        <f>IF('DIVA Satislari'!I465="","",IFERROR(INDEX('E2E Nakliye Montaj'!$AU$3:$AU$1002,MATCH('DIVA Satislari'!AJ465,'E2E Nakliye Montaj'!$AM$3:$AM$1002,0)),"Hayır"))</f>
        <v/>
      </c>
      <c r="N465" s="27">
        <f>IF('DIVA Satislari'!I465="","",IFERROR(INDEX('E2E Nakliye Montaj'!$AV$3:$AV$1002,MATCH('DIVA Satislari'!AJ465,'E2E Nakliye Montaj'!$AM$3:$AM$1002,0)),""))</f>
        <v/>
      </c>
      <c r="O465" s="26">
        <f>IF(OR(A465="",N465=""),"",IF(N465&lt;=H465,"Evet","HAYIR - RİSK"))</f>
        <v/>
      </c>
      <c r="P465" s="26">
        <f>IF(A465="","",IF(LEFT(J465,8)="Kural A ","Uygun - Hemen Ödenir (Yıl Sonu %75 Kontrolüne Tabi)",IF(OR(L465="Evet",M465="Evet"),IF(O465="Evet","Uygun","RİSK - Hakediş Süresi Aşıldı"),"Bekleniyor - Nakliye/Montaj Tamamlanmadı")))</f>
        <v/>
      </c>
      <c r="Q465" s="28">
        <f>IF(A465="","",SUMIFS('Hakedis Fatura Detay'!$G$3:$G$1200,'Hakedis Fatura Detay'!$H$3:$H$1200,'DIVA Satislari'!AJ465,'Hakedis Fatura Detay'!$F$3:$F$1200,"Fiyat Farkı")+SUMIFS('Hakedis Fatura Detay'!$G$3:$G$1200,'Hakedis Fatura Detay'!$H$3:$H$1200,'DIVA Satislari'!AJ465,'Hakedis Fatura Detay'!$F$3:$F$1200,"Bundle"))</f>
        <v/>
      </c>
      <c r="R465" s="28">
        <f>IF(A465="","",I465-Q465)</f>
        <v/>
      </c>
      <c r="S465" s="26">
        <f>IF(A465="","",IF(LEFT(P465,7)="Bekleni","N/A - Henüz Ödenmemeli",IF(LEFT(P465,4)="RİSK","İNCELEME GEREKLİ - Süre Aşımı",IF(R465=0,"Doğru",IF(R465&gt;0,"EKSİK ÖDENMİŞ","FAZLA ÖDENMİŞ")))))</f>
        <v/>
      </c>
      <c r="T465" s="30">
        <f>IF(A465="","",IF(F465&lt;&gt;"Evet","İNCELEME GEREKLİ - Kampanya Tanımsız",IF(G465&lt;&gt;"Evet","İNCELEME GEREKLİ - Tarih Dışı Satış",IF(LEFT(P465,4)="RİSK","İNCELEME GEREKLİ - Hakediş Süresi Aşıldı",IF(OR(S465="EKSİK ÖDENMİŞ",S465="FAZLA ÖDENMİŞ"),"İNCELEME GEREKLİ - Tutar Uyuşmazlığı",IF(LEFT(P465,7)="Bekleni","Bekleniyor","Uygun"))))))</f>
        <v/>
      </c>
    </row>
    <row r="466">
      <c r="A466" s="26">
        <f>IF('DIVA Satislari'!I466="","",'DIVA Satislari'!I466)</f>
        <v/>
      </c>
      <c r="B466" s="26">
        <f>IF('DIVA Satislari'!I466="","",'DIVA Satislari'!R466)</f>
        <v/>
      </c>
      <c r="C466" s="26">
        <f>IF('DIVA Satislari'!I466="","",'DIVA Satislari'!M466)</f>
        <v/>
      </c>
      <c r="D466" s="27">
        <f>IF('DIVA Satislari'!I466="","",'DIVA Satislari'!H466)</f>
        <v/>
      </c>
      <c r="E466" s="26">
        <f>IF('DIVA Satislari'!I466="","",'DIVA Satislari'!O466)</f>
        <v/>
      </c>
      <c r="F466" s="26">
        <f>IF('DIVA Satislari'!I466="","",'DIVA Satislari'!AK466)</f>
        <v/>
      </c>
      <c r="G466" s="26">
        <f>IF('DIVA Satislari'!I466="","",'DIVA Satislari'!AO466)</f>
        <v/>
      </c>
      <c r="H466" s="27">
        <f>IF('DIVA Satislari'!I466="","",'DIVA Satislari'!AN466)</f>
        <v/>
      </c>
      <c r="I466" s="28">
        <f>IF('DIVA Satislari'!I466="","",'DIVA Satislari'!AQ466)</f>
        <v/>
      </c>
      <c r="J466" s="26">
        <f>IF('DIVA Satislari'!I466="","",'DIVA Satislari'!AR466)</f>
        <v/>
      </c>
      <c r="K466" s="26">
        <f>IF('DIVA Satislari'!I466="","",IFERROR(INDEX('E2E Nakliye Montaj'!$AS$3:$AS$1002,MATCH('DIVA Satislari'!AJ466,'E2E Nakliye Montaj'!$AM$3:$AM$1002,0)),"Eşleşme Yok"))</f>
        <v/>
      </c>
      <c r="L466" s="26">
        <f>IF('DIVA Satislari'!I466="","",IFERROR(INDEX('E2E Nakliye Montaj'!$AT$3:$AT$1002,MATCH('DIVA Satislari'!AJ466,'E2E Nakliye Montaj'!$AM$3:$AM$1002,0)),"Hayır"))</f>
        <v/>
      </c>
      <c r="M466" s="26">
        <f>IF('DIVA Satislari'!I466="","",IFERROR(INDEX('E2E Nakliye Montaj'!$AU$3:$AU$1002,MATCH('DIVA Satislari'!AJ466,'E2E Nakliye Montaj'!$AM$3:$AM$1002,0)),"Hayır"))</f>
        <v/>
      </c>
      <c r="N466" s="27">
        <f>IF('DIVA Satislari'!I466="","",IFERROR(INDEX('E2E Nakliye Montaj'!$AV$3:$AV$1002,MATCH('DIVA Satislari'!AJ466,'E2E Nakliye Montaj'!$AM$3:$AM$1002,0)),""))</f>
        <v/>
      </c>
      <c r="O466" s="26">
        <f>IF(OR(A466="",N466=""),"",IF(N466&lt;=H466,"Evet","HAYIR - RİSK"))</f>
        <v/>
      </c>
      <c r="P466" s="26">
        <f>IF(A466="","",IF(LEFT(J466,8)="Kural A ","Uygun - Hemen Ödenir (Yıl Sonu %75 Kontrolüne Tabi)",IF(OR(L466="Evet",M466="Evet"),IF(O466="Evet","Uygun","RİSK - Hakediş Süresi Aşıldı"),"Bekleniyor - Nakliye/Montaj Tamamlanmadı")))</f>
        <v/>
      </c>
      <c r="Q466" s="28">
        <f>IF(A466="","",SUMIFS('Hakedis Fatura Detay'!$G$3:$G$1200,'Hakedis Fatura Detay'!$H$3:$H$1200,'DIVA Satislari'!AJ466,'Hakedis Fatura Detay'!$F$3:$F$1200,"Fiyat Farkı")+SUMIFS('Hakedis Fatura Detay'!$G$3:$G$1200,'Hakedis Fatura Detay'!$H$3:$H$1200,'DIVA Satislari'!AJ466,'Hakedis Fatura Detay'!$F$3:$F$1200,"Bundle"))</f>
        <v/>
      </c>
      <c r="R466" s="28">
        <f>IF(A466="","",I466-Q466)</f>
        <v/>
      </c>
      <c r="S466" s="26">
        <f>IF(A466="","",IF(LEFT(P466,7)="Bekleni","N/A - Henüz Ödenmemeli",IF(LEFT(P466,4)="RİSK","İNCELEME GEREKLİ - Süre Aşımı",IF(R466=0,"Doğru",IF(R466&gt;0,"EKSİK ÖDENMİŞ","FAZLA ÖDENMİŞ")))))</f>
        <v/>
      </c>
      <c r="T466" s="30">
        <f>IF(A466="","",IF(F466&lt;&gt;"Evet","İNCELEME GEREKLİ - Kampanya Tanımsız",IF(G466&lt;&gt;"Evet","İNCELEME GEREKLİ - Tarih Dışı Satış",IF(LEFT(P466,4)="RİSK","İNCELEME GEREKLİ - Hakediş Süresi Aşıldı",IF(OR(S466="EKSİK ÖDENMİŞ",S466="FAZLA ÖDENMİŞ"),"İNCELEME GEREKLİ - Tutar Uyuşmazlığı",IF(LEFT(P466,7)="Bekleni","Bekleniyor","Uygun"))))))</f>
        <v/>
      </c>
    </row>
    <row r="467">
      <c r="A467" s="26">
        <f>IF('DIVA Satislari'!I467="","",'DIVA Satislari'!I467)</f>
        <v/>
      </c>
      <c r="B467" s="26">
        <f>IF('DIVA Satislari'!I467="","",'DIVA Satislari'!R467)</f>
        <v/>
      </c>
      <c r="C467" s="26">
        <f>IF('DIVA Satislari'!I467="","",'DIVA Satislari'!M467)</f>
        <v/>
      </c>
      <c r="D467" s="27">
        <f>IF('DIVA Satislari'!I467="","",'DIVA Satislari'!H467)</f>
        <v/>
      </c>
      <c r="E467" s="26">
        <f>IF('DIVA Satislari'!I467="","",'DIVA Satislari'!O467)</f>
        <v/>
      </c>
      <c r="F467" s="26">
        <f>IF('DIVA Satislari'!I467="","",'DIVA Satislari'!AK467)</f>
        <v/>
      </c>
      <c r="G467" s="26">
        <f>IF('DIVA Satislari'!I467="","",'DIVA Satislari'!AO467)</f>
        <v/>
      </c>
      <c r="H467" s="27">
        <f>IF('DIVA Satislari'!I467="","",'DIVA Satislari'!AN467)</f>
        <v/>
      </c>
      <c r="I467" s="28">
        <f>IF('DIVA Satislari'!I467="","",'DIVA Satislari'!AQ467)</f>
        <v/>
      </c>
      <c r="J467" s="26">
        <f>IF('DIVA Satislari'!I467="","",'DIVA Satislari'!AR467)</f>
        <v/>
      </c>
      <c r="K467" s="26">
        <f>IF('DIVA Satislari'!I467="","",IFERROR(INDEX('E2E Nakliye Montaj'!$AS$3:$AS$1002,MATCH('DIVA Satislari'!AJ467,'E2E Nakliye Montaj'!$AM$3:$AM$1002,0)),"Eşleşme Yok"))</f>
        <v/>
      </c>
      <c r="L467" s="26">
        <f>IF('DIVA Satislari'!I467="","",IFERROR(INDEX('E2E Nakliye Montaj'!$AT$3:$AT$1002,MATCH('DIVA Satislari'!AJ467,'E2E Nakliye Montaj'!$AM$3:$AM$1002,0)),"Hayır"))</f>
        <v/>
      </c>
      <c r="M467" s="26">
        <f>IF('DIVA Satislari'!I467="","",IFERROR(INDEX('E2E Nakliye Montaj'!$AU$3:$AU$1002,MATCH('DIVA Satislari'!AJ467,'E2E Nakliye Montaj'!$AM$3:$AM$1002,0)),"Hayır"))</f>
        <v/>
      </c>
      <c r="N467" s="27">
        <f>IF('DIVA Satislari'!I467="","",IFERROR(INDEX('E2E Nakliye Montaj'!$AV$3:$AV$1002,MATCH('DIVA Satislari'!AJ467,'E2E Nakliye Montaj'!$AM$3:$AM$1002,0)),""))</f>
        <v/>
      </c>
      <c r="O467" s="26">
        <f>IF(OR(A467="",N467=""),"",IF(N467&lt;=H467,"Evet","HAYIR - RİSK"))</f>
        <v/>
      </c>
      <c r="P467" s="26">
        <f>IF(A467="","",IF(LEFT(J467,8)="Kural A ","Uygun - Hemen Ödenir (Yıl Sonu %75 Kontrolüne Tabi)",IF(OR(L467="Evet",M467="Evet"),IF(O467="Evet","Uygun","RİSK - Hakediş Süresi Aşıldı"),"Bekleniyor - Nakliye/Montaj Tamamlanmadı")))</f>
        <v/>
      </c>
      <c r="Q467" s="28">
        <f>IF(A467="","",SUMIFS('Hakedis Fatura Detay'!$G$3:$G$1200,'Hakedis Fatura Detay'!$H$3:$H$1200,'DIVA Satislari'!AJ467,'Hakedis Fatura Detay'!$F$3:$F$1200,"Fiyat Farkı")+SUMIFS('Hakedis Fatura Detay'!$G$3:$G$1200,'Hakedis Fatura Detay'!$H$3:$H$1200,'DIVA Satislari'!AJ467,'Hakedis Fatura Detay'!$F$3:$F$1200,"Bundle"))</f>
        <v/>
      </c>
      <c r="R467" s="28">
        <f>IF(A467="","",I467-Q467)</f>
        <v/>
      </c>
      <c r="S467" s="26">
        <f>IF(A467="","",IF(LEFT(P467,7)="Bekleni","N/A - Henüz Ödenmemeli",IF(LEFT(P467,4)="RİSK","İNCELEME GEREKLİ - Süre Aşımı",IF(R467=0,"Doğru",IF(R467&gt;0,"EKSİK ÖDENMİŞ","FAZLA ÖDENMİŞ")))))</f>
        <v/>
      </c>
      <c r="T467" s="30">
        <f>IF(A467="","",IF(F467&lt;&gt;"Evet","İNCELEME GEREKLİ - Kampanya Tanımsız",IF(G467&lt;&gt;"Evet","İNCELEME GEREKLİ - Tarih Dışı Satış",IF(LEFT(P467,4)="RİSK","İNCELEME GEREKLİ - Hakediş Süresi Aşıldı",IF(OR(S467="EKSİK ÖDENMİŞ",S467="FAZLA ÖDENMİŞ"),"İNCELEME GEREKLİ - Tutar Uyuşmazlığı",IF(LEFT(P467,7)="Bekleni","Bekleniyor","Uygun"))))))</f>
        <v/>
      </c>
    </row>
    <row r="468">
      <c r="A468" s="26">
        <f>IF('DIVA Satislari'!I468="","",'DIVA Satislari'!I468)</f>
        <v/>
      </c>
      <c r="B468" s="26">
        <f>IF('DIVA Satislari'!I468="","",'DIVA Satislari'!R468)</f>
        <v/>
      </c>
      <c r="C468" s="26">
        <f>IF('DIVA Satislari'!I468="","",'DIVA Satislari'!M468)</f>
        <v/>
      </c>
      <c r="D468" s="27">
        <f>IF('DIVA Satislari'!I468="","",'DIVA Satislari'!H468)</f>
        <v/>
      </c>
      <c r="E468" s="26">
        <f>IF('DIVA Satislari'!I468="","",'DIVA Satislari'!O468)</f>
        <v/>
      </c>
      <c r="F468" s="26">
        <f>IF('DIVA Satislari'!I468="","",'DIVA Satislari'!AK468)</f>
        <v/>
      </c>
      <c r="G468" s="26">
        <f>IF('DIVA Satislari'!I468="","",'DIVA Satislari'!AO468)</f>
        <v/>
      </c>
      <c r="H468" s="27">
        <f>IF('DIVA Satislari'!I468="","",'DIVA Satislari'!AN468)</f>
        <v/>
      </c>
      <c r="I468" s="28">
        <f>IF('DIVA Satislari'!I468="","",'DIVA Satislari'!AQ468)</f>
        <v/>
      </c>
      <c r="J468" s="26">
        <f>IF('DIVA Satislari'!I468="","",'DIVA Satislari'!AR468)</f>
        <v/>
      </c>
      <c r="K468" s="26">
        <f>IF('DIVA Satislari'!I468="","",IFERROR(INDEX('E2E Nakliye Montaj'!$AS$3:$AS$1002,MATCH('DIVA Satislari'!AJ468,'E2E Nakliye Montaj'!$AM$3:$AM$1002,0)),"Eşleşme Yok"))</f>
        <v/>
      </c>
      <c r="L468" s="26">
        <f>IF('DIVA Satislari'!I468="","",IFERROR(INDEX('E2E Nakliye Montaj'!$AT$3:$AT$1002,MATCH('DIVA Satislari'!AJ468,'E2E Nakliye Montaj'!$AM$3:$AM$1002,0)),"Hayır"))</f>
        <v/>
      </c>
      <c r="M468" s="26">
        <f>IF('DIVA Satislari'!I468="","",IFERROR(INDEX('E2E Nakliye Montaj'!$AU$3:$AU$1002,MATCH('DIVA Satislari'!AJ468,'E2E Nakliye Montaj'!$AM$3:$AM$1002,0)),"Hayır"))</f>
        <v/>
      </c>
      <c r="N468" s="27">
        <f>IF('DIVA Satislari'!I468="","",IFERROR(INDEX('E2E Nakliye Montaj'!$AV$3:$AV$1002,MATCH('DIVA Satislari'!AJ468,'E2E Nakliye Montaj'!$AM$3:$AM$1002,0)),""))</f>
        <v/>
      </c>
      <c r="O468" s="26">
        <f>IF(OR(A468="",N468=""),"",IF(N468&lt;=H468,"Evet","HAYIR - RİSK"))</f>
        <v/>
      </c>
      <c r="P468" s="26">
        <f>IF(A468="","",IF(LEFT(J468,8)="Kural A ","Uygun - Hemen Ödenir (Yıl Sonu %75 Kontrolüne Tabi)",IF(OR(L468="Evet",M468="Evet"),IF(O468="Evet","Uygun","RİSK - Hakediş Süresi Aşıldı"),"Bekleniyor - Nakliye/Montaj Tamamlanmadı")))</f>
        <v/>
      </c>
      <c r="Q468" s="28">
        <f>IF(A468="","",SUMIFS('Hakedis Fatura Detay'!$G$3:$G$1200,'Hakedis Fatura Detay'!$H$3:$H$1200,'DIVA Satislari'!AJ468,'Hakedis Fatura Detay'!$F$3:$F$1200,"Fiyat Farkı")+SUMIFS('Hakedis Fatura Detay'!$G$3:$G$1200,'Hakedis Fatura Detay'!$H$3:$H$1200,'DIVA Satislari'!AJ468,'Hakedis Fatura Detay'!$F$3:$F$1200,"Bundle"))</f>
        <v/>
      </c>
      <c r="R468" s="28">
        <f>IF(A468="","",I468-Q468)</f>
        <v/>
      </c>
      <c r="S468" s="26">
        <f>IF(A468="","",IF(LEFT(P468,7)="Bekleni","N/A - Henüz Ödenmemeli",IF(LEFT(P468,4)="RİSK","İNCELEME GEREKLİ - Süre Aşımı",IF(R468=0,"Doğru",IF(R468&gt;0,"EKSİK ÖDENMİŞ","FAZLA ÖDENMİŞ")))))</f>
        <v/>
      </c>
      <c r="T468" s="30">
        <f>IF(A468="","",IF(F468&lt;&gt;"Evet","İNCELEME GEREKLİ - Kampanya Tanımsız",IF(G468&lt;&gt;"Evet","İNCELEME GEREKLİ - Tarih Dışı Satış",IF(LEFT(P468,4)="RİSK","İNCELEME GEREKLİ - Hakediş Süresi Aşıldı",IF(OR(S468="EKSİK ÖDENMİŞ",S468="FAZLA ÖDENMİŞ"),"İNCELEME GEREKLİ - Tutar Uyuşmazlığı",IF(LEFT(P468,7)="Bekleni","Bekleniyor","Uygun"))))))</f>
        <v/>
      </c>
    </row>
    <row r="469">
      <c r="A469" s="26">
        <f>IF('DIVA Satislari'!I469="","",'DIVA Satislari'!I469)</f>
        <v/>
      </c>
      <c r="B469" s="26">
        <f>IF('DIVA Satislari'!I469="","",'DIVA Satislari'!R469)</f>
        <v/>
      </c>
      <c r="C469" s="26">
        <f>IF('DIVA Satislari'!I469="","",'DIVA Satislari'!M469)</f>
        <v/>
      </c>
      <c r="D469" s="27">
        <f>IF('DIVA Satislari'!I469="","",'DIVA Satislari'!H469)</f>
        <v/>
      </c>
      <c r="E469" s="26">
        <f>IF('DIVA Satislari'!I469="","",'DIVA Satislari'!O469)</f>
        <v/>
      </c>
      <c r="F469" s="26">
        <f>IF('DIVA Satislari'!I469="","",'DIVA Satislari'!AK469)</f>
        <v/>
      </c>
      <c r="G469" s="26">
        <f>IF('DIVA Satislari'!I469="","",'DIVA Satislari'!AO469)</f>
        <v/>
      </c>
      <c r="H469" s="27">
        <f>IF('DIVA Satislari'!I469="","",'DIVA Satislari'!AN469)</f>
        <v/>
      </c>
      <c r="I469" s="28">
        <f>IF('DIVA Satislari'!I469="","",'DIVA Satislari'!AQ469)</f>
        <v/>
      </c>
      <c r="J469" s="26">
        <f>IF('DIVA Satislari'!I469="","",'DIVA Satislari'!AR469)</f>
        <v/>
      </c>
      <c r="K469" s="26">
        <f>IF('DIVA Satislari'!I469="","",IFERROR(INDEX('E2E Nakliye Montaj'!$AS$3:$AS$1002,MATCH('DIVA Satislari'!AJ469,'E2E Nakliye Montaj'!$AM$3:$AM$1002,0)),"Eşleşme Yok"))</f>
        <v/>
      </c>
      <c r="L469" s="26">
        <f>IF('DIVA Satislari'!I469="","",IFERROR(INDEX('E2E Nakliye Montaj'!$AT$3:$AT$1002,MATCH('DIVA Satislari'!AJ469,'E2E Nakliye Montaj'!$AM$3:$AM$1002,0)),"Hayır"))</f>
        <v/>
      </c>
      <c r="M469" s="26">
        <f>IF('DIVA Satislari'!I469="","",IFERROR(INDEX('E2E Nakliye Montaj'!$AU$3:$AU$1002,MATCH('DIVA Satislari'!AJ469,'E2E Nakliye Montaj'!$AM$3:$AM$1002,0)),"Hayır"))</f>
        <v/>
      </c>
      <c r="N469" s="27">
        <f>IF('DIVA Satislari'!I469="","",IFERROR(INDEX('E2E Nakliye Montaj'!$AV$3:$AV$1002,MATCH('DIVA Satislari'!AJ469,'E2E Nakliye Montaj'!$AM$3:$AM$1002,0)),""))</f>
        <v/>
      </c>
      <c r="O469" s="26">
        <f>IF(OR(A469="",N469=""),"",IF(N469&lt;=H469,"Evet","HAYIR - RİSK"))</f>
        <v/>
      </c>
      <c r="P469" s="26">
        <f>IF(A469="","",IF(LEFT(J469,8)="Kural A ","Uygun - Hemen Ödenir (Yıl Sonu %75 Kontrolüne Tabi)",IF(OR(L469="Evet",M469="Evet"),IF(O469="Evet","Uygun","RİSK - Hakediş Süresi Aşıldı"),"Bekleniyor - Nakliye/Montaj Tamamlanmadı")))</f>
        <v/>
      </c>
      <c r="Q469" s="28">
        <f>IF(A469="","",SUMIFS('Hakedis Fatura Detay'!$G$3:$G$1200,'Hakedis Fatura Detay'!$H$3:$H$1200,'DIVA Satislari'!AJ469,'Hakedis Fatura Detay'!$F$3:$F$1200,"Fiyat Farkı")+SUMIFS('Hakedis Fatura Detay'!$G$3:$G$1200,'Hakedis Fatura Detay'!$H$3:$H$1200,'DIVA Satislari'!AJ469,'Hakedis Fatura Detay'!$F$3:$F$1200,"Bundle"))</f>
        <v/>
      </c>
      <c r="R469" s="28">
        <f>IF(A469="","",I469-Q469)</f>
        <v/>
      </c>
      <c r="S469" s="26">
        <f>IF(A469="","",IF(LEFT(P469,7)="Bekleni","N/A - Henüz Ödenmemeli",IF(LEFT(P469,4)="RİSK","İNCELEME GEREKLİ - Süre Aşımı",IF(R469=0,"Doğru",IF(R469&gt;0,"EKSİK ÖDENMİŞ","FAZLA ÖDENMİŞ")))))</f>
        <v/>
      </c>
      <c r="T469" s="30">
        <f>IF(A469="","",IF(F469&lt;&gt;"Evet","İNCELEME GEREKLİ - Kampanya Tanımsız",IF(G469&lt;&gt;"Evet","İNCELEME GEREKLİ - Tarih Dışı Satış",IF(LEFT(P469,4)="RİSK","İNCELEME GEREKLİ - Hakediş Süresi Aşıldı",IF(OR(S469="EKSİK ÖDENMİŞ",S469="FAZLA ÖDENMİŞ"),"İNCELEME GEREKLİ - Tutar Uyuşmazlığı",IF(LEFT(P469,7)="Bekleni","Bekleniyor","Uygun"))))))</f>
        <v/>
      </c>
    </row>
    <row r="470">
      <c r="A470" s="26">
        <f>IF('DIVA Satislari'!I470="","",'DIVA Satislari'!I470)</f>
        <v/>
      </c>
      <c r="B470" s="26">
        <f>IF('DIVA Satislari'!I470="","",'DIVA Satislari'!R470)</f>
        <v/>
      </c>
      <c r="C470" s="26">
        <f>IF('DIVA Satislari'!I470="","",'DIVA Satislari'!M470)</f>
        <v/>
      </c>
      <c r="D470" s="27">
        <f>IF('DIVA Satislari'!I470="","",'DIVA Satislari'!H470)</f>
        <v/>
      </c>
      <c r="E470" s="26">
        <f>IF('DIVA Satislari'!I470="","",'DIVA Satislari'!O470)</f>
        <v/>
      </c>
      <c r="F470" s="26">
        <f>IF('DIVA Satislari'!I470="","",'DIVA Satislari'!AK470)</f>
        <v/>
      </c>
      <c r="G470" s="26">
        <f>IF('DIVA Satislari'!I470="","",'DIVA Satislari'!AO470)</f>
        <v/>
      </c>
      <c r="H470" s="27">
        <f>IF('DIVA Satislari'!I470="","",'DIVA Satislari'!AN470)</f>
        <v/>
      </c>
      <c r="I470" s="28">
        <f>IF('DIVA Satislari'!I470="","",'DIVA Satislari'!AQ470)</f>
        <v/>
      </c>
      <c r="J470" s="26">
        <f>IF('DIVA Satislari'!I470="","",'DIVA Satislari'!AR470)</f>
        <v/>
      </c>
      <c r="K470" s="26">
        <f>IF('DIVA Satislari'!I470="","",IFERROR(INDEX('E2E Nakliye Montaj'!$AS$3:$AS$1002,MATCH('DIVA Satislari'!AJ470,'E2E Nakliye Montaj'!$AM$3:$AM$1002,0)),"Eşleşme Yok"))</f>
        <v/>
      </c>
      <c r="L470" s="26">
        <f>IF('DIVA Satislari'!I470="","",IFERROR(INDEX('E2E Nakliye Montaj'!$AT$3:$AT$1002,MATCH('DIVA Satislari'!AJ470,'E2E Nakliye Montaj'!$AM$3:$AM$1002,0)),"Hayır"))</f>
        <v/>
      </c>
      <c r="M470" s="26">
        <f>IF('DIVA Satislari'!I470="","",IFERROR(INDEX('E2E Nakliye Montaj'!$AU$3:$AU$1002,MATCH('DIVA Satislari'!AJ470,'E2E Nakliye Montaj'!$AM$3:$AM$1002,0)),"Hayır"))</f>
        <v/>
      </c>
      <c r="N470" s="27">
        <f>IF('DIVA Satislari'!I470="","",IFERROR(INDEX('E2E Nakliye Montaj'!$AV$3:$AV$1002,MATCH('DIVA Satislari'!AJ470,'E2E Nakliye Montaj'!$AM$3:$AM$1002,0)),""))</f>
        <v/>
      </c>
      <c r="O470" s="26">
        <f>IF(OR(A470="",N470=""),"",IF(N470&lt;=H470,"Evet","HAYIR - RİSK"))</f>
        <v/>
      </c>
      <c r="P470" s="26">
        <f>IF(A470="","",IF(LEFT(J470,8)="Kural A ","Uygun - Hemen Ödenir (Yıl Sonu %75 Kontrolüne Tabi)",IF(OR(L470="Evet",M470="Evet"),IF(O470="Evet","Uygun","RİSK - Hakediş Süresi Aşıldı"),"Bekleniyor - Nakliye/Montaj Tamamlanmadı")))</f>
        <v/>
      </c>
      <c r="Q470" s="28">
        <f>IF(A470="","",SUMIFS('Hakedis Fatura Detay'!$G$3:$G$1200,'Hakedis Fatura Detay'!$H$3:$H$1200,'DIVA Satislari'!AJ470,'Hakedis Fatura Detay'!$F$3:$F$1200,"Fiyat Farkı")+SUMIFS('Hakedis Fatura Detay'!$G$3:$G$1200,'Hakedis Fatura Detay'!$H$3:$H$1200,'DIVA Satislari'!AJ470,'Hakedis Fatura Detay'!$F$3:$F$1200,"Bundle"))</f>
        <v/>
      </c>
      <c r="R470" s="28">
        <f>IF(A470="","",I470-Q470)</f>
        <v/>
      </c>
      <c r="S470" s="26">
        <f>IF(A470="","",IF(LEFT(P470,7)="Bekleni","N/A - Henüz Ödenmemeli",IF(LEFT(P470,4)="RİSK","İNCELEME GEREKLİ - Süre Aşımı",IF(R470=0,"Doğru",IF(R470&gt;0,"EKSİK ÖDENMİŞ","FAZLA ÖDENMİŞ")))))</f>
        <v/>
      </c>
      <c r="T470" s="30">
        <f>IF(A470="","",IF(F470&lt;&gt;"Evet","İNCELEME GEREKLİ - Kampanya Tanımsız",IF(G470&lt;&gt;"Evet","İNCELEME GEREKLİ - Tarih Dışı Satış",IF(LEFT(P470,4)="RİSK","İNCELEME GEREKLİ - Hakediş Süresi Aşıldı",IF(OR(S470="EKSİK ÖDENMİŞ",S470="FAZLA ÖDENMİŞ"),"İNCELEME GEREKLİ - Tutar Uyuşmazlığı",IF(LEFT(P470,7)="Bekleni","Bekleniyor","Uygun"))))))</f>
        <v/>
      </c>
    </row>
    <row r="471">
      <c r="A471" s="26">
        <f>IF('DIVA Satislari'!I471="","",'DIVA Satislari'!I471)</f>
        <v/>
      </c>
      <c r="B471" s="26">
        <f>IF('DIVA Satislari'!I471="","",'DIVA Satislari'!R471)</f>
        <v/>
      </c>
      <c r="C471" s="26">
        <f>IF('DIVA Satislari'!I471="","",'DIVA Satislari'!M471)</f>
        <v/>
      </c>
      <c r="D471" s="27">
        <f>IF('DIVA Satislari'!I471="","",'DIVA Satislari'!H471)</f>
        <v/>
      </c>
      <c r="E471" s="26">
        <f>IF('DIVA Satislari'!I471="","",'DIVA Satislari'!O471)</f>
        <v/>
      </c>
      <c r="F471" s="26">
        <f>IF('DIVA Satislari'!I471="","",'DIVA Satislari'!AK471)</f>
        <v/>
      </c>
      <c r="G471" s="26">
        <f>IF('DIVA Satislari'!I471="","",'DIVA Satislari'!AO471)</f>
        <v/>
      </c>
      <c r="H471" s="27">
        <f>IF('DIVA Satislari'!I471="","",'DIVA Satislari'!AN471)</f>
        <v/>
      </c>
      <c r="I471" s="28">
        <f>IF('DIVA Satislari'!I471="","",'DIVA Satislari'!AQ471)</f>
        <v/>
      </c>
      <c r="J471" s="26">
        <f>IF('DIVA Satislari'!I471="","",'DIVA Satislari'!AR471)</f>
        <v/>
      </c>
      <c r="K471" s="26">
        <f>IF('DIVA Satislari'!I471="","",IFERROR(INDEX('E2E Nakliye Montaj'!$AS$3:$AS$1002,MATCH('DIVA Satislari'!AJ471,'E2E Nakliye Montaj'!$AM$3:$AM$1002,0)),"Eşleşme Yok"))</f>
        <v/>
      </c>
      <c r="L471" s="26">
        <f>IF('DIVA Satislari'!I471="","",IFERROR(INDEX('E2E Nakliye Montaj'!$AT$3:$AT$1002,MATCH('DIVA Satislari'!AJ471,'E2E Nakliye Montaj'!$AM$3:$AM$1002,0)),"Hayır"))</f>
        <v/>
      </c>
      <c r="M471" s="26">
        <f>IF('DIVA Satislari'!I471="","",IFERROR(INDEX('E2E Nakliye Montaj'!$AU$3:$AU$1002,MATCH('DIVA Satislari'!AJ471,'E2E Nakliye Montaj'!$AM$3:$AM$1002,0)),"Hayır"))</f>
        <v/>
      </c>
      <c r="N471" s="27">
        <f>IF('DIVA Satislari'!I471="","",IFERROR(INDEX('E2E Nakliye Montaj'!$AV$3:$AV$1002,MATCH('DIVA Satislari'!AJ471,'E2E Nakliye Montaj'!$AM$3:$AM$1002,0)),""))</f>
        <v/>
      </c>
      <c r="O471" s="26">
        <f>IF(OR(A471="",N471=""),"",IF(N471&lt;=H471,"Evet","HAYIR - RİSK"))</f>
        <v/>
      </c>
      <c r="P471" s="26">
        <f>IF(A471="","",IF(LEFT(J471,8)="Kural A ","Uygun - Hemen Ödenir (Yıl Sonu %75 Kontrolüne Tabi)",IF(OR(L471="Evet",M471="Evet"),IF(O471="Evet","Uygun","RİSK - Hakediş Süresi Aşıldı"),"Bekleniyor - Nakliye/Montaj Tamamlanmadı")))</f>
        <v/>
      </c>
      <c r="Q471" s="28">
        <f>IF(A471="","",SUMIFS('Hakedis Fatura Detay'!$G$3:$G$1200,'Hakedis Fatura Detay'!$H$3:$H$1200,'DIVA Satislari'!AJ471,'Hakedis Fatura Detay'!$F$3:$F$1200,"Fiyat Farkı")+SUMIFS('Hakedis Fatura Detay'!$G$3:$G$1200,'Hakedis Fatura Detay'!$H$3:$H$1200,'DIVA Satislari'!AJ471,'Hakedis Fatura Detay'!$F$3:$F$1200,"Bundle"))</f>
        <v/>
      </c>
      <c r="R471" s="28">
        <f>IF(A471="","",I471-Q471)</f>
        <v/>
      </c>
      <c r="S471" s="26">
        <f>IF(A471="","",IF(LEFT(P471,7)="Bekleni","N/A - Henüz Ödenmemeli",IF(LEFT(P471,4)="RİSK","İNCELEME GEREKLİ - Süre Aşımı",IF(R471=0,"Doğru",IF(R471&gt;0,"EKSİK ÖDENMİŞ","FAZLA ÖDENMİŞ")))))</f>
        <v/>
      </c>
      <c r="T471" s="30">
        <f>IF(A471="","",IF(F471&lt;&gt;"Evet","İNCELEME GEREKLİ - Kampanya Tanımsız",IF(G471&lt;&gt;"Evet","İNCELEME GEREKLİ - Tarih Dışı Satış",IF(LEFT(P471,4)="RİSK","İNCELEME GEREKLİ - Hakediş Süresi Aşıldı",IF(OR(S471="EKSİK ÖDENMİŞ",S471="FAZLA ÖDENMİŞ"),"İNCELEME GEREKLİ - Tutar Uyuşmazlığı",IF(LEFT(P471,7)="Bekleni","Bekleniyor","Uygun"))))))</f>
        <v/>
      </c>
    </row>
    <row r="472">
      <c r="A472" s="26">
        <f>IF('DIVA Satislari'!I472="","",'DIVA Satislari'!I472)</f>
        <v/>
      </c>
      <c r="B472" s="26">
        <f>IF('DIVA Satislari'!I472="","",'DIVA Satislari'!R472)</f>
        <v/>
      </c>
      <c r="C472" s="26">
        <f>IF('DIVA Satislari'!I472="","",'DIVA Satislari'!M472)</f>
        <v/>
      </c>
      <c r="D472" s="27">
        <f>IF('DIVA Satislari'!I472="","",'DIVA Satislari'!H472)</f>
        <v/>
      </c>
      <c r="E472" s="26">
        <f>IF('DIVA Satislari'!I472="","",'DIVA Satislari'!O472)</f>
        <v/>
      </c>
      <c r="F472" s="26">
        <f>IF('DIVA Satislari'!I472="","",'DIVA Satislari'!AK472)</f>
        <v/>
      </c>
      <c r="G472" s="26">
        <f>IF('DIVA Satislari'!I472="","",'DIVA Satislari'!AO472)</f>
        <v/>
      </c>
      <c r="H472" s="27">
        <f>IF('DIVA Satislari'!I472="","",'DIVA Satislari'!AN472)</f>
        <v/>
      </c>
      <c r="I472" s="28">
        <f>IF('DIVA Satislari'!I472="","",'DIVA Satislari'!AQ472)</f>
        <v/>
      </c>
      <c r="J472" s="26">
        <f>IF('DIVA Satislari'!I472="","",'DIVA Satislari'!AR472)</f>
        <v/>
      </c>
      <c r="K472" s="26">
        <f>IF('DIVA Satislari'!I472="","",IFERROR(INDEX('E2E Nakliye Montaj'!$AS$3:$AS$1002,MATCH('DIVA Satislari'!AJ472,'E2E Nakliye Montaj'!$AM$3:$AM$1002,0)),"Eşleşme Yok"))</f>
        <v/>
      </c>
      <c r="L472" s="26">
        <f>IF('DIVA Satislari'!I472="","",IFERROR(INDEX('E2E Nakliye Montaj'!$AT$3:$AT$1002,MATCH('DIVA Satislari'!AJ472,'E2E Nakliye Montaj'!$AM$3:$AM$1002,0)),"Hayır"))</f>
        <v/>
      </c>
      <c r="M472" s="26">
        <f>IF('DIVA Satislari'!I472="","",IFERROR(INDEX('E2E Nakliye Montaj'!$AU$3:$AU$1002,MATCH('DIVA Satislari'!AJ472,'E2E Nakliye Montaj'!$AM$3:$AM$1002,0)),"Hayır"))</f>
        <v/>
      </c>
      <c r="N472" s="27">
        <f>IF('DIVA Satislari'!I472="","",IFERROR(INDEX('E2E Nakliye Montaj'!$AV$3:$AV$1002,MATCH('DIVA Satislari'!AJ472,'E2E Nakliye Montaj'!$AM$3:$AM$1002,0)),""))</f>
        <v/>
      </c>
      <c r="O472" s="26">
        <f>IF(OR(A472="",N472=""),"",IF(N472&lt;=H472,"Evet","HAYIR - RİSK"))</f>
        <v/>
      </c>
      <c r="P472" s="26">
        <f>IF(A472="","",IF(LEFT(J472,8)="Kural A ","Uygun - Hemen Ödenir (Yıl Sonu %75 Kontrolüne Tabi)",IF(OR(L472="Evet",M472="Evet"),IF(O472="Evet","Uygun","RİSK - Hakediş Süresi Aşıldı"),"Bekleniyor - Nakliye/Montaj Tamamlanmadı")))</f>
        <v/>
      </c>
      <c r="Q472" s="28">
        <f>IF(A472="","",SUMIFS('Hakedis Fatura Detay'!$G$3:$G$1200,'Hakedis Fatura Detay'!$H$3:$H$1200,'DIVA Satislari'!AJ472,'Hakedis Fatura Detay'!$F$3:$F$1200,"Fiyat Farkı")+SUMIFS('Hakedis Fatura Detay'!$G$3:$G$1200,'Hakedis Fatura Detay'!$H$3:$H$1200,'DIVA Satislari'!AJ472,'Hakedis Fatura Detay'!$F$3:$F$1200,"Bundle"))</f>
        <v/>
      </c>
      <c r="R472" s="28">
        <f>IF(A472="","",I472-Q472)</f>
        <v/>
      </c>
      <c r="S472" s="26">
        <f>IF(A472="","",IF(LEFT(P472,7)="Bekleni","N/A - Henüz Ödenmemeli",IF(LEFT(P472,4)="RİSK","İNCELEME GEREKLİ - Süre Aşımı",IF(R472=0,"Doğru",IF(R472&gt;0,"EKSİK ÖDENMİŞ","FAZLA ÖDENMİŞ")))))</f>
        <v/>
      </c>
      <c r="T472" s="30">
        <f>IF(A472="","",IF(F472&lt;&gt;"Evet","İNCELEME GEREKLİ - Kampanya Tanımsız",IF(G472&lt;&gt;"Evet","İNCELEME GEREKLİ - Tarih Dışı Satış",IF(LEFT(P472,4)="RİSK","İNCELEME GEREKLİ - Hakediş Süresi Aşıldı",IF(OR(S472="EKSİK ÖDENMİŞ",S472="FAZLA ÖDENMİŞ"),"İNCELEME GEREKLİ - Tutar Uyuşmazlığı",IF(LEFT(P472,7)="Bekleni","Bekleniyor","Uygun"))))))</f>
        <v/>
      </c>
    </row>
    <row r="473">
      <c r="A473" s="26">
        <f>IF('DIVA Satislari'!I473="","",'DIVA Satislari'!I473)</f>
        <v/>
      </c>
      <c r="B473" s="26">
        <f>IF('DIVA Satislari'!I473="","",'DIVA Satislari'!R473)</f>
        <v/>
      </c>
      <c r="C473" s="26">
        <f>IF('DIVA Satislari'!I473="","",'DIVA Satislari'!M473)</f>
        <v/>
      </c>
      <c r="D473" s="27">
        <f>IF('DIVA Satislari'!I473="","",'DIVA Satislari'!H473)</f>
        <v/>
      </c>
      <c r="E473" s="26">
        <f>IF('DIVA Satislari'!I473="","",'DIVA Satislari'!O473)</f>
        <v/>
      </c>
      <c r="F473" s="26">
        <f>IF('DIVA Satislari'!I473="","",'DIVA Satislari'!AK473)</f>
        <v/>
      </c>
      <c r="G473" s="26">
        <f>IF('DIVA Satislari'!I473="","",'DIVA Satislari'!AO473)</f>
        <v/>
      </c>
      <c r="H473" s="27">
        <f>IF('DIVA Satislari'!I473="","",'DIVA Satislari'!AN473)</f>
        <v/>
      </c>
      <c r="I473" s="28">
        <f>IF('DIVA Satislari'!I473="","",'DIVA Satislari'!AQ473)</f>
        <v/>
      </c>
      <c r="J473" s="26">
        <f>IF('DIVA Satislari'!I473="","",'DIVA Satislari'!AR473)</f>
        <v/>
      </c>
      <c r="K473" s="26">
        <f>IF('DIVA Satislari'!I473="","",IFERROR(INDEX('E2E Nakliye Montaj'!$AS$3:$AS$1002,MATCH('DIVA Satislari'!AJ473,'E2E Nakliye Montaj'!$AM$3:$AM$1002,0)),"Eşleşme Yok"))</f>
        <v/>
      </c>
      <c r="L473" s="26">
        <f>IF('DIVA Satislari'!I473="","",IFERROR(INDEX('E2E Nakliye Montaj'!$AT$3:$AT$1002,MATCH('DIVA Satislari'!AJ473,'E2E Nakliye Montaj'!$AM$3:$AM$1002,0)),"Hayır"))</f>
        <v/>
      </c>
      <c r="M473" s="26">
        <f>IF('DIVA Satislari'!I473="","",IFERROR(INDEX('E2E Nakliye Montaj'!$AU$3:$AU$1002,MATCH('DIVA Satislari'!AJ473,'E2E Nakliye Montaj'!$AM$3:$AM$1002,0)),"Hayır"))</f>
        <v/>
      </c>
      <c r="N473" s="27">
        <f>IF('DIVA Satislari'!I473="","",IFERROR(INDEX('E2E Nakliye Montaj'!$AV$3:$AV$1002,MATCH('DIVA Satislari'!AJ473,'E2E Nakliye Montaj'!$AM$3:$AM$1002,0)),""))</f>
        <v/>
      </c>
      <c r="O473" s="26">
        <f>IF(OR(A473="",N473=""),"",IF(N473&lt;=H473,"Evet","HAYIR - RİSK"))</f>
        <v/>
      </c>
      <c r="P473" s="26">
        <f>IF(A473="","",IF(LEFT(J473,8)="Kural A ","Uygun - Hemen Ödenir (Yıl Sonu %75 Kontrolüne Tabi)",IF(OR(L473="Evet",M473="Evet"),IF(O473="Evet","Uygun","RİSK - Hakediş Süresi Aşıldı"),"Bekleniyor - Nakliye/Montaj Tamamlanmadı")))</f>
        <v/>
      </c>
      <c r="Q473" s="28">
        <f>IF(A473="","",SUMIFS('Hakedis Fatura Detay'!$G$3:$G$1200,'Hakedis Fatura Detay'!$H$3:$H$1200,'DIVA Satislari'!AJ473,'Hakedis Fatura Detay'!$F$3:$F$1200,"Fiyat Farkı")+SUMIFS('Hakedis Fatura Detay'!$G$3:$G$1200,'Hakedis Fatura Detay'!$H$3:$H$1200,'DIVA Satislari'!AJ473,'Hakedis Fatura Detay'!$F$3:$F$1200,"Bundle"))</f>
        <v/>
      </c>
      <c r="R473" s="28">
        <f>IF(A473="","",I473-Q473)</f>
        <v/>
      </c>
      <c r="S473" s="26">
        <f>IF(A473="","",IF(LEFT(P473,7)="Bekleni","N/A - Henüz Ödenmemeli",IF(LEFT(P473,4)="RİSK","İNCELEME GEREKLİ - Süre Aşımı",IF(R473=0,"Doğru",IF(R473&gt;0,"EKSİK ÖDENMİŞ","FAZLA ÖDENMİŞ")))))</f>
        <v/>
      </c>
      <c r="T473" s="30">
        <f>IF(A473="","",IF(F473&lt;&gt;"Evet","İNCELEME GEREKLİ - Kampanya Tanımsız",IF(G473&lt;&gt;"Evet","İNCELEME GEREKLİ - Tarih Dışı Satış",IF(LEFT(P473,4)="RİSK","İNCELEME GEREKLİ - Hakediş Süresi Aşıldı",IF(OR(S473="EKSİK ÖDENMİŞ",S473="FAZLA ÖDENMİŞ"),"İNCELEME GEREKLİ - Tutar Uyuşmazlığı",IF(LEFT(P473,7)="Bekleni","Bekleniyor","Uygun"))))))</f>
        <v/>
      </c>
    </row>
    <row r="474">
      <c r="A474" s="26">
        <f>IF('DIVA Satislari'!I474="","",'DIVA Satislari'!I474)</f>
        <v/>
      </c>
      <c r="B474" s="26">
        <f>IF('DIVA Satislari'!I474="","",'DIVA Satislari'!R474)</f>
        <v/>
      </c>
      <c r="C474" s="26">
        <f>IF('DIVA Satislari'!I474="","",'DIVA Satislari'!M474)</f>
        <v/>
      </c>
      <c r="D474" s="27">
        <f>IF('DIVA Satislari'!I474="","",'DIVA Satislari'!H474)</f>
        <v/>
      </c>
      <c r="E474" s="26">
        <f>IF('DIVA Satislari'!I474="","",'DIVA Satislari'!O474)</f>
        <v/>
      </c>
      <c r="F474" s="26">
        <f>IF('DIVA Satislari'!I474="","",'DIVA Satislari'!AK474)</f>
        <v/>
      </c>
      <c r="G474" s="26">
        <f>IF('DIVA Satislari'!I474="","",'DIVA Satislari'!AO474)</f>
        <v/>
      </c>
      <c r="H474" s="27">
        <f>IF('DIVA Satislari'!I474="","",'DIVA Satislari'!AN474)</f>
        <v/>
      </c>
      <c r="I474" s="28">
        <f>IF('DIVA Satislari'!I474="","",'DIVA Satislari'!AQ474)</f>
        <v/>
      </c>
      <c r="J474" s="26">
        <f>IF('DIVA Satislari'!I474="","",'DIVA Satislari'!AR474)</f>
        <v/>
      </c>
      <c r="K474" s="26">
        <f>IF('DIVA Satislari'!I474="","",IFERROR(INDEX('E2E Nakliye Montaj'!$AS$3:$AS$1002,MATCH('DIVA Satislari'!AJ474,'E2E Nakliye Montaj'!$AM$3:$AM$1002,0)),"Eşleşme Yok"))</f>
        <v/>
      </c>
      <c r="L474" s="26">
        <f>IF('DIVA Satislari'!I474="","",IFERROR(INDEX('E2E Nakliye Montaj'!$AT$3:$AT$1002,MATCH('DIVA Satislari'!AJ474,'E2E Nakliye Montaj'!$AM$3:$AM$1002,0)),"Hayır"))</f>
        <v/>
      </c>
      <c r="M474" s="26">
        <f>IF('DIVA Satislari'!I474="","",IFERROR(INDEX('E2E Nakliye Montaj'!$AU$3:$AU$1002,MATCH('DIVA Satislari'!AJ474,'E2E Nakliye Montaj'!$AM$3:$AM$1002,0)),"Hayır"))</f>
        <v/>
      </c>
      <c r="N474" s="27">
        <f>IF('DIVA Satislari'!I474="","",IFERROR(INDEX('E2E Nakliye Montaj'!$AV$3:$AV$1002,MATCH('DIVA Satislari'!AJ474,'E2E Nakliye Montaj'!$AM$3:$AM$1002,0)),""))</f>
        <v/>
      </c>
      <c r="O474" s="26">
        <f>IF(OR(A474="",N474=""),"",IF(N474&lt;=H474,"Evet","HAYIR - RİSK"))</f>
        <v/>
      </c>
      <c r="P474" s="26">
        <f>IF(A474="","",IF(LEFT(J474,8)="Kural A ","Uygun - Hemen Ödenir (Yıl Sonu %75 Kontrolüne Tabi)",IF(OR(L474="Evet",M474="Evet"),IF(O474="Evet","Uygun","RİSK - Hakediş Süresi Aşıldı"),"Bekleniyor - Nakliye/Montaj Tamamlanmadı")))</f>
        <v/>
      </c>
      <c r="Q474" s="28">
        <f>IF(A474="","",SUMIFS('Hakedis Fatura Detay'!$G$3:$G$1200,'Hakedis Fatura Detay'!$H$3:$H$1200,'DIVA Satislari'!AJ474,'Hakedis Fatura Detay'!$F$3:$F$1200,"Fiyat Farkı")+SUMIFS('Hakedis Fatura Detay'!$G$3:$G$1200,'Hakedis Fatura Detay'!$H$3:$H$1200,'DIVA Satislari'!AJ474,'Hakedis Fatura Detay'!$F$3:$F$1200,"Bundle"))</f>
        <v/>
      </c>
      <c r="R474" s="28">
        <f>IF(A474="","",I474-Q474)</f>
        <v/>
      </c>
      <c r="S474" s="26">
        <f>IF(A474="","",IF(LEFT(P474,7)="Bekleni","N/A - Henüz Ödenmemeli",IF(LEFT(P474,4)="RİSK","İNCELEME GEREKLİ - Süre Aşımı",IF(R474=0,"Doğru",IF(R474&gt;0,"EKSİK ÖDENMİŞ","FAZLA ÖDENMİŞ")))))</f>
        <v/>
      </c>
      <c r="T474" s="30">
        <f>IF(A474="","",IF(F474&lt;&gt;"Evet","İNCELEME GEREKLİ - Kampanya Tanımsız",IF(G474&lt;&gt;"Evet","İNCELEME GEREKLİ - Tarih Dışı Satış",IF(LEFT(P474,4)="RİSK","İNCELEME GEREKLİ - Hakediş Süresi Aşıldı",IF(OR(S474="EKSİK ÖDENMİŞ",S474="FAZLA ÖDENMİŞ"),"İNCELEME GEREKLİ - Tutar Uyuşmazlığı",IF(LEFT(P474,7)="Bekleni","Bekleniyor","Uygun"))))))</f>
        <v/>
      </c>
    </row>
    <row r="475">
      <c r="A475" s="26">
        <f>IF('DIVA Satislari'!I475="","",'DIVA Satislari'!I475)</f>
        <v/>
      </c>
      <c r="B475" s="26">
        <f>IF('DIVA Satislari'!I475="","",'DIVA Satislari'!R475)</f>
        <v/>
      </c>
      <c r="C475" s="26">
        <f>IF('DIVA Satislari'!I475="","",'DIVA Satislari'!M475)</f>
        <v/>
      </c>
      <c r="D475" s="27">
        <f>IF('DIVA Satislari'!I475="","",'DIVA Satislari'!H475)</f>
        <v/>
      </c>
      <c r="E475" s="26">
        <f>IF('DIVA Satislari'!I475="","",'DIVA Satislari'!O475)</f>
        <v/>
      </c>
      <c r="F475" s="26">
        <f>IF('DIVA Satislari'!I475="","",'DIVA Satislari'!AK475)</f>
        <v/>
      </c>
      <c r="G475" s="26">
        <f>IF('DIVA Satislari'!I475="","",'DIVA Satislari'!AO475)</f>
        <v/>
      </c>
      <c r="H475" s="27">
        <f>IF('DIVA Satislari'!I475="","",'DIVA Satislari'!AN475)</f>
        <v/>
      </c>
      <c r="I475" s="28">
        <f>IF('DIVA Satislari'!I475="","",'DIVA Satislari'!AQ475)</f>
        <v/>
      </c>
      <c r="J475" s="26">
        <f>IF('DIVA Satislari'!I475="","",'DIVA Satislari'!AR475)</f>
        <v/>
      </c>
      <c r="K475" s="26">
        <f>IF('DIVA Satislari'!I475="","",IFERROR(INDEX('E2E Nakliye Montaj'!$AS$3:$AS$1002,MATCH('DIVA Satislari'!AJ475,'E2E Nakliye Montaj'!$AM$3:$AM$1002,0)),"Eşleşme Yok"))</f>
        <v/>
      </c>
      <c r="L475" s="26">
        <f>IF('DIVA Satislari'!I475="","",IFERROR(INDEX('E2E Nakliye Montaj'!$AT$3:$AT$1002,MATCH('DIVA Satislari'!AJ475,'E2E Nakliye Montaj'!$AM$3:$AM$1002,0)),"Hayır"))</f>
        <v/>
      </c>
      <c r="M475" s="26">
        <f>IF('DIVA Satislari'!I475="","",IFERROR(INDEX('E2E Nakliye Montaj'!$AU$3:$AU$1002,MATCH('DIVA Satislari'!AJ475,'E2E Nakliye Montaj'!$AM$3:$AM$1002,0)),"Hayır"))</f>
        <v/>
      </c>
      <c r="N475" s="27">
        <f>IF('DIVA Satislari'!I475="","",IFERROR(INDEX('E2E Nakliye Montaj'!$AV$3:$AV$1002,MATCH('DIVA Satislari'!AJ475,'E2E Nakliye Montaj'!$AM$3:$AM$1002,0)),""))</f>
        <v/>
      </c>
      <c r="O475" s="26">
        <f>IF(OR(A475="",N475=""),"",IF(N475&lt;=H475,"Evet","HAYIR - RİSK"))</f>
        <v/>
      </c>
      <c r="P475" s="26">
        <f>IF(A475="","",IF(LEFT(J475,8)="Kural A ","Uygun - Hemen Ödenir (Yıl Sonu %75 Kontrolüne Tabi)",IF(OR(L475="Evet",M475="Evet"),IF(O475="Evet","Uygun","RİSK - Hakediş Süresi Aşıldı"),"Bekleniyor - Nakliye/Montaj Tamamlanmadı")))</f>
        <v/>
      </c>
      <c r="Q475" s="28">
        <f>IF(A475="","",SUMIFS('Hakedis Fatura Detay'!$G$3:$G$1200,'Hakedis Fatura Detay'!$H$3:$H$1200,'DIVA Satislari'!AJ475,'Hakedis Fatura Detay'!$F$3:$F$1200,"Fiyat Farkı")+SUMIFS('Hakedis Fatura Detay'!$G$3:$G$1200,'Hakedis Fatura Detay'!$H$3:$H$1200,'DIVA Satislari'!AJ475,'Hakedis Fatura Detay'!$F$3:$F$1200,"Bundle"))</f>
        <v/>
      </c>
      <c r="R475" s="28">
        <f>IF(A475="","",I475-Q475)</f>
        <v/>
      </c>
      <c r="S475" s="26">
        <f>IF(A475="","",IF(LEFT(P475,7)="Bekleni","N/A - Henüz Ödenmemeli",IF(LEFT(P475,4)="RİSK","İNCELEME GEREKLİ - Süre Aşımı",IF(R475=0,"Doğru",IF(R475&gt;0,"EKSİK ÖDENMİŞ","FAZLA ÖDENMİŞ")))))</f>
        <v/>
      </c>
      <c r="T475" s="30">
        <f>IF(A475="","",IF(F475&lt;&gt;"Evet","İNCELEME GEREKLİ - Kampanya Tanımsız",IF(G475&lt;&gt;"Evet","İNCELEME GEREKLİ - Tarih Dışı Satış",IF(LEFT(P475,4)="RİSK","İNCELEME GEREKLİ - Hakediş Süresi Aşıldı",IF(OR(S475="EKSİK ÖDENMİŞ",S475="FAZLA ÖDENMİŞ"),"İNCELEME GEREKLİ - Tutar Uyuşmazlığı",IF(LEFT(P475,7)="Bekleni","Bekleniyor","Uygun"))))))</f>
        <v/>
      </c>
    </row>
    <row r="476">
      <c r="A476" s="26">
        <f>IF('DIVA Satislari'!I476="","",'DIVA Satislari'!I476)</f>
        <v/>
      </c>
      <c r="B476" s="26">
        <f>IF('DIVA Satislari'!I476="","",'DIVA Satislari'!R476)</f>
        <v/>
      </c>
      <c r="C476" s="26">
        <f>IF('DIVA Satislari'!I476="","",'DIVA Satislari'!M476)</f>
        <v/>
      </c>
      <c r="D476" s="27">
        <f>IF('DIVA Satislari'!I476="","",'DIVA Satislari'!H476)</f>
        <v/>
      </c>
      <c r="E476" s="26">
        <f>IF('DIVA Satislari'!I476="","",'DIVA Satislari'!O476)</f>
        <v/>
      </c>
      <c r="F476" s="26">
        <f>IF('DIVA Satislari'!I476="","",'DIVA Satislari'!AK476)</f>
        <v/>
      </c>
      <c r="G476" s="26">
        <f>IF('DIVA Satislari'!I476="","",'DIVA Satislari'!AO476)</f>
        <v/>
      </c>
      <c r="H476" s="27">
        <f>IF('DIVA Satislari'!I476="","",'DIVA Satislari'!AN476)</f>
        <v/>
      </c>
      <c r="I476" s="28">
        <f>IF('DIVA Satislari'!I476="","",'DIVA Satislari'!AQ476)</f>
        <v/>
      </c>
      <c r="J476" s="26">
        <f>IF('DIVA Satislari'!I476="","",'DIVA Satislari'!AR476)</f>
        <v/>
      </c>
      <c r="K476" s="26">
        <f>IF('DIVA Satislari'!I476="","",IFERROR(INDEX('E2E Nakliye Montaj'!$AS$3:$AS$1002,MATCH('DIVA Satislari'!AJ476,'E2E Nakliye Montaj'!$AM$3:$AM$1002,0)),"Eşleşme Yok"))</f>
        <v/>
      </c>
      <c r="L476" s="26">
        <f>IF('DIVA Satislari'!I476="","",IFERROR(INDEX('E2E Nakliye Montaj'!$AT$3:$AT$1002,MATCH('DIVA Satislari'!AJ476,'E2E Nakliye Montaj'!$AM$3:$AM$1002,0)),"Hayır"))</f>
        <v/>
      </c>
      <c r="M476" s="26">
        <f>IF('DIVA Satislari'!I476="","",IFERROR(INDEX('E2E Nakliye Montaj'!$AU$3:$AU$1002,MATCH('DIVA Satislari'!AJ476,'E2E Nakliye Montaj'!$AM$3:$AM$1002,0)),"Hayır"))</f>
        <v/>
      </c>
      <c r="N476" s="27">
        <f>IF('DIVA Satislari'!I476="","",IFERROR(INDEX('E2E Nakliye Montaj'!$AV$3:$AV$1002,MATCH('DIVA Satislari'!AJ476,'E2E Nakliye Montaj'!$AM$3:$AM$1002,0)),""))</f>
        <v/>
      </c>
      <c r="O476" s="26">
        <f>IF(OR(A476="",N476=""),"",IF(N476&lt;=H476,"Evet","HAYIR - RİSK"))</f>
        <v/>
      </c>
      <c r="P476" s="26">
        <f>IF(A476="","",IF(LEFT(J476,8)="Kural A ","Uygun - Hemen Ödenir (Yıl Sonu %75 Kontrolüne Tabi)",IF(OR(L476="Evet",M476="Evet"),IF(O476="Evet","Uygun","RİSK - Hakediş Süresi Aşıldı"),"Bekleniyor - Nakliye/Montaj Tamamlanmadı")))</f>
        <v/>
      </c>
      <c r="Q476" s="28">
        <f>IF(A476="","",SUMIFS('Hakedis Fatura Detay'!$G$3:$G$1200,'Hakedis Fatura Detay'!$H$3:$H$1200,'DIVA Satislari'!AJ476,'Hakedis Fatura Detay'!$F$3:$F$1200,"Fiyat Farkı")+SUMIFS('Hakedis Fatura Detay'!$G$3:$G$1200,'Hakedis Fatura Detay'!$H$3:$H$1200,'DIVA Satislari'!AJ476,'Hakedis Fatura Detay'!$F$3:$F$1200,"Bundle"))</f>
        <v/>
      </c>
      <c r="R476" s="28">
        <f>IF(A476="","",I476-Q476)</f>
        <v/>
      </c>
      <c r="S476" s="26">
        <f>IF(A476="","",IF(LEFT(P476,7)="Bekleni","N/A - Henüz Ödenmemeli",IF(LEFT(P476,4)="RİSK","İNCELEME GEREKLİ - Süre Aşımı",IF(R476=0,"Doğru",IF(R476&gt;0,"EKSİK ÖDENMİŞ","FAZLA ÖDENMİŞ")))))</f>
        <v/>
      </c>
      <c r="T476" s="30">
        <f>IF(A476="","",IF(F476&lt;&gt;"Evet","İNCELEME GEREKLİ - Kampanya Tanımsız",IF(G476&lt;&gt;"Evet","İNCELEME GEREKLİ - Tarih Dışı Satış",IF(LEFT(P476,4)="RİSK","İNCELEME GEREKLİ - Hakediş Süresi Aşıldı",IF(OR(S476="EKSİK ÖDENMİŞ",S476="FAZLA ÖDENMİŞ"),"İNCELEME GEREKLİ - Tutar Uyuşmazlığı",IF(LEFT(P476,7)="Bekleni","Bekleniyor","Uygun"))))))</f>
        <v/>
      </c>
    </row>
    <row r="477">
      <c r="A477" s="26">
        <f>IF('DIVA Satislari'!I477="","",'DIVA Satislari'!I477)</f>
        <v/>
      </c>
      <c r="B477" s="26">
        <f>IF('DIVA Satislari'!I477="","",'DIVA Satislari'!R477)</f>
        <v/>
      </c>
      <c r="C477" s="26">
        <f>IF('DIVA Satislari'!I477="","",'DIVA Satislari'!M477)</f>
        <v/>
      </c>
      <c r="D477" s="27">
        <f>IF('DIVA Satislari'!I477="","",'DIVA Satislari'!H477)</f>
        <v/>
      </c>
      <c r="E477" s="26">
        <f>IF('DIVA Satislari'!I477="","",'DIVA Satislari'!O477)</f>
        <v/>
      </c>
      <c r="F477" s="26">
        <f>IF('DIVA Satislari'!I477="","",'DIVA Satislari'!AK477)</f>
        <v/>
      </c>
      <c r="G477" s="26">
        <f>IF('DIVA Satislari'!I477="","",'DIVA Satislari'!AO477)</f>
        <v/>
      </c>
      <c r="H477" s="27">
        <f>IF('DIVA Satislari'!I477="","",'DIVA Satislari'!AN477)</f>
        <v/>
      </c>
      <c r="I477" s="28">
        <f>IF('DIVA Satislari'!I477="","",'DIVA Satislari'!AQ477)</f>
        <v/>
      </c>
      <c r="J477" s="26">
        <f>IF('DIVA Satislari'!I477="","",'DIVA Satislari'!AR477)</f>
        <v/>
      </c>
      <c r="K477" s="26">
        <f>IF('DIVA Satislari'!I477="","",IFERROR(INDEX('E2E Nakliye Montaj'!$AS$3:$AS$1002,MATCH('DIVA Satislari'!AJ477,'E2E Nakliye Montaj'!$AM$3:$AM$1002,0)),"Eşleşme Yok"))</f>
        <v/>
      </c>
      <c r="L477" s="26">
        <f>IF('DIVA Satislari'!I477="","",IFERROR(INDEX('E2E Nakliye Montaj'!$AT$3:$AT$1002,MATCH('DIVA Satislari'!AJ477,'E2E Nakliye Montaj'!$AM$3:$AM$1002,0)),"Hayır"))</f>
        <v/>
      </c>
      <c r="M477" s="26">
        <f>IF('DIVA Satislari'!I477="","",IFERROR(INDEX('E2E Nakliye Montaj'!$AU$3:$AU$1002,MATCH('DIVA Satislari'!AJ477,'E2E Nakliye Montaj'!$AM$3:$AM$1002,0)),"Hayır"))</f>
        <v/>
      </c>
      <c r="N477" s="27">
        <f>IF('DIVA Satislari'!I477="","",IFERROR(INDEX('E2E Nakliye Montaj'!$AV$3:$AV$1002,MATCH('DIVA Satislari'!AJ477,'E2E Nakliye Montaj'!$AM$3:$AM$1002,0)),""))</f>
        <v/>
      </c>
      <c r="O477" s="26">
        <f>IF(OR(A477="",N477=""),"",IF(N477&lt;=H477,"Evet","HAYIR - RİSK"))</f>
        <v/>
      </c>
      <c r="P477" s="26">
        <f>IF(A477="","",IF(LEFT(J477,8)="Kural A ","Uygun - Hemen Ödenir (Yıl Sonu %75 Kontrolüne Tabi)",IF(OR(L477="Evet",M477="Evet"),IF(O477="Evet","Uygun","RİSK - Hakediş Süresi Aşıldı"),"Bekleniyor - Nakliye/Montaj Tamamlanmadı")))</f>
        <v/>
      </c>
      <c r="Q477" s="28">
        <f>IF(A477="","",SUMIFS('Hakedis Fatura Detay'!$G$3:$G$1200,'Hakedis Fatura Detay'!$H$3:$H$1200,'DIVA Satislari'!AJ477,'Hakedis Fatura Detay'!$F$3:$F$1200,"Fiyat Farkı")+SUMIFS('Hakedis Fatura Detay'!$G$3:$G$1200,'Hakedis Fatura Detay'!$H$3:$H$1200,'DIVA Satislari'!AJ477,'Hakedis Fatura Detay'!$F$3:$F$1200,"Bundle"))</f>
        <v/>
      </c>
      <c r="R477" s="28">
        <f>IF(A477="","",I477-Q477)</f>
        <v/>
      </c>
      <c r="S477" s="26">
        <f>IF(A477="","",IF(LEFT(P477,7)="Bekleni","N/A - Henüz Ödenmemeli",IF(LEFT(P477,4)="RİSK","İNCELEME GEREKLİ - Süre Aşımı",IF(R477=0,"Doğru",IF(R477&gt;0,"EKSİK ÖDENMİŞ","FAZLA ÖDENMİŞ")))))</f>
        <v/>
      </c>
      <c r="T477" s="30">
        <f>IF(A477="","",IF(F477&lt;&gt;"Evet","İNCELEME GEREKLİ - Kampanya Tanımsız",IF(G477&lt;&gt;"Evet","İNCELEME GEREKLİ - Tarih Dışı Satış",IF(LEFT(P477,4)="RİSK","İNCELEME GEREKLİ - Hakediş Süresi Aşıldı",IF(OR(S477="EKSİK ÖDENMİŞ",S477="FAZLA ÖDENMİŞ"),"İNCELEME GEREKLİ - Tutar Uyuşmazlığı",IF(LEFT(P477,7)="Bekleni","Bekleniyor","Uygun"))))))</f>
        <v/>
      </c>
    </row>
    <row r="478">
      <c r="A478" s="26">
        <f>IF('DIVA Satislari'!I478="","",'DIVA Satislari'!I478)</f>
        <v/>
      </c>
      <c r="B478" s="26">
        <f>IF('DIVA Satislari'!I478="","",'DIVA Satislari'!R478)</f>
        <v/>
      </c>
      <c r="C478" s="26">
        <f>IF('DIVA Satislari'!I478="","",'DIVA Satislari'!M478)</f>
        <v/>
      </c>
      <c r="D478" s="27">
        <f>IF('DIVA Satislari'!I478="","",'DIVA Satislari'!H478)</f>
        <v/>
      </c>
      <c r="E478" s="26">
        <f>IF('DIVA Satislari'!I478="","",'DIVA Satislari'!O478)</f>
        <v/>
      </c>
      <c r="F478" s="26">
        <f>IF('DIVA Satislari'!I478="","",'DIVA Satislari'!AK478)</f>
        <v/>
      </c>
      <c r="G478" s="26">
        <f>IF('DIVA Satislari'!I478="","",'DIVA Satislari'!AO478)</f>
        <v/>
      </c>
      <c r="H478" s="27">
        <f>IF('DIVA Satislari'!I478="","",'DIVA Satislari'!AN478)</f>
        <v/>
      </c>
      <c r="I478" s="28">
        <f>IF('DIVA Satislari'!I478="","",'DIVA Satislari'!AQ478)</f>
        <v/>
      </c>
      <c r="J478" s="26">
        <f>IF('DIVA Satislari'!I478="","",'DIVA Satislari'!AR478)</f>
        <v/>
      </c>
      <c r="K478" s="26">
        <f>IF('DIVA Satislari'!I478="","",IFERROR(INDEX('E2E Nakliye Montaj'!$AS$3:$AS$1002,MATCH('DIVA Satislari'!AJ478,'E2E Nakliye Montaj'!$AM$3:$AM$1002,0)),"Eşleşme Yok"))</f>
        <v/>
      </c>
      <c r="L478" s="26">
        <f>IF('DIVA Satislari'!I478="","",IFERROR(INDEX('E2E Nakliye Montaj'!$AT$3:$AT$1002,MATCH('DIVA Satislari'!AJ478,'E2E Nakliye Montaj'!$AM$3:$AM$1002,0)),"Hayır"))</f>
        <v/>
      </c>
      <c r="M478" s="26">
        <f>IF('DIVA Satislari'!I478="","",IFERROR(INDEX('E2E Nakliye Montaj'!$AU$3:$AU$1002,MATCH('DIVA Satislari'!AJ478,'E2E Nakliye Montaj'!$AM$3:$AM$1002,0)),"Hayır"))</f>
        <v/>
      </c>
      <c r="N478" s="27">
        <f>IF('DIVA Satislari'!I478="","",IFERROR(INDEX('E2E Nakliye Montaj'!$AV$3:$AV$1002,MATCH('DIVA Satislari'!AJ478,'E2E Nakliye Montaj'!$AM$3:$AM$1002,0)),""))</f>
        <v/>
      </c>
      <c r="O478" s="26">
        <f>IF(OR(A478="",N478=""),"",IF(N478&lt;=H478,"Evet","HAYIR - RİSK"))</f>
        <v/>
      </c>
      <c r="P478" s="26">
        <f>IF(A478="","",IF(LEFT(J478,8)="Kural A ","Uygun - Hemen Ödenir (Yıl Sonu %75 Kontrolüne Tabi)",IF(OR(L478="Evet",M478="Evet"),IF(O478="Evet","Uygun","RİSK - Hakediş Süresi Aşıldı"),"Bekleniyor - Nakliye/Montaj Tamamlanmadı")))</f>
        <v/>
      </c>
      <c r="Q478" s="28">
        <f>IF(A478="","",SUMIFS('Hakedis Fatura Detay'!$G$3:$G$1200,'Hakedis Fatura Detay'!$H$3:$H$1200,'DIVA Satislari'!AJ478,'Hakedis Fatura Detay'!$F$3:$F$1200,"Fiyat Farkı")+SUMIFS('Hakedis Fatura Detay'!$G$3:$G$1200,'Hakedis Fatura Detay'!$H$3:$H$1200,'DIVA Satislari'!AJ478,'Hakedis Fatura Detay'!$F$3:$F$1200,"Bundle"))</f>
        <v/>
      </c>
      <c r="R478" s="28">
        <f>IF(A478="","",I478-Q478)</f>
        <v/>
      </c>
      <c r="S478" s="26">
        <f>IF(A478="","",IF(LEFT(P478,7)="Bekleni","N/A - Henüz Ödenmemeli",IF(LEFT(P478,4)="RİSK","İNCELEME GEREKLİ - Süre Aşımı",IF(R478=0,"Doğru",IF(R478&gt;0,"EKSİK ÖDENMİŞ","FAZLA ÖDENMİŞ")))))</f>
        <v/>
      </c>
      <c r="T478" s="30">
        <f>IF(A478="","",IF(F478&lt;&gt;"Evet","İNCELEME GEREKLİ - Kampanya Tanımsız",IF(G478&lt;&gt;"Evet","İNCELEME GEREKLİ - Tarih Dışı Satış",IF(LEFT(P478,4)="RİSK","İNCELEME GEREKLİ - Hakediş Süresi Aşıldı",IF(OR(S478="EKSİK ÖDENMİŞ",S478="FAZLA ÖDENMİŞ"),"İNCELEME GEREKLİ - Tutar Uyuşmazlığı",IF(LEFT(P478,7)="Bekleni","Bekleniyor","Uygun"))))))</f>
        <v/>
      </c>
    </row>
    <row r="479">
      <c r="A479" s="26">
        <f>IF('DIVA Satislari'!I479="","",'DIVA Satislari'!I479)</f>
        <v/>
      </c>
      <c r="B479" s="26">
        <f>IF('DIVA Satislari'!I479="","",'DIVA Satislari'!R479)</f>
        <v/>
      </c>
      <c r="C479" s="26">
        <f>IF('DIVA Satislari'!I479="","",'DIVA Satislari'!M479)</f>
        <v/>
      </c>
      <c r="D479" s="27">
        <f>IF('DIVA Satislari'!I479="","",'DIVA Satislari'!H479)</f>
        <v/>
      </c>
      <c r="E479" s="26">
        <f>IF('DIVA Satislari'!I479="","",'DIVA Satislari'!O479)</f>
        <v/>
      </c>
      <c r="F479" s="26">
        <f>IF('DIVA Satislari'!I479="","",'DIVA Satislari'!AK479)</f>
        <v/>
      </c>
      <c r="G479" s="26">
        <f>IF('DIVA Satislari'!I479="","",'DIVA Satislari'!AO479)</f>
        <v/>
      </c>
      <c r="H479" s="27">
        <f>IF('DIVA Satislari'!I479="","",'DIVA Satislari'!AN479)</f>
        <v/>
      </c>
      <c r="I479" s="28">
        <f>IF('DIVA Satislari'!I479="","",'DIVA Satislari'!AQ479)</f>
        <v/>
      </c>
      <c r="J479" s="26">
        <f>IF('DIVA Satislari'!I479="","",'DIVA Satislari'!AR479)</f>
        <v/>
      </c>
      <c r="K479" s="26">
        <f>IF('DIVA Satislari'!I479="","",IFERROR(INDEX('E2E Nakliye Montaj'!$AS$3:$AS$1002,MATCH('DIVA Satislari'!AJ479,'E2E Nakliye Montaj'!$AM$3:$AM$1002,0)),"Eşleşme Yok"))</f>
        <v/>
      </c>
      <c r="L479" s="26">
        <f>IF('DIVA Satislari'!I479="","",IFERROR(INDEX('E2E Nakliye Montaj'!$AT$3:$AT$1002,MATCH('DIVA Satislari'!AJ479,'E2E Nakliye Montaj'!$AM$3:$AM$1002,0)),"Hayır"))</f>
        <v/>
      </c>
      <c r="M479" s="26">
        <f>IF('DIVA Satislari'!I479="","",IFERROR(INDEX('E2E Nakliye Montaj'!$AU$3:$AU$1002,MATCH('DIVA Satislari'!AJ479,'E2E Nakliye Montaj'!$AM$3:$AM$1002,0)),"Hayır"))</f>
        <v/>
      </c>
      <c r="N479" s="27">
        <f>IF('DIVA Satislari'!I479="","",IFERROR(INDEX('E2E Nakliye Montaj'!$AV$3:$AV$1002,MATCH('DIVA Satislari'!AJ479,'E2E Nakliye Montaj'!$AM$3:$AM$1002,0)),""))</f>
        <v/>
      </c>
      <c r="O479" s="26">
        <f>IF(OR(A479="",N479=""),"",IF(N479&lt;=H479,"Evet","HAYIR - RİSK"))</f>
        <v/>
      </c>
      <c r="P479" s="26">
        <f>IF(A479="","",IF(LEFT(J479,8)="Kural A ","Uygun - Hemen Ödenir (Yıl Sonu %75 Kontrolüne Tabi)",IF(OR(L479="Evet",M479="Evet"),IF(O479="Evet","Uygun","RİSK - Hakediş Süresi Aşıldı"),"Bekleniyor - Nakliye/Montaj Tamamlanmadı")))</f>
        <v/>
      </c>
      <c r="Q479" s="28">
        <f>IF(A479="","",SUMIFS('Hakedis Fatura Detay'!$G$3:$G$1200,'Hakedis Fatura Detay'!$H$3:$H$1200,'DIVA Satislari'!AJ479,'Hakedis Fatura Detay'!$F$3:$F$1200,"Fiyat Farkı")+SUMIFS('Hakedis Fatura Detay'!$G$3:$G$1200,'Hakedis Fatura Detay'!$H$3:$H$1200,'DIVA Satislari'!AJ479,'Hakedis Fatura Detay'!$F$3:$F$1200,"Bundle"))</f>
        <v/>
      </c>
      <c r="R479" s="28">
        <f>IF(A479="","",I479-Q479)</f>
        <v/>
      </c>
      <c r="S479" s="26">
        <f>IF(A479="","",IF(LEFT(P479,7)="Bekleni","N/A - Henüz Ödenmemeli",IF(LEFT(P479,4)="RİSK","İNCELEME GEREKLİ - Süre Aşımı",IF(R479=0,"Doğru",IF(R479&gt;0,"EKSİK ÖDENMİŞ","FAZLA ÖDENMİŞ")))))</f>
        <v/>
      </c>
      <c r="T479" s="30">
        <f>IF(A479="","",IF(F479&lt;&gt;"Evet","İNCELEME GEREKLİ - Kampanya Tanımsız",IF(G479&lt;&gt;"Evet","İNCELEME GEREKLİ - Tarih Dışı Satış",IF(LEFT(P479,4)="RİSK","İNCELEME GEREKLİ - Hakediş Süresi Aşıldı",IF(OR(S479="EKSİK ÖDENMİŞ",S479="FAZLA ÖDENMİŞ"),"İNCELEME GEREKLİ - Tutar Uyuşmazlığı",IF(LEFT(P479,7)="Bekleni","Bekleniyor","Uygun"))))))</f>
        <v/>
      </c>
    </row>
    <row r="480">
      <c r="A480" s="26">
        <f>IF('DIVA Satislari'!I480="","",'DIVA Satislari'!I480)</f>
        <v/>
      </c>
      <c r="B480" s="26">
        <f>IF('DIVA Satislari'!I480="","",'DIVA Satislari'!R480)</f>
        <v/>
      </c>
      <c r="C480" s="26">
        <f>IF('DIVA Satislari'!I480="","",'DIVA Satislari'!M480)</f>
        <v/>
      </c>
      <c r="D480" s="27">
        <f>IF('DIVA Satislari'!I480="","",'DIVA Satislari'!H480)</f>
        <v/>
      </c>
      <c r="E480" s="26">
        <f>IF('DIVA Satislari'!I480="","",'DIVA Satislari'!O480)</f>
        <v/>
      </c>
      <c r="F480" s="26">
        <f>IF('DIVA Satislari'!I480="","",'DIVA Satislari'!AK480)</f>
        <v/>
      </c>
      <c r="G480" s="26">
        <f>IF('DIVA Satislari'!I480="","",'DIVA Satislari'!AO480)</f>
        <v/>
      </c>
      <c r="H480" s="27">
        <f>IF('DIVA Satislari'!I480="","",'DIVA Satislari'!AN480)</f>
        <v/>
      </c>
      <c r="I480" s="28">
        <f>IF('DIVA Satislari'!I480="","",'DIVA Satislari'!AQ480)</f>
        <v/>
      </c>
      <c r="J480" s="26">
        <f>IF('DIVA Satislari'!I480="","",'DIVA Satislari'!AR480)</f>
        <v/>
      </c>
      <c r="K480" s="26">
        <f>IF('DIVA Satislari'!I480="","",IFERROR(INDEX('E2E Nakliye Montaj'!$AS$3:$AS$1002,MATCH('DIVA Satislari'!AJ480,'E2E Nakliye Montaj'!$AM$3:$AM$1002,0)),"Eşleşme Yok"))</f>
        <v/>
      </c>
      <c r="L480" s="26">
        <f>IF('DIVA Satislari'!I480="","",IFERROR(INDEX('E2E Nakliye Montaj'!$AT$3:$AT$1002,MATCH('DIVA Satislari'!AJ480,'E2E Nakliye Montaj'!$AM$3:$AM$1002,0)),"Hayır"))</f>
        <v/>
      </c>
      <c r="M480" s="26">
        <f>IF('DIVA Satislari'!I480="","",IFERROR(INDEX('E2E Nakliye Montaj'!$AU$3:$AU$1002,MATCH('DIVA Satislari'!AJ480,'E2E Nakliye Montaj'!$AM$3:$AM$1002,0)),"Hayır"))</f>
        <v/>
      </c>
      <c r="N480" s="27">
        <f>IF('DIVA Satislari'!I480="","",IFERROR(INDEX('E2E Nakliye Montaj'!$AV$3:$AV$1002,MATCH('DIVA Satislari'!AJ480,'E2E Nakliye Montaj'!$AM$3:$AM$1002,0)),""))</f>
        <v/>
      </c>
      <c r="O480" s="26">
        <f>IF(OR(A480="",N480=""),"",IF(N480&lt;=H480,"Evet","HAYIR - RİSK"))</f>
        <v/>
      </c>
      <c r="P480" s="26">
        <f>IF(A480="","",IF(LEFT(J480,8)="Kural A ","Uygun - Hemen Ödenir (Yıl Sonu %75 Kontrolüne Tabi)",IF(OR(L480="Evet",M480="Evet"),IF(O480="Evet","Uygun","RİSK - Hakediş Süresi Aşıldı"),"Bekleniyor - Nakliye/Montaj Tamamlanmadı")))</f>
        <v/>
      </c>
      <c r="Q480" s="28">
        <f>IF(A480="","",SUMIFS('Hakedis Fatura Detay'!$G$3:$G$1200,'Hakedis Fatura Detay'!$H$3:$H$1200,'DIVA Satislari'!AJ480,'Hakedis Fatura Detay'!$F$3:$F$1200,"Fiyat Farkı")+SUMIFS('Hakedis Fatura Detay'!$G$3:$G$1200,'Hakedis Fatura Detay'!$H$3:$H$1200,'DIVA Satislari'!AJ480,'Hakedis Fatura Detay'!$F$3:$F$1200,"Bundle"))</f>
        <v/>
      </c>
      <c r="R480" s="28">
        <f>IF(A480="","",I480-Q480)</f>
        <v/>
      </c>
      <c r="S480" s="26">
        <f>IF(A480="","",IF(LEFT(P480,7)="Bekleni","N/A - Henüz Ödenmemeli",IF(LEFT(P480,4)="RİSK","İNCELEME GEREKLİ - Süre Aşımı",IF(R480=0,"Doğru",IF(R480&gt;0,"EKSİK ÖDENMİŞ","FAZLA ÖDENMİŞ")))))</f>
        <v/>
      </c>
      <c r="T480" s="30">
        <f>IF(A480="","",IF(F480&lt;&gt;"Evet","İNCELEME GEREKLİ - Kampanya Tanımsız",IF(G480&lt;&gt;"Evet","İNCELEME GEREKLİ - Tarih Dışı Satış",IF(LEFT(P480,4)="RİSK","İNCELEME GEREKLİ - Hakediş Süresi Aşıldı",IF(OR(S480="EKSİK ÖDENMİŞ",S480="FAZLA ÖDENMİŞ"),"İNCELEME GEREKLİ - Tutar Uyuşmazlığı",IF(LEFT(P480,7)="Bekleni","Bekleniyor","Uygun"))))))</f>
        <v/>
      </c>
    </row>
    <row r="481">
      <c r="A481" s="26">
        <f>IF('DIVA Satislari'!I481="","",'DIVA Satislari'!I481)</f>
        <v/>
      </c>
      <c r="B481" s="26">
        <f>IF('DIVA Satislari'!I481="","",'DIVA Satislari'!R481)</f>
        <v/>
      </c>
      <c r="C481" s="26">
        <f>IF('DIVA Satislari'!I481="","",'DIVA Satislari'!M481)</f>
        <v/>
      </c>
      <c r="D481" s="27">
        <f>IF('DIVA Satislari'!I481="","",'DIVA Satislari'!H481)</f>
        <v/>
      </c>
      <c r="E481" s="26">
        <f>IF('DIVA Satislari'!I481="","",'DIVA Satislari'!O481)</f>
        <v/>
      </c>
      <c r="F481" s="26">
        <f>IF('DIVA Satislari'!I481="","",'DIVA Satislari'!AK481)</f>
        <v/>
      </c>
      <c r="G481" s="26">
        <f>IF('DIVA Satislari'!I481="","",'DIVA Satislari'!AO481)</f>
        <v/>
      </c>
      <c r="H481" s="27">
        <f>IF('DIVA Satislari'!I481="","",'DIVA Satislari'!AN481)</f>
        <v/>
      </c>
      <c r="I481" s="28">
        <f>IF('DIVA Satislari'!I481="","",'DIVA Satislari'!AQ481)</f>
        <v/>
      </c>
      <c r="J481" s="26">
        <f>IF('DIVA Satislari'!I481="","",'DIVA Satislari'!AR481)</f>
        <v/>
      </c>
      <c r="K481" s="26">
        <f>IF('DIVA Satislari'!I481="","",IFERROR(INDEX('E2E Nakliye Montaj'!$AS$3:$AS$1002,MATCH('DIVA Satislari'!AJ481,'E2E Nakliye Montaj'!$AM$3:$AM$1002,0)),"Eşleşme Yok"))</f>
        <v/>
      </c>
      <c r="L481" s="26">
        <f>IF('DIVA Satislari'!I481="","",IFERROR(INDEX('E2E Nakliye Montaj'!$AT$3:$AT$1002,MATCH('DIVA Satislari'!AJ481,'E2E Nakliye Montaj'!$AM$3:$AM$1002,0)),"Hayır"))</f>
        <v/>
      </c>
      <c r="M481" s="26">
        <f>IF('DIVA Satislari'!I481="","",IFERROR(INDEX('E2E Nakliye Montaj'!$AU$3:$AU$1002,MATCH('DIVA Satislari'!AJ481,'E2E Nakliye Montaj'!$AM$3:$AM$1002,0)),"Hayır"))</f>
        <v/>
      </c>
      <c r="N481" s="27">
        <f>IF('DIVA Satislari'!I481="","",IFERROR(INDEX('E2E Nakliye Montaj'!$AV$3:$AV$1002,MATCH('DIVA Satislari'!AJ481,'E2E Nakliye Montaj'!$AM$3:$AM$1002,0)),""))</f>
        <v/>
      </c>
      <c r="O481" s="26">
        <f>IF(OR(A481="",N481=""),"",IF(N481&lt;=H481,"Evet","HAYIR - RİSK"))</f>
        <v/>
      </c>
      <c r="P481" s="26">
        <f>IF(A481="","",IF(LEFT(J481,8)="Kural A ","Uygun - Hemen Ödenir (Yıl Sonu %75 Kontrolüne Tabi)",IF(OR(L481="Evet",M481="Evet"),IF(O481="Evet","Uygun","RİSK - Hakediş Süresi Aşıldı"),"Bekleniyor - Nakliye/Montaj Tamamlanmadı")))</f>
        <v/>
      </c>
      <c r="Q481" s="28">
        <f>IF(A481="","",SUMIFS('Hakedis Fatura Detay'!$G$3:$G$1200,'Hakedis Fatura Detay'!$H$3:$H$1200,'DIVA Satislari'!AJ481,'Hakedis Fatura Detay'!$F$3:$F$1200,"Fiyat Farkı")+SUMIFS('Hakedis Fatura Detay'!$G$3:$G$1200,'Hakedis Fatura Detay'!$H$3:$H$1200,'DIVA Satislari'!AJ481,'Hakedis Fatura Detay'!$F$3:$F$1200,"Bundle"))</f>
        <v/>
      </c>
      <c r="R481" s="28">
        <f>IF(A481="","",I481-Q481)</f>
        <v/>
      </c>
      <c r="S481" s="26">
        <f>IF(A481="","",IF(LEFT(P481,7)="Bekleni","N/A - Henüz Ödenmemeli",IF(LEFT(P481,4)="RİSK","İNCELEME GEREKLİ - Süre Aşımı",IF(R481=0,"Doğru",IF(R481&gt;0,"EKSİK ÖDENMİŞ","FAZLA ÖDENMİŞ")))))</f>
        <v/>
      </c>
      <c r="T481" s="30">
        <f>IF(A481="","",IF(F481&lt;&gt;"Evet","İNCELEME GEREKLİ - Kampanya Tanımsız",IF(G481&lt;&gt;"Evet","İNCELEME GEREKLİ - Tarih Dışı Satış",IF(LEFT(P481,4)="RİSK","İNCELEME GEREKLİ - Hakediş Süresi Aşıldı",IF(OR(S481="EKSİK ÖDENMİŞ",S481="FAZLA ÖDENMİŞ"),"İNCELEME GEREKLİ - Tutar Uyuşmazlığı",IF(LEFT(P481,7)="Bekleni","Bekleniyor","Uygun"))))))</f>
        <v/>
      </c>
    </row>
    <row r="482">
      <c r="A482" s="26">
        <f>IF('DIVA Satislari'!I482="","",'DIVA Satislari'!I482)</f>
        <v/>
      </c>
      <c r="B482" s="26">
        <f>IF('DIVA Satislari'!I482="","",'DIVA Satislari'!R482)</f>
        <v/>
      </c>
      <c r="C482" s="26">
        <f>IF('DIVA Satislari'!I482="","",'DIVA Satislari'!M482)</f>
        <v/>
      </c>
      <c r="D482" s="27">
        <f>IF('DIVA Satislari'!I482="","",'DIVA Satislari'!H482)</f>
        <v/>
      </c>
      <c r="E482" s="26">
        <f>IF('DIVA Satislari'!I482="","",'DIVA Satislari'!O482)</f>
        <v/>
      </c>
      <c r="F482" s="26">
        <f>IF('DIVA Satislari'!I482="","",'DIVA Satislari'!AK482)</f>
        <v/>
      </c>
      <c r="G482" s="26">
        <f>IF('DIVA Satislari'!I482="","",'DIVA Satislari'!AO482)</f>
        <v/>
      </c>
      <c r="H482" s="27">
        <f>IF('DIVA Satislari'!I482="","",'DIVA Satislari'!AN482)</f>
        <v/>
      </c>
      <c r="I482" s="28">
        <f>IF('DIVA Satislari'!I482="","",'DIVA Satislari'!AQ482)</f>
        <v/>
      </c>
      <c r="J482" s="26">
        <f>IF('DIVA Satislari'!I482="","",'DIVA Satislari'!AR482)</f>
        <v/>
      </c>
      <c r="K482" s="26">
        <f>IF('DIVA Satislari'!I482="","",IFERROR(INDEX('E2E Nakliye Montaj'!$AS$3:$AS$1002,MATCH('DIVA Satislari'!AJ482,'E2E Nakliye Montaj'!$AM$3:$AM$1002,0)),"Eşleşme Yok"))</f>
        <v/>
      </c>
      <c r="L482" s="26">
        <f>IF('DIVA Satislari'!I482="","",IFERROR(INDEX('E2E Nakliye Montaj'!$AT$3:$AT$1002,MATCH('DIVA Satislari'!AJ482,'E2E Nakliye Montaj'!$AM$3:$AM$1002,0)),"Hayır"))</f>
        <v/>
      </c>
      <c r="M482" s="26">
        <f>IF('DIVA Satislari'!I482="","",IFERROR(INDEX('E2E Nakliye Montaj'!$AU$3:$AU$1002,MATCH('DIVA Satislari'!AJ482,'E2E Nakliye Montaj'!$AM$3:$AM$1002,0)),"Hayır"))</f>
        <v/>
      </c>
      <c r="N482" s="27">
        <f>IF('DIVA Satislari'!I482="","",IFERROR(INDEX('E2E Nakliye Montaj'!$AV$3:$AV$1002,MATCH('DIVA Satislari'!AJ482,'E2E Nakliye Montaj'!$AM$3:$AM$1002,0)),""))</f>
        <v/>
      </c>
      <c r="O482" s="26">
        <f>IF(OR(A482="",N482=""),"",IF(N482&lt;=H482,"Evet","HAYIR - RİSK"))</f>
        <v/>
      </c>
      <c r="P482" s="26">
        <f>IF(A482="","",IF(LEFT(J482,8)="Kural A ","Uygun - Hemen Ödenir (Yıl Sonu %75 Kontrolüne Tabi)",IF(OR(L482="Evet",M482="Evet"),IF(O482="Evet","Uygun","RİSK - Hakediş Süresi Aşıldı"),"Bekleniyor - Nakliye/Montaj Tamamlanmadı")))</f>
        <v/>
      </c>
      <c r="Q482" s="28">
        <f>IF(A482="","",SUMIFS('Hakedis Fatura Detay'!$G$3:$G$1200,'Hakedis Fatura Detay'!$H$3:$H$1200,'DIVA Satislari'!AJ482,'Hakedis Fatura Detay'!$F$3:$F$1200,"Fiyat Farkı")+SUMIFS('Hakedis Fatura Detay'!$G$3:$G$1200,'Hakedis Fatura Detay'!$H$3:$H$1200,'DIVA Satislari'!AJ482,'Hakedis Fatura Detay'!$F$3:$F$1200,"Bundle"))</f>
        <v/>
      </c>
      <c r="R482" s="28">
        <f>IF(A482="","",I482-Q482)</f>
        <v/>
      </c>
      <c r="S482" s="26">
        <f>IF(A482="","",IF(LEFT(P482,7)="Bekleni","N/A - Henüz Ödenmemeli",IF(LEFT(P482,4)="RİSK","İNCELEME GEREKLİ - Süre Aşımı",IF(R482=0,"Doğru",IF(R482&gt;0,"EKSİK ÖDENMİŞ","FAZLA ÖDENMİŞ")))))</f>
        <v/>
      </c>
      <c r="T482" s="30">
        <f>IF(A482="","",IF(F482&lt;&gt;"Evet","İNCELEME GEREKLİ - Kampanya Tanımsız",IF(G482&lt;&gt;"Evet","İNCELEME GEREKLİ - Tarih Dışı Satış",IF(LEFT(P482,4)="RİSK","İNCELEME GEREKLİ - Hakediş Süresi Aşıldı",IF(OR(S482="EKSİK ÖDENMİŞ",S482="FAZLA ÖDENMİŞ"),"İNCELEME GEREKLİ - Tutar Uyuşmazlığı",IF(LEFT(P482,7)="Bekleni","Bekleniyor","Uygun"))))))</f>
        <v/>
      </c>
    </row>
    <row r="483">
      <c r="A483" s="26">
        <f>IF('DIVA Satislari'!I483="","",'DIVA Satislari'!I483)</f>
        <v/>
      </c>
      <c r="B483" s="26">
        <f>IF('DIVA Satislari'!I483="","",'DIVA Satislari'!R483)</f>
        <v/>
      </c>
      <c r="C483" s="26">
        <f>IF('DIVA Satislari'!I483="","",'DIVA Satislari'!M483)</f>
        <v/>
      </c>
      <c r="D483" s="27">
        <f>IF('DIVA Satislari'!I483="","",'DIVA Satislari'!H483)</f>
        <v/>
      </c>
      <c r="E483" s="26">
        <f>IF('DIVA Satislari'!I483="","",'DIVA Satislari'!O483)</f>
        <v/>
      </c>
      <c r="F483" s="26">
        <f>IF('DIVA Satislari'!I483="","",'DIVA Satislari'!AK483)</f>
        <v/>
      </c>
      <c r="G483" s="26">
        <f>IF('DIVA Satislari'!I483="","",'DIVA Satislari'!AO483)</f>
        <v/>
      </c>
      <c r="H483" s="27">
        <f>IF('DIVA Satislari'!I483="","",'DIVA Satislari'!AN483)</f>
        <v/>
      </c>
      <c r="I483" s="28">
        <f>IF('DIVA Satislari'!I483="","",'DIVA Satislari'!AQ483)</f>
        <v/>
      </c>
      <c r="J483" s="26">
        <f>IF('DIVA Satislari'!I483="","",'DIVA Satislari'!AR483)</f>
        <v/>
      </c>
      <c r="K483" s="26">
        <f>IF('DIVA Satislari'!I483="","",IFERROR(INDEX('E2E Nakliye Montaj'!$AS$3:$AS$1002,MATCH('DIVA Satislari'!AJ483,'E2E Nakliye Montaj'!$AM$3:$AM$1002,0)),"Eşleşme Yok"))</f>
        <v/>
      </c>
      <c r="L483" s="26">
        <f>IF('DIVA Satislari'!I483="","",IFERROR(INDEX('E2E Nakliye Montaj'!$AT$3:$AT$1002,MATCH('DIVA Satislari'!AJ483,'E2E Nakliye Montaj'!$AM$3:$AM$1002,0)),"Hayır"))</f>
        <v/>
      </c>
      <c r="M483" s="26">
        <f>IF('DIVA Satislari'!I483="","",IFERROR(INDEX('E2E Nakliye Montaj'!$AU$3:$AU$1002,MATCH('DIVA Satislari'!AJ483,'E2E Nakliye Montaj'!$AM$3:$AM$1002,0)),"Hayır"))</f>
        <v/>
      </c>
      <c r="N483" s="27">
        <f>IF('DIVA Satislari'!I483="","",IFERROR(INDEX('E2E Nakliye Montaj'!$AV$3:$AV$1002,MATCH('DIVA Satislari'!AJ483,'E2E Nakliye Montaj'!$AM$3:$AM$1002,0)),""))</f>
        <v/>
      </c>
      <c r="O483" s="26">
        <f>IF(OR(A483="",N483=""),"",IF(N483&lt;=H483,"Evet","HAYIR - RİSK"))</f>
        <v/>
      </c>
      <c r="P483" s="26">
        <f>IF(A483="","",IF(LEFT(J483,8)="Kural A ","Uygun - Hemen Ödenir (Yıl Sonu %75 Kontrolüne Tabi)",IF(OR(L483="Evet",M483="Evet"),IF(O483="Evet","Uygun","RİSK - Hakediş Süresi Aşıldı"),"Bekleniyor - Nakliye/Montaj Tamamlanmadı")))</f>
        <v/>
      </c>
      <c r="Q483" s="28">
        <f>IF(A483="","",SUMIFS('Hakedis Fatura Detay'!$G$3:$G$1200,'Hakedis Fatura Detay'!$H$3:$H$1200,'DIVA Satislari'!AJ483,'Hakedis Fatura Detay'!$F$3:$F$1200,"Fiyat Farkı")+SUMIFS('Hakedis Fatura Detay'!$G$3:$G$1200,'Hakedis Fatura Detay'!$H$3:$H$1200,'DIVA Satislari'!AJ483,'Hakedis Fatura Detay'!$F$3:$F$1200,"Bundle"))</f>
        <v/>
      </c>
      <c r="R483" s="28">
        <f>IF(A483="","",I483-Q483)</f>
        <v/>
      </c>
      <c r="S483" s="26">
        <f>IF(A483="","",IF(LEFT(P483,7)="Bekleni","N/A - Henüz Ödenmemeli",IF(LEFT(P483,4)="RİSK","İNCELEME GEREKLİ - Süre Aşımı",IF(R483=0,"Doğru",IF(R483&gt;0,"EKSİK ÖDENMİŞ","FAZLA ÖDENMİŞ")))))</f>
        <v/>
      </c>
      <c r="T483" s="30">
        <f>IF(A483="","",IF(F483&lt;&gt;"Evet","İNCELEME GEREKLİ - Kampanya Tanımsız",IF(G483&lt;&gt;"Evet","İNCELEME GEREKLİ - Tarih Dışı Satış",IF(LEFT(P483,4)="RİSK","İNCELEME GEREKLİ - Hakediş Süresi Aşıldı",IF(OR(S483="EKSİK ÖDENMİŞ",S483="FAZLA ÖDENMİŞ"),"İNCELEME GEREKLİ - Tutar Uyuşmazlığı",IF(LEFT(P483,7)="Bekleni","Bekleniyor","Uygun"))))))</f>
        <v/>
      </c>
    </row>
    <row r="484">
      <c r="A484" s="26">
        <f>IF('DIVA Satislari'!I484="","",'DIVA Satislari'!I484)</f>
        <v/>
      </c>
      <c r="B484" s="26">
        <f>IF('DIVA Satislari'!I484="","",'DIVA Satislari'!R484)</f>
        <v/>
      </c>
      <c r="C484" s="26">
        <f>IF('DIVA Satislari'!I484="","",'DIVA Satislari'!M484)</f>
        <v/>
      </c>
      <c r="D484" s="27">
        <f>IF('DIVA Satislari'!I484="","",'DIVA Satislari'!H484)</f>
        <v/>
      </c>
      <c r="E484" s="26">
        <f>IF('DIVA Satislari'!I484="","",'DIVA Satislari'!O484)</f>
        <v/>
      </c>
      <c r="F484" s="26">
        <f>IF('DIVA Satislari'!I484="","",'DIVA Satislari'!AK484)</f>
        <v/>
      </c>
      <c r="G484" s="26">
        <f>IF('DIVA Satislari'!I484="","",'DIVA Satislari'!AO484)</f>
        <v/>
      </c>
      <c r="H484" s="27">
        <f>IF('DIVA Satislari'!I484="","",'DIVA Satislari'!AN484)</f>
        <v/>
      </c>
      <c r="I484" s="28">
        <f>IF('DIVA Satislari'!I484="","",'DIVA Satislari'!AQ484)</f>
        <v/>
      </c>
      <c r="J484" s="26">
        <f>IF('DIVA Satislari'!I484="","",'DIVA Satislari'!AR484)</f>
        <v/>
      </c>
      <c r="K484" s="26">
        <f>IF('DIVA Satislari'!I484="","",IFERROR(INDEX('E2E Nakliye Montaj'!$AS$3:$AS$1002,MATCH('DIVA Satislari'!AJ484,'E2E Nakliye Montaj'!$AM$3:$AM$1002,0)),"Eşleşme Yok"))</f>
        <v/>
      </c>
      <c r="L484" s="26">
        <f>IF('DIVA Satislari'!I484="","",IFERROR(INDEX('E2E Nakliye Montaj'!$AT$3:$AT$1002,MATCH('DIVA Satislari'!AJ484,'E2E Nakliye Montaj'!$AM$3:$AM$1002,0)),"Hayır"))</f>
        <v/>
      </c>
      <c r="M484" s="26">
        <f>IF('DIVA Satislari'!I484="","",IFERROR(INDEX('E2E Nakliye Montaj'!$AU$3:$AU$1002,MATCH('DIVA Satislari'!AJ484,'E2E Nakliye Montaj'!$AM$3:$AM$1002,0)),"Hayır"))</f>
        <v/>
      </c>
      <c r="N484" s="27">
        <f>IF('DIVA Satislari'!I484="","",IFERROR(INDEX('E2E Nakliye Montaj'!$AV$3:$AV$1002,MATCH('DIVA Satislari'!AJ484,'E2E Nakliye Montaj'!$AM$3:$AM$1002,0)),""))</f>
        <v/>
      </c>
      <c r="O484" s="26">
        <f>IF(OR(A484="",N484=""),"",IF(N484&lt;=H484,"Evet","HAYIR - RİSK"))</f>
        <v/>
      </c>
      <c r="P484" s="26">
        <f>IF(A484="","",IF(LEFT(J484,8)="Kural A ","Uygun - Hemen Ödenir (Yıl Sonu %75 Kontrolüne Tabi)",IF(OR(L484="Evet",M484="Evet"),IF(O484="Evet","Uygun","RİSK - Hakediş Süresi Aşıldı"),"Bekleniyor - Nakliye/Montaj Tamamlanmadı")))</f>
        <v/>
      </c>
      <c r="Q484" s="28">
        <f>IF(A484="","",SUMIFS('Hakedis Fatura Detay'!$G$3:$G$1200,'Hakedis Fatura Detay'!$H$3:$H$1200,'DIVA Satislari'!AJ484,'Hakedis Fatura Detay'!$F$3:$F$1200,"Fiyat Farkı")+SUMIFS('Hakedis Fatura Detay'!$G$3:$G$1200,'Hakedis Fatura Detay'!$H$3:$H$1200,'DIVA Satislari'!AJ484,'Hakedis Fatura Detay'!$F$3:$F$1200,"Bundle"))</f>
        <v/>
      </c>
      <c r="R484" s="28">
        <f>IF(A484="","",I484-Q484)</f>
        <v/>
      </c>
      <c r="S484" s="26">
        <f>IF(A484="","",IF(LEFT(P484,7)="Bekleni","N/A - Henüz Ödenmemeli",IF(LEFT(P484,4)="RİSK","İNCELEME GEREKLİ - Süre Aşımı",IF(R484=0,"Doğru",IF(R484&gt;0,"EKSİK ÖDENMİŞ","FAZLA ÖDENMİŞ")))))</f>
        <v/>
      </c>
      <c r="T484" s="30">
        <f>IF(A484="","",IF(F484&lt;&gt;"Evet","İNCELEME GEREKLİ - Kampanya Tanımsız",IF(G484&lt;&gt;"Evet","İNCELEME GEREKLİ - Tarih Dışı Satış",IF(LEFT(P484,4)="RİSK","İNCELEME GEREKLİ - Hakediş Süresi Aşıldı",IF(OR(S484="EKSİK ÖDENMİŞ",S484="FAZLA ÖDENMİŞ"),"İNCELEME GEREKLİ - Tutar Uyuşmazlığı",IF(LEFT(P484,7)="Bekleni","Bekleniyor","Uygun"))))))</f>
        <v/>
      </c>
    </row>
    <row r="485">
      <c r="A485" s="26">
        <f>IF('DIVA Satislari'!I485="","",'DIVA Satislari'!I485)</f>
        <v/>
      </c>
      <c r="B485" s="26">
        <f>IF('DIVA Satislari'!I485="","",'DIVA Satislari'!R485)</f>
        <v/>
      </c>
      <c r="C485" s="26">
        <f>IF('DIVA Satislari'!I485="","",'DIVA Satislari'!M485)</f>
        <v/>
      </c>
      <c r="D485" s="27">
        <f>IF('DIVA Satislari'!I485="","",'DIVA Satislari'!H485)</f>
        <v/>
      </c>
      <c r="E485" s="26">
        <f>IF('DIVA Satislari'!I485="","",'DIVA Satislari'!O485)</f>
        <v/>
      </c>
      <c r="F485" s="26">
        <f>IF('DIVA Satislari'!I485="","",'DIVA Satislari'!AK485)</f>
        <v/>
      </c>
      <c r="G485" s="26">
        <f>IF('DIVA Satislari'!I485="","",'DIVA Satislari'!AO485)</f>
        <v/>
      </c>
      <c r="H485" s="27">
        <f>IF('DIVA Satislari'!I485="","",'DIVA Satislari'!AN485)</f>
        <v/>
      </c>
      <c r="I485" s="28">
        <f>IF('DIVA Satislari'!I485="","",'DIVA Satislari'!AQ485)</f>
        <v/>
      </c>
      <c r="J485" s="26">
        <f>IF('DIVA Satislari'!I485="","",'DIVA Satislari'!AR485)</f>
        <v/>
      </c>
      <c r="K485" s="26">
        <f>IF('DIVA Satislari'!I485="","",IFERROR(INDEX('E2E Nakliye Montaj'!$AS$3:$AS$1002,MATCH('DIVA Satislari'!AJ485,'E2E Nakliye Montaj'!$AM$3:$AM$1002,0)),"Eşleşme Yok"))</f>
        <v/>
      </c>
      <c r="L485" s="26">
        <f>IF('DIVA Satislari'!I485="","",IFERROR(INDEX('E2E Nakliye Montaj'!$AT$3:$AT$1002,MATCH('DIVA Satislari'!AJ485,'E2E Nakliye Montaj'!$AM$3:$AM$1002,0)),"Hayır"))</f>
        <v/>
      </c>
      <c r="M485" s="26">
        <f>IF('DIVA Satislari'!I485="","",IFERROR(INDEX('E2E Nakliye Montaj'!$AU$3:$AU$1002,MATCH('DIVA Satislari'!AJ485,'E2E Nakliye Montaj'!$AM$3:$AM$1002,0)),"Hayır"))</f>
        <v/>
      </c>
      <c r="N485" s="27">
        <f>IF('DIVA Satislari'!I485="","",IFERROR(INDEX('E2E Nakliye Montaj'!$AV$3:$AV$1002,MATCH('DIVA Satislari'!AJ485,'E2E Nakliye Montaj'!$AM$3:$AM$1002,0)),""))</f>
        <v/>
      </c>
      <c r="O485" s="26">
        <f>IF(OR(A485="",N485=""),"",IF(N485&lt;=H485,"Evet","HAYIR - RİSK"))</f>
        <v/>
      </c>
      <c r="P485" s="26">
        <f>IF(A485="","",IF(LEFT(J485,8)="Kural A ","Uygun - Hemen Ödenir (Yıl Sonu %75 Kontrolüne Tabi)",IF(OR(L485="Evet",M485="Evet"),IF(O485="Evet","Uygun","RİSK - Hakediş Süresi Aşıldı"),"Bekleniyor - Nakliye/Montaj Tamamlanmadı")))</f>
        <v/>
      </c>
      <c r="Q485" s="28">
        <f>IF(A485="","",SUMIFS('Hakedis Fatura Detay'!$G$3:$G$1200,'Hakedis Fatura Detay'!$H$3:$H$1200,'DIVA Satislari'!AJ485,'Hakedis Fatura Detay'!$F$3:$F$1200,"Fiyat Farkı")+SUMIFS('Hakedis Fatura Detay'!$G$3:$G$1200,'Hakedis Fatura Detay'!$H$3:$H$1200,'DIVA Satislari'!AJ485,'Hakedis Fatura Detay'!$F$3:$F$1200,"Bundle"))</f>
        <v/>
      </c>
      <c r="R485" s="28">
        <f>IF(A485="","",I485-Q485)</f>
        <v/>
      </c>
      <c r="S485" s="26">
        <f>IF(A485="","",IF(LEFT(P485,7)="Bekleni","N/A - Henüz Ödenmemeli",IF(LEFT(P485,4)="RİSK","İNCELEME GEREKLİ - Süre Aşımı",IF(R485=0,"Doğru",IF(R485&gt;0,"EKSİK ÖDENMİŞ","FAZLA ÖDENMİŞ")))))</f>
        <v/>
      </c>
      <c r="T485" s="30">
        <f>IF(A485="","",IF(F485&lt;&gt;"Evet","İNCELEME GEREKLİ - Kampanya Tanımsız",IF(G485&lt;&gt;"Evet","İNCELEME GEREKLİ - Tarih Dışı Satış",IF(LEFT(P485,4)="RİSK","İNCELEME GEREKLİ - Hakediş Süresi Aşıldı",IF(OR(S485="EKSİK ÖDENMİŞ",S485="FAZLA ÖDENMİŞ"),"İNCELEME GEREKLİ - Tutar Uyuşmazlığı",IF(LEFT(P485,7)="Bekleni","Bekleniyor","Uygun"))))))</f>
        <v/>
      </c>
    </row>
    <row r="486">
      <c r="A486" s="26">
        <f>IF('DIVA Satislari'!I486="","",'DIVA Satislari'!I486)</f>
        <v/>
      </c>
      <c r="B486" s="26">
        <f>IF('DIVA Satislari'!I486="","",'DIVA Satislari'!R486)</f>
        <v/>
      </c>
      <c r="C486" s="26">
        <f>IF('DIVA Satislari'!I486="","",'DIVA Satislari'!M486)</f>
        <v/>
      </c>
      <c r="D486" s="27">
        <f>IF('DIVA Satislari'!I486="","",'DIVA Satislari'!H486)</f>
        <v/>
      </c>
      <c r="E486" s="26">
        <f>IF('DIVA Satislari'!I486="","",'DIVA Satislari'!O486)</f>
        <v/>
      </c>
      <c r="F486" s="26">
        <f>IF('DIVA Satislari'!I486="","",'DIVA Satislari'!AK486)</f>
        <v/>
      </c>
      <c r="G486" s="26">
        <f>IF('DIVA Satislari'!I486="","",'DIVA Satislari'!AO486)</f>
        <v/>
      </c>
      <c r="H486" s="27">
        <f>IF('DIVA Satislari'!I486="","",'DIVA Satislari'!AN486)</f>
        <v/>
      </c>
      <c r="I486" s="28">
        <f>IF('DIVA Satislari'!I486="","",'DIVA Satislari'!AQ486)</f>
        <v/>
      </c>
      <c r="J486" s="26">
        <f>IF('DIVA Satislari'!I486="","",'DIVA Satislari'!AR486)</f>
        <v/>
      </c>
      <c r="K486" s="26">
        <f>IF('DIVA Satislari'!I486="","",IFERROR(INDEX('E2E Nakliye Montaj'!$AS$3:$AS$1002,MATCH('DIVA Satislari'!AJ486,'E2E Nakliye Montaj'!$AM$3:$AM$1002,0)),"Eşleşme Yok"))</f>
        <v/>
      </c>
      <c r="L486" s="26">
        <f>IF('DIVA Satislari'!I486="","",IFERROR(INDEX('E2E Nakliye Montaj'!$AT$3:$AT$1002,MATCH('DIVA Satislari'!AJ486,'E2E Nakliye Montaj'!$AM$3:$AM$1002,0)),"Hayır"))</f>
        <v/>
      </c>
      <c r="M486" s="26">
        <f>IF('DIVA Satislari'!I486="","",IFERROR(INDEX('E2E Nakliye Montaj'!$AU$3:$AU$1002,MATCH('DIVA Satislari'!AJ486,'E2E Nakliye Montaj'!$AM$3:$AM$1002,0)),"Hayır"))</f>
        <v/>
      </c>
      <c r="N486" s="27">
        <f>IF('DIVA Satislari'!I486="","",IFERROR(INDEX('E2E Nakliye Montaj'!$AV$3:$AV$1002,MATCH('DIVA Satislari'!AJ486,'E2E Nakliye Montaj'!$AM$3:$AM$1002,0)),""))</f>
        <v/>
      </c>
      <c r="O486" s="26">
        <f>IF(OR(A486="",N486=""),"",IF(N486&lt;=H486,"Evet","HAYIR - RİSK"))</f>
        <v/>
      </c>
      <c r="P486" s="26">
        <f>IF(A486="","",IF(LEFT(J486,8)="Kural A ","Uygun - Hemen Ödenir (Yıl Sonu %75 Kontrolüne Tabi)",IF(OR(L486="Evet",M486="Evet"),IF(O486="Evet","Uygun","RİSK - Hakediş Süresi Aşıldı"),"Bekleniyor - Nakliye/Montaj Tamamlanmadı")))</f>
        <v/>
      </c>
      <c r="Q486" s="28">
        <f>IF(A486="","",SUMIFS('Hakedis Fatura Detay'!$G$3:$G$1200,'Hakedis Fatura Detay'!$H$3:$H$1200,'DIVA Satislari'!AJ486,'Hakedis Fatura Detay'!$F$3:$F$1200,"Fiyat Farkı")+SUMIFS('Hakedis Fatura Detay'!$G$3:$G$1200,'Hakedis Fatura Detay'!$H$3:$H$1200,'DIVA Satislari'!AJ486,'Hakedis Fatura Detay'!$F$3:$F$1200,"Bundle"))</f>
        <v/>
      </c>
      <c r="R486" s="28">
        <f>IF(A486="","",I486-Q486)</f>
        <v/>
      </c>
      <c r="S486" s="26">
        <f>IF(A486="","",IF(LEFT(P486,7)="Bekleni","N/A - Henüz Ödenmemeli",IF(LEFT(P486,4)="RİSK","İNCELEME GEREKLİ - Süre Aşımı",IF(R486=0,"Doğru",IF(R486&gt;0,"EKSİK ÖDENMİŞ","FAZLA ÖDENMİŞ")))))</f>
        <v/>
      </c>
      <c r="T486" s="30">
        <f>IF(A486="","",IF(F486&lt;&gt;"Evet","İNCELEME GEREKLİ - Kampanya Tanımsız",IF(G486&lt;&gt;"Evet","İNCELEME GEREKLİ - Tarih Dışı Satış",IF(LEFT(P486,4)="RİSK","İNCELEME GEREKLİ - Hakediş Süresi Aşıldı",IF(OR(S486="EKSİK ÖDENMİŞ",S486="FAZLA ÖDENMİŞ"),"İNCELEME GEREKLİ - Tutar Uyuşmazlığı",IF(LEFT(P486,7)="Bekleni","Bekleniyor","Uygun"))))))</f>
        <v/>
      </c>
    </row>
    <row r="487">
      <c r="A487" s="26">
        <f>IF('DIVA Satislari'!I487="","",'DIVA Satislari'!I487)</f>
        <v/>
      </c>
      <c r="B487" s="26">
        <f>IF('DIVA Satislari'!I487="","",'DIVA Satislari'!R487)</f>
        <v/>
      </c>
      <c r="C487" s="26">
        <f>IF('DIVA Satislari'!I487="","",'DIVA Satislari'!M487)</f>
        <v/>
      </c>
      <c r="D487" s="27">
        <f>IF('DIVA Satislari'!I487="","",'DIVA Satislari'!H487)</f>
        <v/>
      </c>
      <c r="E487" s="26">
        <f>IF('DIVA Satislari'!I487="","",'DIVA Satislari'!O487)</f>
        <v/>
      </c>
      <c r="F487" s="26">
        <f>IF('DIVA Satislari'!I487="","",'DIVA Satislari'!AK487)</f>
        <v/>
      </c>
      <c r="G487" s="26">
        <f>IF('DIVA Satislari'!I487="","",'DIVA Satislari'!AO487)</f>
        <v/>
      </c>
      <c r="H487" s="27">
        <f>IF('DIVA Satislari'!I487="","",'DIVA Satislari'!AN487)</f>
        <v/>
      </c>
      <c r="I487" s="28">
        <f>IF('DIVA Satislari'!I487="","",'DIVA Satislari'!AQ487)</f>
        <v/>
      </c>
      <c r="J487" s="26">
        <f>IF('DIVA Satislari'!I487="","",'DIVA Satislari'!AR487)</f>
        <v/>
      </c>
      <c r="K487" s="26">
        <f>IF('DIVA Satislari'!I487="","",IFERROR(INDEX('E2E Nakliye Montaj'!$AS$3:$AS$1002,MATCH('DIVA Satislari'!AJ487,'E2E Nakliye Montaj'!$AM$3:$AM$1002,0)),"Eşleşme Yok"))</f>
        <v/>
      </c>
      <c r="L487" s="26">
        <f>IF('DIVA Satislari'!I487="","",IFERROR(INDEX('E2E Nakliye Montaj'!$AT$3:$AT$1002,MATCH('DIVA Satislari'!AJ487,'E2E Nakliye Montaj'!$AM$3:$AM$1002,0)),"Hayır"))</f>
        <v/>
      </c>
      <c r="M487" s="26">
        <f>IF('DIVA Satislari'!I487="","",IFERROR(INDEX('E2E Nakliye Montaj'!$AU$3:$AU$1002,MATCH('DIVA Satislari'!AJ487,'E2E Nakliye Montaj'!$AM$3:$AM$1002,0)),"Hayır"))</f>
        <v/>
      </c>
      <c r="N487" s="27">
        <f>IF('DIVA Satislari'!I487="","",IFERROR(INDEX('E2E Nakliye Montaj'!$AV$3:$AV$1002,MATCH('DIVA Satislari'!AJ487,'E2E Nakliye Montaj'!$AM$3:$AM$1002,0)),""))</f>
        <v/>
      </c>
      <c r="O487" s="26">
        <f>IF(OR(A487="",N487=""),"",IF(N487&lt;=H487,"Evet","HAYIR - RİSK"))</f>
        <v/>
      </c>
      <c r="P487" s="26">
        <f>IF(A487="","",IF(LEFT(J487,8)="Kural A ","Uygun - Hemen Ödenir (Yıl Sonu %75 Kontrolüne Tabi)",IF(OR(L487="Evet",M487="Evet"),IF(O487="Evet","Uygun","RİSK - Hakediş Süresi Aşıldı"),"Bekleniyor - Nakliye/Montaj Tamamlanmadı")))</f>
        <v/>
      </c>
      <c r="Q487" s="28">
        <f>IF(A487="","",SUMIFS('Hakedis Fatura Detay'!$G$3:$G$1200,'Hakedis Fatura Detay'!$H$3:$H$1200,'DIVA Satislari'!AJ487,'Hakedis Fatura Detay'!$F$3:$F$1200,"Fiyat Farkı")+SUMIFS('Hakedis Fatura Detay'!$G$3:$G$1200,'Hakedis Fatura Detay'!$H$3:$H$1200,'DIVA Satislari'!AJ487,'Hakedis Fatura Detay'!$F$3:$F$1200,"Bundle"))</f>
        <v/>
      </c>
      <c r="R487" s="28">
        <f>IF(A487="","",I487-Q487)</f>
        <v/>
      </c>
      <c r="S487" s="26">
        <f>IF(A487="","",IF(LEFT(P487,7)="Bekleni","N/A - Henüz Ödenmemeli",IF(LEFT(P487,4)="RİSK","İNCELEME GEREKLİ - Süre Aşımı",IF(R487=0,"Doğru",IF(R487&gt;0,"EKSİK ÖDENMİŞ","FAZLA ÖDENMİŞ")))))</f>
        <v/>
      </c>
      <c r="T487" s="30">
        <f>IF(A487="","",IF(F487&lt;&gt;"Evet","İNCELEME GEREKLİ - Kampanya Tanımsız",IF(G487&lt;&gt;"Evet","İNCELEME GEREKLİ - Tarih Dışı Satış",IF(LEFT(P487,4)="RİSK","İNCELEME GEREKLİ - Hakediş Süresi Aşıldı",IF(OR(S487="EKSİK ÖDENMİŞ",S487="FAZLA ÖDENMİŞ"),"İNCELEME GEREKLİ - Tutar Uyuşmazlığı",IF(LEFT(P487,7)="Bekleni","Bekleniyor","Uygun"))))))</f>
        <v/>
      </c>
    </row>
    <row r="488">
      <c r="A488" s="26">
        <f>IF('DIVA Satislari'!I488="","",'DIVA Satislari'!I488)</f>
        <v/>
      </c>
      <c r="B488" s="26">
        <f>IF('DIVA Satislari'!I488="","",'DIVA Satislari'!R488)</f>
        <v/>
      </c>
      <c r="C488" s="26">
        <f>IF('DIVA Satislari'!I488="","",'DIVA Satislari'!M488)</f>
        <v/>
      </c>
      <c r="D488" s="27">
        <f>IF('DIVA Satislari'!I488="","",'DIVA Satislari'!H488)</f>
        <v/>
      </c>
      <c r="E488" s="26">
        <f>IF('DIVA Satislari'!I488="","",'DIVA Satislari'!O488)</f>
        <v/>
      </c>
      <c r="F488" s="26">
        <f>IF('DIVA Satislari'!I488="","",'DIVA Satislari'!AK488)</f>
        <v/>
      </c>
      <c r="G488" s="26">
        <f>IF('DIVA Satislari'!I488="","",'DIVA Satislari'!AO488)</f>
        <v/>
      </c>
      <c r="H488" s="27">
        <f>IF('DIVA Satislari'!I488="","",'DIVA Satislari'!AN488)</f>
        <v/>
      </c>
      <c r="I488" s="28">
        <f>IF('DIVA Satislari'!I488="","",'DIVA Satislari'!AQ488)</f>
        <v/>
      </c>
      <c r="J488" s="26">
        <f>IF('DIVA Satislari'!I488="","",'DIVA Satislari'!AR488)</f>
        <v/>
      </c>
      <c r="K488" s="26">
        <f>IF('DIVA Satislari'!I488="","",IFERROR(INDEX('E2E Nakliye Montaj'!$AS$3:$AS$1002,MATCH('DIVA Satislari'!AJ488,'E2E Nakliye Montaj'!$AM$3:$AM$1002,0)),"Eşleşme Yok"))</f>
        <v/>
      </c>
      <c r="L488" s="26">
        <f>IF('DIVA Satislari'!I488="","",IFERROR(INDEX('E2E Nakliye Montaj'!$AT$3:$AT$1002,MATCH('DIVA Satislari'!AJ488,'E2E Nakliye Montaj'!$AM$3:$AM$1002,0)),"Hayır"))</f>
        <v/>
      </c>
      <c r="M488" s="26">
        <f>IF('DIVA Satislari'!I488="","",IFERROR(INDEX('E2E Nakliye Montaj'!$AU$3:$AU$1002,MATCH('DIVA Satislari'!AJ488,'E2E Nakliye Montaj'!$AM$3:$AM$1002,0)),"Hayır"))</f>
        <v/>
      </c>
      <c r="N488" s="27">
        <f>IF('DIVA Satislari'!I488="","",IFERROR(INDEX('E2E Nakliye Montaj'!$AV$3:$AV$1002,MATCH('DIVA Satislari'!AJ488,'E2E Nakliye Montaj'!$AM$3:$AM$1002,0)),""))</f>
        <v/>
      </c>
      <c r="O488" s="26">
        <f>IF(OR(A488="",N488=""),"",IF(N488&lt;=H488,"Evet","HAYIR - RİSK"))</f>
        <v/>
      </c>
      <c r="P488" s="26">
        <f>IF(A488="","",IF(LEFT(J488,8)="Kural A ","Uygun - Hemen Ödenir (Yıl Sonu %75 Kontrolüne Tabi)",IF(OR(L488="Evet",M488="Evet"),IF(O488="Evet","Uygun","RİSK - Hakediş Süresi Aşıldı"),"Bekleniyor - Nakliye/Montaj Tamamlanmadı")))</f>
        <v/>
      </c>
      <c r="Q488" s="28">
        <f>IF(A488="","",SUMIFS('Hakedis Fatura Detay'!$G$3:$G$1200,'Hakedis Fatura Detay'!$H$3:$H$1200,'DIVA Satislari'!AJ488,'Hakedis Fatura Detay'!$F$3:$F$1200,"Fiyat Farkı")+SUMIFS('Hakedis Fatura Detay'!$G$3:$G$1200,'Hakedis Fatura Detay'!$H$3:$H$1200,'DIVA Satislari'!AJ488,'Hakedis Fatura Detay'!$F$3:$F$1200,"Bundle"))</f>
        <v/>
      </c>
      <c r="R488" s="28">
        <f>IF(A488="","",I488-Q488)</f>
        <v/>
      </c>
      <c r="S488" s="26">
        <f>IF(A488="","",IF(LEFT(P488,7)="Bekleni","N/A - Henüz Ödenmemeli",IF(LEFT(P488,4)="RİSK","İNCELEME GEREKLİ - Süre Aşımı",IF(R488=0,"Doğru",IF(R488&gt;0,"EKSİK ÖDENMİŞ","FAZLA ÖDENMİŞ")))))</f>
        <v/>
      </c>
      <c r="T488" s="30">
        <f>IF(A488="","",IF(F488&lt;&gt;"Evet","İNCELEME GEREKLİ - Kampanya Tanımsız",IF(G488&lt;&gt;"Evet","İNCELEME GEREKLİ - Tarih Dışı Satış",IF(LEFT(P488,4)="RİSK","İNCELEME GEREKLİ - Hakediş Süresi Aşıldı",IF(OR(S488="EKSİK ÖDENMİŞ",S488="FAZLA ÖDENMİŞ"),"İNCELEME GEREKLİ - Tutar Uyuşmazlığı",IF(LEFT(P488,7)="Bekleni","Bekleniyor","Uygun"))))))</f>
        <v/>
      </c>
    </row>
    <row r="489">
      <c r="A489" s="26">
        <f>IF('DIVA Satislari'!I489="","",'DIVA Satislari'!I489)</f>
        <v/>
      </c>
      <c r="B489" s="26">
        <f>IF('DIVA Satislari'!I489="","",'DIVA Satislari'!R489)</f>
        <v/>
      </c>
      <c r="C489" s="26">
        <f>IF('DIVA Satislari'!I489="","",'DIVA Satislari'!M489)</f>
        <v/>
      </c>
      <c r="D489" s="27">
        <f>IF('DIVA Satislari'!I489="","",'DIVA Satislari'!H489)</f>
        <v/>
      </c>
      <c r="E489" s="26">
        <f>IF('DIVA Satislari'!I489="","",'DIVA Satislari'!O489)</f>
        <v/>
      </c>
      <c r="F489" s="26">
        <f>IF('DIVA Satislari'!I489="","",'DIVA Satislari'!AK489)</f>
        <v/>
      </c>
      <c r="G489" s="26">
        <f>IF('DIVA Satislari'!I489="","",'DIVA Satislari'!AO489)</f>
        <v/>
      </c>
      <c r="H489" s="27">
        <f>IF('DIVA Satislari'!I489="","",'DIVA Satislari'!AN489)</f>
        <v/>
      </c>
      <c r="I489" s="28">
        <f>IF('DIVA Satislari'!I489="","",'DIVA Satislari'!AQ489)</f>
        <v/>
      </c>
      <c r="J489" s="26">
        <f>IF('DIVA Satislari'!I489="","",'DIVA Satislari'!AR489)</f>
        <v/>
      </c>
      <c r="K489" s="26">
        <f>IF('DIVA Satislari'!I489="","",IFERROR(INDEX('E2E Nakliye Montaj'!$AS$3:$AS$1002,MATCH('DIVA Satislari'!AJ489,'E2E Nakliye Montaj'!$AM$3:$AM$1002,0)),"Eşleşme Yok"))</f>
        <v/>
      </c>
      <c r="L489" s="26">
        <f>IF('DIVA Satislari'!I489="","",IFERROR(INDEX('E2E Nakliye Montaj'!$AT$3:$AT$1002,MATCH('DIVA Satislari'!AJ489,'E2E Nakliye Montaj'!$AM$3:$AM$1002,0)),"Hayır"))</f>
        <v/>
      </c>
      <c r="M489" s="26">
        <f>IF('DIVA Satislari'!I489="","",IFERROR(INDEX('E2E Nakliye Montaj'!$AU$3:$AU$1002,MATCH('DIVA Satislari'!AJ489,'E2E Nakliye Montaj'!$AM$3:$AM$1002,0)),"Hayır"))</f>
        <v/>
      </c>
      <c r="N489" s="27">
        <f>IF('DIVA Satislari'!I489="","",IFERROR(INDEX('E2E Nakliye Montaj'!$AV$3:$AV$1002,MATCH('DIVA Satislari'!AJ489,'E2E Nakliye Montaj'!$AM$3:$AM$1002,0)),""))</f>
        <v/>
      </c>
      <c r="O489" s="26">
        <f>IF(OR(A489="",N489=""),"",IF(N489&lt;=H489,"Evet","HAYIR - RİSK"))</f>
        <v/>
      </c>
      <c r="P489" s="26">
        <f>IF(A489="","",IF(LEFT(J489,8)="Kural A ","Uygun - Hemen Ödenir (Yıl Sonu %75 Kontrolüne Tabi)",IF(OR(L489="Evet",M489="Evet"),IF(O489="Evet","Uygun","RİSK - Hakediş Süresi Aşıldı"),"Bekleniyor - Nakliye/Montaj Tamamlanmadı")))</f>
        <v/>
      </c>
      <c r="Q489" s="28">
        <f>IF(A489="","",SUMIFS('Hakedis Fatura Detay'!$G$3:$G$1200,'Hakedis Fatura Detay'!$H$3:$H$1200,'DIVA Satislari'!AJ489,'Hakedis Fatura Detay'!$F$3:$F$1200,"Fiyat Farkı")+SUMIFS('Hakedis Fatura Detay'!$G$3:$G$1200,'Hakedis Fatura Detay'!$H$3:$H$1200,'DIVA Satislari'!AJ489,'Hakedis Fatura Detay'!$F$3:$F$1200,"Bundle"))</f>
        <v/>
      </c>
      <c r="R489" s="28">
        <f>IF(A489="","",I489-Q489)</f>
        <v/>
      </c>
      <c r="S489" s="26">
        <f>IF(A489="","",IF(LEFT(P489,7)="Bekleni","N/A - Henüz Ödenmemeli",IF(LEFT(P489,4)="RİSK","İNCELEME GEREKLİ - Süre Aşımı",IF(R489=0,"Doğru",IF(R489&gt;0,"EKSİK ÖDENMİŞ","FAZLA ÖDENMİŞ")))))</f>
        <v/>
      </c>
      <c r="T489" s="30">
        <f>IF(A489="","",IF(F489&lt;&gt;"Evet","İNCELEME GEREKLİ - Kampanya Tanımsız",IF(G489&lt;&gt;"Evet","İNCELEME GEREKLİ - Tarih Dışı Satış",IF(LEFT(P489,4)="RİSK","İNCELEME GEREKLİ - Hakediş Süresi Aşıldı",IF(OR(S489="EKSİK ÖDENMİŞ",S489="FAZLA ÖDENMİŞ"),"İNCELEME GEREKLİ - Tutar Uyuşmazlığı",IF(LEFT(P489,7)="Bekleni","Bekleniyor","Uygun"))))))</f>
        <v/>
      </c>
    </row>
    <row r="490">
      <c r="A490" s="26">
        <f>IF('DIVA Satislari'!I490="","",'DIVA Satislari'!I490)</f>
        <v/>
      </c>
      <c r="B490" s="26">
        <f>IF('DIVA Satislari'!I490="","",'DIVA Satislari'!R490)</f>
        <v/>
      </c>
      <c r="C490" s="26">
        <f>IF('DIVA Satislari'!I490="","",'DIVA Satislari'!M490)</f>
        <v/>
      </c>
      <c r="D490" s="27">
        <f>IF('DIVA Satislari'!I490="","",'DIVA Satislari'!H490)</f>
        <v/>
      </c>
      <c r="E490" s="26">
        <f>IF('DIVA Satislari'!I490="","",'DIVA Satislari'!O490)</f>
        <v/>
      </c>
      <c r="F490" s="26">
        <f>IF('DIVA Satislari'!I490="","",'DIVA Satislari'!AK490)</f>
        <v/>
      </c>
      <c r="G490" s="26">
        <f>IF('DIVA Satislari'!I490="","",'DIVA Satislari'!AO490)</f>
        <v/>
      </c>
      <c r="H490" s="27">
        <f>IF('DIVA Satislari'!I490="","",'DIVA Satislari'!AN490)</f>
        <v/>
      </c>
      <c r="I490" s="28">
        <f>IF('DIVA Satislari'!I490="","",'DIVA Satislari'!AQ490)</f>
        <v/>
      </c>
      <c r="J490" s="26">
        <f>IF('DIVA Satislari'!I490="","",'DIVA Satislari'!AR490)</f>
        <v/>
      </c>
      <c r="K490" s="26">
        <f>IF('DIVA Satislari'!I490="","",IFERROR(INDEX('E2E Nakliye Montaj'!$AS$3:$AS$1002,MATCH('DIVA Satislari'!AJ490,'E2E Nakliye Montaj'!$AM$3:$AM$1002,0)),"Eşleşme Yok"))</f>
        <v/>
      </c>
      <c r="L490" s="26">
        <f>IF('DIVA Satislari'!I490="","",IFERROR(INDEX('E2E Nakliye Montaj'!$AT$3:$AT$1002,MATCH('DIVA Satislari'!AJ490,'E2E Nakliye Montaj'!$AM$3:$AM$1002,0)),"Hayır"))</f>
        <v/>
      </c>
      <c r="M490" s="26">
        <f>IF('DIVA Satislari'!I490="","",IFERROR(INDEX('E2E Nakliye Montaj'!$AU$3:$AU$1002,MATCH('DIVA Satislari'!AJ490,'E2E Nakliye Montaj'!$AM$3:$AM$1002,0)),"Hayır"))</f>
        <v/>
      </c>
      <c r="N490" s="27">
        <f>IF('DIVA Satislari'!I490="","",IFERROR(INDEX('E2E Nakliye Montaj'!$AV$3:$AV$1002,MATCH('DIVA Satislari'!AJ490,'E2E Nakliye Montaj'!$AM$3:$AM$1002,0)),""))</f>
        <v/>
      </c>
      <c r="O490" s="26">
        <f>IF(OR(A490="",N490=""),"",IF(N490&lt;=H490,"Evet","HAYIR - RİSK"))</f>
        <v/>
      </c>
      <c r="P490" s="26">
        <f>IF(A490="","",IF(LEFT(J490,8)="Kural A ","Uygun - Hemen Ödenir (Yıl Sonu %75 Kontrolüne Tabi)",IF(OR(L490="Evet",M490="Evet"),IF(O490="Evet","Uygun","RİSK - Hakediş Süresi Aşıldı"),"Bekleniyor - Nakliye/Montaj Tamamlanmadı")))</f>
        <v/>
      </c>
      <c r="Q490" s="28">
        <f>IF(A490="","",SUMIFS('Hakedis Fatura Detay'!$G$3:$G$1200,'Hakedis Fatura Detay'!$H$3:$H$1200,'DIVA Satislari'!AJ490,'Hakedis Fatura Detay'!$F$3:$F$1200,"Fiyat Farkı")+SUMIFS('Hakedis Fatura Detay'!$G$3:$G$1200,'Hakedis Fatura Detay'!$H$3:$H$1200,'DIVA Satislari'!AJ490,'Hakedis Fatura Detay'!$F$3:$F$1200,"Bundle"))</f>
        <v/>
      </c>
      <c r="R490" s="28">
        <f>IF(A490="","",I490-Q490)</f>
        <v/>
      </c>
      <c r="S490" s="26">
        <f>IF(A490="","",IF(LEFT(P490,7)="Bekleni","N/A - Henüz Ödenmemeli",IF(LEFT(P490,4)="RİSK","İNCELEME GEREKLİ - Süre Aşımı",IF(R490=0,"Doğru",IF(R490&gt;0,"EKSİK ÖDENMİŞ","FAZLA ÖDENMİŞ")))))</f>
        <v/>
      </c>
      <c r="T490" s="30">
        <f>IF(A490="","",IF(F490&lt;&gt;"Evet","İNCELEME GEREKLİ - Kampanya Tanımsız",IF(G490&lt;&gt;"Evet","İNCELEME GEREKLİ - Tarih Dışı Satış",IF(LEFT(P490,4)="RİSK","İNCELEME GEREKLİ - Hakediş Süresi Aşıldı",IF(OR(S490="EKSİK ÖDENMİŞ",S490="FAZLA ÖDENMİŞ"),"İNCELEME GEREKLİ - Tutar Uyuşmazlığı",IF(LEFT(P490,7)="Bekleni","Bekleniyor","Uygun"))))))</f>
        <v/>
      </c>
    </row>
    <row r="491">
      <c r="A491" s="26">
        <f>IF('DIVA Satislari'!I491="","",'DIVA Satislari'!I491)</f>
        <v/>
      </c>
      <c r="B491" s="26">
        <f>IF('DIVA Satislari'!I491="","",'DIVA Satislari'!R491)</f>
        <v/>
      </c>
      <c r="C491" s="26">
        <f>IF('DIVA Satislari'!I491="","",'DIVA Satislari'!M491)</f>
        <v/>
      </c>
      <c r="D491" s="27">
        <f>IF('DIVA Satislari'!I491="","",'DIVA Satislari'!H491)</f>
        <v/>
      </c>
      <c r="E491" s="26">
        <f>IF('DIVA Satislari'!I491="","",'DIVA Satislari'!O491)</f>
        <v/>
      </c>
      <c r="F491" s="26">
        <f>IF('DIVA Satislari'!I491="","",'DIVA Satislari'!AK491)</f>
        <v/>
      </c>
      <c r="G491" s="26">
        <f>IF('DIVA Satislari'!I491="","",'DIVA Satislari'!AO491)</f>
        <v/>
      </c>
      <c r="H491" s="27">
        <f>IF('DIVA Satislari'!I491="","",'DIVA Satislari'!AN491)</f>
        <v/>
      </c>
      <c r="I491" s="28">
        <f>IF('DIVA Satislari'!I491="","",'DIVA Satislari'!AQ491)</f>
        <v/>
      </c>
      <c r="J491" s="26">
        <f>IF('DIVA Satislari'!I491="","",'DIVA Satislari'!AR491)</f>
        <v/>
      </c>
      <c r="K491" s="26">
        <f>IF('DIVA Satislari'!I491="","",IFERROR(INDEX('E2E Nakliye Montaj'!$AS$3:$AS$1002,MATCH('DIVA Satislari'!AJ491,'E2E Nakliye Montaj'!$AM$3:$AM$1002,0)),"Eşleşme Yok"))</f>
        <v/>
      </c>
      <c r="L491" s="26">
        <f>IF('DIVA Satislari'!I491="","",IFERROR(INDEX('E2E Nakliye Montaj'!$AT$3:$AT$1002,MATCH('DIVA Satislari'!AJ491,'E2E Nakliye Montaj'!$AM$3:$AM$1002,0)),"Hayır"))</f>
        <v/>
      </c>
      <c r="M491" s="26">
        <f>IF('DIVA Satislari'!I491="","",IFERROR(INDEX('E2E Nakliye Montaj'!$AU$3:$AU$1002,MATCH('DIVA Satislari'!AJ491,'E2E Nakliye Montaj'!$AM$3:$AM$1002,0)),"Hayır"))</f>
        <v/>
      </c>
      <c r="N491" s="27">
        <f>IF('DIVA Satislari'!I491="","",IFERROR(INDEX('E2E Nakliye Montaj'!$AV$3:$AV$1002,MATCH('DIVA Satislari'!AJ491,'E2E Nakliye Montaj'!$AM$3:$AM$1002,0)),""))</f>
        <v/>
      </c>
      <c r="O491" s="26">
        <f>IF(OR(A491="",N491=""),"",IF(N491&lt;=H491,"Evet","HAYIR - RİSK"))</f>
        <v/>
      </c>
      <c r="P491" s="26">
        <f>IF(A491="","",IF(LEFT(J491,8)="Kural A ","Uygun - Hemen Ödenir (Yıl Sonu %75 Kontrolüne Tabi)",IF(OR(L491="Evet",M491="Evet"),IF(O491="Evet","Uygun","RİSK - Hakediş Süresi Aşıldı"),"Bekleniyor - Nakliye/Montaj Tamamlanmadı")))</f>
        <v/>
      </c>
      <c r="Q491" s="28">
        <f>IF(A491="","",SUMIFS('Hakedis Fatura Detay'!$G$3:$G$1200,'Hakedis Fatura Detay'!$H$3:$H$1200,'DIVA Satislari'!AJ491,'Hakedis Fatura Detay'!$F$3:$F$1200,"Fiyat Farkı")+SUMIFS('Hakedis Fatura Detay'!$G$3:$G$1200,'Hakedis Fatura Detay'!$H$3:$H$1200,'DIVA Satislari'!AJ491,'Hakedis Fatura Detay'!$F$3:$F$1200,"Bundle"))</f>
        <v/>
      </c>
      <c r="R491" s="28">
        <f>IF(A491="","",I491-Q491)</f>
        <v/>
      </c>
      <c r="S491" s="26">
        <f>IF(A491="","",IF(LEFT(P491,7)="Bekleni","N/A - Henüz Ödenmemeli",IF(LEFT(P491,4)="RİSK","İNCELEME GEREKLİ - Süre Aşımı",IF(R491=0,"Doğru",IF(R491&gt;0,"EKSİK ÖDENMİŞ","FAZLA ÖDENMİŞ")))))</f>
        <v/>
      </c>
      <c r="T491" s="30">
        <f>IF(A491="","",IF(F491&lt;&gt;"Evet","İNCELEME GEREKLİ - Kampanya Tanımsız",IF(G491&lt;&gt;"Evet","İNCELEME GEREKLİ - Tarih Dışı Satış",IF(LEFT(P491,4)="RİSK","İNCELEME GEREKLİ - Hakediş Süresi Aşıldı",IF(OR(S491="EKSİK ÖDENMİŞ",S491="FAZLA ÖDENMİŞ"),"İNCELEME GEREKLİ - Tutar Uyuşmazlığı",IF(LEFT(P491,7)="Bekleni","Bekleniyor","Uygun"))))))</f>
        <v/>
      </c>
    </row>
    <row r="492">
      <c r="A492" s="26">
        <f>IF('DIVA Satislari'!I492="","",'DIVA Satislari'!I492)</f>
        <v/>
      </c>
      <c r="B492" s="26">
        <f>IF('DIVA Satislari'!I492="","",'DIVA Satislari'!R492)</f>
        <v/>
      </c>
      <c r="C492" s="26">
        <f>IF('DIVA Satislari'!I492="","",'DIVA Satislari'!M492)</f>
        <v/>
      </c>
      <c r="D492" s="27">
        <f>IF('DIVA Satislari'!I492="","",'DIVA Satislari'!H492)</f>
        <v/>
      </c>
      <c r="E492" s="26">
        <f>IF('DIVA Satislari'!I492="","",'DIVA Satislari'!O492)</f>
        <v/>
      </c>
      <c r="F492" s="26">
        <f>IF('DIVA Satislari'!I492="","",'DIVA Satislari'!AK492)</f>
        <v/>
      </c>
      <c r="G492" s="26">
        <f>IF('DIVA Satislari'!I492="","",'DIVA Satislari'!AO492)</f>
        <v/>
      </c>
      <c r="H492" s="27">
        <f>IF('DIVA Satislari'!I492="","",'DIVA Satislari'!AN492)</f>
        <v/>
      </c>
      <c r="I492" s="28">
        <f>IF('DIVA Satislari'!I492="","",'DIVA Satislari'!AQ492)</f>
        <v/>
      </c>
      <c r="J492" s="26">
        <f>IF('DIVA Satislari'!I492="","",'DIVA Satislari'!AR492)</f>
        <v/>
      </c>
      <c r="K492" s="26">
        <f>IF('DIVA Satislari'!I492="","",IFERROR(INDEX('E2E Nakliye Montaj'!$AS$3:$AS$1002,MATCH('DIVA Satislari'!AJ492,'E2E Nakliye Montaj'!$AM$3:$AM$1002,0)),"Eşleşme Yok"))</f>
        <v/>
      </c>
      <c r="L492" s="26">
        <f>IF('DIVA Satislari'!I492="","",IFERROR(INDEX('E2E Nakliye Montaj'!$AT$3:$AT$1002,MATCH('DIVA Satislari'!AJ492,'E2E Nakliye Montaj'!$AM$3:$AM$1002,0)),"Hayır"))</f>
        <v/>
      </c>
      <c r="M492" s="26">
        <f>IF('DIVA Satislari'!I492="","",IFERROR(INDEX('E2E Nakliye Montaj'!$AU$3:$AU$1002,MATCH('DIVA Satislari'!AJ492,'E2E Nakliye Montaj'!$AM$3:$AM$1002,0)),"Hayır"))</f>
        <v/>
      </c>
      <c r="N492" s="27">
        <f>IF('DIVA Satislari'!I492="","",IFERROR(INDEX('E2E Nakliye Montaj'!$AV$3:$AV$1002,MATCH('DIVA Satislari'!AJ492,'E2E Nakliye Montaj'!$AM$3:$AM$1002,0)),""))</f>
        <v/>
      </c>
      <c r="O492" s="26">
        <f>IF(OR(A492="",N492=""),"",IF(N492&lt;=H492,"Evet","HAYIR - RİSK"))</f>
        <v/>
      </c>
      <c r="P492" s="26">
        <f>IF(A492="","",IF(LEFT(J492,8)="Kural A ","Uygun - Hemen Ödenir (Yıl Sonu %75 Kontrolüne Tabi)",IF(OR(L492="Evet",M492="Evet"),IF(O492="Evet","Uygun","RİSK - Hakediş Süresi Aşıldı"),"Bekleniyor - Nakliye/Montaj Tamamlanmadı")))</f>
        <v/>
      </c>
      <c r="Q492" s="28">
        <f>IF(A492="","",SUMIFS('Hakedis Fatura Detay'!$G$3:$G$1200,'Hakedis Fatura Detay'!$H$3:$H$1200,'DIVA Satislari'!AJ492,'Hakedis Fatura Detay'!$F$3:$F$1200,"Fiyat Farkı")+SUMIFS('Hakedis Fatura Detay'!$G$3:$G$1200,'Hakedis Fatura Detay'!$H$3:$H$1200,'DIVA Satislari'!AJ492,'Hakedis Fatura Detay'!$F$3:$F$1200,"Bundle"))</f>
        <v/>
      </c>
      <c r="R492" s="28">
        <f>IF(A492="","",I492-Q492)</f>
        <v/>
      </c>
      <c r="S492" s="26">
        <f>IF(A492="","",IF(LEFT(P492,7)="Bekleni","N/A - Henüz Ödenmemeli",IF(LEFT(P492,4)="RİSK","İNCELEME GEREKLİ - Süre Aşımı",IF(R492=0,"Doğru",IF(R492&gt;0,"EKSİK ÖDENMİŞ","FAZLA ÖDENMİŞ")))))</f>
        <v/>
      </c>
      <c r="T492" s="30">
        <f>IF(A492="","",IF(F492&lt;&gt;"Evet","İNCELEME GEREKLİ - Kampanya Tanımsız",IF(G492&lt;&gt;"Evet","İNCELEME GEREKLİ - Tarih Dışı Satış",IF(LEFT(P492,4)="RİSK","İNCELEME GEREKLİ - Hakediş Süresi Aşıldı",IF(OR(S492="EKSİK ÖDENMİŞ",S492="FAZLA ÖDENMİŞ"),"İNCELEME GEREKLİ - Tutar Uyuşmazlığı",IF(LEFT(P492,7)="Bekleni","Bekleniyor","Uygun"))))))</f>
        <v/>
      </c>
    </row>
    <row r="493">
      <c r="A493" s="26">
        <f>IF('DIVA Satislari'!I493="","",'DIVA Satislari'!I493)</f>
        <v/>
      </c>
      <c r="B493" s="26">
        <f>IF('DIVA Satislari'!I493="","",'DIVA Satislari'!R493)</f>
        <v/>
      </c>
      <c r="C493" s="26">
        <f>IF('DIVA Satislari'!I493="","",'DIVA Satislari'!M493)</f>
        <v/>
      </c>
      <c r="D493" s="27">
        <f>IF('DIVA Satislari'!I493="","",'DIVA Satislari'!H493)</f>
        <v/>
      </c>
      <c r="E493" s="26">
        <f>IF('DIVA Satislari'!I493="","",'DIVA Satislari'!O493)</f>
        <v/>
      </c>
      <c r="F493" s="26">
        <f>IF('DIVA Satislari'!I493="","",'DIVA Satislari'!AK493)</f>
        <v/>
      </c>
      <c r="G493" s="26">
        <f>IF('DIVA Satislari'!I493="","",'DIVA Satislari'!AO493)</f>
        <v/>
      </c>
      <c r="H493" s="27">
        <f>IF('DIVA Satislari'!I493="","",'DIVA Satislari'!AN493)</f>
        <v/>
      </c>
      <c r="I493" s="28">
        <f>IF('DIVA Satislari'!I493="","",'DIVA Satislari'!AQ493)</f>
        <v/>
      </c>
      <c r="J493" s="26">
        <f>IF('DIVA Satislari'!I493="","",'DIVA Satislari'!AR493)</f>
        <v/>
      </c>
      <c r="K493" s="26">
        <f>IF('DIVA Satislari'!I493="","",IFERROR(INDEX('E2E Nakliye Montaj'!$AS$3:$AS$1002,MATCH('DIVA Satislari'!AJ493,'E2E Nakliye Montaj'!$AM$3:$AM$1002,0)),"Eşleşme Yok"))</f>
        <v/>
      </c>
      <c r="L493" s="26">
        <f>IF('DIVA Satislari'!I493="","",IFERROR(INDEX('E2E Nakliye Montaj'!$AT$3:$AT$1002,MATCH('DIVA Satislari'!AJ493,'E2E Nakliye Montaj'!$AM$3:$AM$1002,0)),"Hayır"))</f>
        <v/>
      </c>
      <c r="M493" s="26">
        <f>IF('DIVA Satislari'!I493="","",IFERROR(INDEX('E2E Nakliye Montaj'!$AU$3:$AU$1002,MATCH('DIVA Satislari'!AJ493,'E2E Nakliye Montaj'!$AM$3:$AM$1002,0)),"Hayır"))</f>
        <v/>
      </c>
      <c r="N493" s="27">
        <f>IF('DIVA Satislari'!I493="","",IFERROR(INDEX('E2E Nakliye Montaj'!$AV$3:$AV$1002,MATCH('DIVA Satislari'!AJ493,'E2E Nakliye Montaj'!$AM$3:$AM$1002,0)),""))</f>
        <v/>
      </c>
      <c r="O493" s="26">
        <f>IF(OR(A493="",N493=""),"",IF(N493&lt;=H493,"Evet","HAYIR - RİSK"))</f>
        <v/>
      </c>
      <c r="P493" s="26">
        <f>IF(A493="","",IF(LEFT(J493,8)="Kural A ","Uygun - Hemen Ödenir (Yıl Sonu %75 Kontrolüne Tabi)",IF(OR(L493="Evet",M493="Evet"),IF(O493="Evet","Uygun","RİSK - Hakediş Süresi Aşıldı"),"Bekleniyor - Nakliye/Montaj Tamamlanmadı")))</f>
        <v/>
      </c>
      <c r="Q493" s="28">
        <f>IF(A493="","",SUMIFS('Hakedis Fatura Detay'!$G$3:$G$1200,'Hakedis Fatura Detay'!$H$3:$H$1200,'DIVA Satislari'!AJ493,'Hakedis Fatura Detay'!$F$3:$F$1200,"Fiyat Farkı")+SUMIFS('Hakedis Fatura Detay'!$G$3:$G$1200,'Hakedis Fatura Detay'!$H$3:$H$1200,'DIVA Satislari'!AJ493,'Hakedis Fatura Detay'!$F$3:$F$1200,"Bundle"))</f>
        <v/>
      </c>
      <c r="R493" s="28">
        <f>IF(A493="","",I493-Q493)</f>
        <v/>
      </c>
      <c r="S493" s="26">
        <f>IF(A493="","",IF(LEFT(P493,7)="Bekleni","N/A - Henüz Ödenmemeli",IF(LEFT(P493,4)="RİSK","İNCELEME GEREKLİ - Süre Aşımı",IF(R493=0,"Doğru",IF(R493&gt;0,"EKSİK ÖDENMİŞ","FAZLA ÖDENMİŞ")))))</f>
        <v/>
      </c>
      <c r="T493" s="30">
        <f>IF(A493="","",IF(F493&lt;&gt;"Evet","İNCELEME GEREKLİ - Kampanya Tanımsız",IF(G493&lt;&gt;"Evet","İNCELEME GEREKLİ - Tarih Dışı Satış",IF(LEFT(P493,4)="RİSK","İNCELEME GEREKLİ - Hakediş Süresi Aşıldı",IF(OR(S493="EKSİK ÖDENMİŞ",S493="FAZLA ÖDENMİŞ"),"İNCELEME GEREKLİ - Tutar Uyuşmazlığı",IF(LEFT(P493,7)="Bekleni","Bekleniyor","Uygun"))))))</f>
        <v/>
      </c>
    </row>
    <row r="494">
      <c r="A494" s="26">
        <f>IF('DIVA Satislari'!I494="","",'DIVA Satislari'!I494)</f>
        <v/>
      </c>
      <c r="B494" s="26">
        <f>IF('DIVA Satislari'!I494="","",'DIVA Satislari'!R494)</f>
        <v/>
      </c>
      <c r="C494" s="26">
        <f>IF('DIVA Satislari'!I494="","",'DIVA Satislari'!M494)</f>
        <v/>
      </c>
      <c r="D494" s="27">
        <f>IF('DIVA Satislari'!I494="","",'DIVA Satislari'!H494)</f>
        <v/>
      </c>
      <c r="E494" s="26">
        <f>IF('DIVA Satislari'!I494="","",'DIVA Satislari'!O494)</f>
        <v/>
      </c>
      <c r="F494" s="26">
        <f>IF('DIVA Satislari'!I494="","",'DIVA Satislari'!AK494)</f>
        <v/>
      </c>
      <c r="G494" s="26">
        <f>IF('DIVA Satislari'!I494="","",'DIVA Satislari'!AO494)</f>
        <v/>
      </c>
      <c r="H494" s="27">
        <f>IF('DIVA Satislari'!I494="","",'DIVA Satislari'!AN494)</f>
        <v/>
      </c>
      <c r="I494" s="28">
        <f>IF('DIVA Satislari'!I494="","",'DIVA Satislari'!AQ494)</f>
        <v/>
      </c>
      <c r="J494" s="26">
        <f>IF('DIVA Satislari'!I494="","",'DIVA Satislari'!AR494)</f>
        <v/>
      </c>
      <c r="K494" s="26">
        <f>IF('DIVA Satislari'!I494="","",IFERROR(INDEX('E2E Nakliye Montaj'!$AS$3:$AS$1002,MATCH('DIVA Satislari'!AJ494,'E2E Nakliye Montaj'!$AM$3:$AM$1002,0)),"Eşleşme Yok"))</f>
        <v/>
      </c>
      <c r="L494" s="26">
        <f>IF('DIVA Satislari'!I494="","",IFERROR(INDEX('E2E Nakliye Montaj'!$AT$3:$AT$1002,MATCH('DIVA Satislari'!AJ494,'E2E Nakliye Montaj'!$AM$3:$AM$1002,0)),"Hayır"))</f>
        <v/>
      </c>
      <c r="M494" s="26">
        <f>IF('DIVA Satislari'!I494="","",IFERROR(INDEX('E2E Nakliye Montaj'!$AU$3:$AU$1002,MATCH('DIVA Satislari'!AJ494,'E2E Nakliye Montaj'!$AM$3:$AM$1002,0)),"Hayır"))</f>
        <v/>
      </c>
      <c r="N494" s="27">
        <f>IF('DIVA Satislari'!I494="","",IFERROR(INDEX('E2E Nakliye Montaj'!$AV$3:$AV$1002,MATCH('DIVA Satislari'!AJ494,'E2E Nakliye Montaj'!$AM$3:$AM$1002,0)),""))</f>
        <v/>
      </c>
      <c r="O494" s="26">
        <f>IF(OR(A494="",N494=""),"",IF(N494&lt;=H494,"Evet","HAYIR - RİSK"))</f>
        <v/>
      </c>
      <c r="P494" s="26">
        <f>IF(A494="","",IF(LEFT(J494,8)="Kural A ","Uygun - Hemen Ödenir (Yıl Sonu %75 Kontrolüne Tabi)",IF(OR(L494="Evet",M494="Evet"),IF(O494="Evet","Uygun","RİSK - Hakediş Süresi Aşıldı"),"Bekleniyor - Nakliye/Montaj Tamamlanmadı")))</f>
        <v/>
      </c>
      <c r="Q494" s="28">
        <f>IF(A494="","",SUMIFS('Hakedis Fatura Detay'!$G$3:$G$1200,'Hakedis Fatura Detay'!$H$3:$H$1200,'DIVA Satislari'!AJ494,'Hakedis Fatura Detay'!$F$3:$F$1200,"Fiyat Farkı")+SUMIFS('Hakedis Fatura Detay'!$G$3:$G$1200,'Hakedis Fatura Detay'!$H$3:$H$1200,'DIVA Satislari'!AJ494,'Hakedis Fatura Detay'!$F$3:$F$1200,"Bundle"))</f>
        <v/>
      </c>
      <c r="R494" s="28">
        <f>IF(A494="","",I494-Q494)</f>
        <v/>
      </c>
      <c r="S494" s="26">
        <f>IF(A494="","",IF(LEFT(P494,7)="Bekleni","N/A - Henüz Ödenmemeli",IF(LEFT(P494,4)="RİSK","İNCELEME GEREKLİ - Süre Aşımı",IF(R494=0,"Doğru",IF(R494&gt;0,"EKSİK ÖDENMİŞ","FAZLA ÖDENMİŞ")))))</f>
        <v/>
      </c>
      <c r="T494" s="30">
        <f>IF(A494="","",IF(F494&lt;&gt;"Evet","İNCELEME GEREKLİ - Kampanya Tanımsız",IF(G494&lt;&gt;"Evet","İNCELEME GEREKLİ - Tarih Dışı Satış",IF(LEFT(P494,4)="RİSK","İNCELEME GEREKLİ - Hakediş Süresi Aşıldı",IF(OR(S494="EKSİK ÖDENMİŞ",S494="FAZLA ÖDENMİŞ"),"İNCELEME GEREKLİ - Tutar Uyuşmazlığı",IF(LEFT(P494,7)="Bekleni","Bekleniyor","Uygun"))))))</f>
        <v/>
      </c>
    </row>
    <row r="495">
      <c r="A495" s="26">
        <f>IF('DIVA Satislari'!I495="","",'DIVA Satislari'!I495)</f>
        <v/>
      </c>
      <c r="B495" s="26">
        <f>IF('DIVA Satislari'!I495="","",'DIVA Satislari'!R495)</f>
        <v/>
      </c>
      <c r="C495" s="26">
        <f>IF('DIVA Satislari'!I495="","",'DIVA Satislari'!M495)</f>
        <v/>
      </c>
      <c r="D495" s="27">
        <f>IF('DIVA Satislari'!I495="","",'DIVA Satislari'!H495)</f>
        <v/>
      </c>
      <c r="E495" s="26">
        <f>IF('DIVA Satislari'!I495="","",'DIVA Satislari'!O495)</f>
        <v/>
      </c>
      <c r="F495" s="26">
        <f>IF('DIVA Satislari'!I495="","",'DIVA Satislari'!AK495)</f>
        <v/>
      </c>
      <c r="G495" s="26">
        <f>IF('DIVA Satislari'!I495="","",'DIVA Satislari'!AO495)</f>
        <v/>
      </c>
      <c r="H495" s="27">
        <f>IF('DIVA Satislari'!I495="","",'DIVA Satislari'!AN495)</f>
        <v/>
      </c>
      <c r="I495" s="28">
        <f>IF('DIVA Satislari'!I495="","",'DIVA Satislari'!AQ495)</f>
        <v/>
      </c>
      <c r="J495" s="26">
        <f>IF('DIVA Satislari'!I495="","",'DIVA Satislari'!AR495)</f>
        <v/>
      </c>
      <c r="K495" s="26">
        <f>IF('DIVA Satislari'!I495="","",IFERROR(INDEX('E2E Nakliye Montaj'!$AS$3:$AS$1002,MATCH('DIVA Satislari'!AJ495,'E2E Nakliye Montaj'!$AM$3:$AM$1002,0)),"Eşleşme Yok"))</f>
        <v/>
      </c>
      <c r="L495" s="26">
        <f>IF('DIVA Satislari'!I495="","",IFERROR(INDEX('E2E Nakliye Montaj'!$AT$3:$AT$1002,MATCH('DIVA Satislari'!AJ495,'E2E Nakliye Montaj'!$AM$3:$AM$1002,0)),"Hayır"))</f>
        <v/>
      </c>
      <c r="M495" s="26">
        <f>IF('DIVA Satislari'!I495="","",IFERROR(INDEX('E2E Nakliye Montaj'!$AU$3:$AU$1002,MATCH('DIVA Satislari'!AJ495,'E2E Nakliye Montaj'!$AM$3:$AM$1002,0)),"Hayır"))</f>
        <v/>
      </c>
      <c r="N495" s="27">
        <f>IF('DIVA Satislari'!I495="","",IFERROR(INDEX('E2E Nakliye Montaj'!$AV$3:$AV$1002,MATCH('DIVA Satislari'!AJ495,'E2E Nakliye Montaj'!$AM$3:$AM$1002,0)),""))</f>
        <v/>
      </c>
      <c r="O495" s="26">
        <f>IF(OR(A495="",N495=""),"",IF(N495&lt;=H495,"Evet","HAYIR - RİSK"))</f>
        <v/>
      </c>
      <c r="P495" s="26">
        <f>IF(A495="","",IF(LEFT(J495,8)="Kural A ","Uygun - Hemen Ödenir (Yıl Sonu %75 Kontrolüne Tabi)",IF(OR(L495="Evet",M495="Evet"),IF(O495="Evet","Uygun","RİSK - Hakediş Süresi Aşıldı"),"Bekleniyor - Nakliye/Montaj Tamamlanmadı")))</f>
        <v/>
      </c>
      <c r="Q495" s="28">
        <f>IF(A495="","",SUMIFS('Hakedis Fatura Detay'!$G$3:$G$1200,'Hakedis Fatura Detay'!$H$3:$H$1200,'DIVA Satislari'!AJ495,'Hakedis Fatura Detay'!$F$3:$F$1200,"Fiyat Farkı")+SUMIFS('Hakedis Fatura Detay'!$G$3:$G$1200,'Hakedis Fatura Detay'!$H$3:$H$1200,'DIVA Satislari'!AJ495,'Hakedis Fatura Detay'!$F$3:$F$1200,"Bundle"))</f>
        <v/>
      </c>
      <c r="R495" s="28">
        <f>IF(A495="","",I495-Q495)</f>
        <v/>
      </c>
      <c r="S495" s="26">
        <f>IF(A495="","",IF(LEFT(P495,7)="Bekleni","N/A - Henüz Ödenmemeli",IF(LEFT(P495,4)="RİSK","İNCELEME GEREKLİ - Süre Aşımı",IF(R495=0,"Doğru",IF(R495&gt;0,"EKSİK ÖDENMİŞ","FAZLA ÖDENMİŞ")))))</f>
        <v/>
      </c>
      <c r="T495" s="30">
        <f>IF(A495="","",IF(F495&lt;&gt;"Evet","İNCELEME GEREKLİ - Kampanya Tanımsız",IF(G495&lt;&gt;"Evet","İNCELEME GEREKLİ - Tarih Dışı Satış",IF(LEFT(P495,4)="RİSK","İNCELEME GEREKLİ - Hakediş Süresi Aşıldı",IF(OR(S495="EKSİK ÖDENMİŞ",S495="FAZLA ÖDENMİŞ"),"İNCELEME GEREKLİ - Tutar Uyuşmazlığı",IF(LEFT(P495,7)="Bekleni","Bekleniyor","Uygun"))))))</f>
        <v/>
      </c>
    </row>
    <row r="496">
      <c r="A496" s="26">
        <f>IF('DIVA Satislari'!I496="","",'DIVA Satislari'!I496)</f>
        <v/>
      </c>
      <c r="B496" s="26">
        <f>IF('DIVA Satislari'!I496="","",'DIVA Satislari'!R496)</f>
        <v/>
      </c>
      <c r="C496" s="26">
        <f>IF('DIVA Satislari'!I496="","",'DIVA Satislari'!M496)</f>
        <v/>
      </c>
      <c r="D496" s="27">
        <f>IF('DIVA Satislari'!I496="","",'DIVA Satislari'!H496)</f>
        <v/>
      </c>
      <c r="E496" s="26">
        <f>IF('DIVA Satislari'!I496="","",'DIVA Satislari'!O496)</f>
        <v/>
      </c>
      <c r="F496" s="26">
        <f>IF('DIVA Satislari'!I496="","",'DIVA Satislari'!AK496)</f>
        <v/>
      </c>
      <c r="G496" s="26">
        <f>IF('DIVA Satislari'!I496="","",'DIVA Satislari'!AO496)</f>
        <v/>
      </c>
      <c r="H496" s="27">
        <f>IF('DIVA Satislari'!I496="","",'DIVA Satislari'!AN496)</f>
        <v/>
      </c>
      <c r="I496" s="28">
        <f>IF('DIVA Satislari'!I496="","",'DIVA Satislari'!AQ496)</f>
        <v/>
      </c>
      <c r="J496" s="26">
        <f>IF('DIVA Satislari'!I496="","",'DIVA Satislari'!AR496)</f>
        <v/>
      </c>
      <c r="K496" s="26">
        <f>IF('DIVA Satislari'!I496="","",IFERROR(INDEX('E2E Nakliye Montaj'!$AS$3:$AS$1002,MATCH('DIVA Satislari'!AJ496,'E2E Nakliye Montaj'!$AM$3:$AM$1002,0)),"Eşleşme Yok"))</f>
        <v/>
      </c>
      <c r="L496" s="26">
        <f>IF('DIVA Satislari'!I496="","",IFERROR(INDEX('E2E Nakliye Montaj'!$AT$3:$AT$1002,MATCH('DIVA Satislari'!AJ496,'E2E Nakliye Montaj'!$AM$3:$AM$1002,0)),"Hayır"))</f>
        <v/>
      </c>
      <c r="M496" s="26">
        <f>IF('DIVA Satislari'!I496="","",IFERROR(INDEX('E2E Nakliye Montaj'!$AU$3:$AU$1002,MATCH('DIVA Satislari'!AJ496,'E2E Nakliye Montaj'!$AM$3:$AM$1002,0)),"Hayır"))</f>
        <v/>
      </c>
      <c r="N496" s="27">
        <f>IF('DIVA Satislari'!I496="","",IFERROR(INDEX('E2E Nakliye Montaj'!$AV$3:$AV$1002,MATCH('DIVA Satislari'!AJ496,'E2E Nakliye Montaj'!$AM$3:$AM$1002,0)),""))</f>
        <v/>
      </c>
      <c r="O496" s="26">
        <f>IF(OR(A496="",N496=""),"",IF(N496&lt;=H496,"Evet","HAYIR - RİSK"))</f>
        <v/>
      </c>
      <c r="P496" s="26">
        <f>IF(A496="","",IF(LEFT(J496,8)="Kural A ","Uygun - Hemen Ödenir (Yıl Sonu %75 Kontrolüne Tabi)",IF(OR(L496="Evet",M496="Evet"),IF(O496="Evet","Uygun","RİSK - Hakediş Süresi Aşıldı"),"Bekleniyor - Nakliye/Montaj Tamamlanmadı")))</f>
        <v/>
      </c>
      <c r="Q496" s="28">
        <f>IF(A496="","",SUMIFS('Hakedis Fatura Detay'!$G$3:$G$1200,'Hakedis Fatura Detay'!$H$3:$H$1200,'DIVA Satislari'!AJ496,'Hakedis Fatura Detay'!$F$3:$F$1200,"Fiyat Farkı")+SUMIFS('Hakedis Fatura Detay'!$G$3:$G$1200,'Hakedis Fatura Detay'!$H$3:$H$1200,'DIVA Satislari'!AJ496,'Hakedis Fatura Detay'!$F$3:$F$1200,"Bundle"))</f>
        <v/>
      </c>
      <c r="R496" s="28">
        <f>IF(A496="","",I496-Q496)</f>
        <v/>
      </c>
      <c r="S496" s="26">
        <f>IF(A496="","",IF(LEFT(P496,7)="Bekleni","N/A - Henüz Ödenmemeli",IF(LEFT(P496,4)="RİSK","İNCELEME GEREKLİ - Süre Aşımı",IF(R496=0,"Doğru",IF(R496&gt;0,"EKSİK ÖDENMİŞ","FAZLA ÖDENMİŞ")))))</f>
        <v/>
      </c>
      <c r="T496" s="30">
        <f>IF(A496="","",IF(F496&lt;&gt;"Evet","İNCELEME GEREKLİ - Kampanya Tanımsız",IF(G496&lt;&gt;"Evet","İNCELEME GEREKLİ - Tarih Dışı Satış",IF(LEFT(P496,4)="RİSK","İNCELEME GEREKLİ - Hakediş Süresi Aşıldı",IF(OR(S496="EKSİK ÖDENMİŞ",S496="FAZLA ÖDENMİŞ"),"İNCELEME GEREKLİ - Tutar Uyuşmazlığı",IF(LEFT(P496,7)="Bekleni","Bekleniyor","Uygun"))))))</f>
        <v/>
      </c>
    </row>
    <row r="497">
      <c r="A497" s="26">
        <f>IF('DIVA Satislari'!I497="","",'DIVA Satislari'!I497)</f>
        <v/>
      </c>
      <c r="B497" s="26">
        <f>IF('DIVA Satislari'!I497="","",'DIVA Satislari'!R497)</f>
        <v/>
      </c>
      <c r="C497" s="26">
        <f>IF('DIVA Satislari'!I497="","",'DIVA Satislari'!M497)</f>
        <v/>
      </c>
      <c r="D497" s="27">
        <f>IF('DIVA Satislari'!I497="","",'DIVA Satislari'!H497)</f>
        <v/>
      </c>
      <c r="E497" s="26">
        <f>IF('DIVA Satislari'!I497="","",'DIVA Satislari'!O497)</f>
        <v/>
      </c>
      <c r="F497" s="26">
        <f>IF('DIVA Satislari'!I497="","",'DIVA Satislari'!AK497)</f>
        <v/>
      </c>
      <c r="G497" s="26">
        <f>IF('DIVA Satislari'!I497="","",'DIVA Satislari'!AO497)</f>
        <v/>
      </c>
      <c r="H497" s="27">
        <f>IF('DIVA Satislari'!I497="","",'DIVA Satislari'!AN497)</f>
        <v/>
      </c>
      <c r="I497" s="28">
        <f>IF('DIVA Satislari'!I497="","",'DIVA Satislari'!AQ497)</f>
        <v/>
      </c>
      <c r="J497" s="26">
        <f>IF('DIVA Satislari'!I497="","",'DIVA Satislari'!AR497)</f>
        <v/>
      </c>
      <c r="K497" s="26">
        <f>IF('DIVA Satislari'!I497="","",IFERROR(INDEX('E2E Nakliye Montaj'!$AS$3:$AS$1002,MATCH('DIVA Satislari'!AJ497,'E2E Nakliye Montaj'!$AM$3:$AM$1002,0)),"Eşleşme Yok"))</f>
        <v/>
      </c>
      <c r="L497" s="26">
        <f>IF('DIVA Satislari'!I497="","",IFERROR(INDEX('E2E Nakliye Montaj'!$AT$3:$AT$1002,MATCH('DIVA Satislari'!AJ497,'E2E Nakliye Montaj'!$AM$3:$AM$1002,0)),"Hayır"))</f>
        <v/>
      </c>
      <c r="M497" s="26">
        <f>IF('DIVA Satislari'!I497="","",IFERROR(INDEX('E2E Nakliye Montaj'!$AU$3:$AU$1002,MATCH('DIVA Satislari'!AJ497,'E2E Nakliye Montaj'!$AM$3:$AM$1002,0)),"Hayır"))</f>
        <v/>
      </c>
      <c r="N497" s="27">
        <f>IF('DIVA Satislari'!I497="","",IFERROR(INDEX('E2E Nakliye Montaj'!$AV$3:$AV$1002,MATCH('DIVA Satislari'!AJ497,'E2E Nakliye Montaj'!$AM$3:$AM$1002,0)),""))</f>
        <v/>
      </c>
      <c r="O497" s="26">
        <f>IF(OR(A497="",N497=""),"",IF(N497&lt;=H497,"Evet","HAYIR - RİSK"))</f>
        <v/>
      </c>
      <c r="P497" s="26">
        <f>IF(A497="","",IF(LEFT(J497,8)="Kural A ","Uygun - Hemen Ödenir (Yıl Sonu %75 Kontrolüne Tabi)",IF(OR(L497="Evet",M497="Evet"),IF(O497="Evet","Uygun","RİSK - Hakediş Süresi Aşıldı"),"Bekleniyor - Nakliye/Montaj Tamamlanmadı")))</f>
        <v/>
      </c>
      <c r="Q497" s="28">
        <f>IF(A497="","",SUMIFS('Hakedis Fatura Detay'!$G$3:$G$1200,'Hakedis Fatura Detay'!$H$3:$H$1200,'DIVA Satislari'!AJ497,'Hakedis Fatura Detay'!$F$3:$F$1200,"Fiyat Farkı")+SUMIFS('Hakedis Fatura Detay'!$G$3:$G$1200,'Hakedis Fatura Detay'!$H$3:$H$1200,'DIVA Satislari'!AJ497,'Hakedis Fatura Detay'!$F$3:$F$1200,"Bundle"))</f>
        <v/>
      </c>
      <c r="R497" s="28">
        <f>IF(A497="","",I497-Q497)</f>
        <v/>
      </c>
      <c r="S497" s="26">
        <f>IF(A497="","",IF(LEFT(P497,7)="Bekleni","N/A - Henüz Ödenmemeli",IF(LEFT(P497,4)="RİSK","İNCELEME GEREKLİ - Süre Aşımı",IF(R497=0,"Doğru",IF(R497&gt;0,"EKSİK ÖDENMİŞ","FAZLA ÖDENMİŞ")))))</f>
        <v/>
      </c>
      <c r="T497" s="30">
        <f>IF(A497="","",IF(F497&lt;&gt;"Evet","İNCELEME GEREKLİ - Kampanya Tanımsız",IF(G497&lt;&gt;"Evet","İNCELEME GEREKLİ - Tarih Dışı Satış",IF(LEFT(P497,4)="RİSK","İNCELEME GEREKLİ - Hakediş Süresi Aşıldı",IF(OR(S497="EKSİK ÖDENMİŞ",S497="FAZLA ÖDENMİŞ"),"İNCELEME GEREKLİ - Tutar Uyuşmazlığı",IF(LEFT(P497,7)="Bekleni","Bekleniyor","Uygun"))))))</f>
        <v/>
      </c>
    </row>
    <row r="498">
      <c r="A498" s="26">
        <f>IF('DIVA Satislari'!I498="","",'DIVA Satislari'!I498)</f>
        <v/>
      </c>
      <c r="B498" s="26">
        <f>IF('DIVA Satislari'!I498="","",'DIVA Satislari'!R498)</f>
        <v/>
      </c>
      <c r="C498" s="26">
        <f>IF('DIVA Satislari'!I498="","",'DIVA Satislari'!M498)</f>
        <v/>
      </c>
      <c r="D498" s="27">
        <f>IF('DIVA Satislari'!I498="","",'DIVA Satislari'!H498)</f>
        <v/>
      </c>
      <c r="E498" s="26">
        <f>IF('DIVA Satislari'!I498="","",'DIVA Satislari'!O498)</f>
        <v/>
      </c>
      <c r="F498" s="26">
        <f>IF('DIVA Satislari'!I498="","",'DIVA Satislari'!AK498)</f>
        <v/>
      </c>
      <c r="G498" s="26">
        <f>IF('DIVA Satislari'!I498="","",'DIVA Satislari'!AO498)</f>
        <v/>
      </c>
      <c r="H498" s="27">
        <f>IF('DIVA Satislari'!I498="","",'DIVA Satislari'!AN498)</f>
        <v/>
      </c>
      <c r="I498" s="28">
        <f>IF('DIVA Satislari'!I498="","",'DIVA Satislari'!AQ498)</f>
        <v/>
      </c>
      <c r="J498" s="26">
        <f>IF('DIVA Satislari'!I498="","",'DIVA Satislari'!AR498)</f>
        <v/>
      </c>
      <c r="K498" s="26">
        <f>IF('DIVA Satislari'!I498="","",IFERROR(INDEX('E2E Nakliye Montaj'!$AS$3:$AS$1002,MATCH('DIVA Satislari'!AJ498,'E2E Nakliye Montaj'!$AM$3:$AM$1002,0)),"Eşleşme Yok"))</f>
        <v/>
      </c>
      <c r="L498" s="26">
        <f>IF('DIVA Satislari'!I498="","",IFERROR(INDEX('E2E Nakliye Montaj'!$AT$3:$AT$1002,MATCH('DIVA Satislari'!AJ498,'E2E Nakliye Montaj'!$AM$3:$AM$1002,0)),"Hayır"))</f>
        <v/>
      </c>
      <c r="M498" s="26">
        <f>IF('DIVA Satislari'!I498="","",IFERROR(INDEX('E2E Nakliye Montaj'!$AU$3:$AU$1002,MATCH('DIVA Satislari'!AJ498,'E2E Nakliye Montaj'!$AM$3:$AM$1002,0)),"Hayır"))</f>
        <v/>
      </c>
      <c r="N498" s="27">
        <f>IF('DIVA Satislari'!I498="","",IFERROR(INDEX('E2E Nakliye Montaj'!$AV$3:$AV$1002,MATCH('DIVA Satislari'!AJ498,'E2E Nakliye Montaj'!$AM$3:$AM$1002,0)),""))</f>
        <v/>
      </c>
      <c r="O498" s="26">
        <f>IF(OR(A498="",N498=""),"",IF(N498&lt;=H498,"Evet","HAYIR - RİSK"))</f>
        <v/>
      </c>
      <c r="P498" s="26">
        <f>IF(A498="","",IF(LEFT(J498,8)="Kural A ","Uygun - Hemen Ödenir (Yıl Sonu %75 Kontrolüne Tabi)",IF(OR(L498="Evet",M498="Evet"),IF(O498="Evet","Uygun","RİSK - Hakediş Süresi Aşıldı"),"Bekleniyor - Nakliye/Montaj Tamamlanmadı")))</f>
        <v/>
      </c>
      <c r="Q498" s="28">
        <f>IF(A498="","",SUMIFS('Hakedis Fatura Detay'!$G$3:$G$1200,'Hakedis Fatura Detay'!$H$3:$H$1200,'DIVA Satislari'!AJ498,'Hakedis Fatura Detay'!$F$3:$F$1200,"Fiyat Farkı")+SUMIFS('Hakedis Fatura Detay'!$G$3:$G$1200,'Hakedis Fatura Detay'!$H$3:$H$1200,'DIVA Satislari'!AJ498,'Hakedis Fatura Detay'!$F$3:$F$1200,"Bundle"))</f>
        <v/>
      </c>
      <c r="R498" s="28">
        <f>IF(A498="","",I498-Q498)</f>
        <v/>
      </c>
      <c r="S498" s="26">
        <f>IF(A498="","",IF(LEFT(P498,7)="Bekleni","N/A - Henüz Ödenmemeli",IF(LEFT(P498,4)="RİSK","İNCELEME GEREKLİ - Süre Aşımı",IF(R498=0,"Doğru",IF(R498&gt;0,"EKSİK ÖDENMİŞ","FAZLA ÖDENMİŞ")))))</f>
        <v/>
      </c>
      <c r="T498" s="30">
        <f>IF(A498="","",IF(F498&lt;&gt;"Evet","İNCELEME GEREKLİ - Kampanya Tanımsız",IF(G498&lt;&gt;"Evet","İNCELEME GEREKLİ - Tarih Dışı Satış",IF(LEFT(P498,4)="RİSK","İNCELEME GEREKLİ - Hakediş Süresi Aşıldı",IF(OR(S498="EKSİK ÖDENMİŞ",S498="FAZLA ÖDENMİŞ"),"İNCELEME GEREKLİ - Tutar Uyuşmazlığı",IF(LEFT(P498,7)="Bekleni","Bekleniyor","Uygun"))))))</f>
        <v/>
      </c>
    </row>
    <row r="499">
      <c r="A499" s="26">
        <f>IF('DIVA Satislari'!I499="","",'DIVA Satislari'!I499)</f>
        <v/>
      </c>
      <c r="B499" s="26">
        <f>IF('DIVA Satislari'!I499="","",'DIVA Satislari'!R499)</f>
        <v/>
      </c>
      <c r="C499" s="26">
        <f>IF('DIVA Satislari'!I499="","",'DIVA Satislari'!M499)</f>
        <v/>
      </c>
      <c r="D499" s="27">
        <f>IF('DIVA Satislari'!I499="","",'DIVA Satislari'!H499)</f>
        <v/>
      </c>
      <c r="E499" s="26">
        <f>IF('DIVA Satislari'!I499="","",'DIVA Satislari'!O499)</f>
        <v/>
      </c>
      <c r="F499" s="26">
        <f>IF('DIVA Satislari'!I499="","",'DIVA Satislari'!AK499)</f>
        <v/>
      </c>
      <c r="G499" s="26">
        <f>IF('DIVA Satislari'!I499="","",'DIVA Satislari'!AO499)</f>
        <v/>
      </c>
      <c r="H499" s="27">
        <f>IF('DIVA Satislari'!I499="","",'DIVA Satislari'!AN499)</f>
        <v/>
      </c>
      <c r="I499" s="28">
        <f>IF('DIVA Satislari'!I499="","",'DIVA Satislari'!AQ499)</f>
        <v/>
      </c>
      <c r="J499" s="26">
        <f>IF('DIVA Satislari'!I499="","",'DIVA Satislari'!AR499)</f>
        <v/>
      </c>
      <c r="K499" s="26">
        <f>IF('DIVA Satislari'!I499="","",IFERROR(INDEX('E2E Nakliye Montaj'!$AS$3:$AS$1002,MATCH('DIVA Satislari'!AJ499,'E2E Nakliye Montaj'!$AM$3:$AM$1002,0)),"Eşleşme Yok"))</f>
        <v/>
      </c>
      <c r="L499" s="26">
        <f>IF('DIVA Satislari'!I499="","",IFERROR(INDEX('E2E Nakliye Montaj'!$AT$3:$AT$1002,MATCH('DIVA Satislari'!AJ499,'E2E Nakliye Montaj'!$AM$3:$AM$1002,0)),"Hayır"))</f>
        <v/>
      </c>
      <c r="M499" s="26">
        <f>IF('DIVA Satislari'!I499="","",IFERROR(INDEX('E2E Nakliye Montaj'!$AU$3:$AU$1002,MATCH('DIVA Satislari'!AJ499,'E2E Nakliye Montaj'!$AM$3:$AM$1002,0)),"Hayır"))</f>
        <v/>
      </c>
      <c r="N499" s="27">
        <f>IF('DIVA Satislari'!I499="","",IFERROR(INDEX('E2E Nakliye Montaj'!$AV$3:$AV$1002,MATCH('DIVA Satislari'!AJ499,'E2E Nakliye Montaj'!$AM$3:$AM$1002,0)),""))</f>
        <v/>
      </c>
      <c r="O499" s="26">
        <f>IF(OR(A499="",N499=""),"",IF(N499&lt;=H499,"Evet","HAYIR - RİSK"))</f>
        <v/>
      </c>
      <c r="P499" s="26">
        <f>IF(A499="","",IF(LEFT(J499,8)="Kural A ","Uygun - Hemen Ödenir (Yıl Sonu %75 Kontrolüne Tabi)",IF(OR(L499="Evet",M499="Evet"),IF(O499="Evet","Uygun","RİSK - Hakediş Süresi Aşıldı"),"Bekleniyor - Nakliye/Montaj Tamamlanmadı")))</f>
        <v/>
      </c>
      <c r="Q499" s="28">
        <f>IF(A499="","",SUMIFS('Hakedis Fatura Detay'!$G$3:$G$1200,'Hakedis Fatura Detay'!$H$3:$H$1200,'DIVA Satislari'!AJ499,'Hakedis Fatura Detay'!$F$3:$F$1200,"Fiyat Farkı")+SUMIFS('Hakedis Fatura Detay'!$G$3:$G$1200,'Hakedis Fatura Detay'!$H$3:$H$1200,'DIVA Satislari'!AJ499,'Hakedis Fatura Detay'!$F$3:$F$1200,"Bundle"))</f>
        <v/>
      </c>
      <c r="R499" s="28">
        <f>IF(A499="","",I499-Q499)</f>
        <v/>
      </c>
      <c r="S499" s="26">
        <f>IF(A499="","",IF(LEFT(P499,7)="Bekleni","N/A - Henüz Ödenmemeli",IF(LEFT(P499,4)="RİSK","İNCELEME GEREKLİ - Süre Aşımı",IF(R499=0,"Doğru",IF(R499&gt;0,"EKSİK ÖDENMİŞ","FAZLA ÖDENMİŞ")))))</f>
        <v/>
      </c>
      <c r="T499" s="30">
        <f>IF(A499="","",IF(F499&lt;&gt;"Evet","İNCELEME GEREKLİ - Kampanya Tanımsız",IF(G499&lt;&gt;"Evet","İNCELEME GEREKLİ - Tarih Dışı Satış",IF(LEFT(P499,4)="RİSK","İNCELEME GEREKLİ - Hakediş Süresi Aşıldı",IF(OR(S499="EKSİK ÖDENMİŞ",S499="FAZLA ÖDENMİŞ"),"İNCELEME GEREKLİ - Tutar Uyuşmazlığı",IF(LEFT(P499,7)="Bekleni","Bekleniyor","Uygun"))))))</f>
        <v/>
      </c>
    </row>
    <row r="500">
      <c r="A500" s="26">
        <f>IF('DIVA Satislari'!I500="","",'DIVA Satislari'!I500)</f>
        <v/>
      </c>
      <c r="B500" s="26">
        <f>IF('DIVA Satislari'!I500="","",'DIVA Satislari'!R500)</f>
        <v/>
      </c>
      <c r="C500" s="26">
        <f>IF('DIVA Satislari'!I500="","",'DIVA Satislari'!M500)</f>
        <v/>
      </c>
      <c r="D500" s="27">
        <f>IF('DIVA Satislari'!I500="","",'DIVA Satislari'!H500)</f>
        <v/>
      </c>
      <c r="E500" s="26">
        <f>IF('DIVA Satislari'!I500="","",'DIVA Satislari'!O500)</f>
        <v/>
      </c>
      <c r="F500" s="26">
        <f>IF('DIVA Satislari'!I500="","",'DIVA Satislari'!AK500)</f>
        <v/>
      </c>
      <c r="G500" s="26">
        <f>IF('DIVA Satislari'!I500="","",'DIVA Satislari'!AO500)</f>
        <v/>
      </c>
      <c r="H500" s="27">
        <f>IF('DIVA Satislari'!I500="","",'DIVA Satislari'!AN500)</f>
        <v/>
      </c>
      <c r="I500" s="28">
        <f>IF('DIVA Satislari'!I500="","",'DIVA Satislari'!AQ500)</f>
        <v/>
      </c>
      <c r="J500" s="26">
        <f>IF('DIVA Satislari'!I500="","",'DIVA Satislari'!AR500)</f>
        <v/>
      </c>
      <c r="K500" s="26">
        <f>IF('DIVA Satislari'!I500="","",IFERROR(INDEX('E2E Nakliye Montaj'!$AS$3:$AS$1002,MATCH('DIVA Satislari'!AJ500,'E2E Nakliye Montaj'!$AM$3:$AM$1002,0)),"Eşleşme Yok"))</f>
        <v/>
      </c>
      <c r="L500" s="26">
        <f>IF('DIVA Satislari'!I500="","",IFERROR(INDEX('E2E Nakliye Montaj'!$AT$3:$AT$1002,MATCH('DIVA Satislari'!AJ500,'E2E Nakliye Montaj'!$AM$3:$AM$1002,0)),"Hayır"))</f>
        <v/>
      </c>
      <c r="M500" s="26">
        <f>IF('DIVA Satislari'!I500="","",IFERROR(INDEX('E2E Nakliye Montaj'!$AU$3:$AU$1002,MATCH('DIVA Satislari'!AJ500,'E2E Nakliye Montaj'!$AM$3:$AM$1002,0)),"Hayır"))</f>
        <v/>
      </c>
      <c r="N500" s="27">
        <f>IF('DIVA Satislari'!I500="","",IFERROR(INDEX('E2E Nakliye Montaj'!$AV$3:$AV$1002,MATCH('DIVA Satislari'!AJ500,'E2E Nakliye Montaj'!$AM$3:$AM$1002,0)),""))</f>
        <v/>
      </c>
      <c r="O500" s="26">
        <f>IF(OR(A500="",N500=""),"",IF(N500&lt;=H500,"Evet","HAYIR - RİSK"))</f>
        <v/>
      </c>
      <c r="P500" s="26">
        <f>IF(A500="","",IF(LEFT(J500,8)="Kural A ","Uygun - Hemen Ödenir (Yıl Sonu %75 Kontrolüne Tabi)",IF(OR(L500="Evet",M500="Evet"),IF(O500="Evet","Uygun","RİSK - Hakediş Süresi Aşıldı"),"Bekleniyor - Nakliye/Montaj Tamamlanmadı")))</f>
        <v/>
      </c>
      <c r="Q500" s="28">
        <f>IF(A500="","",SUMIFS('Hakedis Fatura Detay'!$G$3:$G$1200,'Hakedis Fatura Detay'!$H$3:$H$1200,'DIVA Satislari'!AJ500,'Hakedis Fatura Detay'!$F$3:$F$1200,"Fiyat Farkı")+SUMIFS('Hakedis Fatura Detay'!$G$3:$G$1200,'Hakedis Fatura Detay'!$H$3:$H$1200,'DIVA Satislari'!AJ500,'Hakedis Fatura Detay'!$F$3:$F$1200,"Bundle"))</f>
        <v/>
      </c>
      <c r="R500" s="28">
        <f>IF(A500="","",I500-Q500)</f>
        <v/>
      </c>
      <c r="S500" s="26">
        <f>IF(A500="","",IF(LEFT(P500,7)="Bekleni","N/A - Henüz Ödenmemeli",IF(LEFT(P500,4)="RİSK","İNCELEME GEREKLİ - Süre Aşımı",IF(R500=0,"Doğru",IF(R500&gt;0,"EKSİK ÖDENMİŞ","FAZLA ÖDENMİŞ")))))</f>
        <v/>
      </c>
      <c r="T500" s="30">
        <f>IF(A500="","",IF(F500&lt;&gt;"Evet","İNCELEME GEREKLİ - Kampanya Tanımsız",IF(G500&lt;&gt;"Evet","İNCELEME GEREKLİ - Tarih Dışı Satış",IF(LEFT(P500,4)="RİSK","İNCELEME GEREKLİ - Hakediş Süresi Aşıldı",IF(OR(S500="EKSİK ÖDENMİŞ",S500="FAZLA ÖDENMİŞ"),"İNCELEME GEREKLİ - Tutar Uyuşmazlığı",IF(LEFT(P500,7)="Bekleni","Bekleniyor","Uygun"))))))</f>
        <v/>
      </c>
    </row>
    <row r="501">
      <c r="A501" s="26">
        <f>IF('DIVA Satislari'!I501="","",'DIVA Satislari'!I501)</f>
        <v/>
      </c>
      <c r="B501" s="26">
        <f>IF('DIVA Satislari'!I501="","",'DIVA Satislari'!R501)</f>
        <v/>
      </c>
      <c r="C501" s="26">
        <f>IF('DIVA Satislari'!I501="","",'DIVA Satislari'!M501)</f>
        <v/>
      </c>
      <c r="D501" s="27">
        <f>IF('DIVA Satislari'!I501="","",'DIVA Satislari'!H501)</f>
        <v/>
      </c>
      <c r="E501" s="26">
        <f>IF('DIVA Satislari'!I501="","",'DIVA Satislari'!O501)</f>
        <v/>
      </c>
      <c r="F501" s="26">
        <f>IF('DIVA Satislari'!I501="","",'DIVA Satislari'!AK501)</f>
        <v/>
      </c>
      <c r="G501" s="26">
        <f>IF('DIVA Satislari'!I501="","",'DIVA Satislari'!AO501)</f>
        <v/>
      </c>
      <c r="H501" s="27">
        <f>IF('DIVA Satislari'!I501="","",'DIVA Satislari'!AN501)</f>
        <v/>
      </c>
      <c r="I501" s="28">
        <f>IF('DIVA Satislari'!I501="","",'DIVA Satislari'!AQ501)</f>
        <v/>
      </c>
      <c r="J501" s="26">
        <f>IF('DIVA Satislari'!I501="","",'DIVA Satislari'!AR501)</f>
        <v/>
      </c>
      <c r="K501" s="26">
        <f>IF('DIVA Satislari'!I501="","",IFERROR(INDEX('E2E Nakliye Montaj'!$AS$3:$AS$1002,MATCH('DIVA Satislari'!AJ501,'E2E Nakliye Montaj'!$AM$3:$AM$1002,0)),"Eşleşme Yok"))</f>
        <v/>
      </c>
      <c r="L501" s="26">
        <f>IF('DIVA Satislari'!I501="","",IFERROR(INDEX('E2E Nakliye Montaj'!$AT$3:$AT$1002,MATCH('DIVA Satislari'!AJ501,'E2E Nakliye Montaj'!$AM$3:$AM$1002,0)),"Hayır"))</f>
        <v/>
      </c>
      <c r="M501" s="26">
        <f>IF('DIVA Satislari'!I501="","",IFERROR(INDEX('E2E Nakliye Montaj'!$AU$3:$AU$1002,MATCH('DIVA Satislari'!AJ501,'E2E Nakliye Montaj'!$AM$3:$AM$1002,0)),"Hayır"))</f>
        <v/>
      </c>
      <c r="N501" s="27">
        <f>IF('DIVA Satislari'!I501="","",IFERROR(INDEX('E2E Nakliye Montaj'!$AV$3:$AV$1002,MATCH('DIVA Satislari'!AJ501,'E2E Nakliye Montaj'!$AM$3:$AM$1002,0)),""))</f>
        <v/>
      </c>
      <c r="O501" s="26">
        <f>IF(OR(A501="",N501=""),"",IF(N501&lt;=H501,"Evet","HAYIR - RİSK"))</f>
        <v/>
      </c>
      <c r="P501" s="26">
        <f>IF(A501="","",IF(LEFT(J501,8)="Kural A ","Uygun - Hemen Ödenir (Yıl Sonu %75 Kontrolüne Tabi)",IF(OR(L501="Evet",M501="Evet"),IF(O501="Evet","Uygun","RİSK - Hakediş Süresi Aşıldı"),"Bekleniyor - Nakliye/Montaj Tamamlanmadı")))</f>
        <v/>
      </c>
      <c r="Q501" s="28">
        <f>IF(A501="","",SUMIFS('Hakedis Fatura Detay'!$G$3:$G$1200,'Hakedis Fatura Detay'!$H$3:$H$1200,'DIVA Satislari'!AJ501,'Hakedis Fatura Detay'!$F$3:$F$1200,"Fiyat Farkı")+SUMIFS('Hakedis Fatura Detay'!$G$3:$G$1200,'Hakedis Fatura Detay'!$H$3:$H$1200,'DIVA Satislari'!AJ501,'Hakedis Fatura Detay'!$F$3:$F$1200,"Bundle"))</f>
        <v/>
      </c>
      <c r="R501" s="28">
        <f>IF(A501="","",I501-Q501)</f>
        <v/>
      </c>
      <c r="S501" s="26">
        <f>IF(A501="","",IF(LEFT(P501,7)="Bekleni","N/A - Henüz Ödenmemeli",IF(LEFT(P501,4)="RİSK","İNCELEME GEREKLİ - Süre Aşımı",IF(R501=0,"Doğru",IF(R501&gt;0,"EKSİK ÖDENMİŞ","FAZLA ÖDENMİŞ")))))</f>
        <v/>
      </c>
      <c r="T501" s="30">
        <f>IF(A501="","",IF(F501&lt;&gt;"Evet","İNCELEME GEREKLİ - Kampanya Tanımsız",IF(G501&lt;&gt;"Evet","İNCELEME GEREKLİ - Tarih Dışı Satış",IF(LEFT(P501,4)="RİSK","İNCELEME GEREKLİ - Hakediş Süresi Aşıldı",IF(OR(S501="EKSİK ÖDENMİŞ",S501="FAZLA ÖDENMİŞ"),"İNCELEME GEREKLİ - Tutar Uyuşmazlığı",IF(LEFT(P501,7)="Bekleni","Bekleniyor","Uygun"))))))</f>
        <v/>
      </c>
    </row>
    <row r="502">
      <c r="A502" s="26">
        <f>IF('DIVA Satislari'!I502="","",'DIVA Satislari'!I502)</f>
        <v/>
      </c>
      <c r="B502" s="26">
        <f>IF('DIVA Satislari'!I502="","",'DIVA Satislari'!R502)</f>
        <v/>
      </c>
      <c r="C502" s="26">
        <f>IF('DIVA Satislari'!I502="","",'DIVA Satislari'!M502)</f>
        <v/>
      </c>
      <c r="D502" s="27">
        <f>IF('DIVA Satislari'!I502="","",'DIVA Satislari'!H502)</f>
        <v/>
      </c>
      <c r="E502" s="26">
        <f>IF('DIVA Satislari'!I502="","",'DIVA Satislari'!O502)</f>
        <v/>
      </c>
      <c r="F502" s="26">
        <f>IF('DIVA Satislari'!I502="","",'DIVA Satislari'!AK502)</f>
        <v/>
      </c>
      <c r="G502" s="26">
        <f>IF('DIVA Satislari'!I502="","",'DIVA Satislari'!AO502)</f>
        <v/>
      </c>
      <c r="H502" s="27">
        <f>IF('DIVA Satislari'!I502="","",'DIVA Satislari'!AN502)</f>
        <v/>
      </c>
      <c r="I502" s="28">
        <f>IF('DIVA Satislari'!I502="","",'DIVA Satislari'!AQ502)</f>
        <v/>
      </c>
      <c r="J502" s="26">
        <f>IF('DIVA Satislari'!I502="","",'DIVA Satislari'!AR502)</f>
        <v/>
      </c>
      <c r="K502" s="26">
        <f>IF('DIVA Satislari'!I502="","",IFERROR(INDEX('E2E Nakliye Montaj'!$AS$3:$AS$1002,MATCH('DIVA Satislari'!AJ502,'E2E Nakliye Montaj'!$AM$3:$AM$1002,0)),"Eşleşme Yok"))</f>
        <v/>
      </c>
      <c r="L502" s="26">
        <f>IF('DIVA Satislari'!I502="","",IFERROR(INDEX('E2E Nakliye Montaj'!$AT$3:$AT$1002,MATCH('DIVA Satislari'!AJ502,'E2E Nakliye Montaj'!$AM$3:$AM$1002,0)),"Hayır"))</f>
        <v/>
      </c>
      <c r="M502" s="26">
        <f>IF('DIVA Satislari'!I502="","",IFERROR(INDEX('E2E Nakliye Montaj'!$AU$3:$AU$1002,MATCH('DIVA Satislari'!AJ502,'E2E Nakliye Montaj'!$AM$3:$AM$1002,0)),"Hayır"))</f>
        <v/>
      </c>
      <c r="N502" s="27">
        <f>IF('DIVA Satislari'!I502="","",IFERROR(INDEX('E2E Nakliye Montaj'!$AV$3:$AV$1002,MATCH('DIVA Satislari'!AJ502,'E2E Nakliye Montaj'!$AM$3:$AM$1002,0)),""))</f>
        <v/>
      </c>
      <c r="O502" s="26">
        <f>IF(OR(A502="",N502=""),"",IF(N502&lt;=H502,"Evet","HAYIR - RİSK"))</f>
        <v/>
      </c>
      <c r="P502" s="26">
        <f>IF(A502="","",IF(LEFT(J502,8)="Kural A ","Uygun - Hemen Ödenir (Yıl Sonu %75 Kontrolüne Tabi)",IF(OR(L502="Evet",M502="Evet"),IF(O502="Evet","Uygun","RİSK - Hakediş Süresi Aşıldı"),"Bekleniyor - Nakliye/Montaj Tamamlanmadı")))</f>
        <v/>
      </c>
      <c r="Q502" s="28">
        <f>IF(A502="","",SUMIFS('Hakedis Fatura Detay'!$G$3:$G$1200,'Hakedis Fatura Detay'!$H$3:$H$1200,'DIVA Satislari'!AJ502,'Hakedis Fatura Detay'!$F$3:$F$1200,"Fiyat Farkı")+SUMIFS('Hakedis Fatura Detay'!$G$3:$G$1200,'Hakedis Fatura Detay'!$H$3:$H$1200,'DIVA Satislari'!AJ502,'Hakedis Fatura Detay'!$F$3:$F$1200,"Bundle"))</f>
        <v/>
      </c>
      <c r="R502" s="28">
        <f>IF(A502="","",I502-Q502)</f>
        <v/>
      </c>
      <c r="S502" s="26">
        <f>IF(A502="","",IF(LEFT(P502,7)="Bekleni","N/A - Henüz Ödenmemeli",IF(LEFT(P502,4)="RİSK","İNCELEME GEREKLİ - Süre Aşımı",IF(R502=0,"Doğru",IF(R502&gt;0,"EKSİK ÖDENMİŞ","FAZLA ÖDENMİŞ")))))</f>
        <v/>
      </c>
      <c r="T502" s="30">
        <f>IF(A502="","",IF(F502&lt;&gt;"Evet","İNCELEME GEREKLİ - Kampanya Tanımsız",IF(G502&lt;&gt;"Evet","İNCELEME GEREKLİ - Tarih Dışı Satış",IF(LEFT(P502,4)="RİSK","İNCELEME GEREKLİ - Hakediş Süresi Aşıldı",IF(OR(S502="EKSİK ÖDENMİŞ",S502="FAZLA ÖDENMİŞ"),"İNCELEME GEREKLİ - Tutar Uyuşmazlığı",IF(LEFT(P502,7)="Bekleni","Bekleniyor","Uygun"))))))</f>
        <v/>
      </c>
    </row>
    <row r="503">
      <c r="A503" s="26">
        <f>IF('DIVA Satislari'!I503="","",'DIVA Satislari'!I503)</f>
        <v/>
      </c>
      <c r="B503" s="26">
        <f>IF('DIVA Satislari'!I503="","",'DIVA Satislari'!R503)</f>
        <v/>
      </c>
      <c r="C503" s="26">
        <f>IF('DIVA Satislari'!I503="","",'DIVA Satislari'!M503)</f>
        <v/>
      </c>
      <c r="D503" s="27">
        <f>IF('DIVA Satislari'!I503="","",'DIVA Satislari'!H503)</f>
        <v/>
      </c>
      <c r="E503" s="26">
        <f>IF('DIVA Satislari'!I503="","",'DIVA Satislari'!O503)</f>
        <v/>
      </c>
      <c r="F503" s="26">
        <f>IF('DIVA Satislari'!I503="","",'DIVA Satislari'!AK503)</f>
        <v/>
      </c>
      <c r="G503" s="26">
        <f>IF('DIVA Satislari'!I503="","",'DIVA Satislari'!AO503)</f>
        <v/>
      </c>
      <c r="H503" s="27">
        <f>IF('DIVA Satislari'!I503="","",'DIVA Satislari'!AN503)</f>
        <v/>
      </c>
      <c r="I503" s="28">
        <f>IF('DIVA Satislari'!I503="","",'DIVA Satislari'!AQ503)</f>
        <v/>
      </c>
      <c r="J503" s="26">
        <f>IF('DIVA Satislari'!I503="","",'DIVA Satislari'!AR503)</f>
        <v/>
      </c>
      <c r="K503" s="26">
        <f>IF('DIVA Satislari'!I503="","",IFERROR(INDEX('E2E Nakliye Montaj'!$AS$3:$AS$1002,MATCH('DIVA Satislari'!AJ503,'E2E Nakliye Montaj'!$AM$3:$AM$1002,0)),"Eşleşme Yok"))</f>
        <v/>
      </c>
      <c r="L503" s="26">
        <f>IF('DIVA Satislari'!I503="","",IFERROR(INDEX('E2E Nakliye Montaj'!$AT$3:$AT$1002,MATCH('DIVA Satislari'!AJ503,'E2E Nakliye Montaj'!$AM$3:$AM$1002,0)),"Hayır"))</f>
        <v/>
      </c>
      <c r="M503" s="26">
        <f>IF('DIVA Satislari'!I503="","",IFERROR(INDEX('E2E Nakliye Montaj'!$AU$3:$AU$1002,MATCH('DIVA Satislari'!AJ503,'E2E Nakliye Montaj'!$AM$3:$AM$1002,0)),"Hayır"))</f>
        <v/>
      </c>
      <c r="N503" s="27">
        <f>IF('DIVA Satislari'!I503="","",IFERROR(INDEX('E2E Nakliye Montaj'!$AV$3:$AV$1002,MATCH('DIVA Satislari'!AJ503,'E2E Nakliye Montaj'!$AM$3:$AM$1002,0)),""))</f>
        <v/>
      </c>
      <c r="O503" s="26">
        <f>IF(OR(A503="",N503=""),"",IF(N503&lt;=H503,"Evet","HAYIR - RİSK"))</f>
        <v/>
      </c>
      <c r="P503" s="26">
        <f>IF(A503="","",IF(LEFT(J503,8)="Kural A ","Uygun - Hemen Ödenir (Yıl Sonu %75 Kontrolüne Tabi)",IF(OR(L503="Evet",M503="Evet"),IF(O503="Evet","Uygun","RİSK - Hakediş Süresi Aşıldı"),"Bekleniyor - Nakliye/Montaj Tamamlanmadı")))</f>
        <v/>
      </c>
      <c r="Q503" s="28">
        <f>IF(A503="","",SUMIFS('Hakedis Fatura Detay'!$G$3:$G$1200,'Hakedis Fatura Detay'!$H$3:$H$1200,'DIVA Satislari'!AJ503,'Hakedis Fatura Detay'!$F$3:$F$1200,"Fiyat Farkı")+SUMIFS('Hakedis Fatura Detay'!$G$3:$G$1200,'Hakedis Fatura Detay'!$H$3:$H$1200,'DIVA Satislari'!AJ503,'Hakedis Fatura Detay'!$F$3:$F$1200,"Bundle"))</f>
        <v/>
      </c>
      <c r="R503" s="28">
        <f>IF(A503="","",I503-Q503)</f>
        <v/>
      </c>
      <c r="S503" s="26">
        <f>IF(A503="","",IF(LEFT(P503,7)="Bekleni","N/A - Henüz Ödenmemeli",IF(LEFT(P503,4)="RİSK","İNCELEME GEREKLİ - Süre Aşımı",IF(R503=0,"Doğru",IF(R503&gt;0,"EKSİK ÖDENMİŞ","FAZLA ÖDENMİŞ")))))</f>
        <v/>
      </c>
      <c r="T503" s="30">
        <f>IF(A503="","",IF(F503&lt;&gt;"Evet","İNCELEME GEREKLİ - Kampanya Tanımsız",IF(G503&lt;&gt;"Evet","İNCELEME GEREKLİ - Tarih Dışı Satış",IF(LEFT(P503,4)="RİSK","İNCELEME GEREKLİ - Hakediş Süresi Aşıldı",IF(OR(S503="EKSİK ÖDENMİŞ",S503="FAZLA ÖDENMİŞ"),"İNCELEME GEREKLİ - Tutar Uyuşmazlığı",IF(LEFT(P503,7)="Bekleni","Bekleniyor","Uygun"))))))</f>
        <v/>
      </c>
    </row>
    <row r="504">
      <c r="A504" s="26">
        <f>IF('DIVA Satislari'!I504="","",'DIVA Satislari'!I504)</f>
        <v/>
      </c>
      <c r="B504" s="26">
        <f>IF('DIVA Satislari'!I504="","",'DIVA Satislari'!R504)</f>
        <v/>
      </c>
      <c r="C504" s="26">
        <f>IF('DIVA Satislari'!I504="","",'DIVA Satislari'!M504)</f>
        <v/>
      </c>
      <c r="D504" s="27">
        <f>IF('DIVA Satislari'!I504="","",'DIVA Satislari'!H504)</f>
        <v/>
      </c>
      <c r="E504" s="26">
        <f>IF('DIVA Satislari'!I504="","",'DIVA Satislari'!O504)</f>
        <v/>
      </c>
      <c r="F504" s="26">
        <f>IF('DIVA Satislari'!I504="","",'DIVA Satislari'!AK504)</f>
        <v/>
      </c>
      <c r="G504" s="26">
        <f>IF('DIVA Satislari'!I504="","",'DIVA Satislari'!AO504)</f>
        <v/>
      </c>
      <c r="H504" s="27">
        <f>IF('DIVA Satislari'!I504="","",'DIVA Satislari'!AN504)</f>
        <v/>
      </c>
      <c r="I504" s="28">
        <f>IF('DIVA Satislari'!I504="","",'DIVA Satislari'!AQ504)</f>
        <v/>
      </c>
      <c r="J504" s="26">
        <f>IF('DIVA Satislari'!I504="","",'DIVA Satislari'!AR504)</f>
        <v/>
      </c>
      <c r="K504" s="26">
        <f>IF('DIVA Satislari'!I504="","",IFERROR(INDEX('E2E Nakliye Montaj'!$AS$3:$AS$1002,MATCH('DIVA Satislari'!AJ504,'E2E Nakliye Montaj'!$AM$3:$AM$1002,0)),"Eşleşme Yok"))</f>
        <v/>
      </c>
      <c r="L504" s="26">
        <f>IF('DIVA Satislari'!I504="","",IFERROR(INDEX('E2E Nakliye Montaj'!$AT$3:$AT$1002,MATCH('DIVA Satislari'!AJ504,'E2E Nakliye Montaj'!$AM$3:$AM$1002,0)),"Hayır"))</f>
        <v/>
      </c>
      <c r="M504" s="26">
        <f>IF('DIVA Satislari'!I504="","",IFERROR(INDEX('E2E Nakliye Montaj'!$AU$3:$AU$1002,MATCH('DIVA Satislari'!AJ504,'E2E Nakliye Montaj'!$AM$3:$AM$1002,0)),"Hayır"))</f>
        <v/>
      </c>
      <c r="N504" s="27">
        <f>IF('DIVA Satislari'!I504="","",IFERROR(INDEX('E2E Nakliye Montaj'!$AV$3:$AV$1002,MATCH('DIVA Satislari'!AJ504,'E2E Nakliye Montaj'!$AM$3:$AM$1002,0)),""))</f>
        <v/>
      </c>
      <c r="O504" s="26">
        <f>IF(OR(A504="",N504=""),"",IF(N504&lt;=H504,"Evet","HAYIR - RİSK"))</f>
        <v/>
      </c>
      <c r="P504" s="26">
        <f>IF(A504="","",IF(LEFT(J504,8)="Kural A ","Uygun - Hemen Ödenir (Yıl Sonu %75 Kontrolüne Tabi)",IF(OR(L504="Evet",M504="Evet"),IF(O504="Evet","Uygun","RİSK - Hakediş Süresi Aşıldı"),"Bekleniyor - Nakliye/Montaj Tamamlanmadı")))</f>
        <v/>
      </c>
      <c r="Q504" s="28">
        <f>IF(A504="","",SUMIFS('Hakedis Fatura Detay'!$G$3:$G$1200,'Hakedis Fatura Detay'!$H$3:$H$1200,'DIVA Satislari'!AJ504,'Hakedis Fatura Detay'!$F$3:$F$1200,"Fiyat Farkı")+SUMIFS('Hakedis Fatura Detay'!$G$3:$G$1200,'Hakedis Fatura Detay'!$H$3:$H$1200,'DIVA Satislari'!AJ504,'Hakedis Fatura Detay'!$F$3:$F$1200,"Bundle"))</f>
        <v/>
      </c>
      <c r="R504" s="28">
        <f>IF(A504="","",I504-Q504)</f>
        <v/>
      </c>
      <c r="S504" s="26">
        <f>IF(A504="","",IF(LEFT(P504,7)="Bekleni","N/A - Henüz Ödenmemeli",IF(LEFT(P504,4)="RİSK","İNCELEME GEREKLİ - Süre Aşımı",IF(R504=0,"Doğru",IF(R504&gt;0,"EKSİK ÖDENMİŞ","FAZLA ÖDENMİŞ")))))</f>
        <v/>
      </c>
      <c r="T504" s="30">
        <f>IF(A504="","",IF(F504&lt;&gt;"Evet","İNCELEME GEREKLİ - Kampanya Tanımsız",IF(G504&lt;&gt;"Evet","İNCELEME GEREKLİ - Tarih Dışı Satış",IF(LEFT(P504,4)="RİSK","İNCELEME GEREKLİ - Hakediş Süresi Aşıldı",IF(OR(S504="EKSİK ÖDENMİŞ",S504="FAZLA ÖDENMİŞ"),"İNCELEME GEREKLİ - Tutar Uyuşmazlığı",IF(LEFT(P504,7)="Bekleni","Bekleniyor","Uygun"))))))</f>
        <v/>
      </c>
    </row>
    <row r="505">
      <c r="A505" s="26">
        <f>IF('DIVA Satislari'!I505="","",'DIVA Satislari'!I505)</f>
        <v/>
      </c>
      <c r="B505" s="26">
        <f>IF('DIVA Satislari'!I505="","",'DIVA Satislari'!R505)</f>
        <v/>
      </c>
      <c r="C505" s="26">
        <f>IF('DIVA Satislari'!I505="","",'DIVA Satislari'!M505)</f>
        <v/>
      </c>
      <c r="D505" s="27">
        <f>IF('DIVA Satislari'!I505="","",'DIVA Satislari'!H505)</f>
        <v/>
      </c>
      <c r="E505" s="26">
        <f>IF('DIVA Satislari'!I505="","",'DIVA Satislari'!O505)</f>
        <v/>
      </c>
      <c r="F505" s="26">
        <f>IF('DIVA Satislari'!I505="","",'DIVA Satislari'!AK505)</f>
        <v/>
      </c>
      <c r="G505" s="26">
        <f>IF('DIVA Satislari'!I505="","",'DIVA Satislari'!AO505)</f>
        <v/>
      </c>
      <c r="H505" s="27">
        <f>IF('DIVA Satislari'!I505="","",'DIVA Satislari'!AN505)</f>
        <v/>
      </c>
      <c r="I505" s="28">
        <f>IF('DIVA Satislari'!I505="","",'DIVA Satislari'!AQ505)</f>
        <v/>
      </c>
      <c r="J505" s="26">
        <f>IF('DIVA Satislari'!I505="","",'DIVA Satislari'!AR505)</f>
        <v/>
      </c>
      <c r="K505" s="26">
        <f>IF('DIVA Satislari'!I505="","",IFERROR(INDEX('E2E Nakliye Montaj'!$AS$3:$AS$1002,MATCH('DIVA Satislari'!AJ505,'E2E Nakliye Montaj'!$AM$3:$AM$1002,0)),"Eşleşme Yok"))</f>
        <v/>
      </c>
      <c r="L505" s="26">
        <f>IF('DIVA Satislari'!I505="","",IFERROR(INDEX('E2E Nakliye Montaj'!$AT$3:$AT$1002,MATCH('DIVA Satislari'!AJ505,'E2E Nakliye Montaj'!$AM$3:$AM$1002,0)),"Hayır"))</f>
        <v/>
      </c>
      <c r="M505" s="26">
        <f>IF('DIVA Satislari'!I505="","",IFERROR(INDEX('E2E Nakliye Montaj'!$AU$3:$AU$1002,MATCH('DIVA Satislari'!AJ505,'E2E Nakliye Montaj'!$AM$3:$AM$1002,0)),"Hayır"))</f>
        <v/>
      </c>
      <c r="N505" s="27">
        <f>IF('DIVA Satislari'!I505="","",IFERROR(INDEX('E2E Nakliye Montaj'!$AV$3:$AV$1002,MATCH('DIVA Satislari'!AJ505,'E2E Nakliye Montaj'!$AM$3:$AM$1002,0)),""))</f>
        <v/>
      </c>
      <c r="O505" s="26">
        <f>IF(OR(A505="",N505=""),"",IF(N505&lt;=H505,"Evet","HAYIR - RİSK"))</f>
        <v/>
      </c>
      <c r="P505" s="26">
        <f>IF(A505="","",IF(LEFT(J505,8)="Kural A ","Uygun - Hemen Ödenir (Yıl Sonu %75 Kontrolüne Tabi)",IF(OR(L505="Evet",M505="Evet"),IF(O505="Evet","Uygun","RİSK - Hakediş Süresi Aşıldı"),"Bekleniyor - Nakliye/Montaj Tamamlanmadı")))</f>
        <v/>
      </c>
      <c r="Q505" s="28">
        <f>IF(A505="","",SUMIFS('Hakedis Fatura Detay'!$G$3:$G$1200,'Hakedis Fatura Detay'!$H$3:$H$1200,'DIVA Satislari'!AJ505,'Hakedis Fatura Detay'!$F$3:$F$1200,"Fiyat Farkı")+SUMIFS('Hakedis Fatura Detay'!$G$3:$G$1200,'Hakedis Fatura Detay'!$H$3:$H$1200,'DIVA Satislari'!AJ505,'Hakedis Fatura Detay'!$F$3:$F$1200,"Bundle"))</f>
        <v/>
      </c>
      <c r="R505" s="28">
        <f>IF(A505="","",I505-Q505)</f>
        <v/>
      </c>
      <c r="S505" s="26">
        <f>IF(A505="","",IF(LEFT(P505,7)="Bekleni","N/A - Henüz Ödenmemeli",IF(LEFT(P505,4)="RİSK","İNCELEME GEREKLİ - Süre Aşımı",IF(R505=0,"Doğru",IF(R505&gt;0,"EKSİK ÖDENMİŞ","FAZLA ÖDENMİŞ")))))</f>
        <v/>
      </c>
      <c r="T505" s="30">
        <f>IF(A505="","",IF(F505&lt;&gt;"Evet","İNCELEME GEREKLİ - Kampanya Tanımsız",IF(G505&lt;&gt;"Evet","İNCELEME GEREKLİ - Tarih Dışı Satış",IF(LEFT(P505,4)="RİSK","İNCELEME GEREKLİ - Hakediş Süresi Aşıldı",IF(OR(S505="EKSİK ÖDENMİŞ",S505="FAZLA ÖDENMİŞ"),"İNCELEME GEREKLİ - Tutar Uyuşmazlığı",IF(LEFT(P505,7)="Bekleni","Bekleniyor","Uygun"))))))</f>
        <v/>
      </c>
    </row>
    <row r="506">
      <c r="A506" s="26">
        <f>IF('DIVA Satislari'!I506="","",'DIVA Satislari'!I506)</f>
        <v/>
      </c>
      <c r="B506" s="26">
        <f>IF('DIVA Satislari'!I506="","",'DIVA Satislari'!R506)</f>
        <v/>
      </c>
      <c r="C506" s="26">
        <f>IF('DIVA Satislari'!I506="","",'DIVA Satislari'!M506)</f>
        <v/>
      </c>
      <c r="D506" s="27">
        <f>IF('DIVA Satislari'!I506="","",'DIVA Satislari'!H506)</f>
        <v/>
      </c>
      <c r="E506" s="26">
        <f>IF('DIVA Satislari'!I506="","",'DIVA Satislari'!O506)</f>
        <v/>
      </c>
      <c r="F506" s="26">
        <f>IF('DIVA Satislari'!I506="","",'DIVA Satislari'!AK506)</f>
        <v/>
      </c>
      <c r="G506" s="26">
        <f>IF('DIVA Satislari'!I506="","",'DIVA Satislari'!AO506)</f>
        <v/>
      </c>
      <c r="H506" s="27">
        <f>IF('DIVA Satislari'!I506="","",'DIVA Satislari'!AN506)</f>
        <v/>
      </c>
      <c r="I506" s="28">
        <f>IF('DIVA Satislari'!I506="","",'DIVA Satislari'!AQ506)</f>
        <v/>
      </c>
      <c r="J506" s="26">
        <f>IF('DIVA Satislari'!I506="","",'DIVA Satislari'!AR506)</f>
        <v/>
      </c>
      <c r="K506" s="26">
        <f>IF('DIVA Satislari'!I506="","",IFERROR(INDEX('E2E Nakliye Montaj'!$AS$3:$AS$1002,MATCH('DIVA Satislari'!AJ506,'E2E Nakliye Montaj'!$AM$3:$AM$1002,0)),"Eşleşme Yok"))</f>
        <v/>
      </c>
      <c r="L506" s="26">
        <f>IF('DIVA Satislari'!I506="","",IFERROR(INDEX('E2E Nakliye Montaj'!$AT$3:$AT$1002,MATCH('DIVA Satislari'!AJ506,'E2E Nakliye Montaj'!$AM$3:$AM$1002,0)),"Hayır"))</f>
        <v/>
      </c>
      <c r="M506" s="26">
        <f>IF('DIVA Satislari'!I506="","",IFERROR(INDEX('E2E Nakliye Montaj'!$AU$3:$AU$1002,MATCH('DIVA Satislari'!AJ506,'E2E Nakliye Montaj'!$AM$3:$AM$1002,0)),"Hayır"))</f>
        <v/>
      </c>
      <c r="N506" s="27">
        <f>IF('DIVA Satislari'!I506="","",IFERROR(INDEX('E2E Nakliye Montaj'!$AV$3:$AV$1002,MATCH('DIVA Satislari'!AJ506,'E2E Nakliye Montaj'!$AM$3:$AM$1002,0)),""))</f>
        <v/>
      </c>
      <c r="O506" s="26">
        <f>IF(OR(A506="",N506=""),"",IF(N506&lt;=H506,"Evet","HAYIR - RİSK"))</f>
        <v/>
      </c>
      <c r="P506" s="26">
        <f>IF(A506="","",IF(LEFT(J506,8)="Kural A ","Uygun - Hemen Ödenir (Yıl Sonu %75 Kontrolüne Tabi)",IF(OR(L506="Evet",M506="Evet"),IF(O506="Evet","Uygun","RİSK - Hakediş Süresi Aşıldı"),"Bekleniyor - Nakliye/Montaj Tamamlanmadı")))</f>
        <v/>
      </c>
      <c r="Q506" s="28">
        <f>IF(A506="","",SUMIFS('Hakedis Fatura Detay'!$G$3:$G$1200,'Hakedis Fatura Detay'!$H$3:$H$1200,'DIVA Satislari'!AJ506,'Hakedis Fatura Detay'!$F$3:$F$1200,"Fiyat Farkı")+SUMIFS('Hakedis Fatura Detay'!$G$3:$G$1200,'Hakedis Fatura Detay'!$H$3:$H$1200,'DIVA Satislari'!AJ506,'Hakedis Fatura Detay'!$F$3:$F$1200,"Bundle"))</f>
        <v/>
      </c>
      <c r="R506" s="28">
        <f>IF(A506="","",I506-Q506)</f>
        <v/>
      </c>
      <c r="S506" s="26">
        <f>IF(A506="","",IF(LEFT(P506,7)="Bekleni","N/A - Henüz Ödenmemeli",IF(LEFT(P506,4)="RİSK","İNCELEME GEREKLİ - Süre Aşımı",IF(R506=0,"Doğru",IF(R506&gt;0,"EKSİK ÖDENMİŞ","FAZLA ÖDENMİŞ")))))</f>
        <v/>
      </c>
      <c r="T506" s="30">
        <f>IF(A506="","",IF(F506&lt;&gt;"Evet","İNCELEME GEREKLİ - Kampanya Tanımsız",IF(G506&lt;&gt;"Evet","İNCELEME GEREKLİ - Tarih Dışı Satış",IF(LEFT(P506,4)="RİSK","İNCELEME GEREKLİ - Hakediş Süresi Aşıldı",IF(OR(S506="EKSİK ÖDENMİŞ",S506="FAZLA ÖDENMİŞ"),"İNCELEME GEREKLİ - Tutar Uyuşmazlığı",IF(LEFT(P506,7)="Bekleni","Bekleniyor","Uygun"))))))</f>
        <v/>
      </c>
    </row>
    <row r="507">
      <c r="A507" s="26">
        <f>IF('DIVA Satislari'!I507="","",'DIVA Satislari'!I507)</f>
        <v/>
      </c>
      <c r="B507" s="26">
        <f>IF('DIVA Satislari'!I507="","",'DIVA Satislari'!R507)</f>
        <v/>
      </c>
      <c r="C507" s="26">
        <f>IF('DIVA Satislari'!I507="","",'DIVA Satislari'!M507)</f>
        <v/>
      </c>
      <c r="D507" s="27">
        <f>IF('DIVA Satislari'!I507="","",'DIVA Satislari'!H507)</f>
        <v/>
      </c>
      <c r="E507" s="26">
        <f>IF('DIVA Satislari'!I507="","",'DIVA Satislari'!O507)</f>
        <v/>
      </c>
      <c r="F507" s="26">
        <f>IF('DIVA Satislari'!I507="","",'DIVA Satislari'!AK507)</f>
        <v/>
      </c>
      <c r="G507" s="26">
        <f>IF('DIVA Satislari'!I507="","",'DIVA Satislari'!AO507)</f>
        <v/>
      </c>
      <c r="H507" s="27">
        <f>IF('DIVA Satislari'!I507="","",'DIVA Satislari'!AN507)</f>
        <v/>
      </c>
      <c r="I507" s="28">
        <f>IF('DIVA Satislari'!I507="","",'DIVA Satislari'!AQ507)</f>
        <v/>
      </c>
      <c r="J507" s="26">
        <f>IF('DIVA Satislari'!I507="","",'DIVA Satislari'!AR507)</f>
        <v/>
      </c>
      <c r="K507" s="26">
        <f>IF('DIVA Satislari'!I507="","",IFERROR(INDEX('E2E Nakliye Montaj'!$AS$3:$AS$1002,MATCH('DIVA Satislari'!AJ507,'E2E Nakliye Montaj'!$AM$3:$AM$1002,0)),"Eşleşme Yok"))</f>
        <v/>
      </c>
      <c r="L507" s="26">
        <f>IF('DIVA Satislari'!I507="","",IFERROR(INDEX('E2E Nakliye Montaj'!$AT$3:$AT$1002,MATCH('DIVA Satislari'!AJ507,'E2E Nakliye Montaj'!$AM$3:$AM$1002,0)),"Hayır"))</f>
        <v/>
      </c>
      <c r="M507" s="26">
        <f>IF('DIVA Satislari'!I507="","",IFERROR(INDEX('E2E Nakliye Montaj'!$AU$3:$AU$1002,MATCH('DIVA Satislari'!AJ507,'E2E Nakliye Montaj'!$AM$3:$AM$1002,0)),"Hayır"))</f>
        <v/>
      </c>
      <c r="N507" s="27">
        <f>IF('DIVA Satislari'!I507="","",IFERROR(INDEX('E2E Nakliye Montaj'!$AV$3:$AV$1002,MATCH('DIVA Satislari'!AJ507,'E2E Nakliye Montaj'!$AM$3:$AM$1002,0)),""))</f>
        <v/>
      </c>
      <c r="O507" s="26">
        <f>IF(OR(A507="",N507=""),"",IF(N507&lt;=H507,"Evet","HAYIR - RİSK"))</f>
        <v/>
      </c>
      <c r="P507" s="26">
        <f>IF(A507="","",IF(LEFT(J507,8)="Kural A ","Uygun - Hemen Ödenir (Yıl Sonu %75 Kontrolüne Tabi)",IF(OR(L507="Evet",M507="Evet"),IF(O507="Evet","Uygun","RİSK - Hakediş Süresi Aşıldı"),"Bekleniyor - Nakliye/Montaj Tamamlanmadı")))</f>
        <v/>
      </c>
      <c r="Q507" s="28">
        <f>IF(A507="","",SUMIFS('Hakedis Fatura Detay'!$G$3:$G$1200,'Hakedis Fatura Detay'!$H$3:$H$1200,'DIVA Satislari'!AJ507,'Hakedis Fatura Detay'!$F$3:$F$1200,"Fiyat Farkı")+SUMIFS('Hakedis Fatura Detay'!$G$3:$G$1200,'Hakedis Fatura Detay'!$H$3:$H$1200,'DIVA Satislari'!AJ507,'Hakedis Fatura Detay'!$F$3:$F$1200,"Bundle"))</f>
        <v/>
      </c>
      <c r="R507" s="28">
        <f>IF(A507="","",I507-Q507)</f>
        <v/>
      </c>
      <c r="S507" s="26">
        <f>IF(A507="","",IF(LEFT(P507,7)="Bekleni","N/A - Henüz Ödenmemeli",IF(LEFT(P507,4)="RİSK","İNCELEME GEREKLİ - Süre Aşımı",IF(R507=0,"Doğru",IF(R507&gt;0,"EKSİK ÖDENMİŞ","FAZLA ÖDENMİŞ")))))</f>
        <v/>
      </c>
      <c r="T507" s="30">
        <f>IF(A507="","",IF(F507&lt;&gt;"Evet","İNCELEME GEREKLİ - Kampanya Tanımsız",IF(G507&lt;&gt;"Evet","İNCELEME GEREKLİ - Tarih Dışı Satış",IF(LEFT(P507,4)="RİSK","İNCELEME GEREKLİ - Hakediş Süresi Aşıldı",IF(OR(S507="EKSİK ÖDENMİŞ",S507="FAZLA ÖDENMİŞ"),"İNCELEME GEREKLİ - Tutar Uyuşmazlığı",IF(LEFT(P507,7)="Bekleni","Bekleniyor","Uygun"))))))</f>
        <v/>
      </c>
    </row>
    <row r="508">
      <c r="A508" s="26">
        <f>IF('DIVA Satislari'!I508="","",'DIVA Satislari'!I508)</f>
        <v/>
      </c>
      <c r="B508" s="26">
        <f>IF('DIVA Satislari'!I508="","",'DIVA Satislari'!R508)</f>
        <v/>
      </c>
      <c r="C508" s="26">
        <f>IF('DIVA Satislari'!I508="","",'DIVA Satislari'!M508)</f>
        <v/>
      </c>
      <c r="D508" s="27">
        <f>IF('DIVA Satislari'!I508="","",'DIVA Satislari'!H508)</f>
        <v/>
      </c>
      <c r="E508" s="26">
        <f>IF('DIVA Satislari'!I508="","",'DIVA Satislari'!O508)</f>
        <v/>
      </c>
      <c r="F508" s="26">
        <f>IF('DIVA Satislari'!I508="","",'DIVA Satislari'!AK508)</f>
        <v/>
      </c>
      <c r="G508" s="26">
        <f>IF('DIVA Satislari'!I508="","",'DIVA Satislari'!AO508)</f>
        <v/>
      </c>
      <c r="H508" s="27">
        <f>IF('DIVA Satislari'!I508="","",'DIVA Satislari'!AN508)</f>
        <v/>
      </c>
      <c r="I508" s="28">
        <f>IF('DIVA Satislari'!I508="","",'DIVA Satislari'!AQ508)</f>
        <v/>
      </c>
      <c r="J508" s="26">
        <f>IF('DIVA Satislari'!I508="","",'DIVA Satislari'!AR508)</f>
        <v/>
      </c>
      <c r="K508" s="26">
        <f>IF('DIVA Satislari'!I508="","",IFERROR(INDEX('E2E Nakliye Montaj'!$AS$3:$AS$1002,MATCH('DIVA Satislari'!AJ508,'E2E Nakliye Montaj'!$AM$3:$AM$1002,0)),"Eşleşme Yok"))</f>
        <v/>
      </c>
      <c r="L508" s="26">
        <f>IF('DIVA Satislari'!I508="","",IFERROR(INDEX('E2E Nakliye Montaj'!$AT$3:$AT$1002,MATCH('DIVA Satislari'!AJ508,'E2E Nakliye Montaj'!$AM$3:$AM$1002,0)),"Hayır"))</f>
        <v/>
      </c>
      <c r="M508" s="26">
        <f>IF('DIVA Satislari'!I508="","",IFERROR(INDEX('E2E Nakliye Montaj'!$AU$3:$AU$1002,MATCH('DIVA Satislari'!AJ508,'E2E Nakliye Montaj'!$AM$3:$AM$1002,0)),"Hayır"))</f>
        <v/>
      </c>
      <c r="N508" s="27">
        <f>IF('DIVA Satislari'!I508="","",IFERROR(INDEX('E2E Nakliye Montaj'!$AV$3:$AV$1002,MATCH('DIVA Satislari'!AJ508,'E2E Nakliye Montaj'!$AM$3:$AM$1002,0)),""))</f>
        <v/>
      </c>
      <c r="O508" s="26">
        <f>IF(OR(A508="",N508=""),"",IF(N508&lt;=H508,"Evet","HAYIR - RİSK"))</f>
        <v/>
      </c>
      <c r="P508" s="26">
        <f>IF(A508="","",IF(LEFT(J508,8)="Kural A ","Uygun - Hemen Ödenir (Yıl Sonu %75 Kontrolüne Tabi)",IF(OR(L508="Evet",M508="Evet"),IF(O508="Evet","Uygun","RİSK - Hakediş Süresi Aşıldı"),"Bekleniyor - Nakliye/Montaj Tamamlanmadı")))</f>
        <v/>
      </c>
      <c r="Q508" s="28">
        <f>IF(A508="","",SUMIFS('Hakedis Fatura Detay'!$G$3:$G$1200,'Hakedis Fatura Detay'!$H$3:$H$1200,'DIVA Satislari'!AJ508,'Hakedis Fatura Detay'!$F$3:$F$1200,"Fiyat Farkı")+SUMIFS('Hakedis Fatura Detay'!$G$3:$G$1200,'Hakedis Fatura Detay'!$H$3:$H$1200,'DIVA Satislari'!AJ508,'Hakedis Fatura Detay'!$F$3:$F$1200,"Bundle"))</f>
        <v/>
      </c>
      <c r="R508" s="28">
        <f>IF(A508="","",I508-Q508)</f>
        <v/>
      </c>
      <c r="S508" s="26">
        <f>IF(A508="","",IF(LEFT(P508,7)="Bekleni","N/A - Henüz Ödenmemeli",IF(LEFT(P508,4)="RİSK","İNCELEME GEREKLİ - Süre Aşımı",IF(R508=0,"Doğru",IF(R508&gt;0,"EKSİK ÖDENMİŞ","FAZLA ÖDENMİŞ")))))</f>
        <v/>
      </c>
      <c r="T508" s="30">
        <f>IF(A508="","",IF(F508&lt;&gt;"Evet","İNCELEME GEREKLİ - Kampanya Tanımsız",IF(G508&lt;&gt;"Evet","İNCELEME GEREKLİ - Tarih Dışı Satış",IF(LEFT(P508,4)="RİSK","İNCELEME GEREKLİ - Hakediş Süresi Aşıldı",IF(OR(S508="EKSİK ÖDENMİŞ",S508="FAZLA ÖDENMİŞ"),"İNCELEME GEREKLİ - Tutar Uyuşmazlığı",IF(LEFT(P508,7)="Bekleni","Bekleniyor","Uygun"))))))</f>
        <v/>
      </c>
    </row>
    <row r="509">
      <c r="A509" s="26">
        <f>IF('DIVA Satislari'!I509="","",'DIVA Satislari'!I509)</f>
        <v/>
      </c>
      <c r="B509" s="26">
        <f>IF('DIVA Satislari'!I509="","",'DIVA Satislari'!R509)</f>
        <v/>
      </c>
      <c r="C509" s="26">
        <f>IF('DIVA Satislari'!I509="","",'DIVA Satislari'!M509)</f>
        <v/>
      </c>
      <c r="D509" s="27">
        <f>IF('DIVA Satislari'!I509="","",'DIVA Satislari'!H509)</f>
        <v/>
      </c>
      <c r="E509" s="26">
        <f>IF('DIVA Satislari'!I509="","",'DIVA Satislari'!O509)</f>
        <v/>
      </c>
      <c r="F509" s="26">
        <f>IF('DIVA Satislari'!I509="","",'DIVA Satislari'!AK509)</f>
        <v/>
      </c>
      <c r="G509" s="26">
        <f>IF('DIVA Satislari'!I509="","",'DIVA Satislari'!AO509)</f>
        <v/>
      </c>
      <c r="H509" s="27">
        <f>IF('DIVA Satislari'!I509="","",'DIVA Satislari'!AN509)</f>
        <v/>
      </c>
      <c r="I509" s="28">
        <f>IF('DIVA Satislari'!I509="","",'DIVA Satislari'!AQ509)</f>
        <v/>
      </c>
      <c r="J509" s="26">
        <f>IF('DIVA Satislari'!I509="","",'DIVA Satislari'!AR509)</f>
        <v/>
      </c>
      <c r="K509" s="26">
        <f>IF('DIVA Satislari'!I509="","",IFERROR(INDEX('E2E Nakliye Montaj'!$AS$3:$AS$1002,MATCH('DIVA Satislari'!AJ509,'E2E Nakliye Montaj'!$AM$3:$AM$1002,0)),"Eşleşme Yok"))</f>
        <v/>
      </c>
      <c r="L509" s="26">
        <f>IF('DIVA Satislari'!I509="","",IFERROR(INDEX('E2E Nakliye Montaj'!$AT$3:$AT$1002,MATCH('DIVA Satislari'!AJ509,'E2E Nakliye Montaj'!$AM$3:$AM$1002,0)),"Hayır"))</f>
        <v/>
      </c>
      <c r="M509" s="26">
        <f>IF('DIVA Satislari'!I509="","",IFERROR(INDEX('E2E Nakliye Montaj'!$AU$3:$AU$1002,MATCH('DIVA Satislari'!AJ509,'E2E Nakliye Montaj'!$AM$3:$AM$1002,0)),"Hayır"))</f>
        <v/>
      </c>
      <c r="N509" s="27">
        <f>IF('DIVA Satislari'!I509="","",IFERROR(INDEX('E2E Nakliye Montaj'!$AV$3:$AV$1002,MATCH('DIVA Satislari'!AJ509,'E2E Nakliye Montaj'!$AM$3:$AM$1002,0)),""))</f>
        <v/>
      </c>
      <c r="O509" s="26">
        <f>IF(OR(A509="",N509=""),"",IF(N509&lt;=H509,"Evet","HAYIR - RİSK"))</f>
        <v/>
      </c>
      <c r="P509" s="26">
        <f>IF(A509="","",IF(LEFT(J509,8)="Kural A ","Uygun - Hemen Ödenir (Yıl Sonu %75 Kontrolüne Tabi)",IF(OR(L509="Evet",M509="Evet"),IF(O509="Evet","Uygun","RİSK - Hakediş Süresi Aşıldı"),"Bekleniyor - Nakliye/Montaj Tamamlanmadı")))</f>
        <v/>
      </c>
      <c r="Q509" s="28">
        <f>IF(A509="","",SUMIFS('Hakedis Fatura Detay'!$G$3:$G$1200,'Hakedis Fatura Detay'!$H$3:$H$1200,'DIVA Satislari'!AJ509,'Hakedis Fatura Detay'!$F$3:$F$1200,"Fiyat Farkı")+SUMIFS('Hakedis Fatura Detay'!$G$3:$G$1200,'Hakedis Fatura Detay'!$H$3:$H$1200,'DIVA Satislari'!AJ509,'Hakedis Fatura Detay'!$F$3:$F$1200,"Bundle"))</f>
        <v/>
      </c>
      <c r="R509" s="28">
        <f>IF(A509="","",I509-Q509)</f>
        <v/>
      </c>
      <c r="S509" s="26">
        <f>IF(A509="","",IF(LEFT(P509,7)="Bekleni","N/A - Henüz Ödenmemeli",IF(LEFT(P509,4)="RİSK","İNCELEME GEREKLİ - Süre Aşımı",IF(R509=0,"Doğru",IF(R509&gt;0,"EKSİK ÖDENMİŞ","FAZLA ÖDENMİŞ")))))</f>
        <v/>
      </c>
      <c r="T509" s="30">
        <f>IF(A509="","",IF(F509&lt;&gt;"Evet","İNCELEME GEREKLİ - Kampanya Tanımsız",IF(G509&lt;&gt;"Evet","İNCELEME GEREKLİ - Tarih Dışı Satış",IF(LEFT(P509,4)="RİSK","İNCELEME GEREKLİ - Hakediş Süresi Aşıldı",IF(OR(S509="EKSİK ÖDENMİŞ",S509="FAZLA ÖDENMİŞ"),"İNCELEME GEREKLİ - Tutar Uyuşmazlığı",IF(LEFT(P509,7)="Bekleni","Bekleniyor","Uygun"))))))</f>
        <v/>
      </c>
    </row>
    <row r="510">
      <c r="A510" s="26">
        <f>IF('DIVA Satislari'!I510="","",'DIVA Satislari'!I510)</f>
        <v/>
      </c>
      <c r="B510" s="26">
        <f>IF('DIVA Satislari'!I510="","",'DIVA Satislari'!R510)</f>
        <v/>
      </c>
      <c r="C510" s="26">
        <f>IF('DIVA Satislari'!I510="","",'DIVA Satislari'!M510)</f>
        <v/>
      </c>
      <c r="D510" s="27">
        <f>IF('DIVA Satislari'!I510="","",'DIVA Satislari'!H510)</f>
        <v/>
      </c>
      <c r="E510" s="26">
        <f>IF('DIVA Satislari'!I510="","",'DIVA Satislari'!O510)</f>
        <v/>
      </c>
      <c r="F510" s="26">
        <f>IF('DIVA Satislari'!I510="","",'DIVA Satislari'!AK510)</f>
        <v/>
      </c>
      <c r="G510" s="26">
        <f>IF('DIVA Satislari'!I510="","",'DIVA Satislari'!AO510)</f>
        <v/>
      </c>
      <c r="H510" s="27">
        <f>IF('DIVA Satislari'!I510="","",'DIVA Satislari'!AN510)</f>
        <v/>
      </c>
      <c r="I510" s="28">
        <f>IF('DIVA Satislari'!I510="","",'DIVA Satislari'!AQ510)</f>
        <v/>
      </c>
      <c r="J510" s="26">
        <f>IF('DIVA Satislari'!I510="","",'DIVA Satislari'!AR510)</f>
        <v/>
      </c>
      <c r="K510" s="26">
        <f>IF('DIVA Satislari'!I510="","",IFERROR(INDEX('E2E Nakliye Montaj'!$AS$3:$AS$1002,MATCH('DIVA Satislari'!AJ510,'E2E Nakliye Montaj'!$AM$3:$AM$1002,0)),"Eşleşme Yok"))</f>
        <v/>
      </c>
      <c r="L510" s="26">
        <f>IF('DIVA Satislari'!I510="","",IFERROR(INDEX('E2E Nakliye Montaj'!$AT$3:$AT$1002,MATCH('DIVA Satislari'!AJ510,'E2E Nakliye Montaj'!$AM$3:$AM$1002,0)),"Hayır"))</f>
        <v/>
      </c>
      <c r="M510" s="26">
        <f>IF('DIVA Satislari'!I510="","",IFERROR(INDEX('E2E Nakliye Montaj'!$AU$3:$AU$1002,MATCH('DIVA Satislari'!AJ510,'E2E Nakliye Montaj'!$AM$3:$AM$1002,0)),"Hayır"))</f>
        <v/>
      </c>
      <c r="N510" s="27">
        <f>IF('DIVA Satislari'!I510="","",IFERROR(INDEX('E2E Nakliye Montaj'!$AV$3:$AV$1002,MATCH('DIVA Satislari'!AJ510,'E2E Nakliye Montaj'!$AM$3:$AM$1002,0)),""))</f>
        <v/>
      </c>
      <c r="O510" s="26">
        <f>IF(OR(A510="",N510=""),"",IF(N510&lt;=H510,"Evet","HAYIR - RİSK"))</f>
        <v/>
      </c>
      <c r="P510" s="26">
        <f>IF(A510="","",IF(LEFT(J510,8)="Kural A ","Uygun - Hemen Ödenir (Yıl Sonu %75 Kontrolüne Tabi)",IF(OR(L510="Evet",M510="Evet"),IF(O510="Evet","Uygun","RİSK - Hakediş Süresi Aşıldı"),"Bekleniyor - Nakliye/Montaj Tamamlanmadı")))</f>
        <v/>
      </c>
      <c r="Q510" s="28">
        <f>IF(A510="","",SUMIFS('Hakedis Fatura Detay'!$G$3:$G$1200,'Hakedis Fatura Detay'!$H$3:$H$1200,'DIVA Satislari'!AJ510,'Hakedis Fatura Detay'!$F$3:$F$1200,"Fiyat Farkı")+SUMIFS('Hakedis Fatura Detay'!$G$3:$G$1200,'Hakedis Fatura Detay'!$H$3:$H$1200,'DIVA Satislari'!AJ510,'Hakedis Fatura Detay'!$F$3:$F$1200,"Bundle"))</f>
        <v/>
      </c>
      <c r="R510" s="28">
        <f>IF(A510="","",I510-Q510)</f>
        <v/>
      </c>
      <c r="S510" s="26">
        <f>IF(A510="","",IF(LEFT(P510,7)="Bekleni","N/A - Henüz Ödenmemeli",IF(LEFT(P510,4)="RİSK","İNCELEME GEREKLİ - Süre Aşımı",IF(R510=0,"Doğru",IF(R510&gt;0,"EKSİK ÖDENMİŞ","FAZLA ÖDENMİŞ")))))</f>
        <v/>
      </c>
      <c r="T510" s="30">
        <f>IF(A510="","",IF(F510&lt;&gt;"Evet","İNCELEME GEREKLİ - Kampanya Tanımsız",IF(G510&lt;&gt;"Evet","İNCELEME GEREKLİ - Tarih Dışı Satış",IF(LEFT(P510,4)="RİSK","İNCELEME GEREKLİ - Hakediş Süresi Aşıldı",IF(OR(S510="EKSİK ÖDENMİŞ",S510="FAZLA ÖDENMİŞ"),"İNCELEME GEREKLİ - Tutar Uyuşmazlığı",IF(LEFT(P510,7)="Bekleni","Bekleniyor","Uygun"))))))</f>
        <v/>
      </c>
    </row>
    <row r="511">
      <c r="A511" s="26">
        <f>IF('DIVA Satislari'!I511="","",'DIVA Satislari'!I511)</f>
        <v/>
      </c>
      <c r="B511" s="26">
        <f>IF('DIVA Satislari'!I511="","",'DIVA Satislari'!R511)</f>
        <v/>
      </c>
      <c r="C511" s="26">
        <f>IF('DIVA Satislari'!I511="","",'DIVA Satislari'!M511)</f>
        <v/>
      </c>
      <c r="D511" s="27">
        <f>IF('DIVA Satislari'!I511="","",'DIVA Satislari'!H511)</f>
        <v/>
      </c>
      <c r="E511" s="26">
        <f>IF('DIVA Satislari'!I511="","",'DIVA Satislari'!O511)</f>
        <v/>
      </c>
      <c r="F511" s="26">
        <f>IF('DIVA Satislari'!I511="","",'DIVA Satislari'!AK511)</f>
        <v/>
      </c>
      <c r="G511" s="26">
        <f>IF('DIVA Satislari'!I511="","",'DIVA Satislari'!AO511)</f>
        <v/>
      </c>
      <c r="H511" s="27">
        <f>IF('DIVA Satislari'!I511="","",'DIVA Satislari'!AN511)</f>
        <v/>
      </c>
      <c r="I511" s="28">
        <f>IF('DIVA Satislari'!I511="","",'DIVA Satislari'!AQ511)</f>
        <v/>
      </c>
      <c r="J511" s="26">
        <f>IF('DIVA Satislari'!I511="","",'DIVA Satislari'!AR511)</f>
        <v/>
      </c>
      <c r="K511" s="26">
        <f>IF('DIVA Satislari'!I511="","",IFERROR(INDEX('E2E Nakliye Montaj'!$AS$3:$AS$1002,MATCH('DIVA Satislari'!AJ511,'E2E Nakliye Montaj'!$AM$3:$AM$1002,0)),"Eşleşme Yok"))</f>
        <v/>
      </c>
      <c r="L511" s="26">
        <f>IF('DIVA Satislari'!I511="","",IFERROR(INDEX('E2E Nakliye Montaj'!$AT$3:$AT$1002,MATCH('DIVA Satislari'!AJ511,'E2E Nakliye Montaj'!$AM$3:$AM$1002,0)),"Hayır"))</f>
        <v/>
      </c>
      <c r="M511" s="26">
        <f>IF('DIVA Satislari'!I511="","",IFERROR(INDEX('E2E Nakliye Montaj'!$AU$3:$AU$1002,MATCH('DIVA Satislari'!AJ511,'E2E Nakliye Montaj'!$AM$3:$AM$1002,0)),"Hayır"))</f>
        <v/>
      </c>
      <c r="N511" s="27">
        <f>IF('DIVA Satislari'!I511="","",IFERROR(INDEX('E2E Nakliye Montaj'!$AV$3:$AV$1002,MATCH('DIVA Satislari'!AJ511,'E2E Nakliye Montaj'!$AM$3:$AM$1002,0)),""))</f>
        <v/>
      </c>
      <c r="O511" s="26">
        <f>IF(OR(A511="",N511=""),"",IF(N511&lt;=H511,"Evet","HAYIR - RİSK"))</f>
        <v/>
      </c>
      <c r="P511" s="26">
        <f>IF(A511="","",IF(LEFT(J511,8)="Kural A ","Uygun - Hemen Ödenir (Yıl Sonu %75 Kontrolüne Tabi)",IF(OR(L511="Evet",M511="Evet"),IF(O511="Evet","Uygun","RİSK - Hakediş Süresi Aşıldı"),"Bekleniyor - Nakliye/Montaj Tamamlanmadı")))</f>
        <v/>
      </c>
      <c r="Q511" s="28">
        <f>IF(A511="","",SUMIFS('Hakedis Fatura Detay'!$G$3:$G$1200,'Hakedis Fatura Detay'!$H$3:$H$1200,'DIVA Satislari'!AJ511,'Hakedis Fatura Detay'!$F$3:$F$1200,"Fiyat Farkı")+SUMIFS('Hakedis Fatura Detay'!$G$3:$G$1200,'Hakedis Fatura Detay'!$H$3:$H$1200,'DIVA Satislari'!AJ511,'Hakedis Fatura Detay'!$F$3:$F$1200,"Bundle"))</f>
        <v/>
      </c>
      <c r="R511" s="28">
        <f>IF(A511="","",I511-Q511)</f>
        <v/>
      </c>
      <c r="S511" s="26">
        <f>IF(A511="","",IF(LEFT(P511,7)="Bekleni","N/A - Henüz Ödenmemeli",IF(LEFT(P511,4)="RİSK","İNCELEME GEREKLİ - Süre Aşımı",IF(R511=0,"Doğru",IF(R511&gt;0,"EKSİK ÖDENMİŞ","FAZLA ÖDENMİŞ")))))</f>
        <v/>
      </c>
      <c r="T511" s="30">
        <f>IF(A511="","",IF(F511&lt;&gt;"Evet","İNCELEME GEREKLİ - Kampanya Tanımsız",IF(G511&lt;&gt;"Evet","İNCELEME GEREKLİ - Tarih Dışı Satış",IF(LEFT(P511,4)="RİSK","İNCELEME GEREKLİ - Hakediş Süresi Aşıldı",IF(OR(S511="EKSİK ÖDENMİŞ",S511="FAZLA ÖDENMİŞ"),"İNCELEME GEREKLİ - Tutar Uyuşmazlığı",IF(LEFT(P511,7)="Bekleni","Bekleniyor","Uygun"))))))</f>
        <v/>
      </c>
    </row>
    <row r="512">
      <c r="A512" s="26">
        <f>IF('DIVA Satislari'!I512="","",'DIVA Satislari'!I512)</f>
        <v/>
      </c>
      <c r="B512" s="26">
        <f>IF('DIVA Satislari'!I512="","",'DIVA Satislari'!R512)</f>
        <v/>
      </c>
      <c r="C512" s="26">
        <f>IF('DIVA Satislari'!I512="","",'DIVA Satislari'!M512)</f>
        <v/>
      </c>
      <c r="D512" s="27">
        <f>IF('DIVA Satislari'!I512="","",'DIVA Satislari'!H512)</f>
        <v/>
      </c>
      <c r="E512" s="26">
        <f>IF('DIVA Satislari'!I512="","",'DIVA Satislari'!O512)</f>
        <v/>
      </c>
      <c r="F512" s="26">
        <f>IF('DIVA Satislari'!I512="","",'DIVA Satislari'!AK512)</f>
        <v/>
      </c>
      <c r="G512" s="26">
        <f>IF('DIVA Satislari'!I512="","",'DIVA Satislari'!AO512)</f>
        <v/>
      </c>
      <c r="H512" s="27">
        <f>IF('DIVA Satislari'!I512="","",'DIVA Satislari'!AN512)</f>
        <v/>
      </c>
      <c r="I512" s="28">
        <f>IF('DIVA Satislari'!I512="","",'DIVA Satislari'!AQ512)</f>
        <v/>
      </c>
      <c r="J512" s="26">
        <f>IF('DIVA Satislari'!I512="","",'DIVA Satislari'!AR512)</f>
        <v/>
      </c>
      <c r="K512" s="26">
        <f>IF('DIVA Satislari'!I512="","",IFERROR(INDEX('E2E Nakliye Montaj'!$AS$3:$AS$1002,MATCH('DIVA Satislari'!AJ512,'E2E Nakliye Montaj'!$AM$3:$AM$1002,0)),"Eşleşme Yok"))</f>
        <v/>
      </c>
      <c r="L512" s="26">
        <f>IF('DIVA Satislari'!I512="","",IFERROR(INDEX('E2E Nakliye Montaj'!$AT$3:$AT$1002,MATCH('DIVA Satislari'!AJ512,'E2E Nakliye Montaj'!$AM$3:$AM$1002,0)),"Hayır"))</f>
        <v/>
      </c>
      <c r="M512" s="26">
        <f>IF('DIVA Satislari'!I512="","",IFERROR(INDEX('E2E Nakliye Montaj'!$AU$3:$AU$1002,MATCH('DIVA Satislari'!AJ512,'E2E Nakliye Montaj'!$AM$3:$AM$1002,0)),"Hayır"))</f>
        <v/>
      </c>
      <c r="N512" s="27">
        <f>IF('DIVA Satislari'!I512="","",IFERROR(INDEX('E2E Nakliye Montaj'!$AV$3:$AV$1002,MATCH('DIVA Satislari'!AJ512,'E2E Nakliye Montaj'!$AM$3:$AM$1002,0)),""))</f>
        <v/>
      </c>
      <c r="O512" s="26">
        <f>IF(OR(A512="",N512=""),"",IF(N512&lt;=H512,"Evet","HAYIR - RİSK"))</f>
        <v/>
      </c>
      <c r="P512" s="26">
        <f>IF(A512="","",IF(LEFT(J512,8)="Kural A ","Uygun - Hemen Ödenir (Yıl Sonu %75 Kontrolüne Tabi)",IF(OR(L512="Evet",M512="Evet"),IF(O512="Evet","Uygun","RİSK - Hakediş Süresi Aşıldı"),"Bekleniyor - Nakliye/Montaj Tamamlanmadı")))</f>
        <v/>
      </c>
      <c r="Q512" s="28">
        <f>IF(A512="","",SUMIFS('Hakedis Fatura Detay'!$G$3:$G$1200,'Hakedis Fatura Detay'!$H$3:$H$1200,'DIVA Satislari'!AJ512,'Hakedis Fatura Detay'!$F$3:$F$1200,"Fiyat Farkı")+SUMIFS('Hakedis Fatura Detay'!$G$3:$G$1200,'Hakedis Fatura Detay'!$H$3:$H$1200,'DIVA Satislari'!AJ512,'Hakedis Fatura Detay'!$F$3:$F$1200,"Bundle"))</f>
        <v/>
      </c>
      <c r="R512" s="28">
        <f>IF(A512="","",I512-Q512)</f>
        <v/>
      </c>
      <c r="S512" s="26">
        <f>IF(A512="","",IF(LEFT(P512,7)="Bekleni","N/A - Henüz Ödenmemeli",IF(LEFT(P512,4)="RİSK","İNCELEME GEREKLİ - Süre Aşımı",IF(R512=0,"Doğru",IF(R512&gt;0,"EKSİK ÖDENMİŞ","FAZLA ÖDENMİŞ")))))</f>
        <v/>
      </c>
      <c r="T512" s="30">
        <f>IF(A512="","",IF(F512&lt;&gt;"Evet","İNCELEME GEREKLİ - Kampanya Tanımsız",IF(G512&lt;&gt;"Evet","İNCELEME GEREKLİ - Tarih Dışı Satış",IF(LEFT(P512,4)="RİSK","İNCELEME GEREKLİ - Hakediş Süresi Aşıldı",IF(OR(S512="EKSİK ÖDENMİŞ",S512="FAZLA ÖDENMİŞ"),"İNCELEME GEREKLİ - Tutar Uyuşmazlığı",IF(LEFT(P512,7)="Bekleni","Bekleniyor","Uygun"))))))</f>
        <v/>
      </c>
    </row>
    <row r="513">
      <c r="A513" s="26">
        <f>IF('DIVA Satislari'!I513="","",'DIVA Satislari'!I513)</f>
        <v/>
      </c>
      <c r="B513" s="26">
        <f>IF('DIVA Satislari'!I513="","",'DIVA Satislari'!R513)</f>
        <v/>
      </c>
      <c r="C513" s="26">
        <f>IF('DIVA Satislari'!I513="","",'DIVA Satislari'!M513)</f>
        <v/>
      </c>
      <c r="D513" s="27">
        <f>IF('DIVA Satislari'!I513="","",'DIVA Satislari'!H513)</f>
        <v/>
      </c>
      <c r="E513" s="26">
        <f>IF('DIVA Satislari'!I513="","",'DIVA Satislari'!O513)</f>
        <v/>
      </c>
      <c r="F513" s="26">
        <f>IF('DIVA Satislari'!I513="","",'DIVA Satislari'!AK513)</f>
        <v/>
      </c>
      <c r="G513" s="26">
        <f>IF('DIVA Satislari'!I513="","",'DIVA Satislari'!AO513)</f>
        <v/>
      </c>
      <c r="H513" s="27">
        <f>IF('DIVA Satislari'!I513="","",'DIVA Satislari'!AN513)</f>
        <v/>
      </c>
      <c r="I513" s="28">
        <f>IF('DIVA Satislari'!I513="","",'DIVA Satislari'!AQ513)</f>
        <v/>
      </c>
      <c r="J513" s="26">
        <f>IF('DIVA Satislari'!I513="","",'DIVA Satislari'!AR513)</f>
        <v/>
      </c>
      <c r="K513" s="26">
        <f>IF('DIVA Satislari'!I513="","",IFERROR(INDEX('E2E Nakliye Montaj'!$AS$3:$AS$1002,MATCH('DIVA Satislari'!AJ513,'E2E Nakliye Montaj'!$AM$3:$AM$1002,0)),"Eşleşme Yok"))</f>
        <v/>
      </c>
      <c r="L513" s="26">
        <f>IF('DIVA Satislari'!I513="","",IFERROR(INDEX('E2E Nakliye Montaj'!$AT$3:$AT$1002,MATCH('DIVA Satislari'!AJ513,'E2E Nakliye Montaj'!$AM$3:$AM$1002,0)),"Hayır"))</f>
        <v/>
      </c>
      <c r="M513" s="26">
        <f>IF('DIVA Satislari'!I513="","",IFERROR(INDEX('E2E Nakliye Montaj'!$AU$3:$AU$1002,MATCH('DIVA Satislari'!AJ513,'E2E Nakliye Montaj'!$AM$3:$AM$1002,0)),"Hayır"))</f>
        <v/>
      </c>
      <c r="N513" s="27">
        <f>IF('DIVA Satislari'!I513="","",IFERROR(INDEX('E2E Nakliye Montaj'!$AV$3:$AV$1002,MATCH('DIVA Satislari'!AJ513,'E2E Nakliye Montaj'!$AM$3:$AM$1002,0)),""))</f>
        <v/>
      </c>
      <c r="O513" s="26">
        <f>IF(OR(A513="",N513=""),"",IF(N513&lt;=H513,"Evet","HAYIR - RİSK"))</f>
        <v/>
      </c>
      <c r="P513" s="26">
        <f>IF(A513="","",IF(LEFT(J513,8)="Kural A ","Uygun - Hemen Ödenir (Yıl Sonu %75 Kontrolüne Tabi)",IF(OR(L513="Evet",M513="Evet"),IF(O513="Evet","Uygun","RİSK - Hakediş Süresi Aşıldı"),"Bekleniyor - Nakliye/Montaj Tamamlanmadı")))</f>
        <v/>
      </c>
      <c r="Q513" s="28">
        <f>IF(A513="","",SUMIFS('Hakedis Fatura Detay'!$G$3:$G$1200,'Hakedis Fatura Detay'!$H$3:$H$1200,'DIVA Satislari'!AJ513,'Hakedis Fatura Detay'!$F$3:$F$1200,"Fiyat Farkı")+SUMIFS('Hakedis Fatura Detay'!$G$3:$G$1200,'Hakedis Fatura Detay'!$H$3:$H$1200,'DIVA Satislari'!AJ513,'Hakedis Fatura Detay'!$F$3:$F$1200,"Bundle"))</f>
        <v/>
      </c>
      <c r="R513" s="28">
        <f>IF(A513="","",I513-Q513)</f>
        <v/>
      </c>
      <c r="S513" s="26">
        <f>IF(A513="","",IF(LEFT(P513,7)="Bekleni","N/A - Henüz Ödenmemeli",IF(LEFT(P513,4)="RİSK","İNCELEME GEREKLİ - Süre Aşımı",IF(R513=0,"Doğru",IF(R513&gt;0,"EKSİK ÖDENMİŞ","FAZLA ÖDENMİŞ")))))</f>
        <v/>
      </c>
      <c r="T513" s="30">
        <f>IF(A513="","",IF(F513&lt;&gt;"Evet","İNCELEME GEREKLİ - Kampanya Tanımsız",IF(G513&lt;&gt;"Evet","İNCELEME GEREKLİ - Tarih Dışı Satış",IF(LEFT(P513,4)="RİSK","İNCELEME GEREKLİ - Hakediş Süresi Aşıldı",IF(OR(S513="EKSİK ÖDENMİŞ",S513="FAZLA ÖDENMİŞ"),"İNCELEME GEREKLİ - Tutar Uyuşmazlığı",IF(LEFT(P513,7)="Bekleni","Bekleniyor","Uygun"))))))</f>
        <v/>
      </c>
    </row>
    <row r="514">
      <c r="A514" s="26">
        <f>IF('DIVA Satislari'!I514="","",'DIVA Satislari'!I514)</f>
        <v/>
      </c>
      <c r="B514" s="26">
        <f>IF('DIVA Satislari'!I514="","",'DIVA Satislari'!R514)</f>
        <v/>
      </c>
      <c r="C514" s="26">
        <f>IF('DIVA Satislari'!I514="","",'DIVA Satislari'!M514)</f>
        <v/>
      </c>
      <c r="D514" s="27">
        <f>IF('DIVA Satislari'!I514="","",'DIVA Satislari'!H514)</f>
        <v/>
      </c>
      <c r="E514" s="26">
        <f>IF('DIVA Satislari'!I514="","",'DIVA Satislari'!O514)</f>
        <v/>
      </c>
      <c r="F514" s="26">
        <f>IF('DIVA Satislari'!I514="","",'DIVA Satislari'!AK514)</f>
        <v/>
      </c>
      <c r="G514" s="26">
        <f>IF('DIVA Satislari'!I514="","",'DIVA Satislari'!AO514)</f>
        <v/>
      </c>
      <c r="H514" s="27">
        <f>IF('DIVA Satislari'!I514="","",'DIVA Satislari'!AN514)</f>
        <v/>
      </c>
      <c r="I514" s="28">
        <f>IF('DIVA Satislari'!I514="","",'DIVA Satislari'!AQ514)</f>
        <v/>
      </c>
      <c r="J514" s="26">
        <f>IF('DIVA Satislari'!I514="","",'DIVA Satislari'!AR514)</f>
        <v/>
      </c>
      <c r="K514" s="26">
        <f>IF('DIVA Satislari'!I514="","",IFERROR(INDEX('E2E Nakliye Montaj'!$AS$3:$AS$1002,MATCH('DIVA Satislari'!AJ514,'E2E Nakliye Montaj'!$AM$3:$AM$1002,0)),"Eşleşme Yok"))</f>
        <v/>
      </c>
      <c r="L514" s="26">
        <f>IF('DIVA Satislari'!I514="","",IFERROR(INDEX('E2E Nakliye Montaj'!$AT$3:$AT$1002,MATCH('DIVA Satislari'!AJ514,'E2E Nakliye Montaj'!$AM$3:$AM$1002,0)),"Hayır"))</f>
        <v/>
      </c>
      <c r="M514" s="26">
        <f>IF('DIVA Satislari'!I514="","",IFERROR(INDEX('E2E Nakliye Montaj'!$AU$3:$AU$1002,MATCH('DIVA Satislari'!AJ514,'E2E Nakliye Montaj'!$AM$3:$AM$1002,0)),"Hayır"))</f>
        <v/>
      </c>
      <c r="N514" s="27">
        <f>IF('DIVA Satislari'!I514="","",IFERROR(INDEX('E2E Nakliye Montaj'!$AV$3:$AV$1002,MATCH('DIVA Satislari'!AJ514,'E2E Nakliye Montaj'!$AM$3:$AM$1002,0)),""))</f>
        <v/>
      </c>
      <c r="O514" s="26">
        <f>IF(OR(A514="",N514=""),"",IF(N514&lt;=H514,"Evet","HAYIR - RİSK"))</f>
        <v/>
      </c>
      <c r="P514" s="26">
        <f>IF(A514="","",IF(LEFT(J514,8)="Kural A ","Uygun - Hemen Ödenir (Yıl Sonu %75 Kontrolüne Tabi)",IF(OR(L514="Evet",M514="Evet"),IF(O514="Evet","Uygun","RİSK - Hakediş Süresi Aşıldı"),"Bekleniyor - Nakliye/Montaj Tamamlanmadı")))</f>
        <v/>
      </c>
      <c r="Q514" s="28">
        <f>IF(A514="","",SUMIFS('Hakedis Fatura Detay'!$G$3:$G$1200,'Hakedis Fatura Detay'!$H$3:$H$1200,'DIVA Satislari'!AJ514,'Hakedis Fatura Detay'!$F$3:$F$1200,"Fiyat Farkı")+SUMIFS('Hakedis Fatura Detay'!$G$3:$G$1200,'Hakedis Fatura Detay'!$H$3:$H$1200,'DIVA Satislari'!AJ514,'Hakedis Fatura Detay'!$F$3:$F$1200,"Bundle"))</f>
        <v/>
      </c>
      <c r="R514" s="28">
        <f>IF(A514="","",I514-Q514)</f>
        <v/>
      </c>
      <c r="S514" s="26">
        <f>IF(A514="","",IF(LEFT(P514,7)="Bekleni","N/A - Henüz Ödenmemeli",IF(LEFT(P514,4)="RİSK","İNCELEME GEREKLİ - Süre Aşımı",IF(R514=0,"Doğru",IF(R514&gt;0,"EKSİK ÖDENMİŞ","FAZLA ÖDENMİŞ")))))</f>
        <v/>
      </c>
      <c r="T514" s="30">
        <f>IF(A514="","",IF(F514&lt;&gt;"Evet","İNCELEME GEREKLİ - Kampanya Tanımsız",IF(G514&lt;&gt;"Evet","İNCELEME GEREKLİ - Tarih Dışı Satış",IF(LEFT(P514,4)="RİSK","İNCELEME GEREKLİ - Hakediş Süresi Aşıldı",IF(OR(S514="EKSİK ÖDENMİŞ",S514="FAZLA ÖDENMİŞ"),"İNCELEME GEREKLİ - Tutar Uyuşmazlığı",IF(LEFT(P514,7)="Bekleni","Bekleniyor","Uygun"))))))</f>
        <v/>
      </c>
    </row>
    <row r="515">
      <c r="A515" s="26">
        <f>IF('DIVA Satislari'!I515="","",'DIVA Satislari'!I515)</f>
        <v/>
      </c>
      <c r="B515" s="26">
        <f>IF('DIVA Satislari'!I515="","",'DIVA Satislari'!R515)</f>
        <v/>
      </c>
      <c r="C515" s="26">
        <f>IF('DIVA Satislari'!I515="","",'DIVA Satislari'!M515)</f>
        <v/>
      </c>
      <c r="D515" s="27">
        <f>IF('DIVA Satislari'!I515="","",'DIVA Satislari'!H515)</f>
        <v/>
      </c>
      <c r="E515" s="26">
        <f>IF('DIVA Satislari'!I515="","",'DIVA Satislari'!O515)</f>
        <v/>
      </c>
      <c r="F515" s="26">
        <f>IF('DIVA Satislari'!I515="","",'DIVA Satislari'!AK515)</f>
        <v/>
      </c>
      <c r="G515" s="26">
        <f>IF('DIVA Satislari'!I515="","",'DIVA Satislari'!AO515)</f>
        <v/>
      </c>
      <c r="H515" s="27">
        <f>IF('DIVA Satislari'!I515="","",'DIVA Satislari'!AN515)</f>
        <v/>
      </c>
      <c r="I515" s="28">
        <f>IF('DIVA Satislari'!I515="","",'DIVA Satislari'!AQ515)</f>
        <v/>
      </c>
      <c r="J515" s="26">
        <f>IF('DIVA Satislari'!I515="","",'DIVA Satislari'!AR515)</f>
        <v/>
      </c>
      <c r="K515" s="26">
        <f>IF('DIVA Satislari'!I515="","",IFERROR(INDEX('E2E Nakliye Montaj'!$AS$3:$AS$1002,MATCH('DIVA Satislari'!AJ515,'E2E Nakliye Montaj'!$AM$3:$AM$1002,0)),"Eşleşme Yok"))</f>
        <v/>
      </c>
      <c r="L515" s="26">
        <f>IF('DIVA Satislari'!I515="","",IFERROR(INDEX('E2E Nakliye Montaj'!$AT$3:$AT$1002,MATCH('DIVA Satislari'!AJ515,'E2E Nakliye Montaj'!$AM$3:$AM$1002,0)),"Hayır"))</f>
        <v/>
      </c>
      <c r="M515" s="26">
        <f>IF('DIVA Satislari'!I515="","",IFERROR(INDEX('E2E Nakliye Montaj'!$AU$3:$AU$1002,MATCH('DIVA Satislari'!AJ515,'E2E Nakliye Montaj'!$AM$3:$AM$1002,0)),"Hayır"))</f>
        <v/>
      </c>
      <c r="N515" s="27">
        <f>IF('DIVA Satislari'!I515="","",IFERROR(INDEX('E2E Nakliye Montaj'!$AV$3:$AV$1002,MATCH('DIVA Satislari'!AJ515,'E2E Nakliye Montaj'!$AM$3:$AM$1002,0)),""))</f>
        <v/>
      </c>
      <c r="O515" s="26">
        <f>IF(OR(A515="",N515=""),"",IF(N515&lt;=H515,"Evet","HAYIR - RİSK"))</f>
        <v/>
      </c>
      <c r="P515" s="26">
        <f>IF(A515="","",IF(LEFT(J515,8)="Kural A ","Uygun - Hemen Ödenir (Yıl Sonu %75 Kontrolüne Tabi)",IF(OR(L515="Evet",M515="Evet"),IF(O515="Evet","Uygun","RİSK - Hakediş Süresi Aşıldı"),"Bekleniyor - Nakliye/Montaj Tamamlanmadı")))</f>
        <v/>
      </c>
      <c r="Q515" s="28">
        <f>IF(A515="","",SUMIFS('Hakedis Fatura Detay'!$G$3:$G$1200,'Hakedis Fatura Detay'!$H$3:$H$1200,'DIVA Satislari'!AJ515,'Hakedis Fatura Detay'!$F$3:$F$1200,"Fiyat Farkı")+SUMIFS('Hakedis Fatura Detay'!$G$3:$G$1200,'Hakedis Fatura Detay'!$H$3:$H$1200,'DIVA Satislari'!AJ515,'Hakedis Fatura Detay'!$F$3:$F$1200,"Bundle"))</f>
        <v/>
      </c>
      <c r="R515" s="28">
        <f>IF(A515="","",I515-Q515)</f>
        <v/>
      </c>
      <c r="S515" s="26">
        <f>IF(A515="","",IF(LEFT(P515,7)="Bekleni","N/A - Henüz Ödenmemeli",IF(LEFT(P515,4)="RİSK","İNCELEME GEREKLİ - Süre Aşımı",IF(R515=0,"Doğru",IF(R515&gt;0,"EKSİK ÖDENMİŞ","FAZLA ÖDENMİŞ")))))</f>
        <v/>
      </c>
      <c r="T515" s="30">
        <f>IF(A515="","",IF(F515&lt;&gt;"Evet","İNCELEME GEREKLİ - Kampanya Tanımsız",IF(G515&lt;&gt;"Evet","İNCELEME GEREKLİ - Tarih Dışı Satış",IF(LEFT(P515,4)="RİSK","İNCELEME GEREKLİ - Hakediş Süresi Aşıldı",IF(OR(S515="EKSİK ÖDENMİŞ",S515="FAZLA ÖDENMİŞ"),"İNCELEME GEREKLİ - Tutar Uyuşmazlığı",IF(LEFT(P515,7)="Bekleni","Bekleniyor","Uygun"))))))</f>
        <v/>
      </c>
    </row>
    <row r="516">
      <c r="A516" s="26">
        <f>IF('DIVA Satislari'!I516="","",'DIVA Satislari'!I516)</f>
        <v/>
      </c>
      <c r="B516" s="26">
        <f>IF('DIVA Satislari'!I516="","",'DIVA Satislari'!R516)</f>
        <v/>
      </c>
      <c r="C516" s="26">
        <f>IF('DIVA Satislari'!I516="","",'DIVA Satislari'!M516)</f>
        <v/>
      </c>
      <c r="D516" s="27">
        <f>IF('DIVA Satislari'!I516="","",'DIVA Satislari'!H516)</f>
        <v/>
      </c>
      <c r="E516" s="26">
        <f>IF('DIVA Satislari'!I516="","",'DIVA Satislari'!O516)</f>
        <v/>
      </c>
      <c r="F516" s="26">
        <f>IF('DIVA Satislari'!I516="","",'DIVA Satislari'!AK516)</f>
        <v/>
      </c>
      <c r="G516" s="26">
        <f>IF('DIVA Satislari'!I516="","",'DIVA Satislari'!AO516)</f>
        <v/>
      </c>
      <c r="H516" s="27">
        <f>IF('DIVA Satislari'!I516="","",'DIVA Satislari'!AN516)</f>
        <v/>
      </c>
      <c r="I516" s="28">
        <f>IF('DIVA Satislari'!I516="","",'DIVA Satislari'!AQ516)</f>
        <v/>
      </c>
      <c r="J516" s="26">
        <f>IF('DIVA Satislari'!I516="","",'DIVA Satislari'!AR516)</f>
        <v/>
      </c>
      <c r="K516" s="26">
        <f>IF('DIVA Satislari'!I516="","",IFERROR(INDEX('E2E Nakliye Montaj'!$AS$3:$AS$1002,MATCH('DIVA Satislari'!AJ516,'E2E Nakliye Montaj'!$AM$3:$AM$1002,0)),"Eşleşme Yok"))</f>
        <v/>
      </c>
      <c r="L516" s="26">
        <f>IF('DIVA Satislari'!I516="","",IFERROR(INDEX('E2E Nakliye Montaj'!$AT$3:$AT$1002,MATCH('DIVA Satislari'!AJ516,'E2E Nakliye Montaj'!$AM$3:$AM$1002,0)),"Hayır"))</f>
        <v/>
      </c>
      <c r="M516" s="26">
        <f>IF('DIVA Satislari'!I516="","",IFERROR(INDEX('E2E Nakliye Montaj'!$AU$3:$AU$1002,MATCH('DIVA Satislari'!AJ516,'E2E Nakliye Montaj'!$AM$3:$AM$1002,0)),"Hayır"))</f>
        <v/>
      </c>
      <c r="N516" s="27">
        <f>IF('DIVA Satislari'!I516="","",IFERROR(INDEX('E2E Nakliye Montaj'!$AV$3:$AV$1002,MATCH('DIVA Satislari'!AJ516,'E2E Nakliye Montaj'!$AM$3:$AM$1002,0)),""))</f>
        <v/>
      </c>
      <c r="O516" s="26">
        <f>IF(OR(A516="",N516=""),"",IF(N516&lt;=H516,"Evet","HAYIR - RİSK"))</f>
        <v/>
      </c>
      <c r="P516" s="26">
        <f>IF(A516="","",IF(LEFT(J516,8)="Kural A ","Uygun - Hemen Ödenir (Yıl Sonu %75 Kontrolüne Tabi)",IF(OR(L516="Evet",M516="Evet"),IF(O516="Evet","Uygun","RİSK - Hakediş Süresi Aşıldı"),"Bekleniyor - Nakliye/Montaj Tamamlanmadı")))</f>
        <v/>
      </c>
      <c r="Q516" s="28">
        <f>IF(A516="","",SUMIFS('Hakedis Fatura Detay'!$G$3:$G$1200,'Hakedis Fatura Detay'!$H$3:$H$1200,'DIVA Satislari'!AJ516,'Hakedis Fatura Detay'!$F$3:$F$1200,"Fiyat Farkı")+SUMIFS('Hakedis Fatura Detay'!$G$3:$G$1200,'Hakedis Fatura Detay'!$H$3:$H$1200,'DIVA Satislari'!AJ516,'Hakedis Fatura Detay'!$F$3:$F$1200,"Bundle"))</f>
        <v/>
      </c>
      <c r="R516" s="28">
        <f>IF(A516="","",I516-Q516)</f>
        <v/>
      </c>
      <c r="S516" s="26">
        <f>IF(A516="","",IF(LEFT(P516,7)="Bekleni","N/A - Henüz Ödenmemeli",IF(LEFT(P516,4)="RİSK","İNCELEME GEREKLİ - Süre Aşımı",IF(R516=0,"Doğru",IF(R516&gt;0,"EKSİK ÖDENMİŞ","FAZLA ÖDENMİŞ")))))</f>
        <v/>
      </c>
      <c r="T516" s="30">
        <f>IF(A516="","",IF(F516&lt;&gt;"Evet","İNCELEME GEREKLİ - Kampanya Tanımsız",IF(G516&lt;&gt;"Evet","İNCELEME GEREKLİ - Tarih Dışı Satış",IF(LEFT(P516,4)="RİSK","İNCELEME GEREKLİ - Hakediş Süresi Aşıldı",IF(OR(S516="EKSİK ÖDENMİŞ",S516="FAZLA ÖDENMİŞ"),"İNCELEME GEREKLİ - Tutar Uyuşmazlığı",IF(LEFT(P516,7)="Bekleni","Bekleniyor","Uygun"))))))</f>
        <v/>
      </c>
    </row>
    <row r="517">
      <c r="A517" s="26">
        <f>IF('DIVA Satislari'!I517="","",'DIVA Satislari'!I517)</f>
        <v/>
      </c>
      <c r="B517" s="26">
        <f>IF('DIVA Satislari'!I517="","",'DIVA Satislari'!R517)</f>
        <v/>
      </c>
      <c r="C517" s="26">
        <f>IF('DIVA Satislari'!I517="","",'DIVA Satislari'!M517)</f>
        <v/>
      </c>
      <c r="D517" s="27">
        <f>IF('DIVA Satislari'!I517="","",'DIVA Satislari'!H517)</f>
        <v/>
      </c>
      <c r="E517" s="26">
        <f>IF('DIVA Satislari'!I517="","",'DIVA Satislari'!O517)</f>
        <v/>
      </c>
      <c r="F517" s="26">
        <f>IF('DIVA Satislari'!I517="","",'DIVA Satislari'!AK517)</f>
        <v/>
      </c>
      <c r="G517" s="26">
        <f>IF('DIVA Satislari'!I517="","",'DIVA Satislari'!AO517)</f>
        <v/>
      </c>
      <c r="H517" s="27">
        <f>IF('DIVA Satislari'!I517="","",'DIVA Satislari'!AN517)</f>
        <v/>
      </c>
      <c r="I517" s="28">
        <f>IF('DIVA Satislari'!I517="","",'DIVA Satislari'!AQ517)</f>
        <v/>
      </c>
      <c r="J517" s="26">
        <f>IF('DIVA Satislari'!I517="","",'DIVA Satislari'!AR517)</f>
        <v/>
      </c>
      <c r="K517" s="26">
        <f>IF('DIVA Satislari'!I517="","",IFERROR(INDEX('E2E Nakliye Montaj'!$AS$3:$AS$1002,MATCH('DIVA Satislari'!AJ517,'E2E Nakliye Montaj'!$AM$3:$AM$1002,0)),"Eşleşme Yok"))</f>
        <v/>
      </c>
      <c r="L517" s="26">
        <f>IF('DIVA Satislari'!I517="","",IFERROR(INDEX('E2E Nakliye Montaj'!$AT$3:$AT$1002,MATCH('DIVA Satislari'!AJ517,'E2E Nakliye Montaj'!$AM$3:$AM$1002,0)),"Hayır"))</f>
        <v/>
      </c>
      <c r="M517" s="26">
        <f>IF('DIVA Satislari'!I517="","",IFERROR(INDEX('E2E Nakliye Montaj'!$AU$3:$AU$1002,MATCH('DIVA Satislari'!AJ517,'E2E Nakliye Montaj'!$AM$3:$AM$1002,0)),"Hayır"))</f>
        <v/>
      </c>
      <c r="N517" s="27">
        <f>IF('DIVA Satislari'!I517="","",IFERROR(INDEX('E2E Nakliye Montaj'!$AV$3:$AV$1002,MATCH('DIVA Satislari'!AJ517,'E2E Nakliye Montaj'!$AM$3:$AM$1002,0)),""))</f>
        <v/>
      </c>
      <c r="O517" s="26">
        <f>IF(OR(A517="",N517=""),"",IF(N517&lt;=H517,"Evet","HAYIR - RİSK"))</f>
        <v/>
      </c>
      <c r="P517" s="26">
        <f>IF(A517="","",IF(LEFT(J517,8)="Kural A ","Uygun - Hemen Ödenir (Yıl Sonu %75 Kontrolüne Tabi)",IF(OR(L517="Evet",M517="Evet"),IF(O517="Evet","Uygun","RİSK - Hakediş Süresi Aşıldı"),"Bekleniyor - Nakliye/Montaj Tamamlanmadı")))</f>
        <v/>
      </c>
      <c r="Q517" s="28">
        <f>IF(A517="","",SUMIFS('Hakedis Fatura Detay'!$G$3:$G$1200,'Hakedis Fatura Detay'!$H$3:$H$1200,'DIVA Satislari'!AJ517,'Hakedis Fatura Detay'!$F$3:$F$1200,"Fiyat Farkı")+SUMIFS('Hakedis Fatura Detay'!$G$3:$G$1200,'Hakedis Fatura Detay'!$H$3:$H$1200,'DIVA Satislari'!AJ517,'Hakedis Fatura Detay'!$F$3:$F$1200,"Bundle"))</f>
        <v/>
      </c>
      <c r="R517" s="28">
        <f>IF(A517="","",I517-Q517)</f>
        <v/>
      </c>
      <c r="S517" s="26">
        <f>IF(A517="","",IF(LEFT(P517,7)="Bekleni","N/A - Henüz Ödenmemeli",IF(LEFT(P517,4)="RİSK","İNCELEME GEREKLİ - Süre Aşımı",IF(R517=0,"Doğru",IF(R517&gt;0,"EKSİK ÖDENMİŞ","FAZLA ÖDENMİŞ")))))</f>
        <v/>
      </c>
      <c r="T517" s="30">
        <f>IF(A517="","",IF(F517&lt;&gt;"Evet","İNCELEME GEREKLİ - Kampanya Tanımsız",IF(G517&lt;&gt;"Evet","İNCELEME GEREKLİ - Tarih Dışı Satış",IF(LEFT(P517,4)="RİSK","İNCELEME GEREKLİ - Hakediş Süresi Aşıldı",IF(OR(S517="EKSİK ÖDENMİŞ",S517="FAZLA ÖDENMİŞ"),"İNCELEME GEREKLİ - Tutar Uyuşmazlığı",IF(LEFT(P517,7)="Bekleni","Bekleniyor","Uygun"))))))</f>
        <v/>
      </c>
    </row>
    <row r="518">
      <c r="A518" s="26">
        <f>IF('DIVA Satislari'!I518="","",'DIVA Satislari'!I518)</f>
        <v/>
      </c>
      <c r="B518" s="26">
        <f>IF('DIVA Satislari'!I518="","",'DIVA Satislari'!R518)</f>
        <v/>
      </c>
      <c r="C518" s="26">
        <f>IF('DIVA Satislari'!I518="","",'DIVA Satislari'!M518)</f>
        <v/>
      </c>
      <c r="D518" s="27">
        <f>IF('DIVA Satislari'!I518="","",'DIVA Satislari'!H518)</f>
        <v/>
      </c>
      <c r="E518" s="26">
        <f>IF('DIVA Satislari'!I518="","",'DIVA Satislari'!O518)</f>
        <v/>
      </c>
      <c r="F518" s="26">
        <f>IF('DIVA Satislari'!I518="","",'DIVA Satislari'!AK518)</f>
        <v/>
      </c>
      <c r="G518" s="26">
        <f>IF('DIVA Satislari'!I518="","",'DIVA Satislari'!AO518)</f>
        <v/>
      </c>
      <c r="H518" s="27">
        <f>IF('DIVA Satislari'!I518="","",'DIVA Satislari'!AN518)</f>
        <v/>
      </c>
      <c r="I518" s="28">
        <f>IF('DIVA Satislari'!I518="","",'DIVA Satislari'!AQ518)</f>
        <v/>
      </c>
      <c r="J518" s="26">
        <f>IF('DIVA Satislari'!I518="","",'DIVA Satislari'!AR518)</f>
        <v/>
      </c>
      <c r="K518" s="26">
        <f>IF('DIVA Satislari'!I518="","",IFERROR(INDEX('E2E Nakliye Montaj'!$AS$3:$AS$1002,MATCH('DIVA Satislari'!AJ518,'E2E Nakliye Montaj'!$AM$3:$AM$1002,0)),"Eşleşme Yok"))</f>
        <v/>
      </c>
      <c r="L518" s="26">
        <f>IF('DIVA Satislari'!I518="","",IFERROR(INDEX('E2E Nakliye Montaj'!$AT$3:$AT$1002,MATCH('DIVA Satislari'!AJ518,'E2E Nakliye Montaj'!$AM$3:$AM$1002,0)),"Hayır"))</f>
        <v/>
      </c>
      <c r="M518" s="26">
        <f>IF('DIVA Satislari'!I518="","",IFERROR(INDEX('E2E Nakliye Montaj'!$AU$3:$AU$1002,MATCH('DIVA Satislari'!AJ518,'E2E Nakliye Montaj'!$AM$3:$AM$1002,0)),"Hayır"))</f>
        <v/>
      </c>
      <c r="N518" s="27">
        <f>IF('DIVA Satislari'!I518="","",IFERROR(INDEX('E2E Nakliye Montaj'!$AV$3:$AV$1002,MATCH('DIVA Satislari'!AJ518,'E2E Nakliye Montaj'!$AM$3:$AM$1002,0)),""))</f>
        <v/>
      </c>
      <c r="O518" s="26">
        <f>IF(OR(A518="",N518=""),"",IF(N518&lt;=H518,"Evet","HAYIR - RİSK"))</f>
        <v/>
      </c>
      <c r="P518" s="26">
        <f>IF(A518="","",IF(LEFT(J518,8)="Kural A ","Uygun - Hemen Ödenir (Yıl Sonu %75 Kontrolüne Tabi)",IF(OR(L518="Evet",M518="Evet"),IF(O518="Evet","Uygun","RİSK - Hakediş Süresi Aşıldı"),"Bekleniyor - Nakliye/Montaj Tamamlanmadı")))</f>
        <v/>
      </c>
      <c r="Q518" s="28">
        <f>IF(A518="","",SUMIFS('Hakedis Fatura Detay'!$G$3:$G$1200,'Hakedis Fatura Detay'!$H$3:$H$1200,'DIVA Satislari'!AJ518,'Hakedis Fatura Detay'!$F$3:$F$1200,"Fiyat Farkı")+SUMIFS('Hakedis Fatura Detay'!$G$3:$G$1200,'Hakedis Fatura Detay'!$H$3:$H$1200,'DIVA Satislari'!AJ518,'Hakedis Fatura Detay'!$F$3:$F$1200,"Bundle"))</f>
        <v/>
      </c>
      <c r="R518" s="28">
        <f>IF(A518="","",I518-Q518)</f>
        <v/>
      </c>
      <c r="S518" s="26">
        <f>IF(A518="","",IF(LEFT(P518,7)="Bekleni","N/A - Henüz Ödenmemeli",IF(LEFT(P518,4)="RİSK","İNCELEME GEREKLİ - Süre Aşımı",IF(R518=0,"Doğru",IF(R518&gt;0,"EKSİK ÖDENMİŞ","FAZLA ÖDENMİŞ")))))</f>
        <v/>
      </c>
      <c r="T518" s="30">
        <f>IF(A518="","",IF(F518&lt;&gt;"Evet","İNCELEME GEREKLİ - Kampanya Tanımsız",IF(G518&lt;&gt;"Evet","İNCELEME GEREKLİ - Tarih Dışı Satış",IF(LEFT(P518,4)="RİSK","İNCELEME GEREKLİ - Hakediş Süresi Aşıldı",IF(OR(S518="EKSİK ÖDENMİŞ",S518="FAZLA ÖDENMİŞ"),"İNCELEME GEREKLİ - Tutar Uyuşmazlığı",IF(LEFT(P518,7)="Bekleni","Bekleniyor","Uygun"))))))</f>
        <v/>
      </c>
    </row>
    <row r="519">
      <c r="A519" s="26">
        <f>IF('DIVA Satislari'!I519="","",'DIVA Satislari'!I519)</f>
        <v/>
      </c>
      <c r="B519" s="26">
        <f>IF('DIVA Satislari'!I519="","",'DIVA Satislari'!R519)</f>
        <v/>
      </c>
      <c r="C519" s="26">
        <f>IF('DIVA Satislari'!I519="","",'DIVA Satislari'!M519)</f>
        <v/>
      </c>
      <c r="D519" s="27">
        <f>IF('DIVA Satislari'!I519="","",'DIVA Satislari'!H519)</f>
        <v/>
      </c>
      <c r="E519" s="26">
        <f>IF('DIVA Satislari'!I519="","",'DIVA Satislari'!O519)</f>
        <v/>
      </c>
      <c r="F519" s="26">
        <f>IF('DIVA Satislari'!I519="","",'DIVA Satislari'!AK519)</f>
        <v/>
      </c>
      <c r="G519" s="26">
        <f>IF('DIVA Satislari'!I519="","",'DIVA Satislari'!AO519)</f>
        <v/>
      </c>
      <c r="H519" s="27">
        <f>IF('DIVA Satislari'!I519="","",'DIVA Satislari'!AN519)</f>
        <v/>
      </c>
      <c r="I519" s="28">
        <f>IF('DIVA Satislari'!I519="","",'DIVA Satislari'!AQ519)</f>
        <v/>
      </c>
      <c r="J519" s="26">
        <f>IF('DIVA Satislari'!I519="","",'DIVA Satislari'!AR519)</f>
        <v/>
      </c>
      <c r="K519" s="26">
        <f>IF('DIVA Satislari'!I519="","",IFERROR(INDEX('E2E Nakliye Montaj'!$AS$3:$AS$1002,MATCH('DIVA Satislari'!AJ519,'E2E Nakliye Montaj'!$AM$3:$AM$1002,0)),"Eşleşme Yok"))</f>
        <v/>
      </c>
      <c r="L519" s="26">
        <f>IF('DIVA Satislari'!I519="","",IFERROR(INDEX('E2E Nakliye Montaj'!$AT$3:$AT$1002,MATCH('DIVA Satislari'!AJ519,'E2E Nakliye Montaj'!$AM$3:$AM$1002,0)),"Hayır"))</f>
        <v/>
      </c>
      <c r="M519" s="26">
        <f>IF('DIVA Satislari'!I519="","",IFERROR(INDEX('E2E Nakliye Montaj'!$AU$3:$AU$1002,MATCH('DIVA Satislari'!AJ519,'E2E Nakliye Montaj'!$AM$3:$AM$1002,0)),"Hayır"))</f>
        <v/>
      </c>
      <c r="N519" s="27">
        <f>IF('DIVA Satislari'!I519="","",IFERROR(INDEX('E2E Nakliye Montaj'!$AV$3:$AV$1002,MATCH('DIVA Satislari'!AJ519,'E2E Nakliye Montaj'!$AM$3:$AM$1002,0)),""))</f>
        <v/>
      </c>
      <c r="O519" s="26">
        <f>IF(OR(A519="",N519=""),"",IF(N519&lt;=H519,"Evet","HAYIR - RİSK"))</f>
        <v/>
      </c>
      <c r="P519" s="26">
        <f>IF(A519="","",IF(LEFT(J519,8)="Kural A ","Uygun - Hemen Ödenir (Yıl Sonu %75 Kontrolüne Tabi)",IF(OR(L519="Evet",M519="Evet"),IF(O519="Evet","Uygun","RİSK - Hakediş Süresi Aşıldı"),"Bekleniyor - Nakliye/Montaj Tamamlanmadı")))</f>
        <v/>
      </c>
      <c r="Q519" s="28">
        <f>IF(A519="","",SUMIFS('Hakedis Fatura Detay'!$G$3:$G$1200,'Hakedis Fatura Detay'!$H$3:$H$1200,'DIVA Satislari'!AJ519,'Hakedis Fatura Detay'!$F$3:$F$1200,"Fiyat Farkı")+SUMIFS('Hakedis Fatura Detay'!$G$3:$G$1200,'Hakedis Fatura Detay'!$H$3:$H$1200,'DIVA Satislari'!AJ519,'Hakedis Fatura Detay'!$F$3:$F$1200,"Bundle"))</f>
        <v/>
      </c>
      <c r="R519" s="28">
        <f>IF(A519="","",I519-Q519)</f>
        <v/>
      </c>
      <c r="S519" s="26">
        <f>IF(A519="","",IF(LEFT(P519,7)="Bekleni","N/A - Henüz Ödenmemeli",IF(LEFT(P519,4)="RİSK","İNCELEME GEREKLİ - Süre Aşımı",IF(R519=0,"Doğru",IF(R519&gt;0,"EKSİK ÖDENMİŞ","FAZLA ÖDENMİŞ")))))</f>
        <v/>
      </c>
      <c r="T519" s="30">
        <f>IF(A519="","",IF(F519&lt;&gt;"Evet","İNCELEME GEREKLİ - Kampanya Tanımsız",IF(G519&lt;&gt;"Evet","İNCELEME GEREKLİ - Tarih Dışı Satış",IF(LEFT(P519,4)="RİSK","İNCELEME GEREKLİ - Hakediş Süresi Aşıldı",IF(OR(S519="EKSİK ÖDENMİŞ",S519="FAZLA ÖDENMİŞ"),"İNCELEME GEREKLİ - Tutar Uyuşmazlığı",IF(LEFT(P519,7)="Bekleni","Bekleniyor","Uygun"))))))</f>
        <v/>
      </c>
    </row>
    <row r="520">
      <c r="A520" s="26">
        <f>IF('DIVA Satislari'!I520="","",'DIVA Satislari'!I520)</f>
        <v/>
      </c>
      <c r="B520" s="26">
        <f>IF('DIVA Satislari'!I520="","",'DIVA Satislari'!R520)</f>
        <v/>
      </c>
      <c r="C520" s="26">
        <f>IF('DIVA Satislari'!I520="","",'DIVA Satislari'!M520)</f>
        <v/>
      </c>
      <c r="D520" s="27">
        <f>IF('DIVA Satislari'!I520="","",'DIVA Satislari'!H520)</f>
        <v/>
      </c>
      <c r="E520" s="26">
        <f>IF('DIVA Satislari'!I520="","",'DIVA Satislari'!O520)</f>
        <v/>
      </c>
      <c r="F520" s="26">
        <f>IF('DIVA Satislari'!I520="","",'DIVA Satislari'!AK520)</f>
        <v/>
      </c>
      <c r="G520" s="26">
        <f>IF('DIVA Satislari'!I520="","",'DIVA Satislari'!AO520)</f>
        <v/>
      </c>
      <c r="H520" s="27">
        <f>IF('DIVA Satislari'!I520="","",'DIVA Satislari'!AN520)</f>
        <v/>
      </c>
      <c r="I520" s="28">
        <f>IF('DIVA Satislari'!I520="","",'DIVA Satislari'!AQ520)</f>
        <v/>
      </c>
      <c r="J520" s="26">
        <f>IF('DIVA Satislari'!I520="","",'DIVA Satislari'!AR520)</f>
        <v/>
      </c>
      <c r="K520" s="26">
        <f>IF('DIVA Satislari'!I520="","",IFERROR(INDEX('E2E Nakliye Montaj'!$AS$3:$AS$1002,MATCH('DIVA Satislari'!AJ520,'E2E Nakliye Montaj'!$AM$3:$AM$1002,0)),"Eşleşme Yok"))</f>
        <v/>
      </c>
      <c r="L520" s="26">
        <f>IF('DIVA Satislari'!I520="","",IFERROR(INDEX('E2E Nakliye Montaj'!$AT$3:$AT$1002,MATCH('DIVA Satislari'!AJ520,'E2E Nakliye Montaj'!$AM$3:$AM$1002,0)),"Hayır"))</f>
        <v/>
      </c>
      <c r="M520" s="26">
        <f>IF('DIVA Satislari'!I520="","",IFERROR(INDEX('E2E Nakliye Montaj'!$AU$3:$AU$1002,MATCH('DIVA Satislari'!AJ520,'E2E Nakliye Montaj'!$AM$3:$AM$1002,0)),"Hayır"))</f>
        <v/>
      </c>
      <c r="N520" s="27">
        <f>IF('DIVA Satislari'!I520="","",IFERROR(INDEX('E2E Nakliye Montaj'!$AV$3:$AV$1002,MATCH('DIVA Satislari'!AJ520,'E2E Nakliye Montaj'!$AM$3:$AM$1002,0)),""))</f>
        <v/>
      </c>
      <c r="O520" s="26">
        <f>IF(OR(A520="",N520=""),"",IF(N520&lt;=H520,"Evet","HAYIR - RİSK"))</f>
        <v/>
      </c>
      <c r="P520" s="26">
        <f>IF(A520="","",IF(LEFT(J520,8)="Kural A ","Uygun - Hemen Ödenir (Yıl Sonu %75 Kontrolüne Tabi)",IF(OR(L520="Evet",M520="Evet"),IF(O520="Evet","Uygun","RİSK - Hakediş Süresi Aşıldı"),"Bekleniyor - Nakliye/Montaj Tamamlanmadı")))</f>
        <v/>
      </c>
      <c r="Q520" s="28">
        <f>IF(A520="","",SUMIFS('Hakedis Fatura Detay'!$G$3:$G$1200,'Hakedis Fatura Detay'!$H$3:$H$1200,'DIVA Satislari'!AJ520,'Hakedis Fatura Detay'!$F$3:$F$1200,"Fiyat Farkı")+SUMIFS('Hakedis Fatura Detay'!$G$3:$G$1200,'Hakedis Fatura Detay'!$H$3:$H$1200,'DIVA Satislari'!AJ520,'Hakedis Fatura Detay'!$F$3:$F$1200,"Bundle"))</f>
        <v/>
      </c>
      <c r="R520" s="28">
        <f>IF(A520="","",I520-Q520)</f>
        <v/>
      </c>
      <c r="S520" s="26">
        <f>IF(A520="","",IF(LEFT(P520,7)="Bekleni","N/A - Henüz Ödenmemeli",IF(LEFT(P520,4)="RİSK","İNCELEME GEREKLİ - Süre Aşımı",IF(R520=0,"Doğru",IF(R520&gt;0,"EKSİK ÖDENMİŞ","FAZLA ÖDENMİŞ")))))</f>
        <v/>
      </c>
      <c r="T520" s="30">
        <f>IF(A520="","",IF(F520&lt;&gt;"Evet","İNCELEME GEREKLİ - Kampanya Tanımsız",IF(G520&lt;&gt;"Evet","İNCELEME GEREKLİ - Tarih Dışı Satış",IF(LEFT(P520,4)="RİSK","İNCELEME GEREKLİ - Hakediş Süresi Aşıldı",IF(OR(S520="EKSİK ÖDENMİŞ",S520="FAZLA ÖDENMİŞ"),"İNCELEME GEREKLİ - Tutar Uyuşmazlığı",IF(LEFT(P520,7)="Bekleni","Bekleniyor","Uygun"))))))</f>
        <v/>
      </c>
    </row>
    <row r="521">
      <c r="A521" s="26">
        <f>IF('DIVA Satislari'!I521="","",'DIVA Satislari'!I521)</f>
        <v/>
      </c>
      <c r="B521" s="26">
        <f>IF('DIVA Satislari'!I521="","",'DIVA Satislari'!R521)</f>
        <v/>
      </c>
      <c r="C521" s="26">
        <f>IF('DIVA Satislari'!I521="","",'DIVA Satislari'!M521)</f>
        <v/>
      </c>
      <c r="D521" s="27">
        <f>IF('DIVA Satislari'!I521="","",'DIVA Satislari'!H521)</f>
        <v/>
      </c>
      <c r="E521" s="26">
        <f>IF('DIVA Satislari'!I521="","",'DIVA Satislari'!O521)</f>
        <v/>
      </c>
      <c r="F521" s="26">
        <f>IF('DIVA Satislari'!I521="","",'DIVA Satislari'!AK521)</f>
        <v/>
      </c>
      <c r="G521" s="26">
        <f>IF('DIVA Satislari'!I521="","",'DIVA Satislari'!AO521)</f>
        <v/>
      </c>
      <c r="H521" s="27">
        <f>IF('DIVA Satislari'!I521="","",'DIVA Satislari'!AN521)</f>
        <v/>
      </c>
      <c r="I521" s="28">
        <f>IF('DIVA Satislari'!I521="","",'DIVA Satislari'!AQ521)</f>
        <v/>
      </c>
      <c r="J521" s="26">
        <f>IF('DIVA Satislari'!I521="","",'DIVA Satislari'!AR521)</f>
        <v/>
      </c>
      <c r="K521" s="26">
        <f>IF('DIVA Satislari'!I521="","",IFERROR(INDEX('E2E Nakliye Montaj'!$AS$3:$AS$1002,MATCH('DIVA Satislari'!AJ521,'E2E Nakliye Montaj'!$AM$3:$AM$1002,0)),"Eşleşme Yok"))</f>
        <v/>
      </c>
      <c r="L521" s="26">
        <f>IF('DIVA Satislari'!I521="","",IFERROR(INDEX('E2E Nakliye Montaj'!$AT$3:$AT$1002,MATCH('DIVA Satislari'!AJ521,'E2E Nakliye Montaj'!$AM$3:$AM$1002,0)),"Hayır"))</f>
        <v/>
      </c>
      <c r="M521" s="26">
        <f>IF('DIVA Satislari'!I521="","",IFERROR(INDEX('E2E Nakliye Montaj'!$AU$3:$AU$1002,MATCH('DIVA Satislari'!AJ521,'E2E Nakliye Montaj'!$AM$3:$AM$1002,0)),"Hayır"))</f>
        <v/>
      </c>
      <c r="N521" s="27">
        <f>IF('DIVA Satislari'!I521="","",IFERROR(INDEX('E2E Nakliye Montaj'!$AV$3:$AV$1002,MATCH('DIVA Satislari'!AJ521,'E2E Nakliye Montaj'!$AM$3:$AM$1002,0)),""))</f>
        <v/>
      </c>
      <c r="O521" s="26">
        <f>IF(OR(A521="",N521=""),"",IF(N521&lt;=H521,"Evet","HAYIR - RİSK"))</f>
        <v/>
      </c>
      <c r="P521" s="26">
        <f>IF(A521="","",IF(LEFT(J521,8)="Kural A ","Uygun - Hemen Ödenir (Yıl Sonu %75 Kontrolüne Tabi)",IF(OR(L521="Evet",M521="Evet"),IF(O521="Evet","Uygun","RİSK - Hakediş Süresi Aşıldı"),"Bekleniyor - Nakliye/Montaj Tamamlanmadı")))</f>
        <v/>
      </c>
      <c r="Q521" s="28">
        <f>IF(A521="","",SUMIFS('Hakedis Fatura Detay'!$G$3:$G$1200,'Hakedis Fatura Detay'!$H$3:$H$1200,'DIVA Satislari'!AJ521,'Hakedis Fatura Detay'!$F$3:$F$1200,"Fiyat Farkı")+SUMIFS('Hakedis Fatura Detay'!$G$3:$G$1200,'Hakedis Fatura Detay'!$H$3:$H$1200,'DIVA Satislari'!AJ521,'Hakedis Fatura Detay'!$F$3:$F$1200,"Bundle"))</f>
        <v/>
      </c>
      <c r="R521" s="28">
        <f>IF(A521="","",I521-Q521)</f>
        <v/>
      </c>
      <c r="S521" s="26">
        <f>IF(A521="","",IF(LEFT(P521,7)="Bekleni","N/A - Henüz Ödenmemeli",IF(LEFT(P521,4)="RİSK","İNCELEME GEREKLİ - Süre Aşımı",IF(R521=0,"Doğru",IF(R521&gt;0,"EKSİK ÖDENMİŞ","FAZLA ÖDENMİŞ")))))</f>
        <v/>
      </c>
      <c r="T521" s="30">
        <f>IF(A521="","",IF(F521&lt;&gt;"Evet","İNCELEME GEREKLİ - Kampanya Tanımsız",IF(G521&lt;&gt;"Evet","İNCELEME GEREKLİ - Tarih Dışı Satış",IF(LEFT(P521,4)="RİSK","İNCELEME GEREKLİ - Hakediş Süresi Aşıldı",IF(OR(S521="EKSİK ÖDENMİŞ",S521="FAZLA ÖDENMİŞ"),"İNCELEME GEREKLİ - Tutar Uyuşmazlığı",IF(LEFT(P521,7)="Bekleni","Bekleniyor","Uygun"))))))</f>
        <v/>
      </c>
    </row>
    <row r="522">
      <c r="A522" s="26">
        <f>IF('DIVA Satislari'!I522="","",'DIVA Satislari'!I522)</f>
        <v/>
      </c>
      <c r="B522" s="26">
        <f>IF('DIVA Satislari'!I522="","",'DIVA Satislari'!R522)</f>
        <v/>
      </c>
      <c r="C522" s="26">
        <f>IF('DIVA Satislari'!I522="","",'DIVA Satislari'!M522)</f>
        <v/>
      </c>
      <c r="D522" s="27">
        <f>IF('DIVA Satislari'!I522="","",'DIVA Satislari'!H522)</f>
        <v/>
      </c>
      <c r="E522" s="26">
        <f>IF('DIVA Satislari'!I522="","",'DIVA Satislari'!O522)</f>
        <v/>
      </c>
      <c r="F522" s="26">
        <f>IF('DIVA Satislari'!I522="","",'DIVA Satislari'!AK522)</f>
        <v/>
      </c>
      <c r="G522" s="26">
        <f>IF('DIVA Satislari'!I522="","",'DIVA Satislari'!AO522)</f>
        <v/>
      </c>
      <c r="H522" s="27">
        <f>IF('DIVA Satislari'!I522="","",'DIVA Satislari'!AN522)</f>
        <v/>
      </c>
      <c r="I522" s="28">
        <f>IF('DIVA Satislari'!I522="","",'DIVA Satislari'!AQ522)</f>
        <v/>
      </c>
      <c r="J522" s="26">
        <f>IF('DIVA Satislari'!I522="","",'DIVA Satislari'!AR522)</f>
        <v/>
      </c>
      <c r="K522" s="26">
        <f>IF('DIVA Satislari'!I522="","",IFERROR(INDEX('E2E Nakliye Montaj'!$AS$3:$AS$1002,MATCH('DIVA Satislari'!AJ522,'E2E Nakliye Montaj'!$AM$3:$AM$1002,0)),"Eşleşme Yok"))</f>
        <v/>
      </c>
      <c r="L522" s="26">
        <f>IF('DIVA Satislari'!I522="","",IFERROR(INDEX('E2E Nakliye Montaj'!$AT$3:$AT$1002,MATCH('DIVA Satislari'!AJ522,'E2E Nakliye Montaj'!$AM$3:$AM$1002,0)),"Hayır"))</f>
        <v/>
      </c>
      <c r="M522" s="26">
        <f>IF('DIVA Satislari'!I522="","",IFERROR(INDEX('E2E Nakliye Montaj'!$AU$3:$AU$1002,MATCH('DIVA Satislari'!AJ522,'E2E Nakliye Montaj'!$AM$3:$AM$1002,0)),"Hayır"))</f>
        <v/>
      </c>
      <c r="N522" s="27">
        <f>IF('DIVA Satislari'!I522="","",IFERROR(INDEX('E2E Nakliye Montaj'!$AV$3:$AV$1002,MATCH('DIVA Satislari'!AJ522,'E2E Nakliye Montaj'!$AM$3:$AM$1002,0)),""))</f>
        <v/>
      </c>
      <c r="O522" s="26">
        <f>IF(OR(A522="",N522=""),"",IF(N522&lt;=H522,"Evet","HAYIR - RİSK"))</f>
        <v/>
      </c>
      <c r="P522" s="26">
        <f>IF(A522="","",IF(LEFT(J522,8)="Kural A ","Uygun - Hemen Ödenir (Yıl Sonu %75 Kontrolüne Tabi)",IF(OR(L522="Evet",M522="Evet"),IF(O522="Evet","Uygun","RİSK - Hakediş Süresi Aşıldı"),"Bekleniyor - Nakliye/Montaj Tamamlanmadı")))</f>
        <v/>
      </c>
      <c r="Q522" s="28">
        <f>IF(A522="","",SUMIFS('Hakedis Fatura Detay'!$G$3:$G$1200,'Hakedis Fatura Detay'!$H$3:$H$1200,'DIVA Satislari'!AJ522,'Hakedis Fatura Detay'!$F$3:$F$1200,"Fiyat Farkı")+SUMIFS('Hakedis Fatura Detay'!$G$3:$G$1200,'Hakedis Fatura Detay'!$H$3:$H$1200,'DIVA Satislari'!AJ522,'Hakedis Fatura Detay'!$F$3:$F$1200,"Bundle"))</f>
        <v/>
      </c>
      <c r="R522" s="28">
        <f>IF(A522="","",I522-Q522)</f>
        <v/>
      </c>
      <c r="S522" s="26">
        <f>IF(A522="","",IF(LEFT(P522,7)="Bekleni","N/A - Henüz Ödenmemeli",IF(LEFT(P522,4)="RİSK","İNCELEME GEREKLİ - Süre Aşımı",IF(R522=0,"Doğru",IF(R522&gt;0,"EKSİK ÖDENMİŞ","FAZLA ÖDENMİŞ")))))</f>
        <v/>
      </c>
      <c r="T522" s="30">
        <f>IF(A522="","",IF(F522&lt;&gt;"Evet","İNCELEME GEREKLİ - Kampanya Tanımsız",IF(G522&lt;&gt;"Evet","İNCELEME GEREKLİ - Tarih Dışı Satış",IF(LEFT(P522,4)="RİSK","İNCELEME GEREKLİ - Hakediş Süresi Aşıldı",IF(OR(S522="EKSİK ÖDENMİŞ",S522="FAZLA ÖDENMİŞ"),"İNCELEME GEREKLİ - Tutar Uyuşmazlığı",IF(LEFT(P522,7)="Bekleni","Bekleniyor","Uygun"))))))</f>
        <v/>
      </c>
    </row>
    <row r="523">
      <c r="A523" s="26">
        <f>IF('DIVA Satislari'!I523="","",'DIVA Satislari'!I523)</f>
        <v/>
      </c>
      <c r="B523" s="26">
        <f>IF('DIVA Satislari'!I523="","",'DIVA Satislari'!R523)</f>
        <v/>
      </c>
      <c r="C523" s="26">
        <f>IF('DIVA Satislari'!I523="","",'DIVA Satislari'!M523)</f>
        <v/>
      </c>
      <c r="D523" s="27">
        <f>IF('DIVA Satislari'!I523="","",'DIVA Satislari'!H523)</f>
        <v/>
      </c>
      <c r="E523" s="26">
        <f>IF('DIVA Satislari'!I523="","",'DIVA Satislari'!O523)</f>
        <v/>
      </c>
      <c r="F523" s="26">
        <f>IF('DIVA Satislari'!I523="","",'DIVA Satislari'!AK523)</f>
        <v/>
      </c>
      <c r="G523" s="26">
        <f>IF('DIVA Satislari'!I523="","",'DIVA Satislari'!AO523)</f>
        <v/>
      </c>
      <c r="H523" s="27">
        <f>IF('DIVA Satislari'!I523="","",'DIVA Satislari'!AN523)</f>
        <v/>
      </c>
      <c r="I523" s="28">
        <f>IF('DIVA Satislari'!I523="","",'DIVA Satislari'!AQ523)</f>
        <v/>
      </c>
      <c r="J523" s="26">
        <f>IF('DIVA Satislari'!I523="","",'DIVA Satislari'!AR523)</f>
        <v/>
      </c>
      <c r="K523" s="26">
        <f>IF('DIVA Satislari'!I523="","",IFERROR(INDEX('E2E Nakliye Montaj'!$AS$3:$AS$1002,MATCH('DIVA Satislari'!AJ523,'E2E Nakliye Montaj'!$AM$3:$AM$1002,0)),"Eşleşme Yok"))</f>
        <v/>
      </c>
      <c r="L523" s="26">
        <f>IF('DIVA Satislari'!I523="","",IFERROR(INDEX('E2E Nakliye Montaj'!$AT$3:$AT$1002,MATCH('DIVA Satislari'!AJ523,'E2E Nakliye Montaj'!$AM$3:$AM$1002,0)),"Hayır"))</f>
        <v/>
      </c>
      <c r="M523" s="26">
        <f>IF('DIVA Satislari'!I523="","",IFERROR(INDEX('E2E Nakliye Montaj'!$AU$3:$AU$1002,MATCH('DIVA Satislari'!AJ523,'E2E Nakliye Montaj'!$AM$3:$AM$1002,0)),"Hayır"))</f>
        <v/>
      </c>
      <c r="N523" s="27">
        <f>IF('DIVA Satislari'!I523="","",IFERROR(INDEX('E2E Nakliye Montaj'!$AV$3:$AV$1002,MATCH('DIVA Satislari'!AJ523,'E2E Nakliye Montaj'!$AM$3:$AM$1002,0)),""))</f>
        <v/>
      </c>
      <c r="O523" s="26">
        <f>IF(OR(A523="",N523=""),"",IF(N523&lt;=H523,"Evet","HAYIR - RİSK"))</f>
        <v/>
      </c>
      <c r="P523" s="26">
        <f>IF(A523="","",IF(LEFT(J523,8)="Kural A ","Uygun - Hemen Ödenir (Yıl Sonu %75 Kontrolüne Tabi)",IF(OR(L523="Evet",M523="Evet"),IF(O523="Evet","Uygun","RİSK - Hakediş Süresi Aşıldı"),"Bekleniyor - Nakliye/Montaj Tamamlanmadı")))</f>
        <v/>
      </c>
      <c r="Q523" s="28">
        <f>IF(A523="","",SUMIFS('Hakedis Fatura Detay'!$G$3:$G$1200,'Hakedis Fatura Detay'!$H$3:$H$1200,'DIVA Satislari'!AJ523,'Hakedis Fatura Detay'!$F$3:$F$1200,"Fiyat Farkı")+SUMIFS('Hakedis Fatura Detay'!$G$3:$G$1200,'Hakedis Fatura Detay'!$H$3:$H$1200,'DIVA Satislari'!AJ523,'Hakedis Fatura Detay'!$F$3:$F$1200,"Bundle"))</f>
        <v/>
      </c>
      <c r="R523" s="28">
        <f>IF(A523="","",I523-Q523)</f>
        <v/>
      </c>
      <c r="S523" s="26">
        <f>IF(A523="","",IF(LEFT(P523,7)="Bekleni","N/A - Henüz Ödenmemeli",IF(LEFT(P523,4)="RİSK","İNCELEME GEREKLİ - Süre Aşımı",IF(R523=0,"Doğru",IF(R523&gt;0,"EKSİK ÖDENMİŞ","FAZLA ÖDENMİŞ")))))</f>
        <v/>
      </c>
      <c r="T523" s="30">
        <f>IF(A523="","",IF(F523&lt;&gt;"Evet","İNCELEME GEREKLİ - Kampanya Tanımsız",IF(G523&lt;&gt;"Evet","İNCELEME GEREKLİ - Tarih Dışı Satış",IF(LEFT(P523,4)="RİSK","İNCELEME GEREKLİ - Hakediş Süresi Aşıldı",IF(OR(S523="EKSİK ÖDENMİŞ",S523="FAZLA ÖDENMİŞ"),"İNCELEME GEREKLİ - Tutar Uyuşmazlığı",IF(LEFT(P523,7)="Bekleni","Bekleniyor","Uygun"))))))</f>
        <v/>
      </c>
    </row>
    <row r="524">
      <c r="A524" s="26">
        <f>IF('DIVA Satislari'!I524="","",'DIVA Satislari'!I524)</f>
        <v/>
      </c>
      <c r="B524" s="26">
        <f>IF('DIVA Satislari'!I524="","",'DIVA Satislari'!R524)</f>
        <v/>
      </c>
      <c r="C524" s="26">
        <f>IF('DIVA Satislari'!I524="","",'DIVA Satislari'!M524)</f>
        <v/>
      </c>
      <c r="D524" s="27">
        <f>IF('DIVA Satislari'!I524="","",'DIVA Satislari'!H524)</f>
        <v/>
      </c>
      <c r="E524" s="26">
        <f>IF('DIVA Satislari'!I524="","",'DIVA Satislari'!O524)</f>
        <v/>
      </c>
      <c r="F524" s="26">
        <f>IF('DIVA Satislari'!I524="","",'DIVA Satislari'!AK524)</f>
        <v/>
      </c>
      <c r="G524" s="26">
        <f>IF('DIVA Satislari'!I524="","",'DIVA Satislari'!AO524)</f>
        <v/>
      </c>
      <c r="H524" s="27">
        <f>IF('DIVA Satislari'!I524="","",'DIVA Satislari'!AN524)</f>
        <v/>
      </c>
      <c r="I524" s="28">
        <f>IF('DIVA Satislari'!I524="","",'DIVA Satislari'!AQ524)</f>
        <v/>
      </c>
      <c r="J524" s="26">
        <f>IF('DIVA Satislari'!I524="","",'DIVA Satislari'!AR524)</f>
        <v/>
      </c>
      <c r="K524" s="26">
        <f>IF('DIVA Satislari'!I524="","",IFERROR(INDEX('E2E Nakliye Montaj'!$AS$3:$AS$1002,MATCH('DIVA Satislari'!AJ524,'E2E Nakliye Montaj'!$AM$3:$AM$1002,0)),"Eşleşme Yok"))</f>
        <v/>
      </c>
      <c r="L524" s="26">
        <f>IF('DIVA Satislari'!I524="","",IFERROR(INDEX('E2E Nakliye Montaj'!$AT$3:$AT$1002,MATCH('DIVA Satislari'!AJ524,'E2E Nakliye Montaj'!$AM$3:$AM$1002,0)),"Hayır"))</f>
        <v/>
      </c>
      <c r="M524" s="26">
        <f>IF('DIVA Satislari'!I524="","",IFERROR(INDEX('E2E Nakliye Montaj'!$AU$3:$AU$1002,MATCH('DIVA Satislari'!AJ524,'E2E Nakliye Montaj'!$AM$3:$AM$1002,0)),"Hayır"))</f>
        <v/>
      </c>
      <c r="N524" s="27">
        <f>IF('DIVA Satislari'!I524="","",IFERROR(INDEX('E2E Nakliye Montaj'!$AV$3:$AV$1002,MATCH('DIVA Satislari'!AJ524,'E2E Nakliye Montaj'!$AM$3:$AM$1002,0)),""))</f>
        <v/>
      </c>
      <c r="O524" s="26">
        <f>IF(OR(A524="",N524=""),"",IF(N524&lt;=H524,"Evet","HAYIR - RİSK"))</f>
        <v/>
      </c>
      <c r="P524" s="26">
        <f>IF(A524="","",IF(LEFT(J524,8)="Kural A ","Uygun - Hemen Ödenir (Yıl Sonu %75 Kontrolüne Tabi)",IF(OR(L524="Evet",M524="Evet"),IF(O524="Evet","Uygun","RİSK - Hakediş Süresi Aşıldı"),"Bekleniyor - Nakliye/Montaj Tamamlanmadı")))</f>
        <v/>
      </c>
      <c r="Q524" s="28">
        <f>IF(A524="","",SUMIFS('Hakedis Fatura Detay'!$G$3:$G$1200,'Hakedis Fatura Detay'!$H$3:$H$1200,'DIVA Satislari'!AJ524,'Hakedis Fatura Detay'!$F$3:$F$1200,"Fiyat Farkı")+SUMIFS('Hakedis Fatura Detay'!$G$3:$G$1200,'Hakedis Fatura Detay'!$H$3:$H$1200,'DIVA Satislari'!AJ524,'Hakedis Fatura Detay'!$F$3:$F$1200,"Bundle"))</f>
        <v/>
      </c>
      <c r="R524" s="28">
        <f>IF(A524="","",I524-Q524)</f>
        <v/>
      </c>
      <c r="S524" s="26">
        <f>IF(A524="","",IF(LEFT(P524,7)="Bekleni","N/A - Henüz Ödenmemeli",IF(LEFT(P524,4)="RİSK","İNCELEME GEREKLİ - Süre Aşımı",IF(R524=0,"Doğru",IF(R524&gt;0,"EKSİK ÖDENMİŞ","FAZLA ÖDENMİŞ")))))</f>
        <v/>
      </c>
      <c r="T524" s="30">
        <f>IF(A524="","",IF(F524&lt;&gt;"Evet","İNCELEME GEREKLİ - Kampanya Tanımsız",IF(G524&lt;&gt;"Evet","İNCELEME GEREKLİ - Tarih Dışı Satış",IF(LEFT(P524,4)="RİSK","İNCELEME GEREKLİ - Hakediş Süresi Aşıldı",IF(OR(S524="EKSİK ÖDENMİŞ",S524="FAZLA ÖDENMİŞ"),"İNCELEME GEREKLİ - Tutar Uyuşmazlığı",IF(LEFT(P524,7)="Bekleni","Bekleniyor","Uygun"))))))</f>
        <v/>
      </c>
    </row>
    <row r="525">
      <c r="A525" s="26">
        <f>IF('DIVA Satislari'!I525="","",'DIVA Satislari'!I525)</f>
        <v/>
      </c>
      <c r="B525" s="26">
        <f>IF('DIVA Satislari'!I525="","",'DIVA Satislari'!R525)</f>
        <v/>
      </c>
      <c r="C525" s="26">
        <f>IF('DIVA Satislari'!I525="","",'DIVA Satislari'!M525)</f>
        <v/>
      </c>
      <c r="D525" s="27">
        <f>IF('DIVA Satislari'!I525="","",'DIVA Satislari'!H525)</f>
        <v/>
      </c>
      <c r="E525" s="26">
        <f>IF('DIVA Satislari'!I525="","",'DIVA Satislari'!O525)</f>
        <v/>
      </c>
      <c r="F525" s="26">
        <f>IF('DIVA Satislari'!I525="","",'DIVA Satislari'!AK525)</f>
        <v/>
      </c>
      <c r="G525" s="26">
        <f>IF('DIVA Satislari'!I525="","",'DIVA Satislari'!AO525)</f>
        <v/>
      </c>
      <c r="H525" s="27">
        <f>IF('DIVA Satislari'!I525="","",'DIVA Satislari'!AN525)</f>
        <v/>
      </c>
      <c r="I525" s="28">
        <f>IF('DIVA Satislari'!I525="","",'DIVA Satislari'!AQ525)</f>
        <v/>
      </c>
      <c r="J525" s="26">
        <f>IF('DIVA Satislari'!I525="","",'DIVA Satislari'!AR525)</f>
        <v/>
      </c>
      <c r="K525" s="26">
        <f>IF('DIVA Satislari'!I525="","",IFERROR(INDEX('E2E Nakliye Montaj'!$AS$3:$AS$1002,MATCH('DIVA Satislari'!AJ525,'E2E Nakliye Montaj'!$AM$3:$AM$1002,0)),"Eşleşme Yok"))</f>
        <v/>
      </c>
      <c r="L525" s="26">
        <f>IF('DIVA Satislari'!I525="","",IFERROR(INDEX('E2E Nakliye Montaj'!$AT$3:$AT$1002,MATCH('DIVA Satislari'!AJ525,'E2E Nakliye Montaj'!$AM$3:$AM$1002,0)),"Hayır"))</f>
        <v/>
      </c>
      <c r="M525" s="26">
        <f>IF('DIVA Satislari'!I525="","",IFERROR(INDEX('E2E Nakliye Montaj'!$AU$3:$AU$1002,MATCH('DIVA Satislari'!AJ525,'E2E Nakliye Montaj'!$AM$3:$AM$1002,0)),"Hayır"))</f>
        <v/>
      </c>
      <c r="N525" s="27">
        <f>IF('DIVA Satislari'!I525="","",IFERROR(INDEX('E2E Nakliye Montaj'!$AV$3:$AV$1002,MATCH('DIVA Satislari'!AJ525,'E2E Nakliye Montaj'!$AM$3:$AM$1002,0)),""))</f>
        <v/>
      </c>
      <c r="O525" s="26">
        <f>IF(OR(A525="",N525=""),"",IF(N525&lt;=H525,"Evet","HAYIR - RİSK"))</f>
        <v/>
      </c>
      <c r="P525" s="26">
        <f>IF(A525="","",IF(LEFT(J525,8)="Kural A ","Uygun - Hemen Ödenir (Yıl Sonu %75 Kontrolüne Tabi)",IF(OR(L525="Evet",M525="Evet"),IF(O525="Evet","Uygun","RİSK - Hakediş Süresi Aşıldı"),"Bekleniyor - Nakliye/Montaj Tamamlanmadı")))</f>
        <v/>
      </c>
      <c r="Q525" s="28">
        <f>IF(A525="","",SUMIFS('Hakedis Fatura Detay'!$G$3:$G$1200,'Hakedis Fatura Detay'!$H$3:$H$1200,'DIVA Satislari'!AJ525,'Hakedis Fatura Detay'!$F$3:$F$1200,"Fiyat Farkı")+SUMIFS('Hakedis Fatura Detay'!$G$3:$G$1200,'Hakedis Fatura Detay'!$H$3:$H$1200,'DIVA Satislari'!AJ525,'Hakedis Fatura Detay'!$F$3:$F$1200,"Bundle"))</f>
        <v/>
      </c>
      <c r="R525" s="28">
        <f>IF(A525="","",I525-Q525)</f>
        <v/>
      </c>
      <c r="S525" s="26">
        <f>IF(A525="","",IF(LEFT(P525,7)="Bekleni","N/A - Henüz Ödenmemeli",IF(LEFT(P525,4)="RİSK","İNCELEME GEREKLİ - Süre Aşımı",IF(R525=0,"Doğru",IF(R525&gt;0,"EKSİK ÖDENMİŞ","FAZLA ÖDENMİŞ")))))</f>
        <v/>
      </c>
      <c r="T525" s="30">
        <f>IF(A525="","",IF(F525&lt;&gt;"Evet","İNCELEME GEREKLİ - Kampanya Tanımsız",IF(G525&lt;&gt;"Evet","İNCELEME GEREKLİ - Tarih Dışı Satış",IF(LEFT(P525,4)="RİSK","İNCELEME GEREKLİ - Hakediş Süresi Aşıldı",IF(OR(S525="EKSİK ÖDENMİŞ",S525="FAZLA ÖDENMİŞ"),"İNCELEME GEREKLİ - Tutar Uyuşmazlığı",IF(LEFT(P525,7)="Bekleni","Bekleniyor","Uygun"))))))</f>
        <v/>
      </c>
    </row>
    <row r="526">
      <c r="A526" s="26">
        <f>IF('DIVA Satislari'!I526="","",'DIVA Satislari'!I526)</f>
        <v/>
      </c>
      <c r="B526" s="26">
        <f>IF('DIVA Satislari'!I526="","",'DIVA Satislari'!R526)</f>
        <v/>
      </c>
      <c r="C526" s="26">
        <f>IF('DIVA Satislari'!I526="","",'DIVA Satislari'!M526)</f>
        <v/>
      </c>
      <c r="D526" s="27">
        <f>IF('DIVA Satislari'!I526="","",'DIVA Satislari'!H526)</f>
        <v/>
      </c>
      <c r="E526" s="26">
        <f>IF('DIVA Satislari'!I526="","",'DIVA Satislari'!O526)</f>
        <v/>
      </c>
      <c r="F526" s="26">
        <f>IF('DIVA Satislari'!I526="","",'DIVA Satislari'!AK526)</f>
        <v/>
      </c>
      <c r="G526" s="26">
        <f>IF('DIVA Satislari'!I526="","",'DIVA Satislari'!AO526)</f>
        <v/>
      </c>
      <c r="H526" s="27">
        <f>IF('DIVA Satislari'!I526="","",'DIVA Satislari'!AN526)</f>
        <v/>
      </c>
      <c r="I526" s="28">
        <f>IF('DIVA Satislari'!I526="","",'DIVA Satislari'!AQ526)</f>
        <v/>
      </c>
      <c r="J526" s="26">
        <f>IF('DIVA Satislari'!I526="","",'DIVA Satislari'!AR526)</f>
        <v/>
      </c>
      <c r="K526" s="26">
        <f>IF('DIVA Satislari'!I526="","",IFERROR(INDEX('E2E Nakliye Montaj'!$AS$3:$AS$1002,MATCH('DIVA Satislari'!AJ526,'E2E Nakliye Montaj'!$AM$3:$AM$1002,0)),"Eşleşme Yok"))</f>
        <v/>
      </c>
      <c r="L526" s="26">
        <f>IF('DIVA Satislari'!I526="","",IFERROR(INDEX('E2E Nakliye Montaj'!$AT$3:$AT$1002,MATCH('DIVA Satislari'!AJ526,'E2E Nakliye Montaj'!$AM$3:$AM$1002,0)),"Hayır"))</f>
        <v/>
      </c>
      <c r="M526" s="26">
        <f>IF('DIVA Satislari'!I526="","",IFERROR(INDEX('E2E Nakliye Montaj'!$AU$3:$AU$1002,MATCH('DIVA Satislari'!AJ526,'E2E Nakliye Montaj'!$AM$3:$AM$1002,0)),"Hayır"))</f>
        <v/>
      </c>
      <c r="N526" s="27">
        <f>IF('DIVA Satislari'!I526="","",IFERROR(INDEX('E2E Nakliye Montaj'!$AV$3:$AV$1002,MATCH('DIVA Satislari'!AJ526,'E2E Nakliye Montaj'!$AM$3:$AM$1002,0)),""))</f>
        <v/>
      </c>
      <c r="O526" s="26">
        <f>IF(OR(A526="",N526=""),"",IF(N526&lt;=H526,"Evet","HAYIR - RİSK"))</f>
        <v/>
      </c>
      <c r="P526" s="26">
        <f>IF(A526="","",IF(LEFT(J526,8)="Kural A ","Uygun - Hemen Ödenir (Yıl Sonu %75 Kontrolüne Tabi)",IF(OR(L526="Evet",M526="Evet"),IF(O526="Evet","Uygun","RİSK - Hakediş Süresi Aşıldı"),"Bekleniyor - Nakliye/Montaj Tamamlanmadı")))</f>
        <v/>
      </c>
      <c r="Q526" s="28">
        <f>IF(A526="","",SUMIFS('Hakedis Fatura Detay'!$G$3:$G$1200,'Hakedis Fatura Detay'!$H$3:$H$1200,'DIVA Satislari'!AJ526,'Hakedis Fatura Detay'!$F$3:$F$1200,"Fiyat Farkı")+SUMIFS('Hakedis Fatura Detay'!$G$3:$G$1200,'Hakedis Fatura Detay'!$H$3:$H$1200,'DIVA Satislari'!AJ526,'Hakedis Fatura Detay'!$F$3:$F$1200,"Bundle"))</f>
        <v/>
      </c>
      <c r="R526" s="28">
        <f>IF(A526="","",I526-Q526)</f>
        <v/>
      </c>
      <c r="S526" s="26">
        <f>IF(A526="","",IF(LEFT(P526,7)="Bekleni","N/A - Henüz Ödenmemeli",IF(LEFT(P526,4)="RİSK","İNCELEME GEREKLİ - Süre Aşımı",IF(R526=0,"Doğru",IF(R526&gt;0,"EKSİK ÖDENMİŞ","FAZLA ÖDENMİŞ")))))</f>
        <v/>
      </c>
      <c r="T526" s="30">
        <f>IF(A526="","",IF(F526&lt;&gt;"Evet","İNCELEME GEREKLİ - Kampanya Tanımsız",IF(G526&lt;&gt;"Evet","İNCELEME GEREKLİ - Tarih Dışı Satış",IF(LEFT(P526,4)="RİSK","İNCELEME GEREKLİ - Hakediş Süresi Aşıldı",IF(OR(S526="EKSİK ÖDENMİŞ",S526="FAZLA ÖDENMİŞ"),"İNCELEME GEREKLİ - Tutar Uyuşmazlığı",IF(LEFT(P526,7)="Bekleni","Bekleniyor","Uygun"))))))</f>
        <v/>
      </c>
    </row>
    <row r="527">
      <c r="A527" s="26">
        <f>IF('DIVA Satislari'!I527="","",'DIVA Satislari'!I527)</f>
        <v/>
      </c>
      <c r="B527" s="26">
        <f>IF('DIVA Satislari'!I527="","",'DIVA Satislari'!R527)</f>
        <v/>
      </c>
      <c r="C527" s="26">
        <f>IF('DIVA Satislari'!I527="","",'DIVA Satislari'!M527)</f>
        <v/>
      </c>
      <c r="D527" s="27">
        <f>IF('DIVA Satislari'!I527="","",'DIVA Satislari'!H527)</f>
        <v/>
      </c>
      <c r="E527" s="26">
        <f>IF('DIVA Satislari'!I527="","",'DIVA Satislari'!O527)</f>
        <v/>
      </c>
      <c r="F527" s="26">
        <f>IF('DIVA Satislari'!I527="","",'DIVA Satislari'!AK527)</f>
        <v/>
      </c>
      <c r="G527" s="26">
        <f>IF('DIVA Satislari'!I527="","",'DIVA Satislari'!AO527)</f>
        <v/>
      </c>
      <c r="H527" s="27">
        <f>IF('DIVA Satislari'!I527="","",'DIVA Satislari'!AN527)</f>
        <v/>
      </c>
      <c r="I527" s="28">
        <f>IF('DIVA Satislari'!I527="","",'DIVA Satislari'!AQ527)</f>
        <v/>
      </c>
      <c r="J527" s="26">
        <f>IF('DIVA Satislari'!I527="","",'DIVA Satislari'!AR527)</f>
        <v/>
      </c>
      <c r="K527" s="26">
        <f>IF('DIVA Satislari'!I527="","",IFERROR(INDEX('E2E Nakliye Montaj'!$AS$3:$AS$1002,MATCH('DIVA Satislari'!AJ527,'E2E Nakliye Montaj'!$AM$3:$AM$1002,0)),"Eşleşme Yok"))</f>
        <v/>
      </c>
      <c r="L527" s="26">
        <f>IF('DIVA Satislari'!I527="","",IFERROR(INDEX('E2E Nakliye Montaj'!$AT$3:$AT$1002,MATCH('DIVA Satislari'!AJ527,'E2E Nakliye Montaj'!$AM$3:$AM$1002,0)),"Hayır"))</f>
        <v/>
      </c>
      <c r="M527" s="26">
        <f>IF('DIVA Satislari'!I527="","",IFERROR(INDEX('E2E Nakliye Montaj'!$AU$3:$AU$1002,MATCH('DIVA Satislari'!AJ527,'E2E Nakliye Montaj'!$AM$3:$AM$1002,0)),"Hayır"))</f>
        <v/>
      </c>
      <c r="N527" s="27">
        <f>IF('DIVA Satislari'!I527="","",IFERROR(INDEX('E2E Nakliye Montaj'!$AV$3:$AV$1002,MATCH('DIVA Satislari'!AJ527,'E2E Nakliye Montaj'!$AM$3:$AM$1002,0)),""))</f>
        <v/>
      </c>
      <c r="O527" s="26">
        <f>IF(OR(A527="",N527=""),"",IF(N527&lt;=H527,"Evet","HAYIR - RİSK"))</f>
        <v/>
      </c>
      <c r="P527" s="26">
        <f>IF(A527="","",IF(LEFT(J527,8)="Kural A ","Uygun - Hemen Ödenir (Yıl Sonu %75 Kontrolüne Tabi)",IF(OR(L527="Evet",M527="Evet"),IF(O527="Evet","Uygun","RİSK - Hakediş Süresi Aşıldı"),"Bekleniyor - Nakliye/Montaj Tamamlanmadı")))</f>
        <v/>
      </c>
      <c r="Q527" s="28">
        <f>IF(A527="","",SUMIFS('Hakedis Fatura Detay'!$G$3:$G$1200,'Hakedis Fatura Detay'!$H$3:$H$1200,'DIVA Satislari'!AJ527,'Hakedis Fatura Detay'!$F$3:$F$1200,"Fiyat Farkı")+SUMIFS('Hakedis Fatura Detay'!$G$3:$G$1200,'Hakedis Fatura Detay'!$H$3:$H$1200,'DIVA Satislari'!AJ527,'Hakedis Fatura Detay'!$F$3:$F$1200,"Bundle"))</f>
        <v/>
      </c>
      <c r="R527" s="28">
        <f>IF(A527="","",I527-Q527)</f>
        <v/>
      </c>
      <c r="S527" s="26">
        <f>IF(A527="","",IF(LEFT(P527,7)="Bekleni","N/A - Henüz Ödenmemeli",IF(LEFT(P527,4)="RİSK","İNCELEME GEREKLİ - Süre Aşımı",IF(R527=0,"Doğru",IF(R527&gt;0,"EKSİK ÖDENMİŞ","FAZLA ÖDENMİŞ")))))</f>
        <v/>
      </c>
      <c r="T527" s="30">
        <f>IF(A527="","",IF(F527&lt;&gt;"Evet","İNCELEME GEREKLİ - Kampanya Tanımsız",IF(G527&lt;&gt;"Evet","İNCELEME GEREKLİ - Tarih Dışı Satış",IF(LEFT(P527,4)="RİSK","İNCELEME GEREKLİ - Hakediş Süresi Aşıldı",IF(OR(S527="EKSİK ÖDENMİŞ",S527="FAZLA ÖDENMİŞ"),"İNCELEME GEREKLİ - Tutar Uyuşmazlığı",IF(LEFT(P527,7)="Bekleni","Bekleniyor","Uygun"))))))</f>
        <v/>
      </c>
    </row>
    <row r="528">
      <c r="A528" s="26">
        <f>IF('DIVA Satislari'!I528="","",'DIVA Satislari'!I528)</f>
        <v/>
      </c>
      <c r="B528" s="26">
        <f>IF('DIVA Satislari'!I528="","",'DIVA Satislari'!R528)</f>
        <v/>
      </c>
      <c r="C528" s="26">
        <f>IF('DIVA Satislari'!I528="","",'DIVA Satislari'!M528)</f>
        <v/>
      </c>
      <c r="D528" s="27">
        <f>IF('DIVA Satislari'!I528="","",'DIVA Satislari'!H528)</f>
        <v/>
      </c>
      <c r="E528" s="26">
        <f>IF('DIVA Satislari'!I528="","",'DIVA Satislari'!O528)</f>
        <v/>
      </c>
      <c r="F528" s="26">
        <f>IF('DIVA Satislari'!I528="","",'DIVA Satislari'!AK528)</f>
        <v/>
      </c>
      <c r="G528" s="26">
        <f>IF('DIVA Satislari'!I528="","",'DIVA Satislari'!AO528)</f>
        <v/>
      </c>
      <c r="H528" s="27">
        <f>IF('DIVA Satislari'!I528="","",'DIVA Satislari'!AN528)</f>
        <v/>
      </c>
      <c r="I528" s="28">
        <f>IF('DIVA Satislari'!I528="","",'DIVA Satislari'!AQ528)</f>
        <v/>
      </c>
      <c r="J528" s="26">
        <f>IF('DIVA Satislari'!I528="","",'DIVA Satislari'!AR528)</f>
        <v/>
      </c>
      <c r="K528" s="26">
        <f>IF('DIVA Satislari'!I528="","",IFERROR(INDEX('E2E Nakliye Montaj'!$AS$3:$AS$1002,MATCH('DIVA Satislari'!AJ528,'E2E Nakliye Montaj'!$AM$3:$AM$1002,0)),"Eşleşme Yok"))</f>
        <v/>
      </c>
      <c r="L528" s="26">
        <f>IF('DIVA Satislari'!I528="","",IFERROR(INDEX('E2E Nakliye Montaj'!$AT$3:$AT$1002,MATCH('DIVA Satislari'!AJ528,'E2E Nakliye Montaj'!$AM$3:$AM$1002,0)),"Hayır"))</f>
        <v/>
      </c>
      <c r="M528" s="26">
        <f>IF('DIVA Satislari'!I528="","",IFERROR(INDEX('E2E Nakliye Montaj'!$AU$3:$AU$1002,MATCH('DIVA Satislari'!AJ528,'E2E Nakliye Montaj'!$AM$3:$AM$1002,0)),"Hayır"))</f>
        <v/>
      </c>
      <c r="N528" s="27">
        <f>IF('DIVA Satislari'!I528="","",IFERROR(INDEX('E2E Nakliye Montaj'!$AV$3:$AV$1002,MATCH('DIVA Satislari'!AJ528,'E2E Nakliye Montaj'!$AM$3:$AM$1002,0)),""))</f>
        <v/>
      </c>
      <c r="O528" s="26">
        <f>IF(OR(A528="",N528=""),"",IF(N528&lt;=H528,"Evet","HAYIR - RİSK"))</f>
        <v/>
      </c>
      <c r="P528" s="26">
        <f>IF(A528="","",IF(LEFT(J528,8)="Kural A ","Uygun - Hemen Ödenir (Yıl Sonu %75 Kontrolüne Tabi)",IF(OR(L528="Evet",M528="Evet"),IF(O528="Evet","Uygun","RİSK - Hakediş Süresi Aşıldı"),"Bekleniyor - Nakliye/Montaj Tamamlanmadı")))</f>
        <v/>
      </c>
      <c r="Q528" s="28">
        <f>IF(A528="","",SUMIFS('Hakedis Fatura Detay'!$G$3:$G$1200,'Hakedis Fatura Detay'!$H$3:$H$1200,'DIVA Satislari'!AJ528,'Hakedis Fatura Detay'!$F$3:$F$1200,"Fiyat Farkı")+SUMIFS('Hakedis Fatura Detay'!$G$3:$G$1200,'Hakedis Fatura Detay'!$H$3:$H$1200,'DIVA Satislari'!AJ528,'Hakedis Fatura Detay'!$F$3:$F$1200,"Bundle"))</f>
        <v/>
      </c>
      <c r="R528" s="28">
        <f>IF(A528="","",I528-Q528)</f>
        <v/>
      </c>
      <c r="S528" s="26">
        <f>IF(A528="","",IF(LEFT(P528,7)="Bekleni","N/A - Henüz Ödenmemeli",IF(LEFT(P528,4)="RİSK","İNCELEME GEREKLİ - Süre Aşımı",IF(R528=0,"Doğru",IF(R528&gt;0,"EKSİK ÖDENMİŞ","FAZLA ÖDENMİŞ")))))</f>
        <v/>
      </c>
      <c r="T528" s="30">
        <f>IF(A528="","",IF(F528&lt;&gt;"Evet","İNCELEME GEREKLİ - Kampanya Tanımsız",IF(G528&lt;&gt;"Evet","İNCELEME GEREKLİ - Tarih Dışı Satış",IF(LEFT(P528,4)="RİSK","İNCELEME GEREKLİ - Hakediş Süresi Aşıldı",IF(OR(S528="EKSİK ÖDENMİŞ",S528="FAZLA ÖDENMİŞ"),"İNCELEME GEREKLİ - Tutar Uyuşmazlığı",IF(LEFT(P528,7)="Bekleni","Bekleniyor","Uygun"))))))</f>
        <v/>
      </c>
    </row>
    <row r="529">
      <c r="A529" s="26">
        <f>IF('DIVA Satislari'!I529="","",'DIVA Satislari'!I529)</f>
        <v/>
      </c>
      <c r="B529" s="26">
        <f>IF('DIVA Satislari'!I529="","",'DIVA Satislari'!R529)</f>
        <v/>
      </c>
      <c r="C529" s="26">
        <f>IF('DIVA Satislari'!I529="","",'DIVA Satislari'!M529)</f>
        <v/>
      </c>
      <c r="D529" s="27">
        <f>IF('DIVA Satislari'!I529="","",'DIVA Satislari'!H529)</f>
        <v/>
      </c>
      <c r="E529" s="26">
        <f>IF('DIVA Satislari'!I529="","",'DIVA Satislari'!O529)</f>
        <v/>
      </c>
      <c r="F529" s="26">
        <f>IF('DIVA Satislari'!I529="","",'DIVA Satislari'!AK529)</f>
        <v/>
      </c>
      <c r="G529" s="26">
        <f>IF('DIVA Satislari'!I529="","",'DIVA Satislari'!AO529)</f>
        <v/>
      </c>
      <c r="H529" s="27">
        <f>IF('DIVA Satislari'!I529="","",'DIVA Satislari'!AN529)</f>
        <v/>
      </c>
      <c r="I529" s="28">
        <f>IF('DIVA Satislari'!I529="","",'DIVA Satislari'!AQ529)</f>
        <v/>
      </c>
      <c r="J529" s="26">
        <f>IF('DIVA Satislari'!I529="","",'DIVA Satislari'!AR529)</f>
        <v/>
      </c>
      <c r="K529" s="26">
        <f>IF('DIVA Satislari'!I529="","",IFERROR(INDEX('E2E Nakliye Montaj'!$AS$3:$AS$1002,MATCH('DIVA Satislari'!AJ529,'E2E Nakliye Montaj'!$AM$3:$AM$1002,0)),"Eşleşme Yok"))</f>
        <v/>
      </c>
      <c r="L529" s="26">
        <f>IF('DIVA Satislari'!I529="","",IFERROR(INDEX('E2E Nakliye Montaj'!$AT$3:$AT$1002,MATCH('DIVA Satislari'!AJ529,'E2E Nakliye Montaj'!$AM$3:$AM$1002,0)),"Hayır"))</f>
        <v/>
      </c>
      <c r="M529" s="26">
        <f>IF('DIVA Satislari'!I529="","",IFERROR(INDEX('E2E Nakliye Montaj'!$AU$3:$AU$1002,MATCH('DIVA Satislari'!AJ529,'E2E Nakliye Montaj'!$AM$3:$AM$1002,0)),"Hayır"))</f>
        <v/>
      </c>
      <c r="N529" s="27">
        <f>IF('DIVA Satislari'!I529="","",IFERROR(INDEX('E2E Nakliye Montaj'!$AV$3:$AV$1002,MATCH('DIVA Satislari'!AJ529,'E2E Nakliye Montaj'!$AM$3:$AM$1002,0)),""))</f>
        <v/>
      </c>
      <c r="O529" s="26">
        <f>IF(OR(A529="",N529=""),"",IF(N529&lt;=H529,"Evet","HAYIR - RİSK"))</f>
        <v/>
      </c>
      <c r="P529" s="26">
        <f>IF(A529="","",IF(LEFT(J529,8)="Kural A ","Uygun - Hemen Ödenir (Yıl Sonu %75 Kontrolüne Tabi)",IF(OR(L529="Evet",M529="Evet"),IF(O529="Evet","Uygun","RİSK - Hakediş Süresi Aşıldı"),"Bekleniyor - Nakliye/Montaj Tamamlanmadı")))</f>
        <v/>
      </c>
      <c r="Q529" s="28">
        <f>IF(A529="","",SUMIFS('Hakedis Fatura Detay'!$G$3:$G$1200,'Hakedis Fatura Detay'!$H$3:$H$1200,'DIVA Satislari'!AJ529,'Hakedis Fatura Detay'!$F$3:$F$1200,"Fiyat Farkı")+SUMIFS('Hakedis Fatura Detay'!$G$3:$G$1200,'Hakedis Fatura Detay'!$H$3:$H$1200,'DIVA Satislari'!AJ529,'Hakedis Fatura Detay'!$F$3:$F$1200,"Bundle"))</f>
        <v/>
      </c>
      <c r="R529" s="28">
        <f>IF(A529="","",I529-Q529)</f>
        <v/>
      </c>
      <c r="S529" s="26">
        <f>IF(A529="","",IF(LEFT(P529,7)="Bekleni","N/A - Henüz Ödenmemeli",IF(LEFT(P529,4)="RİSK","İNCELEME GEREKLİ - Süre Aşımı",IF(R529=0,"Doğru",IF(R529&gt;0,"EKSİK ÖDENMİŞ","FAZLA ÖDENMİŞ")))))</f>
        <v/>
      </c>
      <c r="T529" s="30">
        <f>IF(A529="","",IF(F529&lt;&gt;"Evet","İNCELEME GEREKLİ - Kampanya Tanımsız",IF(G529&lt;&gt;"Evet","İNCELEME GEREKLİ - Tarih Dışı Satış",IF(LEFT(P529,4)="RİSK","İNCELEME GEREKLİ - Hakediş Süresi Aşıldı",IF(OR(S529="EKSİK ÖDENMİŞ",S529="FAZLA ÖDENMİŞ"),"İNCELEME GEREKLİ - Tutar Uyuşmazlığı",IF(LEFT(P529,7)="Bekleni","Bekleniyor","Uygun"))))))</f>
        <v/>
      </c>
    </row>
    <row r="530">
      <c r="A530" s="26">
        <f>IF('DIVA Satislari'!I530="","",'DIVA Satislari'!I530)</f>
        <v/>
      </c>
      <c r="B530" s="26">
        <f>IF('DIVA Satislari'!I530="","",'DIVA Satislari'!R530)</f>
        <v/>
      </c>
      <c r="C530" s="26">
        <f>IF('DIVA Satislari'!I530="","",'DIVA Satislari'!M530)</f>
        <v/>
      </c>
      <c r="D530" s="27">
        <f>IF('DIVA Satislari'!I530="","",'DIVA Satislari'!H530)</f>
        <v/>
      </c>
      <c r="E530" s="26">
        <f>IF('DIVA Satislari'!I530="","",'DIVA Satislari'!O530)</f>
        <v/>
      </c>
      <c r="F530" s="26">
        <f>IF('DIVA Satislari'!I530="","",'DIVA Satislari'!AK530)</f>
        <v/>
      </c>
      <c r="G530" s="26">
        <f>IF('DIVA Satislari'!I530="","",'DIVA Satislari'!AO530)</f>
        <v/>
      </c>
      <c r="H530" s="27">
        <f>IF('DIVA Satislari'!I530="","",'DIVA Satislari'!AN530)</f>
        <v/>
      </c>
      <c r="I530" s="28">
        <f>IF('DIVA Satislari'!I530="","",'DIVA Satislari'!AQ530)</f>
        <v/>
      </c>
      <c r="J530" s="26">
        <f>IF('DIVA Satislari'!I530="","",'DIVA Satislari'!AR530)</f>
        <v/>
      </c>
      <c r="K530" s="26">
        <f>IF('DIVA Satislari'!I530="","",IFERROR(INDEX('E2E Nakliye Montaj'!$AS$3:$AS$1002,MATCH('DIVA Satislari'!AJ530,'E2E Nakliye Montaj'!$AM$3:$AM$1002,0)),"Eşleşme Yok"))</f>
        <v/>
      </c>
      <c r="L530" s="26">
        <f>IF('DIVA Satislari'!I530="","",IFERROR(INDEX('E2E Nakliye Montaj'!$AT$3:$AT$1002,MATCH('DIVA Satislari'!AJ530,'E2E Nakliye Montaj'!$AM$3:$AM$1002,0)),"Hayır"))</f>
        <v/>
      </c>
      <c r="M530" s="26">
        <f>IF('DIVA Satislari'!I530="","",IFERROR(INDEX('E2E Nakliye Montaj'!$AU$3:$AU$1002,MATCH('DIVA Satislari'!AJ530,'E2E Nakliye Montaj'!$AM$3:$AM$1002,0)),"Hayır"))</f>
        <v/>
      </c>
      <c r="N530" s="27">
        <f>IF('DIVA Satislari'!I530="","",IFERROR(INDEX('E2E Nakliye Montaj'!$AV$3:$AV$1002,MATCH('DIVA Satislari'!AJ530,'E2E Nakliye Montaj'!$AM$3:$AM$1002,0)),""))</f>
        <v/>
      </c>
      <c r="O530" s="26">
        <f>IF(OR(A530="",N530=""),"",IF(N530&lt;=H530,"Evet","HAYIR - RİSK"))</f>
        <v/>
      </c>
      <c r="P530" s="26">
        <f>IF(A530="","",IF(LEFT(J530,8)="Kural A ","Uygun - Hemen Ödenir (Yıl Sonu %75 Kontrolüne Tabi)",IF(OR(L530="Evet",M530="Evet"),IF(O530="Evet","Uygun","RİSK - Hakediş Süresi Aşıldı"),"Bekleniyor - Nakliye/Montaj Tamamlanmadı")))</f>
        <v/>
      </c>
      <c r="Q530" s="28">
        <f>IF(A530="","",SUMIFS('Hakedis Fatura Detay'!$G$3:$G$1200,'Hakedis Fatura Detay'!$H$3:$H$1200,'DIVA Satislari'!AJ530,'Hakedis Fatura Detay'!$F$3:$F$1200,"Fiyat Farkı")+SUMIFS('Hakedis Fatura Detay'!$G$3:$G$1200,'Hakedis Fatura Detay'!$H$3:$H$1200,'DIVA Satislari'!AJ530,'Hakedis Fatura Detay'!$F$3:$F$1200,"Bundle"))</f>
        <v/>
      </c>
      <c r="R530" s="28">
        <f>IF(A530="","",I530-Q530)</f>
        <v/>
      </c>
      <c r="S530" s="26">
        <f>IF(A530="","",IF(LEFT(P530,7)="Bekleni","N/A - Henüz Ödenmemeli",IF(LEFT(P530,4)="RİSK","İNCELEME GEREKLİ - Süre Aşımı",IF(R530=0,"Doğru",IF(R530&gt;0,"EKSİK ÖDENMİŞ","FAZLA ÖDENMİŞ")))))</f>
        <v/>
      </c>
      <c r="T530" s="30">
        <f>IF(A530="","",IF(F530&lt;&gt;"Evet","İNCELEME GEREKLİ - Kampanya Tanımsız",IF(G530&lt;&gt;"Evet","İNCELEME GEREKLİ - Tarih Dışı Satış",IF(LEFT(P530,4)="RİSK","İNCELEME GEREKLİ - Hakediş Süresi Aşıldı",IF(OR(S530="EKSİK ÖDENMİŞ",S530="FAZLA ÖDENMİŞ"),"İNCELEME GEREKLİ - Tutar Uyuşmazlığı",IF(LEFT(P530,7)="Bekleni","Bekleniyor","Uygun"))))))</f>
        <v/>
      </c>
    </row>
    <row r="531">
      <c r="A531" s="26">
        <f>IF('DIVA Satislari'!I531="","",'DIVA Satislari'!I531)</f>
        <v/>
      </c>
      <c r="B531" s="26">
        <f>IF('DIVA Satislari'!I531="","",'DIVA Satislari'!R531)</f>
        <v/>
      </c>
      <c r="C531" s="26">
        <f>IF('DIVA Satislari'!I531="","",'DIVA Satislari'!M531)</f>
        <v/>
      </c>
      <c r="D531" s="27">
        <f>IF('DIVA Satislari'!I531="","",'DIVA Satislari'!H531)</f>
        <v/>
      </c>
      <c r="E531" s="26">
        <f>IF('DIVA Satislari'!I531="","",'DIVA Satislari'!O531)</f>
        <v/>
      </c>
      <c r="F531" s="26">
        <f>IF('DIVA Satislari'!I531="","",'DIVA Satislari'!AK531)</f>
        <v/>
      </c>
      <c r="G531" s="26">
        <f>IF('DIVA Satislari'!I531="","",'DIVA Satislari'!AO531)</f>
        <v/>
      </c>
      <c r="H531" s="27">
        <f>IF('DIVA Satislari'!I531="","",'DIVA Satislari'!AN531)</f>
        <v/>
      </c>
      <c r="I531" s="28">
        <f>IF('DIVA Satislari'!I531="","",'DIVA Satislari'!AQ531)</f>
        <v/>
      </c>
      <c r="J531" s="26">
        <f>IF('DIVA Satislari'!I531="","",'DIVA Satislari'!AR531)</f>
        <v/>
      </c>
      <c r="K531" s="26">
        <f>IF('DIVA Satislari'!I531="","",IFERROR(INDEX('E2E Nakliye Montaj'!$AS$3:$AS$1002,MATCH('DIVA Satislari'!AJ531,'E2E Nakliye Montaj'!$AM$3:$AM$1002,0)),"Eşleşme Yok"))</f>
        <v/>
      </c>
      <c r="L531" s="26">
        <f>IF('DIVA Satislari'!I531="","",IFERROR(INDEX('E2E Nakliye Montaj'!$AT$3:$AT$1002,MATCH('DIVA Satislari'!AJ531,'E2E Nakliye Montaj'!$AM$3:$AM$1002,0)),"Hayır"))</f>
        <v/>
      </c>
      <c r="M531" s="26">
        <f>IF('DIVA Satislari'!I531="","",IFERROR(INDEX('E2E Nakliye Montaj'!$AU$3:$AU$1002,MATCH('DIVA Satislari'!AJ531,'E2E Nakliye Montaj'!$AM$3:$AM$1002,0)),"Hayır"))</f>
        <v/>
      </c>
      <c r="N531" s="27">
        <f>IF('DIVA Satislari'!I531="","",IFERROR(INDEX('E2E Nakliye Montaj'!$AV$3:$AV$1002,MATCH('DIVA Satislari'!AJ531,'E2E Nakliye Montaj'!$AM$3:$AM$1002,0)),""))</f>
        <v/>
      </c>
      <c r="O531" s="26">
        <f>IF(OR(A531="",N531=""),"",IF(N531&lt;=H531,"Evet","HAYIR - RİSK"))</f>
        <v/>
      </c>
      <c r="P531" s="26">
        <f>IF(A531="","",IF(LEFT(J531,8)="Kural A ","Uygun - Hemen Ödenir (Yıl Sonu %75 Kontrolüne Tabi)",IF(OR(L531="Evet",M531="Evet"),IF(O531="Evet","Uygun","RİSK - Hakediş Süresi Aşıldı"),"Bekleniyor - Nakliye/Montaj Tamamlanmadı")))</f>
        <v/>
      </c>
      <c r="Q531" s="28">
        <f>IF(A531="","",SUMIFS('Hakedis Fatura Detay'!$G$3:$G$1200,'Hakedis Fatura Detay'!$H$3:$H$1200,'DIVA Satislari'!AJ531,'Hakedis Fatura Detay'!$F$3:$F$1200,"Fiyat Farkı")+SUMIFS('Hakedis Fatura Detay'!$G$3:$G$1200,'Hakedis Fatura Detay'!$H$3:$H$1200,'DIVA Satislari'!AJ531,'Hakedis Fatura Detay'!$F$3:$F$1200,"Bundle"))</f>
        <v/>
      </c>
      <c r="R531" s="28">
        <f>IF(A531="","",I531-Q531)</f>
        <v/>
      </c>
      <c r="S531" s="26">
        <f>IF(A531="","",IF(LEFT(P531,7)="Bekleni","N/A - Henüz Ödenmemeli",IF(LEFT(P531,4)="RİSK","İNCELEME GEREKLİ - Süre Aşımı",IF(R531=0,"Doğru",IF(R531&gt;0,"EKSİK ÖDENMİŞ","FAZLA ÖDENMİŞ")))))</f>
        <v/>
      </c>
      <c r="T531" s="30">
        <f>IF(A531="","",IF(F531&lt;&gt;"Evet","İNCELEME GEREKLİ - Kampanya Tanımsız",IF(G531&lt;&gt;"Evet","İNCELEME GEREKLİ - Tarih Dışı Satış",IF(LEFT(P531,4)="RİSK","İNCELEME GEREKLİ - Hakediş Süresi Aşıldı",IF(OR(S531="EKSİK ÖDENMİŞ",S531="FAZLA ÖDENMİŞ"),"İNCELEME GEREKLİ - Tutar Uyuşmazlığı",IF(LEFT(P531,7)="Bekleni","Bekleniyor","Uygun"))))))</f>
        <v/>
      </c>
    </row>
    <row r="532">
      <c r="A532" s="26">
        <f>IF('DIVA Satislari'!I532="","",'DIVA Satislari'!I532)</f>
        <v/>
      </c>
      <c r="B532" s="26">
        <f>IF('DIVA Satislari'!I532="","",'DIVA Satislari'!R532)</f>
        <v/>
      </c>
      <c r="C532" s="26">
        <f>IF('DIVA Satislari'!I532="","",'DIVA Satislari'!M532)</f>
        <v/>
      </c>
      <c r="D532" s="27">
        <f>IF('DIVA Satislari'!I532="","",'DIVA Satislari'!H532)</f>
        <v/>
      </c>
      <c r="E532" s="26">
        <f>IF('DIVA Satislari'!I532="","",'DIVA Satislari'!O532)</f>
        <v/>
      </c>
      <c r="F532" s="26">
        <f>IF('DIVA Satislari'!I532="","",'DIVA Satislari'!AK532)</f>
        <v/>
      </c>
      <c r="G532" s="26">
        <f>IF('DIVA Satislari'!I532="","",'DIVA Satislari'!AO532)</f>
        <v/>
      </c>
      <c r="H532" s="27">
        <f>IF('DIVA Satislari'!I532="","",'DIVA Satislari'!AN532)</f>
        <v/>
      </c>
      <c r="I532" s="28">
        <f>IF('DIVA Satislari'!I532="","",'DIVA Satislari'!AQ532)</f>
        <v/>
      </c>
      <c r="J532" s="26">
        <f>IF('DIVA Satislari'!I532="","",'DIVA Satislari'!AR532)</f>
        <v/>
      </c>
      <c r="K532" s="26">
        <f>IF('DIVA Satislari'!I532="","",IFERROR(INDEX('E2E Nakliye Montaj'!$AS$3:$AS$1002,MATCH('DIVA Satislari'!AJ532,'E2E Nakliye Montaj'!$AM$3:$AM$1002,0)),"Eşleşme Yok"))</f>
        <v/>
      </c>
      <c r="L532" s="26">
        <f>IF('DIVA Satislari'!I532="","",IFERROR(INDEX('E2E Nakliye Montaj'!$AT$3:$AT$1002,MATCH('DIVA Satislari'!AJ532,'E2E Nakliye Montaj'!$AM$3:$AM$1002,0)),"Hayır"))</f>
        <v/>
      </c>
      <c r="M532" s="26">
        <f>IF('DIVA Satislari'!I532="","",IFERROR(INDEX('E2E Nakliye Montaj'!$AU$3:$AU$1002,MATCH('DIVA Satislari'!AJ532,'E2E Nakliye Montaj'!$AM$3:$AM$1002,0)),"Hayır"))</f>
        <v/>
      </c>
      <c r="N532" s="27">
        <f>IF('DIVA Satislari'!I532="","",IFERROR(INDEX('E2E Nakliye Montaj'!$AV$3:$AV$1002,MATCH('DIVA Satislari'!AJ532,'E2E Nakliye Montaj'!$AM$3:$AM$1002,0)),""))</f>
        <v/>
      </c>
      <c r="O532" s="26">
        <f>IF(OR(A532="",N532=""),"",IF(N532&lt;=H532,"Evet","HAYIR - RİSK"))</f>
        <v/>
      </c>
      <c r="P532" s="26">
        <f>IF(A532="","",IF(LEFT(J532,8)="Kural A ","Uygun - Hemen Ödenir (Yıl Sonu %75 Kontrolüne Tabi)",IF(OR(L532="Evet",M532="Evet"),IF(O532="Evet","Uygun","RİSK - Hakediş Süresi Aşıldı"),"Bekleniyor - Nakliye/Montaj Tamamlanmadı")))</f>
        <v/>
      </c>
      <c r="Q532" s="28">
        <f>IF(A532="","",SUMIFS('Hakedis Fatura Detay'!$G$3:$G$1200,'Hakedis Fatura Detay'!$H$3:$H$1200,'DIVA Satislari'!AJ532,'Hakedis Fatura Detay'!$F$3:$F$1200,"Fiyat Farkı")+SUMIFS('Hakedis Fatura Detay'!$G$3:$G$1200,'Hakedis Fatura Detay'!$H$3:$H$1200,'DIVA Satislari'!AJ532,'Hakedis Fatura Detay'!$F$3:$F$1200,"Bundle"))</f>
        <v/>
      </c>
      <c r="R532" s="28">
        <f>IF(A532="","",I532-Q532)</f>
        <v/>
      </c>
      <c r="S532" s="26">
        <f>IF(A532="","",IF(LEFT(P532,7)="Bekleni","N/A - Henüz Ödenmemeli",IF(LEFT(P532,4)="RİSK","İNCELEME GEREKLİ - Süre Aşımı",IF(R532=0,"Doğru",IF(R532&gt;0,"EKSİK ÖDENMİŞ","FAZLA ÖDENMİŞ")))))</f>
        <v/>
      </c>
      <c r="T532" s="30">
        <f>IF(A532="","",IF(F532&lt;&gt;"Evet","İNCELEME GEREKLİ - Kampanya Tanımsız",IF(G532&lt;&gt;"Evet","İNCELEME GEREKLİ - Tarih Dışı Satış",IF(LEFT(P532,4)="RİSK","İNCELEME GEREKLİ - Hakediş Süresi Aşıldı",IF(OR(S532="EKSİK ÖDENMİŞ",S532="FAZLA ÖDENMİŞ"),"İNCELEME GEREKLİ - Tutar Uyuşmazlığı",IF(LEFT(P532,7)="Bekleni","Bekleniyor","Uygun"))))))</f>
        <v/>
      </c>
    </row>
    <row r="533">
      <c r="A533" s="26">
        <f>IF('DIVA Satislari'!I533="","",'DIVA Satislari'!I533)</f>
        <v/>
      </c>
      <c r="B533" s="26">
        <f>IF('DIVA Satislari'!I533="","",'DIVA Satislari'!R533)</f>
        <v/>
      </c>
      <c r="C533" s="26">
        <f>IF('DIVA Satislari'!I533="","",'DIVA Satislari'!M533)</f>
        <v/>
      </c>
      <c r="D533" s="27">
        <f>IF('DIVA Satislari'!I533="","",'DIVA Satislari'!H533)</f>
        <v/>
      </c>
      <c r="E533" s="26">
        <f>IF('DIVA Satislari'!I533="","",'DIVA Satislari'!O533)</f>
        <v/>
      </c>
      <c r="F533" s="26">
        <f>IF('DIVA Satislari'!I533="","",'DIVA Satislari'!AK533)</f>
        <v/>
      </c>
      <c r="G533" s="26">
        <f>IF('DIVA Satislari'!I533="","",'DIVA Satislari'!AO533)</f>
        <v/>
      </c>
      <c r="H533" s="27">
        <f>IF('DIVA Satislari'!I533="","",'DIVA Satislari'!AN533)</f>
        <v/>
      </c>
      <c r="I533" s="28">
        <f>IF('DIVA Satislari'!I533="","",'DIVA Satislari'!AQ533)</f>
        <v/>
      </c>
      <c r="J533" s="26">
        <f>IF('DIVA Satislari'!I533="","",'DIVA Satislari'!AR533)</f>
        <v/>
      </c>
      <c r="K533" s="26">
        <f>IF('DIVA Satislari'!I533="","",IFERROR(INDEX('E2E Nakliye Montaj'!$AS$3:$AS$1002,MATCH('DIVA Satislari'!AJ533,'E2E Nakliye Montaj'!$AM$3:$AM$1002,0)),"Eşleşme Yok"))</f>
        <v/>
      </c>
      <c r="L533" s="26">
        <f>IF('DIVA Satislari'!I533="","",IFERROR(INDEX('E2E Nakliye Montaj'!$AT$3:$AT$1002,MATCH('DIVA Satislari'!AJ533,'E2E Nakliye Montaj'!$AM$3:$AM$1002,0)),"Hayır"))</f>
        <v/>
      </c>
      <c r="M533" s="26">
        <f>IF('DIVA Satislari'!I533="","",IFERROR(INDEX('E2E Nakliye Montaj'!$AU$3:$AU$1002,MATCH('DIVA Satislari'!AJ533,'E2E Nakliye Montaj'!$AM$3:$AM$1002,0)),"Hayır"))</f>
        <v/>
      </c>
      <c r="N533" s="27">
        <f>IF('DIVA Satislari'!I533="","",IFERROR(INDEX('E2E Nakliye Montaj'!$AV$3:$AV$1002,MATCH('DIVA Satislari'!AJ533,'E2E Nakliye Montaj'!$AM$3:$AM$1002,0)),""))</f>
        <v/>
      </c>
      <c r="O533" s="26">
        <f>IF(OR(A533="",N533=""),"",IF(N533&lt;=H533,"Evet","HAYIR - RİSK"))</f>
        <v/>
      </c>
      <c r="P533" s="26">
        <f>IF(A533="","",IF(LEFT(J533,8)="Kural A ","Uygun - Hemen Ödenir (Yıl Sonu %75 Kontrolüne Tabi)",IF(OR(L533="Evet",M533="Evet"),IF(O533="Evet","Uygun","RİSK - Hakediş Süresi Aşıldı"),"Bekleniyor - Nakliye/Montaj Tamamlanmadı")))</f>
        <v/>
      </c>
      <c r="Q533" s="28">
        <f>IF(A533="","",SUMIFS('Hakedis Fatura Detay'!$G$3:$G$1200,'Hakedis Fatura Detay'!$H$3:$H$1200,'DIVA Satislari'!AJ533,'Hakedis Fatura Detay'!$F$3:$F$1200,"Fiyat Farkı")+SUMIFS('Hakedis Fatura Detay'!$G$3:$G$1200,'Hakedis Fatura Detay'!$H$3:$H$1200,'DIVA Satislari'!AJ533,'Hakedis Fatura Detay'!$F$3:$F$1200,"Bundle"))</f>
        <v/>
      </c>
      <c r="R533" s="28">
        <f>IF(A533="","",I533-Q533)</f>
        <v/>
      </c>
      <c r="S533" s="26">
        <f>IF(A533="","",IF(LEFT(P533,7)="Bekleni","N/A - Henüz Ödenmemeli",IF(LEFT(P533,4)="RİSK","İNCELEME GEREKLİ - Süre Aşımı",IF(R533=0,"Doğru",IF(R533&gt;0,"EKSİK ÖDENMİŞ","FAZLA ÖDENMİŞ")))))</f>
        <v/>
      </c>
      <c r="T533" s="30">
        <f>IF(A533="","",IF(F533&lt;&gt;"Evet","İNCELEME GEREKLİ - Kampanya Tanımsız",IF(G533&lt;&gt;"Evet","İNCELEME GEREKLİ - Tarih Dışı Satış",IF(LEFT(P533,4)="RİSK","İNCELEME GEREKLİ - Hakediş Süresi Aşıldı",IF(OR(S533="EKSİK ÖDENMİŞ",S533="FAZLA ÖDENMİŞ"),"İNCELEME GEREKLİ - Tutar Uyuşmazlığı",IF(LEFT(P533,7)="Bekleni","Bekleniyor","Uygun"))))))</f>
        <v/>
      </c>
    </row>
    <row r="534">
      <c r="A534" s="26">
        <f>IF('DIVA Satislari'!I534="","",'DIVA Satislari'!I534)</f>
        <v/>
      </c>
      <c r="B534" s="26">
        <f>IF('DIVA Satislari'!I534="","",'DIVA Satislari'!R534)</f>
        <v/>
      </c>
      <c r="C534" s="26">
        <f>IF('DIVA Satislari'!I534="","",'DIVA Satislari'!M534)</f>
        <v/>
      </c>
      <c r="D534" s="27">
        <f>IF('DIVA Satislari'!I534="","",'DIVA Satislari'!H534)</f>
        <v/>
      </c>
      <c r="E534" s="26">
        <f>IF('DIVA Satislari'!I534="","",'DIVA Satislari'!O534)</f>
        <v/>
      </c>
      <c r="F534" s="26">
        <f>IF('DIVA Satislari'!I534="","",'DIVA Satislari'!AK534)</f>
        <v/>
      </c>
      <c r="G534" s="26">
        <f>IF('DIVA Satislari'!I534="","",'DIVA Satislari'!AO534)</f>
        <v/>
      </c>
      <c r="H534" s="27">
        <f>IF('DIVA Satislari'!I534="","",'DIVA Satislari'!AN534)</f>
        <v/>
      </c>
      <c r="I534" s="28">
        <f>IF('DIVA Satislari'!I534="","",'DIVA Satislari'!AQ534)</f>
        <v/>
      </c>
      <c r="J534" s="26">
        <f>IF('DIVA Satislari'!I534="","",'DIVA Satislari'!AR534)</f>
        <v/>
      </c>
      <c r="K534" s="26">
        <f>IF('DIVA Satislari'!I534="","",IFERROR(INDEX('E2E Nakliye Montaj'!$AS$3:$AS$1002,MATCH('DIVA Satislari'!AJ534,'E2E Nakliye Montaj'!$AM$3:$AM$1002,0)),"Eşleşme Yok"))</f>
        <v/>
      </c>
      <c r="L534" s="26">
        <f>IF('DIVA Satislari'!I534="","",IFERROR(INDEX('E2E Nakliye Montaj'!$AT$3:$AT$1002,MATCH('DIVA Satislari'!AJ534,'E2E Nakliye Montaj'!$AM$3:$AM$1002,0)),"Hayır"))</f>
        <v/>
      </c>
      <c r="M534" s="26">
        <f>IF('DIVA Satislari'!I534="","",IFERROR(INDEX('E2E Nakliye Montaj'!$AU$3:$AU$1002,MATCH('DIVA Satislari'!AJ534,'E2E Nakliye Montaj'!$AM$3:$AM$1002,0)),"Hayır"))</f>
        <v/>
      </c>
      <c r="N534" s="27">
        <f>IF('DIVA Satislari'!I534="","",IFERROR(INDEX('E2E Nakliye Montaj'!$AV$3:$AV$1002,MATCH('DIVA Satislari'!AJ534,'E2E Nakliye Montaj'!$AM$3:$AM$1002,0)),""))</f>
        <v/>
      </c>
      <c r="O534" s="26">
        <f>IF(OR(A534="",N534=""),"",IF(N534&lt;=H534,"Evet","HAYIR - RİSK"))</f>
        <v/>
      </c>
      <c r="P534" s="26">
        <f>IF(A534="","",IF(LEFT(J534,8)="Kural A ","Uygun - Hemen Ödenir (Yıl Sonu %75 Kontrolüne Tabi)",IF(OR(L534="Evet",M534="Evet"),IF(O534="Evet","Uygun","RİSK - Hakediş Süresi Aşıldı"),"Bekleniyor - Nakliye/Montaj Tamamlanmadı")))</f>
        <v/>
      </c>
      <c r="Q534" s="28">
        <f>IF(A534="","",SUMIFS('Hakedis Fatura Detay'!$G$3:$G$1200,'Hakedis Fatura Detay'!$H$3:$H$1200,'DIVA Satislari'!AJ534,'Hakedis Fatura Detay'!$F$3:$F$1200,"Fiyat Farkı")+SUMIFS('Hakedis Fatura Detay'!$G$3:$G$1200,'Hakedis Fatura Detay'!$H$3:$H$1200,'DIVA Satislari'!AJ534,'Hakedis Fatura Detay'!$F$3:$F$1200,"Bundle"))</f>
        <v/>
      </c>
      <c r="R534" s="28">
        <f>IF(A534="","",I534-Q534)</f>
        <v/>
      </c>
      <c r="S534" s="26">
        <f>IF(A534="","",IF(LEFT(P534,7)="Bekleni","N/A - Henüz Ödenmemeli",IF(LEFT(P534,4)="RİSK","İNCELEME GEREKLİ - Süre Aşımı",IF(R534=0,"Doğru",IF(R534&gt;0,"EKSİK ÖDENMİŞ","FAZLA ÖDENMİŞ")))))</f>
        <v/>
      </c>
      <c r="T534" s="30">
        <f>IF(A534="","",IF(F534&lt;&gt;"Evet","İNCELEME GEREKLİ - Kampanya Tanımsız",IF(G534&lt;&gt;"Evet","İNCELEME GEREKLİ - Tarih Dışı Satış",IF(LEFT(P534,4)="RİSK","İNCELEME GEREKLİ - Hakediş Süresi Aşıldı",IF(OR(S534="EKSİK ÖDENMİŞ",S534="FAZLA ÖDENMİŞ"),"İNCELEME GEREKLİ - Tutar Uyuşmazlığı",IF(LEFT(P534,7)="Bekleni","Bekleniyor","Uygun"))))))</f>
        <v/>
      </c>
    </row>
    <row r="535">
      <c r="A535" s="26">
        <f>IF('DIVA Satislari'!I535="","",'DIVA Satislari'!I535)</f>
        <v/>
      </c>
      <c r="B535" s="26">
        <f>IF('DIVA Satislari'!I535="","",'DIVA Satislari'!R535)</f>
        <v/>
      </c>
      <c r="C535" s="26">
        <f>IF('DIVA Satislari'!I535="","",'DIVA Satislari'!M535)</f>
        <v/>
      </c>
      <c r="D535" s="27">
        <f>IF('DIVA Satislari'!I535="","",'DIVA Satislari'!H535)</f>
        <v/>
      </c>
      <c r="E535" s="26">
        <f>IF('DIVA Satislari'!I535="","",'DIVA Satislari'!O535)</f>
        <v/>
      </c>
      <c r="F535" s="26">
        <f>IF('DIVA Satislari'!I535="","",'DIVA Satislari'!AK535)</f>
        <v/>
      </c>
      <c r="G535" s="26">
        <f>IF('DIVA Satislari'!I535="","",'DIVA Satislari'!AO535)</f>
        <v/>
      </c>
      <c r="H535" s="27">
        <f>IF('DIVA Satislari'!I535="","",'DIVA Satislari'!AN535)</f>
        <v/>
      </c>
      <c r="I535" s="28">
        <f>IF('DIVA Satislari'!I535="","",'DIVA Satislari'!AQ535)</f>
        <v/>
      </c>
      <c r="J535" s="26">
        <f>IF('DIVA Satislari'!I535="","",'DIVA Satislari'!AR535)</f>
        <v/>
      </c>
      <c r="K535" s="26">
        <f>IF('DIVA Satislari'!I535="","",IFERROR(INDEX('E2E Nakliye Montaj'!$AS$3:$AS$1002,MATCH('DIVA Satislari'!AJ535,'E2E Nakliye Montaj'!$AM$3:$AM$1002,0)),"Eşleşme Yok"))</f>
        <v/>
      </c>
      <c r="L535" s="26">
        <f>IF('DIVA Satislari'!I535="","",IFERROR(INDEX('E2E Nakliye Montaj'!$AT$3:$AT$1002,MATCH('DIVA Satislari'!AJ535,'E2E Nakliye Montaj'!$AM$3:$AM$1002,0)),"Hayır"))</f>
        <v/>
      </c>
      <c r="M535" s="26">
        <f>IF('DIVA Satislari'!I535="","",IFERROR(INDEX('E2E Nakliye Montaj'!$AU$3:$AU$1002,MATCH('DIVA Satislari'!AJ535,'E2E Nakliye Montaj'!$AM$3:$AM$1002,0)),"Hayır"))</f>
        <v/>
      </c>
      <c r="N535" s="27">
        <f>IF('DIVA Satislari'!I535="","",IFERROR(INDEX('E2E Nakliye Montaj'!$AV$3:$AV$1002,MATCH('DIVA Satislari'!AJ535,'E2E Nakliye Montaj'!$AM$3:$AM$1002,0)),""))</f>
        <v/>
      </c>
      <c r="O535" s="26">
        <f>IF(OR(A535="",N535=""),"",IF(N535&lt;=H535,"Evet","HAYIR - RİSK"))</f>
        <v/>
      </c>
      <c r="P535" s="26">
        <f>IF(A535="","",IF(LEFT(J535,8)="Kural A ","Uygun - Hemen Ödenir (Yıl Sonu %75 Kontrolüne Tabi)",IF(OR(L535="Evet",M535="Evet"),IF(O535="Evet","Uygun","RİSK - Hakediş Süresi Aşıldı"),"Bekleniyor - Nakliye/Montaj Tamamlanmadı")))</f>
        <v/>
      </c>
      <c r="Q535" s="28">
        <f>IF(A535="","",SUMIFS('Hakedis Fatura Detay'!$G$3:$G$1200,'Hakedis Fatura Detay'!$H$3:$H$1200,'DIVA Satislari'!AJ535,'Hakedis Fatura Detay'!$F$3:$F$1200,"Fiyat Farkı")+SUMIFS('Hakedis Fatura Detay'!$G$3:$G$1200,'Hakedis Fatura Detay'!$H$3:$H$1200,'DIVA Satislari'!AJ535,'Hakedis Fatura Detay'!$F$3:$F$1200,"Bundle"))</f>
        <v/>
      </c>
      <c r="R535" s="28">
        <f>IF(A535="","",I535-Q535)</f>
        <v/>
      </c>
      <c r="S535" s="26">
        <f>IF(A535="","",IF(LEFT(P535,7)="Bekleni","N/A - Henüz Ödenmemeli",IF(LEFT(P535,4)="RİSK","İNCELEME GEREKLİ - Süre Aşımı",IF(R535=0,"Doğru",IF(R535&gt;0,"EKSİK ÖDENMİŞ","FAZLA ÖDENMİŞ")))))</f>
        <v/>
      </c>
      <c r="T535" s="30">
        <f>IF(A535="","",IF(F535&lt;&gt;"Evet","İNCELEME GEREKLİ - Kampanya Tanımsız",IF(G535&lt;&gt;"Evet","İNCELEME GEREKLİ - Tarih Dışı Satış",IF(LEFT(P535,4)="RİSK","İNCELEME GEREKLİ - Hakediş Süresi Aşıldı",IF(OR(S535="EKSİK ÖDENMİŞ",S535="FAZLA ÖDENMİŞ"),"İNCELEME GEREKLİ - Tutar Uyuşmazlığı",IF(LEFT(P535,7)="Bekleni","Bekleniyor","Uygun"))))))</f>
        <v/>
      </c>
    </row>
    <row r="536">
      <c r="A536" s="26">
        <f>IF('DIVA Satislari'!I536="","",'DIVA Satislari'!I536)</f>
        <v/>
      </c>
      <c r="B536" s="26">
        <f>IF('DIVA Satislari'!I536="","",'DIVA Satislari'!R536)</f>
        <v/>
      </c>
      <c r="C536" s="26">
        <f>IF('DIVA Satislari'!I536="","",'DIVA Satislari'!M536)</f>
        <v/>
      </c>
      <c r="D536" s="27">
        <f>IF('DIVA Satislari'!I536="","",'DIVA Satislari'!H536)</f>
        <v/>
      </c>
      <c r="E536" s="26">
        <f>IF('DIVA Satislari'!I536="","",'DIVA Satislari'!O536)</f>
        <v/>
      </c>
      <c r="F536" s="26">
        <f>IF('DIVA Satislari'!I536="","",'DIVA Satislari'!AK536)</f>
        <v/>
      </c>
      <c r="G536" s="26">
        <f>IF('DIVA Satislari'!I536="","",'DIVA Satislari'!AO536)</f>
        <v/>
      </c>
      <c r="H536" s="27">
        <f>IF('DIVA Satislari'!I536="","",'DIVA Satislari'!AN536)</f>
        <v/>
      </c>
      <c r="I536" s="28">
        <f>IF('DIVA Satislari'!I536="","",'DIVA Satislari'!AQ536)</f>
        <v/>
      </c>
      <c r="J536" s="26">
        <f>IF('DIVA Satislari'!I536="","",'DIVA Satislari'!AR536)</f>
        <v/>
      </c>
      <c r="K536" s="26">
        <f>IF('DIVA Satislari'!I536="","",IFERROR(INDEX('E2E Nakliye Montaj'!$AS$3:$AS$1002,MATCH('DIVA Satislari'!AJ536,'E2E Nakliye Montaj'!$AM$3:$AM$1002,0)),"Eşleşme Yok"))</f>
        <v/>
      </c>
      <c r="L536" s="26">
        <f>IF('DIVA Satislari'!I536="","",IFERROR(INDEX('E2E Nakliye Montaj'!$AT$3:$AT$1002,MATCH('DIVA Satislari'!AJ536,'E2E Nakliye Montaj'!$AM$3:$AM$1002,0)),"Hayır"))</f>
        <v/>
      </c>
      <c r="M536" s="26">
        <f>IF('DIVA Satislari'!I536="","",IFERROR(INDEX('E2E Nakliye Montaj'!$AU$3:$AU$1002,MATCH('DIVA Satislari'!AJ536,'E2E Nakliye Montaj'!$AM$3:$AM$1002,0)),"Hayır"))</f>
        <v/>
      </c>
      <c r="N536" s="27">
        <f>IF('DIVA Satislari'!I536="","",IFERROR(INDEX('E2E Nakliye Montaj'!$AV$3:$AV$1002,MATCH('DIVA Satislari'!AJ536,'E2E Nakliye Montaj'!$AM$3:$AM$1002,0)),""))</f>
        <v/>
      </c>
      <c r="O536" s="26">
        <f>IF(OR(A536="",N536=""),"",IF(N536&lt;=H536,"Evet","HAYIR - RİSK"))</f>
        <v/>
      </c>
      <c r="P536" s="26">
        <f>IF(A536="","",IF(LEFT(J536,8)="Kural A ","Uygun - Hemen Ödenir (Yıl Sonu %75 Kontrolüne Tabi)",IF(OR(L536="Evet",M536="Evet"),IF(O536="Evet","Uygun","RİSK - Hakediş Süresi Aşıldı"),"Bekleniyor - Nakliye/Montaj Tamamlanmadı")))</f>
        <v/>
      </c>
      <c r="Q536" s="28">
        <f>IF(A536="","",SUMIFS('Hakedis Fatura Detay'!$G$3:$G$1200,'Hakedis Fatura Detay'!$H$3:$H$1200,'DIVA Satislari'!AJ536,'Hakedis Fatura Detay'!$F$3:$F$1200,"Fiyat Farkı")+SUMIFS('Hakedis Fatura Detay'!$G$3:$G$1200,'Hakedis Fatura Detay'!$H$3:$H$1200,'DIVA Satislari'!AJ536,'Hakedis Fatura Detay'!$F$3:$F$1200,"Bundle"))</f>
        <v/>
      </c>
      <c r="R536" s="28">
        <f>IF(A536="","",I536-Q536)</f>
        <v/>
      </c>
      <c r="S536" s="26">
        <f>IF(A536="","",IF(LEFT(P536,7)="Bekleni","N/A - Henüz Ödenmemeli",IF(LEFT(P536,4)="RİSK","İNCELEME GEREKLİ - Süre Aşımı",IF(R536=0,"Doğru",IF(R536&gt;0,"EKSİK ÖDENMİŞ","FAZLA ÖDENMİŞ")))))</f>
        <v/>
      </c>
      <c r="T536" s="30">
        <f>IF(A536="","",IF(F536&lt;&gt;"Evet","İNCELEME GEREKLİ - Kampanya Tanımsız",IF(G536&lt;&gt;"Evet","İNCELEME GEREKLİ - Tarih Dışı Satış",IF(LEFT(P536,4)="RİSK","İNCELEME GEREKLİ - Hakediş Süresi Aşıldı",IF(OR(S536="EKSİK ÖDENMİŞ",S536="FAZLA ÖDENMİŞ"),"İNCELEME GEREKLİ - Tutar Uyuşmazlığı",IF(LEFT(P536,7)="Bekleni","Bekleniyor","Uygun"))))))</f>
        <v/>
      </c>
    </row>
    <row r="537">
      <c r="A537" s="26">
        <f>IF('DIVA Satislari'!I537="","",'DIVA Satislari'!I537)</f>
        <v/>
      </c>
      <c r="B537" s="26">
        <f>IF('DIVA Satislari'!I537="","",'DIVA Satislari'!R537)</f>
        <v/>
      </c>
      <c r="C537" s="26">
        <f>IF('DIVA Satislari'!I537="","",'DIVA Satislari'!M537)</f>
        <v/>
      </c>
      <c r="D537" s="27">
        <f>IF('DIVA Satislari'!I537="","",'DIVA Satislari'!H537)</f>
        <v/>
      </c>
      <c r="E537" s="26">
        <f>IF('DIVA Satislari'!I537="","",'DIVA Satislari'!O537)</f>
        <v/>
      </c>
      <c r="F537" s="26">
        <f>IF('DIVA Satislari'!I537="","",'DIVA Satislari'!AK537)</f>
        <v/>
      </c>
      <c r="G537" s="26">
        <f>IF('DIVA Satislari'!I537="","",'DIVA Satislari'!AO537)</f>
        <v/>
      </c>
      <c r="H537" s="27">
        <f>IF('DIVA Satislari'!I537="","",'DIVA Satislari'!AN537)</f>
        <v/>
      </c>
      <c r="I537" s="28">
        <f>IF('DIVA Satislari'!I537="","",'DIVA Satislari'!AQ537)</f>
        <v/>
      </c>
      <c r="J537" s="26">
        <f>IF('DIVA Satislari'!I537="","",'DIVA Satislari'!AR537)</f>
        <v/>
      </c>
      <c r="K537" s="26">
        <f>IF('DIVA Satislari'!I537="","",IFERROR(INDEX('E2E Nakliye Montaj'!$AS$3:$AS$1002,MATCH('DIVA Satislari'!AJ537,'E2E Nakliye Montaj'!$AM$3:$AM$1002,0)),"Eşleşme Yok"))</f>
        <v/>
      </c>
      <c r="L537" s="26">
        <f>IF('DIVA Satislari'!I537="","",IFERROR(INDEX('E2E Nakliye Montaj'!$AT$3:$AT$1002,MATCH('DIVA Satislari'!AJ537,'E2E Nakliye Montaj'!$AM$3:$AM$1002,0)),"Hayır"))</f>
        <v/>
      </c>
      <c r="M537" s="26">
        <f>IF('DIVA Satislari'!I537="","",IFERROR(INDEX('E2E Nakliye Montaj'!$AU$3:$AU$1002,MATCH('DIVA Satislari'!AJ537,'E2E Nakliye Montaj'!$AM$3:$AM$1002,0)),"Hayır"))</f>
        <v/>
      </c>
      <c r="N537" s="27">
        <f>IF('DIVA Satislari'!I537="","",IFERROR(INDEX('E2E Nakliye Montaj'!$AV$3:$AV$1002,MATCH('DIVA Satislari'!AJ537,'E2E Nakliye Montaj'!$AM$3:$AM$1002,0)),""))</f>
        <v/>
      </c>
      <c r="O537" s="26">
        <f>IF(OR(A537="",N537=""),"",IF(N537&lt;=H537,"Evet","HAYIR - RİSK"))</f>
        <v/>
      </c>
      <c r="P537" s="26">
        <f>IF(A537="","",IF(LEFT(J537,8)="Kural A ","Uygun - Hemen Ödenir (Yıl Sonu %75 Kontrolüne Tabi)",IF(OR(L537="Evet",M537="Evet"),IF(O537="Evet","Uygun","RİSK - Hakediş Süresi Aşıldı"),"Bekleniyor - Nakliye/Montaj Tamamlanmadı")))</f>
        <v/>
      </c>
      <c r="Q537" s="28">
        <f>IF(A537="","",SUMIFS('Hakedis Fatura Detay'!$G$3:$G$1200,'Hakedis Fatura Detay'!$H$3:$H$1200,'DIVA Satislari'!AJ537,'Hakedis Fatura Detay'!$F$3:$F$1200,"Fiyat Farkı")+SUMIFS('Hakedis Fatura Detay'!$G$3:$G$1200,'Hakedis Fatura Detay'!$H$3:$H$1200,'DIVA Satislari'!AJ537,'Hakedis Fatura Detay'!$F$3:$F$1200,"Bundle"))</f>
        <v/>
      </c>
      <c r="R537" s="28">
        <f>IF(A537="","",I537-Q537)</f>
        <v/>
      </c>
      <c r="S537" s="26">
        <f>IF(A537="","",IF(LEFT(P537,7)="Bekleni","N/A - Henüz Ödenmemeli",IF(LEFT(P537,4)="RİSK","İNCELEME GEREKLİ - Süre Aşımı",IF(R537=0,"Doğru",IF(R537&gt;0,"EKSİK ÖDENMİŞ","FAZLA ÖDENMİŞ")))))</f>
        <v/>
      </c>
      <c r="T537" s="30">
        <f>IF(A537="","",IF(F537&lt;&gt;"Evet","İNCELEME GEREKLİ - Kampanya Tanımsız",IF(G537&lt;&gt;"Evet","İNCELEME GEREKLİ - Tarih Dışı Satış",IF(LEFT(P537,4)="RİSK","İNCELEME GEREKLİ - Hakediş Süresi Aşıldı",IF(OR(S537="EKSİK ÖDENMİŞ",S537="FAZLA ÖDENMİŞ"),"İNCELEME GEREKLİ - Tutar Uyuşmazlığı",IF(LEFT(P537,7)="Bekleni","Bekleniyor","Uygun"))))))</f>
        <v/>
      </c>
    </row>
    <row r="538">
      <c r="A538" s="26">
        <f>IF('DIVA Satislari'!I538="","",'DIVA Satislari'!I538)</f>
        <v/>
      </c>
      <c r="B538" s="26">
        <f>IF('DIVA Satislari'!I538="","",'DIVA Satislari'!R538)</f>
        <v/>
      </c>
      <c r="C538" s="26">
        <f>IF('DIVA Satislari'!I538="","",'DIVA Satislari'!M538)</f>
        <v/>
      </c>
      <c r="D538" s="27">
        <f>IF('DIVA Satislari'!I538="","",'DIVA Satislari'!H538)</f>
        <v/>
      </c>
      <c r="E538" s="26">
        <f>IF('DIVA Satislari'!I538="","",'DIVA Satislari'!O538)</f>
        <v/>
      </c>
      <c r="F538" s="26">
        <f>IF('DIVA Satislari'!I538="","",'DIVA Satislari'!AK538)</f>
        <v/>
      </c>
      <c r="G538" s="26">
        <f>IF('DIVA Satislari'!I538="","",'DIVA Satislari'!AO538)</f>
        <v/>
      </c>
      <c r="H538" s="27">
        <f>IF('DIVA Satislari'!I538="","",'DIVA Satislari'!AN538)</f>
        <v/>
      </c>
      <c r="I538" s="28">
        <f>IF('DIVA Satislari'!I538="","",'DIVA Satislari'!AQ538)</f>
        <v/>
      </c>
      <c r="J538" s="26">
        <f>IF('DIVA Satislari'!I538="","",'DIVA Satislari'!AR538)</f>
        <v/>
      </c>
      <c r="K538" s="26">
        <f>IF('DIVA Satislari'!I538="","",IFERROR(INDEX('E2E Nakliye Montaj'!$AS$3:$AS$1002,MATCH('DIVA Satislari'!AJ538,'E2E Nakliye Montaj'!$AM$3:$AM$1002,0)),"Eşleşme Yok"))</f>
        <v/>
      </c>
      <c r="L538" s="26">
        <f>IF('DIVA Satislari'!I538="","",IFERROR(INDEX('E2E Nakliye Montaj'!$AT$3:$AT$1002,MATCH('DIVA Satislari'!AJ538,'E2E Nakliye Montaj'!$AM$3:$AM$1002,0)),"Hayır"))</f>
        <v/>
      </c>
      <c r="M538" s="26">
        <f>IF('DIVA Satislari'!I538="","",IFERROR(INDEX('E2E Nakliye Montaj'!$AU$3:$AU$1002,MATCH('DIVA Satislari'!AJ538,'E2E Nakliye Montaj'!$AM$3:$AM$1002,0)),"Hayır"))</f>
        <v/>
      </c>
      <c r="N538" s="27">
        <f>IF('DIVA Satislari'!I538="","",IFERROR(INDEX('E2E Nakliye Montaj'!$AV$3:$AV$1002,MATCH('DIVA Satislari'!AJ538,'E2E Nakliye Montaj'!$AM$3:$AM$1002,0)),""))</f>
        <v/>
      </c>
      <c r="O538" s="26">
        <f>IF(OR(A538="",N538=""),"",IF(N538&lt;=H538,"Evet","HAYIR - RİSK"))</f>
        <v/>
      </c>
      <c r="P538" s="26">
        <f>IF(A538="","",IF(LEFT(J538,8)="Kural A ","Uygun - Hemen Ödenir (Yıl Sonu %75 Kontrolüne Tabi)",IF(OR(L538="Evet",M538="Evet"),IF(O538="Evet","Uygun","RİSK - Hakediş Süresi Aşıldı"),"Bekleniyor - Nakliye/Montaj Tamamlanmadı")))</f>
        <v/>
      </c>
      <c r="Q538" s="28">
        <f>IF(A538="","",SUMIFS('Hakedis Fatura Detay'!$G$3:$G$1200,'Hakedis Fatura Detay'!$H$3:$H$1200,'DIVA Satislari'!AJ538,'Hakedis Fatura Detay'!$F$3:$F$1200,"Fiyat Farkı")+SUMIFS('Hakedis Fatura Detay'!$G$3:$G$1200,'Hakedis Fatura Detay'!$H$3:$H$1200,'DIVA Satislari'!AJ538,'Hakedis Fatura Detay'!$F$3:$F$1200,"Bundle"))</f>
        <v/>
      </c>
      <c r="R538" s="28">
        <f>IF(A538="","",I538-Q538)</f>
        <v/>
      </c>
      <c r="S538" s="26">
        <f>IF(A538="","",IF(LEFT(P538,7)="Bekleni","N/A - Henüz Ödenmemeli",IF(LEFT(P538,4)="RİSK","İNCELEME GEREKLİ - Süre Aşımı",IF(R538=0,"Doğru",IF(R538&gt;0,"EKSİK ÖDENMİŞ","FAZLA ÖDENMİŞ")))))</f>
        <v/>
      </c>
      <c r="T538" s="30">
        <f>IF(A538="","",IF(F538&lt;&gt;"Evet","İNCELEME GEREKLİ - Kampanya Tanımsız",IF(G538&lt;&gt;"Evet","İNCELEME GEREKLİ - Tarih Dışı Satış",IF(LEFT(P538,4)="RİSK","İNCELEME GEREKLİ - Hakediş Süresi Aşıldı",IF(OR(S538="EKSİK ÖDENMİŞ",S538="FAZLA ÖDENMİŞ"),"İNCELEME GEREKLİ - Tutar Uyuşmazlığı",IF(LEFT(P538,7)="Bekleni","Bekleniyor","Uygun"))))))</f>
        <v/>
      </c>
    </row>
    <row r="539">
      <c r="A539" s="26">
        <f>IF('DIVA Satislari'!I539="","",'DIVA Satislari'!I539)</f>
        <v/>
      </c>
      <c r="B539" s="26">
        <f>IF('DIVA Satislari'!I539="","",'DIVA Satislari'!R539)</f>
        <v/>
      </c>
      <c r="C539" s="26">
        <f>IF('DIVA Satislari'!I539="","",'DIVA Satislari'!M539)</f>
        <v/>
      </c>
      <c r="D539" s="27">
        <f>IF('DIVA Satislari'!I539="","",'DIVA Satislari'!H539)</f>
        <v/>
      </c>
      <c r="E539" s="26">
        <f>IF('DIVA Satislari'!I539="","",'DIVA Satislari'!O539)</f>
        <v/>
      </c>
      <c r="F539" s="26">
        <f>IF('DIVA Satislari'!I539="","",'DIVA Satislari'!AK539)</f>
        <v/>
      </c>
      <c r="G539" s="26">
        <f>IF('DIVA Satislari'!I539="","",'DIVA Satislari'!AO539)</f>
        <v/>
      </c>
      <c r="H539" s="27">
        <f>IF('DIVA Satislari'!I539="","",'DIVA Satislari'!AN539)</f>
        <v/>
      </c>
      <c r="I539" s="28">
        <f>IF('DIVA Satislari'!I539="","",'DIVA Satislari'!AQ539)</f>
        <v/>
      </c>
      <c r="J539" s="26">
        <f>IF('DIVA Satislari'!I539="","",'DIVA Satislari'!AR539)</f>
        <v/>
      </c>
      <c r="K539" s="26">
        <f>IF('DIVA Satislari'!I539="","",IFERROR(INDEX('E2E Nakliye Montaj'!$AS$3:$AS$1002,MATCH('DIVA Satislari'!AJ539,'E2E Nakliye Montaj'!$AM$3:$AM$1002,0)),"Eşleşme Yok"))</f>
        <v/>
      </c>
      <c r="L539" s="26">
        <f>IF('DIVA Satislari'!I539="","",IFERROR(INDEX('E2E Nakliye Montaj'!$AT$3:$AT$1002,MATCH('DIVA Satislari'!AJ539,'E2E Nakliye Montaj'!$AM$3:$AM$1002,0)),"Hayır"))</f>
        <v/>
      </c>
      <c r="M539" s="26">
        <f>IF('DIVA Satislari'!I539="","",IFERROR(INDEX('E2E Nakliye Montaj'!$AU$3:$AU$1002,MATCH('DIVA Satislari'!AJ539,'E2E Nakliye Montaj'!$AM$3:$AM$1002,0)),"Hayır"))</f>
        <v/>
      </c>
      <c r="N539" s="27">
        <f>IF('DIVA Satislari'!I539="","",IFERROR(INDEX('E2E Nakliye Montaj'!$AV$3:$AV$1002,MATCH('DIVA Satislari'!AJ539,'E2E Nakliye Montaj'!$AM$3:$AM$1002,0)),""))</f>
        <v/>
      </c>
      <c r="O539" s="26">
        <f>IF(OR(A539="",N539=""),"",IF(N539&lt;=H539,"Evet","HAYIR - RİSK"))</f>
        <v/>
      </c>
      <c r="P539" s="26">
        <f>IF(A539="","",IF(LEFT(J539,8)="Kural A ","Uygun - Hemen Ödenir (Yıl Sonu %75 Kontrolüne Tabi)",IF(OR(L539="Evet",M539="Evet"),IF(O539="Evet","Uygun","RİSK - Hakediş Süresi Aşıldı"),"Bekleniyor - Nakliye/Montaj Tamamlanmadı")))</f>
        <v/>
      </c>
      <c r="Q539" s="28">
        <f>IF(A539="","",SUMIFS('Hakedis Fatura Detay'!$G$3:$G$1200,'Hakedis Fatura Detay'!$H$3:$H$1200,'DIVA Satislari'!AJ539,'Hakedis Fatura Detay'!$F$3:$F$1200,"Fiyat Farkı")+SUMIFS('Hakedis Fatura Detay'!$G$3:$G$1200,'Hakedis Fatura Detay'!$H$3:$H$1200,'DIVA Satislari'!AJ539,'Hakedis Fatura Detay'!$F$3:$F$1200,"Bundle"))</f>
        <v/>
      </c>
      <c r="R539" s="28">
        <f>IF(A539="","",I539-Q539)</f>
        <v/>
      </c>
      <c r="S539" s="26">
        <f>IF(A539="","",IF(LEFT(P539,7)="Bekleni","N/A - Henüz Ödenmemeli",IF(LEFT(P539,4)="RİSK","İNCELEME GEREKLİ - Süre Aşımı",IF(R539=0,"Doğru",IF(R539&gt;0,"EKSİK ÖDENMİŞ","FAZLA ÖDENMİŞ")))))</f>
        <v/>
      </c>
      <c r="T539" s="30">
        <f>IF(A539="","",IF(F539&lt;&gt;"Evet","İNCELEME GEREKLİ - Kampanya Tanımsız",IF(G539&lt;&gt;"Evet","İNCELEME GEREKLİ - Tarih Dışı Satış",IF(LEFT(P539,4)="RİSK","İNCELEME GEREKLİ - Hakediş Süresi Aşıldı",IF(OR(S539="EKSİK ÖDENMİŞ",S539="FAZLA ÖDENMİŞ"),"İNCELEME GEREKLİ - Tutar Uyuşmazlığı",IF(LEFT(P539,7)="Bekleni","Bekleniyor","Uygun"))))))</f>
        <v/>
      </c>
    </row>
    <row r="540">
      <c r="A540" s="26">
        <f>IF('DIVA Satislari'!I540="","",'DIVA Satislari'!I540)</f>
        <v/>
      </c>
      <c r="B540" s="26">
        <f>IF('DIVA Satislari'!I540="","",'DIVA Satislari'!R540)</f>
        <v/>
      </c>
      <c r="C540" s="26">
        <f>IF('DIVA Satislari'!I540="","",'DIVA Satislari'!M540)</f>
        <v/>
      </c>
      <c r="D540" s="27">
        <f>IF('DIVA Satislari'!I540="","",'DIVA Satislari'!H540)</f>
        <v/>
      </c>
      <c r="E540" s="26">
        <f>IF('DIVA Satislari'!I540="","",'DIVA Satislari'!O540)</f>
        <v/>
      </c>
      <c r="F540" s="26">
        <f>IF('DIVA Satislari'!I540="","",'DIVA Satislari'!AK540)</f>
        <v/>
      </c>
      <c r="G540" s="26">
        <f>IF('DIVA Satislari'!I540="","",'DIVA Satislari'!AO540)</f>
        <v/>
      </c>
      <c r="H540" s="27">
        <f>IF('DIVA Satislari'!I540="","",'DIVA Satislari'!AN540)</f>
        <v/>
      </c>
      <c r="I540" s="28">
        <f>IF('DIVA Satislari'!I540="","",'DIVA Satislari'!AQ540)</f>
        <v/>
      </c>
      <c r="J540" s="26">
        <f>IF('DIVA Satislari'!I540="","",'DIVA Satislari'!AR540)</f>
        <v/>
      </c>
      <c r="K540" s="26">
        <f>IF('DIVA Satislari'!I540="","",IFERROR(INDEX('E2E Nakliye Montaj'!$AS$3:$AS$1002,MATCH('DIVA Satislari'!AJ540,'E2E Nakliye Montaj'!$AM$3:$AM$1002,0)),"Eşleşme Yok"))</f>
        <v/>
      </c>
      <c r="L540" s="26">
        <f>IF('DIVA Satislari'!I540="","",IFERROR(INDEX('E2E Nakliye Montaj'!$AT$3:$AT$1002,MATCH('DIVA Satislari'!AJ540,'E2E Nakliye Montaj'!$AM$3:$AM$1002,0)),"Hayır"))</f>
        <v/>
      </c>
      <c r="M540" s="26">
        <f>IF('DIVA Satislari'!I540="","",IFERROR(INDEX('E2E Nakliye Montaj'!$AU$3:$AU$1002,MATCH('DIVA Satislari'!AJ540,'E2E Nakliye Montaj'!$AM$3:$AM$1002,0)),"Hayır"))</f>
        <v/>
      </c>
      <c r="N540" s="27">
        <f>IF('DIVA Satislari'!I540="","",IFERROR(INDEX('E2E Nakliye Montaj'!$AV$3:$AV$1002,MATCH('DIVA Satislari'!AJ540,'E2E Nakliye Montaj'!$AM$3:$AM$1002,0)),""))</f>
        <v/>
      </c>
      <c r="O540" s="26">
        <f>IF(OR(A540="",N540=""),"",IF(N540&lt;=H540,"Evet","HAYIR - RİSK"))</f>
        <v/>
      </c>
      <c r="P540" s="26">
        <f>IF(A540="","",IF(LEFT(J540,8)="Kural A ","Uygun - Hemen Ödenir (Yıl Sonu %75 Kontrolüne Tabi)",IF(OR(L540="Evet",M540="Evet"),IF(O540="Evet","Uygun","RİSK - Hakediş Süresi Aşıldı"),"Bekleniyor - Nakliye/Montaj Tamamlanmadı")))</f>
        <v/>
      </c>
      <c r="Q540" s="28">
        <f>IF(A540="","",SUMIFS('Hakedis Fatura Detay'!$G$3:$G$1200,'Hakedis Fatura Detay'!$H$3:$H$1200,'DIVA Satislari'!AJ540,'Hakedis Fatura Detay'!$F$3:$F$1200,"Fiyat Farkı")+SUMIFS('Hakedis Fatura Detay'!$G$3:$G$1200,'Hakedis Fatura Detay'!$H$3:$H$1200,'DIVA Satislari'!AJ540,'Hakedis Fatura Detay'!$F$3:$F$1200,"Bundle"))</f>
        <v/>
      </c>
      <c r="R540" s="28">
        <f>IF(A540="","",I540-Q540)</f>
        <v/>
      </c>
      <c r="S540" s="26">
        <f>IF(A540="","",IF(LEFT(P540,7)="Bekleni","N/A - Henüz Ödenmemeli",IF(LEFT(P540,4)="RİSK","İNCELEME GEREKLİ - Süre Aşımı",IF(R540=0,"Doğru",IF(R540&gt;0,"EKSİK ÖDENMİŞ","FAZLA ÖDENMİŞ")))))</f>
        <v/>
      </c>
      <c r="T540" s="30">
        <f>IF(A540="","",IF(F540&lt;&gt;"Evet","İNCELEME GEREKLİ - Kampanya Tanımsız",IF(G540&lt;&gt;"Evet","İNCELEME GEREKLİ - Tarih Dışı Satış",IF(LEFT(P540,4)="RİSK","İNCELEME GEREKLİ - Hakediş Süresi Aşıldı",IF(OR(S540="EKSİK ÖDENMİŞ",S540="FAZLA ÖDENMİŞ"),"İNCELEME GEREKLİ - Tutar Uyuşmazlığı",IF(LEFT(P540,7)="Bekleni","Bekleniyor","Uygun"))))))</f>
        <v/>
      </c>
    </row>
    <row r="541">
      <c r="A541" s="26">
        <f>IF('DIVA Satislari'!I541="","",'DIVA Satislari'!I541)</f>
        <v/>
      </c>
      <c r="B541" s="26">
        <f>IF('DIVA Satislari'!I541="","",'DIVA Satislari'!R541)</f>
        <v/>
      </c>
      <c r="C541" s="26">
        <f>IF('DIVA Satislari'!I541="","",'DIVA Satislari'!M541)</f>
        <v/>
      </c>
      <c r="D541" s="27">
        <f>IF('DIVA Satislari'!I541="","",'DIVA Satislari'!H541)</f>
        <v/>
      </c>
      <c r="E541" s="26">
        <f>IF('DIVA Satislari'!I541="","",'DIVA Satislari'!O541)</f>
        <v/>
      </c>
      <c r="F541" s="26">
        <f>IF('DIVA Satislari'!I541="","",'DIVA Satislari'!AK541)</f>
        <v/>
      </c>
      <c r="G541" s="26">
        <f>IF('DIVA Satislari'!I541="","",'DIVA Satislari'!AO541)</f>
        <v/>
      </c>
      <c r="H541" s="27">
        <f>IF('DIVA Satislari'!I541="","",'DIVA Satislari'!AN541)</f>
        <v/>
      </c>
      <c r="I541" s="28">
        <f>IF('DIVA Satislari'!I541="","",'DIVA Satislari'!AQ541)</f>
        <v/>
      </c>
      <c r="J541" s="26">
        <f>IF('DIVA Satislari'!I541="","",'DIVA Satislari'!AR541)</f>
        <v/>
      </c>
      <c r="K541" s="26">
        <f>IF('DIVA Satislari'!I541="","",IFERROR(INDEX('E2E Nakliye Montaj'!$AS$3:$AS$1002,MATCH('DIVA Satislari'!AJ541,'E2E Nakliye Montaj'!$AM$3:$AM$1002,0)),"Eşleşme Yok"))</f>
        <v/>
      </c>
      <c r="L541" s="26">
        <f>IF('DIVA Satislari'!I541="","",IFERROR(INDEX('E2E Nakliye Montaj'!$AT$3:$AT$1002,MATCH('DIVA Satislari'!AJ541,'E2E Nakliye Montaj'!$AM$3:$AM$1002,0)),"Hayır"))</f>
        <v/>
      </c>
      <c r="M541" s="26">
        <f>IF('DIVA Satislari'!I541="","",IFERROR(INDEX('E2E Nakliye Montaj'!$AU$3:$AU$1002,MATCH('DIVA Satislari'!AJ541,'E2E Nakliye Montaj'!$AM$3:$AM$1002,0)),"Hayır"))</f>
        <v/>
      </c>
      <c r="N541" s="27">
        <f>IF('DIVA Satislari'!I541="","",IFERROR(INDEX('E2E Nakliye Montaj'!$AV$3:$AV$1002,MATCH('DIVA Satislari'!AJ541,'E2E Nakliye Montaj'!$AM$3:$AM$1002,0)),""))</f>
        <v/>
      </c>
      <c r="O541" s="26">
        <f>IF(OR(A541="",N541=""),"",IF(N541&lt;=H541,"Evet","HAYIR - RİSK"))</f>
        <v/>
      </c>
      <c r="P541" s="26">
        <f>IF(A541="","",IF(LEFT(J541,8)="Kural A ","Uygun - Hemen Ödenir (Yıl Sonu %75 Kontrolüne Tabi)",IF(OR(L541="Evet",M541="Evet"),IF(O541="Evet","Uygun","RİSK - Hakediş Süresi Aşıldı"),"Bekleniyor - Nakliye/Montaj Tamamlanmadı")))</f>
        <v/>
      </c>
      <c r="Q541" s="28">
        <f>IF(A541="","",SUMIFS('Hakedis Fatura Detay'!$G$3:$G$1200,'Hakedis Fatura Detay'!$H$3:$H$1200,'DIVA Satislari'!AJ541,'Hakedis Fatura Detay'!$F$3:$F$1200,"Fiyat Farkı")+SUMIFS('Hakedis Fatura Detay'!$G$3:$G$1200,'Hakedis Fatura Detay'!$H$3:$H$1200,'DIVA Satislari'!AJ541,'Hakedis Fatura Detay'!$F$3:$F$1200,"Bundle"))</f>
        <v/>
      </c>
      <c r="R541" s="28">
        <f>IF(A541="","",I541-Q541)</f>
        <v/>
      </c>
      <c r="S541" s="26">
        <f>IF(A541="","",IF(LEFT(P541,7)="Bekleni","N/A - Henüz Ödenmemeli",IF(LEFT(P541,4)="RİSK","İNCELEME GEREKLİ - Süre Aşımı",IF(R541=0,"Doğru",IF(R541&gt;0,"EKSİK ÖDENMİŞ","FAZLA ÖDENMİŞ")))))</f>
        <v/>
      </c>
      <c r="T541" s="30">
        <f>IF(A541="","",IF(F541&lt;&gt;"Evet","İNCELEME GEREKLİ - Kampanya Tanımsız",IF(G541&lt;&gt;"Evet","İNCELEME GEREKLİ - Tarih Dışı Satış",IF(LEFT(P541,4)="RİSK","İNCELEME GEREKLİ - Hakediş Süresi Aşıldı",IF(OR(S541="EKSİK ÖDENMİŞ",S541="FAZLA ÖDENMİŞ"),"İNCELEME GEREKLİ - Tutar Uyuşmazlığı",IF(LEFT(P541,7)="Bekleni","Bekleniyor","Uygun"))))))</f>
        <v/>
      </c>
    </row>
    <row r="542">
      <c r="A542" s="26">
        <f>IF('DIVA Satislari'!I542="","",'DIVA Satislari'!I542)</f>
        <v/>
      </c>
      <c r="B542" s="26">
        <f>IF('DIVA Satislari'!I542="","",'DIVA Satislari'!R542)</f>
        <v/>
      </c>
      <c r="C542" s="26">
        <f>IF('DIVA Satislari'!I542="","",'DIVA Satislari'!M542)</f>
        <v/>
      </c>
      <c r="D542" s="27">
        <f>IF('DIVA Satislari'!I542="","",'DIVA Satislari'!H542)</f>
        <v/>
      </c>
      <c r="E542" s="26">
        <f>IF('DIVA Satislari'!I542="","",'DIVA Satislari'!O542)</f>
        <v/>
      </c>
      <c r="F542" s="26">
        <f>IF('DIVA Satislari'!I542="","",'DIVA Satislari'!AK542)</f>
        <v/>
      </c>
      <c r="G542" s="26">
        <f>IF('DIVA Satislari'!I542="","",'DIVA Satislari'!AO542)</f>
        <v/>
      </c>
      <c r="H542" s="27">
        <f>IF('DIVA Satislari'!I542="","",'DIVA Satislari'!AN542)</f>
        <v/>
      </c>
      <c r="I542" s="28">
        <f>IF('DIVA Satislari'!I542="","",'DIVA Satislari'!AQ542)</f>
        <v/>
      </c>
      <c r="J542" s="26">
        <f>IF('DIVA Satislari'!I542="","",'DIVA Satislari'!AR542)</f>
        <v/>
      </c>
      <c r="K542" s="26">
        <f>IF('DIVA Satislari'!I542="","",IFERROR(INDEX('E2E Nakliye Montaj'!$AS$3:$AS$1002,MATCH('DIVA Satislari'!AJ542,'E2E Nakliye Montaj'!$AM$3:$AM$1002,0)),"Eşleşme Yok"))</f>
        <v/>
      </c>
      <c r="L542" s="26">
        <f>IF('DIVA Satislari'!I542="","",IFERROR(INDEX('E2E Nakliye Montaj'!$AT$3:$AT$1002,MATCH('DIVA Satislari'!AJ542,'E2E Nakliye Montaj'!$AM$3:$AM$1002,0)),"Hayır"))</f>
        <v/>
      </c>
      <c r="M542" s="26">
        <f>IF('DIVA Satislari'!I542="","",IFERROR(INDEX('E2E Nakliye Montaj'!$AU$3:$AU$1002,MATCH('DIVA Satislari'!AJ542,'E2E Nakliye Montaj'!$AM$3:$AM$1002,0)),"Hayır"))</f>
        <v/>
      </c>
      <c r="N542" s="27">
        <f>IF('DIVA Satislari'!I542="","",IFERROR(INDEX('E2E Nakliye Montaj'!$AV$3:$AV$1002,MATCH('DIVA Satislari'!AJ542,'E2E Nakliye Montaj'!$AM$3:$AM$1002,0)),""))</f>
        <v/>
      </c>
      <c r="O542" s="26">
        <f>IF(OR(A542="",N542=""),"",IF(N542&lt;=H542,"Evet","HAYIR - RİSK"))</f>
        <v/>
      </c>
      <c r="P542" s="26">
        <f>IF(A542="","",IF(LEFT(J542,8)="Kural A ","Uygun - Hemen Ödenir (Yıl Sonu %75 Kontrolüne Tabi)",IF(OR(L542="Evet",M542="Evet"),IF(O542="Evet","Uygun","RİSK - Hakediş Süresi Aşıldı"),"Bekleniyor - Nakliye/Montaj Tamamlanmadı")))</f>
        <v/>
      </c>
      <c r="Q542" s="28">
        <f>IF(A542="","",SUMIFS('Hakedis Fatura Detay'!$G$3:$G$1200,'Hakedis Fatura Detay'!$H$3:$H$1200,'DIVA Satislari'!AJ542,'Hakedis Fatura Detay'!$F$3:$F$1200,"Fiyat Farkı")+SUMIFS('Hakedis Fatura Detay'!$G$3:$G$1200,'Hakedis Fatura Detay'!$H$3:$H$1200,'DIVA Satislari'!AJ542,'Hakedis Fatura Detay'!$F$3:$F$1200,"Bundle"))</f>
        <v/>
      </c>
      <c r="R542" s="28">
        <f>IF(A542="","",I542-Q542)</f>
        <v/>
      </c>
      <c r="S542" s="26">
        <f>IF(A542="","",IF(LEFT(P542,7)="Bekleni","N/A - Henüz Ödenmemeli",IF(LEFT(P542,4)="RİSK","İNCELEME GEREKLİ - Süre Aşımı",IF(R542=0,"Doğru",IF(R542&gt;0,"EKSİK ÖDENMİŞ","FAZLA ÖDENMİŞ")))))</f>
        <v/>
      </c>
      <c r="T542" s="30">
        <f>IF(A542="","",IF(F542&lt;&gt;"Evet","İNCELEME GEREKLİ - Kampanya Tanımsız",IF(G542&lt;&gt;"Evet","İNCELEME GEREKLİ - Tarih Dışı Satış",IF(LEFT(P542,4)="RİSK","İNCELEME GEREKLİ - Hakediş Süresi Aşıldı",IF(OR(S542="EKSİK ÖDENMİŞ",S542="FAZLA ÖDENMİŞ"),"İNCELEME GEREKLİ - Tutar Uyuşmazlığı",IF(LEFT(P542,7)="Bekleni","Bekleniyor","Uygun"))))))</f>
        <v/>
      </c>
    </row>
    <row r="543">
      <c r="A543" s="26">
        <f>IF('DIVA Satislari'!I543="","",'DIVA Satislari'!I543)</f>
        <v/>
      </c>
      <c r="B543" s="26">
        <f>IF('DIVA Satislari'!I543="","",'DIVA Satislari'!R543)</f>
        <v/>
      </c>
      <c r="C543" s="26">
        <f>IF('DIVA Satislari'!I543="","",'DIVA Satislari'!M543)</f>
        <v/>
      </c>
      <c r="D543" s="27">
        <f>IF('DIVA Satislari'!I543="","",'DIVA Satislari'!H543)</f>
        <v/>
      </c>
      <c r="E543" s="26">
        <f>IF('DIVA Satislari'!I543="","",'DIVA Satislari'!O543)</f>
        <v/>
      </c>
      <c r="F543" s="26">
        <f>IF('DIVA Satislari'!I543="","",'DIVA Satislari'!AK543)</f>
        <v/>
      </c>
      <c r="G543" s="26">
        <f>IF('DIVA Satislari'!I543="","",'DIVA Satislari'!AO543)</f>
        <v/>
      </c>
      <c r="H543" s="27">
        <f>IF('DIVA Satislari'!I543="","",'DIVA Satislari'!AN543)</f>
        <v/>
      </c>
      <c r="I543" s="28">
        <f>IF('DIVA Satislari'!I543="","",'DIVA Satislari'!AQ543)</f>
        <v/>
      </c>
      <c r="J543" s="26">
        <f>IF('DIVA Satislari'!I543="","",'DIVA Satislari'!AR543)</f>
        <v/>
      </c>
      <c r="K543" s="26">
        <f>IF('DIVA Satislari'!I543="","",IFERROR(INDEX('E2E Nakliye Montaj'!$AS$3:$AS$1002,MATCH('DIVA Satislari'!AJ543,'E2E Nakliye Montaj'!$AM$3:$AM$1002,0)),"Eşleşme Yok"))</f>
        <v/>
      </c>
      <c r="L543" s="26">
        <f>IF('DIVA Satislari'!I543="","",IFERROR(INDEX('E2E Nakliye Montaj'!$AT$3:$AT$1002,MATCH('DIVA Satislari'!AJ543,'E2E Nakliye Montaj'!$AM$3:$AM$1002,0)),"Hayır"))</f>
        <v/>
      </c>
      <c r="M543" s="26">
        <f>IF('DIVA Satislari'!I543="","",IFERROR(INDEX('E2E Nakliye Montaj'!$AU$3:$AU$1002,MATCH('DIVA Satislari'!AJ543,'E2E Nakliye Montaj'!$AM$3:$AM$1002,0)),"Hayır"))</f>
        <v/>
      </c>
      <c r="N543" s="27">
        <f>IF('DIVA Satislari'!I543="","",IFERROR(INDEX('E2E Nakliye Montaj'!$AV$3:$AV$1002,MATCH('DIVA Satislari'!AJ543,'E2E Nakliye Montaj'!$AM$3:$AM$1002,0)),""))</f>
        <v/>
      </c>
      <c r="O543" s="26">
        <f>IF(OR(A543="",N543=""),"",IF(N543&lt;=H543,"Evet","HAYIR - RİSK"))</f>
        <v/>
      </c>
      <c r="P543" s="26">
        <f>IF(A543="","",IF(LEFT(J543,8)="Kural A ","Uygun - Hemen Ödenir (Yıl Sonu %75 Kontrolüne Tabi)",IF(OR(L543="Evet",M543="Evet"),IF(O543="Evet","Uygun","RİSK - Hakediş Süresi Aşıldı"),"Bekleniyor - Nakliye/Montaj Tamamlanmadı")))</f>
        <v/>
      </c>
      <c r="Q543" s="28">
        <f>IF(A543="","",SUMIFS('Hakedis Fatura Detay'!$G$3:$G$1200,'Hakedis Fatura Detay'!$H$3:$H$1200,'DIVA Satislari'!AJ543,'Hakedis Fatura Detay'!$F$3:$F$1200,"Fiyat Farkı")+SUMIFS('Hakedis Fatura Detay'!$G$3:$G$1200,'Hakedis Fatura Detay'!$H$3:$H$1200,'DIVA Satislari'!AJ543,'Hakedis Fatura Detay'!$F$3:$F$1200,"Bundle"))</f>
        <v/>
      </c>
      <c r="R543" s="28">
        <f>IF(A543="","",I543-Q543)</f>
        <v/>
      </c>
      <c r="S543" s="26">
        <f>IF(A543="","",IF(LEFT(P543,7)="Bekleni","N/A - Henüz Ödenmemeli",IF(LEFT(P543,4)="RİSK","İNCELEME GEREKLİ - Süre Aşımı",IF(R543=0,"Doğru",IF(R543&gt;0,"EKSİK ÖDENMİŞ","FAZLA ÖDENMİŞ")))))</f>
        <v/>
      </c>
      <c r="T543" s="30">
        <f>IF(A543="","",IF(F543&lt;&gt;"Evet","İNCELEME GEREKLİ - Kampanya Tanımsız",IF(G543&lt;&gt;"Evet","İNCELEME GEREKLİ - Tarih Dışı Satış",IF(LEFT(P543,4)="RİSK","İNCELEME GEREKLİ - Hakediş Süresi Aşıldı",IF(OR(S543="EKSİK ÖDENMİŞ",S543="FAZLA ÖDENMİŞ"),"İNCELEME GEREKLİ - Tutar Uyuşmazlığı",IF(LEFT(P543,7)="Bekleni","Bekleniyor","Uygun"))))))</f>
        <v/>
      </c>
    </row>
    <row r="544">
      <c r="A544" s="26">
        <f>IF('DIVA Satislari'!I544="","",'DIVA Satislari'!I544)</f>
        <v/>
      </c>
      <c r="B544" s="26">
        <f>IF('DIVA Satislari'!I544="","",'DIVA Satislari'!R544)</f>
        <v/>
      </c>
      <c r="C544" s="26">
        <f>IF('DIVA Satislari'!I544="","",'DIVA Satislari'!M544)</f>
        <v/>
      </c>
      <c r="D544" s="27">
        <f>IF('DIVA Satislari'!I544="","",'DIVA Satislari'!H544)</f>
        <v/>
      </c>
      <c r="E544" s="26">
        <f>IF('DIVA Satislari'!I544="","",'DIVA Satislari'!O544)</f>
        <v/>
      </c>
      <c r="F544" s="26">
        <f>IF('DIVA Satislari'!I544="","",'DIVA Satislari'!AK544)</f>
        <v/>
      </c>
      <c r="G544" s="26">
        <f>IF('DIVA Satislari'!I544="","",'DIVA Satislari'!AO544)</f>
        <v/>
      </c>
      <c r="H544" s="27">
        <f>IF('DIVA Satislari'!I544="","",'DIVA Satislari'!AN544)</f>
        <v/>
      </c>
      <c r="I544" s="28">
        <f>IF('DIVA Satislari'!I544="","",'DIVA Satislari'!AQ544)</f>
        <v/>
      </c>
      <c r="J544" s="26">
        <f>IF('DIVA Satislari'!I544="","",'DIVA Satislari'!AR544)</f>
        <v/>
      </c>
      <c r="K544" s="26">
        <f>IF('DIVA Satislari'!I544="","",IFERROR(INDEX('E2E Nakliye Montaj'!$AS$3:$AS$1002,MATCH('DIVA Satislari'!AJ544,'E2E Nakliye Montaj'!$AM$3:$AM$1002,0)),"Eşleşme Yok"))</f>
        <v/>
      </c>
      <c r="L544" s="26">
        <f>IF('DIVA Satislari'!I544="","",IFERROR(INDEX('E2E Nakliye Montaj'!$AT$3:$AT$1002,MATCH('DIVA Satislari'!AJ544,'E2E Nakliye Montaj'!$AM$3:$AM$1002,0)),"Hayır"))</f>
        <v/>
      </c>
      <c r="M544" s="26">
        <f>IF('DIVA Satislari'!I544="","",IFERROR(INDEX('E2E Nakliye Montaj'!$AU$3:$AU$1002,MATCH('DIVA Satislari'!AJ544,'E2E Nakliye Montaj'!$AM$3:$AM$1002,0)),"Hayır"))</f>
        <v/>
      </c>
      <c r="N544" s="27">
        <f>IF('DIVA Satislari'!I544="","",IFERROR(INDEX('E2E Nakliye Montaj'!$AV$3:$AV$1002,MATCH('DIVA Satislari'!AJ544,'E2E Nakliye Montaj'!$AM$3:$AM$1002,0)),""))</f>
        <v/>
      </c>
      <c r="O544" s="26">
        <f>IF(OR(A544="",N544=""),"",IF(N544&lt;=H544,"Evet","HAYIR - RİSK"))</f>
        <v/>
      </c>
      <c r="P544" s="26">
        <f>IF(A544="","",IF(LEFT(J544,8)="Kural A ","Uygun - Hemen Ödenir (Yıl Sonu %75 Kontrolüne Tabi)",IF(OR(L544="Evet",M544="Evet"),IF(O544="Evet","Uygun","RİSK - Hakediş Süresi Aşıldı"),"Bekleniyor - Nakliye/Montaj Tamamlanmadı")))</f>
        <v/>
      </c>
      <c r="Q544" s="28">
        <f>IF(A544="","",SUMIFS('Hakedis Fatura Detay'!$G$3:$G$1200,'Hakedis Fatura Detay'!$H$3:$H$1200,'DIVA Satislari'!AJ544,'Hakedis Fatura Detay'!$F$3:$F$1200,"Fiyat Farkı")+SUMIFS('Hakedis Fatura Detay'!$G$3:$G$1200,'Hakedis Fatura Detay'!$H$3:$H$1200,'DIVA Satislari'!AJ544,'Hakedis Fatura Detay'!$F$3:$F$1200,"Bundle"))</f>
        <v/>
      </c>
      <c r="R544" s="28">
        <f>IF(A544="","",I544-Q544)</f>
        <v/>
      </c>
      <c r="S544" s="26">
        <f>IF(A544="","",IF(LEFT(P544,7)="Bekleni","N/A - Henüz Ödenmemeli",IF(LEFT(P544,4)="RİSK","İNCELEME GEREKLİ - Süre Aşımı",IF(R544=0,"Doğru",IF(R544&gt;0,"EKSİK ÖDENMİŞ","FAZLA ÖDENMİŞ")))))</f>
        <v/>
      </c>
      <c r="T544" s="30">
        <f>IF(A544="","",IF(F544&lt;&gt;"Evet","İNCELEME GEREKLİ - Kampanya Tanımsız",IF(G544&lt;&gt;"Evet","İNCELEME GEREKLİ - Tarih Dışı Satış",IF(LEFT(P544,4)="RİSK","İNCELEME GEREKLİ - Hakediş Süresi Aşıldı",IF(OR(S544="EKSİK ÖDENMİŞ",S544="FAZLA ÖDENMİŞ"),"İNCELEME GEREKLİ - Tutar Uyuşmazlığı",IF(LEFT(P544,7)="Bekleni","Bekleniyor","Uygun"))))))</f>
        <v/>
      </c>
    </row>
    <row r="545">
      <c r="A545" s="26">
        <f>IF('DIVA Satislari'!I545="","",'DIVA Satislari'!I545)</f>
        <v/>
      </c>
      <c r="B545" s="26">
        <f>IF('DIVA Satislari'!I545="","",'DIVA Satislari'!R545)</f>
        <v/>
      </c>
      <c r="C545" s="26">
        <f>IF('DIVA Satislari'!I545="","",'DIVA Satislari'!M545)</f>
        <v/>
      </c>
      <c r="D545" s="27">
        <f>IF('DIVA Satislari'!I545="","",'DIVA Satislari'!H545)</f>
        <v/>
      </c>
      <c r="E545" s="26">
        <f>IF('DIVA Satislari'!I545="","",'DIVA Satislari'!O545)</f>
        <v/>
      </c>
      <c r="F545" s="26">
        <f>IF('DIVA Satislari'!I545="","",'DIVA Satislari'!AK545)</f>
        <v/>
      </c>
      <c r="G545" s="26">
        <f>IF('DIVA Satislari'!I545="","",'DIVA Satislari'!AO545)</f>
        <v/>
      </c>
      <c r="H545" s="27">
        <f>IF('DIVA Satislari'!I545="","",'DIVA Satislari'!AN545)</f>
        <v/>
      </c>
      <c r="I545" s="28">
        <f>IF('DIVA Satislari'!I545="","",'DIVA Satislari'!AQ545)</f>
        <v/>
      </c>
      <c r="J545" s="26">
        <f>IF('DIVA Satislari'!I545="","",'DIVA Satislari'!AR545)</f>
        <v/>
      </c>
      <c r="K545" s="26">
        <f>IF('DIVA Satislari'!I545="","",IFERROR(INDEX('E2E Nakliye Montaj'!$AS$3:$AS$1002,MATCH('DIVA Satislari'!AJ545,'E2E Nakliye Montaj'!$AM$3:$AM$1002,0)),"Eşleşme Yok"))</f>
        <v/>
      </c>
      <c r="L545" s="26">
        <f>IF('DIVA Satislari'!I545="","",IFERROR(INDEX('E2E Nakliye Montaj'!$AT$3:$AT$1002,MATCH('DIVA Satislari'!AJ545,'E2E Nakliye Montaj'!$AM$3:$AM$1002,0)),"Hayır"))</f>
        <v/>
      </c>
      <c r="M545" s="26">
        <f>IF('DIVA Satislari'!I545="","",IFERROR(INDEX('E2E Nakliye Montaj'!$AU$3:$AU$1002,MATCH('DIVA Satislari'!AJ545,'E2E Nakliye Montaj'!$AM$3:$AM$1002,0)),"Hayır"))</f>
        <v/>
      </c>
      <c r="N545" s="27">
        <f>IF('DIVA Satislari'!I545="","",IFERROR(INDEX('E2E Nakliye Montaj'!$AV$3:$AV$1002,MATCH('DIVA Satislari'!AJ545,'E2E Nakliye Montaj'!$AM$3:$AM$1002,0)),""))</f>
        <v/>
      </c>
      <c r="O545" s="26">
        <f>IF(OR(A545="",N545=""),"",IF(N545&lt;=H545,"Evet","HAYIR - RİSK"))</f>
        <v/>
      </c>
      <c r="P545" s="26">
        <f>IF(A545="","",IF(LEFT(J545,8)="Kural A ","Uygun - Hemen Ödenir (Yıl Sonu %75 Kontrolüne Tabi)",IF(OR(L545="Evet",M545="Evet"),IF(O545="Evet","Uygun","RİSK - Hakediş Süresi Aşıldı"),"Bekleniyor - Nakliye/Montaj Tamamlanmadı")))</f>
        <v/>
      </c>
      <c r="Q545" s="28">
        <f>IF(A545="","",SUMIFS('Hakedis Fatura Detay'!$G$3:$G$1200,'Hakedis Fatura Detay'!$H$3:$H$1200,'DIVA Satislari'!AJ545,'Hakedis Fatura Detay'!$F$3:$F$1200,"Fiyat Farkı")+SUMIFS('Hakedis Fatura Detay'!$G$3:$G$1200,'Hakedis Fatura Detay'!$H$3:$H$1200,'DIVA Satislari'!AJ545,'Hakedis Fatura Detay'!$F$3:$F$1200,"Bundle"))</f>
        <v/>
      </c>
      <c r="R545" s="28">
        <f>IF(A545="","",I545-Q545)</f>
        <v/>
      </c>
      <c r="S545" s="26">
        <f>IF(A545="","",IF(LEFT(P545,7)="Bekleni","N/A - Henüz Ödenmemeli",IF(LEFT(P545,4)="RİSK","İNCELEME GEREKLİ - Süre Aşımı",IF(R545=0,"Doğru",IF(R545&gt;0,"EKSİK ÖDENMİŞ","FAZLA ÖDENMİŞ")))))</f>
        <v/>
      </c>
      <c r="T545" s="30">
        <f>IF(A545="","",IF(F545&lt;&gt;"Evet","İNCELEME GEREKLİ - Kampanya Tanımsız",IF(G545&lt;&gt;"Evet","İNCELEME GEREKLİ - Tarih Dışı Satış",IF(LEFT(P545,4)="RİSK","İNCELEME GEREKLİ - Hakediş Süresi Aşıldı",IF(OR(S545="EKSİK ÖDENMİŞ",S545="FAZLA ÖDENMİŞ"),"İNCELEME GEREKLİ - Tutar Uyuşmazlığı",IF(LEFT(P545,7)="Bekleni","Bekleniyor","Uygun"))))))</f>
        <v/>
      </c>
    </row>
    <row r="546">
      <c r="A546" s="26">
        <f>IF('DIVA Satislari'!I546="","",'DIVA Satislari'!I546)</f>
        <v/>
      </c>
      <c r="B546" s="26">
        <f>IF('DIVA Satislari'!I546="","",'DIVA Satislari'!R546)</f>
        <v/>
      </c>
      <c r="C546" s="26">
        <f>IF('DIVA Satislari'!I546="","",'DIVA Satislari'!M546)</f>
        <v/>
      </c>
      <c r="D546" s="27">
        <f>IF('DIVA Satislari'!I546="","",'DIVA Satislari'!H546)</f>
        <v/>
      </c>
      <c r="E546" s="26">
        <f>IF('DIVA Satislari'!I546="","",'DIVA Satislari'!O546)</f>
        <v/>
      </c>
      <c r="F546" s="26">
        <f>IF('DIVA Satislari'!I546="","",'DIVA Satislari'!AK546)</f>
        <v/>
      </c>
      <c r="G546" s="26">
        <f>IF('DIVA Satislari'!I546="","",'DIVA Satislari'!AO546)</f>
        <v/>
      </c>
      <c r="H546" s="27">
        <f>IF('DIVA Satislari'!I546="","",'DIVA Satislari'!AN546)</f>
        <v/>
      </c>
      <c r="I546" s="28">
        <f>IF('DIVA Satislari'!I546="","",'DIVA Satislari'!AQ546)</f>
        <v/>
      </c>
      <c r="J546" s="26">
        <f>IF('DIVA Satislari'!I546="","",'DIVA Satislari'!AR546)</f>
        <v/>
      </c>
      <c r="K546" s="26">
        <f>IF('DIVA Satislari'!I546="","",IFERROR(INDEX('E2E Nakliye Montaj'!$AS$3:$AS$1002,MATCH('DIVA Satislari'!AJ546,'E2E Nakliye Montaj'!$AM$3:$AM$1002,0)),"Eşleşme Yok"))</f>
        <v/>
      </c>
      <c r="L546" s="26">
        <f>IF('DIVA Satislari'!I546="","",IFERROR(INDEX('E2E Nakliye Montaj'!$AT$3:$AT$1002,MATCH('DIVA Satislari'!AJ546,'E2E Nakliye Montaj'!$AM$3:$AM$1002,0)),"Hayır"))</f>
        <v/>
      </c>
      <c r="M546" s="26">
        <f>IF('DIVA Satislari'!I546="","",IFERROR(INDEX('E2E Nakliye Montaj'!$AU$3:$AU$1002,MATCH('DIVA Satislari'!AJ546,'E2E Nakliye Montaj'!$AM$3:$AM$1002,0)),"Hayır"))</f>
        <v/>
      </c>
      <c r="N546" s="27">
        <f>IF('DIVA Satislari'!I546="","",IFERROR(INDEX('E2E Nakliye Montaj'!$AV$3:$AV$1002,MATCH('DIVA Satislari'!AJ546,'E2E Nakliye Montaj'!$AM$3:$AM$1002,0)),""))</f>
        <v/>
      </c>
      <c r="O546" s="26">
        <f>IF(OR(A546="",N546=""),"",IF(N546&lt;=H546,"Evet","HAYIR - RİSK"))</f>
        <v/>
      </c>
      <c r="P546" s="26">
        <f>IF(A546="","",IF(LEFT(J546,8)="Kural A ","Uygun - Hemen Ödenir (Yıl Sonu %75 Kontrolüne Tabi)",IF(OR(L546="Evet",M546="Evet"),IF(O546="Evet","Uygun","RİSK - Hakediş Süresi Aşıldı"),"Bekleniyor - Nakliye/Montaj Tamamlanmadı")))</f>
        <v/>
      </c>
      <c r="Q546" s="28">
        <f>IF(A546="","",SUMIFS('Hakedis Fatura Detay'!$G$3:$G$1200,'Hakedis Fatura Detay'!$H$3:$H$1200,'DIVA Satislari'!AJ546,'Hakedis Fatura Detay'!$F$3:$F$1200,"Fiyat Farkı")+SUMIFS('Hakedis Fatura Detay'!$G$3:$G$1200,'Hakedis Fatura Detay'!$H$3:$H$1200,'DIVA Satislari'!AJ546,'Hakedis Fatura Detay'!$F$3:$F$1200,"Bundle"))</f>
        <v/>
      </c>
      <c r="R546" s="28">
        <f>IF(A546="","",I546-Q546)</f>
        <v/>
      </c>
      <c r="S546" s="26">
        <f>IF(A546="","",IF(LEFT(P546,7)="Bekleni","N/A - Henüz Ödenmemeli",IF(LEFT(P546,4)="RİSK","İNCELEME GEREKLİ - Süre Aşımı",IF(R546=0,"Doğru",IF(R546&gt;0,"EKSİK ÖDENMİŞ","FAZLA ÖDENMİŞ")))))</f>
        <v/>
      </c>
      <c r="T546" s="30">
        <f>IF(A546="","",IF(F546&lt;&gt;"Evet","İNCELEME GEREKLİ - Kampanya Tanımsız",IF(G546&lt;&gt;"Evet","İNCELEME GEREKLİ - Tarih Dışı Satış",IF(LEFT(P546,4)="RİSK","İNCELEME GEREKLİ - Hakediş Süresi Aşıldı",IF(OR(S546="EKSİK ÖDENMİŞ",S546="FAZLA ÖDENMİŞ"),"İNCELEME GEREKLİ - Tutar Uyuşmazlığı",IF(LEFT(P546,7)="Bekleni","Bekleniyor","Uygun"))))))</f>
        <v/>
      </c>
    </row>
    <row r="547">
      <c r="A547" s="26">
        <f>IF('DIVA Satislari'!I547="","",'DIVA Satislari'!I547)</f>
        <v/>
      </c>
      <c r="B547" s="26">
        <f>IF('DIVA Satislari'!I547="","",'DIVA Satislari'!R547)</f>
        <v/>
      </c>
      <c r="C547" s="26">
        <f>IF('DIVA Satislari'!I547="","",'DIVA Satislari'!M547)</f>
        <v/>
      </c>
      <c r="D547" s="27">
        <f>IF('DIVA Satislari'!I547="","",'DIVA Satislari'!H547)</f>
        <v/>
      </c>
      <c r="E547" s="26">
        <f>IF('DIVA Satislari'!I547="","",'DIVA Satislari'!O547)</f>
        <v/>
      </c>
      <c r="F547" s="26">
        <f>IF('DIVA Satislari'!I547="","",'DIVA Satislari'!AK547)</f>
        <v/>
      </c>
      <c r="G547" s="26">
        <f>IF('DIVA Satislari'!I547="","",'DIVA Satislari'!AO547)</f>
        <v/>
      </c>
      <c r="H547" s="27">
        <f>IF('DIVA Satislari'!I547="","",'DIVA Satislari'!AN547)</f>
        <v/>
      </c>
      <c r="I547" s="28">
        <f>IF('DIVA Satislari'!I547="","",'DIVA Satislari'!AQ547)</f>
        <v/>
      </c>
      <c r="J547" s="26">
        <f>IF('DIVA Satislari'!I547="","",'DIVA Satislari'!AR547)</f>
        <v/>
      </c>
      <c r="K547" s="26">
        <f>IF('DIVA Satislari'!I547="","",IFERROR(INDEX('E2E Nakliye Montaj'!$AS$3:$AS$1002,MATCH('DIVA Satislari'!AJ547,'E2E Nakliye Montaj'!$AM$3:$AM$1002,0)),"Eşleşme Yok"))</f>
        <v/>
      </c>
      <c r="L547" s="26">
        <f>IF('DIVA Satislari'!I547="","",IFERROR(INDEX('E2E Nakliye Montaj'!$AT$3:$AT$1002,MATCH('DIVA Satislari'!AJ547,'E2E Nakliye Montaj'!$AM$3:$AM$1002,0)),"Hayır"))</f>
        <v/>
      </c>
      <c r="M547" s="26">
        <f>IF('DIVA Satislari'!I547="","",IFERROR(INDEX('E2E Nakliye Montaj'!$AU$3:$AU$1002,MATCH('DIVA Satislari'!AJ547,'E2E Nakliye Montaj'!$AM$3:$AM$1002,0)),"Hayır"))</f>
        <v/>
      </c>
      <c r="N547" s="27">
        <f>IF('DIVA Satislari'!I547="","",IFERROR(INDEX('E2E Nakliye Montaj'!$AV$3:$AV$1002,MATCH('DIVA Satislari'!AJ547,'E2E Nakliye Montaj'!$AM$3:$AM$1002,0)),""))</f>
        <v/>
      </c>
      <c r="O547" s="26">
        <f>IF(OR(A547="",N547=""),"",IF(N547&lt;=H547,"Evet","HAYIR - RİSK"))</f>
        <v/>
      </c>
      <c r="P547" s="26">
        <f>IF(A547="","",IF(LEFT(J547,8)="Kural A ","Uygun - Hemen Ödenir (Yıl Sonu %75 Kontrolüne Tabi)",IF(OR(L547="Evet",M547="Evet"),IF(O547="Evet","Uygun","RİSK - Hakediş Süresi Aşıldı"),"Bekleniyor - Nakliye/Montaj Tamamlanmadı")))</f>
        <v/>
      </c>
      <c r="Q547" s="28">
        <f>IF(A547="","",SUMIFS('Hakedis Fatura Detay'!$G$3:$G$1200,'Hakedis Fatura Detay'!$H$3:$H$1200,'DIVA Satislari'!AJ547,'Hakedis Fatura Detay'!$F$3:$F$1200,"Fiyat Farkı")+SUMIFS('Hakedis Fatura Detay'!$G$3:$G$1200,'Hakedis Fatura Detay'!$H$3:$H$1200,'DIVA Satislari'!AJ547,'Hakedis Fatura Detay'!$F$3:$F$1200,"Bundle"))</f>
        <v/>
      </c>
      <c r="R547" s="28">
        <f>IF(A547="","",I547-Q547)</f>
        <v/>
      </c>
      <c r="S547" s="26">
        <f>IF(A547="","",IF(LEFT(P547,7)="Bekleni","N/A - Henüz Ödenmemeli",IF(LEFT(P547,4)="RİSK","İNCELEME GEREKLİ - Süre Aşımı",IF(R547=0,"Doğru",IF(R547&gt;0,"EKSİK ÖDENMİŞ","FAZLA ÖDENMİŞ")))))</f>
        <v/>
      </c>
      <c r="T547" s="30">
        <f>IF(A547="","",IF(F547&lt;&gt;"Evet","İNCELEME GEREKLİ - Kampanya Tanımsız",IF(G547&lt;&gt;"Evet","İNCELEME GEREKLİ - Tarih Dışı Satış",IF(LEFT(P547,4)="RİSK","İNCELEME GEREKLİ - Hakediş Süresi Aşıldı",IF(OR(S547="EKSİK ÖDENMİŞ",S547="FAZLA ÖDENMİŞ"),"İNCELEME GEREKLİ - Tutar Uyuşmazlığı",IF(LEFT(P547,7)="Bekleni","Bekleniyor","Uygun"))))))</f>
        <v/>
      </c>
    </row>
    <row r="548">
      <c r="A548" s="26">
        <f>IF('DIVA Satislari'!I548="","",'DIVA Satislari'!I548)</f>
        <v/>
      </c>
      <c r="B548" s="26">
        <f>IF('DIVA Satislari'!I548="","",'DIVA Satislari'!R548)</f>
        <v/>
      </c>
      <c r="C548" s="26">
        <f>IF('DIVA Satislari'!I548="","",'DIVA Satislari'!M548)</f>
        <v/>
      </c>
      <c r="D548" s="27">
        <f>IF('DIVA Satislari'!I548="","",'DIVA Satislari'!H548)</f>
        <v/>
      </c>
      <c r="E548" s="26">
        <f>IF('DIVA Satislari'!I548="","",'DIVA Satislari'!O548)</f>
        <v/>
      </c>
      <c r="F548" s="26">
        <f>IF('DIVA Satislari'!I548="","",'DIVA Satislari'!AK548)</f>
        <v/>
      </c>
      <c r="G548" s="26">
        <f>IF('DIVA Satislari'!I548="","",'DIVA Satislari'!AO548)</f>
        <v/>
      </c>
      <c r="H548" s="27">
        <f>IF('DIVA Satislari'!I548="","",'DIVA Satislari'!AN548)</f>
        <v/>
      </c>
      <c r="I548" s="28">
        <f>IF('DIVA Satislari'!I548="","",'DIVA Satislari'!AQ548)</f>
        <v/>
      </c>
      <c r="J548" s="26">
        <f>IF('DIVA Satislari'!I548="","",'DIVA Satislari'!AR548)</f>
        <v/>
      </c>
      <c r="K548" s="26">
        <f>IF('DIVA Satislari'!I548="","",IFERROR(INDEX('E2E Nakliye Montaj'!$AS$3:$AS$1002,MATCH('DIVA Satislari'!AJ548,'E2E Nakliye Montaj'!$AM$3:$AM$1002,0)),"Eşleşme Yok"))</f>
        <v/>
      </c>
      <c r="L548" s="26">
        <f>IF('DIVA Satislari'!I548="","",IFERROR(INDEX('E2E Nakliye Montaj'!$AT$3:$AT$1002,MATCH('DIVA Satislari'!AJ548,'E2E Nakliye Montaj'!$AM$3:$AM$1002,0)),"Hayır"))</f>
        <v/>
      </c>
      <c r="M548" s="26">
        <f>IF('DIVA Satislari'!I548="","",IFERROR(INDEX('E2E Nakliye Montaj'!$AU$3:$AU$1002,MATCH('DIVA Satislari'!AJ548,'E2E Nakliye Montaj'!$AM$3:$AM$1002,0)),"Hayır"))</f>
        <v/>
      </c>
      <c r="N548" s="27">
        <f>IF('DIVA Satislari'!I548="","",IFERROR(INDEX('E2E Nakliye Montaj'!$AV$3:$AV$1002,MATCH('DIVA Satislari'!AJ548,'E2E Nakliye Montaj'!$AM$3:$AM$1002,0)),""))</f>
        <v/>
      </c>
      <c r="O548" s="26">
        <f>IF(OR(A548="",N548=""),"",IF(N548&lt;=H548,"Evet","HAYIR - RİSK"))</f>
        <v/>
      </c>
      <c r="P548" s="26">
        <f>IF(A548="","",IF(LEFT(J548,8)="Kural A ","Uygun - Hemen Ödenir (Yıl Sonu %75 Kontrolüne Tabi)",IF(OR(L548="Evet",M548="Evet"),IF(O548="Evet","Uygun","RİSK - Hakediş Süresi Aşıldı"),"Bekleniyor - Nakliye/Montaj Tamamlanmadı")))</f>
        <v/>
      </c>
      <c r="Q548" s="28">
        <f>IF(A548="","",SUMIFS('Hakedis Fatura Detay'!$G$3:$G$1200,'Hakedis Fatura Detay'!$H$3:$H$1200,'DIVA Satislari'!AJ548,'Hakedis Fatura Detay'!$F$3:$F$1200,"Fiyat Farkı")+SUMIFS('Hakedis Fatura Detay'!$G$3:$G$1200,'Hakedis Fatura Detay'!$H$3:$H$1200,'DIVA Satislari'!AJ548,'Hakedis Fatura Detay'!$F$3:$F$1200,"Bundle"))</f>
        <v/>
      </c>
      <c r="R548" s="28">
        <f>IF(A548="","",I548-Q548)</f>
        <v/>
      </c>
      <c r="S548" s="26">
        <f>IF(A548="","",IF(LEFT(P548,7)="Bekleni","N/A - Henüz Ödenmemeli",IF(LEFT(P548,4)="RİSK","İNCELEME GEREKLİ - Süre Aşımı",IF(R548=0,"Doğru",IF(R548&gt;0,"EKSİK ÖDENMİŞ","FAZLA ÖDENMİŞ")))))</f>
        <v/>
      </c>
      <c r="T548" s="30">
        <f>IF(A548="","",IF(F548&lt;&gt;"Evet","İNCELEME GEREKLİ - Kampanya Tanımsız",IF(G548&lt;&gt;"Evet","İNCELEME GEREKLİ - Tarih Dışı Satış",IF(LEFT(P548,4)="RİSK","İNCELEME GEREKLİ - Hakediş Süresi Aşıldı",IF(OR(S548="EKSİK ÖDENMİŞ",S548="FAZLA ÖDENMİŞ"),"İNCELEME GEREKLİ - Tutar Uyuşmazlığı",IF(LEFT(P548,7)="Bekleni","Bekleniyor","Uygun"))))))</f>
        <v/>
      </c>
    </row>
    <row r="549">
      <c r="A549" s="26">
        <f>IF('DIVA Satislari'!I549="","",'DIVA Satislari'!I549)</f>
        <v/>
      </c>
      <c r="B549" s="26">
        <f>IF('DIVA Satislari'!I549="","",'DIVA Satislari'!R549)</f>
        <v/>
      </c>
      <c r="C549" s="26">
        <f>IF('DIVA Satislari'!I549="","",'DIVA Satislari'!M549)</f>
        <v/>
      </c>
      <c r="D549" s="27">
        <f>IF('DIVA Satislari'!I549="","",'DIVA Satislari'!H549)</f>
        <v/>
      </c>
      <c r="E549" s="26">
        <f>IF('DIVA Satislari'!I549="","",'DIVA Satislari'!O549)</f>
        <v/>
      </c>
      <c r="F549" s="26">
        <f>IF('DIVA Satislari'!I549="","",'DIVA Satislari'!AK549)</f>
        <v/>
      </c>
      <c r="G549" s="26">
        <f>IF('DIVA Satislari'!I549="","",'DIVA Satislari'!AO549)</f>
        <v/>
      </c>
      <c r="H549" s="27">
        <f>IF('DIVA Satislari'!I549="","",'DIVA Satislari'!AN549)</f>
        <v/>
      </c>
      <c r="I549" s="28">
        <f>IF('DIVA Satislari'!I549="","",'DIVA Satislari'!AQ549)</f>
        <v/>
      </c>
      <c r="J549" s="26">
        <f>IF('DIVA Satislari'!I549="","",'DIVA Satislari'!AR549)</f>
        <v/>
      </c>
      <c r="K549" s="26">
        <f>IF('DIVA Satislari'!I549="","",IFERROR(INDEX('E2E Nakliye Montaj'!$AS$3:$AS$1002,MATCH('DIVA Satislari'!AJ549,'E2E Nakliye Montaj'!$AM$3:$AM$1002,0)),"Eşleşme Yok"))</f>
        <v/>
      </c>
      <c r="L549" s="26">
        <f>IF('DIVA Satislari'!I549="","",IFERROR(INDEX('E2E Nakliye Montaj'!$AT$3:$AT$1002,MATCH('DIVA Satislari'!AJ549,'E2E Nakliye Montaj'!$AM$3:$AM$1002,0)),"Hayır"))</f>
        <v/>
      </c>
      <c r="M549" s="26">
        <f>IF('DIVA Satislari'!I549="","",IFERROR(INDEX('E2E Nakliye Montaj'!$AU$3:$AU$1002,MATCH('DIVA Satislari'!AJ549,'E2E Nakliye Montaj'!$AM$3:$AM$1002,0)),"Hayır"))</f>
        <v/>
      </c>
      <c r="N549" s="27">
        <f>IF('DIVA Satislari'!I549="","",IFERROR(INDEX('E2E Nakliye Montaj'!$AV$3:$AV$1002,MATCH('DIVA Satislari'!AJ549,'E2E Nakliye Montaj'!$AM$3:$AM$1002,0)),""))</f>
        <v/>
      </c>
      <c r="O549" s="26">
        <f>IF(OR(A549="",N549=""),"",IF(N549&lt;=H549,"Evet","HAYIR - RİSK"))</f>
        <v/>
      </c>
      <c r="P549" s="26">
        <f>IF(A549="","",IF(LEFT(J549,8)="Kural A ","Uygun - Hemen Ödenir (Yıl Sonu %75 Kontrolüne Tabi)",IF(OR(L549="Evet",M549="Evet"),IF(O549="Evet","Uygun","RİSK - Hakediş Süresi Aşıldı"),"Bekleniyor - Nakliye/Montaj Tamamlanmadı")))</f>
        <v/>
      </c>
      <c r="Q549" s="28">
        <f>IF(A549="","",SUMIFS('Hakedis Fatura Detay'!$G$3:$G$1200,'Hakedis Fatura Detay'!$H$3:$H$1200,'DIVA Satislari'!AJ549,'Hakedis Fatura Detay'!$F$3:$F$1200,"Fiyat Farkı")+SUMIFS('Hakedis Fatura Detay'!$G$3:$G$1200,'Hakedis Fatura Detay'!$H$3:$H$1200,'DIVA Satislari'!AJ549,'Hakedis Fatura Detay'!$F$3:$F$1200,"Bundle"))</f>
        <v/>
      </c>
      <c r="R549" s="28">
        <f>IF(A549="","",I549-Q549)</f>
        <v/>
      </c>
      <c r="S549" s="26">
        <f>IF(A549="","",IF(LEFT(P549,7)="Bekleni","N/A - Henüz Ödenmemeli",IF(LEFT(P549,4)="RİSK","İNCELEME GEREKLİ - Süre Aşımı",IF(R549=0,"Doğru",IF(R549&gt;0,"EKSİK ÖDENMİŞ","FAZLA ÖDENMİŞ")))))</f>
        <v/>
      </c>
      <c r="T549" s="30">
        <f>IF(A549="","",IF(F549&lt;&gt;"Evet","İNCELEME GEREKLİ - Kampanya Tanımsız",IF(G549&lt;&gt;"Evet","İNCELEME GEREKLİ - Tarih Dışı Satış",IF(LEFT(P549,4)="RİSK","İNCELEME GEREKLİ - Hakediş Süresi Aşıldı",IF(OR(S549="EKSİK ÖDENMİŞ",S549="FAZLA ÖDENMİŞ"),"İNCELEME GEREKLİ - Tutar Uyuşmazlığı",IF(LEFT(P549,7)="Bekleni","Bekleniyor","Uygun"))))))</f>
        <v/>
      </c>
    </row>
    <row r="550">
      <c r="A550" s="26">
        <f>IF('DIVA Satislari'!I550="","",'DIVA Satislari'!I550)</f>
        <v/>
      </c>
      <c r="B550" s="26">
        <f>IF('DIVA Satislari'!I550="","",'DIVA Satislari'!R550)</f>
        <v/>
      </c>
      <c r="C550" s="26">
        <f>IF('DIVA Satislari'!I550="","",'DIVA Satislari'!M550)</f>
        <v/>
      </c>
      <c r="D550" s="27">
        <f>IF('DIVA Satislari'!I550="","",'DIVA Satislari'!H550)</f>
        <v/>
      </c>
      <c r="E550" s="26">
        <f>IF('DIVA Satislari'!I550="","",'DIVA Satislari'!O550)</f>
        <v/>
      </c>
      <c r="F550" s="26">
        <f>IF('DIVA Satislari'!I550="","",'DIVA Satislari'!AK550)</f>
        <v/>
      </c>
      <c r="G550" s="26">
        <f>IF('DIVA Satislari'!I550="","",'DIVA Satislari'!AO550)</f>
        <v/>
      </c>
      <c r="H550" s="27">
        <f>IF('DIVA Satislari'!I550="","",'DIVA Satislari'!AN550)</f>
        <v/>
      </c>
      <c r="I550" s="28">
        <f>IF('DIVA Satislari'!I550="","",'DIVA Satislari'!AQ550)</f>
        <v/>
      </c>
      <c r="J550" s="26">
        <f>IF('DIVA Satislari'!I550="","",'DIVA Satislari'!AR550)</f>
        <v/>
      </c>
      <c r="K550" s="26">
        <f>IF('DIVA Satislari'!I550="","",IFERROR(INDEX('E2E Nakliye Montaj'!$AS$3:$AS$1002,MATCH('DIVA Satislari'!AJ550,'E2E Nakliye Montaj'!$AM$3:$AM$1002,0)),"Eşleşme Yok"))</f>
        <v/>
      </c>
      <c r="L550" s="26">
        <f>IF('DIVA Satislari'!I550="","",IFERROR(INDEX('E2E Nakliye Montaj'!$AT$3:$AT$1002,MATCH('DIVA Satislari'!AJ550,'E2E Nakliye Montaj'!$AM$3:$AM$1002,0)),"Hayır"))</f>
        <v/>
      </c>
      <c r="M550" s="26">
        <f>IF('DIVA Satislari'!I550="","",IFERROR(INDEX('E2E Nakliye Montaj'!$AU$3:$AU$1002,MATCH('DIVA Satislari'!AJ550,'E2E Nakliye Montaj'!$AM$3:$AM$1002,0)),"Hayır"))</f>
        <v/>
      </c>
      <c r="N550" s="27">
        <f>IF('DIVA Satislari'!I550="","",IFERROR(INDEX('E2E Nakliye Montaj'!$AV$3:$AV$1002,MATCH('DIVA Satislari'!AJ550,'E2E Nakliye Montaj'!$AM$3:$AM$1002,0)),""))</f>
        <v/>
      </c>
      <c r="O550" s="26">
        <f>IF(OR(A550="",N550=""),"",IF(N550&lt;=H550,"Evet","HAYIR - RİSK"))</f>
        <v/>
      </c>
      <c r="P550" s="26">
        <f>IF(A550="","",IF(LEFT(J550,8)="Kural A ","Uygun - Hemen Ödenir (Yıl Sonu %75 Kontrolüne Tabi)",IF(OR(L550="Evet",M550="Evet"),IF(O550="Evet","Uygun","RİSK - Hakediş Süresi Aşıldı"),"Bekleniyor - Nakliye/Montaj Tamamlanmadı")))</f>
        <v/>
      </c>
      <c r="Q550" s="28">
        <f>IF(A550="","",SUMIFS('Hakedis Fatura Detay'!$G$3:$G$1200,'Hakedis Fatura Detay'!$H$3:$H$1200,'DIVA Satislari'!AJ550,'Hakedis Fatura Detay'!$F$3:$F$1200,"Fiyat Farkı")+SUMIFS('Hakedis Fatura Detay'!$G$3:$G$1200,'Hakedis Fatura Detay'!$H$3:$H$1200,'DIVA Satislari'!AJ550,'Hakedis Fatura Detay'!$F$3:$F$1200,"Bundle"))</f>
        <v/>
      </c>
      <c r="R550" s="28">
        <f>IF(A550="","",I550-Q550)</f>
        <v/>
      </c>
      <c r="S550" s="26">
        <f>IF(A550="","",IF(LEFT(P550,7)="Bekleni","N/A - Henüz Ödenmemeli",IF(LEFT(P550,4)="RİSK","İNCELEME GEREKLİ - Süre Aşımı",IF(R550=0,"Doğru",IF(R550&gt;0,"EKSİK ÖDENMİŞ","FAZLA ÖDENMİŞ")))))</f>
        <v/>
      </c>
      <c r="T550" s="30">
        <f>IF(A550="","",IF(F550&lt;&gt;"Evet","İNCELEME GEREKLİ - Kampanya Tanımsız",IF(G550&lt;&gt;"Evet","İNCELEME GEREKLİ - Tarih Dışı Satış",IF(LEFT(P550,4)="RİSK","İNCELEME GEREKLİ - Hakediş Süresi Aşıldı",IF(OR(S550="EKSİK ÖDENMİŞ",S550="FAZLA ÖDENMİŞ"),"İNCELEME GEREKLİ - Tutar Uyuşmazlığı",IF(LEFT(P550,7)="Bekleni","Bekleniyor","Uygun"))))))</f>
        <v/>
      </c>
    </row>
    <row r="551">
      <c r="A551" s="26">
        <f>IF('DIVA Satislari'!I551="","",'DIVA Satislari'!I551)</f>
        <v/>
      </c>
      <c r="B551" s="26">
        <f>IF('DIVA Satislari'!I551="","",'DIVA Satislari'!R551)</f>
        <v/>
      </c>
      <c r="C551" s="26">
        <f>IF('DIVA Satislari'!I551="","",'DIVA Satislari'!M551)</f>
        <v/>
      </c>
      <c r="D551" s="27">
        <f>IF('DIVA Satislari'!I551="","",'DIVA Satislari'!H551)</f>
        <v/>
      </c>
      <c r="E551" s="26">
        <f>IF('DIVA Satislari'!I551="","",'DIVA Satislari'!O551)</f>
        <v/>
      </c>
      <c r="F551" s="26">
        <f>IF('DIVA Satislari'!I551="","",'DIVA Satislari'!AK551)</f>
        <v/>
      </c>
      <c r="G551" s="26">
        <f>IF('DIVA Satislari'!I551="","",'DIVA Satislari'!AO551)</f>
        <v/>
      </c>
      <c r="H551" s="27">
        <f>IF('DIVA Satislari'!I551="","",'DIVA Satislari'!AN551)</f>
        <v/>
      </c>
      <c r="I551" s="28">
        <f>IF('DIVA Satislari'!I551="","",'DIVA Satislari'!AQ551)</f>
        <v/>
      </c>
      <c r="J551" s="26">
        <f>IF('DIVA Satislari'!I551="","",'DIVA Satislari'!AR551)</f>
        <v/>
      </c>
      <c r="K551" s="26">
        <f>IF('DIVA Satislari'!I551="","",IFERROR(INDEX('E2E Nakliye Montaj'!$AS$3:$AS$1002,MATCH('DIVA Satislari'!AJ551,'E2E Nakliye Montaj'!$AM$3:$AM$1002,0)),"Eşleşme Yok"))</f>
        <v/>
      </c>
      <c r="L551" s="26">
        <f>IF('DIVA Satislari'!I551="","",IFERROR(INDEX('E2E Nakliye Montaj'!$AT$3:$AT$1002,MATCH('DIVA Satislari'!AJ551,'E2E Nakliye Montaj'!$AM$3:$AM$1002,0)),"Hayır"))</f>
        <v/>
      </c>
      <c r="M551" s="26">
        <f>IF('DIVA Satislari'!I551="","",IFERROR(INDEX('E2E Nakliye Montaj'!$AU$3:$AU$1002,MATCH('DIVA Satislari'!AJ551,'E2E Nakliye Montaj'!$AM$3:$AM$1002,0)),"Hayır"))</f>
        <v/>
      </c>
      <c r="N551" s="27">
        <f>IF('DIVA Satislari'!I551="","",IFERROR(INDEX('E2E Nakliye Montaj'!$AV$3:$AV$1002,MATCH('DIVA Satislari'!AJ551,'E2E Nakliye Montaj'!$AM$3:$AM$1002,0)),""))</f>
        <v/>
      </c>
      <c r="O551" s="26">
        <f>IF(OR(A551="",N551=""),"",IF(N551&lt;=H551,"Evet","HAYIR - RİSK"))</f>
        <v/>
      </c>
      <c r="P551" s="26">
        <f>IF(A551="","",IF(LEFT(J551,8)="Kural A ","Uygun - Hemen Ödenir (Yıl Sonu %75 Kontrolüne Tabi)",IF(OR(L551="Evet",M551="Evet"),IF(O551="Evet","Uygun","RİSK - Hakediş Süresi Aşıldı"),"Bekleniyor - Nakliye/Montaj Tamamlanmadı")))</f>
        <v/>
      </c>
      <c r="Q551" s="28">
        <f>IF(A551="","",SUMIFS('Hakedis Fatura Detay'!$G$3:$G$1200,'Hakedis Fatura Detay'!$H$3:$H$1200,'DIVA Satislari'!AJ551,'Hakedis Fatura Detay'!$F$3:$F$1200,"Fiyat Farkı")+SUMIFS('Hakedis Fatura Detay'!$G$3:$G$1200,'Hakedis Fatura Detay'!$H$3:$H$1200,'DIVA Satislari'!AJ551,'Hakedis Fatura Detay'!$F$3:$F$1200,"Bundle"))</f>
        <v/>
      </c>
      <c r="R551" s="28">
        <f>IF(A551="","",I551-Q551)</f>
        <v/>
      </c>
      <c r="S551" s="26">
        <f>IF(A551="","",IF(LEFT(P551,7)="Bekleni","N/A - Henüz Ödenmemeli",IF(LEFT(P551,4)="RİSK","İNCELEME GEREKLİ - Süre Aşımı",IF(R551=0,"Doğru",IF(R551&gt;0,"EKSİK ÖDENMİŞ","FAZLA ÖDENMİŞ")))))</f>
        <v/>
      </c>
      <c r="T551" s="30">
        <f>IF(A551="","",IF(F551&lt;&gt;"Evet","İNCELEME GEREKLİ - Kampanya Tanımsız",IF(G551&lt;&gt;"Evet","İNCELEME GEREKLİ - Tarih Dışı Satış",IF(LEFT(P551,4)="RİSK","İNCELEME GEREKLİ - Hakediş Süresi Aşıldı",IF(OR(S551="EKSİK ÖDENMİŞ",S551="FAZLA ÖDENMİŞ"),"İNCELEME GEREKLİ - Tutar Uyuşmazlığı",IF(LEFT(P551,7)="Bekleni","Bekleniyor","Uygun"))))))</f>
        <v/>
      </c>
    </row>
    <row r="552">
      <c r="A552" s="26">
        <f>IF('DIVA Satislari'!I552="","",'DIVA Satislari'!I552)</f>
        <v/>
      </c>
      <c r="B552" s="26">
        <f>IF('DIVA Satislari'!I552="","",'DIVA Satislari'!R552)</f>
        <v/>
      </c>
      <c r="C552" s="26">
        <f>IF('DIVA Satislari'!I552="","",'DIVA Satislari'!M552)</f>
        <v/>
      </c>
      <c r="D552" s="27">
        <f>IF('DIVA Satislari'!I552="","",'DIVA Satislari'!H552)</f>
        <v/>
      </c>
      <c r="E552" s="26">
        <f>IF('DIVA Satislari'!I552="","",'DIVA Satislari'!O552)</f>
        <v/>
      </c>
      <c r="F552" s="26">
        <f>IF('DIVA Satislari'!I552="","",'DIVA Satislari'!AK552)</f>
        <v/>
      </c>
      <c r="G552" s="26">
        <f>IF('DIVA Satislari'!I552="","",'DIVA Satislari'!AO552)</f>
        <v/>
      </c>
      <c r="H552" s="27">
        <f>IF('DIVA Satislari'!I552="","",'DIVA Satislari'!AN552)</f>
        <v/>
      </c>
      <c r="I552" s="28">
        <f>IF('DIVA Satislari'!I552="","",'DIVA Satislari'!AQ552)</f>
        <v/>
      </c>
      <c r="J552" s="26">
        <f>IF('DIVA Satislari'!I552="","",'DIVA Satislari'!AR552)</f>
        <v/>
      </c>
      <c r="K552" s="26">
        <f>IF('DIVA Satislari'!I552="","",IFERROR(INDEX('E2E Nakliye Montaj'!$AS$3:$AS$1002,MATCH('DIVA Satislari'!AJ552,'E2E Nakliye Montaj'!$AM$3:$AM$1002,0)),"Eşleşme Yok"))</f>
        <v/>
      </c>
      <c r="L552" s="26">
        <f>IF('DIVA Satislari'!I552="","",IFERROR(INDEX('E2E Nakliye Montaj'!$AT$3:$AT$1002,MATCH('DIVA Satislari'!AJ552,'E2E Nakliye Montaj'!$AM$3:$AM$1002,0)),"Hayır"))</f>
        <v/>
      </c>
      <c r="M552" s="26">
        <f>IF('DIVA Satislari'!I552="","",IFERROR(INDEX('E2E Nakliye Montaj'!$AU$3:$AU$1002,MATCH('DIVA Satislari'!AJ552,'E2E Nakliye Montaj'!$AM$3:$AM$1002,0)),"Hayır"))</f>
        <v/>
      </c>
      <c r="N552" s="27">
        <f>IF('DIVA Satislari'!I552="","",IFERROR(INDEX('E2E Nakliye Montaj'!$AV$3:$AV$1002,MATCH('DIVA Satislari'!AJ552,'E2E Nakliye Montaj'!$AM$3:$AM$1002,0)),""))</f>
        <v/>
      </c>
      <c r="O552" s="26">
        <f>IF(OR(A552="",N552=""),"",IF(N552&lt;=H552,"Evet","HAYIR - RİSK"))</f>
        <v/>
      </c>
      <c r="P552" s="26">
        <f>IF(A552="","",IF(LEFT(J552,8)="Kural A ","Uygun - Hemen Ödenir (Yıl Sonu %75 Kontrolüne Tabi)",IF(OR(L552="Evet",M552="Evet"),IF(O552="Evet","Uygun","RİSK - Hakediş Süresi Aşıldı"),"Bekleniyor - Nakliye/Montaj Tamamlanmadı")))</f>
        <v/>
      </c>
      <c r="Q552" s="28">
        <f>IF(A552="","",SUMIFS('Hakedis Fatura Detay'!$G$3:$G$1200,'Hakedis Fatura Detay'!$H$3:$H$1200,'DIVA Satislari'!AJ552,'Hakedis Fatura Detay'!$F$3:$F$1200,"Fiyat Farkı")+SUMIFS('Hakedis Fatura Detay'!$G$3:$G$1200,'Hakedis Fatura Detay'!$H$3:$H$1200,'DIVA Satislari'!AJ552,'Hakedis Fatura Detay'!$F$3:$F$1200,"Bundle"))</f>
        <v/>
      </c>
      <c r="R552" s="28">
        <f>IF(A552="","",I552-Q552)</f>
        <v/>
      </c>
      <c r="S552" s="26">
        <f>IF(A552="","",IF(LEFT(P552,7)="Bekleni","N/A - Henüz Ödenmemeli",IF(LEFT(P552,4)="RİSK","İNCELEME GEREKLİ - Süre Aşımı",IF(R552=0,"Doğru",IF(R552&gt;0,"EKSİK ÖDENMİŞ","FAZLA ÖDENMİŞ")))))</f>
        <v/>
      </c>
      <c r="T552" s="30">
        <f>IF(A552="","",IF(F552&lt;&gt;"Evet","İNCELEME GEREKLİ - Kampanya Tanımsız",IF(G552&lt;&gt;"Evet","İNCELEME GEREKLİ - Tarih Dışı Satış",IF(LEFT(P552,4)="RİSK","İNCELEME GEREKLİ - Hakediş Süresi Aşıldı",IF(OR(S552="EKSİK ÖDENMİŞ",S552="FAZLA ÖDENMİŞ"),"İNCELEME GEREKLİ - Tutar Uyuşmazlığı",IF(LEFT(P552,7)="Bekleni","Bekleniyor","Uygun"))))))</f>
        <v/>
      </c>
    </row>
    <row r="553">
      <c r="A553" s="26">
        <f>IF('DIVA Satislari'!I553="","",'DIVA Satislari'!I553)</f>
        <v/>
      </c>
      <c r="B553" s="26">
        <f>IF('DIVA Satislari'!I553="","",'DIVA Satislari'!R553)</f>
        <v/>
      </c>
      <c r="C553" s="26">
        <f>IF('DIVA Satislari'!I553="","",'DIVA Satislari'!M553)</f>
        <v/>
      </c>
      <c r="D553" s="27">
        <f>IF('DIVA Satislari'!I553="","",'DIVA Satislari'!H553)</f>
        <v/>
      </c>
      <c r="E553" s="26">
        <f>IF('DIVA Satislari'!I553="","",'DIVA Satislari'!O553)</f>
        <v/>
      </c>
      <c r="F553" s="26">
        <f>IF('DIVA Satislari'!I553="","",'DIVA Satislari'!AK553)</f>
        <v/>
      </c>
      <c r="G553" s="26">
        <f>IF('DIVA Satislari'!I553="","",'DIVA Satislari'!AO553)</f>
        <v/>
      </c>
      <c r="H553" s="27">
        <f>IF('DIVA Satislari'!I553="","",'DIVA Satislari'!AN553)</f>
        <v/>
      </c>
      <c r="I553" s="28">
        <f>IF('DIVA Satislari'!I553="","",'DIVA Satislari'!AQ553)</f>
        <v/>
      </c>
      <c r="J553" s="26">
        <f>IF('DIVA Satislari'!I553="","",'DIVA Satislari'!AR553)</f>
        <v/>
      </c>
      <c r="K553" s="26">
        <f>IF('DIVA Satislari'!I553="","",IFERROR(INDEX('E2E Nakliye Montaj'!$AS$3:$AS$1002,MATCH('DIVA Satislari'!AJ553,'E2E Nakliye Montaj'!$AM$3:$AM$1002,0)),"Eşleşme Yok"))</f>
        <v/>
      </c>
      <c r="L553" s="26">
        <f>IF('DIVA Satislari'!I553="","",IFERROR(INDEX('E2E Nakliye Montaj'!$AT$3:$AT$1002,MATCH('DIVA Satislari'!AJ553,'E2E Nakliye Montaj'!$AM$3:$AM$1002,0)),"Hayır"))</f>
        <v/>
      </c>
      <c r="M553" s="26">
        <f>IF('DIVA Satislari'!I553="","",IFERROR(INDEX('E2E Nakliye Montaj'!$AU$3:$AU$1002,MATCH('DIVA Satislari'!AJ553,'E2E Nakliye Montaj'!$AM$3:$AM$1002,0)),"Hayır"))</f>
        <v/>
      </c>
      <c r="N553" s="27">
        <f>IF('DIVA Satislari'!I553="","",IFERROR(INDEX('E2E Nakliye Montaj'!$AV$3:$AV$1002,MATCH('DIVA Satislari'!AJ553,'E2E Nakliye Montaj'!$AM$3:$AM$1002,0)),""))</f>
        <v/>
      </c>
      <c r="O553" s="26">
        <f>IF(OR(A553="",N553=""),"",IF(N553&lt;=H553,"Evet","HAYIR - RİSK"))</f>
        <v/>
      </c>
      <c r="P553" s="26">
        <f>IF(A553="","",IF(LEFT(J553,8)="Kural A ","Uygun - Hemen Ödenir (Yıl Sonu %75 Kontrolüne Tabi)",IF(OR(L553="Evet",M553="Evet"),IF(O553="Evet","Uygun","RİSK - Hakediş Süresi Aşıldı"),"Bekleniyor - Nakliye/Montaj Tamamlanmadı")))</f>
        <v/>
      </c>
      <c r="Q553" s="28">
        <f>IF(A553="","",SUMIFS('Hakedis Fatura Detay'!$G$3:$G$1200,'Hakedis Fatura Detay'!$H$3:$H$1200,'DIVA Satislari'!AJ553,'Hakedis Fatura Detay'!$F$3:$F$1200,"Fiyat Farkı")+SUMIFS('Hakedis Fatura Detay'!$G$3:$G$1200,'Hakedis Fatura Detay'!$H$3:$H$1200,'DIVA Satislari'!AJ553,'Hakedis Fatura Detay'!$F$3:$F$1200,"Bundle"))</f>
        <v/>
      </c>
      <c r="R553" s="28">
        <f>IF(A553="","",I553-Q553)</f>
        <v/>
      </c>
      <c r="S553" s="26">
        <f>IF(A553="","",IF(LEFT(P553,7)="Bekleni","N/A - Henüz Ödenmemeli",IF(LEFT(P553,4)="RİSK","İNCELEME GEREKLİ - Süre Aşımı",IF(R553=0,"Doğru",IF(R553&gt;0,"EKSİK ÖDENMİŞ","FAZLA ÖDENMİŞ")))))</f>
        <v/>
      </c>
      <c r="T553" s="30">
        <f>IF(A553="","",IF(F553&lt;&gt;"Evet","İNCELEME GEREKLİ - Kampanya Tanımsız",IF(G553&lt;&gt;"Evet","İNCELEME GEREKLİ - Tarih Dışı Satış",IF(LEFT(P553,4)="RİSK","İNCELEME GEREKLİ - Hakediş Süresi Aşıldı",IF(OR(S553="EKSİK ÖDENMİŞ",S553="FAZLA ÖDENMİŞ"),"İNCELEME GEREKLİ - Tutar Uyuşmazlığı",IF(LEFT(P553,7)="Bekleni","Bekleniyor","Uygun"))))))</f>
        <v/>
      </c>
    </row>
    <row r="554">
      <c r="A554" s="26">
        <f>IF('DIVA Satislari'!I554="","",'DIVA Satislari'!I554)</f>
        <v/>
      </c>
      <c r="B554" s="26">
        <f>IF('DIVA Satislari'!I554="","",'DIVA Satislari'!R554)</f>
        <v/>
      </c>
      <c r="C554" s="26">
        <f>IF('DIVA Satislari'!I554="","",'DIVA Satislari'!M554)</f>
        <v/>
      </c>
      <c r="D554" s="27">
        <f>IF('DIVA Satislari'!I554="","",'DIVA Satislari'!H554)</f>
        <v/>
      </c>
      <c r="E554" s="26">
        <f>IF('DIVA Satislari'!I554="","",'DIVA Satislari'!O554)</f>
        <v/>
      </c>
      <c r="F554" s="26">
        <f>IF('DIVA Satislari'!I554="","",'DIVA Satislari'!AK554)</f>
        <v/>
      </c>
      <c r="G554" s="26">
        <f>IF('DIVA Satislari'!I554="","",'DIVA Satislari'!AO554)</f>
        <v/>
      </c>
      <c r="H554" s="27">
        <f>IF('DIVA Satislari'!I554="","",'DIVA Satislari'!AN554)</f>
        <v/>
      </c>
      <c r="I554" s="28">
        <f>IF('DIVA Satislari'!I554="","",'DIVA Satislari'!AQ554)</f>
        <v/>
      </c>
      <c r="J554" s="26">
        <f>IF('DIVA Satislari'!I554="","",'DIVA Satislari'!AR554)</f>
        <v/>
      </c>
      <c r="K554" s="26">
        <f>IF('DIVA Satislari'!I554="","",IFERROR(INDEX('E2E Nakliye Montaj'!$AS$3:$AS$1002,MATCH('DIVA Satislari'!AJ554,'E2E Nakliye Montaj'!$AM$3:$AM$1002,0)),"Eşleşme Yok"))</f>
        <v/>
      </c>
      <c r="L554" s="26">
        <f>IF('DIVA Satislari'!I554="","",IFERROR(INDEX('E2E Nakliye Montaj'!$AT$3:$AT$1002,MATCH('DIVA Satislari'!AJ554,'E2E Nakliye Montaj'!$AM$3:$AM$1002,0)),"Hayır"))</f>
        <v/>
      </c>
      <c r="M554" s="26">
        <f>IF('DIVA Satislari'!I554="","",IFERROR(INDEX('E2E Nakliye Montaj'!$AU$3:$AU$1002,MATCH('DIVA Satislari'!AJ554,'E2E Nakliye Montaj'!$AM$3:$AM$1002,0)),"Hayır"))</f>
        <v/>
      </c>
      <c r="N554" s="27">
        <f>IF('DIVA Satislari'!I554="","",IFERROR(INDEX('E2E Nakliye Montaj'!$AV$3:$AV$1002,MATCH('DIVA Satislari'!AJ554,'E2E Nakliye Montaj'!$AM$3:$AM$1002,0)),""))</f>
        <v/>
      </c>
      <c r="O554" s="26">
        <f>IF(OR(A554="",N554=""),"",IF(N554&lt;=H554,"Evet","HAYIR - RİSK"))</f>
        <v/>
      </c>
      <c r="P554" s="26">
        <f>IF(A554="","",IF(LEFT(J554,8)="Kural A ","Uygun - Hemen Ödenir (Yıl Sonu %75 Kontrolüne Tabi)",IF(OR(L554="Evet",M554="Evet"),IF(O554="Evet","Uygun","RİSK - Hakediş Süresi Aşıldı"),"Bekleniyor - Nakliye/Montaj Tamamlanmadı")))</f>
        <v/>
      </c>
      <c r="Q554" s="28">
        <f>IF(A554="","",SUMIFS('Hakedis Fatura Detay'!$G$3:$G$1200,'Hakedis Fatura Detay'!$H$3:$H$1200,'DIVA Satislari'!AJ554,'Hakedis Fatura Detay'!$F$3:$F$1200,"Fiyat Farkı")+SUMIFS('Hakedis Fatura Detay'!$G$3:$G$1200,'Hakedis Fatura Detay'!$H$3:$H$1200,'DIVA Satislari'!AJ554,'Hakedis Fatura Detay'!$F$3:$F$1200,"Bundle"))</f>
        <v/>
      </c>
      <c r="R554" s="28">
        <f>IF(A554="","",I554-Q554)</f>
        <v/>
      </c>
      <c r="S554" s="26">
        <f>IF(A554="","",IF(LEFT(P554,7)="Bekleni","N/A - Henüz Ödenmemeli",IF(LEFT(P554,4)="RİSK","İNCELEME GEREKLİ - Süre Aşımı",IF(R554=0,"Doğru",IF(R554&gt;0,"EKSİK ÖDENMİŞ","FAZLA ÖDENMİŞ")))))</f>
        <v/>
      </c>
      <c r="T554" s="30">
        <f>IF(A554="","",IF(F554&lt;&gt;"Evet","İNCELEME GEREKLİ - Kampanya Tanımsız",IF(G554&lt;&gt;"Evet","İNCELEME GEREKLİ - Tarih Dışı Satış",IF(LEFT(P554,4)="RİSK","İNCELEME GEREKLİ - Hakediş Süresi Aşıldı",IF(OR(S554="EKSİK ÖDENMİŞ",S554="FAZLA ÖDENMİŞ"),"İNCELEME GEREKLİ - Tutar Uyuşmazlığı",IF(LEFT(P554,7)="Bekleni","Bekleniyor","Uygun"))))))</f>
        <v/>
      </c>
    </row>
    <row r="555">
      <c r="A555" s="26">
        <f>IF('DIVA Satislari'!I555="","",'DIVA Satislari'!I555)</f>
        <v/>
      </c>
      <c r="B555" s="26">
        <f>IF('DIVA Satislari'!I555="","",'DIVA Satislari'!R555)</f>
        <v/>
      </c>
      <c r="C555" s="26">
        <f>IF('DIVA Satislari'!I555="","",'DIVA Satislari'!M555)</f>
        <v/>
      </c>
      <c r="D555" s="27">
        <f>IF('DIVA Satislari'!I555="","",'DIVA Satislari'!H555)</f>
        <v/>
      </c>
      <c r="E555" s="26">
        <f>IF('DIVA Satislari'!I555="","",'DIVA Satislari'!O555)</f>
        <v/>
      </c>
      <c r="F555" s="26">
        <f>IF('DIVA Satislari'!I555="","",'DIVA Satislari'!AK555)</f>
        <v/>
      </c>
      <c r="G555" s="26">
        <f>IF('DIVA Satislari'!I555="","",'DIVA Satislari'!AO555)</f>
        <v/>
      </c>
      <c r="H555" s="27">
        <f>IF('DIVA Satislari'!I555="","",'DIVA Satislari'!AN555)</f>
        <v/>
      </c>
      <c r="I555" s="28">
        <f>IF('DIVA Satislari'!I555="","",'DIVA Satislari'!AQ555)</f>
        <v/>
      </c>
      <c r="J555" s="26">
        <f>IF('DIVA Satislari'!I555="","",'DIVA Satislari'!AR555)</f>
        <v/>
      </c>
      <c r="K555" s="26">
        <f>IF('DIVA Satislari'!I555="","",IFERROR(INDEX('E2E Nakliye Montaj'!$AS$3:$AS$1002,MATCH('DIVA Satislari'!AJ555,'E2E Nakliye Montaj'!$AM$3:$AM$1002,0)),"Eşleşme Yok"))</f>
        <v/>
      </c>
      <c r="L555" s="26">
        <f>IF('DIVA Satislari'!I555="","",IFERROR(INDEX('E2E Nakliye Montaj'!$AT$3:$AT$1002,MATCH('DIVA Satislari'!AJ555,'E2E Nakliye Montaj'!$AM$3:$AM$1002,0)),"Hayır"))</f>
        <v/>
      </c>
      <c r="M555" s="26">
        <f>IF('DIVA Satislari'!I555="","",IFERROR(INDEX('E2E Nakliye Montaj'!$AU$3:$AU$1002,MATCH('DIVA Satislari'!AJ555,'E2E Nakliye Montaj'!$AM$3:$AM$1002,0)),"Hayır"))</f>
        <v/>
      </c>
      <c r="N555" s="27">
        <f>IF('DIVA Satislari'!I555="","",IFERROR(INDEX('E2E Nakliye Montaj'!$AV$3:$AV$1002,MATCH('DIVA Satislari'!AJ555,'E2E Nakliye Montaj'!$AM$3:$AM$1002,0)),""))</f>
        <v/>
      </c>
      <c r="O555" s="26">
        <f>IF(OR(A555="",N555=""),"",IF(N555&lt;=H555,"Evet","HAYIR - RİSK"))</f>
        <v/>
      </c>
      <c r="P555" s="26">
        <f>IF(A555="","",IF(LEFT(J555,8)="Kural A ","Uygun - Hemen Ödenir (Yıl Sonu %75 Kontrolüne Tabi)",IF(OR(L555="Evet",M555="Evet"),IF(O555="Evet","Uygun","RİSK - Hakediş Süresi Aşıldı"),"Bekleniyor - Nakliye/Montaj Tamamlanmadı")))</f>
        <v/>
      </c>
      <c r="Q555" s="28">
        <f>IF(A555="","",SUMIFS('Hakedis Fatura Detay'!$G$3:$G$1200,'Hakedis Fatura Detay'!$H$3:$H$1200,'DIVA Satislari'!AJ555,'Hakedis Fatura Detay'!$F$3:$F$1200,"Fiyat Farkı")+SUMIFS('Hakedis Fatura Detay'!$G$3:$G$1200,'Hakedis Fatura Detay'!$H$3:$H$1200,'DIVA Satislari'!AJ555,'Hakedis Fatura Detay'!$F$3:$F$1200,"Bundle"))</f>
        <v/>
      </c>
      <c r="R555" s="28">
        <f>IF(A555="","",I555-Q555)</f>
        <v/>
      </c>
      <c r="S555" s="26">
        <f>IF(A555="","",IF(LEFT(P555,7)="Bekleni","N/A - Henüz Ödenmemeli",IF(LEFT(P555,4)="RİSK","İNCELEME GEREKLİ - Süre Aşımı",IF(R555=0,"Doğru",IF(R555&gt;0,"EKSİK ÖDENMİŞ","FAZLA ÖDENMİŞ")))))</f>
        <v/>
      </c>
      <c r="T555" s="30">
        <f>IF(A555="","",IF(F555&lt;&gt;"Evet","İNCELEME GEREKLİ - Kampanya Tanımsız",IF(G555&lt;&gt;"Evet","İNCELEME GEREKLİ - Tarih Dışı Satış",IF(LEFT(P555,4)="RİSK","İNCELEME GEREKLİ - Hakediş Süresi Aşıldı",IF(OR(S555="EKSİK ÖDENMİŞ",S555="FAZLA ÖDENMİŞ"),"İNCELEME GEREKLİ - Tutar Uyuşmazlığı",IF(LEFT(P555,7)="Bekleni","Bekleniyor","Uygun"))))))</f>
        <v/>
      </c>
    </row>
    <row r="556">
      <c r="A556" s="26">
        <f>IF('DIVA Satislari'!I556="","",'DIVA Satislari'!I556)</f>
        <v/>
      </c>
      <c r="B556" s="26">
        <f>IF('DIVA Satislari'!I556="","",'DIVA Satislari'!R556)</f>
        <v/>
      </c>
      <c r="C556" s="26">
        <f>IF('DIVA Satislari'!I556="","",'DIVA Satislari'!M556)</f>
        <v/>
      </c>
      <c r="D556" s="27">
        <f>IF('DIVA Satislari'!I556="","",'DIVA Satislari'!H556)</f>
        <v/>
      </c>
      <c r="E556" s="26">
        <f>IF('DIVA Satislari'!I556="","",'DIVA Satislari'!O556)</f>
        <v/>
      </c>
      <c r="F556" s="26">
        <f>IF('DIVA Satislari'!I556="","",'DIVA Satislari'!AK556)</f>
        <v/>
      </c>
      <c r="G556" s="26">
        <f>IF('DIVA Satislari'!I556="","",'DIVA Satislari'!AO556)</f>
        <v/>
      </c>
      <c r="H556" s="27">
        <f>IF('DIVA Satislari'!I556="","",'DIVA Satislari'!AN556)</f>
        <v/>
      </c>
      <c r="I556" s="28">
        <f>IF('DIVA Satislari'!I556="","",'DIVA Satislari'!AQ556)</f>
        <v/>
      </c>
      <c r="J556" s="26">
        <f>IF('DIVA Satislari'!I556="","",'DIVA Satislari'!AR556)</f>
        <v/>
      </c>
      <c r="K556" s="26">
        <f>IF('DIVA Satislari'!I556="","",IFERROR(INDEX('E2E Nakliye Montaj'!$AS$3:$AS$1002,MATCH('DIVA Satislari'!AJ556,'E2E Nakliye Montaj'!$AM$3:$AM$1002,0)),"Eşleşme Yok"))</f>
        <v/>
      </c>
      <c r="L556" s="26">
        <f>IF('DIVA Satislari'!I556="","",IFERROR(INDEX('E2E Nakliye Montaj'!$AT$3:$AT$1002,MATCH('DIVA Satislari'!AJ556,'E2E Nakliye Montaj'!$AM$3:$AM$1002,0)),"Hayır"))</f>
        <v/>
      </c>
      <c r="M556" s="26">
        <f>IF('DIVA Satislari'!I556="","",IFERROR(INDEX('E2E Nakliye Montaj'!$AU$3:$AU$1002,MATCH('DIVA Satislari'!AJ556,'E2E Nakliye Montaj'!$AM$3:$AM$1002,0)),"Hayır"))</f>
        <v/>
      </c>
      <c r="N556" s="27">
        <f>IF('DIVA Satislari'!I556="","",IFERROR(INDEX('E2E Nakliye Montaj'!$AV$3:$AV$1002,MATCH('DIVA Satislari'!AJ556,'E2E Nakliye Montaj'!$AM$3:$AM$1002,0)),""))</f>
        <v/>
      </c>
      <c r="O556" s="26">
        <f>IF(OR(A556="",N556=""),"",IF(N556&lt;=H556,"Evet","HAYIR - RİSK"))</f>
        <v/>
      </c>
      <c r="P556" s="26">
        <f>IF(A556="","",IF(LEFT(J556,8)="Kural A ","Uygun - Hemen Ödenir (Yıl Sonu %75 Kontrolüne Tabi)",IF(OR(L556="Evet",M556="Evet"),IF(O556="Evet","Uygun","RİSK - Hakediş Süresi Aşıldı"),"Bekleniyor - Nakliye/Montaj Tamamlanmadı")))</f>
        <v/>
      </c>
      <c r="Q556" s="28">
        <f>IF(A556="","",SUMIFS('Hakedis Fatura Detay'!$G$3:$G$1200,'Hakedis Fatura Detay'!$H$3:$H$1200,'DIVA Satislari'!AJ556,'Hakedis Fatura Detay'!$F$3:$F$1200,"Fiyat Farkı")+SUMIFS('Hakedis Fatura Detay'!$G$3:$G$1200,'Hakedis Fatura Detay'!$H$3:$H$1200,'DIVA Satislari'!AJ556,'Hakedis Fatura Detay'!$F$3:$F$1200,"Bundle"))</f>
        <v/>
      </c>
      <c r="R556" s="28">
        <f>IF(A556="","",I556-Q556)</f>
        <v/>
      </c>
      <c r="S556" s="26">
        <f>IF(A556="","",IF(LEFT(P556,7)="Bekleni","N/A - Henüz Ödenmemeli",IF(LEFT(P556,4)="RİSK","İNCELEME GEREKLİ - Süre Aşımı",IF(R556=0,"Doğru",IF(R556&gt;0,"EKSİK ÖDENMİŞ","FAZLA ÖDENMİŞ")))))</f>
        <v/>
      </c>
      <c r="T556" s="30">
        <f>IF(A556="","",IF(F556&lt;&gt;"Evet","İNCELEME GEREKLİ - Kampanya Tanımsız",IF(G556&lt;&gt;"Evet","İNCELEME GEREKLİ - Tarih Dışı Satış",IF(LEFT(P556,4)="RİSK","İNCELEME GEREKLİ - Hakediş Süresi Aşıldı",IF(OR(S556="EKSİK ÖDENMİŞ",S556="FAZLA ÖDENMİŞ"),"İNCELEME GEREKLİ - Tutar Uyuşmazlığı",IF(LEFT(P556,7)="Bekleni","Bekleniyor","Uygun"))))))</f>
        <v/>
      </c>
    </row>
    <row r="557">
      <c r="A557" s="26">
        <f>IF('DIVA Satislari'!I557="","",'DIVA Satislari'!I557)</f>
        <v/>
      </c>
      <c r="B557" s="26">
        <f>IF('DIVA Satislari'!I557="","",'DIVA Satislari'!R557)</f>
        <v/>
      </c>
      <c r="C557" s="26">
        <f>IF('DIVA Satislari'!I557="","",'DIVA Satislari'!M557)</f>
        <v/>
      </c>
      <c r="D557" s="27">
        <f>IF('DIVA Satislari'!I557="","",'DIVA Satislari'!H557)</f>
        <v/>
      </c>
      <c r="E557" s="26">
        <f>IF('DIVA Satislari'!I557="","",'DIVA Satislari'!O557)</f>
        <v/>
      </c>
      <c r="F557" s="26">
        <f>IF('DIVA Satislari'!I557="","",'DIVA Satislari'!AK557)</f>
        <v/>
      </c>
      <c r="G557" s="26">
        <f>IF('DIVA Satislari'!I557="","",'DIVA Satislari'!AO557)</f>
        <v/>
      </c>
      <c r="H557" s="27">
        <f>IF('DIVA Satislari'!I557="","",'DIVA Satislari'!AN557)</f>
        <v/>
      </c>
      <c r="I557" s="28">
        <f>IF('DIVA Satislari'!I557="","",'DIVA Satislari'!AQ557)</f>
        <v/>
      </c>
      <c r="J557" s="26">
        <f>IF('DIVA Satislari'!I557="","",'DIVA Satislari'!AR557)</f>
        <v/>
      </c>
      <c r="K557" s="26">
        <f>IF('DIVA Satislari'!I557="","",IFERROR(INDEX('E2E Nakliye Montaj'!$AS$3:$AS$1002,MATCH('DIVA Satislari'!AJ557,'E2E Nakliye Montaj'!$AM$3:$AM$1002,0)),"Eşleşme Yok"))</f>
        <v/>
      </c>
      <c r="L557" s="26">
        <f>IF('DIVA Satislari'!I557="","",IFERROR(INDEX('E2E Nakliye Montaj'!$AT$3:$AT$1002,MATCH('DIVA Satislari'!AJ557,'E2E Nakliye Montaj'!$AM$3:$AM$1002,0)),"Hayır"))</f>
        <v/>
      </c>
      <c r="M557" s="26">
        <f>IF('DIVA Satislari'!I557="","",IFERROR(INDEX('E2E Nakliye Montaj'!$AU$3:$AU$1002,MATCH('DIVA Satislari'!AJ557,'E2E Nakliye Montaj'!$AM$3:$AM$1002,0)),"Hayır"))</f>
        <v/>
      </c>
      <c r="N557" s="27">
        <f>IF('DIVA Satislari'!I557="","",IFERROR(INDEX('E2E Nakliye Montaj'!$AV$3:$AV$1002,MATCH('DIVA Satislari'!AJ557,'E2E Nakliye Montaj'!$AM$3:$AM$1002,0)),""))</f>
        <v/>
      </c>
      <c r="O557" s="26">
        <f>IF(OR(A557="",N557=""),"",IF(N557&lt;=H557,"Evet","HAYIR - RİSK"))</f>
        <v/>
      </c>
      <c r="P557" s="26">
        <f>IF(A557="","",IF(LEFT(J557,8)="Kural A ","Uygun - Hemen Ödenir (Yıl Sonu %75 Kontrolüne Tabi)",IF(OR(L557="Evet",M557="Evet"),IF(O557="Evet","Uygun","RİSK - Hakediş Süresi Aşıldı"),"Bekleniyor - Nakliye/Montaj Tamamlanmadı")))</f>
        <v/>
      </c>
      <c r="Q557" s="28">
        <f>IF(A557="","",SUMIFS('Hakedis Fatura Detay'!$G$3:$G$1200,'Hakedis Fatura Detay'!$H$3:$H$1200,'DIVA Satislari'!AJ557,'Hakedis Fatura Detay'!$F$3:$F$1200,"Fiyat Farkı")+SUMIFS('Hakedis Fatura Detay'!$G$3:$G$1200,'Hakedis Fatura Detay'!$H$3:$H$1200,'DIVA Satislari'!AJ557,'Hakedis Fatura Detay'!$F$3:$F$1200,"Bundle"))</f>
        <v/>
      </c>
      <c r="R557" s="28">
        <f>IF(A557="","",I557-Q557)</f>
        <v/>
      </c>
      <c r="S557" s="26">
        <f>IF(A557="","",IF(LEFT(P557,7)="Bekleni","N/A - Henüz Ödenmemeli",IF(LEFT(P557,4)="RİSK","İNCELEME GEREKLİ - Süre Aşımı",IF(R557=0,"Doğru",IF(R557&gt;0,"EKSİK ÖDENMİŞ","FAZLA ÖDENMİŞ")))))</f>
        <v/>
      </c>
      <c r="T557" s="30">
        <f>IF(A557="","",IF(F557&lt;&gt;"Evet","İNCELEME GEREKLİ - Kampanya Tanımsız",IF(G557&lt;&gt;"Evet","İNCELEME GEREKLİ - Tarih Dışı Satış",IF(LEFT(P557,4)="RİSK","İNCELEME GEREKLİ - Hakediş Süresi Aşıldı",IF(OR(S557="EKSİK ÖDENMİŞ",S557="FAZLA ÖDENMİŞ"),"İNCELEME GEREKLİ - Tutar Uyuşmazlığı",IF(LEFT(P557,7)="Bekleni","Bekleniyor","Uygun"))))))</f>
        <v/>
      </c>
    </row>
    <row r="558">
      <c r="A558" s="26">
        <f>IF('DIVA Satislari'!I558="","",'DIVA Satislari'!I558)</f>
        <v/>
      </c>
      <c r="B558" s="26">
        <f>IF('DIVA Satislari'!I558="","",'DIVA Satislari'!R558)</f>
        <v/>
      </c>
      <c r="C558" s="26">
        <f>IF('DIVA Satislari'!I558="","",'DIVA Satislari'!M558)</f>
        <v/>
      </c>
      <c r="D558" s="27">
        <f>IF('DIVA Satislari'!I558="","",'DIVA Satislari'!H558)</f>
        <v/>
      </c>
      <c r="E558" s="26">
        <f>IF('DIVA Satislari'!I558="","",'DIVA Satislari'!O558)</f>
        <v/>
      </c>
      <c r="F558" s="26">
        <f>IF('DIVA Satislari'!I558="","",'DIVA Satislari'!AK558)</f>
        <v/>
      </c>
      <c r="G558" s="26">
        <f>IF('DIVA Satislari'!I558="","",'DIVA Satislari'!AO558)</f>
        <v/>
      </c>
      <c r="H558" s="27">
        <f>IF('DIVA Satislari'!I558="","",'DIVA Satislari'!AN558)</f>
        <v/>
      </c>
      <c r="I558" s="28">
        <f>IF('DIVA Satislari'!I558="","",'DIVA Satislari'!AQ558)</f>
        <v/>
      </c>
      <c r="J558" s="26">
        <f>IF('DIVA Satislari'!I558="","",'DIVA Satislari'!AR558)</f>
        <v/>
      </c>
      <c r="K558" s="26">
        <f>IF('DIVA Satislari'!I558="","",IFERROR(INDEX('E2E Nakliye Montaj'!$AS$3:$AS$1002,MATCH('DIVA Satislari'!AJ558,'E2E Nakliye Montaj'!$AM$3:$AM$1002,0)),"Eşleşme Yok"))</f>
        <v/>
      </c>
      <c r="L558" s="26">
        <f>IF('DIVA Satislari'!I558="","",IFERROR(INDEX('E2E Nakliye Montaj'!$AT$3:$AT$1002,MATCH('DIVA Satislari'!AJ558,'E2E Nakliye Montaj'!$AM$3:$AM$1002,0)),"Hayır"))</f>
        <v/>
      </c>
      <c r="M558" s="26">
        <f>IF('DIVA Satislari'!I558="","",IFERROR(INDEX('E2E Nakliye Montaj'!$AU$3:$AU$1002,MATCH('DIVA Satislari'!AJ558,'E2E Nakliye Montaj'!$AM$3:$AM$1002,0)),"Hayır"))</f>
        <v/>
      </c>
      <c r="N558" s="27">
        <f>IF('DIVA Satislari'!I558="","",IFERROR(INDEX('E2E Nakliye Montaj'!$AV$3:$AV$1002,MATCH('DIVA Satislari'!AJ558,'E2E Nakliye Montaj'!$AM$3:$AM$1002,0)),""))</f>
        <v/>
      </c>
      <c r="O558" s="26">
        <f>IF(OR(A558="",N558=""),"",IF(N558&lt;=H558,"Evet","HAYIR - RİSK"))</f>
        <v/>
      </c>
      <c r="P558" s="26">
        <f>IF(A558="","",IF(LEFT(J558,8)="Kural A ","Uygun - Hemen Ödenir (Yıl Sonu %75 Kontrolüne Tabi)",IF(OR(L558="Evet",M558="Evet"),IF(O558="Evet","Uygun","RİSK - Hakediş Süresi Aşıldı"),"Bekleniyor - Nakliye/Montaj Tamamlanmadı")))</f>
        <v/>
      </c>
      <c r="Q558" s="28">
        <f>IF(A558="","",SUMIFS('Hakedis Fatura Detay'!$G$3:$G$1200,'Hakedis Fatura Detay'!$H$3:$H$1200,'DIVA Satislari'!AJ558,'Hakedis Fatura Detay'!$F$3:$F$1200,"Fiyat Farkı")+SUMIFS('Hakedis Fatura Detay'!$G$3:$G$1200,'Hakedis Fatura Detay'!$H$3:$H$1200,'DIVA Satislari'!AJ558,'Hakedis Fatura Detay'!$F$3:$F$1200,"Bundle"))</f>
        <v/>
      </c>
      <c r="R558" s="28">
        <f>IF(A558="","",I558-Q558)</f>
        <v/>
      </c>
      <c r="S558" s="26">
        <f>IF(A558="","",IF(LEFT(P558,7)="Bekleni","N/A - Henüz Ödenmemeli",IF(LEFT(P558,4)="RİSK","İNCELEME GEREKLİ - Süre Aşımı",IF(R558=0,"Doğru",IF(R558&gt;0,"EKSİK ÖDENMİŞ","FAZLA ÖDENMİŞ")))))</f>
        <v/>
      </c>
      <c r="T558" s="30">
        <f>IF(A558="","",IF(F558&lt;&gt;"Evet","İNCELEME GEREKLİ - Kampanya Tanımsız",IF(G558&lt;&gt;"Evet","İNCELEME GEREKLİ - Tarih Dışı Satış",IF(LEFT(P558,4)="RİSK","İNCELEME GEREKLİ - Hakediş Süresi Aşıldı",IF(OR(S558="EKSİK ÖDENMİŞ",S558="FAZLA ÖDENMİŞ"),"İNCELEME GEREKLİ - Tutar Uyuşmazlığı",IF(LEFT(P558,7)="Bekleni","Bekleniyor","Uygun"))))))</f>
        <v/>
      </c>
    </row>
    <row r="559">
      <c r="A559" s="26">
        <f>IF('DIVA Satislari'!I559="","",'DIVA Satislari'!I559)</f>
        <v/>
      </c>
      <c r="B559" s="26">
        <f>IF('DIVA Satislari'!I559="","",'DIVA Satislari'!R559)</f>
        <v/>
      </c>
      <c r="C559" s="26">
        <f>IF('DIVA Satislari'!I559="","",'DIVA Satislari'!M559)</f>
        <v/>
      </c>
      <c r="D559" s="27">
        <f>IF('DIVA Satislari'!I559="","",'DIVA Satislari'!H559)</f>
        <v/>
      </c>
      <c r="E559" s="26">
        <f>IF('DIVA Satislari'!I559="","",'DIVA Satislari'!O559)</f>
        <v/>
      </c>
      <c r="F559" s="26">
        <f>IF('DIVA Satislari'!I559="","",'DIVA Satislari'!AK559)</f>
        <v/>
      </c>
      <c r="G559" s="26">
        <f>IF('DIVA Satislari'!I559="","",'DIVA Satislari'!AO559)</f>
        <v/>
      </c>
      <c r="H559" s="27">
        <f>IF('DIVA Satislari'!I559="","",'DIVA Satislari'!AN559)</f>
        <v/>
      </c>
      <c r="I559" s="28">
        <f>IF('DIVA Satislari'!I559="","",'DIVA Satislari'!AQ559)</f>
        <v/>
      </c>
      <c r="J559" s="26">
        <f>IF('DIVA Satislari'!I559="","",'DIVA Satislari'!AR559)</f>
        <v/>
      </c>
      <c r="K559" s="26">
        <f>IF('DIVA Satislari'!I559="","",IFERROR(INDEX('E2E Nakliye Montaj'!$AS$3:$AS$1002,MATCH('DIVA Satislari'!AJ559,'E2E Nakliye Montaj'!$AM$3:$AM$1002,0)),"Eşleşme Yok"))</f>
        <v/>
      </c>
      <c r="L559" s="26">
        <f>IF('DIVA Satislari'!I559="","",IFERROR(INDEX('E2E Nakliye Montaj'!$AT$3:$AT$1002,MATCH('DIVA Satislari'!AJ559,'E2E Nakliye Montaj'!$AM$3:$AM$1002,0)),"Hayır"))</f>
        <v/>
      </c>
      <c r="M559" s="26">
        <f>IF('DIVA Satislari'!I559="","",IFERROR(INDEX('E2E Nakliye Montaj'!$AU$3:$AU$1002,MATCH('DIVA Satislari'!AJ559,'E2E Nakliye Montaj'!$AM$3:$AM$1002,0)),"Hayır"))</f>
        <v/>
      </c>
      <c r="N559" s="27">
        <f>IF('DIVA Satislari'!I559="","",IFERROR(INDEX('E2E Nakliye Montaj'!$AV$3:$AV$1002,MATCH('DIVA Satislari'!AJ559,'E2E Nakliye Montaj'!$AM$3:$AM$1002,0)),""))</f>
        <v/>
      </c>
      <c r="O559" s="26">
        <f>IF(OR(A559="",N559=""),"",IF(N559&lt;=H559,"Evet","HAYIR - RİSK"))</f>
        <v/>
      </c>
      <c r="P559" s="26">
        <f>IF(A559="","",IF(LEFT(J559,8)="Kural A ","Uygun - Hemen Ödenir (Yıl Sonu %75 Kontrolüne Tabi)",IF(OR(L559="Evet",M559="Evet"),IF(O559="Evet","Uygun","RİSK - Hakediş Süresi Aşıldı"),"Bekleniyor - Nakliye/Montaj Tamamlanmadı")))</f>
        <v/>
      </c>
      <c r="Q559" s="28">
        <f>IF(A559="","",SUMIFS('Hakedis Fatura Detay'!$G$3:$G$1200,'Hakedis Fatura Detay'!$H$3:$H$1200,'DIVA Satislari'!AJ559,'Hakedis Fatura Detay'!$F$3:$F$1200,"Fiyat Farkı")+SUMIFS('Hakedis Fatura Detay'!$G$3:$G$1200,'Hakedis Fatura Detay'!$H$3:$H$1200,'DIVA Satislari'!AJ559,'Hakedis Fatura Detay'!$F$3:$F$1200,"Bundle"))</f>
        <v/>
      </c>
      <c r="R559" s="28">
        <f>IF(A559="","",I559-Q559)</f>
        <v/>
      </c>
      <c r="S559" s="26">
        <f>IF(A559="","",IF(LEFT(P559,7)="Bekleni","N/A - Henüz Ödenmemeli",IF(LEFT(P559,4)="RİSK","İNCELEME GEREKLİ - Süre Aşımı",IF(R559=0,"Doğru",IF(R559&gt;0,"EKSİK ÖDENMİŞ","FAZLA ÖDENMİŞ")))))</f>
        <v/>
      </c>
      <c r="T559" s="30">
        <f>IF(A559="","",IF(F559&lt;&gt;"Evet","İNCELEME GEREKLİ - Kampanya Tanımsız",IF(G559&lt;&gt;"Evet","İNCELEME GEREKLİ - Tarih Dışı Satış",IF(LEFT(P559,4)="RİSK","İNCELEME GEREKLİ - Hakediş Süresi Aşıldı",IF(OR(S559="EKSİK ÖDENMİŞ",S559="FAZLA ÖDENMİŞ"),"İNCELEME GEREKLİ - Tutar Uyuşmazlığı",IF(LEFT(P559,7)="Bekleni","Bekleniyor","Uygun"))))))</f>
        <v/>
      </c>
    </row>
    <row r="560">
      <c r="A560" s="26">
        <f>IF('DIVA Satislari'!I560="","",'DIVA Satislari'!I560)</f>
        <v/>
      </c>
      <c r="B560" s="26">
        <f>IF('DIVA Satislari'!I560="","",'DIVA Satislari'!R560)</f>
        <v/>
      </c>
      <c r="C560" s="26">
        <f>IF('DIVA Satislari'!I560="","",'DIVA Satislari'!M560)</f>
        <v/>
      </c>
      <c r="D560" s="27">
        <f>IF('DIVA Satislari'!I560="","",'DIVA Satislari'!H560)</f>
        <v/>
      </c>
      <c r="E560" s="26">
        <f>IF('DIVA Satislari'!I560="","",'DIVA Satislari'!O560)</f>
        <v/>
      </c>
      <c r="F560" s="26">
        <f>IF('DIVA Satislari'!I560="","",'DIVA Satislari'!AK560)</f>
        <v/>
      </c>
      <c r="G560" s="26">
        <f>IF('DIVA Satislari'!I560="","",'DIVA Satislari'!AO560)</f>
        <v/>
      </c>
      <c r="H560" s="27">
        <f>IF('DIVA Satislari'!I560="","",'DIVA Satislari'!AN560)</f>
        <v/>
      </c>
      <c r="I560" s="28">
        <f>IF('DIVA Satislari'!I560="","",'DIVA Satislari'!AQ560)</f>
        <v/>
      </c>
      <c r="J560" s="26">
        <f>IF('DIVA Satislari'!I560="","",'DIVA Satislari'!AR560)</f>
        <v/>
      </c>
      <c r="K560" s="26">
        <f>IF('DIVA Satislari'!I560="","",IFERROR(INDEX('E2E Nakliye Montaj'!$AS$3:$AS$1002,MATCH('DIVA Satislari'!AJ560,'E2E Nakliye Montaj'!$AM$3:$AM$1002,0)),"Eşleşme Yok"))</f>
        <v/>
      </c>
      <c r="L560" s="26">
        <f>IF('DIVA Satislari'!I560="","",IFERROR(INDEX('E2E Nakliye Montaj'!$AT$3:$AT$1002,MATCH('DIVA Satislari'!AJ560,'E2E Nakliye Montaj'!$AM$3:$AM$1002,0)),"Hayır"))</f>
        <v/>
      </c>
      <c r="M560" s="26">
        <f>IF('DIVA Satislari'!I560="","",IFERROR(INDEX('E2E Nakliye Montaj'!$AU$3:$AU$1002,MATCH('DIVA Satislari'!AJ560,'E2E Nakliye Montaj'!$AM$3:$AM$1002,0)),"Hayır"))</f>
        <v/>
      </c>
      <c r="N560" s="27">
        <f>IF('DIVA Satislari'!I560="","",IFERROR(INDEX('E2E Nakliye Montaj'!$AV$3:$AV$1002,MATCH('DIVA Satislari'!AJ560,'E2E Nakliye Montaj'!$AM$3:$AM$1002,0)),""))</f>
        <v/>
      </c>
      <c r="O560" s="26">
        <f>IF(OR(A560="",N560=""),"",IF(N560&lt;=H560,"Evet","HAYIR - RİSK"))</f>
        <v/>
      </c>
      <c r="P560" s="26">
        <f>IF(A560="","",IF(LEFT(J560,8)="Kural A ","Uygun - Hemen Ödenir (Yıl Sonu %75 Kontrolüne Tabi)",IF(OR(L560="Evet",M560="Evet"),IF(O560="Evet","Uygun","RİSK - Hakediş Süresi Aşıldı"),"Bekleniyor - Nakliye/Montaj Tamamlanmadı")))</f>
        <v/>
      </c>
      <c r="Q560" s="28">
        <f>IF(A560="","",SUMIFS('Hakedis Fatura Detay'!$G$3:$G$1200,'Hakedis Fatura Detay'!$H$3:$H$1200,'DIVA Satislari'!AJ560,'Hakedis Fatura Detay'!$F$3:$F$1200,"Fiyat Farkı")+SUMIFS('Hakedis Fatura Detay'!$G$3:$G$1200,'Hakedis Fatura Detay'!$H$3:$H$1200,'DIVA Satislari'!AJ560,'Hakedis Fatura Detay'!$F$3:$F$1200,"Bundle"))</f>
        <v/>
      </c>
      <c r="R560" s="28">
        <f>IF(A560="","",I560-Q560)</f>
        <v/>
      </c>
      <c r="S560" s="26">
        <f>IF(A560="","",IF(LEFT(P560,7)="Bekleni","N/A - Henüz Ödenmemeli",IF(LEFT(P560,4)="RİSK","İNCELEME GEREKLİ - Süre Aşımı",IF(R560=0,"Doğru",IF(R560&gt;0,"EKSİK ÖDENMİŞ","FAZLA ÖDENMİŞ")))))</f>
        <v/>
      </c>
      <c r="T560" s="30">
        <f>IF(A560="","",IF(F560&lt;&gt;"Evet","İNCELEME GEREKLİ - Kampanya Tanımsız",IF(G560&lt;&gt;"Evet","İNCELEME GEREKLİ - Tarih Dışı Satış",IF(LEFT(P560,4)="RİSK","İNCELEME GEREKLİ - Hakediş Süresi Aşıldı",IF(OR(S560="EKSİK ÖDENMİŞ",S560="FAZLA ÖDENMİŞ"),"İNCELEME GEREKLİ - Tutar Uyuşmazlığı",IF(LEFT(P560,7)="Bekleni","Bekleniyor","Uygun"))))))</f>
        <v/>
      </c>
    </row>
    <row r="561">
      <c r="A561" s="26">
        <f>IF('DIVA Satislari'!I561="","",'DIVA Satislari'!I561)</f>
        <v/>
      </c>
      <c r="B561" s="26">
        <f>IF('DIVA Satislari'!I561="","",'DIVA Satislari'!R561)</f>
        <v/>
      </c>
      <c r="C561" s="26">
        <f>IF('DIVA Satislari'!I561="","",'DIVA Satislari'!M561)</f>
        <v/>
      </c>
      <c r="D561" s="27">
        <f>IF('DIVA Satislari'!I561="","",'DIVA Satislari'!H561)</f>
        <v/>
      </c>
      <c r="E561" s="26">
        <f>IF('DIVA Satislari'!I561="","",'DIVA Satislari'!O561)</f>
        <v/>
      </c>
      <c r="F561" s="26">
        <f>IF('DIVA Satislari'!I561="","",'DIVA Satislari'!AK561)</f>
        <v/>
      </c>
      <c r="G561" s="26">
        <f>IF('DIVA Satislari'!I561="","",'DIVA Satislari'!AO561)</f>
        <v/>
      </c>
      <c r="H561" s="27">
        <f>IF('DIVA Satislari'!I561="","",'DIVA Satislari'!AN561)</f>
        <v/>
      </c>
      <c r="I561" s="28">
        <f>IF('DIVA Satislari'!I561="","",'DIVA Satislari'!AQ561)</f>
        <v/>
      </c>
      <c r="J561" s="26">
        <f>IF('DIVA Satislari'!I561="","",'DIVA Satislari'!AR561)</f>
        <v/>
      </c>
      <c r="K561" s="26">
        <f>IF('DIVA Satislari'!I561="","",IFERROR(INDEX('E2E Nakliye Montaj'!$AS$3:$AS$1002,MATCH('DIVA Satislari'!AJ561,'E2E Nakliye Montaj'!$AM$3:$AM$1002,0)),"Eşleşme Yok"))</f>
        <v/>
      </c>
      <c r="L561" s="26">
        <f>IF('DIVA Satislari'!I561="","",IFERROR(INDEX('E2E Nakliye Montaj'!$AT$3:$AT$1002,MATCH('DIVA Satislari'!AJ561,'E2E Nakliye Montaj'!$AM$3:$AM$1002,0)),"Hayır"))</f>
        <v/>
      </c>
      <c r="M561" s="26">
        <f>IF('DIVA Satislari'!I561="","",IFERROR(INDEX('E2E Nakliye Montaj'!$AU$3:$AU$1002,MATCH('DIVA Satislari'!AJ561,'E2E Nakliye Montaj'!$AM$3:$AM$1002,0)),"Hayır"))</f>
        <v/>
      </c>
      <c r="N561" s="27">
        <f>IF('DIVA Satislari'!I561="","",IFERROR(INDEX('E2E Nakliye Montaj'!$AV$3:$AV$1002,MATCH('DIVA Satislari'!AJ561,'E2E Nakliye Montaj'!$AM$3:$AM$1002,0)),""))</f>
        <v/>
      </c>
      <c r="O561" s="26">
        <f>IF(OR(A561="",N561=""),"",IF(N561&lt;=H561,"Evet","HAYIR - RİSK"))</f>
        <v/>
      </c>
      <c r="P561" s="26">
        <f>IF(A561="","",IF(LEFT(J561,8)="Kural A ","Uygun - Hemen Ödenir (Yıl Sonu %75 Kontrolüne Tabi)",IF(OR(L561="Evet",M561="Evet"),IF(O561="Evet","Uygun","RİSK - Hakediş Süresi Aşıldı"),"Bekleniyor - Nakliye/Montaj Tamamlanmadı")))</f>
        <v/>
      </c>
      <c r="Q561" s="28">
        <f>IF(A561="","",SUMIFS('Hakedis Fatura Detay'!$G$3:$G$1200,'Hakedis Fatura Detay'!$H$3:$H$1200,'DIVA Satislari'!AJ561,'Hakedis Fatura Detay'!$F$3:$F$1200,"Fiyat Farkı")+SUMIFS('Hakedis Fatura Detay'!$G$3:$G$1200,'Hakedis Fatura Detay'!$H$3:$H$1200,'DIVA Satislari'!AJ561,'Hakedis Fatura Detay'!$F$3:$F$1200,"Bundle"))</f>
        <v/>
      </c>
      <c r="R561" s="28">
        <f>IF(A561="","",I561-Q561)</f>
        <v/>
      </c>
      <c r="S561" s="26">
        <f>IF(A561="","",IF(LEFT(P561,7)="Bekleni","N/A - Henüz Ödenmemeli",IF(LEFT(P561,4)="RİSK","İNCELEME GEREKLİ - Süre Aşımı",IF(R561=0,"Doğru",IF(R561&gt;0,"EKSİK ÖDENMİŞ","FAZLA ÖDENMİŞ")))))</f>
        <v/>
      </c>
      <c r="T561" s="30">
        <f>IF(A561="","",IF(F561&lt;&gt;"Evet","İNCELEME GEREKLİ - Kampanya Tanımsız",IF(G561&lt;&gt;"Evet","İNCELEME GEREKLİ - Tarih Dışı Satış",IF(LEFT(P561,4)="RİSK","İNCELEME GEREKLİ - Hakediş Süresi Aşıldı",IF(OR(S561="EKSİK ÖDENMİŞ",S561="FAZLA ÖDENMİŞ"),"İNCELEME GEREKLİ - Tutar Uyuşmazlığı",IF(LEFT(P561,7)="Bekleni","Bekleniyor","Uygun"))))))</f>
        <v/>
      </c>
    </row>
    <row r="562">
      <c r="A562" s="26">
        <f>IF('DIVA Satislari'!I562="","",'DIVA Satislari'!I562)</f>
        <v/>
      </c>
      <c r="B562" s="26">
        <f>IF('DIVA Satislari'!I562="","",'DIVA Satislari'!R562)</f>
        <v/>
      </c>
      <c r="C562" s="26">
        <f>IF('DIVA Satislari'!I562="","",'DIVA Satislari'!M562)</f>
        <v/>
      </c>
      <c r="D562" s="27">
        <f>IF('DIVA Satislari'!I562="","",'DIVA Satislari'!H562)</f>
        <v/>
      </c>
      <c r="E562" s="26">
        <f>IF('DIVA Satislari'!I562="","",'DIVA Satislari'!O562)</f>
        <v/>
      </c>
      <c r="F562" s="26">
        <f>IF('DIVA Satislari'!I562="","",'DIVA Satislari'!AK562)</f>
        <v/>
      </c>
      <c r="G562" s="26">
        <f>IF('DIVA Satislari'!I562="","",'DIVA Satislari'!AO562)</f>
        <v/>
      </c>
      <c r="H562" s="27">
        <f>IF('DIVA Satislari'!I562="","",'DIVA Satislari'!AN562)</f>
        <v/>
      </c>
      <c r="I562" s="28">
        <f>IF('DIVA Satislari'!I562="","",'DIVA Satislari'!AQ562)</f>
        <v/>
      </c>
      <c r="J562" s="26">
        <f>IF('DIVA Satislari'!I562="","",'DIVA Satislari'!AR562)</f>
        <v/>
      </c>
      <c r="K562" s="26">
        <f>IF('DIVA Satislari'!I562="","",IFERROR(INDEX('E2E Nakliye Montaj'!$AS$3:$AS$1002,MATCH('DIVA Satislari'!AJ562,'E2E Nakliye Montaj'!$AM$3:$AM$1002,0)),"Eşleşme Yok"))</f>
        <v/>
      </c>
      <c r="L562" s="26">
        <f>IF('DIVA Satislari'!I562="","",IFERROR(INDEX('E2E Nakliye Montaj'!$AT$3:$AT$1002,MATCH('DIVA Satislari'!AJ562,'E2E Nakliye Montaj'!$AM$3:$AM$1002,0)),"Hayır"))</f>
        <v/>
      </c>
      <c r="M562" s="26">
        <f>IF('DIVA Satislari'!I562="","",IFERROR(INDEX('E2E Nakliye Montaj'!$AU$3:$AU$1002,MATCH('DIVA Satislari'!AJ562,'E2E Nakliye Montaj'!$AM$3:$AM$1002,0)),"Hayır"))</f>
        <v/>
      </c>
      <c r="N562" s="27">
        <f>IF('DIVA Satislari'!I562="","",IFERROR(INDEX('E2E Nakliye Montaj'!$AV$3:$AV$1002,MATCH('DIVA Satislari'!AJ562,'E2E Nakliye Montaj'!$AM$3:$AM$1002,0)),""))</f>
        <v/>
      </c>
      <c r="O562" s="26">
        <f>IF(OR(A562="",N562=""),"",IF(N562&lt;=H562,"Evet","HAYIR - RİSK"))</f>
        <v/>
      </c>
      <c r="P562" s="26">
        <f>IF(A562="","",IF(LEFT(J562,8)="Kural A ","Uygun - Hemen Ödenir (Yıl Sonu %75 Kontrolüne Tabi)",IF(OR(L562="Evet",M562="Evet"),IF(O562="Evet","Uygun","RİSK - Hakediş Süresi Aşıldı"),"Bekleniyor - Nakliye/Montaj Tamamlanmadı")))</f>
        <v/>
      </c>
      <c r="Q562" s="28">
        <f>IF(A562="","",SUMIFS('Hakedis Fatura Detay'!$G$3:$G$1200,'Hakedis Fatura Detay'!$H$3:$H$1200,'DIVA Satislari'!AJ562,'Hakedis Fatura Detay'!$F$3:$F$1200,"Fiyat Farkı")+SUMIFS('Hakedis Fatura Detay'!$G$3:$G$1200,'Hakedis Fatura Detay'!$H$3:$H$1200,'DIVA Satislari'!AJ562,'Hakedis Fatura Detay'!$F$3:$F$1200,"Bundle"))</f>
        <v/>
      </c>
      <c r="R562" s="28">
        <f>IF(A562="","",I562-Q562)</f>
        <v/>
      </c>
      <c r="S562" s="26">
        <f>IF(A562="","",IF(LEFT(P562,7)="Bekleni","N/A - Henüz Ödenmemeli",IF(LEFT(P562,4)="RİSK","İNCELEME GEREKLİ - Süre Aşımı",IF(R562=0,"Doğru",IF(R562&gt;0,"EKSİK ÖDENMİŞ","FAZLA ÖDENMİŞ")))))</f>
        <v/>
      </c>
      <c r="T562" s="30">
        <f>IF(A562="","",IF(F562&lt;&gt;"Evet","İNCELEME GEREKLİ - Kampanya Tanımsız",IF(G562&lt;&gt;"Evet","İNCELEME GEREKLİ - Tarih Dışı Satış",IF(LEFT(P562,4)="RİSK","İNCELEME GEREKLİ - Hakediş Süresi Aşıldı",IF(OR(S562="EKSİK ÖDENMİŞ",S562="FAZLA ÖDENMİŞ"),"İNCELEME GEREKLİ - Tutar Uyuşmazlığı",IF(LEFT(P562,7)="Bekleni","Bekleniyor","Uygun"))))))</f>
        <v/>
      </c>
    </row>
    <row r="563">
      <c r="A563" s="26">
        <f>IF('DIVA Satislari'!I563="","",'DIVA Satislari'!I563)</f>
        <v/>
      </c>
      <c r="B563" s="26">
        <f>IF('DIVA Satislari'!I563="","",'DIVA Satislari'!R563)</f>
        <v/>
      </c>
      <c r="C563" s="26">
        <f>IF('DIVA Satislari'!I563="","",'DIVA Satislari'!M563)</f>
        <v/>
      </c>
      <c r="D563" s="27">
        <f>IF('DIVA Satislari'!I563="","",'DIVA Satislari'!H563)</f>
        <v/>
      </c>
      <c r="E563" s="26">
        <f>IF('DIVA Satislari'!I563="","",'DIVA Satislari'!O563)</f>
        <v/>
      </c>
      <c r="F563" s="26">
        <f>IF('DIVA Satislari'!I563="","",'DIVA Satislari'!AK563)</f>
        <v/>
      </c>
      <c r="G563" s="26">
        <f>IF('DIVA Satislari'!I563="","",'DIVA Satislari'!AO563)</f>
        <v/>
      </c>
      <c r="H563" s="27">
        <f>IF('DIVA Satislari'!I563="","",'DIVA Satislari'!AN563)</f>
        <v/>
      </c>
      <c r="I563" s="28">
        <f>IF('DIVA Satislari'!I563="","",'DIVA Satislari'!AQ563)</f>
        <v/>
      </c>
      <c r="J563" s="26">
        <f>IF('DIVA Satislari'!I563="","",'DIVA Satislari'!AR563)</f>
        <v/>
      </c>
      <c r="K563" s="26">
        <f>IF('DIVA Satislari'!I563="","",IFERROR(INDEX('E2E Nakliye Montaj'!$AS$3:$AS$1002,MATCH('DIVA Satislari'!AJ563,'E2E Nakliye Montaj'!$AM$3:$AM$1002,0)),"Eşleşme Yok"))</f>
        <v/>
      </c>
      <c r="L563" s="26">
        <f>IF('DIVA Satislari'!I563="","",IFERROR(INDEX('E2E Nakliye Montaj'!$AT$3:$AT$1002,MATCH('DIVA Satislari'!AJ563,'E2E Nakliye Montaj'!$AM$3:$AM$1002,0)),"Hayır"))</f>
        <v/>
      </c>
      <c r="M563" s="26">
        <f>IF('DIVA Satislari'!I563="","",IFERROR(INDEX('E2E Nakliye Montaj'!$AU$3:$AU$1002,MATCH('DIVA Satislari'!AJ563,'E2E Nakliye Montaj'!$AM$3:$AM$1002,0)),"Hayır"))</f>
        <v/>
      </c>
      <c r="N563" s="27">
        <f>IF('DIVA Satislari'!I563="","",IFERROR(INDEX('E2E Nakliye Montaj'!$AV$3:$AV$1002,MATCH('DIVA Satislari'!AJ563,'E2E Nakliye Montaj'!$AM$3:$AM$1002,0)),""))</f>
        <v/>
      </c>
      <c r="O563" s="26">
        <f>IF(OR(A563="",N563=""),"",IF(N563&lt;=H563,"Evet","HAYIR - RİSK"))</f>
        <v/>
      </c>
      <c r="P563" s="26">
        <f>IF(A563="","",IF(LEFT(J563,8)="Kural A ","Uygun - Hemen Ödenir (Yıl Sonu %75 Kontrolüne Tabi)",IF(OR(L563="Evet",M563="Evet"),IF(O563="Evet","Uygun","RİSK - Hakediş Süresi Aşıldı"),"Bekleniyor - Nakliye/Montaj Tamamlanmadı")))</f>
        <v/>
      </c>
      <c r="Q563" s="28">
        <f>IF(A563="","",SUMIFS('Hakedis Fatura Detay'!$G$3:$G$1200,'Hakedis Fatura Detay'!$H$3:$H$1200,'DIVA Satislari'!AJ563,'Hakedis Fatura Detay'!$F$3:$F$1200,"Fiyat Farkı")+SUMIFS('Hakedis Fatura Detay'!$G$3:$G$1200,'Hakedis Fatura Detay'!$H$3:$H$1200,'DIVA Satislari'!AJ563,'Hakedis Fatura Detay'!$F$3:$F$1200,"Bundle"))</f>
        <v/>
      </c>
      <c r="R563" s="28">
        <f>IF(A563="","",I563-Q563)</f>
        <v/>
      </c>
      <c r="S563" s="26">
        <f>IF(A563="","",IF(LEFT(P563,7)="Bekleni","N/A - Henüz Ödenmemeli",IF(LEFT(P563,4)="RİSK","İNCELEME GEREKLİ - Süre Aşımı",IF(R563=0,"Doğru",IF(R563&gt;0,"EKSİK ÖDENMİŞ","FAZLA ÖDENMİŞ")))))</f>
        <v/>
      </c>
      <c r="T563" s="30">
        <f>IF(A563="","",IF(F563&lt;&gt;"Evet","İNCELEME GEREKLİ - Kampanya Tanımsız",IF(G563&lt;&gt;"Evet","İNCELEME GEREKLİ - Tarih Dışı Satış",IF(LEFT(P563,4)="RİSK","İNCELEME GEREKLİ - Hakediş Süresi Aşıldı",IF(OR(S563="EKSİK ÖDENMİŞ",S563="FAZLA ÖDENMİŞ"),"İNCELEME GEREKLİ - Tutar Uyuşmazlığı",IF(LEFT(P563,7)="Bekleni","Bekleniyor","Uygun"))))))</f>
        <v/>
      </c>
    </row>
    <row r="564">
      <c r="A564" s="26">
        <f>IF('DIVA Satislari'!I564="","",'DIVA Satislari'!I564)</f>
        <v/>
      </c>
      <c r="B564" s="26">
        <f>IF('DIVA Satislari'!I564="","",'DIVA Satislari'!R564)</f>
        <v/>
      </c>
      <c r="C564" s="26">
        <f>IF('DIVA Satislari'!I564="","",'DIVA Satislari'!M564)</f>
        <v/>
      </c>
      <c r="D564" s="27">
        <f>IF('DIVA Satislari'!I564="","",'DIVA Satislari'!H564)</f>
        <v/>
      </c>
      <c r="E564" s="26">
        <f>IF('DIVA Satislari'!I564="","",'DIVA Satislari'!O564)</f>
        <v/>
      </c>
      <c r="F564" s="26">
        <f>IF('DIVA Satislari'!I564="","",'DIVA Satislari'!AK564)</f>
        <v/>
      </c>
      <c r="G564" s="26">
        <f>IF('DIVA Satislari'!I564="","",'DIVA Satislari'!AO564)</f>
        <v/>
      </c>
      <c r="H564" s="27">
        <f>IF('DIVA Satislari'!I564="","",'DIVA Satislari'!AN564)</f>
        <v/>
      </c>
      <c r="I564" s="28">
        <f>IF('DIVA Satislari'!I564="","",'DIVA Satislari'!AQ564)</f>
        <v/>
      </c>
      <c r="J564" s="26">
        <f>IF('DIVA Satislari'!I564="","",'DIVA Satislari'!AR564)</f>
        <v/>
      </c>
      <c r="K564" s="26">
        <f>IF('DIVA Satislari'!I564="","",IFERROR(INDEX('E2E Nakliye Montaj'!$AS$3:$AS$1002,MATCH('DIVA Satislari'!AJ564,'E2E Nakliye Montaj'!$AM$3:$AM$1002,0)),"Eşleşme Yok"))</f>
        <v/>
      </c>
      <c r="L564" s="26">
        <f>IF('DIVA Satislari'!I564="","",IFERROR(INDEX('E2E Nakliye Montaj'!$AT$3:$AT$1002,MATCH('DIVA Satislari'!AJ564,'E2E Nakliye Montaj'!$AM$3:$AM$1002,0)),"Hayır"))</f>
        <v/>
      </c>
      <c r="M564" s="26">
        <f>IF('DIVA Satislari'!I564="","",IFERROR(INDEX('E2E Nakliye Montaj'!$AU$3:$AU$1002,MATCH('DIVA Satislari'!AJ564,'E2E Nakliye Montaj'!$AM$3:$AM$1002,0)),"Hayır"))</f>
        <v/>
      </c>
      <c r="N564" s="27">
        <f>IF('DIVA Satislari'!I564="","",IFERROR(INDEX('E2E Nakliye Montaj'!$AV$3:$AV$1002,MATCH('DIVA Satislari'!AJ564,'E2E Nakliye Montaj'!$AM$3:$AM$1002,0)),""))</f>
        <v/>
      </c>
      <c r="O564" s="26">
        <f>IF(OR(A564="",N564=""),"",IF(N564&lt;=H564,"Evet","HAYIR - RİSK"))</f>
        <v/>
      </c>
      <c r="P564" s="26">
        <f>IF(A564="","",IF(LEFT(J564,8)="Kural A ","Uygun - Hemen Ödenir (Yıl Sonu %75 Kontrolüne Tabi)",IF(OR(L564="Evet",M564="Evet"),IF(O564="Evet","Uygun","RİSK - Hakediş Süresi Aşıldı"),"Bekleniyor - Nakliye/Montaj Tamamlanmadı")))</f>
        <v/>
      </c>
      <c r="Q564" s="28">
        <f>IF(A564="","",SUMIFS('Hakedis Fatura Detay'!$G$3:$G$1200,'Hakedis Fatura Detay'!$H$3:$H$1200,'DIVA Satislari'!AJ564,'Hakedis Fatura Detay'!$F$3:$F$1200,"Fiyat Farkı")+SUMIFS('Hakedis Fatura Detay'!$G$3:$G$1200,'Hakedis Fatura Detay'!$H$3:$H$1200,'DIVA Satislari'!AJ564,'Hakedis Fatura Detay'!$F$3:$F$1200,"Bundle"))</f>
        <v/>
      </c>
      <c r="R564" s="28">
        <f>IF(A564="","",I564-Q564)</f>
        <v/>
      </c>
      <c r="S564" s="26">
        <f>IF(A564="","",IF(LEFT(P564,7)="Bekleni","N/A - Henüz Ödenmemeli",IF(LEFT(P564,4)="RİSK","İNCELEME GEREKLİ - Süre Aşımı",IF(R564=0,"Doğru",IF(R564&gt;0,"EKSİK ÖDENMİŞ","FAZLA ÖDENMİŞ")))))</f>
        <v/>
      </c>
      <c r="T564" s="30">
        <f>IF(A564="","",IF(F564&lt;&gt;"Evet","İNCELEME GEREKLİ - Kampanya Tanımsız",IF(G564&lt;&gt;"Evet","İNCELEME GEREKLİ - Tarih Dışı Satış",IF(LEFT(P564,4)="RİSK","İNCELEME GEREKLİ - Hakediş Süresi Aşıldı",IF(OR(S564="EKSİK ÖDENMİŞ",S564="FAZLA ÖDENMİŞ"),"İNCELEME GEREKLİ - Tutar Uyuşmazlığı",IF(LEFT(P564,7)="Bekleni","Bekleniyor","Uygun"))))))</f>
        <v/>
      </c>
    </row>
    <row r="565">
      <c r="A565" s="26">
        <f>IF('DIVA Satislari'!I565="","",'DIVA Satislari'!I565)</f>
        <v/>
      </c>
      <c r="B565" s="26">
        <f>IF('DIVA Satislari'!I565="","",'DIVA Satislari'!R565)</f>
        <v/>
      </c>
      <c r="C565" s="26">
        <f>IF('DIVA Satislari'!I565="","",'DIVA Satislari'!M565)</f>
        <v/>
      </c>
      <c r="D565" s="27">
        <f>IF('DIVA Satislari'!I565="","",'DIVA Satislari'!H565)</f>
        <v/>
      </c>
      <c r="E565" s="26">
        <f>IF('DIVA Satislari'!I565="","",'DIVA Satislari'!O565)</f>
        <v/>
      </c>
      <c r="F565" s="26">
        <f>IF('DIVA Satislari'!I565="","",'DIVA Satislari'!AK565)</f>
        <v/>
      </c>
      <c r="G565" s="26">
        <f>IF('DIVA Satislari'!I565="","",'DIVA Satislari'!AO565)</f>
        <v/>
      </c>
      <c r="H565" s="27">
        <f>IF('DIVA Satislari'!I565="","",'DIVA Satislari'!AN565)</f>
        <v/>
      </c>
      <c r="I565" s="28">
        <f>IF('DIVA Satislari'!I565="","",'DIVA Satislari'!AQ565)</f>
        <v/>
      </c>
      <c r="J565" s="26">
        <f>IF('DIVA Satislari'!I565="","",'DIVA Satislari'!AR565)</f>
        <v/>
      </c>
      <c r="K565" s="26">
        <f>IF('DIVA Satislari'!I565="","",IFERROR(INDEX('E2E Nakliye Montaj'!$AS$3:$AS$1002,MATCH('DIVA Satislari'!AJ565,'E2E Nakliye Montaj'!$AM$3:$AM$1002,0)),"Eşleşme Yok"))</f>
        <v/>
      </c>
      <c r="L565" s="26">
        <f>IF('DIVA Satislari'!I565="","",IFERROR(INDEX('E2E Nakliye Montaj'!$AT$3:$AT$1002,MATCH('DIVA Satislari'!AJ565,'E2E Nakliye Montaj'!$AM$3:$AM$1002,0)),"Hayır"))</f>
        <v/>
      </c>
      <c r="M565" s="26">
        <f>IF('DIVA Satislari'!I565="","",IFERROR(INDEX('E2E Nakliye Montaj'!$AU$3:$AU$1002,MATCH('DIVA Satislari'!AJ565,'E2E Nakliye Montaj'!$AM$3:$AM$1002,0)),"Hayır"))</f>
        <v/>
      </c>
      <c r="N565" s="27">
        <f>IF('DIVA Satislari'!I565="","",IFERROR(INDEX('E2E Nakliye Montaj'!$AV$3:$AV$1002,MATCH('DIVA Satislari'!AJ565,'E2E Nakliye Montaj'!$AM$3:$AM$1002,0)),""))</f>
        <v/>
      </c>
      <c r="O565" s="26">
        <f>IF(OR(A565="",N565=""),"",IF(N565&lt;=H565,"Evet","HAYIR - RİSK"))</f>
        <v/>
      </c>
      <c r="P565" s="26">
        <f>IF(A565="","",IF(LEFT(J565,8)="Kural A ","Uygun - Hemen Ödenir (Yıl Sonu %75 Kontrolüne Tabi)",IF(OR(L565="Evet",M565="Evet"),IF(O565="Evet","Uygun","RİSK - Hakediş Süresi Aşıldı"),"Bekleniyor - Nakliye/Montaj Tamamlanmadı")))</f>
        <v/>
      </c>
      <c r="Q565" s="28">
        <f>IF(A565="","",SUMIFS('Hakedis Fatura Detay'!$G$3:$G$1200,'Hakedis Fatura Detay'!$H$3:$H$1200,'DIVA Satislari'!AJ565,'Hakedis Fatura Detay'!$F$3:$F$1200,"Fiyat Farkı")+SUMIFS('Hakedis Fatura Detay'!$G$3:$G$1200,'Hakedis Fatura Detay'!$H$3:$H$1200,'DIVA Satislari'!AJ565,'Hakedis Fatura Detay'!$F$3:$F$1200,"Bundle"))</f>
        <v/>
      </c>
      <c r="R565" s="28">
        <f>IF(A565="","",I565-Q565)</f>
        <v/>
      </c>
      <c r="S565" s="26">
        <f>IF(A565="","",IF(LEFT(P565,7)="Bekleni","N/A - Henüz Ödenmemeli",IF(LEFT(P565,4)="RİSK","İNCELEME GEREKLİ - Süre Aşımı",IF(R565=0,"Doğru",IF(R565&gt;0,"EKSİK ÖDENMİŞ","FAZLA ÖDENMİŞ")))))</f>
        <v/>
      </c>
      <c r="T565" s="30">
        <f>IF(A565="","",IF(F565&lt;&gt;"Evet","İNCELEME GEREKLİ - Kampanya Tanımsız",IF(G565&lt;&gt;"Evet","İNCELEME GEREKLİ - Tarih Dışı Satış",IF(LEFT(P565,4)="RİSK","İNCELEME GEREKLİ - Hakediş Süresi Aşıldı",IF(OR(S565="EKSİK ÖDENMİŞ",S565="FAZLA ÖDENMİŞ"),"İNCELEME GEREKLİ - Tutar Uyuşmazlığı",IF(LEFT(P565,7)="Bekleni","Bekleniyor","Uygun"))))))</f>
        <v/>
      </c>
    </row>
    <row r="566">
      <c r="A566" s="26">
        <f>IF('DIVA Satislari'!I566="","",'DIVA Satislari'!I566)</f>
        <v/>
      </c>
      <c r="B566" s="26">
        <f>IF('DIVA Satislari'!I566="","",'DIVA Satislari'!R566)</f>
        <v/>
      </c>
      <c r="C566" s="26">
        <f>IF('DIVA Satislari'!I566="","",'DIVA Satislari'!M566)</f>
        <v/>
      </c>
      <c r="D566" s="27">
        <f>IF('DIVA Satislari'!I566="","",'DIVA Satislari'!H566)</f>
        <v/>
      </c>
      <c r="E566" s="26">
        <f>IF('DIVA Satislari'!I566="","",'DIVA Satislari'!O566)</f>
        <v/>
      </c>
      <c r="F566" s="26">
        <f>IF('DIVA Satislari'!I566="","",'DIVA Satislari'!AK566)</f>
        <v/>
      </c>
      <c r="G566" s="26">
        <f>IF('DIVA Satislari'!I566="","",'DIVA Satislari'!AO566)</f>
        <v/>
      </c>
      <c r="H566" s="27">
        <f>IF('DIVA Satislari'!I566="","",'DIVA Satislari'!AN566)</f>
        <v/>
      </c>
      <c r="I566" s="28">
        <f>IF('DIVA Satislari'!I566="","",'DIVA Satislari'!AQ566)</f>
        <v/>
      </c>
      <c r="J566" s="26">
        <f>IF('DIVA Satislari'!I566="","",'DIVA Satislari'!AR566)</f>
        <v/>
      </c>
      <c r="K566" s="26">
        <f>IF('DIVA Satislari'!I566="","",IFERROR(INDEX('E2E Nakliye Montaj'!$AS$3:$AS$1002,MATCH('DIVA Satislari'!AJ566,'E2E Nakliye Montaj'!$AM$3:$AM$1002,0)),"Eşleşme Yok"))</f>
        <v/>
      </c>
      <c r="L566" s="26">
        <f>IF('DIVA Satislari'!I566="","",IFERROR(INDEX('E2E Nakliye Montaj'!$AT$3:$AT$1002,MATCH('DIVA Satislari'!AJ566,'E2E Nakliye Montaj'!$AM$3:$AM$1002,0)),"Hayır"))</f>
        <v/>
      </c>
      <c r="M566" s="26">
        <f>IF('DIVA Satislari'!I566="","",IFERROR(INDEX('E2E Nakliye Montaj'!$AU$3:$AU$1002,MATCH('DIVA Satislari'!AJ566,'E2E Nakliye Montaj'!$AM$3:$AM$1002,0)),"Hayır"))</f>
        <v/>
      </c>
      <c r="N566" s="27">
        <f>IF('DIVA Satislari'!I566="","",IFERROR(INDEX('E2E Nakliye Montaj'!$AV$3:$AV$1002,MATCH('DIVA Satislari'!AJ566,'E2E Nakliye Montaj'!$AM$3:$AM$1002,0)),""))</f>
        <v/>
      </c>
      <c r="O566" s="26">
        <f>IF(OR(A566="",N566=""),"",IF(N566&lt;=H566,"Evet","HAYIR - RİSK"))</f>
        <v/>
      </c>
      <c r="P566" s="26">
        <f>IF(A566="","",IF(LEFT(J566,8)="Kural A ","Uygun - Hemen Ödenir (Yıl Sonu %75 Kontrolüne Tabi)",IF(OR(L566="Evet",M566="Evet"),IF(O566="Evet","Uygun","RİSK - Hakediş Süresi Aşıldı"),"Bekleniyor - Nakliye/Montaj Tamamlanmadı")))</f>
        <v/>
      </c>
      <c r="Q566" s="28">
        <f>IF(A566="","",SUMIFS('Hakedis Fatura Detay'!$G$3:$G$1200,'Hakedis Fatura Detay'!$H$3:$H$1200,'DIVA Satislari'!AJ566,'Hakedis Fatura Detay'!$F$3:$F$1200,"Fiyat Farkı")+SUMIFS('Hakedis Fatura Detay'!$G$3:$G$1200,'Hakedis Fatura Detay'!$H$3:$H$1200,'DIVA Satislari'!AJ566,'Hakedis Fatura Detay'!$F$3:$F$1200,"Bundle"))</f>
        <v/>
      </c>
      <c r="R566" s="28">
        <f>IF(A566="","",I566-Q566)</f>
        <v/>
      </c>
      <c r="S566" s="26">
        <f>IF(A566="","",IF(LEFT(P566,7)="Bekleni","N/A - Henüz Ödenmemeli",IF(LEFT(P566,4)="RİSK","İNCELEME GEREKLİ - Süre Aşımı",IF(R566=0,"Doğru",IF(R566&gt;0,"EKSİK ÖDENMİŞ","FAZLA ÖDENMİŞ")))))</f>
        <v/>
      </c>
      <c r="T566" s="30">
        <f>IF(A566="","",IF(F566&lt;&gt;"Evet","İNCELEME GEREKLİ - Kampanya Tanımsız",IF(G566&lt;&gt;"Evet","İNCELEME GEREKLİ - Tarih Dışı Satış",IF(LEFT(P566,4)="RİSK","İNCELEME GEREKLİ - Hakediş Süresi Aşıldı",IF(OR(S566="EKSİK ÖDENMİŞ",S566="FAZLA ÖDENMİŞ"),"İNCELEME GEREKLİ - Tutar Uyuşmazlığı",IF(LEFT(P566,7)="Bekleni","Bekleniyor","Uygun"))))))</f>
        <v/>
      </c>
    </row>
    <row r="567">
      <c r="A567" s="26">
        <f>IF('DIVA Satislari'!I567="","",'DIVA Satislari'!I567)</f>
        <v/>
      </c>
      <c r="B567" s="26">
        <f>IF('DIVA Satislari'!I567="","",'DIVA Satislari'!R567)</f>
        <v/>
      </c>
      <c r="C567" s="26">
        <f>IF('DIVA Satislari'!I567="","",'DIVA Satislari'!M567)</f>
        <v/>
      </c>
      <c r="D567" s="27">
        <f>IF('DIVA Satislari'!I567="","",'DIVA Satislari'!H567)</f>
        <v/>
      </c>
      <c r="E567" s="26">
        <f>IF('DIVA Satislari'!I567="","",'DIVA Satislari'!O567)</f>
        <v/>
      </c>
      <c r="F567" s="26">
        <f>IF('DIVA Satislari'!I567="","",'DIVA Satislari'!AK567)</f>
        <v/>
      </c>
      <c r="G567" s="26">
        <f>IF('DIVA Satislari'!I567="","",'DIVA Satislari'!AO567)</f>
        <v/>
      </c>
      <c r="H567" s="27">
        <f>IF('DIVA Satislari'!I567="","",'DIVA Satislari'!AN567)</f>
        <v/>
      </c>
      <c r="I567" s="28">
        <f>IF('DIVA Satislari'!I567="","",'DIVA Satislari'!AQ567)</f>
        <v/>
      </c>
      <c r="J567" s="26">
        <f>IF('DIVA Satislari'!I567="","",'DIVA Satislari'!AR567)</f>
        <v/>
      </c>
      <c r="K567" s="26">
        <f>IF('DIVA Satislari'!I567="","",IFERROR(INDEX('E2E Nakliye Montaj'!$AS$3:$AS$1002,MATCH('DIVA Satislari'!AJ567,'E2E Nakliye Montaj'!$AM$3:$AM$1002,0)),"Eşleşme Yok"))</f>
        <v/>
      </c>
      <c r="L567" s="26">
        <f>IF('DIVA Satislari'!I567="","",IFERROR(INDEX('E2E Nakliye Montaj'!$AT$3:$AT$1002,MATCH('DIVA Satislari'!AJ567,'E2E Nakliye Montaj'!$AM$3:$AM$1002,0)),"Hayır"))</f>
        <v/>
      </c>
      <c r="M567" s="26">
        <f>IF('DIVA Satislari'!I567="","",IFERROR(INDEX('E2E Nakliye Montaj'!$AU$3:$AU$1002,MATCH('DIVA Satislari'!AJ567,'E2E Nakliye Montaj'!$AM$3:$AM$1002,0)),"Hayır"))</f>
        <v/>
      </c>
      <c r="N567" s="27">
        <f>IF('DIVA Satislari'!I567="","",IFERROR(INDEX('E2E Nakliye Montaj'!$AV$3:$AV$1002,MATCH('DIVA Satislari'!AJ567,'E2E Nakliye Montaj'!$AM$3:$AM$1002,0)),""))</f>
        <v/>
      </c>
      <c r="O567" s="26">
        <f>IF(OR(A567="",N567=""),"",IF(N567&lt;=H567,"Evet","HAYIR - RİSK"))</f>
        <v/>
      </c>
      <c r="P567" s="26">
        <f>IF(A567="","",IF(LEFT(J567,8)="Kural A ","Uygun - Hemen Ödenir (Yıl Sonu %75 Kontrolüne Tabi)",IF(OR(L567="Evet",M567="Evet"),IF(O567="Evet","Uygun","RİSK - Hakediş Süresi Aşıldı"),"Bekleniyor - Nakliye/Montaj Tamamlanmadı")))</f>
        <v/>
      </c>
      <c r="Q567" s="28">
        <f>IF(A567="","",SUMIFS('Hakedis Fatura Detay'!$G$3:$G$1200,'Hakedis Fatura Detay'!$H$3:$H$1200,'DIVA Satislari'!AJ567,'Hakedis Fatura Detay'!$F$3:$F$1200,"Fiyat Farkı")+SUMIFS('Hakedis Fatura Detay'!$G$3:$G$1200,'Hakedis Fatura Detay'!$H$3:$H$1200,'DIVA Satislari'!AJ567,'Hakedis Fatura Detay'!$F$3:$F$1200,"Bundle"))</f>
        <v/>
      </c>
      <c r="R567" s="28">
        <f>IF(A567="","",I567-Q567)</f>
        <v/>
      </c>
      <c r="S567" s="26">
        <f>IF(A567="","",IF(LEFT(P567,7)="Bekleni","N/A - Henüz Ödenmemeli",IF(LEFT(P567,4)="RİSK","İNCELEME GEREKLİ - Süre Aşımı",IF(R567=0,"Doğru",IF(R567&gt;0,"EKSİK ÖDENMİŞ","FAZLA ÖDENMİŞ")))))</f>
        <v/>
      </c>
      <c r="T567" s="30">
        <f>IF(A567="","",IF(F567&lt;&gt;"Evet","İNCELEME GEREKLİ - Kampanya Tanımsız",IF(G567&lt;&gt;"Evet","İNCELEME GEREKLİ - Tarih Dışı Satış",IF(LEFT(P567,4)="RİSK","İNCELEME GEREKLİ - Hakediş Süresi Aşıldı",IF(OR(S567="EKSİK ÖDENMİŞ",S567="FAZLA ÖDENMİŞ"),"İNCELEME GEREKLİ - Tutar Uyuşmazlığı",IF(LEFT(P567,7)="Bekleni","Bekleniyor","Uygun"))))))</f>
        <v/>
      </c>
    </row>
    <row r="568">
      <c r="A568" s="26">
        <f>IF('DIVA Satislari'!I568="","",'DIVA Satislari'!I568)</f>
        <v/>
      </c>
      <c r="B568" s="26">
        <f>IF('DIVA Satislari'!I568="","",'DIVA Satislari'!R568)</f>
        <v/>
      </c>
      <c r="C568" s="26">
        <f>IF('DIVA Satislari'!I568="","",'DIVA Satislari'!M568)</f>
        <v/>
      </c>
      <c r="D568" s="27">
        <f>IF('DIVA Satislari'!I568="","",'DIVA Satislari'!H568)</f>
        <v/>
      </c>
      <c r="E568" s="26">
        <f>IF('DIVA Satislari'!I568="","",'DIVA Satislari'!O568)</f>
        <v/>
      </c>
      <c r="F568" s="26">
        <f>IF('DIVA Satislari'!I568="","",'DIVA Satislari'!AK568)</f>
        <v/>
      </c>
      <c r="G568" s="26">
        <f>IF('DIVA Satislari'!I568="","",'DIVA Satislari'!AO568)</f>
        <v/>
      </c>
      <c r="H568" s="27">
        <f>IF('DIVA Satislari'!I568="","",'DIVA Satislari'!AN568)</f>
        <v/>
      </c>
      <c r="I568" s="28">
        <f>IF('DIVA Satislari'!I568="","",'DIVA Satislari'!AQ568)</f>
        <v/>
      </c>
      <c r="J568" s="26">
        <f>IF('DIVA Satislari'!I568="","",'DIVA Satislari'!AR568)</f>
        <v/>
      </c>
      <c r="K568" s="26">
        <f>IF('DIVA Satislari'!I568="","",IFERROR(INDEX('E2E Nakliye Montaj'!$AS$3:$AS$1002,MATCH('DIVA Satislari'!AJ568,'E2E Nakliye Montaj'!$AM$3:$AM$1002,0)),"Eşleşme Yok"))</f>
        <v/>
      </c>
      <c r="L568" s="26">
        <f>IF('DIVA Satislari'!I568="","",IFERROR(INDEX('E2E Nakliye Montaj'!$AT$3:$AT$1002,MATCH('DIVA Satislari'!AJ568,'E2E Nakliye Montaj'!$AM$3:$AM$1002,0)),"Hayır"))</f>
        <v/>
      </c>
      <c r="M568" s="26">
        <f>IF('DIVA Satislari'!I568="","",IFERROR(INDEX('E2E Nakliye Montaj'!$AU$3:$AU$1002,MATCH('DIVA Satislari'!AJ568,'E2E Nakliye Montaj'!$AM$3:$AM$1002,0)),"Hayır"))</f>
        <v/>
      </c>
      <c r="N568" s="27">
        <f>IF('DIVA Satislari'!I568="","",IFERROR(INDEX('E2E Nakliye Montaj'!$AV$3:$AV$1002,MATCH('DIVA Satislari'!AJ568,'E2E Nakliye Montaj'!$AM$3:$AM$1002,0)),""))</f>
        <v/>
      </c>
      <c r="O568" s="26">
        <f>IF(OR(A568="",N568=""),"",IF(N568&lt;=H568,"Evet","HAYIR - RİSK"))</f>
        <v/>
      </c>
      <c r="P568" s="26">
        <f>IF(A568="","",IF(LEFT(J568,8)="Kural A ","Uygun - Hemen Ödenir (Yıl Sonu %75 Kontrolüne Tabi)",IF(OR(L568="Evet",M568="Evet"),IF(O568="Evet","Uygun","RİSK - Hakediş Süresi Aşıldı"),"Bekleniyor - Nakliye/Montaj Tamamlanmadı")))</f>
        <v/>
      </c>
      <c r="Q568" s="28">
        <f>IF(A568="","",SUMIFS('Hakedis Fatura Detay'!$G$3:$G$1200,'Hakedis Fatura Detay'!$H$3:$H$1200,'DIVA Satislari'!AJ568,'Hakedis Fatura Detay'!$F$3:$F$1200,"Fiyat Farkı")+SUMIFS('Hakedis Fatura Detay'!$G$3:$G$1200,'Hakedis Fatura Detay'!$H$3:$H$1200,'DIVA Satislari'!AJ568,'Hakedis Fatura Detay'!$F$3:$F$1200,"Bundle"))</f>
        <v/>
      </c>
      <c r="R568" s="28">
        <f>IF(A568="","",I568-Q568)</f>
        <v/>
      </c>
      <c r="S568" s="26">
        <f>IF(A568="","",IF(LEFT(P568,7)="Bekleni","N/A - Henüz Ödenmemeli",IF(LEFT(P568,4)="RİSK","İNCELEME GEREKLİ - Süre Aşımı",IF(R568=0,"Doğru",IF(R568&gt;0,"EKSİK ÖDENMİŞ","FAZLA ÖDENMİŞ")))))</f>
        <v/>
      </c>
      <c r="T568" s="30">
        <f>IF(A568="","",IF(F568&lt;&gt;"Evet","İNCELEME GEREKLİ - Kampanya Tanımsız",IF(G568&lt;&gt;"Evet","İNCELEME GEREKLİ - Tarih Dışı Satış",IF(LEFT(P568,4)="RİSK","İNCELEME GEREKLİ - Hakediş Süresi Aşıldı",IF(OR(S568="EKSİK ÖDENMİŞ",S568="FAZLA ÖDENMİŞ"),"İNCELEME GEREKLİ - Tutar Uyuşmazlığı",IF(LEFT(P568,7)="Bekleni","Bekleniyor","Uygun"))))))</f>
        <v/>
      </c>
    </row>
    <row r="569">
      <c r="A569" s="26">
        <f>IF('DIVA Satislari'!I569="","",'DIVA Satislari'!I569)</f>
        <v/>
      </c>
      <c r="B569" s="26">
        <f>IF('DIVA Satislari'!I569="","",'DIVA Satislari'!R569)</f>
        <v/>
      </c>
      <c r="C569" s="26">
        <f>IF('DIVA Satislari'!I569="","",'DIVA Satislari'!M569)</f>
        <v/>
      </c>
      <c r="D569" s="27">
        <f>IF('DIVA Satislari'!I569="","",'DIVA Satislari'!H569)</f>
        <v/>
      </c>
      <c r="E569" s="26">
        <f>IF('DIVA Satislari'!I569="","",'DIVA Satislari'!O569)</f>
        <v/>
      </c>
      <c r="F569" s="26">
        <f>IF('DIVA Satislari'!I569="","",'DIVA Satislari'!AK569)</f>
        <v/>
      </c>
      <c r="G569" s="26">
        <f>IF('DIVA Satislari'!I569="","",'DIVA Satislari'!AO569)</f>
        <v/>
      </c>
      <c r="H569" s="27">
        <f>IF('DIVA Satislari'!I569="","",'DIVA Satislari'!AN569)</f>
        <v/>
      </c>
      <c r="I569" s="28">
        <f>IF('DIVA Satislari'!I569="","",'DIVA Satislari'!AQ569)</f>
        <v/>
      </c>
      <c r="J569" s="26">
        <f>IF('DIVA Satislari'!I569="","",'DIVA Satislari'!AR569)</f>
        <v/>
      </c>
      <c r="K569" s="26">
        <f>IF('DIVA Satislari'!I569="","",IFERROR(INDEX('E2E Nakliye Montaj'!$AS$3:$AS$1002,MATCH('DIVA Satislari'!AJ569,'E2E Nakliye Montaj'!$AM$3:$AM$1002,0)),"Eşleşme Yok"))</f>
        <v/>
      </c>
      <c r="L569" s="26">
        <f>IF('DIVA Satislari'!I569="","",IFERROR(INDEX('E2E Nakliye Montaj'!$AT$3:$AT$1002,MATCH('DIVA Satislari'!AJ569,'E2E Nakliye Montaj'!$AM$3:$AM$1002,0)),"Hayır"))</f>
        <v/>
      </c>
      <c r="M569" s="26">
        <f>IF('DIVA Satislari'!I569="","",IFERROR(INDEX('E2E Nakliye Montaj'!$AU$3:$AU$1002,MATCH('DIVA Satislari'!AJ569,'E2E Nakliye Montaj'!$AM$3:$AM$1002,0)),"Hayır"))</f>
        <v/>
      </c>
      <c r="N569" s="27">
        <f>IF('DIVA Satislari'!I569="","",IFERROR(INDEX('E2E Nakliye Montaj'!$AV$3:$AV$1002,MATCH('DIVA Satislari'!AJ569,'E2E Nakliye Montaj'!$AM$3:$AM$1002,0)),""))</f>
        <v/>
      </c>
      <c r="O569" s="26">
        <f>IF(OR(A569="",N569=""),"",IF(N569&lt;=H569,"Evet","HAYIR - RİSK"))</f>
        <v/>
      </c>
      <c r="P569" s="26">
        <f>IF(A569="","",IF(LEFT(J569,8)="Kural A ","Uygun - Hemen Ödenir (Yıl Sonu %75 Kontrolüne Tabi)",IF(OR(L569="Evet",M569="Evet"),IF(O569="Evet","Uygun","RİSK - Hakediş Süresi Aşıldı"),"Bekleniyor - Nakliye/Montaj Tamamlanmadı")))</f>
        <v/>
      </c>
      <c r="Q569" s="28">
        <f>IF(A569="","",SUMIFS('Hakedis Fatura Detay'!$G$3:$G$1200,'Hakedis Fatura Detay'!$H$3:$H$1200,'DIVA Satislari'!AJ569,'Hakedis Fatura Detay'!$F$3:$F$1200,"Fiyat Farkı")+SUMIFS('Hakedis Fatura Detay'!$G$3:$G$1200,'Hakedis Fatura Detay'!$H$3:$H$1200,'DIVA Satislari'!AJ569,'Hakedis Fatura Detay'!$F$3:$F$1200,"Bundle"))</f>
        <v/>
      </c>
      <c r="R569" s="28">
        <f>IF(A569="","",I569-Q569)</f>
        <v/>
      </c>
      <c r="S569" s="26">
        <f>IF(A569="","",IF(LEFT(P569,7)="Bekleni","N/A - Henüz Ödenmemeli",IF(LEFT(P569,4)="RİSK","İNCELEME GEREKLİ - Süre Aşımı",IF(R569=0,"Doğru",IF(R569&gt;0,"EKSİK ÖDENMİŞ","FAZLA ÖDENMİŞ")))))</f>
        <v/>
      </c>
      <c r="T569" s="30">
        <f>IF(A569="","",IF(F569&lt;&gt;"Evet","İNCELEME GEREKLİ - Kampanya Tanımsız",IF(G569&lt;&gt;"Evet","İNCELEME GEREKLİ - Tarih Dışı Satış",IF(LEFT(P569,4)="RİSK","İNCELEME GEREKLİ - Hakediş Süresi Aşıldı",IF(OR(S569="EKSİK ÖDENMİŞ",S569="FAZLA ÖDENMİŞ"),"İNCELEME GEREKLİ - Tutar Uyuşmazlığı",IF(LEFT(P569,7)="Bekleni","Bekleniyor","Uygun"))))))</f>
        <v/>
      </c>
    </row>
    <row r="570">
      <c r="A570" s="26">
        <f>IF('DIVA Satislari'!I570="","",'DIVA Satislari'!I570)</f>
        <v/>
      </c>
      <c r="B570" s="26">
        <f>IF('DIVA Satislari'!I570="","",'DIVA Satislari'!R570)</f>
        <v/>
      </c>
      <c r="C570" s="26">
        <f>IF('DIVA Satislari'!I570="","",'DIVA Satislari'!M570)</f>
        <v/>
      </c>
      <c r="D570" s="27">
        <f>IF('DIVA Satislari'!I570="","",'DIVA Satislari'!H570)</f>
        <v/>
      </c>
      <c r="E570" s="26">
        <f>IF('DIVA Satislari'!I570="","",'DIVA Satislari'!O570)</f>
        <v/>
      </c>
      <c r="F570" s="26">
        <f>IF('DIVA Satislari'!I570="","",'DIVA Satislari'!AK570)</f>
        <v/>
      </c>
      <c r="G570" s="26">
        <f>IF('DIVA Satislari'!I570="","",'DIVA Satislari'!AO570)</f>
        <v/>
      </c>
      <c r="H570" s="27">
        <f>IF('DIVA Satislari'!I570="","",'DIVA Satislari'!AN570)</f>
        <v/>
      </c>
      <c r="I570" s="28">
        <f>IF('DIVA Satislari'!I570="","",'DIVA Satislari'!AQ570)</f>
        <v/>
      </c>
      <c r="J570" s="26">
        <f>IF('DIVA Satislari'!I570="","",'DIVA Satislari'!AR570)</f>
        <v/>
      </c>
      <c r="K570" s="26">
        <f>IF('DIVA Satislari'!I570="","",IFERROR(INDEX('E2E Nakliye Montaj'!$AS$3:$AS$1002,MATCH('DIVA Satislari'!AJ570,'E2E Nakliye Montaj'!$AM$3:$AM$1002,0)),"Eşleşme Yok"))</f>
        <v/>
      </c>
      <c r="L570" s="26">
        <f>IF('DIVA Satislari'!I570="","",IFERROR(INDEX('E2E Nakliye Montaj'!$AT$3:$AT$1002,MATCH('DIVA Satislari'!AJ570,'E2E Nakliye Montaj'!$AM$3:$AM$1002,0)),"Hayır"))</f>
        <v/>
      </c>
      <c r="M570" s="26">
        <f>IF('DIVA Satislari'!I570="","",IFERROR(INDEX('E2E Nakliye Montaj'!$AU$3:$AU$1002,MATCH('DIVA Satislari'!AJ570,'E2E Nakliye Montaj'!$AM$3:$AM$1002,0)),"Hayır"))</f>
        <v/>
      </c>
      <c r="N570" s="27">
        <f>IF('DIVA Satislari'!I570="","",IFERROR(INDEX('E2E Nakliye Montaj'!$AV$3:$AV$1002,MATCH('DIVA Satislari'!AJ570,'E2E Nakliye Montaj'!$AM$3:$AM$1002,0)),""))</f>
        <v/>
      </c>
      <c r="O570" s="26">
        <f>IF(OR(A570="",N570=""),"",IF(N570&lt;=H570,"Evet","HAYIR - RİSK"))</f>
        <v/>
      </c>
      <c r="P570" s="26">
        <f>IF(A570="","",IF(LEFT(J570,8)="Kural A ","Uygun - Hemen Ödenir (Yıl Sonu %75 Kontrolüne Tabi)",IF(OR(L570="Evet",M570="Evet"),IF(O570="Evet","Uygun","RİSK - Hakediş Süresi Aşıldı"),"Bekleniyor - Nakliye/Montaj Tamamlanmadı")))</f>
        <v/>
      </c>
      <c r="Q570" s="28">
        <f>IF(A570="","",SUMIFS('Hakedis Fatura Detay'!$G$3:$G$1200,'Hakedis Fatura Detay'!$H$3:$H$1200,'DIVA Satislari'!AJ570,'Hakedis Fatura Detay'!$F$3:$F$1200,"Fiyat Farkı")+SUMIFS('Hakedis Fatura Detay'!$G$3:$G$1200,'Hakedis Fatura Detay'!$H$3:$H$1200,'DIVA Satislari'!AJ570,'Hakedis Fatura Detay'!$F$3:$F$1200,"Bundle"))</f>
        <v/>
      </c>
      <c r="R570" s="28">
        <f>IF(A570="","",I570-Q570)</f>
        <v/>
      </c>
      <c r="S570" s="26">
        <f>IF(A570="","",IF(LEFT(P570,7)="Bekleni","N/A - Henüz Ödenmemeli",IF(LEFT(P570,4)="RİSK","İNCELEME GEREKLİ - Süre Aşımı",IF(R570=0,"Doğru",IF(R570&gt;0,"EKSİK ÖDENMİŞ","FAZLA ÖDENMİŞ")))))</f>
        <v/>
      </c>
      <c r="T570" s="30">
        <f>IF(A570="","",IF(F570&lt;&gt;"Evet","İNCELEME GEREKLİ - Kampanya Tanımsız",IF(G570&lt;&gt;"Evet","İNCELEME GEREKLİ - Tarih Dışı Satış",IF(LEFT(P570,4)="RİSK","İNCELEME GEREKLİ - Hakediş Süresi Aşıldı",IF(OR(S570="EKSİK ÖDENMİŞ",S570="FAZLA ÖDENMİŞ"),"İNCELEME GEREKLİ - Tutar Uyuşmazlığı",IF(LEFT(P570,7)="Bekleni","Bekleniyor","Uygun"))))))</f>
        <v/>
      </c>
    </row>
    <row r="571">
      <c r="A571" s="26">
        <f>IF('DIVA Satislari'!I571="","",'DIVA Satislari'!I571)</f>
        <v/>
      </c>
      <c r="B571" s="26">
        <f>IF('DIVA Satislari'!I571="","",'DIVA Satislari'!R571)</f>
        <v/>
      </c>
      <c r="C571" s="26">
        <f>IF('DIVA Satislari'!I571="","",'DIVA Satislari'!M571)</f>
        <v/>
      </c>
      <c r="D571" s="27">
        <f>IF('DIVA Satislari'!I571="","",'DIVA Satislari'!H571)</f>
        <v/>
      </c>
      <c r="E571" s="26">
        <f>IF('DIVA Satislari'!I571="","",'DIVA Satislari'!O571)</f>
        <v/>
      </c>
      <c r="F571" s="26">
        <f>IF('DIVA Satislari'!I571="","",'DIVA Satislari'!AK571)</f>
        <v/>
      </c>
      <c r="G571" s="26">
        <f>IF('DIVA Satislari'!I571="","",'DIVA Satislari'!AO571)</f>
        <v/>
      </c>
      <c r="H571" s="27">
        <f>IF('DIVA Satislari'!I571="","",'DIVA Satislari'!AN571)</f>
        <v/>
      </c>
      <c r="I571" s="28">
        <f>IF('DIVA Satislari'!I571="","",'DIVA Satislari'!AQ571)</f>
        <v/>
      </c>
      <c r="J571" s="26">
        <f>IF('DIVA Satislari'!I571="","",'DIVA Satislari'!AR571)</f>
        <v/>
      </c>
      <c r="K571" s="26">
        <f>IF('DIVA Satislari'!I571="","",IFERROR(INDEX('E2E Nakliye Montaj'!$AS$3:$AS$1002,MATCH('DIVA Satislari'!AJ571,'E2E Nakliye Montaj'!$AM$3:$AM$1002,0)),"Eşleşme Yok"))</f>
        <v/>
      </c>
      <c r="L571" s="26">
        <f>IF('DIVA Satislari'!I571="","",IFERROR(INDEX('E2E Nakliye Montaj'!$AT$3:$AT$1002,MATCH('DIVA Satislari'!AJ571,'E2E Nakliye Montaj'!$AM$3:$AM$1002,0)),"Hayır"))</f>
        <v/>
      </c>
      <c r="M571" s="26">
        <f>IF('DIVA Satislari'!I571="","",IFERROR(INDEX('E2E Nakliye Montaj'!$AU$3:$AU$1002,MATCH('DIVA Satislari'!AJ571,'E2E Nakliye Montaj'!$AM$3:$AM$1002,0)),"Hayır"))</f>
        <v/>
      </c>
      <c r="N571" s="27">
        <f>IF('DIVA Satislari'!I571="","",IFERROR(INDEX('E2E Nakliye Montaj'!$AV$3:$AV$1002,MATCH('DIVA Satislari'!AJ571,'E2E Nakliye Montaj'!$AM$3:$AM$1002,0)),""))</f>
        <v/>
      </c>
      <c r="O571" s="26">
        <f>IF(OR(A571="",N571=""),"",IF(N571&lt;=H571,"Evet","HAYIR - RİSK"))</f>
        <v/>
      </c>
      <c r="P571" s="26">
        <f>IF(A571="","",IF(LEFT(J571,8)="Kural A ","Uygun - Hemen Ödenir (Yıl Sonu %75 Kontrolüne Tabi)",IF(OR(L571="Evet",M571="Evet"),IF(O571="Evet","Uygun","RİSK - Hakediş Süresi Aşıldı"),"Bekleniyor - Nakliye/Montaj Tamamlanmadı")))</f>
        <v/>
      </c>
      <c r="Q571" s="28">
        <f>IF(A571="","",SUMIFS('Hakedis Fatura Detay'!$G$3:$G$1200,'Hakedis Fatura Detay'!$H$3:$H$1200,'DIVA Satislari'!AJ571,'Hakedis Fatura Detay'!$F$3:$F$1200,"Fiyat Farkı")+SUMIFS('Hakedis Fatura Detay'!$G$3:$G$1200,'Hakedis Fatura Detay'!$H$3:$H$1200,'DIVA Satislari'!AJ571,'Hakedis Fatura Detay'!$F$3:$F$1200,"Bundle"))</f>
        <v/>
      </c>
      <c r="R571" s="28">
        <f>IF(A571="","",I571-Q571)</f>
        <v/>
      </c>
      <c r="S571" s="26">
        <f>IF(A571="","",IF(LEFT(P571,7)="Bekleni","N/A - Henüz Ödenmemeli",IF(LEFT(P571,4)="RİSK","İNCELEME GEREKLİ - Süre Aşımı",IF(R571=0,"Doğru",IF(R571&gt;0,"EKSİK ÖDENMİŞ","FAZLA ÖDENMİŞ")))))</f>
        <v/>
      </c>
      <c r="T571" s="30">
        <f>IF(A571="","",IF(F571&lt;&gt;"Evet","İNCELEME GEREKLİ - Kampanya Tanımsız",IF(G571&lt;&gt;"Evet","İNCELEME GEREKLİ - Tarih Dışı Satış",IF(LEFT(P571,4)="RİSK","İNCELEME GEREKLİ - Hakediş Süresi Aşıldı",IF(OR(S571="EKSİK ÖDENMİŞ",S571="FAZLA ÖDENMİŞ"),"İNCELEME GEREKLİ - Tutar Uyuşmazlığı",IF(LEFT(P571,7)="Bekleni","Bekleniyor","Uygun"))))))</f>
        <v/>
      </c>
    </row>
    <row r="572">
      <c r="A572" s="26">
        <f>IF('DIVA Satislari'!I572="","",'DIVA Satislari'!I572)</f>
        <v/>
      </c>
      <c r="B572" s="26">
        <f>IF('DIVA Satislari'!I572="","",'DIVA Satislari'!R572)</f>
        <v/>
      </c>
      <c r="C572" s="26">
        <f>IF('DIVA Satislari'!I572="","",'DIVA Satislari'!M572)</f>
        <v/>
      </c>
      <c r="D572" s="27">
        <f>IF('DIVA Satislari'!I572="","",'DIVA Satislari'!H572)</f>
        <v/>
      </c>
      <c r="E572" s="26">
        <f>IF('DIVA Satislari'!I572="","",'DIVA Satislari'!O572)</f>
        <v/>
      </c>
      <c r="F572" s="26">
        <f>IF('DIVA Satislari'!I572="","",'DIVA Satislari'!AK572)</f>
        <v/>
      </c>
      <c r="G572" s="26">
        <f>IF('DIVA Satislari'!I572="","",'DIVA Satislari'!AO572)</f>
        <v/>
      </c>
      <c r="H572" s="27">
        <f>IF('DIVA Satislari'!I572="","",'DIVA Satislari'!AN572)</f>
        <v/>
      </c>
      <c r="I572" s="28">
        <f>IF('DIVA Satislari'!I572="","",'DIVA Satislari'!AQ572)</f>
        <v/>
      </c>
      <c r="J572" s="26">
        <f>IF('DIVA Satislari'!I572="","",'DIVA Satislari'!AR572)</f>
        <v/>
      </c>
      <c r="K572" s="26">
        <f>IF('DIVA Satislari'!I572="","",IFERROR(INDEX('E2E Nakliye Montaj'!$AS$3:$AS$1002,MATCH('DIVA Satislari'!AJ572,'E2E Nakliye Montaj'!$AM$3:$AM$1002,0)),"Eşleşme Yok"))</f>
        <v/>
      </c>
      <c r="L572" s="26">
        <f>IF('DIVA Satislari'!I572="","",IFERROR(INDEX('E2E Nakliye Montaj'!$AT$3:$AT$1002,MATCH('DIVA Satislari'!AJ572,'E2E Nakliye Montaj'!$AM$3:$AM$1002,0)),"Hayır"))</f>
        <v/>
      </c>
      <c r="M572" s="26">
        <f>IF('DIVA Satislari'!I572="","",IFERROR(INDEX('E2E Nakliye Montaj'!$AU$3:$AU$1002,MATCH('DIVA Satislari'!AJ572,'E2E Nakliye Montaj'!$AM$3:$AM$1002,0)),"Hayır"))</f>
        <v/>
      </c>
      <c r="N572" s="27">
        <f>IF('DIVA Satislari'!I572="","",IFERROR(INDEX('E2E Nakliye Montaj'!$AV$3:$AV$1002,MATCH('DIVA Satislari'!AJ572,'E2E Nakliye Montaj'!$AM$3:$AM$1002,0)),""))</f>
        <v/>
      </c>
      <c r="O572" s="26">
        <f>IF(OR(A572="",N572=""),"",IF(N572&lt;=H572,"Evet","HAYIR - RİSK"))</f>
        <v/>
      </c>
      <c r="P572" s="26">
        <f>IF(A572="","",IF(LEFT(J572,8)="Kural A ","Uygun - Hemen Ödenir (Yıl Sonu %75 Kontrolüne Tabi)",IF(OR(L572="Evet",M572="Evet"),IF(O572="Evet","Uygun","RİSK - Hakediş Süresi Aşıldı"),"Bekleniyor - Nakliye/Montaj Tamamlanmadı")))</f>
        <v/>
      </c>
      <c r="Q572" s="28">
        <f>IF(A572="","",SUMIFS('Hakedis Fatura Detay'!$G$3:$G$1200,'Hakedis Fatura Detay'!$H$3:$H$1200,'DIVA Satislari'!AJ572,'Hakedis Fatura Detay'!$F$3:$F$1200,"Fiyat Farkı")+SUMIFS('Hakedis Fatura Detay'!$G$3:$G$1200,'Hakedis Fatura Detay'!$H$3:$H$1200,'DIVA Satislari'!AJ572,'Hakedis Fatura Detay'!$F$3:$F$1200,"Bundle"))</f>
        <v/>
      </c>
      <c r="R572" s="28">
        <f>IF(A572="","",I572-Q572)</f>
        <v/>
      </c>
      <c r="S572" s="26">
        <f>IF(A572="","",IF(LEFT(P572,7)="Bekleni","N/A - Henüz Ödenmemeli",IF(LEFT(P572,4)="RİSK","İNCELEME GEREKLİ - Süre Aşımı",IF(R572=0,"Doğru",IF(R572&gt;0,"EKSİK ÖDENMİŞ","FAZLA ÖDENMİŞ")))))</f>
        <v/>
      </c>
      <c r="T572" s="30">
        <f>IF(A572="","",IF(F572&lt;&gt;"Evet","İNCELEME GEREKLİ - Kampanya Tanımsız",IF(G572&lt;&gt;"Evet","İNCELEME GEREKLİ - Tarih Dışı Satış",IF(LEFT(P572,4)="RİSK","İNCELEME GEREKLİ - Hakediş Süresi Aşıldı",IF(OR(S572="EKSİK ÖDENMİŞ",S572="FAZLA ÖDENMİŞ"),"İNCELEME GEREKLİ - Tutar Uyuşmazlığı",IF(LEFT(P572,7)="Bekleni","Bekleniyor","Uygun"))))))</f>
        <v/>
      </c>
    </row>
    <row r="573">
      <c r="A573" s="26">
        <f>IF('DIVA Satislari'!I573="","",'DIVA Satislari'!I573)</f>
        <v/>
      </c>
      <c r="B573" s="26">
        <f>IF('DIVA Satislari'!I573="","",'DIVA Satislari'!R573)</f>
        <v/>
      </c>
      <c r="C573" s="26">
        <f>IF('DIVA Satislari'!I573="","",'DIVA Satislari'!M573)</f>
        <v/>
      </c>
      <c r="D573" s="27">
        <f>IF('DIVA Satislari'!I573="","",'DIVA Satislari'!H573)</f>
        <v/>
      </c>
      <c r="E573" s="26">
        <f>IF('DIVA Satislari'!I573="","",'DIVA Satislari'!O573)</f>
        <v/>
      </c>
      <c r="F573" s="26">
        <f>IF('DIVA Satislari'!I573="","",'DIVA Satislari'!AK573)</f>
        <v/>
      </c>
      <c r="G573" s="26">
        <f>IF('DIVA Satislari'!I573="","",'DIVA Satislari'!AO573)</f>
        <v/>
      </c>
      <c r="H573" s="27">
        <f>IF('DIVA Satislari'!I573="","",'DIVA Satislari'!AN573)</f>
        <v/>
      </c>
      <c r="I573" s="28">
        <f>IF('DIVA Satislari'!I573="","",'DIVA Satislari'!AQ573)</f>
        <v/>
      </c>
      <c r="J573" s="26">
        <f>IF('DIVA Satislari'!I573="","",'DIVA Satislari'!AR573)</f>
        <v/>
      </c>
      <c r="K573" s="26">
        <f>IF('DIVA Satislari'!I573="","",IFERROR(INDEX('E2E Nakliye Montaj'!$AS$3:$AS$1002,MATCH('DIVA Satislari'!AJ573,'E2E Nakliye Montaj'!$AM$3:$AM$1002,0)),"Eşleşme Yok"))</f>
        <v/>
      </c>
      <c r="L573" s="26">
        <f>IF('DIVA Satislari'!I573="","",IFERROR(INDEX('E2E Nakliye Montaj'!$AT$3:$AT$1002,MATCH('DIVA Satislari'!AJ573,'E2E Nakliye Montaj'!$AM$3:$AM$1002,0)),"Hayır"))</f>
        <v/>
      </c>
      <c r="M573" s="26">
        <f>IF('DIVA Satislari'!I573="","",IFERROR(INDEX('E2E Nakliye Montaj'!$AU$3:$AU$1002,MATCH('DIVA Satislari'!AJ573,'E2E Nakliye Montaj'!$AM$3:$AM$1002,0)),"Hayır"))</f>
        <v/>
      </c>
      <c r="N573" s="27">
        <f>IF('DIVA Satislari'!I573="","",IFERROR(INDEX('E2E Nakliye Montaj'!$AV$3:$AV$1002,MATCH('DIVA Satislari'!AJ573,'E2E Nakliye Montaj'!$AM$3:$AM$1002,0)),""))</f>
        <v/>
      </c>
      <c r="O573" s="26">
        <f>IF(OR(A573="",N573=""),"",IF(N573&lt;=H573,"Evet","HAYIR - RİSK"))</f>
        <v/>
      </c>
      <c r="P573" s="26">
        <f>IF(A573="","",IF(LEFT(J573,8)="Kural A ","Uygun - Hemen Ödenir (Yıl Sonu %75 Kontrolüne Tabi)",IF(OR(L573="Evet",M573="Evet"),IF(O573="Evet","Uygun","RİSK - Hakediş Süresi Aşıldı"),"Bekleniyor - Nakliye/Montaj Tamamlanmadı")))</f>
        <v/>
      </c>
      <c r="Q573" s="28">
        <f>IF(A573="","",SUMIFS('Hakedis Fatura Detay'!$G$3:$G$1200,'Hakedis Fatura Detay'!$H$3:$H$1200,'DIVA Satislari'!AJ573,'Hakedis Fatura Detay'!$F$3:$F$1200,"Fiyat Farkı")+SUMIFS('Hakedis Fatura Detay'!$G$3:$G$1200,'Hakedis Fatura Detay'!$H$3:$H$1200,'DIVA Satislari'!AJ573,'Hakedis Fatura Detay'!$F$3:$F$1200,"Bundle"))</f>
        <v/>
      </c>
      <c r="R573" s="28">
        <f>IF(A573="","",I573-Q573)</f>
        <v/>
      </c>
      <c r="S573" s="26">
        <f>IF(A573="","",IF(LEFT(P573,7)="Bekleni","N/A - Henüz Ödenmemeli",IF(LEFT(P573,4)="RİSK","İNCELEME GEREKLİ - Süre Aşımı",IF(R573=0,"Doğru",IF(R573&gt;0,"EKSİK ÖDENMİŞ","FAZLA ÖDENMİŞ")))))</f>
        <v/>
      </c>
      <c r="T573" s="30">
        <f>IF(A573="","",IF(F573&lt;&gt;"Evet","İNCELEME GEREKLİ - Kampanya Tanımsız",IF(G573&lt;&gt;"Evet","İNCELEME GEREKLİ - Tarih Dışı Satış",IF(LEFT(P573,4)="RİSK","İNCELEME GEREKLİ - Hakediş Süresi Aşıldı",IF(OR(S573="EKSİK ÖDENMİŞ",S573="FAZLA ÖDENMİŞ"),"İNCELEME GEREKLİ - Tutar Uyuşmazlığı",IF(LEFT(P573,7)="Bekleni","Bekleniyor","Uygun"))))))</f>
        <v/>
      </c>
    </row>
    <row r="574">
      <c r="A574" s="26">
        <f>IF('DIVA Satislari'!I574="","",'DIVA Satislari'!I574)</f>
        <v/>
      </c>
      <c r="B574" s="26">
        <f>IF('DIVA Satislari'!I574="","",'DIVA Satislari'!R574)</f>
        <v/>
      </c>
      <c r="C574" s="26">
        <f>IF('DIVA Satislari'!I574="","",'DIVA Satislari'!M574)</f>
        <v/>
      </c>
      <c r="D574" s="27">
        <f>IF('DIVA Satislari'!I574="","",'DIVA Satislari'!H574)</f>
        <v/>
      </c>
      <c r="E574" s="26">
        <f>IF('DIVA Satislari'!I574="","",'DIVA Satislari'!O574)</f>
        <v/>
      </c>
      <c r="F574" s="26">
        <f>IF('DIVA Satislari'!I574="","",'DIVA Satislari'!AK574)</f>
        <v/>
      </c>
      <c r="G574" s="26">
        <f>IF('DIVA Satislari'!I574="","",'DIVA Satislari'!AO574)</f>
        <v/>
      </c>
      <c r="H574" s="27">
        <f>IF('DIVA Satislari'!I574="","",'DIVA Satislari'!AN574)</f>
        <v/>
      </c>
      <c r="I574" s="28">
        <f>IF('DIVA Satislari'!I574="","",'DIVA Satislari'!AQ574)</f>
        <v/>
      </c>
      <c r="J574" s="26">
        <f>IF('DIVA Satislari'!I574="","",'DIVA Satislari'!AR574)</f>
        <v/>
      </c>
      <c r="K574" s="26">
        <f>IF('DIVA Satislari'!I574="","",IFERROR(INDEX('E2E Nakliye Montaj'!$AS$3:$AS$1002,MATCH('DIVA Satislari'!AJ574,'E2E Nakliye Montaj'!$AM$3:$AM$1002,0)),"Eşleşme Yok"))</f>
        <v/>
      </c>
      <c r="L574" s="26">
        <f>IF('DIVA Satislari'!I574="","",IFERROR(INDEX('E2E Nakliye Montaj'!$AT$3:$AT$1002,MATCH('DIVA Satislari'!AJ574,'E2E Nakliye Montaj'!$AM$3:$AM$1002,0)),"Hayır"))</f>
        <v/>
      </c>
      <c r="M574" s="26">
        <f>IF('DIVA Satislari'!I574="","",IFERROR(INDEX('E2E Nakliye Montaj'!$AU$3:$AU$1002,MATCH('DIVA Satislari'!AJ574,'E2E Nakliye Montaj'!$AM$3:$AM$1002,0)),"Hayır"))</f>
        <v/>
      </c>
      <c r="N574" s="27">
        <f>IF('DIVA Satislari'!I574="","",IFERROR(INDEX('E2E Nakliye Montaj'!$AV$3:$AV$1002,MATCH('DIVA Satislari'!AJ574,'E2E Nakliye Montaj'!$AM$3:$AM$1002,0)),""))</f>
        <v/>
      </c>
      <c r="O574" s="26">
        <f>IF(OR(A574="",N574=""),"",IF(N574&lt;=H574,"Evet","HAYIR - RİSK"))</f>
        <v/>
      </c>
      <c r="P574" s="26">
        <f>IF(A574="","",IF(LEFT(J574,8)="Kural A ","Uygun - Hemen Ödenir (Yıl Sonu %75 Kontrolüne Tabi)",IF(OR(L574="Evet",M574="Evet"),IF(O574="Evet","Uygun","RİSK - Hakediş Süresi Aşıldı"),"Bekleniyor - Nakliye/Montaj Tamamlanmadı")))</f>
        <v/>
      </c>
      <c r="Q574" s="28">
        <f>IF(A574="","",SUMIFS('Hakedis Fatura Detay'!$G$3:$G$1200,'Hakedis Fatura Detay'!$H$3:$H$1200,'DIVA Satislari'!AJ574,'Hakedis Fatura Detay'!$F$3:$F$1200,"Fiyat Farkı")+SUMIFS('Hakedis Fatura Detay'!$G$3:$G$1200,'Hakedis Fatura Detay'!$H$3:$H$1200,'DIVA Satislari'!AJ574,'Hakedis Fatura Detay'!$F$3:$F$1200,"Bundle"))</f>
        <v/>
      </c>
      <c r="R574" s="28">
        <f>IF(A574="","",I574-Q574)</f>
        <v/>
      </c>
      <c r="S574" s="26">
        <f>IF(A574="","",IF(LEFT(P574,7)="Bekleni","N/A - Henüz Ödenmemeli",IF(LEFT(P574,4)="RİSK","İNCELEME GEREKLİ - Süre Aşımı",IF(R574=0,"Doğru",IF(R574&gt;0,"EKSİK ÖDENMİŞ","FAZLA ÖDENMİŞ")))))</f>
        <v/>
      </c>
      <c r="T574" s="30">
        <f>IF(A574="","",IF(F574&lt;&gt;"Evet","İNCELEME GEREKLİ - Kampanya Tanımsız",IF(G574&lt;&gt;"Evet","İNCELEME GEREKLİ - Tarih Dışı Satış",IF(LEFT(P574,4)="RİSK","İNCELEME GEREKLİ - Hakediş Süresi Aşıldı",IF(OR(S574="EKSİK ÖDENMİŞ",S574="FAZLA ÖDENMİŞ"),"İNCELEME GEREKLİ - Tutar Uyuşmazlığı",IF(LEFT(P574,7)="Bekleni","Bekleniyor","Uygun"))))))</f>
        <v/>
      </c>
    </row>
    <row r="575">
      <c r="A575" s="26">
        <f>IF('DIVA Satislari'!I575="","",'DIVA Satislari'!I575)</f>
        <v/>
      </c>
      <c r="B575" s="26">
        <f>IF('DIVA Satislari'!I575="","",'DIVA Satislari'!R575)</f>
        <v/>
      </c>
      <c r="C575" s="26">
        <f>IF('DIVA Satislari'!I575="","",'DIVA Satislari'!M575)</f>
        <v/>
      </c>
      <c r="D575" s="27">
        <f>IF('DIVA Satislari'!I575="","",'DIVA Satislari'!H575)</f>
        <v/>
      </c>
      <c r="E575" s="26">
        <f>IF('DIVA Satislari'!I575="","",'DIVA Satislari'!O575)</f>
        <v/>
      </c>
      <c r="F575" s="26">
        <f>IF('DIVA Satislari'!I575="","",'DIVA Satislari'!AK575)</f>
        <v/>
      </c>
      <c r="G575" s="26">
        <f>IF('DIVA Satislari'!I575="","",'DIVA Satislari'!AO575)</f>
        <v/>
      </c>
      <c r="H575" s="27">
        <f>IF('DIVA Satislari'!I575="","",'DIVA Satislari'!AN575)</f>
        <v/>
      </c>
      <c r="I575" s="28">
        <f>IF('DIVA Satislari'!I575="","",'DIVA Satislari'!AQ575)</f>
        <v/>
      </c>
      <c r="J575" s="26">
        <f>IF('DIVA Satislari'!I575="","",'DIVA Satislari'!AR575)</f>
        <v/>
      </c>
      <c r="K575" s="26">
        <f>IF('DIVA Satislari'!I575="","",IFERROR(INDEX('E2E Nakliye Montaj'!$AS$3:$AS$1002,MATCH('DIVA Satislari'!AJ575,'E2E Nakliye Montaj'!$AM$3:$AM$1002,0)),"Eşleşme Yok"))</f>
        <v/>
      </c>
      <c r="L575" s="26">
        <f>IF('DIVA Satislari'!I575="","",IFERROR(INDEX('E2E Nakliye Montaj'!$AT$3:$AT$1002,MATCH('DIVA Satislari'!AJ575,'E2E Nakliye Montaj'!$AM$3:$AM$1002,0)),"Hayır"))</f>
        <v/>
      </c>
      <c r="M575" s="26">
        <f>IF('DIVA Satislari'!I575="","",IFERROR(INDEX('E2E Nakliye Montaj'!$AU$3:$AU$1002,MATCH('DIVA Satislari'!AJ575,'E2E Nakliye Montaj'!$AM$3:$AM$1002,0)),"Hayır"))</f>
        <v/>
      </c>
      <c r="N575" s="27">
        <f>IF('DIVA Satislari'!I575="","",IFERROR(INDEX('E2E Nakliye Montaj'!$AV$3:$AV$1002,MATCH('DIVA Satislari'!AJ575,'E2E Nakliye Montaj'!$AM$3:$AM$1002,0)),""))</f>
        <v/>
      </c>
      <c r="O575" s="26">
        <f>IF(OR(A575="",N575=""),"",IF(N575&lt;=H575,"Evet","HAYIR - RİSK"))</f>
        <v/>
      </c>
      <c r="P575" s="26">
        <f>IF(A575="","",IF(LEFT(J575,8)="Kural A ","Uygun - Hemen Ödenir (Yıl Sonu %75 Kontrolüne Tabi)",IF(OR(L575="Evet",M575="Evet"),IF(O575="Evet","Uygun","RİSK - Hakediş Süresi Aşıldı"),"Bekleniyor - Nakliye/Montaj Tamamlanmadı")))</f>
        <v/>
      </c>
      <c r="Q575" s="28">
        <f>IF(A575="","",SUMIFS('Hakedis Fatura Detay'!$G$3:$G$1200,'Hakedis Fatura Detay'!$H$3:$H$1200,'DIVA Satislari'!AJ575,'Hakedis Fatura Detay'!$F$3:$F$1200,"Fiyat Farkı")+SUMIFS('Hakedis Fatura Detay'!$G$3:$G$1200,'Hakedis Fatura Detay'!$H$3:$H$1200,'DIVA Satislari'!AJ575,'Hakedis Fatura Detay'!$F$3:$F$1200,"Bundle"))</f>
        <v/>
      </c>
      <c r="R575" s="28">
        <f>IF(A575="","",I575-Q575)</f>
        <v/>
      </c>
      <c r="S575" s="26">
        <f>IF(A575="","",IF(LEFT(P575,7)="Bekleni","N/A - Henüz Ödenmemeli",IF(LEFT(P575,4)="RİSK","İNCELEME GEREKLİ - Süre Aşımı",IF(R575=0,"Doğru",IF(R575&gt;0,"EKSİK ÖDENMİŞ","FAZLA ÖDENMİŞ")))))</f>
        <v/>
      </c>
      <c r="T575" s="30">
        <f>IF(A575="","",IF(F575&lt;&gt;"Evet","İNCELEME GEREKLİ - Kampanya Tanımsız",IF(G575&lt;&gt;"Evet","İNCELEME GEREKLİ - Tarih Dışı Satış",IF(LEFT(P575,4)="RİSK","İNCELEME GEREKLİ - Hakediş Süresi Aşıldı",IF(OR(S575="EKSİK ÖDENMİŞ",S575="FAZLA ÖDENMİŞ"),"İNCELEME GEREKLİ - Tutar Uyuşmazlığı",IF(LEFT(P575,7)="Bekleni","Bekleniyor","Uygun"))))))</f>
        <v/>
      </c>
    </row>
    <row r="576">
      <c r="A576" s="26">
        <f>IF('DIVA Satislari'!I576="","",'DIVA Satislari'!I576)</f>
        <v/>
      </c>
      <c r="B576" s="26">
        <f>IF('DIVA Satislari'!I576="","",'DIVA Satislari'!R576)</f>
        <v/>
      </c>
      <c r="C576" s="26">
        <f>IF('DIVA Satislari'!I576="","",'DIVA Satislari'!M576)</f>
        <v/>
      </c>
      <c r="D576" s="27">
        <f>IF('DIVA Satislari'!I576="","",'DIVA Satislari'!H576)</f>
        <v/>
      </c>
      <c r="E576" s="26">
        <f>IF('DIVA Satislari'!I576="","",'DIVA Satislari'!O576)</f>
        <v/>
      </c>
      <c r="F576" s="26">
        <f>IF('DIVA Satislari'!I576="","",'DIVA Satislari'!AK576)</f>
        <v/>
      </c>
      <c r="G576" s="26">
        <f>IF('DIVA Satislari'!I576="","",'DIVA Satislari'!AO576)</f>
        <v/>
      </c>
      <c r="H576" s="27">
        <f>IF('DIVA Satislari'!I576="","",'DIVA Satislari'!AN576)</f>
        <v/>
      </c>
      <c r="I576" s="28">
        <f>IF('DIVA Satislari'!I576="","",'DIVA Satislari'!AQ576)</f>
        <v/>
      </c>
      <c r="J576" s="26">
        <f>IF('DIVA Satislari'!I576="","",'DIVA Satislari'!AR576)</f>
        <v/>
      </c>
      <c r="K576" s="26">
        <f>IF('DIVA Satislari'!I576="","",IFERROR(INDEX('E2E Nakliye Montaj'!$AS$3:$AS$1002,MATCH('DIVA Satislari'!AJ576,'E2E Nakliye Montaj'!$AM$3:$AM$1002,0)),"Eşleşme Yok"))</f>
        <v/>
      </c>
      <c r="L576" s="26">
        <f>IF('DIVA Satislari'!I576="","",IFERROR(INDEX('E2E Nakliye Montaj'!$AT$3:$AT$1002,MATCH('DIVA Satislari'!AJ576,'E2E Nakliye Montaj'!$AM$3:$AM$1002,0)),"Hayır"))</f>
        <v/>
      </c>
      <c r="M576" s="26">
        <f>IF('DIVA Satislari'!I576="","",IFERROR(INDEX('E2E Nakliye Montaj'!$AU$3:$AU$1002,MATCH('DIVA Satislari'!AJ576,'E2E Nakliye Montaj'!$AM$3:$AM$1002,0)),"Hayır"))</f>
        <v/>
      </c>
      <c r="N576" s="27">
        <f>IF('DIVA Satislari'!I576="","",IFERROR(INDEX('E2E Nakliye Montaj'!$AV$3:$AV$1002,MATCH('DIVA Satislari'!AJ576,'E2E Nakliye Montaj'!$AM$3:$AM$1002,0)),""))</f>
        <v/>
      </c>
      <c r="O576" s="26">
        <f>IF(OR(A576="",N576=""),"",IF(N576&lt;=H576,"Evet","HAYIR - RİSK"))</f>
        <v/>
      </c>
      <c r="P576" s="26">
        <f>IF(A576="","",IF(LEFT(J576,8)="Kural A ","Uygun - Hemen Ödenir (Yıl Sonu %75 Kontrolüne Tabi)",IF(OR(L576="Evet",M576="Evet"),IF(O576="Evet","Uygun","RİSK - Hakediş Süresi Aşıldı"),"Bekleniyor - Nakliye/Montaj Tamamlanmadı")))</f>
        <v/>
      </c>
      <c r="Q576" s="28">
        <f>IF(A576="","",SUMIFS('Hakedis Fatura Detay'!$G$3:$G$1200,'Hakedis Fatura Detay'!$H$3:$H$1200,'DIVA Satislari'!AJ576,'Hakedis Fatura Detay'!$F$3:$F$1200,"Fiyat Farkı")+SUMIFS('Hakedis Fatura Detay'!$G$3:$G$1200,'Hakedis Fatura Detay'!$H$3:$H$1200,'DIVA Satislari'!AJ576,'Hakedis Fatura Detay'!$F$3:$F$1200,"Bundle"))</f>
        <v/>
      </c>
      <c r="R576" s="28">
        <f>IF(A576="","",I576-Q576)</f>
        <v/>
      </c>
      <c r="S576" s="26">
        <f>IF(A576="","",IF(LEFT(P576,7)="Bekleni","N/A - Henüz Ödenmemeli",IF(LEFT(P576,4)="RİSK","İNCELEME GEREKLİ - Süre Aşımı",IF(R576=0,"Doğru",IF(R576&gt;0,"EKSİK ÖDENMİŞ","FAZLA ÖDENMİŞ")))))</f>
        <v/>
      </c>
      <c r="T576" s="30">
        <f>IF(A576="","",IF(F576&lt;&gt;"Evet","İNCELEME GEREKLİ - Kampanya Tanımsız",IF(G576&lt;&gt;"Evet","İNCELEME GEREKLİ - Tarih Dışı Satış",IF(LEFT(P576,4)="RİSK","İNCELEME GEREKLİ - Hakediş Süresi Aşıldı",IF(OR(S576="EKSİK ÖDENMİŞ",S576="FAZLA ÖDENMİŞ"),"İNCELEME GEREKLİ - Tutar Uyuşmazlığı",IF(LEFT(P576,7)="Bekleni","Bekleniyor","Uygun"))))))</f>
        <v/>
      </c>
    </row>
    <row r="577">
      <c r="A577" s="26">
        <f>IF('DIVA Satislari'!I577="","",'DIVA Satislari'!I577)</f>
        <v/>
      </c>
      <c r="B577" s="26">
        <f>IF('DIVA Satislari'!I577="","",'DIVA Satislari'!R577)</f>
        <v/>
      </c>
      <c r="C577" s="26">
        <f>IF('DIVA Satislari'!I577="","",'DIVA Satislari'!M577)</f>
        <v/>
      </c>
      <c r="D577" s="27">
        <f>IF('DIVA Satislari'!I577="","",'DIVA Satislari'!H577)</f>
        <v/>
      </c>
      <c r="E577" s="26">
        <f>IF('DIVA Satislari'!I577="","",'DIVA Satislari'!O577)</f>
        <v/>
      </c>
      <c r="F577" s="26">
        <f>IF('DIVA Satislari'!I577="","",'DIVA Satislari'!AK577)</f>
        <v/>
      </c>
      <c r="G577" s="26">
        <f>IF('DIVA Satislari'!I577="","",'DIVA Satislari'!AO577)</f>
        <v/>
      </c>
      <c r="H577" s="27">
        <f>IF('DIVA Satislari'!I577="","",'DIVA Satislari'!AN577)</f>
        <v/>
      </c>
      <c r="I577" s="28">
        <f>IF('DIVA Satislari'!I577="","",'DIVA Satislari'!AQ577)</f>
        <v/>
      </c>
      <c r="J577" s="26">
        <f>IF('DIVA Satislari'!I577="","",'DIVA Satislari'!AR577)</f>
        <v/>
      </c>
      <c r="K577" s="26">
        <f>IF('DIVA Satislari'!I577="","",IFERROR(INDEX('E2E Nakliye Montaj'!$AS$3:$AS$1002,MATCH('DIVA Satislari'!AJ577,'E2E Nakliye Montaj'!$AM$3:$AM$1002,0)),"Eşleşme Yok"))</f>
        <v/>
      </c>
      <c r="L577" s="26">
        <f>IF('DIVA Satislari'!I577="","",IFERROR(INDEX('E2E Nakliye Montaj'!$AT$3:$AT$1002,MATCH('DIVA Satislari'!AJ577,'E2E Nakliye Montaj'!$AM$3:$AM$1002,0)),"Hayır"))</f>
        <v/>
      </c>
      <c r="M577" s="26">
        <f>IF('DIVA Satislari'!I577="","",IFERROR(INDEX('E2E Nakliye Montaj'!$AU$3:$AU$1002,MATCH('DIVA Satislari'!AJ577,'E2E Nakliye Montaj'!$AM$3:$AM$1002,0)),"Hayır"))</f>
        <v/>
      </c>
      <c r="N577" s="27">
        <f>IF('DIVA Satislari'!I577="","",IFERROR(INDEX('E2E Nakliye Montaj'!$AV$3:$AV$1002,MATCH('DIVA Satislari'!AJ577,'E2E Nakliye Montaj'!$AM$3:$AM$1002,0)),""))</f>
        <v/>
      </c>
      <c r="O577" s="26">
        <f>IF(OR(A577="",N577=""),"",IF(N577&lt;=H577,"Evet","HAYIR - RİSK"))</f>
        <v/>
      </c>
      <c r="P577" s="26">
        <f>IF(A577="","",IF(LEFT(J577,8)="Kural A ","Uygun - Hemen Ödenir (Yıl Sonu %75 Kontrolüne Tabi)",IF(OR(L577="Evet",M577="Evet"),IF(O577="Evet","Uygun","RİSK - Hakediş Süresi Aşıldı"),"Bekleniyor - Nakliye/Montaj Tamamlanmadı")))</f>
        <v/>
      </c>
      <c r="Q577" s="28">
        <f>IF(A577="","",SUMIFS('Hakedis Fatura Detay'!$G$3:$G$1200,'Hakedis Fatura Detay'!$H$3:$H$1200,'DIVA Satislari'!AJ577,'Hakedis Fatura Detay'!$F$3:$F$1200,"Fiyat Farkı")+SUMIFS('Hakedis Fatura Detay'!$G$3:$G$1200,'Hakedis Fatura Detay'!$H$3:$H$1200,'DIVA Satislari'!AJ577,'Hakedis Fatura Detay'!$F$3:$F$1200,"Bundle"))</f>
        <v/>
      </c>
      <c r="R577" s="28">
        <f>IF(A577="","",I577-Q577)</f>
        <v/>
      </c>
      <c r="S577" s="26">
        <f>IF(A577="","",IF(LEFT(P577,7)="Bekleni","N/A - Henüz Ödenmemeli",IF(LEFT(P577,4)="RİSK","İNCELEME GEREKLİ - Süre Aşımı",IF(R577=0,"Doğru",IF(R577&gt;0,"EKSİK ÖDENMİŞ","FAZLA ÖDENMİŞ")))))</f>
        <v/>
      </c>
      <c r="T577" s="30">
        <f>IF(A577="","",IF(F577&lt;&gt;"Evet","İNCELEME GEREKLİ - Kampanya Tanımsız",IF(G577&lt;&gt;"Evet","İNCELEME GEREKLİ - Tarih Dışı Satış",IF(LEFT(P577,4)="RİSK","İNCELEME GEREKLİ - Hakediş Süresi Aşıldı",IF(OR(S577="EKSİK ÖDENMİŞ",S577="FAZLA ÖDENMİŞ"),"İNCELEME GEREKLİ - Tutar Uyuşmazlığı",IF(LEFT(P577,7)="Bekleni","Bekleniyor","Uygun"))))))</f>
        <v/>
      </c>
    </row>
    <row r="578">
      <c r="A578" s="26">
        <f>IF('DIVA Satislari'!I578="","",'DIVA Satislari'!I578)</f>
        <v/>
      </c>
      <c r="B578" s="26">
        <f>IF('DIVA Satislari'!I578="","",'DIVA Satislari'!R578)</f>
        <v/>
      </c>
      <c r="C578" s="26">
        <f>IF('DIVA Satislari'!I578="","",'DIVA Satislari'!M578)</f>
        <v/>
      </c>
      <c r="D578" s="27">
        <f>IF('DIVA Satislari'!I578="","",'DIVA Satislari'!H578)</f>
        <v/>
      </c>
      <c r="E578" s="26">
        <f>IF('DIVA Satislari'!I578="","",'DIVA Satislari'!O578)</f>
        <v/>
      </c>
      <c r="F578" s="26">
        <f>IF('DIVA Satislari'!I578="","",'DIVA Satislari'!AK578)</f>
        <v/>
      </c>
      <c r="G578" s="26">
        <f>IF('DIVA Satislari'!I578="","",'DIVA Satislari'!AO578)</f>
        <v/>
      </c>
      <c r="H578" s="27">
        <f>IF('DIVA Satislari'!I578="","",'DIVA Satislari'!AN578)</f>
        <v/>
      </c>
      <c r="I578" s="28">
        <f>IF('DIVA Satislari'!I578="","",'DIVA Satislari'!AQ578)</f>
        <v/>
      </c>
      <c r="J578" s="26">
        <f>IF('DIVA Satislari'!I578="","",'DIVA Satislari'!AR578)</f>
        <v/>
      </c>
      <c r="K578" s="26">
        <f>IF('DIVA Satislari'!I578="","",IFERROR(INDEX('E2E Nakliye Montaj'!$AS$3:$AS$1002,MATCH('DIVA Satislari'!AJ578,'E2E Nakliye Montaj'!$AM$3:$AM$1002,0)),"Eşleşme Yok"))</f>
        <v/>
      </c>
      <c r="L578" s="26">
        <f>IF('DIVA Satislari'!I578="","",IFERROR(INDEX('E2E Nakliye Montaj'!$AT$3:$AT$1002,MATCH('DIVA Satislari'!AJ578,'E2E Nakliye Montaj'!$AM$3:$AM$1002,0)),"Hayır"))</f>
        <v/>
      </c>
      <c r="M578" s="26">
        <f>IF('DIVA Satislari'!I578="","",IFERROR(INDEX('E2E Nakliye Montaj'!$AU$3:$AU$1002,MATCH('DIVA Satislari'!AJ578,'E2E Nakliye Montaj'!$AM$3:$AM$1002,0)),"Hayır"))</f>
        <v/>
      </c>
      <c r="N578" s="27">
        <f>IF('DIVA Satislari'!I578="","",IFERROR(INDEX('E2E Nakliye Montaj'!$AV$3:$AV$1002,MATCH('DIVA Satislari'!AJ578,'E2E Nakliye Montaj'!$AM$3:$AM$1002,0)),""))</f>
        <v/>
      </c>
      <c r="O578" s="26">
        <f>IF(OR(A578="",N578=""),"",IF(N578&lt;=H578,"Evet","HAYIR - RİSK"))</f>
        <v/>
      </c>
      <c r="P578" s="26">
        <f>IF(A578="","",IF(LEFT(J578,8)="Kural A ","Uygun - Hemen Ödenir (Yıl Sonu %75 Kontrolüne Tabi)",IF(OR(L578="Evet",M578="Evet"),IF(O578="Evet","Uygun","RİSK - Hakediş Süresi Aşıldı"),"Bekleniyor - Nakliye/Montaj Tamamlanmadı")))</f>
        <v/>
      </c>
      <c r="Q578" s="28">
        <f>IF(A578="","",SUMIFS('Hakedis Fatura Detay'!$G$3:$G$1200,'Hakedis Fatura Detay'!$H$3:$H$1200,'DIVA Satislari'!AJ578,'Hakedis Fatura Detay'!$F$3:$F$1200,"Fiyat Farkı")+SUMIFS('Hakedis Fatura Detay'!$G$3:$G$1200,'Hakedis Fatura Detay'!$H$3:$H$1200,'DIVA Satislari'!AJ578,'Hakedis Fatura Detay'!$F$3:$F$1200,"Bundle"))</f>
        <v/>
      </c>
      <c r="R578" s="28">
        <f>IF(A578="","",I578-Q578)</f>
        <v/>
      </c>
      <c r="S578" s="26">
        <f>IF(A578="","",IF(LEFT(P578,7)="Bekleni","N/A - Henüz Ödenmemeli",IF(LEFT(P578,4)="RİSK","İNCELEME GEREKLİ - Süre Aşımı",IF(R578=0,"Doğru",IF(R578&gt;0,"EKSİK ÖDENMİŞ","FAZLA ÖDENMİŞ")))))</f>
        <v/>
      </c>
      <c r="T578" s="30">
        <f>IF(A578="","",IF(F578&lt;&gt;"Evet","İNCELEME GEREKLİ - Kampanya Tanımsız",IF(G578&lt;&gt;"Evet","İNCELEME GEREKLİ - Tarih Dışı Satış",IF(LEFT(P578,4)="RİSK","İNCELEME GEREKLİ - Hakediş Süresi Aşıldı",IF(OR(S578="EKSİK ÖDENMİŞ",S578="FAZLA ÖDENMİŞ"),"İNCELEME GEREKLİ - Tutar Uyuşmazlığı",IF(LEFT(P578,7)="Bekleni","Bekleniyor","Uygun"))))))</f>
        <v/>
      </c>
    </row>
    <row r="579">
      <c r="A579" s="26">
        <f>IF('DIVA Satislari'!I579="","",'DIVA Satislari'!I579)</f>
        <v/>
      </c>
      <c r="B579" s="26">
        <f>IF('DIVA Satislari'!I579="","",'DIVA Satislari'!R579)</f>
        <v/>
      </c>
      <c r="C579" s="26">
        <f>IF('DIVA Satislari'!I579="","",'DIVA Satislari'!M579)</f>
        <v/>
      </c>
      <c r="D579" s="27">
        <f>IF('DIVA Satislari'!I579="","",'DIVA Satislari'!H579)</f>
        <v/>
      </c>
      <c r="E579" s="26">
        <f>IF('DIVA Satislari'!I579="","",'DIVA Satislari'!O579)</f>
        <v/>
      </c>
      <c r="F579" s="26">
        <f>IF('DIVA Satislari'!I579="","",'DIVA Satislari'!AK579)</f>
        <v/>
      </c>
      <c r="G579" s="26">
        <f>IF('DIVA Satislari'!I579="","",'DIVA Satislari'!AO579)</f>
        <v/>
      </c>
      <c r="H579" s="27">
        <f>IF('DIVA Satislari'!I579="","",'DIVA Satislari'!AN579)</f>
        <v/>
      </c>
      <c r="I579" s="28">
        <f>IF('DIVA Satislari'!I579="","",'DIVA Satislari'!AQ579)</f>
        <v/>
      </c>
      <c r="J579" s="26">
        <f>IF('DIVA Satislari'!I579="","",'DIVA Satislari'!AR579)</f>
        <v/>
      </c>
      <c r="K579" s="26">
        <f>IF('DIVA Satislari'!I579="","",IFERROR(INDEX('E2E Nakliye Montaj'!$AS$3:$AS$1002,MATCH('DIVA Satislari'!AJ579,'E2E Nakliye Montaj'!$AM$3:$AM$1002,0)),"Eşleşme Yok"))</f>
        <v/>
      </c>
      <c r="L579" s="26">
        <f>IF('DIVA Satislari'!I579="","",IFERROR(INDEX('E2E Nakliye Montaj'!$AT$3:$AT$1002,MATCH('DIVA Satislari'!AJ579,'E2E Nakliye Montaj'!$AM$3:$AM$1002,0)),"Hayır"))</f>
        <v/>
      </c>
      <c r="M579" s="26">
        <f>IF('DIVA Satislari'!I579="","",IFERROR(INDEX('E2E Nakliye Montaj'!$AU$3:$AU$1002,MATCH('DIVA Satislari'!AJ579,'E2E Nakliye Montaj'!$AM$3:$AM$1002,0)),"Hayır"))</f>
        <v/>
      </c>
      <c r="N579" s="27">
        <f>IF('DIVA Satislari'!I579="","",IFERROR(INDEX('E2E Nakliye Montaj'!$AV$3:$AV$1002,MATCH('DIVA Satislari'!AJ579,'E2E Nakliye Montaj'!$AM$3:$AM$1002,0)),""))</f>
        <v/>
      </c>
      <c r="O579" s="26">
        <f>IF(OR(A579="",N579=""),"",IF(N579&lt;=H579,"Evet","HAYIR - RİSK"))</f>
        <v/>
      </c>
      <c r="P579" s="26">
        <f>IF(A579="","",IF(LEFT(J579,8)="Kural A ","Uygun - Hemen Ödenir (Yıl Sonu %75 Kontrolüne Tabi)",IF(OR(L579="Evet",M579="Evet"),IF(O579="Evet","Uygun","RİSK - Hakediş Süresi Aşıldı"),"Bekleniyor - Nakliye/Montaj Tamamlanmadı")))</f>
        <v/>
      </c>
      <c r="Q579" s="28">
        <f>IF(A579="","",SUMIFS('Hakedis Fatura Detay'!$G$3:$G$1200,'Hakedis Fatura Detay'!$H$3:$H$1200,'DIVA Satislari'!AJ579,'Hakedis Fatura Detay'!$F$3:$F$1200,"Fiyat Farkı")+SUMIFS('Hakedis Fatura Detay'!$G$3:$G$1200,'Hakedis Fatura Detay'!$H$3:$H$1200,'DIVA Satislari'!AJ579,'Hakedis Fatura Detay'!$F$3:$F$1200,"Bundle"))</f>
        <v/>
      </c>
      <c r="R579" s="28">
        <f>IF(A579="","",I579-Q579)</f>
        <v/>
      </c>
      <c r="S579" s="26">
        <f>IF(A579="","",IF(LEFT(P579,7)="Bekleni","N/A - Henüz Ödenmemeli",IF(LEFT(P579,4)="RİSK","İNCELEME GEREKLİ - Süre Aşımı",IF(R579=0,"Doğru",IF(R579&gt;0,"EKSİK ÖDENMİŞ","FAZLA ÖDENMİŞ")))))</f>
        <v/>
      </c>
      <c r="T579" s="30">
        <f>IF(A579="","",IF(F579&lt;&gt;"Evet","İNCELEME GEREKLİ - Kampanya Tanımsız",IF(G579&lt;&gt;"Evet","İNCELEME GEREKLİ - Tarih Dışı Satış",IF(LEFT(P579,4)="RİSK","İNCELEME GEREKLİ - Hakediş Süresi Aşıldı",IF(OR(S579="EKSİK ÖDENMİŞ",S579="FAZLA ÖDENMİŞ"),"İNCELEME GEREKLİ - Tutar Uyuşmazlığı",IF(LEFT(P579,7)="Bekleni","Bekleniyor","Uygun"))))))</f>
        <v/>
      </c>
    </row>
    <row r="580">
      <c r="A580" s="26">
        <f>IF('DIVA Satislari'!I580="","",'DIVA Satislari'!I580)</f>
        <v/>
      </c>
      <c r="B580" s="26">
        <f>IF('DIVA Satislari'!I580="","",'DIVA Satislari'!R580)</f>
        <v/>
      </c>
      <c r="C580" s="26">
        <f>IF('DIVA Satislari'!I580="","",'DIVA Satislari'!M580)</f>
        <v/>
      </c>
      <c r="D580" s="27">
        <f>IF('DIVA Satislari'!I580="","",'DIVA Satislari'!H580)</f>
        <v/>
      </c>
      <c r="E580" s="26">
        <f>IF('DIVA Satislari'!I580="","",'DIVA Satislari'!O580)</f>
        <v/>
      </c>
      <c r="F580" s="26">
        <f>IF('DIVA Satislari'!I580="","",'DIVA Satislari'!AK580)</f>
        <v/>
      </c>
      <c r="G580" s="26">
        <f>IF('DIVA Satislari'!I580="","",'DIVA Satislari'!AO580)</f>
        <v/>
      </c>
      <c r="H580" s="27">
        <f>IF('DIVA Satislari'!I580="","",'DIVA Satislari'!AN580)</f>
        <v/>
      </c>
      <c r="I580" s="28">
        <f>IF('DIVA Satislari'!I580="","",'DIVA Satislari'!AQ580)</f>
        <v/>
      </c>
      <c r="J580" s="26">
        <f>IF('DIVA Satislari'!I580="","",'DIVA Satislari'!AR580)</f>
        <v/>
      </c>
      <c r="K580" s="26">
        <f>IF('DIVA Satislari'!I580="","",IFERROR(INDEX('E2E Nakliye Montaj'!$AS$3:$AS$1002,MATCH('DIVA Satislari'!AJ580,'E2E Nakliye Montaj'!$AM$3:$AM$1002,0)),"Eşleşme Yok"))</f>
        <v/>
      </c>
      <c r="L580" s="26">
        <f>IF('DIVA Satislari'!I580="","",IFERROR(INDEX('E2E Nakliye Montaj'!$AT$3:$AT$1002,MATCH('DIVA Satislari'!AJ580,'E2E Nakliye Montaj'!$AM$3:$AM$1002,0)),"Hayır"))</f>
        <v/>
      </c>
      <c r="M580" s="26">
        <f>IF('DIVA Satislari'!I580="","",IFERROR(INDEX('E2E Nakliye Montaj'!$AU$3:$AU$1002,MATCH('DIVA Satislari'!AJ580,'E2E Nakliye Montaj'!$AM$3:$AM$1002,0)),"Hayır"))</f>
        <v/>
      </c>
      <c r="N580" s="27">
        <f>IF('DIVA Satislari'!I580="","",IFERROR(INDEX('E2E Nakliye Montaj'!$AV$3:$AV$1002,MATCH('DIVA Satislari'!AJ580,'E2E Nakliye Montaj'!$AM$3:$AM$1002,0)),""))</f>
        <v/>
      </c>
      <c r="O580" s="26">
        <f>IF(OR(A580="",N580=""),"",IF(N580&lt;=H580,"Evet","HAYIR - RİSK"))</f>
        <v/>
      </c>
      <c r="P580" s="26">
        <f>IF(A580="","",IF(LEFT(J580,8)="Kural A ","Uygun - Hemen Ödenir (Yıl Sonu %75 Kontrolüne Tabi)",IF(OR(L580="Evet",M580="Evet"),IF(O580="Evet","Uygun","RİSK - Hakediş Süresi Aşıldı"),"Bekleniyor - Nakliye/Montaj Tamamlanmadı")))</f>
        <v/>
      </c>
      <c r="Q580" s="28">
        <f>IF(A580="","",SUMIFS('Hakedis Fatura Detay'!$G$3:$G$1200,'Hakedis Fatura Detay'!$H$3:$H$1200,'DIVA Satislari'!AJ580,'Hakedis Fatura Detay'!$F$3:$F$1200,"Fiyat Farkı")+SUMIFS('Hakedis Fatura Detay'!$G$3:$G$1200,'Hakedis Fatura Detay'!$H$3:$H$1200,'DIVA Satislari'!AJ580,'Hakedis Fatura Detay'!$F$3:$F$1200,"Bundle"))</f>
        <v/>
      </c>
      <c r="R580" s="28">
        <f>IF(A580="","",I580-Q580)</f>
        <v/>
      </c>
      <c r="S580" s="26">
        <f>IF(A580="","",IF(LEFT(P580,7)="Bekleni","N/A - Henüz Ödenmemeli",IF(LEFT(P580,4)="RİSK","İNCELEME GEREKLİ - Süre Aşımı",IF(R580=0,"Doğru",IF(R580&gt;0,"EKSİK ÖDENMİŞ","FAZLA ÖDENMİŞ")))))</f>
        <v/>
      </c>
      <c r="T580" s="30">
        <f>IF(A580="","",IF(F580&lt;&gt;"Evet","İNCELEME GEREKLİ - Kampanya Tanımsız",IF(G580&lt;&gt;"Evet","İNCELEME GEREKLİ - Tarih Dışı Satış",IF(LEFT(P580,4)="RİSK","İNCELEME GEREKLİ - Hakediş Süresi Aşıldı",IF(OR(S580="EKSİK ÖDENMİŞ",S580="FAZLA ÖDENMİŞ"),"İNCELEME GEREKLİ - Tutar Uyuşmazlığı",IF(LEFT(P580,7)="Bekleni","Bekleniyor","Uygun"))))))</f>
        <v/>
      </c>
    </row>
    <row r="581">
      <c r="A581" s="26">
        <f>IF('DIVA Satislari'!I581="","",'DIVA Satislari'!I581)</f>
        <v/>
      </c>
      <c r="B581" s="26">
        <f>IF('DIVA Satislari'!I581="","",'DIVA Satislari'!R581)</f>
        <v/>
      </c>
      <c r="C581" s="26">
        <f>IF('DIVA Satislari'!I581="","",'DIVA Satislari'!M581)</f>
        <v/>
      </c>
      <c r="D581" s="27">
        <f>IF('DIVA Satislari'!I581="","",'DIVA Satislari'!H581)</f>
        <v/>
      </c>
      <c r="E581" s="26">
        <f>IF('DIVA Satislari'!I581="","",'DIVA Satislari'!O581)</f>
        <v/>
      </c>
      <c r="F581" s="26">
        <f>IF('DIVA Satislari'!I581="","",'DIVA Satislari'!AK581)</f>
        <v/>
      </c>
      <c r="G581" s="26">
        <f>IF('DIVA Satislari'!I581="","",'DIVA Satislari'!AO581)</f>
        <v/>
      </c>
      <c r="H581" s="27">
        <f>IF('DIVA Satislari'!I581="","",'DIVA Satislari'!AN581)</f>
        <v/>
      </c>
      <c r="I581" s="28">
        <f>IF('DIVA Satislari'!I581="","",'DIVA Satislari'!AQ581)</f>
        <v/>
      </c>
      <c r="J581" s="26">
        <f>IF('DIVA Satislari'!I581="","",'DIVA Satislari'!AR581)</f>
        <v/>
      </c>
      <c r="K581" s="26">
        <f>IF('DIVA Satislari'!I581="","",IFERROR(INDEX('E2E Nakliye Montaj'!$AS$3:$AS$1002,MATCH('DIVA Satislari'!AJ581,'E2E Nakliye Montaj'!$AM$3:$AM$1002,0)),"Eşleşme Yok"))</f>
        <v/>
      </c>
      <c r="L581" s="26">
        <f>IF('DIVA Satislari'!I581="","",IFERROR(INDEX('E2E Nakliye Montaj'!$AT$3:$AT$1002,MATCH('DIVA Satislari'!AJ581,'E2E Nakliye Montaj'!$AM$3:$AM$1002,0)),"Hayır"))</f>
        <v/>
      </c>
      <c r="M581" s="26">
        <f>IF('DIVA Satislari'!I581="","",IFERROR(INDEX('E2E Nakliye Montaj'!$AU$3:$AU$1002,MATCH('DIVA Satislari'!AJ581,'E2E Nakliye Montaj'!$AM$3:$AM$1002,0)),"Hayır"))</f>
        <v/>
      </c>
      <c r="N581" s="27">
        <f>IF('DIVA Satislari'!I581="","",IFERROR(INDEX('E2E Nakliye Montaj'!$AV$3:$AV$1002,MATCH('DIVA Satislari'!AJ581,'E2E Nakliye Montaj'!$AM$3:$AM$1002,0)),""))</f>
        <v/>
      </c>
      <c r="O581" s="26">
        <f>IF(OR(A581="",N581=""),"",IF(N581&lt;=H581,"Evet","HAYIR - RİSK"))</f>
        <v/>
      </c>
      <c r="P581" s="26">
        <f>IF(A581="","",IF(LEFT(J581,8)="Kural A ","Uygun - Hemen Ödenir (Yıl Sonu %75 Kontrolüne Tabi)",IF(OR(L581="Evet",M581="Evet"),IF(O581="Evet","Uygun","RİSK - Hakediş Süresi Aşıldı"),"Bekleniyor - Nakliye/Montaj Tamamlanmadı")))</f>
        <v/>
      </c>
      <c r="Q581" s="28">
        <f>IF(A581="","",SUMIFS('Hakedis Fatura Detay'!$G$3:$G$1200,'Hakedis Fatura Detay'!$H$3:$H$1200,'DIVA Satislari'!AJ581,'Hakedis Fatura Detay'!$F$3:$F$1200,"Fiyat Farkı")+SUMIFS('Hakedis Fatura Detay'!$G$3:$G$1200,'Hakedis Fatura Detay'!$H$3:$H$1200,'DIVA Satislari'!AJ581,'Hakedis Fatura Detay'!$F$3:$F$1200,"Bundle"))</f>
        <v/>
      </c>
      <c r="R581" s="28">
        <f>IF(A581="","",I581-Q581)</f>
        <v/>
      </c>
      <c r="S581" s="26">
        <f>IF(A581="","",IF(LEFT(P581,7)="Bekleni","N/A - Henüz Ödenmemeli",IF(LEFT(P581,4)="RİSK","İNCELEME GEREKLİ - Süre Aşımı",IF(R581=0,"Doğru",IF(R581&gt;0,"EKSİK ÖDENMİŞ","FAZLA ÖDENMİŞ")))))</f>
        <v/>
      </c>
      <c r="T581" s="30">
        <f>IF(A581="","",IF(F581&lt;&gt;"Evet","İNCELEME GEREKLİ - Kampanya Tanımsız",IF(G581&lt;&gt;"Evet","İNCELEME GEREKLİ - Tarih Dışı Satış",IF(LEFT(P581,4)="RİSK","İNCELEME GEREKLİ - Hakediş Süresi Aşıldı",IF(OR(S581="EKSİK ÖDENMİŞ",S581="FAZLA ÖDENMİŞ"),"İNCELEME GEREKLİ - Tutar Uyuşmazlığı",IF(LEFT(P581,7)="Bekleni","Bekleniyor","Uygun"))))))</f>
        <v/>
      </c>
    </row>
    <row r="582">
      <c r="A582" s="26">
        <f>IF('DIVA Satislari'!I582="","",'DIVA Satislari'!I582)</f>
        <v/>
      </c>
      <c r="B582" s="26">
        <f>IF('DIVA Satislari'!I582="","",'DIVA Satislari'!R582)</f>
        <v/>
      </c>
      <c r="C582" s="26">
        <f>IF('DIVA Satislari'!I582="","",'DIVA Satislari'!M582)</f>
        <v/>
      </c>
      <c r="D582" s="27">
        <f>IF('DIVA Satislari'!I582="","",'DIVA Satislari'!H582)</f>
        <v/>
      </c>
      <c r="E582" s="26">
        <f>IF('DIVA Satislari'!I582="","",'DIVA Satislari'!O582)</f>
        <v/>
      </c>
      <c r="F582" s="26">
        <f>IF('DIVA Satislari'!I582="","",'DIVA Satislari'!AK582)</f>
        <v/>
      </c>
      <c r="G582" s="26">
        <f>IF('DIVA Satislari'!I582="","",'DIVA Satislari'!AO582)</f>
        <v/>
      </c>
      <c r="H582" s="27">
        <f>IF('DIVA Satislari'!I582="","",'DIVA Satislari'!AN582)</f>
        <v/>
      </c>
      <c r="I582" s="28">
        <f>IF('DIVA Satislari'!I582="","",'DIVA Satislari'!AQ582)</f>
        <v/>
      </c>
      <c r="J582" s="26">
        <f>IF('DIVA Satislari'!I582="","",'DIVA Satislari'!AR582)</f>
        <v/>
      </c>
      <c r="K582" s="26">
        <f>IF('DIVA Satislari'!I582="","",IFERROR(INDEX('E2E Nakliye Montaj'!$AS$3:$AS$1002,MATCH('DIVA Satislari'!AJ582,'E2E Nakliye Montaj'!$AM$3:$AM$1002,0)),"Eşleşme Yok"))</f>
        <v/>
      </c>
      <c r="L582" s="26">
        <f>IF('DIVA Satislari'!I582="","",IFERROR(INDEX('E2E Nakliye Montaj'!$AT$3:$AT$1002,MATCH('DIVA Satislari'!AJ582,'E2E Nakliye Montaj'!$AM$3:$AM$1002,0)),"Hayır"))</f>
        <v/>
      </c>
      <c r="M582" s="26">
        <f>IF('DIVA Satislari'!I582="","",IFERROR(INDEX('E2E Nakliye Montaj'!$AU$3:$AU$1002,MATCH('DIVA Satislari'!AJ582,'E2E Nakliye Montaj'!$AM$3:$AM$1002,0)),"Hayır"))</f>
        <v/>
      </c>
      <c r="N582" s="27">
        <f>IF('DIVA Satislari'!I582="","",IFERROR(INDEX('E2E Nakliye Montaj'!$AV$3:$AV$1002,MATCH('DIVA Satislari'!AJ582,'E2E Nakliye Montaj'!$AM$3:$AM$1002,0)),""))</f>
        <v/>
      </c>
      <c r="O582" s="26">
        <f>IF(OR(A582="",N582=""),"",IF(N582&lt;=H582,"Evet","HAYIR - RİSK"))</f>
        <v/>
      </c>
      <c r="P582" s="26">
        <f>IF(A582="","",IF(LEFT(J582,8)="Kural A ","Uygun - Hemen Ödenir (Yıl Sonu %75 Kontrolüne Tabi)",IF(OR(L582="Evet",M582="Evet"),IF(O582="Evet","Uygun","RİSK - Hakediş Süresi Aşıldı"),"Bekleniyor - Nakliye/Montaj Tamamlanmadı")))</f>
        <v/>
      </c>
      <c r="Q582" s="28">
        <f>IF(A582="","",SUMIFS('Hakedis Fatura Detay'!$G$3:$G$1200,'Hakedis Fatura Detay'!$H$3:$H$1200,'DIVA Satislari'!AJ582,'Hakedis Fatura Detay'!$F$3:$F$1200,"Fiyat Farkı")+SUMIFS('Hakedis Fatura Detay'!$G$3:$G$1200,'Hakedis Fatura Detay'!$H$3:$H$1200,'DIVA Satislari'!AJ582,'Hakedis Fatura Detay'!$F$3:$F$1200,"Bundle"))</f>
        <v/>
      </c>
      <c r="R582" s="28">
        <f>IF(A582="","",I582-Q582)</f>
        <v/>
      </c>
      <c r="S582" s="26">
        <f>IF(A582="","",IF(LEFT(P582,7)="Bekleni","N/A - Henüz Ödenmemeli",IF(LEFT(P582,4)="RİSK","İNCELEME GEREKLİ - Süre Aşımı",IF(R582=0,"Doğru",IF(R582&gt;0,"EKSİK ÖDENMİŞ","FAZLA ÖDENMİŞ")))))</f>
        <v/>
      </c>
      <c r="T582" s="30">
        <f>IF(A582="","",IF(F582&lt;&gt;"Evet","İNCELEME GEREKLİ - Kampanya Tanımsız",IF(G582&lt;&gt;"Evet","İNCELEME GEREKLİ - Tarih Dışı Satış",IF(LEFT(P582,4)="RİSK","İNCELEME GEREKLİ - Hakediş Süresi Aşıldı",IF(OR(S582="EKSİK ÖDENMİŞ",S582="FAZLA ÖDENMİŞ"),"İNCELEME GEREKLİ - Tutar Uyuşmazlığı",IF(LEFT(P582,7)="Bekleni","Bekleniyor","Uygun"))))))</f>
        <v/>
      </c>
    </row>
    <row r="583">
      <c r="A583" s="26">
        <f>IF('DIVA Satislari'!I583="","",'DIVA Satislari'!I583)</f>
        <v/>
      </c>
      <c r="B583" s="26">
        <f>IF('DIVA Satislari'!I583="","",'DIVA Satislari'!R583)</f>
        <v/>
      </c>
      <c r="C583" s="26">
        <f>IF('DIVA Satislari'!I583="","",'DIVA Satislari'!M583)</f>
        <v/>
      </c>
      <c r="D583" s="27">
        <f>IF('DIVA Satislari'!I583="","",'DIVA Satislari'!H583)</f>
        <v/>
      </c>
      <c r="E583" s="26">
        <f>IF('DIVA Satislari'!I583="","",'DIVA Satislari'!O583)</f>
        <v/>
      </c>
      <c r="F583" s="26">
        <f>IF('DIVA Satislari'!I583="","",'DIVA Satislari'!AK583)</f>
        <v/>
      </c>
      <c r="G583" s="26">
        <f>IF('DIVA Satislari'!I583="","",'DIVA Satislari'!AO583)</f>
        <v/>
      </c>
      <c r="H583" s="27">
        <f>IF('DIVA Satislari'!I583="","",'DIVA Satislari'!AN583)</f>
        <v/>
      </c>
      <c r="I583" s="28">
        <f>IF('DIVA Satislari'!I583="","",'DIVA Satislari'!AQ583)</f>
        <v/>
      </c>
      <c r="J583" s="26">
        <f>IF('DIVA Satislari'!I583="","",'DIVA Satislari'!AR583)</f>
        <v/>
      </c>
      <c r="K583" s="26">
        <f>IF('DIVA Satislari'!I583="","",IFERROR(INDEX('E2E Nakliye Montaj'!$AS$3:$AS$1002,MATCH('DIVA Satislari'!AJ583,'E2E Nakliye Montaj'!$AM$3:$AM$1002,0)),"Eşleşme Yok"))</f>
        <v/>
      </c>
      <c r="L583" s="26">
        <f>IF('DIVA Satislari'!I583="","",IFERROR(INDEX('E2E Nakliye Montaj'!$AT$3:$AT$1002,MATCH('DIVA Satislari'!AJ583,'E2E Nakliye Montaj'!$AM$3:$AM$1002,0)),"Hayır"))</f>
        <v/>
      </c>
      <c r="M583" s="26">
        <f>IF('DIVA Satislari'!I583="","",IFERROR(INDEX('E2E Nakliye Montaj'!$AU$3:$AU$1002,MATCH('DIVA Satislari'!AJ583,'E2E Nakliye Montaj'!$AM$3:$AM$1002,0)),"Hayır"))</f>
        <v/>
      </c>
      <c r="N583" s="27">
        <f>IF('DIVA Satislari'!I583="","",IFERROR(INDEX('E2E Nakliye Montaj'!$AV$3:$AV$1002,MATCH('DIVA Satislari'!AJ583,'E2E Nakliye Montaj'!$AM$3:$AM$1002,0)),""))</f>
        <v/>
      </c>
      <c r="O583" s="26">
        <f>IF(OR(A583="",N583=""),"",IF(N583&lt;=H583,"Evet","HAYIR - RİSK"))</f>
        <v/>
      </c>
      <c r="P583" s="26">
        <f>IF(A583="","",IF(LEFT(J583,8)="Kural A ","Uygun - Hemen Ödenir (Yıl Sonu %75 Kontrolüne Tabi)",IF(OR(L583="Evet",M583="Evet"),IF(O583="Evet","Uygun","RİSK - Hakediş Süresi Aşıldı"),"Bekleniyor - Nakliye/Montaj Tamamlanmadı")))</f>
        <v/>
      </c>
      <c r="Q583" s="28">
        <f>IF(A583="","",SUMIFS('Hakedis Fatura Detay'!$G$3:$G$1200,'Hakedis Fatura Detay'!$H$3:$H$1200,'DIVA Satislari'!AJ583,'Hakedis Fatura Detay'!$F$3:$F$1200,"Fiyat Farkı")+SUMIFS('Hakedis Fatura Detay'!$G$3:$G$1200,'Hakedis Fatura Detay'!$H$3:$H$1200,'DIVA Satislari'!AJ583,'Hakedis Fatura Detay'!$F$3:$F$1200,"Bundle"))</f>
        <v/>
      </c>
      <c r="R583" s="28">
        <f>IF(A583="","",I583-Q583)</f>
        <v/>
      </c>
      <c r="S583" s="26">
        <f>IF(A583="","",IF(LEFT(P583,7)="Bekleni","N/A - Henüz Ödenmemeli",IF(LEFT(P583,4)="RİSK","İNCELEME GEREKLİ - Süre Aşımı",IF(R583=0,"Doğru",IF(R583&gt;0,"EKSİK ÖDENMİŞ","FAZLA ÖDENMİŞ")))))</f>
        <v/>
      </c>
      <c r="T583" s="30">
        <f>IF(A583="","",IF(F583&lt;&gt;"Evet","İNCELEME GEREKLİ - Kampanya Tanımsız",IF(G583&lt;&gt;"Evet","İNCELEME GEREKLİ - Tarih Dışı Satış",IF(LEFT(P583,4)="RİSK","İNCELEME GEREKLİ - Hakediş Süresi Aşıldı",IF(OR(S583="EKSİK ÖDENMİŞ",S583="FAZLA ÖDENMİŞ"),"İNCELEME GEREKLİ - Tutar Uyuşmazlığı",IF(LEFT(P583,7)="Bekleni","Bekleniyor","Uygun"))))))</f>
        <v/>
      </c>
    </row>
    <row r="584">
      <c r="A584" s="26">
        <f>IF('DIVA Satislari'!I584="","",'DIVA Satislari'!I584)</f>
        <v/>
      </c>
      <c r="B584" s="26">
        <f>IF('DIVA Satislari'!I584="","",'DIVA Satislari'!R584)</f>
        <v/>
      </c>
      <c r="C584" s="26">
        <f>IF('DIVA Satislari'!I584="","",'DIVA Satislari'!M584)</f>
        <v/>
      </c>
      <c r="D584" s="27">
        <f>IF('DIVA Satislari'!I584="","",'DIVA Satislari'!H584)</f>
        <v/>
      </c>
      <c r="E584" s="26">
        <f>IF('DIVA Satislari'!I584="","",'DIVA Satislari'!O584)</f>
        <v/>
      </c>
      <c r="F584" s="26">
        <f>IF('DIVA Satislari'!I584="","",'DIVA Satislari'!AK584)</f>
        <v/>
      </c>
      <c r="G584" s="26">
        <f>IF('DIVA Satislari'!I584="","",'DIVA Satislari'!AO584)</f>
        <v/>
      </c>
      <c r="H584" s="27">
        <f>IF('DIVA Satislari'!I584="","",'DIVA Satislari'!AN584)</f>
        <v/>
      </c>
      <c r="I584" s="28">
        <f>IF('DIVA Satislari'!I584="","",'DIVA Satislari'!AQ584)</f>
        <v/>
      </c>
      <c r="J584" s="26">
        <f>IF('DIVA Satislari'!I584="","",'DIVA Satislari'!AR584)</f>
        <v/>
      </c>
      <c r="K584" s="26">
        <f>IF('DIVA Satislari'!I584="","",IFERROR(INDEX('E2E Nakliye Montaj'!$AS$3:$AS$1002,MATCH('DIVA Satislari'!AJ584,'E2E Nakliye Montaj'!$AM$3:$AM$1002,0)),"Eşleşme Yok"))</f>
        <v/>
      </c>
      <c r="L584" s="26">
        <f>IF('DIVA Satislari'!I584="","",IFERROR(INDEX('E2E Nakliye Montaj'!$AT$3:$AT$1002,MATCH('DIVA Satislari'!AJ584,'E2E Nakliye Montaj'!$AM$3:$AM$1002,0)),"Hayır"))</f>
        <v/>
      </c>
      <c r="M584" s="26">
        <f>IF('DIVA Satislari'!I584="","",IFERROR(INDEX('E2E Nakliye Montaj'!$AU$3:$AU$1002,MATCH('DIVA Satislari'!AJ584,'E2E Nakliye Montaj'!$AM$3:$AM$1002,0)),"Hayır"))</f>
        <v/>
      </c>
      <c r="N584" s="27">
        <f>IF('DIVA Satislari'!I584="","",IFERROR(INDEX('E2E Nakliye Montaj'!$AV$3:$AV$1002,MATCH('DIVA Satislari'!AJ584,'E2E Nakliye Montaj'!$AM$3:$AM$1002,0)),""))</f>
        <v/>
      </c>
      <c r="O584" s="26">
        <f>IF(OR(A584="",N584=""),"",IF(N584&lt;=H584,"Evet","HAYIR - RİSK"))</f>
        <v/>
      </c>
      <c r="P584" s="26">
        <f>IF(A584="","",IF(LEFT(J584,8)="Kural A ","Uygun - Hemen Ödenir (Yıl Sonu %75 Kontrolüne Tabi)",IF(OR(L584="Evet",M584="Evet"),IF(O584="Evet","Uygun","RİSK - Hakediş Süresi Aşıldı"),"Bekleniyor - Nakliye/Montaj Tamamlanmadı")))</f>
        <v/>
      </c>
      <c r="Q584" s="28">
        <f>IF(A584="","",SUMIFS('Hakedis Fatura Detay'!$G$3:$G$1200,'Hakedis Fatura Detay'!$H$3:$H$1200,'DIVA Satislari'!AJ584,'Hakedis Fatura Detay'!$F$3:$F$1200,"Fiyat Farkı")+SUMIFS('Hakedis Fatura Detay'!$G$3:$G$1200,'Hakedis Fatura Detay'!$H$3:$H$1200,'DIVA Satislari'!AJ584,'Hakedis Fatura Detay'!$F$3:$F$1200,"Bundle"))</f>
        <v/>
      </c>
      <c r="R584" s="28">
        <f>IF(A584="","",I584-Q584)</f>
        <v/>
      </c>
      <c r="S584" s="26">
        <f>IF(A584="","",IF(LEFT(P584,7)="Bekleni","N/A - Henüz Ödenmemeli",IF(LEFT(P584,4)="RİSK","İNCELEME GEREKLİ - Süre Aşımı",IF(R584=0,"Doğru",IF(R584&gt;0,"EKSİK ÖDENMİŞ","FAZLA ÖDENMİŞ")))))</f>
        <v/>
      </c>
      <c r="T584" s="30">
        <f>IF(A584="","",IF(F584&lt;&gt;"Evet","İNCELEME GEREKLİ - Kampanya Tanımsız",IF(G584&lt;&gt;"Evet","İNCELEME GEREKLİ - Tarih Dışı Satış",IF(LEFT(P584,4)="RİSK","İNCELEME GEREKLİ - Hakediş Süresi Aşıldı",IF(OR(S584="EKSİK ÖDENMİŞ",S584="FAZLA ÖDENMİŞ"),"İNCELEME GEREKLİ - Tutar Uyuşmazlığı",IF(LEFT(P584,7)="Bekleni","Bekleniyor","Uygun"))))))</f>
        <v/>
      </c>
    </row>
    <row r="585">
      <c r="A585" s="26">
        <f>IF('DIVA Satislari'!I585="","",'DIVA Satislari'!I585)</f>
        <v/>
      </c>
      <c r="B585" s="26">
        <f>IF('DIVA Satislari'!I585="","",'DIVA Satislari'!R585)</f>
        <v/>
      </c>
      <c r="C585" s="26">
        <f>IF('DIVA Satislari'!I585="","",'DIVA Satislari'!M585)</f>
        <v/>
      </c>
      <c r="D585" s="27">
        <f>IF('DIVA Satislari'!I585="","",'DIVA Satislari'!H585)</f>
        <v/>
      </c>
      <c r="E585" s="26">
        <f>IF('DIVA Satislari'!I585="","",'DIVA Satislari'!O585)</f>
        <v/>
      </c>
      <c r="F585" s="26">
        <f>IF('DIVA Satislari'!I585="","",'DIVA Satislari'!AK585)</f>
        <v/>
      </c>
      <c r="G585" s="26">
        <f>IF('DIVA Satislari'!I585="","",'DIVA Satislari'!AO585)</f>
        <v/>
      </c>
      <c r="H585" s="27">
        <f>IF('DIVA Satislari'!I585="","",'DIVA Satislari'!AN585)</f>
        <v/>
      </c>
      <c r="I585" s="28">
        <f>IF('DIVA Satislari'!I585="","",'DIVA Satislari'!AQ585)</f>
        <v/>
      </c>
      <c r="J585" s="26">
        <f>IF('DIVA Satislari'!I585="","",'DIVA Satislari'!AR585)</f>
        <v/>
      </c>
      <c r="K585" s="26">
        <f>IF('DIVA Satislari'!I585="","",IFERROR(INDEX('E2E Nakliye Montaj'!$AS$3:$AS$1002,MATCH('DIVA Satislari'!AJ585,'E2E Nakliye Montaj'!$AM$3:$AM$1002,0)),"Eşleşme Yok"))</f>
        <v/>
      </c>
      <c r="L585" s="26">
        <f>IF('DIVA Satislari'!I585="","",IFERROR(INDEX('E2E Nakliye Montaj'!$AT$3:$AT$1002,MATCH('DIVA Satislari'!AJ585,'E2E Nakliye Montaj'!$AM$3:$AM$1002,0)),"Hayır"))</f>
        <v/>
      </c>
      <c r="M585" s="26">
        <f>IF('DIVA Satislari'!I585="","",IFERROR(INDEX('E2E Nakliye Montaj'!$AU$3:$AU$1002,MATCH('DIVA Satislari'!AJ585,'E2E Nakliye Montaj'!$AM$3:$AM$1002,0)),"Hayır"))</f>
        <v/>
      </c>
      <c r="N585" s="27">
        <f>IF('DIVA Satislari'!I585="","",IFERROR(INDEX('E2E Nakliye Montaj'!$AV$3:$AV$1002,MATCH('DIVA Satislari'!AJ585,'E2E Nakliye Montaj'!$AM$3:$AM$1002,0)),""))</f>
        <v/>
      </c>
      <c r="O585" s="26">
        <f>IF(OR(A585="",N585=""),"",IF(N585&lt;=H585,"Evet","HAYIR - RİSK"))</f>
        <v/>
      </c>
      <c r="P585" s="26">
        <f>IF(A585="","",IF(LEFT(J585,8)="Kural A ","Uygun - Hemen Ödenir (Yıl Sonu %75 Kontrolüne Tabi)",IF(OR(L585="Evet",M585="Evet"),IF(O585="Evet","Uygun","RİSK - Hakediş Süresi Aşıldı"),"Bekleniyor - Nakliye/Montaj Tamamlanmadı")))</f>
        <v/>
      </c>
      <c r="Q585" s="28">
        <f>IF(A585="","",SUMIFS('Hakedis Fatura Detay'!$G$3:$G$1200,'Hakedis Fatura Detay'!$H$3:$H$1200,'DIVA Satislari'!AJ585,'Hakedis Fatura Detay'!$F$3:$F$1200,"Fiyat Farkı")+SUMIFS('Hakedis Fatura Detay'!$G$3:$G$1200,'Hakedis Fatura Detay'!$H$3:$H$1200,'DIVA Satislari'!AJ585,'Hakedis Fatura Detay'!$F$3:$F$1200,"Bundle"))</f>
        <v/>
      </c>
      <c r="R585" s="28">
        <f>IF(A585="","",I585-Q585)</f>
        <v/>
      </c>
      <c r="S585" s="26">
        <f>IF(A585="","",IF(LEFT(P585,7)="Bekleni","N/A - Henüz Ödenmemeli",IF(LEFT(P585,4)="RİSK","İNCELEME GEREKLİ - Süre Aşımı",IF(R585=0,"Doğru",IF(R585&gt;0,"EKSİK ÖDENMİŞ","FAZLA ÖDENMİŞ")))))</f>
        <v/>
      </c>
      <c r="T585" s="30">
        <f>IF(A585="","",IF(F585&lt;&gt;"Evet","İNCELEME GEREKLİ - Kampanya Tanımsız",IF(G585&lt;&gt;"Evet","İNCELEME GEREKLİ - Tarih Dışı Satış",IF(LEFT(P585,4)="RİSK","İNCELEME GEREKLİ - Hakediş Süresi Aşıldı",IF(OR(S585="EKSİK ÖDENMİŞ",S585="FAZLA ÖDENMİŞ"),"İNCELEME GEREKLİ - Tutar Uyuşmazlığı",IF(LEFT(P585,7)="Bekleni","Bekleniyor","Uygun"))))))</f>
        <v/>
      </c>
    </row>
    <row r="586">
      <c r="A586" s="26">
        <f>IF('DIVA Satislari'!I586="","",'DIVA Satislari'!I586)</f>
        <v/>
      </c>
      <c r="B586" s="26">
        <f>IF('DIVA Satislari'!I586="","",'DIVA Satislari'!R586)</f>
        <v/>
      </c>
      <c r="C586" s="26">
        <f>IF('DIVA Satislari'!I586="","",'DIVA Satislari'!M586)</f>
        <v/>
      </c>
      <c r="D586" s="27">
        <f>IF('DIVA Satislari'!I586="","",'DIVA Satislari'!H586)</f>
        <v/>
      </c>
      <c r="E586" s="26">
        <f>IF('DIVA Satislari'!I586="","",'DIVA Satislari'!O586)</f>
        <v/>
      </c>
      <c r="F586" s="26">
        <f>IF('DIVA Satislari'!I586="","",'DIVA Satislari'!AK586)</f>
        <v/>
      </c>
      <c r="G586" s="26">
        <f>IF('DIVA Satislari'!I586="","",'DIVA Satislari'!AO586)</f>
        <v/>
      </c>
      <c r="H586" s="27">
        <f>IF('DIVA Satislari'!I586="","",'DIVA Satislari'!AN586)</f>
        <v/>
      </c>
      <c r="I586" s="28">
        <f>IF('DIVA Satislari'!I586="","",'DIVA Satislari'!AQ586)</f>
        <v/>
      </c>
      <c r="J586" s="26">
        <f>IF('DIVA Satislari'!I586="","",'DIVA Satislari'!AR586)</f>
        <v/>
      </c>
      <c r="K586" s="26">
        <f>IF('DIVA Satislari'!I586="","",IFERROR(INDEX('E2E Nakliye Montaj'!$AS$3:$AS$1002,MATCH('DIVA Satislari'!AJ586,'E2E Nakliye Montaj'!$AM$3:$AM$1002,0)),"Eşleşme Yok"))</f>
        <v/>
      </c>
      <c r="L586" s="26">
        <f>IF('DIVA Satislari'!I586="","",IFERROR(INDEX('E2E Nakliye Montaj'!$AT$3:$AT$1002,MATCH('DIVA Satislari'!AJ586,'E2E Nakliye Montaj'!$AM$3:$AM$1002,0)),"Hayır"))</f>
        <v/>
      </c>
      <c r="M586" s="26">
        <f>IF('DIVA Satislari'!I586="","",IFERROR(INDEX('E2E Nakliye Montaj'!$AU$3:$AU$1002,MATCH('DIVA Satislari'!AJ586,'E2E Nakliye Montaj'!$AM$3:$AM$1002,0)),"Hayır"))</f>
        <v/>
      </c>
      <c r="N586" s="27">
        <f>IF('DIVA Satislari'!I586="","",IFERROR(INDEX('E2E Nakliye Montaj'!$AV$3:$AV$1002,MATCH('DIVA Satislari'!AJ586,'E2E Nakliye Montaj'!$AM$3:$AM$1002,0)),""))</f>
        <v/>
      </c>
      <c r="O586" s="26">
        <f>IF(OR(A586="",N586=""),"",IF(N586&lt;=H586,"Evet","HAYIR - RİSK"))</f>
        <v/>
      </c>
      <c r="P586" s="26">
        <f>IF(A586="","",IF(LEFT(J586,8)="Kural A ","Uygun - Hemen Ödenir (Yıl Sonu %75 Kontrolüne Tabi)",IF(OR(L586="Evet",M586="Evet"),IF(O586="Evet","Uygun","RİSK - Hakediş Süresi Aşıldı"),"Bekleniyor - Nakliye/Montaj Tamamlanmadı")))</f>
        <v/>
      </c>
      <c r="Q586" s="28">
        <f>IF(A586="","",SUMIFS('Hakedis Fatura Detay'!$G$3:$G$1200,'Hakedis Fatura Detay'!$H$3:$H$1200,'DIVA Satislari'!AJ586,'Hakedis Fatura Detay'!$F$3:$F$1200,"Fiyat Farkı")+SUMIFS('Hakedis Fatura Detay'!$G$3:$G$1200,'Hakedis Fatura Detay'!$H$3:$H$1200,'DIVA Satislari'!AJ586,'Hakedis Fatura Detay'!$F$3:$F$1200,"Bundle"))</f>
        <v/>
      </c>
      <c r="R586" s="28">
        <f>IF(A586="","",I586-Q586)</f>
        <v/>
      </c>
      <c r="S586" s="26">
        <f>IF(A586="","",IF(LEFT(P586,7)="Bekleni","N/A - Henüz Ödenmemeli",IF(LEFT(P586,4)="RİSK","İNCELEME GEREKLİ - Süre Aşımı",IF(R586=0,"Doğru",IF(R586&gt;0,"EKSİK ÖDENMİŞ","FAZLA ÖDENMİŞ")))))</f>
        <v/>
      </c>
      <c r="T586" s="30">
        <f>IF(A586="","",IF(F586&lt;&gt;"Evet","İNCELEME GEREKLİ - Kampanya Tanımsız",IF(G586&lt;&gt;"Evet","İNCELEME GEREKLİ - Tarih Dışı Satış",IF(LEFT(P586,4)="RİSK","İNCELEME GEREKLİ - Hakediş Süresi Aşıldı",IF(OR(S586="EKSİK ÖDENMİŞ",S586="FAZLA ÖDENMİŞ"),"İNCELEME GEREKLİ - Tutar Uyuşmazlığı",IF(LEFT(P586,7)="Bekleni","Bekleniyor","Uygun"))))))</f>
        <v/>
      </c>
    </row>
    <row r="587">
      <c r="A587" s="26">
        <f>IF('DIVA Satislari'!I587="","",'DIVA Satislari'!I587)</f>
        <v/>
      </c>
      <c r="B587" s="26">
        <f>IF('DIVA Satislari'!I587="","",'DIVA Satislari'!R587)</f>
        <v/>
      </c>
      <c r="C587" s="26">
        <f>IF('DIVA Satislari'!I587="","",'DIVA Satislari'!M587)</f>
        <v/>
      </c>
      <c r="D587" s="27">
        <f>IF('DIVA Satislari'!I587="","",'DIVA Satislari'!H587)</f>
        <v/>
      </c>
      <c r="E587" s="26">
        <f>IF('DIVA Satislari'!I587="","",'DIVA Satislari'!O587)</f>
        <v/>
      </c>
      <c r="F587" s="26">
        <f>IF('DIVA Satislari'!I587="","",'DIVA Satislari'!AK587)</f>
        <v/>
      </c>
      <c r="G587" s="26">
        <f>IF('DIVA Satislari'!I587="","",'DIVA Satislari'!AO587)</f>
        <v/>
      </c>
      <c r="H587" s="27">
        <f>IF('DIVA Satislari'!I587="","",'DIVA Satislari'!AN587)</f>
        <v/>
      </c>
      <c r="I587" s="28">
        <f>IF('DIVA Satislari'!I587="","",'DIVA Satislari'!AQ587)</f>
        <v/>
      </c>
      <c r="J587" s="26">
        <f>IF('DIVA Satislari'!I587="","",'DIVA Satislari'!AR587)</f>
        <v/>
      </c>
      <c r="K587" s="26">
        <f>IF('DIVA Satislari'!I587="","",IFERROR(INDEX('E2E Nakliye Montaj'!$AS$3:$AS$1002,MATCH('DIVA Satislari'!AJ587,'E2E Nakliye Montaj'!$AM$3:$AM$1002,0)),"Eşleşme Yok"))</f>
        <v/>
      </c>
      <c r="L587" s="26">
        <f>IF('DIVA Satislari'!I587="","",IFERROR(INDEX('E2E Nakliye Montaj'!$AT$3:$AT$1002,MATCH('DIVA Satislari'!AJ587,'E2E Nakliye Montaj'!$AM$3:$AM$1002,0)),"Hayır"))</f>
        <v/>
      </c>
      <c r="M587" s="26">
        <f>IF('DIVA Satislari'!I587="","",IFERROR(INDEX('E2E Nakliye Montaj'!$AU$3:$AU$1002,MATCH('DIVA Satislari'!AJ587,'E2E Nakliye Montaj'!$AM$3:$AM$1002,0)),"Hayır"))</f>
        <v/>
      </c>
      <c r="N587" s="27">
        <f>IF('DIVA Satislari'!I587="","",IFERROR(INDEX('E2E Nakliye Montaj'!$AV$3:$AV$1002,MATCH('DIVA Satislari'!AJ587,'E2E Nakliye Montaj'!$AM$3:$AM$1002,0)),""))</f>
        <v/>
      </c>
      <c r="O587" s="26">
        <f>IF(OR(A587="",N587=""),"",IF(N587&lt;=H587,"Evet","HAYIR - RİSK"))</f>
        <v/>
      </c>
      <c r="P587" s="26">
        <f>IF(A587="","",IF(LEFT(J587,8)="Kural A ","Uygun - Hemen Ödenir (Yıl Sonu %75 Kontrolüne Tabi)",IF(OR(L587="Evet",M587="Evet"),IF(O587="Evet","Uygun","RİSK - Hakediş Süresi Aşıldı"),"Bekleniyor - Nakliye/Montaj Tamamlanmadı")))</f>
        <v/>
      </c>
      <c r="Q587" s="28">
        <f>IF(A587="","",SUMIFS('Hakedis Fatura Detay'!$G$3:$G$1200,'Hakedis Fatura Detay'!$H$3:$H$1200,'DIVA Satislari'!AJ587,'Hakedis Fatura Detay'!$F$3:$F$1200,"Fiyat Farkı")+SUMIFS('Hakedis Fatura Detay'!$G$3:$G$1200,'Hakedis Fatura Detay'!$H$3:$H$1200,'DIVA Satislari'!AJ587,'Hakedis Fatura Detay'!$F$3:$F$1200,"Bundle"))</f>
        <v/>
      </c>
      <c r="R587" s="28">
        <f>IF(A587="","",I587-Q587)</f>
        <v/>
      </c>
      <c r="S587" s="26">
        <f>IF(A587="","",IF(LEFT(P587,7)="Bekleni","N/A - Henüz Ödenmemeli",IF(LEFT(P587,4)="RİSK","İNCELEME GEREKLİ - Süre Aşımı",IF(R587=0,"Doğru",IF(R587&gt;0,"EKSİK ÖDENMİŞ","FAZLA ÖDENMİŞ")))))</f>
        <v/>
      </c>
      <c r="T587" s="30">
        <f>IF(A587="","",IF(F587&lt;&gt;"Evet","İNCELEME GEREKLİ - Kampanya Tanımsız",IF(G587&lt;&gt;"Evet","İNCELEME GEREKLİ - Tarih Dışı Satış",IF(LEFT(P587,4)="RİSK","İNCELEME GEREKLİ - Hakediş Süresi Aşıldı",IF(OR(S587="EKSİK ÖDENMİŞ",S587="FAZLA ÖDENMİŞ"),"İNCELEME GEREKLİ - Tutar Uyuşmazlığı",IF(LEFT(P587,7)="Bekleni","Bekleniyor","Uygun"))))))</f>
        <v/>
      </c>
    </row>
    <row r="588">
      <c r="A588" s="26">
        <f>IF('DIVA Satislari'!I588="","",'DIVA Satislari'!I588)</f>
        <v/>
      </c>
      <c r="B588" s="26">
        <f>IF('DIVA Satislari'!I588="","",'DIVA Satislari'!R588)</f>
        <v/>
      </c>
      <c r="C588" s="26">
        <f>IF('DIVA Satislari'!I588="","",'DIVA Satislari'!M588)</f>
        <v/>
      </c>
      <c r="D588" s="27">
        <f>IF('DIVA Satislari'!I588="","",'DIVA Satislari'!H588)</f>
        <v/>
      </c>
      <c r="E588" s="26">
        <f>IF('DIVA Satislari'!I588="","",'DIVA Satislari'!O588)</f>
        <v/>
      </c>
      <c r="F588" s="26">
        <f>IF('DIVA Satislari'!I588="","",'DIVA Satislari'!AK588)</f>
        <v/>
      </c>
      <c r="G588" s="26">
        <f>IF('DIVA Satislari'!I588="","",'DIVA Satislari'!AO588)</f>
        <v/>
      </c>
      <c r="H588" s="27">
        <f>IF('DIVA Satislari'!I588="","",'DIVA Satislari'!AN588)</f>
        <v/>
      </c>
      <c r="I588" s="28">
        <f>IF('DIVA Satislari'!I588="","",'DIVA Satislari'!AQ588)</f>
        <v/>
      </c>
      <c r="J588" s="26">
        <f>IF('DIVA Satislari'!I588="","",'DIVA Satislari'!AR588)</f>
        <v/>
      </c>
      <c r="K588" s="26">
        <f>IF('DIVA Satislari'!I588="","",IFERROR(INDEX('E2E Nakliye Montaj'!$AS$3:$AS$1002,MATCH('DIVA Satislari'!AJ588,'E2E Nakliye Montaj'!$AM$3:$AM$1002,0)),"Eşleşme Yok"))</f>
        <v/>
      </c>
      <c r="L588" s="26">
        <f>IF('DIVA Satislari'!I588="","",IFERROR(INDEX('E2E Nakliye Montaj'!$AT$3:$AT$1002,MATCH('DIVA Satislari'!AJ588,'E2E Nakliye Montaj'!$AM$3:$AM$1002,0)),"Hayır"))</f>
        <v/>
      </c>
      <c r="M588" s="26">
        <f>IF('DIVA Satislari'!I588="","",IFERROR(INDEX('E2E Nakliye Montaj'!$AU$3:$AU$1002,MATCH('DIVA Satislari'!AJ588,'E2E Nakliye Montaj'!$AM$3:$AM$1002,0)),"Hayır"))</f>
        <v/>
      </c>
      <c r="N588" s="27">
        <f>IF('DIVA Satislari'!I588="","",IFERROR(INDEX('E2E Nakliye Montaj'!$AV$3:$AV$1002,MATCH('DIVA Satislari'!AJ588,'E2E Nakliye Montaj'!$AM$3:$AM$1002,0)),""))</f>
        <v/>
      </c>
      <c r="O588" s="26">
        <f>IF(OR(A588="",N588=""),"",IF(N588&lt;=H588,"Evet","HAYIR - RİSK"))</f>
        <v/>
      </c>
      <c r="P588" s="26">
        <f>IF(A588="","",IF(LEFT(J588,8)="Kural A ","Uygun - Hemen Ödenir (Yıl Sonu %75 Kontrolüne Tabi)",IF(OR(L588="Evet",M588="Evet"),IF(O588="Evet","Uygun","RİSK - Hakediş Süresi Aşıldı"),"Bekleniyor - Nakliye/Montaj Tamamlanmadı")))</f>
        <v/>
      </c>
      <c r="Q588" s="28">
        <f>IF(A588="","",SUMIFS('Hakedis Fatura Detay'!$G$3:$G$1200,'Hakedis Fatura Detay'!$H$3:$H$1200,'DIVA Satislari'!AJ588,'Hakedis Fatura Detay'!$F$3:$F$1200,"Fiyat Farkı")+SUMIFS('Hakedis Fatura Detay'!$G$3:$G$1200,'Hakedis Fatura Detay'!$H$3:$H$1200,'DIVA Satislari'!AJ588,'Hakedis Fatura Detay'!$F$3:$F$1200,"Bundle"))</f>
        <v/>
      </c>
      <c r="R588" s="28">
        <f>IF(A588="","",I588-Q588)</f>
        <v/>
      </c>
      <c r="S588" s="26">
        <f>IF(A588="","",IF(LEFT(P588,7)="Bekleni","N/A - Henüz Ödenmemeli",IF(LEFT(P588,4)="RİSK","İNCELEME GEREKLİ - Süre Aşımı",IF(R588=0,"Doğru",IF(R588&gt;0,"EKSİK ÖDENMİŞ","FAZLA ÖDENMİŞ")))))</f>
        <v/>
      </c>
      <c r="T588" s="30">
        <f>IF(A588="","",IF(F588&lt;&gt;"Evet","İNCELEME GEREKLİ - Kampanya Tanımsız",IF(G588&lt;&gt;"Evet","İNCELEME GEREKLİ - Tarih Dışı Satış",IF(LEFT(P588,4)="RİSK","İNCELEME GEREKLİ - Hakediş Süresi Aşıldı",IF(OR(S588="EKSİK ÖDENMİŞ",S588="FAZLA ÖDENMİŞ"),"İNCELEME GEREKLİ - Tutar Uyuşmazlığı",IF(LEFT(P588,7)="Bekleni","Bekleniyor","Uygun"))))))</f>
        <v/>
      </c>
    </row>
    <row r="589">
      <c r="A589" s="26">
        <f>IF('DIVA Satislari'!I589="","",'DIVA Satislari'!I589)</f>
        <v/>
      </c>
      <c r="B589" s="26">
        <f>IF('DIVA Satislari'!I589="","",'DIVA Satislari'!R589)</f>
        <v/>
      </c>
      <c r="C589" s="26">
        <f>IF('DIVA Satislari'!I589="","",'DIVA Satislari'!M589)</f>
        <v/>
      </c>
      <c r="D589" s="27">
        <f>IF('DIVA Satislari'!I589="","",'DIVA Satislari'!H589)</f>
        <v/>
      </c>
      <c r="E589" s="26">
        <f>IF('DIVA Satislari'!I589="","",'DIVA Satislari'!O589)</f>
        <v/>
      </c>
      <c r="F589" s="26">
        <f>IF('DIVA Satislari'!I589="","",'DIVA Satislari'!AK589)</f>
        <v/>
      </c>
      <c r="G589" s="26">
        <f>IF('DIVA Satislari'!I589="","",'DIVA Satislari'!AO589)</f>
        <v/>
      </c>
      <c r="H589" s="27">
        <f>IF('DIVA Satislari'!I589="","",'DIVA Satislari'!AN589)</f>
        <v/>
      </c>
      <c r="I589" s="28">
        <f>IF('DIVA Satislari'!I589="","",'DIVA Satislari'!AQ589)</f>
        <v/>
      </c>
      <c r="J589" s="26">
        <f>IF('DIVA Satislari'!I589="","",'DIVA Satislari'!AR589)</f>
        <v/>
      </c>
      <c r="K589" s="26">
        <f>IF('DIVA Satislari'!I589="","",IFERROR(INDEX('E2E Nakliye Montaj'!$AS$3:$AS$1002,MATCH('DIVA Satislari'!AJ589,'E2E Nakliye Montaj'!$AM$3:$AM$1002,0)),"Eşleşme Yok"))</f>
        <v/>
      </c>
      <c r="L589" s="26">
        <f>IF('DIVA Satislari'!I589="","",IFERROR(INDEX('E2E Nakliye Montaj'!$AT$3:$AT$1002,MATCH('DIVA Satislari'!AJ589,'E2E Nakliye Montaj'!$AM$3:$AM$1002,0)),"Hayır"))</f>
        <v/>
      </c>
      <c r="M589" s="26">
        <f>IF('DIVA Satislari'!I589="","",IFERROR(INDEX('E2E Nakliye Montaj'!$AU$3:$AU$1002,MATCH('DIVA Satislari'!AJ589,'E2E Nakliye Montaj'!$AM$3:$AM$1002,0)),"Hayır"))</f>
        <v/>
      </c>
      <c r="N589" s="27">
        <f>IF('DIVA Satislari'!I589="","",IFERROR(INDEX('E2E Nakliye Montaj'!$AV$3:$AV$1002,MATCH('DIVA Satislari'!AJ589,'E2E Nakliye Montaj'!$AM$3:$AM$1002,0)),""))</f>
        <v/>
      </c>
      <c r="O589" s="26">
        <f>IF(OR(A589="",N589=""),"",IF(N589&lt;=H589,"Evet","HAYIR - RİSK"))</f>
        <v/>
      </c>
      <c r="P589" s="26">
        <f>IF(A589="","",IF(LEFT(J589,8)="Kural A ","Uygun - Hemen Ödenir (Yıl Sonu %75 Kontrolüne Tabi)",IF(OR(L589="Evet",M589="Evet"),IF(O589="Evet","Uygun","RİSK - Hakediş Süresi Aşıldı"),"Bekleniyor - Nakliye/Montaj Tamamlanmadı")))</f>
        <v/>
      </c>
      <c r="Q589" s="28">
        <f>IF(A589="","",SUMIFS('Hakedis Fatura Detay'!$G$3:$G$1200,'Hakedis Fatura Detay'!$H$3:$H$1200,'DIVA Satislari'!AJ589,'Hakedis Fatura Detay'!$F$3:$F$1200,"Fiyat Farkı")+SUMIFS('Hakedis Fatura Detay'!$G$3:$G$1200,'Hakedis Fatura Detay'!$H$3:$H$1200,'DIVA Satislari'!AJ589,'Hakedis Fatura Detay'!$F$3:$F$1200,"Bundle"))</f>
        <v/>
      </c>
      <c r="R589" s="28">
        <f>IF(A589="","",I589-Q589)</f>
        <v/>
      </c>
      <c r="S589" s="26">
        <f>IF(A589="","",IF(LEFT(P589,7)="Bekleni","N/A - Henüz Ödenmemeli",IF(LEFT(P589,4)="RİSK","İNCELEME GEREKLİ - Süre Aşımı",IF(R589=0,"Doğru",IF(R589&gt;0,"EKSİK ÖDENMİŞ","FAZLA ÖDENMİŞ")))))</f>
        <v/>
      </c>
      <c r="T589" s="30">
        <f>IF(A589="","",IF(F589&lt;&gt;"Evet","İNCELEME GEREKLİ - Kampanya Tanımsız",IF(G589&lt;&gt;"Evet","İNCELEME GEREKLİ - Tarih Dışı Satış",IF(LEFT(P589,4)="RİSK","İNCELEME GEREKLİ - Hakediş Süresi Aşıldı",IF(OR(S589="EKSİK ÖDENMİŞ",S589="FAZLA ÖDENMİŞ"),"İNCELEME GEREKLİ - Tutar Uyuşmazlığı",IF(LEFT(P589,7)="Bekleni","Bekleniyor","Uygun"))))))</f>
        <v/>
      </c>
    </row>
    <row r="590">
      <c r="A590" s="26">
        <f>IF('DIVA Satislari'!I590="","",'DIVA Satislari'!I590)</f>
        <v/>
      </c>
      <c r="B590" s="26">
        <f>IF('DIVA Satislari'!I590="","",'DIVA Satislari'!R590)</f>
        <v/>
      </c>
      <c r="C590" s="26">
        <f>IF('DIVA Satislari'!I590="","",'DIVA Satislari'!M590)</f>
        <v/>
      </c>
      <c r="D590" s="27">
        <f>IF('DIVA Satislari'!I590="","",'DIVA Satislari'!H590)</f>
        <v/>
      </c>
      <c r="E590" s="26">
        <f>IF('DIVA Satislari'!I590="","",'DIVA Satislari'!O590)</f>
        <v/>
      </c>
      <c r="F590" s="26">
        <f>IF('DIVA Satislari'!I590="","",'DIVA Satislari'!AK590)</f>
        <v/>
      </c>
      <c r="G590" s="26">
        <f>IF('DIVA Satislari'!I590="","",'DIVA Satislari'!AO590)</f>
        <v/>
      </c>
      <c r="H590" s="27">
        <f>IF('DIVA Satislari'!I590="","",'DIVA Satislari'!AN590)</f>
        <v/>
      </c>
      <c r="I590" s="28">
        <f>IF('DIVA Satislari'!I590="","",'DIVA Satislari'!AQ590)</f>
        <v/>
      </c>
      <c r="J590" s="26">
        <f>IF('DIVA Satislari'!I590="","",'DIVA Satislari'!AR590)</f>
        <v/>
      </c>
      <c r="K590" s="26">
        <f>IF('DIVA Satislari'!I590="","",IFERROR(INDEX('E2E Nakliye Montaj'!$AS$3:$AS$1002,MATCH('DIVA Satislari'!AJ590,'E2E Nakliye Montaj'!$AM$3:$AM$1002,0)),"Eşleşme Yok"))</f>
        <v/>
      </c>
      <c r="L590" s="26">
        <f>IF('DIVA Satislari'!I590="","",IFERROR(INDEX('E2E Nakliye Montaj'!$AT$3:$AT$1002,MATCH('DIVA Satislari'!AJ590,'E2E Nakliye Montaj'!$AM$3:$AM$1002,0)),"Hayır"))</f>
        <v/>
      </c>
      <c r="M590" s="26">
        <f>IF('DIVA Satislari'!I590="","",IFERROR(INDEX('E2E Nakliye Montaj'!$AU$3:$AU$1002,MATCH('DIVA Satislari'!AJ590,'E2E Nakliye Montaj'!$AM$3:$AM$1002,0)),"Hayır"))</f>
        <v/>
      </c>
      <c r="N590" s="27">
        <f>IF('DIVA Satislari'!I590="","",IFERROR(INDEX('E2E Nakliye Montaj'!$AV$3:$AV$1002,MATCH('DIVA Satislari'!AJ590,'E2E Nakliye Montaj'!$AM$3:$AM$1002,0)),""))</f>
        <v/>
      </c>
      <c r="O590" s="26">
        <f>IF(OR(A590="",N590=""),"",IF(N590&lt;=H590,"Evet","HAYIR - RİSK"))</f>
        <v/>
      </c>
      <c r="P590" s="26">
        <f>IF(A590="","",IF(LEFT(J590,8)="Kural A ","Uygun - Hemen Ödenir (Yıl Sonu %75 Kontrolüne Tabi)",IF(OR(L590="Evet",M590="Evet"),IF(O590="Evet","Uygun","RİSK - Hakediş Süresi Aşıldı"),"Bekleniyor - Nakliye/Montaj Tamamlanmadı")))</f>
        <v/>
      </c>
      <c r="Q590" s="28">
        <f>IF(A590="","",SUMIFS('Hakedis Fatura Detay'!$G$3:$G$1200,'Hakedis Fatura Detay'!$H$3:$H$1200,'DIVA Satislari'!AJ590,'Hakedis Fatura Detay'!$F$3:$F$1200,"Fiyat Farkı")+SUMIFS('Hakedis Fatura Detay'!$G$3:$G$1200,'Hakedis Fatura Detay'!$H$3:$H$1200,'DIVA Satislari'!AJ590,'Hakedis Fatura Detay'!$F$3:$F$1200,"Bundle"))</f>
        <v/>
      </c>
      <c r="R590" s="28">
        <f>IF(A590="","",I590-Q590)</f>
        <v/>
      </c>
      <c r="S590" s="26">
        <f>IF(A590="","",IF(LEFT(P590,7)="Bekleni","N/A - Henüz Ödenmemeli",IF(LEFT(P590,4)="RİSK","İNCELEME GEREKLİ - Süre Aşımı",IF(R590=0,"Doğru",IF(R590&gt;0,"EKSİK ÖDENMİŞ","FAZLA ÖDENMİŞ")))))</f>
        <v/>
      </c>
      <c r="T590" s="30">
        <f>IF(A590="","",IF(F590&lt;&gt;"Evet","İNCELEME GEREKLİ - Kampanya Tanımsız",IF(G590&lt;&gt;"Evet","İNCELEME GEREKLİ - Tarih Dışı Satış",IF(LEFT(P590,4)="RİSK","İNCELEME GEREKLİ - Hakediş Süresi Aşıldı",IF(OR(S590="EKSİK ÖDENMİŞ",S590="FAZLA ÖDENMİŞ"),"İNCELEME GEREKLİ - Tutar Uyuşmazlığı",IF(LEFT(P590,7)="Bekleni","Bekleniyor","Uygun"))))))</f>
        <v/>
      </c>
    </row>
    <row r="591">
      <c r="A591" s="26">
        <f>IF('DIVA Satislari'!I591="","",'DIVA Satislari'!I591)</f>
        <v/>
      </c>
      <c r="B591" s="26">
        <f>IF('DIVA Satislari'!I591="","",'DIVA Satislari'!R591)</f>
        <v/>
      </c>
      <c r="C591" s="26">
        <f>IF('DIVA Satislari'!I591="","",'DIVA Satislari'!M591)</f>
        <v/>
      </c>
      <c r="D591" s="27">
        <f>IF('DIVA Satislari'!I591="","",'DIVA Satislari'!H591)</f>
        <v/>
      </c>
      <c r="E591" s="26">
        <f>IF('DIVA Satislari'!I591="","",'DIVA Satislari'!O591)</f>
        <v/>
      </c>
      <c r="F591" s="26">
        <f>IF('DIVA Satislari'!I591="","",'DIVA Satislari'!AK591)</f>
        <v/>
      </c>
      <c r="G591" s="26">
        <f>IF('DIVA Satislari'!I591="","",'DIVA Satislari'!AO591)</f>
        <v/>
      </c>
      <c r="H591" s="27">
        <f>IF('DIVA Satislari'!I591="","",'DIVA Satislari'!AN591)</f>
        <v/>
      </c>
      <c r="I591" s="28">
        <f>IF('DIVA Satislari'!I591="","",'DIVA Satislari'!AQ591)</f>
        <v/>
      </c>
      <c r="J591" s="26">
        <f>IF('DIVA Satislari'!I591="","",'DIVA Satislari'!AR591)</f>
        <v/>
      </c>
      <c r="K591" s="26">
        <f>IF('DIVA Satislari'!I591="","",IFERROR(INDEX('E2E Nakliye Montaj'!$AS$3:$AS$1002,MATCH('DIVA Satislari'!AJ591,'E2E Nakliye Montaj'!$AM$3:$AM$1002,0)),"Eşleşme Yok"))</f>
        <v/>
      </c>
      <c r="L591" s="26">
        <f>IF('DIVA Satislari'!I591="","",IFERROR(INDEX('E2E Nakliye Montaj'!$AT$3:$AT$1002,MATCH('DIVA Satislari'!AJ591,'E2E Nakliye Montaj'!$AM$3:$AM$1002,0)),"Hayır"))</f>
        <v/>
      </c>
      <c r="M591" s="26">
        <f>IF('DIVA Satislari'!I591="","",IFERROR(INDEX('E2E Nakliye Montaj'!$AU$3:$AU$1002,MATCH('DIVA Satislari'!AJ591,'E2E Nakliye Montaj'!$AM$3:$AM$1002,0)),"Hayır"))</f>
        <v/>
      </c>
      <c r="N591" s="27">
        <f>IF('DIVA Satislari'!I591="","",IFERROR(INDEX('E2E Nakliye Montaj'!$AV$3:$AV$1002,MATCH('DIVA Satislari'!AJ591,'E2E Nakliye Montaj'!$AM$3:$AM$1002,0)),""))</f>
        <v/>
      </c>
      <c r="O591" s="26">
        <f>IF(OR(A591="",N591=""),"",IF(N591&lt;=H591,"Evet","HAYIR - RİSK"))</f>
        <v/>
      </c>
      <c r="P591" s="26">
        <f>IF(A591="","",IF(LEFT(J591,8)="Kural A ","Uygun - Hemen Ödenir (Yıl Sonu %75 Kontrolüne Tabi)",IF(OR(L591="Evet",M591="Evet"),IF(O591="Evet","Uygun","RİSK - Hakediş Süresi Aşıldı"),"Bekleniyor - Nakliye/Montaj Tamamlanmadı")))</f>
        <v/>
      </c>
      <c r="Q591" s="28">
        <f>IF(A591="","",SUMIFS('Hakedis Fatura Detay'!$G$3:$G$1200,'Hakedis Fatura Detay'!$H$3:$H$1200,'DIVA Satislari'!AJ591,'Hakedis Fatura Detay'!$F$3:$F$1200,"Fiyat Farkı")+SUMIFS('Hakedis Fatura Detay'!$G$3:$G$1200,'Hakedis Fatura Detay'!$H$3:$H$1200,'DIVA Satislari'!AJ591,'Hakedis Fatura Detay'!$F$3:$F$1200,"Bundle"))</f>
        <v/>
      </c>
      <c r="R591" s="28">
        <f>IF(A591="","",I591-Q591)</f>
        <v/>
      </c>
      <c r="S591" s="26">
        <f>IF(A591="","",IF(LEFT(P591,7)="Bekleni","N/A - Henüz Ödenmemeli",IF(LEFT(P591,4)="RİSK","İNCELEME GEREKLİ - Süre Aşımı",IF(R591=0,"Doğru",IF(R591&gt;0,"EKSİK ÖDENMİŞ","FAZLA ÖDENMİŞ")))))</f>
        <v/>
      </c>
      <c r="T591" s="30">
        <f>IF(A591="","",IF(F591&lt;&gt;"Evet","İNCELEME GEREKLİ - Kampanya Tanımsız",IF(G591&lt;&gt;"Evet","İNCELEME GEREKLİ - Tarih Dışı Satış",IF(LEFT(P591,4)="RİSK","İNCELEME GEREKLİ - Hakediş Süresi Aşıldı",IF(OR(S591="EKSİK ÖDENMİŞ",S591="FAZLA ÖDENMİŞ"),"İNCELEME GEREKLİ - Tutar Uyuşmazlığı",IF(LEFT(P591,7)="Bekleni","Bekleniyor","Uygun"))))))</f>
        <v/>
      </c>
    </row>
    <row r="592">
      <c r="A592" s="26">
        <f>IF('DIVA Satislari'!I592="","",'DIVA Satislari'!I592)</f>
        <v/>
      </c>
      <c r="B592" s="26">
        <f>IF('DIVA Satislari'!I592="","",'DIVA Satislari'!R592)</f>
        <v/>
      </c>
      <c r="C592" s="26">
        <f>IF('DIVA Satislari'!I592="","",'DIVA Satislari'!M592)</f>
        <v/>
      </c>
      <c r="D592" s="27">
        <f>IF('DIVA Satislari'!I592="","",'DIVA Satislari'!H592)</f>
        <v/>
      </c>
      <c r="E592" s="26">
        <f>IF('DIVA Satislari'!I592="","",'DIVA Satislari'!O592)</f>
        <v/>
      </c>
      <c r="F592" s="26">
        <f>IF('DIVA Satislari'!I592="","",'DIVA Satislari'!AK592)</f>
        <v/>
      </c>
      <c r="G592" s="26">
        <f>IF('DIVA Satislari'!I592="","",'DIVA Satislari'!AO592)</f>
        <v/>
      </c>
      <c r="H592" s="27">
        <f>IF('DIVA Satislari'!I592="","",'DIVA Satislari'!AN592)</f>
        <v/>
      </c>
      <c r="I592" s="28">
        <f>IF('DIVA Satislari'!I592="","",'DIVA Satislari'!AQ592)</f>
        <v/>
      </c>
      <c r="J592" s="26">
        <f>IF('DIVA Satislari'!I592="","",'DIVA Satislari'!AR592)</f>
        <v/>
      </c>
      <c r="K592" s="26">
        <f>IF('DIVA Satislari'!I592="","",IFERROR(INDEX('E2E Nakliye Montaj'!$AS$3:$AS$1002,MATCH('DIVA Satislari'!AJ592,'E2E Nakliye Montaj'!$AM$3:$AM$1002,0)),"Eşleşme Yok"))</f>
        <v/>
      </c>
      <c r="L592" s="26">
        <f>IF('DIVA Satislari'!I592="","",IFERROR(INDEX('E2E Nakliye Montaj'!$AT$3:$AT$1002,MATCH('DIVA Satislari'!AJ592,'E2E Nakliye Montaj'!$AM$3:$AM$1002,0)),"Hayır"))</f>
        <v/>
      </c>
      <c r="M592" s="26">
        <f>IF('DIVA Satislari'!I592="","",IFERROR(INDEX('E2E Nakliye Montaj'!$AU$3:$AU$1002,MATCH('DIVA Satislari'!AJ592,'E2E Nakliye Montaj'!$AM$3:$AM$1002,0)),"Hayır"))</f>
        <v/>
      </c>
      <c r="N592" s="27">
        <f>IF('DIVA Satislari'!I592="","",IFERROR(INDEX('E2E Nakliye Montaj'!$AV$3:$AV$1002,MATCH('DIVA Satislari'!AJ592,'E2E Nakliye Montaj'!$AM$3:$AM$1002,0)),""))</f>
        <v/>
      </c>
      <c r="O592" s="26">
        <f>IF(OR(A592="",N592=""),"",IF(N592&lt;=H592,"Evet","HAYIR - RİSK"))</f>
        <v/>
      </c>
      <c r="P592" s="26">
        <f>IF(A592="","",IF(LEFT(J592,8)="Kural A ","Uygun - Hemen Ödenir (Yıl Sonu %75 Kontrolüne Tabi)",IF(OR(L592="Evet",M592="Evet"),IF(O592="Evet","Uygun","RİSK - Hakediş Süresi Aşıldı"),"Bekleniyor - Nakliye/Montaj Tamamlanmadı")))</f>
        <v/>
      </c>
      <c r="Q592" s="28">
        <f>IF(A592="","",SUMIFS('Hakedis Fatura Detay'!$G$3:$G$1200,'Hakedis Fatura Detay'!$H$3:$H$1200,'DIVA Satislari'!AJ592,'Hakedis Fatura Detay'!$F$3:$F$1200,"Fiyat Farkı")+SUMIFS('Hakedis Fatura Detay'!$G$3:$G$1200,'Hakedis Fatura Detay'!$H$3:$H$1200,'DIVA Satislari'!AJ592,'Hakedis Fatura Detay'!$F$3:$F$1200,"Bundle"))</f>
        <v/>
      </c>
      <c r="R592" s="28">
        <f>IF(A592="","",I592-Q592)</f>
        <v/>
      </c>
      <c r="S592" s="26">
        <f>IF(A592="","",IF(LEFT(P592,7)="Bekleni","N/A - Henüz Ödenmemeli",IF(LEFT(P592,4)="RİSK","İNCELEME GEREKLİ - Süre Aşımı",IF(R592=0,"Doğru",IF(R592&gt;0,"EKSİK ÖDENMİŞ","FAZLA ÖDENMİŞ")))))</f>
        <v/>
      </c>
      <c r="T592" s="30">
        <f>IF(A592="","",IF(F592&lt;&gt;"Evet","İNCELEME GEREKLİ - Kampanya Tanımsız",IF(G592&lt;&gt;"Evet","İNCELEME GEREKLİ - Tarih Dışı Satış",IF(LEFT(P592,4)="RİSK","İNCELEME GEREKLİ - Hakediş Süresi Aşıldı",IF(OR(S592="EKSİK ÖDENMİŞ",S592="FAZLA ÖDENMİŞ"),"İNCELEME GEREKLİ - Tutar Uyuşmazlığı",IF(LEFT(P592,7)="Bekleni","Bekleniyor","Uygun"))))))</f>
        <v/>
      </c>
    </row>
    <row r="593">
      <c r="A593" s="26">
        <f>IF('DIVA Satislari'!I593="","",'DIVA Satislari'!I593)</f>
        <v/>
      </c>
      <c r="B593" s="26">
        <f>IF('DIVA Satislari'!I593="","",'DIVA Satislari'!R593)</f>
        <v/>
      </c>
      <c r="C593" s="26">
        <f>IF('DIVA Satislari'!I593="","",'DIVA Satislari'!M593)</f>
        <v/>
      </c>
      <c r="D593" s="27">
        <f>IF('DIVA Satislari'!I593="","",'DIVA Satislari'!H593)</f>
        <v/>
      </c>
      <c r="E593" s="26">
        <f>IF('DIVA Satislari'!I593="","",'DIVA Satislari'!O593)</f>
        <v/>
      </c>
      <c r="F593" s="26">
        <f>IF('DIVA Satislari'!I593="","",'DIVA Satislari'!AK593)</f>
        <v/>
      </c>
      <c r="G593" s="26">
        <f>IF('DIVA Satislari'!I593="","",'DIVA Satislari'!AO593)</f>
        <v/>
      </c>
      <c r="H593" s="27">
        <f>IF('DIVA Satislari'!I593="","",'DIVA Satislari'!AN593)</f>
        <v/>
      </c>
      <c r="I593" s="28">
        <f>IF('DIVA Satislari'!I593="","",'DIVA Satislari'!AQ593)</f>
        <v/>
      </c>
      <c r="J593" s="26">
        <f>IF('DIVA Satislari'!I593="","",'DIVA Satislari'!AR593)</f>
        <v/>
      </c>
      <c r="K593" s="26">
        <f>IF('DIVA Satislari'!I593="","",IFERROR(INDEX('E2E Nakliye Montaj'!$AS$3:$AS$1002,MATCH('DIVA Satislari'!AJ593,'E2E Nakliye Montaj'!$AM$3:$AM$1002,0)),"Eşleşme Yok"))</f>
        <v/>
      </c>
      <c r="L593" s="26">
        <f>IF('DIVA Satislari'!I593="","",IFERROR(INDEX('E2E Nakliye Montaj'!$AT$3:$AT$1002,MATCH('DIVA Satislari'!AJ593,'E2E Nakliye Montaj'!$AM$3:$AM$1002,0)),"Hayır"))</f>
        <v/>
      </c>
      <c r="M593" s="26">
        <f>IF('DIVA Satislari'!I593="","",IFERROR(INDEX('E2E Nakliye Montaj'!$AU$3:$AU$1002,MATCH('DIVA Satislari'!AJ593,'E2E Nakliye Montaj'!$AM$3:$AM$1002,0)),"Hayır"))</f>
        <v/>
      </c>
      <c r="N593" s="27">
        <f>IF('DIVA Satislari'!I593="","",IFERROR(INDEX('E2E Nakliye Montaj'!$AV$3:$AV$1002,MATCH('DIVA Satislari'!AJ593,'E2E Nakliye Montaj'!$AM$3:$AM$1002,0)),""))</f>
        <v/>
      </c>
      <c r="O593" s="26">
        <f>IF(OR(A593="",N593=""),"",IF(N593&lt;=H593,"Evet","HAYIR - RİSK"))</f>
        <v/>
      </c>
      <c r="P593" s="26">
        <f>IF(A593="","",IF(LEFT(J593,8)="Kural A ","Uygun - Hemen Ödenir (Yıl Sonu %75 Kontrolüne Tabi)",IF(OR(L593="Evet",M593="Evet"),IF(O593="Evet","Uygun","RİSK - Hakediş Süresi Aşıldı"),"Bekleniyor - Nakliye/Montaj Tamamlanmadı")))</f>
        <v/>
      </c>
      <c r="Q593" s="28">
        <f>IF(A593="","",SUMIFS('Hakedis Fatura Detay'!$G$3:$G$1200,'Hakedis Fatura Detay'!$H$3:$H$1200,'DIVA Satislari'!AJ593,'Hakedis Fatura Detay'!$F$3:$F$1200,"Fiyat Farkı")+SUMIFS('Hakedis Fatura Detay'!$G$3:$G$1200,'Hakedis Fatura Detay'!$H$3:$H$1200,'DIVA Satislari'!AJ593,'Hakedis Fatura Detay'!$F$3:$F$1200,"Bundle"))</f>
        <v/>
      </c>
      <c r="R593" s="28">
        <f>IF(A593="","",I593-Q593)</f>
        <v/>
      </c>
      <c r="S593" s="26">
        <f>IF(A593="","",IF(LEFT(P593,7)="Bekleni","N/A - Henüz Ödenmemeli",IF(LEFT(P593,4)="RİSK","İNCELEME GEREKLİ - Süre Aşımı",IF(R593=0,"Doğru",IF(R593&gt;0,"EKSİK ÖDENMİŞ","FAZLA ÖDENMİŞ")))))</f>
        <v/>
      </c>
      <c r="T593" s="30">
        <f>IF(A593="","",IF(F593&lt;&gt;"Evet","İNCELEME GEREKLİ - Kampanya Tanımsız",IF(G593&lt;&gt;"Evet","İNCELEME GEREKLİ - Tarih Dışı Satış",IF(LEFT(P593,4)="RİSK","İNCELEME GEREKLİ - Hakediş Süresi Aşıldı",IF(OR(S593="EKSİK ÖDENMİŞ",S593="FAZLA ÖDENMİŞ"),"İNCELEME GEREKLİ - Tutar Uyuşmazlığı",IF(LEFT(P593,7)="Bekleni","Bekleniyor","Uygun"))))))</f>
        <v/>
      </c>
    </row>
    <row r="594">
      <c r="A594" s="26">
        <f>IF('DIVA Satislari'!I594="","",'DIVA Satislari'!I594)</f>
        <v/>
      </c>
      <c r="B594" s="26">
        <f>IF('DIVA Satislari'!I594="","",'DIVA Satislari'!R594)</f>
        <v/>
      </c>
      <c r="C594" s="26">
        <f>IF('DIVA Satislari'!I594="","",'DIVA Satislari'!M594)</f>
        <v/>
      </c>
      <c r="D594" s="27">
        <f>IF('DIVA Satislari'!I594="","",'DIVA Satislari'!H594)</f>
        <v/>
      </c>
      <c r="E594" s="26">
        <f>IF('DIVA Satislari'!I594="","",'DIVA Satislari'!O594)</f>
        <v/>
      </c>
      <c r="F594" s="26">
        <f>IF('DIVA Satislari'!I594="","",'DIVA Satislari'!AK594)</f>
        <v/>
      </c>
      <c r="G594" s="26">
        <f>IF('DIVA Satislari'!I594="","",'DIVA Satislari'!AO594)</f>
        <v/>
      </c>
      <c r="H594" s="27">
        <f>IF('DIVA Satislari'!I594="","",'DIVA Satislari'!AN594)</f>
        <v/>
      </c>
      <c r="I594" s="28">
        <f>IF('DIVA Satislari'!I594="","",'DIVA Satislari'!AQ594)</f>
        <v/>
      </c>
      <c r="J594" s="26">
        <f>IF('DIVA Satislari'!I594="","",'DIVA Satislari'!AR594)</f>
        <v/>
      </c>
      <c r="K594" s="26">
        <f>IF('DIVA Satislari'!I594="","",IFERROR(INDEX('E2E Nakliye Montaj'!$AS$3:$AS$1002,MATCH('DIVA Satislari'!AJ594,'E2E Nakliye Montaj'!$AM$3:$AM$1002,0)),"Eşleşme Yok"))</f>
        <v/>
      </c>
      <c r="L594" s="26">
        <f>IF('DIVA Satislari'!I594="","",IFERROR(INDEX('E2E Nakliye Montaj'!$AT$3:$AT$1002,MATCH('DIVA Satislari'!AJ594,'E2E Nakliye Montaj'!$AM$3:$AM$1002,0)),"Hayır"))</f>
        <v/>
      </c>
      <c r="M594" s="26">
        <f>IF('DIVA Satislari'!I594="","",IFERROR(INDEX('E2E Nakliye Montaj'!$AU$3:$AU$1002,MATCH('DIVA Satislari'!AJ594,'E2E Nakliye Montaj'!$AM$3:$AM$1002,0)),"Hayır"))</f>
        <v/>
      </c>
      <c r="N594" s="27">
        <f>IF('DIVA Satislari'!I594="","",IFERROR(INDEX('E2E Nakliye Montaj'!$AV$3:$AV$1002,MATCH('DIVA Satislari'!AJ594,'E2E Nakliye Montaj'!$AM$3:$AM$1002,0)),""))</f>
        <v/>
      </c>
      <c r="O594" s="26">
        <f>IF(OR(A594="",N594=""),"",IF(N594&lt;=H594,"Evet","HAYIR - RİSK"))</f>
        <v/>
      </c>
      <c r="P594" s="26">
        <f>IF(A594="","",IF(LEFT(J594,8)="Kural A ","Uygun - Hemen Ödenir (Yıl Sonu %75 Kontrolüne Tabi)",IF(OR(L594="Evet",M594="Evet"),IF(O594="Evet","Uygun","RİSK - Hakediş Süresi Aşıldı"),"Bekleniyor - Nakliye/Montaj Tamamlanmadı")))</f>
        <v/>
      </c>
      <c r="Q594" s="28">
        <f>IF(A594="","",SUMIFS('Hakedis Fatura Detay'!$G$3:$G$1200,'Hakedis Fatura Detay'!$H$3:$H$1200,'DIVA Satislari'!AJ594,'Hakedis Fatura Detay'!$F$3:$F$1200,"Fiyat Farkı")+SUMIFS('Hakedis Fatura Detay'!$G$3:$G$1200,'Hakedis Fatura Detay'!$H$3:$H$1200,'DIVA Satislari'!AJ594,'Hakedis Fatura Detay'!$F$3:$F$1200,"Bundle"))</f>
        <v/>
      </c>
      <c r="R594" s="28">
        <f>IF(A594="","",I594-Q594)</f>
        <v/>
      </c>
      <c r="S594" s="26">
        <f>IF(A594="","",IF(LEFT(P594,7)="Bekleni","N/A - Henüz Ödenmemeli",IF(LEFT(P594,4)="RİSK","İNCELEME GEREKLİ - Süre Aşımı",IF(R594=0,"Doğru",IF(R594&gt;0,"EKSİK ÖDENMİŞ","FAZLA ÖDENMİŞ")))))</f>
        <v/>
      </c>
      <c r="T594" s="30">
        <f>IF(A594="","",IF(F594&lt;&gt;"Evet","İNCELEME GEREKLİ - Kampanya Tanımsız",IF(G594&lt;&gt;"Evet","İNCELEME GEREKLİ - Tarih Dışı Satış",IF(LEFT(P594,4)="RİSK","İNCELEME GEREKLİ - Hakediş Süresi Aşıldı",IF(OR(S594="EKSİK ÖDENMİŞ",S594="FAZLA ÖDENMİŞ"),"İNCELEME GEREKLİ - Tutar Uyuşmazlığı",IF(LEFT(P594,7)="Bekleni","Bekleniyor","Uygun"))))))</f>
        <v/>
      </c>
    </row>
    <row r="595">
      <c r="A595" s="26">
        <f>IF('DIVA Satislari'!I595="","",'DIVA Satislari'!I595)</f>
        <v/>
      </c>
      <c r="B595" s="26">
        <f>IF('DIVA Satislari'!I595="","",'DIVA Satislari'!R595)</f>
        <v/>
      </c>
      <c r="C595" s="26">
        <f>IF('DIVA Satislari'!I595="","",'DIVA Satislari'!M595)</f>
        <v/>
      </c>
      <c r="D595" s="27">
        <f>IF('DIVA Satislari'!I595="","",'DIVA Satislari'!H595)</f>
        <v/>
      </c>
      <c r="E595" s="26">
        <f>IF('DIVA Satislari'!I595="","",'DIVA Satislari'!O595)</f>
        <v/>
      </c>
      <c r="F595" s="26">
        <f>IF('DIVA Satislari'!I595="","",'DIVA Satislari'!AK595)</f>
        <v/>
      </c>
      <c r="G595" s="26">
        <f>IF('DIVA Satislari'!I595="","",'DIVA Satislari'!AO595)</f>
        <v/>
      </c>
      <c r="H595" s="27">
        <f>IF('DIVA Satislari'!I595="","",'DIVA Satislari'!AN595)</f>
        <v/>
      </c>
      <c r="I595" s="28">
        <f>IF('DIVA Satislari'!I595="","",'DIVA Satislari'!AQ595)</f>
        <v/>
      </c>
      <c r="J595" s="26">
        <f>IF('DIVA Satislari'!I595="","",'DIVA Satislari'!AR595)</f>
        <v/>
      </c>
      <c r="K595" s="26">
        <f>IF('DIVA Satislari'!I595="","",IFERROR(INDEX('E2E Nakliye Montaj'!$AS$3:$AS$1002,MATCH('DIVA Satislari'!AJ595,'E2E Nakliye Montaj'!$AM$3:$AM$1002,0)),"Eşleşme Yok"))</f>
        <v/>
      </c>
      <c r="L595" s="26">
        <f>IF('DIVA Satislari'!I595="","",IFERROR(INDEX('E2E Nakliye Montaj'!$AT$3:$AT$1002,MATCH('DIVA Satislari'!AJ595,'E2E Nakliye Montaj'!$AM$3:$AM$1002,0)),"Hayır"))</f>
        <v/>
      </c>
      <c r="M595" s="26">
        <f>IF('DIVA Satislari'!I595="","",IFERROR(INDEX('E2E Nakliye Montaj'!$AU$3:$AU$1002,MATCH('DIVA Satislari'!AJ595,'E2E Nakliye Montaj'!$AM$3:$AM$1002,0)),"Hayır"))</f>
        <v/>
      </c>
      <c r="N595" s="27">
        <f>IF('DIVA Satislari'!I595="","",IFERROR(INDEX('E2E Nakliye Montaj'!$AV$3:$AV$1002,MATCH('DIVA Satislari'!AJ595,'E2E Nakliye Montaj'!$AM$3:$AM$1002,0)),""))</f>
        <v/>
      </c>
      <c r="O595" s="26">
        <f>IF(OR(A595="",N595=""),"",IF(N595&lt;=H595,"Evet","HAYIR - RİSK"))</f>
        <v/>
      </c>
      <c r="P595" s="26">
        <f>IF(A595="","",IF(LEFT(J595,8)="Kural A ","Uygun - Hemen Ödenir (Yıl Sonu %75 Kontrolüne Tabi)",IF(OR(L595="Evet",M595="Evet"),IF(O595="Evet","Uygun","RİSK - Hakediş Süresi Aşıldı"),"Bekleniyor - Nakliye/Montaj Tamamlanmadı")))</f>
        <v/>
      </c>
      <c r="Q595" s="28">
        <f>IF(A595="","",SUMIFS('Hakedis Fatura Detay'!$G$3:$G$1200,'Hakedis Fatura Detay'!$H$3:$H$1200,'DIVA Satislari'!AJ595,'Hakedis Fatura Detay'!$F$3:$F$1200,"Fiyat Farkı")+SUMIFS('Hakedis Fatura Detay'!$G$3:$G$1200,'Hakedis Fatura Detay'!$H$3:$H$1200,'DIVA Satislari'!AJ595,'Hakedis Fatura Detay'!$F$3:$F$1200,"Bundle"))</f>
        <v/>
      </c>
      <c r="R595" s="28">
        <f>IF(A595="","",I595-Q595)</f>
        <v/>
      </c>
      <c r="S595" s="26">
        <f>IF(A595="","",IF(LEFT(P595,7)="Bekleni","N/A - Henüz Ödenmemeli",IF(LEFT(P595,4)="RİSK","İNCELEME GEREKLİ - Süre Aşımı",IF(R595=0,"Doğru",IF(R595&gt;0,"EKSİK ÖDENMİŞ","FAZLA ÖDENMİŞ")))))</f>
        <v/>
      </c>
      <c r="T595" s="30">
        <f>IF(A595="","",IF(F595&lt;&gt;"Evet","İNCELEME GEREKLİ - Kampanya Tanımsız",IF(G595&lt;&gt;"Evet","İNCELEME GEREKLİ - Tarih Dışı Satış",IF(LEFT(P595,4)="RİSK","İNCELEME GEREKLİ - Hakediş Süresi Aşıldı",IF(OR(S595="EKSİK ÖDENMİŞ",S595="FAZLA ÖDENMİŞ"),"İNCELEME GEREKLİ - Tutar Uyuşmazlığı",IF(LEFT(P595,7)="Bekleni","Bekleniyor","Uygun"))))))</f>
        <v/>
      </c>
    </row>
    <row r="596">
      <c r="A596" s="26">
        <f>IF('DIVA Satislari'!I596="","",'DIVA Satislari'!I596)</f>
        <v/>
      </c>
      <c r="B596" s="26">
        <f>IF('DIVA Satislari'!I596="","",'DIVA Satislari'!R596)</f>
        <v/>
      </c>
      <c r="C596" s="26">
        <f>IF('DIVA Satislari'!I596="","",'DIVA Satislari'!M596)</f>
        <v/>
      </c>
      <c r="D596" s="27">
        <f>IF('DIVA Satislari'!I596="","",'DIVA Satislari'!H596)</f>
        <v/>
      </c>
      <c r="E596" s="26">
        <f>IF('DIVA Satislari'!I596="","",'DIVA Satislari'!O596)</f>
        <v/>
      </c>
      <c r="F596" s="26">
        <f>IF('DIVA Satislari'!I596="","",'DIVA Satislari'!AK596)</f>
        <v/>
      </c>
      <c r="G596" s="26">
        <f>IF('DIVA Satislari'!I596="","",'DIVA Satislari'!AO596)</f>
        <v/>
      </c>
      <c r="H596" s="27">
        <f>IF('DIVA Satislari'!I596="","",'DIVA Satislari'!AN596)</f>
        <v/>
      </c>
      <c r="I596" s="28">
        <f>IF('DIVA Satislari'!I596="","",'DIVA Satislari'!AQ596)</f>
        <v/>
      </c>
      <c r="J596" s="26">
        <f>IF('DIVA Satislari'!I596="","",'DIVA Satislari'!AR596)</f>
        <v/>
      </c>
      <c r="K596" s="26">
        <f>IF('DIVA Satislari'!I596="","",IFERROR(INDEX('E2E Nakliye Montaj'!$AS$3:$AS$1002,MATCH('DIVA Satislari'!AJ596,'E2E Nakliye Montaj'!$AM$3:$AM$1002,0)),"Eşleşme Yok"))</f>
        <v/>
      </c>
      <c r="L596" s="26">
        <f>IF('DIVA Satislari'!I596="","",IFERROR(INDEX('E2E Nakliye Montaj'!$AT$3:$AT$1002,MATCH('DIVA Satislari'!AJ596,'E2E Nakliye Montaj'!$AM$3:$AM$1002,0)),"Hayır"))</f>
        <v/>
      </c>
      <c r="M596" s="26">
        <f>IF('DIVA Satislari'!I596="","",IFERROR(INDEX('E2E Nakliye Montaj'!$AU$3:$AU$1002,MATCH('DIVA Satislari'!AJ596,'E2E Nakliye Montaj'!$AM$3:$AM$1002,0)),"Hayır"))</f>
        <v/>
      </c>
      <c r="N596" s="27">
        <f>IF('DIVA Satislari'!I596="","",IFERROR(INDEX('E2E Nakliye Montaj'!$AV$3:$AV$1002,MATCH('DIVA Satislari'!AJ596,'E2E Nakliye Montaj'!$AM$3:$AM$1002,0)),""))</f>
        <v/>
      </c>
      <c r="O596" s="26">
        <f>IF(OR(A596="",N596=""),"",IF(N596&lt;=H596,"Evet","HAYIR - RİSK"))</f>
        <v/>
      </c>
      <c r="P596" s="26">
        <f>IF(A596="","",IF(LEFT(J596,8)="Kural A ","Uygun - Hemen Ödenir (Yıl Sonu %75 Kontrolüne Tabi)",IF(OR(L596="Evet",M596="Evet"),IF(O596="Evet","Uygun","RİSK - Hakediş Süresi Aşıldı"),"Bekleniyor - Nakliye/Montaj Tamamlanmadı")))</f>
        <v/>
      </c>
      <c r="Q596" s="28">
        <f>IF(A596="","",SUMIFS('Hakedis Fatura Detay'!$G$3:$G$1200,'Hakedis Fatura Detay'!$H$3:$H$1200,'DIVA Satislari'!AJ596,'Hakedis Fatura Detay'!$F$3:$F$1200,"Fiyat Farkı")+SUMIFS('Hakedis Fatura Detay'!$G$3:$G$1200,'Hakedis Fatura Detay'!$H$3:$H$1200,'DIVA Satislari'!AJ596,'Hakedis Fatura Detay'!$F$3:$F$1200,"Bundle"))</f>
        <v/>
      </c>
      <c r="R596" s="28">
        <f>IF(A596="","",I596-Q596)</f>
        <v/>
      </c>
      <c r="S596" s="26">
        <f>IF(A596="","",IF(LEFT(P596,7)="Bekleni","N/A - Henüz Ödenmemeli",IF(LEFT(P596,4)="RİSK","İNCELEME GEREKLİ - Süre Aşımı",IF(R596=0,"Doğru",IF(R596&gt;0,"EKSİK ÖDENMİŞ","FAZLA ÖDENMİŞ")))))</f>
        <v/>
      </c>
      <c r="T596" s="30">
        <f>IF(A596="","",IF(F596&lt;&gt;"Evet","İNCELEME GEREKLİ - Kampanya Tanımsız",IF(G596&lt;&gt;"Evet","İNCELEME GEREKLİ - Tarih Dışı Satış",IF(LEFT(P596,4)="RİSK","İNCELEME GEREKLİ - Hakediş Süresi Aşıldı",IF(OR(S596="EKSİK ÖDENMİŞ",S596="FAZLA ÖDENMİŞ"),"İNCELEME GEREKLİ - Tutar Uyuşmazlığı",IF(LEFT(P596,7)="Bekleni","Bekleniyor","Uygun"))))))</f>
        <v/>
      </c>
    </row>
    <row r="597">
      <c r="A597" s="26">
        <f>IF('DIVA Satislari'!I597="","",'DIVA Satislari'!I597)</f>
        <v/>
      </c>
      <c r="B597" s="26">
        <f>IF('DIVA Satislari'!I597="","",'DIVA Satislari'!R597)</f>
        <v/>
      </c>
      <c r="C597" s="26">
        <f>IF('DIVA Satislari'!I597="","",'DIVA Satislari'!M597)</f>
        <v/>
      </c>
      <c r="D597" s="27">
        <f>IF('DIVA Satislari'!I597="","",'DIVA Satislari'!H597)</f>
        <v/>
      </c>
      <c r="E597" s="26">
        <f>IF('DIVA Satislari'!I597="","",'DIVA Satislari'!O597)</f>
        <v/>
      </c>
      <c r="F597" s="26">
        <f>IF('DIVA Satislari'!I597="","",'DIVA Satislari'!AK597)</f>
        <v/>
      </c>
      <c r="G597" s="26">
        <f>IF('DIVA Satislari'!I597="","",'DIVA Satislari'!AO597)</f>
        <v/>
      </c>
      <c r="H597" s="27">
        <f>IF('DIVA Satislari'!I597="","",'DIVA Satislari'!AN597)</f>
        <v/>
      </c>
      <c r="I597" s="28">
        <f>IF('DIVA Satislari'!I597="","",'DIVA Satislari'!AQ597)</f>
        <v/>
      </c>
      <c r="J597" s="26">
        <f>IF('DIVA Satislari'!I597="","",'DIVA Satislari'!AR597)</f>
        <v/>
      </c>
      <c r="K597" s="26">
        <f>IF('DIVA Satislari'!I597="","",IFERROR(INDEX('E2E Nakliye Montaj'!$AS$3:$AS$1002,MATCH('DIVA Satislari'!AJ597,'E2E Nakliye Montaj'!$AM$3:$AM$1002,0)),"Eşleşme Yok"))</f>
        <v/>
      </c>
      <c r="L597" s="26">
        <f>IF('DIVA Satislari'!I597="","",IFERROR(INDEX('E2E Nakliye Montaj'!$AT$3:$AT$1002,MATCH('DIVA Satislari'!AJ597,'E2E Nakliye Montaj'!$AM$3:$AM$1002,0)),"Hayır"))</f>
        <v/>
      </c>
      <c r="M597" s="26">
        <f>IF('DIVA Satislari'!I597="","",IFERROR(INDEX('E2E Nakliye Montaj'!$AU$3:$AU$1002,MATCH('DIVA Satislari'!AJ597,'E2E Nakliye Montaj'!$AM$3:$AM$1002,0)),"Hayır"))</f>
        <v/>
      </c>
      <c r="N597" s="27">
        <f>IF('DIVA Satislari'!I597="","",IFERROR(INDEX('E2E Nakliye Montaj'!$AV$3:$AV$1002,MATCH('DIVA Satislari'!AJ597,'E2E Nakliye Montaj'!$AM$3:$AM$1002,0)),""))</f>
        <v/>
      </c>
      <c r="O597" s="26">
        <f>IF(OR(A597="",N597=""),"",IF(N597&lt;=H597,"Evet","HAYIR - RİSK"))</f>
        <v/>
      </c>
      <c r="P597" s="26">
        <f>IF(A597="","",IF(LEFT(J597,8)="Kural A ","Uygun - Hemen Ödenir (Yıl Sonu %75 Kontrolüne Tabi)",IF(OR(L597="Evet",M597="Evet"),IF(O597="Evet","Uygun","RİSK - Hakediş Süresi Aşıldı"),"Bekleniyor - Nakliye/Montaj Tamamlanmadı")))</f>
        <v/>
      </c>
      <c r="Q597" s="28">
        <f>IF(A597="","",SUMIFS('Hakedis Fatura Detay'!$G$3:$G$1200,'Hakedis Fatura Detay'!$H$3:$H$1200,'DIVA Satislari'!AJ597,'Hakedis Fatura Detay'!$F$3:$F$1200,"Fiyat Farkı")+SUMIFS('Hakedis Fatura Detay'!$G$3:$G$1200,'Hakedis Fatura Detay'!$H$3:$H$1200,'DIVA Satislari'!AJ597,'Hakedis Fatura Detay'!$F$3:$F$1200,"Bundle"))</f>
        <v/>
      </c>
      <c r="R597" s="28">
        <f>IF(A597="","",I597-Q597)</f>
        <v/>
      </c>
      <c r="S597" s="26">
        <f>IF(A597="","",IF(LEFT(P597,7)="Bekleni","N/A - Henüz Ödenmemeli",IF(LEFT(P597,4)="RİSK","İNCELEME GEREKLİ - Süre Aşımı",IF(R597=0,"Doğru",IF(R597&gt;0,"EKSİK ÖDENMİŞ","FAZLA ÖDENMİŞ")))))</f>
        <v/>
      </c>
      <c r="T597" s="30">
        <f>IF(A597="","",IF(F597&lt;&gt;"Evet","İNCELEME GEREKLİ - Kampanya Tanımsız",IF(G597&lt;&gt;"Evet","İNCELEME GEREKLİ - Tarih Dışı Satış",IF(LEFT(P597,4)="RİSK","İNCELEME GEREKLİ - Hakediş Süresi Aşıldı",IF(OR(S597="EKSİK ÖDENMİŞ",S597="FAZLA ÖDENMİŞ"),"İNCELEME GEREKLİ - Tutar Uyuşmazlığı",IF(LEFT(P597,7)="Bekleni","Bekleniyor","Uygun"))))))</f>
        <v/>
      </c>
    </row>
    <row r="598">
      <c r="A598" s="26">
        <f>IF('DIVA Satislari'!I598="","",'DIVA Satislari'!I598)</f>
        <v/>
      </c>
      <c r="B598" s="26">
        <f>IF('DIVA Satislari'!I598="","",'DIVA Satislari'!R598)</f>
        <v/>
      </c>
      <c r="C598" s="26">
        <f>IF('DIVA Satislari'!I598="","",'DIVA Satislari'!M598)</f>
        <v/>
      </c>
      <c r="D598" s="27">
        <f>IF('DIVA Satislari'!I598="","",'DIVA Satislari'!H598)</f>
        <v/>
      </c>
      <c r="E598" s="26">
        <f>IF('DIVA Satislari'!I598="","",'DIVA Satislari'!O598)</f>
        <v/>
      </c>
      <c r="F598" s="26">
        <f>IF('DIVA Satislari'!I598="","",'DIVA Satislari'!AK598)</f>
        <v/>
      </c>
      <c r="G598" s="26">
        <f>IF('DIVA Satislari'!I598="","",'DIVA Satislari'!AO598)</f>
        <v/>
      </c>
      <c r="H598" s="27">
        <f>IF('DIVA Satislari'!I598="","",'DIVA Satislari'!AN598)</f>
        <v/>
      </c>
      <c r="I598" s="28">
        <f>IF('DIVA Satislari'!I598="","",'DIVA Satislari'!AQ598)</f>
        <v/>
      </c>
      <c r="J598" s="26">
        <f>IF('DIVA Satislari'!I598="","",'DIVA Satislari'!AR598)</f>
        <v/>
      </c>
      <c r="K598" s="26">
        <f>IF('DIVA Satislari'!I598="","",IFERROR(INDEX('E2E Nakliye Montaj'!$AS$3:$AS$1002,MATCH('DIVA Satislari'!AJ598,'E2E Nakliye Montaj'!$AM$3:$AM$1002,0)),"Eşleşme Yok"))</f>
        <v/>
      </c>
      <c r="L598" s="26">
        <f>IF('DIVA Satislari'!I598="","",IFERROR(INDEX('E2E Nakliye Montaj'!$AT$3:$AT$1002,MATCH('DIVA Satislari'!AJ598,'E2E Nakliye Montaj'!$AM$3:$AM$1002,0)),"Hayır"))</f>
        <v/>
      </c>
      <c r="M598" s="26">
        <f>IF('DIVA Satislari'!I598="","",IFERROR(INDEX('E2E Nakliye Montaj'!$AU$3:$AU$1002,MATCH('DIVA Satislari'!AJ598,'E2E Nakliye Montaj'!$AM$3:$AM$1002,0)),"Hayır"))</f>
        <v/>
      </c>
      <c r="N598" s="27">
        <f>IF('DIVA Satislari'!I598="","",IFERROR(INDEX('E2E Nakliye Montaj'!$AV$3:$AV$1002,MATCH('DIVA Satislari'!AJ598,'E2E Nakliye Montaj'!$AM$3:$AM$1002,0)),""))</f>
        <v/>
      </c>
      <c r="O598" s="26">
        <f>IF(OR(A598="",N598=""),"",IF(N598&lt;=H598,"Evet","HAYIR - RİSK"))</f>
        <v/>
      </c>
      <c r="P598" s="26">
        <f>IF(A598="","",IF(LEFT(J598,8)="Kural A ","Uygun - Hemen Ödenir (Yıl Sonu %75 Kontrolüne Tabi)",IF(OR(L598="Evet",M598="Evet"),IF(O598="Evet","Uygun","RİSK - Hakediş Süresi Aşıldı"),"Bekleniyor - Nakliye/Montaj Tamamlanmadı")))</f>
        <v/>
      </c>
      <c r="Q598" s="28">
        <f>IF(A598="","",SUMIFS('Hakedis Fatura Detay'!$G$3:$G$1200,'Hakedis Fatura Detay'!$H$3:$H$1200,'DIVA Satislari'!AJ598,'Hakedis Fatura Detay'!$F$3:$F$1200,"Fiyat Farkı")+SUMIFS('Hakedis Fatura Detay'!$G$3:$G$1200,'Hakedis Fatura Detay'!$H$3:$H$1200,'DIVA Satislari'!AJ598,'Hakedis Fatura Detay'!$F$3:$F$1200,"Bundle"))</f>
        <v/>
      </c>
      <c r="R598" s="28">
        <f>IF(A598="","",I598-Q598)</f>
        <v/>
      </c>
      <c r="S598" s="26">
        <f>IF(A598="","",IF(LEFT(P598,7)="Bekleni","N/A - Henüz Ödenmemeli",IF(LEFT(P598,4)="RİSK","İNCELEME GEREKLİ - Süre Aşımı",IF(R598=0,"Doğru",IF(R598&gt;0,"EKSİK ÖDENMİŞ","FAZLA ÖDENMİŞ")))))</f>
        <v/>
      </c>
      <c r="T598" s="30">
        <f>IF(A598="","",IF(F598&lt;&gt;"Evet","İNCELEME GEREKLİ - Kampanya Tanımsız",IF(G598&lt;&gt;"Evet","İNCELEME GEREKLİ - Tarih Dışı Satış",IF(LEFT(P598,4)="RİSK","İNCELEME GEREKLİ - Hakediş Süresi Aşıldı",IF(OR(S598="EKSİK ÖDENMİŞ",S598="FAZLA ÖDENMİŞ"),"İNCELEME GEREKLİ - Tutar Uyuşmazlığı",IF(LEFT(P598,7)="Bekleni","Bekleniyor","Uygun"))))))</f>
        <v/>
      </c>
    </row>
    <row r="599">
      <c r="A599" s="26">
        <f>IF('DIVA Satislari'!I599="","",'DIVA Satislari'!I599)</f>
        <v/>
      </c>
      <c r="B599" s="26">
        <f>IF('DIVA Satislari'!I599="","",'DIVA Satislari'!R599)</f>
        <v/>
      </c>
      <c r="C599" s="26">
        <f>IF('DIVA Satislari'!I599="","",'DIVA Satislari'!M599)</f>
        <v/>
      </c>
      <c r="D599" s="27">
        <f>IF('DIVA Satislari'!I599="","",'DIVA Satislari'!H599)</f>
        <v/>
      </c>
      <c r="E599" s="26">
        <f>IF('DIVA Satislari'!I599="","",'DIVA Satislari'!O599)</f>
        <v/>
      </c>
      <c r="F599" s="26">
        <f>IF('DIVA Satislari'!I599="","",'DIVA Satislari'!AK599)</f>
        <v/>
      </c>
      <c r="G599" s="26">
        <f>IF('DIVA Satislari'!I599="","",'DIVA Satislari'!AO599)</f>
        <v/>
      </c>
      <c r="H599" s="27">
        <f>IF('DIVA Satislari'!I599="","",'DIVA Satislari'!AN599)</f>
        <v/>
      </c>
      <c r="I599" s="28">
        <f>IF('DIVA Satislari'!I599="","",'DIVA Satislari'!AQ599)</f>
        <v/>
      </c>
      <c r="J599" s="26">
        <f>IF('DIVA Satislari'!I599="","",'DIVA Satislari'!AR599)</f>
        <v/>
      </c>
      <c r="K599" s="26">
        <f>IF('DIVA Satislari'!I599="","",IFERROR(INDEX('E2E Nakliye Montaj'!$AS$3:$AS$1002,MATCH('DIVA Satislari'!AJ599,'E2E Nakliye Montaj'!$AM$3:$AM$1002,0)),"Eşleşme Yok"))</f>
        <v/>
      </c>
      <c r="L599" s="26">
        <f>IF('DIVA Satislari'!I599="","",IFERROR(INDEX('E2E Nakliye Montaj'!$AT$3:$AT$1002,MATCH('DIVA Satislari'!AJ599,'E2E Nakliye Montaj'!$AM$3:$AM$1002,0)),"Hayır"))</f>
        <v/>
      </c>
      <c r="M599" s="26">
        <f>IF('DIVA Satislari'!I599="","",IFERROR(INDEX('E2E Nakliye Montaj'!$AU$3:$AU$1002,MATCH('DIVA Satislari'!AJ599,'E2E Nakliye Montaj'!$AM$3:$AM$1002,0)),"Hayır"))</f>
        <v/>
      </c>
      <c r="N599" s="27">
        <f>IF('DIVA Satislari'!I599="","",IFERROR(INDEX('E2E Nakliye Montaj'!$AV$3:$AV$1002,MATCH('DIVA Satislari'!AJ599,'E2E Nakliye Montaj'!$AM$3:$AM$1002,0)),""))</f>
        <v/>
      </c>
      <c r="O599" s="26">
        <f>IF(OR(A599="",N599=""),"",IF(N599&lt;=H599,"Evet","HAYIR - RİSK"))</f>
        <v/>
      </c>
      <c r="P599" s="26">
        <f>IF(A599="","",IF(LEFT(J599,8)="Kural A ","Uygun - Hemen Ödenir (Yıl Sonu %75 Kontrolüne Tabi)",IF(OR(L599="Evet",M599="Evet"),IF(O599="Evet","Uygun","RİSK - Hakediş Süresi Aşıldı"),"Bekleniyor - Nakliye/Montaj Tamamlanmadı")))</f>
        <v/>
      </c>
      <c r="Q599" s="28">
        <f>IF(A599="","",SUMIFS('Hakedis Fatura Detay'!$G$3:$G$1200,'Hakedis Fatura Detay'!$H$3:$H$1200,'DIVA Satislari'!AJ599,'Hakedis Fatura Detay'!$F$3:$F$1200,"Fiyat Farkı")+SUMIFS('Hakedis Fatura Detay'!$G$3:$G$1200,'Hakedis Fatura Detay'!$H$3:$H$1200,'DIVA Satislari'!AJ599,'Hakedis Fatura Detay'!$F$3:$F$1200,"Bundle"))</f>
        <v/>
      </c>
      <c r="R599" s="28">
        <f>IF(A599="","",I599-Q599)</f>
        <v/>
      </c>
      <c r="S599" s="26">
        <f>IF(A599="","",IF(LEFT(P599,7)="Bekleni","N/A - Henüz Ödenmemeli",IF(LEFT(P599,4)="RİSK","İNCELEME GEREKLİ - Süre Aşımı",IF(R599=0,"Doğru",IF(R599&gt;0,"EKSİK ÖDENMİŞ","FAZLA ÖDENMİŞ")))))</f>
        <v/>
      </c>
      <c r="T599" s="30">
        <f>IF(A599="","",IF(F599&lt;&gt;"Evet","İNCELEME GEREKLİ - Kampanya Tanımsız",IF(G599&lt;&gt;"Evet","İNCELEME GEREKLİ - Tarih Dışı Satış",IF(LEFT(P599,4)="RİSK","İNCELEME GEREKLİ - Hakediş Süresi Aşıldı",IF(OR(S599="EKSİK ÖDENMİŞ",S599="FAZLA ÖDENMİŞ"),"İNCELEME GEREKLİ - Tutar Uyuşmazlığı",IF(LEFT(P599,7)="Bekleni","Bekleniyor","Uygun"))))))</f>
        <v/>
      </c>
    </row>
    <row r="600">
      <c r="A600" s="26">
        <f>IF('DIVA Satislari'!I600="","",'DIVA Satislari'!I600)</f>
        <v/>
      </c>
      <c r="B600" s="26">
        <f>IF('DIVA Satislari'!I600="","",'DIVA Satislari'!R600)</f>
        <v/>
      </c>
      <c r="C600" s="26">
        <f>IF('DIVA Satislari'!I600="","",'DIVA Satislari'!M600)</f>
        <v/>
      </c>
      <c r="D600" s="27">
        <f>IF('DIVA Satislari'!I600="","",'DIVA Satislari'!H600)</f>
        <v/>
      </c>
      <c r="E600" s="26">
        <f>IF('DIVA Satislari'!I600="","",'DIVA Satislari'!O600)</f>
        <v/>
      </c>
      <c r="F600" s="26">
        <f>IF('DIVA Satislari'!I600="","",'DIVA Satislari'!AK600)</f>
        <v/>
      </c>
      <c r="G600" s="26">
        <f>IF('DIVA Satislari'!I600="","",'DIVA Satislari'!AO600)</f>
        <v/>
      </c>
      <c r="H600" s="27">
        <f>IF('DIVA Satislari'!I600="","",'DIVA Satislari'!AN600)</f>
        <v/>
      </c>
      <c r="I600" s="28">
        <f>IF('DIVA Satislari'!I600="","",'DIVA Satislari'!AQ600)</f>
        <v/>
      </c>
      <c r="J600" s="26">
        <f>IF('DIVA Satislari'!I600="","",'DIVA Satislari'!AR600)</f>
        <v/>
      </c>
      <c r="K600" s="26">
        <f>IF('DIVA Satislari'!I600="","",IFERROR(INDEX('E2E Nakliye Montaj'!$AS$3:$AS$1002,MATCH('DIVA Satislari'!AJ600,'E2E Nakliye Montaj'!$AM$3:$AM$1002,0)),"Eşleşme Yok"))</f>
        <v/>
      </c>
      <c r="L600" s="26">
        <f>IF('DIVA Satislari'!I600="","",IFERROR(INDEX('E2E Nakliye Montaj'!$AT$3:$AT$1002,MATCH('DIVA Satislari'!AJ600,'E2E Nakliye Montaj'!$AM$3:$AM$1002,0)),"Hayır"))</f>
        <v/>
      </c>
      <c r="M600" s="26">
        <f>IF('DIVA Satislari'!I600="","",IFERROR(INDEX('E2E Nakliye Montaj'!$AU$3:$AU$1002,MATCH('DIVA Satislari'!AJ600,'E2E Nakliye Montaj'!$AM$3:$AM$1002,0)),"Hayır"))</f>
        <v/>
      </c>
      <c r="N600" s="27">
        <f>IF('DIVA Satislari'!I600="","",IFERROR(INDEX('E2E Nakliye Montaj'!$AV$3:$AV$1002,MATCH('DIVA Satislari'!AJ600,'E2E Nakliye Montaj'!$AM$3:$AM$1002,0)),""))</f>
        <v/>
      </c>
      <c r="O600" s="26">
        <f>IF(OR(A600="",N600=""),"",IF(N600&lt;=H600,"Evet","HAYIR - RİSK"))</f>
        <v/>
      </c>
      <c r="P600" s="26">
        <f>IF(A600="","",IF(LEFT(J600,8)="Kural A ","Uygun - Hemen Ödenir (Yıl Sonu %75 Kontrolüne Tabi)",IF(OR(L600="Evet",M600="Evet"),IF(O600="Evet","Uygun","RİSK - Hakediş Süresi Aşıldı"),"Bekleniyor - Nakliye/Montaj Tamamlanmadı")))</f>
        <v/>
      </c>
      <c r="Q600" s="28">
        <f>IF(A600="","",SUMIFS('Hakedis Fatura Detay'!$G$3:$G$1200,'Hakedis Fatura Detay'!$H$3:$H$1200,'DIVA Satislari'!AJ600,'Hakedis Fatura Detay'!$F$3:$F$1200,"Fiyat Farkı")+SUMIFS('Hakedis Fatura Detay'!$G$3:$G$1200,'Hakedis Fatura Detay'!$H$3:$H$1200,'DIVA Satislari'!AJ600,'Hakedis Fatura Detay'!$F$3:$F$1200,"Bundle"))</f>
        <v/>
      </c>
      <c r="R600" s="28">
        <f>IF(A600="","",I600-Q600)</f>
        <v/>
      </c>
      <c r="S600" s="26">
        <f>IF(A600="","",IF(LEFT(P600,7)="Bekleni","N/A - Henüz Ödenmemeli",IF(LEFT(P600,4)="RİSK","İNCELEME GEREKLİ - Süre Aşımı",IF(R600=0,"Doğru",IF(R600&gt;0,"EKSİK ÖDENMİŞ","FAZLA ÖDENMİŞ")))))</f>
        <v/>
      </c>
      <c r="T600" s="30">
        <f>IF(A600="","",IF(F600&lt;&gt;"Evet","İNCELEME GEREKLİ - Kampanya Tanımsız",IF(G600&lt;&gt;"Evet","İNCELEME GEREKLİ - Tarih Dışı Satış",IF(LEFT(P600,4)="RİSK","İNCELEME GEREKLİ - Hakediş Süresi Aşıldı",IF(OR(S600="EKSİK ÖDENMİŞ",S600="FAZLA ÖDENMİŞ"),"İNCELEME GEREKLİ - Tutar Uyuşmazlığı",IF(LEFT(P600,7)="Bekleni","Bekleniyor","Uygun"))))))</f>
        <v/>
      </c>
    </row>
    <row r="601">
      <c r="A601" s="26">
        <f>IF('DIVA Satislari'!I601="","",'DIVA Satislari'!I601)</f>
        <v/>
      </c>
      <c r="B601" s="26">
        <f>IF('DIVA Satislari'!I601="","",'DIVA Satislari'!R601)</f>
        <v/>
      </c>
      <c r="C601" s="26">
        <f>IF('DIVA Satislari'!I601="","",'DIVA Satislari'!M601)</f>
        <v/>
      </c>
      <c r="D601" s="27">
        <f>IF('DIVA Satislari'!I601="","",'DIVA Satislari'!H601)</f>
        <v/>
      </c>
      <c r="E601" s="26">
        <f>IF('DIVA Satislari'!I601="","",'DIVA Satislari'!O601)</f>
        <v/>
      </c>
      <c r="F601" s="26">
        <f>IF('DIVA Satislari'!I601="","",'DIVA Satislari'!AK601)</f>
        <v/>
      </c>
      <c r="G601" s="26">
        <f>IF('DIVA Satislari'!I601="","",'DIVA Satislari'!AO601)</f>
        <v/>
      </c>
      <c r="H601" s="27">
        <f>IF('DIVA Satislari'!I601="","",'DIVA Satislari'!AN601)</f>
        <v/>
      </c>
      <c r="I601" s="28">
        <f>IF('DIVA Satislari'!I601="","",'DIVA Satislari'!AQ601)</f>
        <v/>
      </c>
      <c r="J601" s="26">
        <f>IF('DIVA Satislari'!I601="","",'DIVA Satislari'!AR601)</f>
        <v/>
      </c>
      <c r="K601" s="26">
        <f>IF('DIVA Satislari'!I601="","",IFERROR(INDEX('E2E Nakliye Montaj'!$AS$3:$AS$1002,MATCH('DIVA Satislari'!AJ601,'E2E Nakliye Montaj'!$AM$3:$AM$1002,0)),"Eşleşme Yok"))</f>
        <v/>
      </c>
      <c r="L601" s="26">
        <f>IF('DIVA Satislari'!I601="","",IFERROR(INDEX('E2E Nakliye Montaj'!$AT$3:$AT$1002,MATCH('DIVA Satislari'!AJ601,'E2E Nakliye Montaj'!$AM$3:$AM$1002,0)),"Hayır"))</f>
        <v/>
      </c>
      <c r="M601" s="26">
        <f>IF('DIVA Satislari'!I601="","",IFERROR(INDEX('E2E Nakliye Montaj'!$AU$3:$AU$1002,MATCH('DIVA Satislari'!AJ601,'E2E Nakliye Montaj'!$AM$3:$AM$1002,0)),"Hayır"))</f>
        <v/>
      </c>
      <c r="N601" s="27">
        <f>IF('DIVA Satislari'!I601="","",IFERROR(INDEX('E2E Nakliye Montaj'!$AV$3:$AV$1002,MATCH('DIVA Satislari'!AJ601,'E2E Nakliye Montaj'!$AM$3:$AM$1002,0)),""))</f>
        <v/>
      </c>
      <c r="O601" s="26">
        <f>IF(OR(A601="",N601=""),"",IF(N601&lt;=H601,"Evet","HAYIR - RİSK"))</f>
        <v/>
      </c>
      <c r="P601" s="26">
        <f>IF(A601="","",IF(LEFT(J601,8)="Kural A ","Uygun - Hemen Ödenir (Yıl Sonu %75 Kontrolüne Tabi)",IF(OR(L601="Evet",M601="Evet"),IF(O601="Evet","Uygun","RİSK - Hakediş Süresi Aşıldı"),"Bekleniyor - Nakliye/Montaj Tamamlanmadı")))</f>
        <v/>
      </c>
      <c r="Q601" s="28">
        <f>IF(A601="","",SUMIFS('Hakedis Fatura Detay'!$G$3:$G$1200,'Hakedis Fatura Detay'!$H$3:$H$1200,'DIVA Satislari'!AJ601,'Hakedis Fatura Detay'!$F$3:$F$1200,"Fiyat Farkı")+SUMIFS('Hakedis Fatura Detay'!$G$3:$G$1200,'Hakedis Fatura Detay'!$H$3:$H$1200,'DIVA Satislari'!AJ601,'Hakedis Fatura Detay'!$F$3:$F$1200,"Bundle"))</f>
        <v/>
      </c>
      <c r="R601" s="28">
        <f>IF(A601="","",I601-Q601)</f>
        <v/>
      </c>
      <c r="S601" s="26">
        <f>IF(A601="","",IF(LEFT(P601,7)="Bekleni","N/A - Henüz Ödenmemeli",IF(LEFT(P601,4)="RİSK","İNCELEME GEREKLİ - Süre Aşımı",IF(R601=0,"Doğru",IF(R601&gt;0,"EKSİK ÖDENMİŞ","FAZLA ÖDENMİŞ")))))</f>
        <v/>
      </c>
      <c r="T601" s="30">
        <f>IF(A601="","",IF(F601&lt;&gt;"Evet","İNCELEME GEREKLİ - Kampanya Tanımsız",IF(G601&lt;&gt;"Evet","İNCELEME GEREKLİ - Tarih Dışı Satış",IF(LEFT(P601,4)="RİSK","İNCELEME GEREKLİ - Hakediş Süresi Aşıldı",IF(OR(S601="EKSİK ÖDENMİŞ",S601="FAZLA ÖDENMİŞ"),"İNCELEME GEREKLİ - Tutar Uyuşmazlığı",IF(LEFT(P601,7)="Bekleni","Bekleniyor","Uygun"))))))</f>
        <v/>
      </c>
    </row>
    <row r="602">
      <c r="A602" s="26">
        <f>IF('DIVA Satislari'!I602="","",'DIVA Satislari'!I602)</f>
        <v/>
      </c>
      <c r="B602" s="26">
        <f>IF('DIVA Satislari'!I602="","",'DIVA Satislari'!R602)</f>
        <v/>
      </c>
      <c r="C602" s="26">
        <f>IF('DIVA Satislari'!I602="","",'DIVA Satislari'!M602)</f>
        <v/>
      </c>
      <c r="D602" s="27">
        <f>IF('DIVA Satislari'!I602="","",'DIVA Satislari'!H602)</f>
        <v/>
      </c>
      <c r="E602" s="26">
        <f>IF('DIVA Satislari'!I602="","",'DIVA Satislari'!O602)</f>
        <v/>
      </c>
      <c r="F602" s="26">
        <f>IF('DIVA Satislari'!I602="","",'DIVA Satislari'!AK602)</f>
        <v/>
      </c>
      <c r="G602" s="26">
        <f>IF('DIVA Satislari'!I602="","",'DIVA Satislari'!AO602)</f>
        <v/>
      </c>
      <c r="H602" s="27">
        <f>IF('DIVA Satislari'!I602="","",'DIVA Satislari'!AN602)</f>
        <v/>
      </c>
      <c r="I602" s="28">
        <f>IF('DIVA Satislari'!I602="","",'DIVA Satislari'!AQ602)</f>
        <v/>
      </c>
      <c r="J602" s="26">
        <f>IF('DIVA Satislari'!I602="","",'DIVA Satislari'!AR602)</f>
        <v/>
      </c>
      <c r="K602" s="26">
        <f>IF('DIVA Satislari'!I602="","",IFERROR(INDEX('E2E Nakliye Montaj'!$AS$3:$AS$1002,MATCH('DIVA Satislari'!AJ602,'E2E Nakliye Montaj'!$AM$3:$AM$1002,0)),"Eşleşme Yok"))</f>
        <v/>
      </c>
      <c r="L602" s="26">
        <f>IF('DIVA Satislari'!I602="","",IFERROR(INDEX('E2E Nakliye Montaj'!$AT$3:$AT$1002,MATCH('DIVA Satislari'!AJ602,'E2E Nakliye Montaj'!$AM$3:$AM$1002,0)),"Hayır"))</f>
        <v/>
      </c>
      <c r="M602" s="26">
        <f>IF('DIVA Satislari'!I602="","",IFERROR(INDEX('E2E Nakliye Montaj'!$AU$3:$AU$1002,MATCH('DIVA Satislari'!AJ602,'E2E Nakliye Montaj'!$AM$3:$AM$1002,0)),"Hayır"))</f>
        <v/>
      </c>
      <c r="N602" s="27">
        <f>IF('DIVA Satislari'!I602="","",IFERROR(INDEX('E2E Nakliye Montaj'!$AV$3:$AV$1002,MATCH('DIVA Satislari'!AJ602,'E2E Nakliye Montaj'!$AM$3:$AM$1002,0)),""))</f>
        <v/>
      </c>
      <c r="O602" s="26">
        <f>IF(OR(A602="",N602=""),"",IF(N602&lt;=H602,"Evet","HAYIR - RİSK"))</f>
        <v/>
      </c>
      <c r="P602" s="26">
        <f>IF(A602="","",IF(LEFT(J602,8)="Kural A ","Uygun - Hemen Ödenir (Yıl Sonu %75 Kontrolüne Tabi)",IF(OR(L602="Evet",M602="Evet"),IF(O602="Evet","Uygun","RİSK - Hakediş Süresi Aşıldı"),"Bekleniyor - Nakliye/Montaj Tamamlanmadı")))</f>
        <v/>
      </c>
      <c r="Q602" s="28">
        <f>IF(A602="","",SUMIFS('Hakedis Fatura Detay'!$G$3:$G$1200,'Hakedis Fatura Detay'!$H$3:$H$1200,'DIVA Satislari'!AJ602,'Hakedis Fatura Detay'!$F$3:$F$1200,"Fiyat Farkı")+SUMIFS('Hakedis Fatura Detay'!$G$3:$G$1200,'Hakedis Fatura Detay'!$H$3:$H$1200,'DIVA Satislari'!AJ602,'Hakedis Fatura Detay'!$F$3:$F$1200,"Bundle"))</f>
        <v/>
      </c>
      <c r="R602" s="28">
        <f>IF(A602="","",I602-Q602)</f>
        <v/>
      </c>
      <c r="S602" s="26">
        <f>IF(A602="","",IF(LEFT(P602,7)="Bekleni","N/A - Henüz Ödenmemeli",IF(LEFT(P602,4)="RİSK","İNCELEME GEREKLİ - Süre Aşımı",IF(R602=0,"Doğru",IF(R602&gt;0,"EKSİK ÖDENMİŞ","FAZLA ÖDENMİŞ")))))</f>
        <v/>
      </c>
      <c r="T602" s="30">
        <f>IF(A602="","",IF(F602&lt;&gt;"Evet","İNCELEME GEREKLİ - Kampanya Tanımsız",IF(G602&lt;&gt;"Evet","İNCELEME GEREKLİ - Tarih Dışı Satış",IF(LEFT(P602,4)="RİSK","İNCELEME GEREKLİ - Hakediş Süresi Aşıldı",IF(OR(S602="EKSİK ÖDENMİŞ",S602="FAZLA ÖDENMİŞ"),"İNCELEME GEREKLİ - Tutar Uyuşmazlığı",IF(LEFT(P602,7)="Bekleni","Bekleniyor","Uygun"))))))</f>
        <v/>
      </c>
    </row>
    <row r="603">
      <c r="A603" s="26">
        <f>IF('DIVA Satislari'!I603="","",'DIVA Satislari'!I603)</f>
        <v/>
      </c>
      <c r="B603" s="26">
        <f>IF('DIVA Satislari'!I603="","",'DIVA Satislari'!R603)</f>
        <v/>
      </c>
      <c r="C603" s="26">
        <f>IF('DIVA Satislari'!I603="","",'DIVA Satislari'!M603)</f>
        <v/>
      </c>
      <c r="D603" s="27">
        <f>IF('DIVA Satislari'!I603="","",'DIVA Satislari'!H603)</f>
        <v/>
      </c>
      <c r="E603" s="26">
        <f>IF('DIVA Satislari'!I603="","",'DIVA Satislari'!O603)</f>
        <v/>
      </c>
      <c r="F603" s="26">
        <f>IF('DIVA Satislari'!I603="","",'DIVA Satislari'!AK603)</f>
        <v/>
      </c>
      <c r="G603" s="26">
        <f>IF('DIVA Satislari'!I603="","",'DIVA Satislari'!AO603)</f>
        <v/>
      </c>
      <c r="H603" s="27">
        <f>IF('DIVA Satislari'!I603="","",'DIVA Satislari'!AN603)</f>
        <v/>
      </c>
      <c r="I603" s="28">
        <f>IF('DIVA Satislari'!I603="","",'DIVA Satislari'!AQ603)</f>
        <v/>
      </c>
      <c r="J603" s="26">
        <f>IF('DIVA Satislari'!I603="","",'DIVA Satislari'!AR603)</f>
        <v/>
      </c>
      <c r="K603" s="26">
        <f>IF('DIVA Satislari'!I603="","",IFERROR(INDEX('E2E Nakliye Montaj'!$AS$3:$AS$1002,MATCH('DIVA Satislari'!AJ603,'E2E Nakliye Montaj'!$AM$3:$AM$1002,0)),"Eşleşme Yok"))</f>
        <v/>
      </c>
      <c r="L603" s="26">
        <f>IF('DIVA Satislari'!I603="","",IFERROR(INDEX('E2E Nakliye Montaj'!$AT$3:$AT$1002,MATCH('DIVA Satislari'!AJ603,'E2E Nakliye Montaj'!$AM$3:$AM$1002,0)),"Hayır"))</f>
        <v/>
      </c>
      <c r="M603" s="26">
        <f>IF('DIVA Satislari'!I603="","",IFERROR(INDEX('E2E Nakliye Montaj'!$AU$3:$AU$1002,MATCH('DIVA Satislari'!AJ603,'E2E Nakliye Montaj'!$AM$3:$AM$1002,0)),"Hayır"))</f>
        <v/>
      </c>
      <c r="N603" s="27">
        <f>IF('DIVA Satislari'!I603="","",IFERROR(INDEX('E2E Nakliye Montaj'!$AV$3:$AV$1002,MATCH('DIVA Satislari'!AJ603,'E2E Nakliye Montaj'!$AM$3:$AM$1002,0)),""))</f>
        <v/>
      </c>
      <c r="O603" s="26">
        <f>IF(OR(A603="",N603=""),"",IF(N603&lt;=H603,"Evet","HAYIR - RİSK"))</f>
        <v/>
      </c>
      <c r="P603" s="26">
        <f>IF(A603="","",IF(LEFT(J603,8)="Kural A ","Uygun - Hemen Ödenir (Yıl Sonu %75 Kontrolüne Tabi)",IF(OR(L603="Evet",M603="Evet"),IF(O603="Evet","Uygun","RİSK - Hakediş Süresi Aşıldı"),"Bekleniyor - Nakliye/Montaj Tamamlanmadı")))</f>
        <v/>
      </c>
      <c r="Q603" s="28">
        <f>IF(A603="","",SUMIFS('Hakedis Fatura Detay'!$G$3:$G$1200,'Hakedis Fatura Detay'!$H$3:$H$1200,'DIVA Satislari'!AJ603,'Hakedis Fatura Detay'!$F$3:$F$1200,"Fiyat Farkı")+SUMIFS('Hakedis Fatura Detay'!$G$3:$G$1200,'Hakedis Fatura Detay'!$H$3:$H$1200,'DIVA Satislari'!AJ603,'Hakedis Fatura Detay'!$F$3:$F$1200,"Bundle"))</f>
        <v/>
      </c>
      <c r="R603" s="28">
        <f>IF(A603="","",I603-Q603)</f>
        <v/>
      </c>
      <c r="S603" s="26">
        <f>IF(A603="","",IF(LEFT(P603,7)="Bekleni","N/A - Henüz Ödenmemeli",IF(LEFT(P603,4)="RİSK","İNCELEME GEREKLİ - Süre Aşımı",IF(R603=0,"Doğru",IF(R603&gt;0,"EKSİK ÖDENMİŞ","FAZLA ÖDENMİŞ")))))</f>
        <v/>
      </c>
      <c r="T603" s="30">
        <f>IF(A603="","",IF(F603&lt;&gt;"Evet","İNCELEME GEREKLİ - Kampanya Tanımsız",IF(G603&lt;&gt;"Evet","İNCELEME GEREKLİ - Tarih Dışı Satış",IF(LEFT(P603,4)="RİSK","İNCELEME GEREKLİ - Hakediş Süresi Aşıldı",IF(OR(S603="EKSİK ÖDENMİŞ",S603="FAZLA ÖDENMİŞ"),"İNCELEME GEREKLİ - Tutar Uyuşmazlığı",IF(LEFT(P603,7)="Bekleni","Bekleniyor","Uygun"))))))</f>
        <v/>
      </c>
    </row>
    <row r="604">
      <c r="A604" s="26">
        <f>IF('DIVA Satislari'!I604="","",'DIVA Satislari'!I604)</f>
        <v/>
      </c>
      <c r="B604" s="26">
        <f>IF('DIVA Satislari'!I604="","",'DIVA Satislari'!R604)</f>
        <v/>
      </c>
      <c r="C604" s="26">
        <f>IF('DIVA Satislari'!I604="","",'DIVA Satislari'!M604)</f>
        <v/>
      </c>
      <c r="D604" s="27">
        <f>IF('DIVA Satislari'!I604="","",'DIVA Satislari'!H604)</f>
        <v/>
      </c>
      <c r="E604" s="26">
        <f>IF('DIVA Satislari'!I604="","",'DIVA Satislari'!O604)</f>
        <v/>
      </c>
      <c r="F604" s="26">
        <f>IF('DIVA Satislari'!I604="","",'DIVA Satislari'!AK604)</f>
        <v/>
      </c>
      <c r="G604" s="26">
        <f>IF('DIVA Satislari'!I604="","",'DIVA Satislari'!AO604)</f>
        <v/>
      </c>
      <c r="H604" s="27">
        <f>IF('DIVA Satislari'!I604="","",'DIVA Satislari'!AN604)</f>
        <v/>
      </c>
      <c r="I604" s="28">
        <f>IF('DIVA Satislari'!I604="","",'DIVA Satislari'!AQ604)</f>
        <v/>
      </c>
      <c r="J604" s="26">
        <f>IF('DIVA Satislari'!I604="","",'DIVA Satislari'!AR604)</f>
        <v/>
      </c>
      <c r="K604" s="26">
        <f>IF('DIVA Satislari'!I604="","",IFERROR(INDEX('E2E Nakliye Montaj'!$AS$3:$AS$1002,MATCH('DIVA Satislari'!AJ604,'E2E Nakliye Montaj'!$AM$3:$AM$1002,0)),"Eşleşme Yok"))</f>
        <v/>
      </c>
      <c r="L604" s="26">
        <f>IF('DIVA Satislari'!I604="","",IFERROR(INDEX('E2E Nakliye Montaj'!$AT$3:$AT$1002,MATCH('DIVA Satislari'!AJ604,'E2E Nakliye Montaj'!$AM$3:$AM$1002,0)),"Hayır"))</f>
        <v/>
      </c>
      <c r="M604" s="26">
        <f>IF('DIVA Satislari'!I604="","",IFERROR(INDEX('E2E Nakliye Montaj'!$AU$3:$AU$1002,MATCH('DIVA Satislari'!AJ604,'E2E Nakliye Montaj'!$AM$3:$AM$1002,0)),"Hayır"))</f>
        <v/>
      </c>
      <c r="N604" s="27">
        <f>IF('DIVA Satislari'!I604="","",IFERROR(INDEX('E2E Nakliye Montaj'!$AV$3:$AV$1002,MATCH('DIVA Satislari'!AJ604,'E2E Nakliye Montaj'!$AM$3:$AM$1002,0)),""))</f>
        <v/>
      </c>
      <c r="O604" s="26">
        <f>IF(OR(A604="",N604=""),"",IF(N604&lt;=H604,"Evet","HAYIR - RİSK"))</f>
        <v/>
      </c>
      <c r="P604" s="26">
        <f>IF(A604="","",IF(LEFT(J604,8)="Kural A ","Uygun - Hemen Ödenir (Yıl Sonu %75 Kontrolüne Tabi)",IF(OR(L604="Evet",M604="Evet"),IF(O604="Evet","Uygun","RİSK - Hakediş Süresi Aşıldı"),"Bekleniyor - Nakliye/Montaj Tamamlanmadı")))</f>
        <v/>
      </c>
      <c r="Q604" s="28">
        <f>IF(A604="","",SUMIFS('Hakedis Fatura Detay'!$G$3:$G$1200,'Hakedis Fatura Detay'!$H$3:$H$1200,'DIVA Satislari'!AJ604,'Hakedis Fatura Detay'!$F$3:$F$1200,"Fiyat Farkı")+SUMIFS('Hakedis Fatura Detay'!$G$3:$G$1200,'Hakedis Fatura Detay'!$H$3:$H$1200,'DIVA Satislari'!AJ604,'Hakedis Fatura Detay'!$F$3:$F$1200,"Bundle"))</f>
        <v/>
      </c>
      <c r="R604" s="28">
        <f>IF(A604="","",I604-Q604)</f>
        <v/>
      </c>
      <c r="S604" s="26">
        <f>IF(A604="","",IF(LEFT(P604,7)="Bekleni","N/A - Henüz Ödenmemeli",IF(LEFT(P604,4)="RİSK","İNCELEME GEREKLİ - Süre Aşımı",IF(R604=0,"Doğru",IF(R604&gt;0,"EKSİK ÖDENMİŞ","FAZLA ÖDENMİŞ")))))</f>
        <v/>
      </c>
      <c r="T604" s="30">
        <f>IF(A604="","",IF(F604&lt;&gt;"Evet","İNCELEME GEREKLİ - Kampanya Tanımsız",IF(G604&lt;&gt;"Evet","İNCELEME GEREKLİ - Tarih Dışı Satış",IF(LEFT(P604,4)="RİSK","İNCELEME GEREKLİ - Hakediş Süresi Aşıldı",IF(OR(S604="EKSİK ÖDENMİŞ",S604="FAZLA ÖDENMİŞ"),"İNCELEME GEREKLİ - Tutar Uyuşmazlığı",IF(LEFT(P604,7)="Bekleni","Bekleniyor","Uygun"))))))</f>
        <v/>
      </c>
    </row>
    <row r="605">
      <c r="A605" s="26">
        <f>IF('DIVA Satislari'!I605="","",'DIVA Satislari'!I605)</f>
        <v/>
      </c>
      <c r="B605" s="26">
        <f>IF('DIVA Satislari'!I605="","",'DIVA Satislari'!R605)</f>
        <v/>
      </c>
      <c r="C605" s="26">
        <f>IF('DIVA Satislari'!I605="","",'DIVA Satislari'!M605)</f>
        <v/>
      </c>
      <c r="D605" s="27">
        <f>IF('DIVA Satislari'!I605="","",'DIVA Satislari'!H605)</f>
        <v/>
      </c>
      <c r="E605" s="26">
        <f>IF('DIVA Satislari'!I605="","",'DIVA Satislari'!O605)</f>
        <v/>
      </c>
      <c r="F605" s="26">
        <f>IF('DIVA Satislari'!I605="","",'DIVA Satislari'!AK605)</f>
        <v/>
      </c>
      <c r="G605" s="26">
        <f>IF('DIVA Satislari'!I605="","",'DIVA Satislari'!AO605)</f>
        <v/>
      </c>
      <c r="H605" s="27">
        <f>IF('DIVA Satislari'!I605="","",'DIVA Satislari'!AN605)</f>
        <v/>
      </c>
      <c r="I605" s="28">
        <f>IF('DIVA Satislari'!I605="","",'DIVA Satislari'!AQ605)</f>
        <v/>
      </c>
      <c r="J605" s="26">
        <f>IF('DIVA Satislari'!I605="","",'DIVA Satislari'!AR605)</f>
        <v/>
      </c>
      <c r="K605" s="26">
        <f>IF('DIVA Satislari'!I605="","",IFERROR(INDEX('E2E Nakliye Montaj'!$AS$3:$AS$1002,MATCH('DIVA Satislari'!AJ605,'E2E Nakliye Montaj'!$AM$3:$AM$1002,0)),"Eşleşme Yok"))</f>
        <v/>
      </c>
      <c r="L605" s="26">
        <f>IF('DIVA Satislari'!I605="","",IFERROR(INDEX('E2E Nakliye Montaj'!$AT$3:$AT$1002,MATCH('DIVA Satislari'!AJ605,'E2E Nakliye Montaj'!$AM$3:$AM$1002,0)),"Hayır"))</f>
        <v/>
      </c>
      <c r="M605" s="26">
        <f>IF('DIVA Satislari'!I605="","",IFERROR(INDEX('E2E Nakliye Montaj'!$AU$3:$AU$1002,MATCH('DIVA Satislari'!AJ605,'E2E Nakliye Montaj'!$AM$3:$AM$1002,0)),"Hayır"))</f>
        <v/>
      </c>
      <c r="N605" s="27">
        <f>IF('DIVA Satislari'!I605="","",IFERROR(INDEX('E2E Nakliye Montaj'!$AV$3:$AV$1002,MATCH('DIVA Satislari'!AJ605,'E2E Nakliye Montaj'!$AM$3:$AM$1002,0)),""))</f>
        <v/>
      </c>
      <c r="O605" s="26">
        <f>IF(OR(A605="",N605=""),"",IF(N605&lt;=H605,"Evet","HAYIR - RİSK"))</f>
        <v/>
      </c>
      <c r="P605" s="26">
        <f>IF(A605="","",IF(LEFT(J605,8)="Kural A ","Uygun - Hemen Ödenir (Yıl Sonu %75 Kontrolüne Tabi)",IF(OR(L605="Evet",M605="Evet"),IF(O605="Evet","Uygun","RİSK - Hakediş Süresi Aşıldı"),"Bekleniyor - Nakliye/Montaj Tamamlanmadı")))</f>
        <v/>
      </c>
      <c r="Q605" s="28">
        <f>IF(A605="","",SUMIFS('Hakedis Fatura Detay'!$G$3:$G$1200,'Hakedis Fatura Detay'!$H$3:$H$1200,'DIVA Satislari'!AJ605,'Hakedis Fatura Detay'!$F$3:$F$1200,"Fiyat Farkı")+SUMIFS('Hakedis Fatura Detay'!$G$3:$G$1200,'Hakedis Fatura Detay'!$H$3:$H$1200,'DIVA Satislari'!AJ605,'Hakedis Fatura Detay'!$F$3:$F$1200,"Bundle"))</f>
        <v/>
      </c>
      <c r="R605" s="28">
        <f>IF(A605="","",I605-Q605)</f>
        <v/>
      </c>
      <c r="S605" s="26">
        <f>IF(A605="","",IF(LEFT(P605,7)="Bekleni","N/A - Henüz Ödenmemeli",IF(LEFT(P605,4)="RİSK","İNCELEME GEREKLİ - Süre Aşımı",IF(R605=0,"Doğru",IF(R605&gt;0,"EKSİK ÖDENMİŞ","FAZLA ÖDENMİŞ")))))</f>
        <v/>
      </c>
      <c r="T605" s="30">
        <f>IF(A605="","",IF(F605&lt;&gt;"Evet","İNCELEME GEREKLİ - Kampanya Tanımsız",IF(G605&lt;&gt;"Evet","İNCELEME GEREKLİ - Tarih Dışı Satış",IF(LEFT(P605,4)="RİSK","İNCELEME GEREKLİ - Hakediş Süresi Aşıldı",IF(OR(S605="EKSİK ÖDENMİŞ",S605="FAZLA ÖDENMİŞ"),"İNCELEME GEREKLİ - Tutar Uyuşmazlığı",IF(LEFT(P605,7)="Bekleni","Bekleniyor","Uygun"))))))</f>
        <v/>
      </c>
    </row>
    <row r="606">
      <c r="A606" s="26">
        <f>IF('DIVA Satislari'!I606="","",'DIVA Satislari'!I606)</f>
        <v/>
      </c>
      <c r="B606" s="26">
        <f>IF('DIVA Satislari'!I606="","",'DIVA Satislari'!R606)</f>
        <v/>
      </c>
      <c r="C606" s="26">
        <f>IF('DIVA Satislari'!I606="","",'DIVA Satislari'!M606)</f>
        <v/>
      </c>
      <c r="D606" s="27">
        <f>IF('DIVA Satislari'!I606="","",'DIVA Satislari'!H606)</f>
        <v/>
      </c>
      <c r="E606" s="26">
        <f>IF('DIVA Satislari'!I606="","",'DIVA Satislari'!O606)</f>
        <v/>
      </c>
      <c r="F606" s="26">
        <f>IF('DIVA Satislari'!I606="","",'DIVA Satislari'!AK606)</f>
        <v/>
      </c>
      <c r="G606" s="26">
        <f>IF('DIVA Satislari'!I606="","",'DIVA Satislari'!AO606)</f>
        <v/>
      </c>
      <c r="H606" s="27">
        <f>IF('DIVA Satislari'!I606="","",'DIVA Satislari'!AN606)</f>
        <v/>
      </c>
      <c r="I606" s="28">
        <f>IF('DIVA Satislari'!I606="","",'DIVA Satislari'!AQ606)</f>
        <v/>
      </c>
      <c r="J606" s="26">
        <f>IF('DIVA Satislari'!I606="","",'DIVA Satislari'!AR606)</f>
        <v/>
      </c>
      <c r="K606" s="26">
        <f>IF('DIVA Satislari'!I606="","",IFERROR(INDEX('E2E Nakliye Montaj'!$AS$3:$AS$1002,MATCH('DIVA Satislari'!AJ606,'E2E Nakliye Montaj'!$AM$3:$AM$1002,0)),"Eşleşme Yok"))</f>
        <v/>
      </c>
      <c r="L606" s="26">
        <f>IF('DIVA Satislari'!I606="","",IFERROR(INDEX('E2E Nakliye Montaj'!$AT$3:$AT$1002,MATCH('DIVA Satislari'!AJ606,'E2E Nakliye Montaj'!$AM$3:$AM$1002,0)),"Hayır"))</f>
        <v/>
      </c>
      <c r="M606" s="26">
        <f>IF('DIVA Satislari'!I606="","",IFERROR(INDEX('E2E Nakliye Montaj'!$AU$3:$AU$1002,MATCH('DIVA Satislari'!AJ606,'E2E Nakliye Montaj'!$AM$3:$AM$1002,0)),"Hayır"))</f>
        <v/>
      </c>
      <c r="N606" s="27">
        <f>IF('DIVA Satislari'!I606="","",IFERROR(INDEX('E2E Nakliye Montaj'!$AV$3:$AV$1002,MATCH('DIVA Satislari'!AJ606,'E2E Nakliye Montaj'!$AM$3:$AM$1002,0)),""))</f>
        <v/>
      </c>
      <c r="O606" s="26">
        <f>IF(OR(A606="",N606=""),"",IF(N606&lt;=H606,"Evet","HAYIR - RİSK"))</f>
        <v/>
      </c>
      <c r="P606" s="26">
        <f>IF(A606="","",IF(LEFT(J606,8)="Kural A ","Uygun - Hemen Ödenir (Yıl Sonu %75 Kontrolüne Tabi)",IF(OR(L606="Evet",M606="Evet"),IF(O606="Evet","Uygun","RİSK - Hakediş Süresi Aşıldı"),"Bekleniyor - Nakliye/Montaj Tamamlanmadı")))</f>
        <v/>
      </c>
      <c r="Q606" s="28">
        <f>IF(A606="","",SUMIFS('Hakedis Fatura Detay'!$G$3:$G$1200,'Hakedis Fatura Detay'!$H$3:$H$1200,'DIVA Satislari'!AJ606,'Hakedis Fatura Detay'!$F$3:$F$1200,"Fiyat Farkı")+SUMIFS('Hakedis Fatura Detay'!$G$3:$G$1200,'Hakedis Fatura Detay'!$H$3:$H$1200,'DIVA Satislari'!AJ606,'Hakedis Fatura Detay'!$F$3:$F$1200,"Bundle"))</f>
        <v/>
      </c>
      <c r="R606" s="28">
        <f>IF(A606="","",I606-Q606)</f>
        <v/>
      </c>
      <c r="S606" s="26">
        <f>IF(A606="","",IF(LEFT(P606,7)="Bekleni","N/A - Henüz Ödenmemeli",IF(LEFT(P606,4)="RİSK","İNCELEME GEREKLİ - Süre Aşımı",IF(R606=0,"Doğru",IF(R606&gt;0,"EKSİK ÖDENMİŞ","FAZLA ÖDENMİŞ")))))</f>
        <v/>
      </c>
      <c r="T606" s="30">
        <f>IF(A606="","",IF(F606&lt;&gt;"Evet","İNCELEME GEREKLİ - Kampanya Tanımsız",IF(G606&lt;&gt;"Evet","İNCELEME GEREKLİ - Tarih Dışı Satış",IF(LEFT(P606,4)="RİSK","İNCELEME GEREKLİ - Hakediş Süresi Aşıldı",IF(OR(S606="EKSİK ÖDENMİŞ",S606="FAZLA ÖDENMİŞ"),"İNCELEME GEREKLİ - Tutar Uyuşmazlığı",IF(LEFT(P606,7)="Bekleni","Bekleniyor","Uygun"))))))</f>
        <v/>
      </c>
    </row>
    <row r="607">
      <c r="A607" s="26">
        <f>IF('DIVA Satislari'!I607="","",'DIVA Satislari'!I607)</f>
        <v/>
      </c>
      <c r="B607" s="26">
        <f>IF('DIVA Satislari'!I607="","",'DIVA Satislari'!R607)</f>
        <v/>
      </c>
      <c r="C607" s="26">
        <f>IF('DIVA Satislari'!I607="","",'DIVA Satislari'!M607)</f>
        <v/>
      </c>
      <c r="D607" s="27">
        <f>IF('DIVA Satislari'!I607="","",'DIVA Satislari'!H607)</f>
        <v/>
      </c>
      <c r="E607" s="26">
        <f>IF('DIVA Satislari'!I607="","",'DIVA Satislari'!O607)</f>
        <v/>
      </c>
      <c r="F607" s="26">
        <f>IF('DIVA Satislari'!I607="","",'DIVA Satislari'!AK607)</f>
        <v/>
      </c>
      <c r="G607" s="26">
        <f>IF('DIVA Satislari'!I607="","",'DIVA Satislari'!AO607)</f>
        <v/>
      </c>
      <c r="H607" s="27">
        <f>IF('DIVA Satislari'!I607="","",'DIVA Satislari'!AN607)</f>
        <v/>
      </c>
      <c r="I607" s="28">
        <f>IF('DIVA Satislari'!I607="","",'DIVA Satislari'!AQ607)</f>
        <v/>
      </c>
      <c r="J607" s="26">
        <f>IF('DIVA Satislari'!I607="","",'DIVA Satislari'!AR607)</f>
        <v/>
      </c>
      <c r="K607" s="26">
        <f>IF('DIVA Satislari'!I607="","",IFERROR(INDEX('E2E Nakliye Montaj'!$AS$3:$AS$1002,MATCH('DIVA Satislari'!AJ607,'E2E Nakliye Montaj'!$AM$3:$AM$1002,0)),"Eşleşme Yok"))</f>
        <v/>
      </c>
      <c r="L607" s="26">
        <f>IF('DIVA Satislari'!I607="","",IFERROR(INDEX('E2E Nakliye Montaj'!$AT$3:$AT$1002,MATCH('DIVA Satislari'!AJ607,'E2E Nakliye Montaj'!$AM$3:$AM$1002,0)),"Hayır"))</f>
        <v/>
      </c>
      <c r="M607" s="26">
        <f>IF('DIVA Satislari'!I607="","",IFERROR(INDEX('E2E Nakliye Montaj'!$AU$3:$AU$1002,MATCH('DIVA Satislari'!AJ607,'E2E Nakliye Montaj'!$AM$3:$AM$1002,0)),"Hayır"))</f>
        <v/>
      </c>
      <c r="N607" s="27">
        <f>IF('DIVA Satislari'!I607="","",IFERROR(INDEX('E2E Nakliye Montaj'!$AV$3:$AV$1002,MATCH('DIVA Satislari'!AJ607,'E2E Nakliye Montaj'!$AM$3:$AM$1002,0)),""))</f>
        <v/>
      </c>
      <c r="O607" s="26">
        <f>IF(OR(A607="",N607=""),"",IF(N607&lt;=H607,"Evet","HAYIR - RİSK"))</f>
        <v/>
      </c>
      <c r="P607" s="26">
        <f>IF(A607="","",IF(LEFT(J607,8)="Kural A ","Uygun - Hemen Ödenir (Yıl Sonu %75 Kontrolüne Tabi)",IF(OR(L607="Evet",M607="Evet"),IF(O607="Evet","Uygun","RİSK - Hakediş Süresi Aşıldı"),"Bekleniyor - Nakliye/Montaj Tamamlanmadı")))</f>
        <v/>
      </c>
      <c r="Q607" s="28">
        <f>IF(A607="","",SUMIFS('Hakedis Fatura Detay'!$G$3:$G$1200,'Hakedis Fatura Detay'!$H$3:$H$1200,'DIVA Satislari'!AJ607,'Hakedis Fatura Detay'!$F$3:$F$1200,"Fiyat Farkı")+SUMIFS('Hakedis Fatura Detay'!$G$3:$G$1200,'Hakedis Fatura Detay'!$H$3:$H$1200,'DIVA Satislari'!AJ607,'Hakedis Fatura Detay'!$F$3:$F$1200,"Bundle"))</f>
        <v/>
      </c>
      <c r="R607" s="28">
        <f>IF(A607="","",I607-Q607)</f>
        <v/>
      </c>
      <c r="S607" s="26">
        <f>IF(A607="","",IF(LEFT(P607,7)="Bekleni","N/A - Henüz Ödenmemeli",IF(LEFT(P607,4)="RİSK","İNCELEME GEREKLİ - Süre Aşımı",IF(R607=0,"Doğru",IF(R607&gt;0,"EKSİK ÖDENMİŞ","FAZLA ÖDENMİŞ")))))</f>
        <v/>
      </c>
      <c r="T607" s="30">
        <f>IF(A607="","",IF(F607&lt;&gt;"Evet","İNCELEME GEREKLİ - Kampanya Tanımsız",IF(G607&lt;&gt;"Evet","İNCELEME GEREKLİ - Tarih Dışı Satış",IF(LEFT(P607,4)="RİSK","İNCELEME GEREKLİ - Hakediş Süresi Aşıldı",IF(OR(S607="EKSİK ÖDENMİŞ",S607="FAZLA ÖDENMİŞ"),"İNCELEME GEREKLİ - Tutar Uyuşmazlığı",IF(LEFT(P607,7)="Bekleni","Bekleniyor","Uygun"))))))</f>
        <v/>
      </c>
    </row>
    <row r="608">
      <c r="A608" s="26">
        <f>IF('DIVA Satislari'!I608="","",'DIVA Satislari'!I608)</f>
        <v/>
      </c>
      <c r="B608" s="26">
        <f>IF('DIVA Satislari'!I608="","",'DIVA Satislari'!R608)</f>
        <v/>
      </c>
      <c r="C608" s="26">
        <f>IF('DIVA Satislari'!I608="","",'DIVA Satislari'!M608)</f>
        <v/>
      </c>
      <c r="D608" s="27">
        <f>IF('DIVA Satislari'!I608="","",'DIVA Satislari'!H608)</f>
        <v/>
      </c>
      <c r="E608" s="26">
        <f>IF('DIVA Satislari'!I608="","",'DIVA Satislari'!O608)</f>
        <v/>
      </c>
      <c r="F608" s="26">
        <f>IF('DIVA Satislari'!I608="","",'DIVA Satislari'!AK608)</f>
        <v/>
      </c>
      <c r="G608" s="26">
        <f>IF('DIVA Satislari'!I608="","",'DIVA Satislari'!AO608)</f>
        <v/>
      </c>
      <c r="H608" s="27">
        <f>IF('DIVA Satislari'!I608="","",'DIVA Satislari'!AN608)</f>
        <v/>
      </c>
      <c r="I608" s="28">
        <f>IF('DIVA Satislari'!I608="","",'DIVA Satislari'!AQ608)</f>
        <v/>
      </c>
      <c r="J608" s="26">
        <f>IF('DIVA Satislari'!I608="","",'DIVA Satislari'!AR608)</f>
        <v/>
      </c>
      <c r="K608" s="26">
        <f>IF('DIVA Satislari'!I608="","",IFERROR(INDEX('E2E Nakliye Montaj'!$AS$3:$AS$1002,MATCH('DIVA Satislari'!AJ608,'E2E Nakliye Montaj'!$AM$3:$AM$1002,0)),"Eşleşme Yok"))</f>
        <v/>
      </c>
      <c r="L608" s="26">
        <f>IF('DIVA Satislari'!I608="","",IFERROR(INDEX('E2E Nakliye Montaj'!$AT$3:$AT$1002,MATCH('DIVA Satislari'!AJ608,'E2E Nakliye Montaj'!$AM$3:$AM$1002,0)),"Hayır"))</f>
        <v/>
      </c>
      <c r="M608" s="26">
        <f>IF('DIVA Satislari'!I608="","",IFERROR(INDEX('E2E Nakliye Montaj'!$AU$3:$AU$1002,MATCH('DIVA Satislari'!AJ608,'E2E Nakliye Montaj'!$AM$3:$AM$1002,0)),"Hayır"))</f>
        <v/>
      </c>
      <c r="N608" s="27">
        <f>IF('DIVA Satislari'!I608="","",IFERROR(INDEX('E2E Nakliye Montaj'!$AV$3:$AV$1002,MATCH('DIVA Satislari'!AJ608,'E2E Nakliye Montaj'!$AM$3:$AM$1002,0)),""))</f>
        <v/>
      </c>
      <c r="O608" s="26">
        <f>IF(OR(A608="",N608=""),"",IF(N608&lt;=H608,"Evet","HAYIR - RİSK"))</f>
        <v/>
      </c>
      <c r="P608" s="26">
        <f>IF(A608="","",IF(LEFT(J608,8)="Kural A ","Uygun - Hemen Ödenir (Yıl Sonu %75 Kontrolüne Tabi)",IF(OR(L608="Evet",M608="Evet"),IF(O608="Evet","Uygun","RİSK - Hakediş Süresi Aşıldı"),"Bekleniyor - Nakliye/Montaj Tamamlanmadı")))</f>
        <v/>
      </c>
      <c r="Q608" s="28">
        <f>IF(A608="","",SUMIFS('Hakedis Fatura Detay'!$G$3:$G$1200,'Hakedis Fatura Detay'!$H$3:$H$1200,'DIVA Satislari'!AJ608,'Hakedis Fatura Detay'!$F$3:$F$1200,"Fiyat Farkı")+SUMIFS('Hakedis Fatura Detay'!$G$3:$G$1200,'Hakedis Fatura Detay'!$H$3:$H$1200,'DIVA Satislari'!AJ608,'Hakedis Fatura Detay'!$F$3:$F$1200,"Bundle"))</f>
        <v/>
      </c>
      <c r="R608" s="28">
        <f>IF(A608="","",I608-Q608)</f>
        <v/>
      </c>
      <c r="S608" s="26">
        <f>IF(A608="","",IF(LEFT(P608,7)="Bekleni","N/A - Henüz Ödenmemeli",IF(LEFT(P608,4)="RİSK","İNCELEME GEREKLİ - Süre Aşımı",IF(R608=0,"Doğru",IF(R608&gt;0,"EKSİK ÖDENMİŞ","FAZLA ÖDENMİŞ")))))</f>
        <v/>
      </c>
      <c r="T608" s="30">
        <f>IF(A608="","",IF(F608&lt;&gt;"Evet","İNCELEME GEREKLİ - Kampanya Tanımsız",IF(G608&lt;&gt;"Evet","İNCELEME GEREKLİ - Tarih Dışı Satış",IF(LEFT(P608,4)="RİSK","İNCELEME GEREKLİ - Hakediş Süresi Aşıldı",IF(OR(S608="EKSİK ÖDENMİŞ",S608="FAZLA ÖDENMİŞ"),"İNCELEME GEREKLİ - Tutar Uyuşmazlığı",IF(LEFT(P608,7)="Bekleni","Bekleniyor","Uygun"))))))</f>
        <v/>
      </c>
    </row>
    <row r="609">
      <c r="A609" s="26">
        <f>IF('DIVA Satislari'!I609="","",'DIVA Satislari'!I609)</f>
        <v/>
      </c>
      <c r="B609" s="26">
        <f>IF('DIVA Satislari'!I609="","",'DIVA Satislari'!R609)</f>
        <v/>
      </c>
      <c r="C609" s="26">
        <f>IF('DIVA Satislari'!I609="","",'DIVA Satislari'!M609)</f>
        <v/>
      </c>
      <c r="D609" s="27">
        <f>IF('DIVA Satislari'!I609="","",'DIVA Satislari'!H609)</f>
        <v/>
      </c>
      <c r="E609" s="26">
        <f>IF('DIVA Satislari'!I609="","",'DIVA Satislari'!O609)</f>
        <v/>
      </c>
      <c r="F609" s="26">
        <f>IF('DIVA Satislari'!I609="","",'DIVA Satislari'!AK609)</f>
        <v/>
      </c>
      <c r="G609" s="26">
        <f>IF('DIVA Satislari'!I609="","",'DIVA Satislari'!AO609)</f>
        <v/>
      </c>
      <c r="H609" s="27">
        <f>IF('DIVA Satislari'!I609="","",'DIVA Satislari'!AN609)</f>
        <v/>
      </c>
      <c r="I609" s="28">
        <f>IF('DIVA Satislari'!I609="","",'DIVA Satislari'!AQ609)</f>
        <v/>
      </c>
      <c r="J609" s="26">
        <f>IF('DIVA Satislari'!I609="","",'DIVA Satislari'!AR609)</f>
        <v/>
      </c>
      <c r="K609" s="26">
        <f>IF('DIVA Satislari'!I609="","",IFERROR(INDEX('E2E Nakliye Montaj'!$AS$3:$AS$1002,MATCH('DIVA Satislari'!AJ609,'E2E Nakliye Montaj'!$AM$3:$AM$1002,0)),"Eşleşme Yok"))</f>
        <v/>
      </c>
      <c r="L609" s="26">
        <f>IF('DIVA Satislari'!I609="","",IFERROR(INDEX('E2E Nakliye Montaj'!$AT$3:$AT$1002,MATCH('DIVA Satislari'!AJ609,'E2E Nakliye Montaj'!$AM$3:$AM$1002,0)),"Hayır"))</f>
        <v/>
      </c>
      <c r="M609" s="26">
        <f>IF('DIVA Satislari'!I609="","",IFERROR(INDEX('E2E Nakliye Montaj'!$AU$3:$AU$1002,MATCH('DIVA Satislari'!AJ609,'E2E Nakliye Montaj'!$AM$3:$AM$1002,0)),"Hayır"))</f>
        <v/>
      </c>
      <c r="N609" s="27">
        <f>IF('DIVA Satislari'!I609="","",IFERROR(INDEX('E2E Nakliye Montaj'!$AV$3:$AV$1002,MATCH('DIVA Satislari'!AJ609,'E2E Nakliye Montaj'!$AM$3:$AM$1002,0)),""))</f>
        <v/>
      </c>
      <c r="O609" s="26">
        <f>IF(OR(A609="",N609=""),"",IF(N609&lt;=H609,"Evet","HAYIR - RİSK"))</f>
        <v/>
      </c>
      <c r="P609" s="26">
        <f>IF(A609="","",IF(LEFT(J609,8)="Kural A ","Uygun - Hemen Ödenir (Yıl Sonu %75 Kontrolüne Tabi)",IF(OR(L609="Evet",M609="Evet"),IF(O609="Evet","Uygun","RİSK - Hakediş Süresi Aşıldı"),"Bekleniyor - Nakliye/Montaj Tamamlanmadı")))</f>
        <v/>
      </c>
      <c r="Q609" s="28">
        <f>IF(A609="","",SUMIFS('Hakedis Fatura Detay'!$G$3:$G$1200,'Hakedis Fatura Detay'!$H$3:$H$1200,'DIVA Satislari'!AJ609,'Hakedis Fatura Detay'!$F$3:$F$1200,"Fiyat Farkı")+SUMIFS('Hakedis Fatura Detay'!$G$3:$G$1200,'Hakedis Fatura Detay'!$H$3:$H$1200,'DIVA Satislari'!AJ609,'Hakedis Fatura Detay'!$F$3:$F$1200,"Bundle"))</f>
        <v/>
      </c>
      <c r="R609" s="28">
        <f>IF(A609="","",I609-Q609)</f>
        <v/>
      </c>
      <c r="S609" s="26">
        <f>IF(A609="","",IF(LEFT(P609,7)="Bekleni","N/A - Henüz Ödenmemeli",IF(LEFT(P609,4)="RİSK","İNCELEME GEREKLİ - Süre Aşımı",IF(R609=0,"Doğru",IF(R609&gt;0,"EKSİK ÖDENMİŞ","FAZLA ÖDENMİŞ")))))</f>
        <v/>
      </c>
      <c r="T609" s="30">
        <f>IF(A609="","",IF(F609&lt;&gt;"Evet","İNCELEME GEREKLİ - Kampanya Tanımsız",IF(G609&lt;&gt;"Evet","İNCELEME GEREKLİ - Tarih Dışı Satış",IF(LEFT(P609,4)="RİSK","İNCELEME GEREKLİ - Hakediş Süresi Aşıldı",IF(OR(S609="EKSİK ÖDENMİŞ",S609="FAZLA ÖDENMİŞ"),"İNCELEME GEREKLİ - Tutar Uyuşmazlığı",IF(LEFT(P609,7)="Bekleni","Bekleniyor","Uygun"))))))</f>
        <v/>
      </c>
    </row>
    <row r="610">
      <c r="A610" s="26">
        <f>IF('DIVA Satislari'!I610="","",'DIVA Satislari'!I610)</f>
        <v/>
      </c>
      <c r="B610" s="26">
        <f>IF('DIVA Satislari'!I610="","",'DIVA Satislari'!R610)</f>
        <v/>
      </c>
      <c r="C610" s="26">
        <f>IF('DIVA Satislari'!I610="","",'DIVA Satislari'!M610)</f>
        <v/>
      </c>
      <c r="D610" s="27">
        <f>IF('DIVA Satislari'!I610="","",'DIVA Satislari'!H610)</f>
        <v/>
      </c>
      <c r="E610" s="26">
        <f>IF('DIVA Satislari'!I610="","",'DIVA Satislari'!O610)</f>
        <v/>
      </c>
      <c r="F610" s="26">
        <f>IF('DIVA Satislari'!I610="","",'DIVA Satislari'!AK610)</f>
        <v/>
      </c>
      <c r="G610" s="26">
        <f>IF('DIVA Satislari'!I610="","",'DIVA Satislari'!AO610)</f>
        <v/>
      </c>
      <c r="H610" s="27">
        <f>IF('DIVA Satislari'!I610="","",'DIVA Satislari'!AN610)</f>
        <v/>
      </c>
      <c r="I610" s="28">
        <f>IF('DIVA Satislari'!I610="","",'DIVA Satislari'!AQ610)</f>
        <v/>
      </c>
      <c r="J610" s="26">
        <f>IF('DIVA Satislari'!I610="","",'DIVA Satislari'!AR610)</f>
        <v/>
      </c>
      <c r="K610" s="26">
        <f>IF('DIVA Satislari'!I610="","",IFERROR(INDEX('E2E Nakliye Montaj'!$AS$3:$AS$1002,MATCH('DIVA Satislari'!AJ610,'E2E Nakliye Montaj'!$AM$3:$AM$1002,0)),"Eşleşme Yok"))</f>
        <v/>
      </c>
      <c r="L610" s="26">
        <f>IF('DIVA Satislari'!I610="","",IFERROR(INDEX('E2E Nakliye Montaj'!$AT$3:$AT$1002,MATCH('DIVA Satislari'!AJ610,'E2E Nakliye Montaj'!$AM$3:$AM$1002,0)),"Hayır"))</f>
        <v/>
      </c>
      <c r="M610" s="26">
        <f>IF('DIVA Satislari'!I610="","",IFERROR(INDEX('E2E Nakliye Montaj'!$AU$3:$AU$1002,MATCH('DIVA Satislari'!AJ610,'E2E Nakliye Montaj'!$AM$3:$AM$1002,0)),"Hayır"))</f>
        <v/>
      </c>
      <c r="N610" s="27">
        <f>IF('DIVA Satislari'!I610="","",IFERROR(INDEX('E2E Nakliye Montaj'!$AV$3:$AV$1002,MATCH('DIVA Satislari'!AJ610,'E2E Nakliye Montaj'!$AM$3:$AM$1002,0)),""))</f>
        <v/>
      </c>
      <c r="O610" s="26">
        <f>IF(OR(A610="",N610=""),"",IF(N610&lt;=H610,"Evet","HAYIR - RİSK"))</f>
        <v/>
      </c>
      <c r="P610" s="26">
        <f>IF(A610="","",IF(LEFT(J610,8)="Kural A ","Uygun - Hemen Ödenir (Yıl Sonu %75 Kontrolüne Tabi)",IF(OR(L610="Evet",M610="Evet"),IF(O610="Evet","Uygun","RİSK - Hakediş Süresi Aşıldı"),"Bekleniyor - Nakliye/Montaj Tamamlanmadı")))</f>
        <v/>
      </c>
      <c r="Q610" s="28">
        <f>IF(A610="","",SUMIFS('Hakedis Fatura Detay'!$G$3:$G$1200,'Hakedis Fatura Detay'!$H$3:$H$1200,'DIVA Satislari'!AJ610,'Hakedis Fatura Detay'!$F$3:$F$1200,"Fiyat Farkı")+SUMIFS('Hakedis Fatura Detay'!$G$3:$G$1200,'Hakedis Fatura Detay'!$H$3:$H$1200,'DIVA Satislari'!AJ610,'Hakedis Fatura Detay'!$F$3:$F$1200,"Bundle"))</f>
        <v/>
      </c>
      <c r="R610" s="28">
        <f>IF(A610="","",I610-Q610)</f>
        <v/>
      </c>
      <c r="S610" s="26">
        <f>IF(A610="","",IF(LEFT(P610,7)="Bekleni","N/A - Henüz Ödenmemeli",IF(LEFT(P610,4)="RİSK","İNCELEME GEREKLİ - Süre Aşımı",IF(R610=0,"Doğru",IF(R610&gt;0,"EKSİK ÖDENMİŞ","FAZLA ÖDENMİŞ")))))</f>
        <v/>
      </c>
      <c r="T610" s="30">
        <f>IF(A610="","",IF(F610&lt;&gt;"Evet","İNCELEME GEREKLİ - Kampanya Tanımsız",IF(G610&lt;&gt;"Evet","İNCELEME GEREKLİ - Tarih Dışı Satış",IF(LEFT(P610,4)="RİSK","İNCELEME GEREKLİ - Hakediş Süresi Aşıldı",IF(OR(S610="EKSİK ÖDENMİŞ",S610="FAZLA ÖDENMİŞ"),"İNCELEME GEREKLİ - Tutar Uyuşmazlığı",IF(LEFT(P610,7)="Bekleni","Bekleniyor","Uygun"))))))</f>
        <v/>
      </c>
    </row>
    <row r="611">
      <c r="A611" s="26">
        <f>IF('DIVA Satislari'!I611="","",'DIVA Satislari'!I611)</f>
        <v/>
      </c>
      <c r="B611" s="26">
        <f>IF('DIVA Satislari'!I611="","",'DIVA Satislari'!R611)</f>
        <v/>
      </c>
      <c r="C611" s="26">
        <f>IF('DIVA Satislari'!I611="","",'DIVA Satislari'!M611)</f>
        <v/>
      </c>
      <c r="D611" s="27">
        <f>IF('DIVA Satislari'!I611="","",'DIVA Satislari'!H611)</f>
        <v/>
      </c>
      <c r="E611" s="26">
        <f>IF('DIVA Satislari'!I611="","",'DIVA Satislari'!O611)</f>
        <v/>
      </c>
      <c r="F611" s="26">
        <f>IF('DIVA Satislari'!I611="","",'DIVA Satislari'!AK611)</f>
        <v/>
      </c>
      <c r="G611" s="26">
        <f>IF('DIVA Satislari'!I611="","",'DIVA Satislari'!AO611)</f>
        <v/>
      </c>
      <c r="H611" s="27">
        <f>IF('DIVA Satislari'!I611="","",'DIVA Satislari'!AN611)</f>
        <v/>
      </c>
      <c r="I611" s="28">
        <f>IF('DIVA Satislari'!I611="","",'DIVA Satislari'!AQ611)</f>
        <v/>
      </c>
      <c r="J611" s="26">
        <f>IF('DIVA Satislari'!I611="","",'DIVA Satislari'!AR611)</f>
        <v/>
      </c>
      <c r="K611" s="26">
        <f>IF('DIVA Satislari'!I611="","",IFERROR(INDEX('E2E Nakliye Montaj'!$AS$3:$AS$1002,MATCH('DIVA Satislari'!AJ611,'E2E Nakliye Montaj'!$AM$3:$AM$1002,0)),"Eşleşme Yok"))</f>
        <v/>
      </c>
      <c r="L611" s="26">
        <f>IF('DIVA Satislari'!I611="","",IFERROR(INDEX('E2E Nakliye Montaj'!$AT$3:$AT$1002,MATCH('DIVA Satislari'!AJ611,'E2E Nakliye Montaj'!$AM$3:$AM$1002,0)),"Hayır"))</f>
        <v/>
      </c>
      <c r="M611" s="26">
        <f>IF('DIVA Satislari'!I611="","",IFERROR(INDEX('E2E Nakliye Montaj'!$AU$3:$AU$1002,MATCH('DIVA Satislari'!AJ611,'E2E Nakliye Montaj'!$AM$3:$AM$1002,0)),"Hayır"))</f>
        <v/>
      </c>
      <c r="N611" s="27">
        <f>IF('DIVA Satislari'!I611="","",IFERROR(INDEX('E2E Nakliye Montaj'!$AV$3:$AV$1002,MATCH('DIVA Satislari'!AJ611,'E2E Nakliye Montaj'!$AM$3:$AM$1002,0)),""))</f>
        <v/>
      </c>
      <c r="O611" s="26">
        <f>IF(OR(A611="",N611=""),"",IF(N611&lt;=H611,"Evet","HAYIR - RİSK"))</f>
        <v/>
      </c>
      <c r="P611" s="26">
        <f>IF(A611="","",IF(LEFT(J611,8)="Kural A ","Uygun - Hemen Ödenir (Yıl Sonu %75 Kontrolüne Tabi)",IF(OR(L611="Evet",M611="Evet"),IF(O611="Evet","Uygun","RİSK - Hakediş Süresi Aşıldı"),"Bekleniyor - Nakliye/Montaj Tamamlanmadı")))</f>
        <v/>
      </c>
      <c r="Q611" s="28">
        <f>IF(A611="","",SUMIFS('Hakedis Fatura Detay'!$G$3:$G$1200,'Hakedis Fatura Detay'!$H$3:$H$1200,'DIVA Satislari'!AJ611,'Hakedis Fatura Detay'!$F$3:$F$1200,"Fiyat Farkı")+SUMIFS('Hakedis Fatura Detay'!$G$3:$G$1200,'Hakedis Fatura Detay'!$H$3:$H$1200,'DIVA Satislari'!AJ611,'Hakedis Fatura Detay'!$F$3:$F$1200,"Bundle"))</f>
        <v/>
      </c>
      <c r="R611" s="28">
        <f>IF(A611="","",I611-Q611)</f>
        <v/>
      </c>
      <c r="S611" s="26">
        <f>IF(A611="","",IF(LEFT(P611,7)="Bekleni","N/A - Henüz Ödenmemeli",IF(LEFT(P611,4)="RİSK","İNCELEME GEREKLİ - Süre Aşımı",IF(R611=0,"Doğru",IF(R611&gt;0,"EKSİK ÖDENMİŞ","FAZLA ÖDENMİŞ")))))</f>
        <v/>
      </c>
      <c r="T611" s="30">
        <f>IF(A611="","",IF(F611&lt;&gt;"Evet","İNCELEME GEREKLİ - Kampanya Tanımsız",IF(G611&lt;&gt;"Evet","İNCELEME GEREKLİ - Tarih Dışı Satış",IF(LEFT(P611,4)="RİSK","İNCELEME GEREKLİ - Hakediş Süresi Aşıldı",IF(OR(S611="EKSİK ÖDENMİŞ",S611="FAZLA ÖDENMİŞ"),"İNCELEME GEREKLİ - Tutar Uyuşmazlığı",IF(LEFT(P611,7)="Bekleni","Bekleniyor","Uygun"))))))</f>
        <v/>
      </c>
    </row>
    <row r="612">
      <c r="A612" s="26">
        <f>IF('DIVA Satislari'!I612="","",'DIVA Satislari'!I612)</f>
        <v/>
      </c>
      <c r="B612" s="26">
        <f>IF('DIVA Satislari'!I612="","",'DIVA Satislari'!R612)</f>
        <v/>
      </c>
      <c r="C612" s="26">
        <f>IF('DIVA Satislari'!I612="","",'DIVA Satislari'!M612)</f>
        <v/>
      </c>
      <c r="D612" s="27">
        <f>IF('DIVA Satislari'!I612="","",'DIVA Satislari'!H612)</f>
        <v/>
      </c>
      <c r="E612" s="26">
        <f>IF('DIVA Satislari'!I612="","",'DIVA Satislari'!O612)</f>
        <v/>
      </c>
      <c r="F612" s="26">
        <f>IF('DIVA Satislari'!I612="","",'DIVA Satislari'!AK612)</f>
        <v/>
      </c>
      <c r="G612" s="26">
        <f>IF('DIVA Satislari'!I612="","",'DIVA Satislari'!AO612)</f>
        <v/>
      </c>
      <c r="H612" s="27">
        <f>IF('DIVA Satislari'!I612="","",'DIVA Satislari'!AN612)</f>
        <v/>
      </c>
      <c r="I612" s="28">
        <f>IF('DIVA Satislari'!I612="","",'DIVA Satislari'!AQ612)</f>
        <v/>
      </c>
      <c r="J612" s="26">
        <f>IF('DIVA Satislari'!I612="","",'DIVA Satislari'!AR612)</f>
        <v/>
      </c>
      <c r="K612" s="26">
        <f>IF('DIVA Satislari'!I612="","",IFERROR(INDEX('E2E Nakliye Montaj'!$AS$3:$AS$1002,MATCH('DIVA Satislari'!AJ612,'E2E Nakliye Montaj'!$AM$3:$AM$1002,0)),"Eşleşme Yok"))</f>
        <v/>
      </c>
      <c r="L612" s="26">
        <f>IF('DIVA Satislari'!I612="","",IFERROR(INDEX('E2E Nakliye Montaj'!$AT$3:$AT$1002,MATCH('DIVA Satislari'!AJ612,'E2E Nakliye Montaj'!$AM$3:$AM$1002,0)),"Hayır"))</f>
        <v/>
      </c>
      <c r="M612" s="26">
        <f>IF('DIVA Satislari'!I612="","",IFERROR(INDEX('E2E Nakliye Montaj'!$AU$3:$AU$1002,MATCH('DIVA Satislari'!AJ612,'E2E Nakliye Montaj'!$AM$3:$AM$1002,0)),"Hayır"))</f>
        <v/>
      </c>
      <c r="N612" s="27">
        <f>IF('DIVA Satislari'!I612="","",IFERROR(INDEX('E2E Nakliye Montaj'!$AV$3:$AV$1002,MATCH('DIVA Satislari'!AJ612,'E2E Nakliye Montaj'!$AM$3:$AM$1002,0)),""))</f>
        <v/>
      </c>
      <c r="O612" s="26">
        <f>IF(OR(A612="",N612=""),"",IF(N612&lt;=H612,"Evet","HAYIR - RİSK"))</f>
        <v/>
      </c>
      <c r="P612" s="26">
        <f>IF(A612="","",IF(LEFT(J612,8)="Kural A ","Uygun - Hemen Ödenir (Yıl Sonu %75 Kontrolüne Tabi)",IF(OR(L612="Evet",M612="Evet"),IF(O612="Evet","Uygun","RİSK - Hakediş Süresi Aşıldı"),"Bekleniyor - Nakliye/Montaj Tamamlanmadı")))</f>
        <v/>
      </c>
      <c r="Q612" s="28">
        <f>IF(A612="","",SUMIFS('Hakedis Fatura Detay'!$G$3:$G$1200,'Hakedis Fatura Detay'!$H$3:$H$1200,'DIVA Satislari'!AJ612,'Hakedis Fatura Detay'!$F$3:$F$1200,"Fiyat Farkı")+SUMIFS('Hakedis Fatura Detay'!$G$3:$G$1200,'Hakedis Fatura Detay'!$H$3:$H$1200,'DIVA Satislari'!AJ612,'Hakedis Fatura Detay'!$F$3:$F$1200,"Bundle"))</f>
        <v/>
      </c>
      <c r="R612" s="28">
        <f>IF(A612="","",I612-Q612)</f>
        <v/>
      </c>
      <c r="S612" s="26">
        <f>IF(A612="","",IF(LEFT(P612,7)="Bekleni","N/A - Henüz Ödenmemeli",IF(LEFT(P612,4)="RİSK","İNCELEME GEREKLİ - Süre Aşımı",IF(R612=0,"Doğru",IF(R612&gt;0,"EKSİK ÖDENMİŞ","FAZLA ÖDENMİŞ")))))</f>
        <v/>
      </c>
      <c r="T612" s="30">
        <f>IF(A612="","",IF(F612&lt;&gt;"Evet","İNCELEME GEREKLİ - Kampanya Tanımsız",IF(G612&lt;&gt;"Evet","İNCELEME GEREKLİ - Tarih Dışı Satış",IF(LEFT(P612,4)="RİSK","İNCELEME GEREKLİ - Hakediş Süresi Aşıldı",IF(OR(S612="EKSİK ÖDENMİŞ",S612="FAZLA ÖDENMİŞ"),"İNCELEME GEREKLİ - Tutar Uyuşmazlığı",IF(LEFT(P612,7)="Bekleni","Bekleniyor","Uygun"))))))</f>
        <v/>
      </c>
    </row>
    <row r="613">
      <c r="A613" s="26">
        <f>IF('DIVA Satislari'!I613="","",'DIVA Satislari'!I613)</f>
        <v/>
      </c>
      <c r="B613" s="26">
        <f>IF('DIVA Satislari'!I613="","",'DIVA Satislari'!R613)</f>
        <v/>
      </c>
      <c r="C613" s="26">
        <f>IF('DIVA Satislari'!I613="","",'DIVA Satislari'!M613)</f>
        <v/>
      </c>
      <c r="D613" s="27">
        <f>IF('DIVA Satislari'!I613="","",'DIVA Satislari'!H613)</f>
        <v/>
      </c>
      <c r="E613" s="26">
        <f>IF('DIVA Satislari'!I613="","",'DIVA Satislari'!O613)</f>
        <v/>
      </c>
      <c r="F613" s="26">
        <f>IF('DIVA Satislari'!I613="","",'DIVA Satislari'!AK613)</f>
        <v/>
      </c>
      <c r="G613" s="26">
        <f>IF('DIVA Satislari'!I613="","",'DIVA Satislari'!AO613)</f>
        <v/>
      </c>
      <c r="H613" s="27">
        <f>IF('DIVA Satislari'!I613="","",'DIVA Satislari'!AN613)</f>
        <v/>
      </c>
      <c r="I613" s="28">
        <f>IF('DIVA Satislari'!I613="","",'DIVA Satislari'!AQ613)</f>
        <v/>
      </c>
      <c r="J613" s="26">
        <f>IF('DIVA Satislari'!I613="","",'DIVA Satislari'!AR613)</f>
        <v/>
      </c>
      <c r="K613" s="26">
        <f>IF('DIVA Satislari'!I613="","",IFERROR(INDEX('E2E Nakliye Montaj'!$AS$3:$AS$1002,MATCH('DIVA Satislari'!AJ613,'E2E Nakliye Montaj'!$AM$3:$AM$1002,0)),"Eşleşme Yok"))</f>
        <v/>
      </c>
      <c r="L613" s="26">
        <f>IF('DIVA Satislari'!I613="","",IFERROR(INDEX('E2E Nakliye Montaj'!$AT$3:$AT$1002,MATCH('DIVA Satislari'!AJ613,'E2E Nakliye Montaj'!$AM$3:$AM$1002,0)),"Hayır"))</f>
        <v/>
      </c>
      <c r="M613" s="26">
        <f>IF('DIVA Satislari'!I613="","",IFERROR(INDEX('E2E Nakliye Montaj'!$AU$3:$AU$1002,MATCH('DIVA Satislari'!AJ613,'E2E Nakliye Montaj'!$AM$3:$AM$1002,0)),"Hayır"))</f>
        <v/>
      </c>
      <c r="N613" s="27">
        <f>IF('DIVA Satislari'!I613="","",IFERROR(INDEX('E2E Nakliye Montaj'!$AV$3:$AV$1002,MATCH('DIVA Satislari'!AJ613,'E2E Nakliye Montaj'!$AM$3:$AM$1002,0)),""))</f>
        <v/>
      </c>
      <c r="O613" s="26">
        <f>IF(OR(A613="",N613=""),"",IF(N613&lt;=H613,"Evet","HAYIR - RİSK"))</f>
        <v/>
      </c>
      <c r="P613" s="26">
        <f>IF(A613="","",IF(LEFT(J613,8)="Kural A ","Uygun - Hemen Ödenir (Yıl Sonu %75 Kontrolüne Tabi)",IF(OR(L613="Evet",M613="Evet"),IF(O613="Evet","Uygun","RİSK - Hakediş Süresi Aşıldı"),"Bekleniyor - Nakliye/Montaj Tamamlanmadı")))</f>
        <v/>
      </c>
      <c r="Q613" s="28">
        <f>IF(A613="","",SUMIFS('Hakedis Fatura Detay'!$G$3:$G$1200,'Hakedis Fatura Detay'!$H$3:$H$1200,'DIVA Satislari'!AJ613,'Hakedis Fatura Detay'!$F$3:$F$1200,"Fiyat Farkı")+SUMIFS('Hakedis Fatura Detay'!$G$3:$G$1200,'Hakedis Fatura Detay'!$H$3:$H$1200,'DIVA Satislari'!AJ613,'Hakedis Fatura Detay'!$F$3:$F$1200,"Bundle"))</f>
        <v/>
      </c>
      <c r="R613" s="28">
        <f>IF(A613="","",I613-Q613)</f>
        <v/>
      </c>
      <c r="S613" s="26">
        <f>IF(A613="","",IF(LEFT(P613,7)="Bekleni","N/A - Henüz Ödenmemeli",IF(LEFT(P613,4)="RİSK","İNCELEME GEREKLİ - Süre Aşımı",IF(R613=0,"Doğru",IF(R613&gt;0,"EKSİK ÖDENMİŞ","FAZLA ÖDENMİŞ")))))</f>
        <v/>
      </c>
      <c r="T613" s="30">
        <f>IF(A613="","",IF(F613&lt;&gt;"Evet","İNCELEME GEREKLİ - Kampanya Tanımsız",IF(G613&lt;&gt;"Evet","İNCELEME GEREKLİ - Tarih Dışı Satış",IF(LEFT(P613,4)="RİSK","İNCELEME GEREKLİ - Hakediş Süresi Aşıldı",IF(OR(S613="EKSİK ÖDENMİŞ",S613="FAZLA ÖDENMİŞ"),"İNCELEME GEREKLİ - Tutar Uyuşmazlığı",IF(LEFT(P613,7)="Bekleni","Bekleniyor","Uygun"))))))</f>
        <v/>
      </c>
    </row>
    <row r="614">
      <c r="A614" s="26">
        <f>IF('DIVA Satislari'!I614="","",'DIVA Satislari'!I614)</f>
        <v/>
      </c>
      <c r="B614" s="26">
        <f>IF('DIVA Satislari'!I614="","",'DIVA Satislari'!R614)</f>
        <v/>
      </c>
      <c r="C614" s="26">
        <f>IF('DIVA Satislari'!I614="","",'DIVA Satislari'!M614)</f>
        <v/>
      </c>
      <c r="D614" s="27">
        <f>IF('DIVA Satislari'!I614="","",'DIVA Satislari'!H614)</f>
        <v/>
      </c>
      <c r="E614" s="26">
        <f>IF('DIVA Satislari'!I614="","",'DIVA Satislari'!O614)</f>
        <v/>
      </c>
      <c r="F614" s="26">
        <f>IF('DIVA Satislari'!I614="","",'DIVA Satislari'!AK614)</f>
        <v/>
      </c>
      <c r="G614" s="26">
        <f>IF('DIVA Satislari'!I614="","",'DIVA Satislari'!AO614)</f>
        <v/>
      </c>
      <c r="H614" s="27">
        <f>IF('DIVA Satislari'!I614="","",'DIVA Satislari'!AN614)</f>
        <v/>
      </c>
      <c r="I614" s="28">
        <f>IF('DIVA Satislari'!I614="","",'DIVA Satislari'!AQ614)</f>
        <v/>
      </c>
      <c r="J614" s="26">
        <f>IF('DIVA Satislari'!I614="","",'DIVA Satislari'!AR614)</f>
        <v/>
      </c>
      <c r="K614" s="26">
        <f>IF('DIVA Satislari'!I614="","",IFERROR(INDEX('E2E Nakliye Montaj'!$AS$3:$AS$1002,MATCH('DIVA Satislari'!AJ614,'E2E Nakliye Montaj'!$AM$3:$AM$1002,0)),"Eşleşme Yok"))</f>
        <v/>
      </c>
      <c r="L614" s="26">
        <f>IF('DIVA Satislari'!I614="","",IFERROR(INDEX('E2E Nakliye Montaj'!$AT$3:$AT$1002,MATCH('DIVA Satislari'!AJ614,'E2E Nakliye Montaj'!$AM$3:$AM$1002,0)),"Hayır"))</f>
        <v/>
      </c>
      <c r="M614" s="26">
        <f>IF('DIVA Satislari'!I614="","",IFERROR(INDEX('E2E Nakliye Montaj'!$AU$3:$AU$1002,MATCH('DIVA Satislari'!AJ614,'E2E Nakliye Montaj'!$AM$3:$AM$1002,0)),"Hayır"))</f>
        <v/>
      </c>
      <c r="N614" s="27">
        <f>IF('DIVA Satislari'!I614="","",IFERROR(INDEX('E2E Nakliye Montaj'!$AV$3:$AV$1002,MATCH('DIVA Satislari'!AJ614,'E2E Nakliye Montaj'!$AM$3:$AM$1002,0)),""))</f>
        <v/>
      </c>
      <c r="O614" s="26">
        <f>IF(OR(A614="",N614=""),"",IF(N614&lt;=H614,"Evet","HAYIR - RİSK"))</f>
        <v/>
      </c>
      <c r="P614" s="26">
        <f>IF(A614="","",IF(LEFT(J614,8)="Kural A ","Uygun - Hemen Ödenir (Yıl Sonu %75 Kontrolüne Tabi)",IF(OR(L614="Evet",M614="Evet"),IF(O614="Evet","Uygun","RİSK - Hakediş Süresi Aşıldı"),"Bekleniyor - Nakliye/Montaj Tamamlanmadı")))</f>
        <v/>
      </c>
      <c r="Q614" s="28">
        <f>IF(A614="","",SUMIFS('Hakedis Fatura Detay'!$G$3:$G$1200,'Hakedis Fatura Detay'!$H$3:$H$1200,'DIVA Satislari'!AJ614,'Hakedis Fatura Detay'!$F$3:$F$1200,"Fiyat Farkı")+SUMIFS('Hakedis Fatura Detay'!$G$3:$G$1200,'Hakedis Fatura Detay'!$H$3:$H$1200,'DIVA Satislari'!AJ614,'Hakedis Fatura Detay'!$F$3:$F$1200,"Bundle"))</f>
        <v/>
      </c>
      <c r="R614" s="28">
        <f>IF(A614="","",I614-Q614)</f>
        <v/>
      </c>
      <c r="S614" s="26">
        <f>IF(A614="","",IF(LEFT(P614,7)="Bekleni","N/A - Henüz Ödenmemeli",IF(LEFT(P614,4)="RİSK","İNCELEME GEREKLİ - Süre Aşımı",IF(R614=0,"Doğru",IF(R614&gt;0,"EKSİK ÖDENMİŞ","FAZLA ÖDENMİŞ")))))</f>
        <v/>
      </c>
      <c r="T614" s="30">
        <f>IF(A614="","",IF(F614&lt;&gt;"Evet","İNCELEME GEREKLİ - Kampanya Tanımsız",IF(G614&lt;&gt;"Evet","İNCELEME GEREKLİ - Tarih Dışı Satış",IF(LEFT(P614,4)="RİSK","İNCELEME GEREKLİ - Hakediş Süresi Aşıldı",IF(OR(S614="EKSİK ÖDENMİŞ",S614="FAZLA ÖDENMİŞ"),"İNCELEME GEREKLİ - Tutar Uyuşmazlığı",IF(LEFT(P614,7)="Bekleni","Bekleniyor","Uygun"))))))</f>
        <v/>
      </c>
    </row>
    <row r="615">
      <c r="A615" s="26">
        <f>IF('DIVA Satislari'!I615="","",'DIVA Satislari'!I615)</f>
        <v/>
      </c>
      <c r="B615" s="26">
        <f>IF('DIVA Satislari'!I615="","",'DIVA Satislari'!R615)</f>
        <v/>
      </c>
      <c r="C615" s="26">
        <f>IF('DIVA Satislari'!I615="","",'DIVA Satislari'!M615)</f>
        <v/>
      </c>
      <c r="D615" s="27">
        <f>IF('DIVA Satislari'!I615="","",'DIVA Satislari'!H615)</f>
        <v/>
      </c>
      <c r="E615" s="26">
        <f>IF('DIVA Satislari'!I615="","",'DIVA Satislari'!O615)</f>
        <v/>
      </c>
      <c r="F615" s="26">
        <f>IF('DIVA Satislari'!I615="","",'DIVA Satislari'!AK615)</f>
        <v/>
      </c>
      <c r="G615" s="26">
        <f>IF('DIVA Satislari'!I615="","",'DIVA Satislari'!AO615)</f>
        <v/>
      </c>
      <c r="H615" s="27">
        <f>IF('DIVA Satislari'!I615="","",'DIVA Satislari'!AN615)</f>
        <v/>
      </c>
      <c r="I615" s="28">
        <f>IF('DIVA Satislari'!I615="","",'DIVA Satislari'!AQ615)</f>
        <v/>
      </c>
      <c r="J615" s="26">
        <f>IF('DIVA Satislari'!I615="","",'DIVA Satislari'!AR615)</f>
        <v/>
      </c>
      <c r="K615" s="26">
        <f>IF('DIVA Satislari'!I615="","",IFERROR(INDEX('E2E Nakliye Montaj'!$AS$3:$AS$1002,MATCH('DIVA Satislari'!AJ615,'E2E Nakliye Montaj'!$AM$3:$AM$1002,0)),"Eşleşme Yok"))</f>
        <v/>
      </c>
      <c r="L615" s="26">
        <f>IF('DIVA Satislari'!I615="","",IFERROR(INDEX('E2E Nakliye Montaj'!$AT$3:$AT$1002,MATCH('DIVA Satislari'!AJ615,'E2E Nakliye Montaj'!$AM$3:$AM$1002,0)),"Hayır"))</f>
        <v/>
      </c>
      <c r="M615" s="26">
        <f>IF('DIVA Satislari'!I615="","",IFERROR(INDEX('E2E Nakliye Montaj'!$AU$3:$AU$1002,MATCH('DIVA Satislari'!AJ615,'E2E Nakliye Montaj'!$AM$3:$AM$1002,0)),"Hayır"))</f>
        <v/>
      </c>
      <c r="N615" s="27">
        <f>IF('DIVA Satislari'!I615="","",IFERROR(INDEX('E2E Nakliye Montaj'!$AV$3:$AV$1002,MATCH('DIVA Satislari'!AJ615,'E2E Nakliye Montaj'!$AM$3:$AM$1002,0)),""))</f>
        <v/>
      </c>
      <c r="O615" s="26">
        <f>IF(OR(A615="",N615=""),"",IF(N615&lt;=H615,"Evet","HAYIR - RİSK"))</f>
        <v/>
      </c>
      <c r="P615" s="26">
        <f>IF(A615="","",IF(LEFT(J615,8)="Kural A ","Uygun - Hemen Ödenir (Yıl Sonu %75 Kontrolüne Tabi)",IF(OR(L615="Evet",M615="Evet"),IF(O615="Evet","Uygun","RİSK - Hakediş Süresi Aşıldı"),"Bekleniyor - Nakliye/Montaj Tamamlanmadı")))</f>
        <v/>
      </c>
      <c r="Q615" s="28">
        <f>IF(A615="","",SUMIFS('Hakedis Fatura Detay'!$G$3:$G$1200,'Hakedis Fatura Detay'!$H$3:$H$1200,'DIVA Satislari'!AJ615,'Hakedis Fatura Detay'!$F$3:$F$1200,"Fiyat Farkı")+SUMIFS('Hakedis Fatura Detay'!$G$3:$G$1200,'Hakedis Fatura Detay'!$H$3:$H$1200,'DIVA Satislari'!AJ615,'Hakedis Fatura Detay'!$F$3:$F$1200,"Bundle"))</f>
        <v/>
      </c>
      <c r="R615" s="28">
        <f>IF(A615="","",I615-Q615)</f>
        <v/>
      </c>
      <c r="S615" s="26">
        <f>IF(A615="","",IF(LEFT(P615,7)="Bekleni","N/A - Henüz Ödenmemeli",IF(LEFT(P615,4)="RİSK","İNCELEME GEREKLİ - Süre Aşımı",IF(R615=0,"Doğru",IF(R615&gt;0,"EKSİK ÖDENMİŞ","FAZLA ÖDENMİŞ")))))</f>
        <v/>
      </c>
      <c r="T615" s="30">
        <f>IF(A615="","",IF(F615&lt;&gt;"Evet","İNCELEME GEREKLİ - Kampanya Tanımsız",IF(G615&lt;&gt;"Evet","İNCELEME GEREKLİ - Tarih Dışı Satış",IF(LEFT(P615,4)="RİSK","İNCELEME GEREKLİ - Hakediş Süresi Aşıldı",IF(OR(S615="EKSİK ÖDENMİŞ",S615="FAZLA ÖDENMİŞ"),"İNCELEME GEREKLİ - Tutar Uyuşmazlığı",IF(LEFT(P615,7)="Bekleni","Bekleniyor","Uygun"))))))</f>
        <v/>
      </c>
    </row>
    <row r="616">
      <c r="A616" s="26">
        <f>IF('DIVA Satislari'!I616="","",'DIVA Satislari'!I616)</f>
        <v/>
      </c>
      <c r="B616" s="26">
        <f>IF('DIVA Satislari'!I616="","",'DIVA Satislari'!R616)</f>
        <v/>
      </c>
      <c r="C616" s="26">
        <f>IF('DIVA Satislari'!I616="","",'DIVA Satislari'!M616)</f>
        <v/>
      </c>
      <c r="D616" s="27">
        <f>IF('DIVA Satislari'!I616="","",'DIVA Satislari'!H616)</f>
        <v/>
      </c>
      <c r="E616" s="26">
        <f>IF('DIVA Satislari'!I616="","",'DIVA Satislari'!O616)</f>
        <v/>
      </c>
      <c r="F616" s="26">
        <f>IF('DIVA Satislari'!I616="","",'DIVA Satislari'!AK616)</f>
        <v/>
      </c>
      <c r="G616" s="26">
        <f>IF('DIVA Satislari'!I616="","",'DIVA Satislari'!AO616)</f>
        <v/>
      </c>
      <c r="H616" s="27">
        <f>IF('DIVA Satislari'!I616="","",'DIVA Satislari'!AN616)</f>
        <v/>
      </c>
      <c r="I616" s="28">
        <f>IF('DIVA Satislari'!I616="","",'DIVA Satislari'!AQ616)</f>
        <v/>
      </c>
      <c r="J616" s="26">
        <f>IF('DIVA Satislari'!I616="","",'DIVA Satislari'!AR616)</f>
        <v/>
      </c>
      <c r="K616" s="26">
        <f>IF('DIVA Satislari'!I616="","",IFERROR(INDEX('E2E Nakliye Montaj'!$AS$3:$AS$1002,MATCH('DIVA Satislari'!AJ616,'E2E Nakliye Montaj'!$AM$3:$AM$1002,0)),"Eşleşme Yok"))</f>
        <v/>
      </c>
      <c r="L616" s="26">
        <f>IF('DIVA Satislari'!I616="","",IFERROR(INDEX('E2E Nakliye Montaj'!$AT$3:$AT$1002,MATCH('DIVA Satislari'!AJ616,'E2E Nakliye Montaj'!$AM$3:$AM$1002,0)),"Hayır"))</f>
        <v/>
      </c>
      <c r="M616" s="26">
        <f>IF('DIVA Satislari'!I616="","",IFERROR(INDEX('E2E Nakliye Montaj'!$AU$3:$AU$1002,MATCH('DIVA Satislari'!AJ616,'E2E Nakliye Montaj'!$AM$3:$AM$1002,0)),"Hayır"))</f>
        <v/>
      </c>
      <c r="N616" s="27">
        <f>IF('DIVA Satislari'!I616="","",IFERROR(INDEX('E2E Nakliye Montaj'!$AV$3:$AV$1002,MATCH('DIVA Satislari'!AJ616,'E2E Nakliye Montaj'!$AM$3:$AM$1002,0)),""))</f>
        <v/>
      </c>
      <c r="O616" s="26">
        <f>IF(OR(A616="",N616=""),"",IF(N616&lt;=H616,"Evet","HAYIR - RİSK"))</f>
        <v/>
      </c>
      <c r="P616" s="26">
        <f>IF(A616="","",IF(LEFT(J616,8)="Kural A ","Uygun - Hemen Ödenir (Yıl Sonu %75 Kontrolüne Tabi)",IF(OR(L616="Evet",M616="Evet"),IF(O616="Evet","Uygun","RİSK - Hakediş Süresi Aşıldı"),"Bekleniyor - Nakliye/Montaj Tamamlanmadı")))</f>
        <v/>
      </c>
      <c r="Q616" s="28">
        <f>IF(A616="","",SUMIFS('Hakedis Fatura Detay'!$G$3:$G$1200,'Hakedis Fatura Detay'!$H$3:$H$1200,'DIVA Satislari'!AJ616,'Hakedis Fatura Detay'!$F$3:$F$1200,"Fiyat Farkı")+SUMIFS('Hakedis Fatura Detay'!$G$3:$G$1200,'Hakedis Fatura Detay'!$H$3:$H$1200,'DIVA Satislari'!AJ616,'Hakedis Fatura Detay'!$F$3:$F$1200,"Bundle"))</f>
        <v/>
      </c>
      <c r="R616" s="28">
        <f>IF(A616="","",I616-Q616)</f>
        <v/>
      </c>
      <c r="S616" s="26">
        <f>IF(A616="","",IF(LEFT(P616,7)="Bekleni","N/A - Henüz Ödenmemeli",IF(LEFT(P616,4)="RİSK","İNCELEME GEREKLİ - Süre Aşımı",IF(R616=0,"Doğru",IF(R616&gt;0,"EKSİK ÖDENMİŞ","FAZLA ÖDENMİŞ")))))</f>
        <v/>
      </c>
      <c r="T616" s="30">
        <f>IF(A616="","",IF(F616&lt;&gt;"Evet","İNCELEME GEREKLİ - Kampanya Tanımsız",IF(G616&lt;&gt;"Evet","İNCELEME GEREKLİ - Tarih Dışı Satış",IF(LEFT(P616,4)="RİSK","İNCELEME GEREKLİ - Hakediş Süresi Aşıldı",IF(OR(S616="EKSİK ÖDENMİŞ",S616="FAZLA ÖDENMİŞ"),"İNCELEME GEREKLİ - Tutar Uyuşmazlığı",IF(LEFT(P616,7)="Bekleni","Bekleniyor","Uygun"))))))</f>
        <v/>
      </c>
    </row>
    <row r="617">
      <c r="A617" s="26">
        <f>IF('DIVA Satislari'!I617="","",'DIVA Satislari'!I617)</f>
        <v/>
      </c>
      <c r="B617" s="26">
        <f>IF('DIVA Satislari'!I617="","",'DIVA Satislari'!R617)</f>
        <v/>
      </c>
      <c r="C617" s="26">
        <f>IF('DIVA Satislari'!I617="","",'DIVA Satislari'!M617)</f>
        <v/>
      </c>
      <c r="D617" s="27">
        <f>IF('DIVA Satislari'!I617="","",'DIVA Satislari'!H617)</f>
        <v/>
      </c>
      <c r="E617" s="26">
        <f>IF('DIVA Satislari'!I617="","",'DIVA Satislari'!O617)</f>
        <v/>
      </c>
      <c r="F617" s="26">
        <f>IF('DIVA Satislari'!I617="","",'DIVA Satislari'!AK617)</f>
        <v/>
      </c>
      <c r="G617" s="26">
        <f>IF('DIVA Satislari'!I617="","",'DIVA Satislari'!AO617)</f>
        <v/>
      </c>
      <c r="H617" s="27">
        <f>IF('DIVA Satislari'!I617="","",'DIVA Satislari'!AN617)</f>
        <v/>
      </c>
      <c r="I617" s="28">
        <f>IF('DIVA Satislari'!I617="","",'DIVA Satislari'!AQ617)</f>
        <v/>
      </c>
      <c r="J617" s="26">
        <f>IF('DIVA Satislari'!I617="","",'DIVA Satislari'!AR617)</f>
        <v/>
      </c>
      <c r="K617" s="26">
        <f>IF('DIVA Satislari'!I617="","",IFERROR(INDEX('E2E Nakliye Montaj'!$AS$3:$AS$1002,MATCH('DIVA Satislari'!AJ617,'E2E Nakliye Montaj'!$AM$3:$AM$1002,0)),"Eşleşme Yok"))</f>
        <v/>
      </c>
      <c r="L617" s="26">
        <f>IF('DIVA Satislari'!I617="","",IFERROR(INDEX('E2E Nakliye Montaj'!$AT$3:$AT$1002,MATCH('DIVA Satislari'!AJ617,'E2E Nakliye Montaj'!$AM$3:$AM$1002,0)),"Hayır"))</f>
        <v/>
      </c>
      <c r="M617" s="26">
        <f>IF('DIVA Satislari'!I617="","",IFERROR(INDEX('E2E Nakliye Montaj'!$AU$3:$AU$1002,MATCH('DIVA Satislari'!AJ617,'E2E Nakliye Montaj'!$AM$3:$AM$1002,0)),"Hayır"))</f>
        <v/>
      </c>
      <c r="N617" s="27">
        <f>IF('DIVA Satislari'!I617="","",IFERROR(INDEX('E2E Nakliye Montaj'!$AV$3:$AV$1002,MATCH('DIVA Satislari'!AJ617,'E2E Nakliye Montaj'!$AM$3:$AM$1002,0)),""))</f>
        <v/>
      </c>
      <c r="O617" s="26">
        <f>IF(OR(A617="",N617=""),"",IF(N617&lt;=H617,"Evet","HAYIR - RİSK"))</f>
        <v/>
      </c>
      <c r="P617" s="26">
        <f>IF(A617="","",IF(LEFT(J617,8)="Kural A ","Uygun - Hemen Ödenir (Yıl Sonu %75 Kontrolüne Tabi)",IF(OR(L617="Evet",M617="Evet"),IF(O617="Evet","Uygun","RİSK - Hakediş Süresi Aşıldı"),"Bekleniyor - Nakliye/Montaj Tamamlanmadı")))</f>
        <v/>
      </c>
      <c r="Q617" s="28">
        <f>IF(A617="","",SUMIFS('Hakedis Fatura Detay'!$G$3:$G$1200,'Hakedis Fatura Detay'!$H$3:$H$1200,'DIVA Satislari'!AJ617,'Hakedis Fatura Detay'!$F$3:$F$1200,"Fiyat Farkı")+SUMIFS('Hakedis Fatura Detay'!$G$3:$G$1200,'Hakedis Fatura Detay'!$H$3:$H$1200,'DIVA Satislari'!AJ617,'Hakedis Fatura Detay'!$F$3:$F$1200,"Bundle"))</f>
        <v/>
      </c>
      <c r="R617" s="28">
        <f>IF(A617="","",I617-Q617)</f>
        <v/>
      </c>
      <c r="S617" s="26">
        <f>IF(A617="","",IF(LEFT(P617,7)="Bekleni","N/A - Henüz Ödenmemeli",IF(LEFT(P617,4)="RİSK","İNCELEME GEREKLİ - Süre Aşımı",IF(R617=0,"Doğru",IF(R617&gt;0,"EKSİK ÖDENMİŞ","FAZLA ÖDENMİŞ")))))</f>
        <v/>
      </c>
      <c r="T617" s="30">
        <f>IF(A617="","",IF(F617&lt;&gt;"Evet","İNCELEME GEREKLİ - Kampanya Tanımsız",IF(G617&lt;&gt;"Evet","İNCELEME GEREKLİ - Tarih Dışı Satış",IF(LEFT(P617,4)="RİSK","İNCELEME GEREKLİ - Hakediş Süresi Aşıldı",IF(OR(S617="EKSİK ÖDENMİŞ",S617="FAZLA ÖDENMİŞ"),"İNCELEME GEREKLİ - Tutar Uyuşmazlığı",IF(LEFT(P617,7)="Bekleni","Bekleniyor","Uygun"))))))</f>
        <v/>
      </c>
    </row>
    <row r="618">
      <c r="A618" s="26">
        <f>IF('DIVA Satislari'!I618="","",'DIVA Satislari'!I618)</f>
        <v/>
      </c>
      <c r="B618" s="26">
        <f>IF('DIVA Satislari'!I618="","",'DIVA Satislari'!R618)</f>
        <v/>
      </c>
      <c r="C618" s="26">
        <f>IF('DIVA Satislari'!I618="","",'DIVA Satislari'!M618)</f>
        <v/>
      </c>
      <c r="D618" s="27">
        <f>IF('DIVA Satislari'!I618="","",'DIVA Satislari'!H618)</f>
        <v/>
      </c>
      <c r="E618" s="26">
        <f>IF('DIVA Satislari'!I618="","",'DIVA Satislari'!O618)</f>
        <v/>
      </c>
      <c r="F618" s="26">
        <f>IF('DIVA Satislari'!I618="","",'DIVA Satislari'!AK618)</f>
        <v/>
      </c>
      <c r="G618" s="26">
        <f>IF('DIVA Satislari'!I618="","",'DIVA Satislari'!AO618)</f>
        <v/>
      </c>
      <c r="H618" s="27">
        <f>IF('DIVA Satislari'!I618="","",'DIVA Satislari'!AN618)</f>
        <v/>
      </c>
      <c r="I618" s="28">
        <f>IF('DIVA Satislari'!I618="","",'DIVA Satislari'!AQ618)</f>
        <v/>
      </c>
      <c r="J618" s="26">
        <f>IF('DIVA Satislari'!I618="","",'DIVA Satislari'!AR618)</f>
        <v/>
      </c>
      <c r="K618" s="26">
        <f>IF('DIVA Satislari'!I618="","",IFERROR(INDEX('E2E Nakliye Montaj'!$AS$3:$AS$1002,MATCH('DIVA Satislari'!AJ618,'E2E Nakliye Montaj'!$AM$3:$AM$1002,0)),"Eşleşme Yok"))</f>
        <v/>
      </c>
      <c r="L618" s="26">
        <f>IF('DIVA Satislari'!I618="","",IFERROR(INDEX('E2E Nakliye Montaj'!$AT$3:$AT$1002,MATCH('DIVA Satislari'!AJ618,'E2E Nakliye Montaj'!$AM$3:$AM$1002,0)),"Hayır"))</f>
        <v/>
      </c>
      <c r="M618" s="26">
        <f>IF('DIVA Satislari'!I618="","",IFERROR(INDEX('E2E Nakliye Montaj'!$AU$3:$AU$1002,MATCH('DIVA Satislari'!AJ618,'E2E Nakliye Montaj'!$AM$3:$AM$1002,0)),"Hayır"))</f>
        <v/>
      </c>
      <c r="N618" s="27">
        <f>IF('DIVA Satislari'!I618="","",IFERROR(INDEX('E2E Nakliye Montaj'!$AV$3:$AV$1002,MATCH('DIVA Satislari'!AJ618,'E2E Nakliye Montaj'!$AM$3:$AM$1002,0)),""))</f>
        <v/>
      </c>
      <c r="O618" s="26">
        <f>IF(OR(A618="",N618=""),"",IF(N618&lt;=H618,"Evet","HAYIR - RİSK"))</f>
        <v/>
      </c>
      <c r="P618" s="26">
        <f>IF(A618="","",IF(LEFT(J618,8)="Kural A ","Uygun - Hemen Ödenir (Yıl Sonu %75 Kontrolüne Tabi)",IF(OR(L618="Evet",M618="Evet"),IF(O618="Evet","Uygun","RİSK - Hakediş Süresi Aşıldı"),"Bekleniyor - Nakliye/Montaj Tamamlanmadı")))</f>
        <v/>
      </c>
      <c r="Q618" s="28">
        <f>IF(A618="","",SUMIFS('Hakedis Fatura Detay'!$G$3:$G$1200,'Hakedis Fatura Detay'!$H$3:$H$1200,'DIVA Satislari'!AJ618,'Hakedis Fatura Detay'!$F$3:$F$1200,"Fiyat Farkı")+SUMIFS('Hakedis Fatura Detay'!$G$3:$G$1200,'Hakedis Fatura Detay'!$H$3:$H$1200,'DIVA Satislari'!AJ618,'Hakedis Fatura Detay'!$F$3:$F$1200,"Bundle"))</f>
        <v/>
      </c>
      <c r="R618" s="28">
        <f>IF(A618="","",I618-Q618)</f>
        <v/>
      </c>
      <c r="S618" s="26">
        <f>IF(A618="","",IF(LEFT(P618,7)="Bekleni","N/A - Henüz Ödenmemeli",IF(LEFT(P618,4)="RİSK","İNCELEME GEREKLİ - Süre Aşımı",IF(R618=0,"Doğru",IF(R618&gt;0,"EKSİK ÖDENMİŞ","FAZLA ÖDENMİŞ")))))</f>
        <v/>
      </c>
      <c r="T618" s="30">
        <f>IF(A618="","",IF(F618&lt;&gt;"Evet","İNCELEME GEREKLİ - Kampanya Tanımsız",IF(G618&lt;&gt;"Evet","İNCELEME GEREKLİ - Tarih Dışı Satış",IF(LEFT(P618,4)="RİSK","İNCELEME GEREKLİ - Hakediş Süresi Aşıldı",IF(OR(S618="EKSİK ÖDENMİŞ",S618="FAZLA ÖDENMİŞ"),"İNCELEME GEREKLİ - Tutar Uyuşmazlığı",IF(LEFT(P618,7)="Bekleni","Bekleniyor","Uygun"))))))</f>
        <v/>
      </c>
    </row>
    <row r="619">
      <c r="A619" s="26">
        <f>IF('DIVA Satislari'!I619="","",'DIVA Satislari'!I619)</f>
        <v/>
      </c>
      <c r="B619" s="26">
        <f>IF('DIVA Satislari'!I619="","",'DIVA Satislari'!R619)</f>
        <v/>
      </c>
      <c r="C619" s="26">
        <f>IF('DIVA Satislari'!I619="","",'DIVA Satislari'!M619)</f>
        <v/>
      </c>
      <c r="D619" s="27">
        <f>IF('DIVA Satislari'!I619="","",'DIVA Satislari'!H619)</f>
        <v/>
      </c>
      <c r="E619" s="26">
        <f>IF('DIVA Satislari'!I619="","",'DIVA Satislari'!O619)</f>
        <v/>
      </c>
      <c r="F619" s="26">
        <f>IF('DIVA Satislari'!I619="","",'DIVA Satislari'!AK619)</f>
        <v/>
      </c>
      <c r="G619" s="26">
        <f>IF('DIVA Satislari'!I619="","",'DIVA Satislari'!AO619)</f>
        <v/>
      </c>
      <c r="H619" s="27">
        <f>IF('DIVA Satislari'!I619="","",'DIVA Satislari'!AN619)</f>
        <v/>
      </c>
      <c r="I619" s="28">
        <f>IF('DIVA Satislari'!I619="","",'DIVA Satislari'!AQ619)</f>
        <v/>
      </c>
      <c r="J619" s="26">
        <f>IF('DIVA Satislari'!I619="","",'DIVA Satislari'!AR619)</f>
        <v/>
      </c>
      <c r="K619" s="26">
        <f>IF('DIVA Satislari'!I619="","",IFERROR(INDEX('E2E Nakliye Montaj'!$AS$3:$AS$1002,MATCH('DIVA Satislari'!AJ619,'E2E Nakliye Montaj'!$AM$3:$AM$1002,0)),"Eşleşme Yok"))</f>
        <v/>
      </c>
      <c r="L619" s="26">
        <f>IF('DIVA Satislari'!I619="","",IFERROR(INDEX('E2E Nakliye Montaj'!$AT$3:$AT$1002,MATCH('DIVA Satislari'!AJ619,'E2E Nakliye Montaj'!$AM$3:$AM$1002,0)),"Hayır"))</f>
        <v/>
      </c>
      <c r="M619" s="26">
        <f>IF('DIVA Satislari'!I619="","",IFERROR(INDEX('E2E Nakliye Montaj'!$AU$3:$AU$1002,MATCH('DIVA Satislari'!AJ619,'E2E Nakliye Montaj'!$AM$3:$AM$1002,0)),"Hayır"))</f>
        <v/>
      </c>
      <c r="N619" s="27">
        <f>IF('DIVA Satislari'!I619="","",IFERROR(INDEX('E2E Nakliye Montaj'!$AV$3:$AV$1002,MATCH('DIVA Satislari'!AJ619,'E2E Nakliye Montaj'!$AM$3:$AM$1002,0)),""))</f>
        <v/>
      </c>
      <c r="O619" s="26">
        <f>IF(OR(A619="",N619=""),"",IF(N619&lt;=H619,"Evet","HAYIR - RİSK"))</f>
        <v/>
      </c>
      <c r="P619" s="26">
        <f>IF(A619="","",IF(LEFT(J619,8)="Kural A ","Uygun - Hemen Ödenir (Yıl Sonu %75 Kontrolüne Tabi)",IF(OR(L619="Evet",M619="Evet"),IF(O619="Evet","Uygun","RİSK - Hakediş Süresi Aşıldı"),"Bekleniyor - Nakliye/Montaj Tamamlanmadı")))</f>
        <v/>
      </c>
      <c r="Q619" s="28">
        <f>IF(A619="","",SUMIFS('Hakedis Fatura Detay'!$G$3:$G$1200,'Hakedis Fatura Detay'!$H$3:$H$1200,'DIVA Satislari'!AJ619,'Hakedis Fatura Detay'!$F$3:$F$1200,"Fiyat Farkı")+SUMIFS('Hakedis Fatura Detay'!$G$3:$G$1200,'Hakedis Fatura Detay'!$H$3:$H$1200,'DIVA Satislari'!AJ619,'Hakedis Fatura Detay'!$F$3:$F$1200,"Bundle"))</f>
        <v/>
      </c>
      <c r="R619" s="28">
        <f>IF(A619="","",I619-Q619)</f>
        <v/>
      </c>
      <c r="S619" s="26">
        <f>IF(A619="","",IF(LEFT(P619,7)="Bekleni","N/A - Henüz Ödenmemeli",IF(LEFT(P619,4)="RİSK","İNCELEME GEREKLİ - Süre Aşımı",IF(R619=0,"Doğru",IF(R619&gt;0,"EKSİK ÖDENMİŞ","FAZLA ÖDENMİŞ")))))</f>
        <v/>
      </c>
      <c r="T619" s="30">
        <f>IF(A619="","",IF(F619&lt;&gt;"Evet","İNCELEME GEREKLİ - Kampanya Tanımsız",IF(G619&lt;&gt;"Evet","İNCELEME GEREKLİ - Tarih Dışı Satış",IF(LEFT(P619,4)="RİSK","İNCELEME GEREKLİ - Hakediş Süresi Aşıldı",IF(OR(S619="EKSİK ÖDENMİŞ",S619="FAZLA ÖDENMİŞ"),"İNCELEME GEREKLİ - Tutar Uyuşmazlığı",IF(LEFT(P619,7)="Bekleni","Bekleniyor","Uygun"))))))</f>
        <v/>
      </c>
    </row>
    <row r="620">
      <c r="A620" s="26">
        <f>IF('DIVA Satislari'!I620="","",'DIVA Satislari'!I620)</f>
        <v/>
      </c>
      <c r="B620" s="26">
        <f>IF('DIVA Satislari'!I620="","",'DIVA Satislari'!R620)</f>
        <v/>
      </c>
      <c r="C620" s="26">
        <f>IF('DIVA Satislari'!I620="","",'DIVA Satislari'!M620)</f>
        <v/>
      </c>
      <c r="D620" s="27">
        <f>IF('DIVA Satislari'!I620="","",'DIVA Satislari'!H620)</f>
        <v/>
      </c>
      <c r="E620" s="26">
        <f>IF('DIVA Satislari'!I620="","",'DIVA Satislari'!O620)</f>
        <v/>
      </c>
      <c r="F620" s="26">
        <f>IF('DIVA Satislari'!I620="","",'DIVA Satislari'!AK620)</f>
        <v/>
      </c>
      <c r="G620" s="26">
        <f>IF('DIVA Satislari'!I620="","",'DIVA Satislari'!AO620)</f>
        <v/>
      </c>
      <c r="H620" s="27">
        <f>IF('DIVA Satislari'!I620="","",'DIVA Satislari'!AN620)</f>
        <v/>
      </c>
      <c r="I620" s="28">
        <f>IF('DIVA Satislari'!I620="","",'DIVA Satislari'!AQ620)</f>
        <v/>
      </c>
      <c r="J620" s="26">
        <f>IF('DIVA Satislari'!I620="","",'DIVA Satislari'!AR620)</f>
        <v/>
      </c>
      <c r="K620" s="26">
        <f>IF('DIVA Satislari'!I620="","",IFERROR(INDEX('E2E Nakliye Montaj'!$AS$3:$AS$1002,MATCH('DIVA Satislari'!AJ620,'E2E Nakliye Montaj'!$AM$3:$AM$1002,0)),"Eşleşme Yok"))</f>
        <v/>
      </c>
      <c r="L620" s="26">
        <f>IF('DIVA Satislari'!I620="","",IFERROR(INDEX('E2E Nakliye Montaj'!$AT$3:$AT$1002,MATCH('DIVA Satislari'!AJ620,'E2E Nakliye Montaj'!$AM$3:$AM$1002,0)),"Hayır"))</f>
        <v/>
      </c>
      <c r="M620" s="26">
        <f>IF('DIVA Satislari'!I620="","",IFERROR(INDEX('E2E Nakliye Montaj'!$AU$3:$AU$1002,MATCH('DIVA Satislari'!AJ620,'E2E Nakliye Montaj'!$AM$3:$AM$1002,0)),"Hayır"))</f>
        <v/>
      </c>
      <c r="N620" s="27">
        <f>IF('DIVA Satislari'!I620="","",IFERROR(INDEX('E2E Nakliye Montaj'!$AV$3:$AV$1002,MATCH('DIVA Satislari'!AJ620,'E2E Nakliye Montaj'!$AM$3:$AM$1002,0)),""))</f>
        <v/>
      </c>
      <c r="O620" s="26">
        <f>IF(OR(A620="",N620=""),"",IF(N620&lt;=H620,"Evet","HAYIR - RİSK"))</f>
        <v/>
      </c>
      <c r="P620" s="26">
        <f>IF(A620="","",IF(LEFT(J620,8)="Kural A ","Uygun - Hemen Ödenir (Yıl Sonu %75 Kontrolüne Tabi)",IF(OR(L620="Evet",M620="Evet"),IF(O620="Evet","Uygun","RİSK - Hakediş Süresi Aşıldı"),"Bekleniyor - Nakliye/Montaj Tamamlanmadı")))</f>
        <v/>
      </c>
      <c r="Q620" s="28">
        <f>IF(A620="","",SUMIFS('Hakedis Fatura Detay'!$G$3:$G$1200,'Hakedis Fatura Detay'!$H$3:$H$1200,'DIVA Satislari'!AJ620,'Hakedis Fatura Detay'!$F$3:$F$1200,"Fiyat Farkı")+SUMIFS('Hakedis Fatura Detay'!$G$3:$G$1200,'Hakedis Fatura Detay'!$H$3:$H$1200,'DIVA Satislari'!AJ620,'Hakedis Fatura Detay'!$F$3:$F$1200,"Bundle"))</f>
        <v/>
      </c>
      <c r="R620" s="28">
        <f>IF(A620="","",I620-Q620)</f>
        <v/>
      </c>
      <c r="S620" s="26">
        <f>IF(A620="","",IF(LEFT(P620,7)="Bekleni","N/A - Henüz Ödenmemeli",IF(LEFT(P620,4)="RİSK","İNCELEME GEREKLİ - Süre Aşımı",IF(R620=0,"Doğru",IF(R620&gt;0,"EKSİK ÖDENMİŞ","FAZLA ÖDENMİŞ")))))</f>
        <v/>
      </c>
      <c r="T620" s="30">
        <f>IF(A620="","",IF(F620&lt;&gt;"Evet","İNCELEME GEREKLİ - Kampanya Tanımsız",IF(G620&lt;&gt;"Evet","İNCELEME GEREKLİ - Tarih Dışı Satış",IF(LEFT(P620,4)="RİSK","İNCELEME GEREKLİ - Hakediş Süresi Aşıldı",IF(OR(S620="EKSİK ÖDENMİŞ",S620="FAZLA ÖDENMİŞ"),"İNCELEME GEREKLİ - Tutar Uyuşmazlığı",IF(LEFT(P620,7)="Bekleni","Bekleniyor","Uygun"))))))</f>
        <v/>
      </c>
    </row>
    <row r="621">
      <c r="A621" s="26">
        <f>IF('DIVA Satislari'!I621="","",'DIVA Satislari'!I621)</f>
        <v/>
      </c>
      <c r="B621" s="26">
        <f>IF('DIVA Satislari'!I621="","",'DIVA Satislari'!R621)</f>
        <v/>
      </c>
      <c r="C621" s="26">
        <f>IF('DIVA Satislari'!I621="","",'DIVA Satislari'!M621)</f>
        <v/>
      </c>
      <c r="D621" s="27">
        <f>IF('DIVA Satislari'!I621="","",'DIVA Satislari'!H621)</f>
        <v/>
      </c>
      <c r="E621" s="26">
        <f>IF('DIVA Satislari'!I621="","",'DIVA Satislari'!O621)</f>
        <v/>
      </c>
      <c r="F621" s="26">
        <f>IF('DIVA Satislari'!I621="","",'DIVA Satislari'!AK621)</f>
        <v/>
      </c>
      <c r="G621" s="26">
        <f>IF('DIVA Satislari'!I621="","",'DIVA Satislari'!AO621)</f>
        <v/>
      </c>
      <c r="H621" s="27">
        <f>IF('DIVA Satislari'!I621="","",'DIVA Satislari'!AN621)</f>
        <v/>
      </c>
      <c r="I621" s="28">
        <f>IF('DIVA Satislari'!I621="","",'DIVA Satislari'!AQ621)</f>
        <v/>
      </c>
      <c r="J621" s="26">
        <f>IF('DIVA Satislari'!I621="","",'DIVA Satislari'!AR621)</f>
        <v/>
      </c>
      <c r="K621" s="26">
        <f>IF('DIVA Satislari'!I621="","",IFERROR(INDEX('E2E Nakliye Montaj'!$AS$3:$AS$1002,MATCH('DIVA Satislari'!AJ621,'E2E Nakliye Montaj'!$AM$3:$AM$1002,0)),"Eşleşme Yok"))</f>
        <v/>
      </c>
      <c r="L621" s="26">
        <f>IF('DIVA Satislari'!I621="","",IFERROR(INDEX('E2E Nakliye Montaj'!$AT$3:$AT$1002,MATCH('DIVA Satislari'!AJ621,'E2E Nakliye Montaj'!$AM$3:$AM$1002,0)),"Hayır"))</f>
        <v/>
      </c>
      <c r="M621" s="26">
        <f>IF('DIVA Satislari'!I621="","",IFERROR(INDEX('E2E Nakliye Montaj'!$AU$3:$AU$1002,MATCH('DIVA Satislari'!AJ621,'E2E Nakliye Montaj'!$AM$3:$AM$1002,0)),"Hayır"))</f>
        <v/>
      </c>
      <c r="N621" s="27">
        <f>IF('DIVA Satislari'!I621="","",IFERROR(INDEX('E2E Nakliye Montaj'!$AV$3:$AV$1002,MATCH('DIVA Satislari'!AJ621,'E2E Nakliye Montaj'!$AM$3:$AM$1002,0)),""))</f>
        <v/>
      </c>
      <c r="O621" s="26">
        <f>IF(OR(A621="",N621=""),"",IF(N621&lt;=H621,"Evet","HAYIR - RİSK"))</f>
        <v/>
      </c>
      <c r="P621" s="26">
        <f>IF(A621="","",IF(LEFT(J621,8)="Kural A ","Uygun - Hemen Ödenir (Yıl Sonu %75 Kontrolüne Tabi)",IF(OR(L621="Evet",M621="Evet"),IF(O621="Evet","Uygun","RİSK - Hakediş Süresi Aşıldı"),"Bekleniyor - Nakliye/Montaj Tamamlanmadı")))</f>
        <v/>
      </c>
      <c r="Q621" s="28">
        <f>IF(A621="","",SUMIFS('Hakedis Fatura Detay'!$G$3:$G$1200,'Hakedis Fatura Detay'!$H$3:$H$1200,'DIVA Satislari'!AJ621,'Hakedis Fatura Detay'!$F$3:$F$1200,"Fiyat Farkı")+SUMIFS('Hakedis Fatura Detay'!$G$3:$G$1200,'Hakedis Fatura Detay'!$H$3:$H$1200,'DIVA Satislari'!AJ621,'Hakedis Fatura Detay'!$F$3:$F$1200,"Bundle"))</f>
        <v/>
      </c>
      <c r="R621" s="28">
        <f>IF(A621="","",I621-Q621)</f>
        <v/>
      </c>
      <c r="S621" s="26">
        <f>IF(A621="","",IF(LEFT(P621,7)="Bekleni","N/A - Henüz Ödenmemeli",IF(LEFT(P621,4)="RİSK","İNCELEME GEREKLİ - Süre Aşımı",IF(R621=0,"Doğru",IF(R621&gt;0,"EKSİK ÖDENMİŞ","FAZLA ÖDENMİŞ")))))</f>
        <v/>
      </c>
      <c r="T621" s="30">
        <f>IF(A621="","",IF(F621&lt;&gt;"Evet","İNCELEME GEREKLİ - Kampanya Tanımsız",IF(G621&lt;&gt;"Evet","İNCELEME GEREKLİ - Tarih Dışı Satış",IF(LEFT(P621,4)="RİSK","İNCELEME GEREKLİ - Hakediş Süresi Aşıldı",IF(OR(S621="EKSİK ÖDENMİŞ",S621="FAZLA ÖDENMİŞ"),"İNCELEME GEREKLİ - Tutar Uyuşmazlığı",IF(LEFT(P621,7)="Bekleni","Bekleniyor","Uygun"))))))</f>
        <v/>
      </c>
    </row>
    <row r="622">
      <c r="A622" s="26">
        <f>IF('DIVA Satislari'!I622="","",'DIVA Satislari'!I622)</f>
        <v/>
      </c>
      <c r="B622" s="26">
        <f>IF('DIVA Satislari'!I622="","",'DIVA Satislari'!R622)</f>
        <v/>
      </c>
      <c r="C622" s="26">
        <f>IF('DIVA Satislari'!I622="","",'DIVA Satislari'!M622)</f>
        <v/>
      </c>
      <c r="D622" s="27">
        <f>IF('DIVA Satislari'!I622="","",'DIVA Satislari'!H622)</f>
        <v/>
      </c>
      <c r="E622" s="26">
        <f>IF('DIVA Satislari'!I622="","",'DIVA Satislari'!O622)</f>
        <v/>
      </c>
      <c r="F622" s="26">
        <f>IF('DIVA Satislari'!I622="","",'DIVA Satislari'!AK622)</f>
        <v/>
      </c>
      <c r="G622" s="26">
        <f>IF('DIVA Satislari'!I622="","",'DIVA Satislari'!AO622)</f>
        <v/>
      </c>
      <c r="H622" s="27">
        <f>IF('DIVA Satislari'!I622="","",'DIVA Satislari'!AN622)</f>
        <v/>
      </c>
      <c r="I622" s="28">
        <f>IF('DIVA Satislari'!I622="","",'DIVA Satislari'!AQ622)</f>
        <v/>
      </c>
      <c r="J622" s="26">
        <f>IF('DIVA Satislari'!I622="","",'DIVA Satislari'!AR622)</f>
        <v/>
      </c>
      <c r="K622" s="26">
        <f>IF('DIVA Satislari'!I622="","",IFERROR(INDEX('E2E Nakliye Montaj'!$AS$3:$AS$1002,MATCH('DIVA Satislari'!AJ622,'E2E Nakliye Montaj'!$AM$3:$AM$1002,0)),"Eşleşme Yok"))</f>
        <v/>
      </c>
      <c r="L622" s="26">
        <f>IF('DIVA Satislari'!I622="","",IFERROR(INDEX('E2E Nakliye Montaj'!$AT$3:$AT$1002,MATCH('DIVA Satislari'!AJ622,'E2E Nakliye Montaj'!$AM$3:$AM$1002,0)),"Hayır"))</f>
        <v/>
      </c>
      <c r="M622" s="26">
        <f>IF('DIVA Satislari'!I622="","",IFERROR(INDEX('E2E Nakliye Montaj'!$AU$3:$AU$1002,MATCH('DIVA Satislari'!AJ622,'E2E Nakliye Montaj'!$AM$3:$AM$1002,0)),"Hayır"))</f>
        <v/>
      </c>
      <c r="N622" s="27">
        <f>IF('DIVA Satislari'!I622="","",IFERROR(INDEX('E2E Nakliye Montaj'!$AV$3:$AV$1002,MATCH('DIVA Satislari'!AJ622,'E2E Nakliye Montaj'!$AM$3:$AM$1002,0)),""))</f>
        <v/>
      </c>
      <c r="O622" s="26">
        <f>IF(OR(A622="",N622=""),"",IF(N622&lt;=H622,"Evet","HAYIR - RİSK"))</f>
        <v/>
      </c>
      <c r="P622" s="26">
        <f>IF(A622="","",IF(LEFT(J622,8)="Kural A ","Uygun - Hemen Ödenir (Yıl Sonu %75 Kontrolüne Tabi)",IF(OR(L622="Evet",M622="Evet"),IF(O622="Evet","Uygun","RİSK - Hakediş Süresi Aşıldı"),"Bekleniyor - Nakliye/Montaj Tamamlanmadı")))</f>
        <v/>
      </c>
      <c r="Q622" s="28">
        <f>IF(A622="","",SUMIFS('Hakedis Fatura Detay'!$G$3:$G$1200,'Hakedis Fatura Detay'!$H$3:$H$1200,'DIVA Satislari'!AJ622,'Hakedis Fatura Detay'!$F$3:$F$1200,"Fiyat Farkı")+SUMIFS('Hakedis Fatura Detay'!$G$3:$G$1200,'Hakedis Fatura Detay'!$H$3:$H$1200,'DIVA Satislari'!AJ622,'Hakedis Fatura Detay'!$F$3:$F$1200,"Bundle"))</f>
        <v/>
      </c>
      <c r="R622" s="28">
        <f>IF(A622="","",I622-Q622)</f>
        <v/>
      </c>
      <c r="S622" s="26">
        <f>IF(A622="","",IF(LEFT(P622,7)="Bekleni","N/A - Henüz Ödenmemeli",IF(LEFT(P622,4)="RİSK","İNCELEME GEREKLİ - Süre Aşımı",IF(R622=0,"Doğru",IF(R622&gt;0,"EKSİK ÖDENMİŞ","FAZLA ÖDENMİŞ")))))</f>
        <v/>
      </c>
      <c r="T622" s="30">
        <f>IF(A622="","",IF(F622&lt;&gt;"Evet","İNCELEME GEREKLİ - Kampanya Tanımsız",IF(G622&lt;&gt;"Evet","İNCELEME GEREKLİ - Tarih Dışı Satış",IF(LEFT(P622,4)="RİSK","İNCELEME GEREKLİ - Hakediş Süresi Aşıldı",IF(OR(S622="EKSİK ÖDENMİŞ",S622="FAZLA ÖDENMİŞ"),"İNCELEME GEREKLİ - Tutar Uyuşmazlığı",IF(LEFT(P622,7)="Bekleni","Bekleniyor","Uygun"))))))</f>
        <v/>
      </c>
    </row>
    <row r="623">
      <c r="A623" s="26">
        <f>IF('DIVA Satislari'!I623="","",'DIVA Satislari'!I623)</f>
        <v/>
      </c>
      <c r="B623" s="26">
        <f>IF('DIVA Satislari'!I623="","",'DIVA Satislari'!R623)</f>
        <v/>
      </c>
      <c r="C623" s="26">
        <f>IF('DIVA Satislari'!I623="","",'DIVA Satislari'!M623)</f>
        <v/>
      </c>
      <c r="D623" s="27">
        <f>IF('DIVA Satislari'!I623="","",'DIVA Satislari'!H623)</f>
        <v/>
      </c>
      <c r="E623" s="26">
        <f>IF('DIVA Satislari'!I623="","",'DIVA Satislari'!O623)</f>
        <v/>
      </c>
      <c r="F623" s="26">
        <f>IF('DIVA Satislari'!I623="","",'DIVA Satislari'!AK623)</f>
        <v/>
      </c>
      <c r="G623" s="26">
        <f>IF('DIVA Satislari'!I623="","",'DIVA Satislari'!AO623)</f>
        <v/>
      </c>
      <c r="H623" s="27">
        <f>IF('DIVA Satislari'!I623="","",'DIVA Satislari'!AN623)</f>
        <v/>
      </c>
      <c r="I623" s="28">
        <f>IF('DIVA Satislari'!I623="","",'DIVA Satislari'!AQ623)</f>
        <v/>
      </c>
      <c r="J623" s="26">
        <f>IF('DIVA Satislari'!I623="","",'DIVA Satislari'!AR623)</f>
        <v/>
      </c>
      <c r="K623" s="26">
        <f>IF('DIVA Satislari'!I623="","",IFERROR(INDEX('E2E Nakliye Montaj'!$AS$3:$AS$1002,MATCH('DIVA Satislari'!AJ623,'E2E Nakliye Montaj'!$AM$3:$AM$1002,0)),"Eşleşme Yok"))</f>
        <v/>
      </c>
      <c r="L623" s="26">
        <f>IF('DIVA Satislari'!I623="","",IFERROR(INDEX('E2E Nakliye Montaj'!$AT$3:$AT$1002,MATCH('DIVA Satislari'!AJ623,'E2E Nakliye Montaj'!$AM$3:$AM$1002,0)),"Hayır"))</f>
        <v/>
      </c>
      <c r="M623" s="26">
        <f>IF('DIVA Satislari'!I623="","",IFERROR(INDEX('E2E Nakliye Montaj'!$AU$3:$AU$1002,MATCH('DIVA Satislari'!AJ623,'E2E Nakliye Montaj'!$AM$3:$AM$1002,0)),"Hayır"))</f>
        <v/>
      </c>
      <c r="N623" s="27">
        <f>IF('DIVA Satislari'!I623="","",IFERROR(INDEX('E2E Nakliye Montaj'!$AV$3:$AV$1002,MATCH('DIVA Satislari'!AJ623,'E2E Nakliye Montaj'!$AM$3:$AM$1002,0)),""))</f>
        <v/>
      </c>
      <c r="O623" s="26">
        <f>IF(OR(A623="",N623=""),"",IF(N623&lt;=H623,"Evet","HAYIR - RİSK"))</f>
        <v/>
      </c>
      <c r="P623" s="26">
        <f>IF(A623="","",IF(LEFT(J623,8)="Kural A ","Uygun - Hemen Ödenir (Yıl Sonu %75 Kontrolüne Tabi)",IF(OR(L623="Evet",M623="Evet"),IF(O623="Evet","Uygun","RİSK - Hakediş Süresi Aşıldı"),"Bekleniyor - Nakliye/Montaj Tamamlanmadı")))</f>
        <v/>
      </c>
      <c r="Q623" s="28">
        <f>IF(A623="","",SUMIFS('Hakedis Fatura Detay'!$G$3:$G$1200,'Hakedis Fatura Detay'!$H$3:$H$1200,'DIVA Satislari'!AJ623,'Hakedis Fatura Detay'!$F$3:$F$1200,"Fiyat Farkı")+SUMIFS('Hakedis Fatura Detay'!$G$3:$G$1200,'Hakedis Fatura Detay'!$H$3:$H$1200,'DIVA Satislari'!AJ623,'Hakedis Fatura Detay'!$F$3:$F$1200,"Bundle"))</f>
        <v/>
      </c>
      <c r="R623" s="28">
        <f>IF(A623="","",I623-Q623)</f>
        <v/>
      </c>
      <c r="S623" s="26">
        <f>IF(A623="","",IF(LEFT(P623,7)="Bekleni","N/A - Henüz Ödenmemeli",IF(LEFT(P623,4)="RİSK","İNCELEME GEREKLİ - Süre Aşımı",IF(R623=0,"Doğru",IF(R623&gt;0,"EKSİK ÖDENMİŞ","FAZLA ÖDENMİŞ")))))</f>
        <v/>
      </c>
      <c r="T623" s="30">
        <f>IF(A623="","",IF(F623&lt;&gt;"Evet","İNCELEME GEREKLİ - Kampanya Tanımsız",IF(G623&lt;&gt;"Evet","İNCELEME GEREKLİ - Tarih Dışı Satış",IF(LEFT(P623,4)="RİSK","İNCELEME GEREKLİ - Hakediş Süresi Aşıldı",IF(OR(S623="EKSİK ÖDENMİŞ",S623="FAZLA ÖDENMİŞ"),"İNCELEME GEREKLİ - Tutar Uyuşmazlığı",IF(LEFT(P623,7)="Bekleni","Bekleniyor","Uygun"))))))</f>
        <v/>
      </c>
    </row>
    <row r="624">
      <c r="A624" s="26">
        <f>IF('DIVA Satislari'!I624="","",'DIVA Satislari'!I624)</f>
        <v/>
      </c>
      <c r="B624" s="26">
        <f>IF('DIVA Satislari'!I624="","",'DIVA Satislari'!R624)</f>
        <v/>
      </c>
      <c r="C624" s="26">
        <f>IF('DIVA Satislari'!I624="","",'DIVA Satislari'!M624)</f>
        <v/>
      </c>
      <c r="D624" s="27">
        <f>IF('DIVA Satislari'!I624="","",'DIVA Satislari'!H624)</f>
        <v/>
      </c>
      <c r="E624" s="26">
        <f>IF('DIVA Satislari'!I624="","",'DIVA Satislari'!O624)</f>
        <v/>
      </c>
      <c r="F624" s="26">
        <f>IF('DIVA Satislari'!I624="","",'DIVA Satislari'!AK624)</f>
        <v/>
      </c>
      <c r="G624" s="26">
        <f>IF('DIVA Satislari'!I624="","",'DIVA Satislari'!AO624)</f>
        <v/>
      </c>
      <c r="H624" s="27">
        <f>IF('DIVA Satislari'!I624="","",'DIVA Satislari'!AN624)</f>
        <v/>
      </c>
      <c r="I624" s="28">
        <f>IF('DIVA Satislari'!I624="","",'DIVA Satislari'!AQ624)</f>
        <v/>
      </c>
      <c r="J624" s="26">
        <f>IF('DIVA Satislari'!I624="","",'DIVA Satislari'!AR624)</f>
        <v/>
      </c>
      <c r="K624" s="26">
        <f>IF('DIVA Satislari'!I624="","",IFERROR(INDEX('E2E Nakliye Montaj'!$AS$3:$AS$1002,MATCH('DIVA Satislari'!AJ624,'E2E Nakliye Montaj'!$AM$3:$AM$1002,0)),"Eşleşme Yok"))</f>
        <v/>
      </c>
      <c r="L624" s="26">
        <f>IF('DIVA Satislari'!I624="","",IFERROR(INDEX('E2E Nakliye Montaj'!$AT$3:$AT$1002,MATCH('DIVA Satislari'!AJ624,'E2E Nakliye Montaj'!$AM$3:$AM$1002,0)),"Hayır"))</f>
        <v/>
      </c>
      <c r="M624" s="26">
        <f>IF('DIVA Satislari'!I624="","",IFERROR(INDEX('E2E Nakliye Montaj'!$AU$3:$AU$1002,MATCH('DIVA Satislari'!AJ624,'E2E Nakliye Montaj'!$AM$3:$AM$1002,0)),"Hayır"))</f>
        <v/>
      </c>
      <c r="N624" s="27">
        <f>IF('DIVA Satislari'!I624="","",IFERROR(INDEX('E2E Nakliye Montaj'!$AV$3:$AV$1002,MATCH('DIVA Satislari'!AJ624,'E2E Nakliye Montaj'!$AM$3:$AM$1002,0)),""))</f>
        <v/>
      </c>
      <c r="O624" s="26">
        <f>IF(OR(A624="",N624=""),"",IF(N624&lt;=H624,"Evet","HAYIR - RİSK"))</f>
        <v/>
      </c>
      <c r="P624" s="26">
        <f>IF(A624="","",IF(LEFT(J624,8)="Kural A ","Uygun - Hemen Ödenir (Yıl Sonu %75 Kontrolüne Tabi)",IF(OR(L624="Evet",M624="Evet"),IF(O624="Evet","Uygun","RİSK - Hakediş Süresi Aşıldı"),"Bekleniyor - Nakliye/Montaj Tamamlanmadı")))</f>
        <v/>
      </c>
      <c r="Q624" s="28">
        <f>IF(A624="","",SUMIFS('Hakedis Fatura Detay'!$G$3:$G$1200,'Hakedis Fatura Detay'!$H$3:$H$1200,'DIVA Satislari'!AJ624,'Hakedis Fatura Detay'!$F$3:$F$1200,"Fiyat Farkı")+SUMIFS('Hakedis Fatura Detay'!$G$3:$G$1200,'Hakedis Fatura Detay'!$H$3:$H$1200,'DIVA Satislari'!AJ624,'Hakedis Fatura Detay'!$F$3:$F$1200,"Bundle"))</f>
        <v/>
      </c>
      <c r="R624" s="28">
        <f>IF(A624="","",I624-Q624)</f>
        <v/>
      </c>
      <c r="S624" s="26">
        <f>IF(A624="","",IF(LEFT(P624,7)="Bekleni","N/A - Henüz Ödenmemeli",IF(LEFT(P624,4)="RİSK","İNCELEME GEREKLİ - Süre Aşımı",IF(R624=0,"Doğru",IF(R624&gt;0,"EKSİK ÖDENMİŞ","FAZLA ÖDENMİŞ")))))</f>
        <v/>
      </c>
      <c r="T624" s="30">
        <f>IF(A624="","",IF(F624&lt;&gt;"Evet","İNCELEME GEREKLİ - Kampanya Tanımsız",IF(G624&lt;&gt;"Evet","İNCELEME GEREKLİ - Tarih Dışı Satış",IF(LEFT(P624,4)="RİSK","İNCELEME GEREKLİ - Hakediş Süresi Aşıldı",IF(OR(S624="EKSİK ÖDENMİŞ",S624="FAZLA ÖDENMİŞ"),"İNCELEME GEREKLİ - Tutar Uyuşmazlığı",IF(LEFT(P624,7)="Bekleni","Bekleniyor","Uygun"))))))</f>
        <v/>
      </c>
    </row>
    <row r="625">
      <c r="A625" s="26">
        <f>IF('DIVA Satislari'!I625="","",'DIVA Satislari'!I625)</f>
        <v/>
      </c>
      <c r="B625" s="26">
        <f>IF('DIVA Satislari'!I625="","",'DIVA Satislari'!R625)</f>
        <v/>
      </c>
      <c r="C625" s="26">
        <f>IF('DIVA Satislari'!I625="","",'DIVA Satislari'!M625)</f>
        <v/>
      </c>
      <c r="D625" s="27">
        <f>IF('DIVA Satislari'!I625="","",'DIVA Satislari'!H625)</f>
        <v/>
      </c>
      <c r="E625" s="26">
        <f>IF('DIVA Satislari'!I625="","",'DIVA Satislari'!O625)</f>
        <v/>
      </c>
      <c r="F625" s="26">
        <f>IF('DIVA Satislari'!I625="","",'DIVA Satislari'!AK625)</f>
        <v/>
      </c>
      <c r="G625" s="26">
        <f>IF('DIVA Satislari'!I625="","",'DIVA Satislari'!AO625)</f>
        <v/>
      </c>
      <c r="H625" s="27">
        <f>IF('DIVA Satislari'!I625="","",'DIVA Satislari'!AN625)</f>
        <v/>
      </c>
      <c r="I625" s="28">
        <f>IF('DIVA Satislari'!I625="","",'DIVA Satislari'!AQ625)</f>
        <v/>
      </c>
      <c r="J625" s="26">
        <f>IF('DIVA Satislari'!I625="","",'DIVA Satislari'!AR625)</f>
        <v/>
      </c>
      <c r="K625" s="26">
        <f>IF('DIVA Satislari'!I625="","",IFERROR(INDEX('E2E Nakliye Montaj'!$AS$3:$AS$1002,MATCH('DIVA Satislari'!AJ625,'E2E Nakliye Montaj'!$AM$3:$AM$1002,0)),"Eşleşme Yok"))</f>
        <v/>
      </c>
      <c r="L625" s="26">
        <f>IF('DIVA Satislari'!I625="","",IFERROR(INDEX('E2E Nakliye Montaj'!$AT$3:$AT$1002,MATCH('DIVA Satislari'!AJ625,'E2E Nakliye Montaj'!$AM$3:$AM$1002,0)),"Hayır"))</f>
        <v/>
      </c>
      <c r="M625" s="26">
        <f>IF('DIVA Satislari'!I625="","",IFERROR(INDEX('E2E Nakliye Montaj'!$AU$3:$AU$1002,MATCH('DIVA Satislari'!AJ625,'E2E Nakliye Montaj'!$AM$3:$AM$1002,0)),"Hayır"))</f>
        <v/>
      </c>
      <c r="N625" s="27">
        <f>IF('DIVA Satislari'!I625="","",IFERROR(INDEX('E2E Nakliye Montaj'!$AV$3:$AV$1002,MATCH('DIVA Satislari'!AJ625,'E2E Nakliye Montaj'!$AM$3:$AM$1002,0)),""))</f>
        <v/>
      </c>
      <c r="O625" s="26">
        <f>IF(OR(A625="",N625=""),"",IF(N625&lt;=H625,"Evet","HAYIR - RİSK"))</f>
        <v/>
      </c>
      <c r="P625" s="26">
        <f>IF(A625="","",IF(LEFT(J625,8)="Kural A ","Uygun - Hemen Ödenir (Yıl Sonu %75 Kontrolüne Tabi)",IF(OR(L625="Evet",M625="Evet"),IF(O625="Evet","Uygun","RİSK - Hakediş Süresi Aşıldı"),"Bekleniyor - Nakliye/Montaj Tamamlanmadı")))</f>
        <v/>
      </c>
      <c r="Q625" s="28">
        <f>IF(A625="","",SUMIFS('Hakedis Fatura Detay'!$G$3:$G$1200,'Hakedis Fatura Detay'!$H$3:$H$1200,'DIVA Satislari'!AJ625,'Hakedis Fatura Detay'!$F$3:$F$1200,"Fiyat Farkı")+SUMIFS('Hakedis Fatura Detay'!$G$3:$G$1200,'Hakedis Fatura Detay'!$H$3:$H$1200,'DIVA Satislari'!AJ625,'Hakedis Fatura Detay'!$F$3:$F$1200,"Bundle"))</f>
        <v/>
      </c>
      <c r="R625" s="28">
        <f>IF(A625="","",I625-Q625)</f>
        <v/>
      </c>
      <c r="S625" s="26">
        <f>IF(A625="","",IF(LEFT(P625,7)="Bekleni","N/A - Henüz Ödenmemeli",IF(LEFT(P625,4)="RİSK","İNCELEME GEREKLİ - Süre Aşımı",IF(R625=0,"Doğru",IF(R625&gt;0,"EKSİK ÖDENMİŞ","FAZLA ÖDENMİŞ")))))</f>
        <v/>
      </c>
      <c r="T625" s="30">
        <f>IF(A625="","",IF(F625&lt;&gt;"Evet","İNCELEME GEREKLİ - Kampanya Tanımsız",IF(G625&lt;&gt;"Evet","İNCELEME GEREKLİ - Tarih Dışı Satış",IF(LEFT(P625,4)="RİSK","İNCELEME GEREKLİ - Hakediş Süresi Aşıldı",IF(OR(S625="EKSİK ÖDENMİŞ",S625="FAZLA ÖDENMİŞ"),"İNCELEME GEREKLİ - Tutar Uyuşmazlığı",IF(LEFT(P625,7)="Bekleni","Bekleniyor","Uygun"))))))</f>
        <v/>
      </c>
    </row>
    <row r="626">
      <c r="A626" s="26">
        <f>IF('DIVA Satislari'!I626="","",'DIVA Satislari'!I626)</f>
        <v/>
      </c>
      <c r="B626" s="26">
        <f>IF('DIVA Satislari'!I626="","",'DIVA Satislari'!R626)</f>
        <v/>
      </c>
      <c r="C626" s="26">
        <f>IF('DIVA Satislari'!I626="","",'DIVA Satislari'!M626)</f>
        <v/>
      </c>
      <c r="D626" s="27">
        <f>IF('DIVA Satislari'!I626="","",'DIVA Satislari'!H626)</f>
        <v/>
      </c>
      <c r="E626" s="26">
        <f>IF('DIVA Satislari'!I626="","",'DIVA Satislari'!O626)</f>
        <v/>
      </c>
      <c r="F626" s="26">
        <f>IF('DIVA Satislari'!I626="","",'DIVA Satislari'!AK626)</f>
        <v/>
      </c>
      <c r="G626" s="26">
        <f>IF('DIVA Satislari'!I626="","",'DIVA Satislari'!AO626)</f>
        <v/>
      </c>
      <c r="H626" s="27">
        <f>IF('DIVA Satislari'!I626="","",'DIVA Satislari'!AN626)</f>
        <v/>
      </c>
      <c r="I626" s="28">
        <f>IF('DIVA Satislari'!I626="","",'DIVA Satislari'!AQ626)</f>
        <v/>
      </c>
      <c r="J626" s="26">
        <f>IF('DIVA Satislari'!I626="","",'DIVA Satislari'!AR626)</f>
        <v/>
      </c>
      <c r="K626" s="26">
        <f>IF('DIVA Satislari'!I626="","",IFERROR(INDEX('E2E Nakliye Montaj'!$AS$3:$AS$1002,MATCH('DIVA Satislari'!AJ626,'E2E Nakliye Montaj'!$AM$3:$AM$1002,0)),"Eşleşme Yok"))</f>
        <v/>
      </c>
      <c r="L626" s="26">
        <f>IF('DIVA Satislari'!I626="","",IFERROR(INDEX('E2E Nakliye Montaj'!$AT$3:$AT$1002,MATCH('DIVA Satislari'!AJ626,'E2E Nakliye Montaj'!$AM$3:$AM$1002,0)),"Hayır"))</f>
        <v/>
      </c>
      <c r="M626" s="26">
        <f>IF('DIVA Satislari'!I626="","",IFERROR(INDEX('E2E Nakliye Montaj'!$AU$3:$AU$1002,MATCH('DIVA Satislari'!AJ626,'E2E Nakliye Montaj'!$AM$3:$AM$1002,0)),"Hayır"))</f>
        <v/>
      </c>
      <c r="N626" s="27">
        <f>IF('DIVA Satislari'!I626="","",IFERROR(INDEX('E2E Nakliye Montaj'!$AV$3:$AV$1002,MATCH('DIVA Satislari'!AJ626,'E2E Nakliye Montaj'!$AM$3:$AM$1002,0)),""))</f>
        <v/>
      </c>
      <c r="O626" s="26">
        <f>IF(OR(A626="",N626=""),"",IF(N626&lt;=H626,"Evet","HAYIR - RİSK"))</f>
        <v/>
      </c>
      <c r="P626" s="26">
        <f>IF(A626="","",IF(LEFT(J626,8)="Kural A ","Uygun - Hemen Ödenir (Yıl Sonu %75 Kontrolüne Tabi)",IF(OR(L626="Evet",M626="Evet"),IF(O626="Evet","Uygun","RİSK - Hakediş Süresi Aşıldı"),"Bekleniyor - Nakliye/Montaj Tamamlanmadı")))</f>
        <v/>
      </c>
      <c r="Q626" s="28">
        <f>IF(A626="","",SUMIFS('Hakedis Fatura Detay'!$G$3:$G$1200,'Hakedis Fatura Detay'!$H$3:$H$1200,'DIVA Satislari'!AJ626,'Hakedis Fatura Detay'!$F$3:$F$1200,"Fiyat Farkı")+SUMIFS('Hakedis Fatura Detay'!$G$3:$G$1200,'Hakedis Fatura Detay'!$H$3:$H$1200,'DIVA Satislari'!AJ626,'Hakedis Fatura Detay'!$F$3:$F$1200,"Bundle"))</f>
        <v/>
      </c>
      <c r="R626" s="28">
        <f>IF(A626="","",I626-Q626)</f>
        <v/>
      </c>
      <c r="S626" s="26">
        <f>IF(A626="","",IF(LEFT(P626,7)="Bekleni","N/A - Henüz Ödenmemeli",IF(LEFT(P626,4)="RİSK","İNCELEME GEREKLİ - Süre Aşımı",IF(R626=0,"Doğru",IF(R626&gt;0,"EKSİK ÖDENMİŞ","FAZLA ÖDENMİŞ")))))</f>
        <v/>
      </c>
      <c r="T626" s="30">
        <f>IF(A626="","",IF(F626&lt;&gt;"Evet","İNCELEME GEREKLİ - Kampanya Tanımsız",IF(G626&lt;&gt;"Evet","İNCELEME GEREKLİ - Tarih Dışı Satış",IF(LEFT(P626,4)="RİSK","İNCELEME GEREKLİ - Hakediş Süresi Aşıldı",IF(OR(S626="EKSİK ÖDENMİŞ",S626="FAZLA ÖDENMİŞ"),"İNCELEME GEREKLİ - Tutar Uyuşmazlığı",IF(LEFT(P626,7)="Bekleni","Bekleniyor","Uygun"))))))</f>
        <v/>
      </c>
    </row>
    <row r="627">
      <c r="A627" s="26">
        <f>IF('DIVA Satislari'!I627="","",'DIVA Satislari'!I627)</f>
        <v/>
      </c>
      <c r="B627" s="26">
        <f>IF('DIVA Satislari'!I627="","",'DIVA Satislari'!R627)</f>
        <v/>
      </c>
      <c r="C627" s="26">
        <f>IF('DIVA Satislari'!I627="","",'DIVA Satislari'!M627)</f>
        <v/>
      </c>
      <c r="D627" s="27">
        <f>IF('DIVA Satislari'!I627="","",'DIVA Satislari'!H627)</f>
        <v/>
      </c>
      <c r="E627" s="26">
        <f>IF('DIVA Satislari'!I627="","",'DIVA Satislari'!O627)</f>
        <v/>
      </c>
      <c r="F627" s="26">
        <f>IF('DIVA Satislari'!I627="","",'DIVA Satislari'!AK627)</f>
        <v/>
      </c>
      <c r="G627" s="26">
        <f>IF('DIVA Satislari'!I627="","",'DIVA Satislari'!AO627)</f>
        <v/>
      </c>
      <c r="H627" s="27">
        <f>IF('DIVA Satislari'!I627="","",'DIVA Satislari'!AN627)</f>
        <v/>
      </c>
      <c r="I627" s="28">
        <f>IF('DIVA Satislari'!I627="","",'DIVA Satislari'!AQ627)</f>
        <v/>
      </c>
      <c r="J627" s="26">
        <f>IF('DIVA Satislari'!I627="","",'DIVA Satislari'!AR627)</f>
        <v/>
      </c>
      <c r="K627" s="26">
        <f>IF('DIVA Satislari'!I627="","",IFERROR(INDEX('E2E Nakliye Montaj'!$AS$3:$AS$1002,MATCH('DIVA Satislari'!AJ627,'E2E Nakliye Montaj'!$AM$3:$AM$1002,0)),"Eşleşme Yok"))</f>
        <v/>
      </c>
      <c r="L627" s="26">
        <f>IF('DIVA Satislari'!I627="","",IFERROR(INDEX('E2E Nakliye Montaj'!$AT$3:$AT$1002,MATCH('DIVA Satislari'!AJ627,'E2E Nakliye Montaj'!$AM$3:$AM$1002,0)),"Hayır"))</f>
        <v/>
      </c>
      <c r="M627" s="26">
        <f>IF('DIVA Satislari'!I627="","",IFERROR(INDEX('E2E Nakliye Montaj'!$AU$3:$AU$1002,MATCH('DIVA Satislari'!AJ627,'E2E Nakliye Montaj'!$AM$3:$AM$1002,0)),"Hayır"))</f>
        <v/>
      </c>
      <c r="N627" s="27">
        <f>IF('DIVA Satislari'!I627="","",IFERROR(INDEX('E2E Nakliye Montaj'!$AV$3:$AV$1002,MATCH('DIVA Satislari'!AJ627,'E2E Nakliye Montaj'!$AM$3:$AM$1002,0)),""))</f>
        <v/>
      </c>
      <c r="O627" s="26">
        <f>IF(OR(A627="",N627=""),"",IF(N627&lt;=H627,"Evet","HAYIR - RİSK"))</f>
        <v/>
      </c>
      <c r="P627" s="26">
        <f>IF(A627="","",IF(LEFT(J627,8)="Kural A ","Uygun - Hemen Ödenir (Yıl Sonu %75 Kontrolüne Tabi)",IF(OR(L627="Evet",M627="Evet"),IF(O627="Evet","Uygun","RİSK - Hakediş Süresi Aşıldı"),"Bekleniyor - Nakliye/Montaj Tamamlanmadı")))</f>
        <v/>
      </c>
      <c r="Q627" s="28">
        <f>IF(A627="","",SUMIFS('Hakedis Fatura Detay'!$G$3:$G$1200,'Hakedis Fatura Detay'!$H$3:$H$1200,'DIVA Satislari'!AJ627,'Hakedis Fatura Detay'!$F$3:$F$1200,"Fiyat Farkı")+SUMIFS('Hakedis Fatura Detay'!$G$3:$G$1200,'Hakedis Fatura Detay'!$H$3:$H$1200,'DIVA Satislari'!AJ627,'Hakedis Fatura Detay'!$F$3:$F$1200,"Bundle"))</f>
        <v/>
      </c>
      <c r="R627" s="28">
        <f>IF(A627="","",I627-Q627)</f>
        <v/>
      </c>
      <c r="S627" s="26">
        <f>IF(A627="","",IF(LEFT(P627,7)="Bekleni","N/A - Henüz Ödenmemeli",IF(LEFT(P627,4)="RİSK","İNCELEME GEREKLİ - Süre Aşımı",IF(R627=0,"Doğru",IF(R627&gt;0,"EKSİK ÖDENMİŞ","FAZLA ÖDENMİŞ")))))</f>
        <v/>
      </c>
      <c r="T627" s="30">
        <f>IF(A627="","",IF(F627&lt;&gt;"Evet","İNCELEME GEREKLİ - Kampanya Tanımsız",IF(G627&lt;&gt;"Evet","İNCELEME GEREKLİ - Tarih Dışı Satış",IF(LEFT(P627,4)="RİSK","İNCELEME GEREKLİ - Hakediş Süresi Aşıldı",IF(OR(S627="EKSİK ÖDENMİŞ",S627="FAZLA ÖDENMİŞ"),"İNCELEME GEREKLİ - Tutar Uyuşmazlığı",IF(LEFT(P627,7)="Bekleni","Bekleniyor","Uygun"))))))</f>
        <v/>
      </c>
    </row>
    <row r="628">
      <c r="A628" s="26">
        <f>IF('DIVA Satislari'!I628="","",'DIVA Satislari'!I628)</f>
        <v/>
      </c>
      <c r="B628" s="26">
        <f>IF('DIVA Satislari'!I628="","",'DIVA Satislari'!R628)</f>
        <v/>
      </c>
      <c r="C628" s="26">
        <f>IF('DIVA Satislari'!I628="","",'DIVA Satislari'!M628)</f>
        <v/>
      </c>
      <c r="D628" s="27">
        <f>IF('DIVA Satislari'!I628="","",'DIVA Satislari'!H628)</f>
        <v/>
      </c>
      <c r="E628" s="26">
        <f>IF('DIVA Satislari'!I628="","",'DIVA Satislari'!O628)</f>
        <v/>
      </c>
      <c r="F628" s="26">
        <f>IF('DIVA Satislari'!I628="","",'DIVA Satislari'!AK628)</f>
        <v/>
      </c>
      <c r="G628" s="26">
        <f>IF('DIVA Satislari'!I628="","",'DIVA Satislari'!AO628)</f>
        <v/>
      </c>
      <c r="H628" s="27">
        <f>IF('DIVA Satislari'!I628="","",'DIVA Satislari'!AN628)</f>
        <v/>
      </c>
      <c r="I628" s="28">
        <f>IF('DIVA Satislari'!I628="","",'DIVA Satislari'!AQ628)</f>
        <v/>
      </c>
      <c r="J628" s="26">
        <f>IF('DIVA Satislari'!I628="","",'DIVA Satislari'!AR628)</f>
        <v/>
      </c>
      <c r="K628" s="26">
        <f>IF('DIVA Satislari'!I628="","",IFERROR(INDEX('E2E Nakliye Montaj'!$AS$3:$AS$1002,MATCH('DIVA Satislari'!AJ628,'E2E Nakliye Montaj'!$AM$3:$AM$1002,0)),"Eşleşme Yok"))</f>
        <v/>
      </c>
      <c r="L628" s="26">
        <f>IF('DIVA Satislari'!I628="","",IFERROR(INDEX('E2E Nakliye Montaj'!$AT$3:$AT$1002,MATCH('DIVA Satislari'!AJ628,'E2E Nakliye Montaj'!$AM$3:$AM$1002,0)),"Hayır"))</f>
        <v/>
      </c>
      <c r="M628" s="26">
        <f>IF('DIVA Satislari'!I628="","",IFERROR(INDEX('E2E Nakliye Montaj'!$AU$3:$AU$1002,MATCH('DIVA Satislari'!AJ628,'E2E Nakliye Montaj'!$AM$3:$AM$1002,0)),"Hayır"))</f>
        <v/>
      </c>
      <c r="N628" s="27">
        <f>IF('DIVA Satislari'!I628="","",IFERROR(INDEX('E2E Nakliye Montaj'!$AV$3:$AV$1002,MATCH('DIVA Satislari'!AJ628,'E2E Nakliye Montaj'!$AM$3:$AM$1002,0)),""))</f>
        <v/>
      </c>
      <c r="O628" s="26">
        <f>IF(OR(A628="",N628=""),"",IF(N628&lt;=H628,"Evet","HAYIR - RİSK"))</f>
        <v/>
      </c>
      <c r="P628" s="26">
        <f>IF(A628="","",IF(LEFT(J628,8)="Kural A ","Uygun - Hemen Ödenir (Yıl Sonu %75 Kontrolüne Tabi)",IF(OR(L628="Evet",M628="Evet"),IF(O628="Evet","Uygun","RİSK - Hakediş Süresi Aşıldı"),"Bekleniyor - Nakliye/Montaj Tamamlanmadı")))</f>
        <v/>
      </c>
      <c r="Q628" s="28">
        <f>IF(A628="","",SUMIFS('Hakedis Fatura Detay'!$G$3:$G$1200,'Hakedis Fatura Detay'!$H$3:$H$1200,'DIVA Satislari'!AJ628,'Hakedis Fatura Detay'!$F$3:$F$1200,"Fiyat Farkı")+SUMIFS('Hakedis Fatura Detay'!$G$3:$G$1200,'Hakedis Fatura Detay'!$H$3:$H$1200,'DIVA Satislari'!AJ628,'Hakedis Fatura Detay'!$F$3:$F$1200,"Bundle"))</f>
        <v/>
      </c>
      <c r="R628" s="28">
        <f>IF(A628="","",I628-Q628)</f>
        <v/>
      </c>
      <c r="S628" s="26">
        <f>IF(A628="","",IF(LEFT(P628,7)="Bekleni","N/A - Henüz Ödenmemeli",IF(LEFT(P628,4)="RİSK","İNCELEME GEREKLİ - Süre Aşımı",IF(R628=0,"Doğru",IF(R628&gt;0,"EKSİK ÖDENMİŞ","FAZLA ÖDENMİŞ")))))</f>
        <v/>
      </c>
      <c r="T628" s="30">
        <f>IF(A628="","",IF(F628&lt;&gt;"Evet","İNCELEME GEREKLİ - Kampanya Tanımsız",IF(G628&lt;&gt;"Evet","İNCELEME GEREKLİ - Tarih Dışı Satış",IF(LEFT(P628,4)="RİSK","İNCELEME GEREKLİ - Hakediş Süresi Aşıldı",IF(OR(S628="EKSİK ÖDENMİŞ",S628="FAZLA ÖDENMİŞ"),"İNCELEME GEREKLİ - Tutar Uyuşmazlığı",IF(LEFT(P628,7)="Bekleni","Bekleniyor","Uygun"))))))</f>
        <v/>
      </c>
    </row>
    <row r="629">
      <c r="A629" s="26">
        <f>IF('DIVA Satislari'!I629="","",'DIVA Satislari'!I629)</f>
        <v/>
      </c>
      <c r="B629" s="26">
        <f>IF('DIVA Satislari'!I629="","",'DIVA Satislari'!R629)</f>
        <v/>
      </c>
      <c r="C629" s="26">
        <f>IF('DIVA Satislari'!I629="","",'DIVA Satislari'!M629)</f>
        <v/>
      </c>
      <c r="D629" s="27">
        <f>IF('DIVA Satislari'!I629="","",'DIVA Satislari'!H629)</f>
        <v/>
      </c>
      <c r="E629" s="26">
        <f>IF('DIVA Satislari'!I629="","",'DIVA Satislari'!O629)</f>
        <v/>
      </c>
      <c r="F629" s="26">
        <f>IF('DIVA Satislari'!I629="","",'DIVA Satislari'!AK629)</f>
        <v/>
      </c>
      <c r="G629" s="26">
        <f>IF('DIVA Satislari'!I629="","",'DIVA Satislari'!AO629)</f>
        <v/>
      </c>
      <c r="H629" s="27">
        <f>IF('DIVA Satislari'!I629="","",'DIVA Satislari'!AN629)</f>
        <v/>
      </c>
      <c r="I629" s="28">
        <f>IF('DIVA Satislari'!I629="","",'DIVA Satislari'!AQ629)</f>
        <v/>
      </c>
      <c r="J629" s="26">
        <f>IF('DIVA Satislari'!I629="","",'DIVA Satislari'!AR629)</f>
        <v/>
      </c>
      <c r="K629" s="26">
        <f>IF('DIVA Satislari'!I629="","",IFERROR(INDEX('E2E Nakliye Montaj'!$AS$3:$AS$1002,MATCH('DIVA Satislari'!AJ629,'E2E Nakliye Montaj'!$AM$3:$AM$1002,0)),"Eşleşme Yok"))</f>
        <v/>
      </c>
      <c r="L629" s="26">
        <f>IF('DIVA Satislari'!I629="","",IFERROR(INDEX('E2E Nakliye Montaj'!$AT$3:$AT$1002,MATCH('DIVA Satislari'!AJ629,'E2E Nakliye Montaj'!$AM$3:$AM$1002,0)),"Hayır"))</f>
        <v/>
      </c>
      <c r="M629" s="26">
        <f>IF('DIVA Satislari'!I629="","",IFERROR(INDEX('E2E Nakliye Montaj'!$AU$3:$AU$1002,MATCH('DIVA Satislari'!AJ629,'E2E Nakliye Montaj'!$AM$3:$AM$1002,0)),"Hayır"))</f>
        <v/>
      </c>
      <c r="N629" s="27">
        <f>IF('DIVA Satislari'!I629="","",IFERROR(INDEX('E2E Nakliye Montaj'!$AV$3:$AV$1002,MATCH('DIVA Satislari'!AJ629,'E2E Nakliye Montaj'!$AM$3:$AM$1002,0)),""))</f>
        <v/>
      </c>
      <c r="O629" s="26">
        <f>IF(OR(A629="",N629=""),"",IF(N629&lt;=H629,"Evet","HAYIR - RİSK"))</f>
        <v/>
      </c>
      <c r="P629" s="26">
        <f>IF(A629="","",IF(LEFT(J629,8)="Kural A ","Uygun - Hemen Ödenir (Yıl Sonu %75 Kontrolüne Tabi)",IF(OR(L629="Evet",M629="Evet"),IF(O629="Evet","Uygun","RİSK - Hakediş Süresi Aşıldı"),"Bekleniyor - Nakliye/Montaj Tamamlanmadı")))</f>
        <v/>
      </c>
      <c r="Q629" s="28">
        <f>IF(A629="","",SUMIFS('Hakedis Fatura Detay'!$G$3:$G$1200,'Hakedis Fatura Detay'!$H$3:$H$1200,'DIVA Satislari'!AJ629,'Hakedis Fatura Detay'!$F$3:$F$1200,"Fiyat Farkı")+SUMIFS('Hakedis Fatura Detay'!$G$3:$G$1200,'Hakedis Fatura Detay'!$H$3:$H$1200,'DIVA Satislari'!AJ629,'Hakedis Fatura Detay'!$F$3:$F$1200,"Bundle"))</f>
        <v/>
      </c>
      <c r="R629" s="28">
        <f>IF(A629="","",I629-Q629)</f>
        <v/>
      </c>
      <c r="S629" s="26">
        <f>IF(A629="","",IF(LEFT(P629,7)="Bekleni","N/A - Henüz Ödenmemeli",IF(LEFT(P629,4)="RİSK","İNCELEME GEREKLİ - Süre Aşımı",IF(R629=0,"Doğru",IF(R629&gt;0,"EKSİK ÖDENMİŞ","FAZLA ÖDENMİŞ")))))</f>
        <v/>
      </c>
      <c r="T629" s="30">
        <f>IF(A629="","",IF(F629&lt;&gt;"Evet","İNCELEME GEREKLİ - Kampanya Tanımsız",IF(G629&lt;&gt;"Evet","İNCELEME GEREKLİ - Tarih Dışı Satış",IF(LEFT(P629,4)="RİSK","İNCELEME GEREKLİ - Hakediş Süresi Aşıldı",IF(OR(S629="EKSİK ÖDENMİŞ",S629="FAZLA ÖDENMİŞ"),"İNCELEME GEREKLİ - Tutar Uyuşmazlığı",IF(LEFT(P629,7)="Bekleni","Bekleniyor","Uygun"))))))</f>
        <v/>
      </c>
    </row>
    <row r="630">
      <c r="A630" s="26">
        <f>IF('DIVA Satislari'!I630="","",'DIVA Satislari'!I630)</f>
        <v/>
      </c>
      <c r="B630" s="26">
        <f>IF('DIVA Satislari'!I630="","",'DIVA Satislari'!R630)</f>
        <v/>
      </c>
      <c r="C630" s="26">
        <f>IF('DIVA Satislari'!I630="","",'DIVA Satislari'!M630)</f>
        <v/>
      </c>
      <c r="D630" s="27">
        <f>IF('DIVA Satislari'!I630="","",'DIVA Satislari'!H630)</f>
        <v/>
      </c>
      <c r="E630" s="26">
        <f>IF('DIVA Satislari'!I630="","",'DIVA Satislari'!O630)</f>
        <v/>
      </c>
      <c r="F630" s="26">
        <f>IF('DIVA Satislari'!I630="","",'DIVA Satislari'!AK630)</f>
        <v/>
      </c>
      <c r="G630" s="26">
        <f>IF('DIVA Satislari'!I630="","",'DIVA Satislari'!AO630)</f>
        <v/>
      </c>
      <c r="H630" s="27">
        <f>IF('DIVA Satislari'!I630="","",'DIVA Satislari'!AN630)</f>
        <v/>
      </c>
      <c r="I630" s="28">
        <f>IF('DIVA Satislari'!I630="","",'DIVA Satislari'!AQ630)</f>
        <v/>
      </c>
      <c r="J630" s="26">
        <f>IF('DIVA Satislari'!I630="","",'DIVA Satislari'!AR630)</f>
        <v/>
      </c>
      <c r="K630" s="26">
        <f>IF('DIVA Satislari'!I630="","",IFERROR(INDEX('E2E Nakliye Montaj'!$AS$3:$AS$1002,MATCH('DIVA Satislari'!AJ630,'E2E Nakliye Montaj'!$AM$3:$AM$1002,0)),"Eşleşme Yok"))</f>
        <v/>
      </c>
      <c r="L630" s="26">
        <f>IF('DIVA Satislari'!I630="","",IFERROR(INDEX('E2E Nakliye Montaj'!$AT$3:$AT$1002,MATCH('DIVA Satislari'!AJ630,'E2E Nakliye Montaj'!$AM$3:$AM$1002,0)),"Hayır"))</f>
        <v/>
      </c>
      <c r="M630" s="26">
        <f>IF('DIVA Satislari'!I630="","",IFERROR(INDEX('E2E Nakliye Montaj'!$AU$3:$AU$1002,MATCH('DIVA Satislari'!AJ630,'E2E Nakliye Montaj'!$AM$3:$AM$1002,0)),"Hayır"))</f>
        <v/>
      </c>
      <c r="N630" s="27">
        <f>IF('DIVA Satislari'!I630="","",IFERROR(INDEX('E2E Nakliye Montaj'!$AV$3:$AV$1002,MATCH('DIVA Satislari'!AJ630,'E2E Nakliye Montaj'!$AM$3:$AM$1002,0)),""))</f>
        <v/>
      </c>
      <c r="O630" s="26">
        <f>IF(OR(A630="",N630=""),"",IF(N630&lt;=H630,"Evet","HAYIR - RİSK"))</f>
        <v/>
      </c>
      <c r="P630" s="26">
        <f>IF(A630="","",IF(LEFT(J630,8)="Kural A ","Uygun - Hemen Ödenir (Yıl Sonu %75 Kontrolüne Tabi)",IF(OR(L630="Evet",M630="Evet"),IF(O630="Evet","Uygun","RİSK - Hakediş Süresi Aşıldı"),"Bekleniyor - Nakliye/Montaj Tamamlanmadı")))</f>
        <v/>
      </c>
      <c r="Q630" s="28">
        <f>IF(A630="","",SUMIFS('Hakedis Fatura Detay'!$G$3:$G$1200,'Hakedis Fatura Detay'!$H$3:$H$1200,'DIVA Satislari'!AJ630,'Hakedis Fatura Detay'!$F$3:$F$1200,"Fiyat Farkı")+SUMIFS('Hakedis Fatura Detay'!$G$3:$G$1200,'Hakedis Fatura Detay'!$H$3:$H$1200,'DIVA Satislari'!AJ630,'Hakedis Fatura Detay'!$F$3:$F$1200,"Bundle"))</f>
        <v/>
      </c>
      <c r="R630" s="28">
        <f>IF(A630="","",I630-Q630)</f>
        <v/>
      </c>
      <c r="S630" s="26">
        <f>IF(A630="","",IF(LEFT(P630,7)="Bekleni","N/A - Henüz Ödenmemeli",IF(LEFT(P630,4)="RİSK","İNCELEME GEREKLİ - Süre Aşımı",IF(R630=0,"Doğru",IF(R630&gt;0,"EKSİK ÖDENMİŞ","FAZLA ÖDENMİŞ")))))</f>
        <v/>
      </c>
      <c r="T630" s="30">
        <f>IF(A630="","",IF(F630&lt;&gt;"Evet","İNCELEME GEREKLİ - Kampanya Tanımsız",IF(G630&lt;&gt;"Evet","İNCELEME GEREKLİ - Tarih Dışı Satış",IF(LEFT(P630,4)="RİSK","İNCELEME GEREKLİ - Hakediş Süresi Aşıldı",IF(OR(S630="EKSİK ÖDENMİŞ",S630="FAZLA ÖDENMİŞ"),"İNCELEME GEREKLİ - Tutar Uyuşmazlığı",IF(LEFT(P630,7)="Bekleni","Bekleniyor","Uygun"))))))</f>
        <v/>
      </c>
    </row>
    <row r="631">
      <c r="A631" s="26">
        <f>IF('DIVA Satislari'!I631="","",'DIVA Satislari'!I631)</f>
        <v/>
      </c>
      <c r="B631" s="26">
        <f>IF('DIVA Satislari'!I631="","",'DIVA Satislari'!R631)</f>
        <v/>
      </c>
      <c r="C631" s="26">
        <f>IF('DIVA Satislari'!I631="","",'DIVA Satislari'!M631)</f>
        <v/>
      </c>
      <c r="D631" s="27">
        <f>IF('DIVA Satislari'!I631="","",'DIVA Satislari'!H631)</f>
        <v/>
      </c>
      <c r="E631" s="26">
        <f>IF('DIVA Satislari'!I631="","",'DIVA Satislari'!O631)</f>
        <v/>
      </c>
      <c r="F631" s="26">
        <f>IF('DIVA Satislari'!I631="","",'DIVA Satislari'!AK631)</f>
        <v/>
      </c>
      <c r="G631" s="26">
        <f>IF('DIVA Satislari'!I631="","",'DIVA Satislari'!AO631)</f>
        <v/>
      </c>
      <c r="H631" s="27">
        <f>IF('DIVA Satislari'!I631="","",'DIVA Satislari'!AN631)</f>
        <v/>
      </c>
      <c r="I631" s="28">
        <f>IF('DIVA Satislari'!I631="","",'DIVA Satislari'!AQ631)</f>
        <v/>
      </c>
      <c r="J631" s="26">
        <f>IF('DIVA Satislari'!I631="","",'DIVA Satislari'!AR631)</f>
        <v/>
      </c>
      <c r="K631" s="26">
        <f>IF('DIVA Satislari'!I631="","",IFERROR(INDEX('E2E Nakliye Montaj'!$AS$3:$AS$1002,MATCH('DIVA Satislari'!AJ631,'E2E Nakliye Montaj'!$AM$3:$AM$1002,0)),"Eşleşme Yok"))</f>
        <v/>
      </c>
      <c r="L631" s="26">
        <f>IF('DIVA Satislari'!I631="","",IFERROR(INDEX('E2E Nakliye Montaj'!$AT$3:$AT$1002,MATCH('DIVA Satislari'!AJ631,'E2E Nakliye Montaj'!$AM$3:$AM$1002,0)),"Hayır"))</f>
        <v/>
      </c>
      <c r="M631" s="26">
        <f>IF('DIVA Satislari'!I631="","",IFERROR(INDEX('E2E Nakliye Montaj'!$AU$3:$AU$1002,MATCH('DIVA Satislari'!AJ631,'E2E Nakliye Montaj'!$AM$3:$AM$1002,0)),"Hayır"))</f>
        <v/>
      </c>
      <c r="N631" s="27">
        <f>IF('DIVA Satislari'!I631="","",IFERROR(INDEX('E2E Nakliye Montaj'!$AV$3:$AV$1002,MATCH('DIVA Satislari'!AJ631,'E2E Nakliye Montaj'!$AM$3:$AM$1002,0)),""))</f>
        <v/>
      </c>
      <c r="O631" s="26">
        <f>IF(OR(A631="",N631=""),"",IF(N631&lt;=H631,"Evet","HAYIR - RİSK"))</f>
        <v/>
      </c>
      <c r="P631" s="26">
        <f>IF(A631="","",IF(LEFT(J631,8)="Kural A ","Uygun - Hemen Ödenir (Yıl Sonu %75 Kontrolüne Tabi)",IF(OR(L631="Evet",M631="Evet"),IF(O631="Evet","Uygun","RİSK - Hakediş Süresi Aşıldı"),"Bekleniyor - Nakliye/Montaj Tamamlanmadı")))</f>
        <v/>
      </c>
      <c r="Q631" s="28">
        <f>IF(A631="","",SUMIFS('Hakedis Fatura Detay'!$G$3:$G$1200,'Hakedis Fatura Detay'!$H$3:$H$1200,'DIVA Satislari'!AJ631,'Hakedis Fatura Detay'!$F$3:$F$1200,"Fiyat Farkı")+SUMIFS('Hakedis Fatura Detay'!$G$3:$G$1200,'Hakedis Fatura Detay'!$H$3:$H$1200,'DIVA Satislari'!AJ631,'Hakedis Fatura Detay'!$F$3:$F$1200,"Bundle"))</f>
        <v/>
      </c>
      <c r="R631" s="28">
        <f>IF(A631="","",I631-Q631)</f>
        <v/>
      </c>
      <c r="S631" s="26">
        <f>IF(A631="","",IF(LEFT(P631,7)="Bekleni","N/A - Henüz Ödenmemeli",IF(LEFT(P631,4)="RİSK","İNCELEME GEREKLİ - Süre Aşımı",IF(R631=0,"Doğru",IF(R631&gt;0,"EKSİK ÖDENMİŞ","FAZLA ÖDENMİŞ")))))</f>
        <v/>
      </c>
      <c r="T631" s="30">
        <f>IF(A631="","",IF(F631&lt;&gt;"Evet","İNCELEME GEREKLİ - Kampanya Tanımsız",IF(G631&lt;&gt;"Evet","İNCELEME GEREKLİ - Tarih Dışı Satış",IF(LEFT(P631,4)="RİSK","İNCELEME GEREKLİ - Hakediş Süresi Aşıldı",IF(OR(S631="EKSİK ÖDENMİŞ",S631="FAZLA ÖDENMİŞ"),"İNCELEME GEREKLİ - Tutar Uyuşmazlığı",IF(LEFT(P631,7)="Bekleni","Bekleniyor","Uygun"))))))</f>
        <v/>
      </c>
    </row>
    <row r="632">
      <c r="A632" s="26">
        <f>IF('DIVA Satislari'!I632="","",'DIVA Satislari'!I632)</f>
        <v/>
      </c>
      <c r="B632" s="26">
        <f>IF('DIVA Satislari'!I632="","",'DIVA Satislari'!R632)</f>
        <v/>
      </c>
      <c r="C632" s="26">
        <f>IF('DIVA Satislari'!I632="","",'DIVA Satislari'!M632)</f>
        <v/>
      </c>
      <c r="D632" s="27">
        <f>IF('DIVA Satislari'!I632="","",'DIVA Satislari'!H632)</f>
        <v/>
      </c>
      <c r="E632" s="26">
        <f>IF('DIVA Satislari'!I632="","",'DIVA Satislari'!O632)</f>
        <v/>
      </c>
      <c r="F632" s="26">
        <f>IF('DIVA Satislari'!I632="","",'DIVA Satislari'!AK632)</f>
        <v/>
      </c>
      <c r="G632" s="26">
        <f>IF('DIVA Satislari'!I632="","",'DIVA Satislari'!AO632)</f>
        <v/>
      </c>
      <c r="H632" s="27">
        <f>IF('DIVA Satislari'!I632="","",'DIVA Satislari'!AN632)</f>
        <v/>
      </c>
      <c r="I632" s="28">
        <f>IF('DIVA Satislari'!I632="","",'DIVA Satislari'!AQ632)</f>
        <v/>
      </c>
      <c r="J632" s="26">
        <f>IF('DIVA Satislari'!I632="","",'DIVA Satislari'!AR632)</f>
        <v/>
      </c>
      <c r="K632" s="26">
        <f>IF('DIVA Satislari'!I632="","",IFERROR(INDEX('E2E Nakliye Montaj'!$AS$3:$AS$1002,MATCH('DIVA Satislari'!AJ632,'E2E Nakliye Montaj'!$AM$3:$AM$1002,0)),"Eşleşme Yok"))</f>
        <v/>
      </c>
      <c r="L632" s="26">
        <f>IF('DIVA Satislari'!I632="","",IFERROR(INDEX('E2E Nakliye Montaj'!$AT$3:$AT$1002,MATCH('DIVA Satislari'!AJ632,'E2E Nakliye Montaj'!$AM$3:$AM$1002,0)),"Hayır"))</f>
        <v/>
      </c>
      <c r="M632" s="26">
        <f>IF('DIVA Satislari'!I632="","",IFERROR(INDEX('E2E Nakliye Montaj'!$AU$3:$AU$1002,MATCH('DIVA Satislari'!AJ632,'E2E Nakliye Montaj'!$AM$3:$AM$1002,0)),"Hayır"))</f>
        <v/>
      </c>
      <c r="N632" s="27">
        <f>IF('DIVA Satislari'!I632="","",IFERROR(INDEX('E2E Nakliye Montaj'!$AV$3:$AV$1002,MATCH('DIVA Satislari'!AJ632,'E2E Nakliye Montaj'!$AM$3:$AM$1002,0)),""))</f>
        <v/>
      </c>
      <c r="O632" s="26">
        <f>IF(OR(A632="",N632=""),"",IF(N632&lt;=H632,"Evet","HAYIR - RİSK"))</f>
        <v/>
      </c>
      <c r="P632" s="26">
        <f>IF(A632="","",IF(LEFT(J632,8)="Kural A ","Uygun - Hemen Ödenir (Yıl Sonu %75 Kontrolüne Tabi)",IF(OR(L632="Evet",M632="Evet"),IF(O632="Evet","Uygun","RİSK - Hakediş Süresi Aşıldı"),"Bekleniyor - Nakliye/Montaj Tamamlanmadı")))</f>
        <v/>
      </c>
      <c r="Q632" s="28">
        <f>IF(A632="","",SUMIFS('Hakedis Fatura Detay'!$G$3:$G$1200,'Hakedis Fatura Detay'!$H$3:$H$1200,'DIVA Satislari'!AJ632,'Hakedis Fatura Detay'!$F$3:$F$1200,"Fiyat Farkı")+SUMIFS('Hakedis Fatura Detay'!$G$3:$G$1200,'Hakedis Fatura Detay'!$H$3:$H$1200,'DIVA Satislari'!AJ632,'Hakedis Fatura Detay'!$F$3:$F$1200,"Bundle"))</f>
        <v/>
      </c>
      <c r="R632" s="28">
        <f>IF(A632="","",I632-Q632)</f>
        <v/>
      </c>
      <c r="S632" s="26">
        <f>IF(A632="","",IF(LEFT(P632,7)="Bekleni","N/A - Henüz Ödenmemeli",IF(LEFT(P632,4)="RİSK","İNCELEME GEREKLİ - Süre Aşımı",IF(R632=0,"Doğru",IF(R632&gt;0,"EKSİK ÖDENMİŞ","FAZLA ÖDENMİŞ")))))</f>
        <v/>
      </c>
      <c r="T632" s="30">
        <f>IF(A632="","",IF(F632&lt;&gt;"Evet","İNCELEME GEREKLİ - Kampanya Tanımsız",IF(G632&lt;&gt;"Evet","İNCELEME GEREKLİ - Tarih Dışı Satış",IF(LEFT(P632,4)="RİSK","İNCELEME GEREKLİ - Hakediş Süresi Aşıldı",IF(OR(S632="EKSİK ÖDENMİŞ",S632="FAZLA ÖDENMİŞ"),"İNCELEME GEREKLİ - Tutar Uyuşmazlığı",IF(LEFT(P632,7)="Bekleni","Bekleniyor","Uygun"))))))</f>
        <v/>
      </c>
    </row>
    <row r="633">
      <c r="A633" s="26">
        <f>IF('DIVA Satislari'!I633="","",'DIVA Satislari'!I633)</f>
        <v/>
      </c>
      <c r="B633" s="26">
        <f>IF('DIVA Satislari'!I633="","",'DIVA Satislari'!R633)</f>
        <v/>
      </c>
      <c r="C633" s="26">
        <f>IF('DIVA Satislari'!I633="","",'DIVA Satislari'!M633)</f>
        <v/>
      </c>
      <c r="D633" s="27">
        <f>IF('DIVA Satislari'!I633="","",'DIVA Satislari'!H633)</f>
        <v/>
      </c>
      <c r="E633" s="26">
        <f>IF('DIVA Satislari'!I633="","",'DIVA Satislari'!O633)</f>
        <v/>
      </c>
      <c r="F633" s="26">
        <f>IF('DIVA Satislari'!I633="","",'DIVA Satislari'!AK633)</f>
        <v/>
      </c>
      <c r="G633" s="26">
        <f>IF('DIVA Satislari'!I633="","",'DIVA Satislari'!AO633)</f>
        <v/>
      </c>
      <c r="H633" s="27">
        <f>IF('DIVA Satislari'!I633="","",'DIVA Satislari'!AN633)</f>
        <v/>
      </c>
      <c r="I633" s="28">
        <f>IF('DIVA Satislari'!I633="","",'DIVA Satislari'!AQ633)</f>
        <v/>
      </c>
      <c r="J633" s="26">
        <f>IF('DIVA Satislari'!I633="","",'DIVA Satislari'!AR633)</f>
        <v/>
      </c>
      <c r="K633" s="26">
        <f>IF('DIVA Satislari'!I633="","",IFERROR(INDEX('E2E Nakliye Montaj'!$AS$3:$AS$1002,MATCH('DIVA Satislari'!AJ633,'E2E Nakliye Montaj'!$AM$3:$AM$1002,0)),"Eşleşme Yok"))</f>
        <v/>
      </c>
      <c r="L633" s="26">
        <f>IF('DIVA Satislari'!I633="","",IFERROR(INDEX('E2E Nakliye Montaj'!$AT$3:$AT$1002,MATCH('DIVA Satislari'!AJ633,'E2E Nakliye Montaj'!$AM$3:$AM$1002,0)),"Hayır"))</f>
        <v/>
      </c>
      <c r="M633" s="26">
        <f>IF('DIVA Satislari'!I633="","",IFERROR(INDEX('E2E Nakliye Montaj'!$AU$3:$AU$1002,MATCH('DIVA Satislari'!AJ633,'E2E Nakliye Montaj'!$AM$3:$AM$1002,0)),"Hayır"))</f>
        <v/>
      </c>
      <c r="N633" s="27">
        <f>IF('DIVA Satislari'!I633="","",IFERROR(INDEX('E2E Nakliye Montaj'!$AV$3:$AV$1002,MATCH('DIVA Satislari'!AJ633,'E2E Nakliye Montaj'!$AM$3:$AM$1002,0)),""))</f>
        <v/>
      </c>
      <c r="O633" s="26">
        <f>IF(OR(A633="",N633=""),"",IF(N633&lt;=H633,"Evet","HAYIR - RİSK"))</f>
        <v/>
      </c>
      <c r="P633" s="26">
        <f>IF(A633="","",IF(LEFT(J633,8)="Kural A ","Uygun - Hemen Ödenir (Yıl Sonu %75 Kontrolüne Tabi)",IF(OR(L633="Evet",M633="Evet"),IF(O633="Evet","Uygun","RİSK - Hakediş Süresi Aşıldı"),"Bekleniyor - Nakliye/Montaj Tamamlanmadı")))</f>
        <v/>
      </c>
      <c r="Q633" s="28">
        <f>IF(A633="","",SUMIFS('Hakedis Fatura Detay'!$G$3:$G$1200,'Hakedis Fatura Detay'!$H$3:$H$1200,'DIVA Satislari'!AJ633,'Hakedis Fatura Detay'!$F$3:$F$1200,"Fiyat Farkı")+SUMIFS('Hakedis Fatura Detay'!$G$3:$G$1200,'Hakedis Fatura Detay'!$H$3:$H$1200,'DIVA Satislari'!AJ633,'Hakedis Fatura Detay'!$F$3:$F$1200,"Bundle"))</f>
        <v/>
      </c>
      <c r="R633" s="28">
        <f>IF(A633="","",I633-Q633)</f>
        <v/>
      </c>
      <c r="S633" s="26">
        <f>IF(A633="","",IF(LEFT(P633,7)="Bekleni","N/A - Henüz Ödenmemeli",IF(LEFT(P633,4)="RİSK","İNCELEME GEREKLİ - Süre Aşımı",IF(R633=0,"Doğru",IF(R633&gt;0,"EKSİK ÖDENMİŞ","FAZLA ÖDENMİŞ")))))</f>
        <v/>
      </c>
      <c r="T633" s="30">
        <f>IF(A633="","",IF(F633&lt;&gt;"Evet","İNCELEME GEREKLİ - Kampanya Tanımsız",IF(G633&lt;&gt;"Evet","İNCELEME GEREKLİ - Tarih Dışı Satış",IF(LEFT(P633,4)="RİSK","İNCELEME GEREKLİ - Hakediş Süresi Aşıldı",IF(OR(S633="EKSİK ÖDENMİŞ",S633="FAZLA ÖDENMİŞ"),"İNCELEME GEREKLİ - Tutar Uyuşmazlığı",IF(LEFT(P633,7)="Bekleni","Bekleniyor","Uygun"))))))</f>
        <v/>
      </c>
    </row>
    <row r="634">
      <c r="A634" s="26">
        <f>IF('DIVA Satislari'!I634="","",'DIVA Satislari'!I634)</f>
        <v/>
      </c>
      <c r="B634" s="26">
        <f>IF('DIVA Satislari'!I634="","",'DIVA Satislari'!R634)</f>
        <v/>
      </c>
      <c r="C634" s="26">
        <f>IF('DIVA Satislari'!I634="","",'DIVA Satislari'!M634)</f>
        <v/>
      </c>
      <c r="D634" s="27">
        <f>IF('DIVA Satislari'!I634="","",'DIVA Satislari'!H634)</f>
        <v/>
      </c>
      <c r="E634" s="26">
        <f>IF('DIVA Satislari'!I634="","",'DIVA Satislari'!O634)</f>
        <v/>
      </c>
      <c r="F634" s="26">
        <f>IF('DIVA Satislari'!I634="","",'DIVA Satislari'!AK634)</f>
        <v/>
      </c>
      <c r="G634" s="26">
        <f>IF('DIVA Satislari'!I634="","",'DIVA Satislari'!AO634)</f>
        <v/>
      </c>
      <c r="H634" s="27">
        <f>IF('DIVA Satislari'!I634="","",'DIVA Satislari'!AN634)</f>
        <v/>
      </c>
      <c r="I634" s="28">
        <f>IF('DIVA Satislari'!I634="","",'DIVA Satislari'!AQ634)</f>
        <v/>
      </c>
      <c r="J634" s="26">
        <f>IF('DIVA Satislari'!I634="","",'DIVA Satislari'!AR634)</f>
        <v/>
      </c>
      <c r="K634" s="26">
        <f>IF('DIVA Satislari'!I634="","",IFERROR(INDEX('E2E Nakliye Montaj'!$AS$3:$AS$1002,MATCH('DIVA Satislari'!AJ634,'E2E Nakliye Montaj'!$AM$3:$AM$1002,0)),"Eşleşme Yok"))</f>
        <v/>
      </c>
      <c r="L634" s="26">
        <f>IF('DIVA Satislari'!I634="","",IFERROR(INDEX('E2E Nakliye Montaj'!$AT$3:$AT$1002,MATCH('DIVA Satislari'!AJ634,'E2E Nakliye Montaj'!$AM$3:$AM$1002,0)),"Hayır"))</f>
        <v/>
      </c>
      <c r="M634" s="26">
        <f>IF('DIVA Satislari'!I634="","",IFERROR(INDEX('E2E Nakliye Montaj'!$AU$3:$AU$1002,MATCH('DIVA Satislari'!AJ634,'E2E Nakliye Montaj'!$AM$3:$AM$1002,0)),"Hayır"))</f>
        <v/>
      </c>
      <c r="N634" s="27">
        <f>IF('DIVA Satislari'!I634="","",IFERROR(INDEX('E2E Nakliye Montaj'!$AV$3:$AV$1002,MATCH('DIVA Satislari'!AJ634,'E2E Nakliye Montaj'!$AM$3:$AM$1002,0)),""))</f>
        <v/>
      </c>
      <c r="O634" s="26">
        <f>IF(OR(A634="",N634=""),"",IF(N634&lt;=H634,"Evet","HAYIR - RİSK"))</f>
        <v/>
      </c>
      <c r="P634" s="26">
        <f>IF(A634="","",IF(LEFT(J634,8)="Kural A ","Uygun - Hemen Ödenir (Yıl Sonu %75 Kontrolüne Tabi)",IF(OR(L634="Evet",M634="Evet"),IF(O634="Evet","Uygun","RİSK - Hakediş Süresi Aşıldı"),"Bekleniyor - Nakliye/Montaj Tamamlanmadı")))</f>
        <v/>
      </c>
      <c r="Q634" s="28">
        <f>IF(A634="","",SUMIFS('Hakedis Fatura Detay'!$G$3:$G$1200,'Hakedis Fatura Detay'!$H$3:$H$1200,'DIVA Satislari'!AJ634,'Hakedis Fatura Detay'!$F$3:$F$1200,"Fiyat Farkı")+SUMIFS('Hakedis Fatura Detay'!$G$3:$G$1200,'Hakedis Fatura Detay'!$H$3:$H$1200,'DIVA Satislari'!AJ634,'Hakedis Fatura Detay'!$F$3:$F$1200,"Bundle"))</f>
        <v/>
      </c>
      <c r="R634" s="28">
        <f>IF(A634="","",I634-Q634)</f>
        <v/>
      </c>
      <c r="S634" s="26">
        <f>IF(A634="","",IF(LEFT(P634,7)="Bekleni","N/A - Henüz Ödenmemeli",IF(LEFT(P634,4)="RİSK","İNCELEME GEREKLİ - Süre Aşımı",IF(R634=0,"Doğru",IF(R634&gt;0,"EKSİK ÖDENMİŞ","FAZLA ÖDENMİŞ")))))</f>
        <v/>
      </c>
      <c r="T634" s="30">
        <f>IF(A634="","",IF(F634&lt;&gt;"Evet","İNCELEME GEREKLİ - Kampanya Tanımsız",IF(G634&lt;&gt;"Evet","İNCELEME GEREKLİ - Tarih Dışı Satış",IF(LEFT(P634,4)="RİSK","İNCELEME GEREKLİ - Hakediş Süresi Aşıldı",IF(OR(S634="EKSİK ÖDENMİŞ",S634="FAZLA ÖDENMİŞ"),"İNCELEME GEREKLİ - Tutar Uyuşmazlığı",IF(LEFT(P634,7)="Bekleni","Bekleniyor","Uygun"))))))</f>
        <v/>
      </c>
    </row>
    <row r="635">
      <c r="A635" s="26">
        <f>IF('DIVA Satislari'!I635="","",'DIVA Satislari'!I635)</f>
        <v/>
      </c>
      <c r="B635" s="26">
        <f>IF('DIVA Satislari'!I635="","",'DIVA Satislari'!R635)</f>
        <v/>
      </c>
      <c r="C635" s="26">
        <f>IF('DIVA Satislari'!I635="","",'DIVA Satislari'!M635)</f>
        <v/>
      </c>
      <c r="D635" s="27">
        <f>IF('DIVA Satislari'!I635="","",'DIVA Satislari'!H635)</f>
        <v/>
      </c>
      <c r="E635" s="26">
        <f>IF('DIVA Satislari'!I635="","",'DIVA Satislari'!O635)</f>
        <v/>
      </c>
      <c r="F635" s="26">
        <f>IF('DIVA Satislari'!I635="","",'DIVA Satislari'!AK635)</f>
        <v/>
      </c>
      <c r="G635" s="26">
        <f>IF('DIVA Satislari'!I635="","",'DIVA Satislari'!AO635)</f>
        <v/>
      </c>
      <c r="H635" s="27">
        <f>IF('DIVA Satislari'!I635="","",'DIVA Satislari'!AN635)</f>
        <v/>
      </c>
      <c r="I635" s="28">
        <f>IF('DIVA Satislari'!I635="","",'DIVA Satislari'!AQ635)</f>
        <v/>
      </c>
      <c r="J635" s="26">
        <f>IF('DIVA Satislari'!I635="","",'DIVA Satislari'!AR635)</f>
        <v/>
      </c>
      <c r="K635" s="26">
        <f>IF('DIVA Satislari'!I635="","",IFERROR(INDEX('E2E Nakliye Montaj'!$AS$3:$AS$1002,MATCH('DIVA Satislari'!AJ635,'E2E Nakliye Montaj'!$AM$3:$AM$1002,0)),"Eşleşme Yok"))</f>
        <v/>
      </c>
      <c r="L635" s="26">
        <f>IF('DIVA Satislari'!I635="","",IFERROR(INDEX('E2E Nakliye Montaj'!$AT$3:$AT$1002,MATCH('DIVA Satislari'!AJ635,'E2E Nakliye Montaj'!$AM$3:$AM$1002,0)),"Hayır"))</f>
        <v/>
      </c>
      <c r="M635" s="26">
        <f>IF('DIVA Satislari'!I635="","",IFERROR(INDEX('E2E Nakliye Montaj'!$AU$3:$AU$1002,MATCH('DIVA Satislari'!AJ635,'E2E Nakliye Montaj'!$AM$3:$AM$1002,0)),"Hayır"))</f>
        <v/>
      </c>
      <c r="N635" s="27">
        <f>IF('DIVA Satislari'!I635="","",IFERROR(INDEX('E2E Nakliye Montaj'!$AV$3:$AV$1002,MATCH('DIVA Satislari'!AJ635,'E2E Nakliye Montaj'!$AM$3:$AM$1002,0)),""))</f>
        <v/>
      </c>
      <c r="O635" s="26">
        <f>IF(OR(A635="",N635=""),"",IF(N635&lt;=H635,"Evet","HAYIR - RİSK"))</f>
        <v/>
      </c>
      <c r="P635" s="26">
        <f>IF(A635="","",IF(LEFT(J635,8)="Kural A ","Uygun - Hemen Ödenir (Yıl Sonu %75 Kontrolüne Tabi)",IF(OR(L635="Evet",M635="Evet"),IF(O635="Evet","Uygun","RİSK - Hakediş Süresi Aşıldı"),"Bekleniyor - Nakliye/Montaj Tamamlanmadı")))</f>
        <v/>
      </c>
      <c r="Q635" s="28">
        <f>IF(A635="","",SUMIFS('Hakedis Fatura Detay'!$G$3:$G$1200,'Hakedis Fatura Detay'!$H$3:$H$1200,'DIVA Satislari'!AJ635,'Hakedis Fatura Detay'!$F$3:$F$1200,"Fiyat Farkı")+SUMIFS('Hakedis Fatura Detay'!$G$3:$G$1200,'Hakedis Fatura Detay'!$H$3:$H$1200,'DIVA Satislari'!AJ635,'Hakedis Fatura Detay'!$F$3:$F$1200,"Bundle"))</f>
        <v/>
      </c>
      <c r="R635" s="28">
        <f>IF(A635="","",I635-Q635)</f>
        <v/>
      </c>
      <c r="S635" s="26">
        <f>IF(A635="","",IF(LEFT(P635,7)="Bekleni","N/A - Henüz Ödenmemeli",IF(LEFT(P635,4)="RİSK","İNCELEME GEREKLİ - Süre Aşımı",IF(R635=0,"Doğru",IF(R635&gt;0,"EKSİK ÖDENMİŞ","FAZLA ÖDENMİŞ")))))</f>
        <v/>
      </c>
      <c r="T635" s="30">
        <f>IF(A635="","",IF(F635&lt;&gt;"Evet","İNCELEME GEREKLİ - Kampanya Tanımsız",IF(G635&lt;&gt;"Evet","İNCELEME GEREKLİ - Tarih Dışı Satış",IF(LEFT(P635,4)="RİSK","İNCELEME GEREKLİ - Hakediş Süresi Aşıldı",IF(OR(S635="EKSİK ÖDENMİŞ",S635="FAZLA ÖDENMİŞ"),"İNCELEME GEREKLİ - Tutar Uyuşmazlığı",IF(LEFT(P635,7)="Bekleni","Bekleniyor","Uygun"))))))</f>
        <v/>
      </c>
    </row>
    <row r="636">
      <c r="A636" s="26">
        <f>IF('DIVA Satislari'!I636="","",'DIVA Satislari'!I636)</f>
        <v/>
      </c>
      <c r="B636" s="26">
        <f>IF('DIVA Satislari'!I636="","",'DIVA Satislari'!R636)</f>
        <v/>
      </c>
      <c r="C636" s="26">
        <f>IF('DIVA Satislari'!I636="","",'DIVA Satislari'!M636)</f>
        <v/>
      </c>
      <c r="D636" s="27">
        <f>IF('DIVA Satislari'!I636="","",'DIVA Satislari'!H636)</f>
        <v/>
      </c>
      <c r="E636" s="26">
        <f>IF('DIVA Satislari'!I636="","",'DIVA Satislari'!O636)</f>
        <v/>
      </c>
      <c r="F636" s="26">
        <f>IF('DIVA Satislari'!I636="","",'DIVA Satislari'!AK636)</f>
        <v/>
      </c>
      <c r="G636" s="26">
        <f>IF('DIVA Satislari'!I636="","",'DIVA Satislari'!AO636)</f>
        <v/>
      </c>
      <c r="H636" s="27">
        <f>IF('DIVA Satislari'!I636="","",'DIVA Satislari'!AN636)</f>
        <v/>
      </c>
      <c r="I636" s="28">
        <f>IF('DIVA Satislari'!I636="","",'DIVA Satislari'!AQ636)</f>
        <v/>
      </c>
      <c r="J636" s="26">
        <f>IF('DIVA Satislari'!I636="","",'DIVA Satislari'!AR636)</f>
        <v/>
      </c>
      <c r="K636" s="26">
        <f>IF('DIVA Satislari'!I636="","",IFERROR(INDEX('E2E Nakliye Montaj'!$AS$3:$AS$1002,MATCH('DIVA Satislari'!AJ636,'E2E Nakliye Montaj'!$AM$3:$AM$1002,0)),"Eşleşme Yok"))</f>
        <v/>
      </c>
      <c r="L636" s="26">
        <f>IF('DIVA Satislari'!I636="","",IFERROR(INDEX('E2E Nakliye Montaj'!$AT$3:$AT$1002,MATCH('DIVA Satislari'!AJ636,'E2E Nakliye Montaj'!$AM$3:$AM$1002,0)),"Hayır"))</f>
        <v/>
      </c>
      <c r="M636" s="26">
        <f>IF('DIVA Satislari'!I636="","",IFERROR(INDEX('E2E Nakliye Montaj'!$AU$3:$AU$1002,MATCH('DIVA Satislari'!AJ636,'E2E Nakliye Montaj'!$AM$3:$AM$1002,0)),"Hayır"))</f>
        <v/>
      </c>
      <c r="N636" s="27">
        <f>IF('DIVA Satislari'!I636="","",IFERROR(INDEX('E2E Nakliye Montaj'!$AV$3:$AV$1002,MATCH('DIVA Satislari'!AJ636,'E2E Nakliye Montaj'!$AM$3:$AM$1002,0)),""))</f>
        <v/>
      </c>
      <c r="O636" s="26">
        <f>IF(OR(A636="",N636=""),"",IF(N636&lt;=H636,"Evet","HAYIR - RİSK"))</f>
        <v/>
      </c>
      <c r="P636" s="26">
        <f>IF(A636="","",IF(LEFT(J636,8)="Kural A ","Uygun - Hemen Ödenir (Yıl Sonu %75 Kontrolüne Tabi)",IF(OR(L636="Evet",M636="Evet"),IF(O636="Evet","Uygun","RİSK - Hakediş Süresi Aşıldı"),"Bekleniyor - Nakliye/Montaj Tamamlanmadı")))</f>
        <v/>
      </c>
      <c r="Q636" s="28">
        <f>IF(A636="","",SUMIFS('Hakedis Fatura Detay'!$G$3:$G$1200,'Hakedis Fatura Detay'!$H$3:$H$1200,'DIVA Satislari'!AJ636,'Hakedis Fatura Detay'!$F$3:$F$1200,"Fiyat Farkı")+SUMIFS('Hakedis Fatura Detay'!$G$3:$G$1200,'Hakedis Fatura Detay'!$H$3:$H$1200,'DIVA Satislari'!AJ636,'Hakedis Fatura Detay'!$F$3:$F$1200,"Bundle"))</f>
        <v/>
      </c>
      <c r="R636" s="28">
        <f>IF(A636="","",I636-Q636)</f>
        <v/>
      </c>
      <c r="S636" s="26">
        <f>IF(A636="","",IF(LEFT(P636,7)="Bekleni","N/A - Henüz Ödenmemeli",IF(LEFT(P636,4)="RİSK","İNCELEME GEREKLİ - Süre Aşımı",IF(R636=0,"Doğru",IF(R636&gt;0,"EKSİK ÖDENMİŞ","FAZLA ÖDENMİŞ")))))</f>
        <v/>
      </c>
      <c r="T636" s="30">
        <f>IF(A636="","",IF(F636&lt;&gt;"Evet","İNCELEME GEREKLİ - Kampanya Tanımsız",IF(G636&lt;&gt;"Evet","İNCELEME GEREKLİ - Tarih Dışı Satış",IF(LEFT(P636,4)="RİSK","İNCELEME GEREKLİ - Hakediş Süresi Aşıldı",IF(OR(S636="EKSİK ÖDENMİŞ",S636="FAZLA ÖDENMİŞ"),"İNCELEME GEREKLİ - Tutar Uyuşmazlığı",IF(LEFT(P636,7)="Bekleni","Bekleniyor","Uygun"))))))</f>
        <v/>
      </c>
    </row>
    <row r="637">
      <c r="A637" s="26">
        <f>IF('DIVA Satislari'!I637="","",'DIVA Satislari'!I637)</f>
        <v/>
      </c>
      <c r="B637" s="26">
        <f>IF('DIVA Satislari'!I637="","",'DIVA Satislari'!R637)</f>
        <v/>
      </c>
      <c r="C637" s="26">
        <f>IF('DIVA Satislari'!I637="","",'DIVA Satislari'!M637)</f>
        <v/>
      </c>
      <c r="D637" s="27">
        <f>IF('DIVA Satislari'!I637="","",'DIVA Satislari'!H637)</f>
        <v/>
      </c>
      <c r="E637" s="26">
        <f>IF('DIVA Satislari'!I637="","",'DIVA Satislari'!O637)</f>
        <v/>
      </c>
      <c r="F637" s="26">
        <f>IF('DIVA Satislari'!I637="","",'DIVA Satislari'!AK637)</f>
        <v/>
      </c>
      <c r="G637" s="26">
        <f>IF('DIVA Satislari'!I637="","",'DIVA Satislari'!AO637)</f>
        <v/>
      </c>
      <c r="H637" s="27">
        <f>IF('DIVA Satislari'!I637="","",'DIVA Satislari'!AN637)</f>
        <v/>
      </c>
      <c r="I637" s="28">
        <f>IF('DIVA Satislari'!I637="","",'DIVA Satislari'!AQ637)</f>
        <v/>
      </c>
      <c r="J637" s="26">
        <f>IF('DIVA Satislari'!I637="","",'DIVA Satislari'!AR637)</f>
        <v/>
      </c>
      <c r="K637" s="26">
        <f>IF('DIVA Satislari'!I637="","",IFERROR(INDEX('E2E Nakliye Montaj'!$AS$3:$AS$1002,MATCH('DIVA Satislari'!AJ637,'E2E Nakliye Montaj'!$AM$3:$AM$1002,0)),"Eşleşme Yok"))</f>
        <v/>
      </c>
      <c r="L637" s="26">
        <f>IF('DIVA Satislari'!I637="","",IFERROR(INDEX('E2E Nakliye Montaj'!$AT$3:$AT$1002,MATCH('DIVA Satislari'!AJ637,'E2E Nakliye Montaj'!$AM$3:$AM$1002,0)),"Hayır"))</f>
        <v/>
      </c>
      <c r="M637" s="26">
        <f>IF('DIVA Satislari'!I637="","",IFERROR(INDEX('E2E Nakliye Montaj'!$AU$3:$AU$1002,MATCH('DIVA Satislari'!AJ637,'E2E Nakliye Montaj'!$AM$3:$AM$1002,0)),"Hayır"))</f>
        <v/>
      </c>
      <c r="N637" s="27">
        <f>IF('DIVA Satislari'!I637="","",IFERROR(INDEX('E2E Nakliye Montaj'!$AV$3:$AV$1002,MATCH('DIVA Satislari'!AJ637,'E2E Nakliye Montaj'!$AM$3:$AM$1002,0)),""))</f>
        <v/>
      </c>
      <c r="O637" s="26">
        <f>IF(OR(A637="",N637=""),"",IF(N637&lt;=H637,"Evet","HAYIR - RİSK"))</f>
        <v/>
      </c>
      <c r="P637" s="26">
        <f>IF(A637="","",IF(LEFT(J637,8)="Kural A ","Uygun - Hemen Ödenir (Yıl Sonu %75 Kontrolüne Tabi)",IF(OR(L637="Evet",M637="Evet"),IF(O637="Evet","Uygun","RİSK - Hakediş Süresi Aşıldı"),"Bekleniyor - Nakliye/Montaj Tamamlanmadı")))</f>
        <v/>
      </c>
      <c r="Q637" s="28">
        <f>IF(A637="","",SUMIFS('Hakedis Fatura Detay'!$G$3:$G$1200,'Hakedis Fatura Detay'!$H$3:$H$1200,'DIVA Satislari'!AJ637,'Hakedis Fatura Detay'!$F$3:$F$1200,"Fiyat Farkı")+SUMIFS('Hakedis Fatura Detay'!$G$3:$G$1200,'Hakedis Fatura Detay'!$H$3:$H$1200,'DIVA Satislari'!AJ637,'Hakedis Fatura Detay'!$F$3:$F$1200,"Bundle"))</f>
        <v/>
      </c>
      <c r="R637" s="28">
        <f>IF(A637="","",I637-Q637)</f>
        <v/>
      </c>
      <c r="S637" s="26">
        <f>IF(A637="","",IF(LEFT(P637,7)="Bekleni","N/A - Henüz Ödenmemeli",IF(LEFT(P637,4)="RİSK","İNCELEME GEREKLİ - Süre Aşımı",IF(R637=0,"Doğru",IF(R637&gt;0,"EKSİK ÖDENMİŞ","FAZLA ÖDENMİŞ")))))</f>
        <v/>
      </c>
      <c r="T637" s="30">
        <f>IF(A637="","",IF(F637&lt;&gt;"Evet","İNCELEME GEREKLİ - Kampanya Tanımsız",IF(G637&lt;&gt;"Evet","İNCELEME GEREKLİ - Tarih Dışı Satış",IF(LEFT(P637,4)="RİSK","İNCELEME GEREKLİ - Hakediş Süresi Aşıldı",IF(OR(S637="EKSİK ÖDENMİŞ",S637="FAZLA ÖDENMİŞ"),"İNCELEME GEREKLİ - Tutar Uyuşmazlığı",IF(LEFT(P637,7)="Bekleni","Bekleniyor","Uygun"))))))</f>
        <v/>
      </c>
    </row>
    <row r="638">
      <c r="A638" s="26">
        <f>IF('DIVA Satislari'!I638="","",'DIVA Satislari'!I638)</f>
        <v/>
      </c>
      <c r="B638" s="26">
        <f>IF('DIVA Satislari'!I638="","",'DIVA Satislari'!R638)</f>
        <v/>
      </c>
      <c r="C638" s="26">
        <f>IF('DIVA Satislari'!I638="","",'DIVA Satislari'!M638)</f>
        <v/>
      </c>
      <c r="D638" s="27">
        <f>IF('DIVA Satislari'!I638="","",'DIVA Satislari'!H638)</f>
        <v/>
      </c>
      <c r="E638" s="26">
        <f>IF('DIVA Satislari'!I638="","",'DIVA Satislari'!O638)</f>
        <v/>
      </c>
      <c r="F638" s="26">
        <f>IF('DIVA Satislari'!I638="","",'DIVA Satislari'!AK638)</f>
        <v/>
      </c>
      <c r="G638" s="26">
        <f>IF('DIVA Satislari'!I638="","",'DIVA Satislari'!AO638)</f>
        <v/>
      </c>
      <c r="H638" s="27">
        <f>IF('DIVA Satislari'!I638="","",'DIVA Satislari'!AN638)</f>
        <v/>
      </c>
      <c r="I638" s="28">
        <f>IF('DIVA Satislari'!I638="","",'DIVA Satislari'!AQ638)</f>
        <v/>
      </c>
      <c r="J638" s="26">
        <f>IF('DIVA Satislari'!I638="","",'DIVA Satislari'!AR638)</f>
        <v/>
      </c>
      <c r="K638" s="26">
        <f>IF('DIVA Satislari'!I638="","",IFERROR(INDEX('E2E Nakliye Montaj'!$AS$3:$AS$1002,MATCH('DIVA Satislari'!AJ638,'E2E Nakliye Montaj'!$AM$3:$AM$1002,0)),"Eşleşme Yok"))</f>
        <v/>
      </c>
      <c r="L638" s="26">
        <f>IF('DIVA Satislari'!I638="","",IFERROR(INDEX('E2E Nakliye Montaj'!$AT$3:$AT$1002,MATCH('DIVA Satislari'!AJ638,'E2E Nakliye Montaj'!$AM$3:$AM$1002,0)),"Hayır"))</f>
        <v/>
      </c>
      <c r="M638" s="26">
        <f>IF('DIVA Satislari'!I638="","",IFERROR(INDEX('E2E Nakliye Montaj'!$AU$3:$AU$1002,MATCH('DIVA Satislari'!AJ638,'E2E Nakliye Montaj'!$AM$3:$AM$1002,0)),"Hayır"))</f>
        <v/>
      </c>
      <c r="N638" s="27">
        <f>IF('DIVA Satislari'!I638="","",IFERROR(INDEX('E2E Nakliye Montaj'!$AV$3:$AV$1002,MATCH('DIVA Satislari'!AJ638,'E2E Nakliye Montaj'!$AM$3:$AM$1002,0)),""))</f>
        <v/>
      </c>
      <c r="O638" s="26">
        <f>IF(OR(A638="",N638=""),"",IF(N638&lt;=H638,"Evet","HAYIR - RİSK"))</f>
        <v/>
      </c>
      <c r="P638" s="26">
        <f>IF(A638="","",IF(LEFT(J638,8)="Kural A ","Uygun - Hemen Ödenir (Yıl Sonu %75 Kontrolüne Tabi)",IF(OR(L638="Evet",M638="Evet"),IF(O638="Evet","Uygun","RİSK - Hakediş Süresi Aşıldı"),"Bekleniyor - Nakliye/Montaj Tamamlanmadı")))</f>
        <v/>
      </c>
      <c r="Q638" s="28">
        <f>IF(A638="","",SUMIFS('Hakedis Fatura Detay'!$G$3:$G$1200,'Hakedis Fatura Detay'!$H$3:$H$1200,'DIVA Satislari'!AJ638,'Hakedis Fatura Detay'!$F$3:$F$1200,"Fiyat Farkı")+SUMIFS('Hakedis Fatura Detay'!$G$3:$G$1200,'Hakedis Fatura Detay'!$H$3:$H$1200,'DIVA Satislari'!AJ638,'Hakedis Fatura Detay'!$F$3:$F$1200,"Bundle"))</f>
        <v/>
      </c>
      <c r="R638" s="28">
        <f>IF(A638="","",I638-Q638)</f>
        <v/>
      </c>
      <c r="S638" s="26">
        <f>IF(A638="","",IF(LEFT(P638,7)="Bekleni","N/A - Henüz Ödenmemeli",IF(LEFT(P638,4)="RİSK","İNCELEME GEREKLİ - Süre Aşımı",IF(R638=0,"Doğru",IF(R638&gt;0,"EKSİK ÖDENMİŞ","FAZLA ÖDENMİŞ")))))</f>
        <v/>
      </c>
      <c r="T638" s="30">
        <f>IF(A638="","",IF(F638&lt;&gt;"Evet","İNCELEME GEREKLİ - Kampanya Tanımsız",IF(G638&lt;&gt;"Evet","İNCELEME GEREKLİ - Tarih Dışı Satış",IF(LEFT(P638,4)="RİSK","İNCELEME GEREKLİ - Hakediş Süresi Aşıldı",IF(OR(S638="EKSİK ÖDENMİŞ",S638="FAZLA ÖDENMİŞ"),"İNCELEME GEREKLİ - Tutar Uyuşmazlığı",IF(LEFT(P638,7)="Bekleni","Bekleniyor","Uygun"))))))</f>
        <v/>
      </c>
    </row>
    <row r="639">
      <c r="A639" s="26">
        <f>IF('DIVA Satislari'!I639="","",'DIVA Satislari'!I639)</f>
        <v/>
      </c>
      <c r="B639" s="26">
        <f>IF('DIVA Satislari'!I639="","",'DIVA Satislari'!R639)</f>
        <v/>
      </c>
      <c r="C639" s="26">
        <f>IF('DIVA Satislari'!I639="","",'DIVA Satislari'!M639)</f>
        <v/>
      </c>
      <c r="D639" s="27">
        <f>IF('DIVA Satislari'!I639="","",'DIVA Satislari'!H639)</f>
        <v/>
      </c>
      <c r="E639" s="26">
        <f>IF('DIVA Satislari'!I639="","",'DIVA Satislari'!O639)</f>
        <v/>
      </c>
      <c r="F639" s="26">
        <f>IF('DIVA Satislari'!I639="","",'DIVA Satislari'!AK639)</f>
        <v/>
      </c>
      <c r="G639" s="26">
        <f>IF('DIVA Satislari'!I639="","",'DIVA Satislari'!AO639)</f>
        <v/>
      </c>
      <c r="H639" s="27">
        <f>IF('DIVA Satislari'!I639="","",'DIVA Satislari'!AN639)</f>
        <v/>
      </c>
      <c r="I639" s="28">
        <f>IF('DIVA Satislari'!I639="","",'DIVA Satislari'!AQ639)</f>
        <v/>
      </c>
      <c r="J639" s="26">
        <f>IF('DIVA Satislari'!I639="","",'DIVA Satislari'!AR639)</f>
        <v/>
      </c>
      <c r="K639" s="26">
        <f>IF('DIVA Satislari'!I639="","",IFERROR(INDEX('E2E Nakliye Montaj'!$AS$3:$AS$1002,MATCH('DIVA Satislari'!AJ639,'E2E Nakliye Montaj'!$AM$3:$AM$1002,0)),"Eşleşme Yok"))</f>
        <v/>
      </c>
      <c r="L639" s="26">
        <f>IF('DIVA Satislari'!I639="","",IFERROR(INDEX('E2E Nakliye Montaj'!$AT$3:$AT$1002,MATCH('DIVA Satislari'!AJ639,'E2E Nakliye Montaj'!$AM$3:$AM$1002,0)),"Hayır"))</f>
        <v/>
      </c>
      <c r="M639" s="26">
        <f>IF('DIVA Satislari'!I639="","",IFERROR(INDEX('E2E Nakliye Montaj'!$AU$3:$AU$1002,MATCH('DIVA Satislari'!AJ639,'E2E Nakliye Montaj'!$AM$3:$AM$1002,0)),"Hayır"))</f>
        <v/>
      </c>
      <c r="N639" s="27">
        <f>IF('DIVA Satislari'!I639="","",IFERROR(INDEX('E2E Nakliye Montaj'!$AV$3:$AV$1002,MATCH('DIVA Satislari'!AJ639,'E2E Nakliye Montaj'!$AM$3:$AM$1002,0)),""))</f>
        <v/>
      </c>
      <c r="O639" s="26">
        <f>IF(OR(A639="",N639=""),"",IF(N639&lt;=H639,"Evet","HAYIR - RİSK"))</f>
        <v/>
      </c>
      <c r="P639" s="26">
        <f>IF(A639="","",IF(LEFT(J639,8)="Kural A ","Uygun - Hemen Ödenir (Yıl Sonu %75 Kontrolüne Tabi)",IF(OR(L639="Evet",M639="Evet"),IF(O639="Evet","Uygun","RİSK - Hakediş Süresi Aşıldı"),"Bekleniyor - Nakliye/Montaj Tamamlanmadı")))</f>
        <v/>
      </c>
      <c r="Q639" s="28">
        <f>IF(A639="","",SUMIFS('Hakedis Fatura Detay'!$G$3:$G$1200,'Hakedis Fatura Detay'!$H$3:$H$1200,'DIVA Satislari'!AJ639,'Hakedis Fatura Detay'!$F$3:$F$1200,"Fiyat Farkı")+SUMIFS('Hakedis Fatura Detay'!$G$3:$G$1200,'Hakedis Fatura Detay'!$H$3:$H$1200,'DIVA Satislari'!AJ639,'Hakedis Fatura Detay'!$F$3:$F$1200,"Bundle"))</f>
        <v/>
      </c>
      <c r="R639" s="28">
        <f>IF(A639="","",I639-Q639)</f>
        <v/>
      </c>
      <c r="S639" s="26">
        <f>IF(A639="","",IF(LEFT(P639,7)="Bekleni","N/A - Henüz Ödenmemeli",IF(LEFT(P639,4)="RİSK","İNCELEME GEREKLİ - Süre Aşımı",IF(R639=0,"Doğru",IF(R639&gt;0,"EKSİK ÖDENMİŞ","FAZLA ÖDENMİŞ")))))</f>
        <v/>
      </c>
      <c r="T639" s="30">
        <f>IF(A639="","",IF(F639&lt;&gt;"Evet","İNCELEME GEREKLİ - Kampanya Tanımsız",IF(G639&lt;&gt;"Evet","İNCELEME GEREKLİ - Tarih Dışı Satış",IF(LEFT(P639,4)="RİSK","İNCELEME GEREKLİ - Hakediş Süresi Aşıldı",IF(OR(S639="EKSİK ÖDENMİŞ",S639="FAZLA ÖDENMİŞ"),"İNCELEME GEREKLİ - Tutar Uyuşmazlığı",IF(LEFT(P639,7)="Bekleni","Bekleniyor","Uygun"))))))</f>
        <v/>
      </c>
    </row>
    <row r="640">
      <c r="A640" s="26">
        <f>IF('DIVA Satislari'!I640="","",'DIVA Satislari'!I640)</f>
        <v/>
      </c>
      <c r="B640" s="26">
        <f>IF('DIVA Satislari'!I640="","",'DIVA Satislari'!R640)</f>
        <v/>
      </c>
      <c r="C640" s="26">
        <f>IF('DIVA Satislari'!I640="","",'DIVA Satislari'!M640)</f>
        <v/>
      </c>
      <c r="D640" s="27">
        <f>IF('DIVA Satislari'!I640="","",'DIVA Satislari'!H640)</f>
        <v/>
      </c>
      <c r="E640" s="26">
        <f>IF('DIVA Satislari'!I640="","",'DIVA Satislari'!O640)</f>
        <v/>
      </c>
      <c r="F640" s="26">
        <f>IF('DIVA Satislari'!I640="","",'DIVA Satislari'!AK640)</f>
        <v/>
      </c>
      <c r="G640" s="26">
        <f>IF('DIVA Satislari'!I640="","",'DIVA Satislari'!AO640)</f>
        <v/>
      </c>
      <c r="H640" s="27">
        <f>IF('DIVA Satislari'!I640="","",'DIVA Satislari'!AN640)</f>
        <v/>
      </c>
      <c r="I640" s="28">
        <f>IF('DIVA Satislari'!I640="","",'DIVA Satislari'!AQ640)</f>
        <v/>
      </c>
      <c r="J640" s="26">
        <f>IF('DIVA Satislari'!I640="","",'DIVA Satislari'!AR640)</f>
        <v/>
      </c>
      <c r="K640" s="26">
        <f>IF('DIVA Satislari'!I640="","",IFERROR(INDEX('E2E Nakliye Montaj'!$AS$3:$AS$1002,MATCH('DIVA Satislari'!AJ640,'E2E Nakliye Montaj'!$AM$3:$AM$1002,0)),"Eşleşme Yok"))</f>
        <v/>
      </c>
      <c r="L640" s="26">
        <f>IF('DIVA Satislari'!I640="","",IFERROR(INDEX('E2E Nakliye Montaj'!$AT$3:$AT$1002,MATCH('DIVA Satislari'!AJ640,'E2E Nakliye Montaj'!$AM$3:$AM$1002,0)),"Hayır"))</f>
        <v/>
      </c>
      <c r="M640" s="26">
        <f>IF('DIVA Satislari'!I640="","",IFERROR(INDEX('E2E Nakliye Montaj'!$AU$3:$AU$1002,MATCH('DIVA Satislari'!AJ640,'E2E Nakliye Montaj'!$AM$3:$AM$1002,0)),"Hayır"))</f>
        <v/>
      </c>
      <c r="N640" s="27">
        <f>IF('DIVA Satislari'!I640="","",IFERROR(INDEX('E2E Nakliye Montaj'!$AV$3:$AV$1002,MATCH('DIVA Satislari'!AJ640,'E2E Nakliye Montaj'!$AM$3:$AM$1002,0)),""))</f>
        <v/>
      </c>
      <c r="O640" s="26">
        <f>IF(OR(A640="",N640=""),"",IF(N640&lt;=H640,"Evet","HAYIR - RİSK"))</f>
        <v/>
      </c>
      <c r="P640" s="26">
        <f>IF(A640="","",IF(LEFT(J640,8)="Kural A ","Uygun - Hemen Ödenir (Yıl Sonu %75 Kontrolüne Tabi)",IF(OR(L640="Evet",M640="Evet"),IF(O640="Evet","Uygun","RİSK - Hakediş Süresi Aşıldı"),"Bekleniyor - Nakliye/Montaj Tamamlanmadı")))</f>
        <v/>
      </c>
      <c r="Q640" s="28">
        <f>IF(A640="","",SUMIFS('Hakedis Fatura Detay'!$G$3:$G$1200,'Hakedis Fatura Detay'!$H$3:$H$1200,'DIVA Satislari'!AJ640,'Hakedis Fatura Detay'!$F$3:$F$1200,"Fiyat Farkı")+SUMIFS('Hakedis Fatura Detay'!$G$3:$G$1200,'Hakedis Fatura Detay'!$H$3:$H$1200,'DIVA Satislari'!AJ640,'Hakedis Fatura Detay'!$F$3:$F$1200,"Bundle"))</f>
        <v/>
      </c>
      <c r="R640" s="28">
        <f>IF(A640="","",I640-Q640)</f>
        <v/>
      </c>
      <c r="S640" s="26">
        <f>IF(A640="","",IF(LEFT(P640,7)="Bekleni","N/A - Henüz Ödenmemeli",IF(LEFT(P640,4)="RİSK","İNCELEME GEREKLİ - Süre Aşımı",IF(R640=0,"Doğru",IF(R640&gt;0,"EKSİK ÖDENMİŞ","FAZLA ÖDENMİŞ")))))</f>
        <v/>
      </c>
      <c r="T640" s="30">
        <f>IF(A640="","",IF(F640&lt;&gt;"Evet","İNCELEME GEREKLİ - Kampanya Tanımsız",IF(G640&lt;&gt;"Evet","İNCELEME GEREKLİ - Tarih Dışı Satış",IF(LEFT(P640,4)="RİSK","İNCELEME GEREKLİ - Hakediş Süresi Aşıldı",IF(OR(S640="EKSİK ÖDENMİŞ",S640="FAZLA ÖDENMİŞ"),"İNCELEME GEREKLİ - Tutar Uyuşmazlığı",IF(LEFT(P640,7)="Bekleni","Bekleniyor","Uygun"))))))</f>
        <v/>
      </c>
    </row>
    <row r="641">
      <c r="A641" s="26">
        <f>IF('DIVA Satislari'!I641="","",'DIVA Satislari'!I641)</f>
        <v/>
      </c>
      <c r="B641" s="26">
        <f>IF('DIVA Satislari'!I641="","",'DIVA Satislari'!R641)</f>
        <v/>
      </c>
      <c r="C641" s="26">
        <f>IF('DIVA Satislari'!I641="","",'DIVA Satislari'!M641)</f>
        <v/>
      </c>
      <c r="D641" s="27">
        <f>IF('DIVA Satislari'!I641="","",'DIVA Satislari'!H641)</f>
        <v/>
      </c>
      <c r="E641" s="26">
        <f>IF('DIVA Satislari'!I641="","",'DIVA Satislari'!O641)</f>
        <v/>
      </c>
      <c r="F641" s="26">
        <f>IF('DIVA Satislari'!I641="","",'DIVA Satislari'!AK641)</f>
        <v/>
      </c>
      <c r="G641" s="26">
        <f>IF('DIVA Satislari'!I641="","",'DIVA Satislari'!AO641)</f>
        <v/>
      </c>
      <c r="H641" s="27">
        <f>IF('DIVA Satislari'!I641="","",'DIVA Satislari'!AN641)</f>
        <v/>
      </c>
      <c r="I641" s="28">
        <f>IF('DIVA Satislari'!I641="","",'DIVA Satislari'!AQ641)</f>
        <v/>
      </c>
      <c r="J641" s="26">
        <f>IF('DIVA Satislari'!I641="","",'DIVA Satislari'!AR641)</f>
        <v/>
      </c>
      <c r="K641" s="26">
        <f>IF('DIVA Satislari'!I641="","",IFERROR(INDEX('E2E Nakliye Montaj'!$AS$3:$AS$1002,MATCH('DIVA Satislari'!AJ641,'E2E Nakliye Montaj'!$AM$3:$AM$1002,0)),"Eşleşme Yok"))</f>
        <v/>
      </c>
      <c r="L641" s="26">
        <f>IF('DIVA Satislari'!I641="","",IFERROR(INDEX('E2E Nakliye Montaj'!$AT$3:$AT$1002,MATCH('DIVA Satislari'!AJ641,'E2E Nakliye Montaj'!$AM$3:$AM$1002,0)),"Hayır"))</f>
        <v/>
      </c>
      <c r="M641" s="26">
        <f>IF('DIVA Satislari'!I641="","",IFERROR(INDEX('E2E Nakliye Montaj'!$AU$3:$AU$1002,MATCH('DIVA Satislari'!AJ641,'E2E Nakliye Montaj'!$AM$3:$AM$1002,0)),"Hayır"))</f>
        <v/>
      </c>
      <c r="N641" s="27">
        <f>IF('DIVA Satislari'!I641="","",IFERROR(INDEX('E2E Nakliye Montaj'!$AV$3:$AV$1002,MATCH('DIVA Satislari'!AJ641,'E2E Nakliye Montaj'!$AM$3:$AM$1002,0)),""))</f>
        <v/>
      </c>
      <c r="O641" s="26">
        <f>IF(OR(A641="",N641=""),"",IF(N641&lt;=H641,"Evet","HAYIR - RİSK"))</f>
        <v/>
      </c>
      <c r="P641" s="26">
        <f>IF(A641="","",IF(LEFT(J641,8)="Kural A ","Uygun - Hemen Ödenir (Yıl Sonu %75 Kontrolüne Tabi)",IF(OR(L641="Evet",M641="Evet"),IF(O641="Evet","Uygun","RİSK - Hakediş Süresi Aşıldı"),"Bekleniyor - Nakliye/Montaj Tamamlanmadı")))</f>
        <v/>
      </c>
      <c r="Q641" s="28">
        <f>IF(A641="","",SUMIFS('Hakedis Fatura Detay'!$G$3:$G$1200,'Hakedis Fatura Detay'!$H$3:$H$1200,'DIVA Satislari'!AJ641,'Hakedis Fatura Detay'!$F$3:$F$1200,"Fiyat Farkı")+SUMIFS('Hakedis Fatura Detay'!$G$3:$G$1200,'Hakedis Fatura Detay'!$H$3:$H$1200,'DIVA Satislari'!AJ641,'Hakedis Fatura Detay'!$F$3:$F$1200,"Bundle"))</f>
        <v/>
      </c>
      <c r="R641" s="28">
        <f>IF(A641="","",I641-Q641)</f>
        <v/>
      </c>
      <c r="S641" s="26">
        <f>IF(A641="","",IF(LEFT(P641,7)="Bekleni","N/A - Henüz Ödenmemeli",IF(LEFT(P641,4)="RİSK","İNCELEME GEREKLİ - Süre Aşımı",IF(R641=0,"Doğru",IF(R641&gt;0,"EKSİK ÖDENMİŞ","FAZLA ÖDENMİŞ")))))</f>
        <v/>
      </c>
      <c r="T641" s="30">
        <f>IF(A641="","",IF(F641&lt;&gt;"Evet","İNCELEME GEREKLİ - Kampanya Tanımsız",IF(G641&lt;&gt;"Evet","İNCELEME GEREKLİ - Tarih Dışı Satış",IF(LEFT(P641,4)="RİSK","İNCELEME GEREKLİ - Hakediş Süresi Aşıldı",IF(OR(S641="EKSİK ÖDENMİŞ",S641="FAZLA ÖDENMİŞ"),"İNCELEME GEREKLİ - Tutar Uyuşmazlığı",IF(LEFT(P641,7)="Bekleni","Bekleniyor","Uygun"))))))</f>
        <v/>
      </c>
    </row>
    <row r="642">
      <c r="A642" s="26">
        <f>IF('DIVA Satislari'!I642="","",'DIVA Satislari'!I642)</f>
        <v/>
      </c>
      <c r="B642" s="26">
        <f>IF('DIVA Satislari'!I642="","",'DIVA Satislari'!R642)</f>
        <v/>
      </c>
      <c r="C642" s="26">
        <f>IF('DIVA Satislari'!I642="","",'DIVA Satislari'!M642)</f>
        <v/>
      </c>
      <c r="D642" s="27">
        <f>IF('DIVA Satislari'!I642="","",'DIVA Satislari'!H642)</f>
        <v/>
      </c>
      <c r="E642" s="26">
        <f>IF('DIVA Satislari'!I642="","",'DIVA Satislari'!O642)</f>
        <v/>
      </c>
      <c r="F642" s="26">
        <f>IF('DIVA Satislari'!I642="","",'DIVA Satislari'!AK642)</f>
        <v/>
      </c>
      <c r="G642" s="26">
        <f>IF('DIVA Satislari'!I642="","",'DIVA Satislari'!AO642)</f>
        <v/>
      </c>
      <c r="H642" s="27">
        <f>IF('DIVA Satislari'!I642="","",'DIVA Satislari'!AN642)</f>
        <v/>
      </c>
      <c r="I642" s="28">
        <f>IF('DIVA Satislari'!I642="","",'DIVA Satislari'!AQ642)</f>
        <v/>
      </c>
      <c r="J642" s="26">
        <f>IF('DIVA Satislari'!I642="","",'DIVA Satislari'!AR642)</f>
        <v/>
      </c>
      <c r="K642" s="26">
        <f>IF('DIVA Satislari'!I642="","",IFERROR(INDEX('E2E Nakliye Montaj'!$AS$3:$AS$1002,MATCH('DIVA Satislari'!AJ642,'E2E Nakliye Montaj'!$AM$3:$AM$1002,0)),"Eşleşme Yok"))</f>
        <v/>
      </c>
      <c r="L642" s="26">
        <f>IF('DIVA Satislari'!I642="","",IFERROR(INDEX('E2E Nakliye Montaj'!$AT$3:$AT$1002,MATCH('DIVA Satislari'!AJ642,'E2E Nakliye Montaj'!$AM$3:$AM$1002,0)),"Hayır"))</f>
        <v/>
      </c>
      <c r="M642" s="26">
        <f>IF('DIVA Satislari'!I642="","",IFERROR(INDEX('E2E Nakliye Montaj'!$AU$3:$AU$1002,MATCH('DIVA Satislari'!AJ642,'E2E Nakliye Montaj'!$AM$3:$AM$1002,0)),"Hayır"))</f>
        <v/>
      </c>
      <c r="N642" s="27">
        <f>IF('DIVA Satislari'!I642="","",IFERROR(INDEX('E2E Nakliye Montaj'!$AV$3:$AV$1002,MATCH('DIVA Satislari'!AJ642,'E2E Nakliye Montaj'!$AM$3:$AM$1002,0)),""))</f>
        <v/>
      </c>
      <c r="O642" s="26">
        <f>IF(OR(A642="",N642=""),"",IF(N642&lt;=H642,"Evet","HAYIR - RİSK"))</f>
        <v/>
      </c>
      <c r="P642" s="26">
        <f>IF(A642="","",IF(LEFT(J642,8)="Kural A ","Uygun - Hemen Ödenir (Yıl Sonu %75 Kontrolüne Tabi)",IF(OR(L642="Evet",M642="Evet"),IF(O642="Evet","Uygun","RİSK - Hakediş Süresi Aşıldı"),"Bekleniyor - Nakliye/Montaj Tamamlanmadı")))</f>
        <v/>
      </c>
      <c r="Q642" s="28">
        <f>IF(A642="","",SUMIFS('Hakedis Fatura Detay'!$G$3:$G$1200,'Hakedis Fatura Detay'!$H$3:$H$1200,'DIVA Satislari'!AJ642,'Hakedis Fatura Detay'!$F$3:$F$1200,"Fiyat Farkı")+SUMIFS('Hakedis Fatura Detay'!$G$3:$G$1200,'Hakedis Fatura Detay'!$H$3:$H$1200,'DIVA Satislari'!AJ642,'Hakedis Fatura Detay'!$F$3:$F$1200,"Bundle"))</f>
        <v/>
      </c>
      <c r="R642" s="28">
        <f>IF(A642="","",I642-Q642)</f>
        <v/>
      </c>
      <c r="S642" s="26">
        <f>IF(A642="","",IF(LEFT(P642,7)="Bekleni","N/A - Henüz Ödenmemeli",IF(LEFT(P642,4)="RİSK","İNCELEME GEREKLİ - Süre Aşımı",IF(R642=0,"Doğru",IF(R642&gt;0,"EKSİK ÖDENMİŞ","FAZLA ÖDENMİŞ")))))</f>
        <v/>
      </c>
      <c r="T642" s="30">
        <f>IF(A642="","",IF(F642&lt;&gt;"Evet","İNCELEME GEREKLİ - Kampanya Tanımsız",IF(G642&lt;&gt;"Evet","İNCELEME GEREKLİ - Tarih Dışı Satış",IF(LEFT(P642,4)="RİSK","İNCELEME GEREKLİ - Hakediş Süresi Aşıldı",IF(OR(S642="EKSİK ÖDENMİŞ",S642="FAZLA ÖDENMİŞ"),"İNCELEME GEREKLİ - Tutar Uyuşmazlığı",IF(LEFT(P642,7)="Bekleni","Bekleniyor","Uygun"))))))</f>
        <v/>
      </c>
    </row>
    <row r="643">
      <c r="A643" s="26">
        <f>IF('DIVA Satislari'!I643="","",'DIVA Satislari'!I643)</f>
        <v/>
      </c>
      <c r="B643" s="26">
        <f>IF('DIVA Satislari'!I643="","",'DIVA Satislari'!R643)</f>
        <v/>
      </c>
      <c r="C643" s="26">
        <f>IF('DIVA Satislari'!I643="","",'DIVA Satislari'!M643)</f>
        <v/>
      </c>
      <c r="D643" s="27">
        <f>IF('DIVA Satislari'!I643="","",'DIVA Satislari'!H643)</f>
        <v/>
      </c>
      <c r="E643" s="26">
        <f>IF('DIVA Satislari'!I643="","",'DIVA Satislari'!O643)</f>
        <v/>
      </c>
      <c r="F643" s="26">
        <f>IF('DIVA Satislari'!I643="","",'DIVA Satislari'!AK643)</f>
        <v/>
      </c>
      <c r="G643" s="26">
        <f>IF('DIVA Satislari'!I643="","",'DIVA Satislari'!AO643)</f>
        <v/>
      </c>
      <c r="H643" s="27">
        <f>IF('DIVA Satislari'!I643="","",'DIVA Satislari'!AN643)</f>
        <v/>
      </c>
      <c r="I643" s="28">
        <f>IF('DIVA Satislari'!I643="","",'DIVA Satislari'!AQ643)</f>
        <v/>
      </c>
      <c r="J643" s="26">
        <f>IF('DIVA Satislari'!I643="","",'DIVA Satislari'!AR643)</f>
        <v/>
      </c>
      <c r="K643" s="26">
        <f>IF('DIVA Satislari'!I643="","",IFERROR(INDEX('E2E Nakliye Montaj'!$AS$3:$AS$1002,MATCH('DIVA Satislari'!AJ643,'E2E Nakliye Montaj'!$AM$3:$AM$1002,0)),"Eşleşme Yok"))</f>
        <v/>
      </c>
      <c r="L643" s="26">
        <f>IF('DIVA Satislari'!I643="","",IFERROR(INDEX('E2E Nakliye Montaj'!$AT$3:$AT$1002,MATCH('DIVA Satislari'!AJ643,'E2E Nakliye Montaj'!$AM$3:$AM$1002,0)),"Hayır"))</f>
        <v/>
      </c>
      <c r="M643" s="26">
        <f>IF('DIVA Satislari'!I643="","",IFERROR(INDEX('E2E Nakliye Montaj'!$AU$3:$AU$1002,MATCH('DIVA Satislari'!AJ643,'E2E Nakliye Montaj'!$AM$3:$AM$1002,0)),"Hayır"))</f>
        <v/>
      </c>
      <c r="N643" s="27">
        <f>IF('DIVA Satislari'!I643="","",IFERROR(INDEX('E2E Nakliye Montaj'!$AV$3:$AV$1002,MATCH('DIVA Satislari'!AJ643,'E2E Nakliye Montaj'!$AM$3:$AM$1002,0)),""))</f>
        <v/>
      </c>
      <c r="O643" s="26">
        <f>IF(OR(A643="",N643=""),"",IF(N643&lt;=H643,"Evet","HAYIR - RİSK"))</f>
        <v/>
      </c>
      <c r="P643" s="26">
        <f>IF(A643="","",IF(LEFT(J643,8)="Kural A ","Uygun - Hemen Ödenir (Yıl Sonu %75 Kontrolüne Tabi)",IF(OR(L643="Evet",M643="Evet"),IF(O643="Evet","Uygun","RİSK - Hakediş Süresi Aşıldı"),"Bekleniyor - Nakliye/Montaj Tamamlanmadı")))</f>
        <v/>
      </c>
      <c r="Q643" s="28">
        <f>IF(A643="","",SUMIFS('Hakedis Fatura Detay'!$G$3:$G$1200,'Hakedis Fatura Detay'!$H$3:$H$1200,'DIVA Satislari'!AJ643,'Hakedis Fatura Detay'!$F$3:$F$1200,"Fiyat Farkı")+SUMIFS('Hakedis Fatura Detay'!$G$3:$G$1200,'Hakedis Fatura Detay'!$H$3:$H$1200,'DIVA Satislari'!AJ643,'Hakedis Fatura Detay'!$F$3:$F$1200,"Bundle"))</f>
        <v/>
      </c>
      <c r="R643" s="28">
        <f>IF(A643="","",I643-Q643)</f>
        <v/>
      </c>
      <c r="S643" s="26">
        <f>IF(A643="","",IF(LEFT(P643,7)="Bekleni","N/A - Henüz Ödenmemeli",IF(LEFT(P643,4)="RİSK","İNCELEME GEREKLİ - Süre Aşımı",IF(R643=0,"Doğru",IF(R643&gt;0,"EKSİK ÖDENMİŞ","FAZLA ÖDENMİŞ")))))</f>
        <v/>
      </c>
      <c r="T643" s="30">
        <f>IF(A643="","",IF(F643&lt;&gt;"Evet","İNCELEME GEREKLİ - Kampanya Tanımsız",IF(G643&lt;&gt;"Evet","İNCELEME GEREKLİ - Tarih Dışı Satış",IF(LEFT(P643,4)="RİSK","İNCELEME GEREKLİ - Hakediş Süresi Aşıldı",IF(OR(S643="EKSİK ÖDENMİŞ",S643="FAZLA ÖDENMİŞ"),"İNCELEME GEREKLİ - Tutar Uyuşmazlığı",IF(LEFT(P643,7)="Bekleni","Bekleniyor","Uygun"))))))</f>
        <v/>
      </c>
    </row>
    <row r="644">
      <c r="A644" s="26">
        <f>IF('DIVA Satislari'!I644="","",'DIVA Satislari'!I644)</f>
        <v/>
      </c>
      <c r="B644" s="26">
        <f>IF('DIVA Satislari'!I644="","",'DIVA Satislari'!R644)</f>
        <v/>
      </c>
      <c r="C644" s="26">
        <f>IF('DIVA Satislari'!I644="","",'DIVA Satislari'!M644)</f>
        <v/>
      </c>
      <c r="D644" s="27">
        <f>IF('DIVA Satislari'!I644="","",'DIVA Satislari'!H644)</f>
        <v/>
      </c>
      <c r="E644" s="26">
        <f>IF('DIVA Satislari'!I644="","",'DIVA Satislari'!O644)</f>
        <v/>
      </c>
      <c r="F644" s="26">
        <f>IF('DIVA Satislari'!I644="","",'DIVA Satislari'!AK644)</f>
        <v/>
      </c>
      <c r="G644" s="26">
        <f>IF('DIVA Satislari'!I644="","",'DIVA Satislari'!AO644)</f>
        <v/>
      </c>
      <c r="H644" s="27">
        <f>IF('DIVA Satislari'!I644="","",'DIVA Satislari'!AN644)</f>
        <v/>
      </c>
      <c r="I644" s="28">
        <f>IF('DIVA Satislari'!I644="","",'DIVA Satislari'!AQ644)</f>
        <v/>
      </c>
      <c r="J644" s="26">
        <f>IF('DIVA Satislari'!I644="","",'DIVA Satislari'!AR644)</f>
        <v/>
      </c>
      <c r="K644" s="26">
        <f>IF('DIVA Satislari'!I644="","",IFERROR(INDEX('E2E Nakliye Montaj'!$AS$3:$AS$1002,MATCH('DIVA Satislari'!AJ644,'E2E Nakliye Montaj'!$AM$3:$AM$1002,0)),"Eşleşme Yok"))</f>
        <v/>
      </c>
      <c r="L644" s="26">
        <f>IF('DIVA Satislari'!I644="","",IFERROR(INDEX('E2E Nakliye Montaj'!$AT$3:$AT$1002,MATCH('DIVA Satislari'!AJ644,'E2E Nakliye Montaj'!$AM$3:$AM$1002,0)),"Hayır"))</f>
        <v/>
      </c>
      <c r="M644" s="26">
        <f>IF('DIVA Satislari'!I644="","",IFERROR(INDEX('E2E Nakliye Montaj'!$AU$3:$AU$1002,MATCH('DIVA Satislari'!AJ644,'E2E Nakliye Montaj'!$AM$3:$AM$1002,0)),"Hayır"))</f>
        <v/>
      </c>
      <c r="N644" s="27">
        <f>IF('DIVA Satislari'!I644="","",IFERROR(INDEX('E2E Nakliye Montaj'!$AV$3:$AV$1002,MATCH('DIVA Satislari'!AJ644,'E2E Nakliye Montaj'!$AM$3:$AM$1002,0)),""))</f>
        <v/>
      </c>
      <c r="O644" s="26">
        <f>IF(OR(A644="",N644=""),"",IF(N644&lt;=H644,"Evet","HAYIR - RİSK"))</f>
        <v/>
      </c>
      <c r="P644" s="26">
        <f>IF(A644="","",IF(LEFT(J644,8)="Kural A ","Uygun - Hemen Ödenir (Yıl Sonu %75 Kontrolüne Tabi)",IF(OR(L644="Evet",M644="Evet"),IF(O644="Evet","Uygun","RİSK - Hakediş Süresi Aşıldı"),"Bekleniyor - Nakliye/Montaj Tamamlanmadı")))</f>
        <v/>
      </c>
      <c r="Q644" s="28">
        <f>IF(A644="","",SUMIFS('Hakedis Fatura Detay'!$G$3:$G$1200,'Hakedis Fatura Detay'!$H$3:$H$1200,'DIVA Satislari'!AJ644,'Hakedis Fatura Detay'!$F$3:$F$1200,"Fiyat Farkı")+SUMIFS('Hakedis Fatura Detay'!$G$3:$G$1200,'Hakedis Fatura Detay'!$H$3:$H$1200,'DIVA Satislari'!AJ644,'Hakedis Fatura Detay'!$F$3:$F$1200,"Bundle"))</f>
        <v/>
      </c>
      <c r="R644" s="28">
        <f>IF(A644="","",I644-Q644)</f>
        <v/>
      </c>
      <c r="S644" s="26">
        <f>IF(A644="","",IF(LEFT(P644,7)="Bekleni","N/A - Henüz Ödenmemeli",IF(LEFT(P644,4)="RİSK","İNCELEME GEREKLİ - Süre Aşımı",IF(R644=0,"Doğru",IF(R644&gt;0,"EKSİK ÖDENMİŞ","FAZLA ÖDENMİŞ")))))</f>
        <v/>
      </c>
      <c r="T644" s="30">
        <f>IF(A644="","",IF(F644&lt;&gt;"Evet","İNCELEME GEREKLİ - Kampanya Tanımsız",IF(G644&lt;&gt;"Evet","İNCELEME GEREKLİ - Tarih Dışı Satış",IF(LEFT(P644,4)="RİSK","İNCELEME GEREKLİ - Hakediş Süresi Aşıldı",IF(OR(S644="EKSİK ÖDENMİŞ",S644="FAZLA ÖDENMİŞ"),"İNCELEME GEREKLİ - Tutar Uyuşmazlığı",IF(LEFT(P644,7)="Bekleni","Bekleniyor","Uygun"))))))</f>
        <v/>
      </c>
    </row>
    <row r="645">
      <c r="A645" s="26">
        <f>IF('DIVA Satislari'!I645="","",'DIVA Satislari'!I645)</f>
        <v/>
      </c>
      <c r="B645" s="26">
        <f>IF('DIVA Satislari'!I645="","",'DIVA Satislari'!R645)</f>
        <v/>
      </c>
      <c r="C645" s="26">
        <f>IF('DIVA Satislari'!I645="","",'DIVA Satislari'!M645)</f>
        <v/>
      </c>
      <c r="D645" s="27">
        <f>IF('DIVA Satislari'!I645="","",'DIVA Satislari'!H645)</f>
        <v/>
      </c>
      <c r="E645" s="26">
        <f>IF('DIVA Satislari'!I645="","",'DIVA Satislari'!O645)</f>
        <v/>
      </c>
      <c r="F645" s="26">
        <f>IF('DIVA Satislari'!I645="","",'DIVA Satislari'!AK645)</f>
        <v/>
      </c>
      <c r="G645" s="26">
        <f>IF('DIVA Satislari'!I645="","",'DIVA Satislari'!AO645)</f>
        <v/>
      </c>
      <c r="H645" s="27">
        <f>IF('DIVA Satislari'!I645="","",'DIVA Satislari'!AN645)</f>
        <v/>
      </c>
      <c r="I645" s="28">
        <f>IF('DIVA Satislari'!I645="","",'DIVA Satislari'!AQ645)</f>
        <v/>
      </c>
      <c r="J645" s="26">
        <f>IF('DIVA Satislari'!I645="","",'DIVA Satislari'!AR645)</f>
        <v/>
      </c>
      <c r="K645" s="26">
        <f>IF('DIVA Satislari'!I645="","",IFERROR(INDEX('E2E Nakliye Montaj'!$AS$3:$AS$1002,MATCH('DIVA Satislari'!AJ645,'E2E Nakliye Montaj'!$AM$3:$AM$1002,0)),"Eşleşme Yok"))</f>
        <v/>
      </c>
      <c r="L645" s="26">
        <f>IF('DIVA Satislari'!I645="","",IFERROR(INDEX('E2E Nakliye Montaj'!$AT$3:$AT$1002,MATCH('DIVA Satislari'!AJ645,'E2E Nakliye Montaj'!$AM$3:$AM$1002,0)),"Hayır"))</f>
        <v/>
      </c>
      <c r="M645" s="26">
        <f>IF('DIVA Satislari'!I645="","",IFERROR(INDEX('E2E Nakliye Montaj'!$AU$3:$AU$1002,MATCH('DIVA Satislari'!AJ645,'E2E Nakliye Montaj'!$AM$3:$AM$1002,0)),"Hayır"))</f>
        <v/>
      </c>
      <c r="N645" s="27">
        <f>IF('DIVA Satislari'!I645="","",IFERROR(INDEX('E2E Nakliye Montaj'!$AV$3:$AV$1002,MATCH('DIVA Satislari'!AJ645,'E2E Nakliye Montaj'!$AM$3:$AM$1002,0)),""))</f>
        <v/>
      </c>
      <c r="O645" s="26">
        <f>IF(OR(A645="",N645=""),"",IF(N645&lt;=H645,"Evet","HAYIR - RİSK"))</f>
        <v/>
      </c>
      <c r="P645" s="26">
        <f>IF(A645="","",IF(LEFT(J645,8)="Kural A ","Uygun - Hemen Ödenir (Yıl Sonu %75 Kontrolüne Tabi)",IF(OR(L645="Evet",M645="Evet"),IF(O645="Evet","Uygun","RİSK - Hakediş Süresi Aşıldı"),"Bekleniyor - Nakliye/Montaj Tamamlanmadı")))</f>
        <v/>
      </c>
      <c r="Q645" s="28">
        <f>IF(A645="","",SUMIFS('Hakedis Fatura Detay'!$G$3:$G$1200,'Hakedis Fatura Detay'!$H$3:$H$1200,'DIVA Satislari'!AJ645,'Hakedis Fatura Detay'!$F$3:$F$1200,"Fiyat Farkı")+SUMIFS('Hakedis Fatura Detay'!$G$3:$G$1200,'Hakedis Fatura Detay'!$H$3:$H$1200,'DIVA Satislari'!AJ645,'Hakedis Fatura Detay'!$F$3:$F$1200,"Bundle"))</f>
        <v/>
      </c>
      <c r="R645" s="28">
        <f>IF(A645="","",I645-Q645)</f>
        <v/>
      </c>
      <c r="S645" s="26">
        <f>IF(A645="","",IF(LEFT(P645,7)="Bekleni","N/A - Henüz Ödenmemeli",IF(LEFT(P645,4)="RİSK","İNCELEME GEREKLİ - Süre Aşımı",IF(R645=0,"Doğru",IF(R645&gt;0,"EKSİK ÖDENMİŞ","FAZLA ÖDENMİŞ")))))</f>
        <v/>
      </c>
      <c r="T645" s="30">
        <f>IF(A645="","",IF(F645&lt;&gt;"Evet","İNCELEME GEREKLİ - Kampanya Tanımsız",IF(G645&lt;&gt;"Evet","İNCELEME GEREKLİ - Tarih Dışı Satış",IF(LEFT(P645,4)="RİSK","İNCELEME GEREKLİ - Hakediş Süresi Aşıldı",IF(OR(S645="EKSİK ÖDENMİŞ",S645="FAZLA ÖDENMİŞ"),"İNCELEME GEREKLİ - Tutar Uyuşmazlığı",IF(LEFT(P645,7)="Bekleni","Bekleniyor","Uygun"))))))</f>
        <v/>
      </c>
    </row>
    <row r="646">
      <c r="A646" s="26">
        <f>IF('DIVA Satislari'!I646="","",'DIVA Satislari'!I646)</f>
        <v/>
      </c>
      <c r="B646" s="26">
        <f>IF('DIVA Satislari'!I646="","",'DIVA Satislari'!R646)</f>
        <v/>
      </c>
      <c r="C646" s="26">
        <f>IF('DIVA Satislari'!I646="","",'DIVA Satislari'!M646)</f>
        <v/>
      </c>
      <c r="D646" s="27">
        <f>IF('DIVA Satislari'!I646="","",'DIVA Satislari'!H646)</f>
        <v/>
      </c>
      <c r="E646" s="26">
        <f>IF('DIVA Satislari'!I646="","",'DIVA Satislari'!O646)</f>
        <v/>
      </c>
      <c r="F646" s="26">
        <f>IF('DIVA Satislari'!I646="","",'DIVA Satislari'!AK646)</f>
        <v/>
      </c>
      <c r="G646" s="26">
        <f>IF('DIVA Satislari'!I646="","",'DIVA Satislari'!AO646)</f>
        <v/>
      </c>
      <c r="H646" s="27">
        <f>IF('DIVA Satislari'!I646="","",'DIVA Satislari'!AN646)</f>
        <v/>
      </c>
      <c r="I646" s="28">
        <f>IF('DIVA Satislari'!I646="","",'DIVA Satislari'!AQ646)</f>
        <v/>
      </c>
      <c r="J646" s="26">
        <f>IF('DIVA Satislari'!I646="","",'DIVA Satislari'!AR646)</f>
        <v/>
      </c>
      <c r="K646" s="26">
        <f>IF('DIVA Satislari'!I646="","",IFERROR(INDEX('E2E Nakliye Montaj'!$AS$3:$AS$1002,MATCH('DIVA Satislari'!AJ646,'E2E Nakliye Montaj'!$AM$3:$AM$1002,0)),"Eşleşme Yok"))</f>
        <v/>
      </c>
      <c r="L646" s="26">
        <f>IF('DIVA Satislari'!I646="","",IFERROR(INDEX('E2E Nakliye Montaj'!$AT$3:$AT$1002,MATCH('DIVA Satislari'!AJ646,'E2E Nakliye Montaj'!$AM$3:$AM$1002,0)),"Hayır"))</f>
        <v/>
      </c>
      <c r="M646" s="26">
        <f>IF('DIVA Satislari'!I646="","",IFERROR(INDEX('E2E Nakliye Montaj'!$AU$3:$AU$1002,MATCH('DIVA Satislari'!AJ646,'E2E Nakliye Montaj'!$AM$3:$AM$1002,0)),"Hayır"))</f>
        <v/>
      </c>
      <c r="N646" s="27">
        <f>IF('DIVA Satislari'!I646="","",IFERROR(INDEX('E2E Nakliye Montaj'!$AV$3:$AV$1002,MATCH('DIVA Satislari'!AJ646,'E2E Nakliye Montaj'!$AM$3:$AM$1002,0)),""))</f>
        <v/>
      </c>
      <c r="O646" s="26">
        <f>IF(OR(A646="",N646=""),"",IF(N646&lt;=H646,"Evet","HAYIR - RİSK"))</f>
        <v/>
      </c>
      <c r="P646" s="26">
        <f>IF(A646="","",IF(LEFT(J646,8)="Kural A ","Uygun - Hemen Ödenir (Yıl Sonu %75 Kontrolüne Tabi)",IF(OR(L646="Evet",M646="Evet"),IF(O646="Evet","Uygun","RİSK - Hakediş Süresi Aşıldı"),"Bekleniyor - Nakliye/Montaj Tamamlanmadı")))</f>
        <v/>
      </c>
      <c r="Q646" s="28">
        <f>IF(A646="","",SUMIFS('Hakedis Fatura Detay'!$G$3:$G$1200,'Hakedis Fatura Detay'!$H$3:$H$1200,'DIVA Satislari'!AJ646,'Hakedis Fatura Detay'!$F$3:$F$1200,"Fiyat Farkı")+SUMIFS('Hakedis Fatura Detay'!$G$3:$G$1200,'Hakedis Fatura Detay'!$H$3:$H$1200,'DIVA Satislari'!AJ646,'Hakedis Fatura Detay'!$F$3:$F$1200,"Bundle"))</f>
        <v/>
      </c>
      <c r="R646" s="28">
        <f>IF(A646="","",I646-Q646)</f>
        <v/>
      </c>
      <c r="S646" s="26">
        <f>IF(A646="","",IF(LEFT(P646,7)="Bekleni","N/A - Henüz Ödenmemeli",IF(LEFT(P646,4)="RİSK","İNCELEME GEREKLİ - Süre Aşımı",IF(R646=0,"Doğru",IF(R646&gt;0,"EKSİK ÖDENMİŞ","FAZLA ÖDENMİŞ")))))</f>
        <v/>
      </c>
      <c r="T646" s="30">
        <f>IF(A646="","",IF(F646&lt;&gt;"Evet","İNCELEME GEREKLİ - Kampanya Tanımsız",IF(G646&lt;&gt;"Evet","İNCELEME GEREKLİ - Tarih Dışı Satış",IF(LEFT(P646,4)="RİSK","İNCELEME GEREKLİ - Hakediş Süresi Aşıldı",IF(OR(S646="EKSİK ÖDENMİŞ",S646="FAZLA ÖDENMİŞ"),"İNCELEME GEREKLİ - Tutar Uyuşmazlığı",IF(LEFT(P646,7)="Bekleni","Bekleniyor","Uygun"))))))</f>
        <v/>
      </c>
    </row>
    <row r="647">
      <c r="A647" s="26">
        <f>IF('DIVA Satislari'!I647="","",'DIVA Satislari'!I647)</f>
        <v/>
      </c>
      <c r="B647" s="26">
        <f>IF('DIVA Satislari'!I647="","",'DIVA Satislari'!R647)</f>
        <v/>
      </c>
      <c r="C647" s="26">
        <f>IF('DIVA Satislari'!I647="","",'DIVA Satislari'!M647)</f>
        <v/>
      </c>
      <c r="D647" s="27">
        <f>IF('DIVA Satislari'!I647="","",'DIVA Satislari'!H647)</f>
        <v/>
      </c>
      <c r="E647" s="26">
        <f>IF('DIVA Satislari'!I647="","",'DIVA Satislari'!O647)</f>
        <v/>
      </c>
      <c r="F647" s="26">
        <f>IF('DIVA Satislari'!I647="","",'DIVA Satislari'!AK647)</f>
        <v/>
      </c>
      <c r="G647" s="26">
        <f>IF('DIVA Satislari'!I647="","",'DIVA Satislari'!AO647)</f>
        <v/>
      </c>
      <c r="H647" s="27">
        <f>IF('DIVA Satislari'!I647="","",'DIVA Satislari'!AN647)</f>
        <v/>
      </c>
      <c r="I647" s="28">
        <f>IF('DIVA Satislari'!I647="","",'DIVA Satislari'!AQ647)</f>
        <v/>
      </c>
      <c r="J647" s="26">
        <f>IF('DIVA Satislari'!I647="","",'DIVA Satislari'!AR647)</f>
        <v/>
      </c>
      <c r="K647" s="26">
        <f>IF('DIVA Satislari'!I647="","",IFERROR(INDEX('E2E Nakliye Montaj'!$AS$3:$AS$1002,MATCH('DIVA Satislari'!AJ647,'E2E Nakliye Montaj'!$AM$3:$AM$1002,0)),"Eşleşme Yok"))</f>
        <v/>
      </c>
      <c r="L647" s="26">
        <f>IF('DIVA Satislari'!I647="","",IFERROR(INDEX('E2E Nakliye Montaj'!$AT$3:$AT$1002,MATCH('DIVA Satislari'!AJ647,'E2E Nakliye Montaj'!$AM$3:$AM$1002,0)),"Hayır"))</f>
        <v/>
      </c>
      <c r="M647" s="26">
        <f>IF('DIVA Satislari'!I647="","",IFERROR(INDEX('E2E Nakliye Montaj'!$AU$3:$AU$1002,MATCH('DIVA Satislari'!AJ647,'E2E Nakliye Montaj'!$AM$3:$AM$1002,0)),"Hayır"))</f>
        <v/>
      </c>
      <c r="N647" s="27">
        <f>IF('DIVA Satislari'!I647="","",IFERROR(INDEX('E2E Nakliye Montaj'!$AV$3:$AV$1002,MATCH('DIVA Satislari'!AJ647,'E2E Nakliye Montaj'!$AM$3:$AM$1002,0)),""))</f>
        <v/>
      </c>
      <c r="O647" s="26">
        <f>IF(OR(A647="",N647=""),"",IF(N647&lt;=H647,"Evet","HAYIR - RİSK"))</f>
        <v/>
      </c>
      <c r="P647" s="26">
        <f>IF(A647="","",IF(LEFT(J647,8)="Kural A ","Uygun - Hemen Ödenir (Yıl Sonu %75 Kontrolüne Tabi)",IF(OR(L647="Evet",M647="Evet"),IF(O647="Evet","Uygun","RİSK - Hakediş Süresi Aşıldı"),"Bekleniyor - Nakliye/Montaj Tamamlanmadı")))</f>
        <v/>
      </c>
      <c r="Q647" s="28">
        <f>IF(A647="","",SUMIFS('Hakedis Fatura Detay'!$G$3:$G$1200,'Hakedis Fatura Detay'!$H$3:$H$1200,'DIVA Satislari'!AJ647,'Hakedis Fatura Detay'!$F$3:$F$1200,"Fiyat Farkı")+SUMIFS('Hakedis Fatura Detay'!$G$3:$G$1200,'Hakedis Fatura Detay'!$H$3:$H$1200,'DIVA Satislari'!AJ647,'Hakedis Fatura Detay'!$F$3:$F$1200,"Bundle"))</f>
        <v/>
      </c>
      <c r="R647" s="28">
        <f>IF(A647="","",I647-Q647)</f>
        <v/>
      </c>
      <c r="S647" s="26">
        <f>IF(A647="","",IF(LEFT(P647,7)="Bekleni","N/A - Henüz Ödenmemeli",IF(LEFT(P647,4)="RİSK","İNCELEME GEREKLİ - Süre Aşımı",IF(R647=0,"Doğru",IF(R647&gt;0,"EKSİK ÖDENMİŞ","FAZLA ÖDENMİŞ")))))</f>
        <v/>
      </c>
      <c r="T647" s="30">
        <f>IF(A647="","",IF(F647&lt;&gt;"Evet","İNCELEME GEREKLİ - Kampanya Tanımsız",IF(G647&lt;&gt;"Evet","İNCELEME GEREKLİ - Tarih Dışı Satış",IF(LEFT(P647,4)="RİSK","İNCELEME GEREKLİ - Hakediş Süresi Aşıldı",IF(OR(S647="EKSİK ÖDENMİŞ",S647="FAZLA ÖDENMİŞ"),"İNCELEME GEREKLİ - Tutar Uyuşmazlığı",IF(LEFT(P647,7)="Bekleni","Bekleniyor","Uygun"))))))</f>
        <v/>
      </c>
    </row>
    <row r="648">
      <c r="A648" s="26">
        <f>IF('DIVA Satislari'!I648="","",'DIVA Satislari'!I648)</f>
        <v/>
      </c>
      <c r="B648" s="26">
        <f>IF('DIVA Satislari'!I648="","",'DIVA Satislari'!R648)</f>
        <v/>
      </c>
      <c r="C648" s="26">
        <f>IF('DIVA Satislari'!I648="","",'DIVA Satislari'!M648)</f>
        <v/>
      </c>
      <c r="D648" s="27">
        <f>IF('DIVA Satislari'!I648="","",'DIVA Satislari'!H648)</f>
        <v/>
      </c>
      <c r="E648" s="26">
        <f>IF('DIVA Satislari'!I648="","",'DIVA Satislari'!O648)</f>
        <v/>
      </c>
      <c r="F648" s="26">
        <f>IF('DIVA Satislari'!I648="","",'DIVA Satislari'!AK648)</f>
        <v/>
      </c>
      <c r="G648" s="26">
        <f>IF('DIVA Satislari'!I648="","",'DIVA Satislari'!AO648)</f>
        <v/>
      </c>
      <c r="H648" s="27">
        <f>IF('DIVA Satislari'!I648="","",'DIVA Satislari'!AN648)</f>
        <v/>
      </c>
      <c r="I648" s="28">
        <f>IF('DIVA Satislari'!I648="","",'DIVA Satislari'!AQ648)</f>
        <v/>
      </c>
      <c r="J648" s="26">
        <f>IF('DIVA Satislari'!I648="","",'DIVA Satislari'!AR648)</f>
        <v/>
      </c>
      <c r="K648" s="26">
        <f>IF('DIVA Satislari'!I648="","",IFERROR(INDEX('E2E Nakliye Montaj'!$AS$3:$AS$1002,MATCH('DIVA Satislari'!AJ648,'E2E Nakliye Montaj'!$AM$3:$AM$1002,0)),"Eşleşme Yok"))</f>
        <v/>
      </c>
      <c r="L648" s="26">
        <f>IF('DIVA Satislari'!I648="","",IFERROR(INDEX('E2E Nakliye Montaj'!$AT$3:$AT$1002,MATCH('DIVA Satislari'!AJ648,'E2E Nakliye Montaj'!$AM$3:$AM$1002,0)),"Hayır"))</f>
        <v/>
      </c>
      <c r="M648" s="26">
        <f>IF('DIVA Satislari'!I648="","",IFERROR(INDEX('E2E Nakliye Montaj'!$AU$3:$AU$1002,MATCH('DIVA Satislari'!AJ648,'E2E Nakliye Montaj'!$AM$3:$AM$1002,0)),"Hayır"))</f>
        <v/>
      </c>
      <c r="N648" s="27">
        <f>IF('DIVA Satislari'!I648="","",IFERROR(INDEX('E2E Nakliye Montaj'!$AV$3:$AV$1002,MATCH('DIVA Satislari'!AJ648,'E2E Nakliye Montaj'!$AM$3:$AM$1002,0)),""))</f>
        <v/>
      </c>
      <c r="O648" s="26">
        <f>IF(OR(A648="",N648=""),"",IF(N648&lt;=H648,"Evet","HAYIR - RİSK"))</f>
        <v/>
      </c>
      <c r="P648" s="26">
        <f>IF(A648="","",IF(LEFT(J648,8)="Kural A ","Uygun - Hemen Ödenir (Yıl Sonu %75 Kontrolüne Tabi)",IF(OR(L648="Evet",M648="Evet"),IF(O648="Evet","Uygun","RİSK - Hakediş Süresi Aşıldı"),"Bekleniyor - Nakliye/Montaj Tamamlanmadı")))</f>
        <v/>
      </c>
      <c r="Q648" s="28">
        <f>IF(A648="","",SUMIFS('Hakedis Fatura Detay'!$G$3:$G$1200,'Hakedis Fatura Detay'!$H$3:$H$1200,'DIVA Satislari'!AJ648,'Hakedis Fatura Detay'!$F$3:$F$1200,"Fiyat Farkı")+SUMIFS('Hakedis Fatura Detay'!$G$3:$G$1200,'Hakedis Fatura Detay'!$H$3:$H$1200,'DIVA Satislari'!AJ648,'Hakedis Fatura Detay'!$F$3:$F$1200,"Bundle"))</f>
        <v/>
      </c>
      <c r="R648" s="28">
        <f>IF(A648="","",I648-Q648)</f>
        <v/>
      </c>
      <c r="S648" s="26">
        <f>IF(A648="","",IF(LEFT(P648,7)="Bekleni","N/A - Henüz Ödenmemeli",IF(LEFT(P648,4)="RİSK","İNCELEME GEREKLİ - Süre Aşımı",IF(R648=0,"Doğru",IF(R648&gt;0,"EKSİK ÖDENMİŞ","FAZLA ÖDENMİŞ")))))</f>
        <v/>
      </c>
      <c r="T648" s="30">
        <f>IF(A648="","",IF(F648&lt;&gt;"Evet","İNCELEME GEREKLİ - Kampanya Tanımsız",IF(G648&lt;&gt;"Evet","İNCELEME GEREKLİ - Tarih Dışı Satış",IF(LEFT(P648,4)="RİSK","İNCELEME GEREKLİ - Hakediş Süresi Aşıldı",IF(OR(S648="EKSİK ÖDENMİŞ",S648="FAZLA ÖDENMİŞ"),"İNCELEME GEREKLİ - Tutar Uyuşmazlığı",IF(LEFT(P648,7)="Bekleni","Bekleniyor","Uygun"))))))</f>
        <v/>
      </c>
    </row>
    <row r="649">
      <c r="A649" s="26">
        <f>IF('DIVA Satislari'!I649="","",'DIVA Satislari'!I649)</f>
        <v/>
      </c>
      <c r="B649" s="26">
        <f>IF('DIVA Satislari'!I649="","",'DIVA Satislari'!R649)</f>
        <v/>
      </c>
      <c r="C649" s="26">
        <f>IF('DIVA Satislari'!I649="","",'DIVA Satislari'!M649)</f>
        <v/>
      </c>
      <c r="D649" s="27">
        <f>IF('DIVA Satislari'!I649="","",'DIVA Satislari'!H649)</f>
        <v/>
      </c>
      <c r="E649" s="26">
        <f>IF('DIVA Satislari'!I649="","",'DIVA Satislari'!O649)</f>
        <v/>
      </c>
      <c r="F649" s="26">
        <f>IF('DIVA Satislari'!I649="","",'DIVA Satislari'!AK649)</f>
        <v/>
      </c>
      <c r="G649" s="26">
        <f>IF('DIVA Satislari'!I649="","",'DIVA Satislari'!AO649)</f>
        <v/>
      </c>
      <c r="H649" s="27">
        <f>IF('DIVA Satislari'!I649="","",'DIVA Satislari'!AN649)</f>
        <v/>
      </c>
      <c r="I649" s="28">
        <f>IF('DIVA Satislari'!I649="","",'DIVA Satislari'!AQ649)</f>
        <v/>
      </c>
      <c r="J649" s="26">
        <f>IF('DIVA Satislari'!I649="","",'DIVA Satislari'!AR649)</f>
        <v/>
      </c>
      <c r="K649" s="26">
        <f>IF('DIVA Satislari'!I649="","",IFERROR(INDEX('E2E Nakliye Montaj'!$AS$3:$AS$1002,MATCH('DIVA Satislari'!AJ649,'E2E Nakliye Montaj'!$AM$3:$AM$1002,0)),"Eşleşme Yok"))</f>
        <v/>
      </c>
      <c r="L649" s="26">
        <f>IF('DIVA Satislari'!I649="","",IFERROR(INDEX('E2E Nakliye Montaj'!$AT$3:$AT$1002,MATCH('DIVA Satislari'!AJ649,'E2E Nakliye Montaj'!$AM$3:$AM$1002,0)),"Hayır"))</f>
        <v/>
      </c>
      <c r="M649" s="26">
        <f>IF('DIVA Satislari'!I649="","",IFERROR(INDEX('E2E Nakliye Montaj'!$AU$3:$AU$1002,MATCH('DIVA Satislari'!AJ649,'E2E Nakliye Montaj'!$AM$3:$AM$1002,0)),"Hayır"))</f>
        <v/>
      </c>
      <c r="N649" s="27">
        <f>IF('DIVA Satislari'!I649="","",IFERROR(INDEX('E2E Nakliye Montaj'!$AV$3:$AV$1002,MATCH('DIVA Satislari'!AJ649,'E2E Nakliye Montaj'!$AM$3:$AM$1002,0)),""))</f>
        <v/>
      </c>
      <c r="O649" s="26">
        <f>IF(OR(A649="",N649=""),"",IF(N649&lt;=H649,"Evet","HAYIR - RİSK"))</f>
        <v/>
      </c>
      <c r="P649" s="26">
        <f>IF(A649="","",IF(LEFT(J649,8)="Kural A ","Uygun - Hemen Ödenir (Yıl Sonu %75 Kontrolüne Tabi)",IF(OR(L649="Evet",M649="Evet"),IF(O649="Evet","Uygun","RİSK - Hakediş Süresi Aşıldı"),"Bekleniyor - Nakliye/Montaj Tamamlanmadı")))</f>
        <v/>
      </c>
      <c r="Q649" s="28">
        <f>IF(A649="","",SUMIFS('Hakedis Fatura Detay'!$G$3:$G$1200,'Hakedis Fatura Detay'!$H$3:$H$1200,'DIVA Satislari'!AJ649,'Hakedis Fatura Detay'!$F$3:$F$1200,"Fiyat Farkı")+SUMIFS('Hakedis Fatura Detay'!$G$3:$G$1200,'Hakedis Fatura Detay'!$H$3:$H$1200,'DIVA Satislari'!AJ649,'Hakedis Fatura Detay'!$F$3:$F$1200,"Bundle"))</f>
        <v/>
      </c>
      <c r="R649" s="28">
        <f>IF(A649="","",I649-Q649)</f>
        <v/>
      </c>
      <c r="S649" s="26">
        <f>IF(A649="","",IF(LEFT(P649,7)="Bekleni","N/A - Henüz Ödenmemeli",IF(LEFT(P649,4)="RİSK","İNCELEME GEREKLİ - Süre Aşımı",IF(R649=0,"Doğru",IF(R649&gt;0,"EKSİK ÖDENMİŞ","FAZLA ÖDENMİŞ")))))</f>
        <v/>
      </c>
      <c r="T649" s="30">
        <f>IF(A649="","",IF(F649&lt;&gt;"Evet","İNCELEME GEREKLİ - Kampanya Tanımsız",IF(G649&lt;&gt;"Evet","İNCELEME GEREKLİ - Tarih Dışı Satış",IF(LEFT(P649,4)="RİSK","İNCELEME GEREKLİ - Hakediş Süresi Aşıldı",IF(OR(S649="EKSİK ÖDENMİŞ",S649="FAZLA ÖDENMİŞ"),"İNCELEME GEREKLİ - Tutar Uyuşmazlığı",IF(LEFT(P649,7)="Bekleni","Bekleniyor","Uygun"))))))</f>
        <v/>
      </c>
    </row>
    <row r="650">
      <c r="A650" s="26">
        <f>IF('DIVA Satislari'!I650="","",'DIVA Satislari'!I650)</f>
        <v/>
      </c>
      <c r="B650" s="26">
        <f>IF('DIVA Satislari'!I650="","",'DIVA Satislari'!R650)</f>
        <v/>
      </c>
      <c r="C650" s="26">
        <f>IF('DIVA Satislari'!I650="","",'DIVA Satislari'!M650)</f>
        <v/>
      </c>
      <c r="D650" s="27">
        <f>IF('DIVA Satislari'!I650="","",'DIVA Satislari'!H650)</f>
        <v/>
      </c>
      <c r="E650" s="26">
        <f>IF('DIVA Satislari'!I650="","",'DIVA Satislari'!O650)</f>
        <v/>
      </c>
      <c r="F650" s="26">
        <f>IF('DIVA Satislari'!I650="","",'DIVA Satislari'!AK650)</f>
        <v/>
      </c>
      <c r="G650" s="26">
        <f>IF('DIVA Satislari'!I650="","",'DIVA Satislari'!AO650)</f>
        <v/>
      </c>
      <c r="H650" s="27">
        <f>IF('DIVA Satislari'!I650="","",'DIVA Satislari'!AN650)</f>
        <v/>
      </c>
      <c r="I650" s="28">
        <f>IF('DIVA Satislari'!I650="","",'DIVA Satislari'!AQ650)</f>
        <v/>
      </c>
      <c r="J650" s="26">
        <f>IF('DIVA Satislari'!I650="","",'DIVA Satislari'!AR650)</f>
        <v/>
      </c>
      <c r="K650" s="26">
        <f>IF('DIVA Satislari'!I650="","",IFERROR(INDEX('E2E Nakliye Montaj'!$AS$3:$AS$1002,MATCH('DIVA Satislari'!AJ650,'E2E Nakliye Montaj'!$AM$3:$AM$1002,0)),"Eşleşme Yok"))</f>
        <v/>
      </c>
      <c r="L650" s="26">
        <f>IF('DIVA Satislari'!I650="","",IFERROR(INDEX('E2E Nakliye Montaj'!$AT$3:$AT$1002,MATCH('DIVA Satislari'!AJ650,'E2E Nakliye Montaj'!$AM$3:$AM$1002,0)),"Hayır"))</f>
        <v/>
      </c>
      <c r="M650" s="26">
        <f>IF('DIVA Satislari'!I650="","",IFERROR(INDEX('E2E Nakliye Montaj'!$AU$3:$AU$1002,MATCH('DIVA Satislari'!AJ650,'E2E Nakliye Montaj'!$AM$3:$AM$1002,0)),"Hayır"))</f>
        <v/>
      </c>
      <c r="N650" s="27">
        <f>IF('DIVA Satislari'!I650="","",IFERROR(INDEX('E2E Nakliye Montaj'!$AV$3:$AV$1002,MATCH('DIVA Satislari'!AJ650,'E2E Nakliye Montaj'!$AM$3:$AM$1002,0)),""))</f>
        <v/>
      </c>
      <c r="O650" s="26">
        <f>IF(OR(A650="",N650=""),"",IF(N650&lt;=H650,"Evet","HAYIR - RİSK"))</f>
        <v/>
      </c>
      <c r="P650" s="26">
        <f>IF(A650="","",IF(LEFT(J650,8)="Kural A ","Uygun - Hemen Ödenir (Yıl Sonu %75 Kontrolüne Tabi)",IF(OR(L650="Evet",M650="Evet"),IF(O650="Evet","Uygun","RİSK - Hakediş Süresi Aşıldı"),"Bekleniyor - Nakliye/Montaj Tamamlanmadı")))</f>
        <v/>
      </c>
      <c r="Q650" s="28">
        <f>IF(A650="","",SUMIFS('Hakedis Fatura Detay'!$G$3:$G$1200,'Hakedis Fatura Detay'!$H$3:$H$1200,'DIVA Satislari'!AJ650,'Hakedis Fatura Detay'!$F$3:$F$1200,"Fiyat Farkı")+SUMIFS('Hakedis Fatura Detay'!$G$3:$G$1200,'Hakedis Fatura Detay'!$H$3:$H$1200,'DIVA Satislari'!AJ650,'Hakedis Fatura Detay'!$F$3:$F$1200,"Bundle"))</f>
        <v/>
      </c>
      <c r="R650" s="28">
        <f>IF(A650="","",I650-Q650)</f>
        <v/>
      </c>
      <c r="S650" s="26">
        <f>IF(A650="","",IF(LEFT(P650,7)="Bekleni","N/A - Henüz Ödenmemeli",IF(LEFT(P650,4)="RİSK","İNCELEME GEREKLİ - Süre Aşımı",IF(R650=0,"Doğru",IF(R650&gt;0,"EKSİK ÖDENMİŞ","FAZLA ÖDENMİŞ")))))</f>
        <v/>
      </c>
      <c r="T650" s="30">
        <f>IF(A650="","",IF(F650&lt;&gt;"Evet","İNCELEME GEREKLİ - Kampanya Tanımsız",IF(G650&lt;&gt;"Evet","İNCELEME GEREKLİ - Tarih Dışı Satış",IF(LEFT(P650,4)="RİSK","İNCELEME GEREKLİ - Hakediş Süresi Aşıldı",IF(OR(S650="EKSİK ÖDENMİŞ",S650="FAZLA ÖDENMİŞ"),"İNCELEME GEREKLİ - Tutar Uyuşmazlığı",IF(LEFT(P650,7)="Bekleni","Bekleniyor","Uygun"))))))</f>
        <v/>
      </c>
    </row>
    <row r="651">
      <c r="A651" s="26">
        <f>IF('DIVA Satislari'!I651="","",'DIVA Satislari'!I651)</f>
        <v/>
      </c>
      <c r="B651" s="26">
        <f>IF('DIVA Satislari'!I651="","",'DIVA Satislari'!R651)</f>
        <v/>
      </c>
      <c r="C651" s="26">
        <f>IF('DIVA Satislari'!I651="","",'DIVA Satislari'!M651)</f>
        <v/>
      </c>
      <c r="D651" s="27">
        <f>IF('DIVA Satislari'!I651="","",'DIVA Satislari'!H651)</f>
        <v/>
      </c>
      <c r="E651" s="26">
        <f>IF('DIVA Satislari'!I651="","",'DIVA Satislari'!O651)</f>
        <v/>
      </c>
      <c r="F651" s="26">
        <f>IF('DIVA Satislari'!I651="","",'DIVA Satislari'!AK651)</f>
        <v/>
      </c>
      <c r="G651" s="26">
        <f>IF('DIVA Satislari'!I651="","",'DIVA Satislari'!AO651)</f>
        <v/>
      </c>
      <c r="H651" s="27">
        <f>IF('DIVA Satislari'!I651="","",'DIVA Satislari'!AN651)</f>
        <v/>
      </c>
      <c r="I651" s="28">
        <f>IF('DIVA Satislari'!I651="","",'DIVA Satislari'!AQ651)</f>
        <v/>
      </c>
      <c r="J651" s="26">
        <f>IF('DIVA Satislari'!I651="","",'DIVA Satislari'!AR651)</f>
        <v/>
      </c>
      <c r="K651" s="26">
        <f>IF('DIVA Satislari'!I651="","",IFERROR(INDEX('E2E Nakliye Montaj'!$AS$3:$AS$1002,MATCH('DIVA Satislari'!AJ651,'E2E Nakliye Montaj'!$AM$3:$AM$1002,0)),"Eşleşme Yok"))</f>
        <v/>
      </c>
      <c r="L651" s="26">
        <f>IF('DIVA Satislari'!I651="","",IFERROR(INDEX('E2E Nakliye Montaj'!$AT$3:$AT$1002,MATCH('DIVA Satislari'!AJ651,'E2E Nakliye Montaj'!$AM$3:$AM$1002,0)),"Hayır"))</f>
        <v/>
      </c>
      <c r="M651" s="26">
        <f>IF('DIVA Satislari'!I651="","",IFERROR(INDEX('E2E Nakliye Montaj'!$AU$3:$AU$1002,MATCH('DIVA Satislari'!AJ651,'E2E Nakliye Montaj'!$AM$3:$AM$1002,0)),"Hayır"))</f>
        <v/>
      </c>
      <c r="N651" s="27">
        <f>IF('DIVA Satislari'!I651="","",IFERROR(INDEX('E2E Nakliye Montaj'!$AV$3:$AV$1002,MATCH('DIVA Satislari'!AJ651,'E2E Nakliye Montaj'!$AM$3:$AM$1002,0)),""))</f>
        <v/>
      </c>
      <c r="O651" s="26">
        <f>IF(OR(A651="",N651=""),"",IF(N651&lt;=H651,"Evet","HAYIR - RİSK"))</f>
        <v/>
      </c>
      <c r="P651" s="26">
        <f>IF(A651="","",IF(LEFT(J651,8)="Kural A ","Uygun - Hemen Ödenir (Yıl Sonu %75 Kontrolüne Tabi)",IF(OR(L651="Evet",M651="Evet"),IF(O651="Evet","Uygun","RİSK - Hakediş Süresi Aşıldı"),"Bekleniyor - Nakliye/Montaj Tamamlanmadı")))</f>
        <v/>
      </c>
      <c r="Q651" s="28">
        <f>IF(A651="","",SUMIFS('Hakedis Fatura Detay'!$G$3:$G$1200,'Hakedis Fatura Detay'!$H$3:$H$1200,'DIVA Satislari'!AJ651,'Hakedis Fatura Detay'!$F$3:$F$1200,"Fiyat Farkı")+SUMIFS('Hakedis Fatura Detay'!$G$3:$G$1200,'Hakedis Fatura Detay'!$H$3:$H$1200,'DIVA Satislari'!AJ651,'Hakedis Fatura Detay'!$F$3:$F$1200,"Bundle"))</f>
        <v/>
      </c>
      <c r="R651" s="28">
        <f>IF(A651="","",I651-Q651)</f>
        <v/>
      </c>
      <c r="S651" s="26">
        <f>IF(A651="","",IF(LEFT(P651,7)="Bekleni","N/A - Henüz Ödenmemeli",IF(LEFT(P651,4)="RİSK","İNCELEME GEREKLİ - Süre Aşımı",IF(R651=0,"Doğru",IF(R651&gt;0,"EKSİK ÖDENMİŞ","FAZLA ÖDENMİŞ")))))</f>
        <v/>
      </c>
      <c r="T651" s="30">
        <f>IF(A651="","",IF(F651&lt;&gt;"Evet","İNCELEME GEREKLİ - Kampanya Tanımsız",IF(G651&lt;&gt;"Evet","İNCELEME GEREKLİ - Tarih Dışı Satış",IF(LEFT(P651,4)="RİSK","İNCELEME GEREKLİ - Hakediş Süresi Aşıldı",IF(OR(S651="EKSİK ÖDENMİŞ",S651="FAZLA ÖDENMİŞ"),"İNCELEME GEREKLİ - Tutar Uyuşmazlığı",IF(LEFT(P651,7)="Bekleni","Bekleniyor","Uygun"))))))</f>
        <v/>
      </c>
    </row>
    <row r="652">
      <c r="A652" s="26">
        <f>IF('DIVA Satislari'!I652="","",'DIVA Satislari'!I652)</f>
        <v/>
      </c>
      <c r="B652" s="26">
        <f>IF('DIVA Satislari'!I652="","",'DIVA Satislari'!R652)</f>
        <v/>
      </c>
      <c r="C652" s="26">
        <f>IF('DIVA Satislari'!I652="","",'DIVA Satislari'!M652)</f>
        <v/>
      </c>
      <c r="D652" s="27">
        <f>IF('DIVA Satislari'!I652="","",'DIVA Satislari'!H652)</f>
        <v/>
      </c>
      <c r="E652" s="26">
        <f>IF('DIVA Satislari'!I652="","",'DIVA Satislari'!O652)</f>
        <v/>
      </c>
      <c r="F652" s="26">
        <f>IF('DIVA Satislari'!I652="","",'DIVA Satislari'!AK652)</f>
        <v/>
      </c>
      <c r="G652" s="26">
        <f>IF('DIVA Satislari'!I652="","",'DIVA Satislari'!AO652)</f>
        <v/>
      </c>
      <c r="H652" s="27">
        <f>IF('DIVA Satislari'!I652="","",'DIVA Satislari'!AN652)</f>
        <v/>
      </c>
      <c r="I652" s="28">
        <f>IF('DIVA Satislari'!I652="","",'DIVA Satislari'!AQ652)</f>
        <v/>
      </c>
      <c r="J652" s="26">
        <f>IF('DIVA Satislari'!I652="","",'DIVA Satislari'!AR652)</f>
        <v/>
      </c>
      <c r="K652" s="26">
        <f>IF('DIVA Satislari'!I652="","",IFERROR(INDEX('E2E Nakliye Montaj'!$AS$3:$AS$1002,MATCH('DIVA Satislari'!AJ652,'E2E Nakliye Montaj'!$AM$3:$AM$1002,0)),"Eşleşme Yok"))</f>
        <v/>
      </c>
      <c r="L652" s="26">
        <f>IF('DIVA Satislari'!I652="","",IFERROR(INDEX('E2E Nakliye Montaj'!$AT$3:$AT$1002,MATCH('DIVA Satislari'!AJ652,'E2E Nakliye Montaj'!$AM$3:$AM$1002,0)),"Hayır"))</f>
        <v/>
      </c>
      <c r="M652" s="26">
        <f>IF('DIVA Satislari'!I652="","",IFERROR(INDEX('E2E Nakliye Montaj'!$AU$3:$AU$1002,MATCH('DIVA Satislari'!AJ652,'E2E Nakliye Montaj'!$AM$3:$AM$1002,0)),"Hayır"))</f>
        <v/>
      </c>
      <c r="N652" s="27">
        <f>IF('DIVA Satislari'!I652="","",IFERROR(INDEX('E2E Nakliye Montaj'!$AV$3:$AV$1002,MATCH('DIVA Satislari'!AJ652,'E2E Nakliye Montaj'!$AM$3:$AM$1002,0)),""))</f>
        <v/>
      </c>
      <c r="O652" s="26">
        <f>IF(OR(A652="",N652=""),"",IF(N652&lt;=H652,"Evet","HAYIR - RİSK"))</f>
        <v/>
      </c>
      <c r="P652" s="26">
        <f>IF(A652="","",IF(LEFT(J652,8)="Kural A ","Uygun - Hemen Ödenir (Yıl Sonu %75 Kontrolüne Tabi)",IF(OR(L652="Evet",M652="Evet"),IF(O652="Evet","Uygun","RİSK - Hakediş Süresi Aşıldı"),"Bekleniyor - Nakliye/Montaj Tamamlanmadı")))</f>
        <v/>
      </c>
      <c r="Q652" s="28">
        <f>IF(A652="","",SUMIFS('Hakedis Fatura Detay'!$G$3:$G$1200,'Hakedis Fatura Detay'!$H$3:$H$1200,'DIVA Satislari'!AJ652,'Hakedis Fatura Detay'!$F$3:$F$1200,"Fiyat Farkı")+SUMIFS('Hakedis Fatura Detay'!$G$3:$G$1200,'Hakedis Fatura Detay'!$H$3:$H$1200,'DIVA Satislari'!AJ652,'Hakedis Fatura Detay'!$F$3:$F$1200,"Bundle"))</f>
        <v/>
      </c>
      <c r="R652" s="28">
        <f>IF(A652="","",I652-Q652)</f>
        <v/>
      </c>
      <c r="S652" s="26">
        <f>IF(A652="","",IF(LEFT(P652,7)="Bekleni","N/A - Henüz Ödenmemeli",IF(LEFT(P652,4)="RİSK","İNCELEME GEREKLİ - Süre Aşımı",IF(R652=0,"Doğru",IF(R652&gt;0,"EKSİK ÖDENMİŞ","FAZLA ÖDENMİŞ")))))</f>
        <v/>
      </c>
      <c r="T652" s="30">
        <f>IF(A652="","",IF(F652&lt;&gt;"Evet","İNCELEME GEREKLİ - Kampanya Tanımsız",IF(G652&lt;&gt;"Evet","İNCELEME GEREKLİ - Tarih Dışı Satış",IF(LEFT(P652,4)="RİSK","İNCELEME GEREKLİ - Hakediş Süresi Aşıldı",IF(OR(S652="EKSİK ÖDENMİŞ",S652="FAZLA ÖDENMİŞ"),"İNCELEME GEREKLİ - Tutar Uyuşmazlığı",IF(LEFT(P652,7)="Bekleni","Bekleniyor","Uygun"))))))</f>
        <v/>
      </c>
    </row>
    <row r="653">
      <c r="A653" s="26">
        <f>IF('DIVA Satislari'!I653="","",'DIVA Satislari'!I653)</f>
        <v/>
      </c>
      <c r="B653" s="26">
        <f>IF('DIVA Satislari'!I653="","",'DIVA Satislari'!R653)</f>
        <v/>
      </c>
      <c r="C653" s="26">
        <f>IF('DIVA Satislari'!I653="","",'DIVA Satislari'!M653)</f>
        <v/>
      </c>
      <c r="D653" s="27">
        <f>IF('DIVA Satislari'!I653="","",'DIVA Satislari'!H653)</f>
        <v/>
      </c>
      <c r="E653" s="26">
        <f>IF('DIVA Satislari'!I653="","",'DIVA Satislari'!O653)</f>
        <v/>
      </c>
      <c r="F653" s="26">
        <f>IF('DIVA Satislari'!I653="","",'DIVA Satislari'!AK653)</f>
        <v/>
      </c>
      <c r="G653" s="26">
        <f>IF('DIVA Satislari'!I653="","",'DIVA Satislari'!AO653)</f>
        <v/>
      </c>
      <c r="H653" s="27">
        <f>IF('DIVA Satislari'!I653="","",'DIVA Satislari'!AN653)</f>
        <v/>
      </c>
      <c r="I653" s="28">
        <f>IF('DIVA Satislari'!I653="","",'DIVA Satislari'!AQ653)</f>
        <v/>
      </c>
      <c r="J653" s="26">
        <f>IF('DIVA Satislari'!I653="","",'DIVA Satislari'!AR653)</f>
        <v/>
      </c>
      <c r="K653" s="26">
        <f>IF('DIVA Satislari'!I653="","",IFERROR(INDEX('E2E Nakliye Montaj'!$AS$3:$AS$1002,MATCH('DIVA Satislari'!AJ653,'E2E Nakliye Montaj'!$AM$3:$AM$1002,0)),"Eşleşme Yok"))</f>
        <v/>
      </c>
      <c r="L653" s="26">
        <f>IF('DIVA Satislari'!I653="","",IFERROR(INDEX('E2E Nakliye Montaj'!$AT$3:$AT$1002,MATCH('DIVA Satislari'!AJ653,'E2E Nakliye Montaj'!$AM$3:$AM$1002,0)),"Hayır"))</f>
        <v/>
      </c>
      <c r="M653" s="26">
        <f>IF('DIVA Satislari'!I653="","",IFERROR(INDEX('E2E Nakliye Montaj'!$AU$3:$AU$1002,MATCH('DIVA Satislari'!AJ653,'E2E Nakliye Montaj'!$AM$3:$AM$1002,0)),"Hayır"))</f>
        <v/>
      </c>
      <c r="N653" s="27">
        <f>IF('DIVA Satislari'!I653="","",IFERROR(INDEX('E2E Nakliye Montaj'!$AV$3:$AV$1002,MATCH('DIVA Satislari'!AJ653,'E2E Nakliye Montaj'!$AM$3:$AM$1002,0)),""))</f>
        <v/>
      </c>
      <c r="O653" s="26">
        <f>IF(OR(A653="",N653=""),"",IF(N653&lt;=H653,"Evet","HAYIR - RİSK"))</f>
        <v/>
      </c>
      <c r="P653" s="26">
        <f>IF(A653="","",IF(LEFT(J653,8)="Kural A ","Uygun - Hemen Ödenir (Yıl Sonu %75 Kontrolüne Tabi)",IF(OR(L653="Evet",M653="Evet"),IF(O653="Evet","Uygun","RİSK - Hakediş Süresi Aşıldı"),"Bekleniyor - Nakliye/Montaj Tamamlanmadı")))</f>
        <v/>
      </c>
      <c r="Q653" s="28">
        <f>IF(A653="","",SUMIFS('Hakedis Fatura Detay'!$G$3:$G$1200,'Hakedis Fatura Detay'!$H$3:$H$1200,'DIVA Satislari'!AJ653,'Hakedis Fatura Detay'!$F$3:$F$1200,"Fiyat Farkı")+SUMIFS('Hakedis Fatura Detay'!$G$3:$G$1200,'Hakedis Fatura Detay'!$H$3:$H$1200,'DIVA Satislari'!AJ653,'Hakedis Fatura Detay'!$F$3:$F$1200,"Bundle"))</f>
        <v/>
      </c>
      <c r="R653" s="28">
        <f>IF(A653="","",I653-Q653)</f>
        <v/>
      </c>
      <c r="S653" s="26">
        <f>IF(A653="","",IF(LEFT(P653,7)="Bekleni","N/A - Henüz Ödenmemeli",IF(LEFT(P653,4)="RİSK","İNCELEME GEREKLİ - Süre Aşımı",IF(R653=0,"Doğru",IF(R653&gt;0,"EKSİK ÖDENMİŞ","FAZLA ÖDENMİŞ")))))</f>
        <v/>
      </c>
      <c r="T653" s="30">
        <f>IF(A653="","",IF(F653&lt;&gt;"Evet","İNCELEME GEREKLİ - Kampanya Tanımsız",IF(G653&lt;&gt;"Evet","İNCELEME GEREKLİ - Tarih Dışı Satış",IF(LEFT(P653,4)="RİSK","İNCELEME GEREKLİ - Hakediş Süresi Aşıldı",IF(OR(S653="EKSİK ÖDENMİŞ",S653="FAZLA ÖDENMİŞ"),"İNCELEME GEREKLİ - Tutar Uyuşmazlığı",IF(LEFT(P653,7)="Bekleni","Bekleniyor","Uygun"))))))</f>
        <v/>
      </c>
    </row>
    <row r="654">
      <c r="A654" s="26">
        <f>IF('DIVA Satislari'!I654="","",'DIVA Satislari'!I654)</f>
        <v/>
      </c>
      <c r="B654" s="26">
        <f>IF('DIVA Satislari'!I654="","",'DIVA Satislari'!R654)</f>
        <v/>
      </c>
      <c r="C654" s="26">
        <f>IF('DIVA Satislari'!I654="","",'DIVA Satislari'!M654)</f>
        <v/>
      </c>
      <c r="D654" s="27">
        <f>IF('DIVA Satislari'!I654="","",'DIVA Satislari'!H654)</f>
        <v/>
      </c>
      <c r="E654" s="26">
        <f>IF('DIVA Satislari'!I654="","",'DIVA Satislari'!O654)</f>
        <v/>
      </c>
      <c r="F654" s="26">
        <f>IF('DIVA Satislari'!I654="","",'DIVA Satislari'!AK654)</f>
        <v/>
      </c>
      <c r="G654" s="26">
        <f>IF('DIVA Satislari'!I654="","",'DIVA Satislari'!AO654)</f>
        <v/>
      </c>
      <c r="H654" s="27">
        <f>IF('DIVA Satislari'!I654="","",'DIVA Satislari'!AN654)</f>
        <v/>
      </c>
      <c r="I654" s="28">
        <f>IF('DIVA Satislari'!I654="","",'DIVA Satislari'!AQ654)</f>
        <v/>
      </c>
      <c r="J654" s="26">
        <f>IF('DIVA Satislari'!I654="","",'DIVA Satislari'!AR654)</f>
        <v/>
      </c>
      <c r="K654" s="26">
        <f>IF('DIVA Satislari'!I654="","",IFERROR(INDEX('E2E Nakliye Montaj'!$AS$3:$AS$1002,MATCH('DIVA Satislari'!AJ654,'E2E Nakliye Montaj'!$AM$3:$AM$1002,0)),"Eşleşme Yok"))</f>
        <v/>
      </c>
      <c r="L654" s="26">
        <f>IF('DIVA Satislari'!I654="","",IFERROR(INDEX('E2E Nakliye Montaj'!$AT$3:$AT$1002,MATCH('DIVA Satislari'!AJ654,'E2E Nakliye Montaj'!$AM$3:$AM$1002,0)),"Hayır"))</f>
        <v/>
      </c>
      <c r="M654" s="26">
        <f>IF('DIVA Satislari'!I654="","",IFERROR(INDEX('E2E Nakliye Montaj'!$AU$3:$AU$1002,MATCH('DIVA Satislari'!AJ654,'E2E Nakliye Montaj'!$AM$3:$AM$1002,0)),"Hayır"))</f>
        <v/>
      </c>
      <c r="N654" s="27">
        <f>IF('DIVA Satislari'!I654="","",IFERROR(INDEX('E2E Nakliye Montaj'!$AV$3:$AV$1002,MATCH('DIVA Satislari'!AJ654,'E2E Nakliye Montaj'!$AM$3:$AM$1002,0)),""))</f>
        <v/>
      </c>
      <c r="O654" s="26">
        <f>IF(OR(A654="",N654=""),"",IF(N654&lt;=H654,"Evet","HAYIR - RİSK"))</f>
        <v/>
      </c>
      <c r="P654" s="26">
        <f>IF(A654="","",IF(LEFT(J654,8)="Kural A ","Uygun - Hemen Ödenir (Yıl Sonu %75 Kontrolüne Tabi)",IF(OR(L654="Evet",M654="Evet"),IF(O654="Evet","Uygun","RİSK - Hakediş Süresi Aşıldı"),"Bekleniyor - Nakliye/Montaj Tamamlanmadı")))</f>
        <v/>
      </c>
      <c r="Q654" s="28">
        <f>IF(A654="","",SUMIFS('Hakedis Fatura Detay'!$G$3:$G$1200,'Hakedis Fatura Detay'!$H$3:$H$1200,'DIVA Satislari'!AJ654,'Hakedis Fatura Detay'!$F$3:$F$1200,"Fiyat Farkı")+SUMIFS('Hakedis Fatura Detay'!$G$3:$G$1200,'Hakedis Fatura Detay'!$H$3:$H$1200,'DIVA Satislari'!AJ654,'Hakedis Fatura Detay'!$F$3:$F$1200,"Bundle"))</f>
        <v/>
      </c>
      <c r="R654" s="28">
        <f>IF(A654="","",I654-Q654)</f>
        <v/>
      </c>
      <c r="S654" s="26">
        <f>IF(A654="","",IF(LEFT(P654,7)="Bekleni","N/A - Henüz Ödenmemeli",IF(LEFT(P654,4)="RİSK","İNCELEME GEREKLİ - Süre Aşımı",IF(R654=0,"Doğru",IF(R654&gt;0,"EKSİK ÖDENMİŞ","FAZLA ÖDENMİŞ")))))</f>
        <v/>
      </c>
      <c r="T654" s="30">
        <f>IF(A654="","",IF(F654&lt;&gt;"Evet","İNCELEME GEREKLİ - Kampanya Tanımsız",IF(G654&lt;&gt;"Evet","İNCELEME GEREKLİ - Tarih Dışı Satış",IF(LEFT(P654,4)="RİSK","İNCELEME GEREKLİ - Hakediş Süresi Aşıldı",IF(OR(S654="EKSİK ÖDENMİŞ",S654="FAZLA ÖDENMİŞ"),"İNCELEME GEREKLİ - Tutar Uyuşmazlığı",IF(LEFT(P654,7)="Bekleni","Bekleniyor","Uygun"))))))</f>
        <v/>
      </c>
    </row>
    <row r="655">
      <c r="A655" s="26">
        <f>IF('DIVA Satislari'!I655="","",'DIVA Satislari'!I655)</f>
        <v/>
      </c>
      <c r="B655" s="26">
        <f>IF('DIVA Satislari'!I655="","",'DIVA Satislari'!R655)</f>
        <v/>
      </c>
      <c r="C655" s="26">
        <f>IF('DIVA Satislari'!I655="","",'DIVA Satislari'!M655)</f>
        <v/>
      </c>
      <c r="D655" s="27">
        <f>IF('DIVA Satislari'!I655="","",'DIVA Satislari'!H655)</f>
        <v/>
      </c>
      <c r="E655" s="26">
        <f>IF('DIVA Satislari'!I655="","",'DIVA Satislari'!O655)</f>
        <v/>
      </c>
      <c r="F655" s="26">
        <f>IF('DIVA Satislari'!I655="","",'DIVA Satislari'!AK655)</f>
        <v/>
      </c>
      <c r="G655" s="26">
        <f>IF('DIVA Satislari'!I655="","",'DIVA Satislari'!AO655)</f>
        <v/>
      </c>
      <c r="H655" s="27">
        <f>IF('DIVA Satislari'!I655="","",'DIVA Satislari'!AN655)</f>
        <v/>
      </c>
      <c r="I655" s="28">
        <f>IF('DIVA Satislari'!I655="","",'DIVA Satislari'!AQ655)</f>
        <v/>
      </c>
      <c r="J655" s="26">
        <f>IF('DIVA Satislari'!I655="","",'DIVA Satislari'!AR655)</f>
        <v/>
      </c>
      <c r="K655" s="26">
        <f>IF('DIVA Satislari'!I655="","",IFERROR(INDEX('E2E Nakliye Montaj'!$AS$3:$AS$1002,MATCH('DIVA Satislari'!AJ655,'E2E Nakliye Montaj'!$AM$3:$AM$1002,0)),"Eşleşme Yok"))</f>
        <v/>
      </c>
      <c r="L655" s="26">
        <f>IF('DIVA Satislari'!I655="","",IFERROR(INDEX('E2E Nakliye Montaj'!$AT$3:$AT$1002,MATCH('DIVA Satislari'!AJ655,'E2E Nakliye Montaj'!$AM$3:$AM$1002,0)),"Hayır"))</f>
        <v/>
      </c>
      <c r="M655" s="26">
        <f>IF('DIVA Satislari'!I655="","",IFERROR(INDEX('E2E Nakliye Montaj'!$AU$3:$AU$1002,MATCH('DIVA Satislari'!AJ655,'E2E Nakliye Montaj'!$AM$3:$AM$1002,0)),"Hayır"))</f>
        <v/>
      </c>
      <c r="N655" s="27">
        <f>IF('DIVA Satislari'!I655="","",IFERROR(INDEX('E2E Nakliye Montaj'!$AV$3:$AV$1002,MATCH('DIVA Satislari'!AJ655,'E2E Nakliye Montaj'!$AM$3:$AM$1002,0)),""))</f>
        <v/>
      </c>
      <c r="O655" s="26">
        <f>IF(OR(A655="",N655=""),"",IF(N655&lt;=H655,"Evet","HAYIR - RİSK"))</f>
        <v/>
      </c>
      <c r="P655" s="26">
        <f>IF(A655="","",IF(LEFT(J655,8)="Kural A ","Uygun - Hemen Ödenir (Yıl Sonu %75 Kontrolüne Tabi)",IF(OR(L655="Evet",M655="Evet"),IF(O655="Evet","Uygun","RİSK - Hakediş Süresi Aşıldı"),"Bekleniyor - Nakliye/Montaj Tamamlanmadı")))</f>
        <v/>
      </c>
      <c r="Q655" s="28">
        <f>IF(A655="","",SUMIFS('Hakedis Fatura Detay'!$G$3:$G$1200,'Hakedis Fatura Detay'!$H$3:$H$1200,'DIVA Satislari'!AJ655,'Hakedis Fatura Detay'!$F$3:$F$1200,"Fiyat Farkı")+SUMIFS('Hakedis Fatura Detay'!$G$3:$G$1200,'Hakedis Fatura Detay'!$H$3:$H$1200,'DIVA Satislari'!AJ655,'Hakedis Fatura Detay'!$F$3:$F$1200,"Bundle"))</f>
        <v/>
      </c>
      <c r="R655" s="28">
        <f>IF(A655="","",I655-Q655)</f>
        <v/>
      </c>
      <c r="S655" s="26">
        <f>IF(A655="","",IF(LEFT(P655,7)="Bekleni","N/A - Henüz Ödenmemeli",IF(LEFT(P655,4)="RİSK","İNCELEME GEREKLİ - Süre Aşımı",IF(R655=0,"Doğru",IF(R655&gt;0,"EKSİK ÖDENMİŞ","FAZLA ÖDENMİŞ")))))</f>
        <v/>
      </c>
      <c r="T655" s="30">
        <f>IF(A655="","",IF(F655&lt;&gt;"Evet","İNCELEME GEREKLİ - Kampanya Tanımsız",IF(G655&lt;&gt;"Evet","İNCELEME GEREKLİ - Tarih Dışı Satış",IF(LEFT(P655,4)="RİSK","İNCELEME GEREKLİ - Hakediş Süresi Aşıldı",IF(OR(S655="EKSİK ÖDENMİŞ",S655="FAZLA ÖDENMİŞ"),"İNCELEME GEREKLİ - Tutar Uyuşmazlığı",IF(LEFT(P655,7)="Bekleni","Bekleniyor","Uygun"))))))</f>
        <v/>
      </c>
    </row>
    <row r="656">
      <c r="A656" s="26">
        <f>IF('DIVA Satislari'!I656="","",'DIVA Satislari'!I656)</f>
        <v/>
      </c>
      <c r="B656" s="26">
        <f>IF('DIVA Satislari'!I656="","",'DIVA Satislari'!R656)</f>
        <v/>
      </c>
      <c r="C656" s="26">
        <f>IF('DIVA Satislari'!I656="","",'DIVA Satislari'!M656)</f>
        <v/>
      </c>
      <c r="D656" s="27">
        <f>IF('DIVA Satislari'!I656="","",'DIVA Satislari'!H656)</f>
        <v/>
      </c>
      <c r="E656" s="26">
        <f>IF('DIVA Satislari'!I656="","",'DIVA Satislari'!O656)</f>
        <v/>
      </c>
      <c r="F656" s="26">
        <f>IF('DIVA Satislari'!I656="","",'DIVA Satislari'!AK656)</f>
        <v/>
      </c>
      <c r="G656" s="26">
        <f>IF('DIVA Satislari'!I656="","",'DIVA Satislari'!AO656)</f>
        <v/>
      </c>
      <c r="H656" s="27">
        <f>IF('DIVA Satislari'!I656="","",'DIVA Satislari'!AN656)</f>
        <v/>
      </c>
      <c r="I656" s="28">
        <f>IF('DIVA Satislari'!I656="","",'DIVA Satislari'!AQ656)</f>
        <v/>
      </c>
      <c r="J656" s="26">
        <f>IF('DIVA Satislari'!I656="","",'DIVA Satislari'!AR656)</f>
        <v/>
      </c>
      <c r="K656" s="26">
        <f>IF('DIVA Satislari'!I656="","",IFERROR(INDEX('E2E Nakliye Montaj'!$AS$3:$AS$1002,MATCH('DIVA Satislari'!AJ656,'E2E Nakliye Montaj'!$AM$3:$AM$1002,0)),"Eşleşme Yok"))</f>
        <v/>
      </c>
      <c r="L656" s="26">
        <f>IF('DIVA Satislari'!I656="","",IFERROR(INDEX('E2E Nakliye Montaj'!$AT$3:$AT$1002,MATCH('DIVA Satislari'!AJ656,'E2E Nakliye Montaj'!$AM$3:$AM$1002,0)),"Hayır"))</f>
        <v/>
      </c>
      <c r="M656" s="26">
        <f>IF('DIVA Satislari'!I656="","",IFERROR(INDEX('E2E Nakliye Montaj'!$AU$3:$AU$1002,MATCH('DIVA Satislari'!AJ656,'E2E Nakliye Montaj'!$AM$3:$AM$1002,0)),"Hayır"))</f>
        <v/>
      </c>
      <c r="N656" s="27">
        <f>IF('DIVA Satislari'!I656="","",IFERROR(INDEX('E2E Nakliye Montaj'!$AV$3:$AV$1002,MATCH('DIVA Satislari'!AJ656,'E2E Nakliye Montaj'!$AM$3:$AM$1002,0)),""))</f>
        <v/>
      </c>
      <c r="O656" s="26">
        <f>IF(OR(A656="",N656=""),"",IF(N656&lt;=H656,"Evet","HAYIR - RİSK"))</f>
        <v/>
      </c>
      <c r="P656" s="26">
        <f>IF(A656="","",IF(LEFT(J656,8)="Kural A ","Uygun - Hemen Ödenir (Yıl Sonu %75 Kontrolüne Tabi)",IF(OR(L656="Evet",M656="Evet"),IF(O656="Evet","Uygun","RİSK - Hakediş Süresi Aşıldı"),"Bekleniyor - Nakliye/Montaj Tamamlanmadı")))</f>
        <v/>
      </c>
      <c r="Q656" s="28">
        <f>IF(A656="","",SUMIFS('Hakedis Fatura Detay'!$G$3:$G$1200,'Hakedis Fatura Detay'!$H$3:$H$1200,'DIVA Satislari'!AJ656,'Hakedis Fatura Detay'!$F$3:$F$1200,"Fiyat Farkı")+SUMIFS('Hakedis Fatura Detay'!$G$3:$G$1200,'Hakedis Fatura Detay'!$H$3:$H$1200,'DIVA Satislari'!AJ656,'Hakedis Fatura Detay'!$F$3:$F$1200,"Bundle"))</f>
        <v/>
      </c>
      <c r="R656" s="28">
        <f>IF(A656="","",I656-Q656)</f>
        <v/>
      </c>
      <c r="S656" s="26">
        <f>IF(A656="","",IF(LEFT(P656,7)="Bekleni","N/A - Henüz Ödenmemeli",IF(LEFT(P656,4)="RİSK","İNCELEME GEREKLİ - Süre Aşımı",IF(R656=0,"Doğru",IF(R656&gt;0,"EKSİK ÖDENMİŞ","FAZLA ÖDENMİŞ")))))</f>
        <v/>
      </c>
      <c r="T656" s="30">
        <f>IF(A656="","",IF(F656&lt;&gt;"Evet","İNCELEME GEREKLİ - Kampanya Tanımsız",IF(G656&lt;&gt;"Evet","İNCELEME GEREKLİ - Tarih Dışı Satış",IF(LEFT(P656,4)="RİSK","İNCELEME GEREKLİ - Hakediş Süresi Aşıldı",IF(OR(S656="EKSİK ÖDENMİŞ",S656="FAZLA ÖDENMİŞ"),"İNCELEME GEREKLİ - Tutar Uyuşmazlığı",IF(LEFT(P656,7)="Bekleni","Bekleniyor","Uygun"))))))</f>
        <v/>
      </c>
    </row>
    <row r="657">
      <c r="A657" s="26">
        <f>IF('DIVA Satislari'!I657="","",'DIVA Satislari'!I657)</f>
        <v/>
      </c>
      <c r="B657" s="26">
        <f>IF('DIVA Satislari'!I657="","",'DIVA Satislari'!R657)</f>
        <v/>
      </c>
      <c r="C657" s="26">
        <f>IF('DIVA Satislari'!I657="","",'DIVA Satislari'!M657)</f>
        <v/>
      </c>
      <c r="D657" s="27">
        <f>IF('DIVA Satislari'!I657="","",'DIVA Satislari'!H657)</f>
        <v/>
      </c>
      <c r="E657" s="26">
        <f>IF('DIVA Satislari'!I657="","",'DIVA Satislari'!O657)</f>
        <v/>
      </c>
      <c r="F657" s="26">
        <f>IF('DIVA Satislari'!I657="","",'DIVA Satislari'!AK657)</f>
        <v/>
      </c>
      <c r="G657" s="26">
        <f>IF('DIVA Satislari'!I657="","",'DIVA Satislari'!AO657)</f>
        <v/>
      </c>
      <c r="H657" s="27">
        <f>IF('DIVA Satislari'!I657="","",'DIVA Satislari'!AN657)</f>
        <v/>
      </c>
      <c r="I657" s="28">
        <f>IF('DIVA Satislari'!I657="","",'DIVA Satislari'!AQ657)</f>
        <v/>
      </c>
      <c r="J657" s="26">
        <f>IF('DIVA Satislari'!I657="","",'DIVA Satislari'!AR657)</f>
        <v/>
      </c>
      <c r="K657" s="26">
        <f>IF('DIVA Satislari'!I657="","",IFERROR(INDEX('E2E Nakliye Montaj'!$AS$3:$AS$1002,MATCH('DIVA Satislari'!AJ657,'E2E Nakliye Montaj'!$AM$3:$AM$1002,0)),"Eşleşme Yok"))</f>
        <v/>
      </c>
      <c r="L657" s="26">
        <f>IF('DIVA Satislari'!I657="","",IFERROR(INDEX('E2E Nakliye Montaj'!$AT$3:$AT$1002,MATCH('DIVA Satislari'!AJ657,'E2E Nakliye Montaj'!$AM$3:$AM$1002,0)),"Hayır"))</f>
        <v/>
      </c>
      <c r="M657" s="26">
        <f>IF('DIVA Satislari'!I657="","",IFERROR(INDEX('E2E Nakliye Montaj'!$AU$3:$AU$1002,MATCH('DIVA Satislari'!AJ657,'E2E Nakliye Montaj'!$AM$3:$AM$1002,0)),"Hayır"))</f>
        <v/>
      </c>
      <c r="N657" s="27">
        <f>IF('DIVA Satislari'!I657="","",IFERROR(INDEX('E2E Nakliye Montaj'!$AV$3:$AV$1002,MATCH('DIVA Satislari'!AJ657,'E2E Nakliye Montaj'!$AM$3:$AM$1002,0)),""))</f>
        <v/>
      </c>
      <c r="O657" s="26">
        <f>IF(OR(A657="",N657=""),"",IF(N657&lt;=H657,"Evet","HAYIR - RİSK"))</f>
        <v/>
      </c>
      <c r="P657" s="26">
        <f>IF(A657="","",IF(LEFT(J657,8)="Kural A ","Uygun - Hemen Ödenir (Yıl Sonu %75 Kontrolüne Tabi)",IF(OR(L657="Evet",M657="Evet"),IF(O657="Evet","Uygun","RİSK - Hakediş Süresi Aşıldı"),"Bekleniyor - Nakliye/Montaj Tamamlanmadı")))</f>
        <v/>
      </c>
      <c r="Q657" s="28">
        <f>IF(A657="","",SUMIFS('Hakedis Fatura Detay'!$G$3:$G$1200,'Hakedis Fatura Detay'!$H$3:$H$1200,'DIVA Satislari'!AJ657,'Hakedis Fatura Detay'!$F$3:$F$1200,"Fiyat Farkı")+SUMIFS('Hakedis Fatura Detay'!$G$3:$G$1200,'Hakedis Fatura Detay'!$H$3:$H$1200,'DIVA Satislari'!AJ657,'Hakedis Fatura Detay'!$F$3:$F$1200,"Bundle"))</f>
        <v/>
      </c>
      <c r="R657" s="28">
        <f>IF(A657="","",I657-Q657)</f>
        <v/>
      </c>
      <c r="S657" s="26">
        <f>IF(A657="","",IF(LEFT(P657,7)="Bekleni","N/A - Henüz Ödenmemeli",IF(LEFT(P657,4)="RİSK","İNCELEME GEREKLİ - Süre Aşımı",IF(R657=0,"Doğru",IF(R657&gt;0,"EKSİK ÖDENMİŞ","FAZLA ÖDENMİŞ")))))</f>
        <v/>
      </c>
      <c r="T657" s="30">
        <f>IF(A657="","",IF(F657&lt;&gt;"Evet","İNCELEME GEREKLİ - Kampanya Tanımsız",IF(G657&lt;&gt;"Evet","İNCELEME GEREKLİ - Tarih Dışı Satış",IF(LEFT(P657,4)="RİSK","İNCELEME GEREKLİ - Hakediş Süresi Aşıldı",IF(OR(S657="EKSİK ÖDENMİŞ",S657="FAZLA ÖDENMİŞ"),"İNCELEME GEREKLİ - Tutar Uyuşmazlığı",IF(LEFT(P657,7)="Bekleni","Bekleniyor","Uygun"))))))</f>
        <v/>
      </c>
    </row>
    <row r="658">
      <c r="A658" s="26">
        <f>IF('DIVA Satislari'!I658="","",'DIVA Satislari'!I658)</f>
        <v/>
      </c>
      <c r="B658" s="26">
        <f>IF('DIVA Satislari'!I658="","",'DIVA Satislari'!R658)</f>
        <v/>
      </c>
      <c r="C658" s="26">
        <f>IF('DIVA Satislari'!I658="","",'DIVA Satislari'!M658)</f>
        <v/>
      </c>
      <c r="D658" s="27">
        <f>IF('DIVA Satislari'!I658="","",'DIVA Satislari'!H658)</f>
        <v/>
      </c>
      <c r="E658" s="26">
        <f>IF('DIVA Satislari'!I658="","",'DIVA Satislari'!O658)</f>
        <v/>
      </c>
      <c r="F658" s="26">
        <f>IF('DIVA Satislari'!I658="","",'DIVA Satislari'!AK658)</f>
        <v/>
      </c>
      <c r="G658" s="26">
        <f>IF('DIVA Satislari'!I658="","",'DIVA Satislari'!AO658)</f>
        <v/>
      </c>
      <c r="H658" s="27">
        <f>IF('DIVA Satislari'!I658="","",'DIVA Satislari'!AN658)</f>
        <v/>
      </c>
      <c r="I658" s="28">
        <f>IF('DIVA Satislari'!I658="","",'DIVA Satislari'!AQ658)</f>
        <v/>
      </c>
      <c r="J658" s="26">
        <f>IF('DIVA Satislari'!I658="","",'DIVA Satislari'!AR658)</f>
        <v/>
      </c>
      <c r="K658" s="26">
        <f>IF('DIVA Satislari'!I658="","",IFERROR(INDEX('E2E Nakliye Montaj'!$AS$3:$AS$1002,MATCH('DIVA Satislari'!AJ658,'E2E Nakliye Montaj'!$AM$3:$AM$1002,0)),"Eşleşme Yok"))</f>
        <v/>
      </c>
      <c r="L658" s="26">
        <f>IF('DIVA Satislari'!I658="","",IFERROR(INDEX('E2E Nakliye Montaj'!$AT$3:$AT$1002,MATCH('DIVA Satislari'!AJ658,'E2E Nakliye Montaj'!$AM$3:$AM$1002,0)),"Hayır"))</f>
        <v/>
      </c>
      <c r="M658" s="26">
        <f>IF('DIVA Satislari'!I658="","",IFERROR(INDEX('E2E Nakliye Montaj'!$AU$3:$AU$1002,MATCH('DIVA Satislari'!AJ658,'E2E Nakliye Montaj'!$AM$3:$AM$1002,0)),"Hayır"))</f>
        <v/>
      </c>
      <c r="N658" s="27">
        <f>IF('DIVA Satislari'!I658="","",IFERROR(INDEX('E2E Nakliye Montaj'!$AV$3:$AV$1002,MATCH('DIVA Satislari'!AJ658,'E2E Nakliye Montaj'!$AM$3:$AM$1002,0)),""))</f>
        <v/>
      </c>
      <c r="O658" s="26">
        <f>IF(OR(A658="",N658=""),"",IF(N658&lt;=H658,"Evet","HAYIR - RİSK"))</f>
        <v/>
      </c>
      <c r="P658" s="26">
        <f>IF(A658="","",IF(LEFT(J658,8)="Kural A ","Uygun - Hemen Ödenir (Yıl Sonu %75 Kontrolüne Tabi)",IF(OR(L658="Evet",M658="Evet"),IF(O658="Evet","Uygun","RİSK - Hakediş Süresi Aşıldı"),"Bekleniyor - Nakliye/Montaj Tamamlanmadı")))</f>
        <v/>
      </c>
      <c r="Q658" s="28">
        <f>IF(A658="","",SUMIFS('Hakedis Fatura Detay'!$G$3:$G$1200,'Hakedis Fatura Detay'!$H$3:$H$1200,'DIVA Satislari'!AJ658,'Hakedis Fatura Detay'!$F$3:$F$1200,"Fiyat Farkı")+SUMIFS('Hakedis Fatura Detay'!$G$3:$G$1200,'Hakedis Fatura Detay'!$H$3:$H$1200,'DIVA Satislari'!AJ658,'Hakedis Fatura Detay'!$F$3:$F$1200,"Bundle"))</f>
        <v/>
      </c>
      <c r="R658" s="28">
        <f>IF(A658="","",I658-Q658)</f>
        <v/>
      </c>
      <c r="S658" s="26">
        <f>IF(A658="","",IF(LEFT(P658,7)="Bekleni","N/A - Henüz Ödenmemeli",IF(LEFT(P658,4)="RİSK","İNCELEME GEREKLİ - Süre Aşımı",IF(R658=0,"Doğru",IF(R658&gt;0,"EKSİK ÖDENMİŞ","FAZLA ÖDENMİŞ")))))</f>
        <v/>
      </c>
      <c r="T658" s="30">
        <f>IF(A658="","",IF(F658&lt;&gt;"Evet","İNCELEME GEREKLİ - Kampanya Tanımsız",IF(G658&lt;&gt;"Evet","İNCELEME GEREKLİ - Tarih Dışı Satış",IF(LEFT(P658,4)="RİSK","İNCELEME GEREKLİ - Hakediş Süresi Aşıldı",IF(OR(S658="EKSİK ÖDENMİŞ",S658="FAZLA ÖDENMİŞ"),"İNCELEME GEREKLİ - Tutar Uyuşmazlığı",IF(LEFT(P658,7)="Bekleni","Bekleniyor","Uygun"))))))</f>
        <v/>
      </c>
    </row>
    <row r="659">
      <c r="A659" s="26">
        <f>IF('DIVA Satislari'!I659="","",'DIVA Satislari'!I659)</f>
        <v/>
      </c>
      <c r="B659" s="26">
        <f>IF('DIVA Satislari'!I659="","",'DIVA Satislari'!R659)</f>
        <v/>
      </c>
      <c r="C659" s="26">
        <f>IF('DIVA Satislari'!I659="","",'DIVA Satislari'!M659)</f>
        <v/>
      </c>
      <c r="D659" s="27">
        <f>IF('DIVA Satislari'!I659="","",'DIVA Satislari'!H659)</f>
        <v/>
      </c>
      <c r="E659" s="26">
        <f>IF('DIVA Satislari'!I659="","",'DIVA Satislari'!O659)</f>
        <v/>
      </c>
      <c r="F659" s="26">
        <f>IF('DIVA Satislari'!I659="","",'DIVA Satislari'!AK659)</f>
        <v/>
      </c>
      <c r="G659" s="26">
        <f>IF('DIVA Satislari'!I659="","",'DIVA Satislari'!AO659)</f>
        <v/>
      </c>
      <c r="H659" s="27">
        <f>IF('DIVA Satislari'!I659="","",'DIVA Satislari'!AN659)</f>
        <v/>
      </c>
      <c r="I659" s="28">
        <f>IF('DIVA Satislari'!I659="","",'DIVA Satislari'!AQ659)</f>
        <v/>
      </c>
      <c r="J659" s="26">
        <f>IF('DIVA Satislari'!I659="","",'DIVA Satislari'!AR659)</f>
        <v/>
      </c>
      <c r="K659" s="26">
        <f>IF('DIVA Satislari'!I659="","",IFERROR(INDEX('E2E Nakliye Montaj'!$AS$3:$AS$1002,MATCH('DIVA Satislari'!AJ659,'E2E Nakliye Montaj'!$AM$3:$AM$1002,0)),"Eşleşme Yok"))</f>
        <v/>
      </c>
      <c r="L659" s="26">
        <f>IF('DIVA Satislari'!I659="","",IFERROR(INDEX('E2E Nakliye Montaj'!$AT$3:$AT$1002,MATCH('DIVA Satislari'!AJ659,'E2E Nakliye Montaj'!$AM$3:$AM$1002,0)),"Hayır"))</f>
        <v/>
      </c>
      <c r="M659" s="26">
        <f>IF('DIVA Satislari'!I659="","",IFERROR(INDEX('E2E Nakliye Montaj'!$AU$3:$AU$1002,MATCH('DIVA Satislari'!AJ659,'E2E Nakliye Montaj'!$AM$3:$AM$1002,0)),"Hayır"))</f>
        <v/>
      </c>
      <c r="N659" s="27">
        <f>IF('DIVA Satislari'!I659="","",IFERROR(INDEX('E2E Nakliye Montaj'!$AV$3:$AV$1002,MATCH('DIVA Satislari'!AJ659,'E2E Nakliye Montaj'!$AM$3:$AM$1002,0)),""))</f>
        <v/>
      </c>
      <c r="O659" s="26">
        <f>IF(OR(A659="",N659=""),"",IF(N659&lt;=H659,"Evet","HAYIR - RİSK"))</f>
        <v/>
      </c>
      <c r="P659" s="26">
        <f>IF(A659="","",IF(LEFT(J659,8)="Kural A ","Uygun - Hemen Ödenir (Yıl Sonu %75 Kontrolüne Tabi)",IF(OR(L659="Evet",M659="Evet"),IF(O659="Evet","Uygun","RİSK - Hakediş Süresi Aşıldı"),"Bekleniyor - Nakliye/Montaj Tamamlanmadı")))</f>
        <v/>
      </c>
      <c r="Q659" s="28">
        <f>IF(A659="","",SUMIFS('Hakedis Fatura Detay'!$G$3:$G$1200,'Hakedis Fatura Detay'!$H$3:$H$1200,'DIVA Satislari'!AJ659,'Hakedis Fatura Detay'!$F$3:$F$1200,"Fiyat Farkı")+SUMIFS('Hakedis Fatura Detay'!$G$3:$G$1200,'Hakedis Fatura Detay'!$H$3:$H$1200,'DIVA Satislari'!AJ659,'Hakedis Fatura Detay'!$F$3:$F$1200,"Bundle"))</f>
        <v/>
      </c>
      <c r="R659" s="28">
        <f>IF(A659="","",I659-Q659)</f>
        <v/>
      </c>
      <c r="S659" s="26">
        <f>IF(A659="","",IF(LEFT(P659,7)="Bekleni","N/A - Henüz Ödenmemeli",IF(LEFT(P659,4)="RİSK","İNCELEME GEREKLİ - Süre Aşımı",IF(R659=0,"Doğru",IF(R659&gt;0,"EKSİK ÖDENMİŞ","FAZLA ÖDENMİŞ")))))</f>
        <v/>
      </c>
      <c r="T659" s="30">
        <f>IF(A659="","",IF(F659&lt;&gt;"Evet","İNCELEME GEREKLİ - Kampanya Tanımsız",IF(G659&lt;&gt;"Evet","İNCELEME GEREKLİ - Tarih Dışı Satış",IF(LEFT(P659,4)="RİSK","İNCELEME GEREKLİ - Hakediş Süresi Aşıldı",IF(OR(S659="EKSİK ÖDENMİŞ",S659="FAZLA ÖDENMİŞ"),"İNCELEME GEREKLİ - Tutar Uyuşmazlığı",IF(LEFT(P659,7)="Bekleni","Bekleniyor","Uygun"))))))</f>
        <v/>
      </c>
    </row>
    <row r="660">
      <c r="A660" s="26">
        <f>IF('DIVA Satislari'!I660="","",'DIVA Satislari'!I660)</f>
        <v/>
      </c>
      <c r="B660" s="26">
        <f>IF('DIVA Satislari'!I660="","",'DIVA Satislari'!R660)</f>
        <v/>
      </c>
      <c r="C660" s="26">
        <f>IF('DIVA Satislari'!I660="","",'DIVA Satislari'!M660)</f>
        <v/>
      </c>
      <c r="D660" s="27">
        <f>IF('DIVA Satislari'!I660="","",'DIVA Satislari'!H660)</f>
        <v/>
      </c>
      <c r="E660" s="26">
        <f>IF('DIVA Satislari'!I660="","",'DIVA Satislari'!O660)</f>
        <v/>
      </c>
      <c r="F660" s="26">
        <f>IF('DIVA Satislari'!I660="","",'DIVA Satislari'!AK660)</f>
        <v/>
      </c>
      <c r="G660" s="26">
        <f>IF('DIVA Satislari'!I660="","",'DIVA Satislari'!AO660)</f>
        <v/>
      </c>
      <c r="H660" s="27">
        <f>IF('DIVA Satislari'!I660="","",'DIVA Satislari'!AN660)</f>
        <v/>
      </c>
      <c r="I660" s="28">
        <f>IF('DIVA Satislari'!I660="","",'DIVA Satislari'!AQ660)</f>
        <v/>
      </c>
      <c r="J660" s="26">
        <f>IF('DIVA Satislari'!I660="","",'DIVA Satislari'!AR660)</f>
        <v/>
      </c>
      <c r="K660" s="26">
        <f>IF('DIVA Satislari'!I660="","",IFERROR(INDEX('E2E Nakliye Montaj'!$AS$3:$AS$1002,MATCH('DIVA Satislari'!AJ660,'E2E Nakliye Montaj'!$AM$3:$AM$1002,0)),"Eşleşme Yok"))</f>
        <v/>
      </c>
      <c r="L660" s="26">
        <f>IF('DIVA Satislari'!I660="","",IFERROR(INDEX('E2E Nakliye Montaj'!$AT$3:$AT$1002,MATCH('DIVA Satislari'!AJ660,'E2E Nakliye Montaj'!$AM$3:$AM$1002,0)),"Hayır"))</f>
        <v/>
      </c>
      <c r="M660" s="26">
        <f>IF('DIVA Satislari'!I660="","",IFERROR(INDEX('E2E Nakliye Montaj'!$AU$3:$AU$1002,MATCH('DIVA Satislari'!AJ660,'E2E Nakliye Montaj'!$AM$3:$AM$1002,0)),"Hayır"))</f>
        <v/>
      </c>
      <c r="N660" s="27">
        <f>IF('DIVA Satislari'!I660="","",IFERROR(INDEX('E2E Nakliye Montaj'!$AV$3:$AV$1002,MATCH('DIVA Satislari'!AJ660,'E2E Nakliye Montaj'!$AM$3:$AM$1002,0)),""))</f>
        <v/>
      </c>
      <c r="O660" s="26">
        <f>IF(OR(A660="",N660=""),"",IF(N660&lt;=H660,"Evet","HAYIR - RİSK"))</f>
        <v/>
      </c>
      <c r="P660" s="26">
        <f>IF(A660="","",IF(LEFT(J660,8)="Kural A ","Uygun - Hemen Ödenir (Yıl Sonu %75 Kontrolüne Tabi)",IF(OR(L660="Evet",M660="Evet"),IF(O660="Evet","Uygun","RİSK - Hakediş Süresi Aşıldı"),"Bekleniyor - Nakliye/Montaj Tamamlanmadı")))</f>
        <v/>
      </c>
      <c r="Q660" s="28">
        <f>IF(A660="","",SUMIFS('Hakedis Fatura Detay'!$G$3:$G$1200,'Hakedis Fatura Detay'!$H$3:$H$1200,'DIVA Satislari'!AJ660,'Hakedis Fatura Detay'!$F$3:$F$1200,"Fiyat Farkı")+SUMIFS('Hakedis Fatura Detay'!$G$3:$G$1200,'Hakedis Fatura Detay'!$H$3:$H$1200,'DIVA Satislari'!AJ660,'Hakedis Fatura Detay'!$F$3:$F$1200,"Bundle"))</f>
        <v/>
      </c>
      <c r="R660" s="28">
        <f>IF(A660="","",I660-Q660)</f>
        <v/>
      </c>
      <c r="S660" s="26">
        <f>IF(A660="","",IF(LEFT(P660,7)="Bekleni","N/A - Henüz Ödenmemeli",IF(LEFT(P660,4)="RİSK","İNCELEME GEREKLİ - Süre Aşımı",IF(R660=0,"Doğru",IF(R660&gt;0,"EKSİK ÖDENMİŞ","FAZLA ÖDENMİŞ")))))</f>
        <v/>
      </c>
      <c r="T660" s="30">
        <f>IF(A660="","",IF(F660&lt;&gt;"Evet","İNCELEME GEREKLİ - Kampanya Tanımsız",IF(G660&lt;&gt;"Evet","İNCELEME GEREKLİ - Tarih Dışı Satış",IF(LEFT(P660,4)="RİSK","İNCELEME GEREKLİ - Hakediş Süresi Aşıldı",IF(OR(S660="EKSİK ÖDENMİŞ",S660="FAZLA ÖDENMİŞ"),"İNCELEME GEREKLİ - Tutar Uyuşmazlığı",IF(LEFT(P660,7)="Bekleni","Bekleniyor","Uygun"))))))</f>
        <v/>
      </c>
    </row>
    <row r="661">
      <c r="A661" s="26">
        <f>IF('DIVA Satislari'!I661="","",'DIVA Satislari'!I661)</f>
        <v/>
      </c>
      <c r="B661" s="26">
        <f>IF('DIVA Satislari'!I661="","",'DIVA Satislari'!R661)</f>
        <v/>
      </c>
      <c r="C661" s="26">
        <f>IF('DIVA Satislari'!I661="","",'DIVA Satislari'!M661)</f>
        <v/>
      </c>
      <c r="D661" s="27">
        <f>IF('DIVA Satislari'!I661="","",'DIVA Satislari'!H661)</f>
        <v/>
      </c>
      <c r="E661" s="26">
        <f>IF('DIVA Satislari'!I661="","",'DIVA Satislari'!O661)</f>
        <v/>
      </c>
      <c r="F661" s="26">
        <f>IF('DIVA Satislari'!I661="","",'DIVA Satislari'!AK661)</f>
        <v/>
      </c>
      <c r="G661" s="26">
        <f>IF('DIVA Satislari'!I661="","",'DIVA Satislari'!AO661)</f>
        <v/>
      </c>
      <c r="H661" s="27">
        <f>IF('DIVA Satislari'!I661="","",'DIVA Satislari'!AN661)</f>
        <v/>
      </c>
      <c r="I661" s="28">
        <f>IF('DIVA Satislari'!I661="","",'DIVA Satislari'!AQ661)</f>
        <v/>
      </c>
      <c r="J661" s="26">
        <f>IF('DIVA Satislari'!I661="","",'DIVA Satislari'!AR661)</f>
        <v/>
      </c>
      <c r="K661" s="26">
        <f>IF('DIVA Satislari'!I661="","",IFERROR(INDEX('E2E Nakliye Montaj'!$AS$3:$AS$1002,MATCH('DIVA Satislari'!AJ661,'E2E Nakliye Montaj'!$AM$3:$AM$1002,0)),"Eşleşme Yok"))</f>
        <v/>
      </c>
      <c r="L661" s="26">
        <f>IF('DIVA Satislari'!I661="","",IFERROR(INDEX('E2E Nakliye Montaj'!$AT$3:$AT$1002,MATCH('DIVA Satislari'!AJ661,'E2E Nakliye Montaj'!$AM$3:$AM$1002,0)),"Hayır"))</f>
        <v/>
      </c>
      <c r="M661" s="26">
        <f>IF('DIVA Satislari'!I661="","",IFERROR(INDEX('E2E Nakliye Montaj'!$AU$3:$AU$1002,MATCH('DIVA Satislari'!AJ661,'E2E Nakliye Montaj'!$AM$3:$AM$1002,0)),"Hayır"))</f>
        <v/>
      </c>
      <c r="N661" s="27">
        <f>IF('DIVA Satislari'!I661="","",IFERROR(INDEX('E2E Nakliye Montaj'!$AV$3:$AV$1002,MATCH('DIVA Satislari'!AJ661,'E2E Nakliye Montaj'!$AM$3:$AM$1002,0)),""))</f>
        <v/>
      </c>
      <c r="O661" s="26">
        <f>IF(OR(A661="",N661=""),"",IF(N661&lt;=H661,"Evet","HAYIR - RİSK"))</f>
        <v/>
      </c>
      <c r="P661" s="26">
        <f>IF(A661="","",IF(LEFT(J661,8)="Kural A ","Uygun - Hemen Ödenir (Yıl Sonu %75 Kontrolüne Tabi)",IF(OR(L661="Evet",M661="Evet"),IF(O661="Evet","Uygun","RİSK - Hakediş Süresi Aşıldı"),"Bekleniyor - Nakliye/Montaj Tamamlanmadı")))</f>
        <v/>
      </c>
      <c r="Q661" s="28">
        <f>IF(A661="","",SUMIFS('Hakedis Fatura Detay'!$G$3:$G$1200,'Hakedis Fatura Detay'!$H$3:$H$1200,'DIVA Satislari'!AJ661,'Hakedis Fatura Detay'!$F$3:$F$1200,"Fiyat Farkı")+SUMIFS('Hakedis Fatura Detay'!$G$3:$G$1200,'Hakedis Fatura Detay'!$H$3:$H$1200,'DIVA Satislari'!AJ661,'Hakedis Fatura Detay'!$F$3:$F$1200,"Bundle"))</f>
        <v/>
      </c>
      <c r="R661" s="28">
        <f>IF(A661="","",I661-Q661)</f>
        <v/>
      </c>
      <c r="S661" s="26">
        <f>IF(A661="","",IF(LEFT(P661,7)="Bekleni","N/A - Henüz Ödenmemeli",IF(LEFT(P661,4)="RİSK","İNCELEME GEREKLİ - Süre Aşımı",IF(R661=0,"Doğru",IF(R661&gt;0,"EKSİK ÖDENMİŞ","FAZLA ÖDENMİŞ")))))</f>
        <v/>
      </c>
      <c r="T661" s="30">
        <f>IF(A661="","",IF(F661&lt;&gt;"Evet","İNCELEME GEREKLİ - Kampanya Tanımsız",IF(G661&lt;&gt;"Evet","İNCELEME GEREKLİ - Tarih Dışı Satış",IF(LEFT(P661,4)="RİSK","İNCELEME GEREKLİ - Hakediş Süresi Aşıldı",IF(OR(S661="EKSİK ÖDENMİŞ",S661="FAZLA ÖDENMİŞ"),"İNCELEME GEREKLİ - Tutar Uyuşmazlığı",IF(LEFT(P661,7)="Bekleni","Bekleniyor","Uygun"))))))</f>
        <v/>
      </c>
    </row>
    <row r="662">
      <c r="A662" s="26">
        <f>IF('DIVA Satislari'!I662="","",'DIVA Satislari'!I662)</f>
        <v/>
      </c>
      <c r="B662" s="26">
        <f>IF('DIVA Satislari'!I662="","",'DIVA Satislari'!R662)</f>
        <v/>
      </c>
      <c r="C662" s="26">
        <f>IF('DIVA Satislari'!I662="","",'DIVA Satislari'!M662)</f>
        <v/>
      </c>
      <c r="D662" s="27">
        <f>IF('DIVA Satislari'!I662="","",'DIVA Satislari'!H662)</f>
        <v/>
      </c>
      <c r="E662" s="26">
        <f>IF('DIVA Satislari'!I662="","",'DIVA Satislari'!O662)</f>
        <v/>
      </c>
      <c r="F662" s="26">
        <f>IF('DIVA Satislari'!I662="","",'DIVA Satislari'!AK662)</f>
        <v/>
      </c>
      <c r="G662" s="26">
        <f>IF('DIVA Satislari'!I662="","",'DIVA Satislari'!AO662)</f>
        <v/>
      </c>
      <c r="H662" s="27">
        <f>IF('DIVA Satislari'!I662="","",'DIVA Satislari'!AN662)</f>
        <v/>
      </c>
      <c r="I662" s="28">
        <f>IF('DIVA Satislari'!I662="","",'DIVA Satislari'!AQ662)</f>
        <v/>
      </c>
      <c r="J662" s="26">
        <f>IF('DIVA Satislari'!I662="","",'DIVA Satislari'!AR662)</f>
        <v/>
      </c>
      <c r="K662" s="26">
        <f>IF('DIVA Satislari'!I662="","",IFERROR(INDEX('E2E Nakliye Montaj'!$AS$3:$AS$1002,MATCH('DIVA Satislari'!AJ662,'E2E Nakliye Montaj'!$AM$3:$AM$1002,0)),"Eşleşme Yok"))</f>
        <v/>
      </c>
      <c r="L662" s="26">
        <f>IF('DIVA Satislari'!I662="","",IFERROR(INDEX('E2E Nakliye Montaj'!$AT$3:$AT$1002,MATCH('DIVA Satislari'!AJ662,'E2E Nakliye Montaj'!$AM$3:$AM$1002,0)),"Hayır"))</f>
        <v/>
      </c>
      <c r="M662" s="26">
        <f>IF('DIVA Satislari'!I662="","",IFERROR(INDEX('E2E Nakliye Montaj'!$AU$3:$AU$1002,MATCH('DIVA Satislari'!AJ662,'E2E Nakliye Montaj'!$AM$3:$AM$1002,0)),"Hayır"))</f>
        <v/>
      </c>
      <c r="N662" s="27">
        <f>IF('DIVA Satislari'!I662="","",IFERROR(INDEX('E2E Nakliye Montaj'!$AV$3:$AV$1002,MATCH('DIVA Satislari'!AJ662,'E2E Nakliye Montaj'!$AM$3:$AM$1002,0)),""))</f>
        <v/>
      </c>
      <c r="O662" s="26">
        <f>IF(OR(A662="",N662=""),"",IF(N662&lt;=H662,"Evet","HAYIR - RİSK"))</f>
        <v/>
      </c>
      <c r="P662" s="26">
        <f>IF(A662="","",IF(LEFT(J662,8)="Kural A ","Uygun - Hemen Ödenir (Yıl Sonu %75 Kontrolüne Tabi)",IF(OR(L662="Evet",M662="Evet"),IF(O662="Evet","Uygun","RİSK - Hakediş Süresi Aşıldı"),"Bekleniyor - Nakliye/Montaj Tamamlanmadı")))</f>
        <v/>
      </c>
      <c r="Q662" s="28">
        <f>IF(A662="","",SUMIFS('Hakedis Fatura Detay'!$G$3:$G$1200,'Hakedis Fatura Detay'!$H$3:$H$1200,'DIVA Satislari'!AJ662,'Hakedis Fatura Detay'!$F$3:$F$1200,"Fiyat Farkı")+SUMIFS('Hakedis Fatura Detay'!$G$3:$G$1200,'Hakedis Fatura Detay'!$H$3:$H$1200,'DIVA Satislari'!AJ662,'Hakedis Fatura Detay'!$F$3:$F$1200,"Bundle"))</f>
        <v/>
      </c>
      <c r="R662" s="28">
        <f>IF(A662="","",I662-Q662)</f>
        <v/>
      </c>
      <c r="S662" s="26">
        <f>IF(A662="","",IF(LEFT(P662,7)="Bekleni","N/A - Henüz Ödenmemeli",IF(LEFT(P662,4)="RİSK","İNCELEME GEREKLİ - Süre Aşımı",IF(R662=0,"Doğru",IF(R662&gt;0,"EKSİK ÖDENMİŞ","FAZLA ÖDENMİŞ")))))</f>
        <v/>
      </c>
      <c r="T662" s="30">
        <f>IF(A662="","",IF(F662&lt;&gt;"Evet","İNCELEME GEREKLİ - Kampanya Tanımsız",IF(G662&lt;&gt;"Evet","İNCELEME GEREKLİ - Tarih Dışı Satış",IF(LEFT(P662,4)="RİSK","İNCELEME GEREKLİ - Hakediş Süresi Aşıldı",IF(OR(S662="EKSİK ÖDENMİŞ",S662="FAZLA ÖDENMİŞ"),"İNCELEME GEREKLİ - Tutar Uyuşmazlığı",IF(LEFT(P662,7)="Bekleni","Bekleniyor","Uygun"))))))</f>
        <v/>
      </c>
    </row>
    <row r="663">
      <c r="A663" s="26">
        <f>IF('DIVA Satislari'!I663="","",'DIVA Satislari'!I663)</f>
        <v/>
      </c>
      <c r="B663" s="26">
        <f>IF('DIVA Satislari'!I663="","",'DIVA Satislari'!R663)</f>
        <v/>
      </c>
      <c r="C663" s="26">
        <f>IF('DIVA Satislari'!I663="","",'DIVA Satislari'!M663)</f>
        <v/>
      </c>
      <c r="D663" s="27">
        <f>IF('DIVA Satislari'!I663="","",'DIVA Satislari'!H663)</f>
        <v/>
      </c>
      <c r="E663" s="26">
        <f>IF('DIVA Satislari'!I663="","",'DIVA Satislari'!O663)</f>
        <v/>
      </c>
      <c r="F663" s="26">
        <f>IF('DIVA Satislari'!I663="","",'DIVA Satislari'!AK663)</f>
        <v/>
      </c>
      <c r="G663" s="26">
        <f>IF('DIVA Satislari'!I663="","",'DIVA Satislari'!AO663)</f>
        <v/>
      </c>
      <c r="H663" s="27">
        <f>IF('DIVA Satislari'!I663="","",'DIVA Satislari'!AN663)</f>
        <v/>
      </c>
      <c r="I663" s="28">
        <f>IF('DIVA Satislari'!I663="","",'DIVA Satislari'!AQ663)</f>
        <v/>
      </c>
      <c r="J663" s="26">
        <f>IF('DIVA Satislari'!I663="","",'DIVA Satislari'!AR663)</f>
        <v/>
      </c>
      <c r="K663" s="26">
        <f>IF('DIVA Satislari'!I663="","",IFERROR(INDEX('E2E Nakliye Montaj'!$AS$3:$AS$1002,MATCH('DIVA Satislari'!AJ663,'E2E Nakliye Montaj'!$AM$3:$AM$1002,0)),"Eşleşme Yok"))</f>
        <v/>
      </c>
      <c r="L663" s="26">
        <f>IF('DIVA Satislari'!I663="","",IFERROR(INDEX('E2E Nakliye Montaj'!$AT$3:$AT$1002,MATCH('DIVA Satislari'!AJ663,'E2E Nakliye Montaj'!$AM$3:$AM$1002,0)),"Hayır"))</f>
        <v/>
      </c>
      <c r="M663" s="26">
        <f>IF('DIVA Satislari'!I663="","",IFERROR(INDEX('E2E Nakliye Montaj'!$AU$3:$AU$1002,MATCH('DIVA Satislari'!AJ663,'E2E Nakliye Montaj'!$AM$3:$AM$1002,0)),"Hayır"))</f>
        <v/>
      </c>
      <c r="N663" s="27">
        <f>IF('DIVA Satislari'!I663="","",IFERROR(INDEX('E2E Nakliye Montaj'!$AV$3:$AV$1002,MATCH('DIVA Satislari'!AJ663,'E2E Nakliye Montaj'!$AM$3:$AM$1002,0)),""))</f>
        <v/>
      </c>
      <c r="O663" s="26">
        <f>IF(OR(A663="",N663=""),"",IF(N663&lt;=H663,"Evet","HAYIR - RİSK"))</f>
        <v/>
      </c>
      <c r="P663" s="26">
        <f>IF(A663="","",IF(LEFT(J663,8)="Kural A ","Uygun - Hemen Ödenir (Yıl Sonu %75 Kontrolüne Tabi)",IF(OR(L663="Evet",M663="Evet"),IF(O663="Evet","Uygun","RİSK - Hakediş Süresi Aşıldı"),"Bekleniyor - Nakliye/Montaj Tamamlanmadı")))</f>
        <v/>
      </c>
      <c r="Q663" s="28">
        <f>IF(A663="","",SUMIFS('Hakedis Fatura Detay'!$G$3:$G$1200,'Hakedis Fatura Detay'!$H$3:$H$1200,'DIVA Satislari'!AJ663,'Hakedis Fatura Detay'!$F$3:$F$1200,"Fiyat Farkı")+SUMIFS('Hakedis Fatura Detay'!$G$3:$G$1200,'Hakedis Fatura Detay'!$H$3:$H$1200,'DIVA Satislari'!AJ663,'Hakedis Fatura Detay'!$F$3:$F$1200,"Bundle"))</f>
        <v/>
      </c>
      <c r="R663" s="28">
        <f>IF(A663="","",I663-Q663)</f>
        <v/>
      </c>
      <c r="S663" s="26">
        <f>IF(A663="","",IF(LEFT(P663,7)="Bekleni","N/A - Henüz Ödenmemeli",IF(LEFT(P663,4)="RİSK","İNCELEME GEREKLİ - Süre Aşımı",IF(R663=0,"Doğru",IF(R663&gt;0,"EKSİK ÖDENMİŞ","FAZLA ÖDENMİŞ")))))</f>
        <v/>
      </c>
      <c r="T663" s="30">
        <f>IF(A663="","",IF(F663&lt;&gt;"Evet","İNCELEME GEREKLİ - Kampanya Tanımsız",IF(G663&lt;&gt;"Evet","İNCELEME GEREKLİ - Tarih Dışı Satış",IF(LEFT(P663,4)="RİSK","İNCELEME GEREKLİ - Hakediş Süresi Aşıldı",IF(OR(S663="EKSİK ÖDENMİŞ",S663="FAZLA ÖDENMİŞ"),"İNCELEME GEREKLİ - Tutar Uyuşmazlığı",IF(LEFT(P663,7)="Bekleni","Bekleniyor","Uygun"))))))</f>
        <v/>
      </c>
    </row>
    <row r="664">
      <c r="A664" s="26">
        <f>IF('DIVA Satislari'!I664="","",'DIVA Satislari'!I664)</f>
        <v/>
      </c>
      <c r="B664" s="26">
        <f>IF('DIVA Satislari'!I664="","",'DIVA Satislari'!R664)</f>
        <v/>
      </c>
      <c r="C664" s="26">
        <f>IF('DIVA Satislari'!I664="","",'DIVA Satislari'!M664)</f>
        <v/>
      </c>
      <c r="D664" s="27">
        <f>IF('DIVA Satislari'!I664="","",'DIVA Satislari'!H664)</f>
        <v/>
      </c>
      <c r="E664" s="26">
        <f>IF('DIVA Satislari'!I664="","",'DIVA Satislari'!O664)</f>
        <v/>
      </c>
      <c r="F664" s="26">
        <f>IF('DIVA Satislari'!I664="","",'DIVA Satislari'!AK664)</f>
        <v/>
      </c>
      <c r="G664" s="26">
        <f>IF('DIVA Satislari'!I664="","",'DIVA Satislari'!AO664)</f>
        <v/>
      </c>
      <c r="H664" s="27">
        <f>IF('DIVA Satislari'!I664="","",'DIVA Satislari'!AN664)</f>
        <v/>
      </c>
      <c r="I664" s="28">
        <f>IF('DIVA Satislari'!I664="","",'DIVA Satislari'!AQ664)</f>
        <v/>
      </c>
      <c r="J664" s="26">
        <f>IF('DIVA Satislari'!I664="","",'DIVA Satislari'!AR664)</f>
        <v/>
      </c>
      <c r="K664" s="26">
        <f>IF('DIVA Satislari'!I664="","",IFERROR(INDEX('E2E Nakliye Montaj'!$AS$3:$AS$1002,MATCH('DIVA Satislari'!AJ664,'E2E Nakliye Montaj'!$AM$3:$AM$1002,0)),"Eşleşme Yok"))</f>
        <v/>
      </c>
      <c r="L664" s="26">
        <f>IF('DIVA Satislari'!I664="","",IFERROR(INDEX('E2E Nakliye Montaj'!$AT$3:$AT$1002,MATCH('DIVA Satislari'!AJ664,'E2E Nakliye Montaj'!$AM$3:$AM$1002,0)),"Hayır"))</f>
        <v/>
      </c>
      <c r="M664" s="26">
        <f>IF('DIVA Satislari'!I664="","",IFERROR(INDEX('E2E Nakliye Montaj'!$AU$3:$AU$1002,MATCH('DIVA Satislari'!AJ664,'E2E Nakliye Montaj'!$AM$3:$AM$1002,0)),"Hayır"))</f>
        <v/>
      </c>
      <c r="N664" s="27">
        <f>IF('DIVA Satislari'!I664="","",IFERROR(INDEX('E2E Nakliye Montaj'!$AV$3:$AV$1002,MATCH('DIVA Satislari'!AJ664,'E2E Nakliye Montaj'!$AM$3:$AM$1002,0)),""))</f>
        <v/>
      </c>
      <c r="O664" s="26">
        <f>IF(OR(A664="",N664=""),"",IF(N664&lt;=H664,"Evet","HAYIR - RİSK"))</f>
        <v/>
      </c>
      <c r="P664" s="26">
        <f>IF(A664="","",IF(LEFT(J664,8)="Kural A ","Uygun - Hemen Ödenir (Yıl Sonu %75 Kontrolüne Tabi)",IF(OR(L664="Evet",M664="Evet"),IF(O664="Evet","Uygun","RİSK - Hakediş Süresi Aşıldı"),"Bekleniyor - Nakliye/Montaj Tamamlanmadı")))</f>
        <v/>
      </c>
      <c r="Q664" s="28">
        <f>IF(A664="","",SUMIFS('Hakedis Fatura Detay'!$G$3:$G$1200,'Hakedis Fatura Detay'!$H$3:$H$1200,'DIVA Satislari'!AJ664,'Hakedis Fatura Detay'!$F$3:$F$1200,"Fiyat Farkı")+SUMIFS('Hakedis Fatura Detay'!$G$3:$G$1200,'Hakedis Fatura Detay'!$H$3:$H$1200,'DIVA Satislari'!AJ664,'Hakedis Fatura Detay'!$F$3:$F$1200,"Bundle"))</f>
        <v/>
      </c>
      <c r="R664" s="28">
        <f>IF(A664="","",I664-Q664)</f>
        <v/>
      </c>
      <c r="S664" s="26">
        <f>IF(A664="","",IF(LEFT(P664,7)="Bekleni","N/A - Henüz Ödenmemeli",IF(LEFT(P664,4)="RİSK","İNCELEME GEREKLİ - Süre Aşımı",IF(R664=0,"Doğru",IF(R664&gt;0,"EKSİK ÖDENMİŞ","FAZLA ÖDENMİŞ")))))</f>
        <v/>
      </c>
      <c r="T664" s="30">
        <f>IF(A664="","",IF(F664&lt;&gt;"Evet","İNCELEME GEREKLİ - Kampanya Tanımsız",IF(G664&lt;&gt;"Evet","İNCELEME GEREKLİ - Tarih Dışı Satış",IF(LEFT(P664,4)="RİSK","İNCELEME GEREKLİ - Hakediş Süresi Aşıldı",IF(OR(S664="EKSİK ÖDENMİŞ",S664="FAZLA ÖDENMİŞ"),"İNCELEME GEREKLİ - Tutar Uyuşmazlığı",IF(LEFT(P664,7)="Bekleni","Bekleniyor","Uygun"))))))</f>
        <v/>
      </c>
    </row>
    <row r="665">
      <c r="A665" s="26">
        <f>IF('DIVA Satislari'!I665="","",'DIVA Satislari'!I665)</f>
        <v/>
      </c>
      <c r="B665" s="26">
        <f>IF('DIVA Satislari'!I665="","",'DIVA Satislari'!R665)</f>
        <v/>
      </c>
      <c r="C665" s="26">
        <f>IF('DIVA Satislari'!I665="","",'DIVA Satislari'!M665)</f>
        <v/>
      </c>
      <c r="D665" s="27">
        <f>IF('DIVA Satislari'!I665="","",'DIVA Satislari'!H665)</f>
        <v/>
      </c>
      <c r="E665" s="26">
        <f>IF('DIVA Satislari'!I665="","",'DIVA Satislari'!O665)</f>
        <v/>
      </c>
      <c r="F665" s="26">
        <f>IF('DIVA Satislari'!I665="","",'DIVA Satislari'!AK665)</f>
        <v/>
      </c>
      <c r="G665" s="26">
        <f>IF('DIVA Satislari'!I665="","",'DIVA Satislari'!AO665)</f>
        <v/>
      </c>
      <c r="H665" s="27">
        <f>IF('DIVA Satislari'!I665="","",'DIVA Satislari'!AN665)</f>
        <v/>
      </c>
      <c r="I665" s="28">
        <f>IF('DIVA Satislari'!I665="","",'DIVA Satislari'!AQ665)</f>
        <v/>
      </c>
      <c r="J665" s="26">
        <f>IF('DIVA Satislari'!I665="","",'DIVA Satislari'!AR665)</f>
        <v/>
      </c>
      <c r="K665" s="26">
        <f>IF('DIVA Satislari'!I665="","",IFERROR(INDEX('E2E Nakliye Montaj'!$AS$3:$AS$1002,MATCH('DIVA Satislari'!AJ665,'E2E Nakliye Montaj'!$AM$3:$AM$1002,0)),"Eşleşme Yok"))</f>
        <v/>
      </c>
      <c r="L665" s="26">
        <f>IF('DIVA Satislari'!I665="","",IFERROR(INDEX('E2E Nakliye Montaj'!$AT$3:$AT$1002,MATCH('DIVA Satislari'!AJ665,'E2E Nakliye Montaj'!$AM$3:$AM$1002,0)),"Hayır"))</f>
        <v/>
      </c>
      <c r="M665" s="26">
        <f>IF('DIVA Satislari'!I665="","",IFERROR(INDEX('E2E Nakliye Montaj'!$AU$3:$AU$1002,MATCH('DIVA Satislari'!AJ665,'E2E Nakliye Montaj'!$AM$3:$AM$1002,0)),"Hayır"))</f>
        <v/>
      </c>
      <c r="N665" s="27">
        <f>IF('DIVA Satislari'!I665="","",IFERROR(INDEX('E2E Nakliye Montaj'!$AV$3:$AV$1002,MATCH('DIVA Satislari'!AJ665,'E2E Nakliye Montaj'!$AM$3:$AM$1002,0)),""))</f>
        <v/>
      </c>
      <c r="O665" s="26">
        <f>IF(OR(A665="",N665=""),"",IF(N665&lt;=H665,"Evet","HAYIR - RİSK"))</f>
        <v/>
      </c>
      <c r="P665" s="26">
        <f>IF(A665="","",IF(LEFT(J665,8)="Kural A ","Uygun - Hemen Ödenir (Yıl Sonu %75 Kontrolüne Tabi)",IF(OR(L665="Evet",M665="Evet"),IF(O665="Evet","Uygun","RİSK - Hakediş Süresi Aşıldı"),"Bekleniyor - Nakliye/Montaj Tamamlanmadı")))</f>
        <v/>
      </c>
      <c r="Q665" s="28">
        <f>IF(A665="","",SUMIFS('Hakedis Fatura Detay'!$G$3:$G$1200,'Hakedis Fatura Detay'!$H$3:$H$1200,'DIVA Satislari'!AJ665,'Hakedis Fatura Detay'!$F$3:$F$1200,"Fiyat Farkı")+SUMIFS('Hakedis Fatura Detay'!$G$3:$G$1200,'Hakedis Fatura Detay'!$H$3:$H$1200,'DIVA Satislari'!AJ665,'Hakedis Fatura Detay'!$F$3:$F$1200,"Bundle"))</f>
        <v/>
      </c>
      <c r="R665" s="28">
        <f>IF(A665="","",I665-Q665)</f>
        <v/>
      </c>
      <c r="S665" s="26">
        <f>IF(A665="","",IF(LEFT(P665,7)="Bekleni","N/A - Henüz Ödenmemeli",IF(LEFT(P665,4)="RİSK","İNCELEME GEREKLİ - Süre Aşımı",IF(R665=0,"Doğru",IF(R665&gt;0,"EKSİK ÖDENMİŞ","FAZLA ÖDENMİŞ")))))</f>
        <v/>
      </c>
      <c r="T665" s="30">
        <f>IF(A665="","",IF(F665&lt;&gt;"Evet","İNCELEME GEREKLİ - Kampanya Tanımsız",IF(G665&lt;&gt;"Evet","İNCELEME GEREKLİ - Tarih Dışı Satış",IF(LEFT(P665,4)="RİSK","İNCELEME GEREKLİ - Hakediş Süresi Aşıldı",IF(OR(S665="EKSİK ÖDENMİŞ",S665="FAZLA ÖDENMİŞ"),"İNCELEME GEREKLİ - Tutar Uyuşmazlığı",IF(LEFT(P665,7)="Bekleni","Bekleniyor","Uygun"))))))</f>
        <v/>
      </c>
    </row>
    <row r="666">
      <c r="A666" s="26">
        <f>IF('DIVA Satislari'!I666="","",'DIVA Satislari'!I666)</f>
        <v/>
      </c>
      <c r="B666" s="26">
        <f>IF('DIVA Satislari'!I666="","",'DIVA Satislari'!R666)</f>
        <v/>
      </c>
      <c r="C666" s="26">
        <f>IF('DIVA Satislari'!I666="","",'DIVA Satislari'!M666)</f>
        <v/>
      </c>
      <c r="D666" s="27">
        <f>IF('DIVA Satislari'!I666="","",'DIVA Satislari'!H666)</f>
        <v/>
      </c>
      <c r="E666" s="26">
        <f>IF('DIVA Satislari'!I666="","",'DIVA Satislari'!O666)</f>
        <v/>
      </c>
      <c r="F666" s="26">
        <f>IF('DIVA Satislari'!I666="","",'DIVA Satislari'!AK666)</f>
        <v/>
      </c>
      <c r="G666" s="26">
        <f>IF('DIVA Satislari'!I666="","",'DIVA Satislari'!AO666)</f>
        <v/>
      </c>
      <c r="H666" s="27">
        <f>IF('DIVA Satislari'!I666="","",'DIVA Satislari'!AN666)</f>
        <v/>
      </c>
      <c r="I666" s="28">
        <f>IF('DIVA Satislari'!I666="","",'DIVA Satislari'!AQ666)</f>
        <v/>
      </c>
      <c r="J666" s="26">
        <f>IF('DIVA Satislari'!I666="","",'DIVA Satislari'!AR666)</f>
        <v/>
      </c>
      <c r="K666" s="26">
        <f>IF('DIVA Satislari'!I666="","",IFERROR(INDEX('E2E Nakliye Montaj'!$AS$3:$AS$1002,MATCH('DIVA Satislari'!AJ666,'E2E Nakliye Montaj'!$AM$3:$AM$1002,0)),"Eşleşme Yok"))</f>
        <v/>
      </c>
      <c r="L666" s="26">
        <f>IF('DIVA Satislari'!I666="","",IFERROR(INDEX('E2E Nakliye Montaj'!$AT$3:$AT$1002,MATCH('DIVA Satislari'!AJ666,'E2E Nakliye Montaj'!$AM$3:$AM$1002,0)),"Hayır"))</f>
        <v/>
      </c>
      <c r="M666" s="26">
        <f>IF('DIVA Satislari'!I666="","",IFERROR(INDEX('E2E Nakliye Montaj'!$AU$3:$AU$1002,MATCH('DIVA Satislari'!AJ666,'E2E Nakliye Montaj'!$AM$3:$AM$1002,0)),"Hayır"))</f>
        <v/>
      </c>
      <c r="N666" s="27">
        <f>IF('DIVA Satislari'!I666="","",IFERROR(INDEX('E2E Nakliye Montaj'!$AV$3:$AV$1002,MATCH('DIVA Satislari'!AJ666,'E2E Nakliye Montaj'!$AM$3:$AM$1002,0)),""))</f>
        <v/>
      </c>
      <c r="O666" s="26">
        <f>IF(OR(A666="",N666=""),"",IF(N666&lt;=H666,"Evet","HAYIR - RİSK"))</f>
        <v/>
      </c>
      <c r="P666" s="26">
        <f>IF(A666="","",IF(LEFT(J666,8)="Kural A ","Uygun - Hemen Ödenir (Yıl Sonu %75 Kontrolüne Tabi)",IF(OR(L666="Evet",M666="Evet"),IF(O666="Evet","Uygun","RİSK - Hakediş Süresi Aşıldı"),"Bekleniyor - Nakliye/Montaj Tamamlanmadı")))</f>
        <v/>
      </c>
      <c r="Q666" s="28">
        <f>IF(A666="","",SUMIFS('Hakedis Fatura Detay'!$G$3:$G$1200,'Hakedis Fatura Detay'!$H$3:$H$1200,'DIVA Satislari'!AJ666,'Hakedis Fatura Detay'!$F$3:$F$1200,"Fiyat Farkı")+SUMIFS('Hakedis Fatura Detay'!$G$3:$G$1200,'Hakedis Fatura Detay'!$H$3:$H$1200,'DIVA Satislari'!AJ666,'Hakedis Fatura Detay'!$F$3:$F$1200,"Bundle"))</f>
        <v/>
      </c>
      <c r="R666" s="28">
        <f>IF(A666="","",I666-Q666)</f>
        <v/>
      </c>
      <c r="S666" s="26">
        <f>IF(A666="","",IF(LEFT(P666,7)="Bekleni","N/A - Henüz Ödenmemeli",IF(LEFT(P666,4)="RİSK","İNCELEME GEREKLİ - Süre Aşımı",IF(R666=0,"Doğru",IF(R666&gt;0,"EKSİK ÖDENMİŞ","FAZLA ÖDENMİŞ")))))</f>
        <v/>
      </c>
      <c r="T666" s="30">
        <f>IF(A666="","",IF(F666&lt;&gt;"Evet","İNCELEME GEREKLİ - Kampanya Tanımsız",IF(G666&lt;&gt;"Evet","İNCELEME GEREKLİ - Tarih Dışı Satış",IF(LEFT(P666,4)="RİSK","İNCELEME GEREKLİ - Hakediş Süresi Aşıldı",IF(OR(S666="EKSİK ÖDENMİŞ",S666="FAZLA ÖDENMİŞ"),"İNCELEME GEREKLİ - Tutar Uyuşmazlığı",IF(LEFT(P666,7)="Bekleni","Bekleniyor","Uygun"))))))</f>
        <v/>
      </c>
    </row>
    <row r="667">
      <c r="A667" s="26">
        <f>IF('DIVA Satislari'!I667="","",'DIVA Satislari'!I667)</f>
        <v/>
      </c>
      <c r="B667" s="26">
        <f>IF('DIVA Satislari'!I667="","",'DIVA Satislari'!R667)</f>
        <v/>
      </c>
      <c r="C667" s="26">
        <f>IF('DIVA Satislari'!I667="","",'DIVA Satislari'!M667)</f>
        <v/>
      </c>
      <c r="D667" s="27">
        <f>IF('DIVA Satislari'!I667="","",'DIVA Satislari'!H667)</f>
        <v/>
      </c>
      <c r="E667" s="26">
        <f>IF('DIVA Satislari'!I667="","",'DIVA Satislari'!O667)</f>
        <v/>
      </c>
      <c r="F667" s="26">
        <f>IF('DIVA Satislari'!I667="","",'DIVA Satislari'!AK667)</f>
        <v/>
      </c>
      <c r="G667" s="26">
        <f>IF('DIVA Satislari'!I667="","",'DIVA Satislari'!AO667)</f>
        <v/>
      </c>
      <c r="H667" s="27">
        <f>IF('DIVA Satislari'!I667="","",'DIVA Satislari'!AN667)</f>
        <v/>
      </c>
      <c r="I667" s="28">
        <f>IF('DIVA Satislari'!I667="","",'DIVA Satislari'!AQ667)</f>
        <v/>
      </c>
      <c r="J667" s="26">
        <f>IF('DIVA Satislari'!I667="","",'DIVA Satislari'!AR667)</f>
        <v/>
      </c>
      <c r="K667" s="26">
        <f>IF('DIVA Satislari'!I667="","",IFERROR(INDEX('E2E Nakliye Montaj'!$AS$3:$AS$1002,MATCH('DIVA Satislari'!AJ667,'E2E Nakliye Montaj'!$AM$3:$AM$1002,0)),"Eşleşme Yok"))</f>
        <v/>
      </c>
      <c r="L667" s="26">
        <f>IF('DIVA Satislari'!I667="","",IFERROR(INDEX('E2E Nakliye Montaj'!$AT$3:$AT$1002,MATCH('DIVA Satislari'!AJ667,'E2E Nakliye Montaj'!$AM$3:$AM$1002,0)),"Hayır"))</f>
        <v/>
      </c>
      <c r="M667" s="26">
        <f>IF('DIVA Satislari'!I667="","",IFERROR(INDEX('E2E Nakliye Montaj'!$AU$3:$AU$1002,MATCH('DIVA Satislari'!AJ667,'E2E Nakliye Montaj'!$AM$3:$AM$1002,0)),"Hayır"))</f>
        <v/>
      </c>
      <c r="N667" s="27">
        <f>IF('DIVA Satislari'!I667="","",IFERROR(INDEX('E2E Nakliye Montaj'!$AV$3:$AV$1002,MATCH('DIVA Satislari'!AJ667,'E2E Nakliye Montaj'!$AM$3:$AM$1002,0)),""))</f>
        <v/>
      </c>
      <c r="O667" s="26">
        <f>IF(OR(A667="",N667=""),"",IF(N667&lt;=H667,"Evet","HAYIR - RİSK"))</f>
        <v/>
      </c>
      <c r="P667" s="26">
        <f>IF(A667="","",IF(LEFT(J667,8)="Kural A ","Uygun - Hemen Ödenir (Yıl Sonu %75 Kontrolüne Tabi)",IF(OR(L667="Evet",M667="Evet"),IF(O667="Evet","Uygun","RİSK - Hakediş Süresi Aşıldı"),"Bekleniyor - Nakliye/Montaj Tamamlanmadı")))</f>
        <v/>
      </c>
      <c r="Q667" s="28">
        <f>IF(A667="","",SUMIFS('Hakedis Fatura Detay'!$G$3:$G$1200,'Hakedis Fatura Detay'!$H$3:$H$1200,'DIVA Satislari'!AJ667,'Hakedis Fatura Detay'!$F$3:$F$1200,"Fiyat Farkı")+SUMIFS('Hakedis Fatura Detay'!$G$3:$G$1200,'Hakedis Fatura Detay'!$H$3:$H$1200,'DIVA Satislari'!AJ667,'Hakedis Fatura Detay'!$F$3:$F$1200,"Bundle"))</f>
        <v/>
      </c>
      <c r="R667" s="28">
        <f>IF(A667="","",I667-Q667)</f>
        <v/>
      </c>
      <c r="S667" s="26">
        <f>IF(A667="","",IF(LEFT(P667,7)="Bekleni","N/A - Henüz Ödenmemeli",IF(LEFT(P667,4)="RİSK","İNCELEME GEREKLİ - Süre Aşımı",IF(R667=0,"Doğru",IF(R667&gt;0,"EKSİK ÖDENMİŞ","FAZLA ÖDENMİŞ")))))</f>
        <v/>
      </c>
      <c r="T667" s="30">
        <f>IF(A667="","",IF(F667&lt;&gt;"Evet","İNCELEME GEREKLİ - Kampanya Tanımsız",IF(G667&lt;&gt;"Evet","İNCELEME GEREKLİ - Tarih Dışı Satış",IF(LEFT(P667,4)="RİSK","İNCELEME GEREKLİ - Hakediş Süresi Aşıldı",IF(OR(S667="EKSİK ÖDENMİŞ",S667="FAZLA ÖDENMİŞ"),"İNCELEME GEREKLİ - Tutar Uyuşmazlığı",IF(LEFT(P667,7)="Bekleni","Bekleniyor","Uygun"))))))</f>
        <v/>
      </c>
    </row>
    <row r="668">
      <c r="A668" s="26">
        <f>IF('DIVA Satislari'!I668="","",'DIVA Satislari'!I668)</f>
        <v/>
      </c>
      <c r="B668" s="26">
        <f>IF('DIVA Satislari'!I668="","",'DIVA Satislari'!R668)</f>
        <v/>
      </c>
      <c r="C668" s="26">
        <f>IF('DIVA Satislari'!I668="","",'DIVA Satislari'!M668)</f>
        <v/>
      </c>
      <c r="D668" s="27">
        <f>IF('DIVA Satislari'!I668="","",'DIVA Satislari'!H668)</f>
        <v/>
      </c>
      <c r="E668" s="26">
        <f>IF('DIVA Satislari'!I668="","",'DIVA Satislari'!O668)</f>
        <v/>
      </c>
      <c r="F668" s="26">
        <f>IF('DIVA Satislari'!I668="","",'DIVA Satislari'!AK668)</f>
        <v/>
      </c>
      <c r="G668" s="26">
        <f>IF('DIVA Satislari'!I668="","",'DIVA Satislari'!AO668)</f>
        <v/>
      </c>
      <c r="H668" s="27">
        <f>IF('DIVA Satislari'!I668="","",'DIVA Satislari'!AN668)</f>
        <v/>
      </c>
      <c r="I668" s="28">
        <f>IF('DIVA Satislari'!I668="","",'DIVA Satislari'!AQ668)</f>
        <v/>
      </c>
      <c r="J668" s="26">
        <f>IF('DIVA Satislari'!I668="","",'DIVA Satislari'!AR668)</f>
        <v/>
      </c>
      <c r="K668" s="26">
        <f>IF('DIVA Satislari'!I668="","",IFERROR(INDEX('E2E Nakliye Montaj'!$AS$3:$AS$1002,MATCH('DIVA Satislari'!AJ668,'E2E Nakliye Montaj'!$AM$3:$AM$1002,0)),"Eşleşme Yok"))</f>
        <v/>
      </c>
      <c r="L668" s="26">
        <f>IF('DIVA Satislari'!I668="","",IFERROR(INDEX('E2E Nakliye Montaj'!$AT$3:$AT$1002,MATCH('DIVA Satislari'!AJ668,'E2E Nakliye Montaj'!$AM$3:$AM$1002,0)),"Hayır"))</f>
        <v/>
      </c>
      <c r="M668" s="26">
        <f>IF('DIVA Satislari'!I668="","",IFERROR(INDEX('E2E Nakliye Montaj'!$AU$3:$AU$1002,MATCH('DIVA Satislari'!AJ668,'E2E Nakliye Montaj'!$AM$3:$AM$1002,0)),"Hayır"))</f>
        <v/>
      </c>
      <c r="N668" s="27">
        <f>IF('DIVA Satislari'!I668="","",IFERROR(INDEX('E2E Nakliye Montaj'!$AV$3:$AV$1002,MATCH('DIVA Satislari'!AJ668,'E2E Nakliye Montaj'!$AM$3:$AM$1002,0)),""))</f>
        <v/>
      </c>
      <c r="O668" s="26">
        <f>IF(OR(A668="",N668=""),"",IF(N668&lt;=H668,"Evet","HAYIR - RİSK"))</f>
        <v/>
      </c>
      <c r="P668" s="26">
        <f>IF(A668="","",IF(LEFT(J668,8)="Kural A ","Uygun - Hemen Ödenir (Yıl Sonu %75 Kontrolüne Tabi)",IF(OR(L668="Evet",M668="Evet"),IF(O668="Evet","Uygun","RİSK - Hakediş Süresi Aşıldı"),"Bekleniyor - Nakliye/Montaj Tamamlanmadı")))</f>
        <v/>
      </c>
      <c r="Q668" s="28">
        <f>IF(A668="","",SUMIFS('Hakedis Fatura Detay'!$G$3:$G$1200,'Hakedis Fatura Detay'!$H$3:$H$1200,'DIVA Satislari'!AJ668,'Hakedis Fatura Detay'!$F$3:$F$1200,"Fiyat Farkı")+SUMIFS('Hakedis Fatura Detay'!$G$3:$G$1200,'Hakedis Fatura Detay'!$H$3:$H$1200,'DIVA Satislari'!AJ668,'Hakedis Fatura Detay'!$F$3:$F$1200,"Bundle"))</f>
        <v/>
      </c>
      <c r="R668" s="28">
        <f>IF(A668="","",I668-Q668)</f>
        <v/>
      </c>
      <c r="S668" s="26">
        <f>IF(A668="","",IF(LEFT(P668,7)="Bekleni","N/A - Henüz Ödenmemeli",IF(LEFT(P668,4)="RİSK","İNCELEME GEREKLİ - Süre Aşımı",IF(R668=0,"Doğru",IF(R668&gt;0,"EKSİK ÖDENMİŞ","FAZLA ÖDENMİŞ")))))</f>
        <v/>
      </c>
      <c r="T668" s="30">
        <f>IF(A668="","",IF(F668&lt;&gt;"Evet","İNCELEME GEREKLİ - Kampanya Tanımsız",IF(G668&lt;&gt;"Evet","İNCELEME GEREKLİ - Tarih Dışı Satış",IF(LEFT(P668,4)="RİSK","İNCELEME GEREKLİ - Hakediş Süresi Aşıldı",IF(OR(S668="EKSİK ÖDENMİŞ",S668="FAZLA ÖDENMİŞ"),"İNCELEME GEREKLİ - Tutar Uyuşmazlığı",IF(LEFT(P668,7)="Bekleni","Bekleniyor","Uygun"))))))</f>
        <v/>
      </c>
    </row>
    <row r="669">
      <c r="A669" s="26">
        <f>IF('DIVA Satislari'!I669="","",'DIVA Satislari'!I669)</f>
        <v/>
      </c>
      <c r="B669" s="26">
        <f>IF('DIVA Satislari'!I669="","",'DIVA Satislari'!R669)</f>
        <v/>
      </c>
      <c r="C669" s="26">
        <f>IF('DIVA Satislari'!I669="","",'DIVA Satislari'!M669)</f>
        <v/>
      </c>
      <c r="D669" s="27">
        <f>IF('DIVA Satislari'!I669="","",'DIVA Satislari'!H669)</f>
        <v/>
      </c>
      <c r="E669" s="26">
        <f>IF('DIVA Satislari'!I669="","",'DIVA Satislari'!O669)</f>
        <v/>
      </c>
      <c r="F669" s="26">
        <f>IF('DIVA Satislari'!I669="","",'DIVA Satislari'!AK669)</f>
        <v/>
      </c>
      <c r="G669" s="26">
        <f>IF('DIVA Satislari'!I669="","",'DIVA Satislari'!AO669)</f>
        <v/>
      </c>
      <c r="H669" s="27">
        <f>IF('DIVA Satislari'!I669="","",'DIVA Satislari'!AN669)</f>
        <v/>
      </c>
      <c r="I669" s="28">
        <f>IF('DIVA Satislari'!I669="","",'DIVA Satislari'!AQ669)</f>
        <v/>
      </c>
      <c r="J669" s="26">
        <f>IF('DIVA Satislari'!I669="","",'DIVA Satislari'!AR669)</f>
        <v/>
      </c>
      <c r="K669" s="26">
        <f>IF('DIVA Satislari'!I669="","",IFERROR(INDEX('E2E Nakliye Montaj'!$AS$3:$AS$1002,MATCH('DIVA Satislari'!AJ669,'E2E Nakliye Montaj'!$AM$3:$AM$1002,0)),"Eşleşme Yok"))</f>
        <v/>
      </c>
      <c r="L669" s="26">
        <f>IF('DIVA Satislari'!I669="","",IFERROR(INDEX('E2E Nakliye Montaj'!$AT$3:$AT$1002,MATCH('DIVA Satislari'!AJ669,'E2E Nakliye Montaj'!$AM$3:$AM$1002,0)),"Hayır"))</f>
        <v/>
      </c>
      <c r="M669" s="26">
        <f>IF('DIVA Satislari'!I669="","",IFERROR(INDEX('E2E Nakliye Montaj'!$AU$3:$AU$1002,MATCH('DIVA Satislari'!AJ669,'E2E Nakliye Montaj'!$AM$3:$AM$1002,0)),"Hayır"))</f>
        <v/>
      </c>
      <c r="N669" s="27">
        <f>IF('DIVA Satislari'!I669="","",IFERROR(INDEX('E2E Nakliye Montaj'!$AV$3:$AV$1002,MATCH('DIVA Satislari'!AJ669,'E2E Nakliye Montaj'!$AM$3:$AM$1002,0)),""))</f>
        <v/>
      </c>
      <c r="O669" s="26">
        <f>IF(OR(A669="",N669=""),"",IF(N669&lt;=H669,"Evet","HAYIR - RİSK"))</f>
        <v/>
      </c>
      <c r="P669" s="26">
        <f>IF(A669="","",IF(LEFT(J669,8)="Kural A ","Uygun - Hemen Ödenir (Yıl Sonu %75 Kontrolüne Tabi)",IF(OR(L669="Evet",M669="Evet"),IF(O669="Evet","Uygun","RİSK - Hakediş Süresi Aşıldı"),"Bekleniyor - Nakliye/Montaj Tamamlanmadı")))</f>
        <v/>
      </c>
      <c r="Q669" s="28">
        <f>IF(A669="","",SUMIFS('Hakedis Fatura Detay'!$G$3:$G$1200,'Hakedis Fatura Detay'!$H$3:$H$1200,'DIVA Satislari'!AJ669,'Hakedis Fatura Detay'!$F$3:$F$1200,"Fiyat Farkı")+SUMIFS('Hakedis Fatura Detay'!$G$3:$G$1200,'Hakedis Fatura Detay'!$H$3:$H$1200,'DIVA Satislari'!AJ669,'Hakedis Fatura Detay'!$F$3:$F$1200,"Bundle"))</f>
        <v/>
      </c>
      <c r="R669" s="28">
        <f>IF(A669="","",I669-Q669)</f>
        <v/>
      </c>
      <c r="S669" s="26">
        <f>IF(A669="","",IF(LEFT(P669,7)="Bekleni","N/A - Henüz Ödenmemeli",IF(LEFT(P669,4)="RİSK","İNCELEME GEREKLİ - Süre Aşımı",IF(R669=0,"Doğru",IF(R669&gt;0,"EKSİK ÖDENMİŞ","FAZLA ÖDENMİŞ")))))</f>
        <v/>
      </c>
      <c r="T669" s="30">
        <f>IF(A669="","",IF(F669&lt;&gt;"Evet","İNCELEME GEREKLİ - Kampanya Tanımsız",IF(G669&lt;&gt;"Evet","İNCELEME GEREKLİ - Tarih Dışı Satış",IF(LEFT(P669,4)="RİSK","İNCELEME GEREKLİ - Hakediş Süresi Aşıldı",IF(OR(S669="EKSİK ÖDENMİŞ",S669="FAZLA ÖDENMİŞ"),"İNCELEME GEREKLİ - Tutar Uyuşmazlığı",IF(LEFT(P669,7)="Bekleni","Bekleniyor","Uygun"))))))</f>
        <v/>
      </c>
    </row>
    <row r="670">
      <c r="A670" s="26">
        <f>IF('DIVA Satislari'!I670="","",'DIVA Satislari'!I670)</f>
        <v/>
      </c>
      <c r="B670" s="26">
        <f>IF('DIVA Satislari'!I670="","",'DIVA Satislari'!R670)</f>
        <v/>
      </c>
      <c r="C670" s="26">
        <f>IF('DIVA Satislari'!I670="","",'DIVA Satislari'!M670)</f>
        <v/>
      </c>
      <c r="D670" s="27">
        <f>IF('DIVA Satislari'!I670="","",'DIVA Satislari'!H670)</f>
        <v/>
      </c>
      <c r="E670" s="26">
        <f>IF('DIVA Satislari'!I670="","",'DIVA Satislari'!O670)</f>
        <v/>
      </c>
      <c r="F670" s="26">
        <f>IF('DIVA Satislari'!I670="","",'DIVA Satislari'!AK670)</f>
        <v/>
      </c>
      <c r="G670" s="26">
        <f>IF('DIVA Satislari'!I670="","",'DIVA Satislari'!AO670)</f>
        <v/>
      </c>
      <c r="H670" s="27">
        <f>IF('DIVA Satislari'!I670="","",'DIVA Satislari'!AN670)</f>
        <v/>
      </c>
      <c r="I670" s="28">
        <f>IF('DIVA Satislari'!I670="","",'DIVA Satislari'!AQ670)</f>
        <v/>
      </c>
      <c r="J670" s="26">
        <f>IF('DIVA Satislari'!I670="","",'DIVA Satislari'!AR670)</f>
        <v/>
      </c>
      <c r="K670" s="26">
        <f>IF('DIVA Satislari'!I670="","",IFERROR(INDEX('E2E Nakliye Montaj'!$AS$3:$AS$1002,MATCH('DIVA Satislari'!AJ670,'E2E Nakliye Montaj'!$AM$3:$AM$1002,0)),"Eşleşme Yok"))</f>
        <v/>
      </c>
      <c r="L670" s="26">
        <f>IF('DIVA Satislari'!I670="","",IFERROR(INDEX('E2E Nakliye Montaj'!$AT$3:$AT$1002,MATCH('DIVA Satislari'!AJ670,'E2E Nakliye Montaj'!$AM$3:$AM$1002,0)),"Hayır"))</f>
        <v/>
      </c>
      <c r="M670" s="26">
        <f>IF('DIVA Satislari'!I670="","",IFERROR(INDEX('E2E Nakliye Montaj'!$AU$3:$AU$1002,MATCH('DIVA Satislari'!AJ670,'E2E Nakliye Montaj'!$AM$3:$AM$1002,0)),"Hayır"))</f>
        <v/>
      </c>
      <c r="N670" s="27">
        <f>IF('DIVA Satislari'!I670="","",IFERROR(INDEX('E2E Nakliye Montaj'!$AV$3:$AV$1002,MATCH('DIVA Satislari'!AJ670,'E2E Nakliye Montaj'!$AM$3:$AM$1002,0)),""))</f>
        <v/>
      </c>
      <c r="O670" s="26">
        <f>IF(OR(A670="",N670=""),"",IF(N670&lt;=H670,"Evet","HAYIR - RİSK"))</f>
        <v/>
      </c>
      <c r="P670" s="26">
        <f>IF(A670="","",IF(LEFT(J670,8)="Kural A ","Uygun - Hemen Ödenir (Yıl Sonu %75 Kontrolüne Tabi)",IF(OR(L670="Evet",M670="Evet"),IF(O670="Evet","Uygun","RİSK - Hakediş Süresi Aşıldı"),"Bekleniyor - Nakliye/Montaj Tamamlanmadı")))</f>
        <v/>
      </c>
      <c r="Q670" s="28">
        <f>IF(A670="","",SUMIFS('Hakedis Fatura Detay'!$G$3:$G$1200,'Hakedis Fatura Detay'!$H$3:$H$1200,'DIVA Satislari'!AJ670,'Hakedis Fatura Detay'!$F$3:$F$1200,"Fiyat Farkı")+SUMIFS('Hakedis Fatura Detay'!$G$3:$G$1200,'Hakedis Fatura Detay'!$H$3:$H$1200,'DIVA Satislari'!AJ670,'Hakedis Fatura Detay'!$F$3:$F$1200,"Bundle"))</f>
        <v/>
      </c>
      <c r="R670" s="28">
        <f>IF(A670="","",I670-Q670)</f>
        <v/>
      </c>
      <c r="S670" s="26">
        <f>IF(A670="","",IF(LEFT(P670,7)="Bekleni","N/A - Henüz Ödenmemeli",IF(LEFT(P670,4)="RİSK","İNCELEME GEREKLİ - Süre Aşımı",IF(R670=0,"Doğru",IF(R670&gt;0,"EKSİK ÖDENMİŞ","FAZLA ÖDENMİŞ")))))</f>
        <v/>
      </c>
      <c r="T670" s="30">
        <f>IF(A670="","",IF(F670&lt;&gt;"Evet","İNCELEME GEREKLİ - Kampanya Tanımsız",IF(G670&lt;&gt;"Evet","İNCELEME GEREKLİ - Tarih Dışı Satış",IF(LEFT(P670,4)="RİSK","İNCELEME GEREKLİ - Hakediş Süresi Aşıldı",IF(OR(S670="EKSİK ÖDENMİŞ",S670="FAZLA ÖDENMİŞ"),"İNCELEME GEREKLİ - Tutar Uyuşmazlığı",IF(LEFT(P670,7)="Bekleni","Bekleniyor","Uygun"))))))</f>
        <v/>
      </c>
    </row>
    <row r="671">
      <c r="A671" s="26">
        <f>IF('DIVA Satislari'!I671="","",'DIVA Satislari'!I671)</f>
        <v/>
      </c>
      <c r="B671" s="26">
        <f>IF('DIVA Satislari'!I671="","",'DIVA Satislari'!R671)</f>
        <v/>
      </c>
      <c r="C671" s="26">
        <f>IF('DIVA Satislari'!I671="","",'DIVA Satislari'!M671)</f>
        <v/>
      </c>
      <c r="D671" s="27">
        <f>IF('DIVA Satislari'!I671="","",'DIVA Satislari'!H671)</f>
        <v/>
      </c>
      <c r="E671" s="26">
        <f>IF('DIVA Satislari'!I671="","",'DIVA Satislari'!O671)</f>
        <v/>
      </c>
      <c r="F671" s="26">
        <f>IF('DIVA Satislari'!I671="","",'DIVA Satislari'!AK671)</f>
        <v/>
      </c>
      <c r="G671" s="26">
        <f>IF('DIVA Satislari'!I671="","",'DIVA Satislari'!AO671)</f>
        <v/>
      </c>
      <c r="H671" s="27">
        <f>IF('DIVA Satislari'!I671="","",'DIVA Satislari'!AN671)</f>
        <v/>
      </c>
      <c r="I671" s="28">
        <f>IF('DIVA Satislari'!I671="","",'DIVA Satislari'!AQ671)</f>
        <v/>
      </c>
      <c r="J671" s="26">
        <f>IF('DIVA Satislari'!I671="","",'DIVA Satislari'!AR671)</f>
        <v/>
      </c>
      <c r="K671" s="26">
        <f>IF('DIVA Satislari'!I671="","",IFERROR(INDEX('E2E Nakliye Montaj'!$AS$3:$AS$1002,MATCH('DIVA Satislari'!AJ671,'E2E Nakliye Montaj'!$AM$3:$AM$1002,0)),"Eşleşme Yok"))</f>
        <v/>
      </c>
      <c r="L671" s="26">
        <f>IF('DIVA Satislari'!I671="","",IFERROR(INDEX('E2E Nakliye Montaj'!$AT$3:$AT$1002,MATCH('DIVA Satislari'!AJ671,'E2E Nakliye Montaj'!$AM$3:$AM$1002,0)),"Hayır"))</f>
        <v/>
      </c>
      <c r="M671" s="26">
        <f>IF('DIVA Satislari'!I671="","",IFERROR(INDEX('E2E Nakliye Montaj'!$AU$3:$AU$1002,MATCH('DIVA Satislari'!AJ671,'E2E Nakliye Montaj'!$AM$3:$AM$1002,0)),"Hayır"))</f>
        <v/>
      </c>
      <c r="N671" s="27">
        <f>IF('DIVA Satislari'!I671="","",IFERROR(INDEX('E2E Nakliye Montaj'!$AV$3:$AV$1002,MATCH('DIVA Satislari'!AJ671,'E2E Nakliye Montaj'!$AM$3:$AM$1002,0)),""))</f>
        <v/>
      </c>
      <c r="O671" s="26">
        <f>IF(OR(A671="",N671=""),"",IF(N671&lt;=H671,"Evet","HAYIR - RİSK"))</f>
        <v/>
      </c>
      <c r="P671" s="26">
        <f>IF(A671="","",IF(LEFT(J671,8)="Kural A ","Uygun - Hemen Ödenir (Yıl Sonu %75 Kontrolüne Tabi)",IF(OR(L671="Evet",M671="Evet"),IF(O671="Evet","Uygun","RİSK - Hakediş Süresi Aşıldı"),"Bekleniyor - Nakliye/Montaj Tamamlanmadı")))</f>
        <v/>
      </c>
      <c r="Q671" s="28">
        <f>IF(A671="","",SUMIFS('Hakedis Fatura Detay'!$G$3:$G$1200,'Hakedis Fatura Detay'!$H$3:$H$1200,'DIVA Satislari'!AJ671,'Hakedis Fatura Detay'!$F$3:$F$1200,"Fiyat Farkı")+SUMIFS('Hakedis Fatura Detay'!$G$3:$G$1200,'Hakedis Fatura Detay'!$H$3:$H$1200,'DIVA Satislari'!AJ671,'Hakedis Fatura Detay'!$F$3:$F$1200,"Bundle"))</f>
        <v/>
      </c>
      <c r="R671" s="28">
        <f>IF(A671="","",I671-Q671)</f>
        <v/>
      </c>
      <c r="S671" s="26">
        <f>IF(A671="","",IF(LEFT(P671,7)="Bekleni","N/A - Henüz Ödenmemeli",IF(LEFT(P671,4)="RİSK","İNCELEME GEREKLİ - Süre Aşımı",IF(R671=0,"Doğru",IF(R671&gt;0,"EKSİK ÖDENMİŞ","FAZLA ÖDENMİŞ")))))</f>
        <v/>
      </c>
      <c r="T671" s="30">
        <f>IF(A671="","",IF(F671&lt;&gt;"Evet","İNCELEME GEREKLİ - Kampanya Tanımsız",IF(G671&lt;&gt;"Evet","İNCELEME GEREKLİ - Tarih Dışı Satış",IF(LEFT(P671,4)="RİSK","İNCELEME GEREKLİ - Hakediş Süresi Aşıldı",IF(OR(S671="EKSİK ÖDENMİŞ",S671="FAZLA ÖDENMİŞ"),"İNCELEME GEREKLİ - Tutar Uyuşmazlığı",IF(LEFT(P671,7)="Bekleni","Bekleniyor","Uygun"))))))</f>
        <v/>
      </c>
    </row>
    <row r="672">
      <c r="A672" s="26">
        <f>IF('DIVA Satislari'!I672="","",'DIVA Satislari'!I672)</f>
        <v/>
      </c>
      <c r="B672" s="26">
        <f>IF('DIVA Satislari'!I672="","",'DIVA Satislari'!R672)</f>
        <v/>
      </c>
      <c r="C672" s="26">
        <f>IF('DIVA Satislari'!I672="","",'DIVA Satislari'!M672)</f>
        <v/>
      </c>
      <c r="D672" s="27">
        <f>IF('DIVA Satislari'!I672="","",'DIVA Satislari'!H672)</f>
        <v/>
      </c>
      <c r="E672" s="26">
        <f>IF('DIVA Satislari'!I672="","",'DIVA Satislari'!O672)</f>
        <v/>
      </c>
      <c r="F672" s="26">
        <f>IF('DIVA Satislari'!I672="","",'DIVA Satislari'!AK672)</f>
        <v/>
      </c>
      <c r="G672" s="26">
        <f>IF('DIVA Satislari'!I672="","",'DIVA Satislari'!AO672)</f>
        <v/>
      </c>
      <c r="H672" s="27">
        <f>IF('DIVA Satislari'!I672="","",'DIVA Satislari'!AN672)</f>
        <v/>
      </c>
      <c r="I672" s="28">
        <f>IF('DIVA Satislari'!I672="","",'DIVA Satislari'!AQ672)</f>
        <v/>
      </c>
      <c r="J672" s="26">
        <f>IF('DIVA Satislari'!I672="","",'DIVA Satislari'!AR672)</f>
        <v/>
      </c>
      <c r="K672" s="26">
        <f>IF('DIVA Satislari'!I672="","",IFERROR(INDEX('E2E Nakliye Montaj'!$AS$3:$AS$1002,MATCH('DIVA Satislari'!AJ672,'E2E Nakliye Montaj'!$AM$3:$AM$1002,0)),"Eşleşme Yok"))</f>
        <v/>
      </c>
      <c r="L672" s="26">
        <f>IF('DIVA Satislari'!I672="","",IFERROR(INDEX('E2E Nakliye Montaj'!$AT$3:$AT$1002,MATCH('DIVA Satislari'!AJ672,'E2E Nakliye Montaj'!$AM$3:$AM$1002,0)),"Hayır"))</f>
        <v/>
      </c>
      <c r="M672" s="26">
        <f>IF('DIVA Satislari'!I672="","",IFERROR(INDEX('E2E Nakliye Montaj'!$AU$3:$AU$1002,MATCH('DIVA Satislari'!AJ672,'E2E Nakliye Montaj'!$AM$3:$AM$1002,0)),"Hayır"))</f>
        <v/>
      </c>
      <c r="N672" s="27">
        <f>IF('DIVA Satislari'!I672="","",IFERROR(INDEX('E2E Nakliye Montaj'!$AV$3:$AV$1002,MATCH('DIVA Satislari'!AJ672,'E2E Nakliye Montaj'!$AM$3:$AM$1002,0)),""))</f>
        <v/>
      </c>
      <c r="O672" s="26">
        <f>IF(OR(A672="",N672=""),"",IF(N672&lt;=H672,"Evet","HAYIR - RİSK"))</f>
        <v/>
      </c>
      <c r="P672" s="26">
        <f>IF(A672="","",IF(LEFT(J672,8)="Kural A ","Uygun - Hemen Ödenir (Yıl Sonu %75 Kontrolüne Tabi)",IF(OR(L672="Evet",M672="Evet"),IF(O672="Evet","Uygun","RİSK - Hakediş Süresi Aşıldı"),"Bekleniyor - Nakliye/Montaj Tamamlanmadı")))</f>
        <v/>
      </c>
      <c r="Q672" s="28">
        <f>IF(A672="","",SUMIFS('Hakedis Fatura Detay'!$G$3:$G$1200,'Hakedis Fatura Detay'!$H$3:$H$1200,'DIVA Satislari'!AJ672,'Hakedis Fatura Detay'!$F$3:$F$1200,"Fiyat Farkı")+SUMIFS('Hakedis Fatura Detay'!$G$3:$G$1200,'Hakedis Fatura Detay'!$H$3:$H$1200,'DIVA Satislari'!AJ672,'Hakedis Fatura Detay'!$F$3:$F$1200,"Bundle"))</f>
        <v/>
      </c>
      <c r="R672" s="28">
        <f>IF(A672="","",I672-Q672)</f>
        <v/>
      </c>
      <c r="S672" s="26">
        <f>IF(A672="","",IF(LEFT(P672,7)="Bekleni","N/A - Henüz Ödenmemeli",IF(LEFT(P672,4)="RİSK","İNCELEME GEREKLİ - Süre Aşımı",IF(R672=0,"Doğru",IF(R672&gt;0,"EKSİK ÖDENMİŞ","FAZLA ÖDENMİŞ")))))</f>
        <v/>
      </c>
      <c r="T672" s="30">
        <f>IF(A672="","",IF(F672&lt;&gt;"Evet","İNCELEME GEREKLİ - Kampanya Tanımsız",IF(G672&lt;&gt;"Evet","İNCELEME GEREKLİ - Tarih Dışı Satış",IF(LEFT(P672,4)="RİSK","İNCELEME GEREKLİ - Hakediş Süresi Aşıldı",IF(OR(S672="EKSİK ÖDENMİŞ",S672="FAZLA ÖDENMİŞ"),"İNCELEME GEREKLİ - Tutar Uyuşmazlığı",IF(LEFT(P672,7)="Bekleni","Bekleniyor","Uygun"))))))</f>
        <v/>
      </c>
    </row>
    <row r="673">
      <c r="A673" s="26">
        <f>IF('DIVA Satislari'!I673="","",'DIVA Satislari'!I673)</f>
        <v/>
      </c>
      <c r="B673" s="26">
        <f>IF('DIVA Satislari'!I673="","",'DIVA Satislari'!R673)</f>
        <v/>
      </c>
      <c r="C673" s="26">
        <f>IF('DIVA Satislari'!I673="","",'DIVA Satislari'!M673)</f>
        <v/>
      </c>
      <c r="D673" s="27">
        <f>IF('DIVA Satislari'!I673="","",'DIVA Satislari'!H673)</f>
        <v/>
      </c>
      <c r="E673" s="26">
        <f>IF('DIVA Satislari'!I673="","",'DIVA Satislari'!O673)</f>
        <v/>
      </c>
      <c r="F673" s="26">
        <f>IF('DIVA Satislari'!I673="","",'DIVA Satislari'!AK673)</f>
        <v/>
      </c>
      <c r="G673" s="26">
        <f>IF('DIVA Satislari'!I673="","",'DIVA Satislari'!AO673)</f>
        <v/>
      </c>
      <c r="H673" s="27">
        <f>IF('DIVA Satislari'!I673="","",'DIVA Satislari'!AN673)</f>
        <v/>
      </c>
      <c r="I673" s="28">
        <f>IF('DIVA Satislari'!I673="","",'DIVA Satislari'!AQ673)</f>
        <v/>
      </c>
      <c r="J673" s="26">
        <f>IF('DIVA Satislari'!I673="","",'DIVA Satislari'!AR673)</f>
        <v/>
      </c>
      <c r="K673" s="26">
        <f>IF('DIVA Satislari'!I673="","",IFERROR(INDEX('E2E Nakliye Montaj'!$AS$3:$AS$1002,MATCH('DIVA Satislari'!AJ673,'E2E Nakliye Montaj'!$AM$3:$AM$1002,0)),"Eşleşme Yok"))</f>
        <v/>
      </c>
      <c r="L673" s="26">
        <f>IF('DIVA Satislari'!I673="","",IFERROR(INDEX('E2E Nakliye Montaj'!$AT$3:$AT$1002,MATCH('DIVA Satislari'!AJ673,'E2E Nakliye Montaj'!$AM$3:$AM$1002,0)),"Hayır"))</f>
        <v/>
      </c>
      <c r="M673" s="26">
        <f>IF('DIVA Satislari'!I673="","",IFERROR(INDEX('E2E Nakliye Montaj'!$AU$3:$AU$1002,MATCH('DIVA Satislari'!AJ673,'E2E Nakliye Montaj'!$AM$3:$AM$1002,0)),"Hayır"))</f>
        <v/>
      </c>
      <c r="N673" s="27">
        <f>IF('DIVA Satislari'!I673="","",IFERROR(INDEX('E2E Nakliye Montaj'!$AV$3:$AV$1002,MATCH('DIVA Satislari'!AJ673,'E2E Nakliye Montaj'!$AM$3:$AM$1002,0)),""))</f>
        <v/>
      </c>
      <c r="O673" s="26">
        <f>IF(OR(A673="",N673=""),"",IF(N673&lt;=H673,"Evet","HAYIR - RİSK"))</f>
        <v/>
      </c>
      <c r="P673" s="26">
        <f>IF(A673="","",IF(LEFT(J673,8)="Kural A ","Uygun - Hemen Ödenir (Yıl Sonu %75 Kontrolüne Tabi)",IF(OR(L673="Evet",M673="Evet"),IF(O673="Evet","Uygun","RİSK - Hakediş Süresi Aşıldı"),"Bekleniyor - Nakliye/Montaj Tamamlanmadı")))</f>
        <v/>
      </c>
      <c r="Q673" s="28">
        <f>IF(A673="","",SUMIFS('Hakedis Fatura Detay'!$G$3:$G$1200,'Hakedis Fatura Detay'!$H$3:$H$1200,'DIVA Satislari'!AJ673,'Hakedis Fatura Detay'!$F$3:$F$1200,"Fiyat Farkı")+SUMIFS('Hakedis Fatura Detay'!$G$3:$G$1200,'Hakedis Fatura Detay'!$H$3:$H$1200,'DIVA Satislari'!AJ673,'Hakedis Fatura Detay'!$F$3:$F$1200,"Bundle"))</f>
        <v/>
      </c>
      <c r="R673" s="28">
        <f>IF(A673="","",I673-Q673)</f>
        <v/>
      </c>
      <c r="S673" s="26">
        <f>IF(A673="","",IF(LEFT(P673,7)="Bekleni","N/A - Henüz Ödenmemeli",IF(LEFT(P673,4)="RİSK","İNCELEME GEREKLİ - Süre Aşımı",IF(R673=0,"Doğru",IF(R673&gt;0,"EKSİK ÖDENMİŞ","FAZLA ÖDENMİŞ")))))</f>
        <v/>
      </c>
      <c r="T673" s="30">
        <f>IF(A673="","",IF(F673&lt;&gt;"Evet","İNCELEME GEREKLİ - Kampanya Tanımsız",IF(G673&lt;&gt;"Evet","İNCELEME GEREKLİ - Tarih Dışı Satış",IF(LEFT(P673,4)="RİSK","İNCELEME GEREKLİ - Hakediş Süresi Aşıldı",IF(OR(S673="EKSİK ÖDENMİŞ",S673="FAZLA ÖDENMİŞ"),"İNCELEME GEREKLİ - Tutar Uyuşmazlığı",IF(LEFT(P673,7)="Bekleni","Bekleniyor","Uygun"))))))</f>
        <v/>
      </c>
    </row>
    <row r="674">
      <c r="A674" s="26">
        <f>IF('DIVA Satislari'!I674="","",'DIVA Satislari'!I674)</f>
        <v/>
      </c>
      <c r="B674" s="26">
        <f>IF('DIVA Satislari'!I674="","",'DIVA Satislari'!R674)</f>
        <v/>
      </c>
      <c r="C674" s="26">
        <f>IF('DIVA Satislari'!I674="","",'DIVA Satislari'!M674)</f>
        <v/>
      </c>
      <c r="D674" s="27">
        <f>IF('DIVA Satislari'!I674="","",'DIVA Satislari'!H674)</f>
        <v/>
      </c>
      <c r="E674" s="26">
        <f>IF('DIVA Satislari'!I674="","",'DIVA Satislari'!O674)</f>
        <v/>
      </c>
      <c r="F674" s="26">
        <f>IF('DIVA Satislari'!I674="","",'DIVA Satislari'!AK674)</f>
        <v/>
      </c>
      <c r="G674" s="26">
        <f>IF('DIVA Satislari'!I674="","",'DIVA Satislari'!AO674)</f>
        <v/>
      </c>
      <c r="H674" s="27">
        <f>IF('DIVA Satislari'!I674="","",'DIVA Satislari'!AN674)</f>
        <v/>
      </c>
      <c r="I674" s="28">
        <f>IF('DIVA Satislari'!I674="","",'DIVA Satislari'!AQ674)</f>
        <v/>
      </c>
      <c r="J674" s="26">
        <f>IF('DIVA Satislari'!I674="","",'DIVA Satislari'!AR674)</f>
        <v/>
      </c>
      <c r="K674" s="26">
        <f>IF('DIVA Satislari'!I674="","",IFERROR(INDEX('E2E Nakliye Montaj'!$AS$3:$AS$1002,MATCH('DIVA Satislari'!AJ674,'E2E Nakliye Montaj'!$AM$3:$AM$1002,0)),"Eşleşme Yok"))</f>
        <v/>
      </c>
      <c r="L674" s="26">
        <f>IF('DIVA Satislari'!I674="","",IFERROR(INDEX('E2E Nakliye Montaj'!$AT$3:$AT$1002,MATCH('DIVA Satislari'!AJ674,'E2E Nakliye Montaj'!$AM$3:$AM$1002,0)),"Hayır"))</f>
        <v/>
      </c>
      <c r="M674" s="26">
        <f>IF('DIVA Satislari'!I674="","",IFERROR(INDEX('E2E Nakliye Montaj'!$AU$3:$AU$1002,MATCH('DIVA Satislari'!AJ674,'E2E Nakliye Montaj'!$AM$3:$AM$1002,0)),"Hayır"))</f>
        <v/>
      </c>
      <c r="N674" s="27">
        <f>IF('DIVA Satislari'!I674="","",IFERROR(INDEX('E2E Nakliye Montaj'!$AV$3:$AV$1002,MATCH('DIVA Satislari'!AJ674,'E2E Nakliye Montaj'!$AM$3:$AM$1002,0)),""))</f>
        <v/>
      </c>
      <c r="O674" s="26">
        <f>IF(OR(A674="",N674=""),"",IF(N674&lt;=H674,"Evet","HAYIR - RİSK"))</f>
        <v/>
      </c>
      <c r="P674" s="26">
        <f>IF(A674="","",IF(LEFT(J674,8)="Kural A ","Uygun - Hemen Ödenir (Yıl Sonu %75 Kontrolüne Tabi)",IF(OR(L674="Evet",M674="Evet"),IF(O674="Evet","Uygun","RİSK - Hakediş Süresi Aşıldı"),"Bekleniyor - Nakliye/Montaj Tamamlanmadı")))</f>
        <v/>
      </c>
      <c r="Q674" s="28">
        <f>IF(A674="","",SUMIFS('Hakedis Fatura Detay'!$G$3:$G$1200,'Hakedis Fatura Detay'!$H$3:$H$1200,'DIVA Satislari'!AJ674,'Hakedis Fatura Detay'!$F$3:$F$1200,"Fiyat Farkı")+SUMIFS('Hakedis Fatura Detay'!$G$3:$G$1200,'Hakedis Fatura Detay'!$H$3:$H$1200,'DIVA Satislari'!AJ674,'Hakedis Fatura Detay'!$F$3:$F$1200,"Bundle"))</f>
        <v/>
      </c>
      <c r="R674" s="28">
        <f>IF(A674="","",I674-Q674)</f>
        <v/>
      </c>
      <c r="S674" s="26">
        <f>IF(A674="","",IF(LEFT(P674,7)="Bekleni","N/A - Henüz Ödenmemeli",IF(LEFT(P674,4)="RİSK","İNCELEME GEREKLİ - Süre Aşımı",IF(R674=0,"Doğru",IF(R674&gt;0,"EKSİK ÖDENMİŞ","FAZLA ÖDENMİŞ")))))</f>
        <v/>
      </c>
      <c r="T674" s="30">
        <f>IF(A674="","",IF(F674&lt;&gt;"Evet","İNCELEME GEREKLİ - Kampanya Tanımsız",IF(G674&lt;&gt;"Evet","İNCELEME GEREKLİ - Tarih Dışı Satış",IF(LEFT(P674,4)="RİSK","İNCELEME GEREKLİ - Hakediş Süresi Aşıldı",IF(OR(S674="EKSİK ÖDENMİŞ",S674="FAZLA ÖDENMİŞ"),"İNCELEME GEREKLİ - Tutar Uyuşmazlığı",IF(LEFT(P674,7)="Bekleni","Bekleniyor","Uygun"))))))</f>
        <v/>
      </c>
    </row>
    <row r="675">
      <c r="A675" s="26">
        <f>IF('DIVA Satislari'!I675="","",'DIVA Satislari'!I675)</f>
        <v/>
      </c>
      <c r="B675" s="26">
        <f>IF('DIVA Satislari'!I675="","",'DIVA Satislari'!R675)</f>
        <v/>
      </c>
      <c r="C675" s="26">
        <f>IF('DIVA Satislari'!I675="","",'DIVA Satislari'!M675)</f>
        <v/>
      </c>
      <c r="D675" s="27">
        <f>IF('DIVA Satislari'!I675="","",'DIVA Satislari'!H675)</f>
        <v/>
      </c>
      <c r="E675" s="26">
        <f>IF('DIVA Satislari'!I675="","",'DIVA Satislari'!O675)</f>
        <v/>
      </c>
      <c r="F675" s="26">
        <f>IF('DIVA Satislari'!I675="","",'DIVA Satislari'!AK675)</f>
        <v/>
      </c>
      <c r="G675" s="26">
        <f>IF('DIVA Satislari'!I675="","",'DIVA Satislari'!AO675)</f>
        <v/>
      </c>
      <c r="H675" s="27">
        <f>IF('DIVA Satislari'!I675="","",'DIVA Satislari'!AN675)</f>
        <v/>
      </c>
      <c r="I675" s="28">
        <f>IF('DIVA Satislari'!I675="","",'DIVA Satislari'!AQ675)</f>
        <v/>
      </c>
      <c r="J675" s="26">
        <f>IF('DIVA Satislari'!I675="","",'DIVA Satislari'!AR675)</f>
        <v/>
      </c>
      <c r="K675" s="26">
        <f>IF('DIVA Satislari'!I675="","",IFERROR(INDEX('E2E Nakliye Montaj'!$AS$3:$AS$1002,MATCH('DIVA Satislari'!AJ675,'E2E Nakliye Montaj'!$AM$3:$AM$1002,0)),"Eşleşme Yok"))</f>
        <v/>
      </c>
      <c r="L675" s="26">
        <f>IF('DIVA Satislari'!I675="","",IFERROR(INDEX('E2E Nakliye Montaj'!$AT$3:$AT$1002,MATCH('DIVA Satislari'!AJ675,'E2E Nakliye Montaj'!$AM$3:$AM$1002,0)),"Hayır"))</f>
        <v/>
      </c>
      <c r="M675" s="26">
        <f>IF('DIVA Satislari'!I675="","",IFERROR(INDEX('E2E Nakliye Montaj'!$AU$3:$AU$1002,MATCH('DIVA Satislari'!AJ675,'E2E Nakliye Montaj'!$AM$3:$AM$1002,0)),"Hayır"))</f>
        <v/>
      </c>
      <c r="N675" s="27">
        <f>IF('DIVA Satislari'!I675="","",IFERROR(INDEX('E2E Nakliye Montaj'!$AV$3:$AV$1002,MATCH('DIVA Satislari'!AJ675,'E2E Nakliye Montaj'!$AM$3:$AM$1002,0)),""))</f>
        <v/>
      </c>
      <c r="O675" s="26">
        <f>IF(OR(A675="",N675=""),"",IF(N675&lt;=H675,"Evet","HAYIR - RİSK"))</f>
        <v/>
      </c>
      <c r="P675" s="26">
        <f>IF(A675="","",IF(LEFT(J675,8)="Kural A ","Uygun - Hemen Ödenir (Yıl Sonu %75 Kontrolüne Tabi)",IF(OR(L675="Evet",M675="Evet"),IF(O675="Evet","Uygun","RİSK - Hakediş Süresi Aşıldı"),"Bekleniyor - Nakliye/Montaj Tamamlanmadı")))</f>
        <v/>
      </c>
      <c r="Q675" s="28">
        <f>IF(A675="","",SUMIFS('Hakedis Fatura Detay'!$G$3:$G$1200,'Hakedis Fatura Detay'!$H$3:$H$1200,'DIVA Satislari'!AJ675,'Hakedis Fatura Detay'!$F$3:$F$1200,"Fiyat Farkı")+SUMIFS('Hakedis Fatura Detay'!$G$3:$G$1200,'Hakedis Fatura Detay'!$H$3:$H$1200,'DIVA Satislari'!AJ675,'Hakedis Fatura Detay'!$F$3:$F$1200,"Bundle"))</f>
        <v/>
      </c>
      <c r="R675" s="28">
        <f>IF(A675="","",I675-Q675)</f>
        <v/>
      </c>
      <c r="S675" s="26">
        <f>IF(A675="","",IF(LEFT(P675,7)="Bekleni","N/A - Henüz Ödenmemeli",IF(LEFT(P675,4)="RİSK","İNCELEME GEREKLİ - Süre Aşımı",IF(R675=0,"Doğru",IF(R675&gt;0,"EKSİK ÖDENMİŞ","FAZLA ÖDENMİŞ")))))</f>
        <v/>
      </c>
      <c r="T675" s="30">
        <f>IF(A675="","",IF(F675&lt;&gt;"Evet","İNCELEME GEREKLİ - Kampanya Tanımsız",IF(G675&lt;&gt;"Evet","İNCELEME GEREKLİ - Tarih Dışı Satış",IF(LEFT(P675,4)="RİSK","İNCELEME GEREKLİ - Hakediş Süresi Aşıldı",IF(OR(S675="EKSİK ÖDENMİŞ",S675="FAZLA ÖDENMİŞ"),"İNCELEME GEREKLİ - Tutar Uyuşmazlığı",IF(LEFT(P675,7)="Bekleni","Bekleniyor","Uygun"))))))</f>
        <v/>
      </c>
    </row>
    <row r="676">
      <c r="A676" s="26">
        <f>IF('DIVA Satislari'!I676="","",'DIVA Satislari'!I676)</f>
        <v/>
      </c>
      <c r="B676" s="26">
        <f>IF('DIVA Satislari'!I676="","",'DIVA Satislari'!R676)</f>
        <v/>
      </c>
      <c r="C676" s="26">
        <f>IF('DIVA Satislari'!I676="","",'DIVA Satislari'!M676)</f>
        <v/>
      </c>
      <c r="D676" s="27">
        <f>IF('DIVA Satislari'!I676="","",'DIVA Satislari'!H676)</f>
        <v/>
      </c>
      <c r="E676" s="26">
        <f>IF('DIVA Satislari'!I676="","",'DIVA Satislari'!O676)</f>
        <v/>
      </c>
      <c r="F676" s="26">
        <f>IF('DIVA Satislari'!I676="","",'DIVA Satislari'!AK676)</f>
        <v/>
      </c>
      <c r="G676" s="26">
        <f>IF('DIVA Satislari'!I676="","",'DIVA Satislari'!AO676)</f>
        <v/>
      </c>
      <c r="H676" s="27">
        <f>IF('DIVA Satislari'!I676="","",'DIVA Satislari'!AN676)</f>
        <v/>
      </c>
      <c r="I676" s="28">
        <f>IF('DIVA Satislari'!I676="","",'DIVA Satislari'!AQ676)</f>
        <v/>
      </c>
      <c r="J676" s="26">
        <f>IF('DIVA Satislari'!I676="","",'DIVA Satislari'!AR676)</f>
        <v/>
      </c>
      <c r="K676" s="26">
        <f>IF('DIVA Satislari'!I676="","",IFERROR(INDEX('E2E Nakliye Montaj'!$AS$3:$AS$1002,MATCH('DIVA Satislari'!AJ676,'E2E Nakliye Montaj'!$AM$3:$AM$1002,0)),"Eşleşme Yok"))</f>
        <v/>
      </c>
      <c r="L676" s="26">
        <f>IF('DIVA Satislari'!I676="","",IFERROR(INDEX('E2E Nakliye Montaj'!$AT$3:$AT$1002,MATCH('DIVA Satislari'!AJ676,'E2E Nakliye Montaj'!$AM$3:$AM$1002,0)),"Hayır"))</f>
        <v/>
      </c>
      <c r="M676" s="26">
        <f>IF('DIVA Satislari'!I676="","",IFERROR(INDEX('E2E Nakliye Montaj'!$AU$3:$AU$1002,MATCH('DIVA Satislari'!AJ676,'E2E Nakliye Montaj'!$AM$3:$AM$1002,0)),"Hayır"))</f>
        <v/>
      </c>
      <c r="N676" s="27">
        <f>IF('DIVA Satislari'!I676="","",IFERROR(INDEX('E2E Nakliye Montaj'!$AV$3:$AV$1002,MATCH('DIVA Satislari'!AJ676,'E2E Nakliye Montaj'!$AM$3:$AM$1002,0)),""))</f>
        <v/>
      </c>
      <c r="O676" s="26">
        <f>IF(OR(A676="",N676=""),"",IF(N676&lt;=H676,"Evet","HAYIR - RİSK"))</f>
        <v/>
      </c>
      <c r="P676" s="26">
        <f>IF(A676="","",IF(LEFT(J676,8)="Kural A ","Uygun - Hemen Ödenir (Yıl Sonu %75 Kontrolüne Tabi)",IF(OR(L676="Evet",M676="Evet"),IF(O676="Evet","Uygun","RİSK - Hakediş Süresi Aşıldı"),"Bekleniyor - Nakliye/Montaj Tamamlanmadı")))</f>
        <v/>
      </c>
      <c r="Q676" s="28">
        <f>IF(A676="","",SUMIFS('Hakedis Fatura Detay'!$G$3:$G$1200,'Hakedis Fatura Detay'!$H$3:$H$1200,'DIVA Satislari'!AJ676,'Hakedis Fatura Detay'!$F$3:$F$1200,"Fiyat Farkı")+SUMIFS('Hakedis Fatura Detay'!$G$3:$G$1200,'Hakedis Fatura Detay'!$H$3:$H$1200,'DIVA Satislari'!AJ676,'Hakedis Fatura Detay'!$F$3:$F$1200,"Bundle"))</f>
        <v/>
      </c>
      <c r="R676" s="28">
        <f>IF(A676="","",I676-Q676)</f>
        <v/>
      </c>
      <c r="S676" s="26">
        <f>IF(A676="","",IF(LEFT(P676,7)="Bekleni","N/A - Henüz Ödenmemeli",IF(LEFT(P676,4)="RİSK","İNCELEME GEREKLİ - Süre Aşımı",IF(R676=0,"Doğru",IF(R676&gt;0,"EKSİK ÖDENMİŞ","FAZLA ÖDENMİŞ")))))</f>
        <v/>
      </c>
      <c r="T676" s="30">
        <f>IF(A676="","",IF(F676&lt;&gt;"Evet","İNCELEME GEREKLİ - Kampanya Tanımsız",IF(G676&lt;&gt;"Evet","İNCELEME GEREKLİ - Tarih Dışı Satış",IF(LEFT(P676,4)="RİSK","İNCELEME GEREKLİ - Hakediş Süresi Aşıldı",IF(OR(S676="EKSİK ÖDENMİŞ",S676="FAZLA ÖDENMİŞ"),"İNCELEME GEREKLİ - Tutar Uyuşmazlığı",IF(LEFT(P676,7)="Bekleni","Bekleniyor","Uygun"))))))</f>
        <v/>
      </c>
    </row>
    <row r="677">
      <c r="A677" s="26">
        <f>IF('DIVA Satislari'!I677="","",'DIVA Satislari'!I677)</f>
        <v/>
      </c>
      <c r="B677" s="26">
        <f>IF('DIVA Satislari'!I677="","",'DIVA Satislari'!R677)</f>
        <v/>
      </c>
      <c r="C677" s="26">
        <f>IF('DIVA Satislari'!I677="","",'DIVA Satislari'!M677)</f>
        <v/>
      </c>
      <c r="D677" s="27">
        <f>IF('DIVA Satislari'!I677="","",'DIVA Satislari'!H677)</f>
        <v/>
      </c>
      <c r="E677" s="26">
        <f>IF('DIVA Satislari'!I677="","",'DIVA Satislari'!O677)</f>
        <v/>
      </c>
      <c r="F677" s="26">
        <f>IF('DIVA Satislari'!I677="","",'DIVA Satislari'!AK677)</f>
        <v/>
      </c>
      <c r="G677" s="26">
        <f>IF('DIVA Satislari'!I677="","",'DIVA Satislari'!AO677)</f>
        <v/>
      </c>
      <c r="H677" s="27">
        <f>IF('DIVA Satislari'!I677="","",'DIVA Satislari'!AN677)</f>
        <v/>
      </c>
      <c r="I677" s="28">
        <f>IF('DIVA Satislari'!I677="","",'DIVA Satislari'!AQ677)</f>
        <v/>
      </c>
      <c r="J677" s="26">
        <f>IF('DIVA Satislari'!I677="","",'DIVA Satislari'!AR677)</f>
        <v/>
      </c>
      <c r="K677" s="26">
        <f>IF('DIVA Satislari'!I677="","",IFERROR(INDEX('E2E Nakliye Montaj'!$AS$3:$AS$1002,MATCH('DIVA Satislari'!AJ677,'E2E Nakliye Montaj'!$AM$3:$AM$1002,0)),"Eşleşme Yok"))</f>
        <v/>
      </c>
      <c r="L677" s="26">
        <f>IF('DIVA Satislari'!I677="","",IFERROR(INDEX('E2E Nakliye Montaj'!$AT$3:$AT$1002,MATCH('DIVA Satislari'!AJ677,'E2E Nakliye Montaj'!$AM$3:$AM$1002,0)),"Hayır"))</f>
        <v/>
      </c>
      <c r="M677" s="26">
        <f>IF('DIVA Satislari'!I677="","",IFERROR(INDEX('E2E Nakliye Montaj'!$AU$3:$AU$1002,MATCH('DIVA Satislari'!AJ677,'E2E Nakliye Montaj'!$AM$3:$AM$1002,0)),"Hayır"))</f>
        <v/>
      </c>
      <c r="N677" s="27">
        <f>IF('DIVA Satislari'!I677="","",IFERROR(INDEX('E2E Nakliye Montaj'!$AV$3:$AV$1002,MATCH('DIVA Satislari'!AJ677,'E2E Nakliye Montaj'!$AM$3:$AM$1002,0)),""))</f>
        <v/>
      </c>
      <c r="O677" s="26">
        <f>IF(OR(A677="",N677=""),"",IF(N677&lt;=H677,"Evet","HAYIR - RİSK"))</f>
        <v/>
      </c>
      <c r="P677" s="26">
        <f>IF(A677="","",IF(LEFT(J677,8)="Kural A ","Uygun - Hemen Ödenir (Yıl Sonu %75 Kontrolüne Tabi)",IF(OR(L677="Evet",M677="Evet"),IF(O677="Evet","Uygun","RİSK - Hakediş Süresi Aşıldı"),"Bekleniyor - Nakliye/Montaj Tamamlanmadı")))</f>
        <v/>
      </c>
      <c r="Q677" s="28">
        <f>IF(A677="","",SUMIFS('Hakedis Fatura Detay'!$G$3:$G$1200,'Hakedis Fatura Detay'!$H$3:$H$1200,'DIVA Satislari'!AJ677,'Hakedis Fatura Detay'!$F$3:$F$1200,"Fiyat Farkı")+SUMIFS('Hakedis Fatura Detay'!$G$3:$G$1200,'Hakedis Fatura Detay'!$H$3:$H$1200,'DIVA Satislari'!AJ677,'Hakedis Fatura Detay'!$F$3:$F$1200,"Bundle"))</f>
        <v/>
      </c>
      <c r="R677" s="28">
        <f>IF(A677="","",I677-Q677)</f>
        <v/>
      </c>
      <c r="S677" s="26">
        <f>IF(A677="","",IF(LEFT(P677,7)="Bekleni","N/A - Henüz Ödenmemeli",IF(LEFT(P677,4)="RİSK","İNCELEME GEREKLİ - Süre Aşımı",IF(R677=0,"Doğru",IF(R677&gt;0,"EKSİK ÖDENMİŞ","FAZLA ÖDENMİŞ")))))</f>
        <v/>
      </c>
      <c r="T677" s="30">
        <f>IF(A677="","",IF(F677&lt;&gt;"Evet","İNCELEME GEREKLİ - Kampanya Tanımsız",IF(G677&lt;&gt;"Evet","İNCELEME GEREKLİ - Tarih Dışı Satış",IF(LEFT(P677,4)="RİSK","İNCELEME GEREKLİ - Hakediş Süresi Aşıldı",IF(OR(S677="EKSİK ÖDENMİŞ",S677="FAZLA ÖDENMİŞ"),"İNCELEME GEREKLİ - Tutar Uyuşmazlığı",IF(LEFT(P677,7)="Bekleni","Bekleniyor","Uygun"))))))</f>
        <v/>
      </c>
    </row>
    <row r="678">
      <c r="A678" s="26">
        <f>IF('DIVA Satislari'!I678="","",'DIVA Satislari'!I678)</f>
        <v/>
      </c>
      <c r="B678" s="26">
        <f>IF('DIVA Satislari'!I678="","",'DIVA Satislari'!R678)</f>
        <v/>
      </c>
      <c r="C678" s="26">
        <f>IF('DIVA Satislari'!I678="","",'DIVA Satislari'!M678)</f>
        <v/>
      </c>
      <c r="D678" s="27">
        <f>IF('DIVA Satislari'!I678="","",'DIVA Satislari'!H678)</f>
        <v/>
      </c>
      <c r="E678" s="26">
        <f>IF('DIVA Satislari'!I678="","",'DIVA Satislari'!O678)</f>
        <v/>
      </c>
      <c r="F678" s="26">
        <f>IF('DIVA Satislari'!I678="","",'DIVA Satislari'!AK678)</f>
        <v/>
      </c>
      <c r="G678" s="26">
        <f>IF('DIVA Satislari'!I678="","",'DIVA Satislari'!AO678)</f>
        <v/>
      </c>
      <c r="H678" s="27">
        <f>IF('DIVA Satislari'!I678="","",'DIVA Satislari'!AN678)</f>
        <v/>
      </c>
      <c r="I678" s="28">
        <f>IF('DIVA Satislari'!I678="","",'DIVA Satislari'!AQ678)</f>
        <v/>
      </c>
      <c r="J678" s="26">
        <f>IF('DIVA Satislari'!I678="","",'DIVA Satislari'!AR678)</f>
        <v/>
      </c>
      <c r="K678" s="26">
        <f>IF('DIVA Satislari'!I678="","",IFERROR(INDEX('E2E Nakliye Montaj'!$AS$3:$AS$1002,MATCH('DIVA Satislari'!AJ678,'E2E Nakliye Montaj'!$AM$3:$AM$1002,0)),"Eşleşme Yok"))</f>
        <v/>
      </c>
      <c r="L678" s="26">
        <f>IF('DIVA Satislari'!I678="","",IFERROR(INDEX('E2E Nakliye Montaj'!$AT$3:$AT$1002,MATCH('DIVA Satislari'!AJ678,'E2E Nakliye Montaj'!$AM$3:$AM$1002,0)),"Hayır"))</f>
        <v/>
      </c>
      <c r="M678" s="26">
        <f>IF('DIVA Satislari'!I678="","",IFERROR(INDEX('E2E Nakliye Montaj'!$AU$3:$AU$1002,MATCH('DIVA Satislari'!AJ678,'E2E Nakliye Montaj'!$AM$3:$AM$1002,0)),"Hayır"))</f>
        <v/>
      </c>
      <c r="N678" s="27">
        <f>IF('DIVA Satislari'!I678="","",IFERROR(INDEX('E2E Nakliye Montaj'!$AV$3:$AV$1002,MATCH('DIVA Satislari'!AJ678,'E2E Nakliye Montaj'!$AM$3:$AM$1002,0)),""))</f>
        <v/>
      </c>
      <c r="O678" s="26">
        <f>IF(OR(A678="",N678=""),"",IF(N678&lt;=H678,"Evet","HAYIR - RİSK"))</f>
        <v/>
      </c>
      <c r="P678" s="26">
        <f>IF(A678="","",IF(LEFT(J678,8)="Kural A ","Uygun - Hemen Ödenir (Yıl Sonu %75 Kontrolüne Tabi)",IF(OR(L678="Evet",M678="Evet"),IF(O678="Evet","Uygun","RİSK - Hakediş Süresi Aşıldı"),"Bekleniyor - Nakliye/Montaj Tamamlanmadı")))</f>
        <v/>
      </c>
      <c r="Q678" s="28">
        <f>IF(A678="","",SUMIFS('Hakedis Fatura Detay'!$G$3:$G$1200,'Hakedis Fatura Detay'!$H$3:$H$1200,'DIVA Satislari'!AJ678,'Hakedis Fatura Detay'!$F$3:$F$1200,"Fiyat Farkı")+SUMIFS('Hakedis Fatura Detay'!$G$3:$G$1200,'Hakedis Fatura Detay'!$H$3:$H$1200,'DIVA Satislari'!AJ678,'Hakedis Fatura Detay'!$F$3:$F$1200,"Bundle"))</f>
        <v/>
      </c>
      <c r="R678" s="28">
        <f>IF(A678="","",I678-Q678)</f>
        <v/>
      </c>
      <c r="S678" s="26">
        <f>IF(A678="","",IF(LEFT(P678,7)="Bekleni","N/A - Henüz Ödenmemeli",IF(LEFT(P678,4)="RİSK","İNCELEME GEREKLİ - Süre Aşımı",IF(R678=0,"Doğru",IF(R678&gt;0,"EKSİK ÖDENMİŞ","FAZLA ÖDENMİŞ")))))</f>
        <v/>
      </c>
      <c r="T678" s="30">
        <f>IF(A678="","",IF(F678&lt;&gt;"Evet","İNCELEME GEREKLİ - Kampanya Tanımsız",IF(G678&lt;&gt;"Evet","İNCELEME GEREKLİ - Tarih Dışı Satış",IF(LEFT(P678,4)="RİSK","İNCELEME GEREKLİ - Hakediş Süresi Aşıldı",IF(OR(S678="EKSİK ÖDENMİŞ",S678="FAZLA ÖDENMİŞ"),"İNCELEME GEREKLİ - Tutar Uyuşmazlığı",IF(LEFT(P678,7)="Bekleni","Bekleniyor","Uygun"))))))</f>
        <v/>
      </c>
    </row>
    <row r="679">
      <c r="A679" s="26">
        <f>IF('DIVA Satislari'!I679="","",'DIVA Satislari'!I679)</f>
        <v/>
      </c>
      <c r="B679" s="26">
        <f>IF('DIVA Satislari'!I679="","",'DIVA Satislari'!R679)</f>
        <v/>
      </c>
      <c r="C679" s="26">
        <f>IF('DIVA Satislari'!I679="","",'DIVA Satislari'!M679)</f>
        <v/>
      </c>
      <c r="D679" s="27">
        <f>IF('DIVA Satislari'!I679="","",'DIVA Satislari'!H679)</f>
        <v/>
      </c>
      <c r="E679" s="26">
        <f>IF('DIVA Satislari'!I679="","",'DIVA Satislari'!O679)</f>
        <v/>
      </c>
      <c r="F679" s="26">
        <f>IF('DIVA Satislari'!I679="","",'DIVA Satislari'!AK679)</f>
        <v/>
      </c>
      <c r="G679" s="26">
        <f>IF('DIVA Satislari'!I679="","",'DIVA Satislari'!AO679)</f>
        <v/>
      </c>
      <c r="H679" s="27">
        <f>IF('DIVA Satislari'!I679="","",'DIVA Satislari'!AN679)</f>
        <v/>
      </c>
      <c r="I679" s="28">
        <f>IF('DIVA Satislari'!I679="","",'DIVA Satislari'!AQ679)</f>
        <v/>
      </c>
      <c r="J679" s="26">
        <f>IF('DIVA Satislari'!I679="","",'DIVA Satislari'!AR679)</f>
        <v/>
      </c>
      <c r="K679" s="26">
        <f>IF('DIVA Satislari'!I679="","",IFERROR(INDEX('E2E Nakliye Montaj'!$AS$3:$AS$1002,MATCH('DIVA Satislari'!AJ679,'E2E Nakliye Montaj'!$AM$3:$AM$1002,0)),"Eşleşme Yok"))</f>
        <v/>
      </c>
      <c r="L679" s="26">
        <f>IF('DIVA Satislari'!I679="","",IFERROR(INDEX('E2E Nakliye Montaj'!$AT$3:$AT$1002,MATCH('DIVA Satislari'!AJ679,'E2E Nakliye Montaj'!$AM$3:$AM$1002,0)),"Hayır"))</f>
        <v/>
      </c>
      <c r="M679" s="26">
        <f>IF('DIVA Satislari'!I679="","",IFERROR(INDEX('E2E Nakliye Montaj'!$AU$3:$AU$1002,MATCH('DIVA Satislari'!AJ679,'E2E Nakliye Montaj'!$AM$3:$AM$1002,0)),"Hayır"))</f>
        <v/>
      </c>
      <c r="N679" s="27">
        <f>IF('DIVA Satislari'!I679="","",IFERROR(INDEX('E2E Nakliye Montaj'!$AV$3:$AV$1002,MATCH('DIVA Satislari'!AJ679,'E2E Nakliye Montaj'!$AM$3:$AM$1002,0)),""))</f>
        <v/>
      </c>
      <c r="O679" s="26">
        <f>IF(OR(A679="",N679=""),"",IF(N679&lt;=H679,"Evet","HAYIR - RİSK"))</f>
        <v/>
      </c>
      <c r="P679" s="26">
        <f>IF(A679="","",IF(LEFT(J679,8)="Kural A ","Uygun - Hemen Ödenir (Yıl Sonu %75 Kontrolüne Tabi)",IF(OR(L679="Evet",M679="Evet"),IF(O679="Evet","Uygun","RİSK - Hakediş Süresi Aşıldı"),"Bekleniyor - Nakliye/Montaj Tamamlanmadı")))</f>
        <v/>
      </c>
      <c r="Q679" s="28">
        <f>IF(A679="","",SUMIFS('Hakedis Fatura Detay'!$G$3:$G$1200,'Hakedis Fatura Detay'!$H$3:$H$1200,'DIVA Satislari'!AJ679,'Hakedis Fatura Detay'!$F$3:$F$1200,"Fiyat Farkı")+SUMIFS('Hakedis Fatura Detay'!$G$3:$G$1200,'Hakedis Fatura Detay'!$H$3:$H$1200,'DIVA Satislari'!AJ679,'Hakedis Fatura Detay'!$F$3:$F$1200,"Bundle"))</f>
        <v/>
      </c>
      <c r="R679" s="28">
        <f>IF(A679="","",I679-Q679)</f>
        <v/>
      </c>
      <c r="S679" s="26">
        <f>IF(A679="","",IF(LEFT(P679,7)="Bekleni","N/A - Henüz Ödenmemeli",IF(LEFT(P679,4)="RİSK","İNCELEME GEREKLİ - Süre Aşımı",IF(R679=0,"Doğru",IF(R679&gt;0,"EKSİK ÖDENMİŞ","FAZLA ÖDENMİŞ")))))</f>
        <v/>
      </c>
      <c r="T679" s="30">
        <f>IF(A679="","",IF(F679&lt;&gt;"Evet","İNCELEME GEREKLİ - Kampanya Tanımsız",IF(G679&lt;&gt;"Evet","İNCELEME GEREKLİ - Tarih Dışı Satış",IF(LEFT(P679,4)="RİSK","İNCELEME GEREKLİ - Hakediş Süresi Aşıldı",IF(OR(S679="EKSİK ÖDENMİŞ",S679="FAZLA ÖDENMİŞ"),"İNCELEME GEREKLİ - Tutar Uyuşmazlığı",IF(LEFT(P679,7)="Bekleni","Bekleniyor","Uygun"))))))</f>
        <v/>
      </c>
    </row>
    <row r="680">
      <c r="A680" s="26">
        <f>IF('DIVA Satislari'!I680="","",'DIVA Satislari'!I680)</f>
        <v/>
      </c>
      <c r="B680" s="26">
        <f>IF('DIVA Satislari'!I680="","",'DIVA Satislari'!R680)</f>
        <v/>
      </c>
      <c r="C680" s="26">
        <f>IF('DIVA Satislari'!I680="","",'DIVA Satislari'!M680)</f>
        <v/>
      </c>
      <c r="D680" s="27">
        <f>IF('DIVA Satislari'!I680="","",'DIVA Satislari'!H680)</f>
        <v/>
      </c>
      <c r="E680" s="26">
        <f>IF('DIVA Satislari'!I680="","",'DIVA Satislari'!O680)</f>
        <v/>
      </c>
      <c r="F680" s="26">
        <f>IF('DIVA Satislari'!I680="","",'DIVA Satislari'!AK680)</f>
        <v/>
      </c>
      <c r="G680" s="26">
        <f>IF('DIVA Satislari'!I680="","",'DIVA Satislari'!AO680)</f>
        <v/>
      </c>
      <c r="H680" s="27">
        <f>IF('DIVA Satislari'!I680="","",'DIVA Satislari'!AN680)</f>
        <v/>
      </c>
      <c r="I680" s="28">
        <f>IF('DIVA Satislari'!I680="","",'DIVA Satislari'!AQ680)</f>
        <v/>
      </c>
      <c r="J680" s="26">
        <f>IF('DIVA Satislari'!I680="","",'DIVA Satislari'!AR680)</f>
        <v/>
      </c>
      <c r="K680" s="26">
        <f>IF('DIVA Satislari'!I680="","",IFERROR(INDEX('E2E Nakliye Montaj'!$AS$3:$AS$1002,MATCH('DIVA Satislari'!AJ680,'E2E Nakliye Montaj'!$AM$3:$AM$1002,0)),"Eşleşme Yok"))</f>
        <v/>
      </c>
      <c r="L680" s="26">
        <f>IF('DIVA Satislari'!I680="","",IFERROR(INDEX('E2E Nakliye Montaj'!$AT$3:$AT$1002,MATCH('DIVA Satislari'!AJ680,'E2E Nakliye Montaj'!$AM$3:$AM$1002,0)),"Hayır"))</f>
        <v/>
      </c>
      <c r="M680" s="26">
        <f>IF('DIVA Satislari'!I680="","",IFERROR(INDEX('E2E Nakliye Montaj'!$AU$3:$AU$1002,MATCH('DIVA Satislari'!AJ680,'E2E Nakliye Montaj'!$AM$3:$AM$1002,0)),"Hayır"))</f>
        <v/>
      </c>
      <c r="N680" s="27">
        <f>IF('DIVA Satislari'!I680="","",IFERROR(INDEX('E2E Nakliye Montaj'!$AV$3:$AV$1002,MATCH('DIVA Satislari'!AJ680,'E2E Nakliye Montaj'!$AM$3:$AM$1002,0)),""))</f>
        <v/>
      </c>
      <c r="O680" s="26">
        <f>IF(OR(A680="",N680=""),"",IF(N680&lt;=H680,"Evet","HAYIR - RİSK"))</f>
        <v/>
      </c>
      <c r="P680" s="26">
        <f>IF(A680="","",IF(LEFT(J680,8)="Kural A ","Uygun - Hemen Ödenir (Yıl Sonu %75 Kontrolüne Tabi)",IF(OR(L680="Evet",M680="Evet"),IF(O680="Evet","Uygun","RİSK - Hakediş Süresi Aşıldı"),"Bekleniyor - Nakliye/Montaj Tamamlanmadı")))</f>
        <v/>
      </c>
      <c r="Q680" s="28">
        <f>IF(A680="","",SUMIFS('Hakedis Fatura Detay'!$G$3:$G$1200,'Hakedis Fatura Detay'!$H$3:$H$1200,'DIVA Satislari'!AJ680,'Hakedis Fatura Detay'!$F$3:$F$1200,"Fiyat Farkı")+SUMIFS('Hakedis Fatura Detay'!$G$3:$G$1200,'Hakedis Fatura Detay'!$H$3:$H$1200,'DIVA Satislari'!AJ680,'Hakedis Fatura Detay'!$F$3:$F$1200,"Bundle"))</f>
        <v/>
      </c>
      <c r="R680" s="28">
        <f>IF(A680="","",I680-Q680)</f>
        <v/>
      </c>
      <c r="S680" s="26">
        <f>IF(A680="","",IF(LEFT(P680,7)="Bekleni","N/A - Henüz Ödenmemeli",IF(LEFT(P680,4)="RİSK","İNCELEME GEREKLİ - Süre Aşımı",IF(R680=0,"Doğru",IF(R680&gt;0,"EKSİK ÖDENMİŞ","FAZLA ÖDENMİŞ")))))</f>
        <v/>
      </c>
      <c r="T680" s="30">
        <f>IF(A680="","",IF(F680&lt;&gt;"Evet","İNCELEME GEREKLİ - Kampanya Tanımsız",IF(G680&lt;&gt;"Evet","İNCELEME GEREKLİ - Tarih Dışı Satış",IF(LEFT(P680,4)="RİSK","İNCELEME GEREKLİ - Hakediş Süresi Aşıldı",IF(OR(S680="EKSİK ÖDENMİŞ",S680="FAZLA ÖDENMİŞ"),"İNCELEME GEREKLİ - Tutar Uyuşmazlığı",IF(LEFT(P680,7)="Bekleni","Bekleniyor","Uygun"))))))</f>
        <v/>
      </c>
    </row>
    <row r="681">
      <c r="A681" s="26">
        <f>IF('DIVA Satislari'!I681="","",'DIVA Satislari'!I681)</f>
        <v/>
      </c>
      <c r="B681" s="26">
        <f>IF('DIVA Satislari'!I681="","",'DIVA Satislari'!R681)</f>
        <v/>
      </c>
      <c r="C681" s="26">
        <f>IF('DIVA Satislari'!I681="","",'DIVA Satislari'!M681)</f>
        <v/>
      </c>
      <c r="D681" s="27">
        <f>IF('DIVA Satislari'!I681="","",'DIVA Satislari'!H681)</f>
        <v/>
      </c>
      <c r="E681" s="26">
        <f>IF('DIVA Satislari'!I681="","",'DIVA Satislari'!O681)</f>
        <v/>
      </c>
      <c r="F681" s="26">
        <f>IF('DIVA Satislari'!I681="","",'DIVA Satislari'!AK681)</f>
        <v/>
      </c>
      <c r="G681" s="26">
        <f>IF('DIVA Satislari'!I681="","",'DIVA Satislari'!AO681)</f>
        <v/>
      </c>
      <c r="H681" s="27">
        <f>IF('DIVA Satislari'!I681="","",'DIVA Satislari'!AN681)</f>
        <v/>
      </c>
      <c r="I681" s="28">
        <f>IF('DIVA Satislari'!I681="","",'DIVA Satislari'!AQ681)</f>
        <v/>
      </c>
      <c r="J681" s="26">
        <f>IF('DIVA Satislari'!I681="","",'DIVA Satislari'!AR681)</f>
        <v/>
      </c>
      <c r="K681" s="26">
        <f>IF('DIVA Satislari'!I681="","",IFERROR(INDEX('E2E Nakliye Montaj'!$AS$3:$AS$1002,MATCH('DIVA Satislari'!AJ681,'E2E Nakliye Montaj'!$AM$3:$AM$1002,0)),"Eşleşme Yok"))</f>
        <v/>
      </c>
      <c r="L681" s="26">
        <f>IF('DIVA Satislari'!I681="","",IFERROR(INDEX('E2E Nakliye Montaj'!$AT$3:$AT$1002,MATCH('DIVA Satislari'!AJ681,'E2E Nakliye Montaj'!$AM$3:$AM$1002,0)),"Hayır"))</f>
        <v/>
      </c>
      <c r="M681" s="26">
        <f>IF('DIVA Satislari'!I681="","",IFERROR(INDEX('E2E Nakliye Montaj'!$AU$3:$AU$1002,MATCH('DIVA Satislari'!AJ681,'E2E Nakliye Montaj'!$AM$3:$AM$1002,0)),"Hayır"))</f>
        <v/>
      </c>
      <c r="N681" s="27">
        <f>IF('DIVA Satislari'!I681="","",IFERROR(INDEX('E2E Nakliye Montaj'!$AV$3:$AV$1002,MATCH('DIVA Satislari'!AJ681,'E2E Nakliye Montaj'!$AM$3:$AM$1002,0)),""))</f>
        <v/>
      </c>
      <c r="O681" s="26">
        <f>IF(OR(A681="",N681=""),"",IF(N681&lt;=H681,"Evet","HAYIR - RİSK"))</f>
        <v/>
      </c>
      <c r="P681" s="26">
        <f>IF(A681="","",IF(LEFT(J681,8)="Kural A ","Uygun - Hemen Ödenir (Yıl Sonu %75 Kontrolüne Tabi)",IF(OR(L681="Evet",M681="Evet"),IF(O681="Evet","Uygun","RİSK - Hakediş Süresi Aşıldı"),"Bekleniyor - Nakliye/Montaj Tamamlanmadı")))</f>
        <v/>
      </c>
      <c r="Q681" s="28">
        <f>IF(A681="","",SUMIFS('Hakedis Fatura Detay'!$G$3:$G$1200,'Hakedis Fatura Detay'!$H$3:$H$1200,'DIVA Satislari'!AJ681,'Hakedis Fatura Detay'!$F$3:$F$1200,"Fiyat Farkı")+SUMIFS('Hakedis Fatura Detay'!$G$3:$G$1200,'Hakedis Fatura Detay'!$H$3:$H$1200,'DIVA Satislari'!AJ681,'Hakedis Fatura Detay'!$F$3:$F$1200,"Bundle"))</f>
        <v/>
      </c>
      <c r="R681" s="28">
        <f>IF(A681="","",I681-Q681)</f>
        <v/>
      </c>
      <c r="S681" s="26">
        <f>IF(A681="","",IF(LEFT(P681,7)="Bekleni","N/A - Henüz Ödenmemeli",IF(LEFT(P681,4)="RİSK","İNCELEME GEREKLİ - Süre Aşımı",IF(R681=0,"Doğru",IF(R681&gt;0,"EKSİK ÖDENMİŞ","FAZLA ÖDENMİŞ")))))</f>
        <v/>
      </c>
      <c r="T681" s="30">
        <f>IF(A681="","",IF(F681&lt;&gt;"Evet","İNCELEME GEREKLİ - Kampanya Tanımsız",IF(G681&lt;&gt;"Evet","İNCELEME GEREKLİ - Tarih Dışı Satış",IF(LEFT(P681,4)="RİSK","İNCELEME GEREKLİ - Hakediş Süresi Aşıldı",IF(OR(S681="EKSİK ÖDENMİŞ",S681="FAZLA ÖDENMİŞ"),"İNCELEME GEREKLİ - Tutar Uyuşmazlığı",IF(LEFT(P681,7)="Bekleni","Bekleniyor","Uygun"))))))</f>
        <v/>
      </c>
    </row>
    <row r="682">
      <c r="A682" s="26">
        <f>IF('DIVA Satislari'!I682="","",'DIVA Satislari'!I682)</f>
        <v/>
      </c>
      <c r="B682" s="26">
        <f>IF('DIVA Satislari'!I682="","",'DIVA Satislari'!R682)</f>
        <v/>
      </c>
      <c r="C682" s="26">
        <f>IF('DIVA Satislari'!I682="","",'DIVA Satislari'!M682)</f>
        <v/>
      </c>
      <c r="D682" s="27">
        <f>IF('DIVA Satislari'!I682="","",'DIVA Satislari'!H682)</f>
        <v/>
      </c>
      <c r="E682" s="26">
        <f>IF('DIVA Satislari'!I682="","",'DIVA Satislari'!O682)</f>
        <v/>
      </c>
      <c r="F682" s="26">
        <f>IF('DIVA Satislari'!I682="","",'DIVA Satislari'!AK682)</f>
        <v/>
      </c>
      <c r="G682" s="26">
        <f>IF('DIVA Satislari'!I682="","",'DIVA Satislari'!AO682)</f>
        <v/>
      </c>
      <c r="H682" s="27">
        <f>IF('DIVA Satislari'!I682="","",'DIVA Satislari'!AN682)</f>
        <v/>
      </c>
      <c r="I682" s="28">
        <f>IF('DIVA Satislari'!I682="","",'DIVA Satislari'!AQ682)</f>
        <v/>
      </c>
      <c r="J682" s="26">
        <f>IF('DIVA Satislari'!I682="","",'DIVA Satislari'!AR682)</f>
        <v/>
      </c>
      <c r="K682" s="26">
        <f>IF('DIVA Satislari'!I682="","",IFERROR(INDEX('E2E Nakliye Montaj'!$AS$3:$AS$1002,MATCH('DIVA Satislari'!AJ682,'E2E Nakliye Montaj'!$AM$3:$AM$1002,0)),"Eşleşme Yok"))</f>
        <v/>
      </c>
      <c r="L682" s="26">
        <f>IF('DIVA Satislari'!I682="","",IFERROR(INDEX('E2E Nakliye Montaj'!$AT$3:$AT$1002,MATCH('DIVA Satislari'!AJ682,'E2E Nakliye Montaj'!$AM$3:$AM$1002,0)),"Hayır"))</f>
        <v/>
      </c>
      <c r="M682" s="26">
        <f>IF('DIVA Satislari'!I682="","",IFERROR(INDEX('E2E Nakliye Montaj'!$AU$3:$AU$1002,MATCH('DIVA Satislari'!AJ682,'E2E Nakliye Montaj'!$AM$3:$AM$1002,0)),"Hayır"))</f>
        <v/>
      </c>
      <c r="N682" s="27">
        <f>IF('DIVA Satislari'!I682="","",IFERROR(INDEX('E2E Nakliye Montaj'!$AV$3:$AV$1002,MATCH('DIVA Satislari'!AJ682,'E2E Nakliye Montaj'!$AM$3:$AM$1002,0)),""))</f>
        <v/>
      </c>
      <c r="O682" s="26">
        <f>IF(OR(A682="",N682=""),"",IF(N682&lt;=H682,"Evet","HAYIR - RİSK"))</f>
        <v/>
      </c>
      <c r="P682" s="26">
        <f>IF(A682="","",IF(LEFT(J682,8)="Kural A ","Uygun - Hemen Ödenir (Yıl Sonu %75 Kontrolüne Tabi)",IF(OR(L682="Evet",M682="Evet"),IF(O682="Evet","Uygun","RİSK - Hakediş Süresi Aşıldı"),"Bekleniyor - Nakliye/Montaj Tamamlanmadı")))</f>
        <v/>
      </c>
      <c r="Q682" s="28">
        <f>IF(A682="","",SUMIFS('Hakedis Fatura Detay'!$G$3:$G$1200,'Hakedis Fatura Detay'!$H$3:$H$1200,'DIVA Satislari'!AJ682,'Hakedis Fatura Detay'!$F$3:$F$1200,"Fiyat Farkı")+SUMIFS('Hakedis Fatura Detay'!$G$3:$G$1200,'Hakedis Fatura Detay'!$H$3:$H$1200,'DIVA Satislari'!AJ682,'Hakedis Fatura Detay'!$F$3:$F$1200,"Bundle"))</f>
        <v/>
      </c>
      <c r="R682" s="28">
        <f>IF(A682="","",I682-Q682)</f>
        <v/>
      </c>
      <c r="S682" s="26">
        <f>IF(A682="","",IF(LEFT(P682,7)="Bekleni","N/A - Henüz Ödenmemeli",IF(LEFT(P682,4)="RİSK","İNCELEME GEREKLİ - Süre Aşımı",IF(R682=0,"Doğru",IF(R682&gt;0,"EKSİK ÖDENMİŞ","FAZLA ÖDENMİŞ")))))</f>
        <v/>
      </c>
      <c r="T682" s="30">
        <f>IF(A682="","",IF(F682&lt;&gt;"Evet","İNCELEME GEREKLİ - Kampanya Tanımsız",IF(G682&lt;&gt;"Evet","İNCELEME GEREKLİ - Tarih Dışı Satış",IF(LEFT(P682,4)="RİSK","İNCELEME GEREKLİ - Hakediş Süresi Aşıldı",IF(OR(S682="EKSİK ÖDENMİŞ",S682="FAZLA ÖDENMİŞ"),"İNCELEME GEREKLİ - Tutar Uyuşmazlığı",IF(LEFT(P682,7)="Bekleni","Bekleniyor","Uygun"))))))</f>
        <v/>
      </c>
    </row>
    <row r="683">
      <c r="A683" s="26">
        <f>IF('DIVA Satislari'!I683="","",'DIVA Satislari'!I683)</f>
        <v/>
      </c>
      <c r="B683" s="26">
        <f>IF('DIVA Satislari'!I683="","",'DIVA Satislari'!R683)</f>
        <v/>
      </c>
      <c r="C683" s="26">
        <f>IF('DIVA Satislari'!I683="","",'DIVA Satislari'!M683)</f>
        <v/>
      </c>
      <c r="D683" s="27">
        <f>IF('DIVA Satislari'!I683="","",'DIVA Satislari'!H683)</f>
        <v/>
      </c>
      <c r="E683" s="26">
        <f>IF('DIVA Satislari'!I683="","",'DIVA Satislari'!O683)</f>
        <v/>
      </c>
      <c r="F683" s="26">
        <f>IF('DIVA Satislari'!I683="","",'DIVA Satislari'!AK683)</f>
        <v/>
      </c>
      <c r="G683" s="26">
        <f>IF('DIVA Satislari'!I683="","",'DIVA Satislari'!AO683)</f>
        <v/>
      </c>
      <c r="H683" s="27">
        <f>IF('DIVA Satislari'!I683="","",'DIVA Satislari'!AN683)</f>
        <v/>
      </c>
      <c r="I683" s="28">
        <f>IF('DIVA Satislari'!I683="","",'DIVA Satislari'!AQ683)</f>
        <v/>
      </c>
      <c r="J683" s="26">
        <f>IF('DIVA Satislari'!I683="","",'DIVA Satislari'!AR683)</f>
        <v/>
      </c>
      <c r="K683" s="26">
        <f>IF('DIVA Satislari'!I683="","",IFERROR(INDEX('E2E Nakliye Montaj'!$AS$3:$AS$1002,MATCH('DIVA Satislari'!AJ683,'E2E Nakliye Montaj'!$AM$3:$AM$1002,0)),"Eşleşme Yok"))</f>
        <v/>
      </c>
      <c r="L683" s="26">
        <f>IF('DIVA Satislari'!I683="","",IFERROR(INDEX('E2E Nakliye Montaj'!$AT$3:$AT$1002,MATCH('DIVA Satislari'!AJ683,'E2E Nakliye Montaj'!$AM$3:$AM$1002,0)),"Hayır"))</f>
        <v/>
      </c>
      <c r="M683" s="26">
        <f>IF('DIVA Satislari'!I683="","",IFERROR(INDEX('E2E Nakliye Montaj'!$AU$3:$AU$1002,MATCH('DIVA Satislari'!AJ683,'E2E Nakliye Montaj'!$AM$3:$AM$1002,0)),"Hayır"))</f>
        <v/>
      </c>
      <c r="N683" s="27">
        <f>IF('DIVA Satislari'!I683="","",IFERROR(INDEX('E2E Nakliye Montaj'!$AV$3:$AV$1002,MATCH('DIVA Satislari'!AJ683,'E2E Nakliye Montaj'!$AM$3:$AM$1002,0)),""))</f>
        <v/>
      </c>
      <c r="O683" s="26">
        <f>IF(OR(A683="",N683=""),"",IF(N683&lt;=H683,"Evet","HAYIR - RİSK"))</f>
        <v/>
      </c>
      <c r="P683" s="26">
        <f>IF(A683="","",IF(LEFT(J683,8)="Kural A ","Uygun - Hemen Ödenir (Yıl Sonu %75 Kontrolüne Tabi)",IF(OR(L683="Evet",M683="Evet"),IF(O683="Evet","Uygun","RİSK - Hakediş Süresi Aşıldı"),"Bekleniyor - Nakliye/Montaj Tamamlanmadı")))</f>
        <v/>
      </c>
      <c r="Q683" s="28">
        <f>IF(A683="","",SUMIFS('Hakedis Fatura Detay'!$G$3:$G$1200,'Hakedis Fatura Detay'!$H$3:$H$1200,'DIVA Satislari'!AJ683,'Hakedis Fatura Detay'!$F$3:$F$1200,"Fiyat Farkı")+SUMIFS('Hakedis Fatura Detay'!$G$3:$G$1200,'Hakedis Fatura Detay'!$H$3:$H$1200,'DIVA Satislari'!AJ683,'Hakedis Fatura Detay'!$F$3:$F$1200,"Bundle"))</f>
        <v/>
      </c>
      <c r="R683" s="28">
        <f>IF(A683="","",I683-Q683)</f>
        <v/>
      </c>
      <c r="S683" s="26">
        <f>IF(A683="","",IF(LEFT(P683,7)="Bekleni","N/A - Henüz Ödenmemeli",IF(LEFT(P683,4)="RİSK","İNCELEME GEREKLİ - Süre Aşımı",IF(R683=0,"Doğru",IF(R683&gt;0,"EKSİK ÖDENMİŞ","FAZLA ÖDENMİŞ")))))</f>
        <v/>
      </c>
      <c r="T683" s="30">
        <f>IF(A683="","",IF(F683&lt;&gt;"Evet","İNCELEME GEREKLİ - Kampanya Tanımsız",IF(G683&lt;&gt;"Evet","İNCELEME GEREKLİ - Tarih Dışı Satış",IF(LEFT(P683,4)="RİSK","İNCELEME GEREKLİ - Hakediş Süresi Aşıldı",IF(OR(S683="EKSİK ÖDENMİŞ",S683="FAZLA ÖDENMİŞ"),"İNCELEME GEREKLİ - Tutar Uyuşmazlığı",IF(LEFT(P683,7)="Bekleni","Bekleniyor","Uygun"))))))</f>
        <v/>
      </c>
    </row>
    <row r="684">
      <c r="A684" s="26">
        <f>IF('DIVA Satislari'!I684="","",'DIVA Satislari'!I684)</f>
        <v/>
      </c>
      <c r="B684" s="26">
        <f>IF('DIVA Satislari'!I684="","",'DIVA Satislari'!R684)</f>
        <v/>
      </c>
      <c r="C684" s="26">
        <f>IF('DIVA Satislari'!I684="","",'DIVA Satislari'!M684)</f>
        <v/>
      </c>
      <c r="D684" s="27">
        <f>IF('DIVA Satislari'!I684="","",'DIVA Satislari'!H684)</f>
        <v/>
      </c>
      <c r="E684" s="26">
        <f>IF('DIVA Satislari'!I684="","",'DIVA Satislari'!O684)</f>
        <v/>
      </c>
      <c r="F684" s="26">
        <f>IF('DIVA Satislari'!I684="","",'DIVA Satislari'!AK684)</f>
        <v/>
      </c>
      <c r="G684" s="26">
        <f>IF('DIVA Satislari'!I684="","",'DIVA Satislari'!AO684)</f>
        <v/>
      </c>
      <c r="H684" s="27">
        <f>IF('DIVA Satislari'!I684="","",'DIVA Satislari'!AN684)</f>
        <v/>
      </c>
      <c r="I684" s="28">
        <f>IF('DIVA Satislari'!I684="","",'DIVA Satislari'!AQ684)</f>
        <v/>
      </c>
      <c r="J684" s="26">
        <f>IF('DIVA Satislari'!I684="","",'DIVA Satislari'!AR684)</f>
        <v/>
      </c>
      <c r="K684" s="26">
        <f>IF('DIVA Satislari'!I684="","",IFERROR(INDEX('E2E Nakliye Montaj'!$AS$3:$AS$1002,MATCH('DIVA Satislari'!AJ684,'E2E Nakliye Montaj'!$AM$3:$AM$1002,0)),"Eşleşme Yok"))</f>
        <v/>
      </c>
      <c r="L684" s="26">
        <f>IF('DIVA Satislari'!I684="","",IFERROR(INDEX('E2E Nakliye Montaj'!$AT$3:$AT$1002,MATCH('DIVA Satislari'!AJ684,'E2E Nakliye Montaj'!$AM$3:$AM$1002,0)),"Hayır"))</f>
        <v/>
      </c>
      <c r="M684" s="26">
        <f>IF('DIVA Satislari'!I684="","",IFERROR(INDEX('E2E Nakliye Montaj'!$AU$3:$AU$1002,MATCH('DIVA Satislari'!AJ684,'E2E Nakliye Montaj'!$AM$3:$AM$1002,0)),"Hayır"))</f>
        <v/>
      </c>
      <c r="N684" s="27">
        <f>IF('DIVA Satislari'!I684="","",IFERROR(INDEX('E2E Nakliye Montaj'!$AV$3:$AV$1002,MATCH('DIVA Satislari'!AJ684,'E2E Nakliye Montaj'!$AM$3:$AM$1002,0)),""))</f>
        <v/>
      </c>
      <c r="O684" s="26">
        <f>IF(OR(A684="",N684=""),"",IF(N684&lt;=H684,"Evet","HAYIR - RİSK"))</f>
        <v/>
      </c>
      <c r="P684" s="26">
        <f>IF(A684="","",IF(LEFT(J684,8)="Kural A ","Uygun - Hemen Ödenir (Yıl Sonu %75 Kontrolüne Tabi)",IF(OR(L684="Evet",M684="Evet"),IF(O684="Evet","Uygun","RİSK - Hakediş Süresi Aşıldı"),"Bekleniyor - Nakliye/Montaj Tamamlanmadı")))</f>
        <v/>
      </c>
      <c r="Q684" s="28">
        <f>IF(A684="","",SUMIFS('Hakedis Fatura Detay'!$G$3:$G$1200,'Hakedis Fatura Detay'!$H$3:$H$1200,'DIVA Satislari'!AJ684,'Hakedis Fatura Detay'!$F$3:$F$1200,"Fiyat Farkı")+SUMIFS('Hakedis Fatura Detay'!$G$3:$G$1200,'Hakedis Fatura Detay'!$H$3:$H$1200,'DIVA Satislari'!AJ684,'Hakedis Fatura Detay'!$F$3:$F$1200,"Bundle"))</f>
        <v/>
      </c>
      <c r="R684" s="28">
        <f>IF(A684="","",I684-Q684)</f>
        <v/>
      </c>
      <c r="S684" s="26">
        <f>IF(A684="","",IF(LEFT(P684,7)="Bekleni","N/A - Henüz Ödenmemeli",IF(LEFT(P684,4)="RİSK","İNCELEME GEREKLİ - Süre Aşımı",IF(R684=0,"Doğru",IF(R684&gt;0,"EKSİK ÖDENMİŞ","FAZLA ÖDENMİŞ")))))</f>
        <v/>
      </c>
      <c r="T684" s="30">
        <f>IF(A684="","",IF(F684&lt;&gt;"Evet","İNCELEME GEREKLİ - Kampanya Tanımsız",IF(G684&lt;&gt;"Evet","İNCELEME GEREKLİ - Tarih Dışı Satış",IF(LEFT(P684,4)="RİSK","İNCELEME GEREKLİ - Hakediş Süresi Aşıldı",IF(OR(S684="EKSİK ÖDENMİŞ",S684="FAZLA ÖDENMİŞ"),"İNCELEME GEREKLİ - Tutar Uyuşmazlığı",IF(LEFT(P684,7)="Bekleni","Bekleniyor","Uygun"))))))</f>
        <v/>
      </c>
    </row>
    <row r="685">
      <c r="A685" s="26">
        <f>IF('DIVA Satislari'!I685="","",'DIVA Satislari'!I685)</f>
        <v/>
      </c>
      <c r="B685" s="26">
        <f>IF('DIVA Satislari'!I685="","",'DIVA Satislari'!R685)</f>
        <v/>
      </c>
      <c r="C685" s="26">
        <f>IF('DIVA Satislari'!I685="","",'DIVA Satislari'!M685)</f>
        <v/>
      </c>
      <c r="D685" s="27">
        <f>IF('DIVA Satislari'!I685="","",'DIVA Satislari'!H685)</f>
        <v/>
      </c>
      <c r="E685" s="26">
        <f>IF('DIVA Satislari'!I685="","",'DIVA Satislari'!O685)</f>
        <v/>
      </c>
      <c r="F685" s="26">
        <f>IF('DIVA Satislari'!I685="","",'DIVA Satislari'!AK685)</f>
        <v/>
      </c>
      <c r="G685" s="26">
        <f>IF('DIVA Satislari'!I685="","",'DIVA Satislari'!AO685)</f>
        <v/>
      </c>
      <c r="H685" s="27">
        <f>IF('DIVA Satislari'!I685="","",'DIVA Satislari'!AN685)</f>
        <v/>
      </c>
      <c r="I685" s="28">
        <f>IF('DIVA Satislari'!I685="","",'DIVA Satislari'!AQ685)</f>
        <v/>
      </c>
      <c r="J685" s="26">
        <f>IF('DIVA Satislari'!I685="","",'DIVA Satislari'!AR685)</f>
        <v/>
      </c>
      <c r="K685" s="26">
        <f>IF('DIVA Satislari'!I685="","",IFERROR(INDEX('E2E Nakliye Montaj'!$AS$3:$AS$1002,MATCH('DIVA Satislari'!AJ685,'E2E Nakliye Montaj'!$AM$3:$AM$1002,0)),"Eşleşme Yok"))</f>
        <v/>
      </c>
      <c r="L685" s="26">
        <f>IF('DIVA Satislari'!I685="","",IFERROR(INDEX('E2E Nakliye Montaj'!$AT$3:$AT$1002,MATCH('DIVA Satislari'!AJ685,'E2E Nakliye Montaj'!$AM$3:$AM$1002,0)),"Hayır"))</f>
        <v/>
      </c>
      <c r="M685" s="26">
        <f>IF('DIVA Satislari'!I685="","",IFERROR(INDEX('E2E Nakliye Montaj'!$AU$3:$AU$1002,MATCH('DIVA Satislari'!AJ685,'E2E Nakliye Montaj'!$AM$3:$AM$1002,0)),"Hayır"))</f>
        <v/>
      </c>
      <c r="N685" s="27">
        <f>IF('DIVA Satislari'!I685="","",IFERROR(INDEX('E2E Nakliye Montaj'!$AV$3:$AV$1002,MATCH('DIVA Satislari'!AJ685,'E2E Nakliye Montaj'!$AM$3:$AM$1002,0)),""))</f>
        <v/>
      </c>
      <c r="O685" s="26">
        <f>IF(OR(A685="",N685=""),"",IF(N685&lt;=H685,"Evet","HAYIR - RİSK"))</f>
        <v/>
      </c>
      <c r="P685" s="26">
        <f>IF(A685="","",IF(LEFT(J685,8)="Kural A ","Uygun - Hemen Ödenir (Yıl Sonu %75 Kontrolüne Tabi)",IF(OR(L685="Evet",M685="Evet"),IF(O685="Evet","Uygun","RİSK - Hakediş Süresi Aşıldı"),"Bekleniyor - Nakliye/Montaj Tamamlanmadı")))</f>
        <v/>
      </c>
      <c r="Q685" s="28">
        <f>IF(A685="","",SUMIFS('Hakedis Fatura Detay'!$G$3:$G$1200,'Hakedis Fatura Detay'!$H$3:$H$1200,'DIVA Satislari'!AJ685,'Hakedis Fatura Detay'!$F$3:$F$1200,"Fiyat Farkı")+SUMIFS('Hakedis Fatura Detay'!$G$3:$G$1200,'Hakedis Fatura Detay'!$H$3:$H$1200,'DIVA Satislari'!AJ685,'Hakedis Fatura Detay'!$F$3:$F$1200,"Bundle"))</f>
        <v/>
      </c>
      <c r="R685" s="28">
        <f>IF(A685="","",I685-Q685)</f>
        <v/>
      </c>
      <c r="S685" s="26">
        <f>IF(A685="","",IF(LEFT(P685,7)="Bekleni","N/A - Henüz Ödenmemeli",IF(LEFT(P685,4)="RİSK","İNCELEME GEREKLİ - Süre Aşımı",IF(R685=0,"Doğru",IF(R685&gt;0,"EKSİK ÖDENMİŞ","FAZLA ÖDENMİŞ")))))</f>
        <v/>
      </c>
      <c r="T685" s="30">
        <f>IF(A685="","",IF(F685&lt;&gt;"Evet","İNCELEME GEREKLİ - Kampanya Tanımsız",IF(G685&lt;&gt;"Evet","İNCELEME GEREKLİ - Tarih Dışı Satış",IF(LEFT(P685,4)="RİSK","İNCELEME GEREKLİ - Hakediş Süresi Aşıldı",IF(OR(S685="EKSİK ÖDENMİŞ",S685="FAZLA ÖDENMİŞ"),"İNCELEME GEREKLİ - Tutar Uyuşmazlığı",IF(LEFT(P685,7)="Bekleni","Bekleniyor","Uygun"))))))</f>
        <v/>
      </c>
    </row>
    <row r="686">
      <c r="A686" s="26">
        <f>IF('DIVA Satislari'!I686="","",'DIVA Satislari'!I686)</f>
        <v/>
      </c>
      <c r="B686" s="26">
        <f>IF('DIVA Satislari'!I686="","",'DIVA Satislari'!R686)</f>
        <v/>
      </c>
      <c r="C686" s="26">
        <f>IF('DIVA Satislari'!I686="","",'DIVA Satislari'!M686)</f>
        <v/>
      </c>
      <c r="D686" s="27">
        <f>IF('DIVA Satislari'!I686="","",'DIVA Satislari'!H686)</f>
        <v/>
      </c>
      <c r="E686" s="26">
        <f>IF('DIVA Satislari'!I686="","",'DIVA Satislari'!O686)</f>
        <v/>
      </c>
      <c r="F686" s="26">
        <f>IF('DIVA Satislari'!I686="","",'DIVA Satislari'!AK686)</f>
        <v/>
      </c>
      <c r="G686" s="26">
        <f>IF('DIVA Satislari'!I686="","",'DIVA Satislari'!AO686)</f>
        <v/>
      </c>
      <c r="H686" s="27">
        <f>IF('DIVA Satislari'!I686="","",'DIVA Satislari'!AN686)</f>
        <v/>
      </c>
      <c r="I686" s="28">
        <f>IF('DIVA Satislari'!I686="","",'DIVA Satislari'!AQ686)</f>
        <v/>
      </c>
      <c r="J686" s="26">
        <f>IF('DIVA Satislari'!I686="","",'DIVA Satislari'!AR686)</f>
        <v/>
      </c>
      <c r="K686" s="26">
        <f>IF('DIVA Satislari'!I686="","",IFERROR(INDEX('E2E Nakliye Montaj'!$AS$3:$AS$1002,MATCH('DIVA Satislari'!AJ686,'E2E Nakliye Montaj'!$AM$3:$AM$1002,0)),"Eşleşme Yok"))</f>
        <v/>
      </c>
      <c r="L686" s="26">
        <f>IF('DIVA Satislari'!I686="","",IFERROR(INDEX('E2E Nakliye Montaj'!$AT$3:$AT$1002,MATCH('DIVA Satislari'!AJ686,'E2E Nakliye Montaj'!$AM$3:$AM$1002,0)),"Hayır"))</f>
        <v/>
      </c>
      <c r="M686" s="26">
        <f>IF('DIVA Satislari'!I686="","",IFERROR(INDEX('E2E Nakliye Montaj'!$AU$3:$AU$1002,MATCH('DIVA Satislari'!AJ686,'E2E Nakliye Montaj'!$AM$3:$AM$1002,0)),"Hayır"))</f>
        <v/>
      </c>
      <c r="N686" s="27">
        <f>IF('DIVA Satislari'!I686="","",IFERROR(INDEX('E2E Nakliye Montaj'!$AV$3:$AV$1002,MATCH('DIVA Satislari'!AJ686,'E2E Nakliye Montaj'!$AM$3:$AM$1002,0)),""))</f>
        <v/>
      </c>
      <c r="O686" s="26">
        <f>IF(OR(A686="",N686=""),"",IF(N686&lt;=H686,"Evet","HAYIR - RİSK"))</f>
        <v/>
      </c>
      <c r="P686" s="26">
        <f>IF(A686="","",IF(LEFT(J686,8)="Kural A ","Uygun - Hemen Ödenir (Yıl Sonu %75 Kontrolüne Tabi)",IF(OR(L686="Evet",M686="Evet"),IF(O686="Evet","Uygun","RİSK - Hakediş Süresi Aşıldı"),"Bekleniyor - Nakliye/Montaj Tamamlanmadı")))</f>
        <v/>
      </c>
      <c r="Q686" s="28">
        <f>IF(A686="","",SUMIFS('Hakedis Fatura Detay'!$G$3:$G$1200,'Hakedis Fatura Detay'!$H$3:$H$1200,'DIVA Satislari'!AJ686,'Hakedis Fatura Detay'!$F$3:$F$1200,"Fiyat Farkı")+SUMIFS('Hakedis Fatura Detay'!$G$3:$G$1200,'Hakedis Fatura Detay'!$H$3:$H$1200,'DIVA Satislari'!AJ686,'Hakedis Fatura Detay'!$F$3:$F$1200,"Bundle"))</f>
        <v/>
      </c>
      <c r="R686" s="28">
        <f>IF(A686="","",I686-Q686)</f>
        <v/>
      </c>
      <c r="S686" s="26">
        <f>IF(A686="","",IF(LEFT(P686,7)="Bekleni","N/A - Henüz Ödenmemeli",IF(LEFT(P686,4)="RİSK","İNCELEME GEREKLİ - Süre Aşımı",IF(R686=0,"Doğru",IF(R686&gt;0,"EKSİK ÖDENMİŞ","FAZLA ÖDENMİŞ")))))</f>
        <v/>
      </c>
      <c r="T686" s="30">
        <f>IF(A686="","",IF(F686&lt;&gt;"Evet","İNCELEME GEREKLİ - Kampanya Tanımsız",IF(G686&lt;&gt;"Evet","İNCELEME GEREKLİ - Tarih Dışı Satış",IF(LEFT(P686,4)="RİSK","İNCELEME GEREKLİ - Hakediş Süresi Aşıldı",IF(OR(S686="EKSİK ÖDENMİŞ",S686="FAZLA ÖDENMİŞ"),"İNCELEME GEREKLİ - Tutar Uyuşmazlığı",IF(LEFT(P686,7)="Bekleni","Bekleniyor","Uygun"))))))</f>
        <v/>
      </c>
    </row>
    <row r="687">
      <c r="A687" s="26">
        <f>IF('DIVA Satislari'!I687="","",'DIVA Satislari'!I687)</f>
        <v/>
      </c>
      <c r="B687" s="26">
        <f>IF('DIVA Satislari'!I687="","",'DIVA Satislari'!R687)</f>
        <v/>
      </c>
      <c r="C687" s="26">
        <f>IF('DIVA Satislari'!I687="","",'DIVA Satislari'!M687)</f>
        <v/>
      </c>
      <c r="D687" s="27">
        <f>IF('DIVA Satislari'!I687="","",'DIVA Satislari'!H687)</f>
        <v/>
      </c>
      <c r="E687" s="26">
        <f>IF('DIVA Satislari'!I687="","",'DIVA Satislari'!O687)</f>
        <v/>
      </c>
      <c r="F687" s="26">
        <f>IF('DIVA Satislari'!I687="","",'DIVA Satislari'!AK687)</f>
        <v/>
      </c>
      <c r="G687" s="26">
        <f>IF('DIVA Satislari'!I687="","",'DIVA Satislari'!AO687)</f>
        <v/>
      </c>
      <c r="H687" s="27">
        <f>IF('DIVA Satislari'!I687="","",'DIVA Satislari'!AN687)</f>
        <v/>
      </c>
      <c r="I687" s="28">
        <f>IF('DIVA Satislari'!I687="","",'DIVA Satislari'!AQ687)</f>
        <v/>
      </c>
      <c r="J687" s="26">
        <f>IF('DIVA Satislari'!I687="","",'DIVA Satislari'!AR687)</f>
        <v/>
      </c>
      <c r="K687" s="26">
        <f>IF('DIVA Satislari'!I687="","",IFERROR(INDEX('E2E Nakliye Montaj'!$AS$3:$AS$1002,MATCH('DIVA Satislari'!AJ687,'E2E Nakliye Montaj'!$AM$3:$AM$1002,0)),"Eşleşme Yok"))</f>
        <v/>
      </c>
      <c r="L687" s="26">
        <f>IF('DIVA Satislari'!I687="","",IFERROR(INDEX('E2E Nakliye Montaj'!$AT$3:$AT$1002,MATCH('DIVA Satislari'!AJ687,'E2E Nakliye Montaj'!$AM$3:$AM$1002,0)),"Hayır"))</f>
        <v/>
      </c>
      <c r="M687" s="26">
        <f>IF('DIVA Satislari'!I687="","",IFERROR(INDEX('E2E Nakliye Montaj'!$AU$3:$AU$1002,MATCH('DIVA Satislari'!AJ687,'E2E Nakliye Montaj'!$AM$3:$AM$1002,0)),"Hayır"))</f>
        <v/>
      </c>
      <c r="N687" s="27">
        <f>IF('DIVA Satislari'!I687="","",IFERROR(INDEX('E2E Nakliye Montaj'!$AV$3:$AV$1002,MATCH('DIVA Satislari'!AJ687,'E2E Nakliye Montaj'!$AM$3:$AM$1002,0)),""))</f>
        <v/>
      </c>
      <c r="O687" s="26">
        <f>IF(OR(A687="",N687=""),"",IF(N687&lt;=H687,"Evet","HAYIR - RİSK"))</f>
        <v/>
      </c>
      <c r="P687" s="26">
        <f>IF(A687="","",IF(LEFT(J687,8)="Kural A ","Uygun - Hemen Ödenir (Yıl Sonu %75 Kontrolüne Tabi)",IF(OR(L687="Evet",M687="Evet"),IF(O687="Evet","Uygun","RİSK - Hakediş Süresi Aşıldı"),"Bekleniyor - Nakliye/Montaj Tamamlanmadı")))</f>
        <v/>
      </c>
      <c r="Q687" s="28">
        <f>IF(A687="","",SUMIFS('Hakedis Fatura Detay'!$G$3:$G$1200,'Hakedis Fatura Detay'!$H$3:$H$1200,'DIVA Satislari'!AJ687,'Hakedis Fatura Detay'!$F$3:$F$1200,"Fiyat Farkı")+SUMIFS('Hakedis Fatura Detay'!$G$3:$G$1200,'Hakedis Fatura Detay'!$H$3:$H$1200,'DIVA Satislari'!AJ687,'Hakedis Fatura Detay'!$F$3:$F$1200,"Bundle"))</f>
        <v/>
      </c>
      <c r="R687" s="28">
        <f>IF(A687="","",I687-Q687)</f>
        <v/>
      </c>
      <c r="S687" s="26">
        <f>IF(A687="","",IF(LEFT(P687,7)="Bekleni","N/A - Henüz Ödenmemeli",IF(LEFT(P687,4)="RİSK","İNCELEME GEREKLİ - Süre Aşımı",IF(R687=0,"Doğru",IF(R687&gt;0,"EKSİK ÖDENMİŞ","FAZLA ÖDENMİŞ")))))</f>
        <v/>
      </c>
      <c r="T687" s="30">
        <f>IF(A687="","",IF(F687&lt;&gt;"Evet","İNCELEME GEREKLİ - Kampanya Tanımsız",IF(G687&lt;&gt;"Evet","İNCELEME GEREKLİ - Tarih Dışı Satış",IF(LEFT(P687,4)="RİSK","İNCELEME GEREKLİ - Hakediş Süresi Aşıldı",IF(OR(S687="EKSİK ÖDENMİŞ",S687="FAZLA ÖDENMİŞ"),"İNCELEME GEREKLİ - Tutar Uyuşmazlığı",IF(LEFT(P687,7)="Bekleni","Bekleniyor","Uygun"))))))</f>
        <v/>
      </c>
    </row>
    <row r="688">
      <c r="A688" s="26">
        <f>IF('DIVA Satislari'!I688="","",'DIVA Satislari'!I688)</f>
        <v/>
      </c>
      <c r="B688" s="26">
        <f>IF('DIVA Satislari'!I688="","",'DIVA Satislari'!R688)</f>
        <v/>
      </c>
      <c r="C688" s="26">
        <f>IF('DIVA Satislari'!I688="","",'DIVA Satislari'!M688)</f>
        <v/>
      </c>
      <c r="D688" s="27">
        <f>IF('DIVA Satislari'!I688="","",'DIVA Satislari'!H688)</f>
        <v/>
      </c>
      <c r="E688" s="26">
        <f>IF('DIVA Satislari'!I688="","",'DIVA Satislari'!O688)</f>
        <v/>
      </c>
      <c r="F688" s="26">
        <f>IF('DIVA Satislari'!I688="","",'DIVA Satislari'!AK688)</f>
        <v/>
      </c>
      <c r="G688" s="26">
        <f>IF('DIVA Satislari'!I688="","",'DIVA Satislari'!AO688)</f>
        <v/>
      </c>
      <c r="H688" s="27">
        <f>IF('DIVA Satislari'!I688="","",'DIVA Satislari'!AN688)</f>
        <v/>
      </c>
      <c r="I688" s="28">
        <f>IF('DIVA Satislari'!I688="","",'DIVA Satislari'!AQ688)</f>
        <v/>
      </c>
      <c r="J688" s="26">
        <f>IF('DIVA Satislari'!I688="","",'DIVA Satislari'!AR688)</f>
        <v/>
      </c>
      <c r="K688" s="26">
        <f>IF('DIVA Satislari'!I688="","",IFERROR(INDEX('E2E Nakliye Montaj'!$AS$3:$AS$1002,MATCH('DIVA Satislari'!AJ688,'E2E Nakliye Montaj'!$AM$3:$AM$1002,0)),"Eşleşme Yok"))</f>
        <v/>
      </c>
      <c r="L688" s="26">
        <f>IF('DIVA Satislari'!I688="","",IFERROR(INDEX('E2E Nakliye Montaj'!$AT$3:$AT$1002,MATCH('DIVA Satislari'!AJ688,'E2E Nakliye Montaj'!$AM$3:$AM$1002,0)),"Hayır"))</f>
        <v/>
      </c>
      <c r="M688" s="26">
        <f>IF('DIVA Satislari'!I688="","",IFERROR(INDEX('E2E Nakliye Montaj'!$AU$3:$AU$1002,MATCH('DIVA Satislari'!AJ688,'E2E Nakliye Montaj'!$AM$3:$AM$1002,0)),"Hayır"))</f>
        <v/>
      </c>
      <c r="N688" s="27">
        <f>IF('DIVA Satislari'!I688="","",IFERROR(INDEX('E2E Nakliye Montaj'!$AV$3:$AV$1002,MATCH('DIVA Satislari'!AJ688,'E2E Nakliye Montaj'!$AM$3:$AM$1002,0)),""))</f>
        <v/>
      </c>
      <c r="O688" s="26">
        <f>IF(OR(A688="",N688=""),"",IF(N688&lt;=H688,"Evet","HAYIR - RİSK"))</f>
        <v/>
      </c>
      <c r="P688" s="26">
        <f>IF(A688="","",IF(LEFT(J688,8)="Kural A ","Uygun - Hemen Ödenir (Yıl Sonu %75 Kontrolüne Tabi)",IF(OR(L688="Evet",M688="Evet"),IF(O688="Evet","Uygun","RİSK - Hakediş Süresi Aşıldı"),"Bekleniyor - Nakliye/Montaj Tamamlanmadı")))</f>
        <v/>
      </c>
      <c r="Q688" s="28">
        <f>IF(A688="","",SUMIFS('Hakedis Fatura Detay'!$G$3:$G$1200,'Hakedis Fatura Detay'!$H$3:$H$1200,'DIVA Satislari'!AJ688,'Hakedis Fatura Detay'!$F$3:$F$1200,"Fiyat Farkı")+SUMIFS('Hakedis Fatura Detay'!$G$3:$G$1200,'Hakedis Fatura Detay'!$H$3:$H$1200,'DIVA Satislari'!AJ688,'Hakedis Fatura Detay'!$F$3:$F$1200,"Bundle"))</f>
        <v/>
      </c>
      <c r="R688" s="28">
        <f>IF(A688="","",I688-Q688)</f>
        <v/>
      </c>
      <c r="S688" s="26">
        <f>IF(A688="","",IF(LEFT(P688,7)="Bekleni","N/A - Henüz Ödenmemeli",IF(LEFT(P688,4)="RİSK","İNCELEME GEREKLİ - Süre Aşımı",IF(R688=0,"Doğru",IF(R688&gt;0,"EKSİK ÖDENMİŞ","FAZLA ÖDENMİŞ")))))</f>
        <v/>
      </c>
      <c r="T688" s="30">
        <f>IF(A688="","",IF(F688&lt;&gt;"Evet","İNCELEME GEREKLİ - Kampanya Tanımsız",IF(G688&lt;&gt;"Evet","İNCELEME GEREKLİ - Tarih Dışı Satış",IF(LEFT(P688,4)="RİSK","İNCELEME GEREKLİ - Hakediş Süresi Aşıldı",IF(OR(S688="EKSİK ÖDENMİŞ",S688="FAZLA ÖDENMİŞ"),"İNCELEME GEREKLİ - Tutar Uyuşmazlığı",IF(LEFT(P688,7)="Bekleni","Bekleniyor","Uygun"))))))</f>
        <v/>
      </c>
    </row>
    <row r="689">
      <c r="A689" s="26">
        <f>IF('DIVA Satislari'!I689="","",'DIVA Satislari'!I689)</f>
        <v/>
      </c>
      <c r="B689" s="26">
        <f>IF('DIVA Satislari'!I689="","",'DIVA Satislari'!R689)</f>
        <v/>
      </c>
      <c r="C689" s="26">
        <f>IF('DIVA Satislari'!I689="","",'DIVA Satislari'!M689)</f>
        <v/>
      </c>
      <c r="D689" s="27">
        <f>IF('DIVA Satislari'!I689="","",'DIVA Satislari'!H689)</f>
        <v/>
      </c>
      <c r="E689" s="26">
        <f>IF('DIVA Satislari'!I689="","",'DIVA Satislari'!O689)</f>
        <v/>
      </c>
      <c r="F689" s="26">
        <f>IF('DIVA Satislari'!I689="","",'DIVA Satislari'!AK689)</f>
        <v/>
      </c>
      <c r="G689" s="26">
        <f>IF('DIVA Satislari'!I689="","",'DIVA Satislari'!AO689)</f>
        <v/>
      </c>
      <c r="H689" s="27">
        <f>IF('DIVA Satislari'!I689="","",'DIVA Satislari'!AN689)</f>
        <v/>
      </c>
      <c r="I689" s="28">
        <f>IF('DIVA Satislari'!I689="","",'DIVA Satislari'!AQ689)</f>
        <v/>
      </c>
      <c r="J689" s="26">
        <f>IF('DIVA Satislari'!I689="","",'DIVA Satislari'!AR689)</f>
        <v/>
      </c>
      <c r="K689" s="26">
        <f>IF('DIVA Satislari'!I689="","",IFERROR(INDEX('E2E Nakliye Montaj'!$AS$3:$AS$1002,MATCH('DIVA Satislari'!AJ689,'E2E Nakliye Montaj'!$AM$3:$AM$1002,0)),"Eşleşme Yok"))</f>
        <v/>
      </c>
      <c r="L689" s="26">
        <f>IF('DIVA Satislari'!I689="","",IFERROR(INDEX('E2E Nakliye Montaj'!$AT$3:$AT$1002,MATCH('DIVA Satislari'!AJ689,'E2E Nakliye Montaj'!$AM$3:$AM$1002,0)),"Hayır"))</f>
        <v/>
      </c>
      <c r="M689" s="26">
        <f>IF('DIVA Satislari'!I689="","",IFERROR(INDEX('E2E Nakliye Montaj'!$AU$3:$AU$1002,MATCH('DIVA Satislari'!AJ689,'E2E Nakliye Montaj'!$AM$3:$AM$1002,0)),"Hayır"))</f>
        <v/>
      </c>
      <c r="N689" s="27">
        <f>IF('DIVA Satislari'!I689="","",IFERROR(INDEX('E2E Nakliye Montaj'!$AV$3:$AV$1002,MATCH('DIVA Satislari'!AJ689,'E2E Nakliye Montaj'!$AM$3:$AM$1002,0)),""))</f>
        <v/>
      </c>
      <c r="O689" s="26">
        <f>IF(OR(A689="",N689=""),"",IF(N689&lt;=H689,"Evet","HAYIR - RİSK"))</f>
        <v/>
      </c>
      <c r="P689" s="26">
        <f>IF(A689="","",IF(LEFT(J689,8)="Kural A ","Uygun - Hemen Ödenir (Yıl Sonu %75 Kontrolüne Tabi)",IF(OR(L689="Evet",M689="Evet"),IF(O689="Evet","Uygun","RİSK - Hakediş Süresi Aşıldı"),"Bekleniyor - Nakliye/Montaj Tamamlanmadı")))</f>
        <v/>
      </c>
      <c r="Q689" s="28">
        <f>IF(A689="","",SUMIFS('Hakedis Fatura Detay'!$G$3:$G$1200,'Hakedis Fatura Detay'!$H$3:$H$1200,'DIVA Satislari'!AJ689,'Hakedis Fatura Detay'!$F$3:$F$1200,"Fiyat Farkı")+SUMIFS('Hakedis Fatura Detay'!$G$3:$G$1200,'Hakedis Fatura Detay'!$H$3:$H$1200,'DIVA Satislari'!AJ689,'Hakedis Fatura Detay'!$F$3:$F$1200,"Bundle"))</f>
        <v/>
      </c>
      <c r="R689" s="28">
        <f>IF(A689="","",I689-Q689)</f>
        <v/>
      </c>
      <c r="S689" s="26">
        <f>IF(A689="","",IF(LEFT(P689,7)="Bekleni","N/A - Henüz Ödenmemeli",IF(LEFT(P689,4)="RİSK","İNCELEME GEREKLİ - Süre Aşımı",IF(R689=0,"Doğru",IF(R689&gt;0,"EKSİK ÖDENMİŞ","FAZLA ÖDENMİŞ")))))</f>
        <v/>
      </c>
      <c r="T689" s="30">
        <f>IF(A689="","",IF(F689&lt;&gt;"Evet","İNCELEME GEREKLİ - Kampanya Tanımsız",IF(G689&lt;&gt;"Evet","İNCELEME GEREKLİ - Tarih Dışı Satış",IF(LEFT(P689,4)="RİSK","İNCELEME GEREKLİ - Hakediş Süresi Aşıldı",IF(OR(S689="EKSİK ÖDENMİŞ",S689="FAZLA ÖDENMİŞ"),"İNCELEME GEREKLİ - Tutar Uyuşmazlığı",IF(LEFT(P689,7)="Bekleni","Bekleniyor","Uygun"))))))</f>
        <v/>
      </c>
    </row>
    <row r="690">
      <c r="A690" s="26">
        <f>IF('DIVA Satislari'!I690="","",'DIVA Satislari'!I690)</f>
        <v/>
      </c>
      <c r="B690" s="26">
        <f>IF('DIVA Satislari'!I690="","",'DIVA Satislari'!R690)</f>
        <v/>
      </c>
      <c r="C690" s="26">
        <f>IF('DIVA Satislari'!I690="","",'DIVA Satislari'!M690)</f>
        <v/>
      </c>
      <c r="D690" s="27">
        <f>IF('DIVA Satislari'!I690="","",'DIVA Satislari'!H690)</f>
        <v/>
      </c>
      <c r="E690" s="26">
        <f>IF('DIVA Satislari'!I690="","",'DIVA Satislari'!O690)</f>
        <v/>
      </c>
      <c r="F690" s="26">
        <f>IF('DIVA Satislari'!I690="","",'DIVA Satislari'!AK690)</f>
        <v/>
      </c>
      <c r="G690" s="26">
        <f>IF('DIVA Satislari'!I690="","",'DIVA Satislari'!AO690)</f>
        <v/>
      </c>
      <c r="H690" s="27">
        <f>IF('DIVA Satislari'!I690="","",'DIVA Satislari'!AN690)</f>
        <v/>
      </c>
      <c r="I690" s="28">
        <f>IF('DIVA Satislari'!I690="","",'DIVA Satislari'!AQ690)</f>
        <v/>
      </c>
      <c r="J690" s="26">
        <f>IF('DIVA Satislari'!I690="","",'DIVA Satislari'!AR690)</f>
        <v/>
      </c>
      <c r="K690" s="26">
        <f>IF('DIVA Satislari'!I690="","",IFERROR(INDEX('E2E Nakliye Montaj'!$AS$3:$AS$1002,MATCH('DIVA Satislari'!AJ690,'E2E Nakliye Montaj'!$AM$3:$AM$1002,0)),"Eşleşme Yok"))</f>
        <v/>
      </c>
      <c r="L690" s="26">
        <f>IF('DIVA Satislari'!I690="","",IFERROR(INDEX('E2E Nakliye Montaj'!$AT$3:$AT$1002,MATCH('DIVA Satislari'!AJ690,'E2E Nakliye Montaj'!$AM$3:$AM$1002,0)),"Hayır"))</f>
        <v/>
      </c>
      <c r="M690" s="26">
        <f>IF('DIVA Satislari'!I690="","",IFERROR(INDEX('E2E Nakliye Montaj'!$AU$3:$AU$1002,MATCH('DIVA Satislari'!AJ690,'E2E Nakliye Montaj'!$AM$3:$AM$1002,0)),"Hayır"))</f>
        <v/>
      </c>
      <c r="N690" s="27">
        <f>IF('DIVA Satislari'!I690="","",IFERROR(INDEX('E2E Nakliye Montaj'!$AV$3:$AV$1002,MATCH('DIVA Satislari'!AJ690,'E2E Nakliye Montaj'!$AM$3:$AM$1002,0)),""))</f>
        <v/>
      </c>
      <c r="O690" s="26">
        <f>IF(OR(A690="",N690=""),"",IF(N690&lt;=H690,"Evet","HAYIR - RİSK"))</f>
        <v/>
      </c>
      <c r="P690" s="26">
        <f>IF(A690="","",IF(LEFT(J690,8)="Kural A ","Uygun - Hemen Ödenir (Yıl Sonu %75 Kontrolüne Tabi)",IF(OR(L690="Evet",M690="Evet"),IF(O690="Evet","Uygun","RİSK - Hakediş Süresi Aşıldı"),"Bekleniyor - Nakliye/Montaj Tamamlanmadı")))</f>
        <v/>
      </c>
      <c r="Q690" s="28">
        <f>IF(A690="","",SUMIFS('Hakedis Fatura Detay'!$G$3:$G$1200,'Hakedis Fatura Detay'!$H$3:$H$1200,'DIVA Satislari'!AJ690,'Hakedis Fatura Detay'!$F$3:$F$1200,"Fiyat Farkı")+SUMIFS('Hakedis Fatura Detay'!$G$3:$G$1200,'Hakedis Fatura Detay'!$H$3:$H$1200,'DIVA Satislari'!AJ690,'Hakedis Fatura Detay'!$F$3:$F$1200,"Bundle"))</f>
        <v/>
      </c>
      <c r="R690" s="28">
        <f>IF(A690="","",I690-Q690)</f>
        <v/>
      </c>
      <c r="S690" s="26">
        <f>IF(A690="","",IF(LEFT(P690,7)="Bekleni","N/A - Henüz Ödenmemeli",IF(LEFT(P690,4)="RİSK","İNCELEME GEREKLİ - Süre Aşımı",IF(R690=0,"Doğru",IF(R690&gt;0,"EKSİK ÖDENMİŞ","FAZLA ÖDENMİŞ")))))</f>
        <v/>
      </c>
      <c r="T690" s="30">
        <f>IF(A690="","",IF(F690&lt;&gt;"Evet","İNCELEME GEREKLİ - Kampanya Tanımsız",IF(G690&lt;&gt;"Evet","İNCELEME GEREKLİ - Tarih Dışı Satış",IF(LEFT(P690,4)="RİSK","İNCELEME GEREKLİ - Hakediş Süresi Aşıldı",IF(OR(S690="EKSİK ÖDENMİŞ",S690="FAZLA ÖDENMİŞ"),"İNCELEME GEREKLİ - Tutar Uyuşmazlığı",IF(LEFT(P690,7)="Bekleni","Bekleniyor","Uygun"))))))</f>
        <v/>
      </c>
    </row>
    <row r="691">
      <c r="A691" s="26">
        <f>IF('DIVA Satislari'!I691="","",'DIVA Satislari'!I691)</f>
        <v/>
      </c>
      <c r="B691" s="26">
        <f>IF('DIVA Satislari'!I691="","",'DIVA Satislari'!R691)</f>
        <v/>
      </c>
      <c r="C691" s="26">
        <f>IF('DIVA Satislari'!I691="","",'DIVA Satislari'!M691)</f>
        <v/>
      </c>
      <c r="D691" s="27">
        <f>IF('DIVA Satislari'!I691="","",'DIVA Satislari'!H691)</f>
        <v/>
      </c>
      <c r="E691" s="26">
        <f>IF('DIVA Satislari'!I691="","",'DIVA Satislari'!O691)</f>
        <v/>
      </c>
      <c r="F691" s="26">
        <f>IF('DIVA Satislari'!I691="","",'DIVA Satislari'!AK691)</f>
        <v/>
      </c>
      <c r="G691" s="26">
        <f>IF('DIVA Satislari'!I691="","",'DIVA Satislari'!AO691)</f>
        <v/>
      </c>
      <c r="H691" s="27">
        <f>IF('DIVA Satislari'!I691="","",'DIVA Satislari'!AN691)</f>
        <v/>
      </c>
      <c r="I691" s="28">
        <f>IF('DIVA Satislari'!I691="","",'DIVA Satislari'!AQ691)</f>
        <v/>
      </c>
      <c r="J691" s="26">
        <f>IF('DIVA Satislari'!I691="","",'DIVA Satislari'!AR691)</f>
        <v/>
      </c>
      <c r="K691" s="26">
        <f>IF('DIVA Satislari'!I691="","",IFERROR(INDEX('E2E Nakliye Montaj'!$AS$3:$AS$1002,MATCH('DIVA Satislari'!AJ691,'E2E Nakliye Montaj'!$AM$3:$AM$1002,0)),"Eşleşme Yok"))</f>
        <v/>
      </c>
      <c r="L691" s="26">
        <f>IF('DIVA Satislari'!I691="","",IFERROR(INDEX('E2E Nakliye Montaj'!$AT$3:$AT$1002,MATCH('DIVA Satislari'!AJ691,'E2E Nakliye Montaj'!$AM$3:$AM$1002,0)),"Hayır"))</f>
        <v/>
      </c>
      <c r="M691" s="26">
        <f>IF('DIVA Satislari'!I691="","",IFERROR(INDEX('E2E Nakliye Montaj'!$AU$3:$AU$1002,MATCH('DIVA Satislari'!AJ691,'E2E Nakliye Montaj'!$AM$3:$AM$1002,0)),"Hayır"))</f>
        <v/>
      </c>
      <c r="N691" s="27">
        <f>IF('DIVA Satislari'!I691="","",IFERROR(INDEX('E2E Nakliye Montaj'!$AV$3:$AV$1002,MATCH('DIVA Satislari'!AJ691,'E2E Nakliye Montaj'!$AM$3:$AM$1002,0)),""))</f>
        <v/>
      </c>
      <c r="O691" s="26">
        <f>IF(OR(A691="",N691=""),"",IF(N691&lt;=H691,"Evet","HAYIR - RİSK"))</f>
        <v/>
      </c>
      <c r="P691" s="26">
        <f>IF(A691="","",IF(LEFT(J691,8)="Kural A ","Uygun - Hemen Ödenir (Yıl Sonu %75 Kontrolüne Tabi)",IF(OR(L691="Evet",M691="Evet"),IF(O691="Evet","Uygun","RİSK - Hakediş Süresi Aşıldı"),"Bekleniyor - Nakliye/Montaj Tamamlanmadı")))</f>
        <v/>
      </c>
      <c r="Q691" s="28">
        <f>IF(A691="","",SUMIFS('Hakedis Fatura Detay'!$G$3:$G$1200,'Hakedis Fatura Detay'!$H$3:$H$1200,'DIVA Satislari'!AJ691,'Hakedis Fatura Detay'!$F$3:$F$1200,"Fiyat Farkı")+SUMIFS('Hakedis Fatura Detay'!$G$3:$G$1200,'Hakedis Fatura Detay'!$H$3:$H$1200,'DIVA Satislari'!AJ691,'Hakedis Fatura Detay'!$F$3:$F$1200,"Bundle"))</f>
        <v/>
      </c>
      <c r="R691" s="28">
        <f>IF(A691="","",I691-Q691)</f>
        <v/>
      </c>
      <c r="S691" s="26">
        <f>IF(A691="","",IF(LEFT(P691,7)="Bekleni","N/A - Henüz Ödenmemeli",IF(LEFT(P691,4)="RİSK","İNCELEME GEREKLİ - Süre Aşımı",IF(R691=0,"Doğru",IF(R691&gt;0,"EKSİK ÖDENMİŞ","FAZLA ÖDENMİŞ")))))</f>
        <v/>
      </c>
      <c r="T691" s="30">
        <f>IF(A691="","",IF(F691&lt;&gt;"Evet","İNCELEME GEREKLİ - Kampanya Tanımsız",IF(G691&lt;&gt;"Evet","İNCELEME GEREKLİ - Tarih Dışı Satış",IF(LEFT(P691,4)="RİSK","İNCELEME GEREKLİ - Hakediş Süresi Aşıldı",IF(OR(S691="EKSİK ÖDENMİŞ",S691="FAZLA ÖDENMİŞ"),"İNCELEME GEREKLİ - Tutar Uyuşmazlığı",IF(LEFT(P691,7)="Bekleni","Bekleniyor","Uygun"))))))</f>
        <v/>
      </c>
    </row>
    <row r="692">
      <c r="A692" s="26">
        <f>IF('DIVA Satislari'!I692="","",'DIVA Satislari'!I692)</f>
        <v/>
      </c>
      <c r="B692" s="26">
        <f>IF('DIVA Satislari'!I692="","",'DIVA Satislari'!R692)</f>
        <v/>
      </c>
      <c r="C692" s="26">
        <f>IF('DIVA Satislari'!I692="","",'DIVA Satislari'!M692)</f>
        <v/>
      </c>
      <c r="D692" s="27">
        <f>IF('DIVA Satislari'!I692="","",'DIVA Satislari'!H692)</f>
        <v/>
      </c>
      <c r="E692" s="26">
        <f>IF('DIVA Satislari'!I692="","",'DIVA Satislari'!O692)</f>
        <v/>
      </c>
      <c r="F692" s="26">
        <f>IF('DIVA Satislari'!I692="","",'DIVA Satislari'!AK692)</f>
        <v/>
      </c>
      <c r="G692" s="26">
        <f>IF('DIVA Satislari'!I692="","",'DIVA Satislari'!AO692)</f>
        <v/>
      </c>
      <c r="H692" s="27">
        <f>IF('DIVA Satislari'!I692="","",'DIVA Satislari'!AN692)</f>
        <v/>
      </c>
      <c r="I692" s="28">
        <f>IF('DIVA Satislari'!I692="","",'DIVA Satislari'!AQ692)</f>
        <v/>
      </c>
      <c r="J692" s="26">
        <f>IF('DIVA Satislari'!I692="","",'DIVA Satislari'!AR692)</f>
        <v/>
      </c>
      <c r="K692" s="26">
        <f>IF('DIVA Satislari'!I692="","",IFERROR(INDEX('E2E Nakliye Montaj'!$AS$3:$AS$1002,MATCH('DIVA Satislari'!AJ692,'E2E Nakliye Montaj'!$AM$3:$AM$1002,0)),"Eşleşme Yok"))</f>
        <v/>
      </c>
      <c r="L692" s="26">
        <f>IF('DIVA Satislari'!I692="","",IFERROR(INDEX('E2E Nakliye Montaj'!$AT$3:$AT$1002,MATCH('DIVA Satislari'!AJ692,'E2E Nakliye Montaj'!$AM$3:$AM$1002,0)),"Hayır"))</f>
        <v/>
      </c>
      <c r="M692" s="26">
        <f>IF('DIVA Satislari'!I692="","",IFERROR(INDEX('E2E Nakliye Montaj'!$AU$3:$AU$1002,MATCH('DIVA Satislari'!AJ692,'E2E Nakliye Montaj'!$AM$3:$AM$1002,0)),"Hayır"))</f>
        <v/>
      </c>
      <c r="N692" s="27">
        <f>IF('DIVA Satislari'!I692="","",IFERROR(INDEX('E2E Nakliye Montaj'!$AV$3:$AV$1002,MATCH('DIVA Satislari'!AJ692,'E2E Nakliye Montaj'!$AM$3:$AM$1002,0)),""))</f>
        <v/>
      </c>
      <c r="O692" s="26">
        <f>IF(OR(A692="",N692=""),"",IF(N692&lt;=H692,"Evet","HAYIR - RİSK"))</f>
        <v/>
      </c>
      <c r="P692" s="26">
        <f>IF(A692="","",IF(LEFT(J692,8)="Kural A ","Uygun - Hemen Ödenir (Yıl Sonu %75 Kontrolüne Tabi)",IF(OR(L692="Evet",M692="Evet"),IF(O692="Evet","Uygun","RİSK - Hakediş Süresi Aşıldı"),"Bekleniyor - Nakliye/Montaj Tamamlanmadı")))</f>
        <v/>
      </c>
      <c r="Q692" s="28">
        <f>IF(A692="","",SUMIFS('Hakedis Fatura Detay'!$G$3:$G$1200,'Hakedis Fatura Detay'!$H$3:$H$1200,'DIVA Satislari'!AJ692,'Hakedis Fatura Detay'!$F$3:$F$1200,"Fiyat Farkı")+SUMIFS('Hakedis Fatura Detay'!$G$3:$G$1200,'Hakedis Fatura Detay'!$H$3:$H$1200,'DIVA Satislari'!AJ692,'Hakedis Fatura Detay'!$F$3:$F$1200,"Bundle"))</f>
        <v/>
      </c>
      <c r="R692" s="28">
        <f>IF(A692="","",I692-Q692)</f>
        <v/>
      </c>
      <c r="S692" s="26">
        <f>IF(A692="","",IF(LEFT(P692,7)="Bekleni","N/A - Henüz Ödenmemeli",IF(LEFT(P692,4)="RİSK","İNCELEME GEREKLİ - Süre Aşımı",IF(R692=0,"Doğru",IF(R692&gt;0,"EKSİK ÖDENMİŞ","FAZLA ÖDENMİŞ")))))</f>
        <v/>
      </c>
      <c r="T692" s="30">
        <f>IF(A692="","",IF(F692&lt;&gt;"Evet","İNCELEME GEREKLİ - Kampanya Tanımsız",IF(G692&lt;&gt;"Evet","İNCELEME GEREKLİ - Tarih Dışı Satış",IF(LEFT(P692,4)="RİSK","İNCELEME GEREKLİ - Hakediş Süresi Aşıldı",IF(OR(S692="EKSİK ÖDENMİŞ",S692="FAZLA ÖDENMİŞ"),"İNCELEME GEREKLİ - Tutar Uyuşmazlığı",IF(LEFT(P692,7)="Bekleni","Bekleniyor","Uygun"))))))</f>
        <v/>
      </c>
    </row>
    <row r="693">
      <c r="A693" s="26">
        <f>IF('DIVA Satislari'!I693="","",'DIVA Satislari'!I693)</f>
        <v/>
      </c>
      <c r="B693" s="26">
        <f>IF('DIVA Satislari'!I693="","",'DIVA Satislari'!R693)</f>
        <v/>
      </c>
      <c r="C693" s="26">
        <f>IF('DIVA Satislari'!I693="","",'DIVA Satislari'!M693)</f>
        <v/>
      </c>
      <c r="D693" s="27">
        <f>IF('DIVA Satislari'!I693="","",'DIVA Satislari'!H693)</f>
        <v/>
      </c>
      <c r="E693" s="26">
        <f>IF('DIVA Satislari'!I693="","",'DIVA Satislari'!O693)</f>
        <v/>
      </c>
      <c r="F693" s="26">
        <f>IF('DIVA Satislari'!I693="","",'DIVA Satislari'!AK693)</f>
        <v/>
      </c>
      <c r="G693" s="26">
        <f>IF('DIVA Satislari'!I693="","",'DIVA Satislari'!AO693)</f>
        <v/>
      </c>
      <c r="H693" s="27">
        <f>IF('DIVA Satislari'!I693="","",'DIVA Satislari'!AN693)</f>
        <v/>
      </c>
      <c r="I693" s="28">
        <f>IF('DIVA Satislari'!I693="","",'DIVA Satislari'!AQ693)</f>
        <v/>
      </c>
      <c r="J693" s="26">
        <f>IF('DIVA Satislari'!I693="","",'DIVA Satislari'!AR693)</f>
        <v/>
      </c>
      <c r="K693" s="26">
        <f>IF('DIVA Satislari'!I693="","",IFERROR(INDEX('E2E Nakliye Montaj'!$AS$3:$AS$1002,MATCH('DIVA Satislari'!AJ693,'E2E Nakliye Montaj'!$AM$3:$AM$1002,0)),"Eşleşme Yok"))</f>
        <v/>
      </c>
      <c r="L693" s="26">
        <f>IF('DIVA Satislari'!I693="","",IFERROR(INDEX('E2E Nakliye Montaj'!$AT$3:$AT$1002,MATCH('DIVA Satislari'!AJ693,'E2E Nakliye Montaj'!$AM$3:$AM$1002,0)),"Hayır"))</f>
        <v/>
      </c>
      <c r="M693" s="26">
        <f>IF('DIVA Satislari'!I693="","",IFERROR(INDEX('E2E Nakliye Montaj'!$AU$3:$AU$1002,MATCH('DIVA Satislari'!AJ693,'E2E Nakliye Montaj'!$AM$3:$AM$1002,0)),"Hayır"))</f>
        <v/>
      </c>
      <c r="N693" s="27">
        <f>IF('DIVA Satislari'!I693="","",IFERROR(INDEX('E2E Nakliye Montaj'!$AV$3:$AV$1002,MATCH('DIVA Satislari'!AJ693,'E2E Nakliye Montaj'!$AM$3:$AM$1002,0)),""))</f>
        <v/>
      </c>
      <c r="O693" s="26">
        <f>IF(OR(A693="",N693=""),"",IF(N693&lt;=H693,"Evet","HAYIR - RİSK"))</f>
        <v/>
      </c>
      <c r="P693" s="26">
        <f>IF(A693="","",IF(LEFT(J693,8)="Kural A ","Uygun - Hemen Ödenir (Yıl Sonu %75 Kontrolüne Tabi)",IF(OR(L693="Evet",M693="Evet"),IF(O693="Evet","Uygun","RİSK - Hakediş Süresi Aşıldı"),"Bekleniyor - Nakliye/Montaj Tamamlanmadı")))</f>
        <v/>
      </c>
      <c r="Q693" s="28">
        <f>IF(A693="","",SUMIFS('Hakedis Fatura Detay'!$G$3:$G$1200,'Hakedis Fatura Detay'!$H$3:$H$1200,'DIVA Satislari'!AJ693,'Hakedis Fatura Detay'!$F$3:$F$1200,"Fiyat Farkı")+SUMIFS('Hakedis Fatura Detay'!$G$3:$G$1200,'Hakedis Fatura Detay'!$H$3:$H$1200,'DIVA Satislari'!AJ693,'Hakedis Fatura Detay'!$F$3:$F$1200,"Bundle"))</f>
        <v/>
      </c>
      <c r="R693" s="28">
        <f>IF(A693="","",I693-Q693)</f>
        <v/>
      </c>
      <c r="S693" s="26">
        <f>IF(A693="","",IF(LEFT(P693,7)="Bekleni","N/A - Henüz Ödenmemeli",IF(LEFT(P693,4)="RİSK","İNCELEME GEREKLİ - Süre Aşımı",IF(R693=0,"Doğru",IF(R693&gt;0,"EKSİK ÖDENMİŞ","FAZLA ÖDENMİŞ")))))</f>
        <v/>
      </c>
      <c r="T693" s="30">
        <f>IF(A693="","",IF(F693&lt;&gt;"Evet","İNCELEME GEREKLİ - Kampanya Tanımsız",IF(G693&lt;&gt;"Evet","İNCELEME GEREKLİ - Tarih Dışı Satış",IF(LEFT(P693,4)="RİSK","İNCELEME GEREKLİ - Hakediş Süresi Aşıldı",IF(OR(S693="EKSİK ÖDENMİŞ",S693="FAZLA ÖDENMİŞ"),"İNCELEME GEREKLİ - Tutar Uyuşmazlığı",IF(LEFT(P693,7)="Bekleni","Bekleniyor","Uygun"))))))</f>
        <v/>
      </c>
    </row>
    <row r="694">
      <c r="A694" s="26">
        <f>IF('DIVA Satislari'!I694="","",'DIVA Satislari'!I694)</f>
        <v/>
      </c>
      <c r="B694" s="26">
        <f>IF('DIVA Satislari'!I694="","",'DIVA Satislari'!R694)</f>
        <v/>
      </c>
      <c r="C694" s="26">
        <f>IF('DIVA Satislari'!I694="","",'DIVA Satislari'!M694)</f>
        <v/>
      </c>
      <c r="D694" s="27">
        <f>IF('DIVA Satislari'!I694="","",'DIVA Satislari'!H694)</f>
        <v/>
      </c>
      <c r="E694" s="26">
        <f>IF('DIVA Satislari'!I694="","",'DIVA Satislari'!O694)</f>
        <v/>
      </c>
      <c r="F694" s="26">
        <f>IF('DIVA Satislari'!I694="","",'DIVA Satislari'!AK694)</f>
        <v/>
      </c>
      <c r="G694" s="26">
        <f>IF('DIVA Satislari'!I694="","",'DIVA Satislari'!AO694)</f>
        <v/>
      </c>
      <c r="H694" s="27">
        <f>IF('DIVA Satislari'!I694="","",'DIVA Satislari'!AN694)</f>
        <v/>
      </c>
      <c r="I694" s="28">
        <f>IF('DIVA Satislari'!I694="","",'DIVA Satislari'!AQ694)</f>
        <v/>
      </c>
      <c r="J694" s="26">
        <f>IF('DIVA Satislari'!I694="","",'DIVA Satislari'!AR694)</f>
        <v/>
      </c>
      <c r="K694" s="26">
        <f>IF('DIVA Satislari'!I694="","",IFERROR(INDEX('E2E Nakliye Montaj'!$AS$3:$AS$1002,MATCH('DIVA Satislari'!AJ694,'E2E Nakliye Montaj'!$AM$3:$AM$1002,0)),"Eşleşme Yok"))</f>
        <v/>
      </c>
      <c r="L694" s="26">
        <f>IF('DIVA Satislari'!I694="","",IFERROR(INDEX('E2E Nakliye Montaj'!$AT$3:$AT$1002,MATCH('DIVA Satislari'!AJ694,'E2E Nakliye Montaj'!$AM$3:$AM$1002,0)),"Hayır"))</f>
        <v/>
      </c>
      <c r="M694" s="26">
        <f>IF('DIVA Satislari'!I694="","",IFERROR(INDEX('E2E Nakliye Montaj'!$AU$3:$AU$1002,MATCH('DIVA Satislari'!AJ694,'E2E Nakliye Montaj'!$AM$3:$AM$1002,0)),"Hayır"))</f>
        <v/>
      </c>
      <c r="N694" s="27">
        <f>IF('DIVA Satislari'!I694="","",IFERROR(INDEX('E2E Nakliye Montaj'!$AV$3:$AV$1002,MATCH('DIVA Satislari'!AJ694,'E2E Nakliye Montaj'!$AM$3:$AM$1002,0)),""))</f>
        <v/>
      </c>
      <c r="O694" s="26">
        <f>IF(OR(A694="",N694=""),"",IF(N694&lt;=H694,"Evet","HAYIR - RİSK"))</f>
        <v/>
      </c>
      <c r="P694" s="26">
        <f>IF(A694="","",IF(LEFT(J694,8)="Kural A ","Uygun - Hemen Ödenir (Yıl Sonu %75 Kontrolüne Tabi)",IF(OR(L694="Evet",M694="Evet"),IF(O694="Evet","Uygun","RİSK - Hakediş Süresi Aşıldı"),"Bekleniyor - Nakliye/Montaj Tamamlanmadı")))</f>
        <v/>
      </c>
      <c r="Q694" s="28">
        <f>IF(A694="","",SUMIFS('Hakedis Fatura Detay'!$G$3:$G$1200,'Hakedis Fatura Detay'!$H$3:$H$1200,'DIVA Satislari'!AJ694,'Hakedis Fatura Detay'!$F$3:$F$1200,"Fiyat Farkı")+SUMIFS('Hakedis Fatura Detay'!$G$3:$G$1200,'Hakedis Fatura Detay'!$H$3:$H$1200,'DIVA Satislari'!AJ694,'Hakedis Fatura Detay'!$F$3:$F$1200,"Bundle"))</f>
        <v/>
      </c>
      <c r="R694" s="28">
        <f>IF(A694="","",I694-Q694)</f>
        <v/>
      </c>
      <c r="S694" s="26">
        <f>IF(A694="","",IF(LEFT(P694,7)="Bekleni","N/A - Henüz Ödenmemeli",IF(LEFT(P694,4)="RİSK","İNCELEME GEREKLİ - Süre Aşımı",IF(R694=0,"Doğru",IF(R694&gt;0,"EKSİK ÖDENMİŞ","FAZLA ÖDENMİŞ")))))</f>
        <v/>
      </c>
      <c r="T694" s="30">
        <f>IF(A694="","",IF(F694&lt;&gt;"Evet","İNCELEME GEREKLİ - Kampanya Tanımsız",IF(G694&lt;&gt;"Evet","İNCELEME GEREKLİ - Tarih Dışı Satış",IF(LEFT(P694,4)="RİSK","İNCELEME GEREKLİ - Hakediş Süresi Aşıldı",IF(OR(S694="EKSİK ÖDENMİŞ",S694="FAZLA ÖDENMİŞ"),"İNCELEME GEREKLİ - Tutar Uyuşmazlığı",IF(LEFT(P694,7)="Bekleni","Bekleniyor","Uygun"))))))</f>
        <v/>
      </c>
    </row>
    <row r="695">
      <c r="A695" s="26">
        <f>IF('DIVA Satislari'!I695="","",'DIVA Satislari'!I695)</f>
        <v/>
      </c>
      <c r="B695" s="26">
        <f>IF('DIVA Satislari'!I695="","",'DIVA Satislari'!R695)</f>
        <v/>
      </c>
      <c r="C695" s="26">
        <f>IF('DIVA Satislari'!I695="","",'DIVA Satislari'!M695)</f>
        <v/>
      </c>
      <c r="D695" s="27">
        <f>IF('DIVA Satislari'!I695="","",'DIVA Satislari'!H695)</f>
        <v/>
      </c>
      <c r="E695" s="26">
        <f>IF('DIVA Satislari'!I695="","",'DIVA Satislari'!O695)</f>
        <v/>
      </c>
      <c r="F695" s="26">
        <f>IF('DIVA Satislari'!I695="","",'DIVA Satislari'!AK695)</f>
        <v/>
      </c>
      <c r="G695" s="26">
        <f>IF('DIVA Satislari'!I695="","",'DIVA Satislari'!AO695)</f>
        <v/>
      </c>
      <c r="H695" s="27">
        <f>IF('DIVA Satislari'!I695="","",'DIVA Satislari'!AN695)</f>
        <v/>
      </c>
      <c r="I695" s="28">
        <f>IF('DIVA Satislari'!I695="","",'DIVA Satislari'!AQ695)</f>
        <v/>
      </c>
      <c r="J695" s="26">
        <f>IF('DIVA Satislari'!I695="","",'DIVA Satislari'!AR695)</f>
        <v/>
      </c>
      <c r="K695" s="26">
        <f>IF('DIVA Satislari'!I695="","",IFERROR(INDEX('E2E Nakliye Montaj'!$AS$3:$AS$1002,MATCH('DIVA Satislari'!AJ695,'E2E Nakliye Montaj'!$AM$3:$AM$1002,0)),"Eşleşme Yok"))</f>
        <v/>
      </c>
      <c r="L695" s="26">
        <f>IF('DIVA Satislari'!I695="","",IFERROR(INDEX('E2E Nakliye Montaj'!$AT$3:$AT$1002,MATCH('DIVA Satislari'!AJ695,'E2E Nakliye Montaj'!$AM$3:$AM$1002,0)),"Hayır"))</f>
        <v/>
      </c>
      <c r="M695" s="26">
        <f>IF('DIVA Satislari'!I695="","",IFERROR(INDEX('E2E Nakliye Montaj'!$AU$3:$AU$1002,MATCH('DIVA Satislari'!AJ695,'E2E Nakliye Montaj'!$AM$3:$AM$1002,0)),"Hayır"))</f>
        <v/>
      </c>
      <c r="N695" s="27">
        <f>IF('DIVA Satislari'!I695="","",IFERROR(INDEX('E2E Nakliye Montaj'!$AV$3:$AV$1002,MATCH('DIVA Satislari'!AJ695,'E2E Nakliye Montaj'!$AM$3:$AM$1002,0)),""))</f>
        <v/>
      </c>
      <c r="O695" s="26">
        <f>IF(OR(A695="",N695=""),"",IF(N695&lt;=H695,"Evet","HAYIR - RİSK"))</f>
        <v/>
      </c>
      <c r="P695" s="26">
        <f>IF(A695="","",IF(LEFT(J695,8)="Kural A ","Uygun - Hemen Ödenir (Yıl Sonu %75 Kontrolüne Tabi)",IF(OR(L695="Evet",M695="Evet"),IF(O695="Evet","Uygun","RİSK - Hakediş Süresi Aşıldı"),"Bekleniyor - Nakliye/Montaj Tamamlanmadı")))</f>
        <v/>
      </c>
      <c r="Q695" s="28">
        <f>IF(A695="","",SUMIFS('Hakedis Fatura Detay'!$G$3:$G$1200,'Hakedis Fatura Detay'!$H$3:$H$1200,'DIVA Satislari'!AJ695,'Hakedis Fatura Detay'!$F$3:$F$1200,"Fiyat Farkı")+SUMIFS('Hakedis Fatura Detay'!$G$3:$G$1200,'Hakedis Fatura Detay'!$H$3:$H$1200,'DIVA Satislari'!AJ695,'Hakedis Fatura Detay'!$F$3:$F$1200,"Bundle"))</f>
        <v/>
      </c>
      <c r="R695" s="28">
        <f>IF(A695="","",I695-Q695)</f>
        <v/>
      </c>
      <c r="S695" s="26">
        <f>IF(A695="","",IF(LEFT(P695,7)="Bekleni","N/A - Henüz Ödenmemeli",IF(LEFT(P695,4)="RİSK","İNCELEME GEREKLİ - Süre Aşımı",IF(R695=0,"Doğru",IF(R695&gt;0,"EKSİK ÖDENMİŞ","FAZLA ÖDENMİŞ")))))</f>
        <v/>
      </c>
      <c r="T695" s="30">
        <f>IF(A695="","",IF(F695&lt;&gt;"Evet","İNCELEME GEREKLİ - Kampanya Tanımsız",IF(G695&lt;&gt;"Evet","İNCELEME GEREKLİ - Tarih Dışı Satış",IF(LEFT(P695,4)="RİSK","İNCELEME GEREKLİ - Hakediş Süresi Aşıldı",IF(OR(S695="EKSİK ÖDENMİŞ",S695="FAZLA ÖDENMİŞ"),"İNCELEME GEREKLİ - Tutar Uyuşmazlığı",IF(LEFT(P695,7)="Bekleni","Bekleniyor","Uygun"))))))</f>
        <v/>
      </c>
    </row>
    <row r="696">
      <c r="A696" s="26">
        <f>IF('DIVA Satislari'!I696="","",'DIVA Satislari'!I696)</f>
        <v/>
      </c>
      <c r="B696" s="26">
        <f>IF('DIVA Satislari'!I696="","",'DIVA Satislari'!R696)</f>
        <v/>
      </c>
      <c r="C696" s="26">
        <f>IF('DIVA Satislari'!I696="","",'DIVA Satislari'!M696)</f>
        <v/>
      </c>
      <c r="D696" s="27">
        <f>IF('DIVA Satislari'!I696="","",'DIVA Satislari'!H696)</f>
        <v/>
      </c>
      <c r="E696" s="26">
        <f>IF('DIVA Satislari'!I696="","",'DIVA Satislari'!O696)</f>
        <v/>
      </c>
      <c r="F696" s="26">
        <f>IF('DIVA Satislari'!I696="","",'DIVA Satislari'!AK696)</f>
        <v/>
      </c>
      <c r="G696" s="26">
        <f>IF('DIVA Satislari'!I696="","",'DIVA Satislari'!AO696)</f>
        <v/>
      </c>
      <c r="H696" s="27">
        <f>IF('DIVA Satislari'!I696="","",'DIVA Satislari'!AN696)</f>
        <v/>
      </c>
      <c r="I696" s="28">
        <f>IF('DIVA Satislari'!I696="","",'DIVA Satislari'!AQ696)</f>
        <v/>
      </c>
      <c r="J696" s="26">
        <f>IF('DIVA Satislari'!I696="","",'DIVA Satislari'!AR696)</f>
        <v/>
      </c>
      <c r="K696" s="26">
        <f>IF('DIVA Satislari'!I696="","",IFERROR(INDEX('E2E Nakliye Montaj'!$AS$3:$AS$1002,MATCH('DIVA Satislari'!AJ696,'E2E Nakliye Montaj'!$AM$3:$AM$1002,0)),"Eşleşme Yok"))</f>
        <v/>
      </c>
      <c r="L696" s="26">
        <f>IF('DIVA Satislari'!I696="","",IFERROR(INDEX('E2E Nakliye Montaj'!$AT$3:$AT$1002,MATCH('DIVA Satislari'!AJ696,'E2E Nakliye Montaj'!$AM$3:$AM$1002,0)),"Hayır"))</f>
        <v/>
      </c>
      <c r="M696" s="26">
        <f>IF('DIVA Satislari'!I696="","",IFERROR(INDEX('E2E Nakliye Montaj'!$AU$3:$AU$1002,MATCH('DIVA Satislari'!AJ696,'E2E Nakliye Montaj'!$AM$3:$AM$1002,0)),"Hayır"))</f>
        <v/>
      </c>
      <c r="N696" s="27">
        <f>IF('DIVA Satislari'!I696="","",IFERROR(INDEX('E2E Nakliye Montaj'!$AV$3:$AV$1002,MATCH('DIVA Satislari'!AJ696,'E2E Nakliye Montaj'!$AM$3:$AM$1002,0)),""))</f>
        <v/>
      </c>
      <c r="O696" s="26">
        <f>IF(OR(A696="",N696=""),"",IF(N696&lt;=H696,"Evet","HAYIR - RİSK"))</f>
        <v/>
      </c>
      <c r="P696" s="26">
        <f>IF(A696="","",IF(LEFT(J696,8)="Kural A ","Uygun - Hemen Ödenir (Yıl Sonu %75 Kontrolüne Tabi)",IF(OR(L696="Evet",M696="Evet"),IF(O696="Evet","Uygun","RİSK - Hakediş Süresi Aşıldı"),"Bekleniyor - Nakliye/Montaj Tamamlanmadı")))</f>
        <v/>
      </c>
      <c r="Q696" s="28">
        <f>IF(A696="","",SUMIFS('Hakedis Fatura Detay'!$G$3:$G$1200,'Hakedis Fatura Detay'!$H$3:$H$1200,'DIVA Satislari'!AJ696,'Hakedis Fatura Detay'!$F$3:$F$1200,"Fiyat Farkı")+SUMIFS('Hakedis Fatura Detay'!$G$3:$G$1200,'Hakedis Fatura Detay'!$H$3:$H$1200,'DIVA Satislari'!AJ696,'Hakedis Fatura Detay'!$F$3:$F$1200,"Bundle"))</f>
        <v/>
      </c>
      <c r="R696" s="28">
        <f>IF(A696="","",I696-Q696)</f>
        <v/>
      </c>
      <c r="S696" s="26">
        <f>IF(A696="","",IF(LEFT(P696,7)="Bekleni","N/A - Henüz Ödenmemeli",IF(LEFT(P696,4)="RİSK","İNCELEME GEREKLİ - Süre Aşımı",IF(R696=0,"Doğru",IF(R696&gt;0,"EKSİK ÖDENMİŞ","FAZLA ÖDENMİŞ")))))</f>
        <v/>
      </c>
      <c r="T696" s="30">
        <f>IF(A696="","",IF(F696&lt;&gt;"Evet","İNCELEME GEREKLİ - Kampanya Tanımsız",IF(G696&lt;&gt;"Evet","İNCELEME GEREKLİ - Tarih Dışı Satış",IF(LEFT(P696,4)="RİSK","İNCELEME GEREKLİ - Hakediş Süresi Aşıldı",IF(OR(S696="EKSİK ÖDENMİŞ",S696="FAZLA ÖDENMİŞ"),"İNCELEME GEREKLİ - Tutar Uyuşmazlığı",IF(LEFT(P696,7)="Bekleni","Bekleniyor","Uygun"))))))</f>
        <v/>
      </c>
    </row>
    <row r="697">
      <c r="A697" s="26">
        <f>IF('DIVA Satislari'!I697="","",'DIVA Satislari'!I697)</f>
        <v/>
      </c>
      <c r="B697" s="26">
        <f>IF('DIVA Satislari'!I697="","",'DIVA Satislari'!R697)</f>
        <v/>
      </c>
      <c r="C697" s="26">
        <f>IF('DIVA Satislari'!I697="","",'DIVA Satislari'!M697)</f>
        <v/>
      </c>
      <c r="D697" s="27">
        <f>IF('DIVA Satislari'!I697="","",'DIVA Satislari'!H697)</f>
        <v/>
      </c>
      <c r="E697" s="26">
        <f>IF('DIVA Satislari'!I697="","",'DIVA Satislari'!O697)</f>
        <v/>
      </c>
      <c r="F697" s="26">
        <f>IF('DIVA Satislari'!I697="","",'DIVA Satislari'!AK697)</f>
        <v/>
      </c>
      <c r="G697" s="26">
        <f>IF('DIVA Satislari'!I697="","",'DIVA Satislari'!AO697)</f>
        <v/>
      </c>
      <c r="H697" s="27">
        <f>IF('DIVA Satislari'!I697="","",'DIVA Satislari'!AN697)</f>
        <v/>
      </c>
      <c r="I697" s="28">
        <f>IF('DIVA Satislari'!I697="","",'DIVA Satislari'!AQ697)</f>
        <v/>
      </c>
      <c r="J697" s="26">
        <f>IF('DIVA Satislari'!I697="","",'DIVA Satislari'!AR697)</f>
        <v/>
      </c>
      <c r="K697" s="26">
        <f>IF('DIVA Satislari'!I697="","",IFERROR(INDEX('E2E Nakliye Montaj'!$AS$3:$AS$1002,MATCH('DIVA Satislari'!AJ697,'E2E Nakliye Montaj'!$AM$3:$AM$1002,0)),"Eşleşme Yok"))</f>
        <v/>
      </c>
      <c r="L697" s="26">
        <f>IF('DIVA Satislari'!I697="","",IFERROR(INDEX('E2E Nakliye Montaj'!$AT$3:$AT$1002,MATCH('DIVA Satislari'!AJ697,'E2E Nakliye Montaj'!$AM$3:$AM$1002,0)),"Hayır"))</f>
        <v/>
      </c>
      <c r="M697" s="26">
        <f>IF('DIVA Satislari'!I697="","",IFERROR(INDEX('E2E Nakliye Montaj'!$AU$3:$AU$1002,MATCH('DIVA Satislari'!AJ697,'E2E Nakliye Montaj'!$AM$3:$AM$1002,0)),"Hayır"))</f>
        <v/>
      </c>
      <c r="N697" s="27">
        <f>IF('DIVA Satislari'!I697="","",IFERROR(INDEX('E2E Nakliye Montaj'!$AV$3:$AV$1002,MATCH('DIVA Satislari'!AJ697,'E2E Nakliye Montaj'!$AM$3:$AM$1002,0)),""))</f>
        <v/>
      </c>
      <c r="O697" s="26">
        <f>IF(OR(A697="",N697=""),"",IF(N697&lt;=H697,"Evet","HAYIR - RİSK"))</f>
        <v/>
      </c>
      <c r="P697" s="26">
        <f>IF(A697="","",IF(LEFT(J697,8)="Kural A ","Uygun - Hemen Ödenir (Yıl Sonu %75 Kontrolüne Tabi)",IF(OR(L697="Evet",M697="Evet"),IF(O697="Evet","Uygun","RİSK - Hakediş Süresi Aşıldı"),"Bekleniyor - Nakliye/Montaj Tamamlanmadı")))</f>
        <v/>
      </c>
      <c r="Q697" s="28">
        <f>IF(A697="","",SUMIFS('Hakedis Fatura Detay'!$G$3:$G$1200,'Hakedis Fatura Detay'!$H$3:$H$1200,'DIVA Satislari'!AJ697,'Hakedis Fatura Detay'!$F$3:$F$1200,"Fiyat Farkı")+SUMIFS('Hakedis Fatura Detay'!$G$3:$G$1200,'Hakedis Fatura Detay'!$H$3:$H$1200,'DIVA Satislari'!AJ697,'Hakedis Fatura Detay'!$F$3:$F$1200,"Bundle"))</f>
        <v/>
      </c>
      <c r="R697" s="28">
        <f>IF(A697="","",I697-Q697)</f>
        <v/>
      </c>
      <c r="S697" s="26">
        <f>IF(A697="","",IF(LEFT(P697,7)="Bekleni","N/A - Henüz Ödenmemeli",IF(LEFT(P697,4)="RİSK","İNCELEME GEREKLİ - Süre Aşımı",IF(R697=0,"Doğru",IF(R697&gt;0,"EKSİK ÖDENMİŞ","FAZLA ÖDENMİŞ")))))</f>
        <v/>
      </c>
      <c r="T697" s="30">
        <f>IF(A697="","",IF(F697&lt;&gt;"Evet","İNCELEME GEREKLİ - Kampanya Tanımsız",IF(G697&lt;&gt;"Evet","İNCELEME GEREKLİ - Tarih Dışı Satış",IF(LEFT(P697,4)="RİSK","İNCELEME GEREKLİ - Hakediş Süresi Aşıldı",IF(OR(S697="EKSİK ÖDENMİŞ",S697="FAZLA ÖDENMİŞ"),"İNCELEME GEREKLİ - Tutar Uyuşmazlığı",IF(LEFT(P697,7)="Bekleni","Bekleniyor","Uygun"))))))</f>
        <v/>
      </c>
    </row>
    <row r="698">
      <c r="A698" s="26">
        <f>IF('DIVA Satislari'!I698="","",'DIVA Satislari'!I698)</f>
        <v/>
      </c>
      <c r="B698" s="26">
        <f>IF('DIVA Satislari'!I698="","",'DIVA Satislari'!R698)</f>
        <v/>
      </c>
      <c r="C698" s="26">
        <f>IF('DIVA Satislari'!I698="","",'DIVA Satislari'!M698)</f>
        <v/>
      </c>
      <c r="D698" s="27">
        <f>IF('DIVA Satislari'!I698="","",'DIVA Satislari'!H698)</f>
        <v/>
      </c>
      <c r="E698" s="26">
        <f>IF('DIVA Satislari'!I698="","",'DIVA Satislari'!O698)</f>
        <v/>
      </c>
      <c r="F698" s="26">
        <f>IF('DIVA Satislari'!I698="","",'DIVA Satislari'!AK698)</f>
        <v/>
      </c>
      <c r="G698" s="26">
        <f>IF('DIVA Satislari'!I698="","",'DIVA Satislari'!AO698)</f>
        <v/>
      </c>
      <c r="H698" s="27">
        <f>IF('DIVA Satislari'!I698="","",'DIVA Satislari'!AN698)</f>
        <v/>
      </c>
      <c r="I698" s="28">
        <f>IF('DIVA Satislari'!I698="","",'DIVA Satislari'!AQ698)</f>
        <v/>
      </c>
      <c r="J698" s="26">
        <f>IF('DIVA Satislari'!I698="","",'DIVA Satislari'!AR698)</f>
        <v/>
      </c>
      <c r="K698" s="26">
        <f>IF('DIVA Satislari'!I698="","",IFERROR(INDEX('E2E Nakliye Montaj'!$AS$3:$AS$1002,MATCH('DIVA Satislari'!AJ698,'E2E Nakliye Montaj'!$AM$3:$AM$1002,0)),"Eşleşme Yok"))</f>
        <v/>
      </c>
      <c r="L698" s="26">
        <f>IF('DIVA Satislari'!I698="","",IFERROR(INDEX('E2E Nakliye Montaj'!$AT$3:$AT$1002,MATCH('DIVA Satislari'!AJ698,'E2E Nakliye Montaj'!$AM$3:$AM$1002,0)),"Hayır"))</f>
        <v/>
      </c>
      <c r="M698" s="26">
        <f>IF('DIVA Satislari'!I698="","",IFERROR(INDEX('E2E Nakliye Montaj'!$AU$3:$AU$1002,MATCH('DIVA Satislari'!AJ698,'E2E Nakliye Montaj'!$AM$3:$AM$1002,0)),"Hayır"))</f>
        <v/>
      </c>
      <c r="N698" s="27">
        <f>IF('DIVA Satislari'!I698="","",IFERROR(INDEX('E2E Nakliye Montaj'!$AV$3:$AV$1002,MATCH('DIVA Satislari'!AJ698,'E2E Nakliye Montaj'!$AM$3:$AM$1002,0)),""))</f>
        <v/>
      </c>
      <c r="O698" s="26">
        <f>IF(OR(A698="",N698=""),"",IF(N698&lt;=H698,"Evet","HAYIR - RİSK"))</f>
        <v/>
      </c>
      <c r="P698" s="26">
        <f>IF(A698="","",IF(LEFT(J698,8)="Kural A ","Uygun - Hemen Ödenir (Yıl Sonu %75 Kontrolüne Tabi)",IF(OR(L698="Evet",M698="Evet"),IF(O698="Evet","Uygun","RİSK - Hakediş Süresi Aşıldı"),"Bekleniyor - Nakliye/Montaj Tamamlanmadı")))</f>
        <v/>
      </c>
      <c r="Q698" s="28">
        <f>IF(A698="","",SUMIFS('Hakedis Fatura Detay'!$G$3:$G$1200,'Hakedis Fatura Detay'!$H$3:$H$1200,'DIVA Satislari'!AJ698,'Hakedis Fatura Detay'!$F$3:$F$1200,"Fiyat Farkı")+SUMIFS('Hakedis Fatura Detay'!$G$3:$G$1200,'Hakedis Fatura Detay'!$H$3:$H$1200,'DIVA Satislari'!AJ698,'Hakedis Fatura Detay'!$F$3:$F$1200,"Bundle"))</f>
        <v/>
      </c>
      <c r="R698" s="28">
        <f>IF(A698="","",I698-Q698)</f>
        <v/>
      </c>
      <c r="S698" s="26">
        <f>IF(A698="","",IF(LEFT(P698,7)="Bekleni","N/A - Henüz Ödenmemeli",IF(LEFT(P698,4)="RİSK","İNCELEME GEREKLİ - Süre Aşımı",IF(R698=0,"Doğru",IF(R698&gt;0,"EKSİK ÖDENMİŞ","FAZLA ÖDENMİŞ")))))</f>
        <v/>
      </c>
      <c r="T698" s="30">
        <f>IF(A698="","",IF(F698&lt;&gt;"Evet","İNCELEME GEREKLİ - Kampanya Tanımsız",IF(G698&lt;&gt;"Evet","İNCELEME GEREKLİ - Tarih Dışı Satış",IF(LEFT(P698,4)="RİSK","İNCELEME GEREKLİ - Hakediş Süresi Aşıldı",IF(OR(S698="EKSİK ÖDENMİŞ",S698="FAZLA ÖDENMİŞ"),"İNCELEME GEREKLİ - Tutar Uyuşmazlığı",IF(LEFT(P698,7)="Bekleni","Bekleniyor","Uygun"))))))</f>
        <v/>
      </c>
    </row>
    <row r="699">
      <c r="A699" s="26">
        <f>IF('DIVA Satislari'!I699="","",'DIVA Satislari'!I699)</f>
        <v/>
      </c>
      <c r="B699" s="26">
        <f>IF('DIVA Satislari'!I699="","",'DIVA Satislari'!R699)</f>
        <v/>
      </c>
      <c r="C699" s="26">
        <f>IF('DIVA Satislari'!I699="","",'DIVA Satislari'!M699)</f>
        <v/>
      </c>
      <c r="D699" s="27">
        <f>IF('DIVA Satislari'!I699="","",'DIVA Satislari'!H699)</f>
        <v/>
      </c>
      <c r="E699" s="26">
        <f>IF('DIVA Satislari'!I699="","",'DIVA Satislari'!O699)</f>
        <v/>
      </c>
      <c r="F699" s="26">
        <f>IF('DIVA Satislari'!I699="","",'DIVA Satislari'!AK699)</f>
        <v/>
      </c>
      <c r="G699" s="26">
        <f>IF('DIVA Satislari'!I699="","",'DIVA Satislari'!AO699)</f>
        <v/>
      </c>
      <c r="H699" s="27">
        <f>IF('DIVA Satislari'!I699="","",'DIVA Satislari'!AN699)</f>
        <v/>
      </c>
      <c r="I699" s="28">
        <f>IF('DIVA Satislari'!I699="","",'DIVA Satislari'!AQ699)</f>
        <v/>
      </c>
      <c r="J699" s="26">
        <f>IF('DIVA Satislari'!I699="","",'DIVA Satislari'!AR699)</f>
        <v/>
      </c>
      <c r="K699" s="26">
        <f>IF('DIVA Satislari'!I699="","",IFERROR(INDEX('E2E Nakliye Montaj'!$AS$3:$AS$1002,MATCH('DIVA Satislari'!AJ699,'E2E Nakliye Montaj'!$AM$3:$AM$1002,0)),"Eşleşme Yok"))</f>
        <v/>
      </c>
      <c r="L699" s="26">
        <f>IF('DIVA Satislari'!I699="","",IFERROR(INDEX('E2E Nakliye Montaj'!$AT$3:$AT$1002,MATCH('DIVA Satislari'!AJ699,'E2E Nakliye Montaj'!$AM$3:$AM$1002,0)),"Hayır"))</f>
        <v/>
      </c>
      <c r="M699" s="26">
        <f>IF('DIVA Satislari'!I699="","",IFERROR(INDEX('E2E Nakliye Montaj'!$AU$3:$AU$1002,MATCH('DIVA Satislari'!AJ699,'E2E Nakliye Montaj'!$AM$3:$AM$1002,0)),"Hayır"))</f>
        <v/>
      </c>
      <c r="N699" s="27">
        <f>IF('DIVA Satislari'!I699="","",IFERROR(INDEX('E2E Nakliye Montaj'!$AV$3:$AV$1002,MATCH('DIVA Satislari'!AJ699,'E2E Nakliye Montaj'!$AM$3:$AM$1002,0)),""))</f>
        <v/>
      </c>
      <c r="O699" s="26">
        <f>IF(OR(A699="",N699=""),"",IF(N699&lt;=H699,"Evet","HAYIR - RİSK"))</f>
        <v/>
      </c>
      <c r="P699" s="26">
        <f>IF(A699="","",IF(LEFT(J699,8)="Kural A ","Uygun - Hemen Ödenir (Yıl Sonu %75 Kontrolüne Tabi)",IF(OR(L699="Evet",M699="Evet"),IF(O699="Evet","Uygun","RİSK - Hakediş Süresi Aşıldı"),"Bekleniyor - Nakliye/Montaj Tamamlanmadı")))</f>
        <v/>
      </c>
      <c r="Q699" s="28">
        <f>IF(A699="","",SUMIFS('Hakedis Fatura Detay'!$G$3:$G$1200,'Hakedis Fatura Detay'!$H$3:$H$1200,'DIVA Satislari'!AJ699,'Hakedis Fatura Detay'!$F$3:$F$1200,"Fiyat Farkı")+SUMIFS('Hakedis Fatura Detay'!$G$3:$G$1200,'Hakedis Fatura Detay'!$H$3:$H$1200,'DIVA Satislari'!AJ699,'Hakedis Fatura Detay'!$F$3:$F$1200,"Bundle"))</f>
        <v/>
      </c>
      <c r="R699" s="28">
        <f>IF(A699="","",I699-Q699)</f>
        <v/>
      </c>
      <c r="S699" s="26">
        <f>IF(A699="","",IF(LEFT(P699,7)="Bekleni","N/A - Henüz Ödenmemeli",IF(LEFT(P699,4)="RİSK","İNCELEME GEREKLİ - Süre Aşımı",IF(R699=0,"Doğru",IF(R699&gt;0,"EKSİK ÖDENMİŞ","FAZLA ÖDENMİŞ")))))</f>
        <v/>
      </c>
      <c r="T699" s="30">
        <f>IF(A699="","",IF(F699&lt;&gt;"Evet","İNCELEME GEREKLİ - Kampanya Tanımsız",IF(G699&lt;&gt;"Evet","İNCELEME GEREKLİ - Tarih Dışı Satış",IF(LEFT(P699,4)="RİSK","İNCELEME GEREKLİ - Hakediş Süresi Aşıldı",IF(OR(S699="EKSİK ÖDENMİŞ",S699="FAZLA ÖDENMİŞ"),"İNCELEME GEREKLİ - Tutar Uyuşmazlığı",IF(LEFT(P699,7)="Bekleni","Bekleniyor","Uygun"))))))</f>
        <v/>
      </c>
    </row>
    <row r="700">
      <c r="A700" s="26">
        <f>IF('DIVA Satislari'!I700="","",'DIVA Satislari'!I700)</f>
        <v/>
      </c>
      <c r="B700" s="26">
        <f>IF('DIVA Satislari'!I700="","",'DIVA Satislari'!R700)</f>
        <v/>
      </c>
      <c r="C700" s="26">
        <f>IF('DIVA Satislari'!I700="","",'DIVA Satislari'!M700)</f>
        <v/>
      </c>
      <c r="D700" s="27">
        <f>IF('DIVA Satislari'!I700="","",'DIVA Satislari'!H700)</f>
        <v/>
      </c>
      <c r="E700" s="26">
        <f>IF('DIVA Satislari'!I700="","",'DIVA Satislari'!O700)</f>
        <v/>
      </c>
      <c r="F700" s="26">
        <f>IF('DIVA Satislari'!I700="","",'DIVA Satislari'!AK700)</f>
        <v/>
      </c>
      <c r="G700" s="26">
        <f>IF('DIVA Satislari'!I700="","",'DIVA Satislari'!AO700)</f>
        <v/>
      </c>
      <c r="H700" s="27">
        <f>IF('DIVA Satislari'!I700="","",'DIVA Satislari'!AN700)</f>
        <v/>
      </c>
      <c r="I700" s="28">
        <f>IF('DIVA Satislari'!I700="","",'DIVA Satislari'!AQ700)</f>
        <v/>
      </c>
      <c r="J700" s="26">
        <f>IF('DIVA Satislari'!I700="","",'DIVA Satislari'!AR700)</f>
        <v/>
      </c>
      <c r="K700" s="26">
        <f>IF('DIVA Satislari'!I700="","",IFERROR(INDEX('E2E Nakliye Montaj'!$AS$3:$AS$1002,MATCH('DIVA Satislari'!AJ700,'E2E Nakliye Montaj'!$AM$3:$AM$1002,0)),"Eşleşme Yok"))</f>
        <v/>
      </c>
      <c r="L700" s="26">
        <f>IF('DIVA Satislari'!I700="","",IFERROR(INDEX('E2E Nakliye Montaj'!$AT$3:$AT$1002,MATCH('DIVA Satislari'!AJ700,'E2E Nakliye Montaj'!$AM$3:$AM$1002,0)),"Hayır"))</f>
        <v/>
      </c>
      <c r="M700" s="26">
        <f>IF('DIVA Satislari'!I700="","",IFERROR(INDEX('E2E Nakliye Montaj'!$AU$3:$AU$1002,MATCH('DIVA Satislari'!AJ700,'E2E Nakliye Montaj'!$AM$3:$AM$1002,0)),"Hayır"))</f>
        <v/>
      </c>
      <c r="N700" s="27">
        <f>IF('DIVA Satislari'!I700="","",IFERROR(INDEX('E2E Nakliye Montaj'!$AV$3:$AV$1002,MATCH('DIVA Satislari'!AJ700,'E2E Nakliye Montaj'!$AM$3:$AM$1002,0)),""))</f>
        <v/>
      </c>
      <c r="O700" s="26">
        <f>IF(OR(A700="",N700=""),"",IF(N700&lt;=H700,"Evet","HAYIR - RİSK"))</f>
        <v/>
      </c>
      <c r="P700" s="26">
        <f>IF(A700="","",IF(LEFT(J700,8)="Kural A ","Uygun - Hemen Ödenir (Yıl Sonu %75 Kontrolüne Tabi)",IF(OR(L700="Evet",M700="Evet"),IF(O700="Evet","Uygun","RİSK - Hakediş Süresi Aşıldı"),"Bekleniyor - Nakliye/Montaj Tamamlanmadı")))</f>
        <v/>
      </c>
      <c r="Q700" s="28">
        <f>IF(A700="","",SUMIFS('Hakedis Fatura Detay'!$G$3:$G$1200,'Hakedis Fatura Detay'!$H$3:$H$1200,'DIVA Satislari'!AJ700,'Hakedis Fatura Detay'!$F$3:$F$1200,"Fiyat Farkı")+SUMIFS('Hakedis Fatura Detay'!$G$3:$G$1200,'Hakedis Fatura Detay'!$H$3:$H$1200,'DIVA Satislari'!AJ700,'Hakedis Fatura Detay'!$F$3:$F$1200,"Bundle"))</f>
        <v/>
      </c>
      <c r="R700" s="28">
        <f>IF(A700="","",I700-Q700)</f>
        <v/>
      </c>
      <c r="S700" s="26">
        <f>IF(A700="","",IF(LEFT(P700,7)="Bekleni","N/A - Henüz Ödenmemeli",IF(LEFT(P700,4)="RİSK","İNCELEME GEREKLİ - Süre Aşımı",IF(R700=0,"Doğru",IF(R700&gt;0,"EKSİK ÖDENMİŞ","FAZLA ÖDENMİŞ")))))</f>
        <v/>
      </c>
      <c r="T700" s="30">
        <f>IF(A700="","",IF(F700&lt;&gt;"Evet","İNCELEME GEREKLİ - Kampanya Tanımsız",IF(G700&lt;&gt;"Evet","İNCELEME GEREKLİ - Tarih Dışı Satış",IF(LEFT(P700,4)="RİSK","İNCELEME GEREKLİ - Hakediş Süresi Aşıldı",IF(OR(S700="EKSİK ÖDENMİŞ",S700="FAZLA ÖDENMİŞ"),"İNCELEME GEREKLİ - Tutar Uyuşmazlığı",IF(LEFT(P700,7)="Bekleni","Bekleniyor","Uygun"))))))</f>
        <v/>
      </c>
    </row>
    <row r="701">
      <c r="A701" s="26">
        <f>IF('DIVA Satislari'!I701="","",'DIVA Satislari'!I701)</f>
        <v/>
      </c>
      <c r="B701" s="26">
        <f>IF('DIVA Satislari'!I701="","",'DIVA Satislari'!R701)</f>
        <v/>
      </c>
      <c r="C701" s="26">
        <f>IF('DIVA Satislari'!I701="","",'DIVA Satislari'!M701)</f>
        <v/>
      </c>
      <c r="D701" s="27">
        <f>IF('DIVA Satislari'!I701="","",'DIVA Satislari'!H701)</f>
        <v/>
      </c>
      <c r="E701" s="26">
        <f>IF('DIVA Satislari'!I701="","",'DIVA Satislari'!O701)</f>
        <v/>
      </c>
      <c r="F701" s="26">
        <f>IF('DIVA Satislari'!I701="","",'DIVA Satislari'!AK701)</f>
        <v/>
      </c>
      <c r="G701" s="26">
        <f>IF('DIVA Satislari'!I701="","",'DIVA Satislari'!AO701)</f>
        <v/>
      </c>
      <c r="H701" s="27">
        <f>IF('DIVA Satislari'!I701="","",'DIVA Satislari'!AN701)</f>
        <v/>
      </c>
      <c r="I701" s="28">
        <f>IF('DIVA Satislari'!I701="","",'DIVA Satislari'!AQ701)</f>
        <v/>
      </c>
      <c r="J701" s="26">
        <f>IF('DIVA Satislari'!I701="","",'DIVA Satislari'!AR701)</f>
        <v/>
      </c>
      <c r="K701" s="26">
        <f>IF('DIVA Satislari'!I701="","",IFERROR(INDEX('E2E Nakliye Montaj'!$AS$3:$AS$1002,MATCH('DIVA Satislari'!AJ701,'E2E Nakliye Montaj'!$AM$3:$AM$1002,0)),"Eşleşme Yok"))</f>
        <v/>
      </c>
      <c r="L701" s="26">
        <f>IF('DIVA Satislari'!I701="","",IFERROR(INDEX('E2E Nakliye Montaj'!$AT$3:$AT$1002,MATCH('DIVA Satislari'!AJ701,'E2E Nakliye Montaj'!$AM$3:$AM$1002,0)),"Hayır"))</f>
        <v/>
      </c>
      <c r="M701" s="26">
        <f>IF('DIVA Satislari'!I701="","",IFERROR(INDEX('E2E Nakliye Montaj'!$AU$3:$AU$1002,MATCH('DIVA Satislari'!AJ701,'E2E Nakliye Montaj'!$AM$3:$AM$1002,0)),"Hayır"))</f>
        <v/>
      </c>
      <c r="N701" s="27">
        <f>IF('DIVA Satislari'!I701="","",IFERROR(INDEX('E2E Nakliye Montaj'!$AV$3:$AV$1002,MATCH('DIVA Satislari'!AJ701,'E2E Nakliye Montaj'!$AM$3:$AM$1002,0)),""))</f>
        <v/>
      </c>
      <c r="O701" s="26">
        <f>IF(OR(A701="",N701=""),"",IF(N701&lt;=H701,"Evet","HAYIR - RİSK"))</f>
        <v/>
      </c>
      <c r="P701" s="26">
        <f>IF(A701="","",IF(LEFT(J701,8)="Kural A ","Uygun - Hemen Ödenir (Yıl Sonu %75 Kontrolüne Tabi)",IF(OR(L701="Evet",M701="Evet"),IF(O701="Evet","Uygun","RİSK - Hakediş Süresi Aşıldı"),"Bekleniyor - Nakliye/Montaj Tamamlanmadı")))</f>
        <v/>
      </c>
      <c r="Q701" s="28">
        <f>IF(A701="","",SUMIFS('Hakedis Fatura Detay'!$G$3:$G$1200,'Hakedis Fatura Detay'!$H$3:$H$1200,'DIVA Satislari'!AJ701,'Hakedis Fatura Detay'!$F$3:$F$1200,"Fiyat Farkı")+SUMIFS('Hakedis Fatura Detay'!$G$3:$G$1200,'Hakedis Fatura Detay'!$H$3:$H$1200,'DIVA Satislari'!AJ701,'Hakedis Fatura Detay'!$F$3:$F$1200,"Bundle"))</f>
        <v/>
      </c>
      <c r="R701" s="28">
        <f>IF(A701="","",I701-Q701)</f>
        <v/>
      </c>
      <c r="S701" s="26">
        <f>IF(A701="","",IF(LEFT(P701,7)="Bekleni","N/A - Henüz Ödenmemeli",IF(LEFT(P701,4)="RİSK","İNCELEME GEREKLİ - Süre Aşımı",IF(R701=0,"Doğru",IF(R701&gt;0,"EKSİK ÖDENMİŞ","FAZLA ÖDENMİŞ")))))</f>
        <v/>
      </c>
      <c r="T701" s="30">
        <f>IF(A701="","",IF(F701&lt;&gt;"Evet","İNCELEME GEREKLİ - Kampanya Tanımsız",IF(G701&lt;&gt;"Evet","İNCELEME GEREKLİ - Tarih Dışı Satış",IF(LEFT(P701,4)="RİSK","İNCELEME GEREKLİ - Hakediş Süresi Aşıldı",IF(OR(S701="EKSİK ÖDENMİŞ",S701="FAZLA ÖDENMİŞ"),"İNCELEME GEREKLİ - Tutar Uyuşmazlığı",IF(LEFT(P701,7)="Bekleni","Bekleniyor","Uygun"))))))</f>
        <v/>
      </c>
    </row>
    <row r="702">
      <c r="A702" s="26">
        <f>IF('DIVA Satislari'!I702="","",'DIVA Satislari'!I702)</f>
        <v/>
      </c>
      <c r="B702" s="26">
        <f>IF('DIVA Satislari'!I702="","",'DIVA Satislari'!R702)</f>
        <v/>
      </c>
      <c r="C702" s="26">
        <f>IF('DIVA Satislari'!I702="","",'DIVA Satislari'!M702)</f>
        <v/>
      </c>
      <c r="D702" s="27">
        <f>IF('DIVA Satislari'!I702="","",'DIVA Satislari'!H702)</f>
        <v/>
      </c>
      <c r="E702" s="26">
        <f>IF('DIVA Satislari'!I702="","",'DIVA Satislari'!O702)</f>
        <v/>
      </c>
      <c r="F702" s="26">
        <f>IF('DIVA Satislari'!I702="","",'DIVA Satislari'!AK702)</f>
        <v/>
      </c>
      <c r="G702" s="26">
        <f>IF('DIVA Satislari'!I702="","",'DIVA Satislari'!AO702)</f>
        <v/>
      </c>
      <c r="H702" s="27">
        <f>IF('DIVA Satislari'!I702="","",'DIVA Satislari'!AN702)</f>
        <v/>
      </c>
      <c r="I702" s="28">
        <f>IF('DIVA Satislari'!I702="","",'DIVA Satislari'!AQ702)</f>
        <v/>
      </c>
      <c r="J702" s="26">
        <f>IF('DIVA Satislari'!I702="","",'DIVA Satislari'!AR702)</f>
        <v/>
      </c>
      <c r="K702" s="26">
        <f>IF('DIVA Satislari'!I702="","",IFERROR(INDEX('E2E Nakliye Montaj'!$AS$3:$AS$1002,MATCH('DIVA Satislari'!AJ702,'E2E Nakliye Montaj'!$AM$3:$AM$1002,0)),"Eşleşme Yok"))</f>
        <v/>
      </c>
      <c r="L702" s="26">
        <f>IF('DIVA Satislari'!I702="","",IFERROR(INDEX('E2E Nakliye Montaj'!$AT$3:$AT$1002,MATCH('DIVA Satislari'!AJ702,'E2E Nakliye Montaj'!$AM$3:$AM$1002,0)),"Hayır"))</f>
        <v/>
      </c>
      <c r="M702" s="26">
        <f>IF('DIVA Satislari'!I702="","",IFERROR(INDEX('E2E Nakliye Montaj'!$AU$3:$AU$1002,MATCH('DIVA Satislari'!AJ702,'E2E Nakliye Montaj'!$AM$3:$AM$1002,0)),"Hayır"))</f>
        <v/>
      </c>
      <c r="N702" s="27">
        <f>IF('DIVA Satislari'!I702="","",IFERROR(INDEX('E2E Nakliye Montaj'!$AV$3:$AV$1002,MATCH('DIVA Satislari'!AJ702,'E2E Nakliye Montaj'!$AM$3:$AM$1002,0)),""))</f>
        <v/>
      </c>
      <c r="O702" s="26">
        <f>IF(OR(A702="",N702=""),"",IF(N702&lt;=H702,"Evet","HAYIR - RİSK"))</f>
        <v/>
      </c>
      <c r="P702" s="26">
        <f>IF(A702="","",IF(LEFT(J702,8)="Kural A ","Uygun - Hemen Ödenir (Yıl Sonu %75 Kontrolüne Tabi)",IF(OR(L702="Evet",M702="Evet"),IF(O702="Evet","Uygun","RİSK - Hakediş Süresi Aşıldı"),"Bekleniyor - Nakliye/Montaj Tamamlanmadı")))</f>
        <v/>
      </c>
      <c r="Q702" s="28">
        <f>IF(A702="","",SUMIFS('Hakedis Fatura Detay'!$G$3:$G$1200,'Hakedis Fatura Detay'!$H$3:$H$1200,'DIVA Satislari'!AJ702,'Hakedis Fatura Detay'!$F$3:$F$1200,"Fiyat Farkı")+SUMIFS('Hakedis Fatura Detay'!$G$3:$G$1200,'Hakedis Fatura Detay'!$H$3:$H$1200,'DIVA Satislari'!AJ702,'Hakedis Fatura Detay'!$F$3:$F$1200,"Bundle"))</f>
        <v/>
      </c>
      <c r="R702" s="28">
        <f>IF(A702="","",I702-Q702)</f>
        <v/>
      </c>
      <c r="S702" s="26">
        <f>IF(A702="","",IF(LEFT(P702,7)="Bekleni","N/A - Henüz Ödenmemeli",IF(LEFT(P702,4)="RİSK","İNCELEME GEREKLİ - Süre Aşımı",IF(R702=0,"Doğru",IF(R702&gt;0,"EKSİK ÖDENMİŞ","FAZLA ÖDENMİŞ")))))</f>
        <v/>
      </c>
      <c r="T702" s="30">
        <f>IF(A702="","",IF(F702&lt;&gt;"Evet","İNCELEME GEREKLİ - Kampanya Tanımsız",IF(G702&lt;&gt;"Evet","İNCELEME GEREKLİ - Tarih Dışı Satış",IF(LEFT(P702,4)="RİSK","İNCELEME GEREKLİ - Hakediş Süresi Aşıldı",IF(OR(S702="EKSİK ÖDENMİŞ",S702="FAZLA ÖDENMİŞ"),"İNCELEME GEREKLİ - Tutar Uyuşmazlığı",IF(LEFT(P702,7)="Bekleni","Bekleniyor","Uygun"))))))</f>
        <v/>
      </c>
    </row>
    <row r="703">
      <c r="A703" s="26">
        <f>IF('DIVA Satislari'!I703="","",'DIVA Satislari'!I703)</f>
        <v/>
      </c>
      <c r="B703" s="26">
        <f>IF('DIVA Satislari'!I703="","",'DIVA Satislari'!R703)</f>
        <v/>
      </c>
      <c r="C703" s="26">
        <f>IF('DIVA Satislari'!I703="","",'DIVA Satislari'!M703)</f>
        <v/>
      </c>
      <c r="D703" s="27">
        <f>IF('DIVA Satislari'!I703="","",'DIVA Satislari'!H703)</f>
        <v/>
      </c>
      <c r="E703" s="26">
        <f>IF('DIVA Satislari'!I703="","",'DIVA Satislari'!O703)</f>
        <v/>
      </c>
      <c r="F703" s="26">
        <f>IF('DIVA Satislari'!I703="","",'DIVA Satislari'!AK703)</f>
        <v/>
      </c>
      <c r="G703" s="26">
        <f>IF('DIVA Satislari'!I703="","",'DIVA Satislari'!AO703)</f>
        <v/>
      </c>
      <c r="H703" s="27">
        <f>IF('DIVA Satislari'!I703="","",'DIVA Satislari'!AN703)</f>
        <v/>
      </c>
      <c r="I703" s="28">
        <f>IF('DIVA Satislari'!I703="","",'DIVA Satislari'!AQ703)</f>
        <v/>
      </c>
      <c r="J703" s="26">
        <f>IF('DIVA Satislari'!I703="","",'DIVA Satislari'!AR703)</f>
        <v/>
      </c>
      <c r="K703" s="26">
        <f>IF('DIVA Satislari'!I703="","",IFERROR(INDEX('E2E Nakliye Montaj'!$AS$3:$AS$1002,MATCH('DIVA Satislari'!AJ703,'E2E Nakliye Montaj'!$AM$3:$AM$1002,0)),"Eşleşme Yok"))</f>
        <v/>
      </c>
      <c r="L703" s="26">
        <f>IF('DIVA Satislari'!I703="","",IFERROR(INDEX('E2E Nakliye Montaj'!$AT$3:$AT$1002,MATCH('DIVA Satislari'!AJ703,'E2E Nakliye Montaj'!$AM$3:$AM$1002,0)),"Hayır"))</f>
        <v/>
      </c>
      <c r="M703" s="26">
        <f>IF('DIVA Satislari'!I703="","",IFERROR(INDEX('E2E Nakliye Montaj'!$AU$3:$AU$1002,MATCH('DIVA Satislari'!AJ703,'E2E Nakliye Montaj'!$AM$3:$AM$1002,0)),"Hayır"))</f>
        <v/>
      </c>
      <c r="N703" s="27">
        <f>IF('DIVA Satislari'!I703="","",IFERROR(INDEX('E2E Nakliye Montaj'!$AV$3:$AV$1002,MATCH('DIVA Satislari'!AJ703,'E2E Nakliye Montaj'!$AM$3:$AM$1002,0)),""))</f>
        <v/>
      </c>
      <c r="O703" s="26">
        <f>IF(OR(A703="",N703=""),"",IF(N703&lt;=H703,"Evet","HAYIR - RİSK"))</f>
        <v/>
      </c>
      <c r="P703" s="26">
        <f>IF(A703="","",IF(LEFT(J703,8)="Kural A ","Uygun - Hemen Ödenir (Yıl Sonu %75 Kontrolüne Tabi)",IF(OR(L703="Evet",M703="Evet"),IF(O703="Evet","Uygun","RİSK - Hakediş Süresi Aşıldı"),"Bekleniyor - Nakliye/Montaj Tamamlanmadı")))</f>
        <v/>
      </c>
      <c r="Q703" s="28">
        <f>IF(A703="","",SUMIFS('Hakedis Fatura Detay'!$G$3:$G$1200,'Hakedis Fatura Detay'!$H$3:$H$1200,'DIVA Satislari'!AJ703,'Hakedis Fatura Detay'!$F$3:$F$1200,"Fiyat Farkı")+SUMIFS('Hakedis Fatura Detay'!$G$3:$G$1200,'Hakedis Fatura Detay'!$H$3:$H$1200,'DIVA Satislari'!AJ703,'Hakedis Fatura Detay'!$F$3:$F$1200,"Bundle"))</f>
        <v/>
      </c>
      <c r="R703" s="28">
        <f>IF(A703="","",I703-Q703)</f>
        <v/>
      </c>
      <c r="S703" s="26">
        <f>IF(A703="","",IF(LEFT(P703,7)="Bekleni","N/A - Henüz Ödenmemeli",IF(LEFT(P703,4)="RİSK","İNCELEME GEREKLİ - Süre Aşımı",IF(R703=0,"Doğru",IF(R703&gt;0,"EKSİK ÖDENMİŞ","FAZLA ÖDENMİŞ")))))</f>
        <v/>
      </c>
      <c r="T703" s="30">
        <f>IF(A703="","",IF(F703&lt;&gt;"Evet","İNCELEME GEREKLİ - Kampanya Tanımsız",IF(G703&lt;&gt;"Evet","İNCELEME GEREKLİ - Tarih Dışı Satış",IF(LEFT(P703,4)="RİSK","İNCELEME GEREKLİ - Hakediş Süresi Aşıldı",IF(OR(S703="EKSİK ÖDENMİŞ",S703="FAZLA ÖDENMİŞ"),"İNCELEME GEREKLİ - Tutar Uyuşmazlığı",IF(LEFT(P703,7)="Bekleni","Bekleniyor","Uygun"))))))</f>
        <v/>
      </c>
    </row>
    <row r="704">
      <c r="A704" s="26">
        <f>IF('DIVA Satislari'!I704="","",'DIVA Satislari'!I704)</f>
        <v/>
      </c>
      <c r="B704" s="26">
        <f>IF('DIVA Satislari'!I704="","",'DIVA Satislari'!R704)</f>
        <v/>
      </c>
      <c r="C704" s="26">
        <f>IF('DIVA Satislari'!I704="","",'DIVA Satislari'!M704)</f>
        <v/>
      </c>
      <c r="D704" s="27">
        <f>IF('DIVA Satislari'!I704="","",'DIVA Satislari'!H704)</f>
        <v/>
      </c>
      <c r="E704" s="26">
        <f>IF('DIVA Satislari'!I704="","",'DIVA Satislari'!O704)</f>
        <v/>
      </c>
      <c r="F704" s="26">
        <f>IF('DIVA Satislari'!I704="","",'DIVA Satislari'!AK704)</f>
        <v/>
      </c>
      <c r="G704" s="26">
        <f>IF('DIVA Satislari'!I704="","",'DIVA Satislari'!AO704)</f>
        <v/>
      </c>
      <c r="H704" s="27">
        <f>IF('DIVA Satislari'!I704="","",'DIVA Satislari'!AN704)</f>
        <v/>
      </c>
      <c r="I704" s="28">
        <f>IF('DIVA Satislari'!I704="","",'DIVA Satislari'!AQ704)</f>
        <v/>
      </c>
      <c r="J704" s="26">
        <f>IF('DIVA Satislari'!I704="","",'DIVA Satislari'!AR704)</f>
        <v/>
      </c>
      <c r="K704" s="26">
        <f>IF('DIVA Satislari'!I704="","",IFERROR(INDEX('E2E Nakliye Montaj'!$AS$3:$AS$1002,MATCH('DIVA Satislari'!AJ704,'E2E Nakliye Montaj'!$AM$3:$AM$1002,0)),"Eşleşme Yok"))</f>
        <v/>
      </c>
      <c r="L704" s="26">
        <f>IF('DIVA Satislari'!I704="","",IFERROR(INDEX('E2E Nakliye Montaj'!$AT$3:$AT$1002,MATCH('DIVA Satislari'!AJ704,'E2E Nakliye Montaj'!$AM$3:$AM$1002,0)),"Hayır"))</f>
        <v/>
      </c>
      <c r="M704" s="26">
        <f>IF('DIVA Satislari'!I704="","",IFERROR(INDEX('E2E Nakliye Montaj'!$AU$3:$AU$1002,MATCH('DIVA Satislari'!AJ704,'E2E Nakliye Montaj'!$AM$3:$AM$1002,0)),"Hayır"))</f>
        <v/>
      </c>
      <c r="N704" s="27">
        <f>IF('DIVA Satislari'!I704="","",IFERROR(INDEX('E2E Nakliye Montaj'!$AV$3:$AV$1002,MATCH('DIVA Satislari'!AJ704,'E2E Nakliye Montaj'!$AM$3:$AM$1002,0)),""))</f>
        <v/>
      </c>
      <c r="O704" s="26">
        <f>IF(OR(A704="",N704=""),"",IF(N704&lt;=H704,"Evet","HAYIR - RİSK"))</f>
        <v/>
      </c>
      <c r="P704" s="26">
        <f>IF(A704="","",IF(LEFT(J704,8)="Kural A ","Uygun - Hemen Ödenir (Yıl Sonu %75 Kontrolüne Tabi)",IF(OR(L704="Evet",M704="Evet"),IF(O704="Evet","Uygun","RİSK - Hakediş Süresi Aşıldı"),"Bekleniyor - Nakliye/Montaj Tamamlanmadı")))</f>
        <v/>
      </c>
      <c r="Q704" s="28">
        <f>IF(A704="","",SUMIFS('Hakedis Fatura Detay'!$G$3:$G$1200,'Hakedis Fatura Detay'!$H$3:$H$1200,'DIVA Satislari'!AJ704,'Hakedis Fatura Detay'!$F$3:$F$1200,"Fiyat Farkı")+SUMIFS('Hakedis Fatura Detay'!$G$3:$G$1200,'Hakedis Fatura Detay'!$H$3:$H$1200,'DIVA Satislari'!AJ704,'Hakedis Fatura Detay'!$F$3:$F$1200,"Bundle"))</f>
        <v/>
      </c>
      <c r="R704" s="28">
        <f>IF(A704="","",I704-Q704)</f>
        <v/>
      </c>
      <c r="S704" s="26">
        <f>IF(A704="","",IF(LEFT(P704,7)="Bekleni","N/A - Henüz Ödenmemeli",IF(LEFT(P704,4)="RİSK","İNCELEME GEREKLİ - Süre Aşımı",IF(R704=0,"Doğru",IF(R704&gt;0,"EKSİK ÖDENMİŞ","FAZLA ÖDENMİŞ")))))</f>
        <v/>
      </c>
      <c r="T704" s="30">
        <f>IF(A704="","",IF(F704&lt;&gt;"Evet","İNCELEME GEREKLİ - Kampanya Tanımsız",IF(G704&lt;&gt;"Evet","İNCELEME GEREKLİ - Tarih Dışı Satış",IF(LEFT(P704,4)="RİSK","İNCELEME GEREKLİ - Hakediş Süresi Aşıldı",IF(OR(S704="EKSİK ÖDENMİŞ",S704="FAZLA ÖDENMİŞ"),"İNCELEME GEREKLİ - Tutar Uyuşmazlığı",IF(LEFT(P704,7)="Bekleni","Bekleniyor","Uygun"))))))</f>
        <v/>
      </c>
    </row>
    <row r="705">
      <c r="A705" s="26">
        <f>IF('DIVA Satislari'!I705="","",'DIVA Satislari'!I705)</f>
        <v/>
      </c>
      <c r="B705" s="26">
        <f>IF('DIVA Satislari'!I705="","",'DIVA Satislari'!R705)</f>
        <v/>
      </c>
      <c r="C705" s="26">
        <f>IF('DIVA Satislari'!I705="","",'DIVA Satislari'!M705)</f>
        <v/>
      </c>
      <c r="D705" s="27">
        <f>IF('DIVA Satislari'!I705="","",'DIVA Satislari'!H705)</f>
        <v/>
      </c>
      <c r="E705" s="26">
        <f>IF('DIVA Satislari'!I705="","",'DIVA Satislari'!O705)</f>
        <v/>
      </c>
      <c r="F705" s="26">
        <f>IF('DIVA Satislari'!I705="","",'DIVA Satislari'!AK705)</f>
        <v/>
      </c>
      <c r="G705" s="26">
        <f>IF('DIVA Satislari'!I705="","",'DIVA Satislari'!AO705)</f>
        <v/>
      </c>
      <c r="H705" s="27">
        <f>IF('DIVA Satislari'!I705="","",'DIVA Satislari'!AN705)</f>
        <v/>
      </c>
      <c r="I705" s="28">
        <f>IF('DIVA Satislari'!I705="","",'DIVA Satislari'!AQ705)</f>
        <v/>
      </c>
      <c r="J705" s="26">
        <f>IF('DIVA Satislari'!I705="","",'DIVA Satislari'!AR705)</f>
        <v/>
      </c>
      <c r="K705" s="26">
        <f>IF('DIVA Satislari'!I705="","",IFERROR(INDEX('E2E Nakliye Montaj'!$AS$3:$AS$1002,MATCH('DIVA Satislari'!AJ705,'E2E Nakliye Montaj'!$AM$3:$AM$1002,0)),"Eşleşme Yok"))</f>
        <v/>
      </c>
      <c r="L705" s="26">
        <f>IF('DIVA Satislari'!I705="","",IFERROR(INDEX('E2E Nakliye Montaj'!$AT$3:$AT$1002,MATCH('DIVA Satislari'!AJ705,'E2E Nakliye Montaj'!$AM$3:$AM$1002,0)),"Hayır"))</f>
        <v/>
      </c>
      <c r="M705" s="26">
        <f>IF('DIVA Satislari'!I705="","",IFERROR(INDEX('E2E Nakliye Montaj'!$AU$3:$AU$1002,MATCH('DIVA Satislari'!AJ705,'E2E Nakliye Montaj'!$AM$3:$AM$1002,0)),"Hayır"))</f>
        <v/>
      </c>
      <c r="N705" s="27">
        <f>IF('DIVA Satislari'!I705="","",IFERROR(INDEX('E2E Nakliye Montaj'!$AV$3:$AV$1002,MATCH('DIVA Satislari'!AJ705,'E2E Nakliye Montaj'!$AM$3:$AM$1002,0)),""))</f>
        <v/>
      </c>
      <c r="O705" s="26">
        <f>IF(OR(A705="",N705=""),"",IF(N705&lt;=H705,"Evet","HAYIR - RİSK"))</f>
        <v/>
      </c>
      <c r="P705" s="26">
        <f>IF(A705="","",IF(LEFT(J705,8)="Kural A ","Uygun - Hemen Ödenir (Yıl Sonu %75 Kontrolüne Tabi)",IF(OR(L705="Evet",M705="Evet"),IF(O705="Evet","Uygun","RİSK - Hakediş Süresi Aşıldı"),"Bekleniyor - Nakliye/Montaj Tamamlanmadı")))</f>
        <v/>
      </c>
      <c r="Q705" s="28">
        <f>IF(A705="","",SUMIFS('Hakedis Fatura Detay'!$G$3:$G$1200,'Hakedis Fatura Detay'!$H$3:$H$1200,'DIVA Satislari'!AJ705,'Hakedis Fatura Detay'!$F$3:$F$1200,"Fiyat Farkı")+SUMIFS('Hakedis Fatura Detay'!$G$3:$G$1200,'Hakedis Fatura Detay'!$H$3:$H$1200,'DIVA Satislari'!AJ705,'Hakedis Fatura Detay'!$F$3:$F$1200,"Bundle"))</f>
        <v/>
      </c>
      <c r="R705" s="28">
        <f>IF(A705="","",I705-Q705)</f>
        <v/>
      </c>
      <c r="S705" s="26">
        <f>IF(A705="","",IF(LEFT(P705,7)="Bekleni","N/A - Henüz Ödenmemeli",IF(LEFT(P705,4)="RİSK","İNCELEME GEREKLİ - Süre Aşımı",IF(R705=0,"Doğru",IF(R705&gt;0,"EKSİK ÖDENMİŞ","FAZLA ÖDENMİŞ")))))</f>
        <v/>
      </c>
      <c r="T705" s="30">
        <f>IF(A705="","",IF(F705&lt;&gt;"Evet","İNCELEME GEREKLİ - Kampanya Tanımsız",IF(G705&lt;&gt;"Evet","İNCELEME GEREKLİ - Tarih Dışı Satış",IF(LEFT(P705,4)="RİSK","İNCELEME GEREKLİ - Hakediş Süresi Aşıldı",IF(OR(S705="EKSİK ÖDENMİŞ",S705="FAZLA ÖDENMİŞ"),"İNCELEME GEREKLİ - Tutar Uyuşmazlığı",IF(LEFT(P705,7)="Bekleni","Bekleniyor","Uygun"))))))</f>
        <v/>
      </c>
    </row>
    <row r="706">
      <c r="A706" s="26">
        <f>IF('DIVA Satislari'!I706="","",'DIVA Satislari'!I706)</f>
        <v/>
      </c>
      <c r="B706" s="26">
        <f>IF('DIVA Satislari'!I706="","",'DIVA Satislari'!R706)</f>
        <v/>
      </c>
      <c r="C706" s="26">
        <f>IF('DIVA Satislari'!I706="","",'DIVA Satislari'!M706)</f>
        <v/>
      </c>
      <c r="D706" s="27">
        <f>IF('DIVA Satislari'!I706="","",'DIVA Satislari'!H706)</f>
        <v/>
      </c>
      <c r="E706" s="26">
        <f>IF('DIVA Satislari'!I706="","",'DIVA Satislari'!O706)</f>
        <v/>
      </c>
      <c r="F706" s="26">
        <f>IF('DIVA Satislari'!I706="","",'DIVA Satislari'!AK706)</f>
        <v/>
      </c>
      <c r="G706" s="26">
        <f>IF('DIVA Satislari'!I706="","",'DIVA Satislari'!AO706)</f>
        <v/>
      </c>
      <c r="H706" s="27">
        <f>IF('DIVA Satislari'!I706="","",'DIVA Satislari'!AN706)</f>
        <v/>
      </c>
      <c r="I706" s="28">
        <f>IF('DIVA Satislari'!I706="","",'DIVA Satislari'!AQ706)</f>
        <v/>
      </c>
      <c r="J706" s="26">
        <f>IF('DIVA Satislari'!I706="","",'DIVA Satislari'!AR706)</f>
        <v/>
      </c>
      <c r="K706" s="26">
        <f>IF('DIVA Satislari'!I706="","",IFERROR(INDEX('E2E Nakliye Montaj'!$AS$3:$AS$1002,MATCH('DIVA Satislari'!AJ706,'E2E Nakliye Montaj'!$AM$3:$AM$1002,0)),"Eşleşme Yok"))</f>
        <v/>
      </c>
      <c r="L706" s="26">
        <f>IF('DIVA Satislari'!I706="","",IFERROR(INDEX('E2E Nakliye Montaj'!$AT$3:$AT$1002,MATCH('DIVA Satislari'!AJ706,'E2E Nakliye Montaj'!$AM$3:$AM$1002,0)),"Hayır"))</f>
        <v/>
      </c>
      <c r="M706" s="26">
        <f>IF('DIVA Satislari'!I706="","",IFERROR(INDEX('E2E Nakliye Montaj'!$AU$3:$AU$1002,MATCH('DIVA Satislari'!AJ706,'E2E Nakliye Montaj'!$AM$3:$AM$1002,0)),"Hayır"))</f>
        <v/>
      </c>
      <c r="N706" s="27">
        <f>IF('DIVA Satislari'!I706="","",IFERROR(INDEX('E2E Nakliye Montaj'!$AV$3:$AV$1002,MATCH('DIVA Satislari'!AJ706,'E2E Nakliye Montaj'!$AM$3:$AM$1002,0)),""))</f>
        <v/>
      </c>
      <c r="O706" s="26">
        <f>IF(OR(A706="",N706=""),"",IF(N706&lt;=H706,"Evet","HAYIR - RİSK"))</f>
        <v/>
      </c>
      <c r="P706" s="26">
        <f>IF(A706="","",IF(LEFT(J706,8)="Kural A ","Uygun - Hemen Ödenir (Yıl Sonu %75 Kontrolüne Tabi)",IF(OR(L706="Evet",M706="Evet"),IF(O706="Evet","Uygun","RİSK - Hakediş Süresi Aşıldı"),"Bekleniyor - Nakliye/Montaj Tamamlanmadı")))</f>
        <v/>
      </c>
      <c r="Q706" s="28">
        <f>IF(A706="","",SUMIFS('Hakedis Fatura Detay'!$G$3:$G$1200,'Hakedis Fatura Detay'!$H$3:$H$1200,'DIVA Satislari'!AJ706,'Hakedis Fatura Detay'!$F$3:$F$1200,"Fiyat Farkı")+SUMIFS('Hakedis Fatura Detay'!$G$3:$G$1200,'Hakedis Fatura Detay'!$H$3:$H$1200,'DIVA Satislari'!AJ706,'Hakedis Fatura Detay'!$F$3:$F$1200,"Bundle"))</f>
        <v/>
      </c>
      <c r="R706" s="28">
        <f>IF(A706="","",I706-Q706)</f>
        <v/>
      </c>
      <c r="S706" s="26">
        <f>IF(A706="","",IF(LEFT(P706,7)="Bekleni","N/A - Henüz Ödenmemeli",IF(LEFT(P706,4)="RİSK","İNCELEME GEREKLİ - Süre Aşımı",IF(R706=0,"Doğru",IF(R706&gt;0,"EKSİK ÖDENMİŞ","FAZLA ÖDENMİŞ")))))</f>
        <v/>
      </c>
      <c r="T706" s="30">
        <f>IF(A706="","",IF(F706&lt;&gt;"Evet","İNCELEME GEREKLİ - Kampanya Tanımsız",IF(G706&lt;&gt;"Evet","İNCELEME GEREKLİ - Tarih Dışı Satış",IF(LEFT(P706,4)="RİSK","İNCELEME GEREKLİ - Hakediş Süresi Aşıldı",IF(OR(S706="EKSİK ÖDENMİŞ",S706="FAZLA ÖDENMİŞ"),"İNCELEME GEREKLİ - Tutar Uyuşmazlığı",IF(LEFT(P706,7)="Bekleni","Bekleniyor","Uygun"))))))</f>
        <v/>
      </c>
    </row>
    <row r="707">
      <c r="A707" s="26">
        <f>IF('DIVA Satislari'!I707="","",'DIVA Satislari'!I707)</f>
        <v/>
      </c>
      <c r="B707" s="26">
        <f>IF('DIVA Satislari'!I707="","",'DIVA Satislari'!R707)</f>
        <v/>
      </c>
      <c r="C707" s="26">
        <f>IF('DIVA Satislari'!I707="","",'DIVA Satislari'!M707)</f>
        <v/>
      </c>
      <c r="D707" s="27">
        <f>IF('DIVA Satislari'!I707="","",'DIVA Satislari'!H707)</f>
        <v/>
      </c>
      <c r="E707" s="26">
        <f>IF('DIVA Satislari'!I707="","",'DIVA Satislari'!O707)</f>
        <v/>
      </c>
      <c r="F707" s="26">
        <f>IF('DIVA Satislari'!I707="","",'DIVA Satislari'!AK707)</f>
        <v/>
      </c>
      <c r="G707" s="26">
        <f>IF('DIVA Satislari'!I707="","",'DIVA Satislari'!AO707)</f>
        <v/>
      </c>
      <c r="H707" s="27">
        <f>IF('DIVA Satislari'!I707="","",'DIVA Satislari'!AN707)</f>
        <v/>
      </c>
      <c r="I707" s="28">
        <f>IF('DIVA Satislari'!I707="","",'DIVA Satislari'!AQ707)</f>
        <v/>
      </c>
      <c r="J707" s="26">
        <f>IF('DIVA Satislari'!I707="","",'DIVA Satislari'!AR707)</f>
        <v/>
      </c>
      <c r="K707" s="26">
        <f>IF('DIVA Satislari'!I707="","",IFERROR(INDEX('E2E Nakliye Montaj'!$AS$3:$AS$1002,MATCH('DIVA Satislari'!AJ707,'E2E Nakliye Montaj'!$AM$3:$AM$1002,0)),"Eşleşme Yok"))</f>
        <v/>
      </c>
      <c r="L707" s="26">
        <f>IF('DIVA Satislari'!I707="","",IFERROR(INDEX('E2E Nakliye Montaj'!$AT$3:$AT$1002,MATCH('DIVA Satislari'!AJ707,'E2E Nakliye Montaj'!$AM$3:$AM$1002,0)),"Hayır"))</f>
        <v/>
      </c>
      <c r="M707" s="26">
        <f>IF('DIVA Satislari'!I707="","",IFERROR(INDEX('E2E Nakliye Montaj'!$AU$3:$AU$1002,MATCH('DIVA Satislari'!AJ707,'E2E Nakliye Montaj'!$AM$3:$AM$1002,0)),"Hayır"))</f>
        <v/>
      </c>
      <c r="N707" s="27">
        <f>IF('DIVA Satislari'!I707="","",IFERROR(INDEX('E2E Nakliye Montaj'!$AV$3:$AV$1002,MATCH('DIVA Satislari'!AJ707,'E2E Nakliye Montaj'!$AM$3:$AM$1002,0)),""))</f>
        <v/>
      </c>
      <c r="O707" s="26">
        <f>IF(OR(A707="",N707=""),"",IF(N707&lt;=H707,"Evet","HAYIR - RİSK"))</f>
        <v/>
      </c>
      <c r="P707" s="26">
        <f>IF(A707="","",IF(LEFT(J707,8)="Kural A ","Uygun - Hemen Ödenir (Yıl Sonu %75 Kontrolüne Tabi)",IF(OR(L707="Evet",M707="Evet"),IF(O707="Evet","Uygun","RİSK - Hakediş Süresi Aşıldı"),"Bekleniyor - Nakliye/Montaj Tamamlanmadı")))</f>
        <v/>
      </c>
      <c r="Q707" s="28">
        <f>IF(A707="","",SUMIFS('Hakedis Fatura Detay'!$G$3:$G$1200,'Hakedis Fatura Detay'!$H$3:$H$1200,'DIVA Satislari'!AJ707,'Hakedis Fatura Detay'!$F$3:$F$1200,"Fiyat Farkı")+SUMIFS('Hakedis Fatura Detay'!$G$3:$G$1200,'Hakedis Fatura Detay'!$H$3:$H$1200,'DIVA Satislari'!AJ707,'Hakedis Fatura Detay'!$F$3:$F$1200,"Bundle"))</f>
        <v/>
      </c>
      <c r="R707" s="28">
        <f>IF(A707="","",I707-Q707)</f>
        <v/>
      </c>
      <c r="S707" s="26">
        <f>IF(A707="","",IF(LEFT(P707,7)="Bekleni","N/A - Henüz Ödenmemeli",IF(LEFT(P707,4)="RİSK","İNCELEME GEREKLİ - Süre Aşımı",IF(R707=0,"Doğru",IF(R707&gt;0,"EKSİK ÖDENMİŞ","FAZLA ÖDENMİŞ")))))</f>
        <v/>
      </c>
      <c r="T707" s="30">
        <f>IF(A707="","",IF(F707&lt;&gt;"Evet","İNCELEME GEREKLİ - Kampanya Tanımsız",IF(G707&lt;&gt;"Evet","İNCELEME GEREKLİ - Tarih Dışı Satış",IF(LEFT(P707,4)="RİSK","İNCELEME GEREKLİ - Hakediş Süresi Aşıldı",IF(OR(S707="EKSİK ÖDENMİŞ",S707="FAZLA ÖDENMİŞ"),"İNCELEME GEREKLİ - Tutar Uyuşmazlığı",IF(LEFT(P707,7)="Bekleni","Bekleniyor","Uygun"))))))</f>
        <v/>
      </c>
    </row>
    <row r="708">
      <c r="A708" s="26">
        <f>IF('DIVA Satislari'!I708="","",'DIVA Satislari'!I708)</f>
        <v/>
      </c>
      <c r="B708" s="26">
        <f>IF('DIVA Satislari'!I708="","",'DIVA Satislari'!R708)</f>
        <v/>
      </c>
      <c r="C708" s="26">
        <f>IF('DIVA Satislari'!I708="","",'DIVA Satislari'!M708)</f>
        <v/>
      </c>
      <c r="D708" s="27">
        <f>IF('DIVA Satislari'!I708="","",'DIVA Satislari'!H708)</f>
        <v/>
      </c>
      <c r="E708" s="26">
        <f>IF('DIVA Satislari'!I708="","",'DIVA Satislari'!O708)</f>
        <v/>
      </c>
      <c r="F708" s="26">
        <f>IF('DIVA Satislari'!I708="","",'DIVA Satislari'!AK708)</f>
        <v/>
      </c>
      <c r="G708" s="26">
        <f>IF('DIVA Satislari'!I708="","",'DIVA Satislari'!AO708)</f>
        <v/>
      </c>
      <c r="H708" s="27">
        <f>IF('DIVA Satislari'!I708="","",'DIVA Satislari'!AN708)</f>
        <v/>
      </c>
      <c r="I708" s="28">
        <f>IF('DIVA Satislari'!I708="","",'DIVA Satislari'!AQ708)</f>
        <v/>
      </c>
      <c r="J708" s="26">
        <f>IF('DIVA Satislari'!I708="","",'DIVA Satislari'!AR708)</f>
        <v/>
      </c>
      <c r="K708" s="26">
        <f>IF('DIVA Satislari'!I708="","",IFERROR(INDEX('E2E Nakliye Montaj'!$AS$3:$AS$1002,MATCH('DIVA Satislari'!AJ708,'E2E Nakliye Montaj'!$AM$3:$AM$1002,0)),"Eşleşme Yok"))</f>
        <v/>
      </c>
      <c r="L708" s="26">
        <f>IF('DIVA Satislari'!I708="","",IFERROR(INDEX('E2E Nakliye Montaj'!$AT$3:$AT$1002,MATCH('DIVA Satislari'!AJ708,'E2E Nakliye Montaj'!$AM$3:$AM$1002,0)),"Hayır"))</f>
        <v/>
      </c>
      <c r="M708" s="26">
        <f>IF('DIVA Satislari'!I708="","",IFERROR(INDEX('E2E Nakliye Montaj'!$AU$3:$AU$1002,MATCH('DIVA Satislari'!AJ708,'E2E Nakliye Montaj'!$AM$3:$AM$1002,0)),"Hayır"))</f>
        <v/>
      </c>
      <c r="N708" s="27">
        <f>IF('DIVA Satislari'!I708="","",IFERROR(INDEX('E2E Nakliye Montaj'!$AV$3:$AV$1002,MATCH('DIVA Satislari'!AJ708,'E2E Nakliye Montaj'!$AM$3:$AM$1002,0)),""))</f>
        <v/>
      </c>
      <c r="O708" s="26">
        <f>IF(OR(A708="",N708=""),"",IF(N708&lt;=H708,"Evet","HAYIR - RİSK"))</f>
        <v/>
      </c>
      <c r="P708" s="26">
        <f>IF(A708="","",IF(LEFT(J708,8)="Kural A ","Uygun - Hemen Ödenir (Yıl Sonu %75 Kontrolüne Tabi)",IF(OR(L708="Evet",M708="Evet"),IF(O708="Evet","Uygun","RİSK - Hakediş Süresi Aşıldı"),"Bekleniyor - Nakliye/Montaj Tamamlanmadı")))</f>
        <v/>
      </c>
      <c r="Q708" s="28">
        <f>IF(A708="","",SUMIFS('Hakedis Fatura Detay'!$G$3:$G$1200,'Hakedis Fatura Detay'!$H$3:$H$1200,'DIVA Satislari'!AJ708,'Hakedis Fatura Detay'!$F$3:$F$1200,"Fiyat Farkı")+SUMIFS('Hakedis Fatura Detay'!$G$3:$G$1200,'Hakedis Fatura Detay'!$H$3:$H$1200,'DIVA Satislari'!AJ708,'Hakedis Fatura Detay'!$F$3:$F$1200,"Bundle"))</f>
        <v/>
      </c>
      <c r="R708" s="28">
        <f>IF(A708="","",I708-Q708)</f>
        <v/>
      </c>
      <c r="S708" s="26">
        <f>IF(A708="","",IF(LEFT(P708,7)="Bekleni","N/A - Henüz Ödenmemeli",IF(LEFT(P708,4)="RİSK","İNCELEME GEREKLİ - Süre Aşımı",IF(R708=0,"Doğru",IF(R708&gt;0,"EKSİK ÖDENMİŞ","FAZLA ÖDENMİŞ")))))</f>
        <v/>
      </c>
      <c r="T708" s="30">
        <f>IF(A708="","",IF(F708&lt;&gt;"Evet","İNCELEME GEREKLİ - Kampanya Tanımsız",IF(G708&lt;&gt;"Evet","İNCELEME GEREKLİ - Tarih Dışı Satış",IF(LEFT(P708,4)="RİSK","İNCELEME GEREKLİ - Hakediş Süresi Aşıldı",IF(OR(S708="EKSİK ÖDENMİŞ",S708="FAZLA ÖDENMİŞ"),"İNCELEME GEREKLİ - Tutar Uyuşmazlığı",IF(LEFT(P708,7)="Bekleni","Bekleniyor","Uygun"))))))</f>
        <v/>
      </c>
    </row>
    <row r="709">
      <c r="A709" s="26">
        <f>IF('DIVA Satislari'!I709="","",'DIVA Satislari'!I709)</f>
        <v/>
      </c>
      <c r="B709" s="26">
        <f>IF('DIVA Satislari'!I709="","",'DIVA Satislari'!R709)</f>
        <v/>
      </c>
      <c r="C709" s="26">
        <f>IF('DIVA Satislari'!I709="","",'DIVA Satislari'!M709)</f>
        <v/>
      </c>
      <c r="D709" s="27">
        <f>IF('DIVA Satislari'!I709="","",'DIVA Satislari'!H709)</f>
        <v/>
      </c>
      <c r="E709" s="26">
        <f>IF('DIVA Satislari'!I709="","",'DIVA Satislari'!O709)</f>
        <v/>
      </c>
      <c r="F709" s="26">
        <f>IF('DIVA Satislari'!I709="","",'DIVA Satislari'!AK709)</f>
        <v/>
      </c>
      <c r="G709" s="26">
        <f>IF('DIVA Satislari'!I709="","",'DIVA Satislari'!AO709)</f>
        <v/>
      </c>
      <c r="H709" s="27">
        <f>IF('DIVA Satislari'!I709="","",'DIVA Satislari'!AN709)</f>
        <v/>
      </c>
      <c r="I709" s="28">
        <f>IF('DIVA Satislari'!I709="","",'DIVA Satislari'!AQ709)</f>
        <v/>
      </c>
      <c r="J709" s="26">
        <f>IF('DIVA Satislari'!I709="","",'DIVA Satislari'!AR709)</f>
        <v/>
      </c>
      <c r="K709" s="26">
        <f>IF('DIVA Satislari'!I709="","",IFERROR(INDEX('E2E Nakliye Montaj'!$AS$3:$AS$1002,MATCH('DIVA Satislari'!AJ709,'E2E Nakliye Montaj'!$AM$3:$AM$1002,0)),"Eşleşme Yok"))</f>
        <v/>
      </c>
      <c r="L709" s="26">
        <f>IF('DIVA Satislari'!I709="","",IFERROR(INDEX('E2E Nakliye Montaj'!$AT$3:$AT$1002,MATCH('DIVA Satislari'!AJ709,'E2E Nakliye Montaj'!$AM$3:$AM$1002,0)),"Hayır"))</f>
        <v/>
      </c>
      <c r="M709" s="26">
        <f>IF('DIVA Satislari'!I709="","",IFERROR(INDEX('E2E Nakliye Montaj'!$AU$3:$AU$1002,MATCH('DIVA Satislari'!AJ709,'E2E Nakliye Montaj'!$AM$3:$AM$1002,0)),"Hayır"))</f>
        <v/>
      </c>
      <c r="N709" s="27">
        <f>IF('DIVA Satislari'!I709="","",IFERROR(INDEX('E2E Nakliye Montaj'!$AV$3:$AV$1002,MATCH('DIVA Satislari'!AJ709,'E2E Nakliye Montaj'!$AM$3:$AM$1002,0)),""))</f>
        <v/>
      </c>
      <c r="O709" s="26">
        <f>IF(OR(A709="",N709=""),"",IF(N709&lt;=H709,"Evet","HAYIR - RİSK"))</f>
        <v/>
      </c>
      <c r="P709" s="26">
        <f>IF(A709="","",IF(LEFT(J709,8)="Kural A ","Uygun - Hemen Ödenir (Yıl Sonu %75 Kontrolüne Tabi)",IF(OR(L709="Evet",M709="Evet"),IF(O709="Evet","Uygun","RİSK - Hakediş Süresi Aşıldı"),"Bekleniyor - Nakliye/Montaj Tamamlanmadı")))</f>
        <v/>
      </c>
      <c r="Q709" s="28">
        <f>IF(A709="","",SUMIFS('Hakedis Fatura Detay'!$G$3:$G$1200,'Hakedis Fatura Detay'!$H$3:$H$1200,'DIVA Satislari'!AJ709,'Hakedis Fatura Detay'!$F$3:$F$1200,"Fiyat Farkı")+SUMIFS('Hakedis Fatura Detay'!$G$3:$G$1200,'Hakedis Fatura Detay'!$H$3:$H$1200,'DIVA Satislari'!AJ709,'Hakedis Fatura Detay'!$F$3:$F$1200,"Bundle"))</f>
        <v/>
      </c>
      <c r="R709" s="28">
        <f>IF(A709="","",I709-Q709)</f>
        <v/>
      </c>
      <c r="S709" s="26">
        <f>IF(A709="","",IF(LEFT(P709,7)="Bekleni","N/A - Henüz Ödenmemeli",IF(LEFT(P709,4)="RİSK","İNCELEME GEREKLİ - Süre Aşımı",IF(R709=0,"Doğru",IF(R709&gt;0,"EKSİK ÖDENMİŞ","FAZLA ÖDENMİŞ")))))</f>
        <v/>
      </c>
      <c r="T709" s="30">
        <f>IF(A709="","",IF(F709&lt;&gt;"Evet","İNCELEME GEREKLİ - Kampanya Tanımsız",IF(G709&lt;&gt;"Evet","İNCELEME GEREKLİ - Tarih Dışı Satış",IF(LEFT(P709,4)="RİSK","İNCELEME GEREKLİ - Hakediş Süresi Aşıldı",IF(OR(S709="EKSİK ÖDENMİŞ",S709="FAZLA ÖDENMİŞ"),"İNCELEME GEREKLİ - Tutar Uyuşmazlığı",IF(LEFT(P709,7)="Bekleni","Bekleniyor","Uygun"))))))</f>
        <v/>
      </c>
    </row>
    <row r="710">
      <c r="A710" s="26">
        <f>IF('DIVA Satislari'!I710="","",'DIVA Satislari'!I710)</f>
        <v/>
      </c>
      <c r="B710" s="26">
        <f>IF('DIVA Satislari'!I710="","",'DIVA Satislari'!R710)</f>
        <v/>
      </c>
      <c r="C710" s="26">
        <f>IF('DIVA Satislari'!I710="","",'DIVA Satislari'!M710)</f>
        <v/>
      </c>
      <c r="D710" s="27">
        <f>IF('DIVA Satislari'!I710="","",'DIVA Satislari'!H710)</f>
        <v/>
      </c>
      <c r="E710" s="26">
        <f>IF('DIVA Satislari'!I710="","",'DIVA Satislari'!O710)</f>
        <v/>
      </c>
      <c r="F710" s="26">
        <f>IF('DIVA Satislari'!I710="","",'DIVA Satislari'!AK710)</f>
        <v/>
      </c>
      <c r="G710" s="26">
        <f>IF('DIVA Satislari'!I710="","",'DIVA Satislari'!AO710)</f>
        <v/>
      </c>
      <c r="H710" s="27">
        <f>IF('DIVA Satislari'!I710="","",'DIVA Satislari'!AN710)</f>
        <v/>
      </c>
      <c r="I710" s="28">
        <f>IF('DIVA Satislari'!I710="","",'DIVA Satislari'!AQ710)</f>
        <v/>
      </c>
      <c r="J710" s="26">
        <f>IF('DIVA Satislari'!I710="","",'DIVA Satislari'!AR710)</f>
        <v/>
      </c>
      <c r="K710" s="26">
        <f>IF('DIVA Satislari'!I710="","",IFERROR(INDEX('E2E Nakliye Montaj'!$AS$3:$AS$1002,MATCH('DIVA Satislari'!AJ710,'E2E Nakliye Montaj'!$AM$3:$AM$1002,0)),"Eşleşme Yok"))</f>
        <v/>
      </c>
      <c r="L710" s="26">
        <f>IF('DIVA Satislari'!I710="","",IFERROR(INDEX('E2E Nakliye Montaj'!$AT$3:$AT$1002,MATCH('DIVA Satislari'!AJ710,'E2E Nakliye Montaj'!$AM$3:$AM$1002,0)),"Hayır"))</f>
        <v/>
      </c>
      <c r="M710" s="26">
        <f>IF('DIVA Satislari'!I710="","",IFERROR(INDEX('E2E Nakliye Montaj'!$AU$3:$AU$1002,MATCH('DIVA Satislari'!AJ710,'E2E Nakliye Montaj'!$AM$3:$AM$1002,0)),"Hayır"))</f>
        <v/>
      </c>
      <c r="N710" s="27">
        <f>IF('DIVA Satislari'!I710="","",IFERROR(INDEX('E2E Nakliye Montaj'!$AV$3:$AV$1002,MATCH('DIVA Satislari'!AJ710,'E2E Nakliye Montaj'!$AM$3:$AM$1002,0)),""))</f>
        <v/>
      </c>
      <c r="O710" s="26">
        <f>IF(OR(A710="",N710=""),"",IF(N710&lt;=H710,"Evet","HAYIR - RİSK"))</f>
        <v/>
      </c>
      <c r="P710" s="26">
        <f>IF(A710="","",IF(LEFT(J710,8)="Kural A ","Uygun - Hemen Ödenir (Yıl Sonu %75 Kontrolüne Tabi)",IF(OR(L710="Evet",M710="Evet"),IF(O710="Evet","Uygun","RİSK - Hakediş Süresi Aşıldı"),"Bekleniyor - Nakliye/Montaj Tamamlanmadı")))</f>
        <v/>
      </c>
      <c r="Q710" s="28">
        <f>IF(A710="","",SUMIFS('Hakedis Fatura Detay'!$G$3:$G$1200,'Hakedis Fatura Detay'!$H$3:$H$1200,'DIVA Satislari'!AJ710,'Hakedis Fatura Detay'!$F$3:$F$1200,"Fiyat Farkı")+SUMIFS('Hakedis Fatura Detay'!$G$3:$G$1200,'Hakedis Fatura Detay'!$H$3:$H$1200,'DIVA Satislari'!AJ710,'Hakedis Fatura Detay'!$F$3:$F$1200,"Bundle"))</f>
        <v/>
      </c>
      <c r="R710" s="28">
        <f>IF(A710="","",I710-Q710)</f>
        <v/>
      </c>
      <c r="S710" s="26">
        <f>IF(A710="","",IF(LEFT(P710,7)="Bekleni","N/A - Henüz Ödenmemeli",IF(LEFT(P710,4)="RİSK","İNCELEME GEREKLİ - Süre Aşımı",IF(R710=0,"Doğru",IF(R710&gt;0,"EKSİK ÖDENMİŞ","FAZLA ÖDENMİŞ")))))</f>
        <v/>
      </c>
      <c r="T710" s="30">
        <f>IF(A710="","",IF(F710&lt;&gt;"Evet","İNCELEME GEREKLİ - Kampanya Tanımsız",IF(G710&lt;&gt;"Evet","İNCELEME GEREKLİ - Tarih Dışı Satış",IF(LEFT(P710,4)="RİSK","İNCELEME GEREKLİ - Hakediş Süresi Aşıldı",IF(OR(S710="EKSİK ÖDENMİŞ",S710="FAZLA ÖDENMİŞ"),"İNCELEME GEREKLİ - Tutar Uyuşmazlığı",IF(LEFT(P710,7)="Bekleni","Bekleniyor","Uygun"))))))</f>
        <v/>
      </c>
    </row>
    <row r="711">
      <c r="A711" s="26">
        <f>IF('DIVA Satislari'!I711="","",'DIVA Satislari'!I711)</f>
        <v/>
      </c>
      <c r="B711" s="26">
        <f>IF('DIVA Satislari'!I711="","",'DIVA Satislari'!R711)</f>
        <v/>
      </c>
      <c r="C711" s="26">
        <f>IF('DIVA Satislari'!I711="","",'DIVA Satislari'!M711)</f>
        <v/>
      </c>
      <c r="D711" s="27">
        <f>IF('DIVA Satislari'!I711="","",'DIVA Satislari'!H711)</f>
        <v/>
      </c>
      <c r="E711" s="26">
        <f>IF('DIVA Satislari'!I711="","",'DIVA Satislari'!O711)</f>
        <v/>
      </c>
      <c r="F711" s="26">
        <f>IF('DIVA Satislari'!I711="","",'DIVA Satislari'!AK711)</f>
        <v/>
      </c>
      <c r="G711" s="26">
        <f>IF('DIVA Satislari'!I711="","",'DIVA Satislari'!AO711)</f>
        <v/>
      </c>
      <c r="H711" s="27">
        <f>IF('DIVA Satislari'!I711="","",'DIVA Satislari'!AN711)</f>
        <v/>
      </c>
      <c r="I711" s="28">
        <f>IF('DIVA Satislari'!I711="","",'DIVA Satislari'!AQ711)</f>
        <v/>
      </c>
      <c r="J711" s="26">
        <f>IF('DIVA Satislari'!I711="","",'DIVA Satislari'!AR711)</f>
        <v/>
      </c>
      <c r="K711" s="26">
        <f>IF('DIVA Satislari'!I711="","",IFERROR(INDEX('E2E Nakliye Montaj'!$AS$3:$AS$1002,MATCH('DIVA Satislari'!AJ711,'E2E Nakliye Montaj'!$AM$3:$AM$1002,0)),"Eşleşme Yok"))</f>
        <v/>
      </c>
      <c r="L711" s="26">
        <f>IF('DIVA Satislari'!I711="","",IFERROR(INDEX('E2E Nakliye Montaj'!$AT$3:$AT$1002,MATCH('DIVA Satislari'!AJ711,'E2E Nakliye Montaj'!$AM$3:$AM$1002,0)),"Hayır"))</f>
        <v/>
      </c>
      <c r="M711" s="26">
        <f>IF('DIVA Satislari'!I711="","",IFERROR(INDEX('E2E Nakliye Montaj'!$AU$3:$AU$1002,MATCH('DIVA Satislari'!AJ711,'E2E Nakliye Montaj'!$AM$3:$AM$1002,0)),"Hayır"))</f>
        <v/>
      </c>
      <c r="N711" s="27">
        <f>IF('DIVA Satislari'!I711="","",IFERROR(INDEX('E2E Nakliye Montaj'!$AV$3:$AV$1002,MATCH('DIVA Satislari'!AJ711,'E2E Nakliye Montaj'!$AM$3:$AM$1002,0)),""))</f>
        <v/>
      </c>
      <c r="O711" s="26">
        <f>IF(OR(A711="",N711=""),"",IF(N711&lt;=H711,"Evet","HAYIR - RİSK"))</f>
        <v/>
      </c>
      <c r="P711" s="26">
        <f>IF(A711="","",IF(LEFT(J711,8)="Kural A ","Uygun - Hemen Ödenir (Yıl Sonu %75 Kontrolüne Tabi)",IF(OR(L711="Evet",M711="Evet"),IF(O711="Evet","Uygun","RİSK - Hakediş Süresi Aşıldı"),"Bekleniyor - Nakliye/Montaj Tamamlanmadı")))</f>
        <v/>
      </c>
      <c r="Q711" s="28">
        <f>IF(A711="","",SUMIFS('Hakedis Fatura Detay'!$G$3:$G$1200,'Hakedis Fatura Detay'!$H$3:$H$1200,'DIVA Satislari'!AJ711,'Hakedis Fatura Detay'!$F$3:$F$1200,"Fiyat Farkı")+SUMIFS('Hakedis Fatura Detay'!$G$3:$G$1200,'Hakedis Fatura Detay'!$H$3:$H$1200,'DIVA Satislari'!AJ711,'Hakedis Fatura Detay'!$F$3:$F$1200,"Bundle"))</f>
        <v/>
      </c>
      <c r="R711" s="28">
        <f>IF(A711="","",I711-Q711)</f>
        <v/>
      </c>
      <c r="S711" s="26">
        <f>IF(A711="","",IF(LEFT(P711,7)="Bekleni","N/A - Henüz Ödenmemeli",IF(LEFT(P711,4)="RİSK","İNCELEME GEREKLİ - Süre Aşımı",IF(R711=0,"Doğru",IF(R711&gt;0,"EKSİK ÖDENMİŞ","FAZLA ÖDENMİŞ")))))</f>
        <v/>
      </c>
      <c r="T711" s="30">
        <f>IF(A711="","",IF(F711&lt;&gt;"Evet","İNCELEME GEREKLİ - Kampanya Tanımsız",IF(G711&lt;&gt;"Evet","İNCELEME GEREKLİ - Tarih Dışı Satış",IF(LEFT(P711,4)="RİSK","İNCELEME GEREKLİ - Hakediş Süresi Aşıldı",IF(OR(S711="EKSİK ÖDENMİŞ",S711="FAZLA ÖDENMİŞ"),"İNCELEME GEREKLİ - Tutar Uyuşmazlığı",IF(LEFT(P711,7)="Bekleni","Bekleniyor","Uygun"))))))</f>
        <v/>
      </c>
    </row>
    <row r="712">
      <c r="A712" s="26">
        <f>IF('DIVA Satislari'!I712="","",'DIVA Satislari'!I712)</f>
        <v/>
      </c>
      <c r="B712" s="26">
        <f>IF('DIVA Satislari'!I712="","",'DIVA Satislari'!R712)</f>
        <v/>
      </c>
      <c r="C712" s="26">
        <f>IF('DIVA Satislari'!I712="","",'DIVA Satislari'!M712)</f>
        <v/>
      </c>
      <c r="D712" s="27">
        <f>IF('DIVA Satislari'!I712="","",'DIVA Satislari'!H712)</f>
        <v/>
      </c>
      <c r="E712" s="26">
        <f>IF('DIVA Satislari'!I712="","",'DIVA Satislari'!O712)</f>
        <v/>
      </c>
      <c r="F712" s="26">
        <f>IF('DIVA Satislari'!I712="","",'DIVA Satislari'!AK712)</f>
        <v/>
      </c>
      <c r="G712" s="26">
        <f>IF('DIVA Satislari'!I712="","",'DIVA Satislari'!AO712)</f>
        <v/>
      </c>
      <c r="H712" s="27">
        <f>IF('DIVA Satislari'!I712="","",'DIVA Satislari'!AN712)</f>
        <v/>
      </c>
      <c r="I712" s="28">
        <f>IF('DIVA Satislari'!I712="","",'DIVA Satislari'!AQ712)</f>
        <v/>
      </c>
      <c r="J712" s="26">
        <f>IF('DIVA Satislari'!I712="","",'DIVA Satislari'!AR712)</f>
        <v/>
      </c>
      <c r="K712" s="26">
        <f>IF('DIVA Satislari'!I712="","",IFERROR(INDEX('E2E Nakliye Montaj'!$AS$3:$AS$1002,MATCH('DIVA Satislari'!AJ712,'E2E Nakliye Montaj'!$AM$3:$AM$1002,0)),"Eşleşme Yok"))</f>
        <v/>
      </c>
      <c r="L712" s="26">
        <f>IF('DIVA Satislari'!I712="","",IFERROR(INDEX('E2E Nakliye Montaj'!$AT$3:$AT$1002,MATCH('DIVA Satislari'!AJ712,'E2E Nakliye Montaj'!$AM$3:$AM$1002,0)),"Hayır"))</f>
        <v/>
      </c>
      <c r="M712" s="26">
        <f>IF('DIVA Satislari'!I712="","",IFERROR(INDEX('E2E Nakliye Montaj'!$AU$3:$AU$1002,MATCH('DIVA Satislari'!AJ712,'E2E Nakliye Montaj'!$AM$3:$AM$1002,0)),"Hayır"))</f>
        <v/>
      </c>
      <c r="N712" s="27">
        <f>IF('DIVA Satislari'!I712="","",IFERROR(INDEX('E2E Nakliye Montaj'!$AV$3:$AV$1002,MATCH('DIVA Satislari'!AJ712,'E2E Nakliye Montaj'!$AM$3:$AM$1002,0)),""))</f>
        <v/>
      </c>
      <c r="O712" s="26">
        <f>IF(OR(A712="",N712=""),"",IF(N712&lt;=H712,"Evet","HAYIR - RİSK"))</f>
        <v/>
      </c>
      <c r="P712" s="26">
        <f>IF(A712="","",IF(LEFT(J712,8)="Kural A ","Uygun - Hemen Ödenir (Yıl Sonu %75 Kontrolüne Tabi)",IF(OR(L712="Evet",M712="Evet"),IF(O712="Evet","Uygun","RİSK - Hakediş Süresi Aşıldı"),"Bekleniyor - Nakliye/Montaj Tamamlanmadı")))</f>
        <v/>
      </c>
      <c r="Q712" s="28">
        <f>IF(A712="","",SUMIFS('Hakedis Fatura Detay'!$G$3:$G$1200,'Hakedis Fatura Detay'!$H$3:$H$1200,'DIVA Satislari'!AJ712,'Hakedis Fatura Detay'!$F$3:$F$1200,"Fiyat Farkı")+SUMIFS('Hakedis Fatura Detay'!$G$3:$G$1200,'Hakedis Fatura Detay'!$H$3:$H$1200,'DIVA Satislari'!AJ712,'Hakedis Fatura Detay'!$F$3:$F$1200,"Bundle"))</f>
        <v/>
      </c>
      <c r="R712" s="28">
        <f>IF(A712="","",I712-Q712)</f>
        <v/>
      </c>
      <c r="S712" s="26">
        <f>IF(A712="","",IF(LEFT(P712,7)="Bekleni","N/A - Henüz Ödenmemeli",IF(LEFT(P712,4)="RİSK","İNCELEME GEREKLİ - Süre Aşımı",IF(R712=0,"Doğru",IF(R712&gt;0,"EKSİK ÖDENMİŞ","FAZLA ÖDENMİŞ")))))</f>
        <v/>
      </c>
      <c r="T712" s="30">
        <f>IF(A712="","",IF(F712&lt;&gt;"Evet","İNCELEME GEREKLİ - Kampanya Tanımsız",IF(G712&lt;&gt;"Evet","İNCELEME GEREKLİ - Tarih Dışı Satış",IF(LEFT(P712,4)="RİSK","İNCELEME GEREKLİ - Hakediş Süresi Aşıldı",IF(OR(S712="EKSİK ÖDENMİŞ",S712="FAZLA ÖDENMİŞ"),"İNCELEME GEREKLİ - Tutar Uyuşmazlığı",IF(LEFT(P712,7)="Bekleni","Bekleniyor","Uygun"))))))</f>
        <v/>
      </c>
    </row>
    <row r="713">
      <c r="A713" s="26">
        <f>IF('DIVA Satislari'!I713="","",'DIVA Satislari'!I713)</f>
        <v/>
      </c>
      <c r="B713" s="26">
        <f>IF('DIVA Satislari'!I713="","",'DIVA Satislari'!R713)</f>
        <v/>
      </c>
      <c r="C713" s="26">
        <f>IF('DIVA Satislari'!I713="","",'DIVA Satislari'!M713)</f>
        <v/>
      </c>
      <c r="D713" s="27">
        <f>IF('DIVA Satislari'!I713="","",'DIVA Satislari'!H713)</f>
        <v/>
      </c>
      <c r="E713" s="26">
        <f>IF('DIVA Satislari'!I713="","",'DIVA Satislari'!O713)</f>
        <v/>
      </c>
      <c r="F713" s="26">
        <f>IF('DIVA Satislari'!I713="","",'DIVA Satislari'!AK713)</f>
        <v/>
      </c>
      <c r="G713" s="26">
        <f>IF('DIVA Satislari'!I713="","",'DIVA Satislari'!AO713)</f>
        <v/>
      </c>
      <c r="H713" s="27">
        <f>IF('DIVA Satislari'!I713="","",'DIVA Satislari'!AN713)</f>
        <v/>
      </c>
      <c r="I713" s="28">
        <f>IF('DIVA Satislari'!I713="","",'DIVA Satislari'!AQ713)</f>
        <v/>
      </c>
      <c r="J713" s="26">
        <f>IF('DIVA Satislari'!I713="","",'DIVA Satislari'!AR713)</f>
        <v/>
      </c>
      <c r="K713" s="26">
        <f>IF('DIVA Satislari'!I713="","",IFERROR(INDEX('E2E Nakliye Montaj'!$AS$3:$AS$1002,MATCH('DIVA Satislari'!AJ713,'E2E Nakliye Montaj'!$AM$3:$AM$1002,0)),"Eşleşme Yok"))</f>
        <v/>
      </c>
      <c r="L713" s="26">
        <f>IF('DIVA Satislari'!I713="","",IFERROR(INDEX('E2E Nakliye Montaj'!$AT$3:$AT$1002,MATCH('DIVA Satislari'!AJ713,'E2E Nakliye Montaj'!$AM$3:$AM$1002,0)),"Hayır"))</f>
        <v/>
      </c>
      <c r="M713" s="26">
        <f>IF('DIVA Satislari'!I713="","",IFERROR(INDEX('E2E Nakliye Montaj'!$AU$3:$AU$1002,MATCH('DIVA Satislari'!AJ713,'E2E Nakliye Montaj'!$AM$3:$AM$1002,0)),"Hayır"))</f>
        <v/>
      </c>
      <c r="N713" s="27">
        <f>IF('DIVA Satislari'!I713="","",IFERROR(INDEX('E2E Nakliye Montaj'!$AV$3:$AV$1002,MATCH('DIVA Satislari'!AJ713,'E2E Nakliye Montaj'!$AM$3:$AM$1002,0)),""))</f>
        <v/>
      </c>
      <c r="O713" s="26">
        <f>IF(OR(A713="",N713=""),"",IF(N713&lt;=H713,"Evet","HAYIR - RİSK"))</f>
        <v/>
      </c>
      <c r="P713" s="26">
        <f>IF(A713="","",IF(LEFT(J713,8)="Kural A ","Uygun - Hemen Ödenir (Yıl Sonu %75 Kontrolüne Tabi)",IF(OR(L713="Evet",M713="Evet"),IF(O713="Evet","Uygun","RİSK - Hakediş Süresi Aşıldı"),"Bekleniyor - Nakliye/Montaj Tamamlanmadı")))</f>
        <v/>
      </c>
      <c r="Q713" s="28">
        <f>IF(A713="","",SUMIFS('Hakedis Fatura Detay'!$G$3:$G$1200,'Hakedis Fatura Detay'!$H$3:$H$1200,'DIVA Satislari'!AJ713,'Hakedis Fatura Detay'!$F$3:$F$1200,"Fiyat Farkı")+SUMIFS('Hakedis Fatura Detay'!$G$3:$G$1200,'Hakedis Fatura Detay'!$H$3:$H$1200,'DIVA Satislari'!AJ713,'Hakedis Fatura Detay'!$F$3:$F$1200,"Bundle"))</f>
        <v/>
      </c>
      <c r="R713" s="28">
        <f>IF(A713="","",I713-Q713)</f>
        <v/>
      </c>
      <c r="S713" s="26">
        <f>IF(A713="","",IF(LEFT(P713,7)="Bekleni","N/A - Henüz Ödenmemeli",IF(LEFT(P713,4)="RİSK","İNCELEME GEREKLİ - Süre Aşımı",IF(R713=0,"Doğru",IF(R713&gt;0,"EKSİK ÖDENMİŞ","FAZLA ÖDENMİŞ")))))</f>
        <v/>
      </c>
      <c r="T713" s="30">
        <f>IF(A713="","",IF(F713&lt;&gt;"Evet","İNCELEME GEREKLİ - Kampanya Tanımsız",IF(G713&lt;&gt;"Evet","İNCELEME GEREKLİ - Tarih Dışı Satış",IF(LEFT(P713,4)="RİSK","İNCELEME GEREKLİ - Hakediş Süresi Aşıldı",IF(OR(S713="EKSİK ÖDENMİŞ",S713="FAZLA ÖDENMİŞ"),"İNCELEME GEREKLİ - Tutar Uyuşmazlığı",IF(LEFT(P713,7)="Bekleni","Bekleniyor","Uygun"))))))</f>
        <v/>
      </c>
    </row>
    <row r="714">
      <c r="A714" s="26">
        <f>IF('DIVA Satislari'!I714="","",'DIVA Satislari'!I714)</f>
        <v/>
      </c>
      <c r="B714" s="26">
        <f>IF('DIVA Satislari'!I714="","",'DIVA Satislari'!R714)</f>
        <v/>
      </c>
      <c r="C714" s="26">
        <f>IF('DIVA Satislari'!I714="","",'DIVA Satislari'!M714)</f>
        <v/>
      </c>
      <c r="D714" s="27">
        <f>IF('DIVA Satislari'!I714="","",'DIVA Satislari'!H714)</f>
        <v/>
      </c>
      <c r="E714" s="26">
        <f>IF('DIVA Satislari'!I714="","",'DIVA Satislari'!O714)</f>
        <v/>
      </c>
      <c r="F714" s="26">
        <f>IF('DIVA Satislari'!I714="","",'DIVA Satislari'!AK714)</f>
        <v/>
      </c>
      <c r="G714" s="26">
        <f>IF('DIVA Satislari'!I714="","",'DIVA Satislari'!AO714)</f>
        <v/>
      </c>
      <c r="H714" s="27">
        <f>IF('DIVA Satislari'!I714="","",'DIVA Satislari'!AN714)</f>
        <v/>
      </c>
      <c r="I714" s="28">
        <f>IF('DIVA Satislari'!I714="","",'DIVA Satislari'!AQ714)</f>
        <v/>
      </c>
      <c r="J714" s="26">
        <f>IF('DIVA Satislari'!I714="","",'DIVA Satislari'!AR714)</f>
        <v/>
      </c>
      <c r="K714" s="26">
        <f>IF('DIVA Satislari'!I714="","",IFERROR(INDEX('E2E Nakliye Montaj'!$AS$3:$AS$1002,MATCH('DIVA Satislari'!AJ714,'E2E Nakliye Montaj'!$AM$3:$AM$1002,0)),"Eşleşme Yok"))</f>
        <v/>
      </c>
      <c r="L714" s="26">
        <f>IF('DIVA Satislari'!I714="","",IFERROR(INDEX('E2E Nakliye Montaj'!$AT$3:$AT$1002,MATCH('DIVA Satislari'!AJ714,'E2E Nakliye Montaj'!$AM$3:$AM$1002,0)),"Hayır"))</f>
        <v/>
      </c>
      <c r="M714" s="26">
        <f>IF('DIVA Satislari'!I714="","",IFERROR(INDEX('E2E Nakliye Montaj'!$AU$3:$AU$1002,MATCH('DIVA Satislari'!AJ714,'E2E Nakliye Montaj'!$AM$3:$AM$1002,0)),"Hayır"))</f>
        <v/>
      </c>
      <c r="N714" s="27">
        <f>IF('DIVA Satislari'!I714="","",IFERROR(INDEX('E2E Nakliye Montaj'!$AV$3:$AV$1002,MATCH('DIVA Satislari'!AJ714,'E2E Nakliye Montaj'!$AM$3:$AM$1002,0)),""))</f>
        <v/>
      </c>
      <c r="O714" s="26">
        <f>IF(OR(A714="",N714=""),"",IF(N714&lt;=H714,"Evet","HAYIR - RİSK"))</f>
        <v/>
      </c>
      <c r="P714" s="26">
        <f>IF(A714="","",IF(LEFT(J714,8)="Kural A ","Uygun - Hemen Ödenir (Yıl Sonu %75 Kontrolüne Tabi)",IF(OR(L714="Evet",M714="Evet"),IF(O714="Evet","Uygun","RİSK - Hakediş Süresi Aşıldı"),"Bekleniyor - Nakliye/Montaj Tamamlanmadı")))</f>
        <v/>
      </c>
      <c r="Q714" s="28">
        <f>IF(A714="","",SUMIFS('Hakedis Fatura Detay'!$G$3:$G$1200,'Hakedis Fatura Detay'!$H$3:$H$1200,'DIVA Satislari'!AJ714,'Hakedis Fatura Detay'!$F$3:$F$1200,"Fiyat Farkı")+SUMIFS('Hakedis Fatura Detay'!$G$3:$G$1200,'Hakedis Fatura Detay'!$H$3:$H$1200,'DIVA Satislari'!AJ714,'Hakedis Fatura Detay'!$F$3:$F$1200,"Bundle"))</f>
        <v/>
      </c>
      <c r="R714" s="28">
        <f>IF(A714="","",I714-Q714)</f>
        <v/>
      </c>
      <c r="S714" s="26">
        <f>IF(A714="","",IF(LEFT(P714,7)="Bekleni","N/A - Henüz Ödenmemeli",IF(LEFT(P714,4)="RİSK","İNCELEME GEREKLİ - Süre Aşımı",IF(R714=0,"Doğru",IF(R714&gt;0,"EKSİK ÖDENMİŞ","FAZLA ÖDENMİŞ")))))</f>
        <v/>
      </c>
      <c r="T714" s="30">
        <f>IF(A714="","",IF(F714&lt;&gt;"Evet","İNCELEME GEREKLİ - Kampanya Tanımsız",IF(G714&lt;&gt;"Evet","İNCELEME GEREKLİ - Tarih Dışı Satış",IF(LEFT(P714,4)="RİSK","İNCELEME GEREKLİ - Hakediş Süresi Aşıldı",IF(OR(S714="EKSİK ÖDENMİŞ",S714="FAZLA ÖDENMİŞ"),"İNCELEME GEREKLİ - Tutar Uyuşmazlığı",IF(LEFT(P714,7)="Bekleni","Bekleniyor","Uygun"))))))</f>
        <v/>
      </c>
    </row>
    <row r="715">
      <c r="A715" s="26">
        <f>IF('DIVA Satislari'!I715="","",'DIVA Satislari'!I715)</f>
        <v/>
      </c>
      <c r="B715" s="26">
        <f>IF('DIVA Satislari'!I715="","",'DIVA Satislari'!R715)</f>
        <v/>
      </c>
      <c r="C715" s="26">
        <f>IF('DIVA Satislari'!I715="","",'DIVA Satislari'!M715)</f>
        <v/>
      </c>
      <c r="D715" s="27">
        <f>IF('DIVA Satislari'!I715="","",'DIVA Satislari'!H715)</f>
        <v/>
      </c>
      <c r="E715" s="26">
        <f>IF('DIVA Satislari'!I715="","",'DIVA Satislari'!O715)</f>
        <v/>
      </c>
      <c r="F715" s="26">
        <f>IF('DIVA Satislari'!I715="","",'DIVA Satislari'!AK715)</f>
        <v/>
      </c>
      <c r="G715" s="26">
        <f>IF('DIVA Satislari'!I715="","",'DIVA Satislari'!AO715)</f>
        <v/>
      </c>
      <c r="H715" s="27">
        <f>IF('DIVA Satislari'!I715="","",'DIVA Satislari'!AN715)</f>
        <v/>
      </c>
      <c r="I715" s="28">
        <f>IF('DIVA Satislari'!I715="","",'DIVA Satislari'!AQ715)</f>
        <v/>
      </c>
      <c r="J715" s="26">
        <f>IF('DIVA Satislari'!I715="","",'DIVA Satislari'!AR715)</f>
        <v/>
      </c>
      <c r="K715" s="26">
        <f>IF('DIVA Satislari'!I715="","",IFERROR(INDEX('E2E Nakliye Montaj'!$AS$3:$AS$1002,MATCH('DIVA Satislari'!AJ715,'E2E Nakliye Montaj'!$AM$3:$AM$1002,0)),"Eşleşme Yok"))</f>
        <v/>
      </c>
      <c r="L715" s="26">
        <f>IF('DIVA Satislari'!I715="","",IFERROR(INDEX('E2E Nakliye Montaj'!$AT$3:$AT$1002,MATCH('DIVA Satislari'!AJ715,'E2E Nakliye Montaj'!$AM$3:$AM$1002,0)),"Hayır"))</f>
        <v/>
      </c>
      <c r="M715" s="26">
        <f>IF('DIVA Satislari'!I715="","",IFERROR(INDEX('E2E Nakliye Montaj'!$AU$3:$AU$1002,MATCH('DIVA Satislari'!AJ715,'E2E Nakliye Montaj'!$AM$3:$AM$1002,0)),"Hayır"))</f>
        <v/>
      </c>
      <c r="N715" s="27">
        <f>IF('DIVA Satislari'!I715="","",IFERROR(INDEX('E2E Nakliye Montaj'!$AV$3:$AV$1002,MATCH('DIVA Satislari'!AJ715,'E2E Nakliye Montaj'!$AM$3:$AM$1002,0)),""))</f>
        <v/>
      </c>
      <c r="O715" s="26">
        <f>IF(OR(A715="",N715=""),"",IF(N715&lt;=H715,"Evet","HAYIR - RİSK"))</f>
        <v/>
      </c>
      <c r="P715" s="26">
        <f>IF(A715="","",IF(LEFT(J715,8)="Kural A ","Uygun - Hemen Ödenir (Yıl Sonu %75 Kontrolüne Tabi)",IF(OR(L715="Evet",M715="Evet"),IF(O715="Evet","Uygun","RİSK - Hakediş Süresi Aşıldı"),"Bekleniyor - Nakliye/Montaj Tamamlanmadı")))</f>
        <v/>
      </c>
      <c r="Q715" s="28">
        <f>IF(A715="","",SUMIFS('Hakedis Fatura Detay'!$G$3:$G$1200,'Hakedis Fatura Detay'!$H$3:$H$1200,'DIVA Satislari'!AJ715,'Hakedis Fatura Detay'!$F$3:$F$1200,"Fiyat Farkı")+SUMIFS('Hakedis Fatura Detay'!$G$3:$G$1200,'Hakedis Fatura Detay'!$H$3:$H$1200,'DIVA Satislari'!AJ715,'Hakedis Fatura Detay'!$F$3:$F$1200,"Bundle"))</f>
        <v/>
      </c>
      <c r="R715" s="28">
        <f>IF(A715="","",I715-Q715)</f>
        <v/>
      </c>
      <c r="S715" s="26">
        <f>IF(A715="","",IF(LEFT(P715,7)="Bekleni","N/A - Henüz Ödenmemeli",IF(LEFT(P715,4)="RİSK","İNCELEME GEREKLİ - Süre Aşımı",IF(R715=0,"Doğru",IF(R715&gt;0,"EKSİK ÖDENMİŞ","FAZLA ÖDENMİŞ")))))</f>
        <v/>
      </c>
      <c r="T715" s="30">
        <f>IF(A715="","",IF(F715&lt;&gt;"Evet","İNCELEME GEREKLİ - Kampanya Tanımsız",IF(G715&lt;&gt;"Evet","İNCELEME GEREKLİ - Tarih Dışı Satış",IF(LEFT(P715,4)="RİSK","İNCELEME GEREKLİ - Hakediş Süresi Aşıldı",IF(OR(S715="EKSİK ÖDENMİŞ",S715="FAZLA ÖDENMİŞ"),"İNCELEME GEREKLİ - Tutar Uyuşmazlığı",IF(LEFT(P715,7)="Bekleni","Bekleniyor","Uygun"))))))</f>
        <v/>
      </c>
    </row>
    <row r="716">
      <c r="A716" s="26">
        <f>IF('DIVA Satislari'!I716="","",'DIVA Satislari'!I716)</f>
        <v/>
      </c>
      <c r="B716" s="26">
        <f>IF('DIVA Satislari'!I716="","",'DIVA Satislari'!R716)</f>
        <v/>
      </c>
      <c r="C716" s="26">
        <f>IF('DIVA Satislari'!I716="","",'DIVA Satislari'!M716)</f>
        <v/>
      </c>
      <c r="D716" s="27">
        <f>IF('DIVA Satislari'!I716="","",'DIVA Satislari'!H716)</f>
        <v/>
      </c>
      <c r="E716" s="26">
        <f>IF('DIVA Satislari'!I716="","",'DIVA Satislari'!O716)</f>
        <v/>
      </c>
      <c r="F716" s="26">
        <f>IF('DIVA Satislari'!I716="","",'DIVA Satislari'!AK716)</f>
        <v/>
      </c>
      <c r="G716" s="26">
        <f>IF('DIVA Satislari'!I716="","",'DIVA Satislari'!AO716)</f>
        <v/>
      </c>
      <c r="H716" s="27">
        <f>IF('DIVA Satislari'!I716="","",'DIVA Satislari'!AN716)</f>
        <v/>
      </c>
      <c r="I716" s="28">
        <f>IF('DIVA Satislari'!I716="","",'DIVA Satislari'!AQ716)</f>
        <v/>
      </c>
      <c r="J716" s="26">
        <f>IF('DIVA Satislari'!I716="","",'DIVA Satislari'!AR716)</f>
        <v/>
      </c>
      <c r="K716" s="26">
        <f>IF('DIVA Satislari'!I716="","",IFERROR(INDEX('E2E Nakliye Montaj'!$AS$3:$AS$1002,MATCH('DIVA Satislari'!AJ716,'E2E Nakliye Montaj'!$AM$3:$AM$1002,0)),"Eşleşme Yok"))</f>
        <v/>
      </c>
      <c r="L716" s="26">
        <f>IF('DIVA Satislari'!I716="","",IFERROR(INDEX('E2E Nakliye Montaj'!$AT$3:$AT$1002,MATCH('DIVA Satislari'!AJ716,'E2E Nakliye Montaj'!$AM$3:$AM$1002,0)),"Hayır"))</f>
        <v/>
      </c>
      <c r="M716" s="26">
        <f>IF('DIVA Satislari'!I716="","",IFERROR(INDEX('E2E Nakliye Montaj'!$AU$3:$AU$1002,MATCH('DIVA Satislari'!AJ716,'E2E Nakliye Montaj'!$AM$3:$AM$1002,0)),"Hayır"))</f>
        <v/>
      </c>
      <c r="N716" s="27">
        <f>IF('DIVA Satislari'!I716="","",IFERROR(INDEX('E2E Nakliye Montaj'!$AV$3:$AV$1002,MATCH('DIVA Satislari'!AJ716,'E2E Nakliye Montaj'!$AM$3:$AM$1002,0)),""))</f>
        <v/>
      </c>
      <c r="O716" s="26">
        <f>IF(OR(A716="",N716=""),"",IF(N716&lt;=H716,"Evet","HAYIR - RİSK"))</f>
        <v/>
      </c>
      <c r="P716" s="26">
        <f>IF(A716="","",IF(LEFT(J716,8)="Kural A ","Uygun - Hemen Ödenir (Yıl Sonu %75 Kontrolüne Tabi)",IF(OR(L716="Evet",M716="Evet"),IF(O716="Evet","Uygun","RİSK - Hakediş Süresi Aşıldı"),"Bekleniyor - Nakliye/Montaj Tamamlanmadı")))</f>
        <v/>
      </c>
      <c r="Q716" s="28">
        <f>IF(A716="","",SUMIFS('Hakedis Fatura Detay'!$G$3:$G$1200,'Hakedis Fatura Detay'!$H$3:$H$1200,'DIVA Satislari'!AJ716,'Hakedis Fatura Detay'!$F$3:$F$1200,"Fiyat Farkı")+SUMIFS('Hakedis Fatura Detay'!$G$3:$G$1200,'Hakedis Fatura Detay'!$H$3:$H$1200,'DIVA Satislari'!AJ716,'Hakedis Fatura Detay'!$F$3:$F$1200,"Bundle"))</f>
        <v/>
      </c>
      <c r="R716" s="28">
        <f>IF(A716="","",I716-Q716)</f>
        <v/>
      </c>
      <c r="S716" s="26">
        <f>IF(A716="","",IF(LEFT(P716,7)="Bekleni","N/A - Henüz Ödenmemeli",IF(LEFT(P716,4)="RİSK","İNCELEME GEREKLİ - Süre Aşımı",IF(R716=0,"Doğru",IF(R716&gt;0,"EKSİK ÖDENMİŞ","FAZLA ÖDENMİŞ")))))</f>
        <v/>
      </c>
      <c r="T716" s="30">
        <f>IF(A716="","",IF(F716&lt;&gt;"Evet","İNCELEME GEREKLİ - Kampanya Tanımsız",IF(G716&lt;&gt;"Evet","İNCELEME GEREKLİ - Tarih Dışı Satış",IF(LEFT(P716,4)="RİSK","İNCELEME GEREKLİ - Hakediş Süresi Aşıldı",IF(OR(S716="EKSİK ÖDENMİŞ",S716="FAZLA ÖDENMİŞ"),"İNCELEME GEREKLİ - Tutar Uyuşmazlığı",IF(LEFT(P716,7)="Bekleni","Bekleniyor","Uygun"))))))</f>
        <v/>
      </c>
    </row>
    <row r="717">
      <c r="A717" s="26">
        <f>IF('DIVA Satislari'!I717="","",'DIVA Satislari'!I717)</f>
        <v/>
      </c>
      <c r="B717" s="26">
        <f>IF('DIVA Satislari'!I717="","",'DIVA Satislari'!R717)</f>
        <v/>
      </c>
      <c r="C717" s="26">
        <f>IF('DIVA Satislari'!I717="","",'DIVA Satislari'!M717)</f>
        <v/>
      </c>
      <c r="D717" s="27">
        <f>IF('DIVA Satislari'!I717="","",'DIVA Satislari'!H717)</f>
        <v/>
      </c>
      <c r="E717" s="26">
        <f>IF('DIVA Satislari'!I717="","",'DIVA Satislari'!O717)</f>
        <v/>
      </c>
      <c r="F717" s="26">
        <f>IF('DIVA Satislari'!I717="","",'DIVA Satislari'!AK717)</f>
        <v/>
      </c>
      <c r="G717" s="26">
        <f>IF('DIVA Satislari'!I717="","",'DIVA Satislari'!AO717)</f>
        <v/>
      </c>
      <c r="H717" s="27">
        <f>IF('DIVA Satislari'!I717="","",'DIVA Satislari'!AN717)</f>
        <v/>
      </c>
      <c r="I717" s="28">
        <f>IF('DIVA Satislari'!I717="","",'DIVA Satislari'!AQ717)</f>
        <v/>
      </c>
      <c r="J717" s="26">
        <f>IF('DIVA Satislari'!I717="","",'DIVA Satislari'!AR717)</f>
        <v/>
      </c>
      <c r="K717" s="26">
        <f>IF('DIVA Satislari'!I717="","",IFERROR(INDEX('E2E Nakliye Montaj'!$AS$3:$AS$1002,MATCH('DIVA Satislari'!AJ717,'E2E Nakliye Montaj'!$AM$3:$AM$1002,0)),"Eşleşme Yok"))</f>
        <v/>
      </c>
      <c r="L717" s="26">
        <f>IF('DIVA Satislari'!I717="","",IFERROR(INDEX('E2E Nakliye Montaj'!$AT$3:$AT$1002,MATCH('DIVA Satislari'!AJ717,'E2E Nakliye Montaj'!$AM$3:$AM$1002,0)),"Hayır"))</f>
        <v/>
      </c>
      <c r="M717" s="26">
        <f>IF('DIVA Satislari'!I717="","",IFERROR(INDEX('E2E Nakliye Montaj'!$AU$3:$AU$1002,MATCH('DIVA Satislari'!AJ717,'E2E Nakliye Montaj'!$AM$3:$AM$1002,0)),"Hayır"))</f>
        <v/>
      </c>
      <c r="N717" s="27">
        <f>IF('DIVA Satislari'!I717="","",IFERROR(INDEX('E2E Nakliye Montaj'!$AV$3:$AV$1002,MATCH('DIVA Satislari'!AJ717,'E2E Nakliye Montaj'!$AM$3:$AM$1002,0)),""))</f>
        <v/>
      </c>
      <c r="O717" s="26">
        <f>IF(OR(A717="",N717=""),"",IF(N717&lt;=H717,"Evet","HAYIR - RİSK"))</f>
        <v/>
      </c>
      <c r="P717" s="26">
        <f>IF(A717="","",IF(LEFT(J717,8)="Kural A ","Uygun - Hemen Ödenir (Yıl Sonu %75 Kontrolüne Tabi)",IF(OR(L717="Evet",M717="Evet"),IF(O717="Evet","Uygun","RİSK - Hakediş Süresi Aşıldı"),"Bekleniyor - Nakliye/Montaj Tamamlanmadı")))</f>
        <v/>
      </c>
      <c r="Q717" s="28">
        <f>IF(A717="","",SUMIFS('Hakedis Fatura Detay'!$G$3:$G$1200,'Hakedis Fatura Detay'!$H$3:$H$1200,'DIVA Satislari'!AJ717,'Hakedis Fatura Detay'!$F$3:$F$1200,"Fiyat Farkı")+SUMIFS('Hakedis Fatura Detay'!$G$3:$G$1200,'Hakedis Fatura Detay'!$H$3:$H$1200,'DIVA Satislari'!AJ717,'Hakedis Fatura Detay'!$F$3:$F$1200,"Bundle"))</f>
        <v/>
      </c>
      <c r="R717" s="28">
        <f>IF(A717="","",I717-Q717)</f>
        <v/>
      </c>
      <c r="S717" s="26">
        <f>IF(A717="","",IF(LEFT(P717,7)="Bekleni","N/A - Henüz Ödenmemeli",IF(LEFT(P717,4)="RİSK","İNCELEME GEREKLİ - Süre Aşımı",IF(R717=0,"Doğru",IF(R717&gt;0,"EKSİK ÖDENMİŞ","FAZLA ÖDENMİŞ")))))</f>
        <v/>
      </c>
      <c r="T717" s="30">
        <f>IF(A717="","",IF(F717&lt;&gt;"Evet","İNCELEME GEREKLİ - Kampanya Tanımsız",IF(G717&lt;&gt;"Evet","İNCELEME GEREKLİ - Tarih Dışı Satış",IF(LEFT(P717,4)="RİSK","İNCELEME GEREKLİ - Hakediş Süresi Aşıldı",IF(OR(S717="EKSİK ÖDENMİŞ",S717="FAZLA ÖDENMİŞ"),"İNCELEME GEREKLİ - Tutar Uyuşmazlığı",IF(LEFT(P717,7)="Bekleni","Bekleniyor","Uygun"))))))</f>
        <v/>
      </c>
    </row>
    <row r="718">
      <c r="A718" s="26">
        <f>IF('DIVA Satislari'!I718="","",'DIVA Satislari'!I718)</f>
        <v/>
      </c>
      <c r="B718" s="26">
        <f>IF('DIVA Satislari'!I718="","",'DIVA Satislari'!R718)</f>
        <v/>
      </c>
      <c r="C718" s="26">
        <f>IF('DIVA Satislari'!I718="","",'DIVA Satislari'!M718)</f>
        <v/>
      </c>
      <c r="D718" s="27">
        <f>IF('DIVA Satislari'!I718="","",'DIVA Satislari'!H718)</f>
        <v/>
      </c>
      <c r="E718" s="26">
        <f>IF('DIVA Satislari'!I718="","",'DIVA Satislari'!O718)</f>
        <v/>
      </c>
      <c r="F718" s="26">
        <f>IF('DIVA Satislari'!I718="","",'DIVA Satislari'!AK718)</f>
        <v/>
      </c>
      <c r="G718" s="26">
        <f>IF('DIVA Satislari'!I718="","",'DIVA Satislari'!AO718)</f>
        <v/>
      </c>
      <c r="H718" s="27">
        <f>IF('DIVA Satislari'!I718="","",'DIVA Satislari'!AN718)</f>
        <v/>
      </c>
      <c r="I718" s="28">
        <f>IF('DIVA Satislari'!I718="","",'DIVA Satislari'!AQ718)</f>
        <v/>
      </c>
      <c r="J718" s="26">
        <f>IF('DIVA Satislari'!I718="","",'DIVA Satislari'!AR718)</f>
        <v/>
      </c>
      <c r="K718" s="26">
        <f>IF('DIVA Satislari'!I718="","",IFERROR(INDEX('E2E Nakliye Montaj'!$AS$3:$AS$1002,MATCH('DIVA Satislari'!AJ718,'E2E Nakliye Montaj'!$AM$3:$AM$1002,0)),"Eşleşme Yok"))</f>
        <v/>
      </c>
      <c r="L718" s="26">
        <f>IF('DIVA Satislari'!I718="","",IFERROR(INDEX('E2E Nakliye Montaj'!$AT$3:$AT$1002,MATCH('DIVA Satislari'!AJ718,'E2E Nakliye Montaj'!$AM$3:$AM$1002,0)),"Hayır"))</f>
        <v/>
      </c>
      <c r="M718" s="26">
        <f>IF('DIVA Satislari'!I718="","",IFERROR(INDEX('E2E Nakliye Montaj'!$AU$3:$AU$1002,MATCH('DIVA Satislari'!AJ718,'E2E Nakliye Montaj'!$AM$3:$AM$1002,0)),"Hayır"))</f>
        <v/>
      </c>
      <c r="N718" s="27">
        <f>IF('DIVA Satislari'!I718="","",IFERROR(INDEX('E2E Nakliye Montaj'!$AV$3:$AV$1002,MATCH('DIVA Satislari'!AJ718,'E2E Nakliye Montaj'!$AM$3:$AM$1002,0)),""))</f>
        <v/>
      </c>
      <c r="O718" s="26">
        <f>IF(OR(A718="",N718=""),"",IF(N718&lt;=H718,"Evet","HAYIR - RİSK"))</f>
        <v/>
      </c>
      <c r="P718" s="26">
        <f>IF(A718="","",IF(LEFT(J718,8)="Kural A ","Uygun - Hemen Ödenir (Yıl Sonu %75 Kontrolüne Tabi)",IF(OR(L718="Evet",M718="Evet"),IF(O718="Evet","Uygun","RİSK - Hakediş Süresi Aşıldı"),"Bekleniyor - Nakliye/Montaj Tamamlanmadı")))</f>
        <v/>
      </c>
      <c r="Q718" s="28">
        <f>IF(A718="","",SUMIFS('Hakedis Fatura Detay'!$G$3:$G$1200,'Hakedis Fatura Detay'!$H$3:$H$1200,'DIVA Satislari'!AJ718,'Hakedis Fatura Detay'!$F$3:$F$1200,"Fiyat Farkı")+SUMIFS('Hakedis Fatura Detay'!$G$3:$G$1200,'Hakedis Fatura Detay'!$H$3:$H$1200,'DIVA Satislari'!AJ718,'Hakedis Fatura Detay'!$F$3:$F$1200,"Bundle"))</f>
        <v/>
      </c>
      <c r="R718" s="28">
        <f>IF(A718="","",I718-Q718)</f>
        <v/>
      </c>
      <c r="S718" s="26">
        <f>IF(A718="","",IF(LEFT(P718,7)="Bekleni","N/A - Henüz Ödenmemeli",IF(LEFT(P718,4)="RİSK","İNCELEME GEREKLİ - Süre Aşımı",IF(R718=0,"Doğru",IF(R718&gt;0,"EKSİK ÖDENMİŞ","FAZLA ÖDENMİŞ")))))</f>
        <v/>
      </c>
      <c r="T718" s="30">
        <f>IF(A718="","",IF(F718&lt;&gt;"Evet","İNCELEME GEREKLİ - Kampanya Tanımsız",IF(G718&lt;&gt;"Evet","İNCELEME GEREKLİ - Tarih Dışı Satış",IF(LEFT(P718,4)="RİSK","İNCELEME GEREKLİ - Hakediş Süresi Aşıldı",IF(OR(S718="EKSİK ÖDENMİŞ",S718="FAZLA ÖDENMİŞ"),"İNCELEME GEREKLİ - Tutar Uyuşmazlığı",IF(LEFT(P718,7)="Bekleni","Bekleniyor","Uygun"))))))</f>
        <v/>
      </c>
    </row>
    <row r="719">
      <c r="A719" s="26">
        <f>IF('DIVA Satislari'!I719="","",'DIVA Satislari'!I719)</f>
        <v/>
      </c>
      <c r="B719" s="26">
        <f>IF('DIVA Satislari'!I719="","",'DIVA Satislari'!R719)</f>
        <v/>
      </c>
      <c r="C719" s="26">
        <f>IF('DIVA Satislari'!I719="","",'DIVA Satislari'!M719)</f>
        <v/>
      </c>
      <c r="D719" s="27">
        <f>IF('DIVA Satislari'!I719="","",'DIVA Satislari'!H719)</f>
        <v/>
      </c>
      <c r="E719" s="26">
        <f>IF('DIVA Satislari'!I719="","",'DIVA Satislari'!O719)</f>
        <v/>
      </c>
      <c r="F719" s="26">
        <f>IF('DIVA Satislari'!I719="","",'DIVA Satislari'!AK719)</f>
        <v/>
      </c>
      <c r="G719" s="26">
        <f>IF('DIVA Satislari'!I719="","",'DIVA Satislari'!AO719)</f>
        <v/>
      </c>
      <c r="H719" s="27">
        <f>IF('DIVA Satislari'!I719="","",'DIVA Satislari'!AN719)</f>
        <v/>
      </c>
      <c r="I719" s="28">
        <f>IF('DIVA Satislari'!I719="","",'DIVA Satislari'!AQ719)</f>
        <v/>
      </c>
      <c r="J719" s="26">
        <f>IF('DIVA Satislari'!I719="","",'DIVA Satislari'!AR719)</f>
        <v/>
      </c>
      <c r="K719" s="26">
        <f>IF('DIVA Satislari'!I719="","",IFERROR(INDEX('E2E Nakliye Montaj'!$AS$3:$AS$1002,MATCH('DIVA Satislari'!AJ719,'E2E Nakliye Montaj'!$AM$3:$AM$1002,0)),"Eşleşme Yok"))</f>
        <v/>
      </c>
      <c r="L719" s="26">
        <f>IF('DIVA Satislari'!I719="","",IFERROR(INDEX('E2E Nakliye Montaj'!$AT$3:$AT$1002,MATCH('DIVA Satislari'!AJ719,'E2E Nakliye Montaj'!$AM$3:$AM$1002,0)),"Hayır"))</f>
        <v/>
      </c>
      <c r="M719" s="26">
        <f>IF('DIVA Satislari'!I719="","",IFERROR(INDEX('E2E Nakliye Montaj'!$AU$3:$AU$1002,MATCH('DIVA Satislari'!AJ719,'E2E Nakliye Montaj'!$AM$3:$AM$1002,0)),"Hayır"))</f>
        <v/>
      </c>
      <c r="N719" s="27">
        <f>IF('DIVA Satislari'!I719="","",IFERROR(INDEX('E2E Nakliye Montaj'!$AV$3:$AV$1002,MATCH('DIVA Satislari'!AJ719,'E2E Nakliye Montaj'!$AM$3:$AM$1002,0)),""))</f>
        <v/>
      </c>
      <c r="O719" s="26">
        <f>IF(OR(A719="",N719=""),"",IF(N719&lt;=H719,"Evet","HAYIR - RİSK"))</f>
        <v/>
      </c>
      <c r="P719" s="26">
        <f>IF(A719="","",IF(LEFT(J719,8)="Kural A ","Uygun - Hemen Ödenir (Yıl Sonu %75 Kontrolüne Tabi)",IF(OR(L719="Evet",M719="Evet"),IF(O719="Evet","Uygun","RİSK - Hakediş Süresi Aşıldı"),"Bekleniyor - Nakliye/Montaj Tamamlanmadı")))</f>
        <v/>
      </c>
      <c r="Q719" s="28">
        <f>IF(A719="","",SUMIFS('Hakedis Fatura Detay'!$G$3:$G$1200,'Hakedis Fatura Detay'!$H$3:$H$1200,'DIVA Satislari'!AJ719,'Hakedis Fatura Detay'!$F$3:$F$1200,"Fiyat Farkı")+SUMIFS('Hakedis Fatura Detay'!$G$3:$G$1200,'Hakedis Fatura Detay'!$H$3:$H$1200,'DIVA Satislari'!AJ719,'Hakedis Fatura Detay'!$F$3:$F$1200,"Bundle"))</f>
        <v/>
      </c>
      <c r="R719" s="28">
        <f>IF(A719="","",I719-Q719)</f>
        <v/>
      </c>
      <c r="S719" s="26">
        <f>IF(A719="","",IF(LEFT(P719,7)="Bekleni","N/A - Henüz Ödenmemeli",IF(LEFT(P719,4)="RİSK","İNCELEME GEREKLİ - Süre Aşımı",IF(R719=0,"Doğru",IF(R719&gt;0,"EKSİK ÖDENMİŞ","FAZLA ÖDENMİŞ")))))</f>
        <v/>
      </c>
      <c r="T719" s="30">
        <f>IF(A719="","",IF(F719&lt;&gt;"Evet","İNCELEME GEREKLİ - Kampanya Tanımsız",IF(G719&lt;&gt;"Evet","İNCELEME GEREKLİ - Tarih Dışı Satış",IF(LEFT(P719,4)="RİSK","İNCELEME GEREKLİ - Hakediş Süresi Aşıldı",IF(OR(S719="EKSİK ÖDENMİŞ",S719="FAZLA ÖDENMİŞ"),"İNCELEME GEREKLİ - Tutar Uyuşmazlığı",IF(LEFT(P719,7)="Bekleni","Bekleniyor","Uygun"))))))</f>
        <v/>
      </c>
    </row>
    <row r="720">
      <c r="A720" s="26">
        <f>IF('DIVA Satislari'!I720="","",'DIVA Satislari'!I720)</f>
        <v/>
      </c>
      <c r="B720" s="26">
        <f>IF('DIVA Satislari'!I720="","",'DIVA Satislari'!R720)</f>
        <v/>
      </c>
      <c r="C720" s="26">
        <f>IF('DIVA Satislari'!I720="","",'DIVA Satislari'!M720)</f>
        <v/>
      </c>
      <c r="D720" s="27">
        <f>IF('DIVA Satislari'!I720="","",'DIVA Satislari'!H720)</f>
        <v/>
      </c>
      <c r="E720" s="26">
        <f>IF('DIVA Satislari'!I720="","",'DIVA Satislari'!O720)</f>
        <v/>
      </c>
      <c r="F720" s="26">
        <f>IF('DIVA Satislari'!I720="","",'DIVA Satislari'!AK720)</f>
        <v/>
      </c>
      <c r="G720" s="26">
        <f>IF('DIVA Satislari'!I720="","",'DIVA Satislari'!AO720)</f>
        <v/>
      </c>
      <c r="H720" s="27">
        <f>IF('DIVA Satislari'!I720="","",'DIVA Satislari'!AN720)</f>
        <v/>
      </c>
      <c r="I720" s="28">
        <f>IF('DIVA Satislari'!I720="","",'DIVA Satislari'!AQ720)</f>
        <v/>
      </c>
      <c r="J720" s="26">
        <f>IF('DIVA Satislari'!I720="","",'DIVA Satislari'!AR720)</f>
        <v/>
      </c>
      <c r="K720" s="26">
        <f>IF('DIVA Satislari'!I720="","",IFERROR(INDEX('E2E Nakliye Montaj'!$AS$3:$AS$1002,MATCH('DIVA Satislari'!AJ720,'E2E Nakliye Montaj'!$AM$3:$AM$1002,0)),"Eşleşme Yok"))</f>
        <v/>
      </c>
      <c r="L720" s="26">
        <f>IF('DIVA Satislari'!I720="","",IFERROR(INDEX('E2E Nakliye Montaj'!$AT$3:$AT$1002,MATCH('DIVA Satislari'!AJ720,'E2E Nakliye Montaj'!$AM$3:$AM$1002,0)),"Hayır"))</f>
        <v/>
      </c>
      <c r="M720" s="26">
        <f>IF('DIVA Satislari'!I720="","",IFERROR(INDEX('E2E Nakliye Montaj'!$AU$3:$AU$1002,MATCH('DIVA Satislari'!AJ720,'E2E Nakliye Montaj'!$AM$3:$AM$1002,0)),"Hayır"))</f>
        <v/>
      </c>
      <c r="N720" s="27">
        <f>IF('DIVA Satislari'!I720="","",IFERROR(INDEX('E2E Nakliye Montaj'!$AV$3:$AV$1002,MATCH('DIVA Satislari'!AJ720,'E2E Nakliye Montaj'!$AM$3:$AM$1002,0)),""))</f>
        <v/>
      </c>
      <c r="O720" s="26">
        <f>IF(OR(A720="",N720=""),"",IF(N720&lt;=H720,"Evet","HAYIR - RİSK"))</f>
        <v/>
      </c>
      <c r="P720" s="26">
        <f>IF(A720="","",IF(LEFT(J720,8)="Kural A ","Uygun - Hemen Ödenir (Yıl Sonu %75 Kontrolüne Tabi)",IF(OR(L720="Evet",M720="Evet"),IF(O720="Evet","Uygun","RİSK - Hakediş Süresi Aşıldı"),"Bekleniyor - Nakliye/Montaj Tamamlanmadı")))</f>
        <v/>
      </c>
      <c r="Q720" s="28">
        <f>IF(A720="","",SUMIFS('Hakedis Fatura Detay'!$G$3:$G$1200,'Hakedis Fatura Detay'!$H$3:$H$1200,'DIVA Satislari'!AJ720,'Hakedis Fatura Detay'!$F$3:$F$1200,"Fiyat Farkı")+SUMIFS('Hakedis Fatura Detay'!$G$3:$G$1200,'Hakedis Fatura Detay'!$H$3:$H$1200,'DIVA Satislari'!AJ720,'Hakedis Fatura Detay'!$F$3:$F$1200,"Bundle"))</f>
        <v/>
      </c>
      <c r="R720" s="28">
        <f>IF(A720="","",I720-Q720)</f>
        <v/>
      </c>
      <c r="S720" s="26">
        <f>IF(A720="","",IF(LEFT(P720,7)="Bekleni","N/A - Henüz Ödenmemeli",IF(LEFT(P720,4)="RİSK","İNCELEME GEREKLİ - Süre Aşımı",IF(R720=0,"Doğru",IF(R720&gt;0,"EKSİK ÖDENMİŞ","FAZLA ÖDENMİŞ")))))</f>
        <v/>
      </c>
      <c r="T720" s="30">
        <f>IF(A720="","",IF(F720&lt;&gt;"Evet","İNCELEME GEREKLİ - Kampanya Tanımsız",IF(G720&lt;&gt;"Evet","İNCELEME GEREKLİ - Tarih Dışı Satış",IF(LEFT(P720,4)="RİSK","İNCELEME GEREKLİ - Hakediş Süresi Aşıldı",IF(OR(S720="EKSİK ÖDENMİŞ",S720="FAZLA ÖDENMİŞ"),"İNCELEME GEREKLİ - Tutar Uyuşmazlığı",IF(LEFT(P720,7)="Bekleni","Bekleniyor","Uygun"))))))</f>
        <v/>
      </c>
    </row>
    <row r="721">
      <c r="A721" s="26">
        <f>IF('DIVA Satislari'!I721="","",'DIVA Satislari'!I721)</f>
        <v/>
      </c>
      <c r="B721" s="26">
        <f>IF('DIVA Satislari'!I721="","",'DIVA Satislari'!R721)</f>
        <v/>
      </c>
      <c r="C721" s="26">
        <f>IF('DIVA Satislari'!I721="","",'DIVA Satislari'!M721)</f>
        <v/>
      </c>
      <c r="D721" s="27">
        <f>IF('DIVA Satislari'!I721="","",'DIVA Satislari'!H721)</f>
        <v/>
      </c>
      <c r="E721" s="26">
        <f>IF('DIVA Satislari'!I721="","",'DIVA Satislari'!O721)</f>
        <v/>
      </c>
      <c r="F721" s="26">
        <f>IF('DIVA Satislari'!I721="","",'DIVA Satislari'!AK721)</f>
        <v/>
      </c>
      <c r="G721" s="26">
        <f>IF('DIVA Satislari'!I721="","",'DIVA Satislari'!AO721)</f>
        <v/>
      </c>
      <c r="H721" s="27">
        <f>IF('DIVA Satislari'!I721="","",'DIVA Satislari'!AN721)</f>
        <v/>
      </c>
      <c r="I721" s="28">
        <f>IF('DIVA Satislari'!I721="","",'DIVA Satislari'!AQ721)</f>
        <v/>
      </c>
      <c r="J721" s="26">
        <f>IF('DIVA Satislari'!I721="","",'DIVA Satislari'!AR721)</f>
        <v/>
      </c>
      <c r="K721" s="26">
        <f>IF('DIVA Satislari'!I721="","",IFERROR(INDEX('E2E Nakliye Montaj'!$AS$3:$AS$1002,MATCH('DIVA Satislari'!AJ721,'E2E Nakliye Montaj'!$AM$3:$AM$1002,0)),"Eşleşme Yok"))</f>
        <v/>
      </c>
      <c r="L721" s="26">
        <f>IF('DIVA Satislari'!I721="","",IFERROR(INDEX('E2E Nakliye Montaj'!$AT$3:$AT$1002,MATCH('DIVA Satislari'!AJ721,'E2E Nakliye Montaj'!$AM$3:$AM$1002,0)),"Hayır"))</f>
        <v/>
      </c>
      <c r="M721" s="26">
        <f>IF('DIVA Satislari'!I721="","",IFERROR(INDEX('E2E Nakliye Montaj'!$AU$3:$AU$1002,MATCH('DIVA Satislari'!AJ721,'E2E Nakliye Montaj'!$AM$3:$AM$1002,0)),"Hayır"))</f>
        <v/>
      </c>
      <c r="N721" s="27">
        <f>IF('DIVA Satislari'!I721="","",IFERROR(INDEX('E2E Nakliye Montaj'!$AV$3:$AV$1002,MATCH('DIVA Satislari'!AJ721,'E2E Nakliye Montaj'!$AM$3:$AM$1002,0)),""))</f>
        <v/>
      </c>
      <c r="O721" s="26">
        <f>IF(OR(A721="",N721=""),"",IF(N721&lt;=H721,"Evet","HAYIR - RİSK"))</f>
        <v/>
      </c>
      <c r="P721" s="26">
        <f>IF(A721="","",IF(LEFT(J721,8)="Kural A ","Uygun - Hemen Ödenir (Yıl Sonu %75 Kontrolüne Tabi)",IF(OR(L721="Evet",M721="Evet"),IF(O721="Evet","Uygun","RİSK - Hakediş Süresi Aşıldı"),"Bekleniyor - Nakliye/Montaj Tamamlanmadı")))</f>
        <v/>
      </c>
      <c r="Q721" s="28">
        <f>IF(A721="","",SUMIFS('Hakedis Fatura Detay'!$G$3:$G$1200,'Hakedis Fatura Detay'!$H$3:$H$1200,'DIVA Satislari'!AJ721,'Hakedis Fatura Detay'!$F$3:$F$1200,"Fiyat Farkı")+SUMIFS('Hakedis Fatura Detay'!$G$3:$G$1200,'Hakedis Fatura Detay'!$H$3:$H$1200,'DIVA Satislari'!AJ721,'Hakedis Fatura Detay'!$F$3:$F$1200,"Bundle"))</f>
        <v/>
      </c>
      <c r="R721" s="28">
        <f>IF(A721="","",I721-Q721)</f>
        <v/>
      </c>
      <c r="S721" s="26">
        <f>IF(A721="","",IF(LEFT(P721,7)="Bekleni","N/A - Henüz Ödenmemeli",IF(LEFT(P721,4)="RİSK","İNCELEME GEREKLİ - Süre Aşımı",IF(R721=0,"Doğru",IF(R721&gt;0,"EKSİK ÖDENMİŞ","FAZLA ÖDENMİŞ")))))</f>
        <v/>
      </c>
      <c r="T721" s="30">
        <f>IF(A721="","",IF(F721&lt;&gt;"Evet","İNCELEME GEREKLİ - Kampanya Tanımsız",IF(G721&lt;&gt;"Evet","İNCELEME GEREKLİ - Tarih Dışı Satış",IF(LEFT(P721,4)="RİSK","İNCELEME GEREKLİ - Hakediş Süresi Aşıldı",IF(OR(S721="EKSİK ÖDENMİŞ",S721="FAZLA ÖDENMİŞ"),"İNCELEME GEREKLİ - Tutar Uyuşmazlığı",IF(LEFT(P721,7)="Bekleni","Bekleniyor","Uygun"))))))</f>
        <v/>
      </c>
    </row>
    <row r="722">
      <c r="A722" s="26">
        <f>IF('DIVA Satislari'!I722="","",'DIVA Satislari'!I722)</f>
        <v/>
      </c>
      <c r="B722" s="26">
        <f>IF('DIVA Satislari'!I722="","",'DIVA Satislari'!R722)</f>
        <v/>
      </c>
      <c r="C722" s="26">
        <f>IF('DIVA Satislari'!I722="","",'DIVA Satislari'!M722)</f>
        <v/>
      </c>
      <c r="D722" s="27">
        <f>IF('DIVA Satislari'!I722="","",'DIVA Satislari'!H722)</f>
        <v/>
      </c>
      <c r="E722" s="26">
        <f>IF('DIVA Satislari'!I722="","",'DIVA Satislari'!O722)</f>
        <v/>
      </c>
      <c r="F722" s="26">
        <f>IF('DIVA Satislari'!I722="","",'DIVA Satislari'!AK722)</f>
        <v/>
      </c>
      <c r="G722" s="26">
        <f>IF('DIVA Satislari'!I722="","",'DIVA Satislari'!AO722)</f>
        <v/>
      </c>
      <c r="H722" s="27">
        <f>IF('DIVA Satislari'!I722="","",'DIVA Satislari'!AN722)</f>
        <v/>
      </c>
      <c r="I722" s="28">
        <f>IF('DIVA Satislari'!I722="","",'DIVA Satislari'!AQ722)</f>
        <v/>
      </c>
      <c r="J722" s="26">
        <f>IF('DIVA Satislari'!I722="","",'DIVA Satislari'!AR722)</f>
        <v/>
      </c>
      <c r="K722" s="26">
        <f>IF('DIVA Satislari'!I722="","",IFERROR(INDEX('E2E Nakliye Montaj'!$AS$3:$AS$1002,MATCH('DIVA Satislari'!AJ722,'E2E Nakliye Montaj'!$AM$3:$AM$1002,0)),"Eşleşme Yok"))</f>
        <v/>
      </c>
      <c r="L722" s="26">
        <f>IF('DIVA Satislari'!I722="","",IFERROR(INDEX('E2E Nakliye Montaj'!$AT$3:$AT$1002,MATCH('DIVA Satislari'!AJ722,'E2E Nakliye Montaj'!$AM$3:$AM$1002,0)),"Hayır"))</f>
        <v/>
      </c>
      <c r="M722" s="26">
        <f>IF('DIVA Satislari'!I722="","",IFERROR(INDEX('E2E Nakliye Montaj'!$AU$3:$AU$1002,MATCH('DIVA Satislari'!AJ722,'E2E Nakliye Montaj'!$AM$3:$AM$1002,0)),"Hayır"))</f>
        <v/>
      </c>
      <c r="N722" s="27">
        <f>IF('DIVA Satislari'!I722="","",IFERROR(INDEX('E2E Nakliye Montaj'!$AV$3:$AV$1002,MATCH('DIVA Satislari'!AJ722,'E2E Nakliye Montaj'!$AM$3:$AM$1002,0)),""))</f>
        <v/>
      </c>
      <c r="O722" s="26">
        <f>IF(OR(A722="",N722=""),"",IF(N722&lt;=H722,"Evet","HAYIR - RİSK"))</f>
        <v/>
      </c>
      <c r="P722" s="26">
        <f>IF(A722="","",IF(LEFT(J722,8)="Kural A ","Uygun - Hemen Ödenir (Yıl Sonu %75 Kontrolüne Tabi)",IF(OR(L722="Evet",M722="Evet"),IF(O722="Evet","Uygun","RİSK - Hakediş Süresi Aşıldı"),"Bekleniyor - Nakliye/Montaj Tamamlanmadı")))</f>
        <v/>
      </c>
      <c r="Q722" s="28">
        <f>IF(A722="","",SUMIFS('Hakedis Fatura Detay'!$G$3:$G$1200,'Hakedis Fatura Detay'!$H$3:$H$1200,'DIVA Satislari'!AJ722,'Hakedis Fatura Detay'!$F$3:$F$1200,"Fiyat Farkı")+SUMIFS('Hakedis Fatura Detay'!$G$3:$G$1200,'Hakedis Fatura Detay'!$H$3:$H$1200,'DIVA Satislari'!AJ722,'Hakedis Fatura Detay'!$F$3:$F$1200,"Bundle"))</f>
        <v/>
      </c>
      <c r="R722" s="28">
        <f>IF(A722="","",I722-Q722)</f>
        <v/>
      </c>
      <c r="S722" s="26">
        <f>IF(A722="","",IF(LEFT(P722,7)="Bekleni","N/A - Henüz Ödenmemeli",IF(LEFT(P722,4)="RİSK","İNCELEME GEREKLİ - Süre Aşımı",IF(R722=0,"Doğru",IF(R722&gt;0,"EKSİK ÖDENMİŞ","FAZLA ÖDENMİŞ")))))</f>
        <v/>
      </c>
      <c r="T722" s="30">
        <f>IF(A722="","",IF(F722&lt;&gt;"Evet","İNCELEME GEREKLİ - Kampanya Tanımsız",IF(G722&lt;&gt;"Evet","İNCELEME GEREKLİ - Tarih Dışı Satış",IF(LEFT(P722,4)="RİSK","İNCELEME GEREKLİ - Hakediş Süresi Aşıldı",IF(OR(S722="EKSİK ÖDENMİŞ",S722="FAZLA ÖDENMİŞ"),"İNCELEME GEREKLİ - Tutar Uyuşmazlığı",IF(LEFT(P722,7)="Bekleni","Bekleniyor","Uygun"))))))</f>
        <v/>
      </c>
    </row>
    <row r="723">
      <c r="A723" s="26">
        <f>IF('DIVA Satislari'!I723="","",'DIVA Satislari'!I723)</f>
        <v/>
      </c>
      <c r="B723" s="26">
        <f>IF('DIVA Satislari'!I723="","",'DIVA Satislari'!R723)</f>
        <v/>
      </c>
      <c r="C723" s="26">
        <f>IF('DIVA Satislari'!I723="","",'DIVA Satislari'!M723)</f>
        <v/>
      </c>
      <c r="D723" s="27">
        <f>IF('DIVA Satislari'!I723="","",'DIVA Satislari'!H723)</f>
        <v/>
      </c>
      <c r="E723" s="26">
        <f>IF('DIVA Satislari'!I723="","",'DIVA Satislari'!O723)</f>
        <v/>
      </c>
      <c r="F723" s="26">
        <f>IF('DIVA Satislari'!I723="","",'DIVA Satislari'!AK723)</f>
        <v/>
      </c>
      <c r="G723" s="26">
        <f>IF('DIVA Satislari'!I723="","",'DIVA Satislari'!AO723)</f>
        <v/>
      </c>
      <c r="H723" s="27">
        <f>IF('DIVA Satislari'!I723="","",'DIVA Satislari'!AN723)</f>
        <v/>
      </c>
      <c r="I723" s="28">
        <f>IF('DIVA Satislari'!I723="","",'DIVA Satislari'!AQ723)</f>
        <v/>
      </c>
      <c r="J723" s="26">
        <f>IF('DIVA Satislari'!I723="","",'DIVA Satislari'!AR723)</f>
        <v/>
      </c>
      <c r="K723" s="26">
        <f>IF('DIVA Satislari'!I723="","",IFERROR(INDEX('E2E Nakliye Montaj'!$AS$3:$AS$1002,MATCH('DIVA Satislari'!AJ723,'E2E Nakliye Montaj'!$AM$3:$AM$1002,0)),"Eşleşme Yok"))</f>
        <v/>
      </c>
      <c r="L723" s="26">
        <f>IF('DIVA Satislari'!I723="","",IFERROR(INDEX('E2E Nakliye Montaj'!$AT$3:$AT$1002,MATCH('DIVA Satislari'!AJ723,'E2E Nakliye Montaj'!$AM$3:$AM$1002,0)),"Hayır"))</f>
        <v/>
      </c>
      <c r="M723" s="26">
        <f>IF('DIVA Satislari'!I723="","",IFERROR(INDEX('E2E Nakliye Montaj'!$AU$3:$AU$1002,MATCH('DIVA Satislari'!AJ723,'E2E Nakliye Montaj'!$AM$3:$AM$1002,0)),"Hayır"))</f>
        <v/>
      </c>
      <c r="N723" s="27">
        <f>IF('DIVA Satislari'!I723="","",IFERROR(INDEX('E2E Nakliye Montaj'!$AV$3:$AV$1002,MATCH('DIVA Satislari'!AJ723,'E2E Nakliye Montaj'!$AM$3:$AM$1002,0)),""))</f>
        <v/>
      </c>
      <c r="O723" s="26">
        <f>IF(OR(A723="",N723=""),"",IF(N723&lt;=H723,"Evet","HAYIR - RİSK"))</f>
        <v/>
      </c>
      <c r="P723" s="26">
        <f>IF(A723="","",IF(LEFT(J723,8)="Kural A ","Uygun - Hemen Ödenir (Yıl Sonu %75 Kontrolüne Tabi)",IF(OR(L723="Evet",M723="Evet"),IF(O723="Evet","Uygun","RİSK - Hakediş Süresi Aşıldı"),"Bekleniyor - Nakliye/Montaj Tamamlanmadı")))</f>
        <v/>
      </c>
      <c r="Q723" s="28">
        <f>IF(A723="","",SUMIFS('Hakedis Fatura Detay'!$G$3:$G$1200,'Hakedis Fatura Detay'!$H$3:$H$1200,'DIVA Satislari'!AJ723,'Hakedis Fatura Detay'!$F$3:$F$1200,"Fiyat Farkı")+SUMIFS('Hakedis Fatura Detay'!$G$3:$G$1200,'Hakedis Fatura Detay'!$H$3:$H$1200,'DIVA Satislari'!AJ723,'Hakedis Fatura Detay'!$F$3:$F$1200,"Bundle"))</f>
        <v/>
      </c>
      <c r="R723" s="28">
        <f>IF(A723="","",I723-Q723)</f>
        <v/>
      </c>
      <c r="S723" s="26">
        <f>IF(A723="","",IF(LEFT(P723,7)="Bekleni","N/A - Henüz Ödenmemeli",IF(LEFT(P723,4)="RİSK","İNCELEME GEREKLİ - Süre Aşımı",IF(R723=0,"Doğru",IF(R723&gt;0,"EKSİK ÖDENMİŞ","FAZLA ÖDENMİŞ")))))</f>
        <v/>
      </c>
      <c r="T723" s="30">
        <f>IF(A723="","",IF(F723&lt;&gt;"Evet","İNCELEME GEREKLİ - Kampanya Tanımsız",IF(G723&lt;&gt;"Evet","İNCELEME GEREKLİ - Tarih Dışı Satış",IF(LEFT(P723,4)="RİSK","İNCELEME GEREKLİ - Hakediş Süresi Aşıldı",IF(OR(S723="EKSİK ÖDENMİŞ",S723="FAZLA ÖDENMİŞ"),"İNCELEME GEREKLİ - Tutar Uyuşmazlığı",IF(LEFT(P723,7)="Bekleni","Bekleniyor","Uygun"))))))</f>
        <v/>
      </c>
    </row>
    <row r="724">
      <c r="A724" s="26">
        <f>IF('DIVA Satislari'!I724="","",'DIVA Satislari'!I724)</f>
        <v/>
      </c>
      <c r="B724" s="26">
        <f>IF('DIVA Satislari'!I724="","",'DIVA Satislari'!R724)</f>
        <v/>
      </c>
      <c r="C724" s="26">
        <f>IF('DIVA Satislari'!I724="","",'DIVA Satislari'!M724)</f>
        <v/>
      </c>
      <c r="D724" s="27">
        <f>IF('DIVA Satislari'!I724="","",'DIVA Satislari'!H724)</f>
        <v/>
      </c>
      <c r="E724" s="26">
        <f>IF('DIVA Satislari'!I724="","",'DIVA Satislari'!O724)</f>
        <v/>
      </c>
      <c r="F724" s="26">
        <f>IF('DIVA Satislari'!I724="","",'DIVA Satislari'!AK724)</f>
        <v/>
      </c>
      <c r="G724" s="26">
        <f>IF('DIVA Satislari'!I724="","",'DIVA Satislari'!AO724)</f>
        <v/>
      </c>
      <c r="H724" s="27">
        <f>IF('DIVA Satislari'!I724="","",'DIVA Satislari'!AN724)</f>
        <v/>
      </c>
      <c r="I724" s="28">
        <f>IF('DIVA Satislari'!I724="","",'DIVA Satislari'!AQ724)</f>
        <v/>
      </c>
      <c r="J724" s="26">
        <f>IF('DIVA Satislari'!I724="","",'DIVA Satislari'!AR724)</f>
        <v/>
      </c>
      <c r="K724" s="26">
        <f>IF('DIVA Satislari'!I724="","",IFERROR(INDEX('E2E Nakliye Montaj'!$AS$3:$AS$1002,MATCH('DIVA Satislari'!AJ724,'E2E Nakliye Montaj'!$AM$3:$AM$1002,0)),"Eşleşme Yok"))</f>
        <v/>
      </c>
      <c r="L724" s="26">
        <f>IF('DIVA Satislari'!I724="","",IFERROR(INDEX('E2E Nakliye Montaj'!$AT$3:$AT$1002,MATCH('DIVA Satislari'!AJ724,'E2E Nakliye Montaj'!$AM$3:$AM$1002,0)),"Hayır"))</f>
        <v/>
      </c>
      <c r="M724" s="26">
        <f>IF('DIVA Satislari'!I724="","",IFERROR(INDEX('E2E Nakliye Montaj'!$AU$3:$AU$1002,MATCH('DIVA Satislari'!AJ724,'E2E Nakliye Montaj'!$AM$3:$AM$1002,0)),"Hayır"))</f>
        <v/>
      </c>
      <c r="N724" s="27">
        <f>IF('DIVA Satislari'!I724="","",IFERROR(INDEX('E2E Nakliye Montaj'!$AV$3:$AV$1002,MATCH('DIVA Satislari'!AJ724,'E2E Nakliye Montaj'!$AM$3:$AM$1002,0)),""))</f>
        <v/>
      </c>
      <c r="O724" s="26">
        <f>IF(OR(A724="",N724=""),"",IF(N724&lt;=H724,"Evet","HAYIR - RİSK"))</f>
        <v/>
      </c>
      <c r="P724" s="26">
        <f>IF(A724="","",IF(LEFT(J724,8)="Kural A ","Uygun - Hemen Ödenir (Yıl Sonu %75 Kontrolüne Tabi)",IF(OR(L724="Evet",M724="Evet"),IF(O724="Evet","Uygun","RİSK - Hakediş Süresi Aşıldı"),"Bekleniyor - Nakliye/Montaj Tamamlanmadı")))</f>
        <v/>
      </c>
      <c r="Q724" s="28">
        <f>IF(A724="","",SUMIFS('Hakedis Fatura Detay'!$G$3:$G$1200,'Hakedis Fatura Detay'!$H$3:$H$1200,'DIVA Satislari'!AJ724,'Hakedis Fatura Detay'!$F$3:$F$1200,"Fiyat Farkı")+SUMIFS('Hakedis Fatura Detay'!$G$3:$G$1200,'Hakedis Fatura Detay'!$H$3:$H$1200,'DIVA Satislari'!AJ724,'Hakedis Fatura Detay'!$F$3:$F$1200,"Bundle"))</f>
        <v/>
      </c>
      <c r="R724" s="28">
        <f>IF(A724="","",I724-Q724)</f>
        <v/>
      </c>
      <c r="S724" s="26">
        <f>IF(A724="","",IF(LEFT(P724,7)="Bekleni","N/A - Henüz Ödenmemeli",IF(LEFT(P724,4)="RİSK","İNCELEME GEREKLİ - Süre Aşımı",IF(R724=0,"Doğru",IF(R724&gt;0,"EKSİK ÖDENMİŞ","FAZLA ÖDENMİŞ")))))</f>
        <v/>
      </c>
      <c r="T724" s="30">
        <f>IF(A724="","",IF(F724&lt;&gt;"Evet","İNCELEME GEREKLİ - Kampanya Tanımsız",IF(G724&lt;&gt;"Evet","İNCELEME GEREKLİ - Tarih Dışı Satış",IF(LEFT(P724,4)="RİSK","İNCELEME GEREKLİ - Hakediş Süresi Aşıldı",IF(OR(S724="EKSİK ÖDENMİŞ",S724="FAZLA ÖDENMİŞ"),"İNCELEME GEREKLİ - Tutar Uyuşmazlığı",IF(LEFT(P724,7)="Bekleni","Bekleniyor","Uygun"))))))</f>
        <v/>
      </c>
    </row>
    <row r="725">
      <c r="A725" s="26">
        <f>IF('DIVA Satislari'!I725="","",'DIVA Satislari'!I725)</f>
        <v/>
      </c>
      <c r="B725" s="26">
        <f>IF('DIVA Satislari'!I725="","",'DIVA Satislari'!R725)</f>
        <v/>
      </c>
      <c r="C725" s="26">
        <f>IF('DIVA Satislari'!I725="","",'DIVA Satislari'!M725)</f>
        <v/>
      </c>
      <c r="D725" s="27">
        <f>IF('DIVA Satislari'!I725="","",'DIVA Satislari'!H725)</f>
        <v/>
      </c>
      <c r="E725" s="26">
        <f>IF('DIVA Satislari'!I725="","",'DIVA Satislari'!O725)</f>
        <v/>
      </c>
      <c r="F725" s="26">
        <f>IF('DIVA Satislari'!I725="","",'DIVA Satislari'!AK725)</f>
        <v/>
      </c>
      <c r="G725" s="26">
        <f>IF('DIVA Satislari'!I725="","",'DIVA Satislari'!AO725)</f>
        <v/>
      </c>
      <c r="H725" s="27">
        <f>IF('DIVA Satislari'!I725="","",'DIVA Satislari'!AN725)</f>
        <v/>
      </c>
      <c r="I725" s="28">
        <f>IF('DIVA Satislari'!I725="","",'DIVA Satislari'!AQ725)</f>
        <v/>
      </c>
      <c r="J725" s="26">
        <f>IF('DIVA Satislari'!I725="","",'DIVA Satislari'!AR725)</f>
        <v/>
      </c>
      <c r="K725" s="26">
        <f>IF('DIVA Satislari'!I725="","",IFERROR(INDEX('E2E Nakliye Montaj'!$AS$3:$AS$1002,MATCH('DIVA Satislari'!AJ725,'E2E Nakliye Montaj'!$AM$3:$AM$1002,0)),"Eşleşme Yok"))</f>
        <v/>
      </c>
      <c r="L725" s="26">
        <f>IF('DIVA Satislari'!I725="","",IFERROR(INDEX('E2E Nakliye Montaj'!$AT$3:$AT$1002,MATCH('DIVA Satislari'!AJ725,'E2E Nakliye Montaj'!$AM$3:$AM$1002,0)),"Hayır"))</f>
        <v/>
      </c>
      <c r="M725" s="26">
        <f>IF('DIVA Satislari'!I725="","",IFERROR(INDEX('E2E Nakliye Montaj'!$AU$3:$AU$1002,MATCH('DIVA Satislari'!AJ725,'E2E Nakliye Montaj'!$AM$3:$AM$1002,0)),"Hayır"))</f>
        <v/>
      </c>
      <c r="N725" s="27">
        <f>IF('DIVA Satislari'!I725="","",IFERROR(INDEX('E2E Nakliye Montaj'!$AV$3:$AV$1002,MATCH('DIVA Satislari'!AJ725,'E2E Nakliye Montaj'!$AM$3:$AM$1002,0)),""))</f>
        <v/>
      </c>
      <c r="O725" s="26">
        <f>IF(OR(A725="",N725=""),"",IF(N725&lt;=H725,"Evet","HAYIR - RİSK"))</f>
        <v/>
      </c>
      <c r="P725" s="26">
        <f>IF(A725="","",IF(LEFT(J725,8)="Kural A ","Uygun - Hemen Ödenir (Yıl Sonu %75 Kontrolüne Tabi)",IF(OR(L725="Evet",M725="Evet"),IF(O725="Evet","Uygun","RİSK - Hakediş Süresi Aşıldı"),"Bekleniyor - Nakliye/Montaj Tamamlanmadı")))</f>
        <v/>
      </c>
      <c r="Q725" s="28">
        <f>IF(A725="","",SUMIFS('Hakedis Fatura Detay'!$G$3:$G$1200,'Hakedis Fatura Detay'!$H$3:$H$1200,'DIVA Satislari'!AJ725,'Hakedis Fatura Detay'!$F$3:$F$1200,"Fiyat Farkı")+SUMIFS('Hakedis Fatura Detay'!$G$3:$G$1200,'Hakedis Fatura Detay'!$H$3:$H$1200,'DIVA Satislari'!AJ725,'Hakedis Fatura Detay'!$F$3:$F$1200,"Bundle"))</f>
        <v/>
      </c>
      <c r="R725" s="28">
        <f>IF(A725="","",I725-Q725)</f>
        <v/>
      </c>
      <c r="S725" s="26">
        <f>IF(A725="","",IF(LEFT(P725,7)="Bekleni","N/A - Henüz Ödenmemeli",IF(LEFT(P725,4)="RİSK","İNCELEME GEREKLİ - Süre Aşımı",IF(R725=0,"Doğru",IF(R725&gt;0,"EKSİK ÖDENMİŞ","FAZLA ÖDENMİŞ")))))</f>
        <v/>
      </c>
      <c r="T725" s="30">
        <f>IF(A725="","",IF(F725&lt;&gt;"Evet","İNCELEME GEREKLİ - Kampanya Tanımsız",IF(G725&lt;&gt;"Evet","İNCELEME GEREKLİ - Tarih Dışı Satış",IF(LEFT(P725,4)="RİSK","İNCELEME GEREKLİ - Hakediş Süresi Aşıldı",IF(OR(S725="EKSİK ÖDENMİŞ",S725="FAZLA ÖDENMİŞ"),"İNCELEME GEREKLİ - Tutar Uyuşmazlığı",IF(LEFT(P725,7)="Bekleni","Bekleniyor","Uygun"))))))</f>
        <v/>
      </c>
    </row>
    <row r="726">
      <c r="A726" s="26">
        <f>IF('DIVA Satislari'!I726="","",'DIVA Satislari'!I726)</f>
        <v/>
      </c>
      <c r="B726" s="26">
        <f>IF('DIVA Satislari'!I726="","",'DIVA Satislari'!R726)</f>
        <v/>
      </c>
      <c r="C726" s="26">
        <f>IF('DIVA Satislari'!I726="","",'DIVA Satislari'!M726)</f>
        <v/>
      </c>
      <c r="D726" s="27">
        <f>IF('DIVA Satislari'!I726="","",'DIVA Satislari'!H726)</f>
        <v/>
      </c>
      <c r="E726" s="26">
        <f>IF('DIVA Satislari'!I726="","",'DIVA Satislari'!O726)</f>
        <v/>
      </c>
      <c r="F726" s="26">
        <f>IF('DIVA Satislari'!I726="","",'DIVA Satislari'!AK726)</f>
        <v/>
      </c>
      <c r="G726" s="26">
        <f>IF('DIVA Satislari'!I726="","",'DIVA Satislari'!AO726)</f>
        <v/>
      </c>
      <c r="H726" s="27">
        <f>IF('DIVA Satislari'!I726="","",'DIVA Satislari'!AN726)</f>
        <v/>
      </c>
      <c r="I726" s="28">
        <f>IF('DIVA Satislari'!I726="","",'DIVA Satislari'!AQ726)</f>
        <v/>
      </c>
      <c r="J726" s="26">
        <f>IF('DIVA Satislari'!I726="","",'DIVA Satislari'!AR726)</f>
        <v/>
      </c>
      <c r="K726" s="26">
        <f>IF('DIVA Satislari'!I726="","",IFERROR(INDEX('E2E Nakliye Montaj'!$AS$3:$AS$1002,MATCH('DIVA Satislari'!AJ726,'E2E Nakliye Montaj'!$AM$3:$AM$1002,0)),"Eşleşme Yok"))</f>
        <v/>
      </c>
      <c r="L726" s="26">
        <f>IF('DIVA Satislari'!I726="","",IFERROR(INDEX('E2E Nakliye Montaj'!$AT$3:$AT$1002,MATCH('DIVA Satislari'!AJ726,'E2E Nakliye Montaj'!$AM$3:$AM$1002,0)),"Hayır"))</f>
        <v/>
      </c>
      <c r="M726" s="26">
        <f>IF('DIVA Satislari'!I726="","",IFERROR(INDEX('E2E Nakliye Montaj'!$AU$3:$AU$1002,MATCH('DIVA Satislari'!AJ726,'E2E Nakliye Montaj'!$AM$3:$AM$1002,0)),"Hayır"))</f>
        <v/>
      </c>
      <c r="N726" s="27">
        <f>IF('DIVA Satislari'!I726="","",IFERROR(INDEX('E2E Nakliye Montaj'!$AV$3:$AV$1002,MATCH('DIVA Satislari'!AJ726,'E2E Nakliye Montaj'!$AM$3:$AM$1002,0)),""))</f>
        <v/>
      </c>
      <c r="O726" s="26">
        <f>IF(OR(A726="",N726=""),"",IF(N726&lt;=H726,"Evet","HAYIR - RİSK"))</f>
        <v/>
      </c>
      <c r="P726" s="26">
        <f>IF(A726="","",IF(LEFT(J726,8)="Kural A ","Uygun - Hemen Ödenir (Yıl Sonu %75 Kontrolüne Tabi)",IF(OR(L726="Evet",M726="Evet"),IF(O726="Evet","Uygun","RİSK - Hakediş Süresi Aşıldı"),"Bekleniyor - Nakliye/Montaj Tamamlanmadı")))</f>
        <v/>
      </c>
      <c r="Q726" s="28">
        <f>IF(A726="","",SUMIFS('Hakedis Fatura Detay'!$G$3:$G$1200,'Hakedis Fatura Detay'!$H$3:$H$1200,'DIVA Satislari'!AJ726,'Hakedis Fatura Detay'!$F$3:$F$1200,"Fiyat Farkı")+SUMIFS('Hakedis Fatura Detay'!$G$3:$G$1200,'Hakedis Fatura Detay'!$H$3:$H$1200,'DIVA Satislari'!AJ726,'Hakedis Fatura Detay'!$F$3:$F$1200,"Bundle"))</f>
        <v/>
      </c>
      <c r="R726" s="28">
        <f>IF(A726="","",I726-Q726)</f>
        <v/>
      </c>
      <c r="S726" s="26">
        <f>IF(A726="","",IF(LEFT(P726,7)="Bekleni","N/A - Henüz Ödenmemeli",IF(LEFT(P726,4)="RİSK","İNCELEME GEREKLİ - Süre Aşımı",IF(R726=0,"Doğru",IF(R726&gt;0,"EKSİK ÖDENMİŞ","FAZLA ÖDENMİŞ")))))</f>
        <v/>
      </c>
      <c r="T726" s="30">
        <f>IF(A726="","",IF(F726&lt;&gt;"Evet","İNCELEME GEREKLİ - Kampanya Tanımsız",IF(G726&lt;&gt;"Evet","İNCELEME GEREKLİ - Tarih Dışı Satış",IF(LEFT(P726,4)="RİSK","İNCELEME GEREKLİ - Hakediş Süresi Aşıldı",IF(OR(S726="EKSİK ÖDENMİŞ",S726="FAZLA ÖDENMİŞ"),"İNCELEME GEREKLİ - Tutar Uyuşmazlığı",IF(LEFT(P726,7)="Bekleni","Bekleniyor","Uygun"))))))</f>
        <v/>
      </c>
    </row>
    <row r="727">
      <c r="A727" s="26">
        <f>IF('DIVA Satislari'!I727="","",'DIVA Satislari'!I727)</f>
        <v/>
      </c>
      <c r="B727" s="26">
        <f>IF('DIVA Satislari'!I727="","",'DIVA Satislari'!R727)</f>
        <v/>
      </c>
      <c r="C727" s="26">
        <f>IF('DIVA Satislari'!I727="","",'DIVA Satislari'!M727)</f>
        <v/>
      </c>
      <c r="D727" s="27">
        <f>IF('DIVA Satislari'!I727="","",'DIVA Satislari'!H727)</f>
        <v/>
      </c>
      <c r="E727" s="26">
        <f>IF('DIVA Satislari'!I727="","",'DIVA Satislari'!O727)</f>
        <v/>
      </c>
      <c r="F727" s="26">
        <f>IF('DIVA Satislari'!I727="","",'DIVA Satislari'!AK727)</f>
        <v/>
      </c>
      <c r="G727" s="26">
        <f>IF('DIVA Satislari'!I727="","",'DIVA Satislari'!AO727)</f>
        <v/>
      </c>
      <c r="H727" s="27">
        <f>IF('DIVA Satislari'!I727="","",'DIVA Satislari'!AN727)</f>
        <v/>
      </c>
      <c r="I727" s="28">
        <f>IF('DIVA Satislari'!I727="","",'DIVA Satislari'!AQ727)</f>
        <v/>
      </c>
      <c r="J727" s="26">
        <f>IF('DIVA Satislari'!I727="","",'DIVA Satislari'!AR727)</f>
        <v/>
      </c>
      <c r="K727" s="26">
        <f>IF('DIVA Satislari'!I727="","",IFERROR(INDEX('E2E Nakliye Montaj'!$AS$3:$AS$1002,MATCH('DIVA Satislari'!AJ727,'E2E Nakliye Montaj'!$AM$3:$AM$1002,0)),"Eşleşme Yok"))</f>
        <v/>
      </c>
      <c r="L727" s="26">
        <f>IF('DIVA Satislari'!I727="","",IFERROR(INDEX('E2E Nakliye Montaj'!$AT$3:$AT$1002,MATCH('DIVA Satislari'!AJ727,'E2E Nakliye Montaj'!$AM$3:$AM$1002,0)),"Hayır"))</f>
        <v/>
      </c>
      <c r="M727" s="26">
        <f>IF('DIVA Satislari'!I727="","",IFERROR(INDEX('E2E Nakliye Montaj'!$AU$3:$AU$1002,MATCH('DIVA Satislari'!AJ727,'E2E Nakliye Montaj'!$AM$3:$AM$1002,0)),"Hayır"))</f>
        <v/>
      </c>
      <c r="N727" s="27">
        <f>IF('DIVA Satislari'!I727="","",IFERROR(INDEX('E2E Nakliye Montaj'!$AV$3:$AV$1002,MATCH('DIVA Satislari'!AJ727,'E2E Nakliye Montaj'!$AM$3:$AM$1002,0)),""))</f>
        <v/>
      </c>
      <c r="O727" s="26">
        <f>IF(OR(A727="",N727=""),"",IF(N727&lt;=H727,"Evet","HAYIR - RİSK"))</f>
        <v/>
      </c>
      <c r="P727" s="26">
        <f>IF(A727="","",IF(LEFT(J727,8)="Kural A ","Uygun - Hemen Ödenir (Yıl Sonu %75 Kontrolüne Tabi)",IF(OR(L727="Evet",M727="Evet"),IF(O727="Evet","Uygun","RİSK - Hakediş Süresi Aşıldı"),"Bekleniyor - Nakliye/Montaj Tamamlanmadı")))</f>
        <v/>
      </c>
      <c r="Q727" s="28">
        <f>IF(A727="","",SUMIFS('Hakedis Fatura Detay'!$G$3:$G$1200,'Hakedis Fatura Detay'!$H$3:$H$1200,'DIVA Satislari'!AJ727,'Hakedis Fatura Detay'!$F$3:$F$1200,"Fiyat Farkı")+SUMIFS('Hakedis Fatura Detay'!$G$3:$G$1200,'Hakedis Fatura Detay'!$H$3:$H$1200,'DIVA Satislari'!AJ727,'Hakedis Fatura Detay'!$F$3:$F$1200,"Bundle"))</f>
        <v/>
      </c>
      <c r="R727" s="28">
        <f>IF(A727="","",I727-Q727)</f>
        <v/>
      </c>
      <c r="S727" s="26">
        <f>IF(A727="","",IF(LEFT(P727,7)="Bekleni","N/A - Henüz Ödenmemeli",IF(LEFT(P727,4)="RİSK","İNCELEME GEREKLİ - Süre Aşımı",IF(R727=0,"Doğru",IF(R727&gt;0,"EKSİK ÖDENMİŞ","FAZLA ÖDENMİŞ")))))</f>
        <v/>
      </c>
      <c r="T727" s="30">
        <f>IF(A727="","",IF(F727&lt;&gt;"Evet","İNCELEME GEREKLİ - Kampanya Tanımsız",IF(G727&lt;&gt;"Evet","İNCELEME GEREKLİ - Tarih Dışı Satış",IF(LEFT(P727,4)="RİSK","İNCELEME GEREKLİ - Hakediş Süresi Aşıldı",IF(OR(S727="EKSİK ÖDENMİŞ",S727="FAZLA ÖDENMİŞ"),"İNCELEME GEREKLİ - Tutar Uyuşmazlığı",IF(LEFT(P727,7)="Bekleni","Bekleniyor","Uygun"))))))</f>
        <v/>
      </c>
    </row>
    <row r="728">
      <c r="A728" s="26">
        <f>IF('DIVA Satislari'!I728="","",'DIVA Satislari'!I728)</f>
        <v/>
      </c>
      <c r="B728" s="26">
        <f>IF('DIVA Satislari'!I728="","",'DIVA Satislari'!R728)</f>
        <v/>
      </c>
      <c r="C728" s="26">
        <f>IF('DIVA Satislari'!I728="","",'DIVA Satislari'!M728)</f>
        <v/>
      </c>
      <c r="D728" s="27">
        <f>IF('DIVA Satislari'!I728="","",'DIVA Satislari'!H728)</f>
        <v/>
      </c>
      <c r="E728" s="26">
        <f>IF('DIVA Satislari'!I728="","",'DIVA Satislari'!O728)</f>
        <v/>
      </c>
      <c r="F728" s="26">
        <f>IF('DIVA Satislari'!I728="","",'DIVA Satislari'!AK728)</f>
        <v/>
      </c>
      <c r="G728" s="26">
        <f>IF('DIVA Satislari'!I728="","",'DIVA Satislari'!AO728)</f>
        <v/>
      </c>
      <c r="H728" s="27">
        <f>IF('DIVA Satislari'!I728="","",'DIVA Satislari'!AN728)</f>
        <v/>
      </c>
      <c r="I728" s="28">
        <f>IF('DIVA Satislari'!I728="","",'DIVA Satislari'!AQ728)</f>
        <v/>
      </c>
      <c r="J728" s="26">
        <f>IF('DIVA Satislari'!I728="","",'DIVA Satislari'!AR728)</f>
        <v/>
      </c>
      <c r="K728" s="26">
        <f>IF('DIVA Satislari'!I728="","",IFERROR(INDEX('E2E Nakliye Montaj'!$AS$3:$AS$1002,MATCH('DIVA Satislari'!AJ728,'E2E Nakliye Montaj'!$AM$3:$AM$1002,0)),"Eşleşme Yok"))</f>
        <v/>
      </c>
      <c r="L728" s="26">
        <f>IF('DIVA Satislari'!I728="","",IFERROR(INDEX('E2E Nakliye Montaj'!$AT$3:$AT$1002,MATCH('DIVA Satislari'!AJ728,'E2E Nakliye Montaj'!$AM$3:$AM$1002,0)),"Hayır"))</f>
        <v/>
      </c>
      <c r="M728" s="26">
        <f>IF('DIVA Satislari'!I728="","",IFERROR(INDEX('E2E Nakliye Montaj'!$AU$3:$AU$1002,MATCH('DIVA Satislari'!AJ728,'E2E Nakliye Montaj'!$AM$3:$AM$1002,0)),"Hayır"))</f>
        <v/>
      </c>
      <c r="N728" s="27">
        <f>IF('DIVA Satislari'!I728="","",IFERROR(INDEX('E2E Nakliye Montaj'!$AV$3:$AV$1002,MATCH('DIVA Satislari'!AJ728,'E2E Nakliye Montaj'!$AM$3:$AM$1002,0)),""))</f>
        <v/>
      </c>
      <c r="O728" s="26">
        <f>IF(OR(A728="",N728=""),"",IF(N728&lt;=H728,"Evet","HAYIR - RİSK"))</f>
        <v/>
      </c>
      <c r="P728" s="26">
        <f>IF(A728="","",IF(LEFT(J728,8)="Kural A ","Uygun - Hemen Ödenir (Yıl Sonu %75 Kontrolüne Tabi)",IF(OR(L728="Evet",M728="Evet"),IF(O728="Evet","Uygun","RİSK - Hakediş Süresi Aşıldı"),"Bekleniyor - Nakliye/Montaj Tamamlanmadı")))</f>
        <v/>
      </c>
      <c r="Q728" s="28">
        <f>IF(A728="","",SUMIFS('Hakedis Fatura Detay'!$G$3:$G$1200,'Hakedis Fatura Detay'!$H$3:$H$1200,'DIVA Satislari'!AJ728,'Hakedis Fatura Detay'!$F$3:$F$1200,"Fiyat Farkı")+SUMIFS('Hakedis Fatura Detay'!$G$3:$G$1200,'Hakedis Fatura Detay'!$H$3:$H$1200,'DIVA Satislari'!AJ728,'Hakedis Fatura Detay'!$F$3:$F$1200,"Bundle"))</f>
        <v/>
      </c>
      <c r="R728" s="28">
        <f>IF(A728="","",I728-Q728)</f>
        <v/>
      </c>
      <c r="S728" s="26">
        <f>IF(A728="","",IF(LEFT(P728,7)="Bekleni","N/A - Henüz Ödenmemeli",IF(LEFT(P728,4)="RİSK","İNCELEME GEREKLİ - Süre Aşımı",IF(R728=0,"Doğru",IF(R728&gt;0,"EKSİK ÖDENMİŞ","FAZLA ÖDENMİŞ")))))</f>
        <v/>
      </c>
      <c r="T728" s="30">
        <f>IF(A728="","",IF(F728&lt;&gt;"Evet","İNCELEME GEREKLİ - Kampanya Tanımsız",IF(G728&lt;&gt;"Evet","İNCELEME GEREKLİ - Tarih Dışı Satış",IF(LEFT(P728,4)="RİSK","İNCELEME GEREKLİ - Hakediş Süresi Aşıldı",IF(OR(S728="EKSİK ÖDENMİŞ",S728="FAZLA ÖDENMİŞ"),"İNCELEME GEREKLİ - Tutar Uyuşmazlığı",IF(LEFT(P728,7)="Bekleni","Bekleniyor","Uygun"))))))</f>
        <v/>
      </c>
    </row>
    <row r="729">
      <c r="A729" s="26">
        <f>IF('DIVA Satislari'!I729="","",'DIVA Satislari'!I729)</f>
        <v/>
      </c>
      <c r="B729" s="26">
        <f>IF('DIVA Satislari'!I729="","",'DIVA Satislari'!R729)</f>
        <v/>
      </c>
      <c r="C729" s="26">
        <f>IF('DIVA Satislari'!I729="","",'DIVA Satislari'!M729)</f>
        <v/>
      </c>
      <c r="D729" s="27">
        <f>IF('DIVA Satislari'!I729="","",'DIVA Satislari'!H729)</f>
        <v/>
      </c>
      <c r="E729" s="26">
        <f>IF('DIVA Satislari'!I729="","",'DIVA Satislari'!O729)</f>
        <v/>
      </c>
      <c r="F729" s="26">
        <f>IF('DIVA Satislari'!I729="","",'DIVA Satislari'!AK729)</f>
        <v/>
      </c>
      <c r="G729" s="26">
        <f>IF('DIVA Satislari'!I729="","",'DIVA Satislari'!AO729)</f>
        <v/>
      </c>
      <c r="H729" s="27">
        <f>IF('DIVA Satislari'!I729="","",'DIVA Satislari'!AN729)</f>
        <v/>
      </c>
      <c r="I729" s="28">
        <f>IF('DIVA Satislari'!I729="","",'DIVA Satislari'!AQ729)</f>
        <v/>
      </c>
      <c r="J729" s="26">
        <f>IF('DIVA Satislari'!I729="","",'DIVA Satislari'!AR729)</f>
        <v/>
      </c>
      <c r="K729" s="26">
        <f>IF('DIVA Satislari'!I729="","",IFERROR(INDEX('E2E Nakliye Montaj'!$AS$3:$AS$1002,MATCH('DIVA Satislari'!AJ729,'E2E Nakliye Montaj'!$AM$3:$AM$1002,0)),"Eşleşme Yok"))</f>
        <v/>
      </c>
      <c r="L729" s="26">
        <f>IF('DIVA Satislari'!I729="","",IFERROR(INDEX('E2E Nakliye Montaj'!$AT$3:$AT$1002,MATCH('DIVA Satislari'!AJ729,'E2E Nakliye Montaj'!$AM$3:$AM$1002,0)),"Hayır"))</f>
        <v/>
      </c>
      <c r="M729" s="26">
        <f>IF('DIVA Satislari'!I729="","",IFERROR(INDEX('E2E Nakliye Montaj'!$AU$3:$AU$1002,MATCH('DIVA Satislari'!AJ729,'E2E Nakliye Montaj'!$AM$3:$AM$1002,0)),"Hayır"))</f>
        <v/>
      </c>
      <c r="N729" s="27">
        <f>IF('DIVA Satislari'!I729="","",IFERROR(INDEX('E2E Nakliye Montaj'!$AV$3:$AV$1002,MATCH('DIVA Satislari'!AJ729,'E2E Nakliye Montaj'!$AM$3:$AM$1002,0)),""))</f>
        <v/>
      </c>
      <c r="O729" s="26">
        <f>IF(OR(A729="",N729=""),"",IF(N729&lt;=H729,"Evet","HAYIR - RİSK"))</f>
        <v/>
      </c>
      <c r="P729" s="26">
        <f>IF(A729="","",IF(LEFT(J729,8)="Kural A ","Uygun - Hemen Ödenir (Yıl Sonu %75 Kontrolüne Tabi)",IF(OR(L729="Evet",M729="Evet"),IF(O729="Evet","Uygun","RİSK - Hakediş Süresi Aşıldı"),"Bekleniyor - Nakliye/Montaj Tamamlanmadı")))</f>
        <v/>
      </c>
      <c r="Q729" s="28">
        <f>IF(A729="","",SUMIFS('Hakedis Fatura Detay'!$G$3:$G$1200,'Hakedis Fatura Detay'!$H$3:$H$1200,'DIVA Satislari'!AJ729,'Hakedis Fatura Detay'!$F$3:$F$1200,"Fiyat Farkı")+SUMIFS('Hakedis Fatura Detay'!$G$3:$G$1200,'Hakedis Fatura Detay'!$H$3:$H$1200,'DIVA Satislari'!AJ729,'Hakedis Fatura Detay'!$F$3:$F$1200,"Bundle"))</f>
        <v/>
      </c>
      <c r="R729" s="28">
        <f>IF(A729="","",I729-Q729)</f>
        <v/>
      </c>
      <c r="S729" s="26">
        <f>IF(A729="","",IF(LEFT(P729,7)="Bekleni","N/A - Henüz Ödenmemeli",IF(LEFT(P729,4)="RİSK","İNCELEME GEREKLİ - Süre Aşımı",IF(R729=0,"Doğru",IF(R729&gt;0,"EKSİK ÖDENMİŞ","FAZLA ÖDENMİŞ")))))</f>
        <v/>
      </c>
      <c r="T729" s="30">
        <f>IF(A729="","",IF(F729&lt;&gt;"Evet","İNCELEME GEREKLİ - Kampanya Tanımsız",IF(G729&lt;&gt;"Evet","İNCELEME GEREKLİ - Tarih Dışı Satış",IF(LEFT(P729,4)="RİSK","İNCELEME GEREKLİ - Hakediş Süresi Aşıldı",IF(OR(S729="EKSİK ÖDENMİŞ",S729="FAZLA ÖDENMİŞ"),"İNCELEME GEREKLİ - Tutar Uyuşmazlığı",IF(LEFT(P729,7)="Bekleni","Bekleniyor","Uygun"))))))</f>
        <v/>
      </c>
    </row>
    <row r="730">
      <c r="A730" s="26">
        <f>IF('DIVA Satislari'!I730="","",'DIVA Satislari'!I730)</f>
        <v/>
      </c>
      <c r="B730" s="26">
        <f>IF('DIVA Satislari'!I730="","",'DIVA Satislari'!R730)</f>
        <v/>
      </c>
      <c r="C730" s="26">
        <f>IF('DIVA Satislari'!I730="","",'DIVA Satislari'!M730)</f>
        <v/>
      </c>
      <c r="D730" s="27">
        <f>IF('DIVA Satislari'!I730="","",'DIVA Satislari'!H730)</f>
        <v/>
      </c>
      <c r="E730" s="26">
        <f>IF('DIVA Satislari'!I730="","",'DIVA Satislari'!O730)</f>
        <v/>
      </c>
      <c r="F730" s="26">
        <f>IF('DIVA Satislari'!I730="","",'DIVA Satislari'!AK730)</f>
        <v/>
      </c>
      <c r="G730" s="26">
        <f>IF('DIVA Satislari'!I730="","",'DIVA Satislari'!AO730)</f>
        <v/>
      </c>
      <c r="H730" s="27">
        <f>IF('DIVA Satislari'!I730="","",'DIVA Satislari'!AN730)</f>
        <v/>
      </c>
      <c r="I730" s="28">
        <f>IF('DIVA Satislari'!I730="","",'DIVA Satislari'!AQ730)</f>
        <v/>
      </c>
      <c r="J730" s="26">
        <f>IF('DIVA Satislari'!I730="","",'DIVA Satislari'!AR730)</f>
        <v/>
      </c>
      <c r="K730" s="26">
        <f>IF('DIVA Satislari'!I730="","",IFERROR(INDEX('E2E Nakliye Montaj'!$AS$3:$AS$1002,MATCH('DIVA Satislari'!AJ730,'E2E Nakliye Montaj'!$AM$3:$AM$1002,0)),"Eşleşme Yok"))</f>
        <v/>
      </c>
      <c r="L730" s="26">
        <f>IF('DIVA Satislari'!I730="","",IFERROR(INDEX('E2E Nakliye Montaj'!$AT$3:$AT$1002,MATCH('DIVA Satislari'!AJ730,'E2E Nakliye Montaj'!$AM$3:$AM$1002,0)),"Hayır"))</f>
        <v/>
      </c>
      <c r="M730" s="26">
        <f>IF('DIVA Satislari'!I730="","",IFERROR(INDEX('E2E Nakliye Montaj'!$AU$3:$AU$1002,MATCH('DIVA Satislari'!AJ730,'E2E Nakliye Montaj'!$AM$3:$AM$1002,0)),"Hayır"))</f>
        <v/>
      </c>
      <c r="N730" s="27">
        <f>IF('DIVA Satislari'!I730="","",IFERROR(INDEX('E2E Nakliye Montaj'!$AV$3:$AV$1002,MATCH('DIVA Satislari'!AJ730,'E2E Nakliye Montaj'!$AM$3:$AM$1002,0)),""))</f>
        <v/>
      </c>
      <c r="O730" s="26">
        <f>IF(OR(A730="",N730=""),"",IF(N730&lt;=H730,"Evet","HAYIR - RİSK"))</f>
        <v/>
      </c>
      <c r="P730" s="26">
        <f>IF(A730="","",IF(LEFT(J730,8)="Kural A ","Uygun - Hemen Ödenir (Yıl Sonu %75 Kontrolüne Tabi)",IF(OR(L730="Evet",M730="Evet"),IF(O730="Evet","Uygun","RİSK - Hakediş Süresi Aşıldı"),"Bekleniyor - Nakliye/Montaj Tamamlanmadı")))</f>
        <v/>
      </c>
      <c r="Q730" s="28">
        <f>IF(A730="","",SUMIFS('Hakedis Fatura Detay'!$G$3:$G$1200,'Hakedis Fatura Detay'!$H$3:$H$1200,'DIVA Satislari'!AJ730,'Hakedis Fatura Detay'!$F$3:$F$1200,"Fiyat Farkı")+SUMIFS('Hakedis Fatura Detay'!$G$3:$G$1200,'Hakedis Fatura Detay'!$H$3:$H$1200,'DIVA Satislari'!AJ730,'Hakedis Fatura Detay'!$F$3:$F$1200,"Bundle"))</f>
        <v/>
      </c>
      <c r="R730" s="28">
        <f>IF(A730="","",I730-Q730)</f>
        <v/>
      </c>
      <c r="S730" s="26">
        <f>IF(A730="","",IF(LEFT(P730,7)="Bekleni","N/A - Henüz Ödenmemeli",IF(LEFT(P730,4)="RİSK","İNCELEME GEREKLİ - Süre Aşımı",IF(R730=0,"Doğru",IF(R730&gt;0,"EKSİK ÖDENMİŞ","FAZLA ÖDENMİŞ")))))</f>
        <v/>
      </c>
      <c r="T730" s="30">
        <f>IF(A730="","",IF(F730&lt;&gt;"Evet","İNCELEME GEREKLİ - Kampanya Tanımsız",IF(G730&lt;&gt;"Evet","İNCELEME GEREKLİ - Tarih Dışı Satış",IF(LEFT(P730,4)="RİSK","İNCELEME GEREKLİ - Hakediş Süresi Aşıldı",IF(OR(S730="EKSİK ÖDENMİŞ",S730="FAZLA ÖDENMİŞ"),"İNCELEME GEREKLİ - Tutar Uyuşmazlığı",IF(LEFT(P730,7)="Bekleni","Bekleniyor","Uygun"))))))</f>
        <v/>
      </c>
    </row>
    <row r="731">
      <c r="A731" s="26">
        <f>IF('DIVA Satislari'!I731="","",'DIVA Satislari'!I731)</f>
        <v/>
      </c>
      <c r="B731" s="26">
        <f>IF('DIVA Satislari'!I731="","",'DIVA Satislari'!R731)</f>
        <v/>
      </c>
      <c r="C731" s="26">
        <f>IF('DIVA Satislari'!I731="","",'DIVA Satislari'!M731)</f>
        <v/>
      </c>
      <c r="D731" s="27">
        <f>IF('DIVA Satislari'!I731="","",'DIVA Satislari'!H731)</f>
        <v/>
      </c>
      <c r="E731" s="26">
        <f>IF('DIVA Satislari'!I731="","",'DIVA Satislari'!O731)</f>
        <v/>
      </c>
      <c r="F731" s="26">
        <f>IF('DIVA Satislari'!I731="","",'DIVA Satislari'!AK731)</f>
        <v/>
      </c>
      <c r="G731" s="26">
        <f>IF('DIVA Satislari'!I731="","",'DIVA Satislari'!AO731)</f>
        <v/>
      </c>
      <c r="H731" s="27">
        <f>IF('DIVA Satislari'!I731="","",'DIVA Satislari'!AN731)</f>
        <v/>
      </c>
      <c r="I731" s="28">
        <f>IF('DIVA Satislari'!I731="","",'DIVA Satislari'!AQ731)</f>
        <v/>
      </c>
      <c r="J731" s="26">
        <f>IF('DIVA Satislari'!I731="","",'DIVA Satislari'!AR731)</f>
        <v/>
      </c>
      <c r="K731" s="26">
        <f>IF('DIVA Satislari'!I731="","",IFERROR(INDEX('E2E Nakliye Montaj'!$AS$3:$AS$1002,MATCH('DIVA Satislari'!AJ731,'E2E Nakliye Montaj'!$AM$3:$AM$1002,0)),"Eşleşme Yok"))</f>
        <v/>
      </c>
      <c r="L731" s="26">
        <f>IF('DIVA Satislari'!I731="","",IFERROR(INDEX('E2E Nakliye Montaj'!$AT$3:$AT$1002,MATCH('DIVA Satislari'!AJ731,'E2E Nakliye Montaj'!$AM$3:$AM$1002,0)),"Hayır"))</f>
        <v/>
      </c>
      <c r="M731" s="26">
        <f>IF('DIVA Satislari'!I731="","",IFERROR(INDEX('E2E Nakliye Montaj'!$AU$3:$AU$1002,MATCH('DIVA Satislari'!AJ731,'E2E Nakliye Montaj'!$AM$3:$AM$1002,0)),"Hayır"))</f>
        <v/>
      </c>
      <c r="N731" s="27">
        <f>IF('DIVA Satislari'!I731="","",IFERROR(INDEX('E2E Nakliye Montaj'!$AV$3:$AV$1002,MATCH('DIVA Satislari'!AJ731,'E2E Nakliye Montaj'!$AM$3:$AM$1002,0)),""))</f>
        <v/>
      </c>
      <c r="O731" s="26">
        <f>IF(OR(A731="",N731=""),"",IF(N731&lt;=H731,"Evet","HAYIR - RİSK"))</f>
        <v/>
      </c>
      <c r="P731" s="26">
        <f>IF(A731="","",IF(LEFT(J731,8)="Kural A ","Uygun - Hemen Ödenir (Yıl Sonu %75 Kontrolüne Tabi)",IF(OR(L731="Evet",M731="Evet"),IF(O731="Evet","Uygun","RİSK - Hakediş Süresi Aşıldı"),"Bekleniyor - Nakliye/Montaj Tamamlanmadı")))</f>
        <v/>
      </c>
      <c r="Q731" s="28">
        <f>IF(A731="","",SUMIFS('Hakedis Fatura Detay'!$G$3:$G$1200,'Hakedis Fatura Detay'!$H$3:$H$1200,'DIVA Satislari'!AJ731,'Hakedis Fatura Detay'!$F$3:$F$1200,"Fiyat Farkı")+SUMIFS('Hakedis Fatura Detay'!$G$3:$G$1200,'Hakedis Fatura Detay'!$H$3:$H$1200,'DIVA Satislari'!AJ731,'Hakedis Fatura Detay'!$F$3:$F$1200,"Bundle"))</f>
        <v/>
      </c>
      <c r="R731" s="28">
        <f>IF(A731="","",I731-Q731)</f>
        <v/>
      </c>
      <c r="S731" s="26">
        <f>IF(A731="","",IF(LEFT(P731,7)="Bekleni","N/A - Henüz Ödenmemeli",IF(LEFT(P731,4)="RİSK","İNCELEME GEREKLİ - Süre Aşımı",IF(R731=0,"Doğru",IF(R731&gt;0,"EKSİK ÖDENMİŞ","FAZLA ÖDENMİŞ")))))</f>
        <v/>
      </c>
      <c r="T731" s="30">
        <f>IF(A731="","",IF(F731&lt;&gt;"Evet","İNCELEME GEREKLİ - Kampanya Tanımsız",IF(G731&lt;&gt;"Evet","İNCELEME GEREKLİ - Tarih Dışı Satış",IF(LEFT(P731,4)="RİSK","İNCELEME GEREKLİ - Hakediş Süresi Aşıldı",IF(OR(S731="EKSİK ÖDENMİŞ",S731="FAZLA ÖDENMİŞ"),"İNCELEME GEREKLİ - Tutar Uyuşmazlığı",IF(LEFT(P731,7)="Bekleni","Bekleniyor","Uygun"))))))</f>
        <v/>
      </c>
    </row>
    <row r="732">
      <c r="A732" s="26">
        <f>IF('DIVA Satislari'!I732="","",'DIVA Satislari'!I732)</f>
        <v/>
      </c>
      <c r="B732" s="26">
        <f>IF('DIVA Satislari'!I732="","",'DIVA Satislari'!R732)</f>
        <v/>
      </c>
      <c r="C732" s="26">
        <f>IF('DIVA Satislari'!I732="","",'DIVA Satislari'!M732)</f>
        <v/>
      </c>
      <c r="D732" s="27">
        <f>IF('DIVA Satislari'!I732="","",'DIVA Satislari'!H732)</f>
        <v/>
      </c>
      <c r="E732" s="26">
        <f>IF('DIVA Satislari'!I732="","",'DIVA Satislari'!O732)</f>
        <v/>
      </c>
      <c r="F732" s="26">
        <f>IF('DIVA Satislari'!I732="","",'DIVA Satislari'!AK732)</f>
        <v/>
      </c>
      <c r="G732" s="26">
        <f>IF('DIVA Satislari'!I732="","",'DIVA Satislari'!AO732)</f>
        <v/>
      </c>
      <c r="H732" s="27">
        <f>IF('DIVA Satislari'!I732="","",'DIVA Satislari'!AN732)</f>
        <v/>
      </c>
      <c r="I732" s="28">
        <f>IF('DIVA Satislari'!I732="","",'DIVA Satislari'!AQ732)</f>
        <v/>
      </c>
      <c r="J732" s="26">
        <f>IF('DIVA Satislari'!I732="","",'DIVA Satislari'!AR732)</f>
        <v/>
      </c>
      <c r="K732" s="26">
        <f>IF('DIVA Satislari'!I732="","",IFERROR(INDEX('E2E Nakliye Montaj'!$AS$3:$AS$1002,MATCH('DIVA Satislari'!AJ732,'E2E Nakliye Montaj'!$AM$3:$AM$1002,0)),"Eşleşme Yok"))</f>
        <v/>
      </c>
      <c r="L732" s="26">
        <f>IF('DIVA Satislari'!I732="","",IFERROR(INDEX('E2E Nakliye Montaj'!$AT$3:$AT$1002,MATCH('DIVA Satislari'!AJ732,'E2E Nakliye Montaj'!$AM$3:$AM$1002,0)),"Hayır"))</f>
        <v/>
      </c>
      <c r="M732" s="26">
        <f>IF('DIVA Satislari'!I732="","",IFERROR(INDEX('E2E Nakliye Montaj'!$AU$3:$AU$1002,MATCH('DIVA Satislari'!AJ732,'E2E Nakliye Montaj'!$AM$3:$AM$1002,0)),"Hayır"))</f>
        <v/>
      </c>
      <c r="N732" s="27">
        <f>IF('DIVA Satislari'!I732="","",IFERROR(INDEX('E2E Nakliye Montaj'!$AV$3:$AV$1002,MATCH('DIVA Satislari'!AJ732,'E2E Nakliye Montaj'!$AM$3:$AM$1002,0)),""))</f>
        <v/>
      </c>
      <c r="O732" s="26">
        <f>IF(OR(A732="",N732=""),"",IF(N732&lt;=H732,"Evet","HAYIR - RİSK"))</f>
        <v/>
      </c>
      <c r="P732" s="26">
        <f>IF(A732="","",IF(LEFT(J732,8)="Kural A ","Uygun - Hemen Ödenir (Yıl Sonu %75 Kontrolüne Tabi)",IF(OR(L732="Evet",M732="Evet"),IF(O732="Evet","Uygun","RİSK - Hakediş Süresi Aşıldı"),"Bekleniyor - Nakliye/Montaj Tamamlanmadı")))</f>
        <v/>
      </c>
      <c r="Q732" s="28">
        <f>IF(A732="","",SUMIFS('Hakedis Fatura Detay'!$G$3:$G$1200,'Hakedis Fatura Detay'!$H$3:$H$1200,'DIVA Satislari'!AJ732,'Hakedis Fatura Detay'!$F$3:$F$1200,"Fiyat Farkı")+SUMIFS('Hakedis Fatura Detay'!$G$3:$G$1200,'Hakedis Fatura Detay'!$H$3:$H$1200,'DIVA Satislari'!AJ732,'Hakedis Fatura Detay'!$F$3:$F$1200,"Bundle"))</f>
        <v/>
      </c>
      <c r="R732" s="28">
        <f>IF(A732="","",I732-Q732)</f>
        <v/>
      </c>
      <c r="S732" s="26">
        <f>IF(A732="","",IF(LEFT(P732,7)="Bekleni","N/A - Henüz Ödenmemeli",IF(LEFT(P732,4)="RİSK","İNCELEME GEREKLİ - Süre Aşımı",IF(R732=0,"Doğru",IF(R732&gt;0,"EKSİK ÖDENMİŞ","FAZLA ÖDENMİŞ")))))</f>
        <v/>
      </c>
      <c r="T732" s="30">
        <f>IF(A732="","",IF(F732&lt;&gt;"Evet","İNCELEME GEREKLİ - Kampanya Tanımsız",IF(G732&lt;&gt;"Evet","İNCELEME GEREKLİ - Tarih Dışı Satış",IF(LEFT(P732,4)="RİSK","İNCELEME GEREKLİ - Hakediş Süresi Aşıldı",IF(OR(S732="EKSİK ÖDENMİŞ",S732="FAZLA ÖDENMİŞ"),"İNCELEME GEREKLİ - Tutar Uyuşmazlığı",IF(LEFT(P732,7)="Bekleni","Bekleniyor","Uygun"))))))</f>
        <v/>
      </c>
    </row>
    <row r="733">
      <c r="A733" s="26">
        <f>IF('DIVA Satislari'!I733="","",'DIVA Satislari'!I733)</f>
        <v/>
      </c>
      <c r="B733" s="26">
        <f>IF('DIVA Satislari'!I733="","",'DIVA Satislari'!R733)</f>
        <v/>
      </c>
      <c r="C733" s="26">
        <f>IF('DIVA Satislari'!I733="","",'DIVA Satislari'!M733)</f>
        <v/>
      </c>
      <c r="D733" s="27">
        <f>IF('DIVA Satislari'!I733="","",'DIVA Satislari'!H733)</f>
        <v/>
      </c>
      <c r="E733" s="26">
        <f>IF('DIVA Satislari'!I733="","",'DIVA Satislari'!O733)</f>
        <v/>
      </c>
      <c r="F733" s="26">
        <f>IF('DIVA Satislari'!I733="","",'DIVA Satislari'!AK733)</f>
        <v/>
      </c>
      <c r="G733" s="26">
        <f>IF('DIVA Satislari'!I733="","",'DIVA Satislari'!AO733)</f>
        <v/>
      </c>
      <c r="H733" s="27">
        <f>IF('DIVA Satislari'!I733="","",'DIVA Satislari'!AN733)</f>
        <v/>
      </c>
      <c r="I733" s="28">
        <f>IF('DIVA Satislari'!I733="","",'DIVA Satislari'!AQ733)</f>
        <v/>
      </c>
      <c r="J733" s="26">
        <f>IF('DIVA Satislari'!I733="","",'DIVA Satislari'!AR733)</f>
        <v/>
      </c>
      <c r="K733" s="26">
        <f>IF('DIVA Satislari'!I733="","",IFERROR(INDEX('E2E Nakliye Montaj'!$AS$3:$AS$1002,MATCH('DIVA Satislari'!AJ733,'E2E Nakliye Montaj'!$AM$3:$AM$1002,0)),"Eşleşme Yok"))</f>
        <v/>
      </c>
      <c r="L733" s="26">
        <f>IF('DIVA Satislari'!I733="","",IFERROR(INDEX('E2E Nakliye Montaj'!$AT$3:$AT$1002,MATCH('DIVA Satislari'!AJ733,'E2E Nakliye Montaj'!$AM$3:$AM$1002,0)),"Hayır"))</f>
        <v/>
      </c>
      <c r="M733" s="26">
        <f>IF('DIVA Satislari'!I733="","",IFERROR(INDEX('E2E Nakliye Montaj'!$AU$3:$AU$1002,MATCH('DIVA Satislari'!AJ733,'E2E Nakliye Montaj'!$AM$3:$AM$1002,0)),"Hayır"))</f>
        <v/>
      </c>
      <c r="N733" s="27">
        <f>IF('DIVA Satislari'!I733="","",IFERROR(INDEX('E2E Nakliye Montaj'!$AV$3:$AV$1002,MATCH('DIVA Satislari'!AJ733,'E2E Nakliye Montaj'!$AM$3:$AM$1002,0)),""))</f>
        <v/>
      </c>
      <c r="O733" s="26">
        <f>IF(OR(A733="",N733=""),"",IF(N733&lt;=H733,"Evet","HAYIR - RİSK"))</f>
        <v/>
      </c>
      <c r="P733" s="26">
        <f>IF(A733="","",IF(LEFT(J733,8)="Kural A ","Uygun - Hemen Ödenir (Yıl Sonu %75 Kontrolüne Tabi)",IF(OR(L733="Evet",M733="Evet"),IF(O733="Evet","Uygun","RİSK - Hakediş Süresi Aşıldı"),"Bekleniyor - Nakliye/Montaj Tamamlanmadı")))</f>
        <v/>
      </c>
      <c r="Q733" s="28">
        <f>IF(A733="","",SUMIFS('Hakedis Fatura Detay'!$G$3:$G$1200,'Hakedis Fatura Detay'!$H$3:$H$1200,'DIVA Satislari'!AJ733,'Hakedis Fatura Detay'!$F$3:$F$1200,"Fiyat Farkı")+SUMIFS('Hakedis Fatura Detay'!$G$3:$G$1200,'Hakedis Fatura Detay'!$H$3:$H$1200,'DIVA Satislari'!AJ733,'Hakedis Fatura Detay'!$F$3:$F$1200,"Bundle"))</f>
        <v/>
      </c>
      <c r="R733" s="28">
        <f>IF(A733="","",I733-Q733)</f>
        <v/>
      </c>
      <c r="S733" s="26">
        <f>IF(A733="","",IF(LEFT(P733,7)="Bekleni","N/A - Henüz Ödenmemeli",IF(LEFT(P733,4)="RİSK","İNCELEME GEREKLİ - Süre Aşımı",IF(R733=0,"Doğru",IF(R733&gt;0,"EKSİK ÖDENMİŞ","FAZLA ÖDENMİŞ")))))</f>
        <v/>
      </c>
      <c r="T733" s="30">
        <f>IF(A733="","",IF(F733&lt;&gt;"Evet","İNCELEME GEREKLİ - Kampanya Tanımsız",IF(G733&lt;&gt;"Evet","İNCELEME GEREKLİ - Tarih Dışı Satış",IF(LEFT(P733,4)="RİSK","İNCELEME GEREKLİ - Hakediş Süresi Aşıldı",IF(OR(S733="EKSİK ÖDENMİŞ",S733="FAZLA ÖDENMİŞ"),"İNCELEME GEREKLİ - Tutar Uyuşmazlığı",IF(LEFT(P733,7)="Bekleni","Bekleniyor","Uygun"))))))</f>
        <v/>
      </c>
    </row>
    <row r="734">
      <c r="A734" s="26">
        <f>IF('DIVA Satislari'!I734="","",'DIVA Satislari'!I734)</f>
        <v/>
      </c>
      <c r="B734" s="26">
        <f>IF('DIVA Satislari'!I734="","",'DIVA Satislari'!R734)</f>
        <v/>
      </c>
      <c r="C734" s="26">
        <f>IF('DIVA Satislari'!I734="","",'DIVA Satislari'!M734)</f>
        <v/>
      </c>
      <c r="D734" s="27">
        <f>IF('DIVA Satislari'!I734="","",'DIVA Satislari'!H734)</f>
        <v/>
      </c>
      <c r="E734" s="26">
        <f>IF('DIVA Satislari'!I734="","",'DIVA Satislari'!O734)</f>
        <v/>
      </c>
      <c r="F734" s="26">
        <f>IF('DIVA Satislari'!I734="","",'DIVA Satislari'!AK734)</f>
        <v/>
      </c>
      <c r="G734" s="26">
        <f>IF('DIVA Satislari'!I734="","",'DIVA Satislari'!AO734)</f>
        <v/>
      </c>
      <c r="H734" s="27">
        <f>IF('DIVA Satislari'!I734="","",'DIVA Satislari'!AN734)</f>
        <v/>
      </c>
      <c r="I734" s="28">
        <f>IF('DIVA Satislari'!I734="","",'DIVA Satislari'!AQ734)</f>
        <v/>
      </c>
      <c r="J734" s="26">
        <f>IF('DIVA Satislari'!I734="","",'DIVA Satislari'!AR734)</f>
        <v/>
      </c>
      <c r="K734" s="26">
        <f>IF('DIVA Satislari'!I734="","",IFERROR(INDEX('E2E Nakliye Montaj'!$AS$3:$AS$1002,MATCH('DIVA Satislari'!AJ734,'E2E Nakliye Montaj'!$AM$3:$AM$1002,0)),"Eşleşme Yok"))</f>
        <v/>
      </c>
      <c r="L734" s="26">
        <f>IF('DIVA Satislari'!I734="","",IFERROR(INDEX('E2E Nakliye Montaj'!$AT$3:$AT$1002,MATCH('DIVA Satislari'!AJ734,'E2E Nakliye Montaj'!$AM$3:$AM$1002,0)),"Hayır"))</f>
        <v/>
      </c>
      <c r="M734" s="26">
        <f>IF('DIVA Satislari'!I734="","",IFERROR(INDEX('E2E Nakliye Montaj'!$AU$3:$AU$1002,MATCH('DIVA Satislari'!AJ734,'E2E Nakliye Montaj'!$AM$3:$AM$1002,0)),"Hayır"))</f>
        <v/>
      </c>
      <c r="N734" s="27">
        <f>IF('DIVA Satislari'!I734="","",IFERROR(INDEX('E2E Nakliye Montaj'!$AV$3:$AV$1002,MATCH('DIVA Satislari'!AJ734,'E2E Nakliye Montaj'!$AM$3:$AM$1002,0)),""))</f>
        <v/>
      </c>
      <c r="O734" s="26">
        <f>IF(OR(A734="",N734=""),"",IF(N734&lt;=H734,"Evet","HAYIR - RİSK"))</f>
        <v/>
      </c>
      <c r="P734" s="26">
        <f>IF(A734="","",IF(LEFT(J734,8)="Kural A ","Uygun - Hemen Ödenir (Yıl Sonu %75 Kontrolüne Tabi)",IF(OR(L734="Evet",M734="Evet"),IF(O734="Evet","Uygun","RİSK - Hakediş Süresi Aşıldı"),"Bekleniyor - Nakliye/Montaj Tamamlanmadı")))</f>
        <v/>
      </c>
      <c r="Q734" s="28">
        <f>IF(A734="","",SUMIFS('Hakedis Fatura Detay'!$G$3:$G$1200,'Hakedis Fatura Detay'!$H$3:$H$1200,'DIVA Satislari'!AJ734,'Hakedis Fatura Detay'!$F$3:$F$1200,"Fiyat Farkı")+SUMIFS('Hakedis Fatura Detay'!$G$3:$G$1200,'Hakedis Fatura Detay'!$H$3:$H$1200,'DIVA Satislari'!AJ734,'Hakedis Fatura Detay'!$F$3:$F$1200,"Bundle"))</f>
        <v/>
      </c>
      <c r="R734" s="28">
        <f>IF(A734="","",I734-Q734)</f>
        <v/>
      </c>
      <c r="S734" s="26">
        <f>IF(A734="","",IF(LEFT(P734,7)="Bekleni","N/A - Henüz Ödenmemeli",IF(LEFT(P734,4)="RİSK","İNCELEME GEREKLİ - Süre Aşımı",IF(R734=0,"Doğru",IF(R734&gt;0,"EKSİK ÖDENMİŞ","FAZLA ÖDENMİŞ")))))</f>
        <v/>
      </c>
      <c r="T734" s="30">
        <f>IF(A734="","",IF(F734&lt;&gt;"Evet","İNCELEME GEREKLİ - Kampanya Tanımsız",IF(G734&lt;&gt;"Evet","İNCELEME GEREKLİ - Tarih Dışı Satış",IF(LEFT(P734,4)="RİSK","İNCELEME GEREKLİ - Hakediş Süresi Aşıldı",IF(OR(S734="EKSİK ÖDENMİŞ",S734="FAZLA ÖDENMİŞ"),"İNCELEME GEREKLİ - Tutar Uyuşmazlığı",IF(LEFT(P734,7)="Bekleni","Bekleniyor","Uygun"))))))</f>
        <v/>
      </c>
    </row>
    <row r="735">
      <c r="A735" s="26">
        <f>IF('DIVA Satislari'!I735="","",'DIVA Satislari'!I735)</f>
        <v/>
      </c>
      <c r="B735" s="26">
        <f>IF('DIVA Satislari'!I735="","",'DIVA Satislari'!R735)</f>
        <v/>
      </c>
      <c r="C735" s="26">
        <f>IF('DIVA Satislari'!I735="","",'DIVA Satislari'!M735)</f>
        <v/>
      </c>
      <c r="D735" s="27">
        <f>IF('DIVA Satislari'!I735="","",'DIVA Satislari'!H735)</f>
        <v/>
      </c>
      <c r="E735" s="26">
        <f>IF('DIVA Satislari'!I735="","",'DIVA Satislari'!O735)</f>
        <v/>
      </c>
      <c r="F735" s="26">
        <f>IF('DIVA Satislari'!I735="","",'DIVA Satislari'!AK735)</f>
        <v/>
      </c>
      <c r="G735" s="26">
        <f>IF('DIVA Satislari'!I735="","",'DIVA Satislari'!AO735)</f>
        <v/>
      </c>
      <c r="H735" s="27">
        <f>IF('DIVA Satislari'!I735="","",'DIVA Satislari'!AN735)</f>
        <v/>
      </c>
      <c r="I735" s="28">
        <f>IF('DIVA Satislari'!I735="","",'DIVA Satislari'!AQ735)</f>
        <v/>
      </c>
      <c r="J735" s="26">
        <f>IF('DIVA Satislari'!I735="","",'DIVA Satislari'!AR735)</f>
        <v/>
      </c>
      <c r="K735" s="26">
        <f>IF('DIVA Satislari'!I735="","",IFERROR(INDEX('E2E Nakliye Montaj'!$AS$3:$AS$1002,MATCH('DIVA Satislari'!AJ735,'E2E Nakliye Montaj'!$AM$3:$AM$1002,0)),"Eşleşme Yok"))</f>
        <v/>
      </c>
      <c r="L735" s="26">
        <f>IF('DIVA Satislari'!I735="","",IFERROR(INDEX('E2E Nakliye Montaj'!$AT$3:$AT$1002,MATCH('DIVA Satislari'!AJ735,'E2E Nakliye Montaj'!$AM$3:$AM$1002,0)),"Hayır"))</f>
        <v/>
      </c>
      <c r="M735" s="26">
        <f>IF('DIVA Satislari'!I735="","",IFERROR(INDEX('E2E Nakliye Montaj'!$AU$3:$AU$1002,MATCH('DIVA Satislari'!AJ735,'E2E Nakliye Montaj'!$AM$3:$AM$1002,0)),"Hayır"))</f>
        <v/>
      </c>
      <c r="N735" s="27">
        <f>IF('DIVA Satislari'!I735="","",IFERROR(INDEX('E2E Nakliye Montaj'!$AV$3:$AV$1002,MATCH('DIVA Satislari'!AJ735,'E2E Nakliye Montaj'!$AM$3:$AM$1002,0)),""))</f>
        <v/>
      </c>
      <c r="O735" s="26">
        <f>IF(OR(A735="",N735=""),"",IF(N735&lt;=H735,"Evet","HAYIR - RİSK"))</f>
        <v/>
      </c>
      <c r="P735" s="26">
        <f>IF(A735="","",IF(LEFT(J735,8)="Kural A ","Uygun - Hemen Ödenir (Yıl Sonu %75 Kontrolüne Tabi)",IF(OR(L735="Evet",M735="Evet"),IF(O735="Evet","Uygun","RİSK - Hakediş Süresi Aşıldı"),"Bekleniyor - Nakliye/Montaj Tamamlanmadı")))</f>
        <v/>
      </c>
      <c r="Q735" s="28">
        <f>IF(A735="","",SUMIFS('Hakedis Fatura Detay'!$G$3:$G$1200,'Hakedis Fatura Detay'!$H$3:$H$1200,'DIVA Satislari'!AJ735,'Hakedis Fatura Detay'!$F$3:$F$1200,"Fiyat Farkı")+SUMIFS('Hakedis Fatura Detay'!$G$3:$G$1200,'Hakedis Fatura Detay'!$H$3:$H$1200,'DIVA Satislari'!AJ735,'Hakedis Fatura Detay'!$F$3:$F$1200,"Bundle"))</f>
        <v/>
      </c>
      <c r="R735" s="28">
        <f>IF(A735="","",I735-Q735)</f>
        <v/>
      </c>
      <c r="S735" s="26">
        <f>IF(A735="","",IF(LEFT(P735,7)="Bekleni","N/A - Henüz Ödenmemeli",IF(LEFT(P735,4)="RİSK","İNCELEME GEREKLİ - Süre Aşımı",IF(R735=0,"Doğru",IF(R735&gt;0,"EKSİK ÖDENMİŞ","FAZLA ÖDENMİŞ")))))</f>
        <v/>
      </c>
      <c r="T735" s="30">
        <f>IF(A735="","",IF(F735&lt;&gt;"Evet","İNCELEME GEREKLİ - Kampanya Tanımsız",IF(G735&lt;&gt;"Evet","İNCELEME GEREKLİ - Tarih Dışı Satış",IF(LEFT(P735,4)="RİSK","İNCELEME GEREKLİ - Hakediş Süresi Aşıldı",IF(OR(S735="EKSİK ÖDENMİŞ",S735="FAZLA ÖDENMİŞ"),"İNCELEME GEREKLİ - Tutar Uyuşmazlığı",IF(LEFT(P735,7)="Bekleni","Bekleniyor","Uygun"))))))</f>
        <v/>
      </c>
    </row>
    <row r="736">
      <c r="A736" s="26">
        <f>IF('DIVA Satislari'!I736="","",'DIVA Satislari'!I736)</f>
        <v/>
      </c>
      <c r="B736" s="26">
        <f>IF('DIVA Satislari'!I736="","",'DIVA Satislari'!R736)</f>
        <v/>
      </c>
      <c r="C736" s="26">
        <f>IF('DIVA Satislari'!I736="","",'DIVA Satislari'!M736)</f>
        <v/>
      </c>
      <c r="D736" s="27">
        <f>IF('DIVA Satislari'!I736="","",'DIVA Satislari'!H736)</f>
        <v/>
      </c>
      <c r="E736" s="26">
        <f>IF('DIVA Satislari'!I736="","",'DIVA Satislari'!O736)</f>
        <v/>
      </c>
      <c r="F736" s="26">
        <f>IF('DIVA Satislari'!I736="","",'DIVA Satislari'!AK736)</f>
        <v/>
      </c>
      <c r="G736" s="26">
        <f>IF('DIVA Satislari'!I736="","",'DIVA Satislari'!AO736)</f>
        <v/>
      </c>
      <c r="H736" s="27">
        <f>IF('DIVA Satislari'!I736="","",'DIVA Satislari'!AN736)</f>
        <v/>
      </c>
      <c r="I736" s="28">
        <f>IF('DIVA Satislari'!I736="","",'DIVA Satislari'!AQ736)</f>
        <v/>
      </c>
      <c r="J736" s="26">
        <f>IF('DIVA Satislari'!I736="","",'DIVA Satislari'!AR736)</f>
        <v/>
      </c>
      <c r="K736" s="26">
        <f>IF('DIVA Satislari'!I736="","",IFERROR(INDEX('E2E Nakliye Montaj'!$AS$3:$AS$1002,MATCH('DIVA Satislari'!AJ736,'E2E Nakliye Montaj'!$AM$3:$AM$1002,0)),"Eşleşme Yok"))</f>
        <v/>
      </c>
      <c r="L736" s="26">
        <f>IF('DIVA Satislari'!I736="","",IFERROR(INDEX('E2E Nakliye Montaj'!$AT$3:$AT$1002,MATCH('DIVA Satislari'!AJ736,'E2E Nakliye Montaj'!$AM$3:$AM$1002,0)),"Hayır"))</f>
        <v/>
      </c>
      <c r="M736" s="26">
        <f>IF('DIVA Satislari'!I736="","",IFERROR(INDEX('E2E Nakliye Montaj'!$AU$3:$AU$1002,MATCH('DIVA Satislari'!AJ736,'E2E Nakliye Montaj'!$AM$3:$AM$1002,0)),"Hayır"))</f>
        <v/>
      </c>
      <c r="N736" s="27">
        <f>IF('DIVA Satislari'!I736="","",IFERROR(INDEX('E2E Nakliye Montaj'!$AV$3:$AV$1002,MATCH('DIVA Satislari'!AJ736,'E2E Nakliye Montaj'!$AM$3:$AM$1002,0)),""))</f>
        <v/>
      </c>
      <c r="O736" s="26">
        <f>IF(OR(A736="",N736=""),"",IF(N736&lt;=H736,"Evet","HAYIR - RİSK"))</f>
        <v/>
      </c>
      <c r="P736" s="26">
        <f>IF(A736="","",IF(LEFT(J736,8)="Kural A ","Uygun - Hemen Ödenir (Yıl Sonu %75 Kontrolüne Tabi)",IF(OR(L736="Evet",M736="Evet"),IF(O736="Evet","Uygun","RİSK - Hakediş Süresi Aşıldı"),"Bekleniyor - Nakliye/Montaj Tamamlanmadı")))</f>
        <v/>
      </c>
      <c r="Q736" s="28">
        <f>IF(A736="","",SUMIFS('Hakedis Fatura Detay'!$G$3:$G$1200,'Hakedis Fatura Detay'!$H$3:$H$1200,'DIVA Satislari'!AJ736,'Hakedis Fatura Detay'!$F$3:$F$1200,"Fiyat Farkı")+SUMIFS('Hakedis Fatura Detay'!$G$3:$G$1200,'Hakedis Fatura Detay'!$H$3:$H$1200,'DIVA Satislari'!AJ736,'Hakedis Fatura Detay'!$F$3:$F$1200,"Bundle"))</f>
        <v/>
      </c>
      <c r="R736" s="28">
        <f>IF(A736="","",I736-Q736)</f>
        <v/>
      </c>
      <c r="S736" s="26">
        <f>IF(A736="","",IF(LEFT(P736,7)="Bekleni","N/A - Henüz Ödenmemeli",IF(LEFT(P736,4)="RİSK","İNCELEME GEREKLİ - Süre Aşımı",IF(R736=0,"Doğru",IF(R736&gt;0,"EKSİK ÖDENMİŞ","FAZLA ÖDENMİŞ")))))</f>
        <v/>
      </c>
      <c r="T736" s="30">
        <f>IF(A736="","",IF(F736&lt;&gt;"Evet","İNCELEME GEREKLİ - Kampanya Tanımsız",IF(G736&lt;&gt;"Evet","İNCELEME GEREKLİ - Tarih Dışı Satış",IF(LEFT(P736,4)="RİSK","İNCELEME GEREKLİ - Hakediş Süresi Aşıldı",IF(OR(S736="EKSİK ÖDENMİŞ",S736="FAZLA ÖDENMİŞ"),"İNCELEME GEREKLİ - Tutar Uyuşmazlığı",IF(LEFT(P736,7)="Bekleni","Bekleniyor","Uygun"))))))</f>
        <v/>
      </c>
    </row>
    <row r="737">
      <c r="A737" s="26">
        <f>IF('DIVA Satislari'!I737="","",'DIVA Satislari'!I737)</f>
        <v/>
      </c>
      <c r="B737" s="26">
        <f>IF('DIVA Satislari'!I737="","",'DIVA Satislari'!R737)</f>
        <v/>
      </c>
      <c r="C737" s="26">
        <f>IF('DIVA Satislari'!I737="","",'DIVA Satislari'!M737)</f>
        <v/>
      </c>
      <c r="D737" s="27">
        <f>IF('DIVA Satislari'!I737="","",'DIVA Satislari'!H737)</f>
        <v/>
      </c>
      <c r="E737" s="26">
        <f>IF('DIVA Satislari'!I737="","",'DIVA Satislari'!O737)</f>
        <v/>
      </c>
      <c r="F737" s="26">
        <f>IF('DIVA Satislari'!I737="","",'DIVA Satislari'!AK737)</f>
        <v/>
      </c>
      <c r="G737" s="26">
        <f>IF('DIVA Satislari'!I737="","",'DIVA Satislari'!AO737)</f>
        <v/>
      </c>
      <c r="H737" s="27">
        <f>IF('DIVA Satislari'!I737="","",'DIVA Satislari'!AN737)</f>
        <v/>
      </c>
      <c r="I737" s="28">
        <f>IF('DIVA Satislari'!I737="","",'DIVA Satislari'!AQ737)</f>
        <v/>
      </c>
      <c r="J737" s="26">
        <f>IF('DIVA Satislari'!I737="","",'DIVA Satislari'!AR737)</f>
        <v/>
      </c>
      <c r="K737" s="26">
        <f>IF('DIVA Satislari'!I737="","",IFERROR(INDEX('E2E Nakliye Montaj'!$AS$3:$AS$1002,MATCH('DIVA Satislari'!AJ737,'E2E Nakliye Montaj'!$AM$3:$AM$1002,0)),"Eşleşme Yok"))</f>
        <v/>
      </c>
      <c r="L737" s="26">
        <f>IF('DIVA Satislari'!I737="","",IFERROR(INDEX('E2E Nakliye Montaj'!$AT$3:$AT$1002,MATCH('DIVA Satislari'!AJ737,'E2E Nakliye Montaj'!$AM$3:$AM$1002,0)),"Hayır"))</f>
        <v/>
      </c>
      <c r="M737" s="26">
        <f>IF('DIVA Satislari'!I737="","",IFERROR(INDEX('E2E Nakliye Montaj'!$AU$3:$AU$1002,MATCH('DIVA Satislari'!AJ737,'E2E Nakliye Montaj'!$AM$3:$AM$1002,0)),"Hayır"))</f>
        <v/>
      </c>
      <c r="N737" s="27">
        <f>IF('DIVA Satislari'!I737="","",IFERROR(INDEX('E2E Nakliye Montaj'!$AV$3:$AV$1002,MATCH('DIVA Satislari'!AJ737,'E2E Nakliye Montaj'!$AM$3:$AM$1002,0)),""))</f>
        <v/>
      </c>
      <c r="O737" s="26">
        <f>IF(OR(A737="",N737=""),"",IF(N737&lt;=H737,"Evet","HAYIR - RİSK"))</f>
        <v/>
      </c>
      <c r="P737" s="26">
        <f>IF(A737="","",IF(LEFT(J737,8)="Kural A ","Uygun - Hemen Ödenir (Yıl Sonu %75 Kontrolüne Tabi)",IF(OR(L737="Evet",M737="Evet"),IF(O737="Evet","Uygun","RİSK - Hakediş Süresi Aşıldı"),"Bekleniyor - Nakliye/Montaj Tamamlanmadı")))</f>
        <v/>
      </c>
      <c r="Q737" s="28">
        <f>IF(A737="","",SUMIFS('Hakedis Fatura Detay'!$G$3:$G$1200,'Hakedis Fatura Detay'!$H$3:$H$1200,'DIVA Satislari'!AJ737,'Hakedis Fatura Detay'!$F$3:$F$1200,"Fiyat Farkı")+SUMIFS('Hakedis Fatura Detay'!$G$3:$G$1200,'Hakedis Fatura Detay'!$H$3:$H$1200,'DIVA Satislari'!AJ737,'Hakedis Fatura Detay'!$F$3:$F$1200,"Bundle"))</f>
        <v/>
      </c>
      <c r="R737" s="28">
        <f>IF(A737="","",I737-Q737)</f>
        <v/>
      </c>
      <c r="S737" s="26">
        <f>IF(A737="","",IF(LEFT(P737,7)="Bekleni","N/A - Henüz Ödenmemeli",IF(LEFT(P737,4)="RİSK","İNCELEME GEREKLİ - Süre Aşımı",IF(R737=0,"Doğru",IF(R737&gt;0,"EKSİK ÖDENMİŞ","FAZLA ÖDENMİŞ")))))</f>
        <v/>
      </c>
      <c r="T737" s="30">
        <f>IF(A737="","",IF(F737&lt;&gt;"Evet","İNCELEME GEREKLİ - Kampanya Tanımsız",IF(G737&lt;&gt;"Evet","İNCELEME GEREKLİ - Tarih Dışı Satış",IF(LEFT(P737,4)="RİSK","İNCELEME GEREKLİ - Hakediş Süresi Aşıldı",IF(OR(S737="EKSİK ÖDENMİŞ",S737="FAZLA ÖDENMİŞ"),"İNCELEME GEREKLİ - Tutar Uyuşmazlığı",IF(LEFT(P737,7)="Bekleni","Bekleniyor","Uygun"))))))</f>
        <v/>
      </c>
    </row>
    <row r="738">
      <c r="A738" s="26">
        <f>IF('DIVA Satislari'!I738="","",'DIVA Satislari'!I738)</f>
        <v/>
      </c>
      <c r="B738" s="26">
        <f>IF('DIVA Satislari'!I738="","",'DIVA Satislari'!R738)</f>
        <v/>
      </c>
      <c r="C738" s="26">
        <f>IF('DIVA Satislari'!I738="","",'DIVA Satislari'!M738)</f>
        <v/>
      </c>
      <c r="D738" s="27">
        <f>IF('DIVA Satislari'!I738="","",'DIVA Satislari'!H738)</f>
        <v/>
      </c>
      <c r="E738" s="26">
        <f>IF('DIVA Satislari'!I738="","",'DIVA Satislari'!O738)</f>
        <v/>
      </c>
      <c r="F738" s="26">
        <f>IF('DIVA Satislari'!I738="","",'DIVA Satislari'!AK738)</f>
        <v/>
      </c>
      <c r="G738" s="26">
        <f>IF('DIVA Satislari'!I738="","",'DIVA Satislari'!AO738)</f>
        <v/>
      </c>
      <c r="H738" s="27">
        <f>IF('DIVA Satislari'!I738="","",'DIVA Satislari'!AN738)</f>
        <v/>
      </c>
      <c r="I738" s="28">
        <f>IF('DIVA Satislari'!I738="","",'DIVA Satislari'!AQ738)</f>
        <v/>
      </c>
      <c r="J738" s="26">
        <f>IF('DIVA Satislari'!I738="","",'DIVA Satislari'!AR738)</f>
        <v/>
      </c>
      <c r="K738" s="26">
        <f>IF('DIVA Satislari'!I738="","",IFERROR(INDEX('E2E Nakliye Montaj'!$AS$3:$AS$1002,MATCH('DIVA Satislari'!AJ738,'E2E Nakliye Montaj'!$AM$3:$AM$1002,0)),"Eşleşme Yok"))</f>
        <v/>
      </c>
      <c r="L738" s="26">
        <f>IF('DIVA Satislari'!I738="","",IFERROR(INDEX('E2E Nakliye Montaj'!$AT$3:$AT$1002,MATCH('DIVA Satislari'!AJ738,'E2E Nakliye Montaj'!$AM$3:$AM$1002,0)),"Hayır"))</f>
        <v/>
      </c>
      <c r="M738" s="26">
        <f>IF('DIVA Satislari'!I738="","",IFERROR(INDEX('E2E Nakliye Montaj'!$AU$3:$AU$1002,MATCH('DIVA Satislari'!AJ738,'E2E Nakliye Montaj'!$AM$3:$AM$1002,0)),"Hayır"))</f>
        <v/>
      </c>
      <c r="N738" s="27">
        <f>IF('DIVA Satislari'!I738="","",IFERROR(INDEX('E2E Nakliye Montaj'!$AV$3:$AV$1002,MATCH('DIVA Satislari'!AJ738,'E2E Nakliye Montaj'!$AM$3:$AM$1002,0)),""))</f>
        <v/>
      </c>
      <c r="O738" s="26">
        <f>IF(OR(A738="",N738=""),"",IF(N738&lt;=H738,"Evet","HAYIR - RİSK"))</f>
        <v/>
      </c>
      <c r="P738" s="26">
        <f>IF(A738="","",IF(LEFT(J738,8)="Kural A ","Uygun - Hemen Ödenir (Yıl Sonu %75 Kontrolüne Tabi)",IF(OR(L738="Evet",M738="Evet"),IF(O738="Evet","Uygun","RİSK - Hakediş Süresi Aşıldı"),"Bekleniyor - Nakliye/Montaj Tamamlanmadı")))</f>
        <v/>
      </c>
      <c r="Q738" s="28">
        <f>IF(A738="","",SUMIFS('Hakedis Fatura Detay'!$G$3:$G$1200,'Hakedis Fatura Detay'!$H$3:$H$1200,'DIVA Satislari'!AJ738,'Hakedis Fatura Detay'!$F$3:$F$1200,"Fiyat Farkı")+SUMIFS('Hakedis Fatura Detay'!$G$3:$G$1200,'Hakedis Fatura Detay'!$H$3:$H$1200,'DIVA Satislari'!AJ738,'Hakedis Fatura Detay'!$F$3:$F$1200,"Bundle"))</f>
        <v/>
      </c>
      <c r="R738" s="28">
        <f>IF(A738="","",I738-Q738)</f>
        <v/>
      </c>
      <c r="S738" s="26">
        <f>IF(A738="","",IF(LEFT(P738,7)="Bekleni","N/A - Henüz Ödenmemeli",IF(LEFT(P738,4)="RİSK","İNCELEME GEREKLİ - Süre Aşımı",IF(R738=0,"Doğru",IF(R738&gt;0,"EKSİK ÖDENMİŞ","FAZLA ÖDENMİŞ")))))</f>
        <v/>
      </c>
      <c r="T738" s="30">
        <f>IF(A738="","",IF(F738&lt;&gt;"Evet","İNCELEME GEREKLİ - Kampanya Tanımsız",IF(G738&lt;&gt;"Evet","İNCELEME GEREKLİ - Tarih Dışı Satış",IF(LEFT(P738,4)="RİSK","İNCELEME GEREKLİ - Hakediş Süresi Aşıldı",IF(OR(S738="EKSİK ÖDENMİŞ",S738="FAZLA ÖDENMİŞ"),"İNCELEME GEREKLİ - Tutar Uyuşmazlığı",IF(LEFT(P738,7)="Bekleni","Bekleniyor","Uygun"))))))</f>
        <v/>
      </c>
    </row>
    <row r="739">
      <c r="A739" s="26">
        <f>IF('DIVA Satislari'!I739="","",'DIVA Satislari'!I739)</f>
        <v/>
      </c>
      <c r="B739" s="26">
        <f>IF('DIVA Satislari'!I739="","",'DIVA Satislari'!R739)</f>
        <v/>
      </c>
      <c r="C739" s="26">
        <f>IF('DIVA Satislari'!I739="","",'DIVA Satislari'!M739)</f>
        <v/>
      </c>
      <c r="D739" s="27">
        <f>IF('DIVA Satislari'!I739="","",'DIVA Satislari'!H739)</f>
        <v/>
      </c>
      <c r="E739" s="26">
        <f>IF('DIVA Satislari'!I739="","",'DIVA Satislari'!O739)</f>
        <v/>
      </c>
      <c r="F739" s="26">
        <f>IF('DIVA Satislari'!I739="","",'DIVA Satislari'!AK739)</f>
        <v/>
      </c>
      <c r="G739" s="26">
        <f>IF('DIVA Satislari'!I739="","",'DIVA Satislari'!AO739)</f>
        <v/>
      </c>
      <c r="H739" s="27">
        <f>IF('DIVA Satislari'!I739="","",'DIVA Satislari'!AN739)</f>
        <v/>
      </c>
      <c r="I739" s="28">
        <f>IF('DIVA Satislari'!I739="","",'DIVA Satislari'!AQ739)</f>
        <v/>
      </c>
      <c r="J739" s="26">
        <f>IF('DIVA Satislari'!I739="","",'DIVA Satislari'!AR739)</f>
        <v/>
      </c>
      <c r="K739" s="26">
        <f>IF('DIVA Satislari'!I739="","",IFERROR(INDEX('E2E Nakliye Montaj'!$AS$3:$AS$1002,MATCH('DIVA Satislari'!AJ739,'E2E Nakliye Montaj'!$AM$3:$AM$1002,0)),"Eşleşme Yok"))</f>
        <v/>
      </c>
      <c r="L739" s="26">
        <f>IF('DIVA Satislari'!I739="","",IFERROR(INDEX('E2E Nakliye Montaj'!$AT$3:$AT$1002,MATCH('DIVA Satislari'!AJ739,'E2E Nakliye Montaj'!$AM$3:$AM$1002,0)),"Hayır"))</f>
        <v/>
      </c>
      <c r="M739" s="26">
        <f>IF('DIVA Satislari'!I739="","",IFERROR(INDEX('E2E Nakliye Montaj'!$AU$3:$AU$1002,MATCH('DIVA Satislari'!AJ739,'E2E Nakliye Montaj'!$AM$3:$AM$1002,0)),"Hayır"))</f>
        <v/>
      </c>
      <c r="N739" s="27">
        <f>IF('DIVA Satislari'!I739="","",IFERROR(INDEX('E2E Nakliye Montaj'!$AV$3:$AV$1002,MATCH('DIVA Satislari'!AJ739,'E2E Nakliye Montaj'!$AM$3:$AM$1002,0)),""))</f>
        <v/>
      </c>
      <c r="O739" s="26">
        <f>IF(OR(A739="",N739=""),"",IF(N739&lt;=H739,"Evet","HAYIR - RİSK"))</f>
        <v/>
      </c>
      <c r="P739" s="26">
        <f>IF(A739="","",IF(LEFT(J739,8)="Kural A ","Uygun - Hemen Ödenir (Yıl Sonu %75 Kontrolüne Tabi)",IF(OR(L739="Evet",M739="Evet"),IF(O739="Evet","Uygun","RİSK - Hakediş Süresi Aşıldı"),"Bekleniyor - Nakliye/Montaj Tamamlanmadı")))</f>
        <v/>
      </c>
      <c r="Q739" s="28">
        <f>IF(A739="","",SUMIFS('Hakedis Fatura Detay'!$G$3:$G$1200,'Hakedis Fatura Detay'!$H$3:$H$1200,'DIVA Satislari'!AJ739,'Hakedis Fatura Detay'!$F$3:$F$1200,"Fiyat Farkı")+SUMIFS('Hakedis Fatura Detay'!$G$3:$G$1200,'Hakedis Fatura Detay'!$H$3:$H$1200,'DIVA Satislari'!AJ739,'Hakedis Fatura Detay'!$F$3:$F$1200,"Bundle"))</f>
        <v/>
      </c>
      <c r="R739" s="28">
        <f>IF(A739="","",I739-Q739)</f>
        <v/>
      </c>
      <c r="S739" s="26">
        <f>IF(A739="","",IF(LEFT(P739,7)="Bekleni","N/A - Henüz Ödenmemeli",IF(LEFT(P739,4)="RİSK","İNCELEME GEREKLİ - Süre Aşımı",IF(R739=0,"Doğru",IF(R739&gt;0,"EKSİK ÖDENMİŞ","FAZLA ÖDENMİŞ")))))</f>
        <v/>
      </c>
      <c r="T739" s="30">
        <f>IF(A739="","",IF(F739&lt;&gt;"Evet","İNCELEME GEREKLİ - Kampanya Tanımsız",IF(G739&lt;&gt;"Evet","İNCELEME GEREKLİ - Tarih Dışı Satış",IF(LEFT(P739,4)="RİSK","İNCELEME GEREKLİ - Hakediş Süresi Aşıldı",IF(OR(S739="EKSİK ÖDENMİŞ",S739="FAZLA ÖDENMİŞ"),"İNCELEME GEREKLİ - Tutar Uyuşmazlığı",IF(LEFT(P739,7)="Bekleni","Bekleniyor","Uygun"))))))</f>
        <v/>
      </c>
    </row>
    <row r="740">
      <c r="A740" s="26">
        <f>IF('DIVA Satislari'!I740="","",'DIVA Satislari'!I740)</f>
        <v/>
      </c>
      <c r="B740" s="26">
        <f>IF('DIVA Satislari'!I740="","",'DIVA Satislari'!R740)</f>
        <v/>
      </c>
      <c r="C740" s="26">
        <f>IF('DIVA Satislari'!I740="","",'DIVA Satislari'!M740)</f>
        <v/>
      </c>
      <c r="D740" s="27">
        <f>IF('DIVA Satislari'!I740="","",'DIVA Satislari'!H740)</f>
        <v/>
      </c>
      <c r="E740" s="26">
        <f>IF('DIVA Satislari'!I740="","",'DIVA Satislari'!O740)</f>
        <v/>
      </c>
      <c r="F740" s="26">
        <f>IF('DIVA Satislari'!I740="","",'DIVA Satislari'!AK740)</f>
        <v/>
      </c>
      <c r="G740" s="26">
        <f>IF('DIVA Satislari'!I740="","",'DIVA Satislari'!AO740)</f>
        <v/>
      </c>
      <c r="H740" s="27">
        <f>IF('DIVA Satislari'!I740="","",'DIVA Satislari'!AN740)</f>
        <v/>
      </c>
      <c r="I740" s="28">
        <f>IF('DIVA Satislari'!I740="","",'DIVA Satislari'!AQ740)</f>
        <v/>
      </c>
      <c r="J740" s="26">
        <f>IF('DIVA Satislari'!I740="","",'DIVA Satislari'!AR740)</f>
        <v/>
      </c>
      <c r="K740" s="26">
        <f>IF('DIVA Satislari'!I740="","",IFERROR(INDEX('E2E Nakliye Montaj'!$AS$3:$AS$1002,MATCH('DIVA Satislari'!AJ740,'E2E Nakliye Montaj'!$AM$3:$AM$1002,0)),"Eşleşme Yok"))</f>
        <v/>
      </c>
      <c r="L740" s="26">
        <f>IF('DIVA Satislari'!I740="","",IFERROR(INDEX('E2E Nakliye Montaj'!$AT$3:$AT$1002,MATCH('DIVA Satislari'!AJ740,'E2E Nakliye Montaj'!$AM$3:$AM$1002,0)),"Hayır"))</f>
        <v/>
      </c>
      <c r="M740" s="26">
        <f>IF('DIVA Satislari'!I740="","",IFERROR(INDEX('E2E Nakliye Montaj'!$AU$3:$AU$1002,MATCH('DIVA Satislari'!AJ740,'E2E Nakliye Montaj'!$AM$3:$AM$1002,0)),"Hayır"))</f>
        <v/>
      </c>
      <c r="N740" s="27">
        <f>IF('DIVA Satislari'!I740="","",IFERROR(INDEX('E2E Nakliye Montaj'!$AV$3:$AV$1002,MATCH('DIVA Satislari'!AJ740,'E2E Nakliye Montaj'!$AM$3:$AM$1002,0)),""))</f>
        <v/>
      </c>
      <c r="O740" s="26">
        <f>IF(OR(A740="",N740=""),"",IF(N740&lt;=H740,"Evet","HAYIR - RİSK"))</f>
        <v/>
      </c>
      <c r="P740" s="26">
        <f>IF(A740="","",IF(LEFT(J740,8)="Kural A ","Uygun - Hemen Ödenir (Yıl Sonu %75 Kontrolüne Tabi)",IF(OR(L740="Evet",M740="Evet"),IF(O740="Evet","Uygun","RİSK - Hakediş Süresi Aşıldı"),"Bekleniyor - Nakliye/Montaj Tamamlanmadı")))</f>
        <v/>
      </c>
      <c r="Q740" s="28">
        <f>IF(A740="","",SUMIFS('Hakedis Fatura Detay'!$G$3:$G$1200,'Hakedis Fatura Detay'!$H$3:$H$1200,'DIVA Satislari'!AJ740,'Hakedis Fatura Detay'!$F$3:$F$1200,"Fiyat Farkı")+SUMIFS('Hakedis Fatura Detay'!$G$3:$G$1200,'Hakedis Fatura Detay'!$H$3:$H$1200,'DIVA Satislari'!AJ740,'Hakedis Fatura Detay'!$F$3:$F$1200,"Bundle"))</f>
        <v/>
      </c>
      <c r="R740" s="28">
        <f>IF(A740="","",I740-Q740)</f>
        <v/>
      </c>
      <c r="S740" s="26">
        <f>IF(A740="","",IF(LEFT(P740,7)="Bekleni","N/A - Henüz Ödenmemeli",IF(LEFT(P740,4)="RİSK","İNCELEME GEREKLİ - Süre Aşımı",IF(R740=0,"Doğru",IF(R740&gt;0,"EKSİK ÖDENMİŞ","FAZLA ÖDENMİŞ")))))</f>
        <v/>
      </c>
      <c r="T740" s="30">
        <f>IF(A740="","",IF(F740&lt;&gt;"Evet","İNCELEME GEREKLİ - Kampanya Tanımsız",IF(G740&lt;&gt;"Evet","İNCELEME GEREKLİ - Tarih Dışı Satış",IF(LEFT(P740,4)="RİSK","İNCELEME GEREKLİ - Hakediş Süresi Aşıldı",IF(OR(S740="EKSİK ÖDENMİŞ",S740="FAZLA ÖDENMİŞ"),"İNCELEME GEREKLİ - Tutar Uyuşmazlığı",IF(LEFT(P740,7)="Bekleni","Bekleniyor","Uygun"))))))</f>
        <v/>
      </c>
    </row>
    <row r="741">
      <c r="A741" s="26">
        <f>IF('DIVA Satislari'!I741="","",'DIVA Satislari'!I741)</f>
        <v/>
      </c>
      <c r="B741" s="26">
        <f>IF('DIVA Satislari'!I741="","",'DIVA Satislari'!R741)</f>
        <v/>
      </c>
      <c r="C741" s="26">
        <f>IF('DIVA Satislari'!I741="","",'DIVA Satislari'!M741)</f>
        <v/>
      </c>
      <c r="D741" s="27">
        <f>IF('DIVA Satislari'!I741="","",'DIVA Satislari'!H741)</f>
        <v/>
      </c>
      <c r="E741" s="26">
        <f>IF('DIVA Satislari'!I741="","",'DIVA Satislari'!O741)</f>
        <v/>
      </c>
      <c r="F741" s="26">
        <f>IF('DIVA Satislari'!I741="","",'DIVA Satislari'!AK741)</f>
        <v/>
      </c>
      <c r="G741" s="26">
        <f>IF('DIVA Satislari'!I741="","",'DIVA Satislari'!AO741)</f>
        <v/>
      </c>
      <c r="H741" s="27">
        <f>IF('DIVA Satislari'!I741="","",'DIVA Satislari'!AN741)</f>
        <v/>
      </c>
      <c r="I741" s="28">
        <f>IF('DIVA Satislari'!I741="","",'DIVA Satislari'!AQ741)</f>
        <v/>
      </c>
      <c r="J741" s="26">
        <f>IF('DIVA Satislari'!I741="","",'DIVA Satislari'!AR741)</f>
        <v/>
      </c>
      <c r="K741" s="26">
        <f>IF('DIVA Satislari'!I741="","",IFERROR(INDEX('E2E Nakliye Montaj'!$AS$3:$AS$1002,MATCH('DIVA Satislari'!AJ741,'E2E Nakliye Montaj'!$AM$3:$AM$1002,0)),"Eşleşme Yok"))</f>
        <v/>
      </c>
      <c r="L741" s="26">
        <f>IF('DIVA Satislari'!I741="","",IFERROR(INDEX('E2E Nakliye Montaj'!$AT$3:$AT$1002,MATCH('DIVA Satislari'!AJ741,'E2E Nakliye Montaj'!$AM$3:$AM$1002,0)),"Hayır"))</f>
        <v/>
      </c>
      <c r="M741" s="26">
        <f>IF('DIVA Satislari'!I741="","",IFERROR(INDEX('E2E Nakliye Montaj'!$AU$3:$AU$1002,MATCH('DIVA Satislari'!AJ741,'E2E Nakliye Montaj'!$AM$3:$AM$1002,0)),"Hayır"))</f>
        <v/>
      </c>
      <c r="N741" s="27">
        <f>IF('DIVA Satislari'!I741="","",IFERROR(INDEX('E2E Nakliye Montaj'!$AV$3:$AV$1002,MATCH('DIVA Satislari'!AJ741,'E2E Nakliye Montaj'!$AM$3:$AM$1002,0)),""))</f>
        <v/>
      </c>
      <c r="O741" s="26">
        <f>IF(OR(A741="",N741=""),"",IF(N741&lt;=H741,"Evet","HAYIR - RİSK"))</f>
        <v/>
      </c>
      <c r="P741" s="26">
        <f>IF(A741="","",IF(LEFT(J741,8)="Kural A ","Uygun - Hemen Ödenir (Yıl Sonu %75 Kontrolüne Tabi)",IF(OR(L741="Evet",M741="Evet"),IF(O741="Evet","Uygun","RİSK - Hakediş Süresi Aşıldı"),"Bekleniyor - Nakliye/Montaj Tamamlanmadı")))</f>
        <v/>
      </c>
      <c r="Q741" s="28">
        <f>IF(A741="","",SUMIFS('Hakedis Fatura Detay'!$G$3:$G$1200,'Hakedis Fatura Detay'!$H$3:$H$1200,'DIVA Satislari'!AJ741,'Hakedis Fatura Detay'!$F$3:$F$1200,"Fiyat Farkı")+SUMIFS('Hakedis Fatura Detay'!$G$3:$G$1200,'Hakedis Fatura Detay'!$H$3:$H$1200,'DIVA Satislari'!AJ741,'Hakedis Fatura Detay'!$F$3:$F$1200,"Bundle"))</f>
        <v/>
      </c>
      <c r="R741" s="28">
        <f>IF(A741="","",I741-Q741)</f>
        <v/>
      </c>
      <c r="S741" s="26">
        <f>IF(A741="","",IF(LEFT(P741,7)="Bekleni","N/A - Henüz Ödenmemeli",IF(LEFT(P741,4)="RİSK","İNCELEME GEREKLİ - Süre Aşımı",IF(R741=0,"Doğru",IF(R741&gt;0,"EKSİK ÖDENMİŞ","FAZLA ÖDENMİŞ")))))</f>
        <v/>
      </c>
      <c r="T741" s="30">
        <f>IF(A741="","",IF(F741&lt;&gt;"Evet","İNCELEME GEREKLİ - Kampanya Tanımsız",IF(G741&lt;&gt;"Evet","İNCELEME GEREKLİ - Tarih Dışı Satış",IF(LEFT(P741,4)="RİSK","İNCELEME GEREKLİ - Hakediş Süresi Aşıldı",IF(OR(S741="EKSİK ÖDENMİŞ",S741="FAZLA ÖDENMİŞ"),"İNCELEME GEREKLİ - Tutar Uyuşmazlığı",IF(LEFT(P741,7)="Bekleni","Bekleniyor","Uygun"))))))</f>
        <v/>
      </c>
    </row>
    <row r="742">
      <c r="A742" s="26">
        <f>IF('DIVA Satislari'!I742="","",'DIVA Satislari'!I742)</f>
        <v/>
      </c>
      <c r="B742" s="26">
        <f>IF('DIVA Satislari'!I742="","",'DIVA Satislari'!R742)</f>
        <v/>
      </c>
      <c r="C742" s="26">
        <f>IF('DIVA Satislari'!I742="","",'DIVA Satislari'!M742)</f>
        <v/>
      </c>
      <c r="D742" s="27">
        <f>IF('DIVA Satislari'!I742="","",'DIVA Satislari'!H742)</f>
        <v/>
      </c>
      <c r="E742" s="26">
        <f>IF('DIVA Satislari'!I742="","",'DIVA Satislari'!O742)</f>
        <v/>
      </c>
      <c r="F742" s="26">
        <f>IF('DIVA Satislari'!I742="","",'DIVA Satislari'!AK742)</f>
        <v/>
      </c>
      <c r="G742" s="26">
        <f>IF('DIVA Satislari'!I742="","",'DIVA Satislari'!AO742)</f>
        <v/>
      </c>
      <c r="H742" s="27">
        <f>IF('DIVA Satislari'!I742="","",'DIVA Satislari'!AN742)</f>
        <v/>
      </c>
      <c r="I742" s="28">
        <f>IF('DIVA Satislari'!I742="","",'DIVA Satislari'!AQ742)</f>
        <v/>
      </c>
      <c r="J742" s="26">
        <f>IF('DIVA Satislari'!I742="","",'DIVA Satislari'!AR742)</f>
        <v/>
      </c>
      <c r="K742" s="26">
        <f>IF('DIVA Satislari'!I742="","",IFERROR(INDEX('E2E Nakliye Montaj'!$AS$3:$AS$1002,MATCH('DIVA Satislari'!AJ742,'E2E Nakliye Montaj'!$AM$3:$AM$1002,0)),"Eşleşme Yok"))</f>
        <v/>
      </c>
      <c r="L742" s="26">
        <f>IF('DIVA Satislari'!I742="","",IFERROR(INDEX('E2E Nakliye Montaj'!$AT$3:$AT$1002,MATCH('DIVA Satislari'!AJ742,'E2E Nakliye Montaj'!$AM$3:$AM$1002,0)),"Hayır"))</f>
        <v/>
      </c>
      <c r="M742" s="26">
        <f>IF('DIVA Satislari'!I742="","",IFERROR(INDEX('E2E Nakliye Montaj'!$AU$3:$AU$1002,MATCH('DIVA Satislari'!AJ742,'E2E Nakliye Montaj'!$AM$3:$AM$1002,0)),"Hayır"))</f>
        <v/>
      </c>
      <c r="N742" s="27">
        <f>IF('DIVA Satislari'!I742="","",IFERROR(INDEX('E2E Nakliye Montaj'!$AV$3:$AV$1002,MATCH('DIVA Satislari'!AJ742,'E2E Nakliye Montaj'!$AM$3:$AM$1002,0)),""))</f>
        <v/>
      </c>
      <c r="O742" s="26">
        <f>IF(OR(A742="",N742=""),"",IF(N742&lt;=H742,"Evet","HAYIR - RİSK"))</f>
        <v/>
      </c>
      <c r="P742" s="26">
        <f>IF(A742="","",IF(LEFT(J742,8)="Kural A ","Uygun - Hemen Ödenir (Yıl Sonu %75 Kontrolüne Tabi)",IF(OR(L742="Evet",M742="Evet"),IF(O742="Evet","Uygun","RİSK - Hakediş Süresi Aşıldı"),"Bekleniyor - Nakliye/Montaj Tamamlanmadı")))</f>
        <v/>
      </c>
      <c r="Q742" s="28">
        <f>IF(A742="","",SUMIFS('Hakedis Fatura Detay'!$G$3:$G$1200,'Hakedis Fatura Detay'!$H$3:$H$1200,'DIVA Satislari'!AJ742,'Hakedis Fatura Detay'!$F$3:$F$1200,"Fiyat Farkı")+SUMIFS('Hakedis Fatura Detay'!$G$3:$G$1200,'Hakedis Fatura Detay'!$H$3:$H$1200,'DIVA Satislari'!AJ742,'Hakedis Fatura Detay'!$F$3:$F$1200,"Bundle"))</f>
        <v/>
      </c>
      <c r="R742" s="28">
        <f>IF(A742="","",I742-Q742)</f>
        <v/>
      </c>
      <c r="S742" s="26">
        <f>IF(A742="","",IF(LEFT(P742,7)="Bekleni","N/A - Henüz Ödenmemeli",IF(LEFT(P742,4)="RİSK","İNCELEME GEREKLİ - Süre Aşımı",IF(R742=0,"Doğru",IF(R742&gt;0,"EKSİK ÖDENMİŞ","FAZLA ÖDENMİŞ")))))</f>
        <v/>
      </c>
      <c r="T742" s="30">
        <f>IF(A742="","",IF(F742&lt;&gt;"Evet","İNCELEME GEREKLİ - Kampanya Tanımsız",IF(G742&lt;&gt;"Evet","İNCELEME GEREKLİ - Tarih Dışı Satış",IF(LEFT(P742,4)="RİSK","İNCELEME GEREKLİ - Hakediş Süresi Aşıldı",IF(OR(S742="EKSİK ÖDENMİŞ",S742="FAZLA ÖDENMİŞ"),"İNCELEME GEREKLİ - Tutar Uyuşmazlığı",IF(LEFT(P742,7)="Bekleni","Bekleniyor","Uygun"))))))</f>
        <v/>
      </c>
    </row>
    <row r="743">
      <c r="A743" s="26">
        <f>IF('DIVA Satislari'!I743="","",'DIVA Satislari'!I743)</f>
        <v/>
      </c>
      <c r="B743" s="26">
        <f>IF('DIVA Satislari'!I743="","",'DIVA Satislari'!R743)</f>
        <v/>
      </c>
      <c r="C743" s="26">
        <f>IF('DIVA Satislari'!I743="","",'DIVA Satislari'!M743)</f>
        <v/>
      </c>
      <c r="D743" s="27">
        <f>IF('DIVA Satislari'!I743="","",'DIVA Satislari'!H743)</f>
        <v/>
      </c>
      <c r="E743" s="26">
        <f>IF('DIVA Satislari'!I743="","",'DIVA Satislari'!O743)</f>
        <v/>
      </c>
      <c r="F743" s="26">
        <f>IF('DIVA Satislari'!I743="","",'DIVA Satislari'!AK743)</f>
        <v/>
      </c>
      <c r="G743" s="26">
        <f>IF('DIVA Satislari'!I743="","",'DIVA Satislari'!AO743)</f>
        <v/>
      </c>
      <c r="H743" s="27">
        <f>IF('DIVA Satislari'!I743="","",'DIVA Satislari'!AN743)</f>
        <v/>
      </c>
      <c r="I743" s="28">
        <f>IF('DIVA Satislari'!I743="","",'DIVA Satislari'!AQ743)</f>
        <v/>
      </c>
      <c r="J743" s="26">
        <f>IF('DIVA Satislari'!I743="","",'DIVA Satislari'!AR743)</f>
        <v/>
      </c>
      <c r="K743" s="26">
        <f>IF('DIVA Satislari'!I743="","",IFERROR(INDEX('E2E Nakliye Montaj'!$AS$3:$AS$1002,MATCH('DIVA Satislari'!AJ743,'E2E Nakliye Montaj'!$AM$3:$AM$1002,0)),"Eşleşme Yok"))</f>
        <v/>
      </c>
      <c r="L743" s="26">
        <f>IF('DIVA Satislari'!I743="","",IFERROR(INDEX('E2E Nakliye Montaj'!$AT$3:$AT$1002,MATCH('DIVA Satislari'!AJ743,'E2E Nakliye Montaj'!$AM$3:$AM$1002,0)),"Hayır"))</f>
        <v/>
      </c>
      <c r="M743" s="26">
        <f>IF('DIVA Satislari'!I743="","",IFERROR(INDEX('E2E Nakliye Montaj'!$AU$3:$AU$1002,MATCH('DIVA Satislari'!AJ743,'E2E Nakliye Montaj'!$AM$3:$AM$1002,0)),"Hayır"))</f>
        <v/>
      </c>
      <c r="N743" s="27">
        <f>IF('DIVA Satislari'!I743="","",IFERROR(INDEX('E2E Nakliye Montaj'!$AV$3:$AV$1002,MATCH('DIVA Satislari'!AJ743,'E2E Nakliye Montaj'!$AM$3:$AM$1002,0)),""))</f>
        <v/>
      </c>
      <c r="O743" s="26">
        <f>IF(OR(A743="",N743=""),"",IF(N743&lt;=H743,"Evet","HAYIR - RİSK"))</f>
        <v/>
      </c>
      <c r="P743" s="26">
        <f>IF(A743="","",IF(LEFT(J743,8)="Kural A ","Uygun - Hemen Ödenir (Yıl Sonu %75 Kontrolüne Tabi)",IF(OR(L743="Evet",M743="Evet"),IF(O743="Evet","Uygun","RİSK - Hakediş Süresi Aşıldı"),"Bekleniyor - Nakliye/Montaj Tamamlanmadı")))</f>
        <v/>
      </c>
      <c r="Q743" s="28">
        <f>IF(A743="","",SUMIFS('Hakedis Fatura Detay'!$G$3:$G$1200,'Hakedis Fatura Detay'!$H$3:$H$1200,'DIVA Satislari'!AJ743,'Hakedis Fatura Detay'!$F$3:$F$1200,"Fiyat Farkı")+SUMIFS('Hakedis Fatura Detay'!$G$3:$G$1200,'Hakedis Fatura Detay'!$H$3:$H$1200,'DIVA Satislari'!AJ743,'Hakedis Fatura Detay'!$F$3:$F$1200,"Bundle"))</f>
        <v/>
      </c>
      <c r="R743" s="28">
        <f>IF(A743="","",I743-Q743)</f>
        <v/>
      </c>
      <c r="S743" s="26">
        <f>IF(A743="","",IF(LEFT(P743,7)="Bekleni","N/A - Henüz Ödenmemeli",IF(LEFT(P743,4)="RİSK","İNCELEME GEREKLİ - Süre Aşımı",IF(R743=0,"Doğru",IF(R743&gt;0,"EKSİK ÖDENMİŞ","FAZLA ÖDENMİŞ")))))</f>
        <v/>
      </c>
      <c r="T743" s="30">
        <f>IF(A743="","",IF(F743&lt;&gt;"Evet","İNCELEME GEREKLİ - Kampanya Tanımsız",IF(G743&lt;&gt;"Evet","İNCELEME GEREKLİ - Tarih Dışı Satış",IF(LEFT(P743,4)="RİSK","İNCELEME GEREKLİ - Hakediş Süresi Aşıldı",IF(OR(S743="EKSİK ÖDENMİŞ",S743="FAZLA ÖDENMİŞ"),"İNCELEME GEREKLİ - Tutar Uyuşmazlığı",IF(LEFT(P743,7)="Bekleni","Bekleniyor","Uygun"))))))</f>
        <v/>
      </c>
    </row>
    <row r="744">
      <c r="A744" s="26">
        <f>IF('DIVA Satislari'!I744="","",'DIVA Satislari'!I744)</f>
        <v/>
      </c>
      <c r="B744" s="26">
        <f>IF('DIVA Satislari'!I744="","",'DIVA Satislari'!R744)</f>
        <v/>
      </c>
      <c r="C744" s="26">
        <f>IF('DIVA Satislari'!I744="","",'DIVA Satislari'!M744)</f>
        <v/>
      </c>
      <c r="D744" s="27">
        <f>IF('DIVA Satislari'!I744="","",'DIVA Satislari'!H744)</f>
        <v/>
      </c>
      <c r="E744" s="26">
        <f>IF('DIVA Satislari'!I744="","",'DIVA Satislari'!O744)</f>
        <v/>
      </c>
      <c r="F744" s="26">
        <f>IF('DIVA Satislari'!I744="","",'DIVA Satislari'!AK744)</f>
        <v/>
      </c>
      <c r="G744" s="26">
        <f>IF('DIVA Satislari'!I744="","",'DIVA Satislari'!AO744)</f>
        <v/>
      </c>
      <c r="H744" s="27">
        <f>IF('DIVA Satislari'!I744="","",'DIVA Satislari'!AN744)</f>
        <v/>
      </c>
      <c r="I744" s="28">
        <f>IF('DIVA Satislari'!I744="","",'DIVA Satislari'!AQ744)</f>
        <v/>
      </c>
      <c r="J744" s="26">
        <f>IF('DIVA Satislari'!I744="","",'DIVA Satislari'!AR744)</f>
        <v/>
      </c>
      <c r="K744" s="26">
        <f>IF('DIVA Satislari'!I744="","",IFERROR(INDEX('E2E Nakliye Montaj'!$AS$3:$AS$1002,MATCH('DIVA Satislari'!AJ744,'E2E Nakliye Montaj'!$AM$3:$AM$1002,0)),"Eşleşme Yok"))</f>
        <v/>
      </c>
      <c r="L744" s="26">
        <f>IF('DIVA Satislari'!I744="","",IFERROR(INDEX('E2E Nakliye Montaj'!$AT$3:$AT$1002,MATCH('DIVA Satislari'!AJ744,'E2E Nakliye Montaj'!$AM$3:$AM$1002,0)),"Hayır"))</f>
        <v/>
      </c>
      <c r="M744" s="26">
        <f>IF('DIVA Satislari'!I744="","",IFERROR(INDEX('E2E Nakliye Montaj'!$AU$3:$AU$1002,MATCH('DIVA Satislari'!AJ744,'E2E Nakliye Montaj'!$AM$3:$AM$1002,0)),"Hayır"))</f>
        <v/>
      </c>
      <c r="N744" s="27">
        <f>IF('DIVA Satislari'!I744="","",IFERROR(INDEX('E2E Nakliye Montaj'!$AV$3:$AV$1002,MATCH('DIVA Satislari'!AJ744,'E2E Nakliye Montaj'!$AM$3:$AM$1002,0)),""))</f>
        <v/>
      </c>
      <c r="O744" s="26">
        <f>IF(OR(A744="",N744=""),"",IF(N744&lt;=H744,"Evet","HAYIR - RİSK"))</f>
        <v/>
      </c>
      <c r="P744" s="26">
        <f>IF(A744="","",IF(LEFT(J744,8)="Kural A ","Uygun - Hemen Ödenir (Yıl Sonu %75 Kontrolüne Tabi)",IF(OR(L744="Evet",M744="Evet"),IF(O744="Evet","Uygun","RİSK - Hakediş Süresi Aşıldı"),"Bekleniyor - Nakliye/Montaj Tamamlanmadı")))</f>
        <v/>
      </c>
      <c r="Q744" s="28">
        <f>IF(A744="","",SUMIFS('Hakedis Fatura Detay'!$G$3:$G$1200,'Hakedis Fatura Detay'!$H$3:$H$1200,'DIVA Satislari'!AJ744,'Hakedis Fatura Detay'!$F$3:$F$1200,"Fiyat Farkı")+SUMIFS('Hakedis Fatura Detay'!$G$3:$G$1200,'Hakedis Fatura Detay'!$H$3:$H$1200,'DIVA Satislari'!AJ744,'Hakedis Fatura Detay'!$F$3:$F$1200,"Bundle"))</f>
        <v/>
      </c>
      <c r="R744" s="28">
        <f>IF(A744="","",I744-Q744)</f>
        <v/>
      </c>
      <c r="S744" s="26">
        <f>IF(A744="","",IF(LEFT(P744,7)="Bekleni","N/A - Henüz Ödenmemeli",IF(LEFT(P744,4)="RİSK","İNCELEME GEREKLİ - Süre Aşımı",IF(R744=0,"Doğru",IF(R744&gt;0,"EKSİK ÖDENMİŞ","FAZLA ÖDENMİŞ")))))</f>
        <v/>
      </c>
      <c r="T744" s="30">
        <f>IF(A744="","",IF(F744&lt;&gt;"Evet","İNCELEME GEREKLİ - Kampanya Tanımsız",IF(G744&lt;&gt;"Evet","İNCELEME GEREKLİ - Tarih Dışı Satış",IF(LEFT(P744,4)="RİSK","İNCELEME GEREKLİ - Hakediş Süresi Aşıldı",IF(OR(S744="EKSİK ÖDENMİŞ",S744="FAZLA ÖDENMİŞ"),"İNCELEME GEREKLİ - Tutar Uyuşmazlığı",IF(LEFT(P744,7)="Bekleni","Bekleniyor","Uygun"))))))</f>
        <v/>
      </c>
    </row>
    <row r="745">
      <c r="A745" s="26">
        <f>IF('DIVA Satislari'!I745="","",'DIVA Satislari'!I745)</f>
        <v/>
      </c>
      <c r="B745" s="26">
        <f>IF('DIVA Satislari'!I745="","",'DIVA Satislari'!R745)</f>
        <v/>
      </c>
      <c r="C745" s="26">
        <f>IF('DIVA Satislari'!I745="","",'DIVA Satislari'!M745)</f>
        <v/>
      </c>
      <c r="D745" s="27">
        <f>IF('DIVA Satislari'!I745="","",'DIVA Satislari'!H745)</f>
        <v/>
      </c>
      <c r="E745" s="26">
        <f>IF('DIVA Satislari'!I745="","",'DIVA Satislari'!O745)</f>
        <v/>
      </c>
      <c r="F745" s="26">
        <f>IF('DIVA Satislari'!I745="","",'DIVA Satislari'!AK745)</f>
        <v/>
      </c>
      <c r="G745" s="26">
        <f>IF('DIVA Satislari'!I745="","",'DIVA Satislari'!AO745)</f>
        <v/>
      </c>
      <c r="H745" s="27">
        <f>IF('DIVA Satislari'!I745="","",'DIVA Satislari'!AN745)</f>
        <v/>
      </c>
      <c r="I745" s="28">
        <f>IF('DIVA Satislari'!I745="","",'DIVA Satislari'!AQ745)</f>
        <v/>
      </c>
      <c r="J745" s="26">
        <f>IF('DIVA Satislari'!I745="","",'DIVA Satislari'!AR745)</f>
        <v/>
      </c>
      <c r="K745" s="26">
        <f>IF('DIVA Satislari'!I745="","",IFERROR(INDEX('E2E Nakliye Montaj'!$AS$3:$AS$1002,MATCH('DIVA Satislari'!AJ745,'E2E Nakliye Montaj'!$AM$3:$AM$1002,0)),"Eşleşme Yok"))</f>
        <v/>
      </c>
      <c r="L745" s="26">
        <f>IF('DIVA Satislari'!I745="","",IFERROR(INDEX('E2E Nakliye Montaj'!$AT$3:$AT$1002,MATCH('DIVA Satislari'!AJ745,'E2E Nakliye Montaj'!$AM$3:$AM$1002,0)),"Hayır"))</f>
        <v/>
      </c>
      <c r="M745" s="26">
        <f>IF('DIVA Satislari'!I745="","",IFERROR(INDEX('E2E Nakliye Montaj'!$AU$3:$AU$1002,MATCH('DIVA Satislari'!AJ745,'E2E Nakliye Montaj'!$AM$3:$AM$1002,0)),"Hayır"))</f>
        <v/>
      </c>
      <c r="N745" s="27">
        <f>IF('DIVA Satislari'!I745="","",IFERROR(INDEX('E2E Nakliye Montaj'!$AV$3:$AV$1002,MATCH('DIVA Satislari'!AJ745,'E2E Nakliye Montaj'!$AM$3:$AM$1002,0)),""))</f>
        <v/>
      </c>
      <c r="O745" s="26">
        <f>IF(OR(A745="",N745=""),"",IF(N745&lt;=H745,"Evet","HAYIR - RİSK"))</f>
        <v/>
      </c>
      <c r="P745" s="26">
        <f>IF(A745="","",IF(LEFT(J745,8)="Kural A ","Uygun - Hemen Ödenir (Yıl Sonu %75 Kontrolüne Tabi)",IF(OR(L745="Evet",M745="Evet"),IF(O745="Evet","Uygun","RİSK - Hakediş Süresi Aşıldı"),"Bekleniyor - Nakliye/Montaj Tamamlanmadı")))</f>
        <v/>
      </c>
      <c r="Q745" s="28">
        <f>IF(A745="","",SUMIFS('Hakedis Fatura Detay'!$G$3:$G$1200,'Hakedis Fatura Detay'!$H$3:$H$1200,'DIVA Satislari'!AJ745,'Hakedis Fatura Detay'!$F$3:$F$1200,"Fiyat Farkı")+SUMIFS('Hakedis Fatura Detay'!$G$3:$G$1200,'Hakedis Fatura Detay'!$H$3:$H$1200,'DIVA Satislari'!AJ745,'Hakedis Fatura Detay'!$F$3:$F$1200,"Bundle"))</f>
        <v/>
      </c>
      <c r="R745" s="28">
        <f>IF(A745="","",I745-Q745)</f>
        <v/>
      </c>
      <c r="S745" s="26">
        <f>IF(A745="","",IF(LEFT(P745,7)="Bekleni","N/A - Henüz Ödenmemeli",IF(LEFT(P745,4)="RİSK","İNCELEME GEREKLİ - Süre Aşımı",IF(R745=0,"Doğru",IF(R745&gt;0,"EKSİK ÖDENMİŞ","FAZLA ÖDENMİŞ")))))</f>
        <v/>
      </c>
      <c r="T745" s="30">
        <f>IF(A745="","",IF(F745&lt;&gt;"Evet","İNCELEME GEREKLİ - Kampanya Tanımsız",IF(G745&lt;&gt;"Evet","İNCELEME GEREKLİ - Tarih Dışı Satış",IF(LEFT(P745,4)="RİSK","İNCELEME GEREKLİ - Hakediş Süresi Aşıldı",IF(OR(S745="EKSİK ÖDENMİŞ",S745="FAZLA ÖDENMİŞ"),"İNCELEME GEREKLİ - Tutar Uyuşmazlığı",IF(LEFT(P745,7)="Bekleni","Bekleniyor","Uygun"))))))</f>
        <v/>
      </c>
    </row>
    <row r="746">
      <c r="A746" s="26">
        <f>IF('DIVA Satislari'!I746="","",'DIVA Satislari'!I746)</f>
        <v/>
      </c>
      <c r="B746" s="26">
        <f>IF('DIVA Satislari'!I746="","",'DIVA Satislari'!R746)</f>
        <v/>
      </c>
      <c r="C746" s="26">
        <f>IF('DIVA Satislari'!I746="","",'DIVA Satislari'!M746)</f>
        <v/>
      </c>
      <c r="D746" s="27">
        <f>IF('DIVA Satislari'!I746="","",'DIVA Satislari'!H746)</f>
        <v/>
      </c>
      <c r="E746" s="26">
        <f>IF('DIVA Satislari'!I746="","",'DIVA Satislari'!O746)</f>
        <v/>
      </c>
      <c r="F746" s="26">
        <f>IF('DIVA Satislari'!I746="","",'DIVA Satislari'!AK746)</f>
        <v/>
      </c>
      <c r="G746" s="26">
        <f>IF('DIVA Satislari'!I746="","",'DIVA Satislari'!AO746)</f>
        <v/>
      </c>
      <c r="H746" s="27">
        <f>IF('DIVA Satislari'!I746="","",'DIVA Satislari'!AN746)</f>
        <v/>
      </c>
      <c r="I746" s="28">
        <f>IF('DIVA Satislari'!I746="","",'DIVA Satislari'!AQ746)</f>
        <v/>
      </c>
      <c r="J746" s="26">
        <f>IF('DIVA Satislari'!I746="","",'DIVA Satislari'!AR746)</f>
        <v/>
      </c>
      <c r="K746" s="26">
        <f>IF('DIVA Satislari'!I746="","",IFERROR(INDEX('E2E Nakliye Montaj'!$AS$3:$AS$1002,MATCH('DIVA Satislari'!AJ746,'E2E Nakliye Montaj'!$AM$3:$AM$1002,0)),"Eşleşme Yok"))</f>
        <v/>
      </c>
      <c r="L746" s="26">
        <f>IF('DIVA Satislari'!I746="","",IFERROR(INDEX('E2E Nakliye Montaj'!$AT$3:$AT$1002,MATCH('DIVA Satislari'!AJ746,'E2E Nakliye Montaj'!$AM$3:$AM$1002,0)),"Hayır"))</f>
        <v/>
      </c>
      <c r="M746" s="26">
        <f>IF('DIVA Satislari'!I746="","",IFERROR(INDEX('E2E Nakliye Montaj'!$AU$3:$AU$1002,MATCH('DIVA Satislari'!AJ746,'E2E Nakliye Montaj'!$AM$3:$AM$1002,0)),"Hayır"))</f>
        <v/>
      </c>
      <c r="N746" s="27">
        <f>IF('DIVA Satislari'!I746="","",IFERROR(INDEX('E2E Nakliye Montaj'!$AV$3:$AV$1002,MATCH('DIVA Satislari'!AJ746,'E2E Nakliye Montaj'!$AM$3:$AM$1002,0)),""))</f>
        <v/>
      </c>
      <c r="O746" s="26">
        <f>IF(OR(A746="",N746=""),"",IF(N746&lt;=H746,"Evet","HAYIR - RİSK"))</f>
        <v/>
      </c>
      <c r="P746" s="26">
        <f>IF(A746="","",IF(LEFT(J746,8)="Kural A ","Uygun - Hemen Ödenir (Yıl Sonu %75 Kontrolüne Tabi)",IF(OR(L746="Evet",M746="Evet"),IF(O746="Evet","Uygun","RİSK - Hakediş Süresi Aşıldı"),"Bekleniyor - Nakliye/Montaj Tamamlanmadı")))</f>
        <v/>
      </c>
      <c r="Q746" s="28">
        <f>IF(A746="","",SUMIFS('Hakedis Fatura Detay'!$G$3:$G$1200,'Hakedis Fatura Detay'!$H$3:$H$1200,'DIVA Satislari'!AJ746,'Hakedis Fatura Detay'!$F$3:$F$1200,"Fiyat Farkı")+SUMIFS('Hakedis Fatura Detay'!$G$3:$G$1200,'Hakedis Fatura Detay'!$H$3:$H$1200,'DIVA Satislari'!AJ746,'Hakedis Fatura Detay'!$F$3:$F$1200,"Bundle"))</f>
        <v/>
      </c>
      <c r="R746" s="28">
        <f>IF(A746="","",I746-Q746)</f>
        <v/>
      </c>
      <c r="S746" s="26">
        <f>IF(A746="","",IF(LEFT(P746,7)="Bekleni","N/A - Henüz Ödenmemeli",IF(LEFT(P746,4)="RİSK","İNCELEME GEREKLİ - Süre Aşımı",IF(R746=0,"Doğru",IF(R746&gt;0,"EKSİK ÖDENMİŞ","FAZLA ÖDENMİŞ")))))</f>
        <v/>
      </c>
      <c r="T746" s="30">
        <f>IF(A746="","",IF(F746&lt;&gt;"Evet","İNCELEME GEREKLİ - Kampanya Tanımsız",IF(G746&lt;&gt;"Evet","İNCELEME GEREKLİ - Tarih Dışı Satış",IF(LEFT(P746,4)="RİSK","İNCELEME GEREKLİ - Hakediş Süresi Aşıldı",IF(OR(S746="EKSİK ÖDENMİŞ",S746="FAZLA ÖDENMİŞ"),"İNCELEME GEREKLİ - Tutar Uyuşmazlığı",IF(LEFT(P746,7)="Bekleni","Bekleniyor","Uygun"))))))</f>
        <v/>
      </c>
    </row>
    <row r="747">
      <c r="A747" s="26">
        <f>IF('DIVA Satislari'!I747="","",'DIVA Satislari'!I747)</f>
        <v/>
      </c>
      <c r="B747" s="26">
        <f>IF('DIVA Satislari'!I747="","",'DIVA Satislari'!R747)</f>
        <v/>
      </c>
      <c r="C747" s="26">
        <f>IF('DIVA Satislari'!I747="","",'DIVA Satislari'!M747)</f>
        <v/>
      </c>
      <c r="D747" s="27">
        <f>IF('DIVA Satislari'!I747="","",'DIVA Satislari'!H747)</f>
        <v/>
      </c>
      <c r="E747" s="26">
        <f>IF('DIVA Satislari'!I747="","",'DIVA Satislari'!O747)</f>
        <v/>
      </c>
      <c r="F747" s="26">
        <f>IF('DIVA Satislari'!I747="","",'DIVA Satislari'!AK747)</f>
        <v/>
      </c>
      <c r="G747" s="26">
        <f>IF('DIVA Satislari'!I747="","",'DIVA Satislari'!AO747)</f>
        <v/>
      </c>
      <c r="H747" s="27">
        <f>IF('DIVA Satislari'!I747="","",'DIVA Satislari'!AN747)</f>
        <v/>
      </c>
      <c r="I747" s="28">
        <f>IF('DIVA Satislari'!I747="","",'DIVA Satislari'!AQ747)</f>
        <v/>
      </c>
      <c r="J747" s="26">
        <f>IF('DIVA Satislari'!I747="","",'DIVA Satislari'!AR747)</f>
        <v/>
      </c>
      <c r="K747" s="26">
        <f>IF('DIVA Satislari'!I747="","",IFERROR(INDEX('E2E Nakliye Montaj'!$AS$3:$AS$1002,MATCH('DIVA Satislari'!AJ747,'E2E Nakliye Montaj'!$AM$3:$AM$1002,0)),"Eşleşme Yok"))</f>
        <v/>
      </c>
      <c r="L747" s="26">
        <f>IF('DIVA Satislari'!I747="","",IFERROR(INDEX('E2E Nakliye Montaj'!$AT$3:$AT$1002,MATCH('DIVA Satislari'!AJ747,'E2E Nakliye Montaj'!$AM$3:$AM$1002,0)),"Hayır"))</f>
        <v/>
      </c>
      <c r="M747" s="26">
        <f>IF('DIVA Satislari'!I747="","",IFERROR(INDEX('E2E Nakliye Montaj'!$AU$3:$AU$1002,MATCH('DIVA Satislari'!AJ747,'E2E Nakliye Montaj'!$AM$3:$AM$1002,0)),"Hayır"))</f>
        <v/>
      </c>
      <c r="N747" s="27">
        <f>IF('DIVA Satislari'!I747="","",IFERROR(INDEX('E2E Nakliye Montaj'!$AV$3:$AV$1002,MATCH('DIVA Satislari'!AJ747,'E2E Nakliye Montaj'!$AM$3:$AM$1002,0)),""))</f>
        <v/>
      </c>
      <c r="O747" s="26">
        <f>IF(OR(A747="",N747=""),"",IF(N747&lt;=H747,"Evet","HAYIR - RİSK"))</f>
        <v/>
      </c>
      <c r="P747" s="26">
        <f>IF(A747="","",IF(LEFT(J747,8)="Kural A ","Uygun - Hemen Ödenir (Yıl Sonu %75 Kontrolüne Tabi)",IF(OR(L747="Evet",M747="Evet"),IF(O747="Evet","Uygun","RİSK - Hakediş Süresi Aşıldı"),"Bekleniyor - Nakliye/Montaj Tamamlanmadı")))</f>
        <v/>
      </c>
      <c r="Q747" s="28">
        <f>IF(A747="","",SUMIFS('Hakedis Fatura Detay'!$G$3:$G$1200,'Hakedis Fatura Detay'!$H$3:$H$1200,'DIVA Satislari'!AJ747,'Hakedis Fatura Detay'!$F$3:$F$1200,"Fiyat Farkı")+SUMIFS('Hakedis Fatura Detay'!$G$3:$G$1200,'Hakedis Fatura Detay'!$H$3:$H$1200,'DIVA Satislari'!AJ747,'Hakedis Fatura Detay'!$F$3:$F$1200,"Bundle"))</f>
        <v/>
      </c>
      <c r="R747" s="28">
        <f>IF(A747="","",I747-Q747)</f>
        <v/>
      </c>
      <c r="S747" s="26">
        <f>IF(A747="","",IF(LEFT(P747,7)="Bekleni","N/A - Henüz Ödenmemeli",IF(LEFT(P747,4)="RİSK","İNCELEME GEREKLİ - Süre Aşımı",IF(R747=0,"Doğru",IF(R747&gt;0,"EKSİK ÖDENMİŞ","FAZLA ÖDENMİŞ")))))</f>
        <v/>
      </c>
      <c r="T747" s="30">
        <f>IF(A747="","",IF(F747&lt;&gt;"Evet","İNCELEME GEREKLİ - Kampanya Tanımsız",IF(G747&lt;&gt;"Evet","İNCELEME GEREKLİ - Tarih Dışı Satış",IF(LEFT(P747,4)="RİSK","İNCELEME GEREKLİ - Hakediş Süresi Aşıldı",IF(OR(S747="EKSİK ÖDENMİŞ",S747="FAZLA ÖDENMİŞ"),"İNCELEME GEREKLİ - Tutar Uyuşmazlığı",IF(LEFT(P747,7)="Bekleni","Bekleniyor","Uygun"))))))</f>
        <v/>
      </c>
    </row>
    <row r="748">
      <c r="A748" s="26">
        <f>IF('DIVA Satislari'!I748="","",'DIVA Satislari'!I748)</f>
        <v/>
      </c>
      <c r="B748" s="26">
        <f>IF('DIVA Satislari'!I748="","",'DIVA Satislari'!R748)</f>
        <v/>
      </c>
      <c r="C748" s="26">
        <f>IF('DIVA Satislari'!I748="","",'DIVA Satislari'!M748)</f>
        <v/>
      </c>
      <c r="D748" s="27">
        <f>IF('DIVA Satislari'!I748="","",'DIVA Satislari'!H748)</f>
        <v/>
      </c>
      <c r="E748" s="26">
        <f>IF('DIVA Satislari'!I748="","",'DIVA Satislari'!O748)</f>
        <v/>
      </c>
      <c r="F748" s="26">
        <f>IF('DIVA Satislari'!I748="","",'DIVA Satislari'!AK748)</f>
        <v/>
      </c>
      <c r="G748" s="26">
        <f>IF('DIVA Satislari'!I748="","",'DIVA Satislari'!AO748)</f>
        <v/>
      </c>
      <c r="H748" s="27">
        <f>IF('DIVA Satislari'!I748="","",'DIVA Satislari'!AN748)</f>
        <v/>
      </c>
      <c r="I748" s="28">
        <f>IF('DIVA Satislari'!I748="","",'DIVA Satislari'!AQ748)</f>
        <v/>
      </c>
      <c r="J748" s="26">
        <f>IF('DIVA Satislari'!I748="","",'DIVA Satislari'!AR748)</f>
        <v/>
      </c>
      <c r="K748" s="26">
        <f>IF('DIVA Satislari'!I748="","",IFERROR(INDEX('E2E Nakliye Montaj'!$AS$3:$AS$1002,MATCH('DIVA Satislari'!AJ748,'E2E Nakliye Montaj'!$AM$3:$AM$1002,0)),"Eşleşme Yok"))</f>
        <v/>
      </c>
      <c r="L748" s="26">
        <f>IF('DIVA Satislari'!I748="","",IFERROR(INDEX('E2E Nakliye Montaj'!$AT$3:$AT$1002,MATCH('DIVA Satislari'!AJ748,'E2E Nakliye Montaj'!$AM$3:$AM$1002,0)),"Hayır"))</f>
        <v/>
      </c>
      <c r="M748" s="26">
        <f>IF('DIVA Satislari'!I748="","",IFERROR(INDEX('E2E Nakliye Montaj'!$AU$3:$AU$1002,MATCH('DIVA Satislari'!AJ748,'E2E Nakliye Montaj'!$AM$3:$AM$1002,0)),"Hayır"))</f>
        <v/>
      </c>
      <c r="N748" s="27">
        <f>IF('DIVA Satislari'!I748="","",IFERROR(INDEX('E2E Nakliye Montaj'!$AV$3:$AV$1002,MATCH('DIVA Satislari'!AJ748,'E2E Nakliye Montaj'!$AM$3:$AM$1002,0)),""))</f>
        <v/>
      </c>
      <c r="O748" s="26">
        <f>IF(OR(A748="",N748=""),"",IF(N748&lt;=H748,"Evet","HAYIR - RİSK"))</f>
        <v/>
      </c>
      <c r="P748" s="26">
        <f>IF(A748="","",IF(LEFT(J748,8)="Kural A ","Uygun - Hemen Ödenir (Yıl Sonu %75 Kontrolüne Tabi)",IF(OR(L748="Evet",M748="Evet"),IF(O748="Evet","Uygun","RİSK - Hakediş Süresi Aşıldı"),"Bekleniyor - Nakliye/Montaj Tamamlanmadı")))</f>
        <v/>
      </c>
      <c r="Q748" s="28">
        <f>IF(A748="","",SUMIFS('Hakedis Fatura Detay'!$G$3:$G$1200,'Hakedis Fatura Detay'!$H$3:$H$1200,'DIVA Satislari'!AJ748,'Hakedis Fatura Detay'!$F$3:$F$1200,"Fiyat Farkı")+SUMIFS('Hakedis Fatura Detay'!$G$3:$G$1200,'Hakedis Fatura Detay'!$H$3:$H$1200,'DIVA Satislari'!AJ748,'Hakedis Fatura Detay'!$F$3:$F$1200,"Bundle"))</f>
        <v/>
      </c>
      <c r="R748" s="28">
        <f>IF(A748="","",I748-Q748)</f>
        <v/>
      </c>
      <c r="S748" s="26">
        <f>IF(A748="","",IF(LEFT(P748,7)="Bekleni","N/A - Henüz Ödenmemeli",IF(LEFT(P748,4)="RİSK","İNCELEME GEREKLİ - Süre Aşımı",IF(R748=0,"Doğru",IF(R748&gt;0,"EKSİK ÖDENMİŞ","FAZLA ÖDENMİŞ")))))</f>
        <v/>
      </c>
      <c r="T748" s="30">
        <f>IF(A748="","",IF(F748&lt;&gt;"Evet","İNCELEME GEREKLİ - Kampanya Tanımsız",IF(G748&lt;&gt;"Evet","İNCELEME GEREKLİ - Tarih Dışı Satış",IF(LEFT(P748,4)="RİSK","İNCELEME GEREKLİ - Hakediş Süresi Aşıldı",IF(OR(S748="EKSİK ÖDENMİŞ",S748="FAZLA ÖDENMİŞ"),"İNCELEME GEREKLİ - Tutar Uyuşmazlığı",IF(LEFT(P748,7)="Bekleni","Bekleniyor","Uygun"))))))</f>
        <v/>
      </c>
    </row>
    <row r="749">
      <c r="A749" s="26">
        <f>IF('DIVA Satislari'!I749="","",'DIVA Satislari'!I749)</f>
        <v/>
      </c>
      <c r="B749" s="26">
        <f>IF('DIVA Satislari'!I749="","",'DIVA Satislari'!R749)</f>
        <v/>
      </c>
      <c r="C749" s="26">
        <f>IF('DIVA Satislari'!I749="","",'DIVA Satislari'!M749)</f>
        <v/>
      </c>
      <c r="D749" s="27">
        <f>IF('DIVA Satislari'!I749="","",'DIVA Satislari'!H749)</f>
        <v/>
      </c>
      <c r="E749" s="26">
        <f>IF('DIVA Satislari'!I749="","",'DIVA Satislari'!O749)</f>
        <v/>
      </c>
      <c r="F749" s="26">
        <f>IF('DIVA Satislari'!I749="","",'DIVA Satislari'!AK749)</f>
        <v/>
      </c>
      <c r="G749" s="26">
        <f>IF('DIVA Satislari'!I749="","",'DIVA Satislari'!AO749)</f>
        <v/>
      </c>
      <c r="H749" s="27">
        <f>IF('DIVA Satislari'!I749="","",'DIVA Satislari'!AN749)</f>
        <v/>
      </c>
      <c r="I749" s="28">
        <f>IF('DIVA Satislari'!I749="","",'DIVA Satislari'!AQ749)</f>
        <v/>
      </c>
      <c r="J749" s="26">
        <f>IF('DIVA Satislari'!I749="","",'DIVA Satislari'!AR749)</f>
        <v/>
      </c>
      <c r="K749" s="26">
        <f>IF('DIVA Satislari'!I749="","",IFERROR(INDEX('E2E Nakliye Montaj'!$AS$3:$AS$1002,MATCH('DIVA Satislari'!AJ749,'E2E Nakliye Montaj'!$AM$3:$AM$1002,0)),"Eşleşme Yok"))</f>
        <v/>
      </c>
      <c r="L749" s="26">
        <f>IF('DIVA Satislari'!I749="","",IFERROR(INDEX('E2E Nakliye Montaj'!$AT$3:$AT$1002,MATCH('DIVA Satislari'!AJ749,'E2E Nakliye Montaj'!$AM$3:$AM$1002,0)),"Hayır"))</f>
        <v/>
      </c>
      <c r="M749" s="26">
        <f>IF('DIVA Satislari'!I749="","",IFERROR(INDEX('E2E Nakliye Montaj'!$AU$3:$AU$1002,MATCH('DIVA Satislari'!AJ749,'E2E Nakliye Montaj'!$AM$3:$AM$1002,0)),"Hayır"))</f>
        <v/>
      </c>
      <c r="N749" s="27">
        <f>IF('DIVA Satislari'!I749="","",IFERROR(INDEX('E2E Nakliye Montaj'!$AV$3:$AV$1002,MATCH('DIVA Satislari'!AJ749,'E2E Nakliye Montaj'!$AM$3:$AM$1002,0)),""))</f>
        <v/>
      </c>
      <c r="O749" s="26">
        <f>IF(OR(A749="",N749=""),"",IF(N749&lt;=H749,"Evet","HAYIR - RİSK"))</f>
        <v/>
      </c>
      <c r="P749" s="26">
        <f>IF(A749="","",IF(LEFT(J749,8)="Kural A ","Uygun - Hemen Ödenir (Yıl Sonu %75 Kontrolüne Tabi)",IF(OR(L749="Evet",M749="Evet"),IF(O749="Evet","Uygun","RİSK - Hakediş Süresi Aşıldı"),"Bekleniyor - Nakliye/Montaj Tamamlanmadı")))</f>
        <v/>
      </c>
      <c r="Q749" s="28">
        <f>IF(A749="","",SUMIFS('Hakedis Fatura Detay'!$G$3:$G$1200,'Hakedis Fatura Detay'!$H$3:$H$1200,'DIVA Satislari'!AJ749,'Hakedis Fatura Detay'!$F$3:$F$1200,"Fiyat Farkı")+SUMIFS('Hakedis Fatura Detay'!$G$3:$G$1200,'Hakedis Fatura Detay'!$H$3:$H$1200,'DIVA Satislari'!AJ749,'Hakedis Fatura Detay'!$F$3:$F$1200,"Bundle"))</f>
        <v/>
      </c>
      <c r="R749" s="28">
        <f>IF(A749="","",I749-Q749)</f>
        <v/>
      </c>
      <c r="S749" s="26">
        <f>IF(A749="","",IF(LEFT(P749,7)="Bekleni","N/A - Henüz Ödenmemeli",IF(LEFT(P749,4)="RİSK","İNCELEME GEREKLİ - Süre Aşımı",IF(R749=0,"Doğru",IF(R749&gt;0,"EKSİK ÖDENMİŞ","FAZLA ÖDENMİŞ")))))</f>
        <v/>
      </c>
      <c r="T749" s="30">
        <f>IF(A749="","",IF(F749&lt;&gt;"Evet","İNCELEME GEREKLİ - Kampanya Tanımsız",IF(G749&lt;&gt;"Evet","İNCELEME GEREKLİ - Tarih Dışı Satış",IF(LEFT(P749,4)="RİSK","İNCELEME GEREKLİ - Hakediş Süresi Aşıldı",IF(OR(S749="EKSİK ÖDENMİŞ",S749="FAZLA ÖDENMİŞ"),"İNCELEME GEREKLİ - Tutar Uyuşmazlığı",IF(LEFT(P749,7)="Bekleni","Bekleniyor","Uygun"))))))</f>
        <v/>
      </c>
    </row>
    <row r="750">
      <c r="A750" s="26">
        <f>IF('DIVA Satislari'!I750="","",'DIVA Satislari'!I750)</f>
        <v/>
      </c>
      <c r="B750" s="26">
        <f>IF('DIVA Satislari'!I750="","",'DIVA Satislari'!R750)</f>
        <v/>
      </c>
      <c r="C750" s="26">
        <f>IF('DIVA Satislari'!I750="","",'DIVA Satislari'!M750)</f>
        <v/>
      </c>
      <c r="D750" s="27">
        <f>IF('DIVA Satislari'!I750="","",'DIVA Satislari'!H750)</f>
        <v/>
      </c>
      <c r="E750" s="26">
        <f>IF('DIVA Satislari'!I750="","",'DIVA Satislari'!O750)</f>
        <v/>
      </c>
      <c r="F750" s="26">
        <f>IF('DIVA Satislari'!I750="","",'DIVA Satislari'!AK750)</f>
        <v/>
      </c>
      <c r="G750" s="26">
        <f>IF('DIVA Satislari'!I750="","",'DIVA Satislari'!AO750)</f>
        <v/>
      </c>
      <c r="H750" s="27">
        <f>IF('DIVA Satislari'!I750="","",'DIVA Satislari'!AN750)</f>
        <v/>
      </c>
      <c r="I750" s="28">
        <f>IF('DIVA Satislari'!I750="","",'DIVA Satislari'!AQ750)</f>
        <v/>
      </c>
      <c r="J750" s="26">
        <f>IF('DIVA Satislari'!I750="","",'DIVA Satislari'!AR750)</f>
        <v/>
      </c>
      <c r="K750" s="26">
        <f>IF('DIVA Satislari'!I750="","",IFERROR(INDEX('E2E Nakliye Montaj'!$AS$3:$AS$1002,MATCH('DIVA Satislari'!AJ750,'E2E Nakliye Montaj'!$AM$3:$AM$1002,0)),"Eşleşme Yok"))</f>
        <v/>
      </c>
      <c r="L750" s="26">
        <f>IF('DIVA Satislari'!I750="","",IFERROR(INDEX('E2E Nakliye Montaj'!$AT$3:$AT$1002,MATCH('DIVA Satislari'!AJ750,'E2E Nakliye Montaj'!$AM$3:$AM$1002,0)),"Hayır"))</f>
        <v/>
      </c>
      <c r="M750" s="26">
        <f>IF('DIVA Satislari'!I750="","",IFERROR(INDEX('E2E Nakliye Montaj'!$AU$3:$AU$1002,MATCH('DIVA Satislari'!AJ750,'E2E Nakliye Montaj'!$AM$3:$AM$1002,0)),"Hayır"))</f>
        <v/>
      </c>
      <c r="N750" s="27">
        <f>IF('DIVA Satislari'!I750="","",IFERROR(INDEX('E2E Nakliye Montaj'!$AV$3:$AV$1002,MATCH('DIVA Satislari'!AJ750,'E2E Nakliye Montaj'!$AM$3:$AM$1002,0)),""))</f>
        <v/>
      </c>
      <c r="O750" s="26">
        <f>IF(OR(A750="",N750=""),"",IF(N750&lt;=H750,"Evet","HAYIR - RİSK"))</f>
        <v/>
      </c>
      <c r="P750" s="26">
        <f>IF(A750="","",IF(LEFT(J750,8)="Kural A ","Uygun - Hemen Ödenir (Yıl Sonu %75 Kontrolüne Tabi)",IF(OR(L750="Evet",M750="Evet"),IF(O750="Evet","Uygun","RİSK - Hakediş Süresi Aşıldı"),"Bekleniyor - Nakliye/Montaj Tamamlanmadı")))</f>
        <v/>
      </c>
      <c r="Q750" s="28">
        <f>IF(A750="","",SUMIFS('Hakedis Fatura Detay'!$G$3:$G$1200,'Hakedis Fatura Detay'!$H$3:$H$1200,'DIVA Satislari'!AJ750,'Hakedis Fatura Detay'!$F$3:$F$1200,"Fiyat Farkı")+SUMIFS('Hakedis Fatura Detay'!$G$3:$G$1200,'Hakedis Fatura Detay'!$H$3:$H$1200,'DIVA Satislari'!AJ750,'Hakedis Fatura Detay'!$F$3:$F$1200,"Bundle"))</f>
        <v/>
      </c>
      <c r="R750" s="28">
        <f>IF(A750="","",I750-Q750)</f>
        <v/>
      </c>
      <c r="S750" s="26">
        <f>IF(A750="","",IF(LEFT(P750,7)="Bekleni","N/A - Henüz Ödenmemeli",IF(LEFT(P750,4)="RİSK","İNCELEME GEREKLİ - Süre Aşımı",IF(R750=0,"Doğru",IF(R750&gt;0,"EKSİK ÖDENMİŞ","FAZLA ÖDENMİŞ")))))</f>
        <v/>
      </c>
      <c r="T750" s="30">
        <f>IF(A750="","",IF(F750&lt;&gt;"Evet","İNCELEME GEREKLİ - Kampanya Tanımsız",IF(G750&lt;&gt;"Evet","İNCELEME GEREKLİ - Tarih Dışı Satış",IF(LEFT(P750,4)="RİSK","İNCELEME GEREKLİ - Hakediş Süresi Aşıldı",IF(OR(S750="EKSİK ÖDENMİŞ",S750="FAZLA ÖDENMİŞ"),"İNCELEME GEREKLİ - Tutar Uyuşmazlığı",IF(LEFT(P750,7)="Bekleni","Bekleniyor","Uygun"))))))</f>
        <v/>
      </c>
    </row>
    <row r="751">
      <c r="A751" s="26">
        <f>IF('DIVA Satislari'!I751="","",'DIVA Satislari'!I751)</f>
        <v/>
      </c>
      <c r="B751" s="26">
        <f>IF('DIVA Satislari'!I751="","",'DIVA Satislari'!R751)</f>
        <v/>
      </c>
      <c r="C751" s="26">
        <f>IF('DIVA Satislari'!I751="","",'DIVA Satislari'!M751)</f>
        <v/>
      </c>
      <c r="D751" s="27">
        <f>IF('DIVA Satislari'!I751="","",'DIVA Satislari'!H751)</f>
        <v/>
      </c>
      <c r="E751" s="26">
        <f>IF('DIVA Satislari'!I751="","",'DIVA Satislari'!O751)</f>
        <v/>
      </c>
      <c r="F751" s="26">
        <f>IF('DIVA Satislari'!I751="","",'DIVA Satislari'!AK751)</f>
        <v/>
      </c>
      <c r="G751" s="26">
        <f>IF('DIVA Satislari'!I751="","",'DIVA Satislari'!AO751)</f>
        <v/>
      </c>
      <c r="H751" s="27">
        <f>IF('DIVA Satislari'!I751="","",'DIVA Satislari'!AN751)</f>
        <v/>
      </c>
      <c r="I751" s="28">
        <f>IF('DIVA Satislari'!I751="","",'DIVA Satislari'!AQ751)</f>
        <v/>
      </c>
      <c r="J751" s="26">
        <f>IF('DIVA Satislari'!I751="","",'DIVA Satislari'!AR751)</f>
        <v/>
      </c>
      <c r="K751" s="26">
        <f>IF('DIVA Satislari'!I751="","",IFERROR(INDEX('E2E Nakliye Montaj'!$AS$3:$AS$1002,MATCH('DIVA Satislari'!AJ751,'E2E Nakliye Montaj'!$AM$3:$AM$1002,0)),"Eşleşme Yok"))</f>
        <v/>
      </c>
      <c r="L751" s="26">
        <f>IF('DIVA Satislari'!I751="","",IFERROR(INDEX('E2E Nakliye Montaj'!$AT$3:$AT$1002,MATCH('DIVA Satislari'!AJ751,'E2E Nakliye Montaj'!$AM$3:$AM$1002,0)),"Hayır"))</f>
        <v/>
      </c>
      <c r="M751" s="26">
        <f>IF('DIVA Satislari'!I751="","",IFERROR(INDEX('E2E Nakliye Montaj'!$AU$3:$AU$1002,MATCH('DIVA Satislari'!AJ751,'E2E Nakliye Montaj'!$AM$3:$AM$1002,0)),"Hayır"))</f>
        <v/>
      </c>
      <c r="N751" s="27">
        <f>IF('DIVA Satislari'!I751="","",IFERROR(INDEX('E2E Nakliye Montaj'!$AV$3:$AV$1002,MATCH('DIVA Satislari'!AJ751,'E2E Nakliye Montaj'!$AM$3:$AM$1002,0)),""))</f>
        <v/>
      </c>
      <c r="O751" s="26">
        <f>IF(OR(A751="",N751=""),"",IF(N751&lt;=H751,"Evet","HAYIR - RİSK"))</f>
        <v/>
      </c>
      <c r="P751" s="26">
        <f>IF(A751="","",IF(LEFT(J751,8)="Kural A ","Uygun - Hemen Ödenir (Yıl Sonu %75 Kontrolüne Tabi)",IF(OR(L751="Evet",M751="Evet"),IF(O751="Evet","Uygun","RİSK - Hakediş Süresi Aşıldı"),"Bekleniyor - Nakliye/Montaj Tamamlanmadı")))</f>
        <v/>
      </c>
      <c r="Q751" s="28">
        <f>IF(A751="","",SUMIFS('Hakedis Fatura Detay'!$G$3:$G$1200,'Hakedis Fatura Detay'!$H$3:$H$1200,'DIVA Satislari'!AJ751,'Hakedis Fatura Detay'!$F$3:$F$1200,"Fiyat Farkı")+SUMIFS('Hakedis Fatura Detay'!$G$3:$G$1200,'Hakedis Fatura Detay'!$H$3:$H$1200,'DIVA Satislari'!AJ751,'Hakedis Fatura Detay'!$F$3:$F$1200,"Bundle"))</f>
        <v/>
      </c>
      <c r="R751" s="28">
        <f>IF(A751="","",I751-Q751)</f>
        <v/>
      </c>
      <c r="S751" s="26">
        <f>IF(A751="","",IF(LEFT(P751,7)="Bekleni","N/A - Henüz Ödenmemeli",IF(LEFT(P751,4)="RİSK","İNCELEME GEREKLİ - Süre Aşımı",IF(R751=0,"Doğru",IF(R751&gt;0,"EKSİK ÖDENMİŞ","FAZLA ÖDENMİŞ")))))</f>
        <v/>
      </c>
      <c r="T751" s="30">
        <f>IF(A751="","",IF(F751&lt;&gt;"Evet","İNCELEME GEREKLİ - Kampanya Tanımsız",IF(G751&lt;&gt;"Evet","İNCELEME GEREKLİ - Tarih Dışı Satış",IF(LEFT(P751,4)="RİSK","İNCELEME GEREKLİ - Hakediş Süresi Aşıldı",IF(OR(S751="EKSİK ÖDENMİŞ",S751="FAZLA ÖDENMİŞ"),"İNCELEME GEREKLİ - Tutar Uyuşmazlığı",IF(LEFT(P751,7)="Bekleni","Bekleniyor","Uygun"))))))</f>
        <v/>
      </c>
    </row>
    <row r="752">
      <c r="A752" s="26">
        <f>IF('DIVA Satislari'!I752="","",'DIVA Satislari'!I752)</f>
        <v/>
      </c>
      <c r="B752" s="26">
        <f>IF('DIVA Satislari'!I752="","",'DIVA Satislari'!R752)</f>
        <v/>
      </c>
      <c r="C752" s="26">
        <f>IF('DIVA Satislari'!I752="","",'DIVA Satislari'!M752)</f>
        <v/>
      </c>
      <c r="D752" s="27">
        <f>IF('DIVA Satislari'!I752="","",'DIVA Satislari'!H752)</f>
        <v/>
      </c>
      <c r="E752" s="26">
        <f>IF('DIVA Satislari'!I752="","",'DIVA Satislari'!O752)</f>
        <v/>
      </c>
      <c r="F752" s="26">
        <f>IF('DIVA Satislari'!I752="","",'DIVA Satislari'!AK752)</f>
        <v/>
      </c>
      <c r="G752" s="26">
        <f>IF('DIVA Satislari'!I752="","",'DIVA Satislari'!AO752)</f>
        <v/>
      </c>
      <c r="H752" s="27">
        <f>IF('DIVA Satislari'!I752="","",'DIVA Satislari'!AN752)</f>
        <v/>
      </c>
      <c r="I752" s="28">
        <f>IF('DIVA Satislari'!I752="","",'DIVA Satislari'!AQ752)</f>
        <v/>
      </c>
      <c r="J752" s="26">
        <f>IF('DIVA Satislari'!I752="","",'DIVA Satislari'!AR752)</f>
        <v/>
      </c>
      <c r="K752" s="26">
        <f>IF('DIVA Satislari'!I752="","",IFERROR(INDEX('E2E Nakliye Montaj'!$AS$3:$AS$1002,MATCH('DIVA Satislari'!AJ752,'E2E Nakliye Montaj'!$AM$3:$AM$1002,0)),"Eşleşme Yok"))</f>
        <v/>
      </c>
      <c r="L752" s="26">
        <f>IF('DIVA Satislari'!I752="","",IFERROR(INDEX('E2E Nakliye Montaj'!$AT$3:$AT$1002,MATCH('DIVA Satislari'!AJ752,'E2E Nakliye Montaj'!$AM$3:$AM$1002,0)),"Hayır"))</f>
        <v/>
      </c>
      <c r="M752" s="26">
        <f>IF('DIVA Satislari'!I752="","",IFERROR(INDEX('E2E Nakliye Montaj'!$AU$3:$AU$1002,MATCH('DIVA Satislari'!AJ752,'E2E Nakliye Montaj'!$AM$3:$AM$1002,0)),"Hayır"))</f>
        <v/>
      </c>
      <c r="N752" s="27">
        <f>IF('DIVA Satislari'!I752="","",IFERROR(INDEX('E2E Nakliye Montaj'!$AV$3:$AV$1002,MATCH('DIVA Satislari'!AJ752,'E2E Nakliye Montaj'!$AM$3:$AM$1002,0)),""))</f>
        <v/>
      </c>
      <c r="O752" s="26">
        <f>IF(OR(A752="",N752=""),"",IF(N752&lt;=H752,"Evet","HAYIR - RİSK"))</f>
        <v/>
      </c>
      <c r="P752" s="26">
        <f>IF(A752="","",IF(LEFT(J752,8)="Kural A ","Uygun - Hemen Ödenir (Yıl Sonu %75 Kontrolüne Tabi)",IF(OR(L752="Evet",M752="Evet"),IF(O752="Evet","Uygun","RİSK - Hakediş Süresi Aşıldı"),"Bekleniyor - Nakliye/Montaj Tamamlanmadı")))</f>
        <v/>
      </c>
      <c r="Q752" s="28">
        <f>IF(A752="","",SUMIFS('Hakedis Fatura Detay'!$G$3:$G$1200,'Hakedis Fatura Detay'!$H$3:$H$1200,'DIVA Satislari'!AJ752,'Hakedis Fatura Detay'!$F$3:$F$1200,"Fiyat Farkı")+SUMIFS('Hakedis Fatura Detay'!$G$3:$G$1200,'Hakedis Fatura Detay'!$H$3:$H$1200,'DIVA Satislari'!AJ752,'Hakedis Fatura Detay'!$F$3:$F$1200,"Bundle"))</f>
        <v/>
      </c>
      <c r="R752" s="28">
        <f>IF(A752="","",I752-Q752)</f>
        <v/>
      </c>
      <c r="S752" s="26">
        <f>IF(A752="","",IF(LEFT(P752,7)="Bekleni","N/A - Henüz Ödenmemeli",IF(LEFT(P752,4)="RİSK","İNCELEME GEREKLİ - Süre Aşımı",IF(R752=0,"Doğru",IF(R752&gt;0,"EKSİK ÖDENMİŞ","FAZLA ÖDENMİŞ")))))</f>
        <v/>
      </c>
      <c r="T752" s="30">
        <f>IF(A752="","",IF(F752&lt;&gt;"Evet","İNCELEME GEREKLİ - Kampanya Tanımsız",IF(G752&lt;&gt;"Evet","İNCELEME GEREKLİ - Tarih Dışı Satış",IF(LEFT(P752,4)="RİSK","İNCELEME GEREKLİ - Hakediş Süresi Aşıldı",IF(OR(S752="EKSİK ÖDENMİŞ",S752="FAZLA ÖDENMİŞ"),"İNCELEME GEREKLİ - Tutar Uyuşmazlığı",IF(LEFT(P752,7)="Bekleni","Bekleniyor","Uygun"))))))</f>
        <v/>
      </c>
    </row>
    <row r="753">
      <c r="A753" s="26">
        <f>IF('DIVA Satislari'!I753="","",'DIVA Satislari'!I753)</f>
        <v/>
      </c>
      <c r="B753" s="26">
        <f>IF('DIVA Satislari'!I753="","",'DIVA Satislari'!R753)</f>
        <v/>
      </c>
      <c r="C753" s="26">
        <f>IF('DIVA Satislari'!I753="","",'DIVA Satislari'!M753)</f>
        <v/>
      </c>
      <c r="D753" s="27">
        <f>IF('DIVA Satislari'!I753="","",'DIVA Satislari'!H753)</f>
        <v/>
      </c>
      <c r="E753" s="26">
        <f>IF('DIVA Satislari'!I753="","",'DIVA Satislari'!O753)</f>
        <v/>
      </c>
      <c r="F753" s="26">
        <f>IF('DIVA Satislari'!I753="","",'DIVA Satislari'!AK753)</f>
        <v/>
      </c>
      <c r="G753" s="26">
        <f>IF('DIVA Satislari'!I753="","",'DIVA Satislari'!AO753)</f>
        <v/>
      </c>
      <c r="H753" s="27">
        <f>IF('DIVA Satislari'!I753="","",'DIVA Satislari'!AN753)</f>
        <v/>
      </c>
      <c r="I753" s="28">
        <f>IF('DIVA Satislari'!I753="","",'DIVA Satislari'!AQ753)</f>
        <v/>
      </c>
      <c r="J753" s="26">
        <f>IF('DIVA Satislari'!I753="","",'DIVA Satislari'!AR753)</f>
        <v/>
      </c>
      <c r="K753" s="26">
        <f>IF('DIVA Satislari'!I753="","",IFERROR(INDEX('E2E Nakliye Montaj'!$AS$3:$AS$1002,MATCH('DIVA Satislari'!AJ753,'E2E Nakliye Montaj'!$AM$3:$AM$1002,0)),"Eşleşme Yok"))</f>
        <v/>
      </c>
      <c r="L753" s="26">
        <f>IF('DIVA Satislari'!I753="","",IFERROR(INDEX('E2E Nakliye Montaj'!$AT$3:$AT$1002,MATCH('DIVA Satislari'!AJ753,'E2E Nakliye Montaj'!$AM$3:$AM$1002,0)),"Hayır"))</f>
        <v/>
      </c>
      <c r="M753" s="26">
        <f>IF('DIVA Satislari'!I753="","",IFERROR(INDEX('E2E Nakliye Montaj'!$AU$3:$AU$1002,MATCH('DIVA Satislari'!AJ753,'E2E Nakliye Montaj'!$AM$3:$AM$1002,0)),"Hayır"))</f>
        <v/>
      </c>
      <c r="N753" s="27">
        <f>IF('DIVA Satislari'!I753="","",IFERROR(INDEX('E2E Nakliye Montaj'!$AV$3:$AV$1002,MATCH('DIVA Satislari'!AJ753,'E2E Nakliye Montaj'!$AM$3:$AM$1002,0)),""))</f>
        <v/>
      </c>
      <c r="O753" s="26">
        <f>IF(OR(A753="",N753=""),"",IF(N753&lt;=H753,"Evet","HAYIR - RİSK"))</f>
        <v/>
      </c>
      <c r="P753" s="26">
        <f>IF(A753="","",IF(LEFT(J753,8)="Kural A ","Uygun - Hemen Ödenir (Yıl Sonu %75 Kontrolüne Tabi)",IF(OR(L753="Evet",M753="Evet"),IF(O753="Evet","Uygun","RİSK - Hakediş Süresi Aşıldı"),"Bekleniyor - Nakliye/Montaj Tamamlanmadı")))</f>
        <v/>
      </c>
      <c r="Q753" s="28">
        <f>IF(A753="","",SUMIFS('Hakedis Fatura Detay'!$G$3:$G$1200,'Hakedis Fatura Detay'!$H$3:$H$1200,'DIVA Satislari'!AJ753,'Hakedis Fatura Detay'!$F$3:$F$1200,"Fiyat Farkı")+SUMIFS('Hakedis Fatura Detay'!$G$3:$G$1200,'Hakedis Fatura Detay'!$H$3:$H$1200,'DIVA Satislari'!AJ753,'Hakedis Fatura Detay'!$F$3:$F$1200,"Bundle"))</f>
        <v/>
      </c>
      <c r="R753" s="28">
        <f>IF(A753="","",I753-Q753)</f>
        <v/>
      </c>
      <c r="S753" s="26">
        <f>IF(A753="","",IF(LEFT(P753,7)="Bekleni","N/A - Henüz Ödenmemeli",IF(LEFT(P753,4)="RİSK","İNCELEME GEREKLİ - Süre Aşımı",IF(R753=0,"Doğru",IF(R753&gt;0,"EKSİK ÖDENMİŞ","FAZLA ÖDENMİŞ")))))</f>
        <v/>
      </c>
      <c r="T753" s="30">
        <f>IF(A753="","",IF(F753&lt;&gt;"Evet","İNCELEME GEREKLİ - Kampanya Tanımsız",IF(G753&lt;&gt;"Evet","İNCELEME GEREKLİ - Tarih Dışı Satış",IF(LEFT(P753,4)="RİSK","İNCELEME GEREKLİ - Hakediş Süresi Aşıldı",IF(OR(S753="EKSİK ÖDENMİŞ",S753="FAZLA ÖDENMİŞ"),"İNCELEME GEREKLİ - Tutar Uyuşmazlığı",IF(LEFT(P753,7)="Bekleni","Bekleniyor","Uygun"))))))</f>
        <v/>
      </c>
    </row>
    <row r="754">
      <c r="A754" s="26">
        <f>IF('DIVA Satislari'!I754="","",'DIVA Satislari'!I754)</f>
        <v/>
      </c>
      <c r="B754" s="26">
        <f>IF('DIVA Satislari'!I754="","",'DIVA Satislari'!R754)</f>
        <v/>
      </c>
      <c r="C754" s="26">
        <f>IF('DIVA Satislari'!I754="","",'DIVA Satislari'!M754)</f>
        <v/>
      </c>
      <c r="D754" s="27">
        <f>IF('DIVA Satislari'!I754="","",'DIVA Satislari'!H754)</f>
        <v/>
      </c>
      <c r="E754" s="26">
        <f>IF('DIVA Satislari'!I754="","",'DIVA Satislari'!O754)</f>
        <v/>
      </c>
      <c r="F754" s="26">
        <f>IF('DIVA Satislari'!I754="","",'DIVA Satislari'!AK754)</f>
        <v/>
      </c>
      <c r="G754" s="26">
        <f>IF('DIVA Satislari'!I754="","",'DIVA Satislari'!AO754)</f>
        <v/>
      </c>
      <c r="H754" s="27">
        <f>IF('DIVA Satislari'!I754="","",'DIVA Satislari'!AN754)</f>
        <v/>
      </c>
      <c r="I754" s="28">
        <f>IF('DIVA Satislari'!I754="","",'DIVA Satislari'!AQ754)</f>
        <v/>
      </c>
      <c r="J754" s="26">
        <f>IF('DIVA Satislari'!I754="","",'DIVA Satislari'!AR754)</f>
        <v/>
      </c>
      <c r="K754" s="26">
        <f>IF('DIVA Satislari'!I754="","",IFERROR(INDEX('E2E Nakliye Montaj'!$AS$3:$AS$1002,MATCH('DIVA Satislari'!AJ754,'E2E Nakliye Montaj'!$AM$3:$AM$1002,0)),"Eşleşme Yok"))</f>
        <v/>
      </c>
      <c r="L754" s="26">
        <f>IF('DIVA Satislari'!I754="","",IFERROR(INDEX('E2E Nakliye Montaj'!$AT$3:$AT$1002,MATCH('DIVA Satislari'!AJ754,'E2E Nakliye Montaj'!$AM$3:$AM$1002,0)),"Hayır"))</f>
        <v/>
      </c>
      <c r="M754" s="26">
        <f>IF('DIVA Satislari'!I754="","",IFERROR(INDEX('E2E Nakliye Montaj'!$AU$3:$AU$1002,MATCH('DIVA Satislari'!AJ754,'E2E Nakliye Montaj'!$AM$3:$AM$1002,0)),"Hayır"))</f>
        <v/>
      </c>
      <c r="N754" s="27">
        <f>IF('DIVA Satislari'!I754="","",IFERROR(INDEX('E2E Nakliye Montaj'!$AV$3:$AV$1002,MATCH('DIVA Satislari'!AJ754,'E2E Nakliye Montaj'!$AM$3:$AM$1002,0)),""))</f>
        <v/>
      </c>
      <c r="O754" s="26">
        <f>IF(OR(A754="",N754=""),"",IF(N754&lt;=H754,"Evet","HAYIR - RİSK"))</f>
        <v/>
      </c>
      <c r="P754" s="26">
        <f>IF(A754="","",IF(LEFT(J754,8)="Kural A ","Uygun - Hemen Ödenir (Yıl Sonu %75 Kontrolüne Tabi)",IF(OR(L754="Evet",M754="Evet"),IF(O754="Evet","Uygun","RİSK - Hakediş Süresi Aşıldı"),"Bekleniyor - Nakliye/Montaj Tamamlanmadı")))</f>
        <v/>
      </c>
      <c r="Q754" s="28">
        <f>IF(A754="","",SUMIFS('Hakedis Fatura Detay'!$G$3:$G$1200,'Hakedis Fatura Detay'!$H$3:$H$1200,'DIVA Satislari'!AJ754,'Hakedis Fatura Detay'!$F$3:$F$1200,"Fiyat Farkı")+SUMIFS('Hakedis Fatura Detay'!$G$3:$G$1200,'Hakedis Fatura Detay'!$H$3:$H$1200,'DIVA Satislari'!AJ754,'Hakedis Fatura Detay'!$F$3:$F$1200,"Bundle"))</f>
        <v/>
      </c>
      <c r="R754" s="28">
        <f>IF(A754="","",I754-Q754)</f>
        <v/>
      </c>
      <c r="S754" s="26">
        <f>IF(A754="","",IF(LEFT(P754,7)="Bekleni","N/A - Henüz Ödenmemeli",IF(LEFT(P754,4)="RİSK","İNCELEME GEREKLİ - Süre Aşımı",IF(R754=0,"Doğru",IF(R754&gt;0,"EKSİK ÖDENMİŞ","FAZLA ÖDENMİŞ")))))</f>
        <v/>
      </c>
      <c r="T754" s="30">
        <f>IF(A754="","",IF(F754&lt;&gt;"Evet","İNCELEME GEREKLİ - Kampanya Tanımsız",IF(G754&lt;&gt;"Evet","İNCELEME GEREKLİ - Tarih Dışı Satış",IF(LEFT(P754,4)="RİSK","İNCELEME GEREKLİ - Hakediş Süresi Aşıldı",IF(OR(S754="EKSİK ÖDENMİŞ",S754="FAZLA ÖDENMİŞ"),"İNCELEME GEREKLİ - Tutar Uyuşmazlığı",IF(LEFT(P754,7)="Bekleni","Bekleniyor","Uygun"))))))</f>
        <v/>
      </c>
    </row>
    <row r="755">
      <c r="A755" s="26">
        <f>IF('DIVA Satislari'!I755="","",'DIVA Satislari'!I755)</f>
        <v/>
      </c>
      <c r="B755" s="26">
        <f>IF('DIVA Satislari'!I755="","",'DIVA Satislari'!R755)</f>
        <v/>
      </c>
      <c r="C755" s="26">
        <f>IF('DIVA Satislari'!I755="","",'DIVA Satislari'!M755)</f>
        <v/>
      </c>
      <c r="D755" s="27">
        <f>IF('DIVA Satislari'!I755="","",'DIVA Satislari'!H755)</f>
        <v/>
      </c>
      <c r="E755" s="26">
        <f>IF('DIVA Satislari'!I755="","",'DIVA Satislari'!O755)</f>
        <v/>
      </c>
      <c r="F755" s="26">
        <f>IF('DIVA Satislari'!I755="","",'DIVA Satislari'!AK755)</f>
        <v/>
      </c>
      <c r="G755" s="26">
        <f>IF('DIVA Satislari'!I755="","",'DIVA Satislari'!AO755)</f>
        <v/>
      </c>
      <c r="H755" s="27">
        <f>IF('DIVA Satislari'!I755="","",'DIVA Satislari'!AN755)</f>
        <v/>
      </c>
      <c r="I755" s="28">
        <f>IF('DIVA Satislari'!I755="","",'DIVA Satislari'!AQ755)</f>
        <v/>
      </c>
      <c r="J755" s="26">
        <f>IF('DIVA Satislari'!I755="","",'DIVA Satislari'!AR755)</f>
        <v/>
      </c>
      <c r="K755" s="26">
        <f>IF('DIVA Satislari'!I755="","",IFERROR(INDEX('E2E Nakliye Montaj'!$AS$3:$AS$1002,MATCH('DIVA Satislari'!AJ755,'E2E Nakliye Montaj'!$AM$3:$AM$1002,0)),"Eşleşme Yok"))</f>
        <v/>
      </c>
      <c r="L755" s="26">
        <f>IF('DIVA Satislari'!I755="","",IFERROR(INDEX('E2E Nakliye Montaj'!$AT$3:$AT$1002,MATCH('DIVA Satislari'!AJ755,'E2E Nakliye Montaj'!$AM$3:$AM$1002,0)),"Hayır"))</f>
        <v/>
      </c>
      <c r="M755" s="26">
        <f>IF('DIVA Satislari'!I755="","",IFERROR(INDEX('E2E Nakliye Montaj'!$AU$3:$AU$1002,MATCH('DIVA Satislari'!AJ755,'E2E Nakliye Montaj'!$AM$3:$AM$1002,0)),"Hayır"))</f>
        <v/>
      </c>
      <c r="N755" s="27">
        <f>IF('DIVA Satislari'!I755="","",IFERROR(INDEX('E2E Nakliye Montaj'!$AV$3:$AV$1002,MATCH('DIVA Satislari'!AJ755,'E2E Nakliye Montaj'!$AM$3:$AM$1002,0)),""))</f>
        <v/>
      </c>
      <c r="O755" s="26">
        <f>IF(OR(A755="",N755=""),"",IF(N755&lt;=H755,"Evet","HAYIR - RİSK"))</f>
        <v/>
      </c>
      <c r="P755" s="26">
        <f>IF(A755="","",IF(LEFT(J755,8)="Kural A ","Uygun - Hemen Ödenir (Yıl Sonu %75 Kontrolüne Tabi)",IF(OR(L755="Evet",M755="Evet"),IF(O755="Evet","Uygun","RİSK - Hakediş Süresi Aşıldı"),"Bekleniyor - Nakliye/Montaj Tamamlanmadı")))</f>
        <v/>
      </c>
      <c r="Q755" s="28">
        <f>IF(A755="","",SUMIFS('Hakedis Fatura Detay'!$G$3:$G$1200,'Hakedis Fatura Detay'!$H$3:$H$1200,'DIVA Satislari'!AJ755,'Hakedis Fatura Detay'!$F$3:$F$1200,"Fiyat Farkı")+SUMIFS('Hakedis Fatura Detay'!$G$3:$G$1200,'Hakedis Fatura Detay'!$H$3:$H$1200,'DIVA Satislari'!AJ755,'Hakedis Fatura Detay'!$F$3:$F$1200,"Bundle"))</f>
        <v/>
      </c>
      <c r="R755" s="28">
        <f>IF(A755="","",I755-Q755)</f>
        <v/>
      </c>
      <c r="S755" s="26">
        <f>IF(A755="","",IF(LEFT(P755,7)="Bekleni","N/A - Henüz Ödenmemeli",IF(LEFT(P755,4)="RİSK","İNCELEME GEREKLİ - Süre Aşımı",IF(R755=0,"Doğru",IF(R755&gt;0,"EKSİK ÖDENMİŞ","FAZLA ÖDENMİŞ")))))</f>
        <v/>
      </c>
      <c r="T755" s="30">
        <f>IF(A755="","",IF(F755&lt;&gt;"Evet","İNCELEME GEREKLİ - Kampanya Tanımsız",IF(G755&lt;&gt;"Evet","İNCELEME GEREKLİ - Tarih Dışı Satış",IF(LEFT(P755,4)="RİSK","İNCELEME GEREKLİ - Hakediş Süresi Aşıldı",IF(OR(S755="EKSİK ÖDENMİŞ",S755="FAZLA ÖDENMİŞ"),"İNCELEME GEREKLİ - Tutar Uyuşmazlığı",IF(LEFT(P755,7)="Bekleni","Bekleniyor","Uygun"))))))</f>
        <v/>
      </c>
    </row>
    <row r="756">
      <c r="A756" s="26">
        <f>IF('DIVA Satislari'!I756="","",'DIVA Satislari'!I756)</f>
        <v/>
      </c>
      <c r="B756" s="26">
        <f>IF('DIVA Satislari'!I756="","",'DIVA Satislari'!R756)</f>
        <v/>
      </c>
      <c r="C756" s="26">
        <f>IF('DIVA Satislari'!I756="","",'DIVA Satislari'!M756)</f>
        <v/>
      </c>
      <c r="D756" s="27">
        <f>IF('DIVA Satislari'!I756="","",'DIVA Satislari'!H756)</f>
        <v/>
      </c>
      <c r="E756" s="26">
        <f>IF('DIVA Satislari'!I756="","",'DIVA Satislari'!O756)</f>
        <v/>
      </c>
      <c r="F756" s="26">
        <f>IF('DIVA Satislari'!I756="","",'DIVA Satislari'!AK756)</f>
        <v/>
      </c>
      <c r="G756" s="26">
        <f>IF('DIVA Satislari'!I756="","",'DIVA Satislari'!AO756)</f>
        <v/>
      </c>
      <c r="H756" s="27">
        <f>IF('DIVA Satislari'!I756="","",'DIVA Satislari'!AN756)</f>
        <v/>
      </c>
      <c r="I756" s="28">
        <f>IF('DIVA Satislari'!I756="","",'DIVA Satislari'!AQ756)</f>
        <v/>
      </c>
      <c r="J756" s="26">
        <f>IF('DIVA Satislari'!I756="","",'DIVA Satislari'!AR756)</f>
        <v/>
      </c>
      <c r="K756" s="26">
        <f>IF('DIVA Satislari'!I756="","",IFERROR(INDEX('E2E Nakliye Montaj'!$AS$3:$AS$1002,MATCH('DIVA Satislari'!AJ756,'E2E Nakliye Montaj'!$AM$3:$AM$1002,0)),"Eşleşme Yok"))</f>
        <v/>
      </c>
      <c r="L756" s="26">
        <f>IF('DIVA Satislari'!I756="","",IFERROR(INDEX('E2E Nakliye Montaj'!$AT$3:$AT$1002,MATCH('DIVA Satislari'!AJ756,'E2E Nakliye Montaj'!$AM$3:$AM$1002,0)),"Hayır"))</f>
        <v/>
      </c>
      <c r="M756" s="26">
        <f>IF('DIVA Satislari'!I756="","",IFERROR(INDEX('E2E Nakliye Montaj'!$AU$3:$AU$1002,MATCH('DIVA Satislari'!AJ756,'E2E Nakliye Montaj'!$AM$3:$AM$1002,0)),"Hayır"))</f>
        <v/>
      </c>
      <c r="N756" s="27">
        <f>IF('DIVA Satislari'!I756="","",IFERROR(INDEX('E2E Nakliye Montaj'!$AV$3:$AV$1002,MATCH('DIVA Satislari'!AJ756,'E2E Nakliye Montaj'!$AM$3:$AM$1002,0)),""))</f>
        <v/>
      </c>
      <c r="O756" s="26">
        <f>IF(OR(A756="",N756=""),"",IF(N756&lt;=H756,"Evet","HAYIR - RİSK"))</f>
        <v/>
      </c>
      <c r="P756" s="26">
        <f>IF(A756="","",IF(LEFT(J756,8)="Kural A ","Uygun - Hemen Ödenir (Yıl Sonu %75 Kontrolüne Tabi)",IF(OR(L756="Evet",M756="Evet"),IF(O756="Evet","Uygun","RİSK - Hakediş Süresi Aşıldı"),"Bekleniyor - Nakliye/Montaj Tamamlanmadı")))</f>
        <v/>
      </c>
      <c r="Q756" s="28">
        <f>IF(A756="","",SUMIFS('Hakedis Fatura Detay'!$G$3:$G$1200,'Hakedis Fatura Detay'!$H$3:$H$1200,'DIVA Satislari'!AJ756,'Hakedis Fatura Detay'!$F$3:$F$1200,"Fiyat Farkı")+SUMIFS('Hakedis Fatura Detay'!$G$3:$G$1200,'Hakedis Fatura Detay'!$H$3:$H$1200,'DIVA Satislari'!AJ756,'Hakedis Fatura Detay'!$F$3:$F$1200,"Bundle"))</f>
        <v/>
      </c>
      <c r="R756" s="28">
        <f>IF(A756="","",I756-Q756)</f>
        <v/>
      </c>
      <c r="S756" s="26">
        <f>IF(A756="","",IF(LEFT(P756,7)="Bekleni","N/A - Henüz Ödenmemeli",IF(LEFT(P756,4)="RİSK","İNCELEME GEREKLİ - Süre Aşımı",IF(R756=0,"Doğru",IF(R756&gt;0,"EKSİK ÖDENMİŞ","FAZLA ÖDENMİŞ")))))</f>
        <v/>
      </c>
      <c r="T756" s="30">
        <f>IF(A756="","",IF(F756&lt;&gt;"Evet","İNCELEME GEREKLİ - Kampanya Tanımsız",IF(G756&lt;&gt;"Evet","İNCELEME GEREKLİ - Tarih Dışı Satış",IF(LEFT(P756,4)="RİSK","İNCELEME GEREKLİ - Hakediş Süresi Aşıldı",IF(OR(S756="EKSİK ÖDENMİŞ",S756="FAZLA ÖDENMİŞ"),"İNCELEME GEREKLİ - Tutar Uyuşmazlığı",IF(LEFT(P756,7)="Bekleni","Bekleniyor","Uygun"))))))</f>
        <v/>
      </c>
    </row>
    <row r="757">
      <c r="A757" s="26">
        <f>IF('DIVA Satislari'!I757="","",'DIVA Satislari'!I757)</f>
        <v/>
      </c>
      <c r="B757" s="26">
        <f>IF('DIVA Satislari'!I757="","",'DIVA Satislari'!R757)</f>
        <v/>
      </c>
      <c r="C757" s="26">
        <f>IF('DIVA Satislari'!I757="","",'DIVA Satislari'!M757)</f>
        <v/>
      </c>
      <c r="D757" s="27">
        <f>IF('DIVA Satislari'!I757="","",'DIVA Satislari'!H757)</f>
        <v/>
      </c>
      <c r="E757" s="26">
        <f>IF('DIVA Satislari'!I757="","",'DIVA Satislari'!O757)</f>
        <v/>
      </c>
      <c r="F757" s="26">
        <f>IF('DIVA Satislari'!I757="","",'DIVA Satislari'!AK757)</f>
        <v/>
      </c>
      <c r="G757" s="26">
        <f>IF('DIVA Satislari'!I757="","",'DIVA Satislari'!AO757)</f>
        <v/>
      </c>
      <c r="H757" s="27">
        <f>IF('DIVA Satislari'!I757="","",'DIVA Satislari'!AN757)</f>
        <v/>
      </c>
      <c r="I757" s="28">
        <f>IF('DIVA Satislari'!I757="","",'DIVA Satislari'!AQ757)</f>
        <v/>
      </c>
      <c r="J757" s="26">
        <f>IF('DIVA Satislari'!I757="","",'DIVA Satislari'!AR757)</f>
        <v/>
      </c>
      <c r="K757" s="26">
        <f>IF('DIVA Satislari'!I757="","",IFERROR(INDEX('E2E Nakliye Montaj'!$AS$3:$AS$1002,MATCH('DIVA Satislari'!AJ757,'E2E Nakliye Montaj'!$AM$3:$AM$1002,0)),"Eşleşme Yok"))</f>
        <v/>
      </c>
      <c r="L757" s="26">
        <f>IF('DIVA Satislari'!I757="","",IFERROR(INDEX('E2E Nakliye Montaj'!$AT$3:$AT$1002,MATCH('DIVA Satislari'!AJ757,'E2E Nakliye Montaj'!$AM$3:$AM$1002,0)),"Hayır"))</f>
        <v/>
      </c>
      <c r="M757" s="26">
        <f>IF('DIVA Satislari'!I757="","",IFERROR(INDEX('E2E Nakliye Montaj'!$AU$3:$AU$1002,MATCH('DIVA Satislari'!AJ757,'E2E Nakliye Montaj'!$AM$3:$AM$1002,0)),"Hayır"))</f>
        <v/>
      </c>
      <c r="N757" s="27">
        <f>IF('DIVA Satislari'!I757="","",IFERROR(INDEX('E2E Nakliye Montaj'!$AV$3:$AV$1002,MATCH('DIVA Satislari'!AJ757,'E2E Nakliye Montaj'!$AM$3:$AM$1002,0)),""))</f>
        <v/>
      </c>
      <c r="O757" s="26">
        <f>IF(OR(A757="",N757=""),"",IF(N757&lt;=H757,"Evet","HAYIR - RİSK"))</f>
        <v/>
      </c>
      <c r="P757" s="26">
        <f>IF(A757="","",IF(LEFT(J757,8)="Kural A ","Uygun - Hemen Ödenir (Yıl Sonu %75 Kontrolüne Tabi)",IF(OR(L757="Evet",M757="Evet"),IF(O757="Evet","Uygun","RİSK - Hakediş Süresi Aşıldı"),"Bekleniyor - Nakliye/Montaj Tamamlanmadı")))</f>
        <v/>
      </c>
      <c r="Q757" s="28">
        <f>IF(A757="","",SUMIFS('Hakedis Fatura Detay'!$G$3:$G$1200,'Hakedis Fatura Detay'!$H$3:$H$1200,'DIVA Satislari'!AJ757,'Hakedis Fatura Detay'!$F$3:$F$1200,"Fiyat Farkı")+SUMIFS('Hakedis Fatura Detay'!$G$3:$G$1200,'Hakedis Fatura Detay'!$H$3:$H$1200,'DIVA Satislari'!AJ757,'Hakedis Fatura Detay'!$F$3:$F$1200,"Bundle"))</f>
        <v/>
      </c>
      <c r="R757" s="28">
        <f>IF(A757="","",I757-Q757)</f>
        <v/>
      </c>
      <c r="S757" s="26">
        <f>IF(A757="","",IF(LEFT(P757,7)="Bekleni","N/A - Henüz Ödenmemeli",IF(LEFT(P757,4)="RİSK","İNCELEME GEREKLİ - Süre Aşımı",IF(R757=0,"Doğru",IF(R757&gt;0,"EKSİK ÖDENMİŞ","FAZLA ÖDENMİŞ")))))</f>
        <v/>
      </c>
      <c r="T757" s="30">
        <f>IF(A757="","",IF(F757&lt;&gt;"Evet","İNCELEME GEREKLİ - Kampanya Tanımsız",IF(G757&lt;&gt;"Evet","İNCELEME GEREKLİ - Tarih Dışı Satış",IF(LEFT(P757,4)="RİSK","İNCELEME GEREKLİ - Hakediş Süresi Aşıldı",IF(OR(S757="EKSİK ÖDENMİŞ",S757="FAZLA ÖDENMİŞ"),"İNCELEME GEREKLİ - Tutar Uyuşmazlığı",IF(LEFT(P757,7)="Bekleni","Bekleniyor","Uygun"))))))</f>
        <v/>
      </c>
    </row>
    <row r="758">
      <c r="A758" s="26">
        <f>IF('DIVA Satislari'!I758="","",'DIVA Satislari'!I758)</f>
        <v/>
      </c>
      <c r="B758" s="26">
        <f>IF('DIVA Satislari'!I758="","",'DIVA Satislari'!R758)</f>
        <v/>
      </c>
      <c r="C758" s="26">
        <f>IF('DIVA Satislari'!I758="","",'DIVA Satislari'!M758)</f>
        <v/>
      </c>
      <c r="D758" s="27">
        <f>IF('DIVA Satislari'!I758="","",'DIVA Satislari'!H758)</f>
        <v/>
      </c>
      <c r="E758" s="26">
        <f>IF('DIVA Satislari'!I758="","",'DIVA Satislari'!O758)</f>
        <v/>
      </c>
      <c r="F758" s="26">
        <f>IF('DIVA Satislari'!I758="","",'DIVA Satislari'!AK758)</f>
        <v/>
      </c>
      <c r="G758" s="26">
        <f>IF('DIVA Satislari'!I758="","",'DIVA Satislari'!AO758)</f>
        <v/>
      </c>
      <c r="H758" s="27">
        <f>IF('DIVA Satislari'!I758="","",'DIVA Satislari'!AN758)</f>
        <v/>
      </c>
      <c r="I758" s="28">
        <f>IF('DIVA Satislari'!I758="","",'DIVA Satislari'!AQ758)</f>
        <v/>
      </c>
      <c r="J758" s="26">
        <f>IF('DIVA Satislari'!I758="","",'DIVA Satislari'!AR758)</f>
        <v/>
      </c>
      <c r="K758" s="26">
        <f>IF('DIVA Satislari'!I758="","",IFERROR(INDEX('E2E Nakliye Montaj'!$AS$3:$AS$1002,MATCH('DIVA Satislari'!AJ758,'E2E Nakliye Montaj'!$AM$3:$AM$1002,0)),"Eşleşme Yok"))</f>
        <v/>
      </c>
      <c r="L758" s="26">
        <f>IF('DIVA Satislari'!I758="","",IFERROR(INDEX('E2E Nakliye Montaj'!$AT$3:$AT$1002,MATCH('DIVA Satislari'!AJ758,'E2E Nakliye Montaj'!$AM$3:$AM$1002,0)),"Hayır"))</f>
        <v/>
      </c>
      <c r="M758" s="26">
        <f>IF('DIVA Satislari'!I758="","",IFERROR(INDEX('E2E Nakliye Montaj'!$AU$3:$AU$1002,MATCH('DIVA Satislari'!AJ758,'E2E Nakliye Montaj'!$AM$3:$AM$1002,0)),"Hayır"))</f>
        <v/>
      </c>
      <c r="N758" s="27">
        <f>IF('DIVA Satislari'!I758="","",IFERROR(INDEX('E2E Nakliye Montaj'!$AV$3:$AV$1002,MATCH('DIVA Satislari'!AJ758,'E2E Nakliye Montaj'!$AM$3:$AM$1002,0)),""))</f>
        <v/>
      </c>
      <c r="O758" s="26">
        <f>IF(OR(A758="",N758=""),"",IF(N758&lt;=H758,"Evet","HAYIR - RİSK"))</f>
        <v/>
      </c>
      <c r="P758" s="26">
        <f>IF(A758="","",IF(LEFT(J758,8)="Kural A ","Uygun - Hemen Ödenir (Yıl Sonu %75 Kontrolüne Tabi)",IF(OR(L758="Evet",M758="Evet"),IF(O758="Evet","Uygun","RİSK - Hakediş Süresi Aşıldı"),"Bekleniyor - Nakliye/Montaj Tamamlanmadı")))</f>
        <v/>
      </c>
      <c r="Q758" s="28">
        <f>IF(A758="","",SUMIFS('Hakedis Fatura Detay'!$G$3:$G$1200,'Hakedis Fatura Detay'!$H$3:$H$1200,'DIVA Satislari'!AJ758,'Hakedis Fatura Detay'!$F$3:$F$1200,"Fiyat Farkı")+SUMIFS('Hakedis Fatura Detay'!$G$3:$G$1200,'Hakedis Fatura Detay'!$H$3:$H$1200,'DIVA Satislari'!AJ758,'Hakedis Fatura Detay'!$F$3:$F$1200,"Bundle"))</f>
        <v/>
      </c>
      <c r="R758" s="28">
        <f>IF(A758="","",I758-Q758)</f>
        <v/>
      </c>
      <c r="S758" s="26">
        <f>IF(A758="","",IF(LEFT(P758,7)="Bekleni","N/A - Henüz Ödenmemeli",IF(LEFT(P758,4)="RİSK","İNCELEME GEREKLİ - Süre Aşımı",IF(R758=0,"Doğru",IF(R758&gt;0,"EKSİK ÖDENMİŞ","FAZLA ÖDENMİŞ")))))</f>
        <v/>
      </c>
      <c r="T758" s="30">
        <f>IF(A758="","",IF(F758&lt;&gt;"Evet","İNCELEME GEREKLİ - Kampanya Tanımsız",IF(G758&lt;&gt;"Evet","İNCELEME GEREKLİ - Tarih Dışı Satış",IF(LEFT(P758,4)="RİSK","İNCELEME GEREKLİ - Hakediş Süresi Aşıldı",IF(OR(S758="EKSİK ÖDENMİŞ",S758="FAZLA ÖDENMİŞ"),"İNCELEME GEREKLİ - Tutar Uyuşmazlığı",IF(LEFT(P758,7)="Bekleni","Bekleniyor","Uygun"))))))</f>
        <v/>
      </c>
    </row>
    <row r="759">
      <c r="A759" s="26">
        <f>IF('DIVA Satislari'!I759="","",'DIVA Satislari'!I759)</f>
        <v/>
      </c>
      <c r="B759" s="26">
        <f>IF('DIVA Satislari'!I759="","",'DIVA Satislari'!R759)</f>
        <v/>
      </c>
      <c r="C759" s="26">
        <f>IF('DIVA Satislari'!I759="","",'DIVA Satislari'!M759)</f>
        <v/>
      </c>
      <c r="D759" s="27">
        <f>IF('DIVA Satislari'!I759="","",'DIVA Satislari'!H759)</f>
        <v/>
      </c>
      <c r="E759" s="26">
        <f>IF('DIVA Satislari'!I759="","",'DIVA Satislari'!O759)</f>
        <v/>
      </c>
      <c r="F759" s="26">
        <f>IF('DIVA Satislari'!I759="","",'DIVA Satislari'!AK759)</f>
        <v/>
      </c>
      <c r="G759" s="26">
        <f>IF('DIVA Satislari'!I759="","",'DIVA Satislari'!AO759)</f>
        <v/>
      </c>
      <c r="H759" s="27">
        <f>IF('DIVA Satislari'!I759="","",'DIVA Satislari'!AN759)</f>
        <v/>
      </c>
      <c r="I759" s="28">
        <f>IF('DIVA Satislari'!I759="","",'DIVA Satislari'!AQ759)</f>
        <v/>
      </c>
      <c r="J759" s="26">
        <f>IF('DIVA Satislari'!I759="","",'DIVA Satislari'!AR759)</f>
        <v/>
      </c>
      <c r="K759" s="26">
        <f>IF('DIVA Satislari'!I759="","",IFERROR(INDEX('E2E Nakliye Montaj'!$AS$3:$AS$1002,MATCH('DIVA Satislari'!AJ759,'E2E Nakliye Montaj'!$AM$3:$AM$1002,0)),"Eşleşme Yok"))</f>
        <v/>
      </c>
      <c r="L759" s="26">
        <f>IF('DIVA Satislari'!I759="","",IFERROR(INDEX('E2E Nakliye Montaj'!$AT$3:$AT$1002,MATCH('DIVA Satislari'!AJ759,'E2E Nakliye Montaj'!$AM$3:$AM$1002,0)),"Hayır"))</f>
        <v/>
      </c>
      <c r="M759" s="26">
        <f>IF('DIVA Satislari'!I759="","",IFERROR(INDEX('E2E Nakliye Montaj'!$AU$3:$AU$1002,MATCH('DIVA Satislari'!AJ759,'E2E Nakliye Montaj'!$AM$3:$AM$1002,0)),"Hayır"))</f>
        <v/>
      </c>
      <c r="N759" s="27">
        <f>IF('DIVA Satislari'!I759="","",IFERROR(INDEX('E2E Nakliye Montaj'!$AV$3:$AV$1002,MATCH('DIVA Satislari'!AJ759,'E2E Nakliye Montaj'!$AM$3:$AM$1002,0)),""))</f>
        <v/>
      </c>
      <c r="O759" s="26">
        <f>IF(OR(A759="",N759=""),"",IF(N759&lt;=H759,"Evet","HAYIR - RİSK"))</f>
        <v/>
      </c>
      <c r="P759" s="26">
        <f>IF(A759="","",IF(LEFT(J759,8)="Kural A ","Uygun - Hemen Ödenir (Yıl Sonu %75 Kontrolüne Tabi)",IF(OR(L759="Evet",M759="Evet"),IF(O759="Evet","Uygun","RİSK - Hakediş Süresi Aşıldı"),"Bekleniyor - Nakliye/Montaj Tamamlanmadı")))</f>
        <v/>
      </c>
      <c r="Q759" s="28">
        <f>IF(A759="","",SUMIFS('Hakedis Fatura Detay'!$G$3:$G$1200,'Hakedis Fatura Detay'!$H$3:$H$1200,'DIVA Satislari'!AJ759,'Hakedis Fatura Detay'!$F$3:$F$1200,"Fiyat Farkı")+SUMIFS('Hakedis Fatura Detay'!$G$3:$G$1200,'Hakedis Fatura Detay'!$H$3:$H$1200,'DIVA Satislari'!AJ759,'Hakedis Fatura Detay'!$F$3:$F$1200,"Bundle"))</f>
        <v/>
      </c>
      <c r="R759" s="28">
        <f>IF(A759="","",I759-Q759)</f>
        <v/>
      </c>
      <c r="S759" s="26">
        <f>IF(A759="","",IF(LEFT(P759,7)="Bekleni","N/A - Henüz Ödenmemeli",IF(LEFT(P759,4)="RİSK","İNCELEME GEREKLİ - Süre Aşımı",IF(R759=0,"Doğru",IF(R759&gt;0,"EKSİK ÖDENMİŞ","FAZLA ÖDENMİŞ")))))</f>
        <v/>
      </c>
      <c r="T759" s="30">
        <f>IF(A759="","",IF(F759&lt;&gt;"Evet","İNCELEME GEREKLİ - Kampanya Tanımsız",IF(G759&lt;&gt;"Evet","İNCELEME GEREKLİ - Tarih Dışı Satış",IF(LEFT(P759,4)="RİSK","İNCELEME GEREKLİ - Hakediş Süresi Aşıldı",IF(OR(S759="EKSİK ÖDENMİŞ",S759="FAZLA ÖDENMİŞ"),"İNCELEME GEREKLİ - Tutar Uyuşmazlığı",IF(LEFT(P759,7)="Bekleni","Bekleniyor","Uygun"))))))</f>
        <v/>
      </c>
    </row>
    <row r="760">
      <c r="A760" s="26">
        <f>IF('DIVA Satislari'!I760="","",'DIVA Satislari'!I760)</f>
        <v/>
      </c>
      <c r="B760" s="26">
        <f>IF('DIVA Satislari'!I760="","",'DIVA Satislari'!R760)</f>
        <v/>
      </c>
      <c r="C760" s="26">
        <f>IF('DIVA Satislari'!I760="","",'DIVA Satislari'!M760)</f>
        <v/>
      </c>
      <c r="D760" s="27">
        <f>IF('DIVA Satislari'!I760="","",'DIVA Satislari'!H760)</f>
        <v/>
      </c>
      <c r="E760" s="26">
        <f>IF('DIVA Satislari'!I760="","",'DIVA Satislari'!O760)</f>
        <v/>
      </c>
      <c r="F760" s="26">
        <f>IF('DIVA Satislari'!I760="","",'DIVA Satislari'!AK760)</f>
        <v/>
      </c>
      <c r="G760" s="26">
        <f>IF('DIVA Satislari'!I760="","",'DIVA Satislari'!AO760)</f>
        <v/>
      </c>
      <c r="H760" s="27">
        <f>IF('DIVA Satislari'!I760="","",'DIVA Satislari'!AN760)</f>
        <v/>
      </c>
      <c r="I760" s="28">
        <f>IF('DIVA Satislari'!I760="","",'DIVA Satislari'!AQ760)</f>
        <v/>
      </c>
      <c r="J760" s="26">
        <f>IF('DIVA Satislari'!I760="","",'DIVA Satislari'!AR760)</f>
        <v/>
      </c>
      <c r="K760" s="26">
        <f>IF('DIVA Satislari'!I760="","",IFERROR(INDEX('E2E Nakliye Montaj'!$AS$3:$AS$1002,MATCH('DIVA Satislari'!AJ760,'E2E Nakliye Montaj'!$AM$3:$AM$1002,0)),"Eşleşme Yok"))</f>
        <v/>
      </c>
      <c r="L760" s="26">
        <f>IF('DIVA Satislari'!I760="","",IFERROR(INDEX('E2E Nakliye Montaj'!$AT$3:$AT$1002,MATCH('DIVA Satislari'!AJ760,'E2E Nakliye Montaj'!$AM$3:$AM$1002,0)),"Hayır"))</f>
        <v/>
      </c>
      <c r="M760" s="26">
        <f>IF('DIVA Satislari'!I760="","",IFERROR(INDEX('E2E Nakliye Montaj'!$AU$3:$AU$1002,MATCH('DIVA Satislari'!AJ760,'E2E Nakliye Montaj'!$AM$3:$AM$1002,0)),"Hayır"))</f>
        <v/>
      </c>
      <c r="N760" s="27">
        <f>IF('DIVA Satislari'!I760="","",IFERROR(INDEX('E2E Nakliye Montaj'!$AV$3:$AV$1002,MATCH('DIVA Satislari'!AJ760,'E2E Nakliye Montaj'!$AM$3:$AM$1002,0)),""))</f>
        <v/>
      </c>
      <c r="O760" s="26">
        <f>IF(OR(A760="",N760=""),"",IF(N760&lt;=H760,"Evet","HAYIR - RİSK"))</f>
        <v/>
      </c>
      <c r="P760" s="26">
        <f>IF(A760="","",IF(LEFT(J760,8)="Kural A ","Uygun - Hemen Ödenir (Yıl Sonu %75 Kontrolüne Tabi)",IF(OR(L760="Evet",M760="Evet"),IF(O760="Evet","Uygun","RİSK - Hakediş Süresi Aşıldı"),"Bekleniyor - Nakliye/Montaj Tamamlanmadı")))</f>
        <v/>
      </c>
      <c r="Q760" s="28">
        <f>IF(A760="","",SUMIFS('Hakedis Fatura Detay'!$G$3:$G$1200,'Hakedis Fatura Detay'!$H$3:$H$1200,'DIVA Satislari'!AJ760,'Hakedis Fatura Detay'!$F$3:$F$1200,"Fiyat Farkı")+SUMIFS('Hakedis Fatura Detay'!$G$3:$G$1200,'Hakedis Fatura Detay'!$H$3:$H$1200,'DIVA Satislari'!AJ760,'Hakedis Fatura Detay'!$F$3:$F$1200,"Bundle"))</f>
        <v/>
      </c>
      <c r="R760" s="28">
        <f>IF(A760="","",I760-Q760)</f>
        <v/>
      </c>
      <c r="S760" s="26">
        <f>IF(A760="","",IF(LEFT(P760,7)="Bekleni","N/A - Henüz Ödenmemeli",IF(LEFT(P760,4)="RİSK","İNCELEME GEREKLİ - Süre Aşımı",IF(R760=0,"Doğru",IF(R760&gt;0,"EKSİK ÖDENMİŞ","FAZLA ÖDENMİŞ")))))</f>
        <v/>
      </c>
      <c r="T760" s="30">
        <f>IF(A760="","",IF(F760&lt;&gt;"Evet","İNCELEME GEREKLİ - Kampanya Tanımsız",IF(G760&lt;&gt;"Evet","İNCELEME GEREKLİ - Tarih Dışı Satış",IF(LEFT(P760,4)="RİSK","İNCELEME GEREKLİ - Hakediş Süresi Aşıldı",IF(OR(S760="EKSİK ÖDENMİŞ",S760="FAZLA ÖDENMİŞ"),"İNCELEME GEREKLİ - Tutar Uyuşmazlığı",IF(LEFT(P760,7)="Bekleni","Bekleniyor","Uygun"))))))</f>
        <v/>
      </c>
    </row>
    <row r="761">
      <c r="A761" s="26">
        <f>IF('DIVA Satislari'!I761="","",'DIVA Satislari'!I761)</f>
        <v/>
      </c>
      <c r="B761" s="26">
        <f>IF('DIVA Satislari'!I761="","",'DIVA Satislari'!R761)</f>
        <v/>
      </c>
      <c r="C761" s="26">
        <f>IF('DIVA Satislari'!I761="","",'DIVA Satislari'!M761)</f>
        <v/>
      </c>
      <c r="D761" s="27">
        <f>IF('DIVA Satislari'!I761="","",'DIVA Satislari'!H761)</f>
        <v/>
      </c>
      <c r="E761" s="26">
        <f>IF('DIVA Satislari'!I761="","",'DIVA Satislari'!O761)</f>
        <v/>
      </c>
      <c r="F761" s="26">
        <f>IF('DIVA Satislari'!I761="","",'DIVA Satislari'!AK761)</f>
        <v/>
      </c>
      <c r="G761" s="26">
        <f>IF('DIVA Satislari'!I761="","",'DIVA Satislari'!AO761)</f>
        <v/>
      </c>
      <c r="H761" s="27">
        <f>IF('DIVA Satislari'!I761="","",'DIVA Satislari'!AN761)</f>
        <v/>
      </c>
      <c r="I761" s="28">
        <f>IF('DIVA Satislari'!I761="","",'DIVA Satislari'!AQ761)</f>
        <v/>
      </c>
      <c r="J761" s="26">
        <f>IF('DIVA Satislari'!I761="","",'DIVA Satislari'!AR761)</f>
        <v/>
      </c>
      <c r="K761" s="26">
        <f>IF('DIVA Satislari'!I761="","",IFERROR(INDEX('E2E Nakliye Montaj'!$AS$3:$AS$1002,MATCH('DIVA Satislari'!AJ761,'E2E Nakliye Montaj'!$AM$3:$AM$1002,0)),"Eşleşme Yok"))</f>
        <v/>
      </c>
      <c r="L761" s="26">
        <f>IF('DIVA Satislari'!I761="","",IFERROR(INDEX('E2E Nakliye Montaj'!$AT$3:$AT$1002,MATCH('DIVA Satislari'!AJ761,'E2E Nakliye Montaj'!$AM$3:$AM$1002,0)),"Hayır"))</f>
        <v/>
      </c>
      <c r="M761" s="26">
        <f>IF('DIVA Satislari'!I761="","",IFERROR(INDEX('E2E Nakliye Montaj'!$AU$3:$AU$1002,MATCH('DIVA Satislari'!AJ761,'E2E Nakliye Montaj'!$AM$3:$AM$1002,0)),"Hayır"))</f>
        <v/>
      </c>
      <c r="N761" s="27">
        <f>IF('DIVA Satislari'!I761="","",IFERROR(INDEX('E2E Nakliye Montaj'!$AV$3:$AV$1002,MATCH('DIVA Satislari'!AJ761,'E2E Nakliye Montaj'!$AM$3:$AM$1002,0)),""))</f>
        <v/>
      </c>
      <c r="O761" s="26">
        <f>IF(OR(A761="",N761=""),"",IF(N761&lt;=H761,"Evet","HAYIR - RİSK"))</f>
        <v/>
      </c>
      <c r="P761" s="26">
        <f>IF(A761="","",IF(LEFT(J761,8)="Kural A ","Uygun - Hemen Ödenir (Yıl Sonu %75 Kontrolüne Tabi)",IF(OR(L761="Evet",M761="Evet"),IF(O761="Evet","Uygun","RİSK - Hakediş Süresi Aşıldı"),"Bekleniyor - Nakliye/Montaj Tamamlanmadı")))</f>
        <v/>
      </c>
      <c r="Q761" s="28">
        <f>IF(A761="","",SUMIFS('Hakedis Fatura Detay'!$G$3:$G$1200,'Hakedis Fatura Detay'!$H$3:$H$1200,'DIVA Satislari'!AJ761,'Hakedis Fatura Detay'!$F$3:$F$1200,"Fiyat Farkı")+SUMIFS('Hakedis Fatura Detay'!$G$3:$G$1200,'Hakedis Fatura Detay'!$H$3:$H$1200,'DIVA Satislari'!AJ761,'Hakedis Fatura Detay'!$F$3:$F$1200,"Bundle"))</f>
        <v/>
      </c>
      <c r="R761" s="28">
        <f>IF(A761="","",I761-Q761)</f>
        <v/>
      </c>
      <c r="S761" s="26">
        <f>IF(A761="","",IF(LEFT(P761,7)="Bekleni","N/A - Henüz Ödenmemeli",IF(LEFT(P761,4)="RİSK","İNCELEME GEREKLİ - Süre Aşımı",IF(R761=0,"Doğru",IF(R761&gt;0,"EKSİK ÖDENMİŞ","FAZLA ÖDENMİŞ")))))</f>
        <v/>
      </c>
      <c r="T761" s="30">
        <f>IF(A761="","",IF(F761&lt;&gt;"Evet","İNCELEME GEREKLİ - Kampanya Tanımsız",IF(G761&lt;&gt;"Evet","İNCELEME GEREKLİ - Tarih Dışı Satış",IF(LEFT(P761,4)="RİSK","İNCELEME GEREKLİ - Hakediş Süresi Aşıldı",IF(OR(S761="EKSİK ÖDENMİŞ",S761="FAZLA ÖDENMİŞ"),"İNCELEME GEREKLİ - Tutar Uyuşmazlığı",IF(LEFT(P761,7)="Bekleni","Bekleniyor","Uygun"))))))</f>
        <v/>
      </c>
    </row>
    <row r="762">
      <c r="A762" s="26">
        <f>IF('DIVA Satislari'!I762="","",'DIVA Satislari'!I762)</f>
        <v/>
      </c>
      <c r="B762" s="26">
        <f>IF('DIVA Satislari'!I762="","",'DIVA Satislari'!R762)</f>
        <v/>
      </c>
      <c r="C762" s="26">
        <f>IF('DIVA Satislari'!I762="","",'DIVA Satislari'!M762)</f>
        <v/>
      </c>
      <c r="D762" s="27">
        <f>IF('DIVA Satislari'!I762="","",'DIVA Satislari'!H762)</f>
        <v/>
      </c>
      <c r="E762" s="26">
        <f>IF('DIVA Satislari'!I762="","",'DIVA Satislari'!O762)</f>
        <v/>
      </c>
      <c r="F762" s="26">
        <f>IF('DIVA Satislari'!I762="","",'DIVA Satislari'!AK762)</f>
        <v/>
      </c>
      <c r="G762" s="26">
        <f>IF('DIVA Satislari'!I762="","",'DIVA Satislari'!AO762)</f>
        <v/>
      </c>
      <c r="H762" s="27">
        <f>IF('DIVA Satislari'!I762="","",'DIVA Satislari'!AN762)</f>
        <v/>
      </c>
      <c r="I762" s="28">
        <f>IF('DIVA Satislari'!I762="","",'DIVA Satislari'!AQ762)</f>
        <v/>
      </c>
      <c r="J762" s="26">
        <f>IF('DIVA Satislari'!I762="","",'DIVA Satislari'!AR762)</f>
        <v/>
      </c>
      <c r="K762" s="26">
        <f>IF('DIVA Satislari'!I762="","",IFERROR(INDEX('E2E Nakliye Montaj'!$AS$3:$AS$1002,MATCH('DIVA Satislari'!AJ762,'E2E Nakliye Montaj'!$AM$3:$AM$1002,0)),"Eşleşme Yok"))</f>
        <v/>
      </c>
      <c r="L762" s="26">
        <f>IF('DIVA Satislari'!I762="","",IFERROR(INDEX('E2E Nakliye Montaj'!$AT$3:$AT$1002,MATCH('DIVA Satislari'!AJ762,'E2E Nakliye Montaj'!$AM$3:$AM$1002,0)),"Hayır"))</f>
        <v/>
      </c>
      <c r="M762" s="26">
        <f>IF('DIVA Satislari'!I762="","",IFERROR(INDEX('E2E Nakliye Montaj'!$AU$3:$AU$1002,MATCH('DIVA Satislari'!AJ762,'E2E Nakliye Montaj'!$AM$3:$AM$1002,0)),"Hayır"))</f>
        <v/>
      </c>
      <c r="N762" s="27">
        <f>IF('DIVA Satislari'!I762="","",IFERROR(INDEX('E2E Nakliye Montaj'!$AV$3:$AV$1002,MATCH('DIVA Satislari'!AJ762,'E2E Nakliye Montaj'!$AM$3:$AM$1002,0)),""))</f>
        <v/>
      </c>
      <c r="O762" s="26">
        <f>IF(OR(A762="",N762=""),"",IF(N762&lt;=H762,"Evet","HAYIR - RİSK"))</f>
        <v/>
      </c>
      <c r="P762" s="26">
        <f>IF(A762="","",IF(LEFT(J762,8)="Kural A ","Uygun - Hemen Ödenir (Yıl Sonu %75 Kontrolüne Tabi)",IF(OR(L762="Evet",M762="Evet"),IF(O762="Evet","Uygun","RİSK - Hakediş Süresi Aşıldı"),"Bekleniyor - Nakliye/Montaj Tamamlanmadı")))</f>
        <v/>
      </c>
      <c r="Q762" s="28">
        <f>IF(A762="","",SUMIFS('Hakedis Fatura Detay'!$G$3:$G$1200,'Hakedis Fatura Detay'!$H$3:$H$1200,'DIVA Satislari'!AJ762,'Hakedis Fatura Detay'!$F$3:$F$1200,"Fiyat Farkı")+SUMIFS('Hakedis Fatura Detay'!$G$3:$G$1200,'Hakedis Fatura Detay'!$H$3:$H$1200,'DIVA Satislari'!AJ762,'Hakedis Fatura Detay'!$F$3:$F$1200,"Bundle"))</f>
        <v/>
      </c>
      <c r="R762" s="28">
        <f>IF(A762="","",I762-Q762)</f>
        <v/>
      </c>
      <c r="S762" s="26">
        <f>IF(A762="","",IF(LEFT(P762,7)="Bekleni","N/A - Henüz Ödenmemeli",IF(LEFT(P762,4)="RİSK","İNCELEME GEREKLİ - Süre Aşımı",IF(R762=0,"Doğru",IF(R762&gt;0,"EKSİK ÖDENMİŞ","FAZLA ÖDENMİŞ")))))</f>
        <v/>
      </c>
      <c r="T762" s="30">
        <f>IF(A762="","",IF(F762&lt;&gt;"Evet","İNCELEME GEREKLİ - Kampanya Tanımsız",IF(G762&lt;&gt;"Evet","İNCELEME GEREKLİ - Tarih Dışı Satış",IF(LEFT(P762,4)="RİSK","İNCELEME GEREKLİ - Hakediş Süresi Aşıldı",IF(OR(S762="EKSİK ÖDENMİŞ",S762="FAZLA ÖDENMİŞ"),"İNCELEME GEREKLİ - Tutar Uyuşmazlığı",IF(LEFT(P762,7)="Bekleni","Bekleniyor","Uygun"))))))</f>
        <v/>
      </c>
    </row>
    <row r="763">
      <c r="A763" s="26">
        <f>IF('DIVA Satislari'!I763="","",'DIVA Satislari'!I763)</f>
        <v/>
      </c>
      <c r="B763" s="26">
        <f>IF('DIVA Satislari'!I763="","",'DIVA Satislari'!R763)</f>
        <v/>
      </c>
      <c r="C763" s="26">
        <f>IF('DIVA Satislari'!I763="","",'DIVA Satislari'!M763)</f>
        <v/>
      </c>
      <c r="D763" s="27">
        <f>IF('DIVA Satislari'!I763="","",'DIVA Satislari'!H763)</f>
        <v/>
      </c>
      <c r="E763" s="26">
        <f>IF('DIVA Satislari'!I763="","",'DIVA Satislari'!O763)</f>
        <v/>
      </c>
      <c r="F763" s="26">
        <f>IF('DIVA Satislari'!I763="","",'DIVA Satislari'!AK763)</f>
        <v/>
      </c>
      <c r="G763" s="26">
        <f>IF('DIVA Satislari'!I763="","",'DIVA Satislari'!AO763)</f>
        <v/>
      </c>
      <c r="H763" s="27">
        <f>IF('DIVA Satislari'!I763="","",'DIVA Satislari'!AN763)</f>
        <v/>
      </c>
      <c r="I763" s="28">
        <f>IF('DIVA Satislari'!I763="","",'DIVA Satislari'!AQ763)</f>
        <v/>
      </c>
      <c r="J763" s="26">
        <f>IF('DIVA Satislari'!I763="","",'DIVA Satislari'!AR763)</f>
        <v/>
      </c>
      <c r="K763" s="26">
        <f>IF('DIVA Satislari'!I763="","",IFERROR(INDEX('E2E Nakliye Montaj'!$AS$3:$AS$1002,MATCH('DIVA Satislari'!AJ763,'E2E Nakliye Montaj'!$AM$3:$AM$1002,0)),"Eşleşme Yok"))</f>
        <v/>
      </c>
      <c r="L763" s="26">
        <f>IF('DIVA Satislari'!I763="","",IFERROR(INDEX('E2E Nakliye Montaj'!$AT$3:$AT$1002,MATCH('DIVA Satislari'!AJ763,'E2E Nakliye Montaj'!$AM$3:$AM$1002,0)),"Hayır"))</f>
        <v/>
      </c>
      <c r="M763" s="26">
        <f>IF('DIVA Satislari'!I763="","",IFERROR(INDEX('E2E Nakliye Montaj'!$AU$3:$AU$1002,MATCH('DIVA Satislari'!AJ763,'E2E Nakliye Montaj'!$AM$3:$AM$1002,0)),"Hayır"))</f>
        <v/>
      </c>
      <c r="N763" s="27">
        <f>IF('DIVA Satislari'!I763="","",IFERROR(INDEX('E2E Nakliye Montaj'!$AV$3:$AV$1002,MATCH('DIVA Satislari'!AJ763,'E2E Nakliye Montaj'!$AM$3:$AM$1002,0)),""))</f>
        <v/>
      </c>
      <c r="O763" s="26">
        <f>IF(OR(A763="",N763=""),"",IF(N763&lt;=H763,"Evet","HAYIR - RİSK"))</f>
        <v/>
      </c>
      <c r="P763" s="26">
        <f>IF(A763="","",IF(LEFT(J763,8)="Kural A ","Uygun - Hemen Ödenir (Yıl Sonu %75 Kontrolüne Tabi)",IF(OR(L763="Evet",M763="Evet"),IF(O763="Evet","Uygun","RİSK - Hakediş Süresi Aşıldı"),"Bekleniyor - Nakliye/Montaj Tamamlanmadı")))</f>
        <v/>
      </c>
      <c r="Q763" s="28">
        <f>IF(A763="","",SUMIFS('Hakedis Fatura Detay'!$G$3:$G$1200,'Hakedis Fatura Detay'!$H$3:$H$1200,'DIVA Satislari'!AJ763,'Hakedis Fatura Detay'!$F$3:$F$1200,"Fiyat Farkı")+SUMIFS('Hakedis Fatura Detay'!$G$3:$G$1200,'Hakedis Fatura Detay'!$H$3:$H$1200,'DIVA Satislari'!AJ763,'Hakedis Fatura Detay'!$F$3:$F$1200,"Bundle"))</f>
        <v/>
      </c>
      <c r="R763" s="28">
        <f>IF(A763="","",I763-Q763)</f>
        <v/>
      </c>
      <c r="S763" s="26">
        <f>IF(A763="","",IF(LEFT(P763,7)="Bekleni","N/A - Henüz Ödenmemeli",IF(LEFT(P763,4)="RİSK","İNCELEME GEREKLİ - Süre Aşımı",IF(R763=0,"Doğru",IF(R763&gt;0,"EKSİK ÖDENMİŞ","FAZLA ÖDENMİŞ")))))</f>
        <v/>
      </c>
      <c r="T763" s="30">
        <f>IF(A763="","",IF(F763&lt;&gt;"Evet","İNCELEME GEREKLİ - Kampanya Tanımsız",IF(G763&lt;&gt;"Evet","İNCELEME GEREKLİ - Tarih Dışı Satış",IF(LEFT(P763,4)="RİSK","İNCELEME GEREKLİ - Hakediş Süresi Aşıldı",IF(OR(S763="EKSİK ÖDENMİŞ",S763="FAZLA ÖDENMİŞ"),"İNCELEME GEREKLİ - Tutar Uyuşmazlığı",IF(LEFT(P763,7)="Bekleni","Bekleniyor","Uygun"))))))</f>
        <v/>
      </c>
    </row>
    <row r="764">
      <c r="A764" s="26">
        <f>IF('DIVA Satislari'!I764="","",'DIVA Satislari'!I764)</f>
        <v/>
      </c>
      <c r="B764" s="26">
        <f>IF('DIVA Satislari'!I764="","",'DIVA Satislari'!R764)</f>
        <v/>
      </c>
      <c r="C764" s="26">
        <f>IF('DIVA Satislari'!I764="","",'DIVA Satislari'!M764)</f>
        <v/>
      </c>
      <c r="D764" s="27">
        <f>IF('DIVA Satislari'!I764="","",'DIVA Satislari'!H764)</f>
        <v/>
      </c>
      <c r="E764" s="26">
        <f>IF('DIVA Satislari'!I764="","",'DIVA Satislari'!O764)</f>
        <v/>
      </c>
      <c r="F764" s="26">
        <f>IF('DIVA Satislari'!I764="","",'DIVA Satislari'!AK764)</f>
        <v/>
      </c>
      <c r="G764" s="26">
        <f>IF('DIVA Satislari'!I764="","",'DIVA Satislari'!AO764)</f>
        <v/>
      </c>
      <c r="H764" s="27">
        <f>IF('DIVA Satislari'!I764="","",'DIVA Satislari'!AN764)</f>
        <v/>
      </c>
      <c r="I764" s="28">
        <f>IF('DIVA Satislari'!I764="","",'DIVA Satislari'!AQ764)</f>
        <v/>
      </c>
      <c r="J764" s="26">
        <f>IF('DIVA Satislari'!I764="","",'DIVA Satislari'!AR764)</f>
        <v/>
      </c>
      <c r="K764" s="26">
        <f>IF('DIVA Satislari'!I764="","",IFERROR(INDEX('E2E Nakliye Montaj'!$AS$3:$AS$1002,MATCH('DIVA Satislari'!AJ764,'E2E Nakliye Montaj'!$AM$3:$AM$1002,0)),"Eşleşme Yok"))</f>
        <v/>
      </c>
      <c r="L764" s="26">
        <f>IF('DIVA Satislari'!I764="","",IFERROR(INDEX('E2E Nakliye Montaj'!$AT$3:$AT$1002,MATCH('DIVA Satislari'!AJ764,'E2E Nakliye Montaj'!$AM$3:$AM$1002,0)),"Hayır"))</f>
        <v/>
      </c>
      <c r="M764" s="26">
        <f>IF('DIVA Satislari'!I764="","",IFERROR(INDEX('E2E Nakliye Montaj'!$AU$3:$AU$1002,MATCH('DIVA Satislari'!AJ764,'E2E Nakliye Montaj'!$AM$3:$AM$1002,0)),"Hayır"))</f>
        <v/>
      </c>
      <c r="N764" s="27">
        <f>IF('DIVA Satislari'!I764="","",IFERROR(INDEX('E2E Nakliye Montaj'!$AV$3:$AV$1002,MATCH('DIVA Satislari'!AJ764,'E2E Nakliye Montaj'!$AM$3:$AM$1002,0)),""))</f>
        <v/>
      </c>
      <c r="O764" s="26">
        <f>IF(OR(A764="",N764=""),"",IF(N764&lt;=H764,"Evet","HAYIR - RİSK"))</f>
        <v/>
      </c>
      <c r="P764" s="26">
        <f>IF(A764="","",IF(LEFT(J764,8)="Kural A ","Uygun - Hemen Ödenir (Yıl Sonu %75 Kontrolüne Tabi)",IF(OR(L764="Evet",M764="Evet"),IF(O764="Evet","Uygun","RİSK - Hakediş Süresi Aşıldı"),"Bekleniyor - Nakliye/Montaj Tamamlanmadı")))</f>
        <v/>
      </c>
      <c r="Q764" s="28">
        <f>IF(A764="","",SUMIFS('Hakedis Fatura Detay'!$G$3:$G$1200,'Hakedis Fatura Detay'!$H$3:$H$1200,'DIVA Satislari'!AJ764,'Hakedis Fatura Detay'!$F$3:$F$1200,"Fiyat Farkı")+SUMIFS('Hakedis Fatura Detay'!$G$3:$G$1200,'Hakedis Fatura Detay'!$H$3:$H$1200,'DIVA Satislari'!AJ764,'Hakedis Fatura Detay'!$F$3:$F$1200,"Bundle"))</f>
        <v/>
      </c>
      <c r="R764" s="28">
        <f>IF(A764="","",I764-Q764)</f>
        <v/>
      </c>
      <c r="S764" s="26">
        <f>IF(A764="","",IF(LEFT(P764,7)="Bekleni","N/A - Henüz Ödenmemeli",IF(LEFT(P764,4)="RİSK","İNCELEME GEREKLİ - Süre Aşımı",IF(R764=0,"Doğru",IF(R764&gt;0,"EKSİK ÖDENMİŞ","FAZLA ÖDENMİŞ")))))</f>
        <v/>
      </c>
      <c r="T764" s="30">
        <f>IF(A764="","",IF(F764&lt;&gt;"Evet","İNCELEME GEREKLİ - Kampanya Tanımsız",IF(G764&lt;&gt;"Evet","İNCELEME GEREKLİ - Tarih Dışı Satış",IF(LEFT(P764,4)="RİSK","İNCELEME GEREKLİ - Hakediş Süresi Aşıldı",IF(OR(S764="EKSİK ÖDENMİŞ",S764="FAZLA ÖDENMİŞ"),"İNCELEME GEREKLİ - Tutar Uyuşmazlığı",IF(LEFT(P764,7)="Bekleni","Bekleniyor","Uygun"))))))</f>
        <v/>
      </c>
    </row>
    <row r="765">
      <c r="A765" s="26">
        <f>IF('DIVA Satislari'!I765="","",'DIVA Satislari'!I765)</f>
        <v/>
      </c>
      <c r="B765" s="26">
        <f>IF('DIVA Satislari'!I765="","",'DIVA Satislari'!R765)</f>
        <v/>
      </c>
      <c r="C765" s="26">
        <f>IF('DIVA Satislari'!I765="","",'DIVA Satislari'!M765)</f>
        <v/>
      </c>
      <c r="D765" s="27">
        <f>IF('DIVA Satislari'!I765="","",'DIVA Satislari'!H765)</f>
        <v/>
      </c>
      <c r="E765" s="26">
        <f>IF('DIVA Satislari'!I765="","",'DIVA Satislari'!O765)</f>
        <v/>
      </c>
      <c r="F765" s="26">
        <f>IF('DIVA Satislari'!I765="","",'DIVA Satislari'!AK765)</f>
        <v/>
      </c>
      <c r="G765" s="26">
        <f>IF('DIVA Satislari'!I765="","",'DIVA Satislari'!AO765)</f>
        <v/>
      </c>
      <c r="H765" s="27">
        <f>IF('DIVA Satislari'!I765="","",'DIVA Satislari'!AN765)</f>
        <v/>
      </c>
      <c r="I765" s="28">
        <f>IF('DIVA Satislari'!I765="","",'DIVA Satislari'!AQ765)</f>
        <v/>
      </c>
      <c r="J765" s="26">
        <f>IF('DIVA Satislari'!I765="","",'DIVA Satislari'!AR765)</f>
        <v/>
      </c>
      <c r="K765" s="26">
        <f>IF('DIVA Satislari'!I765="","",IFERROR(INDEX('E2E Nakliye Montaj'!$AS$3:$AS$1002,MATCH('DIVA Satislari'!AJ765,'E2E Nakliye Montaj'!$AM$3:$AM$1002,0)),"Eşleşme Yok"))</f>
        <v/>
      </c>
      <c r="L765" s="26">
        <f>IF('DIVA Satislari'!I765="","",IFERROR(INDEX('E2E Nakliye Montaj'!$AT$3:$AT$1002,MATCH('DIVA Satislari'!AJ765,'E2E Nakliye Montaj'!$AM$3:$AM$1002,0)),"Hayır"))</f>
        <v/>
      </c>
      <c r="M765" s="26">
        <f>IF('DIVA Satislari'!I765="","",IFERROR(INDEX('E2E Nakliye Montaj'!$AU$3:$AU$1002,MATCH('DIVA Satislari'!AJ765,'E2E Nakliye Montaj'!$AM$3:$AM$1002,0)),"Hayır"))</f>
        <v/>
      </c>
      <c r="N765" s="27">
        <f>IF('DIVA Satislari'!I765="","",IFERROR(INDEX('E2E Nakliye Montaj'!$AV$3:$AV$1002,MATCH('DIVA Satislari'!AJ765,'E2E Nakliye Montaj'!$AM$3:$AM$1002,0)),""))</f>
        <v/>
      </c>
      <c r="O765" s="26">
        <f>IF(OR(A765="",N765=""),"",IF(N765&lt;=H765,"Evet","HAYIR - RİSK"))</f>
        <v/>
      </c>
      <c r="P765" s="26">
        <f>IF(A765="","",IF(LEFT(J765,8)="Kural A ","Uygun - Hemen Ödenir (Yıl Sonu %75 Kontrolüne Tabi)",IF(OR(L765="Evet",M765="Evet"),IF(O765="Evet","Uygun","RİSK - Hakediş Süresi Aşıldı"),"Bekleniyor - Nakliye/Montaj Tamamlanmadı")))</f>
        <v/>
      </c>
      <c r="Q765" s="28">
        <f>IF(A765="","",SUMIFS('Hakedis Fatura Detay'!$G$3:$G$1200,'Hakedis Fatura Detay'!$H$3:$H$1200,'DIVA Satislari'!AJ765,'Hakedis Fatura Detay'!$F$3:$F$1200,"Fiyat Farkı")+SUMIFS('Hakedis Fatura Detay'!$G$3:$G$1200,'Hakedis Fatura Detay'!$H$3:$H$1200,'DIVA Satislari'!AJ765,'Hakedis Fatura Detay'!$F$3:$F$1200,"Bundle"))</f>
        <v/>
      </c>
      <c r="R765" s="28">
        <f>IF(A765="","",I765-Q765)</f>
        <v/>
      </c>
      <c r="S765" s="26">
        <f>IF(A765="","",IF(LEFT(P765,7)="Bekleni","N/A - Henüz Ödenmemeli",IF(LEFT(P765,4)="RİSK","İNCELEME GEREKLİ - Süre Aşımı",IF(R765=0,"Doğru",IF(R765&gt;0,"EKSİK ÖDENMİŞ","FAZLA ÖDENMİŞ")))))</f>
        <v/>
      </c>
      <c r="T765" s="30">
        <f>IF(A765="","",IF(F765&lt;&gt;"Evet","İNCELEME GEREKLİ - Kampanya Tanımsız",IF(G765&lt;&gt;"Evet","İNCELEME GEREKLİ - Tarih Dışı Satış",IF(LEFT(P765,4)="RİSK","İNCELEME GEREKLİ - Hakediş Süresi Aşıldı",IF(OR(S765="EKSİK ÖDENMİŞ",S765="FAZLA ÖDENMİŞ"),"İNCELEME GEREKLİ - Tutar Uyuşmazlığı",IF(LEFT(P765,7)="Bekleni","Bekleniyor","Uygun"))))))</f>
        <v/>
      </c>
    </row>
    <row r="766">
      <c r="A766" s="26">
        <f>IF('DIVA Satislari'!I766="","",'DIVA Satislari'!I766)</f>
        <v/>
      </c>
      <c r="B766" s="26">
        <f>IF('DIVA Satislari'!I766="","",'DIVA Satislari'!R766)</f>
        <v/>
      </c>
      <c r="C766" s="26">
        <f>IF('DIVA Satislari'!I766="","",'DIVA Satislari'!M766)</f>
        <v/>
      </c>
      <c r="D766" s="27">
        <f>IF('DIVA Satislari'!I766="","",'DIVA Satislari'!H766)</f>
        <v/>
      </c>
      <c r="E766" s="26">
        <f>IF('DIVA Satislari'!I766="","",'DIVA Satislari'!O766)</f>
        <v/>
      </c>
      <c r="F766" s="26">
        <f>IF('DIVA Satislari'!I766="","",'DIVA Satislari'!AK766)</f>
        <v/>
      </c>
      <c r="G766" s="26">
        <f>IF('DIVA Satislari'!I766="","",'DIVA Satislari'!AO766)</f>
        <v/>
      </c>
      <c r="H766" s="27">
        <f>IF('DIVA Satislari'!I766="","",'DIVA Satislari'!AN766)</f>
        <v/>
      </c>
      <c r="I766" s="28">
        <f>IF('DIVA Satislari'!I766="","",'DIVA Satislari'!AQ766)</f>
        <v/>
      </c>
      <c r="J766" s="26">
        <f>IF('DIVA Satislari'!I766="","",'DIVA Satislari'!AR766)</f>
        <v/>
      </c>
      <c r="K766" s="26">
        <f>IF('DIVA Satislari'!I766="","",IFERROR(INDEX('E2E Nakliye Montaj'!$AS$3:$AS$1002,MATCH('DIVA Satislari'!AJ766,'E2E Nakliye Montaj'!$AM$3:$AM$1002,0)),"Eşleşme Yok"))</f>
        <v/>
      </c>
      <c r="L766" s="26">
        <f>IF('DIVA Satislari'!I766="","",IFERROR(INDEX('E2E Nakliye Montaj'!$AT$3:$AT$1002,MATCH('DIVA Satislari'!AJ766,'E2E Nakliye Montaj'!$AM$3:$AM$1002,0)),"Hayır"))</f>
        <v/>
      </c>
      <c r="M766" s="26">
        <f>IF('DIVA Satislari'!I766="","",IFERROR(INDEX('E2E Nakliye Montaj'!$AU$3:$AU$1002,MATCH('DIVA Satislari'!AJ766,'E2E Nakliye Montaj'!$AM$3:$AM$1002,0)),"Hayır"))</f>
        <v/>
      </c>
      <c r="N766" s="27">
        <f>IF('DIVA Satislari'!I766="","",IFERROR(INDEX('E2E Nakliye Montaj'!$AV$3:$AV$1002,MATCH('DIVA Satislari'!AJ766,'E2E Nakliye Montaj'!$AM$3:$AM$1002,0)),""))</f>
        <v/>
      </c>
      <c r="O766" s="26">
        <f>IF(OR(A766="",N766=""),"",IF(N766&lt;=H766,"Evet","HAYIR - RİSK"))</f>
        <v/>
      </c>
      <c r="P766" s="26">
        <f>IF(A766="","",IF(LEFT(J766,8)="Kural A ","Uygun - Hemen Ödenir (Yıl Sonu %75 Kontrolüne Tabi)",IF(OR(L766="Evet",M766="Evet"),IF(O766="Evet","Uygun","RİSK - Hakediş Süresi Aşıldı"),"Bekleniyor - Nakliye/Montaj Tamamlanmadı")))</f>
        <v/>
      </c>
      <c r="Q766" s="28">
        <f>IF(A766="","",SUMIFS('Hakedis Fatura Detay'!$G$3:$G$1200,'Hakedis Fatura Detay'!$H$3:$H$1200,'DIVA Satislari'!AJ766,'Hakedis Fatura Detay'!$F$3:$F$1200,"Fiyat Farkı")+SUMIFS('Hakedis Fatura Detay'!$G$3:$G$1200,'Hakedis Fatura Detay'!$H$3:$H$1200,'DIVA Satislari'!AJ766,'Hakedis Fatura Detay'!$F$3:$F$1200,"Bundle"))</f>
        <v/>
      </c>
      <c r="R766" s="28">
        <f>IF(A766="","",I766-Q766)</f>
        <v/>
      </c>
      <c r="S766" s="26">
        <f>IF(A766="","",IF(LEFT(P766,7)="Bekleni","N/A - Henüz Ödenmemeli",IF(LEFT(P766,4)="RİSK","İNCELEME GEREKLİ - Süre Aşımı",IF(R766=0,"Doğru",IF(R766&gt;0,"EKSİK ÖDENMİŞ","FAZLA ÖDENMİŞ")))))</f>
        <v/>
      </c>
      <c r="T766" s="30">
        <f>IF(A766="","",IF(F766&lt;&gt;"Evet","İNCELEME GEREKLİ - Kampanya Tanımsız",IF(G766&lt;&gt;"Evet","İNCELEME GEREKLİ - Tarih Dışı Satış",IF(LEFT(P766,4)="RİSK","İNCELEME GEREKLİ - Hakediş Süresi Aşıldı",IF(OR(S766="EKSİK ÖDENMİŞ",S766="FAZLA ÖDENMİŞ"),"İNCELEME GEREKLİ - Tutar Uyuşmazlığı",IF(LEFT(P766,7)="Bekleni","Bekleniyor","Uygun"))))))</f>
        <v/>
      </c>
    </row>
    <row r="767">
      <c r="A767" s="26">
        <f>IF('DIVA Satislari'!I767="","",'DIVA Satislari'!I767)</f>
        <v/>
      </c>
      <c r="B767" s="26">
        <f>IF('DIVA Satislari'!I767="","",'DIVA Satislari'!R767)</f>
        <v/>
      </c>
      <c r="C767" s="26">
        <f>IF('DIVA Satislari'!I767="","",'DIVA Satislari'!M767)</f>
        <v/>
      </c>
      <c r="D767" s="27">
        <f>IF('DIVA Satislari'!I767="","",'DIVA Satislari'!H767)</f>
        <v/>
      </c>
      <c r="E767" s="26">
        <f>IF('DIVA Satislari'!I767="","",'DIVA Satislari'!O767)</f>
        <v/>
      </c>
      <c r="F767" s="26">
        <f>IF('DIVA Satislari'!I767="","",'DIVA Satislari'!AK767)</f>
        <v/>
      </c>
      <c r="G767" s="26">
        <f>IF('DIVA Satislari'!I767="","",'DIVA Satislari'!AO767)</f>
        <v/>
      </c>
      <c r="H767" s="27">
        <f>IF('DIVA Satislari'!I767="","",'DIVA Satislari'!AN767)</f>
        <v/>
      </c>
      <c r="I767" s="28">
        <f>IF('DIVA Satislari'!I767="","",'DIVA Satislari'!AQ767)</f>
        <v/>
      </c>
      <c r="J767" s="26">
        <f>IF('DIVA Satislari'!I767="","",'DIVA Satislari'!AR767)</f>
        <v/>
      </c>
      <c r="K767" s="26">
        <f>IF('DIVA Satislari'!I767="","",IFERROR(INDEX('E2E Nakliye Montaj'!$AS$3:$AS$1002,MATCH('DIVA Satislari'!AJ767,'E2E Nakliye Montaj'!$AM$3:$AM$1002,0)),"Eşleşme Yok"))</f>
        <v/>
      </c>
      <c r="L767" s="26">
        <f>IF('DIVA Satislari'!I767="","",IFERROR(INDEX('E2E Nakliye Montaj'!$AT$3:$AT$1002,MATCH('DIVA Satislari'!AJ767,'E2E Nakliye Montaj'!$AM$3:$AM$1002,0)),"Hayır"))</f>
        <v/>
      </c>
      <c r="M767" s="26">
        <f>IF('DIVA Satislari'!I767="","",IFERROR(INDEX('E2E Nakliye Montaj'!$AU$3:$AU$1002,MATCH('DIVA Satislari'!AJ767,'E2E Nakliye Montaj'!$AM$3:$AM$1002,0)),"Hayır"))</f>
        <v/>
      </c>
      <c r="N767" s="27">
        <f>IF('DIVA Satislari'!I767="","",IFERROR(INDEX('E2E Nakliye Montaj'!$AV$3:$AV$1002,MATCH('DIVA Satislari'!AJ767,'E2E Nakliye Montaj'!$AM$3:$AM$1002,0)),""))</f>
        <v/>
      </c>
      <c r="O767" s="26">
        <f>IF(OR(A767="",N767=""),"",IF(N767&lt;=H767,"Evet","HAYIR - RİSK"))</f>
        <v/>
      </c>
      <c r="P767" s="26">
        <f>IF(A767="","",IF(LEFT(J767,8)="Kural A ","Uygun - Hemen Ödenir (Yıl Sonu %75 Kontrolüne Tabi)",IF(OR(L767="Evet",M767="Evet"),IF(O767="Evet","Uygun","RİSK - Hakediş Süresi Aşıldı"),"Bekleniyor - Nakliye/Montaj Tamamlanmadı")))</f>
        <v/>
      </c>
      <c r="Q767" s="28">
        <f>IF(A767="","",SUMIFS('Hakedis Fatura Detay'!$G$3:$G$1200,'Hakedis Fatura Detay'!$H$3:$H$1200,'DIVA Satislari'!AJ767,'Hakedis Fatura Detay'!$F$3:$F$1200,"Fiyat Farkı")+SUMIFS('Hakedis Fatura Detay'!$G$3:$G$1200,'Hakedis Fatura Detay'!$H$3:$H$1200,'DIVA Satislari'!AJ767,'Hakedis Fatura Detay'!$F$3:$F$1200,"Bundle"))</f>
        <v/>
      </c>
      <c r="R767" s="28">
        <f>IF(A767="","",I767-Q767)</f>
        <v/>
      </c>
      <c r="S767" s="26">
        <f>IF(A767="","",IF(LEFT(P767,7)="Bekleni","N/A - Henüz Ödenmemeli",IF(LEFT(P767,4)="RİSK","İNCELEME GEREKLİ - Süre Aşımı",IF(R767=0,"Doğru",IF(R767&gt;0,"EKSİK ÖDENMİŞ","FAZLA ÖDENMİŞ")))))</f>
        <v/>
      </c>
      <c r="T767" s="30">
        <f>IF(A767="","",IF(F767&lt;&gt;"Evet","İNCELEME GEREKLİ - Kampanya Tanımsız",IF(G767&lt;&gt;"Evet","İNCELEME GEREKLİ - Tarih Dışı Satış",IF(LEFT(P767,4)="RİSK","İNCELEME GEREKLİ - Hakediş Süresi Aşıldı",IF(OR(S767="EKSİK ÖDENMİŞ",S767="FAZLA ÖDENMİŞ"),"İNCELEME GEREKLİ - Tutar Uyuşmazlığı",IF(LEFT(P767,7)="Bekleni","Bekleniyor","Uygun"))))))</f>
        <v/>
      </c>
    </row>
    <row r="768">
      <c r="A768" s="26">
        <f>IF('DIVA Satislari'!I768="","",'DIVA Satislari'!I768)</f>
        <v/>
      </c>
      <c r="B768" s="26">
        <f>IF('DIVA Satislari'!I768="","",'DIVA Satislari'!R768)</f>
        <v/>
      </c>
      <c r="C768" s="26">
        <f>IF('DIVA Satislari'!I768="","",'DIVA Satislari'!M768)</f>
        <v/>
      </c>
      <c r="D768" s="27">
        <f>IF('DIVA Satislari'!I768="","",'DIVA Satislari'!H768)</f>
        <v/>
      </c>
      <c r="E768" s="26">
        <f>IF('DIVA Satislari'!I768="","",'DIVA Satislari'!O768)</f>
        <v/>
      </c>
      <c r="F768" s="26">
        <f>IF('DIVA Satislari'!I768="","",'DIVA Satislari'!AK768)</f>
        <v/>
      </c>
      <c r="G768" s="26">
        <f>IF('DIVA Satislari'!I768="","",'DIVA Satislari'!AO768)</f>
        <v/>
      </c>
      <c r="H768" s="27">
        <f>IF('DIVA Satislari'!I768="","",'DIVA Satislari'!AN768)</f>
        <v/>
      </c>
      <c r="I768" s="28">
        <f>IF('DIVA Satislari'!I768="","",'DIVA Satislari'!AQ768)</f>
        <v/>
      </c>
      <c r="J768" s="26">
        <f>IF('DIVA Satislari'!I768="","",'DIVA Satislari'!AR768)</f>
        <v/>
      </c>
      <c r="K768" s="26">
        <f>IF('DIVA Satislari'!I768="","",IFERROR(INDEX('E2E Nakliye Montaj'!$AS$3:$AS$1002,MATCH('DIVA Satislari'!AJ768,'E2E Nakliye Montaj'!$AM$3:$AM$1002,0)),"Eşleşme Yok"))</f>
        <v/>
      </c>
      <c r="L768" s="26">
        <f>IF('DIVA Satislari'!I768="","",IFERROR(INDEX('E2E Nakliye Montaj'!$AT$3:$AT$1002,MATCH('DIVA Satislari'!AJ768,'E2E Nakliye Montaj'!$AM$3:$AM$1002,0)),"Hayır"))</f>
        <v/>
      </c>
      <c r="M768" s="26">
        <f>IF('DIVA Satislari'!I768="","",IFERROR(INDEX('E2E Nakliye Montaj'!$AU$3:$AU$1002,MATCH('DIVA Satislari'!AJ768,'E2E Nakliye Montaj'!$AM$3:$AM$1002,0)),"Hayır"))</f>
        <v/>
      </c>
      <c r="N768" s="27">
        <f>IF('DIVA Satislari'!I768="","",IFERROR(INDEX('E2E Nakliye Montaj'!$AV$3:$AV$1002,MATCH('DIVA Satislari'!AJ768,'E2E Nakliye Montaj'!$AM$3:$AM$1002,0)),""))</f>
        <v/>
      </c>
      <c r="O768" s="26">
        <f>IF(OR(A768="",N768=""),"",IF(N768&lt;=H768,"Evet","HAYIR - RİSK"))</f>
        <v/>
      </c>
      <c r="P768" s="26">
        <f>IF(A768="","",IF(LEFT(J768,8)="Kural A ","Uygun - Hemen Ödenir (Yıl Sonu %75 Kontrolüne Tabi)",IF(OR(L768="Evet",M768="Evet"),IF(O768="Evet","Uygun","RİSK - Hakediş Süresi Aşıldı"),"Bekleniyor - Nakliye/Montaj Tamamlanmadı")))</f>
        <v/>
      </c>
      <c r="Q768" s="28">
        <f>IF(A768="","",SUMIFS('Hakedis Fatura Detay'!$G$3:$G$1200,'Hakedis Fatura Detay'!$H$3:$H$1200,'DIVA Satislari'!AJ768,'Hakedis Fatura Detay'!$F$3:$F$1200,"Fiyat Farkı")+SUMIFS('Hakedis Fatura Detay'!$G$3:$G$1200,'Hakedis Fatura Detay'!$H$3:$H$1200,'DIVA Satislari'!AJ768,'Hakedis Fatura Detay'!$F$3:$F$1200,"Bundle"))</f>
        <v/>
      </c>
      <c r="R768" s="28">
        <f>IF(A768="","",I768-Q768)</f>
        <v/>
      </c>
      <c r="S768" s="26">
        <f>IF(A768="","",IF(LEFT(P768,7)="Bekleni","N/A - Henüz Ödenmemeli",IF(LEFT(P768,4)="RİSK","İNCELEME GEREKLİ - Süre Aşımı",IF(R768=0,"Doğru",IF(R768&gt;0,"EKSİK ÖDENMİŞ","FAZLA ÖDENMİŞ")))))</f>
        <v/>
      </c>
      <c r="T768" s="30">
        <f>IF(A768="","",IF(F768&lt;&gt;"Evet","İNCELEME GEREKLİ - Kampanya Tanımsız",IF(G768&lt;&gt;"Evet","İNCELEME GEREKLİ - Tarih Dışı Satış",IF(LEFT(P768,4)="RİSK","İNCELEME GEREKLİ - Hakediş Süresi Aşıldı",IF(OR(S768="EKSİK ÖDENMİŞ",S768="FAZLA ÖDENMİŞ"),"İNCELEME GEREKLİ - Tutar Uyuşmazlığı",IF(LEFT(P768,7)="Bekleni","Bekleniyor","Uygun"))))))</f>
        <v/>
      </c>
    </row>
    <row r="769">
      <c r="A769" s="26">
        <f>IF('DIVA Satislari'!I769="","",'DIVA Satislari'!I769)</f>
        <v/>
      </c>
      <c r="B769" s="26">
        <f>IF('DIVA Satislari'!I769="","",'DIVA Satislari'!R769)</f>
        <v/>
      </c>
      <c r="C769" s="26">
        <f>IF('DIVA Satislari'!I769="","",'DIVA Satislari'!M769)</f>
        <v/>
      </c>
      <c r="D769" s="27">
        <f>IF('DIVA Satislari'!I769="","",'DIVA Satislari'!H769)</f>
        <v/>
      </c>
      <c r="E769" s="26">
        <f>IF('DIVA Satislari'!I769="","",'DIVA Satislari'!O769)</f>
        <v/>
      </c>
      <c r="F769" s="26">
        <f>IF('DIVA Satislari'!I769="","",'DIVA Satislari'!AK769)</f>
        <v/>
      </c>
      <c r="G769" s="26">
        <f>IF('DIVA Satislari'!I769="","",'DIVA Satislari'!AO769)</f>
        <v/>
      </c>
      <c r="H769" s="27">
        <f>IF('DIVA Satislari'!I769="","",'DIVA Satislari'!AN769)</f>
        <v/>
      </c>
      <c r="I769" s="28">
        <f>IF('DIVA Satislari'!I769="","",'DIVA Satislari'!AQ769)</f>
        <v/>
      </c>
      <c r="J769" s="26">
        <f>IF('DIVA Satislari'!I769="","",'DIVA Satislari'!AR769)</f>
        <v/>
      </c>
      <c r="K769" s="26">
        <f>IF('DIVA Satislari'!I769="","",IFERROR(INDEX('E2E Nakliye Montaj'!$AS$3:$AS$1002,MATCH('DIVA Satislari'!AJ769,'E2E Nakliye Montaj'!$AM$3:$AM$1002,0)),"Eşleşme Yok"))</f>
        <v/>
      </c>
      <c r="L769" s="26">
        <f>IF('DIVA Satislari'!I769="","",IFERROR(INDEX('E2E Nakliye Montaj'!$AT$3:$AT$1002,MATCH('DIVA Satislari'!AJ769,'E2E Nakliye Montaj'!$AM$3:$AM$1002,0)),"Hayır"))</f>
        <v/>
      </c>
      <c r="M769" s="26">
        <f>IF('DIVA Satislari'!I769="","",IFERROR(INDEX('E2E Nakliye Montaj'!$AU$3:$AU$1002,MATCH('DIVA Satislari'!AJ769,'E2E Nakliye Montaj'!$AM$3:$AM$1002,0)),"Hayır"))</f>
        <v/>
      </c>
      <c r="N769" s="27">
        <f>IF('DIVA Satislari'!I769="","",IFERROR(INDEX('E2E Nakliye Montaj'!$AV$3:$AV$1002,MATCH('DIVA Satislari'!AJ769,'E2E Nakliye Montaj'!$AM$3:$AM$1002,0)),""))</f>
        <v/>
      </c>
      <c r="O769" s="26">
        <f>IF(OR(A769="",N769=""),"",IF(N769&lt;=H769,"Evet","HAYIR - RİSK"))</f>
        <v/>
      </c>
      <c r="P769" s="26">
        <f>IF(A769="","",IF(LEFT(J769,8)="Kural A ","Uygun - Hemen Ödenir (Yıl Sonu %75 Kontrolüne Tabi)",IF(OR(L769="Evet",M769="Evet"),IF(O769="Evet","Uygun","RİSK - Hakediş Süresi Aşıldı"),"Bekleniyor - Nakliye/Montaj Tamamlanmadı")))</f>
        <v/>
      </c>
      <c r="Q769" s="28">
        <f>IF(A769="","",SUMIFS('Hakedis Fatura Detay'!$G$3:$G$1200,'Hakedis Fatura Detay'!$H$3:$H$1200,'DIVA Satislari'!AJ769,'Hakedis Fatura Detay'!$F$3:$F$1200,"Fiyat Farkı")+SUMIFS('Hakedis Fatura Detay'!$G$3:$G$1200,'Hakedis Fatura Detay'!$H$3:$H$1200,'DIVA Satislari'!AJ769,'Hakedis Fatura Detay'!$F$3:$F$1200,"Bundle"))</f>
        <v/>
      </c>
      <c r="R769" s="28">
        <f>IF(A769="","",I769-Q769)</f>
        <v/>
      </c>
      <c r="S769" s="26">
        <f>IF(A769="","",IF(LEFT(P769,7)="Bekleni","N/A - Henüz Ödenmemeli",IF(LEFT(P769,4)="RİSK","İNCELEME GEREKLİ - Süre Aşımı",IF(R769=0,"Doğru",IF(R769&gt;0,"EKSİK ÖDENMİŞ","FAZLA ÖDENMİŞ")))))</f>
        <v/>
      </c>
      <c r="T769" s="30">
        <f>IF(A769="","",IF(F769&lt;&gt;"Evet","İNCELEME GEREKLİ - Kampanya Tanımsız",IF(G769&lt;&gt;"Evet","İNCELEME GEREKLİ - Tarih Dışı Satış",IF(LEFT(P769,4)="RİSK","İNCELEME GEREKLİ - Hakediş Süresi Aşıldı",IF(OR(S769="EKSİK ÖDENMİŞ",S769="FAZLA ÖDENMİŞ"),"İNCELEME GEREKLİ - Tutar Uyuşmazlığı",IF(LEFT(P769,7)="Bekleni","Bekleniyor","Uygun"))))))</f>
        <v/>
      </c>
    </row>
    <row r="770">
      <c r="A770" s="26">
        <f>IF('DIVA Satislari'!I770="","",'DIVA Satislari'!I770)</f>
        <v/>
      </c>
      <c r="B770" s="26">
        <f>IF('DIVA Satislari'!I770="","",'DIVA Satislari'!R770)</f>
        <v/>
      </c>
      <c r="C770" s="26">
        <f>IF('DIVA Satislari'!I770="","",'DIVA Satislari'!M770)</f>
        <v/>
      </c>
      <c r="D770" s="27">
        <f>IF('DIVA Satislari'!I770="","",'DIVA Satislari'!H770)</f>
        <v/>
      </c>
      <c r="E770" s="26">
        <f>IF('DIVA Satislari'!I770="","",'DIVA Satislari'!O770)</f>
        <v/>
      </c>
      <c r="F770" s="26">
        <f>IF('DIVA Satislari'!I770="","",'DIVA Satislari'!AK770)</f>
        <v/>
      </c>
      <c r="G770" s="26">
        <f>IF('DIVA Satislari'!I770="","",'DIVA Satislari'!AO770)</f>
        <v/>
      </c>
      <c r="H770" s="27">
        <f>IF('DIVA Satislari'!I770="","",'DIVA Satislari'!AN770)</f>
        <v/>
      </c>
      <c r="I770" s="28">
        <f>IF('DIVA Satislari'!I770="","",'DIVA Satislari'!AQ770)</f>
        <v/>
      </c>
      <c r="J770" s="26">
        <f>IF('DIVA Satislari'!I770="","",'DIVA Satislari'!AR770)</f>
        <v/>
      </c>
      <c r="K770" s="26">
        <f>IF('DIVA Satislari'!I770="","",IFERROR(INDEX('E2E Nakliye Montaj'!$AS$3:$AS$1002,MATCH('DIVA Satislari'!AJ770,'E2E Nakliye Montaj'!$AM$3:$AM$1002,0)),"Eşleşme Yok"))</f>
        <v/>
      </c>
      <c r="L770" s="26">
        <f>IF('DIVA Satislari'!I770="","",IFERROR(INDEX('E2E Nakliye Montaj'!$AT$3:$AT$1002,MATCH('DIVA Satislari'!AJ770,'E2E Nakliye Montaj'!$AM$3:$AM$1002,0)),"Hayır"))</f>
        <v/>
      </c>
      <c r="M770" s="26">
        <f>IF('DIVA Satislari'!I770="","",IFERROR(INDEX('E2E Nakliye Montaj'!$AU$3:$AU$1002,MATCH('DIVA Satislari'!AJ770,'E2E Nakliye Montaj'!$AM$3:$AM$1002,0)),"Hayır"))</f>
        <v/>
      </c>
      <c r="N770" s="27">
        <f>IF('DIVA Satislari'!I770="","",IFERROR(INDEX('E2E Nakliye Montaj'!$AV$3:$AV$1002,MATCH('DIVA Satislari'!AJ770,'E2E Nakliye Montaj'!$AM$3:$AM$1002,0)),""))</f>
        <v/>
      </c>
      <c r="O770" s="26">
        <f>IF(OR(A770="",N770=""),"",IF(N770&lt;=H770,"Evet","HAYIR - RİSK"))</f>
        <v/>
      </c>
      <c r="P770" s="26">
        <f>IF(A770="","",IF(LEFT(J770,8)="Kural A ","Uygun - Hemen Ödenir (Yıl Sonu %75 Kontrolüne Tabi)",IF(OR(L770="Evet",M770="Evet"),IF(O770="Evet","Uygun","RİSK - Hakediş Süresi Aşıldı"),"Bekleniyor - Nakliye/Montaj Tamamlanmadı")))</f>
        <v/>
      </c>
      <c r="Q770" s="28">
        <f>IF(A770="","",SUMIFS('Hakedis Fatura Detay'!$G$3:$G$1200,'Hakedis Fatura Detay'!$H$3:$H$1200,'DIVA Satislari'!AJ770,'Hakedis Fatura Detay'!$F$3:$F$1200,"Fiyat Farkı")+SUMIFS('Hakedis Fatura Detay'!$G$3:$G$1200,'Hakedis Fatura Detay'!$H$3:$H$1200,'DIVA Satislari'!AJ770,'Hakedis Fatura Detay'!$F$3:$F$1200,"Bundle"))</f>
        <v/>
      </c>
      <c r="R770" s="28">
        <f>IF(A770="","",I770-Q770)</f>
        <v/>
      </c>
      <c r="S770" s="26">
        <f>IF(A770="","",IF(LEFT(P770,7)="Bekleni","N/A - Henüz Ödenmemeli",IF(LEFT(P770,4)="RİSK","İNCELEME GEREKLİ - Süre Aşımı",IF(R770=0,"Doğru",IF(R770&gt;0,"EKSİK ÖDENMİŞ","FAZLA ÖDENMİŞ")))))</f>
        <v/>
      </c>
      <c r="T770" s="30">
        <f>IF(A770="","",IF(F770&lt;&gt;"Evet","İNCELEME GEREKLİ - Kampanya Tanımsız",IF(G770&lt;&gt;"Evet","İNCELEME GEREKLİ - Tarih Dışı Satış",IF(LEFT(P770,4)="RİSK","İNCELEME GEREKLİ - Hakediş Süresi Aşıldı",IF(OR(S770="EKSİK ÖDENMİŞ",S770="FAZLA ÖDENMİŞ"),"İNCELEME GEREKLİ - Tutar Uyuşmazlığı",IF(LEFT(P770,7)="Bekleni","Bekleniyor","Uygun"))))))</f>
        <v/>
      </c>
    </row>
    <row r="771">
      <c r="A771" s="26">
        <f>IF('DIVA Satislari'!I771="","",'DIVA Satislari'!I771)</f>
        <v/>
      </c>
      <c r="B771" s="26">
        <f>IF('DIVA Satislari'!I771="","",'DIVA Satislari'!R771)</f>
        <v/>
      </c>
      <c r="C771" s="26">
        <f>IF('DIVA Satislari'!I771="","",'DIVA Satislari'!M771)</f>
        <v/>
      </c>
      <c r="D771" s="27">
        <f>IF('DIVA Satislari'!I771="","",'DIVA Satislari'!H771)</f>
        <v/>
      </c>
      <c r="E771" s="26">
        <f>IF('DIVA Satislari'!I771="","",'DIVA Satislari'!O771)</f>
        <v/>
      </c>
      <c r="F771" s="26">
        <f>IF('DIVA Satislari'!I771="","",'DIVA Satislari'!AK771)</f>
        <v/>
      </c>
      <c r="G771" s="26">
        <f>IF('DIVA Satislari'!I771="","",'DIVA Satislari'!AO771)</f>
        <v/>
      </c>
      <c r="H771" s="27">
        <f>IF('DIVA Satislari'!I771="","",'DIVA Satislari'!AN771)</f>
        <v/>
      </c>
      <c r="I771" s="28">
        <f>IF('DIVA Satislari'!I771="","",'DIVA Satislari'!AQ771)</f>
        <v/>
      </c>
      <c r="J771" s="26">
        <f>IF('DIVA Satislari'!I771="","",'DIVA Satislari'!AR771)</f>
        <v/>
      </c>
      <c r="K771" s="26">
        <f>IF('DIVA Satislari'!I771="","",IFERROR(INDEX('E2E Nakliye Montaj'!$AS$3:$AS$1002,MATCH('DIVA Satislari'!AJ771,'E2E Nakliye Montaj'!$AM$3:$AM$1002,0)),"Eşleşme Yok"))</f>
        <v/>
      </c>
      <c r="L771" s="26">
        <f>IF('DIVA Satislari'!I771="","",IFERROR(INDEX('E2E Nakliye Montaj'!$AT$3:$AT$1002,MATCH('DIVA Satislari'!AJ771,'E2E Nakliye Montaj'!$AM$3:$AM$1002,0)),"Hayır"))</f>
        <v/>
      </c>
      <c r="M771" s="26">
        <f>IF('DIVA Satislari'!I771="","",IFERROR(INDEX('E2E Nakliye Montaj'!$AU$3:$AU$1002,MATCH('DIVA Satislari'!AJ771,'E2E Nakliye Montaj'!$AM$3:$AM$1002,0)),"Hayır"))</f>
        <v/>
      </c>
      <c r="N771" s="27">
        <f>IF('DIVA Satislari'!I771="","",IFERROR(INDEX('E2E Nakliye Montaj'!$AV$3:$AV$1002,MATCH('DIVA Satislari'!AJ771,'E2E Nakliye Montaj'!$AM$3:$AM$1002,0)),""))</f>
        <v/>
      </c>
      <c r="O771" s="26">
        <f>IF(OR(A771="",N771=""),"",IF(N771&lt;=H771,"Evet","HAYIR - RİSK"))</f>
        <v/>
      </c>
      <c r="P771" s="26">
        <f>IF(A771="","",IF(LEFT(J771,8)="Kural A ","Uygun - Hemen Ödenir (Yıl Sonu %75 Kontrolüne Tabi)",IF(OR(L771="Evet",M771="Evet"),IF(O771="Evet","Uygun","RİSK - Hakediş Süresi Aşıldı"),"Bekleniyor - Nakliye/Montaj Tamamlanmadı")))</f>
        <v/>
      </c>
      <c r="Q771" s="28">
        <f>IF(A771="","",SUMIFS('Hakedis Fatura Detay'!$G$3:$G$1200,'Hakedis Fatura Detay'!$H$3:$H$1200,'DIVA Satislari'!AJ771,'Hakedis Fatura Detay'!$F$3:$F$1200,"Fiyat Farkı")+SUMIFS('Hakedis Fatura Detay'!$G$3:$G$1200,'Hakedis Fatura Detay'!$H$3:$H$1200,'DIVA Satislari'!AJ771,'Hakedis Fatura Detay'!$F$3:$F$1200,"Bundle"))</f>
        <v/>
      </c>
      <c r="R771" s="28">
        <f>IF(A771="","",I771-Q771)</f>
        <v/>
      </c>
      <c r="S771" s="26">
        <f>IF(A771="","",IF(LEFT(P771,7)="Bekleni","N/A - Henüz Ödenmemeli",IF(LEFT(P771,4)="RİSK","İNCELEME GEREKLİ - Süre Aşımı",IF(R771=0,"Doğru",IF(R771&gt;0,"EKSİK ÖDENMİŞ","FAZLA ÖDENMİŞ")))))</f>
        <v/>
      </c>
      <c r="T771" s="30">
        <f>IF(A771="","",IF(F771&lt;&gt;"Evet","İNCELEME GEREKLİ - Kampanya Tanımsız",IF(G771&lt;&gt;"Evet","İNCELEME GEREKLİ - Tarih Dışı Satış",IF(LEFT(P771,4)="RİSK","İNCELEME GEREKLİ - Hakediş Süresi Aşıldı",IF(OR(S771="EKSİK ÖDENMİŞ",S771="FAZLA ÖDENMİŞ"),"İNCELEME GEREKLİ - Tutar Uyuşmazlığı",IF(LEFT(P771,7)="Bekleni","Bekleniyor","Uygun"))))))</f>
        <v/>
      </c>
    </row>
    <row r="772">
      <c r="A772" s="26">
        <f>IF('DIVA Satislari'!I772="","",'DIVA Satislari'!I772)</f>
        <v/>
      </c>
      <c r="B772" s="26">
        <f>IF('DIVA Satislari'!I772="","",'DIVA Satislari'!R772)</f>
        <v/>
      </c>
      <c r="C772" s="26">
        <f>IF('DIVA Satislari'!I772="","",'DIVA Satislari'!M772)</f>
        <v/>
      </c>
      <c r="D772" s="27">
        <f>IF('DIVA Satislari'!I772="","",'DIVA Satislari'!H772)</f>
        <v/>
      </c>
      <c r="E772" s="26">
        <f>IF('DIVA Satislari'!I772="","",'DIVA Satislari'!O772)</f>
        <v/>
      </c>
      <c r="F772" s="26">
        <f>IF('DIVA Satislari'!I772="","",'DIVA Satislari'!AK772)</f>
        <v/>
      </c>
      <c r="G772" s="26">
        <f>IF('DIVA Satislari'!I772="","",'DIVA Satislari'!AO772)</f>
        <v/>
      </c>
      <c r="H772" s="27">
        <f>IF('DIVA Satislari'!I772="","",'DIVA Satislari'!AN772)</f>
        <v/>
      </c>
      <c r="I772" s="28">
        <f>IF('DIVA Satislari'!I772="","",'DIVA Satislari'!AQ772)</f>
        <v/>
      </c>
      <c r="J772" s="26">
        <f>IF('DIVA Satislari'!I772="","",'DIVA Satislari'!AR772)</f>
        <v/>
      </c>
      <c r="K772" s="26">
        <f>IF('DIVA Satislari'!I772="","",IFERROR(INDEX('E2E Nakliye Montaj'!$AS$3:$AS$1002,MATCH('DIVA Satislari'!AJ772,'E2E Nakliye Montaj'!$AM$3:$AM$1002,0)),"Eşleşme Yok"))</f>
        <v/>
      </c>
      <c r="L772" s="26">
        <f>IF('DIVA Satislari'!I772="","",IFERROR(INDEX('E2E Nakliye Montaj'!$AT$3:$AT$1002,MATCH('DIVA Satislari'!AJ772,'E2E Nakliye Montaj'!$AM$3:$AM$1002,0)),"Hayır"))</f>
        <v/>
      </c>
      <c r="M772" s="26">
        <f>IF('DIVA Satislari'!I772="","",IFERROR(INDEX('E2E Nakliye Montaj'!$AU$3:$AU$1002,MATCH('DIVA Satislari'!AJ772,'E2E Nakliye Montaj'!$AM$3:$AM$1002,0)),"Hayır"))</f>
        <v/>
      </c>
      <c r="N772" s="27">
        <f>IF('DIVA Satislari'!I772="","",IFERROR(INDEX('E2E Nakliye Montaj'!$AV$3:$AV$1002,MATCH('DIVA Satislari'!AJ772,'E2E Nakliye Montaj'!$AM$3:$AM$1002,0)),""))</f>
        <v/>
      </c>
      <c r="O772" s="26">
        <f>IF(OR(A772="",N772=""),"",IF(N772&lt;=H772,"Evet","HAYIR - RİSK"))</f>
        <v/>
      </c>
      <c r="P772" s="26">
        <f>IF(A772="","",IF(LEFT(J772,8)="Kural A ","Uygun - Hemen Ödenir (Yıl Sonu %75 Kontrolüne Tabi)",IF(OR(L772="Evet",M772="Evet"),IF(O772="Evet","Uygun","RİSK - Hakediş Süresi Aşıldı"),"Bekleniyor - Nakliye/Montaj Tamamlanmadı")))</f>
        <v/>
      </c>
      <c r="Q772" s="28">
        <f>IF(A772="","",SUMIFS('Hakedis Fatura Detay'!$G$3:$G$1200,'Hakedis Fatura Detay'!$H$3:$H$1200,'DIVA Satislari'!AJ772,'Hakedis Fatura Detay'!$F$3:$F$1200,"Fiyat Farkı")+SUMIFS('Hakedis Fatura Detay'!$G$3:$G$1200,'Hakedis Fatura Detay'!$H$3:$H$1200,'DIVA Satislari'!AJ772,'Hakedis Fatura Detay'!$F$3:$F$1200,"Bundle"))</f>
        <v/>
      </c>
      <c r="R772" s="28">
        <f>IF(A772="","",I772-Q772)</f>
        <v/>
      </c>
      <c r="S772" s="26">
        <f>IF(A772="","",IF(LEFT(P772,7)="Bekleni","N/A - Henüz Ödenmemeli",IF(LEFT(P772,4)="RİSK","İNCELEME GEREKLİ - Süre Aşımı",IF(R772=0,"Doğru",IF(R772&gt;0,"EKSİK ÖDENMİŞ","FAZLA ÖDENMİŞ")))))</f>
        <v/>
      </c>
      <c r="T772" s="30">
        <f>IF(A772="","",IF(F772&lt;&gt;"Evet","İNCELEME GEREKLİ - Kampanya Tanımsız",IF(G772&lt;&gt;"Evet","İNCELEME GEREKLİ - Tarih Dışı Satış",IF(LEFT(P772,4)="RİSK","İNCELEME GEREKLİ - Hakediş Süresi Aşıldı",IF(OR(S772="EKSİK ÖDENMİŞ",S772="FAZLA ÖDENMİŞ"),"İNCELEME GEREKLİ - Tutar Uyuşmazlığı",IF(LEFT(P772,7)="Bekleni","Bekleniyor","Uygun"))))))</f>
        <v/>
      </c>
    </row>
    <row r="773">
      <c r="A773" s="26">
        <f>IF('DIVA Satislari'!I773="","",'DIVA Satislari'!I773)</f>
        <v/>
      </c>
      <c r="B773" s="26">
        <f>IF('DIVA Satislari'!I773="","",'DIVA Satislari'!R773)</f>
        <v/>
      </c>
      <c r="C773" s="26">
        <f>IF('DIVA Satislari'!I773="","",'DIVA Satislari'!M773)</f>
        <v/>
      </c>
      <c r="D773" s="27">
        <f>IF('DIVA Satislari'!I773="","",'DIVA Satislari'!H773)</f>
        <v/>
      </c>
      <c r="E773" s="26">
        <f>IF('DIVA Satislari'!I773="","",'DIVA Satislari'!O773)</f>
        <v/>
      </c>
      <c r="F773" s="26">
        <f>IF('DIVA Satislari'!I773="","",'DIVA Satislari'!AK773)</f>
        <v/>
      </c>
      <c r="G773" s="26">
        <f>IF('DIVA Satislari'!I773="","",'DIVA Satislari'!AO773)</f>
        <v/>
      </c>
      <c r="H773" s="27">
        <f>IF('DIVA Satislari'!I773="","",'DIVA Satislari'!AN773)</f>
        <v/>
      </c>
      <c r="I773" s="28">
        <f>IF('DIVA Satislari'!I773="","",'DIVA Satislari'!AQ773)</f>
        <v/>
      </c>
      <c r="J773" s="26">
        <f>IF('DIVA Satislari'!I773="","",'DIVA Satislari'!AR773)</f>
        <v/>
      </c>
      <c r="K773" s="26">
        <f>IF('DIVA Satislari'!I773="","",IFERROR(INDEX('E2E Nakliye Montaj'!$AS$3:$AS$1002,MATCH('DIVA Satislari'!AJ773,'E2E Nakliye Montaj'!$AM$3:$AM$1002,0)),"Eşleşme Yok"))</f>
        <v/>
      </c>
      <c r="L773" s="26">
        <f>IF('DIVA Satislari'!I773="","",IFERROR(INDEX('E2E Nakliye Montaj'!$AT$3:$AT$1002,MATCH('DIVA Satislari'!AJ773,'E2E Nakliye Montaj'!$AM$3:$AM$1002,0)),"Hayır"))</f>
        <v/>
      </c>
      <c r="M773" s="26">
        <f>IF('DIVA Satislari'!I773="","",IFERROR(INDEX('E2E Nakliye Montaj'!$AU$3:$AU$1002,MATCH('DIVA Satislari'!AJ773,'E2E Nakliye Montaj'!$AM$3:$AM$1002,0)),"Hayır"))</f>
        <v/>
      </c>
      <c r="N773" s="27">
        <f>IF('DIVA Satislari'!I773="","",IFERROR(INDEX('E2E Nakliye Montaj'!$AV$3:$AV$1002,MATCH('DIVA Satislari'!AJ773,'E2E Nakliye Montaj'!$AM$3:$AM$1002,0)),""))</f>
        <v/>
      </c>
      <c r="O773" s="26">
        <f>IF(OR(A773="",N773=""),"",IF(N773&lt;=H773,"Evet","HAYIR - RİSK"))</f>
        <v/>
      </c>
      <c r="P773" s="26">
        <f>IF(A773="","",IF(LEFT(J773,8)="Kural A ","Uygun - Hemen Ödenir (Yıl Sonu %75 Kontrolüne Tabi)",IF(OR(L773="Evet",M773="Evet"),IF(O773="Evet","Uygun","RİSK - Hakediş Süresi Aşıldı"),"Bekleniyor - Nakliye/Montaj Tamamlanmadı")))</f>
        <v/>
      </c>
      <c r="Q773" s="28">
        <f>IF(A773="","",SUMIFS('Hakedis Fatura Detay'!$G$3:$G$1200,'Hakedis Fatura Detay'!$H$3:$H$1200,'DIVA Satislari'!AJ773,'Hakedis Fatura Detay'!$F$3:$F$1200,"Fiyat Farkı")+SUMIFS('Hakedis Fatura Detay'!$G$3:$G$1200,'Hakedis Fatura Detay'!$H$3:$H$1200,'DIVA Satislari'!AJ773,'Hakedis Fatura Detay'!$F$3:$F$1200,"Bundle"))</f>
        <v/>
      </c>
      <c r="R773" s="28">
        <f>IF(A773="","",I773-Q773)</f>
        <v/>
      </c>
      <c r="S773" s="26">
        <f>IF(A773="","",IF(LEFT(P773,7)="Bekleni","N/A - Henüz Ödenmemeli",IF(LEFT(P773,4)="RİSK","İNCELEME GEREKLİ - Süre Aşımı",IF(R773=0,"Doğru",IF(R773&gt;0,"EKSİK ÖDENMİŞ","FAZLA ÖDENMİŞ")))))</f>
        <v/>
      </c>
      <c r="T773" s="30">
        <f>IF(A773="","",IF(F773&lt;&gt;"Evet","İNCELEME GEREKLİ - Kampanya Tanımsız",IF(G773&lt;&gt;"Evet","İNCELEME GEREKLİ - Tarih Dışı Satış",IF(LEFT(P773,4)="RİSK","İNCELEME GEREKLİ - Hakediş Süresi Aşıldı",IF(OR(S773="EKSİK ÖDENMİŞ",S773="FAZLA ÖDENMİŞ"),"İNCELEME GEREKLİ - Tutar Uyuşmazlığı",IF(LEFT(P773,7)="Bekleni","Bekleniyor","Uygun"))))))</f>
        <v/>
      </c>
    </row>
    <row r="774">
      <c r="A774" s="26">
        <f>IF('DIVA Satislari'!I774="","",'DIVA Satislari'!I774)</f>
        <v/>
      </c>
      <c r="B774" s="26">
        <f>IF('DIVA Satislari'!I774="","",'DIVA Satislari'!R774)</f>
        <v/>
      </c>
      <c r="C774" s="26">
        <f>IF('DIVA Satislari'!I774="","",'DIVA Satislari'!M774)</f>
        <v/>
      </c>
      <c r="D774" s="27">
        <f>IF('DIVA Satislari'!I774="","",'DIVA Satislari'!H774)</f>
        <v/>
      </c>
      <c r="E774" s="26">
        <f>IF('DIVA Satislari'!I774="","",'DIVA Satislari'!O774)</f>
        <v/>
      </c>
      <c r="F774" s="26">
        <f>IF('DIVA Satislari'!I774="","",'DIVA Satislari'!AK774)</f>
        <v/>
      </c>
      <c r="G774" s="26">
        <f>IF('DIVA Satislari'!I774="","",'DIVA Satislari'!AO774)</f>
        <v/>
      </c>
      <c r="H774" s="27">
        <f>IF('DIVA Satislari'!I774="","",'DIVA Satislari'!AN774)</f>
        <v/>
      </c>
      <c r="I774" s="28">
        <f>IF('DIVA Satislari'!I774="","",'DIVA Satislari'!AQ774)</f>
        <v/>
      </c>
      <c r="J774" s="26">
        <f>IF('DIVA Satislari'!I774="","",'DIVA Satislari'!AR774)</f>
        <v/>
      </c>
      <c r="K774" s="26">
        <f>IF('DIVA Satislari'!I774="","",IFERROR(INDEX('E2E Nakliye Montaj'!$AS$3:$AS$1002,MATCH('DIVA Satislari'!AJ774,'E2E Nakliye Montaj'!$AM$3:$AM$1002,0)),"Eşleşme Yok"))</f>
        <v/>
      </c>
      <c r="L774" s="26">
        <f>IF('DIVA Satislari'!I774="","",IFERROR(INDEX('E2E Nakliye Montaj'!$AT$3:$AT$1002,MATCH('DIVA Satislari'!AJ774,'E2E Nakliye Montaj'!$AM$3:$AM$1002,0)),"Hayır"))</f>
        <v/>
      </c>
      <c r="M774" s="26">
        <f>IF('DIVA Satislari'!I774="","",IFERROR(INDEX('E2E Nakliye Montaj'!$AU$3:$AU$1002,MATCH('DIVA Satislari'!AJ774,'E2E Nakliye Montaj'!$AM$3:$AM$1002,0)),"Hayır"))</f>
        <v/>
      </c>
      <c r="N774" s="27">
        <f>IF('DIVA Satislari'!I774="","",IFERROR(INDEX('E2E Nakliye Montaj'!$AV$3:$AV$1002,MATCH('DIVA Satislari'!AJ774,'E2E Nakliye Montaj'!$AM$3:$AM$1002,0)),""))</f>
        <v/>
      </c>
      <c r="O774" s="26">
        <f>IF(OR(A774="",N774=""),"",IF(N774&lt;=H774,"Evet","HAYIR - RİSK"))</f>
        <v/>
      </c>
      <c r="P774" s="26">
        <f>IF(A774="","",IF(LEFT(J774,8)="Kural A ","Uygun - Hemen Ödenir (Yıl Sonu %75 Kontrolüne Tabi)",IF(OR(L774="Evet",M774="Evet"),IF(O774="Evet","Uygun","RİSK - Hakediş Süresi Aşıldı"),"Bekleniyor - Nakliye/Montaj Tamamlanmadı")))</f>
        <v/>
      </c>
      <c r="Q774" s="28">
        <f>IF(A774="","",SUMIFS('Hakedis Fatura Detay'!$G$3:$G$1200,'Hakedis Fatura Detay'!$H$3:$H$1200,'DIVA Satislari'!AJ774,'Hakedis Fatura Detay'!$F$3:$F$1200,"Fiyat Farkı")+SUMIFS('Hakedis Fatura Detay'!$G$3:$G$1200,'Hakedis Fatura Detay'!$H$3:$H$1200,'DIVA Satislari'!AJ774,'Hakedis Fatura Detay'!$F$3:$F$1200,"Bundle"))</f>
        <v/>
      </c>
      <c r="R774" s="28">
        <f>IF(A774="","",I774-Q774)</f>
        <v/>
      </c>
      <c r="S774" s="26">
        <f>IF(A774="","",IF(LEFT(P774,7)="Bekleni","N/A - Henüz Ödenmemeli",IF(LEFT(P774,4)="RİSK","İNCELEME GEREKLİ - Süre Aşımı",IF(R774=0,"Doğru",IF(R774&gt;0,"EKSİK ÖDENMİŞ","FAZLA ÖDENMİŞ")))))</f>
        <v/>
      </c>
      <c r="T774" s="30">
        <f>IF(A774="","",IF(F774&lt;&gt;"Evet","İNCELEME GEREKLİ - Kampanya Tanımsız",IF(G774&lt;&gt;"Evet","İNCELEME GEREKLİ - Tarih Dışı Satış",IF(LEFT(P774,4)="RİSK","İNCELEME GEREKLİ - Hakediş Süresi Aşıldı",IF(OR(S774="EKSİK ÖDENMİŞ",S774="FAZLA ÖDENMİŞ"),"İNCELEME GEREKLİ - Tutar Uyuşmazlığı",IF(LEFT(P774,7)="Bekleni","Bekleniyor","Uygun"))))))</f>
        <v/>
      </c>
    </row>
    <row r="775">
      <c r="A775" s="26">
        <f>IF('DIVA Satislari'!I775="","",'DIVA Satislari'!I775)</f>
        <v/>
      </c>
      <c r="B775" s="26">
        <f>IF('DIVA Satislari'!I775="","",'DIVA Satislari'!R775)</f>
        <v/>
      </c>
      <c r="C775" s="26">
        <f>IF('DIVA Satislari'!I775="","",'DIVA Satislari'!M775)</f>
        <v/>
      </c>
      <c r="D775" s="27">
        <f>IF('DIVA Satislari'!I775="","",'DIVA Satislari'!H775)</f>
        <v/>
      </c>
      <c r="E775" s="26">
        <f>IF('DIVA Satislari'!I775="","",'DIVA Satislari'!O775)</f>
        <v/>
      </c>
      <c r="F775" s="26">
        <f>IF('DIVA Satislari'!I775="","",'DIVA Satislari'!AK775)</f>
        <v/>
      </c>
      <c r="G775" s="26">
        <f>IF('DIVA Satislari'!I775="","",'DIVA Satislari'!AO775)</f>
        <v/>
      </c>
      <c r="H775" s="27">
        <f>IF('DIVA Satislari'!I775="","",'DIVA Satislari'!AN775)</f>
        <v/>
      </c>
      <c r="I775" s="28">
        <f>IF('DIVA Satislari'!I775="","",'DIVA Satislari'!AQ775)</f>
        <v/>
      </c>
      <c r="J775" s="26">
        <f>IF('DIVA Satislari'!I775="","",'DIVA Satislari'!AR775)</f>
        <v/>
      </c>
      <c r="K775" s="26">
        <f>IF('DIVA Satislari'!I775="","",IFERROR(INDEX('E2E Nakliye Montaj'!$AS$3:$AS$1002,MATCH('DIVA Satislari'!AJ775,'E2E Nakliye Montaj'!$AM$3:$AM$1002,0)),"Eşleşme Yok"))</f>
        <v/>
      </c>
      <c r="L775" s="26">
        <f>IF('DIVA Satislari'!I775="","",IFERROR(INDEX('E2E Nakliye Montaj'!$AT$3:$AT$1002,MATCH('DIVA Satislari'!AJ775,'E2E Nakliye Montaj'!$AM$3:$AM$1002,0)),"Hayır"))</f>
        <v/>
      </c>
      <c r="M775" s="26">
        <f>IF('DIVA Satislari'!I775="","",IFERROR(INDEX('E2E Nakliye Montaj'!$AU$3:$AU$1002,MATCH('DIVA Satislari'!AJ775,'E2E Nakliye Montaj'!$AM$3:$AM$1002,0)),"Hayır"))</f>
        <v/>
      </c>
      <c r="N775" s="27">
        <f>IF('DIVA Satislari'!I775="","",IFERROR(INDEX('E2E Nakliye Montaj'!$AV$3:$AV$1002,MATCH('DIVA Satislari'!AJ775,'E2E Nakliye Montaj'!$AM$3:$AM$1002,0)),""))</f>
        <v/>
      </c>
      <c r="O775" s="26">
        <f>IF(OR(A775="",N775=""),"",IF(N775&lt;=H775,"Evet","HAYIR - RİSK"))</f>
        <v/>
      </c>
      <c r="P775" s="26">
        <f>IF(A775="","",IF(LEFT(J775,8)="Kural A ","Uygun - Hemen Ödenir (Yıl Sonu %75 Kontrolüne Tabi)",IF(OR(L775="Evet",M775="Evet"),IF(O775="Evet","Uygun","RİSK - Hakediş Süresi Aşıldı"),"Bekleniyor - Nakliye/Montaj Tamamlanmadı")))</f>
        <v/>
      </c>
      <c r="Q775" s="28">
        <f>IF(A775="","",SUMIFS('Hakedis Fatura Detay'!$G$3:$G$1200,'Hakedis Fatura Detay'!$H$3:$H$1200,'DIVA Satislari'!AJ775,'Hakedis Fatura Detay'!$F$3:$F$1200,"Fiyat Farkı")+SUMIFS('Hakedis Fatura Detay'!$G$3:$G$1200,'Hakedis Fatura Detay'!$H$3:$H$1200,'DIVA Satislari'!AJ775,'Hakedis Fatura Detay'!$F$3:$F$1200,"Bundle"))</f>
        <v/>
      </c>
      <c r="R775" s="28">
        <f>IF(A775="","",I775-Q775)</f>
        <v/>
      </c>
      <c r="S775" s="26">
        <f>IF(A775="","",IF(LEFT(P775,7)="Bekleni","N/A - Henüz Ödenmemeli",IF(LEFT(P775,4)="RİSK","İNCELEME GEREKLİ - Süre Aşımı",IF(R775=0,"Doğru",IF(R775&gt;0,"EKSİK ÖDENMİŞ","FAZLA ÖDENMİŞ")))))</f>
        <v/>
      </c>
      <c r="T775" s="30">
        <f>IF(A775="","",IF(F775&lt;&gt;"Evet","İNCELEME GEREKLİ - Kampanya Tanımsız",IF(G775&lt;&gt;"Evet","İNCELEME GEREKLİ - Tarih Dışı Satış",IF(LEFT(P775,4)="RİSK","İNCELEME GEREKLİ - Hakediş Süresi Aşıldı",IF(OR(S775="EKSİK ÖDENMİŞ",S775="FAZLA ÖDENMİŞ"),"İNCELEME GEREKLİ - Tutar Uyuşmazlığı",IF(LEFT(P775,7)="Bekleni","Bekleniyor","Uygun"))))))</f>
        <v/>
      </c>
    </row>
    <row r="776">
      <c r="A776" s="26">
        <f>IF('DIVA Satislari'!I776="","",'DIVA Satislari'!I776)</f>
        <v/>
      </c>
      <c r="B776" s="26">
        <f>IF('DIVA Satislari'!I776="","",'DIVA Satislari'!R776)</f>
        <v/>
      </c>
      <c r="C776" s="26">
        <f>IF('DIVA Satislari'!I776="","",'DIVA Satislari'!M776)</f>
        <v/>
      </c>
      <c r="D776" s="27">
        <f>IF('DIVA Satislari'!I776="","",'DIVA Satislari'!H776)</f>
        <v/>
      </c>
      <c r="E776" s="26">
        <f>IF('DIVA Satislari'!I776="","",'DIVA Satislari'!O776)</f>
        <v/>
      </c>
      <c r="F776" s="26">
        <f>IF('DIVA Satislari'!I776="","",'DIVA Satislari'!AK776)</f>
        <v/>
      </c>
      <c r="G776" s="26">
        <f>IF('DIVA Satislari'!I776="","",'DIVA Satislari'!AO776)</f>
        <v/>
      </c>
      <c r="H776" s="27">
        <f>IF('DIVA Satislari'!I776="","",'DIVA Satislari'!AN776)</f>
        <v/>
      </c>
      <c r="I776" s="28">
        <f>IF('DIVA Satislari'!I776="","",'DIVA Satislari'!AQ776)</f>
        <v/>
      </c>
      <c r="J776" s="26">
        <f>IF('DIVA Satislari'!I776="","",'DIVA Satislari'!AR776)</f>
        <v/>
      </c>
      <c r="K776" s="26">
        <f>IF('DIVA Satislari'!I776="","",IFERROR(INDEX('E2E Nakliye Montaj'!$AS$3:$AS$1002,MATCH('DIVA Satislari'!AJ776,'E2E Nakliye Montaj'!$AM$3:$AM$1002,0)),"Eşleşme Yok"))</f>
        <v/>
      </c>
      <c r="L776" s="26">
        <f>IF('DIVA Satislari'!I776="","",IFERROR(INDEX('E2E Nakliye Montaj'!$AT$3:$AT$1002,MATCH('DIVA Satislari'!AJ776,'E2E Nakliye Montaj'!$AM$3:$AM$1002,0)),"Hayır"))</f>
        <v/>
      </c>
      <c r="M776" s="26">
        <f>IF('DIVA Satislari'!I776="","",IFERROR(INDEX('E2E Nakliye Montaj'!$AU$3:$AU$1002,MATCH('DIVA Satislari'!AJ776,'E2E Nakliye Montaj'!$AM$3:$AM$1002,0)),"Hayır"))</f>
        <v/>
      </c>
      <c r="N776" s="27">
        <f>IF('DIVA Satislari'!I776="","",IFERROR(INDEX('E2E Nakliye Montaj'!$AV$3:$AV$1002,MATCH('DIVA Satislari'!AJ776,'E2E Nakliye Montaj'!$AM$3:$AM$1002,0)),""))</f>
        <v/>
      </c>
      <c r="O776" s="26">
        <f>IF(OR(A776="",N776=""),"",IF(N776&lt;=H776,"Evet","HAYIR - RİSK"))</f>
        <v/>
      </c>
      <c r="P776" s="26">
        <f>IF(A776="","",IF(LEFT(J776,8)="Kural A ","Uygun - Hemen Ödenir (Yıl Sonu %75 Kontrolüne Tabi)",IF(OR(L776="Evet",M776="Evet"),IF(O776="Evet","Uygun","RİSK - Hakediş Süresi Aşıldı"),"Bekleniyor - Nakliye/Montaj Tamamlanmadı")))</f>
        <v/>
      </c>
      <c r="Q776" s="28">
        <f>IF(A776="","",SUMIFS('Hakedis Fatura Detay'!$G$3:$G$1200,'Hakedis Fatura Detay'!$H$3:$H$1200,'DIVA Satislari'!AJ776,'Hakedis Fatura Detay'!$F$3:$F$1200,"Fiyat Farkı")+SUMIFS('Hakedis Fatura Detay'!$G$3:$G$1200,'Hakedis Fatura Detay'!$H$3:$H$1200,'DIVA Satislari'!AJ776,'Hakedis Fatura Detay'!$F$3:$F$1200,"Bundle"))</f>
        <v/>
      </c>
      <c r="R776" s="28">
        <f>IF(A776="","",I776-Q776)</f>
        <v/>
      </c>
      <c r="S776" s="26">
        <f>IF(A776="","",IF(LEFT(P776,7)="Bekleni","N/A - Henüz Ödenmemeli",IF(LEFT(P776,4)="RİSK","İNCELEME GEREKLİ - Süre Aşımı",IF(R776=0,"Doğru",IF(R776&gt;0,"EKSİK ÖDENMİŞ","FAZLA ÖDENMİŞ")))))</f>
        <v/>
      </c>
      <c r="T776" s="30">
        <f>IF(A776="","",IF(F776&lt;&gt;"Evet","İNCELEME GEREKLİ - Kampanya Tanımsız",IF(G776&lt;&gt;"Evet","İNCELEME GEREKLİ - Tarih Dışı Satış",IF(LEFT(P776,4)="RİSK","İNCELEME GEREKLİ - Hakediş Süresi Aşıldı",IF(OR(S776="EKSİK ÖDENMİŞ",S776="FAZLA ÖDENMİŞ"),"İNCELEME GEREKLİ - Tutar Uyuşmazlığı",IF(LEFT(P776,7)="Bekleni","Bekleniyor","Uygun"))))))</f>
        <v/>
      </c>
    </row>
    <row r="777">
      <c r="A777" s="26">
        <f>IF('DIVA Satislari'!I777="","",'DIVA Satislari'!I777)</f>
        <v/>
      </c>
      <c r="B777" s="26">
        <f>IF('DIVA Satislari'!I777="","",'DIVA Satislari'!R777)</f>
        <v/>
      </c>
      <c r="C777" s="26">
        <f>IF('DIVA Satislari'!I777="","",'DIVA Satislari'!M777)</f>
        <v/>
      </c>
      <c r="D777" s="27">
        <f>IF('DIVA Satislari'!I777="","",'DIVA Satislari'!H777)</f>
        <v/>
      </c>
      <c r="E777" s="26">
        <f>IF('DIVA Satislari'!I777="","",'DIVA Satislari'!O777)</f>
        <v/>
      </c>
      <c r="F777" s="26">
        <f>IF('DIVA Satislari'!I777="","",'DIVA Satislari'!AK777)</f>
        <v/>
      </c>
      <c r="G777" s="26">
        <f>IF('DIVA Satislari'!I777="","",'DIVA Satislari'!AO777)</f>
        <v/>
      </c>
      <c r="H777" s="27">
        <f>IF('DIVA Satislari'!I777="","",'DIVA Satislari'!AN777)</f>
        <v/>
      </c>
      <c r="I777" s="28">
        <f>IF('DIVA Satislari'!I777="","",'DIVA Satislari'!AQ777)</f>
        <v/>
      </c>
      <c r="J777" s="26">
        <f>IF('DIVA Satislari'!I777="","",'DIVA Satislari'!AR777)</f>
        <v/>
      </c>
      <c r="K777" s="26">
        <f>IF('DIVA Satislari'!I777="","",IFERROR(INDEX('E2E Nakliye Montaj'!$AS$3:$AS$1002,MATCH('DIVA Satislari'!AJ777,'E2E Nakliye Montaj'!$AM$3:$AM$1002,0)),"Eşleşme Yok"))</f>
        <v/>
      </c>
      <c r="L777" s="26">
        <f>IF('DIVA Satislari'!I777="","",IFERROR(INDEX('E2E Nakliye Montaj'!$AT$3:$AT$1002,MATCH('DIVA Satislari'!AJ777,'E2E Nakliye Montaj'!$AM$3:$AM$1002,0)),"Hayır"))</f>
        <v/>
      </c>
      <c r="M777" s="26">
        <f>IF('DIVA Satislari'!I777="","",IFERROR(INDEX('E2E Nakliye Montaj'!$AU$3:$AU$1002,MATCH('DIVA Satislari'!AJ777,'E2E Nakliye Montaj'!$AM$3:$AM$1002,0)),"Hayır"))</f>
        <v/>
      </c>
      <c r="N777" s="27">
        <f>IF('DIVA Satislari'!I777="","",IFERROR(INDEX('E2E Nakliye Montaj'!$AV$3:$AV$1002,MATCH('DIVA Satislari'!AJ777,'E2E Nakliye Montaj'!$AM$3:$AM$1002,0)),""))</f>
        <v/>
      </c>
      <c r="O777" s="26">
        <f>IF(OR(A777="",N777=""),"",IF(N777&lt;=H777,"Evet","HAYIR - RİSK"))</f>
        <v/>
      </c>
      <c r="P777" s="26">
        <f>IF(A777="","",IF(LEFT(J777,8)="Kural A ","Uygun - Hemen Ödenir (Yıl Sonu %75 Kontrolüne Tabi)",IF(OR(L777="Evet",M777="Evet"),IF(O777="Evet","Uygun","RİSK - Hakediş Süresi Aşıldı"),"Bekleniyor - Nakliye/Montaj Tamamlanmadı")))</f>
        <v/>
      </c>
      <c r="Q777" s="28">
        <f>IF(A777="","",SUMIFS('Hakedis Fatura Detay'!$G$3:$G$1200,'Hakedis Fatura Detay'!$H$3:$H$1200,'DIVA Satislari'!AJ777,'Hakedis Fatura Detay'!$F$3:$F$1200,"Fiyat Farkı")+SUMIFS('Hakedis Fatura Detay'!$G$3:$G$1200,'Hakedis Fatura Detay'!$H$3:$H$1200,'DIVA Satislari'!AJ777,'Hakedis Fatura Detay'!$F$3:$F$1200,"Bundle"))</f>
        <v/>
      </c>
      <c r="R777" s="28">
        <f>IF(A777="","",I777-Q777)</f>
        <v/>
      </c>
      <c r="S777" s="26">
        <f>IF(A777="","",IF(LEFT(P777,7)="Bekleni","N/A - Henüz Ödenmemeli",IF(LEFT(P777,4)="RİSK","İNCELEME GEREKLİ - Süre Aşımı",IF(R777=0,"Doğru",IF(R777&gt;0,"EKSİK ÖDENMİŞ","FAZLA ÖDENMİŞ")))))</f>
        <v/>
      </c>
      <c r="T777" s="30">
        <f>IF(A777="","",IF(F777&lt;&gt;"Evet","İNCELEME GEREKLİ - Kampanya Tanımsız",IF(G777&lt;&gt;"Evet","İNCELEME GEREKLİ - Tarih Dışı Satış",IF(LEFT(P777,4)="RİSK","İNCELEME GEREKLİ - Hakediş Süresi Aşıldı",IF(OR(S777="EKSİK ÖDENMİŞ",S777="FAZLA ÖDENMİŞ"),"İNCELEME GEREKLİ - Tutar Uyuşmazlığı",IF(LEFT(P777,7)="Bekleni","Bekleniyor","Uygun"))))))</f>
        <v/>
      </c>
    </row>
    <row r="778">
      <c r="A778" s="26">
        <f>IF('DIVA Satislari'!I778="","",'DIVA Satislari'!I778)</f>
        <v/>
      </c>
      <c r="B778" s="26">
        <f>IF('DIVA Satislari'!I778="","",'DIVA Satislari'!R778)</f>
        <v/>
      </c>
      <c r="C778" s="26">
        <f>IF('DIVA Satislari'!I778="","",'DIVA Satislari'!M778)</f>
        <v/>
      </c>
      <c r="D778" s="27">
        <f>IF('DIVA Satislari'!I778="","",'DIVA Satislari'!H778)</f>
        <v/>
      </c>
      <c r="E778" s="26">
        <f>IF('DIVA Satislari'!I778="","",'DIVA Satislari'!O778)</f>
        <v/>
      </c>
      <c r="F778" s="26">
        <f>IF('DIVA Satislari'!I778="","",'DIVA Satislari'!AK778)</f>
        <v/>
      </c>
      <c r="G778" s="26">
        <f>IF('DIVA Satislari'!I778="","",'DIVA Satislari'!AO778)</f>
        <v/>
      </c>
      <c r="H778" s="27">
        <f>IF('DIVA Satislari'!I778="","",'DIVA Satislari'!AN778)</f>
        <v/>
      </c>
      <c r="I778" s="28">
        <f>IF('DIVA Satislari'!I778="","",'DIVA Satislari'!AQ778)</f>
        <v/>
      </c>
      <c r="J778" s="26">
        <f>IF('DIVA Satislari'!I778="","",'DIVA Satislari'!AR778)</f>
        <v/>
      </c>
      <c r="K778" s="26">
        <f>IF('DIVA Satislari'!I778="","",IFERROR(INDEX('E2E Nakliye Montaj'!$AS$3:$AS$1002,MATCH('DIVA Satislari'!AJ778,'E2E Nakliye Montaj'!$AM$3:$AM$1002,0)),"Eşleşme Yok"))</f>
        <v/>
      </c>
      <c r="L778" s="26">
        <f>IF('DIVA Satislari'!I778="","",IFERROR(INDEX('E2E Nakliye Montaj'!$AT$3:$AT$1002,MATCH('DIVA Satislari'!AJ778,'E2E Nakliye Montaj'!$AM$3:$AM$1002,0)),"Hayır"))</f>
        <v/>
      </c>
      <c r="M778" s="26">
        <f>IF('DIVA Satislari'!I778="","",IFERROR(INDEX('E2E Nakliye Montaj'!$AU$3:$AU$1002,MATCH('DIVA Satislari'!AJ778,'E2E Nakliye Montaj'!$AM$3:$AM$1002,0)),"Hayır"))</f>
        <v/>
      </c>
      <c r="N778" s="27">
        <f>IF('DIVA Satislari'!I778="","",IFERROR(INDEX('E2E Nakliye Montaj'!$AV$3:$AV$1002,MATCH('DIVA Satislari'!AJ778,'E2E Nakliye Montaj'!$AM$3:$AM$1002,0)),""))</f>
        <v/>
      </c>
      <c r="O778" s="26">
        <f>IF(OR(A778="",N778=""),"",IF(N778&lt;=H778,"Evet","HAYIR - RİSK"))</f>
        <v/>
      </c>
      <c r="P778" s="26">
        <f>IF(A778="","",IF(LEFT(J778,8)="Kural A ","Uygun - Hemen Ödenir (Yıl Sonu %75 Kontrolüne Tabi)",IF(OR(L778="Evet",M778="Evet"),IF(O778="Evet","Uygun","RİSK - Hakediş Süresi Aşıldı"),"Bekleniyor - Nakliye/Montaj Tamamlanmadı")))</f>
        <v/>
      </c>
      <c r="Q778" s="28">
        <f>IF(A778="","",SUMIFS('Hakedis Fatura Detay'!$G$3:$G$1200,'Hakedis Fatura Detay'!$H$3:$H$1200,'DIVA Satislari'!AJ778,'Hakedis Fatura Detay'!$F$3:$F$1200,"Fiyat Farkı")+SUMIFS('Hakedis Fatura Detay'!$G$3:$G$1200,'Hakedis Fatura Detay'!$H$3:$H$1200,'DIVA Satislari'!AJ778,'Hakedis Fatura Detay'!$F$3:$F$1200,"Bundle"))</f>
        <v/>
      </c>
      <c r="R778" s="28">
        <f>IF(A778="","",I778-Q778)</f>
        <v/>
      </c>
      <c r="S778" s="26">
        <f>IF(A778="","",IF(LEFT(P778,7)="Bekleni","N/A - Henüz Ödenmemeli",IF(LEFT(P778,4)="RİSK","İNCELEME GEREKLİ - Süre Aşımı",IF(R778=0,"Doğru",IF(R778&gt;0,"EKSİK ÖDENMİŞ","FAZLA ÖDENMİŞ")))))</f>
        <v/>
      </c>
      <c r="T778" s="30">
        <f>IF(A778="","",IF(F778&lt;&gt;"Evet","İNCELEME GEREKLİ - Kampanya Tanımsız",IF(G778&lt;&gt;"Evet","İNCELEME GEREKLİ - Tarih Dışı Satış",IF(LEFT(P778,4)="RİSK","İNCELEME GEREKLİ - Hakediş Süresi Aşıldı",IF(OR(S778="EKSİK ÖDENMİŞ",S778="FAZLA ÖDENMİŞ"),"İNCELEME GEREKLİ - Tutar Uyuşmazlığı",IF(LEFT(P778,7)="Bekleni","Bekleniyor","Uygun"))))))</f>
        <v/>
      </c>
    </row>
    <row r="779">
      <c r="A779" s="26">
        <f>IF('DIVA Satislari'!I779="","",'DIVA Satislari'!I779)</f>
        <v/>
      </c>
      <c r="B779" s="26">
        <f>IF('DIVA Satislari'!I779="","",'DIVA Satislari'!R779)</f>
        <v/>
      </c>
      <c r="C779" s="26">
        <f>IF('DIVA Satislari'!I779="","",'DIVA Satislari'!M779)</f>
        <v/>
      </c>
      <c r="D779" s="27">
        <f>IF('DIVA Satislari'!I779="","",'DIVA Satislari'!H779)</f>
        <v/>
      </c>
      <c r="E779" s="26">
        <f>IF('DIVA Satislari'!I779="","",'DIVA Satislari'!O779)</f>
        <v/>
      </c>
      <c r="F779" s="26">
        <f>IF('DIVA Satislari'!I779="","",'DIVA Satislari'!AK779)</f>
        <v/>
      </c>
      <c r="G779" s="26">
        <f>IF('DIVA Satislari'!I779="","",'DIVA Satislari'!AO779)</f>
        <v/>
      </c>
      <c r="H779" s="27">
        <f>IF('DIVA Satislari'!I779="","",'DIVA Satislari'!AN779)</f>
        <v/>
      </c>
      <c r="I779" s="28">
        <f>IF('DIVA Satislari'!I779="","",'DIVA Satislari'!AQ779)</f>
        <v/>
      </c>
      <c r="J779" s="26">
        <f>IF('DIVA Satislari'!I779="","",'DIVA Satislari'!AR779)</f>
        <v/>
      </c>
      <c r="K779" s="26">
        <f>IF('DIVA Satislari'!I779="","",IFERROR(INDEX('E2E Nakliye Montaj'!$AS$3:$AS$1002,MATCH('DIVA Satislari'!AJ779,'E2E Nakliye Montaj'!$AM$3:$AM$1002,0)),"Eşleşme Yok"))</f>
        <v/>
      </c>
      <c r="L779" s="26">
        <f>IF('DIVA Satislari'!I779="","",IFERROR(INDEX('E2E Nakliye Montaj'!$AT$3:$AT$1002,MATCH('DIVA Satislari'!AJ779,'E2E Nakliye Montaj'!$AM$3:$AM$1002,0)),"Hayır"))</f>
        <v/>
      </c>
      <c r="M779" s="26">
        <f>IF('DIVA Satislari'!I779="","",IFERROR(INDEX('E2E Nakliye Montaj'!$AU$3:$AU$1002,MATCH('DIVA Satislari'!AJ779,'E2E Nakliye Montaj'!$AM$3:$AM$1002,0)),"Hayır"))</f>
        <v/>
      </c>
      <c r="N779" s="27">
        <f>IF('DIVA Satislari'!I779="","",IFERROR(INDEX('E2E Nakliye Montaj'!$AV$3:$AV$1002,MATCH('DIVA Satislari'!AJ779,'E2E Nakliye Montaj'!$AM$3:$AM$1002,0)),""))</f>
        <v/>
      </c>
      <c r="O779" s="26">
        <f>IF(OR(A779="",N779=""),"",IF(N779&lt;=H779,"Evet","HAYIR - RİSK"))</f>
        <v/>
      </c>
      <c r="P779" s="26">
        <f>IF(A779="","",IF(LEFT(J779,8)="Kural A ","Uygun - Hemen Ödenir (Yıl Sonu %75 Kontrolüne Tabi)",IF(OR(L779="Evet",M779="Evet"),IF(O779="Evet","Uygun","RİSK - Hakediş Süresi Aşıldı"),"Bekleniyor - Nakliye/Montaj Tamamlanmadı")))</f>
        <v/>
      </c>
      <c r="Q779" s="28">
        <f>IF(A779="","",SUMIFS('Hakedis Fatura Detay'!$G$3:$G$1200,'Hakedis Fatura Detay'!$H$3:$H$1200,'DIVA Satislari'!AJ779,'Hakedis Fatura Detay'!$F$3:$F$1200,"Fiyat Farkı")+SUMIFS('Hakedis Fatura Detay'!$G$3:$G$1200,'Hakedis Fatura Detay'!$H$3:$H$1200,'DIVA Satislari'!AJ779,'Hakedis Fatura Detay'!$F$3:$F$1200,"Bundle"))</f>
        <v/>
      </c>
      <c r="R779" s="28">
        <f>IF(A779="","",I779-Q779)</f>
        <v/>
      </c>
      <c r="S779" s="26">
        <f>IF(A779="","",IF(LEFT(P779,7)="Bekleni","N/A - Henüz Ödenmemeli",IF(LEFT(P779,4)="RİSK","İNCELEME GEREKLİ - Süre Aşımı",IF(R779=0,"Doğru",IF(R779&gt;0,"EKSİK ÖDENMİŞ","FAZLA ÖDENMİŞ")))))</f>
        <v/>
      </c>
      <c r="T779" s="30">
        <f>IF(A779="","",IF(F779&lt;&gt;"Evet","İNCELEME GEREKLİ - Kampanya Tanımsız",IF(G779&lt;&gt;"Evet","İNCELEME GEREKLİ - Tarih Dışı Satış",IF(LEFT(P779,4)="RİSK","İNCELEME GEREKLİ - Hakediş Süresi Aşıldı",IF(OR(S779="EKSİK ÖDENMİŞ",S779="FAZLA ÖDENMİŞ"),"İNCELEME GEREKLİ - Tutar Uyuşmazlığı",IF(LEFT(P779,7)="Bekleni","Bekleniyor","Uygun"))))))</f>
        <v/>
      </c>
    </row>
    <row r="780">
      <c r="A780" s="26">
        <f>IF('DIVA Satislari'!I780="","",'DIVA Satislari'!I780)</f>
        <v/>
      </c>
      <c r="B780" s="26">
        <f>IF('DIVA Satislari'!I780="","",'DIVA Satislari'!R780)</f>
        <v/>
      </c>
      <c r="C780" s="26">
        <f>IF('DIVA Satislari'!I780="","",'DIVA Satislari'!M780)</f>
        <v/>
      </c>
      <c r="D780" s="27">
        <f>IF('DIVA Satislari'!I780="","",'DIVA Satislari'!H780)</f>
        <v/>
      </c>
      <c r="E780" s="26">
        <f>IF('DIVA Satislari'!I780="","",'DIVA Satislari'!O780)</f>
        <v/>
      </c>
      <c r="F780" s="26">
        <f>IF('DIVA Satislari'!I780="","",'DIVA Satislari'!AK780)</f>
        <v/>
      </c>
      <c r="G780" s="26">
        <f>IF('DIVA Satislari'!I780="","",'DIVA Satislari'!AO780)</f>
        <v/>
      </c>
      <c r="H780" s="27">
        <f>IF('DIVA Satislari'!I780="","",'DIVA Satislari'!AN780)</f>
        <v/>
      </c>
      <c r="I780" s="28">
        <f>IF('DIVA Satislari'!I780="","",'DIVA Satislari'!AQ780)</f>
        <v/>
      </c>
      <c r="J780" s="26">
        <f>IF('DIVA Satislari'!I780="","",'DIVA Satislari'!AR780)</f>
        <v/>
      </c>
      <c r="K780" s="26">
        <f>IF('DIVA Satislari'!I780="","",IFERROR(INDEX('E2E Nakliye Montaj'!$AS$3:$AS$1002,MATCH('DIVA Satislari'!AJ780,'E2E Nakliye Montaj'!$AM$3:$AM$1002,0)),"Eşleşme Yok"))</f>
        <v/>
      </c>
      <c r="L780" s="26">
        <f>IF('DIVA Satislari'!I780="","",IFERROR(INDEX('E2E Nakliye Montaj'!$AT$3:$AT$1002,MATCH('DIVA Satislari'!AJ780,'E2E Nakliye Montaj'!$AM$3:$AM$1002,0)),"Hayır"))</f>
        <v/>
      </c>
      <c r="M780" s="26">
        <f>IF('DIVA Satislari'!I780="","",IFERROR(INDEX('E2E Nakliye Montaj'!$AU$3:$AU$1002,MATCH('DIVA Satislari'!AJ780,'E2E Nakliye Montaj'!$AM$3:$AM$1002,0)),"Hayır"))</f>
        <v/>
      </c>
      <c r="N780" s="27">
        <f>IF('DIVA Satislari'!I780="","",IFERROR(INDEX('E2E Nakliye Montaj'!$AV$3:$AV$1002,MATCH('DIVA Satislari'!AJ780,'E2E Nakliye Montaj'!$AM$3:$AM$1002,0)),""))</f>
        <v/>
      </c>
      <c r="O780" s="26">
        <f>IF(OR(A780="",N780=""),"",IF(N780&lt;=H780,"Evet","HAYIR - RİSK"))</f>
        <v/>
      </c>
      <c r="P780" s="26">
        <f>IF(A780="","",IF(LEFT(J780,8)="Kural A ","Uygun - Hemen Ödenir (Yıl Sonu %75 Kontrolüne Tabi)",IF(OR(L780="Evet",M780="Evet"),IF(O780="Evet","Uygun","RİSK - Hakediş Süresi Aşıldı"),"Bekleniyor - Nakliye/Montaj Tamamlanmadı")))</f>
        <v/>
      </c>
      <c r="Q780" s="28">
        <f>IF(A780="","",SUMIFS('Hakedis Fatura Detay'!$G$3:$G$1200,'Hakedis Fatura Detay'!$H$3:$H$1200,'DIVA Satislari'!AJ780,'Hakedis Fatura Detay'!$F$3:$F$1200,"Fiyat Farkı")+SUMIFS('Hakedis Fatura Detay'!$G$3:$G$1200,'Hakedis Fatura Detay'!$H$3:$H$1200,'DIVA Satislari'!AJ780,'Hakedis Fatura Detay'!$F$3:$F$1200,"Bundle"))</f>
        <v/>
      </c>
      <c r="R780" s="28">
        <f>IF(A780="","",I780-Q780)</f>
        <v/>
      </c>
      <c r="S780" s="26">
        <f>IF(A780="","",IF(LEFT(P780,7)="Bekleni","N/A - Henüz Ödenmemeli",IF(LEFT(P780,4)="RİSK","İNCELEME GEREKLİ - Süre Aşımı",IF(R780=0,"Doğru",IF(R780&gt;0,"EKSİK ÖDENMİŞ","FAZLA ÖDENMİŞ")))))</f>
        <v/>
      </c>
      <c r="T780" s="30">
        <f>IF(A780="","",IF(F780&lt;&gt;"Evet","İNCELEME GEREKLİ - Kampanya Tanımsız",IF(G780&lt;&gt;"Evet","İNCELEME GEREKLİ - Tarih Dışı Satış",IF(LEFT(P780,4)="RİSK","İNCELEME GEREKLİ - Hakediş Süresi Aşıldı",IF(OR(S780="EKSİK ÖDENMİŞ",S780="FAZLA ÖDENMİŞ"),"İNCELEME GEREKLİ - Tutar Uyuşmazlığı",IF(LEFT(P780,7)="Bekleni","Bekleniyor","Uygun"))))))</f>
        <v/>
      </c>
    </row>
    <row r="781">
      <c r="A781" s="26">
        <f>IF('DIVA Satislari'!I781="","",'DIVA Satislari'!I781)</f>
        <v/>
      </c>
      <c r="B781" s="26">
        <f>IF('DIVA Satislari'!I781="","",'DIVA Satislari'!R781)</f>
        <v/>
      </c>
      <c r="C781" s="26">
        <f>IF('DIVA Satislari'!I781="","",'DIVA Satislari'!M781)</f>
        <v/>
      </c>
      <c r="D781" s="27">
        <f>IF('DIVA Satislari'!I781="","",'DIVA Satislari'!H781)</f>
        <v/>
      </c>
      <c r="E781" s="26">
        <f>IF('DIVA Satislari'!I781="","",'DIVA Satislari'!O781)</f>
        <v/>
      </c>
      <c r="F781" s="26">
        <f>IF('DIVA Satislari'!I781="","",'DIVA Satislari'!AK781)</f>
        <v/>
      </c>
      <c r="G781" s="26">
        <f>IF('DIVA Satislari'!I781="","",'DIVA Satislari'!AO781)</f>
        <v/>
      </c>
      <c r="H781" s="27">
        <f>IF('DIVA Satislari'!I781="","",'DIVA Satislari'!AN781)</f>
        <v/>
      </c>
      <c r="I781" s="28">
        <f>IF('DIVA Satislari'!I781="","",'DIVA Satislari'!AQ781)</f>
        <v/>
      </c>
      <c r="J781" s="26">
        <f>IF('DIVA Satislari'!I781="","",'DIVA Satislari'!AR781)</f>
        <v/>
      </c>
      <c r="K781" s="26">
        <f>IF('DIVA Satislari'!I781="","",IFERROR(INDEX('E2E Nakliye Montaj'!$AS$3:$AS$1002,MATCH('DIVA Satislari'!AJ781,'E2E Nakliye Montaj'!$AM$3:$AM$1002,0)),"Eşleşme Yok"))</f>
        <v/>
      </c>
      <c r="L781" s="26">
        <f>IF('DIVA Satislari'!I781="","",IFERROR(INDEX('E2E Nakliye Montaj'!$AT$3:$AT$1002,MATCH('DIVA Satislari'!AJ781,'E2E Nakliye Montaj'!$AM$3:$AM$1002,0)),"Hayır"))</f>
        <v/>
      </c>
      <c r="M781" s="26">
        <f>IF('DIVA Satislari'!I781="","",IFERROR(INDEX('E2E Nakliye Montaj'!$AU$3:$AU$1002,MATCH('DIVA Satislari'!AJ781,'E2E Nakliye Montaj'!$AM$3:$AM$1002,0)),"Hayır"))</f>
        <v/>
      </c>
      <c r="N781" s="27">
        <f>IF('DIVA Satislari'!I781="","",IFERROR(INDEX('E2E Nakliye Montaj'!$AV$3:$AV$1002,MATCH('DIVA Satislari'!AJ781,'E2E Nakliye Montaj'!$AM$3:$AM$1002,0)),""))</f>
        <v/>
      </c>
      <c r="O781" s="26">
        <f>IF(OR(A781="",N781=""),"",IF(N781&lt;=H781,"Evet","HAYIR - RİSK"))</f>
        <v/>
      </c>
      <c r="P781" s="26">
        <f>IF(A781="","",IF(LEFT(J781,8)="Kural A ","Uygun - Hemen Ödenir (Yıl Sonu %75 Kontrolüne Tabi)",IF(OR(L781="Evet",M781="Evet"),IF(O781="Evet","Uygun","RİSK - Hakediş Süresi Aşıldı"),"Bekleniyor - Nakliye/Montaj Tamamlanmadı")))</f>
        <v/>
      </c>
      <c r="Q781" s="28">
        <f>IF(A781="","",SUMIFS('Hakedis Fatura Detay'!$G$3:$G$1200,'Hakedis Fatura Detay'!$H$3:$H$1200,'DIVA Satislari'!AJ781,'Hakedis Fatura Detay'!$F$3:$F$1200,"Fiyat Farkı")+SUMIFS('Hakedis Fatura Detay'!$G$3:$G$1200,'Hakedis Fatura Detay'!$H$3:$H$1200,'DIVA Satislari'!AJ781,'Hakedis Fatura Detay'!$F$3:$F$1200,"Bundle"))</f>
        <v/>
      </c>
      <c r="R781" s="28">
        <f>IF(A781="","",I781-Q781)</f>
        <v/>
      </c>
      <c r="S781" s="26">
        <f>IF(A781="","",IF(LEFT(P781,7)="Bekleni","N/A - Henüz Ödenmemeli",IF(LEFT(P781,4)="RİSK","İNCELEME GEREKLİ - Süre Aşımı",IF(R781=0,"Doğru",IF(R781&gt;0,"EKSİK ÖDENMİŞ","FAZLA ÖDENMİŞ")))))</f>
        <v/>
      </c>
      <c r="T781" s="30">
        <f>IF(A781="","",IF(F781&lt;&gt;"Evet","İNCELEME GEREKLİ - Kampanya Tanımsız",IF(G781&lt;&gt;"Evet","İNCELEME GEREKLİ - Tarih Dışı Satış",IF(LEFT(P781,4)="RİSK","İNCELEME GEREKLİ - Hakediş Süresi Aşıldı",IF(OR(S781="EKSİK ÖDENMİŞ",S781="FAZLA ÖDENMİŞ"),"İNCELEME GEREKLİ - Tutar Uyuşmazlığı",IF(LEFT(P781,7)="Bekleni","Bekleniyor","Uygun"))))))</f>
        <v/>
      </c>
    </row>
    <row r="782">
      <c r="A782" s="26">
        <f>IF('DIVA Satislari'!I782="","",'DIVA Satislari'!I782)</f>
        <v/>
      </c>
      <c r="B782" s="26">
        <f>IF('DIVA Satislari'!I782="","",'DIVA Satislari'!R782)</f>
        <v/>
      </c>
      <c r="C782" s="26">
        <f>IF('DIVA Satislari'!I782="","",'DIVA Satislari'!M782)</f>
        <v/>
      </c>
      <c r="D782" s="27">
        <f>IF('DIVA Satislari'!I782="","",'DIVA Satislari'!H782)</f>
        <v/>
      </c>
      <c r="E782" s="26">
        <f>IF('DIVA Satislari'!I782="","",'DIVA Satislari'!O782)</f>
        <v/>
      </c>
      <c r="F782" s="26">
        <f>IF('DIVA Satislari'!I782="","",'DIVA Satislari'!AK782)</f>
        <v/>
      </c>
      <c r="G782" s="26">
        <f>IF('DIVA Satislari'!I782="","",'DIVA Satislari'!AO782)</f>
        <v/>
      </c>
      <c r="H782" s="27">
        <f>IF('DIVA Satislari'!I782="","",'DIVA Satislari'!AN782)</f>
        <v/>
      </c>
      <c r="I782" s="28">
        <f>IF('DIVA Satislari'!I782="","",'DIVA Satislari'!AQ782)</f>
        <v/>
      </c>
      <c r="J782" s="26">
        <f>IF('DIVA Satislari'!I782="","",'DIVA Satislari'!AR782)</f>
        <v/>
      </c>
      <c r="K782" s="26">
        <f>IF('DIVA Satislari'!I782="","",IFERROR(INDEX('E2E Nakliye Montaj'!$AS$3:$AS$1002,MATCH('DIVA Satislari'!AJ782,'E2E Nakliye Montaj'!$AM$3:$AM$1002,0)),"Eşleşme Yok"))</f>
        <v/>
      </c>
      <c r="L782" s="26">
        <f>IF('DIVA Satislari'!I782="","",IFERROR(INDEX('E2E Nakliye Montaj'!$AT$3:$AT$1002,MATCH('DIVA Satislari'!AJ782,'E2E Nakliye Montaj'!$AM$3:$AM$1002,0)),"Hayır"))</f>
        <v/>
      </c>
      <c r="M782" s="26">
        <f>IF('DIVA Satislari'!I782="","",IFERROR(INDEX('E2E Nakliye Montaj'!$AU$3:$AU$1002,MATCH('DIVA Satislari'!AJ782,'E2E Nakliye Montaj'!$AM$3:$AM$1002,0)),"Hayır"))</f>
        <v/>
      </c>
      <c r="N782" s="27">
        <f>IF('DIVA Satislari'!I782="","",IFERROR(INDEX('E2E Nakliye Montaj'!$AV$3:$AV$1002,MATCH('DIVA Satislari'!AJ782,'E2E Nakliye Montaj'!$AM$3:$AM$1002,0)),""))</f>
        <v/>
      </c>
      <c r="O782" s="26">
        <f>IF(OR(A782="",N782=""),"",IF(N782&lt;=H782,"Evet","HAYIR - RİSK"))</f>
        <v/>
      </c>
      <c r="P782" s="26">
        <f>IF(A782="","",IF(LEFT(J782,8)="Kural A ","Uygun - Hemen Ödenir (Yıl Sonu %75 Kontrolüne Tabi)",IF(OR(L782="Evet",M782="Evet"),IF(O782="Evet","Uygun","RİSK - Hakediş Süresi Aşıldı"),"Bekleniyor - Nakliye/Montaj Tamamlanmadı")))</f>
        <v/>
      </c>
      <c r="Q782" s="28">
        <f>IF(A782="","",SUMIFS('Hakedis Fatura Detay'!$G$3:$G$1200,'Hakedis Fatura Detay'!$H$3:$H$1200,'DIVA Satislari'!AJ782,'Hakedis Fatura Detay'!$F$3:$F$1200,"Fiyat Farkı")+SUMIFS('Hakedis Fatura Detay'!$G$3:$G$1200,'Hakedis Fatura Detay'!$H$3:$H$1200,'DIVA Satislari'!AJ782,'Hakedis Fatura Detay'!$F$3:$F$1200,"Bundle"))</f>
        <v/>
      </c>
      <c r="R782" s="28">
        <f>IF(A782="","",I782-Q782)</f>
        <v/>
      </c>
      <c r="S782" s="26">
        <f>IF(A782="","",IF(LEFT(P782,7)="Bekleni","N/A - Henüz Ödenmemeli",IF(LEFT(P782,4)="RİSK","İNCELEME GEREKLİ - Süre Aşımı",IF(R782=0,"Doğru",IF(R782&gt;0,"EKSİK ÖDENMİŞ","FAZLA ÖDENMİŞ")))))</f>
        <v/>
      </c>
      <c r="T782" s="30">
        <f>IF(A782="","",IF(F782&lt;&gt;"Evet","İNCELEME GEREKLİ - Kampanya Tanımsız",IF(G782&lt;&gt;"Evet","İNCELEME GEREKLİ - Tarih Dışı Satış",IF(LEFT(P782,4)="RİSK","İNCELEME GEREKLİ - Hakediş Süresi Aşıldı",IF(OR(S782="EKSİK ÖDENMİŞ",S782="FAZLA ÖDENMİŞ"),"İNCELEME GEREKLİ - Tutar Uyuşmazlığı",IF(LEFT(P782,7)="Bekleni","Bekleniyor","Uygun"))))))</f>
        <v/>
      </c>
    </row>
    <row r="783">
      <c r="A783" s="26">
        <f>IF('DIVA Satislari'!I783="","",'DIVA Satislari'!I783)</f>
        <v/>
      </c>
      <c r="B783" s="26">
        <f>IF('DIVA Satislari'!I783="","",'DIVA Satislari'!R783)</f>
        <v/>
      </c>
      <c r="C783" s="26">
        <f>IF('DIVA Satislari'!I783="","",'DIVA Satislari'!M783)</f>
        <v/>
      </c>
      <c r="D783" s="27">
        <f>IF('DIVA Satislari'!I783="","",'DIVA Satislari'!H783)</f>
        <v/>
      </c>
      <c r="E783" s="26">
        <f>IF('DIVA Satislari'!I783="","",'DIVA Satislari'!O783)</f>
        <v/>
      </c>
      <c r="F783" s="26">
        <f>IF('DIVA Satislari'!I783="","",'DIVA Satislari'!AK783)</f>
        <v/>
      </c>
      <c r="G783" s="26">
        <f>IF('DIVA Satislari'!I783="","",'DIVA Satislari'!AO783)</f>
        <v/>
      </c>
      <c r="H783" s="27">
        <f>IF('DIVA Satislari'!I783="","",'DIVA Satislari'!AN783)</f>
        <v/>
      </c>
      <c r="I783" s="28">
        <f>IF('DIVA Satislari'!I783="","",'DIVA Satislari'!AQ783)</f>
        <v/>
      </c>
      <c r="J783" s="26">
        <f>IF('DIVA Satislari'!I783="","",'DIVA Satislari'!AR783)</f>
        <v/>
      </c>
      <c r="K783" s="26">
        <f>IF('DIVA Satislari'!I783="","",IFERROR(INDEX('E2E Nakliye Montaj'!$AS$3:$AS$1002,MATCH('DIVA Satislari'!AJ783,'E2E Nakliye Montaj'!$AM$3:$AM$1002,0)),"Eşleşme Yok"))</f>
        <v/>
      </c>
      <c r="L783" s="26">
        <f>IF('DIVA Satislari'!I783="","",IFERROR(INDEX('E2E Nakliye Montaj'!$AT$3:$AT$1002,MATCH('DIVA Satislari'!AJ783,'E2E Nakliye Montaj'!$AM$3:$AM$1002,0)),"Hayır"))</f>
        <v/>
      </c>
      <c r="M783" s="26">
        <f>IF('DIVA Satislari'!I783="","",IFERROR(INDEX('E2E Nakliye Montaj'!$AU$3:$AU$1002,MATCH('DIVA Satislari'!AJ783,'E2E Nakliye Montaj'!$AM$3:$AM$1002,0)),"Hayır"))</f>
        <v/>
      </c>
      <c r="N783" s="27">
        <f>IF('DIVA Satislari'!I783="","",IFERROR(INDEX('E2E Nakliye Montaj'!$AV$3:$AV$1002,MATCH('DIVA Satislari'!AJ783,'E2E Nakliye Montaj'!$AM$3:$AM$1002,0)),""))</f>
        <v/>
      </c>
      <c r="O783" s="26">
        <f>IF(OR(A783="",N783=""),"",IF(N783&lt;=H783,"Evet","HAYIR - RİSK"))</f>
        <v/>
      </c>
      <c r="P783" s="26">
        <f>IF(A783="","",IF(LEFT(J783,8)="Kural A ","Uygun - Hemen Ödenir (Yıl Sonu %75 Kontrolüne Tabi)",IF(OR(L783="Evet",M783="Evet"),IF(O783="Evet","Uygun","RİSK - Hakediş Süresi Aşıldı"),"Bekleniyor - Nakliye/Montaj Tamamlanmadı")))</f>
        <v/>
      </c>
      <c r="Q783" s="28">
        <f>IF(A783="","",SUMIFS('Hakedis Fatura Detay'!$G$3:$G$1200,'Hakedis Fatura Detay'!$H$3:$H$1200,'DIVA Satislari'!AJ783,'Hakedis Fatura Detay'!$F$3:$F$1200,"Fiyat Farkı")+SUMIFS('Hakedis Fatura Detay'!$G$3:$G$1200,'Hakedis Fatura Detay'!$H$3:$H$1200,'DIVA Satislari'!AJ783,'Hakedis Fatura Detay'!$F$3:$F$1200,"Bundle"))</f>
        <v/>
      </c>
      <c r="R783" s="28">
        <f>IF(A783="","",I783-Q783)</f>
        <v/>
      </c>
      <c r="S783" s="26">
        <f>IF(A783="","",IF(LEFT(P783,7)="Bekleni","N/A - Henüz Ödenmemeli",IF(LEFT(P783,4)="RİSK","İNCELEME GEREKLİ - Süre Aşımı",IF(R783=0,"Doğru",IF(R783&gt;0,"EKSİK ÖDENMİŞ","FAZLA ÖDENMİŞ")))))</f>
        <v/>
      </c>
      <c r="T783" s="30">
        <f>IF(A783="","",IF(F783&lt;&gt;"Evet","İNCELEME GEREKLİ - Kampanya Tanımsız",IF(G783&lt;&gt;"Evet","İNCELEME GEREKLİ - Tarih Dışı Satış",IF(LEFT(P783,4)="RİSK","İNCELEME GEREKLİ - Hakediş Süresi Aşıldı",IF(OR(S783="EKSİK ÖDENMİŞ",S783="FAZLA ÖDENMİŞ"),"İNCELEME GEREKLİ - Tutar Uyuşmazlığı",IF(LEFT(P783,7)="Bekleni","Bekleniyor","Uygun"))))))</f>
        <v/>
      </c>
    </row>
    <row r="784">
      <c r="A784" s="26">
        <f>IF('DIVA Satislari'!I784="","",'DIVA Satislari'!I784)</f>
        <v/>
      </c>
      <c r="B784" s="26">
        <f>IF('DIVA Satislari'!I784="","",'DIVA Satislari'!R784)</f>
        <v/>
      </c>
      <c r="C784" s="26">
        <f>IF('DIVA Satislari'!I784="","",'DIVA Satislari'!M784)</f>
        <v/>
      </c>
      <c r="D784" s="27">
        <f>IF('DIVA Satislari'!I784="","",'DIVA Satislari'!H784)</f>
        <v/>
      </c>
      <c r="E784" s="26">
        <f>IF('DIVA Satislari'!I784="","",'DIVA Satislari'!O784)</f>
        <v/>
      </c>
      <c r="F784" s="26">
        <f>IF('DIVA Satislari'!I784="","",'DIVA Satislari'!AK784)</f>
        <v/>
      </c>
      <c r="G784" s="26">
        <f>IF('DIVA Satislari'!I784="","",'DIVA Satislari'!AO784)</f>
        <v/>
      </c>
      <c r="H784" s="27">
        <f>IF('DIVA Satislari'!I784="","",'DIVA Satislari'!AN784)</f>
        <v/>
      </c>
      <c r="I784" s="28">
        <f>IF('DIVA Satislari'!I784="","",'DIVA Satislari'!AQ784)</f>
        <v/>
      </c>
      <c r="J784" s="26">
        <f>IF('DIVA Satislari'!I784="","",'DIVA Satislari'!AR784)</f>
        <v/>
      </c>
      <c r="K784" s="26">
        <f>IF('DIVA Satislari'!I784="","",IFERROR(INDEX('E2E Nakliye Montaj'!$AS$3:$AS$1002,MATCH('DIVA Satislari'!AJ784,'E2E Nakliye Montaj'!$AM$3:$AM$1002,0)),"Eşleşme Yok"))</f>
        <v/>
      </c>
      <c r="L784" s="26">
        <f>IF('DIVA Satislari'!I784="","",IFERROR(INDEX('E2E Nakliye Montaj'!$AT$3:$AT$1002,MATCH('DIVA Satislari'!AJ784,'E2E Nakliye Montaj'!$AM$3:$AM$1002,0)),"Hayır"))</f>
        <v/>
      </c>
      <c r="M784" s="26">
        <f>IF('DIVA Satislari'!I784="","",IFERROR(INDEX('E2E Nakliye Montaj'!$AU$3:$AU$1002,MATCH('DIVA Satislari'!AJ784,'E2E Nakliye Montaj'!$AM$3:$AM$1002,0)),"Hayır"))</f>
        <v/>
      </c>
      <c r="N784" s="27">
        <f>IF('DIVA Satislari'!I784="","",IFERROR(INDEX('E2E Nakliye Montaj'!$AV$3:$AV$1002,MATCH('DIVA Satislari'!AJ784,'E2E Nakliye Montaj'!$AM$3:$AM$1002,0)),""))</f>
        <v/>
      </c>
      <c r="O784" s="26">
        <f>IF(OR(A784="",N784=""),"",IF(N784&lt;=H784,"Evet","HAYIR - RİSK"))</f>
        <v/>
      </c>
      <c r="P784" s="26">
        <f>IF(A784="","",IF(LEFT(J784,8)="Kural A ","Uygun - Hemen Ödenir (Yıl Sonu %75 Kontrolüne Tabi)",IF(OR(L784="Evet",M784="Evet"),IF(O784="Evet","Uygun","RİSK - Hakediş Süresi Aşıldı"),"Bekleniyor - Nakliye/Montaj Tamamlanmadı")))</f>
        <v/>
      </c>
      <c r="Q784" s="28">
        <f>IF(A784="","",SUMIFS('Hakedis Fatura Detay'!$G$3:$G$1200,'Hakedis Fatura Detay'!$H$3:$H$1200,'DIVA Satislari'!AJ784,'Hakedis Fatura Detay'!$F$3:$F$1200,"Fiyat Farkı")+SUMIFS('Hakedis Fatura Detay'!$G$3:$G$1200,'Hakedis Fatura Detay'!$H$3:$H$1200,'DIVA Satislari'!AJ784,'Hakedis Fatura Detay'!$F$3:$F$1200,"Bundle"))</f>
        <v/>
      </c>
      <c r="R784" s="28">
        <f>IF(A784="","",I784-Q784)</f>
        <v/>
      </c>
      <c r="S784" s="26">
        <f>IF(A784="","",IF(LEFT(P784,7)="Bekleni","N/A - Henüz Ödenmemeli",IF(LEFT(P784,4)="RİSK","İNCELEME GEREKLİ - Süre Aşımı",IF(R784=0,"Doğru",IF(R784&gt;0,"EKSİK ÖDENMİŞ","FAZLA ÖDENMİŞ")))))</f>
        <v/>
      </c>
      <c r="T784" s="30">
        <f>IF(A784="","",IF(F784&lt;&gt;"Evet","İNCELEME GEREKLİ - Kampanya Tanımsız",IF(G784&lt;&gt;"Evet","İNCELEME GEREKLİ - Tarih Dışı Satış",IF(LEFT(P784,4)="RİSK","İNCELEME GEREKLİ - Hakediş Süresi Aşıldı",IF(OR(S784="EKSİK ÖDENMİŞ",S784="FAZLA ÖDENMİŞ"),"İNCELEME GEREKLİ - Tutar Uyuşmazlığı",IF(LEFT(P784,7)="Bekleni","Bekleniyor","Uygun"))))))</f>
        <v/>
      </c>
    </row>
    <row r="785">
      <c r="A785" s="26">
        <f>IF('DIVA Satislari'!I785="","",'DIVA Satislari'!I785)</f>
        <v/>
      </c>
      <c r="B785" s="26">
        <f>IF('DIVA Satislari'!I785="","",'DIVA Satislari'!R785)</f>
        <v/>
      </c>
      <c r="C785" s="26">
        <f>IF('DIVA Satislari'!I785="","",'DIVA Satislari'!M785)</f>
        <v/>
      </c>
      <c r="D785" s="27">
        <f>IF('DIVA Satislari'!I785="","",'DIVA Satislari'!H785)</f>
        <v/>
      </c>
      <c r="E785" s="26">
        <f>IF('DIVA Satislari'!I785="","",'DIVA Satislari'!O785)</f>
        <v/>
      </c>
      <c r="F785" s="26">
        <f>IF('DIVA Satislari'!I785="","",'DIVA Satislari'!AK785)</f>
        <v/>
      </c>
      <c r="G785" s="26">
        <f>IF('DIVA Satislari'!I785="","",'DIVA Satislari'!AO785)</f>
        <v/>
      </c>
      <c r="H785" s="27">
        <f>IF('DIVA Satislari'!I785="","",'DIVA Satislari'!AN785)</f>
        <v/>
      </c>
      <c r="I785" s="28">
        <f>IF('DIVA Satislari'!I785="","",'DIVA Satislari'!AQ785)</f>
        <v/>
      </c>
      <c r="J785" s="26">
        <f>IF('DIVA Satislari'!I785="","",'DIVA Satislari'!AR785)</f>
        <v/>
      </c>
      <c r="K785" s="26">
        <f>IF('DIVA Satislari'!I785="","",IFERROR(INDEX('E2E Nakliye Montaj'!$AS$3:$AS$1002,MATCH('DIVA Satislari'!AJ785,'E2E Nakliye Montaj'!$AM$3:$AM$1002,0)),"Eşleşme Yok"))</f>
        <v/>
      </c>
      <c r="L785" s="26">
        <f>IF('DIVA Satislari'!I785="","",IFERROR(INDEX('E2E Nakliye Montaj'!$AT$3:$AT$1002,MATCH('DIVA Satislari'!AJ785,'E2E Nakliye Montaj'!$AM$3:$AM$1002,0)),"Hayır"))</f>
        <v/>
      </c>
      <c r="M785" s="26">
        <f>IF('DIVA Satislari'!I785="","",IFERROR(INDEX('E2E Nakliye Montaj'!$AU$3:$AU$1002,MATCH('DIVA Satislari'!AJ785,'E2E Nakliye Montaj'!$AM$3:$AM$1002,0)),"Hayır"))</f>
        <v/>
      </c>
      <c r="N785" s="27">
        <f>IF('DIVA Satislari'!I785="","",IFERROR(INDEX('E2E Nakliye Montaj'!$AV$3:$AV$1002,MATCH('DIVA Satislari'!AJ785,'E2E Nakliye Montaj'!$AM$3:$AM$1002,0)),""))</f>
        <v/>
      </c>
      <c r="O785" s="26">
        <f>IF(OR(A785="",N785=""),"",IF(N785&lt;=H785,"Evet","HAYIR - RİSK"))</f>
        <v/>
      </c>
      <c r="P785" s="26">
        <f>IF(A785="","",IF(LEFT(J785,8)="Kural A ","Uygun - Hemen Ödenir (Yıl Sonu %75 Kontrolüne Tabi)",IF(OR(L785="Evet",M785="Evet"),IF(O785="Evet","Uygun","RİSK - Hakediş Süresi Aşıldı"),"Bekleniyor - Nakliye/Montaj Tamamlanmadı")))</f>
        <v/>
      </c>
      <c r="Q785" s="28">
        <f>IF(A785="","",SUMIFS('Hakedis Fatura Detay'!$G$3:$G$1200,'Hakedis Fatura Detay'!$H$3:$H$1200,'DIVA Satislari'!AJ785,'Hakedis Fatura Detay'!$F$3:$F$1200,"Fiyat Farkı")+SUMIFS('Hakedis Fatura Detay'!$G$3:$G$1200,'Hakedis Fatura Detay'!$H$3:$H$1200,'DIVA Satislari'!AJ785,'Hakedis Fatura Detay'!$F$3:$F$1200,"Bundle"))</f>
        <v/>
      </c>
      <c r="R785" s="28">
        <f>IF(A785="","",I785-Q785)</f>
        <v/>
      </c>
      <c r="S785" s="26">
        <f>IF(A785="","",IF(LEFT(P785,7)="Bekleni","N/A - Henüz Ödenmemeli",IF(LEFT(P785,4)="RİSK","İNCELEME GEREKLİ - Süre Aşımı",IF(R785=0,"Doğru",IF(R785&gt;0,"EKSİK ÖDENMİŞ","FAZLA ÖDENMİŞ")))))</f>
        <v/>
      </c>
      <c r="T785" s="30">
        <f>IF(A785="","",IF(F785&lt;&gt;"Evet","İNCELEME GEREKLİ - Kampanya Tanımsız",IF(G785&lt;&gt;"Evet","İNCELEME GEREKLİ - Tarih Dışı Satış",IF(LEFT(P785,4)="RİSK","İNCELEME GEREKLİ - Hakediş Süresi Aşıldı",IF(OR(S785="EKSİK ÖDENMİŞ",S785="FAZLA ÖDENMİŞ"),"İNCELEME GEREKLİ - Tutar Uyuşmazlığı",IF(LEFT(P785,7)="Bekleni","Bekleniyor","Uygun"))))))</f>
        <v/>
      </c>
    </row>
    <row r="786">
      <c r="A786" s="26">
        <f>IF('DIVA Satislari'!I786="","",'DIVA Satislari'!I786)</f>
        <v/>
      </c>
      <c r="B786" s="26">
        <f>IF('DIVA Satislari'!I786="","",'DIVA Satislari'!R786)</f>
        <v/>
      </c>
      <c r="C786" s="26">
        <f>IF('DIVA Satislari'!I786="","",'DIVA Satislari'!M786)</f>
        <v/>
      </c>
      <c r="D786" s="27">
        <f>IF('DIVA Satislari'!I786="","",'DIVA Satislari'!H786)</f>
        <v/>
      </c>
      <c r="E786" s="26">
        <f>IF('DIVA Satislari'!I786="","",'DIVA Satislari'!O786)</f>
        <v/>
      </c>
      <c r="F786" s="26">
        <f>IF('DIVA Satislari'!I786="","",'DIVA Satislari'!AK786)</f>
        <v/>
      </c>
      <c r="G786" s="26">
        <f>IF('DIVA Satislari'!I786="","",'DIVA Satislari'!AO786)</f>
        <v/>
      </c>
      <c r="H786" s="27">
        <f>IF('DIVA Satislari'!I786="","",'DIVA Satislari'!AN786)</f>
        <v/>
      </c>
      <c r="I786" s="28">
        <f>IF('DIVA Satislari'!I786="","",'DIVA Satislari'!AQ786)</f>
        <v/>
      </c>
      <c r="J786" s="26">
        <f>IF('DIVA Satislari'!I786="","",'DIVA Satislari'!AR786)</f>
        <v/>
      </c>
      <c r="K786" s="26">
        <f>IF('DIVA Satislari'!I786="","",IFERROR(INDEX('E2E Nakliye Montaj'!$AS$3:$AS$1002,MATCH('DIVA Satislari'!AJ786,'E2E Nakliye Montaj'!$AM$3:$AM$1002,0)),"Eşleşme Yok"))</f>
        <v/>
      </c>
      <c r="L786" s="26">
        <f>IF('DIVA Satislari'!I786="","",IFERROR(INDEX('E2E Nakliye Montaj'!$AT$3:$AT$1002,MATCH('DIVA Satislari'!AJ786,'E2E Nakliye Montaj'!$AM$3:$AM$1002,0)),"Hayır"))</f>
        <v/>
      </c>
      <c r="M786" s="26">
        <f>IF('DIVA Satislari'!I786="","",IFERROR(INDEX('E2E Nakliye Montaj'!$AU$3:$AU$1002,MATCH('DIVA Satislari'!AJ786,'E2E Nakliye Montaj'!$AM$3:$AM$1002,0)),"Hayır"))</f>
        <v/>
      </c>
      <c r="N786" s="27">
        <f>IF('DIVA Satislari'!I786="","",IFERROR(INDEX('E2E Nakliye Montaj'!$AV$3:$AV$1002,MATCH('DIVA Satislari'!AJ786,'E2E Nakliye Montaj'!$AM$3:$AM$1002,0)),""))</f>
        <v/>
      </c>
      <c r="O786" s="26">
        <f>IF(OR(A786="",N786=""),"",IF(N786&lt;=H786,"Evet","HAYIR - RİSK"))</f>
        <v/>
      </c>
      <c r="P786" s="26">
        <f>IF(A786="","",IF(LEFT(J786,8)="Kural A ","Uygun - Hemen Ödenir (Yıl Sonu %75 Kontrolüne Tabi)",IF(OR(L786="Evet",M786="Evet"),IF(O786="Evet","Uygun","RİSK - Hakediş Süresi Aşıldı"),"Bekleniyor - Nakliye/Montaj Tamamlanmadı")))</f>
        <v/>
      </c>
      <c r="Q786" s="28">
        <f>IF(A786="","",SUMIFS('Hakedis Fatura Detay'!$G$3:$G$1200,'Hakedis Fatura Detay'!$H$3:$H$1200,'DIVA Satislari'!AJ786,'Hakedis Fatura Detay'!$F$3:$F$1200,"Fiyat Farkı")+SUMIFS('Hakedis Fatura Detay'!$G$3:$G$1200,'Hakedis Fatura Detay'!$H$3:$H$1200,'DIVA Satislari'!AJ786,'Hakedis Fatura Detay'!$F$3:$F$1200,"Bundle"))</f>
        <v/>
      </c>
      <c r="R786" s="28">
        <f>IF(A786="","",I786-Q786)</f>
        <v/>
      </c>
      <c r="S786" s="26">
        <f>IF(A786="","",IF(LEFT(P786,7)="Bekleni","N/A - Henüz Ödenmemeli",IF(LEFT(P786,4)="RİSK","İNCELEME GEREKLİ - Süre Aşımı",IF(R786=0,"Doğru",IF(R786&gt;0,"EKSİK ÖDENMİŞ","FAZLA ÖDENMİŞ")))))</f>
        <v/>
      </c>
      <c r="T786" s="30">
        <f>IF(A786="","",IF(F786&lt;&gt;"Evet","İNCELEME GEREKLİ - Kampanya Tanımsız",IF(G786&lt;&gt;"Evet","İNCELEME GEREKLİ - Tarih Dışı Satış",IF(LEFT(P786,4)="RİSK","İNCELEME GEREKLİ - Hakediş Süresi Aşıldı",IF(OR(S786="EKSİK ÖDENMİŞ",S786="FAZLA ÖDENMİŞ"),"İNCELEME GEREKLİ - Tutar Uyuşmazlığı",IF(LEFT(P786,7)="Bekleni","Bekleniyor","Uygun"))))))</f>
        <v/>
      </c>
    </row>
    <row r="787">
      <c r="A787" s="26">
        <f>IF('DIVA Satislari'!I787="","",'DIVA Satislari'!I787)</f>
        <v/>
      </c>
      <c r="B787" s="26">
        <f>IF('DIVA Satislari'!I787="","",'DIVA Satislari'!R787)</f>
        <v/>
      </c>
      <c r="C787" s="26">
        <f>IF('DIVA Satislari'!I787="","",'DIVA Satislari'!M787)</f>
        <v/>
      </c>
      <c r="D787" s="27">
        <f>IF('DIVA Satislari'!I787="","",'DIVA Satislari'!H787)</f>
        <v/>
      </c>
      <c r="E787" s="26">
        <f>IF('DIVA Satislari'!I787="","",'DIVA Satislari'!O787)</f>
        <v/>
      </c>
      <c r="F787" s="26">
        <f>IF('DIVA Satislari'!I787="","",'DIVA Satislari'!AK787)</f>
        <v/>
      </c>
      <c r="G787" s="26">
        <f>IF('DIVA Satislari'!I787="","",'DIVA Satislari'!AO787)</f>
        <v/>
      </c>
      <c r="H787" s="27">
        <f>IF('DIVA Satislari'!I787="","",'DIVA Satislari'!AN787)</f>
        <v/>
      </c>
      <c r="I787" s="28">
        <f>IF('DIVA Satislari'!I787="","",'DIVA Satislari'!AQ787)</f>
        <v/>
      </c>
      <c r="J787" s="26">
        <f>IF('DIVA Satislari'!I787="","",'DIVA Satislari'!AR787)</f>
        <v/>
      </c>
      <c r="K787" s="26">
        <f>IF('DIVA Satislari'!I787="","",IFERROR(INDEX('E2E Nakliye Montaj'!$AS$3:$AS$1002,MATCH('DIVA Satislari'!AJ787,'E2E Nakliye Montaj'!$AM$3:$AM$1002,0)),"Eşleşme Yok"))</f>
        <v/>
      </c>
      <c r="L787" s="26">
        <f>IF('DIVA Satislari'!I787="","",IFERROR(INDEX('E2E Nakliye Montaj'!$AT$3:$AT$1002,MATCH('DIVA Satislari'!AJ787,'E2E Nakliye Montaj'!$AM$3:$AM$1002,0)),"Hayır"))</f>
        <v/>
      </c>
      <c r="M787" s="26">
        <f>IF('DIVA Satislari'!I787="","",IFERROR(INDEX('E2E Nakliye Montaj'!$AU$3:$AU$1002,MATCH('DIVA Satislari'!AJ787,'E2E Nakliye Montaj'!$AM$3:$AM$1002,0)),"Hayır"))</f>
        <v/>
      </c>
      <c r="N787" s="27">
        <f>IF('DIVA Satislari'!I787="","",IFERROR(INDEX('E2E Nakliye Montaj'!$AV$3:$AV$1002,MATCH('DIVA Satislari'!AJ787,'E2E Nakliye Montaj'!$AM$3:$AM$1002,0)),""))</f>
        <v/>
      </c>
      <c r="O787" s="26">
        <f>IF(OR(A787="",N787=""),"",IF(N787&lt;=H787,"Evet","HAYIR - RİSK"))</f>
        <v/>
      </c>
      <c r="P787" s="26">
        <f>IF(A787="","",IF(LEFT(J787,8)="Kural A ","Uygun - Hemen Ödenir (Yıl Sonu %75 Kontrolüne Tabi)",IF(OR(L787="Evet",M787="Evet"),IF(O787="Evet","Uygun","RİSK - Hakediş Süresi Aşıldı"),"Bekleniyor - Nakliye/Montaj Tamamlanmadı")))</f>
        <v/>
      </c>
      <c r="Q787" s="28">
        <f>IF(A787="","",SUMIFS('Hakedis Fatura Detay'!$G$3:$G$1200,'Hakedis Fatura Detay'!$H$3:$H$1200,'DIVA Satislari'!AJ787,'Hakedis Fatura Detay'!$F$3:$F$1200,"Fiyat Farkı")+SUMIFS('Hakedis Fatura Detay'!$G$3:$G$1200,'Hakedis Fatura Detay'!$H$3:$H$1200,'DIVA Satislari'!AJ787,'Hakedis Fatura Detay'!$F$3:$F$1200,"Bundle"))</f>
        <v/>
      </c>
      <c r="R787" s="28">
        <f>IF(A787="","",I787-Q787)</f>
        <v/>
      </c>
      <c r="S787" s="26">
        <f>IF(A787="","",IF(LEFT(P787,7)="Bekleni","N/A - Henüz Ödenmemeli",IF(LEFT(P787,4)="RİSK","İNCELEME GEREKLİ - Süre Aşımı",IF(R787=0,"Doğru",IF(R787&gt;0,"EKSİK ÖDENMİŞ","FAZLA ÖDENMİŞ")))))</f>
        <v/>
      </c>
      <c r="T787" s="30">
        <f>IF(A787="","",IF(F787&lt;&gt;"Evet","İNCELEME GEREKLİ - Kampanya Tanımsız",IF(G787&lt;&gt;"Evet","İNCELEME GEREKLİ - Tarih Dışı Satış",IF(LEFT(P787,4)="RİSK","İNCELEME GEREKLİ - Hakediş Süresi Aşıldı",IF(OR(S787="EKSİK ÖDENMİŞ",S787="FAZLA ÖDENMİŞ"),"İNCELEME GEREKLİ - Tutar Uyuşmazlığı",IF(LEFT(P787,7)="Bekleni","Bekleniyor","Uygun"))))))</f>
        <v/>
      </c>
    </row>
    <row r="788">
      <c r="A788" s="26">
        <f>IF('DIVA Satislari'!I788="","",'DIVA Satislari'!I788)</f>
        <v/>
      </c>
      <c r="B788" s="26">
        <f>IF('DIVA Satislari'!I788="","",'DIVA Satislari'!R788)</f>
        <v/>
      </c>
      <c r="C788" s="26">
        <f>IF('DIVA Satislari'!I788="","",'DIVA Satislari'!M788)</f>
        <v/>
      </c>
      <c r="D788" s="27">
        <f>IF('DIVA Satislari'!I788="","",'DIVA Satislari'!H788)</f>
        <v/>
      </c>
      <c r="E788" s="26">
        <f>IF('DIVA Satislari'!I788="","",'DIVA Satislari'!O788)</f>
        <v/>
      </c>
      <c r="F788" s="26">
        <f>IF('DIVA Satislari'!I788="","",'DIVA Satislari'!AK788)</f>
        <v/>
      </c>
      <c r="G788" s="26">
        <f>IF('DIVA Satislari'!I788="","",'DIVA Satislari'!AO788)</f>
        <v/>
      </c>
      <c r="H788" s="27">
        <f>IF('DIVA Satislari'!I788="","",'DIVA Satislari'!AN788)</f>
        <v/>
      </c>
      <c r="I788" s="28">
        <f>IF('DIVA Satislari'!I788="","",'DIVA Satislari'!AQ788)</f>
        <v/>
      </c>
      <c r="J788" s="26">
        <f>IF('DIVA Satislari'!I788="","",'DIVA Satislari'!AR788)</f>
        <v/>
      </c>
      <c r="K788" s="26">
        <f>IF('DIVA Satislari'!I788="","",IFERROR(INDEX('E2E Nakliye Montaj'!$AS$3:$AS$1002,MATCH('DIVA Satislari'!AJ788,'E2E Nakliye Montaj'!$AM$3:$AM$1002,0)),"Eşleşme Yok"))</f>
        <v/>
      </c>
      <c r="L788" s="26">
        <f>IF('DIVA Satislari'!I788="","",IFERROR(INDEX('E2E Nakliye Montaj'!$AT$3:$AT$1002,MATCH('DIVA Satislari'!AJ788,'E2E Nakliye Montaj'!$AM$3:$AM$1002,0)),"Hayır"))</f>
        <v/>
      </c>
      <c r="M788" s="26">
        <f>IF('DIVA Satislari'!I788="","",IFERROR(INDEX('E2E Nakliye Montaj'!$AU$3:$AU$1002,MATCH('DIVA Satislari'!AJ788,'E2E Nakliye Montaj'!$AM$3:$AM$1002,0)),"Hayır"))</f>
        <v/>
      </c>
      <c r="N788" s="27">
        <f>IF('DIVA Satislari'!I788="","",IFERROR(INDEX('E2E Nakliye Montaj'!$AV$3:$AV$1002,MATCH('DIVA Satislari'!AJ788,'E2E Nakliye Montaj'!$AM$3:$AM$1002,0)),""))</f>
        <v/>
      </c>
      <c r="O788" s="26">
        <f>IF(OR(A788="",N788=""),"",IF(N788&lt;=H788,"Evet","HAYIR - RİSK"))</f>
        <v/>
      </c>
      <c r="P788" s="26">
        <f>IF(A788="","",IF(LEFT(J788,8)="Kural A ","Uygun - Hemen Ödenir (Yıl Sonu %75 Kontrolüne Tabi)",IF(OR(L788="Evet",M788="Evet"),IF(O788="Evet","Uygun","RİSK - Hakediş Süresi Aşıldı"),"Bekleniyor - Nakliye/Montaj Tamamlanmadı")))</f>
        <v/>
      </c>
      <c r="Q788" s="28">
        <f>IF(A788="","",SUMIFS('Hakedis Fatura Detay'!$G$3:$G$1200,'Hakedis Fatura Detay'!$H$3:$H$1200,'DIVA Satislari'!AJ788,'Hakedis Fatura Detay'!$F$3:$F$1200,"Fiyat Farkı")+SUMIFS('Hakedis Fatura Detay'!$G$3:$G$1200,'Hakedis Fatura Detay'!$H$3:$H$1200,'DIVA Satislari'!AJ788,'Hakedis Fatura Detay'!$F$3:$F$1200,"Bundle"))</f>
        <v/>
      </c>
      <c r="R788" s="28">
        <f>IF(A788="","",I788-Q788)</f>
        <v/>
      </c>
      <c r="S788" s="26">
        <f>IF(A788="","",IF(LEFT(P788,7)="Bekleni","N/A - Henüz Ödenmemeli",IF(LEFT(P788,4)="RİSK","İNCELEME GEREKLİ - Süre Aşımı",IF(R788=0,"Doğru",IF(R788&gt;0,"EKSİK ÖDENMİŞ","FAZLA ÖDENMİŞ")))))</f>
        <v/>
      </c>
      <c r="T788" s="30">
        <f>IF(A788="","",IF(F788&lt;&gt;"Evet","İNCELEME GEREKLİ - Kampanya Tanımsız",IF(G788&lt;&gt;"Evet","İNCELEME GEREKLİ - Tarih Dışı Satış",IF(LEFT(P788,4)="RİSK","İNCELEME GEREKLİ - Hakediş Süresi Aşıldı",IF(OR(S788="EKSİK ÖDENMİŞ",S788="FAZLA ÖDENMİŞ"),"İNCELEME GEREKLİ - Tutar Uyuşmazlığı",IF(LEFT(P788,7)="Bekleni","Bekleniyor","Uygun"))))))</f>
        <v/>
      </c>
    </row>
    <row r="789">
      <c r="A789" s="26">
        <f>IF('DIVA Satislari'!I789="","",'DIVA Satislari'!I789)</f>
        <v/>
      </c>
      <c r="B789" s="26">
        <f>IF('DIVA Satislari'!I789="","",'DIVA Satislari'!R789)</f>
        <v/>
      </c>
      <c r="C789" s="26">
        <f>IF('DIVA Satislari'!I789="","",'DIVA Satislari'!M789)</f>
        <v/>
      </c>
      <c r="D789" s="27">
        <f>IF('DIVA Satislari'!I789="","",'DIVA Satislari'!H789)</f>
        <v/>
      </c>
      <c r="E789" s="26">
        <f>IF('DIVA Satislari'!I789="","",'DIVA Satislari'!O789)</f>
        <v/>
      </c>
      <c r="F789" s="26">
        <f>IF('DIVA Satislari'!I789="","",'DIVA Satislari'!AK789)</f>
        <v/>
      </c>
      <c r="G789" s="26">
        <f>IF('DIVA Satislari'!I789="","",'DIVA Satislari'!AO789)</f>
        <v/>
      </c>
      <c r="H789" s="27">
        <f>IF('DIVA Satislari'!I789="","",'DIVA Satislari'!AN789)</f>
        <v/>
      </c>
      <c r="I789" s="28">
        <f>IF('DIVA Satislari'!I789="","",'DIVA Satislari'!AQ789)</f>
        <v/>
      </c>
      <c r="J789" s="26">
        <f>IF('DIVA Satislari'!I789="","",'DIVA Satislari'!AR789)</f>
        <v/>
      </c>
      <c r="K789" s="26">
        <f>IF('DIVA Satislari'!I789="","",IFERROR(INDEX('E2E Nakliye Montaj'!$AS$3:$AS$1002,MATCH('DIVA Satislari'!AJ789,'E2E Nakliye Montaj'!$AM$3:$AM$1002,0)),"Eşleşme Yok"))</f>
        <v/>
      </c>
      <c r="L789" s="26">
        <f>IF('DIVA Satislari'!I789="","",IFERROR(INDEX('E2E Nakliye Montaj'!$AT$3:$AT$1002,MATCH('DIVA Satislari'!AJ789,'E2E Nakliye Montaj'!$AM$3:$AM$1002,0)),"Hayır"))</f>
        <v/>
      </c>
      <c r="M789" s="26">
        <f>IF('DIVA Satislari'!I789="","",IFERROR(INDEX('E2E Nakliye Montaj'!$AU$3:$AU$1002,MATCH('DIVA Satislari'!AJ789,'E2E Nakliye Montaj'!$AM$3:$AM$1002,0)),"Hayır"))</f>
        <v/>
      </c>
      <c r="N789" s="27">
        <f>IF('DIVA Satislari'!I789="","",IFERROR(INDEX('E2E Nakliye Montaj'!$AV$3:$AV$1002,MATCH('DIVA Satislari'!AJ789,'E2E Nakliye Montaj'!$AM$3:$AM$1002,0)),""))</f>
        <v/>
      </c>
      <c r="O789" s="26">
        <f>IF(OR(A789="",N789=""),"",IF(N789&lt;=H789,"Evet","HAYIR - RİSK"))</f>
        <v/>
      </c>
      <c r="P789" s="26">
        <f>IF(A789="","",IF(LEFT(J789,8)="Kural A ","Uygun - Hemen Ödenir (Yıl Sonu %75 Kontrolüne Tabi)",IF(OR(L789="Evet",M789="Evet"),IF(O789="Evet","Uygun","RİSK - Hakediş Süresi Aşıldı"),"Bekleniyor - Nakliye/Montaj Tamamlanmadı")))</f>
        <v/>
      </c>
      <c r="Q789" s="28">
        <f>IF(A789="","",SUMIFS('Hakedis Fatura Detay'!$G$3:$G$1200,'Hakedis Fatura Detay'!$H$3:$H$1200,'DIVA Satislari'!AJ789,'Hakedis Fatura Detay'!$F$3:$F$1200,"Fiyat Farkı")+SUMIFS('Hakedis Fatura Detay'!$G$3:$G$1200,'Hakedis Fatura Detay'!$H$3:$H$1200,'DIVA Satislari'!AJ789,'Hakedis Fatura Detay'!$F$3:$F$1200,"Bundle"))</f>
        <v/>
      </c>
      <c r="R789" s="28">
        <f>IF(A789="","",I789-Q789)</f>
        <v/>
      </c>
      <c r="S789" s="26">
        <f>IF(A789="","",IF(LEFT(P789,7)="Bekleni","N/A - Henüz Ödenmemeli",IF(LEFT(P789,4)="RİSK","İNCELEME GEREKLİ - Süre Aşımı",IF(R789=0,"Doğru",IF(R789&gt;0,"EKSİK ÖDENMİŞ","FAZLA ÖDENMİŞ")))))</f>
        <v/>
      </c>
      <c r="T789" s="30">
        <f>IF(A789="","",IF(F789&lt;&gt;"Evet","İNCELEME GEREKLİ - Kampanya Tanımsız",IF(G789&lt;&gt;"Evet","İNCELEME GEREKLİ - Tarih Dışı Satış",IF(LEFT(P789,4)="RİSK","İNCELEME GEREKLİ - Hakediş Süresi Aşıldı",IF(OR(S789="EKSİK ÖDENMİŞ",S789="FAZLA ÖDENMİŞ"),"İNCELEME GEREKLİ - Tutar Uyuşmazlığı",IF(LEFT(P789,7)="Bekleni","Bekleniyor","Uygun"))))))</f>
        <v/>
      </c>
    </row>
    <row r="790">
      <c r="A790" s="26">
        <f>IF('DIVA Satislari'!I790="","",'DIVA Satislari'!I790)</f>
        <v/>
      </c>
      <c r="B790" s="26">
        <f>IF('DIVA Satislari'!I790="","",'DIVA Satislari'!R790)</f>
        <v/>
      </c>
      <c r="C790" s="26">
        <f>IF('DIVA Satislari'!I790="","",'DIVA Satislari'!M790)</f>
        <v/>
      </c>
      <c r="D790" s="27">
        <f>IF('DIVA Satislari'!I790="","",'DIVA Satislari'!H790)</f>
        <v/>
      </c>
      <c r="E790" s="26">
        <f>IF('DIVA Satislari'!I790="","",'DIVA Satislari'!O790)</f>
        <v/>
      </c>
      <c r="F790" s="26">
        <f>IF('DIVA Satislari'!I790="","",'DIVA Satislari'!AK790)</f>
        <v/>
      </c>
      <c r="G790" s="26">
        <f>IF('DIVA Satislari'!I790="","",'DIVA Satislari'!AO790)</f>
        <v/>
      </c>
      <c r="H790" s="27">
        <f>IF('DIVA Satislari'!I790="","",'DIVA Satislari'!AN790)</f>
        <v/>
      </c>
      <c r="I790" s="28">
        <f>IF('DIVA Satislari'!I790="","",'DIVA Satislari'!AQ790)</f>
        <v/>
      </c>
      <c r="J790" s="26">
        <f>IF('DIVA Satislari'!I790="","",'DIVA Satislari'!AR790)</f>
        <v/>
      </c>
      <c r="K790" s="26">
        <f>IF('DIVA Satislari'!I790="","",IFERROR(INDEX('E2E Nakliye Montaj'!$AS$3:$AS$1002,MATCH('DIVA Satislari'!AJ790,'E2E Nakliye Montaj'!$AM$3:$AM$1002,0)),"Eşleşme Yok"))</f>
        <v/>
      </c>
      <c r="L790" s="26">
        <f>IF('DIVA Satislari'!I790="","",IFERROR(INDEX('E2E Nakliye Montaj'!$AT$3:$AT$1002,MATCH('DIVA Satislari'!AJ790,'E2E Nakliye Montaj'!$AM$3:$AM$1002,0)),"Hayır"))</f>
        <v/>
      </c>
      <c r="M790" s="26">
        <f>IF('DIVA Satislari'!I790="","",IFERROR(INDEX('E2E Nakliye Montaj'!$AU$3:$AU$1002,MATCH('DIVA Satislari'!AJ790,'E2E Nakliye Montaj'!$AM$3:$AM$1002,0)),"Hayır"))</f>
        <v/>
      </c>
      <c r="N790" s="27">
        <f>IF('DIVA Satislari'!I790="","",IFERROR(INDEX('E2E Nakliye Montaj'!$AV$3:$AV$1002,MATCH('DIVA Satislari'!AJ790,'E2E Nakliye Montaj'!$AM$3:$AM$1002,0)),""))</f>
        <v/>
      </c>
      <c r="O790" s="26">
        <f>IF(OR(A790="",N790=""),"",IF(N790&lt;=H790,"Evet","HAYIR - RİSK"))</f>
        <v/>
      </c>
      <c r="P790" s="26">
        <f>IF(A790="","",IF(LEFT(J790,8)="Kural A ","Uygun - Hemen Ödenir (Yıl Sonu %75 Kontrolüne Tabi)",IF(OR(L790="Evet",M790="Evet"),IF(O790="Evet","Uygun","RİSK - Hakediş Süresi Aşıldı"),"Bekleniyor - Nakliye/Montaj Tamamlanmadı")))</f>
        <v/>
      </c>
      <c r="Q790" s="28">
        <f>IF(A790="","",SUMIFS('Hakedis Fatura Detay'!$G$3:$G$1200,'Hakedis Fatura Detay'!$H$3:$H$1200,'DIVA Satislari'!AJ790,'Hakedis Fatura Detay'!$F$3:$F$1200,"Fiyat Farkı")+SUMIFS('Hakedis Fatura Detay'!$G$3:$G$1200,'Hakedis Fatura Detay'!$H$3:$H$1200,'DIVA Satislari'!AJ790,'Hakedis Fatura Detay'!$F$3:$F$1200,"Bundle"))</f>
        <v/>
      </c>
      <c r="R790" s="28">
        <f>IF(A790="","",I790-Q790)</f>
        <v/>
      </c>
      <c r="S790" s="26">
        <f>IF(A790="","",IF(LEFT(P790,7)="Bekleni","N/A - Henüz Ödenmemeli",IF(LEFT(P790,4)="RİSK","İNCELEME GEREKLİ - Süre Aşımı",IF(R790=0,"Doğru",IF(R790&gt;0,"EKSİK ÖDENMİŞ","FAZLA ÖDENMİŞ")))))</f>
        <v/>
      </c>
      <c r="T790" s="30">
        <f>IF(A790="","",IF(F790&lt;&gt;"Evet","İNCELEME GEREKLİ - Kampanya Tanımsız",IF(G790&lt;&gt;"Evet","İNCELEME GEREKLİ - Tarih Dışı Satış",IF(LEFT(P790,4)="RİSK","İNCELEME GEREKLİ - Hakediş Süresi Aşıldı",IF(OR(S790="EKSİK ÖDENMİŞ",S790="FAZLA ÖDENMİŞ"),"İNCELEME GEREKLİ - Tutar Uyuşmazlığı",IF(LEFT(P790,7)="Bekleni","Bekleniyor","Uygun"))))))</f>
        <v/>
      </c>
    </row>
    <row r="791">
      <c r="A791" s="26">
        <f>IF('DIVA Satislari'!I791="","",'DIVA Satislari'!I791)</f>
        <v/>
      </c>
      <c r="B791" s="26">
        <f>IF('DIVA Satislari'!I791="","",'DIVA Satislari'!R791)</f>
        <v/>
      </c>
      <c r="C791" s="26">
        <f>IF('DIVA Satislari'!I791="","",'DIVA Satislari'!M791)</f>
        <v/>
      </c>
      <c r="D791" s="27">
        <f>IF('DIVA Satislari'!I791="","",'DIVA Satislari'!H791)</f>
        <v/>
      </c>
      <c r="E791" s="26">
        <f>IF('DIVA Satislari'!I791="","",'DIVA Satislari'!O791)</f>
        <v/>
      </c>
      <c r="F791" s="26">
        <f>IF('DIVA Satislari'!I791="","",'DIVA Satislari'!AK791)</f>
        <v/>
      </c>
      <c r="G791" s="26">
        <f>IF('DIVA Satislari'!I791="","",'DIVA Satislari'!AO791)</f>
        <v/>
      </c>
      <c r="H791" s="27">
        <f>IF('DIVA Satislari'!I791="","",'DIVA Satislari'!AN791)</f>
        <v/>
      </c>
      <c r="I791" s="28">
        <f>IF('DIVA Satislari'!I791="","",'DIVA Satislari'!AQ791)</f>
        <v/>
      </c>
      <c r="J791" s="26">
        <f>IF('DIVA Satislari'!I791="","",'DIVA Satislari'!AR791)</f>
        <v/>
      </c>
      <c r="K791" s="26">
        <f>IF('DIVA Satislari'!I791="","",IFERROR(INDEX('E2E Nakliye Montaj'!$AS$3:$AS$1002,MATCH('DIVA Satislari'!AJ791,'E2E Nakliye Montaj'!$AM$3:$AM$1002,0)),"Eşleşme Yok"))</f>
        <v/>
      </c>
      <c r="L791" s="26">
        <f>IF('DIVA Satislari'!I791="","",IFERROR(INDEX('E2E Nakliye Montaj'!$AT$3:$AT$1002,MATCH('DIVA Satislari'!AJ791,'E2E Nakliye Montaj'!$AM$3:$AM$1002,0)),"Hayır"))</f>
        <v/>
      </c>
      <c r="M791" s="26">
        <f>IF('DIVA Satislari'!I791="","",IFERROR(INDEX('E2E Nakliye Montaj'!$AU$3:$AU$1002,MATCH('DIVA Satislari'!AJ791,'E2E Nakliye Montaj'!$AM$3:$AM$1002,0)),"Hayır"))</f>
        <v/>
      </c>
      <c r="N791" s="27">
        <f>IF('DIVA Satislari'!I791="","",IFERROR(INDEX('E2E Nakliye Montaj'!$AV$3:$AV$1002,MATCH('DIVA Satislari'!AJ791,'E2E Nakliye Montaj'!$AM$3:$AM$1002,0)),""))</f>
        <v/>
      </c>
      <c r="O791" s="26">
        <f>IF(OR(A791="",N791=""),"",IF(N791&lt;=H791,"Evet","HAYIR - RİSK"))</f>
        <v/>
      </c>
      <c r="P791" s="26">
        <f>IF(A791="","",IF(LEFT(J791,8)="Kural A ","Uygun - Hemen Ödenir (Yıl Sonu %75 Kontrolüne Tabi)",IF(OR(L791="Evet",M791="Evet"),IF(O791="Evet","Uygun","RİSK - Hakediş Süresi Aşıldı"),"Bekleniyor - Nakliye/Montaj Tamamlanmadı")))</f>
        <v/>
      </c>
      <c r="Q791" s="28">
        <f>IF(A791="","",SUMIFS('Hakedis Fatura Detay'!$G$3:$G$1200,'Hakedis Fatura Detay'!$H$3:$H$1200,'DIVA Satislari'!AJ791,'Hakedis Fatura Detay'!$F$3:$F$1200,"Fiyat Farkı")+SUMIFS('Hakedis Fatura Detay'!$G$3:$G$1200,'Hakedis Fatura Detay'!$H$3:$H$1200,'DIVA Satislari'!AJ791,'Hakedis Fatura Detay'!$F$3:$F$1200,"Bundle"))</f>
        <v/>
      </c>
      <c r="R791" s="28">
        <f>IF(A791="","",I791-Q791)</f>
        <v/>
      </c>
      <c r="S791" s="26">
        <f>IF(A791="","",IF(LEFT(P791,7)="Bekleni","N/A - Henüz Ödenmemeli",IF(LEFT(P791,4)="RİSK","İNCELEME GEREKLİ - Süre Aşımı",IF(R791=0,"Doğru",IF(R791&gt;0,"EKSİK ÖDENMİŞ","FAZLA ÖDENMİŞ")))))</f>
        <v/>
      </c>
      <c r="T791" s="30">
        <f>IF(A791="","",IF(F791&lt;&gt;"Evet","İNCELEME GEREKLİ - Kampanya Tanımsız",IF(G791&lt;&gt;"Evet","İNCELEME GEREKLİ - Tarih Dışı Satış",IF(LEFT(P791,4)="RİSK","İNCELEME GEREKLİ - Hakediş Süresi Aşıldı",IF(OR(S791="EKSİK ÖDENMİŞ",S791="FAZLA ÖDENMİŞ"),"İNCELEME GEREKLİ - Tutar Uyuşmazlığı",IF(LEFT(P791,7)="Bekleni","Bekleniyor","Uygun"))))))</f>
        <v/>
      </c>
    </row>
    <row r="792">
      <c r="A792" s="26">
        <f>IF('DIVA Satislari'!I792="","",'DIVA Satislari'!I792)</f>
        <v/>
      </c>
      <c r="B792" s="26">
        <f>IF('DIVA Satislari'!I792="","",'DIVA Satislari'!R792)</f>
        <v/>
      </c>
      <c r="C792" s="26">
        <f>IF('DIVA Satislari'!I792="","",'DIVA Satislari'!M792)</f>
        <v/>
      </c>
      <c r="D792" s="27">
        <f>IF('DIVA Satislari'!I792="","",'DIVA Satislari'!H792)</f>
        <v/>
      </c>
      <c r="E792" s="26">
        <f>IF('DIVA Satislari'!I792="","",'DIVA Satislari'!O792)</f>
        <v/>
      </c>
      <c r="F792" s="26">
        <f>IF('DIVA Satislari'!I792="","",'DIVA Satislari'!AK792)</f>
        <v/>
      </c>
      <c r="G792" s="26">
        <f>IF('DIVA Satislari'!I792="","",'DIVA Satislari'!AO792)</f>
        <v/>
      </c>
      <c r="H792" s="27">
        <f>IF('DIVA Satislari'!I792="","",'DIVA Satislari'!AN792)</f>
        <v/>
      </c>
      <c r="I792" s="28">
        <f>IF('DIVA Satislari'!I792="","",'DIVA Satislari'!AQ792)</f>
        <v/>
      </c>
      <c r="J792" s="26">
        <f>IF('DIVA Satislari'!I792="","",'DIVA Satislari'!AR792)</f>
        <v/>
      </c>
      <c r="K792" s="26">
        <f>IF('DIVA Satislari'!I792="","",IFERROR(INDEX('E2E Nakliye Montaj'!$AS$3:$AS$1002,MATCH('DIVA Satislari'!AJ792,'E2E Nakliye Montaj'!$AM$3:$AM$1002,0)),"Eşleşme Yok"))</f>
        <v/>
      </c>
      <c r="L792" s="26">
        <f>IF('DIVA Satislari'!I792="","",IFERROR(INDEX('E2E Nakliye Montaj'!$AT$3:$AT$1002,MATCH('DIVA Satislari'!AJ792,'E2E Nakliye Montaj'!$AM$3:$AM$1002,0)),"Hayır"))</f>
        <v/>
      </c>
      <c r="M792" s="26">
        <f>IF('DIVA Satislari'!I792="","",IFERROR(INDEX('E2E Nakliye Montaj'!$AU$3:$AU$1002,MATCH('DIVA Satislari'!AJ792,'E2E Nakliye Montaj'!$AM$3:$AM$1002,0)),"Hayır"))</f>
        <v/>
      </c>
      <c r="N792" s="27">
        <f>IF('DIVA Satislari'!I792="","",IFERROR(INDEX('E2E Nakliye Montaj'!$AV$3:$AV$1002,MATCH('DIVA Satislari'!AJ792,'E2E Nakliye Montaj'!$AM$3:$AM$1002,0)),""))</f>
        <v/>
      </c>
      <c r="O792" s="26">
        <f>IF(OR(A792="",N792=""),"",IF(N792&lt;=H792,"Evet","HAYIR - RİSK"))</f>
        <v/>
      </c>
      <c r="P792" s="26">
        <f>IF(A792="","",IF(LEFT(J792,8)="Kural A ","Uygun - Hemen Ödenir (Yıl Sonu %75 Kontrolüne Tabi)",IF(OR(L792="Evet",M792="Evet"),IF(O792="Evet","Uygun","RİSK - Hakediş Süresi Aşıldı"),"Bekleniyor - Nakliye/Montaj Tamamlanmadı")))</f>
        <v/>
      </c>
      <c r="Q792" s="28">
        <f>IF(A792="","",SUMIFS('Hakedis Fatura Detay'!$G$3:$G$1200,'Hakedis Fatura Detay'!$H$3:$H$1200,'DIVA Satislari'!AJ792,'Hakedis Fatura Detay'!$F$3:$F$1200,"Fiyat Farkı")+SUMIFS('Hakedis Fatura Detay'!$G$3:$G$1200,'Hakedis Fatura Detay'!$H$3:$H$1200,'DIVA Satislari'!AJ792,'Hakedis Fatura Detay'!$F$3:$F$1200,"Bundle"))</f>
        <v/>
      </c>
      <c r="R792" s="28">
        <f>IF(A792="","",I792-Q792)</f>
        <v/>
      </c>
      <c r="S792" s="26">
        <f>IF(A792="","",IF(LEFT(P792,7)="Bekleni","N/A - Henüz Ödenmemeli",IF(LEFT(P792,4)="RİSK","İNCELEME GEREKLİ - Süre Aşımı",IF(R792=0,"Doğru",IF(R792&gt;0,"EKSİK ÖDENMİŞ","FAZLA ÖDENMİŞ")))))</f>
        <v/>
      </c>
      <c r="T792" s="30">
        <f>IF(A792="","",IF(F792&lt;&gt;"Evet","İNCELEME GEREKLİ - Kampanya Tanımsız",IF(G792&lt;&gt;"Evet","İNCELEME GEREKLİ - Tarih Dışı Satış",IF(LEFT(P792,4)="RİSK","İNCELEME GEREKLİ - Hakediş Süresi Aşıldı",IF(OR(S792="EKSİK ÖDENMİŞ",S792="FAZLA ÖDENMİŞ"),"İNCELEME GEREKLİ - Tutar Uyuşmazlığı",IF(LEFT(P792,7)="Bekleni","Bekleniyor","Uygun"))))))</f>
        <v/>
      </c>
    </row>
    <row r="793">
      <c r="A793" s="26">
        <f>IF('DIVA Satislari'!I793="","",'DIVA Satislari'!I793)</f>
        <v/>
      </c>
      <c r="B793" s="26">
        <f>IF('DIVA Satislari'!I793="","",'DIVA Satislari'!R793)</f>
        <v/>
      </c>
      <c r="C793" s="26">
        <f>IF('DIVA Satislari'!I793="","",'DIVA Satislari'!M793)</f>
        <v/>
      </c>
      <c r="D793" s="27">
        <f>IF('DIVA Satislari'!I793="","",'DIVA Satislari'!H793)</f>
        <v/>
      </c>
      <c r="E793" s="26">
        <f>IF('DIVA Satislari'!I793="","",'DIVA Satislari'!O793)</f>
        <v/>
      </c>
      <c r="F793" s="26">
        <f>IF('DIVA Satislari'!I793="","",'DIVA Satislari'!AK793)</f>
        <v/>
      </c>
      <c r="G793" s="26">
        <f>IF('DIVA Satislari'!I793="","",'DIVA Satislari'!AO793)</f>
        <v/>
      </c>
      <c r="H793" s="27">
        <f>IF('DIVA Satislari'!I793="","",'DIVA Satislari'!AN793)</f>
        <v/>
      </c>
      <c r="I793" s="28">
        <f>IF('DIVA Satislari'!I793="","",'DIVA Satislari'!AQ793)</f>
        <v/>
      </c>
      <c r="J793" s="26">
        <f>IF('DIVA Satislari'!I793="","",'DIVA Satislari'!AR793)</f>
        <v/>
      </c>
      <c r="K793" s="26">
        <f>IF('DIVA Satislari'!I793="","",IFERROR(INDEX('E2E Nakliye Montaj'!$AS$3:$AS$1002,MATCH('DIVA Satislari'!AJ793,'E2E Nakliye Montaj'!$AM$3:$AM$1002,0)),"Eşleşme Yok"))</f>
        <v/>
      </c>
      <c r="L793" s="26">
        <f>IF('DIVA Satislari'!I793="","",IFERROR(INDEX('E2E Nakliye Montaj'!$AT$3:$AT$1002,MATCH('DIVA Satislari'!AJ793,'E2E Nakliye Montaj'!$AM$3:$AM$1002,0)),"Hayır"))</f>
        <v/>
      </c>
      <c r="M793" s="26">
        <f>IF('DIVA Satislari'!I793="","",IFERROR(INDEX('E2E Nakliye Montaj'!$AU$3:$AU$1002,MATCH('DIVA Satislari'!AJ793,'E2E Nakliye Montaj'!$AM$3:$AM$1002,0)),"Hayır"))</f>
        <v/>
      </c>
      <c r="N793" s="27">
        <f>IF('DIVA Satislari'!I793="","",IFERROR(INDEX('E2E Nakliye Montaj'!$AV$3:$AV$1002,MATCH('DIVA Satislari'!AJ793,'E2E Nakliye Montaj'!$AM$3:$AM$1002,0)),""))</f>
        <v/>
      </c>
      <c r="O793" s="26">
        <f>IF(OR(A793="",N793=""),"",IF(N793&lt;=H793,"Evet","HAYIR - RİSK"))</f>
        <v/>
      </c>
      <c r="P793" s="26">
        <f>IF(A793="","",IF(LEFT(J793,8)="Kural A ","Uygun - Hemen Ödenir (Yıl Sonu %75 Kontrolüne Tabi)",IF(OR(L793="Evet",M793="Evet"),IF(O793="Evet","Uygun","RİSK - Hakediş Süresi Aşıldı"),"Bekleniyor - Nakliye/Montaj Tamamlanmadı")))</f>
        <v/>
      </c>
      <c r="Q793" s="28">
        <f>IF(A793="","",SUMIFS('Hakedis Fatura Detay'!$G$3:$G$1200,'Hakedis Fatura Detay'!$H$3:$H$1200,'DIVA Satislari'!AJ793,'Hakedis Fatura Detay'!$F$3:$F$1200,"Fiyat Farkı")+SUMIFS('Hakedis Fatura Detay'!$G$3:$G$1200,'Hakedis Fatura Detay'!$H$3:$H$1200,'DIVA Satislari'!AJ793,'Hakedis Fatura Detay'!$F$3:$F$1200,"Bundle"))</f>
        <v/>
      </c>
      <c r="R793" s="28">
        <f>IF(A793="","",I793-Q793)</f>
        <v/>
      </c>
      <c r="S793" s="26">
        <f>IF(A793="","",IF(LEFT(P793,7)="Bekleni","N/A - Henüz Ödenmemeli",IF(LEFT(P793,4)="RİSK","İNCELEME GEREKLİ - Süre Aşımı",IF(R793=0,"Doğru",IF(R793&gt;0,"EKSİK ÖDENMİŞ","FAZLA ÖDENMİŞ")))))</f>
        <v/>
      </c>
      <c r="T793" s="30">
        <f>IF(A793="","",IF(F793&lt;&gt;"Evet","İNCELEME GEREKLİ - Kampanya Tanımsız",IF(G793&lt;&gt;"Evet","İNCELEME GEREKLİ - Tarih Dışı Satış",IF(LEFT(P793,4)="RİSK","İNCELEME GEREKLİ - Hakediş Süresi Aşıldı",IF(OR(S793="EKSİK ÖDENMİŞ",S793="FAZLA ÖDENMİŞ"),"İNCELEME GEREKLİ - Tutar Uyuşmazlığı",IF(LEFT(P793,7)="Bekleni","Bekleniyor","Uygun"))))))</f>
        <v/>
      </c>
    </row>
    <row r="794">
      <c r="A794" s="26">
        <f>IF('DIVA Satislari'!I794="","",'DIVA Satislari'!I794)</f>
        <v/>
      </c>
      <c r="B794" s="26">
        <f>IF('DIVA Satislari'!I794="","",'DIVA Satislari'!R794)</f>
        <v/>
      </c>
      <c r="C794" s="26">
        <f>IF('DIVA Satislari'!I794="","",'DIVA Satislari'!M794)</f>
        <v/>
      </c>
      <c r="D794" s="27">
        <f>IF('DIVA Satislari'!I794="","",'DIVA Satislari'!H794)</f>
        <v/>
      </c>
      <c r="E794" s="26">
        <f>IF('DIVA Satislari'!I794="","",'DIVA Satislari'!O794)</f>
        <v/>
      </c>
      <c r="F794" s="26">
        <f>IF('DIVA Satislari'!I794="","",'DIVA Satislari'!AK794)</f>
        <v/>
      </c>
      <c r="G794" s="26">
        <f>IF('DIVA Satislari'!I794="","",'DIVA Satislari'!AO794)</f>
        <v/>
      </c>
      <c r="H794" s="27">
        <f>IF('DIVA Satislari'!I794="","",'DIVA Satislari'!AN794)</f>
        <v/>
      </c>
      <c r="I794" s="28">
        <f>IF('DIVA Satislari'!I794="","",'DIVA Satislari'!AQ794)</f>
        <v/>
      </c>
      <c r="J794" s="26">
        <f>IF('DIVA Satislari'!I794="","",'DIVA Satislari'!AR794)</f>
        <v/>
      </c>
      <c r="K794" s="26">
        <f>IF('DIVA Satislari'!I794="","",IFERROR(INDEX('E2E Nakliye Montaj'!$AS$3:$AS$1002,MATCH('DIVA Satislari'!AJ794,'E2E Nakliye Montaj'!$AM$3:$AM$1002,0)),"Eşleşme Yok"))</f>
        <v/>
      </c>
      <c r="L794" s="26">
        <f>IF('DIVA Satislari'!I794="","",IFERROR(INDEX('E2E Nakliye Montaj'!$AT$3:$AT$1002,MATCH('DIVA Satislari'!AJ794,'E2E Nakliye Montaj'!$AM$3:$AM$1002,0)),"Hayır"))</f>
        <v/>
      </c>
      <c r="M794" s="26">
        <f>IF('DIVA Satislari'!I794="","",IFERROR(INDEX('E2E Nakliye Montaj'!$AU$3:$AU$1002,MATCH('DIVA Satislari'!AJ794,'E2E Nakliye Montaj'!$AM$3:$AM$1002,0)),"Hayır"))</f>
        <v/>
      </c>
      <c r="N794" s="27">
        <f>IF('DIVA Satislari'!I794="","",IFERROR(INDEX('E2E Nakliye Montaj'!$AV$3:$AV$1002,MATCH('DIVA Satislari'!AJ794,'E2E Nakliye Montaj'!$AM$3:$AM$1002,0)),""))</f>
        <v/>
      </c>
      <c r="O794" s="26">
        <f>IF(OR(A794="",N794=""),"",IF(N794&lt;=H794,"Evet","HAYIR - RİSK"))</f>
        <v/>
      </c>
      <c r="P794" s="26">
        <f>IF(A794="","",IF(LEFT(J794,8)="Kural A ","Uygun - Hemen Ödenir (Yıl Sonu %75 Kontrolüne Tabi)",IF(OR(L794="Evet",M794="Evet"),IF(O794="Evet","Uygun","RİSK - Hakediş Süresi Aşıldı"),"Bekleniyor - Nakliye/Montaj Tamamlanmadı")))</f>
        <v/>
      </c>
      <c r="Q794" s="28">
        <f>IF(A794="","",SUMIFS('Hakedis Fatura Detay'!$G$3:$G$1200,'Hakedis Fatura Detay'!$H$3:$H$1200,'DIVA Satislari'!AJ794,'Hakedis Fatura Detay'!$F$3:$F$1200,"Fiyat Farkı")+SUMIFS('Hakedis Fatura Detay'!$G$3:$G$1200,'Hakedis Fatura Detay'!$H$3:$H$1200,'DIVA Satislari'!AJ794,'Hakedis Fatura Detay'!$F$3:$F$1200,"Bundle"))</f>
        <v/>
      </c>
      <c r="R794" s="28">
        <f>IF(A794="","",I794-Q794)</f>
        <v/>
      </c>
      <c r="S794" s="26">
        <f>IF(A794="","",IF(LEFT(P794,7)="Bekleni","N/A - Henüz Ödenmemeli",IF(LEFT(P794,4)="RİSK","İNCELEME GEREKLİ - Süre Aşımı",IF(R794=0,"Doğru",IF(R794&gt;0,"EKSİK ÖDENMİŞ","FAZLA ÖDENMİŞ")))))</f>
        <v/>
      </c>
      <c r="T794" s="30">
        <f>IF(A794="","",IF(F794&lt;&gt;"Evet","İNCELEME GEREKLİ - Kampanya Tanımsız",IF(G794&lt;&gt;"Evet","İNCELEME GEREKLİ - Tarih Dışı Satış",IF(LEFT(P794,4)="RİSK","İNCELEME GEREKLİ - Hakediş Süresi Aşıldı",IF(OR(S794="EKSİK ÖDENMİŞ",S794="FAZLA ÖDENMİŞ"),"İNCELEME GEREKLİ - Tutar Uyuşmazlığı",IF(LEFT(P794,7)="Bekleni","Bekleniyor","Uygun"))))))</f>
        <v/>
      </c>
    </row>
    <row r="795">
      <c r="A795" s="26">
        <f>IF('DIVA Satislari'!I795="","",'DIVA Satislari'!I795)</f>
        <v/>
      </c>
      <c r="B795" s="26">
        <f>IF('DIVA Satislari'!I795="","",'DIVA Satislari'!R795)</f>
        <v/>
      </c>
      <c r="C795" s="26">
        <f>IF('DIVA Satislari'!I795="","",'DIVA Satislari'!M795)</f>
        <v/>
      </c>
      <c r="D795" s="27">
        <f>IF('DIVA Satislari'!I795="","",'DIVA Satislari'!H795)</f>
        <v/>
      </c>
      <c r="E795" s="26">
        <f>IF('DIVA Satislari'!I795="","",'DIVA Satislari'!O795)</f>
        <v/>
      </c>
      <c r="F795" s="26">
        <f>IF('DIVA Satislari'!I795="","",'DIVA Satislari'!AK795)</f>
        <v/>
      </c>
      <c r="G795" s="26">
        <f>IF('DIVA Satislari'!I795="","",'DIVA Satislari'!AO795)</f>
        <v/>
      </c>
      <c r="H795" s="27">
        <f>IF('DIVA Satislari'!I795="","",'DIVA Satislari'!AN795)</f>
        <v/>
      </c>
      <c r="I795" s="28">
        <f>IF('DIVA Satislari'!I795="","",'DIVA Satislari'!AQ795)</f>
        <v/>
      </c>
      <c r="J795" s="26">
        <f>IF('DIVA Satislari'!I795="","",'DIVA Satislari'!AR795)</f>
        <v/>
      </c>
      <c r="K795" s="26">
        <f>IF('DIVA Satislari'!I795="","",IFERROR(INDEX('E2E Nakliye Montaj'!$AS$3:$AS$1002,MATCH('DIVA Satislari'!AJ795,'E2E Nakliye Montaj'!$AM$3:$AM$1002,0)),"Eşleşme Yok"))</f>
        <v/>
      </c>
      <c r="L795" s="26">
        <f>IF('DIVA Satislari'!I795="","",IFERROR(INDEX('E2E Nakliye Montaj'!$AT$3:$AT$1002,MATCH('DIVA Satislari'!AJ795,'E2E Nakliye Montaj'!$AM$3:$AM$1002,0)),"Hayır"))</f>
        <v/>
      </c>
      <c r="M795" s="26">
        <f>IF('DIVA Satislari'!I795="","",IFERROR(INDEX('E2E Nakliye Montaj'!$AU$3:$AU$1002,MATCH('DIVA Satislari'!AJ795,'E2E Nakliye Montaj'!$AM$3:$AM$1002,0)),"Hayır"))</f>
        <v/>
      </c>
      <c r="N795" s="27">
        <f>IF('DIVA Satislari'!I795="","",IFERROR(INDEX('E2E Nakliye Montaj'!$AV$3:$AV$1002,MATCH('DIVA Satislari'!AJ795,'E2E Nakliye Montaj'!$AM$3:$AM$1002,0)),""))</f>
        <v/>
      </c>
      <c r="O795" s="26">
        <f>IF(OR(A795="",N795=""),"",IF(N795&lt;=H795,"Evet","HAYIR - RİSK"))</f>
        <v/>
      </c>
      <c r="P795" s="26">
        <f>IF(A795="","",IF(LEFT(J795,8)="Kural A ","Uygun - Hemen Ödenir (Yıl Sonu %75 Kontrolüne Tabi)",IF(OR(L795="Evet",M795="Evet"),IF(O795="Evet","Uygun","RİSK - Hakediş Süresi Aşıldı"),"Bekleniyor - Nakliye/Montaj Tamamlanmadı")))</f>
        <v/>
      </c>
      <c r="Q795" s="28">
        <f>IF(A795="","",SUMIFS('Hakedis Fatura Detay'!$G$3:$G$1200,'Hakedis Fatura Detay'!$H$3:$H$1200,'DIVA Satislari'!AJ795,'Hakedis Fatura Detay'!$F$3:$F$1200,"Fiyat Farkı")+SUMIFS('Hakedis Fatura Detay'!$G$3:$G$1200,'Hakedis Fatura Detay'!$H$3:$H$1200,'DIVA Satislari'!AJ795,'Hakedis Fatura Detay'!$F$3:$F$1200,"Bundle"))</f>
        <v/>
      </c>
      <c r="R795" s="28">
        <f>IF(A795="","",I795-Q795)</f>
        <v/>
      </c>
      <c r="S795" s="26">
        <f>IF(A795="","",IF(LEFT(P795,7)="Bekleni","N/A - Henüz Ödenmemeli",IF(LEFT(P795,4)="RİSK","İNCELEME GEREKLİ - Süre Aşımı",IF(R795=0,"Doğru",IF(R795&gt;0,"EKSİK ÖDENMİŞ","FAZLA ÖDENMİŞ")))))</f>
        <v/>
      </c>
      <c r="T795" s="30">
        <f>IF(A795="","",IF(F795&lt;&gt;"Evet","İNCELEME GEREKLİ - Kampanya Tanımsız",IF(G795&lt;&gt;"Evet","İNCELEME GEREKLİ - Tarih Dışı Satış",IF(LEFT(P795,4)="RİSK","İNCELEME GEREKLİ - Hakediş Süresi Aşıldı",IF(OR(S795="EKSİK ÖDENMİŞ",S795="FAZLA ÖDENMİŞ"),"İNCELEME GEREKLİ - Tutar Uyuşmazlığı",IF(LEFT(P795,7)="Bekleni","Bekleniyor","Uygun"))))))</f>
        <v/>
      </c>
    </row>
    <row r="796">
      <c r="A796" s="26">
        <f>IF('DIVA Satislari'!I796="","",'DIVA Satislari'!I796)</f>
        <v/>
      </c>
      <c r="B796" s="26">
        <f>IF('DIVA Satislari'!I796="","",'DIVA Satislari'!R796)</f>
        <v/>
      </c>
      <c r="C796" s="26">
        <f>IF('DIVA Satislari'!I796="","",'DIVA Satislari'!M796)</f>
        <v/>
      </c>
      <c r="D796" s="27">
        <f>IF('DIVA Satislari'!I796="","",'DIVA Satislari'!H796)</f>
        <v/>
      </c>
      <c r="E796" s="26">
        <f>IF('DIVA Satislari'!I796="","",'DIVA Satislari'!O796)</f>
        <v/>
      </c>
      <c r="F796" s="26">
        <f>IF('DIVA Satislari'!I796="","",'DIVA Satislari'!AK796)</f>
        <v/>
      </c>
      <c r="G796" s="26">
        <f>IF('DIVA Satislari'!I796="","",'DIVA Satislari'!AO796)</f>
        <v/>
      </c>
      <c r="H796" s="27">
        <f>IF('DIVA Satislari'!I796="","",'DIVA Satislari'!AN796)</f>
        <v/>
      </c>
      <c r="I796" s="28">
        <f>IF('DIVA Satislari'!I796="","",'DIVA Satislari'!AQ796)</f>
        <v/>
      </c>
      <c r="J796" s="26">
        <f>IF('DIVA Satislari'!I796="","",'DIVA Satislari'!AR796)</f>
        <v/>
      </c>
      <c r="K796" s="26">
        <f>IF('DIVA Satislari'!I796="","",IFERROR(INDEX('E2E Nakliye Montaj'!$AS$3:$AS$1002,MATCH('DIVA Satislari'!AJ796,'E2E Nakliye Montaj'!$AM$3:$AM$1002,0)),"Eşleşme Yok"))</f>
        <v/>
      </c>
      <c r="L796" s="26">
        <f>IF('DIVA Satislari'!I796="","",IFERROR(INDEX('E2E Nakliye Montaj'!$AT$3:$AT$1002,MATCH('DIVA Satislari'!AJ796,'E2E Nakliye Montaj'!$AM$3:$AM$1002,0)),"Hayır"))</f>
        <v/>
      </c>
      <c r="M796" s="26">
        <f>IF('DIVA Satislari'!I796="","",IFERROR(INDEX('E2E Nakliye Montaj'!$AU$3:$AU$1002,MATCH('DIVA Satislari'!AJ796,'E2E Nakliye Montaj'!$AM$3:$AM$1002,0)),"Hayır"))</f>
        <v/>
      </c>
      <c r="N796" s="27">
        <f>IF('DIVA Satislari'!I796="","",IFERROR(INDEX('E2E Nakliye Montaj'!$AV$3:$AV$1002,MATCH('DIVA Satislari'!AJ796,'E2E Nakliye Montaj'!$AM$3:$AM$1002,0)),""))</f>
        <v/>
      </c>
      <c r="O796" s="26">
        <f>IF(OR(A796="",N796=""),"",IF(N796&lt;=H796,"Evet","HAYIR - RİSK"))</f>
        <v/>
      </c>
      <c r="P796" s="26">
        <f>IF(A796="","",IF(LEFT(J796,8)="Kural A ","Uygun - Hemen Ödenir (Yıl Sonu %75 Kontrolüne Tabi)",IF(OR(L796="Evet",M796="Evet"),IF(O796="Evet","Uygun","RİSK - Hakediş Süresi Aşıldı"),"Bekleniyor - Nakliye/Montaj Tamamlanmadı")))</f>
        <v/>
      </c>
      <c r="Q796" s="28">
        <f>IF(A796="","",SUMIFS('Hakedis Fatura Detay'!$G$3:$G$1200,'Hakedis Fatura Detay'!$H$3:$H$1200,'DIVA Satislari'!AJ796,'Hakedis Fatura Detay'!$F$3:$F$1200,"Fiyat Farkı")+SUMIFS('Hakedis Fatura Detay'!$G$3:$G$1200,'Hakedis Fatura Detay'!$H$3:$H$1200,'DIVA Satislari'!AJ796,'Hakedis Fatura Detay'!$F$3:$F$1200,"Bundle"))</f>
        <v/>
      </c>
      <c r="R796" s="28">
        <f>IF(A796="","",I796-Q796)</f>
        <v/>
      </c>
      <c r="S796" s="26">
        <f>IF(A796="","",IF(LEFT(P796,7)="Bekleni","N/A - Henüz Ödenmemeli",IF(LEFT(P796,4)="RİSK","İNCELEME GEREKLİ - Süre Aşımı",IF(R796=0,"Doğru",IF(R796&gt;0,"EKSİK ÖDENMİŞ","FAZLA ÖDENMİŞ")))))</f>
        <v/>
      </c>
      <c r="T796" s="30">
        <f>IF(A796="","",IF(F796&lt;&gt;"Evet","İNCELEME GEREKLİ - Kampanya Tanımsız",IF(G796&lt;&gt;"Evet","İNCELEME GEREKLİ - Tarih Dışı Satış",IF(LEFT(P796,4)="RİSK","İNCELEME GEREKLİ - Hakediş Süresi Aşıldı",IF(OR(S796="EKSİK ÖDENMİŞ",S796="FAZLA ÖDENMİŞ"),"İNCELEME GEREKLİ - Tutar Uyuşmazlığı",IF(LEFT(P796,7)="Bekleni","Bekleniyor","Uygun"))))))</f>
        <v/>
      </c>
    </row>
    <row r="797">
      <c r="A797" s="26">
        <f>IF('DIVA Satislari'!I797="","",'DIVA Satislari'!I797)</f>
        <v/>
      </c>
      <c r="B797" s="26">
        <f>IF('DIVA Satislari'!I797="","",'DIVA Satislari'!R797)</f>
        <v/>
      </c>
      <c r="C797" s="26">
        <f>IF('DIVA Satislari'!I797="","",'DIVA Satislari'!M797)</f>
        <v/>
      </c>
      <c r="D797" s="27">
        <f>IF('DIVA Satislari'!I797="","",'DIVA Satislari'!H797)</f>
        <v/>
      </c>
      <c r="E797" s="26">
        <f>IF('DIVA Satislari'!I797="","",'DIVA Satislari'!O797)</f>
        <v/>
      </c>
      <c r="F797" s="26">
        <f>IF('DIVA Satislari'!I797="","",'DIVA Satislari'!AK797)</f>
        <v/>
      </c>
      <c r="G797" s="26">
        <f>IF('DIVA Satislari'!I797="","",'DIVA Satislari'!AO797)</f>
        <v/>
      </c>
      <c r="H797" s="27">
        <f>IF('DIVA Satislari'!I797="","",'DIVA Satislari'!AN797)</f>
        <v/>
      </c>
      <c r="I797" s="28">
        <f>IF('DIVA Satislari'!I797="","",'DIVA Satislari'!AQ797)</f>
        <v/>
      </c>
      <c r="J797" s="26">
        <f>IF('DIVA Satislari'!I797="","",'DIVA Satislari'!AR797)</f>
        <v/>
      </c>
      <c r="K797" s="26">
        <f>IF('DIVA Satislari'!I797="","",IFERROR(INDEX('E2E Nakliye Montaj'!$AS$3:$AS$1002,MATCH('DIVA Satislari'!AJ797,'E2E Nakliye Montaj'!$AM$3:$AM$1002,0)),"Eşleşme Yok"))</f>
        <v/>
      </c>
      <c r="L797" s="26">
        <f>IF('DIVA Satislari'!I797="","",IFERROR(INDEX('E2E Nakliye Montaj'!$AT$3:$AT$1002,MATCH('DIVA Satislari'!AJ797,'E2E Nakliye Montaj'!$AM$3:$AM$1002,0)),"Hayır"))</f>
        <v/>
      </c>
      <c r="M797" s="26">
        <f>IF('DIVA Satislari'!I797="","",IFERROR(INDEX('E2E Nakliye Montaj'!$AU$3:$AU$1002,MATCH('DIVA Satislari'!AJ797,'E2E Nakliye Montaj'!$AM$3:$AM$1002,0)),"Hayır"))</f>
        <v/>
      </c>
      <c r="N797" s="27">
        <f>IF('DIVA Satislari'!I797="","",IFERROR(INDEX('E2E Nakliye Montaj'!$AV$3:$AV$1002,MATCH('DIVA Satislari'!AJ797,'E2E Nakliye Montaj'!$AM$3:$AM$1002,0)),""))</f>
        <v/>
      </c>
      <c r="O797" s="26">
        <f>IF(OR(A797="",N797=""),"",IF(N797&lt;=H797,"Evet","HAYIR - RİSK"))</f>
        <v/>
      </c>
      <c r="P797" s="26">
        <f>IF(A797="","",IF(LEFT(J797,8)="Kural A ","Uygun - Hemen Ödenir (Yıl Sonu %75 Kontrolüne Tabi)",IF(OR(L797="Evet",M797="Evet"),IF(O797="Evet","Uygun","RİSK - Hakediş Süresi Aşıldı"),"Bekleniyor - Nakliye/Montaj Tamamlanmadı")))</f>
        <v/>
      </c>
      <c r="Q797" s="28">
        <f>IF(A797="","",SUMIFS('Hakedis Fatura Detay'!$G$3:$G$1200,'Hakedis Fatura Detay'!$H$3:$H$1200,'DIVA Satislari'!AJ797,'Hakedis Fatura Detay'!$F$3:$F$1200,"Fiyat Farkı")+SUMIFS('Hakedis Fatura Detay'!$G$3:$G$1200,'Hakedis Fatura Detay'!$H$3:$H$1200,'DIVA Satislari'!AJ797,'Hakedis Fatura Detay'!$F$3:$F$1200,"Bundle"))</f>
        <v/>
      </c>
      <c r="R797" s="28">
        <f>IF(A797="","",I797-Q797)</f>
        <v/>
      </c>
      <c r="S797" s="26">
        <f>IF(A797="","",IF(LEFT(P797,7)="Bekleni","N/A - Henüz Ödenmemeli",IF(LEFT(P797,4)="RİSK","İNCELEME GEREKLİ - Süre Aşımı",IF(R797=0,"Doğru",IF(R797&gt;0,"EKSİK ÖDENMİŞ","FAZLA ÖDENMİŞ")))))</f>
        <v/>
      </c>
      <c r="T797" s="30">
        <f>IF(A797="","",IF(F797&lt;&gt;"Evet","İNCELEME GEREKLİ - Kampanya Tanımsız",IF(G797&lt;&gt;"Evet","İNCELEME GEREKLİ - Tarih Dışı Satış",IF(LEFT(P797,4)="RİSK","İNCELEME GEREKLİ - Hakediş Süresi Aşıldı",IF(OR(S797="EKSİK ÖDENMİŞ",S797="FAZLA ÖDENMİŞ"),"İNCELEME GEREKLİ - Tutar Uyuşmazlığı",IF(LEFT(P797,7)="Bekleni","Bekleniyor","Uygun"))))))</f>
        <v/>
      </c>
    </row>
    <row r="798">
      <c r="A798" s="26">
        <f>IF('DIVA Satislari'!I798="","",'DIVA Satislari'!I798)</f>
        <v/>
      </c>
      <c r="B798" s="26">
        <f>IF('DIVA Satislari'!I798="","",'DIVA Satislari'!R798)</f>
        <v/>
      </c>
      <c r="C798" s="26">
        <f>IF('DIVA Satislari'!I798="","",'DIVA Satislari'!M798)</f>
        <v/>
      </c>
      <c r="D798" s="27">
        <f>IF('DIVA Satislari'!I798="","",'DIVA Satislari'!H798)</f>
        <v/>
      </c>
      <c r="E798" s="26">
        <f>IF('DIVA Satislari'!I798="","",'DIVA Satislari'!O798)</f>
        <v/>
      </c>
      <c r="F798" s="26">
        <f>IF('DIVA Satislari'!I798="","",'DIVA Satislari'!AK798)</f>
        <v/>
      </c>
      <c r="G798" s="26">
        <f>IF('DIVA Satislari'!I798="","",'DIVA Satislari'!AO798)</f>
        <v/>
      </c>
      <c r="H798" s="27">
        <f>IF('DIVA Satislari'!I798="","",'DIVA Satislari'!AN798)</f>
        <v/>
      </c>
      <c r="I798" s="28">
        <f>IF('DIVA Satislari'!I798="","",'DIVA Satislari'!AQ798)</f>
        <v/>
      </c>
      <c r="J798" s="26">
        <f>IF('DIVA Satislari'!I798="","",'DIVA Satislari'!AR798)</f>
        <v/>
      </c>
      <c r="K798" s="26">
        <f>IF('DIVA Satislari'!I798="","",IFERROR(INDEX('E2E Nakliye Montaj'!$AS$3:$AS$1002,MATCH('DIVA Satislari'!AJ798,'E2E Nakliye Montaj'!$AM$3:$AM$1002,0)),"Eşleşme Yok"))</f>
        <v/>
      </c>
      <c r="L798" s="26">
        <f>IF('DIVA Satislari'!I798="","",IFERROR(INDEX('E2E Nakliye Montaj'!$AT$3:$AT$1002,MATCH('DIVA Satislari'!AJ798,'E2E Nakliye Montaj'!$AM$3:$AM$1002,0)),"Hayır"))</f>
        <v/>
      </c>
      <c r="M798" s="26">
        <f>IF('DIVA Satislari'!I798="","",IFERROR(INDEX('E2E Nakliye Montaj'!$AU$3:$AU$1002,MATCH('DIVA Satislari'!AJ798,'E2E Nakliye Montaj'!$AM$3:$AM$1002,0)),"Hayır"))</f>
        <v/>
      </c>
      <c r="N798" s="27">
        <f>IF('DIVA Satislari'!I798="","",IFERROR(INDEX('E2E Nakliye Montaj'!$AV$3:$AV$1002,MATCH('DIVA Satislari'!AJ798,'E2E Nakliye Montaj'!$AM$3:$AM$1002,0)),""))</f>
        <v/>
      </c>
      <c r="O798" s="26">
        <f>IF(OR(A798="",N798=""),"",IF(N798&lt;=H798,"Evet","HAYIR - RİSK"))</f>
        <v/>
      </c>
      <c r="P798" s="26">
        <f>IF(A798="","",IF(LEFT(J798,8)="Kural A ","Uygun - Hemen Ödenir (Yıl Sonu %75 Kontrolüne Tabi)",IF(OR(L798="Evet",M798="Evet"),IF(O798="Evet","Uygun","RİSK - Hakediş Süresi Aşıldı"),"Bekleniyor - Nakliye/Montaj Tamamlanmadı")))</f>
        <v/>
      </c>
      <c r="Q798" s="28">
        <f>IF(A798="","",SUMIFS('Hakedis Fatura Detay'!$G$3:$G$1200,'Hakedis Fatura Detay'!$H$3:$H$1200,'DIVA Satislari'!AJ798,'Hakedis Fatura Detay'!$F$3:$F$1200,"Fiyat Farkı")+SUMIFS('Hakedis Fatura Detay'!$G$3:$G$1200,'Hakedis Fatura Detay'!$H$3:$H$1200,'DIVA Satislari'!AJ798,'Hakedis Fatura Detay'!$F$3:$F$1200,"Bundle"))</f>
        <v/>
      </c>
      <c r="R798" s="28">
        <f>IF(A798="","",I798-Q798)</f>
        <v/>
      </c>
      <c r="S798" s="26">
        <f>IF(A798="","",IF(LEFT(P798,7)="Bekleni","N/A - Henüz Ödenmemeli",IF(LEFT(P798,4)="RİSK","İNCELEME GEREKLİ - Süre Aşımı",IF(R798=0,"Doğru",IF(R798&gt;0,"EKSİK ÖDENMİŞ","FAZLA ÖDENMİŞ")))))</f>
        <v/>
      </c>
      <c r="T798" s="30">
        <f>IF(A798="","",IF(F798&lt;&gt;"Evet","İNCELEME GEREKLİ - Kampanya Tanımsız",IF(G798&lt;&gt;"Evet","İNCELEME GEREKLİ - Tarih Dışı Satış",IF(LEFT(P798,4)="RİSK","İNCELEME GEREKLİ - Hakediş Süresi Aşıldı",IF(OR(S798="EKSİK ÖDENMİŞ",S798="FAZLA ÖDENMİŞ"),"İNCELEME GEREKLİ - Tutar Uyuşmazlığı",IF(LEFT(P798,7)="Bekleni","Bekleniyor","Uygun"))))))</f>
        <v/>
      </c>
    </row>
    <row r="799">
      <c r="A799" s="26">
        <f>IF('DIVA Satislari'!I799="","",'DIVA Satislari'!I799)</f>
        <v/>
      </c>
      <c r="B799" s="26">
        <f>IF('DIVA Satislari'!I799="","",'DIVA Satislari'!R799)</f>
        <v/>
      </c>
      <c r="C799" s="26">
        <f>IF('DIVA Satislari'!I799="","",'DIVA Satislari'!M799)</f>
        <v/>
      </c>
      <c r="D799" s="27">
        <f>IF('DIVA Satislari'!I799="","",'DIVA Satislari'!H799)</f>
        <v/>
      </c>
      <c r="E799" s="26">
        <f>IF('DIVA Satislari'!I799="","",'DIVA Satislari'!O799)</f>
        <v/>
      </c>
      <c r="F799" s="26">
        <f>IF('DIVA Satislari'!I799="","",'DIVA Satislari'!AK799)</f>
        <v/>
      </c>
      <c r="G799" s="26">
        <f>IF('DIVA Satislari'!I799="","",'DIVA Satislari'!AO799)</f>
        <v/>
      </c>
      <c r="H799" s="27">
        <f>IF('DIVA Satislari'!I799="","",'DIVA Satislari'!AN799)</f>
        <v/>
      </c>
      <c r="I799" s="28">
        <f>IF('DIVA Satislari'!I799="","",'DIVA Satislari'!AQ799)</f>
        <v/>
      </c>
      <c r="J799" s="26">
        <f>IF('DIVA Satislari'!I799="","",'DIVA Satislari'!AR799)</f>
        <v/>
      </c>
      <c r="K799" s="26">
        <f>IF('DIVA Satislari'!I799="","",IFERROR(INDEX('E2E Nakliye Montaj'!$AS$3:$AS$1002,MATCH('DIVA Satislari'!AJ799,'E2E Nakliye Montaj'!$AM$3:$AM$1002,0)),"Eşleşme Yok"))</f>
        <v/>
      </c>
      <c r="L799" s="26">
        <f>IF('DIVA Satislari'!I799="","",IFERROR(INDEX('E2E Nakliye Montaj'!$AT$3:$AT$1002,MATCH('DIVA Satislari'!AJ799,'E2E Nakliye Montaj'!$AM$3:$AM$1002,0)),"Hayır"))</f>
        <v/>
      </c>
      <c r="M799" s="26">
        <f>IF('DIVA Satislari'!I799="","",IFERROR(INDEX('E2E Nakliye Montaj'!$AU$3:$AU$1002,MATCH('DIVA Satislari'!AJ799,'E2E Nakliye Montaj'!$AM$3:$AM$1002,0)),"Hayır"))</f>
        <v/>
      </c>
      <c r="N799" s="27">
        <f>IF('DIVA Satislari'!I799="","",IFERROR(INDEX('E2E Nakliye Montaj'!$AV$3:$AV$1002,MATCH('DIVA Satislari'!AJ799,'E2E Nakliye Montaj'!$AM$3:$AM$1002,0)),""))</f>
        <v/>
      </c>
      <c r="O799" s="26">
        <f>IF(OR(A799="",N799=""),"",IF(N799&lt;=H799,"Evet","HAYIR - RİSK"))</f>
        <v/>
      </c>
      <c r="P799" s="26">
        <f>IF(A799="","",IF(LEFT(J799,8)="Kural A ","Uygun - Hemen Ödenir (Yıl Sonu %75 Kontrolüne Tabi)",IF(OR(L799="Evet",M799="Evet"),IF(O799="Evet","Uygun","RİSK - Hakediş Süresi Aşıldı"),"Bekleniyor - Nakliye/Montaj Tamamlanmadı")))</f>
        <v/>
      </c>
      <c r="Q799" s="28">
        <f>IF(A799="","",SUMIFS('Hakedis Fatura Detay'!$G$3:$G$1200,'Hakedis Fatura Detay'!$H$3:$H$1200,'DIVA Satislari'!AJ799,'Hakedis Fatura Detay'!$F$3:$F$1200,"Fiyat Farkı")+SUMIFS('Hakedis Fatura Detay'!$G$3:$G$1200,'Hakedis Fatura Detay'!$H$3:$H$1200,'DIVA Satislari'!AJ799,'Hakedis Fatura Detay'!$F$3:$F$1200,"Bundle"))</f>
        <v/>
      </c>
      <c r="R799" s="28">
        <f>IF(A799="","",I799-Q799)</f>
        <v/>
      </c>
      <c r="S799" s="26">
        <f>IF(A799="","",IF(LEFT(P799,7)="Bekleni","N/A - Henüz Ödenmemeli",IF(LEFT(P799,4)="RİSK","İNCELEME GEREKLİ - Süre Aşımı",IF(R799=0,"Doğru",IF(R799&gt;0,"EKSİK ÖDENMİŞ","FAZLA ÖDENMİŞ")))))</f>
        <v/>
      </c>
      <c r="T799" s="30">
        <f>IF(A799="","",IF(F799&lt;&gt;"Evet","İNCELEME GEREKLİ - Kampanya Tanımsız",IF(G799&lt;&gt;"Evet","İNCELEME GEREKLİ - Tarih Dışı Satış",IF(LEFT(P799,4)="RİSK","İNCELEME GEREKLİ - Hakediş Süresi Aşıldı",IF(OR(S799="EKSİK ÖDENMİŞ",S799="FAZLA ÖDENMİŞ"),"İNCELEME GEREKLİ - Tutar Uyuşmazlığı",IF(LEFT(P799,7)="Bekleni","Bekleniyor","Uygun"))))))</f>
        <v/>
      </c>
    </row>
    <row r="800">
      <c r="A800" s="26">
        <f>IF('DIVA Satislari'!I800="","",'DIVA Satislari'!I800)</f>
        <v/>
      </c>
      <c r="B800" s="26">
        <f>IF('DIVA Satislari'!I800="","",'DIVA Satislari'!R800)</f>
        <v/>
      </c>
      <c r="C800" s="26">
        <f>IF('DIVA Satislari'!I800="","",'DIVA Satislari'!M800)</f>
        <v/>
      </c>
      <c r="D800" s="27">
        <f>IF('DIVA Satislari'!I800="","",'DIVA Satislari'!H800)</f>
        <v/>
      </c>
      <c r="E800" s="26">
        <f>IF('DIVA Satislari'!I800="","",'DIVA Satislari'!O800)</f>
        <v/>
      </c>
      <c r="F800" s="26">
        <f>IF('DIVA Satislari'!I800="","",'DIVA Satislari'!AK800)</f>
        <v/>
      </c>
      <c r="G800" s="26">
        <f>IF('DIVA Satislari'!I800="","",'DIVA Satislari'!AO800)</f>
        <v/>
      </c>
      <c r="H800" s="27">
        <f>IF('DIVA Satislari'!I800="","",'DIVA Satislari'!AN800)</f>
        <v/>
      </c>
      <c r="I800" s="28">
        <f>IF('DIVA Satislari'!I800="","",'DIVA Satislari'!AQ800)</f>
        <v/>
      </c>
      <c r="J800" s="26">
        <f>IF('DIVA Satislari'!I800="","",'DIVA Satislari'!AR800)</f>
        <v/>
      </c>
      <c r="K800" s="26">
        <f>IF('DIVA Satislari'!I800="","",IFERROR(INDEX('E2E Nakliye Montaj'!$AS$3:$AS$1002,MATCH('DIVA Satislari'!AJ800,'E2E Nakliye Montaj'!$AM$3:$AM$1002,0)),"Eşleşme Yok"))</f>
        <v/>
      </c>
      <c r="L800" s="26">
        <f>IF('DIVA Satislari'!I800="","",IFERROR(INDEX('E2E Nakliye Montaj'!$AT$3:$AT$1002,MATCH('DIVA Satislari'!AJ800,'E2E Nakliye Montaj'!$AM$3:$AM$1002,0)),"Hayır"))</f>
        <v/>
      </c>
      <c r="M800" s="26">
        <f>IF('DIVA Satislari'!I800="","",IFERROR(INDEX('E2E Nakliye Montaj'!$AU$3:$AU$1002,MATCH('DIVA Satislari'!AJ800,'E2E Nakliye Montaj'!$AM$3:$AM$1002,0)),"Hayır"))</f>
        <v/>
      </c>
      <c r="N800" s="27">
        <f>IF('DIVA Satislari'!I800="","",IFERROR(INDEX('E2E Nakliye Montaj'!$AV$3:$AV$1002,MATCH('DIVA Satislari'!AJ800,'E2E Nakliye Montaj'!$AM$3:$AM$1002,0)),""))</f>
        <v/>
      </c>
      <c r="O800" s="26">
        <f>IF(OR(A800="",N800=""),"",IF(N800&lt;=H800,"Evet","HAYIR - RİSK"))</f>
        <v/>
      </c>
      <c r="P800" s="26">
        <f>IF(A800="","",IF(LEFT(J800,8)="Kural A ","Uygun - Hemen Ödenir (Yıl Sonu %75 Kontrolüne Tabi)",IF(OR(L800="Evet",M800="Evet"),IF(O800="Evet","Uygun","RİSK - Hakediş Süresi Aşıldı"),"Bekleniyor - Nakliye/Montaj Tamamlanmadı")))</f>
        <v/>
      </c>
      <c r="Q800" s="28">
        <f>IF(A800="","",SUMIFS('Hakedis Fatura Detay'!$G$3:$G$1200,'Hakedis Fatura Detay'!$H$3:$H$1200,'DIVA Satislari'!AJ800,'Hakedis Fatura Detay'!$F$3:$F$1200,"Fiyat Farkı")+SUMIFS('Hakedis Fatura Detay'!$G$3:$G$1200,'Hakedis Fatura Detay'!$H$3:$H$1200,'DIVA Satislari'!AJ800,'Hakedis Fatura Detay'!$F$3:$F$1200,"Bundle"))</f>
        <v/>
      </c>
      <c r="R800" s="28">
        <f>IF(A800="","",I800-Q800)</f>
        <v/>
      </c>
      <c r="S800" s="26">
        <f>IF(A800="","",IF(LEFT(P800,7)="Bekleni","N/A - Henüz Ödenmemeli",IF(LEFT(P800,4)="RİSK","İNCELEME GEREKLİ - Süre Aşımı",IF(R800=0,"Doğru",IF(R800&gt;0,"EKSİK ÖDENMİŞ","FAZLA ÖDENMİŞ")))))</f>
        <v/>
      </c>
      <c r="T800" s="30">
        <f>IF(A800="","",IF(F800&lt;&gt;"Evet","İNCELEME GEREKLİ - Kampanya Tanımsız",IF(G800&lt;&gt;"Evet","İNCELEME GEREKLİ - Tarih Dışı Satış",IF(LEFT(P800,4)="RİSK","İNCELEME GEREKLİ - Hakediş Süresi Aşıldı",IF(OR(S800="EKSİK ÖDENMİŞ",S800="FAZLA ÖDENMİŞ"),"İNCELEME GEREKLİ - Tutar Uyuşmazlığı",IF(LEFT(P800,7)="Bekleni","Bekleniyor","Uygun"))))))</f>
        <v/>
      </c>
    </row>
    <row r="801">
      <c r="A801" s="26">
        <f>IF('DIVA Satislari'!I801="","",'DIVA Satislari'!I801)</f>
        <v/>
      </c>
      <c r="B801" s="26">
        <f>IF('DIVA Satislari'!I801="","",'DIVA Satislari'!R801)</f>
        <v/>
      </c>
      <c r="C801" s="26">
        <f>IF('DIVA Satislari'!I801="","",'DIVA Satislari'!M801)</f>
        <v/>
      </c>
      <c r="D801" s="27">
        <f>IF('DIVA Satislari'!I801="","",'DIVA Satislari'!H801)</f>
        <v/>
      </c>
      <c r="E801" s="26">
        <f>IF('DIVA Satislari'!I801="","",'DIVA Satislari'!O801)</f>
        <v/>
      </c>
      <c r="F801" s="26">
        <f>IF('DIVA Satislari'!I801="","",'DIVA Satislari'!AK801)</f>
        <v/>
      </c>
      <c r="G801" s="26">
        <f>IF('DIVA Satislari'!I801="","",'DIVA Satislari'!AO801)</f>
        <v/>
      </c>
      <c r="H801" s="27">
        <f>IF('DIVA Satislari'!I801="","",'DIVA Satislari'!AN801)</f>
        <v/>
      </c>
      <c r="I801" s="28">
        <f>IF('DIVA Satislari'!I801="","",'DIVA Satislari'!AQ801)</f>
        <v/>
      </c>
      <c r="J801" s="26">
        <f>IF('DIVA Satislari'!I801="","",'DIVA Satislari'!AR801)</f>
        <v/>
      </c>
      <c r="K801" s="26">
        <f>IF('DIVA Satislari'!I801="","",IFERROR(INDEX('E2E Nakliye Montaj'!$AS$3:$AS$1002,MATCH('DIVA Satislari'!AJ801,'E2E Nakliye Montaj'!$AM$3:$AM$1002,0)),"Eşleşme Yok"))</f>
        <v/>
      </c>
      <c r="L801" s="26">
        <f>IF('DIVA Satislari'!I801="","",IFERROR(INDEX('E2E Nakliye Montaj'!$AT$3:$AT$1002,MATCH('DIVA Satislari'!AJ801,'E2E Nakliye Montaj'!$AM$3:$AM$1002,0)),"Hayır"))</f>
        <v/>
      </c>
      <c r="M801" s="26">
        <f>IF('DIVA Satislari'!I801="","",IFERROR(INDEX('E2E Nakliye Montaj'!$AU$3:$AU$1002,MATCH('DIVA Satislari'!AJ801,'E2E Nakliye Montaj'!$AM$3:$AM$1002,0)),"Hayır"))</f>
        <v/>
      </c>
      <c r="N801" s="27">
        <f>IF('DIVA Satislari'!I801="","",IFERROR(INDEX('E2E Nakliye Montaj'!$AV$3:$AV$1002,MATCH('DIVA Satislari'!AJ801,'E2E Nakliye Montaj'!$AM$3:$AM$1002,0)),""))</f>
        <v/>
      </c>
      <c r="O801" s="26">
        <f>IF(OR(A801="",N801=""),"",IF(N801&lt;=H801,"Evet","HAYIR - RİSK"))</f>
        <v/>
      </c>
      <c r="P801" s="26">
        <f>IF(A801="","",IF(LEFT(J801,8)="Kural A ","Uygun - Hemen Ödenir (Yıl Sonu %75 Kontrolüne Tabi)",IF(OR(L801="Evet",M801="Evet"),IF(O801="Evet","Uygun","RİSK - Hakediş Süresi Aşıldı"),"Bekleniyor - Nakliye/Montaj Tamamlanmadı")))</f>
        <v/>
      </c>
      <c r="Q801" s="28">
        <f>IF(A801="","",SUMIFS('Hakedis Fatura Detay'!$G$3:$G$1200,'Hakedis Fatura Detay'!$H$3:$H$1200,'DIVA Satislari'!AJ801,'Hakedis Fatura Detay'!$F$3:$F$1200,"Fiyat Farkı")+SUMIFS('Hakedis Fatura Detay'!$G$3:$G$1200,'Hakedis Fatura Detay'!$H$3:$H$1200,'DIVA Satislari'!AJ801,'Hakedis Fatura Detay'!$F$3:$F$1200,"Bundle"))</f>
        <v/>
      </c>
      <c r="R801" s="28">
        <f>IF(A801="","",I801-Q801)</f>
        <v/>
      </c>
      <c r="S801" s="26">
        <f>IF(A801="","",IF(LEFT(P801,7)="Bekleni","N/A - Henüz Ödenmemeli",IF(LEFT(P801,4)="RİSK","İNCELEME GEREKLİ - Süre Aşımı",IF(R801=0,"Doğru",IF(R801&gt;0,"EKSİK ÖDENMİŞ","FAZLA ÖDENMİŞ")))))</f>
        <v/>
      </c>
      <c r="T801" s="30">
        <f>IF(A801="","",IF(F801&lt;&gt;"Evet","İNCELEME GEREKLİ - Kampanya Tanımsız",IF(G801&lt;&gt;"Evet","İNCELEME GEREKLİ - Tarih Dışı Satış",IF(LEFT(P801,4)="RİSK","İNCELEME GEREKLİ - Hakediş Süresi Aşıldı",IF(OR(S801="EKSİK ÖDENMİŞ",S801="FAZLA ÖDENMİŞ"),"İNCELEME GEREKLİ - Tutar Uyuşmazlığı",IF(LEFT(P801,7)="Bekleni","Bekleniyor","Uygun"))))))</f>
        <v/>
      </c>
    </row>
    <row r="802">
      <c r="A802" s="26">
        <f>IF('DIVA Satislari'!I802="","",'DIVA Satislari'!I802)</f>
        <v/>
      </c>
      <c r="B802" s="26">
        <f>IF('DIVA Satislari'!I802="","",'DIVA Satislari'!R802)</f>
        <v/>
      </c>
      <c r="C802" s="26">
        <f>IF('DIVA Satislari'!I802="","",'DIVA Satislari'!M802)</f>
        <v/>
      </c>
      <c r="D802" s="27">
        <f>IF('DIVA Satislari'!I802="","",'DIVA Satislari'!H802)</f>
        <v/>
      </c>
      <c r="E802" s="26">
        <f>IF('DIVA Satislari'!I802="","",'DIVA Satislari'!O802)</f>
        <v/>
      </c>
      <c r="F802" s="26">
        <f>IF('DIVA Satislari'!I802="","",'DIVA Satislari'!AK802)</f>
        <v/>
      </c>
      <c r="G802" s="26">
        <f>IF('DIVA Satislari'!I802="","",'DIVA Satislari'!AO802)</f>
        <v/>
      </c>
      <c r="H802" s="27">
        <f>IF('DIVA Satislari'!I802="","",'DIVA Satislari'!AN802)</f>
        <v/>
      </c>
      <c r="I802" s="28">
        <f>IF('DIVA Satislari'!I802="","",'DIVA Satislari'!AQ802)</f>
        <v/>
      </c>
      <c r="J802" s="26">
        <f>IF('DIVA Satislari'!I802="","",'DIVA Satislari'!AR802)</f>
        <v/>
      </c>
      <c r="K802" s="26">
        <f>IF('DIVA Satislari'!I802="","",IFERROR(INDEX('E2E Nakliye Montaj'!$AS$3:$AS$1002,MATCH('DIVA Satislari'!AJ802,'E2E Nakliye Montaj'!$AM$3:$AM$1002,0)),"Eşleşme Yok"))</f>
        <v/>
      </c>
      <c r="L802" s="26">
        <f>IF('DIVA Satislari'!I802="","",IFERROR(INDEX('E2E Nakliye Montaj'!$AT$3:$AT$1002,MATCH('DIVA Satislari'!AJ802,'E2E Nakliye Montaj'!$AM$3:$AM$1002,0)),"Hayır"))</f>
        <v/>
      </c>
      <c r="M802" s="26">
        <f>IF('DIVA Satislari'!I802="","",IFERROR(INDEX('E2E Nakliye Montaj'!$AU$3:$AU$1002,MATCH('DIVA Satislari'!AJ802,'E2E Nakliye Montaj'!$AM$3:$AM$1002,0)),"Hayır"))</f>
        <v/>
      </c>
      <c r="N802" s="27">
        <f>IF('DIVA Satislari'!I802="","",IFERROR(INDEX('E2E Nakliye Montaj'!$AV$3:$AV$1002,MATCH('DIVA Satislari'!AJ802,'E2E Nakliye Montaj'!$AM$3:$AM$1002,0)),""))</f>
        <v/>
      </c>
      <c r="O802" s="26">
        <f>IF(OR(A802="",N802=""),"",IF(N802&lt;=H802,"Evet","HAYIR - RİSK"))</f>
        <v/>
      </c>
      <c r="P802" s="26">
        <f>IF(A802="","",IF(LEFT(J802,8)="Kural A ","Uygun - Hemen Ödenir (Yıl Sonu %75 Kontrolüne Tabi)",IF(OR(L802="Evet",M802="Evet"),IF(O802="Evet","Uygun","RİSK - Hakediş Süresi Aşıldı"),"Bekleniyor - Nakliye/Montaj Tamamlanmadı")))</f>
        <v/>
      </c>
      <c r="Q802" s="28">
        <f>IF(A802="","",SUMIFS('Hakedis Fatura Detay'!$G$3:$G$1200,'Hakedis Fatura Detay'!$H$3:$H$1200,'DIVA Satislari'!AJ802,'Hakedis Fatura Detay'!$F$3:$F$1200,"Fiyat Farkı")+SUMIFS('Hakedis Fatura Detay'!$G$3:$G$1200,'Hakedis Fatura Detay'!$H$3:$H$1200,'DIVA Satislari'!AJ802,'Hakedis Fatura Detay'!$F$3:$F$1200,"Bundle"))</f>
        <v/>
      </c>
      <c r="R802" s="28">
        <f>IF(A802="","",I802-Q802)</f>
        <v/>
      </c>
      <c r="S802" s="26">
        <f>IF(A802="","",IF(LEFT(P802,7)="Bekleni","N/A - Henüz Ödenmemeli",IF(LEFT(P802,4)="RİSK","İNCELEME GEREKLİ - Süre Aşımı",IF(R802=0,"Doğru",IF(R802&gt;0,"EKSİK ÖDENMİŞ","FAZLA ÖDENMİŞ")))))</f>
        <v/>
      </c>
      <c r="T802" s="30">
        <f>IF(A802="","",IF(F802&lt;&gt;"Evet","İNCELEME GEREKLİ - Kampanya Tanımsız",IF(G802&lt;&gt;"Evet","İNCELEME GEREKLİ - Tarih Dışı Satış",IF(LEFT(P802,4)="RİSK","İNCELEME GEREKLİ - Hakediş Süresi Aşıldı",IF(OR(S802="EKSİK ÖDENMİŞ",S802="FAZLA ÖDENMİŞ"),"İNCELEME GEREKLİ - Tutar Uyuşmazlığı",IF(LEFT(P802,7)="Bekleni","Bekleniyor","Uygun"))))))</f>
        <v/>
      </c>
    </row>
    <row r="803">
      <c r="A803" s="26">
        <f>IF('DIVA Satislari'!I803="","",'DIVA Satislari'!I803)</f>
        <v/>
      </c>
      <c r="B803" s="26">
        <f>IF('DIVA Satislari'!I803="","",'DIVA Satislari'!R803)</f>
        <v/>
      </c>
      <c r="C803" s="26">
        <f>IF('DIVA Satislari'!I803="","",'DIVA Satislari'!M803)</f>
        <v/>
      </c>
      <c r="D803" s="27">
        <f>IF('DIVA Satislari'!I803="","",'DIVA Satislari'!H803)</f>
        <v/>
      </c>
      <c r="E803" s="26">
        <f>IF('DIVA Satislari'!I803="","",'DIVA Satislari'!O803)</f>
        <v/>
      </c>
      <c r="F803" s="26">
        <f>IF('DIVA Satislari'!I803="","",'DIVA Satislari'!AK803)</f>
        <v/>
      </c>
      <c r="G803" s="26">
        <f>IF('DIVA Satislari'!I803="","",'DIVA Satislari'!AO803)</f>
        <v/>
      </c>
      <c r="H803" s="27">
        <f>IF('DIVA Satislari'!I803="","",'DIVA Satislari'!AN803)</f>
        <v/>
      </c>
      <c r="I803" s="28">
        <f>IF('DIVA Satislari'!I803="","",'DIVA Satislari'!AQ803)</f>
        <v/>
      </c>
      <c r="J803" s="26">
        <f>IF('DIVA Satislari'!I803="","",'DIVA Satislari'!AR803)</f>
        <v/>
      </c>
      <c r="K803" s="26">
        <f>IF('DIVA Satislari'!I803="","",IFERROR(INDEX('E2E Nakliye Montaj'!$AS$3:$AS$1002,MATCH('DIVA Satislari'!AJ803,'E2E Nakliye Montaj'!$AM$3:$AM$1002,0)),"Eşleşme Yok"))</f>
        <v/>
      </c>
      <c r="L803" s="26">
        <f>IF('DIVA Satislari'!I803="","",IFERROR(INDEX('E2E Nakliye Montaj'!$AT$3:$AT$1002,MATCH('DIVA Satislari'!AJ803,'E2E Nakliye Montaj'!$AM$3:$AM$1002,0)),"Hayır"))</f>
        <v/>
      </c>
      <c r="M803" s="26">
        <f>IF('DIVA Satislari'!I803="","",IFERROR(INDEX('E2E Nakliye Montaj'!$AU$3:$AU$1002,MATCH('DIVA Satislari'!AJ803,'E2E Nakliye Montaj'!$AM$3:$AM$1002,0)),"Hayır"))</f>
        <v/>
      </c>
      <c r="N803" s="27">
        <f>IF('DIVA Satislari'!I803="","",IFERROR(INDEX('E2E Nakliye Montaj'!$AV$3:$AV$1002,MATCH('DIVA Satislari'!AJ803,'E2E Nakliye Montaj'!$AM$3:$AM$1002,0)),""))</f>
        <v/>
      </c>
      <c r="O803" s="26">
        <f>IF(OR(A803="",N803=""),"",IF(N803&lt;=H803,"Evet","HAYIR - RİSK"))</f>
        <v/>
      </c>
      <c r="P803" s="26">
        <f>IF(A803="","",IF(LEFT(J803,8)="Kural A ","Uygun - Hemen Ödenir (Yıl Sonu %75 Kontrolüne Tabi)",IF(OR(L803="Evet",M803="Evet"),IF(O803="Evet","Uygun","RİSK - Hakediş Süresi Aşıldı"),"Bekleniyor - Nakliye/Montaj Tamamlanmadı")))</f>
        <v/>
      </c>
      <c r="Q803" s="28">
        <f>IF(A803="","",SUMIFS('Hakedis Fatura Detay'!$G$3:$G$1200,'Hakedis Fatura Detay'!$H$3:$H$1200,'DIVA Satislari'!AJ803,'Hakedis Fatura Detay'!$F$3:$F$1200,"Fiyat Farkı")+SUMIFS('Hakedis Fatura Detay'!$G$3:$G$1200,'Hakedis Fatura Detay'!$H$3:$H$1200,'DIVA Satislari'!AJ803,'Hakedis Fatura Detay'!$F$3:$F$1200,"Bundle"))</f>
        <v/>
      </c>
      <c r="R803" s="28">
        <f>IF(A803="","",I803-Q803)</f>
        <v/>
      </c>
      <c r="S803" s="26">
        <f>IF(A803="","",IF(LEFT(P803,7)="Bekleni","N/A - Henüz Ödenmemeli",IF(LEFT(P803,4)="RİSK","İNCELEME GEREKLİ - Süre Aşımı",IF(R803=0,"Doğru",IF(R803&gt;0,"EKSİK ÖDENMİŞ","FAZLA ÖDENMİŞ")))))</f>
        <v/>
      </c>
      <c r="T803" s="30">
        <f>IF(A803="","",IF(F803&lt;&gt;"Evet","İNCELEME GEREKLİ - Kampanya Tanımsız",IF(G803&lt;&gt;"Evet","İNCELEME GEREKLİ - Tarih Dışı Satış",IF(LEFT(P803,4)="RİSK","İNCELEME GEREKLİ - Hakediş Süresi Aşıldı",IF(OR(S803="EKSİK ÖDENMİŞ",S803="FAZLA ÖDENMİŞ"),"İNCELEME GEREKLİ - Tutar Uyuşmazlığı",IF(LEFT(P803,7)="Bekleni","Bekleniyor","Uygun"))))))</f>
        <v/>
      </c>
    </row>
    <row r="804">
      <c r="A804" s="26">
        <f>IF('DIVA Satislari'!I804="","",'DIVA Satislari'!I804)</f>
        <v/>
      </c>
      <c r="B804" s="26">
        <f>IF('DIVA Satislari'!I804="","",'DIVA Satislari'!R804)</f>
        <v/>
      </c>
      <c r="C804" s="26">
        <f>IF('DIVA Satislari'!I804="","",'DIVA Satislari'!M804)</f>
        <v/>
      </c>
      <c r="D804" s="27">
        <f>IF('DIVA Satislari'!I804="","",'DIVA Satislari'!H804)</f>
        <v/>
      </c>
      <c r="E804" s="26">
        <f>IF('DIVA Satislari'!I804="","",'DIVA Satislari'!O804)</f>
        <v/>
      </c>
      <c r="F804" s="26">
        <f>IF('DIVA Satislari'!I804="","",'DIVA Satislari'!AK804)</f>
        <v/>
      </c>
      <c r="G804" s="26">
        <f>IF('DIVA Satislari'!I804="","",'DIVA Satislari'!AO804)</f>
        <v/>
      </c>
      <c r="H804" s="27">
        <f>IF('DIVA Satislari'!I804="","",'DIVA Satislari'!AN804)</f>
        <v/>
      </c>
      <c r="I804" s="28">
        <f>IF('DIVA Satislari'!I804="","",'DIVA Satislari'!AQ804)</f>
        <v/>
      </c>
      <c r="J804" s="26">
        <f>IF('DIVA Satislari'!I804="","",'DIVA Satislari'!AR804)</f>
        <v/>
      </c>
      <c r="K804" s="26">
        <f>IF('DIVA Satislari'!I804="","",IFERROR(INDEX('E2E Nakliye Montaj'!$AS$3:$AS$1002,MATCH('DIVA Satislari'!AJ804,'E2E Nakliye Montaj'!$AM$3:$AM$1002,0)),"Eşleşme Yok"))</f>
        <v/>
      </c>
      <c r="L804" s="26">
        <f>IF('DIVA Satislari'!I804="","",IFERROR(INDEX('E2E Nakliye Montaj'!$AT$3:$AT$1002,MATCH('DIVA Satislari'!AJ804,'E2E Nakliye Montaj'!$AM$3:$AM$1002,0)),"Hayır"))</f>
        <v/>
      </c>
      <c r="M804" s="26">
        <f>IF('DIVA Satislari'!I804="","",IFERROR(INDEX('E2E Nakliye Montaj'!$AU$3:$AU$1002,MATCH('DIVA Satislari'!AJ804,'E2E Nakliye Montaj'!$AM$3:$AM$1002,0)),"Hayır"))</f>
        <v/>
      </c>
      <c r="N804" s="27">
        <f>IF('DIVA Satislari'!I804="","",IFERROR(INDEX('E2E Nakliye Montaj'!$AV$3:$AV$1002,MATCH('DIVA Satislari'!AJ804,'E2E Nakliye Montaj'!$AM$3:$AM$1002,0)),""))</f>
        <v/>
      </c>
      <c r="O804" s="26">
        <f>IF(OR(A804="",N804=""),"",IF(N804&lt;=H804,"Evet","HAYIR - RİSK"))</f>
        <v/>
      </c>
      <c r="P804" s="26">
        <f>IF(A804="","",IF(LEFT(J804,8)="Kural A ","Uygun - Hemen Ödenir (Yıl Sonu %75 Kontrolüne Tabi)",IF(OR(L804="Evet",M804="Evet"),IF(O804="Evet","Uygun","RİSK - Hakediş Süresi Aşıldı"),"Bekleniyor - Nakliye/Montaj Tamamlanmadı")))</f>
        <v/>
      </c>
      <c r="Q804" s="28">
        <f>IF(A804="","",SUMIFS('Hakedis Fatura Detay'!$G$3:$G$1200,'Hakedis Fatura Detay'!$H$3:$H$1200,'DIVA Satislari'!AJ804,'Hakedis Fatura Detay'!$F$3:$F$1200,"Fiyat Farkı")+SUMIFS('Hakedis Fatura Detay'!$G$3:$G$1200,'Hakedis Fatura Detay'!$H$3:$H$1200,'DIVA Satislari'!AJ804,'Hakedis Fatura Detay'!$F$3:$F$1200,"Bundle"))</f>
        <v/>
      </c>
      <c r="R804" s="28">
        <f>IF(A804="","",I804-Q804)</f>
        <v/>
      </c>
      <c r="S804" s="26">
        <f>IF(A804="","",IF(LEFT(P804,7)="Bekleni","N/A - Henüz Ödenmemeli",IF(LEFT(P804,4)="RİSK","İNCELEME GEREKLİ - Süre Aşımı",IF(R804=0,"Doğru",IF(R804&gt;0,"EKSİK ÖDENMİŞ","FAZLA ÖDENMİŞ")))))</f>
        <v/>
      </c>
      <c r="T804" s="30">
        <f>IF(A804="","",IF(F804&lt;&gt;"Evet","İNCELEME GEREKLİ - Kampanya Tanımsız",IF(G804&lt;&gt;"Evet","İNCELEME GEREKLİ - Tarih Dışı Satış",IF(LEFT(P804,4)="RİSK","İNCELEME GEREKLİ - Hakediş Süresi Aşıldı",IF(OR(S804="EKSİK ÖDENMİŞ",S804="FAZLA ÖDENMİŞ"),"İNCELEME GEREKLİ - Tutar Uyuşmazlığı",IF(LEFT(P804,7)="Bekleni","Bekleniyor","Uygun"))))))</f>
        <v/>
      </c>
    </row>
    <row r="805">
      <c r="A805" s="26">
        <f>IF('DIVA Satislari'!I805="","",'DIVA Satislari'!I805)</f>
        <v/>
      </c>
      <c r="B805" s="26">
        <f>IF('DIVA Satislari'!I805="","",'DIVA Satislari'!R805)</f>
        <v/>
      </c>
      <c r="C805" s="26">
        <f>IF('DIVA Satislari'!I805="","",'DIVA Satislari'!M805)</f>
        <v/>
      </c>
      <c r="D805" s="27">
        <f>IF('DIVA Satislari'!I805="","",'DIVA Satislari'!H805)</f>
        <v/>
      </c>
      <c r="E805" s="26">
        <f>IF('DIVA Satislari'!I805="","",'DIVA Satislari'!O805)</f>
        <v/>
      </c>
      <c r="F805" s="26">
        <f>IF('DIVA Satislari'!I805="","",'DIVA Satislari'!AK805)</f>
        <v/>
      </c>
      <c r="G805" s="26">
        <f>IF('DIVA Satislari'!I805="","",'DIVA Satislari'!AO805)</f>
        <v/>
      </c>
      <c r="H805" s="27">
        <f>IF('DIVA Satislari'!I805="","",'DIVA Satislari'!AN805)</f>
        <v/>
      </c>
      <c r="I805" s="28">
        <f>IF('DIVA Satislari'!I805="","",'DIVA Satislari'!AQ805)</f>
        <v/>
      </c>
      <c r="J805" s="26">
        <f>IF('DIVA Satislari'!I805="","",'DIVA Satislari'!AR805)</f>
        <v/>
      </c>
      <c r="K805" s="26">
        <f>IF('DIVA Satislari'!I805="","",IFERROR(INDEX('E2E Nakliye Montaj'!$AS$3:$AS$1002,MATCH('DIVA Satislari'!AJ805,'E2E Nakliye Montaj'!$AM$3:$AM$1002,0)),"Eşleşme Yok"))</f>
        <v/>
      </c>
      <c r="L805" s="26">
        <f>IF('DIVA Satislari'!I805="","",IFERROR(INDEX('E2E Nakliye Montaj'!$AT$3:$AT$1002,MATCH('DIVA Satislari'!AJ805,'E2E Nakliye Montaj'!$AM$3:$AM$1002,0)),"Hayır"))</f>
        <v/>
      </c>
      <c r="M805" s="26">
        <f>IF('DIVA Satislari'!I805="","",IFERROR(INDEX('E2E Nakliye Montaj'!$AU$3:$AU$1002,MATCH('DIVA Satislari'!AJ805,'E2E Nakliye Montaj'!$AM$3:$AM$1002,0)),"Hayır"))</f>
        <v/>
      </c>
      <c r="N805" s="27">
        <f>IF('DIVA Satislari'!I805="","",IFERROR(INDEX('E2E Nakliye Montaj'!$AV$3:$AV$1002,MATCH('DIVA Satislari'!AJ805,'E2E Nakliye Montaj'!$AM$3:$AM$1002,0)),""))</f>
        <v/>
      </c>
      <c r="O805" s="26">
        <f>IF(OR(A805="",N805=""),"",IF(N805&lt;=H805,"Evet","HAYIR - RİSK"))</f>
        <v/>
      </c>
      <c r="P805" s="26">
        <f>IF(A805="","",IF(LEFT(J805,8)="Kural A ","Uygun - Hemen Ödenir (Yıl Sonu %75 Kontrolüne Tabi)",IF(OR(L805="Evet",M805="Evet"),IF(O805="Evet","Uygun","RİSK - Hakediş Süresi Aşıldı"),"Bekleniyor - Nakliye/Montaj Tamamlanmadı")))</f>
        <v/>
      </c>
      <c r="Q805" s="28">
        <f>IF(A805="","",SUMIFS('Hakedis Fatura Detay'!$G$3:$G$1200,'Hakedis Fatura Detay'!$H$3:$H$1200,'DIVA Satislari'!AJ805,'Hakedis Fatura Detay'!$F$3:$F$1200,"Fiyat Farkı")+SUMIFS('Hakedis Fatura Detay'!$G$3:$G$1200,'Hakedis Fatura Detay'!$H$3:$H$1200,'DIVA Satislari'!AJ805,'Hakedis Fatura Detay'!$F$3:$F$1200,"Bundle"))</f>
        <v/>
      </c>
      <c r="R805" s="28">
        <f>IF(A805="","",I805-Q805)</f>
        <v/>
      </c>
      <c r="S805" s="26">
        <f>IF(A805="","",IF(LEFT(P805,7)="Bekleni","N/A - Henüz Ödenmemeli",IF(LEFT(P805,4)="RİSK","İNCELEME GEREKLİ - Süre Aşımı",IF(R805=0,"Doğru",IF(R805&gt;0,"EKSİK ÖDENMİŞ","FAZLA ÖDENMİŞ")))))</f>
        <v/>
      </c>
      <c r="T805" s="30">
        <f>IF(A805="","",IF(F805&lt;&gt;"Evet","İNCELEME GEREKLİ - Kampanya Tanımsız",IF(G805&lt;&gt;"Evet","İNCELEME GEREKLİ - Tarih Dışı Satış",IF(LEFT(P805,4)="RİSK","İNCELEME GEREKLİ - Hakediş Süresi Aşıldı",IF(OR(S805="EKSİK ÖDENMİŞ",S805="FAZLA ÖDENMİŞ"),"İNCELEME GEREKLİ - Tutar Uyuşmazlığı",IF(LEFT(P805,7)="Bekleni","Bekleniyor","Uygun"))))))</f>
        <v/>
      </c>
    </row>
    <row r="806">
      <c r="A806" s="26">
        <f>IF('DIVA Satislari'!I806="","",'DIVA Satislari'!I806)</f>
        <v/>
      </c>
      <c r="B806" s="26">
        <f>IF('DIVA Satislari'!I806="","",'DIVA Satislari'!R806)</f>
        <v/>
      </c>
      <c r="C806" s="26">
        <f>IF('DIVA Satislari'!I806="","",'DIVA Satislari'!M806)</f>
        <v/>
      </c>
      <c r="D806" s="27">
        <f>IF('DIVA Satislari'!I806="","",'DIVA Satislari'!H806)</f>
        <v/>
      </c>
      <c r="E806" s="26">
        <f>IF('DIVA Satislari'!I806="","",'DIVA Satislari'!O806)</f>
        <v/>
      </c>
      <c r="F806" s="26">
        <f>IF('DIVA Satislari'!I806="","",'DIVA Satislari'!AK806)</f>
        <v/>
      </c>
      <c r="G806" s="26">
        <f>IF('DIVA Satislari'!I806="","",'DIVA Satislari'!AO806)</f>
        <v/>
      </c>
      <c r="H806" s="27">
        <f>IF('DIVA Satislari'!I806="","",'DIVA Satislari'!AN806)</f>
        <v/>
      </c>
      <c r="I806" s="28">
        <f>IF('DIVA Satislari'!I806="","",'DIVA Satislari'!AQ806)</f>
        <v/>
      </c>
      <c r="J806" s="26">
        <f>IF('DIVA Satislari'!I806="","",'DIVA Satislari'!AR806)</f>
        <v/>
      </c>
      <c r="K806" s="26">
        <f>IF('DIVA Satislari'!I806="","",IFERROR(INDEX('E2E Nakliye Montaj'!$AS$3:$AS$1002,MATCH('DIVA Satislari'!AJ806,'E2E Nakliye Montaj'!$AM$3:$AM$1002,0)),"Eşleşme Yok"))</f>
        <v/>
      </c>
      <c r="L806" s="26">
        <f>IF('DIVA Satislari'!I806="","",IFERROR(INDEX('E2E Nakliye Montaj'!$AT$3:$AT$1002,MATCH('DIVA Satislari'!AJ806,'E2E Nakliye Montaj'!$AM$3:$AM$1002,0)),"Hayır"))</f>
        <v/>
      </c>
      <c r="M806" s="26">
        <f>IF('DIVA Satislari'!I806="","",IFERROR(INDEX('E2E Nakliye Montaj'!$AU$3:$AU$1002,MATCH('DIVA Satislari'!AJ806,'E2E Nakliye Montaj'!$AM$3:$AM$1002,0)),"Hayır"))</f>
        <v/>
      </c>
      <c r="N806" s="27">
        <f>IF('DIVA Satislari'!I806="","",IFERROR(INDEX('E2E Nakliye Montaj'!$AV$3:$AV$1002,MATCH('DIVA Satislari'!AJ806,'E2E Nakliye Montaj'!$AM$3:$AM$1002,0)),""))</f>
        <v/>
      </c>
      <c r="O806" s="26">
        <f>IF(OR(A806="",N806=""),"",IF(N806&lt;=H806,"Evet","HAYIR - RİSK"))</f>
        <v/>
      </c>
      <c r="P806" s="26">
        <f>IF(A806="","",IF(LEFT(J806,8)="Kural A ","Uygun - Hemen Ödenir (Yıl Sonu %75 Kontrolüne Tabi)",IF(OR(L806="Evet",M806="Evet"),IF(O806="Evet","Uygun","RİSK - Hakediş Süresi Aşıldı"),"Bekleniyor - Nakliye/Montaj Tamamlanmadı")))</f>
        <v/>
      </c>
      <c r="Q806" s="28">
        <f>IF(A806="","",SUMIFS('Hakedis Fatura Detay'!$G$3:$G$1200,'Hakedis Fatura Detay'!$H$3:$H$1200,'DIVA Satislari'!AJ806,'Hakedis Fatura Detay'!$F$3:$F$1200,"Fiyat Farkı")+SUMIFS('Hakedis Fatura Detay'!$G$3:$G$1200,'Hakedis Fatura Detay'!$H$3:$H$1200,'DIVA Satislari'!AJ806,'Hakedis Fatura Detay'!$F$3:$F$1200,"Bundle"))</f>
        <v/>
      </c>
      <c r="R806" s="28">
        <f>IF(A806="","",I806-Q806)</f>
        <v/>
      </c>
      <c r="S806" s="26">
        <f>IF(A806="","",IF(LEFT(P806,7)="Bekleni","N/A - Henüz Ödenmemeli",IF(LEFT(P806,4)="RİSK","İNCELEME GEREKLİ - Süre Aşımı",IF(R806=0,"Doğru",IF(R806&gt;0,"EKSİK ÖDENMİŞ","FAZLA ÖDENMİŞ")))))</f>
        <v/>
      </c>
      <c r="T806" s="30">
        <f>IF(A806="","",IF(F806&lt;&gt;"Evet","İNCELEME GEREKLİ - Kampanya Tanımsız",IF(G806&lt;&gt;"Evet","İNCELEME GEREKLİ - Tarih Dışı Satış",IF(LEFT(P806,4)="RİSK","İNCELEME GEREKLİ - Hakediş Süresi Aşıldı",IF(OR(S806="EKSİK ÖDENMİŞ",S806="FAZLA ÖDENMİŞ"),"İNCELEME GEREKLİ - Tutar Uyuşmazlığı",IF(LEFT(P806,7)="Bekleni","Bekleniyor","Uygun"))))))</f>
        <v/>
      </c>
    </row>
    <row r="807">
      <c r="A807" s="26">
        <f>IF('DIVA Satislari'!I807="","",'DIVA Satislari'!I807)</f>
        <v/>
      </c>
      <c r="B807" s="26">
        <f>IF('DIVA Satislari'!I807="","",'DIVA Satislari'!R807)</f>
        <v/>
      </c>
      <c r="C807" s="26">
        <f>IF('DIVA Satislari'!I807="","",'DIVA Satislari'!M807)</f>
        <v/>
      </c>
      <c r="D807" s="27">
        <f>IF('DIVA Satislari'!I807="","",'DIVA Satislari'!H807)</f>
        <v/>
      </c>
      <c r="E807" s="26">
        <f>IF('DIVA Satislari'!I807="","",'DIVA Satislari'!O807)</f>
        <v/>
      </c>
      <c r="F807" s="26">
        <f>IF('DIVA Satislari'!I807="","",'DIVA Satislari'!AK807)</f>
        <v/>
      </c>
      <c r="G807" s="26">
        <f>IF('DIVA Satislari'!I807="","",'DIVA Satislari'!AO807)</f>
        <v/>
      </c>
      <c r="H807" s="27">
        <f>IF('DIVA Satislari'!I807="","",'DIVA Satislari'!AN807)</f>
        <v/>
      </c>
      <c r="I807" s="28">
        <f>IF('DIVA Satislari'!I807="","",'DIVA Satislari'!AQ807)</f>
        <v/>
      </c>
      <c r="J807" s="26">
        <f>IF('DIVA Satislari'!I807="","",'DIVA Satislari'!AR807)</f>
        <v/>
      </c>
      <c r="K807" s="26">
        <f>IF('DIVA Satislari'!I807="","",IFERROR(INDEX('E2E Nakliye Montaj'!$AS$3:$AS$1002,MATCH('DIVA Satislari'!AJ807,'E2E Nakliye Montaj'!$AM$3:$AM$1002,0)),"Eşleşme Yok"))</f>
        <v/>
      </c>
      <c r="L807" s="26">
        <f>IF('DIVA Satislari'!I807="","",IFERROR(INDEX('E2E Nakliye Montaj'!$AT$3:$AT$1002,MATCH('DIVA Satislari'!AJ807,'E2E Nakliye Montaj'!$AM$3:$AM$1002,0)),"Hayır"))</f>
        <v/>
      </c>
      <c r="M807" s="26">
        <f>IF('DIVA Satislari'!I807="","",IFERROR(INDEX('E2E Nakliye Montaj'!$AU$3:$AU$1002,MATCH('DIVA Satislari'!AJ807,'E2E Nakliye Montaj'!$AM$3:$AM$1002,0)),"Hayır"))</f>
        <v/>
      </c>
      <c r="N807" s="27">
        <f>IF('DIVA Satislari'!I807="","",IFERROR(INDEX('E2E Nakliye Montaj'!$AV$3:$AV$1002,MATCH('DIVA Satislari'!AJ807,'E2E Nakliye Montaj'!$AM$3:$AM$1002,0)),""))</f>
        <v/>
      </c>
      <c r="O807" s="26">
        <f>IF(OR(A807="",N807=""),"",IF(N807&lt;=H807,"Evet","HAYIR - RİSK"))</f>
        <v/>
      </c>
      <c r="P807" s="26">
        <f>IF(A807="","",IF(LEFT(J807,8)="Kural A ","Uygun - Hemen Ödenir (Yıl Sonu %75 Kontrolüne Tabi)",IF(OR(L807="Evet",M807="Evet"),IF(O807="Evet","Uygun","RİSK - Hakediş Süresi Aşıldı"),"Bekleniyor - Nakliye/Montaj Tamamlanmadı")))</f>
        <v/>
      </c>
      <c r="Q807" s="28">
        <f>IF(A807="","",SUMIFS('Hakedis Fatura Detay'!$G$3:$G$1200,'Hakedis Fatura Detay'!$H$3:$H$1200,'DIVA Satislari'!AJ807,'Hakedis Fatura Detay'!$F$3:$F$1200,"Fiyat Farkı")+SUMIFS('Hakedis Fatura Detay'!$G$3:$G$1200,'Hakedis Fatura Detay'!$H$3:$H$1200,'DIVA Satislari'!AJ807,'Hakedis Fatura Detay'!$F$3:$F$1200,"Bundle"))</f>
        <v/>
      </c>
      <c r="R807" s="28">
        <f>IF(A807="","",I807-Q807)</f>
        <v/>
      </c>
      <c r="S807" s="26">
        <f>IF(A807="","",IF(LEFT(P807,7)="Bekleni","N/A - Henüz Ödenmemeli",IF(LEFT(P807,4)="RİSK","İNCELEME GEREKLİ - Süre Aşımı",IF(R807=0,"Doğru",IF(R807&gt;0,"EKSİK ÖDENMİŞ","FAZLA ÖDENMİŞ")))))</f>
        <v/>
      </c>
      <c r="T807" s="30">
        <f>IF(A807="","",IF(F807&lt;&gt;"Evet","İNCELEME GEREKLİ - Kampanya Tanımsız",IF(G807&lt;&gt;"Evet","İNCELEME GEREKLİ - Tarih Dışı Satış",IF(LEFT(P807,4)="RİSK","İNCELEME GEREKLİ - Hakediş Süresi Aşıldı",IF(OR(S807="EKSİK ÖDENMİŞ",S807="FAZLA ÖDENMİŞ"),"İNCELEME GEREKLİ - Tutar Uyuşmazlığı",IF(LEFT(P807,7)="Bekleni","Bekleniyor","Uygun"))))))</f>
        <v/>
      </c>
    </row>
    <row r="808">
      <c r="A808" s="26">
        <f>IF('DIVA Satislari'!I808="","",'DIVA Satislari'!I808)</f>
        <v/>
      </c>
      <c r="B808" s="26">
        <f>IF('DIVA Satislari'!I808="","",'DIVA Satislari'!R808)</f>
        <v/>
      </c>
      <c r="C808" s="26">
        <f>IF('DIVA Satislari'!I808="","",'DIVA Satislari'!M808)</f>
        <v/>
      </c>
      <c r="D808" s="27">
        <f>IF('DIVA Satislari'!I808="","",'DIVA Satislari'!H808)</f>
        <v/>
      </c>
      <c r="E808" s="26">
        <f>IF('DIVA Satislari'!I808="","",'DIVA Satislari'!O808)</f>
        <v/>
      </c>
      <c r="F808" s="26">
        <f>IF('DIVA Satislari'!I808="","",'DIVA Satislari'!AK808)</f>
        <v/>
      </c>
      <c r="G808" s="26">
        <f>IF('DIVA Satislari'!I808="","",'DIVA Satislari'!AO808)</f>
        <v/>
      </c>
      <c r="H808" s="27">
        <f>IF('DIVA Satislari'!I808="","",'DIVA Satislari'!AN808)</f>
        <v/>
      </c>
      <c r="I808" s="28">
        <f>IF('DIVA Satislari'!I808="","",'DIVA Satislari'!AQ808)</f>
        <v/>
      </c>
      <c r="J808" s="26">
        <f>IF('DIVA Satislari'!I808="","",'DIVA Satislari'!AR808)</f>
        <v/>
      </c>
      <c r="K808" s="26">
        <f>IF('DIVA Satislari'!I808="","",IFERROR(INDEX('E2E Nakliye Montaj'!$AS$3:$AS$1002,MATCH('DIVA Satislari'!AJ808,'E2E Nakliye Montaj'!$AM$3:$AM$1002,0)),"Eşleşme Yok"))</f>
        <v/>
      </c>
      <c r="L808" s="26">
        <f>IF('DIVA Satislari'!I808="","",IFERROR(INDEX('E2E Nakliye Montaj'!$AT$3:$AT$1002,MATCH('DIVA Satislari'!AJ808,'E2E Nakliye Montaj'!$AM$3:$AM$1002,0)),"Hayır"))</f>
        <v/>
      </c>
      <c r="M808" s="26">
        <f>IF('DIVA Satislari'!I808="","",IFERROR(INDEX('E2E Nakliye Montaj'!$AU$3:$AU$1002,MATCH('DIVA Satislari'!AJ808,'E2E Nakliye Montaj'!$AM$3:$AM$1002,0)),"Hayır"))</f>
        <v/>
      </c>
      <c r="N808" s="27">
        <f>IF('DIVA Satislari'!I808="","",IFERROR(INDEX('E2E Nakliye Montaj'!$AV$3:$AV$1002,MATCH('DIVA Satislari'!AJ808,'E2E Nakliye Montaj'!$AM$3:$AM$1002,0)),""))</f>
        <v/>
      </c>
      <c r="O808" s="26">
        <f>IF(OR(A808="",N808=""),"",IF(N808&lt;=H808,"Evet","HAYIR - RİSK"))</f>
        <v/>
      </c>
      <c r="P808" s="26">
        <f>IF(A808="","",IF(LEFT(J808,8)="Kural A ","Uygun - Hemen Ödenir (Yıl Sonu %75 Kontrolüne Tabi)",IF(OR(L808="Evet",M808="Evet"),IF(O808="Evet","Uygun","RİSK - Hakediş Süresi Aşıldı"),"Bekleniyor - Nakliye/Montaj Tamamlanmadı")))</f>
        <v/>
      </c>
      <c r="Q808" s="28">
        <f>IF(A808="","",SUMIFS('Hakedis Fatura Detay'!$G$3:$G$1200,'Hakedis Fatura Detay'!$H$3:$H$1200,'DIVA Satislari'!AJ808,'Hakedis Fatura Detay'!$F$3:$F$1200,"Fiyat Farkı")+SUMIFS('Hakedis Fatura Detay'!$G$3:$G$1200,'Hakedis Fatura Detay'!$H$3:$H$1200,'DIVA Satislari'!AJ808,'Hakedis Fatura Detay'!$F$3:$F$1200,"Bundle"))</f>
        <v/>
      </c>
      <c r="R808" s="28">
        <f>IF(A808="","",I808-Q808)</f>
        <v/>
      </c>
      <c r="S808" s="26">
        <f>IF(A808="","",IF(LEFT(P808,7)="Bekleni","N/A - Henüz Ödenmemeli",IF(LEFT(P808,4)="RİSK","İNCELEME GEREKLİ - Süre Aşımı",IF(R808=0,"Doğru",IF(R808&gt;0,"EKSİK ÖDENMİŞ","FAZLA ÖDENMİŞ")))))</f>
        <v/>
      </c>
      <c r="T808" s="30">
        <f>IF(A808="","",IF(F808&lt;&gt;"Evet","İNCELEME GEREKLİ - Kampanya Tanımsız",IF(G808&lt;&gt;"Evet","İNCELEME GEREKLİ - Tarih Dışı Satış",IF(LEFT(P808,4)="RİSK","İNCELEME GEREKLİ - Hakediş Süresi Aşıldı",IF(OR(S808="EKSİK ÖDENMİŞ",S808="FAZLA ÖDENMİŞ"),"İNCELEME GEREKLİ - Tutar Uyuşmazlığı",IF(LEFT(P808,7)="Bekleni","Bekleniyor","Uygun"))))))</f>
        <v/>
      </c>
    </row>
    <row r="809">
      <c r="A809" s="26">
        <f>IF('DIVA Satislari'!I809="","",'DIVA Satislari'!I809)</f>
        <v/>
      </c>
      <c r="B809" s="26">
        <f>IF('DIVA Satislari'!I809="","",'DIVA Satislari'!R809)</f>
        <v/>
      </c>
      <c r="C809" s="26">
        <f>IF('DIVA Satislari'!I809="","",'DIVA Satislari'!M809)</f>
        <v/>
      </c>
      <c r="D809" s="27">
        <f>IF('DIVA Satislari'!I809="","",'DIVA Satislari'!H809)</f>
        <v/>
      </c>
      <c r="E809" s="26">
        <f>IF('DIVA Satislari'!I809="","",'DIVA Satislari'!O809)</f>
        <v/>
      </c>
      <c r="F809" s="26">
        <f>IF('DIVA Satislari'!I809="","",'DIVA Satislari'!AK809)</f>
        <v/>
      </c>
      <c r="G809" s="26">
        <f>IF('DIVA Satislari'!I809="","",'DIVA Satislari'!AO809)</f>
        <v/>
      </c>
      <c r="H809" s="27">
        <f>IF('DIVA Satislari'!I809="","",'DIVA Satislari'!AN809)</f>
        <v/>
      </c>
      <c r="I809" s="28">
        <f>IF('DIVA Satislari'!I809="","",'DIVA Satislari'!AQ809)</f>
        <v/>
      </c>
      <c r="J809" s="26">
        <f>IF('DIVA Satislari'!I809="","",'DIVA Satislari'!AR809)</f>
        <v/>
      </c>
      <c r="K809" s="26">
        <f>IF('DIVA Satislari'!I809="","",IFERROR(INDEX('E2E Nakliye Montaj'!$AS$3:$AS$1002,MATCH('DIVA Satislari'!AJ809,'E2E Nakliye Montaj'!$AM$3:$AM$1002,0)),"Eşleşme Yok"))</f>
        <v/>
      </c>
      <c r="L809" s="26">
        <f>IF('DIVA Satislari'!I809="","",IFERROR(INDEX('E2E Nakliye Montaj'!$AT$3:$AT$1002,MATCH('DIVA Satislari'!AJ809,'E2E Nakliye Montaj'!$AM$3:$AM$1002,0)),"Hayır"))</f>
        <v/>
      </c>
      <c r="M809" s="26">
        <f>IF('DIVA Satislari'!I809="","",IFERROR(INDEX('E2E Nakliye Montaj'!$AU$3:$AU$1002,MATCH('DIVA Satislari'!AJ809,'E2E Nakliye Montaj'!$AM$3:$AM$1002,0)),"Hayır"))</f>
        <v/>
      </c>
      <c r="N809" s="27">
        <f>IF('DIVA Satislari'!I809="","",IFERROR(INDEX('E2E Nakliye Montaj'!$AV$3:$AV$1002,MATCH('DIVA Satislari'!AJ809,'E2E Nakliye Montaj'!$AM$3:$AM$1002,0)),""))</f>
        <v/>
      </c>
      <c r="O809" s="26">
        <f>IF(OR(A809="",N809=""),"",IF(N809&lt;=H809,"Evet","HAYIR - RİSK"))</f>
        <v/>
      </c>
      <c r="P809" s="26">
        <f>IF(A809="","",IF(LEFT(J809,8)="Kural A ","Uygun - Hemen Ödenir (Yıl Sonu %75 Kontrolüne Tabi)",IF(OR(L809="Evet",M809="Evet"),IF(O809="Evet","Uygun","RİSK - Hakediş Süresi Aşıldı"),"Bekleniyor - Nakliye/Montaj Tamamlanmadı")))</f>
        <v/>
      </c>
      <c r="Q809" s="28">
        <f>IF(A809="","",SUMIFS('Hakedis Fatura Detay'!$G$3:$G$1200,'Hakedis Fatura Detay'!$H$3:$H$1200,'DIVA Satislari'!AJ809,'Hakedis Fatura Detay'!$F$3:$F$1200,"Fiyat Farkı")+SUMIFS('Hakedis Fatura Detay'!$G$3:$G$1200,'Hakedis Fatura Detay'!$H$3:$H$1200,'DIVA Satislari'!AJ809,'Hakedis Fatura Detay'!$F$3:$F$1200,"Bundle"))</f>
        <v/>
      </c>
      <c r="R809" s="28">
        <f>IF(A809="","",I809-Q809)</f>
        <v/>
      </c>
      <c r="S809" s="26">
        <f>IF(A809="","",IF(LEFT(P809,7)="Bekleni","N/A - Henüz Ödenmemeli",IF(LEFT(P809,4)="RİSK","İNCELEME GEREKLİ - Süre Aşımı",IF(R809=0,"Doğru",IF(R809&gt;0,"EKSİK ÖDENMİŞ","FAZLA ÖDENMİŞ")))))</f>
        <v/>
      </c>
      <c r="T809" s="30">
        <f>IF(A809="","",IF(F809&lt;&gt;"Evet","İNCELEME GEREKLİ - Kampanya Tanımsız",IF(G809&lt;&gt;"Evet","İNCELEME GEREKLİ - Tarih Dışı Satış",IF(LEFT(P809,4)="RİSK","İNCELEME GEREKLİ - Hakediş Süresi Aşıldı",IF(OR(S809="EKSİK ÖDENMİŞ",S809="FAZLA ÖDENMİŞ"),"İNCELEME GEREKLİ - Tutar Uyuşmazlığı",IF(LEFT(P809,7)="Bekleni","Bekleniyor","Uygun"))))))</f>
        <v/>
      </c>
    </row>
    <row r="810">
      <c r="A810" s="26">
        <f>IF('DIVA Satislari'!I810="","",'DIVA Satislari'!I810)</f>
        <v/>
      </c>
      <c r="B810" s="26">
        <f>IF('DIVA Satislari'!I810="","",'DIVA Satislari'!R810)</f>
        <v/>
      </c>
      <c r="C810" s="26">
        <f>IF('DIVA Satislari'!I810="","",'DIVA Satislari'!M810)</f>
        <v/>
      </c>
      <c r="D810" s="27">
        <f>IF('DIVA Satislari'!I810="","",'DIVA Satislari'!H810)</f>
        <v/>
      </c>
      <c r="E810" s="26">
        <f>IF('DIVA Satislari'!I810="","",'DIVA Satislari'!O810)</f>
        <v/>
      </c>
      <c r="F810" s="26">
        <f>IF('DIVA Satislari'!I810="","",'DIVA Satislari'!AK810)</f>
        <v/>
      </c>
      <c r="G810" s="26">
        <f>IF('DIVA Satislari'!I810="","",'DIVA Satislari'!AO810)</f>
        <v/>
      </c>
      <c r="H810" s="27">
        <f>IF('DIVA Satislari'!I810="","",'DIVA Satislari'!AN810)</f>
        <v/>
      </c>
      <c r="I810" s="28">
        <f>IF('DIVA Satislari'!I810="","",'DIVA Satislari'!AQ810)</f>
        <v/>
      </c>
      <c r="J810" s="26">
        <f>IF('DIVA Satislari'!I810="","",'DIVA Satislari'!AR810)</f>
        <v/>
      </c>
      <c r="K810" s="26">
        <f>IF('DIVA Satislari'!I810="","",IFERROR(INDEX('E2E Nakliye Montaj'!$AS$3:$AS$1002,MATCH('DIVA Satislari'!AJ810,'E2E Nakliye Montaj'!$AM$3:$AM$1002,0)),"Eşleşme Yok"))</f>
        <v/>
      </c>
      <c r="L810" s="26">
        <f>IF('DIVA Satislari'!I810="","",IFERROR(INDEX('E2E Nakliye Montaj'!$AT$3:$AT$1002,MATCH('DIVA Satislari'!AJ810,'E2E Nakliye Montaj'!$AM$3:$AM$1002,0)),"Hayır"))</f>
        <v/>
      </c>
      <c r="M810" s="26">
        <f>IF('DIVA Satislari'!I810="","",IFERROR(INDEX('E2E Nakliye Montaj'!$AU$3:$AU$1002,MATCH('DIVA Satislari'!AJ810,'E2E Nakliye Montaj'!$AM$3:$AM$1002,0)),"Hayır"))</f>
        <v/>
      </c>
      <c r="N810" s="27">
        <f>IF('DIVA Satislari'!I810="","",IFERROR(INDEX('E2E Nakliye Montaj'!$AV$3:$AV$1002,MATCH('DIVA Satislari'!AJ810,'E2E Nakliye Montaj'!$AM$3:$AM$1002,0)),""))</f>
        <v/>
      </c>
      <c r="O810" s="26">
        <f>IF(OR(A810="",N810=""),"",IF(N810&lt;=H810,"Evet","HAYIR - RİSK"))</f>
        <v/>
      </c>
      <c r="P810" s="26">
        <f>IF(A810="","",IF(LEFT(J810,8)="Kural A ","Uygun - Hemen Ödenir (Yıl Sonu %75 Kontrolüne Tabi)",IF(OR(L810="Evet",M810="Evet"),IF(O810="Evet","Uygun","RİSK - Hakediş Süresi Aşıldı"),"Bekleniyor - Nakliye/Montaj Tamamlanmadı")))</f>
        <v/>
      </c>
      <c r="Q810" s="28">
        <f>IF(A810="","",SUMIFS('Hakedis Fatura Detay'!$G$3:$G$1200,'Hakedis Fatura Detay'!$H$3:$H$1200,'DIVA Satislari'!AJ810,'Hakedis Fatura Detay'!$F$3:$F$1200,"Fiyat Farkı")+SUMIFS('Hakedis Fatura Detay'!$G$3:$G$1200,'Hakedis Fatura Detay'!$H$3:$H$1200,'DIVA Satislari'!AJ810,'Hakedis Fatura Detay'!$F$3:$F$1200,"Bundle"))</f>
        <v/>
      </c>
      <c r="R810" s="28">
        <f>IF(A810="","",I810-Q810)</f>
        <v/>
      </c>
      <c r="S810" s="26">
        <f>IF(A810="","",IF(LEFT(P810,7)="Bekleni","N/A - Henüz Ödenmemeli",IF(LEFT(P810,4)="RİSK","İNCELEME GEREKLİ - Süre Aşımı",IF(R810=0,"Doğru",IF(R810&gt;0,"EKSİK ÖDENMİŞ","FAZLA ÖDENMİŞ")))))</f>
        <v/>
      </c>
      <c r="T810" s="30">
        <f>IF(A810="","",IF(F810&lt;&gt;"Evet","İNCELEME GEREKLİ - Kampanya Tanımsız",IF(G810&lt;&gt;"Evet","İNCELEME GEREKLİ - Tarih Dışı Satış",IF(LEFT(P810,4)="RİSK","İNCELEME GEREKLİ - Hakediş Süresi Aşıldı",IF(OR(S810="EKSİK ÖDENMİŞ",S810="FAZLA ÖDENMİŞ"),"İNCELEME GEREKLİ - Tutar Uyuşmazlığı",IF(LEFT(P810,7)="Bekleni","Bekleniyor","Uygun"))))))</f>
        <v/>
      </c>
    </row>
    <row r="811">
      <c r="A811" s="26">
        <f>IF('DIVA Satislari'!I811="","",'DIVA Satislari'!I811)</f>
        <v/>
      </c>
      <c r="B811" s="26">
        <f>IF('DIVA Satislari'!I811="","",'DIVA Satislari'!R811)</f>
        <v/>
      </c>
      <c r="C811" s="26">
        <f>IF('DIVA Satislari'!I811="","",'DIVA Satislari'!M811)</f>
        <v/>
      </c>
      <c r="D811" s="27">
        <f>IF('DIVA Satislari'!I811="","",'DIVA Satislari'!H811)</f>
        <v/>
      </c>
      <c r="E811" s="26">
        <f>IF('DIVA Satislari'!I811="","",'DIVA Satislari'!O811)</f>
        <v/>
      </c>
      <c r="F811" s="26">
        <f>IF('DIVA Satislari'!I811="","",'DIVA Satislari'!AK811)</f>
        <v/>
      </c>
      <c r="G811" s="26">
        <f>IF('DIVA Satislari'!I811="","",'DIVA Satislari'!AO811)</f>
        <v/>
      </c>
      <c r="H811" s="27">
        <f>IF('DIVA Satislari'!I811="","",'DIVA Satislari'!AN811)</f>
        <v/>
      </c>
      <c r="I811" s="28">
        <f>IF('DIVA Satislari'!I811="","",'DIVA Satislari'!AQ811)</f>
        <v/>
      </c>
      <c r="J811" s="26">
        <f>IF('DIVA Satislari'!I811="","",'DIVA Satislari'!AR811)</f>
        <v/>
      </c>
      <c r="K811" s="26">
        <f>IF('DIVA Satislari'!I811="","",IFERROR(INDEX('E2E Nakliye Montaj'!$AS$3:$AS$1002,MATCH('DIVA Satislari'!AJ811,'E2E Nakliye Montaj'!$AM$3:$AM$1002,0)),"Eşleşme Yok"))</f>
        <v/>
      </c>
      <c r="L811" s="26">
        <f>IF('DIVA Satislari'!I811="","",IFERROR(INDEX('E2E Nakliye Montaj'!$AT$3:$AT$1002,MATCH('DIVA Satislari'!AJ811,'E2E Nakliye Montaj'!$AM$3:$AM$1002,0)),"Hayır"))</f>
        <v/>
      </c>
      <c r="M811" s="26">
        <f>IF('DIVA Satislari'!I811="","",IFERROR(INDEX('E2E Nakliye Montaj'!$AU$3:$AU$1002,MATCH('DIVA Satislari'!AJ811,'E2E Nakliye Montaj'!$AM$3:$AM$1002,0)),"Hayır"))</f>
        <v/>
      </c>
      <c r="N811" s="27">
        <f>IF('DIVA Satislari'!I811="","",IFERROR(INDEX('E2E Nakliye Montaj'!$AV$3:$AV$1002,MATCH('DIVA Satislari'!AJ811,'E2E Nakliye Montaj'!$AM$3:$AM$1002,0)),""))</f>
        <v/>
      </c>
      <c r="O811" s="26">
        <f>IF(OR(A811="",N811=""),"",IF(N811&lt;=H811,"Evet","HAYIR - RİSK"))</f>
        <v/>
      </c>
      <c r="P811" s="26">
        <f>IF(A811="","",IF(LEFT(J811,8)="Kural A ","Uygun - Hemen Ödenir (Yıl Sonu %75 Kontrolüne Tabi)",IF(OR(L811="Evet",M811="Evet"),IF(O811="Evet","Uygun","RİSK - Hakediş Süresi Aşıldı"),"Bekleniyor - Nakliye/Montaj Tamamlanmadı")))</f>
        <v/>
      </c>
      <c r="Q811" s="28">
        <f>IF(A811="","",SUMIFS('Hakedis Fatura Detay'!$G$3:$G$1200,'Hakedis Fatura Detay'!$H$3:$H$1200,'DIVA Satislari'!AJ811,'Hakedis Fatura Detay'!$F$3:$F$1200,"Fiyat Farkı")+SUMIFS('Hakedis Fatura Detay'!$G$3:$G$1200,'Hakedis Fatura Detay'!$H$3:$H$1200,'DIVA Satislari'!AJ811,'Hakedis Fatura Detay'!$F$3:$F$1200,"Bundle"))</f>
        <v/>
      </c>
      <c r="R811" s="28">
        <f>IF(A811="","",I811-Q811)</f>
        <v/>
      </c>
      <c r="S811" s="26">
        <f>IF(A811="","",IF(LEFT(P811,7)="Bekleni","N/A - Henüz Ödenmemeli",IF(LEFT(P811,4)="RİSK","İNCELEME GEREKLİ - Süre Aşımı",IF(R811=0,"Doğru",IF(R811&gt;0,"EKSİK ÖDENMİŞ","FAZLA ÖDENMİŞ")))))</f>
        <v/>
      </c>
      <c r="T811" s="30">
        <f>IF(A811="","",IF(F811&lt;&gt;"Evet","İNCELEME GEREKLİ - Kampanya Tanımsız",IF(G811&lt;&gt;"Evet","İNCELEME GEREKLİ - Tarih Dışı Satış",IF(LEFT(P811,4)="RİSK","İNCELEME GEREKLİ - Hakediş Süresi Aşıldı",IF(OR(S811="EKSİK ÖDENMİŞ",S811="FAZLA ÖDENMİŞ"),"İNCELEME GEREKLİ - Tutar Uyuşmazlığı",IF(LEFT(P811,7)="Bekleni","Bekleniyor","Uygun"))))))</f>
        <v/>
      </c>
    </row>
    <row r="812">
      <c r="A812" s="26">
        <f>IF('DIVA Satislari'!I812="","",'DIVA Satislari'!I812)</f>
        <v/>
      </c>
      <c r="B812" s="26">
        <f>IF('DIVA Satislari'!I812="","",'DIVA Satislari'!R812)</f>
        <v/>
      </c>
      <c r="C812" s="26">
        <f>IF('DIVA Satislari'!I812="","",'DIVA Satislari'!M812)</f>
        <v/>
      </c>
      <c r="D812" s="27">
        <f>IF('DIVA Satislari'!I812="","",'DIVA Satislari'!H812)</f>
        <v/>
      </c>
      <c r="E812" s="26">
        <f>IF('DIVA Satislari'!I812="","",'DIVA Satislari'!O812)</f>
        <v/>
      </c>
      <c r="F812" s="26">
        <f>IF('DIVA Satislari'!I812="","",'DIVA Satislari'!AK812)</f>
        <v/>
      </c>
      <c r="G812" s="26">
        <f>IF('DIVA Satislari'!I812="","",'DIVA Satislari'!AO812)</f>
        <v/>
      </c>
      <c r="H812" s="27">
        <f>IF('DIVA Satislari'!I812="","",'DIVA Satislari'!AN812)</f>
        <v/>
      </c>
      <c r="I812" s="28">
        <f>IF('DIVA Satislari'!I812="","",'DIVA Satislari'!AQ812)</f>
        <v/>
      </c>
      <c r="J812" s="26">
        <f>IF('DIVA Satislari'!I812="","",'DIVA Satislari'!AR812)</f>
        <v/>
      </c>
      <c r="K812" s="26">
        <f>IF('DIVA Satislari'!I812="","",IFERROR(INDEX('E2E Nakliye Montaj'!$AS$3:$AS$1002,MATCH('DIVA Satislari'!AJ812,'E2E Nakliye Montaj'!$AM$3:$AM$1002,0)),"Eşleşme Yok"))</f>
        <v/>
      </c>
      <c r="L812" s="26">
        <f>IF('DIVA Satislari'!I812="","",IFERROR(INDEX('E2E Nakliye Montaj'!$AT$3:$AT$1002,MATCH('DIVA Satislari'!AJ812,'E2E Nakliye Montaj'!$AM$3:$AM$1002,0)),"Hayır"))</f>
        <v/>
      </c>
      <c r="M812" s="26">
        <f>IF('DIVA Satislari'!I812="","",IFERROR(INDEX('E2E Nakliye Montaj'!$AU$3:$AU$1002,MATCH('DIVA Satislari'!AJ812,'E2E Nakliye Montaj'!$AM$3:$AM$1002,0)),"Hayır"))</f>
        <v/>
      </c>
      <c r="N812" s="27">
        <f>IF('DIVA Satislari'!I812="","",IFERROR(INDEX('E2E Nakliye Montaj'!$AV$3:$AV$1002,MATCH('DIVA Satislari'!AJ812,'E2E Nakliye Montaj'!$AM$3:$AM$1002,0)),""))</f>
        <v/>
      </c>
      <c r="O812" s="26">
        <f>IF(OR(A812="",N812=""),"",IF(N812&lt;=H812,"Evet","HAYIR - RİSK"))</f>
        <v/>
      </c>
      <c r="P812" s="26">
        <f>IF(A812="","",IF(LEFT(J812,8)="Kural A ","Uygun - Hemen Ödenir (Yıl Sonu %75 Kontrolüne Tabi)",IF(OR(L812="Evet",M812="Evet"),IF(O812="Evet","Uygun","RİSK - Hakediş Süresi Aşıldı"),"Bekleniyor - Nakliye/Montaj Tamamlanmadı")))</f>
        <v/>
      </c>
      <c r="Q812" s="28">
        <f>IF(A812="","",SUMIFS('Hakedis Fatura Detay'!$G$3:$G$1200,'Hakedis Fatura Detay'!$H$3:$H$1200,'DIVA Satislari'!AJ812,'Hakedis Fatura Detay'!$F$3:$F$1200,"Fiyat Farkı")+SUMIFS('Hakedis Fatura Detay'!$G$3:$G$1200,'Hakedis Fatura Detay'!$H$3:$H$1200,'DIVA Satislari'!AJ812,'Hakedis Fatura Detay'!$F$3:$F$1200,"Bundle"))</f>
        <v/>
      </c>
      <c r="R812" s="28">
        <f>IF(A812="","",I812-Q812)</f>
        <v/>
      </c>
      <c r="S812" s="26">
        <f>IF(A812="","",IF(LEFT(P812,7)="Bekleni","N/A - Henüz Ödenmemeli",IF(LEFT(P812,4)="RİSK","İNCELEME GEREKLİ - Süre Aşımı",IF(R812=0,"Doğru",IF(R812&gt;0,"EKSİK ÖDENMİŞ","FAZLA ÖDENMİŞ")))))</f>
        <v/>
      </c>
      <c r="T812" s="30">
        <f>IF(A812="","",IF(F812&lt;&gt;"Evet","İNCELEME GEREKLİ - Kampanya Tanımsız",IF(G812&lt;&gt;"Evet","İNCELEME GEREKLİ - Tarih Dışı Satış",IF(LEFT(P812,4)="RİSK","İNCELEME GEREKLİ - Hakediş Süresi Aşıldı",IF(OR(S812="EKSİK ÖDENMİŞ",S812="FAZLA ÖDENMİŞ"),"İNCELEME GEREKLİ - Tutar Uyuşmazlığı",IF(LEFT(P812,7)="Bekleni","Bekleniyor","Uygun"))))))</f>
        <v/>
      </c>
    </row>
    <row r="813">
      <c r="A813" s="26">
        <f>IF('DIVA Satislari'!I813="","",'DIVA Satislari'!I813)</f>
        <v/>
      </c>
      <c r="B813" s="26">
        <f>IF('DIVA Satislari'!I813="","",'DIVA Satislari'!R813)</f>
        <v/>
      </c>
      <c r="C813" s="26">
        <f>IF('DIVA Satislari'!I813="","",'DIVA Satislari'!M813)</f>
        <v/>
      </c>
      <c r="D813" s="27">
        <f>IF('DIVA Satislari'!I813="","",'DIVA Satislari'!H813)</f>
        <v/>
      </c>
      <c r="E813" s="26">
        <f>IF('DIVA Satislari'!I813="","",'DIVA Satislari'!O813)</f>
        <v/>
      </c>
      <c r="F813" s="26">
        <f>IF('DIVA Satislari'!I813="","",'DIVA Satislari'!AK813)</f>
        <v/>
      </c>
      <c r="G813" s="26">
        <f>IF('DIVA Satislari'!I813="","",'DIVA Satislari'!AO813)</f>
        <v/>
      </c>
      <c r="H813" s="27">
        <f>IF('DIVA Satislari'!I813="","",'DIVA Satislari'!AN813)</f>
        <v/>
      </c>
      <c r="I813" s="28">
        <f>IF('DIVA Satislari'!I813="","",'DIVA Satislari'!AQ813)</f>
        <v/>
      </c>
      <c r="J813" s="26">
        <f>IF('DIVA Satislari'!I813="","",'DIVA Satislari'!AR813)</f>
        <v/>
      </c>
      <c r="K813" s="26">
        <f>IF('DIVA Satislari'!I813="","",IFERROR(INDEX('E2E Nakliye Montaj'!$AS$3:$AS$1002,MATCH('DIVA Satislari'!AJ813,'E2E Nakliye Montaj'!$AM$3:$AM$1002,0)),"Eşleşme Yok"))</f>
        <v/>
      </c>
      <c r="L813" s="26">
        <f>IF('DIVA Satislari'!I813="","",IFERROR(INDEX('E2E Nakliye Montaj'!$AT$3:$AT$1002,MATCH('DIVA Satislari'!AJ813,'E2E Nakliye Montaj'!$AM$3:$AM$1002,0)),"Hayır"))</f>
        <v/>
      </c>
      <c r="M813" s="26">
        <f>IF('DIVA Satislari'!I813="","",IFERROR(INDEX('E2E Nakliye Montaj'!$AU$3:$AU$1002,MATCH('DIVA Satislari'!AJ813,'E2E Nakliye Montaj'!$AM$3:$AM$1002,0)),"Hayır"))</f>
        <v/>
      </c>
      <c r="N813" s="27">
        <f>IF('DIVA Satislari'!I813="","",IFERROR(INDEX('E2E Nakliye Montaj'!$AV$3:$AV$1002,MATCH('DIVA Satislari'!AJ813,'E2E Nakliye Montaj'!$AM$3:$AM$1002,0)),""))</f>
        <v/>
      </c>
      <c r="O813" s="26">
        <f>IF(OR(A813="",N813=""),"",IF(N813&lt;=H813,"Evet","HAYIR - RİSK"))</f>
        <v/>
      </c>
      <c r="P813" s="26">
        <f>IF(A813="","",IF(LEFT(J813,8)="Kural A ","Uygun - Hemen Ödenir (Yıl Sonu %75 Kontrolüne Tabi)",IF(OR(L813="Evet",M813="Evet"),IF(O813="Evet","Uygun","RİSK - Hakediş Süresi Aşıldı"),"Bekleniyor - Nakliye/Montaj Tamamlanmadı")))</f>
        <v/>
      </c>
      <c r="Q813" s="28">
        <f>IF(A813="","",SUMIFS('Hakedis Fatura Detay'!$G$3:$G$1200,'Hakedis Fatura Detay'!$H$3:$H$1200,'DIVA Satislari'!AJ813,'Hakedis Fatura Detay'!$F$3:$F$1200,"Fiyat Farkı")+SUMIFS('Hakedis Fatura Detay'!$G$3:$G$1200,'Hakedis Fatura Detay'!$H$3:$H$1200,'DIVA Satislari'!AJ813,'Hakedis Fatura Detay'!$F$3:$F$1200,"Bundle"))</f>
        <v/>
      </c>
      <c r="R813" s="28">
        <f>IF(A813="","",I813-Q813)</f>
        <v/>
      </c>
      <c r="S813" s="26">
        <f>IF(A813="","",IF(LEFT(P813,7)="Bekleni","N/A - Henüz Ödenmemeli",IF(LEFT(P813,4)="RİSK","İNCELEME GEREKLİ - Süre Aşımı",IF(R813=0,"Doğru",IF(R813&gt;0,"EKSİK ÖDENMİŞ","FAZLA ÖDENMİŞ")))))</f>
        <v/>
      </c>
      <c r="T813" s="30">
        <f>IF(A813="","",IF(F813&lt;&gt;"Evet","İNCELEME GEREKLİ - Kampanya Tanımsız",IF(G813&lt;&gt;"Evet","İNCELEME GEREKLİ - Tarih Dışı Satış",IF(LEFT(P813,4)="RİSK","İNCELEME GEREKLİ - Hakediş Süresi Aşıldı",IF(OR(S813="EKSİK ÖDENMİŞ",S813="FAZLA ÖDENMİŞ"),"İNCELEME GEREKLİ - Tutar Uyuşmazlığı",IF(LEFT(P813,7)="Bekleni","Bekleniyor","Uygun"))))))</f>
        <v/>
      </c>
    </row>
    <row r="814">
      <c r="A814" s="26">
        <f>IF('DIVA Satislari'!I814="","",'DIVA Satislari'!I814)</f>
        <v/>
      </c>
      <c r="B814" s="26">
        <f>IF('DIVA Satislari'!I814="","",'DIVA Satislari'!R814)</f>
        <v/>
      </c>
      <c r="C814" s="26">
        <f>IF('DIVA Satislari'!I814="","",'DIVA Satislari'!M814)</f>
        <v/>
      </c>
      <c r="D814" s="27">
        <f>IF('DIVA Satislari'!I814="","",'DIVA Satislari'!H814)</f>
        <v/>
      </c>
      <c r="E814" s="26">
        <f>IF('DIVA Satislari'!I814="","",'DIVA Satislari'!O814)</f>
        <v/>
      </c>
      <c r="F814" s="26">
        <f>IF('DIVA Satislari'!I814="","",'DIVA Satislari'!AK814)</f>
        <v/>
      </c>
      <c r="G814" s="26">
        <f>IF('DIVA Satislari'!I814="","",'DIVA Satislari'!AO814)</f>
        <v/>
      </c>
      <c r="H814" s="27">
        <f>IF('DIVA Satislari'!I814="","",'DIVA Satislari'!AN814)</f>
        <v/>
      </c>
      <c r="I814" s="28">
        <f>IF('DIVA Satislari'!I814="","",'DIVA Satislari'!AQ814)</f>
        <v/>
      </c>
      <c r="J814" s="26">
        <f>IF('DIVA Satislari'!I814="","",'DIVA Satislari'!AR814)</f>
        <v/>
      </c>
      <c r="K814" s="26">
        <f>IF('DIVA Satislari'!I814="","",IFERROR(INDEX('E2E Nakliye Montaj'!$AS$3:$AS$1002,MATCH('DIVA Satislari'!AJ814,'E2E Nakliye Montaj'!$AM$3:$AM$1002,0)),"Eşleşme Yok"))</f>
        <v/>
      </c>
      <c r="L814" s="26">
        <f>IF('DIVA Satislari'!I814="","",IFERROR(INDEX('E2E Nakliye Montaj'!$AT$3:$AT$1002,MATCH('DIVA Satislari'!AJ814,'E2E Nakliye Montaj'!$AM$3:$AM$1002,0)),"Hayır"))</f>
        <v/>
      </c>
      <c r="M814" s="26">
        <f>IF('DIVA Satislari'!I814="","",IFERROR(INDEX('E2E Nakliye Montaj'!$AU$3:$AU$1002,MATCH('DIVA Satislari'!AJ814,'E2E Nakliye Montaj'!$AM$3:$AM$1002,0)),"Hayır"))</f>
        <v/>
      </c>
      <c r="N814" s="27">
        <f>IF('DIVA Satislari'!I814="","",IFERROR(INDEX('E2E Nakliye Montaj'!$AV$3:$AV$1002,MATCH('DIVA Satislari'!AJ814,'E2E Nakliye Montaj'!$AM$3:$AM$1002,0)),""))</f>
        <v/>
      </c>
      <c r="O814" s="26">
        <f>IF(OR(A814="",N814=""),"",IF(N814&lt;=H814,"Evet","HAYIR - RİSK"))</f>
        <v/>
      </c>
      <c r="P814" s="26">
        <f>IF(A814="","",IF(LEFT(J814,8)="Kural A ","Uygun - Hemen Ödenir (Yıl Sonu %75 Kontrolüne Tabi)",IF(OR(L814="Evet",M814="Evet"),IF(O814="Evet","Uygun","RİSK - Hakediş Süresi Aşıldı"),"Bekleniyor - Nakliye/Montaj Tamamlanmadı")))</f>
        <v/>
      </c>
      <c r="Q814" s="28">
        <f>IF(A814="","",SUMIFS('Hakedis Fatura Detay'!$G$3:$G$1200,'Hakedis Fatura Detay'!$H$3:$H$1200,'DIVA Satislari'!AJ814,'Hakedis Fatura Detay'!$F$3:$F$1200,"Fiyat Farkı")+SUMIFS('Hakedis Fatura Detay'!$G$3:$G$1200,'Hakedis Fatura Detay'!$H$3:$H$1200,'DIVA Satislari'!AJ814,'Hakedis Fatura Detay'!$F$3:$F$1200,"Bundle"))</f>
        <v/>
      </c>
      <c r="R814" s="28">
        <f>IF(A814="","",I814-Q814)</f>
        <v/>
      </c>
      <c r="S814" s="26">
        <f>IF(A814="","",IF(LEFT(P814,7)="Bekleni","N/A - Henüz Ödenmemeli",IF(LEFT(P814,4)="RİSK","İNCELEME GEREKLİ - Süre Aşımı",IF(R814=0,"Doğru",IF(R814&gt;0,"EKSİK ÖDENMİŞ","FAZLA ÖDENMİŞ")))))</f>
        <v/>
      </c>
      <c r="T814" s="30">
        <f>IF(A814="","",IF(F814&lt;&gt;"Evet","İNCELEME GEREKLİ - Kampanya Tanımsız",IF(G814&lt;&gt;"Evet","İNCELEME GEREKLİ - Tarih Dışı Satış",IF(LEFT(P814,4)="RİSK","İNCELEME GEREKLİ - Hakediş Süresi Aşıldı",IF(OR(S814="EKSİK ÖDENMİŞ",S814="FAZLA ÖDENMİŞ"),"İNCELEME GEREKLİ - Tutar Uyuşmazlığı",IF(LEFT(P814,7)="Bekleni","Bekleniyor","Uygun"))))))</f>
        <v/>
      </c>
    </row>
    <row r="815">
      <c r="A815" s="26">
        <f>IF('DIVA Satislari'!I815="","",'DIVA Satislari'!I815)</f>
        <v/>
      </c>
      <c r="B815" s="26">
        <f>IF('DIVA Satislari'!I815="","",'DIVA Satislari'!R815)</f>
        <v/>
      </c>
      <c r="C815" s="26">
        <f>IF('DIVA Satislari'!I815="","",'DIVA Satislari'!M815)</f>
        <v/>
      </c>
      <c r="D815" s="27">
        <f>IF('DIVA Satislari'!I815="","",'DIVA Satislari'!H815)</f>
        <v/>
      </c>
      <c r="E815" s="26">
        <f>IF('DIVA Satislari'!I815="","",'DIVA Satislari'!O815)</f>
        <v/>
      </c>
      <c r="F815" s="26">
        <f>IF('DIVA Satislari'!I815="","",'DIVA Satislari'!AK815)</f>
        <v/>
      </c>
      <c r="G815" s="26">
        <f>IF('DIVA Satislari'!I815="","",'DIVA Satislari'!AO815)</f>
        <v/>
      </c>
      <c r="H815" s="27">
        <f>IF('DIVA Satislari'!I815="","",'DIVA Satislari'!AN815)</f>
        <v/>
      </c>
      <c r="I815" s="28">
        <f>IF('DIVA Satislari'!I815="","",'DIVA Satislari'!AQ815)</f>
        <v/>
      </c>
      <c r="J815" s="26">
        <f>IF('DIVA Satislari'!I815="","",'DIVA Satislari'!AR815)</f>
        <v/>
      </c>
      <c r="K815" s="26">
        <f>IF('DIVA Satislari'!I815="","",IFERROR(INDEX('E2E Nakliye Montaj'!$AS$3:$AS$1002,MATCH('DIVA Satislari'!AJ815,'E2E Nakliye Montaj'!$AM$3:$AM$1002,0)),"Eşleşme Yok"))</f>
        <v/>
      </c>
      <c r="L815" s="26">
        <f>IF('DIVA Satislari'!I815="","",IFERROR(INDEX('E2E Nakliye Montaj'!$AT$3:$AT$1002,MATCH('DIVA Satislari'!AJ815,'E2E Nakliye Montaj'!$AM$3:$AM$1002,0)),"Hayır"))</f>
        <v/>
      </c>
      <c r="M815" s="26">
        <f>IF('DIVA Satislari'!I815="","",IFERROR(INDEX('E2E Nakliye Montaj'!$AU$3:$AU$1002,MATCH('DIVA Satislari'!AJ815,'E2E Nakliye Montaj'!$AM$3:$AM$1002,0)),"Hayır"))</f>
        <v/>
      </c>
      <c r="N815" s="27">
        <f>IF('DIVA Satislari'!I815="","",IFERROR(INDEX('E2E Nakliye Montaj'!$AV$3:$AV$1002,MATCH('DIVA Satislari'!AJ815,'E2E Nakliye Montaj'!$AM$3:$AM$1002,0)),""))</f>
        <v/>
      </c>
      <c r="O815" s="26">
        <f>IF(OR(A815="",N815=""),"",IF(N815&lt;=H815,"Evet","HAYIR - RİSK"))</f>
        <v/>
      </c>
      <c r="P815" s="26">
        <f>IF(A815="","",IF(LEFT(J815,8)="Kural A ","Uygun - Hemen Ödenir (Yıl Sonu %75 Kontrolüne Tabi)",IF(OR(L815="Evet",M815="Evet"),IF(O815="Evet","Uygun","RİSK - Hakediş Süresi Aşıldı"),"Bekleniyor - Nakliye/Montaj Tamamlanmadı")))</f>
        <v/>
      </c>
      <c r="Q815" s="28">
        <f>IF(A815="","",SUMIFS('Hakedis Fatura Detay'!$G$3:$G$1200,'Hakedis Fatura Detay'!$H$3:$H$1200,'DIVA Satislari'!AJ815,'Hakedis Fatura Detay'!$F$3:$F$1200,"Fiyat Farkı")+SUMIFS('Hakedis Fatura Detay'!$G$3:$G$1200,'Hakedis Fatura Detay'!$H$3:$H$1200,'DIVA Satislari'!AJ815,'Hakedis Fatura Detay'!$F$3:$F$1200,"Bundle"))</f>
        <v/>
      </c>
      <c r="R815" s="28">
        <f>IF(A815="","",I815-Q815)</f>
        <v/>
      </c>
      <c r="S815" s="26">
        <f>IF(A815="","",IF(LEFT(P815,7)="Bekleni","N/A - Henüz Ödenmemeli",IF(LEFT(P815,4)="RİSK","İNCELEME GEREKLİ - Süre Aşımı",IF(R815=0,"Doğru",IF(R815&gt;0,"EKSİK ÖDENMİŞ","FAZLA ÖDENMİŞ")))))</f>
        <v/>
      </c>
      <c r="T815" s="30">
        <f>IF(A815="","",IF(F815&lt;&gt;"Evet","İNCELEME GEREKLİ - Kampanya Tanımsız",IF(G815&lt;&gt;"Evet","İNCELEME GEREKLİ - Tarih Dışı Satış",IF(LEFT(P815,4)="RİSK","İNCELEME GEREKLİ - Hakediş Süresi Aşıldı",IF(OR(S815="EKSİK ÖDENMİŞ",S815="FAZLA ÖDENMİŞ"),"İNCELEME GEREKLİ - Tutar Uyuşmazlığı",IF(LEFT(P815,7)="Bekleni","Bekleniyor","Uygun"))))))</f>
        <v/>
      </c>
    </row>
    <row r="816">
      <c r="A816" s="26">
        <f>IF('DIVA Satislari'!I816="","",'DIVA Satislari'!I816)</f>
        <v/>
      </c>
      <c r="B816" s="26">
        <f>IF('DIVA Satislari'!I816="","",'DIVA Satislari'!R816)</f>
        <v/>
      </c>
      <c r="C816" s="26">
        <f>IF('DIVA Satislari'!I816="","",'DIVA Satislari'!M816)</f>
        <v/>
      </c>
      <c r="D816" s="27">
        <f>IF('DIVA Satislari'!I816="","",'DIVA Satislari'!H816)</f>
        <v/>
      </c>
      <c r="E816" s="26">
        <f>IF('DIVA Satislari'!I816="","",'DIVA Satislari'!O816)</f>
        <v/>
      </c>
      <c r="F816" s="26">
        <f>IF('DIVA Satislari'!I816="","",'DIVA Satislari'!AK816)</f>
        <v/>
      </c>
      <c r="G816" s="26">
        <f>IF('DIVA Satislari'!I816="","",'DIVA Satislari'!AO816)</f>
        <v/>
      </c>
      <c r="H816" s="27">
        <f>IF('DIVA Satislari'!I816="","",'DIVA Satislari'!AN816)</f>
        <v/>
      </c>
      <c r="I816" s="28">
        <f>IF('DIVA Satislari'!I816="","",'DIVA Satislari'!AQ816)</f>
        <v/>
      </c>
      <c r="J816" s="26">
        <f>IF('DIVA Satislari'!I816="","",'DIVA Satislari'!AR816)</f>
        <v/>
      </c>
      <c r="K816" s="26">
        <f>IF('DIVA Satislari'!I816="","",IFERROR(INDEX('E2E Nakliye Montaj'!$AS$3:$AS$1002,MATCH('DIVA Satislari'!AJ816,'E2E Nakliye Montaj'!$AM$3:$AM$1002,0)),"Eşleşme Yok"))</f>
        <v/>
      </c>
      <c r="L816" s="26">
        <f>IF('DIVA Satislari'!I816="","",IFERROR(INDEX('E2E Nakliye Montaj'!$AT$3:$AT$1002,MATCH('DIVA Satislari'!AJ816,'E2E Nakliye Montaj'!$AM$3:$AM$1002,0)),"Hayır"))</f>
        <v/>
      </c>
      <c r="M816" s="26">
        <f>IF('DIVA Satislari'!I816="","",IFERROR(INDEX('E2E Nakliye Montaj'!$AU$3:$AU$1002,MATCH('DIVA Satislari'!AJ816,'E2E Nakliye Montaj'!$AM$3:$AM$1002,0)),"Hayır"))</f>
        <v/>
      </c>
      <c r="N816" s="27">
        <f>IF('DIVA Satislari'!I816="","",IFERROR(INDEX('E2E Nakliye Montaj'!$AV$3:$AV$1002,MATCH('DIVA Satislari'!AJ816,'E2E Nakliye Montaj'!$AM$3:$AM$1002,0)),""))</f>
        <v/>
      </c>
      <c r="O816" s="26">
        <f>IF(OR(A816="",N816=""),"",IF(N816&lt;=H816,"Evet","HAYIR - RİSK"))</f>
        <v/>
      </c>
      <c r="P816" s="26">
        <f>IF(A816="","",IF(LEFT(J816,8)="Kural A ","Uygun - Hemen Ödenir (Yıl Sonu %75 Kontrolüne Tabi)",IF(OR(L816="Evet",M816="Evet"),IF(O816="Evet","Uygun","RİSK - Hakediş Süresi Aşıldı"),"Bekleniyor - Nakliye/Montaj Tamamlanmadı")))</f>
        <v/>
      </c>
      <c r="Q816" s="28">
        <f>IF(A816="","",SUMIFS('Hakedis Fatura Detay'!$G$3:$G$1200,'Hakedis Fatura Detay'!$H$3:$H$1200,'DIVA Satislari'!AJ816,'Hakedis Fatura Detay'!$F$3:$F$1200,"Fiyat Farkı")+SUMIFS('Hakedis Fatura Detay'!$G$3:$G$1200,'Hakedis Fatura Detay'!$H$3:$H$1200,'DIVA Satislari'!AJ816,'Hakedis Fatura Detay'!$F$3:$F$1200,"Bundle"))</f>
        <v/>
      </c>
      <c r="R816" s="28">
        <f>IF(A816="","",I816-Q816)</f>
        <v/>
      </c>
      <c r="S816" s="26">
        <f>IF(A816="","",IF(LEFT(P816,7)="Bekleni","N/A - Henüz Ödenmemeli",IF(LEFT(P816,4)="RİSK","İNCELEME GEREKLİ - Süre Aşımı",IF(R816=0,"Doğru",IF(R816&gt;0,"EKSİK ÖDENMİŞ","FAZLA ÖDENMİŞ")))))</f>
        <v/>
      </c>
      <c r="T816" s="30">
        <f>IF(A816="","",IF(F816&lt;&gt;"Evet","İNCELEME GEREKLİ - Kampanya Tanımsız",IF(G816&lt;&gt;"Evet","İNCELEME GEREKLİ - Tarih Dışı Satış",IF(LEFT(P816,4)="RİSK","İNCELEME GEREKLİ - Hakediş Süresi Aşıldı",IF(OR(S816="EKSİK ÖDENMİŞ",S816="FAZLA ÖDENMİŞ"),"İNCELEME GEREKLİ - Tutar Uyuşmazlığı",IF(LEFT(P816,7)="Bekleni","Bekleniyor","Uygun"))))))</f>
        <v/>
      </c>
    </row>
    <row r="817">
      <c r="A817" s="26">
        <f>IF('DIVA Satislari'!I817="","",'DIVA Satislari'!I817)</f>
        <v/>
      </c>
      <c r="B817" s="26">
        <f>IF('DIVA Satislari'!I817="","",'DIVA Satislari'!R817)</f>
        <v/>
      </c>
      <c r="C817" s="26">
        <f>IF('DIVA Satislari'!I817="","",'DIVA Satislari'!M817)</f>
        <v/>
      </c>
      <c r="D817" s="27">
        <f>IF('DIVA Satislari'!I817="","",'DIVA Satislari'!H817)</f>
        <v/>
      </c>
      <c r="E817" s="26">
        <f>IF('DIVA Satislari'!I817="","",'DIVA Satislari'!O817)</f>
        <v/>
      </c>
      <c r="F817" s="26">
        <f>IF('DIVA Satislari'!I817="","",'DIVA Satislari'!AK817)</f>
        <v/>
      </c>
      <c r="G817" s="26">
        <f>IF('DIVA Satislari'!I817="","",'DIVA Satislari'!AO817)</f>
        <v/>
      </c>
      <c r="H817" s="27">
        <f>IF('DIVA Satislari'!I817="","",'DIVA Satislari'!AN817)</f>
        <v/>
      </c>
      <c r="I817" s="28">
        <f>IF('DIVA Satislari'!I817="","",'DIVA Satislari'!AQ817)</f>
        <v/>
      </c>
      <c r="J817" s="26">
        <f>IF('DIVA Satislari'!I817="","",'DIVA Satislari'!AR817)</f>
        <v/>
      </c>
      <c r="K817" s="26">
        <f>IF('DIVA Satislari'!I817="","",IFERROR(INDEX('E2E Nakliye Montaj'!$AS$3:$AS$1002,MATCH('DIVA Satislari'!AJ817,'E2E Nakliye Montaj'!$AM$3:$AM$1002,0)),"Eşleşme Yok"))</f>
        <v/>
      </c>
      <c r="L817" s="26">
        <f>IF('DIVA Satislari'!I817="","",IFERROR(INDEX('E2E Nakliye Montaj'!$AT$3:$AT$1002,MATCH('DIVA Satislari'!AJ817,'E2E Nakliye Montaj'!$AM$3:$AM$1002,0)),"Hayır"))</f>
        <v/>
      </c>
      <c r="M817" s="26">
        <f>IF('DIVA Satislari'!I817="","",IFERROR(INDEX('E2E Nakliye Montaj'!$AU$3:$AU$1002,MATCH('DIVA Satislari'!AJ817,'E2E Nakliye Montaj'!$AM$3:$AM$1002,0)),"Hayır"))</f>
        <v/>
      </c>
      <c r="N817" s="27">
        <f>IF('DIVA Satislari'!I817="","",IFERROR(INDEX('E2E Nakliye Montaj'!$AV$3:$AV$1002,MATCH('DIVA Satislari'!AJ817,'E2E Nakliye Montaj'!$AM$3:$AM$1002,0)),""))</f>
        <v/>
      </c>
      <c r="O817" s="26">
        <f>IF(OR(A817="",N817=""),"",IF(N817&lt;=H817,"Evet","HAYIR - RİSK"))</f>
        <v/>
      </c>
      <c r="P817" s="26">
        <f>IF(A817="","",IF(LEFT(J817,8)="Kural A ","Uygun - Hemen Ödenir (Yıl Sonu %75 Kontrolüne Tabi)",IF(OR(L817="Evet",M817="Evet"),IF(O817="Evet","Uygun","RİSK - Hakediş Süresi Aşıldı"),"Bekleniyor - Nakliye/Montaj Tamamlanmadı")))</f>
        <v/>
      </c>
      <c r="Q817" s="28">
        <f>IF(A817="","",SUMIFS('Hakedis Fatura Detay'!$G$3:$G$1200,'Hakedis Fatura Detay'!$H$3:$H$1200,'DIVA Satislari'!AJ817,'Hakedis Fatura Detay'!$F$3:$F$1200,"Fiyat Farkı")+SUMIFS('Hakedis Fatura Detay'!$G$3:$G$1200,'Hakedis Fatura Detay'!$H$3:$H$1200,'DIVA Satislari'!AJ817,'Hakedis Fatura Detay'!$F$3:$F$1200,"Bundle"))</f>
        <v/>
      </c>
      <c r="R817" s="28">
        <f>IF(A817="","",I817-Q817)</f>
        <v/>
      </c>
      <c r="S817" s="26">
        <f>IF(A817="","",IF(LEFT(P817,7)="Bekleni","N/A - Henüz Ödenmemeli",IF(LEFT(P817,4)="RİSK","İNCELEME GEREKLİ - Süre Aşımı",IF(R817=0,"Doğru",IF(R817&gt;0,"EKSİK ÖDENMİŞ","FAZLA ÖDENMİŞ")))))</f>
        <v/>
      </c>
      <c r="T817" s="30">
        <f>IF(A817="","",IF(F817&lt;&gt;"Evet","İNCELEME GEREKLİ - Kampanya Tanımsız",IF(G817&lt;&gt;"Evet","İNCELEME GEREKLİ - Tarih Dışı Satış",IF(LEFT(P817,4)="RİSK","İNCELEME GEREKLİ - Hakediş Süresi Aşıldı",IF(OR(S817="EKSİK ÖDENMİŞ",S817="FAZLA ÖDENMİŞ"),"İNCELEME GEREKLİ - Tutar Uyuşmazlığı",IF(LEFT(P817,7)="Bekleni","Bekleniyor","Uygun"))))))</f>
        <v/>
      </c>
    </row>
    <row r="818">
      <c r="A818" s="26">
        <f>IF('DIVA Satislari'!I818="","",'DIVA Satislari'!I818)</f>
        <v/>
      </c>
      <c r="B818" s="26">
        <f>IF('DIVA Satislari'!I818="","",'DIVA Satislari'!R818)</f>
        <v/>
      </c>
      <c r="C818" s="26">
        <f>IF('DIVA Satislari'!I818="","",'DIVA Satislari'!M818)</f>
        <v/>
      </c>
      <c r="D818" s="27">
        <f>IF('DIVA Satislari'!I818="","",'DIVA Satislari'!H818)</f>
        <v/>
      </c>
      <c r="E818" s="26">
        <f>IF('DIVA Satislari'!I818="","",'DIVA Satislari'!O818)</f>
        <v/>
      </c>
      <c r="F818" s="26">
        <f>IF('DIVA Satislari'!I818="","",'DIVA Satislari'!AK818)</f>
        <v/>
      </c>
      <c r="G818" s="26">
        <f>IF('DIVA Satislari'!I818="","",'DIVA Satislari'!AO818)</f>
        <v/>
      </c>
      <c r="H818" s="27">
        <f>IF('DIVA Satislari'!I818="","",'DIVA Satislari'!AN818)</f>
        <v/>
      </c>
      <c r="I818" s="28">
        <f>IF('DIVA Satislari'!I818="","",'DIVA Satislari'!AQ818)</f>
        <v/>
      </c>
      <c r="J818" s="26">
        <f>IF('DIVA Satislari'!I818="","",'DIVA Satislari'!AR818)</f>
        <v/>
      </c>
      <c r="K818" s="26">
        <f>IF('DIVA Satislari'!I818="","",IFERROR(INDEX('E2E Nakliye Montaj'!$AS$3:$AS$1002,MATCH('DIVA Satislari'!AJ818,'E2E Nakliye Montaj'!$AM$3:$AM$1002,0)),"Eşleşme Yok"))</f>
        <v/>
      </c>
      <c r="L818" s="26">
        <f>IF('DIVA Satislari'!I818="","",IFERROR(INDEX('E2E Nakliye Montaj'!$AT$3:$AT$1002,MATCH('DIVA Satislari'!AJ818,'E2E Nakliye Montaj'!$AM$3:$AM$1002,0)),"Hayır"))</f>
        <v/>
      </c>
      <c r="M818" s="26">
        <f>IF('DIVA Satislari'!I818="","",IFERROR(INDEX('E2E Nakliye Montaj'!$AU$3:$AU$1002,MATCH('DIVA Satislari'!AJ818,'E2E Nakliye Montaj'!$AM$3:$AM$1002,0)),"Hayır"))</f>
        <v/>
      </c>
      <c r="N818" s="27">
        <f>IF('DIVA Satislari'!I818="","",IFERROR(INDEX('E2E Nakliye Montaj'!$AV$3:$AV$1002,MATCH('DIVA Satislari'!AJ818,'E2E Nakliye Montaj'!$AM$3:$AM$1002,0)),""))</f>
        <v/>
      </c>
      <c r="O818" s="26">
        <f>IF(OR(A818="",N818=""),"",IF(N818&lt;=H818,"Evet","HAYIR - RİSK"))</f>
        <v/>
      </c>
      <c r="P818" s="26">
        <f>IF(A818="","",IF(LEFT(J818,8)="Kural A ","Uygun - Hemen Ödenir (Yıl Sonu %75 Kontrolüne Tabi)",IF(OR(L818="Evet",M818="Evet"),IF(O818="Evet","Uygun","RİSK - Hakediş Süresi Aşıldı"),"Bekleniyor - Nakliye/Montaj Tamamlanmadı")))</f>
        <v/>
      </c>
      <c r="Q818" s="28">
        <f>IF(A818="","",SUMIFS('Hakedis Fatura Detay'!$G$3:$G$1200,'Hakedis Fatura Detay'!$H$3:$H$1200,'DIVA Satislari'!AJ818,'Hakedis Fatura Detay'!$F$3:$F$1200,"Fiyat Farkı")+SUMIFS('Hakedis Fatura Detay'!$G$3:$G$1200,'Hakedis Fatura Detay'!$H$3:$H$1200,'DIVA Satislari'!AJ818,'Hakedis Fatura Detay'!$F$3:$F$1200,"Bundle"))</f>
        <v/>
      </c>
      <c r="R818" s="28">
        <f>IF(A818="","",I818-Q818)</f>
        <v/>
      </c>
      <c r="S818" s="26">
        <f>IF(A818="","",IF(LEFT(P818,7)="Bekleni","N/A - Henüz Ödenmemeli",IF(LEFT(P818,4)="RİSK","İNCELEME GEREKLİ - Süre Aşımı",IF(R818=0,"Doğru",IF(R818&gt;0,"EKSİK ÖDENMİŞ","FAZLA ÖDENMİŞ")))))</f>
        <v/>
      </c>
      <c r="T818" s="30">
        <f>IF(A818="","",IF(F818&lt;&gt;"Evet","İNCELEME GEREKLİ - Kampanya Tanımsız",IF(G818&lt;&gt;"Evet","İNCELEME GEREKLİ - Tarih Dışı Satış",IF(LEFT(P818,4)="RİSK","İNCELEME GEREKLİ - Hakediş Süresi Aşıldı",IF(OR(S818="EKSİK ÖDENMİŞ",S818="FAZLA ÖDENMİŞ"),"İNCELEME GEREKLİ - Tutar Uyuşmazlığı",IF(LEFT(P818,7)="Bekleni","Bekleniyor","Uygun"))))))</f>
        <v/>
      </c>
    </row>
    <row r="819">
      <c r="A819" s="26">
        <f>IF('DIVA Satislari'!I819="","",'DIVA Satislari'!I819)</f>
        <v/>
      </c>
      <c r="B819" s="26">
        <f>IF('DIVA Satislari'!I819="","",'DIVA Satislari'!R819)</f>
        <v/>
      </c>
      <c r="C819" s="26">
        <f>IF('DIVA Satislari'!I819="","",'DIVA Satislari'!M819)</f>
        <v/>
      </c>
      <c r="D819" s="27">
        <f>IF('DIVA Satislari'!I819="","",'DIVA Satislari'!H819)</f>
        <v/>
      </c>
      <c r="E819" s="26">
        <f>IF('DIVA Satislari'!I819="","",'DIVA Satislari'!O819)</f>
        <v/>
      </c>
      <c r="F819" s="26">
        <f>IF('DIVA Satislari'!I819="","",'DIVA Satislari'!AK819)</f>
        <v/>
      </c>
      <c r="G819" s="26">
        <f>IF('DIVA Satislari'!I819="","",'DIVA Satislari'!AO819)</f>
        <v/>
      </c>
      <c r="H819" s="27">
        <f>IF('DIVA Satislari'!I819="","",'DIVA Satislari'!AN819)</f>
        <v/>
      </c>
      <c r="I819" s="28">
        <f>IF('DIVA Satislari'!I819="","",'DIVA Satislari'!AQ819)</f>
        <v/>
      </c>
      <c r="J819" s="26">
        <f>IF('DIVA Satislari'!I819="","",'DIVA Satislari'!AR819)</f>
        <v/>
      </c>
      <c r="K819" s="26">
        <f>IF('DIVA Satislari'!I819="","",IFERROR(INDEX('E2E Nakliye Montaj'!$AS$3:$AS$1002,MATCH('DIVA Satislari'!AJ819,'E2E Nakliye Montaj'!$AM$3:$AM$1002,0)),"Eşleşme Yok"))</f>
        <v/>
      </c>
      <c r="L819" s="26">
        <f>IF('DIVA Satislari'!I819="","",IFERROR(INDEX('E2E Nakliye Montaj'!$AT$3:$AT$1002,MATCH('DIVA Satislari'!AJ819,'E2E Nakliye Montaj'!$AM$3:$AM$1002,0)),"Hayır"))</f>
        <v/>
      </c>
      <c r="M819" s="26">
        <f>IF('DIVA Satislari'!I819="","",IFERROR(INDEX('E2E Nakliye Montaj'!$AU$3:$AU$1002,MATCH('DIVA Satislari'!AJ819,'E2E Nakliye Montaj'!$AM$3:$AM$1002,0)),"Hayır"))</f>
        <v/>
      </c>
      <c r="N819" s="27">
        <f>IF('DIVA Satislari'!I819="","",IFERROR(INDEX('E2E Nakliye Montaj'!$AV$3:$AV$1002,MATCH('DIVA Satislari'!AJ819,'E2E Nakliye Montaj'!$AM$3:$AM$1002,0)),""))</f>
        <v/>
      </c>
      <c r="O819" s="26">
        <f>IF(OR(A819="",N819=""),"",IF(N819&lt;=H819,"Evet","HAYIR - RİSK"))</f>
        <v/>
      </c>
      <c r="P819" s="26">
        <f>IF(A819="","",IF(LEFT(J819,8)="Kural A ","Uygun - Hemen Ödenir (Yıl Sonu %75 Kontrolüne Tabi)",IF(OR(L819="Evet",M819="Evet"),IF(O819="Evet","Uygun","RİSK - Hakediş Süresi Aşıldı"),"Bekleniyor - Nakliye/Montaj Tamamlanmadı")))</f>
        <v/>
      </c>
      <c r="Q819" s="28">
        <f>IF(A819="","",SUMIFS('Hakedis Fatura Detay'!$G$3:$G$1200,'Hakedis Fatura Detay'!$H$3:$H$1200,'DIVA Satislari'!AJ819,'Hakedis Fatura Detay'!$F$3:$F$1200,"Fiyat Farkı")+SUMIFS('Hakedis Fatura Detay'!$G$3:$G$1200,'Hakedis Fatura Detay'!$H$3:$H$1200,'DIVA Satislari'!AJ819,'Hakedis Fatura Detay'!$F$3:$F$1200,"Bundle"))</f>
        <v/>
      </c>
      <c r="R819" s="28">
        <f>IF(A819="","",I819-Q819)</f>
        <v/>
      </c>
      <c r="S819" s="26">
        <f>IF(A819="","",IF(LEFT(P819,7)="Bekleni","N/A - Henüz Ödenmemeli",IF(LEFT(P819,4)="RİSK","İNCELEME GEREKLİ - Süre Aşımı",IF(R819=0,"Doğru",IF(R819&gt;0,"EKSİK ÖDENMİŞ","FAZLA ÖDENMİŞ")))))</f>
        <v/>
      </c>
      <c r="T819" s="30">
        <f>IF(A819="","",IF(F819&lt;&gt;"Evet","İNCELEME GEREKLİ - Kampanya Tanımsız",IF(G819&lt;&gt;"Evet","İNCELEME GEREKLİ - Tarih Dışı Satış",IF(LEFT(P819,4)="RİSK","İNCELEME GEREKLİ - Hakediş Süresi Aşıldı",IF(OR(S819="EKSİK ÖDENMİŞ",S819="FAZLA ÖDENMİŞ"),"İNCELEME GEREKLİ - Tutar Uyuşmazlığı",IF(LEFT(P819,7)="Bekleni","Bekleniyor","Uygun"))))))</f>
        <v/>
      </c>
    </row>
    <row r="820">
      <c r="A820" s="26">
        <f>IF('DIVA Satislari'!I820="","",'DIVA Satislari'!I820)</f>
        <v/>
      </c>
      <c r="B820" s="26">
        <f>IF('DIVA Satislari'!I820="","",'DIVA Satislari'!R820)</f>
        <v/>
      </c>
      <c r="C820" s="26">
        <f>IF('DIVA Satislari'!I820="","",'DIVA Satislari'!M820)</f>
        <v/>
      </c>
      <c r="D820" s="27">
        <f>IF('DIVA Satislari'!I820="","",'DIVA Satislari'!H820)</f>
        <v/>
      </c>
      <c r="E820" s="26">
        <f>IF('DIVA Satislari'!I820="","",'DIVA Satislari'!O820)</f>
        <v/>
      </c>
      <c r="F820" s="26">
        <f>IF('DIVA Satislari'!I820="","",'DIVA Satislari'!AK820)</f>
        <v/>
      </c>
      <c r="G820" s="26">
        <f>IF('DIVA Satislari'!I820="","",'DIVA Satislari'!AO820)</f>
        <v/>
      </c>
      <c r="H820" s="27">
        <f>IF('DIVA Satislari'!I820="","",'DIVA Satislari'!AN820)</f>
        <v/>
      </c>
      <c r="I820" s="28">
        <f>IF('DIVA Satislari'!I820="","",'DIVA Satislari'!AQ820)</f>
        <v/>
      </c>
      <c r="J820" s="26">
        <f>IF('DIVA Satislari'!I820="","",'DIVA Satislari'!AR820)</f>
        <v/>
      </c>
      <c r="K820" s="26">
        <f>IF('DIVA Satislari'!I820="","",IFERROR(INDEX('E2E Nakliye Montaj'!$AS$3:$AS$1002,MATCH('DIVA Satislari'!AJ820,'E2E Nakliye Montaj'!$AM$3:$AM$1002,0)),"Eşleşme Yok"))</f>
        <v/>
      </c>
      <c r="L820" s="26">
        <f>IF('DIVA Satislari'!I820="","",IFERROR(INDEX('E2E Nakliye Montaj'!$AT$3:$AT$1002,MATCH('DIVA Satislari'!AJ820,'E2E Nakliye Montaj'!$AM$3:$AM$1002,0)),"Hayır"))</f>
        <v/>
      </c>
      <c r="M820" s="26">
        <f>IF('DIVA Satislari'!I820="","",IFERROR(INDEX('E2E Nakliye Montaj'!$AU$3:$AU$1002,MATCH('DIVA Satislari'!AJ820,'E2E Nakliye Montaj'!$AM$3:$AM$1002,0)),"Hayır"))</f>
        <v/>
      </c>
      <c r="N820" s="27">
        <f>IF('DIVA Satislari'!I820="","",IFERROR(INDEX('E2E Nakliye Montaj'!$AV$3:$AV$1002,MATCH('DIVA Satislari'!AJ820,'E2E Nakliye Montaj'!$AM$3:$AM$1002,0)),""))</f>
        <v/>
      </c>
      <c r="O820" s="26">
        <f>IF(OR(A820="",N820=""),"",IF(N820&lt;=H820,"Evet","HAYIR - RİSK"))</f>
        <v/>
      </c>
      <c r="P820" s="26">
        <f>IF(A820="","",IF(LEFT(J820,8)="Kural A ","Uygun - Hemen Ödenir (Yıl Sonu %75 Kontrolüne Tabi)",IF(OR(L820="Evet",M820="Evet"),IF(O820="Evet","Uygun","RİSK - Hakediş Süresi Aşıldı"),"Bekleniyor - Nakliye/Montaj Tamamlanmadı")))</f>
        <v/>
      </c>
      <c r="Q820" s="28">
        <f>IF(A820="","",SUMIFS('Hakedis Fatura Detay'!$G$3:$G$1200,'Hakedis Fatura Detay'!$H$3:$H$1200,'DIVA Satislari'!AJ820,'Hakedis Fatura Detay'!$F$3:$F$1200,"Fiyat Farkı")+SUMIFS('Hakedis Fatura Detay'!$G$3:$G$1200,'Hakedis Fatura Detay'!$H$3:$H$1200,'DIVA Satislari'!AJ820,'Hakedis Fatura Detay'!$F$3:$F$1200,"Bundle"))</f>
        <v/>
      </c>
      <c r="R820" s="28">
        <f>IF(A820="","",I820-Q820)</f>
        <v/>
      </c>
      <c r="S820" s="26">
        <f>IF(A820="","",IF(LEFT(P820,7)="Bekleni","N/A - Henüz Ödenmemeli",IF(LEFT(P820,4)="RİSK","İNCELEME GEREKLİ - Süre Aşımı",IF(R820=0,"Doğru",IF(R820&gt;0,"EKSİK ÖDENMİŞ","FAZLA ÖDENMİŞ")))))</f>
        <v/>
      </c>
      <c r="T820" s="30">
        <f>IF(A820="","",IF(F820&lt;&gt;"Evet","İNCELEME GEREKLİ - Kampanya Tanımsız",IF(G820&lt;&gt;"Evet","İNCELEME GEREKLİ - Tarih Dışı Satış",IF(LEFT(P820,4)="RİSK","İNCELEME GEREKLİ - Hakediş Süresi Aşıldı",IF(OR(S820="EKSİK ÖDENMİŞ",S820="FAZLA ÖDENMİŞ"),"İNCELEME GEREKLİ - Tutar Uyuşmazlığı",IF(LEFT(P820,7)="Bekleni","Bekleniyor","Uygun"))))))</f>
        <v/>
      </c>
    </row>
    <row r="821">
      <c r="A821" s="26">
        <f>IF('DIVA Satislari'!I821="","",'DIVA Satislari'!I821)</f>
        <v/>
      </c>
      <c r="B821" s="26">
        <f>IF('DIVA Satislari'!I821="","",'DIVA Satislari'!R821)</f>
        <v/>
      </c>
      <c r="C821" s="26">
        <f>IF('DIVA Satislari'!I821="","",'DIVA Satislari'!M821)</f>
        <v/>
      </c>
      <c r="D821" s="27">
        <f>IF('DIVA Satislari'!I821="","",'DIVA Satislari'!H821)</f>
        <v/>
      </c>
      <c r="E821" s="26">
        <f>IF('DIVA Satislari'!I821="","",'DIVA Satislari'!O821)</f>
        <v/>
      </c>
      <c r="F821" s="26">
        <f>IF('DIVA Satislari'!I821="","",'DIVA Satislari'!AK821)</f>
        <v/>
      </c>
      <c r="G821" s="26">
        <f>IF('DIVA Satislari'!I821="","",'DIVA Satislari'!AO821)</f>
        <v/>
      </c>
      <c r="H821" s="27">
        <f>IF('DIVA Satislari'!I821="","",'DIVA Satislari'!AN821)</f>
        <v/>
      </c>
      <c r="I821" s="28">
        <f>IF('DIVA Satislari'!I821="","",'DIVA Satislari'!AQ821)</f>
        <v/>
      </c>
      <c r="J821" s="26">
        <f>IF('DIVA Satislari'!I821="","",'DIVA Satislari'!AR821)</f>
        <v/>
      </c>
      <c r="K821" s="26">
        <f>IF('DIVA Satislari'!I821="","",IFERROR(INDEX('E2E Nakliye Montaj'!$AS$3:$AS$1002,MATCH('DIVA Satislari'!AJ821,'E2E Nakliye Montaj'!$AM$3:$AM$1002,0)),"Eşleşme Yok"))</f>
        <v/>
      </c>
      <c r="L821" s="26">
        <f>IF('DIVA Satislari'!I821="","",IFERROR(INDEX('E2E Nakliye Montaj'!$AT$3:$AT$1002,MATCH('DIVA Satislari'!AJ821,'E2E Nakliye Montaj'!$AM$3:$AM$1002,0)),"Hayır"))</f>
        <v/>
      </c>
      <c r="M821" s="26">
        <f>IF('DIVA Satislari'!I821="","",IFERROR(INDEX('E2E Nakliye Montaj'!$AU$3:$AU$1002,MATCH('DIVA Satislari'!AJ821,'E2E Nakliye Montaj'!$AM$3:$AM$1002,0)),"Hayır"))</f>
        <v/>
      </c>
      <c r="N821" s="27">
        <f>IF('DIVA Satislari'!I821="","",IFERROR(INDEX('E2E Nakliye Montaj'!$AV$3:$AV$1002,MATCH('DIVA Satislari'!AJ821,'E2E Nakliye Montaj'!$AM$3:$AM$1002,0)),""))</f>
        <v/>
      </c>
      <c r="O821" s="26">
        <f>IF(OR(A821="",N821=""),"",IF(N821&lt;=H821,"Evet","HAYIR - RİSK"))</f>
        <v/>
      </c>
      <c r="P821" s="26">
        <f>IF(A821="","",IF(LEFT(J821,8)="Kural A ","Uygun - Hemen Ödenir (Yıl Sonu %75 Kontrolüne Tabi)",IF(OR(L821="Evet",M821="Evet"),IF(O821="Evet","Uygun","RİSK - Hakediş Süresi Aşıldı"),"Bekleniyor - Nakliye/Montaj Tamamlanmadı")))</f>
        <v/>
      </c>
      <c r="Q821" s="28">
        <f>IF(A821="","",SUMIFS('Hakedis Fatura Detay'!$G$3:$G$1200,'Hakedis Fatura Detay'!$H$3:$H$1200,'DIVA Satislari'!AJ821,'Hakedis Fatura Detay'!$F$3:$F$1200,"Fiyat Farkı")+SUMIFS('Hakedis Fatura Detay'!$G$3:$G$1200,'Hakedis Fatura Detay'!$H$3:$H$1200,'DIVA Satislari'!AJ821,'Hakedis Fatura Detay'!$F$3:$F$1200,"Bundle"))</f>
        <v/>
      </c>
      <c r="R821" s="28">
        <f>IF(A821="","",I821-Q821)</f>
        <v/>
      </c>
      <c r="S821" s="26">
        <f>IF(A821="","",IF(LEFT(P821,7)="Bekleni","N/A - Henüz Ödenmemeli",IF(LEFT(P821,4)="RİSK","İNCELEME GEREKLİ - Süre Aşımı",IF(R821=0,"Doğru",IF(R821&gt;0,"EKSİK ÖDENMİŞ","FAZLA ÖDENMİŞ")))))</f>
        <v/>
      </c>
      <c r="T821" s="30">
        <f>IF(A821="","",IF(F821&lt;&gt;"Evet","İNCELEME GEREKLİ - Kampanya Tanımsız",IF(G821&lt;&gt;"Evet","İNCELEME GEREKLİ - Tarih Dışı Satış",IF(LEFT(P821,4)="RİSK","İNCELEME GEREKLİ - Hakediş Süresi Aşıldı",IF(OR(S821="EKSİK ÖDENMİŞ",S821="FAZLA ÖDENMİŞ"),"İNCELEME GEREKLİ - Tutar Uyuşmazlığı",IF(LEFT(P821,7)="Bekleni","Bekleniyor","Uygun"))))))</f>
        <v/>
      </c>
    </row>
    <row r="822">
      <c r="A822" s="26">
        <f>IF('DIVA Satislari'!I822="","",'DIVA Satislari'!I822)</f>
        <v/>
      </c>
      <c r="B822" s="26">
        <f>IF('DIVA Satislari'!I822="","",'DIVA Satislari'!R822)</f>
        <v/>
      </c>
      <c r="C822" s="26">
        <f>IF('DIVA Satislari'!I822="","",'DIVA Satislari'!M822)</f>
        <v/>
      </c>
      <c r="D822" s="27">
        <f>IF('DIVA Satislari'!I822="","",'DIVA Satislari'!H822)</f>
        <v/>
      </c>
      <c r="E822" s="26">
        <f>IF('DIVA Satislari'!I822="","",'DIVA Satislari'!O822)</f>
        <v/>
      </c>
      <c r="F822" s="26">
        <f>IF('DIVA Satislari'!I822="","",'DIVA Satislari'!AK822)</f>
        <v/>
      </c>
      <c r="G822" s="26">
        <f>IF('DIVA Satislari'!I822="","",'DIVA Satislari'!AO822)</f>
        <v/>
      </c>
      <c r="H822" s="27">
        <f>IF('DIVA Satislari'!I822="","",'DIVA Satislari'!AN822)</f>
        <v/>
      </c>
      <c r="I822" s="28">
        <f>IF('DIVA Satislari'!I822="","",'DIVA Satislari'!AQ822)</f>
        <v/>
      </c>
      <c r="J822" s="26">
        <f>IF('DIVA Satislari'!I822="","",'DIVA Satislari'!AR822)</f>
        <v/>
      </c>
      <c r="K822" s="26">
        <f>IF('DIVA Satislari'!I822="","",IFERROR(INDEX('E2E Nakliye Montaj'!$AS$3:$AS$1002,MATCH('DIVA Satislari'!AJ822,'E2E Nakliye Montaj'!$AM$3:$AM$1002,0)),"Eşleşme Yok"))</f>
        <v/>
      </c>
      <c r="L822" s="26">
        <f>IF('DIVA Satislari'!I822="","",IFERROR(INDEX('E2E Nakliye Montaj'!$AT$3:$AT$1002,MATCH('DIVA Satislari'!AJ822,'E2E Nakliye Montaj'!$AM$3:$AM$1002,0)),"Hayır"))</f>
        <v/>
      </c>
      <c r="M822" s="26">
        <f>IF('DIVA Satislari'!I822="","",IFERROR(INDEX('E2E Nakliye Montaj'!$AU$3:$AU$1002,MATCH('DIVA Satislari'!AJ822,'E2E Nakliye Montaj'!$AM$3:$AM$1002,0)),"Hayır"))</f>
        <v/>
      </c>
      <c r="N822" s="27">
        <f>IF('DIVA Satislari'!I822="","",IFERROR(INDEX('E2E Nakliye Montaj'!$AV$3:$AV$1002,MATCH('DIVA Satislari'!AJ822,'E2E Nakliye Montaj'!$AM$3:$AM$1002,0)),""))</f>
        <v/>
      </c>
      <c r="O822" s="26">
        <f>IF(OR(A822="",N822=""),"",IF(N822&lt;=H822,"Evet","HAYIR - RİSK"))</f>
        <v/>
      </c>
      <c r="P822" s="26">
        <f>IF(A822="","",IF(LEFT(J822,8)="Kural A ","Uygun - Hemen Ödenir (Yıl Sonu %75 Kontrolüne Tabi)",IF(OR(L822="Evet",M822="Evet"),IF(O822="Evet","Uygun","RİSK - Hakediş Süresi Aşıldı"),"Bekleniyor - Nakliye/Montaj Tamamlanmadı")))</f>
        <v/>
      </c>
      <c r="Q822" s="28">
        <f>IF(A822="","",SUMIFS('Hakedis Fatura Detay'!$G$3:$G$1200,'Hakedis Fatura Detay'!$H$3:$H$1200,'DIVA Satislari'!AJ822,'Hakedis Fatura Detay'!$F$3:$F$1200,"Fiyat Farkı")+SUMIFS('Hakedis Fatura Detay'!$G$3:$G$1200,'Hakedis Fatura Detay'!$H$3:$H$1200,'DIVA Satislari'!AJ822,'Hakedis Fatura Detay'!$F$3:$F$1200,"Bundle"))</f>
        <v/>
      </c>
      <c r="R822" s="28">
        <f>IF(A822="","",I822-Q822)</f>
        <v/>
      </c>
      <c r="S822" s="26">
        <f>IF(A822="","",IF(LEFT(P822,7)="Bekleni","N/A - Henüz Ödenmemeli",IF(LEFT(P822,4)="RİSK","İNCELEME GEREKLİ - Süre Aşımı",IF(R822=0,"Doğru",IF(R822&gt;0,"EKSİK ÖDENMİŞ","FAZLA ÖDENMİŞ")))))</f>
        <v/>
      </c>
      <c r="T822" s="30">
        <f>IF(A822="","",IF(F822&lt;&gt;"Evet","İNCELEME GEREKLİ - Kampanya Tanımsız",IF(G822&lt;&gt;"Evet","İNCELEME GEREKLİ - Tarih Dışı Satış",IF(LEFT(P822,4)="RİSK","İNCELEME GEREKLİ - Hakediş Süresi Aşıldı",IF(OR(S822="EKSİK ÖDENMİŞ",S822="FAZLA ÖDENMİŞ"),"İNCELEME GEREKLİ - Tutar Uyuşmazlığı",IF(LEFT(P822,7)="Bekleni","Bekleniyor","Uygun"))))))</f>
        <v/>
      </c>
    </row>
    <row r="823">
      <c r="A823" s="26">
        <f>IF('DIVA Satislari'!I823="","",'DIVA Satislari'!I823)</f>
        <v/>
      </c>
      <c r="B823" s="26">
        <f>IF('DIVA Satislari'!I823="","",'DIVA Satislari'!R823)</f>
        <v/>
      </c>
      <c r="C823" s="26">
        <f>IF('DIVA Satislari'!I823="","",'DIVA Satislari'!M823)</f>
        <v/>
      </c>
      <c r="D823" s="27">
        <f>IF('DIVA Satislari'!I823="","",'DIVA Satislari'!H823)</f>
        <v/>
      </c>
      <c r="E823" s="26">
        <f>IF('DIVA Satislari'!I823="","",'DIVA Satislari'!O823)</f>
        <v/>
      </c>
      <c r="F823" s="26">
        <f>IF('DIVA Satislari'!I823="","",'DIVA Satislari'!AK823)</f>
        <v/>
      </c>
      <c r="G823" s="26">
        <f>IF('DIVA Satislari'!I823="","",'DIVA Satislari'!AO823)</f>
        <v/>
      </c>
      <c r="H823" s="27">
        <f>IF('DIVA Satislari'!I823="","",'DIVA Satislari'!AN823)</f>
        <v/>
      </c>
      <c r="I823" s="28">
        <f>IF('DIVA Satislari'!I823="","",'DIVA Satislari'!AQ823)</f>
        <v/>
      </c>
      <c r="J823" s="26">
        <f>IF('DIVA Satislari'!I823="","",'DIVA Satislari'!AR823)</f>
        <v/>
      </c>
      <c r="K823" s="26">
        <f>IF('DIVA Satislari'!I823="","",IFERROR(INDEX('E2E Nakliye Montaj'!$AS$3:$AS$1002,MATCH('DIVA Satislari'!AJ823,'E2E Nakliye Montaj'!$AM$3:$AM$1002,0)),"Eşleşme Yok"))</f>
        <v/>
      </c>
      <c r="L823" s="26">
        <f>IF('DIVA Satislari'!I823="","",IFERROR(INDEX('E2E Nakliye Montaj'!$AT$3:$AT$1002,MATCH('DIVA Satislari'!AJ823,'E2E Nakliye Montaj'!$AM$3:$AM$1002,0)),"Hayır"))</f>
        <v/>
      </c>
      <c r="M823" s="26">
        <f>IF('DIVA Satislari'!I823="","",IFERROR(INDEX('E2E Nakliye Montaj'!$AU$3:$AU$1002,MATCH('DIVA Satislari'!AJ823,'E2E Nakliye Montaj'!$AM$3:$AM$1002,0)),"Hayır"))</f>
        <v/>
      </c>
      <c r="N823" s="27">
        <f>IF('DIVA Satislari'!I823="","",IFERROR(INDEX('E2E Nakliye Montaj'!$AV$3:$AV$1002,MATCH('DIVA Satislari'!AJ823,'E2E Nakliye Montaj'!$AM$3:$AM$1002,0)),""))</f>
        <v/>
      </c>
      <c r="O823" s="26">
        <f>IF(OR(A823="",N823=""),"",IF(N823&lt;=H823,"Evet","HAYIR - RİSK"))</f>
        <v/>
      </c>
      <c r="P823" s="26">
        <f>IF(A823="","",IF(LEFT(J823,8)="Kural A ","Uygun - Hemen Ödenir (Yıl Sonu %75 Kontrolüne Tabi)",IF(OR(L823="Evet",M823="Evet"),IF(O823="Evet","Uygun","RİSK - Hakediş Süresi Aşıldı"),"Bekleniyor - Nakliye/Montaj Tamamlanmadı")))</f>
        <v/>
      </c>
      <c r="Q823" s="28">
        <f>IF(A823="","",SUMIFS('Hakedis Fatura Detay'!$G$3:$G$1200,'Hakedis Fatura Detay'!$H$3:$H$1200,'DIVA Satislari'!AJ823,'Hakedis Fatura Detay'!$F$3:$F$1200,"Fiyat Farkı")+SUMIFS('Hakedis Fatura Detay'!$G$3:$G$1200,'Hakedis Fatura Detay'!$H$3:$H$1200,'DIVA Satislari'!AJ823,'Hakedis Fatura Detay'!$F$3:$F$1200,"Bundle"))</f>
        <v/>
      </c>
      <c r="R823" s="28">
        <f>IF(A823="","",I823-Q823)</f>
        <v/>
      </c>
      <c r="S823" s="26">
        <f>IF(A823="","",IF(LEFT(P823,7)="Bekleni","N/A - Henüz Ödenmemeli",IF(LEFT(P823,4)="RİSK","İNCELEME GEREKLİ - Süre Aşımı",IF(R823=0,"Doğru",IF(R823&gt;0,"EKSİK ÖDENMİŞ","FAZLA ÖDENMİŞ")))))</f>
        <v/>
      </c>
      <c r="T823" s="30">
        <f>IF(A823="","",IF(F823&lt;&gt;"Evet","İNCELEME GEREKLİ - Kampanya Tanımsız",IF(G823&lt;&gt;"Evet","İNCELEME GEREKLİ - Tarih Dışı Satış",IF(LEFT(P823,4)="RİSK","İNCELEME GEREKLİ - Hakediş Süresi Aşıldı",IF(OR(S823="EKSİK ÖDENMİŞ",S823="FAZLA ÖDENMİŞ"),"İNCELEME GEREKLİ - Tutar Uyuşmazlığı",IF(LEFT(P823,7)="Bekleni","Bekleniyor","Uygun"))))))</f>
        <v/>
      </c>
    </row>
    <row r="824">
      <c r="A824" s="26">
        <f>IF('DIVA Satislari'!I824="","",'DIVA Satislari'!I824)</f>
        <v/>
      </c>
      <c r="B824" s="26">
        <f>IF('DIVA Satislari'!I824="","",'DIVA Satislari'!R824)</f>
        <v/>
      </c>
      <c r="C824" s="26">
        <f>IF('DIVA Satislari'!I824="","",'DIVA Satislari'!M824)</f>
        <v/>
      </c>
      <c r="D824" s="27">
        <f>IF('DIVA Satislari'!I824="","",'DIVA Satislari'!H824)</f>
        <v/>
      </c>
      <c r="E824" s="26">
        <f>IF('DIVA Satislari'!I824="","",'DIVA Satislari'!O824)</f>
        <v/>
      </c>
      <c r="F824" s="26">
        <f>IF('DIVA Satislari'!I824="","",'DIVA Satislari'!AK824)</f>
        <v/>
      </c>
      <c r="G824" s="26">
        <f>IF('DIVA Satislari'!I824="","",'DIVA Satislari'!AO824)</f>
        <v/>
      </c>
      <c r="H824" s="27">
        <f>IF('DIVA Satislari'!I824="","",'DIVA Satislari'!AN824)</f>
        <v/>
      </c>
      <c r="I824" s="28">
        <f>IF('DIVA Satislari'!I824="","",'DIVA Satislari'!AQ824)</f>
        <v/>
      </c>
      <c r="J824" s="26">
        <f>IF('DIVA Satislari'!I824="","",'DIVA Satislari'!AR824)</f>
        <v/>
      </c>
      <c r="K824" s="26">
        <f>IF('DIVA Satislari'!I824="","",IFERROR(INDEX('E2E Nakliye Montaj'!$AS$3:$AS$1002,MATCH('DIVA Satislari'!AJ824,'E2E Nakliye Montaj'!$AM$3:$AM$1002,0)),"Eşleşme Yok"))</f>
        <v/>
      </c>
      <c r="L824" s="26">
        <f>IF('DIVA Satislari'!I824="","",IFERROR(INDEX('E2E Nakliye Montaj'!$AT$3:$AT$1002,MATCH('DIVA Satislari'!AJ824,'E2E Nakliye Montaj'!$AM$3:$AM$1002,0)),"Hayır"))</f>
        <v/>
      </c>
      <c r="M824" s="26">
        <f>IF('DIVA Satislari'!I824="","",IFERROR(INDEX('E2E Nakliye Montaj'!$AU$3:$AU$1002,MATCH('DIVA Satislari'!AJ824,'E2E Nakliye Montaj'!$AM$3:$AM$1002,0)),"Hayır"))</f>
        <v/>
      </c>
      <c r="N824" s="27">
        <f>IF('DIVA Satislari'!I824="","",IFERROR(INDEX('E2E Nakliye Montaj'!$AV$3:$AV$1002,MATCH('DIVA Satislari'!AJ824,'E2E Nakliye Montaj'!$AM$3:$AM$1002,0)),""))</f>
        <v/>
      </c>
      <c r="O824" s="26">
        <f>IF(OR(A824="",N824=""),"",IF(N824&lt;=H824,"Evet","HAYIR - RİSK"))</f>
        <v/>
      </c>
      <c r="P824" s="26">
        <f>IF(A824="","",IF(LEFT(J824,8)="Kural A ","Uygun - Hemen Ödenir (Yıl Sonu %75 Kontrolüne Tabi)",IF(OR(L824="Evet",M824="Evet"),IF(O824="Evet","Uygun","RİSK - Hakediş Süresi Aşıldı"),"Bekleniyor - Nakliye/Montaj Tamamlanmadı")))</f>
        <v/>
      </c>
      <c r="Q824" s="28">
        <f>IF(A824="","",SUMIFS('Hakedis Fatura Detay'!$G$3:$G$1200,'Hakedis Fatura Detay'!$H$3:$H$1200,'DIVA Satislari'!AJ824,'Hakedis Fatura Detay'!$F$3:$F$1200,"Fiyat Farkı")+SUMIFS('Hakedis Fatura Detay'!$G$3:$G$1200,'Hakedis Fatura Detay'!$H$3:$H$1200,'DIVA Satislari'!AJ824,'Hakedis Fatura Detay'!$F$3:$F$1200,"Bundle"))</f>
        <v/>
      </c>
      <c r="R824" s="28">
        <f>IF(A824="","",I824-Q824)</f>
        <v/>
      </c>
      <c r="S824" s="26">
        <f>IF(A824="","",IF(LEFT(P824,7)="Bekleni","N/A - Henüz Ödenmemeli",IF(LEFT(P824,4)="RİSK","İNCELEME GEREKLİ - Süre Aşımı",IF(R824=0,"Doğru",IF(R824&gt;0,"EKSİK ÖDENMİŞ","FAZLA ÖDENMİŞ")))))</f>
        <v/>
      </c>
      <c r="T824" s="30">
        <f>IF(A824="","",IF(F824&lt;&gt;"Evet","İNCELEME GEREKLİ - Kampanya Tanımsız",IF(G824&lt;&gt;"Evet","İNCELEME GEREKLİ - Tarih Dışı Satış",IF(LEFT(P824,4)="RİSK","İNCELEME GEREKLİ - Hakediş Süresi Aşıldı",IF(OR(S824="EKSİK ÖDENMİŞ",S824="FAZLA ÖDENMİŞ"),"İNCELEME GEREKLİ - Tutar Uyuşmazlığı",IF(LEFT(P824,7)="Bekleni","Bekleniyor","Uygun"))))))</f>
        <v/>
      </c>
    </row>
    <row r="825">
      <c r="A825" s="26">
        <f>IF('DIVA Satislari'!I825="","",'DIVA Satislari'!I825)</f>
        <v/>
      </c>
      <c r="B825" s="26">
        <f>IF('DIVA Satislari'!I825="","",'DIVA Satislari'!R825)</f>
        <v/>
      </c>
      <c r="C825" s="26">
        <f>IF('DIVA Satislari'!I825="","",'DIVA Satislari'!M825)</f>
        <v/>
      </c>
      <c r="D825" s="27">
        <f>IF('DIVA Satislari'!I825="","",'DIVA Satislari'!H825)</f>
        <v/>
      </c>
      <c r="E825" s="26">
        <f>IF('DIVA Satislari'!I825="","",'DIVA Satislari'!O825)</f>
        <v/>
      </c>
      <c r="F825" s="26">
        <f>IF('DIVA Satislari'!I825="","",'DIVA Satislari'!AK825)</f>
        <v/>
      </c>
      <c r="G825" s="26">
        <f>IF('DIVA Satislari'!I825="","",'DIVA Satislari'!AO825)</f>
        <v/>
      </c>
      <c r="H825" s="27">
        <f>IF('DIVA Satislari'!I825="","",'DIVA Satislari'!AN825)</f>
        <v/>
      </c>
      <c r="I825" s="28">
        <f>IF('DIVA Satislari'!I825="","",'DIVA Satislari'!AQ825)</f>
        <v/>
      </c>
      <c r="J825" s="26">
        <f>IF('DIVA Satislari'!I825="","",'DIVA Satislari'!AR825)</f>
        <v/>
      </c>
      <c r="K825" s="26">
        <f>IF('DIVA Satislari'!I825="","",IFERROR(INDEX('E2E Nakliye Montaj'!$AS$3:$AS$1002,MATCH('DIVA Satislari'!AJ825,'E2E Nakliye Montaj'!$AM$3:$AM$1002,0)),"Eşleşme Yok"))</f>
        <v/>
      </c>
      <c r="L825" s="26">
        <f>IF('DIVA Satislari'!I825="","",IFERROR(INDEX('E2E Nakliye Montaj'!$AT$3:$AT$1002,MATCH('DIVA Satislari'!AJ825,'E2E Nakliye Montaj'!$AM$3:$AM$1002,0)),"Hayır"))</f>
        <v/>
      </c>
      <c r="M825" s="26">
        <f>IF('DIVA Satislari'!I825="","",IFERROR(INDEX('E2E Nakliye Montaj'!$AU$3:$AU$1002,MATCH('DIVA Satislari'!AJ825,'E2E Nakliye Montaj'!$AM$3:$AM$1002,0)),"Hayır"))</f>
        <v/>
      </c>
      <c r="N825" s="27">
        <f>IF('DIVA Satislari'!I825="","",IFERROR(INDEX('E2E Nakliye Montaj'!$AV$3:$AV$1002,MATCH('DIVA Satislari'!AJ825,'E2E Nakliye Montaj'!$AM$3:$AM$1002,0)),""))</f>
        <v/>
      </c>
      <c r="O825" s="26">
        <f>IF(OR(A825="",N825=""),"",IF(N825&lt;=H825,"Evet","HAYIR - RİSK"))</f>
        <v/>
      </c>
      <c r="P825" s="26">
        <f>IF(A825="","",IF(LEFT(J825,8)="Kural A ","Uygun - Hemen Ödenir (Yıl Sonu %75 Kontrolüne Tabi)",IF(OR(L825="Evet",M825="Evet"),IF(O825="Evet","Uygun","RİSK - Hakediş Süresi Aşıldı"),"Bekleniyor - Nakliye/Montaj Tamamlanmadı")))</f>
        <v/>
      </c>
      <c r="Q825" s="28">
        <f>IF(A825="","",SUMIFS('Hakedis Fatura Detay'!$G$3:$G$1200,'Hakedis Fatura Detay'!$H$3:$H$1200,'DIVA Satislari'!AJ825,'Hakedis Fatura Detay'!$F$3:$F$1200,"Fiyat Farkı")+SUMIFS('Hakedis Fatura Detay'!$G$3:$G$1200,'Hakedis Fatura Detay'!$H$3:$H$1200,'DIVA Satislari'!AJ825,'Hakedis Fatura Detay'!$F$3:$F$1200,"Bundle"))</f>
        <v/>
      </c>
      <c r="R825" s="28">
        <f>IF(A825="","",I825-Q825)</f>
        <v/>
      </c>
      <c r="S825" s="26">
        <f>IF(A825="","",IF(LEFT(P825,7)="Bekleni","N/A - Henüz Ödenmemeli",IF(LEFT(P825,4)="RİSK","İNCELEME GEREKLİ - Süre Aşımı",IF(R825=0,"Doğru",IF(R825&gt;0,"EKSİK ÖDENMİŞ","FAZLA ÖDENMİŞ")))))</f>
        <v/>
      </c>
      <c r="T825" s="30">
        <f>IF(A825="","",IF(F825&lt;&gt;"Evet","İNCELEME GEREKLİ - Kampanya Tanımsız",IF(G825&lt;&gt;"Evet","İNCELEME GEREKLİ - Tarih Dışı Satış",IF(LEFT(P825,4)="RİSK","İNCELEME GEREKLİ - Hakediş Süresi Aşıldı",IF(OR(S825="EKSİK ÖDENMİŞ",S825="FAZLA ÖDENMİŞ"),"İNCELEME GEREKLİ - Tutar Uyuşmazlığı",IF(LEFT(P825,7)="Bekleni","Bekleniyor","Uygun"))))))</f>
        <v/>
      </c>
    </row>
    <row r="826">
      <c r="A826" s="26">
        <f>IF('DIVA Satislari'!I826="","",'DIVA Satislari'!I826)</f>
        <v/>
      </c>
      <c r="B826" s="26">
        <f>IF('DIVA Satislari'!I826="","",'DIVA Satislari'!R826)</f>
        <v/>
      </c>
      <c r="C826" s="26">
        <f>IF('DIVA Satislari'!I826="","",'DIVA Satislari'!M826)</f>
        <v/>
      </c>
      <c r="D826" s="27">
        <f>IF('DIVA Satislari'!I826="","",'DIVA Satislari'!H826)</f>
        <v/>
      </c>
      <c r="E826" s="26">
        <f>IF('DIVA Satislari'!I826="","",'DIVA Satislari'!O826)</f>
        <v/>
      </c>
      <c r="F826" s="26">
        <f>IF('DIVA Satislari'!I826="","",'DIVA Satislari'!AK826)</f>
        <v/>
      </c>
      <c r="G826" s="26">
        <f>IF('DIVA Satislari'!I826="","",'DIVA Satislari'!AO826)</f>
        <v/>
      </c>
      <c r="H826" s="27">
        <f>IF('DIVA Satislari'!I826="","",'DIVA Satislari'!AN826)</f>
        <v/>
      </c>
      <c r="I826" s="28">
        <f>IF('DIVA Satislari'!I826="","",'DIVA Satislari'!AQ826)</f>
        <v/>
      </c>
      <c r="J826" s="26">
        <f>IF('DIVA Satislari'!I826="","",'DIVA Satislari'!AR826)</f>
        <v/>
      </c>
      <c r="K826" s="26">
        <f>IF('DIVA Satislari'!I826="","",IFERROR(INDEX('E2E Nakliye Montaj'!$AS$3:$AS$1002,MATCH('DIVA Satislari'!AJ826,'E2E Nakliye Montaj'!$AM$3:$AM$1002,0)),"Eşleşme Yok"))</f>
        <v/>
      </c>
      <c r="L826" s="26">
        <f>IF('DIVA Satislari'!I826="","",IFERROR(INDEX('E2E Nakliye Montaj'!$AT$3:$AT$1002,MATCH('DIVA Satislari'!AJ826,'E2E Nakliye Montaj'!$AM$3:$AM$1002,0)),"Hayır"))</f>
        <v/>
      </c>
      <c r="M826" s="26">
        <f>IF('DIVA Satislari'!I826="","",IFERROR(INDEX('E2E Nakliye Montaj'!$AU$3:$AU$1002,MATCH('DIVA Satislari'!AJ826,'E2E Nakliye Montaj'!$AM$3:$AM$1002,0)),"Hayır"))</f>
        <v/>
      </c>
      <c r="N826" s="27">
        <f>IF('DIVA Satislari'!I826="","",IFERROR(INDEX('E2E Nakliye Montaj'!$AV$3:$AV$1002,MATCH('DIVA Satislari'!AJ826,'E2E Nakliye Montaj'!$AM$3:$AM$1002,0)),""))</f>
        <v/>
      </c>
      <c r="O826" s="26">
        <f>IF(OR(A826="",N826=""),"",IF(N826&lt;=H826,"Evet","HAYIR - RİSK"))</f>
        <v/>
      </c>
      <c r="P826" s="26">
        <f>IF(A826="","",IF(LEFT(J826,8)="Kural A ","Uygun - Hemen Ödenir (Yıl Sonu %75 Kontrolüne Tabi)",IF(OR(L826="Evet",M826="Evet"),IF(O826="Evet","Uygun","RİSK - Hakediş Süresi Aşıldı"),"Bekleniyor - Nakliye/Montaj Tamamlanmadı")))</f>
        <v/>
      </c>
      <c r="Q826" s="28">
        <f>IF(A826="","",SUMIFS('Hakedis Fatura Detay'!$G$3:$G$1200,'Hakedis Fatura Detay'!$H$3:$H$1200,'DIVA Satislari'!AJ826,'Hakedis Fatura Detay'!$F$3:$F$1200,"Fiyat Farkı")+SUMIFS('Hakedis Fatura Detay'!$G$3:$G$1200,'Hakedis Fatura Detay'!$H$3:$H$1200,'DIVA Satislari'!AJ826,'Hakedis Fatura Detay'!$F$3:$F$1200,"Bundle"))</f>
        <v/>
      </c>
      <c r="R826" s="28">
        <f>IF(A826="","",I826-Q826)</f>
        <v/>
      </c>
      <c r="S826" s="26">
        <f>IF(A826="","",IF(LEFT(P826,7)="Bekleni","N/A - Henüz Ödenmemeli",IF(LEFT(P826,4)="RİSK","İNCELEME GEREKLİ - Süre Aşımı",IF(R826=0,"Doğru",IF(R826&gt;0,"EKSİK ÖDENMİŞ","FAZLA ÖDENMİŞ")))))</f>
        <v/>
      </c>
      <c r="T826" s="30">
        <f>IF(A826="","",IF(F826&lt;&gt;"Evet","İNCELEME GEREKLİ - Kampanya Tanımsız",IF(G826&lt;&gt;"Evet","İNCELEME GEREKLİ - Tarih Dışı Satış",IF(LEFT(P826,4)="RİSK","İNCELEME GEREKLİ - Hakediş Süresi Aşıldı",IF(OR(S826="EKSİK ÖDENMİŞ",S826="FAZLA ÖDENMİŞ"),"İNCELEME GEREKLİ - Tutar Uyuşmazlığı",IF(LEFT(P826,7)="Bekleni","Bekleniyor","Uygun"))))))</f>
        <v/>
      </c>
    </row>
    <row r="827">
      <c r="A827" s="26">
        <f>IF('DIVA Satislari'!I827="","",'DIVA Satislari'!I827)</f>
        <v/>
      </c>
      <c r="B827" s="26">
        <f>IF('DIVA Satislari'!I827="","",'DIVA Satislari'!R827)</f>
        <v/>
      </c>
      <c r="C827" s="26">
        <f>IF('DIVA Satislari'!I827="","",'DIVA Satislari'!M827)</f>
        <v/>
      </c>
      <c r="D827" s="27">
        <f>IF('DIVA Satislari'!I827="","",'DIVA Satislari'!H827)</f>
        <v/>
      </c>
      <c r="E827" s="26">
        <f>IF('DIVA Satislari'!I827="","",'DIVA Satislari'!O827)</f>
        <v/>
      </c>
      <c r="F827" s="26">
        <f>IF('DIVA Satislari'!I827="","",'DIVA Satislari'!AK827)</f>
        <v/>
      </c>
      <c r="G827" s="26">
        <f>IF('DIVA Satislari'!I827="","",'DIVA Satislari'!AO827)</f>
        <v/>
      </c>
      <c r="H827" s="27">
        <f>IF('DIVA Satislari'!I827="","",'DIVA Satislari'!AN827)</f>
        <v/>
      </c>
      <c r="I827" s="28">
        <f>IF('DIVA Satislari'!I827="","",'DIVA Satislari'!AQ827)</f>
        <v/>
      </c>
      <c r="J827" s="26">
        <f>IF('DIVA Satislari'!I827="","",'DIVA Satislari'!AR827)</f>
        <v/>
      </c>
      <c r="K827" s="26">
        <f>IF('DIVA Satislari'!I827="","",IFERROR(INDEX('E2E Nakliye Montaj'!$AS$3:$AS$1002,MATCH('DIVA Satislari'!AJ827,'E2E Nakliye Montaj'!$AM$3:$AM$1002,0)),"Eşleşme Yok"))</f>
        <v/>
      </c>
      <c r="L827" s="26">
        <f>IF('DIVA Satislari'!I827="","",IFERROR(INDEX('E2E Nakliye Montaj'!$AT$3:$AT$1002,MATCH('DIVA Satislari'!AJ827,'E2E Nakliye Montaj'!$AM$3:$AM$1002,0)),"Hayır"))</f>
        <v/>
      </c>
      <c r="M827" s="26">
        <f>IF('DIVA Satislari'!I827="","",IFERROR(INDEX('E2E Nakliye Montaj'!$AU$3:$AU$1002,MATCH('DIVA Satislari'!AJ827,'E2E Nakliye Montaj'!$AM$3:$AM$1002,0)),"Hayır"))</f>
        <v/>
      </c>
      <c r="N827" s="27">
        <f>IF('DIVA Satislari'!I827="","",IFERROR(INDEX('E2E Nakliye Montaj'!$AV$3:$AV$1002,MATCH('DIVA Satislari'!AJ827,'E2E Nakliye Montaj'!$AM$3:$AM$1002,0)),""))</f>
        <v/>
      </c>
      <c r="O827" s="26">
        <f>IF(OR(A827="",N827=""),"",IF(N827&lt;=H827,"Evet","HAYIR - RİSK"))</f>
        <v/>
      </c>
      <c r="P827" s="26">
        <f>IF(A827="","",IF(LEFT(J827,8)="Kural A ","Uygun - Hemen Ödenir (Yıl Sonu %75 Kontrolüne Tabi)",IF(OR(L827="Evet",M827="Evet"),IF(O827="Evet","Uygun","RİSK - Hakediş Süresi Aşıldı"),"Bekleniyor - Nakliye/Montaj Tamamlanmadı")))</f>
        <v/>
      </c>
      <c r="Q827" s="28">
        <f>IF(A827="","",SUMIFS('Hakedis Fatura Detay'!$G$3:$G$1200,'Hakedis Fatura Detay'!$H$3:$H$1200,'DIVA Satislari'!AJ827,'Hakedis Fatura Detay'!$F$3:$F$1200,"Fiyat Farkı")+SUMIFS('Hakedis Fatura Detay'!$G$3:$G$1200,'Hakedis Fatura Detay'!$H$3:$H$1200,'DIVA Satislari'!AJ827,'Hakedis Fatura Detay'!$F$3:$F$1200,"Bundle"))</f>
        <v/>
      </c>
      <c r="R827" s="28">
        <f>IF(A827="","",I827-Q827)</f>
        <v/>
      </c>
      <c r="S827" s="26">
        <f>IF(A827="","",IF(LEFT(P827,7)="Bekleni","N/A - Henüz Ödenmemeli",IF(LEFT(P827,4)="RİSK","İNCELEME GEREKLİ - Süre Aşımı",IF(R827=0,"Doğru",IF(R827&gt;0,"EKSİK ÖDENMİŞ","FAZLA ÖDENMİŞ")))))</f>
        <v/>
      </c>
      <c r="T827" s="30">
        <f>IF(A827="","",IF(F827&lt;&gt;"Evet","İNCELEME GEREKLİ - Kampanya Tanımsız",IF(G827&lt;&gt;"Evet","İNCELEME GEREKLİ - Tarih Dışı Satış",IF(LEFT(P827,4)="RİSK","İNCELEME GEREKLİ - Hakediş Süresi Aşıldı",IF(OR(S827="EKSİK ÖDENMİŞ",S827="FAZLA ÖDENMİŞ"),"İNCELEME GEREKLİ - Tutar Uyuşmazlığı",IF(LEFT(P827,7)="Bekleni","Bekleniyor","Uygun"))))))</f>
        <v/>
      </c>
    </row>
    <row r="828">
      <c r="A828" s="26">
        <f>IF('DIVA Satislari'!I828="","",'DIVA Satislari'!I828)</f>
        <v/>
      </c>
      <c r="B828" s="26">
        <f>IF('DIVA Satislari'!I828="","",'DIVA Satislari'!R828)</f>
        <v/>
      </c>
      <c r="C828" s="26">
        <f>IF('DIVA Satislari'!I828="","",'DIVA Satislari'!M828)</f>
        <v/>
      </c>
      <c r="D828" s="27">
        <f>IF('DIVA Satislari'!I828="","",'DIVA Satislari'!H828)</f>
        <v/>
      </c>
      <c r="E828" s="26">
        <f>IF('DIVA Satislari'!I828="","",'DIVA Satislari'!O828)</f>
        <v/>
      </c>
      <c r="F828" s="26">
        <f>IF('DIVA Satislari'!I828="","",'DIVA Satislari'!AK828)</f>
        <v/>
      </c>
      <c r="G828" s="26">
        <f>IF('DIVA Satislari'!I828="","",'DIVA Satislari'!AO828)</f>
        <v/>
      </c>
      <c r="H828" s="27">
        <f>IF('DIVA Satislari'!I828="","",'DIVA Satislari'!AN828)</f>
        <v/>
      </c>
      <c r="I828" s="28">
        <f>IF('DIVA Satislari'!I828="","",'DIVA Satislari'!AQ828)</f>
        <v/>
      </c>
      <c r="J828" s="26">
        <f>IF('DIVA Satislari'!I828="","",'DIVA Satislari'!AR828)</f>
        <v/>
      </c>
      <c r="K828" s="26">
        <f>IF('DIVA Satislari'!I828="","",IFERROR(INDEX('E2E Nakliye Montaj'!$AS$3:$AS$1002,MATCH('DIVA Satislari'!AJ828,'E2E Nakliye Montaj'!$AM$3:$AM$1002,0)),"Eşleşme Yok"))</f>
        <v/>
      </c>
      <c r="L828" s="26">
        <f>IF('DIVA Satislari'!I828="","",IFERROR(INDEX('E2E Nakliye Montaj'!$AT$3:$AT$1002,MATCH('DIVA Satislari'!AJ828,'E2E Nakliye Montaj'!$AM$3:$AM$1002,0)),"Hayır"))</f>
        <v/>
      </c>
      <c r="M828" s="26">
        <f>IF('DIVA Satislari'!I828="","",IFERROR(INDEX('E2E Nakliye Montaj'!$AU$3:$AU$1002,MATCH('DIVA Satislari'!AJ828,'E2E Nakliye Montaj'!$AM$3:$AM$1002,0)),"Hayır"))</f>
        <v/>
      </c>
      <c r="N828" s="27">
        <f>IF('DIVA Satislari'!I828="","",IFERROR(INDEX('E2E Nakliye Montaj'!$AV$3:$AV$1002,MATCH('DIVA Satislari'!AJ828,'E2E Nakliye Montaj'!$AM$3:$AM$1002,0)),""))</f>
        <v/>
      </c>
      <c r="O828" s="26">
        <f>IF(OR(A828="",N828=""),"",IF(N828&lt;=H828,"Evet","HAYIR - RİSK"))</f>
        <v/>
      </c>
      <c r="P828" s="26">
        <f>IF(A828="","",IF(LEFT(J828,8)="Kural A ","Uygun - Hemen Ödenir (Yıl Sonu %75 Kontrolüne Tabi)",IF(OR(L828="Evet",M828="Evet"),IF(O828="Evet","Uygun","RİSK - Hakediş Süresi Aşıldı"),"Bekleniyor - Nakliye/Montaj Tamamlanmadı")))</f>
        <v/>
      </c>
      <c r="Q828" s="28">
        <f>IF(A828="","",SUMIFS('Hakedis Fatura Detay'!$G$3:$G$1200,'Hakedis Fatura Detay'!$H$3:$H$1200,'DIVA Satislari'!AJ828,'Hakedis Fatura Detay'!$F$3:$F$1200,"Fiyat Farkı")+SUMIFS('Hakedis Fatura Detay'!$G$3:$G$1200,'Hakedis Fatura Detay'!$H$3:$H$1200,'DIVA Satislari'!AJ828,'Hakedis Fatura Detay'!$F$3:$F$1200,"Bundle"))</f>
        <v/>
      </c>
      <c r="R828" s="28">
        <f>IF(A828="","",I828-Q828)</f>
        <v/>
      </c>
      <c r="S828" s="26">
        <f>IF(A828="","",IF(LEFT(P828,7)="Bekleni","N/A - Henüz Ödenmemeli",IF(LEFT(P828,4)="RİSK","İNCELEME GEREKLİ - Süre Aşımı",IF(R828=0,"Doğru",IF(R828&gt;0,"EKSİK ÖDENMİŞ","FAZLA ÖDENMİŞ")))))</f>
        <v/>
      </c>
      <c r="T828" s="30">
        <f>IF(A828="","",IF(F828&lt;&gt;"Evet","İNCELEME GEREKLİ - Kampanya Tanımsız",IF(G828&lt;&gt;"Evet","İNCELEME GEREKLİ - Tarih Dışı Satış",IF(LEFT(P828,4)="RİSK","İNCELEME GEREKLİ - Hakediş Süresi Aşıldı",IF(OR(S828="EKSİK ÖDENMİŞ",S828="FAZLA ÖDENMİŞ"),"İNCELEME GEREKLİ - Tutar Uyuşmazlığı",IF(LEFT(P828,7)="Bekleni","Bekleniyor","Uygun"))))))</f>
        <v/>
      </c>
    </row>
    <row r="829">
      <c r="A829" s="26">
        <f>IF('DIVA Satislari'!I829="","",'DIVA Satislari'!I829)</f>
        <v/>
      </c>
      <c r="B829" s="26">
        <f>IF('DIVA Satislari'!I829="","",'DIVA Satislari'!R829)</f>
        <v/>
      </c>
      <c r="C829" s="26">
        <f>IF('DIVA Satislari'!I829="","",'DIVA Satislari'!M829)</f>
        <v/>
      </c>
      <c r="D829" s="27">
        <f>IF('DIVA Satislari'!I829="","",'DIVA Satislari'!H829)</f>
        <v/>
      </c>
      <c r="E829" s="26">
        <f>IF('DIVA Satislari'!I829="","",'DIVA Satislari'!O829)</f>
        <v/>
      </c>
      <c r="F829" s="26">
        <f>IF('DIVA Satislari'!I829="","",'DIVA Satislari'!AK829)</f>
        <v/>
      </c>
      <c r="G829" s="26">
        <f>IF('DIVA Satislari'!I829="","",'DIVA Satislari'!AO829)</f>
        <v/>
      </c>
      <c r="H829" s="27">
        <f>IF('DIVA Satislari'!I829="","",'DIVA Satislari'!AN829)</f>
        <v/>
      </c>
      <c r="I829" s="28">
        <f>IF('DIVA Satislari'!I829="","",'DIVA Satislari'!AQ829)</f>
        <v/>
      </c>
      <c r="J829" s="26">
        <f>IF('DIVA Satislari'!I829="","",'DIVA Satislari'!AR829)</f>
        <v/>
      </c>
      <c r="K829" s="26">
        <f>IF('DIVA Satislari'!I829="","",IFERROR(INDEX('E2E Nakliye Montaj'!$AS$3:$AS$1002,MATCH('DIVA Satislari'!AJ829,'E2E Nakliye Montaj'!$AM$3:$AM$1002,0)),"Eşleşme Yok"))</f>
        <v/>
      </c>
      <c r="L829" s="26">
        <f>IF('DIVA Satislari'!I829="","",IFERROR(INDEX('E2E Nakliye Montaj'!$AT$3:$AT$1002,MATCH('DIVA Satislari'!AJ829,'E2E Nakliye Montaj'!$AM$3:$AM$1002,0)),"Hayır"))</f>
        <v/>
      </c>
      <c r="M829" s="26">
        <f>IF('DIVA Satislari'!I829="","",IFERROR(INDEX('E2E Nakliye Montaj'!$AU$3:$AU$1002,MATCH('DIVA Satislari'!AJ829,'E2E Nakliye Montaj'!$AM$3:$AM$1002,0)),"Hayır"))</f>
        <v/>
      </c>
      <c r="N829" s="27">
        <f>IF('DIVA Satislari'!I829="","",IFERROR(INDEX('E2E Nakliye Montaj'!$AV$3:$AV$1002,MATCH('DIVA Satislari'!AJ829,'E2E Nakliye Montaj'!$AM$3:$AM$1002,0)),""))</f>
        <v/>
      </c>
      <c r="O829" s="26">
        <f>IF(OR(A829="",N829=""),"",IF(N829&lt;=H829,"Evet","HAYIR - RİSK"))</f>
        <v/>
      </c>
      <c r="P829" s="26">
        <f>IF(A829="","",IF(LEFT(J829,8)="Kural A ","Uygun - Hemen Ödenir (Yıl Sonu %75 Kontrolüne Tabi)",IF(OR(L829="Evet",M829="Evet"),IF(O829="Evet","Uygun","RİSK - Hakediş Süresi Aşıldı"),"Bekleniyor - Nakliye/Montaj Tamamlanmadı")))</f>
        <v/>
      </c>
      <c r="Q829" s="28">
        <f>IF(A829="","",SUMIFS('Hakedis Fatura Detay'!$G$3:$G$1200,'Hakedis Fatura Detay'!$H$3:$H$1200,'DIVA Satislari'!AJ829,'Hakedis Fatura Detay'!$F$3:$F$1200,"Fiyat Farkı")+SUMIFS('Hakedis Fatura Detay'!$G$3:$G$1200,'Hakedis Fatura Detay'!$H$3:$H$1200,'DIVA Satislari'!AJ829,'Hakedis Fatura Detay'!$F$3:$F$1200,"Bundle"))</f>
        <v/>
      </c>
      <c r="R829" s="28">
        <f>IF(A829="","",I829-Q829)</f>
        <v/>
      </c>
      <c r="S829" s="26">
        <f>IF(A829="","",IF(LEFT(P829,7)="Bekleni","N/A - Henüz Ödenmemeli",IF(LEFT(P829,4)="RİSK","İNCELEME GEREKLİ - Süre Aşımı",IF(R829=0,"Doğru",IF(R829&gt;0,"EKSİK ÖDENMİŞ","FAZLA ÖDENMİŞ")))))</f>
        <v/>
      </c>
      <c r="T829" s="30">
        <f>IF(A829="","",IF(F829&lt;&gt;"Evet","İNCELEME GEREKLİ - Kampanya Tanımsız",IF(G829&lt;&gt;"Evet","İNCELEME GEREKLİ - Tarih Dışı Satış",IF(LEFT(P829,4)="RİSK","İNCELEME GEREKLİ - Hakediş Süresi Aşıldı",IF(OR(S829="EKSİK ÖDENMİŞ",S829="FAZLA ÖDENMİŞ"),"İNCELEME GEREKLİ - Tutar Uyuşmazlığı",IF(LEFT(P829,7)="Bekleni","Bekleniyor","Uygun"))))))</f>
        <v/>
      </c>
    </row>
    <row r="830">
      <c r="A830" s="26">
        <f>IF('DIVA Satislari'!I830="","",'DIVA Satislari'!I830)</f>
        <v/>
      </c>
      <c r="B830" s="26">
        <f>IF('DIVA Satislari'!I830="","",'DIVA Satislari'!R830)</f>
        <v/>
      </c>
      <c r="C830" s="26">
        <f>IF('DIVA Satislari'!I830="","",'DIVA Satislari'!M830)</f>
        <v/>
      </c>
      <c r="D830" s="27">
        <f>IF('DIVA Satislari'!I830="","",'DIVA Satislari'!H830)</f>
        <v/>
      </c>
      <c r="E830" s="26">
        <f>IF('DIVA Satislari'!I830="","",'DIVA Satislari'!O830)</f>
        <v/>
      </c>
      <c r="F830" s="26">
        <f>IF('DIVA Satislari'!I830="","",'DIVA Satislari'!AK830)</f>
        <v/>
      </c>
      <c r="G830" s="26">
        <f>IF('DIVA Satislari'!I830="","",'DIVA Satislari'!AO830)</f>
        <v/>
      </c>
      <c r="H830" s="27">
        <f>IF('DIVA Satislari'!I830="","",'DIVA Satislari'!AN830)</f>
        <v/>
      </c>
      <c r="I830" s="28">
        <f>IF('DIVA Satislari'!I830="","",'DIVA Satislari'!AQ830)</f>
        <v/>
      </c>
      <c r="J830" s="26">
        <f>IF('DIVA Satislari'!I830="","",'DIVA Satislari'!AR830)</f>
        <v/>
      </c>
      <c r="K830" s="26">
        <f>IF('DIVA Satislari'!I830="","",IFERROR(INDEX('E2E Nakliye Montaj'!$AS$3:$AS$1002,MATCH('DIVA Satislari'!AJ830,'E2E Nakliye Montaj'!$AM$3:$AM$1002,0)),"Eşleşme Yok"))</f>
        <v/>
      </c>
      <c r="L830" s="26">
        <f>IF('DIVA Satislari'!I830="","",IFERROR(INDEX('E2E Nakliye Montaj'!$AT$3:$AT$1002,MATCH('DIVA Satislari'!AJ830,'E2E Nakliye Montaj'!$AM$3:$AM$1002,0)),"Hayır"))</f>
        <v/>
      </c>
      <c r="M830" s="26">
        <f>IF('DIVA Satislari'!I830="","",IFERROR(INDEX('E2E Nakliye Montaj'!$AU$3:$AU$1002,MATCH('DIVA Satislari'!AJ830,'E2E Nakliye Montaj'!$AM$3:$AM$1002,0)),"Hayır"))</f>
        <v/>
      </c>
      <c r="N830" s="27">
        <f>IF('DIVA Satislari'!I830="","",IFERROR(INDEX('E2E Nakliye Montaj'!$AV$3:$AV$1002,MATCH('DIVA Satislari'!AJ830,'E2E Nakliye Montaj'!$AM$3:$AM$1002,0)),""))</f>
        <v/>
      </c>
      <c r="O830" s="26">
        <f>IF(OR(A830="",N830=""),"",IF(N830&lt;=H830,"Evet","HAYIR - RİSK"))</f>
        <v/>
      </c>
      <c r="P830" s="26">
        <f>IF(A830="","",IF(LEFT(J830,8)="Kural A ","Uygun - Hemen Ödenir (Yıl Sonu %75 Kontrolüne Tabi)",IF(OR(L830="Evet",M830="Evet"),IF(O830="Evet","Uygun","RİSK - Hakediş Süresi Aşıldı"),"Bekleniyor - Nakliye/Montaj Tamamlanmadı")))</f>
        <v/>
      </c>
      <c r="Q830" s="28">
        <f>IF(A830="","",SUMIFS('Hakedis Fatura Detay'!$G$3:$G$1200,'Hakedis Fatura Detay'!$H$3:$H$1200,'DIVA Satislari'!AJ830,'Hakedis Fatura Detay'!$F$3:$F$1200,"Fiyat Farkı")+SUMIFS('Hakedis Fatura Detay'!$G$3:$G$1200,'Hakedis Fatura Detay'!$H$3:$H$1200,'DIVA Satislari'!AJ830,'Hakedis Fatura Detay'!$F$3:$F$1200,"Bundle"))</f>
        <v/>
      </c>
      <c r="R830" s="28">
        <f>IF(A830="","",I830-Q830)</f>
        <v/>
      </c>
      <c r="S830" s="26">
        <f>IF(A830="","",IF(LEFT(P830,7)="Bekleni","N/A - Henüz Ödenmemeli",IF(LEFT(P830,4)="RİSK","İNCELEME GEREKLİ - Süre Aşımı",IF(R830=0,"Doğru",IF(R830&gt;0,"EKSİK ÖDENMİŞ","FAZLA ÖDENMİŞ")))))</f>
        <v/>
      </c>
      <c r="T830" s="30">
        <f>IF(A830="","",IF(F830&lt;&gt;"Evet","İNCELEME GEREKLİ - Kampanya Tanımsız",IF(G830&lt;&gt;"Evet","İNCELEME GEREKLİ - Tarih Dışı Satış",IF(LEFT(P830,4)="RİSK","İNCELEME GEREKLİ - Hakediş Süresi Aşıldı",IF(OR(S830="EKSİK ÖDENMİŞ",S830="FAZLA ÖDENMİŞ"),"İNCELEME GEREKLİ - Tutar Uyuşmazlığı",IF(LEFT(P830,7)="Bekleni","Bekleniyor","Uygun"))))))</f>
        <v/>
      </c>
    </row>
    <row r="831">
      <c r="A831" s="26">
        <f>IF('DIVA Satislari'!I831="","",'DIVA Satislari'!I831)</f>
        <v/>
      </c>
      <c r="B831" s="26">
        <f>IF('DIVA Satislari'!I831="","",'DIVA Satislari'!R831)</f>
        <v/>
      </c>
      <c r="C831" s="26">
        <f>IF('DIVA Satislari'!I831="","",'DIVA Satislari'!M831)</f>
        <v/>
      </c>
      <c r="D831" s="27">
        <f>IF('DIVA Satislari'!I831="","",'DIVA Satislari'!H831)</f>
        <v/>
      </c>
      <c r="E831" s="26">
        <f>IF('DIVA Satislari'!I831="","",'DIVA Satislari'!O831)</f>
        <v/>
      </c>
      <c r="F831" s="26">
        <f>IF('DIVA Satislari'!I831="","",'DIVA Satislari'!AK831)</f>
        <v/>
      </c>
      <c r="G831" s="26">
        <f>IF('DIVA Satislari'!I831="","",'DIVA Satislari'!AO831)</f>
        <v/>
      </c>
      <c r="H831" s="27">
        <f>IF('DIVA Satislari'!I831="","",'DIVA Satislari'!AN831)</f>
        <v/>
      </c>
      <c r="I831" s="28">
        <f>IF('DIVA Satislari'!I831="","",'DIVA Satislari'!AQ831)</f>
        <v/>
      </c>
      <c r="J831" s="26">
        <f>IF('DIVA Satislari'!I831="","",'DIVA Satislari'!AR831)</f>
        <v/>
      </c>
      <c r="K831" s="26">
        <f>IF('DIVA Satislari'!I831="","",IFERROR(INDEX('E2E Nakliye Montaj'!$AS$3:$AS$1002,MATCH('DIVA Satislari'!AJ831,'E2E Nakliye Montaj'!$AM$3:$AM$1002,0)),"Eşleşme Yok"))</f>
        <v/>
      </c>
      <c r="L831" s="26">
        <f>IF('DIVA Satislari'!I831="","",IFERROR(INDEX('E2E Nakliye Montaj'!$AT$3:$AT$1002,MATCH('DIVA Satislari'!AJ831,'E2E Nakliye Montaj'!$AM$3:$AM$1002,0)),"Hayır"))</f>
        <v/>
      </c>
      <c r="M831" s="26">
        <f>IF('DIVA Satislari'!I831="","",IFERROR(INDEX('E2E Nakliye Montaj'!$AU$3:$AU$1002,MATCH('DIVA Satislari'!AJ831,'E2E Nakliye Montaj'!$AM$3:$AM$1002,0)),"Hayır"))</f>
        <v/>
      </c>
      <c r="N831" s="27">
        <f>IF('DIVA Satislari'!I831="","",IFERROR(INDEX('E2E Nakliye Montaj'!$AV$3:$AV$1002,MATCH('DIVA Satislari'!AJ831,'E2E Nakliye Montaj'!$AM$3:$AM$1002,0)),""))</f>
        <v/>
      </c>
      <c r="O831" s="26">
        <f>IF(OR(A831="",N831=""),"",IF(N831&lt;=H831,"Evet","HAYIR - RİSK"))</f>
        <v/>
      </c>
      <c r="P831" s="26">
        <f>IF(A831="","",IF(LEFT(J831,8)="Kural A ","Uygun - Hemen Ödenir (Yıl Sonu %75 Kontrolüne Tabi)",IF(OR(L831="Evet",M831="Evet"),IF(O831="Evet","Uygun","RİSK - Hakediş Süresi Aşıldı"),"Bekleniyor - Nakliye/Montaj Tamamlanmadı")))</f>
        <v/>
      </c>
      <c r="Q831" s="28">
        <f>IF(A831="","",SUMIFS('Hakedis Fatura Detay'!$G$3:$G$1200,'Hakedis Fatura Detay'!$H$3:$H$1200,'DIVA Satislari'!AJ831,'Hakedis Fatura Detay'!$F$3:$F$1200,"Fiyat Farkı")+SUMIFS('Hakedis Fatura Detay'!$G$3:$G$1200,'Hakedis Fatura Detay'!$H$3:$H$1200,'DIVA Satislari'!AJ831,'Hakedis Fatura Detay'!$F$3:$F$1200,"Bundle"))</f>
        <v/>
      </c>
      <c r="R831" s="28">
        <f>IF(A831="","",I831-Q831)</f>
        <v/>
      </c>
      <c r="S831" s="26">
        <f>IF(A831="","",IF(LEFT(P831,7)="Bekleni","N/A - Henüz Ödenmemeli",IF(LEFT(P831,4)="RİSK","İNCELEME GEREKLİ - Süre Aşımı",IF(R831=0,"Doğru",IF(R831&gt;0,"EKSİK ÖDENMİŞ","FAZLA ÖDENMİŞ")))))</f>
        <v/>
      </c>
      <c r="T831" s="30">
        <f>IF(A831="","",IF(F831&lt;&gt;"Evet","İNCELEME GEREKLİ - Kampanya Tanımsız",IF(G831&lt;&gt;"Evet","İNCELEME GEREKLİ - Tarih Dışı Satış",IF(LEFT(P831,4)="RİSK","İNCELEME GEREKLİ - Hakediş Süresi Aşıldı",IF(OR(S831="EKSİK ÖDENMİŞ",S831="FAZLA ÖDENMİŞ"),"İNCELEME GEREKLİ - Tutar Uyuşmazlığı",IF(LEFT(P831,7)="Bekleni","Bekleniyor","Uygun"))))))</f>
        <v/>
      </c>
    </row>
    <row r="832">
      <c r="A832" s="26">
        <f>IF('DIVA Satislari'!I832="","",'DIVA Satislari'!I832)</f>
        <v/>
      </c>
      <c r="B832" s="26">
        <f>IF('DIVA Satislari'!I832="","",'DIVA Satislari'!R832)</f>
        <v/>
      </c>
      <c r="C832" s="26">
        <f>IF('DIVA Satislari'!I832="","",'DIVA Satislari'!M832)</f>
        <v/>
      </c>
      <c r="D832" s="27">
        <f>IF('DIVA Satislari'!I832="","",'DIVA Satislari'!H832)</f>
        <v/>
      </c>
      <c r="E832" s="26">
        <f>IF('DIVA Satislari'!I832="","",'DIVA Satislari'!O832)</f>
        <v/>
      </c>
      <c r="F832" s="26">
        <f>IF('DIVA Satislari'!I832="","",'DIVA Satislari'!AK832)</f>
        <v/>
      </c>
      <c r="G832" s="26">
        <f>IF('DIVA Satislari'!I832="","",'DIVA Satislari'!AO832)</f>
        <v/>
      </c>
      <c r="H832" s="27">
        <f>IF('DIVA Satislari'!I832="","",'DIVA Satislari'!AN832)</f>
        <v/>
      </c>
      <c r="I832" s="28">
        <f>IF('DIVA Satislari'!I832="","",'DIVA Satislari'!AQ832)</f>
        <v/>
      </c>
      <c r="J832" s="26">
        <f>IF('DIVA Satislari'!I832="","",'DIVA Satislari'!AR832)</f>
        <v/>
      </c>
      <c r="K832" s="26">
        <f>IF('DIVA Satislari'!I832="","",IFERROR(INDEX('E2E Nakliye Montaj'!$AS$3:$AS$1002,MATCH('DIVA Satislari'!AJ832,'E2E Nakliye Montaj'!$AM$3:$AM$1002,0)),"Eşleşme Yok"))</f>
        <v/>
      </c>
      <c r="L832" s="26">
        <f>IF('DIVA Satislari'!I832="","",IFERROR(INDEX('E2E Nakliye Montaj'!$AT$3:$AT$1002,MATCH('DIVA Satislari'!AJ832,'E2E Nakliye Montaj'!$AM$3:$AM$1002,0)),"Hayır"))</f>
        <v/>
      </c>
      <c r="M832" s="26">
        <f>IF('DIVA Satislari'!I832="","",IFERROR(INDEX('E2E Nakliye Montaj'!$AU$3:$AU$1002,MATCH('DIVA Satislari'!AJ832,'E2E Nakliye Montaj'!$AM$3:$AM$1002,0)),"Hayır"))</f>
        <v/>
      </c>
      <c r="N832" s="27">
        <f>IF('DIVA Satislari'!I832="","",IFERROR(INDEX('E2E Nakliye Montaj'!$AV$3:$AV$1002,MATCH('DIVA Satislari'!AJ832,'E2E Nakliye Montaj'!$AM$3:$AM$1002,0)),""))</f>
        <v/>
      </c>
      <c r="O832" s="26">
        <f>IF(OR(A832="",N832=""),"",IF(N832&lt;=H832,"Evet","HAYIR - RİSK"))</f>
        <v/>
      </c>
      <c r="P832" s="26">
        <f>IF(A832="","",IF(LEFT(J832,8)="Kural A ","Uygun - Hemen Ödenir (Yıl Sonu %75 Kontrolüne Tabi)",IF(OR(L832="Evet",M832="Evet"),IF(O832="Evet","Uygun","RİSK - Hakediş Süresi Aşıldı"),"Bekleniyor - Nakliye/Montaj Tamamlanmadı")))</f>
        <v/>
      </c>
      <c r="Q832" s="28">
        <f>IF(A832="","",SUMIFS('Hakedis Fatura Detay'!$G$3:$G$1200,'Hakedis Fatura Detay'!$H$3:$H$1200,'DIVA Satislari'!AJ832,'Hakedis Fatura Detay'!$F$3:$F$1200,"Fiyat Farkı")+SUMIFS('Hakedis Fatura Detay'!$G$3:$G$1200,'Hakedis Fatura Detay'!$H$3:$H$1200,'DIVA Satislari'!AJ832,'Hakedis Fatura Detay'!$F$3:$F$1200,"Bundle"))</f>
        <v/>
      </c>
      <c r="R832" s="28">
        <f>IF(A832="","",I832-Q832)</f>
        <v/>
      </c>
      <c r="S832" s="26">
        <f>IF(A832="","",IF(LEFT(P832,7)="Bekleni","N/A - Henüz Ödenmemeli",IF(LEFT(P832,4)="RİSK","İNCELEME GEREKLİ - Süre Aşımı",IF(R832=0,"Doğru",IF(R832&gt;0,"EKSİK ÖDENMİŞ","FAZLA ÖDENMİŞ")))))</f>
        <v/>
      </c>
      <c r="T832" s="30">
        <f>IF(A832="","",IF(F832&lt;&gt;"Evet","İNCELEME GEREKLİ - Kampanya Tanımsız",IF(G832&lt;&gt;"Evet","İNCELEME GEREKLİ - Tarih Dışı Satış",IF(LEFT(P832,4)="RİSK","İNCELEME GEREKLİ - Hakediş Süresi Aşıldı",IF(OR(S832="EKSİK ÖDENMİŞ",S832="FAZLA ÖDENMİŞ"),"İNCELEME GEREKLİ - Tutar Uyuşmazlığı",IF(LEFT(P832,7)="Bekleni","Bekleniyor","Uygun"))))))</f>
        <v/>
      </c>
    </row>
    <row r="833">
      <c r="A833" s="26">
        <f>IF('DIVA Satislari'!I833="","",'DIVA Satislari'!I833)</f>
        <v/>
      </c>
      <c r="B833" s="26">
        <f>IF('DIVA Satislari'!I833="","",'DIVA Satislari'!R833)</f>
        <v/>
      </c>
      <c r="C833" s="26">
        <f>IF('DIVA Satislari'!I833="","",'DIVA Satislari'!M833)</f>
        <v/>
      </c>
      <c r="D833" s="27">
        <f>IF('DIVA Satislari'!I833="","",'DIVA Satislari'!H833)</f>
        <v/>
      </c>
      <c r="E833" s="26">
        <f>IF('DIVA Satislari'!I833="","",'DIVA Satislari'!O833)</f>
        <v/>
      </c>
      <c r="F833" s="26">
        <f>IF('DIVA Satislari'!I833="","",'DIVA Satislari'!AK833)</f>
        <v/>
      </c>
      <c r="G833" s="26">
        <f>IF('DIVA Satislari'!I833="","",'DIVA Satislari'!AO833)</f>
        <v/>
      </c>
      <c r="H833" s="27">
        <f>IF('DIVA Satislari'!I833="","",'DIVA Satislari'!AN833)</f>
        <v/>
      </c>
      <c r="I833" s="28">
        <f>IF('DIVA Satislari'!I833="","",'DIVA Satislari'!AQ833)</f>
        <v/>
      </c>
      <c r="J833" s="26">
        <f>IF('DIVA Satislari'!I833="","",'DIVA Satislari'!AR833)</f>
        <v/>
      </c>
      <c r="K833" s="26">
        <f>IF('DIVA Satislari'!I833="","",IFERROR(INDEX('E2E Nakliye Montaj'!$AS$3:$AS$1002,MATCH('DIVA Satislari'!AJ833,'E2E Nakliye Montaj'!$AM$3:$AM$1002,0)),"Eşleşme Yok"))</f>
        <v/>
      </c>
      <c r="L833" s="26">
        <f>IF('DIVA Satislari'!I833="","",IFERROR(INDEX('E2E Nakliye Montaj'!$AT$3:$AT$1002,MATCH('DIVA Satislari'!AJ833,'E2E Nakliye Montaj'!$AM$3:$AM$1002,0)),"Hayır"))</f>
        <v/>
      </c>
      <c r="M833" s="26">
        <f>IF('DIVA Satislari'!I833="","",IFERROR(INDEX('E2E Nakliye Montaj'!$AU$3:$AU$1002,MATCH('DIVA Satislari'!AJ833,'E2E Nakliye Montaj'!$AM$3:$AM$1002,0)),"Hayır"))</f>
        <v/>
      </c>
      <c r="N833" s="27">
        <f>IF('DIVA Satislari'!I833="","",IFERROR(INDEX('E2E Nakliye Montaj'!$AV$3:$AV$1002,MATCH('DIVA Satislari'!AJ833,'E2E Nakliye Montaj'!$AM$3:$AM$1002,0)),""))</f>
        <v/>
      </c>
      <c r="O833" s="26">
        <f>IF(OR(A833="",N833=""),"",IF(N833&lt;=H833,"Evet","HAYIR - RİSK"))</f>
        <v/>
      </c>
      <c r="P833" s="26">
        <f>IF(A833="","",IF(LEFT(J833,8)="Kural A ","Uygun - Hemen Ödenir (Yıl Sonu %75 Kontrolüne Tabi)",IF(OR(L833="Evet",M833="Evet"),IF(O833="Evet","Uygun","RİSK - Hakediş Süresi Aşıldı"),"Bekleniyor - Nakliye/Montaj Tamamlanmadı")))</f>
        <v/>
      </c>
      <c r="Q833" s="28">
        <f>IF(A833="","",SUMIFS('Hakedis Fatura Detay'!$G$3:$G$1200,'Hakedis Fatura Detay'!$H$3:$H$1200,'DIVA Satislari'!AJ833,'Hakedis Fatura Detay'!$F$3:$F$1200,"Fiyat Farkı")+SUMIFS('Hakedis Fatura Detay'!$G$3:$G$1200,'Hakedis Fatura Detay'!$H$3:$H$1200,'DIVA Satislari'!AJ833,'Hakedis Fatura Detay'!$F$3:$F$1200,"Bundle"))</f>
        <v/>
      </c>
      <c r="R833" s="28">
        <f>IF(A833="","",I833-Q833)</f>
        <v/>
      </c>
      <c r="S833" s="26">
        <f>IF(A833="","",IF(LEFT(P833,7)="Bekleni","N/A - Henüz Ödenmemeli",IF(LEFT(P833,4)="RİSK","İNCELEME GEREKLİ - Süre Aşımı",IF(R833=0,"Doğru",IF(R833&gt;0,"EKSİK ÖDENMİŞ","FAZLA ÖDENMİŞ")))))</f>
        <v/>
      </c>
      <c r="T833" s="30">
        <f>IF(A833="","",IF(F833&lt;&gt;"Evet","İNCELEME GEREKLİ - Kampanya Tanımsız",IF(G833&lt;&gt;"Evet","İNCELEME GEREKLİ - Tarih Dışı Satış",IF(LEFT(P833,4)="RİSK","İNCELEME GEREKLİ - Hakediş Süresi Aşıldı",IF(OR(S833="EKSİK ÖDENMİŞ",S833="FAZLA ÖDENMİŞ"),"İNCELEME GEREKLİ - Tutar Uyuşmazlığı",IF(LEFT(P833,7)="Bekleni","Bekleniyor","Uygun"))))))</f>
        <v/>
      </c>
    </row>
    <row r="834">
      <c r="A834" s="26">
        <f>IF('DIVA Satislari'!I834="","",'DIVA Satislari'!I834)</f>
        <v/>
      </c>
      <c r="B834" s="26">
        <f>IF('DIVA Satislari'!I834="","",'DIVA Satislari'!R834)</f>
        <v/>
      </c>
      <c r="C834" s="26">
        <f>IF('DIVA Satislari'!I834="","",'DIVA Satislari'!M834)</f>
        <v/>
      </c>
      <c r="D834" s="27">
        <f>IF('DIVA Satislari'!I834="","",'DIVA Satislari'!H834)</f>
        <v/>
      </c>
      <c r="E834" s="26">
        <f>IF('DIVA Satislari'!I834="","",'DIVA Satislari'!O834)</f>
        <v/>
      </c>
      <c r="F834" s="26">
        <f>IF('DIVA Satislari'!I834="","",'DIVA Satislari'!AK834)</f>
        <v/>
      </c>
      <c r="G834" s="26">
        <f>IF('DIVA Satislari'!I834="","",'DIVA Satislari'!AO834)</f>
        <v/>
      </c>
      <c r="H834" s="27">
        <f>IF('DIVA Satislari'!I834="","",'DIVA Satislari'!AN834)</f>
        <v/>
      </c>
      <c r="I834" s="28">
        <f>IF('DIVA Satislari'!I834="","",'DIVA Satislari'!AQ834)</f>
        <v/>
      </c>
      <c r="J834" s="26">
        <f>IF('DIVA Satislari'!I834="","",'DIVA Satislari'!AR834)</f>
        <v/>
      </c>
      <c r="K834" s="26">
        <f>IF('DIVA Satislari'!I834="","",IFERROR(INDEX('E2E Nakliye Montaj'!$AS$3:$AS$1002,MATCH('DIVA Satislari'!AJ834,'E2E Nakliye Montaj'!$AM$3:$AM$1002,0)),"Eşleşme Yok"))</f>
        <v/>
      </c>
      <c r="L834" s="26">
        <f>IF('DIVA Satislari'!I834="","",IFERROR(INDEX('E2E Nakliye Montaj'!$AT$3:$AT$1002,MATCH('DIVA Satislari'!AJ834,'E2E Nakliye Montaj'!$AM$3:$AM$1002,0)),"Hayır"))</f>
        <v/>
      </c>
      <c r="M834" s="26">
        <f>IF('DIVA Satislari'!I834="","",IFERROR(INDEX('E2E Nakliye Montaj'!$AU$3:$AU$1002,MATCH('DIVA Satislari'!AJ834,'E2E Nakliye Montaj'!$AM$3:$AM$1002,0)),"Hayır"))</f>
        <v/>
      </c>
      <c r="N834" s="27">
        <f>IF('DIVA Satislari'!I834="","",IFERROR(INDEX('E2E Nakliye Montaj'!$AV$3:$AV$1002,MATCH('DIVA Satislari'!AJ834,'E2E Nakliye Montaj'!$AM$3:$AM$1002,0)),""))</f>
        <v/>
      </c>
      <c r="O834" s="26">
        <f>IF(OR(A834="",N834=""),"",IF(N834&lt;=H834,"Evet","HAYIR - RİSK"))</f>
        <v/>
      </c>
      <c r="P834" s="26">
        <f>IF(A834="","",IF(LEFT(J834,8)="Kural A ","Uygun - Hemen Ödenir (Yıl Sonu %75 Kontrolüne Tabi)",IF(OR(L834="Evet",M834="Evet"),IF(O834="Evet","Uygun","RİSK - Hakediş Süresi Aşıldı"),"Bekleniyor - Nakliye/Montaj Tamamlanmadı")))</f>
        <v/>
      </c>
      <c r="Q834" s="28">
        <f>IF(A834="","",SUMIFS('Hakedis Fatura Detay'!$G$3:$G$1200,'Hakedis Fatura Detay'!$H$3:$H$1200,'DIVA Satislari'!AJ834,'Hakedis Fatura Detay'!$F$3:$F$1200,"Fiyat Farkı")+SUMIFS('Hakedis Fatura Detay'!$G$3:$G$1200,'Hakedis Fatura Detay'!$H$3:$H$1200,'DIVA Satislari'!AJ834,'Hakedis Fatura Detay'!$F$3:$F$1200,"Bundle"))</f>
        <v/>
      </c>
      <c r="R834" s="28">
        <f>IF(A834="","",I834-Q834)</f>
        <v/>
      </c>
      <c r="S834" s="26">
        <f>IF(A834="","",IF(LEFT(P834,7)="Bekleni","N/A - Henüz Ödenmemeli",IF(LEFT(P834,4)="RİSK","İNCELEME GEREKLİ - Süre Aşımı",IF(R834=0,"Doğru",IF(R834&gt;0,"EKSİK ÖDENMİŞ","FAZLA ÖDENMİŞ")))))</f>
        <v/>
      </c>
      <c r="T834" s="30">
        <f>IF(A834="","",IF(F834&lt;&gt;"Evet","İNCELEME GEREKLİ - Kampanya Tanımsız",IF(G834&lt;&gt;"Evet","İNCELEME GEREKLİ - Tarih Dışı Satış",IF(LEFT(P834,4)="RİSK","İNCELEME GEREKLİ - Hakediş Süresi Aşıldı",IF(OR(S834="EKSİK ÖDENMİŞ",S834="FAZLA ÖDENMİŞ"),"İNCELEME GEREKLİ - Tutar Uyuşmazlığı",IF(LEFT(P834,7)="Bekleni","Bekleniyor","Uygun"))))))</f>
        <v/>
      </c>
    </row>
    <row r="835">
      <c r="A835" s="26">
        <f>IF('DIVA Satislari'!I835="","",'DIVA Satislari'!I835)</f>
        <v/>
      </c>
      <c r="B835" s="26">
        <f>IF('DIVA Satislari'!I835="","",'DIVA Satislari'!R835)</f>
        <v/>
      </c>
      <c r="C835" s="26">
        <f>IF('DIVA Satislari'!I835="","",'DIVA Satislari'!M835)</f>
        <v/>
      </c>
      <c r="D835" s="27">
        <f>IF('DIVA Satislari'!I835="","",'DIVA Satislari'!H835)</f>
        <v/>
      </c>
      <c r="E835" s="26">
        <f>IF('DIVA Satislari'!I835="","",'DIVA Satislari'!O835)</f>
        <v/>
      </c>
      <c r="F835" s="26">
        <f>IF('DIVA Satislari'!I835="","",'DIVA Satislari'!AK835)</f>
        <v/>
      </c>
      <c r="G835" s="26">
        <f>IF('DIVA Satislari'!I835="","",'DIVA Satislari'!AO835)</f>
        <v/>
      </c>
      <c r="H835" s="27">
        <f>IF('DIVA Satislari'!I835="","",'DIVA Satislari'!AN835)</f>
        <v/>
      </c>
      <c r="I835" s="28">
        <f>IF('DIVA Satislari'!I835="","",'DIVA Satislari'!AQ835)</f>
        <v/>
      </c>
      <c r="J835" s="26">
        <f>IF('DIVA Satislari'!I835="","",'DIVA Satislari'!AR835)</f>
        <v/>
      </c>
      <c r="K835" s="26">
        <f>IF('DIVA Satislari'!I835="","",IFERROR(INDEX('E2E Nakliye Montaj'!$AS$3:$AS$1002,MATCH('DIVA Satislari'!AJ835,'E2E Nakliye Montaj'!$AM$3:$AM$1002,0)),"Eşleşme Yok"))</f>
        <v/>
      </c>
      <c r="L835" s="26">
        <f>IF('DIVA Satislari'!I835="","",IFERROR(INDEX('E2E Nakliye Montaj'!$AT$3:$AT$1002,MATCH('DIVA Satislari'!AJ835,'E2E Nakliye Montaj'!$AM$3:$AM$1002,0)),"Hayır"))</f>
        <v/>
      </c>
      <c r="M835" s="26">
        <f>IF('DIVA Satislari'!I835="","",IFERROR(INDEX('E2E Nakliye Montaj'!$AU$3:$AU$1002,MATCH('DIVA Satislari'!AJ835,'E2E Nakliye Montaj'!$AM$3:$AM$1002,0)),"Hayır"))</f>
        <v/>
      </c>
      <c r="N835" s="27">
        <f>IF('DIVA Satislari'!I835="","",IFERROR(INDEX('E2E Nakliye Montaj'!$AV$3:$AV$1002,MATCH('DIVA Satislari'!AJ835,'E2E Nakliye Montaj'!$AM$3:$AM$1002,0)),""))</f>
        <v/>
      </c>
      <c r="O835" s="26">
        <f>IF(OR(A835="",N835=""),"",IF(N835&lt;=H835,"Evet","HAYIR - RİSK"))</f>
        <v/>
      </c>
      <c r="P835" s="26">
        <f>IF(A835="","",IF(LEFT(J835,8)="Kural A ","Uygun - Hemen Ödenir (Yıl Sonu %75 Kontrolüne Tabi)",IF(OR(L835="Evet",M835="Evet"),IF(O835="Evet","Uygun","RİSK - Hakediş Süresi Aşıldı"),"Bekleniyor - Nakliye/Montaj Tamamlanmadı")))</f>
        <v/>
      </c>
      <c r="Q835" s="28">
        <f>IF(A835="","",SUMIFS('Hakedis Fatura Detay'!$G$3:$G$1200,'Hakedis Fatura Detay'!$H$3:$H$1200,'DIVA Satislari'!AJ835,'Hakedis Fatura Detay'!$F$3:$F$1200,"Fiyat Farkı")+SUMIFS('Hakedis Fatura Detay'!$G$3:$G$1200,'Hakedis Fatura Detay'!$H$3:$H$1200,'DIVA Satislari'!AJ835,'Hakedis Fatura Detay'!$F$3:$F$1200,"Bundle"))</f>
        <v/>
      </c>
      <c r="R835" s="28">
        <f>IF(A835="","",I835-Q835)</f>
        <v/>
      </c>
      <c r="S835" s="26">
        <f>IF(A835="","",IF(LEFT(P835,7)="Bekleni","N/A - Henüz Ödenmemeli",IF(LEFT(P835,4)="RİSK","İNCELEME GEREKLİ - Süre Aşımı",IF(R835=0,"Doğru",IF(R835&gt;0,"EKSİK ÖDENMİŞ","FAZLA ÖDENMİŞ")))))</f>
        <v/>
      </c>
      <c r="T835" s="30">
        <f>IF(A835="","",IF(F835&lt;&gt;"Evet","İNCELEME GEREKLİ - Kampanya Tanımsız",IF(G835&lt;&gt;"Evet","İNCELEME GEREKLİ - Tarih Dışı Satış",IF(LEFT(P835,4)="RİSK","İNCELEME GEREKLİ - Hakediş Süresi Aşıldı",IF(OR(S835="EKSİK ÖDENMİŞ",S835="FAZLA ÖDENMİŞ"),"İNCELEME GEREKLİ - Tutar Uyuşmazlığı",IF(LEFT(P835,7)="Bekleni","Bekleniyor","Uygun"))))))</f>
        <v/>
      </c>
    </row>
    <row r="836">
      <c r="A836" s="26">
        <f>IF('DIVA Satislari'!I836="","",'DIVA Satislari'!I836)</f>
        <v/>
      </c>
      <c r="B836" s="26">
        <f>IF('DIVA Satislari'!I836="","",'DIVA Satislari'!R836)</f>
        <v/>
      </c>
      <c r="C836" s="26">
        <f>IF('DIVA Satislari'!I836="","",'DIVA Satislari'!M836)</f>
        <v/>
      </c>
      <c r="D836" s="27">
        <f>IF('DIVA Satislari'!I836="","",'DIVA Satislari'!H836)</f>
        <v/>
      </c>
      <c r="E836" s="26">
        <f>IF('DIVA Satislari'!I836="","",'DIVA Satislari'!O836)</f>
        <v/>
      </c>
      <c r="F836" s="26">
        <f>IF('DIVA Satislari'!I836="","",'DIVA Satislari'!AK836)</f>
        <v/>
      </c>
      <c r="G836" s="26">
        <f>IF('DIVA Satislari'!I836="","",'DIVA Satislari'!AO836)</f>
        <v/>
      </c>
      <c r="H836" s="27">
        <f>IF('DIVA Satislari'!I836="","",'DIVA Satislari'!AN836)</f>
        <v/>
      </c>
      <c r="I836" s="28">
        <f>IF('DIVA Satislari'!I836="","",'DIVA Satislari'!AQ836)</f>
        <v/>
      </c>
      <c r="J836" s="26">
        <f>IF('DIVA Satislari'!I836="","",'DIVA Satislari'!AR836)</f>
        <v/>
      </c>
      <c r="K836" s="26">
        <f>IF('DIVA Satislari'!I836="","",IFERROR(INDEX('E2E Nakliye Montaj'!$AS$3:$AS$1002,MATCH('DIVA Satislari'!AJ836,'E2E Nakliye Montaj'!$AM$3:$AM$1002,0)),"Eşleşme Yok"))</f>
        <v/>
      </c>
      <c r="L836" s="26">
        <f>IF('DIVA Satislari'!I836="","",IFERROR(INDEX('E2E Nakliye Montaj'!$AT$3:$AT$1002,MATCH('DIVA Satislari'!AJ836,'E2E Nakliye Montaj'!$AM$3:$AM$1002,0)),"Hayır"))</f>
        <v/>
      </c>
      <c r="M836" s="26">
        <f>IF('DIVA Satislari'!I836="","",IFERROR(INDEX('E2E Nakliye Montaj'!$AU$3:$AU$1002,MATCH('DIVA Satislari'!AJ836,'E2E Nakliye Montaj'!$AM$3:$AM$1002,0)),"Hayır"))</f>
        <v/>
      </c>
      <c r="N836" s="27">
        <f>IF('DIVA Satislari'!I836="","",IFERROR(INDEX('E2E Nakliye Montaj'!$AV$3:$AV$1002,MATCH('DIVA Satislari'!AJ836,'E2E Nakliye Montaj'!$AM$3:$AM$1002,0)),""))</f>
        <v/>
      </c>
      <c r="O836" s="26">
        <f>IF(OR(A836="",N836=""),"",IF(N836&lt;=H836,"Evet","HAYIR - RİSK"))</f>
        <v/>
      </c>
      <c r="P836" s="26">
        <f>IF(A836="","",IF(LEFT(J836,8)="Kural A ","Uygun - Hemen Ödenir (Yıl Sonu %75 Kontrolüne Tabi)",IF(OR(L836="Evet",M836="Evet"),IF(O836="Evet","Uygun","RİSK - Hakediş Süresi Aşıldı"),"Bekleniyor - Nakliye/Montaj Tamamlanmadı")))</f>
        <v/>
      </c>
      <c r="Q836" s="28">
        <f>IF(A836="","",SUMIFS('Hakedis Fatura Detay'!$G$3:$G$1200,'Hakedis Fatura Detay'!$H$3:$H$1200,'DIVA Satislari'!AJ836,'Hakedis Fatura Detay'!$F$3:$F$1200,"Fiyat Farkı")+SUMIFS('Hakedis Fatura Detay'!$G$3:$G$1200,'Hakedis Fatura Detay'!$H$3:$H$1200,'DIVA Satislari'!AJ836,'Hakedis Fatura Detay'!$F$3:$F$1200,"Bundle"))</f>
        <v/>
      </c>
      <c r="R836" s="28">
        <f>IF(A836="","",I836-Q836)</f>
        <v/>
      </c>
      <c r="S836" s="26">
        <f>IF(A836="","",IF(LEFT(P836,7)="Bekleni","N/A - Henüz Ödenmemeli",IF(LEFT(P836,4)="RİSK","İNCELEME GEREKLİ - Süre Aşımı",IF(R836=0,"Doğru",IF(R836&gt;0,"EKSİK ÖDENMİŞ","FAZLA ÖDENMİŞ")))))</f>
        <v/>
      </c>
      <c r="T836" s="30">
        <f>IF(A836="","",IF(F836&lt;&gt;"Evet","İNCELEME GEREKLİ - Kampanya Tanımsız",IF(G836&lt;&gt;"Evet","İNCELEME GEREKLİ - Tarih Dışı Satış",IF(LEFT(P836,4)="RİSK","İNCELEME GEREKLİ - Hakediş Süresi Aşıldı",IF(OR(S836="EKSİK ÖDENMİŞ",S836="FAZLA ÖDENMİŞ"),"İNCELEME GEREKLİ - Tutar Uyuşmazlığı",IF(LEFT(P836,7)="Bekleni","Bekleniyor","Uygun"))))))</f>
        <v/>
      </c>
    </row>
    <row r="837">
      <c r="A837" s="26">
        <f>IF('DIVA Satislari'!I837="","",'DIVA Satislari'!I837)</f>
        <v/>
      </c>
      <c r="B837" s="26">
        <f>IF('DIVA Satislari'!I837="","",'DIVA Satislari'!R837)</f>
        <v/>
      </c>
      <c r="C837" s="26">
        <f>IF('DIVA Satislari'!I837="","",'DIVA Satislari'!M837)</f>
        <v/>
      </c>
      <c r="D837" s="27">
        <f>IF('DIVA Satislari'!I837="","",'DIVA Satislari'!H837)</f>
        <v/>
      </c>
      <c r="E837" s="26">
        <f>IF('DIVA Satislari'!I837="","",'DIVA Satislari'!O837)</f>
        <v/>
      </c>
      <c r="F837" s="26">
        <f>IF('DIVA Satislari'!I837="","",'DIVA Satislari'!AK837)</f>
        <v/>
      </c>
      <c r="G837" s="26">
        <f>IF('DIVA Satislari'!I837="","",'DIVA Satislari'!AO837)</f>
        <v/>
      </c>
      <c r="H837" s="27">
        <f>IF('DIVA Satislari'!I837="","",'DIVA Satislari'!AN837)</f>
        <v/>
      </c>
      <c r="I837" s="28">
        <f>IF('DIVA Satislari'!I837="","",'DIVA Satislari'!AQ837)</f>
        <v/>
      </c>
      <c r="J837" s="26">
        <f>IF('DIVA Satislari'!I837="","",'DIVA Satislari'!AR837)</f>
        <v/>
      </c>
      <c r="K837" s="26">
        <f>IF('DIVA Satislari'!I837="","",IFERROR(INDEX('E2E Nakliye Montaj'!$AS$3:$AS$1002,MATCH('DIVA Satislari'!AJ837,'E2E Nakliye Montaj'!$AM$3:$AM$1002,0)),"Eşleşme Yok"))</f>
        <v/>
      </c>
      <c r="L837" s="26">
        <f>IF('DIVA Satislari'!I837="","",IFERROR(INDEX('E2E Nakliye Montaj'!$AT$3:$AT$1002,MATCH('DIVA Satislari'!AJ837,'E2E Nakliye Montaj'!$AM$3:$AM$1002,0)),"Hayır"))</f>
        <v/>
      </c>
      <c r="M837" s="26">
        <f>IF('DIVA Satislari'!I837="","",IFERROR(INDEX('E2E Nakliye Montaj'!$AU$3:$AU$1002,MATCH('DIVA Satislari'!AJ837,'E2E Nakliye Montaj'!$AM$3:$AM$1002,0)),"Hayır"))</f>
        <v/>
      </c>
      <c r="N837" s="27">
        <f>IF('DIVA Satislari'!I837="","",IFERROR(INDEX('E2E Nakliye Montaj'!$AV$3:$AV$1002,MATCH('DIVA Satislari'!AJ837,'E2E Nakliye Montaj'!$AM$3:$AM$1002,0)),""))</f>
        <v/>
      </c>
      <c r="O837" s="26">
        <f>IF(OR(A837="",N837=""),"",IF(N837&lt;=H837,"Evet","HAYIR - RİSK"))</f>
        <v/>
      </c>
      <c r="P837" s="26">
        <f>IF(A837="","",IF(LEFT(J837,8)="Kural A ","Uygun - Hemen Ödenir (Yıl Sonu %75 Kontrolüne Tabi)",IF(OR(L837="Evet",M837="Evet"),IF(O837="Evet","Uygun","RİSK - Hakediş Süresi Aşıldı"),"Bekleniyor - Nakliye/Montaj Tamamlanmadı")))</f>
        <v/>
      </c>
      <c r="Q837" s="28">
        <f>IF(A837="","",SUMIFS('Hakedis Fatura Detay'!$G$3:$G$1200,'Hakedis Fatura Detay'!$H$3:$H$1200,'DIVA Satislari'!AJ837,'Hakedis Fatura Detay'!$F$3:$F$1200,"Fiyat Farkı")+SUMIFS('Hakedis Fatura Detay'!$G$3:$G$1200,'Hakedis Fatura Detay'!$H$3:$H$1200,'DIVA Satislari'!AJ837,'Hakedis Fatura Detay'!$F$3:$F$1200,"Bundle"))</f>
        <v/>
      </c>
      <c r="R837" s="28">
        <f>IF(A837="","",I837-Q837)</f>
        <v/>
      </c>
      <c r="S837" s="26">
        <f>IF(A837="","",IF(LEFT(P837,7)="Bekleni","N/A - Henüz Ödenmemeli",IF(LEFT(P837,4)="RİSK","İNCELEME GEREKLİ - Süre Aşımı",IF(R837=0,"Doğru",IF(R837&gt;0,"EKSİK ÖDENMİŞ","FAZLA ÖDENMİŞ")))))</f>
        <v/>
      </c>
      <c r="T837" s="30">
        <f>IF(A837="","",IF(F837&lt;&gt;"Evet","İNCELEME GEREKLİ - Kampanya Tanımsız",IF(G837&lt;&gt;"Evet","İNCELEME GEREKLİ - Tarih Dışı Satış",IF(LEFT(P837,4)="RİSK","İNCELEME GEREKLİ - Hakediş Süresi Aşıldı",IF(OR(S837="EKSİK ÖDENMİŞ",S837="FAZLA ÖDENMİŞ"),"İNCELEME GEREKLİ - Tutar Uyuşmazlığı",IF(LEFT(P837,7)="Bekleni","Bekleniyor","Uygun"))))))</f>
        <v/>
      </c>
    </row>
    <row r="838">
      <c r="A838" s="26">
        <f>IF('DIVA Satislari'!I838="","",'DIVA Satislari'!I838)</f>
        <v/>
      </c>
      <c r="B838" s="26">
        <f>IF('DIVA Satislari'!I838="","",'DIVA Satislari'!R838)</f>
        <v/>
      </c>
      <c r="C838" s="26">
        <f>IF('DIVA Satislari'!I838="","",'DIVA Satislari'!M838)</f>
        <v/>
      </c>
      <c r="D838" s="27">
        <f>IF('DIVA Satislari'!I838="","",'DIVA Satislari'!H838)</f>
        <v/>
      </c>
      <c r="E838" s="26">
        <f>IF('DIVA Satislari'!I838="","",'DIVA Satislari'!O838)</f>
        <v/>
      </c>
      <c r="F838" s="26">
        <f>IF('DIVA Satislari'!I838="","",'DIVA Satislari'!AK838)</f>
        <v/>
      </c>
      <c r="G838" s="26">
        <f>IF('DIVA Satislari'!I838="","",'DIVA Satislari'!AO838)</f>
        <v/>
      </c>
      <c r="H838" s="27">
        <f>IF('DIVA Satislari'!I838="","",'DIVA Satislari'!AN838)</f>
        <v/>
      </c>
      <c r="I838" s="28">
        <f>IF('DIVA Satislari'!I838="","",'DIVA Satislari'!AQ838)</f>
        <v/>
      </c>
      <c r="J838" s="26">
        <f>IF('DIVA Satislari'!I838="","",'DIVA Satislari'!AR838)</f>
        <v/>
      </c>
      <c r="K838" s="26">
        <f>IF('DIVA Satislari'!I838="","",IFERROR(INDEX('E2E Nakliye Montaj'!$AS$3:$AS$1002,MATCH('DIVA Satislari'!AJ838,'E2E Nakliye Montaj'!$AM$3:$AM$1002,0)),"Eşleşme Yok"))</f>
        <v/>
      </c>
      <c r="L838" s="26">
        <f>IF('DIVA Satislari'!I838="","",IFERROR(INDEX('E2E Nakliye Montaj'!$AT$3:$AT$1002,MATCH('DIVA Satislari'!AJ838,'E2E Nakliye Montaj'!$AM$3:$AM$1002,0)),"Hayır"))</f>
        <v/>
      </c>
      <c r="M838" s="26">
        <f>IF('DIVA Satislari'!I838="","",IFERROR(INDEX('E2E Nakliye Montaj'!$AU$3:$AU$1002,MATCH('DIVA Satislari'!AJ838,'E2E Nakliye Montaj'!$AM$3:$AM$1002,0)),"Hayır"))</f>
        <v/>
      </c>
      <c r="N838" s="27">
        <f>IF('DIVA Satislari'!I838="","",IFERROR(INDEX('E2E Nakliye Montaj'!$AV$3:$AV$1002,MATCH('DIVA Satislari'!AJ838,'E2E Nakliye Montaj'!$AM$3:$AM$1002,0)),""))</f>
        <v/>
      </c>
      <c r="O838" s="26">
        <f>IF(OR(A838="",N838=""),"",IF(N838&lt;=H838,"Evet","HAYIR - RİSK"))</f>
        <v/>
      </c>
      <c r="P838" s="26">
        <f>IF(A838="","",IF(LEFT(J838,8)="Kural A ","Uygun - Hemen Ödenir (Yıl Sonu %75 Kontrolüne Tabi)",IF(OR(L838="Evet",M838="Evet"),IF(O838="Evet","Uygun","RİSK - Hakediş Süresi Aşıldı"),"Bekleniyor - Nakliye/Montaj Tamamlanmadı")))</f>
        <v/>
      </c>
      <c r="Q838" s="28">
        <f>IF(A838="","",SUMIFS('Hakedis Fatura Detay'!$G$3:$G$1200,'Hakedis Fatura Detay'!$H$3:$H$1200,'DIVA Satislari'!AJ838,'Hakedis Fatura Detay'!$F$3:$F$1200,"Fiyat Farkı")+SUMIFS('Hakedis Fatura Detay'!$G$3:$G$1200,'Hakedis Fatura Detay'!$H$3:$H$1200,'DIVA Satislari'!AJ838,'Hakedis Fatura Detay'!$F$3:$F$1200,"Bundle"))</f>
        <v/>
      </c>
      <c r="R838" s="28">
        <f>IF(A838="","",I838-Q838)</f>
        <v/>
      </c>
      <c r="S838" s="26">
        <f>IF(A838="","",IF(LEFT(P838,7)="Bekleni","N/A - Henüz Ödenmemeli",IF(LEFT(P838,4)="RİSK","İNCELEME GEREKLİ - Süre Aşımı",IF(R838=0,"Doğru",IF(R838&gt;0,"EKSİK ÖDENMİŞ","FAZLA ÖDENMİŞ")))))</f>
        <v/>
      </c>
      <c r="T838" s="30">
        <f>IF(A838="","",IF(F838&lt;&gt;"Evet","İNCELEME GEREKLİ - Kampanya Tanımsız",IF(G838&lt;&gt;"Evet","İNCELEME GEREKLİ - Tarih Dışı Satış",IF(LEFT(P838,4)="RİSK","İNCELEME GEREKLİ - Hakediş Süresi Aşıldı",IF(OR(S838="EKSİK ÖDENMİŞ",S838="FAZLA ÖDENMİŞ"),"İNCELEME GEREKLİ - Tutar Uyuşmazlığı",IF(LEFT(P838,7)="Bekleni","Bekleniyor","Uygun"))))))</f>
        <v/>
      </c>
    </row>
    <row r="839">
      <c r="A839" s="26">
        <f>IF('DIVA Satislari'!I839="","",'DIVA Satislari'!I839)</f>
        <v/>
      </c>
      <c r="B839" s="26">
        <f>IF('DIVA Satislari'!I839="","",'DIVA Satislari'!R839)</f>
        <v/>
      </c>
      <c r="C839" s="26">
        <f>IF('DIVA Satislari'!I839="","",'DIVA Satislari'!M839)</f>
        <v/>
      </c>
      <c r="D839" s="27">
        <f>IF('DIVA Satislari'!I839="","",'DIVA Satislari'!H839)</f>
        <v/>
      </c>
      <c r="E839" s="26">
        <f>IF('DIVA Satislari'!I839="","",'DIVA Satislari'!O839)</f>
        <v/>
      </c>
      <c r="F839" s="26">
        <f>IF('DIVA Satislari'!I839="","",'DIVA Satislari'!AK839)</f>
        <v/>
      </c>
      <c r="G839" s="26">
        <f>IF('DIVA Satislari'!I839="","",'DIVA Satislari'!AO839)</f>
        <v/>
      </c>
      <c r="H839" s="27">
        <f>IF('DIVA Satislari'!I839="","",'DIVA Satislari'!AN839)</f>
        <v/>
      </c>
      <c r="I839" s="28">
        <f>IF('DIVA Satislari'!I839="","",'DIVA Satislari'!AQ839)</f>
        <v/>
      </c>
      <c r="J839" s="26">
        <f>IF('DIVA Satislari'!I839="","",'DIVA Satislari'!AR839)</f>
        <v/>
      </c>
      <c r="K839" s="26">
        <f>IF('DIVA Satislari'!I839="","",IFERROR(INDEX('E2E Nakliye Montaj'!$AS$3:$AS$1002,MATCH('DIVA Satislari'!AJ839,'E2E Nakliye Montaj'!$AM$3:$AM$1002,0)),"Eşleşme Yok"))</f>
        <v/>
      </c>
      <c r="L839" s="26">
        <f>IF('DIVA Satislari'!I839="","",IFERROR(INDEX('E2E Nakliye Montaj'!$AT$3:$AT$1002,MATCH('DIVA Satislari'!AJ839,'E2E Nakliye Montaj'!$AM$3:$AM$1002,0)),"Hayır"))</f>
        <v/>
      </c>
      <c r="M839" s="26">
        <f>IF('DIVA Satislari'!I839="","",IFERROR(INDEX('E2E Nakliye Montaj'!$AU$3:$AU$1002,MATCH('DIVA Satislari'!AJ839,'E2E Nakliye Montaj'!$AM$3:$AM$1002,0)),"Hayır"))</f>
        <v/>
      </c>
      <c r="N839" s="27">
        <f>IF('DIVA Satislari'!I839="","",IFERROR(INDEX('E2E Nakliye Montaj'!$AV$3:$AV$1002,MATCH('DIVA Satislari'!AJ839,'E2E Nakliye Montaj'!$AM$3:$AM$1002,0)),""))</f>
        <v/>
      </c>
      <c r="O839" s="26">
        <f>IF(OR(A839="",N839=""),"",IF(N839&lt;=H839,"Evet","HAYIR - RİSK"))</f>
        <v/>
      </c>
      <c r="P839" s="26">
        <f>IF(A839="","",IF(LEFT(J839,8)="Kural A ","Uygun - Hemen Ödenir (Yıl Sonu %75 Kontrolüne Tabi)",IF(OR(L839="Evet",M839="Evet"),IF(O839="Evet","Uygun","RİSK - Hakediş Süresi Aşıldı"),"Bekleniyor - Nakliye/Montaj Tamamlanmadı")))</f>
        <v/>
      </c>
      <c r="Q839" s="28">
        <f>IF(A839="","",SUMIFS('Hakedis Fatura Detay'!$G$3:$G$1200,'Hakedis Fatura Detay'!$H$3:$H$1200,'DIVA Satislari'!AJ839,'Hakedis Fatura Detay'!$F$3:$F$1200,"Fiyat Farkı")+SUMIFS('Hakedis Fatura Detay'!$G$3:$G$1200,'Hakedis Fatura Detay'!$H$3:$H$1200,'DIVA Satislari'!AJ839,'Hakedis Fatura Detay'!$F$3:$F$1200,"Bundle"))</f>
        <v/>
      </c>
      <c r="R839" s="28">
        <f>IF(A839="","",I839-Q839)</f>
        <v/>
      </c>
      <c r="S839" s="26">
        <f>IF(A839="","",IF(LEFT(P839,7)="Bekleni","N/A - Henüz Ödenmemeli",IF(LEFT(P839,4)="RİSK","İNCELEME GEREKLİ - Süre Aşımı",IF(R839=0,"Doğru",IF(R839&gt;0,"EKSİK ÖDENMİŞ","FAZLA ÖDENMİŞ")))))</f>
        <v/>
      </c>
      <c r="T839" s="30">
        <f>IF(A839="","",IF(F839&lt;&gt;"Evet","İNCELEME GEREKLİ - Kampanya Tanımsız",IF(G839&lt;&gt;"Evet","İNCELEME GEREKLİ - Tarih Dışı Satış",IF(LEFT(P839,4)="RİSK","İNCELEME GEREKLİ - Hakediş Süresi Aşıldı",IF(OR(S839="EKSİK ÖDENMİŞ",S839="FAZLA ÖDENMİŞ"),"İNCELEME GEREKLİ - Tutar Uyuşmazlığı",IF(LEFT(P839,7)="Bekleni","Bekleniyor","Uygun"))))))</f>
        <v/>
      </c>
    </row>
    <row r="840">
      <c r="A840" s="26">
        <f>IF('DIVA Satislari'!I840="","",'DIVA Satislari'!I840)</f>
        <v/>
      </c>
      <c r="B840" s="26">
        <f>IF('DIVA Satislari'!I840="","",'DIVA Satislari'!R840)</f>
        <v/>
      </c>
      <c r="C840" s="26">
        <f>IF('DIVA Satislari'!I840="","",'DIVA Satislari'!M840)</f>
        <v/>
      </c>
      <c r="D840" s="27">
        <f>IF('DIVA Satislari'!I840="","",'DIVA Satislari'!H840)</f>
        <v/>
      </c>
      <c r="E840" s="26">
        <f>IF('DIVA Satislari'!I840="","",'DIVA Satislari'!O840)</f>
        <v/>
      </c>
      <c r="F840" s="26">
        <f>IF('DIVA Satislari'!I840="","",'DIVA Satislari'!AK840)</f>
        <v/>
      </c>
      <c r="G840" s="26">
        <f>IF('DIVA Satislari'!I840="","",'DIVA Satislari'!AO840)</f>
        <v/>
      </c>
      <c r="H840" s="27">
        <f>IF('DIVA Satislari'!I840="","",'DIVA Satislari'!AN840)</f>
        <v/>
      </c>
      <c r="I840" s="28">
        <f>IF('DIVA Satislari'!I840="","",'DIVA Satislari'!AQ840)</f>
        <v/>
      </c>
      <c r="J840" s="26">
        <f>IF('DIVA Satislari'!I840="","",'DIVA Satislari'!AR840)</f>
        <v/>
      </c>
      <c r="K840" s="26">
        <f>IF('DIVA Satislari'!I840="","",IFERROR(INDEX('E2E Nakliye Montaj'!$AS$3:$AS$1002,MATCH('DIVA Satislari'!AJ840,'E2E Nakliye Montaj'!$AM$3:$AM$1002,0)),"Eşleşme Yok"))</f>
        <v/>
      </c>
      <c r="L840" s="26">
        <f>IF('DIVA Satislari'!I840="","",IFERROR(INDEX('E2E Nakliye Montaj'!$AT$3:$AT$1002,MATCH('DIVA Satislari'!AJ840,'E2E Nakliye Montaj'!$AM$3:$AM$1002,0)),"Hayır"))</f>
        <v/>
      </c>
      <c r="M840" s="26">
        <f>IF('DIVA Satislari'!I840="","",IFERROR(INDEX('E2E Nakliye Montaj'!$AU$3:$AU$1002,MATCH('DIVA Satislari'!AJ840,'E2E Nakliye Montaj'!$AM$3:$AM$1002,0)),"Hayır"))</f>
        <v/>
      </c>
      <c r="N840" s="27">
        <f>IF('DIVA Satislari'!I840="","",IFERROR(INDEX('E2E Nakliye Montaj'!$AV$3:$AV$1002,MATCH('DIVA Satislari'!AJ840,'E2E Nakliye Montaj'!$AM$3:$AM$1002,0)),""))</f>
        <v/>
      </c>
      <c r="O840" s="26">
        <f>IF(OR(A840="",N840=""),"",IF(N840&lt;=H840,"Evet","HAYIR - RİSK"))</f>
        <v/>
      </c>
      <c r="P840" s="26">
        <f>IF(A840="","",IF(LEFT(J840,8)="Kural A ","Uygun - Hemen Ödenir (Yıl Sonu %75 Kontrolüne Tabi)",IF(OR(L840="Evet",M840="Evet"),IF(O840="Evet","Uygun","RİSK - Hakediş Süresi Aşıldı"),"Bekleniyor - Nakliye/Montaj Tamamlanmadı")))</f>
        <v/>
      </c>
      <c r="Q840" s="28">
        <f>IF(A840="","",SUMIFS('Hakedis Fatura Detay'!$G$3:$G$1200,'Hakedis Fatura Detay'!$H$3:$H$1200,'DIVA Satislari'!AJ840,'Hakedis Fatura Detay'!$F$3:$F$1200,"Fiyat Farkı")+SUMIFS('Hakedis Fatura Detay'!$G$3:$G$1200,'Hakedis Fatura Detay'!$H$3:$H$1200,'DIVA Satislari'!AJ840,'Hakedis Fatura Detay'!$F$3:$F$1200,"Bundle"))</f>
        <v/>
      </c>
      <c r="R840" s="28">
        <f>IF(A840="","",I840-Q840)</f>
        <v/>
      </c>
      <c r="S840" s="26">
        <f>IF(A840="","",IF(LEFT(P840,7)="Bekleni","N/A - Henüz Ödenmemeli",IF(LEFT(P840,4)="RİSK","İNCELEME GEREKLİ - Süre Aşımı",IF(R840=0,"Doğru",IF(R840&gt;0,"EKSİK ÖDENMİŞ","FAZLA ÖDENMİŞ")))))</f>
        <v/>
      </c>
      <c r="T840" s="30">
        <f>IF(A840="","",IF(F840&lt;&gt;"Evet","İNCELEME GEREKLİ - Kampanya Tanımsız",IF(G840&lt;&gt;"Evet","İNCELEME GEREKLİ - Tarih Dışı Satış",IF(LEFT(P840,4)="RİSK","İNCELEME GEREKLİ - Hakediş Süresi Aşıldı",IF(OR(S840="EKSİK ÖDENMİŞ",S840="FAZLA ÖDENMİŞ"),"İNCELEME GEREKLİ - Tutar Uyuşmazlığı",IF(LEFT(P840,7)="Bekleni","Bekleniyor","Uygun"))))))</f>
        <v/>
      </c>
    </row>
    <row r="841">
      <c r="A841" s="26">
        <f>IF('DIVA Satislari'!I841="","",'DIVA Satislari'!I841)</f>
        <v/>
      </c>
      <c r="B841" s="26">
        <f>IF('DIVA Satislari'!I841="","",'DIVA Satislari'!R841)</f>
        <v/>
      </c>
      <c r="C841" s="26">
        <f>IF('DIVA Satislari'!I841="","",'DIVA Satislari'!M841)</f>
        <v/>
      </c>
      <c r="D841" s="27">
        <f>IF('DIVA Satislari'!I841="","",'DIVA Satislari'!H841)</f>
        <v/>
      </c>
      <c r="E841" s="26">
        <f>IF('DIVA Satislari'!I841="","",'DIVA Satislari'!O841)</f>
        <v/>
      </c>
      <c r="F841" s="26">
        <f>IF('DIVA Satislari'!I841="","",'DIVA Satislari'!AK841)</f>
        <v/>
      </c>
      <c r="G841" s="26">
        <f>IF('DIVA Satislari'!I841="","",'DIVA Satislari'!AO841)</f>
        <v/>
      </c>
      <c r="H841" s="27">
        <f>IF('DIVA Satislari'!I841="","",'DIVA Satislari'!AN841)</f>
        <v/>
      </c>
      <c r="I841" s="28">
        <f>IF('DIVA Satislari'!I841="","",'DIVA Satislari'!AQ841)</f>
        <v/>
      </c>
      <c r="J841" s="26">
        <f>IF('DIVA Satislari'!I841="","",'DIVA Satislari'!AR841)</f>
        <v/>
      </c>
      <c r="K841" s="26">
        <f>IF('DIVA Satislari'!I841="","",IFERROR(INDEX('E2E Nakliye Montaj'!$AS$3:$AS$1002,MATCH('DIVA Satislari'!AJ841,'E2E Nakliye Montaj'!$AM$3:$AM$1002,0)),"Eşleşme Yok"))</f>
        <v/>
      </c>
      <c r="L841" s="26">
        <f>IF('DIVA Satislari'!I841="","",IFERROR(INDEX('E2E Nakliye Montaj'!$AT$3:$AT$1002,MATCH('DIVA Satislari'!AJ841,'E2E Nakliye Montaj'!$AM$3:$AM$1002,0)),"Hayır"))</f>
        <v/>
      </c>
      <c r="M841" s="26">
        <f>IF('DIVA Satislari'!I841="","",IFERROR(INDEX('E2E Nakliye Montaj'!$AU$3:$AU$1002,MATCH('DIVA Satislari'!AJ841,'E2E Nakliye Montaj'!$AM$3:$AM$1002,0)),"Hayır"))</f>
        <v/>
      </c>
      <c r="N841" s="27">
        <f>IF('DIVA Satislari'!I841="","",IFERROR(INDEX('E2E Nakliye Montaj'!$AV$3:$AV$1002,MATCH('DIVA Satislari'!AJ841,'E2E Nakliye Montaj'!$AM$3:$AM$1002,0)),""))</f>
        <v/>
      </c>
      <c r="O841" s="26">
        <f>IF(OR(A841="",N841=""),"",IF(N841&lt;=H841,"Evet","HAYIR - RİSK"))</f>
        <v/>
      </c>
      <c r="P841" s="26">
        <f>IF(A841="","",IF(LEFT(J841,8)="Kural A ","Uygun - Hemen Ödenir (Yıl Sonu %75 Kontrolüne Tabi)",IF(OR(L841="Evet",M841="Evet"),IF(O841="Evet","Uygun","RİSK - Hakediş Süresi Aşıldı"),"Bekleniyor - Nakliye/Montaj Tamamlanmadı")))</f>
        <v/>
      </c>
      <c r="Q841" s="28">
        <f>IF(A841="","",SUMIFS('Hakedis Fatura Detay'!$G$3:$G$1200,'Hakedis Fatura Detay'!$H$3:$H$1200,'DIVA Satislari'!AJ841,'Hakedis Fatura Detay'!$F$3:$F$1200,"Fiyat Farkı")+SUMIFS('Hakedis Fatura Detay'!$G$3:$G$1200,'Hakedis Fatura Detay'!$H$3:$H$1200,'DIVA Satislari'!AJ841,'Hakedis Fatura Detay'!$F$3:$F$1200,"Bundle"))</f>
        <v/>
      </c>
      <c r="R841" s="28">
        <f>IF(A841="","",I841-Q841)</f>
        <v/>
      </c>
      <c r="S841" s="26">
        <f>IF(A841="","",IF(LEFT(P841,7)="Bekleni","N/A - Henüz Ödenmemeli",IF(LEFT(P841,4)="RİSK","İNCELEME GEREKLİ - Süre Aşımı",IF(R841=0,"Doğru",IF(R841&gt;0,"EKSİK ÖDENMİŞ","FAZLA ÖDENMİŞ")))))</f>
        <v/>
      </c>
      <c r="T841" s="30">
        <f>IF(A841="","",IF(F841&lt;&gt;"Evet","İNCELEME GEREKLİ - Kampanya Tanımsız",IF(G841&lt;&gt;"Evet","İNCELEME GEREKLİ - Tarih Dışı Satış",IF(LEFT(P841,4)="RİSK","İNCELEME GEREKLİ - Hakediş Süresi Aşıldı",IF(OR(S841="EKSİK ÖDENMİŞ",S841="FAZLA ÖDENMİŞ"),"İNCELEME GEREKLİ - Tutar Uyuşmazlığı",IF(LEFT(P841,7)="Bekleni","Bekleniyor","Uygun"))))))</f>
        <v/>
      </c>
    </row>
    <row r="842">
      <c r="A842" s="26">
        <f>IF('DIVA Satislari'!I842="","",'DIVA Satislari'!I842)</f>
        <v/>
      </c>
      <c r="B842" s="26">
        <f>IF('DIVA Satislari'!I842="","",'DIVA Satislari'!R842)</f>
        <v/>
      </c>
      <c r="C842" s="26">
        <f>IF('DIVA Satislari'!I842="","",'DIVA Satislari'!M842)</f>
        <v/>
      </c>
      <c r="D842" s="27">
        <f>IF('DIVA Satislari'!I842="","",'DIVA Satislari'!H842)</f>
        <v/>
      </c>
      <c r="E842" s="26">
        <f>IF('DIVA Satislari'!I842="","",'DIVA Satislari'!O842)</f>
        <v/>
      </c>
      <c r="F842" s="26">
        <f>IF('DIVA Satislari'!I842="","",'DIVA Satislari'!AK842)</f>
        <v/>
      </c>
      <c r="G842" s="26">
        <f>IF('DIVA Satislari'!I842="","",'DIVA Satislari'!AO842)</f>
        <v/>
      </c>
      <c r="H842" s="27">
        <f>IF('DIVA Satislari'!I842="","",'DIVA Satislari'!AN842)</f>
        <v/>
      </c>
      <c r="I842" s="28">
        <f>IF('DIVA Satislari'!I842="","",'DIVA Satislari'!AQ842)</f>
        <v/>
      </c>
      <c r="J842" s="26">
        <f>IF('DIVA Satislari'!I842="","",'DIVA Satislari'!AR842)</f>
        <v/>
      </c>
      <c r="K842" s="26">
        <f>IF('DIVA Satislari'!I842="","",IFERROR(INDEX('E2E Nakliye Montaj'!$AS$3:$AS$1002,MATCH('DIVA Satislari'!AJ842,'E2E Nakliye Montaj'!$AM$3:$AM$1002,0)),"Eşleşme Yok"))</f>
        <v/>
      </c>
      <c r="L842" s="26">
        <f>IF('DIVA Satislari'!I842="","",IFERROR(INDEX('E2E Nakliye Montaj'!$AT$3:$AT$1002,MATCH('DIVA Satislari'!AJ842,'E2E Nakliye Montaj'!$AM$3:$AM$1002,0)),"Hayır"))</f>
        <v/>
      </c>
      <c r="M842" s="26">
        <f>IF('DIVA Satislari'!I842="","",IFERROR(INDEX('E2E Nakliye Montaj'!$AU$3:$AU$1002,MATCH('DIVA Satislari'!AJ842,'E2E Nakliye Montaj'!$AM$3:$AM$1002,0)),"Hayır"))</f>
        <v/>
      </c>
      <c r="N842" s="27">
        <f>IF('DIVA Satislari'!I842="","",IFERROR(INDEX('E2E Nakliye Montaj'!$AV$3:$AV$1002,MATCH('DIVA Satislari'!AJ842,'E2E Nakliye Montaj'!$AM$3:$AM$1002,0)),""))</f>
        <v/>
      </c>
      <c r="O842" s="26">
        <f>IF(OR(A842="",N842=""),"",IF(N842&lt;=H842,"Evet","HAYIR - RİSK"))</f>
        <v/>
      </c>
      <c r="P842" s="26">
        <f>IF(A842="","",IF(LEFT(J842,8)="Kural A ","Uygun - Hemen Ödenir (Yıl Sonu %75 Kontrolüne Tabi)",IF(OR(L842="Evet",M842="Evet"),IF(O842="Evet","Uygun","RİSK - Hakediş Süresi Aşıldı"),"Bekleniyor - Nakliye/Montaj Tamamlanmadı")))</f>
        <v/>
      </c>
      <c r="Q842" s="28">
        <f>IF(A842="","",SUMIFS('Hakedis Fatura Detay'!$G$3:$G$1200,'Hakedis Fatura Detay'!$H$3:$H$1200,'DIVA Satislari'!AJ842,'Hakedis Fatura Detay'!$F$3:$F$1200,"Fiyat Farkı")+SUMIFS('Hakedis Fatura Detay'!$G$3:$G$1200,'Hakedis Fatura Detay'!$H$3:$H$1200,'DIVA Satislari'!AJ842,'Hakedis Fatura Detay'!$F$3:$F$1200,"Bundle"))</f>
        <v/>
      </c>
      <c r="R842" s="28">
        <f>IF(A842="","",I842-Q842)</f>
        <v/>
      </c>
      <c r="S842" s="26">
        <f>IF(A842="","",IF(LEFT(P842,7)="Bekleni","N/A - Henüz Ödenmemeli",IF(LEFT(P842,4)="RİSK","İNCELEME GEREKLİ - Süre Aşımı",IF(R842=0,"Doğru",IF(R842&gt;0,"EKSİK ÖDENMİŞ","FAZLA ÖDENMİŞ")))))</f>
        <v/>
      </c>
      <c r="T842" s="30">
        <f>IF(A842="","",IF(F842&lt;&gt;"Evet","İNCELEME GEREKLİ - Kampanya Tanımsız",IF(G842&lt;&gt;"Evet","İNCELEME GEREKLİ - Tarih Dışı Satış",IF(LEFT(P842,4)="RİSK","İNCELEME GEREKLİ - Hakediş Süresi Aşıldı",IF(OR(S842="EKSİK ÖDENMİŞ",S842="FAZLA ÖDENMİŞ"),"İNCELEME GEREKLİ - Tutar Uyuşmazlığı",IF(LEFT(P842,7)="Bekleni","Bekleniyor","Uygun"))))))</f>
        <v/>
      </c>
    </row>
    <row r="843">
      <c r="A843" s="26">
        <f>IF('DIVA Satislari'!I843="","",'DIVA Satislari'!I843)</f>
        <v/>
      </c>
      <c r="B843" s="26">
        <f>IF('DIVA Satislari'!I843="","",'DIVA Satislari'!R843)</f>
        <v/>
      </c>
      <c r="C843" s="26">
        <f>IF('DIVA Satislari'!I843="","",'DIVA Satislari'!M843)</f>
        <v/>
      </c>
      <c r="D843" s="27">
        <f>IF('DIVA Satislari'!I843="","",'DIVA Satislari'!H843)</f>
        <v/>
      </c>
      <c r="E843" s="26">
        <f>IF('DIVA Satislari'!I843="","",'DIVA Satislari'!O843)</f>
        <v/>
      </c>
      <c r="F843" s="26">
        <f>IF('DIVA Satislari'!I843="","",'DIVA Satislari'!AK843)</f>
        <v/>
      </c>
      <c r="G843" s="26">
        <f>IF('DIVA Satislari'!I843="","",'DIVA Satislari'!AO843)</f>
        <v/>
      </c>
      <c r="H843" s="27">
        <f>IF('DIVA Satislari'!I843="","",'DIVA Satislari'!AN843)</f>
        <v/>
      </c>
      <c r="I843" s="28">
        <f>IF('DIVA Satislari'!I843="","",'DIVA Satislari'!AQ843)</f>
        <v/>
      </c>
      <c r="J843" s="26">
        <f>IF('DIVA Satislari'!I843="","",'DIVA Satislari'!AR843)</f>
        <v/>
      </c>
      <c r="K843" s="26">
        <f>IF('DIVA Satislari'!I843="","",IFERROR(INDEX('E2E Nakliye Montaj'!$AS$3:$AS$1002,MATCH('DIVA Satislari'!AJ843,'E2E Nakliye Montaj'!$AM$3:$AM$1002,0)),"Eşleşme Yok"))</f>
        <v/>
      </c>
      <c r="L843" s="26">
        <f>IF('DIVA Satislari'!I843="","",IFERROR(INDEX('E2E Nakliye Montaj'!$AT$3:$AT$1002,MATCH('DIVA Satislari'!AJ843,'E2E Nakliye Montaj'!$AM$3:$AM$1002,0)),"Hayır"))</f>
        <v/>
      </c>
      <c r="M843" s="26">
        <f>IF('DIVA Satislari'!I843="","",IFERROR(INDEX('E2E Nakliye Montaj'!$AU$3:$AU$1002,MATCH('DIVA Satislari'!AJ843,'E2E Nakliye Montaj'!$AM$3:$AM$1002,0)),"Hayır"))</f>
        <v/>
      </c>
      <c r="N843" s="27">
        <f>IF('DIVA Satislari'!I843="","",IFERROR(INDEX('E2E Nakliye Montaj'!$AV$3:$AV$1002,MATCH('DIVA Satislari'!AJ843,'E2E Nakliye Montaj'!$AM$3:$AM$1002,0)),""))</f>
        <v/>
      </c>
      <c r="O843" s="26">
        <f>IF(OR(A843="",N843=""),"",IF(N843&lt;=H843,"Evet","HAYIR - RİSK"))</f>
        <v/>
      </c>
      <c r="P843" s="26">
        <f>IF(A843="","",IF(LEFT(J843,8)="Kural A ","Uygun - Hemen Ödenir (Yıl Sonu %75 Kontrolüne Tabi)",IF(OR(L843="Evet",M843="Evet"),IF(O843="Evet","Uygun","RİSK - Hakediş Süresi Aşıldı"),"Bekleniyor - Nakliye/Montaj Tamamlanmadı")))</f>
        <v/>
      </c>
      <c r="Q843" s="28">
        <f>IF(A843="","",SUMIFS('Hakedis Fatura Detay'!$G$3:$G$1200,'Hakedis Fatura Detay'!$H$3:$H$1200,'DIVA Satislari'!AJ843,'Hakedis Fatura Detay'!$F$3:$F$1200,"Fiyat Farkı")+SUMIFS('Hakedis Fatura Detay'!$G$3:$G$1200,'Hakedis Fatura Detay'!$H$3:$H$1200,'DIVA Satislari'!AJ843,'Hakedis Fatura Detay'!$F$3:$F$1200,"Bundle"))</f>
        <v/>
      </c>
      <c r="R843" s="28">
        <f>IF(A843="","",I843-Q843)</f>
        <v/>
      </c>
      <c r="S843" s="26">
        <f>IF(A843="","",IF(LEFT(P843,7)="Bekleni","N/A - Henüz Ödenmemeli",IF(LEFT(P843,4)="RİSK","İNCELEME GEREKLİ - Süre Aşımı",IF(R843=0,"Doğru",IF(R843&gt;0,"EKSİK ÖDENMİŞ","FAZLA ÖDENMİŞ")))))</f>
        <v/>
      </c>
      <c r="T843" s="30">
        <f>IF(A843="","",IF(F843&lt;&gt;"Evet","İNCELEME GEREKLİ - Kampanya Tanımsız",IF(G843&lt;&gt;"Evet","İNCELEME GEREKLİ - Tarih Dışı Satış",IF(LEFT(P843,4)="RİSK","İNCELEME GEREKLİ - Hakediş Süresi Aşıldı",IF(OR(S843="EKSİK ÖDENMİŞ",S843="FAZLA ÖDENMİŞ"),"İNCELEME GEREKLİ - Tutar Uyuşmazlığı",IF(LEFT(P843,7)="Bekleni","Bekleniyor","Uygun"))))))</f>
        <v/>
      </c>
    </row>
    <row r="844">
      <c r="A844" s="26">
        <f>IF('DIVA Satislari'!I844="","",'DIVA Satislari'!I844)</f>
        <v/>
      </c>
      <c r="B844" s="26">
        <f>IF('DIVA Satislari'!I844="","",'DIVA Satislari'!R844)</f>
        <v/>
      </c>
      <c r="C844" s="26">
        <f>IF('DIVA Satislari'!I844="","",'DIVA Satislari'!M844)</f>
        <v/>
      </c>
      <c r="D844" s="27">
        <f>IF('DIVA Satislari'!I844="","",'DIVA Satislari'!H844)</f>
        <v/>
      </c>
      <c r="E844" s="26">
        <f>IF('DIVA Satislari'!I844="","",'DIVA Satislari'!O844)</f>
        <v/>
      </c>
      <c r="F844" s="26">
        <f>IF('DIVA Satislari'!I844="","",'DIVA Satislari'!AK844)</f>
        <v/>
      </c>
      <c r="G844" s="26">
        <f>IF('DIVA Satislari'!I844="","",'DIVA Satislari'!AO844)</f>
        <v/>
      </c>
      <c r="H844" s="27">
        <f>IF('DIVA Satislari'!I844="","",'DIVA Satislari'!AN844)</f>
        <v/>
      </c>
      <c r="I844" s="28">
        <f>IF('DIVA Satislari'!I844="","",'DIVA Satislari'!AQ844)</f>
        <v/>
      </c>
      <c r="J844" s="26">
        <f>IF('DIVA Satislari'!I844="","",'DIVA Satislari'!AR844)</f>
        <v/>
      </c>
      <c r="K844" s="26">
        <f>IF('DIVA Satislari'!I844="","",IFERROR(INDEX('E2E Nakliye Montaj'!$AS$3:$AS$1002,MATCH('DIVA Satislari'!AJ844,'E2E Nakliye Montaj'!$AM$3:$AM$1002,0)),"Eşleşme Yok"))</f>
        <v/>
      </c>
      <c r="L844" s="26">
        <f>IF('DIVA Satislari'!I844="","",IFERROR(INDEX('E2E Nakliye Montaj'!$AT$3:$AT$1002,MATCH('DIVA Satislari'!AJ844,'E2E Nakliye Montaj'!$AM$3:$AM$1002,0)),"Hayır"))</f>
        <v/>
      </c>
      <c r="M844" s="26">
        <f>IF('DIVA Satislari'!I844="","",IFERROR(INDEX('E2E Nakliye Montaj'!$AU$3:$AU$1002,MATCH('DIVA Satislari'!AJ844,'E2E Nakliye Montaj'!$AM$3:$AM$1002,0)),"Hayır"))</f>
        <v/>
      </c>
      <c r="N844" s="27">
        <f>IF('DIVA Satislari'!I844="","",IFERROR(INDEX('E2E Nakliye Montaj'!$AV$3:$AV$1002,MATCH('DIVA Satislari'!AJ844,'E2E Nakliye Montaj'!$AM$3:$AM$1002,0)),""))</f>
        <v/>
      </c>
      <c r="O844" s="26">
        <f>IF(OR(A844="",N844=""),"",IF(N844&lt;=H844,"Evet","HAYIR - RİSK"))</f>
        <v/>
      </c>
      <c r="P844" s="26">
        <f>IF(A844="","",IF(LEFT(J844,8)="Kural A ","Uygun - Hemen Ödenir (Yıl Sonu %75 Kontrolüne Tabi)",IF(OR(L844="Evet",M844="Evet"),IF(O844="Evet","Uygun","RİSK - Hakediş Süresi Aşıldı"),"Bekleniyor - Nakliye/Montaj Tamamlanmadı")))</f>
        <v/>
      </c>
      <c r="Q844" s="28">
        <f>IF(A844="","",SUMIFS('Hakedis Fatura Detay'!$G$3:$G$1200,'Hakedis Fatura Detay'!$H$3:$H$1200,'DIVA Satislari'!AJ844,'Hakedis Fatura Detay'!$F$3:$F$1200,"Fiyat Farkı")+SUMIFS('Hakedis Fatura Detay'!$G$3:$G$1200,'Hakedis Fatura Detay'!$H$3:$H$1200,'DIVA Satislari'!AJ844,'Hakedis Fatura Detay'!$F$3:$F$1200,"Bundle"))</f>
        <v/>
      </c>
      <c r="R844" s="28">
        <f>IF(A844="","",I844-Q844)</f>
        <v/>
      </c>
      <c r="S844" s="26">
        <f>IF(A844="","",IF(LEFT(P844,7)="Bekleni","N/A - Henüz Ödenmemeli",IF(LEFT(P844,4)="RİSK","İNCELEME GEREKLİ - Süre Aşımı",IF(R844=0,"Doğru",IF(R844&gt;0,"EKSİK ÖDENMİŞ","FAZLA ÖDENMİŞ")))))</f>
        <v/>
      </c>
      <c r="T844" s="30">
        <f>IF(A844="","",IF(F844&lt;&gt;"Evet","İNCELEME GEREKLİ - Kampanya Tanımsız",IF(G844&lt;&gt;"Evet","İNCELEME GEREKLİ - Tarih Dışı Satış",IF(LEFT(P844,4)="RİSK","İNCELEME GEREKLİ - Hakediş Süresi Aşıldı",IF(OR(S844="EKSİK ÖDENMİŞ",S844="FAZLA ÖDENMİŞ"),"İNCELEME GEREKLİ - Tutar Uyuşmazlığı",IF(LEFT(P844,7)="Bekleni","Bekleniyor","Uygun"))))))</f>
        <v/>
      </c>
    </row>
    <row r="845">
      <c r="A845" s="26">
        <f>IF('DIVA Satislari'!I845="","",'DIVA Satislari'!I845)</f>
        <v/>
      </c>
      <c r="B845" s="26">
        <f>IF('DIVA Satislari'!I845="","",'DIVA Satislari'!R845)</f>
        <v/>
      </c>
      <c r="C845" s="26">
        <f>IF('DIVA Satislari'!I845="","",'DIVA Satislari'!M845)</f>
        <v/>
      </c>
      <c r="D845" s="27">
        <f>IF('DIVA Satislari'!I845="","",'DIVA Satislari'!H845)</f>
        <v/>
      </c>
      <c r="E845" s="26">
        <f>IF('DIVA Satislari'!I845="","",'DIVA Satislari'!O845)</f>
        <v/>
      </c>
      <c r="F845" s="26">
        <f>IF('DIVA Satislari'!I845="","",'DIVA Satislari'!AK845)</f>
        <v/>
      </c>
      <c r="G845" s="26">
        <f>IF('DIVA Satislari'!I845="","",'DIVA Satislari'!AO845)</f>
        <v/>
      </c>
      <c r="H845" s="27">
        <f>IF('DIVA Satislari'!I845="","",'DIVA Satislari'!AN845)</f>
        <v/>
      </c>
      <c r="I845" s="28">
        <f>IF('DIVA Satislari'!I845="","",'DIVA Satislari'!AQ845)</f>
        <v/>
      </c>
      <c r="J845" s="26">
        <f>IF('DIVA Satislari'!I845="","",'DIVA Satislari'!AR845)</f>
        <v/>
      </c>
      <c r="K845" s="26">
        <f>IF('DIVA Satislari'!I845="","",IFERROR(INDEX('E2E Nakliye Montaj'!$AS$3:$AS$1002,MATCH('DIVA Satislari'!AJ845,'E2E Nakliye Montaj'!$AM$3:$AM$1002,0)),"Eşleşme Yok"))</f>
        <v/>
      </c>
      <c r="L845" s="26">
        <f>IF('DIVA Satislari'!I845="","",IFERROR(INDEX('E2E Nakliye Montaj'!$AT$3:$AT$1002,MATCH('DIVA Satislari'!AJ845,'E2E Nakliye Montaj'!$AM$3:$AM$1002,0)),"Hayır"))</f>
        <v/>
      </c>
      <c r="M845" s="26">
        <f>IF('DIVA Satislari'!I845="","",IFERROR(INDEX('E2E Nakliye Montaj'!$AU$3:$AU$1002,MATCH('DIVA Satislari'!AJ845,'E2E Nakliye Montaj'!$AM$3:$AM$1002,0)),"Hayır"))</f>
        <v/>
      </c>
      <c r="N845" s="27">
        <f>IF('DIVA Satislari'!I845="","",IFERROR(INDEX('E2E Nakliye Montaj'!$AV$3:$AV$1002,MATCH('DIVA Satislari'!AJ845,'E2E Nakliye Montaj'!$AM$3:$AM$1002,0)),""))</f>
        <v/>
      </c>
      <c r="O845" s="26">
        <f>IF(OR(A845="",N845=""),"",IF(N845&lt;=H845,"Evet","HAYIR - RİSK"))</f>
        <v/>
      </c>
      <c r="P845" s="26">
        <f>IF(A845="","",IF(LEFT(J845,8)="Kural A ","Uygun - Hemen Ödenir (Yıl Sonu %75 Kontrolüne Tabi)",IF(OR(L845="Evet",M845="Evet"),IF(O845="Evet","Uygun","RİSK - Hakediş Süresi Aşıldı"),"Bekleniyor - Nakliye/Montaj Tamamlanmadı")))</f>
        <v/>
      </c>
      <c r="Q845" s="28">
        <f>IF(A845="","",SUMIFS('Hakedis Fatura Detay'!$G$3:$G$1200,'Hakedis Fatura Detay'!$H$3:$H$1200,'DIVA Satislari'!AJ845,'Hakedis Fatura Detay'!$F$3:$F$1200,"Fiyat Farkı")+SUMIFS('Hakedis Fatura Detay'!$G$3:$G$1200,'Hakedis Fatura Detay'!$H$3:$H$1200,'DIVA Satislari'!AJ845,'Hakedis Fatura Detay'!$F$3:$F$1200,"Bundle"))</f>
        <v/>
      </c>
      <c r="R845" s="28">
        <f>IF(A845="","",I845-Q845)</f>
        <v/>
      </c>
      <c r="S845" s="26">
        <f>IF(A845="","",IF(LEFT(P845,7)="Bekleni","N/A - Henüz Ödenmemeli",IF(LEFT(P845,4)="RİSK","İNCELEME GEREKLİ - Süre Aşımı",IF(R845=0,"Doğru",IF(R845&gt;0,"EKSİK ÖDENMİŞ","FAZLA ÖDENMİŞ")))))</f>
        <v/>
      </c>
      <c r="T845" s="30">
        <f>IF(A845="","",IF(F845&lt;&gt;"Evet","İNCELEME GEREKLİ - Kampanya Tanımsız",IF(G845&lt;&gt;"Evet","İNCELEME GEREKLİ - Tarih Dışı Satış",IF(LEFT(P845,4)="RİSK","İNCELEME GEREKLİ - Hakediş Süresi Aşıldı",IF(OR(S845="EKSİK ÖDENMİŞ",S845="FAZLA ÖDENMİŞ"),"İNCELEME GEREKLİ - Tutar Uyuşmazlığı",IF(LEFT(P845,7)="Bekleni","Bekleniyor","Uygun"))))))</f>
        <v/>
      </c>
    </row>
    <row r="846">
      <c r="A846" s="26">
        <f>IF('DIVA Satislari'!I846="","",'DIVA Satislari'!I846)</f>
        <v/>
      </c>
      <c r="B846" s="26">
        <f>IF('DIVA Satislari'!I846="","",'DIVA Satislari'!R846)</f>
        <v/>
      </c>
      <c r="C846" s="26">
        <f>IF('DIVA Satislari'!I846="","",'DIVA Satislari'!M846)</f>
        <v/>
      </c>
      <c r="D846" s="27">
        <f>IF('DIVA Satislari'!I846="","",'DIVA Satislari'!H846)</f>
        <v/>
      </c>
      <c r="E846" s="26">
        <f>IF('DIVA Satislari'!I846="","",'DIVA Satislari'!O846)</f>
        <v/>
      </c>
      <c r="F846" s="26">
        <f>IF('DIVA Satislari'!I846="","",'DIVA Satislari'!AK846)</f>
        <v/>
      </c>
      <c r="G846" s="26">
        <f>IF('DIVA Satislari'!I846="","",'DIVA Satislari'!AO846)</f>
        <v/>
      </c>
      <c r="H846" s="27">
        <f>IF('DIVA Satislari'!I846="","",'DIVA Satislari'!AN846)</f>
        <v/>
      </c>
      <c r="I846" s="28">
        <f>IF('DIVA Satislari'!I846="","",'DIVA Satislari'!AQ846)</f>
        <v/>
      </c>
      <c r="J846" s="26">
        <f>IF('DIVA Satislari'!I846="","",'DIVA Satislari'!AR846)</f>
        <v/>
      </c>
      <c r="K846" s="26">
        <f>IF('DIVA Satislari'!I846="","",IFERROR(INDEX('E2E Nakliye Montaj'!$AS$3:$AS$1002,MATCH('DIVA Satislari'!AJ846,'E2E Nakliye Montaj'!$AM$3:$AM$1002,0)),"Eşleşme Yok"))</f>
        <v/>
      </c>
      <c r="L846" s="26">
        <f>IF('DIVA Satislari'!I846="","",IFERROR(INDEX('E2E Nakliye Montaj'!$AT$3:$AT$1002,MATCH('DIVA Satislari'!AJ846,'E2E Nakliye Montaj'!$AM$3:$AM$1002,0)),"Hayır"))</f>
        <v/>
      </c>
      <c r="M846" s="26">
        <f>IF('DIVA Satislari'!I846="","",IFERROR(INDEX('E2E Nakliye Montaj'!$AU$3:$AU$1002,MATCH('DIVA Satislari'!AJ846,'E2E Nakliye Montaj'!$AM$3:$AM$1002,0)),"Hayır"))</f>
        <v/>
      </c>
      <c r="N846" s="27">
        <f>IF('DIVA Satislari'!I846="","",IFERROR(INDEX('E2E Nakliye Montaj'!$AV$3:$AV$1002,MATCH('DIVA Satislari'!AJ846,'E2E Nakliye Montaj'!$AM$3:$AM$1002,0)),""))</f>
        <v/>
      </c>
      <c r="O846" s="26">
        <f>IF(OR(A846="",N846=""),"",IF(N846&lt;=H846,"Evet","HAYIR - RİSK"))</f>
        <v/>
      </c>
      <c r="P846" s="26">
        <f>IF(A846="","",IF(LEFT(J846,8)="Kural A ","Uygun - Hemen Ödenir (Yıl Sonu %75 Kontrolüne Tabi)",IF(OR(L846="Evet",M846="Evet"),IF(O846="Evet","Uygun","RİSK - Hakediş Süresi Aşıldı"),"Bekleniyor - Nakliye/Montaj Tamamlanmadı")))</f>
        <v/>
      </c>
      <c r="Q846" s="28">
        <f>IF(A846="","",SUMIFS('Hakedis Fatura Detay'!$G$3:$G$1200,'Hakedis Fatura Detay'!$H$3:$H$1200,'DIVA Satislari'!AJ846,'Hakedis Fatura Detay'!$F$3:$F$1200,"Fiyat Farkı")+SUMIFS('Hakedis Fatura Detay'!$G$3:$G$1200,'Hakedis Fatura Detay'!$H$3:$H$1200,'DIVA Satislari'!AJ846,'Hakedis Fatura Detay'!$F$3:$F$1200,"Bundle"))</f>
        <v/>
      </c>
      <c r="R846" s="28">
        <f>IF(A846="","",I846-Q846)</f>
        <v/>
      </c>
      <c r="S846" s="26">
        <f>IF(A846="","",IF(LEFT(P846,7)="Bekleni","N/A - Henüz Ödenmemeli",IF(LEFT(P846,4)="RİSK","İNCELEME GEREKLİ - Süre Aşımı",IF(R846=0,"Doğru",IF(R846&gt;0,"EKSİK ÖDENMİŞ","FAZLA ÖDENMİŞ")))))</f>
        <v/>
      </c>
      <c r="T846" s="30">
        <f>IF(A846="","",IF(F846&lt;&gt;"Evet","İNCELEME GEREKLİ - Kampanya Tanımsız",IF(G846&lt;&gt;"Evet","İNCELEME GEREKLİ - Tarih Dışı Satış",IF(LEFT(P846,4)="RİSK","İNCELEME GEREKLİ - Hakediş Süresi Aşıldı",IF(OR(S846="EKSİK ÖDENMİŞ",S846="FAZLA ÖDENMİŞ"),"İNCELEME GEREKLİ - Tutar Uyuşmazlığı",IF(LEFT(P846,7)="Bekleni","Bekleniyor","Uygun"))))))</f>
        <v/>
      </c>
    </row>
    <row r="847">
      <c r="A847" s="26">
        <f>IF('DIVA Satislari'!I847="","",'DIVA Satislari'!I847)</f>
        <v/>
      </c>
      <c r="B847" s="26">
        <f>IF('DIVA Satislari'!I847="","",'DIVA Satislari'!R847)</f>
        <v/>
      </c>
      <c r="C847" s="26">
        <f>IF('DIVA Satislari'!I847="","",'DIVA Satislari'!M847)</f>
        <v/>
      </c>
      <c r="D847" s="27">
        <f>IF('DIVA Satislari'!I847="","",'DIVA Satislari'!H847)</f>
        <v/>
      </c>
      <c r="E847" s="26">
        <f>IF('DIVA Satislari'!I847="","",'DIVA Satislari'!O847)</f>
        <v/>
      </c>
      <c r="F847" s="26">
        <f>IF('DIVA Satislari'!I847="","",'DIVA Satislari'!AK847)</f>
        <v/>
      </c>
      <c r="G847" s="26">
        <f>IF('DIVA Satislari'!I847="","",'DIVA Satislari'!AO847)</f>
        <v/>
      </c>
      <c r="H847" s="27">
        <f>IF('DIVA Satislari'!I847="","",'DIVA Satislari'!AN847)</f>
        <v/>
      </c>
      <c r="I847" s="28">
        <f>IF('DIVA Satislari'!I847="","",'DIVA Satislari'!AQ847)</f>
        <v/>
      </c>
      <c r="J847" s="26">
        <f>IF('DIVA Satislari'!I847="","",'DIVA Satislari'!AR847)</f>
        <v/>
      </c>
      <c r="K847" s="26">
        <f>IF('DIVA Satislari'!I847="","",IFERROR(INDEX('E2E Nakliye Montaj'!$AS$3:$AS$1002,MATCH('DIVA Satislari'!AJ847,'E2E Nakliye Montaj'!$AM$3:$AM$1002,0)),"Eşleşme Yok"))</f>
        <v/>
      </c>
      <c r="L847" s="26">
        <f>IF('DIVA Satislari'!I847="","",IFERROR(INDEX('E2E Nakliye Montaj'!$AT$3:$AT$1002,MATCH('DIVA Satislari'!AJ847,'E2E Nakliye Montaj'!$AM$3:$AM$1002,0)),"Hayır"))</f>
        <v/>
      </c>
      <c r="M847" s="26">
        <f>IF('DIVA Satislari'!I847="","",IFERROR(INDEX('E2E Nakliye Montaj'!$AU$3:$AU$1002,MATCH('DIVA Satislari'!AJ847,'E2E Nakliye Montaj'!$AM$3:$AM$1002,0)),"Hayır"))</f>
        <v/>
      </c>
      <c r="N847" s="27">
        <f>IF('DIVA Satislari'!I847="","",IFERROR(INDEX('E2E Nakliye Montaj'!$AV$3:$AV$1002,MATCH('DIVA Satislari'!AJ847,'E2E Nakliye Montaj'!$AM$3:$AM$1002,0)),""))</f>
        <v/>
      </c>
      <c r="O847" s="26">
        <f>IF(OR(A847="",N847=""),"",IF(N847&lt;=H847,"Evet","HAYIR - RİSK"))</f>
        <v/>
      </c>
      <c r="P847" s="26">
        <f>IF(A847="","",IF(LEFT(J847,8)="Kural A ","Uygun - Hemen Ödenir (Yıl Sonu %75 Kontrolüne Tabi)",IF(OR(L847="Evet",M847="Evet"),IF(O847="Evet","Uygun","RİSK - Hakediş Süresi Aşıldı"),"Bekleniyor - Nakliye/Montaj Tamamlanmadı")))</f>
        <v/>
      </c>
      <c r="Q847" s="28">
        <f>IF(A847="","",SUMIFS('Hakedis Fatura Detay'!$G$3:$G$1200,'Hakedis Fatura Detay'!$H$3:$H$1200,'DIVA Satislari'!AJ847,'Hakedis Fatura Detay'!$F$3:$F$1200,"Fiyat Farkı")+SUMIFS('Hakedis Fatura Detay'!$G$3:$G$1200,'Hakedis Fatura Detay'!$H$3:$H$1200,'DIVA Satislari'!AJ847,'Hakedis Fatura Detay'!$F$3:$F$1200,"Bundle"))</f>
        <v/>
      </c>
      <c r="R847" s="28">
        <f>IF(A847="","",I847-Q847)</f>
        <v/>
      </c>
      <c r="S847" s="26">
        <f>IF(A847="","",IF(LEFT(P847,7)="Bekleni","N/A - Henüz Ödenmemeli",IF(LEFT(P847,4)="RİSK","İNCELEME GEREKLİ - Süre Aşımı",IF(R847=0,"Doğru",IF(R847&gt;0,"EKSİK ÖDENMİŞ","FAZLA ÖDENMİŞ")))))</f>
        <v/>
      </c>
      <c r="T847" s="30">
        <f>IF(A847="","",IF(F847&lt;&gt;"Evet","İNCELEME GEREKLİ - Kampanya Tanımsız",IF(G847&lt;&gt;"Evet","İNCELEME GEREKLİ - Tarih Dışı Satış",IF(LEFT(P847,4)="RİSK","İNCELEME GEREKLİ - Hakediş Süresi Aşıldı",IF(OR(S847="EKSİK ÖDENMİŞ",S847="FAZLA ÖDENMİŞ"),"İNCELEME GEREKLİ - Tutar Uyuşmazlığı",IF(LEFT(P847,7)="Bekleni","Bekleniyor","Uygun"))))))</f>
        <v/>
      </c>
    </row>
    <row r="848">
      <c r="A848" s="26">
        <f>IF('DIVA Satislari'!I848="","",'DIVA Satislari'!I848)</f>
        <v/>
      </c>
      <c r="B848" s="26">
        <f>IF('DIVA Satislari'!I848="","",'DIVA Satislari'!R848)</f>
        <v/>
      </c>
      <c r="C848" s="26">
        <f>IF('DIVA Satislari'!I848="","",'DIVA Satislari'!M848)</f>
        <v/>
      </c>
      <c r="D848" s="27">
        <f>IF('DIVA Satislari'!I848="","",'DIVA Satislari'!H848)</f>
        <v/>
      </c>
      <c r="E848" s="26">
        <f>IF('DIVA Satislari'!I848="","",'DIVA Satislari'!O848)</f>
        <v/>
      </c>
      <c r="F848" s="26">
        <f>IF('DIVA Satislari'!I848="","",'DIVA Satislari'!AK848)</f>
        <v/>
      </c>
      <c r="G848" s="26">
        <f>IF('DIVA Satislari'!I848="","",'DIVA Satislari'!AO848)</f>
        <v/>
      </c>
      <c r="H848" s="27">
        <f>IF('DIVA Satislari'!I848="","",'DIVA Satislari'!AN848)</f>
        <v/>
      </c>
      <c r="I848" s="28">
        <f>IF('DIVA Satislari'!I848="","",'DIVA Satislari'!AQ848)</f>
        <v/>
      </c>
      <c r="J848" s="26">
        <f>IF('DIVA Satislari'!I848="","",'DIVA Satislari'!AR848)</f>
        <v/>
      </c>
      <c r="K848" s="26">
        <f>IF('DIVA Satislari'!I848="","",IFERROR(INDEX('E2E Nakliye Montaj'!$AS$3:$AS$1002,MATCH('DIVA Satislari'!AJ848,'E2E Nakliye Montaj'!$AM$3:$AM$1002,0)),"Eşleşme Yok"))</f>
        <v/>
      </c>
      <c r="L848" s="26">
        <f>IF('DIVA Satislari'!I848="","",IFERROR(INDEX('E2E Nakliye Montaj'!$AT$3:$AT$1002,MATCH('DIVA Satislari'!AJ848,'E2E Nakliye Montaj'!$AM$3:$AM$1002,0)),"Hayır"))</f>
        <v/>
      </c>
      <c r="M848" s="26">
        <f>IF('DIVA Satislari'!I848="","",IFERROR(INDEX('E2E Nakliye Montaj'!$AU$3:$AU$1002,MATCH('DIVA Satislari'!AJ848,'E2E Nakliye Montaj'!$AM$3:$AM$1002,0)),"Hayır"))</f>
        <v/>
      </c>
      <c r="N848" s="27">
        <f>IF('DIVA Satislari'!I848="","",IFERROR(INDEX('E2E Nakliye Montaj'!$AV$3:$AV$1002,MATCH('DIVA Satislari'!AJ848,'E2E Nakliye Montaj'!$AM$3:$AM$1002,0)),""))</f>
        <v/>
      </c>
      <c r="O848" s="26">
        <f>IF(OR(A848="",N848=""),"",IF(N848&lt;=H848,"Evet","HAYIR - RİSK"))</f>
        <v/>
      </c>
      <c r="P848" s="26">
        <f>IF(A848="","",IF(LEFT(J848,8)="Kural A ","Uygun - Hemen Ödenir (Yıl Sonu %75 Kontrolüne Tabi)",IF(OR(L848="Evet",M848="Evet"),IF(O848="Evet","Uygun","RİSK - Hakediş Süresi Aşıldı"),"Bekleniyor - Nakliye/Montaj Tamamlanmadı")))</f>
        <v/>
      </c>
      <c r="Q848" s="28">
        <f>IF(A848="","",SUMIFS('Hakedis Fatura Detay'!$G$3:$G$1200,'Hakedis Fatura Detay'!$H$3:$H$1200,'DIVA Satislari'!AJ848,'Hakedis Fatura Detay'!$F$3:$F$1200,"Fiyat Farkı")+SUMIFS('Hakedis Fatura Detay'!$G$3:$G$1200,'Hakedis Fatura Detay'!$H$3:$H$1200,'DIVA Satislari'!AJ848,'Hakedis Fatura Detay'!$F$3:$F$1200,"Bundle"))</f>
        <v/>
      </c>
      <c r="R848" s="28">
        <f>IF(A848="","",I848-Q848)</f>
        <v/>
      </c>
      <c r="S848" s="26">
        <f>IF(A848="","",IF(LEFT(P848,7)="Bekleni","N/A - Henüz Ödenmemeli",IF(LEFT(P848,4)="RİSK","İNCELEME GEREKLİ - Süre Aşımı",IF(R848=0,"Doğru",IF(R848&gt;0,"EKSİK ÖDENMİŞ","FAZLA ÖDENMİŞ")))))</f>
        <v/>
      </c>
      <c r="T848" s="30">
        <f>IF(A848="","",IF(F848&lt;&gt;"Evet","İNCELEME GEREKLİ - Kampanya Tanımsız",IF(G848&lt;&gt;"Evet","İNCELEME GEREKLİ - Tarih Dışı Satış",IF(LEFT(P848,4)="RİSK","İNCELEME GEREKLİ - Hakediş Süresi Aşıldı",IF(OR(S848="EKSİK ÖDENMİŞ",S848="FAZLA ÖDENMİŞ"),"İNCELEME GEREKLİ - Tutar Uyuşmazlığı",IF(LEFT(P848,7)="Bekleni","Bekleniyor","Uygun"))))))</f>
        <v/>
      </c>
    </row>
    <row r="849">
      <c r="A849" s="26">
        <f>IF('DIVA Satislari'!I849="","",'DIVA Satislari'!I849)</f>
        <v/>
      </c>
      <c r="B849" s="26">
        <f>IF('DIVA Satislari'!I849="","",'DIVA Satislari'!R849)</f>
        <v/>
      </c>
      <c r="C849" s="26">
        <f>IF('DIVA Satislari'!I849="","",'DIVA Satislari'!M849)</f>
        <v/>
      </c>
      <c r="D849" s="27">
        <f>IF('DIVA Satislari'!I849="","",'DIVA Satislari'!H849)</f>
        <v/>
      </c>
      <c r="E849" s="26">
        <f>IF('DIVA Satislari'!I849="","",'DIVA Satislari'!O849)</f>
        <v/>
      </c>
      <c r="F849" s="26">
        <f>IF('DIVA Satislari'!I849="","",'DIVA Satislari'!AK849)</f>
        <v/>
      </c>
      <c r="G849" s="26">
        <f>IF('DIVA Satislari'!I849="","",'DIVA Satislari'!AO849)</f>
        <v/>
      </c>
      <c r="H849" s="27">
        <f>IF('DIVA Satislari'!I849="","",'DIVA Satislari'!AN849)</f>
        <v/>
      </c>
      <c r="I849" s="28">
        <f>IF('DIVA Satislari'!I849="","",'DIVA Satislari'!AQ849)</f>
        <v/>
      </c>
      <c r="J849" s="26">
        <f>IF('DIVA Satislari'!I849="","",'DIVA Satislari'!AR849)</f>
        <v/>
      </c>
      <c r="K849" s="26">
        <f>IF('DIVA Satislari'!I849="","",IFERROR(INDEX('E2E Nakliye Montaj'!$AS$3:$AS$1002,MATCH('DIVA Satislari'!AJ849,'E2E Nakliye Montaj'!$AM$3:$AM$1002,0)),"Eşleşme Yok"))</f>
        <v/>
      </c>
      <c r="L849" s="26">
        <f>IF('DIVA Satislari'!I849="","",IFERROR(INDEX('E2E Nakliye Montaj'!$AT$3:$AT$1002,MATCH('DIVA Satislari'!AJ849,'E2E Nakliye Montaj'!$AM$3:$AM$1002,0)),"Hayır"))</f>
        <v/>
      </c>
      <c r="M849" s="26">
        <f>IF('DIVA Satislari'!I849="","",IFERROR(INDEX('E2E Nakliye Montaj'!$AU$3:$AU$1002,MATCH('DIVA Satislari'!AJ849,'E2E Nakliye Montaj'!$AM$3:$AM$1002,0)),"Hayır"))</f>
        <v/>
      </c>
      <c r="N849" s="27">
        <f>IF('DIVA Satislari'!I849="","",IFERROR(INDEX('E2E Nakliye Montaj'!$AV$3:$AV$1002,MATCH('DIVA Satislari'!AJ849,'E2E Nakliye Montaj'!$AM$3:$AM$1002,0)),""))</f>
        <v/>
      </c>
      <c r="O849" s="26">
        <f>IF(OR(A849="",N849=""),"",IF(N849&lt;=H849,"Evet","HAYIR - RİSK"))</f>
        <v/>
      </c>
      <c r="P849" s="26">
        <f>IF(A849="","",IF(LEFT(J849,8)="Kural A ","Uygun - Hemen Ödenir (Yıl Sonu %75 Kontrolüne Tabi)",IF(OR(L849="Evet",M849="Evet"),IF(O849="Evet","Uygun","RİSK - Hakediş Süresi Aşıldı"),"Bekleniyor - Nakliye/Montaj Tamamlanmadı")))</f>
        <v/>
      </c>
      <c r="Q849" s="28">
        <f>IF(A849="","",SUMIFS('Hakedis Fatura Detay'!$G$3:$G$1200,'Hakedis Fatura Detay'!$H$3:$H$1200,'DIVA Satislari'!AJ849,'Hakedis Fatura Detay'!$F$3:$F$1200,"Fiyat Farkı")+SUMIFS('Hakedis Fatura Detay'!$G$3:$G$1200,'Hakedis Fatura Detay'!$H$3:$H$1200,'DIVA Satislari'!AJ849,'Hakedis Fatura Detay'!$F$3:$F$1200,"Bundle"))</f>
        <v/>
      </c>
      <c r="R849" s="28">
        <f>IF(A849="","",I849-Q849)</f>
        <v/>
      </c>
      <c r="S849" s="26">
        <f>IF(A849="","",IF(LEFT(P849,7)="Bekleni","N/A - Henüz Ödenmemeli",IF(LEFT(P849,4)="RİSK","İNCELEME GEREKLİ - Süre Aşımı",IF(R849=0,"Doğru",IF(R849&gt;0,"EKSİK ÖDENMİŞ","FAZLA ÖDENMİŞ")))))</f>
        <v/>
      </c>
      <c r="T849" s="30">
        <f>IF(A849="","",IF(F849&lt;&gt;"Evet","İNCELEME GEREKLİ - Kampanya Tanımsız",IF(G849&lt;&gt;"Evet","İNCELEME GEREKLİ - Tarih Dışı Satış",IF(LEFT(P849,4)="RİSK","İNCELEME GEREKLİ - Hakediş Süresi Aşıldı",IF(OR(S849="EKSİK ÖDENMİŞ",S849="FAZLA ÖDENMİŞ"),"İNCELEME GEREKLİ - Tutar Uyuşmazlığı",IF(LEFT(P849,7)="Bekleni","Bekleniyor","Uygun"))))))</f>
        <v/>
      </c>
    </row>
    <row r="850">
      <c r="A850" s="26">
        <f>IF('DIVA Satislari'!I850="","",'DIVA Satislari'!I850)</f>
        <v/>
      </c>
      <c r="B850" s="26">
        <f>IF('DIVA Satislari'!I850="","",'DIVA Satislari'!R850)</f>
        <v/>
      </c>
      <c r="C850" s="26">
        <f>IF('DIVA Satislari'!I850="","",'DIVA Satislari'!M850)</f>
        <v/>
      </c>
      <c r="D850" s="27">
        <f>IF('DIVA Satislari'!I850="","",'DIVA Satislari'!H850)</f>
        <v/>
      </c>
      <c r="E850" s="26">
        <f>IF('DIVA Satislari'!I850="","",'DIVA Satislari'!O850)</f>
        <v/>
      </c>
      <c r="F850" s="26">
        <f>IF('DIVA Satislari'!I850="","",'DIVA Satislari'!AK850)</f>
        <v/>
      </c>
      <c r="G850" s="26">
        <f>IF('DIVA Satislari'!I850="","",'DIVA Satislari'!AO850)</f>
        <v/>
      </c>
      <c r="H850" s="27">
        <f>IF('DIVA Satislari'!I850="","",'DIVA Satislari'!AN850)</f>
        <v/>
      </c>
      <c r="I850" s="28">
        <f>IF('DIVA Satislari'!I850="","",'DIVA Satislari'!AQ850)</f>
        <v/>
      </c>
      <c r="J850" s="26">
        <f>IF('DIVA Satislari'!I850="","",'DIVA Satislari'!AR850)</f>
        <v/>
      </c>
      <c r="K850" s="26">
        <f>IF('DIVA Satislari'!I850="","",IFERROR(INDEX('E2E Nakliye Montaj'!$AS$3:$AS$1002,MATCH('DIVA Satislari'!AJ850,'E2E Nakliye Montaj'!$AM$3:$AM$1002,0)),"Eşleşme Yok"))</f>
        <v/>
      </c>
      <c r="L850" s="26">
        <f>IF('DIVA Satislari'!I850="","",IFERROR(INDEX('E2E Nakliye Montaj'!$AT$3:$AT$1002,MATCH('DIVA Satislari'!AJ850,'E2E Nakliye Montaj'!$AM$3:$AM$1002,0)),"Hayır"))</f>
        <v/>
      </c>
      <c r="M850" s="26">
        <f>IF('DIVA Satislari'!I850="","",IFERROR(INDEX('E2E Nakliye Montaj'!$AU$3:$AU$1002,MATCH('DIVA Satislari'!AJ850,'E2E Nakliye Montaj'!$AM$3:$AM$1002,0)),"Hayır"))</f>
        <v/>
      </c>
      <c r="N850" s="27">
        <f>IF('DIVA Satislari'!I850="","",IFERROR(INDEX('E2E Nakliye Montaj'!$AV$3:$AV$1002,MATCH('DIVA Satislari'!AJ850,'E2E Nakliye Montaj'!$AM$3:$AM$1002,0)),""))</f>
        <v/>
      </c>
      <c r="O850" s="26">
        <f>IF(OR(A850="",N850=""),"",IF(N850&lt;=H850,"Evet","HAYIR - RİSK"))</f>
        <v/>
      </c>
      <c r="P850" s="26">
        <f>IF(A850="","",IF(LEFT(J850,8)="Kural A ","Uygun - Hemen Ödenir (Yıl Sonu %75 Kontrolüne Tabi)",IF(OR(L850="Evet",M850="Evet"),IF(O850="Evet","Uygun","RİSK - Hakediş Süresi Aşıldı"),"Bekleniyor - Nakliye/Montaj Tamamlanmadı")))</f>
        <v/>
      </c>
      <c r="Q850" s="28">
        <f>IF(A850="","",SUMIFS('Hakedis Fatura Detay'!$G$3:$G$1200,'Hakedis Fatura Detay'!$H$3:$H$1200,'DIVA Satislari'!AJ850,'Hakedis Fatura Detay'!$F$3:$F$1200,"Fiyat Farkı")+SUMIFS('Hakedis Fatura Detay'!$G$3:$G$1200,'Hakedis Fatura Detay'!$H$3:$H$1200,'DIVA Satislari'!AJ850,'Hakedis Fatura Detay'!$F$3:$F$1200,"Bundle"))</f>
        <v/>
      </c>
      <c r="R850" s="28">
        <f>IF(A850="","",I850-Q850)</f>
        <v/>
      </c>
      <c r="S850" s="26">
        <f>IF(A850="","",IF(LEFT(P850,7)="Bekleni","N/A - Henüz Ödenmemeli",IF(LEFT(P850,4)="RİSK","İNCELEME GEREKLİ - Süre Aşımı",IF(R850=0,"Doğru",IF(R850&gt;0,"EKSİK ÖDENMİŞ","FAZLA ÖDENMİŞ")))))</f>
        <v/>
      </c>
      <c r="T850" s="30">
        <f>IF(A850="","",IF(F850&lt;&gt;"Evet","İNCELEME GEREKLİ - Kampanya Tanımsız",IF(G850&lt;&gt;"Evet","İNCELEME GEREKLİ - Tarih Dışı Satış",IF(LEFT(P850,4)="RİSK","İNCELEME GEREKLİ - Hakediş Süresi Aşıldı",IF(OR(S850="EKSİK ÖDENMİŞ",S850="FAZLA ÖDENMİŞ"),"İNCELEME GEREKLİ - Tutar Uyuşmazlığı",IF(LEFT(P850,7)="Bekleni","Bekleniyor","Uygun"))))))</f>
        <v/>
      </c>
    </row>
    <row r="851">
      <c r="A851" s="26">
        <f>IF('DIVA Satislari'!I851="","",'DIVA Satislari'!I851)</f>
        <v/>
      </c>
      <c r="B851" s="26">
        <f>IF('DIVA Satislari'!I851="","",'DIVA Satislari'!R851)</f>
        <v/>
      </c>
      <c r="C851" s="26">
        <f>IF('DIVA Satislari'!I851="","",'DIVA Satislari'!M851)</f>
        <v/>
      </c>
      <c r="D851" s="27">
        <f>IF('DIVA Satislari'!I851="","",'DIVA Satislari'!H851)</f>
        <v/>
      </c>
      <c r="E851" s="26">
        <f>IF('DIVA Satislari'!I851="","",'DIVA Satislari'!O851)</f>
        <v/>
      </c>
      <c r="F851" s="26">
        <f>IF('DIVA Satislari'!I851="","",'DIVA Satislari'!AK851)</f>
        <v/>
      </c>
      <c r="G851" s="26">
        <f>IF('DIVA Satislari'!I851="","",'DIVA Satislari'!AO851)</f>
        <v/>
      </c>
      <c r="H851" s="27">
        <f>IF('DIVA Satislari'!I851="","",'DIVA Satislari'!AN851)</f>
        <v/>
      </c>
      <c r="I851" s="28">
        <f>IF('DIVA Satislari'!I851="","",'DIVA Satislari'!AQ851)</f>
        <v/>
      </c>
      <c r="J851" s="26">
        <f>IF('DIVA Satislari'!I851="","",'DIVA Satislari'!AR851)</f>
        <v/>
      </c>
      <c r="K851" s="26">
        <f>IF('DIVA Satislari'!I851="","",IFERROR(INDEX('E2E Nakliye Montaj'!$AS$3:$AS$1002,MATCH('DIVA Satislari'!AJ851,'E2E Nakliye Montaj'!$AM$3:$AM$1002,0)),"Eşleşme Yok"))</f>
        <v/>
      </c>
      <c r="L851" s="26">
        <f>IF('DIVA Satislari'!I851="","",IFERROR(INDEX('E2E Nakliye Montaj'!$AT$3:$AT$1002,MATCH('DIVA Satislari'!AJ851,'E2E Nakliye Montaj'!$AM$3:$AM$1002,0)),"Hayır"))</f>
        <v/>
      </c>
      <c r="M851" s="26">
        <f>IF('DIVA Satislari'!I851="","",IFERROR(INDEX('E2E Nakliye Montaj'!$AU$3:$AU$1002,MATCH('DIVA Satislari'!AJ851,'E2E Nakliye Montaj'!$AM$3:$AM$1002,0)),"Hayır"))</f>
        <v/>
      </c>
      <c r="N851" s="27">
        <f>IF('DIVA Satislari'!I851="","",IFERROR(INDEX('E2E Nakliye Montaj'!$AV$3:$AV$1002,MATCH('DIVA Satislari'!AJ851,'E2E Nakliye Montaj'!$AM$3:$AM$1002,0)),""))</f>
        <v/>
      </c>
      <c r="O851" s="26">
        <f>IF(OR(A851="",N851=""),"",IF(N851&lt;=H851,"Evet","HAYIR - RİSK"))</f>
        <v/>
      </c>
      <c r="P851" s="26">
        <f>IF(A851="","",IF(LEFT(J851,8)="Kural A ","Uygun - Hemen Ödenir (Yıl Sonu %75 Kontrolüne Tabi)",IF(OR(L851="Evet",M851="Evet"),IF(O851="Evet","Uygun","RİSK - Hakediş Süresi Aşıldı"),"Bekleniyor - Nakliye/Montaj Tamamlanmadı")))</f>
        <v/>
      </c>
      <c r="Q851" s="28">
        <f>IF(A851="","",SUMIFS('Hakedis Fatura Detay'!$G$3:$G$1200,'Hakedis Fatura Detay'!$H$3:$H$1200,'DIVA Satislari'!AJ851,'Hakedis Fatura Detay'!$F$3:$F$1200,"Fiyat Farkı")+SUMIFS('Hakedis Fatura Detay'!$G$3:$G$1200,'Hakedis Fatura Detay'!$H$3:$H$1200,'DIVA Satislari'!AJ851,'Hakedis Fatura Detay'!$F$3:$F$1200,"Bundle"))</f>
        <v/>
      </c>
      <c r="R851" s="28">
        <f>IF(A851="","",I851-Q851)</f>
        <v/>
      </c>
      <c r="S851" s="26">
        <f>IF(A851="","",IF(LEFT(P851,7)="Bekleni","N/A - Henüz Ödenmemeli",IF(LEFT(P851,4)="RİSK","İNCELEME GEREKLİ - Süre Aşımı",IF(R851=0,"Doğru",IF(R851&gt;0,"EKSİK ÖDENMİŞ","FAZLA ÖDENMİŞ")))))</f>
        <v/>
      </c>
      <c r="T851" s="30">
        <f>IF(A851="","",IF(F851&lt;&gt;"Evet","İNCELEME GEREKLİ - Kampanya Tanımsız",IF(G851&lt;&gt;"Evet","İNCELEME GEREKLİ - Tarih Dışı Satış",IF(LEFT(P851,4)="RİSK","İNCELEME GEREKLİ - Hakediş Süresi Aşıldı",IF(OR(S851="EKSİK ÖDENMİŞ",S851="FAZLA ÖDENMİŞ"),"İNCELEME GEREKLİ - Tutar Uyuşmazlığı",IF(LEFT(P851,7)="Bekleni","Bekleniyor","Uygun"))))))</f>
        <v/>
      </c>
    </row>
    <row r="852">
      <c r="A852" s="26">
        <f>IF('DIVA Satislari'!I852="","",'DIVA Satislari'!I852)</f>
        <v/>
      </c>
      <c r="B852" s="26">
        <f>IF('DIVA Satislari'!I852="","",'DIVA Satislari'!R852)</f>
        <v/>
      </c>
      <c r="C852" s="26">
        <f>IF('DIVA Satislari'!I852="","",'DIVA Satislari'!M852)</f>
        <v/>
      </c>
      <c r="D852" s="27">
        <f>IF('DIVA Satislari'!I852="","",'DIVA Satislari'!H852)</f>
        <v/>
      </c>
      <c r="E852" s="26">
        <f>IF('DIVA Satislari'!I852="","",'DIVA Satislari'!O852)</f>
        <v/>
      </c>
      <c r="F852" s="26">
        <f>IF('DIVA Satislari'!I852="","",'DIVA Satislari'!AK852)</f>
        <v/>
      </c>
      <c r="G852" s="26">
        <f>IF('DIVA Satislari'!I852="","",'DIVA Satislari'!AO852)</f>
        <v/>
      </c>
      <c r="H852" s="27">
        <f>IF('DIVA Satislari'!I852="","",'DIVA Satislari'!AN852)</f>
        <v/>
      </c>
      <c r="I852" s="28">
        <f>IF('DIVA Satislari'!I852="","",'DIVA Satislari'!AQ852)</f>
        <v/>
      </c>
      <c r="J852" s="26">
        <f>IF('DIVA Satislari'!I852="","",'DIVA Satislari'!AR852)</f>
        <v/>
      </c>
      <c r="K852" s="26">
        <f>IF('DIVA Satislari'!I852="","",IFERROR(INDEX('E2E Nakliye Montaj'!$AS$3:$AS$1002,MATCH('DIVA Satislari'!AJ852,'E2E Nakliye Montaj'!$AM$3:$AM$1002,0)),"Eşleşme Yok"))</f>
        <v/>
      </c>
      <c r="L852" s="26">
        <f>IF('DIVA Satislari'!I852="","",IFERROR(INDEX('E2E Nakliye Montaj'!$AT$3:$AT$1002,MATCH('DIVA Satislari'!AJ852,'E2E Nakliye Montaj'!$AM$3:$AM$1002,0)),"Hayır"))</f>
        <v/>
      </c>
      <c r="M852" s="26">
        <f>IF('DIVA Satislari'!I852="","",IFERROR(INDEX('E2E Nakliye Montaj'!$AU$3:$AU$1002,MATCH('DIVA Satislari'!AJ852,'E2E Nakliye Montaj'!$AM$3:$AM$1002,0)),"Hayır"))</f>
        <v/>
      </c>
      <c r="N852" s="27">
        <f>IF('DIVA Satislari'!I852="","",IFERROR(INDEX('E2E Nakliye Montaj'!$AV$3:$AV$1002,MATCH('DIVA Satislari'!AJ852,'E2E Nakliye Montaj'!$AM$3:$AM$1002,0)),""))</f>
        <v/>
      </c>
      <c r="O852" s="26">
        <f>IF(OR(A852="",N852=""),"",IF(N852&lt;=H852,"Evet","HAYIR - RİSK"))</f>
        <v/>
      </c>
      <c r="P852" s="26">
        <f>IF(A852="","",IF(LEFT(J852,8)="Kural A ","Uygun - Hemen Ödenir (Yıl Sonu %75 Kontrolüne Tabi)",IF(OR(L852="Evet",M852="Evet"),IF(O852="Evet","Uygun","RİSK - Hakediş Süresi Aşıldı"),"Bekleniyor - Nakliye/Montaj Tamamlanmadı")))</f>
        <v/>
      </c>
      <c r="Q852" s="28">
        <f>IF(A852="","",SUMIFS('Hakedis Fatura Detay'!$G$3:$G$1200,'Hakedis Fatura Detay'!$H$3:$H$1200,'DIVA Satislari'!AJ852,'Hakedis Fatura Detay'!$F$3:$F$1200,"Fiyat Farkı")+SUMIFS('Hakedis Fatura Detay'!$G$3:$G$1200,'Hakedis Fatura Detay'!$H$3:$H$1200,'DIVA Satislari'!AJ852,'Hakedis Fatura Detay'!$F$3:$F$1200,"Bundle"))</f>
        <v/>
      </c>
      <c r="R852" s="28">
        <f>IF(A852="","",I852-Q852)</f>
        <v/>
      </c>
      <c r="S852" s="26">
        <f>IF(A852="","",IF(LEFT(P852,7)="Bekleni","N/A - Henüz Ödenmemeli",IF(LEFT(P852,4)="RİSK","İNCELEME GEREKLİ - Süre Aşımı",IF(R852=0,"Doğru",IF(R852&gt;0,"EKSİK ÖDENMİŞ","FAZLA ÖDENMİŞ")))))</f>
        <v/>
      </c>
      <c r="T852" s="30">
        <f>IF(A852="","",IF(F852&lt;&gt;"Evet","İNCELEME GEREKLİ - Kampanya Tanımsız",IF(G852&lt;&gt;"Evet","İNCELEME GEREKLİ - Tarih Dışı Satış",IF(LEFT(P852,4)="RİSK","İNCELEME GEREKLİ - Hakediş Süresi Aşıldı",IF(OR(S852="EKSİK ÖDENMİŞ",S852="FAZLA ÖDENMİŞ"),"İNCELEME GEREKLİ - Tutar Uyuşmazlığı",IF(LEFT(P852,7)="Bekleni","Bekleniyor","Uygun"))))))</f>
        <v/>
      </c>
    </row>
    <row r="853">
      <c r="A853" s="26">
        <f>IF('DIVA Satislari'!I853="","",'DIVA Satislari'!I853)</f>
        <v/>
      </c>
      <c r="B853" s="26">
        <f>IF('DIVA Satislari'!I853="","",'DIVA Satislari'!R853)</f>
        <v/>
      </c>
      <c r="C853" s="26">
        <f>IF('DIVA Satislari'!I853="","",'DIVA Satislari'!M853)</f>
        <v/>
      </c>
      <c r="D853" s="27">
        <f>IF('DIVA Satislari'!I853="","",'DIVA Satislari'!H853)</f>
        <v/>
      </c>
      <c r="E853" s="26">
        <f>IF('DIVA Satislari'!I853="","",'DIVA Satislari'!O853)</f>
        <v/>
      </c>
      <c r="F853" s="26">
        <f>IF('DIVA Satislari'!I853="","",'DIVA Satislari'!AK853)</f>
        <v/>
      </c>
      <c r="G853" s="26">
        <f>IF('DIVA Satislari'!I853="","",'DIVA Satislari'!AO853)</f>
        <v/>
      </c>
      <c r="H853" s="27">
        <f>IF('DIVA Satislari'!I853="","",'DIVA Satislari'!AN853)</f>
        <v/>
      </c>
      <c r="I853" s="28">
        <f>IF('DIVA Satislari'!I853="","",'DIVA Satislari'!AQ853)</f>
        <v/>
      </c>
      <c r="J853" s="26">
        <f>IF('DIVA Satislari'!I853="","",'DIVA Satislari'!AR853)</f>
        <v/>
      </c>
      <c r="K853" s="26">
        <f>IF('DIVA Satislari'!I853="","",IFERROR(INDEX('E2E Nakliye Montaj'!$AS$3:$AS$1002,MATCH('DIVA Satislari'!AJ853,'E2E Nakliye Montaj'!$AM$3:$AM$1002,0)),"Eşleşme Yok"))</f>
        <v/>
      </c>
      <c r="L853" s="26">
        <f>IF('DIVA Satislari'!I853="","",IFERROR(INDEX('E2E Nakliye Montaj'!$AT$3:$AT$1002,MATCH('DIVA Satislari'!AJ853,'E2E Nakliye Montaj'!$AM$3:$AM$1002,0)),"Hayır"))</f>
        <v/>
      </c>
      <c r="M853" s="26">
        <f>IF('DIVA Satislari'!I853="","",IFERROR(INDEX('E2E Nakliye Montaj'!$AU$3:$AU$1002,MATCH('DIVA Satislari'!AJ853,'E2E Nakliye Montaj'!$AM$3:$AM$1002,0)),"Hayır"))</f>
        <v/>
      </c>
      <c r="N853" s="27">
        <f>IF('DIVA Satislari'!I853="","",IFERROR(INDEX('E2E Nakliye Montaj'!$AV$3:$AV$1002,MATCH('DIVA Satislari'!AJ853,'E2E Nakliye Montaj'!$AM$3:$AM$1002,0)),""))</f>
        <v/>
      </c>
      <c r="O853" s="26">
        <f>IF(OR(A853="",N853=""),"",IF(N853&lt;=H853,"Evet","HAYIR - RİSK"))</f>
        <v/>
      </c>
      <c r="P853" s="26">
        <f>IF(A853="","",IF(LEFT(J853,8)="Kural A ","Uygun - Hemen Ödenir (Yıl Sonu %75 Kontrolüne Tabi)",IF(OR(L853="Evet",M853="Evet"),IF(O853="Evet","Uygun","RİSK - Hakediş Süresi Aşıldı"),"Bekleniyor - Nakliye/Montaj Tamamlanmadı")))</f>
        <v/>
      </c>
      <c r="Q853" s="28">
        <f>IF(A853="","",SUMIFS('Hakedis Fatura Detay'!$G$3:$G$1200,'Hakedis Fatura Detay'!$H$3:$H$1200,'DIVA Satislari'!AJ853,'Hakedis Fatura Detay'!$F$3:$F$1200,"Fiyat Farkı")+SUMIFS('Hakedis Fatura Detay'!$G$3:$G$1200,'Hakedis Fatura Detay'!$H$3:$H$1200,'DIVA Satislari'!AJ853,'Hakedis Fatura Detay'!$F$3:$F$1200,"Bundle"))</f>
        <v/>
      </c>
      <c r="R853" s="28">
        <f>IF(A853="","",I853-Q853)</f>
        <v/>
      </c>
      <c r="S853" s="26">
        <f>IF(A853="","",IF(LEFT(P853,7)="Bekleni","N/A - Henüz Ödenmemeli",IF(LEFT(P853,4)="RİSK","İNCELEME GEREKLİ - Süre Aşımı",IF(R853=0,"Doğru",IF(R853&gt;0,"EKSİK ÖDENMİŞ","FAZLA ÖDENMİŞ")))))</f>
        <v/>
      </c>
      <c r="T853" s="30">
        <f>IF(A853="","",IF(F853&lt;&gt;"Evet","İNCELEME GEREKLİ - Kampanya Tanımsız",IF(G853&lt;&gt;"Evet","İNCELEME GEREKLİ - Tarih Dışı Satış",IF(LEFT(P853,4)="RİSK","İNCELEME GEREKLİ - Hakediş Süresi Aşıldı",IF(OR(S853="EKSİK ÖDENMİŞ",S853="FAZLA ÖDENMİŞ"),"İNCELEME GEREKLİ - Tutar Uyuşmazlığı",IF(LEFT(P853,7)="Bekleni","Bekleniyor","Uygun"))))))</f>
        <v/>
      </c>
    </row>
    <row r="854">
      <c r="A854" s="26">
        <f>IF('DIVA Satislari'!I854="","",'DIVA Satislari'!I854)</f>
        <v/>
      </c>
      <c r="B854" s="26">
        <f>IF('DIVA Satislari'!I854="","",'DIVA Satislari'!R854)</f>
        <v/>
      </c>
      <c r="C854" s="26">
        <f>IF('DIVA Satislari'!I854="","",'DIVA Satislari'!M854)</f>
        <v/>
      </c>
      <c r="D854" s="27">
        <f>IF('DIVA Satislari'!I854="","",'DIVA Satislari'!H854)</f>
        <v/>
      </c>
      <c r="E854" s="26">
        <f>IF('DIVA Satislari'!I854="","",'DIVA Satislari'!O854)</f>
        <v/>
      </c>
      <c r="F854" s="26">
        <f>IF('DIVA Satislari'!I854="","",'DIVA Satislari'!AK854)</f>
        <v/>
      </c>
      <c r="G854" s="26">
        <f>IF('DIVA Satislari'!I854="","",'DIVA Satislari'!AO854)</f>
        <v/>
      </c>
      <c r="H854" s="27">
        <f>IF('DIVA Satislari'!I854="","",'DIVA Satislari'!AN854)</f>
        <v/>
      </c>
      <c r="I854" s="28">
        <f>IF('DIVA Satislari'!I854="","",'DIVA Satislari'!AQ854)</f>
        <v/>
      </c>
      <c r="J854" s="26">
        <f>IF('DIVA Satislari'!I854="","",'DIVA Satislari'!AR854)</f>
        <v/>
      </c>
      <c r="K854" s="26">
        <f>IF('DIVA Satislari'!I854="","",IFERROR(INDEX('E2E Nakliye Montaj'!$AS$3:$AS$1002,MATCH('DIVA Satislari'!AJ854,'E2E Nakliye Montaj'!$AM$3:$AM$1002,0)),"Eşleşme Yok"))</f>
        <v/>
      </c>
      <c r="L854" s="26">
        <f>IF('DIVA Satislari'!I854="","",IFERROR(INDEX('E2E Nakliye Montaj'!$AT$3:$AT$1002,MATCH('DIVA Satislari'!AJ854,'E2E Nakliye Montaj'!$AM$3:$AM$1002,0)),"Hayır"))</f>
        <v/>
      </c>
      <c r="M854" s="26">
        <f>IF('DIVA Satislari'!I854="","",IFERROR(INDEX('E2E Nakliye Montaj'!$AU$3:$AU$1002,MATCH('DIVA Satislari'!AJ854,'E2E Nakliye Montaj'!$AM$3:$AM$1002,0)),"Hayır"))</f>
        <v/>
      </c>
      <c r="N854" s="27">
        <f>IF('DIVA Satislari'!I854="","",IFERROR(INDEX('E2E Nakliye Montaj'!$AV$3:$AV$1002,MATCH('DIVA Satislari'!AJ854,'E2E Nakliye Montaj'!$AM$3:$AM$1002,0)),""))</f>
        <v/>
      </c>
      <c r="O854" s="26">
        <f>IF(OR(A854="",N854=""),"",IF(N854&lt;=H854,"Evet","HAYIR - RİSK"))</f>
        <v/>
      </c>
      <c r="P854" s="26">
        <f>IF(A854="","",IF(LEFT(J854,8)="Kural A ","Uygun - Hemen Ödenir (Yıl Sonu %75 Kontrolüne Tabi)",IF(OR(L854="Evet",M854="Evet"),IF(O854="Evet","Uygun","RİSK - Hakediş Süresi Aşıldı"),"Bekleniyor - Nakliye/Montaj Tamamlanmadı")))</f>
        <v/>
      </c>
      <c r="Q854" s="28">
        <f>IF(A854="","",SUMIFS('Hakedis Fatura Detay'!$G$3:$G$1200,'Hakedis Fatura Detay'!$H$3:$H$1200,'DIVA Satislari'!AJ854,'Hakedis Fatura Detay'!$F$3:$F$1200,"Fiyat Farkı")+SUMIFS('Hakedis Fatura Detay'!$G$3:$G$1200,'Hakedis Fatura Detay'!$H$3:$H$1200,'DIVA Satislari'!AJ854,'Hakedis Fatura Detay'!$F$3:$F$1200,"Bundle"))</f>
        <v/>
      </c>
      <c r="R854" s="28">
        <f>IF(A854="","",I854-Q854)</f>
        <v/>
      </c>
      <c r="S854" s="26">
        <f>IF(A854="","",IF(LEFT(P854,7)="Bekleni","N/A - Henüz Ödenmemeli",IF(LEFT(P854,4)="RİSK","İNCELEME GEREKLİ - Süre Aşımı",IF(R854=0,"Doğru",IF(R854&gt;0,"EKSİK ÖDENMİŞ","FAZLA ÖDENMİŞ")))))</f>
        <v/>
      </c>
      <c r="T854" s="30">
        <f>IF(A854="","",IF(F854&lt;&gt;"Evet","İNCELEME GEREKLİ - Kampanya Tanımsız",IF(G854&lt;&gt;"Evet","İNCELEME GEREKLİ - Tarih Dışı Satış",IF(LEFT(P854,4)="RİSK","İNCELEME GEREKLİ - Hakediş Süresi Aşıldı",IF(OR(S854="EKSİK ÖDENMİŞ",S854="FAZLA ÖDENMİŞ"),"İNCELEME GEREKLİ - Tutar Uyuşmazlığı",IF(LEFT(P854,7)="Bekleni","Bekleniyor","Uygun"))))))</f>
        <v/>
      </c>
    </row>
    <row r="855">
      <c r="A855" s="26">
        <f>IF('DIVA Satislari'!I855="","",'DIVA Satislari'!I855)</f>
        <v/>
      </c>
      <c r="B855" s="26">
        <f>IF('DIVA Satislari'!I855="","",'DIVA Satislari'!R855)</f>
        <v/>
      </c>
      <c r="C855" s="26">
        <f>IF('DIVA Satislari'!I855="","",'DIVA Satislari'!M855)</f>
        <v/>
      </c>
      <c r="D855" s="27">
        <f>IF('DIVA Satislari'!I855="","",'DIVA Satislari'!H855)</f>
        <v/>
      </c>
      <c r="E855" s="26">
        <f>IF('DIVA Satislari'!I855="","",'DIVA Satislari'!O855)</f>
        <v/>
      </c>
      <c r="F855" s="26">
        <f>IF('DIVA Satislari'!I855="","",'DIVA Satislari'!AK855)</f>
        <v/>
      </c>
      <c r="G855" s="26">
        <f>IF('DIVA Satislari'!I855="","",'DIVA Satislari'!AO855)</f>
        <v/>
      </c>
      <c r="H855" s="27">
        <f>IF('DIVA Satislari'!I855="","",'DIVA Satislari'!AN855)</f>
        <v/>
      </c>
      <c r="I855" s="28">
        <f>IF('DIVA Satislari'!I855="","",'DIVA Satislari'!AQ855)</f>
        <v/>
      </c>
      <c r="J855" s="26">
        <f>IF('DIVA Satislari'!I855="","",'DIVA Satislari'!AR855)</f>
        <v/>
      </c>
      <c r="K855" s="26">
        <f>IF('DIVA Satislari'!I855="","",IFERROR(INDEX('E2E Nakliye Montaj'!$AS$3:$AS$1002,MATCH('DIVA Satislari'!AJ855,'E2E Nakliye Montaj'!$AM$3:$AM$1002,0)),"Eşleşme Yok"))</f>
        <v/>
      </c>
      <c r="L855" s="26">
        <f>IF('DIVA Satislari'!I855="","",IFERROR(INDEX('E2E Nakliye Montaj'!$AT$3:$AT$1002,MATCH('DIVA Satislari'!AJ855,'E2E Nakliye Montaj'!$AM$3:$AM$1002,0)),"Hayır"))</f>
        <v/>
      </c>
      <c r="M855" s="26">
        <f>IF('DIVA Satislari'!I855="","",IFERROR(INDEX('E2E Nakliye Montaj'!$AU$3:$AU$1002,MATCH('DIVA Satislari'!AJ855,'E2E Nakliye Montaj'!$AM$3:$AM$1002,0)),"Hayır"))</f>
        <v/>
      </c>
      <c r="N855" s="27">
        <f>IF('DIVA Satislari'!I855="","",IFERROR(INDEX('E2E Nakliye Montaj'!$AV$3:$AV$1002,MATCH('DIVA Satislari'!AJ855,'E2E Nakliye Montaj'!$AM$3:$AM$1002,0)),""))</f>
        <v/>
      </c>
      <c r="O855" s="26">
        <f>IF(OR(A855="",N855=""),"",IF(N855&lt;=H855,"Evet","HAYIR - RİSK"))</f>
        <v/>
      </c>
      <c r="P855" s="26">
        <f>IF(A855="","",IF(LEFT(J855,8)="Kural A ","Uygun - Hemen Ödenir (Yıl Sonu %75 Kontrolüne Tabi)",IF(OR(L855="Evet",M855="Evet"),IF(O855="Evet","Uygun","RİSK - Hakediş Süresi Aşıldı"),"Bekleniyor - Nakliye/Montaj Tamamlanmadı")))</f>
        <v/>
      </c>
      <c r="Q855" s="28">
        <f>IF(A855="","",SUMIFS('Hakedis Fatura Detay'!$G$3:$G$1200,'Hakedis Fatura Detay'!$H$3:$H$1200,'DIVA Satislari'!AJ855,'Hakedis Fatura Detay'!$F$3:$F$1200,"Fiyat Farkı")+SUMIFS('Hakedis Fatura Detay'!$G$3:$G$1200,'Hakedis Fatura Detay'!$H$3:$H$1200,'DIVA Satislari'!AJ855,'Hakedis Fatura Detay'!$F$3:$F$1200,"Bundle"))</f>
        <v/>
      </c>
      <c r="R855" s="28">
        <f>IF(A855="","",I855-Q855)</f>
        <v/>
      </c>
      <c r="S855" s="26">
        <f>IF(A855="","",IF(LEFT(P855,7)="Bekleni","N/A - Henüz Ödenmemeli",IF(LEFT(P855,4)="RİSK","İNCELEME GEREKLİ - Süre Aşımı",IF(R855=0,"Doğru",IF(R855&gt;0,"EKSİK ÖDENMİŞ","FAZLA ÖDENMİŞ")))))</f>
        <v/>
      </c>
      <c r="T855" s="30">
        <f>IF(A855="","",IF(F855&lt;&gt;"Evet","İNCELEME GEREKLİ - Kampanya Tanımsız",IF(G855&lt;&gt;"Evet","İNCELEME GEREKLİ - Tarih Dışı Satış",IF(LEFT(P855,4)="RİSK","İNCELEME GEREKLİ - Hakediş Süresi Aşıldı",IF(OR(S855="EKSİK ÖDENMİŞ",S855="FAZLA ÖDENMİŞ"),"İNCELEME GEREKLİ - Tutar Uyuşmazlığı",IF(LEFT(P855,7)="Bekleni","Bekleniyor","Uygun"))))))</f>
        <v/>
      </c>
    </row>
    <row r="856">
      <c r="A856" s="26">
        <f>IF('DIVA Satislari'!I856="","",'DIVA Satislari'!I856)</f>
        <v/>
      </c>
      <c r="B856" s="26">
        <f>IF('DIVA Satislari'!I856="","",'DIVA Satislari'!R856)</f>
        <v/>
      </c>
      <c r="C856" s="26">
        <f>IF('DIVA Satislari'!I856="","",'DIVA Satislari'!M856)</f>
        <v/>
      </c>
      <c r="D856" s="27">
        <f>IF('DIVA Satislari'!I856="","",'DIVA Satislari'!H856)</f>
        <v/>
      </c>
      <c r="E856" s="26">
        <f>IF('DIVA Satislari'!I856="","",'DIVA Satislari'!O856)</f>
        <v/>
      </c>
      <c r="F856" s="26">
        <f>IF('DIVA Satislari'!I856="","",'DIVA Satislari'!AK856)</f>
        <v/>
      </c>
      <c r="G856" s="26">
        <f>IF('DIVA Satislari'!I856="","",'DIVA Satislari'!AO856)</f>
        <v/>
      </c>
      <c r="H856" s="27">
        <f>IF('DIVA Satislari'!I856="","",'DIVA Satislari'!AN856)</f>
        <v/>
      </c>
      <c r="I856" s="28">
        <f>IF('DIVA Satislari'!I856="","",'DIVA Satislari'!AQ856)</f>
        <v/>
      </c>
      <c r="J856" s="26">
        <f>IF('DIVA Satislari'!I856="","",'DIVA Satislari'!AR856)</f>
        <v/>
      </c>
      <c r="K856" s="26">
        <f>IF('DIVA Satislari'!I856="","",IFERROR(INDEX('E2E Nakliye Montaj'!$AS$3:$AS$1002,MATCH('DIVA Satislari'!AJ856,'E2E Nakliye Montaj'!$AM$3:$AM$1002,0)),"Eşleşme Yok"))</f>
        <v/>
      </c>
      <c r="L856" s="26">
        <f>IF('DIVA Satislari'!I856="","",IFERROR(INDEX('E2E Nakliye Montaj'!$AT$3:$AT$1002,MATCH('DIVA Satislari'!AJ856,'E2E Nakliye Montaj'!$AM$3:$AM$1002,0)),"Hayır"))</f>
        <v/>
      </c>
      <c r="M856" s="26">
        <f>IF('DIVA Satislari'!I856="","",IFERROR(INDEX('E2E Nakliye Montaj'!$AU$3:$AU$1002,MATCH('DIVA Satislari'!AJ856,'E2E Nakliye Montaj'!$AM$3:$AM$1002,0)),"Hayır"))</f>
        <v/>
      </c>
      <c r="N856" s="27">
        <f>IF('DIVA Satislari'!I856="","",IFERROR(INDEX('E2E Nakliye Montaj'!$AV$3:$AV$1002,MATCH('DIVA Satislari'!AJ856,'E2E Nakliye Montaj'!$AM$3:$AM$1002,0)),""))</f>
        <v/>
      </c>
      <c r="O856" s="26">
        <f>IF(OR(A856="",N856=""),"",IF(N856&lt;=H856,"Evet","HAYIR - RİSK"))</f>
        <v/>
      </c>
      <c r="P856" s="26">
        <f>IF(A856="","",IF(LEFT(J856,8)="Kural A ","Uygun - Hemen Ödenir (Yıl Sonu %75 Kontrolüne Tabi)",IF(OR(L856="Evet",M856="Evet"),IF(O856="Evet","Uygun","RİSK - Hakediş Süresi Aşıldı"),"Bekleniyor - Nakliye/Montaj Tamamlanmadı")))</f>
        <v/>
      </c>
      <c r="Q856" s="28">
        <f>IF(A856="","",SUMIFS('Hakedis Fatura Detay'!$G$3:$G$1200,'Hakedis Fatura Detay'!$H$3:$H$1200,'DIVA Satislari'!AJ856,'Hakedis Fatura Detay'!$F$3:$F$1200,"Fiyat Farkı")+SUMIFS('Hakedis Fatura Detay'!$G$3:$G$1200,'Hakedis Fatura Detay'!$H$3:$H$1200,'DIVA Satislari'!AJ856,'Hakedis Fatura Detay'!$F$3:$F$1200,"Bundle"))</f>
        <v/>
      </c>
      <c r="R856" s="28">
        <f>IF(A856="","",I856-Q856)</f>
        <v/>
      </c>
      <c r="S856" s="26">
        <f>IF(A856="","",IF(LEFT(P856,7)="Bekleni","N/A - Henüz Ödenmemeli",IF(LEFT(P856,4)="RİSK","İNCELEME GEREKLİ - Süre Aşımı",IF(R856=0,"Doğru",IF(R856&gt;0,"EKSİK ÖDENMİŞ","FAZLA ÖDENMİŞ")))))</f>
        <v/>
      </c>
      <c r="T856" s="30">
        <f>IF(A856="","",IF(F856&lt;&gt;"Evet","İNCELEME GEREKLİ - Kampanya Tanımsız",IF(G856&lt;&gt;"Evet","İNCELEME GEREKLİ - Tarih Dışı Satış",IF(LEFT(P856,4)="RİSK","İNCELEME GEREKLİ - Hakediş Süresi Aşıldı",IF(OR(S856="EKSİK ÖDENMİŞ",S856="FAZLA ÖDENMİŞ"),"İNCELEME GEREKLİ - Tutar Uyuşmazlığı",IF(LEFT(P856,7)="Bekleni","Bekleniyor","Uygun"))))))</f>
        <v/>
      </c>
    </row>
    <row r="857">
      <c r="A857" s="26">
        <f>IF('DIVA Satislari'!I857="","",'DIVA Satislari'!I857)</f>
        <v/>
      </c>
      <c r="B857" s="26">
        <f>IF('DIVA Satislari'!I857="","",'DIVA Satislari'!R857)</f>
        <v/>
      </c>
      <c r="C857" s="26">
        <f>IF('DIVA Satislari'!I857="","",'DIVA Satislari'!M857)</f>
        <v/>
      </c>
      <c r="D857" s="27">
        <f>IF('DIVA Satislari'!I857="","",'DIVA Satislari'!H857)</f>
        <v/>
      </c>
      <c r="E857" s="26">
        <f>IF('DIVA Satislari'!I857="","",'DIVA Satislari'!O857)</f>
        <v/>
      </c>
      <c r="F857" s="26">
        <f>IF('DIVA Satislari'!I857="","",'DIVA Satislari'!AK857)</f>
        <v/>
      </c>
      <c r="G857" s="26">
        <f>IF('DIVA Satislari'!I857="","",'DIVA Satislari'!AO857)</f>
        <v/>
      </c>
      <c r="H857" s="27">
        <f>IF('DIVA Satislari'!I857="","",'DIVA Satislari'!AN857)</f>
        <v/>
      </c>
      <c r="I857" s="28">
        <f>IF('DIVA Satislari'!I857="","",'DIVA Satislari'!AQ857)</f>
        <v/>
      </c>
      <c r="J857" s="26">
        <f>IF('DIVA Satislari'!I857="","",'DIVA Satislari'!AR857)</f>
        <v/>
      </c>
      <c r="K857" s="26">
        <f>IF('DIVA Satislari'!I857="","",IFERROR(INDEX('E2E Nakliye Montaj'!$AS$3:$AS$1002,MATCH('DIVA Satislari'!AJ857,'E2E Nakliye Montaj'!$AM$3:$AM$1002,0)),"Eşleşme Yok"))</f>
        <v/>
      </c>
      <c r="L857" s="26">
        <f>IF('DIVA Satislari'!I857="","",IFERROR(INDEX('E2E Nakliye Montaj'!$AT$3:$AT$1002,MATCH('DIVA Satislari'!AJ857,'E2E Nakliye Montaj'!$AM$3:$AM$1002,0)),"Hayır"))</f>
        <v/>
      </c>
      <c r="M857" s="26">
        <f>IF('DIVA Satislari'!I857="","",IFERROR(INDEX('E2E Nakliye Montaj'!$AU$3:$AU$1002,MATCH('DIVA Satislari'!AJ857,'E2E Nakliye Montaj'!$AM$3:$AM$1002,0)),"Hayır"))</f>
        <v/>
      </c>
      <c r="N857" s="27">
        <f>IF('DIVA Satislari'!I857="","",IFERROR(INDEX('E2E Nakliye Montaj'!$AV$3:$AV$1002,MATCH('DIVA Satislari'!AJ857,'E2E Nakliye Montaj'!$AM$3:$AM$1002,0)),""))</f>
        <v/>
      </c>
      <c r="O857" s="26">
        <f>IF(OR(A857="",N857=""),"",IF(N857&lt;=H857,"Evet","HAYIR - RİSK"))</f>
        <v/>
      </c>
      <c r="P857" s="26">
        <f>IF(A857="","",IF(LEFT(J857,8)="Kural A ","Uygun - Hemen Ödenir (Yıl Sonu %75 Kontrolüne Tabi)",IF(OR(L857="Evet",M857="Evet"),IF(O857="Evet","Uygun","RİSK - Hakediş Süresi Aşıldı"),"Bekleniyor - Nakliye/Montaj Tamamlanmadı")))</f>
        <v/>
      </c>
      <c r="Q857" s="28">
        <f>IF(A857="","",SUMIFS('Hakedis Fatura Detay'!$G$3:$G$1200,'Hakedis Fatura Detay'!$H$3:$H$1200,'DIVA Satislari'!AJ857,'Hakedis Fatura Detay'!$F$3:$F$1200,"Fiyat Farkı")+SUMIFS('Hakedis Fatura Detay'!$G$3:$G$1200,'Hakedis Fatura Detay'!$H$3:$H$1200,'DIVA Satislari'!AJ857,'Hakedis Fatura Detay'!$F$3:$F$1200,"Bundle"))</f>
        <v/>
      </c>
      <c r="R857" s="28">
        <f>IF(A857="","",I857-Q857)</f>
        <v/>
      </c>
      <c r="S857" s="26">
        <f>IF(A857="","",IF(LEFT(P857,7)="Bekleni","N/A - Henüz Ödenmemeli",IF(LEFT(P857,4)="RİSK","İNCELEME GEREKLİ - Süre Aşımı",IF(R857=0,"Doğru",IF(R857&gt;0,"EKSİK ÖDENMİŞ","FAZLA ÖDENMİŞ")))))</f>
        <v/>
      </c>
      <c r="T857" s="30">
        <f>IF(A857="","",IF(F857&lt;&gt;"Evet","İNCELEME GEREKLİ - Kampanya Tanımsız",IF(G857&lt;&gt;"Evet","İNCELEME GEREKLİ - Tarih Dışı Satış",IF(LEFT(P857,4)="RİSK","İNCELEME GEREKLİ - Hakediş Süresi Aşıldı",IF(OR(S857="EKSİK ÖDENMİŞ",S857="FAZLA ÖDENMİŞ"),"İNCELEME GEREKLİ - Tutar Uyuşmazlığı",IF(LEFT(P857,7)="Bekleni","Bekleniyor","Uygun"))))))</f>
        <v/>
      </c>
    </row>
    <row r="858">
      <c r="A858" s="26">
        <f>IF('DIVA Satislari'!I858="","",'DIVA Satislari'!I858)</f>
        <v/>
      </c>
      <c r="B858" s="26">
        <f>IF('DIVA Satislari'!I858="","",'DIVA Satislari'!R858)</f>
        <v/>
      </c>
      <c r="C858" s="26">
        <f>IF('DIVA Satislari'!I858="","",'DIVA Satislari'!M858)</f>
        <v/>
      </c>
      <c r="D858" s="27">
        <f>IF('DIVA Satislari'!I858="","",'DIVA Satislari'!H858)</f>
        <v/>
      </c>
      <c r="E858" s="26">
        <f>IF('DIVA Satislari'!I858="","",'DIVA Satislari'!O858)</f>
        <v/>
      </c>
      <c r="F858" s="26">
        <f>IF('DIVA Satislari'!I858="","",'DIVA Satislari'!AK858)</f>
        <v/>
      </c>
      <c r="G858" s="26">
        <f>IF('DIVA Satislari'!I858="","",'DIVA Satislari'!AO858)</f>
        <v/>
      </c>
      <c r="H858" s="27">
        <f>IF('DIVA Satislari'!I858="","",'DIVA Satislari'!AN858)</f>
        <v/>
      </c>
      <c r="I858" s="28">
        <f>IF('DIVA Satislari'!I858="","",'DIVA Satislari'!AQ858)</f>
        <v/>
      </c>
      <c r="J858" s="26">
        <f>IF('DIVA Satislari'!I858="","",'DIVA Satislari'!AR858)</f>
        <v/>
      </c>
      <c r="K858" s="26">
        <f>IF('DIVA Satislari'!I858="","",IFERROR(INDEX('E2E Nakliye Montaj'!$AS$3:$AS$1002,MATCH('DIVA Satislari'!AJ858,'E2E Nakliye Montaj'!$AM$3:$AM$1002,0)),"Eşleşme Yok"))</f>
        <v/>
      </c>
      <c r="L858" s="26">
        <f>IF('DIVA Satislari'!I858="","",IFERROR(INDEX('E2E Nakliye Montaj'!$AT$3:$AT$1002,MATCH('DIVA Satislari'!AJ858,'E2E Nakliye Montaj'!$AM$3:$AM$1002,0)),"Hayır"))</f>
        <v/>
      </c>
      <c r="M858" s="26">
        <f>IF('DIVA Satislari'!I858="","",IFERROR(INDEX('E2E Nakliye Montaj'!$AU$3:$AU$1002,MATCH('DIVA Satislari'!AJ858,'E2E Nakliye Montaj'!$AM$3:$AM$1002,0)),"Hayır"))</f>
        <v/>
      </c>
      <c r="N858" s="27">
        <f>IF('DIVA Satislari'!I858="","",IFERROR(INDEX('E2E Nakliye Montaj'!$AV$3:$AV$1002,MATCH('DIVA Satislari'!AJ858,'E2E Nakliye Montaj'!$AM$3:$AM$1002,0)),""))</f>
        <v/>
      </c>
      <c r="O858" s="26">
        <f>IF(OR(A858="",N858=""),"",IF(N858&lt;=H858,"Evet","HAYIR - RİSK"))</f>
        <v/>
      </c>
      <c r="P858" s="26">
        <f>IF(A858="","",IF(LEFT(J858,8)="Kural A ","Uygun - Hemen Ödenir (Yıl Sonu %75 Kontrolüne Tabi)",IF(OR(L858="Evet",M858="Evet"),IF(O858="Evet","Uygun","RİSK - Hakediş Süresi Aşıldı"),"Bekleniyor - Nakliye/Montaj Tamamlanmadı")))</f>
        <v/>
      </c>
      <c r="Q858" s="28">
        <f>IF(A858="","",SUMIFS('Hakedis Fatura Detay'!$G$3:$G$1200,'Hakedis Fatura Detay'!$H$3:$H$1200,'DIVA Satislari'!AJ858,'Hakedis Fatura Detay'!$F$3:$F$1200,"Fiyat Farkı")+SUMIFS('Hakedis Fatura Detay'!$G$3:$G$1200,'Hakedis Fatura Detay'!$H$3:$H$1200,'DIVA Satislari'!AJ858,'Hakedis Fatura Detay'!$F$3:$F$1200,"Bundle"))</f>
        <v/>
      </c>
      <c r="R858" s="28">
        <f>IF(A858="","",I858-Q858)</f>
        <v/>
      </c>
      <c r="S858" s="26">
        <f>IF(A858="","",IF(LEFT(P858,7)="Bekleni","N/A - Henüz Ödenmemeli",IF(LEFT(P858,4)="RİSK","İNCELEME GEREKLİ - Süre Aşımı",IF(R858=0,"Doğru",IF(R858&gt;0,"EKSİK ÖDENMİŞ","FAZLA ÖDENMİŞ")))))</f>
        <v/>
      </c>
      <c r="T858" s="30">
        <f>IF(A858="","",IF(F858&lt;&gt;"Evet","İNCELEME GEREKLİ - Kampanya Tanımsız",IF(G858&lt;&gt;"Evet","İNCELEME GEREKLİ - Tarih Dışı Satış",IF(LEFT(P858,4)="RİSK","İNCELEME GEREKLİ - Hakediş Süresi Aşıldı",IF(OR(S858="EKSİK ÖDENMİŞ",S858="FAZLA ÖDENMİŞ"),"İNCELEME GEREKLİ - Tutar Uyuşmazlığı",IF(LEFT(P858,7)="Bekleni","Bekleniyor","Uygun"))))))</f>
        <v/>
      </c>
    </row>
    <row r="859">
      <c r="A859" s="26">
        <f>IF('DIVA Satislari'!I859="","",'DIVA Satislari'!I859)</f>
        <v/>
      </c>
      <c r="B859" s="26">
        <f>IF('DIVA Satislari'!I859="","",'DIVA Satislari'!R859)</f>
        <v/>
      </c>
      <c r="C859" s="26">
        <f>IF('DIVA Satislari'!I859="","",'DIVA Satislari'!M859)</f>
        <v/>
      </c>
      <c r="D859" s="27">
        <f>IF('DIVA Satislari'!I859="","",'DIVA Satislari'!H859)</f>
        <v/>
      </c>
      <c r="E859" s="26">
        <f>IF('DIVA Satislari'!I859="","",'DIVA Satislari'!O859)</f>
        <v/>
      </c>
      <c r="F859" s="26">
        <f>IF('DIVA Satislari'!I859="","",'DIVA Satislari'!AK859)</f>
        <v/>
      </c>
      <c r="G859" s="26">
        <f>IF('DIVA Satislari'!I859="","",'DIVA Satislari'!AO859)</f>
        <v/>
      </c>
      <c r="H859" s="27">
        <f>IF('DIVA Satislari'!I859="","",'DIVA Satislari'!AN859)</f>
        <v/>
      </c>
      <c r="I859" s="28">
        <f>IF('DIVA Satislari'!I859="","",'DIVA Satislari'!AQ859)</f>
        <v/>
      </c>
      <c r="J859" s="26">
        <f>IF('DIVA Satislari'!I859="","",'DIVA Satislari'!AR859)</f>
        <v/>
      </c>
      <c r="K859" s="26">
        <f>IF('DIVA Satislari'!I859="","",IFERROR(INDEX('E2E Nakliye Montaj'!$AS$3:$AS$1002,MATCH('DIVA Satislari'!AJ859,'E2E Nakliye Montaj'!$AM$3:$AM$1002,0)),"Eşleşme Yok"))</f>
        <v/>
      </c>
      <c r="L859" s="26">
        <f>IF('DIVA Satislari'!I859="","",IFERROR(INDEX('E2E Nakliye Montaj'!$AT$3:$AT$1002,MATCH('DIVA Satislari'!AJ859,'E2E Nakliye Montaj'!$AM$3:$AM$1002,0)),"Hayır"))</f>
        <v/>
      </c>
      <c r="M859" s="26">
        <f>IF('DIVA Satislari'!I859="","",IFERROR(INDEX('E2E Nakliye Montaj'!$AU$3:$AU$1002,MATCH('DIVA Satislari'!AJ859,'E2E Nakliye Montaj'!$AM$3:$AM$1002,0)),"Hayır"))</f>
        <v/>
      </c>
      <c r="N859" s="27">
        <f>IF('DIVA Satislari'!I859="","",IFERROR(INDEX('E2E Nakliye Montaj'!$AV$3:$AV$1002,MATCH('DIVA Satislari'!AJ859,'E2E Nakliye Montaj'!$AM$3:$AM$1002,0)),""))</f>
        <v/>
      </c>
      <c r="O859" s="26">
        <f>IF(OR(A859="",N859=""),"",IF(N859&lt;=H859,"Evet","HAYIR - RİSK"))</f>
        <v/>
      </c>
      <c r="P859" s="26">
        <f>IF(A859="","",IF(LEFT(J859,8)="Kural A ","Uygun - Hemen Ödenir (Yıl Sonu %75 Kontrolüne Tabi)",IF(OR(L859="Evet",M859="Evet"),IF(O859="Evet","Uygun","RİSK - Hakediş Süresi Aşıldı"),"Bekleniyor - Nakliye/Montaj Tamamlanmadı")))</f>
        <v/>
      </c>
      <c r="Q859" s="28">
        <f>IF(A859="","",SUMIFS('Hakedis Fatura Detay'!$G$3:$G$1200,'Hakedis Fatura Detay'!$H$3:$H$1200,'DIVA Satislari'!AJ859,'Hakedis Fatura Detay'!$F$3:$F$1200,"Fiyat Farkı")+SUMIFS('Hakedis Fatura Detay'!$G$3:$G$1200,'Hakedis Fatura Detay'!$H$3:$H$1200,'DIVA Satislari'!AJ859,'Hakedis Fatura Detay'!$F$3:$F$1200,"Bundle"))</f>
        <v/>
      </c>
      <c r="R859" s="28">
        <f>IF(A859="","",I859-Q859)</f>
        <v/>
      </c>
      <c r="S859" s="26">
        <f>IF(A859="","",IF(LEFT(P859,7)="Bekleni","N/A - Henüz Ödenmemeli",IF(LEFT(P859,4)="RİSK","İNCELEME GEREKLİ - Süre Aşımı",IF(R859=0,"Doğru",IF(R859&gt;0,"EKSİK ÖDENMİŞ","FAZLA ÖDENMİŞ")))))</f>
        <v/>
      </c>
      <c r="T859" s="30">
        <f>IF(A859="","",IF(F859&lt;&gt;"Evet","İNCELEME GEREKLİ - Kampanya Tanımsız",IF(G859&lt;&gt;"Evet","İNCELEME GEREKLİ - Tarih Dışı Satış",IF(LEFT(P859,4)="RİSK","İNCELEME GEREKLİ - Hakediş Süresi Aşıldı",IF(OR(S859="EKSİK ÖDENMİŞ",S859="FAZLA ÖDENMİŞ"),"İNCELEME GEREKLİ - Tutar Uyuşmazlığı",IF(LEFT(P859,7)="Bekleni","Bekleniyor","Uygun"))))))</f>
        <v/>
      </c>
    </row>
    <row r="860">
      <c r="A860" s="26">
        <f>IF('DIVA Satislari'!I860="","",'DIVA Satislari'!I860)</f>
        <v/>
      </c>
      <c r="B860" s="26">
        <f>IF('DIVA Satislari'!I860="","",'DIVA Satislari'!R860)</f>
        <v/>
      </c>
      <c r="C860" s="26">
        <f>IF('DIVA Satislari'!I860="","",'DIVA Satislari'!M860)</f>
        <v/>
      </c>
      <c r="D860" s="27">
        <f>IF('DIVA Satislari'!I860="","",'DIVA Satislari'!H860)</f>
        <v/>
      </c>
      <c r="E860" s="26">
        <f>IF('DIVA Satislari'!I860="","",'DIVA Satislari'!O860)</f>
        <v/>
      </c>
      <c r="F860" s="26">
        <f>IF('DIVA Satislari'!I860="","",'DIVA Satislari'!AK860)</f>
        <v/>
      </c>
      <c r="G860" s="26">
        <f>IF('DIVA Satislari'!I860="","",'DIVA Satislari'!AO860)</f>
        <v/>
      </c>
      <c r="H860" s="27">
        <f>IF('DIVA Satislari'!I860="","",'DIVA Satislari'!AN860)</f>
        <v/>
      </c>
      <c r="I860" s="28">
        <f>IF('DIVA Satislari'!I860="","",'DIVA Satislari'!AQ860)</f>
        <v/>
      </c>
      <c r="J860" s="26">
        <f>IF('DIVA Satislari'!I860="","",'DIVA Satislari'!AR860)</f>
        <v/>
      </c>
      <c r="K860" s="26">
        <f>IF('DIVA Satislari'!I860="","",IFERROR(INDEX('E2E Nakliye Montaj'!$AS$3:$AS$1002,MATCH('DIVA Satislari'!AJ860,'E2E Nakliye Montaj'!$AM$3:$AM$1002,0)),"Eşleşme Yok"))</f>
        <v/>
      </c>
      <c r="L860" s="26">
        <f>IF('DIVA Satislari'!I860="","",IFERROR(INDEX('E2E Nakliye Montaj'!$AT$3:$AT$1002,MATCH('DIVA Satislari'!AJ860,'E2E Nakliye Montaj'!$AM$3:$AM$1002,0)),"Hayır"))</f>
        <v/>
      </c>
      <c r="M860" s="26">
        <f>IF('DIVA Satislari'!I860="","",IFERROR(INDEX('E2E Nakliye Montaj'!$AU$3:$AU$1002,MATCH('DIVA Satislari'!AJ860,'E2E Nakliye Montaj'!$AM$3:$AM$1002,0)),"Hayır"))</f>
        <v/>
      </c>
      <c r="N860" s="27">
        <f>IF('DIVA Satislari'!I860="","",IFERROR(INDEX('E2E Nakliye Montaj'!$AV$3:$AV$1002,MATCH('DIVA Satislari'!AJ860,'E2E Nakliye Montaj'!$AM$3:$AM$1002,0)),""))</f>
        <v/>
      </c>
      <c r="O860" s="26">
        <f>IF(OR(A860="",N860=""),"",IF(N860&lt;=H860,"Evet","HAYIR - RİSK"))</f>
        <v/>
      </c>
      <c r="P860" s="26">
        <f>IF(A860="","",IF(LEFT(J860,8)="Kural A ","Uygun - Hemen Ödenir (Yıl Sonu %75 Kontrolüne Tabi)",IF(OR(L860="Evet",M860="Evet"),IF(O860="Evet","Uygun","RİSK - Hakediş Süresi Aşıldı"),"Bekleniyor - Nakliye/Montaj Tamamlanmadı")))</f>
        <v/>
      </c>
      <c r="Q860" s="28">
        <f>IF(A860="","",SUMIFS('Hakedis Fatura Detay'!$G$3:$G$1200,'Hakedis Fatura Detay'!$H$3:$H$1200,'DIVA Satislari'!AJ860,'Hakedis Fatura Detay'!$F$3:$F$1200,"Fiyat Farkı")+SUMIFS('Hakedis Fatura Detay'!$G$3:$G$1200,'Hakedis Fatura Detay'!$H$3:$H$1200,'DIVA Satislari'!AJ860,'Hakedis Fatura Detay'!$F$3:$F$1200,"Bundle"))</f>
        <v/>
      </c>
      <c r="R860" s="28">
        <f>IF(A860="","",I860-Q860)</f>
        <v/>
      </c>
      <c r="S860" s="26">
        <f>IF(A860="","",IF(LEFT(P860,7)="Bekleni","N/A - Henüz Ödenmemeli",IF(LEFT(P860,4)="RİSK","İNCELEME GEREKLİ - Süre Aşımı",IF(R860=0,"Doğru",IF(R860&gt;0,"EKSİK ÖDENMİŞ","FAZLA ÖDENMİŞ")))))</f>
        <v/>
      </c>
      <c r="T860" s="30">
        <f>IF(A860="","",IF(F860&lt;&gt;"Evet","İNCELEME GEREKLİ - Kampanya Tanımsız",IF(G860&lt;&gt;"Evet","İNCELEME GEREKLİ - Tarih Dışı Satış",IF(LEFT(P860,4)="RİSK","İNCELEME GEREKLİ - Hakediş Süresi Aşıldı",IF(OR(S860="EKSİK ÖDENMİŞ",S860="FAZLA ÖDENMİŞ"),"İNCELEME GEREKLİ - Tutar Uyuşmazlığı",IF(LEFT(P860,7)="Bekleni","Bekleniyor","Uygun"))))))</f>
        <v/>
      </c>
    </row>
    <row r="861">
      <c r="A861" s="26">
        <f>IF('DIVA Satislari'!I861="","",'DIVA Satislari'!I861)</f>
        <v/>
      </c>
      <c r="B861" s="26">
        <f>IF('DIVA Satislari'!I861="","",'DIVA Satislari'!R861)</f>
        <v/>
      </c>
      <c r="C861" s="26">
        <f>IF('DIVA Satislari'!I861="","",'DIVA Satislari'!M861)</f>
        <v/>
      </c>
      <c r="D861" s="27">
        <f>IF('DIVA Satislari'!I861="","",'DIVA Satislari'!H861)</f>
        <v/>
      </c>
      <c r="E861" s="26">
        <f>IF('DIVA Satislari'!I861="","",'DIVA Satislari'!O861)</f>
        <v/>
      </c>
      <c r="F861" s="26">
        <f>IF('DIVA Satislari'!I861="","",'DIVA Satislari'!AK861)</f>
        <v/>
      </c>
      <c r="G861" s="26">
        <f>IF('DIVA Satislari'!I861="","",'DIVA Satislari'!AO861)</f>
        <v/>
      </c>
      <c r="H861" s="27">
        <f>IF('DIVA Satislari'!I861="","",'DIVA Satislari'!AN861)</f>
        <v/>
      </c>
      <c r="I861" s="28">
        <f>IF('DIVA Satislari'!I861="","",'DIVA Satislari'!AQ861)</f>
        <v/>
      </c>
      <c r="J861" s="26">
        <f>IF('DIVA Satislari'!I861="","",'DIVA Satislari'!AR861)</f>
        <v/>
      </c>
      <c r="K861" s="26">
        <f>IF('DIVA Satislari'!I861="","",IFERROR(INDEX('E2E Nakliye Montaj'!$AS$3:$AS$1002,MATCH('DIVA Satislari'!AJ861,'E2E Nakliye Montaj'!$AM$3:$AM$1002,0)),"Eşleşme Yok"))</f>
        <v/>
      </c>
      <c r="L861" s="26">
        <f>IF('DIVA Satislari'!I861="","",IFERROR(INDEX('E2E Nakliye Montaj'!$AT$3:$AT$1002,MATCH('DIVA Satislari'!AJ861,'E2E Nakliye Montaj'!$AM$3:$AM$1002,0)),"Hayır"))</f>
        <v/>
      </c>
      <c r="M861" s="26">
        <f>IF('DIVA Satislari'!I861="","",IFERROR(INDEX('E2E Nakliye Montaj'!$AU$3:$AU$1002,MATCH('DIVA Satislari'!AJ861,'E2E Nakliye Montaj'!$AM$3:$AM$1002,0)),"Hayır"))</f>
        <v/>
      </c>
      <c r="N861" s="27">
        <f>IF('DIVA Satislari'!I861="","",IFERROR(INDEX('E2E Nakliye Montaj'!$AV$3:$AV$1002,MATCH('DIVA Satislari'!AJ861,'E2E Nakliye Montaj'!$AM$3:$AM$1002,0)),""))</f>
        <v/>
      </c>
      <c r="O861" s="26">
        <f>IF(OR(A861="",N861=""),"",IF(N861&lt;=H861,"Evet","HAYIR - RİSK"))</f>
        <v/>
      </c>
      <c r="P861" s="26">
        <f>IF(A861="","",IF(LEFT(J861,8)="Kural A ","Uygun - Hemen Ödenir (Yıl Sonu %75 Kontrolüne Tabi)",IF(OR(L861="Evet",M861="Evet"),IF(O861="Evet","Uygun","RİSK - Hakediş Süresi Aşıldı"),"Bekleniyor - Nakliye/Montaj Tamamlanmadı")))</f>
        <v/>
      </c>
      <c r="Q861" s="28">
        <f>IF(A861="","",SUMIFS('Hakedis Fatura Detay'!$G$3:$G$1200,'Hakedis Fatura Detay'!$H$3:$H$1200,'DIVA Satislari'!AJ861,'Hakedis Fatura Detay'!$F$3:$F$1200,"Fiyat Farkı")+SUMIFS('Hakedis Fatura Detay'!$G$3:$G$1200,'Hakedis Fatura Detay'!$H$3:$H$1200,'DIVA Satislari'!AJ861,'Hakedis Fatura Detay'!$F$3:$F$1200,"Bundle"))</f>
        <v/>
      </c>
      <c r="R861" s="28">
        <f>IF(A861="","",I861-Q861)</f>
        <v/>
      </c>
      <c r="S861" s="26">
        <f>IF(A861="","",IF(LEFT(P861,7)="Bekleni","N/A - Henüz Ödenmemeli",IF(LEFT(P861,4)="RİSK","İNCELEME GEREKLİ - Süre Aşımı",IF(R861=0,"Doğru",IF(R861&gt;0,"EKSİK ÖDENMİŞ","FAZLA ÖDENMİŞ")))))</f>
        <v/>
      </c>
      <c r="T861" s="30">
        <f>IF(A861="","",IF(F861&lt;&gt;"Evet","İNCELEME GEREKLİ - Kampanya Tanımsız",IF(G861&lt;&gt;"Evet","İNCELEME GEREKLİ - Tarih Dışı Satış",IF(LEFT(P861,4)="RİSK","İNCELEME GEREKLİ - Hakediş Süresi Aşıldı",IF(OR(S861="EKSİK ÖDENMİŞ",S861="FAZLA ÖDENMİŞ"),"İNCELEME GEREKLİ - Tutar Uyuşmazlığı",IF(LEFT(P861,7)="Bekleni","Bekleniyor","Uygun"))))))</f>
        <v/>
      </c>
    </row>
    <row r="862">
      <c r="A862" s="26">
        <f>IF('DIVA Satislari'!I862="","",'DIVA Satislari'!I862)</f>
        <v/>
      </c>
      <c r="B862" s="26">
        <f>IF('DIVA Satislari'!I862="","",'DIVA Satislari'!R862)</f>
        <v/>
      </c>
      <c r="C862" s="26">
        <f>IF('DIVA Satislari'!I862="","",'DIVA Satislari'!M862)</f>
        <v/>
      </c>
      <c r="D862" s="27">
        <f>IF('DIVA Satislari'!I862="","",'DIVA Satislari'!H862)</f>
        <v/>
      </c>
      <c r="E862" s="26">
        <f>IF('DIVA Satislari'!I862="","",'DIVA Satislari'!O862)</f>
        <v/>
      </c>
      <c r="F862" s="26">
        <f>IF('DIVA Satislari'!I862="","",'DIVA Satislari'!AK862)</f>
        <v/>
      </c>
      <c r="G862" s="26">
        <f>IF('DIVA Satislari'!I862="","",'DIVA Satislari'!AO862)</f>
        <v/>
      </c>
      <c r="H862" s="27">
        <f>IF('DIVA Satislari'!I862="","",'DIVA Satislari'!AN862)</f>
        <v/>
      </c>
      <c r="I862" s="28">
        <f>IF('DIVA Satislari'!I862="","",'DIVA Satislari'!AQ862)</f>
        <v/>
      </c>
      <c r="J862" s="26">
        <f>IF('DIVA Satislari'!I862="","",'DIVA Satislari'!AR862)</f>
        <v/>
      </c>
      <c r="K862" s="26">
        <f>IF('DIVA Satislari'!I862="","",IFERROR(INDEX('E2E Nakliye Montaj'!$AS$3:$AS$1002,MATCH('DIVA Satislari'!AJ862,'E2E Nakliye Montaj'!$AM$3:$AM$1002,0)),"Eşleşme Yok"))</f>
        <v/>
      </c>
      <c r="L862" s="26">
        <f>IF('DIVA Satislari'!I862="","",IFERROR(INDEX('E2E Nakliye Montaj'!$AT$3:$AT$1002,MATCH('DIVA Satislari'!AJ862,'E2E Nakliye Montaj'!$AM$3:$AM$1002,0)),"Hayır"))</f>
        <v/>
      </c>
      <c r="M862" s="26">
        <f>IF('DIVA Satislari'!I862="","",IFERROR(INDEX('E2E Nakliye Montaj'!$AU$3:$AU$1002,MATCH('DIVA Satislari'!AJ862,'E2E Nakliye Montaj'!$AM$3:$AM$1002,0)),"Hayır"))</f>
        <v/>
      </c>
      <c r="N862" s="27">
        <f>IF('DIVA Satislari'!I862="","",IFERROR(INDEX('E2E Nakliye Montaj'!$AV$3:$AV$1002,MATCH('DIVA Satislari'!AJ862,'E2E Nakliye Montaj'!$AM$3:$AM$1002,0)),""))</f>
        <v/>
      </c>
      <c r="O862" s="26">
        <f>IF(OR(A862="",N862=""),"",IF(N862&lt;=H862,"Evet","HAYIR - RİSK"))</f>
        <v/>
      </c>
      <c r="P862" s="26">
        <f>IF(A862="","",IF(LEFT(J862,8)="Kural A ","Uygun - Hemen Ödenir (Yıl Sonu %75 Kontrolüne Tabi)",IF(OR(L862="Evet",M862="Evet"),IF(O862="Evet","Uygun","RİSK - Hakediş Süresi Aşıldı"),"Bekleniyor - Nakliye/Montaj Tamamlanmadı")))</f>
        <v/>
      </c>
      <c r="Q862" s="28">
        <f>IF(A862="","",SUMIFS('Hakedis Fatura Detay'!$G$3:$G$1200,'Hakedis Fatura Detay'!$H$3:$H$1200,'DIVA Satislari'!AJ862,'Hakedis Fatura Detay'!$F$3:$F$1200,"Fiyat Farkı")+SUMIFS('Hakedis Fatura Detay'!$G$3:$G$1200,'Hakedis Fatura Detay'!$H$3:$H$1200,'DIVA Satislari'!AJ862,'Hakedis Fatura Detay'!$F$3:$F$1200,"Bundle"))</f>
        <v/>
      </c>
      <c r="R862" s="28">
        <f>IF(A862="","",I862-Q862)</f>
        <v/>
      </c>
      <c r="S862" s="26">
        <f>IF(A862="","",IF(LEFT(P862,7)="Bekleni","N/A - Henüz Ödenmemeli",IF(LEFT(P862,4)="RİSK","İNCELEME GEREKLİ - Süre Aşımı",IF(R862=0,"Doğru",IF(R862&gt;0,"EKSİK ÖDENMİŞ","FAZLA ÖDENMİŞ")))))</f>
        <v/>
      </c>
      <c r="T862" s="30">
        <f>IF(A862="","",IF(F862&lt;&gt;"Evet","İNCELEME GEREKLİ - Kampanya Tanımsız",IF(G862&lt;&gt;"Evet","İNCELEME GEREKLİ - Tarih Dışı Satış",IF(LEFT(P862,4)="RİSK","İNCELEME GEREKLİ - Hakediş Süresi Aşıldı",IF(OR(S862="EKSİK ÖDENMİŞ",S862="FAZLA ÖDENMİŞ"),"İNCELEME GEREKLİ - Tutar Uyuşmazlığı",IF(LEFT(P862,7)="Bekleni","Bekleniyor","Uygun"))))))</f>
        <v/>
      </c>
    </row>
    <row r="863">
      <c r="A863" s="26">
        <f>IF('DIVA Satislari'!I863="","",'DIVA Satislari'!I863)</f>
        <v/>
      </c>
      <c r="B863" s="26">
        <f>IF('DIVA Satislari'!I863="","",'DIVA Satislari'!R863)</f>
        <v/>
      </c>
      <c r="C863" s="26">
        <f>IF('DIVA Satislari'!I863="","",'DIVA Satislari'!M863)</f>
        <v/>
      </c>
      <c r="D863" s="27">
        <f>IF('DIVA Satislari'!I863="","",'DIVA Satislari'!H863)</f>
        <v/>
      </c>
      <c r="E863" s="26">
        <f>IF('DIVA Satislari'!I863="","",'DIVA Satislari'!O863)</f>
        <v/>
      </c>
      <c r="F863" s="26">
        <f>IF('DIVA Satislari'!I863="","",'DIVA Satislari'!AK863)</f>
        <v/>
      </c>
      <c r="G863" s="26">
        <f>IF('DIVA Satislari'!I863="","",'DIVA Satislari'!AO863)</f>
        <v/>
      </c>
      <c r="H863" s="27">
        <f>IF('DIVA Satislari'!I863="","",'DIVA Satislari'!AN863)</f>
        <v/>
      </c>
      <c r="I863" s="28">
        <f>IF('DIVA Satislari'!I863="","",'DIVA Satislari'!AQ863)</f>
        <v/>
      </c>
      <c r="J863" s="26">
        <f>IF('DIVA Satislari'!I863="","",'DIVA Satislari'!AR863)</f>
        <v/>
      </c>
      <c r="K863" s="26">
        <f>IF('DIVA Satislari'!I863="","",IFERROR(INDEX('E2E Nakliye Montaj'!$AS$3:$AS$1002,MATCH('DIVA Satislari'!AJ863,'E2E Nakliye Montaj'!$AM$3:$AM$1002,0)),"Eşleşme Yok"))</f>
        <v/>
      </c>
      <c r="L863" s="26">
        <f>IF('DIVA Satislari'!I863="","",IFERROR(INDEX('E2E Nakliye Montaj'!$AT$3:$AT$1002,MATCH('DIVA Satislari'!AJ863,'E2E Nakliye Montaj'!$AM$3:$AM$1002,0)),"Hayır"))</f>
        <v/>
      </c>
      <c r="M863" s="26">
        <f>IF('DIVA Satislari'!I863="","",IFERROR(INDEX('E2E Nakliye Montaj'!$AU$3:$AU$1002,MATCH('DIVA Satislari'!AJ863,'E2E Nakliye Montaj'!$AM$3:$AM$1002,0)),"Hayır"))</f>
        <v/>
      </c>
      <c r="N863" s="27">
        <f>IF('DIVA Satislari'!I863="","",IFERROR(INDEX('E2E Nakliye Montaj'!$AV$3:$AV$1002,MATCH('DIVA Satislari'!AJ863,'E2E Nakliye Montaj'!$AM$3:$AM$1002,0)),""))</f>
        <v/>
      </c>
      <c r="O863" s="26">
        <f>IF(OR(A863="",N863=""),"",IF(N863&lt;=H863,"Evet","HAYIR - RİSK"))</f>
        <v/>
      </c>
      <c r="P863" s="26">
        <f>IF(A863="","",IF(LEFT(J863,8)="Kural A ","Uygun - Hemen Ödenir (Yıl Sonu %75 Kontrolüne Tabi)",IF(OR(L863="Evet",M863="Evet"),IF(O863="Evet","Uygun","RİSK - Hakediş Süresi Aşıldı"),"Bekleniyor - Nakliye/Montaj Tamamlanmadı")))</f>
        <v/>
      </c>
      <c r="Q863" s="28">
        <f>IF(A863="","",SUMIFS('Hakedis Fatura Detay'!$G$3:$G$1200,'Hakedis Fatura Detay'!$H$3:$H$1200,'DIVA Satislari'!AJ863,'Hakedis Fatura Detay'!$F$3:$F$1200,"Fiyat Farkı")+SUMIFS('Hakedis Fatura Detay'!$G$3:$G$1200,'Hakedis Fatura Detay'!$H$3:$H$1200,'DIVA Satislari'!AJ863,'Hakedis Fatura Detay'!$F$3:$F$1200,"Bundle"))</f>
        <v/>
      </c>
      <c r="R863" s="28">
        <f>IF(A863="","",I863-Q863)</f>
        <v/>
      </c>
      <c r="S863" s="26">
        <f>IF(A863="","",IF(LEFT(P863,7)="Bekleni","N/A - Henüz Ödenmemeli",IF(LEFT(P863,4)="RİSK","İNCELEME GEREKLİ - Süre Aşımı",IF(R863=0,"Doğru",IF(R863&gt;0,"EKSİK ÖDENMİŞ","FAZLA ÖDENMİŞ")))))</f>
        <v/>
      </c>
      <c r="T863" s="30">
        <f>IF(A863="","",IF(F863&lt;&gt;"Evet","İNCELEME GEREKLİ - Kampanya Tanımsız",IF(G863&lt;&gt;"Evet","İNCELEME GEREKLİ - Tarih Dışı Satış",IF(LEFT(P863,4)="RİSK","İNCELEME GEREKLİ - Hakediş Süresi Aşıldı",IF(OR(S863="EKSİK ÖDENMİŞ",S863="FAZLA ÖDENMİŞ"),"İNCELEME GEREKLİ - Tutar Uyuşmazlığı",IF(LEFT(P863,7)="Bekleni","Bekleniyor","Uygun"))))))</f>
        <v/>
      </c>
    </row>
    <row r="864">
      <c r="A864" s="26">
        <f>IF('DIVA Satislari'!I864="","",'DIVA Satislari'!I864)</f>
        <v/>
      </c>
      <c r="B864" s="26">
        <f>IF('DIVA Satislari'!I864="","",'DIVA Satislari'!R864)</f>
        <v/>
      </c>
      <c r="C864" s="26">
        <f>IF('DIVA Satislari'!I864="","",'DIVA Satislari'!M864)</f>
        <v/>
      </c>
      <c r="D864" s="27">
        <f>IF('DIVA Satislari'!I864="","",'DIVA Satislari'!H864)</f>
        <v/>
      </c>
      <c r="E864" s="26">
        <f>IF('DIVA Satislari'!I864="","",'DIVA Satislari'!O864)</f>
        <v/>
      </c>
      <c r="F864" s="26">
        <f>IF('DIVA Satislari'!I864="","",'DIVA Satislari'!AK864)</f>
        <v/>
      </c>
      <c r="G864" s="26">
        <f>IF('DIVA Satislari'!I864="","",'DIVA Satislari'!AO864)</f>
        <v/>
      </c>
      <c r="H864" s="27">
        <f>IF('DIVA Satislari'!I864="","",'DIVA Satislari'!AN864)</f>
        <v/>
      </c>
      <c r="I864" s="28">
        <f>IF('DIVA Satislari'!I864="","",'DIVA Satislari'!AQ864)</f>
        <v/>
      </c>
      <c r="J864" s="26">
        <f>IF('DIVA Satislari'!I864="","",'DIVA Satislari'!AR864)</f>
        <v/>
      </c>
      <c r="K864" s="26">
        <f>IF('DIVA Satislari'!I864="","",IFERROR(INDEX('E2E Nakliye Montaj'!$AS$3:$AS$1002,MATCH('DIVA Satislari'!AJ864,'E2E Nakliye Montaj'!$AM$3:$AM$1002,0)),"Eşleşme Yok"))</f>
        <v/>
      </c>
      <c r="L864" s="26">
        <f>IF('DIVA Satislari'!I864="","",IFERROR(INDEX('E2E Nakliye Montaj'!$AT$3:$AT$1002,MATCH('DIVA Satislari'!AJ864,'E2E Nakliye Montaj'!$AM$3:$AM$1002,0)),"Hayır"))</f>
        <v/>
      </c>
      <c r="M864" s="26">
        <f>IF('DIVA Satislari'!I864="","",IFERROR(INDEX('E2E Nakliye Montaj'!$AU$3:$AU$1002,MATCH('DIVA Satislari'!AJ864,'E2E Nakliye Montaj'!$AM$3:$AM$1002,0)),"Hayır"))</f>
        <v/>
      </c>
      <c r="N864" s="27">
        <f>IF('DIVA Satislari'!I864="","",IFERROR(INDEX('E2E Nakliye Montaj'!$AV$3:$AV$1002,MATCH('DIVA Satislari'!AJ864,'E2E Nakliye Montaj'!$AM$3:$AM$1002,0)),""))</f>
        <v/>
      </c>
      <c r="O864" s="26">
        <f>IF(OR(A864="",N864=""),"",IF(N864&lt;=H864,"Evet","HAYIR - RİSK"))</f>
        <v/>
      </c>
      <c r="P864" s="26">
        <f>IF(A864="","",IF(LEFT(J864,8)="Kural A ","Uygun - Hemen Ödenir (Yıl Sonu %75 Kontrolüne Tabi)",IF(OR(L864="Evet",M864="Evet"),IF(O864="Evet","Uygun","RİSK - Hakediş Süresi Aşıldı"),"Bekleniyor - Nakliye/Montaj Tamamlanmadı")))</f>
        <v/>
      </c>
      <c r="Q864" s="28">
        <f>IF(A864="","",SUMIFS('Hakedis Fatura Detay'!$G$3:$G$1200,'Hakedis Fatura Detay'!$H$3:$H$1200,'DIVA Satislari'!AJ864,'Hakedis Fatura Detay'!$F$3:$F$1200,"Fiyat Farkı")+SUMIFS('Hakedis Fatura Detay'!$G$3:$G$1200,'Hakedis Fatura Detay'!$H$3:$H$1200,'DIVA Satislari'!AJ864,'Hakedis Fatura Detay'!$F$3:$F$1200,"Bundle"))</f>
        <v/>
      </c>
      <c r="R864" s="28">
        <f>IF(A864="","",I864-Q864)</f>
        <v/>
      </c>
      <c r="S864" s="26">
        <f>IF(A864="","",IF(LEFT(P864,7)="Bekleni","N/A - Henüz Ödenmemeli",IF(LEFT(P864,4)="RİSK","İNCELEME GEREKLİ - Süre Aşımı",IF(R864=0,"Doğru",IF(R864&gt;0,"EKSİK ÖDENMİŞ","FAZLA ÖDENMİŞ")))))</f>
        <v/>
      </c>
      <c r="T864" s="30">
        <f>IF(A864="","",IF(F864&lt;&gt;"Evet","İNCELEME GEREKLİ - Kampanya Tanımsız",IF(G864&lt;&gt;"Evet","İNCELEME GEREKLİ - Tarih Dışı Satış",IF(LEFT(P864,4)="RİSK","İNCELEME GEREKLİ - Hakediş Süresi Aşıldı",IF(OR(S864="EKSİK ÖDENMİŞ",S864="FAZLA ÖDENMİŞ"),"İNCELEME GEREKLİ - Tutar Uyuşmazlığı",IF(LEFT(P864,7)="Bekleni","Bekleniyor","Uygun"))))))</f>
        <v/>
      </c>
    </row>
    <row r="865">
      <c r="A865" s="26">
        <f>IF('DIVA Satislari'!I865="","",'DIVA Satislari'!I865)</f>
        <v/>
      </c>
      <c r="B865" s="26">
        <f>IF('DIVA Satislari'!I865="","",'DIVA Satislari'!R865)</f>
        <v/>
      </c>
      <c r="C865" s="26">
        <f>IF('DIVA Satislari'!I865="","",'DIVA Satislari'!M865)</f>
        <v/>
      </c>
      <c r="D865" s="27">
        <f>IF('DIVA Satislari'!I865="","",'DIVA Satislari'!H865)</f>
        <v/>
      </c>
      <c r="E865" s="26">
        <f>IF('DIVA Satislari'!I865="","",'DIVA Satislari'!O865)</f>
        <v/>
      </c>
      <c r="F865" s="26">
        <f>IF('DIVA Satislari'!I865="","",'DIVA Satislari'!AK865)</f>
        <v/>
      </c>
      <c r="G865" s="26">
        <f>IF('DIVA Satislari'!I865="","",'DIVA Satislari'!AO865)</f>
        <v/>
      </c>
      <c r="H865" s="27">
        <f>IF('DIVA Satislari'!I865="","",'DIVA Satislari'!AN865)</f>
        <v/>
      </c>
      <c r="I865" s="28">
        <f>IF('DIVA Satislari'!I865="","",'DIVA Satislari'!AQ865)</f>
        <v/>
      </c>
      <c r="J865" s="26">
        <f>IF('DIVA Satislari'!I865="","",'DIVA Satislari'!AR865)</f>
        <v/>
      </c>
      <c r="K865" s="26">
        <f>IF('DIVA Satislari'!I865="","",IFERROR(INDEX('E2E Nakliye Montaj'!$AS$3:$AS$1002,MATCH('DIVA Satislari'!AJ865,'E2E Nakliye Montaj'!$AM$3:$AM$1002,0)),"Eşleşme Yok"))</f>
        <v/>
      </c>
      <c r="L865" s="26">
        <f>IF('DIVA Satislari'!I865="","",IFERROR(INDEX('E2E Nakliye Montaj'!$AT$3:$AT$1002,MATCH('DIVA Satislari'!AJ865,'E2E Nakliye Montaj'!$AM$3:$AM$1002,0)),"Hayır"))</f>
        <v/>
      </c>
      <c r="M865" s="26">
        <f>IF('DIVA Satislari'!I865="","",IFERROR(INDEX('E2E Nakliye Montaj'!$AU$3:$AU$1002,MATCH('DIVA Satislari'!AJ865,'E2E Nakliye Montaj'!$AM$3:$AM$1002,0)),"Hayır"))</f>
        <v/>
      </c>
      <c r="N865" s="27">
        <f>IF('DIVA Satislari'!I865="","",IFERROR(INDEX('E2E Nakliye Montaj'!$AV$3:$AV$1002,MATCH('DIVA Satislari'!AJ865,'E2E Nakliye Montaj'!$AM$3:$AM$1002,0)),""))</f>
        <v/>
      </c>
      <c r="O865" s="26">
        <f>IF(OR(A865="",N865=""),"",IF(N865&lt;=H865,"Evet","HAYIR - RİSK"))</f>
        <v/>
      </c>
      <c r="P865" s="26">
        <f>IF(A865="","",IF(LEFT(J865,8)="Kural A ","Uygun - Hemen Ödenir (Yıl Sonu %75 Kontrolüne Tabi)",IF(OR(L865="Evet",M865="Evet"),IF(O865="Evet","Uygun","RİSK - Hakediş Süresi Aşıldı"),"Bekleniyor - Nakliye/Montaj Tamamlanmadı")))</f>
        <v/>
      </c>
      <c r="Q865" s="28">
        <f>IF(A865="","",SUMIFS('Hakedis Fatura Detay'!$G$3:$G$1200,'Hakedis Fatura Detay'!$H$3:$H$1200,'DIVA Satislari'!AJ865,'Hakedis Fatura Detay'!$F$3:$F$1200,"Fiyat Farkı")+SUMIFS('Hakedis Fatura Detay'!$G$3:$G$1200,'Hakedis Fatura Detay'!$H$3:$H$1200,'DIVA Satislari'!AJ865,'Hakedis Fatura Detay'!$F$3:$F$1200,"Bundle"))</f>
        <v/>
      </c>
      <c r="R865" s="28">
        <f>IF(A865="","",I865-Q865)</f>
        <v/>
      </c>
      <c r="S865" s="26">
        <f>IF(A865="","",IF(LEFT(P865,7)="Bekleni","N/A - Henüz Ödenmemeli",IF(LEFT(P865,4)="RİSK","İNCELEME GEREKLİ - Süre Aşımı",IF(R865=0,"Doğru",IF(R865&gt;0,"EKSİK ÖDENMİŞ","FAZLA ÖDENMİŞ")))))</f>
        <v/>
      </c>
      <c r="T865" s="30">
        <f>IF(A865="","",IF(F865&lt;&gt;"Evet","İNCELEME GEREKLİ - Kampanya Tanımsız",IF(G865&lt;&gt;"Evet","İNCELEME GEREKLİ - Tarih Dışı Satış",IF(LEFT(P865,4)="RİSK","İNCELEME GEREKLİ - Hakediş Süresi Aşıldı",IF(OR(S865="EKSİK ÖDENMİŞ",S865="FAZLA ÖDENMİŞ"),"İNCELEME GEREKLİ - Tutar Uyuşmazlığı",IF(LEFT(P865,7)="Bekleni","Bekleniyor","Uygun"))))))</f>
        <v/>
      </c>
    </row>
    <row r="866">
      <c r="A866" s="26">
        <f>IF('DIVA Satislari'!I866="","",'DIVA Satislari'!I866)</f>
        <v/>
      </c>
      <c r="B866" s="26">
        <f>IF('DIVA Satislari'!I866="","",'DIVA Satislari'!R866)</f>
        <v/>
      </c>
      <c r="C866" s="26">
        <f>IF('DIVA Satislari'!I866="","",'DIVA Satislari'!M866)</f>
        <v/>
      </c>
      <c r="D866" s="27">
        <f>IF('DIVA Satislari'!I866="","",'DIVA Satislari'!H866)</f>
        <v/>
      </c>
      <c r="E866" s="26">
        <f>IF('DIVA Satislari'!I866="","",'DIVA Satislari'!O866)</f>
        <v/>
      </c>
      <c r="F866" s="26">
        <f>IF('DIVA Satislari'!I866="","",'DIVA Satislari'!AK866)</f>
        <v/>
      </c>
      <c r="G866" s="26">
        <f>IF('DIVA Satislari'!I866="","",'DIVA Satislari'!AO866)</f>
        <v/>
      </c>
      <c r="H866" s="27">
        <f>IF('DIVA Satislari'!I866="","",'DIVA Satislari'!AN866)</f>
        <v/>
      </c>
      <c r="I866" s="28">
        <f>IF('DIVA Satislari'!I866="","",'DIVA Satislari'!AQ866)</f>
        <v/>
      </c>
      <c r="J866" s="26">
        <f>IF('DIVA Satislari'!I866="","",'DIVA Satislari'!AR866)</f>
        <v/>
      </c>
      <c r="K866" s="26">
        <f>IF('DIVA Satislari'!I866="","",IFERROR(INDEX('E2E Nakliye Montaj'!$AS$3:$AS$1002,MATCH('DIVA Satislari'!AJ866,'E2E Nakliye Montaj'!$AM$3:$AM$1002,0)),"Eşleşme Yok"))</f>
        <v/>
      </c>
      <c r="L866" s="26">
        <f>IF('DIVA Satislari'!I866="","",IFERROR(INDEX('E2E Nakliye Montaj'!$AT$3:$AT$1002,MATCH('DIVA Satislari'!AJ866,'E2E Nakliye Montaj'!$AM$3:$AM$1002,0)),"Hayır"))</f>
        <v/>
      </c>
      <c r="M866" s="26">
        <f>IF('DIVA Satislari'!I866="","",IFERROR(INDEX('E2E Nakliye Montaj'!$AU$3:$AU$1002,MATCH('DIVA Satislari'!AJ866,'E2E Nakliye Montaj'!$AM$3:$AM$1002,0)),"Hayır"))</f>
        <v/>
      </c>
      <c r="N866" s="27">
        <f>IF('DIVA Satislari'!I866="","",IFERROR(INDEX('E2E Nakliye Montaj'!$AV$3:$AV$1002,MATCH('DIVA Satislari'!AJ866,'E2E Nakliye Montaj'!$AM$3:$AM$1002,0)),""))</f>
        <v/>
      </c>
      <c r="O866" s="26">
        <f>IF(OR(A866="",N866=""),"",IF(N866&lt;=H866,"Evet","HAYIR - RİSK"))</f>
        <v/>
      </c>
      <c r="P866" s="26">
        <f>IF(A866="","",IF(LEFT(J866,8)="Kural A ","Uygun - Hemen Ödenir (Yıl Sonu %75 Kontrolüne Tabi)",IF(OR(L866="Evet",M866="Evet"),IF(O866="Evet","Uygun","RİSK - Hakediş Süresi Aşıldı"),"Bekleniyor - Nakliye/Montaj Tamamlanmadı")))</f>
        <v/>
      </c>
      <c r="Q866" s="28">
        <f>IF(A866="","",SUMIFS('Hakedis Fatura Detay'!$G$3:$G$1200,'Hakedis Fatura Detay'!$H$3:$H$1200,'DIVA Satislari'!AJ866,'Hakedis Fatura Detay'!$F$3:$F$1200,"Fiyat Farkı")+SUMIFS('Hakedis Fatura Detay'!$G$3:$G$1200,'Hakedis Fatura Detay'!$H$3:$H$1200,'DIVA Satislari'!AJ866,'Hakedis Fatura Detay'!$F$3:$F$1200,"Bundle"))</f>
        <v/>
      </c>
      <c r="R866" s="28">
        <f>IF(A866="","",I866-Q866)</f>
        <v/>
      </c>
      <c r="S866" s="26">
        <f>IF(A866="","",IF(LEFT(P866,7)="Bekleni","N/A - Henüz Ödenmemeli",IF(LEFT(P866,4)="RİSK","İNCELEME GEREKLİ - Süre Aşımı",IF(R866=0,"Doğru",IF(R866&gt;0,"EKSİK ÖDENMİŞ","FAZLA ÖDENMİŞ")))))</f>
        <v/>
      </c>
      <c r="T866" s="30">
        <f>IF(A866="","",IF(F866&lt;&gt;"Evet","İNCELEME GEREKLİ - Kampanya Tanımsız",IF(G866&lt;&gt;"Evet","İNCELEME GEREKLİ - Tarih Dışı Satış",IF(LEFT(P866,4)="RİSK","İNCELEME GEREKLİ - Hakediş Süresi Aşıldı",IF(OR(S866="EKSİK ÖDENMİŞ",S866="FAZLA ÖDENMİŞ"),"İNCELEME GEREKLİ - Tutar Uyuşmazlığı",IF(LEFT(P866,7)="Bekleni","Bekleniyor","Uygun"))))))</f>
        <v/>
      </c>
    </row>
    <row r="867">
      <c r="A867" s="26">
        <f>IF('DIVA Satislari'!I867="","",'DIVA Satislari'!I867)</f>
        <v/>
      </c>
      <c r="B867" s="26">
        <f>IF('DIVA Satislari'!I867="","",'DIVA Satislari'!R867)</f>
        <v/>
      </c>
      <c r="C867" s="26">
        <f>IF('DIVA Satislari'!I867="","",'DIVA Satislari'!M867)</f>
        <v/>
      </c>
      <c r="D867" s="27">
        <f>IF('DIVA Satislari'!I867="","",'DIVA Satislari'!H867)</f>
        <v/>
      </c>
      <c r="E867" s="26">
        <f>IF('DIVA Satislari'!I867="","",'DIVA Satislari'!O867)</f>
        <v/>
      </c>
      <c r="F867" s="26">
        <f>IF('DIVA Satislari'!I867="","",'DIVA Satislari'!AK867)</f>
        <v/>
      </c>
      <c r="G867" s="26">
        <f>IF('DIVA Satislari'!I867="","",'DIVA Satislari'!AO867)</f>
        <v/>
      </c>
      <c r="H867" s="27">
        <f>IF('DIVA Satislari'!I867="","",'DIVA Satislari'!AN867)</f>
        <v/>
      </c>
      <c r="I867" s="28">
        <f>IF('DIVA Satislari'!I867="","",'DIVA Satislari'!AQ867)</f>
        <v/>
      </c>
      <c r="J867" s="26">
        <f>IF('DIVA Satislari'!I867="","",'DIVA Satislari'!AR867)</f>
        <v/>
      </c>
      <c r="K867" s="26">
        <f>IF('DIVA Satislari'!I867="","",IFERROR(INDEX('E2E Nakliye Montaj'!$AS$3:$AS$1002,MATCH('DIVA Satislari'!AJ867,'E2E Nakliye Montaj'!$AM$3:$AM$1002,0)),"Eşleşme Yok"))</f>
        <v/>
      </c>
      <c r="L867" s="26">
        <f>IF('DIVA Satislari'!I867="","",IFERROR(INDEX('E2E Nakliye Montaj'!$AT$3:$AT$1002,MATCH('DIVA Satislari'!AJ867,'E2E Nakliye Montaj'!$AM$3:$AM$1002,0)),"Hayır"))</f>
        <v/>
      </c>
      <c r="M867" s="26">
        <f>IF('DIVA Satislari'!I867="","",IFERROR(INDEX('E2E Nakliye Montaj'!$AU$3:$AU$1002,MATCH('DIVA Satislari'!AJ867,'E2E Nakliye Montaj'!$AM$3:$AM$1002,0)),"Hayır"))</f>
        <v/>
      </c>
      <c r="N867" s="27">
        <f>IF('DIVA Satislari'!I867="","",IFERROR(INDEX('E2E Nakliye Montaj'!$AV$3:$AV$1002,MATCH('DIVA Satislari'!AJ867,'E2E Nakliye Montaj'!$AM$3:$AM$1002,0)),""))</f>
        <v/>
      </c>
      <c r="O867" s="26">
        <f>IF(OR(A867="",N867=""),"",IF(N867&lt;=H867,"Evet","HAYIR - RİSK"))</f>
        <v/>
      </c>
      <c r="P867" s="26">
        <f>IF(A867="","",IF(LEFT(J867,8)="Kural A ","Uygun - Hemen Ödenir (Yıl Sonu %75 Kontrolüne Tabi)",IF(OR(L867="Evet",M867="Evet"),IF(O867="Evet","Uygun","RİSK - Hakediş Süresi Aşıldı"),"Bekleniyor - Nakliye/Montaj Tamamlanmadı")))</f>
        <v/>
      </c>
      <c r="Q867" s="28">
        <f>IF(A867="","",SUMIFS('Hakedis Fatura Detay'!$G$3:$G$1200,'Hakedis Fatura Detay'!$H$3:$H$1200,'DIVA Satislari'!AJ867,'Hakedis Fatura Detay'!$F$3:$F$1200,"Fiyat Farkı")+SUMIFS('Hakedis Fatura Detay'!$G$3:$G$1200,'Hakedis Fatura Detay'!$H$3:$H$1200,'DIVA Satislari'!AJ867,'Hakedis Fatura Detay'!$F$3:$F$1200,"Bundle"))</f>
        <v/>
      </c>
      <c r="R867" s="28">
        <f>IF(A867="","",I867-Q867)</f>
        <v/>
      </c>
      <c r="S867" s="26">
        <f>IF(A867="","",IF(LEFT(P867,7)="Bekleni","N/A - Henüz Ödenmemeli",IF(LEFT(P867,4)="RİSK","İNCELEME GEREKLİ - Süre Aşımı",IF(R867=0,"Doğru",IF(R867&gt;0,"EKSİK ÖDENMİŞ","FAZLA ÖDENMİŞ")))))</f>
        <v/>
      </c>
      <c r="T867" s="30">
        <f>IF(A867="","",IF(F867&lt;&gt;"Evet","İNCELEME GEREKLİ - Kampanya Tanımsız",IF(G867&lt;&gt;"Evet","İNCELEME GEREKLİ - Tarih Dışı Satış",IF(LEFT(P867,4)="RİSK","İNCELEME GEREKLİ - Hakediş Süresi Aşıldı",IF(OR(S867="EKSİK ÖDENMİŞ",S867="FAZLA ÖDENMİŞ"),"İNCELEME GEREKLİ - Tutar Uyuşmazlığı",IF(LEFT(P867,7)="Bekleni","Bekleniyor","Uygun"))))))</f>
        <v/>
      </c>
    </row>
    <row r="868">
      <c r="A868" s="26">
        <f>IF('DIVA Satislari'!I868="","",'DIVA Satislari'!I868)</f>
        <v/>
      </c>
      <c r="B868" s="26">
        <f>IF('DIVA Satislari'!I868="","",'DIVA Satislari'!R868)</f>
        <v/>
      </c>
      <c r="C868" s="26">
        <f>IF('DIVA Satislari'!I868="","",'DIVA Satislari'!M868)</f>
        <v/>
      </c>
      <c r="D868" s="27">
        <f>IF('DIVA Satislari'!I868="","",'DIVA Satislari'!H868)</f>
        <v/>
      </c>
      <c r="E868" s="26">
        <f>IF('DIVA Satislari'!I868="","",'DIVA Satislari'!O868)</f>
        <v/>
      </c>
      <c r="F868" s="26">
        <f>IF('DIVA Satislari'!I868="","",'DIVA Satislari'!AK868)</f>
        <v/>
      </c>
      <c r="G868" s="26">
        <f>IF('DIVA Satislari'!I868="","",'DIVA Satislari'!AO868)</f>
        <v/>
      </c>
      <c r="H868" s="27">
        <f>IF('DIVA Satislari'!I868="","",'DIVA Satislari'!AN868)</f>
        <v/>
      </c>
      <c r="I868" s="28">
        <f>IF('DIVA Satislari'!I868="","",'DIVA Satislari'!AQ868)</f>
        <v/>
      </c>
      <c r="J868" s="26">
        <f>IF('DIVA Satislari'!I868="","",'DIVA Satislari'!AR868)</f>
        <v/>
      </c>
      <c r="K868" s="26">
        <f>IF('DIVA Satislari'!I868="","",IFERROR(INDEX('E2E Nakliye Montaj'!$AS$3:$AS$1002,MATCH('DIVA Satislari'!AJ868,'E2E Nakliye Montaj'!$AM$3:$AM$1002,0)),"Eşleşme Yok"))</f>
        <v/>
      </c>
      <c r="L868" s="26">
        <f>IF('DIVA Satislari'!I868="","",IFERROR(INDEX('E2E Nakliye Montaj'!$AT$3:$AT$1002,MATCH('DIVA Satislari'!AJ868,'E2E Nakliye Montaj'!$AM$3:$AM$1002,0)),"Hayır"))</f>
        <v/>
      </c>
      <c r="M868" s="26">
        <f>IF('DIVA Satislari'!I868="","",IFERROR(INDEX('E2E Nakliye Montaj'!$AU$3:$AU$1002,MATCH('DIVA Satislari'!AJ868,'E2E Nakliye Montaj'!$AM$3:$AM$1002,0)),"Hayır"))</f>
        <v/>
      </c>
      <c r="N868" s="27">
        <f>IF('DIVA Satislari'!I868="","",IFERROR(INDEX('E2E Nakliye Montaj'!$AV$3:$AV$1002,MATCH('DIVA Satislari'!AJ868,'E2E Nakliye Montaj'!$AM$3:$AM$1002,0)),""))</f>
        <v/>
      </c>
      <c r="O868" s="26">
        <f>IF(OR(A868="",N868=""),"",IF(N868&lt;=H868,"Evet","HAYIR - RİSK"))</f>
        <v/>
      </c>
      <c r="P868" s="26">
        <f>IF(A868="","",IF(LEFT(J868,8)="Kural A ","Uygun - Hemen Ödenir (Yıl Sonu %75 Kontrolüne Tabi)",IF(OR(L868="Evet",M868="Evet"),IF(O868="Evet","Uygun","RİSK - Hakediş Süresi Aşıldı"),"Bekleniyor - Nakliye/Montaj Tamamlanmadı")))</f>
        <v/>
      </c>
      <c r="Q868" s="28">
        <f>IF(A868="","",SUMIFS('Hakedis Fatura Detay'!$G$3:$G$1200,'Hakedis Fatura Detay'!$H$3:$H$1200,'DIVA Satislari'!AJ868,'Hakedis Fatura Detay'!$F$3:$F$1200,"Fiyat Farkı")+SUMIFS('Hakedis Fatura Detay'!$G$3:$G$1200,'Hakedis Fatura Detay'!$H$3:$H$1200,'DIVA Satislari'!AJ868,'Hakedis Fatura Detay'!$F$3:$F$1200,"Bundle"))</f>
        <v/>
      </c>
      <c r="R868" s="28">
        <f>IF(A868="","",I868-Q868)</f>
        <v/>
      </c>
      <c r="S868" s="26">
        <f>IF(A868="","",IF(LEFT(P868,7)="Bekleni","N/A - Henüz Ödenmemeli",IF(LEFT(P868,4)="RİSK","İNCELEME GEREKLİ - Süre Aşımı",IF(R868=0,"Doğru",IF(R868&gt;0,"EKSİK ÖDENMİŞ","FAZLA ÖDENMİŞ")))))</f>
        <v/>
      </c>
      <c r="T868" s="30">
        <f>IF(A868="","",IF(F868&lt;&gt;"Evet","İNCELEME GEREKLİ - Kampanya Tanımsız",IF(G868&lt;&gt;"Evet","İNCELEME GEREKLİ - Tarih Dışı Satış",IF(LEFT(P868,4)="RİSK","İNCELEME GEREKLİ - Hakediş Süresi Aşıldı",IF(OR(S868="EKSİK ÖDENMİŞ",S868="FAZLA ÖDENMİŞ"),"İNCELEME GEREKLİ - Tutar Uyuşmazlığı",IF(LEFT(P868,7)="Bekleni","Bekleniyor","Uygun"))))))</f>
        <v/>
      </c>
    </row>
    <row r="869">
      <c r="A869" s="26">
        <f>IF('DIVA Satislari'!I869="","",'DIVA Satislari'!I869)</f>
        <v/>
      </c>
      <c r="B869" s="26">
        <f>IF('DIVA Satislari'!I869="","",'DIVA Satislari'!R869)</f>
        <v/>
      </c>
      <c r="C869" s="26">
        <f>IF('DIVA Satislari'!I869="","",'DIVA Satislari'!M869)</f>
        <v/>
      </c>
      <c r="D869" s="27">
        <f>IF('DIVA Satislari'!I869="","",'DIVA Satislari'!H869)</f>
        <v/>
      </c>
      <c r="E869" s="26">
        <f>IF('DIVA Satislari'!I869="","",'DIVA Satislari'!O869)</f>
        <v/>
      </c>
      <c r="F869" s="26">
        <f>IF('DIVA Satislari'!I869="","",'DIVA Satislari'!AK869)</f>
        <v/>
      </c>
      <c r="G869" s="26">
        <f>IF('DIVA Satislari'!I869="","",'DIVA Satislari'!AO869)</f>
        <v/>
      </c>
      <c r="H869" s="27">
        <f>IF('DIVA Satislari'!I869="","",'DIVA Satislari'!AN869)</f>
        <v/>
      </c>
      <c r="I869" s="28">
        <f>IF('DIVA Satislari'!I869="","",'DIVA Satislari'!AQ869)</f>
        <v/>
      </c>
      <c r="J869" s="26">
        <f>IF('DIVA Satislari'!I869="","",'DIVA Satislari'!AR869)</f>
        <v/>
      </c>
      <c r="K869" s="26">
        <f>IF('DIVA Satislari'!I869="","",IFERROR(INDEX('E2E Nakliye Montaj'!$AS$3:$AS$1002,MATCH('DIVA Satislari'!AJ869,'E2E Nakliye Montaj'!$AM$3:$AM$1002,0)),"Eşleşme Yok"))</f>
        <v/>
      </c>
      <c r="L869" s="26">
        <f>IF('DIVA Satislari'!I869="","",IFERROR(INDEX('E2E Nakliye Montaj'!$AT$3:$AT$1002,MATCH('DIVA Satislari'!AJ869,'E2E Nakliye Montaj'!$AM$3:$AM$1002,0)),"Hayır"))</f>
        <v/>
      </c>
      <c r="M869" s="26">
        <f>IF('DIVA Satislari'!I869="","",IFERROR(INDEX('E2E Nakliye Montaj'!$AU$3:$AU$1002,MATCH('DIVA Satislari'!AJ869,'E2E Nakliye Montaj'!$AM$3:$AM$1002,0)),"Hayır"))</f>
        <v/>
      </c>
      <c r="N869" s="27">
        <f>IF('DIVA Satislari'!I869="","",IFERROR(INDEX('E2E Nakliye Montaj'!$AV$3:$AV$1002,MATCH('DIVA Satislari'!AJ869,'E2E Nakliye Montaj'!$AM$3:$AM$1002,0)),""))</f>
        <v/>
      </c>
      <c r="O869" s="26">
        <f>IF(OR(A869="",N869=""),"",IF(N869&lt;=H869,"Evet","HAYIR - RİSK"))</f>
        <v/>
      </c>
      <c r="P869" s="26">
        <f>IF(A869="","",IF(LEFT(J869,8)="Kural A ","Uygun - Hemen Ödenir (Yıl Sonu %75 Kontrolüne Tabi)",IF(OR(L869="Evet",M869="Evet"),IF(O869="Evet","Uygun","RİSK - Hakediş Süresi Aşıldı"),"Bekleniyor - Nakliye/Montaj Tamamlanmadı")))</f>
        <v/>
      </c>
      <c r="Q869" s="28">
        <f>IF(A869="","",SUMIFS('Hakedis Fatura Detay'!$G$3:$G$1200,'Hakedis Fatura Detay'!$H$3:$H$1200,'DIVA Satislari'!AJ869,'Hakedis Fatura Detay'!$F$3:$F$1200,"Fiyat Farkı")+SUMIFS('Hakedis Fatura Detay'!$G$3:$G$1200,'Hakedis Fatura Detay'!$H$3:$H$1200,'DIVA Satislari'!AJ869,'Hakedis Fatura Detay'!$F$3:$F$1200,"Bundle"))</f>
        <v/>
      </c>
      <c r="R869" s="28">
        <f>IF(A869="","",I869-Q869)</f>
        <v/>
      </c>
      <c r="S869" s="26">
        <f>IF(A869="","",IF(LEFT(P869,7)="Bekleni","N/A - Henüz Ödenmemeli",IF(LEFT(P869,4)="RİSK","İNCELEME GEREKLİ - Süre Aşımı",IF(R869=0,"Doğru",IF(R869&gt;0,"EKSİK ÖDENMİŞ","FAZLA ÖDENMİŞ")))))</f>
        <v/>
      </c>
      <c r="T869" s="30">
        <f>IF(A869="","",IF(F869&lt;&gt;"Evet","İNCELEME GEREKLİ - Kampanya Tanımsız",IF(G869&lt;&gt;"Evet","İNCELEME GEREKLİ - Tarih Dışı Satış",IF(LEFT(P869,4)="RİSK","İNCELEME GEREKLİ - Hakediş Süresi Aşıldı",IF(OR(S869="EKSİK ÖDENMİŞ",S869="FAZLA ÖDENMİŞ"),"İNCELEME GEREKLİ - Tutar Uyuşmazlığı",IF(LEFT(P869,7)="Bekleni","Bekleniyor","Uygun"))))))</f>
        <v/>
      </c>
    </row>
    <row r="870">
      <c r="A870" s="26">
        <f>IF('DIVA Satislari'!I870="","",'DIVA Satislari'!I870)</f>
        <v/>
      </c>
      <c r="B870" s="26">
        <f>IF('DIVA Satislari'!I870="","",'DIVA Satislari'!R870)</f>
        <v/>
      </c>
      <c r="C870" s="26">
        <f>IF('DIVA Satislari'!I870="","",'DIVA Satislari'!M870)</f>
        <v/>
      </c>
      <c r="D870" s="27">
        <f>IF('DIVA Satislari'!I870="","",'DIVA Satislari'!H870)</f>
        <v/>
      </c>
      <c r="E870" s="26">
        <f>IF('DIVA Satislari'!I870="","",'DIVA Satislari'!O870)</f>
        <v/>
      </c>
      <c r="F870" s="26">
        <f>IF('DIVA Satislari'!I870="","",'DIVA Satislari'!AK870)</f>
        <v/>
      </c>
      <c r="G870" s="26">
        <f>IF('DIVA Satislari'!I870="","",'DIVA Satislari'!AO870)</f>
        <v/>
      </c>
      <c r="H870" s="27">
        <f>IF('DIVA Satislari'!I870="","",'DIVA Satislari'!AN870)</f>
        <v/>
      </c>
      <c r="I870" s="28">
        <f>IF('DIVA Satislari'!I870="","",'DIVA Satislari'!AQ870)</f>
        <v/>
      </c>
      <c r="J870" s="26">
        <f>IF('DIVA Satislari'!I870="","",'DIVA Satislari'!AR870)</f>
        <v/>
      </c>
      <c r="K870" s="26">
        <f>IF('DIVA Satislari'!I870="","",IFERROR(INDEX('E2E Nakliye Montaj'!$AS$3:$AS$1002,MATCH('DIVA Satislari'!AJ870,'E2E Nakliye Montaj'!$AM$3:$AM$1002,0)),"Eşleşme Yok"))</f>
        <v/>
      </c>
      <c r="L870" s="26">
        <f>IF('DIVA Satislari'!I870="","",IFERROR(INDEX('E2E Nakliye Montaj'!$AT$3:$AT$1002,MATCH('DIVA Satislari'!AJ870,'E2E Nakliye Montaj'!$AM$3:$AM$1002,0)),"Hayır"))</f>
        <v/>
      </c>
      <c r="M870" s="26">
        <f>IF('DIVA Satislari'!I870="","",IFERROR(INDEX('E2E Nakliye Montaj'!$AU$3:$AU$1002,MATCH('DIVA Satislari'!AJ870,'E2E Nakliye Montaj'!$AM$3:$AM$1002,0)),"Hayır"))</f>
        <v/>
      </c>
      <c r="N870" s="27">
        <f>IF('DIVA Satislari'!I870="","",IFERROR(INDEX('E2E Nakliye Montaj'!$AV$3:$AV$1002,MATCH('DIVA Satislari'!AJ870,'E2E Nakliye Montaj'!$AM$3:$AM$1002,0)),""))</f>
        <v/>
      </c>
      <c r="O870" s="26">
        <f>IF(OR(A870="",N870=""),"",IF(N870&lt;=H870,"Evet","HAYIR - RİSK"))</f>
        <v/>
      </c>
      <c r="P870" s="26">
        <f>IF(A870="","",IF(LEFT(J870,8)="Kural A ","Uygun - Hemen Ödenir (Yıl Sonu %75 Kontrolüne Tabi)",IF(OR(L870="Evet",M870="Evet"),IF(O870="Evet","Uygun","RİSK - Hakediş Süresi Aşıldı"),"Bekleniyor - Nakliye/Montaj Tamamlanmadı")))</f>
        <v/>
      </c>
      <c r="Q870" s="28">
        <f>IF(A870="","",SUMIFS('Hakedis Fatura Detay'!$G$3:$G$1200,'Hakedis Fatura Detay'!$H$3:$H$1200,'DIVA Satislari'!AJ870,'Hakedis Fatura Detay'!$F$3:$F$1200,"Fiyat Farkı")+SUMIFS('Hakedis Fatura Detay'!$G$3:$G$1200,'Hakedis Fatura Detay'!$H$3:$H$1200,'DIVA Satislari'!AJ870,'Hakedis Fatura Detay'!$F$3:$F$1200,"Bundle"))</f>
        <v/>
      </c>
      <c r="R870" s="28">
        <f>IF(A870="","",I870-Q870)</f>
        <v/>
      </c>
      <c r="S870" s="26">
        <f>IF(A870="","",IF(LEFT(P870,7)="Bekleni","N/A - Henüz Ödenmemeli",IF(LEFT(P870,4)="RİSK","İNCELEME GEREKLİ - Süre Aşımı",IF(R870=0,"Doğru",IF(R870&gt;0,"EKSİK ÖDENMİŞ","FAZLA ÖDENMİŞ")))))</f>
        <v/>
      </c>
      <c r="T870" s="30">
        <f>IF(A870="","",IF(F870&lt;&gt;"Evet","İNCELEME GEREKLİ - Kampanya Tanımsız",IF(G870&lt;&gt;"Evet","İNCELEME GEREKLİ - Tarih Dışı Satış",IF(LEFT(P870,4)="RİSK","İNCELEME GEREKLİ - Hakediş Süresi Aşıldı",IF(OR(S870="EKSİK ÖDENMİŞ",S870="FAZLA ÖDENMİŞ"),"İNCELEME GEREKLİ - Tutar Uyuşmazlığı",IF(LEFT(P870,7)="Bekleni","Bekleniyor","Uygun"))))))</f>
        <v/>
      </c>
    </row>
    <row r="871">
      <c r="A871" s="26">
        <f>IF('DIVA Satislari'!I871="","",'DIVA Satislari'!I871)</f>
        <v/>
      </c>
      <c r="B871" s="26">
        <f>IF('DIVA Satislari'!I871="","",'DIVA Satislari'!R871)</f>
        <v/>
      </c>
      <c r="C871" s="26">
        <f>IF('DIVA Satislari'!I871="","",'DIVA Satislari'!M871)</f>
        <v/>
      </c>
      <c r="D871" s="27">
        <f>IF('DIVA Satislari'!I871="","",'DIVA Satislari'!H871)</f>
        <v/>
      </c>
      <c r="E871" s="26">
        <f>IF('DIVA Satislari'!I871="","",'DIVA Satislari'!O871)</f>
        <v/>
      </c>
      <c r="F871" s="26">
        <f>IF('DIVA Satislari'!I871="","",'DIVA Satislari'!AK871)</f>
        <v/>
      </c>
      <c r="G871" s="26">
        <f>IF('DIVA Satislari'!I871="","",'DIVA Satislari'!AO871)</f>
        <v/>
      </c>
      <c r="H871" s="27">
        <f>IF('DIVA Satislari'!I871="","",'DIVA Satislari'!AN871)</f>
        <v/>
      </c>
      <c r="I871" s="28">
        <f>IF('DIVA Satislari'!I871="","",'DIVA Satislari'!AQ871)</f>
        <v/>
      </c>
      <c r="J871" s="26">
        <f>IF('DIVA Satislari'!I871="","",'DIVA Satislari'!AR871)</f>
        <v/>
      </c>
      <c r="K871" s="26">
        <f>IF('DIVA Satislari'!I871="","",IFERROR(INDEX('E2E Nakliye Montaj'!$AS$3:$AS$1002,MATCH('DIVA Satislari'!AJ871,'E2E Nakliye Montaj'!$AM$3:$AM$1002,0)),"Eşleşme Yok"))</f>
        <v/>
      </c>
      <c r="L871" s="26">
        <f>IF('DIVA Satislari'!I871="","",IFERROR(INDEX('E2E Nakliye Montaj'!$AT$3:$AT$1002,MATCH('DIVA Satislari'!AJ871,'E2E Nakliye Montaj'!$AM$3:$AM$1002,0)),"Hayır"))</f>
        <v/>
      </c>
      <c r="M871" s="26">
        <f>IF('DIVA Satislari'!I871="","",IFERROR(INDEX('E2E Nakliye Montaj'!$AU$3:$AU$1002,MATCH('DIVA Satislari'!AJ871,'E2E Nakliye Montaj'!$AM$3:$AM$1002,0)),"Hayır"))</f>
        <v/>
      </c>
      <c r="N871" s="27">
        <f>IF('DIVA Satislari'!I871="","",IFERROR(INDEX('E2E Nakliye Montaj'!$AV$3:$AV$1002,MATCH('DIVA Satislari'!AJ871,'E2E Nakliye Montaj'!$AM$3:$AM$1002,0)),""))</f>
        <v/>
      </c>
      <c r="O871" s="26">
        <f>IF(OR(A871="",N871=""),"",IF(N871&lt;=H871,"Evet","HAYIR - RİSK"))</f>
        <v/>
      </c>
      <c r="P871" s="26">
        <f>IF(A871="","",IF(LEFT(J871,8)="Kural A ","Uygun - Hemen Ödenir (Yıl Sonu %75 Kontrolüne Tabi)",IF(OR(L871="Evet",M871="Evet"),IF(O871="Evet","Uygun","RİSK - Hakediş Süresi Aşıldı"),"Bekleniyor - Nakliye/Montaj Tamamlanmadı")))</f>
        <v/>
      </c>
      <c r="Q871" s="28">
        <f>IF(A871="","",SUMIFS('Hakedis Fatura Detay'!$G$3:$G$1200,'Hakedis Fatura Detay'!$H$3:$H$1200,'DIVA Satislari'!AJ871,'Hakedis Fatura Detay'!$F$3:$F$1200,"Fiyat Farkı")+SUMIFS('Hakedis Fatura Detay'!$G$3:$G$1200,'Hakedis Fatura Detay'!$H$3:$H$1200,'DIVA Satislari'!AJ871,'Hakedis Fatura Detay'!$F$3:$F$1200,"Bundle"))</f>
        <v/>
      </c>
      <c r="R871" s="28">
        <f>IF(A871="","",I871-Q871)</f>
        <v/>
      </c>
      <c r="S871" s="26">
        <f>IF(A871="","",IF(LEFT(P871,7)="Bekleni","N/A - Henüz Ödenmemeli",IF(LEFT(P871,4)="RİSK","İNCELEME GEREKLİ - Süre Aşımı",IF(R871=0,"Doğru",IF(R871&gt;0,"EKSİK ÖDENMİŞ","FAZLA ÖDENMİŞ")))))</f>
        <v/>
      </c>
      <c r="T871" s="30">
        <f>IF(A871="","",IF(F871&lt;&gt;"Evet","İNCELEME GEREKLİ - Kampanya Tanımsız",IF(G871&lt;&gt;"Evet","İNCELEME GEREKLİ - Tarih Dışı Satış",IF(LEFT(P871,4)="RİSK","İNCELEME GEREKLİ - Hakediş Süresi Aşıldı",IF(OR(S871="EKSİK ÖDENMİŞ",S871="FAZLA ÖDENMİŞ"),"İNCELEME GEREKLİ - Tutar Uyuşmazlığı",IF(LEFT(P871,7)="Bekleni","Bekleniyor","Uygun"))))))</f>
        <v/>
      </c>
    </row>
    <row r="872">
      <c r="A872" s="26">
        <f>IF('DIVA Satislari'!I872="","",'DIVA Satislari'!I872)</f>
        <v/>
      </c>
      <c r="B872" s="26">
        <f>IF('DIVA Satislari'!I872="","",'DIVA Satislari'!R872)</f>
        <v/>
      </c>
      <c r="C872" s="26">
        <f>IF('DIVA Satislari'!I872="","",'DIVA Satislari'!M872)</f>
        <v/>
      </c>
      <c r="D872" s="27">
        <f>IF('DIVA Satislari'!I872="","",'DIVA Satislari'!H872)</f>
        <v/>
      </c>
      <c r="E872" s="26">
        <f>IF('DIVA Satislari'!I872="","",'DIVA Satislari'!O872)</f>
        <v/>
      </c>
      <c r="F872" s="26">
        <f>IF('DIVA Satislari'!I872="","",'DIVA Satislari'!AK872)</f>
        <v/>
      </c>
      <c r="G872" s="26">
        <f>IF('DIVA Satislari'!I872="","",'DIVA Satislari'!AO872)</f>
        <v/>
      </c>
      <c r="H872" s="27">
        <f>IF('DIVA Satislari'!I872="","",'DIVA Satislari'!AN872)</f>
        <v/>
      </c>
      <c r="I872" s="28">
        <f>IF('DIVA Satislari'!I872="","",'DIVA Satislari'!AQ872)</f>
        <v/>
      </c>
      <c r="J872" s="26">
        <f>IF('DIVA Satislari'!I872="","",'DIVA Satislari'!AR872)</f>
        <v/>
      </c>
      <c r="K872" s="26">
        <f>IF('DIVA Satislari'!I872="","",IFERROR(INDEX('E2E Nakliye Montaj'!$AS$3:$AS$1002,MATCH('DIVA Satislari'!AJ872,'E2E Nakliye Montaj'!$AM$3:$AM$1002,0)),"Eşleşme Yok"))</f>
        <v/>
      </c>
      <c r="L872" s="26">
        <f>IF('DIVA Satislari'!I872="","",IFERROR(INDEX('E2E Nakliye Montaj'!$AT$3:$AT$1002,MATCH('DIVA Satislari'!AJ872,'E2E Nakliye Montaj'!$AM$3:$AM$1002,0)),"Hayır"))</f>
        <v/>
      </c>
      <c r="M872" s="26">
        <f>IF('DIVA Satislari'!I872="","",IFERROR(INDEX('E2E Nakliye Montaj'!$AU$3:$AU$1002,MATCH('DIVA Satislari'!AJ872,'E2E Nakliye Montaj'!$AM$3:$AM$1002,0)),"Hayır"))</f>
        <v/>
      </c>
      <c r="N872" s="27">
        <f>IF('DIVA Satislari'!I872="","",IFERROR(INDEX('E2E Nakliye Montaj'!$AV$3:$AV$1002,MATCH('DIVA Satislari'!AJ872,'E2E Nakliye Montaj'!$AM$3:$AM$1002,0)),""))</f>
        <v/>
      </c>
      <c r="O872" s="26">
        <f>IF(OR(A872="",N872=""),"",IF(N872&lt;=H872,"Evet","HAYIR - RİSK"))</f>
        <v/>
      </c>
      <c r="P872" s="26">
        <f>IF(A872="","",IF(LEFT(J872,8)="Kural A ","Uygun - Hemen Ödenir (Yıl Sonu %75 Kontrolüne Tabi)",IF(OR(L872="Evet",M872="Evet"),IF(O872="Evet","Uygun","RİSK - Hakediş Süresi Aşıldı"),"Bekleniyor - Nakliye/Montaj Tamamlanmadı")))</f>
        <v/>
      </c>
      <c r="Q872" s="28">
        <f>IF(A872="","",SUMIFS('Hakedis Fatura Detay'!$G$3:$G$1200,'Hakedis Fatura Detay'!$H$3:$H$1200,'DIVA Satislari'!AJ872,'Hakedis Fatura Detay'!$F$3:$F$1200,"Fiyat Farkı")+SUMIFS('Hakedis Fatura Detay'!$G$3:$G$1200,'Hakedis Fatura Detay'!$H$3:$H$1200,'DIVA Satislari'!AJ872,'Hakedis Fatura Detay'!$F$3:$F$1200,"Bundle"))</f>
        <v/>
      </c>
      <c r="R872" s="28">
        <f>IF(A872="","",I872-Q872)</f>
        <v/>
      </c>
      <c r="S872" s="26">
        <f>IF(A872="","",IF(LEFT(P872,7)="Bekleni","N/A - Henüz Ödenmemeli",IF(LEFT(P872,4)="RİSK","İNCELEME GEREKLİ - Süre Aşımı",IF(R872=0,"Doğru",IF(R872&gt;0,"EKSİK ÖDENMİŞ","FAZLA ÖDENMİŞ")))))</f>
        <v/>
      </c>
      <c r="T872" s="30">
        <f>IF(A872="","",IF(F872&lt;&gt;"Evet","İNCELEME GEREKLİ - Kampanya Tanımsız",IF(G872&lt;&gt;"Evet","İNCELEME GEREKLİ - Tarih Dışı Satış",IF(LEFT(P872,4)="RİSK","İNCELEME GEREKLİ - Hakediş Süresi Aşıldı",IF(OR(S872="EKSİK ÖDENMİŞ",S872="FAZLA ÖDENMİŞ"),"İNCELEME GEREKLİ - Tutar Uyuşmazlığı",IF(LEFT(P872,7)="Bekleni","Bekleniyor","Uygun"))))))</f>
        <v/>
      </c>
    </row>
    <row r="873">
      <c r="A873" s="26">
        <f>IF('DIVA Satislari'!I873="","",'DIVA Satislari'!I873)</f>
        <v/>
      </c>
      <c r="B873" s="26">
        <f>IF('DIVA Satislari'!I873="","",'DIVA Satislari'!R873)</f>
        <v/>
      </c>
      <c r="C873" s="26">
        <f>IF('DIVA Satislari'!I873="","",'DIVA Satislari'!M873)</f>
        <v/>
      </c>
      <c r="D873" s="27">
        <f>IF('DIVA Satislari'!I873="","",'DIVA Satislari'!H873)</f>
        <v/>
      </c>
      <c r="E873" s="26">
        <f>IF('DIVA Satislari'!I873="","",'DIVA Satislari'!O873)</f>
        <v/>
      </c>
      <c r="F873" s="26">
        <f>IF('DIVA Satislari'!I873="","",'DIVA Satislari'!AK873)</f>
        <v/>
      </c>
      <c r="G873" s="26">
        <f>IF('DIVA Satislari'!I873="","",'DIVA Satislari'!AO873)</f>
        <v/>
      </c>
      <c r="H873" s="27">
        <f>IF('DIVA Satislari'!I873="","",'DIVA Satislari'!AN873)</f>
        <v/>
      </c>
      <c r="I873" s="28">
        <f>IF('DIVA Satislari'!I873="","",'DIVA Satislari'!AQ873)</f>
        <v/>
      </c>
      <c r="J873" s="26">
        <f>IF('DIVA Satislari'!I873="","",'DIVA Satislari'!AR873)</f>
        <v/>
      </c>
      <c r="K873" s="26">
        <f>IF('DIVA Satislari'!I873="","",IFERROR(INDEX('E2E Nakliye Montaj'!$AS$3:$AS$1002,MATCH('DIVA Satislari'!AJ873,'E2E Nakliye Montaj'!$AM$3:$AM$1002,0)),"Eşleşme Yok"))</f>
        <v/>
      </c>
      <c r="L873" s="26">
        <f>IF('DIVA Satislari'!I873="","",IFERROR(INDEX('E2E Nakliye Montaj'!$AT$3:$AT$1002,MATCH('DIVA Satislari'!AJ873,'E2E Nakliye Montaj'!$AM$3:$AM$1002,0)),"Hayır"))</f>
        <v/>
      </c>
      <c r="M873" s="26">
        <f>IF('DIVA Satislari'!I873="","",IFERROR(INDEX('E2E Nakliye Montaj'!$AU$3:$AU$1002,MATCH('DIVA Satislari'!AJ873,'E2E Nakliye Montaj'!$AM$3:$AM$1002,0)),"Hayır"))</f>
        <v/>
      </c>
      <c r="N873" s="27">
        <f>IF('DIVA Satislari'!I873="","",IFERROR(INDEX('E2E Nakliye Montaj'!$AV$3:$AV$1002,MATCH('DIVA Satislari'!AJ873,'E2E Nakliye Montaj'!$AM$3:$AM$1002,0)),""))</f>
        <v/>
      </c>
      <c r="O873" s="26">
        <f>IF(OR(A873="",N873=""),"",IF(N873&lt;=H873,"Evet","HAYIR - RİSK"))</f>
        <v/>
      </c>
      <c r="P873" s="26">
        <f>IF(A873="","",IF(LEFT(J873,8)="Kural A ","Uygun - Hemen Ödenir (Yıl Sonu %75 Kontrolüne Tabi)",IF(OR(L873="Evet",M873="Evet"),IF(O873="Evet","Uygun","RİSK - Hakediş Süresi Aşıldı"),"Bekleniyor - Nakliye/Montaj Tamamlanmadı")))</f>
        <v/>
      </c>
      <c r="Q873" s="28">
        <f>IF(A873="","",SUMIFS('Hakedis Fatura Detay'!$G$3:$G$1200,'Hakedis Fatura Detay'!$H$3:$H$1200,'DIVA Satislari'!AJ873,'Hakedis Fatura Detay'!$F$3:$F$1200,"Fiyat Farkı")+SUMIFS('Hakedis Fatura Detay'!$G$3:$G$1200,'Hakedis Fatura Detay'!$H$3:$H$1200,'DIVA Satislari'!AJ873,'Hakedis Fatura Detay'!$F$3:$F$1200,"Bundle"))</f>
        <v/>
      </c>
      <c r="R873" s="28">
        <f>IF(A873="","",I873-Q873)</f>
        <v/>
      </c>
      <c r="S873" s="26">
        <f>IF(A873="","",IF(LEFT(P873,7)="Bekleni","N/A - Henüz Ödenmemeli",IF(LEFT(P873,4)="RİSK","İNCELEME GEREKLİ - Süre Aşımı",IF(R873=0,"Doğru",IF(R873&gt;0,"EKSİK ÖDENMİŞ","FAZLA ÖDENMİŞ")))))</f>
        <v/>
      </c>
      <c r="T873" s="30">
        <f>IF(A873="","",IF(F873&lt;&gt;"Evet","İNCELEME GEREKLİ - Kampanya Tanımsız",IF(G873&lt;&gt;"Evet","İNCELEME GEREKLİ - Tarih Dışı Satış",IF(LEFT(P873,4)="RİSK","İNCELEME GEREKLİ - Hakediş Süresi Aşıldı",IF(OR(S873="EKSİK ÖDENMİŞ",S873="FAZLA ÖDENMİŞ"),"İNCELEME GEREKLİ - Tutar Uyuşmazlığı",IF(LEFT(P873,7)="Bekleni","Bekleniyor","Uygun"))))))</f>
        <v/>
      </c>
    </row>
    <row r="874">
      <c r="A874" s="26">
        <f>IF('DIVA Satislari'!I874="","",'DIVA Satislari'!I874)</f>
        <v/>
      </c>
      <c r="B874" s="26">
        <f>IF('DIVA Satislari'!I874="","",'DIVA Satislari'!R874)</f>
        <v/>
      </c>
      <c r="C874" s="26">
        <f>IF('DIVA Satislari'!I874="","",'DIVA Satislari'!M874)</f>
        <v/>
      </c>
      <c r="D874" s="27">
        <f>IF('DIVA Satislari'!I874="","",'DIVA Satislari'!H874)</f>
        <v/>
      </c>
      <c r="E874" s="26">
        <f>IF('DIVA Satislari'!I874="","",'DIVA Satislari'!O874)</f>
        <v/>
      </c>
      <c r="F874" s="26">
        <f>IF('DIVA Satislari'!I874="","",'DIVA Satislari'!AK874)</f>
        <v/>
      </c>
      <c r="G874" s="26">
        <f>IF('DIVA Satislari'!I874="","",'DIVA Satislari'!AO874)</f>
        <v/>
      </c>
      <c r="H874" s="27">
        <f>IF('DIVA Satislari'!I874="","",'DIVA Satislari'!AN874)</f>
        <v/>
      </c>
      <c r="I874" s="28">
        <f>IF('DIVA Satislari'!I874="","",'DIVA Satislari'!AQ874)</f>
        <v/>
      </c>
      <c r="J874" s="26">
        <f>IF('DIVA Satislari'!I874="","",'DIVA Satislari'!AR874)</f>
        <v/>
      </c>
      <c r="K874" s="26">
        <f>IF('DIVA Satislari'!I874="","",IFERROR(INDEX('E2E Nakliye Montaj'!$AS$3:$AS$1002,MATCH('DIVA Satislari'!AJ874,'E2E Nakliye Montaj'!$AM$3:$AM$1002,0)),"Eşleşme Yok"))</f>
        <v/>
      </c>
      <c r="L874" s="26">
        <f>IF('DIVA Satislari'!I874="","",IFERROR(INDEX('E2E Nakliye Montaj'!$AT$3:$AT$1002,MATCH('DIVA Satislari'!AJ874,'E2E Nakliye Montaj'!$AM$3:$AM$1002,0)),"Hayır"))</f>
        <v/>
      </c>
      <c r="M874" s="26">
        <f>IF('DIVA Satislari'!I874="","",IFERROR(INDEX('E2E Nakliye Montaj'!$AU$3:$AU$1002,MATCH('DIVA Satislari'!AJ874,'E2E Nakliye Montaj'!$AM$3:$AM$1002,0)),"Hayır"))</f>
        <v/>
      </c>
      <c r="N874" s="27">
        <f>IF('DIVA Satislari'!I874="","",IFERROR(INDEX('E2E Nakliye Montaj'!$AV$3:$AV$1002,MATCH('DIVA Satislari'!AJ874,'E2E Nakliye Montaj'!$AM$3:$AM$1002,0)),""))</f>
        <v/>
      </c>
      <c r="O874" s="26">
        <f>IF(OR(A874="",N874=""),"",IF(N874&lt;=H874,"Evet","HAYIR - RİSK"))</f>
        <v/>
      </c>
      <c r="P874" s="26">
        <f>IF(A874="","",IF(LEFT(J874,8)="Kural A ","Uygun - Hemen Ödenir (Yıl Sonu %75 Kontrolüne Tabi)",IF(OR(L874="Evet",M874="Evet"),IF(O874="Evet","Uygun","RİSK - Hakediş Süresi Aşıldı"),"Bekleniyor - Nakliye/Montaj Tamamlanmadı")))</f>
        <v/>
      </c>
      <c r="Q874" s="28">
        <f>IF(A874="","",SUMIFS('Hakedis Fatura Detay'!$G$3:$G$1200,'Hakedis Fatura Detay'!$H$3:$H$1200,'DIVA Satislari'!AJ874,'Hakedis Fatura Detay'!$F$3:$F$1200,"Fiyat Farkı")+SUMIFS('Hakedis Fatura Detay'!$G$3:$G$1200,'Hakedis Fatura Detay'!$H$3:$H$1200,'DIVA Satislari'!AJ874,'Hakedis Fatura Detay'!$F$3:$F$1200,"Bundle"))</f>
        <v/>
      </c>
      <c r="R874" s="28">
        <f>IF(A874="","",I874-Q874)</f>
        <v/>
      </c>
      <c r="S874" s="26">
        <f>IF(A874="","",IF(LEFT(P874,7)="Bekleni","N/A - Henüz Ödenmemeli",IF(LEFT(P874,4)="RİSK","İNCELEME GEREKLİ - Süre Aşımı",IF(R874=0,"Doğru",IF(R874&gt;0,"EKSİK ÖDENMİŞ","FAZLA ÖDENMİŞ")))))</f>
        <v/>
      </c>
      <c r="T874" s="30">
        <f>IF(A874="","",IF(F874&lt;&gt;"Evet","İNCELEME GEREKLİ - Kampanya Tanımsız",IF(G874&lt;&gt;"Evet","İNCELEME GEREKLİ - Tarih Dışı Satış",IF(LEFT(P874,4)="RİSK","İNCELEME GEREKLİ - Hakediş Süresi Aşıldı",IF(OR(S874="EKSİK ÖDENMİŞ",S874="FAZLA ÖDENMİŞ"),"İNCELEME GEREKLİ - Tutar Uyuşmazlığı",IF(LEFT(P874,7)="Bekleni","Bekleniyor","Uygun"))))))</f>
        <v/>
      </c>
    </row>
    <row r="875">
      <c r="A875" s="26">
        <f>IF('DIVA Satislari'!I875="","",'DIVA Satislari'!I875)</f>
        <v/>
      </c>
      <c r="B875" s="26">
        <f>IF('DIVA Satislari'!I875="","",'DIVA Satislari'!R875)</f>
        <v/>
      </c>
      <c r="C875" s="26">
        <f>IF('DIVA Satislari'!I875="","",'DIVA Satislari'!M875)</f>
        <v/>
      </c>
      <c r="D875" s="27">
        <f>IF('DIVA Satislari'!I875="","",'DIVA Satislari'!H875)</f>
        <v/>
      </c>
      <c r="E875" s="26">
        <f>IF('DIVA Satislari'!I875="","",'DIVA Satislari'!O875)</f>
        <v/>
      </c>
      <c r="F875" s="26">
        <f>IF('DIVA Satislari'!I875="","",'DIVA Satislari'!AK875)</f>
        <v/>
      </c>
      <c r="G875" s="26">
        <f>IF('DIVA Satislari'!I875="","",'DIVA Satislari'!AO875)</f>
        <v/>
      </c>
      <c r="H875" s="27">
        <f>IF('DIVA Satislari'!I875="","",'DIVA Satislari'!AN875)</f>
        <v/>
      </c>
      <c r="I875" s="28">
        <f>IF('DIVA Satislari'!I875="","",'DIVA Satislari'!AQ875)</f>
        <v/>
      </c>
      <c r="J875" s="26">
        <f>IF('DIVA Satislari'!I875="","",'DIVA Satislari'!AR875)</f>
        <v/>
      </c>
      <c r="K875" s="26">
        <f>IF('DIVA Satislari'!I875="","",IFERROR(INDEX('E2E Nakliye Montaj'!$AS$3:$AS$1002,MATCH('DIVA Satislari'!AJ875,'E2E Nakliye Montaj'!$AM$3:$AM$1002,0)),"Eşleşme Yok"))</f>
        <v/>
      </c>
      <c r="L875" s="26">
        <f>IF('DIVA Satislari'!I875="","",IFERROR(INDEX('E2E Nakliye Montaj'!$AT$3:$AT$1002,MATCH('DIVA Satislari'!AJ875,'E2E Nakliye Montaj'!$AM$3:$AM$1002,0)),"Hayır"))</f>
        <v/>
      </c>
      <c r="M875" s="26">
        <f>IF('DIVA Satislari'!I875="","",IFERROR(INDEX('E2E Nakliye Montaj'!$AU$3:$AU$1002,MATCH('DIVA Satislari'!AJ875,'E2E Nakliye Montaj'!$AM$3:$AM$1002,0)),"Hayır"))</f>
        <v/>
      </c>
      <c r="N875" s="27">
        <f>IF('DIVA Satislari'!I875="","",IFERROR(INDEX('E2E Nakliye Montaj'!$AV$3:$AV$1002,MATCH('DIVA Satislari'!AJ875,'E2E Nakliye Montaj'!$AM$3:$AM$1002,0)),""))</f>
        <v/>
      </c>
      <c r="O875" s="26">
        <f>IF(OR(A875="",N875=""),"",IF(N875&lt;=H875,"Evet","HAYIR - RİSK"))</f>
        <v/>
      </c>
      <c r="P875" s="26">
        <f>IF(A875="","",IF(LEFT(J875,8)="Kural A ","Uygun - Hemen Ödenir (Yıl Sonu %75 Kontrolüne Tabi)",IF(OR(L875="Evet",M875="Evet"),IF(O875="Evet","Uygun","RİSK - Hakediş Süresi Aşıldı"),"Bekleniyor - Nakliye/Montaj Tamamlanmadı")))</f>
        <v/>
      </c>
      <c r="Q875" s="28">
        <f>IF(A875="","",SUMIFS('Hakedis Fatura Detay'!$G$3:$G$1200,'Hakedis Fatura Detay'!$H$3:$H$1200,'DIVA Satislari'!AJ875,'Hakedis Fatura Detay'!$F$3:$F$1200,"Fiyat Farkı")+SUMIFS('Hakedis Fatura Detay'!$G$3:$G$1200,'Hakedis Fatura Detay'!$H$3:$H$1200,'DIVA Satislari'!AJ875,'Hakedis Fatura Detay'!$F$3:$F$1200,"Bundle"))</f>
        <v/>
      </c>
      <c r="R875" s="28">
        <f>IF(A875="","",I875-Q875)</f>
        <v/>
      </c>
      <c r="S875" s="26">
        <f>IF(A875="","",IF(LEFT(P875,7)="Bekleni","N/A - Henüz Ödenmemeli",IF(LEFT(P875,4)="RİSK","İNCELEME GEREKLİ - Süre Aşımı",IF(R875=0,"Doğru",IF(R875&gt;0,"EKSİK ÖDENMİŞ","FAZLA ÖDENMİŞ")))))</f>
        <v/>
      </c>
      <c r="T875" s="30">
        <f>IF(A875="","",IF(F875&lt;&gt;"Evet","İNCELEME GEREKLİ - Kampanya Tanımsız",IF(G875&lt;&gt;"Evet","İNCELEME GEREKLİ - Tarih Dışı Satış",IF(LEFT(P875,4)="RİSK","İNCELEME GEREKLİ - Hakediş Süresi Aşıldı",IF(OR(S875="EKSİK ÖDENMİŞ",S875="FAZLA ÖDENMİŞ"),"İNCELEME GEREKLİ - Tutar Uyuşmazlığı",IF(LEFT(P875,7)="Bekleni","Bekleniyor","Uygun"))))))</f>
        <v/>
      </c>
    </row>
    <row r="876">
      <c r="A876" s="26">
        <f>IF('DIVA Satislari'!I876="","",'DIVA Satislari'!I876)</f>
        <v/>
      </c>
      <c r="B876" s="26">
        <f>IF('DIVA Satislari'!I876="","",'DIVA Satislari'!R876)</f>
        <v/>
      </c>
      <c r="C876" s="26">
        <f>IF('DIVA Satislari'!I876="","",'DIVA Satislari'!M876)</f>
        <v/>
      </c>
      <c r="D876" s="27">
        <f>IF('DIVA Satislari'!I876="","",'DIVA Satislari'!H876)</f>
        <v/>
      </c>
      <c r="E876" s="26">
        <f>IF('DIVA Satislari'!I876="","",'DIVA Satislari'!O876)</f>
        <v/>
      </c>
      <c r="F876" s="26">
        <f>IF('DIVA Satislari'!I876="","",'DIVA Satislari'!AK876)</f>
        <v/>
      </c>
      <c r="G876" s="26">
        <f>IF('DIVA Satislari'!I876="","",'DIVA Satislari'!AO876)</f>
        <v/>
      </c>
      <c r="H876" s="27">
        <f>IF('DIVA Satislari'!I876="","",'DIVA Satislari'!AN876)</f>
        <v/>
      </c>
      <c r="I876" s="28">
        <f>IF('DIVA Satislari'!I876="","",'DIVA Satislari'!AQ876)</f>
        <v/>
      </c>
      <c r="J876" s="26">
        <f>IF('DIVA Satislari'!I876="","",'DIVA Satislari'!AR876)</f>
        <v/>
      </c>
      <c r="K876" s="26">
        <f>IF('DIVA Satislari'!I876="","",IFERROR(INDEX('E2E Nakliye Montaj'!$AS$3:$AS$1002,MATCH('DIVA Satislari'!AJ876,'E2E Nakliye Montaj'!$AM$3:$AM$1002,0)),"Eşleşme Yok"))</f>
        <v/>
      </c>
      <c r="L876" s="26">
        <f>IF('DIVA Satislari'!I876="","",IFERROR(INDEX('E2E Nakliye Montaj'!$AT$3:$AT$1002,MATCH('DIVA Satislari'!AJ876,'E2E Nakliye Montaj'!$AM$3:$AM$1002,0)),"Hayır"))</f>
        <v/>
      </c>
      <c r="M876" s="26">
        <f>IF('DIVA Satislari'!I876="","",IFERROR(INDEX('E2E Nakliye Montaj'!$AU$3:$AU$1002,MATCH('DIVA Satislari'!AJ876,'E2E Nakliye Montaj'!$AM$3:$AM$1002,0)),"Hayır"))</f>
        <v/>
      </c>
      <c r="N876" s="27">
        <f>IF('DIVA Satislari'!I876="","",IFERROR(INDEX('E2E Nakliye Montaj'!$AV$3:$AV$1002,MATCH('DIVA Satislari'!AJ876,'E2E Nakliye Montaj'!$AM$3:$AM$1002,0)),""))</f>
        <v/>
      </c>
      <c r="O876" s="26">
        <f>IF(OR(A876="",N876=""),"",IF(N876&lt;=H876,"Evet","HAYIR - RİSK"))</f>
        <v/>
      </c>
      <c r="P876" s="26">
        <f>IF(A876="","",IF(LEFT(J876,8)="Kural A ","Uygun - Hemen Ödenir (Yıl Sonu %75 Kontrolüne Tabi)",IF(OR(L876="Evet",M876="Evet"),IF(O876="Evet","Uygun","RİSK - Hakediş Süresi Aşıldı"),"Bekleniyor - Nakliye/Montaj Tamamlanmadı")))</f>
        <v/>
      </c>
      <c r="Q876" s="28">
        <f>IF(A876="","",SUMIFS('Hakedis Fatura Detay'!$G$3:$G$1200,'Hakedis Fatura Detay'!$H$3:$H$1200,'DIVA Satislari'!AJ876,'Hakedis Fatura Detay'!$F$3:$F$1200,"Fiyat Farkı")+SUMIFS('Hakedis Fatura Detay'!$G$3:$G$1200,'Hakedis Fatura Detay'!$H$3:$H$1200,'DIVA Satislari'!AJ876,'Hakedis Fatura Detay'!$F$3:$F$1200,"Bundle"))</f>
        <v/>
      </c>
      <c r="R876" s="28">
        <f>IF(A876="","",I876-Q876)</f>
        <v/>
      </c>
      <c r="S876" s="26">
        <f>IF(A876="","",IF(LEFT(P876,7)="Bekleni","N/A - Henüz Ödenmemeli",IF(LEFT(P876,4)="RİSK","İNCELEME GEREKLİ - Süre Aşımı",IF(R876=0,"Doğru",IF(R876&gt;0,"EKSİK ÖDENMİŞ","FAZLA ÖDENMİŞ")))))</f>
        <v/>
      </c>
      <c r="T876" s="30">
        <f>IF(A876="","",IF(F876&lt;&gt;"Evet","İNCELEME GEREKLİ - Kampanya Tanımsız",IF(G876&lt;&gt;"Evet","İNCELEME GEREKLİ - Tarih Dışı Satış",IF(LEFT(P876,4)="RİSK","İNCELEME GEREKLİ - Hakediş Süresi Aşıldı",IF(OR(S876="EKSİK ÖDENMİŞ",S876="FAZLA ÖDENMİŞ"),"İNCELEME GEREKLİ - Tutar Uyuşmazlığı",IF(LEFT(P876,7)="Bekleni","Bekleniyor","Uygun"))))))</f>
        <v/>
      </c>
    </row>
    <row r="877">
      <c r="A877" s="26">
        <f>IF('DIVA Satislari'!I877="","",'DIVA Satislari'!I877)</f>
        <v/>
      </c>
      <c r="B877" s="26">
        <f>IF('DIVA Satislari'!I877="","",'DIVA Satislari'!R877)</f>
        <v/>
      </c>
      <c r="C877" s="26">
        <f>IF('DIVA Satislari'!I877="","",'DIVA Satislari'!M877)</f>
        <v/>
      </c>
      <c r="D877" s="27">
        <f>IF('DIVA Satislari'!I877="","",'DIVA Satislari'!H877)</f>
        <v/>
      </c>
      <c r="E877" s="26">
        <f>IF('DIVA Satislari'!I877="","",'DIVA Satislari'!O877)</f>
        <v/>
      </c>
      <c r="F877" s="26">
        <f>IF('DIVA Satislari'!I877="","",'DIVA Satislari'!AK877)</f>
        <v/>
      </c>
      <c r="G877" s="26">
        <f>IF('DIVA Satislari'!I877="","",'DIVA Satislari'!AO877)</f>
        <v/>
      </c>
      <c r="H877" s="27">
        <f>IF('DIVA Satislari'!I877="","",'DIVA Satislari'!AN877)</f>
        <v/>
      </c>
      <c r="I877" s="28">
        <f>IF('DIVA Satislari'!I877="","",'DIVA Satislari'!AQ877)</f>
        <v/>
      </c>
      <c r="J877" s="26">
        <f>IF('DIVA Satislari'!I877="","",'DIVA Satislari'!AR877)</f>
        <v/>
      </c>
      <c r="K877" s="26">
        <f>IF('DIVA Satislari'!I877="","",IFERROR(INDEX('E2E Nakliye Montaj'!$AS$3:$AS$1002,MATCH('DIVA Satislari'!AJ877,'E2E Nakliye Montaj'!$AM$3:$AM$1002,0)),"Eşleşme Yok"))</f>
        <v/>
      </c>
      <c r="L877" s="26">
        <f>IF('DIVA Satislari'!I877="","",IFERROR(INDEX('E2E Nakliye Montaj'!$AT$3:$AT$1002,MATCH('DIVA Satislari'!AJ877,'E2E Nakliye Montaj'!$AM$3:$AM$1002,0)),"Hayır"))</f>
        <v/>
      </c>
      <c r="M877" s="26">
        <f>IF('DIVA Satislari'!I877="","",IFERROR(INDEX('E2E Nakliye Montaj'!$AU$3:$AU$1002,MATCH('DIVA Satislari'!AJ877,'E2E Nakliye Montaj'!$AM$3:$AM$1002,0)),"Hayır"))</f>
        <v/>
      </c>
      <c r="N877" s="27">
        <f>IF('DIVA Satislari'!I877="","",IFERROR(INDEX('E2E Nakliye Montaj'!$AV$3:$AV$1002,MATCH('DIVA Satislari'!AJ877,'E2E Nakliye Montaj'!$AM$3:$AM$1002,0)),""))</f>
        <v/>
      </c>
      <c r="O877" s="26">
        <f>IF(OR(A877="",N877=""),"",IF(N877&lt;=H877,"Evet","HAYIR - RİSK"))</f>
        <v/>
      </c>
      <c r="P877" s="26">
        <f>IF(A877="","",IF(LEFT(J877,8)="Kural A ","Uygun - Hemen Ödenir (Yıl Sonu %75 Kontrolüne Tabi)",IF(OR(L877="Evet",M877="Evet"),IF(O877="Evet","Uygun","RİSK - Hakediş Süresi Aşıldı"),"Bekleniyor - Nakliye/Montaj Tamamlanmadı")))</f>
        <v/>
      </c>
      <c r="Q877" s="28">
        <f>IF(A877="","",SUMIFS('Hakedis Fatura Detay'!$G$3:$G$1200,'Hakedis Fatura Detay'!$H$3:$H$1200,'DIVA Satislari'!AJ877,'Hakedis Fatura Detay'!$F$3:$F$1200,"Fiyat Farkı")+SUMIFS('Hakedis Fatura Detay'!$G$3:$G$1200,'Hakedis Fatura Detay'!$H$3:$H$1200,'DIVA Satislari'!AJ877,'Hakedis Fatura Detay'!$F$3:$F$1200,"Bundle"))</f>
        <v/>
      </c>
      <c r="R877" s="28">
        <f>IF(A877="","",I877-Q877)</f>
        <v/>
      </c>
      <c r="S877" s="26">
        <f>IF(A877="","",IF(LEFT(P877,7)="Bekleni","N/A - Henüz Ödenmemeli",IF(LEFT(P877,4)="RİSK","İNCELEME GEREKLİ - Süre Aşımı",IF(R877=0,"Doğru",IF(R877&gt;0,"EKSİK ÖDENMİŞ","FAZLA ÖDENMİŞ")))))</f>
        <v/>
      </c>
      <c r="T877" s="30">
        <f>IF(A877="","",IF(F877&lt;&gt;"Evet","İNCELEME GEREKLİ - Kampanya Tanımsız",IF(G877&lt;&gt;"Evet","İNCELEME GEREKLİ - Tarih Dışı Satış",IF(LEFT(P877,4)="RİSK","İNCELEME GEREKLİ - Hakediş Süresi Aşıldı",IF(OR(S877="EKSİK ÖDENMİŞ",S877="FAZLA ÖDENMİŞ"),"İNCELEME GEREKLİ - Tutar Uyuşmazlığı",IF(LEFT(P877,7)="Bekleni","Bekleniyor","Uygun"))))))</f>
        <v/>
      </c>
    </row>
    <row r="878">
      <c r="A878" s="26">
        <f>IF('DIVA Satislari'!I878="","",'DIVA Satislari'!I878)</f>
        <v/>
      </c>
      <c r="B878" s="26">
        <f>IF('DIVA Satislari'!I878="","",'DIVA Satislari'!R878)</f>
        <v/>
      </c>
      <c r="C878" s="26">
        <f>IF('DIVA Satislari'!I878="","",'DIVA Satislari'!M878)</f>
        <v/>
      </c>
      <c r="D878" s="27">
        <f>IF('DIVA Satislari'!I878="","",'DIVA Satislari'!H878)</f>
        <v/>
      </c>
      <c r="E878" s="26">
        <f>IF('DIVA Satislari'!I878="","",'DIVA Satislari'!O878)</f>
        <v/>
      </c>
      <c r="F878" s="26">
        <f>IF('DIVA Satislari'!I878="","",'DIVA Satislari'!AK878)</f>
        <v/>
      </c>
      <c r="G878" s="26">
        <f>IF('DIVA Satislari'!I878="","",'DIVA Satislari'!AO878)</f>
        <v/>
      </c>
      <c r="H878" s="27">
        <f>IF('DIVA Satislari'!I878="","",'DIVA Satislari'!AN878)</f>
        <v/>
      </c>
      <c r="I878" s="28">
        <f>IF('DIVA Satislari'!I878="","",'DIVA Satislari'!AQ878)</f>
        <v/>
      </c>
      <c r="J878" s="26">
        <f>IF('DIVA Satislari'!I878="","",'DIVA Satislari'!AR878)</f>
        <v/>
      </c>
      <c r="K878" s="26">
        <f>IF('DIVA Satislari'!I878="","",IFERROR(INDEX('E2E Nakliye Montaj'!$AS$3:$AS$1002,MATCH('DIVA Satislari'!AJ878,'E2E Nakliye Montaj'!$AM$3:$AM$1002,0)),"Eşleşme Yok"))</f>
        <v/>
      </c>
      <c r="L878" s="26">
        <f>IF('DIVA Satislari'!I878="","",IFERROR(INDEX('E2E Nakliye Montaj'!$AT$3:$AT$1002,MATCH('DIVA Satislari'!AJ878,'E2E Nakliye Montaj'!$AM$3:$AM$1002,0)),"Hayır"))</f>
        <v/>
      </c>
      <c r="M878" s="26">
        <f>IF('DIVA Satislari'!I878="","",IFERROR(INDEX('E2E Nakliye Montaj'!$AU$3:$AU$1002,MATCH('DIVA Satislari'!AJ878,'E2E Nakliye Montaj'!$AM$3:$AM$1002,0)),"Hayır"))</f>
        <v/>
      </c>
      <c r="N878" s="27">
        <f>IF('DIVA Satislari'!I878="","",IFERROR(INDEX('E2E Nakliye Montaj'!$AV$3:$AV$1002,MATCH('DIVA Satislari'!AJ878,'E2E Nakliye Montaj'!$AM$3:$AM$1002,0)),""))</f>
        <v/>
      </c>
      <c r="O878" s="26">
        <f>IF(OR(A878="",N878=""),"",IF(N878&lt;=H878,"Evet","HAYIR - RİSK"))</f>
        <v/>
      </c>
      <c r="P878" s="26">
        <f>IF(A878="","",IF(LEFT(J878,8)="Kural A ","Uygun - Hemen Ödenir (Yıl Sonu %75 Kontrolüne Tabi)",IF(OR(L878="Evet",M878="Evet"),IF(O878="Evet","Uygun","RİSK - Hakediş Süresi Aşıldı"),"Bekleniyor - Nakliye/Montaj Tamamlanmadı")))</f>
        <v/>
      </c>
      <c r="Q878" s="28">
        <f>IF(A878="","",SUMIFS('Hakedis Fatura Detay'!$G$3:$G$1200,'Hakedis Fatura Detay'!$H$3:$H$1200,'DIVA Satislari'!AJ878,'Hakedis Fatura Detay'!$F$3:$F$1200,"Fiyat Farkı")+SUMIFS('Hakedis Fatura Detay'!$G$3:$G$1200,'Hakedis Fatura Detay'!$H$3:$H$1200,'DIVA Satislari'!AJ878,'Hakedis Fatura Detay'!$F$3:$F$1200,"Bundle"))</f>
        <v/>
      </c>
      <c r="R878" s="28">
        <f>IF(A878="","",I878-Q878)</f>
        <v/>
      </c>
      <c r="S878" s="26">
        <f>IF(A878="","",IF(LEFT(P878,7)="Bekleni","N/A - Henüz Ödenmemeli",IF(LEFT(P878,4)="RİSK","İNCELEME GEREKLİ - Süre Aşımı",IF(R878=0,"Doğru",IF(R878&gt;0,"EKSİK ÖDENMİŞ","FAZLA ÖDENMİŞ")))))</f>
        <v/>
      </c>
      <c r="T878" s="30">
        <f>IF(A878="","",IF(F878&lt;&gt;"Evet","İNCELEME GEREKLİ - Kampanya Tanımsız",IF(G878&lt;&gt;"Evet","İNCELEME GEREKLİ - Tarih Dışı Satış",IF(LEFT(P878,4)="RİSK","İNCELEME GEREKLİ - Hakediş Süresi Aşıldı",IF(OR(S878="EKSİK ÖDENMİŞ",S878="FAZLA ÖDENMİŞ"),"İNCELEME GEREKLİ - Tutar Uyuşmazlığı",IF(LEFT(P878,7)="Bekleni","Bekleniyor","Uygun"))))))</f>
        <v/>
      </c>
    </row>
    <row r="879">
      <c r="A879" s="26">
        <f>IF('DIVA Satislari'!I879="","",'DIVA Satislari'!I879)</f>
        <v/>
      </c>
      <c r="B879" s="26">
        <f>IF('DIVA Satislari'!I879="","",'DIVA Satislari'!R879)</f>
        <v/>
      </c>
      <c r="C879" s="26">
        <f>IF('DIVA Satislari'!I879="","",'DIVA Satislari'!M879)</f>
        <v/>
      </c>
      <c r="D879" s="27">
        <f>IF('DIVA Satislari'!I879="","",'DIVA Satislari'!H879)</f>
        <v/>
      </c>
      <c r="E879" s="26">
        <f>IF('DIVA Satislari'!I879="","",'DIVA Satislari'!O879)</f>
        <v/>
      </c>
      <c r="F879" s="26">
        <f>IF('DIVA Satislari'!I879="","",'DIVA Satislari'!AK879)</f>
        <v/>
      </c>
      <c r="G879" s="26">
        <f>IF('DIVA Satislari'!I879="","",'DIVA Satislari'!AO879)</f>
        <v/>
      </c>
      <c r="H879" s="27">
        <f>IF('DIVA Satislari'!I879="","",'DIVA Satislari'!AN879)</f>
        <v/>
      </c>
      <c r="I879" s="28">
        <f>IF('DIVA Satislari'!I879="","",'DIVA Satislari'!AQ879)</f>
        <v/>
      </c>
      <c r="J879" s="26">
        <f>IF('DIVA Satislari'!I879="","",'DIVA Satislari'!AR879)</f>
        <v/>
      </c>
      <c r="K879" s="26">
        <f>IF('DIVA Satislari'!I879="","",IFERROR(INDEX('E2E Nakliye Montaj'!$AS$3:$AS$1002,MATCH('DIVA Satislari'!AJ879,'E2E Nakliye Montaj'!$AM$3:$AM$1002,0)),"Eşleşme Yok"))</f>
        <v/>
      </c>
      <c r="L879" s="26">
        <f>IF('DIVA Satislari'!I879="","",IFERROR(INDEX('E2E Nakliye Montaj'!$AT$3:$AT$1002,MATCH('DIVA Satislari'!AJ879,'E2E Nakliye Montaj'!$AM$3:$AM$1002,0)),"Hayır"))</f>
        <v/>
      </c>
      <c r="M879" s="26">
        <f>IF('DIVA Satislari'!I879="","",IFERROR(INDEX('E2E Nakliye Montaj'!$AU$3:$AU$1002,MATCH('DIVA Satislari'!AJ879,'E2E Nakliye Montaj'!$AM$3:$AM$1002,0)),"Hayır"))</f>
        <v/>
      </c>
      <c r="N879" s="27">
        <f>IF('DIVA Satislari'!I879="","",IFERROR(INDEX('E2E Nakliye Montaj'!$AV$3:$AV$1002,MATCH('DIVA Satislari'!AJ879,'E2E Nakliye Montaj'!$AM$3:$AM$1002,0)),""))</f>
        <v/>
      </c>
      <c r="O879" s="26">
        <f>IF(OR(A879="",N879=""),"",IF(N879&lt;=H879,"Evet","HAYIR - RİSK"))</f>
        <v/>
      </c>
      <c r="P879" s="26">
        <f>IF(A879="","",IF(LEFT(J879,8)="Kural A ","Uygun - Hemen Ödenir (Yıl Sonu %75 Kontrolüne Tabi)",IF(OR(L879="Evet",M879="Evet"),IF(O879="Evet","Uygun","RİSK - Hakediş Süresi Aşıldı"),"Bekleniyor - Nakliye/Montaj Tamamlanmadı")))</f>
        <v/>
      </c>
      <c r="Q879" s="28">
        <f>IF(A879="","",SUMIFS('Hakedis Fatura Detay'!$G$3:$G$1200,'Hakedis Fatura Detay'!$H$3:$H$1200,'DIVA Satislari'!AJ879,'Hakedis Fatura Detay'!$F$3:$F$1200,"Fiyat Farkı")+SUMIFS('Hakedis Fatura Detay'!$G$3:$G$1200,'Hakedis Fatura Detay'!$H$3:$H$1200,'DIVA Satislari'!AJ879,'Hakedis Fatura Detay'!$F$3:$F$1200,"Bundle"))</f>
        <v/>
      </c>
      <c r="R879" s="28">
        <f>IF(A879="","",I879-Q879)</f>
        <v/>
      </c>
      <c r="S879" s="26">
        <f>IF(A879="","",IF(LEFT(P879,7)="Bekleni","N/A - Henüz Ödenmemeli",IF(LEFT(P879,4)="RİSK","İNCELEME GEREKLİ - Süre Aşımı",IF(R879=0,"Doğru",IF(R879&gt;0,"EKSİK ÖDENMİŞ","FAZLA ÖDENMİŞ")))))</f>
        <v/>
      </c>
      <c r="T879" s="30">
        <f>IF(A879="","",IF(F879&lt;&gt;"Evet","İNCELEME GEREKLİ - Kampanya Tanımsız",IF(G879&lt;&gt;"Evet","İNCELEME GEREKLİ - Tarih Dışı Satış",IF(LEFT(P879,4)="RİSK","İNCELEME GEREKLİ - Hakediş Süresi Aşıldı",IF(OR(S879="EKSİK ÖDENMİŞ",S879="FAZLA ÖDENMİŞ"),"İNCELEME GEREKLİ - Tutar Uyuşmazlığı",IF(LEFT(P879,7)="Bekleni","Bekleniyor","Uygun"))))))</f>
        <v/>
      </c>
    </row>
    <row r="880">
      <c r="A880" s="26">
        <f>IF('DIVA Satislari'!I880="","",'DIVA Satislari'!I880)</f>
        <v/>
      </c>
      <c r="B880" s="26">
        <f>IF('DIVA Satislari'!I880="","",'DIVA Satislari'!R880)</f>
        <v/>
      </c>
      <c r="C880" s="26">
        <f>IF('DIVA Satislari'!I880="","",'DIVA Satislari'!M880)</f>
        <v/>
      </c>
      <c r="D880" s="27">
        <f>IF('DIVA Satislari'!I880="","",'DIVA Satislari'!H880)</f>
        <v/>
      </c>
      <c r="E880" s="26">
        <f>IF('DIVA Satislari'!I880="","",'DIVA Satislari'!O880)</f>
        <v/>
      </c>
      <c r="F880" s="26">
        <f>IF('DIVA Satislari'!I880="","",'DIVA Satislari'!AK880)</f>
        <v/>
      </c>
      <c r="G880" s="26">
        <f>IF('DIVA Satislari'!I880="","",'DIVA Satislari'!AO880)</f>
        <v/>
      </c>
      <c r="H880" s="27">
        <f>IF('DIVA Satislari'!I880="","",'DIVA Satislari'!AN880)</f>
        <v/>
      </c>
      <c r="I880" s="28">
        <f>IF('DIVA Satislari'!I880="","",'DIVA Satislari'!AQ880)</f>
        <v/>
      </c>
      <c r="J880" s="26">
        <f>IF('DIVA Satislari'!I880="","",'DIVA Satislari'!AR880)</f>
        <v/>
      </c>
      <c r="K880" s="26">
        <f>IF('DIVA Satislari'!I880="","",IFERROR(INDEX('E2E Nakliye Montaj'!$AS$3:$AS$1002,MATCH('DIVA Satislari'!AJ880,'E2E Nakliye Montaj'!$AM$3:$AM$1002,0)),"Eşleşme Yok"))</f>
        <v/>
      </c>
      <c r="L880" s="26">
        <f>IF('DIVA Satislari'!I880="","",IFERROR(INDEX('E2E Nakliye Montaj'!$AT$3:$AT$1002,MATCH('DIVA Satislari'!AJ880,'E2E Nakliye Montaj'!$AM$3:$AM$1002,0)),"Hayır"))</f>
        <v/>
      </c>
      <c r="M880" s="26">
        <f>IF('DIVA Satislari'!I880="","",IFERROR(INDEX('E2E Nakliye Montaj'!$AU$3:$AU$1002,MATCH('DIVA Satislari'!AJ880,'E2E Nakliye Montaj'!$AM$3:$AM$1002,0)),"Hayır"))</f>
        <v/>
      </c>
      <c r="N880" s="27">
        <f>IF('DIVA Satislari'!I880="","",IFERROR(INDEX('E2E Nakliye Montaj'!$AV$3:$AV$1002,MATCH('DIVA Satislari'!AJ880,'E2E Nakliye Montaj'!$AM$3:$AM$1002,0)),""))</f>
        <v/>
      </c>
      <c r="O880" s="26">
        <f>IF(OR(A880="",N880=""),"",IF(N880&lt;=H880,"Evet","HAYIR - RİSK"))</f>
        <v/>
      </c>
      <c r="P880" s="26">
        <f>IF(A880="","",IF(LEFT(J880,8)="Kural A ","Uygun - Hemen Ödenir (Yıl Sonu %75 Kontrolüne Tabi)",IF(OR(L880="Evet",M880="Evet"),IF(O880="Evet","Uygun","RİSK - Hakediş Süresi Aşıldı"),"Bekleniyor - Nakliye/Montaj Tamamlanmadı")))</f>
        <v/>
      </c>
      <c r="Q880" s="28">
        <f>IF(A880="","",SUMIFS('Hakedis Fatura Detay'!$G$3:$G$1200,'Hakedis Fatura Detay'!$H$3:$H$1200,'DIVA Satislari'!AJ880,'Hakedis Fatura Detay'!$F$3:$F$1200,"Fiyat Farkı")+SUMIFS('Hakedis Fatura Detay'!$G$3:$G$1200,'Hakedis Fatura Detay'!$H$3:$H$1200,'DIVA Satislari'!AJ880,'Hakedis Fatura Detay'!$F$3:$F$1200,"Bundle"))</f>
        <v/>
      </c>
      <c r="R880" s="28">
        <f>IF(A880="","",I880-Q880)</f>
        <v/>
      </c>
      <c r="S880" s="26">
        <f>IF(A880="","",IF(LEFT(P880,7)="Bekleni","N/A - Henüz Ödenmemeli",IF(LEFT(P880,4)="RİSK","İNCELEME GEREKLİ - Süre Aşımı",IF(R880=0,"Doğru",IF(R880&gt;0,"EKSİK ÖDENMİŞ","FAZLA ÖDENMİŞ")))))</f>
        <v/>
      </c>
      <c r="T880" s="30">
        <f>IF(A880="","",IF(F880&lt;&gt;"Evet","İNCELEME GEREKLİ - Kampanya Tanımsız",IF(G880&lt;&gt;"Evet","İNCELEME GEREKLİ - Tarih Dışı Satış",IF(LEFT(P880,4)="RİSK","İNCELEME GEREKLİ - Hakediş Süresi Aşıldı",IF(OR(S880="EKSİK ÖDENMİŞ",S880="FAZLA ÖDENMİŞ"),"İNCELEME GEREKLİ - Tutar Uyuşmazlığı",IF(LEFT(P880,7)="Bekleni","Bekleniyor","Uygun"))))))</f>
        <v/>
      </c>
    </row>
    <row r="881">
      <c r="A881" s="26">
        <f>IF('DIVA Satislari'!I881="","",'DIVA Satislari'!I881)</f>
        <v/>
      </c>
      <c r="B881" s="26">
        <f>IF('DIVA Satislari'!I881="","",'DIVA Satislari'!R881)</f>
        <v/>
      </c>
      <c r="C881" s="26">
        <f>IF('DIVA Satislari'!I881="","",'DIVA Satislari'!M881)</f>
        <v/>
      </c>
      <c r="D881" s="27">
        <f>IF('DIVA Satislari'!I881="","",'DIVA Satislari'!H881)</f>
        <v/>
      </c>
      <c r="E881" s="26">
        <f>IF('DIVA Satislari'!I881="","",'DIVA Satislari'!O881)</f>
        <v/>
      </c>
      <c r="F881" s="26">
        <f>IF('DIVA Satislari'!I881="","",'DIVA Satislari'!AK881)</f>
        <v/>
      </c>
      <c r="G881" s="26">
        <f>IF('DIVA Satislari'!I881="","",'DIVA Satislari'!AO881)</f>
        <v/>
      </c>
      <c r="H881" s="27">
        <f>IF('DIVA Satislari'!I881="","",'DIVA Satislari'!AN881)</f>
        <v/>
      </c>
      <c r="I881" s="28">
        <f>IF('DIVA Satislari'!I881="","",'DIVA Satislari'!AQ881)</f>
        <v/>
      </c>
      <c r="J881" s="26">
        <f>IF('DIVA Satislari'!I881="","",'DIVA Satislari'!AR881)</f>
        <v/>
      </c>
      <c r="K881" s="26">
        <f>IF('DIVA Satislari'!I881="","",IFERROR(INDEX('E2E Nakliye Montaj'!$AS$3:$AS$1002,MATCH('DIVA Satislari'!AJ881,'E2E Nakliye Montaj'!$AM$3:$AM$1002,0)),"Eşleşme Yok"))</f>
        <v/>
      </c>
      <c r="L881" s="26">
        <f>IF('DIVA Satislari'!I881="","",IFERROR(INDEX('E2E Nakliye Montaj'!$AT$3:$AT$1002,MATCH('DIVA Satislari'!AJ881,'E2E Nakliye Montaj'!$AM$3:$AM$1002,0)),"Hayır"))</f>
        <v/>
      </c>
      <c r="M881" s="26">
        <f>IF('DIVA Satislari'!I881="","",IFERROR(INDEX('E2E Nakliye Montaj'!$AU$3:$AU$1002,MATCH('DIVA Satislari'!AJ881,'E2E Nakliye Montaj'!$AM$3:$AM$1002,0)),"Hayır"))</f>
        <v/>
      </c>
      <c r="N881" s="27">
        <f>IF('DIVA Satislari'!I881="","",IFERROR(INDEX('E2E Nakliye Montaj'!$AV$3:$AV$1002,MATCH('DIVA Satislari'!AJ881,'E2E Nakliye Montaj'!$AM$3:$AM$1002,0)),""))</f>
        <v/>
      </c>
      <c r="O881" s="26">
        <f>IF(OR(A881="",N881=""),"",IF(N881&lt;=H881,"Evet","HAYIR - RİSK"))</f>
        <v/>
      </c>
      <c r="P881" s="26">
        <f>IF(A881="","",IF(LEFT(J881,8)="Kural A ","Uygun - Hemen Ödenir (Yıl Sonu %75 Kontrolüne Tabi)",IF(OR(L881="Evet",M881="Evet"),IF(O881="Evet","Uygun","RİSK - Hakediş Süresi Aşıldı"),"Bekleniyor - Nakliye/Montaj Tamamlanmadı")))</f>
        <v/>
      </c>
      <c r="Q881" s="28">
        <f>IF(A881="","",SUMIFS('Hakedis Fatura Detay'!$G$3:$G$1200,'Hakedis Fatura Detay'!$H$3:$H$1200,'DIVA Satislari'!AJ881,'Hakedis Fatura Detay'!$F$3:$F$1200,"Fiyat Farkı")+SUMIFS('Hakedis Fatura Detay'!$G$3:$G$1200,'Hakedis Fatura Detay'!$H$3:$H$1200,'DIVA Satislari'!AJ881,'Hakedis Fatura Detay'!$F$3:$F$1200,"Bundle"))</f>
        <v/>
      </c>
      <c r="R881" s="28">
        <f>IF(A881="","",I881-Q881)</f>
        <v/>
      </c>
      <c r="S881" s="26">
        <f>IF(A881="","",IF(LEFT(P881,7)="Bekleni","N/A - Henüz Ödenmemeli",IF(LEFT(P881,4)="RİSK","İNCELEME GEREKLİ - Süre Aşımı",IF(R881=0,"Doğru",IF(R881&gt;0,"EKSİK ÖDENMİŞ","FAZLA ÖDENMİŞ")))))</f>
        <v/>
      </c>
      <c r="T881" s="30">
        <f>IF(A881="","",IF(F881&lt;&gt;"Evet","İNCELEME GEREKLİ - Kampanya Tanımsız",IF(G881&lt;&gt;"Evet","İNCELEME GEREKLİ - Tarih Dışı Satış",IF(LEFT(P881,4)="RİSK","İNCELEME GEREKLİ - Hakediş Süresi Aşıldı",IF(OR(S881="EKSİK ÖDENMİŞ",S881="FAZLA ÖDENMİŞ"),"İNCELEME GEREKLİ - Tutar Uyuşmazlığı",IF(LEFT(P881,7)="Bekleni","Bekleniyor","Uygun"))))))</f>
        <v/>
      </c>
    </row>
    <row r="882">
      <c r="A882" s="26">
        <f>IF('DIVA Satislari'!I882="","",'DIVA Satislari'!I882)</f>
        <v/>
      </c>
      <c r="B882" s="26">
        <f>IF('DIVA Satislari'!I882="","",'DIVA Satislari'!R882)</f>
        <v/>
      </c>
      <c r="C882" s="26">
        <f>IF('DIVA Satislari'!I882="","",'DIVA Satislari'!M882)</f>
        <v/>
      </c>
      <c r="D882" s="27">
        <f>IF('DIVA Satislari'!I882="","",'DIVA Satislari'!H882)</f>
        <v/>
      </c>
      <c r="E882" s="26">
        <f>IF('DIVA Satislari'!I882="","",'DIVA Satislari'!O882)</f>
        <v/>
      </c>
      <c r="F882" s="26">
        <f>IF('DIVA Satislari'!I882="","",'DIVA Satislari'!AK882)</f>
        <v/>
      </c>
      <c r="G882" s="26">
        <f>IF('DIVA Satislari'!I882="","",'DIVA Satislari'!AO882)</f>
        <v/>
      </c>
      <c r="H882" s="27">
        <f>IF('DIVA Satislari'!I882="","",'DIVA Satislari'!AN882)</f>
        <v/>
      </c>
      <c r="I882" s="28">
        <f>IF('DIVA Satislari'!I882="","",'DIVA Satislari'!AQ882)</f>
        <v/>
      </c>
      <c r="J882" s="26">
        <f>IF('DIVA Satislari'!I882="","",'DIVA Satislari'!AR882)</f>
        <v/>
      </c>
      <c r="K882" s="26">
        <f>IF('DIVA Satislari'!I882="","",IFERROR(INDEX('E2E Nakliye Montaj'!$AS$3:$AS$1002,MATCH('DIVA Satislari'!AJ882,'E2E Nakliye Montaj'!$AM$3:$AM$1002,0)),"Eşleşme Yok"))</f>
        <v/>
      </c>
      <c r="L882" s="26">
        <f>IF('DIVA Satislari'!I882="","",IFERROR(INDEX('E2E Nakliye Montaj'!$AT$3:$AT$1002,MATCH('DIVA Satislari'!AJ882,'E2E Nakliye Montaj'!$AM$3:$AM$1002,0)),"Hayır"))</f>
        <v/>
      </c>
      <c r="M882" s="26">
        <f>IF('DIVA Satislari'!I882="","",IFERROR(INDEX('E2E Nakliye Montaj'!$AU$3:$AU$1002,MATCH('DIVA Satislari'!AJ882,'E2E Nakliye Montaj'!$AM$3:$AM$1002,0)),"Hayır"))</f>
        <v/>
      </c>
      <c r="N882" s="27">
        <f>IF('DIVA Satislari'!I882="","",IFERROR(INDEX('E2E Nakliye Montaj'!$AV$3:$AV$1002,MATCH('DIVA Satislari'!AJ882,'E2E Nakliye Montaj'!$AM$3:$AM$1002,0)),""))</f>
        <v/>
      </c>
      <c r="O882" s="26">
        <f>IF(OR(A882="",N882=""),"",IF(N882&lt;=H882,"Evet","HAYIR - RİSK"))</f>
        <v/>
      </c>
      <c r="P882" s="26">
        <f>IF(A882="","",IF(LEFT(J882,8)="Kural A ","Uygun - Hemen Ödenir (Yıl Sonu %75 Kontrolüne Tabi)",IF(OR(L882="Evet",M882="Evet"),IF(O882="Evet","Uygun","RİSK - Hakediş Süresi Aşıldı"),"Bekleniyor - Nakliye/Montaj Tamamlanmadı")))</f>
        <v/>
      </c>
      <c r="Q882" s="28">
        <f>IF(A882="","",SUMIFS('Hakedis Fatura Detay'!$G$3:$G$1200,'Hakedis Fatura Detay'!$H$3:$H$1200,'DIVA Satislari'!AJ882,'Hakedis Fatura Detay'!$F$3:$F$1200,"Fiyat Farkı")+SUMIFS('Hakedis Fatura Detay'!$G$3:$G$1200,'Hakedis Fatura Detay'!$H$3:$H$1200,'DIVA Satislari'!AJ882,'Hakedis Fatura Detay'!$F$3:$F$1200,"Bundle"))</f>
        <v/>
      </c>
      <c r="R882" s="28">
        <f>IF(A882="","",I882-Q882)</f>
        <v/>
      </c>
      <c r="S882" s="26">
        <f>IF(A882="","",IF(LEFT(P882,7)="Bekleni","N/A - Henüz Ödenmemeli",IF(LEFT(P882,4)="RİSK","İNCELEME GEREKLİ - Süre Aşımı",IF(R882=0,"Doğru",IF(R882&gt;0,"EKSİK ÖDENMİŞ","FAZLA ÖDENMİŞ")))))</f>
        <v/>
      </c>
      <c r="T882" s="30">
        <f>IF(A882="","",IF(F882&lt;&gt;"Evet","İNCELEME GEREKLİ - Kampanya Tanımsız",IF(G882&lt;&gt;"Evet","İNCELEME GEREKLİ - Tarih Dışı Satış",IF(LEFT(P882,4)="RİSK","İNCELEME GEREKLİ - Hakediş Süresi Aşıldı",IF(OR(S882="EKSİK ÖDENMİŞ",S882="FAZLA ÖDENMİŞ"),"İNCELEME GEREKLİ - Tutar Uyuşmazlığı",IF(LEFT(P882,7)="Bekleni","Bekleniyor","Uygun"))))))</f>
        <v/>
      </c>
    </row>
    <row r="883">
      <c r="A883" s="26">
        <f>IF('DIVA Satislari'!I883="","",'DIVA Satislari'!I883)</f>
        <v/>
      </c>
      <c r="B883" s="26">
        <f>IF('DIVA Satislari'!I883="","",'DIVA Satislari'!R883)</f>
        <v/>
      </c>
      <c r="C883" s="26">
        <f>IF('DIVA Satislari'!I883="","",'DIVA Satislari'!M883)</f>
        <v/>
      </c>
      <c r="D883" s="27">
        <f>IF('DIVA Satislari'!I883="","",'DIVA Satislari'!H883)</f>
        <v/>
      </c>
      <c r="E883" s="26">
        <f>IF('DIVA Satislari'!I883="","",'DIVA Satislari'!O883)</f>
        <v/>
      </c>
      <c r="F883" s="26">
        <f>IF('DIVA Satislari'!I883="","",'DIVA Satislari'!AK883)</f>
        <v/>
      </c>
      <c r="G883" s="26">
        <f>IF('DIVA Satislari'!I883="","",'DIVA Satislari'!AO883)</f>
        <v/>
      </c>
      <c r="H883" s="27">
        <f>IF('DIVA Satislari'!I883="","",'DIVA Satislari'!AN883)</f>
        <v/>
      </c>
      <c r="I883" s="28">
        <f>IF('DIVA Satislari'!I883="","",'DIVA Satislari'!AQ883)</f>
        <v/>
      </c>
      <c r="J883" s="26">
        <f>IF('DIVA Satislari'!I883="","",'DIVA Satislari'!AR883)</f>
        <v/>
      </c>
      <c r="K883" s="26">
        <f>IF('DIVA Satislari'!I883="","",IFERROR(INDEX('E2E Nakliye Montaj'!$AS$3:$AS$1002,MATCH('DIVA Satislari'!AJ883,'E2E Nakliye Montaj'!$AM$3:$AM$1002,0)),"Eşleşme Yok"))</f>
        <v/>
      </c>
      <c r="L883" s="26">
        <f>IF('DIVA Satislari'!I883="","",IFERROR(INDEX('E2E Nakliye Montaj'!$AT$3:$AT$1002,MATCH('DIVA Satislari'!AJ883,'E2E Nakliye Montaj'!$AM$3:$AM$1002,0)),"Hayır"))</f>
        <v/>
      </c>
      <c r="M883" s="26">
        <f>IF('DIVA Satislari'!I883="","",IFERROR(INDEX('E2E Nakliye Montaj'!$AU$3:$AU$1002,MATCH('DIVA Satislari'!AJ883,'E2E Nakliye Montaj'!$AM$3:$AM$1002,0)),"Hayır"))</f>
        <v/>
      </c>
      <c r="N883" s="27">
        <f>IF('DIVA Satislari'!I883="","",IFERROR(INDEX('E2E Nakliye Montaj'!$AV$3:$AV$1002,MATCH('DIVA Satislari'!AJ883,'E2E Nakliye Montaj'!$AM$3:$AM$1002,0)),""))</f>
        <v/>
      </c>
      <c r="O883" s="26">
        <f>IF(OR(A883="",N883=""),"",IF(N883&lt;=H883,"Evet","HAYIR - RİSK"))</f>
        <v/>
      </c>
      <c r="P883" s="26">
        <f>IF(A883="","",IF(LEFT(J883,8)="Kural A ","Uygun - Hemen Ödenir (Yıl Sonu %75 Kontrolüne Tabi)",IF(OR(L883="Evet",M883="Evet"),IF(O883="Evet","Uygun","RİSK - Hakediş Süresi Aşıldı"),"Bekleniyor - Nakliye/Montaj Tamamlanmadı")))</f>
        <v/>
      </c>
      <c r="Q883" s="28">
        <f>IF(A883="","",SUMIFS('Hakedis Fatura Detay'!$G$3:$G$1200,'Hakedis Fatura Detay'!$H$3:$H$1200,'DIVA Satislari'!AJ883,'Hakedis Fatura Detay'!$F$3:$F$1200,"Fiyat Farkı")+SUMIFS('Hakedis Fatura Detay'!$G$3:$G$1200,'Hakedis Fatura Detay'!$H$3:$H$1200,'DIVA Satislari'!AJ883,'Hakedis Fatura Detay'!$F$3:$F$1200,"Bundle"))</f>
        <v/>
      </c>
      <c r="R883" s="28">
        <f>IF(A883="","",I883-Q883)</f>
        <v/>
      </c>
      <c r="S883" s="26">
        <f>IF(A883="","",IF(LEFT(P883,7)="Bekleni","N/A - Henüz Ödenmemeli",IF(LEFT(P883,4)="RİSK","İNCELEME GEREKLİ - Süre Aşımı",IF(R883=0,"Doğru",IF(R883&gt;0,"EKSİK ÖDENMİŞ","FAZLA ÖDENMİŞ")))))</f>
        <v/>
      </c>
      <c r="T883" s="30">
        <f>IF(A883="","",IF(F883&lt;&gt;"Evet","İNCELEME GEREKLİ - Kampanya Tanımsız",IF(G883&lt;&gt;"Evet","İNCELEME GEREKLİ - Tarih Dışı Satış",IF(LEFT(P883,4)="RİSK","İNCELEME GEREKLİ - Hakediş Süresi Aşıldı",IF(OR(S883="EKSİK ÖDENMİŞ",S883="FAZLA ÖDENMİŞ"),"İNCELEME GEREKLİ - Tutar Uyuşmazlığı",IF(LEFT(P883,7)="Bekleni","Bekleniyor","Uygun"))))))</f>
        <v/>
      </c>
    </row>
    <row r="884">
      <c r="A884" s="26">
        <f>IF('DIVA Satislari'!I884="","",'DIVA Satislari'!I884)</f>
        <v/>
      </c>
      <c r="B884" s="26">
        <f>IF('DIVA Satislari'!I884="","",'DIVA Satislari'!R884)</f>
        <v/>
      </c>
      <c r="C884" s="26">
        <f>IF('DIVA Satislari'!I884="","",'DIVA Satislari'!M884)</f>
        <v/>
      </c>
      <c r="D884" s="27">
        <f>IF('DIVA Satislari'!I884="","",'DIVA Satislari'!H884)</f>
        <v/>
      </c>
      <c r="E884" s="26">
        <f>IF('DIVA Satislari'!I884="","",'DIVA Satislari'!O884)</f>
        <v/>
      </c>
      <c r="F884" s="26">
        <f>IF('DIVA Satislari'!I884="","",'DIVA Satislari'!AK884)</f>
        <v/>
      </c>
      <c r="G884" s="26">
        <f>IF('DIVA Satislari'!I884="","",'DIVA Satislari'!AO884)</f>
        <v/>
      </c>
      <c r="H884" s="27">
        <f>IF('DIVA Satislari'!I884="","",'DIVA Satislari'!AN884)</f>
        <v/>
      </c>
      <c r="I884" s="28">
        <f>IF('DIVA Satislari'!I884="","",'DIVA Satislari'!AQ884)</f>
        <v/>
      </c>
      <c r="J884" s="26">
        <f>IF('DIVA Satislari'!I884="","",'DIVA Satislari'!AR884)</f>
        <v/>
      </c>
      <c r="K884" s="26">
        <f>IF('DIVA Satislari'!I884="","",IFERROR(INDEX('E2E Nakliye Montaj'!$AS$3:$AS$1002,MATCH('DIVA Satislari'!AJ884,'E2E Nakliye Montaj'!$AM$3:$AM$1002,0)),"Eşleşme Yok"))</f>
        <v/>
      </c>
      <c r="L884" s="26">
        <f>IF('DIVA Satislari'!I884="","",IFERROR(INDEX('E2E Nakliye Montaj'!$AT$3:$AT$1002,MATCH('DIVA Satislari'!AJ884,'E2E Nakliye Montaj'!$AM$3:$AM$1002,0)),"Hayır"))</f>
        <v/>
      </c>
      <c r="M884" s="26">
        <f>IF('DIVA Satislari'!I884="","",IFERROR(INDEX('E2E Nakliye Montaj'!$AU$3:$AU$1002,MATCH('DIVA Satislari'!AJ884,'E2E Nakliye Montaj'!$AM$3:$AM$1002,0)),"Hayır"))</f>
        <v/>
      </c>
      <c r="N884" s="27">
        <f>IF('DIVA Satislari'!I884="","",IFERROR(INDEX('E2E Nakliye Montaj'!$AV$3:$AV$1002,MATCH('DIVA Satislari'!AJ884,'E2E Nakliye Montaj'!$AM$3:$AM$1002,0)),""))</f>
        <v/>
      </c>
      <c r="O884" s="26">
        <f>IF(OR(A884="",N884=""),"",IF(N884&lt;=H884,"Evet","HAYIR - RİSK"))</f>
        <v/>
      </c>
      <c r="P884" s="26">
        <f>IF(A884="","",IF(LEFT(J884,8)="Kural A ","Uygun - Hemen Ödenir (Yıl Sonu %75 Kontrolüne Tabi)",IF(OR(L884="Evet",M884="Evet"),IF(O884="Evet","Uygun","RİSK - Hakediş Süresi Aşıldı"),"Bekleniyor - Nakliye/Montaj Tamamlanmadı")))</f>
        <v/>
      </c>
      <c r="Q884" s="28">
        <f>IF(A884="","",SUMIFS('Hakedis Fatura Detay'!$G$3:$G$1200,'Hakedis Fatura Detay'!$H$3:$H$1200,'DIVA Satislari'!AJ884,'Hakedis Fatura Detay'!$F$3:$F$1200,"Fiyat Farkı")+SUMIFS('Hakedis Fatura Detay'!$G$3:$G$1200,'Hakedis Fatura Detay'!$H$3:$H$1200,'DIVA Satislari'!AJ884,'Hakedis Fatura Detay'!$F$3:$F$1200,"Bundle"))</f>
        <v/>
      </c>
      <c r="R884" s="28">
        <f>IF(A884="","",I884-Q884)</f>
        <v/>
      </c>
      <c r="S884" s="26">
        <f>IF(A884="","",IF(LEFT(P884,7)="Bekleni","N/A - Henüz Ödenmemeli",IF(LEFT(P884,4)="RİSK","İNCELEME GEREKLİ - Süre Aşımı",IF(R884=0,"Doğru",IF(R884&gt;0,"EKSİK ÖDENMİŞ","FAZLA ÖDENMİŞ")))))</f>
        <v/>
      </c>
      <c r="T884" s="30">
        <f>IF(A884="","",IF(F884&lt;&gt;"Evet","İNCELEME GEREKLİ - Kampanya Tanımsız",IF(G884&lt;&gt;"Evet","İNCELEME GEREKLİ - Tarih Dışı Satış",IF(LEFT(P884,4)="RİSK","İNCELEME GEREKLİ - Hakediş Süresi Aşıldı",IF(OR(S884="EKSİK ÖDENMİŞ",S884="FAZLA ÖDENMİŞ"),"İNCELEME GEREKLİ - Tutar Uyuşmazlığı",IF(LEFT(P884,7)="Bekleni","Bekleniyor","Uygun"))))))</f>
        <v/>
      </c>
    </row>
    <row r="885">
      <c r="A885" s="26">
        <f>IF('DIVA Satislari'!I885="","",'DIVA Satislari'!I885)</f>
        <v/>
      </c>
      <c r="B885" s="26">
        <f>IF('DIVA Satislari'!I885="","",'DIVA Satislari'!R885)</f>
        <v/>
      </c>
      <c r="C885" s="26">
        <f>IF('DIVA Satislari'!I885="","",'DIVA Satislari'!M885)</f>
        <v/>
      </c>
      <c r="D885" s="27">
        <f>IF('DIVA Satislari'!I885="","",'DIVA Satislari'!H885)</f>
        <v/>
      </c>
      <c r="E885" s="26">
        <f>IF('DIVA Satislari'!I885="","",'DIVA Satislari'!O885)</f>
        <v/>
      </c>
      <c r="F885" s="26">
        <f>IF('DIVA Satislari'!I885="","",'DIVA Satislari'!AK885)</f>
        <v/>
      </c>
      <c r="G885" s="26">
        <f>IF('DIVA Satislari'!I885="","",'DIVA Satislari'!AO885)</f>
        <v/>
      </c>
      <c r="H885" s="27">
        <f>IF('DIVA Satislari'!I885="","",'DIVA Satislari'!AN885)</f>
        <v/>
      </c>
      <c r="I885" s="28">
        <f>IF('DIVA Satislari'!I885="","",'DIVA Satislari'!AQ885)</f>
        <v/>
      </c>
      <c r="J885" s="26">
        <f>IF('DIVA Satislari'!I885="","",'DIVA Satislari'!AR885)</f>
        <v/>
      </c>
      <c r="K885" s="26">
        <f>IF('DIVA Satislari'!I885="","",IFERROR(INDEX('E2E Nakliye Montaj'!$AS$3:$AS$1002,MATCH('DIVA Satislari'!AJ885,'E2E Nakliye Montaj'!$AM$3:$AM$1002,0)),"Eşleşme Yok"))</f>
        <v/>
      </c>
      <c r="L885" s="26">
        <f>IF('DIVA Satislari'!I885="","",IFERROR(INDEX('E2E Nakliye Montaj'!$AT$3:$AT$1002,MATCH('DIVA Satislari'!AJ885,'E2E Nakliye Montaj'!$AM$3:$AM$1002,0)),"Hayır"))</f>
        <v/>
      </c>
      <c r="M885" s="26">
        <f>IF('DIVA Satislari'!I885="","",IFERROR(INDEX('E2E Nakliye Montaj'!$AU$3:$AU$1002,MATCH('DIVA Satislari'!AJ885,'E2E Nakliye Montaj'!$AM$3:$AM$1002,0)),"Hayır"))</f>
        <v/>
      </c>
      <c r="N885" s="27">
        <f>IF('DIVA Satislari'!I885="","",IFERROR(INDEX('E2E Nakliye Montaj'!$AV$3:$AV$1002,MATCH('DIVA Satislari'!AJ885,'E2E Nakliye Montaj'!$AM$3:$AM$1002,0)),""))</f>
        <v/>
      </c>
      <c r="O885" s="26">
        <f>IF(OR(A885="",N885=""),"",IF(N885&lt;=H885,"Evet","HAYIR - RİSK"))</f>
        <v/>
      </c>
      <c r="P885" s="26">
        <f>IF(A885="","",IF(LEFT(J885,8)="Kural A ","Uygun - Hemen Ödenir (Yıl Sonu %75 Kontrolüne Tabi)",IF(OR(L885="Evet",M885="Evet"),IF(O885="Evet","Uygun","RİSK - Hakediş Süresi Aşıldı"),"Bekleniyor - Nakliye/Montaj Tamamlanmadı")))</f>
        <v/>
      </c>
      <c r="Q885" s="28">
        <f>IF(A885="","",SUMIFS('Hakedis Fatura Detay'!$G$3:$G$1200,'Hakedis Fatura Detay'!$H$3:$H$1200,'DIVA Satislari'!AJ885,'Hakedis Fatura Detay'!$F$3:$F$1200,"Fiyat Farkı")+SUMIFS('Hakedis Fatura Detay'!$G$3:$G$1200,'Hakedis Fatura Detay'!$H$3:$H$1200,'DIVA Satislari'!AJ885,'Hakedis Fatura Detay'!$F$3:$F$1200,"Bundle"))</f>
        <v/>
      </c>
      <c r="R885" s="28">
        <f>IF(A885="","",I885-Q885)</f>
        <v/>
      </c>
      <c r="S885" s="26">
        <f>IF(A885="","",IF(LEFT(P885,7)="Bekleni","N/A - Henüz Ödenmemeli",IF(LEFT(P885,4)="RİSK","İNCELEME GEREKLİ - Süre Aşımı",IF(R885=0,"Doğru",IF(R885&gt;0,"EKSİK ÖDENMİŞ","FAZLA ÖDENMİŞ")))))</f>
        <v/>
      </c>
      <c r="T885" s="30">
        <f>IF(A885="","",IF(F885&lt;&gt;"Evet","İNCELEME GEREKLİ - Kampanya Tanımsız",IF(G885&lt;&gt;"Evet","İNCELEME GEREKLİ - Tarih Dışı Satış",IF(LEFT(P885,4)="RİSK","İNCELEME GEREKLİ - Hakediş Süresi Aşıldı",IF(OR(S885="EKSİK ÖDENMİŞ",S885="FAZLA ÖDENMİŞ"),"İNCELEME GEREKLİ - Tutar Uyuşmazlığı",IF(LEFT(P885,7)="Bekleni","Bekleniyor","Uygun"))))))</f>
        <v/>
      </c>
    </row>
    <row r="886">
      <c r="A886" s="26">
        <f>IF('DIVA Satislari'!I886="","",'DIVA Satislari'!I886)</f>
        <v/>
      </c>
      <c r="B886" s="26">
        <f>IF('DIVA Satislari'!I886="","",'DIVA Satislari'!R886)</f>
        <v/>
      </c>
      <c r="C886" s="26">
        <f>IF('DIVA Satislari'!I886="","",'DIVA Satislari'!M886)</f>
        <v/>
      </c>
      <c r="D886" s="27">
        <f>IF('DIVA Satislari'!I886="","",'DIVA Satislari'!H886)</f>
        <v/>
      </c>
      <c r="E886" s="26">
        <f>IF('DIVA Satislari'!I886="","",'DIVA Satislari'!O886)</f>
        <v/>
      </c>
      <c r="F886" s="26">
        <f>IF('DIVA Satislari'!I886="","",'DIVA Satislari'!AK886)</f>
        <v/>
      </c>
      <c r="G886" s="26">
        <f>IF('DIVA Satislari'!I886="","",'DIVA Satislari'!AO886)</f>
        <v/>
      </c>
      <c r="H886" s="27">
        <f>IF('DIVA Satislari'!I886="","",'DIVA Satislari'!AN886)</f>
        <v/>
      </c>
      <c r="I886" s="28">
        <f>IF('DIVA Satislari'!I886="","",'DIVA Satislari'!AQ886)</f>
        <v/>
      </c>
      <c r="J886" s="26">
        <f>IF('DIVA Satislari'!I886="","",'DIVA Satislari'!AR886)</f>
        <v/>
      </c>
      <c r="K886" s="26">
        <f>IF('DIVA Satislari'!I886="","",IFERROR(INDEX('E2E Nakliye Montaj'!$AS$3:$AS$1002,MATCH('DIVA Satislari'!AJ886,'E2E Nakliye Montaj'!$AM$3:$AM$1002,0)),"Eşleşme Yok"))</f>
        <v/>
      </c>
      <c r="L886" s="26">
        <f>IF('DIVA Satislari'!I886="","",IFERROR(INDEX('E2E Nakliye Montaj'!$AT$3:$AT$1002,MATCH('DIVA Satislari'!AJ886,'E2E Nakliye Montaj'!$AM$3:$AM$1002,0)),"Hayır"))</f>
        <v/>
      </c>
      <c r="M886" s="26">
        <f>IF('DIVA Satislari'!I886="","",IFERROR(INDEX('E2E Nakliye Montaj'!$AU$3:$AU$1002,MATCH('DIVA Satislari'!AJ886,'E2E Nakliye Montaj'!$AM$3:$AM$1002,0)),"Hayır"))</f>
        <v/>
      </c>
      <c r="N886" s="27">
        <f>IF('DIVA Satislari'!I886="","",IFERROR(INDEX('E2E Nakliye Montaj'!$AV$3:$AV$1002,MATCH('DIVA Satislari'!AJ886,'E2E Nakliye Montaj'!$AM$3:$AM$1002,0)),""))</f>
        <v/>
      </c>
      <c r="O886" s="26">
        <f>IF(OR(A886="",N886=""),"",IF(N886&lt;=H886,"Evet","HAYIR - RİSK"))</f>
        <v/>
      </c>
      <c r="P886" s="26">
        <f>IF(A886="","",IF(LEFT(J886,8)="Kural A ","Uygun - Hemen Ödenir (Yıl Sonu %75 Kontrolüne Tabi)",IF(OR(L886="Evet",M886="Evet"),IF(O886="Evet","Uygun","RİSK - Hakediş Süresi Aşıldı"),"Bekleniyor - Nakliye/Montaj Tamamlanmadı")))</f>
        <v/>
      </c>
      <c r="Q886" s="28">
        <f>IF(A886="","",SUMIFS('Hakedis Fatura Detay'!$G$3:$G$1200,'Hakedis Fatura Detay'!$H$3:$H$1200,'DIVA Satislari'!AJ886,'Hakedis Fatura Detay'!$F$3:$F$1200,"Fiyat Farkı")+SUMIFS('Hakedis Fatura Detay'!$G$3:$G$1200,'Hakedis Fatura Detay'!$H$3:$H$1200,'DIVA Satislari'!AJ886,'Hakedis Fatura Detay'!$F$3:$F$1200,"Bundle"))</f>
        <v/>
      </c>
      <c r="R886" s="28">
        <f>IF(A886="","",I886-Q886)</f>
        <v/>
      </c>
      <c r="S886" s="26">
        <f>IF(A886="","",IF(LEFT(P886,7)="Bekleni","N/A - Henüz Ödenmemeli",IF(LEFT(P886,4)="RİSK","İNCELEME GEREKLİ - Süre Aşımı",IF(R886=0,"Doğru",IF(R886&gt;0,"EKSİK ÖDENMİŞ","FAZLA ÖDENMİŞ")))))</f>
        <v/>
      </c>
      <c r="T886" s="30">
        <f>IF(A886="","",IF(F886&lt;&gt;"Evet","İNCELEME GEREKLİ - Kampanya Tanımsız",IF(G886&lt;&gt;"Evet","İNCELEME GEREKLİ - Tarih Dışı Satış",IF(LEFT(P886,4)="RİSK","İNCELEME GEREKLİ - Hakediş Süresi Aşıldı",IF(OR(S886="EKSİK ÖDENMİŞ",S886="FAZLA ÖDENMİŞ"),"İNCELEME GEREKLİ - Tutar Uyuşmazlığı",IF(LEFT(P886,7)="Bekleni","Bekleniyor","Uygun"))))))</f>
        <v/>
      </c>
    </row>
    <row r="887">
      <c r="A887" s="26">
        <f>IF('DIVA Satislari'!I887="","",'DIVA Satislari'!I887)</f>
        <v/>
      </c>
      <c r="B887" s="26">
        <f>IF('DIVA Satislari'!I887="","",'DIVA Satislari'!R887)</f>
        <v/>
      </c>
      <c r="C887" s="26">
        <f>IF('DIVA Satislari'!I887="","",'DIVA Satislari'!M887)</f>
        <v/>
      </c>
      <c r="D887" s="27">
        <f>IF('DIVA Satislari'!I887="","",'DIVA Satislari'!H887)</f>
        <v/>
      </c>
      <c r="E887" s="26">
        <f>IF('DIVA Satislari'!I887="","",'DIVA Satislari'!O887)</f>
        <v/>
      </c>
      <c r="F887" s="26">
        <f>IF('DIVA Satislari'!I887="","",'DIVA Satislari'!AK887)</f>
        <v/>
      </c>
      <c r="G887" s="26">
        <f>IF('DIVA Satislari'!I887="","",'DIVA Satislari'!AO887)</f>
        <v/>
      </c>
      <c r="H887" s="27">
        <f>IF('DIVA Satislari'!I887="","",'DIVA Satislari'!AN887)</f>
        <v/>
      </c>
      <c r="I887" s="28">
        <f>IF('DIVA Satislari'!I887="","",'DIVA Satislari'!AQ887)</f>
        <v/>
      </c>
      <c r="J887" s="26">
        <f>IF('DIVA Satislari'!I887="","",'DIVA Satislari'!AR887)</f>
        <v/>
      </c>
      <c r="K887" s="26">
        <f>IF('DIVA Satislari'!I887="","",IFERROR(INDEX('E2E Nakliye Montaj'!$AS$3:$AS$1002,MATCH('DIVA Satislari'!AJ887,'E2E Nakliye Montaj'!$AM$3:$AM$1002,0)),"Eşleşme Yok"))</f>
        <v/>
      </c>
      <c r="L887" s="26">
        <f>IF('DIVA Satislari'!I887="","",IFERROR(INDEX('E2E Nakliye Montaj'!$AT$3:$AT$1002,MATCH('DIVA Satislari'!AJ887,'E2E Nakliye Montaj'!$AM$3:$AM$1002,0)),"Hayır"))</f>
        <v/>
      </c>
      <c r="M887" s="26">
        <f>IF('DIVA Satislari'!I887="","",IFERROR(INDEX('E2E Nakliye Montaj'!$AU$3:$AU$1002,MATCH('DIVA Satislari'!AJ887,'E2E Nakliye Montaj'!$AM$3:$AM$1002,0)),"Hayır"))</f>
        <v/>
      </c>
      <c r="N887" s="27">
        <f>IF('DIVA Satislari'!I887="","",IFERROR(INDEX('E2E Nakliye Montaj'!$AV$3:$AV$1002,MATCH('DIVA Satislari'!AJ887,'E2E Nakliye Montaj'!$AM$3:$AM$1002,0)),""))</f>
        <v/>
      </c>
      <c r="O887" s="26">
        <f>IF(OR(A887="",N887=""),"",IF(N887&lt;=H887,"Evet","HAYIR - RİSK"))</f>
        <v/>
      </c>
      <c r="P887" s="26">
        <f>IF(A887="","",IF(LEFT(J887,8)="Kural A ","Uygun - Hemen Ödenir (Yıl Sonu %75 Kontrolüne Tabi)",IF(OR(L887="Evet",M887="Evet"),IF(O887="Evet","Uygun","RİSK - Hakediş Süresi Aşıldı"),"Bekleniyor - Nakliye/Montaj Tamamlanmadı")))</f>
        <v/>
      </c>
      <c r="Q887" s="28">
        <f>IF(A887="","",SUMIFS('Hakedis Fatura Detay'!$G$3:$G$1200,'Hakedis Fatura Detay'!$H$3:$H$1200,'DIVA Satislari'!AJ887,'Hakedis Fatura Detay'!$F$3:$F$1200,"Fiyat Farkı")+SUMIFS('Hakedis Fatura Detay'!$G$3:$G$1200,'Hakedis Fatura Detay'!$H$3:$H$1200,'DIVA Satislari'!AJ887,'Hakedis Fatura Detay'!$F$3:$F$1200,"Bundle"))</f>
        <v/>
      </c>
      <c r="R887" s="28">
        <f>IF(A887="","",I887-Q887)</f>
        <v/>
      </c>
      <c r="S887" s="26">
        <f>IF(A887="","",IF(LEFT(P887,7)="Bekleni","N/A - Henüz Ödenmemeli",IF(LEFT(P887,4)="RİSK","İNCELEME GEREKLİ - Süre Aşımı",IF(R887=0,"Doğru",IF(R887&gt;0,"EKSİK ÖDENMİŞ","FAZLA ÖDENMİŞ")))))</f>
        <v/>
      </c>
      <c r="T887" s="30">
        <f>IF(A887="","",IF(F887&lt;&gt;"Evet","İNCELEME GEREKLİ - Kampanya Tanımsız",IF(G887&lt;&gt;"Evet","İNCELEME GEREKLİ - Tarih Dışı Satış",IF(LEFT(P887,4)="RİSK","İNCELEME GEREKLİ - Hakediş Süresi Aşıldı",IF(OR(S887="EKSİK ÖDENMİŞ",S887="FAZLA ÖDENMİŞ"),"İNCELEME GEREKLİ - Tutar Uyuşmazlığı",IF(LEFT(P887,7)="Bekleni","Bekleniyor","Uygun"))))))</f>
        <v/>
      </c>
    </row>
    <row r="888">
      <c r="A888" s="26">
        <f>IF('DIVA Satislari'!I888="","",'DIVA Satislari'!I888)</f>
        <v/>
      </c>
      <c r="B888" s="26">
        <f>IF('DIVA Satislari'!I888="","",'DIVA Satislari'!R888)</f>
        <v/>
      </c>
      <c r="C888" s="26">
        <f>IF('DIVA Satislari'!I888="","",'DIVA Satislari'!M888)</f>
        <v/>
      </c>
      <c r="D888" s="27">
        <f>IF('DIVA Satislari'!I888="","",'DIVA Satislari'!H888)</f>
        <v/>
      </c>
      <c r="E888" s="26">
        <f>IF('DIVA Satislari'!I888="","",'DIVA Satislari'!O888)</f>
        <v/>
      </c>
      <c r="F888" s="26">
        <f>IF('DIVA Satislari'!I888="","",'DIVA Satislari'!AK888)</f>
        <v/>
      </c>
      <c r="G888" s="26">
        <f>IF('DIVA Satislari'!I888="","",'DIVA Satislari'!AO888)</f>
        <v/>
      </c>
      <c r="H888" s="27">
        <f>IF('DIVA Satislari'!I888="","",'DIVA Satislari'!AN888)</f>
        <v/>
      </c>
      <c r="I888" s="28">
        <f>IF('DIVA Satislari'!I888="","",'DIVA Satislari'!AQ888)</f>
        <v/>
      </c>
      <c r="J888" s="26">
        <f>IF('DIVA Satislari'!I888="","",'DIVA Satislari'!AR888)</f>
        <v/>
      </c>
      <c r="K888" s="26">
        <f>IF('DIVA Satislari'!I888="","",IFERROR(INDEX('E2E Nakliye Montaj'!$AS$3:$AS$1002,MATCH('DIVA Satislari'!AJ888,'E2E Nakliye Montaj'!$AM$3:$AM$1002,0)),"Eşleşme Yok"))</f>
        <v/>
      </c>
      <c r="L888" s="26">
        <f>IF('DIVA Satislari'!I888="","",IFERROR(INDEX('E2E Nakliye Montaj'!$AT$3:$AT$1002,MATCH('DIVA Satislari'!AJ888,'E2E Nakliye Montaj'!$AM$3:$AM$1002,0)),"Hayır"))</f>
        <v/>
      </c>
      <c r="M888" s="26">
        <f>IF('DIVA Satislari'!I888="","",IFERROR(INDEX('E2E Nakliye Montaj'!$AU$3:$AU$1002,MATCH('DIVA Satislari'!AJ888,'E2E Nakliye Montaj'!$AM$3:$AM$1002,0)),"Hayır"))</f>
        <v/>
      </c>
      <c r="N888" s="27">
        <f>IF('DIVA Satislari'!I888="","",IFERROR(INDEX('E2E Nakliye Montaj'!$AV$3:$AV$1002,MATCH('DIVA Satislari'!AJ888,'E2E Nakliye Montaj'!$AM$3:$AM$1002,0)),""))</f>
        <v/>
      </c>
      <c r="O888" s="26">
        <f>IF(OR(A888="",N888=""),"",IF(N888&lt;=H888,"Evet","HAYIR - RİSK"))</f>
        <v/>
      </c>
      <c r="P888" s="26">
        <f>IF(A888="","",IF(LEFT(J888,8)="Kural A ","Uygun - Hemen Ödenir (Yıl Sonu %75 Kontrolüne Tabi)",IF(OR(L888="Evet",M888="Evet"),IF(O888="Evet","Uygun","RİSK - Hakediş Süresi Aşıldı"),"Bekleniyor - Nakliye/Montaj Tamamlanmadı")))</f>
        <v/>
      </c>
      <c r="Q888" s="28">
        <f>IF(A888="","",SUMIFS('Hakedis Fatura Detay'!$G$3:$G$1200,'Hakedis Fatura Detay'!$H$3:$H$1200,'DIVA Satislari'!AJ888,'Hakedis Fatura Detay'!$F$3:$F$1200,"Fiyat Farkı")+SUMIFS('Hakedis Fatura Detay'!$G$3:$G$1200,'Hakedis Fatura Detay'!$H$3:$H$1200,'DIVA Satislari'!AJ888,'Hakedis Fatura Detay'!$F$3:$F$1200,"Bundle"))</f>
        <v/>
      </c>
      <c r="R888" s="28">
        <f>IF(A888="","",I888-Q888)</f>
        <v/>
      </c>
      <c r="S888" s="26">
        <f>IF(A888="","",IF(LEFT(P888,7)="Bekleni","N/A - Henüz Ödenmemeli",IF(LEFT(P888,4)="RİSK","İNCELEME GEREKLİ - Süre Aşımı",IF(R888=0,"Doğru",IF(R888&gt;0,"EKSİK ÖDENMİŞ","FAZLA ÖDENMİŞ")))))</f>
        <v/>
      </c>
      <c r="T888" s="30">
        <f>IF(A888="","",IF(F888&lt;&gt;"Evet","İNCELEME GEREKLİ - Kampanya Tanımsız",IF(G888&lt;&gt;"Evet","İNCELEME GEREKLİ - Tarih Dışı Satış",IF(LEFT(P888,4)="RİSK","İNCELEME GEREKLİ - Hakediş Süresi Aşıldı",IF(OR(S888="EKSİK ÖDENMİŞ",S888="FAZLA ÖDENMİŞ"),"İNCELEME GEREKLİ - Tutar Uyuşmazlığı",IF(LEFT(P888,7)="Bekleni","Bekleniyor","Uygun"))))))</f>
        <v/>
      </c>
    </row>
    <row r="889">
      <c r="A889" s="26">
        <f>IF('DIVA Satislari'!I889="","",'DIVA Satislari'!I889)</f>
        <v/>
      </c>
      <c r="B889" s="26">
        <f>IF('DIVA Satislari'!I889="","",'DIVA Satislari'!R889)</f>
        <v/>
      </c>
      <c r="C889" s="26">
        <f>IF('DIVA Satislari'!I889="","",'DIVA Satislari'!M889)</f>
        <v/>
      </c>
      <c r="D889" s="27">
        <f>IF('DIVA Satislari'!I889="","",'DIVA Satislari'!H889)</f>
        <v/>
      </c>
      <c r="E889" s="26">
        <f>IF('DIVA Satislari'!I889="","",'DIVA Satislari'!O889)</f>
        <v/>
      </c>
      <c r="F889" s="26">
        <f>IF('DIVA Satislari'!I889="","",'DIVA Satislari'!AK889)</f>
        <v/>
      </c>
      <c r="G889" s="26">
        <f>IF('DIVA Satislari'!I889="","",'DIVA Satislari'!AO889)</f>
        <v/>
      </c>
      <c r="H889" s="27">
        <f>IF('DIVA Satislari'!I889="","",'DIVA Satislari'!AN889)</f>
        <v/>
      </c>
      <c r="I889" s="28">
        <f>IF('DIVA Satislari'!I889="","",'DIVA Satislari'!AQ889)</f>
        <v/>
      </c>
      <c r="J889" s="26">
        <f>IF('DIVA Satislari'!I889="","",'DIVA Satislari'!AR889)</f>
        <v/>
      </c>
      <c r="K889" s="26">
        <f>IF('DIVA Satislari'!I889="","",IFERROR(INDEX('E2E Nakliye Montaj'!$AS$3:$AS$1002,MATCH('DIVA Satislari'!AJ889,'E2E Nakliye Montaj'!$AM$3:$AM$1002,0)),"Eşleşme Yok"))</f>
        <v/>
      </c>
      <c r="L889" s="26">
        <f>IF('DIVA Satislari'!I889="","",IFERROR(INDEX('E2E Nakliye Montaj'!$AT$3:$AT$1002,MATCH('DIVA Satislari'!AJ889,'E2E Nakliye Montaj'!$AM$3:$AM$1002,0)),"Hayır"))</f>
        <v/>
      </c>
      <c r="M889" s="26">
        <f>IF('DIVA Satislari'!I889="","",IFERROR(INDEX('E2E Nakliye Montaj'!$AU$3:$AU$1002,MATCH('DIVA Satislari'!AJ889,'E2E Nakliye Montaj'!$AM$3:$AM$1002,0)),"Hayır"))</f>
        <v/>
      </c>
      <c r="N889" s="27">
        <f>IF('DIVA Satislari'!I889="","",IFERROR(INDEX('E2E Nakliye Montaj'!$AV$3:$AV$1002,MATCH('DIVA Satislari'!AJ889,'E2E Nakliye Montaj'!$AM$3:$AM$1002,0)),""))</f>
        <v/>
      </c>
      <c r="O889" s="26">
        <f>IF(OR(A889="",N889=""),"",IF(N889&lt;=H889,"Evet","HAYIR - RİSK"))</f>
        <v/>
      </c>
      <c r="P889" s="26">
        <f>IF(A889="","",IF(LEFT(J889,8)="Kural A ","Uygun - Hemen Ödenir (Yıl Sonu %75 Kontrolüne Tabi)",IF(OR(L889="Evet",M889="Evet"),IF(O889="Evet","Uygun","RİSK - Hakediş Süresi Aşıldı"),"Bekleniyor - Nakliye/Montaj Tamamlanmadı")))</f>
        <v/>
      </c>
      <c r="Q889" s="28">
        <f>IF(A889="","",SUMIFS('Hakedis Fatura Detay'!$G$3:$G$1200,'Hakedis Fatura Detay'!$H$3:$H$1200,'DIVA Satislari'!AJ889,'Hakedis Fatura Detay'!$F$3:$F$1200,"Fiyat Farkı")+SUMIFS('Hakedis Fatura Detay'!$G$3:$G$1200,'Hakedis Fatura Detay'!$H$3:$H$1200,'DIVA Satislari'!AJ889,'Hakedis Fatura Detay'!$F$3:$F$1200,"Bundle"))</f>
        <v/>
      </c>
      <c r="R889" s="28">
        <f>IF(A889="","",I889-Q889)</f>
        <v/>
      </c>
      <c r="S889" s="26">
        <f>IF(A889="","",IF(LEFT(P889,7)="Bekleni","N/A - Henüz Ödenmemeli",IF(LEFT(P889,4)="RİSK","İNCELEME GEREKLİ - Süre Aşımı",IF(R889=0,"Doğru",IF(R889&gt;0,"EKSİK ÖDENMİŞ","FAZLA ÖDENMİŞ")))))</f>
        <v/>
      </c>
      <c r="T889" s="30">
        <f>IF(A889="","",IF(F889&lt;&gt;"Evet","İNCELEME GEREKLİ - Kampanya Tanımsız",IF(G889&lt;&gt;"Evet","İNCELEME GEREKLİ - Tarih Dışı Satış",IF(LEFT(P889,4)="RİSK","İNCELEME GEREKLİ - Hakediş Süresi Aşıldı",IF(OR(S889="EKSİK ÖDENMİŞ",S889="FAZLA ÖDENMİŞ"),"İNCELEME GEREKLİ - Tutar Uyuşmazlığı",IF(LEFT(P889,7)="Bekleni","Bekleniyor","Uygun"))))))</f>
        <v/>
      </c>
    </row>
    <row r="890">
      <c r="A890" s="26">
        <f>IF('DIVA Satislari'!I890="","",'DIVA Satislari'!I890)</f>
        <v/>
      </c>
      <c r="B890" s="26">
        <f>IF('DIVA Satislari'!I890="","",'DIVA Satislari'!R890)</f>
        <v/>
      </c>
      <c r="C890" s="26">
        <f>IF('DIVA Satislari'!I890="","",'DIVA Satislari'!M890)</f>
        <v/>
      </c>
      <c r="D890" s="27">
        <f>IF('DIVA Satislari'!I890="","",'DIVA Satislari'!H890)</f>
        <v/>
      </c>
      <c r="E890" s="26">
        <f>IF('DIVA Satislari'!I890="","",'DIVA Satislari'!O890)</f>
        <v/>
      </c>
      <c r="F890" s="26">
        <f>IF('DIVA Satislari'!I890="","",'DIVA Satislari'!AK890)</f>
        <v/>
      </c>
      <c r="G890" s="26">
        <f>IF('DIVA Satislari'!I890="","",'DIVA Satislari'!AO890)</f>
        <v/>
      </c>
      <c r="H890" s="27">
        <f>IF('DIVA Satislari'!I890="","",'DIVA Satislari'!AN890)</f>
        <v/>
      </c>
      <c r="I890" s="28">
        <f>IF('DIVA Satislari'!I890="","",'DIVA Satislari'!AQ890)</f>
        <v/>
      </c>
      <c r="J890" s="26">
        <f>IF('DIVA Satislari'!I890="","",'DIVA Satislari'!AR890)</f>
        <v/>
      </c>
      <c r="K890" s="26">
        <f>IF('DIVA Satislari'!I890="","",IFERROR(INDEX('E2E Nakliye Montaj'!$AS$3:$AS$1002,MATCH('DIVA Satislari'!AJ890,'E2E Nakliye Montaj'!$AM$3:$AM$1002,0)),"Eşleşme Yok"))</f>
        <v/>
      </c>
      <c r="L890" s="26">
        <f>IF('DIVA Satislari'!I890="","",IFERROR(INDEX('E2E Nakliye Montaj'!$AT$3:$AT$1002,MATCH('DIVA Satislari'!AJ890,'E2E Nakliye Montaj'!$AM$3:$AM$1002,0)),"Hayır"))</f>
        <v/>
      </c>
      <c r="M890" s="26">
        <f>IF('DIVA Satislari'!I890="","",IFERROR(INDEX('E2E Nakliye Montaj'!$AU$3:$AU$1002,MATCH('DIVA Satislari'!AJ890,'E2E Nakliye Montaj'!$AM$3:$AM$1002,0)),"Hayır"))</f>
        <v/>
      </c>
      <c r="N890" s="27">
        <f>IF('DIVA Satislari'!I890="","",IFERROR(INDEX('E2E Nakliye Montaj'!$AV$3:$AV$1002,MATCH('DIVA Satislari'!AJ890,'E2E Nakliye Montaj'!$AM$3:$AM$1002,0)),""))</f>
        <v/>
      </c>
      <c r="O890" s="26">
        <f>IF(OR(A890="",N890=""),"",IF(N890&lt;=H890,"Evet","HAYIR - RİSK"))</f>
        <v/>
      </c>
      <c r="P890" s="26">
        <f>IF(A890="","",IF(LEFT(J890,8)="Kural A ","Uygun - Hemen Ödenir (Yıl Sonu %75 Kontrolüne Tabi)",IF(OR(L890="Evet",M890="Evet"),IF(O890="Evet","Uygun","RİSK - Hakediş Süresi Aşıldı"),"Bekleniyor - Nakliye/Montaj Tamamlanmadı")))</f>
        <v/>
      </c>
      <c r="Q890" s="28">
        <f>IF(A890="","",SUMIFS('Hakedis Fatura Detay'!$G$3:$G$1200,'Hakedis Fatura Detay'!$H$3:$H$1200,'DIVA Satislari'!AJ890,'Hakedis Fatura Detay'!$F$3:$F$1200,"Fiyat Farkı")+SUMIFS('Hakedis Fatura Detay'!$G$3:$G$1200,'Hakedis Fatura Detay'!$H$3:$H$1200,'DIVA Satislari'!AJ890,'Hakedis Fatura Detay'!$F$3:$F$1200,"Bundle"))</f>
        <v/>
      </c>
      <c r="R890" s="28">
        <f>IF(A890="","",I890-Q890)</f>
        <v/>
      </c>
      <c r="S890" s="26">
        <f>IF(A890="","",IF(LEFT(P890,7)="Bekleni","N/A - Henüz Ödenmemeli",IF(LEFT(P890,4)="RİSK","İNCELEME GEREKLİ - Süre Aşımı",IF(R890=0,"Doğru",IF(R890&gt;0,"EKSİK ÖDENMİŞ","FAZLA ÖDENMİŞ")))))</f>
        <v/>
      </c>
      <c r="T890" s="30">
        <f>IF(A890="","",IF(F890&lt;&gt;"Evet","İNCELEME GEREKLİ - Kampanya Tanımsız",IF(G890&lt;&gt;"Evet","İNCELEME GEREKLİ - Tarih Dışı Satış",IF(LEFT(P890,4)="RİSK","İNCELEME GEREKLİ - Hakediş Süresi Aşıldı",IF(OR(S890="EKSİK ÖDENMİŞ",S890="FAZLA ÖDENMİŞ"),"İNCELEME GEREKLİ - Tutar Uyuşmazlığı",IF(LEFT(P890,7)="Bekleni","Bekleniyor","Uygun"))))))</f>
        <v/>
      </c>
    </row>
    <row r="891">
      <c r="A891" s="26">
        <f>IF('DIVA Satislari'!I891="","",'DIVA Satislari'!I891)</f>
        <v/>
      </c>
      <c r="B891" s="26">
        <f>IF('DIVA Satislari'!I891="","",'DIVA Satislari'!R891)</f>
        <v/>
      </c>
      <c r="C891" s="26">
        <f>IF('DIVA Satislari'!I891="","",'DIVA Satislari'!M891)</f>
        <v/>
      </c>
      <c r="D891" s="27">
        <f>IF('DIVA Satislari'!I891="","",'DIVA Satislari'!H891)</f>
        <v/>
      </c>
      <c r="E891" s="26">
        <f>IF('DIVA Satislari'!I891="","",'DIVA Satislari'!O891)</f>
        <v/>
      </c>
      <c r="F891" s="26">
        <f>IF('DIVA Satislari'!I891="","",'DIVA Satislari'!AK891)</f>
        <v/>
      </c>
      <c r="G891" s="26">
        <f>IF('DIVA Satislari'!I891="","",'DIVA Satislari'!AO891)</f>
        <v/>
      </c>
      <c r="H891" s="27">
        <f>IF('DIVA Satislari'!I891="","",'DIVA Satislari'!AN891)</f>
        <v/>
      </c>
      <c r="I891" s="28">
        <f>IF('DIVA Satislari'!I891="","",'DIVA Satislari'!AQ891)</f>
        <v/>
      </c>
      <c r="J891" s="26">
        <f>IF('DIVA Satislari'!I891="","",'DIVA Satislari'!AR891)</f>
        <v/>
      </c>
      <c r="K891" s="26">
        <f>IF('DIVA Satislari'!I891="","",IFERROR(INDEX('E2E Nakliye Montaj'!$AS$3:$AS$1002,MATCH('DIVA Satislari'!AJ891,'E2E Nakliye Montaj'!$AM$3:$AM$1002,0)),"Eşleşme Yok"))</f>
        <v/>
      </c>
      <c r="L891" s="26">
        <f>IF('DIVA Satislari'!I891="","",IFERROR(INDEX('E2E Nakliye Montaj'!$AT$3:$AT$1002,MATCH('DIVA Satislari'!AJ891,'E2E Nakliye Montaj'!$AM$3:$AM$1002,0)),"Hayır"))</f>
        <v/>
      </c>
      <c r="M891" s="26">
        <f>IF('DIVA Satislari'!I891="","",IFERROR(INDEX('E2E Nakliye Montaj'!$AU$3:$AU$1002,MATCH('DIVA Satislari'!AJ891,'E2E Nakliye Montaj'!$AM$3:$AM$1002,0)),"Hayır"))</f>
        <v/>
      </c>
      <c r="N891" s="27">
        <f>IF('DIVA Satislari'!I891="","",IFERROR(INDEX('E2E Nakliye Montaj'!$AV$3:$AV$1002,MATCH('DIVA Satislari'!AJ891,'E2E Nakliye Montaj'!$AM$3:$AM$1002,0)),""))</f>
        <v/>
      </c>
      <c r="O891" s="26">
        <f>IF(OR(A891="",N891=""),"",IF(N891&lt;=H891,"Evet","HAYIR - RİSK"))</f>
        <v/>
      </c>
      <c r="P891" s="26">
        <f>IF(A891="","",IF(LEFT(J891,8)="Kural A ","Uygun - Hemen Ödenir (Yıl Sonu %75 Kontrolüne Tabi)",IF(OR(L891="Evet",M891="Evet"),IF(O891="Evet","Uygun","RİSK - Hakediş Süresi Aşıldı"),"Bekleniyor - Nakliye/Montaj Tamamlanmadı")))</f>
        <v/>
      </c>
      <c r="Q891" s="28">
        <f>IF(A891="","",SUMIFS('Hakedis Fatura Detay'!$G$3:$G$1200,'Hakedis Fatura Detay'!$H$3:$H$1200,'DIVA Satislari'!AJ891,'Hakedis Fatura Detay'!$F$3:$F$1200,"Fiyat Farkı")+SUMIFS('Hakedis Fatura Detay'!$G$3:$G$1200,'Hakedis Fatura Detay'!$H$3:$H$1200,'DIVA Satislari'!AJ891,'Hakedis Fatura Detay'!$F$3:$F$1200,"Bundle"))</f>
        <v/>
      </c>
      <c r="R891" s="28">
        <f>IF(A891="","",I891-Q891)</f>
        <v/>
      </c>
      <c r="S891" s="26">
        <f>IF(A891="","",IF(LEFT(P891,7)="Bekleni","N/A - Henüz Ödenmemeli",IF(LEFT(P891,4)="RİSK","İNCELEME GEREKLİ - Süre Aşımı",IF(R891=0,"Doğru",IF(R891&gt;0,"EKSİK ÖDENMİŞ","FAZLA ÖDENMİŞ")))))</f>
        <v/>
      </c>
      <c r="T891" s="30">
        <f>IF(A891="","",IF(F891&lt;&gt;"Evet","İNCELEME GEREKLİ - Kampanya Tanımsız",IF(G891&lt;&gt;"Evet","İNCELEME GEREKLİ - Tarih Dışı Satış",IF(LEFT(P891,4)="RİSK","İNCELEME GEREKLİ - Hakediş Süresi Aşıldı",IF(OR(S891="EKSİK ÖDENMİŞ",S891="FAZLA ÖDENMİŞ"),"İNCELEME GEREKLİ - Tutar Uyuşmazlığı",IF(LEFT(P891,7)="Bekleni","Bekleniyor","Uygun"))))))</f>
        <v/>
      </c>
    </row>
    <row r="892">
      <c r="A892" s="26">
        <f>IF('DIVA Satislari'!I892="","",'DIVA Satislari'!I892)</f>
        <v/>
      </c>
      <c r="B892" s="26">
        <f>IF('DIVA Satislari'!I892="","",'DIVA Satislari'!R892)</f>
        <v/>
      </c>
      <c r="C892" s="26">
        <f>IF('DIVA Satislari'!I892="","",'DIVA Satislari'!M892)</f>
        <v/>
      </c>
      <c r="D892" s="27">
        <f>IF('DIVA Satislari'!I892="","",'DIVA Satislari'!H892)</f>
        <v/>
      </c>
      <c r="E892" s="26">
        <f>IF('DIVA Satislari'!I892="","",'DIVA Satislari'!O892)</f>
        <v/>
      </c>
      <c r="F892" s="26">
        <f>IF('DIVA Satislari'!I892="","",'DIVA Satislari'!AK892)</f>
        <v/>
      </c>
      <c r="G892" s="26">
        <f>IF('DIVA Satislari'!I892="","",'DIVA Satislari'!AO892)</f>
        <v/>
      </c>
      <c r="H892" s="27">
        <f>IF('DIVA Satislari'!I892="","",'DIVA Satislari'!AN892)</f>
        <v/>
      </c>
      <c r="I892" s="28">
        <f>IF('DIVA Satislari'!I892="","",'DIVA Satislari'!AQ892)</f>
        <v/>
      </c>
      <c r="J892" s="26">
        <f>IF('DIVA Satislari'!I892="","",'DIVA Satislari'!AR892)</f>
        <v/>
      </c>
      <c r="K892" s="26">
        <f>IF('DIVA Satislari'!I892="","",IFERROR(INDEX('E2E Nakliye Montaj'!$AS$3:$AS$1002,MATCH('DIVA Satislari'!AJ892,'E2E Nakliye Montaj'!$AM$3:$AM$1002,0)),"Eşleşme Yok"))</f>
        <v/>
      </c>
      <c r="L892" s="26">
        <f>IF('DIVA Satislari'!I892="","",IFERROR(INDEX('E2E Nakliye Montaj'!$AT$3:$AT$1002,MATCH('DIVA Satislari'!AJ892,'E2E Nakliye Montaj'!$AM$3:$AM$1002,0)),"Hayır"))</f>
        <v/>
      </c>
      <c r="M892" s="26">
        <f>IF('DIVA Satislari'!I892="","",IFERROR(INDEX('E2E Nakliye Montaj'!$AU$3:$AU$1002,MATCH('DIVA Satislari'!AJ892,'E2E Nakliye Montaj'!$AM$3:$AM$1002,0)),"Hayır"))</f>
        <v/>
      </c>
      <c r="N892" s="27">
        <f>IF('DIVA Satislari'!I892="","",IFERROR(INDEX('E2E Nakliye Montaj'!$AV$3:$AV$1002,MATCH('DIVA Satislari'!AJ892,'E2E Nakliye Montaj'!$AM$3:$AM$1002,0)),""))</f>
        <v/>
      </c>
      <c r="O892" s="26">
        <f>IF(OR(A892="",N892=""),"",IF(N892&lt;=H892,"Evet","HAYIR - RİSK"))</f>
        <v/>
      </c>
      <c r="P892" s="26">
        <f>IF(A892="","",IF(LEFT(J892,8)="Kural A ","Uygun - Hemen Ödenir (Yıl Sonu %75 Kontrolüne Tabi)",IF(OR(L892="Evet",M892="Evet"),IF(O892="Evet","Uygun","RİSK - Hakediş Süresi Aşıldı"),"Bekleniyor - Nakliye/Montaj Tamamlanmadı")))</f>
        <v/>
      </c>
      <c r="Q892" s="28">
        <f>IF(A892="","",SUMIFS('Hakedis Fatura Detay'!$G$3:$G$1200,'Hakedis Fatura Detay'!$H$3:$H$1200,'DIVA Satislari'!AJ892,'Hakedis Fatura Detay'!$F$3:$F$1200,"Fiyat Farkı")+SUMIFS('Hakedis Fatura Detay'!$G$3:$G$1200,'Hakedis Fatura Detay'!$H$3:$H$1200,'DIVA Satislari'!AJ892,'Hakedis Fatura Detay'!$F$3:$F$1200,"Bundle"))</f>
        <v/>
      </c>
      <c r="R892" s="28">
        <f>IF(A892="","",I892-Q892)</f>
        <v/>
      </c>
      <c r="S892" s="26">
        <f>IF(A892="","",IF(LEFT(P892,7)="Bekleni","N/A - Henüz Ödenmemeli",IF(LEFT(P892,4)="RİSK","İNCELEME GEREKLİ - Süre Aşımı",IF(R892=0,"Doğru",IF(R892&gt;0,"EKSİK ÖDENMİŞ","FAZLA ÖDENMİŞ")))))</f>
        <v/>
      </c>
      <c r="T892" s="30">
        <f>IF(A892="","",IF(F892&lt;&gt;"Evet","İNCELEME GEREKLİ - Kampanya Tanımsız",IF(G892&lt;&gt;"Evet","İNCELEME GEREKLİ - Tarih Dışı Satış",IF(LEFT(P892,4)="RİSK","İNCELEME GEREKLİ - Hakediş Süresi Aşıldı",IF(OR(S892="EKSİK ÖDENMİŞ",S892="FAZLA ÖDENMİŞ"),"İNCELEME GEREKLİ - Tutar Uyuşmazlığı",IF(LEFT(P892,7)="Bekleni","Bekleniyor","Uygun"))))))</f>
        <v/>
      </c>
    </row>
    <row r="893">
      <c r="A893" s="26">
        <f>IF('DIVA Satislari'!I893="","",'DIVA Satislari'!I893)</f>
        <v/>
      </c>
      <c r="B893" s="26">
        <f>IF('DIVA Satislari'!I893="","",'DIVA Satislari'!R893)</f>
        <v/>
      </c>
      <c r="C893" s="26">
        <f>IF('DIVA Satislari'!I893="","",'DIVA Satislari'!M893)</f>
        <v/>
      </c>
      <c r="D893" s="27">
        <f>IF('DIVA Satislari'!I893="","",'DIVA Satislari'!H893)</f>
        <v/>
      </c>
      <c r="E893" s="26">
        <f>IF('DIVA Satislari'!I893="","",'DIVA Satislari'!O893)</f>
        <v/>
      </c>
      <c r="F893" s="26">
        <f>IF('DIVA Satislari'!I893="","",'DIVA Satislari'!AK893)</f>
        <v/>
      </c>
      <c r="G893" s="26">
        <f>IF('DIVA Satislari'!I893="","",'DIVA Satislari'!AO893)</f>
        <v/>
      </c>
      <c r="H893" s="27">
        <f>IF('DIVA Satislari'!I893="","",'DIVA Satislari'!AN893)</f>
        <v/>
      </c>
      <c r="I893" s="28">
        <f>IF('DIVA Satislari'!I893="","",'DIVA Satislari'!AQ893)</f>
        <v/>
      </c>
      <c r="J893" s="26">
        <f>IF('DIVA Satislari'!I893="","",'DIVA Satislari'!AR893)</f>
        <v/>
      </c>
      <c r="K893" s="26">
        <f>IF('DIVA Satislari'!I893="","",IFERROR(INDEX('E2E Nakliye Montaj'!$AS$3:$AS$1002,MATCH('DIVA Satislari'!AJ893,'E2E Nakliye Montaj'!$AM$3:$AM$1002,0)),"Eşleşme Yok"))</f>
        <v/>
      </c>
      <c r="L893" s="26">
        <f>IF('DIVA Satislari'!I893="","",IFERROR(INDEX('E2E Nakliye Montaj'!$AT$3:$AT$1002,MATCH('DIVA Satislari'!AJ893,'E2E Nakliye Montaj'!$AM$3:$AM$1002,0)),"Hayır"))</f>
        <v/>
      </c>
      <c r="M893" s="26">
        <f>IF('DIVA Satislari'!I893="","",IFERROR(INDEX('E2E Nakliye Montaj'!$AU$3:$AU$1002,MATCH('DIVA Satislari'!AJ893,'E2E Nakliye Montaj'!$AM$3:$AM$1002,0)),"Hayır"))</f>
        <v/>
      </c>
      <c r="N893" s="27">
        <f>IF('DIVA Satislari'!I893="","",IFERROR(INDEX('E2E Nakliye Montaj'!$AV$3:$AV$1002,MATCH('DIVA Satislari'!AJ893,'E2E Nakliye Montaj'!$AM$3:$AM$1002,0)),""))</f>
        <v/>
      </c>
      <c r="O893" s="26">
        <f>IF(OR(A893="",N893=""),"",IF(N893&lt;=H893,"Evet","HAYIR - RİSK"))</f>
        <v/>
      </c>
      <c r="P893" s="26">
        <f>IF(A893="","",IF(LEFT(J893,8)="Kural A ","Uygun - Hemen Ödenir (Yıl Sonu %75 Kontrolüne Tabi)",IF(OR(L893="Evet",M893="Evet"),IF(O893="Evet","Uygun","RİSK - Hakediş Süresi Aşıldı"),"Bekleniyor - Nakliye/Montaj Tamamlanmadı")))</f>
        <v/>
      </c>
      <c r="Q893" s="28">
        <f>IF(A893="","",SUMIFS('Hakedis Fatura Detay'!$G$3:$G$1200,'Hakedis Fatura Detay'!$H$3:$H$1200,'DIVA Satislari'!AJ893,'Hakedis Fatura Detay'!$F$3:$F$1200,"Fiyat Farkı")+SUMIFS('Hakedis Fatura Detay'!$G$3:$G$1200,'Hakedis Fatura Detay'!$H$3:$H$1200,'DIVA Satislari'!AJ893,'Hakedis Fatura Detay'!$F$3:$F$1200,"Bundle"))</f>
        <v/>
      </c>
      <c r="R893" s="28">
        <f>IF(A893="","",I893-Q893)</f>
        <v/>
      </c>
      <c r="S893" s="26">
        <f>IF(A893="","",IF(LEFT(P893,7)="Bekleni","N/A - Henüz Ödenmemeli",IF(LEFT(P893,4)="RİSK","İNCELEME GEREKLİ - Süre Aşımı",IF(R893=0,"Doğru",IF(R893&gt;0,"EKSİK ÖDENMİŞ","FAZLA ÖDENMİŞ")))))</f>
        <v/>
      </c>
      <c r="T893" s="30">
        <f>IF(A893="","",IF(F893&lt;&gt;"Evet","İNCELEME GEREKLİ - Kampanya Tanımsız",IF(G893&lt;&gt;"Evet","İNCELEME GEREKLİ - Tarih Dışı Satış",IF(LEFT(P893,4)="RİSK","İNCELEME GEREKLİ - Hakediş Süresi Aşıldı",IF(OR(S893="EKSİK ÖDENMİŞ",S893="FAZLA ÖDENMİŞ"),"İNCELEME GEREKLİ - Tutar Uyuşmazlığı",IF(LEFT(P893,7)="Bekleni","Bekleniyor","Uygun"))))))</f>
        <v/>
      </c>
    </row>
    <row r="894">
      <c r="A894" s="26">
        <f>IF('DIVA Satislari'!I894="","",'DIVA Satislari'!I894)</f>
        <v/>
      </c>
      <c r="B894" s="26">
        <f>IF('DIVA Satislari'!I894="","",'DIVA Satislari'!R894)</f>
        <v/>
      </c>
      <c r="C894" s="26">
        <f>IF('DIVA Satislari'!I894="","",'DIVA Satislari'!M894)</f>
        <v/>
      </c>
      <c r="D894" s="27">
        <f>IF('DIVA Satislari'!I894="","",'DIVA Satislari'!H894)</f>
        <v/>
      </c>
      <c r="E894" s="26">
        <f>IF('DIVA Satislari'!I894="","",'DIVA Satislari'!O894)</f>
        <v/>
      </c>
      <c r="F894" s="26">
        <f>IF('DIVA Satislari'!I894="","",'DIVA Satislari'!AK894)</f>
        <v/>
      </c>
      <c r="G894" s="26">
        <f>IF('DIVA Satislari'!I894="","",'DIVA Satislari'!AO894)</f>
        <v/>
      </c>
      <c r="H894" s="27">
        <f>IF('DIVA Satislari'!I894="","",'DIVA Satislari'!AN894)</f>
        <v/>
      </c>
      <c r="I894" s="28">
        <f>IF('DIVA Satislari'!I894="","",'DIVA Satislari'!AQ894)</f>
        <v/>
      </c>
      <c r="J894" s="26">
        <f>IF('DIVA Satislari'!I894="","",'DIVA Satislari'!AR894)</f>
        <v/>
      </c>
      <c r="K894" s="26">
        <f>IF('DIVA Satislari'!I894="","",IFERROR(INDEX('E2E Nakliye Montaj'!$AS$3:$AS$1002,MATCH('DIVA Satislari'!AJ894,'E2E Nakliye Montaj'!$AM$3:$AM$1002,0)),"Eşleşme Yok"))</f>
        <v/>
      </c>
      <c r="L894" s="26">
        <f>IF('DIVA Satislari'!I894="","",IFERROR(INDEX('E2E Nakliye Montaj'!$AT$3:$AT$1002,MATCH('DIVA Satislari'!AJ894,'E2E Nakliye Montaj'!$AM$3:$AM$1002,0)),"Hayır"))</f>
        <v/>
      </c>
      <c r="M894" s="26">
        <f>IF('DIVA Satislari'!I894="","",IFERROR(INDEX('E2E Nakliye Montaj'!$AU$3:$AU$1002,MATCH('DIVA Satislari'!AJ894,'E2E Nakliye Montaj'!$AM$3:$AM$1002,0)),"Hayır"))</f>
        <v/>
      </c>
      <c r="N894" s="27">
        <f>IF('DIVA Satislari'!I894="","",IFERROR(INDEX('E2E Nakliye Montaj'!$AV$3:$AV$1002,MATCH('DIVA Satislari'!AJ894,'E2E Nakliye Montaj'!$AM$3:$AM$1002,0)),""))</f>
        <v/>
      </c>
      <c r="O894" s="26">
        <f>IF(OR(A894="",N894=""),"",IF(N894&lt;=H894,"Evet","HAYIR - RİSK"))</f>
        <v/>
      </c>
      <c r="P894" s="26">
        <f>IF(A894="","",IF(LEFT(J894,8)="Kural A ","Uygun - Hemen Ödenir (Yıl Sonu %75 Kontrolüne Tabi)",IF(OR(L894="Evet",M894="Evet"),IF(O894="Evet","Uygun","RİSK - Hakediş Süresi Aşıldı"),"Bekleniyor - Nakliye/Montaj Tamamlanmadı")))</f>
        <v/>
      </c>
      <c r="Q894" s="28">
        <f>IF(A894="","",SUMIFS('Hakedis Fatura Detay'!$G$3:$G$1200,'Hakedis Fatura Detay'!$H$3:$H$1200,'DIVA Satislari'!AJ894,'Hakedis Fatura Detay'!$F$3:$F$1200,"Fiyat Farkı")+SUMIFS('Hakedis Fatura Detay'!$G$3:$G$1200,'Hakedis Fatura Detay'!$H$3:$H$1200,'DIVA Satislari'!AJ894,'Hakedis Fatura Detay'!$F$3:$F$1200,"Bundle"))</f>
        <v/>
      </c>
      <c r="R894" s="28">
        <f>IF(A894="","",I894-Q894)</f>
        <v/>
      </c>
      <c r="S894" s="26">
        <f>IF(A894="","",IF(LEFT(P894,7)="Bekleni","N/A - Henüz Ödenmemeli",IF(LEFT(P894,4)="RİSK","İNCELEME GEREKLİ - Süre Aşımı",IF(R894=0,"Doğru",IF(R894&gt;0,"EKSİK ÖDENMİŞ","FAZLA ÖDENMİŞ")))))</f>
        <v/>
      </c>
      <c r="T894" s="30">
        <f>IF(A894="","",IF(F894&lt;&gt;"Evet","İNCELEME GEREKLİ - Kampanya Tanımsız",IF(G894&lt;&gt;"Evet","İNCELEME GEREKLİ - Tarih Dışı Satış",IF(LEFT(P894,4)="RİSK","İNCELEME GEREKLİ - Hakediş Süresi Aşıldı",IF(OR(S894="EKSİK ÖDENMİŞ",S894="FAZLA ÖDENMİŞ"),"İNCELEME GEREKLİ - Tutar Uyuşmazlığı",IF(LEFT(P894,7)="Bekleni","Bekleniyor","Uygun"))))))</f>
        <v/>
      </c>
    </row>
    <row r="895">
      <c r="A895" s="26">
        <f>IF('DIVA Satislari'!I895="","",'DIVA Satislari'!I895)</f>
        <v/>
      </c>
      <c r="B895" s="26">
        <f>IF('DIVA Satislari'!I895="","",'DIVA Satislari'!R895)</f>
        <v/>
      </c>
      <c r="C895" s="26">
        <f>IF('DIVA Satislari'!I895="","",'DIVA Satislari'!M895)</f>
        <v/>
      </c>
      <c r="D895" s="27">
        <f>IF('DIVA Satislari'!I895="","",'DIVA Satislari'!H895)</f>
        <v/>
      </c>
      <c r="E895" s="26">
        <f>IF('DIVA Satislari'!I895="","",'DIVA Satislari'!O895)</f>
        <v/>
      </c>
      <c r="F895" s="26">
        <f>IF('DIVA Satislari'!I895="","",'DIVA Satislari'!AK895)</f>
        <v/>
      </c>
      <c r="G895" s="26">
        <f>IF('DIVA Satislari'!I895="","",'DIVA Satislari'!AO895)</f>
        <v/>
      </c>
      <c r="H895" s="27">
        <f>IF('DIVA Satislari'!I895="","",'DIVA Satislari'!AN895)</f>
        <v/>
      </c>
      <c r="I895" s="28">
        <f>IF('DIVA Satislari'!I895="","",'DIVA Satislari'!AQ895)</f>
        <v/>
      </c>
      <c r="J895" s="26">
        <f>IF('DIVA Satislari'!I895="","",'DIVA Satislari'!AR895)</f>
        <v/>
      </c>
      <c r="K895" s="26">
        <f>IF('DIVA Satislari'!I895="","",IFERROR(INDEX('E2E Nakliye Montaj'!$AS$3:$AS$1002,MATCH('DIVA Satislari'!AJ895,'E2E Nakliye Montaj'!$AM$3:$AM$1002,0)),"Eşleşme Yok"))</f>
        <v/>
      </c>
      <c r="L895" s="26">
        <f>IF('DIVA Satislari'!I895="","",IFERROR(INDEX('E2E Nakliye Montaj'!$AT$3:$AT$1002,MATCH('DIVA Satislari'!AJ895,'E2E Nakliye Montaj'!$AM$3:$AM$1002,0)),"Hayır"))</f>
        <v/>
      </c>
      <c r="M895" s="26">
        <f>IF('DIVA Satislari'!I895="","",IFERROR(INDEX('E2E Nakliye Montaj'!$AU$3:$AU$1002,MATCH('DIVA Satislari'!AJ895,'E2E Nakliye Montaj'!$AM$3:$AM$1002,0)),"Hayır"))</f>
        <v/>
      </c>
      <c r="N895" s="27">
        <f>IF('DIVA Satislari'!I895="","",IFERROR(INDEX('E2E Nakliye Montaj'!$AV$3:$AV$1002,MATCH('DIVA Satislari'!AJ895,'E2E Nakliye Montaj'!$AM$3:$AM$1002,0)),""))</f>
        <v/>
      </c>
      <c r="O895" s="26">
        <f>IF(OR(A895="",N895=""),"",IF(N895&lt;=H895,"Evet","HAYIR - RİSK"))</f>
        <v/>
      </c>
      <c r="P895" s="26">
        <f>IF(A895="","",IF(LEFT(J895,8)="Kural A ","Uygun - Hemen Ödenir (Yıl Sonu %75 Kontrolüne Tabi)",IF(OR(L895="Evet",M895="Evet"),IF(O895="Evet","Uygun","RİSK - Hakediş Süresi Aşıldı"),"Bekleniyor - Nakliye/Montaj Tamamlanmadı")))</f>
        <v/>
      </c>
      <c r="Q895" s="28">
        <f>IF(A895="","",SUMIFS('Hakedis Fatura Detay'!$G$3:$G$1200,'Hakedis Fatura Detay'!$H$3:$H$1200,'DIVA Satislari'!AJ895,'Hakedis Fatura Detay'!$F$3:$F$1200,"Fiyat Farkı")+SUMIFS('Hakedis Fatura Detay'!$G$3:$G$1200,'Hakedis Fatura Detay'!$H$3:$H$1200,'DIVA Satislari'!AJ895,'Hakedis Fatura Detay'!$F$3:$F$1200,"Bundle"))</f>
        <v/>
      </c>
      <c r="R895" s="28">
        <f>IF(A895="","",I895-Q895)</f>
        <v/>
      </c>
      <c r="S895" s="26">
        <f>IF(A895="","",IF(LEFT(P895,7)="Bekleni","N/A - Henüz Ödenmemeli",IF(LEFT(P895,4)="RİSK","İNCELEME GEREKLİ - Süre Aşımı",IF(R895=0,"Doğru",IF(R895&gt;0,"EKSİK ÖDENMİŞ","FAZLA ÖDENMİŞ")))))</f>
        <v/>
      </c>
      <c r="T895" s="30">
        <f>IF(A895="","",IF(F895&lt;&gt;"Evet","İNCELEME GEREKLİ - Kampanya Tanımsız",IF(G895&lt;&gt;"Evet","İNCELEME GEREKLİ - Tarih Dışı Satış",IF(LEFT(P895,4)="RİSK","İNCELEME GEREKLİ - Hakediş Süresi Aşıldı",IF(OR(S895="EKSİK ÖDENMİŞ",S895="FAZLA ÖDENMİŞ"),"İNCELEME GEREKLİ - Tutar Uyuşmazlığı",IF(LEFT(P895,7)="Bekleni","Bekleniyor","Uygun"))))))</f>
        <v/>
      </c>
    </row>
    <row r="896">
      <c r="A896" s="26">
        <f>IF('DIVA Satislari'!I896="","",'DIVA Satislari'!I896)</f>
        <v/>
      </c>
      <c r="B896" s="26">
        <f>IF('DIVA Satislari'!I896="","",'DIVA Satislari'!R896)</f>
        <v/>
      </c>
      <c r="C896" s="26">
        <f>IF('DIVA Satislari'!I896="","",'DIVA Satislari'!M896)</f>
        <v/>
      </c>
      <c r="D896" s="27">
        <f>IF('DIVA Satislari'!I896="","",'DIVA Satislari'!H896)</f>
        <v/>
      </c>
      <c r="E896" s="26">
        <f>IF('DIVA Satislari'!I896="","",'DIVA Satislari'!O896)</f>
        <v/>
      </c>
      <c r="F896" s="26">
        <f>IF('DIVA Satislari'!I896="","",'DIVA Satislari'!AK896)</f>
        <v/>
      </c>
      <c r="G896" s="26">
        <f>IF('DIVA Satislari'!I896="","",'DIVA Satislari'!AO896)</f>
        <v/>
      </c>
      <c r="H896" s="27">
        <f>IF('DIVA Satislari'!I896="","",'DIVA Satislari'!AN896)</f>
        <v/>
      </c>
      <c r="I896" s="28">
        <f>IF('DIVA Satislari'!I896="","",'DIVA Satislari'!AQ896)</f>
        <v/>
      </c>
      <c r="J896" s="26">
        <f>IF('DIVA Satislari'!I896="","",'DIVA Satislari'!AR896)</f>
        <v/>
      </c>
      <c r="K896" s="26">
        <f>IF('DIVA Satislari'!I896="","",IFERROR(INDEX('E2E Nakliye Montaj'!$AS$3:$AS$1002,MATCH('DIVA Satislari'!AJ896,'E2E Nakliye Montaj'!$AM$3:$AM$1002,0)),"Eşleşme Yok"))</f>
        <v/>
      </c>
      <c r="L896" s="26">
        <f>IF('DIVA Satislari'!I896="","",IFERROR(INDEX('E2E Nakliye Montaj'!$AT$3:$AT$1002,MATCH('DIVA Satislari'!AJ896,'E2E Nakliye Montaj'!$AM$3:$AM$1002,0)),"Hayır"))</f>
        <v/>
      </c>
      <c r="M896" s="26">
        <f>IF('DIVA Satislari'!I896="","",IFERROR(INDEX('E2E Nakliye Montaj'!$AU$3:$AU$1002,MATCH('DIVA Satislari'!AJ896,'E2E Nakliye Montaj'!$AM$3:$AM$1002,0)),"Hayır"))</f>
        <v/>
      </c>
      <c r="N896" s="27">
        <f>IF('DIVA Satislari'!I896="","",IFERROR(INDEX('E2E Nakliye Montaj'!$AV$3:$AV$1002,MATCH('DIVA Satislari'!AJ896,'E2E Nakliye Montaj'!$AM$3:$AM$1002,0)),""))</f>
        <v/>
      </c>
      <c r="O896" s="26">
        <f>IF(OR(A896="",N896=""),"",IF(N896&lt;=H896,"Evet","HAYIR - RİSK"))</f>
        <v/>
      </c>
      <c r="P896" s="26">
        <f>IF(A896="","",IF(LEFT(J896,8)="Kural A ","Uygun - Hemen Ödenir (Yıl Sonu %75 Kontrolüne Tabi)",IF(OR(L896="Evet",M896="Evet"),IF(O896="Evet","Uygun","RİSK - Hakediş Süresi Aşıldı"),"Bekleniyor - Nakliye/Montaj Tamamlanmadı")))</f>
        <v/>
      </c>
      <c r="Q896" s="28">
        <f>IF(A896="","",SUMIFS('Hakedis Fatura Detay'!$G$3:$G$1200,'Hakedis Fatura Detay'!$H$3:$H$1200,'DIVA Satislari'!AJ896,'Hakedis Fatura Detay'!$F$3:$F$1200,"Fiyat Farkı")+SUMIFS('Hakedis Fatura Detay'!$G$3:$G$1200,'Hakedis Fatura Detay'!$H$3:$H$1200,'DIVA Satislari'!AJ896,'Hakedis Fatura Detay'!$F$3:$F$1200,"Bundle"))</f>
        <v/>
      </c>
      <c r="R896" s="28">
        <f>IF(A896="","",I896-Q896)</f>
        <v/>
      </c>
      <c r="S896" s="26">
        <f>IF(A896="","",IF(LEFT(P896,7)="Bekleni","N/A - Henüz Ödenmemeli",IF(LEFT(P896,4)="RİSK","İNCELEME GEREKLİ - Süre Aşımı",IF(R896=0,"Doğru",IF(R896&gt;0,"EKSİK ÖDENMİŞ","FAZLA ÖDENMİŞ")))))</f>
        <v/>
      </c>
      <c r="T896" s="30">
        <f>IF(A896="","",IF(F896&lt;&gt;"Evet","İNCELEME GEREKLİ - Kampanya Tanımsız",IF(G896&lt;&gt;"Evet","İNCELEME GEREKLİ - Tarih Dışı Satış",IF(LEFT(P896,4)="RİSK","İNCELEME GEREKLİ - Hakediş Süresi Aşıldı",IF(OR(S896="EKSİK ÖDENMİŞ",S896="FAZLA ÖDENMİŞ"),"İNCELEME GEREKLİ - Tutar Uyuşmazlığı",IF(LEFT(P896,7)="Bekleni","Bekleniyor","Uygun"))))))</f>
        <v/>
      </c>
    </row>
    <row r="897">
      <c r="A897" s="26">
        <f>IF('DIVA Satislari'!I897="","",'DIVA Satislari'!I897)</f>
        <v/>
      </c>
      <c r="B897" s="26">
        <f>IF('DIVA Satislari'!I897="","",'DIVA Satislari'!R897)</f>
        <v/>
      </c>
      <c r="C897" s="26">
        <f>IF('DIVA Satislari'!I897="","",'DIVA Satislari'!M897)</f>
        <v/>
      </c>
      <c r="D897" s="27">
        <f>IF('DIVA Satislari'!I897="","",'DIVA Satislari'!H897)</f>
        <v/>
      </c>
      <c r="E897" s="26">
        <f>IF('DIVA Satislari'!I897="","",'DIVA Satislari'!O897)</f>
        <v/>
      </c>
      <c r="F897" s="26">
        <f>IF('DIVA Satislari'!I897="","",'DIVA Satislari'!AK897)</f>
        <v/>
      </c>
      <c r="G897" s="26">
        <f>IF('DIVA Satislari'!I897="","",'DIVA Satislari'!AO897)</f>
        <v/>
      </c>
      <c r="H897" s="27">
        <f>IF('DIVA Satislari'!I897="","",'DIVA Satislari'!AN897)</f>
        <v/>
      </c>
      <c r="I897" s="28">
        <f>IF('DIVA Satislari'!I897="","",'DIVA Satislari'!AQ897)</f>
        <v/>
      </c>
      <c r="J897" s="26">
        <f>IF('DIVA Satislari'!I897="","",'DIVA Satislari'!AR897)</f>
        <v/>
      </c>
      <c r="K897" s="26">
        <f>IF('DIVA Satislari'!I897="","",IFERROR(INDEX('E2E Nakliye Montaj'!$AS$3:$AS$1002,MATCH('DIVA Satislari'!AJ897,'E2E Nakliye Montaj'!$AM$3:$AM$1002,0)),"Eşleşme Yok"))</f>
        <v/>
      </c>
      <c r="L897" s="26">
        <f>IF('DIVA Satislari'!I897="","",IFERROR(INDEX('E2E Nakliye Montaj'!$AT$3:$AT$1002,MATCH('DIVA Satislari'!AJ897,'E2E Nakliye Montaj'!$AM$3:$AM$1002,0)),"Hayır"))</f>
        <v/>
      </c>
      <c r="M897" s="26">
        <f>IF('DIVA Satislari'!I897="","",IFERROR(INDEX('E2E Nakliye Montaj'!$AU$3:$AU$1002,MATCH('DIVA Satislari'!AJ897,'E2E Nakliye Montaj'!$AM$3:$AM$1002,0)),"Hayır"))</f>
        <v/>
      </c>
      <c r="N897" s="27">
        <f>IF('DIVA Satislari'!I897="","",IFERROR(INDEX('E2E Nakliye Montaj'!$AV$3:$AV$1002,MATCH('DIVA Satislari'!AJ897,'E2E Nakliye Montaj'!$AM$3:$AM$1002,0)),""))</f>
        <v/>
      </c>
      <c r="O897" s="26">
        <f>IF(OR(A897="",N897=""),"",IF(N897&lt;=H897,"Evet","HAYIR - RİSK"))</f>
        <v/>
      </c>
      <c r="P897" s="26">
        <f>IF(A897="","",IF(LEFT(J897,8)="Kural A ","Uygun - Hemen Ödenir (Yıl Sonu %75 Kontrolüne Tabi)",IF(OR(L897="Evet",M897="Evet"),IF(O897="Evet","Uygun","RİSK - Hakediş Süresi Aşıldı"),"Bekleniyor - Nakliye/Montaj Tamamlanmadı")))</f>
        <v/>
      </c>
      <c r="Q897" s="28">
        <f>IF(A897="","",SUMIFS('Hakedis Fatura Detay'!$G$3:$G$1200,'Hakedis Fatura Detay'!$H$3:$H$1200,'DIVA Satislari'!AJ897,'Hakedis Fatura Detay'!$F$3:$F$1200,"Fiyat Farkı")+SUMIFS('Hakedis Fatura Detay'!$G$3:$G$1200,'Hakedis Fatura Detay'!$H$3:$H$1200,'DIVA Satislari'!AJ897,'Hakedis Fatura Detay'!$F$3:$F$1200,"Bundle"))</f>
        <v/>
      </c>
      <c r="R897" s="28">
        <f>IF(A897="","",I897-Q897)</f>
        <v/>
      </c>
      <c r="S897" s="26">
        <f>IF(A897="","",IF(LEFT(P897,7)="Bekleni","N/A - Henüz Ödenmemeli",IF(LEFT(P897,4)="RİSK","İNCELEME GEREKLİ - Süre Aşımı",IF(R897=0,"Doğru",IF(R897&gt;0,"EKSİK ÖDENMİŞ","FAZLA ÖDENMİŞ")))))</f>
        <v/>
      </c>
      <c r="T897" s="30">
        <f>IF(A897="","",IF(F897&lt;&gt;"Evet","İNCELEME GEREKLİ - Kampanya Tanımsız",IF(G897&lt;&gt;"Evet","İNCELEME GEREKLİ - Tarih Dışı Satış",IF(LEFT(P897,4)="RİSK","İNCELEME GEREKLİ - Hakediş Süresi Aşıldı",IF(OR(S897="EKSİK ÖDENMİŞ",S897="FAZLA ÖDENMİŞ"),"İNCELEME GEREKLİ - Tutar Uyuşmazlığı",IF(LEFT(P897,7)="Bekleni","Bekleniyor","Uygun"))))))</f>
        <v/>
      </c>
    </row>
    <row r="898">
      <c r="A898" s="26">
        <f>IF('DIVA Satislari'!I898="","",'DIVA Satislari'!I898)</f>
        <v/>
      </c>
      <c r="B898" s="26">
        <f>IF('DIVA Satislari'!I898="","",'DIVA Satislari'!R898)</f>
        <v/>
      </c>
      <c r="C898" s="26">
        <f>IF('DIVA Satislari'!I898="","",'DIVA Satislari'!M898)</f>
        <v/>
      </c>
      <c r="D898" s="27">
        <f>IF('DIVA Satislari'!I898="","",'DIVA Satislari'!H898)</f>
        <v/>
      </c>
      <c r="E898" s="26">
        <f>IF('DIVA Satislari'!I898="","",'DIVA Satislari'!O898)</f>
        <v/>
      </c>
      <c r="F898" s="26">
        <f>IF('DIVA Satislari'!I898="","",'DIVA Satislari'!AK898)</f>
        <v/>
      </c>
      <c r="G898" s="26">
        <f>IF('DIVA Satislari'!I898="","",'DIVA Satislari'!AO898)</f>
        <v/>
      </c>
      <c r="H898" s="27">
        <f>IF('DIVA Satislari'!I898="","",'DIVA Satislari'!AN898)</f>
        <v/>
      </c>
      <c r="I898" s="28">
        <f>IF('DIVA Satislari'!I898="","",'DIVA Satislari'!AQ898)</f>
        <v/>
      </c>
      <c r="J898" s="26">
        <f>IF('DIVA Satislari'!I898="","",'DIVA Satislari'!AR898)</f>
        <v/>
      </c>
      <c r="K898" s="26">
        <f>IF('DIVA Satislari'!I898="","",IFERROR(INDEX('E2E Nakliye Montaj'!$AS$3:$AS$1002,MATCH('DIVA Satislari'!AJ898,'E2E Nakliye Montaj'!$AM$3:$AM$1002,0)),"Eşleşme Yok"))</f>
        <v/>
      </c>
      <c r="L898" s="26">
        <f>IF('DIVA Satislari'!I898="","",IFERROR(INDEX('E2E Nakliye Montaj'!$AT$3:$AT$1002,MATCH('DIVA Satislari'!AJ898,'E2E Nakliye Montaj'!$AM$3:$AM$1002,0)),"Hayır"))</f>
        <v/>
      </c>
      <c r="M898" s="26">
        <f>IF('DIVA Satislari'!I898="","",IFERROR(INDEX('E2E Nakliye Montaj'!$AU$3:$AU$1002,MATCH('DIVA Satislari'!AJ898,'E2E Nakliye Montaj'!$AM$3:$AM$1002,0)),"Hayır"))</f>
        <v/>
      </c>
      <c r="N898" s="27">
        <f>IF('DIVA Satislari'!I898="","",IFERROR(INDEX('E2E Nakliye Montaj'!$AV$3:$AV$1002,MATCH('DIVA Satislari'!AJ898,'E2E Nakliye Montaj'!$AM$3:$AM$1002,0)),""))</f>
        <v/>
      </c>
      <c r="O898" s="26">
        <f>IF(OR(A898="",N898=""),"",IF(N898&lt;=H898,"Evet","HAYIR - RİSK"))</f>
        <v/>
      </c>
      <c r="P898" s="26">
        <f>IF(A898="","",IF(LEFT(J898,8)="Kural A ","Uygun - Hemen Ödenir (Yıl Sonu %75 Kontrolüne Tabi)",IF(OR(L898="Evet",M898="Evet"),IF(O898="Evet","Uygun","RİSK - Hakediş Süresi Aşıldı"),"Bekleniyor - Nakliye/Montaj Tamamlanmadı")))</f>
        <v/>
      </c>
      <c r="Q898" s="28">
        <f>IF(A898="","",SUMIFS('Hakedis Fatura Detay'!$G$3:$G$1200,'Hakedis Fatura Detay'!$H$3:$H$1200,'DIVA Satislari'!AJ898,'Hakedis Fatura Detay'!$F$3:$F$1200,"Fiyat Farkı")+SUMIFS('Hakedis Fatura Detay'!$G$3:$G$1200,'Hakedis Fatura Detay'!$H$3:$H$1200,'DIVA Satislari'!AJ898,'Hakedis Fatura Detay'!$F$3:$F$1200,"Bundle"))</f>
        <v/>
      </c>
      <c r="R898" s="28">
        <f>IF(A898="","",I898-Q898)</f>
        <v/>
      </c>
      <c r="S898" s="26">
        <f>IF(A898="","",IF(LEFT(P898,7)="Bekleni","N/A - Henüz Ödenmemeli",IF(LEFT(P898,4)="RİSK","İNCELEME GEREKLİ - Süre Aşımı",IF(R898=0,"Doğru",IF(R898&gt;0,"EKSİK ÖDENMİŞ","FAZLA ÖDENMİŞ")))))</f>
        <v/>
      </c>
      <c r="T898" s="30">
        <f>IF(A898="","",IF(F898&lt;&gt;"Evet","İNCELEME GEREKLİ - Kampanya Tanımsız",IF(G898&lt;&gt;"Evet","İNCELEME GEREKLİ - Tarih Dışı Satış",IF(LEFT(P898,4)="RİSK","İNCELEME GEREKLİ - Hakediş Süresi Aşıldı",IF(OR(S898="EKSİK ÖDENMİŞ",S898="FAZLA ÖDENMİŞ"),"İNCELEME GEREKLİ - Tutar Uyuşmazlığı",IF(LEFT(P898,7)="Bekleni","Bekleniyor","Uygun"))))))</f>
        <v/>
      </c>
    </row>
    <row r="899">
      <c r="A899" s="26">
        <f>IF('DIVA Satislari'!I899="","",'DIVA Satislari'!I899)</f>
        <v/>
      </c>
      <c r="B899" s="26">
        <f>IF('DIVA Satislari'!I899="","",'DIVA Satislari'!R899)</f>
        <v/>
      </c>
      <c r="C899" s="26">
        <f>IF('DIVA Satislari'!I899="","",'DIVA Satislari'!M899)</f>
        <v/>
      </c>
      <c r="D899" s="27">
        <f>IF('DIVA Satislari'!I899="","",'DIVA Satislari'!H899)</f>
        <v/>
      </c>
      <c r="E899" s="26">
        <f>IF('DIVA Satislari'!I899="","",'DIVA Satislari'!O899)</f>
        <v/>
      </c>
      <c r="F899" s="26">
        <f>IF('DIVA Satislari'!I899="","",'DIVA Satislari'!AK899)</f>
        <v/>
      </c>
      <c r="G899" s="26">
        <f>IF('DIVA Satislari'!I899="","",'DIVA Satislari'!AO899)</f>
        <v/>
      </c>
      <c r="H899" s="27">
        <f>IF('DIVA Satislari'!I899="","",'DIVA Satislari'!AN899)</f>
        <v/>
      </c>
      <c r="I899" s="28">
        <f>IF('DIVA Satislari'!I899="","",'DIVA Satislari'!AQ899)</f>
        <v/>
      </c>
      <c r="J899" s="26">
        <f>IF('DIVA Satislari'!I899="","",'DIVA Satislari'!AR899)</f>
        <v/>
      </c>
      <c r="K899" s="26">
        <f>IF('DIVA Satislari'!I899="","",IFERROR(INDEX('E2E Nakliye Montaj'!$AS$3:$AS$1002,MATCH('DIVA Satislari'!AJ899,'E2E Nakliye Montaj'!$AM$3:$AM$1002,0)),"Eşleşme Yok"))</f>
        <v/>
      </c>
      <c r="L899" s="26">
        <f>IF('DIVA Satislari'!I899="","",IFERROR(INDEX('E2E Nakliye Montaj'!$AT$3:$AT$1002,MATCH('DIVA Satislari'!AJ899,'E2E Nakliye Montaj'!$AM$3:$AM$1002,0)),"Hayır"))</f>
        <v/>
      </c>
      <c r="M899" s="26">
        <f>IF('DIVA Satislari'!I899="","",IFERROR(INDEX('E2E Nakliye Montaj'!$AU$3:$AU$1002,MATCH('DIVA Satislari'!AJ899,'E2E Nakliye Montaj'!$AM$3:$AM$1002,0)),"Hayır"))</f>
        <v/>
      </c>
      <c r="N899" s="27">
        <f>IF('DIVA Satislari'!I899="","",IFERROR(INDEX('E2E Nakliye Montaj'!$AV$3:$AV$1002,MATCH('DIVA Satislari'!AJ899,'E2E Nakliye Montaj'!$AM$3:$AM$1002,0)),""))</f>
        <v/>
      </c>
      <c r="O899" s="26">
        <f>IF(OR(A899="",N899=""),"",IF(N899&lt;=H899,"Evet","HAYIR - RİSK"))</f>
        <v/>
      </c>
      <c r="P899" s="26">
        <f>IF(A899="","",IF(LEFT(J899,8)="Kural A ","Uygun - Hemen Ödenir (Yıl Sonu %75 Kontrolüne Tabi)",IF(OR(L899="Evet",M899="Evet"),IF(O899="Evet","Uygun","RİSK - Hakediş Süresi Aşıldı"),"Bekleniyor - Nakliye/Montaj Tamamlanmadı")))</f>
        <v/>
      </c>
      <c r="Q899" s="28">
        <f>IF(A899="","",SUMIFS('Hakedis Fatura Detay'!$G$3:$G$1200,'Hakedis Fatura Detay'!$H$3:$H$1200,'DIVA Satislari'!AJ899,'Hakedis Fatura Detay'!$F$3:$F$1200,"Fiyat Farkı")+SUMIFS('Hakedis Fatura Detay'!$G$3:$G$1200,'Hakedis Fatura Detay'!$H$3:$H$1200,'DIVA Satislari'!AJ899,'Hakedis Fatura Detay'!$F$3:$F$1200,"Bundle"))</f>
        <v/>
      </c>
      <c r="R899" s="28">
        <f>IF(A899="","",I899-Q899)</f>
        <v/>
      </c>
      <c r="S899" s="26">
        <f>IF(A899="","",IF(LEFT(P899,7)="Bekleni","N/A - Henüz Ödenmemeli",IF(LEFT(P899,4)="RİSK","İNCELEME GEREKLİ - Süre Aşımı",IF(R899=0,"Doğru",IF(R899&gt;0,"EKSİK ÖDENMİŞ","FAZLA ÖDENMİŞ")))))</f>
        <v/>
      </c>
      <c r="T899" s="30">
        <f>IF(A899="","",IF(F899&lt;&gt;"Evet","İNCELEME GEREKLİ - Kampanya Tanımsız",IF(G899&lt;&gt;"Evet","İNCELEME GEREKLİ - Tarih Dışı Satış",IF(LEFT(P899,4)="RİSK","İNCELEME GEREKLİ - Hakediş Süresi Aşıldı",IF(OR(S899="EKSİK ÖDENMİŞ",S899="FAZLA ÖDENMİŞ"),"İNCELEME GEREKLİ - Tutar Uyuşmazlığı",IF(LEFT(P899,7)="Bekleni","Bekleniyor","Uygun"))))))</f>
        <v/>
      </c>
    </row>
    <row r="900">
      <c r="A900" s="26">
        <f>IF('DIVA Satislari'!I900="","",'DIVA Satislari'!I900)</f>
        <v/>
      </c>
      <c r="B900" s="26">
        <f>IF('DIVA Satislari'!I900="","",'DIVA Satislari'!R900)</f>
        <v/>
      </c>
      <c r="C900" s="26">
        <f>IF('DIVA Satislari'!I900="","",'DIVA Satislari'!M900)</f>
        <v/>
      </c>
      <c r="D900" s="27">
        <f>IF('DIVA Satislari'!I900="","",'DIVA Satislari'!H900)</f>
        <v/>
      </c>
      <c r="E900" s="26">
        <f>IF('DIVA Satislari'!I900="","",'DIVA Satislari'!O900)</f>
        <v/>
      </c>
      <c r="F900" s="26">
        <f>IF('DIVA Satislari'!I900="","",'DIVA Satislari'!AK900)</f>
        <v/>
      </c>
      <c r="G900" s="26">
        <f>IF('DIVA Satislari'!I900="","",'DIVA Satislari'!AO900)</f>
        <v/>
      </c>
      <c r="H900" s="27">
        <f>IF('DIVA Satislari'!I900="","",'DIVA Satislari'!AN900)</f>
        <v/>
      </c>
      <c r="I900" s="28">
        <f>IF('DIVA Satislari'!I900="","",'DIVA Satislari'!AQ900)</f>
        <v/>
      </c>
      <c r="J900" s="26">
        <f>IF('DIVA Satislari'!I900="","",'DIVA Satislari'!AR900)</f>
        <v/>
      </c>
      <c r="K900" s="26">
        <f>IF('DIVA Satislari'!I900="","",IFERROR(INDEX('E2E Nakliye Montaj'!$AS$3:$AS$1002,MATCH('DIVA Satislari'!AJ900,'E2E Nakliye Montaj'!$AM$3:$AM$1002,0)),"Eşleşme Yok"))</f>
        <v/>
      </c>
      <c r="L900" s="26">
        <f>IF('DIVA Satislari'!I900="","",IFERROR(INDEX('E2E Nakliye Montaj'!$AT$3:$AT$1002,MATCH('DIVA Satislari'!AJ900,'E2E Nakliye Montaj'!$AM$3:$AM$1002,0)),"Hayır"))</f>
        <v/>
      </c>
      <c r="M900" s="26">
        <f>IF('DIVA Satislari'!I900="","",IFERROR(INDEX('E2E Nakliye Montaj'!$AU$3:$AU$1002,MATCH('DIVA Satislari'!AJ900,'E2E Nakliye Montaj'!$AM$3:$AM$1002,0)),"Hayır"))</f>
        <v/>
      </c>
      <c r="N900" s="27">
        <f>IF('DIVA Satislari'!I900="","",IFERROR(INDEX('E2E Nakliye Montaj'!$AV$3:$AV$1002,MATCH('DIVA Satislari'!AJ900,'E2E Nakliye Montaj'!$AM$3:$AM$1002,0)),""))</f>
        <v/>
      </c>
      <c r="O900" s="26">
        <f>IF(OR(A900="",N900=""),"",IF(N900&lt;=H900,"Evet","HAYIR - RİSK"))</f>
        <v/>
      </c>
      <c r="P900" s="26">
        <f>IF(A900="","",IF(LEFT(J900,8)="Kural A ","Uygun - Hemen Ödenir (Yıl Sonu %75 Kontrolüne Tabi)",IF(OR(L900="Evet",M900="Evet"),IF(O900="Evet","Uygun","RİSK - Hakediş Süresi Aşıldı"),"Bekleniyor - Nakliye/Montaj Tamamlanmadı")))</f>
        <v/>
      </c>
      <c r="Q900" s="28">
        <f>IF(A900="","",SUMIFS('Hakedis Fatura Detay'!$G$3:$G$1200,'Hakedis Fatura Detay'!$H$3:$H$1200,'DIVA Satislari'!AJ900,'Hakedis Fatura Detay'!$F$3:$F$1200,"Fiyat Farkı")+SUMIFS('Hakedis Fatura Detay'!$G$3:$G$1200,'Hakedis Fatura Detay'!$H$3:$H$1200,'DIVA Satislari'!AJ900,'Hakedis Fatura Detay'!$F$3:$F$1200,"Bundle"))</f>
        <v/>
      </c>
      <c r="R900" s="28">
        <f>IF(A900="","",I900-Q900)</f>
        <v/>
      </c>
      <c r="S900" s="26">
        <f>IF(A900="","",IF(LEFT(P900,7)="Bekleni","N/A - Henüz Ödenmemeli",IF(LEFT(P900,4)="RİSK","İNCELEME GEREKLİ - Süre Aşımı",IF(R900=0,"Doğru",IF(R900&gt;0,"EKSİK ÖDENMİŞ","FAZLA ÖDENMİŞ")))))</f>
        <v/>
      </c>
      <c r="T900" s="30">
        <f>IF(A900="","",IF(F900&lt;&gt;"Evet","İNCELEME GEREKLİ - Kampanya Tanımsız",IF(G900&lt;&gt;"Evet","İNCELEME GEREKLİ - Tarih Dışı Satış",IF(LEFT(P900,4)="RİSK","İNCELEME GEREKLİ - Hakediş Süresi Aşıldı",IF(OR(S900="EKSİK ÖDENMİŞ",S900="FAZLA ÖDENMİŞ"),"İNCELEME GEREKLİ - Tutar Uyuşmazlığı",IF(LEFT(P900,7)="Bekleni","Bekleniyor","Uygun"))))))</f>
        <v/>
      </c>
    </row>
    <row r="901">
      <c r="A901" s="26">
        <f>IF('DIVA Satislari'!I901="","",'DIVA Satislari'!I901)</f>
        <v/>
      </c>
      <c r="B901" s="26">
        <f>IF('DIVA Satislari'!I901="","",'DIVA Satislari'!R901)</f>
        <v/>
      </c>
      <c r="C901" s="26">
        <f>IF('DIVA Satislari'!I901="","",'DIVA Satislari'!M901)</f>
        <v/>
      </c>
      <c r="D901" s="27">
        <f>IF('DIVA Satislari'!I901="","",'DIVA Satislari'!H901)</f>
        <v/>
      </c>
      <c r="E901" s="26">
        <f>IF('DIVA Satislari'!I901="","",'DIVA Satislari'!O901)</f>
        <v/>
      </c>
      <c r="F901" s="26">
        <f>IF('DIVA Satislari'!I901="","",'DIVA Satislari'!AK901)</f>
        <v/>
      </c>
      <c r="G901" s="26">
        <f>IF('DIVA Satislari'!I901="","",'DIVA Satislari'!AO901)</f>
        <v/>
      </c>
      <c r="H901" s="27">
        <f>IF('DIVA Satislari'!I901="","",'DIVA Satislari'!AN901)</f>
        <v/>
      </c>
      <c r="I901" s="28">
        <f>IF('DIVA Satislari'!I901="","",'DIVA Satislari'!AQ901)</f>
        <v/>
      </c>
      <c r="J901" s="26">
        <f>IF('DIVA Satislari'!I901="","",'DIVA Satislari'!AR901)</f>
        <v/>
      </c>
      <c r="K901" s="26">
        <f>IF('DIVA Satislari'!I901="","",IFERROR(INDEX('E2E Nakliye Montaj'!$AS$3:$AS$1002,MATCH('DIVA Satislari'!AJ901,'E2E Nakliye Montaj'!$AM$3:$AM$1002,0)),"Eşleşme Yok"))</f>
        <v/>
      </c>
      <c r="L901" s="26">
        <f>IF('DIVA Satislari'!I901="","",IFERROR(INDEX('E2E Nakliye Montaj'!$AT$3:$AT$1002,MATCH('DIVA Satislari'!AJ901,'E2E Nakliye Montaj'!$AM$3:$AM$1002,0)),"Hayır"))</f>
        <v/>
      </c>
      <c r="M901" s="26">
        <f>IF('DIVA Satislari'!I901="","",IFERROR(INDEX('E2E Nakliye Montaj'!$AU$3:$AU$1002,MATCH('DIVA Satislari'!AJ901,'E2E Nakliye Montaj'!$AM$3:$AM$1002,0)),"Hayır"))</f>
        <v/>
      </c>
      <c r="N901" s="27">
        <f>IF('DIVA Satislari'!I901="","",IFERROR(INDEX('E2E Nakliye Montaj'!$AV$3:$AV$1002,MATCH('DIVA Satislari'!AJ901,'E2E Nakliye Montaj'!$AM$3:$AM$1002,0)),""))</f>
        <v/>
      </c>
      <c r="O901" s="26">
        <f>IF(OR(A901="",N901=""),"",IF(N901&lt;=H901,"Evet","HAYIR - RİSK"))</f>
        <v/>
      </c>
      <c r="P901" s="26">
        <f>IF(A901="","",IF(LEFT(J901,8)="Kural A ","Uygun - Hemen Ödenir (Yıl Sonu %75 Kontrolüne Tabi)",IF(OR(L901="Evet",M901="Evet"),IF(O901="Evet","Uygun","RİSK - Hakediş Süresi Aşıldı"),"Bekleniyor - Nakliye/Montaj Tamamlanmadı")))</f>
        <v/>
      </c>
      <c r="Q901" s="28">
        <f>IF(A901="","",SUMIFS('Hakedis Fatura Detay'!$G$3:$G$1200,'Hakedis Fatura Detay'!$H$3:$H$1200,'DIVA Satislari'!AJ901,'Hakedis Fatura Detay'!$F$3:$F$1200,"Fiyat Farkı")+SUMIFS('Hakedis Fatura Detay'!$G$3:$G$1200,'Hakedis Fatura Detay'!$H$3:$H$1200,'DIVA Satislari'!AJ901,'Hakedis Fatura Detay'!$F$3:$F$1200,"Bundle"))</f>
        <v/>
      </c>
      <c r="R901" s="28">
        <f>IF(A901="","",I901-Q901)</f>
        <v/>
      </c>
      <c r="S901" s="26">
        <f>IF(A901="","",IF(LEFT(P901,7)="Bekleni","N/A - Henüz Ödenmemeli",IF(LEFT(P901,4)="RİSK","İNCELEME GEREKLİ - Süre Aşımı",IF(R901=0,"Doğru",IF(R901&gt;0,"EKSİK ÖDENMİŞ","FAZLA ÖDENMİŞ")))))</f>
        <v/>
      </c>
      <c r="T901" s="30">
        <f>IF(A901="","",IF(F901&lt;&gt;"Evet","İNCELEME GEREKLİ - Kampanya Tanımsız",IF(G901&lt;&gt;"Evet","İNCELEME GEREKLİ - Tarih Dışı Satış",IF(LEFT(P901,4)="RİSK","İNCELEME GEREKLİ - Hakediş Süresi Aşıldı",IF(OR(S901="EKSİK ÖDENMİŞ",S901="FAZLA ÖDENMİŞ"),"İNCELEME GEREKLİ - Tutar Uyuşmazlığı",IF(LEFT(P901,7)="Bekleni","Bekleniyor","Uygun"))))))</f>
        <v/>
      </c>
    </row>
    <row r="902">
      <c r="A902" s="26">
        <f>IF('DIVA Satislari'!I902="","",'DIVA Satislari'!I902)</f>
        <v/>
      </c>
      <c r="B902" s="26">
        <f>IF('DIVA Satislari'!I902="","",'DIVA Satislari'!R902)</f>
        <v/>
      </c>
      <c r="C902" s="26">
        <f>IF('DIVA Satislari'!I902="","",'DIVA Satislari'!M902)</f>
        <v/>
      </c>
      <c r="D902" s="27">
        <f>IF('DIVA Satislari'!I902="","",'DIVA Satislari'!H902)</f>
        <v/>
      </c>
      <c r="E902" s="26">
        <f>IF('DIVA Satislari'!I902="","",'DIVA Satislari'!O902)</f>
        <v/>
      </c>
      <c r="F902" s="26">
        <f>IF('DIVA Satislari'!I902="","",'DIVA Satislari'!AK902)</f>
        <v/>
      </c>
      <c r="G902" s="26">
        <f>IF('DIVA Satislari'!I902="","",'DIVA Satislari'!AO902)</f>
        <v/>
      </c>
      <c r="H902" s="27">
        <f>IF('DIVA Satislari'!I902="","",'DIVA Satislari'!AN902)</f>
        <v/>
      </c>
      <c r="I902" s="28">
        <f>IF('DIVA Satislari'!I902="","",'DIVA Satislari'!AQ902)</f>
        <v/>
      </c>
      <c r="J902" s="26">
        <f>IF('DIVA Satislari'!I902="","",'DIVA Satislari'!AR902)</f>
        <v/>
      </c>
      <c r="K902" s="26">
        <f>IF('DIVA Satislari'!I902="","",IFERROR(INDEX('E2E Nakliye Montaj'!$AS$3:$AS$1002,MATCH('DIVA Satislari'!AJ902,'E2E Nakliye Montaj'!$AM$3:$AM$1002,0)),"Eşleşme Yok"))</f>
        <v/>
      </c>
      <c r="L902" s="26">
        <f>IF('DIVA Satislari'!I902="","",IFERROR(INDEX('E2E Nakliye Montaj'!$AT$3:$AT$1002,MATCH('DIVA Satislari'!AJ902,'E2E Nakliye Montaj'!$AM$3:$AM$1002,0)),"Hayır"))</f>
        <v/>
      </c>
      <c r="M902" s="26">
        <f>IF('DIVA Satislari'!I902="","",IFERROR(INDEX('E2E Nakliye Montaj'!$AU$3:$AU$1002,MATCH('DIVA Satislari'!AJ902,'E2E Nakliye Montaj'!$AM$3:$AM$1002,0)),"Hayır"))</f>
        <v/>
      </c>
      <c r="N902" s="27">
        <f>IF('DIVA Satislari'!I902="","",IFERROR(INDEX('E2E Nakliye Montaj'!$AV$3:$AV$1002,MATCH('DIVA Satislari'!AJ902,'E2E Nakliye Montaj'!$AM$3:$AM$1002,0)),""))</f>
        <v/>
      </c>
      <c r="O902" s="26">
        <f>IF(OR(A902="",N902=""),"",IF(N902&lt;=H902,"Evet","HAYIR - RİSK"))</f>
        <v/>
      </c>
      <c r="P902" s="26">
        <f>IF(A902="","",IF(LEFT(J902,8)="Kural A ","Uygun - Hemen Ödenir (Yıl Sonu %75 Kontrolüne Tabi)",IF(OR(L902="Evet",M902="Evet"),IF(O902="Evet","Uygun","RİSK - Hakediş Süresi Aşıldı"),"Bekleniyor - Nakliye/Montaj Tamamlanmadı")))</f>
        <v/>
      </c>
      <c r="Q902" s="28">
        <f>IF(A902="","",SUMIFS('Hakedis Fatura Detay'!$G$3:$G$1200,'Hakedis Fatura Detay'!$H$3:$H$1200,'DIVA Satislari'!AJ902,'Hakedis Fatura Detay'!$F$3:$F$1200,"Fiyat Farkı")+SUMIFS('Hakedis Fatura Detay'!$G$3:$G$1200,'Hakedis Fatura Detay'!$H$3:$H$1200,'DIVA Satislari'!AJ902,'Hakedis Fatura Detay'!$F$3:$F$1200,"Bundle"))</f>
        <v/>
      </c>
      <c r="R902" s="28">
        <f>IF(A902="","",I902-Q902)</f>
        <v/>
      </c>
      <c r="S902" s="26">
        <f>IF(A902="","",IF(LEFT(P902,7)="Bekleni","N/A - Henüz Ödenmemeli",IF(LEFT(P902,4)="RİSK","İNCELEME GEREKLİ - Süre Aşımı",IF(R902=0,"Doğru",IF(R902&gt;0,"EKSİK ÖDENMİŞ","FAZLA ÖDENMİŞ")))))</f>
        <v/>
      </c>
      <c r="T902" s="30">
        <f>IF(A902="","",IF(F902&lt;&gt;"Evet","İNCELEME GEREKLİ - Kampanya Tanımsız",IF(G902&lt;&gt;"Evet","İNCELEME GEREKLİ - Tarih Dışı Satış",IF(LEFT(P902,4)="RİSK","İNCELEME GEREKLİ - Hakediş Süresi Aşıldı",IF(OR(S902="EKSİK ÖDENMİŞ",S902="FAZLA ÖDENMİŞ"),"İNCELEME GEREKLİ - Tutar Uyuşmazlığı",IF(LEFT(P902,7)="Bekleni","Bekleniyor","Uygun"))))))</f>
        <v/>
      </c>
    </row>
    <row r="903">
      <c r="A903" s="26">
        <f>IF('DIVA Satislari'!I903="","",'DIVA Satislari'!I903)</f>
        <v/>
      </c>
      <c r="B903" s="26">
        <f>IF('DIVA Satislari'!I903="","",'DIVA Satislari'!R903)</f>
        <v/>
      </c>
      <c r="C903" s="26">
        <f>IF('DIVA Satislari'!I903="","",'DIVA Satislari'!M903)</f>
        <v/>
      </c>
      <c r="D903" s="27">
        <f>IF('DIVA Satislari'!I903="","",'DIVA Satislari'!H903)</f>
        <v/>
      </c>
      <c r="E903" s="26">
        <f>IF('DIVA Satislari'!I903="","",'DIVA Satislari'!O903)</f>
        <v/>
      </c>
      <c r="F903" s="26">
        <f>IF('DIVA Satislari'!I903="","",'DIVA Satislari'!AK903)</f>
        <v/>
      </c>
      <c r="G903" s="26">
        <f>IF('DIVA Satislari'!I903="","",'DIVA Satislari'!AO903)</f>
        <v/>
      </c>
      <c r="H903" s="27">
        <f>IF('DIVA Satislari'!I903="","",'DIVA Satislari'!AN903)</f>
        <v/>
      </c>
      <c r="I903" s="28">
        <f>IF('DIVA Satislari'!I903="","",'DIVA Satislari'!AQ903)</f>
        <v/>
      </c>
      <c r="J903" s="26">
        <f>IF('DIVA Satislari'!I903="","",'DIVA Satislari'!AR903)</f>
        <v/>
      </c>
      <c r="K903" s="26">
        <f>IF('DIVA Satislari'!I903="","",IFERROR(INDEX('E2E Nakliye Montaj'!$AS$3:$AS$1002,MATCH('DIVA Satislari'!AJ903,'E2E Nakliye Montaj'!$AM$3:$AM$1002,0)),"Eşleşme Yok"))</f>
        <v/>
      </c>
      <c r="L903" s="26">
        <f>IF('DIVA Satislari'!I903="","",IFERROR(INDEX('E2E Nakliye Montaj'!$AT$3:$AT$1002,MATCH('DIVA Satislari'!AJ903,'E2E Nakliye Montaj'!$AM$3:$AM$1002,0)),"Hayır"))</f>
        <v/>
      </c>
      <c r="M903" s="26">
        <f>IF('DIVA Satislari'!I903="","",IFERROR(INDEX('E2E Nakliye Montaj'!$AU$3:$AU$1002,MATCH('DIVA Satislari'!AJ903,'E2E Nakliye Montaj'!$AM$3:$AM$1002,0)),"Hayır"))</f>
        <v/>
      </c>
      <c r="N903" s="27">
        <f>IF('DIVA Satislari'!I903="","",IFERROR(INDEX('E2E Nakliye Montaj'!$AV$3:$AV$1002,MATCH('DIVA Satislari'!AJ903,'E2E Nakliye Montaj'!$AM$3:$AM$1002,0)),""))</f>
        <v/>
      </c>
      <c r="O903" s="26">
        <f>IF(OR(A903="",N903=""),"",IF(N903&lt;=H903,"Evet","HAYIR - RİSK"))</f>
        <v/>
      </c>
      <c r="P903" s="26">
        <f>IF(A903="","",IF(LEFT(J903,8)="Kural A ","Uygun - Hemen Ödenir (Yıl Sonu %75 Kontrolüne Tabi)",IF(OR(L903="Evet",M903="Evet"),IF(O903="Evet","Uygun","RİSK - Hakediş Süresi Aşıldı"),"Bekleniyor - Nakliye/Montaj Tamamlanmadı")))</f>
        <v/>
      </c>
      <c r="Q903" s="28">
        <f>IF(A903="","",SUMIFS('Hakedis Fatura Detay'!$G$3:$G$1200,'Hakedis Fatura Detay'!$H$3:$H$1200,'DIVA Satislari'!AJ903,'Hakedis Fatura Detay'!$F$3:$F$1200,"Fiyat Farkı")+SUMIFS('Hakedis Fatura Detay'!$G$3:$G$1200,'Hakedis Fatura Detay'!$H$3:$H$1200,'DIVA Satislari'!AJ903,'Hakedis Fatura Detay'!$F$3:$F$1200,"Bundle"))</f>
        <v/>
      </c>
      <c r="R903" s="28">
        <f>IF(A903="","",I903-Q903)</f>
        <v/>
      </c>
      <c r="S903" s="26">
        <f>IF(A903="","",IF(LEFT(P903,7)="Bekleni","N/A - Henüz Ödenmemeli",IF(LEFT(P903,4)="RİSK","İNCELEME GEREKLİ - Süre Aşımı",IF(R903=0,"Doğru",IF(R903&gt;0,"EKSİK ÖDENMİŞ","FAZLA ÖDENMİŞ")))))</f>
        <v/>
      </c>
      <c r="T903" s="30">
        <f>IF(A903="","",IF(F903&lt;&gt;"Evet","İNCELEME GEREKLİ - Kampanya Tanımsız",IF(G903&lt;&gt;"Evet","İNCELEME GEREKLİ - Tarih Dışı Satış",IF(LEFT(P903,4)="RİSK","İNCELEME GEREKLİ - Hakediş Süresi Aşıldı",IF(OR(S903="EKSİK ÖDENMİŞ",S903="FAZLA ÖDENMİŞ"),"İNCELEME GEREKLİ - Tutar Uyuşmazlığı",IF(LEFT(P903,7)="Bekleni","Bekleniyor","Uygun"))))))</f>
        <v/>
      </c>
    </row>
    <row r="904">
      <c r="A904" s="26">
        <f>IF('DIVA Satislari'!I904="","",'DIVA Satislari'!I904)</f>
        <v/>
      </c>
      <c r="B904" s="26">
        <f>IF('DIVA Satislari'!I904="","",'DIVA Satislari'!R904)</f>
        <v/>
      </c>
      <c r="C904" s="26">
        <f>IF('DIVA Satislari'!I904="","",'DIVA Satislari'!M904)</f>
        <v/>
      </c>
      <c r="D904" s="27">
        <f>IF('DIVA Satislari'!I904="","",'DIVA Satislari'!H904)</f>
        <v/>
      </c>
      <c r="E904" s="26">
        <f>IF('DIVA Satislari'!I904="","",'DIVA Satislari'!O904)</f>
        <v/>
      </c>
      <c r="F904" s="26">
        <f>IF('DIVA Satislari'!I904="","",'DIVA Satislari'!AK904)</f>
        <v/>
      </c>
      <c r="G904" s="26">
        <f>IF('DIVA Satislari'!I904="","",'DIVA Satislari'!AO904)</f>
        <v/>
      </c>
      <c r="H904" s="27">
        <f>IF('DIVA Satislari'!I904="","",'DIVA Satislari'!AN904)</f>
        <v/>
      </c>
      <c r="I904" s="28">
        <f>IF('DIVA Satislari'!I904="","",'DIVA Satislari'!AQ904)</f>
        <v/>
      </c>
      <c r="J904" s="26">
        <f>IF('DIVA Satislari'!I904="","",'DIVA Satislari'!AR904)</f>
        <v/>
      </c>
      <c r="K904" s="26">
        <f>IF('DIVA Satislari'!I904="","",IFERROR(INDEX('E2E Nakliye Montaj'!$AS$3:$AS$1002,MATCH('DIVA Satislari'!AJ904,'E2E Nakliye Montaj'!$AM$3:$AM$1002,0)),"Eşleşme Yok"))</f>
        <v/>
      </c>
      <c r="L904" s="26">
        <f>IF('DIVA Satislari'!I904="","",IFERROR(INDEX('E2E Nakliye Montaj'!$AT$3:$AT$1002,MATCH('DIVA Satislari'!AJ904,'E2E Nakliye Montaj'!$AM$3:$AM$1002,0)),"Hayır"))</f>
        <v/>
      </c>
      <c r="M904" s="26">
        <f>IF('DIVA Satislari'!I904="","",IFERROR(INDEX('E2E Nakliye Montaj'!$AU$3:$AU$1002,MATCH('DIVA Satislari'!AJ904,'E2E Nakliye Montaj'!$AM$3:$AM$1002,0)),"Hayır"))</f>
        <v/>
      </c>
      <c r="N904" s="27">
        <f>IF('DIVA Satislari'!I904="","",IFERROR(INDEX('E2E Nakliye Montaj'!$AV$3:$AV$1002,MATCH('DIVA Satislari'!AJ904,'E2E Nakliye Montaj'!$AM$3:$AM$1002,0)),""))</f>
        <v/>
      </c>
      <c r="O904" s="26">
        <f>IF(OR(A904="",N904=""),"",IF(N904&lt;=H904,"Evet","HAYIR - RİSK"))</f>
        <v/>
      </c>
      <c r="P904" s="26">
        <f>IF(A904="","",IF(LEFT(J904,8)="Kural A ","Uygun - Hemen Ödenir (Yıl Sonu %75 Kontrolüne Tabi)",IF(OR(L904="Evet",M904="Evet"),IF(O904="Evet","Uygun","RİSK - Hakediş Süresi Aşıldı"),"Bekleniyor - Nakliye/Montaj Tamamlanmadı")))</f>
        <v/>
      </c>
      <c r="Q904" s="28">
        <f>IF(A904="","",SUMIFS('Hakedis Fatura Detay'!$G$3:$G$1200,'Hakedis Fatura Detay'!$H$3:$H$1200,'DIVA Satislari'!AJ904,'Hakedis Fatura Detay'!$F$3:$F$1200,"Fiyat Farkı")+SUMIFS('Hakedis Fatura Detay'!$G$3:$G$1200,'Hakedis Fatura Detay'!$H$3:$H$1200,'DIVA Satislari'!AJ904,'Hakedis Fatura Detay'!$F$3:$F$1200,"Bundle"))</f>
        <v/>
      </c>
      <c r="R904" s="28">
        <f>IF(A904="","",I904-Q904)</f>
        <v/>
      </c>
      <c r="S904" s="26">
        <f>IF(A904="","",IF(LEFT(P904,7)="Bekleni","N/A - Henüz Ödenmemeli",IF(LEFT(P904,4)="RİSK","İNCELEME GEREKLİ - Süre Aşımı",IF(R904=0,"Doğru",IF(R904&gt;0,"EKSİK ÖDENMİŞ","FAZLA ÖDENMİŞ")))))</f>
        <v/>
      </c>
      <c r="T904" s="30">
        <f>IF(A904="","",IF(F904&lt;&gt;"Evet","İNCELEME GEREKLİ - Kampanya Tanımsız",IF(G904&lt;&gt;"Evet","İNCELEME GEREKLİ - Tarih Dışı Satış",IF(LEFT(P904,4)="RİSK","İNCELEME GEREKLİ - Hakediş Süresi Aşıldı",IF(OR(S904="EKSİK ÖDENMİŞ",S904="FAZLA ÖDENMİŞ"),"İNCELEME GEREKLİ - Tutar Uyuşmazlığı",IF(LEFT(P904,7)="Bekleni","Bekleniyor","Uygun"))))))</f>
        <v/>
      </c>
    </row>
    <row r="905">
      <c r="A905" s="26">
        <f>IF('DIVA Satislari'!I905="","",'DIVA Satislari'!I905)</f>
        <v/>
      </c>
      <c r="B905" s="26">
        <f>IF('DIVA Satislari'!I905="","",'DIVA Satislari'!R905)</f>
        <v/>
      </c>
      <c r="C905" s="26">
        <f>IF('DIVA Satislari'!I905="","",'DIVA Satislari'!M905)</f>
        <v/>
      </c>
      <c r="D905" s="27">
        <f>IF('DIVA Satislari'!I905="","",'DIVA Satislari'!H905)</f>
        <v/>
      </c>
      <c r="E905" s="26">
        <f>IF('DIVA Satislari'!I905="","",'DIVA Satislari'!O905)</f>
        <v/>
      </c>
      <c r="F905" s="26">
        <f>IF('DIVA Satislari'!I905="","",'DIVA Satislari'!AK905)</f>
        <v/>
      </c>
      <c r="G905" s="26">
        <f>IF('DIVA Satislari'!I905="","",'DIVA Satislari'!AO905)</f>
        <v/>
      </c>
      <c r="H905" s="27">
        <f>IF('DIVA Satislari'!I905="","",'DIVA Satislari'!AN905)</f>
        <v/>
      </c>
      <c r="I905" s="28">
        <f>IF('DIVA Satislari'!I905="","",'DIVA Satislari'!AQ905)</f>
        <v/>
      </c>
      <c r="J905" s="26">
        <f>IF('DIVA Satislari'!I905="","",'DIVA Satislari'!AR905)</f>
        <v/>
      </c>
      <c r="K905" s="26">
        <f>IF('DIVA Satislari'!I905="","",IFERROR(INDEX('E2E Nakliye Montaj'!$AS$3:$AS$1002,MATCH('DIVA Satislari'!AJ905,'E2E Nakliye Montaj'!$AM$3:$AM$1002,0)),"Eşleşme Yok"))</f>
        <v/>
      </c>
      <c r="L905" s="26">
        <f>IF('DIVA Satislari'!I905="","",IFERROR(INDEX('E2E Nakliye Montaj'!$AT$3:$AT$1002,MATCH('DIVA Satislari'!AJ905,'E2E Nakliye Montaj'!$AM$3:$AM$1002,0)),"Hayır"))</f>
        <v/>
      </c>
      <c r="M905" s="26">
        <f>IF('DIVA Satislari'!I905="","",IFERROR(INDEX('E2E Nakliye Montaj'!$AU$3:$AU$1002,MATCH('DIVA Satislari'!AJ905,'E2E Nakliye Montaj'!$AM$3:$AM$1002,0)),"Hayır"))</f>
        <v/>
      </c>
      <c r="N905" s="27">
        <f>IF('DIVA Satislari'!I905="","",IFERROR(INDEX('E2E Nakliye Montaj'!$AV$3:$AV$1002,MATCH('DIVA Satislari'!AJ905,'E2E Nakliye Montaj'!$AM$3:$AM$1002,0)),""))</f>
        <v/>
      </c>
      <c r="O905" s="26">
        <f>IF(OR(A905="",N905=""),"",IF(N905&lt;=H905,"Evet","HAYIR - RİSK"))</f>
        <v/>
      </c>
      <c r="P905" s="26">
        <f>IF(A905="","",IF(LEFT(J905,8)="Kural A ","Uygun - Hemen Ödenir (Yıl Sonu %75 Kontrolüne Tabi)",IF(OR(L905="Evet",M905="Evet"),IF(O905="Evet","Uygun","RİSK - Hakediş Süresi Aşıldı"),"Bekleniyor - Nakliye/Montaj Tamamlanmadı")))</f>
        <v/>
      </c>
      <c r="Q905" s="28">
        <f>IF(A905="","",SUMIFS('Hakedis Fatura Detay'!$G$3:$G$1200,'Hakedis Fatura Detay'!$H$3:$H$1200,'DIVA Satislari'!AJ905,'Hakedis Fatura Detay'!$F$3:$F$1200,"Fiyat Farkı")+SUMIFS('Hakedis Fatura Detay'!$G$3:$G$1200,'Hakedis Fatura Detay'!$H$3:$H$1200,'DIVA Satislari'!AJ905,'Hakedis Fatura Detay'!$F$3:$F$1200,"Bundle"))</f>
        <v/>
      </c>
      <c r="R905" s="28">
        <f>IF(A905="","",I905-Q905)</f>
        <v/>
      </c>
      <c r="S905" s="26">
        <f>IF(A905="","",IF(LEFT(P905,7)="Bekleni","N/A - Henüz Ödenmemeli",IF(LEFT(P905,4)="RİSK","İNCELEME GEREKLİ - Süre Aşımı",IF(R905=0,"Doğru",IF(R905&gt;0,"EKSİK ÖDENMİŞ","FAZLA ÖDENMİŞ")))))</f>
        <v/>
      </c>
      <c r="T905" s="30">
        <f>IF(A905="","",IF(F905&lt;&gt;"Evet","İNCELEME GEREKLİ - Kampanya Tanımsız",IF(G905&lt;&gt;"Evet","İNCELEME GEREKLİ - Tarih Dışı Satış",IF(LEFT(P905,4)="RİSK","İNCELEME GEREKLİ - Hakediş Süresi Aşıldı",IF(OR(S905="EKSİK ÖDENMİŞ",S905="FAZLA ÖDENMİŞ"),"İNCELEME GEREKLİ - Tutar Uyuşmazlığı",IF(LEFT(P905,7)="Bekleni","Bekleniyor","Uygun"))))))</f>
        <v/>
      </c>
    </row>
    <row r="906">
      <c r="A906" s="26">
        <f>IF('DIVA Satislari'!I906="","",'DIVA Satislari'!I906)</f>
        <v/>
      </c>
      <c r="B906" s="26">
        <f>IF('DIVA Satislari'!I906="","",'DIVA Satislari'!R906)</f>
        <v/>
      </c>
      <c r="C906" s="26">
        <f>IF('DIVA Satislari'!I906="","",'DIVA Satislari'!M906)</f>
        <v/>
      </c>
      <c r="D906" s="27">
        <f>IF('DIVA Satislari'!I906="","",'DIVA Satislari'!H906)</f>
        <v/>
      </c>
      <c r="E906" s="26">
        <f>IF('DIVA Satislari'!I906="","",'DIVA Satislari'!O906)</f>
        <v/>
      </c>
      <c r="F906" s="26">
        <f>IF('DIVA Satislari'!I906="","",'DIVA Satislari'!AK906)</f>
        <v/>
      </c>
      <c r="G906" s="26">
        <f>IF('DIVA Satislari'!I906="","",'DIVA Satislari'!AO906)</f>
        <v/>
      </c>
      <c r="H906" s="27">
        <f>IF('DIVA Satislari'!I906="","",'DIVA Satislari'!AN906)</f>
        <v/>
      </c>
      <c r="I906" s="28">
        <f>IF('DIVA Satislari'!I906="","",'DIVA Satislari'!AQ906)</f>
        <v/>
      </c>
      <c r="J906" s="26">
        <f>IF('DIVA Satislari'!I906="","",'DIVA Satislari'!AR906)</f>
        <v/>
      </c>
      <c r="K906" s="26">
        <f>IF('DIVA Satislari'!I906="","",IFERROR(INDEX('E2E Nakliye Montaj'!$AS$3:$AS$1002,MATCH('DIVA Satislari'!AJ906,'E2E Nakliye Montaj'!$AM$3:$AM$1002,0)),"Eşleşme Yok"))</f>
        <v/>
      </c>
      <c r="L906" s="26">
        <f>IF('DIVA Satislari'!I906="","",IFERROR(INDEX('E2E Nakliye Montaj'!$AT$3:$AT$1002,MATCH('DIVA Satislari'!AJ906,'E2E Nakliye Montaj'!$AM$3:$AM$1002,0)),"Hayır"))</f>
        <v/>
      </c>
      <c r="M906" s="26">
        <f>IF('DIVA Satislari'!I906="","",IFERROR(INDEX('E2E Nakliye Montaj'!$AU$3:$AU$1002,MATCH('DIVA Satislari'!AJ906,'E2E Nakliye Montaj'!$AM$3:$AM$1002,0)),"Hayır"))</f>
        <v/>
      </c>
      <c r="N906" s="27">
        <f>IF('DIVA Satislari'!I906="","",IFERROR(INDEX('E2E Nakliye Montaj'!$AV$3:$AV$1002,MATCH('DIVA Satislari'!AJ906,'E2E Nakliye Montaj'!$AM$3:$AM$1002,0)),""))</f>
        <v/>
      </c>
      <c r="O906" s="26">
        <f>IF(OR(A906="",N906=""),"",IF(N906&lt;=H906,"Evet","HAYIR - RİSK"))</f>
        <v/>
      </c>
      <c r="P906" s="26">
        <f>IF(A906="","",IF(LEFT(J906,8)="Kural A ","Uygun - Hemen Ödenir (Yıl Sonu %75 Kontrolüne Tabi)",IF(OR(L906="Evet",M906="Evet"),IF(O906="Evet","Uygun","RİSK - Hakediş Süresi Aşıldı"),"Bekleniyor - Nakliye/Montaj Tamamlanmadı")))</f>
        <v/>
      </c>
      <c r="Q906" s="28">
        <f>IF(A906="","",SUMIFS('Hakedis Fatura Detay'!$G$3:$G$1200,'Hakedis Fatura Detay'!$H$3:$H$1200,'DIVA Satislari'!AJ906,'Hakedis Fatura Detay'!$F$3:$F$1200,"Fiyat Farkı")+SUMIFS('Hakedis Fatura Detay'!$G$3:$G$1200,'Hakedis Fatura Detay'!$H$3:$H$1200,'DIVA Satislari'!AJ906,'Hakedis Fatura Detay'!$F$3:$F$1200,"Bundle"))</f>
        <v/>
      </c>
      <c r="R906" s="28">
        <f>IF(A906="","",I906-Q906)</f>
        <v/>
      </c>
      <c r="S906" s="26">
        <f>IF(A906="","",IF(LEFT(P906,7)="Bekleni","N/A - Henüz Ödenmemeli",IF(LEFT(P906,4)="RİSK","İNCELEME GEREKLİ - Süre Aşımı",IF(R906=0,"Doğru",IF(R906&gt;0,"EKSİK ÖDENMİŞ","FAZLA ÖDENMİŞ")))))</f>
        <v/>
      </c>
      <c r="T906" s="30">
        <f>IF(A906="","",IF(F906&lt;&gt;"Evet","İNCELEME GEREKLİ - Kampanya Tanımsız",IF(G906&lt;&gt;"Evet","İNCELEME GEREKLİ - Tarih Dışı Satış",IF(LEFT(P906,4)="RİSK","İNCELEME GEREKLİ - Hakediş Süresi Aşıldı",IF(OR(S906="EKSİK ÖDENMİŞ",S906="FAZLA ÖDENMİŞ"),"İNCELEME GEREKLİ - Tutar Uyuşmazlığı",IF(LEFT(P906,7)="Bekleni","Bekleniyor","Uygun"))))))</f>
        <v/>
      </c>
    </row>
    <row r="907">
      <c r="A907" s="26">
        <f>IF('DIVA Satislari'!I907="","",'DIVA Satislari'!I907)</f>
        <v/>
      </c>
      <c r="B907" s="26">
        <f>IF('DIVA Satislari'!I907="","",'DIVA Satislari'!R907)</f>
        <v/>
      </c>
      <c r="C907" s="26">
        <f>IF('DIVA Satislari'!I907="","",'DIVA Satislari'!M907)</f>
        <v/>
      </c>
      <c r="D907" s="27">
        <f>IF('DIVA Satislari'!I907="","",'DIVA Satislari'!H907)</f>
        <v/>
      </c>
      <c r="E907" s="26">
        <f>IF('DIVA Satislari'!I907="","",'DIVA Satislari'!O907)</f>
        <v/>
      </c>
      <c r="F907" s="26">
        <f>IF('DIVA Satislari'!I907="","",'DIVA Satislari'!AK907)</f>
        <v/>
      </c>
      <c r="G907" s="26">
        <f>IF('DIVA Satislari'!I907="","",'DIVA Satislari'!AO907)</f>
        <v/>
      </c>
      <c r="H907" s="27">
        <f>IF('DIVA Satislari'!I907="","",'DIVA Satislari'!AN907)</f>
        <v/>
      </c>
      <c r="I907" s="28">
        <f>IF('DIVA Satislari'!I907="","",'DIVA Satislari'!AQ907)</f>
        <v/>
      </c>
      <c r="J907" s="26">
        <f>IF('DIVA Satislari'!I907="","",'DIVA Satislari'!AR907)</f>
        <v/>
      </c>
      <c r="K907" s="26">
        <f>IF('DIVA Satislari'!I907="","",IFERROR(INDEX('E2E Nakliye Montaj'!$AS$3:$AS$1002,MATCH('DIVA Satislari'!AJ907,'E2E Nakliye Montaj'!$AM$3:$AM$1002,0)),"Eşleşme Yok"))</f>
        <v/>
      </c>
      <c r="L907" s="26">
        <f>IF('DIVA Satislari'!I907="","",IFERROR(INDEX('E2E Nakliye Montaj'!$AT$3:$AT$1002,MATCH('DIVA Satislari'!AJ907,'E2E Nakliye Montaj'!$AM$3:$AM$1002,0)),"Hayır"))</f>
        <v/>
      </c>
      <c r="M907" s="26">
        <f>IF('DIVA Satislari'!I907="","",IFERROR(INDEX('E2E Nakliye Montaj'!$AU$3:$AU$1002,MATCH('DIVA Satislari'!AJ907,'E2E Nakliye Montaj'!$AM$3:$AM$1002,0)),"Hayır"))</f>
        <v/>
      </c>
      <c r="N907" s="27">
        <f>IF('DIVA Satislari'!I907="","",IFERROR(INDEX('E2E Nakliye Montaj'!$AV$3:$AV$1002,MATCH('DIVA Satislari'!AJ907,'E2E Nakliye Montaj'!$AM$3:$AM$1002,0)),""))</f>
        <v/>
      </c>
      <c r="O907" s="26">
        <f>IF(OR(A907="",N907=""),"",IF(N907&lt;=H907,"Evet","HAYIR - RİSK"))</f>
        <v/>
      </c>
      <c r="P907" s="26">
        <f>IF(A907="","",IF(LEFT(J907,8)="Kural A ","Uygun - Hemen Ödenir (Yıl Sonu %75 Kontrolüne Tabi)",IF(OR(L907="Evet",M907="Evet"),IF(O907="Evet","Uygun","RİSK - Hakediş Süresi Aşıldı"),"Bekleniyor - Nakliye/Montaj Tamamlanmadı")))</f>
        <v/>
      </c>
      <c r="Q907" s="28">
        <f>IF(A907="","",SUMIFS('Hakedis Fatura Detay'!$G$3:$G$1200,'Hakedis Fatura Detay'!$H$3:$H$1200,'DIVA Satislari'!AJ907,'Hakedis Fatura Detay'!$F$3:$F$1200,"Fiyat Farkı")+SUMIFS('Hakedis Fatura Detay'!$G$3:$G$1200,'Hakedis Fatura Detay'!$H$3:$H$1200,'DIVA Satislari'!AJ907,'Hakedis Fatura Detay'!$F$3:$F$1200,"Bundle"))</f>
        <v/>
      </c>
      <c r="R907" s="28">
        <f>IF(A907="","",I907-Q907)</f>
        <v/>
      </c>
      <c r="S907" s="26">
        <f>IF(A907="","",IF(LEFT(P907,7)="Bekleni","N/A - Henüz Ödenmemeli",IF(LEFT(P907,4)="RİSK","İNCELEME GEREKLİ - Süre Aşımı",IF(R907=0,"Doğru",IF(R907&gt;0,"EKSİK ÖDENMİŞ","FAZLA ÖDENMİŞ")))))</f>
        <v/>
      </c>
      <c r="T907" s="30">
        <f>IF(A907="","",IF(F907&lt;&gt;"Evet","İNCELEME GEREKLİ - Kampanya Tanımsız",IF(G907&lt;&gt;"Evet","İNCELEME GEREKLİ - Tarih Dışı Satış",IF(LEFT(P907,4)="RİSK","İNCELEME GEREKLİ - Hakediş Süresi Aşıldı",IF(OR(S907="EKSİK ÖDENMİŞ",S907="FAZLA ÖDENMİŞ"),"İNCELEME GEREKLİ - Tutar Uyuşmazlığı",IF(LEFT(P907,7)="Bekleni","Bekleniyor","Uygun"))))))</f>
        <v/>
      </c>
    </row>
    <row r="908">
      <c r="A908" s="26">
        <f>IF('DIVA Satislari'!I908="","",'DIVA Satislari'!I908)</f>
        <v/>
      </c>
      <c r="B908" s="26">
        <f>IF('DIVA Satislari'!I908="","",'DIVA Satislari'!R908)</f>
        <v/>
      </c>
      <c r="C908" s="26">
        <f>IF('DIVA Satislari'!I908="","",'DIVA Satislari'!M908)</f>
        <v/>
      </c>
      <c r="D908" s="27">
        <f>IF('DIVA Satislari'!I908="","",'DIVA Satislari'!H908)</f>
        <v/>
      </c>
      <c r="E908" s="26">
        <f>IF('DIVA Satislari'!I908="","",'DIVA Satislari'!O908)</f>
        <v/>
      </c>
      <c r="F908" s="26">
        <f>IF('DIVA Satislari'!I908="","",'DIVA Satislari'!AK908)</f>
        <v/>
      </c>
      <c r="G908" s="26">
        <f>IF('DIVA Satislari'!I908="","",'DIVA Satislari'!AO908)</f>
        <v/>
      </c>
      <c r="H908" s="27">
        <f>IF('DIVA Satislari'!I908="","",'DIVA Satislari'!AN908)</f>
        <v/>
      </c>
      <c r="I908" s="28">
        <f>IF('DIVA Satislari'!I908="","",'DIVA Satislari'!AQ908)</f>
        <v/>
      </c>
      <c r="J908" s="26">
        <f>IF('DIVA Satislari'!I908="","",'DIVA Satislari'!AR908)</f>
        <v/>
      </c>
      <c r="K908" s="26">
        <f>IF('DIVA Satislari'!I908="","",IFERROR(INDEX('E2E Nakliye Montaj'!$AS$3:$AS$1002,MATCH('DIVA Satislari'!AJ908,'E2E Nakliye Montaj'!$AM$3:$AM$1002,0)),"Eşleşme Yok"))</f>
        <v/>
      </c>
      <c r="L908" s="26">
        <f>IF('DIVA Satislari'!I908="","",IFERROR(INDEX('E2E Nakliye Montaj'!$AT$3:$AT$1002,MATCH('DIVA Satislari'!AJ908,'E2E Nakliye Montaj'!$AM$3:$AM$1002,0)),"Hayır"))</f>
        <v/>
      </c>
      <c r="M908" s="26">
        <f>IF('DIVA Satislari'!I908="","",IFERROR(INDEX('E2E Nakliye Montaj'!$AU$3:$AU$1002,MATCH('DIVA Satislari'!AJ908,'E2E Nakliye Montaj'!$AM$3:$AM$1002,0)),"Hayır"))</f>
        <v/>
      </c>
      <c r="N908" s="27">
        <f>IF('DIVA Satislari'!I908="","",IFERROR(INDEX('E2E Nakliye Montaj'!$AV$3:$AV$1002,MATCH('DIVA Satislari'!AJ908,'E2E Nakliye Montaj'!$AM$3:$AM$1002,0)),""))</f>
        <v/>
      </c>
      <c r="O908" s="26">
        <f>IF(OR(A908="",N908=""),"",IF(N908&lt;=H908,"Evet","HAYIR - RİSK"))</f>
        <v/>
      </c>
      <c r="P908" s="26">
        <f>IF(A908="","",IF(LEFT(J908,8)="Kural A ","Uygun - Hemen Ödenir (Yıl Sonu %75 Kontrolüne Tabi)",IF(OR(L908="Evet",M908="Evet"),IF(O908="Evet","Uygun","RİSK - Hakediş Süresi Aşıldı"),"Bekleniyor - Nakliye/Montaj Tamamlanmadı")))</f>
        <v/>
      </c>
      <c r="Q908" s="28">
        <f>IF(A908="","",SUMIFS('Hakedis Fatura Detay'!$G$3:$G$1200,'Hakedis Fatura Detay'!$H$3:$H$1200,'DIVA Satislari'!AJ908,'Hakedis Fatura Detay'!$F$3:$F$1200,"Fiyat Farkı")+SUMIFS('Hakedis Fatura Detay'!$G$3:$G$1200,'Hakedis Fatura Detay'!$H$3:$H$1200,'DIVA Satislari'!AJ908,'Hakedis Fatura Detay'!$F$3:$F$1200,"Bundle"))</f>
        <v/>
      </c>
      <c r="R908" s="28">
        <f>IF(A908="","",I908-Q908)</f>
        <v/>
      </c>
      <c r="S908" s="26">
        <f>IF(A908="","",IF(LEFT(P908,7)="Bekleni","N/A - Henüz Ödenmemeli",IF(LEFT(P908,4)="RİSK","İNCELEME GEREKLİ - Süre Aşımı",IF(R908=0,"Doğru",IF(R908&gt;0,"EKSİK ÖDENMİŞ","FAZLA ÖDENMİŞ")))))</f>
        <v/>
      </c>
      <c r="T908" s="30">
        <f>IF(A908="","",IF(F908&lt;&gt;"Evet","İNCELEME GEREKLİ - Kampanya Tanımsız",IF(G908&lt;&gt;"Evet","İNCELEME GEREKLİ - Tarih Dışı Satış",IF(LEFT(P908,4)="RİSK","İNCELEME GEREKLİ - Hakediş Süresi Aşıldı",IF(OR(S908="EKSİK ÖDENMİŞ",S908="FAZLA ÖDENMİŞ"),"İNCELEME GEREKLİ - Tutar Uyuşmazlığı",IF(LEFT(P908,7)="Bekleni","Bekleniyor","Uygun"))))))</f>
        <v/>
      </c>
    </row>
    <row r="909">
      <c r="A909" s="26">
        <f>IF('DIVA Satislari'!I909="","",'DIVA Satislari'!I909)</f>
        <v/>
      </c>
      <c r="B909" s="26">
        <f>IF('DIVA Satislari'!I909="","",'DIVA Satislari'!R909)</f>
        <v/>
      </c>
      <c r="C909" s="26">
        <f>IF('DIVA Satislari'!I909="","",'DIVA Satislari'!M909)</f>
        <v/>
      </c>
      <c r="D909" s="27">
        <f>IF('DIVA Satislari'!I909="","",'DIVA Satislari'!H909)</f>
        <v/>
      </c>
      <c r="E909" s="26">
        <f>IF('DIVA Satislari'!I909="","",'DIVA Satislari'!O909)</f>
        <v/>
      </c>
      <c r="F909" s="26">
        <f>IF('DIVA Satislari'!I909="","",'DIVA Satislari'!AK909)</f>
        <v/>
      </c>
      <c r="G909" s="26">
        <f>IF('DIVA Satislari'!I909="","",'DIVA Satislari'!AO909)</f>
        <v/>
      </c>
      <c r="H909" s="27">
        <f>IF('DIVA Satislari'!I909="","",'DIVA Satislari'!AN909)</f>
        <v/>
      </c>
      <c r="I909" s="28">
        <f>IF('DIVA Satislari'!I909="","",'DIVA Satislari'!AQ909)</f>
        <v/>
      </c>
      <c r="J909" s="26">
        <f>IF('DIVA Satislari'!I909="","",'DIVA Satislari'!AR909)</f>
        <v/>
      </c>
      <c r="K909" s="26">
        <f>IF('DIVA Satislari'!I909="","",IFERROR(INDEX('E2E Nakliye Montaj'!$AS$3:$AS$1002,MATCH('DIVA Satislari'!AJ909,'E2E Nakliye Montaj'!$AM$3:$AM$1002,0)),"Eşleşme Yok"))</f>
        <v/>
      </c>
      <c r="L909" s="26">
        <f>IF('DIVA Satislari'!I909="","",IFERROR(INDEX('E2E Nakliye Montaj'!$AT$3:$AT$1002,MATCH('DIVA Satislari'!AJ909,'E2E Nakliye Montaj'!$AM$3:$AM$1002,0)),"Hayır"))</f>
        <v/>
      </c>
      <c r="M909" s="26">
        <f>IF('DIVA Satislari'!I909="","",IFERROR(INDEX('E2E Nakliye Montaj'!$AU$3:$AU$1002,MATCH('DIVA Satislari'!AJ909,'E2E Nakliye Montaj'!$AM$3:$AM$1002,0)),"Hayır"))</f>
        <v/>
      </c>
      <c r="N909" s="27">
        <f>IF('DIVA Satislari'!I909="","",IFERROR(INDEX('E2E Nakliye Montaj'!$AV$3:$AV$1002,MATCH('DIVA Satislari'!AJ909,'E2E Nakliye Montaj'!$AM$3:$AM$1002,0)),""))</f>
        <v/>
      </c>
      <c r="O909" s="26">
        <f>IF(OR(A909="",N909=""),"",IF(N909&lt;=H909,"Evet","HAYIR - RİSK"))</f>
        <v/>
      </c>
      <c r="P909" s="26">
        <f>IF(A909="","",IF(LEFT(J909,8)="Kural A ","Uygun - Hemen Ödenir (Yıl Sonu %75 Kontrolüne Tabi)",IF(OR(L909="Evet",M909="Evet"),IF(O909="Evet","Uygun","RİSK - Hakediş Süresi Aşıldı"),"Bekleniyor - Nakliye/Montaj Tamamlanmadı")))</f>
        <v/>
      </c>
      <c r="Q909" s="28">
        <f>IF(A909="","",SUMIFS('Hakedis Fatura Detay'!$G$3:$G$1200,'Hakedis Fatura Detay'!$H$3:$H$1200,'DIVA Satislari'!AJ909,'Hakedis Fatura Detay'!$F$3:$F$1200,"Fiyat Farkı")+SUMIFS('Hakedis Fatura Detay'!$G$3:$G$1200,'Hakedis Fatura Detay'!$H$3:$H$1200,'DIVA Satislari'!AJ909,'Hakedis Fatura Detay'!$F$3:$F$1200,"Bundle"))</f>
        <v/>
      </c>
      <c r="R909" s="28">
        <f>IF(A909="","",I909-Q909)</f>
        <v/>
      </c>
      <c r="S909" s="26">
        <f>IF(A909="","",IF(LEFT(P909,7)="Bekleni","N/A - Henüz Ödenmemeli",IF(LEFT(P909,4)="RİSK","İNCELEME GEREKLİ - Süre Aşımı",IF(R909=0,"Doğru",IF(R909&gt;0,"EKSİK ÖDENMİŞ","FAZLA ÖDENMİŞ")))))</f>
        <v/>
      </c>
      <c r="T909" s="30">
        <f>IF(A909="","",IF(F909&lt;&gt;"Evet","İNCELEME GEREKLİ - Kampanya Tanımsız",IF(G909&lt;&gt;"Evet","İNCELEME GEREKLİ - Tarih Dışı Satış",IF(LEFT(P909,4)="RİSK","İNCELEME GEREKLİ - Hakediş Süresi Aşıldı",IF(OR(S909="EKSİK ÖDENMİŞ",S909="FAZLA ÖDENMİŞ"),"İNCELEME GEREKLİ - Tutar Uyuşmazlığı",IF(LEFT(P909,7)="Bekleni","Bekleniyor","Uygun"))))))</f>
        <v/>
      </c>
    </row>
    <row r="910">
      <c r="A910" s="26">
        <f>IF('DIVA Satislari'!I910="","",'DIVA Satislari'!I910)</f>
        <v/>
      </c>
      <c r="B910" s="26">
        <f>IF('DIVA Satislari'!I910="","",'DIVA Satislari'!R910)</f>
        <v/>
      </c>
      <c r="C910" s="26">
        <f>IF('DIVA Satislari'!I910="","",'DIVA Satislari'!M910)</f>
        <v/>
      </c>
      <c r="D910" s="27">
        <f>IF('DIVA Satislari'!I910="","",'DIVA Satislari'!H910)</f>
        <v/>
      </c>
      <c r="E910" s="26">
        <f>IF('DIVA Satislari'!I910="","",'DIVA Satislari'!O910)</f>
        <v/>
      </c>
      <c r="F910" s="26">
        <f>IF('DIVA Satislari'!I910="","",'DIVA Satislari'!AK910)</f>
        <v/>
      </c>
      <c r="G910" s="26">
        <f>IF('DIVA Satislari'!I910="","",'DIVA Satislari'!AO910)</f>
        <v/>
      </c>
      <c r="H910" s="27">
        <f>IF('DIVA Satislari'!I910="","",'DIVA Satislari'!AN910)</f>
        <v/>
      </c>
      <c r="I910" s="28">
        <f>IF('DIVA Satislari'!I910="","",'DIVA Satislari'!AQ910)</f>
        <v/>
      </c>
      <c r="J910" s="26">
        <f>IF('DIVA Satislari'!I910="","",'DIVA Satislari'!AR910)</f>
        <v/>
      </c>
      <c r="K910" s="26">
        <f>IF('DIVA Satislari'!I910="","",IFERROR(INDEX('E2E Nakliye Montaj'!$AS$3:$AS$1002,MATCH('DIVA Satislari'!AJ910,'E2E Nakliye Montaj'!$AM$3:$AM$1002,0)),"Eşleşme Yok"))</f>
        <v/>
      </c>
      <c r="L910" s="26">
        <f>IF('DIVA Satislari'!I910="","",IFERROR(INDEX('E2E Nakliye Montaj'!$AT$3:$AT$1002,MATCH('DIVA Satislari'!AJ910,'E2E Nakliye Montaj'!$AM$3:$AM$1002,0)),"Hayır"))</f>
        <v/>
      </c>
      <c r="M910" s="26">
        <f>IF('DIVA Satislari'!I910="","",IFERROR(INDEX('E2E Nakliye Montaj'!$AU$3:$AU$1002,MATCH('DIVA Satislari'!AJ910,'E2E Nakliye Montaj'!$AM$3:$AM$1002,0)),"Hayır"))</f>
        <v/>
      </c>
      <c r="N910" s="27">
        <f>IF('DIVA Satislari'!I910="","",IFERROR(INDEX('E2E Nakliye Montaj'!$AV$3:$AV$1002,MATCH('DIVA Satislari'!AJ910,'E2E Nakliye Montaj'!$AM$3:$AM$1002,0)),""))</f>
        <v/>
      </c>
      <c r="O910" s="26">
        <f>IF(OR(A910="",N910=""),"",IF(N910&lt;=H910,"Evet","HAYIR - RİSK"))</f>
        <v/>
      </c>
      <c r="P910" s="26">
        <f>IF(A910="","",IF(LEFT(J910,8)="Kural A ","Uygun - Hemen Ödenir (Yıl Sonu %75 Kontrolüne Tabi)",IF(OR(L910="Evet",M910="Evet"),IF(O910="Evet","Uygun","RİSK - Hakediş Süresi Aşıldı"),"Bekleniyor - Nakliye/Montaj Tamamlanmadı")))</f>
        <v/>
      </c>
      <c r="Q910" s="28">
        <f>IF(A910="","",SUMIFS('Hakedis Fatura Detay'!$G$3:$G$1200,'Hakedis Fatura Detay'!$H$3:$H$1200,'DIVA Satislari'!AJ910,'Hakedis Fatura Detay'!$F$3:$F$1200,"Fiyat Farkı")+SUMIFS('Hakedis Fatura Detay'!$G$3:$G$1200,'Hakedis Fatura Detay'!$H$3:$H$1200,'DIVA Satislari'!AJ910,'Hakedis Fatura Detay'!$F$3:$F$1200,"Bundle"))</f>
        <v/>
      </c>
      <c r="R910" s="28">
        <f>IF(A910="","",I910-Q910)</f>
        <v/>
      </c>
      <c r="S910" s="26">
        <f>IF(A910="","",IF(LEFT(P910,7)="Bekleni","N/A - Henüz Ödenmemeli",IF(LEFT(P910,4)="RİSK","İNCELEME GEREKLİ - Süre Aşımı",IF(R910=0,"Doğru",IF(R910&gt;0,"EKSİK ÖDENMİŞ","FAZLA ÖDENMİŞ")))))</f>
        <v/>
      </c>
      <c r="T910" s="30">
        <f>IF(A910="","",IF(F910&lt;&gt;"Evet","İNCELEME GEREKLİ - Kampanya Tanımsız",IF(G910&lt;&gt;"Evet","İNCELEME GEREKLİ - Tarih Dışı Satış",IF(LEFT(P910,4)="RİSK","İNCELEME GEREKLİ - Hakediş Süresi Aşıldı",IF(OR(S910="EKSİK ÖDENMİŞ",S910="FAZLA ÖDENMİŞ"),"İNCELEME GEREKLİ - Tutar Uyuşmazlığı",IF(LEFT(P910,7)="Bekleni","Bekleniyor","Uygun"))))))</f>
        <v/>
      </c>
    </row>
    <row r="911">
      <c r="A911" s="26">
        <f>IF('DIVA Satislari'!I911="","",'DIVA Satislari'!I911)</f>
        <v/>
      </c>
      <c r="B911" s="26">
        <f>IF('DIVA Satislari'!I911="","",'DIVA Satislari'!R911)</f>
        <v/>
      </c>
      <c r="C911" s="26">
        <f>IF('DIVA Satislari'!I911="","",'DIVA Satislari'!M911)</f>
        <v/>
      </c>
      <c r="D911" s="27">
        <f>IF('DIVA Satislari'!I911="","",'DIVA Satislari'!H911)</f>
        <v/>
      </c>
      <c r="E911" s="26">
        <f>IF('DIVA Satislari'!I911="","",'DIVA Satislari'!O911)</f>
        <v/>
      </c>
      <c r="F911" s="26">
        <f>IF('DIVA Satislari'!I911="","",'DIVA Satislari'!AK911)</f>
        <v/>
      </c>
      <c r="G911" s="26">
        <f>IF('DIVA Satislari'!I911="","",'DIVA Satislari'!AO911)</f>
        <v/>
      </c>
      <c r="H911" s="27">
        <f>IF('DIVA Satislari'!I911="","",'DIVA Satislari'!AN911)</f>
        <v/>
      </c>
      <c r="I911" s="28">
        <f>IF('DIVA Satislari'!I911="","",'DIVA Satislari'!AQ911)</f>
        <v/>
      </c>
      <c r="J911" s="26">
        <f>IF('DIVA Satislari'!I911="","",'DIVA Satislari'!AR911)</f>
        <v/>
      </c>
      <c r="K911" s="26">
        <f>IF('DIVA Satislari'!I911="","",IFERROR(INDEX('E2E Nakliye Montaj'!$AS$3:$AS$1002,MATCH('DIVA Satislari'!AJ911,'E2E Nakliye Montaj'!$AM$3:$AM$1002,0)),"Eşleşme Yok"))</f>
        <v/>
      </c>
      <c r="L911" s="26">
        <f>IF('DIVA Satislari'!I911="","",IFERROR(INDEX('E2E Nakliye Montaj'!$AT$3:$AT$1002,MATCH('DIVA Satislari'!AJ911,'E2E Nakliye Montaj'!$AM$3:$AM$1002,0)),"Hayır"))</f>
        <v/>
      </c>
      <c r="M911" s="26">
        <f>IF('DIVA Satislari'!I911="","",IFERROR(INDEX('E2E Nakliye Montaj'!$AU$3:$AU$1002,MATCH('DIVA Satislari'!AJ911,'E2E Nakliye Montaj'!$AM$3:$AM$1002,0)),"Hayır"))</f>
        <v/>
      </c>
      <c r="N911" s="27">
        <f>IF('DIVA Satislari'!I911="","",IFERROR(INDEX('E2E Nakliye Montaj'!$AV$3:$AV$1002,MATCH('DIVA Satislari'!AJ911,'E2E Nakliye Montaj'!$AM$3:$AM$1002,0)),""))</f>
        <v/>
      </c>
      <c r="O911" s="26">
        <f>IF(OR(A911="",N911=""),"",IF(N911&lt;=H911,"Evet","HAYIR - RİSK"))</f>
        <v/>
      </c>
      <c r="P911" s="26">
        <f>IF(A911="","",IF(LEFT(J911,8)="Kural A ","Uygun - Hemen Ödenir (Yıl Sonu %75 Kontrolüne Tabi)",IF(OR(L911="Evet",M911="Evet"),IF(O911="Evet","Uygun","RİSK - Hakediş Süresi Aşıldı"),"Bekleniyor - Nakliye/Montaj Tamamlanmadı")))</f>
        <v/>
      </c>
      <c r="Q911" s="28">
        <f>IF(A911="","",SUMIFS('Hakedis Fatura Detay'!$G$3:$G$1200,'Hakedis Fatura Detay'!$H$3:$H$1200,'DIVA Satislari'!AJ911,'Hakedis Fatura Detay'!$F$3:$F$1200,"Fiyat Farkı")+SUMIFS('Hakedis Fatura Detay'!$G$3:$G$1200,'Hakedis Fatura Detay'!$H$3:$H$1200,'DIVA Satislari'!AJ911,'Hakedis Fatura Detay'!$F$3:$F$1200,"Bundle"))</f>
        <v/>
      </c>
      <c r="R911" s="28">
        <f>IF(A911="","",I911-Q911)</f>
        <v/>
      </c>
      <c r="S911" s="26">
        <f>IF(A911="","",IF(LEFT(P911,7)="Bekleni","N/A - Henüz Ödenmemeli",IF(LEFT(P911,4)="RİSK","İNCELEME GEREKLİ - Süre Aşımı",IF(R911=0,"Doğru",IF(R911&gt;0,"EKSİK ÖDENMİŞ","FAZLA ÖDENMİŞ")))))</f>
        <v/>
      </c>
      <c r="T911" s="30">
        <f>IF(A911="","",IF(F911&lt;&gt;"Evet","İNCELEME GEREKLİ - Kampanya Tanımsız",IF(G911&lt;&gt;"Evet","İNCELEME GEREKLİ - Tarih Dışı Satış",IF(LEFT(P911,4)="RİSK","İNCELEME GEREKLİ - Hakediş Süresi Aşıldı",IF(OR(S911="EKSİK ÖDENMİŞ",S911="FAZLA ÖDENMİŞ"),"İNCELEME GEREKLİ - Tutar Uyuşmazlığı",IF(LEFT(P911,7)="Bekleni","Bekleniyor","Uygun"))))))</f>
        <v/>
      </c>
    </row>
    <row r="912">
      <c r="A912" s="26">
        <f>IF('DIVA Satislari'!I912="","",'DIVA Satislari'!I912)</f>
        <v/>
      </c>
      <c r="B912" s="26">
        <f>IF('DIVA Satislari'!I912="","",'DIVA Satislari'!R912)</f>
        <v/>
      </c>
      <c r="C912" s="26">
        <f>IF('DIVA Satislari'!I912="","",'DIVA Satislari'!M912)</f>
        <v/>
      </c>
      <c r="D912" s="27">
        <f>IF('DIVA Satislari'!I912="","",'DIVA Satislari'!H912)</f>
        <v/>
      </c>
      <c r="E912" s="26">
        <f>IF('DIVA Satislari'!I912="","",'DIVA Satislari'!O912)</f>
        <v/>
      </c>
      <c r="F912" s="26">
        <f>IF('DIVA Satislari'!I912="","",'DIVA Satislari'!AK912)</f>
        <v/>
      </c>
      <c r="G912" s="26">
        <f>IF('DIVA Satislari'!I912="","",'DIVA Satislari'!AO912)</f>
        <v/>
      </c>
      <c r="H912" s="27">
        <f>IF('DIVA Satislari'!I912="","",'DIVA Satislari'!AN912)</f>
        <v/>
      </c>
      <c r="I912" s="28">
        <f>IF('DIVA Satislari'!I912="","",'DIVA Satislari'!AQ912)</f>
        <v/>
      </c>
      <c r="J912" s="26">
        <f>IF('DIVA Satislari'!I912="","",'DIVA Satislari'!AR912)</f>
        <v/>
      </c>
      <c r="K912" s="26">
        <f>IF('DIVA Satislari'!I912="","",IFERROR(INDEX('E2E Nakliye Montaj'!$AS$3:$AS$1002,MATCH('DIVA Satislari'!AJ912,'E2E Nakliye Montaj'!$AM$3:$AM$1002,0)),"Eşleşme Yok"))</f>
        <v/>
      </c>
      <c r="L912" s="26">
        <f>IF('DIVA Satislari'!I912="","",IFERROR(INDEX('E2E Nakliye Montaj'!$AT$3:$AT$1002,MATCH('DIVA Satislari'!AJ912,'E2E Nakliye Montaj'!$AM$3:$AM$1002,0)),"Hayır"))</f>
        <v/>
      </c>
      <c r="M912" s="26">
        <f>IF('DIVA Satislari'!I912="","",IFERROR(INDEX('E2E Nakliye Montaj'!$AU$3:$AU$1002,MATCH('DIVA Satislari'!AJ912,'E2E Nakliye Montaj'!$AM$3:$AM$1002,0)),"Hayır"))</f>
        <v/>
      </c>
      <c r="N912" s="27">
        <f>IF('DIVA Satislari'!I912="","",IFERROR(INDEX('E2E Nakliye Montaj'!$AV$3:$AV$1002,MATCH('DIVA Satislari'!AJ912,'E2E Nakliye Montaj'!$AM$3:$AM$1002,0)),""))</f>
        <v/>
      </c>
      <c r="O912" s="26">
        <f>IF(OR(A912="",N912=""),"",IF(N912&lt;=H912,"Evet","HAYIR - RİSK"))</f>
        <v/>
      </c>
      <c r="P912" s="26">
        <f>IF(A912="","",IF(LEFT(J912,8)="Kural A ","Uygun - Hemen Ödenir (Yıl Sonu %75 Kontrolüne Tabi)",IF(OR(L912="Evet",M912="Evet"),IF(O912="Evet","Uygun","RİSK - Hakediş Süresi Aşıldı"),"Bekleniyor - Nakliye/Montaj Tamamlanmadı")))</f>
        <v/>
      </c>
      <c r="Q912" s="28">
        <f>IF(A912="","",SUMIFS('Hakedis Fatura Detay'!$G$3:$G$1200,'Hakedis Fatura Detay'!$H$3:$H$1200,'DIVA Satislari'!AJ912,'Hakedis Fatura Detay'!$F$3:$F$1200,"Fiyat Farkı")+SUMIFS('Hakedis Fatura Detay'!$G$3:$G$1200,'Hakedis Fatura Detay'!$H$3:$H$1200,'DIVA Satislari'!AJ912,'Hakedis Fatura Detay'!$F$3:$F$1200,"Bundle"))</f>
        <v/>
      </c>
      <c r="R912" s="28">
        <f>IF(A912="","",I912-Q912)</f>
        <v/>
      </c>
      <c r="S912" s="26">
        <f>IF(A912="","",IF(LEFT(P912,7)="Bekleni","N/A - Henüz Ödenmemeli",IF(LEFT(P912,4)="RİSK","İNCELEME GEREKLİ - Süre Aşımı",IF(R912=0,"Doğru",IF(R912&gt;0,"EKSİK ÖDENMİŞ","FAZLA ÖDENMİŞ")))))</f>
        <v/>
      </c>
      <c r="T912" s="30">
        <f>IF(A912="","",IF(F912&lt;&gt;"Evet","İNCELEME GEREKLİ - Kampanya Tanımsız",IF(G912&lt;&gt;"Evet","İNCELEME GEREKLİ - Tarih Dışı Satış",IF(LEFT(P912,4)="RİSK","İNCELEME GEREKLİ - Hakediş Süresi Aşıldı",IF(OR(S912="EKSİK ÖDENMİŞ",S912="FAZLA ÖDENMİŞ"),"İNCELEME GEREKLİ - Tutar Uyuşmazlığı",IF(LEFT(P912,7)="Bekleni","Bekleniyor","Uygun"))))))</f>
        <v/>
      </c>
    </row>
    <row r="913">
      <c r="A913" s="26">
        <f>IF('DIVA Satislari'!I913="","",'DIVA Satislari'!I913)</f>
        <v/>
      </c>
      <c r="B913" s="26">
        <f>IF('DIVA Satislari'!I913="","",'DIVA Satislari'!R913)</f>
        <v/>
      </c>
      <c r="C913" s="26">
        <f>IF('DIVA Satislari'!I913="","",'DIVA Satislari'!M913)</f>
        <v/>
      </c>
      <c r="D913" s="27">
        <f>IF('DIVA Satislari'!I913="","",'DIVA Satislari'!H913)</f>
        <v/>
      </c>
      <c r="E913" s="26">
        <f>IF('DIVA Satislari'!I913="","",'DIVA Satislari'!O913)</f>
        <v/>
      </c>
      <c r="F913" s="26">
        <f>IF('DIVA Satislari'!I913="","",'DIVA Satislari'!AK913)</f>
        <v/>
      </c>
      <c r="G913" s="26">
        <f>IF('DIVA Satislari'!I913="","",'DIVA Satislari'!AO913)</f>
        <v/>
      </c>
      <c r="H913" s="27">
        <f>IF('DIVA Satislari'!I913="","",'DIVA Satislari'!AN913)</f>
        <v/>
      </c>
      <c r="I913" s="28">
        <f>IF('DIVA Satislari'!I913="","",'DIVA Satislari'!AQ913)</f>
        <v/>
      </c>
      <c r="J913" s="26">
        <f>IF('DIVA Satislari'!I913="","",'DIVA Satislari'!AR913)</f>
        <v/>
      </c>
      <c r="K913" s="26">
        <f>IF('DIVA Satislari'!I913="","",IFERROR(INDEX('E2E Nakliye Montaj'!$AS$3:$AS$1002,MATCH('DIVA Satislari'!AJ913,'E2E Nakliye Montaj'!$AM$3:$AM$1002,0)),"Eşleşme Yok"))</f>
        <v/>
      </c>
      <c r="L913" s="26">
        <f>IF('DIVA Satislari'!I913="","",IFERROR(INDEX('E2E Nakliye Montaj'!$AT$3:$AT$1002,MATCH('DIVA Satislari'!AJ913,'E2E Nakliye Montaj'!$AM$3:$AM$1002,0)),"Hayır"))</f>
        <v/>
      </c>
      <c r="M913" s="26">
        <f>IF('DIVA Satislari'!I913="","",IFERROR(INDEX('E2E Nakliye Montaj'!$AU$3:$AU$1002,MATCH('DIVA Satislari'!AJ913,'E2E Nakliye Montaj'!$AM$3:$AM$1002,0)),"Hayır"))</f>
        <v/>
      </c>
      <c r="N913" s="27">
        <f>IF('DIVA Satislari'!I913="","",IFERROR(INDEX('E2E Nakliye Montaj'!$AV$3:$AV$1002,MATCH('DIVA Satislari'!AJ913,'E2E Nakliye Montaj'!$AM$3:$AM$1002,0)),""))</f>
        <v/>
      </c>
      <c r="O913" s="26">
        <f>IF(OR(A913="",N913=""),"",IF(N913&lt;=H913,"Evet","HAYIR - RİSK"))</f>
        <v/>
      </c>
      <c r="P913" s="26">
        <f>IF(A913="","",IF(LEFT(J913,8)="Kural A ","Uygun - Hemen Ödenir (Yıl Sonu %75 Kontrolüne Tabi)",IF(OR(L913="Evet",M913="Evet"),IF(O913="Evet","Uygun","RİSK - Hakediş Süresi Aşıldı"),"Bekleniyor - Nakliye/Montaj Tamamlanmadı")))</f>
        <v/>
      </c>
      <c r="Q913" s="28">
        <f>IF(A913="","",SUMIFS('Hakedis Fatura Detay'!$G$3:$G$1200,'Hakedis Fatura Detay'!$H$3:$H$1200,'DIVA Satislari'!AJ913,'Hakedis Fatura Detay'!$F$3:$F$1200,"Fiyat Farkı")+SUMIFS('Hakedis Fatura Detay'!$G$3:$G$1200,'Hakedis Fatura Detay'!$H$3:$H$1200,'DIVA Satislari'!AJ913,'Hakedis Fatura Detay'!$F$3:$F$1200,"Bundle"))</f>
        <v/>
      </c>
      <c r="R913" s="28">
        <f>IF(A913="","",I913-Q913)</f>
        <v/>
      </c>
      <c r="S913" s="26">
        <f>IF(A913="","",IF(LEFT(P913,7)="Bekleni","N/A - Henüz Ödenmemeli",IF(LEFT(P913,4)="RİSK","İNCELEME GEREKLİ - Süre Aşımı",IF(R913=0,"Doğru",IF(R913&gt;0,"EKSİK ÖDENMİŞ","FAZLA ÖDENMİŞ")))))</f>
        <v/>
      </c>
      <c r="T913" s="30">
        <f>IF(A913="","",IF(F913&lt;&gt;"Evet","İNCELEME GEREKLİ - Kampanya Tanımsız",IF(G913&lt;&gt;"Evet","İNCELEME GEREKLİ - Tarih Dışı Satış",IF(LEFT(P913,4)="RİSK","İNCELEME GEREKLİ - Hakediş Süresi Aşıldı",IF(OR(S913="EKSİK ÖDENMİŞ",S913="FAZLA ÖDENMİŞ"),"İNCELEME GEREKLİ - Tutar Uyuşmazlığı",IF(LEFT(P913,7)="Bekleni","Bekleniyor","Uygun"))))))</f>
        <v/>
      </c>
    </row>
    <row r="914">
      <c r="A914" s="26">
        <f>IF('DIVA Satislari'!I914="","",'DIVA Satislari'!I914)</f>
        <v/>
      </c>
      <c r="B914" s="26">
        <f>IF('DIVA Satislari'!I914="","",'DIVA Satislari'!R914)</f>
        <v/>
      </c>
      <c r="C914" s="26">
        <f>IF('DIVA Satislari'!I914="","",'DIVA Satislari'!M914)</f>
        <v/>
      </c>
      <c r="D914" s="27">
        <f>IF('DIVA Satislari'!I914="","",'DIVA Satislari'!H914)</f>
        <v/>
      </c>
      <c r="E914" s="26">
        <f>IF('DIVA Satislari'!I914="","",'DIVA Satislari'!O914)</f>
        <v/>
      </c>
      <c r="F914" s="26">
        <f>IF('DIVA Satislari'!I914="","",'DIVA Satislari'!AK914)</f>
        <v/>
      </c>
      <c r="G914" s="26">
        <f>IF('DIVA Satislari'!I914="","",'DIVA Satislari'!AO914)</f>
        <v/>
      </c>
      <c r="H914" s="27">
        <f>IF('DIVA Satislari'!I914="","",'DIVA Satislari'!AN914)</f>
        <v/>
      </c>
      <c r="I914" s="28">
        <f>IF('DIVA Satislari'!I914="","",'DIVA Satislari'!AQ914)</f>
        <v/>
      </c>
      <c r="J914" s="26">
        <f>IF('DIVA Satislari'!I914="","",'DIVA Satislari'!AR914)</f>
        <v/>
      </c>
      <c r="K914" s="26">
        <f>IF('DIVA Satislari'!I914="","",IFERROR(INDEX('E2E Nakliye Montaj'!$AS$3:$AS$1002,MATCH('DIVA Satislari'!AJ914,'E2E Nakliye Montaj'!$AM$3:$AM$1002,0)),"Eşleşme Yok"))</f>
        <v/>
      </c>
      <c r="L914" s="26">
        <f>IF('DIVA Satislari'!I914="","",IFERROR(INDEX('E2E Nakliye Montaj'!$AT$3:$AT$1002,MATCH('DIVA Satislari'!AJ914,'E2E Nakliye Montaj'!$AM$3:$AM$1002,0)),"Hayır"))</f>
        <v/>
      </c>
      <c r="M914" s="26">
        <f>IF('DIVA Satislari'!I914="","",IFERROR(INDEX('E2E Nakliye Montaj'!$AU$3:$AU$1002,MATCH('DIVA Satislari'!AJ914,'E2E Nakliye Montaj'!$AM$3:$AM$1002,0)),"Hayır"))</f>
        <v/>
      </c>
      <c r="N914" s="27">
        <f>IF('DIVA Satislari'!I914="","",IFERROR(INDEX('E2E Nakliye Montaj'!$AV$3:$AV$1002,MATCH('DIVA Satislari'!AJ914,'E2E Nakliye Montaj'!$AM$3:$AM$1002,0)),""))</f>
        <v/>
      </c>
      <c r="O914" s="26">
        <f>IF(OR(A914="",N914=""),"",IF(N914&lt;=H914,"Evet","HAYIR - RİSK"))</f>
        <v/>
      </c>
      <c r="P914" s="26">
        <f>IF(A914="","",IF(LEFT(J914,8)="Kural A ","Uygun - Hemen Ödenir (Yıl Sonu %75 Kontrolüne Tabi)",IF(OR(L914="Evet",M914="Evet"),IF(O914="Evet","Uygun","RİSK - Hakediş Süresi Aşıldı"),"Bekleniyor - Nakliye/Montaj Tamamlanmadı")))</f>
        <v/>
      </c>
      <c r="Q914" s="28">
        <f>IF(A914="","",SUMIFS('Hakedis Fatura Detay'!$G$3:$G$1200,'Hakedis Fatura Detay'!$H$3:$H$1200,'DIVA Satislari'!AJ914,'Hakedis Fatura Detay'!$F$3:$F$1200,"Fiyat Farkı")+SUMIFS('Hakedis Fatura Detay'!$G$3:$G$1200,'Hakedis Fatura Detay'!$H$3:$H$1200,'DIVA Satislari'!AJ914,'Hakedis Fatura Detay'!$F$3:$F$1200,"Bundle"))</f>
        <v/>
      </c>
      <c r="R914" s="28">
        <f>IF(A914="","",I914-Q914)</f>
        <v/>
      </c>
      <c r="S914" s="26">
        <f>IF(A914="","",IF(LEFT(P914,7)="Bekleni","N/A - Henüz Ödenmemeli",IF(LEFT(P914,4)="RİSK","İNCELEME GEREKLİ - Süre Aşımı",IF(R914=0,"Doğru",IF(R914&gt;0,"EKSİK ÖDENMİŞ","FAZLA ÖDENMİŞ")))))</f>
        <v/>
      </c>
      <c r="T914" s="30">
        <f>IF(A914="","",IF(F914&lt;&gt;"Evet","İNCELEME GEREKLİ - Kampanya Tanımsız",IF(G914&lt;&gt;"Evet","İNCELEME GEREKLİ - Tarih Dışı Satış",IF(LEFT(P914,4)="RİSK","İNCELEME GEREKLİ - Hakediş Süresi Aşıldı",IF(OR(S914="EKSİK ÖDENMİŞ",S914="FAZLA ÖDENMİŞ"),"İNCELEME GEREKLİ - Tutar Uyuşmazlığı",IF(LEFT(P914,7)="Bekleni","Bekleniyor","Uygun"))))))</f>
        <v/>
      </c>
    </row>
    <row r="915">
      <c r="A915" s="26">
        <f>IF('DIVA Satislari'!I915="","",'DIVA Satislari'!I915)</f>
        <v/>
      </c>
      <c r="B915" s="26">
        <f>IF('DIVA Satislari'!I915="","",'DIVA Satislari'!R915)</f>
        <v/>
      </c>
      <c r="C915" s="26">
        <f>IF('DIVA Satislari'!I915="","",'DIVA Satislari'!M915)</f>
        <v/>
      </c>
      <c r="D915" s="27">
        <f>IF('DIVA Satislari'!I915="","",'DIVA Satislari'!H915)</f>
        <v/>
      </c>
      <c r="E915" s="26">
        <f>IF('DIVA Satislari'!I915="","",'DIVA Satislari'!O915)</f>
        <v/>
      </c>
      <c r="F915" s="26">
        <f>IF('DIVA Satislari'!I915="","",'DIVA Satislari'!AK915)</f>
        <v/>
      </c>
      <c r="G915" s="26">
        <f>IF('DIVA Satislari'!I915="","",'DIVA Satislari'!AO915)</f>
        <v/>
      </c>
      <c r="H915" s="27">
        <f>IF('DIVA Satislari'!I915="","",'DIVA Satislari'!AN915)</f>
        <v/>
      </c>
      <c r="I915" s="28">
        <f>IF('DIVA Satislari'!I915="","",'DIVA Satislari'!AQ915)</f>
        <v/>
      </c>
      <c r="J915" s="26">
        <f>IF('DIVA Satislari'!I915="","",'DIVA Satislari'!AR915)</f>
        <v/>
      </c>
      <c r="K915" s="26">
        <f>IF('DIVA Satislari'!I915="","",IFERROR(INDEX('E2E Nakliye Montaj'!$AS$3:$AS$1002,MATCH('DIVA Satislari'!AJ915,'E2E Nakliye Montaj'!$AM$3:$AM$1002,0)),"Eşleşme Yok"))</f>
        <v/>
      </c>
      <c r="L915" s="26">
        <f>IF('DIVA Satislari'!I915="","",IFERROR(INDEX('E2E Nakliye Montaj'!$AT$3:$AT$1002,MATCH('DIVA Satislari'!AJ915,'E2E Nakliye Montaj'!$AM$3:$AM$1002,0)),"Hayır"))</f>
        <v/>
      </c>
      <c r="M915" s="26">
        <f>IF('DIVA Satislari'!I915="","",IFERROR(INDEX('E2E Nakliye Montaj'!$AU$3:$AU$1002,MATCH('DIVA Satislari'!AJ915,'E2E Nakliye Montaj'!$AM$3:$AM$1002,0)),"Hayır"))</f>
        <v/>
      </c>
      <c r="N915" s="27">
        <f>IF('DIVA Satislari'!I915="","",IFERROR(INDEX('E2E Nakliye Montaj'!$AV$3:$AV$1002,MATCH('DIVA Satislari'!AJ915,'E2E Nakliye Montaj'!$AM$3:$AM$1002,0)),""))</f>
        <v/>
      </c>
      <c r="O915" s="26">
        <f>IF(OR(A915="",N915=""),"",IF(N915&lt;=H915,"Evet","HAYIR - RİSK"))</f>
        <v/>
      </c>
      <c r="P915" s="26">
        <f>IF(A915="","",IF(LEFT(J915,8)="Kural A ","Uygun - Hemen Ödenir (Yıl Sonu %75 Kontrolüne Tabi)",IF(OR(L915="Evet",M915="Evet"),IF(O915="Evet","Uygun","RİSK - Hakediş Süresi Aşıldı"),"Bekleniyor - Nakliye/Montaj Tamamlanmadı")))</f>
        <v/>
      </c>
      <c r="Q915" s="28">
        <f>IF(A915="","",SUMIFS('Hakedis Fatura Detay'!$G$3:$G$1200,'Hakedis Fatura Detay'!$H$3:$H$1200,'DIVA Satislari'!AJ915,'Hakedis Fatura Detay'!$F$3:$F$1200,"Fiyat Farkı")+SUMIFS('Hakedis Fatura Detay'!$G$3:$G$1200,'Hakedis Fatura Detay'!$H$3:$H$1200,'DIVA Satislari'!AJ915,'Hakedis Fatura Detay'!$F$3:$F$1200,"Bundle"))</f>
        <v/>
      </c>
      <c r="R915" s="28">
        <f>IF(A915="","",I915-Q915)</f>
        <v/>
      </c>
      <c r="S915" s="26">
        <f>IF(A915="","",IF(LEFT(P915,7)="Bekleni","N/A - Henüz Ödenmemeli",IF(LEFT(P915,4)="RİSK","İNCELEME GEREKLİ - Süre Aşımı",IF(R915=0,"Doğru",IF(R915&gt;0,"EKSİK ÖDENMİŞ","FAZLA ÖDENMİŞ")))))</f>
        <v/>
      </c>
      <c r="T915" s="30">
        <f>IF(A915="","",IF(F915&lt;&gt;"Evet","İNCELEME GEREKLİ - Kampanya Tanımsız",IF(G915&lt;&gt;"Evet","İNCELEME GEREKLİ - Tarih Dışı Satış",IF(LEFT(P915,4)="RİSK","İNCELEME GEREKLİ - Hakediş Süresi Aşıldı",IF(OR(S915="EKSİK ÖDENMİŞ",S915="FAZLA ÖDENMİŞ"),"İNCELEME GEREKLİ - Tutar Uyuşmazlığı",IF(LEFT(P915,7)="Bekleni","Bekleniyor","Uygun"))))))</f>
        <v/>
      </c>
    </row>
    <row r="916">
      <c r="A916" s="26">
        <f>IF('DIVA Satislari'!I916="","",'DIVA Satislari'!I916)</f>
        <v/>
      </c>
      <c r="B916" s="26">
        <f>IF('DIVA Satislari'!I916="","",'DIVA Satislari'!R916)</f>
        <v/>
      </c>
      <c r="C916" s="26">
        <f>IF('DIVA Satislari'!I916="","",'DIVA Satislari'!M916)</f>
        <v/>
      </c>
      <c r="D916" s="27">
        <f>IF('DIVA Satislari'!I916="","",'DIVA Satislari'!H916)</f>
        <v/>
      </c>
      <c r="E916" s="26">
        <f>IF('DIVA Satislari'!I916="","",'DIVA Satislari'!O916)</f>
        <v/>
      </c>
      <c r="F916" s="26">
        <f>IF('DIVA Satislari'!I916="","",'DIVA Satislari'!AK916)</f>
        <v/>
      </c>
      <c r="G916" s="26">
        <f>IF('DIVA Satislari'!I916="","",'DIVA Satislari'!AO916)</f>
        <v/>
      </c>
      <c r="H916" s="27">
        <f>IF('DIVA Satislari'!I916="","",'DIVA Satislari'!AN916)</f>
        <v/>
      </c>
      <c r="I916" s="28">
        <f>IF('DIVA Satislari'!I916="","",'DIVA Satislari'!AQ916)</f>
        <v/>
      </c>
      <c r="J916" s="26">
        <f>IF('DIVA Satislari'!I916="","",'DIVA Satislari'!AR916)</f>
        <v/>
      </c>
      <c r="K916" s="26">
        <f>IF('DIVA Satislari'!I916="","",IFERROR(INDEX('E2E Nakliye Montaj'!$AS$3:$AS$1002,MATCH('DIVA Satislari'!AJ916,'E2E Nakliye Montaj'!$AM$3:$AM$1002,0)),"Eşleşme Yok"))</f>
        <v/>
      </c>
      <c r="L916" s="26">
        <f>IF('DIVA Satislari'!I916="","",IFERROR(INDEX('E2E Nakliye Montaj'!$AT$3:$AT$1002,MATCH('DIVA Satislari'!AJ916,'E2E Nakliye Montaj'!$AM$3:$AM$1002,0)),"Hayır"))</f>
        <v/>
      </c>
      <c r="M916" s="26">
        <f>IF('DIVA Satislari'!I916="","",IFERROR(INDEX('E2E Nakliye Montaj'!$AU$3:$AU$1002,MATCH('DIVA Satislari'!AJ916,'E2E Nakliye Montaj'!$AM$3:$AM$1002,0)),"Hayır"))</f>
        <v/>
      </c>
      <c r="N916" s="27">
        <f>IF('DIVA Satislari'!I916="","",IFERROR(INDEX('E2E Nakliye Montaj'!$AV$3:$AV$1002,MATCH('DIVA Satislari'!AJ916,'E2E Nakliye Montaj'!$AM$3:$AM$1002,0)),""))</f>
        <v/>
      </c>
      <c r="O916" s="26">
        <f>IF(OR(A916="",N916=""),"",IF(N916&lt;=H916,"Evet","HAYIR - RİSK"))</f>
        <v/>
      </c>
      <c r="P916" s="26">
        <f>IF(A916="","",IF(LEFT(J916,8)="Kural A ","Uygun - Hemen Ödenir (Yıl Sonu %75 Kontrolüne Tabi)",IF(OR(L916="Evet",M916="Evet"),IF(O916="Evet","Uygun","RİSK - Hakediş Süresi Aşıldı"),"Bekleniyor - Nakliye/Montaj Tamamlanmadı")))</f>
        <v/>
      </c>
      <c r="Q916" s="28">
        <f>IF(A916="","",SUMIFS('Hakedis Fatura Detay'!$G$3:$G$1200,'Hakedis Fatura Detay'!$H$3:$H$1200,'DIVA Satislari'!AJ916,'Hakedis Fatura Detay'!$F$3:$F$1200,"Fiyat Farkı")+SUMIFS('Hakedis Fatura Detay'!$G$3:$G$1200,'Hakedis Fatura Detay'!$H$3:$H$1200,'DIVA Satislari'!AJ916,'Hakedis Fatura Detay'!$F$3:$F$1200,"Bundle"))</f>
        <v/>
      </c>
      <c r="R916" s="28">
        <f>IF(A916="","",I916-Q916)</f>
        <v/>
      </c>
      <c r="S916" s="26">
        <f>IF(A916="","",IF(LEFT(P916,7)="Bekleni","N/A - Henüz Ödenmemeli",IF(LEFT(P916,4)="RİSK","İNCELEME GEREKLİ - Süre Aşımı",IF(R916=0,"Doğru",IF(R916&gt;0,"EKSİK ÖDENMİŞ","FAZLA ÖDENMİŞ")))))</f>
        <v/>
      </c>
      <c r="T916" s="30">
        <f>IF(A916="","",IF(F916&lt;&gt;"Evet","İNCELEME GEREKLİ - Kampanya Tanımsız",IF(G916&lt;&gt;"Evet","İNCELEME GEREKLİ - Tarih Dışı Satış",IF(LEFT(P916,4)="RİSK","İNCELEME GEREKLİ - Hakediş Süresi Aşıldı",IF(OR(S916="EKSİK ÖDENMİŞ",S916="FAZLA ÖDENMİŞ"),"İNCELEME GEREKLİ - Tutar Uyuşmazlığı",IF(LEFT(P916,7)="Bekleni","Bekleniyor","Uygun"))))))</f>
        <v/>
      </c>
    </row>
    <row r="917">
      <c r="A917" s="26">
        <f>IF('DIVA Satislari'!I917="","",'DIVA Satislari'!I917)</f>
        <v/>
      </c>
      <c r="B917" s="26">
        <f>IF('DIVA Satislari'!I917="","",'DIVA Satislari'!R917)</f>
        <v/>
      </c>
      <c r="C917" s="26">
        <f>IF('DIVA Satislari'!I917="","",'DIVA Satislari'!M917)</f>
        <v/>
      </c>
      <c r="D917" s="27">
        <f>IF('DIVA Satislari'!I917="","",'DIVA Satislari'!H917)</f>
        <v/>
      </c>
      <c r="E917" s="26">
        <f>IF('DIVA Satislari'!I917="","",'DIVA Satislari'!O917)</f>
        <v/>
      </c>
      <c r="F917" s="26">
        <f>IF('DIVA Satislari'!I917="","",'DIVA Satislari'!AK917)</f>
        <v/>
      </c>
      <c r="G917" s="26">
        <f>IF('DIVA Satislari'!I917="","",'DIVA Satislari'!AO917)</f>
        <v/>
      </c>
      <c r="H917" s="27">
        <f>IF('DIVA Satislari'!I917="","",'DIVA Satislari'!AN917)</f>
        <v/>
      </c>
      <c r="I917" s="28">
        <f>IF('DIVA Satislari'!I917="","",'DIVA Satislari'!AQ917)</f>
        <v/>
      </c>
      <c r="J917" s="26">
        <f>IF('DIVA Satislari'!I917="","",'DIVA Satislari'!AR917)</f>
        <v/>
      </c>
      <c r="K917" s="26">
        <f>IF('DIVA Satislari'!I917="","",IFERROR(INDEX('E2E Nakliye Montaj'!$AS$3:$AS$1002,MATCH('DIVA Satislari'!AJ917,'E2E Nakliye Montaj'!$AM$3:$AM$1002,0)),"Eşleşme Yok"))</f>
        <v/>
      </c>
      <c r="L917" s="26">
        <f>IF('DIVA Satislari'!I917="","",IFERROR(INDEX('E2E Nakliye Montaj'!$AT$3:$AT$1002,MATCH('DIVA Satislari'!AJ917,'E2E Nakliye Montaj'!$AM$3:$AM$1002,0)),"Hayır"))</f>
        <v/>
      </c>
      <c r="M917" s="26">
        <f>IF('DIVA Satislari'!I917="","",IFERROR(INDEX('E2E Nakliye Montaj'!$AU$3:$AU$1002,MATCH('DIVA Satislari'!AJ917,'E2E Nakliye Montaj'!$AM$3:$AM$1002,0)),"Hayır"))</f>
        <v/>
      </c>
      <c r="N917" s="27">
        <f>IF('DIVA Satislari'!I917="","",IFERROR(INDEX('E2E Nakliye Montaj'!$AV$3:$AV$1002,MATCH('DIVA Satislari'!AJ917,'E2E Nakliye Montaj'!$AM$3:$AM$1002,0)),""))</f>
        <v/>
      </c>
      <c r="O917" s="26">
        <f>IF(OR(A917="",N917=""),"",IF(N917&lt;=H917,"Evet","HAYIR - RİSK"))</f>
        <v/>
      </c>
      <c r="P917" s="26">
        <f>IF(A917="","",IF(LEFT(J917,8)="Kural A ","Uygun - Hemen Ödenir (Yıl Sonu %75 Kontrolüne Tabi)",IF(OR(L917="Evet",M917="Evet"),IF(O917="Evet","Uygun","RİSK - Hakediş Süresi Aşıldı"),"Bekleniyor - Nakliye/Montaj Tamamlanmadı")))</f>
        <v/>
      </c>
      <c r="Q917" s="28">
        <f>IF(A917="","",SUMIFS('Hakedis Fatura Detay'!$G$3:$G$1200,'Hakedis Fatura Detay'!$H$3:$H$1200,'DIVA Satislari'!AJ917,'Hakedis Fatura Detay'!$F$3:$F$1200,"Fiyat Farkı")+SUMIFS('Hakedis Fatura Detay'!$G$3:$G$1200,'Hakedis Fatura Detay'!$H$3:$H$1200,'DIVA Satislari'!AJ917,'Hakedis Fatura Detay'!$F$3:$F$1200,"Bundle"))</f>
        <v/>
      </c>
      <c r="R917" s="28">
        <f>IF(A917="","",I917-Q917)</f>
        <v/>
      </c>
      <c r="S917" s="26">
        <f>IF(A917="","",IF(LEFT(P917,7)="Bekleni","N/A - Henüz Ödenmemeli",IF(LEFT(P917,4)="RİSK","İNCELEME GEREKLİ - Süre Aşımı",IF(R917=0,"Doğru",IF(R917&gt;0,"EKSİK ÖDENMİŞ","FAZLA ÖDENMİŞ")))))</f>
        <v/>
      </c>
      <c r="T917" s="30">
        <f>IF(A917="","",IF(F917&lt;&gt;"Evet","İNCELEME GEREKLİ - Kampanya Tanımsız",IF(G917&lt;&gt;"Evet","İNCELEME GEREKLİ - Tarih Dışı Satış",IF(LEFT(P917,4)="RİSK","İNCELEME GEREKLİ - Hakediş Süresi Aşıldı",IF(OR(S917="EKSİK ÖDENMİŞ",S917="FAZLA ÖDENMİŞ"),"İNCELEME GEREKLİ - Tutar Uyuşmazlığı",IF(LEFT(P917,7)="Bekleni","Bekleniyor","Uygun"))))))</f>
        <v/>
      </c>
    </row>
    <row r="918">
      <c r="A918" s="26">
        <f>IF('DIVA Satislari'!I918="","",'DIVA Satislari'!I918)</f>
        <v/>
      </c>
      <c r="B918" s="26">
        <f>IF('DIVA Satislari'!I918="","",'DIVA Satislari'!R918)</f>
        <v/>
      </c>
      <c r="C918" s="26">
        <f>IF('DIVA Satislari'!I918="","",'DIVA Satislari'!M918)</f>
        <v/>
      </c>
      <c r="D918" s="27">
        <f>IF('DIVA Satislari'!I918="","",'DIVA Satislari'!H918)</f>
        <v/>
      </c>
      <c r="E918" s="26">
        <f>IF('DIVA Satislari'!I918="","",'DIVA Satislari'!O918)</f>
        <v/>
      </c>
      <c r="F918" s="26">
        <f>IF('DIVA Satislari'!I918="","",'DIVA Satislari'!AK918)</f>
        <v/>
      </c>
      <c r="G918" s="26">
        <f>IF('DIVA Satislari'!I918="","",'DIVA Satislari'!AO918)</f>
        <v/>
      </c>
      <c r="H918" s="27">
        <f>IF('DIVA Satislari'!I918="","",'DIVA Satislari'!AN918)</f>
        <v/>
      </c>
      <c r="I918" s="28">
        <f>IF('DIVA Satislari'!I918="","",'DIVA Satislari'!AQ918)</f>
        <v/>
      </c>
      <c r="J918" s="26">
        <f>IF('DIVA Satislari'!I918="","",'DIVA Satislari'!AR918)</f>
        <v/>
      </c>
      <c r="K918" s="26">
        <f>IF('DIVA Satislari'!I918="","",IFERROR(INDEX('E2E Nakliye Montaj'!$AS$3:$AS$1002,MATCH('DIVA Satislari'!AJ918,'E2E Nakliye Montaj'!$AM$3:$AM$1002,0)),"Eşleşme Yok"))</f>
        <v/>
      </c>
      <c r="L918" s="26">
        <f>IF('DIVA Satislari'!I918="","",IFERROR(INDEX('E2E Nakliye Montaj'!$AT$3:$AT$1002,MATCH('DIVA Satislari'!AJ918,'E2E Nakliye Montaj'!$AM$3:$AM$1002,0)),"Hayır"))</f>
        <v/>
      </c>
      <c r="M918" s="26">
        <f>IF('DIVA Satislari'!I918="","",IFERROR(INDEX('E2E Nakliye Montaj'!$AU$3:$AU$1002,MATCH('DIVA Satislari'!AJ918,'E2E Nakliye Montaj'!$AM$3:$AM$1002,0)),"Hayır"))</f>
        <v/>
      </c>
      <c r="N918" s="27">
        <f>IF('DIVA Satislari'!I918="","",IFERROR(INDEX('E2E Nakliye Montaj'!$AV$3:$AV$1002,MATCH('DIVA Satislari'!AJ918,'E2E Nakliye Montaj'!$AM$3:$AM$1002,0)),""))</f>
        <v/>
      </c>
      <c r="O918" s="26">
        <f>IF(OR(A918="",N918=""),"",IF(N918&lt;=H918,"Evet","HAYIR - RİSK"))</f>
        <v/>
      </c>
      <c r="P918" s="26">
        <f>IF(A918="","",IF(LEFT(J918,8)="Kural A ","Uygun - Hemen Ödenir (Yıl Sonu %75 Kontrolüne Tabi)",IF(OR(L918="Evet",M918="Evet"),IF(O918="Evet","Uygun","RİSK - Hakediş Süresi Aşıldı"),"Bekleniyor - Nakliye/Montaj Tamamlanmadı")))</f>
        <v/>
      </c>
      <c r="Q918" s="28">
        <f>IF(A918="","",SUMIFS('Hakedis Fatura Detay'!$G$3:$G$1200,'Hakedis Fatura Detay'!$H$3:$H$1200,'DIVA Satislari'!AJ918,'Hakedis Fatura Detay'!$F$3:$F$1200,"Fiyat Farkı")+SUMIFS('Hakedis Fatura Detay'!$G$3:$G$1200,'Hakedis Fatura Detay'!$H$3:$H$1200,'DIVA Satislari'!AJ918,'Hakedis Fatura Detay'!$F$3:$F$1200,"Bundle"))</f>
        <v/>
      </c>
      <c r="R918" s="28">
        <f>IF(A918="","",I918-Q918)</f>
        <v/>
      </c>
      <c r="S918" s="26">
        <f>IF(A918="","",IF(LEFT(P918,7)="Bekleni","N/A - Henüz Ödenmemeli",IF(LEFT(P918,4)="RİSK","İNCELEME GEREKLİ - Süre Aşımı",IF(R918=0,"Doğru",IF(R918&gt;0,"EKSİK ÖDENMİŞ","FAZLA ÖDENMİŞ")))))</f>
        <v/>
      </c>
      <c r="T918" s="30">
        <f>IF(A918="","",IF(F918&lt;&gt;"Evet","İNCELEME GEREKLİ - Kampanya Tanımsız",IF(G918&lt;&gt;"Evet","İNCELEME GEREKLİ - Tarih Dışı Satış",IF(LEFT(P918,4)="RİSK","İNCELEME GEREKLİ - Hakediş Süresi Aşıldı",IF(OR(S918="EKSİK ÖDENMİŞ",S918="FAZLA ÖDENMİŞ"),"İNCELEME GEREKLİ - Tutar Uyuşmazlığı",IF(LEFT(P918,7)="Bekleni","Bekleniyor","Uygun"))))))</f>
        <v/>
      </c>
    </row>
    <row r="919">
      <c r="A919" s="26">
        <f>IF('DIVA Satislari'!I919="","",'DIVA Satislari'!I919)</f>
        <v/>
      </c>
      <c r="B919" s="26">
        <f>IF('DIVA Satislari'!I919="","",'DIVA Satislari'!R919)</f>
        <v/>
      </c>
      <c r="C919" s="26">
        <f>IF('DIVA Satislari'!I919="","",'DIVA Satislari'!M919)</f>
        <v/>
      </c>
      <c r="D919" s="27">
        <f>IF('DIVA Satislari'!I919="","",'DIVA Satislari'!H919)</f>
        <v/>
      </c>
      <c r="E919" s="26">
        <f>IF('DIVA Satislari'!I919="","",'DIVA Satislari'!O919)</f>
        <v/>
      </c>
      <c r="F919" s="26">
        <f>IF('DIVA Satislari'!I919="","",'DIVA Satislari'!AK919)</f>
        <v/>
      </c>
      <c r="G919" s="26">
        <f>IF('DIVA Satislari'!I919="","",'DIVA Satislari'!AO919)</f>
        <v/>
      </c>
      <c r="H919" s="27">
        <f>IF('DIVA Satislari'!I919="","",'DIVA Satislari'!AN919)</f>
        <v/>
      </c>
      <c r="I919" s="28">
        <f>IF('DIVA Satislari'!I919="","",'DIVA Satislari'!AQ919)</f>
        <v/>
      </c>
      <c r="J919" s="26">
        <f>IF('DIVA Satislari'!I919="","",'DIVA Satislari'!AR919)</f>
        <v/>
      </c>
      <c r="K919" s="26">
        <f>IF('DIVA Satislari'!I919="","",IFERROR(INDEX('E2E Nakliye Montaj'!$AS$3:$AS$1002,MATCH('DIVA Satislari'!AJ919,'E2E Nakliye Montaj'!$AM$3:$AM$1002,0)),"Eşleşme Yok"))</f>
        <v/>
      </c>
      <c r="L919" s="26">
        <f>IF('DIVA Satislari'!I919="","",IFERROR(INDEX('E2E Nakliye Montaj'!$AT$3:$AT$1002,MATCH('DIVA Satislari'!AJ919,'E2E Nakliye Montaj'!$AM$3:$AM$1002,0)),"Hayır"))</f>
        <v/>
      </c>
      <c r="M919" s="26">
        <f>IF('DIVA Satislari'!I919="","",IFERROR(INDEX('E2E Nakliye Montaj'!$AU$3:$AU$1002,MATCH('DIVA Satislari'!AJ919,'E2E Nakliye Montaj'!$AM$3:$AM$1002,0)),"Hayır"))</f>
        <v/>
      </c>
      <c r="N919" s="27">
        <f>IF('DIVA Satislari'!I919="","",IFERROR(INDEX('E2E Nakliye Montaj'!$AV$3:$AV$1002,MATCH('DIVA Satislari'!AJ919,'E2E Nakliye Montaj'!$AM$3:$AM$1002,0)),""))</f>
        <v/>
      </c>
      <c r="O919" s="26">
        <f>IF(OR(A919="",N919=""),"",IF(N919&lt;=H919,"Evet","HAYIR - RİSK"))</f>
        <v/>
      </c>
      <c r="P919" s="26">
        <f>IF(A919="","",IF(LEFT(J919,8)="Kural A ","Uygun - Hemen Ödenir (Yıl Sonu %75 Kontrolüne Tabi)",IF(OR(L919="Evet",M919="Evet"),IF(O919="Evet","Uygun","RİSK - Hakediş Süresi Aşıldı"),"Bekleniyor - Nakliye/Montaj Tamamlanmadı")))</f>
        <v/>
      </c>
      <c r="Q919" s="28">
        <f>IF(A919="","",SUMIFS('Hakedis Fatura Detay'!$G$3:$G$1200,'Hakedis Fatura Detay'!$H$3:$H$1200,'DIVA Satislari'!AJ919,'Hakedis Fatura Detay'!$F$3:$F$1200,"Fiyat Farkı")+SUMIFS('Hakedis Fatura Detay'!$G$3:$G$1200,'Hakedis Fatura Detay'!$H$3:$H$1200,'DIVA Satislari'!AJ919,'Hakedis Fatura Detay'!$F$3:$F$1200,"Bundle"))</f>
        <v/>
      </c>
      <c r="R919" s="28">
        <f>IF(A919="","",I919-Q919)</f>
        <v/>
      </c>
      <c r="S919" s="26">
        <f>IF(A919="","",IF(LEFT(P919,7)="Bekleni","N/A - Henüz Ödenmemeli",IF(LEFT(P919,4)="RİSK","İNCELEME GEREKLİ - Süre Aşımı",IF(R919=0,"Doğru",IF(R919&gt;0,"EKSİK ÖDENMİŞ","FAZLA ÖDENMİŞ")))))</f>
        <v/>
      </c>
      <c r="T919" s="30">
        <f>IF(A919="","",IF(F919&lt;&gt;"Evet","İNCELEME GEREKLİ - Kampanya Tanımsız",IF(G919&lt;&gt;"Evet","İNCELEME GEREKLİ - Tarih Dışı Satış",IF(LEFT(P919,4)="RİSK","İNCELEME GEREKLİ - Hakediş Süresi Aşıldı",IF(OR(S919="EKSİK ÖDENMİŞ",S919="FAZLA ÖDENMİŞ"),"İNCELEME GEREKLİ - Tutar Uyuşmazlığı",IF(LEFT(P919,7)="Bekleni","Bekleniyor","Uygun"))))))</f>
        <v/>
      </c>
    </row>
    <row r="920">
      <c r="A920" s="26">
        <f>IF('DIVA Satislari'!I920="","",'DIVA Satislari'!I920)</f>
        <v/>
      </c>
      <c r="B920" s="26">
        <f>IF('DIVA Satislari'!I920="","",'DIVA Satislari'!R920)</f>
        <v/>
      </c>
      <c r="C920" s="26">
        <f>IF('DIVA Satislari'!I920="","",'DIVA Satislari'!M920)</f>
        <v/>
      </c>
      <c r="D920" s="27">
        <f>IF('DIVA Satislari'!I920="","",'DIVA Satislari'!H920)</f>
        <v/>
      </c>
      <c r="E920" s="26">
        <f>IF('DIVA Satislari'!I920="","",'DIVA Satislari'!O920)</f>
        <v/>
      </c>
      <c r="F920" s="26">
        <f>IF('DIVA Satislari'!I920="","",'DIVA Satislari'!AK920)</f>
        <v/>
      </c>
      <c r="G920" s="26">
        <f>IF('DIVA Satislari'!I920="","",'DIVA Satislari'!AO920)</f>
        <v/>
      </c>
      <c r="H920" s="27">
        <f>IF('DIVA Satislari'!I920="","",'DIVA Satislari'!AN920)</f>
        <v/>
      </c>
      <c r="I920" s="28">
        <f>IF('DIVA Satislari'!I920="","",'DIVA Satislari'!AQ920)</f>
        <v/>
      </c>
      <c r="J920" s="26">
        <f>IF('DIVA Satislari'!I920="","",'DIVA Satislari'!AR920)</f>
        <v/>
      </c>
      <c r="K920" s="26">
        <f>IF('DIVA Satislari'!I920="","",IFERROR(INDEX('E2E Nakliye Montaj'!$AS$3:$AS$1002,MATCH('DIVA Satislari'!AJ920,'E2E Nakliye Montaj'!$AM$3:$AM$1002,0)),"Eşleşme Yok"))</f>
        <v/>
      </c>
      <c r="L920" s="26">
        <f>IF('DIVA Satislari'!I920="","",IFERROR(INDEX('E2E Nakliye Montaj'!$AT$3:$AT$1002,MATCH('DIVA Satislari'!AJ920,'E2E Nakliye Montaj'!$AM$3:$AM$1002,0)),"Hayır"))</f>
        <v/>
      </c>
      <c r="M920" s="26">
        <f>IF('DIVA Satislari'!I920="","",IFERROR(INDEX('E2E Nakliye Montaj'!$AU$3:$AU$1002,MATCH('DIVA Satislari'!AJ920,'E2E Nakliye Montaj'!$AM$3:$AM$1002,0)),"Hayır"))</f>
        <v/>
      </c>
      <c r="N920" s="27">
        <f>IF('DIVA Satislari'!I920="","",IFERROR(INDEX('E2E Nakliye Montaj'!$AV$3:$AV$1002,MATCH('DIVA Satislari'!AJ920,'E2E Nakliye Montaj'!$AM$3:$AM$1002,0)),""))</f>
        <v/>
      </c>
      <c r="O920" s="26">
        <f>IF(OR(A920="",N920=""),"",IF(N920&lt;=H920,"Evet","HAYIR - RİSK"))</f>
        <v/>
      </c>
      <c r="P920" s="26">
        <f>IF(A920="","",IF(LEFT(J920,8)="Kural A ","Uygun - Hemen Ödenir (Yıl Sonu %75 Kontrolüne Tabi)",IF(OR(L920="Evet",M920="Evet"),IF(O920="Evet","Uygun","RİSK - Hakediş Süresi Aşıldı"),"Bekleniyor - Nakliye/Montaj Tamamlanmadı")))</f>
        <v/>
      </c>
      <c r="Q920" s="28">
        <f>IF(A920="","",SUMIFS('Hakedis Fatura Detay'!$G$3:$G$1200,'Hakedis Fatura Detay'!$H$3:$H$1200,'DIVA Satislari'!AJ920,'Hakedis Fatura Detay'!$F$3:$F$1200,"Fiyat Farkı")+SUMIFS('Hakedis Fatura Detay'!$G$3:$G$1200,'Hakedis Fatura Detay'!$H$3:$H$1200,'DIVA Satislari'!AJ920,'Hakedis Fatura Detay'!$F$3:$F$1200,"Bundle"))</f>
        <v/>
      </c>
      <c r="R920" s="28">
        <f>IF(A920="","",I920-Q920)</f>
        <v/>
      </c>
      <c r="S920" s="26">
        <f>IF(A920="","",IF(LEFT(P920,7)="Bekleni","N/A - Henüz Ödenmemeli",IF(LEFT(P920,4)="RİSK","İNCELEME GEREKLİ - Süre Aşımı",IF(R920=0,"Doğru",IF(R920&gt;0,"EKSİK ÖDENMİŞ","FAZLA ÖDENMİŞ")))))</f>
        <v/>
      </c>
      <c r="T920" s="30">
        <f>IF(A920="","",IF(F920&lt;&gt;"Evet","İNCELEME GEREKLİ - Kampanya Tanımsız",IF(G920&lt;&gt;"Evet","İNCELEME GEREKLİ - Tarih Dışı Satış",IF(LEFT(P920,4)="RİSK","İNCELEME GEREKLİ - Hakediş Süresi Aşıldı",IF(OR(S920="EKSİK ÖDENMİŞ",S920="FAZLA ÖDENMİŞ"),"İNCELEME GEREKLİ - Tutar Uyuşmazlığı",IF(LEFT(P920,7)="Bekleni","Bekleniyor","Uygun"))))))</f>
        <v/>
      </c>
    </row>
    <row r="921">
      <c r="A921" s="26">
        <f>IF('DIVA Satislari'!I921="","",'DIVA Satislari'!I921)</f>
        <v/>
      </c>
      <c r="B921" s="26">
        <f>IF('DIVA Satislari'!I921="","",'DIVA Satislari'!R921)</f>
        <v/>
      </c>
      <c r="C921" s="26">
        <f>IF('DIVA Satislari'!I921="","",'DIVA Satislari'!M921)</f>
        <v/>
      </c>
      <c r="D921" s="27">
        <f>IF('DIVA Satislari'!I921="","",'DIVA Satislari'!H921)</f>
        <v/>
      </c>
      <c r="E921" s="26">
        <f>IF('DIVA Satislari'!I921="","",'DIVA Satislari'!O921)</f>
        <v/>
      </c>
      <c r="F921" s="26">
        <f>IF('DIVA Satislari'!I921="","",'DIVA Satislari'!AK921)</f>
        <v/>
      </c>
      <c r="G921" s="26">
        <f>IF('DIVA Satislari'!I921="","",'DIVA Satislari'!AO921)</f>
        <v/>
      </c>
      <c r="H921" s="27">
        <f>IF('DIVA Satislari'!I921="","",'DIVA Satislari'!AN921)</f>
        <v/>
      </c>
      <c r="I921" s="28">
        <f>IF('DIVA Satislari'!I921="","",'DIVA Satislari'!AQ921)</f>
        <v/>
      </c>
      <c r="J921" s="26">
        <f>IF('DIVA Satislari'!I921="","",'DIVA Satislari'!AR921)</f>
        <v/>
      </c>
      <c r="K921" s="26">
        <f>IF('DIVA Satislari'!I921="","",IFERROR(INDEX('E2E Nakliye Montaj'!$AS$3:$AS$1002,MATCH('DIVA Satislari'!AJ921,'E2E Nakliye Montaj'!$AM$3:$AM$1002,0)),"Eşleşme Yok"))</f>
        <v/>
      </c>
      <c r="L921" s="26">
        <f>IF('DIVA Satislari'!I921="","",IFERROR(INDEX('E2E Nakliye Montaj'!$AT$3:$AT$1002,MATCH('DIVA Satislari'!AJ921,'E2E Nakliye Montaj'!$AM$3:$AM$1002,0)),"Hayır"))</f>
        <v/>
      </c>
      <c r="M921" s="26">
        <f>IF('DIVA Satislari'!I921="","",IFERROR(INDEX('E2E Nakliye Montaj'!$AU$3:$AU$1002,MATCH('DIVA Satislari'!AJ921,'E2E Nakliye Montaj'!$AM$3:$AM$1002,0)),"Hayır"))</f>
        <v/>
      </c>
      <c r="N921" s="27">
        <f>IF('DIVA Satislari'!I921="","",IFERROR(INDEX('E2E Nakliye Montaj'!$AV$3:$AV$1002,MATCH('DIVA Satislari'!AJ921,'E2E Nakliye Montaj'!$AM$3:$AM$1002,0)),""))</f>
        <v/>
      </c>
      <c r="O921" s="26">
        <f>IF(OR(A921="",N921=""),"",IF(N921&lt;=H921,"Evet","HAYIR - RİSK"))</f>
        <v/>
      </c>
      <c r="P921" s="26">
        <f>IF(A921="","",IF(LEFT(J921,8)="Kural A ","Uygun - Hemen Ödenir (Yıl Sonu %75 Kontrolüne Tabi)",IF(OR(L921="Evet",M921="Evet"),IF(O921="Evet","Uygun","RİSK - Hakediş Süresi Aşıldı"),"Bekleniyor - Nakliye/Montaj Tamamlanmadı")))</f>
        <v/>
      </c>
      <c r="Q921" s="28">
        <f>IF(A921="","",SUMIFS('Hakedis Fatura Detay'!$G$3:$G$1200,'Hakedis Fatura Detay'!$H$3:$H$1200,'DIVA Satislari'!AJ921,'Hakedis Fatura Detay'!$F$3:$F$1200,"Fiyat Farkı")+SUMIFS('Hakedis Fatura Detay'!$G$3:$G$1200,'Hakedis Fatura Detay'!$H$3:$H$1200,'DIVA Satislari'!AJ921,'Hakedis Fatura Detay'!$F$3:$F$1200,"Bundle"))</f>
        <v/>
      </c>
      <c r="R921" s="28">
        <f>IF(A921="","",I921-Q921)</f>
        <v/>
      </c>
      <c r="S921" s="26">
        <f>IF(A921="","",IF(LEFT(P921,7)="Bekleni","N/A - Henüz Ödenmemeli",IF(LEFT(P921,4)="RİSK","İNCELEME GEREKLİ - Süre Aşımı",IF(R921=0,"Doğru",IF(R921&gt;0,"EKSİK ÖDENMİŞ","FAZLA ÖDENMİŞ")))))</f>
        <v/>
      </c>
      <c r="T921" s="30">
        <f>IF(A921="","",IF(F921&lt;&gt;"Evet","İNCELEME GEREKLİ - Kampanya Tanımsız",IF(G921&lt;&gt;"Evet","İNCELEME GEREKLİ - Tarih Dışı Satış",IF(LEFT(P921,4)="RİSK","İNCELEME GEREKLİ - Hakediş Süresi Aşıldı",IF(OR(S921="EKSİK ÖDENMİŞ",S921="FAZLA ÖDENMİŞ"),"İNCELEME GEREKLİ - Tutar Uyuşmazlığı",IF(LEFT(P921,7)="Bekleni","Bekleniyor","Uygun"))))))</f>
        <v/>
      </c>
    </row>
    <row r="922">
      <c r="A922" s="26">
        <f>IF('DIVA Satislari'!I922="","",'DIVA Satislari'!I922)</f>
        <v/>
      </c>
      <c r="B922" s="26">
        <f>IF('DIVA Satislari'!I922="","",'DIVA Satislari'!R922)</f>
        <v/>
      </c>
      <c r="C922" s="26">
        <f>IF('DIVA Satislari'!I922="","",'DIVA Satislari'!M922)</f>
        <v/>
      </c>
      <c r="D922" s="27">
        <f>IF('DIVA Satislari'!I922="","",'DIVA Satislari'!H922)</f>
        <v/>
      </c>
      <c r="E922" s="26">
        <f>IF('DIVA Satislari'!I922="","",'DIVA Satislari'!O922)</f>
        <v/>
      </c>
      <c r="F922" s="26">
        <f>IF('DIVA Satislari'!I922="","",'DIVA Satislari'!AK922)</f>
        <v/>
      </c>
      <c r="G922" s="26">
        <f>IF('DIVA Satislari'!I922="","",'DIVA Satislari'!AO922)</f>
        <v/>
      </c>
      <c r="H922" s="27">
        <f>IF('DIVA Satislari'!I922="","",'DIVA Satislari'!AN922)</f>
        <v/>
      </c>
      <c r="I922" s="28">
        <f>IF('DIVA Satislari'!I922="","",'DIVA Satislari'!AQ922)</f>
        <v/>
      </c>
      <c r="J922" s="26">
        <f>IF('DIVA Satislari'!I922="","",'DIVA Satislari'!AR922)</f>
        <v/>
      </c>
      <c r="K922" s="26">
        <f>IF('DIVA Satislari'!I922="","",IFERROR(INDEX('E2E Nakliye Montaj'!$AS$3:$AS$1002,MATCH('DIVA Satislari'!AJ922,'E2E Nakliye Montaj'!$AM$3:$AM$1002,0)),"Eşleşme Yok"))</f>
        <v/>
      </c>
      <c r="L922" s="26">
        <f>IF('DIVA Satislari'!I922="","",IFERROR(INDEX('E2E Nakliye Montaj'!$AT$3:$AT$1002,MATCH('DIVA Satislari'!AJ922,'E2E Nakliye Montaj'!$AM$3:$AM$1002,0)),"Hayır"))</f>
        <v/>
      </c>
      <c r="M922" s="26">
        <f>IF('DIVA Satislari'!I922="","",IFERROR(INDEX('E2E Nakliye Montaj'!$AU$3:$AU$1002,MATCH('DIVA Satislari'!AJ922,'E2E Nakliye Montaj'!$AM$3:$AM$1002,0)),"Hayır"))</f>
        <v/>
      </c>
      <c r="N922" s="27">
        <f>IF('DIVA Satislari'!I922="","",IFERROR(INDEX('E2E Nakliye Montaj'!$AV$3:$AV$1002,MATCH('DIVA Satislari'!AJ922,'E2E Nakliye Montaj'!$AM$3:$AM$1002,0)),""))</f>
        <v/>
      </c>
      <c r="O922" s="26">
        <f>IF(OR(A922="",N922=""),"",IF(N922&lt;=H922,"Evet","HAYIR - RİSK"))</f>
        <v/>
      </c>
      <c r="P922" s="26">
        <f>IF(A922="","",IF(LEFT(J922,8)="Kural A ","Uygun - Hemen Ödenir (Yıl Sonu %75 Kontrolüne Tabi)",IF(OR(L922="Evet",M922="Evet"),IF(O922="Evet","Uygun","RİSK - Hakediş Süresi Aşıldı"),"Bekleniyor - Nakliye/Montaj Tamamlanmadı")))</f>
        <v/>
      </c>
      <c r="Q922" s="28">
        <f>IF(A922="","",SUMIFS('Hakedis Fatura Detay'!$G$3:$G$1200,'Hakedis Fatura Detay'!$H$3:$H$1200,'DIVA Satislari'!AJ922,'Hakedis Fatura Detay'!$F$3:$F$1200,"Fiyat Farkı")+SUMIFS('Hakedis Fatura Detay'!$G$3:$G$1200,'Hakedis Fatura Detay'!$H$3:$H$1200,'DIVA Satislari'!AJ922,'Hakedis Fatura Detay'!$F$3:$F$1200,"Bundle"))</f>
        <v/>
      </c>
      <c r="R922" s="28">
        <f>IF(A922="","",I922-Q922)</f>
        <v/>
      </c>
      <c r="S922" s="26">
        <f>IF(A922="","",IF(LEFT(P922,7)="Bekleni","N/A - Henüz Ödenmemeli",IF(LEFT(P922,4)="RİSK","İNCELEME GEREKLİ - Süre Aşımı",IF(R922=0,"Doğru",IF(R922&gt;0,"EKSİK ÖDENMİŞ","FAZLA ÖDENMİŞ")))))</f>
        <v/>
      </c>
      <c r="T922" s="30">
        <f>IF(A922="","",IF(F922&lt;&gt;"Evet","İNCELEME GEREKLİ - Kampanya Tanımsız",IF(G922&lt;&gt;"Evet","İNCELEME GEREKLİ - Tarih Dışı Satış",IF(LEFT(P922,4)="RİSK","İNCELEME GEREKLİ - Hakediş Süresi Aşıldı",IF(OR(S922="EKSİK ÖDENMİŞ",S922="FAZLA ÖDENMİŞ"),"İNCELEME GEREKLİ - Tutar Uyuşmazlığı",IF(LEFT(P922,7)="Bekleni","Bekleniyor","Uygun"))))))</f>
        <v/>
      </c>
    </row>
    <row r="923">
      <c r="A923" s="26">
        <f>IF('DIVA Satislari'!I923="","",'DIVA Satislari'!I923)</f>
        <v/>
      </c>
      <c r="B923" s="26">
        <f>IF('DIVA Satislari'!I923="","",'DIVA Satislari'!R923)</f>
        <v/>
      </c>
      <c r="C923" s="26">
        <f>IF('DIVA Satislari'!I923="","",'DIVA Satislari'!M923)</f>
        <v/>
      </c>
      <c r="D923" s="27">
        <f>IF('DIVA Satislari'!I923="","",'DIVA Satislari'!H923)</f>
        <v/>
      </c>
      <c r="E923" s="26">
        <f>IF('DIVA Satislari'!I923="","",'DIVA Satislari'!O923)</f>
        <v/>
      </c>
      <c r="F923" s="26">
        <f>IF('DIVA Satislari'!I923="","",'DIVA Satislari'!AK923)</f>
        <v/>
      </c>
      <c r="G923" s="26">
        <f>IF('DIVA Satislari'!I923="","",'DIVA Satislari'!AO923)</f>
        <v/>
      </c>
      <c r="H923" s="27">
        <f>IF('DIVA Satislari'!I923="","",'DIVA Satislari'!AN923)</f>
        <v/>
      </c>
      <c r="I923" s="28">
        <f>IF('DIVA Satislari'!I923="","",'DIVA Satislari'!AQ923)</f>
        <v/>
      </c>
      <c r="J923" s="26">
        <f>IF('DIVA Satislari'!I923="","",'DIVA Satislari'!AR923)</f>
        <v/>
      </c>
      <c r="K923" s="26">
        <f>IF('DIVA Satislari'!I923="","",IFERROR(INDEX('E2E Nakliye Montaj'!$AS$3:$AS$1002,MATCH('DIVA Satislari'!AJ923,'E2E Nakliye Montaj'!$AM$3:$AM$1002,0)),"Eşleşme Yok"))</f>
        <v/>
      </c>
      <c r="L923" s="26">
        <f>IF('DIVA Satislari'!I923="","",IFERROR(INDEX('E2E Nakliye Montaj'!$AT$3:$AT$1002,MATCH('DIVA Satislari'!AJ923,'E2E Nakliye Montaj'!$AM$3:$AM$1002,0)),"Hayır"))</f>
        <v/>
      </c>
      <c r="M923" s="26">
        <f>IF('DIVA Satislari'!I923="","",IFERROR(INDEX('E2E Nakliye Montaj'!$AU$3:$AU$1002,MATCH('DIVA Satislari'!AJ923,'E2E Nakliye Montaj'!$AM$3:$AM$1002,0)),"Hayır"))</f>
        <v/>
      </c>
      <c r="N923" s="27">
        <f>IF('DIVA Satislari'!I923="","",IFERROR(INDEX('E2E Nakliye Montaj'!$AV$3:$AV$1002,MATCH('DIVA Satislari'!AJ923,'E2E Nakliye Montaj'!$AM$3:$AM$1002,0)),""))</f>
        <v/>
      </c>
      <c r="O923" s="26">
        <f>IF(OR(A923="",N923=""),"",IF(N923&lt;=H923,"Evet","HAYIR - RİSK"))</f>
        <v/>
      </c>
      <c r="P923" s="26">
        <f>IF(A923="","",IF(LEFT(J923,8)="Kural A ","Uygun - Hemen Ödenir (Yıl Sonu %75 Kontrolüne Tabi)",IF(OR(L923="Evet",M923="Evet"),IF(O923="Evet","Uygun","RİSK - Hakediş Süresi Aşıldı"),"Bekleniyor - Nakliye/Montaj Tamamlanmadı")))</f>
        <v/>
      </c>
      <c r="Q923" s="28">
        <f>IF(A923="","",SUMIFS('Hakedis Fatura Detay'!$G$3:$G$1200,'Hakedis Fatura Detay'!$H$3:$H$1200,'DIVA Satislari'!AJ923,'Hakedis Fatura Detay'!$F$3:$F$1200,"Fiyat Farkı")+SUMIFS('Hakedis Fatura Detay'!$G$3:$G$1200,'Hakedis Fatura Detay'!$H$3:$H$1200,'DIVA Satislari'!AJ923,'Hakedis Fatura Detay'!$F$3:$F$1200,"Bundle"))</f>
        <v/>
      </c>
      <c r="R923" s="28">
        <f>IF(A923="","",I923-Q923)</f>
        <v/>
      </c>
      <c r="S923" s="26">
        <f>IF(A923="","",IF(LEFT(P923,7)="Bekleni","N/A - Henüz Ödenmemeli",IF(LEFT(P923,4)="RİSK","İNCELEME GEREKLİ - Süre Aşımı",IF(R923=0,"Doğru",IF(R923&gt;0,"EKSİK ÖDENMİŞ","FAZLA ÖDENMİŞ")))))</f>
        <v/>
      </c>
      <c r="T923" s="30">
        <f>IF(A923="","",IF(F923&lt;&gt;"Evet","İNCELEME GEREKLİ - Kampanya Tanımsız",IF(G923&lt;&gt;"Evet","İNCELEME GEREKLİ - Tarih Dışı Satış",IF(LEFT(P923,4)="RİSK","İNCELEME GEREKLİ - Hakediş Süresi Aşıldı",IF(OR(S923="EKSİK ÖDENMİŞ",S923="FAZLA ÖDENMİŞ"),"İNCELEME GEREKLİ - Tutar Uyuşmazlığı",IF(LEFT(P923,7)="Bekleni","Bekleniyor","Uygun"))))))</f>
        <v/>
      </c>
    </row>
    <row r="924">
      <c r="A924" s="26">
        <f>IF('DIVA Satislari'!I924="","",'DIVA Satislari'!I924)</f>
        <v/>
      </c>
      <c r="B924" s="26">
        <f>IF('DIVA Satislari'!I924="","",'DIVA Satislari'!R924)</f>
        <v/>
      </c>
      <c r="C924" s="26">
        <f>IF('DIVA Satislari'!I924="","",'DIVA Satislari'!M924)</f>
        <v/>
      </c>
      <c r="D924" s="27">
        <f>IF('DIVA Satislari'!I924="","",'DIVA Satislari'!H924)</f>
        <v/>
      </c>
      <c r="E924" s="26">
        <f>IF('DIVA Satislari'!I924="","",'DIVA Satislari'!O924)</f>
        <v/>
      </c>
      <c r="F924" s="26">
        <f>IF('DIVA Satislari'!I924="","",'DIVA Satislari'!AK924)</f>
        <v/>
      </c>
      <c r="G924" s="26">
        <f>IF('DIVA Satislari'!I924="","",'DIVA Satislari'!AO924)</f>
        <v/>
      </c>
      <c r="H924" s="27">
        <f>IF('DIVA Satislari'!I924="","",'DIVA Satislari'!AN924)</f>
        <v/>
      </c>
      <c r="I924" s="28">
        <f>IF('DIVA Satislari'!I924="","",'DIVA Satislari'!AQ924)</f>
        <v/>
      </c>
      <c r="J924" s="26">
        <f>IF('DIVA Satislari'!I924="","",'DIVA Satislari'!AR924)</f>
        <v/>
      </c>
      <c r="K924" s="26">
        <f>IF('DIVA Satislari'!I924="","",IFERROR(INDEX('E2E Nakliye Montaj'!$AS$3:$AS$1002,MATCH('DIVA Satislari'!AJ924,'E2E Nakliye Montaj'!$AM$3:$AM$1002,0)),"Eşleşme Yok"))</f>
        <v/>
      </c>
      <c r="L924" s="26">
        <f>IF('DIVA Satislari'!I924="","",IFERROR(INDEX('E2E Nakliye Montaj'!$AT$3:$AT$1002,MATCH('DIVA Satislari'!AJ924,'E2E Nakliye Montaj'!$AM$3:$AM$1002,0)),"Hayır"))</f>
        <v/>
      </c>
      <c r="M924" s="26">
        <f>IF('DIVA Satislari'!I924="","",IFERROR(INDEX('E2E Nakliye Montaj'!$AU$3:$AU$1002,MATCH('DIVA Satislari'!AJ924,'E2E Nakliye Montaj'!$AM$3:$AM$1002,0)),"Hayır"))</f>
        <v/>
      </c>
      <c r="N924" s="27">
        <f>IF('DIVA Satislari'!I924="","",IFERROR(INDEX('E2E Nakliye Montaj'!$AV$3:$AV$1002,MATCH('DIVA Satislari'!AJ924,'E2E Nakliye Montaj'!$AM$3:$AM$1002,0)),""))</f>
        <v/>
      </c>
      <c r="O924" s="26">
        <f>IF(OR(A924="",N924=""),"",IF(N924&lt;=H924,"Evet","HAYIR - RİSK"))</f>
        <v/>
      </c>
      <c r="P924" s="26">
        <f>IF(A924="","",IF(LEFT(J924,8)="Kural A ","Uygun - Hemen Ödenir (Yıl Sonu %75 Kontrolüne Tabi)",IF(OR(L924="Evet",M924="Evet"),IF(O924="Evet","Uygun","RİSK - Hakediş Süresi Aşıldı"),"Bekleniyor - Nakliye/Montaj Tamamlanmadı")))</f>
        <v/>
      </c>
      <c r="Q924" s="28">
        <f>IF(A924="","",SUMIFS('Hakedis Fatura Detay'!$G$3:$G$1200,'Hakedis Fatura Detay'!$H$3:$H$1200,'DIVA Satislari'!AJ924,'Hakedis Fatura Detay'!$F$3:$F$1200,"Fiyat Farkı")+SUMIFS('Hakedis Fatura Detay'!$G$3:$G$1200,'Hakedis Fatura Detay'!$H$3:$H$1200,'DIVA Satislari'!AJ924,'Hakedis Fatura Detay'!$F$3:$F$1200,"Bundle"))</f>
        <v/>
      </c>
      <c r="R924" s="28">
        <f>IF(A924="","",I924-Q924)</f>
        <v/>
      </c>
      <c r="S924" s="26">
        <f>IF(A924="","",IF(LEFT(P924,7)="Bekleni","N/A - Henüz Ödenmemeli",IF(LEFT(P924,4)="RİSK","İNCELEME GEREKLİ - Süre Aşımı",IF(R924=0,"Doğru",IF(R924&gt;0,"EKSİK ÖDENMİŞ","FAZLA ÖDENMİŞ")))))</f>
        <v/>
      </c>
      <c r="T924" s="30">
        <f>IF(A924="","",IF(F924&lt;&gt;"Evet","İNCELEME GEREKLİ - Kampanya Tanımsız",IF(G924&lt;&gt;"Evet","İNCELEME GEREKLİ - Tarih Dışı Satış",IF(LEFT(P924,4)="RİSK","İNCELEME GEREKLİ - Hakediş Süresi Aşıldı",IF(OR(S924="EKSİK ÖDENMİŞ",S924="FAZLA ÖDENMİŞ"),"İNCELEME GEREKLİ - Tutar Uyuşmazlığı",IF(LEFT(P924,7)="Bekleni","Bekleniyor","Uygun"))))))</f>
        <v/>
      </c>
    </row>
    <row r="925">
      <c r="A925" s="26">
        <f>IF('DIVA Satislari'!I925="","",'DIVA Satislari'!I925)</f>
        <v/>
      </c>
      <c r="B925" s="26">
        <f>IF('DIVA Satislari'!I925="","",'DIVA Satislari'!R925)</f>
        <v/>
      </c>
      <c r="C925" s="26">
        <f>IF('DIVA Satislari'!I925="","",'DIVA Satislari'!M925)</f>
        <v/>
      </c>
      <c r="D925" s="27">
        <f>IF('DIVA Satislari'!I925="","",'DIVA Satislari'!H925)</f>
        <v/>
      </c>
      <c r="E925" s="26">
        <f>IF('DIVA Satislari'!I925="","",'DIVA Satislari'!O925)</f>
        <v/>
      </c>
      <c r="F925" s="26">
        <f>IF('DIVA Satislari'!I925="","",'DIVA Satislari'!AK925)</f>
        <v/>
      </c>
      <c r="G925" s="26">
        <f>IF('DIVA Satislari'!I925="","",'DIVA Satislari'!AO925)</f>
        <v/>
      </c>
      <c r="H925" s="27">
        <f>IF('DIVA Satislari'!I925="","",'DIVA Satislari'!AN925)</f>
        <v/>
      </c>
      <c r="I925" s="28">
        <f>IF('DIVA Satislari'!I925="","",'DIVA Satislari'!AQ925)</f>
        <v/>
      </c>
      <c r="J925" s="26">
        <f>IF('DIVA Satislari'!I925="","",'DIVA Satislari'!AR925)</f>
        <v/>
      </c>
      <c r="K925" s="26">
        <f>IF('DIVA Satislari'!I925="","",IFERROR(INDEX('E2E Nakliye Montaj'!$AS$3:$AS$1002,MATCH('DIVA Satislari'!AJ925,'E2E Nakliye Montaj'!$AM$3:$AM$1002,0)),"Eşleşme Yok"))</f>
        <v/>
      </c>
      <c r="L925" s="26">
        <f>IF('DIVA Satislari'!I925="","",IFERROR(INDEX('E2E Nakliye Montaj'!$AT$3:$AT$1002,MATCH('DIVA Satislari'!AJ925,'E2E Nakliye Montaj'!$AM$3:$AM$1002,0)),"Hayır"))</f>
        <v/>
      </c>
      <c r="M925" s="26">
        <f>IF('DIVA Satislari'!I925="","",IFERROR(INDEX('E2E Nakliye Montaj'!$AU$3:$AU$1002,MATCH('DIVA Satislari'!AJ925,'E2E Nakliye Montaj'!$AM$3:$AM$1002,0)),"Hayır"))</f>
        <v/>
      </c>
      <c r="N925" s="27">
        <f>IF('DIVA Satislari'!I925="","",IFERROR(INDEX('E2E Nakliye Montaj'!$AV$3:$AV$1002,MATCH('DIVA Satislari'!AJ925,'E2E Nakliye Montaj'!$AM$3:$AM$1002,0)),""))</f>
        <v/>
      </c>
      <c r="O925" s="26">
        <f>IF(OR(A925="",N925=""),"",IF(N925&lt;=H925,"Evet","HAYIR - RİSK"))</f>
        <v/>
      </c>
      <c r="P925" s="26">
        <f>IF(A925="","",IF(LEFT(J925,8)="Kural A ","Uygun - Hemen Ödenir (Yıl Sonu %75 Kontrolüne Tabi)",IF(OR(L925="Evet",M925="Evet"),IF(O925="Evet","Uygun","RİSK - Hakediş Süresi Aşıldı"),"Bekleniyor - Nakliye/Montaj Tamamlanmadı")))</f>
        <v/>
      </c>
      <c r="Q925" s="28">
        <f>IF(A925="","",SUMIFS('Hakedis Fatura Detay'!$G$3:$G$1200,'Hakedis Fatura Detay'!$H$3:$H$1200,'DIVA Satislari'!AJ925,'Hakedis Fatura Detay'!$F$3:$F$1200,"Fiyat Farkı")+SUMIFS('Hakedis Fatura Detay'!$G$3:$G$1200,'Hakedis Fatura Detay'!$H$3:$H$1200,'DIVA Satislari'!AJ925,'Hakedis Fatura Detay'!$F$3:$F$1200,"Bundle"))</f>
        <v/>
      </c>
      <c r="R925" s="28">
        <f>IF(A925="","",I925-Q925)</f>
        <v/>
      </c>
      <c r="S925" s="26">
        <f>IF(A925="","",IF(LEFT(P925,7)="Bekleni","N/A - Henüz Ödenmemeli",IF(LEFT(P925,4)="RİSK","İNCELEME GEREKLİ - Süre Aşımı",IF(R925=0,"Doğru",IF(R925&gt;0,"EKSİK ÖDENMİŞ","FAZLA ÖDENMİŞ")))))</f>
        <v/>
      </c>
      <c r="T925" s="30">
        <f>IF(A925="","",IF(F925&lt;&gt;"Evet","İNCELEME GEREKLİ - Kampanya Tanımsız",IF(G925&lt;&gt;"Evet","İNCELEME GEREKLİ - Tarih Dışı Satış",IF(LEFT(P925,4)="RİSK","İNCELEME GEREKLİ - Hakediş Süresi Aşıldı",IF(OR(S925="EKSİK ÖDENMİŞ",S925="FAZLA ÖDENMİŞ"),"İNCELEME GEREKLİ - Tutar Uyuşmazlığı",IF(LEFT(P925,7)="Bekleni","Bekleniyor","Uygun"))))))</f>
        <v/>
      </c>
    </row>
    <row r="926">
      <c r="A926" s="26">
        <f>IF('DIVA Satislari'!I926="","",'DIVA Satislari'!I926)</f>
        <v/>
      </c>
      <c r="B926" s="26">
        <f>IF('DIVA Satislari'!I926="","",'DIVA Satislari'!R926)</f>
        <v/>
      </c>
      <c r="C926" s="26">
        <f>IF('DIVA Satislari'!I926="","",'DIVA Satislari'!M926)</f>
        <v/>
      </c>
      <c r="D926" s="27">
        <f>IF('DIVA Satislari'!I926="","",'DIVA Satislari'!H926)</f>
        <v/>
      </c>
      <c r="E926" s="26">
        <f>IF('DIVA Satislari'!I926="","",'DIVA Satislari'!O926)</f>
        <v/>
      </c>
      <c r="F926" s="26">
        <f>IF('DIVA Satislari'!I926="","",'DIVA Satislari'!AK926)</f>
        <v/>
      </c>
      <c r="G926" s="26">
        <f>IF('DIVA Satislari'!I926="","",'DIVA Satislari'!AO926)</f>
        <v/>
      </c>
      <c r="H926" s="27">
        <f>IF('DIVA Satislari'!I926="","",'DIVA Satislari'!AN926)</f>
        <v/>
      </c>
      <c r="I926" s="28">
        <f>IF('DIVA Satislari'!I926="","",'DIVA Satislari'!AQ926)</f>
        <v/>
      </c>
      <c r="J926" s="26">
        <f>IF('DIVA Satislari'!I926="","",'DIVA Satislari'!AR926)</f>
        <v/>
      </c>
      <c r="K926" s="26">
        <f>IF('DIVA Satislari'!I926="","",IFERROR(INDEX('E2E Nakliye Montaj'!$AS$3:$AS$1002,MATCH('DIVA Satislari'!AJ926,'E2E Nakliye Montaj'!$AM$3:$AM$1002,0)),"Eşleşme Yok"))</f>
        <v/>
      </c>
      <c r="L926" s="26">
        <f>IF('DIVA Satislari'!I926="","",IFERROR(INDEX('E2E Nakliye Montaj'!$AT$3:$AT$1002,MATCH('DIVA Satislari'!AJ926,'E2E Nakliye Montaj'!$AM$3:$AM$1002,0)),"Hayır"))</f>
        <v/>
      </c>
      <c r="M926" s="26">
        <f>IF('DIVA Satislari'!I926="","",IFERROR(INDEX('E2E Nakliye Montaj'!$AU$3:$AU$1002,MATCH('DIVA Satislari'!AJ926,'E2E Nakliye Montaj'!$AM$3:$AM$1002,0)),"Hayır"))</f>
        <v/>
      </c>
      <c r="N926" s="27">
        <f>IF('DIVA Satislari'!I926="","",IFERROR(INDEX('E2E Nakliye Montaj'!$AV$3:$AV$1002,MATCH('DIVA Satislari'!AJ926,'E2E Nakliye Montaj'!$AM$3:$AM$1002,0)),""))</f>
        <v/>
      </c>
      <c r="O926" s="26">
        <f>IF(OR(A926="",N926=""),"",IF(N926&lt;=H926,"Evet","HAYIR - RİSK"))</f>
        <v/>
      </c>
      <c r="P926" s="26">
        <f>IF(A926="","",IF(LEFT(J926,8)="Kural A ","Uygun - Hemen Ödenir (Yıl Sonu %75 Kontrolüne Tabi)",IF(OR(L926="Evet",M926="Evet"),IF(O926="Evet","Uygun","RİSK - Hakediş Süresi Aşıldı"),"Bekleniyor - Nakliye/Montaj Tamamlanmadı")))</f>
        <v/>
      </c>
      <c r="Q926" s="28">
        <f>IF(A926="","",SUMIFS('Hakedis Fatura Detay'!$G$3:$G$1200,'Hakedis Fatura Detay'!$H$3:$H$1200,'DIVA Satislari'!AJ926,'Hakedis Fatura Detay'!$F$3:$F$1200,"Fiyat Farkı")+SUMIFS('Hakedis Fatura Detay'!$G$3:$G$1200,'Hakedis Fatura Detay'!$H$3:$H$1200,'DIVA Satislari'!AJ926,'Hakedis Fatura Detay'!$F$3:$F$1200,"Bundle"))</f>
        <v/>
      </c>
      <c r="R926" s="28">
        <f>IF(A926="","",I926-Q926)</f>
        <v/>
      </c>
      <c r="S926" s="26">
        <f>IF(A926="","",IF(LEFT(P926,7)="Bekleni","N/A - Henüz Ödenmemeli",IF(LEFT(P926,4)="RİSK","İNCELEME GEREKLİ - Süre Aşımı",IF(R926=0,"Doğru",IF(R926&gt;0,"EKSİK ÖDENMİŞ","FAZLA ÖDENMİŞ")))))</f>
        <v/>
      </c>
      <c r="T926" s="30">
        <f>IF(A926="","",IF(F926&lt;&gt;"Evet","İNCELEME GEREKLİ - Kampanya Tanımsız",IF(G926&lt;&gt;"Evet","İNCELEME GEREKLİ - Tarih Dışı Satış",IF(LEFT(P926,4)="RİSK","İNCELEME GEREKLİ - Hakediş Süresi Aşıldı",IF(OR(S926="EKSİK ÖDENMİŞ",S926="FAZLA ÖDENMİŞ"),"İNCELEME GEREKLİ - Tutar Uyuşmazlığı",IF(LEFT(P926,7)="Bekleni","Bekleniyor","Uygun"))))))</f>
        <v/>
      </c>
    </row>
    <row r="927">
      <c r="A927" s="26">
        <f>IF('DIVA Satislari'!I927="","",'DIVA Satislari'!I927)</f>
        <v/>
      </c>
      <c r="B927" s="26">
        <f>IF('DIVA Satislari'!I927="","",'DIVA Satislari'!R927)</f>
        <v/>
      </c>
      <c r="C927" s="26">
        <f>IF('DIVA Satislari'!I927="","",'DIVA Satislari'!M927)</f>
        <v/>
      </c>
      <c r="D927" s="27">
        <f>IF('DIVA Satislari'!I927="","",'DIVA Satislari'!H927)</f>
        <v/>
      </c>
      <c r="E927" s="26">
        <f>IF('DIVA Satislari'!I927="","",'DIVA Satislari'!O927)</f>
        <v/>
      </c>
      <c r="F927" s="26">
        <f>IF('DIVA Satislari'!I927="","",'DIVA Satislari'!AK927)</f>
        <v/>
      </c>
      <c r="G927" s="26">
        <f>IF('DIVA Satislari'!I927="","",'DIVA Satislari'!AO927)</f>
        <v/>
      </c>
      <c r="H927" s="27">
        <f>IF('DIVA Satislari'!I927="","",'DIVA Satislari'!AN927)</f>
        <v/>
      </c>
      <c r="I927" s="28">
        <f>IF('DIVA Satislari'!I927="","",'DIVA Satislari'!AQ927)</f>
        <v/>
      </c>
      <c r="J927" s="26">
        <f>IF('DIVA Satislari'!I927="","",'DIVA Satislari'!AR927)</f>
        <v/>
      </c>
      <c r="K927" s="26">
        <f>IF('DIVA Satislari'!I927="","",IFERROR(INDEX('E2E Nakliye Montaj'!$AS$3:$AS$1002,MATCH('DIVA Satislari'!AJ927,'E2E Nakliye Montaj'!$AM$3:$AM$1002,0)),"Eşleşme Yok"))</f>
        <v/>
      </c>
      <c r="L927" s="26">
        <f>IF('DIVA Satislari'!I927="","",IFERROR(INDEX('E2E Nakliye Montaj'!$AT$3:$AT$1002,MATCH('DIVA Satislari'!AJ927,'E2E Nakliye Montaj'!$AM$3:$AM$1002,0)),"Hayır"))</f>
        <v/>
      </c>
      <c r="M927" s="26">
        <f>IF('DIVA Satislari'!I927="","",IFERROR(INDEX('E2E Nakliye Montaj'!$AU$3:$AU$1002,MATCH('DIVA Satislari'!AJ927,'E2E Nakliye Montaj'!$AM$3:$AM$1002,0)),"Hayır"))</f>
        <v/>
      </c>
      <c r="N927" s="27">
        <f>IF('DIVA Satislari'!I927="","",IFERROR(INDEX('E2E Nakliye Montaj'!$AV$3:$AV$1002,MATCH('DIVA Satislari'!AJ927,'E2E Nakliye Montaj'!$AM$3:$AM$1002,0)),""))</f>
        <v/>
      </c>
      <c r="O927" s="26">
        <f>IF(OR(A927="",N927=""),"",IF(N927&lt;=H927,"Evet","HAYIR - RİSK"))</f>
        <v/>
      </c>
      <c r="P927" s="26">
        <f>IF(A927="","",IF(LEFT(J927,8)="Kural A ","Uygun - Hemen Ödenir (Yıl Sonu %75 Kontrolüne Tabi)",IF(OR(L927="Evet",M927="Evet"),IF(O927="Evet","Uygun","RİSK - Hakediş Süresi Aşıldı"),"Bekleniyor - Nakliye/Montaj Tamamlanmadı")))</f>
        <v/>
      </c>
      <c r="Q927" s="28">
        <f>IF(A927="","",SUMIFS('Hakedis Fatura Detay'!$G$3:$G$1200,'Hakedis Fatura Detay'!$H$3:$H$1200,'DIVA Satislari'!AJ927,'Hakedis Fatura Detay'!$F$3:$F$1200,"Fiyat Farkı")+SUMIFS('Hakedis Fatura Detay'!$G$3:$G$1200,'Hakedis Fatura Detay'!$H$3:$H$1200,'DIVA Satislari'!AJ927,'Hakedis Fatura Detay'!$F$3:$F$1200,"Bundle"))</f>
        <v/>
      </c>
      <c r="R927" s="28">
        <f>IF(A927="","",I927-Q927)</f>
        <v/>
      </c>
      <c r="S927" s="26">
        <f>IF(A927="","",IF(LEFT(P927,7)="Bekleni","N/A - Henüz Ödenmemeli",IF(LEFT(P927,4)="RİSK","İNCELEME GEREKLİ - Süre Aşımı",IF(R927=0,"Doğru",IF(R927&gt;0,"EKSİK ÖDENMİŞ","FAZLA ÖDENMİŞ")))))</f>
        <v/>
      </c>
      <c r="T927" s="30">
        <f>IF(A927="","",IF(F927&lt;&gt;"Evet","İNCELEME GEREKLİ - Kampanya Tanımsız",IF(G927&lt;&gt;"Evet","İNCELEME GEREKLİ - Tarih Dışı Satış",IF(LEFT(P927,4)="RİSK","İNCELEME GEREKLİ - Hakediş Süresi Aşıldı",IF(OR(S927="EKSİK ÖDENMİŞ",S927="FAZLA ÖDENMİŞ"),"İNCELEME GEREKLİ - Tutar Uyuşmazlığı",IF(LEFT(P927,7)="Bekleni","Bekleniyor","Uygun"))))))</f>
        <v/>
      </c>
    </row>
    <row r="928">
      <c r="A928" s="26">
        <f>IF('DIVA Satislari'!I928="","",'DIVA Satislari'!I928)</f>
        <v/>
      </c>
      <c r="B928" s="26">
        <f>IF('DIVA Satislari'!I928="","",'DIVA Satislari'!R928)</f>
        <v/>
      </c>
      <c r="C928" s="26">
        <f>IF('DIVA Satislari'!I928="","",'DIVA Satislari'!M928)</f>
        <v/>
      </c>
      <c r="D928" s="27">
        <f>IF('DIVA Satislari'!I928="","",'DIVA Satislari'!H928)</f>
        <v/>
      </c>
      <c r="E928" s="26">
        <f>IF('DIVA Satislari'!I928="","",'DIVA Satislari'!O928)</f>
        <v/>
      </c>
      <c r="F928" s="26">
        <f>IF('DIVA Satislari'!I928="","",'DIVA Satislari'!AK928)</f>
        <v/>
      </c>
      <c r="G928" s="26">
        <f>IF('DIVA Satislari'!I928="","",'DIVA Satislari'!AO928)</f>
        <v/>
      </c>
      <c r="H928" s="27">
        <f>IF('DIVA Satislari'!I928="","",'DIVA Satislari'!AN928)</f>
        <v/>
      </c>
      <c r="I928" s="28">
        <f>IF('DIVA Satislari'!I928="","",'DIVA Satislari'!AQ928)</f>
        <v/>
      </c>
      <c r="J928" s="26">
        <f>IF('DIVA Satislari'!I928="","",'DIVA Satislari'!AR928)</f>
        <v/>
      </c>
      <c r="K928" s="26">
        <f>IF('DIVA Satislari'!I928="","",IFERROR(INDEX('E2E Nakliye Montaj'!$AS$3:$AS$1002,MATCH('DIVA Satislari'!AJ928,'E2E Nakliye Montaj'!$AM$3:$AM$1002,0)),"Eşleşme Yok"))</f>
        <v/>
      </c>
      <c r="L928" s="26">
        <f>IF('DIVA Satislari'!I928="","",IFERROR(INDEX('E2E Nakliye Montaj'!$AT$3:$AT$1002,MATCH('DIVA Satislari'!AJ928,'E2E Nakliye Montaj'!$AM$3:$AM$1002,0)),"Hayır"))</f>
        <v/>
      </c>
      <c r="M928" s="26">
        <f>IF('DIVA Satislari'!I928="","",IFERROR(INDEX('E2E Nakliye Montaj'!$AU$3:$AU$1002,MATCH('DIVA Satislari'!AJ928,'E2E Nakliye Montaj'!$AM$3:$AM$1002,0)),"Hayır"))</f>
        <v/>
      </c>
      <c r="N928" s="27">
        <f>IF('DIVA Satislari'!I928="","",IFERROR(INDEX('E2E Nakliye Montaj'!$AV$3:$AV$1002,MATCH('DIVA Satislari'!AJ928,'E2E Nakliye Montaj'!$AM$3:$AM$1002,0)),""))</f>
        <v/>
      </c>
      <c r="O928" s="26">
        <f>IF(OR(A928="",N928=""),"",IF(N928&lt;=H928,"Evet","HAYIR - RİSK"))</f>
        <v/>
      </c>
      <c r="P928" s="26">
        <f>IF(A928="","",IF(LEFT(J928,8)="Kural A ","Uygun - Hemen Ödenir (Yıl Sonu %75 Kontrolüne Tabi)",IF(OR(L928="Evet",M928="Evet"),IF(O928="Evet","Uygun","RİSK - Hakediş Süresi Aşıldı"),"Bekleniyor - Nakliye/Montaj Tamamlanmadı")))</f>
        <v/>
      </c>
      <c r="Q928" s="28">
        <f>IF(A928="","",SUMIFS('Hakedis Fatura Detay'!$G$3:$G$1200,'Hakedis Fatura Detay'!$H$3:$H$1200,'DIVA Satislari'!AJ928,'Hakedis Fatura Detay'!$F$3:$F$1200,"Fiyat Farkı")+SUMIFS('Hakedis Fatura Detay'!$G$3:$G$1200,'Hakedis Fatura Detay'!$H$3:$H$1200,'DIVA Satislari'!AJ928,'Hakedis Fatura Detay'!$F$3:$F$1200,"Bundle"))</f>
        <v/>
      </c>
      <c r="R928" s="28">
        <f>IF(A928="","",I928-Q928)</f>
        <v/>
      </c>
      <c r="S928" s="26">
        <f>IF(A928="","",IF(LEFT(P928,7)="Bekleni","N/A - Henüz Ödenmemeli",IF(LEFT(P928,4)="RİSK","İNCELEME GEREKLİ - Süre Aşımı",IF(R928=0,"Doğru",IF(R928&gt;0,"EKSİK ÖDENMİŞ","FAZLA ÖDENMİŞ")))))</f>
        <v/>
      </c>
      <c r="T928" s="30">
        <f>IF(A928="","",IF(F928&lt;&gt;"Evet","İNCELEME GEREKLİ - Kampanya Tanımsız",IF(G928&lt;&gt;"Evet","İNCELEME GEREKLİ - Tarih Dışı Satış",IF(LEFT(P928,4)="RİSK","İNCELEME GEREKLİ - Hakediş Süresi Aşıldı",IF(OR(S928="EKSİK ÖDENMİŞ",S928="FAZLA ÖDENMİŞ"),"İNCELEME GEREKLİ - Tutar Uyuşmazlığı",IF(LEFT(P928,7)="Bekleni","Bekleniyor","Uygun"))))))</f>
        <v/>
      </c>
    </row>
    <row r="929">
      <c r="A929" s="26">
        <f>IF('DIVA Satislari'!I929="","",'DIVA Satislari'!I929)</f>
        <v/>
      </c>
      <c r="B929" s="26">
        <f>IF('DIVA Satislari'!I929="","",'DIVA Satislari'!R929)</f>
        <v/>
      </c>
      <c r="C929" s="26">
        <f>IF('DIVA Satislari'!I929="","",'DIVA Satislari'!M929)</f>
        <v/>
      </c>
      <c r="D929" s="27">
        <f>IF('DIVA Satislari'!I929="","",'DIVA Satislari'!H929)</f>
        <v/>
      </c>
      <c r="E929" s="26">
        <f>IF('DIVA Satislari'!I929="","",'DIVA Satislari'!O929)</f>
        <v/>
      </c>
      <c r="F929" s="26">
        <f>IF('DIVA Satislari'!I929="","",'DIVA Satislari'!AK929)</f>
        <v/>
      </c>
      <c r="G929" s="26">
        <f>IF('DIVA Satislari'!I929="","",'DIVA Satislari'!AO929)</f>
        <v/>
      </c>
      <c r="H929" s="27">
        <f>IF('DIVA Satislari'!I929="","",'DIVA Satislari'!AN929)</f>
        <v/>
      </c>
      <c r="I929" s="28">
        <f>IF('DIVA Satislari'!I929="","",'DIVA Satislari'!AQ929)</f>
        <v/>
      </c>
      <c r="J929" s="26">
        <f>IF('DIVA Satislari'!I929="","",'DIVA Satislari'!AR929)</f>
        <v/>
      </c>
      <c r="K929" s="26">
        <f>IF('DIVA Satislari'!I929="","",IFERROR(INDEX('E2E Nakliye Montaj'!$AS$3:$AS$1002,MATCH('DIVA Satislari'!AJ929,'E2E Nakliye Montaj'!$AM$3:$AM$1002,0)),"Eşleşme Yok"))</f>
        <v/>
      </c>
      <c r="L929" s="26">
        <f>IF('DIVA Satislari'!I929="","",IFERROR(INDEX('E2E Nakliye Montaj'!$AT$3:$AT$1002,MATCH('DIVA Satislari'!AJ929,'E2E Nakliye Montaj'!$AM$3:$AM$1002,0)),"Hayır"))</f>
        <v/>
      </c>
      <c r="M929" s="26">
        <f>IF('DIVA Satislari'!I929="","",IFERROR(INDEX('E2E Nakliye Montaj'!$AU$3:$AU$1002,MATCH('DIVA Satislari'!AJ929,'E2E Nakliye Montaj'!$AM$3:$AM$1002,0)),"Hayır"))</f>
        <v/>
      </c>
      <c r="N929" s="27">
        <f>IF('DIVA Satislari'!I929="","",IFERROR(INDEX('E2E Nakliye Montaj'!$AV$3:$AV$1002,MATCH('DIVA Satislari'!AJ929,'E2E Nakliye Montaj'!$AM$3:$AM$1002,0)),""))</f>
        <v/>
      </c>
      <c r="O929" s="26">
        <f>IF(OR(A929="",N929=""),"",IF(N929&lt;=H929,"Evet","HAYIR - RİSK"))</f>
        <v/>
      </c>
      <c r="P929" s="26">
        <f>IF(A929="","",IF(LEFT(J929,8)="Kural A ","Uygun - Hemen Ödenir (Yıl Sonu %75 Kontrolüne Tabi)",IF(OR(L929="Evet",M929="Evet"),IF(O929="Evet","Uygun","RİSK - Hakediş Süresi Aşıldı"),"Bekleniyor - Nakliye/Montaj Tamamlanmadı")))</f>
        <v/>
      </c>
      <c r="Q929" s="28">
        <f>IF(A929="","",SUMIFS('Hakedis Fatura Detay'!$G$3:$G$1200,'Hakedis Fatura Detay'!$H$3:$H$1200,'DIVA Satislari'!AJ929,'Hakedis Fatura Detay'!$F$3:$F$1200,"Fiyat Farkı")+SUMIFS('Hakedis Fatura Detay'!$G$3:$G$1200,'Hakedis Fatura Detay'!$H$3:$H$1200,'DIVA Satislari'!AJ929,'Hakedis Fatura Detay'!$F$3:$F$1200,"Bundle"))</f>
        <v/>
      </c>
      <c r="R929" s="28">
        <f>IF(A929="","",I929-Q929)</f>
        <v/>
      </c>
      <c r="S929" s="26">
        <f>IF(A929="","",IF(LEFT(P929,7)="Bekleni","N/A - Henüz Ödenmemeli",IF(LEFT(P929,4)="RİSK","İNCELEME GEREKLİ - Süre Aşımı",IF(R929=0,"Doğru",IF(R929&gt;0,"EKSİK ÖDENMİŞ","FAZLA ÖDENMİŞ")))))</f>
        <v/>
      </c>
      <c r="T929" s="30">
        <f>IF(A929="","",IF(F929&lt;&gt;"Evet","İNCELEME GEREKLİ - Kampanya Tanımsız",IF(G929&lt;&gt;"Evet","İNCELEME GEREKLİ - Tarih Dışı Satış",IF(LEFT(P929,4)="RİSK","İNCELEME GEREKLİ - Hakediş Süresi Aşıldı",IF(OR(S929="EKSİK ÖDENMİŞ",S929="FAZLA ÖDENMİŞ"),"İNCELEME GEREKLİ - Tutar Uyuşmazlığı",IF(LEFT(P929,7)="Bekleni","Bekleniyor","Uygun"))))))</f>
        <v/>
      </c>
    </row>
    <row r="930">
      <c r="A930" s="26">
        <f>IF('DIVA Satislari'!I930="","",'DIVA Satislari'!I930)</f>
        <v/>
      </c>
      <c r="B930" s="26">
        <f>IF('DIVA Satislari'!I930="","",'DIVA Satislari'!R930)</f>
        <v/>
      </c>
      <c r="C930" s="26">
        <f>IF('DIVA Satislari'!I930="","",'DIVA Satislari'!M930)</f>
        <v/>
      </c>
      <c r="D930" s="27">
        <f>IF('DIVA Satislari'!I930="","",'DIVA Satislari'!H930)</f>
        <v/>
      </c>
      <c r="E930" s="26">
        <f>IF('DIVA Satislari'!I930="","",'DIVA Satislari'!O930)</f>
        <v/>
      </c>
      <c r="F930" s="26">
        <f>IF('DIVA Satislari'!I930="","",'DIVA Satislari'!AK930)</f>
        <v/>
      </c>
      <c r="G930" s="26">
        <f>IF('DIVA Satislari'!I930="","",'DIVA Satislari'!AO930)</f>
        <v/>
      </c>
      <c r="H930" s="27">
        <f>IF('DIVA Satislari'!I930="","",'DIVA Satislari'!AN930)</f>
        <v/>
      </c>
      <c r="I930" s="28">
        <f>IF('DIVA Satislari'!I930="","",'DIVA Satislari'!AQ930)</f>
        <v/>
      </c>
      <c r="J930" s="26">
        <f>IF('DIVA Satislari'!I930="","",'DIVA Satislari'!AR930)</f>
        <v/>
      </c>
      <c r="K930" s="26">
        <f>IF('DIVA Satislari'!I930="","",IFERROR(INDEX('E2E Nakliye Montaj'!$AS$3:$AS$1002,MATCH('DIVA Satislari'!AJ930,'E2E Nakliye Montaj'!$AM$3:$AM$1002,0)),"Eşleşme Yok"))</f>
        <v/>
      </c>
      <c r="L930" s="26">
        <f>IF('DIVA Satislari'!I930="","",IFERROR(INDEX('E2E Nakliye Montaj'!$AT$3:$AT$1002,MATCH('DIVA Satislari'!AJ930,'E2E Nakliye Montaj'!$AM$3:$AM$1002,0)),"Hayır"))</f>
        <v/>
      </c>
      <c r="M930" s="26">
        <f>IF('DIVA Satislari'!I930="","",IFERROR(INDEX('E2E Nakliye Montaj'!$AU$3:$AU$1002,MATCH('DIVA Satislari'!AJ930,'E2E Nakliye Montaj'!$AM$3:$AM$1002,0)),"Hayır"))</f>
        <v/>
      </c>
      <c r="N930" s="27">
        <f>IF('DIVA Satislari'!I930="","",IFERROR(INDEX('E2E Nakliye Montaj'!$AV$3:$AV$1002,MATCH('DIVA Satislari'!AJ930,'E2E Nakliye Montaj'!$AM$3:$AM$1002,0)),""))</f>
        <v/>
      </c>
      <c r="O930" s="26">
        <f>IF(OR(A930="",N930=""),"",IF(N930&lt;=H930,"Evet","HAYIR - RİSK"))</f>
        <v/>
      </c>
      <c r="P930" s="26">
        <f>IF(A930="","",IF(LEFT(J930,8)="Kural A ","Uygun - Hemen Ödenir (Yıl Sonu %75 Kontrolüne Tabi)",IF(OR(L930="Evet",M930="Evet"),IF(O930="Evet","Uygun","RİSK - Hakediş Süresi Aşıldı"),"Bekleniyor - Nakliye/Montaj Tamamlanmadı")))</f>
        <v/>
      </c>
      <c r="Q930" s="28">
        <f>IF(A930="","",SUMIFS('Hakedis Fatura Detay'!$G$3:$G$1200,'Hakedis Fatura Detay'!$H$3:$H$1200,'DIVA Satislari'!AJ930,'Hakedis Fatura Detay'!$F$3:$F$1200,"Fiyat Farkı")+SUMIFS('Hakedis Fatura Detay'!$G$3:$G$1200,'Hakedis Fatura Detay'!$H$3:$H$1200,'DIVA Satislari'!AJ930,'Hakedis Fatura Detay'!$F$3:$F$1200,"Bundle"))</f>
        <v/>
      </c>
      <c r="R930" s="28">
        <f>IF(A930="","",I930-Q930)</f>
        <v/>
      </c>
      <c r="S930" s="26">
        <f>IF(A930="","",IF(LEFT(P930,7)="Bekleni","N/A - Henüz Ödenmemeli",IF(LEFT(P930,4)="RİSK","İNCELEME GEREKLİ - Süre Aşımı",IF(R930=0,"Doğru",IF(R930&gt;0,"EKSİK ÖDENMİŞ","FAZLA ÖDENMİŞ")))))</f>
        <v/>
      </c>
      <c r="T930" s="30">
        <f>IF(A930="","",IF(F930&lt;&gt;"Evet","İNCELEME GEREKLİ - Kampanya Tanımsız",IF(G930&lt;&gt;"Evet","İNCELEME GEREKLİ - Tarih Dışı Satış",IF(LEFT(P930,4)="RİSK","İNCELEME GEREKLİ - Hakediş Süresi Aşıldı",IF(OR(S930="EKSİK ÖDENMİŞ",S930="FAZLA ÖDENMİŞ"),"İNCELEME GEREKLİ - Tutar Uyuşmazlığı",IF(LEFT(P930,7)="Bekleni","Bekleniyor","Uygun"))))))</f>
        <v/>
      </c>
    </row>
    <row r="931">
      <c r="A931" s="26">
        <f>IF('DIVA Satislari'!I931="","",'DIVA Satislari'!I931)</f>
        <v/>
      </c>
      <c r="B931" s="26">
        <f>IF('DIVA Satislari'!I931="","",'DIVA Satislari'!R931)</f>
        <v/>
      </c>
      <c r="C931" s="26">
        <f>IF('DIVA Satislari'!I931="","",'DIVA Satislari'!M931)</f>
        <v/>
      </c>
      <c r="D931" s="27">
        <f>IF('DIVA Satislari'!I931="","",'DIVA Satislari'!H931)</f>
        <v/>
      </c>
      <c r="E931" s="26">
        <f>IF('DIVA Satislari'!I931="","",'DIVA Satislari'!O931)</f>
        <v/>
      </c>
      <c r="F931" s="26">
        <f>IF('DIVA Satislari'!I931="","",'DIVA Satislari'!AK931)</f>
        <v/>
      </c>
      <c r="G931" s="26">
        <f>IF('DIVA Satislari'!I931="","",'DIVA Satislari'!AO931)</f>
        <v/>
      </c>
      <c r="H931" s="27">
        <f>IF('DIVA Satislari'!I931="","",'DIVA Satislari'!AN931)</f>
        <v/>
      </c>
      <c r="I931" s="28">
        <f>IF('DIVA Satislari'!I931="","",'DIVA Satislari'!AQ931)</f>
        <v/>
      </c>
      <c r="J931" s="26">
        <f>IF('DIVA Satislari'!I931="","",'DIVA Satislari'!AR931)</f>
        <v/>
      </c>
      <c r="K931" s="26">
        <f>IF('DIVA Satislari'!I931="","",IFERROR(INDEX('E2E Nakliye Montaj'!$AS$3:$AS$1002,MATCH('DIVA Satislari'!AJ931,'E2E Nakliye Montaj'!$AM$3:$AM$1002,0)),"Eşleşme Yok"))</f>
        <v/>
      </c>
      <c r="L931" s="26">
        <f>IF('DIVA Satislari'!I931="","",IFERROR(INDEX('E2E Nakliye Montaj'!$AT$3:$AT$1002,MATCH('DIVA Satislari'!AJ931,'E2E Nakliye Montaj'!$AM$3:$AM$1002,0)),"Hayır"))</f>
        <v/>
      </c>
      <c r="M931" s="26">
        <f>IF('DIVA Satislari'!I931="","",IFERROR(INDEX('E2E Nakliye Montaj'!$AU$3:$AU$1002,MATCH('DIVA Satislari'!AJ931,'E2E Nakliye Montaj'!$AM$3:$AM$1002,0)),"Hayır"))</f>
        <v/>
      </c>
      <c r="N931" s="27">
        <f>IF('DIVA Satislari'!I931="","",IFERROR(INDEX('E2E Nakliye Montaj'!$AV$3:$AV$1002,MATCH('DIVA Satislari'!AJ931,'E2E Nakliye Montaj'!$AM$3:$AM$1002,0)),""))</f>
        <v/>
      </c>
      <c r="O931" s="26">
        <f>IF(OR(A931="",N931=""),"",IF(N931&lt;=H931,"Evet","HAYIR - RİSK"))</f>
        <v/>
      </c>
      <c r="P931" s="26">
        <f>IF(A931="","",IF(LEFT(J931,8)="Kural A ","Uygun - Hemen Ödenir (Yıl Sonu %75 Kontrolüne Tabi)",IF(OR(L931="Evet",M931="Evet"),IF(O931="Evet","Uygun","RİSK - Hakediş Süresi Aşıldı"),"Bekleniyor - Nakliye/Montaj Tamamlanmadı")))</f>
        <v/>
      </c>
      <c r="Q931" s="28">
        <f>IF(A931="","",SUMIFS('Hakedis Fatura Detay'!$G$3:$G$1200,'Hakedis Fatura Detay'!$H$3:$H$1200,'DIVA Satislari'!AJ931,'Hakedis Fatura Detay'!$F$3:$F$1200,"Fiyat Farkı")+SUMIFS('Hakedis Fatura Detay'!$G$3:$G$1200,'Hakedis Fatura Detay'!$H$3:$H$1200,'DIVA Satislari'!AJ931,'Hakedis Fatura Detay'!$F$3:$F$1200,"Bundle"))</f>
        <v/>
      </c>
      <c r="R931" s="28">
        <f>IF(A931="","",I931-Q931)</f>
        <v/>
      </c>
      <c r="S931" s="26">
        <f>IF(A931="","",IF(LEFT(P931,7)="Bekleni","N/A - Henüz Ödenmemeli",IF(LEFT(P931,4)="RİSK","İNCELEME GEREKLİ - Süre Aşımı",IF(R931=0,"Doğru",IF(R931&gt;0,"EKSİK ÖDENMİŞ","FAZLA ÖDENMİŞ")))))</f>
        <v/>
      </c>
      <c r="T931" s="30">
        <f>IF(A931="","",IF(F931&lt;&gt;"Evet","İNCELEME GEREKLİ - Kampanya Tanımsız",IF(G931&lt;&gt;"Evet","İNCELEME GEREKLİ - Tarih Dışı Satış",IF(LEFT(P931,4)="RİSK","İNCELEME GEREKLİ - Hakediş Süresi Aşıldı",IF(OR(S931="EKSİK ÖDENMİŞ",S931="FAZLA ÖDENMİŞ"),"İNCELEME GEREKLİ - Tutar Uyuşmazlığı",IF(LEFT(P931,7)="Bekleni","Bekleniyor","Uygun"))))))</f>
        <v/>
      </c>
    </row>
    <row r="932">
      <c r="A932" s="26">
        <f>IF('DIVA Satislari'!I932="","",'DIVA Satislari'!I932)</f>
        <v/>
      </c>
      <c r="B932" s="26">
        <f>IF('DIVA Satislari'!I932="","",'DIVA Satislari'!R932)</f>
        <v/>
      </c>
      <c r="C932" s="26">
        <f>IF('DIVA Satislari'!I932="","",'DIVA Satislari'!M932)</f>
        <v/>
      </c>
      <c r="D932" s="27">
        <f>IF('DIVA Satislari'!I932="","",'DIVA Satislari'!H932)</f>
        <v/>
      </c>
      <c r="E932" s="26">
        <f>IF('DIVA Satislari'!I932="","",'DIVA Satislari'!O932)</f>
        <v/>
      </c>
      <c r="F932" s="26">
        <f>IF('DIVA Satislari'!I932="","",'DIVA Satislari'!AK932)</f>
        <v/>
      </c>
      <c r="G932" s="26">
        <f>IF('DIVA Satislari'!I932="","",'DIVA Satislari'!AO932)</f>
        <v/>
      </c>
      <c r="H932" s="27">
        <f>IF('DIVA Satislari'!I932="","",'DIVA Satislari'!AN932)</f>
        <v/>
      </c>
      <c r="I932" s="28">
        <f>IF('DIVA Satislari'!I932="","",'DIVA Satislari'!AQ932)</f>
        <v/>
      </c>
      <c r="J932" s="26">
        <f>IF('DIVA Satislari'!I932="","",'DIVA Satislari'!AR932)</f>
        <v/>
      </c>
      <c r="K932" s="26">
        <f>IF('DIVA Satislari'!I932="","",IFERROR(INDEX('E2E Nakliye Montaj'!$AS$3:$AS$1002,MATCH('DIVA Satislari'!AJ932,'E2E Nakliye Montaj'!$AM$3:$AM$1002,0)),"Eşleşme Yok"))</f>
        <v/>
      </c>
      <c r="L932" s="26">
        <f>IF('DIVA Satislari'!I932="","",IFERROR(INDEX('E2E Nakliye Montaj'!$AT$3:$AT$1002,MATCH('DIVA Satislari'!AJ932,'E2E Nakliye Montaj'!$AM$3:$AM$1002,0)),"Hayır"))</f>
        <v/>
      </c>
      <c r="M932" s="26">
        <f>IF('DIVA Satislari'!I932="","",IFERROR(INDEX('E2E Nakliye Montaj'!$AU$3:$AU$1002,MATCH('DIVA Satislari'!AJ932,'E2E Nakliye Montaj'!$AM$3:$AM$1002,0)),"Hayır"))</f>
        <v/>
      </c>
      <c r="N932" s="27">
        <f>IF('DIVA Satislari'!I932="","",IFERROR(INDEX('E2E Nakliye Montaj'!$AV$3:$AV$1002,MATCH('DIVA Satislari'!AJ932,'E2E Nakliye Montaj'!$AM$3:$AM$1002,0)),""))</f>
        <v/>
      </c>
      <c r="O932" s="26">
        <f>IF(OR(A932="",N932=""),"",IF(N932&lt;=H932,"Evet","HAYIR - RİSK"))</f>
        <v/>
      </c>
      <c r="P932" s="26">
        <f>IF(A932="","",IF(LEFT(J932,8)="Kural A ","Uygun - Hemen Ödenir (Yıl Sonu %75 Kontrolüne Tabi)",IF(OR(L932="Evet",M932="Evet"),IF(O932="Evet","Uygun","RİSK - Hakediş Süresi Aşıldı"),"Bekleniyor - Nakliye/Montaj Tamamlanmadı")))</f>
        <v/>
      </c>
      <c r="Q932" s="28">
        <f>IF(A932="","",SUMIFS('Hakedis Fatura Detay'!$G$3:$G$1200,'Hakedis Fatura Detay'!$H$3:$H$1200,'DIVA Satislari'!AJ932,'Hakedis Fatura Detay'!$F$3:$F$1200,"Fiyat Farkı")+SUMIFS('Hakedis Fatura Detay'!$G$3:$G$1200,'Hakedis Fatura Detay'!$H$3:$H$1200,'DIVA Satislari'!AJ932,'Hakedis Fatura Detay'!$F$3:$F$1200,"Bundle"))</f>
        <v/>
      </c>
      <c r="R932" s="28">
        <f>IF(A932="","",I932-Q932)</f>
        <v/>
      </c>
      <c r="S932" s="26">
        <f>IF(A932="","",IF(LEFT(P932,7)="Bekleni","N/A - Henüz Ödenmemeli",IF(LEFT(P932,4)="RİSK","İNCELEME GEREKLİ - Süre Aşımı",IF(R932=0,"Doğru",IF(R932&gt;0,"EKSİK ÖDENMİŞ","FAZLA ÖDENMİŞ")))))</f>
        <v/>
      </c>
      <c r="T932" s="30">
        <f>IF(A932="","",IF(F932&lt;&gt;"Evet","İNCELEME GEREKLİ - Kampanya Tanımsız",IF(G932&lt;&gt;"Evet","İNCELEME GEREKLİ - Tarih Dışı Satış",IF(LEFT(P932,4)="RİSK","İNCELEME GEREKLİ - Hakediş Süresi Aşıldı",IF(OR(S932="EKSİK ÖDENMİŞ",S932="FAZLA ÖDENMİŞ"),"İNCELEME GEREKLİ - Tutar Uyuşmazlığı",IF(LEFT(P932,7)="Bekleni","Bekleniyor","Uygun"))))))</f>
        <v/>
      </c>
    </row>
    <row r="933">
      <c r="A933" s="26">
        <f>IF('DIVA Satislari'!I933="","",'DIVA Satislari'!I933)</f>
        <v/>
      </c>
      <c r="B933" s="26">
        <f>IF('DIVA Satislari'!I933="","",'DIVA Satislari'!R933)</f>
        <v/>
      </c>
      <c r="C933" s="26">
        <f>IF('DIVA Satislari'!I933="","",'DIVA Satislari'!M933)</f>
        <v/>
      </c>
      <c r="D933" s="27">
        <f>IF('DIVA Satislari'!I933="","",'DIVA Satislari'!H933)</f>
        <v/>
      </c>
      <c r="E933" s="26">
        <f>IF('DIVA Satislari'!I933="","",'DIVA Satislari'!O933)</f>
        <v/>
      </c>
      <c r="F933" s="26">
        <f>IF('DIVA Satislari'!I933="","",'DIVA Satislari'!AK933)</f>
        <v/>
      </c>
      <c r="G933" s="26">
        <f>IF('DIVA Satislari'!I933="","",'DIVA Satislari'!AO933)</f>
        <v/>
      </c>
      <c r="H933" s="27">
        <f>IF('DIVA Satislari'!I933="","",'DIVA Satislari'!AN933)</f>
        <v/>
      </c>
      <c r="I933" s="28">
        <f>IF('DIVA Satislari'!I933="","",'DIVA Satislari'!AQ933)</f>
        <v/>
      </c>
      <c r="J933" s="26">
        <f>IF('DIVA Satislari'!I933="","",'DIVA Satislari'!AR933)</f>
        <v/>
      </c>
      <c r="K933" s="26">
        <f>IF('DIVA Satislari'!I933="","",IFERROR(INDEX('E2E Nakliye Montaj'!$AS$3:$AS$1002,MATCH('DIVA Satislari'!AJ933,'E2E Nakliye Montaj'!$AM$3:$AM$1002,0)),"Eşleşme Yok"))</f>
        <v/>
      </c>
      <c r="L933" s="26">
        <f>IF('DIVA Satislari'!I933="","",IFERROR(INDEX('E2E Nakliye Montaj'!$AT$3:$AT$1002,MATCH('DIVA Satislari'!AJ933,'E2E Nakliye Montaj'!$AM$3:$AM$1002,0)),"Hayır"))</f>
        <v/>
      </c>
      <c r="M933" s="26">
        <f>IF('DIVA Satislari'!I933="","",IFERROR(INDEX('E2E Nakliye Montaj'!$AU$3:$AU$1002,MATCH('DIVA Satislari'!AJ933,'E2E Nakliye Montaj'!$AM$3:$AM$1002,0)),"Hayır"))</f>
        <v/>
      </c>
      <c r="N933" s="27">
        <f>IF('DIVA Satislari'!I933="","",IFERROR(INDEX('E2E Nakliye Montaj'!$AV$3:$AV$1002,MATCH('DIVA Satislari'!AJ933,'E2E Nakliye Montaj'!$AM$3:$AM$1002,0)),""))</f>
        <v/>
      </c>
      <c r="O933" s="26">
        <f>IF(OR(A933="",N933=""),"",IF(N933&lt;=H933,"Evet","HAYIR - RİSK"))</f>
        <v/>
      </c>
      <c r="P933" s="26">
        <f>IF(A933="","",IF(LEFT(J933,8)="Kural A ","Uygun - Hemen Ödenir (Yıl Sonu %75 Kontrolüne Tabi)",IF(OR(L933="Evet",M933="Evet"),IF(O933="Evet","Uygun","RİSK - Hakediş Süresi Aşıldı"),"Bekleniyor - Nakliye/Montaj Tamamlanmadı")))</f>
        <v/>
      </c>
      <c r="Q933" s="28">
        <f>IF(A933="","",SUMIFS('Hakedis Fatura Detay'!$G$3:$G$1200,'Hakedis Fatura Detay'!$H$3:$H$1200,'DIVA Satislari'!AJ933,'Hakedis Fatura Detay'!$F$3:$F$1200,"Fiyat Farkı")+SUMIFS('Hakedis Fatura Detay'!$G$3:$G$1200,'Hakedis Fatura Detay'!$H$3:$H$1200,'DIVA Satislari'!AJ933,'Hakedis Fatura Detay'!$F$3:$F$1200,"Bundle"))</f>
        <v/>
      </c>
      <c r="R933" s="28">
        <f>IF(A933="","",I933-Q933)</f>
        <v/>
      </c>
      <c r="S933" s="26">
        <f>IF(A933="","",IF(LEFT(P933,7)="Bekleni","N/A - Henüz Ödenmemeli",IF(LEFT(P933,4)="RİSK","İNCELEME GEREKLİ - Süre Aşımı",IF(R933=0,"Doğru",IF(R933&gt;0,"EKSİK ÖDENMİŞ","FAZLA ÖDENMİŞ")))))</f>
        <v/>
      </c>
      <c r="T933" s="30">
        <f>IF(A933="","",IF(F933&lt;&gt;"Evet","İNCELEME GEREKLİ - Kampanya Tanımsız",IF(G933&lt;&gt;"Evet","İNCELEME GEREKLİ - Tarih Dışı Satış",IF(LEFT(P933,4)="RİSK","İNCELEME GEREKLİ - Hakediş Süresi Aşıldı",IF(OR(S933="EKSİK ÖDENMİŞ",S933="FAZLA ÖDENMİŞ"),"İNCELEME GEREKLİ - Tutar Uyuşmazlığı",IF(LEFT(P933,7)="Bekleni","Bekleniyor","Uygun"))))))</f>
        <v/>
      </c>
    </row>
    <row r="934">
      <c r="A934" s="26">
        <f>IF('DIVA Satislari'!I934="","",'DIVA Satislari'!I934)</f>
        <v/>
      </c>
      <c r="B934" s="26">
        <f>IF('DIVA Satislari'!I934="","",'DIVA Satislari'!R934)</f>
        <v/>
      </c>
      <c r="C934" s="26">
        <f>IF('DIVA Satislari'!I934="","",'DIVA Satislari'!M934)</f>
        <v/>
      </c>
      <c r="D934" s="27">
        <f>IF('DIVA Satislari'!I934="","",'DIVA Satislari'!H934)</f>
        <v/>
      </c>
      <c r="E934" s="26">
        <f>IF('DIVA Satislari'!I934="","",'DIVA Satislari'!O934)</f>
        <v/>
      </c>
      <c r="F934" s="26">
        <f>IF('DIVA Satislari'!I934="","",'DIVA Satislari'!AK934)</f>
        <v/>
      </c>
      <c r="G934" s="26">
        <f>IF('DIVA Satislari'!I934="","",'DIVA Satislari'!AO934)</f>
        <v/>
      </c>
      <c r="H934" s="27">
        <f>IF('DIVA Satislari'!I934="","",'DIVA Satislari'!AN934)</f>
        <v/>
      </c>
      <c r="I934" s="28">
        <f>IF('DIVA Satislari'!I934="","",'DIVA Satislari'!AQ934)</f>
        <v/>
      </c>
      <c r="J934" s="26">
        <f>IF('DIVA Satislari'!I934="","",'DIVA Satislari'!AR934)</f>
        <v/>
      </c>
      <c r="K934" s="26">
        <f>IF('DIVA Satislari'!I934="","",IFERROR(INDEX('E2E Nakliye Montaj'!$AS$3:$AS$1002,MATCH('DIVA Satislari'!AJ934,'E2E Nakliye Montaj'!$AM$3:$AM$1002,0)),"Eşleşme Yok"))</f>
        <v/>
      </c>
      <c r="L934" s="26">
        <f>IF('DIVA Satislari'!I934="","",IFERROR(INDEX('E2E Nakliye Montaj'!$AT$3:$AT$1002,MATCH('DIVA Satislari'!AJ934,'E2E Nakliye Montaj'!$AM$3:$AM$1002,0)),"Hayır"))</f>
        <v/>
      </c>
      <c r="M934" s="26">
        <f>IF('DIVA Satislari'!I934="","",IFERROR(INDEX('E2E Nakliye Montaj'!$AU$3:$AU$1002,MATCH('DIVA Satislari'!AJ934,'E2E Nakliye Montaj'!$AM$3:$AM$1002,0)),"Hayır"))</f>
        <v/>
      </c>
      <c r="N934" s="27">
        <f>IF('DIVA Satislari'!I934="","",IFERROR(INDEX('E2E Nakliye Montaj'!$AV$3:$AV$1002,MATCH('DIVA Satislari'!AJ934,'E2E Nakliye Montaj'!$AM$3:$AM$1002,0)),""))</f>
        <v/>
      </c>
      <c r="O934" s="26">
        <f>IF(OR(A934="",N934=""),"",IF(N934&lt;=H934,"Evet","HAYIR - RİSK"))</f>
        <v/>
      </c>
      <c r="P934" s="26">
        <f>IF(A934="","",IF(LEFT(J934,8)="Kural A ","Uygun - Hemen Ödenir (Yıl Sonu %75 Kontrolüne Tabi)",IF(OR(L934="Evet",M934="Evet"),IF(O934="Evet","Uygun","RİSK - Hakediş Süresi Aşıldı"),"Bekleniyor - Nakliye/Montaj Tamamlanmadı")))</f>
        <v/>
      </c>
      <c r="Q934" s="28">
        <f>IF(A934="","",SUMIFS('Hakedis Fatura Detay'!$G$3:$G$1200,'Hakedis Fatura Detay'!$H$3:$H$1200,'DIVA Satislari'!AJ934,'Hakedis Fatura Detay'!$F$3:$F$1200,"Fiyat Farkı")+SUMIFS('Hakedis Fatura Detay'!$G$3:$G$1200,'Hakedis Fatura Detay'!$H$3:$H$1200,'DIVA Satislari'!AJ934,'Hakedis Fatura Detay'!$F$3:$F$1200,"Bundle"))</f>
        <v/>
      </c>
      <c r="R934" s="28">
        <f>IF(A934="","",I934-Q934)</f>
        <v/>
      </c>
      <c r="S934" s="26">
        <f>IF(A934="","",IF(LEFT(P934,7)="Bekleni","N/A - Henüz Ödenmemeli",IF(LEFT(P934,4)="RİSK","İNCELEME GEREKLİ - Süre Aşımı",IF(R934=0,"Doğru",IF(R934&gt;0,"EKSİK ÖDENMİŞ","FAZLA ÖDENMİŞ")))))</f>
        <v/>
      </c>
      <c r="T934" s="30">
        <f>IF(A934="","",IF(F934&lt;&gt;"Evet","İNCELEME GEREKLİ - Kampanya Tanımsız",IF(G934&lt;&gt;"Evet","İNCELEME GEREKLİ - Tarih Dışı Satış",IF(LEFT(P934,4)="RİSK","İNCELEME GEREKLİ - Hakediş Süresi Aşıldı",IF(OR(S934="EKSİK ÖDENMİŞ",S934="FAZLA ÖDENMİŞ"),"İNCELEME GEREKLİ - Tutar Uyuşmazlığı",IF(LEFT(P934,7)="Bekleni","Bekleniyor","Uygun"))))))</f>
        <v/>
      </c>
    </row>
    <row r="935">
      <c r="A935" s="26">
        <f>IF('DIVA Satislari'!I935="","",'DIVA Satislari'!I935)</f>
        <v/>
      </c>
      <c r="B935" s="26">
        <f>IF('DIVA Satislari'!I935="","",'DIVA Satislari'!R935)</f>
        <v/>
      </c>
      <c r="C935" s="26">
        <f>IF('DIVA Satislari'!I935="","",'DIVA Satislari'!M935)</f>
        <v/>
      </c>
      <c r="D935" s="27">
        <f>IF('DIVA Satislari'!I935="","",'DIVA Satislari'!H935)</f>
        <v/>
      </c>
      <c r="E935" s="26">
        <f>IF('DIVA Satislari'!I935="","",'DIVA Satislari'!O935)</f>
        <v/>
      </c>
      <c r="F935" s="26">
        <f>IF('DIVA Satislari'!I935="","",'DIVA Satislari'!AK935)</f>
        <v/>
      </c>
      <c r="G935" s="26">
        <f>IF('DIVA Satislari'!I935="","",'DIVA Satislari'!AO935)</f>
        <v/>
      </c>
      <c r="H935" s="27">
        <f>IF('DIVA Satislari'!I935="","",'DIVA Satislari'!AN935)</f>
        <v/>
      </c>
      <c r="I935" s="28">
        <f>IF('DIVA Satislari'!I935="","",'DIVA Satislari'!AQ935)</f>
        <v/>
      </c>
      <c r="J935" s="26">
        <f>IF('DIVA Satislari'!I935="","",'DIVA Satislari'!AR935)</f>
        <v/>
      </c>
      <c r="K935" s="26">
        <f>IF('DIVA Satislari'!I935="","",IFERROR(INDEX('E2E Nakliye Montaj'!$AS$3:$AS$1002,MATCH('DIVA Satislari'!AJ935,'E2E Nakliye Montaj'!$AM$3:$AM$1002,0)),"Eşleşme Yok"))</f>
        <v/>
      </c>
      <c r="L935" s="26">
        <f>IF('DIVA Satislari'!I935="","",IFERROR(INDEX('E2E Nakliye Montaj'!$AT$3:$AT$1002,MATCH('DIVA Satislari'!AJ935,'E2E Nakliye Montaj'!$AM$3:$AM$1002,0)),"Hayır"))</f>
        <v/>
      </c>
      <c r="M935" s="26">
        <f>IF('DIVA Satislari'!I935="","",IFERROR(INDEX('E2E Nakliye Montaj'!$AU$3:$AU$1002,MATCH('DIVA Satislari'!AJ935,'E2E Nakliye Montaj'!$AM$3:$AM$1002,0)),"Hayır"))</f>
        <v/>
      </c>
      <c r="N935" s="27">
        <f>IF('DIVA Satislari'!I935="","",IFERROR(INDEX('E2E Nakliye Montaj'!$AV$3:$AV$1002,MATCH('DIVA Satislari'!AJ935,'E2E Nakliye Montaj'!$AM$3:$AM$1002,0)),""))</f>
        <v/>
      </c>
      <c r="O935" s="26">
        <f>IF(OR(A935="",N935=""),"",IF(N935&lt;=H935,"Evet","HAYIR - RİSK"))</f>
        <v/>
      </c>
      <c r="P935" s="26">
        <f>IF(A935="","",IF(LEFT(J935,8)="Kural A ","Uygun - Hemen Ödenir (Yıl Sonu %75 Kontrolüne Tabi)",IF(OR(L935="Evet",M935="Evet"),IF(O935="Evet","Uygun","RİSK - Hakediş Süresi Aşıldı"),"Bekleniyor - Nakliye/Montaj Tamamlanmadı")))</f>
        <v/>
      </c>
      <c r="Q935" s="28">
        <f>IF(A935="","",SUMIFS('Hakedis Fatura Detay'!$G$3:$G$1200,'Hakedis Fatura Detay'!$H$3:$H$1200,'DIVA Satislari'!AJ935,'Hakedis Fatura Detay'!$F$3:$F$1200,"Fiyat Farkı")+SUMIFS('Hakedis Fatura Detay'!$G$3:$G$1200,'Hakedis Fatura Detay'!$H$3:$H$1200,'DIVA Satislari'!AJ935,'Hakedis Fatura Detay'!$F$3:$F$1200,"Bundle"))</f>
        <v/>
      </c>
      <c r="R935" s="28">
        <f>IF(A935="","",I935-Q935)</f>
        <v/>
      </c>
      <c r="S935" s="26">
        <f>IF(A935="","",IF(LEFT(P935,7)="Bekleni","N/A - Henüz Ödenmemeli",IF(LEFT(P935,4)="RİSK","İNCELEME GEREKLİ - Süre Aşımı",IF(R935=0,"Doğru",IF(R935&gt;0,"EKSİK ÖDENMİŞ","FAZLA ÖDENMİŞ")))))</f>
        <v/>
      </c>
      <c r="T935" s="30">
        <f>IF(A935="","",IF(F935&lt;&gt;"Evet","İNCELEME GEREKLİ - Kampanya Tanımsız",IF(G935&lt;&gt;"Evet","İNCELEME GEREKLİ - Tarih Dışı Satış",IF(LEFT(P935,4)="RİSK","İNCELEME GEREKLİ - Hakediş Süresi Aşıldı",IF(OR(S935="EKSİK ÖDENMİŞ",S935="FAZLA ÖDENMİŞ"),"İNCELEME GEREKLİ - Tutar Uyuşmazlığı",IF(LEFT(P935,7)="Bekleni","Bekleniyor","Uygun"))))))</f>
        <v/>
      </c>
    </row>
    <row r="936">
      <c r="A936" s="26">
        <f>IF('DIVA Satislari'!I936="","",'DIVA Satislari'!I936)</f>
        <v/>
      </c>
      <c r="B936" s="26">
        <f>IF('DIVA Satislari'!I936="","",'DIVA Satislari'!R936)</f>
        <v/>
      </c>
      <c r="C936" s="26">
        <f>IF('DIVA Satislari'!I936="","",'DIVA Satislari'!M936)</f>
        <v/>
      </c>
      <c r="D936" s="27">
        <f>IF('DIVA Satislari'!I936="","",'DIVA Satislari'!H936)</f>
        <v/>
      </c>
      <c r="E936" s="26">
        <f>IF('DIVA Satislari'!I936="","",'DIVA Satislari'!O936)</f>
        <v/>
      </c>
      <c r="F936" s="26">
        <f>IF('DIVA Satislari'!I936="","",'DIVA Satislari'!AK936)</f>
        <v/>
      </c>
      <c r="G936" s="26">
        <f>IF('DIVA Satislari'!I936="","",'DIVA Satislari'!AO936)</f>
        <v/>
      </c>
      <c r="H936" s="27">
        <f>IF('DIVA Satislari'!I936="","",'DIVA Satislari'!AN936)</f>
        <v/>
      </c>
      <c r="I936" s="28">
        <f>IF('DIVA Satislari'!I936="","",'DIVA Satislari'!AQ936)</f>
        <v/>
      </c>
      <c r="J936" s="26">
        <f>IF('DIVA Satislari'!I936="","",'DIVA Satislari'!AR936)</f>
        <v/>
      </c>
      <c r="K936" s="26">
        <f>IF('DIVA Satislari'!I936="","",IFERROR(INDEX('E2E Nakliye Montaj'!$AS$3:$AS$1002,MATCH('DIVA Satislari'!AJ936,'E2E Nakliye Montaj'!$AM$3:$AM$1002,0)),"Eşleşme Yok"))</f>
        <v/>
      </c>
      <c r="L936" s="26">
        <f>IF('DIVA Satislari'!I936="","",IFERROR(INDEX('E2E Nakliye Montaj'!$AT$3:$AT$1002,MATCH('DIVA Satislari'!AJ936,'E2E Nakliye Montaj'!$AM$3:$AM$1002,0)),"Hayır"))</f>
        <v/>
      </c>
      <c r="M936" s="26">
        <f>IF('DIVA Satislari'!I936="","",IFERROR(INDEX('E2E Nakliye Montaj'!$AU$3:$AU$1002,MATCH('DIVA Satislari'!AJ936,'E2E Nakliye Montaj'!$AM$3:$AM$1002,0)),"Hayır"))</f>
        <v/>
      </c>
      <c r="N936" s="27">
        <f>IF('DIVA Satislari'!I936="","",IFERROR(INDEX('E2E Nakliye Montaj'!$AV$3:$AV$1002,MATCH('DIVA Satislari'!AJ936,'E2E Nakliye Montaj'!$AM$3:$AM$1002,0)),""))</f>
        <v/>
      </c>
      <c r="O936" s="26">
        <f>IF(OR(A936="",N936=""),"",IF(N936&lt;=H936,"Evet","HAYIR - RİSK"))</f>
        <v/>
      </c>
      <c r="P936" s="26">
        <f>IF(A936="","",IF(LEFT(J936,8)="Kural A ","Uygun - Hemen Ödenir (Yıl Sonu %75 Kontrolüne Tabi)",IF(OR(L936="Evet",M936="Evet"),IF(O936="Evet","Uygun","RİSK - Hakediş Süresi Aşıldı"),"Bekleniyor - Nakliye/Montaj Tamamlanmadı")))</f>
        <v/>
      </c>
      <c r="Q936" s="28">
        <f>IF(A936="","",SUMIFS('Hakedis Fatura Detay'!$G$3:$G$1200,'Hakedis Fatura Detay'!$H$3:$H$1200,'DIVA Satislari'!AJ936,'Hakedis Fatura Detay'!$F$3:$F$1200,"Fiyat Farkı")+SUMIFS('Hakedis Fatura Detay'!$G$3:$G$1200,'Hakedis Fatura Detay'!$H$3:$H$1200,'DIVA Satislari'!AJ936,'Hakedis Fatura Detay'!$F$3:$F$1200,"Bundle"))</f>
        <v/>
      </c>
      <c r="R936" s="28">
        <f>IF(A936="","",I936-Q936)</f>
        <v/>
      </c>
      <c r="S936" s="26">
        <f>IF(A936="","",IF(LEFT(P936,7)="Bekleni","N/A - Henüz Ödenmemeli",IF(LEFT(P936,4)="RİSK","İNCELEME GEREKLİ - Süre Aşımı",IF(R936=0,"Doğru",IF(R936&gt;0,"EKSİK ÖDENMİŞ","FAZLA ÖDENMİŞ")))))</f>
        <v/>
      </c>
      <c r="T936" s="30">
        <f>IF(A936="","",IF(F936&lt;&gt;"Evet","İNCELEME GEREKLİ - Kampanya Tanımsız",IF(G936&lt;&gt;"Evet","İNCELEME GEREKLİ - Tarih Dışı Satış",IF(LEFT(P936,4)="RİSK","İNCELEME GEREKLİ - Hakediş Süresi Aşıldı",IF(OR(S936="EKSİK ÖDENMİŞ",S936="FAZLA ÖDENMİŞ"),"İNCELEME GEREKLİ - Tutar Uyuşmazlığı",IF(LEFT(P936,7)="Bekleni","Bekleniyor","Uygun"))))))</f>
        <v/>
      </c>
    </row>
    <row r="937">
      <c r="A937" s="26">
        <f>IF('DIVA Satislari'!I937="","",'DIVA Satislari'!I937)</f>
        <v/>
      </c>
      <c r="B937" s="26">
        <f>IF('DIVA Satislari'!I937="","",'DIVA Satislari'!R937)</f>
        <v/>
      </c>
      <c r="C937" s="26">
        <f>IF('DIVA Satislari'!I937="","",'DIVA Satislari'!M937)</f>
        <v/>
      </c>
      <c r="D937" s="27">
        <f>IF('DIVA Satislari'!I937="","",'DIVA Satislari'!H937)</f>
        <v/>
      </c>
      <c r="E937" s="26">
        <f>IF('DIVA Satislari'!I937="","",'DIVA Satislari'!O937)</f>
        <v/>
      </c>
      <c r="F937" s="26">
        <f>IF('DIVA Satislari'!I937="","",'DIVA Satislari'!AK937)</f>
        <v/>
      </c>
      <c r="G937" s="26">
        <f>IF('DIVA Satislari'!I937="","",'DIVA Satislari'!AO937)</f>
        <v/>
      </c>
      <c r="H937" s="27">
        <f>IF('DIVA Satislari'!I937="","",'DIVA Satislari'!AN937)</f>
        <v/>
      </c>
      <c r="I937" s="28">
        <f>IF('DIVA Satislari'!I937="","",'DIVA Satislari'!AQ937)</f>
        <v/>
      </c>
      <c r="J937" s="26">
        <f>IF('DIVA Satislari'!I937="","",'DIVA Satislari'!AR937)</f>
        <v/>
      </c>
      <c r="K937" s="26">
        <f>IF('DIVA Satislari'!I937="","",IFERROR(INDEX('E2E Nakliye Montaj'!$AS$3:$AS$1002,MATCH('DIVA Satislari'!AJ937,'E2E Nakliye Montaj'!$AM$3:$AM$1002,0)),"Eşleşme Yok"))</f>
        <v/>
      </c>
      <c r="L937" s="26">
        <f>IF('DIVA Satislari'!I937="","",IFERROR(INDEX('E2E Nakliye Montaj'!$AT$3:$AT$1002,MATCH('DIVA Satislari'!AJ937,'E2E Nakliye Montaj'!$AM$3:$AM$1002,0)),"Hayır"))</f>
        <v/>
      </c>
      <c r="M937" s="26">
        <f>IF('DIVA Satislari'!I937="","",IFERROR(INDEX('E2E Nakliye Montaj'!$AU$3:$AU$1002,MATCH('DIVA Satislari'!AJ937,'E2E Nakliye Montaj'!$AM$3:$AM$1002,0)),"Hayır"))</f>
        <v/>
      </c>
      <c r="N937" s="27">
        <f>IF('DIVA Satislari'!I937="","",IFERROR(INDEX('E2E Nakliye Montaj'!$AV$3:$AV$1002,MATCH('DIVA Satislari'!AJ937,'E2E Nakliye Montaj'!$AM$3:$AM$1002,0)),""))</f>
        <v/>
      </c>
      <c r="O937" s="26">
        <f>IF(OR(A937="",N937=""),"",IF(N937&lt;=H937,"Evet","HAYIR - RİSK"))</f>
        <v/>
      </c>
      <c r="P937" s="26">
        <f>IF(A937="","",IF(LEFT(J937,8)="Kural A ","Uygun - Hemen Ödenir (Yıl Sonu %75 Kontrolüne Tabi)",IF(OR(L937="Evet",M937="Evet"),IF(O937="Evet","Uygun","RİSK - Hakediş Süresi Aşıldı"),"Bekleniyor - Nakliye/Montaj Tamamlanmadı")))</f>
        <v/>
      </c>
      <c r="Q937" s="28">
        <f>IF(A937="","",SUMIFS('Hakedis Fatura Detay'!$G$3:$G$1200,'Hakedis Fatura Detay'!$H$3:$H$1200,'DIVA Satislari'!AJ937,'Hakedis Fatura Detay'!$F$3:$F$1200,"Fiyat Farkı")+SUMIFS('Hakedis Fatura Detay'!$G$3:$G$1200,'Hakedis Fatura Detay'!$H$3:$H$1200,'DIVA Satislari'!AJ937,'Hakedis Fatura Detay'!$F$3:$F$1200,"Bundle"))</f>
        <v/>
      </c>
      <c r="R937" s="28">
        <f>IF(A937="","",I937-Q937)</f>
        <v/>
      </c>
      <c r="S937" s="26">
        <f>IF(A937="","",IF(LEFT(P937,7)="Bekleni","N/A - Henüz Ödenmemeli",IF(LEFT(P937,4)="RİSK","İNCELEME GEREKLİ - Süre Aşımı",IF(R937=0,"Doğru",IF(R937&gt;0,"EKSİK ÖDENMİŞ","FAZLA ÖDENMİŞ")))))</f>
        <v/>
      </c>
      <c r="T937" s="30">
        <f>IF(A937="","",IF(F937&lt;&gt;"Evet","İNCELEME GEREKLİ - Kampanya Tanımsız",IF(G937&lt;&gt;"Evet","İNCELEME GEREKLİ - Tarih Dışı Satış",IF(LEFT(P937,4)="RİSK","İNCELEME GEREKLİ - Hakediş Süresi Aşıldı",IF(OR(S937="EKSİK ÖDENMİŞ",S937="FAZLA ÖDENMİŞ"),"İNCELEME GEREKLİ - Tutar Uyuşmazlığı",IF(LEFT(P937,7)="Bekleni","Bekleniyor","Uygun"))))))</f>
        <v/>
      </c>
    </row>
    <row r="938">
      <c r="A938" s="26">
        <f>IF('DIVA Satislari'!I938="","",'DIVA Satislari'!I938)</f>
        <v/>
      </c>
      <c r="B938" s="26">
        <f>IF('DIVA Satislari'!I938="","",'DIVA Satislari'!R938)</f>
        <v/>
      </c>
      <c r="C938" s="26">
        <f>IF('DIVA Satislari'!I938="","",'DIVA Satislari'!M938)</f>
        <v/>
      </c>
      <c r="D938" s="27">
        <f>IF('DIVA Satislari'!I938="","",'DIVA Satislari'!H938)</f>
        <v/>
      </c>
      <c r="E938" s="26">
        <f>IF('DIVA Satislari'!I938="","",'DIVA Satislari'!O938)</f>
        <v/>
      </c>
      <c r="F938" s="26">
        <f>IF('DIVA Satislari'!I938="","",'DIVA Satislari'!AK938)</f>
        <v/>
      </c>
      <c r="G938" s="26">
        <f>IF('DIVA Satislari'!I938="","",'DIVA Satislari'!AO938)</f>
        <v/>
      </c>
      <c r="H938" s="27">
        <f>IF('DIVA Satislari'!I938="","",'DIVA Satislari'!AN938)</f>
        <v/>
      </c>
      <c r="I938" s="28">
        <f>IF('DIVA Satislari'!I938="","",'DIVA Satislari'!AQ938)</f>
        <v/>
      </c>
      <c r="J938" s="26">
        <f>IF('DIVA Satislari'!I938="","",'DIVA Satislari'!AR938)</f>
        <v/>
      </c>
      <c r="K938" s="26">
        <f>IF('DIVA Satislari'!I938="","",IFERROR(INDEX('E2E Nakliye Montaj'!$AS$3:$AS$1002,MATCH('DIVA Satislari'!AJ938,'E2E Nakliye Montaj'!$AM$3:$AM$1002,0)),"Eşleşme Yok"))</f>
        <v/>
      </c>
      <c r="L938" s="26">
        <f>IF('DIVA Satislari'!I938="","",IFERROR(INDEX('E2E Nakliye Montaj'!$AT$3:$AT$1002,MATCH('DIVA Satislari'!AJ938,'E2E Nakliye Montaj'!$AM$3:$AM$1002,0)),"Hayır"))</f>
        <v/>
      </c>
      <c r="M938" s="26">
        <f>IF('DIVA Satislari'!I938="","",IFERROR(INDEX('E2E Nakliye Montaj'!$AU$3:$AU$1002,MATCH('DIVA Satislari'!AJ938,'E2E Nakliye Montaj'!$AM$3:$AM$1002,0)),"Hayır"))</f>
        <v/>
      </c>
      <c r="N938" s="27">
        <f>IF('DIVA Satislari'!I938="","",IFERROR(INDEX('E2E Nakliye Montaj'!$AV$3:$AV$1002,MATCH('DIVA Satislari'!AJ938,'E2E Nakliye Montaj'!$AM$3:$AM$1002,0)),""))</f>
        <v/>
      </c>
      <c r="O938" s="26">
        <f>IF(OR(A938="",N938=""),"",IF(N938&lt;=H938,"Evet","HAYIR - RİSK"))</f>
        <v/>
      </c>
      <c r="P938" s="26">
        <f>IF(A938="","",IF(LEFT(J938,8)="Kural A ","Uygun - Hemen Ödenir (Yıl Sonu %75 Kontrolüne Tabi)",IF(OR(L938="Evet",M938="Evet"),IF(O938="Evet","Uygun","RİSK - Hakediş Süresi Aşıldı"),"Bekleniyor - Nakliye/Montaj Tamamlanmadı")))</f>
        <v/>
      </c>
      <c r="Q938" s="28">
        <f>IF(A938="","",SUMIFS('Hakedis Fatura Detay'!$G$3:$G$1200,'Hakedis Fatura Detay'!$H$3:$H$1200,'DIVA Satislari'!AJ938,'Hakedis Fatura Detay'!$F$3:$F$1200,"Fiyat Farkı")+SUMIFS('Hakedis Fatura Detay'!$G$3:$G$1200,'Hakedis Fatura Detay'!$H$3:$H$1200,'DIVA Satislari'!AJ938,'Hakedis Fatura Detay'!$F$3:$F$1200,"Bundle"))</f>
        <v/>
      </c>
      <c r="R938" s="28">
        <f>IF(A938="","",I938-Q938)</f>
        <v/>
      </c>
      <c r="S938" s="26">
        <f>IF(A938="","",IF(LEFT(P938,7)="Bekleni","N/A - Henüz Ödenmemeli",IF(LEFT(P938,4)="RİSK","İNCELEME GEREKLİ - Süre Aşımı",IF(R938=0,"Doğru",IF(R938&gt;0,"EKSİK ÖDENMİŞ","FAZLA ÖDENMİŞ")))))</f>
        <v/>
      </c>
      <c r="T938" s="30">
        <f>IF(A938="","",IF(F938&lt;&gt;"Evet","İNCELEME GEREKLİ - Kampanya Tanımsız",IF(G938&lt;&gt;"Evet","İNCELEME GEREKLİ - Tarih Dışı Satış",IF(LEFT(P938,4)="RİSK","İNCELEME GEREKLİ - Hakediş Süresi Aşıldı",IF(OR(S938="EKSİK ÖDENMİŞ",S938="FAZLA ÖDENMİŞ"),"İNCELEME GEREKLİ - Tutar Uyuşmazlığı",IF(LEFT(P938,7)="Bekleni","Bekleniyor","Uygun"))))))</f>
        <v/>
      </c>
    </row>
    <row r="939">
      <c r="A939" s="26">
        <f>IF('DIVA Satislari'!I939="","",'DIVA Satislari'!I939)</f>
        <v/>
      </c>
      <c r="B939" s="26">
        <f>IF('DIVA Satislari'!I939="","",'DIVA Satislari'!R939)</f>
        <v/>
      </c>
      <c r="C939" s="26">
        <f>IF('DIVA Satislari'!I939="","",'DIVA Satislari'!M939)</f>
        <v/>
      </c>
      <c r="D939" s="27">
        <f>IF('DIVA Satislari'!I939="","",'DIVA Satislari'!H939)</f>
        <v/>
      </c>
      <c r="E939" s="26">
        <f>IF('DIVA Satislari'!I939="","",'DIVA Satislari'!O939)</f>
        <v/>
      </c>
      <c r="F939" s="26">
        <f>IF('DIVA Satislari'!I939="","",'DIVA Satislari'!AK939)</f>
        <v/>
      </c>
      <c r="G939" s="26">
        <f>IF('DIVA Satislari'!I939="","",'DIVA Satislari'!AO939)</f>
        <v/>
      </c>
      <c r="H939" s="27">
        <f>IF('DIVA Satislari'!I939="","",'DIVA Satislari'!AN939)</f>
        <v/>
      </c>
      <c r="I939" s="28">
        <f>IF('DIVA Satislari'!I939="","",'DIVA Satislari'!AQ939)</f>
        <v/>
      </c>
      <c r="J939" s="26">
        <f>IF('DIVA Satislari'!I939="","",'DIVA Satislari'!AR939)</f>
        <v/>
      </c>
      <c r="K939" s="26">
        <f>IF('DIVA Satislari'!I939="","",IFERROR(INDEX('E2E Nakliye Montaj'!$AS$3:$AS$1002,MATCH('DIVA Satislari'!AJ939,'E2E Nakliye Montaj'!$AM$3:$AM$1002,0)),"Eşleşme Yok"))</f>
        <v/>
      </c>
      <c r="L939" s="26">
        <f>IF('DIVA Satislari'!I939="","",IFERROR(INDEX('E2E Nakliye Montaj'!$AT$3:$AT$1002,MATCH('DIVA Satislari'!AJ939,'E2E Nakliye Montaj'!$AM$3:$AM$1002,0)),"Hayır"))</f>
        <v/>
      </c>
      <c r="M939" s="26">
        <f>IF('DIVA Satislari'!I939="","",IFERROR(INDEX('E2E Nakliye Montaj'!$AU$3:$AU$1002,MATCH('DIVA Satislari'!AJ939,'E2E Nakliye Montaj'!$AM$3:$AM$1002,0)),"Hayır"))</f>
        <v/>
      </c>
      <c r="N939" s="27">
        <f>IF('DIVA Satislari'!I939="","",IFERROR(INDEX('E2E Nakliye Montaj'!$AV$3:$AV$1002,MATCH('DIVA Satislari'!AJ939,'E2E Nakliye Montaj'!$AM$3:$AM$1002,0)),""))</f>
        <v/>
      </c>
      <c r="O939" s="26">
        <f>IF(OR(A939="",N939=""),"",IF(N939&lt;=H939,"Evet","HAYIR - RİSK"))</f>
        <v/>
      </c>
      <c r="P939" s="26">
        <f>IF(A939="","",IF(LEFT(J939,8)="Kural A ","Uygun - Hemen Ödenir (Yıl Sonu %75 Kontrolüne Tabi)",IF(OR(L939="Evet",M939="Evet"),IF(O939="Evet","Uygun","RİSK - Hakediş Süresi Aşıldı"),"Bekleniyor - Nakliye/Montaj Tamamlanmadı")))</f>
        <v/>
      </c>
      <c r="Q939" s="28">
        <f>IF(A939="","",SUMIFS('Hakedis Fatura Detay'!$G$3:$G$1200,'Hakedis Fatura Detay'!$H$3:$H$1200,'DIVA Satislari'!AJ939,'Hakedis Fatura Detay'!$F$3:$F$1200,"Fiyat Farkı")+SUMIFS('Hakedis Fatura Detay'!$G$3:$G$1200,'Hakedis Fatura Detay'!$H$3:$H$1200,'DIVA Satislari'!AJ939,'Hakedis Fatura Detay'!$F$3:$F$1200,"Bundle"))</f>
        <v/>
      </c>
      <c r="R939" s="28">
        <f>IF(A939="","",I939-Q939)</f>
        <v/>
      </c>
      <c r="S939" s="26">
        <f>IF(A939="","",IF(LEFT(P939,7)="Bekleni","N/A - Henüz Ödenmemeli",IF(LEFT(P939,4)="RİSK","İNCELEME GEREKLİ - Süre Aşımı",IF(R939=0,"Doğru",IF(R939&gt;0,"EKSİK ÖDENMİŞ","FAZLA ÖDENMİŞ")))))</f>
        <v/>
      </c>
      <c r="T939" s="30">
        <f>IF(A939="","",IF(F939&lt;&gt;"Evet","İNCELEME GEREKLİ - Kampanya Tanımsız",IF(G939&lt;&gt;"Evet","İNCELEME GEREKLİ - Tarih Dışı Satış",IF(LEFT(P939,4)="RİSK","İNCELEME GEREKLİ - Hakediş Süresi Aşıldı",IF(OR(S939="EKSİK ÖDENMİŞ",S939="FAZLA ÖDENMİŞ"),"İNCELEME GEREKLİ - Tutar Uyuşmazlığı",IF(LEFT(P939,7)="Bekleni","Bekleniyor","Uygun"))))))</f>
        <v/>
      </c>
    </row>
    <row r="940">
      <c r="A940" s="26">
        <f>IF('DIVA Satislari'!I940="","",'DIVA Satislari'!I940)</f>
        <v/>
      </c>
      <c r="B940" s="26">
        <f>IF('DIVA Satislari'!I940="","",'DIVA Satislari'!R940)</f>
        <v/>
      </c>
      <c r="C940" s="26">
        <f>IF('DIVA Satislari'!I940="","",'DIVA Satislari'!M940)</f>
        <v/>
      </c>
      <c r="D940" s="27">
        <f>IF('DIVA Satislari'!I940="","",'DIVA Satislari'!H940)</f>
        <v/>
      </c>
      <c r="E940" s="26">
        <f>IF('DIVA Satislari'!I940="","",'DIVA Satislari'!O940)</f>
        <v/>
      </c>
      <c r="F940" s="26">
        <f>IF('DIVA Satislari'!I940="","",'DIVA Satislari'!AK940)</f>
        <v/>
      </c>
      <c r="G940" s="26">
        <f>IF('DIVA Satislari'!I940="","",'DIVA Satislari'!AO940)</f>
        <v/>
      </c>
      <c r="H940" s="27">
        <f>IF('DIVA Satislari'!I940="","",'DIVA Satislari'!AN940)</f>
        <v/>
      </c>
      <c r="I940" s="28">
        <f>IF('DIVA Satislari'!I940="","",'DIVA Satislari'!AQ940)</f>
        <v/>
      </c>
      <c r="J940" s="26">
        <f>IF('DIVA Satislari'!I940="","",'DIVA Satislari'!AR940)</f>
        <v/>
      </c>
      <c r="K940" s="26">
        <f>IF('DIVA Satislari'!I940="","",IFERROR(INDEX('E2E Nakliye Montaj'!$AS$3:$AS$1002,MATCH('DIVA Satislari'!AJ940,'E2E Nakliye Montaj'!$AM$3:$AM$1002,0)),"Eşleşme Yok"))</f>
        <v/>
      </c>
      <c r="L940" s="26">
        <f>IF('DIVA Satislari'!I940="","",IFERROR(INDEX('E2E Nakliye Montaj'!$AT$3:$AT$1002,MATCH('DIVA Satislari'!AJ940,'E2E Nakliye Montaj'!$AM$3:$AM$1002,0)),"Hayır"))</f>
        <v/>
      </c>
      <c r="M940" s="26">
        <f>IF('DIVA Satislari'!I940="","",IFERROR(INDEX('E2E Nakliye Montaj'!$AU$3:$AU$1002,MATCH('DIVA Satislari'!AJ940,'E2E Nakliye Montaj'!$AM$3:$AM$1002,0)),"Hayır"))</f>
        <v/>
      </c>
      <c r="N940" s="27">
        <f>IF('DIVA Satislari'!I940="","",IFERROR(INDEX('E2E Nakliye Montaj'!$AV$3:$AV$1002,MATCH('DIVA Satislari'!AJ940,'E2E Nakliye Montaj'!$AM$3:$AM$1002,0)),""))</f>
        <v/>
      </c>
      <c r="O940" s="26">
        <f>IF(OR(A940="",N940=""),"",IF(N940&lt;=H940,"Evet","HAYIR - RİSK"))</f>
        <v/>
      </c>
      <c r="P940" s="26">
        <f>IF(A940="","",IF(LEFT(J940,8)="Kural A ","Uygun - Hemen Ödenir (Yıl Sonu %75 Kontrolüne Tabi)",IF(OR(L940="Evet",M940="Evet"),IF(O940="Evet","Uygun","RİSK - Hakediş Süresi Aşıldı"),"Bekleniyor - Nakliye/Montaj Tamamlanmadı")))</f>
        <v/>
      </c>
      <c r="Q940" s="28">
        <f>IF(A940="","",SUMIFS('Hakedis Fatura Detay'!$G$3:$G$1200,'Hakedis Fatura Detay'!$H$3:$H$1200,'DIVA Satislari'!AJ940,'Hakedis Fatura Detay'!$F$3:$F$1200,"Fiyat Farkı")+SUMIFS('Hakedis Fatura Detay'!$G$3:$G$1200,'Hakedis Fatura Detay'!$H$3:$H$1200,'DIVA Satislari'!AJ940,'Hakedis Fatura Detay'!$F$3:$F$1200,"Bundle"))</f>
        <v/>
      </c>
      <c r="R940" s="28">
        <f>IF(A940="","",I940-Q940)</f>
        <v/>
      </c>
      <c r="S940" s="26">
        <f>IF(A940="","",IF(LEFT(P940,7)="Bekleni","N/A - Henüz Ödenmemeli",IF(LEFT(P940,4)="RİSK","İNCELEME GEREKLİ - Süre Aşımı",IF(R940=0,"Doğru",IF(R940&gt;0,"EKSİK ÖDENMİŞ","FAZLA ÖDENMİŞ")))))</f>
        <v/>
      </c>
      <c r="T940" s="30">
        <f>IF(A940="","",IF(F940&lt;&gt;"Evet","İNCELEME GEREKLİ - Kampanya Tanımsız",IF(G940&lt;&gt;"Evet","İNCELEME GEREKLİ - Tarih Dışı Satış",IF(LEFT(P940,4)="RİSK","İNCELEME GEREKLİ - Hakediş Süresi Aşıldı",IF(OR(S940="EKSİK ÖDENMİŞ",S940="FAZLA ÖDENMİŞ"),"İNCELEME GEREKLİ - Tutar Uyuşmazlığı",IF(LEFT(P940,7)="Bekleni","Bekleniyor","Uygun"))))))</f>
        <v/>
      </c>
    </row>
    <row r="941">
      <c r="A941" s="26">
        <f>IF('DIVA Satislari'!I941="","",'DIVA Satislari'!I941)</f>
        <v/>
      </c>
      <c r="B941" s="26">
        <f>IF('DIVA Satislari'!I941="","",'DIVA Satislari'!R941)</f>
        <v/>
      </c>
      <c r="C941" s="26">
        <f>IF('DIVA Satislari'!I941="","",'DIVA Satislari'!M941)</f>
        <v/>
      </c>
      <c r="D941" s="27">
        <f>IF('DIVA Satislari'!I941="","",'DIVA Satislari'!H941)</f>
        <v/>
      </c>
      <c r="E941" s="26">
        <f>IF('DIVA Satislari'!I941="","",'DIVA Satislari'!O941)</f>
        <v/>
      </c>
      <c r="F941" s="26">
        <f>IF('DIVA Satislari'!I941="","",'DIVA Satislari'!AK941)</f>
        <v/>
      </c>
      <c r="G941" s="26">
        <f>IF('DIVA Satislari'!I941="","",'DIVA Satislari'!AO941)</f>
        <v/>
      </c>
      <c r="H941" s="27">
        <f>IF('DIVA Satislari'!I941="","",'DIVA Satislari'!AN941)</f>
        <v/>
      </c>
      <c r="I941" s="28">
        <f>IF('DIVA Satislari'!I941="","",'DIVA Satislari'!AQ941)</f>
        <v/>
      </c>
      <c r="J941" s="26">
        <f>IF('DIVA Satislari'!I941="","",'DIVA Satislari'!AR941)</f>
        <v/>
      </c>
      <c r="K941" s="26">
        <f>IF('DIVA Satislari'!I941="","",IFERROR(INDEX('E2E Nakliye Montaj'!$AS$3:$AS$1002,MATCH('DIVA Satislari'!AJ941,'E2E Nakliye Montaj'!$AM$3:$AM$1002,0)),"Eşleşme Yok"))</f>
        <v/>
      </c>
      <c r="L941" s="26">
        <f>IF('DIVA Satislari'!I941="","",IFERROR(INDEX('E2E Nakliye Montaj'!$AT$3:$AT$1002,MATCH('DIVA Satislari'!AJ941,'E2E Nakliye Montaj'!$AM$3:$AM$1002,0)),"Hayır"))</f>
        <v/>
      </c>
      <c r="M941" s="26">
        <f>IF('DIVA Satislari'!I941="","",IFERROR(INDEX('E2E Nakliye Montaj'!$AU$3:$AU$1002,MATCH('DIVA Satislari'!AJ941,'E2E Nakliye Montaj'!$AM$3:$AM$1002,0)),"Hayır"))</f>
        <v/>
      </c>
      <c r="N941" s="27">
        <f>IF('DIVA Satislari'!I941="","",IFERROR(INDEX('E2E Nakliye Montaj'!$AV$3:$AV$1002,MATCH('DIVA Satislari'!AJ941,'E2E Nakliye Montaj'!$AM$3:$AM$1002,0)),""))</f>
        <v/>
      </c>
      <c r="O941" s="26">
        <f>IF(OR(A941="",N941=""),"",IF(N941&lt;=H941,"Evet","HAYIR - RİSK"))</f>
        <v/>
      </c>
      <c r="P941" s="26">
        <f>IF(A941="","",IF(LEFT(J941,8)="Kural A ","Uygun - Hemen Ödenir (Yıl Sonu %75 Kontrolüne Tabi)",IF(OR(L941="Evet",M941="Evet"),IF(O941="Evet","Uygun","RİSK - Hakediş Süresi Aşıldı"),"Bekleniyor - Nakliye/Montaj Tamamlanmadı")))</f>
        <v/>
      </c>
      <c r="Q941" s="28">
        <f>IF(A941="","",SUMIFS('Hakedis Fatura Detay'!$G$3:$G$1200,'Hakedis Fatura Detay'!$H$3:$H$1200,'DIVA Satislari'!AJ941,'Hakedis Fatura Detay'!$F$3:$F$1200,"Fiyat Farkı")+SUMIFS('Hakedis Fatura Detay'!$G$3:$G$1200,'Hakedis Fatura Detay'!$H$3:$H$1200,'DIVA Satislari'!AJ941,'Hakedis Fatura Detay'!$F$3:$F$1200,"Bundle"))</f>
        <v/>
      </c>
      <c r="R941" s="28">
        <f>IF(A941="","",I941-Q941)</f>
        <v/>
      </c>
      <c r="S941" s="26">
        <f>IF(A941="","",IF(LEFT(P941,7)="Bekleni","N/A - Henüz Ödenmemeli",IF(LEFT(P941,4)="RİSK","İNCELEME GEREKLİ - Süre Aşımı",IF(R941=0,"Doğru",IF(R941&gt;0,"EKSİK ÖDENMİŞ","FAZLA ÖDENMİŞ")))))</f>
        <v/>
      </c>
      <c r="T941" s="30">
        <f>IF(A941="","",IF(F941&lt;&gt;"Evet","İNCELEME GEREKLİ - Kampanya Tanımsız",IF(G941&lt;&gt;"Evet","İNCELEME GEREKLİ - Tarih Dışı Satış",IF(LEFT(P941,4)="RİSK","İNCELEME GEREKLİ - Hakediş Süresi Aşıldı",IF(OR(S941="EKSİK ÖDENMİŞ",S941="FAZLA ÖDENMİŞ"),"İNCELEME GEREKLİ - Tutar Uyuşmazlığı",IF(LEFT(P941,7)="Bekleni","Bekleniyor","Uygun"))))))</f>
        <v/>
      </c>
    </row>
    <row r="942">
      <c r="A942" s="26">
        <f>IF('DIVA Satislari'!I942="","",'DIVA Satislari'!I942)</f>
        <v/>
      </c>
      <c r="B942" s="26">
        <f>IF('DIVA Satislari'!I942="","",'DIVA Satislari'!R942)</f>
        <v/>
      </c>
      <c r="C942" s="26">
        <f>IF('DIVA Satislari'!I942="","",'DIVA Satislari'!M942)</f>
        <v/>
      </c>
      <c r="D942" s="27">
        <f>IF('DIVA Satislari'!I942="","",'DIVA Satislari'!H942)</f>
        <v/>
      </c>
      <c r="E942" s="26">
        <f>IF('DIVA Satislari'!I942="","",'DIVA Satislari'!O942)</f>
        <v/>
      </c>
      <c r="F942" s="26">
        <f>IF('DIVA Satislari'!I942="","",'DIVA Satislari'!AK942)</f>
        <v/>
      </c>
      <c r="G942" s="26">
        <f>IF('DIVA Satislari'!I942="","",'DIVA Satislari'!AO942)</f>
        <v/>
      </c>
      <c r="H942" s="27">
        <f>IF('DIVA Satislari'!I942="","",'DIVA Satislari'!AN942)</f>
        <v/>
      </c>
      <c r="I942" s="28">
        <f>IF('DIVA Satislari'!I942="","",'DIVA Satislari'!AQ942)</f>
        <v/>
      </c>
      <c r="J942" s="26">
        <f>IF('DIVA Satislari'!I942="","",'DIVA Satislari'!AR942)</f>
        <v/>
      </c>
      <c r="K942" s="26">
        <f>IF('DIVA Satislari'!I942="","",IFERROR(INDEX('E2E Nakliye Montaj'!$AS$3:$AS$1002,MATCH('DIVA Satislari'!AJ942,'E2E Nakliye Montaj'!$AM$3:$AM$1002,0)),"Eşleşme Yok"))</f>
        <v/>
      </c>
      <c r="L942" s="26">
        <f>IF('DIVA Satislari'!I942="","",IFERROR(INDEX('E2E Nakliye Montaj'!$AT$3:$AT$1002,MATCH('DIVA Satislari'!AJ942,'E2E Nakliye Montaj'!$AM$3:$AM$1002,0)),"Hayır"))</f>
        <v/>
      </c>
      <c r="M942" s="26">
        <f>IF('DIVA Satislari'!I942="","",IFERROR(INDEX('E2E Nakliye Montaj'!$AU$3:$AU$1002,MATCH('DIVA Satislari'!AJ942,'E2E Nakliye Montaj'!$AM$3:$AM$1002,0)),"Hayır"))</f>
        <v/>
      </c>
      <c r="N942" s="27">
        <f>IF('DIVA Satislari'!I942="","",IFERROR(INDEX('E2E Nakliye Montaj'!$AV$3:$AV$1002,MATCH('DIVA Satislari'!AJ942,'E2E Nakliye Montaj'!$AM$3:$AM$1002,0)),""))</f>
        <v/>
      </c>
      <c r="O942" s="26">
        <f>IF(OR(A942="",N942=""),"",IF(N942&lt;=H942,"Evet","HAYIR - RİSK"))</f>
        <v/>
      </c>
      <c r="P942" s="26">
        <f>IF(A942="","",IF(LEFT(J942,8)="Kural A ","Uygun - Hemen Ödenir (Yıl Sonu %75 Kontrolüne Tabi)",IF(OR(L942="Evet",M942="Evet"),IF(O942="Evet","Uygun","RİSK - Hakediş Süresi Aşıldı"),"Bekleniyor - Nakliye/Montaj Tamamlanmadı")))</f>
        <v/>
      </c>
      <c r="Q942" s="28">
        <f>IF(A942="","",SUMIFS('Hakedis Fatura Detay'!$G$3:$G$1200,'Hakedis Fatura Detay'!$H$3:$H$1200,'DIVA Satislari'!AJ942,'Hakedis Fatura Detay'!$F$3:$F$1200,"Fiyat Farkı")+SUMIFS('Hakedis Fatura Detay'!$G$3:$G$1200,'Hakedis Fatura Detay'!$H$3:$H$1200,'DIVA Satislari'!AJ942,'Hakedis Fatura Detay'!$F$3:$F$1200,"Bundle"))</f>
        <v/>
      </c>
      <c r="R942" s="28">
        <f>IF(A942="","",I942-Q942)</f>
        <v/>
      </c>
      <c r="S942" s="26">
        <f>IF(A942="","",IF(LEFT(P942,7)="Bekleni","N/A - Henüz Ödenmemeli",IF(LEFT(P942,4)="RİSK","İNCELEME GEREKLİ - Süre Aşımı",IF(R942=0,"Doğru",IF(R942&gt;0,"EKSİK ÖDENMİŞ","FAZLA ÖDENMİŞ")))))</f>
        <v/>
      </c>
      <c r="T942" s="30">
        <f>IF(A942="","",IF(F942&lt;&gt;"Evet","İNCELEME GEREKLİ - Kampanya Tanımsız",IF(G942&lt;&gt;"Evet","İNCELEME GEREKLİ - Tarih Dışı Satış",IF(LEFT(P942,4)="RİSK","İNCELEME GEREKLİ - Hakediş Süresi Aşıldı",IF(OR(S942="EKSİK ÖDENMİŞ",S942="FAZLA ÖDENMİŞ"),"İNCELEME GEREKLİ - Tutar Uyuşmazlığı",IF(LEFT(P942,7)="Bekleni","Bekleniyor","Uygun"))))))</f>
        <v/>
      </c>
    </row>
    <row r="943">
      <c r="A943" s="26">
        <f>IF('DIVA Satislari'!I943="","",'DIVA Satislari'!I943)</f>
        <v/>
      </c>
      <c r="B943" s="26">
        <f>IF('DIVA Satislari'!I943="","",'DIVA Satislari'!R943)</f>
        <v/>
      </c>
      <c r="C943" s="26">
        <f>IF('DIVA Satislari'!I943="","",'DIVA Satislari'!M943)</f>
        <v/>
      </c>
      <c r="D943" s="27">
        <f>IF('DIVA Satislari'!I943="","",'DIVA Satislari'!H943)</f>
        <v/>
      </c>
      <c r="E943" s="26">
        <f>IF('DIVA Satislari'!I943="","",'DIVA Satislari'!O943)</f>
        <v/>
      </c>
      <c r="F943" s="26">
        <f>IF('DIVA Satislari'!I943="","",'DIVA Satislari'!AK943)</f>
        <v/>
      </c>
      <c r="G943" s="26">
        <f>IF('DIVA Satislari'!I943="","",'DIVA Satislari'!AO943)</f>
        <v/>
      </c>
      <c r="H943" s="27">
        <f>IF('DIVA Satislari'!I943="","",'DIVA Satislari'!AN943)</f>
        <v/>
      </c>
      <c r="I943" s="28">
        <f>IF('DIVA Satislari'!I943="","",'DIVA Satislari'!AQ943)</f>
        <v/>
      </c>
      <c r="J943" s="26">
        <f>IF('DIVA Satislari'!I943="","",'DIVA Satislari'!AR943)</f>
        <v/>
      </c>
      <c r="K943" s="26">
        <f>IF('DIVA Satislari'!I943="","",IFERROR(INDEX('E2E Nakliye Montaj'!$AS$3:$AS$1002,MATCH('DIVA Satislari'!AJ943,'E2E Nakliye Montaj'!$AM$3:$AM$1002,0)),"Eşleşme Yok"))</f>
        <v/>
      </c>
      <c r="L943" s="26">
        <f>IF('DIVA Satislari'!I943="","",IFERROR(INDEX('E2E Nakliye Montaj'!$AT$3:$AT$1002,MATCH('DIVA Satislari'!AJ943,'E2E Nakliye Montaj'!$AM$3:$AM$1002,0)),"Hayır"))</f>
        <v/>
      </c>
      <c r="M943" s="26">
        <f>IF('DIVA Satislari'!I943="","",IFERROR(INDEX('E2E Nakliye Montaj'!$AU$3:$AU$1002,MATCH('DIVA Satislari'!AJ943,'E2E Nakliye Montaj'!$AM$3:$AM$1002,0)),"Hayır"))</f>
        <v/>
      </c>
      <c r="N943" s="27">
        <f>IF('DIVA Satislari'!I943="","",IFERROR(INDEX('E2E Nakliye Montaj'!$AV$3:$AV$1002,MATCH('DIVA Satislari'!AJ943,'E2E Nakliye Montaj'!$AM$3:$AM$1002,0)),""))</f>
        <v/>
      </c>
      <c r="O943" s="26">
        <f>IF(OR(A943="",N943=""),"",IF(N943&lt;=H943,"Evet","HAYIR - RİSK"))</f>
        <v/>
      </c>
      <c r="P943" s="26">
        <f>IF(A943="","",IF(LEFT(J943,8)="Kural A ","Uygun - Hemen Ödenir (Yıl Sonu %75 Kontrolüne Tabi)",IF(OR(L943="Evet",M943="Evet"),IF(O943="Evet","Uygun","RİSK - Hakediş Süresi Aşıldı"),"Bekleniyor - Nakliye/Montaj Tamamlanmadı")))</f>
        <v/>
      </c>
      <c r="Q943" s="28">
        <f>IF(A943="","",SUMIFS('Hakedis Fatura Detay'!$G$3:$G$1200,'Hakedis Fatura Detay'!$H$3:$H$1200,'DIVA Satislari'!AJ943,'Hakedis Fatura Detay'!$F$3:$F$1200,"Fiyat Farkı")+SUMIFS('Hakedis Fatura Detay'!$G$3:$G$1200,'Hakedis Fatura Detay'!$H$3:$H$1200,'DIVA Satislari'!AJ943,'Hakedis Fatura Detay'!$F$3:$F$1200,"Bundle"))</f>
        <v/>
      </c>
      <c r="R943" s="28">
        <f>IF(A943="","",I943-Q943)</f>
        <v/>
      </c>
      <c r="S943" s="26">
        <f>IF(A943="","",IF(LEFT(P943,7)="Bekleni","N/A - Henüz Ödenmemeli",IF(LEFT(P943,4)="RİSK","İNCELEME GEREKLİ - Süre Aşımı",IF(R943=0,"Doğru",IF(R943&gt;0,"EKSİK ÖDENMİŞ","FAZLA ÖDENMİŞ")))))</f>
        <v/>
      </c>
      <c r="T943" s="30">
        <f>IF(A943="","",IF(F943&lt;&gt;"Evet","İNCELEME GEREKLİ - Kampanya Tanımsız",IF(G943&lt;&gt;"Evet","İNCELEME GEREKLİ - Tarih Dışı Satış",IF(LEFT(P943,4)="RİSK","İNCELEME GEREKLİ - Hakediş Süresi Aşıldı",IF(OR(S943="EKSİK ÖDENMİŞ",S943="FAZLA ÖDENMİŞ"),"İNCELEME GEREKLİ - Tutar Uyuşmazlığı",IF(LEFT(P943,7)="Bekleni","Bekleniyor","Uygun"))))))</f>
        <v/>
      </c>
    </row>
    <row r="944">
      <c r="A944" s="26">
        <f>IF('DIVA Satislari'!I944="","",'DIVA Satislari'!I944)</f>
        <v/>
      </c>
      <c r="B944" s="26">
        <f>IF('DIVA Satislari'!I944="","",'DIVA Satislari'!R944)</f>
        <v/>
      </c>
      <c r="C944" s="26">
        <f>IF('DIVA Satislari'!I944="","",'DIVA Satislari'!M944)</f>
        <v/>
      </c>
      <c r="D944" s="27">
        <f>IF('DIVA Satislari'!I944="","",'DIVA Satislari'!H944)</f>
        <v/>
      </c>
      <c r="E944" s="26">
        <f>IF('DIVA Satislari'!I944="","",'DIVA Satislari'!O944)</f>
        <v/>
      </c>
      <c r="F944" s="26">
        <f>IF('DIVA Satislari'!I944="","",'DIVA Satislari'!AK944)</f>
        <v/>
      </c>
      <c r="G944" s="26">
        <f>IF('DIVA Satislari'!I944="","",'DIVA Satislari'!AO944)</f>
        <v/>
      </c>
      <c r="H944" s="27">
        <f>IF('DIVA Satislari'!I944="","",'DIVA Satislari'!AN944)</f>
        <v/>
      </c>
      <c r="I944" s="28">
        <f>IF('DIVA Satislari'!I944="","",'DIVA Satislari'!AQ944)</f>
        <v/>
      </c>
      <c r="J944" s="26">
        <f>IF('DIVA Satislari'!I944="","",'DIVA Satislari'!AR944)</f>
        <v/>
      </c>
      <c r="K944" s="26">
        <f>IF('DIVA Satislari'!I944="","",IFERROR(INDEX('E2E Nakliye Montaj'!$AS$3:$AS$1002,MATCH('DIVA Satislari'!AJ944,'E2E Nakliye Montaj'!$AM$3:$AM$1002,0)),"Eşleşme Yok"))</f>
        <v/>
      </c>
      <c r="L944" s="26">
        <f>IF('DIVA Satislari'!I944="","",IFERROR(INDEX('E2E Nakliye Montaj'!$AT$3:$AT$1002,MATCH('DIVA Satislari'!AJ944,'E2E Nakliye Montaj'!$AM$3:$AM$1002,0)),"Hayır"))</f>
        <v/>
      </c>
      <c r="M944" s="26">
        <f>IF('DIVA Satislari'!I944="","",IFERROR(INDEX('E2E Nakliye Montaj'!$AU$3:$AU$1002,MATCH('DIVA Satislari'!AJ944,'E2E Nakliye Montaj'!$AM$3:$AM$1002,0)),"Hayır"))</f>
        <v/>
      </c>
      <c r="N944" s="27">
        <f>IF('DIVA Satislari'!I944="","",IFERROR(INDEX('E2E Nakliye Montaj'!$AV$3:$AV$1002,MATCH('DIVA Satislari'!AJ944,'E2E Nakliye Montaj'!$AM$3:$AM$1002,0)),""))</f>
        <v/>
      </c>
      <c r="O944" s="26">
        <f>IF(OR(A944="",N944=""),"",IF(N944&lt;=H944,"Evet","HAYIR - RİSK"))</f>
        <v/>
      </c>
      <c r="P944" s="26">
        <f>IF(A944="","",IF(LEFT(J944,8)="Kural A ","Uygun - Hemen Ödenir (Yıl Sonu %75 Kontrolüne Tabi)",IF(OR(L944="Evet",M944="Evet"),IF(O944="Evet","Uygun","RİSK - Hakediş Süresi Aşıldı"),"Bekleniyor - Nakliye/Montaj Tamamlanmadı")))</f>
        <v/>
      </c>
      <c r="Q944" s="28">
        <f>IF(A944="","",SUMIFS('Hakedis Fatura Detay'!$G$3:$G$1200,'Hakedis Fatura Detay'!$H$3:$H$1200,'DIVA Satislari'!AJ944,'Hakedis Fatura Detay'!$F$3:$F$1200,"Fiyat Farkı")+SUMIFS('Hakedis Fatura Detay'!$G$3:$G$1200,'Hakedis Fatura Detay'!$H$3:$H$1200,'DIVA Satislari'!AJ944,'Hakedis Fatura Detay'!$F$3:$F$1200,"Bundle"))</f>
        <v/>
      </c>
      <c r="R944" s="28">
        <f>IF(A944="","",I944-Q944)</f>
        <v/>
      </c>
      <c r="S944" s="26">
        <f>IF(A944="","",IF(LEFT(P944,7)="Bekleni","N/A - Henüz Ödenmemeli",IF(LEFT(P944,4)="RİSK","İNCELEME GEREKLİ - Süre Aşımı",IF(R944=0,"Doğru",IF(R944&gt;0,"EKSİK ÖDENMİŞ","FAZLA ÖDENMİŞ")))))</f>
        <v/>
      </c>
      <c r="T944" s="30">
        <f>IF(A944="","",IF(F944&lt;&gt;"Evet","İNCELEME GEREKLİ - Kampanya Tanımsız",IF(G944&lt;&gt;"Evet","İNCELEME GEREKLİ - Tarih Dışı Satış",IF(LEFT(P944,4)="RİSK","İNCELEME GEREKLİ - Hakediş Süresi Aşıldı",IF(OR(S944="EKSİK ÖDENMİŞ",S944="FAZLA ÖDENMİŞ"),"İNCELEME GEREKLİ - Tutar Uyuşmazlığı",IF(LEFT(P944,7)="Bekleni","Bekleniyor","Uygun"))))))</f>
        <v/>
      </c>
    </row>
    <row r="945">
      <c r="A945" s="26">
        <f>IF('DIVA Satislari'!I945="","",'DIVA Satislari'!I945)</f>
        <v/>
      </c>
      <c r="B945" s="26">
        <f>IF('DIVA Satislari'!I945="","",'DIVA Satislari'!R945)</f>
        <v/>
      </c>
      <c r="C945" s="26">
        <f>IF('DIVA Satislari'!I945="","",'DIVA Satislari'!M945)</f>
        <v/>
      </c>
      <c r="D945" s="27">
        <f>IF('DIVA Satislari'!I945="","",'DIVA Satislari'!H945)</f>
        <v/>
      </c>
      <c r="E945" s="26">
        <f>IF('DIVA Satislari'!I945="","",'DIVA Satislari'!O945)</f>
        <v/>
      </c>
      <c r="F945" s="26">
        <f>IF('DIVA Satislari'!I945="","",'DIVA Satislari'!AK945)</f>
        <v/>
      </c>
      <c r="G945" s="26">
        <f>IF('DIVA Satislari'!I945="","",'DIVA Satislari'!AO945)</f>
        <v/>
      </c>
      <c r="H945" s="27">
        <f>IF('DIVA Satislari'!I945="","",'DIVA Satislari'!AN945)</f>
        <v/>
      </c>
      <c r="I945" s="28">
        <f>IF('DIVA Satislari'!I945="","",'DIVA Satislari'!AQ945)</f>
        <v/>
      </c>
      <c r="J945" s="26">
        <f>IF('DIVA Satislari'!I945="","",'DIVA Satislari'!AR945)</f>
        <v/>
      </c>
      <c r="K945" s="26">
        <f>IF('DIVA Satislari'!I945="","",IFERROR(INDEX('E2E Nakliye Montaj'!$AS$3:$AS$1002,MATCH('DIVA Satislari'!AJ945,'E2E Nakliye Montaj'!$AM$3:$AM$1002,0)),"Eşleşme Yok"))</f>
        <v/>
      </c>
      <c r="L945" s="26">
        <f>IF('DIVA Satislari'!I945="","",IFERROR(INDEX('E2E Nakliye Montaj'!$AT$3:$AT$1002,MATCH('DIVA Satislari'!AJ945,'E2E Nakliye Montaj'!$AM$3:$AM$1002,0)),"Hayır"))</f>
        <v/>
      </c>
      <c r="M945" s="26">
        <f>IF('DIVA Satislari'!I945="","",IFERROR(INDEX('E2E Nakliye Montaj'!$AU$3:$AU$1002,MATCH('DIVA Satislari'!AJ945,'E2E Nakliye Montaj'!$AM$3:$AM$1002,0)),"Hayır"))</f>
        <v/>
      </c>
      <c r="N945" s="27">
        <f>IF('DIVA Satislari'!I945="","",IFERROR(INDEX('E2E Nakliye Montaj'!$AV$3:$AV$1002,MATCH('DIVA Satislari'!AJ945,'E2E Nakliye Montaj'!$AM$3:$AM$1002,0)),""))</f>
        <v/>
      </c>
      <c r="O945" s="26">
        <f>IF(OR(A945="",N945=""),"",IF(N945&lt;=H945,"Evet","HAYIR - RİSK"))</f>
        <v/>
      </c>
      <c r="P945" s="26">
        <f>IF(A945="","",IF(LEFT(J945,8)="Kural A ","Uygun - Hemen Ödenir (Yıl Sonu %75 Kontrolüne Tabi)",IF(OR(L945="Evet",M945="Evet"),IF(O945="Evet","Uygun","RİSK - Hakediş Süresi Aşıldı"),"Bekleniyor - Nakliye/Montaj Tamamlanmadı")))</f>
        <v/>
      </c>
      <c r="Q945" s="28">
        <f>IF(A945="","",SUMIFS('Hakedis Fatura Detay'!$G$3:$G$1200,'Hakedis Fatura Detay'!$H$3:$H$1200,'DIVA Satislari'!AJ945,'Hakedis Fatura Detay'!$F$3:$F$1200,"Fiyat Farkı")+SUMIFS('Hakedis Fatura Detay'!$G$3:$G$1200,'Hakedis Fatura Detay'!$H$3:$H$1200,'DIVA Satislari'!AJ945,'Hakedis Fatura Detay'!$F$3:$F$1200,"Bundle"))</f>
        <v/>
      </c>
      <c r="R945" s="28">
        <f>IF(A945="","",I945-Q945)</f>
        <v/>
      </c>
      <c r="S945" s="26">
        <f>IF(A945="","",IF(LEFT(P945,7)="Bekleni","N/A - Henüz Ödenmemeli",IF(LEFT(P945,4)="RİSK","İNCELEME GEREKLİ - Süre Aşımı",IF(R945=0,"Doğru",IF(R945&gt;0,"EKSİK ÖDENMİŞ","FAZLA ÖDENMİŞ")))))</f>
        <v/>
      </c>
      <c r="T945" s="30">
        <f>IF(A945="","",IF(F945&lt;&gt;"Evet","İNCELEME GEREKLİ - Kampanya Tanımsız",IF(G945&lt;&gt;"Evet","İNCELEME GEREKLİ - Tarih Dışı Satış",IF(LEFT(P945,4)="RİSK","İNCELEME GEREKLİ - Hakediş Süresi Aşıldı",IF(OR(S945="EKSİK ÖDENMİŞ",S945="FAZLA ÖDENMİŞ"),"İNCELEME GEREKLİ - Tutar Uyuşmazlığı",IF(LEFT(P945,7)="Bekleni","Bekleniyor","Uygun"))))))</f>
        <v/>
      </c>
    </row>
    <row r="946">
      <c r="A946" s="26">
        <f>IF('DIVA Satislari'!I946="","",'DIVA Satislari'!I946)</f>
        <v/>
      </c>
      <c r="B946" s="26">
        <f>IF('DIVA Satislari'!I946="","",'DIVA Satislari'!R946)</f>
        <v/>
      </c>
      <c r="C946" s="26">
        <f>IF('DIVA Satislari'!I946="","",'DIVA Satislari'!M946)</f>
        <v/>
      </c>
      <c r="D946" s="27">
        <f>IF('DIVA Satislari'!I946="","",'DIVA Satislari'!H946)</f>
        <v/>
      </c>
      <c r="E946" s="26">
        <f>IF('DIVA Satislari'!I946="","",'DIVA Satislari'!O946)</f>
        <v/>
      </c>
      <c r="F946" s="26">
        <f>IF('DIVA Satislari'!I946="","",'DIVA Satislari'!AK946)</f>
        <v/>
      </c>
      <c r="G946" s="26">
        <f>IF('DIVA Satislari'!I946="","",'DIVA Satislari'!AO946)</f>
        <v/>
      </c>
      <c r="H946" s="27">
        <f>IF('DIVA Satislari'!I946="","",'DIVA Satislari'!AN946)</f>
        <v/>
      </c>
      <c r="I946" s="28">
        <f>IF('DIVA Satislari'!I946="","",'DIVA Satislari'!AQ946)</f>
        <v/>
      </c>
      <c r="J946" s="26">
        <f>IF('DIVA Satislari'!I946="","",'DIVA Satislari'!AR946)</f>
        <v/>
      </c>
      <c r="K946" s="26">
        <f>IF('DIVA Satislari'!I946="","",IFERROR(INDEX('E2E Nakliye Montaj'!$AS$3:$AS$1002,MATCH('DIVA Satislari'!AJ946,'E2E Nakliye Montaj'!$AM$3:$AM$1002,0)),"Eşleşme Yok"))</f>
        <v/>
      </c>
      <c r="L946" s="26">
        <f>IF('DIVA Satislari'!I946="","",IFERROR(INDEX('E2E Nakliye Montaj'!$AT$3:$AT$1002,MATCH('DIVA Satislari'!AJ946,'E2E Nakliye Montaj'!$AM$3:$AM$1002,0)),"Hayır"))</f>
        <v/>
      </c>
      <c r="M946" s="26">
        <f>IF('DIVA Satislari'!I946="","",IFERROR(INDEX('E2E Nakliye Montaj'!$AU$3:$AU$1002,MATCH('DIVA Satislari'!AJ946,'E2E Nakliye Montaj'!$AM$3:$AM$1002,0)),"Hayır"))</f>
        <v/>
      </c>
      <c r="N946" s="27">
        <f>IF('DIVA Satislari'!I946="","",IFERROR(INDEX('E2E Nakliye Montaj'!$AV$3:$AV$1002,MATCH('DIVA Satislari'!AJ946,'E2E Nakliye Montaj'!$AM$3:$AM$1002,0)),""))</f>
        <v/>
      </c>
      <c r="O946" s="26">
        <f>IF(OR(A946="",N946=""),"",IF(N946&lt;=H946,"Evet","HAYIR - RİSK"))</f>
        <v/>
      </c>
      <c r="P946" s="26">
        <f>IF(A946="","",IF(LEFT(J946,8)="Kural A ","Uygun - Hemen Ödenir (Yıl Sonu %75 Kontrolüne Tabi)",IF(OR(L946="Evet",M946="Evet"),IF(O946="Evet","Uygun","RİSK - Hakediş Süresi Aşıldı"),"Bekleniyor - Nakliye/Montaj Tamamlanmadı")))</f>
        <v/>
      </c>
      <c r="Q946" s="28">
        <f>IF(A946="","",SUMIFS('Hakedis Fatura Detay'!$G$3:$G$1200,'Hakedis Fatura Detay'!$H$3:$H$1200,'DIVA Satislari'!AJ946,'Hakedis Fatura Detay'!$F$3:$F$1200,"Fiyat Farkı")+SUMIFS('Hakedis Fatura Detay'!$G$3:$G$1200,'Hakedis Fatura Detay'!$H$3:$H$1200,'DIVA Satislari'!AJ946,'Hakedis Fatura Detay'!$F$3:$F$1200,"Bundle"))</f>
        <v/>
      </c>
      <c r="R946" s="28">
        <f>IF(A946="","",I946-Q946)</f>
        <v/>
      </c>
      <c r="S946" s="26">
        <f>IF(A946="","",IF(LEFT(P946,7)="Bekleni","N/A - Henüz Ödenmemeli",IF(LEFT(P946,4)="RİSK","İNCELEME GEREKLİ - Süre Aşımı",IF(R946=0,"Doğru",IF(R946&gt;0,"EKSİK ÖDENMİŞ","FAZLA ÖDENMİŞ")))))</f>
        <v/>
      </c>
      <c r="T946" s="30">
        <f>IF(A946="","",IF(F946&lt;&gt;"Evet","İNCELEME GEREKLİ - Kampanya Tanımsız",IF(G946&lt;&gt;"Evet","İNCELEME GEREKLİ - Tarih Dışı Satış",IF(LEFT(P946,4)="RİSK","İNCELEME GEREKLİ - Hakediş Süresi Aşıldı",IF(OR(S946="EKSİK ÖDENMİŞ",S946="FAZLA ÖDENMİŞ"),"İNCELEME GEREKLİ - Tutar Uyuşmazlığı",IF(LEFT(P946,7)="Bekleni","Bekleniyor","Uygun"))))))</f>
        <v/>
      </c>
    </row>
    <row r="947">
      <c r="A947" s="26">
        <f>IF('DIVA Satislari'!I947="","",'DIVA Satislari'!I947)</f>
        <v/>
      </c>
      <c r="B947" s="26">
        <f>IF('DIVA Satislari'!I947="","",'DIVA Satislari'!R947)</f>
        <v/>
      </c>
      <c r="C947" s="26">
        <f>IF('DIVA Satislari'!I947="","",'DIVA Satislari'!M947)</f>
        <v/>
      </c>
      <c r="D947" s="27">
        <f>IF('DIVA Satislari'!I947="","",'DIVA Satislari'!H947)</f>
        <v/>
      </c>
      <c r="E947" s="26">
        <f>IF('DIVA Satislari'!I947="","",'DIVA Satislari'!O947)</f>
        <v/>
      </c>
      <c r="F947" s="26">
        <f>IF('DIVA Satislari'!I947="","",'DIVA Satislari'!AK947)</f>
        <v/>
      </c>
      <c r="G947" s="26">
        <f>IF('DIVA Satislari'!I947="","",'DIVA Satislari'!AO947)</f>
        <v/>
      </c>
      <c r="H947" s="27">
        <f>IF('DIVA Satislari'!I947="","",'DIVA Satislari'!AN947)</f>
        <v/>
      </c>
      <c r="I947" s="28">
        <f>IF('DIVA Satislari'!I947="","",'DIVA Satislari'!AQ947)</f>
        <v/>
      </c>
      <c r="J947" s="26">
        <f>IF('DIVA Satislari'!I947="","",'DIVA Satislari'!AR947)</f>
        <v/>
      </c>
      <c r="K947" s="26">
        <f>IF('DIVA Satislari'!I947="","",IFERROR(INDEX('E2E Nakliye Montaj'!$AS$3:$AS$1002,MATCH('DIVA Satislari'!AJ947,'E2E Nakliye Montaj'!$AM$3:$AM$1002,0)),"Eşleşme Yok"))</f>
        <v/>
      </c>
      <c r="L947" s="26">
        <f>IF('DIVA Satislari'!I947="","",IFERROR(INDEX('E2E Nakliye Montaj'!$AT$3:$AT$1002,MATCH('DIVA Satislari'!AJ947,'E2E Nakliye Montaj'!$AM$3:$AM$1002,0)),"Hayır"))</f>
        <v/>
      </c>
      <c r="M947" s="26">
        <f>IF('DIVA Satislari'!I947="","",IFERROR(INDEX('E2E Nakliye Montaj'!$AU$3:$AU$1002,MATCH('DIVA Satislari'!AJ947,'E2E Nakliye Montaj'!$AM$3:$AM$1002,0)),"Hayır"))</f>
        <v/>
      </c>
      <c r="N947" s="27">
        <f>IF('DIVA Satislari'!I947="","",IFERROR(INDEX('E2E Nakliye Montaj'!$AV$3:$AV$1002,MATCH('DIVA Satislari'!AJ947,'E2E Nakliye Montaj'!$AM$3:$AM$1002,0)),""))</f>
        <v/>
      </c>
      <c r="O947" s="26">
        <f>IF(OR(A947="",N947=""),"",IF(N947&lt;=H947,"Evet","HAYIR - RİSK"))</f>
        <v/>
      </c>
      <c r="P947" s="26">
        <f>IF(A947="","",IF(LEFT(J947,8)="Kural A ","Uygun - Hemen Ödenir (Yıl Sonu %75 Kontrolüne Tabi)",IF(OR(L947="Evet",M947="Evet"),IF(O947="Evet","Uygun","RİSK - Hakediş Süresi Aşıldı"),"Bekleniyor - Nakliye/Montaj Tamamlanmadı")))</f>
        <v/>
      </c>
      <c r="Q947" s="28">
        <f>IF(A947="","",SUMIFS('Hakedis Fatura Detay'!$G$3:$G$1200,'Hakedis Fatura Detay'!$H$3:$H$1200,'DIVA Satislari'!AJ947,'Hakedis Fatura Detay'!$F$3:$F$1200,"Fiyat Farkı")+SUMIFS('Hakedis Fatura Detay'!$G$3:$G$1200,'Hakedis Fatura Detay'!$H$3:$H$1200,'DIVA Satislari'!AJ947,'Hakedis Fatura Detay'!$F$3:$F$1200,"Bundle"))</f>
        <v/>
      </c>
      <c r="R947" s="28">
        <f>IF(A947="","",I947-Q947)</f>
        <v/>
      </c>
      <c r="S947" s="26">
        <f>IF(A947="","",IF(LEFT(P947,7)="Bekleni","N/A - Henüz Ödenmemeli",IF(LEFT(P947,4)="RİSK","İNCELEME GEREKLİ - Süre Aşımı",IF(R947=0,"Doğru",IF(R947&gt;0,"EKSİK ÖDENMİŞ","FAZLA ÖDENMİŞ")))))</f>
        <v/>
      </c>
      <c r="T947" s="30">
        <f>IF(A947="","",IF(F947&lt;&gt;"Evet","İNCELEME GEREKLİ - Kampanya Tanımsız",IF(G947&lt;&gt;"Evet","İNCELEME GEREKLİ - Tarih Dışı Satış",IF(LEFT(P947,4)="RİSK","İNCELEME GEREKLİ - Hakediş Süresi Aşıldı",IF(OR(S947="EKSİK ÖDENMİŞ",S947="FAZLA ÖDENMİŞ"),"İNCELEME GEREKLİ - Tutar Uyuşmazlığı",IF(LEFT(P947,7)="Bekleni","Bekleniyor","Uygun"))))))</f>
        <v/>
      </c>
    </row>
    <row r="948">
      <c r="A948" s="26">
        <f>IF('DIVA Satislari'!I948="","",'DIVA Satislari'!I948)</f>
        <v/>
      </c>
      <c r="B948" s="26">
        <f>IF('DIVA Satislari'!I948="","",'DIVA Satislari'!R948)</f>
        <v/>
      </c>
      <c r="C948" s="26">
        <f>IF('DIVA Satislari'!I948="","",'DIVA Satislari'!M948)</f>
        <v/>
      </c>
      <c r="D948" s="27">
        <f>IF('DIVA Satislari'!I948="","",'DIVA Satislari'!H948)</f>
        <v/>
      </c>
      <c r="E948" s="26">
        <f>IF('DIVA Satislari'!I948="","",'DIVA Satislari'!O948)</f>
        <v/>
      </c>
      <c r="F948" s="26">
        <f>IF('DIVA Satislari'!I948="","",'DIVA Satislari'!AK948)</f>
        <v/>
      </c>
      <c r="G948" s="26">
        <f>IF('DIVA Satislari'!I948="","",'DIVA Satislari'!AO948)</f>
        <v/>
      </c>
      <c r="H948" s="27">
        <f>IF('DIVA Satislari'!I948="","",'DIVA Satislari'!AN948)</f>
        <v/>
      </c>
      <c r="I948" s="28">
        <f>IF('DIVA Satislari'!I948="","",'DIVA Satislari'!AQ948)</f>
        <v/>
      </c>
      <c r="J948" s="26">
        <f>IF('DIVA Satislari'!I948="","",'DIVA Satislari'!AR948)</f>
        <v/>
      </c>
      <c r="K948" s="26">
        <f>IF('DIVA Satislari'!I948="","",IFERROR(INDEX('E2E Nakliye Montaj'!$AS$3:$AS$1002,MATCH('DIVA Satislari'!AJ948,'E2E Nakliye Montaj'!$AM$3:$AM$1002,0)),"Eşleşme Yok"))</f>
        <v/>
      </c>
      <c r="L948" s="26">
        <f>IF('DIVA Satislari'!I948="","",IFERROR(INDEX('E2E Nakliye Montaj'!$AT$3:$AT$1002,MATCH('DIVA Satislari'!AJ948,'E2E Nakliye Montaj'!$AM$3:$AM$1002,0)),"Hayır"))</f>
        <v/>
      </c>
      <c r="M948" s="26">
        <f>IF('DIVA Satislari'!I948="","",IFERROR(INDEX('E2E Nakliye Montaj'!$AU$3:$AU$1002,MATCH('DIVA Satislari'!AJ948,'E2E Nakliye Montaj'!$AM$3:$AM$1002,0)),"Hayır"))</f>
        <v/>
      </c>
      <c r="N948" s="27">
        <f>IF('DIVA Satislari'!I948="","",IFERROR(INDEX('E2E Nakliye Montaj'!$AV$3:$AV$1002,MATCH('DIVA Satislari'!AJ948,'E2E Nakliye Montaj'!$AM$3:$AM$1002,0)),""))</f>
        <v/>
      </c>
      <c r="O948" s="26">
        <f>IF(OR(A948="",N948=""),"",IF(N948&lt;=H948,"Evet","HAYIR - RİSK"))</f>
        <v/>
      </c>
      <c r="P948" s="26">
        <f>IF(A948="","",IF(LEFT(J948,8)="Kural A ","Uygun - Hemen Ödenir (Yıl Sonu %75 Kontrolüne Tabi)",IF(OR(L948="Evet",M948="Evet"),IF(O948="Evet","Uygun","RİSK - Hakediş Süresi Aşıldı"),"Bekleniyor - Nakliye/Montaj Tamamlanmadı")))</f>
        <v/>
      </c>
      <c r="Q948" s="28">
        <f>IF(A948="","",SUMIFS('Hakedis Fatura Detay'!$G$3:$G$1200,'Hakedis Fatura Detay'!$H$3:$H$1200,'DIVA Satislari'!AJ948,'Hakedis Fatura Detay'!$F$3:$F$1200,"Fiyat Farkı")+SUMIFS('Hakedis Fatura Detay'!$G$3:$G$1200,'Hakedis Fatura Detay'!$H$3:$H$1200,'DIVA Satislari'!AJ948,'Hakedis Fatura Detay'!$F$3:$F$1200,"Bundle"))</f>
        <v/>
      </c>
      <c r="R948" s="28">
        <f>IF(A948="","",I948-Q948)</f>
        <v/>
      </c>
      <c r="S948" s="26">
        <f>IF(A948="","",IF(LEFT(P948,7)="Bekleni","N/A - Henüz Ödenmemeli",IF(LEFT(P948,4)="RİSK","İNCELEME GEREKLİ - Süre Aşımı",IF(R948=0,"Doğru",IF(R948&gt;0,"EKSİK ÖDENMİŞ","FAZLA ÖDENMİŞ")))))</f>
        <v/>
      </c>
      <c r="T948" s="30">
        <f>IF(A948="","",IF(F948&lt;&gt;"Evet","İNCELEME GEREKLİ - Kampanya Tanımsız",IF(G948&lt;&gt;"Evet","İNCELEME GEREKLİ - Tarih Dışı Satış",IF(LEFT(P948,4)="RİSK","İNCELEME GEREKLİ - Hakediş Süresi Aşıldı",IF(OR(S948="EKSİK ÖDENMİŞ",S948="FAZLA ÖDENMİŞ"),"İNCELEME GEREKLİ - Tutar Uyuşmazlığı",IF(LEFT(P948,7)="Bekleni","Bekleniyor","Uygun"))))))</f>
        <v/>
      </c>
    </row>
    <row r="949">
      <c r="A949" s="26">
        <f>IF('DIVA Satislari'!I949="","",'DIVA Satislari'!I949)</f>
        <v/>
      </c>
      <c r="B949" s="26">
        <f>IF('DIVA Satislari'!I949="","",'DIVA Satislari'!R949)</f>
        <v/>
      </c>
      <c r="C949" s="26">
        <f>IF('DIVA Satislari'!I949="","",'DIVA Satislari'!M949)</f>
        <v/>
      </c>
      <c r="D949" s="27">
        <f>IF('DIVA Satislari'!I949="","",'DIVA Satislari'!H949)</f>
        <v/>
      </c>
      <c r="E949" s="26">
        <f>IF('DIVA Satislari'!I949="","",'DIVA Satislari'!O949)</f>
        <v/>
      </c>
      <c r="F949" s="26">
        <f>IF('DIVA Satislari'!I949="","",'DIVA Satislari'!AK949)</f>
        <v/>
      </c>
      <c r="G949" s="26">
        <f>IF('DIVA Satislari'!I949="","",'DIVA Satislari'!AO949)</f>
        <v/>
      </c>
      <c r="H949" s="27">
        <f>IF('DIVA Satislari'!I949="","",'DIVA Satislari'!AN949)</f>
        <v/>
      </c>
      <c r="I949" s="28">
        <f>IF('DIVA Satislari'!I949="","",'DIVA Satislari'!AQ949)</f>
        <v/>
      </c>
      <c r="J949" s="26">
        <f>IF('DIVA Satislari'!I949="","",'DIVA Satislari'!AR949)</f>
        <v/>
      </c>
      <c r="K949" s="26">
        <f>IF('DIVA Satislari'!I949="","",IFERROR(INDEX('E2E Nakliye Montaj'!$AS$3:$AS$1002,MATCH('DIVA Satislari'!AJ949,'E2E Nakliye Montaj'!$AM$3:$AM$1002,0)),"Eşleşme Yok"))</f>
        <v/>
      </c>
      <c r="L949" s="26">
        <f>IF('DIVA Satislari'!I949="","",IFERROR(INDEX('E2E Nakliye Montaj'!$AT$3:$AT$1002,MATCH('DIVA Satislari'!AJ949,'E2E Nakliye Montaj'!$AM$3:$AM$1002,0)),"Hayır"))</f>
        <v/>
      </c>
      <c r="M949" s="26">
        <f>IF('DIVA Satislari'!I949="","",IFERROR(INDEX('E2E Nakliye Montaj'!$AU$3:$AU$1002,MATCH('DIVA Satislari'!AJ949,'E2E Nakliye Montaj'!$AM$3:$AM$1002,0)),"Hayır"))</f>
        <v/>
      </c>
      <c r="N949" s="27">
        <f>IF('DIVA Satislari'!I949="","",IFERROR(INDEX('E2E Nakliye Montaj'!$AV$3:$AV$1002,MATCH('DIVA Satislari'!AJ949,'E2E Nakliye Montaj'!$AM$3:$AM$1002,0)),""))</f>
        <v/>
      </c>
      <c r="O949" s="26">
        <f>IF(OR(A949="",N949=""),"",IF(N949&lt;=H949,"Evet","HAYIR - RİSK"))</f>
        <v/>
      </c>
      <c r="P949" s="26">
        <f>IF(A949="","",IF(LEFT(J949,8)="Kural A ","Uygun - Hemen Ödenir (Yıl Sonu %75 Kontrolüne Tabi)",IF(OR(L949="Evet",M949="Evet"),IF(O949="Evet","Uygun","RİSK - Hakediş Süresi Aşıldı"),"Bekleniyor - Nakliye/Montaj Tamamlanmadı")))</f>
        <v/>
      </c>
      <c r="Q949" s="28">
        <f>IF(A949="","",SUMIFS('Hakedis Fatura Detay'!$G$3:$G$1200,'Hakedis Fatura Detay'!$H$3:$H$1200,'DIVA Satislari'!AJ949,'Hakedis Fatura Detay'!$F$3:$F$1200,"Fiyat Farkı")+SUMIFS('Hakedis Fatura Detay'!$G$3:$G$1200,'Hakedis Fatura Detay'!$H$3:$H$1200,'DIVA Satislari'!AJ949,'Hakedis Fatura Detay'!$F$3:$F$1200,"Bundle"))</f>
        <v/>
      </c>
      <c r="R949" s="28">
        <f>IF(A949="","",I949-Q949)</f>
        <v/>
      </c>
      <c r="S949" s="26">
        <f>IF(A949="","",IF(LEFT(P949,7)="Bekleni","N/A - Henüz Ödenmemeli",IF(LEFT(P949,4)="RİSK","İNCELEME GEREKLİ - Süre Aşımı",IF(R949=0,"Doğru",IF(R949&gt;0,"EKSİK ÖDENMİŞ","FAZLA ÖDENMİŞ")))))</f>
        <v/>
      </c>
      <c r="T949" s="30">
        <f>IF(A949="","",IF(F949&lt;&gt;"Evet","İNCELEME GEREKLİ - Kampanya Tanımsız",IF(G949&lt;&gt;"Evet","İNCELEME GEREKLİ - Tarih Dışı Satış",IF(LEFT(P949,4)="RİSK","İNCELEME GEREKLİ - Hakediş Süresi Aşıldı",IF(OR(S949="EKSİK ÖDENMİŞ",S949="FAZLA ÖDENMİŞ"),"İNCELEME GEREKLİ - Tutar Uyuşmazlığı",IF(LEFT(P949,7)="Bekleni","Bekleniyor","Uygun"))))))</f>
        <v/>
      </c>
    </row>
    <row r="950">
      <c r="A950" s="26">
        <f>IF('DIVA Satislari'!I950="","",'DIVA Satislari'!I950)</f>
        <v/>
      </c>
      <c r="B950" s="26">
        <f>IF('DIVA Satislari'!I950="","",'DIVA Satislari'!R950)</f>
        <v/>
      </c>
      <c r="C950" s="26">
        <f>IF('DIVA Satislari'!I950="","",'DIVA Satislari'!M950)</f>
        <v/>
      </c>
      <c r="D950" s="27">
        <f>IF('DIVA Satislari'!I950="","",'DIVA Satislari'!H950)</f>
        <v/>
      </c>
      <c r="E950" s="26">
        <f>IF('DIVA Satislari'!I950="","",'DIVA Satislari'!O950)</f>
        <v/>
      </c>
      <c r="F950" s="26">
        <f>IF('DIVA Satislari'!I950="","",'DIVA Satislari'!AK950)</f>
        <v/>
      </c>
      <c r="G950" s="26">
        <f>IF('DIVA Satislari'!I950="","",'DIVA Satislari'!AO950)</f>
        <v/>
      </c>
      <c r="H950" s="27">
        <f>IF('DIVA Satislari'!I950="","",'DIVA Satislari'!AN950)</f>
        <v/>
      </c>
      <c r="I950" s="28">
        <f>IF('DIVA Satislari'!I950="","",'DIVA Satislari'!AQ950)</f>
        <v/>
      </c>
      <c r="J950" s="26">
        <f>IF('DIVA Satislari'!I950="","",'DIVA Satislari'!AR950)</f>
        <v/>
      </c>
      <c r="K950" s="26">
        <f>IF('DIVA Satislari'!I950="","",IFERROR(INDEX('E2E Nakliye Montaj'!$AS$3:$AS$1002,MATCH('DIVA Satislari'!AJ950,'E2E Nakliye Montaj'!$AM$3:$AM$1002,0)),"Eşleşme Yok"))</f>
        <v/>
      </c>
      <c r="L950" s="26">
        <f>IF('DIVA Satislari'!I950="","",IFERROR(INDEX('E2E Nakliye Montaj'!$AT$3:$AT$1002,MATCH('DIVA Satislari'!AJ950,'E2E Nakliye Montaj'!$AM$3:$AM$1002,0)),"Hayır"))</f>
        <v/>
      </c>
      <c r="M950" s="26">
        <f>IF('DIVA Satislari'!I950="","",IFERROR(INDEX('E2E Nakliye Montaj'!$AU$3:$AU$1002,MATCH('DIVA Satislari'!AJ950,'E2E Nakliye Montaj'!$AM$3:$AM$1002,0)),"Hayır"))</f>
        <v/>
      </c>
      <c r="N950" s="27">
        <f>IF('DIVA Satislari'!I950="","",IFERROR(INDEX('E2E Nakliye Montaj'!$AV$3:$AV$1002,MATCH('DIVA Satislari'!AJ950,'E2E Nakliye Montaj'!$AM$3:$AM$1002,0)),""))</f>
        <v/>
      </c>
      <c r="O950" s="26">
        <f>IF(OR(A950="",N950=""),"",IF(N950&lt;=H950,"Evet","HAYIR - RİSK"))</f>
        <v/>
      </c>
      <c r="P950" s="26">
        <f>IF(A950="","",IF(LEFT(J950,8)="Kural A ","Uygun - Hemen Ödenir (Yıl Sonu %75 Kontrolüne Tabi)",IF(OR(L950="Evet",M950="Evet"),IF(O950="Evet","Uygun","RİSK - Hakediş Süresi Aşıldı"),"Bekleniyor - Nakliye/Montaj Tamamlanmadı")))</f>
        <v/>
      </c>
      <c r="Q950" s="28">
        <f>IF(A950="","",SUMIFS('Hakedis Fatura Detay'!$G$3:$G$1200,'Hakedis Fatura Detay'!$H$3:$H$1200,'DIVA Satislari'!AJ950,'Hakedis Fatura Detay'!$F$3:$F$1200,"Fiyat Farkı")+SUMIFS('Hakedis Fatura Detay'!$G$3:$G$1200,'Hakedis Fatura Detay'!$H$3:$H$1200,'DIVA Satislari'!AJ950,'Hakedis Fatura Detay'!$F$3:$F$1200,"Bundle"))</f>
        <v/>
      </c>
      <c r="R950" s="28">
        <f>IF(A950="","",I950-Q950)</f>
        <v/>
      </c>
      <c r="S950" s="26">
        <f>IF(A950="","",IF(LEFT(P950,7)="Bekleni","N/A - Henüz Ödenmemeli",IF(LEFT(P950,4)="RİSK","İNCELEME GEREKLİ - Süre Aşımı",IF(R950=0,"Doğru",IF(R950&gt;0,"EKSİK ÖDENMİŞ","FAZLA ÖDENMİŞ")))))</f>
        <v/>
      </c>
      <c r="T950" s="30">
        <f>IF(A950="","",IF(F950&lt;&gt;"Evet","İNCELEME GEREKLİ - Kampanya Tanımsız",IF(G950&lt;&gt;"Evet","İNCELEME GEREKLİ - Tarih Dışı Satış",IF(LEFT(P950,4)="RİSK","İNCELEME GEREKLİ - Hakediş Süresi Aşıldı",IF(OR(S950="EKSİK ÖDENMİŞ",S950="FAZLA ÖDENMİŞ"),"İNCELEME GEREKLİ - Tutar Uyuşmazlığı",IF(LEFT(P950,7)="Bekleni","Bekleniyor","Uygun"))))))</f>
        <v/>
      </c>
    </row>
    <row r="951">
      <c r="A951" s="26">
        <f>IF('DIVA Satislari'!I951="","",'DIVA Satislari'!I951)</f>
        <v/>
      </c>
      <c r="B951" s="26">
        <f>IF('DIVA Satislari'!I951="","",'DIVA Satislari'!R951)</f>
        <v/>
      </c>
      <c r="C951" s="26">
        <f>IF('DIVA Satislari'!I951="","",'DIVA Satislari'!M951)</f>
        <v/>
      </c>
      <c r="D951" s="27">
        <f>IF('DIVA Satislari'!I951="","",'DIVA Satislari'!H951)</f>
        <v/>
      </c>
      <c r="E951" s="26">
        <f>IF('DIVA Satislari'!I951="","",'DIVA Satislari'!O951)</f>
        <v/>
      </c>
      <c r="F951" s="26">
        <f>IF('DIVA Satislari'!I951="","",'DIVA Satislari'!AK951)</f>
        <v/>
      </c>
      <c r="G951" s="26">
        <f>IF('DIVA Satislari'!I951="","",'DIVA Satislari'!AO951)</f>
        <v/>
      </c>
      <c r="H951" s="27">
        <f>IF('DIVA Satislari'!I951="","",'DIVA Satislari'!AN951)</f>
        <v/>
      </c>
      <c r="I951" s="28">
        <f>IF('DIVA Satislari'!I951="","",'DIVA Satislari'!AQ951)</f>
        <v/>
      </c>
      <c r="J951" s="26">
        <f>IF('DIVA Satislari'!I951="","",'DIVA Satislari'!AR951)</f>
        <v/>
      </c>
      <c r="K951" s="26">
        <f>IF('DIVA Satislari'!I951="","",IFERROR(INDEX('E2E Nakliye Montaj'!$AS$3:$AS$1002,MATCH('DIVA Satislari'!AJ951,'E2E Nakliye Montaj'!$AM$3:$AM$1002,0)),"Eşleşme Yok"))</f>
        <v/>
      </c>
      <c r="L951" s="26">
        <f>IF('DIVA Satislari'!I951="","",IFERROR(INDEX('E2E Nakliye Montaj'!$AT$3:$AT$1002,MATCH('DIVA Satislari'!AJ951,'E2E Nakliye Montaj'!$AM$3:$AM$1002,0)),"Hayır"))</f>
        <v/>
      </c>
      <c r="M951" s="26">
        <f>IF('DIVA Satislari'!I951="","",IFERROR(INDEX('E2E Nakliye Montaj'!$AU$3:$AU$1002,MATCH('DIVA Satislari'!AJ951,'E2E Nakliye Montaj'!$AM$3:$AM$1002,0)),"Hayır"))</f>
        <v/>
      </c>
      <c r="N951" s="27">
        <f>IF('DIVA Satislari'!I951="","",IFERROR(INDEX('E2E Nakliye Montaj'!$AV$3:$AV$1002,MATCH('DIVA Satislari'!AJ951,'E2E Nakliye Montaj'!$AM$3:$AM$1002,0)),""))</f>
        <v/>
      </c>
      <c r="O951" s="26">
        <f>IF(OR(A951="",N951=""),"",IF(N951&lt;=H951,"Evet","HAYIR - RİSK"))</f>
        <v/>
      </c>
      <c r="P951" s="26">
        <f>IF(A951="","",IF(LEFT(J951,8)="Kural A ","Uygun - Hemen Ödenir (Yıl Sonu %75 Kontrolüne Tabi)",IF(OR(L951="Evet",M951="Evet"),IF(O951="Evet","Uygun","RİSK - Hakediş Süresi Aşıldı"),"Bekleniyor - Nakliye/Montaj Tamamlanmadı")))</f>
        <v/>
      </c>
      <c r="Q951" s="28">
        <f>IF(A951="","",SUMIFS('Hakedis Fatura Detay'!$G$3:$G$1200,'Hakedis Fatura Detay'!$H$3:$H$1200,'DIVA Satislari'!AJ951,'Hakedis Fatura Detay'!$F$3:$F$1200,"Fiyat Farkı")+SUMIFS('Hakedis Fatura Detay'!$G$3:$G$1200,'Hakedis Fatura Detay'!$H$3:$H$1200,'DIVA Satislari'!AJ951,'Hakedis Fatura Detay'!$F$3:$F$1200,"Bundle"))</f>
        <v/>
      </c>
      <c r="R951" s="28">
        <f>IF(A951="","",I951-Q951)</f>
        <v/>
      </c>
      <c r="S951" s="26">
        <f>IF(A951="","",IF(LEFT(P951,7)="Bekleni","N/A - Henüz Ödenmemeli",IF(LEFT(P951,4)="RİSK","İNCELEME GEREKLİ - Süre Aşımı",IF(R951=0,"Doğru",IF(R951&gt;0,"EKSİK ÖDENMİŞ","FAZLA ÖDENMİŞ")))))</f>
        <v/>
      </c>
      <c r="T951" s="30">
        <f>IF(A951="","",IF(F951&lt;&gt;"Evet","İNCELEME GEREKLİ - Kampanya Tanımsız",IF(G951&lt;&gt;"Evet","İNCELEME GEREKLİ - Tarih Dışı Satış",IF(LEFT(P951,4)="RİSK","İNCELEME GEREKLİ - Hakediş Süresi Aşıldı",IF(OR(S951="EKSİK ÖDENMİŞ",S951="FAZLA ÖDENMİŞ"),"İNCELEME GEREKLİ - Tutar Uyuşmazlığı",IF(LEFT(P951,7)="Bekleni","Bekleniyor","Uygun"))))))</f>
        <v/>
      </c>
    </row>
    <row r="952">
      <c r="A952" s="26">
        <f>IF('DIVA Satislari'!I952="","",'DIVA Satislari'!I952)</f>
        <v/>
      </c>
      <c r="B952" s="26">
        <f>IF('DIVA Satislari'!I952="","",'DIVA Satislari'!R952)</f>
        <v/>
      </c>
      <c r="C952" s="26">
        <f>IF('DIVA Satislari'!I952="","",'DIVA Satislari'!M952)</f>
        <v/>
      </c>
      <c r="D952" s="27">
        <f>IF('DIVA Satislari'!I952="","",'DIVA Satislari'!H952)</f>
        <v/>
      </c>
      <c r="E952" s="26">
        <f>IF('DIVA Satislari'!I952="","",'DIVA Satislari'!O952)</f>
        <v/>
      </c>
      <c r="F952" s="26">
        <f>IF('DIVA Satislari'!I952="","",'DIVA Satislari'!AK952)</f>
        <v/>
      </c>
      <c r="G952" s="26">
        <f>IF('DIVA Satislari'!I952="","",'DIVA Satislari'!AO952)</f>
        <v/>
      </c>
      <c r="H952" s="27">
        <f>IF('DIVA Satislari'!I952="","",'DIVA Satislari'!AN952)</f>
        <v/>
      </c>
      <c r="I952" s="28">
        <f>IF('DIVA Satislari'!I952="","",'DIVA Satislari'!AQ952)</f>
        <v/>
      </c>
      <c r="J952" s="26">
        <f>IF('DIVA Satislari'!I952="","",'DIVA Satislari'!AR952)</f>
        <v/>
      </c>
      <c r="K952" s="26">
        <f>IF('DIVA Satislari'!I952="","",IFERROR(INDEX('E2E Nakliye Montaj'!$AS$3:$AS$1002,MATCH('DIVA Satislari'!AJ952,'E2E Nakliye Montaj'!$AM$3:$AM$1002,0)),"Eşleşme Yok"))</f>
        <v/>
      </c>
      <c r="L952" s="26">
        <f>IF('DIVA Satislari'!I952="","",IFERROR(INDEX('E2E Nakliye Montaj'!$AT$3:$AT$1002,MATCH('DIVA Satislari'!AJ952,'E2E Nakliye Montaj'!$AM$3:$AM$1002,0)),"Hayır"))</f>
        <v/>
      </c>
      <c r="M952" s="26">
        <f>IF('DIVA Satislari'!I952="","",IFERROR(INDEX('E2E Nakliye Montaj'!$AU$3:$AU$1002,MATCH('DIVA Satislari'!AJ952,'E2E Nakliye Montaj'!$AM$3:$AM$1002,0)),"Hayır"))</f>
        <v/>
      </c>
      <c r="N952" s="27">
        <f>IF('DIVA Satislari'!I952="","",IFERROR(INDEX('E2E Nakliye Montaj'!$AV$3:$AV$1002,MATCH('DIVA Satislari'!AJ952,'E2E Nakliye Montaj'!$AM$3:$AM$1002,0)),""))</f>
        <v/>
      </c>
      <c r="O952" s="26">
        <f>IF(OR(A952="",N952=""),"",IF(N952&lt;=H952,"Evet","HAYIR - RİSK"))</f>
        <v/>
      </c>
      <c r="P952" s="26">
        <f>IF(A952="","",IF(LEFT(J952,8)="Kural A ","Uygun - Hemen Ödenir (Yıl Sonu %75 Kontrolüne Tabi)",IF(OR(L952="Evet",M952="Evet"),IF(O952="Evet","Uygun","RİSK - Hakediş Süresi Aşıldı"),"Bekleniyor - Nakliye/Montaj Tamamlanmadı")))</f>
        <v/>
      </c>
      <c r="Q952" s="28">
        <f>IF(A952="","",SUMIFS('Hakedis Fatura Detay'!$G$3:$G$1200,'Hakedis Fatura Detay'!$H$3:$H$1200,'DIVA Satislari'!AJ952,'Hakedis Fatura Detay'!$F$3:$F$1200,"Fiyat Farkı")+SUMIFS('Hakedis Fatura Detay'!$G$3:$G$1200,'Hakedis Fatura Detay'!$H$3:$H$1200,'DIVA Satislari'!AJ952,'Hakedis Fatura Detay'!$F$3:$F$1200,"Bundle"))</f>
        <v/>
      </c>
      <c r="R952" s="28">
        <f>IF(A952="","",I952-Q952)</f>
        <v/>
      </c>
      <c r="S952" s="26">
        <f>IF(A952="","",IF(LEFT(P952,7)="Bekleni","N/A - Henüz Ödenmemeli",IF(LEFT(P952,4)="RİSK","İNCELEME GEREKLİ - Süre Aşımı",IF(R952=0,"Doğru",IF(R952&gt;0,"EKSİK ÖDENMİŞ","FAZLA ÖDENMİŞ")))))</f>
        <v/>
      </c>
      <c r="T952" s="30">
        <f>IF(A952="","",IF(F952&lt;&gt;"Evet","İNCELEME GEREKLİ - Kampanya Tanımsız",IF(G952&lt;&gt;"Evet","İNCELEME GEREKLİ - Tarih Dışı Satış",IF(LEFT(P952,4)="RİSK","İNCELEME GEREKLİ - Hakediş Süresi Aşıldı",IF(OR(S952="EKSİK ÖDENMİŞ",S952="FAZLA ÖDENMİŞ"),"İNCELEME GEREKLİ - Tutar Uyuşmazlığı",IF(LEFT(P952,7)="Bekleni","Bekleniyor","Uygun"))))))</f>
        <v/>
      </c>
    </row>
    <row r="953">
      <c r="A953" s="26">
        <f>IF('DIVA Satislari'!I953="","",'DIVA Satislari'!I953)</f>
        <v/>
      </c>
      <c r="B953" s="26">
        <f>IF('DIVA Satislari'!I953="","",'DIVA Satislari'!R953)</f>
        <v/>
      </c>
      <c r="C953" s="26">
        <f>IF('DIVA Satislari'!I953="","",'DIVA Satislari'!M953)</f>
        <v/>
      </c>
      <c r="D953" s="27">
        <f>IF('DIVA Satislari'!I953="","",'DIVA Satislari'!H953)</f>
        <v/>
      </c>
      <c r="E953" s="26">
        <f>IF('DIVA Satislari'!I953="","",'DIVA Satislari'!O953)</f>
        <v/>
      </c>
      <c r="F953" s="26">
        <f>IF('DIVA Satislari'!I953="","",'DIVA Satislari'!AK953)</f>
        <v/>
      </c>
      <c r="G953" s="26">
        <f>IF('DIVA Satislari'!I953="","",'DIVA Satislari'!AO953)</f>
        <v/>
      </c>
      <c r="H953" s="27">
        <f>IF('DIVA Satislari'!I953="","",'DIVA Satislari'!AN953)</f>
        <v/>
      </c>
      <c r="I953" s="28">
        <f>IF('DIVA Satislari'!I953="","",'DIVA Satislari'!AQ953)</f>
        <v/>
      </c>
      <c r="J953" s="26">
        <f>IF('DIVA Satislari'!I953="","",'DIVA Satislari'!AR953)</f>
        <v/>
      </c>
      <c r="K953" s="26">
        <f>IF('DIVA Satislari'!I953="","",IFERROR(INDEX('E2E Nakliye Montaj'!$AS$3:$AS$1002,MATCH('DIVA Satislari'!AJ953,'E2E Nakliye Montaj'!$AM$3:$AM$1002,0)),"Eşleşme Yok"))</f>
        <v/>
      </c>
      <c r="L953" s="26">
        <f>IF('DIVA Satislari'!I953="","",IFERROR(INDEX('E2E Nakliye Montaj'!$AT$3:$AT$1002,MATCH('DIVA Satislari'!AJ953,'E2E Nakliye Montaj'!$AM$3:$AM$1002,0)),"Hayır"))</f>
        <v/>
      </c>
      <c r="M953" s="26">
        <f>IF('DIVA Satislari'!I953="","",IFERROR(INDEX('E2E Nakliye Montaj'!$AU$3:$AU$1002,MATCH('DIVA Satislari'!AJ953,'E2E Nakliye Montaj'!$AM$3:$AM$1002,0)),"Hayır"))</f>
        <v/>
      </c>
      <c r="N953" s="27">
        <f>IF('DIVA Satislari'!I953="","",IFERROR(INDEX('E2E Nakliye Montaj'!$AV$3:$AV$1002,MATCH('DIVA Satislari'!AJ953,'E2E Nakliye Montaj'!$AM$3:$AM$1002,0)),""))</f>
        <v/>
      </c>
      <c r="O953" s="26">
        <f>IF(OR(A953="",N953=""),"",IF(N953&lt;=H953,"Evet","HAYIR - RİSK"))</f>
        <v/>
      </c>
      <c r="P953" s="26">
        <f>IF(A953="","",IF(LEFT(J953,8)="Kural A ","Uygun - Hemen Ödenir (Yıl Sonu %75 Kontrolüne Tabi)",IF(OR(L953="Evet",M953="Evet"),IF(O953="Evet","Uygun","RİSK - Hakediş Süresi Aşıldı"),"Bekleniyor - Nakliye/Montaj Tamamlanmadı")))</f>
        <v/>
      </c>
      <c r="Q953" s="28">
        <f>IF(A953="","",SUMIFS('Hakedis Fatura Detay'!$G$3:$G$1200,'Hakedis Fatura Detay'!$H$3:$H$1200,'DIVA Satislari'!AJ953,'Hakedis Fatura Detay'!$F$3:$F$1200,"Fiyat Farkı")+SUMIFS('Hakedis Fatura Detay'!$G$3:$G$1200,'Hakedis Fatura Detay'!$H$3:$H$1200,'DIVA Satislari'!AJ953,'Hakedis Fatura Detay'!$F$3:$F$1200,"Bundle"))</f>
        <v/>
      </c>
      <c r="R953" s="28">
        <f>IF(A953="","",I953-Q953)</f>
        <v/>
      </c>
      <c r="S953" s="26">
        <f>IF(A953="","",IF(LEFT(P953,7)="Bekleni","N/A - Henüz Ödenmemeli",IF(LEFT(P953,4)="RİSK","İNCELEME GEREKLİ - Süre Aşımı",IF(R953=0,"Doğru",IF(R953&gt;0,"EKSİK ÖDENMİŞ","FAZLA ÖDENMİŞ")))))</f>
        <v/>
      </c>
      <c r="T953" s="30">
        <f>IF(A953="","",IF(F953&lt;&gt;"Evet","İNCELEME GEREKLİ - Kampanya Tanımsız",IF(G953&lt;&gt;"Evet","İNCELEME GEREKLİ - Tarih Dışı Satış",IF(LEFT(P953,4)="RİSK","İNCELEME GEREKLİ - Hakediş Süresi Aşıldı",IF(OR(S953="EKSİK ÖDENMİŞ",S953="FAZLA ÖDENMİŞ"),"İNCELEME GEREKLİ - Tutar Uyuşmazlığı",IF(LEFT(P953,7)="Bekleni","Bekleniyor","Uygun"))))))</f>
        <v/>
      </c>
    </row>
    <row r="954">
      <c r="A954" s="26">
        <f>IF('DIVA Satislari'!I954="","",'DIVA Satislari'!I954)</f>
        <v/>
      </c>
      <c r="B954" s="26">
        <f>IF('DIVA Satislari'!I954="","",'DIVA Satislari'!R954)</f>
        <v/>
      </c>
      <c r="C954" s="26">
        <f>IF('DIVA Satislari'!I954="","",'DIVA Satislari'!M954)</f>
        <v/>
      </c>
      <c r="D954" s="27">
        <f>IF('DIVA Satislari'!I954="","",'DIVA Satislari'!H954)</f>
        <v/>
      </c>
      <c r="E954" s="26">
        <f>IF('DIVA Satislari'!I954="","",'DIVA Satislari'!O954)</f>
        <v/>
      </c>
      <c r="F954" s="26">
        <f>IF('DIVA Satislari'!I954="","",'DIVA Satislari'!AK954)</f>
        <v/>
      </c>
      <c r="G954" s="26">
        <f>IF('DIVA Satislari'!I954="","",'DIVA Satislari'!AO954)</f>
        <v/>
      </c>
      <c r="H954" s="27">
        <f>IF('DIVA Satislari'!I954="","",'DIVA Satislari'!AN954)</f>
        <v/>
      </c>
      <c r="I954" s="28">
        <f>IF('DIVA Satislari'!I954="","",'DIVA Satislari'!AQ954)</f>
        <v/>
      </c>
      <c r="J954" s="26">
        <f>IF('DIVA Satislari'!I954="","",'DIVA Satislari'!AR954)</f>
        <v/>
      </c>
      <c r="K954" s="26">
        <f>IF('DIVA Satislari'!I954="","",IFERROR(INDEX('E2E Nakliye Montaj'!$AS$3:$AS$1002,MATCH('DIVA Satislari'!AJ954,'E2E Nakliye Montaj'!$AM$3:$AM$1002,0)),"Eşleşme Yok"))</f>
        <v/>
      </c>
      <c r="L954" s="26">
        <f>IF('DIVA Satislari'!I954="","",IFERROR(INDEX('E2E Nakliye Montaj'!$AT$3:$AT$1002,MATCH('DIVA Satislari'!AJ954,'E2E Nakliye Montaj'!$AM$3:$AM$1002,0)),"Hayır"))</f>
        <v/>
      </c>
      <c r="M954" s="26">
        <f>IF('DIVA Satislari'!I954="","",IFERROR(INDEX('E2E Nakliye Montaj'!$AU$3:$AU$1002,MATCH('DIVA Satislari'!AJ954,'E2E Nakliye Montaj'!$AM$3:$AM$1002,0)),"Hayır"))</f>
        <v/>
      </c>
      <c r="N954" s="27">
        <f>IF('DIVA Satislari'!I954="","",IFERROR(INDEX('E2E Nakliye Montaj'!$AV$3:$AV$1002,MATCH('DIVA Satislari'!AJ954,'E2E Nakliye Montaj'!$AM$3:$AM$1002,0)),""))</f>
        <v/>
      </c>
      <c r="O954" s="26">
        <f>IF(OR(A954="",N954=""),"",IF(N954&lt;=H954,"Evet","HAYIR - RİSK"))</f>
        <v/>
      </c>
      <c r="P954" s="26">
        <f>IF(A954="","",IF(LEFT(J954,8)="Kural A ","Uygun - Hemen Ödenir (Yıl Sonu %75 Kontrolüne Tabi)",IF(OR(L954="Evet",M954="Evet"),IF(O954="Evet","Uygun","RİSK - Hakediş Süresi Aşıldı"),"Bekleniyor - Nakliye/Montaj Tamamlanmadı")))</f>
        <v/>
      </c>
      <c r="Q954" s="28">
        <f>IF(A954="","",SUMIFS('Hakedis Fatura Detay'!$G$3:$G$1200,'Hakedis Fatura Detay'!$H$3:$H$1200,'DIVA Satislari'!AJ954,'Hakedis Fatura Detay'!$F$3:$F$1200,"Fiyat Farkı")+SUMIFS('Hakedis Fatura Detay'!$G$3:$G$1200,'Hakedis Fatura Detay'!$H$3:$H$1200,'DIVA Satislari'!AJ954,'Hakedis Fatura Detay'!$F$3:$F$1200,"Bundle"))</f>
        <v/>
      </c>
      <c r="R954" s="28">
        <f>IF(A954="","",I954-Q954)</f>
        <v/>
      </c>
      <c r="S954" s="26">
        <f>IF(A954="","",IF(LEFT(P954,7)="Bekleni","N/A - Henüz Ödenmemeli",IF(LEFT(P954,4)="RİSK","İNCELEME GEREKLİ - Süre Aşımı",IF(R954=0,"Doğru",IF(R954&gt;0,"EKSİK ÖDENMİŞ","FAZLA ÖDENMİŞ")))))</f>
        <v/>
      </c>
      <c r="T954" s="30">
        <f>IF(A954="","",IF(F954&lt;&gt;"Evet","İNCELEME GEREKLİ - Kampanya Tanımsız",IF(G954&lt;&gt;"Evet","İNCELEME GEREKLİ - Tarih Dışı Satış",IF(LEFT(P954,4)="RİSK","İNCELEME GEREKLİ - Hakediş Süresi Aşıldı",IF(OR(S954="EKSİK ÖDENMİŞ",S954="FAZLA ÖDENMİŞ"),"İNCELEME GEREKLİ - Tutar Uyuşmazlığı",IF(LEFT(P954,7)="Bekleni","Bekleniyor","Uygun"))))))</f>
        <v/>
      </c>
    </row>
    <row r="955">
      <c r="A955" s="26">
        <f>IF('DIVA Satislari'!I955="","",'DIVA Satislari'!I955)</f>
        <v/>
      </c>
      <c r="B955" s="26">
        <f>IF('DIVA Satislari'!I955="","",'DIVA Satislari'!R955)</f>
        <v/>
      </c>
      <c r="C955" s="26">
        <f>IF('DIVA Satislari'!I955="","",'DIVA Satislari'!M955)</f>
        <v/>
      </c>
      <c r="D955" s="27">
        <f>IF('DIVA Satislari'!I955="","",'DIVA Satislari'!H955)</f>
        <v/>
      </c>
      <c r="E955" s="26">
        <f>IF('DIVA Satislari'!I955="","",'DIVA Satislari'!O955)</f>
        <v/>
      </c>
      <c r="F955" s="26">
        <f>IF('DIVA Satislari'!I955="","",'DIVA Satislari'!AK955)</f>
        <v/>
      </c>
      <c r="G955" s="26">
        <f>IF('DIVA Satislari'!I955="","",'DIVA Satislari'!AO955)</f>
        <v/>
      </c>
      <c r="H955" s="27">
        <f>IF('DIVA Satislari'!I955="","",'DIVA Satislari'!AN955)</f>
        <v/>
      </c>
      <c r="I955" s="28">
        <f>IF('DIVA Satislari'!I955="","",'DIVA Satislari'!AQ955)</f>
        <v/>
      </c>
      <c r="J955" s="26">
        <f>IF('DIVA Satislari'!I955="","",'DIVA Satislari'!AR955)</f>
        <v/>
      </c>
      <c r="K955" s="26">
        <f>IF('DIVA Satislari'!I955="","",IFERROR(INDEX('E2E Nakliye Montaj'!$AS$3:$AS$1002,MATCH('DIVA Satislari'!AJ955,'E2E Nakliye Montaj'!$AM$3:$AM$1002,0)),"Eşleşme Yok"))</f>
        <v/>
      </c>
      <c r="L955" s="26">
        <f>IF('DIVA Satislari'!I955="","",IFERROR(INDEX('E2E Nakliye Montaj'!$AT$3:$AT$1002,MATCH('DIVA Satislari'!AJ955,'E2E Nakliye Montaj'!$AM$3:$AM$1002,0)),"Hayır"))</f>
        <v/>
      </c>
      <c r="M955" s="26">
        <f>IF('DIVA Satislari'!I955="","",IFERROR(INDEX('E2E Nakliye Montaj'!$AU$3:$AU$1002,MATCH('DIVA Satislari'!AJ955,'E2E Nakliye Montaj'!$AM$3:$AM$1002,0)),"Hayır"))</f>
        <v/>
      </c>
      <c r="N955" s="27">
        <f>IF('DIVA Satislari'!I955="","",IFERROR(INDEX('E2E Nakliye Montaj'!$AV$3:$AV$1002,MATCH('DIVA Satislari'!AJ955,'E2E Nakliye Montaj'!$AM$3:$AM$1002,0)),""))</f>
        <v/>
      </c>
      <c r="O955" s="26">
        <f>IF(OR(A955="",N955=""),"",IF(N955&lt;=H955,"Evet","HAYIR - RİSK"))</f>
        <v/>
      </c>
      <c r="P955" s="26">
        <f>IF(A955="","",IF(LEFT(J955,8)="Kural A ","Uygun - Hemen Ödenir (Yıl Sonu %75 Kontrolüne Tabi)",IF(OR(L955="Evet",M955="Evet"),IF(O955="Evet","Uygun","RİSK - Hakediş Süresi Aşıldı"),"Bekleniyor - Nakliye/Montaj Tamamlanmadı")))</f>
        <v/>
      </c>
      <c r="Q955" s="28">
        <f>IF(A955="","",SUMIFS('Hakedis Fatura Detay'!$G$3:$G$1200,'Hakedis Fatura Detay'!$H$3:$H$1200,'DIVA Satislari'!AJ955,'Hakedis Fatura Detay'!$F$3:$F$1200,"Fiyat Farkı")+SUMIFS('Hakedis Fatura Detay'!$G$3:$G$1200,'Hakedis Fatura Detay'!$H$3:$H$1200,'DIVA Satislari'!AJ955,'Hakedis Fatura Detay'!$F$3:$F$1200,"Bundle"))</f>
        <v/>
      </c>
      <c r="R955" s="28">
        <f>IF(A955="","",I955-Q955)</f>
        <v/>
      </c>
      <c r="S955" s="26">
        <f>IF(A955="","",IF(LEFT(P955,7)="Bekleni","N/A - Henüz Ödenmemeli",IF(LEFT(P955,4)="RİSK","İNCELEME GEREKLİ - Süre Aşımı",IF(R955=0,"Doğru",IF(R955&gt;0,"EKSİK ÖDENMİŞ","FAZLA ÖDENMİŞ")))))</f>
        <v/>
      </c>
      <c r="T955" s="30">
        <f>IF(A955="","",IF(F955&lt;&gt;"Evet","İNCELEME GEREKLİ - Kampanya Tanımsız",IF(G955&lt;&gt;"Evet","İNCELEME GEREKLİ - Tarih Dışı Satış",IF(LEFT(P955,4)="RİSK","İNCELEME GEREKLİ - Hakediş Süresi Aşıldı",IF(OR(S955="EKSİK ÖDENMİŞ",S955="FAZLA ÖDENMİŞ"),"İNCELEME GEREKLİ - Tutar Uyuşmazlığı",IF(LEFT(P955,7)="Bekleni","Bekleniyor","Uygun"))))))</f>
        <v/>
      </c>
    </row>
    <row r="956">
      <c r="A956" s="26">
        <f>IF('DIVA Satislari'!I956="","",'DIVA Satislari'!I956)</f>
        <v/>
      </c>
      <c r="B956" s="26">
        <f>IF('DIVA Satislari'!I956="","",'DIVA Satislari'!R956)</f>
        <v/>
      </c>
      <c r="C956" s="26">
        <f>IF('DIVA Satislari'!I956="","",'DIVA Satislari'!M956)</f>
        <v/>
      </c>
      <c r="D956" s="27">
        <f>IF('DIVA Satislari'!I956="","",'DIVA Satislari'!H956)</f>
        <v/>
      </c>
      <c r="E956" s="26">
        <f>IF('DIVA Satislari'!I956="","",'DIVA Satislari'!O956)</f>
        <v/>
      </c>
      <c r="F956" s="26">
        <f>IF('DIVA Satislari'!I956="","",'DIVA Satislari'!AK956)</f>
        <v/>
      </c>
      <c r="G956" s="26">
        <f>IF('DIVA Satislari'!I956="","",'DIVA Satislari'!AO956)</f>
        <v/>
      </c>
      <c r="H956" s="27">
        <f>IF('DIVA Satislari'!I956="","",'DIVA Satislari'!AN956)</f>
        <v/>
      </c>
      <c r="I956" s="28">
        <f>IF('DIVA Satislari'!I956="","",'DIVA Satislari'!AQ956)</f>
        <v/>
      </c>
      <c r="J956" s="26">
        <f>IF('DIVA Satislari'!I956="","",'DIVA Satislari'!AR956)</f>
        <v/>
      </c>
      <c r="K956" s="26">
        <f>IF('DIVA Satislari'!I956="","",IFERROR(INDEX('E2E Nakliye Montaj'!$AS$3:$AS$1002,MATCH('DIVA Satislari'!AJ956,'E2E Nakliye Montaj'!$AM$3:$AM$1002,0)),"Eşleşme Yok"))</f>
        <v/>
      </c>
      <c r="L956" s="26">
        <f>IF('DIVA Satislari'!I956="","",IFERROR(INDEX('E2E Nakliye Montaj'!$AT$3:$AT$1002,MATCH('DIVA Satislari'!AJ956,'E2E Nakliye Montaj'!$AM$3:$AM$1002,0)),"Hayır"))</f>
        <v/>
      </c>
      <c r="M956" s="26">
        <f>IF('DIVA Satislari'!I956="","",IFERROR(INDEX('E2E Nakliye Montaj'!$AU$3:$AU$1002,MATCH('DIVA Satislari'!AJ956,'E2E Nakliye Montaj'!$AM$3:$AM$1002,0)),"Hayır"))</f>
        <v/>
      </c>
      <c r="N956" s="27">
        <f>IF('DIVA Satislari'!I956="","",IFERROR(INDEX('E2E Nakliye Montaj'!$AV$3:$AV$1002,MATCH('DIVA Satislari'!AJ956,'E2E Nakliye Montaj'!$AM$3:$AM$1002,0)),""))</f>
        <v/>
      </c>
      <c r="O956" s="26">
        <f>IF(OR(A956="",N956=""),"",IF(N956&lt;=H956,"Evet","HAYIR - RİSK"))</f>
        <v/>
      </c>
      <c r="P956" s="26">
        <f>IF(A956="","",IF(LEFT(J956,8)="Kural A ","Uygun - Hemen Ödenir (Yıl Sonu %75 Kontrolüne Tabi)",IF(OR(L956="Evet",M956="Evet"),IF(O956="Evet","Uygun","RİSK - Hakediş Süresi Aşıldı"),"Bekleniyor - Nakliye/Montaj Tamamlanmadı")))</f>
        <v/>
      </c>
      <c r="Q956" s="28">
        <f>IF(A956="","",SUMIFS('Hakedis Fatura Detay'!$G$3:$G$1200,'Hakedis Fatura Detay'!$H$3:$H$1200,'DIVA Satislari'!AJ956,'Hakedis Fatura Detay'!$F$3:$F$1200,"Fiyat Farkı")+SUMIFS('Hakedis Fatura Detay'!$G$3:$G$1200,'Hakedis Fatura Detay'!$H$3:$H$1200,'DIVA Satislari'!AJ956,'Hakedis Fatura Detay'!$F$3:$F$1200,"Bundle"))</f>
        <v/>
      </c>
      <c r="R956" s="28">
        <f>IF(A956="","",I956-Q956)</f>
        <v/>
      </c>
      <c r="S956" s="26">
        <f>IF(A956="","",IF(LEFT(P956,7)="Bekleni","N/A - Henüz Ödenmemeli",IF(LEFT(P956,4)="RİSK","İNCELEME GEREKLİ - Süre Aşımı",IF(R956=0,"Doğru",IF(R956&gt;0,"EKSİK ÖDENMİŞ","FAZLA ÖDENMİŞ")))))</f>
        <v/>
      </c>
      <c r="T956" s="30">
        <f>IF(A956="","",IF(F956&lt;&gt;"Evet","İNCELEME GEREKLİ - Kampanya Tanımsız",IF(G956&lt;&gt;"Evet","İNCELEME GEREKLİ - Tarih Dışı Satış",IF(LEFT(P956,4)="RİSK","İNCELEME GEREKLİ - Hakediş Süresi Aşıldı",IF(OR(S956="EKSİK ÖDENMİŞ",S956="FAZLA ÖDENMİŞ"),"İNCELEME GEREKLİ - Tutar Uyuşmazlığı",IF(LEFT(P956,7)="Bekleni","Bekleniyor","Uygun"))))))</f>
        <v/>
      </c>
    </row>
    <row r="957">
      <c r="A957" s="26">
        <f>IF('DIVA Satislari'!I957="","",'DIVA Satislari'!I957)</f>
        <v/>
      </c>
      <c r="B957" s="26">
        <f>IF('DIVA Satislari'!I957="","",'DIVA Satislari'!R957)</f>
        <v/>
      </c>
      <c r="C957" s="26">
        <f>IF('DIVA Satislari'!I957="","",'DIVA Satislari'!M957)</f>
        <v/>
      </c>
      <c r="D957" s="27">
        <f>IF('DIVA Satislari'!I957="","",'DIVA Satislari'!H957)</f>
        <v/>
      </c>
      <c r="E957" s="26">
        <f>IF('DIVA Satislari'!I957="","",'DIVA Satislari'!O957)</f>
        <v/>
      </c>
      <c r="F957" s="26">
        <f>IF('DIVA Satislari'!I957="","",'DIVA Satislari'!AK957)</f>
        <v/>
      </c>
      <c r="G957" s="26">
        <f>IF('DIVA Satislari'!I957="","",'DIVA Satislari'!AO957)</f>
        <v/>
      </c>
      <c r="H957" s="27">
        <f>IF('DIVA Satislari'!I957="","",'DIVA Satislari'!AN957)</f>
        <v/>
      </c>
      <c r="I957" s="28">
        <f>IF('DIVA Satislari'!I957="","",'DIVA Satislari'!AQ957)</f>
        <v/>
      </c>
      <c r="J957" s="26">
        <f>IF('DIVA Satislari'!I957="","",'DIVA Satislari'!AR957)</f>
        <v/>
      </c>
      <c r="K957" s="26">
        <f>IF('DIVA Satislari'!I957="","",IFERROR(INDEX('E2E Nakliye Montaj'!$AS$3:$AS$1002,MATCH('DIVA Satislari'!AJ957,'E2E Nakliye Montaj'!$AM$3:$AM$1002,0)),"Eşleşme Yok"))</f>
        <v/>
      </c>
      <c r="L957" s="26">
        <f>IF('DIVA Satislari'!I957="","",IFERROR(INDEX('E2E Nakliye Montaj'!$AT$3:$AT$1002,MATCH('DIVA Satislari'!AJ957,'E2E Nakliye Montaj'!$AM$3:$AM$1002,0)),"Hayır"))</f>
        <v/>
      </c>
      <c r="M957" s="26">
        <f>IF('DIVA Satislari'!I957="","",IFERROR(INDEX('E2E Nakliye Montaj'!$AU$3:$AU$1002,MATCH('DIVA Satislari'!AJ957,'E2E Nakliye Montaj'!$AM$3:$AM$1002,0)),"Hayır"))</f>
        <v/>
      </c>
      <c r="N957" s="27">
        <f>IF('DIVA Satislari'!I957="","",IFERROR(INDEX('E2E Nakliye Montaj'!$AV$3:$AV$1002,MATCH('DIVA Satislari'!AJ957,'E2E Nakliye Montaj'!$AM$3:$AM$1002,0)),""))</f>
        <v/>
      </c>
      <c r="O957" s="26">
        <f>IF(OR(A957="",N957=""),"",IF(N957&lt;=H957,"Evet","HAYIR - RİSK"))</f>
        <v/>
      </c>
      <c r="P957" s="26">
        <f>IF(A957="","",IF(LEFT(J957,8)="Kural A ","Uygun - Hemen Ödenir (Yıl Sonu %75 Kontrolüne Tabi)",IF(OR(L957="Evet",M957="Evet"),IF(O957="Evet","Uygun","RİSK - Hakediş Süresi Aşıldı"),"Bekleniyor - Nakliye/Montaj Tamamlanmadı")))</f>
        <v/>
      </c>
      <c r="Q957" s="28">
        <f>IF(A957="","",SUMIFS('Hakedis Fatura Detay'!$G$3:$G$1200,'Hakedis Fatura Detay'!$H$3:$H$1200,'DIVA Satislari'!AJ957,'Hakedis Fatura Detay'!$F$3:$F$1200,"Fiyat Farkı")+SUMIFS('Hakedis Fatura Detay'!$G$3:$G$1200,'Hakedis Fatura Detay'!$H$3:$H$1200,'DIVA Satislari'!AJ957,'Hakedis Fatura Detay'!$F$3:$F$1200,"Bundle"))</f>
        <v/>
      </c>
      <c r="R957" s="28">
        <f>IF(A957="","",I957-Q957)</f>
        <v/>
      </c>
      <c r="S957" s="26">
        <f>IF(A957="","",IF(LEFT(P957,7)="Bekleni","N/A - Henüz Ödenmemeli",IF(LEFT(P957,4)="RİSK","İNCELEME GEREKLİ - Süre Aşımı",IF(R957=0,"Doğru",IF(R957&gt;0,"EKSİK ÖDENMİŞ","FAZLA ÖDENMİŞ")))))</f>
        <v/>
      </c>
      <c r="T957" s="30">
        <f>IF(A957="","",IF(F957&lt;&gt;"Evet","İNCELEME GEREKLİ - Kampanya Tanımsız",IF(G957&lt;&gt;"Evet","İNCELEME GEREKLİ - Tarih Dışı Satış",IF(LEFT(P957,4)="RİSK","İNCELEME GEREKLİ - Hakediş Süresi Aşıldı",IF(OR(S957="EKSİK ÖDENMİŞ",S957="FAZLA ÖDENMİŞ"),"İNCELEME GEREKLİ - Tutar Uyuşmazlığı",IF(LEFT(P957,7)="Bekleni","Bekleniyor","Uygun"))))))</f>
        <v/>
      </c>
    </row>
    <row r="958">
      <c r="A958" s="26">
        <f>IF('DIVA Satislari'!I958="","",'DIVA Satislari'!I958)</f>
        <v/>
      </c>
      <c r="B958" s="26">
        <f>IF('DIVA Satislari'!I958="","",'DIVA Satislari'!R958)</f>
        <v/>
      </c>
      <c r="C958" s="26">
        <f>IF('DIVA Satislari'!I958="","",'DIVA Satislari'!M958)</f>
        <v/>
      </c>
      <c r="D958" s="27">
        <f>IF('DIVA Satislari'!I958="","",'DIVA Satislari'!H958)</f>
        <v/>
      </c>
      <c r="E958" s="26">
        <f>IF('DIVA Satislari'!I958="","",'DIVA Satislari'!O958)</f>
        <v/>
      </c>
      <c r="F958" s="26">
        <f>IF('DIVA Satislari'!I958="","",'DIVA Satislari'!AK958)</f>
        <v/>
      </c>
      <c r="G958" s="26">
        <f>IF('DIVA Satislari'!I958="","",'DIVA Satislari'!AO958)</f>
        <v/>
      </c>
      <c r="H958" s="27">
        <f>IF('DIVA Satislari'!I958="","",'DIVA Satislari'!AN958)</f>
        <v/>
      </c>
      <c r="I958" s="28">
        <f>IF('DIVA Satislari'!I958="","",'DIVA Satislari'!AQ958)</f>
        <v/>
      </c>
      <c r="J958" s="26">
        <f>IF('DIVA Satislari'!I958="","",'DIVA Satislari'!AR958)</f>
        <v/>
      </c>
      <c r="K958" s="26">
        <f>IF('DIVA Satislari'!I958="","",IFERROR(INDEX('E2E Nakliye Montaj'!$AS$3:$AS$1002,MATCH('DIVA Satislari'!AJ958,'E2E Nakliye Montaj'!$AM$3:$AM$1002,0)),"Eşleşme Yok"))</f>
        <v/>
      </c>
      <c r="L958" s="26">
        <f>IF('DIVA Satislari'!I958="","",IFERROR(INDEX('E2E Nakliye Montaj'!$AT$3:$AT$1002,MATCH('DIVA Satislari'!AJ958,'E2E Nakliye Montaj'!$AM$3:$AM$1002,0)),"Hayır"))</f>
        <v/>
      </c>
      <c r="M958" s="26">
        <f>IF('DIVA Satislari'!I958="","",IFERROR(INDEX('E2E Nakliye Montaj'!$AU$3:$AU$1002,MATCH('DIVA Satislari'!AJ958,'E2E Nakliye Montaj'!$AM$3:$AM$1002,0)),"Hayır"))</f>
        <v/>
      </c>
      <c r="N958" s="27">
        <f>IF('DIVA Satislari'!I958="","",IFERROR(INDEX('E2E Nakliye Montaj'!$AV$3:$AV$1002,MATCH('DIVA Satislari'!AJ958,'E2E Nakliye Montaj'!$AM$3:$AM$1002,0)),""))</f>
        <v/>
      </c>
      <c r="O958" s="26">
        <f>IF(OR(A958="",N958=""),"",IF(N958&lt;=H958,"Evet","HAYIR - RİSK"))</f>
        <v/>
      </c>
      <c r="P958" s="26">
        <f>IF(A958="","",IF(LEFT(J958,8)="Kural A ","Uygun - Hemen Ödenir (Yıl Sonu %75 Kontrolüne Tabi)",IF(OR(L958="Evet",M958="Evet"),IF(O958="Evet","Uygun","RİSK - Hakediş Süresi Aşıldı"),"Bekleniyor - Nakliye/Montaj Tamamlanmadı")))</f>
        <v/>
      </c>
      <c r="Q958" s="28">
        <f>IF(A958="","",SUMIFS('Hakedis Fatura Detay'!$G$3:$G$1200,'Hakedis Fatura Detay'!$H$3:$H$1200,'DIVA Satislari'!AJ958,'Hakedis Fatura Detay'!$F$3:$F$1200,"Fiyat Farkı")+SUMIFS('Hakedis Fatura Detay'!$G$3:$G$1200,'Hakedis Fatura Detay'!$H$3:$H$1200,'DIVA Satislari'!AJ958,'Hakedis Fatura Detay'!$F$3:$F$1200,"Bundle"))</f>
        <v/>
      </c>
      <c r="R958" s="28">
        <f>IF(A958="","",I958-Q958)</f>
        <v/>
      </c>
      <c r="S958" s="26">
        <f>IF(A958="","",IF(LEFT(P958,7)="Bekleni","N/A - Henüz Ödenmemeli",IF(LEFT(P958,4)="RİSK","İNCELEME GEREKLİ - Süre Aşımı",IF(R958=0,"Doğru",IF(R958&gt;0,"EKSİK ÖDENMİŞ","FAZLA ÖDENMİŞ")))))</f>
        <v/>
      </c>
      <c r="T958" s="30">
        <f>IF(A958="","",IF(F958&lt;&gt;"Evet","İNCELEME GEREKLİ - Kampanya Tanımsız",IF(G958&lt;&gt;"Evet","İNCELEME GEREKLİ - Tarih Dışı Satış",IF(LEFT(P958,4)="RİSK","İNCELEME GEREKLİ - Hakediş Süresi Aşıldı",IF(OR(S958="EKSİK ÖDENMİŞ",S958="FAZLA ÖDENMİŞ"),"İNCELEME GEREKLİ - Tutar Uyuşmazlığı",IF(LEFT(P958,7)="Bekleni","Bekleniyor","Uygun"))))))</f>
        <v/>
      </c>
    </row>
    <row r="959">
      <c r="A959" s="26">
        <f>IF('DIVA Satislari'!I959="","",'DIVA Satislari'!I959)</f>
        <v/>
      </c>
      <c r="B959" s="26">
        <f>IF('DIVA Satislari'!I959="","",'DIVA Satislari'!R959)</f>
        <v/>
      </c>
      <c r="C959" s="26">
        <f>IF('DIVA Satislari'!I959="","",'DIVA Satislari'!M959)</f>
        <v/>
      </c>
      <c r="D959" s="27">
        <f>IF('DIVA Satislari'!I959="","",'DIVA Satislari'!H959)</f>
        <v/>
      </c>
      <c r="E959" s="26">
        <f>IF('DIVA Satislari'!I959="","",'DIVA Satislari'!O959)</f>
        <v/>
      </c>
      <c r="F959" s="26">
        <f>IF('DIVA Satislari'!I959="","",'DIVA Satislari'!AK959)</f>
        <v/>
      </c>
      <c r="G959" s="26">
        <f>IF('DIVA Satislari'!I959="","",'DIVA Satislari'!AO959)</f>
        <v/>
      </c>
      <c r="H959" s="27">
        <f>IF('DIVA Satislari'!I959="","",'DIVA Satislari'!AN959)</f>
        <v/>
      </c>
      <c r="I959" s="28">
        <f>IF('DIVA Satislari'!I959="","",'DIVA Satislari'!AQ959)</f>
        <v/>
      </c>
      <c r="J959" s="26">
        <f>IF('DIVA Satislari'!I959="","",'DIVA Satislari'!AR959)</f>
        <v/>
      </c>
      <c r="K959" s="26">
        <f>IF('DIVA Satislari'!I959="","",IFERROR(INDEX('E2E Nakliye Montaj'!$AS$3:$AS$1002,MATCH('DIVA Satislari'!AJ959,'E2E Nakliye Montaj'!$AM$3:$AM$1002,0)),"Eşleşme Yok"))</f>
        <v/>
      </c>
      <c r="L959" s="26">
        <f>IF('DIVA Satislari'!I959="","",IFERROR(INDEX('E2E Nakliye Montaj'!$AT$3:$AT$1002,MATCH('DIVA Satislari'!AJ959,'E2E Nakliye Montaj'!$AM$3:$AM$1002,0)),"Hayır"))</f>
        <v/>
      </c>
      <c r="M959" s="26">
        <f>IF('DIVA Satislari'!I959="","",IFERROR(INDEX('E2E Nakliye Montaj'!$AU$3:$AU$1002,MATCH('DIVA Satislari'!AJ959,'E2E Nakliye Montaj'!$AM$3:$AM$1002,0)),"Hayır"))</f>
        <v/>
      </c>
      <c r="N959" s="27">
        <f>IF('DIVA Satislari'!I959="","",IFERROR(INDEX('E2E Nakliye Montaj'!$AV$3:$AV$1002,MATCH('DIVA Satislari'!AJ959,'E2E Nakliye Montaj'!$AM$3:$AM$1002,0)),""))</f>
        <v/>
      </c>
      <c r="O959" s="26">
        <f>IF(OR(A959="",N959=""),"",IF(N959&lt;=H959,"Evet","HAYIR - RİSK"))</f>
        <v/>
      </c>
      <c r="P959" s="26">
        <f>IF(A959="","",IF(LEFT(J959,8)="Kural A ","Uygun - Hemen Ödenir (Yıl Sonu %75 Kontrolüne Tabi)",IF(OR(L959="Evet",M959="Evet"),IF(O959="Evet","Uygun","RİSK - Hakediş Süresi Aşıldı"),"Bekleniyor - Nakliye/Montaj Tamamlanmadı")))</f>
        <v/>
      </c>
      <c r="Q959" s="28">
        <f>IF(A959="","",SUMIFS('Hakedis Fatura Detay'!$G$3:$G$1200,'Hakedis Fatura Detay'!$H$3:$H$1200,'DIVA Satislari'!AJ959,'Hakedis Fatura Detay'!$F$3:$F$1200,"Fiyat Farkı")+SUMIFS('Hakedis Fatura Detay'!$G$3:$G$1200,'Hakedis Fatura Detay'!$H$3:$H$1200,'DIVA Satislari'!AJ959,'Hakedis Fatura Detay'!$F$3:$F$1200,"Bundle"))</f>
        <v/>
      </c>
      <c r="R959" s="28">
        <f>IF(A959="","",I959-Q959)</f>
        <v/>
      </c>
      <c r="S959" s="26">
        <f>IF(A959="","",IF(LEFT(P959,7)="Bekleni","N/A - Henüz Ödenmemeli",IF(LEFT(P959,4)="RİSK","İNCELEME GEREKLİ - Süre Aşımı",IF(R959=0,"Doğru",IF(R959&gt;0,"EKSİK ÖDENMİŞ","FAZLA ÖDENMİŞ")))))</f>
        <v/>
      </c>
      <c r="T959" s="30">
        <f>IF(A959="","",IF(F959&lt;&gt;"Evet","İNCELEME GEREKLİ - Kampanya Tanımsız",IF(G959&lt;&gt;"Evet","İNCELEME GEREKLİ - Tarih Dışı Satış",IF(LEFT(P959,4)="RİSK","İNCELEME GEREKLİ - Hakediş Süresi Aşıldı",IF(OR(S959="EKSİK ÖDENMİŞ",S959="FAZLA ÖDENMİŞ"),"İNCELEME GEREKLİ - Tutar Uyuşmazlığı",IF(LEFT(P959,7)="Bekleni","Bekleniyor","Uygun"))))))</f>
        <v/>
      </c>
    </row>
    <row r="960">
      <c r="A960" s="26">
        <f>IF('DIVA Satislari'!I960="","",'DIVA Satislari'!I960)</f>
        <v/>
      </c>
      <c r="B960" s="26">
        <f>IF('DIVA Satislari'!I960="","",'DIVA Satislari'!R960)</f>
        <v/>
      </c>
      <c r="C960" s="26">
        <f>IF('DIVA Satislari'!I960="","",'DIVA Satislari'!M960)</f>
        <v/>
      </c>
      <c r="D960" s="27">
        <f>IF('DIVA Satislari'!I960="","",'DIVA Satislari'!H960)</f>
        <v/>
      </c>
      <c r="E960" s="26">
        <f>IF('DIVA Satislari'!I960="","",'DIVA Satislari'!O960)</f>
        <v/>
      </c>
      <c r="F960" s="26">
        <f>IF('DIVA Satislari'!I960="","",'DIVA Satislari'!AK960)</f>
        <v/>
      </c>
      <c r="G960" s="26">
        <f>IF('DIVA Satislari'!I960="","",'DIVA Satislari'!AO960)</f>
        <v/>
      </c>
      <c r="H960" s="27">
        <f>IF('DIVA Satislari'!I960="","",'DIVA Satislari'!AN960)</f>
        <v/>
      </c>
      <c r="I960" s="28">
        <f>IF('DIVA Satislari'!I960="","",'DIVA Satislari'!AQ960)</f>
        <v/>
      </c>
      <c r="J960" s="26">
        <f>IF('DIVA Satislari'!I960="","",'DIVA Satislari'!AR960)</f>
        <v/>
      </c>
      <c r="K960" s="26">
        <f>IF('DIVA Satislari'!I960="","",IFERROR(INDEX('E2E Nakliye Montaj'!$AS$3:$AS$1002,MATCH('DIVA Satislari'!AJ960,'E2E Nakliye Montaj'!$AM$3:$AM$1002,0)),"Eşleşme Yok"))</f>
        <v/>
      </c>
      <c r="L960" s="26">
        <f>IF('DIVA Satislari'!I960="","",IFERROR(INDEX('E2E Nakliye Montaj'!$AT$3:$AT$1002,MATCH('DIVA Satislari'!AJ960,'E2E Nakliye Montaj'!$AM$3:$AM$1002,0)),"Hayır"))</f>
        <v/>
      </c>
      <c r="M960" s="26">
        <f>IF('DIVA Satislari'!I960="","",IFERROR(INDEX('E2E Nakliye Montaj'!$AU$3:$AU$1002,MATCH('DIVA Satislari'!AJ960,'E2E Nakliye Montaj'!$AM$3:$AM$1002,0)),"Hayır"))</f>
        <v/>
      </c>
      <c r="N960" s="27">
        <f>IF('DIVA Satislari'!I960="","",IFERROR(INDEX('E2E Nakliye Montaj'!$AV$3:$AV$1002,MATCH('DIVA Satislari'!AJ960,'E2E Nakliye Montaj'!$AM$3:$AM$1002,0)),""))</f>
        <v/>
      </c>
      <c r="O960" s="26">
        <f>IF(OR(A960="",N960=""),"",IF(N960&lt;=H960,"Evet","HAYIR - RİSK"))</f>
        <v/>
      </c>
      <c r="P960" s="26">
        <f>IF(A960="","",IF(LEFT(J960,8)="Kural A ","Uygun - Hemen Ödenir (Yıl Sonu %75 Kontrolüne Tabi)",IF(OR(L960="Evet",M960="Evet"),IF(O960="Evet","Uygun","RİSK - Hakediş Süresi Aşıldı"),"Bekleniyor - Nakliye/Montaj Tamamlanmadı")))</f>
        <v/>
      </c>
      <c r="Q960" s="28">
        <f>IF(A960="","",SUMIFS('Hakedis Fatura Detay'!$G$3:$G$1200,'Hakedis Fatura Detay'!$H$3:$H$1200,'DIVA Satislari'!AJ960,'Hakedis Fatura Detay'!$F$3:$F$1200,"Fiyat Farkı")+SUMIFS('Hakedis Fatura Detay'!$G$3:$G$1200,'Hakedis Fatura Detay'!$H$3:$H$1200,'DIVA Satislari'!AJ960,'Hakedis Fatura Detay'!$F$3:$F$1200,"Bundle"))</f>
        <v/>
      </c>
      <c r="R960" s="28">
        <f>IF(A960="","",I960-Q960)</f>
        <v/>
      </c>
      <c r="S960" s="26">
        <f>IF(A960="","",IF(LEFT(P960,7)="Bekleni","N/A - Henüz Ödenmemeli",IF(LEFT(P960,4)="RİSK","İNCELEME GEREKLİ - Süre Aşımı",IF(R960=0,"Doğru",IF(R960&gt;0,"EKSİK ÖDENMİŞ","FAZLA ÖDENMİŞ")))))</f>
        <v/>
      </c>
      <c r="T960" s="30">
        <f>IF(A960="","",IF(F960&lt;&gt;"Evet","İNCELEME GEREKLİ - Kampanya Tanımsız",IF(G960&lt;&gt;"Evet","İNCELEME GEREKLİ - Tarih Dışı Satış",IF(LEFT(P960,4)="RİSK","İNCELEME GEREKLİ - Hakediş Süresi Aşıldı",IF(OR(S960="EKSİK ÖDENMİŞ",S960="FAZLA ÖDENMİŞ"),"İNCELEME GEREKLİ - Tutar Uyuşmazlığı",IF(LEFT(P960,7)="Bekleni","Bekleniyor","Uygun"))))))</f>
        <v/>
      </c>
    </row>
    <row r="961">
      <c r="A961" s="26">
        <f>IF('DIVA Satislari'!I961="","",'DIVA Satislari'!I961)</f>
        <v/>
      </c>
      <c r="B961" s="26">
        <f>IF('DIVA Satislari'!I961="","",'DIVA Satislari'!R961)</f>
        <v/>
      </c>
      <c r="C961" s="26">
        <f>IF('DIVA Satislari'!I961="","",'DIVA Satislari'!M961)</f>
        <v/>
      </c>
      <c r="D961" s="27">
        <f>IF('DIVA Satislari'!I961="","",'DIVA Satislari'!H961)</f>
        <v/>
      </c>
      <c r="E961" s="26">
        <f>IF('DIVA Satislari'!I961="","",'DIVA Satislari'!O961)</f>
        <v/>
      </c>
      <c r="F961" s="26">
        <f>IF('DIVA Satislari'!I961="","",'DIVA Satislari'!AK961)</f>
        <v/>
      </c>
      <c r="G961" s="26">
        <f>IF('DIVA Satislari'!I961="","",'DIVA Satislari'!AO961)</f>
        <v/>
      </c>
      <c r="H961" s="27">
        <f>IF('DIVA Satislari'!I961="","",'DIVA Satislari'!AN961)</f>
        <v/>
      </c>
      <c r="I961" s="28">
        <f>IF('DIVA Satislari'!I961="","",'DIVA Satislari'!AQ961)</f>
        <v/>
      </c>
      <c r="J961" s="26">
        <f>IF('DIVA Satislari'!I961="","",'DIVA Satislari'!AR961)</f>
        <v/>
      </c>
      <c r="K961" s="26">
        <f>IF('DIVA Satislari'!I961="","",IFERROR(INDEX('E2E Nakliye Montaj'!$AS$3:$AS$1002,MATCH('DIVA Satislari'!AJ961,'E2E Nakliye Montaj'!$AM$3:$AM$1002,0)),"Eşleşme Yok"))</f>
        <v/>
      </c>
      <c r="L961" s="26">
        <f>IF('DIVA Satislari'!I961="","",IFERROR(INDEX('E2E Nakliye Montaj'!$AT$3:$AT$1002,MATCH('DIVA Satislari'!AJ961,'E2E Nakliye Montaj'!$AM$3:$AM$1002,0)),"Hayır"))</f>
        <v/>
      </c>
      <c r="M961" s="26">
        <f>IF('DIVA Satislari'!I961="","",IFERROR(INDEX('E2E Nakliye Montaj'!$AU$3:$AU$1002,MATCH('DIVA Satislari'!AJ961,'E2E Nakliye Montaj'!$AM$3:$AM$1002,0)),"Hayır"))</f>
        <v/>
      </c>
      <c r="N961" s="27">
        <f>IF('DIVA Satislari'!I961="","",IFERROR(INDEX('E2E Nakliye Montaj'!$AV$3:$AV$1002,MATCH('DIVA Satislari'!AJ961,'E2E Nakliye Montaj'!$AM$3:$AM$1002,0)),""))</f>
        <v/>
      </c>
      <c r="O961" s="26">
        <f>IF(OR(A961="",N961=""),"",IF(N961&lt;=H961,"Evet","HAYIR - RİSK"))</f>
        <v/>
      </c>
      <c r="P961" s="26">
        <f>IF(A961="","",IF(LEFT(J961,8)="Kural A ","Uygun - Hemen Ödenir (Yıl Sonu %75 Kontrolüne Tabi)",IF(OR(L961="Evet",M961="Evet"),IF(O961="Evet","Uygun","RİSK - Hakediş Süresi Aşıldı"),"Bekleniyor - Nakliye/Montaj Tamamlanmadı")))</f>
        <v/>
      </c>
      <c r="Q961" s="28">
        <f>IF(A961="","",SUMIFS('Hakedis Fatura Detay'!$G$3:$G$1200,'Hakedis Fatura Detay'!$H$3:$H$1200,'DIVA Satislari'!AJ961,'Hakedis Fatura Detay'!$F$3:$F$1200,"Fiyat Farkı")+SUMIFS('Hakedis Fatura Detay'!$G$3:$G$1200,'Hakedis Fatura Detay'!$H$3:$H$1200,'DIVA Satislari'!AJ961,'Hakedis Fatura Detay'!$F$3:$F$1200,"Bundle"))</f>
        <v/>
      </c>
      <c r="R961" s="28">
        <f>IF(A961="","",I961-Q961)</f>
        <v/>
      </c>
      <c r="S961" s="26">
        <f>IF(A961="","",IF(LEFT(P961,7)="Bekleni","N/A - Henüz Ödenmemeli",IF(LEFT(P961,4)="RİSK","İNCELEME GEREKLİ - Süre Aşımı",IF(R961=0,"Doğru",IF(R961&gt;0,"EKSİK ÖDENMİŞ","FAZLA ÖDENMİŞ")))))</f>
        <v/>
      </c>
      <c r="T961" s="30">
        <f>IF(A961="","",IF(F961&lt;&gt;"Evet","İNCELEME GEREKLİ - Kampanya Tanımsız",IF(G961&lt;&gt;"Evet","İNCELEME GEREKLİ - Tarih Dışı Satış",IF(LEFT(P961,4)="RİSK","İNCELEME GEREKLİ - Hakediş Süresi Aşıldı",IF(OR(S961="EKSİK ÖDENMİŞ",S961="FAZLA ÖDENMİŞ"),"İNCELEME GEREKLİ - Tutar Uyuşmazlığı",IF(LEFT(P961,7)="Bekleni","Bekleniyor","Uygun"))))))</f>
        <v/>
      </c>
    </row>
    <row r="962">
      <c r="A962" s="26">
        <f>IF('DIVA Satislari'!I962="","",'DIVA Satislari'!I962)</f>
        <v/>
      </c>
      <c r="B962" s="26">
        <f>IF('DIVA Satislari'!I962="","",'DIVA Satislari'!R962)</f>
        <v/>
      </c>
      <c r="C962" s="26">
        <f>IF('DIVA Satislari'!I962="","",'DIVA Satislari'!M962)</f>
        <v/>
      </c>
      <c r="D962" s="27">
        <f>IF('DIVA Satislari'!I962="","",'DIVA Satislari'!H962)</f>
        <v/>
      </c>
      <c r="E962" s="26">
        <f>IF('DIVA Satislari'!I962="","",'DIVA Satislari'!O962)</f>
        <v/>
      </c>
      <c r="F962" s="26">
        <f>IF('DIVA Satislari'!I962="","",'DIVA Satislari'!AK962)</f>
        <v/>
      </c>
      <c r="G962" s="26">
        <f>IF('DIVA Satislari'!I962="","",'DIVA Satislari'!AO962)</f>
        <v/>
      </c>
      <c r="H962" s="27">
        <f>IF('DIVA Satislari'!I962="","",'DIVA Satislari'!AN962)</f>
        <v/>
      </c>
      <c r="I962" s="28">
        <f>IF('DIVA Satislari'!I962="","",'DIVA Satislari'!AQ962)</f>
        <v/>
      </c>
      <c r="J962" s="26">
        <f>IF('DIVA Satislari'!I962="","",'DIVA Satislari'!AR962)</f>
        <v/>
      </c>
      <c r="K962" s="26">
        <f>IF('DIVA Satislari'!I962="","",IFERROR(INDEX('E2E Nakliye Montaj'!$AS$3:$AS$1002,MATCH('DIVA Satislari'!AJ962,'E2E Nakliye Montaj'!$AM$3:$AM$1002,0)),"Eşleşme Yok"))</f>
        <v/>
      </c>
      <c r="L962" s="26">
        <f>IF('DIVA Satislari'!I962="","",IFERROR(INDEX('E2E Nakliye Montaj'!$AT$3:$AT$1002,MATCH('DIVA Satislari'!AJ962,'E2E Nakliye Montaj'!$AM$3:$AM$1002,0)),"Hayır"))</f>
        <v/>
      </c>
      <c r="M962" s="26">
        <f>IF('DIVA Satislari'!I962="","",IFERROR(INDEX('E2E Nakliye Montaj'!$AU$3:$AU$1002,MATCH('DIVA Satislari'!AJ962,'E2E Nakliye Montaj'!$AM$3:$AM$1002,0)),"Hayır"))</f>
        <v/>
      </c>
      <c r="N962" s="27">
        <f>IF('DIVA Satislari'!I962="","",IFERROR(INDEX('E2E Nakliye Montaj'!$AV$3:$AV$1002,MATCH('DIVA Satislari'!AJ962,'E2E Nakliye Montaj'!$AM$3:$AM$1002,0)),""))</f>
        <v/>
      </c>
      <c r="O962" s="26">
        <f>IF(OR(A962="",N962=""),"",IF(N962&lt;=H962,"Evet","HAYIR - RİSK"))</f>
        <v/>
      </c>
      <c r="P962" s="26">
        <f>IF(A962="","",IF(LEFT(J962,8)="Kural A ","Uygun - Hemen Ödenir (Yıl Sonu %75 Kontrolüne Tabi)",IF(OR(L962="Evet",M962="Evet"),IF(O962="Evet","Uygun","RİSK - Hakediş Süresi Aşıldı"),"Bekleniyor - Nakliye/Montaj Tamamlanmadı")))</f>
        <v/>
      </c>
      <c r="Q962" s="28">
        <f>IF(A962="","",SUMIFS('Hakedis Fatura Detay'!$G$3:$G$1200,'Hakedis Fatura Detay'!$H$3:$H$1200,'DIVA Satislari'!AJ962,'Hakedis Fatura Detay'!$F$3:$F$1200,"Fiyat Farkı")+SUMIFS('Hakedis Fatura Detay'!$G$3:$G$1200,'Hakedis Fatura Detay'!$H$3:$H$1200,'DIVA Satislari'!AJ962,'Hakedis Fatura Detay'!$F$3:$F$1200,"Bundle"))</f>
        <v/>
      </c>
      <c r="R962" s="28">
        <f>IF(A962="","",I962-Q962)</f>
        <v/>
      </c>
      <c r="S962" s="26">
        <f>IF(A962="","",IF(LEFT(P962,7)="Bekleni","N/A - Henüz Ödenmemeli",IF(LEFT(P962,4)="RİSK","İNCELEME GEREKLİ - Süre Aşımı",IF(R962=0,"Doğru",IF(R962&gt;0,"EKSİK ÖDENMİŞ","FAZLA ÖDENMİŞ")))))</f>
        <v/>
      </c>
      <c r="T962" s="30">
        <f>IF(A962="","",IF(F962&lt;&gt;"Evet","İNCELEME GEREKLİ - Kampanya Tanımsız",IF(G962&lt;&gt;"Evet","İNCELEME GEREKLİ - Tarih Dışı Satış",IF(LEFT(P962,4)="RİSK","İNCELEME GEREKLİ - Hakediş Süresi Aşıldı",IF(OR(S962="EKSİK ÖDENMİŞ",S962="FAZLA ÖDENMİŞ"),"İNCELEME GEREKLİ - Tutar Uyuşmazlığı",IF(LEFT(P962,7)="Bekleni","Bekleniyor","Uygun"))))))</f>
        <v/>
      </c>
    </row>
    <row r="963">
      <c r="A963" s="26">
        <f>IF('DIVA Satislari'!I963="","",'DIVA Satislari'!I963)</f>
        <v/>
      </c>
      <c r="B963" s="26">
        <f>IF('DIVA Satislari'!I963="","",'DIVA Satislari'!R963)</f>
        <v/>
      </c>
      <c r="C963" s="26">
        <f>IF('DIVA Satislari'!I963="","",'DIVA Satislari'!M963)</f>
        <v/>
      </c>
      <c r="D963" s="27">
        <f>IF('DIVA Satislari'!I963="","",'DIVA Satislari'!H963)</f>
        <v/>
      </c>
      <c r="E963" s="26">
        <f>IF('DIVA Satislari'!I963="","",'DIVA Satislari'!O963)</f>
        <v/>
      </c>
      <c r="F963" s="26">
        <f>IF('DIVA Satislari'!I963="","",'DIVA Satislari'!AK963)</f>
        <v/>
      </c>
      <c r="G963" s="26">
        <f>IF('DIVA Satislari'!I963="","",'DIVA Satislari'!AO963)</f>
        <v/>
      </c>
      <c r="H963" s="27">
        <f>IF('DIVA Satislari'!I963="","",'DIVA Satislari'!AN963)</f>
        <v/>
      </c>
      <c r="I963" s="28">
        <f>IF('DIVA Satislari'!I963="","",'DIVA Satislari'!AQ963)</f>
        <v/>
      </c>
      <c r="J963" s="26">
        <f>IF('DIVA Satislari'!I963="","",'DIVA Satislari'!AR963)</f>
        <v/>
      </c>
      <c r="K963" s="26">
        <f>IF('DIVA Satislari'!I963="","",IFERROR(INDEX('E2E Nakliye Montaj'!$AS$3:$AS$1002,MATCH('DIVA Satislari'!AJ963,'E2E Nakliye Montaj'!$AM$3:$AM$1002,0)),"Eşleşme Yok"))</f>
        <v/>
      </c>
      <c r="L963" s="26">
        <f>IF('DIVA Satislari'!I963="","",IFERROR(INDEX('E2E Nakliye Montaj'!$AT$3:$AT$1002,MATCH('DIVA Satislari'!AJ963,'E2E Nakliye Montaj'!$AM$3:$AM$1002,0)),"Hayır"))</f>
        <v/>
      </c>
      <c r="M963" s="26">
        <f>IF('DIVA Satislari'!I963="","",IFERROR(INDEX('E2E Nakliye Montaj'!$AU$3:$AU$1002,MATCH('DIVA Satislari'!AJ963,'E2E Nakliye Montaj'!$AM$3:$AM$1002,0)),"Hayır"))</f>
        <v/>
      </c>
      <c r="N963" s="27">
        <f>IF('DIVA Satislari'!I963="","",IFERROR(INDEX('E2E Nakliye Montaj'!$AV$3:$AV$1002,MATCH('DIVA Satislari'!AJ963,'E2E Nakliye Montaj'!$AM$3:$AM$1002,0)),""))</f>
        <v/>
      </c>
      <c r="O963" s="26">
        <f>IF(OR(A963="",N963=""),"",IF(N963&lt;=H963,"Evet","HAYIR - RİSK"))</f>
        <v/>
      </c>
      <c r="P963" s="26">
        <f>IF(A963="","",IF(LEFT(J963,8)="Kural A ","Uygun - Hemen Ödenir (Yıl Sonu %75 Kontrolüne Tabi)",IF(OR(L963="Evet",M963="Evet"),IF(O963="Evet","Uygun","RİSK - Hakediş Süresi Aşıldı"),"Bekleniyor - Nakliye/Montaj Tamamlanmadı")))</f>
        <v/>
      </c>
      <c r="Q963" s="28">
        <f>IF(A963="","",SUMIFS('Hakedis Fatura Detay'!$G$3:$G$1200,'Hakedis Fatura Detay'!$H$3:$H$1200,'DIVA Satislari'!AJ963,'Hakedis Fatura Detay'!$F$3:$F$1200,"Fiyat Farkı")+SUMIFS('Hakedis Fatura Detay'!$G$3:$G$1200,'Hakedis Fatura Detay'!$H$3:$H$1200,'DIVA Satislari'!AJ963,'Hakedis Fatura Detay'!$F$3:$F$1200,"Bundle"))</f>
        <v/>
      </c>
      <c r="R963" s="28">
        <f>IF(A963="","",I963-Q963)</f>
        <v/>
      </c>
      <c r="S963" s="26">
        <f>IF(A963="","",IF(LEFT(P963,7)="Bekleni","N/A - Henüz Ödenmemeli",IF(LEFT(P963,4)="RİSK","İNCELEME GEREKLİ - Süre Aşımı",IF(R963=0,"Doğru",IF(R963&gt;0,"EKSİK ÖDENMİŞ","FAZLA ÖDENMİŞ")))))</f>
        <v/>
      </c>
      <c r="T963" s="30">
        <f>IF(A963="","",IF(F963&lt;&gt;"Evet","İNCELEME GEREKLİ - Kampanya Tanımsız",IF(G963&lt;&gt;"Evet","İNCELEME GEREKLİ - Tarih Dışı Satış",IF(LEFT(P963,4)="RİSK","İNCELEME GEREKLİ - Hakediş Süresi Aşıldı",IF(OR(S963="EKSİK ÖDENMİŞ",S963="FAZLA ÖDENMİŞ"),"İNCELEME GEREKLİ - Tutar Uyuşmazlığı",IF(LEFT(P963,7)="Bekleni","Bekleniyor","Uygun"))))))</f>
        <v/>
      </c>
    </row>
    <row r="964">
      <c r="A964" s="26">
        <f>IF('DIVA Satislari'!I964="","",'DIVA Satislari'!I964)</f>
        <v/>
      </c>
      <c r="B964" s="26">
        <f>IF('DIVA Satislari'!I964="","",'DIVA Satislari'!R964)</f>
        <v/>
      </c>
      <c r="C964" s="26">
        <f>IF('DIVA Satislari'!I964="","",'DIVA Satislari'!M964)</f>
        <v/>
      </c>
      <c r="D964" s="27">
        <f>IF('DIVA Satislari'!I964="","",'DIVA Satislari'!H964)</f>
        <v/>
      </c>
      <c r="E964" s="26">
        <f>IF('DIVA Satislari'!I964="","",'DIVA Satislari'!O964)</f>
        <v/>
      </c>
      <c r="F964" s="26">
        <f>IF('DIVA Satislari'!I964="","",'DIVA Satislari'!AK964)</f>
        <v/>
      </c>
      <c r="G964" s="26">
        <f>IF('DIVA Satislari'!I964="","",'DIVA Satislari'!AO964)</f>
        <v/>
      </c>
      <c r="H964" s="27">
        <f>IF('DIVA Satislari'!I964="","",'DIVA Satislari'!AN964)</f>
        <v/>
      </c>
      <c r="I964" s="28">
        <f>IF('DIVA Satislari'!I964="","",'DIVA Satislari'!AQ964)</f>
        <v/>
      </c>
      <c r="J964" s="26">
        <f>IF('DIVA Satislari'!I964="","",'DIVA Satislari'!AR964)</f>
        <v/>
      </c>
      <c r="K964" s="26">
        <f>IF('DIVA Satislari'!I964="","",IFERROR(INDEX('E2E Nakliye Montaj'!$AS$3:$AS$1002,MATCH('DIVA Satislari'!AJ964,'E2E Nakliye Montaj'!$AM$3:$AM$1002,0)),"Eşleşme Yok"))</f>
        <v/>
      </c>
      <c r="L964" s="26">
        <f>IF('DIVA Satislari'!I964="","",IFERROR(INDEX('E2E Nakliye Montaj'!$AT$3:$AT$1002,MATCH('DIVA Satislari'!AJ964,'E2E Nakliye Montaj'!$AM$3:$AM$1002,0)),"Hayır"))</f>
        <v/>
      </c>
      <c r="M964" s="26">
        <f>IF('DIVA Satislari'!I964="","",IFERROR(INDEX('E2E Nakliye Montaj'!$AU$3:$AU$1002,MATCH('DIVA Satislari'!AJ964,'E2E Nakliye Montaj'!$AM$3:$AM$1002,0)),"Hayır"))</f>
        <v/>
      </c>
      <c r="N964" s="27">
        <f>IF('DIVA Satislari'!I964="","",IFERROR(INDEX('E2E Nakliye Montaj'!$AV$3:$AV$1002,MATCH('DIVA Satislari'!AJ964,'E2E Nakliye Montaj'!$AM$3:$AM$1002,0)),""))</f>
        <v/>
      </c>
      <c r="O964" s="26">
        <f>IF(OR(A964="",N964=""),"",IF(N964&lt;=H964,"Evet","HAYIR - RİSK"))</f>
        <v/>
      </c>
      <c r="P964" s="26">
        <f>IF(A964="","",IF(LEFT(J964,8)="Kural A ","Uygun - Hemen Ödenir (Yıl Sonu %75 Kontrolüne Tabi)",IF(OR(L964="Evet",M964="Evet"),IF(O964="Evet","Uygun","RİSK - Hakediş Süresi Aşıldı"),"Bekleniyor - Nakliye/Montaj Tamamlanmadı")))</f>
        <v/>
      </c>
      <c r="Q964" s="28">
        <f>IF(A964="","",SUMIFS('Hakedis Fatura Detay'!$G$3:$G$1200,'Hakedis Fatura Detay'!$H$3:$H$1200,'DIVA Satislari'!AJ964,'Hakedis Fatura Detay'!$F$3:$F$1200,"Fiyat Farkı")+SUMIFS('Hakedis Fatura Detay'!$G$3:$G$1200,'Hakedis Fatura Detay'!$H$3:$H$1200,'DIVA Satislari'!AJ964,'Hakedis Fatura Detay'!$F$3:$F$1200,"Bundle"))</f>
        <v/>
      </c>
      <c r="R964" s="28">
        <f>IF(A964="","",I964-Q964)</f>
        <v/>
      </c>
      <c r="S964" s="26">
        <f>IF(A964="","",IF(LEFT(P964,7)="Bekleni","N/A - Henüz Ödenmemeli",IF(LEFT(P964,4)="RİSK","İNCELEME GEREKLİ - Süre Aşımı",IF(R964=0,"Doğru",IF(R964&gt;0,"EKSİK ÖDENMİŞ","FAZLA ÖDENMİŞ")))))</f>
        <v/>
      </c>
      <c r="T964" s="30">
        <f>IF(A964="","",IF(F964&lt;&gt;"Evet","İNCELEME GEREKLİ - Kampanya Tanımsız",IF(G964&lt;&gt;"Evet","İNCELEME GEREKLİ - Tarih Dışı Satış",IF(LEFT(P964,4)="RİSK","İNCELEME GEREKLİ - Hakediş Süresi Aşıldı",IF(OR(S964="EKSİK ÖDENMİŞ",S964="FAZLA ÖDENMİŞ"),"İNCELEME GEREKLİ - Tutar Uyuşmazlığı",IF(LEFT(P964,7)="Bekleni","Bekleniyor","Uygun"))))))</f>
        <v/>
      </c>
    </row>
    <row r="965">
      <c r="A965" s="26">
        <f>IF('DIVA Satislari'!I965="","",'DIVA Satislari'!I965)</f>
        <v/>
      </c>
      <c r="B965" s="26">
        <f>IF('DIVA Satislari'!I965="","",'DIVA Satislari'!R965)</f>
        <v/>
      </c>
      <c r="C965" s="26">
        <f>IF('DIVA Satislari'!I965="","",'DIVA Satislari'!M965)</f>
        <v/>
      </c>
      <c r="D965" s="27">
        <f>IF('DIVA Satislari'!I965="","",'DIVA Satislari'!H965)</f>
        <v/>
      </c>
      <c r="E965" s="26">
        <f>IF('DIVA Satislari'!I965="","",'DIVA Satislari'!O965)</f>
        <v/>
      </c>
      <c r="F965" s="26">
        <f>IF('DIVA Satislari'!I965="","",'DIVA Satislari'!AK965)</f>
        <v/>
      </c>
      <c r="G965" s="26">
        <f>IF('DIVA Satislari'!I965="","",'DIVA Satislari'!AO965)</f>
        <v/>
      </c>
      <c r="H965" s="27">
        <f>IF('DIVA Satislari'!I965="","",'DIVA Satislari'!AN965)</f>
        <v/>
      </c>
      <c r="I965" s="28">
        <f>IF('DIVA Satislari'!I965="","",'DIVA Satislari'!AQ965)</f>
        <v/>
      </c>
      <c r="J965" s="26">
        <f>IF('DIVA Satislari'!I965="","",'DIVA Satislari'!AR965)</f>
        <v/>
      </c>
      <c r="K965" s="26">
        <f>IF('DIVA Satislari'!I965="","",IFERROR(INDEX('E2E Nakliye Montaj'!$AS$3:$AS$1002,MATCH('DIVA Satislari'!AJ965,'E2E Nakliye Montaj'!$AM$3:$AM$1002,0)),"Eşleşme Yok"))</f>
        <v/>
      </c>
      <c r="L965" s="26">
        <f>IF('DIVA Satislari'!I965="","",IFERROR(INDEX('E2E Nakliye Montaj'!$AT$3:$AT$1002,MATCH('DIVA Satislari'!AJ965,'E2E Nakliye Montaj'!$AM$3:$AM$1002,0)),"Hayır"))</f>
        <v/>
      </c>
      <c r="M965" s="26">
        <f>IF('DIVA Satislari'!I965="","",IFERROR(INDEX('E2E Nakliye Montaj'!$AU$3:$AU$1002,MATCH('DIVA Satislari'!AJ965,'E2E Nakliye Montaj'!$AM$3:$AM$1002,0)),"Hayır"))</f>
        <v/>
      </c>
      <c r="N965" s="27">
        <f>IF('DIVA Satislari'!I965="","",IFERROR(INDEX('E2E Nakliye Montaj'!$AV$3:$AV$1002,MATCH('DIVA Satislari'!AJ965,'E2E Nakliye Montaj'!$AM$3:$AM$1002,0)),""))</f>
        <v/>
      </c>
      <c r="O965" s="26">
        <f>IF(OR(A965="",N965=""),"",IF(N965&lt;=H965,"Evet","HAYIR - RİSK"))</f>
        <v/>
      </c>
      <c r="P965" s="26">
        <f>IF(A965="","",IF(LEFT(J965,8)="Kural A ","Uygun - Hemen Ödenir (Yıl Sonu %75 Kontrolüne Tabi)",IF(OR(L965="Evet",M965="Evet"),IF(O965="Evet","Uygun","RİSK - Hakediş Süresi Aşıldı"),"Bekleniyor - Nakliye/Montaj Tamamlanmadı")))</f>
        <v/>
      </c>
      <c r="Q965" s="28">
        <f>IF(A965="","",SUMIFS('Hakedis Fatura Detay'!$G$3:$G$1200,'Hakedis Fatura Detay'!$H$3:$H$1200,'DIVA Satislari'!AJ965,'Hakedis Fatura Detay'!$F$3:$F$1200,"Fiyat Farkı")+SUMIFS('Hakedis Fatura Detay'!$G$3:$G$1200,'Hakedis Fatura Detay'!$H$3:$H$1200,'DIVA Satislari'!AJ965,'Hakedis Fatura Detay'!$F$3:$F$1200,"Bundle"))</f>
        <v/>
      </c>
      <c r="R965" s="28">
        <f>IF(A965="","",I965-Q965)</f>
        <v/>
      </c>
      <c r="S965" s="26">
        <f>IF(A965="","",IF(LEFT(P965,7)="Bekleni","N/A - Henüz Ödenmemeli",IF(LEFT(P965,4)="RİSK","İNCELEME GEREKLİ - Süre Aşımı",IF(R965=0,"Doğru",IF(R965&gt;0,"EKSİK ÖDENMİŞ","FAZLA ÖDENMİŞ")))))</f>
        <v/>
      </c>
      <c r="T965" s="30">
        <f>IF(A965="","",IF(F965&lt;&gt;"Evet","İNCELEME GEREKLİ - Kampanya Tanımsız",IF(G965&lt;&gt;"Evet","İNCELEME GEREKLİ - Tarih Dışı Satış",IF(LEFT(P965,4)="RİSK","İNCELEME GEREKLİ - Hakediş Süresi Aşıldı",IF(OR(S965="EKSİK ÖDENMİŞ",S965="FAZLA ÖDENMİŞ"),"İNCELEME GEREKLİ - Tutar Uyuşmazlığı",IF(LEFT(P965,7)="Bekleni","Bekleniyor","Uygun"))))))</f>
        <v/>
      </c>
    </row>
    <row r="966">
      <c r="A966" s="26">
        <f>IF('DIVA Satislari'!I966="","",'DIVA Satislari'!I966)</f>
        <v/>
      </c>
      <c r="B966" s="26">
        <f>IF('DIVA Satislari'!I966="","",'DIVA Satislari'!R966)</f>
        <v/>
      </c>
      <c r="C966" s="26">
        <f>IF('DIVA Satislari'!I966="","",'DIVA Satislari'!M966)</f>
        <v/>
      </c>
      <c r="D966" s="27">
        <f>IF('DIVA Satislari'!I966="","",'DIVA Satislari'!H966)</f>
        <v/>
      </c>
      <c r="E966" s="26">
        <f>IF('DIVA Satislari'!I966="","",'DIVA Satislari'!O966)</f>
        <v/>
      </c>
      <c r="F966" s="26">
        <f>IF('DIVA Satislari'!I966="","",'DIVA Satislari'!AK966)</f>
        <v/>
      </c>
      <c r="G966" s="26">
        <f>IF('DIVA Satislari'!I966="","",'DIVA Satislari'!AO966)</f>
        <v/>
      </c>
      <c r="H966" s="27">
        <f>IF('DIVA Satislari'!I966="","",'DIVA Satislari'!AN966)</f>
        <v/>
      </c>
      <c r="I966" s="28">
        <f>IF('DIVA Satislari'!I966="","",'DIVA Satislari'!AQ966)</f>
        <v/>
      </c>
      <c r="J966" s="26">
        <f>IF('DIVA Satislari'!I966="","",'DIVA Satislari'!AR966)</f>
        <v/>
      </c>
      <c r="K966" s="26">
        <f>IF('DIVA Satislari'!I966="","",IFERROR(INDEX('E2E Nakliye Montaj'!$AS$3:$AS$1002,MATCH('DIVA Satislari'!AJ966,'E2E Nakliye Montaj'!$AM$3:$AM$1002,0)),"Eşleşme Yok"))</f>
        <v/>
      </c>
      <c r="L966" s="26">
        <f>IF('DIVA Satislari'!I966="","",IFERROR(INDEX('E2E Nakliye Montaj'!$AT$3:$AT$1002,MATCH('DIVA Satislari'!AJ966,'E2E Nakliye Montaj'!$AM$3:$AM$1002,0)),"Hayır"))</f>
        <v/>
      </c>
      <c r="M966" s="26">
        <f>IF('DIVA Satislari'!I966="","",IFERROR(INDEX('E2E Nakliye Montaj'!$AU$3:$AU$1002,MATCH('DIVA Satislari'!AJ966,'E2E Nakliye Montaj'!$AM$3:$AM$1002,0)),"Hayır"))</f>
        <v/>
      </c>
      <c r="N966" s="27">
        <f>IF('DIVA Satislari'!I966="","",IFERROR(INDEX('E2E Nakliye Montaj'!$AV$3:$AV$1002,MATCH('DIVA Satislari'!AJ966,'E2E Nakliye Montaj'!$AM$3:$AM$1002,0)),""))</f>
        <v/>
      </c>
      <c r="O966" s="26">
        <f>IF(OR(A966="",N966=""),"",IF(N966&lt;=H966,"Evet","HAYIR - RİSK"))</f>
        <v/>
      </c>
      <c r="P966" s="26">
        <f>IF(A966="","",IF(LEFT(J966,8)="Kural A ","Uygun - Hemen Ödenir (Yıl Sonu %75 Kontrolüne Tabi)",IF(OR(L966="Evet",M966="Evet"),IF(O966="Evet","Uygun","RİSK - Hakediş Süresi Aşıldı"),"Bekleniyor - Nakliye/Montaj Tamamlanmadı")))</f>
        <v/>
      </c>
      <c r="Q966" s="28">
        <f>IF(A966="","",SUMIFS('Hakedis Fatura Detay'!$G$3:$G$1200,'Hakedis Fatura Detay'!$H$3:$H$1200,'DIVA Satislari'!AJ966,'Hakedis Fatura Detay'!$F$3:$F$1200,"Fiyat Farkı")+SUMIFS('Hakedis Fatura Detay'!$G$3:$G$1200,'Hakedis Fatura Detay'!$H$3:$H$1200,'DIVA Satislari'!AJ966,'Hakedis Fatura Detay'!$F$3:$F$1200,"Bundle"))</f>
        <v/>
      </c>
      <c r="R966" s="28">
        <f>IF(A966="","",I966-Q966)</f>
        <v/>
      </c>
      <c r="S966" s="26">
        <f>IF(A966="","",IF(LEFT(P966,7)="Bekleni","N/A - Henüz Ödenmemeli",IF(LEFT(P966,4)="RİSK","İNCELEME GEREKLİ - Süre Aşımı",IF(R966=0,"Doğru",IF(R966&gt;0,"EKSİK ÖDENMİŞ","FAZLA ÖDENMİŞ")))))</f>
        <v/>
      </c>
      <c r="T966" s="30">
        <f>IF(A966="","",IF(F966&lt;&gt;"Evet","İNCELEME GEREKLİ - Kampanya Tanımsız",IF(G966&lt;&gt;"Evet","İNCELEME GEREKLİ - Tarih Dışı Satış",IF(LEFT(P966,4)="RİSK","İNCELEME GEREKLİ - Hakediş Süresi Aşıldı",IF(OR(S966="EKSİK ÖDENMİŞ",S966="FAZLA ÖDENMİŞ"),"İNCELEME GEREKLİ - Tutar Uyuşmazlığı",IF(LEFT(P966,7)="Bekleni","Bekleniyor","Uygun"))))))</f>
        <v/>
      </c>
    </row>
    <row r="967">
      <c r="A967" s="26">
        <f>IF('DIVA Satislari'!I967="","",'DIVA Satislari'!I967)</f>
        <v/>
      </c>
      <c r="B967" s="26">
        <f>IF('DIVA Satislari'!I967="","",'DIVA Satislari'!R967)</f>
        <v/>
      </c>
      <c r="C967" s="26">
        <f>IF('DIVA Satislari'!I967="","",'DIVA Satislari'!M967)</f>
        <v/>
      </c>
      <c r="D967" s="27">
        <f>IF('DIVA Satislari'!I967="","",'DIVA Satislari'!H967)</f>
        <v/>
      </c>
      <c r="E967" s="26">
        <f>IF('DIVA Satislari'!I967="","",'DIVA Satislari'!O967)</f>
        <v/>
      </c>
      <c r="F967" s="26">
        <f>IF('DIVA Satislari'!I967="","",'DIVA Satislari'!AK967)</f>
        <v/>
      </c>
      <c r="G967" s="26">
        <f>IF('DIVA Satislari'!I967="","",'DIVA Satislari'!AO967)</f>
        <v/>
      </c>
      <c r="H967" s="27">
        <f>IF('DIVA Satislari'!I967="","",'DIVA Satislari'!AN967)</f>
        <v/>
      </c>
      <c r="I967" s="28">
        <f>IF('DIVA Satislari'!I967="","",'DIVA Satislari'!AQ967)</f>
        <v/>
      </c>
      <c r="J967" s="26">
        <f>IF('DIVA Satislari'!I967="","",'DIVA Satislari'!AR967)</f>
        <v/>
      </c>
      <c r="K967" s="26">
        <f>IF('DIVA Satislari'!I967="","",IFERROR(INDEX('E2E Nakliye Montaj'!$AS$3:$AS$1002,MATCH('DIVA Satislari'!AJ967,'E2E Nakliye Montaj'!$AM$3:$AM$1002,0)),"Eşleşme Yok"))</f>
        <v/>
      </c>
      <c r="L967" s="26">
        <f>IF('DIVA Satislari'!I967="","",IFERROR(INDEX('E2E Nakliye Montaj'!$AT$3:$AT$1002,MATCH('DIVA Satislari'!AJ967,'E2E Nakliye Montaj'!$AM$3:$AM$1002,0)),"Hayır"))</f>
        <v/>
      </c>
      <c r="M967" s="26">
        <f>IF('DIVA Satislari'!I967="","",IFERROR(INDEX('E2E Nakliye Montaj'!$AU$3:$AU$1002,MATCH('DIVA Satislari'!AJ967,'E2E Nakliye Montaj'!$AM$3:$AM$1002,0)),"Hayır"))</f>
        <v/>
      </c>
      <c r="N967" s="27">
        <f>IF('DIVA Satislari'!I967="","",IFERROR(INDEX('E2E Nakliye Montaj'!$AV$3:$AV$1002,MATCH('DIVA Satislari'!AJ967,'E2E Nakliye Montaj'!$AM$3:$AM$1002,0)),""))</f>
        <v/>
      </c>
      <c r="O967" s="26">
        <f>IF(OR(A967="",N967=""),"",IF(N967&lt;=H967,"Evet","HAYIR - RİSK"))</f>
        <v/>
      </c>
      <c r="P967" s="26">
        <f>IF(A967="","",IF(LEFT(J967,8)="Kural A ","Uygun - Hemen Ödenir (Yıl Sonu %75 Kontrolüne Tabi)",IF(OR(L967="Evet",M967="Evet"),IF(O967="Evet","Uygun","RİSK - Hakediş Süresi Aşıldı"),"Bekleniyor - Nakliye/Montaj Tamamlanmadı")))</f>
        <v/>
      </c>
      <c r="Q967" s="28">
        <f>IF(A967="","",SUMIFS('Hakedis Fatura Detay'!$G$3:$G$1200,'Hakedis Fatura Detay'!$H$3:$H$1200,'DIVA Satislari'!AJ967,'Hakedis Fatura Detay'!$F$3:$F$1200,"Fiyat Farkı")+SUMIFS('Hakedis Fatura Detay'!$G$3:$G$1200,'Hakedis Fatura Detay'!$H$3:$H$1200,'DIVA Satislari'!AJ967,'Hakedis Fatura Detay'!$F$3:$F$1200,"Bundle"))</f>
        <v/>
      </c>
      <c r="R967" s="28">
        <f>IF(A967="","",I967-Q967)</f>
        <v/>
      </c>
      <c r="S967" s="26">
        <f>IF(A967="","",IF(LEFT(P967,7)="Bekleni","N/A - Henüz Ödenmemeli",IF(LEFT(P967,4)="RİSK","İNCELEME GEREKLİ - Süre Aşımı",IF(R967=0,"Doğru",IF(R967&gt;0,"EKSİK ÖDENMİŞ","FAZLA ÖDENMİŞ")))))</f>
        <v/>
      </c>
      <c r="T967" s="30">
        <f>IF(A967="","",IF(F967&lt;&gt;"Evet","İNCELEME GEREKLİ - Kampanya Tanımsız",IF(G967&lt;&gt;"Evet","İNCELEME GEREKLİ - Tarih Dışı Satış",IF(LEFT(P967,4)="RİSK","İNCELEME GEREKLİ - Hakediş Süresi Aşıldı",IF(OR(S967="EKSİK ÖDENMİŞ",S967="FAZLA ÖDENMİŞ"),"İNCELEME GEREKLİ - Tutar Uyuşmazlığı",IF(LEFT(P967,7)="Bekleni","Bekleniyor","Uygun"))))))</f>
        <v/>
      </c>
    </row>
    <row r="968">
      <c r="A968" s="26">
        <f>IF('DIVA Satislari'!I968="","",'DIVA Satislari'!I968)</f>
        <v/>
      </c>
      <c r="B968" s="26">
        <f>IF('DIVA Satislari'!I968="","",'DIVA Satislari'!R968)</f>
        <v/>
      </c>
      <c r="C968" s="26">
        <f>IF('DIVA Satislari'!I968="","",'DIVA Satislari'!M968)</f>
        <v/>
      </c>
      <c r="D968" s="27">
        <f>IF('DIVA Satislari'!I968="","",'DIVA Satislari'!H968)</f>
        <v/>
      </c>
      <c r="E968" s="26">
        <f>IF('DIVA Satislari'!I968="","",'DIVA Satislari'!O968)</f>
        <v/>
      </c>
      <c r="F968" s="26">
        <f>IF('DIVA Satislari'!I968="","",'DIVA Satislari'!AK968)</f>
        <v/>
      </c>
      <c r="G968" s="26">
        <f>IF('DIVA Satislari'!I968="","",'DIVA Satislari'!AO968)</f>
        <v/>
      </c>
      <c r="H968" s="27">
        <f>IF('DIVA Satislari'!I968="","",'DIVA Satislari'!AN968)</f>
        <v/>
      </c>
      <c r="I968" s="28">
        <f>IF('DIVA Satislari'!I968="","",'DIVA Satislari'!AQ968)</f>
        <v/>
      </c>
      <c r="J968" s="26">
        <f>IF('DIVA Satislari'!I968="","",'DIVA Satislari'!AR968)</f>
        <v/>
      </c>
      <c r="K968" s="26">
        <f>IF('DIVA Satislari'!I968="","",IFERROR(INDEX('E2E Nakliye Montaj'!$AS$3:$AS$1002,MATCH('DIVA Satislari'!AJ968,'E2E Nakliye Montaj'!$AM$3:$AM$1002,0)),"Eşleşme Yok"))</f>
        <v/>
      </c>
      <c r="L968" s="26">
        <f>IF('DIVA Satislari'!I968="","",IFERROR(INDEX('E2E Nakliye Montaj'!$AT$3:$AT$1002,MATCH('DIVA Satislari'!AJ968,'E2E Nakliye Montaj'!$AM$3:$AM$1002,0)),"Hayır"))</f>
        <v/>
      </c>
      <c r="M968" s="26">
        <f>IF('DIVA Satislari'!I968="","",IFERROR(INDEX('E2E Nakliye Montaj'!$AU$3:$AU$1002,MATCH('DIVA Satislari'!AJ968,'E2E Nakliye Montaj'!$AM$3:$AM$1002,0)),"Hayır"))</f>
        <v/>
      </c>
      <c r="N968" s="27">
        <f>IF('DIVA Satislari'!I968="","",IFERROR(INDEX('E2E Nakliye Montaj'!$AV$3:$AV$1002,MATCH('DIVA Satislari'!AJ968,'E2E Nakliye Montaj'!$AM$3:$AM$1002,0)),""))</f>
        <v/>
      </c>
      <c r="O968" s="26">
        <f>IF(OR(A968="",N968=""),"",IF(N968&lt;=H968,"Evet","HAYIR - RİSK"))</f>
        <v/>
      </c>
      <c r="P968" s="26">
        <f>IF(A968="","",IF(LEFT(J968,8)="Kural A ","Uygun - Hemen Ödenir (Yıl Sonu %75 Kontrolüne Tabi)",IF(OR(L968="Evet",M968="Evet"),IF(O968="Evet","Uygun","RİSK - Hakediş Süresi Aşıldı"),"Bekleniyor - Nakliye/Montaj Tamamlanmadı")))</f>
        <v/>
      </c>
      <c r="Q968" s="28">
        <f>IF(A968="","",SUMIFS('Hakedis Fatura Detay'!$G$3:$G$1200,'Hakedis Fatura Detay'!$H$3:$H$1200,'DIVA Satislari'!AJ968,'Hakedis Fatura Detay'!$F$3:$F$1200,"Fiyat Farkı")+SUMIFS('Hakedis Fatura Detay'!$G$3:$G$1200,'Hakedis Fatura Detay'!$H$3:$H$1200,'DIVA Satislari'!AJ968,'Hakedis Fatura Detay'!$F$3:$F$1200,"Bundle"))</f>
        <v/>
      </c>
      <c r="R968" s="28">
        <f>IF(A968="","",I968-Q968)</f>
        <v/>
      </c>
      <c r="S968" s="26">
        <f>IF(A968="","",IF(LEFT(P968,7)="Bekleni","N/A - Henüz Ödenmemeli",IF(LEFT(P968,4)="RİSK","İNCELEME GEREKLİ - Süre Aşımı",IF(R968=0,"Doğru",IF(R968&gt;0,"EKSİK ÖDENMİŞ","FAZLA ÖDENMİŞ")))))</f>
        <v/>
      </c>
      <c r="T968" s="30">
        <f>IF(A968="","",IF(F968&lt;&gt;"Evet","İNCELEME GEREKLİ - Kampanya Tanımsız",IF(G968&lt;&gt;"Evet","İNCELEME GEREKLİ - Tarih Dışı Satış",IF(LEFT(P968,4)="RİSK","İNCELEME GEREKLİ - Hakediş Süresi Aşıldı",IF(OR(S968="EKSİK ÖDENMİŞ",S968="FAZLA ÖDENMİŞ"),"İNCELEME GEREKLİ - Tutar Uyuşmazlığı",IF(LEFT(P968,7)="Bekleni","Bekleniyor","Uygun"))))))</f>
        <v/>
      </c>
    </row>
    <row r="969">
      <c r="A969" s="26">
        <f>IF('DIVA Satislari'!I969="","",'DIVA Satislari'!I969)</f>
        <v/>
      </c>
      <c r="B969" s="26">
        <f>IF('DIVA Satislari'!I969="","",'DIVA Satislari'!R969)</f>
        <v/>
      </c>
      <c r="C969" s="26">
        <f>IF('DIVA Satislari'!I969="","",'DIVA Satislari'!M969)</f>
        <v/>
      </c>
      <c r="D969" s="27">
        <f>IF('DIVA Satislari'!I969="","",'DIVA Satislari'!H969)</f>
        <v/>
      </c>
      <c r="E969" s="26">
        <f>IF('DIVA Satislari'!I969="","",'DIVA Satislari'!O969)</f>
        <v/>
      </c>
      <c r="F969" s="26">
        <f>IF('DIVA Satislari'!I969="","",'DIVA Satislari'!AK969)</f>
        <v/>
      </c>
      <c r="G969" s="26">
        <f>IF('DIVA Satislari'!I969="","",'DIVA Satislari'!AO969)</f>
        <v/>
      </c>
      <c r="H969" s="27">
        <f>IF('DIVA Satislari'!I969="","",'DIVA Satislari'!AN969)</f>
        <v/>
      </c>
      <c r="I969" s="28">
        <f>IF('DIVA Satislari'!I969="","",'DIVA Satislari'!AQ969)</f>
        <v/>
      </c>
      <c r="J969" s="26">
        <f>IF('DIVA Satislari'!I969="","",'DIVA Satislari'!AR969)</f>
        <v/>
      </c>
      <c r="K969" s="26">
        <f>IF('DIVA Satislari'!I969="","",IFERROR(INDEX('E2E Nakliye Montaj'!$AS$3:$AS$1002,MATCH('DIVA Satislari'!AJ969,'E2E Nakliye Montaj'!$AM$3:$AM$1002,0)),"Eşleşme Yok"))</f>
        <v/>
      </c>
      <c r="L969" s="26">
        <f>IF('DIVA Satislari'!I969="","",IFERROR(INDEX('E2E Nakliye Montaj'!$AT$3:$AT$1002,MATCH('DIVA Satislari'!AJ969,'E2E Nakliye Montaj'!$AM$3:$AM$1002,0)),"Hayır"))</f>
        <v/>
      </c>
      <c r="M969" s="26">
        <f>IF('DIVA Satislari'!I969="","",IFERROR(INDEX('E2E Nakliye Montaj'!$AU$3:$AU$1002,MATCH('DIVA Satislari'!AJ969,'E2E Nakliye Montaj'!$AM$3:$AM$1002,0)),"Hayır"))</f>
        <v/>
      </c>
      <c r="N969" s="27">
        <f>IF('DIVA Satislari'!I969="","",IFERROR(INDEX('E2E Nakliye Montaj'!$AV$3:$AV$1002,MATCH('DIVA Satislari'!AJ969,'E2E Nakliye Montaj'!$AM$3:$AM$1002,0)),""))</f>
        <v/>
      </c>
      <c r="O969" s="26">
        <f>IF(OR(A969="",N969=""),"",IF(N969&lt;=H969,"Evet","HAYIR - RİSK"))</f>
        <v/>
      </c>
      <c r="P969" s="26">
        <f>IF(A969="","",IF(LEFT(J969,8)="Kural A ","Uygun - Hemen Ödenir (Yıl Sonu %75 Kontrolüne Tabi)",IF(OR(L969="Evet",M969="Evet"),IF(O969="Evet","Uygun","RİSK - Hakediş Süresi Aşıldı"),"Bekleniyor - Nakliye/Montaj Tamamlanmadı")))</f>
        <v/>
      </c>
      <c r="Q969" s="28">
        <f>IF(A969="","",SUMIFS('Hakedis Fatura Detay'!$G$3:$G$1200,'Hakedis Fatura Detay'!$H$3:$H$1200,'DIVA Satislari'!AJ969,'Hakedis Fatura Detay'!$F$3:$F$1200,"Fiyat Farkı")+SUMIFS('Hakedis Fatura Detay'!$G$3:$G$1200,'Hakedis Fatura Detay'!$H$3:$H$1200,'DIVA Satislari'!AJ969,'Hakedis Fatura Detay'!$F$3:$F$1200,"Bundle"))</f>
        <v/>
      </c>
      <c r="R969" s="28">
        <f>IF(A969="","",I969-Q969)</f>
        <v/>
      </c>
      <c r="S969" s="26">
        <f>IF(A969="","",IF(LEFT(P969,7)="Bekleni","N/A - Henüz Ödenmemeli",IF(LEFT(P969,4)="RİSK","İNCELEME GEREKLİ - Süre Aşımı",IF(R969=0,"Doğru",IF(R969&gt;0,"EKSİK ÖDENMİŞ","FAZLA ÖDENMİŞ")))))</f>
        <v/>
      </c>
      <c r="T969" s="30">
        <f>IF(A969="","",IF(F969&lt;&gt;"Evet","İNCELEME GEREKLİ - Kampanya Tanımsız",IF(G969&lt;&gt;"Evet","İNCELEME GEREKLİ - Tarih Dışı Satış",IF(LEFT(P969,4)="RİSK","İNCELEME GEREKLİ - Hakediş Süresi Aşıldı",IF(OR(S969="EKSİK ÖDENMİŞ",S969="FAZLA ÖDENMİŞ"),"İNCELEME GEREKLİ - Tutar Uyuşmazlığı",IF(LEFT(P969,7)="Bekleni","Bekleniyor","Uygun"))))))</f>
        <v/>
      </c>
    </row>
    <row r="970">
      <c r="A970" s="26">
        <f>IF('DIVA Satislari'!I970="","",'DIVA Satislari'!I970)</f>
        <v/>
      </c>
      <c r="B970" s="26">
        <f>IF('DIVA Satislari'!I970="","",'DIVA Satislari'!R970)</f>
        <v/>
      </c>
      <c r="C970" s="26">
        <f>IF('DIVA Satislari'!I970="","",'DIVA Satislari'!M970)</f>
        <v/>
      </c>
      <c r="D970" s="27">
        <f>IF('DIVA Satislari'!I970="","",'DIVA Satislari'!H970)</f>
        <v/>
      </c>
      <c r="E970" s="26">
        <f>IF('DIVA Satislari'!I970="","",'DIVA Satislari'!O970)</f>
        <v/>
      </c>
      <c r="F970" s="26">
        <f>IF('DIVA Satislari'!I970="","",'DIVA Satislari'!AK970)</f>
        <v/>
      </c>
      <c r="G970" s="26">
        <f>IF('DIVA Satislari'!I970="","",'DIVA Satislari'!AO970)</f>
        <v/>
      </c>
      <c r="H970" s="27">
        <f>IF('DIVA Satislari'!I970="","",'DIVA Satislari'!AN970)</f>
        <v/>
      </c>
      <c r="I970" s="28">
        <f>IF('DIVA Satislari'!I970="","",'DIVA Satislari'!AQ970)</f>
        <v/>
      </c>
      <c r="J970" s="26">
        <f>IF('DIVA Satislari'!I970="","",'DIVA Satislari'!AR970)</f>
        <v/>
      </c>
      <c r="K970" s="26">
        <f>IF('DIVA Satislari'!I970="","",IFERROR(INDEX('E2E Nakliye Montaj'!$AS$3:$AS$1002,MATCH('DIVA Satislari'!AJ970,'E2E Nakliye Montaj'!$AM$3:$AM$1002,0)),"Eşleşme Yok"))</f>
        <v/>
      </c>
      <c r="L970" s="26">
        <f>IF('DIVA Satislari'!I970="","",IFERROR(INDEX('E2E Nakliye Montaj'!$AT$3:$AT$1002,MATCH('DIVA Satislari'!AJ970,'E2E Nakliye Montaj'!$AM$3:$AM$1002,0)),"Hayır"))</f>
        <v/>
      </c>
      <c r="M970" s="26">
        <f>IF('DIVA Satislari'!I970="","",IFERROR(INDEX('E2E Nakliye Montaj'!$AU$3:$AU$1002,MATCH('DIVA Satislari'!AJ970,'E2E Nakliye Montaj'!$AM$3:$AM$1002,0)),"Hayır"))</f>
        <v/>
      </c>
      <c r="N970" s="27">
        <f>IF('DIVA Satislari'!I970="","",IFERROR(INDEX('E2E Nakliye Montaj'!$AV$3:$AV$1002,MATCH('DIVA Satislari'!AJ970,'E2E Nakliye Montaj'!$AM$3:$AM$1002,0)),""))</f>
        <v/>
      </c>
      <c r="O970" s="26">
        <f>IF(OR(A970="",N970=""),"",IF(N970&lt;=H970,"Evet","HAYIR - RİSK"))</f>
        <v/>
      </c>
      <c r="P970" s="26">
        <f>IF(A970="","",IF(LEFT(J970,8)="Kural A ","Uygun - Hemen Ödenir (Yıl Sonu %75 Kontrolüne Tabi)",IF(OR(L970="Evet",M970="Evet"),IF(O970="Evet","Uygun","RİSK - Hakediş Süresi Aşıldı"),"Bekleniyor - Nakliye/Montaj Tamamlanmadı")))</f>
        <v/>
      </c>
      <c r="Q970" s="28">
        <f>IF(A970="","",SUMIFS('Hakedis Fatura Detay'!$G$3:$G$1200,'Hakedis Fatura Detay'!$H$3:$H$1200,'DIVA Satislari'!AJ970,'Hakedis Fatura Detay'!$F$3:$F$1200,"Fiyat Farkı")+SUMIFS('Hakedis Fatura Detay'!$G$3:$G$1200,'Hakedis Fatura Detay'!$H$3:$H$1200,'DIVA Satislari'!AJ970,'Hakedis Fatura Detay'!$F$3:$F$1200,"Bundle"))</f>
        <v/>
      </c>
      <c r="R970" s="28">
        <f>IF(A970="","",I970-Q970)</f>
        <v/>
      </c>
      <c r="S970" s="26">
        <f>IF(A970="","",IF(LEFT(P970,7)="Bekleni","N/A - Henüz Ödenmemeli",IF(LEFT(P970,4)="RİSK","İNCELEME GEREKLİ - Süre Aşımı",IF(R970=0,"Doğru",IF(R970&gt;0,"EKSİK ÖDENMİŞ","FAZLA ÖDENMİŞ")))))</f>
        <v/>
      </c>
      <c r="T970" s="30">
        <f>IF(A970="","",IF(F970&lt;&gt;"Evet","İNCELEME GEREKLİ - Kampanya Tanımsız",IF(G970&lt;&gt;"Evet","İNCELEME GEREKLİ - Tarih Dışı Satış",IF(LEFT(P970,4)="RİSK","İNCELEME GEREKLİ - Hakediş Süresi Aşıldı",IF(OR(S970="EKSİK ÖDENMİŞ",S970="FAZLA ÖDENMİŞ"),"İNCELEME GEREKLİ - Tutar Uyuşmazlığı",IF(LEFT(P970,7)="Bekleni","Bekleniyor","Uygun"))))))</f>
        <v/>
      </c>
    </row>
    <row r="971">
      <c r="A971" s="26">
        <f>IF('DIVA Satislari'!I971="","",'DIVA Satislari'!I971)</f>
        <v/>
      </c>
      <c r="B971" s="26">
        <f>IF('DIVA Satislari'!I971="","",'DIVA Satislari'!R971)</f>
        <v/>
      </c>
      <c r="C971" s="26">
        <f>IF('DIVA Satislari'!I971="","",'DIVA Satislari'!M971)</f>
        <v/>
      </c>
      <c r="D971" s="27">
        <f>IF('DIVA Satislari'!I971="","",'DIVA Satislari'!H971)</f>
        <v/>
      </c>
      <c r="E971" s="26">
        <f>IF('DIVA Satislari'!I971="","",'DIVA Satislari'!O971)</f>
        <v/>
      </c>
      <c r="F971" s="26">
        <f>IF('DIVA Satislari'!I971="","",'DIVA Satislari'!AK971)</f>
        <v/>
      </c>
      <c r="G971" s="26">
        <f>IF('DIVA Satislari'!I971="","",'DIVA Satislari'!AO971)</f>
        <v/>
      </c>
      <c r="H971" s="27">
        <f>IF('DIVA Satislari'!I971="","",'DIVA Satislari'!AN971)</f>
        <v/>
      </c>
      <c r="I971" s="28">
        <f>IF('DIVA Satislari'!I971="","",'DIVA Satislari'!AQ971)</f>
        <v/>
      </c>
      <c r="J971" s="26">
        <f>IF('DIVA Satislari'!I971="","",'DIVA Satislari'!AR971)</f>
        <v/>
      </c>
      <c r="K971" s="26">
        <f>IF('DIVA Satislari'!I971="","",IFERROR(INDEX('E2E Nakliye Montaj'!$AS$3:$AS$1002,MATCH('DIVA Satislari'!AJ971,'E2E Nakliye Montaj'!$AM$3:$AM$1002,0)),"Eşleşme Yok"))</f>
        <v/>
      </c>
      <c r="L971" s="26">
        <f>IF('DIVA Satislari'!I971="","",IFERROR(INDEX('E2E Nakliye Montaj'!$AT$3:$AT$1002,MATCH('DIVA Satislari'!AJ971,'E2E Nakliye Montaj'!$AM$3:$AM$1002,0)),"Hayır"))</f>
        <v/>
      </c>
      <c r="M971" s="26">
        <f>IF('DIVA Satislari'!I971="","",IFERROR(INDEX('E2E Nakliye Montaj'!$AU$3:$AU$1002,MATCH('DIVA Satislari'!AJ971,'E2E Nakliye Montaj'!$AM$3:$AM$1002,0)),"Hayır"))</f>
        <v/>
      </c>
      <c r="N971" s="27">
        <f>IF('DIVA Satislari'!I971="","",IFERROR(INDEX('E2E Nakliye Montaj'!$AV$3:$AV$1002,MATCH('DIVA Satislari'!AJ971,'E2E Nakliye Montaj'!$AM$3:$AM$1002,0)),""))</f>
        <v/>
      </c>
      <c r="O971" s="26">
        <f>IF(OR(A971="",N971=""),"",IF(N971&lt;=H971,"Evet","HAYIR - RİSK"))</f>
        <v/>
      </c>
      <c r="P971" s="26">
        <f>IF(A971="","",IF(LEFT(J971,8)="Kural A ","Uygun - Hemen Ödenir (Yıl Sonu %75 Kontrolüne Tabi)",IF(OR(L971="Evet",M971="Evet"),IF(O971="Evet","Uygun","RİSK - Hakediş Süresi Aşıldı"),"Bekleniyor - Nakliye/Montaj Tamamlanmadı")))</f>
        <v/>
      </c>
      <c r="Q971" s="28">
        <f>IF(A971="","",SUMIFS('Hakedis Fatura Detay'!$G$3:$G$1200,'Hakedis Fatura Detay'!$H$3:$H$1200,'DIVA Satislari'!AJ971,'Hakedis Fatura Detay'!$F$3:$F$1200,"Fiyat Farkı")+SUMIFS('Hakedis Fatura Detay'!$G$3:$G$1200,'Hakedis Fatura Detay'!$H$3:$H$1200,'DIVA Satislari'!AJ971,'Hakedis Fatura Detay'!$F$3:$F$1200,"Bundle"))</f>
        <v/>
      </c>
      <c r="R971" s="28">
        <f>IF(A971="","",I971-Q971)</f>
        <v/>
      </c>
      <c r="S971" s="26">
        <f>IF(A971="","",IF(LEFT(P971,7)="Bekleni","N/A - Henüz Ödenmemeli",IF(LEFT(P971,4)="RİSK","İNCELEME GEREKLİ - Süre Aşımı",IF(R971=0,"Doğru",IF(R971&gt;0,"EKSİK ÖDENMİŞ","FAZLA ÖDENMİŞ")))))</f>
        <v/>
      </c>
      <c r="T971" s="30">
        <f>IF(A971="","",IF(F971&lt;&gt;"Evet","İNCELEME GEREKLİ - Kampanya Tanımsız",IF(G971&lt;&gt;"Evet","İNCELEME GEREKLİ - Tarih Dışı Satış",IF(LEFT(P971,4)="RİSK","İNCELEME GEREKLİ - Hakediş Süresi Aşıldı",IF(OR(S971="EKSİK ÖDENMİŞ",S971="FAZLA ÖDENMİŞ"),"İNCELEME GEREKLİ - Tutar Uyuşmazlığı",IF(LEFT(P971,7)="Bekleni","Bekleniyor","Uygun"))))))</f>
        <v/>
      </c>
    </row>
    <row r="972">
      <c r="A972" s="26">
        <f>IF('DIVA Satislari'!I972="","",'DIVA Satislari'!I972)</f>
        <v/>
      </c>
      <c r="B972" s="26">
        <f>IF('DIVA Satislari'!I972="","",'DIVA Satislari'!R972)</f>
        <v/>
      </c>
      <c r="C972" s="26">
        <f>IF('DIVA Satislari'!I972="","",'DIVA Satislari'!M972)</f>
        <v/>
      </c>
      <c r="D972" s="27">
        <f>IF('DIVA Satislari'!I972="","",'DIVA Satislari'!H972)</f>
        <v/>
      </c>
      <c r="E972" s="26">
        <f>IF('DIVA Satislari'!I972="","",'DIVA Satislari'!O972)</f>
        <v/>
      </c>
      <c r="F972" s="26">
        <f>IF('DIVA Satislari'!I972="","",'DIVA Satislari'!AK972)</f>
        <v/>
      </c>
      <c r="G972" s="26">
        <f>IF('DIVA Satislari'!I972="","",'DIVA Satislari'!AO972)</f>
        <v/>
      </c>
      <c r="H972" s="27">
        <f>IF('DIVA Satislari'!I972="","",'DIVA Satislari'!AN972)</f>
        <v/>
      </c>
      <c r="I972" s="28">
        <f>IF('DIVA Satislari'!I972="","",'DIVA Satislari'!AQ972)</f>
        <v/>
      </c>
      <c r="J972" s="26">
        <f>IF('DIVA Satislari'!I972="","",'DIVA Satislari'!AR972)</f>
        <v/>
      </c>
      <c r="K972" s="26">
        <f>IF('DIVA Satislari'!I972="","",IFERROR(INDEX('E2E Nakliye Montaj'!$AS$3:$AS$1002,MATCH('DIVA Satislari'!AJ972,'E2E Nakliye Montaj'!$AM$3:$AM$1002,0)),"Eşleşme Yok"))</f>
        <v/>
      </c>
      <c r="L972" s="26">
        <f>IF('DIVA Satislari'!I972="","",IFERROR(INDEX('E2E Nakliye Montaj'!$AT$3:$AT$1002,MATCH('DIVA Satislari'!AJ972,'E2E Nakliye Montaj'!$AM$3:$AM$1002,0)),"Hayır"))</f>
        <v/>
      </c>
      <c r="M972" s="26">
        <f>IF('DIVA Satislari'!I972="","",IFERROR(INDEX('E2E Nakliye Montaj'!$AU$3:$AU$1002,MATCH('DIVA Satislari'!AJ972,'E2E Nakliye Montaj'!$AM$3:$AM$1002,0)),"Hayır"))</f>
        <v/>
      </c>
      <c r="N972" s="27">
        <f>IF('DIVA Satislari'!I972="","",IFERROR(INDEX('E2E Nakliye Montaj'!$AV$3:$AV$1002,MATCH('DIVA Satislari'!AJ972,'E2E Nakliye Montaj'!$AM$3:$AM$1002,0)),""))</f>
        <v/>
      </c>
      <c r="O972" s="26">
        <f>IF(OR(A972="",N972=""),"",IF(N972&lt;=H972,"Evet","HAYIR - RİSK"))</f>
        <v/>
      </c>
      <c r="P972" s="26">
        <f>IF(A972="","",IF(LEFT(J972,8)="Kural A ","Uygun - Hemen Ödenir (Yıl Sonu %75 Kontrolüne Tabi)",IF(OR(L972="Evet",M972="Evet"),IF(O972="Evet","Uygun","RİSK - Hakediş Süresi Aşıldı"),"Bekleniyor - Nakliye/Montaj Tamamlanmadı")))</f>
        <v/>
      </c>
      <c r="Q972" s="28">
        <f>IF(A972="","",SUMIFS('Hakedis Fatura Detay'!$G$3:$G$1200,'Hakedis Fatura Detay'!$H$3:$H$1200,'DIVA Satislari'!AJ972,'Hakedis Fatura Detay'!$F$3:$F$1200,"Fiyat Farkı")+SUMIFS('Hakedis Fatura Detay'!$G$3:$G$1200,'Hakedis Fatura Detay'!$H$3:$H$1200,'DIVA Satislari'!AJ972,'Hakedis Fatura Detay'!$F$3:$F$1200,"Bundle"))</f>
        <v/>
      </c>
      <c r="R972" s="28">
        <f>IF(A972="","",I972-Q972)</f>
        <v/>
      </c>
      <c r="S972" s="26">
        <f>IF(A972="","",IF(LEFT(P972,7)="Bekleni","N/A - Henüz Ödenmemeli",IF(LEFT(P972,4)="RİSK","İNCELEME GEREKLİ - Süre Aşımı",IF(R972=0,"Doğru",IF(R972&gt;0,"EKSİK ÖDENMİŞ","FAZLA ÖDENMİŞ")))))</f>
        <v/>
      </c>
      <c r="T972" s="30">
        <f>IF(A972="","",IF(F972&lt;&gt;"Evet","İNCELEME GEREKLİ - Kampanya Tanımsız",IF(G972&lt;&gt;"Evet","İNCELEME GEREKLİ - Tarih Dışı Satış",IF(LEFT(P972,4)="RİSK","İNCELEME GEREKLİ - Hakediş Süresi Aşıldı",IF(OR(S972="EKSİK ÖDENMİŞ",S972="FAZLA ÖDENMİŞ"),"İNCELEME GEREKLİ - Tutar Uyuşmazlığı",IF(LEFT(P972,7)="Bekleni","Bekleniyor","Uygun"))))))</f>
        <v/>
      </c>
    </row>
    <row r="973">
      <c r="A973" s="26">
        <f>IF('DIVA Satislari'!I973="","",'DIVA Satislari'!I973)</f>
        <v/>
      </c>
      <c r="B973" s="26">
        <f>IF('DIVA Satislari'!I973="","",'DIVA Satislari'!R973)</f>
        <v/>
      </c>
      <c r="C973" s="26">
        <f>IF('DIVA Satislari'!I973="","",'DIVA Satislari'!M973)</f>
        <v/>
      </c>
      <c r="D973" s="27">
        <f>IF('DIVA Satislari'!I973="","",'DIVA Satislari'!H973)</f>
        <v/>
      </c>
      <c r="E973" s="26">
        <f>IF('DIVA Satislari'!I973="","",'DIVA Satislari'!O973)</f>
        <v/>
      </c>
      <c r="F973" s="26">
        <f>IF('DIVA Satislari'!I973="","",'DIVA Satislari'!AK973)</f>
        <v/>
      </c>
      <c r="G973" s="26">
        <f>IF('DIVA Satislari'!I973="","",'DIVA Satislari'!AO973)</f>
        <v/>
      </c>
      <c r="H973" s="27">
        <f>IF('DIVA Satislari'!I973="","",'DIVA Satislari'!AN973)</f>
        <v/>
      </c>
      <c r="I973" s="28">
        <f>IF('DIVA Satislari'!I973="","",'DIVA Satislari'!AQ973)</f>
        <v/>
      </c>
      <c r="J973" s="26">
        <f>IF('DIVA Satislari'!I973="","",'DIVA Satislari'!AR973)</f>
        <v/>
      </c>
      <c r="K973" s="26">
        <f>IF('DIVA Satislari'!I973="","",IFERROR(INDEX('E2E Nakliye Montaj'!$AS$3:$AS$1002,MATCH('DIVA Satislari'!AJ973,'E2E Nakliye Montaj'!$AM$3:$AM$1002,0)),"Eşleşme Yok"))</f>
        <v/>
      </c>
      <c r="L973" s="26">
        <f>IF('DIVA Satislari'!I973="","",IFERROR(INDEX('E2E Nakliye Montaj'!$AT$3:$AT$1002,MATCH('DIVA Satislari'!AJ973,'E2E Nakliye Montaj'!$AM$3:$AM$1002,0)),"Hayır"))</f>
        <v/>
      </c>
      <c r="M973" s="26">
        <f>IF('DIVA Satislari'!I973="","",IFERROR(INDEX('E2E Nakliye Montaj'!$AU$3:$AU$1002,MATCH('DIVA Satislari'!AJ973,'E2E Nakliye Montaj'!$AM$3:$AM$1002,0)),"Hayır"))</f>
        <v/>
      </c>
      <c r="N973" s="27">
        <f>IF('DIVA Satislari'!I973="","",IFERROR(INDEX('E2E Nakliye Montaj'!$AV$3:$AV$1002,MATCH('DIVA Satislari'!AJ973,'E2E Nakliye Montaj'!$AM$3:$AM$1002,0)),""))</f>
        <v/>
      </c>
      <c r="O973" s="26">
        <f>IF(OR(A973="",N973=""),"",IF(N973&lt;=H973,"Evet","HAYIR - RİSK"))</f>
        <v/>
      </c>
      <c r="P973" s="26">
        <f>IF(A973="","",IF(LEFT(J973,8)="Kural A ","Uygun - Hemen Ödenir (Yıl Sonu %75 Kontrolüne Tabi)",IF(OR(L973="Evet",M973="Evet"),IF(O973="Evet","Uygun","RİSK - Hakediş Süresi Aşıldı"),"Bekleniyor - Nakliye/Montaj Tamamlanmadı")))</f>
        <v/>
      </c>
      <c r="Q973" s="28">
        <f>IF(A973="","",SUMIFS('Hakedis Fatura Detay'!$G$3:$G$1200,'Hakedis Fatura Detay'!$H$3:$H$1200,'DIVA Satislari'!AJ973,'Hakedis Fatura Detay'!$F$3:$F$1200,"Fiyat Farkı")+SUMIFS('Hakedis Fatura Detay'!$G$3:$G$1200,'Hakedis Fatura Detay'!$H$3:$H$1200,'DIVA Satislari'!AJ973,'Hakedis Fatura Detay'!$F$3:$F$1200,"Bundle"))</f>
        <v/>
      </c>
      <c r="R973" s="28">
        <f>IF(A973="","",I973-Q973)</f>
        <v/>
      </c>
      <c r="S973" s="26">
        <f>IF(A973="","",IF(LEFT(P973,7)="Bekleni","N/A - Henüz Ödenmemeli",IF(LEFT(P973,4)="RİSK","İNCELEME GEREKLİ - Süre Aşımı",IF(R973=0,"Doğru",IF(R973&gt;0,"EKSİK ÖDENMİŞ","FAZLA ÖDENMİŞ")))))</f>
        <v/>
      </c>
      <c r="T973" s="30">
        <f>IF(A973="","",IF(F973&lt;&gt;"Evet","İNCELEME GEREKLİ - Kampanya Tanımsız",IF(G973&lt;&gt;"Evet","İNCELEME GEREKLİ - Tarih Dışı Satış",IF(LEFT(P973,4)="RİSK","İNCELEME GEREKLİ - Hakediş Süresi Aşıldı",IF(OR(S973="EKSİK ÖDENMİŞ",S973="FAZLA ÖDENMİŞ"),"İNCELEME GEREKLİ - Tutar Uyuşmazlığı",IF(LEFT(P973,7)="Bekleni","Bekleniyor","Uygun"))))))</f>
        <v/>
      </c>
    </row>
    <row r="974">
      <c r="A974" s="26">
        <f>IF('DIVA Satislari'!I974="","",'DIVA Satislari'!I974)</f>
        <v/>
      </c>
      <c r="B974" s="26">
        <f>IF('DIVA Satislari'!I974="","",'DIVA Satislari'!R974)</f>
        <v/>
      </c>
      <c r="C974" s="26">
        <f>IF('DIVA Satislari'!I974="","",'DIVA Satislari'!M974)</f>
        <v/>
      </c>
      <c r="D974" s="27">
        <f>IF('DIVA Satislari'!I974="","",'DIVA Satislari'!H974)</f>
        <v/>
      </c>
      <c r="E974" s="26">
        <f>IF('DIVA Satislari'!I974="","",'DIVA Satislari'!O974)</f>
        <v/>
      </c>
      <c r="F974" s="26">
        <f>IF('DIVA Satislari'!I974="","",'DIVA Satislari'!AK974)</f>
        <v/>
      </c>
      <c r="G974" s="26">
        <f>IF('DIVA Satislari'!I974="","",'DIVA Satislari'!AO974)</f>
        <v/>
      </c>
      <c r="H974" s="27">
        <f>IF('DIVA Satislari'!I974="","",'DIVA Satislari'!AN974)</f>
        <v/>
      </c>
      <c r="I974" s="28">
        <f>IF('DIVA Satislari'!I974="","",'DIVA Satislari'!AQ974)</f>
        <v/>
      </c>
      <c r="J974" s="26">
        <f>IF('DIVA Satislari'!I974="","",'DIVA Satislari'!AR974)</f>
        <v/>
      </c>
      <c r="K974" s="26">
        <f>IF('DIVA Satislari'!I974="","",IFERROR(INDEX('E2E Nakliye Montaj'!$AS$3:$AS$1002,MATCH('DIVA Satislari'!AJ974,'E2E Nakliye Montaj'!$AM$3:$AM$1002,0)),"Eşleşme Yok"))</f>
        <v/>
      </c>
      <c r="L974" s="26">
        <f>IF('DIVA Satislari'!I974="","",IFERROR(INDEX('E2E Nakliye Montaj'!$AT$3:$AT$1002,MATCH('DIVA Satislari'!AJ974,'E2E Nakliye Montaj'!$AM$3:$AM$1002,0)),"Hayır"))</f>
        <v/>
      </c>
      <c r="M974" s="26">
        <f>IF('DIVA Satislari'!I974="","",IFERROR(INDEX('E2E Nakliye Montaj'!$AU$3:$AU$1002,MATCH('DIVA Satislari'!AJ974,'E2E Nakliye Montaj'!$AM$3:$AM$1002,0)),"Hayır"))</f>
        <v/>
      </c>
      <c r="N974" s="27">
        <f>IF('DIVA Satislari'!I974="","",IFERROR(INDEX('E2E Nakliye Montaj'!$AV$3:$AV$1002,MATCH('DIVA Satislari'!AJ974,'E2E Nakliye Montaj'!$AM$3:$AM$1002,0)),""))</f>
        <v/>
      </c>
      <c r="O974" s="26">
        <f>IF(OR(A974="",N974=""),"",IF(N974&lt;=H974,"Evet","HAYIR - RİSK"))</f>
        <v/>
      </c>
      <c r="P974" s="26">
        <f>IF(A974="","",IF(LEFT(J974,8)="Kural A ","Uygun - Hemen Ödenir (Yıl Sonu %75 Kontrolüne Tabi)",IF(OR(L974="Evet",M974="Evet"),IF(O974="Evet","Uygun","RİSK - Hakediş Süresi Aşıldı"),"Bekleniyor - Nakliye/Montaj Tamamlanmadı")))</f>
        <v/>
      </c>
      <c r="Q974" s="28">
        <f>IF(A974="","",SUMIFS('Hakedis Fatura Detay'!$G$3:$G$1200,'Hakedis Fatura Detay'!$H$3:$H$1200,'DIVA Satislari'!AJ974,'Hakedis Fatura Detay'!$F$3:$F$1200,"Fiyat Farkı")+SUMIFS('Hakedis Fatura Detay'!$G$3:$G$1200,'Hakedis Fatura Detay'!$H$3:$H$1200,'DIVA Satislari'!AJ974,'Hakedis Fatura Detay'!$F$3:$F$1200,"Bundle"))</f>
        <v/>
      </c>
      <c r="R974" s="28">
        <f>IF(A974="","",I974-Q974)</f>
        <v/>
      </c>
      <c r="S974" s="26">
        <f>IF(A974="","",IF(LEFT(P974,7)="Bekleni","N/A - Henüz Ödenmemeli",IF(LEFT(P974,4)="RİSK","İNCELEME GEREKLİ - Süre Aşımı",IF(R974=0,"Doğru",IF(R974&gt;0,"EKSİK ÖDENMİŞ","FAZLA ÖDENMİŞ")))))</f>
        <v/>
      </c>
      <c r="T974" s="30">
        <f>IF(A974="","",IF(F974&lt;&gt;"Evet","İNCELEME GEREKLİ - Kampanya Tanımsız",IF(G974&lt;&gt;"Evet","İNCELEME GEREKLİ - Tarih Dışı Satış",IF(LEFT(P974,4)="RİSK","İNCELEME GEREKLİ - Hakediş Süresi Aşıldı",IF(OR(S974="EKSİK ÖDENMİŞ",S974="FAZLA ÖDENMİŞ"),"İNCELEME GEREKLİ - Tutar Uyuşmazlığı",IF(LEFT(P974,7)="Bekleni","Bekleniyor","Uygun"))))))</f>
        <v/>
      </c>
    </row>
    <row r="975">
      <c r="A975" s="26">
        <f>IF('DIVA Satislari'!I975="","",'DIVA Satislari'!I975)</f>
        <v/>
      </c>
      <c r="B975" s="26">
        <f>IF('DIVA Satislari'!I975="","",'DIVA Satislari'!R975)</f>
        <v/>
      </c>
      <c r="C975" s="26">
        <f>IF('DIVA Satislari'!I975="","",'DIVA Satislari'!M975)</f>
        <v/>
      </c>
      <c r="D975" s="27">
        <f>IF('DIVA Satislari'!I975="","",'DIVA Satislari'!H975)</f>
        <v/>
      </c>
      <c r="E975" s="26">
        <f>IF('DIVA Satislari'!I975="","",'DIVA Satislari'!O975)</f>
        <v/>
      </c>
      <c r="F975" s="26">
        <f>IF('DIVA Satislari'!I975="","",'DIVA Satislari'!AK975)</f>
        <v/>
      </c>
      <c r="G975" s="26">
        <f>IF('DIVA Satislari'!I975="","",'DIVA Satislari'!AO975)</f>
        <v/>
      </c>
      <c r="H975" s="27">
        <f>IF('DIVA Satislari'!I975="","",'DIVA Satislari'!AN975)</f>
        <v/>
      </c>
      <c r="I975" s="28">
        <f>IF('DIVA Satislari'!I975="","",'DIVA Satislari'!AQ975)</f>
        <v/>
      </c>
      <c r="J975" s="26">
        <f>IF('DIVA Satislari'!I975="","",'DIVA Satislari'!AR975)</f>
        <v/>
      </c>
      <c r="K975" s="26">
        <f>IF('DIVA Satislari'!I975="","",IFERROR(INDEX('E2E Nakliye Montaj'!$AS$3:$AS$1002,MATCH('DIVA Satislari'!AJ975,'E2E Nakliye Montaj'!$AM$3:$AM$1002,0)),"Eşleşme Yok"))</f>
        <v/>
      </c>
      <c r="L975" s="26">
        <f>IF('DIVA Satislari'!I975="","",IFERROR(INDEX('E2E Nakliye Montaj'!$AT$3:$AT$1002,MATCH('DIVA Satislari'!AJ975,'E2E Nakliye Montaj'!$AM$3:$AM$1002,0)),"Hayır"))</f>
        <v/>
      </c>
      <c r="M975" s="26">
        <f>IF('DIVA Satislari'!I975="","",IFERROR(INDEX('E2E Nakliye Montaj'!$AU$3:$AU$1002,MATCH('DIVA Satislari'!AJ975,'E2E Nakliye Montaj'!$AM$3:$AM$1002,0)),"Hayır"))</f>
        <v/>
      </c>
      <c r="N975" s="27">
        <f>IF('DIVA Satislari'!I975="","",IFERROR(INDEX('E2E Nakliye Montaj'!$AV$3:$AV$1002,MATCH('DIVA Satislari'!AJ975,'E2E Nakliye Montaj'!$AM$3:$AM$1002,0)),""))</f>
        <v/>
      </c>
      <c r="O975" s="26">
        <f>IF(OR(A975="",N975=""),"",IF(N975&lt;=H975,"Evet","HAYIR - RİSK"))</f>
        <v/>
      </c>
      <c r="P975" s="26">
        <f>IF(A975="","",IF(LEFT(J975,8)="Kural A ","Uygun - Hemen Ödenir (Yıl Sonu %75 Kontrolüne Tabi)",IF(OR(L975="Evet",M975="Evet"),IF(O975="Evet","Uygun","RİSK - Hakediş Süresi Aşıldı"),"Bekleniyor - Nakliye/Montaj Tamamlanmadı")))</f>
        <v/>
      </c>
      <c r="Q975" s="28">
        <f>IF(A975="","",SUMIFS('Hakedis Fatura Detay'!$G$3:$G$1200,'Hakedis Fatura Detay'!$H$3:$H$1200,'DIVA Satislari'!AJ975,'Hakedis Fatura Detay'!$F$3:$F$1200,"Fiyat Farkı")+SUMIFS('Hakedis Fatura Detay'!$G$3:$G$1200,'Hakedis Fatura Detay'!$H$3:$H$1200,'DIVA Satislari'!AJ975,'Hakedis Fatura Detay'!$F$3:$F$1200,"Bundle"))</f>
        <v/>
      </c>
      <c r="R975" s="28">
        <f>IF(A975="","",I975-Q975)</f>
        <v/>
      </c>
      <c r="S975" s="26">
        <f>IF(A975="","",IF(LEFT(P975,7)="Bekleni","N/A - Henüz Ödenmemeli",IF(LEFT(P975,4)="RİSK","İNCELEME GEREKLİ - Süre Aşımı",IF(R975=0,"Doğru",IF(R975&gt;0,"EKSİK ÖDENMİŞ","FAZLA ÖDENMİŞ")))))</f>
        <v/>
      </c>
      <c r="T975" s="30">
        <f>IF(A975="","",IF(F975&lt;&gt;"Evet","İNCELEME GEREKLİ - Kampanya Tanımsız",IF(G975&lt;&gt;"Evet","İNCELEME GEREKLİ - Tarih Dışı Satış",IF(LEFT(P975,4)="RİSK","İNCELEME GEREKLİ - Hakediş Süresi Aşıldı",IF(OR(S975="EKSİK ÖDENMİŞ",S975="FAZLA ÖDENMİŞ"),"İNCELEME GEREKLİ - Tutar Uyuşmazlığı",IF(LEFT(P975,7)="Bekleni","Bekleniyor","Uygun"))))))</f>
        <v/>
      </c>
    </row>
    <row r="976">
      <c r="A976" s="26">
        <f>IF('DIVA Satislari'!I976="","",'DIVA Satislari'!I976)</f>
        <v/>
      </c>
      <c r="B976" s="26">
        <f>IF('DIVA Satislari'!I976="","",'DIVA Satislari'!R976)</f>
        <v/>
      </c>
      <c r="C976" s="26">
        <f>IF('DIVA Satislari'!I976="","",'DIVA Satislari'!M976)</f>
        <v/>
      </c>
      <c r="D976" s="27">
        <f>IF('DIVA Satislari'!I976="","",'DIVA Satislari'!H976)</f>
        <v/>
      </c>
      <c r="E976" s="26">
        <f>IF('DIVA Satislari'!I976="","",'DIVA Satislari'!O976)</f>
        <v/>
      </c>
      <c r="F976" s="26">
        <f>IF('DIVA Satislari'!I976="","",'DIVA Satislari'!AK976)</f>
        <v/>
      </c>
      <c r="G976" s="26">
        <f>IF('DIVA Satislari'!I976="","",'DIVA Satislari'!AO976)</f>
        <v/>
      </c>
      <c r="H976" s="27">
        <f>IF('DIVA Satislari'!I976="","",'DIVA Satislari'!AN976)</f>
        <v/>
      </c>
      <c r="I976" s="28">
        <f>IF('DIVA Satislari'!I976="","",'DIVA Satislari'!AQ976)</f>
        <v/>
      </c>
      <c r="J976" s="26">
        <f>IF('DIVA Satislari'!I976="","",'DIVA Satislari'!AR976)</f>
        <v/>
      </c>
      <c r="K976" s="26">
        <f>IF('DIVA Satislari'!I976="","",IFERROR(INDEX('E2E Nakliye Montaj'!$AS$3:$AS$1002,MATCH('DIVA Satislari'!AJ976,'E2E Nakliye Montaj'!$AM$3:$AM$1002,0)),"Eşleşme Yok"))</f>
        <v/>
      </c>
      <c r="L976" s="26">
        <f>IF('DIVA Satislari'!I976="","",IFERROR(INDEX('E2E Nakliye Montaj'!$AT$3:$AT$1002,MATCH('DIVA Satislari'!AJ976,'E2E Nakliye Montaj'!$AM$3:$AM$1002,0)),"Hayır"))</f>
        <v/>
      </c>
      <c r="M976" s="26">
        <f>IF('DIVA Satislari'!I976="","",IFERROR(INDEX('E2E Nakliye Montaj'!$AU$3:$AU$1002,MATCH('DIVA Satislari'!AJ976,'E2E Nakliye Montaj'!$AM$3:$AM$1002,0)),"Hayır"))</f>
        <v/>
      </c>
      <c r="N976" s="27">
        <f>IF('DIVA Satislari'!I976="","",IFERROR(INDEX('E2E Nakliye Montaj'!$AV$3:$AV$1002,MATCH('DIVA Satislari'!AJ976,'E2E Nakliye Montaj'!$AM$3:$AM$1002,0)),""))</f>
        <v/>
      </c>
      <c r="O976" s="26">
        <f>IF(OR(A976="",N976=""),"",IF(N976&lt;=H976,"Evet","HAYIR - RİSK"))</f>
        <v/>
      </c>
      <c r="P976" s="26">
        <f>IF(A976="","",IF(LEFT(J976,8)="Kural A ","Uygun - Hemen Ödenir (Yıl Sonu %75 Kontrolüne Tabi)",IF(OR(L976="Evet",M976="Evet"),IF(O976="Evet","Uygun","RİSK - Hakediş Süresi Aşıldı"),"Bekleniyor - Nakliye/Montaj Tamamlanmadı")))</f>
        <v/>
      </c>
      <c r="Q976" s="28">
        <f>IF(A976="","",SUMIFS('Hakedis Fatura Detay'!$G$3:$G$1200,'Hakedis Fatura Detay'!$H$3:$H$1200,'DIVA Satislari'!AJ976,'Hakedis Fatura Detay'!$F$3:$F$1200,"Fiyat Farkı")+SUMIFS('Hakedis Fatura Detay'!$G$3:$G$1200,'Hakedis Fatura Detay'!$H$3:$H$1200,'DIVA Satislari'!AJ976,'Hakedis Fatura Detay'!$F$3:$F$1200,"Bundle"))</f>
        <v/>
      </c>
      <c r="R976" s="28">
        <f>IF(A976="","",I976-Q976)</f>
        <v/>
      </c>
      <c r="S976" s="26">
        <f>IF(A976="","",IF(LEFT(P976,7)="Bekleni","N/A - Henüz Ödenmemeli",IF(LEFT(P976,4)="RİSK","İNCELEME GEREKLİ - Süre Aşımı",IF(R976=0,"Doğru",IF(R976&gt;0,"EKSİK ÖDENMİŞ","FAZLA ÖDENMİŞ")))))</f>
        <v/>
      </c>
      <c r="T976" s="30">
        <f>IF(A976="","",IF(F976&lt;&gt;"Evet","İNCELEME GEREKLİ - Kampanya Tanımsız",IF(G976&lt;&gt;"Evet","İNCELEME GEREKLİ - Tarih Dışı Satış",IF(LEFT(P976,4)="RİSK","İNCELEME GEREKLİ - Hakediş Süresi Aşıldı",IF(OR(S976="EKSİK ÖDENMİŞ",S976="FAZLA ÖDENMİŞ"),"İNCELEME GEREKLİ - Tutar Uyuşmazlığı",IF(LEFT(P976,7)="Bekleni","Bekleniyor","Uygun"))))))</f>
        <v/>
      </c>
    </row>
    <row r="977">
      <c r="A977" s="26">
        <f>IF('DIVA Satislari'!I977="","",'DIVA Satislari'!I977)</f>
        <v/>
      </c>
      <c r="B977" s="26">
        <f>IF('DIVA Satislari'!I977="","",'DIVA Satislari'!R977)</f>
        <v/>
      </c>
      <c r="C977" s="26">
        <f>IF('DIVA Satislari'!I977="","",'DIVA Satislari'!M977)</f>
        <v/>
      </c>
      <c r="D977" s="27">
        <f>IF('DIVA Satislari'!I977="","",'DIVA Satislari'!H977)</f>
        <v/>
      </c>
      <c r="E977" s="26">
        <f>IF('DIVA Satislari'!I977="","",'DIVA Satislari'!O977)</f>
        <v/>
      </c>
      <c r="F977" s="26">
        <f>IF('DIVA Satislari'!I977="","",'DIVA Satislari'!AK977)</f>
        <v/>
      </c>
      <c r="G977" s="26">
        <f>IF('DIVA Satislari'!I977="","",'DIVA Satislari'!AO977)</f>
        <v/>
      </c>
      <c r="H977" s="27">
        <f>IF('DIVA Satislari'!I977="","",'DIVA Satislari'!AN977)</f>
        <v/>
      </c>
      <c r="I977" s="28">
        <f>IF('DIVA Satislari'!I977="","",'DIVA Satislari'!AQ977)</f>
        <v/>
      </c>
      <c r="J977" s="26">
        <f>IF('DIVA Satislari'!I977="","",'DIVA Satislari'!AR977)</f>
        <v/>
      </c>
      <c r="K977" s="26">
        <f>IF('DIVA Satislari'!I977="","",IFERROR(INDEX('E2E Nakliye Montaj'!$AS$3:$AS$1002,MATCH('DIVA Satislari'!AJ977,'E2E Nakliye Montaj'!$AM$3:$AM$1002,0)),"Eşleşme Yok"))</f>
        <v/>
      </c>
      <c r="L977" s="26">
        <f>IF('DIVA Satislari'!I977="","",IFERROR(INDEX('E2E Nakliye Montaj'!$AT$3:$AT$1002,MATCH('DIVA Satislari'!AJ977,'E2E Nakliye Montaj'!$AM$3:$AM$1002,0)),"Hayır"))</f>
        <v/>
      </c>
      <c r="M977" s="26">
        <f>IF('DIVA Satislari'!I977="","",IFERROR(INDEX('E2E Nakliye Montaj'!$AU$3:$AU$1002,MATCH('DIVA Satislari'!AJ977,'E2E Nakliye Montaj'!$AM$3:$AM$1002,0)),"Hayır"))</f>
        <v/>
      </c>
      <c r="N977" s="27">
        <f>IF('DIVA Satislari'!I977="","",IFERROR(INDEX('E2E Nakliye Montaj'!$AV$3:$AV$1002,MATCH('DIVA Satislari'!AJ977,'E2E Nakliye Montaj'!$AM$3:$AM$1002,0)),""))</f>
        <v/>
      </c>
      <c r="O977" s="26">
        <f>IF(OR(A977="",N977=""),"",IF(N977&lt;=H977,"Evet","HAYIR - RİSK"))</f>
        <v/>
      </c>
      <c r="P977" s="26">
        <f>IF(A977="","",IF(LEFT(J977,8)="Kural A ","Uygun - Hemen Ödenir (Yıl Sonu %75 Kontrolüne Tabi)",IF(OR(L977="Evet",M977="Evet"),IF(O977="Evet","Uygun","RİSK - Hakediş Süresi Aşıldı"),"Bekleniyor - Nakliye/Montaj Tamamlanmadı")))</f>
        <v/>
      </c>
      <c r="Q977" s="28">
        <f>IF(A977="","",SUMIFS('Hakedis Fatura Detay'!$G$3:$G$1200,'Hakedis Fatura Detay'!$H$3:$H$1200,'DIVA Satislari'!AJ977,'Hakedis Fatura Detay'!$F$3:$F$1200,"Fiyat Farkı")+SUMIFS('Hakedis Fatura Detay'!$G$3:$G$1200,'Hakedis Fatura Detay'!$H$3:$H$1200,'DIVA Satislari'!AJ977,'Hakedis Fatura Detay'!$F$3:$F$1200,"Bundle"))</f>
        <v/>
      </c>
      <c r="R977" s="28">
        <f>IF(A977="","",I977-Q977)</f>
        <v/>
      </c>
      <c r="S977" s="26">
        <f>IF(A977="","",IF(LEFT(P977,7)="Bekleni","N/A - Henüz Ödenmemeli",IF(LEFT(P977,4)="RİSK","İNCELEME GEREKLİ - Süre Aşımı",IF(R977=0,"Doğru",IF(R977&gt;0,"EKSİK ÖDENMİŞ","FAZLA ÖDENMİŞ")))))</f>
        <v/>
      </c>
      <c r="T977" s="30">
        <f>IF(A977="","",IF(F977&lt;&gt;"Evet","İNCELEME GEREKLİ - Kampanya Tanımsız",IF(G977&lt;&gt;"Evet","İNCELEME GEREKLİ - Tarih Dışı Satış",IF(LEFT(P977,4)="RİSK","İNCELEME GEREKLİ - Hakediş Süresi Aşıldı",IF(OR(S977="EKSİK ÖDENMİŞ",S977="FAZLA ÖDENMİŞ"),"İNCELEME GEREKLİ - Tutar Uyuşmazlığı",IF(LEFT(P977,7)="Bekleni","Bekleniyor","Uygun"))))))</f>
        <v/>
      </c>
    </row>
    <row r="978">
      <c r="A978" s="26">
        <f>IF('DIVA Satislari'!I978="","",'DIVA Satislari'!I978)</f>
        <v/>
      </c>
      <c r="B978" s="26">
        <f>IF('DIVA Satislari'!I978="","",'DIVA Satislari'!R978)</f>
        <v/>
      </c>
      <c r="C978" s="26">
        <f>IF('DIVA Satislari'!I978="","",'DIVA Satislari'!M978)</f>
        <v/>
      </c>
      <c r="D978" s="27">
        <f>IF('DIVA Satislari'!I978="","",'DIVA Satislari'!H978)</f>
        <v/>
      </c>
      <c r="E978" s="26">
        <f>IF('DIVA Satislari'!I978="","",'DIVA Satislari'!O978)</f>
        <v/>
      </c>
      <c r="F978" s="26">
        <f>IF('DIVA Satislari'!I978="","",'DIVA Satislari'!AK978)</f>
        <v/>
      </c>
      <c r="G978" s="26">
        <f>IF('DIVA Satislari'!I978="","",'DIVA Satislari'!AO978)</f>
        <v/>
      </c>
      <c r="H978" s="27">
        <f>IF('DIVA Satislari'!I978="","",'DIVA Satislari'!AN978)</f>
        <v/>
      </c>
      <c r="I978" s="28">
        <f>IF('DIVA Satislari'!I978="","",'DIVA Satislari'!AQ978)</f>
        <v/>
      </c>
      <c r="J978" s="26">
        <f>IF('DIVA Satislari'!I978="","",'DIVA Satislari'!AR978)</f>
        <v/>
      </c>
      <c r="K978" s="26">
        <f>IF('DIVA Satislari'!I978="","",IFERROR(INDEX('E2E Nakliye Montaj'!$AS$3:$AS$1002,MATCH('DIVA Satislari'!AJ978,'E2E Nakliye Montaj'!$AM$3:$AM$1002,0)),"Eşleşme Yok"))</f>
        <v/>
      </c>
      <c r="L978" s="26">
        <f>IF('DIVA Satislari'!I978="","",IFERROR(INDEX('E2E Nakliye Montaj'!$AT$3:$AT$1002,MATCH('DIVA Satislari'!AJ978,'E2E Nakliye Montaj'!$AM$3:$AM$1002,0)),"Hayır"))</f>
        <v/>
      </c>
      <c r="M978" s="26">
        <f>IF('DIVA Satislari'!I978="","",IFERROR(INDEX('E2E Nakliye Montaj'!$AU$3:$AU$1002,MATCH('DIVA Satislari'!AJ978,'E2E Nakliye Montaj'!$AM$3:$AM$1002,0)),"Hayır"))</f>
        <v/>
      </c>
      <c r="N978" s="27">
        <f>IF('DIVA Satislari'!I978="","",IFERROR(INDEX('E2E Nakliye Montaj'!$AV$3:$AV$1002,MATCH('DIVA Satislari'!AJ978,'E2E Nakliye Montaj'!$AM$3:$AM$1002,0)),""))</f>
        <v/>
      </c>
      <c r="O978" s="26">
        <f>IF(OR(A978="",N978=""),"",IF(N978&lt;=H978,"Evet","HAYIR - RİSK"))</f>
        <v/>
      </c>
      <c r="P978" s="26">
        <f>IF(A978="","",IF(LEFT(J978,8)="Kural A ","Uygun - Hemen Ödenir (Yıl Sonu %75 Kontrolüne Tabi)",IF(OR(L978="Evet",M978="Evet"),IF(O978="Evet","Uygun","RİSK - Hakediş Süresi Aşıldı"),"Bekleniyor - Nakliye/Montaj Tamamlanmadı")))</f>
        <v/>
      </c>
      <c r="Q978" s="28">
        <f>IF(A978="","",SUMIFS('Hakedis Fatura Detay'!$G$3:$G$1200,'Hakedis Fatura Detay'!$H$3:$H$1200,'DIVA Satislari'!AJ978,'Hakedis Fatura Detay'!$F$3:$F$1200,"Fiyat Farkı")+SUMIFS('Hakedis Fatura Detay'!$G$3:$G$1200,'Hakedis Fatura Detay'!$H$3:$H$1200,'DIVA Satislari'!AJ978,'Hakedis Fatura Detay'!$F$3:$F$1200,"Bundle"))</f>
        <v/>
      </c>
      <c r="R978" s="28">
        <f>IF(A978="","",I978-Q978)</f>
        <v/>
      </c>
      <c r="S978" s="26">
        <f>IF(A978="","",IF(LEFT(P978,7)="Bekleni","N/A - Henüz Ödenmemeli",IF(LEFT(P978,4)="RİSK","İNCELEME GEREKLİ - Süre Aşımı",IF(R978=0,"Doğru",IF(R978&gt;0,"EKSİK ÖDENMİŞ","FAZLA ÖDENMİŞ")))))</f>
        <v/>
      </c>
      <c r="T978" s="30">
        <f>IF(A978="","",IF(F978&lt;&gt;"Evet","İNCELEME GEREKLİ - Kampanya Tanımsız",IF(G978&lt;&gt;"Evet","İNCELEME GEREKLİ - Tarih Dışı Satış",IF(LEFT(P978,4)="RİSK","İNCELEME GEREKLİ - Hakediş Süresi Aşıldı",IF(OR(S978="EKSİK ÖDENMİŞ",S978="FAZLA ÖDENMİŞ"),"İNCELEME GEREKLİ - Tutar Uyuşmazlığı",IF(LEFT(P978,7)="Bekleni","Bekleniyor","Uygun"))))))</f>
        <v/>
      </c>
    </row>
    <row r="979">
      <c r="A979" s="26">
        <f>IF('DIVA Satislari'!I979="","",'DIVA Satislari'!I979)</f>
        <v/>
      </c>
      <c r="B979" s="26">
        <f>IF('DIVA Satislari'!I979="","",'DIVA Satislari'!R979)</f>
        <v/>
      </c>
      <c r="C979" s="26">
        <f>IF('DIVA Satislari'!I979="","",'DIVA Satislari'!M979)</f>
        <v/>
      </c>
      <c r="D979" s="27">
        <f>IF('DIVA Satislari'!I979="","",'DIVA Satislari'!H979)</f>
        <v/>
      </c>
      <c r="E979" s="26">
        <f>IF('DIVA Satislari'!I979="","",'DIVA Satislari'!O979)</f>
        <v/>
      </c>
      <c r="F979" s="26">
        <f>IF('DIVA Satislari'!I979="","",'DIVA Satislari'!AK979)</f>
        <v/>
      </c>
      <c r="G979" s="26">
        <f>IF('DIVA Satislari'!I979="","",'DIVA Satislari'!AO979)</f>
        <v/>
      </c>
      <c r="H979" s="27">
        <f>IF('DIVA Satislari'!I979="","",'DIVA Satislari'!AN979)</f>
        <v/>
      </c>
      <c r="I979" s="28">
        <f>IF('DIVA Satislari'!I979="","",'DIVA Satislari'!AQ979)</f>
        <v/>
      </c>
      <c r="J979" s="26">
        <f>IF('DIVA Satislari'!I979="","",'DIVA Satislari'!AR979)</f>
        <v/>
      </c>
      <c r="K979" s="26">
        <f>IF('DIVA Satislari'!I979="","",IFERROR(INDEX('E2E Nakliye Montaj'!$AS$3:$AS$1002,MATCH('DIVA Satislari'!AJ979,'E2E Nakliye Montaj'!$AM$3:$AM$1002,0)),"Eşleşme Yok"))</f>
        <v/>
      </c>
      <c r="L979" s="26">
        <f>IF('DIVA Satislari'!I979="","",IFERROR(INDEX('E2E Nakliye Montaj'!$AT$3:$AT$1002,MATCH('DIVA Satislari'!AJ979,'E2E Nakliye Montaj'!$AM$3:$AM$1002,0)),"Hayır"))</f>
        <v/>
      </c>
      <c r="M979" s="26">
        <f>IF('DIVA Satislari'!I979="","",IFERROR(INDEX('E2E Nakliye Montaj'!$AU$3:$AU$1002,MATCH('DIVA Satislari'!AJ979,'E2E Nakliye Montaj'!$AM$3:$AM$1002,0)),"Hayır"))</f>
        <v/>
      </c>
      <c r="N979" s="27">
        <f>IF('DIVA Satislari'!I979="","",IFERROR(INDEX('E2E Nakliye Montaj'!$AV$3:$AV$1002,MATCH('DIVA Satislari'!AJ979,'E2E Nakliye Montaj'!$AM$3:$AM$1002,0)),""))</f>
        <v/>
      </c>
      <c r="O979" s="26">
        <f>IF(OR(A979="",N979=""),"",IF(N979&lt;=H979,"Evet","HAYIR - RİSK"))</f>
        <v/>
      </c>
      <c r="P979" s="26">
        <f>IF(A979="","",IF(LEFT(J979,8)="Kural A ","Uygun - Hemen Ödenir (Yıl Sonu %75 Kontrolüne Tabi)",IF(OR(L979="Evet",M979="Evet"),IF(O979="Evet","Uygun","RİSK - Hakediş Süresi Aşıldı"),"Bekleniyor - Nakliye/Montaj Tamamlanmadı")))</f>
        <v/>
      </c>
      <c r="Q979" s="28">
        <f>IF(A979="","",SUMIFS('Hakedis Fatura Detay'!$G$3:$G$1200,'Hakedis Fatura Detay'!$H$3:$H$1200,'DIVA Satislari'!AJ979,'Hakedis Fatura Detay'!$F$3:$F$1200,"Fiyat Farkı")+SUMIFS('Hakedis Fatura Detay'!$G$3:$G$1200,'Hakedis Fatura Detay'!$H$3:$H$1200,'DIVA Satislari'!AJ979,'Hakedis Fatura Detay'!$F$3:$F$1200,"Bundle"))</f>
        <v/>
      </c>
      <c r="R979" s="28">
        <f>IF(A979="","",I979-Q979)</f>
        <v/>
      </c>
      <c r="S979" s="26">
        <f>IF(A979="","",IF(LEFT(P979,7)="Bekleni","N/A - Henüz Ödenmemeli",IF(LEFT(P979,4)="RİSK","İNCELEME GEREKLİ - Süre Aşımı",IF(R979=0,"Doğru",IF(R979&gt;0,"EKSİK ÖDENMİŞ","FAZLA ÖDENMİŞ")))))</f>
        <v/>
      </c>
      <c r="T979" s="30">
        <f>IF(A979="","",IF(F979&lt;&gt;"Evet","İNCELEME GEREKLİ - Kampanya Tanımsız",IF(G979&lt;&gt;"Evet","İNCELEME GEREKLİ - Tarih Dışı Satış",IF(LEFT(P979,4)="RİSK","İNCELEME GEREKLİ - Hakediş Süresi Aşıldı",IF(OR(S979="EKSİK ÖDENMİŞ",S979="FAZLA ÖDENMİŞ"),"İNCELEME GEREKLİ - Tutar Uyuşmazlığı",IF(LEFT(P979,7)="Bekleni","Bekleniyor","Uygun"))))))</f>
        <v/>
      </c>
    </row>
    <row r="980">
      <c r="A980" s="26">
        <f>IF('DIVA Satislari'!I980="","",'DIVA Satislari'!I980)</f>
        <v/>
      </c>
      <c r="B980" s="26">
        <f>IF('DIVA Satislari'!I980="","",'DIVA Satislari'!R980)</f>
        <v/>
      </c>
      <c r="C980" s="26">
        <f>IF('DIVA Satislari'!I980="","",'DIVA Satislari'!M980)</f>
        <v/>
      </c>
      <c r="D980" s="27">
        <f>IF('DIVA Satislari'!I980="","",'DIVA Satislari'!H980)</f>
        <v/>
      </c>
      <c r="E980" s="26">
        <f>IF('DIVA Satislari'!I980="","",'DIVA Satislari'!O980)</f>
        <v/>
      </c>
      <c r="F980" s="26">
        <f>IF('DIVA Satislari'!I980="","",'DIVA Satislari'!AK980)</f>
        <v/>
      </c>
      <c r="G980" s="26">
        <f>IF('DIVA Satislari'!I980="","",'DIVA Satislari'!AO980)</f>
        <v/>
      </c>
      <c r="H980" s="27">
        <f>IF('DIVA Satislari'!I980="","",'DIVA Satislari'!AN980)</f>
        <v/>
      </c>
      <c r="I980" s="28">
        <f>IF('DIVA Satislari'!I980="","",'DIVA Satislari'!AQ980)</f>
        <v/>
      </c>
      <c r="J980" s="26">
        <f>IF('DIVA Satislari'!I980="","",'DIVA Satislari'!AR980)</f>
        <v/>
      </c>
      <c r="K980" s="26">
        <f>IF('DIVA Satislari'!I980="","",IFERROR(INDEX('E2E Nakliye Montaj'!$AS$3:$AS$1002,MATCH('DIVA Satislari'!AJ980,'E2E Nakliye Montaj'!$AM$3:$AM$1002,0)),"Eşleşme Yok"))</f>
        <v/>
      </c>
      <c r="L980" s="26">
        <f>IF('DIVA Satislari'!I980="","",IFERROR(INDEX('E2E Nakliye Montaj'!$AT$3:$AT$1002,MATCH('DIVA Satislari'!AJ980,'E2E Nakliye Montaj'!$AM$3:$AM$1002,0)),"Hayır"))</f>
        <v/>
      </c>
      <c r="M980" s="26">
        <f>IF('DIVA Satislari'!I980="","",IFERROR(INDEX('E2E Nakliye Montaj'!$AU$3:$AU$1002,MATCH('DIVA Satislari'!AJ980,'E2E Nakliye Montaj'!$AM$3:$AM$1002,0)),"Hayır"))</f>
        <v/>
      </c>
      <c r="N980" s="27">
        <f>IF('DIVA Satislari'!I980="","",IFERROR(INDEX('E2E Nakliye Montaj'!$AV$3:$AV$1002,MATCH('DIVA Satislari'!AJ980,'E2E Nakliye Montaj'!$AM$3:$AM$1002,0)),""))</f>
        <v/>
      </c>
      <c r="O980" s="26">
        <f>IF(OR(A980="",N980=""),"",IF(N980&lt;=H980,"Evet","HAYIR - RİSK"))</f>
        <v/>
      </c>
      <c r="P980" s="26">
        <f>IF(A980="","",IF(LEFT(J980,8)="Kural A ","Uygun - Hemen Ödenir (Yıl Sonu %75 Kontrolüne Tabi)",IF(OR(L980="Evet",M980="Evet"),IF(O980="Evet","Uygun","RİSK - Hakediş Süresi Aşıldı"),"Bekleniyor - Nakliye/Montaj Tamamlanmadı")))</f>
        <v/>
      </c>
      <c r="Q980" s="28">
        <f>IF(A980="","",SUMIFS('Hakedis Fatura Detay'!$G$3:$G$1200,'Hakedis Fatura Detay'!$H$3:$H$1200,'DIVA Satislari'!AJ980,'Hakedis Fatura Detay'!$F$3:$F$1200,"Fiyat Farkı")+SUMIFS('Hakedis Fatura Detay'!$G$3:$G$1200,'Hakedis Fatura Detay'!$H$3:$H$1200,'DIVA Satislari'!AJ980,'Hakedis Fatura Detay'!$F$3:$F$1200,"Bundle"))</f>
        <v/>
      </c>
      <c r="R980" s="28">
        <f>IF(A980="","",I980-Q980)</f>
        <v/>
      </c>
      <c r="S980" s="26">
        <f>IF(A980="","",IF(LEFT(P980,7)="Bekleni","N/A - Henüz Ödenmemeli",IF(LEFT(P980,4)="RİSK","İNCELEME GEREKLİ - Süre Aşımı",IF(R980=0,"Doğru",IF(R980&gt;0,"EKSİK ÖDENMİŞ","FAZLA ÖDENMİŞ")))))</f>
        <v/>
      </c>
      <c r="T980" s="30">
        <f>IF(A980="","",IF(F980&lt;&gt;"Evet","İNCELEME GEREKLİ - Kampanya Tanımsız",IF(G980&lt;&gt;"Evet","İNCELEME GEREKLİ - Tarih Dışı Satış",IF(LEFT(P980,4)="RİSK","İNCELEME GEREKLİ - Hakediş Süresi Aşıldı",IF(OR(S980="EKSİK ÖDENMİŞ",S980="FAZLA ÖDENMİŞ"),"İNCELEME GEREKLİ - Tutar Uyuşmazlığı",IF(LEFT(P980,7)="Bekleni","Bekleniyor","Uygun"))))))</f>
        <v/>
      </c>
    </row>
    <row r="981">
      <c r="A981" s="26">
        <f>IF('DIVA Satislari'!I981="","",'DIVA Satislari'!I981)</f>
        <v/>
      </c>
      <c r="B981" s="26">
        <f>IF('DIVA Satislari'!I981="","",'DIVA Satislari'!R981)</f>
        <v/>
      </c>
      <c r="C981" s="26">
        <f>IF('DIVA Satislari'!I981="","",'DIVA Satislari'!M981)</f>
        <v/>
      </c>
      <c r="D981" s="27">
        <f>IF('DIVA Satislari'!I981="","",'DIVA Satislari'!H981)</f>
        <v/>
      </c>
      <c r="E981" s="26">
        <f>IF('DIVA Satislari'!I981="","",'DIVA Satislari'!O981)</f>
        <v/>
      </c>
      <c r="F981" s="26">
        <f>IF('DIVA Satislari'!I981="","",'DIVA Satislari'!AK981)</f>
        <v/>
      </c>
      <c r="G981" s="26">
        <f>IF('DIVA Satislari'!I981="","",'DIVA Satislari'!AO981)</f>
        <v/>
      </c>
      <c r="H981" s="27">
        <f>IF('DIVA Satislari'!I981="","",'DIVA Satislari'!AN981)</f>
        <v/>
      </c>
      <c r="I981" s="28">
        <f>IF('DIVA Satislari'!I981="","",'DIVA Satislari'!AQ981)</f>
        <v/>
      </c>
      <c r="J981" s="26">
        <f>IF('DIVA Satislari'!I981="","",'DIVA Satislari'!AR981)</f>
        <v/>
      </c>
      <c r="K981" s="26">
        <f>IF('DIVA Satislari'!I981="","",IFERROR(INDEX('E2E Nakliye Montaj'!$AS$3:$AS$1002,MATCH('DIVA Satislari'!AJ981,'E2E Nakliye Montaj'!$AM$3:$AM$1002,0)),"Eşleşme Yok"))</f>
        <v/>
      </c>
      <c r="L981" s="26">
        <f>IF('DIVA Satislari'!I981="","",IFERROR(INDEX('E2E Nakliye Montaj'!$AT$3:$AT$1002,MATCH('DIVA Satislari'!AJ981,'E2E Nakliye Montaj'!$AM$3:$AM$1002,0)),"Hayır"))</f>
        <v/>
      </c>
      <c r="M981" s="26">
        <f>IF('DIVA Satislari'!I981="","",IFERROR(INDEX('E2E Nakliye Montaj'!$AU$3:$AU$1002,MATCH('DIVA Satislari'!AJ981,'E2E Nakliye Montaj'!$AM$3:$AM$1002,0)),"Hayır"))</f>
        <v/>
      </c>
      <c r="N981" s="27">
        <f>IF('DIVA Satislari'!I981="","",IFERROR(INDEX('E2E Nakliye Montaj'!$AV$3:$AV$1002,MATCH('DIVA Satislari'!AJ981,'E2E Nakliye Montaj'!$AM$3:$AM$1002,0)),""))</f>
        <v/>
      </c>
      <c r="O981" s="26">
        <f>IF(OR(A981="",N981=""),"",IF(N981&lt;=H981,"Evet","HAYIR - RİSK"))</f>
        <v/>
      </c>
      <c r="P981" s="26">
        <f>IF(A981="","",IF(LEFT(J981,8)="Kural A ","Uygun - Hemen Ödenir (Yıl Sonu %75 Kontrolüne Tabi)",IF(OR(L981="Evet",M981="Evet"),IF(O981="Evet","Uygun","RİSK - Hakediş Süresi Aşıldı"),"Bekleniyor - Nakliye/Montaj Tamamlanmadı")))</f>
        <v/>
      </c>
      <c r="Q981" s="28">
        <f>IF(A981="","",SUMIFS('Hakedis Fatura Detay'!$G$3:$G$1200,'Hakedis Fatura Detay'!$H$3:$H$1200,'DIVA Satislari'!AJ981,'Hakedis Fatura Detay'!$F$3:$F$1200,"Fiyat Farkı")+SUMIFS('Hakedis Fatura Detay'!$G$3:$G$1200,'Hakedis Fatura Detay'!$H$3:$H$1200,'DIVA Satislari'!AJ981,'Hakedis Fatura Detay'!$F$3:$F$1200,"Bundle"))</f>
        <v/>
      </c>
      <c r="R981" s="28">
        <f>IF(A981="","",I981-Q981)</f>
        <v/>
      </c>
      <c r="S981" s="26">
        <f>IF(A981="","",IF(LEFT(P981,7)="Bekleni","N/A - Henüz Ödenmemeli",IF(LEFT(P981,4)="RİSK","İNCELEME GEREKLİ - Süre Aşımı",IF(R981=0,"Doğru",IF(R981&gt;0,"EKSİK ÖDENMİŞ","FAZLA ÖDENMİŞ")))))</f>
        <v/>
      </c>
      <c r="T981" s="30">
        <f>IF(A981="","",IF(F981&lt;&gt;"Evet","İNCELEME GEREKLİ - Kampanya Tanımsız",IF(G981&lt;&gt;"Evet","İNCELEME GEREKLİ - Tarih Dışı Satış",IF(LEFT(P981,4)="RİSK","İNCELEME GEREKLİ - Hakediş Süresi Aşıldı",IF(OR(S981="EKSİK ÖDENMİŞ",S981="FAZLA ÖDENMİŞ"),"İNCELEME GEREKLİ - Tutar Uyuşmazlığı",IF(LEFT(P981,7)="Bekleni","Bekleniyor","Uygun"))))))</f>
        <v/>
      </c>
    </row>
    <row r="982">
      <c r="A982" s="26">
        <f>IF('DIVA Satislari'!I982="","",'DIVA Satislari'!I982)</f>
        <v/>
      </c>
      <c r="B982" s="26">
        <f>IF('DIVA Satislari'!I982="","",'DIVA Satislari'!R982)</f>
        <v/>
      </c>
      <c r="C982" s="26">
        <f>IF('DIVA Satislari'!I982="","",'DIVA Satislari'!M982)</f>
        <v/>
      </c>
      <c r="D982" s="27">
        <f>IF('DIVA Satislari'!I982="","",'DIVA Satislari'!H982)</f>
        <v/>
      </c>
      <c r="E982" s="26">
        <f>IF('DIVA Satislari'!I982="","",'DIVA Satislari'!O982)</f>
        <v/>
      </c>
      <c r="F982" s="26">
        <f>IF('DIVA Satislari'!I982="","",'DIVA Satislari'!AK982)</f>
        <v/>
      </c>
      <c r="G982" s="26">
        <f>IF('DIVA Satislari'!I982="","",'DIVA Satislari'!AO982)</f>
        <v/>
      </c>
      <c r="H982" s="27">
        <f>IF('DIVA Satislari'!I982="","",'DIVA Satislari'!AN982)</f>
        <v/>
      </c>
      <c r="I982" s="28">
        <f>IF('DIVA Satislari'!I982="","",'DIVA Satislari'!AQ982)</f>
        <v/>
      </c>
      <c r="J982" s="26">
        <f>IF('DIVA Satislari'!I982="","",'DIVA Satislari'!AR982)</f>
        <v/>
      </c>
      <c r="K982" s="26">
        <f>IF('DIVA Satislari'!I982="","",IFERROR(INDEX('E2E Nakliye Montaj'!$AS$3:$AS$1002,MATCH('DIVA Satislari'!AJ982,'E2E Nakliye Montaj'!$AM$3:$AM$1002,0)),"Eşleşme Yok"))</f>
        <v/>
      </c>
      <c r="L982" s="26">
        <f>IF('DIVA Satislari'!I982="","",IFERROR(INDEX('E2E Nakliye Montaj'!$AT$3:$AT$1002,MATCH('DIVA Satislari'!AJ982,'E2E Nakliye Montaj'!$AM$3:$AM$1002,0)),"Hayır"))</f>
        <v/>
      </c>
      <c r="M982" s="26">
        <f>IF('DIVA Satislari'!I982="","",IFERROR(INDEX('E2E Nakliye Montaj'!$AU$3:$AU$1002,MATCH('DIVA Satislari'!AJ982,'E2E Nakliye Montaj'!$AM$3:$AM$1002,0)),"Hayır"))</f>
        <v/>
      </c>
      <c r="N982" s="27">
        <f>IF('DIVA Satislari'!I982="","",IFERROR(INDEX('E2E Nakliye Montaj'!$AV$3:$AV$1002,MATCH('DIVA Satislari'!AJ982,'E2E Nakliye Montaj'!$AM$3:$AM$1002,0)),""))</f>
        <v/>
      </c>
      <c r="O982" s="26">
        <f>IF(OR(A982="",N982=""),"",IF(N982&lt;=H982,"Evet","HAYIR - RİSK"))</f>
        <v/>
      </c>
      <c r="P982" s="26">
        <f>IF(A982="","",IF(LEFT(J982,8)="Kural A ","Uygun - Hemen Ödenir (Yıl Sonu %75 Kontrolüne Tabi)",IF(OR(L982="Evet",M982="Evet"),IF(O982="Evet","Uygun","RİSK - Hakediş Süresi Aşıldı"),"Bekleniyor - Nakliye/Montaj Tamamlanmadı")))</f>
        <v/>
      </c>
      <c r="Q982" s="28">
        <f>IF(A982="","",SUMIFS('Hakedis Fatura Detay'!$G$3:$G$1200,'Hakedis Fatura Detay'!$H$3:$H$1200,'DIVA Satislari'!AJ982,'Hakedis Fatura Detay'!$F$3:$F$1200,"Fiyat Farkı")+SUMIFS('Hakedis Fatura Detay'!$G$3:$G$1200,'Hakedis Fatura Detay'!$H$3:$H$1200,'DIVA Satislari'!AJ982,'Hakedis Fatura Detay'!$F$3:$F$1200,"Bundle"))</f>
        <v/>
      </c>
      <c r="R982" s="28">
        <f>IF(A982="","",I982-Q982)</f>
        <v/>
      </c>
      <c r="S982" s="26">
        <f>IF(A982="","",IF(LEFT(P982,7)="Bekleni","N/A - Henüz Ödenmemeli",IF(LEFT(P982,4)="RİSK","İNCELEME GEREKLİ - Süre Aşımı",IF(R982=0,"Doğru",IF(R982&gt;0,"EKSİK ÖDENMİŞ","FAZLA ÖDENMİŞ")))))</f>
        <v/>
      </c>
      <c r="T982" s="30">
        <f>IF(A982="","",IF(F982&lt;&gt;"Evet","İNCELEME GEREKLİ - Kampanya Tanımsız",IF(G982&lt;&gt;"Evet","İNCELEME GEREKLİ - Tarih Dışı Satış",IF(LEFT(P982,4)="RİSK","İNCELEME GEREKLİ - Hakediş Süresi Aşıldı",IF(OR(S982="EKSİK ÖDENMİŞ",S982="FAZLA ÖDENMİŞ"),"İNCELEME GEREKLİ - Tutar Uyuşmazlığı",IF(LEFT(P982,7)="Bekleni","Bekleniyor","Uygun"))))))</f>
        <v/>
      </c>
    </row>
    <row r="983">
      <c r="A983" s="26">
        <f>IF('DIVA Satislari'!I983="","",'DIVA Satislari'!I983)</f>
        <v/>
      </c>
      <c r="B983" s="26">
        <f>IF('DIVA Satislari'!I983="","",'DIVA Satislari'!R983)</f>
        <v/>
      </c>
      <c r="C983" s="26">
        <f>IF('DIVA Satislari'!I983="","",'DIVA Satislari'!M983)</f>
        <v/>
      </c>
      <c r="D983" s="27">
        <f>IF('DIVA Satislari'!I983="","",'DIVA Satislari'!H983)</f>
        <v/>
      </c>
      <c r="E983" s="26">
        <f>IF('DIVA Satislari'!I983="","",'DIVA Satislari'!O983)</f>
        <v/>
      </c>
      <c r="F983" s="26">
        <f>IF('DIVA Satislari'!I983="","",'DIVA Satislari'!AK983)</f>
        <v/>
      </c>
      <c r="G983" s="26">
        <f>IF('DIVA Satislari'!I983="","",'DIVA Satislari'!AO983)</f>
        <v/>
      </c>
      <c r="H983" s="27">
        <f>IF('DIVA Satislari'!I983="","",'DIVA Satislari'!AN983)</f>
        <v/>
      </c>
      <c r="I983" s="28">
        <f>IF('DIVA Satislari'!I983="","",'DIVA Satislari'!AQ983)</f>
        <v/>
      </c>
      <c r="J983" s="26">
        <f>IF('DIVA Satislari'!I983="","",'DIVA Satislari'!AR983)</f>
        <v/>
      </c>
      <c r="K983" s="26">
        <f>IF('DIVA Satislari'!I983="","",IFERROR(INDEX('E2E Nakliye Montaj'!$AS$3:$AS$1002,MATCH('DIVA Satislari'!AJ983,'E2E Nakliye Montaj'!$AM$3:$AM$1002,0)),"Eşleşme Yok"))</f>
        <v/>
      </c>
      <c r="L983" s="26">
        <f>IF('DIVA Satislari'!I983="","",IFERROR(INDEX('E2E Nakliye Montaj'!$AT$3:$AT$1002,MATCH('DIVA Satislari'!AJ983,'E2E Nakliye Montaj'!$AM$3:$AM$1002,0)),"Hayır"))</f>
        <v/>
      </c>
      <c r="M983" s="26">
        <f>IF('DIVA Satislari'!I983="","",IFERROR(INDEX('E2E Nakliye Montaj'!$AU$3:$AU$1002,MATCH('DIVA Satislari'!AJ983,'E2E Nakliye Montaj'!$AM$3:$AM$1002,0)),"Hayır"))</f>
        <v/>
      </c>
      <c r="N983" s="27">
        <f>IF('DIVA Satislari'!I983="","",IFERROR(INDEX('E2E Nakliye Montaj'!$AV$3:$AV$1002,MATCH('DIVA Satislari'!AJ983,'E2E Nakliye Montaj'!$AM$3:$AM$1002,0)),""))</f>
        <v/>
      </c>
      <c r="O983" s="26">
        <f>IF(OR(A983="",N983=""),"",IF(N983&lt;=H983,"Evet","HAYIR - RİSK"))</f>
        <v/>
      </c>
      <c r="P983" s="26">
        <f>IF(A983="","",IF(LEFT(J983,8)="Kural A ","Uygun - Hemen Ödenir (Yıl Sonu %75 Kontrolüne Tabi)",IF(OR(L983="Evet",M983="Evet"),IF(O983="Evet","Uygun","RİSK - Hakediş Süresi Aşıldı"),"Bekleniyor - Nakliye/Montaj Tamamlanmadı")))</f>
        <v/>
      </c>
      <c r="Q983" s="28">
        <f>IF(A983="","",SUMIFS('Hakedis Fatura Detay'!$G$3:$G$1200,'Hakedis Fatura Detay'!$H$3:$H$1200,'DIVA Satislari'!AJ983,'Hakedis Fatura Detay'!$F$3:$F$1200,"Fiyat Farkı")+SUMIFS('Hakedis Fatura Detay'!$G$3:$G$1200,'Hakedis Fatura Detay'!$H$3:$H$1200,'DIVA Satislari'!AJ983,'Hakedis Fatura Detay'!$F$3:$F$1200,"Bundle"))</f>
        <v/>
      </c>
      <c r="R983" s="28">
        <f>IF(A983="","",I983-Q983)</f>
        <v/>
      </c>
      <c r="S983" s="26">
        <f>IF(A983="","",IF(LEFT(P983,7)="Bekleni","N/A - Henüz Ödenmemeli",IF(LEFT(P983,4)="RİSK","İNCELEME GEREKLİ - Süre Aşımı",IF(R983=0,"Doğru",IF(R983&gt;0,"EKSİK ÖDENMİŞ","FAZLA ÖDENMİŞ")))))</f>
        <v/>
      </c>
      <c r="T983" s="30">
        <f>IF(A983="","",IF(F983&lt;&gt;"Evet","İNCELEME GEREKLİ - Kampanya Tanımsız",IF(G983&lt;&gt;"Evet","İNCELEME GEREKLİ - Tarih Dışı Satış",IF(LEFT(P983,4)="RİSK","İNCELEME GEREKLİ - Hakediş Süresi Aşıldı",IF(OR(S983="EKSİK ÖDENMİŞ",S983="FAZLA ÖDENMİŞ"),"İNCELEME GEREKLİ - Tutar Uyuşmazlığı",IF(LEFT(P983,7)="Bekleni","Bekleniyor","Uygun"))))))</f>
        <v/>
      </c>
    </row>
    <row r="984">
      <c r="A984" s="26">
        <f>IF('DIVA Satislari'!I984="","",'DIVA Satislari'!I984)</f>
        <v/>
      </c>
      <c r="B984" s="26">
        <f>IF('DIVA Satislari'!I984="","",'DIVA Satislari'!R984)</f>
        <v/>
      </c>
      <c r="C984" s="26">
        <f>IF('DIVA Satislari'!I984="","",'DIVA Satislari'!M984)</f>
        <v/>
      </c>
      <c r="D984" s="27">
        <f>IF('DIVA Satislari'!I984="","",'DIVA Satislari'!H984)</f>
        <v/>
      </c>
      <c r="E984" s="26">
        <f>IF('DIVA Satislari'!I984="","",'DIVA Satislari'!O984)</f>
        <v/>
      </c>
      <c r="F984" s="26">
        <f>IF('DIVA Satislari'!I984="","",'DIVA Satislari'!AK984)</f>
        <v/>
      </c>
      <c r="G984" s="26">
        <f>IF('DIVA Satislari'!I984="","",'DIVA Satislari'!AO984)</f>
        <v/>
      </c>
      <c r="H984" s="27">
        <f>IF('DIVA Satislari'!I984="","",'DIVA Satislari'!AN984)</f>
        <v/>
      </c>
      <c r="I984" s="28">
        <f>IF('DIVA Satislari'!I984="","",'DIVA Satislari'!AQ984)</f>
        <v/>
      </c>
      <c r="J984" s="26">
        <f>IF('DIVA Satislari'!I984="","",'DIVA Satislari'!AR984)</f>
        <v/>
      </c>
      <c r="K984" s="26">
        <f>IF('DIVA Satislari'!I984="","",IFERROR(INDEX('E2E Nakliye Montaj'!$AS$3:$AS$1002,MATCH('DIVA Satislari'!AJ984,'E2E Nakliye Montaj'!$AM$3:$AM$1002,0)),"Eşleşme Yok"))</f>
        <v/>
      </c>
      <c r="L984" s="26">
        <f>IF('DIVA Satislari'!I984="","",IFERROR(INDEX('E2E Nakliye Montaj'!$AT$3:$AT$1002,MATCH('DIVA Satislari'!AJ984,'E2E Nakliye Montaj'!$AM$3:$AM$1002,0)),"Hayır"))</f>
        <v/>
      </c>
      <c r="M984" s="26">
        <f>IF('DIVA Satislari'!I984="","",IFERROR(INDEX('E2E Nakliye Montaj'!$AU$3:$AU$1002,MATCH('DIVA Satislari'!AJ984,'E2E Nakliye Montaj'!$AM$3:$AM$1002,0)),"Hayır"))</f>
        <v/>
      </c>
      <c r="N984" s="27">
        <f>IF('DIVA Satislari'!I984="","",IFERROR(INDEX('E2E Nakliye Montaj'!$AV$3:$AV$1002,MATCH('DIVA Satislari'!AJ984,'E2E Nakliye Montaj'!$AM$3:$AM$1002,0)),""))</f>
        <v/>
      </c>
      <c r="O984" s="26">
        <f>IF(OR(A984="",N984=""),"",IF(N984&lt;=H984,"Evet","HAYIR - RİSK"))</f>
        <v/>
      </c>
      <c r="P984" s="26">
        <f>IF(A984="","",IF(LEFT(J984,8)="Kural A ","Uygun - Hemen Ödenir (Yıl Sonu %75 Kontrolüne Tabi)",IF(OR(L984="Evet",M984="Evet"),IF(O984="Evet","Uygun","RİSK - Hakediş Süresi Aşıldı"),"Bekleniyor - Nakliye/Montaj Tamamlanmadı")))</f>
        <v/>
      </c>
      <c r="Q984" s="28">
        <f>IF(A984="","",SUMIFS('Hakedis Fatura Detay'!$G$3:$G$1200,'Hakedis Fatura Detay'!$H$3:$H$1200,'DIVA Satislari'!AJ984,'Hakedis Fatura Detay'!$F$3:$F$1200,"Fiyat Farkı")+SUMIFS('Hakedis Fatura Detay'!$G$3:$G$1200,'Hakedis Fatura Detay'!$H$3:$H$1200,'DIVA Satislari'!AJ984,'Hakedis Fatura Detay'!$F$3:$F$1200,"Bundle"))</f>
        <v/>
      </c>
      <c r="R984" s="28">
        <f>IF(A984="","",I984-Q984)</f>
        <v/>
      </c>
      <c r="S984" s="26">
        <f>IF(A984="","",IF(LEFT(P984,7)="Bekleni","N/A - Henüz Ödenmemeli",IF(LEFT(P984,4)="RİSK","İNCELEME GEREKLİ - Süre Aşımı",IF(R984=0,"Doğru",IF(R984&gt;0,"EKSİK ÖDENMİŞ","FAZLA ÖDENMİŞ")))))</f>
        <v/>
      </c>
      <c r="T984" s="30">
        <f>IF(A984="","",IF(F984&lt;&gt;"Evet","İNCELEME GEREKLİ - Kampanya Tanımsız",IF(G984&lt;&gt;"Evet","İNCELEME GEREKLİ - Tarih Dışı Satış",IF(LEFT(P984,4)="RİSK","İNCELEME GEREKLİ - Hakediş Süresi Aşıldı",IF(OR(S984="EKSİK ÖDENMİŞ",S984="FAZLA ÖDENMİŞ"),"İNCELEME GEREKLİ - Tutar Uyuşmazlığı",IF(LEFT(P984,7)="Bekleni","Bekleniyor","Uygun"))))))</f>
        <v/>
      </c>
    </row>
    <row r="985">
      <c r="A985" s="26">
        <f>IF('DIVA Satislari'!I985="","",'DIVA Satislari'!I985)</f>
        <v/>
      </c>
      <c r="B985" s="26">
        <f>IF('DIVA Satislari'!I985="","",'DIVA Satislari'!R985)</f>
        <v/>
      </c>
      <c r="C985" s="26">
        <f>IF('DIVA Satislari'!I985="","",'DIVA Satislari'!M985)</f>
        <v/>
      </c>
      <c r="D985" s="27">
        <f>IF('DIVA Satislari'!I985="","",'DIVA Satislari'!H985)</f>
        <v/>
      </c>
      <c r="E985" s="26">
        <f>IF('DIVA Satislari'!I985="","",'DIVA Satislari'!O985)</f>
        <v/>
      </c>
      <c r="F985" s="26">
        <f>IF('DIVA Satislari'!I985="","",'DIVA Satislari'!AK985)</f>
        <v/>
      </c>
      <c r="G985" s="26">
        <f>IF('DIVA Satislari'!I985="","",'DIVA Satislari'!AO985)</f>
        <v/>
      </c>
      <c r="H985" s="27">
        <f>IF('DIVA Satislari'!I985="","",'DIVA Satislari'!AN985)</f>
        <v/>
      </c>
      <c r="I985" s="28">
        <f>IF('DIVA Satislari'!I985="","",'DIVA Satislari'!AQ985)</f>
        <v/>
      </c>
      <c r="J985" s="26">
        <f>IF('DIVA Satislari'!I985="","",'DIVA Satislari'!AR985)</f>
        <v/>
      </c>
      <c r="K985" s="26">
        <f>IF('DIVA Satislari'!I985="","",IFERROR(INDEX('E2E Nakliye Montaj'!$AS$3:$AS$1002,MATCH('DIVA Satislari'!AJ985,'E2E Nakliye Montaj'!$AM$3:$AM$1002,0)),"Eşleşme Yok"))</f>
        <v/>
      </c>
      <c r="L985" s="26">
        <f>IF('DIVA Satislari'!I985="","",IFERROR(INDEX('E2E Nakliye Montaj'!$AT$3:$AT$1002,MATCH('DIVA Satislari'!AJ985,'E2E Nakliye Montaj'!$AM$3:$AM$1002,0)),"Hayır"))</f>
        <v/>
      </c>
      <c r="M985" s="26">
        <f>IF('DIVA Satislari'!I985="","",IFERROR(INDEX('E2E Nakliye Montaj'!$AU$3:$AU$1002,MATCH('DIVA Satislari'!AJ985,'E2E Nakliye Montaj'!$AM$3:$AM$1002,0)),"Hayır"))</f>
        <v/>
      </c>
      <c r="N985" s="27">
        <f>IF('DIVA Satislari'!I985="","",IFERROR(INDEX('E2E Nakliye Montaj'!$AV$3:$AV$1002,MATCH('DIVA Satislari'!AJ985,'E2E Nakliye Montaj'!$AM$3:$AM$1002,0)),""))</f>
        <v/>
      </c>
      <c r="O985" s="26">
        <f>IF(OR(A985="",N985=""),"",IF(N985&lt;=H985,"Evet","HAYIR - RİSK"))</f>
        <v/>
      </c>
      <c r="P985" s="26">
        <f>IF(A985="","",IF(LEFT(J985,8)="Kural A ","Uygun - Hemen Ödenir (Yıl Sonu %75 Kontrolüne Tabi)",IF(OR(L985="Evet",M985="Evet"),IF(O985="Evet","Uygun","RİSK - Hakediş Süresi Aşıldı"),"Bekleniyor - Nakliye/Montaj Tamamlanmadı")))</f>
        <v/>
      </c>
      <c r="Q985" s="28">
        <f>IF(A985="","",SUMIFS('Hakedis Fatura Detay'!$G$3:$G$1200,'Hakedis Fatura Detay'!$H$3:$H$1200,'DIVA Satislari'!AJ985,'Hakedis Fatura Detay'!$F$3:$F$1200,"Fiyat Farkı")+SUMIFS('Hakedis Fatura Detay'!$G$3:$G$1200,'Hakedis Fatura Detay'!$H$3:$H$1200,'DIVA Satislari'!AJ985,'Hakedis Fatura Detay'!$F$3:$F$1200,"Bundle"))</f>
        <v/>
      </c>
      <c r="R985" s="28">
        <f>IF(A985="","",I985-Q985)</f>
        <v/>
      </c>
      <c r="S985" s="26">
        <f>IF(A985="","",IF(LEFT(P985,7)="Bekleni","N/A - Henüz Ödenmemeli",IF(LEFT(P985,4)="RİSK","İNCELEME GEREKLİ - Süre Aşımı",IF(R985=0,"Doğru",IF(R985&gt;0,"EKSİK ÖDENMİŞ","FAZLA ÖDENMİŞ")))))</f>
        <v/>
      </c>
      <c r="T985" s="30">
        <f>IF(A985="","",IF(F985&lt;&gt;"Evet","İNCELEME GEREKLİ - Kampanya Tanımsız",IF(G985&lt;&gt;"Evet","İNCELEME GEREKLİ - Tarih Dışı Satış",IF(LEFT(P985,4)="RİSK","İNCELEME GEREKLİ - Hakediş Süresi Aşıldı",IF(OR(S985="EKSİK ÖDENMİŞ",S985="FAZLA ÖDENMİŞ"),"İNCELEME GEREKLİ - Tutar Uyuşmazlığı",IF(LEFT(P985,7)="Bekleni","Bekleniyor","Uygun"))))))</f>
        <v/>
      </c>
    </row>
    <row r="986">
      <c r="A986" s="26">
        <f>IF('DIVA Satislari'!I986="","",'DIVA Satislari'!I986)</f>
        <v/>
      </c>
      <c r="B986" s="26">
        <f>IF('DIVA Satislari'!I986="","",'DIVA Satislari'!R986)</f>
        <v/>
      </c>
      <c r="C986" s="26">
        <f>IF('DIVA Satislari'!I986="","",'DIVA Satislari'!M986)</f>
        <v/>
      </c>
      <c r="D986" s="27">
        <f>IF('DIVA Satislari'!I986="","",'DIVA Satislari'!H986)</f>
        <v/>
      </c>
      <c r="E986" s="26">
        <f>IF('DIVA Satislari'!I986="","",'DIVA Satislari'!O986)</f>
        <v/>
      </c>
      <c r="F986" s="26">
        <f>IF('DIVA Satislari'!I986="","",'DIVA Satislari'!AK986)</f>
        <v/>
      </c>
      <c r="G986" s="26">
        <f>IF('DIVA Satislari'!I986="","",'DIVA Satislari'!AO986)</f>
        <v/>
      </c>
      <c r="H986" s="27">
        <f>IF('DIVA Satislari'!I986="","",'DIVA Satislari'!AN986)</f>
        <v/>
      </c>
      <c r="I986" s="28">
        <f>IF('DIVA Satislari'!I986="","",'DIVA Satislari'!AQ986)</f>
        <v/>
      </c>
      <c r="J986" s="26">
        <f>IF('DIVA Satislari'!I986="","",'DIVA Satislari'!AR986)</f>
        <v/>
      </c>
      <c r="K986" s="26">
        <f>IF('DIVA Satislari'!I986="","",IFERROR(INDEX('E2E Nakliye Montaj'!$AS$3:$AS$1002,MATCH('DIVA Satislari'!AJ986,'E2E Nakliye Montaj'!$AM$3:$AM$1002,0)),"Eşleşme Yok"))</f>
        <v/>
      </c>
      <c r="L986" s="26">
        <f>IF('DIVA Satislari'!I986="","",IFERROR(INDEX('E2E Nakliye Montaj'!$AT$3:$AT$1002,MATCH('DIVA Satislari'!AJ986,'E2E Nakliye Montaj'!$AM$3:$AM$1002,0)),"Hayır"))</f>
        <v/>
      </c>
      <c r="M986" s="26">
        <f>IF('DIVA Satislari'!I986="","",IFERROR(INDEX('E2E Nakliye Montaj'!$AU$3:$AU$1002,MATCH('DIVA Satislari'!AJ986,'E2E Nakliye Montaj'!$AM$3:$AM$1002,0)),"Hayır"))</f>
        <v/>
      </c>
      <c r="N986" s="27">
        <f>IF('DIVA Satislari'!I986="","",IFERROR(INDEX('E2E Nakliye Montaj'!$AV$3:$AV$1002,MATCH('DIVA Satislari'!AJ986,'E2E Nakliye Montaj'!$AM$3:$AM$1002,0)),""))</f>
        <v/>
      </c>
      <c r="O986" s="26">
        <f>IF(OR(A986="",N986=""),"",IF(N986&lt;=H986,"Evet","HAYIR - RİSK"))</f>
        <v/>
      </c>
      <c r="P986" s="26">
        <f>IF(A986="","",IF(LEFT(J986,8)="Kural A ","Uygun - Hemen Ödenir (Yıl Sonu %75 Kontrolüne Tabi)",IF(OR(L986="Evet",M986="Evet"),IF(O986="Evet","Uygun","RİSK - Hakediş Süresi Aşıldı"),"Bekleniyor - Nakliye/Montaj Tamamlanmadı")))</f>
        <v/>
      </c>
      <c r="Q986" s="28">
        <f>IF(A986="","",SUMIFS('Hakedis Fatura Detay'!$G$3:$G$1200,'Hakedis Fatura Detay'!$H$3:$H$1200,'DIVA Satislari'!AJ986,'Hakedis Fatura Detay'!$F$3:$F$1200,"Fiyat Farkı")+SUMIFS('Hakedis Fatura Detay'!$G$3:$G$1200,'Hakedis Fatura Detay'!$H$3:$H$1200,'DIVA Satislari'!AJ986,'Hakedis Fatura Detay'!$F$3:$F$1200,"Bundle"))</f>
        <v/>
      </c>
      <c r="R986" s="28">
        <f>IF(A986="","",I986-Q986)</f>
        <v/>
      </c>
      <c r="S986" s="26">
        <f>IF(A986="","",IF(LEFT(P986,7)="Bekleni","N/A - Henüz Ödenmemeli",IF(LEFT(P986,4)="RİSK","İNCELEME GEREKLİ - Süre Aşımı",IF(R986=0,"Doğru",IF(R986&gt;0,"EKSİK ÖDENMİŞ","FAZLA ÖDENMİŞ")))))</f>
        <v/>
      </c>
      <c r="T986" s="30">
        <f>IF(A986="","",IF(F986&lt;&gt;"Evet","İNCELEME GEREKLİ - Kampanya Tanımsız",IF(G986&lt;&gt;"Evet","İNCELEME GEREKLİ - Tarih Dışı Satış",IF(LEFT(P986,4)="RİSK","İNCELEME GEREKLİ - Hakediş Süresi Aşıldı",IF(OR(S986="EKSİK ÖDENMİŞ",S986="FAZLA ÖDENMİŞ"),"İNCELEME GEREKLİ - Tutar Uyuşmazlığı",IF(LEFT(P986,7)="Bekleni","Bekleniyor","Uygun"))))))</f>
        <v/>
      </c>
    </row>
    <row r="987">
      <c r="A987" s="26">
        <f>IF('DIVA Satislari'!I987="","",'DIVA Satislari'!I987)</f>
        <v/>
      </c>
      <c r="B987" s="26">
        <f>IF('DIVA Satislari'!I987="","",'DIVA Satislari'!R987)</f>
        <v/>
      </c>
      <c r="C987" s="26">
        <f>IF('DIVA Satislari'!I987="","",'DIVA Satislari'!M987)</f>
        <v/>
      </c>
      <c r="D987" s="27">
        <f>IF('DIVA Satislari'!I987="","",'DIVA Satislari'!H987)</f>
        <v/>
      </c>
      <c r="E987" s="26">
        <f>IF('DIVA Satislari'!I987="","",'DIVA Satislari'!O987)</f>
        <v/>
      </c>
      <c r="F987" s="26">
        <f>IF('DIVA Satislari'!I987="","",'DIVA Satislari'!AK987)</f>
        <v/>
      </c>
      <c r="G987" s="26">
        <f>IF('DIVA Satislari'!I987="","",'DIVA Satislari'!AO987)</f>
        <v/>
      </c>
      <c r="H987" s="27">
        <f>IF('DIVA Satislari'!I987="","",'DIVA Satislari'!AN987)</f>
        <v/>
      </c>
      <c r="I987" s="28">
        <f>IF('DIVA Satislari'!I987="","",'DIVA Satislari'!AQ987)</f>
        <v/>
      </c>
      <c r="J987" s="26">
        <f>IF('DIVA Satislari'!I987="","",'DIVA Satislari'!AR987)</f>
        <v/>
      </c>
      <c r="K987" s="26">
        <f>IF('DIVA Satislari'!I987="","",IFERROR(INDEX('E2E Nakliye Montaj'!$AS$3:$AS$1002,MATCH('DIVA Satislari'!AJ987,'E2E Nakliye Montaj'!$AM$3:$AM$1002,0)),"Eşleşme Yok"))</f>
        <v/>
      </c>
      <c r="L987" s="26">
        <f>IF('DIVA Satislari'!I987="","",IFERROR(INDEX('E2E Nakliye Montaj'!$AT$3:$AT$1002,MATCH('DIVA Satislari'!AJ987,'E2E Nakliye Montaj'!$AM$3:$AM$1002,0)),"Hayır"))</f>
        <v/>
      </c>
      <c r="M987" s="26">
        <f>IF('DIVA Satislari'!I987="","",IFERROR(INDEX('E2E Nakliye Montaj'!$AU$3:$AU$1002,MATCH('DIVA Satislari'!AJ987,'E2E Nakliye Montaj'!$AM$3:$AM$1002,0)),"Hayır"))</f>
        <v/>
      </c>
      <c r="N987" s="27">
        <f>IF('DIVA Satislari'!I987="","",IFERROR(INDEX('E2E Nakliye Montaj'!$AV$3:$AV$1002,MATCH('DIVA Satislari'!AJ987,'E2E Nakliye Montaj'!$AM$3:$AM$1002,0)),""))</f>
        <v/>
      </c>
      <c r="O987" s="26">
        <f>IF(OR(A987="",N987=""),"",IF(N987&lt;=H987,"Evet","HAYIR - RİSK"))</f>
        <v/>
      </c>
      <c r="P987" s="26">
        <f>IF(A987="","",IF(LEFT(J987,8)="Kural A ","Uygun - Hemen Ödenir (Yıl Sonu %75 Kontrolüne Tabi)",IF(OR(L987="Evet",M987="Evet"),IF(O987="Evet","Uygun","RİSK - Hakediş Süresi Aşıldı"),"Bekleniyor - Nakliye/Montaj Tamamlanmadı")))</f>
        <v/>
      </c>
      <c r="Q987" s="28">
        <f>IF(A987="","",SUMIFS('Hakedis Fatura Detay'!$G$3:$G$1200,'Hakedis Fatura Detay'!$H$3:$H$1200,'DIVA Satislari'!AJ987,'Hakedis Fatura Detay'!$F$3:$F$1200,"Fiyat Farkı")+SUMIFS('Hakedis Fatura Detay'!$G$3:$G$1200,'Hakedis Fatura Detay'!$H$3:$H$1200,'DIVA Satislari'!AJ987,'Hakedis Fatura Detay'!$F$3:$F$1200,"Bundle"))</f>
        <v/>
      </c>
      <c r="R987" s="28">
        <f>IF(A987="","",I987-Q987)</f>
        <v/>
      </c>
      <c r="S987" s="26">
        <f>IF(A987="","",IF(LEFT(P987,7)="Bekleni","N/A - Henüz Ödenmemeli",IF(LEFT(P987,4)="RİSK","İNCELEME GEREKLİ - Süre Aşımı",IF(R987=0,"Doğru",IF(R987&gt;0,"EKSİK ÖDENMİŞ","FAZLA ÖDENMİŞ")))))</f>
        <v/>
      </c>
      <c r="T987" s="30">
        <f>IF(A987="","",IF(F987&lt;&gt;"Evet","İNCELEME GEREKLİ - Kampanya Tanımsız",IF(G987&lt;&gt;"Evet","İNCELEME GEREKLİ - Tarih Dışı Satış",IF(LEFT(P987,4)="RİSK","İNCELEME GEREKLİ - Hakediş Süresi Aşıldı",IF(OR(S987="EKSİK ÖDENMİŞ",S987="FAZLA ÖDENMİŞ"),"İNCELEME GEREKLİ - Tutar Uyuşmazlığı",IF(LEFT(P987,7)="Bekleni","Bekleniyor","Uygun"))))))</f>
        <v/>
      </c>
    </row>
    <row r="988">
      <c r="A988" s="26">
        <f>IF('DIVA Satislari'!I988="","",'DIVA Satislari'!I988)</f>
        <v/>
      </c>
      <c r="B988" s="26">
        <f>IF('DIVA Satislari'!I988="","",'DIVA Satislari'!R988)</f>
        <v/>
      </c>
      <c r="C988" s="26">
        <f>IF('DIVA Satislari'!I988="","",'DIVA Satislari'!M988)</f>
        <v/>
      </c>
      <c r="D988" s="27">
        <f>IF('DIVA Satislari'!I988="","",'DIVA Satislari'!H988)</f>
        <v/>
      </c>
      <c r="E988" s="26">
        <f>IF('DIVA Satislari'!I988="","",'DIVA Satislari'!O988)</f>
        <v/>
      </c>
      <c r="F988" s="26">
        <f>IF('DIVA Satislari'!I988="","",'DIVA Satislari'!AK988)</f>
        <v/>
      </c>
      <c r="G988" s="26">
        <f>IF('DIVA Satislari'!I988="","",'DIVA Satislari'!AO988)</f>
        <v/>
      </c>
      <c r="H988" s="27">
        <f>IF('DIVA Satislari'!I988="","",'DIVA Satislari'!AN988)</f>
        <v/>
      </c>
      <c r="I988" s="28">
        <f>IF('DIVA Satislari'!I988="","",'DIVA Satislari'!AQ988)</f>
        <v/>
      </c>
      <c r="J988" s="26">
        <f>IF('DIVA Satislari'!I988="","",'DIVA Satislari'!AR988)</f>
        <v/>
      </c>
      <c r="K988" s="26">
        <f>IF('DIVA Satislari'!I988="","",IFERROR(INDEX('E2E Nakliye Montaj'!$AS$3:$AS$1002,MATCH('DIVA Satislari'!AJ988,'E2E Nakliye Montaj'!$AM$3:$AM$1002,0)),"Eşleşme Yok"))</f>
        <v/>
      </c>
      <c r="L988" s="26">
        <f>IF('DIVA Satislari'!I988="","",IFERROR(INDEX('E2E Nakliye Montaj'!$AT$3:$AT$1002,MATCH('DIVA Satislari'!AJ988,'E2E Nakliye Montaj'!$AM$3:$AM$1002,0)),"Hayır"))</f>
        <v/>
      </c>
      <c r="M988" s="26">
        <f>IF('DIVA Satislari'!I988="","",IFERROR(INDEX('E2E Nakliye Montaj'!$AU$3:$AU$1002,MATCH('DIVA Satislari'!AJ988,'E2E Nakliye Montaj'!$AM$3:$AM$1002,0)),"Hayır"))</f>
        <v/>
      </c>
      <c r="N988" s="27">
        <f>IF('DIVA Satislari'!I988="","",IFERROR(INDEX('E2E Nakliye Montaj'!$AV$3:$AV$1002,MATCH('DIVA Satislari'!AJ988,'E2E Nakliye Montaj'!$AM$3:$AM$1002,0)),""))</f>
        <v/>
      </c>
      <c r="O988" s="26">
        <f>IF(OR(A988="",N988=""),"",IF(N988&lt;=H988,"Evet","HAYIR - RİSK"))</f>
        <v/>
      </c>
      <c r="P988" s="26">
        <f>IF(A988="","",IF(LEFT(J988,8)="Kural A ","Uygun - Hemen Ödenir (Yıl Sonu %75 Kontrolüne Tabi)",IF(OR(L988="Evet",M988="Evet"),IF(O988="Evet","Uygun","RİSK - Hakediş Süresi Aşıldı"),"Bekleniyor - Nakliye/Montaj Tamamlanmadı")))</f>
        <v/>
      </c>
      <c r="Q988" s="28">
        <f>IF(A988="","",SUMIFS('Hakedis Fatura Detay'!$G$3:$G$1200,'Hakedis Fatura Detay'!$H$3:$H$1200,'DIVA Satislari'!AJ988,'Hakedis Fatura Detay'!$F$3:$F$1200,"Fiyat Farkı")+SUMIFS('Hakedis Fatura Detay'!$G$3:$G$1200,'Hakedis Fatura Detay'!$H$3:$H$1200,'DIVA Satislari'!AJ988,'Hakedis Fatura Detay'!$F$3:$F$1200,"Bundle"))</f>
        <v/>
      </c>
      <c r="R988" s="28">
        <f>IF(A988="","",I988-Q988)</f>
        <v/>
      </c>
      <c r="S988" s="26">
        <f>IF(A988="","",IF(LEFT(P988,7)="Bekleni","N/A - Henüz Ödenmemeli",IF(LEFT(P988,4)="RİSK","İNCELEME GEREKLİ - Süre Aşımı",IF(R988=0,"Doğru",IF(R988&gt;0,"EKSİK ÖDENMİŞ","FAZLA ÖDENMİŞ")))))</f>
        <v/>
      </c>
      <c r="T988" s="30">
        <f>IF(A988="","",IF(F988&lt;&gt;"Evet","İNCELEME GEREKLİ - Kampanya Tanımsız",IF(G988&lt;&gt;"Evet","İNCELEME GEREKLİ - Tarih Dışı Satış",IF(LEFT(P988,4)="RİSK","İNCELEME GEREKLİ - Hakediş Süresi Aşıldı",IF(OR(S988="EKSİK ÖDENMİŞ",S988="FAZLA ÖDENMİŞ"),"İNCELEME GEREKLİ - Tutar Uyuşmazlığı",IF(LEFT(P988,7)="Bekleni","Bekleniyor","Uygun"))))))</f>
        <v/>
      </c>
    </row>
    <row r="989">
      <c r="A989" s="26">
        <f>IF('DIVA Satislari'!I989="","",'DIVA Satislari'!I989)</f>
        <v/>
      </c>
      <c r="B989" s="26">
        <f>IF('DIVA Satislari'!I989="","",'DIVA Satislari'!R989)</f>
        <v/>
      </c>
      <c r="C989" s="26">
        <f>IF('DIVA Satislari'!I989="","",'DIVA Satislari'!M989)</f>
        <v/>
      </c>
      <c r="D989" s="27">
        <f>IF('DIVA Satislari'!I989="","",'DIVA Satislari'!H989)</f>
        <v/>
      </c>
      <c r="E989" s="26">
        <f>IF('DIVA Satislari'!I989="","",'DIVA Satislari'!O989)</f>
        <v/>
      </c>
      <c r="F989" s="26">
        <f>IF('DIVA Satislari'!I989="","",'DIVA Satislari'!AK989)</f>
        <v/>
      </c>
      <c r="G989" s="26">
        <f>IF('DIVA Satislari'!I989="","",'DIVA Satislari'!AO989)</f>
        <v/>
      </c>
      <c r="H989" s="27">
        <f>IF('DIVA Satislari'!I989="","",'DIVA Satislari'!AN989)</f>
        <v/>
      </c>
      <c r="I989" s="28">
        <f>IF('DIVA Satislari'!I989="","",'DIVA Satislari'!AQ989)</f>
        <v/>
      </c>
      <c r="J989" s="26">
        <f>IF('DIVA Satislari'!I989="","",'DIVA Satislari'!AR989)</f>
        <v/>
      </c>
      <c r="K989" s="26">
        <f>IF('DIVA Satislari'!I989="","",IFERROR(INDEX('E2E Nakliye Montaj'!$AS$3:$AS$1002,MATCH('DIVA Satislari'!AJ989,'E2E Nakliye Montaj'!$AM$3:$AM$1002,0)),"Eşleşme Yok"))</f>
        <v/>
      </c>
      <c r="L989" s="26">
        <f>IF('DIVA Satislari'!I989="","",IFERROR(INDEX('E2E Nakliye Montaj'!$AT$3:$AT$1002,MATCH('DIVA Satislari'!AJ989,'E2E Nakliye Montaj'!$AM$3:$AM$1002,0)),"Hayır"))</f>
        <v/>
      </c>
      <c r="M989" s="26">
        <f>IF('DIVA Satislari'!I989="","",IFERROR(INDEX('E2E Nakliye Montaj'!$AU$3:$AU$1002,MATCH('DIVA Satislari'!AJ989,'E2E Nakliye Montaj'!$AM$3:$AM$1002,0)),"Hayır"))</f>
        <v/>
      </c>
      <c r="N989" s="27">
        <f>IF('DIVA Satislari'!I989="","",IFERROR(INDEX('E2E Nakliye Montaj'!$AV$3:$AV$1002,MATCH('DIVA Satislari'!AJ989,'E2E Nakliye Montaj'!$AM$3:$AM$1002,0)),""))</f>
        <v/>
      </c>
      <c r="O989" s="26">
        <f>IF(OR(A989="",N989=""),"",IF(N989&lt;=H989,"Evet","HAYIR - RİSK"))</f>
        <v/>
      </c>
      <c r="P989" s="26">
        <f>IF(A989="","",IF(LEFT(J989,8)="Kural A ","Uygun - Hemen Ödenir (Yıl Sonu %75 Kontrolüne Tabi)",IF(OR(L989="Evet",M989="Evet"),IF(O989="Evet","Uygun","RİSK - Hakediş Süresi Aşıldı"),"Bekleniyor - Nakliye/Montaj Tamamlanmadı")))</f>
        <v/>
      </c>
      <c r="Q989" s="28">
        <f>IF(A989="","",SUMIFS('Hakedis Fatura Detay'!$G$3:$G$1200,'Hakedis Fatura Detay'!$H$3:$H$1200,'DIVA Satislari'!AJ989,'Hakedis Fatura Detay'!$F$3:$F$1200,"Fiyat Farkı")+SUMIFS('Hakedis Fatura Detay'!$G$3:$G$1200,'Hakedis Fatura Detay'!$H$3:$H$1200,'DIVA Satislari'!AJ989,'Hakedis Fatura Detay'!$F$3:$F$1200,"Bundle"))</f>
        <v/>
      </c>
      <c r="R989" s="28">
        <f>IF(A989="","",I989-Q989)</f>
        <v/>
      </c>
      <c r="S989" s="26">
        <f>IF(A989="","",IF(LEFT(P989,7)="Bekleni","N/A - Henüz Ödenmemeli",IF(LEFT(P989,4)="RİSK","İNCELEME GEREKLİ - Süre Aşımı",IF(R989=0,"Doğru",IF(R989&gt;0,"EKSİK ÖDENMİŞ","FAZLA ÖDENMİŞ")))))</f>
        <v/>
      </c>
      <c r="T989" s="30">
        <f>IF(A989="","",IF(F989&lt;&gt;"Evet","İNCELEME GEREKLİ - Kampanya Tanımsız",IF(G989&lt;&gt;"Evet","İNCELEME GEREKLİ - Tarih Dışı Satış",IF(LEFT(P989,4)="RİSK","İNCELEME GEREKLİ - Hakediş Süresi Aşıldı",IF(OR(S989="EKSİK ÖDENMİŞ",S989="FAZLA ÖDENMİŞ"),"İNCELEME GEREKLİ - Tutar Uyuşmazlığı",IF(LEFT(P989,7)="Bekleni","Bekleniyor","Uygun"))))))</f>
        <v/>
      </c>
    </row>
    <row r="990">
      <c r="A990" s="26">
        <f>IF('DIVA Satislari'!I990="","",'DIVA Satislari'!I990)</f>
        <v/>
      </c>
      <c r="B990" s="26">
        <f>IF('DIVA Satislari'!I990="","",'DIVA Satislari'!R990)</f>
        <v/>
      </c>
      <c r="C990" s="26">
        <f>IF('DIVA Satislari'!I990="","",'DIVA Satislari'!M990)</f>
        <v/>
      </c>
      <c r="D990" s="27">
        <f>IF('DIVA Satislari'!I990="","",'DIVA Satislari'!H990)</f>
        <v/>
      </c>
      <c r="E990" s="26">
        <f>IF('DIVA Satislari'!I990="","",'DIVA Satislari'!O990)</f>
        <v/>
      </c>
      <c r="F990" s="26">
        <f>IF('DIVA Satislari'!I990="","",'DIVA Satislari'!AK990)</f>
        <v/>
      </c>
      <c r="G990" s="26">
        <f>IF('DIVA Satislari'!I990="","",'DIVA Satislari'!AO990)</f>
        <v/>
      </c>
      <c r="H990" s="27">
        <f>IF('DIVA Satislari'!I990="","",'DIVA Satislari'!AN990)</f>
        <v/>
      </c>
      <c r="I990" s="28">
        <f>IF('DIVA Satislari'!I990="","",'DIVA Satislari'!AQ990)</f>
        <v/>
      </c>
      <c r="J990" s="26">
        <f>IF('DIVA Satislari'!I990="","",'DIVA Satislari'!AR990)</f>
        <v/>
      </c>
      <c r="K990" s="26">
        <f>IF('DIVA Satislari'!I990="","",IFERROR(INDEX('E2E Nakliye Montaj'!$AS$3:$AS$1002,MATCH('DIVA Satislari'!AJ990,'E2E Nakliye Montaj'!$AM$3:$AM$1002,0)),"Eşleşme Yok"))</f>
        <v/>
      </c>
      <c r="L990" s="26">
        <f>IF('DIVA Satislari'!I990="","",IFERROR(INDEX('E2E Nakliye Montaj'!$AT$3:$AT$1002,MATCH('DIVA Satislari'!AJ990,'E2E Nakliye Montaj'!$AM$3:$AM$1002,0)),"Hayır"))</f>
        <v/>
      </c>
      <c r="M990" s="26">
        <f>IF('DIVA Satislari'!I990="","",IFERROR(INDEX('E2E Nakliye Montaj'!$AU$3:$AU$1002,MATCH('DIVA Satislari'!AJ990,'E2E Nakliye Montaj'!$AM$3:$AM$1002,0)),"Hayır"))</f>
        <v/>
      </c>
      <c r="N990" s="27">
        <f>IF('DIVA Satislari'!I990="","",IFERROR(INDEX('E2E Nakliye Montaj'!$AV$3:$AV$1002,MATCH('DIVA Satislari'!AJ990,'E2E Nakliye Montaj'!$AM$3:$AM$1002,0)),""))</f>
        <v/>
      </c>
      <c r="O990" s="26">
        <f>IF(OR(A990="",N990=""),"",IF(N990&lt;=H990,"Evet","HAYIR - RİSK"))</f>
        <v/>
      </c>
      <c r="P990" s="26">
        <f>IF(A990="","",IF(LEFT(J990,8)="Kural A ","Uygun - Hemen Ödenir (Yıl Sonu %75 Kontrolüne Tabi)",IF(OR(L990="Evet",M990="Evet"),IF(O990="Evet","Uygun","RİSK - Hakediş Süresi Aşıldı"),"Bekleniyor - Nakliye/Montaj Tamamlanmadı")))</f>
        <v/>
      </c>
      <c r="Q990" s="28">
        <f>IF(A990="","",SUMIFS('Hakedis Fatura Detay'!$G$3:$G$1200,'Hakedis Fatura Detay'!$H$3:$H$1200,'DIVA Satislari'!AJ990,'Hakedis Fatura Detay'!$F$3:$F$1200,"Fiyat Farkı")+SUMIFS('Hakedis Fatura Detay'!$G$3:$G$1200,'Hakedis Fatura Detay'!$H$3:$H$1200,'DIVA Satislari'!AJ990,'Hakedis Fatura Detay'!$F$3:$F$1200,"Bundle"))</f>
        <v/>
      </c>
      <c r="R990" s="28">
        <f>IF(A990="","",I990-Q990)</f>
        <v/>
      </c>
      <c r="S990" s="26">
        <f>IF(A990="","",IF(LEFT(P990,7)="Bekleni","N/A - Henüz Ödenmemeli",IF(LEFT(P990,4)="RİSK","İNCELEME GEREKLİ - Süre Aşımı",IF(R990=0,"Doğru",IF(R990&gt;0,"EKSİK ÖDENMİŞ","FAZLA ÖDENMİŞ")))))</f>
        <v/>
      </c>
      <c r="T990" s="30">
        <f>IF(A990="","",IF(F990&lt;&gt;"Evet","İNCELEME GEREKLİ - Kampanya Tanımsız",IF(G990&lt;&gt;"Evet","İNCELEME GEREKLİ - Tarih Dışı Satış",IF(LEFT(P990,4)="RİSK","İNCELEME GEREKLİ - Hakediş Süresi Aşıldı",IF(OR(S990="EKSİK ÖDENMİŞ",S990="FAZLA ÖDENMİŞ"),"İNCELEME GEREKLİ - Tutar Uyuşmazlığı",IF(LEFT(P990,7)="Bekleni","Bekleniyor","Uygun"))))))</f>
        <v/>
      </c>
    </row>
    <row r="991">
      <c r="A991" s="26">
        <f>IF('DIVA Satislari'!I991="","",'DIVA Satislari'!I991)</f>
        <v/>
      </c>
      <c r="B991" s="26">
        <f>IF('DIVA Satislari'!I991="","",'DIVA Satislari'!R991)</f>
        <v/>
      </c>
      <c r="C991" s="26">
        <f>IF('DIVA Satislari'!I991="","",'DIVA Satislari'!M991)</f>
        <v/>
      </c>
      <c r="D991" s="27">
        <f>IF('DIVA Satislari'!I991="","",'DIVA Satislari'!H991)</f>
        <v/>
      </c>
      <c r="E991" s="26">
        <f>IF('DIVA Satislari'!I991="","",'DIVA Satislari'!O991)</f>
        <v/>
      </c>
      <c r="F991" s="26">
        <f>IF('DIVA Satislari'!I991="","",'DIVA Satislari'!AK991)</f>
        <v/>
      </c>
      <c r="G991" s="26">
        <f>IF('DIVA Satislari'!I991="","",'DIVA Satislari'!AO991)</f>
        <v/>
      </c>
      <c r="H991" s="27">
        <f>IF('DIVA Satislari'!I991="","",'DIVA Satislari'!AN991)</f>
        <v/>
      </c>
      <c r="I991" s="28">
        <f>IF('DIVA Satislari'!I991="","",'DIVA Satislari'!AQ991)</f>
        <v/>
      </c>
      <c r="J991" s="26">
        <f>IF('DIVA Satislari'!I991="","",'DIVA Satislari'!AR991)</f>
        <v/>
      </c>
      <c r="K991" s="26">
        <f>IF('DIVA Satislari'!I991="","",IFERROR(INDEX('E2E Nakliye Montaj'!$AS$3:$AS$1002,MATCH('DIVA Satislari'!AJ991,'E2E Nakliye Montaj'!$AM$3:$AM$1002,0)),"Eşleşme Yok"))</f>
        <v/>
      </c>
      <c r="L991" s="26">
        <f>IF('DIVA Satislari'!I991="","",IFERROR(INDEX('E2E Nakliye Montaj'!$AT$3:$AT$1002,MATCH('DIVA Satislari'!AJ991,'E2E Nakliye Montaj'!$AM$3:$AM$1002,0)),"Hayır"))</f>
        <v/>
      </c>
      <c r="M991" s="26">
        <f>IF('DIVA Satislari'!I991="","",IFERROR(INDEX('E2E Nakliye Montaj'!$AU$3:$AU$1002,MATCH('DIVA Satislari'!AJ991,'E2E Nakliye Montaj'!$AM$3:$AM$1002,0)),"Hayır"))</f>
        <v/>
      </c>
      <c r="N991" s="27">
        <f>IF('DIVA Satislari'!I991="","",IFERROR(INDEX('E2E Nakliye Montaj'!$AV$3:$AV$1002,MATCH('DIVA Satislari'!AJ991,'E2E Nakliye Montaj'!$AM$3:$AM$1002,0)),""))</f>
        <v/>
      </c>
      <c r="O991" s="26">
        <f>IF(OR(A991="",N991=""),"",IF(N991&lt;=H991,"Evet","HAYIR - RİSK"))</f>
        <v/>
      </c>
      <c r="P991" s="26">
        <f>IF(A991="","",IF(LEFT(J991,8)="Kural A ","Uygun - Hemen Ödenir (Yıl Sonu %75 Kontrolüne Tabi)",IF(OR(L991="Evet",M991="Evet"),IF(O991="Evet","Uygun","RİSK - Hakediş Süresi Aşıldı"),"Bekleniyor - Nakliye/Montaj Tamamlanmadı")))</f>
        <v/>
      </c>
      <c r="Q991" s="28">
        <f>IF(A991="","",SUMIFS('Hakedis Fatura Detay'!$G$3:$G$1200,'Hakedis Fatura Detay'!$H$3:$H$1200,'DIVA Satislari'!AJ991,'Hakedis Fatura Detay'!$F$3:$F$1200,"Fiyat Farkı")+SUMIFS('Hakedis Fatura Detay'!$G$3:$G$1200,'Hakedis Fatura Detay'!$H$3:$H$1200,'DIVA Satislari'!AJ991,'Hakedis Fatura Detay'!$F$3:$F$1200,"Bundle"))</f>
        <v/>
      </c>
      <c r="R991" s="28">
        <f>IF(A991="","",I991-Q991)</f>
        <v/>
      </c>
      <c r="S991" s="26">
        <f>IF(A991="","",IF(LEFT(P991,7)="Bekleni","N/A - Henüz Ödenmemeli",IF(LEFT(P991,4)="RİSK","İNCELEME GEREKLİ - Süre Aşımı",IF(R991=0,"Doğru",IF(R991&gt;0,"EKSİK ÖDENMİŞ","FAZLA ÖDENMİŞ")))))</f>
        <v/>
      </c>
      <c r="T991" s="30">
        <f>IF(A991="","",IF(F991&lt;&gt;"Evet","İNCELEME GEREKLİ - Kampanya Tanımsız",IF(G991&lt;&gt;"Evet","İNCELEME GEREKLİ - Tarih Dışı Satış",IF(LEFT(P991,4)="RİSK","İNCELEME GEREKLİ - Hakediş Süresi Aşıldı",IF(OR(S991="EKSİK ÖDENMİŞ",S991="FAZLA ÖDENMİŞ"),"İNCELEME GEREKLİ - Tutar Uyuşmazlığı",IF(LEFT(P991,7)="Bekleni","Bekleniyor","Uygun"))))))</f>
        <v/>
      </c>
    </row>
    <row r="992">
      <c r="A992" s="26">
        <f>IF('DIVA Satislari'!I992="","",'DIVA Satislari'!I992)</f>
        <v/>
      </c>
      <c r="B992" s="26">
        <f>IF('DIVA Satislari'!I992="","",'DIVA Satislari'!R992)</f>
        <v/>
      </c>
      <c r="C992" s="26">
        <f>IF('DIVA Satislari'!I992="","",'DIVA Satislari'!M992)</f>
        <v/>
      </c>
      <c r="D992" s="27">
        <f>IF('DIVA Satislari'!I992="","",'DIVA Satislari'!H992)</f>
        <v/>
      </c>
      <c r="E992" s="26">
        <f>IF('DIVA Satislari'!I992="","",'DIVA Satislari'!O992)</f>
        <v/>
      </c>
      <c r="F992" s="26">
        <f>IF('DIVA Satislari'!I992="","",'DIVA Satislari'!AK992)</f>
        <v/>
      </c>
      <c r="G992" s="26">
        <f>IF('DIVA Satislari'!I992="","",'DIVA Satislari'!AO992)</f>
        <v/>
      </c>
      <c r="H992" s="27">
        <f>IF('DIVA Satislari'!I992="","",'DIVA Satislari'!AN992)</f>
        <v/>
      </c>
      <c r="I992" s="28">
        <f>IF('DIVA Satislari'!I992="","",'DIVA Satislari'!AQ992)</f>
        <v/>
      </c>
      <c r="J992" s="26">
        <f>IF('DIVA Satislari'!I992="","",'DIVA Satislari'!AR992)</f>
        <v/>
      </c>
      <c r="K992" s="26">
        <f>IF('DIVA Satislari'!I992="","",IFERROR(INDEX('E2E Nakliye Montaj'!$AS$3:$AS$1002,MATCH('DIVA Satislari'!AJ992,'E2E Nakliye Montaj'!$AM$3:$AM$1002,0)),"Eşleşme Yok"))</f>
        <v/>
      </c>
      <c r="L992" s="26">
        <f>IF('DIVA Satislari'!I992="","",IFERROR(INDEX('E2E Nakliye Montaj'!$AT$3:$AT$1002,MATCH('DIVA Satislari'!AJ992,'E2E Nakliye Montaj'!$AM$3:$AM$1002,0)),"Hayır"))</f>
        <v/>
      </c>
      <c r="M992" s="26">
        <f>IF('DIVA Satislari'!I992="","",IFERROR(INDEX('E2E Nakliye Montaj'!$AU$3:$AU$1002,MATCH('DIVA Satislari'!AJ992,'E2E Nakliye Montaj'!$AM$3:$AM$1002,0)),"Hayır"))</f>
        <v/>
      </c>
      <c r="N992" s="27">
        <f>IF('DIVA Satislari'!I992="","",IFERROR(INDEX('E2E Nakliye Montaj'!$AV$3:$AV$1002,MATCH('DIVA Satislari'!AJ992,'E2E Nakliye Montaj'!$AM$3:$AM$1002,0)),""))</f>
        <v/>
      </c>
      <c r="O992" s="26">
        <f>IF(OR(A992="",N992=""),"",IF(N992&lt;=H992,"Evet","HAYIR - RİSK"))</f>
        <v/>
      </c>
      <c r="P992" s="26">
        <f>IF(A992="","",IF(LEFT(J992,8)="Kural A ","Uygun - Hemen Ödenir (Yıl Sonu %75 Kontrolüne Tabi)",IF(OR(L992="Evet",M992="Evet"),IF(O992="Evet","Uygun","RİSK - Hakediş Süresi Aşıldı"),"Bekleniyor - Nakliye/Montaj Tamamlanmadı")))</f>
        <v/>
      </c>
      <c r="Q992" s="28">
        <f>IF(A992="","",SUMIFS('Hakedis Fatura Detay'!$G$3:$G$1200,'Hakedis Fatura Detay'!$H$3:$H$1200,'DIVA Satislari'!AJ992,'Hakedis Fatura Detay'!$F$3:$F$1200,"Fiyat Farkı")+SUMIFS('Hakedis Fatura Detay'!$G$3:$G$1200,'Hakedis Fatura Detay'!$H$3:$H$1200,'DIVA Satislari'!AJ992,'Hakedis Fatura Detay'!$F$3:$F$1200,"Bundle"))</f>
        <v/>
      </c>
      <c r="R992" s="28">
        <f>IF(A992="","",I992-Q992)</f>
        <v/>
      </c>
      <c r="S992" s="26">
        <f>IF(A992="","",IF(LEFT(P992,7)="Bekleni","N/A - Henüz Ödenmemeli",IF(LEFT(P992,4)="RİSK","İNCELEME GEREKLİ - Süre Aşımı",IF(R992=0,"Doğru",IF(R992&gt;0,"EKSİK ÖDENMİŞ","FAZLA ÖDENMİŞ")))))</f>
        <v/>
      </c>
      <c r="T992" s="30">
        <f>IF(A992="","",IF(F992&lt;&gt;"Evet","İNCELEME GEREKLİ - Kampanya Tanımsız",IF(G992&lt;&gt;"Evet","İNCELEME GEREKLİ - Tarih Dışı Satış",IF(LEFT(P992,4)="RİSK","İNCELEME GEREKLİ - Hakediş Süresi Aşıldı",IF(OR(S992="EKSİK ÖDENMİŞ",S992="FAZLA ÖDENMİŞ"),"İNCELEME GEREKLİ - Tutar Uyuşmazlığı",IF(LEFT(P992,7)="Bekleni","Bekleniyor","Uygun"))))))</f>
        <v/>
      </c>
    </row>
    <row r="993">
      <c r="A993" s="26">
        <f>IF('DIVA Satislari'!I993="","",'DIVA Satislari'!I993)</f>
        <v/>
      </c>
      <c r="B993" s="26">
        <f>IF('DIVA Satislari'!I993="","",'DIVA Satislari'!R993)</f>
        <v/>
      </c>
      <c r="C993" s="26">
        <f>IF('DIVA Satislari'!I993="","",'DIVA Satislari'!M993)</f>
        <v/>
      </c>
      <c r="D993" s="27">
        <f>IF('DIVA Satislari'!I993="","",'DIVA Satislari'!H993)</f>
        <v/>
      </c>
      <c r="E993" s="26">
        <f>IF('DIVA Satislari'!I993="","",'DIVA Satislari'!O993)</f>
        <v/>
      </c>
      <c r="F993" s="26">
        <f>IF('DIVA Satislari'!I993="","",'DIVA Satislari'!AK993)</f>
        <v/>
      </c>
      <c r="G993" s="26">
        <f>IF('DIVA Satislari'!I993="","",'DIVA Satislari'!AO993)</f>
        <v/>
      </c>
      <c r="H993" s="27">
        <f>IF('DIVA Satislari'!I993="","",'DIVA Satislari'!AN993)</f>
        <v/>
      </c>
      <c r="I993" s="28">
        <f>IF('DIVA Satislari'!I993="","",'DIVA Satislari'!AQ993)</f>
        <v/>
      </c>
      <c r="J993" s="26">
        <f>IF('DIVA Satislari'!I993="","",'DIVA Satislari'!AR993)</f>
        <v/>
      </c>
      <c r="K993" s="26">
        <f>IF('DIVA Satislari'!I993="","",IFERROR(INDEX('E2E Nakliye Montaj'!$AS$3:$AS$1002,MATCH('DIVA Satislari'!AJ993,'E2E Nakliye Montaj'!$AM$3:$AM$1002,0)),"Eşleşme Yok"))</f>
        <v/>
      </c>
      <c r="L993" s="26">
        <f>IF('DIVA Satislari'!I993="","",IFERROR(INDEX('E2E Nakliye Montaj'!$AT$3:$AT$1002,MATCH('DIVA Satislari'!AJ993,'E2E Nakliye Montaj'!$AM$3:$AM$1002,0)),"Hayır"))</f>
        <v/>
      </c>
      <c r="M993" s="26">
        <f>IF('DIVA Satislari'!I993="","",IFERROR(INDEX('E2E Nakliye Montaj'!$AU$3:$AU$1002,MATCH('DIVA Satislari'!AJ993,'E2E Nakliye Montaj'!$AM$3:$AM$1002,0)),"Hayır"))</f>
        <v/>
      </c>
      <c r="N993" s="27">
        <f>IF('DIVA Satislari'!I993="","",IFERROR(INDEX('E2E Nakliye Montaj'!$AV$3:$AV$1002,MATCH('DIVA Satislari'!AJ993,'E2E Nakliye Montaj'!$AM$3:$AM$1002,0)),""))</f>
        <v/>
      </c>
      <c r="O993" s="26">
        <f>IF(OR(A993="",N993=""),"",IF(N993&lt;=H993,"Evet","HAYIR - RİSK"))</f>
        <v/>
      </c>
      <c r="P993" s="26">
        <f>IF(A993="","",IF(LEFT(J993,8)="Kural A ","Uygun - Hemen Ödenir (Yıl Sonu %75 Kontrolüne Tabi)",IF(OR(L993="Evet",M993="Evet"),IF(O993="Evet","Uygun","RİSK - Hakediş Süresi Aşıldı"),"Bekleniyor - Nakliye/Montaj Tamamlanmadı")))</f>
        <v/>
      </c>
      <c r="Q993" s="28">
        <f>IF(A993="","",SUMIFS('Hakedis Fatura Detay'!$G$3:$G$1200,'Hakedis Fatura Detay'!$H$3:$H$1200,'DIVA Satislari'!AJ993,'Hakedis Fatura Detay'!$F$3:$F$1200,"Fiyat Farkı")+SUMIFS('Hakedis Fatura Detay'!$G$3:$G$1200,'Hakedis Fatura Detay'!$H$3:$H$1200,'DIVA Satislari'!AJ993,'Hakedis Fatura Detay'!$F$3:$F$1200,"Bundle"))</f>
        <v/>
      </c>
      <c r="R993" s="28">
        <f>IF(A993="","",I993-Q993)</f>
        <v/>
      </c>
      <c r="S993" s="26">
        <f>IF(A993="","",IF(LEFT(P993,7)="Bekleni","N/A - Henüz Ödenmemeli",IF(LEFT(P993,4)="RİSK","İNCELEME GEREKLİ - Süre Aşımı",IF(R993=0,"Doğru",IF(R993&gt;0,"EKSİK ÖDENMİŞ","FAZLA ÖDENMİŞ")))))</f>
        <v/>
      </c>
      <c r="T993" s="30">
        <f>IF(A993="","",IF(F993&lt;&gt;"Evet","İNCELEME GEREKLİ - Kampanya Tanımsız",IF(G993&lt;&gt;"Evet","İNCELEME GEREKLİ - Tarih Dışı Satış",IF(LEFT(P993,4)="RİSK","İNCELEME GEREKLİ - Hakediş Süresi Aşıldı",IF(OR(S993="EKSİK ÖDENMİŞ",S993="FAZLA ÖDENMİŞ"),"İNCELEME GEREKLİ - Tutar Uyuşmazlığı",IF(LEFT(P993,7)="Bekleni","Bekleniyor","Uygun"))))))</f>
        <v/>
      </c>
    </row>
    <row r="994">
      <c r="A994" s="26">
        <f>IF('DIVA Satislari'!I994="","",'DIVA Satislari'!I994)</f>
        <v/>
      </c>
      <c r="B994" s="26">
        <f>IF('DIVA Satislari'!I994="","",'DIVA Satislari'!R994)</f>
        <v/>
      </c>
      <c r="C994" s="26">
        <f>IF('DIVA Satislari'!I994="","",'DIVA Satislari'!M994)</f>
        <v/>
      </c>
      <c r="D994" s="27">
        <f>IF('DIVA Satislari'!I994="","",'DIVA Satislari'!H994)</f>
        <v/>
      </c>
      <c r="E994" s="26">
        <f>IF('DIVA Satislari'!I994="","",'DIVA Satislari'!O994)</f>
        <v/>
      </c>
      <c r="F994" s="26">
        <f>IF('DIVA Satislari'!I994="","",'DIVA Satislari'!AK994)</f>
        <v/>
      </c>
      <c r="G994" s="26">
        <f>IF('DIVA Satislari'!I994="","",'DIVA Satislari'!AO994)</f>
        <v/>
      </c>
      <c r="H994" s="27">
        <f>IF('DIVA Satislari'!I994="","",'DIVA Satislari'!AN994)</f>
        <v/>
      </c>
      <c r="I994" s="28">
        <f>IF('DIVA Satislari'!I994="","",'DIVA Satislari'!AQ994)</f>
        <v/>
      </c>
      <c r="J994" s="26">
        <f>IF('DIVA Satislari'!I994="","",'DIVA Satislari'!AR994)</f>
        <v/>
      </c>
      <c r="K994" s="26">
        <f>IF('DIVA Satislari'!I994="","",IFERROR(INDEX('E2E Nakliye Montaj'!$AS$3:$AS$1002,MATCH('DIVA Satislari'!AJ994,'E2E Nakliye Montaj'!$AM$3:$AM$1002,0)),"Eşleşme Yok"))</f>
        <v/>
      </c>
      <c r="L994" s="26">
        <f>IF('DIVA Satislari'!I994="","",IFERROR(INDEX('E2E Nakliye Montaj'!$AT$3:$AT$1002,MATCH('DIVA Satislari'!AJ994,'E2E Nakliye Montaj'!$AM$3:$AM$1002,0)),"Hayır"))</f>
        <v/>
      </c>
      <c r="M994" s="26">
        <f>IF('DIVA Satislari'!I994="","",IFERROR(INDEX('E2E Nakliye Montaj'!$AU$3:$AU$1002,MATCH('DIVA Satislari'!AJ994,'E2E Nakliye Montaj'!$AM$3:$AM$1002,0)),"Hayır"))</f>
        <v/>
      </c>
      <c r="N994" s="27">
        <f>IF('DIVA Satislari'!I994="","",IFERROR(INDEX('E2E Nakliye Montaj'!$AV$3:$AV$1002,MATCH('DIVA Satislari'!AJ994,'E2E Nakliye Montaj'!$AM$3:$AM$1002,0)),""))</f>
        <v/>
      </c>
      <c r="O994" s="26">
        <f>IF(OR(A994="",N994=""),"",IF(N994&lt;=H994,"Evet","HAYIR - RİSK"))</f>
        <v/>
      </c>
      <c r="P994" s="26">
        <f>IF(A994="","",IF(LEFT(J994,8)="Kural A ","Uygun - Hemen Ödenir (Yıl Sonu %75 Kontrolüne Tabi)",IF(OR(L994="Evet",M994="Evet"),IF(O994="Evet","Uygun","RİSK - Hakediş Süresi Aşıldı"),"Bekleniyor - Nakliye/Montaj Tamamlanmadı")))</f>
        <v/>
      </c>
      <c r="Q994" s="28">
        <f>IF(A994="","",SUMIFS('Hakedis Fatura Detay'!$G$3:$G$1200,'Hakedis Fatura Detay'!$H$3:$H$1200,'DIVA Satislari'!AJ994,'Hakedis Fatura Detay'!$F$3:$F$1200,"Fiyat Farkı")+SUMIFS('Hakedis Fatura Detay'!$G$3:$G$1200,'Hakedis Fatura Detay'!$H$3:$H$1200,'DIVA Satislari'!AJ994,'Hakedis Fatura Detay'!$F$3:$F$1200,"Bundle"))</f>
        <v/>
      </c>
      <c r="R994" s="28">
        <f>IF(A994="","",I994-Q994)</f>
        <v/>
      </c>
      <c r="S994" s="26">
        <f>IF(A994="","",IF(LEFT(P994,7)="Bekleni","N/A - Henüz Ödenmemeli",IF(LEFT(P994,4)="RİSK","İNCELEME GEREKLİ - Süre Aşımı",IF(R994=0,"Doğru",IF(R994&gt;0,"EKSİK ÖDENMİŞ","FAZLA ÖDENMİŞ")))))</f>
        <v/>
      </c>
      <c r="T994" s="30">
        <f>IF(A994="","",IF(F994&lt;&gt;"Evet","İNCELEME GEREKLİ - Kampanya Tanımsız",IF(G994&lt;&gt;"Evet","İNCELEME GEREKLİ - Tarih Dışı Satış",IF(LEFT(P994,4)="RİSK","İNCELEME GEREKLİ - Hakediş Süresi Aşıldı",IF(OR(S994="EKSİK ÖDENMİŞ",S994="FAZLA ÖDENMİŞ"),"İNCELEME GEREKLİ - Tutar Uyuşmazlığı",IF(LEFT(P994,7)="Bekleni","Bekleniyor","Uygun"))))))</f>
        <v/>
      </c>
    </row>
    <row r="995">
      <c r="A995" s="26">
        <f>IF('DIVA Satislari'!I995="","",'DIVA Satislari'!I995)</f>
        <v/>
      </c>
      <c r="B995" s="26">
        <f>IF('DIVA Satislari'!I995="","",'DIVA Satislari'!R995)</f>
        <v/>
      </c>
      <c r="C995" s="26">
        <f>IF('DIVA Satislari'!I995="","",'DIVA Satislari'!M995)</f>
        <v/>
      </c>
      <c r="D995" s="27">
        <f>IF('DIVA Satislari'!I995="","",'DIVA Satislari'!H995)</f>
        <v/>
      </c>
      <c r="E995" s="26">
        <f>IF('DIVA Satislari'!I995="","",'DIVA Satislari'!O995)</f>
        <v/>
      </c>
      <c r="F995" s="26">
        <f>IF('DIVA Satislari'!I995="","",'DIVA Satislari'!AK995)</f>
        <v/>
      </c>
      <c r="G995" s="26">
        <f>IF('DIVA Satislari'!I995="","",'DIVA Satislari'!AO995)</f>
        <v/>
      </c>
      <c r="H995" s="27">
        <f>IF('DIVA Satislari'!I995="","",'DIVA Satislari'!AN995)</f>
        <v/>
      </c>
      <c r="I995" s="28">
        <f>IF('DIVA Satislari'!I995="","",'DIVA Satislari'!AQ995)</f>
        <v/>
      </c>
      <c r="J995" s="26">
        <f>IF('DIVA Satislari'!I995="","",'DIVA Satislari'!AR995)</f>
        <v/>
      </c>
      <c r="K995" s="26">
        <f>IF('DIVA Satislari'!I995="","",IFERROR(INDEX('E2E Nakliye Montaj'!$AS$3:$AS$1002,MATCH('DIVA Satislari'!AJ995,'E2E Nakliye Montaj'!$AM$3:$AM$1002,0)),"Eşleşme Yok"))</f>
        <v/>
      </c>
      <c r="L995" s="26">
        <f>IF('DIVA Satislari'!I995="","",IFERROR(INDEX('E2E Nakliye Montaj'!$AT$3:$AT$1002,MATCH('DIVA Satislari'!AJ995,'E2E Nakliye Montaj'!$AM$3:$AM$1002,0)),"Hayır"))</f>
        <v/>
      </c>
      <c r="M995" s="26">
        <f>IF('DIVA Satislari'!I995="","",IFERROR(INDEX('E2E Nakliye Montaj'!$AU$3:$AU$1002,MATCH('DIVA Satislari'!AJ995,'E2E Nakliye Montaj'!$AM$3:$AM$1002,0)),"Hayır"))</f>
        <v/>
      </c>
      <c r="N995" s="27">
        <f>IF('DIVA Satislari'!I995="","",IFERROR(INDEX('E2E Nakliye Montaj'!$AV$3:$AV$1002,MATCH('DIVA Satislari'!AJ995,'E2E Nakliye Montaj'!$AM$3:$AM$1002,0)),""))</f>
        <v/>
      </c>
      <c r="O995" s="26">
        <f>IF(OR(A995="",N995=""),"",IF(N995&lt;=H995,"Evet","HAYIR - RİSK"))</f>
        <v/>
      </c>
      <c r="P995" s="26">
        <f>IF(A995="","",IF(LEFT(J995,8)="Kural A ","Uygun - Hemen Ödenir (Yıl Sonu %75 Kontrolüne Tabi)",IF(OR(L995="Evet",M995="Evet"),IF(O995="Evet","Uygun","RİSK - Hakediş Süresi Aşıldı"),"Bekleniyor - Nakliye/Montaj Tamamlanmadı")))</f>
        <v/>
      </c>
      <c r="Q995" s="28">
        <f>IF(A995="","",SUMIFS('Hakedis Fatura Detay'!$G$3:$G$1200,'Hakedis Fatura Detay'!$H$3:$H$1200,'DIVA Satislari'!AJ995,'Hakedis Fatura Detay'!$F$3:$F$1200,"Fiyat Farkı")+SUMIFS('Hakedis Fatura Detay'!$G$3:$G$1200,'Hakedis Fatura Detay'!$H$3:$H$1200,'DIVA Satislari'!AJ995,'Hakedis Fatura Detay'!$F$3:$F$1200,"Bundle"))</f>
        <v/>
      </c>
      <c r="R995" s="28">
        <f>IF(A995="","",I995-Q995)</f>
        <v/>
      </c>
      <c r="S995" s="26">
        <f>IF(A995="","",IF(LEFT(P995,7)="Bekleni","N/A - Henüz Ödenmemeli",IF(LEFT(P995,4)="RİSK","İNCELEME GEREKLİ - Süre Aşımı",IF(R995=0,"Doğru",IF(R995&gt;0,"EKSİK ÖDENMİŞ","FAZLA ÖDENMİŞ")))))</f>
        <v/>
      </c>
      <c r="T995" s="30">
        <f>IF(A995="","",IF(F995&lt;&gt;"Evet","İNCELEME GEREKLİ - Kampanya Tanımsız",IF(G995&lt;&gt;"Evet","İNCELEME GEREKLİ - Tarih Dışı Satış",IF(LEFT(P995,4)="RİSK","İNCELEME GEREKLİ - Hakediş Süresi Aşıldı",IF(OR(S995="EKSİK ÖDENMİŞ",S995="FAZLA ÖDENMİŞ"),"İNCELEME GEREKLİ - Tutar Uyuşmazlığı",IF(LEFT(P995,7)="Bekleni","Bekleniyor","Uygun"))))))</f>
        <v/>
      </c>
    </row>
    <row r="996">
      <c r="A996" s="26">
        <f>IF('DIVA Satislari'!I996="","",'DIVA Satislari'!I996)</f>
        <v/>
      </c>
      <c r="B996" s="26">
        <f>IF('DIVA Satislari'!I996="","",'DIVA Satislari'!R996)</f>
        <v/>
      </c>
      <c r="C996" s="26">
        <f>IF('DIVA Satislari'!I996="","",'DIVA Satislari'!M996)</f>
        <v/>
      </c>
      <c r="D996" s="27">
        <f>IF('DIVA Satislari'!I996="","",'DIVA Satislari'!H996)</f>
        <v/>
      </c>
      <c r="E996" s="26">
        <f>IF('DIVA Satislari'!I996="","",'DIVA Satislari'!O996)</f>
        <v/>
      </c>
      <c r="F996" s="26">
        <f>IF('DIVA Satislari'!I996="","",'DIVA Satislari'!AK996)</f>
        <v/>
      </c>
      <c r="G996" s="26">
        <f>IF('DIVA Satislari'!I996="","",'DIVA Satislari'!AO996)</f>
        <v/>
      </c>
      <c r="H996" s="27">
        <f>IF('DIVA Satislari'!I996="","",'DIVA Satislari'!AN996)</f>
        <v/>
      </c>
      <c r="I996" s="28">
        <f>IF('DIVA Satislari'!I996="","",'DIVA Satislari'!AQ996)</f>
        <v/>
      </c>
      <c r="J996" s="26">
        <f>IF('DIVA Satislari'!I996="","",'DIVA Satislari'!AR996)</f>
        <v/>
      </c>
      <c r="K996" s="26">
        <f>IF('DIVA Satislari'!I996="","",IFERROR(INDEX('E2E Nakliye Montaj'!$AS$3:$AS$1002,MATCH('DIVA Satislari'!AJ996,'E2E Nakliye Montaj'!$AM$3:$AM$1002,0)),"Eşleşme Yok"))</f>
        <v/>
      </c>
      <c r="L996" s="26">
        <f>IF('DIVA Satislari'!I996="","",IFERROR(INDEX('E2E Nakliye Montaj'!$AT$3:$AT$1002,MATCH('DIVA Satislari'!AJ996,'E2E Nakliye Montaj'!$AM$3:$AM$1002,0)),"Hayır"))</f>
        <v/>
      </c>
      <c r="M996" s="26">
        <f>IF('DIVA Satislari'!I996="","",IFERROR(INDEX('E2E Nakliye Montaj'!$AU$3:$AU$1002,MATCH('DIVA Satislari'!AJ996,'E2E Nakliye Montaj'!$AM$3:$AM$1002,0)),"Hayır"))</f>
        <v/>
      </c>
      <c r="N996" s="27">
        <f>IF('DIVA Satislari'!I996="","",IFERROR(INDEX('E2E Nakliye Montaj'!$AV$3:$AV$1002,MATCH('DIVA Satislari'!AJ996,'E2E Nakliye Montaj'!$AM$3:$AM$1002,0)),""))</f>
        <v/>
      </c>
      <c r="O996" s="26">
        <f>IF(OR(A996="",N996=""),"",IF(N996&lt;=H996,"Evet","HAYIR - RİSK"))</f>
        <v/>
      </c>
      <c r="P996" s="26">
        <f>IF(A996="","",IF(LEFT(J996,8)="Kural A ","Uygun - Hemen Ödenir (Yıl Sonu %75 Kontrolüne Tabi)",IF(OR(L996="Evet",M996="Evet"),IF(O996="Evet","Uygun","RİSK - Hakediş Süresi Aşıldı"),"Bekleniyor - Nakliye/Montaj Tamamlanmadı")))</f>
        <v/>
      </c>
      <c r="Q996" s="28">
        <f>IF(A996="","",SUMIFS('Hakedis Fatura Detay'!$G$3:$G$1200,'Hakedis Fatura Detay'!$H$3:$H$1200,'DIVA Satislari'!AJ996,'Hakedis Fatura Detay'!$F$3:$F$1200,"Fiyat Farkı")+SUMIFS('Hakedis Fatura Detay'!$G$3:$G$1200,'Hakedis Fatura Detay'!$H$3:$H$1200,'DIVA Satislari'!AJ996,'Hakedis Fatura Detay'!$F$3:$F$1200,"Bundle"))</f>
        <v/>
      </c>
      <c r="R996" s="28">
        <f>IF(A996="","",I996-Q996)</f>
        <v/>
      </c>
      <c r="S996" s="26">
        <f>IF(A996="","",IF(LEFT(P996,7)="Bekleni","N/A - Henüz Ödenmemeli",IF(LEFT(P996,4)="RİSK","İNCELEME GEREKLİ - Süre Aşımı",IF(R996=0,"Doğru",IF(R996&gt;0,"EKSİK ÖDENMİŞ","FAZLA ÖDENMİŞ")))))</f>
        <v/>
      </c>
      <c r="T996" s="30">
        <f>IF(A996="","",IF(F996&lt;&gt;"Evet","İNCELEME GEREKLİ - Kampanya Tanımsız",IF(G996&lt;&gt;"Evet","İNCELEME GEREKLİ - Tarih Dışı Satış",IF(LEFT(P996,4)="RİSK","İNCELEME GEREKLİ - Hakediş Süresi Aşıldı",IF(OR(S996="EKSİK ÖDENMİŞ",S996="FAZLA ÖDENMİŞ"),"İNCELEME GEREKLİ - Tutar Uyuşmazlığı",IF(LEFT(P996,7)="Bekleni","Bekleniyor","Uygun"))))))</f>
        <v/>
      </c>
    </row>
    <row r="997">
      <c r="A997" s="26">
        <f>IF('DIVA Satislari'!I997="","",'DIVA Satislari'!I997)</f>
        <v/>
      </c>
      <c r="B997" s="26">
        <f>IF('DIVA Satislari'!I997="","",'DIVA Satislari'!R997)</f>
        <v/>
      </c>
      <c r="C997" s="26">
        <f>IF('DIVA Satislari'!I997="","",'DIVA Satislari'!M997)</f>
        <v/>
      </c>
      <c r="D997" s="27">
        <f>IF('DIVA Satislari'!I997="","",'DIVA Satislari'!H997)</f>
        <v/>
      </c>
      <c r="E997" s="26">
        <f>IF('DIVA Satislari'!I997="","",'DIVA Satislari'!O997)</f>
        <v/>
      </c>
      <c r="F997" s="26">
        <f>IF('DIVA Satislari'!I997="","",'DIVA Satislari'!AK997)</f>
        <v/>
      </c>
      <c r="G997" s="26">
        <f>IF('DIVA Satislari'!I997="","",'DIVA Satislari'!AO997)</f>
        <v/>
      </c>
      <c r="H997" s="27">
        <f>IF('DIVA Satislari'!I997="","",'DIVA Satislari'!AN997)</f>
        <v/>
      </c>
      <c r="I997" s="28">
        <f>IF('DIVA Satislari'!I997="","",'DIVA Satislari'!AQ997)</f>
        <v/>
      </c>
      <c r="J997" s="26">
        <f>IF('DIVA Satislari'!I997="","",'DIVA Satislari'!AR997)</f>
        <v/>
      </c>
      <c r="K997" s="26">
        <f>IF('DIVA Satislari'!I997="","",IFERROR(INDEX('E2E Nakliye Montaj'!$AS$3:$AS$1002,MATCH('DIVA Satislari'!AJ997,'E2E Nakliye Montaj'!$AM$3:$AM$1002,0)),"Eşleşme Yok"))</f>
        <v/>
      </c>
      <c r="L997" s="26">
        <f>IF('DIVA Satislari'!I997="","",IFERROR(INDEX('E2E Nakliye Montaj'!$AT$3:$AT$1002,MATCH('DIVA Satislari'!AJ997,'E2E Nakliye Montaj'!$AM$3:$AM$1002,0)),"Hayır"))</f>
        <v/>
      </c>
      <c r="M997" s="26">
        <f>IF('DIVA Satislari'!I997="","",IFERROR(INDEX('E2E Nakliye Montaj'!$AU$3:$AU$1002,MATCH('DIVA Satislari'!AJ997,'E2E Nakliye Montaj'!$AM$3:$AM$1002,0)),"Hayır"))</f>
        <v/>
      </c>
      <c r="N997" s="27">
        <f>IF('DIVA Satislari'!I997="","",IFERROR(INDEX('E2E Nakliye Montaj'!$AV$3:$AV$1002,MATCH('DIVA Satislari'!AJ997,'E2E Nakliye Montaj'!$AM$3:$AM$1002,0)),""))</f>
        <v/>
      </c>
      <c r="O997" s="26">
        <f>IF(OR(A997="",N997=""),"",IF(N997&lt;=H997,"Evet","HAYIR - RİSK"))</f>
        <v/>
      </c>
      <c r="P997" s="26">
        <f>IF(A997="","",IF(LEFT(J997,8)="Kural A ","Uygun - Hemen Ödenir (Yıl Sonu %75 Kontrolüne Tabi)",IF(OR(L997="Evet",M997="Evet"),IF(O997="Evet","Uygun","RİSK - Hakediş Süresi Aşıldı"),"Bekleniyor - Nakliye/Montaj Tamamlanmadı")))</f>
        <v/>
      </c>
      <c r="Q997" s="28">
        <f>IF(A997="","",SUMIFS('Hakedis Fatura Detay'!$G$3:$G$1200,'Hakedis Fatura Detay'!$H$3:$H$1200,'DIVA Satislari'!AJ997,'Hakedis Fatura Detay'!$F$3:$F$1200,"Fiyat Farkı")+SUMIFS('Hakedis Fatura Detay'!$G$3:$G$1200,'Hakedis Fatura Detay'!$H$3:$H$1200,'DIVA Satislari'!AJ997,'Hakedis Fatura Detay'!$F$3:$F$1200,"Bundle"))</f>
        <v/>
      </c>
      <c r="R997" s="28">
        <f>IF(A997="","",I997-Q997)</f>
        <v/>
      </c>
      <c r="S997" s="26">
        <f>IF(A997="","",IF(LEFT(P997,7)="Bekleni","N/A - Henüz Ödenmemeli",IF(LEFT(P997,4)="RİSK","İNCELEME GEREKLİ - Süre Aşımı",IF(R997=0,"Doğru",IF(R997&gt;0,"EKSİK ÖDENMİŞ","FAZLA ÖDENMİŞ")))))</f>
        <v/>
      </c>
      <c r="T997" s="30">
        <f>IF(A997="","",IF(F997&lt;&gt;"Evet","İNCELEME GEREKLİ - Kampanya Tanımsız",IF(G997&lt;&gt;"Evet","İNCELEME GEREKLİ - Tarih Dışı Satış",IF(LEFT(P997,4)="RİSK","İNCELEME GEREKLİ - Hakediş Süresi Aşıldı",IF(OR(S997="EKSİK ÖDENMİŞ",S997="FAZLA ÖDENMİŞ"),"İNCELEME GEREKLİ - Tutar Uyuşmazlığı",IF(LEFT(P997,7)="Bekleni","Bekleniyor","Uygun"))))))</f>
        <v/>
      </c>
    </row>
    <row r="998">
      <c r="A998" s="26">
        <f>IF('DIVA Satislari'!I998="","",'DIVA Satislari'!I998)</f>
        <v/>
      </c>
      <c r="B998" s="26">
        <f>IF('DIVA Satislari'!I998="","",'DIVA Satislari'!R998)</f>
        <v/>
      </c>
      <c r="C998" s="26">
        <f>IF('DIVA Satislari'!I998="","",'DIVA Satislari'!M998)</f>
        <v/>
      </c>
      <c r="D998" s="27">
        <f>IF('DIVA Satislari'!I998="","",'DIVA Satislari'!H998)</f>
        <v/>
      </c>
      <c r="E998" s="26">
        <f>IF('DIVA Satislari'!I998="","",'DIVA Satislari'!O998)</f>
        <v/>
      </c>
      <c r="F998" s="26">
        <f>IF('DIVA Satislari'!I998="","",'DIVA Satislari'!AK998)</f>
        <v/>
      </c>
      <c r="G998" s="26">
        <f>IF('DIVA Satislari'!I998="","",'DIVA Satislari'!AO998)</f>
        <v/>
      </c>
      <c r="H998" s="27">
        <f>IF('DIVA Satislari'!I998="","",'DIVA Satislari'!AN998)</f>
        <v/>
      </c>
      <c r="I998" s="28">
        <f>IF('DIVA Satislari'!I998="","",'DIVA Satislari'!AQ998)</f>
        <v/>
      </c>
      <c r="J998" s="26">
        <f>IF('DIVA Satislari'!I998="","",'DIVA Satislari'!AR998)</f>
        <v/>
      </c>
      <c r="K998" s="26">
        <f>IF('DIVA Satislari'!I998="","",IFERROR(INDEX('E2E Nakliye Montaj'!$AS$3:$AS$1002,MATCH('DIVA Satislari'!AJ998,'E2E Nakliye Montaj'!$AM$3:$AM$1002,0)),"Eşleşme Yok"))</f>
        <v/>
      </c>
      <c r="L998" s="26">
        <f>IF('DIVA Satislari'!I998="","",IFERROR(INDEX('E2E Nakliye Montaj'!$AT$3:$AT$1002,MATCH('DIVA Satislari'!AJ998,'E2E Nakliye Montaj'!$AM$3:$AM$1002,0)),"Hayır"))</f>
        <v/>
      </c>
      <c r="M998" s="26">
        <f>IF('DIVA Satislari'!I998="","",IFERROR(INDEX('E2E Nakliye Montaj'!$AU$3:$AU$1002,MATCH('DIVA Satislari'!AJ998,'E2E Nakliye Montaj'!$AM$3:$AM$1002,0)),"Hayır"))</f>
        <v/>
      </c>
      <c r="N998" s="27">
        <f>IF('DIVA Satislari'!I998="","",IFERROR(INDEX('E2E Nakliye Montaj'!$AV$3:$AV$1002,MATCH('DIVA Satislari'!AJ998,'E2E Nakliye Montaj'!$AM$3:$AM$1002,0)),""))</f>
        <v/>
      </c>
      <c r="O998" s="26">
        <f>IF(OR(A998="",N998=""),"",IF(N998&lt;=H998,"Evet","HAYIR - RİSK"))</f>
        <v/>
      </c>
      <c r="P998" s="26">
        <f>IF(A998="","",IF(LEFT(J998,8)="Kural A ","Uygun - Hemen Ödenir (Yıl Sonu %75 Kontrolüne Tabi)",IF(OR(L998="Evet",M998="Evet"),IF(O998="Evet","Uygun","RİSK - Hakediş Süresi Aşıldı"),"Bekleniyor - Nakliye/Montaj Tamamlanmadı")))</f>
        <v/>
      </c>
      <c r="Q998" s="28">
        <f>IF(A998="","",SUMIFS('Hakedis Fatura Detay'!$G$3:$G$1200,'Hakedis Fatura Detay'!$H$3:$H$1200,'DIVA Satislari'!AJ998,'Hakedis Fatura Detay'!$F$3:$F$1200,"Fiyat Farkı")+SUMIFS('Hakedis Fatura Detay'!$G$3:$G$1200,'Hakedis Fatura Detay'!$H$3:$H$1200,'DIVA Satislari'!AJ998,'Hakedis Fatura Detay'!$F$3:$F$1200,"Bundle"))</f>
        <v/>
      </c>
      <c r="R998" s="28">
        <f>IF(A998="","",I998-Q998)</f>
        <v/>
      </c>
      <c r="S998" s="26">
        <f>IF(A998="","",IF(LEFT(P998,7)="Bekleni","N/A - Henüz Ödenmemeli",IF(LEFT(P998,4)="RİSK","İNCELEME GEREKLİ - Süre Aşımı",IF(R998=0,"Doğru",IF(R998&gt;0,"EKSİK ÖDENMİŞ","FAZLA ÖDENMİŞ")))))</f>
        <v/>
      </c>
      <c r="T998" s="30">
        <f>IF(A998="","",IF(F998&lt;&gt;"Evet","İNCELEME GEREKLİ - Kampanya Tanımsız",IF(G998&lt;&gt;"Evet","İNCELEME GEREKLİ - Tarih Dışı Satış",IF(LEFT(P998,4)="RİSK","İNCELEME GEREKLİ - Hakediş Süresi Aşıldı",IF(OR(S998="EKSİK ÖDENMİŞ",S998="FAZLA ÖDENMİŞ"),"İNCELEME GEREKLİ - Tutar Uyuşmazlığı",IF(LEFT(P998,7)="Bekleni","Bekleniyor","Uygun"))))))</f>
        <v/>
      </c>
    </row>
    <row r="999">
      <c r="A999" s="26">
        <f>IF('DIVA Satislari'!I999="","",'DIVA Satislari'!I999)</f>
        <v/>
      </c>
      <c r="B999" s="26">
        <f>IF('DIVA Satislari'!I999="","",'DIVA Satislari'!R999)</f>
        <v/>
      </c>
      <c r="C999" s="26">
        <f>IF('DIVA Satislari'!I999="","",'DIVA Satislari'!M999)</f>
        <v/>
      </c>
      <c r="D999" s="27">
        <f>IF('DIVA Satislari'!I999="","",'DIVA Satislari'!H999)</f>
        <v/>
      </c>
      <c r="E999" s="26">
        <f>IF('DIVA Satislari'!I999="","",'DIVA Satislari'!O999)</f>
        <v/>
      </c>
      <c r="F999" s="26">
        <f>IF('DIVA Satislari'!I999="","",'DIVA Satislari'!AK999)</f>
        <v/>
      </c>
      <c r="G999" s="26">
        <f>IF('DIVA Satislari'!I999="","",'DIVA Satislari'!AO999)</f>
        <v/>
      </c>
      <c r="H999" s="27">
        <f>IF('DIVA Satislari'!I999="","",'DIVA Satislari'!AN999)</f>
        <v/>
      </c>
      <c r="I999" s="28">
        <f>IF('DIVA Satislari'!I999="","",'DIVA Satislari'!AQ999)</f>
        <v/>
      </c>
      <c r="J999" s="26">
        <f>IF('DIVA Satislari'!I999="","",'DIVA Satislari'!AR999)</f>
        <v/>
      </c>
      <c r="K999" s="26">
        <f>IF('DIVA Satislari'!I999="","",IFERROR(INDEX('E2E Nakliye Montaj'!$AS$3:$AS$1002,MATCH('DIVA Satislari'!AJ999,'E2E Nakliye Montaj'!$AM$3:$AM$1002,0)),"Eşleşme Yok"))</f>
        <v/>
      </c>
      <c r="L999" s="26">
        <f>IF('DIVA Satislari'!I999="","",IFERROR(INDEX('E2E Nakliye Montaj'!$AT$3:$AT$1002,MATCH('DIVA Satislari'!AJ999,'E2E Nakliye Montaj'!$AM$3:$AM$1002,0)),"Hayır"))</f>
        <v/>
      </c>
      <c r="M999" s="26">
        <f>IF('DIVA Satislari'!I999="","",IFERROR(INDEX('E2E Nakliye Montaj'!$AU$3:$AU$1002,MATCH('DIVA Satislari'!AJ999,'E2E Nakliye Montaj'!$AM$3:$AM$1002,0)),"Hayır"))</f>
        <v/>
      </c>
      <c r="N999" s="27">
        <f>IF('DIVA Satislari'!I999="","",IFERROR(INDEX('E2E Nakliye Montaj'!$AV$3:$AV$1002,MATCH('DIVA Satislari'!AJ999,'E2E Nakliye Montaj'!$AM$3:$AM$1002,0)),""))</f>
        <v/>
      </c>
      <c r="O999" s="26">
        <f>IF(OR(A999="",N999=""),"",IF(N999&lt;=H999,"Evet","HAYIR - RİSK"))</f>
        <v/>
      </c>
      <c r="P999" s="26">
        <f>IF(A999="","",IF(LEFT(J999,8)="Kural A ","Uygun - Hemen Ödenir (Yıl Sonu %75 Kontrolüne Tabi)",IF(OR(L999="Evet",M999="Evet"),IF(O999="Evet","Uygun","RİSK - Hakediş Süresi Aşıldı"),"Bekleniyor - Nakliye/Montaj Tamamlanmadı")))</f>
        <v/>
      </c>
      <c r="Q999" s="28">
        <f>IF(A999="","",SUMIFS('Hakedis Fatura Detay'!$G$3:$G$1200,'Hakedis Fatura Detay'!$H$3:$H$1200,'DIVA Satislari'!AJ999,'Hakedis Fatura Detay'!$F$3:$F$1200,"Fiyat Farkı")+SUMIFS('Hakedis Fatura Detay'!$G$3:$G$1200,'Hakedis Fatura Detay'!$H$3:$H$1200,'DIVA Satislari'!AJ999,'Hakedis Fatura Detay'!$F$3:$F$1200,"Bundle"))</f>
        <v/>
      </c>
      <c r="R999" s="28">
        <f>IF(A999="","",I999-Q999)</f>
        <v/>
      </c>
      <c r="S999" s="26">
        <f>IF(A999="","",IF(LEFT(P999,7)="Bekleni","N/A - Henüz Ödenmemeli",IF(LEFT(P999,4)="RİSK","İNCELEME GEREKLİ - Süre Aşımı",IF(R999=0,"Doğru",IF(R999&gt;0,"EKSİK ÖDENMİŞ","FAZLA ÖDENMİŞ")))))</f>
        <v/>
      </c>
      <c r="T999" s="30">
        <f>IF(A999="","",IF(F999&lt;&gt;"Evet","İNCELEME GEREKLİ - Kampanya Tanımsız",IF(G999&lt;&gt;"Evet","İNCELEME GEREKLİ - Tarih Dışı Satış",IF(LEFT(P999,4)="RİSK","İNCELEME GEREKLİ - Hakediş Süresi Aşıldı",IF(OR(S999="EKSİK ÖDENMİŞ",S999="FAZLA ÖDENMİŞ"),"İNCELEME GEREKLİ - Tutar Uyuşmazlığı",IF(LEFT(P999,7)="Bekleni","Bekleniyor","Uygun"))))))</f>
        <v/>
      </c>
    </row>
    <row r="1000">
      <c r="A1000" s="26">
        <f>IF('DIVA Satislari'!I1000="","",'DIVA Satislari'!I1000)</f>
        <v/>
      </c>
      <c r="B1000" s="26">
        <f>IF('DIVA Satislari'!I1000="","",'DIVA Satislari'!R1000)</f>
        <v/>
      </c>
      <c r="C1000" s="26">
        <f>IF('DIVA Satislari'!I1000="","",'DIVA Satislari'!M1000)</f>
        <v/>
      </c>
      <c r="D1000" s="27">
        <f>IF('DIVA Satislari'!I1000="","",'DIVA Satislari'!H1000)</f>
        <v/>
      </c>
      <c r="E1000" s="26">
        <f>IF('DIVA Satislari'!I1000="","",'DIVA Satislari'!O1000)</f>
        <v/>
      </c>
      <c r="F1000" s="26">
        <f>IF('DIVA Satislari'!I1000="","",'DIVA Satislari'!AK1000)</f>
        <v/>
      </c>
      <c r="G1000" s="26">
        <f>IF('DIVA Satislari'!I1000="","",'DIVA Satislari'!AO1000)</f>
        <v/>
      </c>
      <c r="H1000" s="27">
        <f>IF('DIVA Satislari'!I1000="","",'DIVA Satislari'!AN1000)</f>
        <v/>
      </c>
      <c r="I1000" s="28">
        <f>IF('DIVA Satislari'!I1000="","",'DIVA Satislari'!AQ1000)</f>
        <v/>
      </c>
      <c r="J1000" s="26">
        <f>IF('DIVA Satislari'!I1000="","",'DIVA Satislari'!AR1000)</f>
        <v/>
      </c>
      <c r="K1000" s="26">
        <f>IF('DIVA Satislari'!I1000="","",IFERROR(INDEX('E2E Nakliye Montaj'!$AS$3:$AS$1002,MATCH('DIVA Satislari'!AJ1000,'E2E Nakliye Montaj'!$AM$3:$AM$1002,0)),"Eşleşme Yok"))</f>
        <v/>
      </c>
      <c r="L1000" s="26">
        <f>IF('DIVA Satislari'!I1000="","",IFERROR(INDEX('E2E Nakliye Montaj'!$AT$3:$AT$1002,MATCH('DIVA Satislari'!AJ1000,'E2E Nakliye Montaj'!$AM$3:$AM$1002,0)),"Hayır"))</f>
        <v/>
      </c>
      <c r="M1000" s="26">
        <f>IF('DIVA Satislari'!I1000="","",IFERROR(INDEX('E2E Nakliye Montaj'!$AU$3:$AU$1002,MATCH('DIVA Satislari'!AJ1000,'E2E Nakliye Montaj'!$AM$3:$AM$1002,0)),"Hayır"))</f>
        <v/>
      </c>
      <c r="N1000" s="27">
        <f>IF('DIVA Satislari'!I1000="","",IFERROR(INDEX('E2E Nakliye Montaj'!$AV$3:$AV$1002,MATCH('DIVA Satislari'!AJ1000,'E2E Nakliye Montaj'!$AM$3:$AM$1002,0)),""))</f>
        <v/>
      </c>
      <c r="O1000" s="26">
        <f>IF(OR(A1000="",N1000=""),"",IF(N1000&lt;=H1000,"Evet","HAYIR - RİSK"))</f>
        <v/>
      </c>
      <c r="P1000" s="26">
        <f>IF(A1000="","",IF(LEFT(J1000,8)="Kural A ","Uygun - Hemen Ödenir (Yıl Sonu %75 Kontrolüne Tabi)",IF(OR(L1000="Evet",M1000="Evet"),IF(O1000="Evet","Uygun","RİSK - Hakediş Süresi Aşıldı"),"Bekleniyor - Nakliye/Montaj Tamamlanmadı")))</f>
        <v/>
      </c>
      <c r="Q1000" s="28">
        <f>IF(A1000="","",SUMIFS('Hakedis Fatura Detay'!$G$3:$G$1200,'Hakedis Fatura Detay'!$H$3:$H$1200,'DIVA Satislari'!AJ1000,'Hakedis Fatura Detay'!$F$3:$F$1200,"Fiyat Farkı")+SUMIFS('Hakedis Fatura Detay'!$G$3:$G$1200,'Hakedis Fatura Detay'!$H$3:$H$1200,'DIVA Satislari'!AJ1000,'Hakedis Fatura Detay'!$F$3:$F$1200,"Bundle"))</f>
        <v/>
      </c>
      <c r="R1000" s="28">
        <f>IF(A1000="","",I1000-Q1000)</f>
        <v/>
      </c>
      <c r="S1000" s="26">
        <f>IF(A1000="","",IF(LEFT(P1000,7)="Bekleni","N/A - Henüz Ödenmemeli",IF(LEFT(P1000,4)="RİSK","İNCELEME GEREKLİ - Süre Aşımı",IF(R1000=0,"Doğru",IF(R1000&gt;0,"EKSİK ÖDENMİŞ","FAZLA ÖDENMİŞ")))))</f>
        <v/>
      </c>
      <c r="T1000" s="30">
        <f>IF(A1000="","",IF(F1000&lt;&gt;"Evet","İNCELEME GEREKLİ - Kampanya Tanımsız",IF(G1000&lt;&gt;"Evet","İNCELEME GEREKLİ - Tarih Dışı Satış",IF(LEFT(P1000,4)="RİSK","İNCELEME GEREKLİ - Hakediş Süresi Aşıldı",IF(OR(S1000="EKSİK ÖDENMİŞ",S1000="FAZLA ÖDENMİŞ"),"İNCELEME GEREKLİ - Tutar Uyuşmazlığı",IF(LEFT(P1000,7)="Bekleni","Bekleniyor","Uygun"))))))</f>
        <v/>
      </c>
    </row>
    <row r="1001">
      <c r="A1001" s="26">
        <f>IF('DIVA Satislari'!I1001="","",'DIVA Satislari'!I1001)</f>
        <v/>
      </c>
      <c r="B1001" s="26">
        <f>IF('DIVA Satislari'!I1001="","",'DIVA Satislari'!R1001)</f>
        <v/>
      </c>
      <c r="C1001" s="26">
        <f>IF('DIVA Satislari'!I1001="","",'DIVA Satislari'!M1001)</f>
        <v/>
      </c>
      <c r="D1001" s="27">
        <f>IF('DIVA Satislari'!I1001="","",'DIVA Satislari'!H1001)</f>
        <v/>
      </c>
      <c r="E1001" s="26">
        <f>IF('DIVA Satislari'!I1001="","",'DIVA Satislari'!O1001)</f>
        <v/>
      </c>
      <c r="F1001" s="26">
        <f>IF('DIVA Satislari'!I1001="","",'DIVA Satislari'!AK1001)</f>
        <v/>
      </c>
      <c r="G1001" s="26">
        <f>IF('DIVA Satislari'!I1001="","",'DIVA Satislari'!AO1001)</f>
        <v/>
      </c>
      <c r="H1001" s="27">
        <f>IF('DIVA Satislari'!I1001="","",'DIVA Satislari'!AN1001)</f>
        <v/>
      </c>
      <c r="I1001" s="28">
        <f>IF('DIVA Satislari'!I1001="","",'DIVA Satislari'!AQ1001)</f>
        <v/>
      </c>
      <c r="J1001" s="26">
        <f>IF('DIVA Satislari'!I1001="","",'DIVA Satislari'!AR1001)</f>
        <v/>
      </c>
      <c r="K1001" s="26">
        <f>IF('DIVA Satislari'!I1001="","",IFERROR(INDEX('E2E Nakliye Montaj'!$AS$3:$AS$1002,MATCH('DIVA Satislari'!AJ1001,'E2E Nakliye Montaj'!$AM$3:$AM$1002,0)),"Eşleşme Yok"))</f>
        <v/>
      </c>
      <c r="L1001" s="26">
        <f>IF('DIVA Satislari'!I1001="","",IFERROR(INDEX('E2E Nakliye Montaj'!$AT$3:$AT$1002,MATCH('DIVA Satislari'!AJ1001,'E2E Nakliye Montaj'!$AM$3:$AM$1002,0)),"Hayır"))</f>
        <v/>
      </c>
      <c r="M1001" s="26">
        <f>IF('DIVA Satislari'!I1001="","",IFERROR(INDEX('E2E Nakliye Montaj'!$AU$3:$AU$1002,MATCH('DIVA Satislari'!AJ1001,'E2E Nakliye Montaj'!$AM$3:$AM$1002,0)),"Hayır"))</f>
        <v/>
      </c>
      <c r="N1001" s="27">
        <f>IF('DIVA Satislari'!I1001="","",IFERROR(INDEX('E2E Nakliye Montaj'!$AV$3:$AV$1002,MATCH('DIVA Satislari'!AJ1001,'E2E Nakliye Montaj'!$AM$3:$AM$1002,0)),""))</f>
        <v/>
      </c>
      <c r="O1001" s="26">
        <f>IF(OR(A1001="",N1001=""),"",IF(N1001&lt;=H1001,"Evet","HAYIR - RİSK"))</f>
        <v/>
      </c>
      <c r="P1001" s="26">
        <f>IF(A1001="","",IF(LEFT(J1001,8)="Kural A ","Uygun - Hemen Ödenir (Yıl Sonu %75 Kontrolüne Tabi)",IF(OR(L1001="Evet",M1001="Evet"),IF(O1001="Evet","Uygun","RİSK - Hakediş Süresi Aşıldı"),"Bekleniyor - Nakliye/Montaj Tamamlanmadı")))</f>
        <v/>
      </c>
      <c r="Q1001" s="28">
        <f>IF(A1001="","",SUMIFS('Hakedis Fatura Detay'!$G$3:$G$1200,'Hakedis Fatura Detay'!$H$3:$H$1200,'DIVA Satislari'!AJ1001,'Hakedis Fatura Detay'!$F$3:$F$1200,"Fiyat Farkı")+SUMIFS('Hakedis Fatura Detay'!$G$3:$G$1200,'Hakedis Fatura Detay'!$H$3:$H$1200,'DIVA Satislari'!AJ1001,'Hakedis Fatura Detay'!$F$3:$F$1200,"Bundle"))</f>
        <v/>
      </c>
      <c r="R1001" s="28">
        <f>IF(A1001="","",I1001-Q1001)</f>
        <v/>
      </c>
      <c r="S1001" s="26">
        <f>IF(A1001="","",IF(LEFT(P1001,7)="Bekleni","N/A - Henüz Ödenmemeli",IF(LEFT(P1001,4)="RİSK","İNCELEME GEREKLİ - Süre Aşımı",IF(R1001=0,"Doğru",IF(R1001&gt;0,"EKSİK ÖDENMİŞ","FAZLA ÖDENMİŞ")))))</f>
        <v/>
      </c>
      <c r="T1001" s="30">
        <f>IF(A1001="","",IF(F1001&lt;&gt;"Evet","İNCELEME GEREKLİ - Kampanya Tanımsız",IF(G1001&lt;&gt;"Evet","İNCELEME GEREKLİ - Tarih Dışı Satış",IF(LEFT(P1001,4)="RİSK","İNCELEME GEREKLİ - Hakediş Süresi Aşıldı",IF(OR(S1001="EKSİK ÖDENMİŞ",S1001="FAZLA ÖDENMİŞ"),"İNCELEME GEREKLİ - Tutar Uyuşmazlığı",IF(LEFT(P1001,7)="Bekleni","Bekleniyor","Uygun"))))))</f>
        <v/>
      </c>
    </row>
    <row r="1002">
      <c r="A1002" s="26">
        <f>IF('DIVA Satislari'!I1002="","",'DIVA Satislari'!I1002)</f>
        <v/>
      </c>
      <c r="B1002" s="26">
        <f>IF('DIVA Satislari'!I1002="","",'DIVA Satislari'!R1002)</f>
        <v/>
      </c>
      <c r="C1002" s="26">
        <f>IF('DIVA Satislari'!I1002="","",'DIVA Satislari'!M1002)</f>
        <v/>
      </c>
      <c r="D1002" s="27">
        <f>IF('DIVA Satislari'!I1002="","",'DIVA Satislari'!H1002)</f>
        <v/>
      </c>
      <c r="E1002" s="26">
        <f>IF('DIVA Satislari'!I1002="","",'DIVA Satislari'!O1002)</f>
        <v/>
      </c>
      <c r="F1002" s="26">
        <f>IF('DIVA Satislari'!I1002="","",'DIVA Satislari'!AK1002)</f>
        <v/>
      </c>
      <c r="G1002" s="26">
        <f>IF('DIVA Satislari'!I1002="","",'DIVA Satislari'!AO1002)</f>
        <v/>
      </c>
      <c r="H1002" s="27">
        <f>IF('DIVA Satislari'!I1002="","",'DIVA Satislari'!AN1002)</f>
        <v/>
      </c>
      <c r="I1002" s="28">
        <f>IF('DIVA Satislari'!I1002="","",'DIVA Satislari'!AQ1002)</f>
        <v/>
      </c>
      <c r="J1002" s="26">
        <f>IF('DIVA Satislari'!I1002="","",'DIVA Satislari'!AR1002)</f>
        <v/>
      </c>
      <c r="K1002" s="26">
        <f>IF('DIVA Satislari'!I1002="","",IFERROR(INDEX('E2E Nakliye Montaj'!$AS$3:$AS$1002,MATCH('DIVA Satislari'!AJ1002,'E2E Nakliye Montaj'!$AM$3:$AM$1002,0)),"Eşleşme Yok"))</f>
        <v/>
      </c>
      <c r="L1002" s="26">
        <f>IF('DIVA Satislari'!I1002="","",IFERROR(INDEX('E2E Nakliye Montaj'!$AT$3:$AT$1002,MATCH('DIVA Satislari'!AJ1002,'E2E Nakliye Montaj'!$AM$3:$AM$1002,0)),"Hayır"))</f>
        <v/>
      </c>
      <c r="M1002" s="26">
        <f>IF('DIVA Satislari'!I1002="","",IFERROR(INDEX('E2E Nakliye Montaj'!$AU$3:$AU$1002,MATCH('DIVA Satislari'!AJ1002,'E2E Nakliye Montaj'!$AM$3:$AM$1002,0)),"Hayır"))</f>
        <v/>
      </c>
      <c r="N1002" s="27">
        <f>IF('DIVA Satislari'!I1002="","",IFERROR(INDEX('E2E Nakliye Montaj'!$AV$3:$AV$1002,MATCH('DIVA Satislari'!AJ1002,'E2E Nakliye Montaj'!$AM$3:$AM$1002,0)),""))</f>
        <v/>
      </c>
      <c r="O1002" s="26">
        <f>IF(OR(A1002="",N1002=""),"",IF(N1002&lt;=H1002,"Evet","HAYIR - RİSK"))</f>
        <v/>
      </c>
      <c r="P1002" s="26">
        <f>IF(A1002="","",IF(LEFT(J1002,8)="Kural A ","Uygun - Hemen Ödenir (Yıl Sonu %75 Kontrolüne Tabi)",IF(OR(L1002="Evet",M1002="Evet"),IF(O1002="Evet","Uygun","RİSK - Hakediş Süresi Aşıldı"),"Bekleniyor - Nakliye/Montaj Tamamlanmadı")))</f>
        <v/>
      </c>
      <c r="Q1002" s="28">
        <f>IF(A1002="","",SUMIFS('Hakedis Fatura Detay'!$G$3:$G$1200,'Hakedis Fatura Detay'!$H$3:$H$1200,'DIVA Satislari'!AJ1002,'Hakedis Fatura Detay'!$F$3:$F$1200,"Fiyat Farkı")+SUMIFS('Hakedis Fatura Detay'!$G$3:$G$1200,'Hakedis Fatura Detay'!$H$3:$H$1200,'DIVA Satislari'!AJ1002,'Hakedis Fatura Detay'!$F$3:$F$1200,"Bundle"))</f>
        <v/>
      </c>
      <c r="R1002" s="28">
        <f>IF(A1002="","",I1002-Q1002)</f>
        <v/>
      </c>
      <c r="S1002" s="26">
        <f>IF(A1002="","",IF(LEFT(P1002,7)="Bekleni","N/A - Henüz Ödenmemeli",IF(LEFT(P1002,4)="RİSK","İNCELEME GEREKLİ - Süre Aşımı",IF(R1002=0,"Doğru",IF(R1002&gt;0,"EKSİK ÖDENMİŞ","FAZLA ÖDENMİŞ")))))</f>
        <v/>
      </c>
      <c r="T1002" s="30">
        <f>IF(A1002="","",IF(F1002&lt;&gt;"Evet","İNCELEME GEREKLİ - Kampanya Tanımsız",IF(G1002&lt;&gt;"Evet","İNCELEME GEREKLİ - Tarih Dışı Satış",IF(LEFT(P1002,4)="RİSK","İNCELEME GEREKLİ - Hakediş Süresi Aşıldı",IF(OR(S1002="EKSİK ÖDENMİŞ",S1002="FAZLA ÖDENMİŞ"),"İNCELEME GEREKLİ - Tutar Uyuşmazlığı",IF(LEFT(P1002,7)="Bekleni","Bekleniyor","Uygun"))))))</f>
        <v/>
      </c>
    </row>
  </sheetData>
  <sheetProtection selectLockedCells="0" selectUnlockedCells="0" sheet="1" objects="0" insertRows="0" insertHyperlinks="1" autoFilter="1" scenarios="0" formatColumns="1" deleteColumns="1" insertColumns="1" pivotTables="1" deleteRows="0" formatCells="1" formatRows="1" sort="1" password="D6F9"/>
  <pageMargins left="0.75" right="0.75" top="1" bottom="1" header="0.5" footer="0.5"/>
</worksheet>
</file>

<file path=xl/worksheets/sheet8.xml><?xml version="1.0" encoding="utf-8"?>
<worksheet xmlns="http://schemas.openxmlformats.org/spreadsheetml/2006/main">
  <sheetPr>
    <tabColor rgb="00C00000"/>
    <outlinePr summaryBelow="1" summaryRight="1"/>
    <pageSetUpPr/>
  </sheetPr>
  <dimension ref="A1:D40"/>
  <sheetViews>
    <sheetView showGridLines="0" workbookViewId="0">
      <selection activeCell="A1" sqref="A1"/>
    </sheetView>
  </sheetViews>
  <sheetFormatPr baseColWidth="8" defaultRowHeight="15"/>
  <cols>
    <col width="3" customWidth="1" min="1" max="1"/>
    <col width="52" customWidth="1" min="2" max="2"/>
    <col width="20" customWidth="1" min="3" max="3"/>
    <col width="3" customWidth="1" min="4" max="4"/>
  </cols>
  <sheetData>
    <row r="1"/>
    <row r="2">
      <c r="B2" s="31" t="inlineStr">
        <is>
          <t>YIL SONU %75 NAKLİYE/MONTAJ ORANI KONTROLÜ (Kural A - Stok Mutabakatlı Bayi)</t>
        </is>
      </c>
    </row>
    <row r="3" ht="45" customHeight="1">
      <c r="B3" s="12" t="inlineStr">
        <is>
          <t>Bu kontrol yalnızca Parametreler sekmesinde 'Stok Mutabakatı Yapıldı mı?' = Evet olan bayiler için anlamlıdır. Kampanya yazısına göre: 30.11 itibarıyla yıl içinde hakediş ödenen ürünlerin nakliye VEYA montaj tamamlanma oranı en az %75 olmalıdır; altında kalırsa fark mahsuplaşılır.</t>
        </is>
      </c>
    </row>
    <row r="4"/>
    <row r="5" ht="30" customHeight="1">
      <c r="B5" s="8" t="inlineStr">
        <is>
          <t>Kural A Kapsamında Hakediş Ödenen Satış Sayısı</t>
        </is>
      </c>
      <c r="C5" s="32">
        <f>SUMPRODUCT((LEFT(Kontrol!$J$3:$J$1002,8)="Kural A ")*(Kontrol!$A$3:$A$1002&lt;&gt;""))</f>
        <v/>
      </c>
    </row>
    <row r="6" ht="30" customHeight="1">
      <c r="B6" s="8" t="inlineStr">
        <is>
          <t>Bunlardan Nakliye VEYA Montaj Tamamlanan Sayısı</t>
        </is>
      </c>
      <c r="C6" s="32">
        <f>SUMPRODUCT((LEFT(Kontrol!$J$3:$J$1002,8)="Kural A ")*(((Kontrol!$L$3:$L$1002="Evet")+(Kontrol!$M$3:$M$1002="Evet"))&gt;0))</f>
        <v/>
      </c>
    </row>
    <row r="7" ht="30" customHeight="1">
      <c r="B7" s="8" t="inlineStr">
        <is>
          <t>Nakliye/Montaj Tamamlanma Oranı</t>
        </is>
      </c>
      <c r="C7" s="33">
        <f>IF(C5=0,"",C6/C5)</f>
        <v/>
      </c>
    </row>
    <row r="8" ht="30" customHeight="1">
      <c r="B8" s="8" t="inlineStr">
        <is>
          <t>Minimum Eşik</t>
        </is>
      </c>
      <c r="C8" s="33">
        <f>Parametreler!$C$10</f>
        <v/>
      </c>
    </row>
    <row r="9" ht="30" customHeight="1">
      <c r="B9" s="34" t="inlineStr">
        <is>
          <t>Eşik Karşılanıyor mu</t>
        </is>
      </c>
      <c r="C9" s="35">
        <f>IF(C5=0,"",IF(C7&gt;=C8,"EVET - Uygun","HAYIR - Mahsuplaşma Riski"))</f>
        <v/>
      </c>
    </row>
    <row r="10" ht="30" customHeight="1">
      <c r="B10" s="8" t="inlineStr">
        <is>
          <t>Kural A Kapsamında Toplam Beklenen Hakediş Tutarı</t>
        </is>
      </c>
      <c r="C10" s="36">
        <f>SUMPRODUCT((LEFT(Kontrol!$J$3:$J$1002,8)="Kural A ")*(Kontrol!$I$3:$I$1002))</f>
        <v/>
      </c>
    </row>
    <row r="11" ht="30" customHeight="1">
      <c r="B11" s="8" t="inlineStr">
        <is>
          <t>Eşik Altı Kalan Oran Farkı</t>
        </is>
      </c>
      <c r="C11" s="33">
        <f>IF(C5=0,0,IF(C7&lt;C8,C8-C7,0))</f>
        <v/>
      </c>
    </row>
    <row r="12" ht="30" customHeight="1">
      <c r="B12" s="8" t="inlineStr">
        <is>
          <t>Tahmini Mahsuplaşma Tutarı (oran farkı x toplam hakediş - yaklaşık tahmindir)</t>
        </is>
      </c>
      <c r="C12" s="36">
        <f>C11*C10</f>
        <v/>
      </c>
    </row>
    <row r="13"/>
    <row r="14" ht="40" customHeight="1">
      <c r="B14" s="12" t="inlineStr">
        <is>
          <t>Not: Mahsuplaşma tutarı, kampanya yazısındaki hesaplama yöntemi netleşinceye kadar basit bir yaklaşıklıkla (oran açığı x toplam beklenen hakediş) hesaplanmıştır; gerçek mahsuplaşma yöntemi BSH finans ekibi ile teyit edilip formül buna göre güncellenmelidir.</t>
        </is>
      </c>
    </row>
    <row r="15"/>
    <row r="16"/>
    <row r="17"/>
    <row r="18"/>
    <row r="19"/>
    <row r="20"/>
    <row r="21"/>
    <row r="22"/>
    <row r="23"/>
    <row r="24"/>
    <row r="25"/>
    <row r="26"/>
    <row r="27"/>
    <row r="28"/>
    <row r="29"/>
    <row r="30"/>
    <row r="31"/>
    <row r="32"/>
    <row r="33"/>
    <row r="34"/>
    <row r="35"/>
    <row r="36"/>
    <row r="37"/>
    <row r="38"/>
    <row r="39"/>
    <row r="40"/>
  </sheetData>
  <sheetProtection selectLockedCells="0" selectUnlockedCells="0" sheet="1" objects="0" insertRows="0" insertHyperlinks="1" autoFilter="1" scenarios="0" formatColumns="1" deleteColumns="1" insertColumns="1" pivotTables="1" deleteRows="0" formatCells="1" formatRows="1" sort="1" password="D6F9"/>
  <mergeCells count="3">
    <mergeCell ref="B3:C3"/>
    <mergeCell ref="B14:C14"/>
    <mergeCell ref="B2:C2"/>
  </mergeCells>
  <pageMargins left="0.75" right="0.75" top="1" bottom="1" header="0.5" footer="0.5"/>
</worksheet>
</file>

<file path=xl/worksheets/sheet9.xml><?xml version="1.0" encoding="utf-8"?>
<worksheet xmlns="http://schemas.openxmlformats.org/spreadsheetml/2006/main">
  <sheetPr>
    <tabColor rgb="00548235"/>
    <outlinePr summaryBelow="1" summaryRight="1"/>
    <pageSetUpPr/>
  </sheetPr>
  <dimension ref="A1:D40"/>
  <sheetViews>
    <sheetView showGridLines="0" workbookViewId="0">
      <selection activeCell="A1" sqref="A1"/>
    </sheetView>
  </sheetViews>
  <sheetFormatPr baseColWidth="8" defaultRowHeight="15"/>
  <cols>
    <col width="3" customWidth="1" min="1" max="1"/>
    <col width="48" customWidth="1" min="2" max="2"/>
    <col width="18" customWidth="1" min="3" max="3"/>
    <col width="3" customWidth="1" min="4" max="4"/>
  </cols>
  <sheetData>
    <row r="1"/>
    <row r="2">
      <c r="B2" s="4" t="inlineStr">
        <is>
          <t>ÖZET</t>
        </is>
      </c>
    </row>
    <row r="3"/>
    <row r="4" ht="26" customHeight="1">
      <c r="B4" s="8" t="inlineStr">
        <is>
          <t>Toplam Satış Sayısı</t>
        </is>
      </c>
      <c r="C4" s="32">
        <f>COUNTIF(Kontrol!$A$3:$A$1002,"&lt;&gt;")</f>
        <v/>
      </c>
    </row>
    <row r="5" ht="26" customHeight="1">
      <c r="B5" s="8" t="inlineStr">
        <is>
          <t>Kural A (Hemen Ödeme) Satış Sayısı</t>
        </is>
      </c>
      <c r="C5" s="32">
        <f>COUNTIF(Kontrol!$J$3:$J$1002,"Kural A*")</f>
        <v/>
      </c>
    </row>
    <row r="6" ht="26" customHeight="1">
      <c r="B6" s="8" t="inlineStr">
        <is>
          <t>Kural B (Nakliye/Montaj Sonrası) Satış Sayısı</t>
        </is>
      </c>
      <c r="C6" s="32">
        <f>COUNTIF(Kontrol!$J$3:$J$1002,"Kural B*")</f>
        <v/>
      </c>
    </row>
    <row r="7" ht="26" customHeight="1">
      <c r="B7" s="8" t="inlineStr">
        <is>
          <t>Toplam Beklenen Hakediş Tutarı</t>
        </is>
      </c>
      <c r="C7" s="36">
        <f>SUMIF(Kontrol!$A$3:$A$1002,"&lt;&gt;",Kontrol!$I$3:$I$1002)</f>
        <v/>
      </c>
    </row>
    <row r="8" ht="26" customHeight="1">
      <c r="B8" s="8" t="inlineStr">
        <is>
          <t>Faturada Bulunan Toplam Tutar</t>
        </is>
      </c>
      <c r="C8" s="36">
        <f>SUMIF(Kontrol!$A$3:$A$1002,"&lt;&gt;",Kontrol!$Q$3:$Q$1002)</f>
        <v/>
      </c>
    </row>
    <row r="9" ht="26" customHeight="1">
      <c r="B9" s="8" t="inlineStr">
        <is>
          <t>Toplam Tutar Farkı</t>
        </is>
      </c>
      <c r="C9" s="36">
        <f>SUMIF(Kontrol!$A$3:$A$1002,"&lt;&gt;",Kontrol!$R$3:$R$1002)</f>
        <v/>
      </c>
    </row>
    <row r="10" ht="26" customHeight="1">
      <c r="B10" s="34" t="inlineStr">
        <is>
          <t>Eksik Ödenmiş Satış Sayısı</t>
        </is>
      </c>
      <c r="C10" s="35">
        <f>COUNTIF(Kontrol!$S$3:$S$1002,"EKSİK ÖDENMİŞ")</f>
        <v/>
      </c>
    </row>
    <row r="11" ht="26" customHeight="1">
      <c r="B11" s="34" t="inlineStr">
        <is>
          <t>Fazla Ödenmiş Satış Sayısı</t>
        </is>
      </c>
      <c r="C11" s="35">
        <f>COUNTIF(Kontrol!$S$3:$S$1002,"FAZLA ÖDENMİŞ")</f>
        <v/>
      </c>
    </row>
    <row r="12" ht="26" customHeight="1">
      <c r="B12" s="34" t="inlineStr">
        <is>
          <t>Kampanya Tanımsız (Kampanyalar Sekmesinde Yok)</t>
        </is>
      </c>
      <c r="C12" s="35">
        <f>COUNTIF(Kontrol!$T$3:$T$1002,"İNCELEME GEREKLİ - Kampanya Tanımsız")</f>
        <v/>
      </c>
    </row>
    <row r="13" ht="26" customHeight="1">
      <c r="B13" s="34" t="inlineStr">
        <is>
          <t>Tarih Dışı Satış Sayısı</t>
        </is>
      </c>
      <c r="C13" s="35">
        <f>COUNTIF(Kontrol!$T$3:$T$1002,"İNCELEME GEREKLİ - Tarih Dışı Satış")</f>
        <v/>
      </c>
    </row>
    <row r="14" ht="26" customHeight="1">
      <c r="B14" s="34" t="inlineStr">
        <is>
          <t>Hakediş Süresi Aşılan (RİSK) Satış Sayısı</t>
        </is>
      </c>
      <c r="C14" s="35">
        <f>COUNTIF(Kontrol!$T$3:$T$1002,"İNCELEME GEREKLİ - Hakediş Süresi Aşıldı")</f>
        <v/>
      </c>
    </row>
    <row r="15" ht="26" customHeight="1">
      <c r="B15" s="8" t="inlineStr">
        <is>
          <t>Henüz Ödenmemesi Gereken (Bekleyen) Satış Sayısı</t>
        </is>
      </c>
      <c r="C15" s="32">
        <f>COUNTIF(Kontrol!$T$3:$T$1002,"Bekleniyor")</f>
        <v/>
      </c>
    </row>
    <row r="16" ht="26" customHeight="1">
      <c r="B16" s="34" t="inlineStr">
        <is>
          <t>İncelenmesi Gereken Toplam Satış Sayısı</t>
        </is>
      </c>
      <c r="C16" s="35">
        <f>SUMPRODUCT(--(LEFT(Kontrol!$T$3:$T$1002,16)="İNCELEME GEREKLİ"))</f>
        <v/>
      </c>
    </row>
    <row r="17" ht="26" customHeight="1">
      <c r="B17" s="8" t="inlineStr">
        <is>
          <t>Uygun / Sorunsuz Satış Sayısı</t>
        </is>
      </c>
      <c r="C17" s="32">
        <f>COUNTIF(Kontrol!$T$3:$T$1002,"Uygun")</f>
        <v/>
      </c>
    </row>
    <row r="18"/>
    <row r="19" ht="40" customHeight="1">
      <c r="B19" s="12" t="inlineStr">
        <is>
          <t>Not: Bu tablo 'Kontrol' sekmesindeki tüm satırları otomatik özetler; 'Yıl Sonu Kontrolü' sekmesi ise Kural A bayileri için ayrıca %75 nakliye/montaj oranı kontrolünü gösterir. Kaynak sekmeleri güncelledikçe bu sayfa otomatik yenilenir.</t>
        </is>
      </c>
    </row>
    <row r="20"/>
    <row r="21"/>
    <row r="22"/>
    <row r="23"/>
    <row r="24"/>
    <row r="25"/>
    <row r="26"/>
    <row r="27"/>
    <row r="28"/>
    <row r="29"/>
    <row r="30"/>
    <row r="31"/>
    <row r="32"/>
    <row r="33"/>
    <row r="34"/>
    <row r="35"/>
    <row r="36"/>
    <row r="37"/>
    <row r="38"/>
    <row r="39"/>
    <row r="40"/>
  </sheetData>
  <sheetProtection selectLockedCells="0" selectUnlockedCells="0" sheet="1" objects="0" insertRows="0" insertHyperlinks="1" autoFilter="1" scenarios="0" formatColumns="1" deleteColumns="1" insertColumns="1" pivotTables="1" deleteRows="0" formatCells="1" formatRows="1" sort="1" password="D6F9"/>
  <mergeCells count="1">
    <mergeCell ref="B19:C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2026-08-24T12:27:06Z</dcterms:created>
  <dcterms:modified xsi:type="dcterms:W3CDTF">2026-08-24T12:27:13Z</dcterms:modified>
</cp:coreProperties>
</file>